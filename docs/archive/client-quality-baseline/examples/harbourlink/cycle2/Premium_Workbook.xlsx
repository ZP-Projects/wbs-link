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drawings/drawing1.xml" ContentType="application/vnd.openxmlformats-officedocument.drawing+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sheets/sheet10.xml" ContentType="application/vnd.openxmlformats-officedocument.spreadsheetml.worksheet+xml"/>
  <Override PartName="/xl/comments/comment10.xml" ContentType="application/vnd.openxmlformats-officedocument.spreadsheetml.comments+xml"/>
  <Override PartName="/xl/worksheets/sheet11.xml" ContentType="application/vnd.openxmlformats-officedocument.spreadsheetml.worksheet+xml"/>
  <Override PartName="/xl/comments/comment11.xml" ContentType="application/vnd.openxmlformats-officedocument.spreadsheetml.comments+xml"/>
  <Override PartName="/xl/worksheets/sheet12.xml" ContentType="application/vnd.openxmlformats-officedocument.spreadsheetml.worksheet+xml"/>
  <Override PartName="/xl/comments/comment12.xml" ContentType="application/vnd.openxmlformats-officedocument.spreadsheetml.comments+xml"/>
  <Override PartName="/xl/worksheets/sheet13.xml" ContentType="application/vnd.openxmlformats-officedocument.spreadsheetml.worksheet+xml"/>
  <Override PartName="/xl/comments/comment13.xml" ContentType="application/vnd.openxmlformats-officedocument.spreadsheetml.comments+xml"/>
  <Override PartName="/xl/worksheets/sheet14.xml" ContentType="application/vnd.openxmlformats-officedocument.spreadsheetml.worksheet+xml"/>
  <Override PartName="/xl/comments/comment14.xml" ContentType="application/vnd.openxmlformats-officedocument.spreadsheetml.comments+xml"/>
  <Override PartName="/xl/worksheets/sheet15.xml" ContentType="application/vnd.openxmlformats-officedocument.spreadsheetml.worksheet+xml"/>
  <Override PartName="/xl/comments/comment15.xml" ContentType="application/vnd.openxmlformats-officedocument.spreadsheetml.comments+xml"/>
  <Override PartName="/xl/worksheets/sheet16.xml" ContentType="application/vnd.openxmlformats-officedocument.spreadsheetml.worksheet+xml"/>
  <Override PartName="/xl/comments/comment16.xml" ContentType="application/vnd.openxmlformats-officedocument.spreadsheetml.comments+xml"/>
  <Override PartName="/xl/worksheets/sheet17.xml" ContentType="application/vnd.openxmlformats-officedocument.spreadsheetml.worksheet+xml"/>
  <Override PartName="/xl/comments/comment17.xml" ContentType="application/vnd.openxmlformats-officedocument.spreadsheetml.comments+xml"/>
  <Override PartName="/xl/worksheets/sheet18.xml" ContentType="application/vnd.openxmlformats-officedocument.spreadsheetml.worksheet+xml"/>
  <Override PartName="/xl/comments/comment18.xml" ContentType="application/vnd.openxmlformats-officedocument.spreadsheetml.comments+xml"/>
  <Override PartName="/xl/worksheets/sheet19.xml" ContentType="application/vnd.openxmlformats-officedocument.spreadsheetml.worksheet+xml"/>
  <Override PartName="/xl/comments/comment19.xml" ContentType="application/vnd.openxmlformats-officedocument.spreadsheetml.comments+xml"/>
  <Override PartName="/xl/worksheets/sheet20.xml" ContentType="application/vnd.openxmlformats-officedocument.spreadsheetml.worksheet+xml"/>
  <Override PartName="/xl/comments/comment20.xml" ContentType="application/vnd.openxmlformats-officedocument.spreadsheetml.comments+xml"/>
  <Override PartName="/xl/worksheets/sheet21.xml" ContentType="application/vnd.openxmlformats-officedocument.spreadsheetml.worksheet+xml"/>
  <Override PartName="/xl/comments/comment2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2" autoFilterDateGrouping="1"/>
  </bookViews>
  <sheets>
    <sheet xmlns:r="http://schemas.openxmlformats.org/officeDocument/2006/relationships" name="01 PROJECT" sheetId="1" state="visible" r:id="rId1"/>
    <sheet xmlns:r="http://schemas.openxmlformats.org/officeDocument/2006/relationships" name="02 START HERE" sheetId="2" state="visible" r:id="rId2"/>
    <sheet xmlns:r="http://schemas.openxmlformats.org/officeDocument/2006/relationships" name="03 EXECUTIVE VIEW" sheetId="3" state="visible" r:id="rId3"/>
    <sheet xmlns:r="http://schemas.openxmlformats.org/officeDocument/2006/relationships" name="04 ISSUES FOR REVIEW" sheetId="4" state="visible" r:id="rId4"/>
    <sheet xmlns:r="http://schemas.openxmlformats.org/officeDocument/2006/relationships" name="05 INTEGRATION HEALTH" sheetId="5" state="visible" r:id="rId5"/>
    <sheet xmlns:r="http://schemas.openxmlformats.org/officeDocument/2006/relationships" name="06 INTEGRATED PROJECT" sheetId="6" state="visible" r:id="rId6"/>
    <sheet xmlns:r="http://schemas.openxmlformats.org/officeDocument/2006/relationships" name="07 CHANGES &amp; REVALIDATION" sheetId="7" state="visible" r:id="rId7"/>
    <sheet xmlns:r="http://schemas.openxmlformats.org/officeDocument/2006/relationships" name="08 CROSSWALK" sheetId="8" state="visible" r:id="rId8"/>
    <sheet xmlns:r="http://schemas.openxmlformats.org/officeDocument/2006/relationships" name="09 WBS EXPLORER" sheetId="9" state="visible" r:id="rId9"/>
    <sheet xmlns:r="http://schemas.openxmlformats.org/officeDocument/2006/relationships" name="10 EVIDENCE &amp; DECISIONS" sheetId="10" state="visible" r:id="rId10"/>
    <sheet xmlns:r="http://schemas.openxmlformats.org/officeDocument/2006/relationships" name="11 SOURCES &amp; PROVENANCE" sheetId="11" state="visible" r:id="rId11"/>
    <sheet xmlns:r="http://schemas.openxmlformats.org/officeDocument/2006/relationships" name="12 ASSURANCE" sheetId="12" state="visible" r:id="rId12"/>
    <sheet xmlns:r="http://schemas.openxmlformats.org/officeDocument/2006/relationships" name="13 REVISIONS &amp; PERIODS" sheetId="13" state="visible" r:id="rId13"/>
    <sheet xmlns:r="http://schemas.openxmlformats.org/officeDocument/2006/relationships" name="14 WBS HIERARCHY" sheetId="14" state="visible" r:id="rId14"/>
    <sheet xmlns:r="http://schemas.openxmlformats.org/officeDocument/2006/relationships" name="15 ANALYSIS" sheetId="15" state="visible" r:id="rId15"/>
    <sheet xmlns:r="http://schemas.openxmlformats.org/officeDocument/2006/relationships" name="MASTER DATA" sheetId="16" state="visible" r:id="rId16"/>
    <sheet xmlns:r="http://schemas.openxmlformats.org/officeDocument/2006/relationships" name="OWNER WBS" sheetId="17" state="visible" r:id="rId17"/>
    <sheet xmlns:r="http://schemas.openxmlformats.org/officeDocument/2006/relationships" name="RELATIONSHIP EXPLORER" sheetId="18" state="visible" r:id="rId18"/>
    <sheet xmlns:r="http://schemas.openxmlformats.org/officeDocument/2006/relationships" name="UNRESOLVED" sheetId="19" state="visible" r:id="rId19"/>
    <sheet xmlns:r="http://schemas.openxmlformats.org/officeDocument/2006/relationships" name="HISTORY" sheetId="20" state="visible" r:id="rId20"/>
    <sheet xmlns:r="http://schemas.openxmlformats.org/officeDocument/2006/relationships" name="SUMMARY" sheetId="21" state="visible" r:id="rId21"/>
  </sheets>
  <definedNames>
    <definedName name="WBSLINK_GOVERNED_RECORDS">'MASTER DATA'!$A$1:$W$1627</definedName>
    <definedName name="_xlnm.Print_Area" localSheetId="0">'01 PROJECT'!$A$2:$D$22</definedName>
    <definedName name="_xlnm.Print_Area" localSheetId="1">'02 START HERE'!$A$1:$H$71</definedName>
    <definedName name="_xlnm.Print_Area" localSheetId="2">'03 EXECUTIVE VIEW'!$A$1:$I$205,'03 EXECUTIVE VIEW'!$K$208:$Q$225,'03 EXECUTIVE VIEW'!$K$227:$Q$243</definedName>
    <definedName name="_xlnm._FilterDatabase" localSheetId="3" hidden="1">'04 ISSUES FOR REVIEW'!$A$5:$H$8</definedName>
    <definedName name="_xlnm._FilterDatabase" localSheetId="4" hidden="1">'05 INTEGRATION HEALTH'!$A$5:$I$11</definedName>
    <definedName name="_xlnm.Print_Area" localSheetId="4">'05 INTEGRATION HEALTH'!$A$1:$I$14,'05 INTEGRATION HEALTH'!$A$16:$I$27,'05 INTEGRATION HEALTH'!$K$3:$O$14</definedName>
    <definedName name="_xlnm._FilterDatabase" localSheetId="5" hidden="1">'06 INTEGRATED PROJECT'!$A$5:$J$85</definedName>
    <definedName name="_xlnm._FilterDatabase" localSheetId="6" hidden="1">'07 CHANGES &amp; REVALIDATION'!$A$12:$H$1637</definedName>
    <definedName name="_xlnm._FilterDatabase" localSheetId="7" hidden="1">'08 CROSSWALK'!$A$5:$N$1631</definedName>
    <definedName name="_xlnm._FilterDatabase" localSheetId="8" hidden="1">'09 WBS EXPLORER'!$A$5:$K$85</definedName>
    <definedName name="_xlnm._FilterDatabase" localSheetId="9" hidden="1">'10 EVIDENCE &amp; DECISIONS'!$A$5:$J$1631</definedName>
    <definedName name="_xlnm._FilterDatabase" localSheetId="12" hidden="1">'13 REVISIONS &amp; PERIODS'!$A$18:$P$25</definedName>
    <definedName name="_xlnm._FilterDatabase" localSheetId="13" hidden="1">'14 WBS HIERARCHY'!$A$6:$J$85</definedName>
    <definedName name="_xlnm._FilterDatabase" localSheetId="15" hidden="1">'MASTER DATA'!$A$1:$W$1627</definedName>
    <definedName name="_xlnm._FilterDatabase" localSheetId="16" hidden="1">'OWNER WBS'!$A$1:$H$80</definedName>
    <definedName name="_xlnm._FilterDatabase" localSheetId="17" hidden="1">'RELATIONSHIP EXPLORER'!$A$1:$J$81</definedName>
  </definedNames>
  <calcPr calcId="124519" fullCalcOnLoad="1"/>
</workbook>
</file>

<file path=xl/styles.xml><?xml version="1.0" encoding="utf-8"?>
<styleSheet xmlns="http://schemas.openxmlformats.org/spreadsheetml/2006/main">
  <numFmts count="0"/>
  <fonts count="48">
    <font>
      <name val="Calibri"/>
      <family val="2"/>
      <color theme="1"/>
      <sz val="11"/>
      <scheme val="minor"/>
    </font>
    <font>
      <name val="Archivo"/>
      <b val="1"/>
      <color rgb="008F5A28"/>
      <sz val="10"/>
    </font>
    <font>
      <name val="Archivo"/>
      <b val="1"/>
      <color rgb="00121A2E"/>
      <sz val="28"/>
    </font>
    <font>
      <name val="Archivo"/>
      <b val="1"/>
      <color rgb="001B2A4A"/>
      <sz val="17"/>
    </font>
    <font>
      <name val="Archivo"/>
      <b val="1"/>
      <color rgb="00121A2E"/>
      <sz val="17"/>
    </font>
    <font>
      <name val="Archivo"/>
      <b val="1"/>
      <color rgb="00565B64"/>
      <sz val="9"/>
    </font>
    <font>
      <name val="Archivo"/>
      <color rgb="00121A2E"/>
      <sz val="9"/>
    </font>
    <font>
      <name val="Archivo"/>
      <i val="1"/>
      <color rgb="00565B64"/>
      <sz val="10"/>
    </font>
    <font>
      <name val="Archivo"/>
      <color rgb="008F5A28"/>
      <sz val="9"/>
      <u val="single"/>
    </font>
    <font>
      <name val="Archivo"/>
      <b val="1"/>
      <color rgb="00121A2E"/>
      <sz val="20"/>
    </font>
    <font>
      <name val="Archivo"/>
      <color rgb="00565B64"/>
      <sz val="9"/>
    </font>
    <font>
      <name val="Archivo"/>
      <b val="1"/>
      <color rgb="008F5A28"/>
      <sz val="8"/>
      <u val="single"/>
    </font>
    <font>
      <name val="Archivo"/>
      <b val="1"/>
      <color rgb="00FFFFFF"/>
      <sz val="9"/>
    </font>
    <font>
      <name val="Archivo"/>
      <b val="1"/>
      <color rgb="00121A2E"/>
      <sz val="11"/>
    </font>
    <font>
      <name val="Archivo"/>
      <b val="1"/>
      <color rgb="00565B64"/>
      <sz val="10"/>
    </font>
    <font>
      <name val="Archivo"/>
      <b val="1"/>
      <color rgb="00121A2E"/>
      <sz val="16"/>
    </font>
    <font>
      <name val="Archivo"/>
      <b val="1"/>
      <color rgb="008F5A28"/>
      <sz val="9"/>
    </font>
    <font>
      <name val="Archivo"/>
      <b val="1"/>
      <color rgb="00121A2E"/>
      <sz val="13"/>
    </font>
    <font>
      <name val="Archivo"/>
      <i val="1"/>
      <color rgb="00565B64"/>
      <sz val="8"/>
    </font>
    <font>
      <name val="Archivo"/>
      <b val="1"/>
      <color rgb="00121A2E"/>
      <sz val="12"/>
    </font>
    <font>
      <name val="Archivo"/>
      <color rgb="00121A2E"/>
      <sz val="10"/>
    </font>
    <font>
      <name val="Archivo"/>
      <i val="1"/>
      <color rgb="00565B64"/>
      <sz val="11"/>
    </font>
    <font>
      <name val="Archivo"/>
      <b val="1"/>
      <color rgb="00FFFFFF"/>
      <sz val="11"/>
    </font>
    <font>
      <name val="Archivo"/>
      <color rgb="00121A2E"/>
      <sz val="11"/>
    </font>
    <font>
      <name val="Archivo"/>
      <b val="1"/>
      <color rgb="00121A2E"/>
      <sz val="10"/>
    </font>
    <font>
      <name val="Archivo"/>
      <b val="1"/>
      <color rgb="00FFFFFF"/>
      <sz val="8"/>
    </font>
    <font>
      <name val="Archivo"/>
      <color rgb="00121A2E"/>
      <sz val="8"/>
    </font>
    <font>
      <name val="Archivo"/>
      <b val="1"/>
      <color rgb="00A66A2C"/>
      <sz val="10"/>
    </font>
    <font>
      <name val="Archivo"/>
      <b val="1"/>
      <color rgb="00121A2E"/>
      <sz val="9"/>
    </font>
    <font>
      <name val="Archivo"/>
      <b val="1"/>
      <color rgb="00121A2E"/>
      <sz val="14"/>
    </font>
    <font>
      <name val="Archivo"/>
      <b val="1"/>
      <color rgb="002F6B4F"/>
      <sz val="12"/>
    </font>
    <font>
      <name val="Archivo"/>
      <b val="1"/>
      <color rgb="00121A2E"/>
      <sz val="15"/>
    </font>
    <font>
      <name val="Archivo"/>
      <i val="1"/>
      <color rgb="00565B64"/>
      <sz val="9"/>
    </font>
    <font>
      <name val="Archivo"/>
      <b val="1"/>
      <color rgb="0024304D"/>
      <sz val="10"/>
    </font>
    <font>
      <name val="Archivo"/>
      <b val="1"/>
      <color rgb="008F5A28"/>
      <sz val="11"/>
    </font>
    <font>
      <name val="Archivo"/>
      <b val="1"/>
      <color rgb="00565B64"/>
      <sz val="11"/>
    </font>
    <font>
      <name val="Archivo"/>
      <color rgb="008F5A28"/>
      <sz val="11"/>
      <u val="single"/>
    </font>
    <font>
      <name val="Archivo"/>
      <color rgb="00565B64"/>
      <sz val="11"/>
    </font>
    <font>
      <name val="Archivo"/>
      <b val="1"/>
      <color rgb="008F5A28"/>
      <sz val="11"/>
      <u val="single"/>
    </font>
    <font>
      <name val="Archivo"/>
      <family val="2"/>
      <color theme="1"/>
      <sz val="11"/>
      <scheme val="minor"/>
    </font>
    <font>
      <name val="Archivo"/>
      <b val="1"/>
      <color rgb="0024304D"/>
      <sz val="11"/>
    </font>
    <font>
      <name val="Archivo"/>
      <color rgb="00121A2E"/>
      <sz val="13"/>
    </font>
    <font>
      <name val="Archivo"/>
      <b val="1"/>
      <color rgb="00121A2E"/>
      <sz val="14"/>
      <u val="single"/>
    </font>
    <font>
      <name val="Archivo"/>
      <b val="1"/>
      <color rgb="00121A2E"/>
      <sz val="22"/>
    </font>
    <font>
      <name val="Archivo"/>
      <color rgb="00121A2E"/>
      <sz val="12"/>
    </font>
    <font>
      <name val="Archivo"/>
      <b val="1"/>
      <color rgb="00121A2E"/>
      <sz val="11"/>
      <u val="single"/>
    </font>
    <font>
      <name val="Archivo"/>
      <b val="1"/>
      <color rgb="00121A2E"/>
      <sz val="13"/>
      <u val="single"/>
    </font>
    <font>
      <name val="Archivo"/>
      <b val="1"/>
      <color rgb="00121A2E"/>
      <sz val="12"/>
      <u val="single"/>
    </font>
  </fonts>
  <fills count="6">
    <fill>
      <patternFill/>
    </fill>
    <fill>
      <patternFill patternType="gray125"/>
    </fill>
    <fill>
      <patternFill patternType="solid">
        <fgColor rgb="00121A2E"/>
      </patternFill>
    </fill>
    <fill>
      <patternFill patternType="solid">
        <fgColor rgb="00F5E9DA"/>
      </patternFill>
    </fill>
    <fill>
      <patternFill patternType="solid">
        <fgColor rgb="00F5F5F3"/>
      </patternFill>
    </fill>
    <fill>
      <patternFill patternType="solid">
        <fgColor rgb="00E7F0EB"/>
      </patternFill>
    </fill>
  </fills>
  <borders count="4">
    <border>
      <left/>
      <right/>
      <top/>
      <bottom/>
      <diagonal/>
    </border>
    <border>
      <bottom style="thin">
        <color rgb="00EAEAE6"/>
      </bottom>
    </border>
    <border>
      <right/>
      <bottom style="thin">
        <color rgb="00EAEAE6"/>
      </bottom>
    </border>
    <border>
      <left/>
      <right/>
      <top/>
      <bottom style="thin">
        <color rgb="00EAEAE6"/>
      </bottom>
      <diagonal/>
    </border>
  </borders>
  <cellStyleXfs count="1">
    <xf numFmtId="0" fontId="0" fillId="0" borderId="0"/>
  </cellStyleXfs>
  <cellXfs count="68">
    <xf numFmtId="0" fontId="0" fillId="0" borderId="0" pivotButton="0" quotePrefix="0" xfId="0"/>
    <xf numFmtId="0" fontId="13" fillId="0" borderId="0" applyAlignment="1" pivotButton="0" quotePrefix="0" xfId="0">
      <alignment vertical="center" wrapText="1"/>
    </xf>
    <xf numFmtId="0" fontId="2" fillId="0" borderId="0" applyAlignment="1" pivotButton="0" quotePrefix="0" xfId="0">
      <alignment vertical="center" wrapText="1"/>
    </xf>
    <xf numFmtId="0" fontId="4" fillId="0" borderId="0" applyAlignment="1" pivotButton="0" quotePrefix="0" xfId="0">
      <alignment vertical="center" wrapText="1"/>
    </xf>
    <xf numFmtId="0" fontId="35" fillId="0" borderId="0" applyAlignment="1" pivotButton="0" quotePrefix="0" xfId="0">
      <alignment vertical="top" wrapText="1"/>
    </xf>
    <xf numFmtId="0" fontId="23" fillId="0" borderId="0" applyAlignment="1" pivotButton="0" quotePrefix="0" xfId="0">
      <alignment vertical="center" wrapText="1"/>
    </xf>
    <xf numFmtId="0" fontId="41" fillId="4" borderId="0" applyAlignment="1" pivotButton="0" quotePrefix="0" xfId="0">
      <alignment vertical="center" wrapText="1"/>
    </xf>
    <xf numFmtId="0" fontId="0" fillId="4" borderId="0" pivotButton="0" quotePrefix="0" xfId="0"/>
    <xf numFmtId="0" fontId="15" fillId="4" borderId="0" applyAlignment="1" pivotButton="0" quotePrefix="0" xfId="0">
      <alignment vertical="center" wrapText="1"/>
    </xf>
    <xf numFmtId="0" fontId="9" fillId="0" borderId="0" applyAlignment="1" pivotButton="0" quotePrefix="0" xfId="0">
      <alignment vertical="top" wrapText="1"/>
    </xf>
    <xf numFmtId="0" fontId="37" fillId="0" borderId="0" applyAlignment="1" pivotButton="0" quotePrefix="0" xfId="0">
      <alignment vertical="top" wrapText="1"/>
    </xf>
    <xf numFmtId="0" fontId="38" fillId="0" borderId="0" applyAlignment="1" pivotButton="0" quotePrefix="0" xfId="0">
      <alignment horizontal="left" vertical="top" wrapText="1"/>
    </xf>
    <xf numFmtId="0" fontId="22" fillId="2" borderId="0" applyAlignment="1" pivotButton="0" quotePrefix="0" xfId="0">
      <alignment vertical="top" wrapText="1"/>
    </xf>
    <xf numFmtId="0" fontId="15" fillId="0" borderId="0" applyAlignment="1" pivotButton="0" quotePrefix="0" xfId="0">
      <alignment vertical="center" wrapText="1"/>
    </xf>
    <xf numFmtId="0" fontId="36" fillId="0" borderId="1" applyAlignment="1" pivotButton="0" quotePrefix="0" xfId="0">
      <alignment vertical="top" wrapText="1"/>
    </xf>
    <xf numFmtId="0" fontId="23" fillId="0" borderId="2" applyAlignment="1" pivotButton="0" quotePrefix="0" xfId="0">
      <alignment vertical="center" wrapText="1"/>
    </xf>
    <xf numFmtId="0" fontId="0" fillId="0" borderId="3" pivotButton="0" quotePrefix="0" xfId="0"/>
    <xf numFmtId="0" fontId="42" fillId="4" borderId="0" applyAlignment="1" pivotButton="0" quotePrefix="0" xfId="0">
      <alignment vertical="center" wrapText="1"/>
    </xf>
    <xf numFmtId="0" fontId="8" fillId="0" borderId="1" applyAlignment="1" pivotButton="0" quotePrefix="0" xfId="0">
      <alignment vertical="top"/>
    </xf>
    <xf numFmtId="0" fontId="6" fillId="0" borderId="1" applyAlignment="1" pivotButton="0" quotePrefix="0" xfId="0">
      <alignment vertical="top" wrapText="1"/>
    </xf>
    <xf numFmtId="0" fontId="17" fillId="3" borderId="0" applyAlignment="1" pivotButton="0" quotePrefix="0" xfId="0">
      <alignment vertical="center" wrapText="1"/>
    </xf>
    <xf numFmtId="0" fontId="0" fillId="3" borderId="0" pivotButton="0" quotePrefix="0" xfId="0"/>
    <xf numFmtId="0" fontId="13" fillId="0" borderId="0" applyAlignment="1" pivotButton="0" quotePrefix="0" xfId="0">
      <alignment vertical="top" wrapText="1"/>
    </xf>
    <xf numFmtId="0" fontId="23" fillId="0" borderId="1" applyAlignment="1" pivotButton="0" quotePrefix="0" xfId="0">
      <alignment vertical="top" wrapText="1"/>
    </xf>
    <xf numFmtId="0" fontId="39" fillId="0" borderId="0" applyAlignment="1" pivotButton="0" quotePrefix="0" xfId="0">
      <alignment vertical="top" wrapText="1"/>
    </xf>
    <xf numFmtId="0" fontId="9" fillId="4" borderId="0" applyAlignment="1" pivotButton="0" quotePrefix="0" xfId="0">
      <alignment vertical="top" wrapText="1"/>
    </xf>
    <xf numFmtId="0" fontId="23" fillId="0" borderId="0" applyAlignment="1" pivotButton="0" quotePrefix="0" xfId="0">
      <alignment vertical="top" wrapText="1"/>
    </xf>
    <xf numFmtId="0" fontId="34" fillId="0" borderId="0" applyAlignment="1" pivotButton="0" quotePrefix="0" xfId="0">
      <alignment vertical="top" wrapText="1"/>
    </xf>
    <xf numFmtId="0" fontId="9" fillId="0" borderId="0" applyAlignment="1" pivotButton="0" quotePrefix="0" xfId="0">
      <alignment horizontal="left" vertical="top"/>
    </xf>
    <xf numFmtId="0" fontId="36" fillId="0" borderId="0" applyAlignment="1" pivotButton="0" quotePrefix="0" xfId="0">
      <alignment vertical="top" wrapText="1"/>
    </xf>
    <xf numFmtId="0" fontId="17" fillId="0" borderId="0" applyAlignment="1" pivotButton="0" quotePrefix="0" xfId="0">
      <alignment vertical="top" wrapText="1"/>
    </xf>
    <xf numFmtId="0" fontId="21" fillId="0" borderId="0" applyAlignment="1" pivotButton="0" quotePrefix="0" xfId="0">
      <alignment vertical="top" wrapText="1"/>
    </xf>
    <xf numFmtId="0" fontId="19" fillId="0" borderId="0" applyAlignment="1" pivotButton="0" quotePrefix="0" xfId="0">
      <alignment vertical="top" wrapText="1"/>
    </xf>
    <xf numFmtId="3" fontId="23" fillId="0" borderId="1" applyAlignment="1" pivotButton="0" quotePrefix="0" xfId="0">
      <alignment vertical="top"/>
    </xf>
    <xf numFmtId="0" fontId="13" fillId="4" borderId="0" applyAlignment="1" pivotButton="0" quotePrefix="0" xfId="0">
      <alignment vertical="top" wrapText="1"/>
    </xf>
    <xf numFmtId="3" fontId="13" fillId="4" borderId="0" applyAlignment="1" pivotButton="0" quotePrefix="0" xfId="0">
      <alignment vertical="top"/>
    </xf>
    <xf numFmtId="0" fontId="23" fillId="0" borderId="1" applyAlignment="1" pivotButton="0" quotePrefix="0" xfId="0">
      <alignment vertical="top"/>
    </xf>
    <xf numFmtId="0" fontId="23" fillId="0" borderId="2" applyAlignment="1" pivotButton="0" quotePrefix="0" xfId="0">
      <alignment vertical="top" wrapText="1"/>
    </xf>
    <xf numFmtId="0" fontId="43" fillId="0" borderId="0" applyAlignment="1" pivotButton="0" quotePrefix="0" xfId="0">
      <alignment vertical="center" wrapText="1"/>
    </xf>
    <xf numFmtId="0" fontId="44" fillId="0" borderId="0" applyAlignment="1" pivotButton="0" quotePrefix="0" xfId="0">
      <alignment vertical="center" wrapText="1"/>
    </xf>
    <xf numFmtId="0" fontId="43" fillId="4" borderId="0" applyAlignment="1" pivotButton="0" quotePrefix="0" xfId="0">
      <alignment vertical="center" wrapText="1"/>
    </xf>
    <xf numFmtId="0" fontId="19" fillId="4" borderId="0" applyAlignment="1" pivotButton="0" quotePrefix="0" xfId="0">
      <alignment vertical="center" wrapText="1"/>
    </xf>
    <xf numFmtId="0" fontId="19" fillId="0" borderId="0" applyAlignment="1" pivotButton="0" quotePrefix="0" xfId="0">
      <alignment vertical="center" wrapText="1"/>
    </xf>
    <xf numFmtId="0" fontId="19" fillId="3" borderId="0" applyAlignment="1" pivotButton="0" quotePrefix="0" xfId="0">
      <alignment vertical="center" wrapText="1"/>
    </xf>
    <xf numFmtId="0" fontId="17" fillId="0" borderId="0" applyAlignment="1" pivotButton="0" quotePrefix="0" xfId="0">
      <alignment vertical="center" wrapText="1"/>
    </xf>
    <xf numFmtId="0" fontId="45" fillId="0" borderId="0" applyAlignment="1" pivotButton="0" quotePrefix="0" xfId="0">
      <alignment vertical="center" wrapText="1"/>
    </xf>
    <xf numFmtId="0" fontId="46" fillId="4" borderId="0" applyAlignment="1" pivotButton="0" quotePrefix="0" xfId="0">
      <alignment vertical="center" wrapText="1"/>
    </xf>
    <xf numFmtId="0" fontId="17" fillId="4" borderId="0" applyAlignment="1" pivotButton="0" quotePrefix="0" xfId="0">
      <alignment vertical="center" wrapText="1"/>
    </xf>
    <xf numFmtId="0" fontId="47" fillId="4" borderId="0" applyAlignment="1" pivotButton="0" quotePrefix="0" xfId="0">
      <alignment vertical="center" wrapText="1"/>
    </xf>
    <xf numFmtId="0" fontId="23" fillId="5" borderId="1" applyAlignment="1" pivotButton="0" quotePrefix="0" xfId="0">
      <alignment vertical="top" wrapText="1"/>
    </xf>
    <xf numFmtId="0" fontId="23" fillId="0" borderId="0" applyAlignment="1" pivotButton="0" quotePrefix="0" xfId="0">
      <alignment vertical="top"/>
    </xf>
    <xf numFmtId="0" fontId="23" fillId="3" borderId="1" applyAlignment="1" pivotButton="0" quotePrefix="0" xfId="0">
      <alignment vertical="top" wrapText="1"/>
    </xf>
    <xf numFmtId="0" fontId="36" fillId="0" borderId="2" applyAlignment="1" pivotButton="0" quotePrefix="0" xfId="0">
      <alignment vertical="top" wrapText="1"/>
    </xf>
    <xf numFmtId="0" fontId="40" fillId="0" borderId="0" applyAlignment="1" pivotButton="0" quotePrefix="0" xfId="0">
      <alignment vertical="top" wrapText="1"/>
    </xf>
    <xf numFmtId="0" fontId="13" fillId="0" borderId="1" applyAlignment="1" pivotButton="0" quotePrefix="0" xfId="0">
      <alignment vertical="top" wrapText="1"/>
    </xf>
    <xf numFmtId="0" fontId="13" fillId="0" borderId="1" applyAlignment="1" pivotButton="0" quotePrefix="0" xfId="0">
      <alignment vertical="top"/>
    </xf>
    <xf numFmtId="0" fontId="13" fillId="0" borderId="1" applyAlignment="1" pivotButton="0" quotePrefix="0" xfId="0">
      <alignment vertical="top" wrapText="1" indent="1"/>
    </xf>
    <xf numFmtId="0" fontId="23" fillId="0" borderId="1" applyAlignment="1" pivotButton="0" quotePrefix="0" xfId="0">
      <alignment vertical="top" wrapText="1" indent="2"/>
    </xf>
    <xf numFmtId="0" fontId="23" fillId="0" borderId="1" applyAlignment="1" pivotButton="0" quotePrefix="0" xfId="0">
      <alignment vertical="top" wrapText="1" indent="3"/>
    </xf>
    <xf numFmtId="0" fontId="23" fillId="0" borderId="1" applyAlignment="1" pivotButton="0" quotePrefix="0" xfId="0">
      <alignment vertical="top" wrapText="1" indent="4"/>
    </xf>
    <xf numFmtId="0" fontId="29" fillId="0" borderId="0" applyAlignment="1" pivotButton="0" quotePrefix="0" xfId="0">
      <alignment vertical="top"/>
    </xf>
    <xf numFmtId="0" fontId="30" fillId="0" borderId="0" applyAlignment="1" pivotButton="0" quotePrefix="0" xfId="0">
      <alignment vertical="top" wrapText="1"/>
    </xf>
    <xf numFmtId="0" fontId="35" fillId="0" borderId="1" applyAlignment="1" pivotButton="0" quotePrefix="0" xfId="0">
      <alignment vertical="top" wrapText="1"/>
    </xf>
    <xf numFmtId="0" fontId="13" fillId="0" borderId="2" applyAlignment="1" pivotButton="0" quotePrefix="0" xfId="0">
      <alignment vertical="top" wrapText="1"/>
    </xf>
    <xf numFmtId="0" fontId="37" fillId="0" borderId="1" applyAlignment="1" pivotButton="0" quotePrefix="0" xfId="0">
      <alignment vertical="top" wrapText="1"/>
    </xf>
    <xf numFmtId="0" fontId="23" fillId="0" borderId="1" applyAlignment="1" pivotButton="0" quotePrefix="0" xfId="0">
      <alignment vertical="top" wrapText="1" indent="1"/>
    </xf>
    <xf numFmtId="0" fontId="31" fillId="0" borderId="0" applyAlignment="1" pivotButton="0" quotePrefix="0" xfId="0">
      <alignment vertical="top" wrapText="1"/>
    </xf>
    <xf numFmtId="3" fontId="23" fillId="0" borderId="0" applyAlignment="1" pivotButton="0" quotePrefix="0" xfId="0">
      <alignment vertical="top" wrapText="1"/>
    </xf>
  </cellXfs>
  <cellStyles count="1">
    <cellStyle name="Normal" xfId="0" builtinId="0" hidden="0"/>
  </cellStyles>
  <dxfs count="1">
    <dxf>
      <font>
        <name val="Archivo"/>
        <color rgb="00121A2E"/>
      </font>
      <fill>
        <patternFill patternType="solid">
          <fgColor rgb="00F5E9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400" b="1">
                <a:solidFill>
                  <a:srgbClr val="121A2E"/>
                </a:solidFill>
                <a:latin typeface="Archivo"/>
              </a:defRPr>
            </a:pPr>
            <a:r>
              <a:t>Figure 01 | Schedule and cost coverage</a:t>
            </a:r>
          </a:p>
        </rich>
      </tx>
    </title>
    <plotArea>
      <barChart>
        <barDir val="bar"/>
        <grouping val="clustered"/>
        <ser>
          <idx val="0"/>
          <order val="0"/>
          <spPr>
            <a:solidFill xmlns:a="http://schemas.openxmlformats.org/drawingml/2006/main">
              <a:srgbClr val="121A2E"/>
            </a:solidFill>
            <a:ln xmlns:a="http://schemas.openxmlformats.org/drawingml/2006/main">
              <a:solidFill>
                <a:srgbClr val="121A2E"/>
              </a:solidFill>
              <a:prstDash val="solid"/>
            </a:ln>
          </spPr>
          <dLbls>
            <numFmt formatCode="#,##0;-#,##0;0"/>
            <txPr>
              <a:bodyPr xmlns:a="http://schemas.openxmlformats.org/drawingml/2006/main"/>
              <a:p xmlns:a="http://schemas.openxmlformats.org/drawingml/2006/main">
                <a:pPr>
                  <a:defRPr sz="1200" b="1">
                    <a:solidFill>
                      <a:srgbClr val="121A2E"/>
                    </a:solidFill>
                    <a:latin typeface="Archivo"/>
                  </a:defRPr>
                </a:pPr>
                <a:r>
                  <a:t/>
                </a:r>
                <a:endParaRPr sz="1200" b="1">
                  <a:solidFill>
                    <a:srgbClr val="121A2E"/>
                  </a:solidFill>
                  <a:latin typeface="Archivo"/>
                </a:endParaRPr>
              </a:p>
            </txPr>
            <showLegendKey val="0"/>
            <showVal val="1"/>
            <showCatName val="0"/>
            <showSerName val="0"/>
            <showPercent val="0"/>
            <showLeaderLines val="0"/>
          </dLbls>
          <cat>
            <numRef>
              <f>'03 EXECUTIVE VIEW'!$A$105:$A$108</f>
            </numRef>
          </cat>
          <val>
            <numRef>
              <f>'03 EXECUTIVE VIEW'!$C$105:$C$108</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1200" b="0">
                <a:solidFill>
                  <a:srgbClr val="121A2E"/>
                </a:solidFill>
                <a:latin typeface="Archivo"/>
              </a:defRPr>
            </a:pPr>
            <a:r>
              <a:t/>
            </a:r>
            <a:endParaRPr sz="1200" b="0">
              <a:solidFill>
                <a:srgbClr val="121A2E"/>
              </a:solidFill>
              <a:latin typeface="Archivo"/>
            </a:endParaRPr>
          </a:p>
        </txPr>
        <crossAx val="100"/>
        <lblOffset val="100"/>
      </catAx>
      <valAx>
        <axId val="100"/>
        <scaling>
          <orientation val="minMax"/>
        </scaling>
        <delete val="1"/>
        <axPos val="l"/>
        <majorTickMark val="none"/>
        <minorTickMark val="none"/>
        <crossAx val="10"/>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sz="1400" b="1">
                <a:solidFill>
                  <a:srgbClr val="121A2E"/>
                </a:solidFill>
                <a:latin typeface="Archivo"/>
              </a:defRPr>
            </a:pPr>
            <a:r>
              <a:t>Figure 02 | Current source outcomes</a:t>
            </a:r>
          </a:p>
        </rich>
      </tx>
    </title>
    <plotArea>
      <barChart>
        <barDir val="bar"/>
        <grouping val="stacked"/>
        <ser>
          <idx val="0"/>
          <order val="0"/>
          <tx>
            <strRef>
              <f>'03 EXECUTIVE VIEW'!C129</f>
              <strCache>
                <ptCount val="1"/>
                <pt idx="0">
                  <v>Related to a WBS element</v>
                </pt>
              </strCache>
            </strRef>
          </tx>
          <spPr>
            <a:solidFill xmlns:a="http://schemas.openxmlformats.org/drawingml/2006/main">
              <a:srgbClr val="121A2E"/>
            </a:solidFill>
            <a:ln xmlns:a="http://schemas.openxmlformats.org/drawingml/2006/main">
              <a:solidFill>
                <a:srgbClr val="121A2E"/>
              </a:solidFill>
              <a:prstDash val="solid"/>
            </a:ln>
          </spPr>
          <cat>
            <numRef>
              <f>'03 EXECUTIVE VIEW'!$A$130:$A$132</f>
            </numRef>
          </cat>
          <val>
            <numRef>
              <f>'03 EXECUTIVE VIEW'!$C$130:$C$132</f>
            </numRef>
          </val>
        </ser>
        <ser>
          <idx val="1"/>
          <order val="1"/>
          <tx>
            <strRef>
              <f>'03 EXECUTIVE VIEW'!E129</f>
              <strCache>
                <ptCount val="1"/>
                <pt idx="0">
                  <v>Recorded outside the WBS</v>
                </pt>
              </strCache>
            </strRef>
          </tx>
          <spPr>
            <a:solidFill xmlns:a="http://schemas.openxmlformats.org/drawingml/2006/main">
              <a:srgbClr val="B5793D"/>
            </a:solidFill>
            <a:pattFill xmlns:a="http://schemas.openxmlformats.org/drawingml/2006/main" prst="ltDnDiag">
              <a:fgClr>
                <a:srgbClr val="121A2E"/>
              </a:fgClr>
              <a:bgClr>
                <a:srgbClr val="FFFFFF"/>
              </a:bgClr>
            </a:pattFill>
            <a:ln xmlns:a="http://schemas.openxmlformats.org/drawingml/2006/main">
              <a:solidFill>
                <a:srgbClr val="B5793D"/>
              </a:solidFill>
              <a:prstDash val="solid"/>
            </a:ln>
          </spPr>
          <cat>
            <numRef>
              <f>'03 EXECUTIVE VIEW'!$A$130:$A$132</f>
            </numRef>
          </cat>
          <val>
            <numRef>
              <f>'03 EXECUTIVE VIEW'!$E$130:$E$132</f>
            </numRef>
          </val>
        </ser>
        <ser>
          <idx val="2"/>
          <order val="2"/>
          <tx>
            <strRef>
              <f>'03 EXECUTIVE VIEW'!G129</f>
              <strCache>
                <ptCount val="1"/>
                <pt idx="0">
                  <v>Left unresolved</v>
                </pt>
              </strCache>
            </strRef>
          </tx>
          <spPr>
            <a:solidFill xmlns:a="http://schemas.openxmlformats.org/drawingml/2006/main">
              <a:srgbClr val="8B8F97"/>
            </a:solidFill>
            <a:pattFill xmlns:a="http://schemas.openxmlformats.org/drawingml/2006/main" prst="pct20">
              <a:fgClr>
                <a:srgbClr val="121A2E"/>
              </a:fgClr>
              <a:bgClr>
                <a:srgbClr val="FFFFFF"/>
              </a:bgClr>
            </a:pattFill>
            <a:ln xmlns:a="http://schemas.openxmlformats.org/drawingml/2006/main">
              <a:solidFill>
                <a:srgbClr val="8B8F97"/>
              </a:solidFill>
              <a:prstDash val="solid"/>
            </a:ln>
          </spPr>
          <cat>
            <numRef>
              <f>'03 EXECUTIVE VIEW'!$A$130:$A$132</f>
            </numRef>
          </cat>
          <val>
            <numRef>
              <f>'03 EXECUTIVE VIEW'!$G$130:$G$132</f>
            </numRef>
          </val>
        </ser>
        <gapWidth val="55"/>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1200" b="0">
                <a:solidFill>
                  <a:srgbClr val="121A2E"/>
                </a:solidFill>
                <a:latin typeface="Archivo"/>
              </a:defRPr>
            </a:pPr>
            <a:r>
              <a:t/>
            </a:r>
            <a:endParaRPr sz="1200" b="0">
              <a:solidFill>
                <a:srgbClr val="121A2E"/>
              </a:solidFill>
              <a:latin typeface="Archivo"/>
            </a:endParaRPr>
          </a:p>
        </txPr>
        <crossAx val="100"/>
        <lblOffset val="100"/>
      </catAx>
      <valAx>
        <axId val="100"/>
        <scaling>
          <orientation val="minMax"/>
        </scaling>
        <delete val="1"/>
        <axPos val="l"/>
        <majorTickMark val="none"/>
        <minorTickMark val="none"/>
        <crossAx val="10"/>
      </valAx>
    </plotArea>
    <legend>
      <legendPos val="b"/>
      <txPr>
        <a:bodyPr xmlns:a="http://schemas.openxmlformats.org/drawingml/2006/main"/>
        <a:p xmlns:a="http://schemas.openxmlformats.org/drawingml/2006/main">
          <a:pPr>
            <a:defRPr sz="1200" b="0">
              <a:solidFill>
                <a:srgbClr val="121A2E"/>
              </a:solidFill>
              <a:latin typeface="Archivo"/>
            </a:defRPr>
          </a:pPr>
          <a:r>
            <a:t/>
          </a:r>
          <a:endParaRPr sz="1200" b="0">
            <a:solidFill>
              <a:srgbClr val="121A2E"/>
            </a:solidFill>
            <a:latin typeface="Archivo"/>
          </a:endParaRPr>
        </a:p>
      </txPr>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sz="1400" b="1">
                <a:solidFill>
                  <a:srgbClr val="121A2E"/>
                </a:solidFill>
                <a:latin typeface="Archivo"/>
              </a:defRPr>
            </a:pPr>
            <a:r>
              <a:t>Figure 03 | Reporting-cycle movement</a:t>
            </a:r>
          </a:p>
        </rich>
      </tx>
    </title>
    <plotArea>
      <barChart>
        <barDir val="bar"/>
        <grouping val="clustered"/>
        <ser>
          <idx val="0"/>
          <order val="0"/>
          <spPr>
            <a:solidFill xmlns:a="http://schemas.openxmlformats.org/drawingml/2006/main">
              <a:srgbClr val="8F5A28"/>
            </a:solidFill>
            <a:ln xmlns:a="http://schemas.openxmlformats.org/drawingml/2006/main">
              <a:solidFill>
                <a:srgbClr val="8F5A28"/>
              </a:solidFill>
              <a:prstDash val="solid"/>
            </a:ln>
          </spPr>
          <dLbls>
            <numFmt formatCode="#,##0;-#,##0;0"/>
            <txPr>
              <a:bodyPr xmlns:a="http://schemas.openxmlformats.org/drawingml/2006/main"/>
              <a:p xmlns:a="http://schemas.openxmlformats.org/drawingml/2006/main">
                <a:pPr>
                  <a:defRPr sz="1200" b="1">
                    <a:solidFill>
                      <a:srgbClr val="121A2E"/>
                    </a:solidFill>
                    <a:latin typeface="Archivo"/>
                  </a:defRPr>
                </a:pPr>
                <a:r>
                  <a:t/>
                </a:r>
                <a:endParaRPr sz="1200" b="1">
                  <a:solidFill>
                    <a:srgbClr val="121A2E"/>
                  </a:solidFill>
                  <a:latin typeface="Archivo"/>
                </a:endParaRPr>
              </a:p>
            </txPr>
            <showLegendKey val="0"/>
            <showVal val="1"/>
            <showCatName val="0"/>
            <showSerName val="0"/>
            <showPercent val="0"/>
            <showLeaderLines val="0"/>
          </dLbls>
          <cat>
            <numRef>
              <f>'03 EXECUTIVE VIEW'!$A$154:$A$158</f>
            </numRef>
          </cat>
          <val>
            <numRef>
              <f>'03 EXECUTIVE VIEW'!$C$154:$C$158</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1200" b="0">
                <a:solidFill>
                  <a:srgbClr val="121A2E"/>
                </a:solidFill>
                <a:latin typeface="Archivo"/>
              </a:defRPr>
            </a:pPr>
            <a:r>
              <a:t/>
            </a:r>
            <a:endParaRPr sz="1200" b="0">
              <a:solidFill>
                <a:srgbClr val="121A2E"/>
              </a:solidFill>
              <a:latin typeface="Archivo"/>
            </a:endParaRPr>
          </a:p>
        </txPr>
        <crossAx val="100"/>
        <lblOffset val="100"/>
      </catAx>
      <valAx>
        <axId val="100"/>
        <scaling>
          <orientation val="minMax"/>
        </scaling>
        <delete val="1"/>
        <axPos val="l"/>
        <majorTickMark val="none"/>
        <minorTickMark val="none"/>
        <crossAx val="10"/>
      </valAx>
    </plotArea>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sz="1400" b="1">
                <a:solidFill>
                  <a:srgbClr val="121A2E"/>
                </a:solidFill>
                <a:latin typeface="Archivo"/>
              </a:defRPr>
            </a:pPr>
            <a:r>
              <a:t>Figure 04 | Unresolved / outside WBS</a:t>
            </a:r>
          </a:p>
        </rich>
      </tx>
    </title>
    <plotArea>
      <barChart>
        <barDir val="bar"/>
        <grouping val="clustered"/>
        <ser>
          <idx val="0"/>
          <order val="0"/>
          <spPr>
            <a:solidFill xmlns:a="http://schemas.openxmlformats.org/drawingml/2006/main">
              <a:srgbClr val="A66A2C"/>
            </a:solidFill>
            <a:ln xmlns:a="http://schemas.openxmlformats.org/drawingml/2006/main">
              <a:solidFill>
                <a:srgbClr val="A66A2C"/>
              </a:solidFill>
              <a:prstDash val="solid"/>
            </a:ln>
          </spPr>
          <dLbls>
            <numFmt formatCode="#,##0;-#,##0;0"/>
            <txPr>
              <a:bodyPr xmlns:a="http://schemas.openxmlformats.org/drawingml/2006/main"/>
              <a:p xmlns:a="http://schemas.openxmlformats.org/drawingml/2006/main">
                <a:pPr>
                  <a:defRPr sz="1200" b="1">
                    <a:solidFill>
                      <a:srgbClr val="121A2E"/>
                    </a:solidFill>
                    <a:latin typeface="Archivo"/>
                  </a:defRPr>
                </a:pPr>
                <a:r>
                  <a:t/>
                </a:r>
                <a:endParaRPr sz="1200" b="1">
                  <a:solidFill>
                    <a:srgbClr val="121A2E"/>
                  </a:solidFill>
                  <a:latin typeface="Archivo"/>
                </a:endParaRPr>
              </a:p>
            </txPr>
            <showLegendKey val="0"/>
            <showVal val="1"/>
            <showCatName val="0"/>
            <showSerName val="0"/>
            <showPercent val="0"/>
            <showLeaderLines val="0"/>
          </dLbls>
          <cat>
            <numRef>
              <f>'03 EXECUTIVE VIEW'!$A$180:$A$182</f>
            </numRef>
          </cat>
          <val>
            <numRef>
              <f>'03 EXECUTIVE VIEW'!$C$180:$C$182</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1200" b="0">
                <a:solidFill>
                  <a:srgbClr val="121A2E"/>
                </a:solidFill>
                <a:latin typeface="Archivo"/>
              </a:defRPr>
            </a:pPr>
            <a:r>
              <a:t/>
            </a:r>
            <a:endParaRPr sz="1200" b="0">
              <a:solidFill>
                <a:srgbClr val="121A2E"/>
              </a:solidFill>
              <a:latin typeface="Archivo"/>
            </a:endParaRPr>
          </a:p>
        </txPr>
        <crossAx val="100"/>
        <lblOffset val="100"/>
      </catAx>
      <valAx>
        <axId val="100"/>
        <scaling>
          <orientation val="minMax"/>
        </scaling>
        <delete val="1"/>
        <axPos val="l"/>
        <majorTickMark val="none"/>
        <minorTickMark val="none"/>
        <crossAx val="10"/>
      </valAx>
    </plotArea>
    <plotVisOnly val="1"/>
    <dispBlanksAs val="gap"/>
  </chart>
</chartSpace>
</file>

<file path=xl/comments/comment1.xml><?xml version="1.0" encoding="utf-8"?>
<comments xmlns="http://schemas.openxmlformats.org/spreadsheetml/2006/main">
  <authors>
    <author>ZP Synergy Group</author>
  </authors>
  <commentList>
    <comment ref="A1" authorId="0" shapeId="0">
      <text>
        <t>PURPOSE
Publication identity, approved version and source-set orientation; then open the index.
Start with 02 START HERE. Executive / diagnostics / sources / assurance are separate tasks.</t>
      </text>
    </comment>
  </commentList>
</comments>
</file>

<file path=xl/comments/comment2.xml><?xml version="1.0" encoding="utf-8"?>
<comments xmlns="http://schemas.openxmlformats.org/spreadsheetml/2006/main">
  <authors>
    <author>ZP Synergy Group</author>
  </authors>
  <commentList>
    <comment ref="A1" authorId="0" shapeId="0">
      <text>
        <t>PURPOSE
Primary task index and discoverable supporting/advanced destinations.
Start with 02 START HERE. Executive / diagnostics / sources / assurance are separate tasks.</t>
      </text>
    </comment>
  </commentList>
</comments>
</file>

<file path=xl/comments/comment3.xml><?xml version="1.0" encoding="utf-8"?>
<comments xmlns="http://schemas.openxmlformats.org/spreadsheetml/2006/main">
  <authors>
    <author>ZP Synergy Group</author>
  </authors>
  <commentList>
    <comment ref="A1" authorId="0" shapeId="0">
      <text>
        <t>PURPOSE
Canonical executive decision surface and four retained native charts.
Start with 02 START HERE. Executive / diagnostics / sources / assurance are separate tasks.</t>
      </text>
    </comment>
  </commentList>
</comments>
</file>

<file path=xl/comments/comment4.xml><?xml version="1.0" encoding="utf-8"?>
<comments xmlns="http://schemas.openxmlformats.org/spreadsheetml/2006/main">
  <authors>
    <author>ZP Synergy Group</author>
  </authors>
  <commentList>
    <comment ref="A1" authorId="0" shapeId="0">
      <text>
        <t>PURPOSE
Exact governed matters and professional Actions; no materiality ranking.
Start with 02 START HERE. Executive / diagnostics / sources / assurance are separate tasks.</t>
      </text>
    </comment>
  </commentList>
</comments>
</file>

<file path=xl/comments/comment5.xml><?xml version="1.0" encoding="utf-8"?>
<comments xmlns="http://schemas.openxmlformats.org/spreadsheetml/2006/main">
  <authors>
    <author>ZP Synergy Group</author>
  </authors>
  <commentList>
    <comment ref="A1" authorId="0" shapeId="0">
      <text>
        <t>PURPOSE
Cross-view relationship availability and gated analytical populations.
Start with 02 START HERE. Executive / diagnostics / sources / assurance are separate tasks.</t>
      </text>
    </comment>
  </commentList>
</comments>
</file>

<file path=xl/comments/comment6.xml><?xml version="1.0" encoding="utf-8"?>
<comments xmlns="http://schemas.openxmlformats.org/spreadsheetml/2006/main">
  <authors>
    <author>ZP Synergy Group</author>
  </authors>
  <commentList>
    <comment ref="A1" authorId="0" shapeId="0">
      <text>
        <t>PURPOSE
Supporting cross-view projections by WBS; use 09 for first scope navigation.
Start with 02 START HERE. Executive / diagnostics / sources / assurance are separate tasks.</t>
      </text>
    </comment>
  </commentList>
</comments>
</file>

<file path=xl/comments/comment7.xml><?xml version="1.0" encoding="utf-8"?>
<comments xmlns="http://schemas.openxmlformats.org/spreadsheetml/2006/main">
  <authors>
    <author>ZP Synergy Group</author>
  </authors>
  <commentList>
    <comment ref="A1" authorId="0" shapeId="0">
      <text>
        <t>PURPOSE
Relationship change classification and separate revalidation.
Start with 02 START HERE. Executive / diagnostics / sources / assurance are separate tasks.</t>
      </text>
    </comment>
  </commentList>
</comments>
</file>

<file path=xl/comments/comment8.xml><?xml version="1.0" encoding="utf-8"?>
<comments xmlns="http://schemas.openxmlformats.org/spreadsheetml/2006/main">
  <authors>
    <author>ZP Synergy Group</author>
  </authors>
  <commentList>
    <comment ref="A1" authorId="0" shapeId="0">
      <text>
        <t>PURPOSE
Approved source-to-WBS targets; split targets are separate rows.
Start with 02 START HERE. Executive / diagnostics / sources / assurance are separate tasks.</t>
      </text>
    </comment>
  </commentList>
</comments>
</file>

<file path=xl/comments/comment9.xml><?xml version="1.0" encoding="utf-8"?>
<comments xmlns="http://schemas.openxmlformats.org/spreadsheetml/2006/main">
  <authors>
    <author>ZP Synergy Group</author>
  </authors>
  <commentList>
    <comment ref="A1" authorId="0" shapeId="0">
      <text>
        <t>PURPOSE
Primary scope navigation: distinct relationship coverage/status.
Start with 02 START HERE. Executive / diagnostics / sources / assurance are separate tasks.</t>
      </text>
    </comment>
  </commentList>
</comments>
</file>

<file path=xl/comments/comment10.xml><?xml version="1.0" encoding="utf-8"?>
<comments xmlns="http://schemas.openxmlformats.org/spreadsheetml/2006/main">
  <authors>
    <author>ZP Synergy Group</author>
  </authors>
  <commentList>
    <comment ref="A1" authorId="0" shapeId="0">
      <text>
        <t>PURPOSE
Source assertion, interpretation, contrary evidence and human decision.
Start with 02 START HERE. Executive / diagnostics / sources / assurance are separate tasks.</t>
      </text>
    </comment>
  </commentList>
</comments>
</file>

<file path=xl/comments/comment11.xml><?xml version="1.0" encoding="utf-8"?>
<comments xmlns="http://schemas.openxmlformats.org/spreadsheetml/2006/main">
  <authors>
    <author>ZP Synergy Group</author>
  </authors>
  <commentList>
    <comment ref="A1" authorId="0" shapeId="0">
      <text>
        <t>PURPOSE
Approval-time source revisions and representation integrity.
Start with 02 START HERE. Executive / diagnostics / sources / assurance are separate tasks.</t>
      </text>
    </comment>
  </commentList>
</comments>
</file>

<file path=xl/comments/comment12.xml><?xml version="1.0" encoding="utf-8"?>
<comments xmlns="http://schemas.openxmlformats.org/spreadsheetml/2006/main">
  <authors>
    <author>ZP Synergy Group</author>
  </authors>
  <commentList>
    <comment ref="A1" authorId="0" shapeId="0">
      <text>
        <t>PURPOSE
Withholding, metric ledger, evidence boundary and reconciliation.
Start with 02 START HERE. Executive / diagnostics / sources / assurance are separate tasks.</t>
      </text>
    </comment>
  </commentList>
</comments>
</file>

<file path=xl/comments/comment13.xml><?xml version="1.0" encoding="utf-8"?>
<comments xmlns="http://schemas.openxmlformats.org/spreadsheetml/2006/main">
  <authors>
    <author>ZP Synergy Group</author>
  </authors>
  <commentList>
    <comment ref="A1" authorId="0" shapeId="0">
      <text>
        <t>PURPOSE
Advanced revision lineage and reporting-period state of record.
Start with 02 START HERE. Executive / diagnostics / sources / assurance are separate tasks.</t>
      </text>
    </comment>
  </commentList>
</comments>
</file>

<file path=xl/comments/comment14.xml><?xml version="1.0" encoding="utf-8"?>
<comments xmlns="http://schemas.openxmlformats.org/spreadsheetml/2006/main">
  <authors>
    <author>ZP Synergy Group</author>
  </authors>
  <commentList>
    <comment ref="A1" authorId="0" shapeId="0">
      <text>
        <t>PURPOSE
Advanced approved scope tree and relationship ROW rollups; split/retired included unless filtered.
Start with 02 START HERE. Executive / diagnostics / sources / assurance are separate tasks.</t>
      </text>
    </comment>
  </commentList>
</comments>
</file>

<file path=xl/comments/comment15.xml><?xml version="1.0" encoding="utf-8"?>
<comments xmlns="http://schemas.openxmlformats.org/spreadsheetml/2006/main">
  <authors>
    <author>ZP Synergy Group</author>
  </authors>
  <commentList>
    <comment ref="A1" authorId="0" shapeId="0">
      <text>
        <t>PURPOSE
Advanced filter/formula analysis; not the executive first-use summary.
Start with 02 START HERE. Executive / diagnostics / sources / assurance are separate tasks.</t>
      </text>
    </comment>
  </commentList>
</comments>
</file>

<file path=xl/comments/comment16.xml><?xml version="1.0" encoding="utf-8"?>
<comments xmlns="http://schemas.openxmlformats.org/spreadsheetml/2006/main">
  <authors>
    <author>ZP Synergy Group</author>
  </authors>
  <commentList>
    <comment ref="A1" authorId="0" shapeId="0">
      <text>
        <t>PURPOSE
Compatibility/formula source table; one row per relationship target.
Start with 02 START HERE. Executive / diagnostics / sources / assurance are separate tasks.</t>
      </text>
    </comment>
  </commentList>
</comments>
</file>

<file path=xl/comments/comment17.xml><?xml version="1.0" encoding="utf-8"?>
<comments xmlns="http://schemas.openxmlformats.org/spreadsheetml/2006/main">
  <authors>
    <author>ZP Synergy Group</author>
  </authors>
  <commentList>
    <comment ref="A1" authorId="0" shapeId="0">
      <text>
        <t>PURPOSE
Approved Owner WBS source hierarchy; original names, ancestry and evidence.
Start with 02 START HERE. Executive / diagnostics / sources / assurance are separate tasks.</t>
      </text>
    </comment>
  </commentList>
</comments>
</file>

<file path=xl/comments/comment18.xml><?xml version="1.0" encoding="utf-8"?>
<comments xmlns="http://schemas.openxmlformats.org/spreadsheetml/2006/main">
  <authors>
    <author>ZP Synergy Group</author>
  </authors>
  <commentList>
    <comment ref="A1" authorId="0" shapeId="0">
      <text>
        <t>PURPOSE
Advanced formula-based target-row explorer; 09 is the primary scope view.
Start with 02 START HERE. Executive / diagnostics / sources / assurance are separate tasks.</t>
      </text>
    </comment>
  </commentList>
</comments>
</file>

<file path=xl/comments/comment19.xml><?xml version="1.0" encoding="utf-8"?>
<comments xmlns="http://schemas.openxmlformats.org/spreadsheetml/2006/main">
  <authors>
    <author>ZP Synergy Group</author>
  </authors>
  <commentList>
    <comment ref="A1" authorId="0" shapeId="0">
      <text>
        <t>PURPOSE
Supporting outcome records; uncertainty is not assessed outside scope.
Start with 02 START HERE. Executive / diagnostics / sources / assurance are separate tasks.</t>
      </text>
    </comment>
  </commentList>
</comments>
</file>

<file path=xl/comments/comment20.xml><?xml version="1.0" encoding="utf-8"?>
<comments xmlns="http://schemas.openxmlformats.org/spreadsheetml/2006/main">
  <authors>
    <author>ZP Synergy Group</author>
  </authors>
  <commentList>
    <comment ref="A1" authorId="0" shapeId="0">
      <text>
        <t>PURPOSE
Compatibility approved-version history; 13 provides revision lineage.
Start with 02 START HERE. Executive / diagnostics / sources / assurance are separate tasks.</t>
      </text>
    </comment>
  </commentList>
</comments>
</file>

<file path=xl/comments/comment21.xml><?xml version="1.0" encoding="utf-8"?>
<comments xmlns="http://schemas.openxmlformats.org/spreadsheetml/2006/main">
  <authors>
    <author>ZP Synergy Group</author>
  </authors>
  <commentList>
    <comment ref="A1" authorId="0" shapeId="0">
      <text>
        <t>PURPOSE
Compatibility calculations; 03 is the canonical executive decision surface.
Start with 02 START HERE. Executive / diagnostics / sources / assurance are separate tasks.</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29</row>
      <rowOff>0</rowOff>
    </from>
    <ext cx="3384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29</row>
      <rowOff>0</rowOff>
    </from>
    <ext cx="3384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59</row>
      <rowOff>0</rowOff>
    </from>
    <ext cx="3384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4</col>
      <colOff>0</colOff>
      <row>59</row>
      <rowOff>0</rowOff>
    </from>
    <ext cx="3384000" cy="25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2 START HERE'!A1"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03 EXECUTIVE VIEW'!K208" TargetMode="External" Id="rId1"/><Relationship Type="http://schemas.openxmlformats.org/officeDocument/2006/relationships/hyperlink" Target="#'04 ISSUES FOR REVIEW'!A1" TargetMode="External" Id="rId2"/><Relationship Type="http://schemas.openxmlformats.org/officeDocument/2006/relationships/hyperlink" Target="#'05 INTEGRATION HEALTH'!A1" TargetMode="External" Id="rId3"/><Relationship Type="http://schemas.openxmlformats.org/officeDocument/2006/relationships/hyperlink" Target="#'06 INTEGRATED PROJECT'!A1" TargetMode="External" Id="rId4"/><Relationship Type="http://schemas.openxmlformats.org/officeDocument/2006/relationships/hyperlink" Target="#'07 CHANGES &amp; REVALIDATION'!A1" TargetMode="External" Id="rId5"/><Relationship Type="http://schemas.openxmlformats.org/officeDocument/2006/relationships/hyperlink" Target="#'08 CROSSWALK'!A1" TargetMode="External" Id="rId6"/><Relationship Type="http://schemas.openxmlformats.org/officeDocument/2006/relationships/hyperlink" Target="#'10 EVIDENCE &amp; DECISIONS'!A1" TargetMode="External" Id="rId7"/><Relationship Type="http://schemas.openxmlformats.org/officeDocument/2006/relationships/hyperlink" Target="#'11 SOURCES &amp; PROVENANCE'!A1" TargetMode="External" Id="rId8"/><Relationship Type="http://schemas.openxmlformats.org/officeDocument/2006/relationships/hyperlink" Target="#'03 EXECUTIVE VIEW'!K208" TargetMode="External" Id="rId9"/><Relationship Type="http://schemas.openxmlformats.org/officeDocument/2006/relationships/hyperlink" Target="#'03 EXECUTIVE VIEW'!K208" TargetMode="External" Id="rId10"/><Relationship Type="http://schemas.openxmlformats.org/officeDocument/2006/relationships/hyperlink" Target="#'04 ISSUES FOR REVIEW'!A1" TargetMode="External" Id="rId11"/><Relationship Type="http://schemas.openxmlformats.org/officeDocument/2006/relationships/hyperlink" Target="#'09 WBS EXPLORER'!A1" TargetMode="External" Id="rId12"/><Relationship Type="http://schemas.openxmlformats.org/officeDocument/2006/relationships/hyperlink" Target="#'04 ISSUES FOR REVIEW'!A1" TargetMode="External" Id="rId13"/><Relationship Type="http://schemas.openxmlformats.org/officeDocument/2006/relationships/hyperlink" Target="#'08 CROSSWALK'!A1" TargetMode="External" Id="rId14"/><Relationship Type="http://schemas.openxmlformats.org/officeDocument/2006/relationships/hyperlink" Target="#'10 EVIDENCE &amp; DECISIONS'!A1" TargetMode="External" Id="rId15"/><Relationship Type="http://schemas.openxmlformats.org/officeDocument/2006/relationships/hyperlink" Target="#'08 CROSSWALK'!A1" TargetMode="External" Id="rId16"/><Relationship Type="http://schemas.openxmlformats.org/officeDocument/2006/relationships/hyperlink" Target="#'07 CHANGES &amp; REVALIDATION'!A1" TargetMode="External" Id="rId17"/><Relationship Type="http://schemas.openxmlformats.org/officeDocument/2006/relationships/hyperlink" Target="#'11 SOURCES &amp; PROVENANCE'!A1" TargetMode="External" Id="rId18"/><Relationship Type="http://schemas.openxmlformats.org/officeDocument/2006/relationships/hyperlink" Target="#'10 EVIDENCE &amp; DECISIONS'!A1" TargetMode="External" Id="rId19"/><Relationship Type="http://schemas.openxmlformats.org/officeDocument/2006/relationships/hyperlink" Target="#'12 ASSURANCE'!A1" TargetMode="External" Id="rId20"/><Relationship Type="http://schemas.openxmlformats.org/officeDocument/2006/relationships/hyperlink" Target="#'13 REVISIONS &amp; PERIODS'!A1" TargetMode="External" Id="rId21"/><Relationship Type="http://schemas.openxmlformats.org/officeDocument/2006/relationships/hyperlink" Target="#'14 WBS HIERARCHY'!A1" TargetMode="External" Id="rId22"/><Relationship Type="http://schemas.openxmlformats.org/officeDocument/2006/relationships/hyperlink" Target="#'15 ANALYSIS'!A1" TargetMode="External" Id="rId23"/><Relationship Type="http://schemas.openxmlformats.org/officeDocument/2006/relationships/hyperlink" Target="#'03 EXECUTIVE VIEW'!K208" TargetMode="External" Id="rId24"/><Relationship Type="http://schemas.openxmlformats.org/officeDocument/2006/relationships/hyperlink" Target="#'04 ISSUES FOR REVIEW'!A1" TargetMode="External" Id="rId25"/><Relationship Type="http://schemas.openxmlformats.org/officeDocument/2006/relationships/hyperlink" Target="#'10 EVIDENCE &amp; DECISIONS'!A1" TargetMode="External" Id="rId26"/><Relationship Type="http://schemas.openxmlformats.org/officeDocument/2006/relationships/hyperlink" Target="#'11 SOURCES &amp; PROVENANCE'!A1" TargetMode="External" Id="rId27"/><Relationship Type="http://schemas.openxmlformats.org/officeDocument/2006/relationships/hyperlink" Target="#'05 INTEGRATION HEALTH'!A1" TargetMode="External" Id="rId28"/><Relationship Type="http://schemas.openxmlformats.org/officeDocument/2006/relationships/hyperlink" Target="#'05 INTEGRATION HEALTH'!A1" TargetMode="External" Id="rId29"/><Relationship Type="http://schemas.openxmlformats.org/officeDocument/2006/relationships/hyperlink" Target="#'06 INTEGRATED PROJECT'!A1" TargetMode="External" Id="rId30"/><Relationship Type="http://schemas.openxmlformats.org/officeDocument/2006/relationships/hyperlink" Target="#'MASTER DATA'!A1" TargetMode="External" Id="rId31"/><Relationship Type="http://schemas.openxmlformats.org/officeDocument/2006/relationships/hyperlink" Target="#'OWNER WBS'!A1" TargetMode="External" Id="rId32"/><Relationship Type="http://schemas.openxmlformats.org/officeDocument/2006/relationships/hyperlink" Target="#'RELATIONSHIP EXPLORER'!A1" TargetMode="External" Id="rId33"/><Relationship Type="http://schemas.openxmlformats.org/officeDocument/2006/relationships/hyperlink" Target="#'UNRESOLVED'!A1" TargetMode="External" Id="rId34"/><Relationship Type="http://schemas.openxmlformats.org/officeDocument/2006/relationships/hyperlink" Target="#'HISTORY'!A1" TargetMode="External" Id="rId35"/><Relationship Type="http://schemas.openxmlformats.org/officeDocument/2006/relationships/hyperlink" Target="#'SUMMARY'!A1" TargetMode="External" Id="rId36"/><Relationship Type="http://schemas.openxmlformats.org/officeDocument/2006/relationships/hyperlink" Target="#'01 PROJECT'!A1" TargetMode="External" Id="rId37"/><Relationship Type="http://schemas.openxmlformats.org/officeDocument/2006/relationships/hyperlink" Target="#'02 START HERE'!A1" TargetMode="External" Id="rId38"/><Relationship Type="http://schemas.openxmlformats.org/officeDocument/2006/relationships/hyperlink" Target="#'03 EXECUTIVE VIEW'!K208" TargetMode="External" Id="rId39"/><Relationship Type="http://schemas.openxmlformats.org/officeDocument/2006/relationships/hyperlink" Target="#'04 ISSUES FOR REVIEW'!A1" TargetMode="External" Id="rId40"/><Relationship Type="http://schemas.openxmlformats.org/officeDocument/2006/relationships/hyperlink" Target="#'05 INTEGRATION HEALTH'!A1" TargetMode="External" Id="rId41"/><Relationship Type="http://schemas.openxmlformats.org/officeDocument/2006/relationships/hyperlink" Target="#'06 INTEGRATED PROJECT'!A1" TargetMode="External" Id="rId42"/><Relationship Type="http://schemas.openxmlformats.org/officeDocument/2006/relationships/hyperlink" Target="#'07 CHANGES &amp; REVALIDATION'!A1" TargetMode="External" Id="rId43"/><Relationship Type="http://schemas.openxmlformats.org/officeDocument/2006/relationships/hyperlink" Target="#'08 CROSSWALK'!A1" TargetMode="External" Id="rId44"/><Relationship Type="http://schemas.openxmlformats.org/officeDocument/2006/relationships/hyperlink" Target="#'09 WBS EXPLORER'!A1" TargetMode="External" Id="rId45"/><Relationship Type="http://schemas.openxmlformats.org/officeDocument/2006/relationships/hyperlink" Target="#'10 EVIDENCE &amp; DECISIONS'!A1" TargetMode="External" Id="rId46"/><Relationship Type="http://schemas.openxmlformats.org/officeDocument/2006/relationships/hyperlink" Target="#'11 SOURCES &amp; PROVENANCE'!A1" TargetMode="External" Id="rId47"/><Relationship Type="http://schemas.openxmlformats.org/officeDocument/2006/relationships/hyperlink" Target="#'12 ASSURANCE'!A1" TargetMode="External" Id="rId48"/><Relationship Type="http://schemas.openxmlformats.org/officeDocument/2006/relationships/hyperlink" Target="#'13 REVISIONS &amp; PERIODS'!A1" TargetMode="External" Id="rId49"/><Relationship Type="http://schemas.openxmlformats.org/officeDocument/2006/relationships/hyperlink" Target="#'14 WBS HIERARCHY'!A1" TargetMode="External" Id="rId50"/><Relationship Type="http://schemas.openxmlformats.org/officeDocument/2006/relationships/hyperlink" Target="#'15 ANALYSIS'!A1" TargetMode="External" Id="rId51"/><Relationship Type="http://schemas.openxmlformats.org/officeDocument/2006/relationships/hyperlink" Target="#'MASTER DATA'!A1" TargetMode="External" Id="rId52"/><Relationship Type="http://schemas.openxmlformats.org/officeDocument/2006/relationships/hyperlink" Target="#'OWNER WBS'!A1" TargetMode="External" Id="rId53"/><Relationship Type="http://schemas.openxmlformats.org/officeDocument/2006/relationships/hyperlink" Target="#'RELATIONSHIP EXPLORER'!A1" TargetMode="External" Id="rId54"/><Relationship Type="http://schemas.openxmlformats.org/officeDocument/2006/relationships/hyperlink" Target="#'UNRESOLVED'!A1" TargetMode="External" Id="rId55"/><Relationship Type="http://schemas.openxmlformats.org/officeDocument/2006/relationships/hyperlink" Target="#'HISTORY'!A1" TargetMode="External" Id="rId56"/><Relationship Type="http://schemas.openxmlformats.org/officeDocument/2006/relationships/hyperlink" Target="#'SUMMARY'!A1" TargetMode="External" Id="rId57"/><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hyperlink" Target="#'03 EXECUTIVE VIEW'!K208" TargetMode="External" Id="rId1"/><Relationship Type="http://schemas.openxmlformats.org/officeDocument/2006/relationships/hyperlink" Target="#'04 ISSUES FOR REVIEW'!A1" TargetMode="External" Id="rId2"/><Relationship Type="http://schemas.openxmlformats.org/officeDocument/2006/relationships/hyperlink" Target="#'05 INTEGRATION HEALTH'!A1" TargetMode="External" Id="rId3"/><Relationship Type="http://schemas.openxmlformats.org/officeDocument/2006/relationships/hyperlink" Target="#'06 INTEGRATED PROJECT'!A1" TargetMode="External" Id="rId4"/><Relationship Type="http://schemas.openxmlformats.org/officeDocument/2006/relationships/hyperlink" Target="#'07 CHANGES &amp; REVALIDATION'!A1" TargetMode="External" Id="rId5"/><Relationship Type="http://schemas.openxmlformats.org/officeDocument/2006/relationships/hyperlink" Target="#'08 CROSSWALK'!A1" TargetMode="External" Id="rId6"/><Relationship Type="http://schemas.openxmlformats.org/officeDocument/2006/relationships/hyperlink" Target="#'10 EVIDENCE &amp; DECISIONS'!A1" TargetMode="External" Id="rId7"/><Relationship Type="http://schemas.openxmlformats.org/officeDocument/2006/relationships/hyperlink" Target="#'11 SOURCES &amp; PROVENANCE'!A1" TargetMode="External" Id="rId8"/><Relationship Type="http://schemas.openxmlformats.org/officeDocument/2006/relationships/hyperlink" Target="#'04 ISSUES FOR REVIEW'!A1" TargetMode="External" Id="rId9"/><Relationship Type="http://schemas.openxmlformats.org/officeDocument/2006/relationships/hyperlink" Target="#'05 INTEGRATION HEALTH'!A1" TargetMode="External" Id="rId10"/><Relationship Type="http://schemas.openxmlformats.org/officeDocument/2006/relationships/hyperlink" Target="#'07 CHANGES &amp; REVALIDATION'!A1" TargetMode="External" Id="rId11"/><Relationship Type="http://schemas.openxmlformats.org/officeDocument/2006/relationships/hyperlink" Target="#'08 CROSSWALK'!A1" TargetMode="External" Id="rId12"/><Relationship Type="http://schemas.openxmlformats.org/officeDocument/2006/relationships/hyperlink" Target="#'04 ISSUES FOR REVIEW'!A1" TargetMode="External" Id="rId13"/><Relationship Type="http://schemas.openxmlformats.org/officeDocument/2006/relationships/hyperlink" Target="#'08 CROSSWALK'!A1" TargetMode="External" Id="rId14"/><Relationship Type="http://schemas.openxmlformats.org/officeDocument/2006/relationships/hyperlink" Target="#'05 INTEGRATION HEALTH'!A1" TargetMode="External" Id="rId15"/><Relationship Type="http://schemas.openxmlformats.org/officeDocument/2006/relationships/hyperlink" Target="#'03 EXECUTIVE VIEW'!K227" TargetMode="External" Id="rId16"/><Relationship Type="http://schemas.openxmlformats.org/officeDocument/2006/relationships/hyperlink" Target="#'03 EXECUTIVE VIEW'!A30" TargetMode="External" Id="rId17"/><Relationship Type="http://schemas.openxmlformats.org/officeDocument/2006/relationships/hyperlink" Target="#'05 INTEGRATION HEALTH'!A1" TargetMode="External" Id="rId18"/><Relationship Type="http://schemas.openxmlformats.org/officeDocument/2006/relationships/hyperlink" Target="#'03 EXECUTIVE VIEW'!E30" TargetMode="External" Id="rId19"/><Relationship Type="http://schemas.openxmlformats.org/officeDocument/2006/relationships/hyperlink" Target="#'08 CROSSWALK'!A1" TargetMode="External" Id="rId20"/><Relationship Type="http://schemas.openxmlformats.org/officeDocument/2006/relationships/hyperlink" Target="#'03 EXECUTIVE VIEW'!A60" TargetMode="External" Id="rId21"/><Relationship Type="http://schemas.openxmlformats.org/officeDocument/2006/relationships/hyperlink" Target="#'07 CHANGES &amp; REVALIDATION'!A1" TargetMode="External" Id="rId22"/><Relationship Type="http://schemas.openxmlformats.org/officeDocument/2006/relationships/hyperlink" Target="#'03 EXECUTIVE VIEW'!E60" TargetMode="External" Id="rId23"/><Relationship Type="http://schemas.openxmlformats.org/officeDocument/2006/relationships/hyperlink" Target="#'10 EVIDENCE &amp; DECISIONS'!A1" TargetMode="External" Id="rId24"/><Relationship Type="http://schemas.openxmlformats.org/officeDocument/2006/relationships/drawing" Target="/xl/drawings/drawing1.xml" Id="rId25"/><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hyperlink" Target="#'03 EXECUTIVE VIEW'!K208" TargetMode="External" Id="rId1"/><Relationship Type="http://schemas.openxmlformats.org/officeDocument/2006/relationships/hyperlink" Target="#'04 ISSUES FOR REVIEW'!A1" TargetMode="External" Id="rId2"/><Relationship Type="http://schemas.openxmlformats.org/officeDocument/2006/relationships/hyperlink" Target="#'05 INTEGRATION HEALTH'!A1" TargetMode="External" Id="rId3"/><Relationship Type="http://schemas.openxmlformats.org/officeDocument/2006/relationships/hyperlink" Target="#'06 INTEGRATED PROJECT'!A1" TargetMode="External" Id="rId4"/><Relationship Type="http://schemas.openxmlformats.org/officeDocument/2006/relationships/hyperlink" Target="#'07 CHANGES &amp; REVALIDATION'!A1" TargetMode="External" Id="rId5"/><Relationship Type="http://schemas.openxmlformats.org/officeDocument/2006/relationships/hyperlink" Target="#'08 CROSSWALK'!A1" TargetMode="External" Id="rId6"/><Relationship Type="http://schemas.openxmlformats.org/officeDocument/2006/relationships/hyperlink" Target="#'10 EVIDENCE &amp; DECISIONS'!A1" TargetMode="External" Id="rId7"/><Relationship Type="http://schemas.openxmlformats.org/officeDocument/2006/relationships/hyperlink" Target="#'11 SOURCES &amp; PROVENANCE'!A1" TargetMode="External" Id="rId8"/><Relationship Type="http://schemas.openxmlformats.org/officeDocument/2006/relationships/hyperlink" Target="#'09 WBS EXPLORER'!A60" TargetMode="External" Id="rId9"/><Relationship Type="http://schemas.openxmlformats.org/officeDocument/2006/relationships/hyperlink" Target="#'05 INTEGRATION HEALTH'!A1" TargetMode="External" Id="rId10"/><Relationship Type="http://schemas.openxmlformats.org/officeDocument/2006/relationships/hyperlink" Target="#'09 WBS EXPLORER'!A73" TargetMode="External" Id="rId11"/><Relationship Type="http://schemas.openxmlformats.org/officeDocument/2006/relationships/hyperlink" Target="#'05 INTEGRATION HEALTH'!A1" TargetMode="External" Id="rId12"/><Relationship Type="http://schemas.openxmlformats.org/officeDocument/2006/relationships/hyperlink" Target="#'08 CROSSWALK'!A1" TargetMode="External" Id="rId13"/><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hyperlink" Target="#'03 EXECUTIVE VIEW'!K208" TargetMode="External" Id="rId1"/><Relationship Type="http://schemas.openxmlformats.org/officeDocument/2006/relationships/hyperlink" Target="#'04 ISSUES FOR REVIEW'!A1" TargetMode="External" Id="rId2"/><Relationship Type="http://schemas.openxmlformats.org/officeDocument/2006/relationships/hyperlink" Target="#'05 INTEGRATION HEALTH'!A1" TargetMode="External" Id="rId3"/><Relationship Type="http://schemas.openxmlformats.org/officeDocument/2006/relationships/hyperlink" Target="#'06 INTEGRATED PROJECT'!A1" TargetMode="External" Id="rId4"/><Relationship Type="http://schemas.openxmlformats.org/officeDocument/2006/relationships/hyperlink" Target="#'07 CHANGES &amp; REVALIDATION'!A1" TargetMode="External" Id="rId5"/><Relationship Type="http://schemas.openxmlformats.org/officeDocument/2006/relationships/hyperlink" Target="#'08 CROSSWALK'!A1" TargetMode="External" Id="rId6"/><Relationship Type="http://schemas.openxmlformats.org/officeDocument/2006/relationships/hyperlink" Target="#'10 EVIDENCE &amp; DECISIONS'!A1" TargetMode="External" Id="rId7"/><Relationship Type="http://schemas.openxmlformats.org/officeDocument/2006/relationships/hyperlink" Target="#'11 SOURCES &amp; PROVENANCE'!A1" TargetMode="External" Id="rId8"/><Relationship Type="http://schemas.openxmlformats.org/officeDocument/2006/relationships/hyperlink" Target="#'06 INTEGRATED PROJECT'!A8" TargetMode="External" Id="rId9"/><Relationship Type="http://schemas.openxmlformats.org/officeDocument/2006/relationships/hyperlink" Target="#'06 INTEGRATED PROJECT'!A21" TargetMode="External" Id="rId10"/><Relationship Type="http://schemas.openxmlformats.org/officeDocument/2006/relationships/hyperlink" Target="#'06 INTEGRATED PROJECT'!A34" TargetMode="External" Id="rId11"/><Relationship Type="http://schemas.openxmlformats.org/officeDocument/2006/relationships/hyperlink" Target="#'06 INTEGRATED PROJECT'!A47" TargetMode="External" Id="rId12"/><Relationship Type="http://schemas.openxmlformats.org/officeDocument/2006/relationships/hyperlink" Target="#'06 INTEGRATED PROJECT'!A60" TargetMode="External" Id="rId13"/><Relationship Type="http://schemas.openxmlformats.org/officeDocument/2006/relationships/hyperlink" Target="#'06 INTEGRATED PROJECT'!A73" TargetMode="External" Id="rId14"/><Relationship Type="http://schemas.openxmlformats.org/officeDocument/2006/relationships/hyperlink" Target="#'06 INTEGRATED PROJECT'!A1" TargetMode="External" Id="rId15"/><Relationship Type="http://schemas.openxmlformats.org/officeDocument/2006/relationships/hyperlink" Target="#'06 INTEGRATED PROJECT'!A1" TargetMode="External" Id="rId16"/><Relationship Type="http://schemas.openxmlformats.org/officeDocument/2006/relationships/hyperlink" Target="#'06 INTEGRATED PROJECT'!A1" TargetMode="External" Id="rId17"/><Relationship Type="http://schemas.openxmlformats.org/officeDocument/2006/relationships/hyperlink" Target="#'06 INTEGRATED PROJECT'!A1" TargetMode="External" Id="rId18"/><Relationship Type="http://schemas.openxmlformats.org/officeDocument/2006/relationships/hyperlink" Target="#'06 INTEGRATED PROJECT'!A1" TargetMode="External" Id="rId19"/><Relationship Type="http://schemas.openxmlformats.org/officeDocument/2006/relationships/hyperlink" Target="#'06 INTEGRATED PROJECT'!A1" TargetMode="External" Id="rId20"/><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hyperlink" Target="#'03 EXECUTIVE VIEW'!K208" TargetMode="External" Id="rId1"/><Relationship Type="http://schemas.openxmlformats.org/officeDocument/2006/relationships/hyperlink" Target="#'04 ISSUES FOR REVIEW'!A1" TargetMode="External" Id="rId2"/><Relationship Type="http://schemas.openxmlformats.org/officeDocument/2006/relationships/hyperlink" Target="#'05 INTEGRATION HEALTH'!A1" TargetMode="External" Id="rId3"/><Relationship Type="http://schemas.openxmlformats.org/officeDocument/2006/relationships/hyperlink" Target="#'06 INTEGRATED PROJECT'!A1" TargetMode="External" Id="rId4"/><Relationship Type="http://schemas.openxmlformats.org/officeDocument/2006/relationships/hyperlink" Target="#'07 CHANGES &amp; REVALIDATION'!A1" TargetMode="External" Id="rId5"/><Relationship Type="http://schemas.openxmlformats.org/officeDocument/2006/relationships/hyperlink" Target="#'08 CROSSWALK'!A1" TargetMode="External" Id="rId6"/><Relationship Type="http://schemas.openxmlformats.org/officeDocument/2006/relationships/hyperlink" Target="#'10 EVIDENCE &amp; DECISIONS'!A1" TargetMode="External" Id="rId7"/><Relationship Type="http://schemas.openxmlformats.org/officeDocument/2006/relationships/hyperlink" Target="#'11 SOURCES &amp; PROVENANCE'!A1" TargetMode="External" Id="rId8"/><Relationship Type="http://schemas.openxmlformats.org/officeDocument/2006/relationships/hyperlink" Target="#'08 CROSSWALK'!A1" TargetMode="External" Id="rId9"/><Relationship Type="http://schemas.openxmlformats.org/officeDocument/2006/relationships/hyperlink" Target="#'08 CROSSWALK'!A6" TargetMode="External" Id="rId10"/><Relationship Type="http://schemas.openxmlformats.org/officeDocument/2006/relationships/hyperlink" Target="#'08 CROSSWALK'!A6" TargetMode="External" Id="rId11"/><Relationship Type="http://schemas.openxmlformats.org/officeDocument/2006/relationships/hyperlink" Target="#'08 CROSSWALK'!A15" TargetMode="External" Id="rId12"/><Relationship Type="http://schemas.openxmlformats.org/officeDocument/2006/relationships/hyperlink" Target="#'08 CROSSWALK'!A1" TargetMode="External" Id="rId13"/><Relationship Type="http://schemas.openxmlformats.org/officeDocument/2006/relationships/hyperlink" Target="#'08 CROSSWALK'!A1" TargetMode="External" Id="rId14"/><Relationship Type="http://schemas.openxmlformats.org/officeDocument/2006/relationships/hyperlink" Target="#'08 CROSSWALK'!A175" TargetMode="External" Id="rId15"/><Relationship Type="http://schemas.openxmlformats.org/officeDocument/2006/relationships/hyperlink" Target="#'08 CROSSWALK'!A1" TargetMode="External" Id="rId16"/><Relationship Type="http://schemas.openxmlformats.org/officeDocument/2006/relationships/hyperlink" Target="#'08 CROSSWALK'!A1" TargetMode="External" Id="rId17"/><Relationship Type="http://schemas.openxmlformats.org/officeDocument/2006/relationships/hyperlink" Target="#'08 CROSSWALK'!A1" TargetMode="External" Id="rId18"/><Relationship Type="http://schemas.openxmlformats.org/officeDocument/2006/relationships/hyperlink" Target="#'08 CROSSWALK'!A1" TargetMode="External" Id="rId19"/><Relationship Type="http://schemas.openxmlformats.org/officeDocument/2006/relationships/hyperlink" Target="#'08 CROSSWALK'!A1" TargetMode="External" Id="rId20"/><Relationship Type="http://schemas.openxmlformats.org/officeDocument/2006/relationships/hyperlink" Target="#'08 CROSSWALK'!A1" TargetMode="External" Id="rId21"/><Relationship Type="http://schemas.openxmlformats.org/officeDocument/2006/relationships/hyperlink" Target="#'08 CROSSWALK'!A1" TargetMode="External" Id="rId22"/><Relationship Type="http://schemas.openxmlformats.org/officeDocument/2006/relationships/hyperlink" Target="#'08 CROSSWALK'!A1" TargetMode="External" Id="rId23"/><Relationship Type="http://schemas.openxmlformats.org/officeDocument/2006/relationships/hyperlink" Target="#'08 CROSSWALK'!A277" TargetMode="External" Id="rId24"/><Relationship Type="http://schemas.openxmlformats.org/officeDocument/2006/relationships/hyperlink" Target="#'08 CROSSWALK'!A289" TargetMode="External" Id="rId25"/><Relationship Type="http://schemas.openxmlformats.org/officeDocument/2006/relationships/hyperlink" Target="#'08 CROSSWALK'!A1" TargetMode="External" Id="rId26"/><Relationship Type="http://schemas.openxmlformats.org/officeDocument/2006/relationships/hyperlink" Target="#'08 CROSSWALK'!A1" TargetMode="External" Id="rId27"/><Relationship Type="http://schemas.openxmlformats.org/officeDocument/2006/relationships/hyperlink" Target="#'08 CROSSWALK'!A449" TargetMode="External" Id="rId28"/><Relationship Type="http://schemas.openxmlformats.org/officeDocument/2006/relationships/hyperlink" Target="#'08 CROSSWALK'!A1" TargetMode="External" Id="rId29"/><Relationship Type="http://schemas.openxmlformats.org/officeDocument/2006/relationships/hyperlink" Target="#'08 CROSSWALK'!A1" TargetMode="External" Id="rId30"/><Relationship Type="http://schemas.openxmlformats.org/officeDocument/2006/relationships/hyperlink" Target="#'08 CROSSWALK'!A1" TargetMode="External" Id="rId31"/><Relationship Type="http://schemas.openxmlformats.org/officeDocument/2006/relationships/hyperlink" Target="#'08 CROSSWALK'!A1" TargetMode="External" Id="rId32"/><Relationship Type="http://schemas.openxmlformats.org/officeDocument/2006/relationships/hyperlink" Target="#'08 CROSSWALK'!A1" TargetMode="External" Id="rId33"/><Relationship Type="http://schemas.openxmlformats.org/officeDocument/2006/relationships/hyperlink" Target="#'08 CROSSWALK'!A1" TargetMode="External" Id="rId34"/><Relationship Type="http://schemas.openxmlformats.org/officeDocument/2006/relationships/hyperlink" Target="#'08 CROSSWALK'!A1" TargetMode="External" Id="rId35"/><Relationship Type="http://schemas.openxmlformats.org/officeDocument/2006/relationships/hyperlink" Target="#'08 CROSSWALK'!A1" TargetMode="External" Id="rId36"/><Relationship Type="http://schemas.openxmlformats.org/officeDocument/2006/relationships/hyperlink" Target="#'08 CROSSWALK'!A549" TargetMode="External" Id="rId37"/><Relationship Type="http://schemas.openxmlformats.org/officeDocument/2006/relationships/hyperlink" Target="#'08 CROSSWALK'!A559" TargetMode="External" Id="rId38"/><Relationship Type="http://schemas.openxmlformats.org/officeDocument/2006/relationships/hyperlink" Target="#'08 CROSSWALK'!A1" TargetMode="External" Id="rId39"/><Relationship Type="http://schemas.openxmlformats.org/officeDocument/2006/relationships/hyperlink" Target="#'08 CROSSWALK'!A1" TargetMode="External" Id="rId40"/><Relationship Type="http://schemas.openxmlformats.org/officeDocument/2006/relationships/hyperlink" Target="#'08 CROSSWALK'!A718" TargetMode="External" Id="rId41"/><Relationship Type="http://schemas.openxmlformats.org/officeDocument/2006/relationships/hyperlink" Target="#'08 CROSSWALK'!A1" TargetMode="External" Id="rId42"/><Relationship Type="http://schemas.openxmlformats.org/officeDocument/2006/relationships/hyperlink" Target="#'08 CROSSWALK'!A1" TargetMode="External" Id="rId43"/><Relationship Type="http://schemas.openxmlformats.org/officeDocument/2006/relationships/hyperlink" Target="#'08 CROSSWALK'!A1" TargetMode="External" Id="rId44"/><Relationship Type="http://schemas.openxmlformats.org/officeDocument/2006/relationships/hyperlink" Target="#'08 CROSSWALK'!A1" TargetMode="External" Id="rId45"/><Relationship Type="http://schemas.openxmlformats.org/officeDocument/2006/relationships/hyperlink" Target="#'08 CROSSWALK'!A1" TargetMode="External" Id="rId46"/><Relationship Type="http://schemas.openxmlformats.org/officeDocument/2006/relationships/hyperlink" Target="#'08 CROSSWALK'!A1" TargetMode="External" Id="rId47"/><Relationship Type="http://schemas.openxmlformats.org/officeDocument/2006/relationships/hyperlink" Target="#'08 CROSSWALK'!A1" TargetMode="External" Id="rId48"/><Relationship Type="http://schemas.openxmlformats.org/officeDocument/2006/relationships/hyperlink" Target="#'08 CROSSWALK'!A1" TargetMode="External" Id="rId49"/><Relationship Type="http://schemas.openxmlformats.org/officeDocument/2006/relationships/hyperlink" Target="#'08 CROSSWALK'!A817" TargetMode="External" Id="rId50"/><Relationship Type="http://schemas.openxmlformats.org/officeDocument/2006/relationships/hyperlink" Target="#'08 CROSSWALK'!A827" TargetMode="External" Id="rId51"/><Relationship Type="http://schemas.openxmlformats.org/officeDocument/2006/relationships/hyperlink" Target="#'08 CROSSWALK'!A1" TargetMode="External" Id="rId52"/><Relationship Type="http://schemas.openxmlformats.org/officeDocument/2006/relationships/hyperlink" Target="#'08 CROSSWALK'!A1" TargetMode="External" Id="rId53"/><Relationship Type="http://schemas.openxmlformats.org/officeDocument/2006/relationships/hyperlink" Target="#'08 CROSSWALK'!A987" TargetMode="External" Id="rId54"/><Relationship Type="http://schemas.openxmlformats.org/officeDocument/2006/relationships/hyperlink" Target="#'08 CROSSWALK'!A1" TargetMode="External" Id="rId55"/><Relationship Type="http://schemas.openxmlformats.org/officeDocument/2006/relationships/hyperlink" Target="#'08 CROSSWALK'!A1" TargetMode="External" Id="rId56"/><Relationship Type="http://schemas.openxmlformats.org/officeDocument/2006/relationships/hyperlink" Target="#'08 CROSSWALK'!A1" TargetMode="External" Id="rId57"/><Relationship Type="http://schemas.openxmlformats.org/officeDocument/2006/relationships/hyperlink" Target="#'08 CROSSWALK'!A1" TargetMode="External" Id="rId58"/><Relationship Type="http://schemas.openxmlformats.org/officeDocument/2006/relationships/hyperlink" Target="#'08 CROSSWALK'!A1" TargetMode="External" Id="rId59"/><Relationship Type="http://schemas.openxmlformats.org/officeDocument/2006/relationships/hyperlink" Target="#'08 CROSSWALK'!A1" TargetMode="External" Id="rId60"/><Relationship Type="http://schemas.openxmlformats.org/officeDocument/2006/relationships/hyperlink" Target="#'08 CROSSWALK'!A1" TargetMode="External" Id="rId61"/><Relationship Type="http://schemas.openxmlformats.org/officeDocument/2006/relationships/hyperlink" Target="#'08 CROSSWALK'!A1" TargetMode="External" Id="rId62"/><Relationship Type="http://schemas.openxmlformats.org/officeDocument/2006/relationships/hyperlink" Target="#'08 CROSSWALK'!A1086" TargetMode="External" Id="rId63"/><Relationship Type="http://schemas.openxmlformats.org/officeDocument/2006/relationships/hyperlink" Target="#'08 CROSSWALK'!A1096" TargetMode="External" Id="rId64"/><Relationship Type="http://schemas.openxmlformats.org/officeDocument/2006/relationships/hyperlink" Target="#'08 CROSSWALK'!A1" TargetMode="External" Id="rId65"/><Relationship Type="http://schemas.openxmlformats.org/officeDocument/2006/relationships/hyperlink" Target="#'08 CROSSWALK'!A1" TargetMode="External" Id="rId66"/><Relationship Type="http://schemas.openxmlformats.org/officeDocument/2006/relationships/hyperlink" Target="#'08 CROSSWALK'!A1216" TargetMode="External" Id="rId67"/><Relationship Type="http://schemas.openxmlformats.org/officeDocument/2006/relationships/hyperlink" Target="#'08 CROSSWALK'!A1" TargetMode="External" Id="rId68"/><Relationship Type="http://schemas.openxmlformats.org/officeDocument/2006/relationships/hyperlink" Target="#'08 CROSSWALK'!A1" TargetMode="External" Id="rId69"/><Relationship Type="http://schemas.openxmlformats.org/officeDocument/2006/relationships/hyperlink" Target="#'08 CROSSWALK'!A1" TargetMode="External" Id="rId70"/><Relationship Type="http://schemas.openxmlformats.org/officeDocument/2006/relationships/hyperlink" Target="#'08 CROSSWALK'!A1" TargetMode="External" Id="rId71"/><Relationship Type="http://schemas.openxmlformats.org/officeDocument/2006/relationships/hyperlink" Target="#'08 CROSSWALK'!A1" TargetMode="External" Id="rId72"/><Relationship Type="http://schemas.openxmlformats.org/officeDocument/2006/relationships/hyperlink" Target="#'08 CROSSWALK'!A1" TargetMode="External" Id="rId73"/><Relationship Type="http://schemas.openxmlformats.org/officeDocument/2006/relationships/hyperlink" Target="#'08 CROSSWALK'!A1" TargetMode="External" Id="rId74"/><Relationship Type="http://schemas.openxmlformats.org/officeDocument/2006/relationships/hyperlink" Target="#'08 CROSSWALK'!A1" TargetMode="External" Id="rId75"/><Relationship Type="http://schemas.openxmlformats.org/officeDocument/2006/relationships/hyperlink" Target="#'08 CROSSWALK'!A1276" TargetMode="External" Id="rId76"/><Relationship Type="http://schemas.openxmlformats.org/officeDocument/2006/relationships/hyperlink" Target="#'08 CROSSWALK'!A1285" TargetMode="External" Id="rId77"/><Relationship Type="http://schemas.openxmlformats.org/officeDocument/2006/relationships/hyperlink" Target="#'08 CROSSWALK'!A1" TargetMode="External" Id="rId78"/><Relationship Type="http://schemas.openxmlformats.org/officeDocument/2006/relationships/hyperlink" Target="#'08 CROSSWALK'!A1" TargetMode="External" Id="rId79"/><Relationship Type="http://schemas.openxmlformats.org/officeDocument/2006/relationships/hyperlink" Target="#'08 CROSSWALK'!A1324" TargetMode="External" Id="rId80"/><Relationship Type="http://schemas.openxmlformats.org/officeDocument/2006/relationships/hyperlink" Target="#'08 CROSSWALK'!A1" TargetMode="External" Id="rId81"/><Relationship Type="http://schemas.openxmlformats.org/officeDocument/2006/relationships/hyperlink" Target="#'08 CROSSWALK'!A1" TargetMode="External" Id="rId82"/><Relationship Type="http://schemas.openxmlformats.org/officeDocument/2006/relationships/hyperlink" Target="#'08 CROSSWALK'!A1" TargetMode="External" Id="rId83"/><Relationship Type="http://schemas.openxmlformats.org/officeDocument/2006/relationships/hyperlink" Target="#'08 CROSSWALK'!A1" TargetMode="External" Id="rId84"/><Relationship Type="http://schemas.openxmlformats.org/officeDocument/2006/relationships/hyperlink" Target="#'08 CROSSWALK'!A1" TargetMode="External" Id="rId85"/><Relationship Type="http://schemas.openxmlformats.org/officeDocument/2006/relationships/hyperlink" Target="#'08 CROSSWALK'!A1" TargetMode="External" Id="rId86"/><Relationship Type="http://schemas.openxmlformats.org/officeDocument/2006/relationships/hyperlink" Target="#'08 CROSSWALK'!A1" TargetMode="External" Id="rId87"/><Relationship Type="http://schemas.openxmlformats.org/officeDocument/2006/relationships/hyperlink" Target="#'08 CROSSWALK'!A1" TargetMode="External" Id="rId88"/><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hyperlink" Target="#'03 EXECUTIVE VIEW'!K208" TargetMode="External" Id="rId1"/><Relationship Type="http://schemas.openxmlformats.org/officeDocument/2006/relationships/hyperlink" Target="#'04 ISSUES FOR REVIEW'!A1" TargetMode="External" Id="rId2"/><Relationship Type="http://schemas.openxmlformats.org/officeDocument/2006/relationships/hyperlink" Target="#'05 INTEGRATION HEALTH'!A1" TargetMode="External" Id="rId3"/><Relationship Type="http://schemas.openxmlformats.org/officeDocument/2006/relationships/hyperlink" Target="#'06 INTEGRATED PROJECT'!A1" TargetMode="External" Id="rId4"/><Relationship Type="http://schemas.openxmlformats.org/officeDocument/2006/relationships/hyperlink" Target="#'07 CHANGES &amp; REVALIDATION'!A1" TargetMode="External" Id="rId5"/><Relationship Type="http://schemas.openxmlformats.org/officeDocument/2006/relationships/hyperlink" Target="#'08 CROSSWALK'!A1" TargetMode="External" Id="rId6"/><Relationship Type="http://schemas.openxmlformats.org/officeDocument/2006/relationships/hyperlink" Target="#'10 EVIDENCE &amp; DECISIONS'!A1" TargetMode="External" Id="rId7"/><Relationship Type="http://schemas.openxmlformats.org/officeDocument/2006/relationships/hyperlink" Target="#'11 SOURCES &amp; PROVENANCE'!A1" TargetMode="External" Id="rId8"/><Relationship Type="http://schemas.openxmlformats.org/officeDocument/2006/relationships/hyperlink" Target="#'10 EVIDENCE &amp; DECISIONS'!A136" TargetMode="External" Id="rId9"/><Relationship Type="http://schemas.openxmlformats.org/officeDocument/2006/relationships/hyperlink" Target="#'10 EVIDENCE &amp; DECISIONS'!A134" TargetMode="External" Id="rId10"/><Relationship Type="http://schemas.openxmlformats.org/officeDocument/2006/relationships/hyperlink" Target="#'10 EVIDENCE &amp; DECISIONS'!A174" TargetMode="External" Id="rId11"/><Relationship Type="http://schemas.openxmlformats.org/officeDocument/2006/relationships/hyperlink" Target="#'10 EVIDENCE &amp; DECISIONS'!A238" TargetMode="External" Id="rId12"/><Relationship Type="http://schemas.openxmlformats.org/officeDocument/2006/relationships/hyperlink" Target="#'10 EVIDENCE &amp; DECISIONS'!A176" TargetMode="External" Id="rId13"/><Relationship Type="http://schemas.openxmlformats.org/officeDocument/2006/relationships/hyperlink" Target="#'10 EVIDENCE &amp; DECISIONS'!A278" TargetMode="External" Id="rId14"/><Relationship Type="http://schemas.openxmlformats.org/officeDocument/2006/relationships/hyperlink" Target="#'10 EVIDENCE &amp; DECISIONS'!A449" TargetMode="External" Id="rId15"/><Relationship Type="http://schemas.openxmlformats.org/officeDocument/2006/relationships/hyperlink" Target="#'10 EVIDENCE &amp; DECISIONS'!A1629" TargetMode="External" Id="rId16"/><Relationship Type="http://schemas.openxmlformats.org/officeDocument/2006/relationships/hyperlink" Target="#'10 EVIDENCE &amp; DECISIONS'!A1630" TargetMode="External" Id="rId17"/><Relationship Type="http://schemas.openxmlformats.org/officeDocument/2006/relationships/hyperlink" Target="#'10 EVIDENCE &amp; DECISIONS'!A1631" TargetMode="External" Id="rId18"/><Relationship Type="http://schemas.openxmlformats.org/officeDocument/2006/relationships/hyperlink" Target="#'10 EVIDENCE &amp; DECISIONS'!A1365" TargetMode="External" Id="rId19"/><Relationship Type="http://schemas.openxmlformats.org/officeDocument/2006/relationships/hyperlink" Target="#'10 EVIDENCE &amp; DECISIONS'!A1366" TargetMode="External" Id="rId20"/><Relationship Type="http://schemas.openxmlformats.org/officeDocument/2006/relationships/hyperlink" Target="#'10 EVIDENCE &amp; DECISIONS'!A6" TargetMode="External" Id="rId21"/><Relationship Type="http://schemas.openxmlformats.org/officeDocument/2006/relationships/hyperlink" Target="#'10 EVIDENCE &amp; DECISIONS'!A7" TargetMode="External" Id="rId22"/><Relationship Type="http://schemas.openxmlformats.org/officeDocument/2006/relationships/hyperlink" Target="#'10 EVIDENCE &amp; DECISIONS'!A8" TargetMode="External" Id="rId23"/><Relationship Type="http://schemas.openxmlformats.org/officeDocument/2006/relationships/hyperlink" Target="#'10 EVIDENCE &amp; DECISIONS'!A9" TargetMode="External" Id="rId24"/><Relationship Type="http://schemas.openxmlformats.org/officeDocument/2006/relationships/hyperlink" Target="#'10 EVIDENCE &amp; DECISIONS'!A10" TargetMode="External" Id="rId25"/><Relationship Type="http://schemas.openxmlformats.org/officeDocument/2006/relationships/hyperlink" Target="#'10 EVIDENCE &amp; DECISIONS'!A11" TargetMode="External" Id="rId26"/><Relationship Type="http://schemas.openxmlformats.org/officeDocument/2006/relationships/hyperlink" Target="#'10 EVIDENCE &amp; DECISIONS'!A12" TargetMode="External" Id="rId27"/><Relationship Type="http://schemas.openxmlformats.org/officeDocument/2006/relationships/hyperlink" Target="#'10 EVIDENCE &amp; DECISIONS'!A13" TargetMode="External" Id="rId28"/><Relationship Type="http://schemas.openxmlformats.org/officeDocument/2006/relationships/hyperlink" Target="#'10 EVIDENCE &amp; DECISIONS'!A14" TargetMode="External" Id="rId29"/><Relationship Type="http://schemas.openxmlformats.org/officeDocument/2006/relationships/hyperlink" Target="#'10 EVIDENCE &amp; DECISIONS'!A15" TargetMode="External" Id="rId30"/><Relationship Type="http://schemas.openxmlformats.org/officeDocument/2006/relationships/hyperlink" Target="#'10 EVIDENCE &amp; DECISIONS'!A20" TargetMode="External" Id="rId31"/><Relationship Type="http://schemas.openxmlformats.org/officeDocument/2006/relationships/hyperlink" Target="#'10 EVIDENCE &amp; DECISIONS'!A80" TargetMode="External" Id="rId32"/><Relationship Type="http://schemas.openxmlformats.org/officeDocument/2006/relationships/hyperlink" Target="#'10 EVIDENCE &amp; DECISIONS'!A81" TargetMode="External" Id="rId33"/><Relationship Type="http://schemas.openxmlformats.org/officeDocument/2006/relationships/hyperlink" Target="#'10 EVIDENCE &amp; DECISIONS'!A82" TargetMode="External" Id="rId34"/><Relationship Type="http://schemas.openxmlformats.org/officeDocument/2006/relationships/hyperlink" Target="#'10 EVIDENCE &amp; DECISIONS'!A83" TargetMode="External" Id="rId35"/><Relationship Type="http://schemas.openxmlformats.org/officeDocument/2006/relationships/hyperlink" Target="#'10 EVIDENCE &amp; DECISIONS'!A84" TargetMode="External" Id="rId36"/><Relationship Type="http://schemas.openxmlformats.org/officeDocument/2006/relationships/hyperlink" Target="#'10 EVIDENCE &amp; DECISIONS'!A85" TargetMode="External" Id="rId37"/><Relationship Type="http://schemas.openxmlformats.org/officeDocument/2006/relationships/hyperlink" Target="#'10 EVIDENCE &amp; DECISIONS'!A135" TargetMode="External" Id="rId38"/><Relationship Type="http://schemas.openxmlformats.org/officeDocument/2006/relationships/hyperlink" Target="#'10 EVIDENCE &amp; DECISIONS'!A137" TargetMode="External" Id="rId39"/><Relationship Type="http://schemas.openxmlformats.org/officeDocument/2006/relationships/hyperlink" Target="#'10 EVIDENCE &amp; DECISIONS'!A86" TargetMode="External" Id="rId40"/><Relationship Type="http://schemas.openxmlformats.org/officeDocument/2006/relationships/hyperlink" Target="#'10 EVIDENCE &amp; DECISIONS'!A138" TargetMode="External" Id="rId41"/><Relationship Type="http://schemas.openxmlformats.org/officeDocument/2006/relationships/hyperlink" Target="#'10 EVIDENCE &amp; DECISIONS'!A139" TargetMode="External" Id="rId42"/><Relationship Type="http://schemas.openxmlformats.org/officeDocument/2006/relationships/hyperlink" Target="#'10 EVIDENCE &amp; DECISIONS'!A140" TargetMode="External" Id="rId43"/><Relationship Type="http://schemas.openxmlformats.org/officeDocument/2006/relationships/hyperlink" Target="#'10 EVIDENCE &amp; DECISIONS'!A141" TargetMode="External" Id="rId44"/><Relationship Type="http://schemas.openxmlformats.org/officeDocument/2006/relationships/hyperlink" Target="#'10 EVIDENCE &amp; DECISIONS'!A142" TargetMode="External" Id="rId45"/><Relationship Type="http://schemas.openxmlformats.org/officeDocument/2006/relationships/hyperlink" Target="#'10 EVIDENCE &amp; DECISIONS'!A21" TargetMode="External" Id="rId46"/><Relationship Type="http://schemas.openxmlformats.org/officeDocument/2006/relationships/hyperlink" Target="#'10 EVIDENCE &amp; DECISIONS'!A87" TargetMode="External" Id="rId47"/><Relationship Type="http://schemas.openxmlformats.org/officeDocument/2006/relationships/hyperlink" Target="#'10 EVIDENCE &amp; DECISIONS'!A143" TargetMode="External" Id="rId48"/><Relationship Type="http://schemas.openxmlformats.org/officeDocument/2006/relationships/hyperlink" Target="#'10 EVIDENCE &amp; DECISIONS'!A144" TargetMode="External" Id="rId49"/><Relationship Type="http://schemas.openxmlformats.org/officeDocument/2006/relationships/hyperlink" Target="#'10 EVIDENCE &amp; DECISIONS'!A145" TargetMode="External" Id="rId50"/><Relationship Type="http://schemas.openxmlformats.org/officeDocument/2006/relationships/hyperlink" Target="#'10 EVIDENCE &amp; DECISIONS'!A146" TargetMode="External" Id="rId51"/><Relationship Type="http://schemas.openxmlformats.org/officeDocument/2006/relationships/hyperlink" Target="#'10 EVIDENCE &amp; DECISIONS'!A147" TargetMode="External" Id="rId52"/><Relationship Type="http://schemas.openxmlformats.org/officeDocument/2006/relationships/hyperlink" Target="#'10 EVIDENCE &amp; DECISIONS'!A148" TargetMode="External" Id="rId53"/><Relationship Type="http://schemas.openxmlformats.org/officeDocument/2006/relationships/hyperlink" Target="#'10 EVIDENCE &amp; DECISIONS'!A149" TargetMode="External" Id="rId54"/><Relationship Type="http://schemas.openxmlformats.org/officeDocument/2006/relationships/hyperlink" Target="#'10 EVIDENCE &amp; DECISIONS'!A150" TargetMode="External" Id="rId55"/><Relationship Type="http://schemas.openxmlformats.org/officeDocument/2006/relationships/hyperlink" Target="#'10 EVIDENCE &amp; DECISIONS'!A151" TargetMode="External" Id="rId56"/><Relationship Type="http://schemas.openxmlformats.org/officeDocument/2006/relationships/hyperlink" Target="#'10 EVIDENCE &amp; DECISIONS'!A152" TargetMode="External" Id="rId57"/><Relationship Type="http://schemas.openxmlformats.org/officeDocument/2006/relationships/hyperlink" Target="#'10 EVIDENCE &amp; DECISIONS'!A88" TargetMode="External" Id="rId58"/><Relationship Type="http://schemas.openxmlformats.org/officeDocument/2006/relationships/hyperlink" Target="#'10 EVIDENCE &amp; DECISIONS'!A153" TargetMode="External" Id="rId59"/><Relationship Type="http://schemas.openxmlformats.org/officeDocument/2006/relationships/hyperlink" Target="#'10 EVIDENCE &amp; DECISIONS'!A154" TargetMode="External" Id="rId60"/><Relationship Type="http://schemas.openxmlformats.org/officeDocument/2006/relationships/hyperlink" Target="#'10 EVIDENCE &amp; DECISIONS'!A155" TargetMode="External" Id="rId61"/><Relationship Type="http://schemas.openxmlformats.org/officeDocument/2006/relationships/hyperlink" Target="#'10 EVIDENCE &amp; DECISIONS'!A156" TargetMode="External" Id="rId62"/><Relationship Type="http://schemas.openxmlformats.org/officeDocument/2006/relationships/hyperlink" Target="#'10 EVIDENCE &amp; DECISIONS'!A157" TargetMode="External" Id="rId63"/><Relationship Type="http://schemas.openxmlformats.org/officeDocument/2006/relationships/hyperlink" Target="#'10 EVIDENCE &amp; DECISIONS'!A89" TargetMode="External" Id="rId64"/><Relationship Type="http://schemas.openxmlformats.org/officeDocument/2006/relationships/hyperlink" Target="#'10 EVIDENCE &amp; DECISIONS'!A158" TargetMode="External" Id="rId65"/><Relationship Type="http://schemas.openxmlformats.org/officeDocument/2006/relationships/hyperlink" Target="#'10 EVIDENCE &amp; DECISIONS'!A159" TargetMode="External" Id="rId66"/><Relationship Type="http://schemas.openxmlformats.org/officeDocument/2006/relationships/hyperlink" Target="#'10 EVIDENCE &amp; DECISIONS'!A160" TargetMode="External" Id="rId67"/><Relationship Type="http://schemas.openxmlformats.org/officeDocument/2006/relationships/hyperlink" Target="#'10 EVIDENCE &amp; DECISIONS'!A161" TargetMode="External" Id="rId68"/><Relationship Type="http://schemas.openxmlformats.org/officeDocument/2006/relationships/hyperlink" Target="#'10 EVIDENCE &amp; DECISIONS'!A162" TargetMode="External" Id="rId69"/><Relationship Type="http://schemas.openxmlformats.org/officeDocument/2006/relationships/hyperlink" Target="#'10 EVIDENCE &amp; DECISIONS'!A163" TargetMode="External" Id="rId70"/><Relationship Type="http://schemas.openxmlformats.org/officeDocument/2006/relationships/hyperlink" Target="#'10 EVIDENCE &amp; DECISIONS'!A164" TargetMode="External" Id="rId71"/><Relationship Type="http://schemas.openxmlformats.org/officeDocument/2006/relationships/hyperlink" Target="#'10 EVIDENCE &amp; DECISIONS'!A165" TargetMode="External" Id="rId72"/><Relationship Type="http://schemas.openxmlformats.org/officeDocument/2006/relationships/hyperlink" Target="#'10 EVIDENCE &amp; DECISIONS'!A166" TargetMode="External" Id="rId73"/><Relationship Type="http://schemas.openxmlformats.org/officeDocument/2006/relationships/hyperlink" Target="#'10 EVIDENCE &amp; DECISIONS'!A167" TargetMode="External" Id="rId74"/><Relationship Type="http://schemas.openxmlformats.org/officeDocument/2006/relationships/hyperlink" Target="#'10 EVIDENCE &amp; DECISIONS'!A90" TargetMode="External" Id="rId75"/><Relationship Type="http://schemas.openxmlformats.org/officeDocument/2006/relationships/hyperlink" Target="#'10 EVIDENCE &amp; DECISIONS'!A168" TargetMode="External" Id="rId76"/><Relationship Type="http://schemas.openxmlformats.org/officeDocument/2006/relationships/hyperlink" Target="#'10 EVIDENCE &amp; DECISIONS'!A169" TargetMode="External" Id="rId77"/><Relationship Type="http://schemas.openxmlformats.org/officeDocument/2006/relationships/hyperlink" Target="#'10 EVIDENCE &amp; DECISIONS'!A170" TargetMode="External" Id="rId78"/><Relationship Type="http://schemas.openxmlformats.org/officeDocument/2006/relationships/hyperlink" Target="#'10 EVIDENCE &amp; DECISIONS'!A171" TargetMode="External" Id="rId79"/><Relationship Type="http://schemas.openxmlformats.org/officeDocument/2006/relationships/hyperlink" Target="#'10 EVIDENCE &amp; DECISIONS'!A172" TargetMode="External" Id="rId80"/><Relationship Type="http://schemas.openxmlformats.org/officeDocument/2006/relationships/hyperlink" Target="#'10 EVIDENCE &amp; DECISIONS'!A91" TargetMode="External" Id="rId81"/><Relationship Type="http://schemas.openxmlformats.org/officeDocument/2006/relationships/hyperlink" Target="#'10 EVIDENCE &amp; DECISIONS'!A173" TargetMode="External" Id="rId82"/><Relationship Type="http://schemas.openxmlformats.org/officeDocument/2006/relationships/hyperlink" Target="#'10 EVIDENCE &amp; DECISIONS'!A92" TargetMode="External" Id="rId83"/><Relationship Type="http://schemas.openxmlformats.org/officeDocument/2006/relationships/hyperlink" Target="#'10 EVIDENCE &amp; DECISIONS'!A93" TargetMode="External" Id="rId84"/><Relationship Type="http://schemas.openxmlformats.org/officeDocument/2006/relationships/hyperlink" Target="#'10 EVIDENCE &amp; DECISIONS'!A94" TargetMode="External" Id="rId85"/><Relationship Type="http://schemas.openxmlformats.org/officeDocument/2006/relationships/hyperlink" Target="#'10 EVIDENCE &amp; DECISIONS'!A95" TargetMode="External" Id="rId86"/><Relationship Type="http://schemas.openxmlformats.org/officeDocument/2006/relationships/hyperlink" Target="#'10 EVIDENCE &amp; DECISIONS'!A96" TargetMode="External" Id="rId87"/><Relationship Type="http://schemas.openxmlformats.org/officeDocument/2006/relationships/hyperlink" Target="#'10 EVIDENCE &amp; DECISIONS'!A97" TargetMode="External" Id="rId88"/><Relationship Type="http://schemas.openxmlformats.org/officeDocument/2006/relationships/hyperlink" Target="#'10 EVIDENCE &amp; DECISIONS'!A98" TargetMode="External" Id="rId89"/><Relationship Type="http://schemas.openxmlformats.org/officeDocument/2006/relationships/hyperlink" Target="#'10 EVIDENCE &amp; DECISIONS'!A99" TargetMode="External" Id="rId90"/><Relationship Type="http://schemas.openxmlformats.org/officeDocument/2006/relationships/hyperlink" Target="#'10 EVIDENCE &amp; DECISIONS'!A22" TargetMode="External" Id="rId91"/><Relationship Type="http://schemas.openxmlformats.org/officeDocument/2006/relationships/hyperlink" Target="#'10 EVIDENCE &amp; DECISIONS'!A100" TargetMode="External" Id="rId92"/><Relationship Type="http://schemas.openxmlformats.org/officeDocument/2006/relationships/hyperlink" Target="#'10 EVIDENCE &amp; DECISIONS'!A101" TargetMode="External" Id="rId93"/><Relationship Type="http://schemas.openxmlformats.org/officeDocument/2006/relationships/hyperlink" Target="#'10 EVIDENCE &amp; DECISIONS'!A102" TargetMode="External" Id="rId94"/><Relationship Type="http://schemas.openxmlformats.org/officeDocument/2006/relationships/hyperlink" Target="#'10 EVIDENCE &amp; DECISIONS'!A103" TargetMode="External" Id="rId95"/><Relationship Type="http://schemas.openxmlformats.org/officeDocument/2006/relationships/hyperlink" Target="#'10 EVIDENCE &amp; DECISIONS'!A104" TargetMode="External" Id="rId96"/><Relationship Type="http://schemas.openxmlformats.org/officeDocument/2006/relationships/hyperlink" Target="#'10 EVIDENCE &amp; DECISIONS'!A105" TargetMode="External" Id="rId97"/><Relationship Type="http://schemas.openxmlformats.org/officeDocument/2006/relationships/hyperlink" Target="#'10 EVIDENCE &amp; DECISIONS'!A106" TargetMode="External" Id="rId98"/><Relationship Type="http://schemas.openxmlformats.org/officeDocument/2006/relationships/hyperlink" Target="#'10 EVIDENCE &amp; DECISIONS'!A23" TargetMode="External" Id="rId99"/><Relationship Type="http://schemas.openxmlformats.org/officeDocument/2006/relationships/hyperlink" Target="#'10 EVIDENCE &amp; DECISIONS'!A107" TargetMode="External" Id="rId100"/><Relationship Type="http://schemas.openxmlformats.org/officeDocument/2006/relationships/hyperlink" Target="#'10 EVIDENCE &amp; DECISIONS'!A108" TargetMode="External" Id="rId101"/><Relationship Type="http://schemas.openxmlformats.org/officeDocument/2006/relationships/hyperlink" Target="#'10 EVIDENCE &amp; DECISIONS'!A109" TargetMode="External" Id="rId102"/><Relationship Type="http://schemas.openxmlformats.org/officeDocument/2006/relationships/hyperlink" Target="#'10 EVIDENCE &amp; DECISIONS'!A110" TargetMode="External" Id="rId103"/><Relationship Type="http://schemas.openxmlformats.org/officeDocument/2006/relationships/hyperlink" Target="#'10 EVIDENCE &amp; DECISIONS'!A111" TargetMode="External" Id="rId104"/><Relationship Type="http://schemas.openxmlformats.org/officeDocument/2006/relationships/hyperlink" Target="#'10 EVIDENCE &amp; DECISIONS'!A112" TargetMode="External" Id="rId105"/><Relationship Type="http://schemas.openxmlformats.org/officeDocument/2006/relationships/hyperlink" Target="#'10 EVIDENCE &amp; DECISIONS'!A113" TargetMode="External" Id="rId106"/><Relationship Type="http://schemas.openxmlformats.org/officeDocument/2006/relationships/hyperlink" Target="#'10 EVIDENCE &amp; DECISIONS'!A114" TargetMode="External" Id="rId107"/><Relationship Type="http://schemas.openxmlformats.org/officeDocument/2006/relationships/hyperlink" Target="#'10 EVIDENCE &amp; DECISIONS'!A115" TargetMode="External" Id="rId108"/><Relationship Type="http://schemas.openxmlformats.org/officeDocument/2006/relationships/hyperlink" Target="#'10 EVIDENCE &amp; DECISIONS'!A116" TargetMode="External" Id="rId109"/><Relationship Type="http://schemas.openxmlformats.org/officeDocument/2006/relationships/hyperlink" Target="#'10 EVIDENCE &amp; DECISIONS'!A117" TargetMode="External" Id="rId110"/><Relationship Type="http://schemas.openxmlformats.org/officeDocument/2006/relationships/hyperlink" Target="#'10 EVIDENCE &amp; DECISIONS'!A118" TargetMode="External" Id="rId111"/><Relationship Type="http://schemas.openxmlformats.org/officeDocument/2006/relationships/hyperlink" Target="#'10 EVIDENCE &amp; DECISIONS'!A119" TargetMode="External" Id="rId112"/><Relationship Type="http://schemas.openxmlformats.org/officeDocument/2006/relationships/hyperlink" Target="#'10 EVIDENCE &amp; DECISIONS'!A24" TargetMode="External" Id="rId113"/><Relationship Type="http://schemas.openxmlformats.org/officeDocument/2006/relationships/hyperlink" Target="#'10 EVIDENCE &amp; DECISIONS'!A120" TargetMode="External" Id="rId114"/><Relationship Type="http://schemas.openxmlformats.org/officeDocument/2006/relationships/hyperlink" Target="#'10 EVIDENCE &amp; DECISIONS'!A121" TargetMode="External" Id="rId115"/><Relationship Type="http://schemas.openxmlformats.org/officeDocument/2006/relationships/hyperlink" Target="#'10 EVIDENCE &amp; DECISIONS'!A122" TargetMode="External" Id="rId116"/><Relationship Type="http://schemas.openxmlformats.org/officeDocument/2006/relationships/hyperlink" Target="#'10 EVIDENCE &amp; DECISIONS'!A123" TargetMode="External" Id="rId117"/><Relationship Type="http://schemas.openxmlformats.org/officeDocument/2006/relationships/hyperlink" Target="#'10 EVIDENCE &amp; DECISIONS'!A124" TargetMode="External" Id="rId118"/><Relationship Type="http://schemas.openxmlformats.org/officeDocument/2006/relationships/hyperlink" Target="#'10 EVIDENCE &amp; DECISIONS'!A125" TargetMode="External" Id="rId119"/><Relationship Type="http://schemas.openxmlformats.org/officeDocument/2006/relationships/hyperlink" Target="#'10 EVIDENCE &amp; DECISIONS'!A126" TargetMode="External" Id="rId120"/><Relationship Type="http://schemas.openxmlformats.org/officeDocument/2006/relationships/hyperlink" Target="#'10 EVIDENCE &amp; DECISIONS'!A25" TargetMode="External" Id="rId121"/><Relationship Type="http://schemas.openxmlformats.org/officeDocument/2006/relationships/hyperlink" Target="#'10 EVIDENCE &amp; DECISIONS'!A127" TargetMode="External" Id="rId122"/><Relationship Type="http://schemas.openxmlformats.org/officeDocument/2006/relationships/hyperlink" Target="#'10 EVIDENCE &amp; DECISIONS'!A128" TargetMode="External" Id="rId123"/><Relationship Type="http://schemas.openxmlformats.org/officeDocument/2006/relationships/hyperlink" Target="#'10 EVIDENCE &amp; DECISIONS'!A129" TargetMode="External" Id="rId124"/><Relationship Type="http://schemas.openxmlformats.org/officeDocument/2006/relationships/hyperlink" Target="#'10 EVIDENCE &amp; DECISIONS'!A130" TargetMode="External" Id="rId125"/><Relationship Type="http://schemas.openxmlformats.org/officeDocument/2006/relationships/hyperlink" Target="#'10 EVIDENCE &amp; DECISIONS'!A131" TargetMode="External" Id="rId126"/><Relationship Type="http://schemas.openxmlformats.org/officeDocument/2006/relationships/hyperlink" Target="#'10 EVIDENCE &amp; DECISIONS'!A132" TargetMode="External" Id="rId127"/><Relationship Type="http://schemas.openxmlformats.org/officeDocument/2006/relationships/hyperlink" Target="#'10 EVIDENCE &amp; DECISIONS'!A133" TargetMode="External" Id="rId128"/><Relationship Type="http://schemas.openxmlformats.org/officeDocument/2006/relationships/hyperlink" Target="#'10 EVIDENCE &amp; DECISIONS'!A26" TargetMode="External" Id="rId129"/><Relationship Type="http://schemas.openxmlformats.org/officeDocument/2006/relationships/hyperlink" Target="#'10 EVIDENCE &amp; DECISIONS'!A16" TargetMode="External" Id="rId130"/><Relationship Type="http://schemas.openxmlformats.org/officeDocument/2006/relationships/hyperlink" Target="#'10 EVIDENCE &amp; DECISIONS'!A27" TargetMode="External" Id="rId131"/><Relationship Type="http://schemas.openxmlformats.org/officeDocument/2006/relationships/hyperlink" Target="#'10 EVIDENCE &amp; DECISIONS'!A28" TargetMode="External" Id="rId132"/><Relationship Type="http://schemas.openxmlformats.org/officeDocument/2006/relationships/hyperlink" Target="#'10 EVIDENCE &amp; DECISIONS'!A29" TargetMode="External" Id="rId133"/><Relationship Type="http://schemas.openxmlformats.org/officeDocument/2006/relationships/hyperlink" Target="#'10 EVIDENCE &amp; DECISIONS'!A30" TargetMode="External" Id="rId134"/><Relationship Type="http://schemas.openxmlformats.org/officeDocument/2006/relationships/hyperlink" Target="#'10 EVIDENCE &amp; DECISIONS'!A31" TargetMode="External" Id="rId135"/><Relationship Type="http://schemas.openxmlformats.org/officeDocument/2006/relationships/hyperlink" Target="#'10 EVIDENCE &amp; DECISIONS'!A32" TargetMode="External" Id="rId136"/><Relationship Type="http://schemas.openxmlformats.org/officeDocument/2006/relationships/hyperlink" Target="#'10 EVIDENCE &amp; DECISIONS'!A33" TargetMode="External" Id="rId137"/><Relationship Type="http://schemas.openxmlformats.org/officeDocument/2006/relationships/hyperlink" Target="#'10 EVIDENCE &amp; DECISIONS'!A34" TargetMode="External" Id="rId138"/><Relationship Type="http://schemas.openxmlformats.org/officeDocument/2006/relationships/hyperlink" Target="#'10 EVIDENCE &amp; DECISIONS'!A35" TargetMode="External" Id="rId139"/><Relationship Type="http://schemas.openxmlformats.org/officeDocument/2006/relationships/hyperlink" Target="#'10 EVIDENCE &amp; DECISIONS'!A36" TargetMode="External" Id="rId140"/><Relationship Type="http://schemas.openxmlformats.org/officeDocument/2006/relationships/hyperlink" Target="#'10 EVIDENCE &amp; DECISIONS'!A37" TargetMode="External" Id="rId141"/><Relationship Type="http://schemas.openxmlformats.org/officeDocument/2006/relationships/hyperlink" Target="#'10 EVIDENCE &amp; DECISIONS'!A38" TargetMode="External" Id="rId142"/><Relationship Type="http://schemas.openxmlformats.org/officeDocument/2006/relationships/hyperlink" Target="#'10 EVIDENCE &amp; DECISIONS'!A39" TargetMode="External" Id="rId143"/><Relationship Type="http://schemas.openxmlformats.org/officeDocument/2006/relationships/hyperlink" Target="#'10 EVIDENCE &amp; DECISIONS'!A17" TargetMode="External" Id="rId144"/><Relationship Type="http://schemas.openxmlformats.org/officeDocument/2006/relationships/hyperlink" Target="#'10 EVIDENCE &amp; DECISIONS'!A40" TargetMode="External" Id="rId145"/><Relationship Type="http://schemas.openxmlformats.org/officeDocument/2006/relationships/hyperlink" Target="#'10 EVIDENCE &amp; DECISIONS'!A41" TargetMode="External" Id="rId146"/><Relationship Type="http://schemas.openxmlformats.org/officeDocument/2006/relationships/hyperlink" Target="#'10 EVIDENCE &amp; DECISIONS'!A42" TargetMode="External" Id="rId147"/><Relationship Type="http://schemas.openxmlformats.org/officeDocument/2006/relationships/hyperlink" Target="#'10 EVIDENCE &amp; DECISIONS'!A43" TargetMode="External" Id="rId148"/><Relationship Type="http://schemas.openxmlformats.org/officeDocument/2006/relationships/hyperlink" Target="#'10 EVIDENCE &amp; DECISIONS'!A44" TargetMode="External" Id="rId149"/><Relationship Type="http://schemas.openxmlformats.org/officeDocument/2006/relationships/hyperlink" Target="#'10 EVIDENCE &amp; DECISIONS'!A45" TargetMode="External" Id="rId150"/><Relationship Type="http://schemas.openxmlformats.org/officeDocument/2006/relationships/hyperlink" Target="#'10 EVIDENCE &amp; DECISIONS'!A46" TargetMode="External" Id="rId151"/><Relationship Type="http://schemas.openxmlformats.org/officeDocument/2006/relationships/hyperlink" Target="#'10 EVIDENCE &amp; DECISIONS'!A47" TargetMode="External" Id="rId152"/><Relationship Type="http://schemas.openxmlformats.org/officeDocument/2006/relationships/hyperlink" Target="#'10 EVIDENCE &amp; DECISIONS'!A48" TargetMode="External" Id="rId153"/><Relationship Type="http://schemas.openxmlformats.org/officeDocument/2006/relationships/hyperlink" Target="#'10 EVIDENCE &amp; DECISIONS'!A49" TargetMode="External" Id="rId154"/><Relationship Type="http://schemas.openxmlformats.org/officeDocument/2006/relationships/hyperlink" Target="#'10 EVIDENCE &amp; DECISIONS'!A50" TargetMode="External" Id="rId155"/><Relationship Type="http://schemas.openxmlformats.org/officeDocument/2006/relationships/hyperlink" Target="#'10 EVIDENCE &amp; DECISIONS'!A51" TargetMode="External" Id="rId156"/><Relationship Type="http://schemas.openxmlformats.org/officeDocument/2006/relationships/hyperlink" Target="#'10 EVIDENCE &amp; DECISIONS'!A52" TargetMode="External" Id="rId157"/><Relationship Type="http://schemas.openxmlformats.org/officeDocument/2006/relationships/hyperlink" Target="#'10 EVIDENCE &amp; DECISIONS'!A53" TargetMode="External" Id="rId158"/><Relationship Type="http://schemas.openxmlformats.org/officeDocument/2006/relationships/hyperlink" Target="#'10 EVIDENCE &amp; DECISIONS'!A54" TargetMode="External" Id="rId159"/><Relationship Type="http://schemas.openxmlformats.org/officeDocument/2006/relationships/hyperlink" Target="#'10 EVIDENCE &amp; DECISIONS'!A55" TargetMode="External" Id="rId160"/><Relationship Type="http://schemas.openxmlformats.org/officeDocument/2006/relationships/hyperlink" Target="#'10 EVIDENCE &amp; DECISIONS'!A56" TargetMode="External" Id="rId161"/><Relationship Type="http://schemas.openxmlformats.org/officeDocument/2006/relationships/hyperlink" Target="#'10 EVIDENCE &amp; DECISIONS'!A57" TargetMode="External" Id="rId162"/><Relationship Type="http://schemas.openxmlformats.org/officeDocument/2006/relationships/hyperlink" Target="#'10 EVIDENCE &amp; DECISIONS'!A58" TargetMode="External" Id="rId163"/><Relationship Type="http://schemas.openxmlformats.org/officeDocument/2006/relationships/hyperlink" Target="#'10 EVIDENCE &amp; DECISIONS'!A59" TargetMode="External" Id="rId164"/><Relationship Type="http://schemas.openxmlformats.org/officeDocument/2006/relationships/hyperlink" Target="#'10 EVIDENCE &amp; DECISIONS'!A18" TargetMode="External" Id="rId165"/><Relationship Type="http://schemas.openxmlformats.org/officeDocument/2006/relationships/hyperlink" Target="#'10 EVIDENCE &amp; DECISIONS'!A60" TargetMode="External" Id="rId166"/><Relationship Type="http://schemas.openxmlformats.org/officeDocument/2006/relationships/hyperlink" Target="#'10 EVIDENCE &amp; DECISIONS'!A61" TargetMode="External" Id="rId167"/><Relationship Type="http://schemas.openxmlformats.org/officeDocument/2006/relationships/hyperlink" Target="#'10 EVIDENCE &amp; DECISIONS'!A62" TargetMode="External" Id="rId168"/><Relationship Type="http://schemas.openxmlformats.org/officeDocument/2006/relationships/hyperlink" Target="#'10 EVIDENCE &amp; DECISIONS'!A63" TargetMode="External" Id="rId169"/><Relationship Type="http://schemas.openxmlformats.org/officeDocument/2006/relationships/hyperlink" Target="#'10 EVIDENCE &amp; DECISIONS'!A64" TargetMode="External" Id="rId170"/><Relationship Type="http://schemas.openxmlformats.org/officeDocument/2006/relationships/hyperlink" Target="#'10 EVIDENCE &amp; DECISIONS'!A65" TargetMode="External" Id="rId171"/><Relationship Type="http://schemas.openxmlformats.org/officeDocument/2006/relationships/hyperlink" Target="#'10 EVIDENCE &amp; DECISIONS'!A66" TargetMode="External" Id="rId172"/><Relationship Type="http://schemas.openxmlformats.org/officeDocument/2006/relationships/hyperlink" Target="#'10 EVIDENCE &amp; DECISIONS'!A19" TargetMode="External" Id="rId173"/><Relationship Type="http://schemas.openxmlformats.org/officeDocument/2006/relationships/hyperlink" Target="#'10 EVIDENCE &amp; DECISIONS'!A67" TargetMode="External" Id="rId174"/><Relationship Type="http://schemas.openxmlformats.org/officeDocument/2006/relationships/hyperlink" Target="#'10 EVIDENCE &amp; DECISIONS'!A68" TargetMode="External" Id="rId175"/><Relationship Type="http://schemas.openxmlformats.org/officeDocument/2006/relationships/hyperlink" Target="#'10 EVIDENCE &amp; DECISIONS'!A69" TargetMode="External" Id="rId176"/><Relationship Type="http://schemas.openxmlformats.org/officeDocument/2006/relationships/hyperlink" Target="#'10 EVIDENCE &amp; DECISIONS'!A70" TargetMode="External" Id="rId177"/><Relationship Type="http://schemas.openxmlformats.org/officeDocument/2006/relationships/hyperlink" Target="#'10 EVIDENCE &amp; DECISIONS'!A71" TargetMode="External" Id="rId178"/><Relationship Type="http://schemas.openxmlformats.org/officeDocument/2006/relationships/hyperlink" Target="#'10 EVIDENCE &amp; DECISIONS'!A72" TargetMode="External" Id="rId179"/><Relationship Type="http://schemas.openxmlformats.org/officeDocument/2006/relationships/hyperlink" Target="#'10 EVIDENCE &amp; DECISIONS'!A73" TargetMode="External" Id="rId180"/><Relationship Type="http://schemas.openxmlformats.org/officeDocument/2006/relationships/hyperlink" Target="#'10 EVIDENCE &amp; DECISIONS'!A74" TargetMode="External" Id="rId181"/><Relationship Type="http://schemas.openxmlformats.org/officeDocument/2006/relationships/hyperlink" Target="#'10 EVIDENCE &amp; DECISIONS'!A75" TargetMode="External" Id="rId182"/><Relationship Type="http://schemas.openxmlformats.org/officeDocument/2006/relationships/hyperlink" Target="#'10 EVIDENCE &amp; DECISIONS'!A76" TargetMode="External" Id="rId183"/><Relationship Type="http://schemas.openxmlformats.org/officeDocument/2006/relationships/hyperlink" Target="#'10 EVIDENCE &amp; DECISIONS'!A77" TargetMode="External" Id="rId184"/><Relationship Type="http://schemas.openxmlformats.org/officeDocument/2006/relationships/hyperlink" Target="#'10 EVIDENCE &amp; DECISIONS'!A78" TargetMode="External" Id="rId185"/><Relationship Type="http://schemas.openxmlformats.org/officeDocument/2006/relationships/hyperlink" Target="#'10 EVIDENCE &amp; DECISIONS'!A79" TargetMode="External" Id="rId186"/><Relationship Type="http://schemas.openxmlformats.org/officeDocument/2006/relationships/hyperlink" Target="#'10 EVIDENCE &amp; DECISIONS'!A209" TargetMode="External" Id="rId187"/><Relationship Type="http://schemas.openxmlformats.org/officeDocument/2006/relationships/hyperlink" Target="#'10 EVIDENCE &amp; DECISIONS'!A210" TargetMode="External" Id="rId188"/><Relationship Type="http://schemas.openxmlformats.org/officeDocument/2006/relationships/hyperlink" Target="#'10 EVIDENCE &amp; DECISIONS'!A211" TargetMode="External" Id="rId189"/><Relationship Type="http://schemas.openxmlformats.org/officeDocument/2006/relationships/hyperlink" Target="#'10 EVIDENCE &amp; DECISIONS'!A236" TargetMode="External" Id="rId190"/><Relationship Type="http://schemas.openxmlformats.org/officeDocument/2006/relationships/hyperlink" Target="#'10 EVIDENCE &amp; DECISIONS'!A237" TargetMode="External" Id="rId191"/><Relationship Type="http://schemas.openxmlformats.org/officeDocument/2006/relationships/hyperlink" Target="#'10 EVIDENCE &amp; DECISIONS'!A239" TargetMode="External" Id="rId192"/><Relationship Type="http://schemas.openxmlformats.org/officeDocument/2006/relationships/hyperlink" Target="#'10 EVIDENCE &amp; DECISIONS'!A240" TargetMode="External" Id="rId193"/><Relationship Type="http://schemas.openxmlformats.org/officeDocument/2006/relationships/hyperlink" Target="#'10 EVIDENCE &amp; DECISIONS'!A241" TargetMode="External" Id="rId194"/><Relationship Type="http://schemas.openxmlformats.org/officeDocument/2006/relationships/hyperlink" Target="#'10 EVIDENCE &amp; DECISIONS'!A242" TargetMode="External" Id="rId195"/><Relationship Type="http://schemas.openxmlformats.org/officeDocument/2006/relationships/hyperlink" Target="#'10 EVIDENCE &amp; DECISIONS'!A243" TargetMode="External" Id="rId196"/><Relationship Type="http://schemas.openxmlformats.org/officeDocument/2006/relationships/hyperlink" Target="#'10 EVIDENCE &amp; DECISIONS'!A244" TargetMode="External" Id="rId197"/><Relationship Type="http://schemas.openxmlformats.org/officeDocument/2006/relationships/hyperlink" Target="#'10 EVIDENCE &amp; DECISIONS'!A245" TargetMode="External" Id="rId198"/><Relationship Type="http://schemas.openxmlformats.org/officeDocument/2006/relationships/hyperlink" Target="#'10 EVIDENCE &amp; DECISIONS'!A246" TargetMode="External" Id="rId199"/><Relationship Type="http://schemas.openxmlformats.org/officeDocument/2006/relationships/hyperlink" Target="#'10 EVIDENCE &amp; DECISIONS'!A247" TargetMode="External" Id="rId200"/><Relationship Type="http://schemas.openxmlformats.org/officeDocument/2006/relationships/hyperlink" Target="#'10 EVIDENCE &amp; DECISIONS'!A248" TargetMode="External" Id="rId201"/><Relationship Type="http://schemas.openxmlformats.org/officeDocument/2006/relationships/hyperlink" Target="#'10 EVIDENCE &amp; DECISIONS'!A249" TargetMode="External" Id="rId202"/><Relationship Type="http://schemas.openxmlformats.org/officeDocument/2006/relationships/hyperlink" Target="#'10 EVIDENCE &amp; DECISIONS'!A212" TargetMode="External" Id="rId203"/><Relationship Type="http://schemas.openxmlformats.org/officeDocument/2006/relationships/hyperlink" Target="#'10 EVIDENCE &amp; DECISIONS'!A250" TargetMode="External" Id="rId204"/><Relationship Type="http://schemas.openxmlformats.org/officeDocument/2006/relationships/hyperlink" Target="#'10 EVIDENCE &amp; DECISIONS'!A251" TargetMode="External" Id="rId205"/><Relationship Type="http://schemas.openxmlformats.org/officeDocument/2006/relationships/hyperlink" Target="#'10 EVIDENCE &amp; DECISIONS'!A252" TargetMode="External" Id="rId206"/><Relationship Type="http://schemas.openxmlformats.org/officeDocument/2006/relationships/hyperlink" Target="#'10 EVIDENCE &amp; DECISIONS'!A253" TargetMode="External" Id="rId207"/><Relationship Type="http://schemas.openxmlformats.org/officeDocument/2006/relationships/hyperlink" Target="#'10 EVIDENCE &amp; DECISIONS'!A254" TargetMode="External" Id="rId208"/><Relationship Type="http://schemas.openxmlformats.org/officeDocument/2006/relationships/hyperlink" Target="#'10 EVIDENCE &amp; DECISIONS'!A255" TargetMode="External" Id="rId209"/><Relationship Type="http://schemas.openxmlformats.org/officeDocument/2006/relationships/hyperlink" Target="#'10 EVIDENCE &amp; DECISIONS'!A256" TargetMode="External" Id="rId210"/><Relationship Type="http://schemas.openxmlformats.org/officeDocument/2006/relationships/hyperlink" Target="#'10 EVIDENCE &amp; DECISIONS'!A257" TargetMode="External" Id="rId211"/><Relationship Type="http://schemas.openxmlformats.org/officeDocument/2006/relationships/hyperlink" Target="#'10 EVIDENCE &amp; DECISIONS'!A258" TargetMode="External" Id="rId212"/><Relationship Type="http://schemas.openxmlformats.org/officeDocument/2006/relationships/hyperlink" Target="#'10 EVIDENCE &amp; DECISIONS'!A259" TargetMode="External" Id="rId213"/><Relationship Type="http://schemas.openxmlformats.org/officeDocument/2006/relationships/hyperlink" Target="#'10 EVIDENCE &amp; DECISIONS'!A260" TargetMode="External" Id="rId214"/><Relationship Type="http://schemas.openxmlformats.org/officeDocument/2006/relationships/hyperlink" Target="#'10 EVIDENCE &amp; DECISIONS'!A261" TargetMode="External" Id="rId215"/><Relationship Type="http://schemas.openxmlformats.org/officeDocument/2006/relationships/hyperlink" Target="#'10 EVIDENCE &amp; DECISIONS'!A262" TargetMode="External" Id="rId216"/><Relationship Type="http://schemas.openxmlformats.org/officeDocument/2006/relationships/hyperlink" Target="#'10 EVIDENCE &amp; DECISIONS'!A263" TargetMode="External" Id="rId217"/><Relationship Type="http://schemas.openxmlformats.org/officeDocument/2006/relationships/hyperlink" Target="#'10 EVIDENCE &amp; DECISIONS'!A264" TargetMode="External" Id="rId218"/><Relationship Type="http://schemas.openxmlformats.org/officeDocument/2006/relationships/hyperlink" Target="#'10 EVIDENCE &amp; DECISIONS'!A213" TargetMode="External" Id="rId219"/><Relationship Type="http://schemas.openxmlformats.org/officeDocument/2006/relationships/hyperlink" Target="#'10 EVIDENCE &amp; DECISIONS'!A265" TargetMode="External" Id="rId220"/><Relationship Type="http://schemas.openxmlformats.org/officeDocument/2006/relationships/hyperlink" Target="#'10 EVIDENCE &amp; DECISIONS'!A266" TargetMode="External" Id="rId221"/><Relationship Type="http://schemas.openxmlformats.org/officeDocument/2006/relationships/hyperlink" Target="#'10 EVIDENCE &amp; DECISIONS'!A267" TargetMode="External" Id="rId222"/><Relationship Type="http://schemas.openxmlformats.org/officeDocument/2006/relationships/hyperlink" Target="#'10 EVIDENCE &amp; DECISIONS'!A268" TargetMode="External" Id="rId223"/><Relationship Type="http://schemas.openxmlformats.org/officeDocument/2006/relationships/hyperlink" Target="#'10 EVIDENCE &amp; DECISIONS'!A269" TargetMode="External" Id="rId224"/><Relationship Type="http://schemas.openxmlformats.org/officeDocument/2006/relationships/hyperlink" Target="#'10 EVIDENCE &amp; DECISIONS'!A270" TargetMode="External" Id="rId225"/><Relationship Type="http://schemas.openxmlformats.org/officeDocument/2006/relationships/hyperlink" Target="#'10 EVIDENCE &amp; DECISIONS'!A271" TargetMode="External" Id="rId226"/><Relationship Type="http://schemas.openxmlformats.org/officeDocument/2006/relationships/hyperlink" Target="#'10 EVIDENCE &amp; DECISIONS'!A272" TargetMode="External" Id="rId227"/><Relationship Type="http://schemas.openxmlformats.org/officeDocument/2006/relationships/hyperlink" Target="#'10 EVIDENCE &amp; DECISIONS'!A273" TargetMode="External" Id="rId228"/><Relationship Type="http://schemas.openxmlformats.org/officeDocument/2006/relationships/hyperlink" Target="#'10 EVIDENCE &amp; DECISIONS'!A274" TargetMode="External" Id="rId229"/><Relationship Type="http://schemas.openxmlformats.org/officeDocument/2006/relationships/hyperlink" Target="#'10 EVIDENCE &amp; DECISIONS'!A275" TargetMode="External" Id="rId230"/><Relationship Type="http://schemas.openxmlformats.org/officeDocument/2006/relationships/hyperlink" Target="#'10 EVIDENCE &amp; DECISIONS'!A276" TargetMode="External" Id="rId231"/><Relationship Type="http://schemas.openxmlformats.org/officeDocument/2006/relationships/hyperlink" Target="#'10 EVIDENCE &amp; DECISIONS'!A214" TargetMode="External" Id="rId232"/><Relationship Type="http://schemas.openxmlformats.org/officeDocument/2006/relationships/hyperlink" Target="#'10 EVIDENCE &amp; DECISIONS'!A179" TargetMode="External" Id="rId233"/><Relationship Type="http://schemas.openxmlformats.org/officeDocument/2006/relationships/hyperlink" Target="#'10 EVIDENCE &amp; DECISIONS'!A215" TargetMode="External" Id="rId234"/><Relationship Type="http://schemas.openxmlformats.org/officeDocument/2006/relationships/hyperlink" Target="#'10 EVIDENCE &amp; DECISIONS'!A216" TargetMode="External" Id="rId235"/><Relationship Type="http://schemas.openxmlformats.org/officeDocument/2006/relationships/hyperlink" Target="#'10 EVIDENCE &amp; DECISIONS'!A217" TargetMode="External" Id="rId236"/><Relationship Type="http://schemas.openxmlformats.org/officeDocument/2006/relationships/hyperlink" Target="#'10 EVIDENCE &amp; DECISIONS'!A218" TargetMode="External" Id="rId237"/><Relationship Type="http://schemas.openxmlformats.org/officeDocument/2006/relationships/hyperlink" Target="#'10 EVIDENCE &amp; DECISIONS'!A219" TargetMode="External" Id="rId238"/><Relationship Type="http://schemas.openxmlformats.org/officeDocument/2006/relationships/hyperlink" Target="#'10 EVIDENCE &amp; DECISIONS'!A220" TargetMode="External" Id="rId239"/><Relationship Type="http://schemas.openxmlformats.org/officeDocument/2006/relationships/hyperlink" Target="#'10 EVIDENCE &amp; DECISIONS'!A221" TargetMode="External" Id="rId240"/><Relationship Type="http://schemas.openxmlformats.org/officeDocument/2006/relationships/hyperlink" Target="#'10 EVIDENCE &amp; DECISIONS'!A222" TargetMode="External" Id="rId241"/><Relationship Type="http://schemas.openxmlformats.org/officeDocument/2006/relationships/hyperlink" Target="#'10 EVIDENCE &amp; DECISIONS'!A223" TargetMode="External" Id="rId242"/><Relationship Type="http://schemas.openxmlformats.org/officeDocument/2006/relationships/hyperlink" Target="#'10 EVIDENCE &amp; DECISIONS'!A224" TargetMode="External" Id="rId243"/><Relationship Type="http://schemas.openxmlformats.org/officeDocument/2006/relationships/hyperlink" Target="#'10 EVIDENCE &amp; DECISIONS'!A180" TargetMode="External" Id="rId244"/><Relationship Type="http://schemas.openxmlformats.org/officeDocument/2006/relationships/hyperlink" Target="#'10 EVIDENCE &amp; DECISIONS'!A225" TargetMode="External" Id="rId245"/><Relationship Type="http://schemas.openxmlformats.org/officeDocument/2006/relationships/hyperlink" Target="#'10 EVIDENCE &amp; DECISIONS'!A226" TargetMode="External" Id="rId246"/><Relationship Type="http://schemas.openxmlformats.org/officeDocument/2006/relationships/hyperlink" Target="#'10 EVIDENCE &amp; DECISIONS'!A227" TargetMode="External" Id="rId247"/><Relationship Type="http://schemas.openxmlformats.org/officeDocument/2006/relationships/hyperlink" Target="#'10 EVIDENCE &amp; DECISIONS'!A228" TargetMode="External" Id="rId248"/><Relationship Type="http://schemas.openxmlformats.org/officeDocument/2006/relationships/hyperlink" Target="#'10 EVIDENCE &amp; DECISIONS'!A229" TargetMode="External" Id="rId249"/><Relationship Type="http://schemas.openxmlformats.org/officeDocument/2006/relationships/hyperlink" Target="#'10 EVIDENCE &amp; DECISIONS'!A230" TargetMode="External" Id="rId250"/><Relationship Type="http://schemas.openxmlformats.org/officeDocument/2006/relationships/hyperlink" Target="#'10 EVIDENCE &amp; DECISIONS'!A231" TargetMode="External" Id="rId251"/><Relationship Type="http://schemas.openxmlformats.org/officeDocument/2006/relationships/hyperlink" Target="#'10 EVIDENCE &amp; DECISIONS'!A232" TargetMode="External" Id="rId252"/><Relationship Type="http://schemas.openxmlformats.org/officeDocument/2006/relationships/hyperlink" Target="#'10 EVIDENCE &amp; DECISIONS'!A233" TargetMode="External" Id="rId253"/><Relationship Type="http://schemas.openxmlformats.org/officeDocument/2006/relationships/hyperlink" Target="#'10 EVIDENCE &amp; DECISIONS'!A234" TargetMode="External" Id="rId254"/><Relationship Type="http://schemas.openxmlformats.org/officeDocument/2006/relationships/hyperlink" Target="#'10 EVIDENCE &amp; DECISIONS'!A181" TargetMode="External" Id="rId255"/><Relationship Type="http://schemas.openxmlformats.org/officeDocument/2006/relationships/hyperlink" Target="#'10 EVIDENCE &amp; DECISIONS'!A235" TargetMode="External" Id="rId256"/><Relationship Type="http://schemas.openxmlformats.org/officeDocument/2006/relationships/hyperlink" Target="#'10 EVIDENCE &amp; DECISIONS'!A182" TargetMode="External" Id="rId257"/><Relationship Type="http://schemas.openxmlformats.org/officeDocument/2006/relationships/hyperlink" Target="#'10 EVIDENCE &amp; DECISIONS'!A183" TargetMode="External" Id="rId258"/><Relationship Type="http://schemas.openxmlformats.org/officeDocument/2006/relationships/hyperlink" Target="#'10 EVIDENCE &amp; DECISIONS'!A184" TargetMode="External" Id="rId259"/><Relationship Type="http://schemas.openxmlformats.org/officeDocument/2006/relationships/hyperlink" Target="#'10 EVIDENCE &amp; DECISIONS'!A175" TargetMode="External" Id="rId260"/><Relationship Type="http://schemas.openxmlformats.org/officeDocument/2006/relationships/hyperlink" Target="#'10 EVIDENCE &amp; DECISIONS'!A185" TargetMode="External" Id="rId261"/><Relationship Type="http://schemas.openxmlformats.org/officeDocument/2006/relationships/hyperlink" Target="#'10 EVIDENCE &amp; DECISIONS'!A186" TargetMode="External" Id="rId262"/><Relationship Type="http://schemas.openxmlformats.org/officeDocument/2006/relationships/hyperlink" Target="#'10 EVIDENCE &amp; DECISIONS'!A187" TargetMode="External" Id="rId263"/><Relationship Type="http://schemas.openxmlformats.org/officeDocument/2006/relationships/hyperlink" Target="#'10 EVIDENCE &amp; DECISIONS'!A188" TargetMode="External" Id="rId264"/><Relationship Type="http://schemas.openxmlformats.org/officeDocument/2006/relationships/hyperlink" Target="#'10 EVIDENCE &amp; DECISIONS'!A189" TargetMode="External" Id="rId265"/><Relationship Type="http://schemas.openxmlformats.org/officeDocument/2006/relationships/hyperlink" Target="#'10 EVIDENCE &amp; DECISIONS'!A190" TargetMode="External" Id="rId266"/><Relationship Type="http://schemas.openxmlformats.org/officeDocument/2006/relationships/hyperlink" Target="#'10 EVIDENCE &amp; DECISIONS'!A191" TargetMode="External" Id="rId267"/><Relationship Type="http://schemas.openxmlformats.org/officeDocument/2006/relationships/hyperlink" Target="#'10 EVIDENCE &amp; DECISIONS'!A192" TargetMode="External" Id="rId268"/><Relationship Type="http://schemas.openxmlformats.org/officeDocument/2006/relationships/hyperlink" Target="#'10 EVIDENCE &amp; DECISIONS'!A193" TargetMode="External" Id="rId269"/><Relationship Type="http://schemas.openxmlformats.org/officeDocument/2006/relationships/hyperlink" Target="#'10 EVIDENCE &amp; DECISIONS'!A194" TargetMode="External" Id="rId270"/><Relationship Type="http://schemas.openxmlformats.org/officeDocument/2006/relationships/hyperlink" Target="#'10 EVIDENCE &amp; DECISIONS'!A177" TargetMode="External" Id="rId271"/><Relationship Type="http://schemas.openxmlformats.org/officeDocument/2006/relationships/hyperlink" Target="#'10 EVIDENCE &amp; DECISIONS'!A195" TargetMode="External" Id="rId272"/><Relationship Type="http://schemas.openxmlformats.org/officeDocument/2006/relationships/hyperlink" Target="#'10 EVIDENCE &amp; DECISIONS'!A196" TargetMode="External" Id="rId273"/><Relationship Type="http://schemas.openxmlformats.org/officeDocument/2006/relationships/hyperlink" Target="#'10 EVIDENCE &amp; DECISIONS'!A197" TargetMode="External" Id="rId274"/><Relationship Type="http://schemas.openxmlformats.org/officeDocument/2006/relationships/hyperlink" Target="#'10 EVIDENCE &amp; DECISIONS'!A198" TargetMode="External" Id="rId275"/><Relationship Type="http://schemas.openxmlformats.org/officeDocument/2006/relationships/hyperlink" Target="#'10 EVIDENCE &amp; DECISIONS'!A199" TargetMode="External" Id="rId276"/><Relationship Type="http://schemas.openxmlformats.org/officeDocument/2006/relationships/hyperlink" Target="#'10 EVIDENCE &amp; DECISIONS'!A200" TargetMode="External" Id="rId277"/><Relationship Type="http://schemas.openxmlformats.org/officeDocument/2006/relationships/hyperlink" Target="#'10 EVIDENCE &amp; DECISIONS'!A201" TargetMode="External" Id="rId278"/><Relationship Type="http://schemas.openxmlformats.org/officeDocument/2006/relationships/hyperlink" Target="#'10 EVIDENCE &amp; DECISIONS'!A202" TargetMode="External" Id="rId279"/><Relationship Type="http://schemas.openxmlformats.org/officeDocument/2006/relationships/hyperlink" Target="#'10 EVIDENCE &amp; DECISIONS'!A203" TargetMode="External" Id="rId280"/><Relationship Type="http://schemas.openxmlformats.org/officeDocument/2006/relationships/hyperlink" Target="#'10 EVIDENCE &amp; DECISIONS'!A204" TargetMode="External" Id="rId281"/><Relationship Type="http://schemas.openxmlformats.org/officeDocument/2006/relationships/hyperlink" Target="#'10 EVIDENCE &amp; DECISIONS'!A178" TargetMode="External" Id="rId282"/><Relationship Type="http://schemas.openxmlformats.org/officeDocument/2006/relationships/hyperlink" Target="#'10 EVIDENCE &amp; DECISIONS'!A205" TargetMode="External" Id="rId283"/><Relationship Type="http://schemas.openxmlformats.org/officeDocument/2006/relationships/hyperlink" Target="#'10 EVIDENCE &amp; DECISIONS'!A206" TargetMode="External" Id="rId284"/><Relationship Type="http://schemas.openxmlformats.org/officeDocument/2006/relationships/hyperlink" Target="#'10 EVIDENCE &amp; DECISIONS'!A207" TargetMode="External" Id="rId285"/><Relationship Type="http://schemas.openxmlformats.org/officeDocument/2006/relationships/hyperlink" Target="#'10 EVIDENCE &amp; DECISIONS'!A208" TargetMode="External" Id="rId286"/><Relationship Type="http://schemas.openxmlformats.org/officeDocument/2006/relationships/hyperlink" Target="#'10 EVIDENCE &amp; DECISIONS'!A279" TargetMode="External" Id="rId287"/><Relationship Type="http://schemas.openxmlformats.org/officeDocument/2006/relationships/hyperlink" Target="#'10 EVIDENCE &amp; DECISIONS'!A280" TargetMode="External" Id="rId288"/><Relationship Type="http://schemas.openxmlformats.org/officeDocument/2006/relationships/hyperlink" Target="#'10 EVIDENCE &amp; DECISIONS'!A281" TargetMode="External" Id="rId289"/><Relationship Type="http://schemas.openxmlformats.org/officeDocument/2006/relationships/hyperlink" Target="#'10 EVIDENCE &amp; DECISIONS'!A282" TargetMode="External" Id="rId290"/><Relationship Type="http://schemas.openxmlformats.org/officeDocument/2006/relationships/hyperlink" Target="#'10 EVIDENCE &amp; DECISIONS'!A283" TargetMode="External" Id="rId291"/><Relationship Type="http://schemas.openxmlformats.org/officeDocument/2006/relationships/hyperlink" Target="#'10 EVIDENCE &amp; DECISIONS'!A284" TargetMode="External" Id="rId292"/><Relationship Type="http://schemas.openxmlformats.org/officeDocument/2006/relationships/hyperlink" Target="#'10 EVIDENCE &amp; DECISIONS'!A285" TargetMode="External" Id="rId293"/><Relationship Type="http://schemas.openxmlformats.org/officeDocument/2006/relationships/hyperlink" Target="#'10 EVIDENCE &amp; DECISIONS'!A286" TargetMode="External" Id="rId294"/><Relationship Type="http://schemas.openxmlformats.org/officeDocument/2006/relationships/hyperlink" Target="#'10 EVIDENCE &amp; DECISIONS'!A287" TargetMode="External" Id="rId295"/><Relationship Type="http://schemas.openxmlformats.org/officeDocument/2006/relationships/hyperlink" Target="#'10 EVIDENCE &amp; DECISIONS'!A288" TargetMode="External" Id="rId296"/><Relationship Type="http://schemas.openxmlformats.org/officeDocument/2006/relationships/hyperlink" Target="#'10 EVIDENCE &amp; DECISIONS'!A409" TargetMode="External" Id="rId297"/><Relationship Type="http://schemas.openxmlformats.org/officeDocument/2006/relationships/hyperlink" Target="#'10 EVIDENCE &amp; DECISIONS'!A410" TargetMode="External" Id="rId298"/><Relationship Type="http://schemas.openxmlformats.org/officeDocument/2006/relationships/hyperlink" Target="#'10 EVIDENCE &amp; DECISIONS'!A411" TargetMode="External" Id="rId299"/><Relationship Type="http://schemas.openxmlformats.org/officeDocument/2006/relationships/hyperlink" Target="#'10 EVIDENCE &amp; DECISIONS'!A412" TargetMode="External" Id="rId300"/><Relationship Type="http://schemas.openxmlformats.org/officeDocument/2006/relationships/hyperlink" Target="#'10 EVIDENCE &amp; DECISIONS'!A413" TargetMode="External" Id="rId301"/><Relationship Type="http://schemas.openxmlformats.org/officeDocument/2006/relationships/hyperlink" Target="#'10 EVIDENCE &amp; DECISIONS'!A414" TargetMode="External" Id="rId302"/><Relationship Type="http://schemas.openxmlformats.org/officeDocument/2006/relationships/hyperlink" Target="#'10 EVIDENCE &amp; DECISIONS'!A415" TargetMode="External" Id="rId303"/><Relationship Type="http://schemas.openxmlformats.org/officeDocument/2006/relationships/hyperlink" Target="#'10 EVIDENCE &amp; DECISIONS'!A416" TargetMode="External" Id="rId304"/><Relationship Type="http://schemas.openxmlformats.org/officeDocument/2006/relationships/hyperlink" Target="#'10 EVIDENCE &amp; DECISIONS'!A417" TargetMode="External" Id="rId305"/><Relationship Type="http://schemas.openxmlformats.org/officeDocument/2006/relationships/hyperlink" Target="#'10 EVIDENCE &amp; DECISIONS'!A418" TargetMode="External" Id="rId306"/><Relationship Type="http://schemas.openxmlformats.org/officeDocument/2006/relationships/hyperlink" Target="#'10 EVIDENCE &amp; DECISIONS'!A419" TargetMode="External" Id="rId307"/><Relationship Type="http://schemas.openxmlformats.org/officeDocument/2006/relationships/hyperlink" Target="#'10 EVIDENCE &amp; DECISIONS'!A420" TargetMode="External" Id="rId308"/><Relationship Type="http://schemas.openxmlformats.org/officeDocument/2006/relationships/hyperlink" Target="#'10 EVIDENCE &amp; DECISIONS'!A421" TargetMode="External" Id="rId309"/><Relationship Type="http://schemas.openxmlformats.org/officeDocument/2006/relationships/hyperlink" Target="#'10 EVIDENCE &amp; DECISIONS'!A422" TargetMode="External" Id="rId310"/><Relationship Type="http://schemas.openxmlformats.org/officeDocument/2006/relationships/hyperlink" Target="#'10 EVIDENCE &amp; DECISIONS'!A423" TargetMode="External" Id="rId311"/><Relationship Type="http://schemas.openxmlformats.org/officeDocument/2006/relationships/hyperlink" Target="#'10 EVIDENCE &amp; DECISIONS'!A424" TargetMode="External" Id="rId312"/><Relationship Type="http://schemas.openxmlformats.org/officeDocument/2006/relationships/hyperlink" Target="#'10 EVIDENCE &amp; DECISIONS'!A425" TargetMode="External" Id="rId313"/><Relationship Type="http://schemas.openxmlformats.org/officeDocument/2006/relationships/hyperlink" Target="#'10 EVIDENCE &amp; DECISIONS'!A426" TargetMode="External" Id="rId314"/><Relationship Type="http://schemas.openxmlformats.org/officeDocument/2006/relationships/hyperlink" Target="#'10 EVIDENCE &amp; DECISIONS'!A427" TargetMode="External" Id="rId315"/><Relationship Type="http://schemas.openxmlformats.org/officeDocument/2006/relationships/hyperlink" Target="#'10 EVIDENCE &amp; DECISIONS'!A428" TargetMode="External" Id="rId316"/><Relationship Type="http://schemas.openxmlformats.org/officeDocument/2006/relationships/hyperlink" Target="#'10 EVIDENCE &amp; DECISIONS'!A429" TargetMode="External" Id="rId317"/><Relationship Type="http://schemas.openxmlformats.org/officeDocument/2006/relationships/hyperlink" Target="#'10 EVIDENCE &amp; DECISIONS'!A430" TargetMode="External" Id="rId318"/><Relationship Type="http://schemas.openxmlformats.org/officeDocument/2006/relationships/hyperlink" Target="#'10 EVIDENCE &amp; DECISIONS'!A431" TargetMode="External" Id="rId319"/><Relationship Type="http://schemas.openxmlformats.org/officeDocument/2006/relationships/hyperlink" Target="#'10 EVIDENCE &amp; DECISIONS'!A432" TargetMode="External" Id="rId320"/><Relationship Type="http://schemas.openxmlformats.org/officeDocument/2006/relationships/hyperlink" Target="#'10 EVIDENCE &amp; DECISIONS'!A433" TargetMode="External" Id="rId321"/><Relationship Type="http://schemas.openxmlformats.org/officeDocument/2006/relationships/hyperlink" Target="#'10 EVIDENCE &amp; DECISIONS'!A434" TargetMode="External" Id="rId322"/><Relationship Type="http://schemas.openxmlformats.org/officeDocument/2006/relationships/hyperlink" Target="#'10 EVIDENCE &amp; DECISIONS'!A435" TargetMode="External" Id="rId323"/><Relationship Type="http://schemas.openxmlformats.org/officeDocument/2006/relationships/hyperlink" Target="#'10 EVIDENCE &amp; DECISIONS'!A436" TargetMode="External" Id="rId324"/><Relationship Type="http://schemas.openxmlformats.org/officeDocument/2006/relationships/hyperlink" Target="#'10 EVIDENCE &amp; DECISIONS'!A437" TargetMode="External" Id="rId325"/><Relationship Type="http://schemas.openxmlformats.org/officeDocument/2006/relationships/hyperlink" Target="#'10 EVIDENCE &amp; DECISIONS'!A438" TargetMode="External" Id="rId326"/><Relationship Type="http://schemas.openxmlformats.org/officeDocument/2006/relationships/hyperlink" Target="#'10 EVIDENCE &amp; DECISIONS'!A439" TargetMode="External" Id="rId327"/><Relationship Type="http://schemas.openxmlformats.org/officeDocument/2006/relationships/hyperlink" Target="#'10 EVIDENCE &amp; DECISIONS'!A440" TargetMode="External" Id="rId328"/><Relationship Type="http://schemas.openxmlformats.org/officeDocument/2006/relationships/hyperlink" Target="#'10 EVIDENCE &amp; DECISIONS'!A441" TargetMode="External" Id="rId329"/><Relationship Type="http://schemas.openxmlformats.org/officeDocument/2006/relationships/hyperlink" Target="#'10 EVIDENCE &amp; DECISIONS'!A442" TargetMode="External" Id="rId330"/><Relationship Type="http://schemas.openxmlformats.org/officeDocument/2006/relationships/hyperlink" Target="#'10 EVIDENCE &amp; DECISIONS'!A443" TargetMode="External" Id="rId331"/><Relationship Type="http://schemas.openxmlformats.org/officeDocument/2006/relationships/hyperlink" Target="#'10 EVIDENCE &amp; DECISIONS'!A444" TargetMode="External" Id="rId332"/><Relationship Type="http://schemas.openxmlformats.org/officeDocument/2006/relationships/hyperlink" Target="#'10 EVIDENCE &amp; DECISIONS'!A445" TargetMode="External" Id="rId333"/><Relationship Type="http://schemas.openxmlformats.org/officeDocument/2006/relationships/hyperlink" Target="#'10 EVIDENCE &amp; DECISIONS'!A446" TargetMode="External" Id="rId334"/><Relationship Type="http://schemas.openxmlformats.org/officeDocument/2006/relationships/hyperlink" Target="#'10 EVIDENCE &amp; DECISIONS'!A447" TargetMode="External" Id="rId335"/><Relationship Type="http://schemas.openxmlformats.org/officeDocument/2006/relationships/hyperlink" Target="#'10 EVIDENCE &amp; DECISIONS'!A448" TargetMode="External" Id="rId336"/><Relationship Type="http://schemas.openxmlformats.org/officeDocument/2006/relationships/hyperlink" Target="#'10 EVIDENCE &amp; DECISIONS'!A289" TargetMode="External" Id="rId337"/><Relationship Type="http://schemas.openxmlformats.org/officeDocument/2006/relationships/hyperlink" Target="#'10 EVIDENCE &amp; DECISIONS'!A290" TargetMode="External" Id="rId338"/><Relationship Type="http://schemas.openxmlformats.org/officeDocument/2006/relationships/hyperlink" Target="#'10 EVIDENCE &amp; DECISIONS'!A291" TargetMode="External" Id="rId339"/><Relationship Type="http://schemas.openxmlformats.org/officeDocument/2006/relationships/hyperlink" Target="#'10 EVIDENCE &amp; DECISIONS'!A292" TargetMode="External" Id="rId340"/><Relationship Type="http://schemas.openxmlformats.org/officeDocument/2006/relationships/hyperlink" Target="#'10 EVIDENCE &amp; DECISIONS'!A293" TargetMode="External" Id="rId341"/><Relationship Type="http://schemas.openxmlformats.org/officeDocument/2006/relationships/hyperlink" Target="#'10 EVIDENCE &amp; DECISIONS'!A294" TargetMode="External" Id="rId342"/><Relationship Type="http://schemas.openxmlformats.org/officeDocument/2006/relationships/hyperlink" Target="#'10 EVIDENCE &amp; DECISIONS'!A295" TargetMode="External" Id="rId343"/><Relationship Type="http://schemas.openxmlformats.org/officeDocument/2006/relationships/hyperlink" Target="#'10 EVIDENCE &amp; DECISIONS'!A296" TargetMode="External" Id="rId344"/><Relationship Type="http://schemas.openxmlformats.org/officeDocument/2006/relationships/hyperlink" Target="#'10 EVIDENCE &amp; DECISIONS'!A297" TargetMode="External" Id="rId345"/><Relationship Type="http://schemas.openxmlformats.org/officeDocument/2006/relationships/hyperlink" Target="#'10 EVIDENCE &amp; DECISIONS'!A298" TargetMode="External" Id="rId346"/><Relationship Type="http://schemas.openxmlformats.org/officeDocument/2006/relationships/hyperlink" Target="#'10 EVIDENCE &amp; DECISIONS'!A299" TargetMode="External" Id="rId347"/><Relationship Type="http://schemas.openxmlformats.org/officeDocument/2006/relationships/hyperlink" Target="#'10 EVIDENCE &amp; DECISIONS'!A300" TargetMode="External" Id="rId348"/><Relationship Type="http://schemas.openxmlformats.org/officeDocument/2006/relationships/hyperlink" Target="#'10 EVIDENCE &amp; DECISIONS'!A301" TargetMode="External" Id="rId349"/><Relationship Type="http://schemas.openxmlformats.org/officeDocument/2006/relationships/hyperlink" Target="#'10 EVIDENCE &amp; DECISIONS'!A302" TargetMode="External" Id="rId350"/><Relationship Type="http://schemas.openxmlformats.org/officeDocument/2006/relationships/hyperlink" Target="#'10 EVIDENCE &amp; DECISIONS'!A303" TargetMode="External" Id="rId351"/><Relationship Type="http://schemas.openxmlformats.org/officeDocument/2006/relationships/hyperlink" Target="#'10 EVIDENCE &amp; DECISIONS'!A304" TargetMode="External" Id="rId352"/><Relationship Type="http://schemas.openxmlformats.org/officeDocument/2006/relationships/hyperlink" Target="#'10 EVIDENCE &amp; DECISIONS'!A305" TargetMode="External" Id="rId353"/><Relationship Type="http://schemas.openxmlformats.org/officeDocument/2006/relationships/hyperlink" Target="#'10 EVIDENCE &amp; DECISIONS'!A306" TargetMode="External" Id="rId354"/><Relationship Type="http://schemas.openxmlformats.org/officeDocument/2006/relationships/hyperlink" Target="#'10 EVIDENCE &amp; DECISIONS'!A307" TargetMode="External" Id="rId355"/><Relationship Type="http://schemas.openxmlformats.org/officeDocument/2006/relationships/hyperlink" Target="#'10 EVIDENCE &amp; DECISIONS'!A308" TargetMode="External" Id="rId356"/><Relationship Type="http://schemas.openxmlformats.org/officeDocument/2006/relationships/hyperlink" Target="#'10 EVIDENCE &amp; DECISIONS'!A309" TargetMode="External" Id="rId357"/><Relationship Type="http://schemas.openxmlformats.org/officeDocument/2006/relationships/hyperlink" Target="#'10 EVIDENCE &amp; DECISIONS'!A310" TargetMode="External" Id="rId358"/><Relationship Type="http://schemas.openxmlformats.org/officeDocument/2006/relationships/hyperlink" Target="#'10 EVIDENCE &amp; DECISIONS'!A311" TargetMode="External" Id="rId359"/><Relationship Type="http://schemas.openxmlformats.org/officeDocument/2006/relationships/hyperlink" Target="#'10 EVIDENCE &amp; DECISIONS'!A312" TargetMode="External" Id="rId360"/><Relationship Type="http://schemas.openxmlformats.org/officeDocument/2006/relationships/hyperlink" Target="#'10 EVIDENCE &amp; DECISIONS'!A313" TargetMode="External" Id="rId361"/><Relationship Type="http://schemas.openxmlformats.org/officeDocument/2006/relationships/hyperlink" Target="#'10 EVIDENCE &amp; DECISIONS'!A314" TargetMode="External" Id="rId362"/><Relationship Type="http://schemas.openxmlformats.org/officeDocument/2006/relationships/hyperlink" Target="#'10 EVIDENCE &amp; DECISIONS'!A315" TargetMode="External" Id="rId363"/><Relationship Type="http://schemas.openxmlformats.org/officeDocument/2006/relationships/hyperlink" Target="#'10 EVIDENCE &amp; DECISIONS'!A316" TargetMode="External" Id="rId364"/><Relationship Type="http://schemas.openxmlformats.org/officeDocument/2006/relationships/hyperlink" Target="#'10 EVIDENCE &amp; DECISIONS'!A317" TargetMode="External" Id="rId365"/><Relationship Type="http://schemas.openxmlformats.org/officeDocument/2006/relationships/hyperlink" Target="#'10 EVIDENCE &amp; DECISIONS'!A318" TargetMode="External" Id="rId366"/><Relationship Type="http://schemas.openxmlformats.org/officeDocument/2006/relationships/hyperlink" Target="#'10 EVIDENCE &amp; DECISIONS'!A319" TargetMode="External" Id="rId367"/><Relationship Type="http://schemas.openxmlformats.org/officeDocument/2006/relationships/hyperlink" Target="#'10 EVIDENCE &amp; DECISIONS'!A320" TargetMode="External" Id="rId368"/><Relationship Type="http://schemas.openxmlformats.org/officeDocument/2006/relationships/hyperlink" Target="#'10 EVIDENCE &amp; DECISIONS'!A321" TargetMode="External" Id="rId369"/><Relationship Type="http://schemas.openxmlformats.org/officeDocument/2006/relationships/hyperlink" Target="#'10 EVIDENCE &amp; DECISIONS'!A322" TargetMode="External" Id="rId370"/><Relationship Type="http://schemas.openxmlformats.org/officeDocument/2006/relationships/hyperlink" Target="#'10 EVIDENCE &amp; DECISIONS'!A323" TargetMode="External" Id="rId371"/><Relationship Type="http://schemas.openxmlformats.org/officeDocument/2006/relationships/hyperlink" Target="#'10 EVIDENCE &amp; DECISIONS'!A324" TargetMode="External" Id="rId372"/><Relationship Type="http://schemas.openxmlformats.org/officeDocument/2006/relationships/hyperlink" Target="#'10 EVIDENCE &amp; DECISIONS'!A325" TargetMode="External" Id="rId373"/><Relationship Type="http://schemas.openxmlformats.org/officeDocument/2006/relationships/hyperlink" Target="#'10 EVIDENCE &amp; DECISIONS'!A326" TargetMode="External" Id="rId374"/><Relationship Type="http://schemas.openxmlformats.org/officeDocument/2006/relationships/hyperlink" Target="#'10 EVIDENCE &amp; DECISIONS'!A327" TargetMode="External" Id="rId375"/><Relationship Type="http://schemas.openxmlformats.org/officeDocument/2006/relationships/hyperlink" Target="#'10 EVIDENCE &amp; DECISIONS'!A328" TargetMode="External" Id="rId376"/><Relationship Type="http://schemas.openxmlformats.org/officeDocument/2006/relationships/hyperlink" Target="#'10 EVIDENCE &amp; DECISIONS'!A329" TargetMode="External" Id="rId377"/><Relationship Type="http://schemas.openxmlformats.org/officeDocument/2006/relationships/hyperlink" Target="#'10 EVIDENCE &amp; DECISIONS'!A330" TargetMode="External" Id="rId378"/><Relationship Type="http://schemas.openxmlformats.org/officeDocument/2006/relationships/hyperlink" Target="#'10 EVIDENCE &amp; DECISIONS'!A331" TargetMode="External" Id="rId379"/><Relationship Type="http://schemas.openxmlformats.org/officeDocument/2006/relationships/hyperlink" Target="#'10 EVIDENCE &amp; DECISIONS'!A332" TargetMode="External" Id="rId380"/><Relationship Type="http://schemas.openxmlformats.org/officeDocument/2006/relationships/hyperlink" Target="#'10 EVIDENCE &amp; DECISIONS'!A333" TargetMode="External" Id="rId381"/><Relationship Type="http://schemas.openxmlformats.org/officeDocument/2006/relationships/hyperlink" Target="#'10 EVIDENCE &amp; DECISIONS'!A334" TargetMode="External" Id="rId382"/><Relationship Type="http://schemas.openxmlformats.org/officeDocument/2006/relationships/hyperlink" Target="#'10 EVIDENCE &amp; DECISIONS'!A335" TargetMode="External" Id="rId383"/><Relationship Type="http://schemas.openxmlformats.org/officeDocument/2006/relationships/hyperlink" Target="#'10 EVIDENCE &amp; DECISIONS'!A336" TargetMode="External" Id="rId384"/><Relationship Type="http://schemas.openxmlformats.org/officeDocument/2006/relationships/hyperlink" Target="#'10 EVIDENCE &amp; DECISIONS'!A337" TargetMode="External" Id="rId385"/><Relationship Type="http://schemas.openxmlformats.org/officeDocument/2006/relationships/hyperlink" Target="#'10 EVIDENCE &amp; DECISIONS'!A338" TargetMode="External" Id="rId386"/><Relationship Type="http://schemas.openxmlformats.org/officeDocument/2006/relationships/hyperlink" Target="#'10 EVIDENCE &amp; DECISIONS'!A339" TargetMode="External" Id="rId387"/><Relationship Type="http://schemas.openxmlformats.org/officeDocument/2006/relationships/hyperlink" Target="#'10 EVIDENCE &amp; DECISIONS'!A340" TargetMode="External" Id="rId388"/><Relationship Type="http://schemas.openxmlformats.org/officeDocument/2006/relationships/hyperlink" Target="#'10 EVIDENCE &amp; DECISIONS'!A341" TargetMode="External" Id="rId389"/><Relationship Type="http://schemas.openxmlformats.org/officeDocument/2006/relationships/hyperlink" Target="#'10 EVIDENCE &amp; DECISIONS'!A342" TargetMode="External" Id="rId390"/><Relationship Type="http://schemas.openxmlformats.org/officeDocument/2006/relationships/hyperlink" Target="#'10 EVIDENCE &amp; DECISIONS'!A343" TargetMode="External" Id="rId391"/><Relationship Type="http://schemas.openxmlformats.org/officeDocument/2006/relationships/hyperlink" Target="#'10 EVIDENCE &amp; DECISIONS'!A344" TargetMode="External" Id="rId392"/><Relationship Type="http://schemas.openxmlformats.org/officeDocument/2006/relationships/hyperlink" Target="#'10 EVIDENCE &amp; DECISIONS'!A345" TargetMode="External" Id="rId393"/><Relationship Type="http://schemas.openxmlformats.org/officeDocument/2006/relationships/hyperlink" Target="#'10 EVIDENCE &amp; DECISIONS'!A346" TargetMode="External" Id="rId394"/><Relationship Type="http://schemas.openxmlformats.org/officeDocument/2006/relationships/hyperlink" Target="#'10 EVIDENCE &amp; DECISIONS'!A347" TargetMode="External" Id="rId395"/><Relationship Type="http://schemas.openxmlformats.org/officeDocument/2006/relationships/hyperlink" Target="#'10 EVIDENCE &amp; DECISIONS'!A348" TargetMode="External" Id="rId396"/><Relationship Type="http://schemas.openxmlformats.org/officeDocument/2006/relationships/hyperlink" Target="#'10 EVIDENCE &amp; DECISIONS'!A349" TargetMode="External" Id="rId397"/><Relationship Type="http://schemas.openxmlformats.org/officeDocument/2006/relationships/hyperlink" Target="#'10 EVIDENCE &amp; DECISIONS'!A350" TargetMode="External" Id="rId398"/><Relationship Type="http://schemas.openxmlformats.org/officeDocument/2006/relationships/hyperlink" Target="#'10 EVIDENCE &amp; DECISIONS'!A351" TargetMode="External" Id="rId399"/><Relationship Type="http://schemas.openxmlformats.org/officeDocument/2006/relationships/hyperlink" Target="#'10 EVIDENCE &amp; DECISIONS'!A352" TargetMode="External" Id="rId400"/><Relationship Type="http://schemas.openxmlformats.org/officeDocument/2006/relationships/hyperlink" Target="#'10 EVIDENCE &amp; DECISIONS'!A353" TargetMode="External" Id="rId401"/><Relationship Type="http://schemas.openxmlformats.org/officeDocument/2006/relationships/hyperlink" Target="#'10 EVIDENCE &amp; DECISIONS'!A354" TargetMode="External" Id="rId402"/><Relationship Type="http://schemas.openxmlformats.org/officeDocument/2006/relationships/hyperlink" Target="#'10 EVIDENCE &amp; DECISIONS'!A355" TargetMode="External" Id="rId403"/><Relationship Type="http://schemas.openxmlformats.org/officeDocument/2006/relationships/hyperlink" Target="#'10 EVIDENCE &amp; DECISIONS'!A356" TargetMode="External" Id="rId404"/><Relationship Type="http://schemas.openxmlformats.org/officeDocument/2006/relationships/hyperlink" Target="#'10 EVIDENCE &amp; DECISIONS'!A357" TargetMode="External" Id="rId405"/><Relationship Type="http://schemas.openxmlformats.org/officeDocument/2006/relationships/hyperlink" Target="#'10 EVIDENCE &amp; DECISIONS'!A358" TargetMode="External" Id="rId406"/><Relationship Type="http://schemas.openxmlformats.org/officeDocument/2006/relationships/hyperlink" Target="#'10 EVIDENCE &amp; DECISIONS'!A359" TargetMode="External" Id="rId407"/><Relationship Type="http://schemas.openxmlformats.org/officeDocument/2006/relationships/hyperlink" Target="#'10 EVIDENCE &amp; DECISIONS'!A360" TargetMode="External" Id="rId408"/><Relationship Type="http://schemas.openxmlformats.org/officeDocument/2006/relationships/hyperlink" Target="#'10 EVIDENCE &amp; DECISIONS'!A361" TargetMode="External" Id="rId409"/><Relationship Type="http://schemas.openxmlformats.org/officeDocument/2006/relationships/hyperlink" Target="#'10 EVIDENCE &amp; DECISIONS'!A362" TargetMode="External" Id="rId410"/><Relationship Type="http://schemas.openxmlformats.org/officeDocument/2006/relationships/hyperlink" Target="#'10 EVIDENCE &amp; DECISIONS'!A363" TargetMode="External" Id="rId411"/><Relationship Type="http://schemas.openxmlformats.org/officeDocument/2006/relationships/hyperlink" Target="#'10 EVIDENCE &amp; DECISIONS'!A364" TargetMode="External" Id="rId412"/><Relationship Type="http://schemas.openxmlformats.org/officeDocument/2006/relationships/hyperlink" Target="#'10 EVIDENCE &amp; DECISIONS'!A365" TargetMode="External" Id="rId413"/><Relationship Type="http://schemas.openxmlformats.org/officeDocument/2006/relationships/hyperlink" Target="#'10 EVIDENCE &amp; DECISIONS'!A366" TargetMode="External" Id="rId414"/><Relationship Type="http://schemas.openxmlformats.org/officeDocument/2006/relationships/hyperlink" Target="#'10 EVIDENCE &amp; DECISIONS'!A367" TargetMode="External" Id="rId415"/><Relationship Type="http://schemas.openxmlformats.org/officeDocument/2006/relationships/hyperlink" Target="#'10 EVIDENCE &amp; DECISIONS'!A368" TargetMode="External" Id="rId416"/><Relationship Type="http://schemas.openxmlformats.org/officeDocument/2006/relationships/hyperlink" Target="#'10 EVIDENCE &amp; DECISIONS'!A369" TargetMode="External" Id="rId417"/><Relationship Type="http://schemas.openxmlformats.org/officeDocument/2006/relationships/hyperlink" Target="#'10 EVIDENCE &amp; DECISIONS'!A370" TargetMode="External" Id="rId418"/><Relationship Type="http://schemas.openxmlformats.org/officeDocument/2006/relationships/hyperlink" Target="#'10 EVIDENCE &amp; DECISIONS'!A371" TargetMode="External" Id="rId419"/><Relationship Type="http://schemas.openxmlformats.org/officeDocument/2006/relationships/hyperlink" Target="#'10 EVIDENCE &amp; DECISIONS'!A372" TargetMode="External" Id="rId420"/><Relationship Type="http://schemas.openxmlformats.org/officeDocument/2006/relationships/hyperlink" Target="#'10 EVIDENCE &amp; DECISIONS'!A373" TargetMode="External" Id="rId421"/><Relationship Type="http://schemas.openxmlformats.org/officeDocument/2006/relationships/hyperlink" Target="#'10 EVIDENCE &amp; DECISIONS'!A374" TargetMode="External" Id="rId422"/><Relationship Type="http://schemas.openxmlformats.org/officeDocument/2006/relationships/hyperlink" Target="#'10 EVIDENCE &amp; DECISIONS'!A375" TargetMode="External" Id="rId423"/><Relationship Type="http://schemas.openxmlformats.org/officeDocument/2006/relationships/hyperlink" Target="#'10 EVIDENCE &amp; DECISIONS'!A376" TargetMode="External" Id="rId424"/><Relationship Type="http://schemas.openxmlformats.org/officeDocument/2006/relationships/hyperlink" Target="#'10 EVIDENCE &amp; DECISIONS'!A377" TargetMode="External" Id="rId425"/><Relationship Type="http://schemas.openxmlformats.org/officeDocument/2006/relationships/hyperlink" Target="#'10 EVIDENCE &amp; DECISIONS'!A378" TargetMode="External" Id="rId426"/><Relationship Type="http://schemas.openxmlformats.org/officeDocument/2006/relationships/hyperlink" Target="#'10 EVIDENCE &amp; DECISIONS'!A379" TargetMode="External" Id="rId427"/><Relationship Type="http://schemas.openxmlformats.org/officeDocument/2006/relationships/hyperlink" Target="#'10 EVIDENCE &amp; DECISIONS'!A380" TargetMode="External" Id="rId428"/><Relationship Type="http://schemas.openxmlformats.org/officeDocument/2006/relationships/hyperlink" Target="#'10 EVIDENCE &amp; DECISIONS'!A381" TargetMode="External" Id="rId429"/><Relationship Type="http://schemas.openxmlformats.org/officeDocument/2006/relationships/hyperlink" Target="#'10 EVIDENCE &amp; DECISIONS'!A382" TargetMode="External" Id="rId430"/><Relationship Type="http://schemas.openxmlformats.org/officeDocument/2006/relationships/hyperlink" Target="#'10 EVIDENCE &amp; DECISIONS'!A383" TargetMode="External" Id="rId431"/><Relationship Type="http://schemas.openxmlformats.org/officeDocument/2006/relationships/hyperlink" Target="#'10 EVIDENCE &amp; DECISIONS'!A384" TargetMode="External" Id="rId432"/><Relationship Type="http://schemas.openxmlformats.org/officeDocument/2006/relationships/hyperlink" Target="#'10 EVIDENCE &amp; DECISIONS'!A385" TargetMode="External" Id="rId433"/><Relationship Type="http://schemas.openxmlformats.org/officeDocument/2006/relationships/hyperlink" Target="#'10 EVIDENCE &amp; DECISIONS'!A386" TargetMode="External" Id="rId434"/><Relationship Type="http://schemas.openxmlformats.org/officeDocument/2006/relationships/hyperlink" Target="#'10 EVIDENCE &amp; DECISIONS'!A387" TargetMode="External" Id="rId435"/><Relationship Type="http://schemas.openxmlformats.org/officeDocument/2006/relationships/hyperlink" Target="#'10 EVIDENCE &amp; DECISIONS'!A388" TargetMode="External" Id="rId436"/><Relationship Type="http://schemas.openxmlformats.org/officeDocument/2006/relationships/hyperlink" Target="#'10 EVIDENCE &amp; DECISIONS'!A389" TargetMode="External" Id="rId437"/><Relationship Type="http://schemas.openxmlformats.org/officeDocument/2006/relationships/hyperlink" Target="#'10 EVIDENCE &amp; DECISIONS'!A390" TargetMode="External" Id="rId438"/><Relationship Type="http://schemas.openxmlformats.org/officeDocument/2006/relationships/hyperlink" Target="#'10 EVIDENCE &amp; DECISIONS'!A391" TargetMode="External" Id="rId439"/><Relationship Type="http://schemas.openxmlformats.org/officeDocument/2006/relationships/hyperlink" Target="#'10 EVIDENCE &amp; DECISIONS'!A392" TargetMode="External" Id="rId440"/><Relationship Type="http://schemas.openxmlformats.org/officeDocument/2006/relationships/hyperlink" Target="#'10 EVIDENCE &amp; DECISIONS'!A393" TargetMode="External" Id="rId441"/><Relationship Type="http://schemas.openxmlformats.org/officeDocument/2006/relationships/hyperlink" Target="#'10 EVIDENCE &amp; DECISIONS'!A394" TargetMode="External" Id="rId442"/><Relationship Type="http://schemas.openxmlformats.org/officeDocument/2006/relationships/hyperlink" Target="#'10 EVIDENCE &amp; DECISIONS'!A395" TargetMode="External" Id="rId443"/><Relationship Type="http://schemas.openxmlformats.org/officeDocument/2006/relationships/hyperlink" Target="#'10 EVIDENCE &amp; DECISIONS'!A396" TargetMode="External" Id="rId444"/><Relationship Type="http://schemas.openxmlformats.org/officeDocument/2006/relationships/hyperlink" Target="#'10 EVIDENCE &amp; DECISIONS'!A397" TargetMode="External" Id="rId445"/><Relationship Type="http://schemas.openxmlformats.org/officeDocument/2006/relationships/hyperlink" Target="#'10 EVIDENCE &amp; DECISIONS'!A398" TargetMode="External" Id="rId446"/><Relationship Type="http://schemas.openxmlformats.org/officeDocument/2006/relationships/hyperlink" Target="#'10 EVIDENCE &amp; DECISIONS'!A399" TargetMode="External" Id="rId447"/><Relationship Type="http://schemas.openxmlformats.org/officeDocument/2006/relationships/hyperlink" Target="#'10 EVIDENCE &amp; DECISIONS'!A400" TargetMode="External" Id="rId448"/><Relationship Type="http://schemas.openxmlformats.org/officeDocument/2006/relationships/hyperlink" Target="#'10 EVIDENCE &amp; DECISIONS'!A401" TargetMode="External" Id="rId449"/><Relationship Type="http://schemas.openxmlformats.org/officeDocument/2006/relationships/hyperlink" Target="#'10 EVIDENCE &amp; DECISIONS'!A402" TargetMode="External" Id="rId450"/><Relationship Type="http://schemas.openxmlformats.org/officeDocument/2006/relationships/hyperlink" Target="#'10 EVIDENCE &amp; DECISIONS'!A403" TargetMode="External" Id="rId451"/><Relationship Type="http://schemas.openxmlformats.org/officeDocument/2006/relationships/hyperlink" Target="#'10 EVIDENCE &amp; DECISIONS'!A404" TargetMode="External" Id="rId452"/><Relationship Type="http://schemas.openxmlformats.org/officeDocument/2006/relationships/hyperlink" Target="#'10 EVIDENCE &amp; DECISIONS'!A405" TargetMode="External" Id="rId453"/><Relationship Type="http://schemas.openxmlformats.org/officeDocument/2006/relationships/hyperlink" Target="#'10 EVIDENCE &amp; DECISIONS'!A406" TargetMode="External" Id="rId454"/><Relationship Type="http://schemas.openxmlformats.org/officeDocument/2006/relationships/hyperlink" Target="#'10 EVIDENCE &amp; DECISIONS'!A407" TargetMode="External" Id="rId455"/><Relationship Type="http://schemas.openxmlformats.org/officeDocument/2006/relationships/hyperlink" Target="#'10 EVIDENCE &amp; DECISIONS'!A408" TargetMode="External" Id="rId456"/><Relationship Type="http://schemas.openxmlformats.org/officeDocument/2006/relationships/hyperlink" Target="#'10 EVIDENCE &amp; DECISIONS'!A509" TargetMode="External" Id="rId457"/><Relationship Type="http://schemas.openxmlformats.org/officeDocument/2006/relationships/hyperlink" Target="#'10 EVIDENCE &amp; DECISIONS'!A510" TargetMode="External" Id="rId458"/><Relationship Type="http://schemas.openxmlformats.org/officeDocument/2006/relationships/hyperlink" Target="#'10 EVIDENCE &amp; DECISIONS'!A511" TargetMode="External" Id="rId459"/><Relationship Type="http://schemas.openxmlformats.org/officeDocument/2006/relationships/hyperlink" Target="#'10 EVIDENCE &amp; DECISIONS'!A512" TargetMode="External" Id="rId460"/><Relationship Type="http://schemas.openxmlformats.org/officeDocument/2006/relationships/hyperlink" Target="#'10 EVIDENCE &amp; DECISIONS'!A513" TargetMode="External" Id="rId461"/><Relationship Type="http://schemas.openxmlformats.org/officeDocument/2006/relationships/hyperlink" Target="#'10 EVIDENCE &amp; DECISIONS'!A514" TargetMode="External" Id="rId462"/><Relationship Type="http://schemas.openxmlformats.org/officeDocument/2006/relationships/hyperlink" Target="#'10 EVIDENCE &amp; DECISIONS'!A515" TargetMode="External" Id="rId463"/><Relationship Type="http://schemas.openxmlformats.org/officeDocument/2006/relationships/hyperlink" Target="#'10 EVIDENCE &amp; DECISIONS'!A516" TargetMode="External" Id="rId464"/><Relationship Type="http://schemas.openxmlformats.org/officeDocument/2006/relationships/hyperlink" Target="#'10 EVIDENCE &amp; DECISIONS'!A517" TargetMode="External" Id="rId465"/><Relationship Type="http://schemas.openxmlformats.org/officeDocument/2006/relationships/hyperlink" Target="#'10 EVIDENCE &amp; DECISIONS'!A518" TargetMode="External" Id="rId466"/><Relationship Type="http://schemas.openxmlformats.org/officeDocument/2006/relationships/hyperlink" Target="#'10 EVIDENCE &amp; DECISIONS'!A519" TargetMode="External" Id="rId467"/><Relationship Type="http://schemas.openxmlformats.org/officeDocument/2006/relationships/hyperlink" Target="#'10 EVIDENCE &amp; DECISIONS'!A520" TargetMode="External" Id="rId468"/><Relationship Type="http://schemas.openxmlformats.org/officeDocument/2006/relationships/hyperlink" Target="#'10 EVIDENCE &amp; DECISIONS'!A521" TargetMode="External" Id="rId469"/><Relationship Type="http://schemas.openxmlformats.org/officeDocument/2006/relationships/hyperlink" Target="#'10 EVIDENCE &amp; DECISIONS'!A522" TargetMode="External" Id="rId470"/><Relationship Type="http://schemas.openxmlformats.org/officeDocument/2006/relationships/hyperlink" Target="#'10 EVIDENCE &amp; DECISIONS'!A523" TargetMode="External" Id="rId471"/><Relationship Type="http://schemas.openxmlformats.org/officeDocument/2006/relationships/hyperlink" Target="#'10 EVIDENCE &amp; DECISIONS'!A524" TargetMode="External" Id="rId472"/><Relationship Type="http://schemas.openxmlformats.org/officeDocument/2006/relationships/hyperlink" Target="#'10 EVIDENCE &amp; DECISIONS'!A525" TargetMode="External" Id="rId473"/><Relationship Type="http://schemas.openxmlformats.org/officeDocument/2006/relationships/hyperlink" Target="#'10 EVIDENCE &amp; DECISIONS'!A526" TargetMode="External" Id="rId474"/><Relationship Type="http://schemas.openxmlformats.org/officeDocument/2006/relationships/hyperlink" Target="#'10 EVIDENCE &amp; DECISIONS'!A527" TargetMode="External" Id="rId475"/><Relationship Type="http://schemas.openxmlformats.org/officeDocument/2006/relationships/hyperlink" Target="#'10 EVIDENCE &amp; DECISIONS'!A528" TargetMode="External" Id="rId476"/><Relationship Type="http://schemas.openxmlformats.org/officeDocument/2006/relationships/hyperlink" Target="#'10 EVIDENCE &amp; DECISIONS'!A529" TargetMode="External" Id="rId477"/><Relationship Type="http://schemas.openxmlformats.org/officeDocument/2006/relationships/hyperlink" Target="#'10 EVIDENCE &amp; DECISIONS'!A530" TargetMode="External" Id="rId478"/><Relationship Type="http://schemas.openxmlformats.org/officeDocument/2006/relationships/hyperlink" Target="#'10 EVIDENCE &amp; DECISIONS'!A531" TargetMode="External" Id="rId479"/><Relationship Type="http://schemas.openxmlformats.org/officeDocument/2006/relationships/hyperlink" Target="#'10 EVIDENCE &amp; DECISIONS'!A532" TargetMode="External" Id="rId480"/><Relationship Type="http://schemas.openxmlformats.org/officeDocument/2006/relationships/hyperlink" Target="#'10 EVIDENCE &amp; DECISIONS'!A533" TargetMode="External" Id="rId481"/><Relationship Type="http://schemas.openxmlformats.org/officeDocument/2006/relationships/hyperlink" Target="#'10 EVIDENCE &amp; DECISIONS'!A534" TargetMode="External" Id="rId482"/><Relationship Type="http://schemas.openxmlformats.org/officeDocument/2006/relationships/hyperlink" Target="#'10 EVIDENCE &amp; DECISIONS'!A535" TargetMode="External" Id="rId483"/><Relationship Type="http://schemas.openxmlformats.org/officeDocument/2006/relationships/hyperlink" Target="#'10 EVIDENCE &amp; DECISIONS'!A536" TargetMode="External" Id="rId484"/><Relationship Type="http://schemas.openxmlformats.org/officeDocument/2006/relationships/hyperlink" Target="#'10 EVIDENCE &amp; DECISIONS'!A537" TargetMode="External" Id="rId485"/><Relationship Type="http://schemas.openxmlformats.org/officeDocument/2006/relationships/hyperlink" Target="#'10 EVIDENCE &amp; DECISIONS'!A538" TargetMode="External" Id="rId486"/><Relationship Type="http://schemas.openxmlformats.org/officeDocument/2006/relationships/hyperlink" Target="#'10 EVIDENCE &amp; DECISIONS'!A539" TargetMode="External" Id="rId487"/><Relationship Type="http://schemas.openxmlformats.org/officeDocument/2006/relationships/hyperlink" Target="#'10 EVIDENCE &amp; DECISIONS'!A540" TargetMode="External" Id="rId488"/><Relationship Type="http://schemas.openxmlformats.org/officeDocument/2006/relationships/hyperlink" Target="#'10 EVIDENCE &amp; DECISIONS'!A541" TargetMode="External" Id="rId489"/><Relationship Type="http://schemas.openxmlformats.org/officeDocument/2006/relationships/hyperlink" Target="#'10 EVIDENCE &amp; DECISIONS'!A542" TargetMode="External" Id="rId490"/><Relationship Type="http://schemas.openxmlformats.org/officeDocument/2006/relationships/hyperlink" Target="#'10 EVIDENCE &amp; DECISIONS'!A543" TargetMode="External" Id="rId491"/><Relationship Type="http://schemas.openxmlformats.org/officeDocument/2006/relationships/hyperlink" Target="#'10 EVIDENCE &amp; DECISIONS'!A544" TargetMode="External" Id="rId492"/><Relationship Type="http://schemas.openxmlformats.org/officeDocument/2006/relationships/hyperlink" Target="#'10 EVIDENCE &amp; DECISIONS'!A545" TargetMode="External" Id="rId493"/><Relationship Type="http://schemas.openxmlformats.org/officeDocument/2006/relationships/hyperlink" Target="#'10 EVIDENCE &amp; DECISIONS'!A546" TargetMode="External" Id="rId494"/><Relationship Type="http://schemas.openxmlformats.org/officeDocument/2006/relationships/hyperlink" Target="#'10 EVIDENCE &amp; DECISIONS'!A547" TargetMode="External" Id="rId495"/><Relationship Type="http://schemas.openxmlformats.org/officeDocument/2006/relationships/hyperlink" Target="#'10 EVIDENCE &amp; DECISIONS'!A548" TargetMode="External" Id="rId496"/><Relationship Type="http://schemas.openxmlformats.org/officeDocument/2006/relationships/hyperlink" Target="#'10 EVIDENCE &amp; DECISIONS'!A450" TargetMode="External" Id="rId497"/><Relationship Type="http://schemas.openxmlformats.org/officeDocument/2006/relationships/hyperlink" Target="#'10 EVIDENCE &amp; DECISIONS'!A451" TargetMode="External" Id="rId498"/><Relationship Type="http://schemas.openxmlformats.org/officeDocument/2006/relationships/hyperlink" Target="#'10 EVIDENCE &amp; DECISIONS'!A452" TargetMode="External" Id="rId499"/><Relationship Type="http://schemas.openxmlformats.org/officeDocument/2006/relationships/hyperlink" Target="#'10 EVIDENCE &amp; DECISIONS'!A453" TargetMode="External" Id="rId500"/><Relationship Type="http://schemas.openxmlformats.org/officeDocument/2006/relationships/hyperlink" Target="#'10 EVIDENCE &amp; DECISIONS'!A454" TargetMode="External" Id="rId501"/><Relationship Type="http://schemas.openxmlformats.org/officeDocument/2006/relationships/hyperlink" Target="#'10 EVIDENCE &amp; DECISIONS'!A455" TargetMode="External" Id="rId502"/><Relationship Type="http://schemas.openxmlformats.org/officeDocument/2006/relationships/hyperlink" Target="#'10 EVIDENCE &amp; DECISIONS'!A456" TargetMode="External" Id="rId503"/><Relationship Type="http://schemas.openxmlformats.org/officeDocument/2006/relationships/hyperlink" Target="#'10 EVIDENCE &amp; DECISIONS'!A457" TargetMode="External" Id="rId504"/><Relationship Type="http://schemas.openxmlformats.org/officeDocument/2006/relationships/hyperlink" Target="#'10 EVIDENCE &amp; DECISIONS'!A458" TargetMode="External" Id="rId505"/><Relationship Type="http://schemas.openxmlformats.org/officeDocument/2006/relationships/hyperlink" Target="#'10 EVIDENCE &amp; DECISIONS'!A459" TargetMode="External" Id="rId506"/><Relationship Type="http://schemas.openxmlformats.org/officeDocument/2006/relationships/hyperlink" Target="#'10 EVIDENCE &amp; DECISIONS'!A460" TargetMode="External" Id="rId507"/><Relationship Type="http://schemas.openxmlformats.org/officeDocument/2006/relationships/hyperlink" Target="#'10 EVIDENCE &amp; DECISIONS'!A461" TargetMode="External" Id="rId508"/><Relationship Type="http://schemas.openxmlformats.org/officeDocument/2006/relationships/hyperlink" Target="#'10 EVIDENCE &amp; DECISIONS'!A462" TargetMode="External" Id="rId509"/><Relationship Type="http://schemas.openxmlformats.org/officeDocument/2006/relationships/hyperlink" Target="#'10 EVIDENCE &amp; DECISIONS'!A463" TargetMode="External" Id="rId510"/><Relationship Type="http://schemas.openxmlformats.org/officeDocument/2006/relationships/hyperlink" Target="#'10 EVIDENCE &amp; DECISIONS'!A464" TargetMode="External" Id="rId511"/><Relationship Type="http://schemas.openxmlformats.org/officeDocument/2006/relationships/hyperlink" Target="#'10 EVIDENCE &amp; DECISIONS'!A465" TargetMode="External" Id="rId512"/><Relationship Type="http://schemas.openxmlformats.org/officeDocument/2006/relationships/hyperlink" Target="#'10 EVIDENCE &amp; DECISIONS'!A466" TargetMode="External" Id="rId513"/><Relationship Type="http://schemas.openxmlformats.org/officeDocument/2006/relationships/hyperlink" Target="#'10 EVIDENCE &amp; DECISIONS'!A467" TargetMode="External" Id="rId514"/><Relationship Type="http://schemas.openxmlformats.org/officeDocument/2006/relationships/hyperlink" Target="#'10 EVIDENCE &amp; DECISIONS'!A468" TargetMode="External" Id="rId515"/><Relationship Type="http://schemas.openxmlformats.org/officeDocument/2006/relationships/hyperlink" Target="#'10 EVIDENCE &amp; DECISIONS'!A469" TargetMode="External" Id="rId516"/><Relationship Type="http://schemas.openxmlformats.org/officeDocument/2006/relationships/hyperlink" Target="#'10 EVIDENCE &amp; DECISIONS'!A470" TargetMode="External" Id="rId517"/><Relationship Type="http://schemas.openxmlformats.org/officeDocument/2006/relationships/hyperlink" Target="#'10 EVIDENCE &amp; DECISIONS'!A471" TargetMode="External" Id="rId518"/><Relationship Type="http://schemas.openxmlformats.org/officeDocument/2006/relationships/hyperlink" Target="#'10 EVIDENCE &amp; DECISIONS'!A472" TargetMode="External" Id="rId519"/><Relationship Type="http://schemas.openxmlformats.org/officeDocument/2006/relationships/hyperlink" Target="#'10 EVIDENCE &amp; DECISIONS'!A473" TargetMode="External" Id="rId520"/><Relationship Type="http://schemas.openxmlformats.org/officeDocument/2006/relationships/hyperlink" Target="#'10 EVIDENCE &amp; DECISIONS'!A474" TargetMode="External" Id="rId521"/><Relationship Type="http://schemas.openxmlformats.org/officeDocument/2006/relationships/hyperlink" Target="#'10 EVIDENCE &amp; DECISIONS'!A475" TargetMode="External" Id="rId522"/><Relationship Type="http://schemas.openxmlformats.org/officeDocument/2006/relationships/hyperlink" Target="#'10 EVIDENCE &amp; DECISIONS'!A476" TargetMode="External" Id="rId523"/><Relationship Type="http://schemas.openxmlformats.org/officeDocument/2006/relationships/hyperlink" Target="#'10 EVIDENCE &amp; DECISIONS'!A477" TargetMode="External" Id="rId524"/><Relationship Type="http://schemas.openxmlformats.org/officeDocument/2006/relationships/hyperlink" Target="#'10 EVIDENCE &amp; DECISIONS'!A478" TargetMode="External" Id="rId525"/><Relationship Type="http://schemas.openxmlformats.org/officeDocument/2006/relationships/hyperlink" Target="#'10 EVIDENCE &amp; DECISIONS'!A479" TargetMode="External" Id="rId526"/><Relationship Type="http://schemas.openxmlformats.org/officeDocument/2006/relationships/hyperlink" Target="#'10 EVIDENCE &amp; DECISIONS'!A480" TargetMode="External" Id="rId527"/><Relationship Type="http://schemas.openxmlformats.org/officeDocument/2006/relationships/hyperlink" Target="#'10 EVIDENCE &amp; DECISIONS'!A481" TargetMode="External" Id="rId528"/><Relationship Type="http://schemas.openxmlformats.org/officeDocument/2006/relationships/hyperlink" Target="#'10 EVIDENCE &amp; DECISIONS'!A482" TargetMode="External" Id="rId529"/><Relationship Type="http://schemas.openxmlformats.org/officeDocument/2006/relationships/hyperlink" Target="#'10 EVIDENCE &amp; DECISIONS'!A483" TargetMode="External" Id="rId530"/><Relationship Type="http://schemas.openxmlformats.org/officeDocument/2006/relationships/hyperlink" Target="#'10 EVIDENCE &amp; DECISIONS'!A484" TargetMode="External" Id="rId531"/><Relationship Type="http://schemas.openxmlformats.org/officeDocument/2006/relationships/hyperlink" Target="#'10 EVIDENCE &amp; DECISIONS'!A485" TargetMode="External" Id="rId532"/><Relationship Type="http://schemas.openxmlformats.org/officeDocument/2006/relationships/hyperlink" Target="#'10 EVIDENCE &amp; DECISIONS'!A486" TargetMode="External" Id="rId533"/><Relationship Type="http://schemas.openxmlformats.org/officeDocument/2006/relationships/hyperlink" Target="#'10 EVIDENCE &amp; DECISIONS'!A487" TargetMode="External" Id="rId534"/><Relationship Type="http://schemas.openxmlformats.org/officeDocument/2006/relationships/hyperlink" Target="#'10 EVIDENCE &amp; DECISIONS'!A488" TargetMode="External" Id="rId535"/><Relationship Type="http://schemas.openxmlformats.org/officeDocument/2006/relationships/hyperlink" Target="#'10 EVIDENCE &amp; DECISIONS'!A489" TargetMode="External" Id="rId536"/><Relationship Type="http://schemas.openxmlformats.org/officeDocument/2006/relationships/hyperlink" Target="#'10 EVIDENCE &amp; DECISIONS'!A490" TargetMode="External" Id="rId537"/><Relationship Type="http://schemas.openxmlformats.org/officeDocument/2006/relationships/hyperlink" Target="#'10 EVIDENCE &amp; DECISIONS'!A491" TargetMode="External" Id="rId538"/><Relationship Type="http://schemas.openxmlformats.org/officeDocument/2006/relationships/hyperlink" Target="#'10 EVIDENCE &amp; DECISIONS'!A492" TargetMode="External" Id="rId539"/><Relationship Type="http://schemas.openxmlformats.org/officeDocument/2006/relationships/hyperlink" Target="#'10 EVIDENCE &amp; DECISIONS'!A493" TargetMode="External" Id="rId540"/><Relationship Type="http://schemas.openxmlformats.org/officeDocument/2006/relationships/hyperlink" Target="#'10 EVIDENCE &amp; DECISIONS'!A494" TargetMode="External" Id="rId541"/><Relationship Type="http://schemas.openxmlformats.org/officeDocument/2006/relationships/hyperlink" Target="#'10 EVIDENCE &amp; DECISIONS'!A495" TargetMode="External" Id="rId542"/><Relationship Type="http://schemas.openxmlformats.org/officeDocument/2006/relationships/hyperlink" Target="#'10 EVIDENCE &amp; DECISIONS'!A496" TargetMode="External" Id="rId543"/><Relationship Type="http://schemas.openxmlformats.org/officeDocument/2006/relationships/hyperlink" Target="#'10 EVIDENCE &amp; DECISIONS'!A497" TargetMode="External" Id="rId544"/><Relationship Type="http://schemas.openxmlformats.org/officeDocument/2006/relationships/hyperlink" Target="#'10 EVIDENCE &amp; DECISIONS'!A498" TargetMode="External" Id="rId545"/><Relationship Type="http://schemas.openxmlformats.org/officeDocument/2006/relationships/hyperlink" Target="#'10 EVIDENCE &amp; DECISIONS'!A499" TargetMode="External" Id="rId546"/><Relationship Type="http://schemas.openxmlformats.org/officeDocument/2006/relationships/hyperlink" Target="#'10 EVIDENCE &amp; DECISIONS'!A500" TargetMode="External" Id="rId547"/><Relationship Type="http://schemas.openxmlformats.org/officeDocument/2006/relationships/hyperlink" Target="#'10 EVIDENCE &amp; DECISIONS'!A501" TargetMode="External" Id="rId548"/><Relationship Type="http://schemas.openxmlformats.org/officeDocument/2006/relationships/hyperlink" Target="#'10 EVIDENCE &amp; DECISIONS'!A502" TargetMode="External" Id="rId549"/><Relationship Type="http://schemas.openxmlformats.org/officeDocument/2006/relationships/hyperlink" Target="#'10 EVIDENCE &amp; DECISIONS'!A503" TargetMode="External" Id="rId550"/><Relationship Type="http://schemas.openxmlformats.org/officeDocument/2006/relationships/hyperlink" Target="#'10 EVIDENCE &amp; DECISIONS'!A504" TargetMode="External" Id="rId551"/><Relationship Type="http://schemas.openxmlformats.org/officeDocument/2006/relationships/hyperlink" Target="#'10 EVIDENCE &amp; DECISIONS'!A505" TargetMode="External" Id="rId552"/><Relationship Type="http://schemas.openxmlformats.org/officeDocument/2006/relationships/hyperlink" Target="#'10 EVIDENCE &amp; DECISIONS'!A506" TargetMode="External" Id="rId553"/><Relationship Type="http://schemas.openxmlformats.org/officeDocument/2006/relationships/hyperlink" Target="#'10 EVIDENCE &amp; DECISIONS'!A507" TargetMode="External" Id="rId554"/><Relationship Type="http://schemas.openxmlformats.org/officeDocument/2006/relationships/hyperlink" Target="#'10 EVIDENCE &amp; DECISIONS'!A508" TargetMode="External" Id="rId555"/><Relationship Type="http://schemas.openxmlformats.org/officeDocument/2006/relationships/hyperlink" Target="#'10 EVIDENCE &amp; DECISIONS'!A549" TargetMode="External" Id="rId556"/><Relationship Type="http://schemas.openxmlformats.org/officeDocument/2006/relationships/hyperlink" Target="#'10 EVIDENCE &amp; DECISIONS'!A550" TargetMode="External" Id="rId557"/><Relationship Type="http://schemas.openxmlformats.org/officeDocument/2006/relationships/hyperlink" Target="#'10 EVIDENCE &amp; DECISIONS'!A551" TargetMode="External" Id="rId558"/><Relationship Type="http://schemas.openxmlformats.org/officeDocument/2006/relationships/hyperlink" Target="#'10 EVIDENCE &amp; DECISIONS'!A552" TargetMode="External" Id="rId559"/><Relationship Type="http://schemas.openxmlformats.org/officeDocument/2006/relationships/hyperlink" Target="#'10 EVIDENCE &amp; DECISIONS'!A553" TargetMode="External" Id="rId560"/><Relationship Type="http://schemas.openxmlformats.org/officeDocument/2006/relationships/hyperlink" Target="#'10 EVIDENCE &amp; DECISIONS'!A554" TargetMode="External" Id="rId561"/><Relationship Type="http://schemas.openxmlformats.org/officeDocument/2006/relationships/hyperlink" Target="#'10 EVIDENCE &amp; DECISIONS'!A555" TargetMode="External" Id="rId562"/><Relationship Type="http://schemas.openxmlformats.org/officeDocument/2006/relationships/hyperlink" Target="#'10 EVIDENCE &amp; DECISIONS'!A556" TargetMode="External" Id="rId563"/><Relationship Type="http://schemas.openxmlformats.org/officeDocument/2006/relationships/hyperlink" Target="#'10 EVIDENCE &amp; DECISIONS'!A557" TargetMode="External" Id="rId564"/><Relationship Type="http://schemas.openxmlformats.org/officeDocument/2006/relationships/hyperlink" Target="#'10 EVIDENCE &amp; DECISIONS'!A558" TargetMode="External" Id="rId565"/><Relationship Type="http://schemas.openxmlformats.org/officeDocument/2006/relationships/hyperlink" Target="#'10 EVIDENCE &amp; DECISIONS'!A678" TargetMode="External" Id="rId566"/><Relationship Type="http://schemas.openxmlformats.org/officeDocument/2006/relationships/hyperlink" Target="#'10 EVIDENCE &amp; DECISIONS'!A679" TargetMode="External" Id="rId567"/><Relationship Type="http://schemas.openxmlformats.org/officeDocument/2006/relationships/hyperlink" Target="#'10 EVIDENCE &amp; DECISIONS'!A680" TargetMode="External" Id="rId568"/><Relationship Type="http://schemas.openxmlformats.org/officeDocument/2006/relationships/hyperlink" Target="#'10 EVIDENCE &amp; DECISIONS'!A681" TargetMode="External" Id="rId569"/><Relationship Type="http://schemas.openxmlformats.org/officeDocument/2006/relationships/hyperlink" Target="#'10 EVIDENCE &amp; DECISIONS'!A682" TargetMode="External" Id="rId570"/><Relationship Type="http://schemas.openxmlformats.org/officeDocument/2006/relationships/hyperlink" Target="#'10 EVIDENCE &amp; DECISIONS'!A683" TargetMode="External" Id="rId571"/><Relationship Type="http://schemas.openxmlformats.org/officeDocument/2006/relationships/hyperlink" Target="#'10 EVIDENCE &amp; DECISIONS'!A684" TargetMode="External" Id="rId572"/><Relationship Type="http://schemas.openxmlformats.org/officeDocument/2006/relationships/hyperlink" Target="#'10 EVIDENCE &amp; DECISIONS'!A685" TargetMode="External" Id="rId573"/><Relationship Type="http://schemas.openxmlformats.org/officeDocument/2006/relationships/hyperlink" Target="#'10 EVIDENCE &amp; DECISIONS'!A686" TargetMode="External" Id="rId574"/><Relationship Type="http://schemas.openxmlformats.org/officeDocument/2006/relationships/hyperlink" Target="#'10 EVIDENCE &amp; DECISIONS'!A687" TargetMode="External" Id="rId575"/><Relationship Type="http://schemas.openxmlformats.org/officeDocument/2006/relationships/hyperlink" Target="#'10 EVIDENCE &amp; DECISIONS'!A688" TargetMode="External" Id="rId576"/><Relationship Type="http://schemas.openxmlformats.org/officeDocument/2006/relationships/hyperlink" Target="#'10 EVIDENCE &amp; DECISIONS'!A689" TargetMode="External" Id="rId577"/><Relationship Type="http://schemas.openxmlformats.org/officeDocument/2006/relationships/hyperlink" Target="#'10 EVIDENCE &amp; DECISIONS'!A690" TargetMode="External" Id="rId578"/><Relationship Type="http://schemas.openxmlformats.org/officeDocument/2006/relationships/hyperlink" Target="#'10 EVIDENCE &amp; DECISIONS'!A691" TargetMode="External" Id="rId579"/><Relationship Type="http://schemas.openxmlformats.org/officeDocument/2006/relationships/hyperlink" Target="#'10 EVIDENCE &amp; DECISIONS'!A692" TargetMode="External" Id="rId580"/><Relationship Type="http://schemas.openxmlformats.org/officeDocument/2006/relationships/hyperlink" Target="#'10 EVIDENCE &amp; DECISIONS'!A693" TargetMode="External" Id="rId581"/><Relationship Type="http://schemas.openxmlformats.org/officeDocument/2006/relationships/hyperlink" Target="#'10 EVIDENCE &amp; DECISIONS'!A694" TargetMode="External" Id="rId582"/><Relationship Type="http://schemas.openxmlformats.org/officeDocument/2006/relationships/hyperlink" Target="#'10 EVIDENCE &amp; DECISIONS'!A695" TargetMode="External" Id="rId583"/><Relationship Type="http://schemas.openxmlformats.org/officeDocument/2006/relationships/hyperlink" Target="#'10 EVIDENCE &amp; DECISIONS'!A696" TargetMode="External" Id="rId584"/><Relationship Type="http://schemas.openxmlformats.org/officeDocument/2006/relationships/hyperlink" Target="#'10 EVIDENCE &amp; DECISIONS'!A697" TargetMode="External" Id="rId585"/><Relationship Type="http://schemas.openxmlformats.org/officeDocument/2006/relationships/hyperlink" Target="#'10 EVIDENCE &amp; DECISIONS'!A698" TargetMode="External" Id="rId586"/><Relationship Type="http://schemas.openxmlformats.org/officeDocument/2006/relationships/hyperlink" Target="#'10 EVIDENCE &amp; DECISIONS'!A699" TargetMode="External" Id="rId587"/><Relationship Type="http://schemas.openxmlformats.org/officeDocument/2006/relationships/hyperlink" Target="#'10 EVIDENCE &amp; DECISIONS'!A700" TargetMode="External" Id="rId588"/><Relationship Type="http://schemas.openxmlformats.org/officeDocument/2006/relationships/hyperlink" Target="#'10 EVIDENCE &amp; DECISIONS'!A701" TargetMode="External" Id="rId589"/><Relationship Type="http://schemas.openxmlformats.org/officeDocument/2006/relationships/hyperlink" Target="#'10 EVIDENCE &amp; DECISIONS'!A702" TargetMode="External" Id="rId590"/><Relationship Type="http://schemas.openxmlformats.org/officeDocument/2006/relationships/hyperlink" Target="#'10 EVIDENCE &amp; DECISIONS'!A703" TargetMode="External" Id="rId591"/><Relationship Type="http://schemas.openxmlformats.org/officeDocument/2006/relationships/hyperlink" Target="#'10 EVIDENCE &amp; DECISIONS'!A704" TargetMode="External" Id="rId592"/><Relationship Type="http://schemas.openxmlformats.org/officeDocument/2006/relationships/hyperlink" Target="#'10 EVIDENCE &amp; DECISIONS'!A705" TargetMode="External" Id="rId593"/><Relationship Type="http://schemas.openxmlformats.org/officeDocument/2006/relationships/hyperlink" Target="#'10 EVIDENCE &amp; DECISIONS'!A706" TargetMode="External" Id="rId594"/><Relationship Type="http://schemas.openxmlformats.org/officeDocument/2006/relationships/hyperlink" Target="#'10 EVIDENCE &amp; DECISIONS'!A707" TargetMode="External" Id="rId595"/><Relationship Type="http://schemas.openxmlformats.org/officeDocument/2006/relationships/hyperlink" Target="#'10 EVIDENCE &amp; DECISIONS'!A708" TargetMode="External" Id="rId596"/><Relationship Type="http://schemas.openxmlformats.org/officeDocument/2006/relationships/hyperlink" Target="#'10 EVIDENCE &amp; DECISIONS'!A709" TargetMode="External" Id="rId597"/><Relationship Type="http://schemas.openxmlformats.org/officeDocument/2006/relationships/hyperlink" Target="#'10 EVIDENCE &amp; DECISIONS'!A710" TargetMode="External" Id="rId598"/><Relationship Type="http://schemas.openxmlformats.org/officeDocument/2006/relationships/hyperlink" Target="#'10 EVIDENCE &amp; DECISIONS'!A711" TargetMode="External" Id="rId599"/><Relationship Type="http://schemas.openxmlformats.org/officeDocument/2006/relationships/hyperlink" Target="#'10 EVIDENCE &amp; DECISIONS'!A712" TargetMode="External" Id="rId600"/><Relationship Type="http://schemas.openxmlformats.org/officeDocument/2006/relationships/hyperlink" Target="#'10 EVIDENCE &amp; DECISIONS'!A713" TargetMode="External" Id="rId601"/><Relationship Type="http://schemas.openxmlformats.org/officeDocument/2006/relationships/hyperlink" Target="#'10 EVIDENCE &amp; DECISIONS'!A714" TargetMode="External" Id="rId602"/><Relationship Type="http://schemas.openxmlformats.org/officeDocument/2006/relationships/hyperlink" Target="#'10 EVIDENCE &amp; DECISIONS'!A715" TargetMode="External" Id="rId603"/><Relationship Type="http://schemas.openxmlformats.org/officeDocument/2006/relationships/hyperlink" Target="#'10 EVIDENCE &amp; DECISIONS'!A716" TargetMode="External" Id="rId604"/><Relationship Type="http://schemas.openxmlformats.org/officeDocument/2006/relationships/hyperlink" Target="#'10 EVIDENCE &amp; DECISIONS'!A717" TargetMode="External" Id="rId605"/><Relationship Type="http://schemas.openxmlformats.org/officeDocument/2006/relationships/hyperlink" Target="#'10 EVIDENCE &amp; DECISIONS'!A559" TargetMode="External" Id="rId606"/><Relationship Type="http://schemas.openxmlformats.org/officeDocument/2006/relationships/hyperlink" Target="#'10 EVIDENCE &amp; DECISIONS'!A560" TargetMode="External" Id="rId607"/><Relationship Type="http://schemas.openxmlformats.org/officeDocument/2006/relationships/hyperlink" Target="#'10 EVIDENCE &amp; DECISIONS'!A561" TargetMode="External" Id="rId608"/><Relationship Type="http://schemas.openxmlformats.org/officeDocument/2006/relationships/hyperlink" Target="#'10 EVIDENCE &amp; DECISIONS'!A562" TargetMode="External" Id="rId609"/><Relationship Type="http://schemas.openxmlformats.org/officeDocument/2006/relationships/hyperlink" Target="#'10 EVIDENCE &amp; DECISIONS'!A563" TargetMode="External" Id="rId610"/><Relationship Type="http://schemas.openxmlformats.org/officeDocument/2006/relationships/hyperlink" Target="#'10 EVIDENCE &amp; DECISIONS'!A564" TargetMode="External" Id="rId611"/><Relationship Type="http://schemas.openxmlformats.org/officeDocument/2006/relationships/hyperlink" Target="#'10 EVIDENCE &amp; DECISIONS'!A565" TargetMode="External" Id="rId612"/><Relationship Type="http://schemas.openxmlformats.org/officeDocument/2006/relationships/hyperlink" Target="#'10 EVIDENCE &amp; DECISIONS'!A566" TargetMode="External" Id="rId613"/><Relationship Type="http://schemas.openxmlformats.org/officeDocument/2006/relationships/hyperlink" Target="#'10 EVIDENCE &amp; DECISIONS'!A567" TargetMode="External" Id="rId614"/><Relationship Type="http://schemas.openxmlformats.org/officeDocument/2006/relationships/hyperlink" Target="#'10 EVIDENCE &amp; DECISIONS'!A568" TargetMode="External" Id="rId615"/><Relationship Type="http://schemas.openxmlformats.org/officeDocument/2006/relationships/hyperlink" Target="#'10 EVIDENCE &amp; DECISIONS'!A569" TargetMode="External" Id="rId616"/><Relationship Type="http://schemas.openxmlformats.org/officeDocument/2006/relationships/hyperlink" Target="#'10 EVIDENCE &amp; DECISIONS'!A570" TargetMode="External" Id="rId617"/><Relationship Type="http://schemas.openxmlformats.org/officeDocument/2006/relationships/hyperlink" Target="#'10 EVIDENCE &amp; DECISIONS'!A571" TargetMode="External" Id="rId618"/><Relationship Type="http://schemas.openxmlformats.org/officeDocument/2006/relationships/hyperlink" Target="#'10 EVIDENCE &amp; DECISIONS'!A572" TargetMode="External" Id="rId619"/><Relationship Type="http://schemas.openxmlformats.org/officeDocument/2006/relationships/hyperlink" Target="#'10 EVIDENCE &amp; DECISIONS'!A573" TargetMode="External" Id="rId620"/><Relationship Type="http://schemas.openxmlformats.org/officeDocument/2006/relationships/hyperlink" Target="#'10 EVIDENCE &amp; DECISIONS'!A574" TargetMode="External" Id="rId621"/><Relationship Type="http://schemas.openxmlformats.org/officeDocument/2006/relationships/hyperlink" Target="#'10 EVIDENCE &amp; DECISIONS'!A575" TargetMode="External" Id="rId622"/><Relationship Type="http://schemas.openxmlformats.org/officeDocument/2006/relationships/hyperlink" Target="#'10 EVIDENCE &amp; DECISIONS'!A576" TargetMode="External" Id="rId623"/><Relationship Type="http://schemas.openxmlformats.org/officeDocument/2006/relationships/hyperlink" Target="#'10 EVIDENCE &amp; DECISIONS'!A577" TargetMode="External" Id="rId624"/><Relationship Type="http://schemas.openxmlformats.org/officeDocument/2006/relationships/hyperlink" Target="#'10 EVIDENCE &amp; DECISIONS'!A578" TargetMode="External" Id="rId625"/><Relationship Type="http://schemas.openxmlformats.org/officeDocument/2006/relationships/hyperlink" Target="#'10 EVIDENCE &amp; DECISIONS'!A579" TargetMode="External" Id="rId626"/><Relationship Type="http://schemas.openxmlformats.org/officeDocument/2006/relationships/hyperlink" Target="#'10 EVIDENCE &amp; DECISIONS'!A580" TargetMode="External" Id="rId627"/><Relationship Type="http://schemas.openxmlformats.org/officeDocument/2006/relationships/hyperlink" Target="#'10 EVIDENCE &amp; DECISIONS'!A581" TargetMode="External" Id="rId628"/><Relationship Type="http://schemas.openxmlformats.org/officeDocument/2006/relationships/hyperlink" Target="#'10 EVIDENCE &amp; DECISIONS'!A582" TargetMode="External" Id="rId629"/><Relationship Type="http://schemas.openxmlformats.org/officeDocument/2006/relationships/hyperlink" Target="#'10 EVIDENCE &amp; DECISIONS'!A583" TargetMode="External" Id="rId630"/><Relationship Type="http://schemas.openxmlformats.org/officeDocument/2006/relationships/hyperlink" Target="#'10 EVIDENCE &amp; DECISIONS'!A584" TargetMode="External" Id="rId631"/><Relationship Type="http://schemas.openxmlformats.org/officeDocument/2006/relationships/hyperlink" Target="#'10 EVIDENCE &amp; DECISIONS'!A585" TargetMode="External" Id="rId632"/><Relationship Type="http://schemas.openxmlformats.org/officeDocument/2006/relationships/hyperlink" Target="#'10 EVIDENCE &amp; DECISIONS'!A586" TargetMode="External" Id="rId633"/><Relationship Type="http://schemas.openxmlformats.org/officeDocument/2006/relationships/hyperlink" Target="#'10 EVIDENCE &amp; DECISIONS'!A587" TargetMode="External" Id="rId634"/><Relationship Type="http://schemas.openxmlformats.org/officeDocument/2006/relationships/hyperlink" Target="#'10 EVIDENCE &amp; DECISIONS'!A588" TargetMode="External" Id="rId635"/><Relationship Type="http://schemas.openxmlformats.org/officeDocument/2006/relationships/hyperlink" Target="#'10 EVIDENCE &amp; DECISIONS'!A589" TargetMode="External" Id="rId636"/><Relationship Type="http://schemas.openxmlformats.org/officeDocument/2006/relationships/hyperlink" Target="#'10 EVIDENCE &amp; DECISIONS'!A590" TargetMode="External" Id="rId637"/><Relationship Type="http://schemas.openxmlformats.org/officeDocument/2006/relationships/hyperlink" Target="#'10 EVIDENCE &amp; DECISIONS'!A591" TargetMode="External" Id="rId638"/><Relationship Type="http://schemas.openxmlformats.org/officeDocument/2006/relationships/hyperlink" Target="#'10 EVIDENCE &amp; DECISIONS'!A592" TargetMode="External" Id="rId639"/><Relationship Type="http://schemas.openxmlformats.org/officeDocument/2006/relationships/hyperlink" Target="#'10 EVIDENCE &amp; DECISIONS'!A593" TargetMode="External" Id="rId640"/><Relationship Type="http://schemas.openxmlformats.org/officeDocument/2006/relationships/hyperlink" Target="#'10 EVIDENCE &amp; DECISIONS'!A594" TargetMode="External" Id="rId641"/><Relationship Type="http://schemas.openxmlformats.org/officeDocument/2006/relationships/hyperlink" Target="#'10 EVIDENCE &amp; DECISIONS'!A595" TargetMode="External" Id="rId642"/><Relationship Type="http://schemas.openxmlformats.org/officeDocument/2006/relationships/hyperlink" Target="#'10 EVIDENCE &amp; DECISIONS'!A596" TargetMode="External" Id="rId643"/><Relationship Type="http://schemas.openxmlformats.org/officeDocument/2006/relationships/hyperlink" Target="#'10 EVIDENCE &amp; DECISIONS'!A597" TargetMode="External" Id="rId644"/><Relationship Type="http://schemas.openxmlformats.org/officeDocument/2006/relationships/hyperlink" Target="#'10 EVIDENCE &amp; DECISIONS'!A598" TargetMode="External" Id="rId645"/><Relationship Type="http://schemas.openxmlformats.org/officeDocument/2006/relationships/hyperlink" Target="#'10 EVIDENCE &amp; DECISIONS'!A599" TargetMode="External" Id="rId646"/><Relationship Type="http://schemas.openxmlformats.org/officeDocument/2006/relationships/hyperlink" Target="#'10 EVIDENCE &amp; DECISIONS'!A600" TargetMode="External" Id="rId647"/><Relationship Type="http://schemas.openxmlformats.org/officeDocument/2006/relationships/hyperlink" Target="#'10 EVIDENCE &amp; DECISIONS'!A601" TargetMode="External" Id="rId648"/><Relationship Type="http://schemas.openxmlformats.org/officeDocument/2006/relationships/hyperlink" Target="#'10 EVIDENCE &amp; DECISIONS'!A602" TargetMode="External" Id="rId649"/><Relationship Type="http://schemas.openxmlformats.org/officeDocument/2006/relationships/hyperlink" Target="#'10 EVIDENCE &amp; DECISIONS'!A603" TargetMode="External" Id="rId650"/><Relationship Type="http://schemas.openxmlformats.org/officeDocument/2006/relationships/hyperlink" Target="#'10 EVIDENCE &amp; DECISIONS'!A604" TargetMode="External" Id="rId651"/><Relationship Type="http://schemas.openxmlformats.org/officeDocument/2006/relationships/hyperlink" Target="#'10 EVIDENCE &amp; DECISIONS'!A605" TargetMode="External" Id="rId652"/><Relationship Type="http://schemas.openxmlformats.org/officeDocument/2006/relationships/hyperlink" Target="#'10 EVIDENCE &amp; DECISIONS'!A606" TargetMode="External" Id="rId653"/><Relationship Type="http://schemas.openxmlformats.org/officeDocument/2006/relationships/hyperlink" Target="#'10 EVIDENCE &amp; DECISIONS'!A607" TargetMode="External" Id="rId654"/><Relationship Type="http://schemas.openxmlformats.org/officeDocument/2006/relationships/hyperlink" Target="#'10 EVIDENCE &amp; DECISIONS'!A608" TargetMode="External" Id="rId655"/><Relationship Type="http://schemas.openxmlformats.org/officeDocument/2006/relationships/hyperlink" Target="#'10 EVIDENCE &amp; DECISIONS'!A609" TargetMode="External" Id="rId656"/><Relationship Type="http://schemas.openxmlformats.org/officeDocument/2006/relationships/hyperlink" Target="#'10 EVIDENCE &amp; DECISIONS'!A610" TargetMode="External" Id="rId657"/><Relationship Type="http://schemas.openxmlformats.org/officeDocument/2006/relationships/hyperlink" Target="#'10 EVIDENCE &amp; DECISIONS'!A611" TargetMode="External" Id="rId658"/><Relationship Type="http://schemas.openxmlformats.org/officeDocument/2006/relationships/hyperlink" Target="#'10 EVIDENCE &amp; DECISIONS'!A612" TargetMode="External" Id="rId659"/><Relationship Type="http://schemas.openxmlformats.org/officeDocument/2006/relationships/hyperlink" Target="#'10 EVIDENCE &amp; DECISIONS'!A613" TargetMode="External" Id="rId660"/><Relationship Type="http://schemas.openxmlformats.org/officeDocument/2006/relationships/hyperlink" Target="#'10 EVIDENCE &amp; DECISIONS'!A614" TargetMode="External" Id="rId661"/><Relationship Type="http://schemas.openxmlformats.org/officeDocument/2006/relationships/hyperlink" Target="#'10 EVIDENCE &amp; DECISIONS'!A615" TargetMode="External" Id="rId662"/><Relationship Type="http://schemas.openxmlformats.org/officeDocument/2006/relationships/hyperlink" Target="#'10 EVIDENCE &amp; DECISIONS'!A616" TargetMode="External" Id="rId663"/><Relationship Type="http://schemas.openxmlformats.org/officeDocument/2006/relationships/hyperlink" Target="#'10 EVIDENCE &amp; DECISIONS'!A617" TargetMode="External" Id="rId664"/><Relationship Type="http://schemas.openxmlformats.org/officeDocument/2006/relationships/hyperlink" Target="#'10 EVIDENCE &amp; DECISIONS'!A618" TargetMode="External" Id="rId665"/><Relationship Type="http://schemas.openxmlformats.org/officeDocument/2006/relationships/hyperlink" Target="#'10 EVIDENCE &amp; DECISIONS'!A619" TargetMode="External" Id="rId666"/><Relationship Type="http://schemas.openxmlformats.org/officeDocument/2006/relationships/hyperlink" Target="#'10 EVIDENCE &amp; DECISIONS'!A620" TargetMode="External" Id="rId667"/><Relationship Type="http://schemas.openxmlformats.org/officeDocument/2006/relationships/hyperlink" Target="#'10 EVIDENCE &amp; DECISIONS'!A621" TargetMode="External" Id="rId668"/><Relationship Type="http://schemas.openxmlformats.org/officeDocument/2006/relationships/hyperlink" Target="#'10 EVIDENCE &amp; DECISIONS'!A622" TargetMode="External" Id="rId669"/><Relationship Type="http://schemas.openxmlformats.org/officeDocument/2006/relationships/hyperlink" Target="#'10 EVIDENCE &amp; DECISIONS'!A623" TargetMode="External" Id="rId670"/><Relationship Type="http://schemas.openxmlformats.org/officeDocument/2006/relationships/hyperlink" Target="#'10 EVIDENCE &amp; DECISIONS'!A624" TargetMode="External" Id="rId671"/><Relationship Type="http://schemas.openxmlformats.org/officeDocument/2006/relationships/hyperlink" Target="#'10 EVIDENCE &amp; DECISIONS'!A625" TargetMode="External" Id="rId672"/><Relationship Type="http://schemas.openxmlformats.org/officeDocument/2006/relationships/hyperlink" Target="#'10 EVIDENCE &amp; DECISIONS'!A626" TargetMode="External" Id="rId673"/><Relationship Type="http://schemas.openxmlformats.org/officeDocument/2006/relationships/hyperlink" Target="#'10 EVIDENCE &amp; DECISIONS'!A627" TargetMode="External" Id="rId674"/><Relationship Type="http://schemas.openxmlformats.org/officeDocument/2006/relationships/hyperlink" Target="#'10 EVIDENCE &amp; DECISIONS'!A628" TargetMode="External" Id="rId675"/><Relationship Type="http://schemas.openxmlformats.org/officeDocument/2006/relationships/hyperlink" Target="#'10 EVIDENCE &amp; DECISIONS'!A629" TargetMode="External" Id="rId676"/><Relationship Type="http://schemas.openxmlformats.org/officeDocument/2006/relationships/hyperlink" Target="#'10 EVIDENCE &amp; DECISIONS'!A630" TargetMode="External" Id="rId677"/><Relationship Type="http://schemas.openxmlformats.org/officeDocument/2006/relationships/hyperlink" Target="#'10 EVIDENCE &amp; DECISIONS'!A631" TargetMode="External" Id="rId678"/><Relationship Type="http://schemas.openxmlformats.org/officeDocument/2006/relationships/hyperlink" Target="#'10 EVIDENCE &amp; DECISIONS'!A632" TargetMode="External" Id="rId679"/><Relationship Type="http://schemas.openxmlformats.org/officeDocument/2006/relationships/hyperlink" Target="#'10 EVIDENCE &amp; DECISIONS'!A633" TargetMode="External" Id="rId680"/><Relationship Type="http://schemas.openxmlformats.org/officeDocument/2006/relationships/hyperlink" Target="#'10 EVIDENCE &amp; DECISIONS'!A634" TargetMode="External" Id="rId681"/><Relationship Type="http://schemas.openxmlformats.org/officeDocument/2006/relationships/hyperlink" Target="#'10 EVIDENCE &amp; DECISIONS'!A635" TargetMode="External" Id="rId682"/><Relationship Type="http://schemas.openxmlformats.org/officeDocument/2006/relationships/hyperlink" Target="#'10 EVIDENCE &amp; DECISIONS'!A636" TargetMode="External" Id="rId683"/><Relationship Type="http://schemas.openxmlformats.org/officeDocument/2006/relationships/hyperlink" Target="#'10 EVIDENCE &amp; DECISIONS'!A637" TargetMode="External" Id="rId684"/><Relationship Type="http://schemas.openxmlformats.org/officeDocument/2006/relationships/hyperlink" Target="#'10 EVIDENCE &amp; DECISIONS'!A638" TargetMode="External" Id="rId685"/><Relationship Type="http://schemas.openxmlformats.org/officeDocument/2006/relationships/hyperlink" Target="#'10 EVIDENCE &amp; DECISIONS'!A639" TargetMode="External" Id="rId686"/><Relationship Type="http://schemas.openxmlformats.org/officeDocument/2006/relationships/hyperlink" Target="#'10 EVIDENCE &amp; DECISIONS'!A640" TargetMode="External" Id="rId687"/><Relationship Type="http://schemas.openxmlformats.org/officeDocument/2006/relationships/hyperlink" Target="#'10 EVIDENCE &amp; DECISIONS'!A641" TargetMode="External" Id="rId688"/><Relationship Type="http://schemas.openxmlformats.org/officeDocument/2006/relationships/hyperlink" Target="#'10 EVIDENCE &amp; DECISIONS'!A642" TargetMode="External" Id="rId689"/><Relationship Type="http://schemas.openxmlformats.org/officeDocument/2006/relationships/hyperlink" Target="#'10 EVIDENCE &amp; DECISIONS'!A643" TargetMode="External" Id="rId690"/><Relationship Type="http://schemas.openxmlformats.org/officeDocument/2006/relationships/hyperlink" Target="#'10 EVIDENCE &amp; DECISIONS'!A644" TargetMode="External" Id="rId691"/><Relationship Type="http://schemas.openxmlformats.org/officeDocument/2006/relationships/hyperlink" Target="#'10 EVIDENCE &amp; DECISIONS'!A645" TargetMode="External" Id="rId692"/><Relationship Type="http://schemas.openxmlformats.org/officeDocument/2006/relationships/hyperlink" Target="#'10 EVIDENCE &amp; DECISIONS'!A646" TargetMode="External" Id="rId693"/><Relationship Type="http://schemas.openxmlformats.org/officeDocument/2006/relationships/hyperlink" Target="#'10 EVIDENCE &amp; DECISIONS'!A647" TargetMode="External" Id="rId694"/><Relationship Type="http://schemas.openxmlformats.org/officeDocument/2006/relationships/hyperlink" Target="#'10 EVIDENCE &amp; DECISIONS'!A648" TargetMode="External" Id="rId695"/><Relationship Type="http://schemas.openxmlformats.org/officeDocument/2006/relationships/hyperlink" Target="#'10 EVIDENCE &amp; DECISIONS'!A649" TargetMode="External" Id="rId696"/><Relationship Type="http://schemas.openxmlformats.org/officeDocument/2006/relationships/hyperlink" Target="#'10 EVIDENCE &amp; DECISIONS'!A650" TargetMode="External" Id="rId697"/><Relationship Type="http://schemas.openxmlformats.org/officeDocument/2006/relationships/hyperlink" Target="#'10 EVIDENCE &amp; DECISIONS'!A651" TargetMode="External" Id="rId698"/><Relationship Type="http://schemas.openxmlformats.org/officeDocument/2006/relationships/hyperlink" Target="#'10 EVIDENCE &amp; DECISIONS'!A652" TargetMode="External" Id="rId699"/><Relationship Type="http://schemas.openxmlformats.org/officeDocument/2006/relationships/hyperlink" Target="#'10 EVIDENCE &amp; DECISIONS'!A653" TargetMode="External" Id="rId700"/><Relationship Type="http://schemas.openxmlformats.org/officeDocument/2006/relationships/hyperlink" Target="#'10 EVIDENCE &amp; DECISIONS'!A654" TargetMode="External" Id="rId701"/><Relationship Type="http://schemas.openxmlformats.org/officeDocument/2006/relationships/hyperlink" Target="#'10 EVIDENCE &amp; DECISIONS'!A655" TargetMode="External" Id="rId702"/><Relationship Type="http://schemas.openxmlformats.org/officeDocument/2006/relationships/hyperlink" Target="#'10 EVIDENCE &amp; DECISIONS'!A656" TargetMode="External" Id="rId703"/><Relationship Type="http://schemas.openxmlformats.org/officeDocument/2006/relationships/hyperlink" Target="#'10 EVIDENCE &amp; DECISIONS'!A657" TargetMode="External" Id="rId704"/><Relationship Type="http://schemas.openxmlformats.org/officeDocument/2006/relationships/hyperlink" Target="#'10 EVIDENCE &amp; DECISIONS'!A658" TargetMode="External" Id="rId705"/><Relationship Type="http://schemas.openxmlformats.org/officeDocument/2006/relationships/hyperlink" Target="#'10 EVIDENCE &amp; DECISIONS'!A659" TargetMode="External" Id="rId706"/><Relationship Type="http://schemas.openxmlformats.org/officeDocument/2006/relationships/hyperlink" Target="#'10 EVIDENCE &amp; DECISIONS'!A660" TargetMode="External" Id="rId707"/><Relationship Type="http://schemas.openxmlformats.org/officeDocument/2006/relationships/hyperlink" Target="#'10 EVIDENCE &amp; DECISIONS'!A661" TargetMode="External" Id="rId708"/><Relationship Type="http://schemas.openxmlformats.org/officeDocument/2006/relationships/hyperlink" Target="#'10 EVIDENCE &amp; DECISIONS'!A662" TargetMode="External" Id="rId709"/><Relationship Type="http://schemas.openxmlformats.org/officeDocument/2006/relationships/hyperlink" Target="#'10 EVIDENCE &amp; DECISIONS'!A663" TargetMode="External" Id="rId710"/><Relationship Type="http://schemas.openxmlformats.org/officeDocument/2006/relationships/hyperlink" Target="#'10 EVIDENCE &amp; DECISIONS'!A664" TargetMode="External" Id="rId711"/><Relationship Type="http://schemas.openxmlformats.org/officeDocument/2006/relationships/hyperlink" Target="#'10 EVIDENCE &amp; DECISIONS'!A665" TargetMode="External" Id="rId712"/><Relationship Type="http://schemas.openxmlformats.org/officeDocument/2006/relationships/hyperlink" Target="#'10 EVIDENCE &amp; DECISIONS'!A666" TargetMode="External" Id="rId713"/><Relationship Type="http://schemas.openxmlformats.org/officeDocument/2006/relationships/hyperlink" Target="#'10 EVIDENCE &amp; DECISIONS'!A667" TargetMode="External" Id="rId714"/><Relationship Type="http://schemas.openxmlformats.org/officeDocument/2006/relationships/hyperlink" Target="#'10 EVIDENCE &amp; DECISIONS'!A668" TargetMode="External" Id="rId715"/><Relationship Type="http://schemas.openxmlformats.org/officeDocument/2006/relationships/hyperlink" Target="#'10 EVIDENCE &amp; DECISIONS'!A669" TargetMode="External" Id="rId716"/><Relationship Type="http://schemas.openxmlformats.org/officeDocument/2006/relationships/hyperlink" Target="#'10 EVIDENCE &amp; DECISIONS'!A670" TargetMode="External" Id="rId717"/><Relationship Type="http://schemas.openxmlformats.org/officeDocument/2006/relationships/hyperlink" Target="#'10 EVIDENCE &amp; DECISIONS'!A671" TargetMode="External" Id="rId718"/><Relationship Type="http://schemas.openxmlformats.org/officeDocument/2006/relationships/hyperlink" Target="#'10 EVIDENCE &amp; DECISIONS'!A672" TargetMode="External" Id="rId719"/><Relationship Type="http://schemas.openxmlformats.org/officeDocument/2006/relationships/hyperlink" Target="#'10 EVIDENCE &amp; DECISIONS'!A673" TargetMode="External" Id="rId720"/><Relationship Type="http://schemas.openxmlformats.org/officeDocument/2006/relationships/hyperlink" Target="#'10 EVIDENCE &amp; DECISIONS'!A674" TargetMode="External" Id="rId721"/><Relationship Type="http://schemas.openxmlformats.org/officeDocument/2006/relationships/hyperlink" Target="#'10 EVIDENCE &amp; DECISIONS'!A675" TargetMode="External" Id="rId722"/><Relationship Type="http://schemas.openxmlformats.org/officeDocument/2006/relationships/hyperlink" Target="#'10 EVIDENCE &amp; DECISIONS'!A676" TargetMode="External" Id="rId723"/><Relationship Type="http://schemas.openxmlformats.org/officeDocument/2006/relationships/hyperlink" Target="#'10 EVIDENCE &amp; DECISIONS'!A677" TargetMode="External" Id="rId724"/><Relationship Type="http://schemas.openxmlformats.org/officeDocument/2006/relationships/hyperlink" Target="#'10 EVIDENCE &amp; DECISIONS'!A778" TargetMode="External" Id="rId725"/><Relationship Type="http://schemas.openxmlformats.org/officeDocument/2006/relationships/hyperlink" Target="#'10 EVIDENCE &amp; DECISIONS'!A779" TargetMode="External" Id="rId726"/><Relationship Type="http://schemas.openxmlformats.org/officeDocument/2006/relationships/hyperlink" Target="#'10 EVIDENCE &amp; DECISIONS'!A780" TargetMode="External" Id="rId727"/><Relationship Type="http://schemas.openxmlformats.org/officeDocument/2006/relationships/hyperlink" Target="#'10 EVIDENCE &amp; DECISIONS'!A781" TargetMode="External" Id="rId728"/><Relationship Type="http://schemas.openxmlformats.org/officeDocument/2006/relationships/hyperlink" Target="#'10 EVIDENCE &amp; DECISIONS'!A782" TargetMode="External" Id="rId729"/><Relationship Type="http://schemas.openxmlformats.org/officeDocument/2006/relationships/hyperlink" Target="#'10 EVIDENCE &amp; DECISIONS'!A783" TargetMode="External" Id="rId730"/><Relationship Type="http://schemas.openxmlformats.org/officeDocument/2006/relationships/hyperlink" Target="#'10 EVIDENCE &amp; DECISIONS'!A784" TargetMode="External" Id="rId731"/><Relationship Type="http://schemas.openxmlformats.org/officeDocument/2006/relationships/hyperlink" Target="#'10 EVIDENCE &amp; DECISIONS'!A785" TargetMode="External" Id="rId732"/><Relationship Type="http://schemas.openxmlformats.org/officeDocument/2006/relationships/hyperlink" Target="#'10 EVIDENCE &amp; DECISIONS'!A786" TargetMode="External" Id="rId733"/><Relationship Type="http://schemas.openxmlformats.org/officeDocument/2006/relationships/hyperlink" Target="#'10 EVIDENCE &amp; DECISIONS'!A787" TargetMode="External" Id="rId734"/><Relationship Type="http://schemas.openxmlformats.org/officeDocument/2006/relationships/hyperlink" Target="#'10 EVIDENCE &amp; DECISIONS'!A788" TargetMode="External" Id="rId735"/><Relationship Type="http://schemas.openxmlformats.org/officeDocument/2006/relationships/hyperlink" Target="#'10 EVIDENCE &amp; DECISIONS'!A789" TargetMode="External" Id="rId736"/><Relationship Type="http://schemas.openxmlformats.org/officeDocument/2006/relationships/hyperlink" Target="#'10 EVIDENCE &amp; DECISIONS'!A790" TargetMode="External" Id="rId737"/><Relationship Type="http://schemas.openxmlformats.org/officeDocument/2006/relationships/hyperlink" Target="#'10 EVIDENCE &amp; DECISIONS'!A791" TargetMode="External" Id="rId738"/><Relationship Type="http://schemas.openxmlformats.org/officeDocument/2006/relationships/hyperlink" Target="#'10 EVIDENCE &amp; DECISIONS'!A792" TargetMode="External" Id="rId739"/><Relationship Type="http://schemas.openxmlformats.org/officeDocument/2006/relationships/hyperlink" Target="#'10 EVIDENCE &amp; DECISIONS'!A793" TargetMode="External" Id="rId740"/><Relationship Type="http://schemas.openxmlformats.org/officeDocument/2006/relationships/hyperlink" Target="#'10 EVIDENCE &amp; DECISIONS'!A794" TargetMode="External" Id="rId741"/><Relationship Type="http://schemas.openxmlformats.org/officeDocument/2006/relationships/hyperlink" Target="#'10 EVIDENCE &amp; DECISIONS'!A795" TargetMode="External" Id="rId742"/><Relationship Type="http://schemas.openxmlformats.org/officeDocument/2006/relationships/hyperlink" Target="#'10 EVIDENCE &amp; DECISIONS'!A796" TargetMode="External" Id="rId743"/><Relationship Type="http://schemas.openxmlformats.org/officeDocument/2006/relationships/hyperlink" Target="#'10 EVIDENCE &amp; DECISIONS'!A797" TargetMode="External" Id="rId744"/><Relationship Type="http://schemas.openxmlformats.org/officeDocument/2006/relationships/hyperlink" Target="#'10 EVIDENCE &amp; DECISIONS'!A798" TargetMode="External" Id="rId745"/><Relationship Type="http://schemas.openxmlformats.org/officeDocument/2006/relationships/hyperlink" Target="#'10 EVIDENCE &amp; DECISIONS'!A799" TargetMode="External" Id="rId746"/><Relationship Type="http://schemas.openxmlformats.org/officeDocument/2006/relationships/hyperlink" Target="#'10 EVIDENCE &amp; DECISIONS'!A800" TargetMode="External" Id="rId747"/><Relationship Type="http://schemas.openxmlformats.org/officeDocument/2006/relationships/hyperlink" Target="#'10 EVIDENCE &amp; DECISIONS'!A801" TargetMode="External" Id="rId748"/><Relationship Type="http://schemas.openxmlformats.org/officeDocument/2006/relationships/hyperlink" Target="#'10 EVIDENCE &amp; DECISIONS'!A802" TargetMode="External" Id="rId749"/><Relationship Type="http://schemas.openxmlformats.org/officeDocument/2006/relationships/hyperlink" Target="#'10 EVIDENCE &amp; DECISIONS'!A803" TargetMode="External" Id="rId750"/><Relationship Type="http://schemas.openxmlformats.org/officeDocument/2006/relationships/hyperlink" Target="#'10 EVIDENCE &amp; DECISIONS'!A804" TargetMode="External" Id="rId751"/><Relationship Type="http://schemas.openxmlformats.org/officeDocument/2006/relationships/hyperlink" Target="#'10 EVIDENCE &amp; DECISIONS'!A805" TargetMode="External" Id="rId752"/><Relationship Type="http://schemas.openxmlformats.org/officeDocument/2006/relationships/hyperlink" Target="#'10 EVIDENCE &amp; DECISIONS'!A806" TargetMode="External" Id="rId753"/><Relationship Type="http://schemas.openxmlformats.org/officeDocument/2006/relationships/hyperlink" Target="#'10 EVIDENCE &amp; DECISIONS'!A807" TargetMode="External" Id="rId754"/><Relationship Type="http://schemas.openxmlformats.org/officeDocument/2006/relationships/hyperlink" Target="#'10 EVIDENCE &amp; DECISIONS'!A808" TargetMode="External" Id="rId755"/><Relationship Type="http://schemas.openxmlformats.org/officeDocument/2006/relationships/hyperlink" Target="#'10 EVIDENCE &amp; DECISIONS'!A809" TargetMode="External" Id="rId756"/><Relationship Type="http://schemas.openxmlformats.org/officeDocument/2006/relationships/hyperlink" Target="#'10 EVIDENCE &amp; DECISIONS'!A810" TargetMode="External" Id="rId757"/><Relationship Type="http://schemas.openxmlformats.org/officeDocument/2006/relationships/hyperlink" Target="#'10 EVIDENCE &amp; DECISIONS'!A811" TargetMode="External" Id="rId758"/><Relationship Type="http://schemas.openxmlformats.org/officeDocument/2006/relationships/hyperlink" Target="#'10 EVIDENCE &amp; DECISIONS'!A812" TargetMode="External" Id="rId759"/><Relationship Type="http://schemas.openxmlformats.org/officeDocument/2006/relationships/hyperlink" Target="#'10 EVIDENCE &amp; DECISIONS'!A813" TargetMode="External" Id="rId760"/><Relationship Type="http://schemas.openxmlformats.org/officeDocument/2006/relationships/hyperlink" Target="#'10 EVIDENCE &amp; DECISIONS'!A814" TargetMode="External" Id="rId761"/><Relationship Type="http://schemas.openxmlformats.org/officeDocument/2006/relationships/hyperlink" Target="#'10 EVIDENCE &amp; DECISIONS'!A815" TargetMode="External" Id="rId762"/><Relationship Type="http://schemas.openxmlformats.org/officeDocument/2006/relationships/hyperlink" Target="#'10 EVIDENCE &amp; DECISIONS'!A816" TargetMode="External" Id="rId763"/><Relationship Type="http://schemas.openxmlformats.org/officeDocument/2006/relationships/hyperlink" Target="#'10 EVIDENCE &amp; DECISIONS'!A718" TargetMode="External" Id="rId764"/><Relationship Type="http://schemas.openxmlformats.org/officeDocument/2006/relationships/hyperlink" Target="#'10 EVIDENCE &amp; DECISIONS'!A719" TargetMode="External" Id="rId765"/><Relationship Type="http://schemas.openxmlformats.org/officeDocument/2006/relationships/hyperlink" Target="#'10 EVIDENCE &amp; DECISIONS'!A720" TargetMode="External" Id="rId766"/><Relationship Type="http://schemas.openxmlformats.org/officeDocument/2006/relationships/hyperlink" Target="#'10 EVIDENCE &amp; DECISIONS'!A721" TargetMode="External" Id="rId767"/><Relationship Type="http://schemas.openxmlformats.org/officeDocument/2006/relationships/hyperlink" Target="#'10 EVIDENCE &amp; DECISIONS'!A722" TargetMode="External" Id="rId768"/><Relationship Type="http://schemas.openxmlformats.org/officeDocument/2006/relationships/hyperlink" Target="#'10 EVIDENCE &amp; DECISIONS'!A723" TargetMode="External" Id="rId769"/><Relationship Type="http://schemas.openxmlformats.org/officeDocument/2006/relationships/hyperlink" Target="#'10 EVIDENCE &amp; DECISIONS'!A724" TargetMode="External" Id="rId770"/><Relationship Type="http://schemas.openxmlformats.org/officeDocument/2006/relationships/hyperlink" Target="#'10 EVIDENCE &amp; DECISIONS'!A725" TargetMode="External" Id="rId771"/><Relationship Type="http://schemas.openxmlformats.org/officeDocument/2006/relationships/hyperlink" Target="#'10 EVIDENCE &amp; DECISIONS'!A726" TargetMode="External" Id="rId772"/><Relationship Type="http://schemas.openxmlformats.org/officeDocument/2006/relationships/hyperlink" Target="#'10 EVIDENCE &amp; DECISIONS'!A727" TargetMode="External" Id="rId773"/><Relationship Type="http://schemas.openxmlformats.org/officeDocument/2006/relationships/hyperlink" Target="#'10 EVIDENCE &amp; DECISIONS'!A728" TargetMode="External" Id="rId774"/><Relationship Type="http://schemas.openxmlformats.org/officeDocument/2006/relationships/hyperlink" Target="#'10 EVIDENCE &amp; DECISIONS'!A729" TargetMode="External" Id="rId775"/><Relationship Type="http://schemas.openxmlformats.org/officeDocument/2006/relationships/hyperlink" Target="#'10 EVIDENCE &amp; DECISIONS'!A730" TargetMode="External" Id="rId776"/><Relationship Type="http://schemas.openxmlformats.org/officeDocument/2006/relationships/hyperlink" Target="#'10 EVIDENCE &amp; DECISIONS'!A731" TargetMode="External" Id="rId777"/><Relationship Type="http://schemas.openxmlformats.org/officeDocument/2006/relationships/hyperlink" Target="#'10 EVIDENCE &amp; DECISIONS'!A732" TargetMode="External" Id="rId778"/><Relationship Type="http://schemas.openxmlformats.org/officeDocument/2006/relationships/hyperlink" Target="#'10 EVIDENCE &amp; DECISIONS'!A733" TargetMode="External" Id="rId779"/><Relationship Type="http://schemas.openxmlformats.org/officeDocument/2006/relationships/hyperlink" Target="#'10 EVIDENCE &amp; DECISIONS'!A734" TargetMode="External" Id="rId780"/><Relationship Type="http://schemas.openxmlformats.org/officeDocument/2006/relationships/hyperlink" Target="#'10 EVIDENCE &amp; DECISIONS'!A735" TargetMode="External" Id="rId781"/><Relationship Type="http://schemas.openxmlformats.org/officeDocument/2006/relationships/hyperlink" Target="#'10 EVIDENCE &amp; DECISIONS'!A736" TargetMode="External" Id="rId782"/><Relationship Type="http://schemas.openxmlformats.org/officeDocument/2006/relationships/hyperlink" Target="#'10 EVIDENCE &amp; DECISIONS'!A737" TargetMode="External" Id="rId783"/><Relationship Type="http://schemas.openxmlformats.org/officeDocument/2006/relationships/hyperlink" Target="#'10 EVIDENCE &amp; DECISIONS'!A738" TargetMode="External" Id="rId784"/><Relationship Type="http://schemas.openxmlformats.org/officeDocument/2006/relationships/hyperlink" Target="#'10 EVIDENCE &amp; DECISIONS'!A739" TargetMode="External" Id="rId785"/><Relationship Type="http://schemas.openxmlformats.org/officeDocument/2006/relationships/hyperlink" Target="#'10 EVIDENCE &amp; DECISIONS'!A740" TargetMode="External" Id="rId786"/><Relationship Type="http://schemas.openxmlformats.org/officeDocument/2006/relationships/hyperlink" Target="#'10 EVIDENCE &amp; DECISIONS'!A741" TargetMode="External" Id="rId787"/><Relationship Type="http://schemas.openxmlformats.org/officeDocument/2006/relationships/hyperlink" Target="#'10 EVIDENCE &amp; DECISIONS'!A742" TargetMode="External" Id="rId788"/><Relationship Type="http://schemas.openxmlformats.org/officeDocument/2006/relationships/hyperlink" Target="#'10 EVIDENCE &amp; DECISIONS'!A743" TargetMode="External" Id="rId789"/><Relationship Type="http://schemas.openxmlformats.org/officeDocument/2006/relationships/hyperlink" Target="#'10 EVIDENCE &amp; DECISIONS'!A744" TargetMode="External" Id="rId790"/><Relationship Type="http://schemas.openxmlformats.org/officeDocument/2006/relationships/hyperlink" Target="#'10 EVIDENCE &amp; DECISIONS'!A745" TargetMode="External" Id="rId791"/><Relationship Type="http://schemas.openxmlformats.org/officeDocument/2006/relationships/hyperlink" Target="#'10 EVIDENCE &amp; DECISIONS'!A746" TargetMode="External" Id="rId792"/><Relationship Type="http://schemas.openxmlformats.org/officeDocument/2006/relationships/hyperlink" Target="#'10 EVIDENCE &amp; DECISIONS'!A747" TargetMode="External" Id="rId793"/><Relationship Type="http://schemas.openxmlformats.org/officeDocument/2006/relationships/hyperlink" Target="#'10 EVIDENCE &amp; DECISIONS'!A748" TargetMode="External" Id="rId794"/><Relationship Type="http://schemas.openxmlformats.org/officeDocument/2006/relationships/hyperlink" Target="#'10 EVIDENCE &amp; DECISIONS'!A749" TargetMode="External" Id="rId795"/><Relationship Type="http://schemas.openxmlformats.org/officeDocument/2006/relationships/hyperlink" Target="#'10 EVIDENCE &amp; DECISIONS'!A750" TargetMode="External" Id="rId796"/><Relationship Type="http://schemas.openxmlformats.org/officeDocument/2006/relationships/hyperlink" Target="#'10 EVIDENCE &amp; DECISIONS'!A751" TargetMode="External" Id="rId797"/><Relationship Type="http://schemas.openxmlformats.org/officeDocument/2006/relationships/hyperlink" Target="#'10 EVIDENCE &amp; DECISIONS'!A752" TargetMode="External" Id="rId798"/><Relationship Type="http://schemas.openxmlformats.org/officeDocument/2006/relationships/hyperlink" Target="#'10 EVIDENCE &amp; DECISIONS'!A753" TargetMode="External" Id="rId799"/><Relationship Type="http://schemas.openxmlformats.org/officeDocument/2006/relationships/hyperlink" Target="#'10 EVIDENCE &amp; DECISIONS'!A754" TargetMode="External" Id="rId800"/><Relationship Type="http://schemas.openxmlformats.org/officeDocument/2006/relationships/hyperlink" Target="#'10 EVIDENCE &amp; DECISIONS'!A755" TargetMode="External" Id="rId801"/><Relationship Type="http://schemas.openxmlformats.org/officeDocument/2006/relationships/hyperlink" Target="#'10 EVIDENCE &amp; DECISIONS'!A756" TargetMode="External" Id="rId802"/><Relationship Type="http://schemas.openxmlformats.org/officeDocument/2006/relationships/hyperlink" Target="#'10 EVIDENCE &amp; DECISIONS'!A757" TargetMode="External" Id="rId803"/><Relationship Type="http://schemas.openxmlformats.org/officeDocument/2006/relationships/hyperlink" Target="#'10 EVIDENCE &amp; DECISIONS'!A758" TargetMode="External" Id="rId804"/><Relationship Type="http://schemas.openxmlformats.org/officeDocument/2006/relationships/hyperlink" Target="#'10 EVIDENCE &amp; DECISIONS'!A759" TargetMode="External" Id="rId805"/><Relationship Type="http://schemas.openxmlformats.org/officeDocument/2006/relationships/hyperlink" Target="#'10 EVIDENCE &amp; DECISIONS'!A760" TargetMode="External" Id="rId806"/><Relationship Type="http://schemas.openxmlformats.org/officeDocument/2006/relationships/hyperlink" Target="#'10 EVIDENCE &amp; DECISIONS'!A761" TargetMode="External" Id="rId807"/><Relationship Type="http://schemas.openxmlformats.org/officeDocument/2006/relationships/hyperlink" Target="#'10 EVIDENCE &amp; DECISIONS'!A762" TargetMode="External" Id="rId808"/><Relationship Type="http://schemas.openxmlformats.org/officeDocument/2006/relationships/hyperlink" Target="#'10 EVIDENCE &amp; DECISIONS'!A763" TargetMode="External" Id="rId809"/><Relationship Type="http://schemas.openxmlformats.org/officeDocument/2006/relationships/hyperlink" Target="#'10 EVIDENCE &amp; DECISIONS'!A764" TargetMode="External" Id="rId810"/><Relationship Type="http://schemas.openxmlformats.org/officeDocument/2006/relationships/hyperlink" Target="#'10 EVIDENCE &amp; DECISIONS'!A765" TargetMode="External" Id="rId811"/><Relationship Type="http://schemas.openxmlformats.org/officeDocument/2006/relationships/hyperlink" Target="#'10 EVIDENCE &amp; DECISIONS'!A766" TargetMode="External" Id="rId812"/><Relationship Type="http://schemas.openxmlformats.org/officeDocument/2006/relationships/hyperlink" Target="#'10 EVIDENCE &amp; DECISIONS'!A767" TargetMode="External" Id="rId813"/><Relationship Type="http://schemas.openxmlformats.org/officeDocument/2006/relationships/hyperlink" Target="#'10 EVIDENCE &amp; DECISIONS'!A768" TargetMode="External" Id="rId814"/><Relationship Type="http://schemas.openxmlformats.org/officeDocument/2006/relationships/hyperlink" Target="#'10 EVIDENCE &amp; DECISIONS'!A769" TargetMode="External" Id="rId815"/><Relationship Type="http://schemas.openxmlformats.org/officeDocument/2006/relationships/hyperlink" Target="#'10 EVIDENCE &amp; DECISIONS'!A770" TargetMode="External" Id="rId816"/><Relationship Type="http://schemas.openxmlformats.org/officeDocument/2006/relationships/hyperlink" Target="#'10 EVIDENCE &amp; DECISIONS'!A771" TargetMode="External" Id="rId817"/><Relationship Type="http://schemas.openxmlformats.org/officeDocument/2006/relationships/hyperlink" Target="#'10 EVIDENCE &amp; DECISIONS'!A772" TargetMode="External" Id="rId818"/><Relationship Type="http://schemas.openxmlformats.org/officeDocument/2006/relationships/hyperlink" Target="#'10 EVIDENCE &amp; DECISIONS'!A773" TargetMode="External" Id="rId819"/><Relationship Type="http://schemas.openxmlformats.org/officeDocument/2006/relationships/hyperlink" Target="#'10 EVIDENCE &amp; DECISIONS'!A774" TargetMode="External" Id="rId820"/><Relationship Type="http://schemas.openxmlformats.org/officeDocument/2006/relationships/hyperlink" Target="#'10 EVIDENCE &amp; DECISIONS'!A775" TargetMode="External" Id="rId821"/><Relationship Type="http://schemas.openxmlformats.org/officeDocument/2006/relationships/hyperlink" Target="#'10 EVIDENCE &amp; DECISIONS'!A776" TargetMode="External" Id="rId822"/><Relationship Type="http://schemas.openxmlformats.org/officeDocument/2006/relationships/hyperlink" Target="#'10 EVIDENCE &amp; DECISIONS'!A777" TargetMode="External" Id="rId823"/><Relationship Type="http://schemas.openxmlformats.org/officeDocument/2006/relationships/hyperlink" Target="#'10 EVIDENCE &amp; DECISIONS'!A817" TargetMode="External" Id="rId824"/><Relationship Type="http://schemas.openxmlformats.org/officeDocument/2006/relationships/hyperlink" Target="#'10 EVIDENCE &amp; DECISIONS'!A818" TargetMode="External" Id="rId825"/><Relationship Type="http://schemas.openxmlformats.org/officeDocument/2006/relationships/hyperlink" Target="#'10 EVIDENCE &amp; DECISIONS'!A819" TargetMode="External" Id="rId826"/><Relationship Type="http://schemas.openxmlformats.org/officeDocument/2006/relationships/hyperlink" Target="#'10 EVIDENCE &amp; DECISIONS'!A820" TargetMode="External" Id="rId827"/><Relationship Type="http://schemas.openxmlformats.org/officeDocument/2006/relationships/hyperlink" Target="#'10 EVIDENCE &amp; DECISIONS'!A821" TargetMode="External" Id="rId828"/><Relationship Type="http://schemas.openxmlformats.org/officeDocument/2006/relationships/hyperlink" Target="#'10 EVIDENCE &amp; DECISIONS'!A822" TargetMode="External" Id="rId829"/><Relationship Type="http://schemas.openxmlformats.org/officeDocument/2006/relationships/hyperlink" Target="#'10 EVIDENCE &amp; DECISIONS'!A823" TargetMode="External" Id="rId830"/><Relationship Type="http://schemas.openxmlformats.org/officeDocument/2006/relationships/hyperlink" Target="#'10 EVIDENCE &amp; DECISIONS'!A824" TargetMode="External" Id="rId831"/><Relationship Type="http://schemas.openxmlformats.org/officeDocument/2006/relationships/hyperlink" Target="#'10 EVIDENCE &amp; DECISIONS'!A825" TargetMode="External" Id="rId832"/><Relationship Type="http://schemas.openxmlformats.org/officeDocument/2006/relationships/hyperlink" Target="#'10 EVIDENCE &amp; DECISIONS'!A826" TargetMode="External" Id="rId833"/><Relationship Type="http://schemas.openxmlformats.org/officeDocument/2006/relationships/hyperlink" Target="#'10 EVIDENCE &amp; DECISIONS'!A947" TargetMode="External" Id="rId834"/><Relationship Type="http://schemas.openxmlformats.org/officeDocument/2006/relationships/hyperlink" Target="#'10 EVIDENCE &amp; DECISIONS'!A948" TargetMode="External" Id="rId835"/><Relationship Type="http://schemas.openxmlformats.org/officeDocument/2006/relationships/hyperlink" Target="#'10 EVIDENCE &amp; DECISIONS'!A949" TargetMode="External" Id="rId836"/><Relationship Type="http://schemas.openxmlformats.org/officeDocument/2006/relationships/hyperlink" Target="#'10 EVIDENCE &amp; DECISIONS'!A950" TargetMode="External" Id="rId837"/><Relationship Type="http://schemas.openxmlformats.org/officeDocument/2006/relationships/hyperlink" Target="#'10 EVIDENCE &amp; DECISIONS'!A951" TargetMode="External" Id="rId838"/><Relationship Type="http://schemas.openxmlformats.org/officeDocument/2006/relationships/hyperlink" Target="#'10 EVIDENCE &amp; DECISIONS'!A952" TargetMode="External" Id="rId839"/><Relationship Type="http://schemas.openxmlformats.org/officeDocument/2006/relationships/hyperlink" Target="#'10 EVIDENCE &amp; DECISIONS'!A953" TargetMode="External" Id="rId840"/><Relationship Type="http://schemas.openxmlformats.org/officeDocument/2006/relationships/hyperlink" Target="#'10 EVIDENCE &amp; DECISIONS'!A954" TargetMode="External" Id="rId841"/><Relationship Type="http://schemas.openxmlformats.org/officeDocument/2006/relationships/hyperlink" Target="#'10 EVIDENCE &amp; DECISIONS'!A955" TargetMode="External" Id="rId842"/><Relationship Type="http://schemas.openxmlformats.org/officeDocument/2006/relationships/hyperlink" Target="#'10 EVIDENCE &amp; DECISIONS'!A956" TargetMode="External" Id="rId843"/><Relationship Type="http://schemas.openxmlformats.org/officeDocument/2006/relationships/hyperlink" Target="#'10 EVIDENCE &amp; DECISIONS'!A957" TargetMode="External" Id="rId844"/><Relationship Type="http://schemas.openxmlformats.org/officeDocument/2006/relationships/hyperlink" Target="#'10 EVIDENCE &amp; DECISIONS'!A958" TargetMode="External" Id="rId845"/><Relationship Type="http://schemas.openxmlformats.org/officeDocument/2006/relationships/hyperlink" Target="#'10 EVIDENCE &amp; DECISIONS'!A959" TargetMode="External" Id="rId846"/><Relationship Type="http://schemas.openxmlformats.org/officeDocument/2006/relationships/hyperlink" Target="#'10 EVIDENCE &amp; DECISIONS'!A960" TargetMode="External" Id="rId847"/><Relationship Type="http://schemas.openxmlformats.org/officeDocument/2006/relationships/hyperlink" Target="#'10 EVIDENCE &amp; DECISIONS'!A961" TargetMode="External" Id="rId848"/><Relationship Type="http://schemas.openxmlformats.org/officeDocument/2006/relationships/hyperlink" Target="#'10 EVIDENCE &amp; DECISIONS'!A962" TargetMode="External" Id="rId849"/><Relationship Type="http://schemas.openxmlformats.org/officeDocument/2006/relationships/hyperlink" Target="#'10 EVIDENCE &amp; DECISIONS'!A963" TargetMode="External" Id="rId850"/><Relationship Type="http://schemas.openxmlformats.org/officeDocument/2006/relationships/hyperlink" Target="#'10 EVIDENCE &amp; DECISIONS'!A964" TargetMode="External" Id="rId851"/><Relationship Type="http://schemas.openxmlformats.org/officeDocument/2006/relationships/hyperlink" Target="#'10 EVIDENCE &amp; DECISIONS'!A965" TargetMode="External" Id="rId852"/><Relationship Type="http://schemas.openxmlformats.org/officeDocument/2006/relationships/hyperlink" Target="#'10 EVIDENCE &amp; DECISIONS'!A966" TargetMode="External" Id="rId853"/><Relationship Type="http://schemas.openxmlformats.org/officeDocument/2006/relationships/hyperlink" Target="#'10 EVIDENCE &amp; DECISIONS'!A967" TargetMode="External" Id="rId854"/><Relationship Type="http://schemas.openxmlformats.org/officeDocument/2006/relationships/hyperlink" Target="#'10 EVIDENCE &amp; DECISIONS'!A968" TargetMode="External" Id="rId855"/><Relationship Type="http://schemas.openxmlformats.org/officeDocument/2006/relationships/hyperlink" Target="#'10 EVIDENCE &amp; DECISIONS'!A969" TargetMode="External" Id="rId856"/><Relationship Type="http://schemas.openxmlformats.org/officeDocument/2006/relationships/hyperlink" Target="#'10 EVIDENCE &amp; DECISIONS'!A970" TargetMode="External" Id="rId857"/><Relationship Type="http://schemas.openxmlformats.org/officeDocument/2006/relationships/hyperlink" Target="#'10 EVIDENCE &amp; DECISIONS'!A971" TargetMode="External" Id="rId858"/><Relationship Type="http://schemas.openxmlformats.org/officeDocument/2006/relationships/hyperlink" Target="#'10 EVIDENCE &amp; DECISIONS'!A972" TargetMode="External" Id="rId859"/><Relationship Type="http://schemas.openxmlformats.org/officeDocument/2006/relationships/hyperlink" Target="#'10 EVIDENCE &amp; DECISIONS'!A973" TargetMode="External" Id="rId860"/><Relationship Type="http://schemas.openxmlformats.org/officeDocument/2006/relationships/hyperlink" Target="#'10 EVIDENCE &amp; DECISIONS'!A974" TargetMode="External" Id="rId861"/><Relationship Type="http://schemas.openxmlformats.org/officeDocument/2006/relationships/hyperlink" Target="#'10 EVIDENCE &amp; DECISIONS'!A975" TargetMode="External" Id="rId862"/><Relationship Type="http://schemas.openxmlformats.org/officeDocument/2006/relationships/hyperlink" Target="#'10 EVIDENCE &amp; DECISIONS'!A976" TargetMode="External" Id="rId863"/><Relationship Type="http://schemas.openxmlformats.org/officeDocument/2006/relationships/hyperlink" Target="#'10 EVIDENCE &amp; DECISIONS'!A977" TargetMode="External" Id="rId864"/><Relationship Type="http://schemas.openxmlformats.org/officeDocument/2006/relationships/hyperlink" Target="#'10 EVIDENCE &amp; DECISIONS'!A978" TargetMode="External" Id="rId865"/><Relationship Type="http://schemas.openxmlformats.org/officeDocument/2006/relationships/hyperlink" Target="#'10 EVIDENCE &amp; DECISIONS'!A979" TargetMode="External" Id="rId866"/><Relationship Type="http://schemas.openxmlformats.org/officeDocument/2006/relationships/hyperlink" Target="#'10 EVIDENCE &amp; DECISIONS'!A980" TargetMode="External" Id="rId867"/><Relationship Type="http://schemas.openxmlformats.org/officeDocument/2006/relationships/hyperlink" Target="#'10 EVIDENCE &amp; DECISIONS'!A981" TargetMode="External" Id="rId868"/><Relationship Type="http://schemas.openxmlformats.org/officeDocument/2006/relationships/hyperlink" Target="#'10 EVIDENCE &amp; DECISIONS'!A982" TargetMode="External" Id="rId869"/><Relationship Type="http://schemas.openxmlformats.org/officeDocument/2006/relationships/hyperlink" Target="#'10 EVIDENCE &amp; DECISIONS'!A983" TargetMode="External" Id="rId870"/><Relationship Type="http://schemas.openxmlformats.org/officeDocument/2006/relationships/hyperlink" Target="#'10 EVIDENCE &amp; DECISIONS'!A984" TargetMode="External" Id="rId871"/><Relationship Type="http://schemas.openxmlformats.org/officeDocument/2006/relationships/hyperlink" Target="#'10 EVIDENCE &amp; DECISIONS'!A985" TargetMode="External" Id="rId872"/><Relationship Type="http://schemas.openxmlformats.org/officeDocument/2006/relationships/hyperlink" Target="#'10 EVIDENCE &amp; DECISIONS'!A986" TargetMode="External" Id="rId873"/><Relationship Type="http://schemas.openxmlformats.org/officeDocument/2006/relationships/hyperlink" Target="#'10 EVIDENCE &amp; DECISIONS'!A827" TargetMode="External" Id="rId874"/><Relationship Type="http://schemas.openxmlformats.org/officeDocument/2006/relationships/hyperlink" Target="#'10 EVIDENCE &amp; DECISIONS'!A828" TargetMode="External" Id="rId875"/><Relationship Type="http://schemas.openxmlformats.org/officeDocument/2006/relationships/hyperlink" Target="#'10 EVIDENCE &amp; DECISIONS'!A829" TargetMode="External" Id="rId876"/><Relationship Type="http://schemas.openxmlformats.org/officeDocument/2006/relationships/hyperlink" Target="#'10 EVIDENCE &amp; DECISIONS'!A830" TargetMode="External" Id="rId877"/><Relationship Type="http://schemas.openxmlformats.org/officeDocument/2006/relationships/hyperlink" Target="#'10 EVIDENCE &amp; DECISIONS'!A831" TargetMode="External" Id="rId878"/><Relationship Type="http://schemas.openxmlformats.org/officeDocument/2006/relationships/hyperlink" Target="#'10 EVIDENCE &amp; DECISIONS'!A832" TargetMode="External" Id="rId879"/><Relationship Type="http://schemas.openxmlformats.org/officeDocument/2006/relationships/hyperlink" Target="#'10 EVIDENCE &amp; DECISIONS'!A833" TargetMode="External" Id="rId880"/><Relationship Type="http://schemas.openxmlformats.org/officeDocument/2006/relationships/hyperlink" Target="#'10 EVIDENCE &amp; DECISIONS'!A834" TargetMode="External" Id="rId881"/><Relationship Type="http://schemas.openxmlformats.org/officeDocument/2006/relationships/hyperlink" Target="#'10 EVIDENCE &amp; DECISIONS'!A835" TargetMode="External" Id="rId882"/><Relationship Type="http://schemas.openxmlformats.org/officeDocument/2006/relationships/hyperlink" Target="#'10 EVIDENCE &amp; DECISIONS'!A836" TargetMode="External" Id="rId883"/><Relationship Type="http://schemas.openxmlformats.org/officeDocument/2006/relationships/hyperlink" Target="#'10 EVIDENCE &amp; DECISIONS'!A837" TargetMode="External" Id="rId884"/><Relationship Type="http://schemas.openxmlformats.org/officeDocument/2006/relationships/hyperlink" Target="#'10 EVIDENCE &amp; DECISIONS'!A838" TargetMode="External" Id="rId885"/><Relationship Type="http://schemas.openxmlformats.org/officeDocument/2006/relationships/hyperlink" Target="#'10 EVIDENCE &amp; DECISIONS'!A839" TargetMode="External" Id="rId886"/><Relationship Type="http://schemas.openxmlformats.org/officeDocument/2006/relationships/hyperlink" Target="#'10 EVIDENCE &amp; DECISIONS'!A840" TargetMode="External" Id="rId887"/><Relationship Type="http://schemas.openxmlformats.org/officeDocument/2006/relationships/hyperlink" Target="#'10 EVIDENCE &amp; DECISIONS'!A841" TargetMode="External" Id="rId888"/><Relationship Type="http://schemas.openxmlformats.org/officeDocument/2006/relationships/hyperlink" Target="#'10 EVIDENCE &amp; DECISIONS'!A842" TargetMode="External" Id="rId889"/><Relationship Type="http://schemas.openxmlformats.org/officeDocument/2006/relationships/hyperlink" Target="#'10 EVIDENCE &amp; DECISIONS'!A843" TargetMode="External" Id="rId890"/><Relationship Type="http://schemas.openxmlformats.org/officeDocument/2006/relationships/hyperlink" Target="#'10 EVIDENCE &amp; DECISIONS'!A844" TargetMode="External" Id="rId891"/><Relationship Type="http://schemas.openxmlformats.org/officeDocument/2006/relationships/hyperlink" Target="#'10 EVIDENCE &amp; DECISIONS'!A845" TargetMode="External" Id="rId892"/><Relationship Type="http://schemas.openxmlformats.org/officeDocument/2006/relationships/hyperlink" Target="#'10 EVIDENCE &amp; DECISIONS'!A846" TargetMode="External" Id="rId893"/><Relationship Type="http://schemas.openxmlformats.org/officeDocument/2006/relationships/hyperlink" Target="#'10 EVIDENCE &amp; DECISIONS'!A847" TargetMode="External" Id="rId894"/><Relationship Type="http://schemas.openxmlformats.org/officeDocument/2006/relationships/hyperlink" Target="#'10 EVIDENCE &amp; DECISIONS'!A848" TargetMode="External" Id="rId895"/><Relationship Type="http://schemas.openxmlformats.org/officeDocument/2006/relationships/hyperlink" Target="#'10 EVIDENCE &amp; DECISIONS'!A849" TargetMode="External" Id="rId896"/><Relationship Type="http://schemas.openxmlformats.org/officeDocument/2006/relationships/hyperlink" Target="#'10 EVIDENCE &amp; DECISIONS'!A850" TargetMode="External" Id="rId897"/><Relationship Type="http://schemas.openxmlformats.org/officeDocument/2006/relationships/hyperlink" Target="#'10 EVIDENCE &amp; DECISIONS'!A851" TargetMode="External" Id="rId898"/><Relationship Type="http://schemas.openxmlformats.org/officeDocument/2006/relationships/hyperlink" Target="#'10 EVIDENCE &amp; DECISIONS'!A852" TargetMode="External" Id="rId899"/><Relationship Type="http://schemas.openxmlformats.org/officeDocument/2006/relationships/hyperlink" Target="#'10 EVIDENCE &amp; DECISIONS'!A853" TargetMode="External" Id="rId900"/><Relationship Type="http://schemas.openxmlformats.org/officeDocument/2006/relationships/hyperlink" Target="#'10 EVIDENCE &amp; DECISIONS'!A854" TargetMode="External" Id="rId901"/><Relationship Type="http://schemas.openxmlformats.org/officeDocument/2006/relationships/hyperlink" Target="#'10 EVIDENCE &amp; DECISIONS'!A855" TargetMode="External" Id="rId902"/><Relationship Type="http://schemas.openxmlformats.org/officeDocument/2006/relationships/hyperlink" Target="#'10 EVIDENCE &amp; DECISIONS'!A856" TargetMode="External" Id="rId903"/><Relationship Type="http://schemas.openxmlformats.org/officeDocument/2006/relationships/hyperlink" Target="#'10 EVIDENCE &amp; DECISIONS'!A857" TargetMode="External" Id="rId904"/><Relationship Type="http://schemas.openxmlformats.org/officeDocument/2006/relationships/hyperlink" Target="#'10 EVIDENCE &amp; DECISIONS'!A858" TargetMode="External" Id="rId905"/><Relationship Type="http://schemas.openxmlformats.org/officeDocument/2006/relationships/hyperlink" Target="#'10 EVIDENCE &amp; DECISIONS'!A859" TargetMode="External" Id="rId906"/><Relationship Type="http://schemas.openxmlformats.org/officeDocument/2006/relationships/hyperlink" Target="#'10 EVIDENCE &amp; DECISIONS'!A860" TargetMode="External" Id="rId907"/><Relationship Type="http://schemas.openxmlformats.org/officeDocument/2006/relationships/hyperlink" Target="#'10 EVIDENCE &amp; DECISIONS'!A861" TargetMode="External" Id="rId908"/><Relationship Type="http://schemas.openxmlformats.org/officeDocument/2006/relationships/hyperlink" Target="#'10 EVIDENCE &amp; DECISIONS'!A862" TargetMode="External" Id="rId909"/><Relationship Type="http://schemas.openxmlformats.org/officeDocument/2006/relationships/hyperlink" Target="#'10 EVIDENCE &amp; DECISIONS'!A863" TargetMode="External" Id="rId910"/><Relationship Type="http://schemas.openxmlformats.org/officeDocument/2006/relationships/hyperlink" Target="#'10 EVIDENCE &amp; DECISIONS'!A864" TargetMode="External" Id="rId911"/><Relationship Type="http://schemas.openxmlformats.org/officeDocument/2006/relationships/hyperlink" Target="#'10 EVIDENCE &amp; DECISIONS'!A865" TargetMode="External" Id="rId912"/><Relationship Type="http://schemas.openxmlformats.org/officeDocument/2006/relationships/hyperlink" Target="#'10 EVIDENCE &amp; DECISIONS'!A866" TargetMode="External" Id="rId913"/><Relationship Type="http://schemas.openxmlformats.org/officeDocument/2006/relationships/hyperlink" Target="#'10 EVIDENCE &amp; DECISIONS'!A867" TargetMode="External" Id="rId914"/><Relationship Type="http://schemas.openxmlformats.org/officeDocument/2006/relationships/hyperlink" Target="#'10 EVIDENCE &amp; DECISIONS'!A868" TargetMode="External" Id="rId915"/><Relationship Type="http://schemas.openxmlformats.org/officeDocument/2006/relationships/hyperlink" Target="#'10 EVIDENCE &amp; DECISIONS'!A869" TargetMode="External" Id="rId916"/><Relationship Type="http://schemas.openxmlformats.org/officeDocument/2006/relationships/hyperlink" Target="#'10 EVIDENCE &amp; DECISIONS'!A870" TargetMode="External" Id="rId917"/><Relationship Type="http://schemas.openxmlformats.org/officeDocument/2006/relationships/hyperlink" Target="#'10 EVIDENCE &amp; DECISIONS'!A871" TargetMode="External" Id="rId918"/><Relationship Type="http://schemas.openxmlformats.org/officeDocument/2006/relationships/hyperlink" Target="#'10 EVIDENCE &amp; DECISIONS'!A872" TargetMode="External" Id="rId919"/><Relationship Type="http://schemas.openxmlformats.org/officeDocument/2006/relationships/hyperlink" Target="#'10 EVIDENCE &amp; DECISIONS'!A873" TargetMode="External" Id="rId920"/><Relationship Type="http://schemas.openxmlformats.org/officeDocument/2006/relationships/hyperlink" Target="#'10 EVIDENCE &amp; DECISIONS'!A874" TargetMode="External" Id="rId921"/><Relationship Type="http://schemas.openxmlformats.org/officeDocument/2006/relationships/hyperlink" Target="#'10 EVIDENCE &amp; DECISIONS'!A875" TargetMode="External" Id="rId922"/><Relationship Type="http://schemas.openxmlformats.org/officeDocument/2006/relationships/hyperlink" Target="#'10 EVIDENCE &amp; DECISIONS'!A876" TargetMode="External" Id="rId923"/><Relationship Type="http://schemas.openxmlformats.org/officeDocument/2006/relationships/hyperlink" Target="#'10 EVIDENCE &amp; DECISIONS'!A877" TargetMode="External" Id="rId924"/><Relationship Type="http://schemas.openxmlformats.org/officeDocument/2006/relationships/hyperlink" Target="#'10 EVIDENCE &amp; DECISIONS'!A878" TargetMode="External" Id="rId925"/><Relationship Type="http://schemas.openxmlformats.org/officeDocument/2006/relationships/hyperlink" Target="#'10 EVIDENCE &amp; DECISIONS'!A879" TargetMode="External" Id="rId926"/><Relationship Type="http://schemas.openxmlformats.org/officeDocument/2006/relationships/hyperlink" Target="#'10 EVIDENCE &amp; DECISIONS'!A880" TargetMode="External" Id="rId927"/><Relationship Type="http://schemas.openxmlformats.org/officeDocument/2006/relationships/hyperlink" Target="#'10 EVIDENCE &amp; DECISIONS'!A881" TargetMode="External" Id="rId928"/><Relationship Type="http://schemas.openxmlformats.org/officeDocument/2006/relationships/hyperlink" Target="#'10 EVIDENCE &amp; DECISIONS'!A882" TargetMode="External" Id="rId929"/><Relationship Type="http://schemas.openxmlformats.org/officeDocument/2006/relationships/hyperlink" Target="#'10 EVIDENCE &amp; DECISIONS'!A883" TargetMode="External" Id="rId930"/><Relationship Type="http://schemas.openxmlformats.org/officeDocument/2006/relationships/hyperlink" Target="#'10 EVIDENCE &amp; DECISIONS'!A884" TargetMode="External" Id="rId931"/><Relationship Type="http://schemas.openxmlformats.org/officeDocument/2006/relationships/hyperlink" Target="#'10 EVIDENCE &amp; DECISIONS'!A885" TargetMode="External" Id="rId932"/><Relationship Type="http://schemas.openxmlformats.org/officeDocument/2006/relationships/hyperlink" Target="#'10 EVIDENCE &amp; DECISIONS'!A886" TargetMode="External" Id="rId933"/><Relationship Type="http://schemas.openxmlformats.org/officeDocument/2006/relationships/hyperlink" Target="#'10 EVIDENCE &amp; DECISIONS'!A887" TargetMode="External" Id="rId934"/><Relationship Type="http://schemas.openxmlformats.org/officeDocument/2006/relationships/hyperlink" Target="#'10 EVIDENCE &amp; DECISIONS'!A888" TargetMode="External" Id="rId935"/><Relationship Type="http://schemas.openxmlformats.org/officeDocument/2006/relationships/hyperlink" Target="#'10 EVIDENCE &amp; DECISIONS'!A889" TargetMode="External" Id="rId936"/><Relationship Type="http://schemas.openxmlformats.org/officeDocument/2006/relationships/hyperlink" Target="#'10 EVIDENCE &amp; DECISIONS'!A890" TargetMode="External" Id="rId937"/><Relationship Type="http://schemas.openxmlformats.org/officeDocument/2006/relationships/hyperlink" Target="#'10 EVIDENCE &amp; DECISIONS'!A891" TargetMode="External" Id="rId938"/><Relationship Type="http://schemas.openxmlformats.org/officeDocument/2006/relationships/hyperlink" Target="#'10 EVIDENCE &amp; DECISIONS'!A892" TargetMode="External" Id="rId939"/><Relationship Type="http://schemas.openxmlformats.org/officeDocument/2006/relationships/hyperlink" Target="#'10 EVIDENCE &amp; DECISIONS'!A893" TargetMode="External" Id="rId940"/><Relationship Type="http://schemas.openxmlformats.org/officeDocument/2006/relationships/hyperlink" Target="#'10 EVIDENCE &amp; DECISIONS'!A894" TargetMode="External" Id="rId941"/><Relationship Type="http://schemas.openxmlformats.org/officeDocument/2006/relationships/hyperlink" Target="#'10 EVIDENCE &amp; DECISIONS'!A895" TargetMode="External" Id="rId942"/><Relationship Type="http://schemas.openxmlformats.org/officeDocument/2006/relationships/hyperlink" Target="#'10 EVIDENCE &amp; DECISIONS'!A896" TargetMode="External" Id="rId943"/><Relationship Type="http://schemas.openxmlformats.org/officeDocument/2006/relationships/hyperlink" Target="#'10 EVIDENCE &amp; DECISIONS'!A897" TargetMode="External" Id="rId944"/><Relationship Type="http://schemas.openxmlformats.org/officeDocument/2006/relationships/hyperlink" Target="#'10 EVIDENCE &amp; DECISIONS'!A898" TargetMode="External" Id="rId945"/><Relationship Type="http://schemas.openxmlformats.org/officeDocument/2006/relationships/hyperlink" Target="#'10 EVIDENCE &amp; DECISIONS'!A899" TargetMode="External" Id="rId946"/><Relationship Type="http://schemas.openxmlformats.org/officeDocument/2006/relationships/hyperlink" Target="#'10 EVIDENCE &amp; DECISIONS'!A900" TargetMode="External" Id="rId947"/><Relationship Type="http://schemas.openxmlformats.org/officeDocument/2006/relationships/hyperlink" Target="#'10 EVIDENCE &amp; DECISIONS'!A901" TargetMode="External" Id="rId948"/><Relationship Type="http://schemas.openxmlformats.org/officeDocument/2006/relationships/hyperlink" Target="#'10 EVIDENCE &amp; DECISIONS'!A902" TargetMode="External" Id="rId949"/><Relationship Type="http://schemas.openxmlformats.org/officeDocument/2006/relationships/hyperlink" Target="#'10 EVIDENCE &amp; DECISIONS'!A903" TargetMode="External" Id="rId950"/><Relationship Type="http://schemas.openxmlformats.org/officeDocument/2006/relationships/hyperlink" Target="#'10 EVIDENCE &amp; DECISIONS'!A904" TargetMode="External" Id="rId951"/><Relationship Type="http://schemas.openxmlformats.org/officeDocument/2006/relationships/hyperlink" Target="#'10 EVIDENCE &amp; DECISIONS'!A905" TargetMode="External" Id="rId952"/><Relationship Type="http://schemas.openxmlformats.org/officeDocument/2006/relationships/hyperlink" Target="#'10 EVIDENCE &amp; DECISIONS'!A906" TargetMode="External" Id="rId953"/><Relationship Type="http://schemas.openxmlformats.org/officeDocument/2006/relationships/hyperlink" Target="#'10 EVIDENCE &amp; DECISIONS'!A907" TargetMode="External" Id="rId954"/><Relationship Type="http://schemas.openxmlformats.org/officeDocument/2006/relationships/hyperlink" Target="#'10 EVIDENCE &amp; DECISIONS'!A908" TargetMode="External" Id="rId955"/><Relationship Type="http://schemas.openxmlformats.org/officeDocument/2006/relationships/hyperlink" Target="#'10 EVIDENCE &amp; DECISIONS'!A909" TargetMode="External" Id="rId956"/><Relationship Type="http://schemas.openxmlformats.org/officeDocument/2006/relationships/hyperlink" Target="#'10 EVIDENCE &amp; DECISIONS'!A910" TargetMode="External" Id="rId957"/><Relationship Type="http://schemas.openxmlformats.org/officeDocument/2006/relationships/hyperlink" Target="#'10 EVIDENCE &amp; DECISIONS'!A911" TargetMode="External" Id="rId958"/><Relationship Type="http://schemas.openxmlformats.org/officeDocument/2006/relationships/hyperlink" Target="#'10 EVIDENCE &amp; DECISIONS'!A912" TargetMode="External" Id="rId959"/><Relationship Type="http://schemas.openxmlformats.org/officeDocument/2006/relationships/hyperlink" Target="#'10 EVIDENCE &amp; DECISIONS'!A913" TargetMode="External" Id="rId960"/><Relationship Type="http://schemas.openxmlformats.org/officeDocument/2006/relationships/hyperlink" Target="#'10 EVIDENCE &amp; DECISIONS'!A914" TargetMode="External" Id="rId961"/><Relationship Type="http://schemas.openxmlformats.org/officeDocument/2006/relationships/hyperlink" Target="#'10 EVIDENCE &amp; DECISIONS'!A915" TargetMode="External" Id="rId962"/><Relationship Type="http://schemas.openxmlformats.org/officeDocument/2006/relationships/hyperlink" Target="#'10 EVIDENCE &amp; DECISIONS'!A916" TargetMode="External" Id="rId963"/><Relationship Type="http://schemas.openxmlformats.org/officeDocument/2006/relationships/hyperlink" Target="#'10 EVIDENCE &amp; DECISIONS'!A917" TargetMode="External" Id="rId964"/><Relationship Type="http://schemas.openxmlformats.org/officeDocument/2006/relationships/hyperlink" Target="#'10 EVIDENCE &amp; DECISIONS'!A918" TargetMode="External" Id="rId965"/><Relationship Type="http://schemas.openxmlformats.org/officeDocument/2006/relationships/hyperlink" Target="#'10 EVIDENCE &amp; DECISIONS'!A919" TargetMode="External" Id="rId966"/><Relationship Type="http://schemas.openxmlformats.org/officeDocument/2006/relationships/hyperlink" Target="#'10 EVIDENCE &amp; DECISIONS'!A920" TargetMode="External" Id="rId967"/><Relationship Type="http://schemas.openxmlformats.org/officeDocument/2006/relationships/hyperlink" Target="#'10 EVIDENCE &amp; DECISIONS'!A921" TargetMode="External" Id="rId968"/><Relationship Type="http://schemas.openxmlformats.org/officeDocument/2006/relationships/hyperlink" Target="#'10 EVIDENCE &amp; DECISIONS'!A922" TargetMode="External" Id="rId969"/><Relationship Type="http://schemas.openxmlformats.org/officeDocument/2006/relationships/hyperlink" Target="#'10 EVIDENCE &amp; DECISIONS'!A923" TargetMode="External" Id="rId970"/><Relationship Type="http://schemas.openxmlformats.org/officeDocument/2006/relationships/hyperlink" Target="#'10 EVIDENCE &amp; DECISIONS'!A924" TargetMode="External" Id="rId971"/><Relationship Type="http://schemas.openxmlformats.org/officeDocument/2006/relationships/hyperlink" Target="#'10 EVIDENCE &amp; DECISIONS'!A925" TargetMode="External" Id="rId972"/><Relationship Type="http://schemas.openxmlformats.org/officeDocument/2006/relationships/hyperlink" Target="#'10 EVIDENCE &amp; DECISIONS'!A926" TargetMode="External" Id="rId973"/><Relationship Type="http://schemas.openxmlformats.org/officeDocument/2006/relationships/hyperlink" Target="#'10 EVIDENCE &amp; DECISIONS'!A927" TargetMode="External" Id="rId974"/><Relationship Type="http://schemas.openxmlformats.org/officeDocument/2006/relationships/hyperlink" Target="#'10 EVIDENCE &amp; DECISIONS'!A928" TargetMode="External" Id="rId975"/><Relationship Type="http://schemas.openxmlformats.org/officeDocument/2006/relationships/hyperlink" Target="#'10 EVIDENCE &amp; DECISIONS'!A929" TargetMode="External" Id="rId976"/><Relationship Type="http://schemas.openxmlformats.org/officeDocument/2006/relationships/hyperlink" Target="#'10 EVIDENCE &amp; DECISIONS'!A930" TargetMode="External" Id="rId977"/><Relationship Type="http://schemas.openxmlformats.org/officeDocument/2006/relationships/hyperlink" Target="#'10 EVIDENCE &amp; DECISIONS'!A931" TargetMode="External" Id="rId978"/><Relationship Type="http://schemas.openxmlformats.org/officeDocument/2006/relationships/hyperlink" Target="#'10 EVIDENCE &amp; DECISIONS'!A932" TargetMode="External" Id="rId979"/><Relationship Type="http://schemas.openxmlformats.org/officeDocument/2006/relationships/hyperlink" Target="#'10 EVIDENCE &amp; DECISIONS'!A933" TargetMode="External" Id="rId980"/><Relationship Type="http://schemas.openxmlformats.org/officeDocument/2006/relationships/hyperlink" Target="#'10 EVIDENCE &amp; DECISIONS'!A934" TargetMode="External" Id="rId981"/><Relationship Type="http://schemas.openxmlformats.org/officeDocument/2006/relationships/hyperlink" Target="#'10 EVIDENCE &amp; DECISIONS'!A935" TargetMode="External" Id="rId982"/><Relationship Type="http://schemas.openxmlformats.org/officeDocument/2006/relationships/hyperlink" Target="#'10 EVIDENCE &amp; DECISIONS'!A936" TargetMode="External" Id="rId983"/><Relationship Type="http://schemas.openxmlformats.org/officeDocument/2006/relationships/hyperlink" Target="#'10 EVIDENCE &amp; DECISIONS'!A937" TargetMode="External" Id="rId984"/><Relationship Type="http://schemas.openxmlformats.org/officeDocument/2006/relationships/hyperlink" Target="#'10 EVIDENCE &amp; DECISIONS'!A938" TargetMode="External" Id="rId985"/><Relationship Type="http://schemas.openxmlformats.org/officeDocument/2006/relationships/hyperlink" Target="#'10 EVIDENCE &amp; DECISIONS'!A939" TargetMode="External" Id="rId986"/><Relationship Type="http://schemas.openxmlformats.org/officeDocument/2006/relationships/hyperlink" Target="#'10 EVIDENCE &amp; DECISIONS'!A940" TargetMode="External" Id="rId987"/><Relationship Type="http://schemas.openxmlformats.org/officeDocument/2006/relationships/hyperlink" Target="#'10 EVIDENCE &amp; DECISIONS'!A941" TargetMode="External" Id="rId988"/><Relationship Type="http://schemas.openxmlformats.org/officeDocument/2006/relationships/hyperlink" Target="#'10 EVIDENCE &amp; DECISIONS'!A942" TargetMode="External" Id="rId989"/><Relationship Type="http://schemas.openxmlformats.org/officeDocument/2006/relationships/hyperlink" Target="#'10 EVIDENCE &amp; DECISIONS'!A943" TargetMode="External" Id="rId990"/><Relationship Type="http://schemas.openxmlformats.org/officeDocument/2006/relationships/hyperlink" Target="#'10 EVIDENCE &amp; DECISIONS'!A944" TargetMode="External" Id="rId991"/><Relationship Type="http://schemas.openxmlformats.org/officeDocument/2006/relationships/hyperlink" Target="#'10 EVIDENCE &amp; DECISIONS'!A945" TargetMode="External" Id="rId992"/><Relationship Type="http://schemas.openxmlformats.org/officeDocument/2006/relationships/hyperlink" Target="#'10 EVIDENCE &amp; DECISIONS'!A946" TargetMode="External" Id="rId993"/><Relationship Type="http://schemas.openxmlformats.org/officeDocument/2006/relationships/hyperlink" Target="#'10 EVIDENCE &amp; DECISIONS'!A1046" TargetMode="External" Id="rId994"/><Relationship Type="http://schemas.openxmlformats.org/officeDocument/2006/relationships/hyperlink" Target="#'10 EVIDENCE &amp; DECISIONS'!A1047" TargetMode="External" Id="rId995"/><Relationship Type="http://schemas.openxmlformats.org/officeDocument/2006/relationships/hyperlink" Target="#'10 EVIDENCE &amp; DECISIONS'!A1048" TargetMode="External" Id="rId996"/><Relationship Type="http://schemas.openxmlformats.org/officeDocument/2006/relationships/hyperlink" Target="#'10 EVIDENCE &amp; DECISIONS'!A1049" TargetMode="External" Id="rId997"/><Relationship Type="http://schemas.openxmlformats.org/officeDocument/2006/relationships/hyperlink" Target="#'10 EVIDENCE &amp; DECISIONS'!A1050" TargetMode="External" Id="rId998"/><Relationship Type="http://schemas.openxmlformats.org/officeDocument/2006/relationships/hyperlink" Target="#'10 EVIDENCE &amp; DECISIONS'!A1051" TargetMode="External" Id="rId999"/><Relationship Type="http://schemas.openxmlformats.org/officeDocument/2006/relationships/hyperlink" Target="#'10 EVIDENCE &amp; DECISIONS'!A1052" TargetMode="External" Id="rId1000"/><Relationship Type="http://schemas.openxmlformats.org/officeDocument/2006/relationships/hyperlink" Target="#'10 EVIDENCE &amp; DECISIONS'!A1053" TargetMode="External" Id="rId1001"/><Relationship Type="http://schemas.openxmlformats.org/officeDocument/2006/relationships/hyperlink" Target="#'10 EVIDENCE &amp; DECISIONS'!A1054" TargetMode="External" Id="rId1002"/><Relationship Type="http://schemas.openxmlformats.org/officeDocument/2006/relationships/hyperlink" Target="#'10 EVIDENCE &amp; DECISIONS'!A1055" TargetMode="External" Id="rId1003"/><Relationship Type="http://schemas.openxmlformats.org/officeDocument/2006/relationships/hyperlink" Target="#'10 EVIDENCE &amp; DECISIONS'!A1056" TargetMode="External" Id="rId1004"/><Relationship Type="http://schemas.openxmlformats.org/officeDocument/2006/relationships/hyperlink" Target="#'10 EVIDENCE &amp; DECISIONS'!A1057" TargetMode="External" Id="rId1005"/><Relationship Type="http://schemas.openxmlformats.org/officeDocument/2006/relationships/hyperlink" Target="#'10 EVIDENCE &amp; DECISIONS'!A1058" TargetMode="External" Id="rId1006"/><Relationship Type="http://schemas.openxmlformats.org/officeDocument/2006/relationships/hyperlink" Target="#'10 EVIDENCE &amp; DECISIONS'!A1059" TargetMode="External" Id="rId1007"/><Relationship Type="http://schemas.openxmlformats.org/officeDocument/2006/relationships/hyperlink" Target="#'10 EVIDENCE &amp; DECISIONS'!A1060" TargetMode="External" Id="rId1008"/><Relationship Type="http://schemas.openxmlformats.org/officeDocument/2006/relationships/hyperlink" Target="#'10 EVIDENCE &amp; DECISIONS'!A1061" TargetMode="External" Id="rId1009"/><Relationship Type="http://schemas.openxmlformats.org/officeDocument/2006/relationships/hyperlink" Target="#'10 EVIDENCE &amp; DECISIONS'!A1062" TargetMode="External" Id="rId1010"/><Relationship Type="http://schemas.openxmlformats.org/officeDocument/2006/relationships/hyperlink" Target="#'10 EVIDENCE &amp; DECISIONS'!A1063" TargetMode="External" Id="rId1011"/><Relationship Type="http://schemas.openxmlformats.org/officeDocument/2006/relationships/hyperlink" Target="#'10 EVIDENCE &amp; DECISIONS'!A1064" TargetMode="External" Id="rId1012"/><Relationship Type="http://schemas.openxmlformats.org/officeDocument/2006/relationships/hyperlink" Target="#'10 EVIDENCE &amp; DECISIONS'!A1065" TargetMode="External" Id="rId1013"/><Relationship Type="http://schemas.openxmlformats.org/officeDocument/2006/relationships/hyperlink" Target="#'10 EVIDENCE &amp; DECISIONS'!A1066" TargetMode="External" Id="rId1014"/><Relationship Type="http://schemas.openxmlformats.org/officeDocument/2006/relationships/hyperlink" Target="#'10 EVIDENCE &amp; DECISIONS'!A1067" TargetMode="External" Id="rId1015"/><Relationship Type="http://schemas.openxmlformats.org/officeDocument/2006/relationships/hyperlink" Target="#'10 EVIDENCE &amp; DECISIONS'!A1068" TargetMode="External" Id="rId1016"/><Relationship Type="http://schemas.openxmlformats.org/officeDocument/2006/relationships/hyperlink" Target="#'10 EVIDENCE &amp; DECISIONS'!A1069" TargetMode="External" Id="rId1017"/><Relationship Type="http://schemas.openxmlformats.org/officeDocument/2006/relationships/hyperlink" Target="#'10 EVIDENCE &amp; DECISIONS'!A1070" TargetMode="External" Id="rId1018"/><Relationship Type="http://schemas.openxmlformats.org/officeDocument/2006/relationships/hyperlink" Target="#'10 EVIDENCE &amp; DECISIONS'!A1071" TargetMode="External" Id="rId1019"/><Relationship Type="http://schemas.openxmlformats.org/officeDocument/2006/relationships/hyperlink" Target="#'10 EVIDENCE &amp; DECISIONS'!A1072" TargetMode="External" Id="rId1020"/><Relationship Type="http://schemas.openxmlformats.org/officeDocument/2006/relationships/hyperlink" Target="#'10 EVIDENCE &amp; DECISIONS'!A1073" TargetMode="External" Id="rId1021"/><Relationship Type="http://schemas.openxmlformats.org/officeDocument/2006/relationships/hyperlink" Target="#'10 EVIDENCE &amp; DECISIONS'!A1074" TargetMode="External" Id="rId1022"/><Relationship Type="http://schemas.openxmlformats.org/officeDocument/2006/relationships/hyperlink" Target="#'10 EVIDENCE &amp; DECISIONS'!A1075" TargetMode="External" Id="rId1023"/><Relationship Type="http://schemas.openxmlformats.org/officeDocument/2006/relationships/hyperlink" Target="#'10 EVIDENCE &amp; DECISIONS'!A1076" TargetMode="External" Id="rId1024"/><Relationship Type="http://schemas.openxmlformats.org/officeDocument/2006/relationships/hyperlink" Target="#'10 EVIDENCE &amp; DECISIONS'!A1077" TargetMode="External" Id="rId1025"/><Relationship Type="http://schemas.openxmlformats.org/officeDocument/2006/relationships/hyperlink" Target="#'10 EVIDENCE &amp; DECISIONS'!A1078" TargetMode="External" Id="rId1026"/><Relationship Type="http://schemas.openxmlformats.org/officeDocument/2006/relationships/hyperlink" Target="#'10 EVIDENCE &amp; DECISIONS'!A1079" TargetMode="External" Id="rId1027"/><Relationship Type="http://schemas.openxmlformats.org/officeDocument/2006/relationships/hyperlink" Target="#'10 EVIDENCE &amp; DECISIONS'!A1080" TargetMode="External" Id="rId1028"/><Relationship Type="http://schemas.openxmlformats.org/officeDocument/2006/relationships/hyperlink" Target="#'10 EVIDENCE &amp; DECISIONS'!A1081" TargetMode="External" Id="rId1029"/><Relationship Type="http://schemas.openxmlformats.org/officeDocument/2006/relationships/hyperlink" Target="#'10 EVIDENCE &amp; DECISIONS'!A1082" TargetMode="External" Id="rId1030"/><Relationship Type="http://schemas.openxmlformats.org/officeDocument/2006/relationships/hyperlink" Target="#'10 EVIDENCE &amp; DECISIONS'!A1083" TargetMode="External" Id="rId1031"/><Relationship Type="http://schemas.openxmlformats.org/officeDocument/2006/relationships/hyperlink" Target="#'10 EVIDENCE &amp; DECISIONS'!A1084" TargetMode="External" Id="rId1032"/><Relationship Type="http://schemas.openxmlformats.org/officeDocument/2006/relationships/hyperlink" Target="#'10 EVIDENCE &amp; DECISIONS'!A1085" TargetMode="External" Id="rId1033"/><Relationship Type="http://schemas.openxmlformats.org/officeDocument/2006/relationships/hyperlink" Target="#'10 EVIDENCE &amp; DECISIONS'!A987" TargetMode="External" Id="rId1034"/><Relationship Type="http://schemas.openxmlformats.org/officeDocument/2006/relationships/hyperlink" Target="#'10 EVIDENCE &amp; DECISIONS'!A988" TargetMode="External" Id="rId1035"/><Relationship Type="http://schemas.openxmlformats.org/officeDocument/2006/relationships/hyperlink" Target="#'10 EVIDENCE &amp; DECISIONS'!A989" TargetMode="External" Id="rId1036"/><Relationship Type="http://schemas.openxmlformats.org/officeDocument/2006/relationships/hyperlink" Target="#'10 EVIDENCE &amp; DECISIONS'!A990" TargetMode="External" Id="rId1037"/><Relationship Type="http://schemas.openxmlformats.org/officeDocument/2006/relationships/hyperlink" Target="#'10 EVIDENCE &amp; DECISIONS'!A991" TargetMode="External" Id="rId1038"/><Relationship Type="http://schemas.openxmlformats.org/officeDocument/2006/relationships/hyperlink" Target="#'10 EVIDENCE &amp; DECISIONS'!A992" TargetMode="External" Id="rId1039"/><Relationship Type="http://schemas.openxmlformats.org/officeDocument/2006/relationships/hyperlink" Target="#'10 EVIDENCE &amp; DECISIONS'!A993" TargetMode="External" Id="rId1040"/><Relationship Type="http://schemas.openxmlformats.org/officeDocument/2006/relationships/hyperlink" Target="#'10 EVIDENCE &amp; DECISIONS'!A994" TargetMode="External" Id="rId1041"/><Relationship Type="http://schemas.openxmlformats.org/officeDocument/2006/relationships/hyperlink" Target="#'10 EVIDENCE &amp; DECISIONS'!A995" TargetMode="External" Id="rId1042"/><Relationship Type="http://schemas.openxmlformats.org/officeDocument/2006/relationships/hyperlink" Target="#'10 EVIDENCE &amp; DECISIONS'!A996" TargetMode="External" Id="rId1043"/><Relationship Type="http://schemas.openxmlformats.org/officeDocument/2006/relationships/hyperlink" Target="#'10 EVIDENCE &amp; DECISIONS'!A997" TargetMode="External" Id="rId1044"/><Relationship Type="http://schemas.openxmlformats.org/officeDocument/2006/relationships/hyperlink" Target="#'10 EVIDENCE &amp; DECISIONS'!A998" TargetMode="External" Id="rId1045"/><Relationship Type="http://schemas.openxmlformats.org/officeDocument/2006/relationships/hyperlink" Target="#'10 EVIDENCE &amp; DECISIONS'!A999" TargetMode="External" Id="rId1046"/><Relationship Type="http://schemas.openxmlformats.org/officeDocument/2006/relationships/hyperlink" Target="#'10 EVIDENCE &amp; DECISIONS'!A1000" TargetMode="External" Id="rId1047"/><Relationship Type="http://schemas.openxmlformats.org/officeDocument/2006/relationships/hyperlink" Target="#'10 EVIDENCE &amp; DECISIONS'!A1001" TargetMode="External" Id="rId1048"/><Relationship Type="http://schemas.openxmlformats.org/officeDocument/2006/relationships/hyperlink" Target="#'10 EVIDENCE &amp; DECISIONS'!A1002" TargetMode="External" Id="rId1049"/><Relationship Type="http://schemas.openxmlformats.org/officeDocument/2006/relationships/hyperlink" Target="#'10 EVIDENCE &amp; DECISIONS'!A1003" TargetMode="External" Id="rId1050"/><Relationship Type="http://schemas.openxmlformats.org/officeDocument/2006/relationships/hyperlink" Target="#'10 EVIDENCE &amp; DECISIONS'!A1004" TargetMode="External" Id="rId1051"/><Relationship Type="http://schemas.openxmlformats.org/officeDocument/2006/relationships/hyperlink" Target="#'10 EVIDENCE &amp; DECISIONS'!A1005" TargetMode="External" Id="rId1052"/><Relationship Type="http://schemas.openxmlformats.org/officeDocument/2006/relationships/hyperlink" Target="#'10 EVIDENCE &amp; DECISIONS'!A1006" TargetMode="External" Id="rId1053"/><Relationship Type="http://schemas.openxmlformats.org/officeDocument/2006/relationships/hyperlink" Target="#'10 EVIDENCE &amp; DECISIONS'!A1007" TargetMode="External" Id="rId1054"/><Relationship Type="http://schemas.openxmlformats.org/officeDocument/2006/relationships/hyperlink" Target="#'10 EVIDENCE &amp; DECISIONS'!A1008" TargetMode="External" Id="rId1055"/><Relationship Type="http://schemas.openxmlformats.org/officeDocument/2006/relationships/hyperlink" Target="#'10 EVIDENCE &amp; DECISIONS'!A1009" TargetMode="External" Id="rId1056"/><Relationship Type="http://schemas.openxmlformats.org/officeDocument/2006/relationships/hyperlink" Target="#'10 EVIDENCE &amp; DECISIONS'!A1010" TargetMode="External" Id="rId1057"/><Relationship Type="http://schemas.openxmlformats.org/officeDocument/2006/relationships/hyperlink" Target="#'10 EVIDENCE &amp; DECISIONS'!A1011" TargetMode="External" Id="rId1058"/><Relationship Type="http://schemas.openxmlformats.org/officeDocument/2006/relationships/hyperlink" Target="#'10 EVIDENCE &amp; DECISIONS'!A1012" TargetMode="External" Id="rId1059"/><Relationship Type="http://schemas.openxmlformats.org/officeDocument/2006/relationships/hyperlink" Target="#'10 EVIDENCE &amp; DECISIONS'!A1013" TargetMode="External" Id="rId1060"/><Relationship Type="http://schemas.openxmlformats.org/officeDocument/2006/relationships/hyperlink" Target="#'10 EVIDENCE &amp; DECISIONS'!A1014" TargetMode="External" Id="rId1061"/><Relationship Type="http://schemas.openxmlformats.org/officeDocument/2006/relationships/hyperlink" Target="#'10 EVIDENCE &amp; DECISIONS'!A1015" TargetMode="External" Id="rId1062"/><Relationship Type="http://schemas.openxmlformats.org/officeDocument/2006/relationships/hyperlink" Target="#'10 EVIDENCE &amp; DECISIONS'!A1016" TargetMode="External" Id="rId1063"/><Relationship Type="http://schemas.openxmlformats.org/officeDocument/2006/relationships/hyperlink" Target="#'10 EVIDENCE &amp; DECISIONS'!A1017" TargetMode="External" Id="rId1064"/><Relationship Type="http://schemas.openxmlformats.org/officeDocument/2006/relationships/hyperlink" Target="#'10 EVIDENCE &amp; DECISIONS'!A1018" TargetMode="External" Id="rId1065"/><Relationship Type="http://schemas.openxmlformats.org/officeDocument/2006/relationships/hyperlink" Target="#'10 EVIDENCE &amp; DECISIONS'!A1019" TargetMode="External" Id="rId1066"/><Relationship Type="http://schemas.openxmlformats.org/officeDocument/2006/relationships/hyperlink" Target="#'10 EVIDENCE &amp; DECISIONS'!A1020" TargetMode="External" Id="rId1067"/><Relationship Type="http://schemas.openxmlformats.org/officeDocument/2006/relationships/hyperlink" Target="#'10 EVIDENCE &amp; DECISIONS'!A1021" TargetMode="External" Id="rId1068"/><Relationship Type="http://schemas.openxmlformats.org/officeDocument/2006/relationships/hyperlink" Target="#'10 EVIDENCE &amp; DECISIONS'!A1022" TargetMode="External" Id="rId1069"/><Relationship Type="http://schemas.openxmlformats.org/officeDocument/2006/relationships/hyperlink" Target="#'10 EVIDENCE &amp; DECISIONS'!A1023" TargetMode="External" Id="rId1070"/><Relationship Type="http://schemas.openxmlformats.org/officeDocument/2006/relationships/hyperlink" Target="#'10 EVIDENCE &amp; DECISIONS'!A1024" TargetMode="External" Id="rId1071"/><Relationship Type="http://schemas.openxmlformats.org/officeDocument/2006/relationships/hyperlink" Target="#'10 EVIDENCE &amp; DECISIONS'!A1025" TargetMode="External" Id="rId1072"/><Relationship Type="http://schemas.openxmlformats.org/officeDocument/2006/relationships/hyperlink" Target="#'10 EVIDENCE &amp; DECISIONS'!A1026" TargetMode="External" Id="rId1073"/><Relationship Type="http://schemas.openxmlformats.org/officeDocument/2006/relationships/hyperlink" Target="#'10 EVIDENCE &amp; DECISIONS'!A1027" TargetMode="External" Id="rId1074"/><Relationship Type="http://schemas.openxmlformats.org/officeDocument/2006/relationships/hyperlink" Target="#'10 EVIDENCE &amp; DECISIONS'!A1028" TargetMode="External" Id="rId1075"/><Relationship Type="http://schemas.openxmlformats.org/officeDocument/2006/relationships/hyperlink" Target="#'10 EVIDENCE &amp; DECISIONS'!A1029" TargetMode="External" Id="rId1076"/><Relationship Type="http://schemas.openxmlformats.org/officeDocument/2006/relationships/hyperlink" Target="#'10 EVIDENCE &amp; DECISIONS'!A1030" TargetMode="External" Id="rId1077"/><Relationship Type="http://schemas.openxmlformats.org/officeDocument/2006/relationships/hyperlink" Target="#'10 EVIDENCE &amp; DECISIONS'!A1031" TargetMode="External" Id="rId1078"/><Relationship Type="http://schemas.openxmlformats.org/officeDocument/2006/relationships/hyperlink" Target="#'10 EVIDENCE &amp; DECISIONS'!A1032" TargetMode="External" Id="rId1079"/><Relationship Type="http://schemas.openxmlformats.org/officeDocument/2006/relationships/hyperlink" Target="#'10 EVIDENCE &amp; DECISIONS'!A1033" TargetMode="External" Id="rId1080"/><Relationship Type="http://schemas.openxmlformats.org/officeDocument/2006/relationships/hyperlink" Target="#'10 EVIDENCE &amp; DECISIONS'!A1034" TargetMode="External" Id="rId1081"/><Relationship Type="http://schemas.openxmlformats.org/officeDocument/2006/relationships/hyperlink" Target="#'10 EVIDENCE &amp; DECISIONS'!A1035" TargetMode="External" Id="rId1082"/><Relationship Type="http://schemas.openxmlformats.org/officeDocument/2006/relationships/hyperlink" Target="#'10 EVIDENCE &amp; DECISIONS'!A1036" TargetMode="External" Id="rId1083"/><Relationship Type="http://schemas.openxmlformats.org/officeDocument/2006/relationships/hyperlink" Target="#'10 EVIDENCE &amp; DECISIONS'!A1037" TargetMode="External" Id="rId1084"/><Relationship Type="http://schemas.openxmlformats.org/officeDocument/2006/relationships/hyperlink" Target="#'10 EVIDENCE &amp; DECISIONS'!A1038" TargetMode="External" Id="rId1085"/><Relationship Type="http://schemas.openxmlformats.org/officeDocument/2006/relationships/hyperlink" Target="#'10 EVIDENCE &amp; DECISIONS'!A1039" TargetMode="External" Id="rId1086"/><Relationship Type="http://schemas.openxmlformats.org/officeDocument/2006/relationships/hyperlink" Target="#'10 EVIDENCE &amp; DECISIONS'!A1040" TargetMode="External" Id="rId1087"/><Relationship Type="http://schemas.openxmlformats.org/officeDocument/2006/relationships/hyperlink" Target="#'10 EVIDENCE &amp; DECISIONS'!A1041" TargetMode="External" Id="rId1088"/><Relationship Type="http://schemas.openxmlformats.org/officeDocument/2006/relationships/hyperlink" Target="#'10 EVIDENCE &amp; DECISIONS'!A1042" TargetMode="External" Id="rId1089"/><Relationship Type="http://schemas.openxmlformats.org/officeDocument/2006/relationships/hyperlink" Target="#'10 EVIDENCE &amp; DECISIONS'!A1043" TargetMode="External" Id="rId1090"/><Relationship Type="http://schemas.openxmlformats.org/officeDocument/2006/relationships/hyperlink" Target="#'10 EVIDENCE &amp; DECISIONS'!A1044" TargetMode="External" Id="rId1091"/><Relationship Type="http://schemas.openxmlformats.org/officeDocument/2006/relationships/hyperlink" Target="#'10 EVIDENCE &amp; DECISIONS'!A1045" TargetMode="External" Id="rId1092"/><Relationship Type="http://schemas.openxmlformats.org/officeDocument/2006/relationships/hyperlink" Target="#'10 EVIDENCE &amp; DECISIONS'!A1086" TargetMode="External" Id="rId1093"/><Relationship Type="http://schemas.openxmlformats.org/officeDocument/2006/relationships/hyperlink" Target="#'10 EVIDENCE &amp; DECISIONS'!A1087" TargetMode="External" Id="rId1094"/><Relationship Type="http://schemas.openxmlformats.org/officeDocument/2006/relationships/hyperlink" Target="#'10 EVIDENCE &amp; DECISIONS'!A1088" TargetMode="External" Id="rId1095"/><Relationship Type="http://schemas.openxmlformats.org/officeDocument/2006/relationships/hyperlink" Target="#'10 EVIDENCE &amp; DECISIONS'!A1089" TargetMode="External" Id="rId1096"/><Relationship Type="http://schemas.openxmlformats.org/officeDocument/2006/relationships/hyperlink" Target="#'10 EVIDENCE &amp; DECISIONS'!A1090" TargetMode="External" Id="rId1097"/><Relationship Type="http://schemas.openxmlformats.org/officeDocument/2006/relationships/hyperlink" Target="#'10 EVIDENCE &amp; DECISIONS'!A1091" TargetMode="External" Id="rId1098"/><Relationship Type="http://schemas.openxmlformats.org/officeDocument/2006/relationships/hyperlink" Target="#'10 EVIDENCE &amp; DECISIONS'!A1092" TargetMode="External" Id="rId1099"/><Relationship Type="http://schemas.openxmlformats.org/officeDocument/2006/relationships/hyperlink" Target="#'10 EVIDENCE &amp; DECISIONS'!A1093" TargetMode="External" Id="rId1100"/><Relationship Type="http://schemas.openxmlformats.org/officeDocument/2006/relationships/hyperlink" Target="#'10 EVIDENCE &amp; DECISIONS'!A1094" TargetMode="External" Id="rId1101"/><Relationship Type="http://schemas.openxmlformats.org/officeDocument/2006/relationships/hyperlink" Target="#'10 EVIDENCE &amp; DECISIONS'!A1095" TargetMode="External" Id="rId1102"/><Relationship Type="http://schemas.openxmlformats.org/officeDocument/2006/relationships/hyperlink" Target="#'10 EVIDENCE &amp; DECISIONS'!A1096" TargetMode="External" Id="rId1103"/><Relationship Type="http://schemas.openxmlformats.org/officeDocument/2006/relationships/hyperlink" Target="#'10 EVIDENCE &amp; DECISIONS'!A1097" TargetMode="External" Id="rId1104"/><Relationship Type="http://schemas.openxmlformats.org/officeDocument/2006/relationships/hyperlink" Target="#'10 EVIDENCE &amp; DECISIONS'!A1098" TargetMode="External" Id="rId1105"/><Relationship Type="http://schemas.openxmlformats.org/officeDocument/2006/relationships/hyperlink" Target="#'10 EVIDENCE &amp; DECISIONS'!A1099" TargetMode="External" Id="rId1106"/><Relationship Type="http://schemas.openxmlformats.org/officeDocument/2006/relationships/hyperlink" Target="#'10 EVIDENCE &amp; DECISIONS'!A1100" TargetMode="External" Id="rId1107"/><Relationship Type="http://schemas.openxmlformats.org/officeDocument/2006/relationships/hyperlink" Target="#'10 EVIDENCE &amp; DECISIONS'!A1101" TargetMode="External" Id="rId1108"/><Relationship Type="http://schemas.openxmlformats.org/officeDocument/2006/relationships/hyperlink" Target="#'10 EVIDENCE &amp; DECISIONS'!A1102" TargetMode="External" Id="rId1109"/><Relationship Type="http://schemas.openxmlformats.org/officeDocument/2006/relationships/hyperlink" Target="#'10 EVIDENCE &amp; DECISIONS'!A1103" TargetMode="External" Id="rId1110"/><Relationship Type="http://schemas.openxmlformats.org/officeDocument/2006/relationships/hyperlink" Target="#'10 EVIDENCE &amp; DECISIONS'!A1104" TargetMode="External" Id="rId1111"/><Relationship Type="http://schemas.openxmlformats.org/officeDocument/2006/relationships/hyperlink" Target="#'10 EVIDENCE &amp; DECISIONS'!A1105" TargetMode="External" Id="rId1112"/><Relationship Type="http://schemas.openxmlformats.org/officeDocument/2006/relationships/hyperlink" Target="#'10 EVIDENCE &amp; DECISIONS'!A1106" TargetMode="External" Id="rId1113"/><Relationship Type="http://schemas.openxmlformats.org/officeDocument/2006/relationships/hyperlink" Target="#'10 EVIDENCE &amp; DECISIONS'!A1107" TargetMode="External" Id="rId1114"/><Relationship Type="http://schemas.openxmlformats.org/officeDocument/2006/relationships/hyperlink" Target="#'10 EVIDENCE &amp; DECISIONS'!A1108" TargetMode="External" Id="rId1115"/><Relationship Type="http://schemas.openxmlformats.org/officeDocument/2006/relationships/hyperlink" Target="#'10 EVIDENCE &amp; DECISIONS'!A1109" TargetMode="External" Id="rId1116"/><Relationship Type="http://schemas.openxmlformats.org/officeDocument/2006/relationships/hyperlink" Target="#'10 EVIDENCE &amp; DECISIONS'!A1110" TargetMode="External" Id="rId1117"/><Relationship Type="http://schemas.openxmlformats.org/officeDocument/2006/relationships/hyperlink" Target="#'10 EVIDENCE &amp; DECISIONS'!A1111" TargetMode="External" Id="rId1118"/><Relationship Type="http://schemas.openxmlformats.org/officeDocument/2006/relationships/hyperlink" Target="#'10 EVIDENCE &amp; DECISIONS'!A1112" TargetMode="External" Id="rId1119"/><Relationship Type="http://schemas.openxmlformats.org/officeDocument/2006/relationships/hyperlink" Target="#'10 EVIDENCE &amp; DECISIONS'!A1113" TargetMode="External" Id="rId1120"/><Relationship Type="http://schemas.openxmlformats.org/officeDocument/2006/relationships/hyperlink" Target="#'10 EVIDENCE &amp; DECISIONS'!A1114" TargetMode="External" Id="rId1121"/><Relationship Type="http://schemas.openxmlformats.org/officeDocument/2006/relationships/hyperlink" Target="#'10 EVIDENCE &amp; DECISIONS'!A1115" TargetMode="External" Id="rId1122"/><Relationship Type="http://schemas.openxmlformats.org/officeDocument/2006/relationships/hyperlink" Target="#'10 EVIDENCE &amp; DECISIONS'!A1116" TargetMode="External" Id="rId1123"/><Relationship Type="http://schemas.openxmlformats.org/officeDocument/2006/relationships/hyperlink" Target="#'10 EVIDENCE &amp; DECISIONS'!A1117" TargetMode="External" Id="rId1124"/><Relationship Type="http://schemas.openxmlformats.org/officeDocument/2006/relationships/hyperlink" Target="#'10 EVIDENCE &amp; DECISIONS'!A1118" TargetMode="External" Id="rId1125"/><Relationship Type="http://schemas.openxmlformats.org/officeDocument/2006/relationships/hyperlink" Target="#'10 EVIDENCE &amp; DECISIONS'!A1119" TargetMode="External" Id="rId1126"/><Relationship Type="http://schemas.openxmlformats.org/officeDocument/2006/relationships/hyperlink" Target="#'10 EVIDENCE &amp; DECISIONS'!A1120" TargetMode="External" Id="rId1127"/><Relationship Type="http://schemas.openxmlformats.org/officeDocument/2006/relationships/hyperlink" Target="#'10 EVIDENCE &amp; DECISIONS'!A1121" TargetMode="External" Id="rId1128"/><Relationship Type="http://schemas.openxmlformats.org/officeDocument/2006/relationships/hyperlink" Target="#'10 EVIDENCE &amp; DECISIONS'!A1122" TargetMode="External" Id="rId1129"/><Relationship Type="http://schemas.openxmlformats.org/officeDocument/2006/relationships/hyperlink" Target="#'10 EVIDENCE &amp; DECISIONS'!A1123" TargetMode="External" Id="rId1130"/><Relationship Type="http://schemas.openxmlformats.org/officeDocument/2006/relationships/hyperlink" Target="#'10 EVIDENCE &amp; DECISIONS'!A1124" TargetMode="External" Id="rId1131"/><Relationship Type="http://schemas.openxmlformats.org/officeDocument/2006/relationships/hyperlink" Target="#'10 EVIDENCE &amp; DECISIONS'!A1125" TargetMode="External" Id="rId1132"/><Relationship Type="http://schemas.openxmlformats.org/officeDocument/2006/relationships/hyperlink" Target="#'10 EVIDENCE &amp; DECISIONS'!A1126" TargetMode="External" Id="rId1133"/><Relationship Type="http://schemas.openxmlformats.org/officeDocument/2006/relationships/hyperlink" Target="#'10 EVIDENCE &amp; DECISIONS'!A1127" TargetMode="External" Id="rId1134"/><Relationship Type="http://schemas.openxmlformats.org/officeDocument/2006/relationships/hyperlink" Target="#'10 EVIDENCE &amp; DECISIONS'!A1128" TargetMode="External" Id="rId1135"/><Relationship Type="http://schemas.openxmlformats.org/officeDocument/2006/relationships/hyperlink" Target="#'10 EVIDENCE &amp; DECISIONS'!A1129" TargetMode="External" Id="rId1136"/><Relationship Type="http://schemas.openxmlformats.org/officeDocument/2006/relationships/hyperlink" Target="#'10 EVIDENCE &amp; DECISIONS'!A1130" TargetMode="External" Id="rId1137"/><Relationship Type="http://schemas.openxmlformats.org/officeDocument/2006/relationships/hyperlink" Target="#'10 EVIDENCE &amp; DECISIONS'!A1131" TargetMode="External" Id="rId1138"/><Relationship Type="http://schemas.openxmlformats.org/officeDocument/2006/relationships/hyperlink" Target="#'10 EVIDENCE &amp; DECISIONS'!A1132" TargetMode="External" Id="rId1139"/><Relationship Type="http://schemas.openxmlformats.org/officeDocument/2006/relationships/hyperlink" Target="#'10 EVIDENCE &amp; DECISIONS'!A1133" TargetMode="External" Id="rId1140"/><Relationship Type="http://schemas.openxmlformats.org/officeDocument/2006/relationships/hyperlink" Target="#'10 EVIDENCE &amp; DECISIONS'!A1134" TargetMode="External" Id="rId1141"/><Relationship Type="http://schemas.openxmlformats.org/officeDocument/2006/relationships/hyperlink" Target="#'10 EVIDENCE &amp; DECISIONS'!A1135" TargetMode="External" Id="rId1142"/><Relationship Type="http://schemas.openxmlformats.org/officeDocument/2006/relationships/hyperlink" Target="#'10 EVIDENCE &amp; DECISIONS'!A1136" TargetMode="External" Id="rId1143"/><Relationship Type="http://schemas.openxmlformats.org/officeDocument/2006/relationships/hyperlink" Target="#'10 EVIDENCE &amp; DECISIONS'!A1137" TargetMode="External" Id="rId1144"/><Relationship Type="http://schemas.openxmlformats.org/officeDocument/2006/relationships/hyperlink" Target="#'10 EVIDENCE &amp; DECISIONS'!A1138" TargetMode="External" Id="rId1145"/><Relationship Type="http://schemas.openxmlformats.org/officeDocument/2006/relationships/hyperlink" Target="#'10 EVIDENCE &amp; DECISIONS'!A1139" TargetMode="External" Id="rId1146"/><Relationship Type="http://schemas.openxmlformats.org/officeDocument/2006/relationships/hyperlink" Target="#'10 EVIDENCE &amp; DECISIONS'!A1140" TargetMode="External" Id="rId1147"/><Relationship Type="http://schemas.openxmlformats.org/officeDocument/2006/relationships/hyperlink" Target="#'10 EVIDENCE &amp; DECISIONS'!A1141" TargetMode="External" Id="rId1148"/><Relationship Type="http://schemas.openxmlformats.org/officeDocument/2006/relationships/hyperlink" Target="#'10 EVIDENCE &amp; DECISIONS'!A1142" TargetMode="External" Id="rId1149"/><Relationship Type="http://schemas.openxmlformats.org/officeDocument/2006/relationships/hyperlink" Target="#'10 EVIDENCE &amp; DECISIONS'!A1143" TargetMode="External" Id="rId1150"/><Relationship Type="http://schemas.openxmlformats.org/officeDocument/2006/relationships/hyperlink" Target="#'10 EVIDENCE &amp; DECISIONS'!A1144" TargetMode="External" Id="rId1151"/><Relationship Type="http://schemas.openxmlformats.org/officeDocument/2006/relationships/hyperlink" Target="#'10 EVIDENCE &amp; DECISIONS'!A1145" TargetMode="External" Id="rId1152"/><Relationship Type="http://schemas.openxmlformats.org/officeDocument/2006/relationships/hyperlink" Target="#'10 EVIDENCE &amp; DECISIONS'!A1146" TargetMode="External" Id="rId1153"/><Relationship Type="http://schemas.openxmlformats.org/officeDocument/2006/relationships/hyperlink" Target="#'10 EVIDENCE &amp; DECISIONS'!A1147" TargetMode="External" Id="rId1154"/><Relationship Type="http://schemas.openxmlformats.org/officeDocument/2006/relationships/hyperlink" Target="#'10 EVIDENCE &amp; DECISIONS'!A1148" TargetMode="External" Id="rId1155"/><Relationship Type="http://schemas.openxmlformats.org/officeDocument/2006/relationships/hyperlink" Target="#'10 EVIDENCE &amp; DECISIONS'!A1149" TargetMode="External" Id="rId1156"/><Relationship Type="http://schemas.openxmlformats.org/officeDocument/2006/relationships/hyperlink" Target="#'10 EVIDENCE &amp; DECISIONS'!A1150" TargetMode="External" Id="rId1157"/><Relationship Type="http://schemas.openxmlformats.org/officeDocument/2006/relationships/hyperlink" Target="#'10 EVIDENCE &amp; DECISIONS'!A1151" TargetMode="External" Id="rId1158"/><Relationship Type="http://schemas.openxmlformats.org/officeDocument/2006/relationships/hyperlink" Target="#'10 EVIDENCE &amp; DECISIONS'!A1152" TargetMode="External" Id="rId1159"/><Relationship Type="http://schemas.openxmlformats.org/officeDocument/2006/relationships/hyperlink" Target="#'10 EVIDENCE &amp; DECISIONS'!A1153" TargetMode="External" Id="rId1160"/><Relationship Type="http://schemas.openxmlformats.org/officeDocument/2006/relationships/hyperlink" Target="#'10 EVIDENCE &amp; DECISIONS'!A1154" TargetMode="External" Id="rId1161"/><Relationship Type="http://schemas.openxmlformats.org/officeDocument/2006/relationships/hyperlink" Target="#'10 EVIDENCE &amp; DECISIONS'!A1155" TargetMode="External" Id="rId1162"/><Relationship Type="http://schemas.openxmlformats.org/officeDocument/2006/relationships/hyperlink" Target="#'10 EVIDENCE &amp; DECISIONS'!A1156" TargetMode="External" Id="rId1163"/><Relationship Type="http://schemas.openxmlformats.org/officeDocument/2006/relationships/hyperlink" Target="#'10 EVIDENCE &amp; DECISIONS'!A1157" TargetMode="External" Id="rId1164"/><Relationship Type="http://schemas.openxmlformats.org/officeDocument/2006/relationships/hyperlink" Target="#'10 EVIDENCE &amp; DECISIONS'!A1158" TargetMode="External" Id="rId1165"/><Relationship Type="http://schemas.openxmlformats.org/officeDocument/2006/relationships/hyperlink" Target="#'10 EVIDENCE &amp; DECISIONS'!A1159" TargetMode="External" Id="rId1166"/><Relationship Type="http://schemas.openxmlformats.org/officeDocument/2006/relationships/hyperlink" Target="#'10 EVIDENCE &amp; DECISIONS'!A1160" TargetMode="External" Id="rId1167"/><Relationship Type="http://schemas.openxmlformats.org/officeDocument/2006/relationships/hyperlink" Target="#'10 EVIDENCE &amp; DECISIONS'!A1161" TargetMode="External" Id="rId1168"/><Relationship Type="http://schemas.openxmlformats.org/officeDocument/2006/relationships/hyperlink" Target="#'10 EVIDENCE &amp; DECISIONS'!A1162" TargetMode="External" Id="rId1169"/><Relationship Type="http://schemas.openxmlformats.org/officeDocument/2006/relationships/hyperlink" Target="#'10 EVIDENCE &amp; DECISIONS'!A1163" TargetMode="External" Id="rId1170"/><Relationship Type="http://schemas.openxmlformats.org/officeDocument/2006/relationships/hyperlink" Target="#'10 EVIDENCE &amp; DECISIONS'!A1164" TargetMode="External" Id="rId1171"/><Relationship Type="http://schemas.openxmlformats.org/officeDocument/2006/relationships/hyperlink" Target="#'10 EVIDENCE &amp; DECISIONS'!A1165" TargetMode="External" Id="rId1172"/><Relationship Type="http://schemas.openxmlformats.org/officeDocument/2006/relationships/hyperlink" Target="#'10 EVIDENCE &amp; DECISIONS'!A1166" TargetMode="External" Id="rId1173"/><Relationship Type="http://schemas.openxmlformats.org/officeDocument/2006/relationships/hyperlink" Target="#'10 EVIDENCE &amp; DECISIONS'!A1167" TargetMode="External" Id="rId1174"/><Relationship Type="http://schemas.openxmlformats.org/officeDocument/2006/relationships/hyperlink" Target="#'10 EVIDENCE &amp; DECISIONS'!A1168" TargetMode="External" Id="rId1175"/><Relationship Type="http://schemas.openxmlformats.org/officeDocument/2006/relationships/hyperlink" Target="#'10 EVIDENCE &amp; DECISIONS'!A1169" TargetMode="External" Id="rId1176"/><Relationship Type="http://schemas.openxmlformats.org/officeDocument/2006/relationships/hyperlink" Target="#'10 EVIDENCE &amp; DECISIONS'!A1170" TargetMode="External" Id="rId1177"/><Relationship Type="http://schemas.openxmlformats.org/officeDocument/2006/relationships/hyperlink" Target="#'10 EVIDENCE &amp; DECISIONS'!A1171" TargetMode="External" Id="rId1178"/><Relationship Type="http://schemas.openxmlformats.org/officeDocument/2006/relationships/hyperlink" Target="#'10 EVIDENCE &amp; DECISIONS'!A1172" TargetMode="External" Id="rId1179"/><Relationship Type="http://schemas.openxmlformats.org/officeDocument/2006/relationships/hyperlink" Target="#'10 EVIDENCE &amp; DECISIONS'!A1173" TargetMode="External" Id="rId1180"/><Relationship Type="http://schemas.openxmlformats.org/officeDocument/2006/relationships/hyperlink" Target="#'10 EVIDENCE &amp; DECISIONS'!A1174" TargetMode="External" Id="rId1181"/><Relationship Type="http://schemas.openxmlformats.org/officeDocument/2006/relationships/hyperlink" Target="#'10 EVIDENCE &amp; DECISIONS'!A1175" TargetMode="External" Id="rId1182"/><Relationship Type="http://schemas.openxmlformats.org/officeDocument/2006/relationships/hyperlink" Target="#'10 EVIDENCE &amp; DECISIONS'!A1176" TargetMode="External" Id="rId1183"/><Relationship Type="http://schemas.openxmlformats.org/officeDocument/2006/relationships/hyperlink" Target="#'10 EVIDENCE &amp; DECISIONS'!A1177" TargetMode="External" Id="rId1184"/><Relationship Type="http://schemas.openxmlformats.org/officeDocument/2006/relationships/hyperlink" Target="#'10 EVIDENCE &amp; DECISIONS'!A1178" TargetMode="External" Id="rId1185"/><Relationship Type="http://schemas.openxmlformats.org/officeDocument/2006/relationships/hyperlink" Target="#'10 EVIDENCE &amp; DECISIONS'!A1179" TargetMode="External" Id="rId1186"/><Relationship Type="http://schemas.openxmlformats.org/officeDocument/2006/relationships/hyperlink" Target="#'10 EVIDENCE &amp; DECISIONS'!A1180" TargetMode="External" Id="rId1187"/><Relationship Type="http://schemas.openxmlformats.org/officeDocument/2006/relationships/hyperlink" Target="#'10 EVIDENCE &amp; DECISIONS'!A1181" TargetMode="External" Id="rId1188"/><Relationship Type="http://schemas.openxmlformats.org/officeDocument/2006/relationships/hyperlink" Target="#'10 EVIDENCE &amp; DECISIONS'!A1182" TargetMode="External" Id="rId1189"/><Relationship Type="http://schemas.openxmlformats.org/officeDocument/2006/relationships/hyperlink" Target="#'10 EVIDENCE &amp; DECISIONS'!A1183" TargetMode="External" Id="rId1190"/><Relationship Type="http://schemas.openxmlformats.org/officeDocument/2006/relationships/hyperlink" Target="#'10 EVIDENCE &amp; DECISIONS'!A1184" TargetMode="External" Id="rId1191"/><Relationship Type="http://schemas.openxmlformats.org/officeDocument/2006/relationships/hyperlink" Target="#'10 EVIDENCE &amp; DECISIONS'!A1185" TargetMode="External" Id="rId1192"/><Relationship Type="http://schemas.openxmlformats.org/officeDocument/2006/relationships/hyperlink" Target="#'10 EVIDENCE &amp; DECISIONS'!A1186" TargetMode="External" Id="rId1193"/><Relationship Type="http://schemas.openxmlformats.org/officeDocument/2006/relationships/hyperlink" Target="#'10 EVIDENCE &amp; DECISIONS'!A1187" TargetMode="External" Id="rId1194"/><Relationship Type="http://schemas.openxmlformats.org/officeDocument/2006/relationships/hyperlink" Target="#'10 EVIDENCE &amp; DECISIONS'!A1188" TargetMode="External" Id="rId1195"/><Relationship Type="http://schemas.openxmlformats.org/officeDocument/2006/relationships/hyperlink" Target="#'10 EVIDENCE &amp; DECISIONS'!A1189" TargetMode="External" Id="rId1196"/><Relationship Type="http://schemas.openxmlformats.org/officeDocument/2006/relationships/hyperlink" Target="#'10 EVIDENCE &amp; DECISIONS'!A1190" TargetMode="External" Id="rId1197"/><Relationship Type="http://schemas.openxmlformats.org/officeDocument/2006/relationships/hyperlink" Target="#'10 EVIDENCE &amp; DECISIONS'!A1191" TargetMode="External" Id="rId1198"/><Relationship Type="http://schemas.openxmlformats.org/officeDocument/2006/relationships/hyperlink" Target="#'10 EVIDENCE &amp; DECISIONS'!A1192" TargetMode="External" Id="rId1199"/><Relationship Type="http://schemas.openxmlformats.org/officeDocument/2006/relationships/hyperlink" Target="#'10 EVIDENCE &amp; DECISIONS'!A1193" TargetMode="External" Id="rId1200"/><Relationship Type="http://schemas.openxmlformats.org/officeDocument/2006/relationships/hyperlink" Target="#'10 EVIDENCE &amp; DECISIONS'!A1194" TargetMode="External" Id="rId1201"/><Relationship Type="http://schemas.openxmlformats.org/officeDocument/2006/relationships/hyperlink" Target="#'10 EVIDENCE &amp; DECISIONS'!A1195" TargetMode="External" Id="rId1202"/><Relationship Type="http://schemas.openxmlformats.org/officeDocument/2006/relationships/hyperlink" Target="#'10 EVIDENCE &amp; DECISIONS'!A1196" TargetMode="External" Id="rId1203"/><Relationship Type="http://schemas.openxmlformats.org/officeDocument/2006/relationships/hyperlink" Target="#'10 EVIDENCE &amp; DECISIONS'!A1197" TargetMode="External" Id="rId1204"/><Relationship Type="http://schemas.openxmlformats.org/officeDocument/2006/relationships/hyperlink" Target="#'10 EVIDENCE &amp; DECISIONS'!A1198" TargetMode="External" Id="rId1205"/><Relationship Type="http://schemas.openxmlformats.org/officeDocument/2006/relationships/hyperlink" Target="#'10 EVIDENCE &amp; DECISIONS'!A1199" TargetMode="External" Id="rId1206"/><Relationship Type="http://schemas.openxmlformats.org/officeDocument/2006/relationships/hyperlink" Target="#'10 EVIDENCE &amp; DECISIONS'!A1200" TargetMode="External" Id="rId1207"/><Relationship Type="http://schemas.openxmlformats.org/officeDocument/2006/relationships/hyperlink" Target="#'10 EVIDENCE &amp; DECISIONS'!A1201" TargetMode="External" Id="rId1208"/><Relationship Type="http://schemas.openxmlformats.org/officeDocument/2006/relationships/hyperlink" Target="#'10 EVIDENCE &amp; DECISIONS'!A1202" TargetMode="External" Id="rId1209"/><Relationship Type="http://schemas.openxmlformats.org/officeDocument/2006/relationships/hyperlink" Target="#'10 EVIDENCE &amp; DECISIONS'!A1203" TargetMode="External" Id="rId1210"/><Relationship Type="http://schemas.openxmlformats.org/officeDocument/2006/relationships/hyperlink" Target="#'10 EVIDENCE &amp; DECISIONS'!A1204" TargetMode="External" Id="rId1211"/><Relationship Type="http://schemas.openxmlformats.org/officeDocument/2006/relationships/hyperlink" Target="#'10 EVIDENCE &amp; DECISIONS'!A1205" TargetMode="External" Id="rId1212"/><Relationship Type="http://schemas.openxmlformats.org/officeDocument/2006/relationships/hyperlink" Target="#'10 EVIDENCE &amp; DECISIONS'!A1206" TargetMode="External" Id="rId1213"/><Relationship Type="http://schemas.openxmlformats.org/officeDocument/2006/relationships/hyperlink" Target="#'10 EVIDENCE &amp; DECISIONS'!A1207" TargetMode="External" Id="rId1214"/><Relationship Type="http://schemas.openxmlformats.org/officeDocument/2006/relationships/hyperlink" Target="#'10 EVIDENCE &amp; DECISIONS'!A1208" TargetMode="External" Id="rId1215"/><Relationship Type="http://schemas.openxmlformats.org/officeDocument/2006/relationships/hyperlink" Target="#'10 EVIDENCE &amp; DECISIONS'!A1209" TargetMode="External" Id="rId1216"/><Relationship Type="http://schemas.openxmlformats.org/officeDocument/2006/relationships/hyperlink" Target="#'10 EVIDENCE &amp; DECISIONS'!A1210" TargetMode="External" Id="rId1217"/><Relationship Type="http://schemas.openxmlformats.org/officeDocument/2006/relationships/hyperlink" Target="#'10 EVIDENCE &amp; DECISIONS'!A1211" TargetMode="External" Id="rId1218"/><Relationship Type="http://schemas.openxmlformats.org/officeDocument/2006/relationships/hyperlink" Target="#'10 EVIDENCE &amp; DECISIONS'!A1212" TargetMode="External" Id="rId1219"/><Relationship Type="http://schemas.openxmlformats.org/officeDocument/2006/relationships/hyperlink" Target="#'10 EVIDENCE &amp; DECISIONS'!A1213" TargetMode="External" Id="rId1220"/><Relationship Type="http://schemas.openxmlformats.org/officeDocument/2006/relationships/hyperlink" Target="#'10 EVIDENCE &amp; DECISIONS'!A1214" TargetMode="External" Id="rId1221"/><Relationship Type="http://schemas.openxmlformats.org/officeDocument/2006/relationships/hyperlink" Target="#'10 EVIDENCE &amp; DECISIONS'!A1215" TargetMode="External" Id="rId1222"/><Relationship Type="http://schemas.openxmlformats.org/officeDocument/2006/relationships/hyperlink" Target="#'10 EVIDENCE &amp; DECISIONS'!A1216" TargetMode="External" Id="rId1223"/><Relationship Type="http://schemas.openxmlformats.org/officeDocument/2006/relationships/hyperlink" Target="#'10 EVIDENCE &amp; DECISIONS'!A1217" TargetMode="External" Id="rId1224"/><Relationship Type="http://schemas.openxmlformats.org/officeDocument/2006/relationships/hyperlink" Target="#'10 EVIDENCE &amp; DECISIONS'!A1218" TargetMode="External" Id="rId1225"/><Relationship Type="http://schemas.openxmlformats.org/officeDocument/2006/relationships/hyperlink" Target="#'10 EVIDENCE &amp; DECISIONS'!A1219" TargetMode="External" Id="rId1226"/><Relationship Type="http://schemas.openxmlformats.org/officeDocument/2006/relationships/hyperlink" Target="#'10 EVIDENCE &amp; DECISIONS'!A1220" TargetMode="External" Id="rId1227"/><Relationship Type="http://schemas.openxmlformats.org/officeDocument/2006/relationships/hyperlink" Target="#'10 EVIDENCE &amp; DECISIONS'!A1221" TargetMode="External" Id="rId1228"/><Relationship Type="http://schemas.openxmlformats.org/officeDocument/2006/relationships/hyperlink" Target="#'10 EVIDENCE &amp; DECISIONS'!A1222" TargetMode="External" Id="rId1229"/><Relationship Type="http://schemas.openxmlformats.org/officeDocument/2006/relationships/hyperlink" Target="#'10 EVIDENCE &amp; DECISIONS'!A1223" TargetMode="External" Id="rId1230"/><Relationship Type="http://schemas.openxmlformats.org/officeDocument/2006/relationships/hyperlink" Target="#'10 EVIDENCE &amp; DECISIONS'!A1224" TargetMode="External" Id="rId1231"/><Relationship Type="http://schemas.openxmlformats.org/officeDocument/2006/relationships/hyperlink" Target="#'10 EVIDENCE &amp; DECISIONS'!A1225" TargetMode="External" Id="rId1232"/><Relationship Type="http://schemas.openxmlformats.org/officeDocument/2006/relationships/hyperlink" Target="#'10 EVIDENCE &amp; DECISIONS'!A1226" TargetMode="External" Id="rId1233"/><Relationship Type="http://schemas.openxmlformats.org/officeDocument/2006/relationships/hyperlink" Target="#'10 EVIDENCE &amp; DECISIONS'!A1227" TargetMode="External" Id="rId1234"/><Relationship Type="http://schemas.openxmlformats.org/officeDocument/2006/relationships/hyperlink" Target="#'10 EVIDENCE &amp; DECISIONS'!A1228" TargetMode="External" Id="rId1235"/><Relationship Type="http://schemas.openxmlformats.org/officeDocument/2006/relationships/hyperlink" Target="#'10 EVIDENCE &amp; DECISIONS'!A1229" TargetMode="External" Id="rId1236"/><Relationship Type="http://schemas.openxmlformats.org/officeDocument/2006/relationships/hyperlink" Target="#'10 EVIDENCE &amp; DECISIONS'!A1230" TargetMode="External" Id="rId1237"/><Relationship Type="http://schemas.openxmlformats.org/officeDocument/2006/relationships/hyperlink" Target="#'10 EVIDENCE &amp; DECISIONS'!A1231" TargetMode="External" Id="rId1238"/><Relationship Type="http://schemas.openxmlformats.org/officeDocument/2006/relationships/hyperlink" Target="#'10 EVIDENCE &amp; DECISIONS'!A1232" TargetMode="External" Id="rId1239"/><Relationship Type="http://schemas.openxmlformats.org/officeDocument/2006/relationships/hyperlink" Target="#'10 EVIDENCE &amp; DECISIONS'!A1233" TargetMode="External" Id="rId1240"/><Relationship Type="http://schemas.openxmlformats.org/officeDocument/2006/relationships/hyperlink" Target="#'10 EVIDENCE &amp; DECISIONS'!A1234" TargetMode="External" Id="rId1241"/><Relationship Type="http://schemas.openxmlformats.org/officeDocument/2006/relationships/hyperlink" Target="#'10 EVIDENCE &amp; DECISIONS'!A1235" TargetMode="External" Id="rId1242"/><Relationship Type="http://schemas.openxmlformats.org/officeDocument/2006/relationships/hyperlink" Target="#'10 EVIDENCE &amp; DECISIONS'!A1236" TargetMode="External" Id="rId1243"/><Relationship Type="http://schemas.openxmlformats.org/officeDocument/2006/relationships/hyperlink" Target="#'10 EVIDENCE &amp; DECISIONS'!A1237" TargetMode="External" Id="rId1244"/><Relationship Type="http://schemas.openxmlformats.org/officeDocument/2006/relationships/hyperlink" Target="#'10 EVIDENCE &amp; DECISIONS'!A1238" TargetMode="External" Id="rId1245"/><Relationship Type="http://schemas.openxmlformats.org/officeDocument/2006/relationships/hyperlink" Target="#'10 EVIDENCE &amp; DECISIONS'!A1239" TargetMode="External" Id="rId1246"/><Relationship Type="http://schemas.openxmlformats.org/officeDocument/2006/relationships/hyperlink" Target="#'10 EVIDENCE &amp; DECISIONS'!A1240" TargetMode="External" Id="rId1247"/><Relationship Type="http://schemas.openxmlformats.org/officeDocument/2006/relationships/hyperlink" Target="#'10 EVIDENCE &amp; DECISIONS'!A1241" TargetMode="External" Id="rId1248"/><Relationship Type="http://schemas.openxmlformats.org/officeDocument/2006/relationships/hyperlink" Target="#'10 EVIDENCE &amp; DECISIONS'!A1242" TargetMode="External" Id="rId1249"/><Relationship Type="http://schemas.openxmlformats.org/officeDocument/2006/relationships/hyperlink" Target="#'10 EVIDENCE &amp; DECISIONS'!A1243" TargetMode="External" Id="rId1250"/><Relationship Type="http://schemas.openxmlformats.org/officeDocument/2006/relationships/hyperlink" Target="#'10 EVIDENCE &amp; DECISIONS'!A1244" TargetMode="External" Id="rId1251"/><Relationship Type="http://schemas.openxmlformats.org/officeDocument/2006/relationships/hyperlink" Target="#'10 EVIDENCE &amp; DECISIONS'!A1245" TargetMode="External" Id="rId1252"/><Relationship Type="http://schemas.openxmlformats.org/officeDocument/2006/relationships/hyperlink" Target="#'10 EVIDENCE &amp; DECISIONS'!A1246" TargetMode="External" Id="rId1253"/><Relationship Type="http://schemas.openxmlformats.org/officeDocument/2006/relationships/hyperlink" Target="#'10 EVIDENCE &amp; DECISIONS'!A1247" TargetMode="External" Id="rId1254"/><Relationship Type="http://schemas.openxmlformats.org/officeDocument/2006/relationships/hyperlink" Target="#'10 EVIDENCE &amp; DECISIONS'!A1248" TargetMode="External" Id="rId1255"/><Relationship Type="http://schemas.openxmlformats.org/officeDocument/2006/relationships/hyperlink" Target="#'10 EVIDENCE &amp; DECISIONS'!A1249" TargetMode="External" Id="rId1256"/><Relationship Type="http://schemas.openxmlformats.org/officeDocument/2006/relationships/hyperlink" Target="#'10 EVIDENCE &amp; DECISIONS'!A1250" TargetMode="External" Id="rId1257"/><Relationship Type="http://schemas.openxmlformats.org/officeDocument/2006/relationships/hyperlink" Target="#'10 EVIDENCE &amp; DECISIONS'!A1251" TargetMode="External" Id="rId1258"/><Relationship Type="http://schemas.openxmlformats.org/officeDocument/2006/relationships/hyperlink" Target="#'10 EVIDENCE &amp; DECISIONS'!A1252" TargetMode="External" Id="rId1259"/><Relationship Type="http://schemas.openxmlformats.org/officeDocument/2006/relationships/hyperlink" Target="#'10 EVIDENCE &amp; DECISIONS'!A1253" TargetMode="External" Id="rId1260"/><Relationship Type="http://schemas.openxmlformats.org/officeDocument/2006/relationships/hyperlink" Target="#'10 EVIDENCE &amp; DECISIONS'!A1254" TargetMode="External" Id="rId1261"/><Relationship Type="http://schemas.openxmlformats.org/officeDocument/2006/relationships/hyperlink" Target="#'10 EVIDENCE &amp; DECISIONS'!A1255" TargetMode="External" Id="rId1262"/><Relationship Type="http://schemas.openxmlformats.org/officeDocument/2006/relationships/hyperlink" Target="#'10 EVIDENCE &amp; DECISIONS'!A1256" TargetMode="External" Id="rId1263"/><Relationship Type="http://schemas.openxmlformats.org/officeDocument/2006/relationships/hyperlink" Target="#'10 EVIDENCE &amp; DECISIONS'!A1257" TargetMode="External" Id="rId1264"/><Relationship Type="http://schemas.openxmlformats.org/officeDocument/2006/relationships/hyperlink" Target="#'10 EVIDENCE &amp; DECISIONS'!A1258" TargetMode="External" Id="rId1265"/><Relationship Type="http://schemas.openxmlformats.org/officeDocument/2006/relationships/hyperlink" Target="#'10 EVIDENCE &amp; DECISIONS'!A1259" TargetMode="External" Id="rId1266"/><Relationship Type="http://schemas.openxmlformats.org/officeDocument/2006/relationships/hyperlink" Target="#'10 EVIDENCE &amp; DECISIONS'!A1260" TargetMode="External" Id="rId1267"/><Relationship Type="http://schemas.openxmlformats.org/officeDocument/2006/relationships/hyperlink" Target="#'10 EVIDENCE &amp; DECISIONS'!A1261" TargetMode="External" Id="rId1268"/><Relationship Type="http://schemas.openxmlformats.org/officeDocument/2006/relationships/hyperlink" Target="#'10 EVIDENCE &amp; DECISIONS'!A1262" TargetMode="External" Id="rId1269"/><Relationship Type="http://schemas.openxmlformats.org/officeDocument/2006/relationships/hyperlink" Target="#'10 EVIDENCE &amp; DECISIONS'!A1263" TargetMode="External" Id="rId1270"/><Relationship Type="http://schemas.openxmlformats.org/officeDocument/2006/relationships/hyperlink" Target="#'10 EVIDENCE &amp; DECISIONS'!A1264" TargetMode="External" Id="rId1271"/><Relationship Type="http://schemas.openxmlformats.org/officeDocument/2006/relationships/hyperlink" Target="#'10 EVIDENCE &amp; DECISIONS'!A1265" TargetMode="External" Id="rId1272"/><Relationship Type="http://schemas.openxmlformats.org/officeDocument/2006/relationships/hyperlink" Target="#'10 EVIDENCE &amp; DECISIONS'!A1266" TargetMode="External" Id="rId1273"/><Relationship Type="http://schemas.openxmlformats.org/officeDocument/2006/relationships/hyperlink" Target="#'10 EVIDENCE &amp; DECISIONS'!A1267" TargetMode="External" Id="rId1274"/><Relationship Type="http://schemas.openxmlformats.org/officeDocument/2006/relationships/hyperlink" Target="#'10 EVIDENCE &amp; DECISIONS'!A1268" TargetMode="External" Id="rId1275"/><Relationship Type="http://schemas.openxmlformats.org/officeDocument/2006/relationships/hyperlink" Target="#'10 EVIDENCE &amp; DECISIONS'!A1269" TargetMode="External" Id="rId1276"/><Relationship Type="http://schemas.openxmlformats.org/officeDocument/2006/relationships/hyperlink" Target="#'10 EVIDENCE &amp; DECISIONS'!A1270" TargetMode="External" Id="rId1277"/><Relationship Type="http://schemas.openxmlformats.org/officeDocument/2006/relationships/hyperlink" Target="#'10 EVIDENCE &amp; DECISIONS'!A1271" TargetMode="External" Id="rId1278"/><Relationship Type="http://schemas.openxmlformats.org/officeDocument/2006/relationships/hyperlink" Target="#'10 EVIDENCE &amp; DECISIONS'!A1272" TargetMode="External" Id="rId1279"/><Relationship Type="http://schemas.openxmlformats.org/officeDocument/2006/relationships/hyperlink" Target="#'10 EVIDENCE &amp; DECISIONS'!A1273" TargetMode="External" Id="rId1280"/><Relationship Type="http://schemas.openxmlformats.org/officeDocument/2006/relationships/hyperlink" Target="#'10 EVIDENCE &amp; DECISIONS'!A1274" TargetMode="External" Id="rId1281"/><Relationship Type="http://schemas.openxmlformats.org/officeDocument/2006/relationships/hyperlink" Target="#'10 EVIDENCE &amp; DECISIONS'!A1275" TargetMode="External" Id="rId1282"/><Relationship Type="http://schemas.openxmlformats.org/officeDocument/2006/relationships/hyperlink" Target="#'10 EVIDENCE &amp; DECISIONS'!A1276" TargetMode="External" Id="rId1283"/><Relationship Type="http://schemas.openxmlformats.org/officeDocument/2006/relationships/hyperlink" Target="#'10 EVIDENCE &amp; DECISIONS'!A1277" TargetMode="External" Id="rId1284"/><Relationship Type="http://schemas.openxmlformats.org/officeDocument/2006/relationships/hyperlink" Target="#'10 EVIDENCE &amp; DECISIONS'!A1278" TargetMode="External" Id="rId1285"/><Relationship Type="http://schemas.openxmlformats.org/officeDocument/2006/relationships/hyperlink" Target="#'10 EVIDENCE &amp; DECISIONS'!A1279" TargetMode="External" Id="rId1286"/><Relationship Type="http://schemas.openxmlformats.org/officeDocument/2006/relationships/hyperlink" Target="#'10 EVIDENCE &amp; DECISIONS'!A1280" TargetMode="External" Id="rId1287"/><Relationship Type="http://schemas.openxmlformats.org/officeDocument/2006/relationships/hyperlink" Target="#'10 EVIDENCE &amp; DECISIONS'!A1281" TargetMode="External" Id="rId1288"/><Relationship Type="http://schemas.openxmlformats.org/officeDocument/2006/relationships/hyperlink" Target="#'10 EVIDENCE &amp; DECISIONS'!A1282" TargetMode="External" Id="rId1289"/><Relationship Type="http://schemas.openxmlformats.org/officeDocument/2006/relationships/hyperlink" Target="#'10 EVIDENCE &amp; DECISIONS'!A1283" TargetMode="External" Id="rId1290"/><Relationship Type="http://schemas.openxmlformats.org/officeDocument/2006/relationships/hyperlink" Target="#'10 EVIDENCE &amp; DECISIONS'!A1284" TargetMode="External" Id="rId1291"/><Relationship Type="http://schemas.openxmlformats.org/officeDocument/2006/relationships/hyperlink" Target="#'10 EVIDENCE &amp; DECISIONS'!A1285" TargetMode="External" Id="rId1292"/><Relationship Type="http://schemas.openxmlformats.org/officeDocument/2006/relationships/hyperlink" Target="#'10 EVIDENCE &amp; DECISIONS'!A1286" TargetMode="External" Id="rId1293"/><Relationship Type="http://schemas.openxmlformats.org/officeDocument/2006/relationships/hyperlink" Target="#'10 EVIDENCE &amp; DECISIONS'!A1287" TargetMode="External" Id="rId1294"/><Relationship Type="http://schemas.openxmlformats.org/officeDocument/2006/relationships/hyperlink" Target="#'10 EVIDENCE &amp; DECISIONS'!A1288" TargetMode="External" Id="rId1295"/><Relationship Type="http://schemas.openxmlformats.org/officeDocument/2006/relationships/hyperlink" Target="#'10 EVIDENCE &amp; DECISIONS'!A1289" TargetMode="External" Id="rId1296"/><Relationship Type="http://schemas.openxmlformats.org/officeDocument/2006/relationships/hyperlink" Target="#'10 EVIDENCE &amp; DECISIONS'!A1290" TargetMode="External" Id="rId1297"/><Relationship Type="http://schemas.openxmlformats.org/officeDocument/2006/relationships/hyperlink" Target="#'10 EVIDENCE &amp; DECISIONS'!A1291" TargetMode="External" Id="rId1298"/><Relationship Type="http://schemas.openxmlformats.org/officeDocument/2006/relationships/hyperlink" Target="#'10 EVIDENCE &amp; DECISIONS'!A1292" TargetMode="External" Id="rId1299"/><Relationship Type="http://schemas.openxmlformats.org/officeDocument/2006/relationships/hyperlink" Target="#'10 EVIDENCE &amp; DECISIONS'!A1293" TargetMode="External" Id="rId1300"/><Relationship Type="http://schemas.openxmlformats.org/officeDocument/2006/relationships/hyperlink" Target="#'10 EVIDENCE &amp; DECISIONS'!A1294" TargetMode="External" Id="rId1301"/><Relationship Type="http://schemas.openxmlformats.org/officeDocument/2006/relationships/hyperlink" Target="#'10 EVIDENCE &amp; DECISIONS'!A1295" TargetMode="External" Id="rId1302"/><Relationship Type="http://schemas.openxmlformats.org/officeDocument/2006/relationships/hyperlink" Target="#'10 EVIDENCE &amp; DECISIONS'!A1296" TargetMode="External" Id="rId1303"/><Relationship Type="http://schemas.openxmlformats.org/officeDocument/2006/relationships/hyperlink" Target="#'10 EVIDENCE &amp; DECISIONS'!A1297" TargetMode="External" Id="rId1304"/><Relationship Type="http://schemas.openxmlformats.org/officeDocument/2006/relationships/hyperlink" Target="#'10 EVIDENCE &amp; DECISIONS'!A1298" TargetMode="External" Id="rId1305"/><Relationship Type="http://schemas.openxmlformats.org/officeDocument/2006/relationships/hyperlink" Target="#'10 EVIDENCE &amp; DECISIONS'!A1299" TargetMode="External" Id="rId1306"/><Relationship Type="http://schemas.openxmlformats.org/officeDocument/2006/relationships/hyperlink" Target="#'10 EVIDENCE &amp; DECISIONS'!A1300" TargetMode="External" Id="rId1307"/><Relationship Type="http://schemas.openxmlformats.org/officeDocument/2006/relationships/hyperlink" Target="#'10 EVIDENCE &amp; DECISIONS'!A1301" TargetMode="External" Id="rId1308"/><Relationship Type="http://schemas.openxmlformats.org/officeDocument/2006/relationships/hyperlink" Target="#'10 EVIDENCE &amp; DECISIONS'!A1302" TargetMode="External" Id="rId1309"/><Relationship Type="http://schemas.openxmlformats.org/officeDocument/2006/relationships/hyperlink" Target="#'10 EVIDENCE &amp; DECISIONS'!A1303" TargetMode="External" Id="rId1310"/><Relationship Type="http://schemas.openxmlformats.org/officeDocument/2006/relationships/hyperlink" Target="#'10 EVIDENCE &amp; DECISIONS'!A1304" TargetMode="External" Id="rId1311"/><Relationship Type="http://schemas.openxmlformats.org/officeDocument/2006/relationships/hyperlink" Target="#'10 EVIDENCE &amp; DECISIONS'!A1305" TargetMode="External" Id="rId1312"/><Relationship Type="http://schemas.openxmlformats.org/officeDocument/2006/relationships/hyperlink" Target="#'10 EVIDENCE &amp; DECISIONS'!A1306" TargetMode="External" Id="rId1313"/><Relationship Type="http://schemas.openxmlformats.org/officeDocument/2006/relationships/hyperlink" Target="#'10 EVIDENCE &amp; DECISIONS'!A1307" TargetMode="External" Id="rId1314"/><Relationship Type="http://schemas.openxmlformats.org/officeDocument/2006/relationships/hyperlink" Target="#'10 EVIDENCE &amp; DECISIONS'!A1308" TargetMode="External" Id="rId1315"/><Relationship Type="http://schemas.openxmlformats.org/officeDocument/2006/relationships/hyperlink" Target="#'10 EVIDENCE &amp; DECISIONS'!A1309" TargetMode="External" Id="rId1316"/><Relationship Type="http://schemas.openxmlformats.org/officeDocument/2006/relationships/hyperlink" Target="#'10 EVIDENCE &amp; DECISIONS'!A1310" TargetMode="External" Id="rId1317"/><Relationship Type="http://schemas.openxmlformats.org/officeDocument/2006/relationships/hyperlink" Target="#'10 EVIDENCE &amp; DECISIONS'!A1311" TargetMode="External" Id="rId1318"/><Relationship Type="http://schemas.openxmlformats.org/officeDocument/2006/relationships/hyperlink" Target="#'10 EVIDENCE &amp; DECISIONS'!A1312" TargetMode="External" Id="rId1319"/><Relationship Type="http://schemas.openxmlformats.org/officeDocument/2006/relationships/hyperlink" Target="#'10 EVIDENCE &amp; DECISIONS'!A1313" TargetMode="External" Id="rId1320"/><Relationship Type="http://schemas.openxmlformats.org/officeDocument/2006/relationships/hyperlink" Target="#'10 EVIDENCE &amp; DECISIONS'!A1314" TargetMode="External" Id="rId1321"/><Relationship Type="http://schemas.openxmlformats.org/officeDocument/2006/relationships/hyperlink" Target="#'10 EVIDENCE &amp; DECISIONS'!A1315" TargetMode="External" Id="rId1322"/><Relationship Type="http://schemas.openxmlformats.org/officeDocument/2006/relationships/hyperlink" Target="#'10 EVIDENCE &amp; DECISIONS'!A1316" TargetMode="External" Id="rId1323"/><Relationship Type="http://schemas.openxmlformats.org/officeDocument/2006/relationships/hyperlink" Target="#'10 EVIDENCE &amp; DECISIONS'!A1317" TargetMode="External" Id="rId1324"/><Relationship Type="http://schemas.openxmlformats.org/officeDocument/2006/relationships/hyperlink" Target="#'10 EVIDENCE &amp; DECISIONS'!A1318" TargetMode="External" Id="rId1325"/><Relationship Type="http://schemas.openxmlformats.org/officeDocument/2006/relationships/hyperlink" Target="#'10 EVIDENCE &amp; DECISIONS'!A1319" TargetMode="External" Id="rId1326"/><Relationship Type="http://schemas.openxmlformats.org/officeDocument/2006/relationships/hyperlink" Target="#'10 EVIDENCE &amp; DECISIONS'!A1320" TargetMode="External" Id="rId1327"/><Relationship Type="http://schemas.openxmlformats.org/officeDocument/2006/relationships/hyperlink" Target="#'10 EVIDENCE &amp; DECISIONS'!A1321" TargetMode="External" Id="rId1328"/><Relationship Type="http://schemas.openxmlformats.org/officeDocument/2006/relationships/hyperlink" Target="#'10 EVIDENCE &amp; DECISIONS'!A1322" TargetMode="External" Id="rId1329"/><Relationship Type="http://schemas.openxmlformats.org/officeDocument/2006/relationships/hyperlink" Target="#'10 EVIDENCE &amp; DECISIONS'!A1323" TargetMode="External" Id="rId1330"/><Relationship Type="http://schemas.openxmlformats.org/officeDocument/2006/relationships/hyperlink" Target="#'10 EVIDENCE &amp; DECISIONS'!A1324" TargetMode="External" Id="rId1331"/><Relationship Type="http://schemas.openxmlformats.org/officeDocument/2006/relationships/hyperlink" Target="#'10 EVIDENCE &amp; DECISIONS'!A1325" TargetMode="External" Id="rId1332"/><Relationship Type="http://schemas.openxmlformats.org/officeDocument/2006/relationships/hyperlink" Target="#'10 EVIDENCE &amp; DECISIONS'!A1326" TargetMode="External" Id="rId1333"/><Relationship Type="http://schemas.openxmlformats.org/officeDocument/2006/relationships/hyperlink" Target="#'10 EVIDENCE &amp; DECISIONS'!A1327" TargetMode="External" Id="rId1334"/><Relationship Type="http://schemas.openxmlformats.org/officeDocument/2006/relationships/hyperlink" Target="#'10 EVIDENCE &amp; DECISIONS'!A1328" TargetMode="External" Id="rId1335"/><Relationship Type="http://schemas.openxmlformats.org/officeDocument/2006/relationships/hyperlink" Target="#'10 EVIDENCE &amp; DECISIONS'!A1329" TargetMode="External" Id="rId1336"/><Relationship Type="http://schemas.openxmlformats.org/officeDocument/2006/relationships/hyperlink" Target="#'10 EVIDENCE &amp; DECISIONS'!A1330" TargetMode="External" Id="rId1337"/><Relationship Type="http://schemas.openxmlformats.org/officeDocument/2006/relationships/hyperlink" Target="#'10 EVIDENCE &amp; DECISIONS'!A1331" TargetMode="External" Id="rId1338"/><Relationship Type="http://schemas.openxmlformats.org/officeDocument/2006/relationships/hyperlink" Target="#'10 EVIDENCE &amp; DECISIONS'!A1332" TargetMode="External" Id="rId1339"/><Relationship Type="http://schemas.openxmlformats.org/officeDocument/2006/relationships/hyperlink" Target="#'10 EVIDENCE &amp; DECISIONS'!A1333" TargetMode="External" Id="rId1340"/><Relationship Type="http://schemas.openxmlformats.org/officeDocument/2006/relationships/hyperlink" Target="#'10 EVIDENCE &amp; DECISIONS'!A1334" TargetMode="External" Id="rId1341"/><Relationship Type="http://schemas.openxmlformats.org/officeDocument/2006/relationships/hyperlink" Target="#'10 EVIDENCE &amp; DECISIONS'!A1335" TargetMode="External" Id="rId1342"/><Relationship Type="http://schemas.openxmlformats.org/officeDocument/2006/relationships/hyperlink" Target="#'10 EVIDENCE &amp; DECISIONS'!A1336" TargetMode="External" Id="rId1343"/><Relationship Type="http://schemas.openxmlformats.org/officeDocument/2006/relationships/hyperlink" Target="#'10 EVIDENCE &amp; DECISIONS'!A1337" TargetMode="External" Id="rId1344"/><Relationship Type="http://schemas.openxmlformats.org/officeDocument/2006/relationships/hyperlink" Target="#'10 EVIDENCE &amp; DECISIONS'!A1338" TargetMode="External" Id="rId1345"/><Relationship Type="http://schemas.openxmlformats.org/officeDocument/2006/relationships/hyperlink" Target="#'10 EVIDENCE &amp; DECISIONS'!A1339" TargetMode="External" Id="rId1346"/><Relationship Type="http://schemas.openxmlformats.org/officeDocument/2006/relationships/hyperlink" Target="#'10 EVIDENCE &amp; DECISIONS'!A1340" TargetMode="External" Id="rId1347"/><Relationship Type="http://schemas.openxmlformats.org/officeDocument/2006/relationships/hyperlink" Target="#'10 EVIDENCE &amp; DECISIONS'!A1341" TargetMode="External" Id="rId1348"/><Relationship Type="http://schemas.openxmlformats.org/officeDocument/2006/relationships/hyperlink" Target="#'10 EVIDENCE &amp; DECISIONS'!A1342" TargetMode="External" Id="rId1349"/><Relationship Type="http://schemas.openxmlformats.org/officeDocument/2006/relationships/hyperlink" Target="#'10 EVIDENCE &amp; DECISIONS'!A1343" TargetMode="External" Id="rId1350"/><Relationship Type="http://schemas.openxmlformats.org/officeDocument/2006/relationships/hyperlink" Target="#'10 EVIDENCE &amp; DECISIONS'!A1344" TargetMode="External" Id="rId1351"/><Relationship Type="http://schemas.openxmlformats.org/officeDocument/2006/relationships/hyperlink" Target="#'10 EVIDENCE &amp; DECISIONS'!A1345" TargetMode="External" Id="rId1352"/><Relationship Type="http://schemas.openxmlformats.org/officeDocument/2006/relationships/hyperlink" Target="#'10 EVIDENCE &amp; DECISIONS'!A1346" TargetMode="External" Id="rId1353"/><Relationship Type="http://schemas.openxmlformats.org/officeDocument/2006/relationships/hyperlink" Target="#'10 EVIDENCE &amp; DECISIONS'!A1347" TargetMode="External" Id="rId1354"/><Relationship Type="http://schemas.openxmlformats.org/officeDocument/2006/relationships/hyperlink" Target="#'10 EVIDENCE &amp; DECISIONS'!A1348" TargetMode="External" Id="rId1355"/><Relationship Type="http://schemas.openxmlformats.org/officeDocument/2006/relationships/hyperlink" Target="#'10 EVIDENCE &amp; DECISIONS'!A1349" TargetMode="External" Id="rId1356"/><Relationship Type="http://schemas.openxmlformats.org/officeDocument/2006/relationships/hyperlink" Target="#'10 EVIDENCE &amp; DECISIONS'!A1350" TargetMode="External" Id="rId1357"/><Relationship Type="http://schemas.openxmlformats.org/officeDocument/2006/relationships/hyperlink" Target="#'10 EVIDENCE &amp; DECISIONS'!A1351" TargetMode="External" Id="rId1358"/><Relationship Type="http://schemas.openxmlformats.org/officeDocument/2006/relationships/hyperlink" Target="#'10 EVIDENCE &amp; DECISIONS'!A1352" TargetMode="External" Id="rId1359"/><Relationship Type="http://schemas.openxmlformats.org/officeDocument/2006/relationships/hyperlink" Target="#'10 EVIDENCE &amp; DECISIONS'!A1353" TargetMode="External" Id="rId1360"/><Relationship Type="http://schemas.openxmlformats.org/officeDocument/2006/relationships/hyperlink" Target="#'10 EVIDENCE &amp; DECISIONS'!A1354" TargetMode="External" Id="rId1361"/><Relationship Type="http://schemas.openxmlformats.org/officeDocument/2006/relationships/hyperlink" Target="#'10 EVIDENCE &amp; DECISIONS'!A1355" TargetMode="External" Id="rId1362"/><Relationship Type="http://schemas.openxmlformats.org/officeDocument/2006/relationships/hyperlink" Target="#'10 EVIDENCE &amp; DECISIONS'!A1356" TargetMode="External" Id="rId1363"/><Relationship Type="http://schemas.openxmlformats.org/officeDocument/2006/relationships/hyperlink" Target="#'10 EVIDENCE &amp; DECISIONS'!A1357" TargetMode="External" Id="rId1364"/><Relationship Type="http://schemas.openxmlformats.org/officeDocument/2006/relationships/hyperlink" Target="#'10 EVIDENCE &amp; DECISIONS'!A1358" TargetMode="External" Id="rId1365"/><Relationship Type="http://schemas.openxmlformats.org/officeDocument/2006/relationships/hyperlink" Target="#'10 EVIDENCE &amp; DECISIONS'!A1359" TargetMode="External" Id="rId1366"/><Relationship Type="http://schemas.openxmlformats.org/officeDocument/2006/relationships/hyperlink" Target="#'10 EVIDENCE &amp; DECISIONS'!A1360" TargetMode="External" Id="rId1367"/><Relationship Type="http://schemas.openxmlformats.org/officeDocument/2006/relationships/hyperlink" Target="#'10 EVIDENCE &amp; DECISIONS'!A1361" TargetMode="External" Id="rId1368"/><Relationship Type="http://schemas.openxmlformats.org/officeDocument/2006/relationships/hyperlink" Target="#'10 EVIDENCE &amp; DECISIONS'!A1362" TargetMode="External" Id="rId1369"/><Relationship Type="http://schemas.openxmlformats.org/officeDocument/2006/relationships/hyperlink" Target="#'10 EVIDENCE &amp; DECISIONS'!A1363" TargetMode="External" Id="rId1370"/><Relationship Type="http://schemas.openxmlformats.org/officeDocument/2006/relationships/hyperlink" Target="#'10 EVIDENCE &amp; DECISIONS'!A1364" TargetMode="External" Id="rId1371"/><Relationship Type="http://schemas.openxmlformats.org/officeDocument/2006/relationships/hyperlink" Target="#'10 EVIDENCE &amp; DECISIONS'!A1467" TargetMode="External" Id="rId1372"/><Relationship Type="http://schemas.openxmlformats.org/officeDocument/2006/relationships/hyperlink" Target="#'10 EVIDENCE &amp; DECISIONS'!A1468" TargetMode="External" Id="rId1373"/><Relationship Type="http://schemas.openxmlformats.org/officeDocument/2006/relationships/hyperlink" Target="#'10 EVIDENCE &amp; DECISIONS'!A1469" TargetMode="External" Id="rId1374"/><Relationship Type="http://schemas.openxmlformats.org/officeDocument/2006/relationships/hyperlink" Target="#'10 EVIDENCE &amp; DECISIONS'!A1470" TargetMode="External" Id="rId1375"/><Relationship Type="http://schemas.openxmlformats.org/officeDocument/2006/relationships/hyperlink" Target="#'10 EVIDENCE &amp; DECISIONS'!A1471" TargetMode="External" Id="rId1376"/><Relationship Type="http://schemas.openxmlformats.org/officeDocument/2006/relationships/hyperlink" Target="#'10 EVIDENCE &amp; DECISIONS'!A1472" TargetMode="External" Id="rId1377"/><Relationship Type="http://schemas.openxmlformats.org/officeDocument/2006/relationships/hyperlink" Target="#'10 EVIDENCE &amp; DECISIONS'!A1473" TargetMode="External" Id="rId1378"/><Relationship Type="http://schemas.openxmlformats.org/officeDocument/2006/relationships/hyperlink" Target="#'10 EVIDENCE &amp; DECISIONS'!A1474" TargetMode="External" Id="rId1379"/><Relationship Type="http://schemas.openxmlformats.org/officeDocument/2006/relationships/hyperlink" Target="#'10 EVIDENCE &amp; DECISIONS'!A1475" TargetMode="External" Id="rId1380"/><Relationship Type="http://schemas.openxmlformats.org/officeDocument/2006/relationships/hyperlink" Target="#'10 EVIDENCE &amp; DECISIONS'!A1476" TargetMode="External" Id="rId1381"/><Relationship Type="http://schemas.openxmlformats.org/officeDocument/2006/relationships/hyperlink" Target="#'10 EVIDENCE &amp; DECISIONS'!A1477" TargetMode="External" Id="rId1382"/><Relationship Type="http://schemas.openxmlformats.org/officeDocument/2006/relationships/hyperlink" Target="#'10 EVIDENCE &amp; DECISIONS'!A1478" TargetMode="External" Id="rId1383"/><Relationship Type="http://schemas.openxmlformats.org/officeDocument/2006/relationships/hyperlink" Target="#'10 EVIDENCE &amp; DECISIONS'!A1479" TargetMode="External" Id="rId1384"/><Relationship Type="http://schemas.openxmlformats.org/officeDocument/2006/relationships/hyperlink" Target="#'10 EVIDENCE &amp; DECISIONS'!A1480" TargetMode="External" Id="rId1385"/><Relationship Type="http://schemas.openxmlformats.org/officeDocument/2006/relationships/hyperlink" Target="#'10 EVIDENCE &amp; DECISIONS'!A1481" TargetMode="External" Id="rId1386"/><Relationship Type="http://schemas.openxmlformats.org/officeDocument/2006/relationships/hyperlink" Target="#'10 EVIDENCE &amp; DECISIONS'!A1482" TargetMode="External" Id="rId1387"/><Relationship Type="http://schemas.openxmlformats.org/officeDocument/2006/relationships/hyperlink" Target="#'10 EVIDENCE &amp; DECISIONS'!A1483" TargetMode="External" Id="rId1388"/><Relationship Type="http://schemas.openxmlformats.org/officeDocument/2006/relationships/hyperlink" Target="#'10 EVIDENCE &amp; DECISIONS'!A1484" TargetMode="External" Id="rId1389"/><Relationship Type="http://schemas.openxmlformats.org/officeDocument/2006/relationships/hyperlink" Target="#'10 EVIDENCE &amp; DECISIONS'!A1485" TargetMode="External" Id="rId1390"/><Relationship Type="http://schemas.openxmlformats.org/officeDocument/2006/relationships/hyperlink" Target="#'10 EVIDENCE &amp; DECISIONS'!A1486" TargetMode="External" Id="rId1391"/><Relationship Type="http://schemas.openxmlformats.org/officeDocument/2006/relationships/hyperlink" Target="#'10 EVIDENCE &amp; DECISIONS'!A1487" TargetMode="External" Id="rId1392"/><Relationship Type="http://schemas.openxmlformats.org/officeDocument/2006/relationships/hyperlink" Target="#'10 EVIDENCE &amp; DECISIONS'!A1488" TargetMode="External" Id="rId1393"/><Relationship Type="http://schemas.openxmlformats.org/officeDocument/2006/relationships/hyperlink" Target="#'10 EVIDENCE &amp; DECISIONS'!A1489" TargetMode="External" Id="rId1394"/><Relationship Type="http://schemas.openxmlformats.org/officeDocument/2006/relationships/hyperlink" Target="#'10 EVIDENCE &amp; DECISIONS'!A1490" TargetMode="External" Id="rId1395"/><Relationship Type="http://schemas.openxmlformats.org/officeDocument/2006/relationships/hyperlink" Target="#'10 EVIDENCE &amp; DECISIONS'!A1491" TargetMode="External" Id="rId1396"/><Relationship Type="http://schemas.openxmlformats.org/officeDocument/2006/relationships/hyperlink" Target="#'10 EVIDENCE &amp; DECISIONS'!A1492" TargetMode="External" Id="rId1397"/><Relationship Type="http://schemas.openxmlformats.org/officeDocument/2006/relationships/hyperlink" Target="#'10 EVIDENCE &amp; DECISIONS'!A1493" TargetMode="External" Id="rId1398"/><Relationship Type="http://schemas.openxmlformats.org/officeDocument/2006/relationships/hyperlink" Target="#'10 EVIDENCE &amp; DECISIONS'!A1494" TargetMode="External" Id="rId1399"/><Relationship Type="http://schemas.openxmlformats.org/officeDocument/2006/relationships/hyperlink" Target="#'10 EVIDENCE &amp; DECISIONS'!A1495" TargetMode="External" Id="rId1400"/><Relationship Type="http://schemas.openxmlformats.org/officeDocument/2006/relationships/hyperlink" Target="#'10 EVIDENCE &amp; DECISIONS'!A1496" TargetMode="External" Id="rId1401"/><Relationship Type="http://schemas.openxmlformats.org/officeDocument/2006/relationships/hyperlink" Target="#'10 EVIDENCE &amp; DECISIONS'!A1497" TargetMode="External" Id="rId1402"/><Relationship Type="http://schemas.openxmlformats.org/officeDocument/2006/relationships/hyperlink" Target="#'10 EVIDENCE &amp; DECISIONS'!A1498" TargetMode="External" Id="rId1403"/><Relationship Type="http://schemas.openxmlformats.org/officeDocument/2006/relationships/hyperlink" Target="#'10 EVIDENCE &amp; DECISIONS'!A1499" TargetMode="External" Id="rId1404"/><Relationship Type="http://schemas.openxmlformats.org/officeDocument/2006/relationships/hyperlink" Target="#'10 EVIDENCE &amp; DECISIONS'!A1500" TargetMode="External" Id="rId1405"/><Relationship Type="http://schemas.openxmlformats.org/officeDocument/2006/relationships/hyperlink" Target="#'10 EVIDENCE &amp; DECISIONS'!A1501" TargetMode="External" Id="rId1406"/><Relationship Type="http://schemas.openxmlformats.org/officeDocument/2006/relationships/hyperlink" Target="#'10 EVIDENCE &amp; DECISIONS'!A1502" TargetMode="External" Id="rId1407"/><Relationship Type="http://schemas.openxmlformats.org/officeDocument/2006/relationships/hyperlink" Target="#'10 EVIDENCE &amp; DECISIONS'!A1503" TargetMode="External" Id="rId1408"/><Relationship Type="http://schemas.openxmlformats.org/officeDocument/2006/relationships/hyperlink" Target="#'10 EVIDENCE &amp; DECISIONS'!A1504" TargetMode="External" Id="rId1409"/><Relationship Type="http://schemas.openxmlformats.org/officeDocument/2006/relationships/hyperlink" Target="#'10 EVIDENCE &amp; DECISIONS'!A1505" TargetMode="External" Id="rId1410"/><Relationship Type="http://schemas.openxmlformats.org/officeDocument/2006/relationships/hyperlink" Target="#'10 EVIDENCE &amp; DECISIONS'!A1506" TargetMode="External" Id="rId1411"/><Relationship Type="http://schemas.openxmlformats.org/officeDocument/2006/relationships/hyperlink" Target="#'10 EVIDENCE &amp; DECISIONS'!A1507" TargetMode="External" Id="rId1412"/><Relationship Type="http://schemas.openxmlformats.org/officeDocument/2006/relationships/hyperlink" Target="#'10 EVIDENCE &amp; DECISIONS'!A1508" TargetMode="External" Id="rId1413"/><Relationship Type="http://schemas.openxmlformats.org/officeDocument/2006/relationships/hyperlink" Target="#'10 EVIDENCE &amp; DECISIONS'!A1509" TargetMode="External" Id="rId1414"/><Relationship Type="http://schemas.openxmlformats.org/officeDocument/2006/relationships/hyperlink" Target="#'10 EVIDENCE &amp; DECISIONS'!A1510" TargetMode="External" Id="rId1415"/><Relationship Type="http://schemas.openxmlformats.org/officeDocument/2006/relationships/hyperlink" Target="#'10 EVIDENCE &amp; DECISIONS'!A1511" TargetMode="External" Id="rId1416"/><Relationship Type="http://schemas.openxmlformats.org/officeDocument/2006/relationships/hyperlink" Target="#'10 EVIDENCE &amp; DECISIONS'!A1512" TargetMode="External" Id="rId1417"/><Relationship Type="http://schemas.openxmlformats.org/officeDocument/2006/relationships/hyperlink" Target="#'10 EVIDENCE &amp; DECISIONS'!A1513" TargetMode="External" Id="rId1418"/><Relationship Type="http://schemas.openxmlformats.org/officeDocument/2006/relationships/hyperlink" Target="#'10 EVIDENCE &amp; DECISIONS'!A1514" TargetMode="External" Id="rId1419"/><Relationship Type="http://schemas.openxmlformats.org/officeDocument/2006/relationships/hyperlink" Target="#'10 EVIDENCE &amp; DECISIONS'!A1515" TargetMode="External" Id="rId1420"/><Relationship Type="http://schemas.openxmlformats.org/officeDocument/2006/relationships/hyperlink" Target="#'10 EVIDENCE &amp; DECISIONS'!A1516" TargetMode="External" Id="rId1421"/><Relationship Type="http://schemas.openxmlformats.org/officeDocument/2006/relationships/hyperlink" Target="#'10 EVIDENCE &amp; DECISIONS'!A1517" TargetMode="External" Id="rId1422"/><Relationship Type="http://schemas.openxmlformats.org/officeDocument/2006/relationships/hyperlink" Target="#'10 EVIDENCE &amp; DECISIONS'!A1518" TargetMode="External" Id="rId1423"/><Relationship Type="http://schemas.openxmlformats.org/officeDocument/2006/relationships/hyperlink" Target="#'10 EVIDENCE &amp; DECISIONS'!A1519" TargetMode="External" Id="rId1424"/><Relationship Type="http://schemas.openxmlformats.org/officeDocument/2006/relationships/hyperlink" Target="#'10 EVIDENCE &amp; DECISIONS'!A1520" TargetMode="External" Id="rId1425"/><Relationship Type="http://schemas.openxmlformats.org/officeDocument/2006/relationships/hyperlink" Target="#'10 EVIDENCE &amp; DECISIONS'!A1521" TargetMode="External" Id="rId1426"/><Relationship Type="http://schemas.openxmlformats.org/officeDocument/2006/relationships/hyperlink" Target="#'10 EVIDENCE &amp; DECISIONS'!A1522" TargetMode="External" Id="rId1427"/><Relationship Type="http://schemas.openxmlformats.org/officeDocument/2006/relationships/hyperlink" Target="#'10 EVIDENCE &amp; DECISIONS'!A1523" TargetMode="External" Id="rId1428"/><Relationship Type="http://schemas.openxmlformats.org/officeDocument/2006/relationships/hyperlink" Target="#'10 EVIDENCE &amp; DECISIONS'!A1524" TargetMode="External" Id="rId1429"/><Relationship Type="http://schemas.openxmlformats.org/officeDocument/2006/relationships/hyperlink" Target="#'10 EVIDENCE &amp; DECISIONS'!A1525" TargetMode="External" Id="rId1430"/><Relationship Type="http://schemas.openxmlformats.org/officeDocument/2006/relationships/hyperlink" Target="#'10 EVIDENCE &amp; DECISIONS'!A1526" TargetMode="External" Id="rId1431"/><Relationship Type="http://schemas.openxmlformats.org/officeDocument/2006/relationships/hyperlink" Target="#'10 EVIDENCE &amp; DECISIONS'!A1527" TargetMode="External" Id="rId1432"/><Relationship Type="http://schemas.openxmlformats.org/officeDocument/2006/relationships/hyperlink" Target="#'10 EVIDENCE &amp; DECISIONS'!A1528" TargetMode="External" Id="rId1433"/><Relationship Type="http://schemas.openxmlformats.org/officeDocument/2006/relationships/hyperlink" Target="#'10 EVIDENCE &amp; DECISIONS'!A1529" TargetMode="External" Id="rId1434"/><Relationship Type="http://schemas.openxmlformats.org/officeDocument/2006/relationships/hyperlink" Target="#'10 EVIDENCE &amp; DECISIONS'!A1530" TargetMode="External" Id="rId1435"/><Relationship Type="http://schemas.openxmlformats.org/officeDocument/2006/relationships/hyperlink" Target="#'10 EVIDENCE &amp; DECISIONS'!A1531" TargetMode="External" Id="rId1436"/><Relationship Type="http://schemas.openxmlformats.org/officeDocument/2006/relationships/hyperlink" Target="#'10 EVIDENCE &amp; DECISIONS'!A1532" TargetMode="External" Id="rId1437"/><Relationship Type="http://schemas.openxmlformats.org/officeDocument/2006/relationships/hyperlink" Target="#'10 EVIDENCE &amp; DECISIONS'!A1533" TargetMode="External" Id="rId1438"/><Relationship Type="http://schemas.openxmlformats.org/officeDocument/2006/relationships/hyperlink" Target="#'10 EVIDENCE &amp; DECISIONS'!A1534" TargetMode="External" Id="rId1439"/><Relationship Type="http://schemas.openxmlformats.org/officeDocument/2006/relationships/hyperlink" Target="#'10 EVIDENCE &amp; DECISIONS'!A1535" TargetMode="External" Id="rId1440"/><Relationship Type="http://schemas.openxmlformats.org/officeDocument/2006/relationships/hyperlink" Target="#'10 EVIDENCE &amp; DECISIONS'!A1536" TargetMode="External" Id="rId1441"/><Relationship Type="http://schemas.openxmlformats.org/officeDocument/2006/relationships/hyperlink" Target="#'10 EVIDENCE &amp; DECISIONS'!A1537" TargetMode="External" Id="rId1442"/><Relationship Type="http://schemas.openxmlformats.org/officeDocument/2006/relationships/hyperlink" Target="#'10 EVIDENCE &amp; DECISIONS'!A1538" TargetMode="External" Id="rId1443"/><Relationship Type="http://schemas.openxmlformats.org/officeDocument/2006/relationships/hyperlink" Target="#'10 EVIDENCE &amp; DECISIONS'!A1539" TargetMode="External" Id="rId1444"/><Relationship Type="http://schemas.openxmlformats.org/officeDocument/2006/relationships/hyperlink" Target="#'10 EVIDENCE &amp; DECISIONS'!A1540" TargetMode="External" Id="rId1445"/><Relationship Type="http://schemas.openxmlformats.org/officeDocument/2006/relationships/hyperlink" Target="#'10 EVIDENCE &amp; DECISIONS'!A1541" TargetMode="External" Id="rId1446"/><Relationship Type="http://schemas.openxmlformats.org/officeDocument/2006/relationships/hyperlink" Target="#'10 EVIDENCE &amp; DECISIONS'!A1542" TargetMode="External" Id="rId1447"/><Relationship Type="http://schemas.openxmlformats.org/officeDocument/2006/relationships/hyperlink" Target="#'10 EVIDENCE &amp; DECISIONS'!A1543" TargetMode="External" Id="rId1448"/><Relationship Type="http://schemas.openxmlformats.org/officeDocument/2006/relationships/hyperlink" Target="#'10 EVIDENCE &amp; DECISIONS'!A1544" TargetMode="External" Id="rId1449"/><Relationship Type="http://schemas.openxmlformats.org/officeDocument/2006/relationships/hyperlink" Target="#'10 EVIDENCE &amp; DECISIONS'!A1545" TargetMode="External" Id="rId1450"/><Relationship Type="http://schemas.openxmlformats.org/officeDocument/2006/relationships/hyperlink" Target="#'10 EVIDENCE &amp; DECISIONS'!A1546" TargetMode="External" Id="rId1451"/><Relationship Type="http://schemas.openxmlformats.org/officeDocument/2006/relationships/hyperlink" Target="#'10 EVIDENCE &amp; DECISIONS'!A1547" TargetMode="External" Id="rId1452"/><Relationship Type="http://schemas.openxmlformats.org/officeDocument/2006/relationships/hyperlink" Target="#'10 EVIDENCE &amp; DECISIONS'!A1548" TargetMode="External" Id="rId1453"/><Relationship Type="http://schemas.openxmlformats.org/officeDocument/2006/relationships/hyperlink" Target="#'10 EVIDENCE &amp; DECISIONS'!A1549" TargetMode="External" Id="rId1454"/><Relationship Type="http://schemas.openxmlformats.org/officeDocument/2006/relationships/hyperlink" Target="#'10 EVIDENCE &amp; DECISIONS'!A1550" TargetMode="External" Id="rId1455"/><Relationship Type="http://schemas.openxmlformats.org/officeDocument/2006/relationships/hyperlink" Target="#'10 EVIDENCE &amp; DECISIONS'!A1551" TargetMode="External" Id="rId1456"/><Relationship Type="http://schemas.openxmlformats.org/officeDocument/2006/relationships/hyperlink" Target="#'10 EVIDENCE &amp; DECISIONS'!A1552" TargetMode="External" Id="rId1457"/><Relationship Type="http://schemas.openxmlformats.org/officeDocument/2006/relationships/hyperlink" Target="#'10 EVIDENCE &amp; DECISIONS'!A1553" TargetMode="External" Id="rId1458"/><Relationship Type="http://schemas.openxmlformats.org/officeDocument/2006/relationships/hyperlink" Target="#'10 EVIDENCE &amp; DECISIONS'!A1554" TargetMode="External" Id="rId1459"/><Relationship Type="http://schemas.openxmlformats.org/officeDocument/2006/relationships/hyperlink" Target="#'10 EVIDENCE &amp; DECISIONS'!A1555" TargetMode="External" Id="rId1460"/><Relationship Type="http://schemas.openxmlformats.org/officeDocument/2006/relationships/hyperlink" Target="#'10 EVIDENCE &amp; DECISIONS'!A1556" TargetMode="External" Id="rId1461"/><Relationship Type="http://schemas.openxmlformats.org/officeDocument/2006/relationships/hyperlink" Target="#'10 EVIDENCE &amp; DECISIONS'!A1557" TargetMode="External" Id="rId1462"/><Relationship Type="http://schemas.openxmlformats.org/officeDocument/2006/relationships/hyperlink" Target="#'10 EVIDENCE &amp; DECISIONS'!A1558" TargetMode="External" Id="rId1463"/><Relationship Type="http://schemas.openxmlformats.org/officeDocument/2006/relationships/hyperlink" Target="#'10 EVIDENCE &amp; DECISIONS'!A1559" TargetMode="External" Id="rId1464"/><Relationship Type="http://schemas.openxmlformats.org/officeDocument/2006/relationships/hyperlink" Target="#'10 EVIDENCE &amp; DECISIONS'!A1560" TargetMode="External" Id="rId1465"/><Relationship Type="http://schemas.openxmlformats.org/officeDocument/2006/relationships/hyperlink" Target="#'10 EVIDENCE &amp; DECISIONS'!A1561" TargetMode="External" Id="rId1466"/><Relationship Type="http://schemas.openxmlformats.org/officeDocument/2006/relationships/hyperlink" Target="#'10 EVIDENCE &amp; DECISIONS'!A1562" TargetMode="External" Id="rId1467"/><Relationship Type="http://schemas.openxmlformats.org/officeDocument/2006/relationships/hyperlink" Target="#'10 EVIDENCE &amp; DECISIONS'!A1563" TargetMode="External" Id="rId1468"/><Relationship Type="http://schemas.openxmlformats.org/officeDocument/2006/relationships/hyperlink" Target="#'10 EVIDENCE &amp; DECISIONS'!A1564" TargetMode="External" Id="rId1469"/><Relationship Type="http://schemas.openxmlformats.org/officeDocument/2006/relationships/hyperlink" Target="#'10 EVIDENCE &amp; DECISIONS'!A1565" TargetMode="External" Id="rId1470"/><Relationship Type="http://schemas.openxmlformats.org/officeDocument/2006/relationships/hyperlink" Target="#'10 EVIDENCE &amp; DECISIONS'!A1566" TargetMode="External" Id="rId1471"/><Relationship Type="http://schemas.openxmlformats.org/officeDocument/2006/relationships/hyperlink" Target="#'10 EVIDENCE &amp; DECISIONS'!A1567" TargetMode="External" Id="rId1472"/><Relationship Type="http://schemas.openxmlformats.org/officeDocument/2006/relationships/hyperlink" Target="#'10 EVIDENCE &amp; DECISIONS'!A1568" TargetMode="External" Id="rId1473"/><Relationship Type="http://schemas.openxmlformats.org/officeDocument/2006/relationships/hyperlink" Target="#'10 EVIDENCE &amp; DECISIONS'!A1569" TargetMode="External" Id="rId1474"/><Relationship Type="http://schemas.openxmlformats.org/officeDocument/2006/relationships/hyperlink" Target="#'10 EVIDENCE &amp; DECISIONS'!A1570" TargetMode="External" Id="rId1475"/><Relationship Type="http://schemas.openxmlformats.org/officeDocument/2006/relationships/hyperlink" Target="#'10 EVIDENCE &amp; DECISIONS'!A1571" TargetMode="External" Id="rId1476"/><Relationship Type="http://schemas.openxmlformats.org/officeDocument/2006/relationships/hyperlink" Target="#'10 EVIDENCE &amp; DECISIONS'!A1572" TargetMode="External" Id="rId1477"/><Relationship Type="http://schemas.openxmlformats.org/officeDocument/2006/relationships/hyperlink" Target="#'10 EVIDENCE &amp; DECISIONS'!A1573" TargetMode="External" Id="rId1478"/><Relationship Type="http://schemas.openxmlformats.org/officeDocument/2006/relationships/hyperlink" Target="#'10 EVIDENCE &amp; DECISIONS'!A1574" TargetMode="External" Id="rId1479"/><Relationship Type="http://schemas.openxmlformats.org/officeDocument/2006/relationships/hyperlink" Target="#'10 EVIDENCE &amp; DECISIONS'!A1575" TargetMode="External" Id="rId1480"/><Relationship Type="http://schemas.openxmlformats.org/officeDocument/2006/relationships/hyperlink" Target="#'10 EVIDENCE &amp; DECISIONS'!A1576" TargetMode="External" Id="rId1481"/><Relationship Type="http://schemas.openxmlformats.org/officeDocument/2006/relationships/hyperlink" Target="#'10 EVIDENCE &amp; DECISIONS'!A1577" TargetMode="External" Id="rId1482"/><Relationship Type="http://schemas.openxmlformats.org/officeDocument/2006/relationships/hyperlink" Target="#'10 EVIDENCE &amp; DECISIONS'!A1578" TargetMode="External" Id="rId1483"/><Relationship Type="http://schemas.openxmlformats.org/officeDocument/2006/relationships/hyperlink" Target="#'10 EVIDENCE &amp; DECISIONS'!A1579" TargetMode="External" Id="rId1484"/><Relationship Type="http://schemas.openxmlformats.org/officeDocument/2006/relationships/hyperlink" Target="#'10 EVIDENCE &amp; DECISIONS'!A1580" TargetMode="External" Id="rId1485"/><Relationship Type="http://schemas.openxmlformats.org/officeDocument/2006/relationships/hyperlink" Target="#'10 EVIDENCE &amp; DECISIONS'!A1581" TargetMode="External" Id="rId1486"/><Relationship Type="http://schemas.openxmlformats.org/officeDocument/2006/relationships/hyperlink" Target="#'10 EVIDENCE &amp; DECISIONS'!A1582" TargetMode="External" Id="rId1487"/><Relationship Type="http://schemas.openxmlformats.org/officeDocument/2006/relationships/hyperlink" Target="#'10 EVIDENCE &amp; DECISIONS'!A1583" TargetMode="External" Id="rId1488"/><Relationship Type="http://schemas.openxmlformats.org/officeDocument/2006/relationships/hyperlink" Target="#'10 EVIDENCE &amp; DECISIONS'!A1584" TargetMode="External" Id="rId1489"/><Relationship Type="http://schemas.openxmlformats.org/officeDocument/2006/relationships/hyperlink" Target="#'10 EVIDENCE &amp; DECISIONS'!A1585" TargetMode="External" Id="rId1490"/><Relationship Type="http://schemas.openxmlformats.org/officeDocument/2006/relationships/hyperlink" Target="#'10 EVIDENCE &amp; DECISIONS'!A1586" TargetMode="External" Id="rId1491"/><Relationship Type="http://schemas.openxmlformats.org/officeDocument/2006/relationships/hyperlink" Target="#'10 EVIDENCE &amp; DECISIONS'!A1587" TargetMode="External" Id="rId1492"/><Relationship Type="http://schemas.openxmlformats.org/officeDocument/2006/relationships/hyperlink" Target="#'10 EVIDENCE &amp; DECISIONS'!A1588" TargetMode="External" Id="rId1493"/><Relationship Type="http://schemas.openxmlformats.org/officeDocument/2006/relationships/hyperlink" Target="#'10 EVIDENCE &amp; DECISIONS'!A1589" TargetMode="External" Id="rId1494"/><Relationship Type="http://schemas.openxmlformats.org/officeDocument/2006/relationships/hyperlink" Target="#'10 EVIDENCE &amp; DECISIONS'!A1590" TargetMode="External" Id="rId1495"/><Relationship Type="http://schemas.openxmlformats.org/officeDocument/2006/relationships/hyperlink" Target="#'10 EVIDENCE &amp; DECISIONS'!A1591" TargetMode="External" Id="rId1496"/><Relationship Type="http://schemas.openxmlformats.org/officeDocument/2006/relationships/hyperlink" Target="#'10 EVIDENCE &amp; DECISIONS'!A1592" TargetMode="External" Id="rId1497"/><Relationship Type="http://schemas.openxmlformats.org/officeDocument/2006/relationships/hyperlink" Target="#'10 EVIDENCE &amp; DECISIONS'!A1593" TargetMode="External" Id="rId1498"/><Relationship Type="http://schemas.openxmlformats.org/officeDocument/2006/relationships/hyperlink" Target="#'10 EVIDENCE &amp; DECISIONS'!A1594" TargetMode="External" Id="rId1499"/><Relationship Type="http://schemas.openxmlformats.org/officeDocument/2006/relationships/hyperlink" Target="#'10 EVIDENCE &amp; DECISIONS'!A1595" TargetMode="External" Id="rId1500"/><Relationship Type="http://schemas.openxmlformats.org/officeDocument/2006/relationships/hyperlink" Target="#'10 EVIDENCE &amp; DECISIONS'!A1596" TargetMode="External" Id="rId1501"/><Relationship Type="http://schemas.openxmlformats.org/officeDocument/2006/relationships/hyperlink" Target="#'10 EVIDENCE &amp; DECISIONS'!A1597" TargetMode="External" Id="rId1502"/><Relationship Type="http://schemas.openxmlformats.org/officeDocument/2006/relationships/hyperlink" Target="#'10 EVIDENCE &amp; DECISIONS'!A1598" TargetMode="External" Id="rId1503"/><Relationship Type="http://schemas.openxmlformats.org/officeDocument/2006/relationships/hyperlink" Target="#'10 EVIDENCE &amp; DECISIONS'!A1599" TargetMode="External" Id="rId1504"/><Relationship Type="http://schemas.openxmlformats.org/officeDocument/2006/relationships/hyperlink" Target="#'10 EVIDENCE &amp; DECISIONS'!A1600" TargetMode="External" Id="rId1505"/><Relationship Type="http://schemas.openxmlformats.org/officeDocument/2006/relationships/hyperlink" Target="#'10 EVIDENCE &amp; DECISIONS'!A1601" TargetMode="External" Id="rId1506"/><Relationship Type="http://schemas.openxmlformats.org/officeDocument/2006/relationships/hyperlink" Target="#'10 EVIDENCE &amp; DECISIONS'!A1602" TargetMode="External" Id="rId1507"/><Relationship Type="http://schemas.openxmlformats.org/officeDocument/2006/relationships/hyperlink" Target="#'10 EVIDENCE &amp; DECISIONS'!A1603" TargetMode="External" Id="rId1508"/><Relationship Type="http://schemas.openxmlformats.org/officeDocument/2006/relationships/hyperlink" Target="#'10 EVIDENCE &amp; DECISIONS'!A1604" TargetMode="External" Id="rId1509"/><Relationship Type="http://schemas.openxmlformats.org/officeDocument/2006/relationships/hyperlink" Target="#'10 EVIDENCE &amp; DECISIONS'!A1605" TargetMode="External" Id="rId1510"/><Relationship Type="http://schemas.openxmlformats.org/officeDocument/2006/relationships/hyperlink" Target="#'10 EVIDENCE &amp; DECISIONS'!A1606" TargetMode="External" Id="rId1511"/><Relationship Type="http://schemas.openxmlformats.org/officeDocument/2006/relationships/hyperlink" Target="#'10 EVIDENCE &amp; DECISIONS'!A1607" TargetMode="External" Id="rId1512"/><Relationship Type="http://schemas.openxmlformats.org/officeDocument/2006/relationships/hyperlink" Target="#'10 EVIDENCE &amp; DECISIONS'!A1608" TargetMode="External" Id="rId1513"/><Relationship Type="http://schemas.openxmlformats.org/officeDocument/2006/relationships/hyperlink" Target="#'10 EVIDENCE &amp; DECISIONS'!A1609" TargetMode="External" Id="rId1514"/><Relationship Type="http://schemas.openxmlformats.org/officeDocument/2006/relationships/hyperlink" Target="#'10 EVIDENCE &amp; DECISIONS'!A1610" TargetMode="External" Id="rId1515"/><Relationship Type="http://schemas.openxmlformats.org/officeDocument/2006/relationships/hyperlink" Target="#'10 EVIDENCE &amp; DECISIONS'!A1611" TargetMode="External" Id="rId1516"/><Relationship Type="http://schemas.openxmlformats.org/officeDocument/2006/relationships/hyperlink" Target="#'10 EVIDENCE &amp; DECISIONS'!A1612" TargetMode="External" Id="rId1517"/><Relationship Type="http://schemas.openxmlformats.org/officeDocument/2006/relationships/hyperlink" Target="#'10 EVIDENCE &amp; DECISIONS'!A1613" TargetMode="External" Id="rId1518"/><Relationship Type="http://schemas.openxmlformats.org/officeDocument/2006/relationships/hyperlink" Target="#'10 EVIDENCE &amp; DECISIONS'!A1614" TargetMode="External" Id="rId1519"/><Relationship Type="http://schemas.openxmlformats.org/officeDocument/2006/relationships/hyperlink" Target="#'10 EVIDENCE &amp; DECISIONS'!A1615" TargetMode="External" Id="rId1520"/><Relationship Type="http://schemas.openxmlformats.org/officeDocument/2006/relationships/hyperlink" Target="#'10 EVIDENCE &amp; DECISIONS'!A1616" TargetMode="External" Id="rId1521"/><Relationship Type="http://schemas.openxmlformats.org/officeDocument/2006/relationships/hyperlink" Target="#'10 EVIDENCE &amp; DECISIONS'!A1617" TargetMode="External" Id="rId1522"/><Relationship Type="http://schemas.openxmlformats.org/officeDocument/2006/relationships/hyperlink" Target="#'10 EVIDENCE &amp; DECISIONS'!A1618" TargetMode="External" Id="rId1523"/><Relationship Type="http://schemas.openxmlformats.org/officeDocument/2006/relationships/hyperlink" Target="#'10 EVIDENCE &amp; DECISIONS'!A1619" TargetMode="External" Id="rId1524"/><Relationship Type="http://schemas.openxmlformats.org/officeDocument/2006/relationships/hyperlink" Target="#'10 EVIDENCE &amp; DECISIONS'!A1620" TargetMode="External" Id="rId1525"/><Relationship Type="http://schemas.openxmlformats.org/officeDocument/2006/relationships/hyperlink" Target="#'10 EVIDENCE &amp; DECISIONS'!A1621" TargetMode="External" Id="rId1526"/><Relationship Type="http://schemas.openxmlformats.org/officeDocument/2006/relationships/hyperlink" Target="#'10 EVIDENCE &amp; DECISIONS'!A1622" TargetMode="External" Id="rId1527"/><Relationship Type="http://schemas.openxmlformats.org/officeDocument/2006/relationships/hyperlink" Target="#'10 EVIDENCE &amp; DECISIONS'!A1623" TargetMode="External" Id="rId1528"/><Relationship Type="http://schemas.openxmlformats.org/officeDocument/2006/relationships/hyperlink" Target="#'10 EVIDENCE &amp; DECISIONS'!A1624" TargetMode="External" Id="rId1529"/><Relationship Type="http://schemas.openxmlformats.org/officeDocument/2006/relationships/hyperlink" Target="#'10 EVIDENCE &amp; DECISIONS'!A1625" TargetMode="External" Id="rId1530"/><Relationship Type="http://schemas.openxmlformats.org/officeDocument/2006/relationships/hyperlink" Target="#'10 EVIDENCE &amp; DECISIONS'!A1626" TargetMode="External" Id="rId1531"/><Relationship Type="http://schemas.openxmlformats.org/officeDocument/2006/relationships/hyperlink" Target="#'10 EVIDENCE &amp; DECISIONS'!A1627" TargetMode="External" Id="rId1532"/><Relationship Type="http://schemas.openxmlformats.org/officeDocument/2006/relationships/hyperlink" Target="#'10 EVIDENCE &amp; DECISIONS'!A1628" TargetMode="External" Id="rId1533"/><Relationship Type="http://schemas.openxmlformats.org/officeDocument/2006/relationships/hyperlink" Target="#'10 EVIDENCE &amp; DECISIONS'!A1367" TargetMode="External" Id="rId1534"/><Relationship Type="http://schemas.openxmlformats.org/officeDocument/2006/relationships/hyperlink" Target="#'10 EVIDENCE &amp; DECISIONS'!A1368" TargetMode="External" Id="rId1535"/><Relationship Type="http://schemas.openxmlformats.org/officeDocument/2006/relationships/hyperlink" Target="#'10 EVIDENCE &amp; DECISIONS'!A1369" TargetMode="External" Id="rId1536"/><Relationship Type="http://schemas.openxmlformats.org/officeDocument/2006/relationships/hyperlink" Target="#'10 EVIDENCE &amp; DECISIONS'!A1370" TargetMode="External" Id="rId1537"/><Relationship Type="http://schemas.openxmlformats.org/officeDocument/2006/relationships/hyperlink" Target="#'10 EVIDENCE &amp; DECISIONS'!A1371" TargetMode="External" Id="rId1538"/><Relationship Type="http://schemas.openxmlformats.org/officeDocument/2006/relationships/hyperlink" Target="#'10 EVIDENCE &amp; DECISIONS'!A1372" TargetMode="External" Id="rId1539"/><Relationship Type="http://schemas.openxmlformats.org/officeDocument/2006/relationships/hyperlink" Target="#'10 EVIDENCE &amp; DECISIONS'!A1373" TargetMode="External" Id="rId1540"/><Relationship Type="http://schemas.openxmlformats.org/officeDocument/2006/relationships/hyperlink" Target="#'10 EVIDENCE &amp; DECISIONS'!A1374" TargetMode="External" Id="rId1541"/><Relationship Type="http://schemas.openxmlformats.org/officeDocument/2006/relationships/hyperlink" Target="#'10 EVIDENCE &amp; DECISIONS'!A1375" TargetMode="External" Id="rId1542"/><Relationship Type="http://schemas.openxmlformats.org/officeDocument/2006/relationships/hyperlink" Target="#'10 EVIDENCE &amp; DECISIONS'!A1376" TargetMode="External" Id="rId1543"/><Relationship Type="http://schemas.openxmlformats.org/officeDocument/2006/relationships/hyperlink" Target="#'10 EVIDENCE &amp; DECISIONS'!A1377" TargetMode="External" Id="rId1544"/><Relationship Type="http://schemas.openxmlformats.org/officeDocument/2006/relationships/hyperlink" Target="#'10 EVIDENCE &amp; DECISIONS'!A1378" TargetMode="External" Id="rId1545"/><Relationship Type="http://schemas.openxmlformats.org/officeDocument/2006/relationships/hyperlink" Target="#'10 EVIDENCE &amp; DECISIONS'!A1379" TargetMode="External" Id="rId1546"/><Relationship Type="http://schemas.openxmlformats.org/officeDocument/2006/relationships/hyperlink" Target="#'10 EVIDENCE &amp; DECISIONS'!A1380" TargetMode="External" Id="rId1547"/><Relationship Type="http://schemas.openxmlformats.org/officeDocument/2006/relationships/hyperlink" Target="#'10 EVIDENCE &amp; DECISIONS'!A1381" TargetMode="External" Id="rId1548"/><Relationship Type="http://schemas.openxmlformats.org/officeDocument/2006/relationships/hyperlink" Target="#'10 EVIDENCE &amp; DECISIONS'!A1382" TargetMode="External" Id="rId1549"/><Relationship Type="http://schemas.openxmlformats.org/officeDocument/2006/relationships/hyperlink" Target="#'10 EVIDENCE &amp; DECISIONS'!A1383" TargetMode="External" Id="rId1550"/><Relationship Type="http://schemas.openxmlformats.org/officeDocument/2006/relationships/hyperlink" Target="#'10 EVIDENCE &amp; DECISIONS'!A1384" TargetMode="External" Id="rId1551"/><Relationship Type="http://schemas.openxmlformats.org/officeDocument/2006/relationships/hyperlink" Target="#'10 EVIDENCE &amp; DECISIONS'!A1385" TargetMode="External" Id="rId1552"/><Relationship Type="http://schemas.openxmlformats.org/officeDocument/2006/relationships/hyperlink" Target="#'10 EVIDENCE &amp; DECISIONS'!A1386" TargetMode="External" Id="rId1553"/><Relationship Type="http://schemas.openxmlformats.org/officeDocument/2006/relationships/hyperlink" Target="#'10 EVIDENCE &amp; DECISIONS'!A1387" TargetMode="External" Id="rId1554"/><Relationship Type="http://schemas.openxmlformats.org/officeDocument/2006/relationships/hyperlink" Target="#'10 EVIDENCE &amp; DECISIONS'!A1388" TargetMode="External" Id="rId1555"/><Relationship Type="http://schemas.openxmlformats.org/officeDocument/2006/relationships/hyperlink" Target="#'10 EVIDENCE &amp; DECISIONS'!A1389" TargetMode="External" Id="rId1556"/><Relationship Type="http://schemas.openxmlformats.org/officeDocument/2006/relationships/hyperlink" Target="#'10 EVIDENCE &amp; DECISIONS'!A1390" TargetMode="External" Id="rId1557"/><Relationship Type="http://schemas.openxmlformats.org/officeDocument/2006/relationships/hyperlink" Target="#'10 EVIDENCE &amp; DECISIONS'!A1391" TargetMode="External" Id="rId1558"/><Relationship Type="http://schemas.openxmlformats.org/officeDocument/2006/relationships/hyperlink" Target="#'10 EVIDENCE &amp; DECISIONS'!A1392" TargetMode="External" Id="rId1559"/><Relationship Type="http://schemas.openxmlformats.org/officeDocument/2006/relationships/hyperlink" Target="#'10 EVIDENCE &amp; DECISIONS'!A1393" TargetMode="External" Id="rId1560"/><Relationship Type="http://schemas.openxmlformats.org/officeDocument/2006/relationships/hyperlink" Target="#'10 EVIDENCE &amp; DECISIONS'!A1394" TargetMode="External" Id="rId1561"/><Relationship Type="http://schemas.openxmlformats.org/officeDocument/2006/relationships/hyperlink" Target="#'10 EVIDENCE &amp; DECISIONS'!A1395" TargetMode="External" Id="rId1562"/><Relationship Type="http://schemas.openxmlformats.org/officeDocument/2006/relationships/hyperlink" Target="#'10 EVIDENCE &amp; DECISIONS'!A1396" TargetMode="External" Id="rId1563"/><Relationship Type="http://schemas.openxmlformats.org/officeDocument/2006/relationships/hyperlink" Target="#'10 EVIDENCE &amp; DECISIONS'!A1397" TargetMode="External" Id="rId1564"/><Relationship Type="http://schemas.openxmlformats.org/officeDocument/2006/relationships/hyperlink" Target="#'10 EVIDENCE &amp; DECISIONS'!A1398" TargetMode="External" Id="rId1565"/><Relationship Type="http://schemas.openxmlformats.org/officeDocument/2006/relationships/hyperlink" Target="#'10 EVIDENCE &amp; DECISIONS'!A1399" TargetMode="External" Id="rId1566"/><Relationship Type="http://schemas.openxmlformats.org/officeDocument/2006/relationships/hyperlink" Target="#'10 EVIDENCE &amp; DECISIONS'!A1400" TargetMode="External" Id="rId1567"/><Relationship Type="http://schemas.openxmlformats.org/officeDocument/2006/relationships/hyperlink" Target="#'10 EVIDENCE &amp; DECISIONS'!A1401" TargetMode="External" Id="rId1568"/><Relationship Type="http://schemas.openxmlformats.org/officeDocument/2006/relationships/hyperlink" Target="#'10 EVIDENCE &amp; DECISIONS'!A1402" TargetMode="External" Id="rId1569"/><Relationship Type="http://schemas.openxmlformats.org/officeDocument/2006/relationships/hyperlink" Target="#'10 EVIDENCE &amp; DECISIONS'!A1403" TargetMode="External" Id="rId1570"/><Relationship Type="http://schemas.openxmlformats.org/officeDocument/2006/relationships/hyperlink" Target="#'10 EVIDENCE &amp; DECISIONS'!A1404" TargetMode="External" Id="rId1571"/><Relationship Type="http://schemas.openxmlformats.org/officeDocument/2006/relationships/hyperlink" Target="#'10 EVIDENCE &amp; DECISIONS'!A1405" TargetMode="External" Id="rId1572"/><Relationship Type="http://schemas.openxmlformats.org/officeDocument/2006/relationships/hyperlink" Target="#'10 EVIDENCE &amp; DECISIONS'!A1406" TargetMode="External" Id="rId1573"/><Relationship Type="http://schemas.openxmlformats.org/officeDocument/2006/relationships/hyperlink" Target="#'10 EVIDENCE &amp; DECISIONS'!A1407" TargetMode="External" Id="rId1574"/><Relationship Type="http://schemas.openxmlformats.org/officeDocument/2006/relationships/hyperlink" Target="#'10 EVIDENCE &amp; DECISIONS'!A1408" TargetMode="External" Id="rId1575"/><Relationship Type="http://schemas.openxmlformats.org/officeDocument/2006/relationships/hyperlink" Target="#'10 EVIDENCE &amp; DECISIONS'!A1409" TargetMode="External" Id="rId1576"/><Relationship Type="http://schemas.openxmlformats.org/officeDocument/2006/relationships/hyperlink" Target="#'10 EVIDENCE &amp; DECISIONS'!A1410" TargetMode="External" Id="rId1577"/><Relationship Type="http://schemas.openxmlformats.org/officeDocument/2006/relationships/hyperlink" Target="#'10 EVIDENCE &amp; DECISIONS'!A1411" TargetMode="External" Id="rId1578"/><Relationship Type="http://schemas.openxmlformats.org/officeDocument/2006/relationships/hyperlink" Target="#'10 EVIDENCE &amp; DECISIONS'!A1412" TargetMode="External" Id="rId1579"/><Relationship Type="http://schemas.openxmlformats.org/officeDocument/2006/relationships/hyperlink" Target="#'10 EVIDENCE &amp; DECISIONS'!A1413" TargetMode="External" Id="rId1580"/><Relationship Type="http://schemas.openxmlformats.org/officeDocument/2006/relationships/hyperlink" Target="#'10 EVIDENCE &amp; DECISIONS'!A1414" TargetMode="External" Id="rId1581"/><Relationship Type="http://schemas.openxmlformats.org/officeDocument/2006/relationships/hyperlink" Target="#'10 EVIDENCE &amp; DECISIONS'!A1415" TargetMode="External" Id="rId1582"/><Relationship Type="http://schemas.openxmlformats.org/officeDocument/2006/relationships/hyperlink" Target="#'10 EVIDENCE &amp; DECISIONS'!A1416" TargetMode="External" Id="rId1583"/><Relationship Type="http://schemas.openxmlformats.org/officeDocument/2006/relationships/hyperlink" Target="#'10 EVIDENCE &amp; DECISIONS'!A1417" TargetMode="External" Id="rId1584"/><Relationship Type="http://schemas.openxmlformats.org/officeDocument/2006/relationships/hyperlink" Target="#'10 EVIDENCE &amp; DECISIONS'!A1418" TargetMode="External" Id="rId1585"/><Relationship Type="http://schemas.openxmlformats.org/officeDocument/2006/relationships/hyperlink" Target="#'10 EVIDENCE &amp; DECISIONS'!A1419" TargetMode="External" Id="rId1586"/><Relationship Type="http://schemas.openxmlformats.org/officeDocument/2006/relationships/hyperlink" Target="#'10 EVIDENCE &amp; DECISIONS'!A1420" TargetMode="External" Id="rId1587"/><Relationship Type="http://schemas.openxmlformats.org/officeDocument/2006/relationships/hyperlink" Target="#'10 EVIDENCE &amp; DECISIONS'!A1421" TargetMode="External" Id="rId1588"/><Relationship Type="http://schemas.openxmlformats.org/officeDocument/2006/relationships/hyperlink" Target="#'10 EVIDENCE &amp; DECISIONS'!A1422" TargetMode="External" Id="rId1589"/><Relationship Type="http://schemas.openxmlformats.org/officeDocument/2006/relationships/hyperlink" Target="#'10 EVIDENCE &amp; DECISIONS'!A1423" TargetMode="External" Id="rId1590"/><Relationship Type="http://schemas.openxmlformats.org/officeDocument/2006/relationships/hyperlink" Target="#'10 EVIDENCE &amp; DECISIONS'!A1424" TargetMode="External" Id="rId1591"/><Relationship Type="http://schemas.openxmlformats.org/officeDocument/2006/relationships/hyperlink" Target="#'10 EVIDENCE &amp; DECISIONS'!A1425" TargetMode="External" Id="rId1592"/><Relationship Type="http://schemas.openxmlformats.org/officeDocument/2006/relationships/hyperlink" Target="#'10 EVIDENCE &amp; DECISIONS'!A1426" TargetMode="External" Id="rId1593"/><Relationship Type="http://schemas.openxmlformats.org/officeDocument/2006/relationships/hyperlink" Target="#'10 EVIDENCE &amp; DECISIONS'!A1427" TargetMode="External" Id="rId1594"/><Relationship Type="http://schemas.openxmlformats.org/officeDocument/2006/relationships/hyperlink" Target="#'10 EVIDENCE &amp; DECISIONS'!A1428" TargetMode="External" Id="rId1595"/><Relationship Type="http://schemas.openxmlformats.org/officeDocument/2006/relationships/hyperlink" Target="#'10 EVIDENCE &amp; DECISIONS'!A1429" TargetMode="External" Id="rId1596"/><Relationship Type="http://schemas.openxmlformats.org/officeDocument/2006/relationships/hyperlink" Target="#'10 EVIDENCE &amp; DECISIONS'!A1430" TargetMode="External" Id="rId1597"/><Relationship Type="http://schemas.openxmlformats.org/officeDocument/2006/relationships/hyperlink" Target="#'10 EVIDENCE &amp; DECISIONS'!A1431" TargetMode="External" Id="rId1598"/><Relationship Type="http://schemas.openxmlformats.org/officeDocument/2006/relationships/hyperlink" Target="#'10 EVIDENCE &amp; DECISIONS'!A1432" TargetMode="External" Id="rId1599"/><Relationship Type="http://schemas.openxmlformats.org/officeDocument/2006/relationships/hyperlink" Target="#'10 EVIDENCE &amp; DECISIONS'!A1433" TargetMode="External" Id="rId1600"/><Relationship Type="http://schemas.openxmlformats.org/officeDocument/2006/relationships/hyperlink" Target="#'10 EVIDENCE &amp; DECISIONS'!A1434" TargetMode="External" Id="rId1601"/><Relationship Type="http://schemas.openxmlformats.org/officeDocument/2006/relationships/hyperlink" Target="#'10 EVIDENCE &amp; DECISIONS'!A1435" TargetMode="External" Id="rId1602"/><Relationship Type="http://schemas.openxmlformats.org/officeDocument/2006/relationships/hyperlink" Target="#'10 EVIDENCE &amp; DECISIONS'!A1436" TargetMode="External" Id="rId1603"/><Relationship Type="http://schemas.openxmlformats.org/officeDocument/2006/relationships/hyperlink" Target="#'10 EVIDENCE &amp; DECISIONS'!A1437" TargetMode="External" Id="rId1604"/><Relationship Type="http://schemas.openxmlformats.org/officeDocument/2006/relationships/hyperlink" Target="#'10 EVIDENCE &amp; DECISIONS'!A1438" TargetMode="External" Id="rId1605"/><Relationship Type="http://schemas.openxmlformats.org/officeDocument/2006/relationships/hyperlink" Target="#'10 EVIDENCE &amp; DECISIONS'!A1439" TargetMode="External" Id="rId1606"/><Relationship Type="http://schemas.openxmlformats.org/officeDocument/2006/relationships/hyperlink" Target="#'10 EVIDENCE &amp; DECISIONS'!A1440" TargetMode="External" Id="rId1607"/><Relationship Type="http://schemas.openxmlformats.org/officeDocument/2006/relationships/hyperlink" Target="#'10 EVIDENCE &amp; DECISIONS'!A1441" TargetMode="External" Id="rId1608"/><Relationship Type="http://schemas.openxmlformats.org/officeDocument/2006/relationships/hyperlink" Target="#'10 EVIDENCE &amp; DECISIONS'!A1442" TargetMode="External" Id="rId1609"/><Relationship Type="http://schemas.openxmlformats.org/officeDocument/2006/relationships/hyperlink" Target="#'10 EVIDENCE &amp; DECISIONS'!A1443" TargetMode="External" Id="rId1610"/><Relationship Type="http://schemas.openxmlformats.org/officeDocument/2006/relationships/hyperlink" Target="#'10 EVIDENCE &amp; DECISIONS'!A1444" TargetMode="External" Id="rId1611"/><Relationship Type="http://schemas.openxmlformats.org/officeDocument/2006/relationships/hyperlink" Target="#'10 EVIDENCE &amp; DECISIONS'!A1445" TargetMode="External" Id="rId1612"/><Relationship Type="http://schemas.openxmlformats.org/officeDocument/2006/relationships/hyperlink" Target="#'10 EVIDENCE &amp; DECISIONS'!A1446" TargetMode="External" Id="rId1613"/><Relationship Type="http://schemas.openxmlformats.org/officeDocument/2006/relationships/hyperlink" Target="#'10 EVIDENCE &amp; DECISIONS'!A1447" TargetMode="External" Id="rId1614"/><Relationship Type="http://schemas.openxmlformats.org/officeDocument/2006/relationships/hyperlink" Target="#'10 EVIDENCE &amp; DECISIONS'!A1448" TargetMode="External" Id="rId1615"/><Relationship Type="http://schemas.openxmlformats.org/officeDocument/2006/relationships/hyperlink" Target="#'10 EVIDENCE &amp; DECISIONS'!A1449" TargetMode="External" Id="rId1616"/><Relationship Type="http://schemas.openxmlformats.org/officeDocument/2006/relationships/hyperlink" Target="#'10 EVIDENCE &amp; DECISIONS'!A1450" TargetMode="External" Id="rId1617"/><Relationship Type="http://schemas.openxmlformats.org/officeDocument/2006/relationships/hyperlink" Target="#'10 EVIDENCE &amp; DECISIONS'!A1451" TargetMode="External" Id="rId1618"/><Relationship Type="http://schemas.openxmlformats.org/officeDocument/2006/relationships/hyperlink" Target="#'10 EVIDENCE &amp; DECISIONS'!A1452" TargetMode="External" Id="rId1619"/><Relationship Type="http://schemas.openxmlformats.org/officeDocument/2006/relationships/hyperlink" Target="#'10 EVIDENCE &amp; DECISIONS'!A1453" TargetMode="External" Id="rId1620"/><Relationship Type="http://schemas.openxmlformats.org/officeDocument/2006/relationships/hyperlink" Target="#'10 EVIDENCE &amp; DECISIONS'!A1454" TargetMode="External" Id="rId1621"/><Relationship Type="http://schemas.openxmlformats.org/officeDocument/2006/relationships/hyperlink" Target="#'10 EVIDENCE &amp; DECISIONS'!A1455" TargetMode="External" Id="rId1622"/><Relationship Type="http://schemas.openxmlformats.org/officeDocument/2006/relationships/hyperlink" Target="#'10 EVIDENCE &amp; DECISIONS'!A1456" TargetMode="External" Id="rId1623"/><Relationship Type="http://schemas.openxmlformats.org/officeDocument/2006/relationships/hyperlink" Target="#'10 EVIDENCE &amp; DECISIONS'!A1457" TargetMode="External" Id="rId1624"/><Relationship Type="http://schemas.openxmlformats.org/officeDocument/2006/relationships/hyperlink" Target="#'10 EVIDENCE &amp; DECISIONS'!A1458" TargetMode="External" Id="rId1625"/><Relationship Type="http://schemas.openxmlformats.org/officeDocument/2006/relationships/hyperlink" Target="#'10 EVIDENCE &amp; DECISIONS'!A1459" TargetMode="External" Id="rId1626"/><Relationship Type="http://schemas.openxmlformats.org/officeDocument/2006/relationships/hyperlink" Target="#'10 EVIDENCE &amp; DECISIONS'!A1460" TargetMode="External" Id="rId1627"/><Relationship Type="http://schemas.openxmlformats.org/officeDocument/2006/relationships/hyperlink" Target="#'10 EVIDENCE &amp; DECISIONS'!A1461" TargetMode="External" Id="rId1628"/><Relationship Type="http://schemas.openxmlformats.org/officeDocument/2006/relationships/hyperlink" Target="#'10 EVIDENCE &amp; DECISIONS'!A1462" TargetMode="External" Id="rId1629"/><Relationship Type="http://schemas.openxmlformats.org/officeDocument/2006/relationships/hyperlink" Target="#'10 EVIDENCE &amp; DECISIONS'!A1463" TargetMode="External" Id="rId1630"/><Relationship Type="http://schemas.openxmlformats.org/officeDocument/2006/relationships/hyperlink" Target="#'10 EVIDENCE &amp; DECISIONS'!A1464" TargetMode="External" Id="rId1631"/><Relationship Type="http://schemas.openxmlformats.org/officeDocument/2006/relationships/hyperlink" Target="#'10 EVIDENCE &amp; DECISIONS'!A1465" TargetMode="External" Id="rId1632"/><Relationship Type="http://schemas.openxmlformats.org/officeDocument/2006/relationships/hyperlink" Target="#'10 EVIDENCE &amp; DECISIONS'!A1466" TargetMode="External" Id="rId1633"/><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8.xml.rels><Relationships xmlns="http://schemas.openxmlformats.org/package/2006/relationships"><Relationship Type="http://schemas.openxmlformats.org/officeDocument/2006/relationships/hyperlink" Target="#'03 EXECUTIVE VIEW'!K208" TargetMode="External" Id="rId1"/><Relationship Type="http://schemas.openxmlformats.org/officeDocument/2006/relationships/hyperlink" Target="#'04 ISSUES FOR REVIEW'!A1" TargetMode="External" Id="rId2"/><Relationship Type="http://schemas.openxmlformats.org/officeDocument/2006/relationships/hyperlink" Target="#'05 INTEGRATION HEALTH'!A1" TargetMode="External" Id="rId3"/><Relationship Type="http://schemas.openxmlformats.org/officeDocument/2006/relationships/hyperlink" Target="#'06 INTEGRATED PROJECT'!A1" TargetMode="External" Id="rId4"/><Relationship Type="http://schemas.openxmlformats.org/officeDocument/2006/relationships/hyperlink" Target="#'07 CHANGES &amp; REVALIDATION'!A1" TargetMode="External" Id="rId5"/><Relationship Type="http://schemas.openxmlformats.org/officeDocument/2006/relationships/hyperlink" Target="#'08 CROSSWALK'!A1" TargetMode="External" Id="rId6"/><Relationship Type="http://schemas.openxmlformats.org/officeDocument/2006/relationships/hyperlink" Target="#'10 EVIDENCE &amp; DECISIONS'!A1" TargetMode="External" Id="rId7"/><Relationship Type="http://schemas.openxmlformats.org/officeDocument/2006/relationships/hyperlink" Target="#'11 SOURCES &amp; PROVENANCE'!A1" TargetMode="External" Id="rId8"/><Relationship Type="http://schemas.openxmlformats.org/officeDocument/2006/relationships/hyperlink" Target="#'10 EVIDENCE &amp; DECISIONS'!A6" TargetMode="External" Id="rId9"/><Relationship Type="http://schemas.openxmlformats.org/officeDocument/2006/relationships/hyperlink" Target="#'10 EVIDENCE &amp; DECISIONS'!A7" TargetMode="External" Id="rId10"/><Relationship Type="http://schemas.openxmlformats.org/officeDocument/2006/relationships/hyperlink" Target="#'10 EVIDENCE &amp; DECISIONS'!A8" TargetMode="External" Id="rId11"/><Relationship Type="http://schemas.openxmlformats.org/officeDocument/2006/relationships/hyperlink" Target="#'10 EVIDENCE &amp; DECISIONS'!A9" TargetMode="External" Id="rId12"/><Relationship Type="http://schemas.openxmlformats.org/officeDocument/2006/relationships/hyperlink" Target="#'10 EVIDENCE &amp; DECISIONS'!A10" TargetMode="External" Id="rId13"/><Relationship Type="http://schemas.openxmlformats.org/officeDocument/2006/relationships/hyperlink" Target="#'10 EVIDENCE &amp; DECISIONS'!A11" TargetMode="External" Id="rId14"/><Relationship Type="http://schemas.openxmlformats.org/officeDocument/2006/relationships/hyperlink" Target="#'10 EVIDENCE &amp; DECISIONS'!A12" TargetMode="External" Id="rId15"/><Relationship Type="http://schemas.openxmlformats.org/officeDocument/2006/relationships/hyperlink" Target="#'10 EVIDENCE &amp; DECISIONS'!A13" TargetMode="External" Id="rId16"/><Relationship Type="http://schemas.openxmlformats.org/officeDocument/2006/relationships/hyperlink" Target="#'10 EVIDENCE &amp; DECISIONS'!A14" TargetMode="External" Id="rId17"/><Relationship Type="http://schemas.openxmlformats.org/officeDocument/2006/relationships/hyperlink" Target="#'10 EVIDENCE &amp; DECISIONS'!A15" TargetMode="External" Id="rId18"/><Relationship Type="http://schemas.openxmlformats.org/officeDocument/2006/relationships/hyperlink" Target="#'10 EVIDENCE &amp; DECISIONS'!A16" TargetMode="External" Id="rId19"/><Relationship Type="http://schemas.openxmlformats.org/officeDocument/2006/relationships/hyperlink" Target="#'10 EVIDENCE &amp; DECISIONS'!A17" TargetMode="External" Id="rId20"/><Relationship Type="http://schemas.openxmlformats.org/officeDocument/2006/relationships/hyperlink" Target="#'10 EVIDENCE &amp; DECISIONS'!A18" TargetMode="External" Id="rId21"/><Relationship Type="http://schemas.openxmlformats.org/officeDocument/2006/relationships/hyperlink" Target="#'10 EVIDENCE &amp; DECISIONS'!A19" TargetMode="External" Id="rId22"/><Relationship Type="http://schemas.openxmlformats.org/officeDocument/2006/relationships/hyperlink" Target="#'10 EVIDENCE &amp; DECISIONS'!A20" TargetMode="External" Id="rId23"/><Relationship Type="http://schemas.openxmlformats.org/officeDocument/2006/relationships/hyperlink" Target="#'10 EVIDENCE &amp; DECISIONS'!A21" TargetMode="External" Id="rId24"/><Relationship Type="http://schemas.openxmlformats.org/officeDocument/2006/relationships/hyperlink" Target="#'10 EVIDENCE &amp; DECISIONS'!A22" TargetMode="External" Id="rId25"/><Relationship Type="http://schemas.openxmlformats.org/officeDocument/2006/relationships/hyperlink" Target="#'10 EVIDENCE &amp; DECISIONS'!A23" TargetMode="External" Id="rId26"/><Relationship Type="http://schemas.openxmlformats.org/officeDocument/2006/relationships/hyperlink" Target="#'10 EVIDENCE &amp; DECISIONS'!A24" TargetMode="External" Id="rId27"/><Relationship Type="http://schemas.openxmlformats.org/officeDocument/2006/relationships/hyperlink" Target="#'10 EVIDENCE &amp; DECISIONS'!A25" TargetMode="External" Id="rId28"/><Relationship Type="http://schemas.openxmlformats.org/officeDocument/2006/relationships/hyperlink" Target="#'10 EVIDENCE &amp; DECISIONS'!A26" TargetMode="External" Id="rId29"/><Relationship Type="http://schemas.openxmlformats.org/officeDocument/2006/relationships/hyperlink" Target="#'10 EVIDENCE &amp; DECISIONS'!A27" TargetMode="External" Id="rId30"/><Relationship Type="http://schemas.openxmlformats.org/officeDocument/2006/relationships/hyperlink" Target="#'10 EVIDENCE &amp; DECISIONS'!A28" TargetMode="External" Id="rId31"/><Relationship Type="http://schemas.openxmlformats.org/officeDocument/2006/relationships/hyperlink" Target="#'10 EVIDENCE &amp; DECISIONS'!A29" TargetMode="External" Id="rId32"/><Relationship Type="http://schemas.openxmlformats.org/officeDocument/2006/relationships/hyperlink" Target="#'10 EVIDENCE &amp; DECISIONS'!A30" TargetMode="External" Id="rId33"/><Relationship Type="http://schemas.openxmlformats.org/officeDocument/2006/relationships/hyperlink" Target="#'10 EVIDENCE &amp; DECISIONS'!A31" TargetMode="External" Id="rId34"/><Relationship Type="http://schemas.openxmlformats.org/officeDocument/2006/relationships/hyperlink" Target="#'10 EVIDENCE &amp; DECISIONS'!A32" TargetMode="External" Id="rId35"/><Relationship Type="http://schemas.openxmlformats.org/officeDocument/2006/relationships/hyperlink" Target="#'10 EVIDENCE &amp; DECISIONS'!A33" TargetMode="External" Id="rId36"/><Relationship Type="http://schemas.openxmlformats.org/officeDocument/2006/relationships/hyperlink" Target="#'10 EVIDENCE &amp; DECISIONS'!A34" TargetMode="External" Id="rId37"/><Relationship Type="http://schemas.openxmlformats.org/officeDocument/2006/relationships/hyperlink" Target="#'10 EVIDENCE &amp; DECISIONS'!A35" TargetMode="External" Id="rId38"/><Relationship Type="http://schemas.openxmlformats.org/officeDocument/2006/relationships/hyperlink" Target="#'10 EVIDENCE &amp; DECISIONS'!A36" TargetMode="External" Id="rId39"/><Relationship Type="http://schemas.openxmlformats.org/officeDocument/2006/relationships/hyperlink" Target="#'10 EVIDENCE &amp; DECISIONS'!A37" TargetMode="External" Id="rId40"/><Relationship Type="http://schemas.openxmlformats.org/officeDocument/2006/relationships/hyperlink" Target="#'10 EVIDENCE &amp; DECISIONS'!A38" TargetMode="External" Id="rId41"/><Relationship Type="http://schemas.openxmlformats.org/officeDocument/2006/relationships/hyperlink" Target="#'10 EVIDENCE &amp; DECISIONS'!A39" TargetMode="External" Id="rId42"/><Relationship Type="http://schemas.openxmlformats.org/officeDocument/2006/relationships/hyperlink" Target="#'10 EVIDENCE &amp; DECISIONS'!A40" TargetMode="External" Id="rId43"/><Relationship Type="http://schemas.openxmlformats.org/officeDocument/2006/relationships/hyperlink" Target="#'10 EVIDENCE &amp; DECISIONS'!A41" TargetMode="External" Id="rId44"/><Relationship Type="http://schemas.openxmlformats.org/officeDocument/2006/relationships/hyperlink" Target="#'10 EVIDENCE &amp; DECISIONS'!A42" TargetMode="External" Id="rId45"/><Relationship Type="http://schemas.openxmlformats.org/officeDocument/2006/relationships/hyperlink" Target="#'10 EVIDENCE &amp; DECISIONS'!A43" TargetMode="External" Id="rId46"/><Relationship Type="http://schemas.openxmlformats.org/officeDocument/2006/relationships/hyperlink" Target="#'10 EVIDENCE &amp; DECISIONS'!A44" TargetMode="External" Id="rId47"/><Relationship Type="http://schemas.openxmlformats.org/officeDocument/2006/relationships/hyperlink" Target="#'10 EVIDENCE &amp; DECISIONS'!A45" TargetMode="External" Id="rId48"/><Relationship Type="http://schemas.openxmlformats.org/officeDocument/2006/relationships/hyperlink" Target="#'10 EVIDENCE &amp; DECISIONS'!A46" TargetMode="External" Id="rId49"/><Relationship Type="http://schemas.openxmlformats.org/officeDocument/2006/relationships/hyperlink" Target="#'10 EVIDENCE &amp; DECISIONS'!A47" TargetMode="External" Id="rId50"/><Relationship Type="http://schemas.openxmlformats.org/officeDocument/2006/relationships/hyperlink" Target="#'10 EVIDENCE &amp; DECISIONS'!A48" TargetMode="External" Id="rId51"/><Relationship Type="http://schemas.openxmlformats.org/officeDocument/2006/relationships/hyperlink" Target="#'10 EVIDENCE &amp; DECISIONS'!A49" TargetMode="External" Id="rId52"/><Relationship Type="http://schemas.openxmlformats.org/officeDocument/2006/relationships/hyperlink" Target="#'10 EVIDENCE &amp; DECISIONS'!A50" TargetMode="External" Id="rId53"/><Relationship Type="http://schemas.openxmlformats.org/officeDocument/2006/relationships/hyperlink" Target="#'10 EVIDENCE &amp; DECISIONS'!A51" TargetMode="External" Id="rId54"/><Relationship Type="http://schemas.openxmlformats.org/officeDocument/2006/relationships/hyperlink" Target="#'10 EVIDENCE &amp; DECISIONS'!A52" TargetMode="External" Id="rId55"/><Relationship Type="http://schemas.openxmlformats.org/officeDocument/2006/relationships/hyperlink" Target="#'10 EVIDENCE &amp; DECISIONS'!A53" TargetMode="External" Id="rId56"/><Relationship Type="http://schemas.openxmlformats.org/officeDocument/2006/relationships/hyperlink" Target="#'10 EVIDENCE &amp; DECISIONS'!A54" TargetMode="External" Id="rId57"/><Relationship Type="http://schemas.openxmlformats.org/officeDocument/2006/relationships/hyperlink" Target="#'10 EVIDENCE &amp; DECISIONS'!A55" TargetMode="External" Id="rId58"/><Relationship Type="http://schemas.openxmlformats.org/officeDocument/2006/relationships/hyperlink" Target="#'10 EVIDENCE &amp; DECISIONS'!A56" TargetMode="External" Id="rId59"/><Relationship Type="http://schemas.openxmlformats.org/officeDocument/2006/relationships/hyperlink" Target="#'10 EVIDENCE &amp; DECISIONS'!A57" TargetMode="External" Id="rId60"/><Relationship Type="http://schemas.openxmlformats.org/officeDocument/2006/relationships/hyperlink" Target="#'10 EVIDENCE &amp; DECISIONS'!A58" TargetMode="External" Id="rId61"/><Relationship Type="http://schemas.openxmlformats.org/officeDocument/2006/relationships/hyperlink" Target="#'10 EVIDENCE &amp; DECISIONS'!A59" TargetMode="External" Id="rId62"/><Relationship Type="http://schemas.openxmlformats.org/officeDocument/2006/relationships/hyperlink" Target="#'10 EVIDENCE &amp; DECISIONS'!A60" TargetMode="External" Id="rId63"/><Relationship Type="http://schemas.openxmlformats.org/officeDocument/2006/relationships/hyperlink" Target="#'10 EVIDENCE &amp; DECISIONS'!A61" TargetMode="External" Id="rId64"/><Relationship Type="http://schemas.openxmlformats.org/officeDocument/2006/relationships/hyperlink" Target="#'10 EVIDENCE &amp; DECISIONS'!A62" TargetMode="External" Id="rId65"/><Relationship Type="http://schemas.openxmlformats.org/officeDocument/2006/relationships/hyperlink" Target="#'10 EVIDENCE &amp; DECISIONS'!A63" TargetMode="External" Id="rId66"/><Relationship Type="http://schemas.openxmlformats.org/officeDocument/2006/relationships/hyperlink" Target="#'10 EVIDENCE &amp; DECISIONS'!A64" TargetMode="External" Id="rId67"/><Relationship Type="http://schemas.openxmlformats.org/officeDocument/2006/relationships/hyperlink" Target="#'10 EVIDENCE &amp; DECISIONS'!A65" TargetMode="External" Id="rId68"/><Relationship Type="http://schemas.openxmlformats.org/officeDocument/2006/relationships/hyperlink" Target="#'10 EVIDENCE &amp; DECISIONS'!A66" TargetMode="External" Id="rId69"/><Relationship Type="http://schemas.openxmlformats.org/officeDocument/2006/relationships/hyperlink" Target="#'10 EVIDENCE &amp; DECISIONS'!A67" TargetMode="External" Id="rId70"/><Relationship Type="http://schemas.openxmlformats.org/officeDocument/2006/relationships/hyperlink" Target="#'10 EVIDENCE &amp; DECISIONS'!A68" TargetMode="External" Id="rId71"/><Relationship Type="http://schemas.openxmlformats.org/officeDocument/2006/relationships/hyperlink" Target="#'10 EVIDENCE &amp; DECISIONS'!A69" TargetMode="External" Id="rId72"/><Relationship Type="http://schemas.openxmlformats.org/officeDocument/2006/relationships/hyperlink" Target="#'10 EVIDENCE &amp; DECISIONS'!A70" TargetMode="External" Id="rId73"/><Relationship Type="http://schemas.openxmlformats.org/officeDocument/2006/relationships/hyperlink" Target="#'10 EVIDENCE &amp; DECISIONS'!A71" TargetMode="External" Id="rId74"/><Relationship Type="http://schemas.openxmlformats.org/officeDocument/2006/relationships/hyperlink" Target="#'10 EVIDENCE &amp; DECISIONS'!A72" TargetMode="External" Id="rId75"/><Relationship Type="http://schemas.openxmlformats.org/officeDocument/2006/relationships/hyperlink" Target="#'10 EVIDENCE &amp; DECISIONS'!A73" TargetMode="External" Id="rId76"/><Relationship Type="http://schemas.openxmlformats.org/officeDocument/2006/relationships/hyperlink" Target="#'10 EVIDENCE &amp; DECISIONS'!A74" TargetMode="External" Id="rId77"/><Relationship Type="http://schemas.openxmlformats.org/officeDocument/2006/relationships/hyperlink" Target="#'10 EVIDENCE &amp; DECISIONS'!A75" TargetMode="External" Id="rId78"/><Relationship Type="http://schemas.openxmlformats.org/officeDocument/2006/relationships/hyperlink" Target="#'10 EVIDENCE &amp; DECISIONS'!A76" TargetMode="External" Id="rId79"/><Relationship Type="http://schemas.openxmlformats.org/officeDocument/2006/relationships/hyperlink" Target="#'10 EVIDENCE &amp; DECISIONS'!A77" TargetMode="External" Id="rId80"/><Relationship Type="http://schemas.openxmlformats.org/officeDocument/2006/relationships/hyperlink" Target="#'10 EVIDENCE &amp; DECISIONS'!A78" TargetMode="External" Id="rId81"/><Relationship Type="http://schemas.openxmlformats.org/officeDocument/2006/relationships/hyperlink" Target="#'10 EVIDENCE &amp; DECISIONS'!A79" TargetMode="External" Id="rId82"/><Relationship Type="http://schemas.openxmlformats.org/officeDocument/2006/relationships/hyperlink" Target="#'10 EVIDENCE &amp; DECISIONS'!A80" TargetMode="External" Id="rId83"/><Relationship Type="http://schemas.openxmlformats.org/officeDocument/2006/relationships/hyperlink" Target="#'10 EVIDENCE &amp; DECISIONS'!A81" TargetMode="External" Id="rId84"/><Relationship Type="http://schemas.openxmlformats.org/officeDocument/2006/relationships/hyperlink" Target="#'10 EVIDENCE &amp; DECISIONS'!A82" TargetMode="External" Id="rId85"/><Relationship Type="http://schemas.openxmlformats.org/officeDocument/2006/relationships/hyperlink" Target="#'10 EVIDENCE &amp; DECISIONS'!A83" TargetMode="External" Id="rId86"/><Relationship Type="http://schemas.openxmlformats.org/officeDocument/2006/relationships/hyperlink" Target="#'10 EVIDENCE &amp; DECISIONS'!A84" TargetMode="External" Id="rId87"/><Relationship Type="http://schemas.openxmlformats.org/officeDocument/2006/relationships/hyperlink" Target="#'10 EVIDENCE &amp; DECISIONS'!A85" TargetMode="External" Id="rId88"/><Relationship Type="http://schemas.openxmlformats.org/officeDocument/2006/relationships/hyperlink" Target="#'10 EVIDENCE &amp; DECISIONS'!A86" TargetMode="External" Id="rId89"/><Relationship Type="http://schemas.openxmlformats.org/officeDocument/2006/relationships/hyperlink" Target="#'10 EVIDENCE &amp; DECISIONS'!A87" TargetMode="External" Id="rId90"/><Relationship Type="http://schemas.openxmlformats.org/officeDocument/2006/relationships/hyperlink" Target="#'10 EVIDENCE &amp; DECISIONS'!A88" TargetMode="External" Id="rId91"/><Relationship Type="http://schemas.openxmlformats.org/officeDocument/2006/relationships/hyperlink" Target="#'10 EVIDENCE &amp; DECISIONS'!A89" TargetMode="External" Id="rId92"/><Relationship Type="http://schemas.openxmlformats.org/officeDocument/2006/relationships/hyperlink" Target="#'10 EVIDENCE &amp; DECISIONS'!A90" TargetMode="External" Id="rId93"/><Relationship Type="http://schemas.openxmlformats.org/officeDocument/2006/relationships/hyperlink" Target="#'10 EVIDENCE &amp; DECISIONS'!A91" TargetMode="External" Id="rId94"/><Relationship Type="http://schemas.openxmlformats.org/officeDocument/2006/relationships/hyperlink" Target="#'10 EVIDENCE &amp; DECISIONS'!A92" TargetMode="External" Id="rId95"/><Relationship Type="http://schemas.openxmlformats.org/officeDocument/2006/relationships/hyperlink" Target="#'10 EVIDENCE &amp; DECISIONS'!A93" TargetMode="External" Id="rId96"/><Relationship Type="http://schemas.openxmlformats.org/officeDocument/2006/relationships/hyperlink" Target="#'10 EVIDENCE &amp; DECISIONS'!A94" TargetMode="External" Id="rId97"/><Relationship Type="http://schemas.openxmlformats.org/officeDocument/2006/relationships/hyperlink" Target="#'10 EVIDENCE &amp; DECISIONS'!A95" TargetMode="External" Id="rId98"/><Relationship Type="http://schemas.openxmlformats.org/officeDocument/2006/relationships/hyperlink" Target="#'10 EVIDENCE &amp; DECISIONS'!A96" TargetMode="External" Id="rId99"/><Relationship Type="http://schemas.openxmlformats.org/officeDocument/2006/relationships/hyperlink" Target="#'10 EVIDENCE &amp; DECISIONS'!A97" TargetMode="External" Id="rId100"/><Relationship Type="http://schemas.openxmlformats.org/officeDocument/2006/relationships/hyperlink" Target="#'10 EVIDENCE &amp; DECISIONS'!A98" TargetMode="External" Id="rId101"/><Relationship Type="http://schemas.openxmlformats.org/officeDocument/2006/relationships/hyperlink" Target="#'10 EVIDENCE &amp; DECISIONS'!A99" TargetMode="External" Id="rId102"/><Relationship Type="http://schemas.openxmlformats.org/officeDocument/2006/relationships/hyperlink" Target="#'10 EVIDENCE &amp; DECISIONS'!A100" TargetMode="External" Id="rId103"/><Relationship Type="http://schemas.openxmlformats.org/officeDocument/2006/relationships/hyperlink" Target="#'10 EVIDENCE &amp; DECISIONS'!A101" TargetMode="External" Id="rId104"/><Relationship Type="http://schemas.openxmlformats.org/officeDocument/2006/relationships/hyperlink" Target="#'10 EVIDENCE &amp; DECISIONS'!A102" TargetMode="External" Id="rId105"/><Relationship Type="http://schemas.openxmlformats.org/officeDocument/2006/relationships/hyperlink" Target="#'10 EVIDENCE &amp; DECISIONS'!A103" TargetMode="External" Id="rId106"/><Relationship Type="http://schemas.openxmlformats.org/officeDocument/2006/relationships/hyperlink" Target="#'10 EVIDENCE &amp; DECISIONS'!A104" TargetMode="External" Id="rId107"/><Relationship Type="http://schemas.openxmlformats.org/officeDocument/2006/relationships/hyperlink" Target="#'10 EVIDENCE &amp; DECISIONS'!A105" TargetMode="External" Id="rId108"/><Relationship Type="http://schemas.openxmlformats.org/officeDocument/2006/relationships/hyperlink" Target="#'10 EVIDENCE &amp; DECISIONS'!A106" TargetMode="External" Id="rId109"/><Relationship Type="http://schemas.openxmlformats.org/officeDocument/2006/relationships/hyperlink" Target="#'10 EVIDENCE &amp; DECISIONS'!A107" TargetMode="External" Id="rId110"/><Relationship Type="http://schemas.openxmlformats.org/officeDocument/2006/relationships/hyperlink" Target="#'10 EVIDENCE &amp; DECISIONS'!A108" TargetMode="External" Id="rId111"/><Relationship Type="http://schemas.openxmlformats.org/officeDocument/2006/relationships/hyperlink" Target="#'10 EVIDENCE &amp; DECISIONS'!A109" TargetMode="External" Id="rId112"/><Relationship Type="http://schemas.openxmlformats.org/officeDocument/2006/relationships/hyperlink" Target="#'10 EVIDENCE &amp; DECISIONS'!A110" TargetMode="External" Id="rId113"/><Relationship Type="http://schemas.openxmlformats.org/officeDocument/2006/relationships/hyperlink" Target="#'10 EVIDENCE &amp; DECISIONS'!A111" TargetMode="External" Id="rId114"/><Relationship Type="http://schemas.openxmlformats.org/officeDocument/2006/relationships/hyperlink" Target="#'10 EVIDENCE &amp; DECISIONS'!A112" TargetMode="External" Id="rId115"/><Relationship Type="http://schemas.openxmlformats.org/officeDocument/2006/relationships/hyperlink" Target="#'10 EVIDENCE &amp; DECISIONS'!A113" TargetMode="External" Id="rId116"/><Relationship Type="http://schemas.openxmlformats.org/officeDocument/2006/relationships/hyperlink" Target="#'10 EVIDENCE &amp; DECISIONS'!A114" TargetMode="External" Id="rId117"/><Relationship Type="http://schemas.openxmlformats.org/officeDocument/2006/relationships/hyperlink" Target="#'10 EVIDENCE &amp; DECISIONS'!A115" TargetMode="External" Id="rId118"/><Relationship Type="http://schemas.openxmlformats.org/officeDocument/2006/relationships/hyperlink" Target="#'10 EVIDENCE &amp; DECISIONS'!A116" TargetMode="External" Id="rId119"/><Relationship Type="http://schemas.openxmlformats.org/officeDocument/2006/relationships/hyperlink" Target="#'10 EVIDENCE &amp; DECISIONS'!A117" TargetMode="External" Id="rId120"/><Relationship Type="http://schemas.openxmlformats.org/officeDocument/2006/relationships/hyperlink" Target="#'10 EVIDENCE &amp; DECISIONS'!A118" TargetMode="External" Id="rId121"/><Relationship Type="http://schemas.openxmlformats.org/officeDocument/2006/relationships/hyperlink" Target="#'10 EVIDENCE &amp; DECISIONS'!A119" TargetMode="External" Id="rId122"/><Relationship Type="http://schemas.openxmlformats.org/officeDocument/2006/relationships/hyperlink" Target="#'10 EVIDENCE &amp; DECISIONS'!A120" TargetMode="External" Id="rId123"/><Relationship Type="http://schemas.openxmlformats.org/officeDocument/2006/relationships/hyperlink" Target="#'10 EVIDENCE &amp; DECISIONS'!A121" TargetMode="External" Id="rId124"/><Relationship Type="http://schemas.openxmlformats.org/officeDocument/2006/relationships/hyperlink" Target="#'10 EVIDENCE &amp; DECISIONS'!A122" TargetMode="External" Id="rId125"/><Relationship Type="http://schemas.openxmlformats.org/officeDocument/2006/relationships/hyperlink" Target="#'10 EVIDENCE &amp; DECISIONS'!A123" TargetMode="External" Id="rId126"/><Relationship Type="http://schemas.openxmlformats.org/officeDocument/2006/relationships/hyperlink" Target="#'10 EVIDENCE &amp; DECISIONS'!A124" TargetMode="External" Id="rId127"/><Relationship Type="http://schemas.openxmlformats.org/officeDocument/2006/relationships/hyperlink" Target="#'10 EVIDENCE &amp; DECISIONS'!A125" TargetMode="External" Id="rId128"/><Relationship Type="http://schemas.openxmlformats.org/officeDocument/2006/relationships/hyperlink" Target="#'10 EVIDENCE &amp; DECISIONS'!A126" TargetMode="External" Id="rId129"/><Relationship Type="http://schemas.openxmlformats.org/officeDocument/2006/relationships/hyperlink" Target="#'10 EVIDENCE &amp; DECISIONS'!A127" TargetMode="External" Id="rId130"/><Relationship Type="http://schemas.openxmlformats.org/officeDocument/2006/relationships/hyperlink" Target="#'10 EVIDENCE &amp; DECISIONS'!A128" TargetMode="External" Id="rId131"/><Relationship Type="http://schemas.openxmlformats.org/officeDocument/2006/relationships/hyperlink" Target="#'10 EVIDENCE &amp; DECISIONS'!A129" TargetMode="External" Id="rId132"/><Relationship Type="http://schemas.openxmlformats.org/officeDocument/2006/relationships/hyperlink" Target="#'10 EVIDENCE &amp; DECISIONS'!A130" TargetMode="External" Id="rId133"/><Relationship Type="http://schemas.openxmlformats.org/officeDocument/2006/relationships/hyperlink" Target="#'10 EVIDENCE &amp; DECISIONS'!A131" TargetMode="External" Id="rId134"/><Relationship Type="http://schemas.openxmlformats.org/officeDocument/2006/relationships/hyperlink" Target="#'10 EVIDENCE &amp; DECISIONS'!A132" TargetMode="External" Id="rId135"/><Relationship Type="http://schemas.openxmlformats.org/officeDocument/2006/relationships/hyperlink" Target="#'10 EVIDENCE &amp; DECISIONS'!A133" TargetMode="External" Id="rId136"/><Relationship Type="http://schemas.openxmlformats.org/officeDocument/2006/relationships/hyperlink" Target="#'10 EVIDENCE &amp; DECISIONS'!A134" TargetMode="External" Id="rId137"/><Relationship Type="http://schemas.openxmlformats.org/officeDocument/2006/relationships/hyperlink" Target="#'10 EVIDENCE &amp; DECISIONS'!A135" TargetMode="External" Id="rId138"/><Relationship Type="http://schemas.openxmlformats.org/officeDocument/2006/relationships/hyperlink" Target="#'10 EVIDENCE &amp; DECISIONS'!A136" TargetMode="External" Id="rId139"/><Relationship Type="http://schemas.openxmlformats.org/officeDocument/2006/relationships/hyperlink" Target="#'10 EVIDENCE &amp; DECISIONS'!A137" TargetMode="External" Id="rId140"/><Relationship Type="http://schemas.openxmlformats.org/officeDocument/2006/relationships/hyperlink" Target="#'10 EVIDENCE &amp; DECISIONS'!A138" TargetMode="External" Id="rId141"/><Relationship Type="http://schemas.openxmlformats.org/officeDocument/2006/relationships/hyperlink" Target="#'10 EVIDENCE &amp; DECISIONS'!A139" TargetMode="External" Id="rId142"/><Relationship Type="http://schemas.openxmlformats.org/officeDocument/2006/relationships/hyperlink" Target="#'10 EVIDENCE &amp; DECISIONS'!A140" TargetMode="External" Id="rId143"/><Relationship Type="http://schemas.openxmlformats.org/officeDocument/2006/relationships/hyperlink" Target="#'10 EVIDENCE &amp; DECISIONS'!A141" TargetMode="External" Id="rId144"/><Relationship Type="http://schemas.openxmlformats.org/officeDocument/2006/relationships/hyperlink" Target="#'10 EVIDENCE &amp; DECISIONS'!A142" TargetMode="External" Id="rId145"/><Relationship Type="http://schemas.openxmlformats.org/officeDocument/2006/relationships/hyperlink" Target="#'10 EVIDENCE &amp; DECISIONS'!A143" TargetMode="External" Id="rId146"/><Relationship Type="http://schemas.openxmlformats.org/officeDocument/2006/relationships/hyperlink" Target="#'10 EVIDENCE &amp; DECISIONS'!A144" TargetMode="External" Id="rId147"/><Relationship Type="http://schemas.openxmlformats.org/officeDocument/2006/relationships/hyperlink" Target="#'10 EVIDENCE &amp; DECISIONS'!A145" TargetMode="External" Id="rId148"/><Relationship Type="http://schemas.openxmlformats.org/officeDocument/2006/relationships/hyperlink" Target="#'10 EVIDENCE &amp; DECISIONS'!A146" TargetMode="External" Id="rId149"/><Relationship Type="http://schemas.openxmlformats.org/officeDocument/2006/relationships/hyperlink" Target="#'10 EVIDENCE &amp; DECISIONS'!A147" TargetMode="External" Id="rId150"/><Relationship Type="http://schemas.openxmlformats.org/officeDocument/2006/relationships/hyperlink" Target="#'10 EVIDENCE &amp; DECISIONS'!A148" TargetMode="External" Id="rId151"/><Relationship Type="http://schemas.openxmlformats.org/officeDocument/2006/relationships/hyperlink" Target="#'10 EVIDENCE &amp; DECISIONS'!A149" TargetMode="External" Id="rId152"/><Relationship Type="http://schemas.openxmlformats.org/officeDocument/2006/relationships/hyperlink" Target="#'10 EVIDENCE &amp; DECISIONS'!A150" TargetMode="External" Id="rId153"/><Relationship Type="http://schemas.openxmlformats.org/officeDocument/2006/relationships/hyperlink" Target="#'10 EVIDENCE &amp; DECISIONS'!A151" TargetMode="External" Id="rId154"/><Relationship Type="http://schemas.openxmlformats.org/officeDocument/2006/relationships/hyperlink" Target="#'10 EVIDENCE &amp; DECISIONS'!A152" TargetMode="External" Id="rId155"/><Relationship Type="http://schemas.openxmlformats.org/officeDocument/2006/relationships/hyperlink" Target="#'10 EVIDENCE &amp; DECISIONS'!A153" TargetMode="External" Id="rId156"/><Relationship Type="http://schemas.openxmlformats.org/officeDocument/2006/relationships/hyperlink" Target="#'10 EVIDENCE &amp; DECISIONS'!A154" TargetMode="External" Id="rId157"/><Relationship Type="http://schemas.openxmlformats.org/officeDocument/2006/relationships/hyperlink" Target="#'10 EVIDENCE &amp; DECISIONS'!A155" TargetMode="External" Id="rId158"/><Relationship Type="http://schemas.openxmlformats.org/officeDocument/2006/relationships/hyperlink" Target="#'10 EVIDENCE &amp; DECISIONS'!A156" TargetMode="External" Id="rId159"/><Relationship Type="http://schemas.openxmlformats.org/officeDocument/2006/relationships/hyperlink" Target="#'10 EVIDENCE &amp; DECISIONS'!A157" TargetMode="External" Id="rId160"/><Relationship Type="http://schemas.openxmlformats.org/officeDocument/2006/relationships/hyperlink" Target="#'10 EVIDENCE &amp; DECISIONS'!A158" TargetMode="External" Id="rId161"/><Relationship Type="http://schemas.openxmlformats.org/officeDocument/2006/relationships/hyperlink" Target="#'10 EVIDENCE &amp; DECISIONS'!A159" TargetMode="External" Id="rId162"/><Relationship Type="http://schemas.openxmlformats.org/officeDocument/2006/relationships/hyperlink" Target="#'10 EVIDENCE &amp; DECISIONS'!A160" TargetMode="External" Id="rId163"/><Relationship Type="http://schemas.openxmlformats.org/officeDocument/2006/relationships/hyperlink" Target="#'10 EVIDENCE &amp; DECISIONS'!A161" TargetMode="External" Id="rId164"/><Relationship Type="http://schemas.openxmlformats.org/officeDocument/2006/relationships/hyperlink" Target="#'10 EVIDENCE &amp; DECISIONS'!A162" TargetMode="External" Id="rId165"/><Relationship Type="http://schemas.openxmlformats.org/officeDocument/2006/relationships/hyperlink" Target="#'10 EVIDENCE &amp; DECISIONS'!A163" TargetMode="External" Id="rId166"/><Relationship Type="http://schemas.openxmlformats.org/officeDocument/2006/relationships/hyperlink" Target="#'10 EVIDENCE &amp; DECISIONS'!A164" TargetMode="External" Id="rId167"/><Relationship Type="http://schemas.openxmlformats.org/officeDocument/2006/relationships/hyperlink" Target="#'10 EVIDENCE &amp; DECISIONS'!A165" TargetMode="External" Id="rId168"/><Relationship Type="http://schemas.openxmlformats.org/officeDocument/2006/relationships/hyperlink" Target="#'10 EVIDENCE &amp; DECISIONS'!A166" TargetMode="External" Id="rId169"/><Relationship Type="http://schemas.openxmlformats.org/officeDocument/2006/relationships/hyperlink" Target="#'10 EVIDENCE &amp; DECISIONS'!A167" TargetMode="External" Id="rId170"/><Relationship Type="http://schemas.openxmlformats.org/officeDocument/2006/relationships/hyperlink" Target="#'10 EVIDENCE &amp; DECISIONS'!A168" TargetMode="External" Id="rId171"/><Relationship Type="http://schemas.openxmlformats.org/officeDocument/2006/relationships/hyperlink" Target="#'10 EVIDENCE &amp; DECISIONS'!A169" TargetMode="External" Id="rId172"/><Relationship Type="http://schemas.openxmlformats.org/officeDocument/2006/relationships/hyperlink" Target="#'10 EVIDENCE &amp; DECISIONS'!A170" TargetMode="External" Id="rId173"/><Relationship Type="http://schemas.openxmlformats.org/officeDocument/2006/relationships/hyperlink" Target="#'10 EVIDENCE &amp; DECISIONS'!A171" TargetMode="External" Id="rId174"/><Relationship Type="http://schemas.openxmlformats.org/officeDocument/2006/relationships/hyperlink" Target="#'10 EVIDENCE &amp; DECISIONS'!A172" TargetMode="External" Id="rId175"/><Relationship Type="http://schemas.openxmlformats.org/officeDocument/2006/relationships/hyperlink" Target="#'10 EVIDENCE &amp; DECISIONS'!A173" TargetMode="External" Id="rId176"/><Relationship Type="http://schemas.openxmlformats.org/officeDocument/2006/relationships/hyperlink" Target="#'10 EVIDENCE &amp; DECISIONS'!A174" TargetMode="External" Id="rId177"/><Relationship Type="http://schemas.openxmlformats.org/officeDocument/2006/relationships/hyperlink" Target="#'10 EVIDENCE &amp; DECISIONS'!A175" TargetMode="External" Id="rId178"/><Relationship Type="http://schemas.openxmlformats.org/officeDocument/2006/relationships/hyperlink" Target="#'10 EVIDENCE &amp; DECISIONS'!A176" TargetMode="External" Id="rId179"/><Relationship Type="http://schemas.openxmlformats.org/officeDocument/2006/relationships/hyperlink" Target="#'10 EVIDENCE &amp; DECISIONS'!A177" TargetMode="External" Id="rId180"/><Relationship Type="http://schemas.openxmlformats.org/officeDocument/2006/relationships/hyperlink" Target="#'10 EVIDENCE &amp; DECISIONS'!A178" TargetMode="External" Id="rId181"/><Relationship Type="http://schemas.openxmlformats.org/officeDocument/2006/relationships/hyperlink" Target="#'10 EVIDENCE &amp; DECISIONS'!A179" TargetMode="External" Id="rId182"/><Relationship Type="http://schemas.openxmlformats.org/officeDocument/2006/relationships/hyperlink" Target="#'10 EVIDENCE &amp; DECISIONS'!A180" TargetMode="External" Id="rId183"/><Relationship Type="http://schemas.openxmlformats.org/officeDocument/2006/relationships/hyperlink" Target="#'10 EVIDENCE &amp; DECISIONS'!A181" TargetMode="External" Id="rId184"/><Relationship Type="http://schemas.openxmlformats.org/officeDocument/2006/relationships/hyperlink" Target="#'10 EVIDENCE &amp; DECISIONS'!A182" TargetMode="External" Id="rId185"/><Relationship Type="http://schemas.openxmlformats.org/officeDocument/2006/relationships/hyperlink" Target="#'10 EVIDENCE &amp; DECISIONS'!A183" TargetMode="External" Id="rId186"/><Relationship Type="http://schemas.openxmlformats.org/officeDocument/2006/relationships/hyperlink" Target="#'10 EVIDENCE &amp; DECISIONS'!A184" TargetMode="External" Id="rId187"/><Relationship Type="http://schemas.openxmlformats.org/officeDocument/2006/relationships/hyperlink" Target="#'10 EVIDENCE &amp; DECISIONS'!A185" TargetMode="External" Id="rId188"/><Relationship Type="http://schemas.openxmlformats.org/officeDocument/2006/relationships/hyperlink" Target="#'10 EVIDENCE &amp; DECISIONS'!A186" TargetMode="External" Id="rId189"/><Relationship Type="http://schemas.openxmlformats.org/officeDocument/2006/relationships/hyperlink" Target="#'10 EVIDENCE &amp; DECISIONS'!A187" TargetMode="External" Id="rId190"/><Relationship Type="http://schemas.openxmlformats.org/officeDocument/2006/relationships/hyperlink" Target="#'10 EVIDENCE &amp; DECISIONS'!A188" TargetMode="External" Id="rId191"/><Relationship Type="http://schemas.openxmlformats.org/officeDocument/2006/relationships/hyperlink" Target="#'10 EVIDENCE &amp; DECISIONS'!A189" TargetMode="External" Id="rId192"/><Relationship Type="http://schemas.openxmlformats.org/officeDocument/2006/relationships/hyperlink" Target="#'10 EVIDENCE &amp; DECISIONS'!A190" TargetMode="External" Id="rId193"/><Relationship Type="http://schemas.openxmlformats.org/officeDocument/2006/relationships/hyperlink" Target="#'10 EVIDENCE &amp; DECISIONS'!A191" TargetMode="External" Id="rId194"/><Relationship Type="http://schemas.openxmlformats.org/officeDocument/2006/relationships/hyperlink" Target="#'10 EVIDENCE &amp; DECISIONS'!A192" TargetMode="External" Id="rId195"/><Relationship Type="http://schemas.openxmlformats.org/officeDocument/2006/relationships/hyperlink" Target="#'10 EVIDENCE &amp; DECISIONS'!A193" TargetMode="External" Id="rId196"/><Relationship Type="http://schemas.openxmlformats.org/officeDocument/2006/relationships/hyperlink" Target="#'10 EVIDENCE &amp; DECISIONS'!A194" TargetMode="External" Id="rId197"/><Relationship Type="http://schemas.openxmlformats.org/officeDocument/2006/relationships/hyperlink" Target="#'10 EVIDENCE &amp; DECISIONS'!A195" TargetMode="External" Id="rId198"/><Relationship Type="http://schemas.openxmlformats.org/officeDocument/2006/relationships/hyperlink" Target="#'10 EVIDENCE &amp; DECISIONS'!A196" TargetMode="External" Id="rId199"/><Relationship Type="http://schemas.openxmlformats.org/officeDocument/2006/relationships/hyperlink" Target="#'10 EVIDENCE &amp; DECISIONS'!A197" TargetMode="External" Id="rId200"/><Relationship Type="http://schemas.openxmlformats.org/officeDocument/2006/relationships/hyperlink" Target="#'10 EVIDENCE &amp; DECISIONS'!A198" TargetMode="External" Id="rId201"/><Relationship Type="http://schemas.openxmlformats.org/officeDocument/2006/relationships/hyperlink" Target="#'10 EVIDENCE &amp; DECISIONS'!A199" TargetMode="External" Id="rId202"/><Relationship Type="http://schemas.openxmlformats.org/officeDocument/2006/relationships/hyperlink" Target="#'10 EVIDENCE &amp; DECISIONS'!A200" TargetMode="External" Id="rId203"/><Relationship Type="http://schemas.openxmlformats.org/officeDocument/2006/relationships/hyperlink" Target="#'10 EVIDENCE &amp; DECISIONS'!A201" TargetMode="External" Id="rId204"/><Relationship Type="http://schemas.openxmlformats.org/officeDocument/2006/relationships/hyperlink" Target="#'10 EVIDENCE &amp; DECISIONS'!A202" TargetMode="External" Id="rId205"/><Relationship Type="http://schemas.openxmlformats.org/officeDocument/2006/relationships/hyperlink" Target="#'10 EVIDENCE &amp; DECISIONS'!A203" TargetMode="External" Id="rId206"/><Relationship Type="http://schemas.openxmlformats.org/officeDocument/2006/relationships/hyperlink" Target="#'10 EVIDENCE &amp; DECISIONS'!A204" TargetMode="External" Id="rId207"/><Relationship Type="http://schemas.openxmlformats.org/officeDocument/2006/relationships/hyperlink" Target="#'10 EVIDENCE &amp; DECISIONS'!A205" TargetMode="External" Id="rId208"/><Relationship Type="http://schemas.openxmlformats.org/officeDocument/2006/relationships/hyperlink" Target="#'10 EVIDENCE &amp; DECISIONS'!A206" TargetMode="External" Id="rId209"/><Relationship Type="http://schemas.openxmlformats.org/officeDocument/2006/relationships/hyperlink" Target="#'10 EVIDENCE &amp; DECISIONS'!A207" TargetMode="External" Id="rId210"/><Relationship Type="http://schemas.openxmlformats.org/officeDocument/2006/relationships/hyperlink" Target="#'10 EVIDENCE &amp; DECISIONS'!A208" TargetMode="External" Id="rId211"/><Relationship Type="http://schemas.openxmlformats.org/officeDocument/2006/relationships/hyperlink" Target="#'10 EVIDENCE &amp; DECISIONS'!A209" TargetMode="External" Id="rId212"/><Relationship Type="http://schemas.openxmlformats.org/officeDocument/2006/relationships/hyperlink" Target="#'10 EVIDENCE &amp; DECISIONS'!A210" TargetMode="External" Id="rId213"/><Relationship Type="http://schemas.openxmlformats.org/officeDocument/2006/relationships/hyperlink" Target="#'10 EVIDENCE &amp; DECISIONS'!A211" TargetMode="External" Id="rId214"/><Relationship Type="http://schemas.openxmlformats.org/officeDocument/2006/relationships/hyperlink" Target="#'10 EVIDENCE &amp; DECISIONS'!A212" TargetMode="External" Id="rId215"/><Relationship Type="http://schemas.openxmlformats.org/officeDocument/2006/relationships/hyperlink" Target="#'10 EVIDENCE &amp; DECISIONS'!A213" TargetMode="External" Id="rId216"/><Relationship Type="http://schemas.openxmlformats.org/officeDocument/2006/relationships/hyperlink" Target="#'10 EVIDENCE &amp; DECISIONS'!A214" TargetMode="External" Id="rId217"/><Relationship Type="http://schemas.openxmlformats.org/officeDocument/2006/relationships/hyperlink" Target="#'10 EVIDENCE &amp; DECISIONS'!A215" TargetMode="External" Id="rId218"/><Relationship Type="http://schemas.openxmlformats.org/officeDocument/2006/relationships/hyperlink" Target="#'10 EVIDENCE &amp; DECISIONS'!A216" TargetMode="External" Id="rId219"/><Relationship Type="http://schemas.openxmlformats.org/officeDocument/2006/relationships/hyperlink" Target="#'10 EVIDENCE &amp; DECISIONS'!A217" TargetMode="External" Id="rId220"/><Relationship Type="http://schemas.openxmlformats.org/officeDocument/2006/relationships/hyperlink" Target="#'10 EVIDENCE &amp; DECISIONS'!A218" TargetMode="External" Id="rId221"/><Relationship Type="http://schemas.openxmlformats.org/officeDocument/2006/relationships/hyperlink" Target="#'10 EVIDENCE &amp; DECISIONS'!A219" TargetMode="External" Id="rId222"/><Relationship Type="http://schemas.openxmlformats.org/officeDocument/2006/relationships/hyperlink" Target="#'10 EVIDENCE &amp; DECISIONS'!A220" TargetMode="External" Id="rId223"/><Relationship Type="http://schemas.openxmlformats.org/officeDocument/2006/relationships/hyperlink" Target="#'10 EVIDENCE &amp; DECISIONS'!A221" TargetMode="External" Id="rId224"/><Relationship Type="http://schemas.openxmlformats.org/officeDocument/2006/relationships/hyperlink" Target="#'10 EVIDENCE &amp; DECISIONS'!A222" TargetMode="External" Id="rId225"/><Relationship Type="http://schemas.openxmlformats.org/officeDocument/2006/relationships/hyperlink" Target="#'10 EVIDENCE &amp; DECISIONS'!A223" TargetMode="External" Id="rId226"/><Relationship Type="http://schemas.openxmlformats.org/officeDocument/2006/relationships/hyperlink" Target="#'10 EVIDENCE &amp; DECISIONS'!A224" TargetMode="External" Id="rId227"/><Relationship Type="http://schemas.openxmlformats.org/officeDocument/2006/relationships/hyperlink" Target="#'10 EVIDENCE &amp; DECISIONS'!A225" TargetMode="External" Id="rId228"/><Relationship Type="http://schemas.openxmlformats.org/officeDocument/2006/relationships/hyperlink" Target="#'10 EVIDENCE &amp; DECISIONS'!A226" TargetMode="External" Id="rId229"/><Relationship Type="http://schemas.openxmlformats.org/officeDocument/2006/relationships/hyperlink" Target="#'10 EVIDENCE &amp; DECISIONS'!A227" TargetMode="External" Id="rId230"/><Relationship Type="http://schemas.openxmlformats.org/officeDocument/2006/relationships/hyperlink" Target="#'10 EVIDENCE &amp; DECISIONS'!A228" TargetMode="External" Id="rId231"/><Relationship Type="http://schemas.openxmlformats.org/officeDocument/2006/relationships/hyperlink" Target="#'10 EVIDENCE &amp; DECISIONS'!A229" TargetMode="External" Id="rId232"/><Relationship Type="http://schemas.openxmlformats.org/officeDocument/2006/relationships/hyperlink" Target="#'10 EVIDENCE &amp; DECISIONS'!A230" TargetMode="External" Id="rId233"/><Relationship Type="http://schemas.openxmlformats.org/officeDocument/2006/relationships/hyperlink" Target="#'10 EVIDENCE &amp; DECISIONS'!A231" TargetMode="External" Id="rId234"/><Relationship Type="http://schemas.openxmlformats.org/officeDocument/2006/relationships/hyperlink" Target="#'10 EVIDENCE &amp; DECISIONS'!A232" TargetMode="External" Id="rId235"/><Relationship Type="http://schemas.openxmlformats.org/officeDocument/2006/relationships/hyperlink" Target="#'10 EVIDENCE &amp; DECISIONS'!A233" TargetMode="External" Id="rId236"/><Relationship Type="http://schemas.openxmlformats.org/officeDocument/2006/relationships/hyperlink" Target="#'10 EVIDENCE &amp; DECISIONS'!A234" TargetMode="External" Id="rId237"/><Relationship Type="http://schemas.openxmlformats.org/officeDocument/2006/relationships/hyperlink" Target="#'10 EVIDENCE &amp; DECISIONS'!A235" TargetMode="External" Id="rId238"/><Relationship Type="http://schemas.openxmlformats.org/officeDocument/2006/relationships/hyperlink" Target="#'10 EVIDENCE &amp; DECISIONS'!A236" TargetMode="External" Id="rId239"/><Relationship Type="http://schemas.openxmlformats.org/officeDocument/2006/relationships/hyperlink" Target="#'10 EVIDENCE &amp; DECISIONS'!A237" TargetMode="External" Id="rId240"/><Relationship Type="http://schemas.openxmlformats.org/officeDocument/2006/relationships/hyperlink" Target="#'10 EVIDENCE &amp; DECISIONS'!A238" TargetMode="External" Id="rId241"/><Relationship Type="http://schemas.openxmlformats.org/officeDocument/2006/relationships/hyperlink" Target="#'10 EVIDENCE &amp; DECISIONS'!A239" TargetMode="External" Id="rId242"/><Relationship Type="http://schemas.openxmlformats.org/officeDocument/2006/relationships/hyperlink" Target="#'10 EVIDENCE &amp; DECISIONS'!A240" TargetMode="External" Id="rId243"/><Relationship Type="http://schemas.openxmlformats.org/officeDocument/2006/relationships/hyperlink" Target="#'10 EVIDENCE &amp; DECISIONS'!A241" TargetMode="External" Id="rId244"/><Relationship Type="http://schemas.openxmlformats.org/officeDocument/2006/relationships/hyperlink" Target="#'10 EVIDENCE &amp; DECISIONS'!A242" TargetMode="External" Id="rId245"/><Relationship Type="http://schemas.openxmlformats.org/officeDocument/2006/relationships/hyperlink" Target="#'10 EVIDENCE &amp; DECISIONS'!A243" TargetMode="External" Id="rId246"/><Relationship Type="http://schemas.openxmlformats.org/officeDocument/2006/relationships/hyperlink" Target="#'10 EVIDENCE &amp; DECISIONS'!A244" TargetMode="External" Id="rId247"/><Relationship Type="http://schemas.openxmlformats.org/officeDocument/2006/relationships/hyperlink" Target="#'10 EVIDENCE &amp; DECISIONS'!A245" TargetMode="External" Id="rId248"/><Relationship Type="http://schemas.openxmlformats.org/officeDocument/2006/relationships/hyperlink" Target="#'10 EVIDENCE &amp; DECISIONS'!A246" TargetMode="External" Id="rId249"/><Relationship Type="http://schemas.openxmlformats.org/officeDocument/2006/relationships/hyperlink" Target="#'10 EVIDENCE &amp; DECISIONS'!A247" TargetMode="External" Id="rId250"/><Relationship Type="http://schemas.openxmlformats.org/officeDocument/2006/relationships/hyperlink" Target="#'10 EVIDENCE &amp; DECISIONS'!A248" TargetMode="External" Id="rId251"/><Relationship Type="http://schemas.openxmlformats.org/officeDocument/2006/relationships/hyperlink" Target="#'10 EVIDENCE &amp; DECISIONS'!A249" TargetMode="External" Id="rId252"/><Relationship Type="http://schemas.openxmlformats.org/officeDocument/2006/relationships/hyperlink" Target="#'10 EVIDENCE &amp; DECISIONS'!A250" TargetMode="External" Id="rId253"/><Relationship Type="http://schemas.openxmlformats.org/officeDocument/2006/relationships/hyperlink" Target="#'10 EVIDENCE &amp; DECISIONS'!A251" TargetMode="External" Id="rId254"/><Relationship Type="http://schemas.openxmlformats.org/officeDocument/2006/relationships/hyperlink" Target="#'10 EVIDENCE &amp; DECISIONS'!A252" TargetMode="External" Id="rId255"/><Relationship Type="http://schemas.openxmlformats.org/officeDocument/2006/relationships/hyperlink" Target="#'10 EVIDENCE &amp; DECISIONS'!A253" TargetMode="External" Id="rId256"/><Relationship Type="http://schemas.openxmlformats.org/officeDocument/2006/relationships/hyperlink" Target="#'10 EVIDENCE &amp; DECISIONS'!A254" TargetMode="External" Id="rId257"/><Relationship Type="http://schemas.openxmlformats.org/officeDocument/2006/relationships/hyperlink" Target="#'10 EVIDENCE &amp; DECISIONS'!A255" TargetMode="External" Id="rId258"/><Relationship Type="http://schemas.openxmlformats.org/officeDocument/2006/relationships/hyperlink" Target="#'10 EVIDENCE &amp; DECISIONS'!A256" TargetMode="External" Id="rId259"/><Relationship Type="http://schemas.openxmlformats.org/officeDocument/2006/relationships/hyperlink" Target="#'10 EVIDENCE &amp; DECISIONS'!A257" TargetMode="External" Id="rId260"/><Relationship Type="http://schemas.openxmlformats.org/officeDocument/2006/relationships/hyperlink" Target="#'10 EVIDENCE &amp; DECISIONS'!A258" TargetMode="External" Id="rId261"/><Relationship Type="http://schemas.openxmlformats.org/officeDocument/2006/relationships/hyperlink" Target="#'10 EVIDENCE &amp; DECISIONS'!A259" TargetMode="External" Id="rId262"/><Relationship Type="http://schemas.openxmlformats.org/officeDocument/2006/relationships/hyperlink" Target="#'10 EVIDENCE &amp; DECISIONS'!A260" TargetMode="External" Id="rId263"/><Relationship Type="http://schemas.openxmlformats.org/officeDocument/2006/relationships/hyperlink" Target="#'10 EVIDENCE &amp; DECISIONS'!A261" TargetMode="External" Id="rId264"/><Relationship Type="http://schemas.openxmlformats.org/officeDocument/2006/relationships/hyperlink" Target="#'10 EVIDENCE &amp; DECISIONS'!A262" TargetMode="External" Id="rId265"/><Relationship Type="http://schemas.openxmlformats.org/officeDocument/2006/relationships/hyperlink" Target="#'10 EVIDENCE &amp; DECISIONS'!A263" TargetMode="External" Id="rId266"/><Relationship Type="http://schemas.openxmlformats.org/officeDocument/2006/relationships/hyperlink" Target="#'10 EVIDENCE &amp; DECISIONS'!A264" TargetMode="External" Id="rId267"/><Relationship Type="http://schemas.openxmlformats.org/officeDocument/2006/relationships/hyperlink" Target="#'10 EVIDENCE &amp; DECISIONS'!A265" TargetMode="External" Id="rId268"/><Relationship Type="http://schemas.openxmlformats.org/officeDocument/2006/relationships/hyperlink" Target="#'10 EVIDENCE &amp; DECISIONS'!A266" TargetMode="External" Id="rId269"/><Relationship Type="http://schemas.openxmlformats.org/officeDocument/2006/relationships/hyperlink" Target="#'10 EVIDENCE &amp; DECISIONS'!A267" TargetMode="External" Id="rId270"/><Relationship Type="http://schemas.openxmlformats.org/officeDocument/2006/relationships/hyperlink" Target="#'10 EVIDENCE &amp; DECISIONS'!A268" TargetMode="External" Id="rId271"/><Relationship Type="http://schemas.openxmlformats.org/officeDocument/2006/relationships/hyperlink" Target="#'10 EVIDENCE &amp; DECISIONS'!A269" TargetMode="External" Id="rId272"/><Relationship Type="http://schemas.openxmlformats.org/officeDocument/2006/relationships/hyperlink" Target="#'10 EVIDENCE &amp; DECISIONS'!A270" TargetMode="External" Id="rId273"/><Relationship Type="http://schemas.openxmlformats.org/officeDocument/2006/relationships/hyperlink" Target="#'10 EVIDENCE &amp; DECISIONS'!A271" TargetMode="External" Id="rId274"/><Relationship Type="http://schemas.openxmlformats.org/officeDocument/2006/relationships/hyperlink" Target="#'10 EVIDENCE &amp; DECISIONS'!A272" TargetMode="External" Id="rId275"/><Relationship Type="http://schemas.openxmlformats.org/officeDocument/2006/relationships/hyperlink" Target="#'10 EVIDENCE &amp; DECISIONS'!A273" TargetMode="External" Id="rId276"/><Relationship Type="http://schemas.openxmlformats.org/officeDocument/2006/relationships/hyperlink" Target="#'10 EVIDENCE &amp; DECISIONS'!A274" TargetMode="External" Id="rId277"/><Relationship Type="http://schemas.openxmlformats.org/officeDocument/2006/relationships/hyperlink" Target="#'10 EVIDENCE &amp; DECISIONS'!A275" TargetMode="External" Id="rId278"/><Relationship Type="http://schemas.openxmlformats.org/officeDocument/2006/relationships/hyperlink" Target="#'10 EVIDENCE &amp; DECISIONS'!A276" TargetMode="External" Id="rId279"/><Relationship Type="http://schemas.openxmlformats.org/officeDocument/2006/relationships/hyperlink" Target="#'10 EVIDENCE &amp; DECISIONS'!A277" TargetMode="External" Id="rId280"/><Relationship Type="http://schemas.openxmlformats.org/officeDocument/2006/relationships/hyperlink" Target="#'10 EVIDENCE &amp; DECISIONS'!A278" TargetMode="External" Id="rId281"/><Relationship Type="http://schemas.openxmlformats.org/officeDocument/2006/relationships/hyperlink" Target="#'10 EVIDENCE &amp; DECISIONS'!A279" TargetMode="External" Id="rId282"/><Relationship Type="http://schemas.openxmlformats.org/officeDocument/2006/relationships/hyperlink" Target="#'10 EVIDENCE &amp; DECISIONS'!A280" TargetMode="External" Id="rId283"/><Relationship Type="http://schemas.openxmlformats.org/officeDocument/2006/relationships/hyperlink" Target="#'10 EVIDENCE &amp; DECISIONS'!A281" TargetMode="External" Id="rId284"/><Relationship Type="http://schemas.openxmlformats.org/officeDocument/2006/relationships/hyperlink" Target="#'10 EVIDENCE &amp; DECISIONS'!A282" TargetMode="External" Id="rId285"/><Relationship Type="http://schemas.openxmlformats.org/officeDocument/2006/relationships/hyperlink" Target="#'10 EVIDENCE &amp; DECISIONS'!A283" TargetMode="External" Id="rId286"/><Relationship Type="http://schemas.openxmlformats.org/officeDocument/2006/relationships/hyperlink" Target="#'10 EVIDENCE &amp; DECISIONS'!A284" TargetMode="External" Id="rId287"/><Relationship Type="http://schemas.openxmlformats.org/officeDocument/2006/relationships/hyperlink" Target="#'10 EVIDENCE &amp; DECISIONS'!A285" TargetMode="External" Id="rId288"/><Relationship Type="http://schemas.openxmlformats.org/officeDocument/2006/relationships/hyperlink" Target="#'10 EVIDENCE &amp; DECISIONS'!A286" TargetMode="External" Id="rId289"/><Relationship Type="http://schemas.openxmlformats.org/officeDocument/2006/relationships/hyperlink" Target="#'10 EVIDENCE &amp; DECISIONS'!A287" TargetMode="External" Id="rId290"/><Relationship Type="http://schemas.openxmlformats.org/officeDocument/2006/relationships/hyperlink" Target="#'10 EVIDENCE &amp; DECISIONS'!A288" TargetMode="External" Id="rId291"/><Relationship Type="http://schemas.openxmlformats.org/officeDocument/2006/relationships/hyperlink" Target="#'10 EVIDENCE &amp; DECISIONS'!A289" TargetMode="External" Id="rId292"/><Relationship Type="http://schemas.openxmlformats.org/officeDocument/2006/relationships/hyperlink" Target="#'10 EVIDENCE &amp; DECISIONS'!A290" TargetMode="External" Id="rId293"/><Relationship Type="http://schemas.openxmlformats.org/officeDocument/2006/relationships/hyperlink" Target="#'10 EVIDENCE &amp; DECISIONS'!A291" TargetMode="External" Id="rId294"/><Relationship Type="http://schemas.openxmlformats.org/officeDocument/2006/relationships/hyperlink" Target="#'10 EVIDENCE &amp; DECISIONS'!A292" TargetMode="External" Id="rId295"/><Relationship Type="http://schemas.openxmlformats.org/officeDocument/2006/relationships/hyperlink" Target="#'10 EVIDENCE &amp; DECISIONS'!A293" TargetMode="External" Id="rId296"/><Relationship Type="http://schemas.openxmlformats.org/officeDocument/2006/relationships/hyperlink" Target="#'10 EVIDENCE &amp; DECISIONS'!A294" TargetMode="External" Id="rId297"/><Relationship Type="http://schemas.openxmlformats.org/officeDocument/2006/relationships/hyperlink" Target="#'10 EVIDENCE &amp; DECISIONS'!A295" TargetMode="External" Id="rId298"/><Relationship Type="http://schemas.openxmlformats.org/officeDocument/2006/relationships/hyperlink" Target="#'10 EVIDENCE &amp; DECISIONS'!A296" TargetMode="External" Id="rId299"/><Relationship Type="http://schemas.openxmlformats.org/officeDocument/2006/relationships/hyperlink" Target="#'10 EVIDENCE &amp; DECISIONS'!A297" TargetMode="External" Id="rId300"/><Relationship Type="http://schemas.openxmlformats.org/officeDocument/2006/relationships/hyperlink" Target="#'10 EVIDENCE &amp; DECISIONS'!A298" TargetMode="External" Id="rId301"/><Relationship Type="http://schemas.openxmlformats.org/officeDocument/2006/relationships/hyperlink" Target="#'10 EVIDENCE &amp; DECISIONS'!A299" TargetMode="External" Id="rId302"/><Relationship Type="http://schemas.openxmlformats.org/officeDocument/2006/relationships/hyperlink" Target="#'10 EVIDENCE &amp; DECISIONS'!A300" TargetMode="External" Id="rId303"/><Relationship Type="http://schemas.openxmlformats.org/officeDocument/2006/relationships/hyperlink" Target="#'10 EVIDENCE &amp; DECISIONS'!A301" TargetMode="External" Id="rId304"/><Relationship Type="http://schemas.openxmlformats.org/officeDocument/2006/relationships/hyperlink" Target="#'10 EVIDENCE &amp; DECISIONS'!A302" TargetMode="External" Id="rId305"/><Relationship Type="http://schemas.openxmlformats.org/officeDocument/2006/relationships/hyperlink" Target="#'10 EVIDENCE &amp; DECISIONS'!A303" TargetMode="External" Id="rId306"/><Relationship Type="http://schemas.openxmlformats.org/officeDocument/2006/relationships/hyperlink" Target="#'10 EVIDENCE &amp; DECISIONS'!A304" TargetMode="External" Id="rId307"/><Relationship Type="http://schemas.openxmlformats.org/officeDocument/2006/relationships/hyperlink" Target="#'10 EVIDENCE &amp; DECISIONS'!A305" TargetMode="External" Id="rId308"/><Relationship Type="http://schemas.openxmlformats.org/officeDocument/2006/relationships/hyperlink" Target="#'10 EVIDENCE &amp; DECISIONS'!A306" TargetMode="External" Id="rId309"/><Relationship Type="http://schemas.openxmlformats.org/officeDocument/2006/relationships/hyperlink" Target="#'10 EVIDENCE &amp; DECISIONS'!A307" TargetMode="External" Id="rId310"/><Relationship Type="http://schemas.openxmlformats.org/officeDocument/2006/relationships/hyperlink" Target="#'10 EVIDENCE &amp; DECISIONS'!A308" TargetMode="External" Id="rId311"/><Relationship Type="http://schemas.openxmlformats.org/officeDocument/2006/relationships/hyperlink" Target="#'10 EVIDENCE &amp; DECISIONS'!A309" TargetMode="External" Id="rId312"/><Relationship Type="http://schemas.openxmlformats.org/officeDocument/2006/relationships/hyperlink" Target="#'10 EVIDENCE &amp; DECISIONS'!A310" TargetMode="External" Id="rId313"/><Relationship Type="http://schemas.openxmlformats.org/officeDocument/2006/relationships/hyperlink" Target="#'10 EVIDENCE &amp; DECISIONS'!A311" TargetMode="External" Id="rId314"/><Relationship Type="http://schemas.openxmlformats.org/officeDocument/2006/relationships/hyperlink" Target="#'10 EVIDENCE &amp; DECISIONS'!A312" TargetMode="External" Id="rId315"/><Relationship Type="http://schemas.openxmlformats.org/officeDocument/2006/relationships/hyperlink" Target="#'10 EVIDENCE &amp; DECISIONS'!A313" TargetMode="External" Id="rId316"/><Relationship Type="http://schemas.openxmlformats.org/officeDocument/2006/relationships/hyperlink" Target="#'10 EVIDENCE &amp; DECISIONS'!A314" TargetMode="External" Id="rId317"/><Relationship Type="http://schemas.openxmlformats.org/officeDocument/2006/relationships/hyperlink" Target="#'10 EVIDENCE &amp; DECISIONS'!A315" TargetMode="External" Id="rId318"/><Relationship Type="http://schemas.openxmlformats.org/officeDocument/2006/relationships/hyperlink" Target="#'10 EVIDENCE &amp; DECISIONS'!A316" TargetMode="External" Id="rId319"/><Relationship Type="http://schemas.openxmlformats.org/officeDocument/2006/relationships/hyperlink" Target="#'10 EVIDENCE &amp; DECISIONS'!A317" TargetMode="External" Id="rId320"/><Relationship Type="http://schemas.openxmlformats.org/officeDocument/2006/relationships/hyperlink" Target="#'10 EVIDENCE &amp; DECISIONS'!A318" TargetMode="External" Id="rId321"/><Relationship Type="http://schemas.openxmlformats.org/officeDocument/2006/relationships/hyperlink" Target="#'10 EVIDENCE &amp; DECISIONS'!A319" TargetMode="External" Id="rId322"/><Relationship Type="http://schemas.openxmlformats.org/officeDocument/2006/relationships/hyperlink" Target="#'10 EVIDENCE &amp; DECISIONS'!A320" TargetMode="External" Id="rId323"/><Relationship Type="http://schemas.openxmlformats.org/officeDocument/2006/relationships/hyperlink" Target="#'10 EVIDENCE &amp; DECISIONS'!A321" TargetMode="External" Id="rId324"/><Relationship Type="http://schemas.openxmlformats.org/officeDocument/2006/relationships/hyperlink" Target="#'10 EVIDENCE &amp; DECISIONS'!A322" TargetMode="External" Id="rId325"/><Relationship Type="http://schemas.openxmlformats.org/officeDocument/2006/relationships/hyperlink" Target="#'10 EVIDENCE &amp; DECISIONS'!A323" TargetMode="External" Id="rId326"/><Relationship Type="http://schemas.openxmlformats.org/officeDocument/2006/relationships/hyperlink" Target="#'10 EVIDENCE &amp; DECISIONS'!A324" TargetMode="External" Id="rId327"/><Relationship Type="http://schemas.openxmlformats.org/officeDocument/2006/relationships/hyperlink" Target="#'10 EVIDENCE &amp; DECISIONS'!A325" TargetMode="External" Id="rId328"/><Relationship Type="http://schemas.openxmlformats.org/officeDocument/2006/relationships/hyperlink" Target="#'10 EVIDENCE &amp; DECISIONS'!A326" TargetMode="External" Id="rId329"/><Relationship Type="http://schemas.openxmlformats.org/officeDocument/2006/relationships/hyperlink" Target="#'10 EVIDENCE &amp; DECISIONS'!A327" TargetMode="External" Id="rId330"/><Relationship Type="http://schemas.openxmlformats.org/officeDocument/2006/relationships/hyperlink" Target="#'10 EVIDENCE &amp; DECISIONS'!A328" TargetMode="External" Id="rId331"/><Relationship Type="http://schemas.openxmlformats.org/officeDocument/2006/relationships/hyperlink" Target="#'10 EVIDENCE &amp; DECISIONS'!A329" TargetMode="External" Id="rId332"/><Relationship Type="http://schemas.openxmlformats.org/officeDocument/2006/relationships/hyperlink" Target="#'10 EVIDENCE &amp; DECISIONS'!A330" TargetMode="External" Id="rId333"/><Relationship Type="http://schemas.openxmlformats.org/officeDocument/2006/relationships/hyperlink" Target="#'10 EVIDENCE &amp; DECISIONS'!A331" TargetMode="External" Id="rId334"/><Relationship Type="http://schemas.openxmlformats.org/officeDocument/2006/relationships/hyperlink" Target="#'10 EVIDENCE &amp; DECISIONS'!A332" TargetMode="External" Id="rId335"/><Relationship Type="http://schemas.openxmlformats.org/officeDocument/2006/relationships/hyperlink" Target="#'10 EVIDENCE &amp; DECISIONS'!A333" TargetMode="External" Id="rId336"/><Relationship Type="http://schemas.openxmlformats.org/officeDocument/2006/relationships/hyperlink" Target="#'10 EVIDENCE &amp; DECISIONS'!A334" TargetMode="External" Id="rId337"/><Relationship Type="http://schemas.openxmlformats.org/officeDocument/2006/relationships/hyperlink" Target="#'10 EVIDENCE &amp; DECISIONS'!A335" TargetMode="External" Id="rId338"/><Relationship Type="http://schemas.openxmlformats.org/officeDocument/2006/relationships/hyperlink" Target="#'10 EVIDENCE &amp; DECISIONS'!A336" TargetMode="External" Id="rId339"/><Relationship Type="http://schemas.openxmlformats.org/officeDocument/2006/relationships/hyperlink" Target="#'10 EVIDENCE &amp; DECISIONS'!A337" TargetMode="External" Id="rId340"/><Relationship Type="http://schemas.openxmlformats.org/officeDocument/2006/relationships/hyperlink" Target="#'10 EVIDENCE &amp; DECISIONS'!A338" TargetMode="External" Id="rId341"/><Relationship Type="http://schemas.openxmlformats.org/officeDocument/2006/relationships/hyperlink" Target="#'10 EVIDENCE &amp; DECISIONS'!A339" TargetMode="External" Id="rId342"/><Relationship Type="http://schemas.openxmlformats.org/officeDocument/2006/relationships/hyperlink" Target="#'10 EVIDENCE &amp; DECISIONS'!A340" TargetMode="External" Id="rId343"/><Relationship Type="http://schemas.openxmlformats.org/officeDocument/2006/relationships/hyperlink" Target="#'10 EVIDENCE &amp; DECISIONS'!A341" TargetMode="External" Id="rId344"/><Relationship Type="http://schemas.openxmlformats.org/officeDocument/2006/relationships/hyperlink" Target="#'10 EVIDENCE &amp; DECISIONS'!A342" TargetMode="External" Id="rId345"/><Relationship Type="http://schemas.openxmlformats.org/officeDocument/2006/relationships/hyperlink" Target="#'10 EVIDENCE &amp; DECISIONS'!A343" TargetMode="External" Id="rId346"/><Relationship Type="http://schemas.openxmlformats.org/officeDocument/2006/relationships/hyperlink" Target="#'10 EVIDENCE &amp; DECISIONS'!A344" TargetMode="External" Id="rId347"/><Relationship Type="http://schemas.openxmlformats.org/officeDocument/2006/relationships/hyperlink" Target="#'10 EVIDENCE &amp; DECISIONS'!A345" TargetMode="External" Id="rId348"/><Relationship Type="http://schemas.openxmlformats.org/officeDocument/2006/relationships/hyperlink" Target="#'10 EVIDENCE &amp; DECISIONS'!A346" TargetMode="External" Id="rId349"/><Relationship Type="http://schemas.openxmlformats.org/officeDocument/2006/relationships/hyperlink" Target="#'10 EVIDENCE &amp; DECISIONS'!A347" TargetMode="External" Id="rId350"/><Relationship Type="http://schemas.openxmlformats.org/officeDocument/2006/relationships/hyperlink" Target="#'10 EVIDENCE &amp; DECISIONS'!A348" TargetMode="External" Id="rId351"/><Relationship Type="http://schemas.openxmlformats.org/officeDocument/2006/relationships/hyperlink" Target="#'10 EVIDENCE &amp; DECISIONS'!A349" TargetMode="External" Id="rId352"/><Relationship Type="http://schemas.openxmlformats.org/officeDocument/2006/relationships/hyperlink" Target="#'10 EVIDENCE &amp; DECISIONS'!A350" TargetMode="External" Id="rId353"/><Relationship Type="http://schemas.openxmlformats.org/officeDocument/2006/relationships/hyperlink" Target="#'10 EVIDENCE &amp; DECISIONS'!A351" TargetMode="External" Id="rId354"/><Relationship Type="http://schemas.openxmlformats.org/officeDocument/2006/relationships/hyperlink" Target="#'10 EVIDENCE &amp; DECISIONS'!A352" TargetMode="External" Id="rId355"/><Relationship Type="http://schemas.openxmlformats.org/officeDocument/2006/relationships/hyperlink" Target="#'10 EVIDENCE &amp; DECISIONS'!A353" TargetMode="External" Id="rId356"/><Relationship Type="http://schemas.openxmlformats.org/officeDocument/2006/relationships/hyperlink" Target="#'10 EVIDENCE &amp; DECISIONS'!A354" TargetMode="External" Id="rId357"/><Relationship Type="http://schemas.openxmlformats.org/officeDocument/2006/relationships/hyperlink" Target="#'10 EVIDENCE &amp; DECISIONS'!A355" TargetMode="External" Id="rId358"/><Relationship Type="http://schemas.openxmlformats.org/officeDocument/2006/relationships/hyperlink" Target="#'10 EVIDENCE &amp; DECISIONS'!A356" TargetMode="External" Id="rId359"/><Relationship Type="http://schemas.openxmlformats.org/officeDocument/2006/relationships/hyperlink" Target="#'10 EVIDENCE &amp; DECISIONS'!A357" TargetMode="External" Id="rId360"/><Relationship Type="http://schemas.openxmlformats.org/officeDocument/2006/relationships/hyperlink" Target="#'10 EVIDENCE &amp; DECISIONS'!A358" TargetMode="External" Id="rId361"/><Relationship Type="http://schemas.openxmlformats.org/officeDocument/2006/relationships/hyperlink" Target="#'10 EVIDENCE &amp; DECISIONS'!A359" TargetMode="External" Id="rId362"/><Relationship Type="http://schemas.openxmlformats.org/officeDocument/2006/relationships/hyperlink" Target="#'10 EVIDENCE &amp; DECISIONS'!A360" TargetMode="External" Id="rId363"/><Relationship Type="http://schemas.openxmlformats.org/officeDocument/2006/relationships/hyperlink" Target="#'10 EVIDENCE &amp; DECISIONS'!A361" TargetMode="External" Id="rId364"/><Relationship Type="http://schemas.openxmlformats.org/officeDocument/2006/relationships/hyperlink" Target="#'10 EVIDENCE &amp; DECISIONS'!A362" TargetMode="External" Id="rId365"/><Relationship Type="http://schemas.openxmlformats.org/officeDocument/2006/relationships/hyperlink" Target="#'10 EVIDENCE &amp; DECISIONS'!A363" TargetMode="External" Id="rId366"/><Relationship Type="http://schemas.openxmlformats.org/officeDocument/2006/relationships/hyperlink" Target="#'10 EVIDENCE &amp; DECISIONS'!A364" TargetMode="External" Id="rId367"/><Relationship Type="http://schemas.openxmlformats.org/officeDocument/2006/relationships/hyperlink" Target="#'10 EVIDENCE &amp; DECISIONS'!A365" TargetMode="External" Id="rId368"/><Relationship Type="http://schemas.openxmlformats.org/officeDocument/2006/relationships/hyperlink" Target="#'10 EVIDENCE &amp; DECISIONS'!A366" TargetMode="External" Id="rId369"/><Relationship Type="http://schemas.openxmlformats.org/officeDocument/2006/relationships/hyperlink" Target="#'10 EVIDENCE &amp; DECISIONS'!A367" TargetMode="External" Id="rId370"/><Relationship Type="http://schemas.openxmlformats.org/officeDocument/2006/relationships/hyperlink" Target="#'10 EVIDENCE &amp; DECISIONS'!A368" TargetMode="External" Id="rId371"/><Relationship Type="http://schemas.openxmlformats.org/officeDocument/2006/relationships/hyperlink" Target="#'10 EVIDENCE &amp; DECISIONS'!A369" TargetMode="External" Id="rId372"/><Relationship Type="http://schemas.openxmlformats.org/officeDocument/2006/relationships/hyperlink" Target="#'10 EVIDENCE &amp; DECISIONS'!A370" TargetMode="External" Id="rId373"/><Relationship Type="http://schemas.openxmlformats.org/officeDocument/2006/relationships/hyperlink" Target="#'10 EVIDENCE &amp; DECISIONS'!A371" TargetMode="External" Id="rId374"/><Relationship Type="http://schemas.openxmlformats.org/officeDocument/2006/relationships/hyperlink" Target="#'10 EVIDENCE &amp; DECISIONS'!A372" TargetMode="External" Id="rId375"/><Relationship Type="http://schemas.openxmlformats.org/officeDocument/2006/relationships/hyperlink" Target="#'10 EVIDENCE &amp; DECISIONS'!A373" TargetMode="External" Id="rId376"/><Relationship Type="http://schemas.openxmlformats.org/officeDocument/2006/relationships/hyperlink" Target="#'10 EVIDENCE &amp; DECISIONS'!A374" TargetMode="External" Id="rId377"/><Relationship Type="http://schemas.openxmlformats.org/officeDocument/2006/relationships/hyperlink" Target="#'10 EVIDENCE &amp; DECISIONS'!A375" TargetMode="External" Id="rId378"/><Relationship Type="http://schemas.openxmlformats.org/officeDocument/2006/relationships/hyperlink" Target="#'10 EVIDENCE &amp; DECISIONS'!A376" TargetMode="External" Id="rId379"/><Relationship Type="http://schemas.openxmlformats.org/officeDocument/2006/relationships/hyperlink" Target="#'10 EVIDENCE &amp; DECISIONS'!A377" TargetMode="External" Id="rId380"/><Relationship Type="http://schemas.openxmlformats.org/officeDocument/2006/relationships/hyperlink" Target="#'10 EVIDENCE &amp; DECISIONS'!A378" TargetMode="External" Id="rId381"/><Relationship Type="http://schemas.openxmlformats.org/officeDocument/2006/relationships/hyperlink" Target="#'10 EVIDENCE &amp; DECISIONS'!A379" TargetMode="External" Id="rId382"/><Relationship Type="http://schemas.openxmlformats.org/officeDocument/2006/relationships/hyperlink" Target="#'10 EVIDENCE &amp; DECISIONS'!A380" TargetMode="External" Id="rId383"/><Relationship Type="http://schemas.openxmlformats.org/officeDocument/2006/relationships/hyperlink" Target="#'10 EVIDENCE &amp; DECISIONS'!A381" TargetMode="External" Id="rId384"/><Relationship Type="http://schemas.openxmlformats.org/officeDocument/2006/relationships/hyperlink" Target="#'10 EVIDENCE &amp; DECISIONS'!A382" TargetMode="External" Id="rId385"/><Relationship Type="http://schemas.openxmlformats.org/officeDocument/2006/relationships/hyperlink" Target="#'10 EVIDENCE &amp; DECISIONS'!A383" TargetMode="External" Id="rId386"/><Relationship Type="http://schemas.openxmlformats.org/officeDocument/2006/relationships/hyperlink" Target="#'10 EVIDENCE &amp; DECISIONS'!A384" TargetMode="External" Id="rId387"/><Relationship Type="http://schemas.openxmlformats.org/officeDocument/2006/relationships/hyperlink" Target="#'10 EVIDENCE &amp; DECISIONS'!A385" TargetMode="External" Id="rId388"/><Relationship Type="http://schemas.openxmlformats.org/officeDocument/2006/relationships/hyperlink" Target="#'10 EVIDENCE &amp; DECISIONS'!A386" TargetMode="External" Id="rId389"/><Relationship Type="http://schemas.openxmlformats.org/officeDocument/2006/relationships/hyperlink" Target="#'10 EVIDENCE &amp; DECISIONS'!A387" TargetMode="External" Id="rId390"/><Relationship Type="http://schemas.openxmlformats.org/officeDocument/2006/relationships/hyperlink" Target="#'10 EVIDENCE &amp; DECISIONS'!A388" TargetMode="External" Id="rId391"/><Relationship Type="http://schemas.openxmlformats.org/officeDocument/2006/relationships/hyperlink" Target="#'10 EVIDENCE &amp; DECISIONS'!A389" TargetMode="External" Id="rId392"/><Relationship Type="http://schemas.openxmlformats.org/officeDocument/2006/relationships/hyperlink" Target="#'10 EVIDENCE &amp; DECISIONS'!A390" TargetMode="External" Id="rId393"/><Relationship Type="http://schemas.openxmlformats.org/officeDocument/2006/relationships/hyperlink" Target="#'10 EVIDENCE &amp; DECISIONS'!A391" TargetMode="External" Id="rId394"/><Relationship Type="http://schemas.openxmlformats.org/officeDocument/2006/relationships/hyperlink" Target="#'10 EVIDENCE &amp; DECISIONS'!A392" TargetMode="External" Id="rId395"/><Relationship Type="http://schemas.openxmlformats.org/officeDocument/2006/relationships/hyperlink" Target="#'10 EVIDENCE &amp; DECISIONS'!A393" TargetMode="External" Id="rId396"/><Relationship Type="http://schemas.openxmlformats.org/officeDocument/2006/relationships/hyperlink" Target="#'10 EVIDENCE &amp; DECISIONS'!A394" TargetMode="External" Id="rId397"/><Relationship Type="http://schemas.openxmlformats.org/officeDocument/2006/relationships/hyperlink" Target="#'10 EVIDENCE &amp; DECISIONS'!A395" TargetMode="External" Id="rId398"/><Relationship Type="http://schemas.openxmlformats.org/officeDocument/2006/relationships/hyperlink" Target="#'10 EVIDENCE &amp; DECISIONS'!A396" TargetMode="External" Id="rId399"/><Relationship Type="http://schemas.openxmlformats.org/officeDocument/2006/relationships/hyperlink" Target="#'10 EVIDENCE &amp; DECISIONS'!A397" TargetMode="External" Id="rId400"/><Relationship Type="http://schemas.openxmlformats.org/officeDocument/2006/relationships/hyperlink" Target="#'10 EVIDENCE &amp; DECISIONS'!A398" TargetMode="External" Id="rId401"/><Relationship Type="http://schemas.openxmlformats.org/officeDocument/2006/relationships/hyperlink" Target="#'10 EVIDENCE &amp; DECISIONS'!A399" TargetMode="External" Id="rId402"/><Relationship Type="http://schemas.openxmlformats.org/officeDocument/2006/relationships/hyperlink" Target="#'10 EVIDENCE &amp; DECISIONS'!A400" TargetMode="External" Id="rId403"/><Relationship Type="http://schemas.openxmlformats.org/officeDocument/2006/relationships/hyperlink" Target="#'10 EVIDENCE &amp; DECISIONS'!A401" TargetMode="External" Id="rId404"/><Relationship Type="http://schemas.openxmlformats.org/officeDocument/2006/relationships/hyperlink" Target="#'10 EVIDENCE &amp; DECISIONS'!A402" TargetMode="External" Id="rId405"/><Relationship Type="http://schemas.openxmlformats.org/officeDocument/2006/relationships/hyperlink" Target="#'10 EVIDENCE &amp; DECISIONS'!A403" TargetMode="External" Id="rId406"/><Relationship Type="http://schemas.openxmlformats.org/officeDocument/2006/relationships/hyperlink" Target="#'10 EVIDENCE &amp; DECISIONS'!A404" TargetMode="External" Id="rId407"/><Relationship Type="http://schemas.openxmlformats.org/officeDocument/2006/relationships/hyperlink" Target="#'10 EVIDENCE &amp; DECISIONS'!A405" TargetMode="External" Id="rId408"/><Relationship Type="http://schemas.openxmlformats.org/officeDocument/2006/relationships/hyperlink" Target="#'10 EVIDENCE &amp; DECISIONS'!A406" TargetMode="External" Id="rId409"/><Relationship Type="http://schemas.openxmlformats.org/officeDocument/2006/relationships/hyperlink" Target="#'10 EVIDENCE &amp; DECISIONS'!A407" TargetMode="External" Id="rId410"/><Relationship Type="http://schemas.openxmlformats.org/officeDocument/2006/relationships/hyperlink" Target="#'10 EVIDENCE &amp; DECISIONS'!A408" TargetMode="External" Id="rId411"/><Relationship Type="http://schemas.openxmlformats.org/officeDocument/2006/relationships/hyperlink" Target="#'10 EVIDENCE &amp; DECISIONS'!A409" TargetMode="External" Id="rId412"/><Relationship Type="http://schemas.openxmlformats.org/officeDocument/2006/relationships/hyperlink" Target="#'10 EVIDENCE &amp; DECISIONS'!A410" TargetMode="External" Id="rId413"/><Relationship Type="http://schemas.openxmlformats.org/officeDocument/2006/relationships/hyperlink" Target="#'10 EVIDENCE &amp; DECISIONS'!A411" TargetMode="External" Id="rId414"/><Relationship Type="http://schemas.openxmlformats.org/officeDocument/2006/relationships/hyperlink" Target="#'10 EVIDENCE &amp; DECISIONS'!A412" TargetMode="External" Id="rId415"/><Relationship Type="http://schemas.openxmlformats.org/officeDocument/2006/relationships/hyperlink" Target="#'10 EVIDENCE &amp; DECISIONS'!A413" TargetMode="External" Id="rId416"/><Relationship Type="http://schemas.openxmlformats.org/officeDocument/2006/relationships/hyperlink" Target="#'10 EVIDENCE &amp; DECISIONS'!A414" TargetMode="External" Id="rId417"/><Relationship Type="http://schemas.openxmlformats.org/officeDocument/2006/relationships/hyperlink" Target="#'10 EVIDENCE &amp; DECISIONS'!A415" TargetMode="External" Id="rId418"/><Relationship Type="http://schemas.openxmlformats.org/officeDocument/2006/relationships/hyperlink" Target="#'10 EVIDENCE &amp; DECISIONS'!A416" TargetMode="External" Id="rId419"/><Relationship Type="http://schemas.openxmlformats.org/officeDocument/2006/relationships/hyperlink" Target="#'10 EVIDENCE &amp; DECISIONS'!A417" TargetMode="External" Id="rId420"/><Relationship Type="http://schemas.openxmlformats.org/officeDocument/2006/relationships/hyperlink" Target="#'10 EVIDENCE &amp; DECISIONS'!A418" TargetMode="External" Id="rId421"/><Relationship Type="http://schemas.openxmlformats.org/officeDocument/2006/relationships/hyperlink" Target="#'10 EVIDENCE &amp; DECISIONS'!A419" TargetMode="External" Id="rId422"/><Relationship Type="http://schemas.openxmlformats.org/officeDocument/2006/relationships/hyperlink" Target="#'10 EVIDENCE &amp; DECISIONS'!A420" TargetMode="External" Id="rId423"/><Relationship Type="http://schemas.openxmlformats.org/officeDocument/2006/relationships/hyperlink" Target="#'10 EVIDENCE &amp; DECISIONS'!A421" TargetMode="External" Id="rId424"/><Relationship Type="http://schemas.openxmlformats.org/officeDocument/2006/relationships/hyperlink" Target="#'10 EVIDENCE &amp; DECISIONS'!A422" TargetMode="External" Id="rId425"/><Relationship Type="http://schemas.openxmlformats.org/officeDocument/2006/relationships/hyperlink" Target="#'10 EVIDENCE &amp; DECISIONS'!A423" TargetMode="External" Id="rId426"/><Relationship Type="http://schemas.openxmlformats.org/officeDocument/2006/relationships/hyperlink" Target="#'10 EVIDENCE &amp; DECISIONS'!A424" TargetMode="External" Id="rId427"/><Relationship Type="http://schemas.openxmlformats.org/officeDocument/2006/relationships/hyperlink" Target="#'10 EVIDENCE &amp; DECISIONS'!A425" TargetMode="External" Id="rId428"/><Relationship Type="http://schemas.openxmlformats.org/officeDocument/2006/relationships/hyperlink" Target="#'10 EVIDENCE &amp; DECISIONS'!A426" TargetMode="External" Id="rId429"/><Relationship Type="http://schemas.openxmlformats.org/officeDocument/2006/relationships/hyperlink" Target="#'10 EVIDENCE &amp; DECISIONS'!A427" TargetMode="External" Id="rId430"/><Relationship Type="http://schemas.openxmlformats.org/officeDocument/2006/relationships/hyperlink" Target="#'10 EVIDENCE &amp; DECISIONS'!A428" TargetMode="External" Id="rId431"/><Relationship Type="http://schemas.openxmlformats.org/officeDocument/2006/relationships/hyperlink" Target="#'10 EVIDENCE &amp; DECISIONS'!A429" TargetMode="External" Id="rId432"/><Relationship Type="http://schemas.openxmlformats.org/officeDocument/2006/relationships/hyperlink" Target="#'10 EVIDENCE &amp; DECISIONS'!A430" TargetMode="External" Id="rId433"/><Relationship Type="http://schemas.openxmlformats.org/officeDocument/2006/relationships/hyperlink" Target="#'10 EVIDENCE &amp; DECISIONS'!A431" TargetMode="External" Id="rId434"/><Relationship Type="http://schemas.openxmlformats.org/officeDocument/2006/relationships/hyperlink" Target="#'10 EVIDENCE &amp; DECISIONS'!A432" TargetMode="External" Id="rId435"/><Relationship Type="http://schemas.openxmlformats.org/officeDocument/2006/relationships/hyperlink" Target="#'10 EVIDENCE &amp; DECISIONS'!A433" TargetMode="External" Id="rId436"/><Relationship Type="http://schemas.openxmlformats.org/officeDocument/2006/relationships/hyperlink" Target="#'10 EVIDENCE &amp; DECISIONS'!A434" TargetMode="External" Id="rId437"/><Relationship Type="http://schemas.openxmlformats.org/officeDocument/2006/relationships/hyperlink" Target="#'10 EVIDENCE &amp; DECISIONS'!A435" TargetMode="External" Id="rId438"/><Relationship Type="http://schemas.openxmlformats.org/officeDocument/2006/relationships/hyperlink" Target="#'10 EVIDENCE &amp; DECISIONS'!A436" TargetMode="External" Id="rId439"/><Relationship Type="http://schemas.openxmlformats.org/officeDocument/2006/relationships/hyperlink" Target="#'10 EVIDENCE &amp; DECISIONS'!A437" TargetMode="External" Id="rId440"/><Relationship Type="http://schemas.openxmlformats.org/officeDocument/2006/relationships/hyperlink" Target="#'10 EVIDENCE &amp; DECISIONS'!A438" TargetMode="External" Id="rId441"/><Relationship Type="http://schemas.openxmlformats.org/officeDocument/2006/relationships/hyperlink" Target="#'10 EVIDENCE &amp; DECISIONS'!A439" TargetMode="External" Id="rId442"/><Relationship Type="http://schemas.openxmlformats.org/officeDocument/2006/relationships/hyperlink" Target="#'10 EVIDENCE &amp; DECISIONS'!A440" TargetMode="External" Id="rId443"/><Relationship Type="http://schemas.openxmlformats.org/officeDocument/2006/relationships/hyperlink" Target="#'10 EVIDENCE &amp; DECISIONS'!A441" TargetMode="External" Id="rId444"/><Relationship Type="http://schemas.openxmlformats.org/officeDocument/2006/relationships/hyperlink" Target="#'10 EVIDENCE &amp; DECISIONS'!A442" TargetMode="External" Id="rId445"/><Relationship Type="http://schemas.openxmlformats.org/officeDocument/2006/relationships/hyperlink" Target="#'10 EVIDENCE &amp; DECISIONS'!A443" TargetMode="External" Id="rId446"/><Relationship Type="http://schemas.openxmlformats.org/officeDocument/2006/relationships/hyperlink" Target="#'10 EVIDENCE &amp; DECISIONS'!A444" TargetMode="External" Id="rId447"/><Relationship Type="http://schemas.openxmlformats.org/officeDocument/2006/relationships/hyperlink" Target="#'10 EVIDENCE &amp; DECISIONS'!A445" TargetMode="External" Id="rId448"/><Relationship Type="http://schemas.openxmlformats.org/officeDocument/2006/relationships/hyperlink" Target="#'10 EVIDENCE &amp; DECISIONS'!A446" TargetMode="External" Id="rId449"/><Relationship Type="http://schemas.openxmlformats.org/officeDocument/2006/relationships/hyperlink" Target="#'10 EVIDENCE &amp; DECISIONS'!A447" TargetMode="External" Id="rId450"/><Relationship Type="http://schemas.openxmlformats.org/officeDocument/2006/relationships/hyperlink" Target="#'10 EVIDENCE &amp; DECISIONS'!A448" TargetMode="External" Id="rId451"/><Relationship Type="http://schemas.openxmlformats.org/officeDocument/2006/relationships/hyperlink" Target="#'10 EVIDENCE &amp; DECISIONS'!A449" TargetMode="External" Id="rId452"/><Relationship Type="http://schemas.openxmlformats.org/officeDocument/2006/relationships/hyperlink" Target="#'10 EVIDENCE &amp; DECISIONS'!A450" TargetMode="External" Id="rId453"/><Relationship Type="http://schemas.openxmlformats.org/officeDocument/2006/relationships/hyperlink" Target="#'10 EVIDENCE &amp; DECISIONS'!A451" TargetMode="External" Id="rId454"/><Relationship Type="http://schemas.openxmlformats.org/officeDocument/2006/relationships/hyperlink" Target="#'10 EVIDENCE &amp; DECISIONS'!A452" TargetMode="External" Id="rId455"/><Relationship Type="http://schemas.openxmlformats.org/officeDocument/2006/relationships/hyperlink" Target="#'10 EVIDENCE &amp; DECISIONS'!A453" TargetMode="External" Id="rId456"/><Relationship Type="http://schemas.openxmlformats.org/officeDocument/2006/relationships/hyperlink" Target="#'10 EVIDENCE &amp; DECISIONS'!A454" TargetMode="External" Id="rId457"/><Relationship Type="http://schemas.openxmlformats.org/officeDocument/2006/relationships/hyperlink" Target="#'10 EVIDENCE &amp; DECISIONS'!A455" TargetMode="External" Id="rId458"/><Relationship Type="http://schemas.openxmlformats.org/officeDocument/2006/relationships/hyperlink" Target="#'10 EVIDENCE &amp; DECISIONS'!A456" TargetMode="External" Id="rId459"/><Relationship Type="http://schemas.openxmlformats.org/officeDocument/2006/relationships/hyperlink" Target="#'10 EVIDENCE &amp; DECISIONS'!A457" TargetMode="External" Id="rId460"/><Relationship Type="http://schemas.openxmlformats.org/officeDocument/2006/relationships/hyperlink" Target="#'10 EVIDENCE &amp; DECISIONS'!A458" TargetMode="External" Id="rId461"/><Relationship Type="http://schemas.openxmlformats.org/officeDocument/2006/relationships/hyperlink" Target="#'10 EVIDENCE &amp; DECISIONS'!A459" TargetMode="External" Id="rId462"/><Relationship Type="http://schemas.openxmlformats.org/officeDocument/2006/relationships/hyperlink" Target="#'10 EVIDENCE &amp; DECISIONS'!A460" TargetMode="External" Id="rId463"/><Relationship Type="http://schemas.openxmlformats.org/officeDocument/2006/relationships/hyperlink" Target="#'10 EVIDENCE &amp; DECISIONS'!A461" TargetMode="External" Id="rId464"/><Relationship Type="http://schemas.openxmlformats.org/officeDocument/2006/relationships/hyperlink" Target="#'10 EVIDENCE &amp; DECISIONS'!A462" TargetMode="External" Id="rId465"/><Relationship Type="http://schemas.openxmlformats.org/officeDocument/2006/relationships/hyperlink" Target="#'10 EVIDENCE &amp; DECISIONS'!A463" TargetMode="External" Id="rId466"/><Relationship Type="http://schemas.openxmlformats.org/officeDocument/2006/relationships/hyperlink" Target="#'10 EVIDENCE &amp; DECISIONS'!A464" TargetMode="External" Id="rId467"/><Relationship Type="http://schemas.openxmlformats.org/officeDocument/2006/relationships/hyperlink" Target="#'10 EVIDENCE &amp; DECISIONS'!A465" TargetMode="External" Id="rId468"/><Relationship Type="http://schemas.openxmlformats.org/officeDocument/2006/relationships/hyperlink" Target="#'10 EVIDENCE &amp; DECISIONS'!A466" TargetMode="External" Id="rId469"/><Relationship Type="http://schemas.openxmlformats.org/officeDocument/2006/relationships/hyperlink" Target="#'10 EVIDENCE &amp; DECISIONS'!A467" TargetMode="External" Id="rId470"/><Relationship Type="http://schemas.openxmlformats.org/officeDocument/2006/relationships/hyperlink" Target="#'10 EVIDENCE &amp; DECISIONS'!A468" TargetMode="External" Id="rId471"/><Relationship Type="http://schemas.openxmlformats.org/officeDocument/2006/relationships/hyperlink" Target="#'10 EVIDENCE &amp; DECISIONS'!A469" TargetMode="External" Id="rId472"/><Relationship Type="http://schemas.openxmlformats.org/officeDocument/2006/relationships/hyperlink" Target="#'10 EVIDENCE &amp; DECISIONS'!A470" TargetMode="External" Id="rId473"/><Relationship Type="http://schemas.openxmlformats.org/officeDocument/2006/relationships/hyperlink" Target="#'10 EVIDENCE &amp; DECISIONS'!A471" TargetMode="External" Id="rId474"/><Relationship Type="http://schemas.openxmlformats.org/officeDocument/2006/relationships/hyperlink" Target="#'10 EVIDENCE &amp; DECISIONS'!A472" TargetMode="External" Id="rId475"/><Relationship Type="http://schemas.openxmlformats.org/officeDocument/2006/relationships/hyperlink" Target="#'10 EVIDENCE &amp; DECISIONS'!A473" TargetMode="External" Id="rId476"/><Relationship Type="http://schemas.openxmlformats.org/officeDocument/2006/relationships/hyperlink" Target="#'10 EVIDENCE &amp; DECISIONS'!A474" TargetMode="External" Id="rId477"/><Relationship Type="http://schemas.openxmlformats.org/officeDocument/2006/relationships/hyperlink" Target="#'10 EVIDENCE &amp; DECISIONS'!A475" TargetMode="External" Id="rId478"/><Relationship Type="http://schemas.openxmlformats.org/officeDocument/2006/relationships/hyperlink" Target="#'10 EVIDENCE &amp; DECISIONS'!A476" TargetMode="External" Id="rId479"/><Relationship Type="http://schemas.openxmlformats.org/officeDocument/2006/relationships/hyperlink" Target="#'10 EVIDENCE &amp; DECISIONS'!A477" TargetMode="External" Id="rId480"/><Relationship Type="http://schemas.openxmlformats.org/officeDocument/2006/relationships/hyperlink" Target="#'10 EVIDENCE &amp; DECISIONS'!A478" TargetMode="External" Id="rId481"/><Relationship Type="http://schemas.openxmlformats.org/officeDocument/2006/relationships/hyperlink" Target="#'10 EVIDENCE &amp; DECISIONS'!A479" TargetMode="External" Id="rId482"/><Relationship Type="http://schemas.openxmlformats.org/officeDocument/2006/relationships/hyperlink" Target="#'10 EVIDENCE &amp; DECISIONS'!A480" TargetMode="External" Id="rId483"/><Relationship Type="http://schemas.openxmlformats.org/officeDocument/2006/relationships/hyperlink" Target="#'10 EVIDENCE &amp; DECISIONS'!A481" TargetMode="External" Id="rId484"/><Relationship Type="http://schemas.openxmlformats.org/officeDocument/2006/relationships/hyperlink" Target="#'10 EVIDENCE &amp; DECISIONS'!A482" TargetMode="External" Id="rId485"/><Relationship Type="http://schemas.openxmlformats.org/officeDocument/2006/relationships/hyperlink" Target="#'10 EVIDENCE &amp; DECISIONS'!A483" TargetMode="External" Id="rId486"/><Relationship Type="http://schemas.openxmlformats.org/officeDocument/2006/relationships/hyperlink" Target="#'10 EVIDENCE &amp; DECISIONS'!A484" TargetMode="External" Id="rId487"/><Relationship Type="http://schemas.openxmlformats.org/officeDocument/2006/relationships/hyperlink" Target="#'10 EVIDENCE &amp; DECISIONS'!A485" TargetMode="External" Id="rId488"/><Relationship Type="http://schemas.openxmlformats.org/officeDocument/2006/relationships/hyperlink" Target="#'10 EVIDENCE &amp; DECISIONS'!A486" TargetMode="External" Id="rId489"/><Relationship Type="http://schemas.openxmlformats.org/officeDocument/2006/relationships/hyperlink" Target="#'10 EVIDENCE &amp; DECISIONS'!A487" TargetMode="External" Id="rId490"/><Relationship Type="http://schemas.openxmlformats.org/officeDocument/2006/relationships/hyperlink" Target="#'10 EVIDENCE &amp; DECISIONS'!A488" TargetMode="External" Id="rId491"/><Relationship Type="http://schemas.openxmlformats.org/officeDocument/2006/relationships/hyperlink" Target="#'10 EVIDENCE &amp; DECISIONS'!A489" TargetMode="External" Id="rId492"/><Relationship Type="http://schemas.openxmlformats.org/officeDocument/2006/relationships/hyperlink" Target="#'10 EVIDENCE &amp; DECISIONS'!A490" TargetMode="External" Id="rId493"/><Relationship Type="http://schemas.openxmlformats.org/officeDocument/2006/relationships/hyperlink" Target="#'10 EVIDENCE &amp; DECISIONS'!A491" TargetMode="External" Id="rId494"/><Relationship Type="http://schemas.openxmlformats.org/officeDocument/2006/relationships/hyperlink" Target="#'10 EVIDENCE &amp; DECISIONS'!A492" TargetMode="External" Id="rId495"/><Relationship Type="http://schemas.openxmlformats.org/officeDocument/2006/relationships/hyperlink" Target="#'10 EVIDENCE &amp; DECISIONS'!A493" TargetMode="External" Id="rId496"/><Relationship Type="http://schemas.openxmlformats.org/officeDocument/2006/relationships/hyperlink" Target="#'10 EVIDENCE &amp; DECISIONS'!A494" TargetMode="External" Id="rId497"/><Relationship Type="http://schemas.openxmlformats.org/officeDocument/2006/relationships/hyperlink" Target="#'10 EVIDENCE &amp; DECISIONS'!A495" TargetMode="External" Id="rId498"/><Relationship Type="http://schemas.openxmlformats.org/officeDocument/2006/relationships/hyperlink" Target="#'10 EVIDENCE &amp; DECISIONS'!A496" TargetMode="External" Id="rId499"/><Relationship Type="http://schemas.openxmlformats.org/officeDocument/2006/relationships/hyperlink" Target="#'10 EVIDENCE &amp; DECISIONS'!A497" TargetMode="External" Id="rId500"/><Relationship Type="http://schemas.openxmlformats.org/officeDocument/2006/relationships/hyperlink" Target="#'10 EVIDENCE &amp; DECISIONS'!A498" TargetMode="External" Id="rId501"/><Relationship Type="http://schemas.openxmlformats.org/officeDocument/2006/relationships/hyperlink" Target="#'10 EVIDENCE &amp; DECISIONS'!A499" TargetMode="External" Id="rId502"/><Relationship Type="http://schemas.openxmlformats.org/officeDocument/2006/relationships/hyperlink" Target="#'10 EVIDENCE &amp; DECISIONS'!A500" TargetMode="External" Id="rId503"/><Relationship Type="http://schemas.openxmlformats.org/officeDocument/2006/relationships/hyperlink" Target="#'10 EVIDENCE &amp; DECISIONS'!A501" TargetMode="External" Id="rId504"/><Relationship Type="http://schemas.openxmlformats.org/officeDocument/2006/relationships/hyperlink" Target="#'10 EVIDENCE &amp; DECISIONS'!A502" TargetMode="External" Id="rId505"/><Relationship Type="http://schemas.openxmlformats.org/officeDocument/2006/relationships/hyperlink" Target="#'10 EVIDENCE &amp; DECISIONS'!A503" TargetMode="External" Id="rId506"/><Relationship Type="http://schemas.openxmlformats.org/officeDocument/2006/relationships/hyperlink" Target="#'10 EVIDENCE &amp; DECISIONS'!A504" TargetMode="External" Id="rId507"/><Relationship Type="http://schemas.openxmlformats.org/officeDocument/2006/relationships/hyperlink" Target="#'10 EVIDENCE &amp; DECISIONS'!A505" TargetMode="External" Id="rId508"/><Relationship Type="http://schemas.openxmlformats.org/officeDocument/2006/relationships/hyperlink" Target="#'10 EVIDENCE &amp; DECISIONS'!A506" TargetMode="External" Id="rId509"/><Relationship Type="http://schemas.openxmlformats.org/officeDocument/2006/relationships/hyperlink" Target="#'10 EVIDENCE &amp; DECISIONS'!A507" TargetMode="External" Id="rId510"/><Relationship Type="http://schemas.openxmlformats.org/officeDocument/2006/relationships/hyperlink" Target="#'10 EVIDENCE &amp; DECISIONS'!A508" TargetMode="External" Id="rId511"/><Relationship Type="http://schemas.openxmlformats.org/officeDocument/2006/relationships/hyperlink" Target="#'10 EVIDENCE &amp; DECISIONS'!A509" TargetMode="External" Id="rId512"/><Relationship Type="http://schemas.openxmlformats.org/officeDocument/2006/relationships/hyperlink" Target="#'10 EVIDENCE &amp; DECISIONS'!A510" TargetMode="External" Id="rId513"/><Relationship Type="http://schemas.openxmlformats.org/officeDocument/2006/relationships/hyperlink" Target="#'10 EVIDENCE &amp; DECISIONS'!A511" TargetMode="External" Id="rId514"/><Relationship Type="http://schemas.openxmlformats.org/officeDocument/2006/relationships/hyperlink" Target="#'10 EVIDENCE &amp; DECISIONS'!A512" TargetMode="External" Id="rId515"/><Relationship Type="http://schemas.openxmlformats.org/officeDocument/2006/relationships/hyperlink" Target="#'10 EVIDENCE &amp; DECISIONS'!A513" TargetMode="External" Id="rId516"/><Relationship Type="http://schemas.openxmlformats.org/officeDocument/2006/relationships/hyperlink" Target="#'10 EVIDENCE &amp; DECISIONS'!A514" TargetMode="External" Id="rId517"/><Relationship Type="http://schemas.openxmlformats.org/officeDocument/2006/relationships/hyperlink" Target="#'10 EVIDENCE &amp; DECISIONS'!A515" TargetMode="External" Id="rId518"/><Relationship Type="http://schemas.openxmlformats.org/officeDocument/2006/relationships/hyperlink" Target="#'10 EVIDENCE &amp; DECISIONS'!A516" TargetMode="External" Id="rId519"/><Relationship Type="http://schemas.openxmlformats.org/officeDocument/2006/relationships/hyperlink" Target="#'10 EVIDENCE &amp; DECISIONS'!A517" TargetMode="External" Id="rId520"/><Relationship Type="http://schemas.openxmlformats.org/officeDocument/2006/relationships/hyperlink" Target="#'10 EVIDENCE &amp; DECISIONS'!A518" TargetMode="External" Id="rId521"/><Relationship Type="http://schemas.openxmlformats.org/officeDocument/2006/relationships/hyperlink" Target="#'10 EVIDENCE &amp; DECISIONS'!A519" TargetMode="External" Id="rId522"/><Relationship Type="http://schemas.openxmlformats.org/officeDocument/2006/relationships/hyperlink" Target="#'10 EVIDENCE &amp; DECISIONS'!A520" TargetMode="External" Id="rId523"/><Relationship Type="http://schemas.openxmlformats.org/officeDocument/2006/relationships/hyperlink" Target="#'10 EVIDENCE &amp; DECISIONS'!A521" TargetMode="External" Id="rId524"/><Relationship Type="http://schemas.openxmlformats.org/officeDocument/2006/relationships/hyperlink" Target="#'10 EVIDENCE &amp; DECISIONS'!A522" TargetMode="External" Id="rId525"/><Relationship Type="http://schemas.openxmlformats.org/officeDocument/2006/relationships/hyperlink" Target="#'10 EVIDENCE &amp; DECISIONS'!A523" TargetMode="External" Id="rId526"/><Relationship Type="http://schemas.openxmlformats.org/officeDocument/2006/relationships/hyperlink" Target="#'10 EVIDENCE &amp; DECISIONS'!A524" TargetMode="External" Id="rId527"/><Relationship Type="http://schemas.openxmlformats.org/officeDocument/2006/relationships/hyperlink" Target="#'10 EVIDENCE &amp; DECISIONS'!A525" TargetMode="External" Id="rId528"/><Relationship Type="http://schemas.openxmlformats.org/officeDocument/2006/relationships/hyperlink" Target="#'10 EVIDENCE &amp; DECISIONS'!A526" TargetMode="External" Id="rId529"/><Relationship Type="http://schemas.openxmlformats.org/officeDocument/2006/relationships/hyperlink" Target="#'10 EVIDENCE &amp; DECISIONS'!A527" TargetMode="External" Id="rId530"/><Relationship Type="http://schemas.openxmlformats.org/officeDocument/2006/relationships/hyperlink" Target="#'10 EVIDENCE &amp; DECISIONS'!A528" TargetMode="External" Id="rId531"/><Relationship Type="http://schemas.openxmlformats.org/officeDocument/2006/relationships/hyperlink" Target="#'10 EVIDENCE &amp; DECISIONS'!A529" TargetMode="External" Id="rId532"/><Relationship Type="http://schemas.openxmlformats.org/officeDocument/2006/relationships/hyperlink" Target="#'10 EVIDENCE &amp; DECISIONS'!A530" TargetMode="External" Id="rId533"/><Relationship Type="http://schemas.openxmlformats.org/officeDocument/2006/relationships/hyperlink" Target="#'10 EVIDENCE &amp; DECISIONS'!A531" TargetMode="External" Id="rId534"/><Relationship Type="http://schemas.openxmlformats.org/officeDocument/2006/relationships/hyperlink" Target="#'10 EVIDENCE &amp; DECISIONS'!A532" TargetMode="External" Id="rId535"/><Relationship Type="http://schemas.openxmlformats.org/officeDocument/2006/relationships/hyperlink" Target="#'10 EVIDENCE &amp; DECISIONS'!A533" TargetMode="External" Id="rId536"/><Relationship Type="http://schemas.openxmlformats.org/officeDocument/2006/relationships/hyperlink" Target="#'10 EVIDENCE &amp; DECISIONS'!A534" TargetMode="External" Id="rId537"/><Relationship Type="http://schemas.openxmlformats.org/officeDocument/2006/relationships/hyperlink" Target="#'10 EVIDENCE &amp; DECISIONS'!A535" TargetMode="External" Id="rId538"/><Relationship Type="http://schemas.openxmlformats.org/officeDocument/2006/relationships/hyperlink" Target="#'10 EVIDENCE &amp; DECISIONS'!A536" TargetMode="External" Id="rId539"/><Relationship Type="http://schemas.openxmlformats.org/officeDocument/2006/relationships/hyperlink" Target="#'10 EVIDENCE &amp; DECISIONS'!A537" TargetMode="External" Id="rId540"/><Relationship Type="http://schemas.openxmlformats.org/officeDocument/2006/relationships/hyperlink" Target="#'10 EVIDENCE &amp; DECISIONS'!A538" TargetMode="External" Id="rId541"/><Relationship Type="http://schemas.openxmlformats.org/officeDocument/2006/relationships/hyperlink" Target="#'10 EVIDENCE &amp; DECISIONS'!A539" TargetMode="External" Id="rId542"/><Relationship Type="http://schemas.openxmlformats.org/officeDocument/2006/relationships/hyperlink" Target="#'10 EVIDENCE &amp; DECISIONS'!A540" TargetMode="External" Id="rId543"/><Relationship Type="http://schemas.openxmlformats.org/officeDocument/2006/relationships/hyperlink" Target="#'10 EVIDENCE &amp; DECISIONS'!A541" TargetMode="External" Id="rId544"/><Relationship Type="http://schemas.openxmlformats.org/officeDocument/2006/relationships/hyperlink" Target="#'10 EVIDENCE &amp; DECISIONS'!A542" TargetMode="External" Id="rId545"/><Relationship Type="http://schemas.openxmlformats.org/officeDocument/2006/relationships/hyperlink" Target="#'10 EVIDENCE &amp; DECISIONS'!A543" TargetMode="External" Id="rId546"/><Relationship Type="http://schemas.openxmlformats.org/officeDocument/2006/relationships/hyperlink" Target="#'10 EVIDENCE &amp; DECISIONS'!A544" TargetMode="External" Id="rId547"/><Relationship Type="http://schemas.openxmlformats.org/officeDocument/2006/relationships/hyperlink" Target="#'10 EVIDENCE &amp; DECISIONS'!A545" TargetMode="External" Id="rId548"/><Relationship Type="http://schemas.openxmlformats.org/officeDocument/2006/relationships/hyperlink" Target="#'10 EVIDENCE &amp; DECISIONS'!A546" TargetMode="External" Id="rId549"/><Relationship Type="http://schemas.openxmlformats.org/officeDocument/2006/relationships/hyperlink" Target="#'10 EVIDENCE &amp; DECISIONS'!A547" TargetMode="External" Id="rId550"/><Relationship Type="http://schemas.openxmlformats.org/officeDocument/2006/relationships/hyperlink" Target="#'10 EVIDENCE &amp; DECISIONS'!A548" TargetMode="External" Id="rId551"/><Relationship Type="http://schemas.openxmlformats.org/officeDocument/2006/relationships/hyperlink" Target="#'10 EVIDENCE &amp; DECISIONS'!A549" TargetMode="External" Id="rId552"/><Relationship Type="http://schemas.openxmlformats.org/officeDocument/2006/relationships/hyperlink" Target="#'10 EVIDENCE &amp; DECISIONS'!A550" TargetMode="External" Id="rId553"/><Relationship Type="http://schemas.openxmlformats.org/officeDocument/2006/relationships/hyperlink" Target="#'10 EVIDENCE &amp; DECISIONS'!A551" TargetMode="External" Id="rId554"/><Relationship Type="http://schemas.openxmlformats.org/officeDocument/2006/relationships/hyperlink" Target="#'10 EVIDENCE &amp; DECISIONS'!A552" TargetMode="External" Id="rId555"/><Relationship Type="http://schemas.openxmlformats.org/officeDocument/2006/relationships/hyperlink" Target="#'10 EVIDENCE &amp; DECISIONS'!A553" TargetMode="External" Id="rId556"/><Relationship Type="http://schemas.openxmlformats.org/officeDocument/2006/relationships/hyperlink" Target="#'10 EVIDENCE &amp; DECISIONS'!A554" TargetMode="External" Id="rId557"/><Relationship Type="http://schemas.openxmlformats.org/officeDocument/2006/relationships/hyperlink" Target="#'10 EVIDENCE &amp; DECISIONS'!A555" TargetMode="External" Id="rId558"/><Relationship Type="http://schemas.openxmlformats.org/officeDocument/2006/relationships/hyperlink" Target="#'10 EVIDENCE &amp; DECISIONS'!A556" TargetMode="External" Id="rId559"/><Relationship Type="http://schemas.openxmlformats.org/officeDocument/2006/relationships/hyperlink" Target="#'10 EVIDENCE &amp; DECISIONS'!A557" TargetMode="External" Id="rId560"/><Relationship Type="http://schemas.openxmlformats.org/officeDocument/2006/relationships/hyperlink" Target="#'10 EVIDENCE &amp; DECISIONS'!A558" TargetMode="External" Id="rId561"/><Relationship Type="http://schemas.openxmlformats.org/officeDocument/2006/relationships/hyperlink" Target="#'10 EVIDENCE &amp; DECISIONS'!A559" TargetMode="External" Id="rId562"/><Relationship Type="http://schemas.openxmlformats.org/officeDocument/2006/relationships/hyperlink" Target="#'10 EVIDENCE &amp; DECISIONS'!A560" TargetMode="External" Id="rId563"/><Relationship Type="http://schemas.openxmlformats.org/officeDocument/2006/relationships/hyperlink" Target="#'10 EVIDENCE &amp; DECISIONS'!A561" TargetMode="External" Id="rId564"/><Relationship Type="http://schemas.openxmlformats.org/officeDocument/2006/relationships/hyperlink" Target="#'10 EVIDENCE &amp; DECISIONS'!A562" TargetMode="External" Id="rId565"/><Relationship Type="http://schemas.openxmlformats.org/officeDocument/2006/relationships/hyperlink" Target="#'10 EVIDENCE &amp; DECISIONS'!A563" TargetMode="External" Id="rId566"/><Relationship Type="http://schemas.openxmlformats.org/officeDocument/2006/relationships/hyperlink" Target="#'10 EVIDENCE &amp; DECISIONS'!A564" TargetMode="External" Id="rId567"/><Relationship Type="http://schemas.openxmlformats.org/officeDocument/2006/relationships/hyperlink" Target="#'10 EVIDENCE &amp; DECISIONS'!A565" TargetMode="External" Id="rId568"/><Relationship Type="http://schemas.openxmlformats.org/officeDocument/2006/relationships/hyperlink" Target="#'10 EVIDENCE &amp; DECISIONS'!A566" TargetMode="External" Id="rId569"/><Relationship Type="http://schemas.openxmlformats.org/officeDocument/2006/relationships/hyperlink" Target="#'10 EVIDENCE &amp; DECISIONS'!A567" TargetMode="External" Id="rId570"/><Relationship Type="http://schemas.openxmlformats.org/officeDocument/2006/relationships/hyperlink" Target="#'10 EVIDENCE &amp; DECISIONS'!A568" TargetMode="External" Id="rId571"/><Relationship Type="http://schemas.openxmlformats.org/officeDocument/2006/relationships/hyperlink" Target="#'10 EVIDENCE &amp; DECISIONS'!A569" TargetMode="External" Id="rId572"/><Relationship Type="http://schemas.openxmlformats.org/officeDocument/2006/relationships/hyperlink" Target="#'10 EVIDENCE &amp; DECISIONS'!A570" TargetMode="External" Id="rId573"/><Relationship Type="http://schemas.openxmlformats.org/officeDocument/2006/relationships/hyperlink" Target="#'10 EVIDENCE &amp; DECISIONS'!A571" TargetMode="External" Id="rId574"/><Relationship Type="http://schemas.openxmlformats.org/officeDocument/2006/relationships/hyperlink" Target="#'10 EVIDENCE &amp; DECISIONS'!A572" TargetMode="External" Id="rId575"/><Relationship Type="http://schemas.openxmlformats.org/officeDocument/2006/relationships/hyperlink" Target="#'10 EVIDENCE &amp; DECISIONS'!A573" TargetMode="External" Id="rId576"/><Relationship Type="http://schemas.openxmlformats.org/officeDocument/2006/relationships/hyperlink" Target="#'10 EVIDENCE &amp; DECISIONS'!A574" TargetMode="External" Id="rId577"/><Relationship Type="http://schemas.openxmlformats.org/officeDocument/2006/relationships/hyperlink" Target="#'10 EVIDENCE &amp; DECISIONS'!A575" TargetMode="External" Id="rId578"/><Relationship Type="http://schemas.openxmlformats.org/officeDocument/2006/relationships/hyperlink" Target="#'10 EVIDENCE &amp; DECISIONS'!A576" TargetMode="External" Id="rId579"/><Relationship Type="http://schemas.openxmlformats.org/officeDocument/2006/relationships/hyperlink" Target="#'10 EVIDENCE &amp; DECISIONS'!A577" TargetMode="External" Id="rId580"/><Relationship Type="http://schemas.openxmlformats.org/officeDocument/2006/relationships/hyperlink" Target="#'10 EVIDENCE &amp; DECISIONS'!A578" TargetMode="External" Id="rId581"/><Relationship Type="http://schemas.openxmlformats.org/officeDocument/2006/relationships/hyperlink" Target="#'10 EVIDENCE &amp; DECISIONS'!A579" TargetMode="External" Id="rId582"/><Relationship Type="http://schemas.openxmlformats.org/officeDocument/2006/relationships/hyperlink" Target="#'10 EVIDENCE &amp; DECISIONS'!A580" TargetMode="External" Id="rId583"/><Relationship Type="http://schemas.openxmlformats.org/officeDocument/2006/relationships/hyperlink" Target="#'10 EVIDENCE &amp; DECISIONS'!A581" TargetMode="External" Id="rId584"/><Relationship Type="http://schemas.openxmlformats.org/officeDocument/2006/relationships/hyperlink" Target="#'10 EVIDENCE &amp; DECISIONS'!A582" TargetMode="External" Id="rId585"/><Relationship Type="http://schemas.openxmlformats.org/officeDocument/2006/relationships/hyperlink" Target="#'10 EVIDENCE &amp; DECISIONS'!A583" TargetMode="External" Id="rId586"/><Relationship Type="http://schemas.openxmlformats.org/officeDocument/2006/relationships/hyperlink" Target="#'10 EVIDENCE &amp; DECISIONS'!A584" TargetMode="External" Id="rId587"/><Relationship Type="http://schemas.openxmlformats.org/officeDocument/2006/relationships/hyperlink" Target="#'10 EVIDENCE &amp; DECISIONS'!A585" TargetMode="External" Id="rId588"/><Relationship Type="http://schemas.openxmlformats.org/officeDocument/2006/relationships/hyperlink" Target="#'10 EVIDENCE &amp; DECISIONS'!A586" TargetMode="External" Id="rId589"/><Relationship Type="http://schemas.openxmlformats.org/officeDocument/2006/relationships/hyperlink" Target="#'10 EVIDENCE &amp; DECISIONS'!A587" TargetMode="External" Id="rId590"/><Relationship Type="http://schemas.openxmlformats.org/officeDocument/2006/relationships/hyperlink" Target="#'10 EVIDENCE &amp; DECISIONS'!A588" TargetMode="External" Id="rId591"/><Relationship Type="http://schemas.openxmlformats.org/officeDocument/2006/relationships/hyperlink" Target="#'10 EVIDENCE &amp; DECISIONS'!A589" TargetMode="External" Id="rId592"/><Relationship Type="http://schemas.openxmlformats.org/officeDocument/2006/relationships/hyperlink" Target="#'10 EVIDENCE &amp; DECISIONS'!A590" TargetMode="External" Id="rId593"/><Relationship Type="http://schemas.openxmlformats.org/officeDocument/2006/relationships/hyperlink" Target="#'10 EVIDENCE &amp; DECISIONS'!A591" TargetMode="External" Id="rId594"/><Relationship Type="http://schemas.openxmlformats.org/officeDocument/2006/relationships/hyperlink" Target="#'10 EVIDENCE &amp; DECISIONS'!A592" TargetMode="External" Id="rId595"/><Relationship Type="http://schemas.openxmlformats.org/officeDocument/2006/relationships/hyperlink" Target="#'10 EVIDENCE &amp; DECISIONS'!A593" TargetMode="External" Id="rId596"/><Relationship Type="http://schemas.openxmlformats.org/officeDocument/2006/relationships/hyperlink" Target="#'10 EVIDENCE &amp; DECISIONS'!A594" TargetMode="External" Id="rId597"/><Relationship Type="http://schemas.openxmlformats.org/officeDocument/2006/relationships/hyperlink" Target="#'10 EVIDENCE &amp; DECISIONS'!A595" TargetMode="External" Id="rId598"/><Relationship Type="http://schemas.openxmlformats.org/officeDocument/2006/relationships/hyperlink" Target="#'10 EVIDENCE &amp; DECISIONS'!A596" TargetMode="External" Id="rId599"/><Relationship Type="http://schemas.openxmlformats.org/officeDocument/2006/relationships/hyperlink" Target="#'10 EVIDENCE &amp; DECISIONS'!A597" TargetMode="External" Id="rId600"/><Relationship Type="http://schemas.openxmlformats.org/officeDocument/2006/relationships/hyperlink" Target="#'10 EVIDENCE &amp; DECISIONS'!A598" TargetMode="External" Id="rId601"/><Relationship Type="http://schemas.openxmlformats.org/officeDocument/2006/relationships/hyperlink" Target="#'10 EVIDENCE &amp; DECISIONS'!A599" TargetMode="External" Id="rId602"/><Relationship Type="http://schemas.openxmlformats.org/officeDocument/2006/relationships/hyperlink" Target="#'10 EVIDENCE &amp; DECISIONS'!A600" TargetMode="External" Id="rId603"/><Relationship Type="http://schemas.openxmlformats.org/officeDocument/2006/relationships/hyperlink" Target="#'10 EVIDENCE &amp; DECISIONS'!A601" TargetMode="External" Id="rId604"/><Relationship Type="http://schemas.openxmlformats.org/officeDocument/2006/relationships/hyperlink" Target="#'10 EVIDENCE &amp; DECISIONS'!A602" TargetMode="External" Id="rId605"/><Relationship Type="http://schemas.openxmlformats.org/officeDocument/2006/relationships/hyperlink" Target="#'10 EVIDENCE &amp; DECISIONS'!A603" TargetMode="External" Id="rId606"/><Relationship Type="http://schemas.openxmlformats.org/officeDocument/2006/relationships/hyperlink" Target="#'10 EVIDENCE &amp; DECISIONS'!A604" TargetMode="External" Id="rId607"/><Relationship Type="http://schemas.openxmlformats.org/officeDocument/2006/relationships/hyperlink" Target="#'10 EVIDENCE &amp; DECISIONS'!A605" TargetMode="External" Id="rId608"/><Relationship Type="http://schemas.openxmlformats.org/officeDocument/2006/relationships/hyperlink" Target="#'10 EVIDENCE &amp; DECISIONS'!A606" TargetMode="External" Id="rId609"/><Relationship Type="http://schemas.openxmlformats.org/officeDocument/2006/relationships/hyperlink" Target="#'10 EVIDENCE &amp; DECISIONS'!A607" TargetMode="External" Id="rId610"/><Relationship Type="http://schemas.openxmlformats.org/officeDocument/2006/relationships/hyperlink" Target="#'10 EVIDENCE &amp; DECISIONS'!A608" TargetMode="External" Id="rId611"/><Relationship Type="http://schemas.openxmlformats.org/officeDocument/2006/relationships/hyperlink" Target="#'10 EVIDENCE &amp; DECISIONS'!A609" TargetMode="External" Id="rId612"/><Relationship Type="http://schemas.openxmlformats.org/officeDocument/2006/relationships/hyperlink" Target="#'10 EVIDENCE &amp; DECISIONS'!A610" TargetMode="External" Id="rId613"/><Relationship Type="http://schemas.openxmlformats.org/officeDocument/2006/relationships/hyperlink" Target="#'10 EVIDENCE &amp; DECISIONS'!A611" TargetMode="External" Id="rId614"/><Relationship Type="http://schemas.openxmlformats.org/officeDocument/2006/relationships/hyperlink" Target="#'10 EVIDENCE &amp; DECISIONS'!A612" TargetMode="External" Id="rId615"/><Relationship Type="http://schemas.openxmlformats.org/officeDocument/2006/relationships/hyperlink" Target="#'10 EVIDENCE &amp; DECISIONS'!A613" TargetMode="External" Id="rId616"/><Relationship Type="http://schemas.openxmlformats.org/officeDocument/2006/relationships/hyperlink" Target="#'10 EVIDENCE &amp; DECISIONS'!A614" TargetMode="External" Id="rId617"/><Relationship Type="http://schemas.openxmlformats.org/officeDocument/2006/relationships/hyperlink" Target="#'10 EVIDENCE &amp; DECISIONS'!A615" TargetMode="External" Id="rId618"/><Relationship Type="http://schemas.openxmlformats.org/officeDocument/2006/relationships/hyperlink" Target="#'10 EVIDENCE &amp; DECISIONS'!A616" TargetMode="External" Id="rId619"/><Relationship Type="http://schemas.openxmlformats.org/officeDocument/2006/relationships/hyperlink" Target="#'10 EVIDENCE &amp; DECISIONS'!A617" TargetMode="External" Id="rId620"/><Relationship Type="http://schemas.openxmlformats.org/officeDocument/2006/relationships/hyperlink" Target="#'10 EVIDENCE &amp; DECISIONS'!A618" TargetMode="External" Id="rId621"/><Relationship Type="http://schemas.openxmlformats.org/officeDocument/2006/relationships/hyperlink" Target="#'10 EVIDENCE &amp; DECISIONS'!A619" TargetMode="External" Id="rId622"/><Relationship Type="http://schemas.openxmlformats.org/officeDocument/2006/relationships/hyperlink" Target="#'10 EVIDENCE &amp; DECISIONS'!A620" TargetMode="External" Id="rId623"/><Relationship Type="http://schemas.openxmlformats.org/officeDocument/2006/relationships/hyperlink" Target="#'10 EVIDENCE &amp; DECISIONS'!A621" TargetMode="External" Id="rId624"/><Relationship Type="http://schemas.openxmlformats.org/officeDocument/2006/relationships/hyperlink" Target="#'10 EVIDENCE &amp; DECISIONS'!A622" TargetMode="External" Id="rId625"/><Relationship Type="http://schemas.openxmlformats.org/officeDocument/2006/relationships/hyperlink" Target="#'10 EVIDENCE &amp; DECISIONS'!A623" TargetMode="External" Id="rId626"/><Relationship Type="http://schemas.openxmlformats.org/officeDocument/2006/relationships/hyperlink" Target="#'10 EVIDENCE &amp; DECISIONS'!A624" TargetMode="External" Id="rId627"/><Relationship Type="http://schemas.openxmlformats.org/officeDocument/2006/relationships/hyperlink" Target="#'10 EVIDENCE &amp; DECISIONS'!A625" TargetMode="External" Id="rId628"/><Relationship Type="http://schemas.openxmlformats.org/officeDocument/2006/relationships/hyperlink" Target="#'10 EVIDENCE &amp; DECISIONS'!A626" TargetMode="External" Id="rId629"/><Relationship Type="http://schemas.openxmlformats.org/officeDocument/2006/relationships/hyperlink" Target="#'10 EVIDENCE &amp; DECISIONS'!A627" TargetMode="External" Id="rId630"/><Relationship Type="http://schemas.openxmlformats.org/officeDocument/2006/relationships/hyperlink" Target="#'10 EVIDENCE &amp; DECISIONS'!A628" TargetMode="External" Id="rId631"/><Relationship Type="http://schemas.openxmlformats.org/officeDocument/2006/relationships/hyperlink" Target="#'10 EVIDENCE &amp; DECISIONS'!A629" TargetMode="External" Id="rId632"/><Relationship Type="http://schemas.openxmlformats.org/officeDocument/2006/relationships/hyperlink" Target="#'10 EVIDENCE &amp; DECISIONS'!A630" TargetMode="External" Id="rId633"/><Relationship Type="http://schemas.openxmlformats.org/officeDocument/2006/relationships/hyperlink" Target="#'10 EVIDENCE &amp; DECISIONS'!A631" TargetMode="External" Id="rId634"/><Relationship Type="http://schemas.openxmlformats.org/officeDocument/2006/relationships/hyperlink" Target="#'10 EVIDENCE &amp; DECISIONS'!A632" TargetMode="External" Id="rId635"/><Relationship Type="http://schemas.openxmlformats.org/officeDocument/2006/relationships/hyperlink" Target="#'10 EVIDENCE &amp; DECISIONS'!A633" TargetMode="External" Id="rId636"/><Relationship Type="http://schemas.openxmlformats.org/officeDocument/2006/relationships/hyperlink" Target="#'10 EVIDENCE &amp; DECISIONS'!A634" TargetMode="External" Id="rId637"/><Relationship Type="http://schemas.openxmlformats.org/officeDocument/2006/relationships/hyperlink" Target="#'10 EVIDENCE &amp; DECISIONS'!A635" TargetMode="External" Id="rId638"/><Relationship Type="http://schemas.openxmlformats.org/officeDocument/2006/relationships/hyperlink" Target="#'10 EVIDENCE &amp; DECISIONS'!A636" TargetMode="External" Id="rId639"/><Relationship Type="http://schemas.openxmlformats.org/officeDocument/2006/relationships/hyperlink" Target="#'10 EVIDENCE &amp; DECISIONS'!A637" TargetMode="External" Id="rId640"/><Relationship Type="http://schemas.openxmlformats.org/officeDocument/2006/relationships/hyperlink" Target="#'10 EVIDENCE &amp; DECISIONS'!A638" TargetMode="External" Id="rId641"/><Relationship Type="http://schemas.openxmlformats.org/officeDocument/2006/relationships/hyperlink" Target="#'10 EVIDENCE &amp; DECISIONS'!A639" TargetMode="External" Id="rId642"/><Relationship Type="http://schemas.openxmlformats.org/officeDocument/2006/relationships/hyperlink" Target="#'10 EVIDENCE &amp; DECISIONS'!A640" TargetMode="External" Id="rId643"/><Relationship Type="http://schemas.openxmlformats.org/officeDocument/2006/relationships/hyperlink" Target="#'10 EVIDENCE &amp; DECISIONS'!A641" TargetMode="External" Id="rId644"/><Relationship Type="http://schemas.openxmlformats.org/officeDocument/2006/relationships/hyperlink" Target="#'10 EVIDENCE &amp; DECISIONS'!A642" TargetMode="External" Id="rId645"/><Relationship Type="http://schemas.openxmlformats.org/officeDocument/2006/relationships/hyperlink" Target="#'10 EVIDENCE &amp; DECISIONS'!A643" TargetMode="External" Id="rId646"/><Relationship Type="http://schemas.openxmlformats.org/officeDocument/2006/relationships/hyperlink" Target="#'10 EVIDENCE &amp; DECISIONS'!A644" TargetMode="External" Id="rId647"/><Relationship Type="http://schemas.openxmlformats.org/officeDocument/2006/relationships/hyperlink" Target="#'10 EVIDENCE &amp; DECISIONS'!A645" TargetMode="External" Id="rId648"/><Relationship Type="http://schemas.openxmlformats.org/officeDocument/2006/relationships/hyperlink" Target="#'10 EVIDENCE &amp; DECISIONS'!A646" TargetMode="External" Id="rId649"/><Relationship Type="http://schemas.openxmlformats.org/officeDocument/2006/relationships/hyperlink" Target="#'10 EVIDENCE &amp; DECISIONS'!A647" TargetMode="External" Id="rId650"/><Relationship Type="http://schemas.openxmlformats.org/officeDocument/2006/relationships/hyperlink" Target="#'10 EVIDENCE &amp; DECISIONS'!A648" TargetMode="External" Id="rId651"/><Relationship Type="http://schemas.openxmlformats.org/officeDocument/2006/relationships/hyperlink" Target="#'10 EVIDENCE &amp; DECISIONS'!A649" TargetMode="External" Id="rId652"/><Relationship Type="http://schemas.openxmlformats.org/officeDocument/2006/relationships/hyperlink" Target="#'10 EVIDENCE &amp; DECISIONS'!A650" TargetMode="External" Id="rId653"/><Relationship Type="http://schemas.openxmlformats.org/officeDocument/2006/relationships/hyperlink" Target="#'10 EVIDENCE &amp; DECISIONS'!A651" TargetMode="External" Id="rId654"/><Relationship Type="http://schemas.openxmlformats.org/officeDocument/2006/relationships/hyperlink" Target="#'10 EVIDENCE &amp; DECISIONS'!A652" TargetMode="External" Id="rId655"/><Relationship Type="http://schemas.openxmlformats.org/officeDocument/2006/relationships/hyperlink" Target="#'10 EVIDENCE &amp; DECISIONS'!A653" TargetMode="External" Id="rId656"/><Relationship Type="http://schemas.openxmlformats.org/officeDocument/2006/relationships/hyperlink" Target="#'10 EVIDENCE &amp; DECISIONS'!A654" TargetMode="External" Id="rId657"/><Relationship Type="http://schemas.openxmlformats.org/officeDocument/2006/relationships/hyperlink" Target="#'10 EVIDENCE &amp; DECISIONS'!A655" TargetMode="External" Id="rId658"/><Relationship Type="http://schemas.openxmlformats.org/officeDocument/2006/relationships/hyperlink" Target="#'10 EVIDENCE &amp; DECISIONS'!A656" TargetMode="External" Id="rId659"/><Relationship Type="http://schemas.openxmlformats.org/officeDocument/2006/relationships/hyperlink" Target="#'10 EVIDENCE &amp; DECISIONS'!A657" TargetMode="External" Id="rId660"/><Relationship Type="http://schemas.openxmlformats.org/officeDocument/2006/relationships/hyperlink" Target="#'10 EVIDENCE &amp; DECISIONS'!A658" TargetMode="External" Id="rId661"/><Relationship Type="http://schemas.openxmlformats.org/officeDocument/2006/relationships/hyperlink" Target="#'10 EVIDENCE &amp; DECISIONS'!A659" TargetMode="External" Id="rId662"/><Relationship Type="http://schemas.openxmlformats.org/officeDocument/2006/relationships/hyperlink" Target="#'10 EVIDENCE &amp; DECISIONS'!A660" TargetMode="External" Id="rId663"/><Relationship Type="http://schemas.openxmlformats.org/officeDocument/2006/relationships/hyperlink" Target="#'10 EVIDENCE &amp; DECISIONS'!A661" TargetMode="External" Id="rId664"/><Relationship Type="http://schemas.openxmlformats.org/officeDocument/2006/relationships/hyperlink" Target="#'10 EVIDENCE &amp; DECISIONS'!A662" TargetMode="External" Id="rId665"/><Relationship Type="http://schemas.openxmlformats.org/officeDocument/2006/relationships/hyperlink" Target="#'10 EVIDENCE &amp; DECISIONS'!A663" TargetMode="External" Id="rId666"/><Relationship Type="http://schemas.openxmlformats.org/officeDocument/2006/relationships/hyperlink" Target="#'10 EVIDENCE &amp; DECISIONS'!A664" TargetMode="External" Id="rId667"/><Relationship Type="http://schemas.openxmlformats.org/officeDocument/2006/relationships/hyperlink" Target="#'10 EVIDENCE &amp; DECISIONS'!A665" TargetMode="External" Id="rId668"/><Relationship Type="http://schemas.openxmlformats.org/officeDocument/2006/relationships/hyperlink" Target="#'10 EVIDENCE &amp; DECISIONS'!A666" TargetMode="External" Id="rId669"/><Relationship Type="http://schemas.openxmlformats.org/officeDocument/2006/relationships/hyperlink" Target="#'10 EVIDENCE &amp; DECISIONS'!A667" TargetMode="External" Id="rId670"/><Relationship Type="http://schemas.openxmlformats.org/officeDocument/2006/relationships/hyperlink" Target="#'10 EVIDENCE &amp; DECISIONS'!A668" TargetMode="External" Id="rId671"/><Relationship Type="http://schemas.openxmlformats.org/officeDocument/2006/relationships/hyperlink" Target="#'10 EVIDENCE &amp; DECISIONS'!A669" TargetMode="External" Id="rId672"/><Relationship Type="http://schemas.openxmlformats.org/officeDocument/2006/relationships/hyperlink" Target="#'10 EVIDENCE &amp; DECISIONS'!A670" TargetMode="External" Id="rId673"/><Relationship Type="http://schemas.openxmlformats.org/officeDocument/2006/relationships/hyperlink" Target="#'10 EVIDENCE &amp; DECISIONS'!A671" TargetMode="External" Id="rId674"/><Relationship Type="http://schemas.openxmlformats.org/officeDocument/2006/relationships/hyperlink" Target="#'10 EVIDENCE &amp; DECISIONS'!A672" TargetMode="External" Id="rId675"/><Relationship Type="http://schemas.openxmlformats.org/officeDocument/2006/relationships/hyperlink" Target="#'10 EVIDENCE &amp; DECISIONS'!A673" TargetMode="External" Id="rId676"/><Relationship Type="http://schemas.openxmlformats.org/officeDocument/2006/relationships/hyperlink" Target="#'10 EVIDENCE &amp; DECISIONS'!A674" TargetMode="External" Id="rId677"/><Relationship Type="http://schemas.openxmlformats.org/officeDocument/2006/relationships/hyperlink" Target="#'10 EVIDENCE &amp; DECISIONS'!A675" TargetMode="External" Id="rId678"/><Relationship Type="http://schemas.openxmlformats.org/officeDocument/2006/relationships/hyperlink" Target="#'10 EVIDENCE &amp; DECISIONS'!A676" TargetMode="External" Id="rId679"/><Relationship Type="http://schemas.openxmlformats.org/officeDocument/2006/relationships/hyperlink" Target="#'10 EVIDENCE &amp; DECISIONS'!A677" TargetMode="External" Id="rId680"/><Relationship Type="http://schemas.openxmlformats.org/officeDocument/2006/relationships/hyperlink" Target="#'10 EVIDENCE &amp; DECISIONS'!A678" TargetMode="External" Id="rId681"/><Relationship Type="http://schemas.openxmlformats.org/officeDocument/2006/relationships/hyperlink" Target="#'10 EVIDENCE &amp; DECISIONS'!A679" TargetMode="External" Id="rId682"/><Relationship Type="http://schemas.openxmlformats.org/officeDocument/2006/relationships/hyperlink" Target="#'10 EVIDENCE &amp; DECISIONS'!A680" TargetMode="External" Id="rId683"/><Relationship Type="http://schemas.openxmlformats.org/officeDocument/2006/relationships/hyperlink" Target="#'10 EVIDENCE &amp; DECISIONS'!A681" TargetMode="External" Id="rId684"/><Relationship Type="http://schemas.openxmlformats.org/officeDocument/2006/relationships/hyperlink" Target="#'10 EVIDENCE &amp; DECISIONS'!A682" TargetMode="External" Id="rId685"/><Relationship Type="http://schemas.openxmlformats.org/officeDocument/2006/relationships/hyperlink" Target="#'10 EVIDENCE &amp; DECISIONS'!A683" TargetMode="External" Id="rId686"/><Relationship Type="http://schemas.openxmlformats.org/officeDocument/2006/relationships/hyperlink" Target="#'10 EVIDENCE &amp; DECISIONS'!A684" TargetMode="External" Id="rId687"/><Relationship Type="http://schemas.openxmlformats.org/officeDocument/2006/relationships/hyperlink" Target="#'10 EVIDENCE &amp; DECISIONS'!A685" TargetMode="External" Id="rId688"/><Relationship Type="http://schemas.openxmlformats.org/officeDocument/2006/relationships/hyperlink" Target="#'10 EVIDENCE &amp; DECISIONS'!A686" TargetMode="External" Id="rId689"/><Relationship Type="http://schemas.openxmlformats.org/officeDocument/2006/relationships/hyperlink" Target="#'10 EVIDENCE &amp; DECISIONS'!A687" TargetMode="External" Id="rId690"/><Relationship Type="http://schemas.openxmlformats.org/officeDocument/2006/relationships/hyperlink" Target="#'10 EVIDENCE &amp; DECISIONS'!A688" TargetMode="External" Id="rId691"/><Relationship Type="http://schemas.openxmlformats.org/officeDocument/2006/relationships/hyperlink" Target="#'10 EVIDENCE &amp; DECISIONS'!A689" TargetMode="External" Id="rId692"/><Relationship Type="http://schemas.openxmlformats.org/officeDocument/2006/relationships/hyperlink" Target="#'10 EVIDENCE &amp; DECISIONS'!A690" TargetMode="External" Id="rId693"/><Relationship Type="http://schemas.openxmlformats.org/officeDocument/2006/relationships/hyperlink" Target="#'10 EVIDENCE &amp; DECISIONS'!A691" TargetMode="External" Id="rId694"/><Relationship Type="http://schemas.openxmlformats.org/officeDocument/2006/relationships/hyperlink" Target="#'10 EVIDENCE &amp; DECISIONS'!A692" TargetMode="External" Id="rId695"/><Relationship Type="http://schemas.openxmlformats.org/officeDocument/2006/relationships/hyperlink" Target="#'10 EVIDENCE &amp; DECISIONS'!A693" TargetMode="External" Id="rId696"/><Relationship Type="http://schemas.openxmlformats.org/officeDocument/2006/relationships/hyperlink" Target="#'10 EVIDENCE &amp; DECISIONS'!A694" TargetMode="External" Id="rId697"/><Relationship Type="http://schemas.openxmlformats.org/officeDocument/2006/relationships/hyperlink" Target="#'10 EVIDENCE &amp; DECISIONS'!A695" TargetMode="External" Id="rId698"/><Relationship Type="http://schemas.openxmlformats.org/officeDocument/2006/relationships/hyperlink" Target="#'10 EVIDENCE &amp; DECISIONS'!A696" TargetMode="External" Id="rId699"/><Relationship Type="http://schemas.openxmlformats.org/officeDocument/2006/relationships/hyperlink" Target="#'10 EVIDENCE &amp; DECISIONS'!A697" TargetMode="External" Id="rId700"/><Relationship Type="http://schemas.openxmlformats.org/officeDocument/2006/relationships/hyperlink" Target="#'10 EVIDENCE &amp; DECISIONS'!A698" TargetMode="External" Id="rId701"/><Relationship Type="http://schemas.openxmlformats.org/officeDocument/2006/relationships/hyperlink" Target="#'10 EVIDENCE &amp; DECISIONS'!A699" TargetMode="External" Id="rId702"/><Relationship Type="http://schemas.openxmlformats.org/officeDocument/2006/relationships/hyperlink" Target="#'10 EVIDENCE &amp; DECISIONS'!A700" TargetMode="External" Id="rId703"/><Relationship Type="http://schemas.openxmlformats.org/officeDocument/2006/relationships/hyperlink" Target="#'10 EVIDENCE &amp; DECISIONS'!A701" TargetMode="External" Id="rId704"/><Relationship Type="http://schemas.openxmlformats.org/officeDocument/2006/relationships/hyperlink" Target="#'10 EVIDENCE &amp; DECISIONS'!A702" TargetMode="External" Id="rId705"/><Relationship Type="http://schemas.openxmlformats.org/officeDocument/2006/relationships/hyperlink" Target="#'10 EVIDENCE &amp; DECISIONS'!A703" TargetMode="External" Id="rId706"/><Relationship Type="http://schemas.openxmlformats.org/officeDocument/2006/relationships/hyperlink" Target="#'10 EVIDENCE &amp; DECISIONS'!A704" TargetMode="External" Id="rId707"/><Relationship Type="http://schemas.openxmlformats.org/officeDocument/2006/relationships/hyperlink" Target="#'10 EVIDENCE &amp; DECISIONS'!A705" TargetMode="External" Id="rId708"/><Relationship Type="http://schemas.openxmlformats.org/officeDocument/2006/relationships/hyperlink" Target="#'10 EVIDENCE &amp; DECISIONS'!A706" TargetMode="External" Id="rId709"/><Relationship Type="http://schemas.openxmlformats.org/officeDocument/2006/relationships/hyperlink" Target="#'10 EVIDENCE &amp; DECISIONS'!A707" TargetMode="External" Id="rId710"/><Relationship Type="http://schemas.openxmlformats.org/officeDocument/2006/relationships/hyperlink" Target="#'10 EVIDENCE &amp; DECISIONS'!A708" TargetMode="External" Id="rId711"/><Relationship Type="http://schemas.openxmlformats.org/officeDocument/2006/relationships/hyperlink" Target="#'10 EVIDENCE &amp; DECISIONS'!A709" TargetMode="External" Id="rId712"/><Relationship Type="http://schemas.openxmlformats.org/officeDocument/2006/relationships/hyperlink" Target="#'10 EVIDENCE &amp; DECISIONS'!A710" TargetMode="External" Id="rId713"/><Relationship Type="http://schemas.openxmlformats.org/officeDocument/2006/relationships/hyperlink" Target="#'10 EVIDENCE &amp; DECISIONS'!A711" TargetMode="External" Id="rId714"/><Relationship Type="http://schemas.openxmlformats.org/officeDocument/2006/relationships/hyperlink" Target="#'10 EVIDENCE &amp; DECISIONS'!A712" TargetMode="External" Id="rId715"/><Relationship Type="http://schemas.openxmlformats.org/officeDocument/2006/relationships/hyperlink" Target="#'10 EVIDENCE &amp; DECISIONS'!A713" TargetMode="External" Id="rId716"/><Relationship Type="http://schemas.openxmlformats.org/officeDocument/2006/relationships/hyperlink" Target="#'10 EVIDENCE &amp; DECISIONS'!A714" TargetMode="External" Id="rId717"/><Relationship Type="http://schemas.openxmlformats.org/officeDocument/2006/relationships/hyperlink" Target="#'10 EVIDENCE &amp; DECISIONS'!A715" TargetMode="External" Id="rId718"/><Relationship Type="http://schemas.openxmlformats.org/officeDocument/2006/relationships/hyperlink" Target="#'10 EVIDENCE &amp; DECISIONS'!A716" TargetMode="External" Id="rId719"/><Relationship Type="http://schemas.openxmlformats.org/officeDocument/2006/relationships/hyperlink" Target="#'10 EVIDENCE &amp; DECISIONS'!A717" TargetMode="External" Id="rId720"/><Relationship Type="http://schemas.openxmlformats.org/officeDocument/2006/relationships/hyperlink" Target="#'10 EVIDENCE &amp; DECISIONS'!A718" TargetMode="External" Id="rId721"/><Relationship Type="http://schemas.openxmlformats.org/officeDocument/2006/relationships/hyperlink" Target="#'10 EVIDENCE &amp; DECISIONS'!A719" TargetMode="External" Id="rId722"/><Relationship Type="http://schemas.openxmlformats.org/officeDocument/2006/relationships/hyperlink" Target="#'10 EVIDENCE &amp; DECISIONS'!A720" TargetMode="External" Id="rId723"/><Relationship Type="http://schemas.openxmlformats.org/officeDocument/2006/relationships/hyperlink" Target="#'10 EVIDENCE &amp; DECISIONS'!A721" TargetMode="External" Id="rId724"/><Relationship Type="http://schemas.openxmlformats.org/officeDocument/2006/relationships/hyperlink" Target="#'10 EVIDENCE &amp; DECISIONS'!A722" TargetMode="External" Id="rId725"/><Relationship Type="http://schemas.openxmlformats.org/officeDocument/2006/relationships/hyperlink" Target="#'10 EVIDENCE &amp; DECISIONS'!A723" TargetMode="External" Id="rId726"/><Relationship Type="http://schemas.openxmlformats.org/officeDocument/2006/relationships/hyperlink" Target="#'10 EVIDENCE &amp; DECISIONS'!A724" TargetMode="External" Id="rId727"/><Relationship Type="http://schemas.openxmlformats.org/officeDocument/2006/relationships/hyperlink" Target="#'10 EVIDENCE &amp; DECISIONS'!A725" TargetMode="External" Id="rId728"/><Relationship Type="http://schemas.openxmlformats.org/officeDocument/2006/relationships/hyperlink" Target="#'10 EVIDENCE &amp; DECISIONS'!A726" TargetMode="External" Id="rId729"/><Relationship Type="http://schemas.openxmlformats.org/officeDocument/2006/relationships/hyperlink" Target="#'10 EVIDENCE &amp; DECISIONS'!A727" TargetMode="External" Id="rId730"/><Relationship Type="http://schemas.openxmlformats.org/officeDocument/2006/relationships/hyperlink" Target="#'10 EVIDENCE &amp; DECISIONS'!A728" TargetMode="External" Id="rId731"/><Relationship Type="http://schemas.openxmlformats.org/officeDocument/2006/relationships/hyperlink" Target="#'10 EVIDENCE &amp; DECISIONS'!A729" TargetMode="External" Id="rId732"/><Relationship Type="http://schemas.openxmlformats.org/officeDocument/2006/relationships/hyperlink" Target="#'10 EVIDENCE &amp; DECISIONS'!A730" TargetMode="External" Id="rId733"/><Relationship Type="http://schemas.openxmlformats.org/officeDocument/2006/relationships/hyperlink" Target="#'10 EVIDENCE &amp; DECISIONS'!A731" TargetMode="External" Id="rId734"/><Relationship Type="http://schemas.openxmlformats.org/officeDocument/2006/relationships/hyperlink" Target="#'10 EVIDENCE &amp; DECISIONS'!A732" TargetMode="External" Id="rId735"/><Relationship Type="http://schemas.openxmlformats.org/officeDocument/2006/relationships/hyperlink" Target="#'10 EVIDENCE &amp; DECISIONS'!A733" TargetMode="External" Id="rId736"/><Relationship Type="http://schemas.openxmlformats.org/officeDocument/2006/relationships/hyperlink" Target="#'10 EVIDENCE &amp; DECISIONS'!A734" TargetMode="External" Id="rId737"/><Relationship Type="http://schemas.openxmlformats.org/officeDocument/2006/relationships/hyperlink" Target="#'10 EVIDENCE &amp; DECISIONS'!A735" TargetMode="External" Id="rId738"/><Relationship Type="http://schemas.openxmlformats.org/officeDocument/2006/relationships/hyperlink" Target="#'10 EVIDENCE &amp; DECISIONS'!A736" TargetMode="External" Id="rId739"/><Relationship Type="http://schemas.openxmlformats.org/officeDocument/2006/relationships/hyperlink" Target="#'10 EVIDENCE &amp; DECISIONS'!A737" TargetMode="External" Id="rId740"/><Relationship Type="http://schemas.openxmlformats.org/officeDocument/2006/relationships/hyperlink" Target="#'10 EVIDENCE &amp; DECISIONS'!A738" TargetMode="External" Id="rId741"/><Relationship Type="http://schemas.openxmlformats.org/officeDocument/2006/relationships/hyperlink" Target="#'10 EVIDENCE &amp; DECISIONS'!A739" TargetMode="External" Id="rId742"/><Relationship Type="http://schemas.openxmlformats.org/officeDocument/2006/relationships/hyperlink" Target="#'10 EVIDENCE &amp; DECISIONS'!A740" TargetMode="External" Id="rId743"/><Relationship Type="http://schemas.openxmlformats.org/officeDocument/2006/relationships/hyperlink" Target="#'10 EVIDENCE &amp; DECISIONS'!A741" TargetMode="External" Id="rId744"/><Relationship Type="http://schemas.openxmlformats.org/officeDocument/2006/relationships/hyperlink" Target="#'10 EVIDENCE &amp; DECISIONS'!A742" TargetMode="External" Id="rId745"/><Relationship Type="http://schemas.openxmlformats.org/officeDocument/2006/relationships/hyperlink" Target="#'10 EVIDENCE &amp; DECISIONS'!A743" TargetMode="External" Id="rId746"/><Relationship Type="http://schemas.openxmlformats.org/officeDocument/2006/relationships/hyperlink" Target="#'10 EVIDENCE &amp; DECISIONS'!A744" TargetMode="External" Id="rId747"/><Relationship Type="http://schemas.openxmlformats.org/officeDocument/2006/relationships/hyperlink" Target="#'10 EVIDENCE &amp; DECISIONS'!A745" TargetMode="External" Id="rId748"/><Relationship Type="http://schemas.openxmlformats.org/officeDocument/2006/relationships/hyperlink" Target="#'10 EVIDENCE &amp; DECISIONS'!A746" TargetMode="External" Id="rId749"/><Relationship Type="http://schemas.openxmlformats.org/officeDocument/2006/relationships/hyperlink" Target="#'10 EVIDENCE &amp; DECISIONS'!A747" TargetMode="External" Id="rId750"/><Relationship Type="http://schemas.openxmlformats.org/officeDocument/2006/relationships/hyperlink" Target="#'10 EVIDENCE &amp; DECISIONS'!A748" TargetMode="External" Id="rId751"/><Relationship Type="http://schemas.openxmlformats.org/officeDocument/2006/relationships/hyperlink" Target="#'10 EVIDENCE &amp; DECISIONS'!A749" TargetMode="External" Id="rId752"/><Relationship Type="http://schemas.openxmlformats.org/officeDocument/2006/relationships/hyperlink" Target="#'10 EVIDENCE &amp; DECISIONS'!A750" TargetMode="External" Id="rId753"/><Relationship Type="http://schemas.openxmlformats.org/officeDocument/2006/relationships/hyperlink" Target="#'10 EVIDENCE &amp; DECISIONS'!A751" TargetMode="External" Id="rId754"/><Relationship Type="http://schemas.openxmlformats.org/officeDocument/2006/relationships/hyperlink" Target="#'10 EVIDENCE &amp; DECISIONS'!A752" TargetMode="External" Id="rId755"/><Relationship Type="http://schemas.openxmlformats.org/officeDocument/2006/relationships/hyperlink" Target="#'10 EVIDENCE &amp; DECISIONS'!A753" TargetMode="External" Id="rId756"/><Relationship Type="http://schemas.openxmlformats.org/officeDocument/2006/relationships/hyperlink" Target="#'10 EVIDENCE &amp; DECISIONS'!A754" TargetMode="External" Id="rId757"/><Relationship Type="http://schemas.openxmlformats.org/officeDocument/2006/relationships/hyperlink" Target="#'10 EVIDENCE &amp; DECISIONS'!A755" TargetMode="External" Id="rId758"/><Relationship Type="http://schemas.openxmlformats.org/officeDocument/2006/relationships/hyperlink" Target="#'10 EVIDENCE &amp; DECISIONS'!A756" TargetMode="External" Id="rId759"/><Relationship Type="http://schemas.openxmlformats.org/officeDocument/2006/relationships/hyperlink" Target="#'10 EVIDENCE &amp; DECISIONS'!A757" TargetMode="External" Id="rId760"/><Relationship Type="http://schemas.openxmlformats.org/officeDocument/2006/relationships/hyperlink" Target="#'10 EVIDENCE &amp; DECISIONS'!A758" TargetMode="External" Id="rId761"/><Relationship Type="http://schemas.openxmlformats.org/officeDocument/2006/relationships/hyperlink" Target="#'10 EVIDENCE &amp; DECISIONS'!A759" TargetMode="External" Id="rId762"/><Relationship Type="http://schemas.openxmlformats.org/officeDocument/2006/relationships/hyperlink" Target="#'10 EVIDENCE &amp; DECISIONS'!A760" TargetMode="External" Id="rId763"/><Relationship Type="http://schemas.openxmlformats.org/officeDocument/2006/relationships/hyperlink" Target="#'10 EVIDENCE &amp; DECISIONS'!A761" TargetMode="External" Id="rId764"/><Relationship Type="http://schemas.openxmlformats.org/officeDocument/2006/relationships/hyperlink" Target="#'10 EVIDENCE &amp; DECISIONS'!A762" TargetMode="External" Id="rId765"/><Relationship Type="http://schemas.openxmlformats.org/officeDocument/2006/relationships/hyperlink" Target="#'10 EVIDENCE &amp; DECISIONS'!A763" TargetMode="External" Id="rId766"/><Relationship Type="http://schemas.openxmlformats.org/officeDocument/2006/relationships/hyperlink" Target="#'10 EVIDENCE &amp; DECISIONS'!A764" TargetMode="External" Id="rId767"/><Relationship Type="http://schemas.openxmlformats.org/officeDocument/2006/relationships/hyperlink" Target="#'10 EVIDENCE &amp; DECISIONS'!A765" TargetMode="External" Id="rId768"/><Relationship Type="http://schemas.openxmlformats.org/officeDocument/2006/relationships/hyperlink" Target="#'10 EVIDENCE &amp; DECISIONS'!A766" TargetMode="External" Id="rId769"/><Relationship Type="http://schemas.openxmlformats.org/officeDocument/2006/relationships/hyperlink" Target="#'10 EVIDENCE &amp; DECISIONS'!A767" TargetMode="External" Id="rId770"/><Relationship Type="http://schemas.openxmlformats.org/officeDocument/2006/relationships/hyperlink" Target="#'10 EVIDENCE &amp; DECISIONS'!A768" TargetMode="External" Id="rId771"/><Relationship Type="http://schemas.openxmlformats.org/officeDocument/2006/relationships/hyperlink" Target="#'10 EVIDENCE &amp; DECISIONS'!A769" TargetMode="External" Id="rId772"/><Relationship Type="http://schemas.openxmlformats.org/officeDocument/2006/relationships/hyperlink" Target="#'10 EVIDENCE &amp; DECISIONS'!A770" TargetMode="External" Id="rId773"/><Relationship Type="http://schemas.openxmlformats.org/officeDocument/2006/relationships/hyperlink" Target="#'10 EVIDENCE &amp; DECISIONS'!A771" TargetMode="External" Id="rId774"/><Relationship Type="http://schemas.openxmlformats.org/officeDocument/2006/relationships/hyperlink" Target="#'10 EVIDENCE &amp; DECISIONS'!A772" TargetMode="External" Id="rId775"/><Relationship Type="http://schemas.openxmlformats.org/officeDocument/2006/relationships/hyperlink" Target="#'10 EVIDENCE &amp; DECISIONS'!A773" TargetMode="External" Id="rId776"/><Relationship Type="http://schemas.openxmlformats.org/officeDocument/2006/relationships/hyperlink" Target="#'10 EVIDENCE &amp; DECISIONS'!A774" TargetMode="External" Id="rId777"/><Relationship Type="http://schemas.openxmlformats.org/officeDocument/2006/relationships/hyperlink" Target="#'10 EVIDENCE &amp; DECISIONS'!A775" TargetMode="External" Id="rId778"/><Relationship Type="http://schemas.openxmlformats.org/officeDocument/2006/relationships/hyperlink" Target="#'10 EVIDENCE &amp; DECISIONS'!A776" TargetMode="External" Id="rId779"/><Relationship Type="http://schemas.openxmlformats.org/officeDocument/2006/relationships/hyperlink" Target="#'10 EVIDENCE &amp; DECISIONS'!A777" TargetMode="External" Id="rId780"/><Relationship Type="http://schemas.openxmlformats.org/officeDocument/2006/relationships/hyperlink" Target="#'10 EVIDENCE &amp; DECISIONS'!A778" TargetMode="External" Id="rId781"/><Relationship Type="http://schemas.openxmlformats.org/officeDocument/2006/relationships/hyperlink" Target="#'10 EVIDENCE &amp; DECISIONS'!A779" TargetMode="External" Id="rId782"/><Relationship Type="http://schemas.openxmlformats.org/officeDocument/2006/relationships/hyperlink" Target="#'10 EVIDENCE &amp; DECISIONS'!A780" TargetMode="External" Id="rId783"/><Relationship Type="http://schemas.openxmlformats.org/officeDocument/2006/relationships/hyperlink" Target="#'10 EVIDENCE &amp; DECISIONS'!A781" TargetMode="External" Id="rId784"/><Relationship Type="http://schemas.openxmlformats.org/officeDocument/2006/relationships/hyperlink" Target="#'10 EVIDENCE &amp; DECISIONS'!A782" TargetMode="External" Id="rId785"/><Relationship Type="http://schemas.openxmlformats.org/officeDocument/2006/relationships/hyperlink" Target="#'10 EVIDENCE &amp; DECISIONS'!A783" TargetMode="External" Id="rId786"/><Relationship Type="http://schemas.openxmlformats.org/officeDocument/2006/relationships/hyperlink" Target="#'10 EVIDENCE &amp; DECISIONS'!A784" TargetMode="External" Id="rId787"/><Relationship Type="http://schemas.openxmlformats.org/officeDocument/2006/relationships/hyperlink" Target="#'10 EVIDENCE &amp; DECISIONS'!A785" TargetMode="External" Id="rId788"/><Relationship Type="http://schemas.openxmlformats.org/officeDocument/2006/relationships/hyperlink" Target="#'10 EVIDENCE &amp; DECISIONS'!A786" TargetMode="External" Id="rId789"/><Relationship Type="http://schemas.openxmlformats.org/officeDocument/2006/relationships/hyperlink" Target="#'10 EVIDENCE &amp; DECISIONS'!A787" TargetMode="External" Id="rId790"/><Relationship Type="http://schemas.openxmlformats.org/officeDocument/2006/relationships/hyperlink" Target="#'10 EVIDENCE &amp; DECISIONS'!A788" TargetMode="External" Id="rId791"/><Relationship Type="http://schemas.openxmlformats.org/officeDocument/2006/relationships/hyperlink" Target="#'10 EVIDENCE &amp; DECISIONS'!A789" TargetMode="External" Id="rId792"/><Relationship Type="http://schemas.openxmlformats.org/officeDocument/2006/relationships/hyperlink" Target="#'10 EVIDENCE &amp; DECISIONS'!A790" TargetMode="External" Id="rId793"/><Relationship Type="http://schemas.openxmlformats.org/officeDocument/2006/relationships/hyperlink" Target="#'10 EVIDENCE &amp; DECISIONS'!A791" TargetMode="External" Id="rId794"/><Relationship Type="http://schemas.openxmlformats.org/officeDocument/2006/relationships/hyperlink" Target="#'10 EVIDENCE &amp; DECISIONS'!A792" TargetMode="External" Id="rId795"/><Relationship Type="http://schemas.openxmlformats.org/officeDocument/2006/relationships/hyperlink" Target="#'10 EVIDENCE &amp; DECISIONS'!A793" TargetMode="External" Id="rId796"/><Relationship Type="http://schemas.openxmlformats.org/officeDocument/2006/relationships/hyperlink" Target="#'10 EVIDENCE &amp; DECISIONS'!A794" TargetMode="External" Id="rId797"/><Relationship Type="http://schemas.openxmlformats.org/officeDocument/2006/relationships/hyperlink" Target="#'10 EVIDENCE &amp; DECISIONS'!A795" TargetMode="External" Id="rId798"/><Relationship Type="http://schemas.openxmlformats.org/officeDocument/2006/relationships/hyperlink" Target="#'10 EVIDENCE &amp; DECISIONS'!A796" TargetMode="External" Id="rId799"/><Relationship Type="http://schemas.openxmlformats.org/officeDocument/2006/relationships/hyperlink" Target="#'10 EVIDENCE &amp; DECISIONS'!A797" TargetMode="External" Id="rId800"/><Relationship Type="http://schemas.openxmlformats.org/officeDocument/2006/relationships/hyperlink" Target="#'10 EVIDENCE &amp; DECISIONS'!A798" TargetMode="External" Id="rId801"/><Relationship Type="http://schemas.openxmlformats.org/officeDocument/2006/relationships/hyperlink" Target="#'10 EVIDENCE &amp; DECISIONS'!A799" TargetMode="External" Id="rId802"/><Relationship Type="http://schemas.openxmlformats.org/officeDocument/2006/relationships/hyperlink" Target="#'10 EVIDENCE &amp; DECISIONS'!A800" TargetMode="External" Id="rId803"/><Relationship Type="http://schemas.openxmlformats.org/officeDocument/2006/relationships/hyperlink" Target="#'10 EVIDENCE &amp; DECISIONS'!A801" TargetMode="External" Id="rId804"/><Relationship Type="http://schemas.openxmlformats.org/officeDocument/2006/relationships/hyperlink" Target="#'10 EVIDENCE &amp; DECISIONS'!A802" TargetMode="External" Id="rId805"/><Relationship Type="http://schemas.openxmlformats.org/officeDocument/2006/relationships/hyperlink" Target="#'10 EVIDENCE &amp; DECISIONS'!A803" TargetMode="External" Id="rId806"/><Relationship Type="http://schemas.openxmlformats.org/officeDocument/2006/relationships/hyperlink" Target="#'10 EVIDENCE &amp; DECISIONS'!A804" TargetMode="External" Id="rId807"/><Relationship Type="http://schemas.openxmlformats.org/officeDocument/2006/relationships/hyperlink" Target="#'10 EVIDENCE &amp; DECISIONS'!A805" TargetMode="External" Id="rId808"/><Relationship Type="http://schemas.openxmlformats.org/officeDocument/2006/relationships/hyperlink" Target="#'10 EVIDENCE &amp; DECISIONS'!A806" TargetMode="External" Id="rId809"/><Relationship Type="http://schemas.openxmlformats.org/officeDocument/2006/relationships/hyperlink" Target="#'10 EVIDENCE &amp; DECISIONS'!A807" TargetMode="External" Id="rId810"/><Relationship Type="http://schemas.openxmlformats.org/officeDocument/2006/relationships/hyperlink" Target="#'10 EVIDENCE &amp; DECISIONS'!A808" TargetMode="External" Id="rId811"/><Relationship Type="http://schemas.openxmlformats.org/officeDocument/2006/relationships/hyperlink" Target="#'10 EVIDENCE &amp; DECISIONS'!A809" TargetMode="External" Id="rId812"/><Relationship Type="http://schemas.openxmlformats.org/officeDocument/2006/relationships/hyperlink" Target="#'10 EVIDENCE &amp; DECISIONS'!A810" TargetMode="External" Id="rId813"/><Relationship Type="http://schemas.openxmlformats.org/officeDocument/2006/relationships/hyperlink" Target="#'10 EVIDENCE &amp; DECISIONS'!A811" TargetMode="External" Id="rId814"/><Relationship Type="http://schemas.openxmlformats.org/officeDocument/2006/relationships/hyperlink" Target="#'10 EVIDENCE &amp; DECISIONS'!A812" TargetMode="External" Id="rId815"/><Relationship Type="http://schemas.openxmlformats.org/officeDocument/2006/relationships/hyperlink" Target="#'10 EVIDENCE &amp; DECISIONS'!A813" TargetMode="External" Id="rId816"/><Relationship Type="http://schemas.openxmlformats.org/officeDocument/2006/relationships/hyperlink" Target="#'10 EVIDENCE &amp; DECISIONS'!A814" TargetMode="External" Id="rId817"/><Relationship Type="http://schemas.openxmlformats.org/officeDocument/2006/relationships/hyperlink" Target="#'10 EVIDENCE &amp; DECISIONS'!A815" TargetMode="External" Id="rId818"/><Relationship Type="http://schemas.openxmlformats.org/officeDocument/2006/relationships/hyperlink" Target="#'10 EVIDENCE &amp; DECISIONS'!A816" TargetMode="External" Id="rId819"/><Relationship Type="http://schemas.openxmlformats.org/officeDocument/2006/relationships/hyperlink" Target="#'10 EVIDENCE &amp; DECISIONS'!A817" TargetMode="External" Id="rId820"/><Relationship Type="http://schemas.openxmlformats.org/officeDocument/2006/relationships/hyperlink" Target="#'10 EVIDENCE &amp; DECISIONS'!A818" TargetMode="External" Id="rId821"/><Relationship Type="http://schemas.openxmlformats.org/officeDocument/2006/relationships/hyperlink" Target="#'10 EVIDENCE &amp; DECISIONS'!A819" TargetMode="External" Id="rId822"/><Relationship Type="http://schemas.openxmlformats.org/officeDocument/2006/relationships/hyperlink" Target="#'10 EVIDENCE &amp; DECISIONS'!A820" TargetMode="External" Id="rId823"/><Relationship Type="http://schemas.openxmlformats.org/officeDocument/2006/relationships/hyperlink" Target="#'10 EVIDENCE &amp; DECISIONS'!A821" TargetMode="External" Id="rId824"/><Relationship Type="http://schemas.openxmlformats.org/officeDocument/2006/relationships/hyperlink" Target="#'10 EVIDENCE &amp; DECISIONS'!A822" TargetMode="External" Id="rId825"/><Relationship Type="http://schemas.openxmlformats.org/officeDocument/2006/relationships/hyperlink" Target="#'10 EVIDENCE &amp; DECISIONS'!A823" TargetMode="External" Id="rId826"/><Relationship Type="http://schemas.openxmlformats.org/officeDocument/2006/relationships/hyperlink" Target="#'10 EVIDENCE &amp; DECISIONS'!A824" TargetMode="External" Id="rId827"/><Relationship Type="http://schemas.openxmlformats.org/officeDocument/2006/relationships/hyperlink" Target="#'10 EVIDENCE &amp; DECISIONS'!A825" TargetMode="External" Id="rId828"/><Relationship Type="http://schemas.openxmlformats.org/officeDocument/2006/relationships/hyperlink" Target="#'10 EVIDENCE &amp; DECISIONS'!A826" TargetMode="External" Id="rId829"/><Relationship Type="http://schemas.openxmlformats.org/officeDocument/2006/relationships/hyperlink" Target="#'10 EVIDENCE &amp; DECISIONS'!A827" TargetMode="External" Id="rId830"/><Relationship Type="http://schemas.openxmlformats.org/officeDocument/2006/relationships/hyperlink" Target="#'10 EVIDENCE &amp; DECISIONS'!A828" TargetMode="External" Id="rId831"/><Relationship Type="http://schemas.openxmlformats.org/officeDocument/2006/relationships/hyperlink" Target="#'10 EVIDENCE &amp; DECISIONS'!A829" TargetMode="External" Id="rId832"/><Relationship Type="http://schemas.openxmlformats.org/officeDocument/2006/relationships/hyperlink" Target="#'10 EVIDENCE &amp; DECISIONS'!A830" TargetMode="External" Id="rId833"/><Relationship Type="http://schemas.openxmlformats.org/officeDocument/2006/relationships/hyperlink" Target="#'10 EVIDENCE &amp; DECISIONS'!A831" TargetMode="External" Id="rId834"/><Relationship Type="http://schemas.openxmlformats.org/officeDocument/2006/relationships/hyperlink" Target="#'10 EVIDENCE &amp; DECISIONS'!A832" TargetMode="External" Id="rId835"/><Relationship Type="http://schemas.openxmlformats.org/officeDocument/2006/relationships/hyperlink" Target="#'10 EVIDENCE &amp; DECISIONS'!A833" TargetMode="External" Id="rId836"/><Relationship Type="http://schemas.openxmlformats.org/officeDocument/2006/relationships/hyperlink" Target="#'10 EVIDENCE &amp; DECISIONS'!A834" TargetMode="External" Id="rId837"/><Relationship Type="http://schemas.openxmlformats.org/officeDocument/2006/relationships/hyperlink" Target="#'10 EVIDENCE &amp; DECISIONS'!A835" TargetMode="External" Id="rId838"/><Relationship Type="http://schemas.openxmlformats.org/officeDocument/2006/relationships/hyperlink" Target="#'10 EVIDENCE &amp; DECISIONS'!A836" TargetMode="External" Id="rId839"/><Relationship Type="http://schemas.openxmlformats.org/officeDocument/2006/relationships/hyperlink" Target="#'10 EVIDENCE &amp; DECISIONS'!A837" TargetMode="External" Id="rId840"/><Relationship Type="http://schemas.openxmlformats.org/officeDocument/2006/relationships/hyperlink" Target="#'10 EVIDENCE &amp; DECISIONS'!A838" TargetMode="External" Id="rId841"/><Relationship Type="http://schemas.openxmlformats.org/officeDocument/2006/relationships/hyperlink" Target="#'10 EVIDENCE &amp; DECISIONS'!A839" TargetMode="External" Id="rId842"/><Relationship Type="http://schemas.openxmlformats.org/officeDocument/2006/relationships/hyperlink" Target="#'10 EVIDENCE &amp; DECISIONS'!A840" TargetMode="External" Id="rId843"/><Relationship Type="http://schemas.openxmlformats.org/officeDocument/2006/relationships/hyperlink" Target="#'10 EVIDENCE &amp; DECISIONS'!A841" TargetMode="External" Id="rId844"/><Relationship Type="http://schemas.openxmlformats.org/officeDocument/2006/relationships/hyperlink" Target="#'10 EVIDENCE &amp; DECISIONS'!A842" TargetMode="External" Id="rId845"/><Relationship Type="http://schemas.openxmlformats.org/officeDocument/2006/relationships/hyperlink" Target="#'10 EVIDENCE &amp; DECISIONS'!A843" TargetMode="External" Id="rId846"/><Relationship Type="http://schemas.openxmlformats.org/officeDocument/2006/relationships/hyperlink" Target="#'10 EVIDENCE &amp; DECISIONS'!A844" TargetMode="External" Id="rId847"/><Relationship Type="http://schemas.openxmlformats.org/officeDocument/2006/relationships/hyperlink" Target="#'10 EVIDENCE &amp; DECISIONS'!A845" TargetMode="External" Id="rId848"/><Relationship Type="http://schemas.openxmlformats.org/officeDocument/2006/relationships/hyperlink" Target="#'10 EVIDENCE &amp; DECISIONS'!A846" TargetMode="External" Id="rId849"/><Relationship Type="http://schemas.openxmlformats.org/officeDocument/2006/relationships/hyperlink" Target="#'10 EVIDENCE &amp; DECISIONS'!A847" TargetMode="External" Id="rId850"/><Relationship Type="http://schemas.openxmlformats.org/officeDocument/2006/relationships/hyperlink" Target="#'10 EVIDENCE &amp; DECISIONS'!A848" TargetMode="External" Id="rId851"/><Relationship Type="http://schemas.openxmlformats.org/officeDocument/2006/relationships/hyperlink" Target="#'10 EVIDENCE &amp; DECISIONS'!A849" TargetMode="External" Id="rId852"/><Relationship Type="http://schemas.openxmlformats.org/officeDocument/2006/relationships/hyperlink" Target="#'10 EVIDENCE &amp; DECISIONS'!A850" TargetMode="External" Id="rId853"/><Relationship Type="http://schemas.openxmlformats.org/officeDocument/2006/relationships/hyperlink" Target="#'10 EVIDENCE &amp; DECISIONS'!A851" TargetMode="External" Id="rId854"/><Relationship Type="http://schemas.openxmlformats.org/officeDocument/2006/relationships/hyperlink" Target="#'10 EVIDENCE &amp; DECISIONS'!A852" TargetMode="External" Id="rId855"/><Relationship Type="http://schemas.openxmlformats.org/officeDocument/2006/relationships/hyperlink" Target="#'10 EVIDENCE &amp; DECISIONS'!A853" TargetMode="External" Id="rId856"/><Relationship Type="http://schemas.openxmlformats.org/officeDocument/2006/relationships/hyperlink" Target="#'10 EVIDENCE &amp; DECISIONS'!A854" TargetMode="External" Id="rId857"/><Relationship Type="http://schemas.openxmlformats.org/officeDocument/2006/relationships/hyperlink" Target="#'10 EVIDENCE &amp; DECISIONS'!A855" TargetMode="External" Id="rId858"/><Relationship Type="http://schemas.openxmlformats.org/officeDocument/2006/relationships/hyperlink" Target="#'10 EVIDENCE &amp; DECISIONS'!A856" TargetMode="External" Id="rId859"/><Relationship Type="http://schemas.openxmlformats.org/officeDocument/2006/relationships/hyperlink" Target="#'10 EVIDENCE &amp; DECISIONS'!A857" TargetMode="External" Id="rId860"/><Relationship Type="http://schemas.openxmlformats.org/officeDocument/2006/relationships/hyperlink" Target="#'10 EVIDENCE &amp; DECISIONS'!A858" TargetMode="External" Id="rId861"/><Relationship Type="http://schemas.openxmlformats.org/officeDocument/2006/relationships/hyperlink" Target="#'10 EVIDENCE &amp; DECISIONS'!A859" TargetMode="External" Id="rId862"/><Relationship Type="http://schemas.openxmlformats.org/officeDocument/2006/relationships/hyperlink" Target="#'10 EVIDENCE &amp; DECISIONS'!A860" TargetMode="External" Id="rId863"/><Relationship Type="http://schemas.openxmlformats.org/officeDocument/2006/relationships/hyperlink" Target="#'10 EVIDENCE &amp; DECISIONS'!A861" TargetMode="External" Id="rId864"/><Relationship Type="http://schemas.openxmlformats.org/officeDocument/2006/relationships/hyperlink" Target="#'10 EVIDENCE &amp; DECISIONS'!A862" TargetMode="External" Id="rId865"/><Relationship Type="http://schemas.openxmlformats.org/officeDocument/2006/relationships/hyperlink" Target="#'10 EVIDENCE &amp; DECISIONS'!A863" TargetMode="External" Id="rId866"/><Relationship Type="http://schemas.openxmlformats.org/officeDocument/2006/relationships/hyperlink" Target="#'10 EVIDENCE &amp; DECISIONS'!A864" TargetMode="External" Id="rId867"/><Relationship Type="http://schemas.openxmlformats.org/officeDocument/2006/relationships/hyperlink" Target="#'10 EVIDENCE &amp; DECISIONS'!A865" TargetMode="External" Id="rId868"/><Relationship Type="http://schemas.openxmlformats.org/officeDocument/2006/relationships/hyperlink" Target="#'10 EVIDENCE &amp; DECISIONS'!A866" TargetMode="External" Id="rId869"/><Relationship Type="http://schemas.openxmlformats.org/officeDocument/2006/relationships/hyperlink" Target="#'10 EVIDENCE &amp; DECISIONS'!A867" TargetMode="External" Id="rId870"/><Relationship Type="http://schemas.openxmlformats.org/officeDocument/2006/relationships/hyperlink" Target="#'10 EVIDENCE &amp; DECISIONS'!A868" TargetMode="External" Id="rId871"/><Relationship Type="http://schemas.openxmlformats.org/officeDocument/2006/relationships/hyperlink" Target="#'10 EVIDENCE &amp; DECISIONS'!A869" TargetMode="External" Id="rId872"/><Relationship Type="http://schemas.openxmlformats.org/officeDocument/2006/relationships/hyperlink" Target="#'10 EVIDENCE &amp; DECISIONS'!A870" TargetMode="External" Id="rId873"/><Relationship Type="http://schemas.openxmlformats.org/officeDocument/2006/relationships/hyperlink" Target="#'10 EVIDENCE &amp; DECISIONS'!A871" TargetMode="External" Id="rId874"/><Relationship Type="http://schemas.openxmlformats.org/officeDocument/2006/relationships/hyperlink" Target="#'10 EVIDENCE &amp; DECISIONS'!A872" TargetMode="External" Id="rId875"/><Relationship Type="http://schemas.openxmlformats.org/officeDocument/2006/relationships/hyperlink" Target="#'10 EVIDENCE &amp; DECISIONS'!A873" TargetMode="External" Id="rId876"/><Relationship Type="http://schemas.openxmlformats.org/officeDocument/2006/relationships/hyperlink" Target="#'10 EVIDENCE &amp; DECISIONS'!A874" TargetMode="External" Id="rId877"/><Relationship Type="http://schemas.openxmlformats.org/officeDocument/2006/relationships/hyperlink" Target="#'10 EVIDENCE &amp; DECISIONS'!A875" TargetMode="External" Id="rId878"/><Relationship Type="http://schemas.openxmlformats.org/officeDocument/2006/relationships/hyperlink" Target="#'10 EVIDENCE &amp; DECISIONS'!A876" TargetMode="External" Id="rId879"/><Relationship Type="http://schemas.openxmlformats.org/officeDocument/2006/relationships/hyperlink" Target="#'10 EVIDENCE &amp; DECISIONS'!A877" TargetMode="External" Id="rId880"/><Relationship Type="http://schemas.openxmlformats.org/officeDocument/2006/relationships/hyperlink" Target="#'10 EVIDENCE &amp; DECISIONS'!A878" TargetMode="External" Id="rId881"/><Relationship Type="http://schemas.openxmlformats.org/officeDocument/2006/relationships/hyperlink" Target="#'10 EVIDENCE &amp; DECISIONS'!A879" TargetMode="External" Id="rId882"/><Relationship Type="http://schemas.openxmlformats.org/officeDocument/2006/relationships/hyperlink" Target="#'10 EVIDENCE &amp; DECISIONS'!A880" TargetMode="External" Id="rId883"/><Relationship Type="http://schemas.openxmlformats.org/officeDocument/2006/relationships/hyperlink" Target="#'10 EVIDENCE &amp; DECISIONS'!A881" TargetMode="External" Id="rId884"/><Relationship Type="http://schemas.openxmlformats.org/officeDocument/2006/relationships/hyperlink" Target="#'10 EVIDENCE &amp; DECISIONS'!A882" TargetMode="External" Id="rId885"/><Relationship Type="http://schemas.openxmlformats.org/officeDocument/2006/relationships/hyperlink" Target="#'10 EVIDENCE &amp; DECISIONS'!A883" TargetMode="External" Id="rId886"/><Relationship Type="http://schemas.openxmlformats.org/officeDocument/2006/relationships/hyperlink" Target="#'10 EVIDENCE &amp; DECISIONS'!A884" TargetMode="External" Id="rId887"/><Relationship Type="http://schemas.openxmlformats.org/officeDocument/2006/relationships/hyperlink" Target="#'10 EVIDENCE &amp; DECISIONS'!A885" TargetMode="External" Id="rId888"/><Relationship Type="http://schemas.openxmlformats.org/officeDocument/2006/relationships/hyperlink" Target="#'10 EVIDENCE &amp; DECISIONS'!A886" TargetMode="External" Id="rId889"/><Relationship Type="http://schemas.openxmlformats.org/officeDocument/2006/relationships/hyperlink" Target="#'10 EVIDENCE &amp; DECISIONS'!A887" TargetMode="External" Id="rId890"/><Relationship Type="http://schemas.openxmlformats.org/officeDocument/2006/relationships/hyperlink" Target="#'10 EVIDENCE &amp; DECISIONS'!A888" TargetMode="External" Id="rId891"/><Relationship Type="http://schemas.openxmlformats.org/officeDocument/2006/relationships/hyperlink" Target="#'10 EVIDENCE &amp; DECISIONS'!A889" TargetMode="External" Id="rId892"/><Relationship Type="http://schemas.openxmlformats.org/officeDocument/2006/relationships/hyperlink" Target="#'10 EVIDENCE &amp; DECISIONS'!A890" TargetMode="External" Id="rId893"/><Relationship Type="http://schemas.openxmlformats.org/officeDocument/2006/relationships/hyperlink" Target="#'10 EVIDENCE &amp; DECISIONS'!A891" TargetMode="External" Id="rId894"/><Relationship Type="http://schemas.openxmlformats.org/officeDocument/2006/relationships/hyperlink" Target="#'10 EVIDENCE &amp; DECISIONS'!A892" TargetMode="External" Id="rId895"/><Relationship Type="http://schemas.openxmlformats.org/officeDocument/2006/relationships/hyperlink" Target="#'10 EVIDENCE &amp; DECISIONS'!A893" TargetMode="External" Id="rId896"/><Relationship Type="http://schemas.openxmlformats.org/officeDocument/2006/relationships/hyperlink" Target="#'10 EVIDENCE &amp; DECISIONS'!A894" TargetMode="External" Id="rId897"/><Relationship Type="http://schemas.openxmlformats.org/officeDocument/2006/relationships/hyperlink" Target="#'10 EVIDENCE &amp; DECISIONS'!A895" TargetMode="External" Id="rId898"/><Relationship Type="http://schemas.openxmlformats.org/officeDocument/2006/relationships/hyperlink" Target="#'10 EVIDENCE &amp; DECISIONS'!A896" TargetMode="External" Id="rId899"/><Relationship Type="http://schemas.openxmlformats.org/officeDocument/2006/relationships/hyperlink" Target="#'10 EVIDENCE &amp; DECISIONS'!A897" TargetMode="External" Id="rId900"/><Relationship Type="http://schemas.openxmlformats.org/officeDocument/2006/relationships/hyperlink" Target="#'10 EVIDENCE &amp; DECISIONS'!A898" TargetMode="External" Id="rId901"/><Relationship Type="http://schemas.openxmlformats.org/officeDocument/2006/relationships/hyperlink" Target="#'10 EVIDENCE &amp; DECISIONS'!A899" TargetMode="External" Id="rId902"/><Relationship Type="http://schemas.openxmlformats.org/officeDocument/2006/relationships/hyperlink" Target="#'10 EVIDENCE &amp; DECISIONS'!A900" TargetMode="External" Id="rId903"/><Relationship Type="http://schemas.openxmlformats.org/officeDocument/2006/relationships/hyperlink" Target="#'10 EVIDENCE &amp; DECISIONS'!A901" TargetMode="External" Id="rId904"/><Relationship Type="http://schemas.openxmlformats.org/officeDocument/2006/relationships/hyperlink" Target="#'10 EVIDENCE &amp; DECISIONS'!A902" TargetMode="External" Id="rId905"/><Relationship Type="http://schemas.openxmlformats.org/officeDocument/2006/relationships/hyperlink" Target="#'10 EVIDENCE &amp; DECISIONS'!A903" TargetMode="External" Id="rId906"/><Relationship Type="http://schemas.openxmlformats.org/officeDocument/2006/relationships/hyperlink" Target="#'10 EVIDENCE &amp; DECISIONS'!A904" TargetMode="External" Id="rId907"/><Relationship Type="http://schemas.openxmlformats.org/officeDocument/2006/relationships/hyperlink" Target="#'10 EVIDENCE &amp; DECISIONS'!A905" TargetMode="External" Id="rId908"/><Relationship Type="http://schemas.openxmlformats.org/officeDocument/2006/relationships/hyperlink" Target="#'10 EVIDENCE &amp; DECISIONS'!A906" TargetMode="External" Id="rId909"/><Relationship Type="http://schemas.openxmlformats.org/officeDocument/2006/relationships/hyperlink" Target="#'10 EVIDENCE &amp; DECISIONS'!A907" TargetMode="External" Id="rId910"/><Relationship Type="http://schemas.openxmlformats.org/officeDocument/2006/relationships/hyperlink" Target="#'10 EVIDENCE &amp; DECISIONS'!A908" TargetMode="External" Id="rId911"/><Relationship Type="http://schemas.openxmlformats.org/officeDocument/2006/relationships/hyperlink" Target="#'10 EVIDENCE &amp; DECISIONS'!A909" TargetMode="External" Id="rId912"/><Relationship Type="http://schemas.openxmlformats.org/officeDocument/2006/relationships/hyperlink" Target="#'10 EVIDENCE &amp; DECISIONS'!A910" TargetMode="External" Id="rId913"/><Relationship Type="http://schemas.openxmlformats.org/officeDocument/2006/relationships/hyperlink" Target="#'10 EVIDENCE &amp; DECISIONS'!A911" TargetMode="External" Id="rId914"/><Relationship Type="http://schemas.openxmlformats.org/officeDocument/2006/relationships/hyperlink" Target="#'10 EVIDENCE &amp; DECISIONS'!A912" TargetMode="External" Id="rId915"/><Relationship Type="http://schemas.openxmlformats.org/officeDocument/2006/relationships/hyperlink" Target="#'10 EVIDENCE &amp; DECISIONS'!A913" TargetMode="External" Id="rId916"/><Relationship Type="http://schemas.openxmlformats.org/officeDocument/2006/relationships/hyperlink" Target="#'10 EVIDENCE &amp; DECISIONS'!A914" TargetMode="External" Id="rId917"/><Relationship Type="http://schemas.openxmlformats.org/officeDocument/2006/relationships/hyperlink" Target="#'10 EVIDENCE &amp; DECISIONS'!A915" TargetMode="External" Id="rId918"/><Relationship Type="http://schemas.openxmlformats.org/officeDocument/2006/relationships/hyperlink" Target="#'10 EVIDENCE &amp; DECISIONS'!A916" TargetMode="External" Id="rId919"/><Relationship Type="http://schemas.openxmlformats.org/officeDocument/2006/relationships/hyperlink" Target="#'10 EVIDENCE &amp; DECISIONS'!A917" TargetMode="External" Id="rId920"/><Relationship Type="http://schemas.openxmlformats.org/officeDocument/2006/relationships/hyperlink" Target="#'10 EVIDENCE &amp; DECISIONS'!A918" TargetMode="External" Id="rId921"/><Relationship Type="http://schemas.openxmlformats.org/officeDocument/2006/relationships/hyperlink" Target="#'10 EVIDENCE &amp; DECISIONS'!A919" TargetMode="External" Id="rId922"/><Relationship Type="http://schemas.openxmlformats.org/officeDocument/2006/relationships/hyperlink" Target="#'10 EVIDENCE &amp; DECISIONS'!A920" TargetMode="External" Id="rId923"/><Relationship Type="http://schemas.openxmlformats.org/officeDocument/2006/relationships/hyperlink" Target="#'10 EVIDENCE &amp; DECISIONS'!A921" TargetMode="External" Id="rId924"/><Relationship Type="http://schemas.openxmlformats.org/officeDocument/2006/relationships/hyperlink" Target="#'10 EVIDENCE &amp; DECISIONS'!A922" TargetMode="External" Id="rId925"/><Relationship Type="http://schemas.openxmlformats.org/officeDocument/2006/relationships/hyperlink" Target="#'10 EVIDENCE &amp; DECISIONS'!A923" TargetMode="External" Id="rId926"/><Relationship Type="http://schemas.openxmlformats.org/officeDocument/2006/relationships/hyperlink" Target="#'10 EVIDENCE &amp; DECISIONS'!A924" TargetMode="External" Id="rId927"/><Relationship Type="http://schemas.openxmlformats.org/officeDocument/2006/relationships/hyperlink" Target="#'10 EVIDENCE &amp; DECISIONS'!A925" TargetMode="External" Id="rId928"/><Relationship Type="http://schemas.openxmlformats.org/officeDocument/2006/relationships/hyperlink" Target="#'10 EVIDENCE &amp; DECISIONS'!A926" TargetMode="External" Id="rId929"/><Relationship Type="http://schemas.openxmlformats.org/officeDocument/2006/relationships/hyperlink" Target="#'10 EVIDENCE &amp; DECISIONS'!A927" TargetMode="External" Id="rId930"/><Relationship Type="http://schemas.openxmlformats.org/officeDocument/2006/relationships/hyperlink" Target="#'10 EVIDENCE &amp; DECISIONS'!A928" TargetMode="External" Id="rId931"/><Relationship Type="http://schemas.openxmlformats.org/officeDocument/2006/relationships/hyperlink" Target="#'10 EVIDENCE &amp; DECISIONS'!A929" TargetMode="External" Id="rId932"/><Relationship Type="http://schemas.openxmlformats.org/officeDocument/2006/relationships/hyperlink" Target="#'10 EVIDENCE &amp; DECISIONS'!A930" TargetMode="External" Id="rId933"/><Relationship Type="http://schemas.openxmlformats.org/officeDocument/2006/relationships/hyperlink" Target="#'10 EVIDENCE &amp; DECISIONS'!A931" TargetMode="External" Id="rId934"/><Relationship Type="http://schemas.openxmlformats.org/officeDocument/2006/relationships/hyperlink" Target="#'10 EVIDENCE &amp; DECISIONS'!A932" TargetMode="External" Id="rId935"/><Relationship Type="http://schemas.openxmlformats.org/officeDocument/2006/relationships/hyperlink" Target="#'10 EVIDENCE &amp; DECISIONS'!A933" TargetMode="External" Id="rId936"/><Relationship Type="http://schemas.openxmlformats.org/officeDocument/2006/relationships/hyperlink" Target="#'10 EVIDENCE &amp; DECISIONS'!A934" TargetMode="External" Id="rId937"/><Relationship Type="http://schemas.openxmlformats.org/officeDocument/2006/relationships/hyperlink" Target="#'10 EVIDENCE &amp; DECISIONS'!A935" TargetMode="External" Id="rId938"/><Relationship Type="http://schemas.openxmlformats.org/officeDocument/2006/relationships/hyperlink" Target="#'10 EVIDENCE &amp; DECISIONS'!A936" TargetMode="External" Id="rId939"/><Relationship Type="http://schemas.openxmlformats.org/officeDocument/2006/relationships/hyperlink" Target="#'10 EVIDENCE &amp; DECISIONS'!A937" TargetMode="External" Id="rId940"/><Relationship Type="http://schemas.openxmlformats.org/officeDocument/2006/relationships/hyperlink" Target="#'10 EVIDENCE &amp; DECISIONS'!A938" TargetMode="External" Id="rId941"/><Relationship Type="http://schemas.openxmlformats.org/officeDocument/2006/relationships/hyperlink" Target="#'10 EVIDENCE &amp; DECISIONS'!A939" TargetMode="External" Id="rId942"/><Relationship Type="http://schemas.openxmlformats.org/officeDocument/2006/relationships/hyperlink" Target="#'10 EVIDENCE &amp; DECISIONS'!A940" TargetMode="External" Id="rId943"/><Relationship Type="http://schemas.openxmlformats.org/officeDocument/2006/relationships/hyperlink" Target="#'10 EVIDENCE &amp; DECISIONS'!A941" TargetMode="External" Id="rId944"/><Relationship Type="http://schemas.openxmlformats.org/officeDocument/2006/relationships/hyperlink" Target="#'10 EVIDENCE &amp; DECISIONS'!A942" TargetMode="External" Id="rId945"/><Relationship Type="http://schemas.openxmlformats.org/officeDocument/2006/relationships/hyperlink" Target="#'10 EVIDENCE &amp; DECISIONS'!A943" TargetMode="External" Id="rId946"/><Relationship Type="http://schemas.openxmlformats.org/officeDocument/2006/relationships/hyperlink" Target="#'10 EVIDENCE &amp; DECISIONS'!A944" TargetMode="External" Id="rId947"/><Relationship Type="http://schemas.openxmlformats.org/officeDocument/2006/relationships/hyperlink" Target="#'10 EVIDENCE &amp; DECISIONS'!A945" TargetMode="External" Id="rId948"/><Relationship Type="http://schemas.openxmlformats.org/officeDocument/2006/relationships/hyperlink" Target="#'10 EVIDENCE &amp; DECISIONS'!A946" TargetMode="External" Id="rId949"/><Relationship Type="http://schemas.openxmlformats.org/officeDocument/2006/relationships/hyperlink" Target="#'10 EVIDENCE &amp; DECISIONS'!A947" TargetMode="External" Id="rId950"/><Relationship Type="http://schemas.openxmlformats.org/officeDocument/2006/relationships/hyperlink" Target="#'10 EVIDENCE &amp; DECISIONS'!A948" TargetMode="External" Id="rId951"/><Relationship Type="http://schemas.openxmlformats.org/officeDocument/2006/relationships/hyperlink" Target="#'10 EVIDENCE &amp; DECISIONS'!A949" TargetMode="External" Id="rId952"/><Relationship Type="http://schemas.openxmlformats.org/officeDocument/2006/relationships/hyperlink" Target="#'10 EVIDENCE &amp; DECISIONS'!A950" TargetMode="External" Id="rId953"/><Relationship Type="http://schemas.openxmlformats.org/officeDocument/2006/relationships/hyperlink" Target="#'10 EVIDENCE &amp; DECISIONS'!A951" TargetMode="External" Id="rId954"/><Relationship Type="http://schemas.openxmlformats.org/officeDocument/2006/relationships/hyperlink" Target="#'10 EVIDENCE &amp; DECISIONS'!A952" TargetMode="External" Id="rId955"/><Relationship Type="http://schemas.openxmlformats.org/officeDocument/2006/relationships/hyperlink" Target="#'10 EVIDENCE &amp; DECISIONS'!A953" TargetMode="External" Id="rId956"/><Relationship Type="http://schemas.openxmlformats.org/officeDocument/2006/relationships/hyperlink" Target="#'10 EVIDENCE &amp; DECISIONS'!A954" TargetMode="External" Id="rId957"/><Relationship Type="http://schemas.openxmlformats.org/officeDocument/2006/relationships/hyperlink" Target="#'10 EVIDENCE &amp; DECISIONS'!A955" TargetMode="External" Id="rId958"/><Relationship Type="http://schemas.openxmlformats.org/officeDocument/2006/relationships/hyperlink" Target="#'10 EVIDENCE &amp; DECISIONS'!A956" TargetMode="External" Id="rId959"/><Relationship Type="http://schemas.openxmlformats.org/officeDocument/2006/relationships/hyperlink" Target="#'10 EVIDENCE &amp; DECISIONS'!A957" TargetMode="External" Id="rId960"/><Relationship Type="http://schemas.openxmlformats.org/officeDocument/2006/relationships/hyperlink" Target="#'10 EVIDENCE &amp; DECISIONS'!A958" TargetMode="External" Id="rId961"/><Relationship Type="http://schemas.openxmlformats.org/officeDocument/2006/relationships/hyperlink" Target="#'10 EVIDENCE &amp; DECISIONS'!A959" TargetMode="External" Id="rId962"/><Relationship Type="http://schemas.openxmlformats.org/officeDocument/2006/relationships/hyperlink" Target="#'10 EVIDENCE &amp; DECISIONS'!A960" TargetMode="External" Id="rId963"/><Relationship Type="http://schemas.openxmlformats.org/officeDocument/2006/relationships/hyperlink" Target="#'10 EVIDENCE &amp; DECISIONS'!A961" TargetMode="External" Id="rId964"/><Relationship Type="http://schemas.openxmlformats.org/officeDocument/2006/relationships/hyperlink" Target="#'10 EVIDENCE &amp; DECISIONS'!A962" TargetMode="External" Id="rId965"/><Relationship Type="http://schemas.openxmlformats.org/officeDocument/2006/relationships/hyperlink" Target="#'10 EVIDENCE &amp; DECISIONS'!A963" TargetMode="External" Id="rId966"/><Relationship Type="http://schemas.openxmlformats.org/officeDocument/2006/relationships/hyperlink" Target="#'10 EVIDENCE &amp; DECISIONS'!A964" TargetMode="External" Id="rId967"/><Relationship Type="http://schemas.openxmlformats.org/officeDocument/2006/relationships/hyperlink" Target="#'10 EVIDENCE &amp; DECISIONS'!A965" TargetMode="External" Id="rId968"/><Relationship Type="http://schemas.openxmlformats.org/officeDocument/2006/relationships/hyperlink" Target="#'10 EVIDENCE &amp; DECISIONS'!A966" TargetMode="External" Id="rId969"/><Relationship Type="http://schemas.openxmlformats.org/officeDocument/2006/relationships/hyperlink" Target="#'10 EVIDENCE &amp; DECISIONS'!A967" TargetMode="External" Id="rId970"/><Relationship Type="http://schemas.openxmlformats.org/officeDocument/2006/relationships/hyperlink" Target="#'10 EVIDENCE &amp; DECISIONS'!A968" TargetMode="External" Id="rId971"/><Relationship Type="http://schemas.openxmlformats.org/officeDocument/2006/relationships/hyperlink" Target="#'10 EVIDENCE &amp; DECISIONS'!A969" TargetMode="External" Id="rId972"/><Relationship Type="http://schemas.openxmlformats.org/officeDocument/2006/relationships/hyperlink" Target="#'10 EVIDENCE &amp; DECISIONS'!A970" TargetMode="External" Id="rId973"/><Relationship Type="http://schemas.openxmlformats.org/officeDocument/2006/relationships/hyperlink" Target="#'10 EVIDENCE &amp; DECISIONS'!A971" TargetMode="External" Id="rId974"/><Relationship Type="http://schemas.openxmlformats.org/officeDocument/2006/relationships/hyperlink" Target="#'10 EVIDENCE &amp; DECISIONS'!A972" TargetMode="External" Id="rId975"/><Relationship Type="http://schemas.openxmlformats.org/officeDocument/2006/relationships/hyperlink" Target="#'10 EVIDENCE &amp; DECISIONS'!A973" TargetMode="External" Id="rId976"/><Relationship Type="http://schemas.openxmlformats.org/officeDocument/2006/relationships/hyperlink" Target="#'10 EVIDENCE &amp; DECISIONS'!A974" TargetMode="External" Id="rId977"/><Relationship Type="http://schemas.openxmlformats.org/officeDocument/2006/relationships/hyperlink" Target="#'10 EVIDENCE &amp; DECISIONS'!A975" TargetMode="External" Id="rId978"/><Relationship Type="http://schemas.openxmlformats.org/officeDocument/2006/relationships/hyperlink" Target="#'10 EVIDENCE &amp; DECISIONS'!A976" TargetMode="External" Id="rId979"/><Relationship Type="http://schemas.openxmlformats.org/officeDocument/2006/relationships/hyperlink" Target="#'10 EVIDENCE &amp; DECISIONS'!A977" TargetMode="External" Id="rId980"/><Relationship Type="http://schemas.openxmlformats.org/officeDocument/2006/relationships/hyperlink" Target="#'10 EVIDENCE &amp; DECISIONS'!A978" TargetMode="External" Id="rId981"/><Relationship Type="http://schemas.openxmlformats.org/officeDocument/2006/relationships/hyperlink" Target="#'10 EVIDENCE &amp; DECISIONS'!A979" TargetMode="External" Id="rId982"/><Relationship Type="http://schemas.openxmlformats.org/officeDocument/2006/relationships/hyperlink" Target="#'10 EVIDENCE &amp; DECISIONS'!A980" TargetMode="External" Id="rId983"/><Relationship Type="http://schemas.openxmlformats.org/officeDocument/2006/relationships/hyperlink" Target="#'10 EVIDENCE &amp; DECISIONS'!A981" TargetMode="External" Id="rId984"/><Relationship Type="http://schemas.openxmlformats.org/officeDocument/2006/relationships/hyperlink" Target="#'10 EVIDENCE &amp; DECISIONS'!A982" TargetMode="External" Id="rId985"/><Relationship Type="http://schemas.openxmlformats.org/officeDocument/2006/relationships/hyperlink" Target="#'10 EVIDENCE &amp; DECISIONS'!A983" TargetMode="External" Id="rId986"/><Relationship Type="http://schemas.openxmlformats.org/officeDocument/2006/relationships/hyperlink" Target="#'10 EVIDENCE &amp; DECISIONS'!A984" TargetMode="External" Id="rId987"/><Relationship Type="http://schemas.openxmlformats.org/officeDocument/2006/relationships/hyperlink" Target="#'10 EVIDENCE &amp; DECISIONS'!A985" TargetMode="External" Id="rId988"/><Relationship Type="http://schemas.openxmlformats.org/officeDocument/2006/relationships/hyperlink" Target="#'10 EVIDENCE &amp; DECISIONS'!A986" TargetMode="External" Id="rId989"/><Relationship Type="http://schemas.openxmlformats.org/officeDocument/2006/relationships/hyperlink" Target="#'10 EVIDENCE &amp; DECISIONS'!A987" TargetMode="External" Id="rId990"/><Relationship Type="http://schemas.openxmlformats.org/officeDocument/2006/relationships/hyperlink" Target="#'10 EVIDENCE &amp; DECISIONS'!A988" TargetMode="External" Id="rId991"/><Relationship Type="http://schemas.openxmlformats.org/officeDocument/2006/relationships/hyperlink" Target="#'10 EVIDENCE &amp; DECISIONS'!A989" TargetMode="External" Id="rId992"/><Relationship Type="http://schemas.openxmlformats.org/officeDocument/2006/relationships/hyperlink" Target="#'10 EVIDENCE &amp; DECISIONS'!A990" TargetMode="External" Id="rId993"/><Relationship Type="http://schemas.openxmlformats.org/officeDocument/2006/relationships/hyperlink" Target="#'10 EVIDENCE &amp; DECISIONS'!A991" TargetMode="External" Id="rId994"/><Relationship Type="http://schemas.openxmlformats.org/officeDocument/2006/relationships/hyperlink" Target="#'10 EVIDENCE &amp; DECISIONS'!A992" TargetMode="External" Id="rId995"/><Relationship Type="http://schemas.openxmlformats.org/officeDocument/2006/relationships/hyperlink" Target="#'10 EVIDENCE &amp; DECISIONS'!A993" TargetMode="External" Id="rId996"/><Relationship Type="http://schemas.openxmlformats.org/officeDocument/2006/relationships/hyperlink" Target="#'10 EVIDENCE &amp; DECISIONS'!A994" TargetMode="External" Id="rId997"/><Relationship Type="http://schemas.openxmlformats.org/officeDocument/2006/relationships/hyperlink" Target="#'10 EVIDENCE &amp; DECISIONS'!A995" TargetMode="External" Id="rId998"/><Relationship Type="http://schemas.openxmlformats.org/officeDocument/2006/relationships/hyperlink" Target="#'10 EVIDENCE &amp; DECISIONS'!A996" TargetMode="External" Id="rId999"/><Relationship Type="http://schemas.openxmlformats.org/officeDocument/2006/relationships/hyperlink" Target="#'10 EVIDENCE &amp; DECISIONS'!A997" TargetMode="External" Id="rId1000"/><Relationship Type="http://schemas.openxmlformats.org/officeDocument/2006/relationships/hyperlink" Target="#'10 EVIDENCE &amp; DECISIONS'!A998" TargetMode="External" Id="rId1001"/><Relationship Type="http://schemas.openxmlformats.org/officeDocument/2006/relationships/hyperlink" Target="#'10 EVIDENCE &amp; DECISIONS'!A999" TargetMode="External" Id="rId1002"/><Relationship Type="http://schemas.openxmlformats.org/officeDocument/2006/relationships/hyperlink" Target="#'10 EVIDENCE &amp; DECISIONS'!A1000" TargetMode="External" Id="rId1003"/><Relationship Type="http://schemas.openxmlformats.org/officeDocument/2006/relationships/hyperlink" Target="#'10 EVIDENCE &amp; DECISIONS'!A1001" TargetMode="External" Id="rId1004"/><Relationship Type="http://schemas.openxmlformats.org/officeDocument/2006/relationships/hyperlink" Target="#'10 EVIDENCE &amp; DECISIONS'!A1002" TargetMode="External" Id="rId1005"/><Relationship Type="http://schemas.openxmlformats.org/officeDocument/2006/relationships/hyperlink" Target="#'10 EVIDENCE &amp; DECISIONS'!A1003" TargetMode="External" Id="rId1006"/><Relationship Type="http://schemas.openxmlformats.org/officeDocument/2006/relationships/hyperlink" Target="#'10 EVIDENCE &amp; DECISIONS'!A1004" TargetMode="External" Id="rId1007"/><Relationship Type="http://schemas.openxmlformats.org/officeDocument/2006/relationships/hyperlink" Target="#'10 EVIDENCE &amp; DECISIONS'!A1005" TargetMode="External" Id="rId1008"/><Relationship Type="http://schemas.openxmlformats.org/officeDocument/2006/relationships/hyperlink" Target="#'10 EVIDENCE &amp; DECISIONS'!A1006" TargetMode="External" Id="rId1009"/><Relationship Type="http://schemas.openxmlformats.org/officeDocument/2006/relationships/hyperlink" Target="#'10 EVIDENCE &amp; DECISIONS'!A1007" TargetMode="External" Id="rId1010"/><Relationship Type="http://schemas.openxmlformats.org/officeDocument/2006/relationships/hyperlink" Target="#'10 EVIDENCE &amp; DECISIONS'!A1008" TargetMode="External" Id="rId1011"/><Relationship Type="http://schemas.openxmlformats.org/officeDocument/2006/relationships/hyperlink" Target="#'10 EVIDENCE &amp; DECISIONS'!A1009" TargetMode="External" Id="rId1012"/><Relationship Type="http://schemas.openxmlformats.org/officeDocument/2006/relationships/hyperlink" Target="#'10 EVIDENCE &amp; DECISIONS'!A1010" TargetMode="External" Id="rId1013"/><Relationship Type="http://schemas.openxmlformats.org/officeDocument/2006/relationships/hyperlink" Target="#'10 EVIDENCE &amp; DECISIONS'!A1011" TargetMode="External" Id="rId1014"/><Relationship Type="http://schemas.openxmlformats.org/officeDocument/2006/relationships/hyperlink" Target="#'10 EVIDENCE &amp; DECISIONS'!A1012" TargetMode="External" Id="rId1015"/><Relationship Type="http://schemas.openxmlformats.org/officeDocument/2006/relationships/hyperlink" Target="#'10 EVIDENCE &amp; DECISIONS'!A1013" TargetMode="External" Id="rId1016"/><Relationship Type="http://schemas.openxmlformats.org/officeDocument/2006/relationships/hyperlink" Target="#'10 EVIDENCE &amp; DECISIONS'!A1014" TargetMode="External" Id="rId1017"/><Relationship Type="http://schemas.openxmlformats.org/officeDocument/2006/relationships/hyperlink" Target="#'10 EVIDENCE &amp; DECISIONS'!A1015" TargetMode="External" Id="rId1018"/><Relationship Type="http://schemas.openxmlformats.org/officeDocument/2006/relationships/hyperlink" Target="#'10 EVIDENCE &amp; DECISIONS'!A1016" TargetMode="External" Id="rId1019"/><Relationship Type="http://schemas.openxmlformats.org/officeDocument/2006/relationships/hyperlink" Target="#'10 EVIDENCE &amp; DECISIONS'!A1017" TargetMode="External" Id="rId1020"/><Relationship Type="http://schemas.openxmlformats.org/officeDocument/2006/relationships/hyperlink" Target="#'10 EVIDENCE &amp; DECISIONS'!A1018" TargetMode="External" Id="rId1021"/><Relationship Type="http://schemas.openxmlformats.org/officeDocument/2006/relationships/hyperlink" Target="#'10 EVIDENCE &amp; DECISIONS'!A1019" TargetMode="External" Id="rId1022"/><Relationship Type="http://schemas.openxmlformats.org/officeDocument/2006/relationships/hyperlink" Target="#'10 EVIDENCE &amp; DECISIONS'!A1020" TargetMode="External" Id="rId1023"/><Relationship Type="http://schemas.openxmlformats.org/officeDocument/2006/relationships/hyperlink" Target="#'10 EVIDENCE &amp; DECISIONS'!A1021" TargetMode="External" Id="rId1024"/><Relationship Type="http://schemas.openxmlformats.org/officeDocument/2006/relationships/hyperlink" Target="#'10 EVIDENCE &amp; DECISIONS'!A1022" TargetMode="External" Id="rId1025"/><Relationship Type="http://schemas.openxmlformats.org/officeDocument/2006/relationships/hyperlink" Target="#'10 EVIDENCE &amp; DECISIONS'!A1023" TargetMode="External" Id="rId1026"/><Relationship Type="http://schemas.openxmlformats.org/officeDocument/2006/relationships/hyperlink" Target="#'10 EVIDENCE &amp; DECISIONS'!A1024" TargetMode="External" Id="rId1027"/><Relationship Type="http://schemas.openxmlformats.org/officeDocument/2006/relationships/hyperlink" Target="#'10 EVIDENCE &amp; DECISIONS'!A1025" TargetMode="External" Id="rId1028"/><Relationship Type="http://schemas.openxmlformats.org/officeDocument/2006/relationships/hyperlink" Target="#'10 EVIDENCE &amp; DECISIONS'!A1026" TargetMode="External" Id="rId1029"/><Relationship Type="http://schemas.openxmlformats.org/officeDocument/2006/relationships/hyperlink" Target="#'10 EVIDENCE &amp; DECISIONS'!A1027" TargetMode="External" Id="rId1030"/><Relationship Type="http://schemas.openxmlformats.org/officeDocument/2006/relationships/hyperlink" Target="#'10 EVIDENCE &amp; DECISIONS'!A1028" TargetMode="External" Id="rId1031"/><Relationship Type="http://schemas.openxmlformats.org/officeDocument/2006/relationships/hyperlink" Target="#'10 EVIDENCE &amp; DECISIONS'!A1029" TargetMode="External" Id="rId1032"/><Relationship Type="http://schemas.openxmlformats.org/officeDocument/2006/relationships/hyperlink" Target="#'10 EVIDENCE &amp; DECISIONS'!A1030" TargetMode="External" Id="rId1033"/><Relationship Type="http://schemas.openxmlformats.org/officeDocument/2006/relationships/hyperlink" Target="#'10 EVIDENCE &amp; DECISIONS'!A1031" TargetMode="External" Id="rId1034"/><Relationship Type="http://schemas.openxmlformats.org/officeDocument/2006/relationships/hyperlink" Target="#'10 EVIDENCE &amp; DECISIONS'!A1032" TargetMode="External" Id="rId1035"/><Relationship Type="http://schemas.openxmlformats.org/officeDocument/2006/relationships/hyperlink" Target="#'10 EVIDENCE &amp; DECISIONS'!A1033" TargetMode="External" Id="rId1036"/><Relationship Type="http://schemas.openxmlformats.org/officeDocument/2006/relationships/hyperlink" Target="#'10 EVIDENCE &amp; DECISIONS'!A1034" TargetMode="External" Id="rId1037"/><Relationship Type="http://schemas.openxmlformats.org/officeDocument/2006/relationships/hyperlink" Target="#'10 EVIDENCE &amp; DECISIONS'!A1035" TargetMode="External" Id="rId1038"/><Relationship Type="http://schemas.openxmlformats.org/officeDocument/2006/relationships/hyperlink" Target="#'10 EVIDENCE &amp; DECISIONS'!A1036" TargetMode="External" Id="rId1039"/><Relationship Type="http://schemas.openxmlformats.org/officeDocument/2006/relationships/hyperlink" Target="#'10 EVIDENCE &amp; DECISIONS'!A1037" TargetMode="External" Id="rId1040"/><Relationship Type="http://schemas.openxmlformats.org/officeDocument/2006/relationships/hyperlink" Target="#'10 EVIDENCE &amp; DECISIONS'!A1038" TargetMode="External" Id="rId1041"/><Relationship Type="http://schemas.openxmlformats.org/officeDocument/2006/relationships/hyperlink" Target="#'10 EVIDENCE &amp; DECISIONS'!A1039" TargetMode="External" Id="rId1042"/><Relationship Type="http://schemas.openxmlformats.org/officeDocument/2006/relationships/hyperlink" Target="#'10 EVIDENCE &amp; DECISIONS'!A1040" TargetMode="External" Id="rId1043"/><Relationship Type="http://schemas.openxmlformats.org/officeDocument/2006/relationships/hyperlink" Target="#'10 EVIDENCE &amp; DECISIONS'!A1041" TargetMode="External" Id="rId1044"/><Relationship Type="http://schemas.openxmlformats.org/officeDocument/2006/relationships/hyperlink" Target="#'10 EVIDENCE &amp; DECISIONS'!A1042" TargetMode="External" Id="rId1045"/><Relationship Type="http://schemas.openxmlformats.org/officeDocument/2006/relationships/hyperlink" Target="#'10 EVIDENCE &amp; DECISIONS'!A1043" TargetMode="External" Id="rId1046"/><Relationship Type="http://schemas.openxmlformats.org/officeDocument/2006/relationships/hyperlink" Target="#'10 EVIDENCE &amp; DECISIONS'!A1044" TargetMode="External" Id="rId1047"/><Relationship Type="http://schemas.openxmlformats.org/officeDocument/2006/relationships/hyperlink" Target="#'10 EVIDENCE &amp; DECISIONS'!A1045" TargetMode="External" Id="rId1048"/><Relationship Type="http://schemas.openxmlformats.org/officeDocument/2006/relationships/hyperlink" Target="#'10 EVIDENCE &amp; DECISIONS'!A1046" TargetMode="External" Id="rId1049"/><Relationship Type="http://schemas.openxmlformats.org/officeDocument/2006/relationships/hyperlink" Target="#'10 EVIDENCE &amp; DECISIONS'!A1047" TargetMode="External" Id="rId1050"/><Relationship Type="http://schemas.openxmlformats.org/officeDocument/2006/relationships/hyperlink" Target="#'10 EVIDENCE &amp; DECISIONS'!A1048" TargetMode="External" Id="rId1051"/><Relationship Type="http://schemas.openxmlformats.org/officeDocument/2006/relationships/hyperlink" Target="#'10 EVIDENCE &amp; DECISIONS'!A1049" TargetMode="External" Id="rId1052"/><Relationship Type="http://schemas.openxmlformats.org/officeDocument/2006/relationships/hyperlink" Target="#'10 EVIDENCE &amp; DECISIONS'!A1050" TargetMode="External" Id="rId1053"/><Relationship Type="http://schemas.openxmlformats.org/officeDocument/2006/relationships/hyperlink" Target="#'10 EVIDENCE &amp; DECISIONS'!A1051" TargetMode="External" Id="rId1054"/><Relationship Type="http://schemas.openxmlformats.org/officeDocument/2006/relationships/hyperlink" Target="#'10 EVIDENCE &amp; DECISIONS'!A1052" TargetMode="External" Id="rId1055"/><Relationship Type="http://schemas.openxmlformats.org/officeDocument/2006/relationships/hyperlink" Target="#'10 EVIDENCE &amp; DECISIONS'!A1053" TargetMode="External" Id="rId1056"/><Relationship Type="http://schemas.openxmlformats.org/officeDocument/2006/relationships/hyperlink" Target="#'10 EVIDENCE &amp; DECISIONS'!A1054" TargetMode="External" Id="rId1057"/><Relationship Type="http://schemas.openxmlformats.org/officeDocument/2006/relationships/hyperlink" Target="#'10 EVIDENCE &amp; DECISIONS'!A1055" TargetMode="External" Id="rId1058"/><Relationship Type="http://schemas.openxmlformats.org/officeDocument/2006/relationships/hyperlink" Target="#'10 EVIDENCE &amp; DECISIONS'!A1056" TargetMode="External" Id="rId1059"/><Relationship Type="http://schemas.openxmlformats.org/officeDocument/2006/relationships/hyperlink" Target="#'10 EVIDENCE &amp; DECISIONS'!A1057" TargetMode="External" Id="rId1060"/><Relationship Type="http://schemas.openxmlformats.org/officeDocument/2006/relationships/hyperlink" Target="#'10 EVIDENCE &amp; DECISIONS'!A1058" TargetMode="External" Id="rId1061"/><Relationship Type="http://schemas.openxmlformats.org/officeDocument/2006/relationships/hyperlink" Target="#'10 EVIDENCE &amp; DECISIONS'!A1059" TargetMode="External" Id="rId1062"/><Relationship Type="http://schemas.openxmlformats.org/officeDocument/2006/relationships/hyperlink" Target="#'10 EVIDENCE &amp; DECISIONS'!A1060" TargetMode="External" Id="rId1063"/><Relationship Type="http://schemas.openxmlformats.org/officeDocument/2006/relationships/hyperlink" Target="#'10 EVIDENCE &amp; DECISIONS'!A1061" TargetMode="External" Id="rId1064"/><Relationship Type="http://schemas.openxmlformats.org/officeDocument/2006/relationships/hyperlink" Target="#'10 EVIDENCE &amp; DECISIONS'!A1062" TargetMode="External" Id="rId1065"/><Relationship Type="http://schemas.openxmlformats.org/officeDocument/2006/relationships/hyperlink" Target="#'10 EVIDENCE &amp; DECISIONS'!A1063" TargetMode="External" Id="rId1066"/><Relationship Type="http://schemas.openxmlformats.org/officeDocument/2006/relationships/hyperlink" Target="#'10 EVIDENCE &amp; DECISIONS'!A1064" TargetMode="External" Id="rId1067"/><Relationship Type="http://schemas.openxmlformats.org/officeDocument/2006/relationships/hyperlink" Target="#'10 EVIDENCE &amp; DECISIONS'!A1065" TargetMode="External" Id="rId1068"/><Relationship Type="http://schemas.openxmlformats.org/officeDocument/2006/relationships/hyperlink" Target="#'10 EVIDENCE &amp; DECISIONS'!A1066" TargetMode="External" Id="rId1069"/><Relationship Type="http://schemas.openxmlformats.org/officeDocument/2006/relationships/hyperlink" Target="#'10 EVIDENCE &amp; DECISIONS'!A1067" TargetMode="External" Id="rId1070"/><Relationship Type="http://schemas.openxmlformats.org/officeDocument/2006/relationships/hyperlink" Target="#'10 EVIDENCE &amp; DECISIONS'!A1068" TargetMode="External" Id="rId1071"/><Relationship Type="http://schemas.openxmlformats.org/officeDocument/2006/relationships/hyperlink" Target="#'10 EVIDENCE &amp; DECISIONS'!A1069" TargetMode="External" Id="rId1072"/><Relationship Type="http://schemas.openxmlformats.org/officeDocument/2006/relationships/hyperlink" Target="#'10 EVIDENCE &amp; DECISIONS'!A1070" TargetMode="External" Id="rId1073"/><Relationship Type="http://schemas.openxmlformats.org/officeDocument/2006/relationships/hyperlink" Target="#'10 EVIDENCE &amp; DECISIONS'!A1071" TargetMode="External" Id="rId1074"/><Relationship Type="http://schemas.openxmlformats.org/officeDocument/2006/relationships/hyperlink" Target="#'10 EVIDENCE &amp; DECISIONS'!A1072" TargetMode="External" Id="rId1075"/><Relationship Type="http://schemas.openxmlformats.org/officeDocument/2006/relationships/hyperlink" Target="#'10 EVIDENCE &amp; DECISIONS'!A1073" TargetMode="External" Id="rId1076"/><Relationship Type="http://schemas.openxmlformats.org/officeDocument/2006/relationships/hyperlink" Target="#'10 EVIDENCE &amp; DECISIONS'!A1074" TargetMode="External" Id="rId1077"/><Relationship Type="http://schemas.openxmlformats.org/officeDocument/2006/relationships/hyperlink" Target="#'10 EVIDENCE &amp; DECISIONS'!A1075" TargetMode="External" Id="rId1078"/><Relationship Type="http://schemas.openxmlformats.org/officeDocument/2006/relationships/hyperlink" Target="#'10 EVIDENCE &amp; DECISIONS'!A1076" TargetMode="External" Id="rId1079"/><Relationship Type="http://schemas.openxmlformats.org/officeDocument/2006/relationships/hyperlink" Target="#'10 EVIDENCE &amp; DECISIONS'!A1077" TargetMode="External" Id="rId1080"/><Relationship Type="http://schemas.openxmlformats.org/officeDocument/2006/relationships/hyperlink" Target="#'10 EVIDENCE &amp; DECISIONS'!A1078" TargetMode="External" Id="rId1081"/><Relationship Type="http://schemas.openxmlformats.org/officeDocument/2006/relationships/hyperlink" Target="#'10 EVIDENCE &amp; DECISIONS'!A1079" TargetMode="External" Id="rId1082"/><Relationship Type="http://schemas.openxmlformats.org/officeDocument/2006/relationships/hyperlink" Target="#'10 EVIDENCE &amp; DECISIONS'!A1080" TargetMode="External" Id="rId1083"/><Relationship Type="http://schemas.openxmlformats.org/officeDocument/2006/relationships/hyperlink" Target="#'10 EVIDENCE &amp; DECISIONS'!A1081" TargetMode="External" Id="rId1084"/><Relationship Type="http://schemas.openxmlformats.org/officeDocument/2006/relationships/hyperlink" Target="#'10 EVIDENCE &amp; DECISIONS'!A1082" TargetMode="External" Id="rId1085"/><Relationship Type="http://schemas.openxmlformats.org/officeDocument/2006/relationships/hyperlink" Target="#'10 EVIDENCE &amp; DECISIONS'!A1083" TargetMode="External" Id="rId1086"/><Relationship Type="http://schemas.openxmlformats.org/officeDocument/2006/relationships/hyperlink" Target="#'10 EVIDENCE &amp; DECISIONS'!A1084" TargetMode="External" Id="rId1087"/><Relationship Type="http://schemas.openxmlformats.org/officeDocument/2006/relationships/hyperlink" Target="#'10 EVIDENCE &amp; DECISIONS'!A1085" TargetMode="External" Id="rId1088"/><Relationship Type="http://schemas.openxmlformats.org/officeDocument/2006/relationships/hyperlink" Target="#'10 EVIDENCE &amp; DECISIONS'!A1086" TargetMode="External" Id="rId1089"/><Relationship Type="http://schemas.openxmlformats.org/officeDocument/2006/relationships/hyperlink" Target="#'10 EVIDENCE &amp; DECISIONS'!A1087" TargetMode="External" Id="rId1090"/><Relationship Type="http://schemas.openxmlformats.org/officeDocument/2006/relationships/hyperlink" Target="#'10 EVIDENCE &amp; DECISIONS'!A1088" TargetMode="External" Id="rId1091"/><Relationship Type="http://schemas.openxmlformats.org/officeDocument/2006/relationships/hyperlink" Target="#'10 EVIDENCE &amp; DECISIONS'!A1089" TargetMode="External" Id="rId1092"/><Relationship Type="http://schemas.openxmlformats.org/officeDocument/2006/relationships/hyperlink" Target="#'10 EVIDENCE &amp; DECISIONS'!A1090" TargetMode="External" Id="rId1093"/><Relationship Type="http://schemas.openxmlformats.org/officeDocument/2006/relationships/hyperlink" Target="#'10 EVIDENCE &amp; DECISIONS'!A1091" TargetMode="External" Id="rId1094"/><Relationship Type="http://schemas.openxmlformats.org/officeDocument/2006/relationships/hyperlink" Target="#'10 EVIDENCE &amp; DECISIONS'!A1092" TargetMode="External" Id="rId1095"/><Relationship Type="http://schemas.openxmlformats.org/officeDocument/2006/relationships/hyperlink" Target="#'10 EVIDENCE &amp; DECISIONS'!A1093" TargetMode="External" Id="rId1096"/><Relationship Type="http://schemas.openxmlformats.org/officeDocument/2006/relationships/hyperlink" Target="#'10 EVIDENCE &amp; DECISIONS'!A1094" TargetMode="External" Id="rId1097"/><Relationship Type="http://schemas.openxmlformats.org/officeDocument/2006/relationships/hyperlink" Target="#'10 EVIDENCE &amp; DECISIONS'!A1095" TargetMode="External" Id="rId1098"/><Relationship Type="http://schemas.openxmlformats.org/officeDocument/2006/relationships/hyperlink" Target="#'10 EVIDENCE &amp; DECISIONS'!A1096" TargetMode="External" Id="rId1099"/><Relationship Type="http://schemas.openxmlformats.org/officeDocument/2006/relationships/hyperlink" Target="#'10 EVIDENCE &amp; DECISIONS'!A1097" TargetMode="External" Id="rId1100"/><Relationship Type="http://schemas.openxmlformats.org/officeDocument/2006/relationships/hyperlink" Target="#'10 EVIDENCE &amp; DECISIONS'!A1098" TargetMode="External" Id="rId1101"/><Relationship Type="http://schemas.openxmlformats.org/officeDocument/2006/relationships/hyperlink" Target="#'10 EVIDENCE &amp; DECISIONS'!A1099" TargetMode="External" Id="rId1102"/><Relationship Type="http://schemas.openxmlformats.org/officeDocument/2006/relationships/hyperlink" Target="#'10 EVIDENCE &amp; DECISIONS'!A1100" TargetMode="External" Id="rId1103"/><Relationship Type="http://schemas.openxmlformats.org/officeDocument/2006/relationships/hyperlink" Target="#'10 EVIDENCE &amp; DECISIONS'!A1101" TargetMode="External" Id="rId1104"/><Relationship Type="http://schemas.openxmlformats.org/officeDocument/2006/relationships/hyperlink" Target="#'10 EVIDENCE &amp; DECISIONS'!A1102" TargetMode="External" Id="rId1105"/><Relationship Type="http://schemas.openxmlformats.org/officeDocument/2006/relationships/hyperlink" Target="#'10 EVIDENCE &amp; DECISIONS'!A1103" TargetMode="External" Id="rId1106"/><Relationship Type="http://schemas.openxmlformats.org/officeDocument/2006/relationships/hyperlink" Target="#'10 EVIDENCE &amp; DECISIONS'!A1104" TargetMode="External" Id="rId1107"/><Relationship Type="http://schemas.openxmlformats.org/officeDocument/2006/relationships/hyperlink" Target="#'10 EVIDENCE &amp; DECISIONS'!A1105" TargetMode="External" Id="rId1108"/><Relationship Type="http://schemas.openxmlformats.org/officeDocument/2006/relationships/hyperlink" Target="#'10 EVIDENCE &amp; DECISIONS'!A1106" TargetMode="External" Id="rId1109"/><Relationship Type="http://schemas.openxmlformats.org/officeDocument/2006/relationships/hyperlink" Target="#'10 EVIDENCE &amp; DECISIONS'!A1107" TargetMode="External" Id="rId1110"/><Relationship Type="http://schemas.openxmlformats.org/officeDocument/2006/relationships/hyperlink" Target="#'10 EVIDENCE &amp; DECISIONS'!A1108" TargetMode="External" Id="rId1111"/><Relationship Type="http://schemas.openxmlformats.org/officeDocument/2006/relationships/hyperlink" Target="#'10 EVIDENCE &amp; DECISIONS'!A1109" TargetMode="External" Id="rId1112"/><Relationship Type="http://schemas.openxmlformats.org/officeDocument/2006/relationships/hyperlink" Target="#'10 EVIDENCE &amp; DECISIONS'!A1110" TargetMode="External" Id="rId1113"/><Relationship Type="http://schemas.openxmlformats.org/officeDocument/2006/relationships/hyperlink" Target="#'10 EVIDENCE &amp; DECISIONS'!A1111" TargetMode="External" Id="rId1114"/><Relationship Type="http://schemas.openxmlformats.org/officeDocument/2006/relationships/hyperlink" Target="#'10 EVIDENCE &amp; DECISIONS'!A1112" TargetMode="External" Id="rId1115"/><Relationship Type="http://schemas.openxmlformats.org/officeDocument/2006/relationships/hyperlink" Target="#'10 EVIDENCE &amp; DECISIONS'!A1113" TargetMode="External" Id="rId1116"/><Relationship Type="http://schemas.openxmlformats.org/officeDocument/2006/relationships/hyperlink" Target="#'10 EVIDENCE &amp; DECISIONS'!A1114" TargetMode="External" Id="rId1117"/><Relationship Type="http://schemas.openxmlformats.org/officeDocument/2006/relationships/hyperlink" Target="#'10 EVIDENCE &amp; DECISIONS'!A1115" TargetMode="External" Id="rId1118"/><Relationship Type="http://schemas.openxmlformats.org/officeDocument/2006/relationships/hyperlink" Target="#'10 EVIDENCE &amp; DECISIONS'!A1116" TargetMode="External" Id="rId1119"/><Relationship Type="http://schemas.openxmlformats.org/officeDocument/2006/relationships/hyperlink" Target="#'10 EVIDENCE &amp; DECISIONS'!A1117" TargetMode="External" Id="rId1120"/><Relationship Type="http://schemas.openxmlformats.org/officeDocument/2006/relationships/hyperlink" Target="#'10 EVIDENCE &amp; DECISIONS'!A1118" TargetMode="External" Id="rId1121"/><Relationship Type="http://schemas.openxmlformats.org/officeDocument/2006/relationships/hyperlink" Target="#'10 EVIDENCE &amp; DECISIONS'!A1119" TargetMode="External" Id="rId1122"/><Relationship Type="http://schemas.openxmlformats.org/officeDocument/2006/relationships/hyperlink" Target="#'10 EVIDENCE &amp; DECISIONS'!A1120" TargetMode="External" Id="rId1123"/><Relationship Type="http://schemas.openxmlformats.org/officeDocument/2006/relationships/hyperlink" Target="#'10 EVIDENCE &amp; DECISIONS'!A1121" TargetMode="External" Id="rId1124"/><Relationship Type="http://schemas.openxmlformats.org/officeDocument/2006/relationships/hyperlink" Target="#'10 EVIDENCE &amp; DECISIONS'!A1122" TargetMode="External" Id="rId1125"/><Relationship Type="http://schemas.openxmlformats.org/officeDocument/2006/relationships/hyperlink" Target="#'10 EVIDENCE &amp; DECISIONS'!A1123" TargetMode="External" Id="rId1126"/><Relationship Type="http://schemas.openxmlformats.org/officeDocument/2006/relationships/hyperlink" Target="#'10 EVIDENCE &amp; DECISIONS'!A1124" TargetMode="External" Id="rId1127"/><Relationship Type="http://schemas.openxmlformats.org/officeDocument/2006/relationships/hyperlink" Target="#'10 EVIDENCE &amp; DECISIONS'!A1125" TargetMode="External" Id="rId1128"/><Relationship Type="http://schemas.openxmlformats.org/officeDocument/2006/relationships/hyperlink" Target="#'10 EVIDENCE &amp; DECISIONS'!A1126" TargetMode="External" Id="rId1129"/><Relationship Type="http://schemas.openxmlformats.org/officeDocument/2006/relationships/hyperlink" Target="#'10 EVIDENCE &amp; DECISIONS'!A1127" TargetMode="External" Id="rId1130"/><Relationship Type="http://schemas.openxmlformats.org/officeDocument/2006/relationships/hyperlink" Target="#'10 EVIDENCE &amp; DECISIONS'!A1128" TargetMode="External" Id="rId1131"/><Relationship Type="http://schemas.openxmlformats.org/officeDocument/2006/relationships/hyperlink" Target="#'10 EVIDENCE &amp; DECISIONS'!A1129" TargetMode="External" Id="rId1132"/><Relationship Type="http://schemas.openxmlformats.org/officeDocument/2006/relationships/hyperlink" Target="#'10 EVIDENCE &amp; DECISIONS'!A1130" TargetMode="External" Id="rId1133"/><Relationship Type="http://schemas.openxmlformats.org/officeDocument/2006/relationships/hyperlink" Target="#'10 EVIDENCE &amp; DECISIONS'!A1131" TargetMode="External" Id="rId1134"/><Relationship Type="http://schemas.openxmlformats.org/officeDocument/2006/relationships/hyperlink" Target="#'10 EVIDENCE &amp; DECISIONS'!A1132" TargetMode="External" Id="rId1135"/><Relationship Type="http://schemas.openxmlformats.org/officeDocument/2006/relationships/hyperlink" Target="#'10 EVIDENCE &amp; DECISIONS'!A1133" TargetMode="External" Id="rId1136"/><Relationship Type="http://schemas.openxmlformats.org/officeDocument/2006/relationships/hyperlink" Target="#'10 EVIDENCE &amp; DECISIONS'!A1134" TargetMode="External" Id="rId1137"/><Relationship Type="http://schemas.openxmlformats.org/officeDocument/2006/relationships/hyperlink" Target="#'10 EVIDENCE &amp; DECISIONS'!A1135" TargetMode="External" Id="rId1138"/><Relationship Type="http://schemas.openxmlformats.org/officeDocument/2006/relationships/hyperlink" Target="#'10 EVIDENCE &amp; DECISIONS'!A1136" TargetMode="External" Id="rId1139"/><Relationship Type="http://schemas.openxmlformats.org/officeDocument/2006/relationships/hyperlink" Target="#'10 EVIDENCE &amp; DECISIONS'!A1137" TargetMode="External" Id="rId1140"/><Relationship Type="http://schemas.openxmlformats.org/officeDocument/2006/relationships/hyperlink" Target="#'10 EVIDENCE &amp; DECISIONS'!A1138" TargetMode="External" Id="rId1141"/><Relationship Type="http://schemas.openxmlformats.org/officeDocument/2006/relationships/hyperlink" Target="#'10 EVIDENCE &amp; DECISIONS'!A1139" TargetMode="External" Id="rId1142"/><Relationship Type="http://schemas.openxmlformats.org/officeDocument/2006/relationships/hyperlink" Target="#'10 EVIDENCE &amp; DECISIONS'!A1140" TargetMode="External" Id="rId1143"/><Relationship Type="http://schemas.openxmlformats.org/officeDocument/2006/relationships/hyperlink" Target="#'10 EVIDENCE &amp; DECISIONS'!A1141" TargetMode="External" Id="rId1144"/><Relationship Type="http://schemas.openxmlformats.org/officeDocument/2006/relationships/hyperlink" Target="#'10 EVIDENCE &amp; DECISIONS'!A1142" TargetMode="External" Id="rId1145"/><Relationship Type="http://schemas.openxmlformats.org/officeDocument/2006/relationships/hyperlink" Target="#'10 EVIDENCE &amp; DECISIONS'!A1143" TargetMode="External" Id="rId1146"/><Relationship Type="http://schemas.openxmlformats.org/officeDocument/2006/relationships/hyperlink" Target="#'10 EVIDENCE &amp; DECISIONS'!A1144" TargetMode="External" Id="rId1147"/><Relationship Type="http://schemas.openxmlformats.org/officeDocument/2006/relationships/hyperlink" Target="#'10 EVIDENCE &amp; DECISIONS'!A1145" TargetMode="External" Id="rId1148"/><Relationship Type="http://schemas.openxmlformats.org/officeDocument/2006/relationships/hyperlink" Target="#'10 EVIDENCE &amp; DECISIONS'!A1146" TargetMode="External" Id="rId1149"/><Relationship Type="http://schemas.openxmlformats.org/officeDocument/2006/relationships/hyperlink" Target="#'10 EVIDENCE &amp; DECISIONS'!A1147" TargetMode="External" Id="rId1150"/><Relationship Type="http://schemas.openxmlformats.org/officeDocument/2006/relationships/hyperlink" Target="#'10 EVIDENCE &amp; DECISIONS'!A1148" TargetMode="External" Id="rId1151"/><Relationship Type="http://schemas.openxmlformats.org/officeDocument/2006/relationships/hyperlink" Target="#'10 EVIDENCE &amp; DECISIONS'!A1149" TargetMode="External" Id="rId1152"/><Relationship Type="http://schemas.openxmlformats.org/officeDocument/2006/relationships/hyperlink" Target="#'10 EVIDENCE &amp; DECISIONS'!A1150" TargetMode="External" Id="rId1153"/><Relationship Type="http://schemas.openxmlformats.org/officeDocument/2006/relationships/hyperlink" Target="#'10 EVIDENCE &amp; DECISIONS'!A1151" TargetMode="External" Id="rId1154"/><Relationship Type="http://schemas.openxmlformats.org/officeDocument/2006/relationships/hyperlink" Target="#'10 EVIDENCE &amp; DECISIONS'!A1152" TargetMode="External" Id="rId1155"/><Relationship Type="http://schemas.openxmlformats.org/officeDocument/2006/relationships/hyperlink" Target="#'10 EVIDENCE &amp; DECISIONS'!A1153" TargetMode="External" Id="rId1156"/><Relationship Type="http://schemas.openxmlformats.org/officeDocument/2006/relationships/hyperlink" Target="#'10 EVIDENCE &amp; DECISIONS'!A1154" TargetMode="External" Id="rId1157"/><Relationship Type="http://schemas.openxmlformats.org/officeDocument/2006/relationships/hyperlink" Target="#'10 EVIDENCE &amp; DECISIONS'!A1155" TargetMode="External" Id="rId1158"/><Relationship Type="http://schemas.openxmlformats.org/officeDocument/2006/relationships/hyperlink" Target="#'10 EVIDENCE &amp; DECISIONS'!A1156" TargetMode="External" Id="rId1159"/><Relationship Type="http://schemas.openxmlformats.org/officeDocument/2006/relationships/hyperlink" Target="#'10 EVIDENCE &amp; DECISIONS'!A1157" TargetMode="External" Id="rId1160"/><Relationship Type="http://schemas.openxmlformats.org/officeDocument/2006/relationships/hyperlink" Target="#'10 EVIDENCE &amp; DECISIONS'!A1158" TargetMode="External" Id="rId1161"/><Relationship Type="http://schemas.openxmlformats.org/officeDocument/2006/relationships/hyperlink" Target="#'10 EVIDENCE &amp; DECISIONS'!A1159" TargetMode="External" Id="rId1162"/><Relationship Type="http://schemas.openxmlformats.org/officeDocument/2006/relationships/hyperlink" Target="#'10 EVIDENCE &amp; DECISIONS'!A1160" TargetMode="External" Id="rId1163"/><Relationship Type="http://schemas.openxmlformats.org/officeDocument/2006/relationships/hyperlink" Target="#'10 EVIDENCE &amp; DECISIONS'!A1161" TargetMode="External" Id="rId1164"/><Relationship Type="http://schemas.openxmlformats.org/officeDocument/2006/relationships/hyperlink" Target="#'10 EVIDENCE &amp; DECISIONS'!A1162" TargetMode="External" Id="rId1165"/><Relationship Type="http://schemas.openxmlformats.org/officeDocument/2006/relationships/hyperlink" Target="#'10 EVIDENCE &amp; DECISIONS'!A1163" TargetMode="External" Id="rId1166"/><Relationship Type="http://schemas.openxmlformats.org/officeDocument/2006/relationships/hyperlink" Target="#'10 EVIDENCE &amp; DECISIONS'!A1164" TargetMode="External" Id="rId1167"/><Relationship Type="http://schemas.openxmlformats.org/officeDocument/2006/relationships/hyperlink" Target="#'10 EVIDENCE &amp; DECISIONS'!A1165" TargetMode="External" Id="rId1168"/><Relationship Type="http://schemas.openxmlformats.org/officeDocument/2006/relationships/hyperlink" Target="#'10 EVIDENCE &amp; DECISIONS'!A1166" TargetMode="External" Id="rId1169"/><Relationship Type="http://schemas.openxmlformats.org/officeDocument/2006/relationships/hyperlink" Target="#'10 EVIDENCE &amp; DECISIONS'!A1167" TargetMode="External" Id="rId1170"/><Relationship Type="http://schemas.openxmlformats.org/officeDocument/2006/relationships/hyperlink" Target="#'10 EVIDENCE &amp; DECISIONS'!A1168" TargetMode="External" Id="rId1171"/><Relationship Type="http://schemas.openxmlformats.org/officeDocument/2006/relationships/hyperlink" Target="#'10 EVIDENCE &amp; DECISIONS'!A1169" TargetMode="External" Id="rId1172"/><Relationship Type="http://schemas.openxmlformats.org/officeDocument/2006/relationships/hyperlink" Target="#'10 EVIDENCE &amp; DECISIONS'!A1170" TargetMode="External" Id="rId1173"/><Relationship Type="http://schemas.openxmlformats.org/officeDocument/2006/relationships/hyperlink" Target="#'10 EVIDENCE &amp; DECISIONS'!A1171" TargetMode="External" Id="rId1174"/><Relationship Type="http://schemas.openxmlformats.org/officeDocument/2006/relationships/hyperlink" Target="#'10 EVIDENCE &amp; DECISIONS'!A1172" TargetMode="External" Id="rId1175"/><Relationship Type="http://schemas.openxmlformats.org/officeDocument/2006/relationships/hyperlink" Target="#'10 EVIDENCE &amp; DECISIONS'!A1173" TargetMode="External" Id="rId1176"/><Relationship Type="http://schemas.openxmlformats.org/officeDocument/2006/relationships/hyperlink" Target="#'10 EVIDENCE &amp; DECISIONS'!A1174" TargetMode="External" Id="rId1177"/><Relationship Type="http://schemas.openxmlformats.org/officeDocument/2006/relationships/hyperlink" Target="#'10 EVIDENCE &amp; DECISIONS'!A1175" TargetMode="External" Id="rId1178"/><Relationship Type="http://schemas.openxmlformats.org/officeDocument/2006/relationships/hyperlink" Target="#'10 EVIDENCE &amp; DECISIONS'!A1176" TargetMode="External" Id="rId1179"/><Relationship Type="http://schemas.openxmlformats.org/officeDocument/2006/relationships/hyperlink" Target="#'10 EVIDENCE &amp; DECISIONS'!A1177" TargetMode="External" Id="rId1180"/><Relationship Type="http://schemas.openxmlformats.org/officeDocument/2006/relationships/hyperlink" Target="#'10 EVIDENCE &amp; DECISIONS'!A1178" TargetMode="External" Id="rId1181"/><Relationship Type="http://schemas.openxmlformats.org/officeDocument/2006/relationships/hyperlink" Target="#'10 EVIDENCE &amp; DECISIONS'!A1179" TargetMode="External" Id="rId1182"/><Relationship Type="http://schemas.openxmlformats.org/officeDocument/2006/relationships/hyperlink" Target="#'10 EVIDENCE &amp; DECISIONS'!A1180" TargetMode="External" Id="rId1183"/><Relationship Type="http://schemas.openxmlformats.org/officeDocument/2006/relationships/hyperlink" Target="#'10 EVIDENCE &amp; DECISIONS'!A1181" TargetMode="External" Id="rId1184"/><Relationship Type="http://schemas.openxmlformats.org/officeDocument/2006/relationships/hyperlink" Target="#'10 EVIDENCE &amp; DECISIONS'!A1182" TargetMode="External" Id="rId1185"/><Relationship Type="http://schemas.openxmlformats.org/officeDocument/2006/relationships/hyperlink" Target="#'10 EVIDENCE &amp; DECISIONS'!A1183" TargetMode="External" Id="rId1186"/><Relationship Type="http://schemas.openxmlformats.org/officeDocument/2006/relationships/hyperlink" Target="#'10 EVIDENCE &amp; DECISIONS'!A1184" TargetMode="External" Id="rId1187"/><Relationship Type="http://schemas.openxmlformats.org/officeDocument/2006/relationships/hyperlink" Target="#'10 EVIDENCE &amp; DECISIONS'!A1185" TargetMode="External" Id="rId1188"/><Relationship Type="http://schemas.openxmlformats.org/officeDocument/2006/relationships/hyperlink" Target="#'10 EVIDENCE &amp; DECISIONS'!A1186" TargetMode="External" Id="rId1189"/><Relationship Type="http://schemas.openxmlformats.org/officeDocument/2006/relationships/hyperlink" Target="#'10 EVIDENCE &amp; DECISIONS'!A1187" TargetMode="External" Id="rId1190"/><Relationship Type="http://schemas.openxmlformats.org/officeDocument/2006/relationships/hyperlink" Target="#'10 EVIDENCE &amp; DECISIONS'!A1188" TargetMode="External" Id="rId1191"/><Relationship Type="http://schemas.openxmlformats.org/officeDocument/2006/relationships/hyperlink" Target="#'10 EVIDENCE &amp; DECISIONS'!A1189" TargetMode="External" Id="rId1192"/><Relationship Type="http://schemas.openxmlformats.org/officeDocument/2006/relationships/hyperlink" Target="#'10 EVIDENCE &amp; DECISIONS'!A1190" TargetMode="External" Id="rId1193"/><Relationship Type="http://schemas.openxmlformats.org/officeDocument/2006/relationships/hyperlink" Target="#'10 EVIDENCE &amp; DECISIONS'!A1191" TargetMode="External" Id="rId1194"/><Relationship Type="http://schemas.openxmlformats.org/officeDocument/2006/relationships/hyperlink" Target="#'10 EVIDENCE &amp; DECISIONS'!A1192" TargetMode="External" Id="rId1195"/><Relationship Type="http://schemas.openxmlformats.org/officeDocument/2006/relationships/hyperlink" Target="#'10 EVIDENCE &amp; DECISIONS'!A1193" TargetMode="External" Id="rId1196"/><Relationship Type="http://schemas.openxmlformats.org/officeDocument/2006/relationships/hyperlink" Target="#'10 EVIDENCE &amp; DECISIONS'!A1194" TargetMode="External" Id="rId1197"/><Relationship Type="http://schemas.openxmlformats.org/officeDocument/2006/relationships/hyperlink" Target="#'10 EVIDENCE &amp; DECISIONS'!A1195" TargetMode="External" Id="rId1198"/><Relationship Type="http://schemas.openxmlformats.org/officeDocument/2006/relationships/hyperlink" Target="#'10 EVIDENCE &amp; DECISIONS'!A1196" TargetMode="External" Id="rId1199"/><Relationship Type="http://schemas.openxmlformats.org/officeDocument/2006/relationships/hyperlink" Target="#'10 EVIDENCE &amp; DECISIONS'!A1197" TargetMode="External" Id="rId1200"/><Relationship Type="http://schemas.openxmlformats.org/officeDocument/2006/relationships/hyperlink" Target="#'10 EVIDENCE &amp; DECISIONS'!A1198" TargetMode="External" Id="rId1201"/><Relationship Type="http://schemas.openxmlformats.org/officeDocument/2006/relationships/hyperlink" Target="#'10 EVIDENCE &amp; DECISIONS'!A1199" TargetMode="External" Id="rId1202"/><Relationship Type="http://schemas.openxmlformats.org/officeDocument/2006/relationships/hyperlink" Target="#'10 EVIDENCE &amp; DECISIONS'!A1200" TargetMode="External" Id="rId1203"/><Relationship Type="http://schemas.openxmlformats.org/officeDocument/2006/relationships/hyperlink" Target="#'10 EVIDENCE &amp; DECISIONS'!A1201" TargetMode="External" Id="rId1204"/><Relationship Type="http://schemas.openxmlformats.org/officeDocument/2006/relationships/hyperlink" Target="#'10 EVIDENCE &amp; DECISIONS'!A1202" TargetMode="External" Id="rId1205"/><Relationship Type="http://schemas.openxmlformats.org/officeDocument/2006/relationships/hyperlink" Target="#'10 EVIDENCE &amp; DECISIONS'!A1203" TargetMode="External" Id="rId1206"/><Relationship Type="http://schemas.openxmlformats.org/officeDocument/2006/relationships/hyperlink" Target="#'10 EVIDENCE &amp; DECISIONS'!A1204" TargetMode="External" Id="rId1207"/><Relationship Type="http://schemas.openxmlformats.org/officeDocument/2006/relationships/hyperlink" Target="#'10 EVIDENCE &amp; DECISIONS'!A1205" TargetMode="External" Id="rId1208"/><Relationship Type="http://schemas.openxmlformats.org/officeDocument/2006/relationships/hyperlink" Target="#'10 EVIDENCE &amp; DECISIONS'!A1206" TargetMode="External" Id="rId1209"/><Relationship Type="http://schemas.openxmlformats.org/officeDocument/2006/relationships/hyperlink" Target="#'10 EVIDENCE &amp; DECISIONS'!A1207" TargetMode="External" Id="rId1210"/><Relationship Type="http://schemas.openxmlformats.org/officeDocument/2006/relationships/hyperlink" Target="#'10 EVIDENCE &amp; DECISIONS'!A1208" TargetMode="External" Id="rId1211"/><Relationship Type="http://schemas.openxmlformats.org/officeDocument/2006/relationships/hyperlink" Target="#'10 EVIDENCE &amp; DECISIONS'!A1209" TargetMode="External" Id="rId1212"/><Relationship Type="http://schemas.openxmlformats.org/officeDocument/2006/relationships/hyperlink" Target="#'10 EVIDENCE &amp; DECISIONS'!A1210" TargetMode="External" Id="rId1213"/><Relationship Type="http://schemas.openxmlformats.org/officeDocument/2006/relationships/hyperlink" Target="#'10 EVIDENCE &amp; DECISIONS'!A1211" TargetMode="External" Id="rId1214"/><Relationship Type="http://schemas.openxmlformats.org/officeDocument/2006/relationships/hyperlink" Target="#'10 EVIDENCE &amp; DECISIONS'!A1212" TargetMode="External" Id="rId1215"/><Relationship Type="http://schemas.openxmlformats.org/officeDocument/2006/relationships/hyperlink" Target="#'10 EVIDENCE &amp; DECISIONS'!A1213" TargetMode="External" Id="rId1216"/><Relationship Type="http://schemas.openxmlformats.org/officeDocument/2006/relationships/hyperlink" Target="#'10 EVIDENCE &amp; DECISIONS'!A1214" TargetMode="External" Id="rId1217"/><Relationship Type="http://schemas.openxmlformats.org/officeDocument/2006/relationships/hyperlink" Target="#'10 EVIDENCE &amp; DECISIONS'!A1215" TargetMode="External" Id="rId1218"/><Relationship Type="http://schemas.openxmlformats.org/officeDocument/2006/relationships/hyperlink" Target="#'10 EVIDENCE &amp; DECISIONS'!A1216" TargetMode="External" Id="rId1219"/><Relationship Type="http://schemas.openxmlformats.org/officeDocument/2006/relationships/hyperlink" Target="#'10 EVIDENCE &amp; DECISIONS'!A1217" TargetMode="External" Id="rId1220"/><Relationship Type="http://schemas.openxmlformats.org/officeDocument/2006/relationships/hyperlink" Target="#'10 EVIDENCE &amp; DECISIONS'!A1218" TargetMode="External" Id="rId1221"/><Relationship Type="http://schemas.openxmlformats.org/officeDocument/2006/relationships/hyperlink" Target="#'10 EVIDENCE &amp; DECISIONS'!A1219" TargetMode="External" Id="rId1222"/><Relationship Type="http://schemas.openxmlformats.org/officeDocument/2006/relationships/hyperlink" Target="#'10 EVIDENCE &amp; DECISIONS'!A1220" TargetMode="External" Id="rId1223"/><Relationship Type="http://schemas.openxmlformats.org/officeDocument/2006/relationships/hyperlink" Target="#'10 EVIDENCE &amp; DECISIONS'!A1221" TargetMode="External" Id="rId1224"/><Relationship Type="http://schemas.openxmlformats.org/officeDocument/2006/relationships/hyperlink" Target="#'10 EVIDENCE &amp; DECISIONS'!A1222" TargetMode="External" Id="rId1225"/><Relationship Type="http://schemas.openxmlformats.org/officeDocument/2006/relationships/hyperlink" Target="#'10 EVIDENCE &amp; DECISIONS'!A1223" TargetMode="External" Id="rId1226"/><Relationship Type="http://schemas.openxmlformats.org/officeDocument/2006/relationships/hyperlink" Target="#'10 EVIDENCE &amp; DECISIONS'!A1224" TargetMode="External" Id="rId1227"/><Relationship Type="http://schemas.openxmlformats.org/officeDocument/2006/relationships/hyperlink" Target="#'10 EVIDENCE &amp; DECISIONS'!A1225" TargetMode="External" Id="rId1228"/><Relationship Type="http://schemas.openxmlformats.org/officeDocument/2006/relationships/hyperlink" Target="#'10 EVIDENCE &amp; DECISIONS'!A1226" TargetMode="External" Id="rId1229"/><Relationship Type="http://schemas.openxmlformats.org/officeDocument/2006/relationships/hyperlink" Target="#'10 EVIDENCE &amp; DECISIONS'!A1227" TargetMode="External" Id="rId1230"/><Relationship Type="http://schemas.openxmlformats.org/officeDocument/2006/relationships/hyperlink" Target="#'10 EVIDENCE &amp; DECISIONS'!A1228" TargetMode="External" Id="rId1231"/><Relationship Type="http://schemas.openxmlformats.org/officeDocument/2006/relationships/hyperlink" Target="#'10 EVIDENCE &amp; DECISIONS'!A1229" TargetMode="External" Id="rId1232"/><Relationship Type="http://schemas.openxmlformats.org/officeDocument/2006/relationships/hyperlink" Target="#'10 EVIDENCE &amp; DECISIONS'!A1230" TargetMode="External" Id="rId1233"/><Relationship Type="http://schemas.openxmlformats.org/officeDocument/2006/relationships/hyperlink" Target="#'10 EVIDENCE &amp; DECISIONS'!A1231" TargetMode="External" Id="rId1234"/><Relationship Type="http://schemas.openxmlformats.org/officeDocument/2006/relationships/hyperlink" Target="#'10 EVIDENCE &amp; DECISIONS'!A1232" TargetMode="External" Id="rId1235"/><Relationship Type="http://schemas.openxmlformats.org/officeDocument/2006/relationships/hyperlink" Target="#'10 EVIDENCE &amp; DECISIONS'!A1233" TargetMode="External" Id="rId1236"/><Relationship Type="http://schemas.openxmlformats.org/officeDocument/2006/relationships/hyperlink" Target="#'10 EVIDENCE &amp; DECISIONS'!A1234" TargetMode="External" Id="rId1237"/><Relationship Type="http://schemas.openxmlformats.org/officeDocument/2006/relationships/hyperlink" Target="#'10 EVIDENCE &amp; DECISIONS'!A1235" TargetMode="External" Id="rId1238"/><Relationship Type="http://schemas.openxmlformats.org/officeDocument/2006/relationships/hyperlink" Target="#'10 EVIDENCE &amp; DECISIONS'!A1236" TargetMode="External" Id="rId1239"/><Relationship Type="http://schemas.openxmlformats.org/officeDocument/2006/relationships/hyperlink" Target="#'10 EVIDENCE &amp; DECISIONS'!A1237" TargetMode="External" Id="rId1240"/><Relationship Type="http://schemas.openxmlformats.org/officeDocument/2006/relationships/hyperlink" Target="#'10 EVIDENCE &amp; DECISIONS'!A1238" TargetMode="External" Id="rId1241"/><Relationship Type="http://schemas.openxmlformats.org/officeDocument/2006/relationships/hyperlink" Target="#'10 EVIDENCE &amp; DECISIONS'!A1239" TargetMode="External" Id="rId1242"/><Relationship Type="http://schemas.openxmlformats.org/officeDocument/2006/relationships/hyperlink" Target="#'10 EVIDENCE &amp; DECISIONS'!A1240" TargetMode="External" Id="rId1243"/><Relationship Type="http://schemas.openxmlformats.org/officeDocument/2006/relationships/hyperlink" Target="#'10 EVIDENCE &amp; DECISIONS'!A1241" TargetMode="External" Id="rId1244"/><Relationship Type="http://schemas.openxmlformats.org/officeDocument/2006/relationships/hyperlink" Target="#'10 EVIDENCE &amp; DECISIONS'!A1242" TargetMode="External" Id="rId1245"/><Relationship Type="http://schemas.openxmlformats.org/officeDocument/2006/relationships/hyperlink" Target="#'10 EVIDENCE &amp; DECISIONS'!A1243" TargetMode="External" Id="rId1246"/><Relationship Type="http://schemas.openxmlformats.org/officeDocument/2006/relationships/hyperlink" Target="#'10 EVIDENCE &amp; DECISIONS'!A1244" TargetMode="External" Id="rId1247"/><Relationship Type="http://schemas.openxmlformats.org/officeDocument/2006/relationships/hyperlink" Target="#'10 EVIDENCE &amp; DECISIONS'!A1245" TargetMode="External" Id="rId1248"/><Relationship Type="http://schemas.openxmlformats.org/officeDocument/2006/relationships/hyperlink" Target="#'10 EVIDENCE &amp; DECISIONS'!A1246" TargetMode="External" Id="rId1249"/><Relationship Type="http://schemas.openxmlformats.org/officeDocument/2006/relationships/hyperlink" Target="#'10 EVIDENCE &amp; DECISIONS'!A1247" TargetMode="External" Id="rId1250"/><Relationship Type="http://schemas.openxmlformats.org/officeDocument/2006/relationships/hyperlink" Target="#'10 EVIDENCE &amp; DECISIONS'!A1248" TargetMode="External" Id="rId1251"/><Relationship Type="http://schemas.openxmlformats.org/officeDocument/2006/relationships/hyperlink" Target="#'10 EVIDENCE &amp; DECISIONS'!A1249" TargetMode="External" Id="rId1252"/><Relationship Type="http://schemas.openxmlformats.org/officeDocument/2006/relationships/hyperlink" Target="#'10 EVIDENCE &amp; DECISIONS'!A1250" TargetMode="External" Id="rId1253"/><Relationship Type="http://schemas.openxmlformats.org/officeDocument/2006/relationships/hyperlink" Target="#'10 EVIDENCE &amp; DECISIONS'!A1251" TargetMode="External" Id="rId1254"/><Relationship Type="http://schemas.openxmlformats.org/officeDocument/2006/relationships/hyperlink" Target="#'10 EVIDENCE &amp; DECISIONS'!A1252" TargetMode="External" Id="rId1255"/><Relationship Type="http://schemas.openxmlformats.org/officeDocument/2006/relationships/hyperlink" Target="#'10 EVIDENCE &amp; DECISIONS'!A1253" TargetMode="External" Id="rId1256"/><Relationship Type="http://schemas.openxmlformats.org/officeDocument/2006/relationships/hyperlink" Target="#'10 EVIDENCE &amp; DECISIONS'!A1254" TargetMode="External" Id="rId1257"/><Relationship Type="http://schemas.openxmlformats.org/officeDocument/2006/relationships/hyperlink" Target="#'10 EVIDENCE &amp; DECISIONS'!A1255" TargetMode="External" Id="rId1258"/><Relationship Type="http://schemas.openxmlformats.org/officeDocument/2006/relationships/hyperlink" Target="#'10 EVIDENCE &amp; DECISIONS'!A1256" TargetMode="External" Id="rId1259"/><Relationship Type="http://schemas.openxmlformats.org/officeDocument/2006/relationships/hyperlink" Target="#'10 EVIDENCE &amp; DECISIONS'!A1257" TargetMode="External" Id="rId1260"/><Relationship Type="http://schemas.openxmlformats.org/officeDocument/2006/relationships/hyperlink" Target="#'10 EVIDENCE &amp; DECISIONS'!A1258" TargetMode="External" Id="rId1261"/><Relationship Type="http://schemas.openxmlformats.org/officeDocument/2006/relationships/hyperlink" Target="#'10 EVIDENCE &amp; DECISIONS'!A1259" TargetMode="External" Id="rId1262"/><Relationship Type="http://schemas.openxmlformats.org/officeDocument/2006/relationships/hyperlink" Target="#'10 EVIDENCE &amp; DECISIONS'!A1260" TargetMode="External" Id="rId1263"/><Relationship Type="http://schemas.openxmlformats.org/officeDocument/2006/relationships/hyperlink" Target="#'10 EVIDENCE &amp; DECISIONS'!A1261" TargetMode="External" Id="rId1264"/><Relationship Type="http://schemas.openxmlformats.org/officeDocument/2006/relationships/hyperlink" Target="#'10 EVIDENCE &amp; DECISIONS'!A1262" TargetMode="External" Id="rId1265"/><Relationship Type="http://schemas.openxmlformats.org/officeDocument/2006/relationships/hyperlink" Target="#'10 EVIDENCE &amp; DECISIONS'!A1263" TargetMode="External" Id="rId1266"/><Relationship Type="http://schemas.openxmlformats.org/officeDocument/2006/relationships/hyperlink" Target="#'10 EVIDENCE &amp; DECISIONS'!A1264" TargetMode="External" Id="rId1267"/><Relationship Type="http://schemas.openxmlformats.org/officeDocument/2006/relationships/hyperlink" Target="#'10 EVIDENCE &amp; DECISIONS'!A1265" TargetMode="External" Id="rId1268"/><Relationship Type="http://schemas.openxmlformats.org/officeDocument/2006/relationships/hyperlink" Target="#'10 EVIDENCE &amp; DECISIONS'!A1266" TargetMode="External" Id="rId1269"/><Relationship Type="http://schemas.openxmlformats.org/officeDocument/2006/relationships/hyperlink" Target="#'10 EVIDENCE &amp; DECISIONS'!A1267" TargetMode="External" Id="rId1270"/><Relationship Type="http://schemas.openxmlformats.org/officeDocument/2006/relationships/hyperlink" Target="#'10 EVIDENCE &amp; DECISIONS'!A1268" TargetMode="External" Id="rId1271"/><Relationship Type="http://schemas.openxmlformats.org/officeDocument/2006/relationships/hyperlink" Target="#'10 EVIDENCE &amp; DECISIONS'!A1269" TargetMode="External" Id="rId1272"/><Relationship Type="http://schemas.openxmlformats.org/officeDocument/2006/relationships/hyperlink" Target="#'10 EVIDENCE &amp; DECISIONS'!A1270" TargetMode="External" Id="rId1273"/><Relationship Type="http://schemas.openxmlformats.org/officeDocument/2006/relationships/hyperlink" Target="#'10 EVIDENCE &amp; DECISIONS'!A1271" TargetMode="External" Id="rId1274"/><Relationship Type="http://schemas.openxmlformats.org/officeDocument/2006/relationships/hyperlink" Target="#'10 EVIDENCE &amp; DECISIONS'!A1272" TargetMode="External" Id="rId1275"/><Relationship Type="http://schemas.openxmlformats.org/officeDocument/2006/relationships/hyperlink" Target="#'10 EVIDENCE &amp; DECISIONS'!A1273" TargetMode="External" Id="rId1276"/><Relationship Type="http://schemas.openxmlformats.org/officeDocument/2006/relationships/hyperlink" Target="#'10 EVIDENCE &amp; DECISIONS'!A1274" TargetMode="External" Id="rId1277"/><Relationship Type="http://schemas.openxmlformats.org/officeDocument/2006/relationships/hyperlink" Target="#'10 EVIDENCE &amp; DECISIONS'!A1275" TargetMode="External" Id="rId1278"/><Relationship Type="http://schemas.openxmlformats.org/officeDocument/2006/relationships/hyperlink" Target="#'10 EVIDENCE &amp; DECISIONS'!A1276" TargetMode="External" Id="rId1279"/><Relationship Type="http://schemas.openxmlformats.org/officeDocument/2006/relationships/hyperlink" Target="#'10 EVIDENCE &amp; DECISIONS'!A1277" TargetMode="External" Id="rId1280"/><Relationship Type="http://schemas.openxmlformats.org/officeDocument/2006/relationships/hyperlink" Target="#'10 EVIDENCE &amp; DECISIONS'!A1278" TargetMode="External" Id="rId1281"/><Relationship Type="http://schemas.openxmlformats.org/officeDocument/2006/relationships/hyperlink" Target="#'10 EVIDENCE &amp; DECISIONS'!A1279" TargetMode="External" Id="rId1282"/><Relationship Type="http://schemas.openxmlformats.org/officeDocument/2006/relationships/hyperlink" Target="#'10 EVIDENCE &amp; DECISIONS'!A1280" TargetMode="External" Id="rId1283"/><Relationship Type="http://schemas.openxmlformats.org/officeDocument/2006/relationships/hyperlink" Target="#'10 EVIDENCE &amp; DECISIONS'!A1281" TargetMode="External" Id="rId1284"/><Relationship Type="http://schemas.openxmlformats.org/officeDocument/2006/relationships/hyperlink" Target="#'10 EVIDENCE &amp; DECISIONS'!A1282" TargetMode="External" Id="rId1285"/><Relationship Type="http://schemas.openxmlformats.org/officeDocument/2006/relationships/hyperlink" Target="#'10 EVIDENCE &amp; DECISIONS'!A1283" TargetMode="External" Id="rId1286"/><Relationship Type="http://schemas.openxmlformats.org/officeDocument/2006/relationships/hyperlink" Target="#'10 EVIDENCE &amp; DECISIONS'!A1284" TargetMode="External" Id="rId1287"/><Relationship Type="http://schemas.openxmlformats.org/officeDocument/2006/relationships/hyperlink" Target="#'10 EVIDENCE &amp; DECISIONS'!A1285" TargetMode="External" Id="rId1288"/><Relationship Type="http://schemas.openxmlformats.org/officeDocument/2006/relationships/hyperlink" Target="#'10 EVIDENCE &amp; DECISIONS'!A1286" TargetMode="External" Id="rId1289"/><Relationship Type="http://schemas.openxmlformats.org/officeDocument/2006/relationships/hyperlink" Target="#'10 EVIDENCE &amp; DECISIONS'!A1287" TargetMode="External" Id="rId1290"/><Relationship Type="http://schemas.openxmlformats.org/officeDocument/2006/relationships/hyperlink" Target="#'10 EVIDENCE &amp; DECISIONS'!A1288" TargetMode="External" Id="rId1291"/><Relationship Type="http://schemas.openxmlformats.org/officeDocument/2006/relationships/hyperlink" Target="#'10 EVIDENCE &amp; DECISIONS'!A1289" TargetMode="External" Id="rId1292"/><Relationship Type="http://schemas.openxmlformats.org/officeDocument/2006/relationships/hyperlink" Target="#'10 EVIDENCE &amp; DECISIONS'!A1290" TargetMode="External" Id="rId1293"/><Relationship Type="http://schemas.openxmlformats.org/officeDocument/2006/relationships/hyperlink" Target="#'10 EVIDENCE &amp; DECISIONS'!A1291" TargetMode="External" Id="rId1294"/><Relationship Type="http://schemas.openxmlformats.org/officeDocument/2006/relationships/hyperlink" Target="#'10 EVIDENCE &amp; DECISIONS'!A1292" TargetMode="External" Id="rId1295"/><Relationship Type="http://schemas.openxmlformats.org/officeDocument/2006/relationships/hyperlink" Target="#'10 EVIDENCE &amp; DECISIONS'!A1293" TargetMode="External" Id="rId1296"/><Relationship Type="http://schemas.openxmlformats.org/officeDocument/2006/relationships/hyperlink" Target="#'10 EVIDENCE &amp; DECISIONS'!A1294" TargetMode="External" Id="rId1297"/><Relationship Type="http://schemas.openxmlformats.org/officeDocument/2006/relationships/hyperlink" Target="#'10 EVIDENCE &amp; DECISIONS'!A1295" TargetMode="External" Id="rId1298"/><Relationship Type="http://schemas.openxmlformats.org/officeDocument/2006/relationships/hyperlink" Target="#'10 EVIDENCE &amp; DECISIONS'!A1296" TargetMode="External" Id="rId1299"/><Relationship Type="http://schemas.openxmlformats.org/officeDocument/2006/relationships/hyperlink" Target="#'10 EVIDENCE &amp; DECISIONS'!A1297" TargetMode="External" Id="rId1300"/><Relationship Type="http://schemas.openxmlformats.org/officeDocument/2006/relationships/hyperlink" Target="#'10 EVIDENCE &amp; DECISIONS'!A1298" TargetMode="External" Id="rId1301"/><Relationship Type="http://schemas.openxmlformats.org/officeDocument/2006/relationships/hyperlink" Target="#'10 EVIDENCE &amp; DECISIONS'!A1299" TargetMode="External" Id="rId1302"/><Relationship Type="http://schemas.openxmlformats.org/officeDocument/2006/relationships/hyperlink" Target="#'10 EVIDENCE &amp; DECISIONS'!A1300" TargetMode="External" Id="rId1303"/><Relationship Type="http://schemas.openxmlformats.org/officeDocument/2006/relationships/hyperlink" Target="#'10 EVIDENCE &amp; DECISIONS'!A1301" TargetMode="External" Id="rId1304"/><Relationship Type="http://schemas.openxmlformats.org/officeDocument/2006/relationships/hyperlink" Target="#'10 EVIDENCE &amp; DECISIONS'!A1302" TargetMode="External" Id="rId1305"/><Relationship Type="http://schemas.openxmlformats.org/officeDocument/2006/relationships/hyperlink" Target="#'10 EVIDENCE &amp; DECISIONS'!A1303" TargetMode="External" Id="rId1306"/><Relationship Type="http://schemas.openxmlformats.org/officeDocument/2006/relationships/hyperlink" Target="#'10 EVIDENCE &amp; DECISIONS'!A1304" TargetMode="External" Id="rId1307"/><Relationship Type="http://schemas.openxmlformats.org/officeDocument/2006/relationships/hyperlink" Target="#'10 EVIDENCE &amp; DECISIONS'!A1305" TargetMode="External" Id="rId1308"/><Relationship Type="http://schemas.openxmlformats.org/officeDocument/2006/relationships/hyperlink" Target="#'10 EVIDENCE &amp; DECISIONS'!A1306" TargetMode="External" Id="rId1309"/><Relationship Type="http://schemas.openxmlformats.org/officeDocument/2006/relationships/hyperlink" Target="#'10 EVIDENCE &amp; DECISIONS'!A1307" TargetMode="External" Id="rId1310"/><Relationship Type="http://schemas.openxmlformats.org/officeDocument/2006/relationships/hyperlink" Target="#'10 EVIDENCE &amp; DECISIONS'!A1308" TargetMode="External" Id="rId1311"/><Relationship Type="http://schemas.openxmlformats.org/officeDocument/2006/relationships/hyperlink" Target="#'10 EVIDENCE &amp; DECISIONS'!A1309" TargetMode="External" Id="rId1312"/><Relationship Type="http://schemas.openxmlformats.org/officeDocument/2006/relationships/hyperlink" Target="#'10 EVIDENCE &amp; DECISIONS'!A1310" TargetMode="External" Id="rId1313"/><Relationship Type="http://schemas.openxmlformats.org/officeDocument/2006/relationships/hyperlink" Target="#'10 EVIDENCE &amp; DECISIONS'!A1311" TargetMode="External" Id="rId1314"/><Relationship Type="http://schemas.openxmlformats.org/officeDocument/2006/relationships/hyperlink" Target="#'10 EVIDENCE &amp; DECISIONS'!A1312" TargetMode="External" Id="rId1315"/><Relationship Type="http://schemas.openxmlformats.org/officeDocument/2006/relationships/hyperlink" Target="#'10 EVIDENCE &amp; DECISIONS'!A1313" TargetMode="External" Id="rId1316"/><Relationship Type="http://schemas.openxmlformats.org/officeDocument/2006/relationships/hyperlink" Target="#'10 EVIDENCE &amp; DECISIONS'!A1314" TargetMode="External" Id="rId1317"/><Relationship Type="http://schemas.openxmlformats.org/officeDocument/2006/relationships/hyperlink" Target="#'10 EVIDENCE &amp; DECISIONS'!A1315" TargetMode="External" Id="rId1318"/><Relationship Type="http://schemas.openxmlformats.org/officeDocument/2006/relationships/hyperlink" Target="#'10 EVIDENCE &amp; DECISIONS'!A1316" TargetMode="External" Id="rId1319"/><Relationship Type="http://schemas.openxmlformats.org/officeDocument/2006/relationships/hyperlink" Target="#'10 EVIDENCE &amp; DECISIONS'!A1317" TargetMode="External" Id="rId1320"/><Relationship Type="http://schemas.openxmlformats.org/officeDocument/2006/relationships/hyperlink" Target="#'10 EVIDENCE &amp; DECISIONS'!A1318" TargetMode="External" Id="rId1321"/><Relationship Type="http://schemas.openxmlformats.org/officeDocument/2006/relationships/hyperlink" Target="#'10 EVIDENCE &amp; DECISIONS'!A1319" TargetMode="External" Id="rId1322"/><Relationship Type="http://schemas.openxmlformats.org/officeDocument/2006/relationships/hyperlink" Target="#'10 EVIDENCE &amp; DECISIONS'!A1320" TargetMode="External" Id="rId1323"/><Relationship Type="http://schemas.openxmlformats.org/officeDocument/2006/relationships/hyperlink" Target="#'10 EVIDENCE &amp; DECISIONS'!A1321" TargetMode="External" Id="rId1324"/><Relationship Type="http://schemas.openxmlformats.org/officeDocument/2006/relationships/hyperlink" Target="#'10 EVIDENCE &amp; DECISIONS'!A1322" TargetMode="External" Id="rId1325"/><Relationship Type="http://schemas.openxmlformats.org/officeDocument/2006/relationships/hyperlink" Target="#'10 EVIDENCE &amp; DECISIONS'!A1323" TargetMode="External" Id="rId1326"/><Relationship Type="http://schemas.openxmlformats.org/officeDocument/2006/relationships/hyperlink" Target="#'10 EVIDENCE &amp; DECISIONS'!A1324" TargetMode="External" Id="rId1327"/><Relationship Type="http://schemas.openxmlformats.org/officeDocument/2006/relationships/hyperlink" Target="#'10 EVIDENCE &amp; DECISIONS'!A1325" TargetMode="External" Id="rId1328"/><Relationship Type="http://schemas.openxmlformats.org/officeDocument/2006/relationships/hyperlink" Target="#'10 EVIDENCE &amp; DECISIONS'!A1326" TargetMode="External" Id="rId1329"/><Relationship Type="http://schemas.openxmlformats.org/officeDocument/2006/relationships/hyperlink" Target="#'10 EVIDENCE &amp; DECISIONS'!A1327" TargetMode="External" Id="rId1330"/><Relationship Type="http://schemas.openxmlformats.org/officeDocument/2006/relationships/hyperlink" Target="#'10 EVIDENCE &amp; DECISIONS'!A1328" TargetMode="External" Id="rId1331"/><Relationship Type="http://schemas.openxmlformats.org/officeDocument/2006/relationships/hyperlink" Target="#'10 EVIDENCE &amp; DECISIONS'!A1329" TargetMode="External" Id="rId1332"/><Relationship Type="http://schemas.openxmlformats.org/officeDocument/2006/relationships/hyperlink" Target="#'10 EVIDENCE &amp; DECISIONS'!A1330" TargetMode="External" Id="rId1333"/><Relationship Type="http://schemas.openxmlformats.org/officeDocument/2006/relationships/hyperlink" Target="#'10 EVIDENCE &amp; DECISIONS'!A1331" TargetMode="External" Id="rId1334"/><Relationship Type="http://schemas.openxmlformats.org/officeDocument/2006/relationships/hyperlink" Target="#'10 EVIDENCE &amp; DECISIONS'!A1332" TargetMode="External" Id="rId1335"/><Relationship Type="http://schemas.openxmlformats.org/officeDocument/2006/relationships/hyperlink" Target="#'10 EVIDENCE &amp; DECISIONS'!A1333" TargetMode="External" Id="rId1336"/><Relationship Type="http://schemas.openxmlformats.org/officeDocument/2006/relationships/hyperlink" Target="#'10 EVIDENCE &amp; DECISIONS'!A1334" TargetMode="External" Id="rId1337"/><Relationship Type="http://schemas.openxmlformats.org/officeDocument/2006/relationships/hyperlink" Target="#'10 EVIDENCE &amp; DECISIONS'!A1335" TargetMode="External" Id="rId1338"/><Relationship Type="http://schemas.openxmlformats.org/officeDocument/2006/relationships/hyperlink" Target="#'10 EVIDENCE &amp; DECISIONS'!A1336" TargetMode="External" Id="rId1339"/><Relationship Type="http://schemas.openxmlformats.org/officeDocument/2006/relationships/hyperlink" Target="#'10 EVIDENCE &amp; DECISIONS'!A1337" TargetMode="External" Id="rId1340"/><Relationship Type="http://schemas.openxmlformats.org/officeDocument/2006/relationships/hyperlink" Target="#'10 EVIDENCE &amp; DECISIONS'!A1338" TargetMode="External" Id="rId1341"/><Relationship Type="http://schemas.openxmlformats.org/officeDocument/2006/relationships/hyperlink" Target="#'10 EVIDENCE &amp; DECISIONS'!A1339" TargetMode="External" Id="rId1342"/><Relationship Type="http://schemas.openxmlformats.org/officeDocument/2006/relationships/hyperlink" Target="#'10 EVIDENCE &amp; DECISIONS'!A1340" TargetMode="External" Id="rId1343"/><Relationship Type="http://schemas.openxmlformats.org/officeDocument/2006/relationships/hyperlink" Target="#'10 EVIDENCE &amp; DECISIONS'!A1341" TargetMode="External" Id="rId1344"/><Relationship Type="http://schemas.openxmlformats.org/officeDocument/2006/relationships/hyperlink" Target="#'10 EVIDENCE &amp; DECISIONS'!A1342" TargetMode="External" Id="rId1345"/><Relationship Type="http://schemas.openxmlformats.org/officeDocument/2006/relationships/hyperlink" Target="#'10 EVIDENCE &amp; DECISIONS'!A1343" TargetMode="External" Id="rId1346"/><Relationship Type="http://schemas.openxmlformats.org/officeDocument/2006/relationships/hyperlink" Target="#'10 EVIDENCE &amp; DECISIONS'!A1344" TargetMode="External" Id="rId1347"/><Relationship Type="http://schemas.openxmlformats.org/officeDocument/2006/relationships/hyperlink" Target="#'10 EVIDENCE &amp; DECISIONS'!A1345" TargetMode="External" Id="rId1348"/><Relationship Type="http://schemas.openxmlformats.org/officeDocument/2006/relationships/hyperlink" Target="#'10 EVIDENCE &amp; DECISIONS'!A1346" TargetMode="External" Id="rId1349"/><Relationship Type="http://schemas.openxmlformats.org/officeDocument/2006/relationships/hyperlink" Target="#'10 EVIDENCE &amp; DECISIONS'!A1347" TargetMode="External" Id="rId1350"/><Relationship Type="http://schemas.openxmlformats.org/officeDocument/2006/relationships/hyperlink" Target="#'10 EVIDENCE &amp; DECISIONS'!A1348" TargetMode="External" Id="rId1351"/><Relationship Type="http://schemas.openxmlformats.org/officeDocument/2006/relationships/hyperlink" Target="#'10 EVIDENCE &amp; DECISIONS'!A1349" TargetMode="External" Id="rId1352"/><Relationship Type="http://schemas.openxmlformats.org/officeDocument/2006/relationships/hyperlink" Target="#'10 EVIDENCE &amp; DECISIONS'!A1350" TargetMode="External" Id="rId1353"/><Relationship Type="http://schemas.openxmlformats.org/officeDocument/2006/relationships/hyperlink" Target="#'10 EVIDENCE &amp; DECISIONS'!A1351" TargetMode="External" Id="rId1354"/><Relationship Type="http://schemas.openxmlformats.org/officeDocument/2006/relationships/hyperlink" Target="#'10 EVIDENCE &amp; DECISIONS'!A1352" TargetMode="External" Id="rId1355"/><Relationship Type="http://schemas.openxmlformats.org/officeDocument/2006/relationships/hyperlink" Target="#'10 EVIDENCE &amp; DECISIONS'!A1353" TargetMode="External" Id="rId1356"/><Relationship Type="http://schemas.openxmlformats.org/officeDocument/2006/relationships/hyperlink" Target="#'10 EVIDENCE &amp; DECISIONS'!A1354" TargetMode="External" Id="rId1357"/><Relationship Type="http://schemas.openxmlformats.org/officeDocument/2006/relationships/hyperlink" Target="#'10 EVIDENCE &amp; DECISIONS'!A1355" TargetMode="External" Id="rId1358"/><Relationship Type="http://schemas.openxmlformats.org/officeDocument/2006/relationships/hyperlink" Target="#'10 EVIDENCE &amp; DECISIONS'!A1356" TargetMode="External" Id="rId1359"/><Relationship Type="http://schemas.openxmlformats.org/officeDocument/2006/relationships/hyperlink" Target="#'10 EVIDENCE &amp; DECISIONS'!A1357" TargetMode="External" Id="rId1360"/><Relationship Type="http://schemas.openxmlformats.org/officeDocument/2006/relationships/hyperlink" Target="#'10 EVIDENCE &amp; DECISIONS'!A1358" TargetMode="External" Id="rId1361"/><Relationship Type="http://schemas.openxmlformats.org/officeDocument/2006/relationships/hyperlink" Target="#'10 EVIDENCE &amp; DECISIONS'!A1359" TargetMode="External" Id="rId1362"/><Relationship Type="http://schemas.openxmlformats.org/officeDocument/2006/relationships/hyperlink" Target="#'10 EVIDENCE &amp; DECISIONS'!A1360" TargetMode="External" Id="rId1363"/><Relationship Type="http://schemas.openxmlformats.org/officeDocument/2006/relationships/hyperlink" Target="#'10 EVIDENCE &amp; DECISIONS'!A1361" TargetMode="External" Id="rId1364"/><Relationship Type="http://schemas.openxmlformats.org/officeDocument/2006/relationships/hyperlink" Target="#'10 EVIDENCE &amp; DECISIONS'!A1362" TargetMode="External" Id="rId1365"/><Relationship Type="http://schemas.openxmlformats.org/officeDocument/2006/relationships/hyperlink" Target="#'10 EVIDENCE &amp; DECISIONS'!A1363" TargetMode="External" Id="rId1366"/><Relationship Type="http://schemas.openxmlformats.org/officeDocument/2006/relationships/hyperlink" Target="#'10 EVIDENCE &amp; DECISIONS'!A1364" TargetMode="External" Id="rId1367"/><Relationship Type="http://schemas.openxmlformats.org/officeDocument/2006/relationships/hyperlink" Target="#'10 EVIDENCE &amp; DECISIONS'!A1365" TargetMode="External" Id="rId1368"/><Relationship Type="http://schemas.openxmlformats.org/officeDocument/2006/relationships/hyperlink" Target="#'10 EVIDENCE &amp; DECISIONS'!A1366" TargetMode="External" Id="rId1369"/><Relationship Type="http://schemas.openxmlformats.org/officeDocument/2006/relationships/hyperlink" Target="#'10 EVIDENCE &amp; DECISIONS'!A1367" TargetMode="External" Id="rId1370"/><Relationship Type="http://schemas.openxmlformats.org/officeDocument/2006/relationships/hyperlink" Target="#'10 EVIDENCE &amp; DECISIONS'!A1368" TargetMode="External" Id="rId1371"/><Relationship Type="http://schemas.openxmlformats.org/officeDocument/2006/relationships/hyperlink" Target="#'10 EVIDENCE &amp; DECISIONS'!A1369" TargetMode="External" Id="rId1372"/><Relationship Type="http://schemas.openxmlformats.org/officeDocument/2006/relationships/hyperlink" Target="#'10 EVIDENCE &amp; DECISIONS'!A1370" TargetMode="External" Id="rId1373"/><Relationship Type="http://schemas.openxmlformats.org/officeDocument/2006/relationships/hyperlink" Target="#'10 EVIDENCE &amp; DECISIONS'!A1371" TargetMode="External" Id="rId1374"/><Relationship Type="http://schemas.openxmlformats.org/officeDocument/2006/relationships/hyperlink" Target="#'10 EVIDENCE &amp; DECISIONS'!A1372" TargetMode="External" Id="rId1375"/><Relationship Type="http://schemas.openxmlformats.org/officeDocument/2006/relationships/hyperlink" Target="#'10 EVIDENCE &amp; DECISIONS'!A1373" TargetMode="External" Id="rId1376"/><Relationship Type="http://schemas.openxmlformats.org/officeDocument/2006/relationships/hyperlink" Target="#'10 EVIDENCE &amp; DECISIONS'!A1374" TargetMode="External" Id="rId1377"/><Relationship Type="http://schemas.openxmlformats.org/officeDocument/2006/relationships/hyperlink" Target="#'10 EVIDENCE &amp; DECISIONS'!A1375" TargetMode="External" Id="rId1378"/><Relationship Type="http://schemas.openxmlformats.org/officeDocument/2006/relationships/hyperlink" Target="#'10 EVIDENCE &amp; DECISIONS'!A1376" TargetMode="External" Id="rId1379"/><Relationship Type="http://schemas.openxmlformats.org/officeDocument/2006/relationships/hyperlink" Target="#'10 EVIDENCE &amp; DECISIONS'!A1377" TargetMode="External" Id="rId1380"/><Relationship Type="http://schemas.openxmlformats.org/officeDocument/2006/relationships/hyperlink" Target="#'10 EVIDENCE &amp; DECISIONS'!A1378" TargetMode="External" Id="rId1381"/><Relationship Type="http://schemas.openxmlformats.org/officeDocument/2006/relationships/hyperlink" Target="#'10 EVIDENCE &amp; DECISIONS'!A1379" TargetMode="External" Id="rId1382"/><Relationship Type="http://schemas.openxmlformats.org/officeDocument/2006/relationships/hyperlink" Target="#'10 EVIDENCE &amp; DECISIONS'!A1380" TargetMode="External" Id="rId1383"/><Relationship Type="http://schemas.openxmlformats.org/officeDocument/2006/relationships/hyperlink" Target="#'10 EVIDENCE &amp; DECISIONS'!A1381" TargetMode="External" Id="rId1384"/><Relationship Type="http://schemas.openxmlformats.org/officeDocument/2006/relationships/hyperlink" Target="#'10 EVIDENCE &amp; DECISIONS'!A1382" TargetMode="External" Id="rId1385"/><Relationship Type="http://schemas.openxmlformats.org/officeDocument/2006/relationships/hyperlink" Target="#'10 EVIDENCE &amp; DECISIONS'!A1383" TargetMode="External" Id="rId1386"/><Relationship Type="http://schemas.openxmlformats.org/officeDocument/2006/relationships/hyperlink" Target="#'10 EVIDENCE &amp; DECISIONS'!A1384" TargetMode="External" Id="rId1387"/><Relationship Type="http://schemas.openxmlformats.org/officeDocument/2006/relationships/hyperlink" Target="#'10 EVIDENCE &amp; DECISIONS'!A1385" TargetMode="External" Id="rId1388"/><Relationship Type="http://schemas.openxmlformats.org/officeDocument/2006/relationships/hyperlink" Target="#'10 EVIDENCE &amp; DECISIONS'!A1386" TargetMode="External" Id="rId1389"/><Relationship Type="http://schemas.openxmlformats.org/officeDocument/2006/relationships/hyperlink" Target="#'10 EVIDENCE &amp; DECISIONS'!A1387" TargetMode="External" Id="rId1390"/><Relationship Type="http://schemas.openxmlformats.org/officeDocument/2006/relationships/hyperlink" Target="#'10 EVIDENCE &amp; DECISIONS'!A1388" TargetMode="External" Id="rId1391"/><Relationship Type="http://schemas.openxmlformats.org/officeDocument/2006/relationships/hyperlink" Target="#'10 EVIDENCE &amp; DECISIONS'!A1389" TargetMode="External" Id="rId1392"/><Relationship Type="http://schemas.openxmlformats.org/officeDocument/2006/relationships/hyperlink" Target="#'10 EVIDENCE &amp; DECISIONS'!A1390" TargetMode="External" Id="rId1393"/><Relationship Type="http://schemas.openxmlformats.org/officeDocument/2006/relationships/hyperlink" Target="#'10 EVIDENCE &amp; DECISIONS'!A1391" TargetMode="External" Id="rId1394"/><Relationship Type="http://schemas.openxmlformats.org/officeDocument/2006/relationships/hyperlink" Target="#'10 EVIDENCE &amp; DECISIONS'!A1392" TargetMode="External" Id="rId1395"/><Relationship Type="http://schemas.openxmlformats.org/officeDocument/2006/relationships/hyperlink" Target="#'10 EVIDENCE &amp; DECISIONS'!A1393" TargetMode="External" Id="rId1396"/><Relationship Type="http://schemas.openxmlformats.org/officeDocument/2006/relationships/hyperlink" Target="#'10 EVIDENCE &amp; DECISIONS'!A1394" TargetMode="External" Id="rId1397"/><Relationship Type="http://schemas.openxmlformats.org/officeDocument/2006/relationships/hyperlink" Target="#'10 EVIDENCE &amp; DECISIONS'!A1395" TargetMode="External" Id="rId1398"/><Relationship Type="http://schemas.openxmlformats.org/officeDocument/2006/relationships/hyperlink" Target="#'10 EVIDENCE &amp; DECISIONS'!A1396" TargetMode="External" Id="rId1399"/><Relationship Type="http://schemas.openxmlformats.org/officeDocument/2006/relationships/hyperlink" Target="#'10 EVIDENCE &amp; DECISIONS'!A1397" TargetMode="External" Id="rId1400"/><Relationship Type="http://schemas.openxmlformats.org/officeDocument/2006/relationships/hyperlink" Target="#'10 EVIDENCE &amp; DECISIONS'!A1398" TargetMode="External" Id="rId1401"/><Relationship Type="http://schemas.openxmlformats.org/officeDocument/2006/relationships/hyperlink" Target="#'10 EVIDENCE &amp; DECISIONS'!A1399" TargetMode="External" Id="rId1402"/><Relationship Type="http://schemas.openxmlformats.org/officeDocument/2006/relationships/hyperlink" Target="#'10 EVIDENCE &amp; DECISIONS'!A1400" TargetMode="External" Id="rId1403"/><Relationship Type="http://schemas.openxmlformats.org/officeDocument/2006/relationships/hyperlink" Target="#'10 EVIDENCE &amp; DECISIONS'!A1401" TargetMode="External" Id="rId1404"/><Relationship Type="http://schemas.openxmlformats.org/officeDocument/2006/relationships/hyperlink" Target="#'10 EVIDENCE &amp; DECISIONS'!A1402" TargetMode="External" Id="rId1405"/><Relationship Type="http://schemas.openxmlformats.org/officeDocument/2006/relationships/hyperlink" Target="#'10 EVIDENCE &amp; DECISIONS'!A1403" TargetMode="External" Id="rId1406"/><Relationship Type="http://schemas.openxmlformats.org/officeDocument/2006/relationships/hyperlink" Target="#'10 EVIDENCE &amp; DECISIONS'!A1404" TargetMode="External" Id="rId1407"/><Relationship Type="http://schemas.openxmlformats.org/officeDocument/2006/relationships/hyperlink" Target="#'10 EVIDENCE &amp; DECISIONS'!A1405" TargetMode="External" Id="rId1408"/><Relationship Type="http://schemas.openxmlformats.org/officeDocument/2006/relationships/hyperlink" Target="#'10 EVIDENCE &amp; DECISIONS'!A1406" TargetMode="External" Id="rId1409"/><Relationship Type="http://schemas.openxmlformats.org/officeDocument/2006/relationships/hyperlink" Target="#'10 EVIDENCE &amp; DECISIONS'!A1407" TargetMode="External" Id="rId1410"/><Relationship Type="http://schemas.openxmlformats.org/officeDocument/2006/relationships/hyperlink" Target="#'10 EVIDENCE &amp; DECISIONS'!A1408" TargetMode="External" Id="rId1411"/><Relationship Type="http://schemas.openxmlformats.org/officeDocument/2006/relationships/hyperlink" Target="#'10 EVIDENCE &amp; DECISIONS'!A1409" TargetMode="External" Id="rId1412"/><Relationship Type="http://schemas.openxmlformats.org/officeDocument/2006/relationships/hyperlink" Target="#'10 EVIDENCE &amp; DECISIONS'!A1410" TargetMode="External" Id="rId1413"/><Relationship Type="http://schemas.openxmlformats.org/officeDocument/2006/relationships/hyperlink" Target="#'10 EVIDENCE &amp; DECISIONS'!A1411" TargetMode="External" Id="rId1414"/><Relationship Type="http://schemas.openxmlformats.org/officeDocument/2006/relationships/hyperlink" Target="#'10 EVIDENCE &amp; DECISIONS'!A1412" TargetMode="External" Id="rId1415"/><Relationship Type="http://schemas.openxmlformats.org/officeDocument/2006/relationships/hyperlink" Target="#'10 EVIDENCE &amp; DECISIONS'!A1413" TargetMode="External" Id="rId1416"/><Relationship Type="http://schemas.openxmlformats.org/officeDocument/2006/relationships/hyperlink" Target="#'10 EVIDENCE &amp; DECISIONS'!A1414" TargetMode="External" Id="rId1417"/><Relationship Type="http://schemas.openxmlformats.org/officeDocument/2006/relationships/hyperlink" Target="#'10 EVIDENCE &amp; DECISIONS'!A1415" TargetMode="External" Id="rId1418"/><Relationship Type="http://schemas.openxmlformats.org/officeDocument/2006/relationships/hyperlink" Target="#'10 EVIDENCE &amp; DECISIONS'!A1416" TargetMode="External" Id="rId1419"/><Relationship Type="http://schemas.openxmlformats.org/officeDocument/2006/relationships/hyperlink" Target="#'10 EVIDENCE &amp; DECISIONS'!A1417" TargetMode="External" Id="rId1420"/><Relationship Type="http://schemas.openxmlformats.org/officeDocument/2006/relationships/hyperlink" Target="#'10 EVIDENCE &amp; DECISIONS'!A1418" TargetMode="External" Id="rId1421"/><Relationship Type="http://schemas.openxmlformats.org/officeDocument/2006/relationships/hyperlink" Target="#'10 EVIDENCE &amp; DECISIONS'!A1419" TargetMode="External" Id="rId1422"/><Relationship Type="http://schemas.openxmlformats.org/officeDocument/2006/relationships/hyperlink" Target="#'10 EVIDENCE &amp; DECISIONS'!A1420" TargetMode="External" Id="rId1423"/><Relationship Type="http://schemas.openxmlformats.org/officeDocument/2006/relationships/hyperlink" Target="#'10 EVIDENCE &amp; DECISIONS'!A1421" TargetMode="External" Id="rId1424"/><Relationship Type="http://schemas.openxmlformats.org/officeDocument/2006/relationships/hyperlink" Target="#'10 EVIDENCE &amp; DECISIONS'!A1422" TargetMode="External" Id="rId1425"/><Relationship Type="http://schemas.openxmlformats.org/officeDocument/2006/relationships/hyperlink" Target="#'10 EVIDENCE &amp; DECISIONS'!A1423" TargetMode="External" Id="rId1426"/><Relationship Type="http://schemas.openxmlformats.org/officeDocument/2006/relationships/hyperlink" Target="#'10 EVIDENCE &amp; DECISIONS'!A1424" TargetMode="External" Id="rId1427"/><Relationship Type="http://schemas.openxmlformats.org/officeDocument/2006/relationships/hyperlink" Target="#'10 EVIDENCE &amp; DECISIONS'!A1425" TargetMode="External" Id="rId1428"/><Relationship Type="http://schemas.openxmlformats.org/officeDocument/2006/relationships/hyperlink" Target="#'10 EVIDENCE &amp; DECISIONS'!A1426" TargetMode="External" Id="rId1429"/><Relationship Type="http://schemas.openxmlformats.org/officeDocument/2006/relationships/hyperlink" Target="#'10 EVIDENCE &amp; DECISIONS'!A1427" TargetMode="External" Id="rId1430"/><Relationship Type="http://schemas.openxmlformats.org/officeDocument/2006/relationships/hyperlink" Target="#'10 EVIDENCE &amp; DECISIONS'!A1428" TargetMode="External" Id="rId1431"/><Relationship Type="http://schemas.openxmlformats.org/officeDocument/2006/relationships/hyperlink" Target="#'10 EVIDENCE &amp; DECISIONS'!A1429" TargetMode="External" Id="rId1432"/><Relationship Type="http://schemas.openxmlformats.org/officeDocument/2006/relationships/hyperlink" Target="#'10 EVIDENCE &amp; DECISIONS'!A1430" TargetMode="External" Id="rId1433"/><Relationship Type="http://schemas.openxmlformats.org/officeDocument/2006/relationships/hyperlink" Target="#'10 EVIDENCE &amp; DECISIONS'!A1431" TargetMode="External" Id="rId1434"/><Relationship Type="http://schemas.openxmlformats.org/officeDocument/2006/relationships/hyperlink" Target="#'10 EVIDENCE &amp; DECISIONS'!A1432" TargetMode="External" Id="rId1435"/><Relationship Type="http://schemas.openxmlformats.org/officeDocument/2006/relationships/hyperlink" Target="#'10 EVIDENCE &amp; DECISIONS'!A1433" TargetMode="External" Id="rId1436"/><Relationship Type="http://schemas.openxmlformats.org/officeDocument/2006/relationships/hyperlink" Target="#'10 EVIDENCE &amp; DECISIONS'!A1434" TargetMode="External" Id="rId1437"/><Relationship Type="http://schemas.openxmlformats.org/officeDocument/2006/relationships/hyperlink" Target="#'10 EVIDENCE &amp; DECISIONS'!A1435" TargetMode="External" Id="rId1438"/><Relationship Type="http://schemas.openxmlformats.org/officeDocument/2006/relationships/hyperlink" Target="#'10 EVIDENCE &amp; DECISIONS'!A1436" TargetMode="External" Id="rId1439"/><Relationship Type="http://schemas.openxmlformats.org/officeDocument/2006/relationships/hyperlink" Target="#'10 EVIDENCE &amp; DECISIONS'!A1437" TargetMode="External" Id="rId1440"/><Relationship Type="http://schemas.openxmlformats.org/officeDocument/2006/relationships/hyperlink" Target="#'10 EVIDENCE &amp; DECISIONS'!A1438" TargetMode="External" Id="rId1441"/><Relationship Type="http://schemas.openxmlformats.org/officeDocument/2006/relationships/hyperlink" Target="#'10 EVIDENCE &amp; DECISIONS'!A1439" TargetMode="External" Id="rId1442"/><Relationship Type="http://schemas.openxmlformats.org/officeDocument/2006/relationships/hyperlink" Target="#'10 EVIDENCE &amp; DECISIONS'!A1440" TargetMode="External" Id="rId1443"/><Relationship Type="http://schemas.openxmlformats.org/officeDocument/2006/relationships/hyperlink" Target="#'10 EVIDENCE &amp; DECISIONS'!A1441" TargetMode="External" Id="rId1444"/><Relationship Type="http://schemas.openxmlformats.org/officeDocument/2006/relationships/hyperlink" Target="#'10 EVIDENCE &amp; DECISIONS'!A1442" TargetMode="External" Id="rId1445"/><Relationship Type="http://schemas.openxmlformats.org/officeDocument/2006/relationships/hyperlink" Target="#'10 EVIDENCE &amp; DECISIONS'!A1443" TargetMode="External" Id="rId1446"/><Relationship Type="http://schemas.openxmlformats.org/officeDocument/2006/relationships/hyperlink" Target="#'10 EVIDENCE &amp; DECISIONS'!A1444" TargetMode="External" Id="rId1447"/><Relationship Type="http://schemas.openxmlformats.org/officeDocument/2006/relationships/hyperlink" Target="#'10 EVIDENCE &amp; DECISIONS'!A1445" TargetMode="External" Id="rId1448"/><Relationship Type="http://schemas.openxmlformats.org/officeDocument/2006/relationships/hyperlink" Target="#'10 EVIDENCE &amp; DECISIONS'!A1446" TargetMode="External" Id="rId1449"/><Relationship Type="http://schemas.openxmlformats.org/officeDocument/2006/relationships/hyperlink" Target="#'10 EVIDENCE &amp; DECISIONS'!A1447" TargetMode="External" Id="rId1450"/><Relationship Type="http://schemas.openxmlformats.org/officeDocument/2006/relationships/hyperlink" Target="#'10 EVIDENCE &amp; DECISIONS'!A1448" TargetMode="External" Id="rId1451"/><Relationship Type="http://schemas.openxmlformats.org/officeDocument/2006/relationships/hyperlink" Target="#'10 EVIDENCE &amp; DECISIONS'!A1449" TargetMode="External" Id="rId1452"/><Relationship Type="http://schemas.openxmlformats.org/officeDocument/2006/relationships/hyperlink" Target="#'10 EVIDENCE &amp; DECISIONS'!A1450" TargetMode="External" Id="rId1453"/><Relationship Type="http://schemas.openxmlformats.org/officeDocument/2006/relationships/hyperlink" Target="#'10 EVIDENCE &amp; DECISIONS'!A1451" TargetMode="External" Id="rId1454"/><Relationship Type="http://schemas.openxmlformats.org/officeDocument/2006/relationships/hyperlink" Target="#'10 EVIDENCE &amp; DECISIONS'!A1452" TargetMode="External" Id="rId1455"/><Relationship Type="http://schemas.openxmlformats.org/officeDocument/2006/relationships/hyperlink" Target="#'10 EVIDENCE &amp; DECISIONS'!A1453" TargetMode="External" Id="rId1456"/><Relationship Type="http://schemas.openxmlformats.org/officeDocument/2006/relationships/hyperlink" Target="#'10 EVIDENCE &amp; DECISIONS'!A1454" TargetMode="External" Id="rId1457"/><Relationship Type="http://schemas.openxmlformats.org/officeDocument/2006/relationships/hyperlink" Target="#'10 EVIDENCE &amp; DECISIONS'!A1455" TargetMode="External" Id="rId1458"/><Relationship Type="http://schemas.openxmlformats.org/officeDocument/2006/relationships/hyperlink" Target="#'10 EVIDENCE &amp; DECISIONS'!A1456" TargetMode="External" Id="rId1459"/><Relationship Type="http://schemas.openxmlformats.org/officeDocument/2006/relationships/hyperlink" Target="#'10 EVIDENCE &amp; DECISIONS'!A1457" TargetMode="External" Id="rId1460"/><Relationship Type="http://schemas.openxmlformats.org/officeDocument/2006/relationships/hyperlink" Target="#'10 EVIDENCE &amp; DECISIONS'!A1458" TargetMode="External" Id="rId1461"/><Relationship Type="http://schemas.openxmlformats.org/officeDocument/2006/relationships/hyperlink" Target="#'10 EVIDENCE &amp; DECISIONS'!A1459" TargetMode="External" Id="rId1462"/><Relationship Type="http://schemas.openxmlformats.org/officeDocument/2006/relationships/hyperlink" Target="#'10 EVIDENCE &amp; DECISIONS'!A1460" TargetMode="External" Id="rId1463"/><Relationship Type="http://schemas.openxmlformats.org/officeDocument/2006/relationships/hyperlink" Target="#'10 EVIDENCE &amp; DECISIONS'!A1461" TargetMode="External" Id="rId1464"/><Relationship Type="http://schemas.openxmlformats.org/officeDocument/2006/relationships/hyperlink" Target="#'10 EVIDENCE &amp; DECISIONS'!A1462" TargetMode="External" Id="rId1465"/><Relationship Type="http://schemas.openxmlformats.org/officeDocument/2006/relationships/hyperlink" Target="#'10 EVIDENCE &amp; DECISIONS'!A1463" TargetMode="External" Id="rId1466"/><Relationship Type="http://schemas.openxmlformats.org/officeDocument/2006/relationships/hyperlink" Target="#'10 EVIDENCE &amp; DECISIONS'!A1464" TargetMode="External" Id="rId1467"/><Relationship Type="http://schemas.openxmlformats.org/officeDocument/2006/relationships/hyperlink" Target="#'10 EVIDENCE &amp; DECISIONS'!A1465" TargetMode="External" Id="rId1468"/><Relationship Type="http://schemas.openxmlformats.org/officeDocument/2006/relationships/hyperlink" Target="#'10 EVIDENCE &amp; DECISIONS'!A1466" TargetMode="External" Id="rId1469"/><Relationship Type="http://schemas.openxmlformats.org/officeDocument/2006/relationships/hyperlink" Target="#'10 EVIDENCE &amp; DECISIONS'!A1467" TargetMode="External" Id="rId1470"/><Relationship Type="http://schemas.openxmlformats.org/officeDocument/2006/relationships/hyperlink" Target="#'10 EVIDENCE &amp; DECISIONS'!A1468" TargetMode="External" Id="rId1471"/><Relationship Type="http://schemas.openxmlformats.org/officeDocument/2006/relationships/hyperlink" Target="#'10 EVIDENCE &amp; DECISIONS'!A1469" TargetMode="External" Id="rId1472"/><Relationship Type="http://schemas.openxmlformats.org/officeDocument/2006/relationships/hyperlink" Target="#'10 EVIDENCE &amp; DECISIONS'!A1470" TargetMode="External" Id="rId1473"/><Relationship Type="http://schemas.openxmlformats.org/officeDocument/2006/relationships/hyperlink" Target="#'10 EVIDENCE &amp; DECISIONS'!A1471" TargetMode="External" Id="rId1474"/><Relationship Type="http://schemas.openxmlformats.org/officeDocument/2006/relationships/hyperlink" Target="#'10 EVIDENCE &amp; DECISIONS'!A1472" TargetMode="External" Id="rId1475"/><Relationship Type="http://schemas.openxmlformats.org/officeDocument/2006/relationships/hyperlink" Target="#'10 EVIDENCE &amp; DECISIONS'!A1473" TargetMode="External" Id="rId1476"/><Relationship Type="http://schemas.openxmlformats.org/officeDocument/2006/relationships/hyperlink" Target="#'10 EVIDENCE &amp; DECISIONS'!A1474" TargetMode="External" Id="rId1477"/><Relationship Type="http://schemas.openxmlformats.org/officeDocument/2006/relationships/hyperlink" Target="#'10 EVIDENCE &amp; DECISIONS'!A1475" TargetMode="External" Id="rId1478"/><Relationship Type="http://schemas.openxmlformats.org/officeDocument/2006/relationships/hyperlink" Target="#'10 EVIDENCE &amp; DECISIONS'!A1476" TargetMode="External" Id="rId1479"/><Relationship Type="http://schemas.openxmlformats.org/officeDocument/2006/relationships/hyperlink" Target="#'10 EVIDENCE &amp; DECISIONS'!A1477" TargetMode="External" Id="rId1480"/><Relationship Type="http://schemas.openxmlformats.org/officeDocument/2006/relationships/hyperlink" Target="#'10 EVIDENCE &amp; DECISIONS'!A1478" TargetMode="External" Id="rId1481"/><Relationship Type="http://schemas.openxmlformats.org/officeDocument/2006/relationships/hyperlink" Target="#'10 EVIDENCE &amp; DECISIONS'!A1479" TargetMode="External" Id="rId1482"/><Relationship Type="http://schemas.openxmlformats.org/officeDocument/2006/relationships/hyperlink" Target="#'10 EVIDENCE &amp; DECISIONS'!A1480" TargetMode="External" Id="rId1483"/><Relationship Type="http://schemas.openxmlformats.org/officeDocument/2006/relationships/hyperlink" Target="#'10 EVIDENCE &amp; DECISIONS'!A1481" TargetMode="External" Id="rId1484"/><Relationship Type="http://schemas.openxmlformats.org/officeDocument/2006/relationships/hyperlink" Target="#'10 EVIDENCE &amp; DECISIONS'!A1482" TargetMode="External" Id="rId1485"/><Relationship Type="http://schemas.openxmlformats.org/officeDocument/2006/relationships/hyperlink" Target="#'10 EVIDENCE &amp; DECISIONS'!A1483" TargetMode="External" Id="rId1486"/><Relationship Type="http://schemas.openxmlformats.org/officeDocument/2006/relationships/hyperlink" Target="#'10 EVIDENCE &amp; DECISIONS'!A1484" TargetMode="External" Id="rId1487"/><Relationship Type="http://schemas.openxmlformats.org/officeDocument/2006/relationships/hyperlink" Target="#'10 EVIDENCE &amp; DECISIONS'!A1485" TargetMode="External" Id="rId1488"/><Relationship Type="http://schemas.openxmlformats.org/officeDocument/2006/relationships/hyperlink" Target="#'10 EVIDENCE &amp; DECISIONS'!A1486" TargetMode="External" Id="rId1489"/><Relationship Type="http://schemas.openxmlformats.org/officeDocument/2006/relationships/hyperlink" Target="#'10 EVIDENCE &amp; DECISIONS'!A1487" TargetMode="External" Id="rId1490"/><Relationship Type="http://schemas.openxmlformats.org/officeDocument/2006/relationships/hyperlink" Target="#'10 EVIDENCE &amp; DECISIONS'!A1488" TargetMode="External" Id="rId1491"/><Relationship Type="http://schemas.openxmlformats.org/officeDocument/2006/relationships/hyperlink" Target="#'10 EVIDENCE &amp; DECISIONS'!A1489" TargetMode="External" Id="rId1492"/><Relationship Type="http://schemas.openxmlformats.org/officeDocument/2006/relationships/hyperlink" Target="#'10 EVIDENCE &amp; DECISIONS'!A1490" TargetMode="External" Id="rId1493"/><Relationship Type="http://schemas.openxmlformats.org/officeDocument/2006/relationships/hyperlink" Target="#'10 EVIDENCE &amp; DECISIONS'!A1491" TargetMode="External" Id="rId1494"/><Relationship Type="http://schemas.openxmlformats.org/officeDocument/2006/relationships/hyperlink" Target="#'10 EVIDENCE &amp; DECISIONS'!A1492" TargetMode="External" Id="rId1495"/><Relationship Type="http://schemas.openxmlformats.org/officeDocument/2006/relationships/hyperlink" Target="#'10 EVIDENCE &amp; DECISIONS'!A1493" TargetMode="External" Id="rId1496"/><Relationship Type="http://schemas.openxmlformats.org/officeDocument/2006/relationships/hyperlink" Target="#'10 EVIDENCE &amp; DECISIONS'!A1494" TargetMode="External" Id="rId1497"/><Relationship Type="http://schemas.openxmlformats.org/officeDocument/2006/relationships/hyperlink" Target="#'10 EVIDENCE &amp; DECISIONS'!A1495" TargetMode="External" Id="rId1498"/><Relationship Type="http://schemas.openxmlformats.org/officeDocument/2006/relationships/hyperlink" Target="#'10 EVIDENCE &amp; DECISIONS'!A1496" TargetMode="External" Id="rId1499"/><Relationship Type="http://schemas.openxmlformats.org/officeDocument/2006/relationships/hyperlink" Target="#'10 EVIDENCE &amp; DECISIONS'!A1497" TargetMode="External" Id="rId1500"/><Relationship Type="http://schemas.openxmlformats.org/officeDocument/2006/relationships/hyperlink" Target="#'10 EVIDENCE &amp; DECISIONS'!A1498" TargetMode="External" Id="rId1501"/><Relationship Type="http://schemas.openxmlformats.org/officeDocument/2006/relationships/hyperlink" Target="#'10 EVIDENCE &amp; DECISIONS'!A1499" TargetMode="External" Id="rId1502"/><Relationship Type="http://schemas.openxmlformats.org/officeDocument/2006/relationships/hyperlink" Target="#'10 EVIDENCE &amp; DECISIONS'!A1500" TargetMode="External" Id="rId1503"/><Relationship Type="http://schemas.openxmlformats.org/officeDocument/2006/relationships/hyperlink" Target="#'10 EVIDENCE &amp; DECISIONS'!A1501" TargetMode="External" Id="rId1504"/><Relationship Type="http://schemas.openxmlformats.org/officeDocument/2006/relationships/hyperlink" Target="#'10 EVIDENCE &amp; DECISIONS'!A1502" TargetMode="External" Id="rId1505"/><Relationship Type="http://schemas.openxmlformats.org/officeDocument/2006/relationships/hyperlink" Target="#'10 EVIDENCE &amp; DECISIONS'!A1503" TargetMode="External" Id="rId1506"/><Relationship Type="http://schemas.openxmlformats.org/officeDocument/2006/relationships/hyperlink" Target="#'10 EVIDENCE &amp; DECISIONS'!A1504" TargetMode="External" Id="rId1507"/><Relationship Type="http://schemas.openxmlformats.org/officeDocument/2006/relationships/hyperlink" Target="#'10 EVIDENCE &amp; DECISIONS'!A1505" TargetMode="External" Id="rId1508"/><Relationship Type="http://schemas.openxmlformats.org/officeDocument/2006/relationships/hyperlink" Target="#'10 EVIDENCE &amp; DECISIONS'!A1506" TargetMode="External" Id="rId1509"/><Relationship Type="http://schemas.openxmlformats.org/officeDocument/2006/relationships/hyperlink" Target="#'10 EVIDENCE &amp; DECISIONS'!A1507" TargetMode="External" Id="rId1510"/><Relationship Type="http://schemas.openxmlformats.org/officeDocument/2006/relationships/hyperlink" Target="#'10 EVIDENCE &amp; DECISIONS'!A1508" TargetMode="External" Id="rId1511"/><Relationship Type="http://schemas.openxmlformats.org/officeDocument/2006/relationships/hyperlink" Target="#'10 EVIDENCE &amp; DECISIONS'!A1509" TargetMode="External" Id="rId1512"/><Relationship Type="http://schemas.openxmlformats.org/officeDocument/2006/relationships/hyperlink" Target="#'10 EVIDENCE &amp; DECISIONS'!A1510" TargetMode="External" Id="rId1513"/><Relationship Type="http://schemas.openxmlformats.org/officeDocument/2006/relationships/hyperlink" Target="#'10 EVIDENCE &amp; DECISIONS'!A1511" TargetMode="External" Id="rId1514"/><Relationship Type="http://schemas.openxmlformats.org/officeDocument/2006/relationships/hyperlink" Target="#'10 EVIDENCE &amp; DECISIONS'!A1512" TargetMode="External" Id="rId1515"/><Relationship Type="http://schemas.openxmlformats.org/officeDocument/2006/relationships/hyperlink" Target="#'10 EVIDENCE &amp; DECISIONS'!A1513" TargetMode="External" Id="rId1516"/><Relationship Type="http://schemas.openxmlformats.org/officeDocument/2006/relationships/hyperlink" Target="#'10 EVIDENCE &amp; DECISIONS'!A1514" TargetMode="External" Id="rId1517"/><Relationship Type="http://schemas.openxmlformats.org/officeDocument/2006/relationships/hyperlink" Target="#'10 EVIDENCE &amp; DECISIONS'!A1515" TargetMode="External" Id="rId1518"/><Relationship Type="http://schemas.openxmlformats.org/officeDocument/2006/relationships/hyperlink" Target="#'10 EVIDENCE &amp; DECISIONS'!A1516" TargetMode="External" Id="rId1519"/><Relationship Type="http://schemas.openxmlformats.org/officeDocument/2006/relationships/hyperlink" Target="#'10 EVIDENCE &amp; DECISIONS'!A1517" TargetMode="External" Id="rId1520"/><Relationship Type="http://schemas.openxmlformats.org/officeDocument/2006/relationships/hyperlink" Target="#'10 EVIDENCE &amp; DECISIONS'!A1518" TargetMode="External" Id="rId1521"/><Relationship Type="http://schemas.openxmlformats.org/officeDocument/2006/relationships/hyperlink" Target="#'10 EVIDENCE &amp; DECISIONS'!A1519" TargetMode="External" Id="rId1522"/><Relationship Type="http://schemas.openxmlformats.org/officeDocument/2006/relationships/hyperlink" Target="#'10 EVIDENCE &amp; DECISIONS'!A1520" TargetMode="External" Id="rId1523"/><Relationship Type="http://schemas.openxmlformats.org/officeDocument/2006/relationships/hyperlink" Target="#'10 EVIDENCE &amp; DECISIONS'!A1521" TargetMode="External" Id="rId1524"/><Relationship Type="http://schemas.openxmlformats.org/officeDocument/2006/relationships/hyperlink" Target="#'10 EVIDENCE &amp; DECISIONS'!A1522" TargetMode="External" Id="rId1525"/><Relationship Type="http://schemas.openxmlformats.org/officeDocument/2006/relationships/hyperlink" Target="#'10 EVIDENCE &amp; DECISIONS'!A1523" TargetMode="External" Id="rId1526"/><Relationship Type="http://schemas.openxmlformats.org/officeDocument/2006/relationships/hyperlink" Target="#'10 EVIDENCE &amp; DECISIONS'!A1524" TargetMode="External" Id="rId1527"/><Relationship Type="http://schemas.openxmlformats.org/officeDocument/2006/relationships/hyperlink" Target="#'10 EVIDENCE &amp; DECISIONS'!A1525" TargetMode="External" Id="rId1528"/><Relationship Type="http://schemas.openxmlformats.org/officeDocument/2006/relationships/hyperlink" Target="#'10 EVIDENCE &amp; DECISIONS'!A1526" TargetMode="External" Id="rId1529"/><Relationship Type="http://schemas.openxmlformats.org/officeDocument/2006/relationships/hyperlink" Target="#'10 EVIDENCE &amp; DECISIONS'!A1527" TargetMode="External" Id="rId1530"/><Relationship Type="http://schemas.openxmlformats.org/officeDocument/2006/relationships/hyperlink" Target="#'10 EVIDENCE &amp; DECISIONS'!A1528" TargetMode="External" Id="rId1531"/><Relationship Type="http://schemas.openxmlformats.org/officeDocument/2006/relationships/hyperlink" Target="#'10 EVIDENCE &amp; DECISIONS'!A1529" TargetMode="External" Id="rId1532"/><Relationship Type="http://schemas.openxmlformats.org/officeDocument/2006/relationships/hyperlink" Target="#'10 EVIDENCE &amp; DECISIONS'!A1530" TargetMode="External" Id="rId1533"/><Relationship Type="http://schemas.openxmlformats.org/officeDocument/2006/relationships/hyperlink" Target="#'10 EVIDENCE &amp; DECISIONS'!A1531" TargetMode="External" Id="rId1534"/><Relationship Type="http://schemas.openxmlformats.org/officeDocument/2006/relationships/hyperlink" Target="#'10 EVIDENCE &amp; DECISIONS'!A1532" TargetMode="External" Id="rId1535"/><Relationship Type="http://schemas.openxmlformats.org/officeDocument/2006/relationships/hyperlink" Target="#'10 EVIDENCE &amp; DECISIONS'!A1533" TargetMode="External" Id="rId1536"/><Relationship Type="http://schemas.openxmlformats.org/officeDocument/2006/relationships/hyperlink" Target="#'10 EVIDENCE &amp; DECISIONS'!A1534" TargetMode="External" Id="rId1537"/><Relationship Type="http://schemas.openxmlformats.org/officeDocument/2006/relationships/hyperlink" Target="#'10 EVIDENCE &amp; DECISIONS'!A1535" TargetMode="External" Id="rId1538"/><Relationship Type="http://schemas.openxmlformats.org/officeDocument/2006/relationships/hyperlink" Target="#'10 EVIDENCE &amp; DECISIONS'!A1536" TargetMode="External" Id="rId1539"/><Relationship Type="http://schemas.openxmlformats.org/officeDocument/2006/relationships/hyperlink" Target="#'10 EVIDENCE &amp; DECISIONS'!A1537" TargetMode="External" Id="rId1540"/><Relationship Type="http://schemas.openxmlformats.org/officeDocument/2006/relationships/hyperlink" Target="#'10 EVIDENCE &amp; DECISIONS'!A1538" TargetMode="External" Id="rId1541"/><Relationship Type="http://schemas.openxmlformats.org/officeDocument/2006/relationships/hyperlink" Target="#'10 EVIDENCE &amp; DECISIONS'!A1539" TargetMode="External" Id="rId1542"/><Relationship Type="http://schemas.openxmlformats.org/officeDocument/2006/relationships/hyperlink" Target="#'10 EVIDENCE &amp; DECISIONS'!A1540" TargetMode="External" Id="rId1543"/><Relationship Type="http://schemas.openxmlformats.org/officeDocument/2006/relationships/hyperlink" Target="#'10 EVIDENCE &amp; DECISIONS'!A1541" TargetMode="External" Id="rId1544"/><Relationship Type="http://schemas.openxmlformats.org/officeDocument/2006/relationships/hyperlink" Target="#'10 EVIDENCE &amp; DECISIONS'!A1542" TargetMode="External" Id="rId1545"/><Relationship Type="http://schemas.openxmlformats.org/officeDocument/2006/relationships/hyperlink" Target="#'10 EVIDENCE &amp; DECISIONS'!A1543" TargetMode="External" Id="rId1546"/><Relationship Type="http://schemas.openxmlformats.org/officeDocument/2006/relationships/hyperlink" Target="#'10 EVIDENCE &amp; DECISIONS'!A1544" TargetMode="External" Id="rId1547"/><Relationship Type="http://schemas.openxmlformats.org/officeDocument/2006/relationships/hyperlink" Target="#'10 EVIDENCE &amp; DECISIONS'!A1545" TargetMode="External" Id="rId1548"/><Relationship Type="http://schemas.openxmlformats.org/officeDocument/2006/relationships/hyperlink" Target="#'10 EVIDENCE &amp; DECISIONS'!A1546" TargetMode="External" Id="rId1549"/><Relationship Type="http://schemas.openxmlformats.org/officeDocument/2006/relationships/hyperlink" Target="#'10 EVIDENCE &amp; DECISIONS'!A1547" TargetMode="External" Id="rId1550"/><Relationship Type="http://schemas.openxmlformats.org/officeDocument/2006/relationships/hyperlink" Target="#'10 EVIDENCE &amp; DECISIONS'!A1548" TargetMode="External" Id="rId1551"/><Relationship Type="http://schemas.openxmlformats.org/officeDocument/2006/relationships/hyperlink" Target="#'10 EVIDENCE &amp; DECISIONS'!A1549" TargetMode="External" Id="rId1552"/><Relationship Type="http://schemas.openxmlformats.org/officeDocument/2006/relationships/hyperlink" Target="#'10 EVIDENCE &amp; DECISIONS'!A1550" TargetMode="External" Id="rId1553"/><Relationship Type="http://schemas.openxmlformats.org/officeDocument/2006/relationships/hyperlink" Target="#'10 EVIDENCE &amp; DECISIONS'!A1551" TargetMode="External" Id="rId1554"/><Relationship Type="http://schemas.openxmlformats.org/officeDocument/2006/relationships/hyperlink" Target="#'10 EVIDENCE &amp; DECISIONS'!A1552" TargetMode="External" Id="rId1555"/><Relationship Type="http://schemas.openxmlformats.org/officeDocument/2006/relationships/hyperlink" Target="#'10 EVIDENCE &amp; DECISIONS'!A1553" TargetMode="External" Id="rId1556"/><Relationship Type="http://schemas.openxmlformats.org/officeDocument/2006/relationships/hyperlink" Target="#'10 EVIDENCE &amp; DECISIONS'!A1554" TargetMode="External" Id="rId1557"/><Relationship Type="http://schemas.openxmlformats.org/officeDocument/2006/relationships/hyperlink" Target="#'10 EVIDENCE &amp; DECISIONS'!A1555" TargetMode="External" Id="rId1558"/><Relationship Type="http://schemas.openxmlformats.org/officeDocument/2006/relationships/hyperlink" Target="#'10 EVIDENCE &amp; DECISIONS'!A1556" TargetMode="External" Id="rId1559"/><Relationship Type="http://schemas.openxmlformats.org/officeDocument/2006/relationships/hyperlink" Target="#'10 EVIDENCE &amp; DECISIONS'!A1557" TargetMode="External" Id="rId1560"/><Relationship Type="http://schemas.openxmlformats.org/officeDocument/2006/relationships/hyperlink" Target="#'10 EVIDENCE &amp; DECISIONS'!A1558" TargetMode="External" Id="rId1561"/><Relationship Type="http://schemas.openxmlformats.org/officeDocument/2006/relationships/hyperlink" Target="#'10 EVIDENCE &amp; DECISIONS'!A1559" TargetMode="External" Id="rId1562"/><Relationship Type="http://schemas.openxmlformats.org/officeDocument/2006/relationships/hyperlink" Target="#'10 EVIDENCE &amp; DECISIONS'!A1560" TargetMode="External" Id="rId1563"/><Relationship Type="http://schemas.openxmlformats.org/officeDocument/2006/relationships/hyperlink" Target="#'10 EVIDENCE &amp; DECISIONS'!A1561" TargetMode="External" Id="rId1564"/><Relationship Type="http://schemas.openxmlformats.org/officeDocument/2006/relationships/hyperlink" Target="#'10 EVIDENCE &amp; DECISIONS'!A1562" TargetMode="External" Id="rId1565"/><Relationship Type="http://schemas.openxmlformats.org/officeDocument/2006/relationships/hyperlink" Target="#'10 EVIDENCE &amp; DECISIONS'!A1563" TargetMode="External" Id="rId1566"/><Relationship Type="http://schemas.openxmlformats.org/officeDocument/2006/relationships/hyperlink" Target="#'10 EVIDENCE &amp; DECISIONS'!A1564" TargetMode="External" Id="rId1567"/><Relationship Type="http://schemas.openxmlformats.org/officeDocument/2006/relationships/hyperlink" Target="#'10 EVIDENCE &amp; DECISIONS'!A1565" TargetMode="External" Id="rId1568"/><Relationship Type="http://schemas.openxmlformats.org/officeDocument/2006/relationships/hyperlink" Target="#'10 EVIDENCE &amp; DECISIONS'!A1566" TargetMode="External" Id="rId1569"/><Relationship Type="http://schemas.openxmlformats.org/officeDocument/2006/relationships/hyperlink" Target="#'10 EVIDENCE &amp; DECISIONS'!A1567" TargetMode="External" Id="rId1570"/><Relationship Type="http://schemas.openxmlformats.org/officeDocument/2006/relationships/hyperlink" Target="#'10 EVIDENCE &amp; DECISIONS'!A1568" TargetMode="External" Id="rId1571"/><Relationship Type="http://schemas.openxmlformats.org/officeDocument/2006/relationships/hyperlink" Target="#'10 EVIDENCE &amp; DECISIONS'!A1569" TargetMode="External" Id="rId1572"/><Relationship Type="http://schemas.openxmlformats.org/officeDocument/2006/relationships/hyperlink" Target="#'10 EVIDENCE &amp; DECISIONS'!A1570" TargetMode="External" Id="rId1573"/><Relationship Type="http://schemas.openxmlformats.org/officeDocument/2006/relationships/hyperlink" Target="#'10 EVIDENCE &amp; DECISIONS'!A1571" TargetMode="External" Id="rId1574"/><Relationship Type="http://schemas.openxmlformats.org/officeDocument/2006/relationships/hyperlink" Target="#'10 EVIDENCE &amp; DECISIONS'!A1572" TargetMode="External" Id="rId1575"/><Relationship Type="http://schemas.openxmlformats.org/officeDocument/2006/relationships/hyperlink" Target="#'10 EVIDENCE &amp; DECISIONS'!A1573" TargetMode="External" Id="rId1576"/><Relationship Type="http://schemas.openxmlformats.org/officeDocument/2006/relationships/hyperlink" Target="#'10 EVIDENCE &amp; DECISIONS'!A1574" TargetMode="External" Id="rId1577"/><Relationship Type="http://schemas.openxmlformats.org/officeDocument/2006/relationships/hyperlink" Target="#'10 EVIDENCE &amp; DECISIONS'!A1575" TargetMode="External" Id="rId1578"/><Relationship Type="http://schemas.openxmlformats.org/officeDocument/2006/relationships/hyperlink" Target="#'10 EVIDENCE &amp; DECISIONS'!A1576" TargetMode="External" Id="rId1579"/><Relationship Type="http://schemas.openxmlformats.org/officeDocument/2006/relationships/hyperlink" Target="#'10 EVIDENCE &amp; DECISIONS'!A1577" TargetMode="External" Id="rId1580"/><Relationship Type="http://schemas.openxmlformats.org/officeDocument/2006/relationships/hyperlink" Target="#'10 EVIDENCE &amp; DECISIONS'!A1578" TargetMode="External" Id="rId1581"/><Relationship Type="http://schemas.openxmlformats.org/officeDocument/2006/relationships/hyperlink" Target="#'10 EVIDENCE &amp; DECISIONS'!A1579" TargetMode="External" Id="rId1582"/><Relationship Type="http://schemas.openxmlformats.org/officeDocument/2006/relationships/hyperlink" Target="#'10 EVIDENCE &amp; DECISIONS'!A1580" TargetMode="External" Id="rId1583"/><Relationship Type="http://schemas.openxmlformats.org/officeDocument/2006/relationships/hyperlink" Target="#'10 EVIDENCE &amp; DECISIONS'!A1581" TargetMode="External" Id="rId1584"/><Relationship Type="http://schemas.openxmlformats.org/officeDocument/2006/relationships/hyperlink" Target="#'10 EVIDENCE &amp; DECISIONS'!A1582" TargetMode="External" Id="rId1585"/><Relationship Type="http://schemas.openxmlformats.org/officeDocument/2006/relationships/hyperlink" Target="#'10 EVIDENCE &amp; DECISIONS'!A1583" TargetMode="External" Id="rId1586"/><Relationship Type="http://schemas.openxmlformats.org/officeDocument/2006/relationships/hyperlink" Target="#'10 EVIDENCE &amp; DECISIONS'!A1584" TargetMode="External" Id="rId1587"/><Relationship Type="http://schemas.openxmlformats.org/officeDocument/2006/relationships/hyperlink" Target="#'10 EVIDENCE &amp; DECISIONS'!A1585" TargetMode="External" Id="rId1588"/><Relationship Type="http://schemas.openxmlformats.org/officeDocument/2006/relationships/hyperlink" Target="#'10 EVIDENCE &amp; DECISIONS'!A1586" TargetMode="External" Id="rId1589"/><Relationship Type="http://schemas.openxmlformats.org/officeDocument/2006/relationships/hyperlink" Target="#'10 EVIDENCE &amp; DECISIONS'!A1587" TargetMode="External" Id="rId1590"/><Relationship Type="http://schemas.openxmlformats.org/officeDocument/2006/relationships/hyperlink" Target="#'10 EVIDENCE &amp; DECISIONS'!A1588" TargetMode="External" Id="rId1591"/><Relationship Type="http://schemas.openxmlformats.org/officeDocument/2006/relationships/hyperlink" Target="#'10 EVIDENCE &amp; DECISIONS'!A1589" TargetMode="External" Id="rId1592"/><Relationship Type="http://schemas.openxmlformats.org/officeDocument/2006/relationships/hyperlink" Target="#'10 EVIDENCE &amp; DECISIONS'!A1590" TargetMode="External" Id="rId1593"/><Relationship Type="http://schemas.openxmlformats.org/officeDocument/2006/relationships/hyperlink" Target="#'10 EVIDENCE &amp; DECISIONS'!A1591" TargetMode="External" Id="rId1594"/><Relationship Type="http://schemas.openxmlformats.org/officeDocument/2006/relationships/hyperlink" Target="#'10 EVIDENCE &amp; DECISIONS'!A1592" TargetMode="External" Id="rId1595"/><Relationship Type="http://schemas.openxmlformats.org/officeDocument/2006/relationships/hyperlink" Target="#'10 EVIDENCE &amp; DECISIONS'!A1593" TargetMode="External" Id="rId1596"/><Relationship Type="http://schemas.openxmlformats.org/officeDocument/2006/relationships/hyperlink" Target="#'10 EVIDENCE &amp; DECISIONS'!A1594" TargetMode="External" Id="rId1597"/><Relationship Type="http://schemas.openxmlformats.org/officeDocument/2006/relationships/hyperlink" Target="#'10 EVIDENCE &amp; DECISIONS'!A1595" TargetMode="External" Id="rId1598"/><Relationship Type="http://schemas.openxmlformats.org/officeDocument/2006/relationships/hyperlink" Target="#'10 EVIDENCE &amp; DECISIONS'!A1596" TargetMode="External" Id="rId1599"/><Relationship Type="http://schemas.openxmlformats.org/officeDocument/2006/relationships/hyperlink" Target="#'10 EVIDENCE &amp; DECISIONS'!A1597" TargetMode="External" Id="rId1600"/><Relationship Type="http://schemas.openxmlformats.org/officeDocument/2006/relationships/hyperlink" Target="#'10 EVIDENCE &amp; DECISIONS'!A1598" TargetMode="External" Id="rId1601"/><Relationship Type="http://schemas.openxmlformats.org/officeDocument/2006/relationships/hyperlink" Target="#'10 EVIDENCE &amp; DECISIONS'!A1599" TargetMode="External" Id="rId1602"/><Relationship Type="http://schemas.openxmlformats.org/officeDocument/2006/relationships/hyperlink" Target="#'10 EVIDENCE &amp; DECISIONS'!A1600" TargetMode="External" Id="rId1603"/><Relationship Type="http://schemas.openxmlformats.org/officeDocument/2006/relationships/hyperlink" Target="#'10 EVIDENCE &amp; DECISIONS'!A1601" TargetMode="External" Id="rId1604"/><Relationship Type="http://schemas.openxmlformats.org/officeDocument/2006/relationships/hyperlink" Target="#'10 EVIDENCE &amp; DECISIONS'!A1602" TargetMode="External" Id="rId1605"/><Relationship Type="http://schemas.openxmlformats.org/officeDocument/2006/relationships/hyperlink" Target="#'10 EVIDENCE &amp; DECISIONS'!A1603" TargetMode="External" Id="rId1606"/><Relationship Type="http://schemas.openxmlformats.org/officeDocument/2006/relationships/hyperlink" Target="#'10 EVIDENCE &amp; DECISIONS'!A1604" TargetMode="External" Id="rId1607"/><Relationship Type="http://schemas.openxmlformats.org/officeDocument/2006/relationships/hyperlink" Target="#'10 EVIDENCE &amp; DECISIONS'!A1605" TargetMode="External" Id="rId1608"/><Relationship Type="http://schemas.openxmlformats.org/officeDocument/2006/relationships/hyperlink" Target="#'10 EVIDENCE &amp; DECISIONS'!A1606" TargetMode="External" Id="rId1609"/><Relationship Type="http://schemas.openxmlformats.org/officeDocument/2006/relationships/hyperlink" Target="#'10 EVIDENCE &amp; DECISIONS'!A1607" TargetMode="External" Id="rId1610"/><Relationship Type="http://schemas.openxmlformats.org/officeDocument/2006/relationships/hyperlink" Target="#'10 EVIDENCE &amp; DECISIONS'!A1608" TargetMode="External" Id="rId1611"/><Relationship Type="http://schemas.openxmlformats.org/officeDocument/2006/relationships/hyperlink" Target="#'10 EVIDENCE &amp; DECISIONS'!A1609" TargetMode="External" Id="rId1612"/><Relationship Type="http://schemas.openxmlformats.org/officeDocument/2006/relationships/hyperlink" Target="#'10 EVIDENCE &amp; DECISIONS'!A1610" TargetMode="External" Id="rId1613"/><Relationship Type="http://schemas.openxmlformats.org/officeDocument/2006/relationships/hyperlink" Target="#'10 EVIDENCE &amp; DECISIONS'!A1611" TargetMode="External" Id="rId1614"/><Relationship Type="http://schemas.openxmlformats.org/officeDocument/2006/relationships/hyperlink" Target="#'10 EVIDENCE &amp; DECISIONS'!A1612" TargetMode="External" Id="rId1615"/><Relationship Type="http://schemas.openxmlformats.org/officeDocument/2006/relationships/hyperlink" Target="#'10 EVIDENCE &amp; DECISIONS'!A1613" TargetMode="External" Id="rId1616"/><Relationship Type="http://schemas.openxmlformats.org/officeDocument/2006/relationships/hyperlink" Target="#'10 EVIDENCE &amp; DECISIONS'!A1614" TargetMode="External" Id="rId1617"/><Relationship Type="http://schemas.openxmlformats.org/officeDocument/2006/relationships/hyperlink" Target="#'10 EVIDENCE &amp; DECISIONS'!A1615" TargetMode="External" Id="rId1618"/><Relationship Type="http://schemas.openxmlformats.org/officeDocument/2006/relationships/hyperlink" Target="#'10 EVIDENCE &amp; DECISIONS'!A1616" TargetMode="External" Id="rId1619"/><Relationship Type="http://schemas.openxmlformats.org/officeDocument/2006/relationships/hyperlink" Target="#'10 EVIDENCE &amp; DECISIONS'!A1617" TargetMode="External" Id="rId1620"/><Relationship Type="http://schemas.openxmlformats.org/officeDocument/2006/relationships/hyperlink" Target="#'10 EVIDENCE &amp; DECISIONS'!A1618" TargetMode="External" Id="rId1621"/><Relationship Type="http://schemas.openxmlformats.org/officeDocument/2006/relationships/hyperlink" Target="#'10 EVIDENCE &amp; DECISIONS'!A1619" TargetMode="External" Id="rId1622"/><Relationship Type="http://schemas.openxmlformats.org/officeDocument/2006/relationships/hyperlink" Target="#'10 EVIDENCE &amp; DECISIONS'!A1620" TargetMode="External" Id="rId1623"/><Relationship Type="http://schemas.openxmlformats.org/officeDocument/2006/relationships/hyperlink" Target="#'10 EVIDENCE &amp; DECISIONS'!A1621" TargetMode="External" Id="rId1624"/><Relationship Type="http://schemas.openxmlformats.org/officeDocument/2006/relationships/hyperlink" Target="#'10 EVIDENCE &amp; DECISIONS'!A1622" TargetMode="External" Id="rId1625"/><Relationship Type="http://schemas.openxmlformats.org/officeDocument/2006/relationships/hyperlink" Target="#'10 EVIDENCE &amp; DECISIONS'!A1623" TargetMode="External" Id="rId1626"/><Relationship Type="http://schemas.openxmlformats.org/officeDocument/2006/relationships/hyperlink" Target="#'10 EVIDENCE &amp; DECISIONS'!A1624" TargetMode="External" Id="rId1627"/><Relationship Type="http://schemas.openxmlformats.org/officeDocument/2006/relationships/hyperlink" Target="#'10 EVIDENCE &amp; DECISIONS'!A1625" TargetMode="External" Id="rId1628"/><Relationship Type="http://schemas.openxmlformats.org/officeDocument/2006/relationships/hyperlink" Target="#'10 EVIDENCE &amp; DECISIONS'!A1626" TargetMode="External" Id="rId1629"/><Relationship Type="http://schemas.openxmlformats.org/officeDocument/2006/relationships/hyperlink" Target="#'10 EVIDENCE &amp; DECISIONS'!A1627" TargetMode="External" Id="rId1630"/><Relationship Type="http://schemas.openxmlformats.org/officeDocument/2006/relationships/hyperlink" Target="#'10 EVIDENCE &amp; DECISIONS'!A1628" TargetMode="External" Id="rId1631"/><Relationship Type="http://schemas.openxmlformats.org/officeDocument/2006/relationships/hyperlink" Target="#'10 EVIDENCE &amp; DECISIONS'!A1629" TargetMode="External" Id="rId1632"/><Relationship Type="http://schemas.openxmlformats.org/officeDocument/2006/relationships/hyperlink" Target="#'10 EVIDENCE &amp; DECISIONS'!A1630" TargetMode="External" Id="rId1633"/><Relationship Type="http://schemas.openxmlformats.org/officeDocument/2006/relationships/hyperlink" Target="#'10 EVIDENCE &amp; DECISIONS'!A1631" TargetMode="External" Id="rId1634"/><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9.xml.rels><Relationships xmlns="http://schemas.openxmlformats.org/package/2006/relationships"><Relationship Type="http://schemas.openxmlformats.org/officeDocument/2006/relationships/hyperlink" Target="#'03 EXECUTIVE VIEW'!K208" TargetMode="External" Id="rId1"/><Relationship Type="http://schemas.openxmlformats.org/officeDocument/2006/relationships/hyperlink" Target="#'04 ISSUES FOR REVIEW'!A1" TargetMode="External" Id="rId2"/><Relationship Type="http://schemas.openxmlformats.org/officeDocument/2006/relationships/hyperlink" Target="#'05 INTEGRATION HEALTH'!A1" TargetMode="External" Id="rId3"/><Relationship Type="http://schemas.openxmlformats.org/officeDocument/2006/relationships/hyperlink" Target="#'06 INTEGRATED PROJECT'!A1" TargetMode="External" Id="rId4"/><Relationship Type="http://schemas.openxmlformats.org/officeDocument/2006/relationships/hyperlink" Target="#'07 CHANGES &amp; REVALIDATION'!A1" TargetMode="External" Id="rId5"/><Relationship Type="http://schemas.openxmlformats.org/officeDocument/2006/relationships/hyperlink" Target="#'08 CROSSWALK'!A1" TargetMode="External" Id="rId6"/><Relationship Type="http://schemas.openxmlformats.org/officeDocument/2006/relationships/hyperlink" Target="#'10 EVIDENCE &amp; DECISIONS'!A1" TargetMode="External" Id="rId7"/><Relationship Type="http://schemas.openxmlformats.org/officeDocument/2006/relationships/hyperlink" Target="#'11 SOURCES &amp; PROVENANCE'!A1" TargetMode="External" Id="rId8"/><Relationship Type="http://schemas.openxmlformats.org/officeDocument/2006/relationships/hyperlink" Target="#'14 WBS HIERARCHY'!A1" TargetMode="External" Id="rId9"/><Relationship Type="http://schemas.openxmlformats.org/officeDocument/2006/relationships/hyperlink" Target="#'08 CROSSWALK'!A1" TargetMode="External" Id="rId10"/><Relationship Type="http://schemas.openxmlformats.org/officeDocument/2006/relationships/hyperlink" Target="#'08 CROSSWALK'!A6" TargetMode="External" Id="rId11"/><Relationship Type="http://schemas.openxmlformats.org/officeDocument/2006/relationships/hyperlink" Target="#'08 CROSSWALK'!A6" TargetMode="External" Id="rId12"/><Relationship Type="http://schemas.openxmlformats.org/officeDocument/2006/relationships/hyperlink" Target="#'08 CROSSWALK'!A15" TargetMode="External" Id="rId13"/><Relationship Type="http://schemas.openxmlformats.org/officeDocument/2006/relationships/hyperlink" Target="#'08 CROSSWALK'!A1" TargetMode="External" Id="rId14"/><Relationship Type="http://schemas.openxmlformats.org/officeDocument/2006/relationships/hyperlink" Target="#'08 CROSSWALK'!A1" TargetMode="External" Id="rId15"/><Relationship Type="http://schemas.openxmlformats.org/officeDocument/2006/relationships/hyperlink" Target="#'08 CROSSWALK'!A175" TargetMode="External" Id="rId16"/><Relationship Type="http://schemas.openxmlformats.org/officeDocument/2006/relationships/hyperlink" Target="#'08 CROSSWALK'!A1" TargetMode="External" Id="rId17"/><Relationship Type="http://schemas.openxmlformats.org/officeDocument/2006/relationships/hyperlink" Target="#'08 CROSSWALK'!A1" TargetMode="External" Id="rId18"/><Relationship Type="http://schemas.openxmlformats.org/officeDocument/2006/relationships/hyperlink" Target="#'08 CROSSWALK'!A1" TargetMode="External" Id="rId19"/><Relationship Type="http://schemas.openxmlformats.org/officeDocument/2006/relationships/hyperlink" Target="#'08 CROSSWALK'!A1" TargetMode="External" Id="rId20"/><Relationship Type="http://schemas.openxmlformats.org/officeDocument/2006/relationships/hyperlink" Target="#'08 CROSSWALK'!A1" TargetMode="External" Id="rId21"/><Relationship Type="http://schemas.openxmlformats.org/officeDocument/2006/relationships/hyperlink" Target="#'08 CROSSWALK'!A1" TargetMode="External" Id="rId22"/><Relationship Type="http://schemas.openxmlformats.org/officeDocument/2006/relationships/hyperlink" Target="#'08 CROSSWALK'!A1" TargetMode="External" Id="rId23"/><Relationship Type="http://schemas.openxmlformats.org/officeDocument/2006/relationships/hyperlink" Target="#'08 CROSSWALK'!A1" TargetMode="External" Id="rId24"/><Relationship Type="http://schemas.openxmlformats.org/officeDocument/2006/relationships/hyperlink" Target="#'08 CROSSWALK'!A277" TargetMode="External" Id="rId25"/><Relationship Type="http://schemas.openxmlformats.org/officeDocument/2006/relationships/hyperlink" Target="#'08 CROSSWALK'!A289" TargetMode="External" Id="rId26"/><Relationship Type="http://schemas.openxmlformats.org/officeDocument/2006/relationships/hyperlink" Target="#'08 CROSSWALK'!A1" TargetMode="External" Id="rId27"/><Relationship Type="http://schemas.openxmlformats.org/officeDocument/2006/relationships/hyperlink" Target="#'08 CROSSWALK'!A1" TargetMode="External" Id="rId28"/><Relationship Type="http://schemas.openxmlformats.org/officeDocument/2006/relationships/hyperlink" Target="#'08 CROSSWALK'!A449" TargetMode="External" Id="rId29"/><Relationship Type="http://schemas.openxmlformats.org/officeDocument/2006/relationships/hyperlink" Target="#'08 CROSSWALK'!A1" TargetMode="External" Id="rId30"/><Relationship Type="http://schemas.openxmlformats.org/officeDocument/2006/relationships/hyperlink" Target="#'08 CROSSWALK'!A1" TargetMode="External" Id="rId31"/><Relationship Type="http://schemas.openxmlformats.org/officeDocument/2006/relationships/hyperlink" Target="#'08 CROSSWALK'!A1" TargetMode="External" Id="rId32"/><Relationship Type="http://schemas.openxmlformats.org/officeDocument/2006/relationships/hyperlink" Target="#'08 CROSSWALK'!A1" TargetMode="External" Id="rId33"/><Relationship Type="http://schemas.openxmlformats.org/officeDocument/2006/relationships/hyperlink" Target="#'08 CROSSWALK'!A1" TargetMode="External" Id="rId34"/><Relationship Type="http://schemas.openxmlformats.org/officeDocument/2006/relationships/hyperlink" Target="#'08 CROSSWALK'!A1" TargetMode="External" Id="rId35"/><Relationship Type="http://schemas.openxmlformats.org/officeDocument/2006/relationships/hyperlink" Target="#'08 CROSSWALK'!A1" TargetMode="External" Id="rId36"/><Relationship Type="http://schemas.openxmlformats.org/officeDocument/2006/relationships/hyperlink" Target="#'08 CROSSWALK'!A1" TargetMode="External" Id="rId37"/><Relationship Type="http://schemas.openxmlformats.org/officeDocument/2006/relationships/hyperlink" Target="#'08 CROSSWALK'!A549" TargetMode="External" Id="rId38"/><Relationship Type="http://schemas.openxmlformats.org/officeDocument/2006/relationships/hyperlink" Target="#'08 CROSSWALK'!A559" TargetMode="External" Id="rId39"/><Relationship Type="http://schemas.openxmlformats.org/officeDocument/2006/relationships/hyperlink" Target="#'08 CROSSWALK'!A1" TargetMode="External" Id="rId40"/><Relationship Type="http://schemas.openxmlformats.org/officeDocument/2006/relationships/hyperlink" Target="#'08 CROSSWALK'!A1" TargetMode="External" Id="rId41"/><Relationship Type="http://schemas.openxmlformats.org/officeDocument/2006/relationships/hyperlink" Target="#'08 CROSSWALK'!A718" TargetMode="External" Id="rId42"/><Relationship Type="http://schemas.openxmlformats.org/officeDocument/2006/relationships/hyperlink" Target="#'08 CROSSWALK'!A1" TargetMode="External" Id="rId43"/><Relationship Type="http://schemas.openxmlformats.org/officeDocument/2006/relationships/hyperlink" Target="#'08 CROSSWALK'!A1" TargetMode="External" Id="rId44"/><Relationship Type="http://schemas.openxmlformats.org/officeDocument/2006/relationships/hyperlink" Target="#'08 CROSSWALK'!A1" TargetMode="External" Id="rId45"/><Relationship Type="http://schemas.openxmlformats.org/officeDocument/2006/relationships/hyperlink" Target="#'08 CROSSWALK'!A1" TargetMode="External" Id="rId46"/><Relationship Type="http://schemas.openxmlformats.org/officeDocument/2006/relationships/hyperlink" Target="#'08 CROSSWALK'!A1" TargetMode="External" Id="rId47"/><Relationship Type="http://schemas.openxmlformats.org/officeDocument/2006/relationships/hyperlink" Target="#'08 CROSSWALK'!A1" TargetMode="External" Id="rId48"/><Relationship Type="http://schemas.openxmlformats.org/officeDocument/2006/relationships/hyperlink" Target="#'08 CROSSWALK'!A1" TargetMode="External" Id="rId49"/><Relationship Type="http://schemas.openxmlformats.org/officeDocument/2006/relationships/hyperlink" Target="#'08 CROSSWALK'!A1" TargetMode="External" Id="rId50"/><Relationship Type="http://schemas.openxmlformats.org/officeDocument/2006/relationships/hyperlink" Target="#'08 CROSSWALK'!A817" TargetMode="External" Id="rId51"/><Relationship Type="http://schemas.openxmlformats.org/officeDocument/2006/relationships/hyperlink" Target="#'08 CROSSWALK'!A827" TargetMode="External" Id="rId52"/><Relationship Type="http://schemas.openxmlformats.org/officeDocument/2006/relationships/hyperlink" Target="#'08 CROSSWALK'!A1" TargetMode="External" Id="rId53"/><Relationship Type="http://schemas.openxmlformats.org/officeDocument/2006/relationships/hyperlink" Target="#'08 CROSSWALK'!A1" TargetMode="External" Id="rId54"/><Relationship Type="http://schemas.openxmlformats.org/officeDocument/2006/relationships/hyperlink" Target="#'08 CROSSWALK'!A987" TargetMode="External" Id="rId55"/><Relationship Type="http://schemas.openxmlformats.org/officeDocument/2006/relationships/hyperlink" Target="#'08 CROSSWALK'!A1" TargetMode="External" Id="rId56"/><Relationship Type="http://schemas.openxmlformats.org/officeDocument/2006/relationships/hyperlink" Target="#'08 CROSSWALK'!A1" TargetMode="External" Id="rId57"/><Relationship Type="http://schemas.openxmlformats.org/officeDocument/2006/relationships/hyperlink" Target="#'08 CROSSWALK'!A1" TargetMode="External" Id="rId58"/><Relationship Type="http://schemas.openxmlformats.org/officeDocument/2006/relationships/hyperlink" Target="#'08 CROSSWALK'!A1" TargetMode="External" Id="rId59"/><Relationship Type="http://schemas.openxmlformats.org/officeDocument/2006/relationships/hyperlink" Target="#'08 CROSSWALK'!A1" TargetMode="External" Id="rId60"/><Relationship Type="http://schemas.openxmlformats.org/officeDocument/2006/relationships/hyperlink" Target="#'08 CROSSWALK'!A1" TargetMode="External" Id="rId61"/><Relationship Type="http://schemas.openxmlformats.org/officeDocument/2006/relationships/hyperlink" Target="#'08 CROSSWALK'!A1" TargetMode="External" Id="rId62"/><Relationship Type="http://schemas.openxmlformats.org/officeDocument/2006/relationships/hyperlink" Target="#'08 CROSSWALK'!A1" TargetMode="External" Id="rId63"/><Relationship Type="http://schemas.openxmlformats.org/officeDocument/2006/relationships/hyperlink" Target="#'08 CROSSWALK'!A1086" TargetMode="External" Id="rId64"/><Relationship Type="http://schemas.openxmlformats.org/officeDocument/2006/relationships/hyperlink" Target="#'08 CROSSWALK'!A1096" TargetMode="External" Id="rId65"/><Relationship Type="http://schemas.openxmlformats.org/officeDocument/2006/relationships/hyperlink" Target="#'08 CROSSWALK'!A1" TargetMode="External" Id="rId66"/><Relationship Type="http://schemas.openxmlformats.org/officeDocument/2006/relationships/hyperlink" Target="#'08 CROSSWALK'!A1" TargetMode="External" Id="rId67"/><Relationship Type="http://schemas.openxmlformats.org/officeDocument/2006/relationships/hyperlink" Target="#'08 CROSSWALK'!A1216" TargetMode="External" Id="rId68"/><Relationship Type="http://schemas.openxmlformats.org/officeDocument/2006/relationships/hyperlink" Target="#'08 CROSSWALK'!A1" TargetMode="External" Id="rId69"/><Relationship Type="http://schemas.openxmlformats.org/officeDocument/2006/relationships/hyperlink" Target="#'08 CROSSWALK'!A1" TargetMode="External" Id="rId70"/><Relationship Type="http://schemas.openxmlformats.org/officeDocument/2006/relationships/hyperlink" Target="#'08 CROSSWALK'!A1" TargetMode="External" Id="rId71"/><Relationship Type="http://schemas.openxmlformats.org/officeDocument/2006/relationships/hyperlink" Target="#'08 CROSSWALK'!A1" TargetMode="External" Id="rId72"/><Relationship Type="http://schemas.openxmlformats.org/officeDocument/2006/relationships/hyperlink" Target="#'08 CROSSWALK'!A1" TargetMode="External" Id="rId73"/><Relationship Type="http://schemas.openxmlformats.org/officeDocument/2006/relationships/hyperlink" Target="#'08 CROSSWALK'!A1" TargetMode="External" Id="rId74"/><Relationship Type="http://schemas.openxmlformats.org/officeDocument/2006/relationships/hyperlink" Target="#'08 CROSSWALK'!A1" TargetMode="External" Id="rId75"/><Relationship Type="http://schemas.openxmlformats.org/officeDocument/2006/relationships/hyperlink" Target="#'08 CROSSWALK'!A1" TargetMode="External" Id="rId76"/><Relationship Type="http://schemas.openxmlformats.org/officeDocument/2006/relationships/hyperlink" Target="#'08 CROSSWALK'!A1276" TargetMode="External" Id="rId77"/><Relationship Type="http://schemas.openxmlformats.org/officeDocument/2006/relationships/hyperlink" Target="#'08 CROSSWALK'!A1285" TargetMode="External" Id="rId78"/><Relationship Type="http://schemas.openxmlformats.org/officeDocument/2006/relationships/hyperlink" Target="#'08 CROSSWALK'!A1" TargetMode="External" Id="rId79"/><Relationship Type="http://schemas.openxmlformats.org/officeDocument/2006/relationships/hyperlink" Target="#'08 CROSSWALK'!A1" TargetMode="External" Id="rId80"/><Relationship Type="http://schemas.openxmlformats.org/officeDocument/2006/relationships/hyperlink" Target="#'08 CROSSWALK'!A1324" TargetMode="External" Id="rId81"/><Relationship Type="http://schemas.openxmlformats.org/officeDocument/2006/relationships/hyperlink" Target="#'08 CROSSWALK'!A1" TargetMode="External" Id="rId82"/><Relationship Type="http://schemas.openxmlformats.org/officeDocument/2006/relationships/hyperlink" Target="#'08 CROSSWALK'!A1" TargetMode="External" Id="rId83"/><Relationship Type="http://schemas.openxmlformats.org/officeDocument/2006/relationships/hyperlink" Target="#'08 CROSSWALK'!A1" TargetMode="External" Id="rId84"/><Relationship Type="http://schemas.openxmlformats.org/officeDocument/2006/relationships/hyperlink" Target="#'08 CROSSWALK'!A1" TargetMode="External" Id="rId85"/><Relationship Type="http://schemas.openxmlformats.org/officeDocument/2006/relationships/hyperlink" Target="#'08 CROSSWALK'!A1" TargetMode="External" Id="rId86"/><Relationship Type="http://schemas.openxmlformats.org/officeDocument/2006/relationships/hyperlink" Target="#'08 CROSSWALK'!A1" TargetMode="External" Id="rId87"/><Relationship Type="http://schemas.openxmlformats.org/officeDocument/2006/relationships/hyperlink" Target="#'08 CROSSWALK'!A1" TargetMode="External" Id="rId88"/><Relationship Type="http://schemas.openxmlformats.org/officeDocument/2006/relationships/hyperlink" Target="#'08 CROSSWALK'!A1" TargetMode="External" Id="rId89"/><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0.xml.rels><Relationships xmlns="http://schemas.openxmlformats.org/package/2006/relationships"><Relationship Type="http://schemas.openxmlformats.org/officeDocument/2006/relationships/hyperlink" Target="#'03 EXECUTIVE VIEW'!K208" TargetMode="External" Id="rId1"/><Relationship Type="http://schemas.openxmlformats.org/officeDocument/2006/relationships/hyperlink" Target="#'04 ISSUES FOR REVIEW'!A1" TargetMode="External" Id="rId2"/><Relationship Type="http://schemas.openxmlformats.org/officeDocument/2006/relationships/hyperlink" Target="#'05 INTEGRATION HEALTH'!A1" TargetMode="External" Id="rId3"/><Relationship Type="http://schemas.openxmlformats.org/officeDocument/2006/relationships/hyperlink" Target="#'06 INTEGRATED PROJECT'!A1" TargetMode="External" Id="rId4"/><Relationship Type="http://schemas.openxmlformats.org/officeDocument/2006/relationships/hyperlink" Target="#'07 CHANGES &amp; REVALIDATION'!A1" TargetMode="External" Id="rId5"/><Relationship Type="http://schemas.openxmlformats.org/officeDocument/2006/relationships/hyperlink" Target="#'08 CROSSWALK'!A1" TargetMode="External" Id="rId6"/><Relationship Type="http://schemas.openxmlformats.org/officeDocument/2006/relationships/hyperlink" Target="#'10 EVIDENCE &amp; DECISIONS'!A1" TargetMode="External" Id="rId7"/><Relationship Type="http://schemas.openxmlformats.org/officeDocument/2006/relationships/hyperlink" Target="#'11 SOURCES &amp; PROVENANCE'!A1" TargetMode="External" Id="rId8"/><Relationship Type="http://schemas.openxmlformats.org/officeDocument/2006/relationships/hyperlink" Target="#'08 CROSSWALK'!A6" TargetMode="External" Id="rId9"/><Relationship Type="http://schemas.openxmlformats.org/officeDocument/2006/relationships/hyperlink" Target="#'08 CROSSWALK'!A7" TargetMode="External" Id="rId10"/><Relationship Type="http://schemas.openxmlformats.org/officeDocument/2006/relationships/hyperlink" Target="#'08 CROSSWALK'!A8" TargetMode="External" Id="rId11"/><Relationship Type="http://schemas.openxmlformats.org/officeDocument/2006/relationships/hyperlink" Target="#'08 CROSSWALK'!A9" TargetMode="External" Id="rId12"/><Relationship Type="http://schemas.openxmlformats.org/officeDocument/2006/relationships/hyperlink" Target="#'08 CROSSWALK'!A10" TargetMode="External" Id="rId13"/><Relationship Type="http://schemas.openxmlformats.org/officeDocument/2006/relationships/hyperlink" Target="#'08 CROSSWALK'!A11" TargetMode="External" Id="rId14"/><Relationship Type="http://schemas.openxmlformats.org/officeDocument/2006/relationships/hyperlink" Target="#'08 CROSSWALK'!A12" TargetMode="External" Id="rId15"/><Relationship Type="http://schemas.openxmlformats.org/officeDocument/2006/relationships/hyperlink" Target="#'08 CROSSWALK'!A13" TargetMode="External" Id="rId16"/><Relationship Type="http://schemas.openxmlformats.org/officeDocument/2006/relationships/hyperlink" Target="#'08 CROSSWALK'!A14" TargetMode="External" Id="rId17"/><Relationship Type="http://schemas.openxmlformats.org/officeDocument/2006/relationships/hyperlink" Target="#'08 CROSSWALK'!A15" TargetMode="External" Id="rId18"/><Relationship Type="http://schemas.openxmlformats.org/officeDocument/2006/relationships/hyperlink" Target="#'08 CROSSWALK'!A16" TargetMode="External" Id="rId19"/><Relationship Type="http://schemas.openxmlformats.org/officeDocument/2006/relationships/hyperlink" Target="#'08 CROSSWALK'!A17" TargetMode="External" Id="rId20"/><Relationship Type="http://schemas.openxmlformats.org/officeDocument/2006/relationships/hyperlink" Target="#'08 CROSSWALK'!A18" TargetMode="External" Id="rId21"/><Relationship Type="http://schemas.openxmlformats.org/officeDocument/2006/relationships/hyperlink" Target="#'08 CROSSWALK'!A19" TargetMode="External" Id="rId22"/><Relationship Type="http://schemas.openxmlformats.org/officeDocument/2006/relationships/hyperlink" Target="#'08 CROSSWALK'!A20" TargetMode="External" Id="rId23"/><Relationship Type="http://schemas.openxmlformats.org/officeDocument/2006/relationships/hyperlink" Target="#'08 CROSSWALK'!A21" TargetMode="External" Id="rId24"/><Relationship Type="http://schemas.openxmlformats.org/officeDocument/2006/relationships/hyperlink" Target="#'08 CROSSWALK'!A22" TargetMode="External" Id="rId25"/><Relationship Type="http://schemas.openxmlformats.org/officeDocument/2006/relationships/hyperlink" Target="#'08 CROSSWALK'!A23" TargetMode="External" Id="rId26"/><Relationship Type="http://schemas.openxmlformats.org/officeDocument/2006/relationships/hyperlink" Target="#'08 CROSSWALK'!A24" TargetMode="External" Id="rId27"/><Relationship Type="http://schemas.openxmlformats.org/officeDocument/2006/relationships/hyperlink" Target="#'08 CROSSWALK'!A25" TargetMode="External" Id="rId28"/><Relationship Type="http://schemas.openxmlformats.org/officeDocument/2006/relationships/hyperlink" Target="#'08 CROSSWALK'!A26" TargetMode="External" Id="rId29"/><Relationship Type="http://schemas.openxmlformats.org/officeDocument/2006/relationships/hyperlink" Target="#'08 CROSSWALK'!A27" TargetMode="External" Id="rId30"/><Relationship Type="http://schemas.openxmlformats.org/officeDocument/2006/relationships/hyperlink" Target="#'08 CROSSWALK'!A28" TargetMode="External" Id="rId31"/><Relationship Type="http://schemas.openxmlformats.org/officeDocument/2006/relationships/hyperlink" Target="#'08 CROSSWALK'!A29" TargetMode="External" Id="rId32"/><Relationship Type="http://schemas.openxmlformats.org/officeDocument/2006/relationships/hyperlink" Target="#'08 CROSSWALK'!A30" TargetMode="External" Id="rId33"/><Relationship Type="http://schemas.openxmlformats.org/officeDocument/2006/relationships/hyperlink" Target="#'08 CROSSWALK'!A31" TargetMode="External" Id="rId34"/><Relationship Type="http://schemas.openxmlformats.org/officeDocument/2006/relationships/hyperlink" Target="#'08 CROSSWALK'!A32" TargetMode="External" Id="rId35"/><Relationship Type="http://schemas.openxmlformats.org/officeDocument/2006/relationships/hyperlink" Target="#'08 CROSSWALK'!A33" TargetMode="External" Id="rId36"/><Relationship Type="http://schemas.openxmlformats.org/officeDocument/2006/relationships/hyperlink" Target="#'08 CROSSWALK'!A34" TargetMode="External" Id="rId37"/><Relationship Type="http://schemas.openxmlformats.org/officeDocument/2006/relationships/hyperlink" Target="#'08 CROSSWALK'!A35" TargetMode="External" Id="rId38"/><Relationship Type="http://schemas.openxmlformats.org/officeDocument/2006/relationships/hyperlink" Target="#'08 CROSSWALK'!A36" TargetMode="External" Id="rId39"/><Relationship Type="http://schemas.openxmlformats.org/officeDocument/2006/relationships/hyperlink" Target="#'08 CROSSWALK'!A37" TargetMode="External" Id="rId40"/><Relationship Type="http://schemas.openxmlformats.org/officeDocument/2006/relationships/hyperlink" Target="#'08 CROSSWALK'!A38" TargetMode="External" Id="rId41"/><Relationship Type="http://schemas.openxmlformats.org/officeDocument/2006/relationships/hyperlink" Target="#'08 CROSSWALK'!A39" TargetMode="External" Id="rId42"/><Relationship Type="http://schemas.openxmlformats.org/officeDocument/2006/relationships/hyperlink" Target="#'08 CROSSWALK'!A40" TargetMode="External" Id="rId43"/><Relationship Type="http://schemas.openxmlformats.org/officeDocument/2006/relationships/hyperlink" Target="#'08 CROSSWALK'!A41" TargetMode="External" Id="rId44"/><Relationship Type="http://schemas.openxmlformats.org/officeDocument/2006/relationships/hyperlink" Target="#'08 CROSSWALK'!A42" TargetMode="External" Id="rId45"/><Relationship Type="http://schemas.openxmlformats.org/officeDocument/2006/relationships/hyperlink" Target="#'08 CROSSWALK'!A43" TargetMode="External" Id="rId46"/><Relationship Type="http://schemas.openxmlformats.org/officeDocument/2006/relationships/hyperlink" Target="#'08 CROSSWALK'!A44" TargetMode="External" Id="rId47"/><Relationship Type="http://schemas.openxmlformats.org/officeDocument/2006/relationships/hyperlink" Target="#'08 CROSSWALK'!A45" TargetMode="External" Id="rId48"/><Relationship Type="http://schemas.openxmlformats.org/officeDocument/2006/relationships/hyperlink" Target="#'08 CROSSWALK'!A46" TargetMode="External" Id="rId49"/><Relationship Type="http://schemas.openxmlformats.org/officeDocument/2006/relationships/hyperlink" Target="#'08 CROSSWALK'!A47" TargetMode="External" Id="rId50"/><Relationship Type="http://schemas.openxmlformats.org/officeDocument/2006/relationships/hyperlink" Target="#'08 CROSSWALK'!A48" TargetMode="External" Id="rId51"/><Relationship Type="http://schemas.openxmlformats.org/officeDocument/2006/relationships/hyperlink" Target="#'08 CROSSWALK'!A49" TargetMode="External" Id="rId52"/><Relationship Type="http://schemas.openxmlformats.org/officeDocument/2006/relationships/hyperlink" Target="#'08 CROSSWALK'!A50" TargetMode="External" Id="rId53"/><Relationship Type="http://schemas.openxmlformats.org/officeDocument/2006/relationships/hyperlink" Target="#'08 CROSSWALK'!A51" TargetMode="External" Id="rId54"/><Relationship Type="http://schemas.openxmlformats.org/officeDocument/2006/relationships/hyperlink" Target="#'08 CROSSWALK'!A52" TargetMode="External" Id="rId55"/><Relationship Type="http://schemas.openxmlformats.org/officeDocument/2006/relationships/hyperlink" Target="#'08 CROSSWALK'!A53" TargetMode="External" Id="rId56"/><Relationship Type="http://schemas.openxmlformats.org/officeDocument/2006/relationships/hyperlink" Target="#'08 CROSSWALK'!A54" TargetMode="External" Id="rId57"/><Relationship Type="http://schemas.openxmlformats.org/officeDocument/2006/relationships/hyperlink" Target="#'08 CROSSWALK'!A55" TargetMode="External" Id="rId58"/><Relationship Type="http://schemas.openxmlformats.org/officeDocument/2006/relationships/hyperlink" Target="#'08 CROSSWALK'!A56" TargetMode="External" Id="rId59"/><Relationship Type="http://schemas.openxmlformats.org/officeDocument/2006/relationships/hyperlink" Target="#'08 CROSSWALK'!A57" TargetMode="External" Id="rId60"/><Relationship Type="http://schemas.openxmlformats.org/officeDocument/2006/relationships/hyperlink" Target="#'08 CROSSWALK'!A58" TargetMode="External" Id="rId61"/><Relationship Type="http://schemas.openxmlformats.org/officeDocument/2006/relationships/hyperlink" Target="#'08 CROSSWALK'!A59" TargetMode="External" Id="rId62"/><Relationship Type="http://schemas.openxmlformats.org/officeDocument/2006/relationships/hyperlink" Target="#'08 CROSSWALK'!A60" TargetMode="External" Id="rId63"/><Relationship Type="http://schemas.openxmlformats.org/officeDocument/2006/relationships/hyperlink" Target="#'08 CROSSWALK'!A61" TargetMode="External" Id="rId64"/><Relationship Type="http://schemas.openxmlformats.org/officeDocument/2006/relationships/hyperlink" Target="#'08 CROSSWALK'!A62" TargetMode="External" Id="rId65"/><Relationship Type="http://schemas.openxmlformats.org/officeDocument/2006/relationships/hyperlink" Target="#'08 CROSSWALK'!A63" TargetMode="External" Id="rId66"/><Relationship Type="http://schemas.openxmlformats.org/officeDocument/2006/relationships/hyperlink" Target="#'08 CROSSWALK'!A64" TargetMode="External" Id="rId67"/><Relationship Type="http://schemas.openxmlformats.org/officeDocument/2006/relationships/hyperlink" Target="#'08 CROSSWALK'!A65" TargetMode="External" Id="rId68"/><Relationship Type="http://schemas.openxmlformats.org/officeDocument/2006/relationships/hyperlink" Target="#'08 CROSSWALK'!A66" TargetMode="External" Id="rId69"/><Relationship Type="http://schemas.openxmlformats.org/officeDocument/2006/relationships/hyperlink" Target="#'08 CROSSWALK'!A67" TargetMode="External" Id="rId70"/><Relationship Type="http://schemas.openxmlformats.org/officeDocument/2006/relationships/hyperlink" Target="#'08 CROSSWALK'!A68" TargetMode="External" Id="rId71"/><Relationship Type="http://schemas.openxmlformats.org/officeDocument/2006/relationships/hyperlink" Target="#'08 CROSSWALK'!A69" TargetMode="External" Id="rId72"/><Relationship Type="http://schemas.openxmlformats.org/officeDocument/2006/relationships/hyperlink" Target="#'08 CROSSWALK'!A70" TargetMode="External" Id="rId73"/><Relationship Type="http://schemas.openxmlformats.org/officeDocument/2006/relationships/hyperlink" Target="#'08 CROSSWALK'!A71" TargetMode="External" Id="rId74"/><Relationship Type="http://schemas.openxmlformats.org/officeDocument/2006/relationships/hyperlink" Target="#'08 CROSSWALK'!A72" TargetMode="External" Id="rId75"/><Relationship Type="http://schemas.openxmlformats.org/officeDocument/2006/relationships/hyperlink" Target="#'08 CROSSWALK'!A73" TargetMode="External" Id="rId76"/><Relationship Type="http://schemas.openxmlformats.org/officeDocument/2006/relationships/hyperlink" Target="#'08 CROSSWALK'!A74" TargetMode="External" Id="rId77"/><Relationship Type="http://schemas.openxmlformats.org/officeDocument/2006/relationships/hyperlink" Target="#'08 CROSSWALK'!A75" TargetMode="External" Id="rId78"/><Relationship Type="http://schemas.openxmlformats.org/officeDocument/2006/relationships/hyperlink" Target="#'08 CROSSWALK'!A76" TargetMode="External" Id="rId79"/><Relationship Type="http://schemas.openxmlformats.org/officeDocument/2006/relationships/hyperlink" Target="#'08 CROSSWALK'!A77" TargetMode="External" Id="rId80"/><Relationship Type="http://schemas.openxmlformats.org/officeDocument/2006/relationships/hyperlink" Target="#'08 CROSSWALK'!A78" TargetMode="External" Id="rId81"/><Relationship Type="http://schemas.openxmlformats.org/officeDocument/2006/relationships/hyperlink" Target="#'08 CROSSWALK'!A79" TargetMode="External" Id="rId82"/><Relationship Type="http://schemas.openxmlformats.org/officeDocument/2006/relationships/hyperlink" Target="#'08 CROSSWALK'!A80" TargetMode="External" Id="rId83"/><Relationship Type="http://schemas.openxmlformats.org/officeDocument/2006/relationships/hyperlink" Target="#'08 CROSSWALK'!A81" TargetMode="External" Id="rId84"/><Relationship Type="http://schemas.openxmlformats.org/officeDocument/2006/relationships/hyperlink" Target="#'08 CROSSWALK'!A82" TargetMode="External" Id="rId85"/><Relationship Type="http://schemas.openxmlformats.org/officeDocument/2006/relationships/hyperlink" Target="#'08 CROSSWALK'!A83" TargetMode="External" Id="rId86"/><Relationship Type="http://schemas.openxmlformats.org/officeDocument/2006/relationships/hyperlink" Target="#'08 CROSSWALK'!A84" TargetMode="External" Id="rId87"/><Relationship Type="http://schemas.openxmlformats.org/officeDocument/2006/relationships/hyperlink" Target="#'08 CROSSWALK'!A85" TargetMode="External" Id="rId88"/><Relationship Type="http://schemas.openxmlformats.org/officeDocument/2006/relationships/hyperlink" Target="#'08 CROSSWALK'!A86" TargetMode="External" Id="rId89"/><Relationship Type="http://schemas.openxmlformats.org/officeDocument/2006/relationships/hyperlink" Target="#'08 CROSSWALK'!A87" TargetMode="External" Id="rId90"/><Relationship Type="http://schemas.openxmlformats.org/officeDocument/2006/relationships/hyperlink" Target="#'08 CROSSWALK'!A88" TargetMode="External" Id="rId91"/><Relationship Type="http://schemas.openxmlformats.org/officeDocument/2006/relationships/hyperlink" Target="#'08 CROSSWALK'!A89" TargetMode="External" Id="rId92"/><Relationship Type="http://schemas.openxmlformats.org/officeDocument/2006/relationships/hyperlink" Target="#'08 CROSSWALK'!A90" TargetMode="External" Id="rId93"/><Relationship Type="http://schemas.openxmlformats.org/officeDocument/2006/relationships/hyperlink" Target="#'08 CROSSWALK'!A91" TargetMode="External" Id="rId94"/><Relationship Type="http://schemas.openxmlformats.org/officeDocument/2006/relationships/hyperlink" Target="#'08 CROSSWALK'!A92" TargetMode="External" Id="rId95"/><Relationship Type="http://schemas.openxmlformats.org/officeDocument/2006/relationships/hyperlink" Target="#'08 CROSSWALK'!A93" TargetMode="External" Id="rId96"/><Relationship Type="http://schemas.openxmlformats.org/officeDocument/2006/relationships/hyperlink" Target="#'08 CROSSWALK'!A94" TargetMode="External" Id="rId97"/><Relationship Type="http://schemas.openxmlformats.org/officeDocument/2006/relationships/hyperlink" Target="#'08 CROSSWALK'!A95" TargetMode="External" Id="rId98"/><Relationship Type="http://schemas.openxmlformats.org/officeDocument/2006/relationships/hyperlink" Target="#'08 CROSSWALK'!A96" TargetMode="External" Id="rId99"/><Relationship Type="http://schemas.openxmlformats.org/officeDocument/2006/relationships/hyperlink" Target="#'08 CROSSWALK'!A97" TargetMode="External" Id="rId100"/><Relationship Type="http://schemas.openxmlformats.org/officeDocument/2006/relationships/hyperlink" Target="#'08 CROSSWALK'!A98" TargetMode="External" Id="rId101"/><Relationship Type="http://schemas.openxmlformats.org/officeDocument/2006/relationships/hyperlink" Target="#'08 CROSSWALK'!A99" TargetMode="External" Id="rId102"/><Relationship Type="http://schemas.openxmlformats.org/officeDocument/2006/relationships/hyperlink" Target="#'08 CROSSWALK'!A100" TargetMode="External" Id="rId103"/><Relationship Type="http://schemas.openxmlformats.org/officeDocument/2006/relationships/hyperlink" Target="#'08 CROSSWALK'!A101" TargetMode="External" Id="rId104"/><Relationship Type="http://schemas.openxmlformats.org/officeDocument/2006/relationships/hyperlink" Target="#'08 CROSSWALK'!A102" TargetMode="External" Id="rId105"/><Relationship Type="http://schemas.openxmlformats.org/officeDocument/2006/relationships/hyperlink" Target="#'08 CROSSWALK'!A103" TargetMode="External" Id="rId106"/><Relationship Type="http://schemas.openxmlformats.org/officeDocument/2006/relationships/hyperlink" Target="#'08 CROSSWALK'!A104" TargetMode="External" Id="rId107"/><Relationship Type="http://schemas.openxmlformats.org/officeDocument/2006/relationships/hyperlink" Target="#'08 CROSSWALK'!A105" TargetMode="External" Id="rId108"/><Relationship Type="http://schemas.openxmlformats.org/officeDocument/2006/relationships/hyperlink" Target="#'08 CROSSWALK'!A106" TargetMode="External" Id="rId109"/><Relationship Type="http://schemas.openxmlformats.org/officeDocument/2006/relationships/hyperlink" Target="#'08 CROSSWALK'!A107" TargetMode="External" Id="rId110"/><Relationship Type="http://schemas.openxmlformats.org/officeDocument/2006/relationships/hyperlink" Target="#'08 CROSSWALK'!A108" TargetMode="External" Id="rId111"/><Relationship Type="http://schemas.openxmlformats.org/officeDocument/2006/relationships/hyperlink" Target="#'08 CROSSWALK'!A109" TargetMode="External" Id="rId112"/><Relationship Type="http://schemas.openxmlformats.org/officeDocument/2006/relationships/hyperlink" Target="#'08 CROSSWALK'!A110" TargetMode="External" Id="rId113"/><Relationship Type="http://schemas.openxmlformats.org/officeDocument/2006/relationships/hyperlink" Target="#'08 CROSSWALK'!A111" TargetMode="External" Id="rId114"/><Relationship Type="http://schemas.openxmlformats.org/officeDocument/2006/relationships/hyperlink" Target="#'08 CROSSWALK'!A112" TargetMode="External" Id="rId115"/><Relationship Type="http://schemas.openxmlformats.org/officeDocument/2006/relationships/hyperlink" Target="#'08 CROSSWALK'!A113" TargetMode="External" Id="rId116"/><Relationship Type="http://schemas.openxmlformats.org/officeDocument/2006/relationships/hyperlink" Target="#'08 CROSSWALK'!A114" TargetMode="External" Id="rId117"/><Relationship Type="http://schemas.openxmlformats.org/officeDocument/2006/relationships/hyperlink" Target="#'08 CROSSWALK'!A115" TargetMode="External" Id="rId118"/><Relationship Type="http://schemas.openxmlformats.org/officeDocument/2006/relationships/hyperlink" Target="#'08 CROSSWALK'!A116" TargetMode="External" Id="rId119"/><Relationship Type="http://schemas.openxmlformats.org/officeDocument/2006/relationships/hyperlink" Target="#'08 CROSSWALK'!A117" TargetMode="External" Id="rId120"/><Relationship Type="http://schemas.openxmlformats.org/officeDocument/2006/relationships/hyperlink" Target="#'08 CROSSWALK'!A118" TargetMode="External" Id="rId121"/><Relationship Type="http://schemas.openxmlformats.org/officeDocument/2006/relationships/hyperlink" Target="#'08 CROSSWALK'!A119" TargetMode="External" Id="rId122"/><Relationship Type="http://schemas.openxmlformats.org/officeDocument/2006/relationships/hyperlink" Target="#'08 CROSSWALK'!A120" TargetMode="External" Id="rId123"/><Relationship Type="http://schemas.openxmlformats.org/officeDocument/2006/relationships/hyperlink" Target="#'08 CROSSWALK'!A121" TargetMode="External" Id="rId124"/><Relationship Type="http://schemas.openxmlformats.org/officeDocument/2006/relationships/hyperlink" Target="#'08 CROSSWALK'!A122" TargetMode="External" Id="rId125"/><Relationship Type="http://schemas.openxmlformats.org/officeDocument/2006/relationships/hyperlink" Target="#'08 CROSSWALK'!A123" TargetMode="External" Id="rId126"/><Relationship Type="http://schemas.openxmlformats.org/officeDocument/2006/relationships/hyperlink" Target="#'08 CROSSWALK'!A124" TargetMode="External" Id="rId127"/><Relationship Type="http://schemas.openxmlformats.org/officeDocument/2006/relationships/hyperlink" Target="#'08 CROSSWALK'!A125" TargetMode="External" Id="rId128"/><Relationship Type="http://schemas.openxmlformats.org/officeDocument/2006/relationships/hyperlink" Target="#'08 CROSSWALK'!A126" TargetMode="External" Id="rId129"/><Relationship Type="http://schemas.openxmlformats.org/officeDocument/2006/relationships/hyperlink" Target="#'08 CROSSWALK'!A127" TargetMode="External" Id="rId130"/><Relationship Type="http://schemas.openxmlformats.org/officeDocument/2006/relationships/hyperlink" Target="#'08 CROSSWALK'!A128" TargetMode="External" Id="rId131"/><Relationship Type="http://schemas.openxmlformats.org/officeDocument/2006/relationships/hyperlink" Target="#'08 CROSSWALK'!A129" TargetMode="External" Id="rId132"/><Relationship Type="http://schemas.openxmlformats.org/officeDocument/2006/relationships/hyperlink" Target="#'08 CROSSWALK'!A130" TargetMode="External" Id="rId133"/><Relationship Type="http://schemas.openxmlformats.org/officeDocument/2006/relationships/hyperlink" Target="#'08 CROSSWALK'!A131" TargetMode="External" Id="rId134"/><Relationship Type="http://schemas.openxmlformats.org/officeDocument/2006/relationships/hyperlink" Target="#'08 CROSSWALK'!A132" TargetMode="External" Id="rId135"/><Relationship Type="http://schemas.openxmlformats.org/officeDocument/2006/relationships/hyperlink" Target="#'08 CROSSWALK'!A133" TargetMode="External" Id="rId136"/><Relationship Type="http://schemas.openxmlformats.org/officeDocument/2006/relationships/hyperlink" Target="#'08 CROSSWALK'!A134" TargetMode="External" Id="rId137"/><Relationship Type="http://schemas.openxmlformats.org/officeDocument/2006/relationships/hyperlink" Target="#'08 CROSSWALK'!A135" TargetMode="External" Id="rId138"/><Relationship Type="http://schemas.openxmlformats.org/officeDocument/2006/relationships/hyperlink" Target="#'08 CROSSWALK'!A136" TargetMode="External" Id="rId139"/><Relationship Type="http://schemas.openxmlformats.org/officeDocument/2006/relationships/hyperlink" Target="#'08 CROSSWALK'!A137" TargetMode="External" Id="rId140"/><Relationship Type="http://schemas.openxmlformats.org/officeDocument/2006/relationships/hyperlink" Target="#'08 CROSSWALK'!A138" TargetMode="External" Id="rId141"/><Relationship Type="http://schemas.openxmlformats.org/officeDocument/2006/relationships/hyperlink" Target="#'08 CROSSWALK'!A139" TargetMode="External" Id="rId142"/><Relationship Type="http://schemas.openxmlformats.org/officeDocument/2006/relationships/hyperlink" Target="#'08 CROSSWALK'!A140" TargetMode="External" Id="rId143"/><Relationship Type="http://schemas.openxmlformats.org/officeDocument/2006/relationships/hyperlink" Target="#'08 CROSSWALK'!A141" TargetMode="External" Id="rId144"/><Relationship Type="http://schemas.openxmlformats.org/officeDocument/2006/relationships/hyperlink" Target="#'08 CROSSWALK'!A142" TargetMode="External" Id="rId145"/><Relationship Type="http://schemas.openxmlformats.org/officeDocument/2006/relationships/hyperlink" Target="#'08 CROSSWALK'!A143" TargetMode="External" Id="rId146"/><Relationship Type="http://schemas.openxmlformats.org/officeDocument/2006/relationships/hyperlink" Target="#'08 CROSSWALK'!A144" TargetMode="External" Id="rId147"/><Relationship Type="http://schemas.openxmlformats.org/officeDocument/2006/relationships/hyperlink" Target="#'08 CROSSWALK'!A145" TargetMode="External" Id="rId148"/><Relationship Type="http://schemas.openxmlformats.org/officeDocument/2006/relationships/hyperlink" Target="#'08 CROSSWALK'!A146" TargetMode="External" Id="rId149"/><Relationship Type="http://schemas.openxmlformats.org/officeDocument/2006/relationships/hyperlink" Target="#'08 CROSSWALK'!A147" TargetMode="External" Id="rId150"/><Relationship Type="http://schemas.openxmlformats.org/officeDocument/2006/relationships/hyperlink" Target="#'08 CROSSWALK'!A148" TargetMode="External" Id="rId151"/><Relationship Type="http://schemas.openxmlformats.org/officeDocument/2006/relationships/hyperlink" Target="#'08 CROSSWALK'!A149" TargetMode="External" Id="rId152"/><Relationship Type="http://schemas.openxmlformats.org/officeDocument/2006/relationships/hyperlink" Target="#'08 CROSSWALK'!A150" TargetMode="External" Id="rId153"/><Relationship Type="http://schemas.openxmlformats.org/officeDocument/2006/relationships/hyperlink" Target="#'08 CROSSWALK'!A151" TargetMode="External" Id="rId154"/><Relationship Type="http://schemas.openxmlformats.org/officeDocument/2006/relationships/hyperlink" Target="#'08 CROSSWALK'!A152" TargetMode="External" Id="rId155"/><Relationship Type="http://schemas.openxmlformats.org/officeDocument/2006/relationships/hyperlink" Target="#'08 CROSSWALK'!A153" TargetMode="External" Id="rId156"/><Relationship Type="http://schemas.openxmlformats.org/officeDocument/2006/relationships/hyperlink" Target="#'08 CROSSWALK'!A154" TargetMode="External" Id="rId157"/><Relationship Type="http://schemas.openxmlformats.org/officeDocument/2006/relationships/hyperlink" Target="#'08 CROSSWALK'!A155" TargetMode="External" Id="rId158"/><Relationship Type="http://schemas.openxmlformats.org/officeDocument/2006/relationships/hyperlink" Target="#'08 CROSSWALK'!A156" TargetMode="External" Id="rId159"/><Relationship Type="http://schemas.openxmlformats.org/officeDocument/2006/relationships/hyperlink" Target="#'08 CROSSWALK'!A157" TargetMode="External" Id="rId160"/><Relationship Type="http://schemas.openxmlformats.org/officeDocument/2006/relationships/hyperlink" Target="#'08 CROSSWALK'!A158" TargetMode="External" Id="rId161"/><Relationship Type="http://schemas.openxmlformats.org/officeDocument/2006/relationships/hyperlink" Target="#'08 CROSSWALK'!A159" TargetMode="External" Id="rId162"/><Relationship Type="http://schemas.openxmlformats.org/officeDocument/2006/relationships/hyperlink" Target="#'08 CROSSWALK'!A160" TargetMode="External" Id="rId163"/><Relationship Type="http://schemas.openxmlformats.org/officeDocument/2006/relationships/hyperlink" Target="#'08 CROSSWALK'!A161" TargetMode="External" Id="rId164"/><Relationship Type="http://schemas.openxmlformats.org/officeDocument/2006/relationships/hyperlink" Target="#'08 CROSSWALK'!A162" TargetMode="External" Id="rId165"/><Relationship Type="http://schemas.openxmlformats.org/officeDocument/2006/relationships/hyperlink" Target="#'08 CROSSWALK'!A163" TargetMode="External" Id="rId166"/><Relationship Type="http://schemas.openxmlformats.org/officeDocument/2006/relationships/hyperlink" Target="#'08 CROSSWALK'!A164" TargetMode="External" Id="rId167"/><Relationship Type="http://schemas.openxmlformats.org/officeDocument/2006/relationships/hyperlink" Target="#'08 CROSSWALK'!A165" TargetMode="External" Id="rId168"/><Relationship Type="http://schemas.openxmlformats.org/officeDocument/2006/relationships/hyperlink" Target="#'08 CROSSWALK'!A166" TargetMode="External" Id="rId169"/><Relationship Type="http://schemas.openxmlformats.org/officeDocument/2006/relationships/hyperlink" Target="#'08 CROSSWALK'!A167" TargetMode="External" Id="rId170"/><Relationship Type="http://schemas.openxmlformats.org/officeDocument/2006/relationships/hyperlink" Target="#'08 CROSSWALK'!A168" TargetMode="External" Id="rId171"/><Relationship Type="http://schemas.openxmlformats.org/officeDocument/2006/relationships/hyperlink" Target="#'08 CROSSWALK'!A169" TargetMode="External" Id="rId172"/><Relationship Type="http://schemas.openxmlformats.org/officeDocument/2006/relationships/hyperlink" Target="#'08 CROSSWALK'!A170" TargetMode="External" Id="rId173"/><Relationship Type="http://schemas.openxmlformats.org/officeDocument/2006/relationships/hyperlink" Target="#'08 CROSSWALK'!A171" TargetMode="External" Id="rId174"/><Relationship Type="http://schemas.openxmlformats.org/officeDocument/2006/relationships/hyperlink" Target="#'08 CROSSWALK'!A172" TargetMode="External" Id="rId175"/><Relationship Type="http://schemas.openxmlformats.org/officeDocument/2006/relationships/hyperlink" Target="#'08 CROSSWALK'!A173" TargetMode="External" Id="rId176"/><Relationship Type="http://schemas.openxmlformats.org/officeDocument/2006/relationships/hyperlink" Target="#'08 CROSSWALK'!A174" TargetMode="External" Id="rId177"/><Relationship Type="http://schemas.openxmlformats.org/officeDocument/2006/relationships/hyperlink" Target="#'08 CROSSWALK'!A175" TargetMode="External" Id="rId178"/><Relationship Type="http://schemas.openxmlformats.org/officeDocument/2006/relationships/hyperlink" Target="#'08 CROSSWALK'!A176" TargetMode="External" Id="rId179"/><Relationship Type="http://schemas.openxmlformats.org/officeDocument/2006/relationships/hyperlink" Target="#'08 CROSSWALK'!A177" TargetMode="External" Id="rId180"/><Relationship Type="http://schemas.openxmlformats.org/officeDocument/2006/relationships/hyperlink" Target="#'08 CROSSWALK'!A178" TargetMode="External" Id="rId181"/><Relationship Type="http://schemas.openxmlformats.org/officeDocument/2006/relationships/hyperlink" Target="#'08 CROSSWALK'!A179" TargetMode="External" Id="rId182"/><Relationship Type="http://schemas.openxmlformats.org/officeDocument/2006/relationships/hyperlink" Target="#'08 CROSSWALK'!A180" TargetMode="External" Id="rId183"/><Relationship Type="http://schemas.openxmlformats.org/officeDocument/2006/relationships/hyperlink" Target="#'08 CROSSWALK'!A181" TargetMode="External" Id="rId184"/><Relationship Type="http://schemas.openxmlformats.org/officeDocument/2006/relationships/hyperlink" Target="#'08 CROSSWALK'!A182" TargetMode="External" Id="rId185"/><Relationship Type="http://schemas.openxmlformats.org/officeDocument/2006/relationships/hyperlink" Target="#'08 CROSSWALK'!A183" TargetMode="External" Id="rId186"/><Relationship Type="http://schemas.openxmlformats.org/officeDocument/2006/relationships/hyperlink" Target="#'08 CROSSWALK'!A184" TargetMode="External" Id="rId187"/><Relationship Type="http://schemas.openxmlformats.org/officeDocument/2006/relationships/hyperlink" Target="#'08 CROSSWALK'!A185" TargetMode="External" Id="rId188"/><Relationship Type="http://schemas.openxmlformats.org/officeDocument/2006/relationships/hyperlink" Target="#'08 CROSSWALK'!A186" TargetMode="External" Id="rId189"/><Relationship Type="http://schemas.openxmlformats.org/officeDocument/2006/relationships/hyperlink" Target="#'08 CROSSWALK'!A187" TargetMode="External" Id="rId190"/><Relationship Type="http://schemas.openxmlformats.org/officeDocument/2006/relationships/hyperlink" Target="#'08 CROSSWALK'!A188" TargetMode="External" Id="rId191"/><Relationship Type="http://schemas.openxmlformats.org/officeDocument/2006/relationships/hyperlink" Target="#'08 CROSSWALK'!A189" TargetMode="External" Id="rId192"/><Relationship Type="http://schemas.openxmlformats.org/officeDocument/2006/relationships/hyperlink" Target="#'08 CROSSWALK'!A190" TargetMode="External" Id="rId193"/><Relationship Type="http://schemas.openxmlformats.org/officeDocument/2006/relationships/hyperlink" Target="#'08 CROSSWALK'!A191" TargetMode="External" Id="rId194"/><Relationship Type="http://schemas.openxmlformats.org/officeDocument/2006/relationships/hyperlink" Target="#'08 CROSSWALK'!A192" TargetMode="External" Id="rId195"/><Relationship Type="http://schemas.openxmlformats.org/officeDocument/2006/relationships/hyperlink" Target="#'08 CROSSWALK'!A193" TargetMode="External" Id="rId196"/><Relationship Type="http://schemas.openxmlformats.org/officeDocument/2006/relationships/hyperlink" Target="#'08 CROSSWALK'!A194" TargetMode="External" Id="rId197"/><Relationship Type="http://schemas.openxmlformats.org/officeDocument/2006/relationships/hyperlink" Target="#'08 CROSSWALK'!A195" TargetMode="External" Id="rId198"/><Relationship Type="http://schemas.openxmlformats.org/officeDocument/2006/relationships/hyperlink" Target="#'08 CROSSWALK'!A196" TargetMode="External" Id="rId199"/><Relationship Type="http://schemas.openxmlformats.org/officeDocument/2006/relationships/hyperlink" Target="#'08 CROSSWALK'!A197" TargetMode="External" Id="rId200"/><Relationship Type="http://schemas.openxmlformats.org/officeDocument/2006/relationships/hyperlink" Target="#'08 CROSSWALK'!A198" TargetMode="External" Id="rId201"/><Relationship Type="http://schemas.openxmlformats.org/officeDocument/2006/relationships/hyperlink" Target="#'08 CROSSWALK'!A199" TargetMode="External" Id="rId202"/><Relationship Type="http://schemas.openxmlformats.org/officeDocument/2006/relationships/hyperlink" Target="#'08 CROSSWALK'!A200" TargetMode="External" Id="rId203"/><Relationship Type="http://schemas.openxmlformats.org/officeDocument/2006/relationships/hyperlink" Target="#'08 CROSSWALK'!A201" TargetMode="External" Id="rId204"/><Relationship Type="http://schemas.openxmlformats.org/officeDocument/2006/relationships/hyperlink" Target="#'08 CROSSWALK'!A202" TargetMode="External" Id="rId205"/><Relationship Type="http://schemas.openxmlformats.org/officeDocument/2006/relationships/hyperlink" Target="#'08 CROSSWALK'!A203" TargetMode="External" Id="rId206"/><Relationship Type="http://schemas.openxmlformats.org/officeDocument/2006/relationships/hyperlink" Target="#'08 CROSSWALK'!A204" TargetMode="External" Id="rId207"/><Relationship Type="http://schemas.openxmlformats.org/officeDocument/2006/relationships/hyperlink" Target="#'08 CROSSWALK'!A205" TargetMode="External" Id="rId208"/><Relationship Type="http://schemas.openxmlformats.org/officeDocument/2006/relationships/hyperlink" Target="#'08 CROSSWALK'!A206" TargetMode="External" Id="rId209"/><Relationship Type="http://schemas.openxmlformats.org/officeDocument/2006/relationships/hyperlink" Target="#'08 CROSSWALK'!A207" TargetMode="External" Id="rId210"/><Relationship Type="http://schemas.openxmlformats.org/officeDocument/2006/relationships/hyperlink" Target="#'08 CROSSWALK'!A208" TargetMode="External" Id="rId211"/><Relationship Type="http://schemas.openxmlformats.org/officeDocument/2006/relationships/hyperlink" Target="#'08 CROSSWALK'!A209" TargetMode="External" Id="rId212"/><Relationship Type="http://schemas.openxmlformats.org/officeDocument/2006/relationships/hyperlink" Target="#'08 CROSSWALK'!A210" TargetMode="External" Id="rId213"/><Relationship Type="http://schemas.openxmlformats.org/officeDocument/2006/relationships/hyperlink" Target="#'08 CROSSWALK'!A211" TargetMode="External" Id="rId214"/><Relationship Type="http://schemas.openxmlformats.org/officeDocument/2006/relationships/hyperlink" Target="#'08 CROSSWALK'!A212" TargetMode="External" Id="rId215"/><Relationship Type="http://schemas.openxmlformats.org/officeDocument/2006/relationships/hyperlink" Target="#'08 CROSSWALK'!A213" TargetMode="External" Id="rId216"/><Relationship Type="http://schemas.openxmlformats.org/officeDocument/2006/relationships/hyperlink" Target="#'08 CROSSWALK'!A214" TargetMode="External" Id="rId217"/><Relationship Type="http://schemas.openxmlformats.org/officeDocument/2006/relationships/hyperlink" Target="#'08 CROSSWALK'!A215" TargetMode="External" Id="rId218"/><Relationship Type="http://schemas.openxmlformats.org/officeDocument/2006/relationships/hyperlink" Target="#'08 CROSSWALK'!A216" TargetMode="External" Id="rId219"/><Relationship Type="http://schemas.openxmlformats.org/officeDocument/2006/relationships/hyperlink" Target="#'08 CROSSWALK'!A217" TargetMode="External" Id="rId220"/><Relationship Type="http://schemas.openxmlformats.org/officeDocument/2006/relationships/hyperlink" Target="#'08 CROSSWALK'!A218" TargetMode="External" Id="rId221"/><Relationship Type="http://schemas.openxmlformats.org/officeDocument/2006/relationships/hyperlink" Target="#'08 CROSSWALK'!A219" TargetMode="External" Id="rId222"/><Relationship Type="http://schemas.openxmlformats.org/officeDocument/2006/relationships/hyperlink" Target="#'08 CROSSWALK'!A220" TargetMode="External" Id="rId223"/><Relationship Type="http://schemas.openxmlformats.org/officeDocument/2006/relationships/hyperlink" Target="#'08 CROSSWALK'!A221" TargetMode="External" Id="rId224"/><Relationship Type="http://schemas.openxmlformats.org/officeDocument/2006/relationships/hyperlink" Target="#'08 CROSSWALK'!A222" TargetMode="External" Id="rId225"/><Relationship Type="http://schemas.openxmlformats.org/officeDocument/2006/relationships/hyperlink" Target="#'08 CROSSWALK'!A223" TargetMode="External" Id="rId226"/><Relationship Type="http://schemas.openxmlformats.org/officeDocument/2006/relationships/hyperlink" Target="#'08 CROSSWALK'!A224" TargetMode="External" Id="rId227"/><Relationship Type="http://schemas.openxmlformats.org/officeDocument/2006/relationships/hyperlink" Target="#'08 CROSSWALK'!A225" TargetMode="External" Id="rId228"/><Relationship Type="http://schemas.openxmlformats.org/officeDocument/2006/relationships/hyperlink" Target="#'08 CROSSWALK'!A226" TargetMode="External" Id="rId229"/><Relationship Type="http://schemas.openxmlformats.org/officeDocument/2006/relationships/hyperlink" Target="#'08 CROSSWALK'!A227" TargetMode="External" Id="rId230"/><Relationship Type="http://schemas.openxmlformats.org/officeDocument/2006/relationships/hyperlink" Target="#'08 CROSSWALK'!A228" TargetMode="External" Id="rId231"/><Relationship Type="http://schemas.openxmlformats.org/officeDocument/2006/relationships/hyperlink" Target="#'08 CROSSWALK'!A229" TargetMode="External" Id="rId232"/><Relationship Type="http://schemas.openxmlformats.org/officeDocument/2006/relationships/hyperlink" Target="#'08 CROSSWALK'!A230" TargetMode="External" Id="rId233"/><Relationship Type="http://schemas.openxmlformats.org/officeDocument/2006/relationships/hyperlink" Target="#'08 CROSSWALK'!A231" TargetMode="External" Id="rId234"/><Relationship Type="http://schemas.openxmlformats.org/officeDocument/2006/relationships/hyperlink" Target="#'08 CROSSWALK'!A232" TargetMode="External" Id="rId235"/><Relationship Type="http://schemas.openxmlformats.org/officeDocument/2006/relationships/hyperlink" Target="#'08 CROSSWALK'!A233" TargetMode="External" Id="rId236"/><Relationship Type="http://schemas.openxmlformats.org/officeDocument/2006/relationships/hyperlink" Target="#'08 CROSSWALK'!A234" TargetMode="External" Id="rId237"/><Relationship Type="http://schemas.openxmlformats.org/officeDocument/2006/relationships/hyperlink" Target="#'08 CROSSWALK'!A235" TargetMode="External" Id="rId238"/><Relationship Type="http://schemas.openxmlformats.org/officeDocument/2006/relationships/hyperlink" Target="#'08 CROSSWALK'!A236" TargetMode="External" Id="rId239"/><Relationship Type="http://schemas.openxmlformats.org/officeDocument/2006/relationships/hyperlink" Target="#'08 CROSSWALK'!A237" TargetMode="External" Id="rId240"/><Relationship Type="http://schemas.openxmlformats.org/officeDocument/2006/relationships/hyperlink" Target="#'08 CROSSWALK'!A238" TargetMode="External" Id="rId241"/><Relationship Type="http://schemas.openxmlformats.org/officeDocument/2006/relationships/hyperlink" Target="#'08 CROSSWALK'!A239" TargetMode="External" Id="rId242"/><Relationship Type="http://schemas.openxmlformats.org/officeDocument/2006/relationships/hyperlink" Target="#'08 CROSSWALK'!A240" TargetMode="External" Id="rId243"/><Relationship Type="http://schemas.openxmlformats.org/officeDocument/2006/relationships/hyperlink" Target="#'08 CROSSWALK'!A241" TargetMode="External" Id="rId244"/><Relationship Type="http://schemas.openxmlformats.org/officeDocument/2006/relationships/hyperlink" Target="#'08 CROSSWALK'!A242" TargetMode="External" Id="rId245"/><Relationship Type="http://schemas.openxmlformats.org/officeDocument/2006/relationships/hyperlink" Target="#'08 CROSSWALK'!A243" TargetMode="External" Id="rId246"/><Relationship Type="http://schemas.openxmlformats.org/officeDocument/2006/relationships/hyperlink" Target="#'08 CROSSWALK'!A244" TargetMode="External" Id="rId247"/><Relationship Type="http://schemas.openxmlformats.org/officeDocument/2006/relationships/hyperlink" Target="#'08 CROSSWALK'!A245" TargetMode="External" Id="rId248"/><Relationship Type="http://schemas.openxmlformats.org/officeDocument/2006/relationships/hyperlink" Target="#'08 CROSSWALK'!A246" TargetMode="External" Id="rId249"/><Relationship Type="http://schemas.openxmlformats.org/officeDocument/2006/relationships/hyperlink" Target="#'08 CROSSWALK'!A247" TargetMode="External" Id="rId250"/><Relationship Type="http://schemas.openxmlformats.org/officeDocument/2006/relationships/hyperlink" Target="#'08 CROSSWALK'!A248" TargetMode="External" Id="rId251"/><Relationship Type="http://schemas.openxmlformats.org/officeDocument/2006/relationships/hyperlink" Target="#'08 CROSSWALK'!A249" TargetMode="External" Id="rId252"/><Relationship Type="http://schemas.openxmlformats.org/officeDocument/2006/relationships/hyperlink" Target="#'08 CROSSWALK'!A250" TargetMode="External" Id="rId253"/><Relationship Type="http://schemas.openxmlformats.org/officeDocument/2006/relationships/hyperlink" Target="#'08 CROSSWALK'!A251" TargetMode="External" Id="rId254"/><Relationship Type="http://schemas.openxmlformats.org/officeDocument/2006/relationships/hyperlink" Target="#'08 CROSSWALK'!A252" TargetMode="External" Id="rId255"/><Relationship Type="http://schemas.openxmlformats.org/officeDocument/2006/relationships/hyperlink" Target="#'08 CROSSWALK'!A253" TargetMode="External" Id="rId256"/><Relationship Type="http://schemas.openxmlformats.org/officeDocument/2006/relationships/hyperlink" Target="#'08 CROSSWALK'!A254" TargetMode="External" Id="rId257"/><Relationship Type="http://schemas.openxmlformats.org/officeDocument/2006/relationships/hyperlink" Target="#'08 CROSSWALK'!A255" TargetMode="External" Id="rId258"/><Relationship Type="http://schemas.openxmlformats.org/officeDocument/2006/relationships/hyperlink" Target="#'08 CROSSWALK'!A256" TargetMode="External" Id="rId259"/><Relationship Type="http://schemas.openxmlformats.org/officeDocument/2006/relationships/hyperlink" Target="#'08 CROSSWALK'!A257" TargetMode="External" Id="rId260"/><Relationship Type="http://schemas.openxmlformats.org/officeDocument/2006/relationships/hyperlink" Target="#'08 CROSSWALK'!A258" TargetMode="External" Id="rId261"/><Relationship Type="http://schemas.openxmlformats.org/officeDocument/2006/relationships/hyperlink" Target="#'08 CROSSWALK'!A259" TargetMode="External" Id="rId262"/><Relationship Type="http://schemas.openxmlformats.org/officeDocument/2006/relationships/hyperlink" Target="#'08 CROSSWALK'!A260" TargetMode="External" Id="rId263"/><Relationship Type="http://schemas.openxmlformats.org/officeDocument/2006/relationships/hyperlink" Target="#'08 CROSSWALK'!A261" TargetMode="External" Id="rId264"/><Relationship Type="http://schemas.openxmlformats.org/officeDocument/2006/relationships/hyperlink" Target="#'08 CROSSWALK'!A262" TargetMode="External" Id="rId265"/><Relationship Type="http://schemas.openxmlformats.org/officeDocument/2006/relationships/hyperlink" Target="#'08 CROSSWALK'!A263" TargetMode="External" Id="rId266"/><Relationship Type="http://schemas.openxmlformats.org/officeDocument/2006/relationships/hyperlink" Target="#'08 CROSSWALK'!A264" TargetMode="External" Id="rId267"/><Relationship Type="http://schemas.openxmlformats.org/officeDocument/2006/relationships/hyperlink" Target="#'08 CROSSWALK'!A265" TargetMode="External" Id="rId268"/><Relationship Type="http://schemas.openxmlformats.org/officeDocument/2006/relationships/hyperlink" Target="#'08 CROSSWALK'!A266" TargetMode="External" Id="rId269"/><Relationship Type="http://schemas.openxmlformats.org/officeDocument/2006/relationships/hyperlink" Target="#'08 CROSSWALK'!A267" TargetMode="External" Id="rId270"/><Relationship Type="http://schemas.openxmlformats.org/officeDocument/2006/relationships/hyperlink" Target="#'08 CROSSWALK'!A268" TargetMode="External" Id="rId271"/><Relationship Type="http://schemas.openxmlformats.org/officeDocument/2006/relationships/hyperlink" Target="#'08 CROSSWALK'!A269" TargetMode="External" Id="rId272"/><Relationship Type="http://schemas.openxmlformats.org/officeDocument/2006/relationships/hyperlink" Target="#'08 CROSSWALK'!A270" TargetMode="External" Id="rId273"/><Relationship Type="http://schemas.openxmlformats.org/officeDocument/2006/relationships/hyperlink" Target="#'08 CROSSWALK'!A271" TargetMode="External" Id="rId274"/><Relationship Type="http://schemas.openxmlformats.org/officeDocument/2006/relationships/hyperlink" Target="#'08 CROSSWALK'!A272" TargetMode="External" Id="rId275"/><Relationship Type="http://schemas.openxmlformats.org/officeDocument/2006/relationships/hyperlink" Target="#'08 CROSSWALK'!A273" TargetMode="External" Id="rId276"/><Relationship Type="http://schemas.openxmlformats.org/officeDocument/2006/relationships/hyperlink" Target="#'08 CROSSWALK'!A274" TargetMode="External" Id="rId277"/><Relationship Type="http://schemas.openxmlformats.org/officeDocument/2006/relationships/hyperlink" Target="#'08 CROSSWALK'!A275" TargetMode="External" Id="rId278"/><Relationship Type="http://schemas.openxmlformats.org/officeDocument/2006/relationships/hyperlink" Target="#'08 CROSSWALK'!A276" TargetMode="External" Id="rId279"/><Relationship Type="http://schemas.openxmlformats.org/officeDocument/2006/relationships/hyperlink" Target="#'08 CROSSWALK'!A277" TargetMode="External" Id="rId280"/><Relationship Type="http://schemas.openxmlformats.org/officeDocument/2006/relationships/hyperlink" Target="#'08 CROSSWALK'!A278" TargetMode="External" Id="rId281"/><Relationship Type="http://schemas.openxmlformats.org/officeDocument/2006/relationships/hyperlink" Target="#'08 CROSSWALK'!A279" TargetMode="External" Id="rId282"/><Relationship Type="http://schemas.openxmlformats.org/officeDocument/2006/relationships/hyperlink" Target="#'08 CROSSWALK'!A280" TargetMode="External" Id="rId283"/><Relationship Type="http://schemas.openxmlformats.org/officeDocument/2006/relationships/hyperlink" Target="#'08 CROSSWALK'!A281" TargetMode="External" Id="rId284"/><Relationship Type="http://schemas.openxmlformats.org/officeDocument/2006/relationships/hyperlink" Target="#'08 CROSSWALK'!A282" TargetMode="External" Id="rId285"/><Relationship Type="http://schemas.openxmlformats.org/officeDocument/2006/relationships/hyperlink" Target="#'08 CROSSWALK'!A283" TargetMode="External" Id="rId286"/><Relationship Type="http://schemas.openxmlformats.org/officeDocument/2006/relationships/hyperlink" Target="#'08 CROSSWALK'!A284" TargetMode="External" Id="rId287"/><Relationship Type="http://schemas.openxmlformats.org/officeDocument/2006/relationships/hyperlink" Target="#'08 CROSSWALK'!A285" TargetMode="External" Id="rId288"/><Relationship Type="http://schemas.openxmlformats.org/officeDocument/2006/relationships/hyperlink" Target="#'08 CROSSWALK'!A286" TargetMode="External" Id="rId289"/><Relationship Type="http://schemas.openxmlformats.org/officeDocument/2006/relationships/hyperlink" Target="#'08 CROSSWALK'!A287" TargetMode="External" Id="rId290"/><Relationship Type="http://schemas.openxmlformats.org/officeDocument/2006/relationships/hyperlink" Target="#'08 CROSSWALK'!A288" TargetMode="External" Id="rId291"/><Relationship Type="http://schemas.openxmlformats.org/officeDocument/2006/relationships/hyperlink" Target="#'08 CROSSWALK'!A289" TargetMode="External" Id="rId292"/><Relationship Type="http://schemas.openxmlformats.org/officeDocument/2006/relationships/hyperlink" Target="#'08 CROSSWALK'!A290" TargetMode="External" Id="rId293"/><Relationship Type="http://schemas.openxmlformats.org/officeDocument/2006/relationships/hyperlink" Target="#'08 CROSSWALK'!A291" TargetMode="External" Id="rId294"/><Relationship Type="http://schemas.openxmlformats.org/officeDocument/2006/relationships/hyperlink" Target="#'08 CROSSWALK'!A292" TargetMode="External" Id="rId295"/><Relationship Type="http://schemas.openxmlformats.org/officeDocument/2006/relationships/hyperlink" Target="#'08 CROSSWALK'!A293" TargetMode="External" Id="rId296"/><Relationship Type="http://schemas.openxmlformats.org/officeDocument/2006/relationships/hyperlink" Target="#'08 CROSSWALK'!A294" TargetMode="External" Id="rId297"/><Relationship Type="http://schemas.openxmlformats.org/officeDocument/2006/relationships/hyperlink" Target="#'08 CROSSWALK'!A295" TargetMode="External" Id="rId298"/><Relationship Type="http://schemas.openxmlformats.org/officeDocument/2006/relationships/hyperlink" Target="#'08 CROSSWALK'!A296" TargetMode="External" Id="rId299"/><Relationship Type="http://schemas.openxmlformats.org/officeDocument/2006/relationships/hyperlink" Target="#'08 CROSSWALK'!A297" TargetMode="External" Id="rId300"/><Relationship Type="http://schemas.openxmlformats.org/officeDocument/2006/relationships/hyperlink" Target="#'08 CROSSWALK'!A298" TargetMode="External" Id="rId301"/><Relationship Type="http://schemas.openxmlformats.org/officeDocument/2006/relationships/hyperlink" Target="#'08 CROSSWALK'!A299" TargetMode="External" Id="rId302"/><Relationship Type="http://schemas.openxmlformats.org/officeDocument/2006/relationships/hyperlink" Target="#'08 CROSSWALK'!A300" TargetMode="External" Id="rId303"/><Relationship Type="http://schemas.openxmlformats.org/officeDocument/2006/relationships/hyperlink" Target="#'08 CROSSWALK'!A301" TargetMode="External" Id="rId304"/><Relationship Type="http://schemas.openxmlformats.org/officeDocument/2006/relationships/hyperlink" Target="#'08 CROSSWALK'!A302" TargetMode="External" Id="rId305"/><Relationship Type="http://schemas.openxmlformats.org/officeDocument/2006/relationships/hyperlink" Target="#'08 CROSSWALK'!A303" TargetMode="External" Id="rId306"/><Relationship Type="http://schemas.openxmlformats.org/officeDocument/2006/relationships/hyperlink" Target="#'08 CROSSWALK'!A304" TargetMode="External" Id="rId307"/><Relationship Type="http://schemas.openxmlformats.org/officeDocument/2006/relationships/hyperlink" Target="#'08 CROSSWALK'!A305" TargetMode="External" Id="rId308"/><Relationship Type="http://schemas.openxmlformats.org/officeDocument/2006/relationships/hyperlink" Target="#'08 CROSSWALK'!A306" TargetMode="External" Id="rId309"/><Relationship Type="http://schemas.openxmlformats.org/officeDocument/2006/relationships/hyperlink" Target="#'08 CROSSWALK'!A307" TargetMode="External" Id="rId310"/><Relationship Type="http://schemas.openxmlformats.org/officeDocument/2006/relationships/hyperlink" Target="#'08 CROSSWALK'!A308" TargetMode="External" Id="rId311"/><Relationship Type="http://schemas.openxmlformats.org/officeDocument/2006/relationships/hyperlink" Target="#'08 CROSSWALK'!A309" TargetMode="External" Id="rId312"/><Relationship Type="http://schemas.openxmlformats.org/officeDocument/2006/relationships/hyperlink" Target="#'08 CROSSWALK'!A310" TargetMode="External" Id="rId313"/><Relationship Type="http://schemas.openxmlformats.org/officeDocument/2006/relationships/hyperlink" Target="#'08 CROSSWALK'!A311" TargetMode="External" Id="rId314"/><Relationship Type="http://schemas.openxmlformats.org/officeDocument/2006/relationships/hyperlink" Target="#'08 CROSSWALK'!A312" TargetMode="External" Id="rId315"/><Relationship Type="http://schemas.openxmlformats.org/officeDocument/2006/relationships/hyperlink" Target="#'08 CROSSWALK'!A313" TargetMode="External" Id="rId316"/><Relationship Type="http://schemas.openxmlformats.org/officeDocument/2006/relationships/hyperlink" Target="#'08 CROSSWALK'!A314" TargetMode="External" Id="rId317"/><Relationship Type="http://schemas.openxmlformats.org/officeDocument/2006/relationships/hyperlink" Target="#'08 CROSSWALK'!A315" TargetMode="External" Id="rId318"/><Relationship Type="http://schemas.openxmlformats.org/officeDocument/2006/relationships/hyperlink" Target="#'08 CROSSWALK'!A316" TargetMode="External" Id="rId319"/><Relationship Type="http://schemas.openxmlformats.org/officeDocument/2006/relationships/hyperlink" Target="#'08 CROSSWALK'!A317" TargetMode="External" Id="rId320"/><Relationship Type="http://schemas.openxmlformats.org/officeDocument/2006/relationships/hyperlink" Target="#'08 CROSSWALK'!A318" TargetMode="External" Id="rId321"/><Relationship Type="http://schemas.openxmlformats.org/officeDocument/2006/relationships/hyperlink" Target="#'08 CROSSWALK'!A319" TargetMode="External" Id="rId322"/><Relationship Type="http://schemas.openxmlformats.org/officeDocument/2006/relationships/hyperlink" Target="#'08 CROSSWALK'!A320" TargetMode="External" Id="rId323"/><Relationship Type="http://schemas.openxmlformats.org/officeDocument/2006/relationships/hyperlink" Target="#'08 CROSSWALK'!A321" TargetMode="External" Id="rId324"/><Relationship Type="http://schemas.openxmlformats.org/officeDocument/2006/relationships/hyperlink" Target="#'08 CROSSWALK'!A322" TargetMode="External" Id="rId325"/><Relationship Type="http://schemas.openxmlformats.org/officeDocument/2006/relationships/hyperlink" Target="#'08 CROSSWALK'!A323" TargetMode="External" Id="rId326"/><Relationship Type="http://schemas.openxmlformats.org/officeDocument/2006/relationships/hyperlink" Target="#'08 CROSSWALK'!A324" TargetMode="External" Id="rId327"/><Relationship Type="http://schemas.openxmlformats.org/officeDocument/2006/relationships/hyperlink" Target="#'08 CROSSWALK'!A325" TargetMode="External" Id="rId328"/><Relationship Type="http://schemas.openxmlformats.org/officeDocument/2006/relationships/hyperlink" Target="#'08 CROSSWALK'!A326" TargetMode="External" Id="rId329"/><Relationship Type="http://schemas.openxmlformats.org/officeDocument/2006/relationships/hyperlink" Target="#'08 CROSSWALK'!A327" TargetMode="External" Id="rId330"/><Relationship Type="http://schemas.openxmlformats.org/officeDocument/2006/relationships/hyperlink" Target="#'08 CROSSWALK'!A328" TargetMode="External" Id="rId331"/><Relationship Type="http://schemas.openxmlformats.org/officeDocument/2006/relationships/hyperlink" Target="#'08 CROSSWALK'!A329" TargetMode="External" Id="rId332"/><Relationship Type="http://schemas.openxmlformats.org/officeDocument/2006/relationships/hyperlink" Target="#'08 CROSSWALK'!A330" TargetMode="External" Id="rId333"/><Relationship Type="http://schemas.openxmlformats.org/officeDocument/2006/relationships/hyperlink" Target="#'08 CROSSWALK'!A331" TargetMode="External" Id="rId334"/><Relationship Type="http://schemas.openxmlformats.org/officeDocument/2006/relationships/hyperlink" Target="#'08 CROSSWALK'!A332" TargetMode="External" Id="rId335"/><Relationship Type="http://schemas.openxmlformats.org/officeDocument/2006/relationships/hyperlink" Target="#'08 CROSSWALK'!A333" TargetMode="External" Id="rId336"/><Relationship Type="http://schemas.openxmlformats.org/officeDocument/2006/relationships/hyperlink" Target="#'08 CROSSWALK'!A334" TargetMode="External" Id="rId337"/><Relationship Type="http://schemas.openxmlformats.org/officeDocument/2006/relationships/hyperlink" Target="#'08 CROSSWALK'!A335" TargetMode="External" Id="rId338"/><Relationship Type="http://schemas.openxmlformats.org/officeDocument/2006/relationships/hyperlink" Target="#'08 CROSSWALK'!A336" TargetMode="External" Id="rId339"/><Relationship Type="http://schemas.openxmlformats.org/officeDocument/2006/relationships/hyperlink" Target="#'08 CROSSWALK'!A337" TargetMode="External" Id="rId340"/><Relationship Type="http://schemas.openxmlformats.org/officeDocument/2006/relationships/hyperlink" Target="#'08 CROSSWALK'!A338" TargetMode="External" Id="rId341"/><Relationship Type="http://schemas.openxmlformats.org/officeDocument/2006/relationships/hyperlink" Target="#'08 CROSSWALK'!A339" TargetMode="External" Id="rId342"/><Relationship Type="http://schemas.openxmlformats.org/officeDocument/2006/relationships/hyperlink" Target="#'08 CROSSWALK'!A340" TargetMode="External" Id="rId343"/><Relationship Type="http://schemas.openxmlformats.org/officeDocument/2006/relationships/hyperlink" Target="#'08 CROSSWALK'!A341" TargetMode="External" Id="rId344"/><Relationship Type="http://schemas.openxmlformats.org/officeDocument/2006/relationships/hyperlink" Target="#'08 CROSSWALK'!A342" TargetMode="External" Id="rId345"/><Relationship Type="http://schemas.openxmlformats.org/officeDocument/2006/relationships/hyperlink" Target="#'08 CROSSWALK'!A343" TargetMode="External" Id="rId346"/><Relationship Type="http://schemas.openxmlformats.org/officeDocument/2006/relationships/hyperlink" Target="#'08 CROSSWALK'!A344" TargetMode="External" Id="rId347"/><Relationship Type="http://schemas.openxmlformats.org/officeDocument/2006/relationships/hyperlink" Target="#'08 CROSSWALK'!A345" TargetMode="External" Id="rId348"/><Relationship Type="http://schemas.openxmlformats.org/officeDocument/2006/relationships/hyperlink" Target="#'08 CROSSWALK'!A346" TargetMode="External" Id="rId349"/><Relationship Type="http://schemas.openxmlformats.org/officeDocument/2006/relationships/hyperlink" Target="#'08 CROSSWALK'!A347" TargetMode="External" Id="rId350"/><Relationship Type="http://schemas.openxmlformats.org/officeDocument/2006/relationships/hyperlink" Target="#'08 CROSSWALK'!A348" TargetMode="External" Id="rId351"/><Relationship Type="http://schemas.openxmlformats.org/officeDocument/2006/relationships/hyperlink" Target="#'08 CROSSWALK'!A349" TargetMode="External" Id="rId352"/><Relationship Type="http://schemas.openxmlformats.org/officeDocument/2006/relationships/hyperlink" Target="#'08 CROSSWALK'!A350" TargetMode="External" Id="rId353"/><Relationship Type="http://schemas.openxmlformats.org/officeDocument/2006/relationships/hyperlink" Target="#'08 CROSSWALK'!A351" TargetMode="External" Id="rId354"/><Relationship Type="http://schemas.openxmlformats.org/officeDocument/2006/relationships/hyperlink" Target="#'08 CROSSWALK'!A352" TargetMode="External" Id="rId355"/><Relationship Type="http://schemas.openxmlformats.org/officeDocument/2006/relationships/hyperlink" Target="#'08 CROSSWALK'!A353" TargetMode="External" Id="rId356"/><Relationship Type="http://schemas.openxmlformats.org/officeDocument/2006/relationships/hyperlink" Target="#'08 CROSSWALK'!A354" TargetMode="External" Id="rId357"/><Relationship Type="http://schemas.openxmlformats.org/officeDocument/2006/relationships/hyperlink" Target="#'08 CROSSWALK'!A355" TargetMode="External" Id="rId358"/><Relationship Type="http://schemas.openxmlformats.org/officeDocument/2006/relationships/hyperlink" Target="#'08 CROSSWALK'!A356" TargetMode="External" Id="rId359"/><Relationship Type="http://schemas.openxmlformats.org/officeDocument/2006/relationships/hyperlink" Target="#'08 CROSSWALK'!A357" TargetMode="External" Id="rId360"/><Relationship Type="http://schemas.openxmlformats.org/officeDocument/2006/relationships/hyperlink" Target="#'08 CROSSWALK'!A358" TargetMode="External" Id="rId361"/><Relationship Type="http://schemas.openxmlformats.org/officeDocument/2006/relationships/hyperlink" Target="#'08 CROSSWALK'!A359" TargetMode="External" Id="rId362"/><Relationship Type="http://schemas.openxmlformats.org/officeDocument/2006/relationships/hyperlink" Target="#'08 CROSSWALK'!A360" TargetMode="External" Id="rId363"/><Relationship Type="http://schemas.openxmlformats.org/officeDocument/2006/relationships/hyperlink" Target="#'08 CROSSWALK'!A361" TargetMode="External" Id="rId364"/><Relationship Type="http://schemas.openxmlformats.org/officeDocument/2006/relationships/hyperlink" Target="#'08 CROSSWALK'!A362" TargetMode="External" Id="rId365"/><Relationship Type="http://schemas.openxmlformats.org/officeDocument/2006/relationships/hyperlink" Target="#'08 CROSSWALK'!A363" TargetMode="External" Id="rId366"/><Relationship Type="http://schemas.openxmlformats.org/officeDocument/2006/relationships/hyperlink" Target="#'08 CROSSWALK'!A364" TargetMode="External" Id="rId367"/><Relationship Type="http://schemas.openxmlformats.org/officeDocument/2006/relationships/hyperlink" Target="#'08 CROSSWALK'!A365" TargetMode="External" Id="rId368"/><Relationship Type="http://schemas.openxmlformats.org/officeDocument/2006/relationships/hyperlink" Target="#'08 CROSSWALK'!A366" TargetMode="External" Id="rId369"/><Relationship Type="http://schemas.openxmlformats.org/officeDocument/2006/relationships/hyperlink" Target="#'08 CROSSWALK'!A367" TargetMode="External" Id="rId370"/><Relationship Type="http://schemas.openxmlformats.org/officeDocument/2006/relationships/hyperlink" Target="#'08 CROSSWALK'!A368" TargetMode="External" Id="rId371"/><Relationship Type="http://schemas.openxmlformats.org/officeDocument/2006/relationships/hyperlink" Target="#'08 CROSSWALK'!A369" TargetMode="External" Id="rId372"/><Relationship Type="http://schemas.openxmlformats.org/officeDocument/2006/relationships/hyperlink" Target="#'08 CROSSWALK'!A370" TargetMode="External" Id="rId373"/><Relationship Type="http://schemas.openxmlformats.org/officeDocument/2006/relationships/hyperlink" Target="#'08 CROSSWALK'!A371" TargetMode="External" Id="rId374"/><Relationship Type="http://schemas.openxmlformats.org/officeDocument/2006/relationships/hyperlink" Target="#'08 CROSSWALK'!A372" TargetMode="External" Id="rId375"/><Relationship Type="http://schemas.openxmlformats.org/officeDocument/2006/relationships/hyperlink" Target="#'08 CROSSWALK'!A373" TargetMode="External" Id="rId376"/><Relationship Type="http://schemas.openxmlformats.org/officeDocument/2006/relationships/hyperlink" Target="#'08 CROSSWALK'!A374" TargetMode="External" Id="rId377"/><Relationship Type="http://schemas.openxmlformats.org/officeDocument/2006/relationships/hyperlink" Target="#'08 CROSSWALK'!A375" TargetMode="External" Id="rId378"/><Relationship Type="http://schemas.openxmlformats.org/officeDocument/2006/relationships/hyperlink" Target="#'08 CROSSWALK'!A376" TargetMode="External" Id="rId379"/><Relationship Type="http://schemas.openxmlformats.org/officeDocument/2006/relationships/hyperlink" Target="#'08 CROSSWALK'!A377" TargetMode="External" Id="rId380"/><Relationship Type="http://schemas.openxmlformats.org/officeDocument/2006/relationships/hyperlink" Target="#'08 CROSSWALK'!A378" TargetMode="External" Id="rId381"/><Relationship Type="http://schemas.openxmlformats.org/officeDocument/2006/relationships/hyperlink" Target="#'08 CROSSWALK'!A379" TargetMode="External" Id="rId382"/><Relationship Type="http://schemas.openxmlformats.org/officeDocument/2006/relationships/hyperlink" Target="#'08 CROSSWALK'!A380" TargetMode="External" Id="rId383"/><Relationship Type="http://schemas.openxmlformats.org/officeDocument/2006/relationships/hyperlink" Target="#'08 CROSSWALK'!A381" TargetMode="External" Id="rId384"/><Relationship Type="http://schemas.openxmlformats.org/officeDocument/2006/relationships/hyperlink" Target="#'08 CROSSWALK'!A382" TargetMode="External" Id="rId385"/><Relationship Type="http://schemas.openxmlformats.org/officeDocument/2006/relationships/hyperlink" Target="#'08 CROSSWALK'!A383" TargetMode="External" Id="rId386"/><Relationship Type="http://schemas.openxmlformats.org/officeDocument/2006/relationships/hyperlink" Target="#'08 CROSSWALK'!A384" TargetMode="External" Id="rId387"/><Relationship Type="http://schemas.openxmlformats.org/officeDocument/2006/relationships/hyperlink" Target="#'08 CROSSWALK'!A385" TargetMode="External" Id="rId388"/><Relationship Type="http://schemas.openxmlformats.org/officeDocument/2006/relationships/hyperlink" Target="#'08 CROSSWALK'!A386" TargetMode="External" Id="rId389"/><Relationship Type="http://schemas.openxmlformats.org/officeDocument/2006/relationships/hyperlink" Target="#'08 CROSSWALK'!A387" TargetMode="External" Id="rId390"/><Relationship Type="http://schemas.openxmlformats.org/officeDocument/2006/relationships/hyperlink" Target="#'08 CROSSWALK'!A388" TargetMode="External" Id="rId391"/><Relationship Type="http://schemas.openxmlformats.org/officeDocument/2006/relationships/hyperlink" Target="#'08 CROSSWALK'!A389" TargetMode="External" Id="rId392"/><Relationship Type="http://schemas.openxmlformats.org/officeDocument/2006/relationships/hyperlink" Target="#'08 CROSSWALK'!A390" TargetMode="External" Id="rId393"/><Relationship Type="http://schemas.openxmlformats.org/officeDocument/2006/relationships/hyperlink" Target="#'08 CROSSWALK'!A391" TargetMode="External" Id="rId394"/><Relationship Type="http://schemas.openxmlformats.org/officeDocument/2006/relationships/hyperlink" Target="#'08 CROSSWALK'!A392" TargetMode="External" Id="rId395"/><Relationship Type="http://schemas.openxmlformats.org/officeDocument/2006/relationships/hyperlink" Target="#'08 CROSSWALK'!A393" TargetMode="External" Id="rId396"/><Relationship Type="http://schemas.openxmlformats.org/officeDocument/2006/relationships/hyperlink" Target="#'08 CROSSWALK'!A394" TargetMode="External" Id="rId397"/><Relationship Type="http://schemas.openxmlformats.org/officeDocument/2006/relationships/hyperlink" Target="#'08 CROSSWALK'!A395" TargetMode="External" Id="rId398"/><Relationship Type="http://schemas.openxmlformats.org/officeDocument/2006/relationships/hyperlink" Target="#'08 CROSSWALK'!A396" TargetMode="External" Id="rId399"/><Relationship Type="http://schemas.openxmlformats.org/officeDocument/2006/relationships/hyperlink" Target="#'08 CROSSWALK'!A397" TargetMode="External" Id="rId400"/><Relationship Type="http://schemas.openxmlformats.org/officeDocument/2006/relationships/hyperlink" Target="#'08 CROSSWALK'!A398" TargetMode="External" Id="rId401"/><Relationship Type="http://schemas.openxmlformats.org/officeDocument/2006/relationships/hyperlink" Target="#'08 CROSSWALK'!A399" TargetMode="External" Id="rId402"/><Relationship Type="http://schemas.openxmlformats.org/officeDocument/2006/relationships/hyperlink" Target="#'08 CROSSWALK'!A400" TargetMode="External" Id="rId403"/><Relationship Type="http://schemas.openxmlformats.org/officeDocument/2006/relationships/hyperlink" Target="#'08 CROSSWALK'!A401" TargetMode="External" Id="rId404"/><Relationship Type="http://schemas.openxmlformats.org/officeDocument/2006/relationships/hyperlink" Target="#'08 CROSSWALK'!A402" TargetMode="External" Id="rId405"/><Relationship Type="http://schemas.openxmlformats.org/officeDocument/2006/relationships/hyperlink" Target="#'08 CROSSWALK'!A403" TargetMode="External" Id="rId406"/><Relationship Type="http://schemas.openxmlformats.org/officeDocument/2006/relationships/hyperlink" Target="#'08 CROSSWALK'!A404" TargetMode="External" Id="rId407"/><Relationship Type="http://schemas.openxmlformats.org/officeDocument/2006/relationships/hyperlink" Target="#'08 CROSSWALK'!A405" TargetMode="External" Id="rId408"/><Relationship Type="http://schemas.openxmlformats.org/officeDocument/2006/relationships/hyperlink" Target="#'08 CROSSWALK'!A406" TargetMode="External" Id="rId409"/><Relationship Type="http://schemas.openxmlformats.org/officeDocument/2006/relationships/hyperlink" Target="#'08 CROSSWALK'!A407" TargetMode="External" Id="rId410"/><Relationship Type="http://schemas.openxmlformats.org/officeDocument/2006/relationships/hyperlink" Target="#'08 CROSSWALK'!A408" TargetMode="External" Id="rId411"/><Relationship Type="http://schemas.openxmlformats.org/officeDocument/2006/relationships/hyperlink" Target="#'08 CROSSWALK'!A409" TargetMode="External" Id="rId412"/><Relationship Type="http://schemas.openxmlformats.org/officeDocument/2006/relationships/hyperlink" Target="#'08 CROSSWALK'!A410" TargetMode="External" Id="rId413"/><Relationship Type="http://schemas.openxmlformats.org/officeDocument/2006/relationships/hyperlink" Target="#'08 CROSSWALK'!A411" TargetMode="External" Id="rId414"/><Relationship Type="http://schemas.openxmlformats.org/officeDocument/2006/relationships/hyperlink" Target="#'08 CROSSWALK'!A412" TargetMode="External" Id="rId415"/><Relationship Type="http://schemas.openxmlformats.org/officeDocument/2006/relationships/hyperlink" Target="#'08 CROSSWALK'!A413" TargetMode="External" Id="rId416"/><Relationship Type="http://schemas.openxmlformats.org/officeDocument/2006/relationships/hyperlink" Target="#'08 CROSSWALK'!A414" TargetMode="External" Id="rId417"/><Relationship Type="http://schemas.openxmlformats.org/officeDocument/2006/relationships/hyperlink" Target="#'08 CROSSWALK'!A415" TargetMode="External" Id="rId418"/><Relationship Type="http://schemas.openxmlformats.org/officeDocument/2006/relationships/hyperlink" Target="#'08 CROSSWALK'!A416" TargetMode="External" Id="rId419"/><Relationship Type="http://schemas.openxmlformats.org/officeDocument/2006/relationships/hyperlink" Target="#'08 CROSSWALK'!A417" TargetMode="External" Id="rId420"/><Relationship Type="http://schemas.openxmlformats.org/officeDocument/2006/relationships/hyperlink" Target="#'08 CROSSWALK'!A418" TargetMode="External" Id="rId421"/><Relationship Type="http://schemas.openxmlformats.org/officeDocument/2006/relationships/hyperlink" Target="#'08 CROSSWALK'!A419" TargetMode="External" Id="rId422"/><Relationship Type="http://schemas.openxmlformats.org/officeDocument/2006/relationships/hyperlink" Target="#'08 CROSSWALK'!A420" TargetMode="External" Id="rId423"/><Relationship Type="http://schemas.openxmlformats.org/officeDocument/2006/relationships/hyperlink" Target="#'08 CROSSWALK'!A421" TargetMode="External" Id="rId424"/><Relationship Type="http://schemas.openxmlformats.org/officeDocument/2006/relationships/hyperlink" Target="#'08 CROSSWALK'!A422" TargetMode="External" Id="rId425"/><Relationship Type="http://schemas.openxmlformats.org/officeDocument/2006/relationships/hyperlink" Target="#'08 CROSSWALK'!A423" TargetMode="External" Id="rId426"/><Relationship Type="http://schemas.openxmlformats.org/officeDocument/2006/relationships/hyperlink" Target="#'08 CROSSWALK'!A424" TargetMode="External" Id="rId427"/><Relationship Type="http://schemas.openxmlformats.org/officeDocument/2006/relationships/hyperlink" Target="#'08 CROSSWALK'!A425" TargetMode="External" Id="rId428"/><Relationship Type="http://schemas.openxmlformats.org/officeDocument/2006/relationships/hyperlink" Target="#'08 CROSSWALK'!A426" TargetMode="External" Id="rId429"/><Relationship Type="http://schemas.openxmlformats.org/officeDocument/2006/relationships/hyperlink" Target="#'08 CROSSWALK'!A427" TargetMode="External" Id="rId430"/><Relationship Type="http://schemas.openxmlformats.org/officeDocument/2006/relationships/hyperlink" Target="#'08 CROSSWALK'!A428" TargetMode="External" Id="rId431"/><Relationship Type="http://schemas.openxmlformats.org/officeDocument/2006/relationships/hyperlink" Target="#'08 CROSSWALK'!A429" TargetMode="External" Id="rId432"/><Relationship Type="http://schemas.openxmlformats.org/officeDocument/2006/relationships/hyperlink" Target="#'08 CROSSWALK'!A430" TargetMode="External" Id="rId433"/><Relationship Type="http://schemas.openxmlformats.org/officeDocument/2006/relationships/hyperlink" Target="#'08 CROSSWALK'!A431" TargetMode="External" Id="rId434"/><Relationship Type="http://schemas.openxmlformats.org/officeDocument/2006/relationships/hyperlink" Target="#'08 CROSSWALK'!A432" TargetMode="External" Id="rId435"/><Relationship Type="http://schemas.openxmlformats.org/officeDocument/2006/relationships/hyperlink" Target="#'08 CROSSWALK'!A433" TargetMode="External" Id="rId436"/><Relationship Type="http://schemas.openxmlformats.org/officeDocument/2006/relationships/hyperlink" Target="#'08 CROSSWALK'!A434" TargetMode="External" Id="rId437"/><Relationship Type="http://schemas.openxmlformats.org/officeDocument/2006/relationships/hyperlink" Target="#'08 CROSSWALK'!A435" TargetMode="External" Id="rId438"/><Relationship Type="http://schemas.openxmlformats.org/officeDocument/2006/relationships/hyperlink" Target="#'08 CROSSWALK'!A436" TargetMode="External" Id="rId439"/><Relationship Type="http://schemas.openxmlformats.org/officeDocument/2006/relationships/hyperlink" Target="#'08 CROSSWALK'!A437" TargetMode="External" Id="rId440"/><Relationship Type="http://schemas.openxmlformats.org/officeDocument/2006/relationships/hyperlink" Target="#'08 CROSSWALK'!A438" TargetMode="External" Id="rId441"/><Relationship Type="http://schemas.openxmlformats.org/officeDocument/2006/relationships/hyperlink" Target="#'08 CROSSWALK'!A439" TargetMode="External" Id="rId442"/><Relationship Type="http://schemas.openxmlformats.org/officeDocument/2006/relationships/hyperlink" Target="#'08 CROSSWALK'!A440" TargetMode="External" Id="rId443"/><Relationship Type="http://schemas.openxmlformats.org/officeDocument/2006/relationships/hyperlink" Target="#'08 CROSSWALK'!A441" TargetMode="External" Id="rId444"/><Relationship Type="http://schemas.openxmlformats.org/officeDocument/2006/relationships/hyperlink" Target="#'08 CROSSWALK'!A442" TargetMode="External" Id="rId445"/><Relationship Type="http://schemas.openxmlformats.org/officeDocument/2006/relationships/hyperlink" Target="#'08 CROSSWALK'!A443" TargetMode="External" Id="rId446"/><Relationship Type="http://schemas.openxmlformats.org/officeDocument/2006/relationships/hyperlink" Target="#'08 CROSSWALK'!A444" TargetMode="External" Id="rId447"/><Relationship Type="http://schemas.openxmlformats.org/officeDocument/2006/relationships/hyperlink" Target="#'08 CROSSWALK'!A445" TargetMode="External" Id="rId448"/><Relationship Type="http://schemas.openxmlformats.org/officeDocument/2006/relationships/hyperlink" Target="#'08 CROSSWALK'!A446" TargetMode="External" Id="rId449"/><Relationship Type="http://schemas.openxmlformats.org/officeDocument/2006/relationships/hyperlink" Target="#'08 CROSSWALK'!A447" TargetMode="External" Id="rId450"/><Relationship Type="http://schemas.openxmlformats.org/officeDocument/2006/relationships/hyperlink" Target="#'08 CROSSWALK'!A448" TargetMode="External" Id="rId451"/><Relationship Type="http://schemas.openxmlformats.org/officeDocument/2006/relationships/hyperlink" Target="#'08 CROSSWALK'!A449" TargetMode="External" Id="rId452"/><Relationship Type="http://schemas.openxmlformats.org/officeDocument/2006/relationships/hyperlink" Target="#'08 CROSSWALK'!A450" TargetMode="External" Id="rId453"/><Relationship Type="http://schemas.openxmlformats.org/officeDocument/2006/relationships/hyperlink" Target="#'08 CROSSWALK'!A451" TargetMode="External" Id="rId454"/><Relationship Type="http://schemas.openxmlformats.org/officeDocument/2006/relationships/hyperlink" Target="#'08 CROSSWALK'!A452" TargetMode="External" Id="rId455"/><Relationship Type="http://schemas.openxmlformats.org/officeDocument/2006/relationships/hyperlink" Target="#'08 CROSSWALK'!A453" TargetMode="External" Id="rId456"/><Relationship Type="http://schemas.openxmlformats.org/officeDocument/2006/relationships/hyperlink" Target="#'08 CROSSWALK'!A454" TargetMode="External" Id="rId457"/><Relationship Type="http://schemas.openxmlformats.org/officeDocument/2006/relationships/hyperlink" Target="#'08 CROSSWALK'!A455" TargetMode="External" Id="rId458"/><Relationship Type="http://schemas.openxmlformats.org/officeDocument/2006/relationships/hyperlink" Target="#'08 CROSSWALK'!A456" TargetMode="External" Id="rId459"/><Relationship Type="http://schemas.openxmlformats.org/officeDocument/2006/relationships/hyperlink" Target="#'08 CROSSWALK'!A457" TargetMode="External" Id="rId460"/><Relationship Type="http://schemas.openxmlformats.org/officeDocument/2006/relationships/hyperlink" Target="#'08 CROSSWALK'!A458" TargetMode="External" Id="rId461"/><Relationship Type="http://schemas.openxmlformats.org/officeDocument/2006/relationships/hyperlink" Target="#'08 CROSSWALK'!A459" TargetMode="External" Id="rId462"/><Relationship Type="http://schemas.openxmlformats.org/officeDocument/2006/relationships/hyperlink" Target="#'08 CROSSWALK'!A460" TargetMode="External" Id="rId463"/><Relationship Type="http://schemas.openxmlformats.org/officeDocument/2006/relationships/hyperlink" Target="#'08 CROSSWALK'!A461" TargetMode="External" Id="rId464"/><Relationship Type="http://schemas.openxmlformats.org/officeDocument/2006/relationships/hyperlink" Target="#'08 CROSSWALK'!A462" TargetMode="External" Id="rId465"/><Relationship Type="http://schemas.openxmlformats.org/officeDocument/2006/relationships/hyperlink" Target="#'08 CROSSWALK'!A463" TargetMode="External" Id="rId466"/><Relationship Type="http://schemas.openxmlformats.org/officeDocument/2006/relationships/hyperlink" Target="#'08 CROSSWALK'!A464" TargetMode="External" Id="rId467"/><Relationship Type="http://schemas.openxmlformats.org/officeDocument/2006/relationships/hyperlink" Target="#'08 CROSSWALK'!A465" TargetMode="External" Id="rId468"/><Relationship Type="http://schemas.openxmlformats.org/officeDocument/2006/relationships/hyperlink" Target="#'08 CROSSWALK'!A466" TargetMode="External" Id="rId469"/><Relationship Type="http://schemas.openxmlformats.org/officeDocument/2006/relationships/hyperlink" Target="#'08 CROSSWALK'!A467" TargetMode="External" Id="rId470"/><Relationship Type="http://schemas.openxmlformats.org/officeDocument/2006/relationships/hyperlink" Target="#'08 CROSSWALK'!A468" TargetMode="External" Id="rId471"/><Relationship Type="http://schemas.openxmlformats.org/officeDocument/2006/relationships/hyperlink" Target="#'08 CROSSWALK'!A469" TargetMode="External" Id="rId472"/><Relationship Type="http://schemas.openxmlformats.org/officeDocument/2006/relationships/hyperlink" Target="#'08 CROSSWALK'!A470" TargetMode="External" Id="rId473"/><Relationship Type="http://schemas.openxmlformats.org/officeDocument/2006/relationships/hyperlink" Target="#'08 CROSSWALK'!A471" TargetMode="External" Id="rId474"/><Relationship Type="http://schemas.openxmlformats.org/officeDocument/2006/relationships/hyperlink" Target="#'08 CROSSWALK'!A472" TargetMode="External" Id="rId475"/><Relationship Type="http://schemas.openxmlformats.org/officeDocument/2006/relationships/hyperlink" Target="#'08 CROSSWALK'!A473" TargetMode="External" Id="rId476"/><Relationship Type="http://schemas.openxmlformats.org/officeDocument/2006/relationships/hyperlink" Target="#'08 CROSSWALK'!A474" TargetMode="External" Id="rId477"/><Relationship Type="http://schemas.openxmlformats.org/officeDocument/2006/relationships/hyperlink" Target="#'08 CROSSWALK'!A475" TargetMode="External" Id="rId478"/><Relationship Type="http://schemas.openxmlformats.org/officeDocument/2006/relationships/hyperlink" Target="#'08 CROSSWALK'!A476" TargetMode="External" Id="rId479"/><Relationship Type="http://schemas.openxmlformats.org/officeDocument/2006/relationships/hyperlink" Target="#'08 CROSSWALK'!A477" TargetMode="External" Id="rId480"/><Relationship Type="http://schemas.openxmlformats.org/officeDocument/2006/relationships/hyperlink" Target="#'08 CROSSWALK'!A478" TargetMode="External" Id="rId481"/><Relationship Type="http://schemas.openxmlformats.org/officeDocument/2006/relationships/hyperlink" Target="#'08 CROSSWALK'!A479" TargetMode="External" Id="rId482"/><Relationship Type="http://schemas.openxmlformats.org/officeDocument/2006/relationships/hyperlink" Target="#'08 CROSSWALK'!A480" TargetMode="External" Id="rId483"/><Relationship Type="http://schemas.openxmlformats.org/officeDocument/2006/relationships/hyperlink" Target="#'08 CROSSWALK'!A481" TargetMode="External" Id="rId484"/><Relationship Type="http://schemas.openxmlformats.org/officeDocument/2006/relationships/hyperlink" Target="#'08 CROSSWALK'!A482" TargetMode="External" Id="rId485"/><Relationship Type="http://schemas.openxmlformats.org/officeDocument/2006/relationships/hyperlink" Target="#'08 CROSSWALK'!A483" TargetMode="External" Id="rId486"/><Relationship Type="http://schemas.openxmlformats.org/officeDocument/2006/relationships/hyperlink" Target="#'08 CROSSWALK'!A484" TargetMode="External" Id="rId487"/><Relationship Type="http://schemas.openxmlformats.org/officeDocument/2006/relationships/hyperlink" Target="#'08 CROSSWALK'!A485" TargetMode="External" Id="rId488"/><Relationship Type="http://schemas.openxmlformats.org/officeDocument/2006/relationships/hyperlink" Target="#'08 CROSSWALK'!A486" TargetMode="External" Id="rId489"/><Relationship Type="http://schemas.openxmlformats.org/officeDocument/2006/relationships/hyperlink" Target="#'08 CROSSWALK'!A487" TargetMode="External" Id="rId490"/><Relationship Type="http://schemas.openxmlformats.org/officeDocument/2006/relationships/hyperlink" Target="#'08 CROSSWALK'!A488" TargetMode="External" Id="rId491"/><Relationship Type="http://schemas.openxmlformats.org/officeDocument/2006/relationships/hyperlink" Target="#'08 CROSSWALK'!A489" TargetMode="External" Id="rId492"/><Relationship Type="http://schemas.openxmlformats.org/officeDocument/2006/relationships/hyperlink" Target="#'08 CROSSWALK'!A490" TargetMode="External" Id="rId493"/><Relationship Type="http://schemas.openxmlformats.org/officeDocument/2006/relationships/hyperlink" Target="#'08 CROSSWALK'!A491" TargetMode="External" Id="rId494"/><Relationship Type="http://schemas.openxmlformats.org/officeDocument/2006/relationships/hyperlink" Target="#'08 CROSSWALK'!A492" TargetMode="External" Id="rId495"/><Relationship Type="http://schemas.openxmlformats.org/officeDocument/2006/relationships/hyperlink" Target="#'08 CROSSWALK'!A493" TargetMode="External" Id="rId496"/><Relationship Type="http://schemas.openxmlformats.org/officeDocument/2006/relationships/hyperlink" Target="#'08 CROSSWALK'!A494" TargetMode="External" Id="rId497"/><Relationship Type="http://schemas.openxmlformats.org/officeDocument/2006/relationships/hyperlink" Target="#'08 CROSSWALK'!A495" TargetMode="External" Id="rId498"/><Relationship Type="http://schemas.openxmlformats.org/officeDocument/2006/relationships/hyperlink" Target="#'08 CROSSWALK'!A496" TargetMode="External" Id="rId499"/><Relationship Type="http://schemas.openxmlformats.org/officeDocument/2006/relationships/hyperlink" Target="#'08 CROSSWALK'!A497" TargetMode="External" Id="rId500"/><Relationship Type="http://schemas.openxmlformats.org/officeDocument/2006/relationships/hyperlink" Target="#'08 CROSSWALK'!A498" TargetMode="External" Id="rId501"/><Relationship Type="http://schemas.openxmlformats.org/officeDocument/2006/relationships/hyperlink" Target="#'08 CROSSWALK'!A499" TargetMode="External" Id="rId502"/><Relationship Type="http://schemas.openxmlformats.org/officeDocument/2006/relationships/hyperlink" Target="#'08 CROSSWALK'!A500" TargetMode="External" Id="rId503"/><Relationship Type="http://schemas.openxmlformats.org/officeDocument/2006/relationships/hyperlink" Target="#'08 CROSSWALK'!A501" TargetMode="External" Id="rId504"/><Relationship Type="http://schemas.openxmlformats.org/officeDocument/2006/relationships/hyperlink" Target="#'08 CROSSWALK'!A502" TargetMode="External" Id="rId505"/><Relationship Type="http://schemas.openxmlformats.org/officeDocument/2006/relationships/hyperlink" Target="#'08 CROSSWALK'!A503" TargetMode="External" Id="rId506"/><Relationship Type="http://schemas.openxmlformats.org/officeDocument/2006/relationships/hyperlink" Target="#'08 CROSSWALK'!A504" TargetMode="External" Id="rId507"/><Relationship Type="http://schemas.openxmlformats.org/officeDocument/2006/relationships/hyperlink" Target="#'08 CROSSWALK'!A505" TargetMode="External" Id="rId508"/><Relationship Type="http://schemas.openxmlformats.org/officeDocument/2006/relationships/hyperlink" Target="#'08 CROSSWALK'!A506" TargetMode="External" Id="rId509"/><Relationship Type="http://schemas.openxmlformats.org/officeDocument/2006/relationships/hyperlink" Target="#'08 CROSSWALK'!A507" TargetMode="External" Id="rId510"/><Relationship Type="http://schemas.openxmlformats.org/officeDocument/2006/relationships/hyperlink" Target="#'08 CROSSWALK'!A508" TargetMode="External" Id="rId511"/><Relationship Type="http://schemas.openxmlformats.org/officeDocument/2006/relationships/hyperlink" Target="#'08 CROSSWALK'!A509" TargetMode="External" Id="rId512"/><Relationship Type="http://schemas.openxmlformats.org/officeDocument/2006/relationships/hyperlink" Target="#'08 CROSSWALK'!A510" TargetMode="External" Id="rId513"/><Relationship Type="http://schemas.openxmlformats.org/officeDocument/2006/relationships/hyperlink" Target="#'08 CROSSWALK'!A511" TargetMode="External" Id="rId514"/><Relationship Type="http://schemas.openxmlformats.org/officeDocument/2006/relationships/hyperlink" Target="#'08 CROSSWALK'!A512" TargetMode="External" Id="rId515"/><Relationship Type="http://schemas.openxmlformats.org/officeDocument/2006/relationships/hyperlink" Target="#'08 CROSSWALK'!A513" TargetMode="External" Id="rId516"/><Relationship Type="http://schemas.openxmlformats.org/officeDocument/2006/relationships/hyperlink" Target="#'08 CROSSWALK'!A514" TargetMode="External" Id="rId517"/><Relationship Type="http://schemas.openxmlformats.org/officeDocument/2006/relationships/hyperlink" Target="#'08 CROSSWALK'!A515" TargetMode="External" Id="rId518"/><Relationship Type="http://schemas.openxmlformats.org/officeDocument/2006/relationships/hyperlink" Target="#'08 CROSSWALK'!A516" TargetMode="External" Id="rId519"/><Relationship Type="http://schemas.openxmlformats.org/officeDocument/2006/relationships/hyperlink" Target="#'08 CROSSWALK'!A517" TargetMode="External" Id="rId520"/><Relationship Type="http://schemas.openxmlformats.org/officeDocument/2006/relationships/hyperlink" Target="#'08 CROSSWALK'!A518" TargetMode="External" Id="rId521"/><Relationship Type="http://schemas.openxmlformats.org/officeDocument/2006/relationships/hyperlink" Target="#'08 CROSSWALK'!A519" TargetMode="External" Id="rId522"/><Relationship Type="http://schemas.openxmlformats.org/officeDocument/2006/relationships/hyperlink" Target="#'08 CROSSWALK'!A520" TargetMode="External" Id="rId523"/><Relationship Type="http://schemas.openxmlformats.org/officeDocument/2006/relationships/hyperlink" Target="#'08 CROSSWALK'!A521" TargetMode="External" Id="rId524"/><Relationship Type="http://schemas.openxmlformats.org/officeDocument/2006/relationships/hyperlink" Target="#'08 CROSSWALK'!A522" TargetMode="External" Id="rId525"/><Relationship Type="http://schemas.openxmlformats.org/officeDocument/2006/relationships/hyperlink" Target="#'08 CROSSWALK'!A523" TargetMode="External" Id="rId526"/><Relationship Type="http://schemas.openxmlformats.org/officeDocument/2006/relationships/hyperlink" Target="#'08 CROSSWALK'!A524" TargetMode="External" Id="rId527"/><Relationship Type="http://schemas.openxmlformats.org/officeDocument/2006/relationships/hyperlink" Target="#'08 CROSSWALK'!A525" TargetMode="External" Id="rId528"/><Relationship Type="http://schemas.openxmlformats.org/officeDocument/2006/relationships/hyperlink" Target="#'08 CROSSWALK'!A526" TargetMode="External" Id="rId529"/><Relationship Type="http://schemas.openxmlformats.org/officeDocument/2006/relationships/hyperlink" Target="#'08 CROSSWALK'!A527" TargetMode="External" Id="rId530"/><Relationship Type="http://schemas.openxmlformats.org/officeDocument/2006/relationships/hyperlink" Target="#'08 CROSSWALK'!A528" TargetMode="External" Id="rId531"/><Relationship Type="http://schemas.openxmlformats.org/officeDocument/2006/relationships/hyperlink" Target="#'08 CROSSWALK'!A529" TargetMode="External" Id="rId532"/><Relationship Type="http://schemas.openxmlformats.org/officeDocument/2006/relationships/hyperlink" Target="#'08 CROSSWALK'!A530" TargetMode="External" Id="rId533"/><Relationship Type="http://schemas.openxmlformats.org/officeDocument/2006/relationships/hyperlink" Target="#'08 CROSSWALK'!A531" TargetMode="External" Id="rId534"/><Relationship Type="http://schemas.openxmlformats.org/officeDocument/2006/relationships/hyperlink" Target="#'08 CROSSWALK'!A532" TargetMode="External" Id="rId535"/><Relationship Type="http://schemas.openxmlformats.org/officeDocument/2006/relationships/hyperlink" Target="#'08 CROSSWALK'!A533" TargetMode="External" Id="rId536"/><Relationship Type="http://schemas.openxmlformats.org/officeDocument/2006/relationships/hyperlink" Target="#'08 CROSSWALK'!A534" TargetMode="External" Id="rId537"/><Relationship Type="http://schemas.openxmlformats.org/officeDocument/2006/relationships/hyperlink" Target="#'08 CROSSWALK'!A535" TargetMode="External" Id="rId538"/><Relationship Type="http://schemas.openxmlformats.org/officeDocument/2006/relationships/hyperlink" Target="#'08 CROSSWALK'!A536" TargetMode="External" Id="rId539"/><Relationship Type="http://schemas.openxmlformats.org/officeDocument/2006/relationships/hyperlink" Target="#'08 CROSSWALK'!A537" TargetMode="External" Id="rId540"/><Relationship Type="http://schemas.openxmlformats.org/officeDocument/2006/relationships/hyperlink" Target="#'08 CROSSWALK'!A538" TargetMode="External" Id="rId541"/><Relationship Type="http://schemas.openxmlformats.org/officeDocument/2006/relationships/hyperlink" Target="#'08 CROSSWALK'!A539" TargetMode="External" Id="rId542"/><Relationship Type="http://schemas.openxmlformats.org/officeDocument/2006/relationships/hyperlink" Target="#'08 CROSSWALK'!A540" TargetMode="External" Id="rId543"/><Relationship Type="http://schemas.openxmlformats.org/officeDocument/2006/relationships/hyperlink" Target="#'08 CROSSWALK'!A541" TargetMode="External" Id="rId544"/><Relationship Type="http://schemas.openxmlformats.org/officeDocument/2006/relationships/hyperlink" Target="#'08 CROSSWALK'!A542" TargetMode="External" Id="rId545"/><Relationship Type="http://schemas.openxmlformats.org/officeDocument/2006/relationships/hyperlink" Target="#'08 CROSSWALK'!A543" TargetMode="External" Id="rId546"/><Relationship Type="http://schemas.openxmlformats.org/officeDocument/2006/relationships/hyperlink" Target="#'08 CROSSWALK'!A544" TargetMode="External" Id="rId547"/><Relationship Type="http://schemas.openxmlformats.org/officeDocument/2006/relationships/hyperlink" Target="#'08 CROSSWALK'!A545" TargetMode="External" Id="rId548"/><Relationship Type="http://schemas.openxmlformats.org/officeDocument/2006/relationships/hyperlink" Target="#'08 CROSSWALK'!A546" TargetMode="External" Id="rId549"/><Relationship Type="http://schemas.openxmlformats.org/officeDocument/2006/relationships/hyperlink" Target="#'08 CROSSWALK'!A547" TargetMode="External" Id="rId550"/><Relationship Type="http://schemas.openxmlformats.org/officeDocument/2006/relationships/hyperlink" Target="#'08 CROSSWALK'!A548" TargetMode="External" Id="rId551"/><Relationship Type="http://schemas.openxmlformats.org/officeDocument/2006/relationships/hyperlink" Target="#'08 CROSSWALK'!A549" TargetMode="External" Id="rId552"/><Relationship Type="http://schemas.openxmlformats.org/officeDocument/2006/relationships/hyperlink" Target="#'08 CROSSWALK'!A550" TargetMode="External" Id="rId553"/><Relationship Type="http://schemas.openxmlformats.org/officeDocument/2006/relationships/hyperlink" Target="#'08 CROSSWALK'!A551" TargetMode="External" Id="rId554"/><Relationship Type="http://schemas.openxmlformats.org/officeDocument/2006/relationships/hyperlink" Target="#'08 CROSSWALK'!A552" TargetMode="External" Id="rId555"/><Relationship Type="http://schemas.openxmlformats.org/officeDocument/2006/relationships/hyperlink" Target="#'08 CROSSWALK'!A553" TargetMode="External" Id="rId556"/><Relationship Type="http://schemas.openxmlformats.org/officeDocument/2006/relationships/hyperlink" Target="#'08 CROSSWALK'!A554" TargetMode="External" Id="rId557"/><Relationship Type="http://schemas.openxmlformats.org/officeDocument/2006/relationships/hyperlink" Target="#'08 CROSSWALK'!A555" TargetMode="External" Id="rId558"/><Relationship Type="http://schemas.openxmlformats.org/officeDocument/2006/relationships/hyperlink" Target="#'08 CROSSWALK'!A556" TargetMode="External" Id="rId559"/><Relationship Type="http://schemas.openxmlformats.org/officeDocument/2006/relationships/hyperlink" Target="#'08 CROSSWALK'!A557" TargetMode="External" Id="rId560"/><Relationship Type="http://schemas.openxmlformats.org/officeDocument/2006/relationships/hyperlink" Target="#'08 CROSSWALK'!A558" TargetMode="External" Id="rId561"/><Relationship Type="http://schemas.openxmlformats.org/officeDocument/2006/relationships/hyperlink" Target="#'08 CROSSWALK'!A559" TargetMode="External" Id="rId562"/><Relationship Type="http://schemas.openxmlformats.org/officeDocument/2006/relationships/hyperlink" Target="#'08 CROSSWALK'!A560" TargetMode="External" Id="rId563"/><Relationship Type="http://schemas.openxmlformats.org/officeDocument/2006/relationships/hyperlink" Target="#'08 CROSSWALK'!A561" TargetMode="External" Id="rId564"/><Relationship Type="http://schemas.openxmlformats.org/officeDocument/2006/relationships/hyperlink" Target="#'08 CROSSWALK'!A562" TargetMode="External" Id="rId565"/><Relationship Type="http://schemas.openxmlformats.org/officeDocument/2006/relationships/hyperlink" Target="#'08 CROSSWALK'!A563" TargetMode="External" Id="rId566"/><Relationship Type="http://schemas.openxmlformats.org/officeDocument/2006/relationships/hyperlink" Target="#'08 CROSSWALK'!A564" TargetMode="External" Id="rId567"/><Relationship Type="http://schemas.openxmlformats.org/officeDocument/2006/relationships/hyperlink" Target="#'08 CROSSWALK'!A565" TargetMode="External" Id="rId568"/><Relationship Type="http://schemas.openxmlformats.org/officeDocument/2006/relationships/hyperlink" Target="#'08 CROSSWALK'!A566" TargetMode="External" Id="rId569"/><Relationship Type="http://schemas.openxmlformats.org/officeDocument/2006/relationships/hyperlink" Target="#'08 CROSSWALK'!A567" TargetMode="External" Id="rId570"/><Relationship Type="http://schemas.openxmlformats.org/officeDocument/2006/relationships/hyperlink" Target="#'08 CROSSWALK'!A568" TargetMode="External" Id="rId571"/><Relationship Type="http://schemas.openxmlformats.org/officeDocument/2006/relationships/hyperlink" Target="#'08 CROSSWALK'!A569" TargetMode="External" Id="rId572"/><Relationship Type="http://schemas.openxmlformats.org/officeDocument/2006/relationships/hyperlink" Target="#'08 CROSSWALK'!A570" TargetMode="External" Id="rId573"/><Relationship Type="http://schemas.openxmlformats.org/officeDocument/2006/relationships/hyperlink" Target="#'08 CROSSWALK'!A571" TargetMode="External" Id="rId574"/><Relationship Type="http://schemas.openxmlformats.org/officeDocument/2006/relationships/hyperlink" Target="#'08 CROSSWALK'!A572" TargetMode="External" Id="rId575"/><Relationship Type="http://schemas.openxmlformats.org/officeDocument/2006/relationships/hyperlink" Target="#'08 CROSSWALK'!A573" TargetMode="External" Id="rId576"/><Relationship Type="http://schemas.openxmlformats.org/officeDocument/2006/relationships/hyperlink" Target="#'08 CROSSWALK'!A574" TargetMode="External" Id="rId577"/><Relationship Type="http://schemas.openxmlformats.org/officeDocument/2006/relationships/hyperlink" Target="#'08 CROSSWALK'!A575" TargetMode="External" Id="rId578"/><Relationship Type="http://schemas.openxmlformats.org/officeDocument/2006/relationships/hyperlink" Target="#'08 CROSSWALK'!A576" TargetMode="External" Id="rId579"/><Relationship Type="http://schemas.openxmlformats.org/officeDocument/2006/relationships/hyperlink" Target="#'08 CROSSWALK'!A577" TargetMode="External" Id="rId580"/><Relationship Type="http://schemas.openxmlformats.org/officeDocument/2006/relationships/hyperlink" Target="#'08 CROSSWALK'!A578" TargetMode="External" Id="rId581"/><Relationship Type="http://schemas.openxmlformats.org/officeDocument/2006/relationships/hyperlink" Target="#'08 CROSSWALK'!A579" TargetMode="External" Id="rId582"/><Relationship Type="http://schemas.openxmlformats.org/officeDocument/2006/relationships/hyperlink" Target="#'08 CROSSWALK'!A580" TargetMode="External" Id="rId583"/><Relationship Type="http://schemas.openxmlformats.org/officeDocument/2006/relationships/hyperlink" Target="#'08 CROSSWALK'!A581" TargetMode="External" Id="rId584"/><Relationship Type="http://schemas.openxmlformats.org/officeDocument/2006/relationships/hyperlink" Target="#'08 CROSSWALK'!A582" TargetMode="External" Id="rId585"/><Relationship Type="http://schemas.openxmlformats.org/officeDocument/2006/relationships/hyperlink" Target="#'08 CROSSWALK'!A583" TargetMode="External" Id="rId586"/><Relationship Type="http://schemas.openxmlformats.org/officeDocument/2006/relationships/hyperlink" Target="#'08 CROSSWALK'!A584" TargetMode="External" Id="rId587"/><Relationship Type="http://schemas.openxmlformats.org/officeDocument/2006/relationships/hyperlink" Target="#'08 CROSSWALK'!A585" TargetMode="External" Id="rId588"/><Relationship Type="http://schemas.openxmlformats.org/officeDocument/2006/relationships/hyperlink" Target="#'08 CROSSWALK'!A586" TargetMode="External" Id="rId589"/><Relationship Type="http://schemas.openxmlformats.org/officeDocument/2006/relationships/hyperlink" Target="#'08 CROSSWALK'!A587" TargetMode="External" Id="rId590"/><Relationship Type="http://schemas.openxmlformats.org/officeDocument/2006/relationships/hyperlink" Target="#'08 CROSSWALK'!A588" TargetMode="External" Id="rId591"/><Relationship Type="http://schemas.openxmlformats.org/officeDocument/2006/relationships/hyperlink" Target="#'08 CROSSWALK'!A589" TargetMode="External" Id="rId592"/><Relationship Type="http://schemas.openxmlformats.org/officeDocument/2006/relationships/hyperlink" Target="#'08 CROSSWALK'!A590" TargetMode="External" Id="rId593"/><Relationship Type="http://schemas.openxmlformats.org/officeDocument/2006/relationships/hyperlink" Target="#'08 CROSSWALK'!A591" TargetMode="External" Id="rId594"/><Relationship Type="http://schemas.openxmlformats.org/officeDocument/2006/relationships/hyperlink" Target="#'08 CROSSWALK'!A592" TargetMode="External" Id="rId595"/><Relationship Type="http://schemas.openxmlformats.org/officeDocument/2006/relationships/hyperlink" Target="#'08 CROSSWALK'!A593" TargetMode="External" Id="rId596"/><Relationship Type="http://schemas.openxmlformats.org/officeDocument/2006/relationships/hyperlink" Target="#'08 CROSSWALK'!A594" TargetMode="External" Id="rId597"/><Relationship Type="http://schemas.openxmlformats.org/officeDocument/2006/relationships/hyperlink" Target="#'08 CROSSWALK'!A595" TargetMode="External" Id="rId598"/><Relationship Type="http://schemas.openxmlformats.org/officeDocument/2006/relationships/hyperlink" Target="#'08 CROSSWALK'!A596" TargetMode="External" Id="rId599"/><Relationship Type="http://schemas.openxmlformats.org/officeDocument/2006/relationships/hyperlink" Target="#'08 CROSSWALK'!A597" TargetMode="External" Id="rId600"/><Relationship Type="http://schemas.openxmlformats.org/officeDocument/2006/relationships/hyperlink" Target="#'08 CROSSWALK'!A598" TargetMode="External" Id="rId601"/><Relationship Type="http://schemas.openxmlformats.org/officeDocument/2006/relationships/hyperlink" Target="#'08 CROSSWALK'!A599" TargetMode="External" Id="rId602"/><Relationship Type="http://schemas.openxmlformats.org/officeDocument/2006/relationships/hyperlink" Target="#'08 CROSSWALK'!A600" TargetMode="External" Id="rId603"/><Relationship Type="http://schemas.openxmlformats.org/officeDocument/2006/relationships/hyperlink" Target="#'08 CROSSWALK'!A601" TargetMode="External" Id="rId604"/><Relationship Type="http://schemas.openxmlformats.org/officeDocument/2006/relationships/hyperlink" Target="#'08 CROSSWALK'!A602" TargetMode="External" Id="rId605"/><Relationship Type="http://schemas.openxmlformats.org/officeDocument/2006/relationships/hyperlink" Target="#'08 CROSSWALK'!A603" TargetMode="External" Id="rId606"/><Relationship Type="http://schemas.openxmlformats.org/officeDocument/2006/relationships/hyperlink" Target="#'08 CROSSWALK'!A604" TargetMode="External" Id="rId607"/><Relationship Type="http://schemas.openxmlformats.org/officeDocument/2006/relationships/hyperlink" Target="#'08 CROSSWALK'!A605" TargetMode="External" Id="rId608"/><Relationship Type="http://schemas.openxmlformats.org/officeDocument/2006/relationships/hyperlink" Target="#'08 CROSSWALK'!A606" TargetMode="External" Id="rId609"/><Relationship Type="http://schemas.openxmlformats.org/officeDocument/2006/relationships/hyperlink" Target="#'08 CROSSWALK'!A607" TargetMode="External" Id="rId610"/><Relationship Type="http://schemas.openxmlformats.org/officeDocument/2006/relationships/hyperlink" Target="#'08 CROSSWALK'!A608" TargetMode="External" Id="rId611"/><Relationship Type="http://schemas.openxmlformats.org/officeDocument/2006/relationships/hyperlink" Target="#'08 CROSSWALK'!A609" TargetMode="External" Id="rId612"/><Relationship Type="http://schemas.openxmlformats.org/officeDocument/2006/relationships/hyperlink" Target="#'08 CROSSWALK'!A610" TargetMode="External" Id="rId613"/><Relationship Type="http://schemas.openxmlformats.org/officeDocument/2006/relationships/hyperlink" Target="#'08 CROSSWALK'!A611" TargetMode="External" Id="rId614"/><Relationship Type="http://schemas.openxmlformats.org/officeDocument/2006/relationships/hyperlink" Target="#'08 CROSSWALK'!A612" TargetMode="External" Id="rId615"/><Relationship Type="http://schemas.openxmlformats.org/officeDocument/2006/relationships/hyperlink" Target="#'08 CROSSWALK'!A613" TargetMode="External" Id="rId616"/><Relationship Type="http://schemas.openxmlformats.org/officeDocument/2006/relationships/hyperlink" Target="#'08 CROSSWALK'!A614" TargetMode="External" Id="rId617"/><Relationship Type="http://schemas.openxmlformats.org/officeDocument/2006/relationships/hyperlink" Target="#'08 CROSSWALK'!A615" TargetMode="External" Id="rId618"/><Relationship Type="http://schemas.openxmlformats.org/officeDocument/2006/relationships/hyperlink" Target="#'08 CROSSWALK'!A616" TargetMode="External" Id="rId619"/><Relationship Type="http://schemas.openxmlformats.org/officeDocument/2006/relationships/hyperlink" Target="#'08 CROSSWALK'!A617" TargetMode="External" Id="rId620"/><Relationship Type="http://schemas.openxmlformats.org/officeDocument/2006/relationships/hyperlink" Target="#'08 CROSSWALK'!A618" TargetMode="External" Id="rId621"/><Relationship Type="http://schemas.openxmlformats.org/officeDocument/2006/relationships/hyperlink" Target="#'08 CROSSWALK'!A619" TargetMode="External" Id="rId622"/><Relationship Type="http://schemas.openxmlformats.org/officeDocument/2006/relationships/hyperlink" Target="#'08 CROSSWALK'!A620" TargetMode="External" Id="rId623"/><Relationship Type="http://schemas.openxmlformats.org/officeDocument/2006/relationships/hyperlink" Target="#'08 CROSSWALK'!A621" TargetMode="External" Id="rId624"/><Relationship Type="http://schemas.openxmlformats.org/officeDocument/2006/relationships/hyperlink" Target="#'08 CROSSWALK'!A622" TargetMode="External" Id="rId625"/><Relationship Type="http://schemas.openxmlformats.org/officeDocument/2006/relationships/hyperlink" Target="#'08 CROSSWALK'!A623" TargetMode="External" Id="rId626"/><Relationship Type="http://schemas.openxmlformats.org/officeDocument/2006/relationships/hyperlink" Target="#'08 CROSSWALK'!A624" TargetMode="External" Id="rId627"/><Relationship Type="http://schemas.openxmlformats.org/officeDocument/2006/relationships/hyperlink" Target="#'08 CROSSWALK'!A625" TargetMode="External" Id="rId628"/><Relationship Type="http://schemas.openxmlformats.org/officeDocument/2006/relationships/hyperlink" Target="#'08 CROSSWALK'!A626" TargetMode="External" Id="rId629"/><Relationship Type="http://schemas.openxmlformats.org/officeDocument/2006/relationships/hyperlink" Target="#'08 CROSSWALK'!A627" TargetMode="External" Id="rId630"/><Relationship Type="http://schemas.openxmlformats.org/officeDocument/2006/relationships/hyperlink" Target="#'08 CROSSWALK'!A628" TargetMode="External" Id="rId631"/><Relationship Type="http://schemas.openxmlformats.org/officeDocument/2006/relationships/hyperlink" Target="#'08 CROSSWALK'!A629" TargetMode="External" Id="rId632"/><Relationship Type="http://schemas.openxmlformats.org/officeDocument/2006/relationships/hyperlink" Target="#'08 CROSSWALK'!A630" TargetMode="External" Id="rId633"/><Relationship Type="http://schemas.openxmlformats.org/officeDocument/2006/relationships/hyperlink" Target="#'08 CROSSWALK'!A631" TargetMode="External" Id="rId634"/><Relationship Type="http://schemas.openxmlformats.org/officeDocument/2006/relationships/hyperlink" Target="#'08 CROSSWALK'!A632" TargetMode="External" Id="rId635"/><Relationship Type="http://schemas.openxmlformats.org/officeDocument/2006/relationships/hyperlink" Target="#'08 CROSSWALK'!A633" TargetMode="External" Id="rId636"/><Relationship Type="http://schemas.openxmlformats.org/officeDocument/2006/relationships/hyperlink" Target="#'08 CROSSWALK'!A634" TargetMode="External" Id="rId637"/><Relationship Type="http://schemas.openxmlformats.org/officeDocument/2006/relationships/hyperlink" Target="#'08 CROSSWALK'!A635" TargetMode="External" Id="rId638"/><Relationship Type="http://schemas.openxmlformats.org/officeDocument/2006/relationships/hyperlink" Target="#'08 CROSSWALK'!A636" TargetMode="External" Id="rId639"/><Relationship Type="http://schemas.openxmlformats.org/officeDocument/2006/relationships/hyperlink" Target="#'08 CROSSWALK'!A637" TargetMode="External" Id="rId640"/><Relationship Type="http://schemas.openxmlformats.org/officeDocument/2006/relationships/hyperlink" Target="#'08 CROSSWALK'!A638" TargetMode="External" Id="rId641"/><Relationship Type="http://schemas.openxmlformats.org/officeDocument/2006/relationships/hyperlink" Target="#'08 CROSSWALK'!A639" TargetMode="External" Id="rId642"/><Relationship Type="http://schemas.openxmlformats.org/officeDocument/2006/relationships/hyperlink" Target="#'08 CROSSWALK'!A640" TargetMode="External" Id="rId643"/><Relationship Type="http://schemas.openxmlformats.org/officeDocument/2006/relationships/hyperlink" Target="#'08 CROSSWALK'!A641" TargetMode="External" Id="rId644"/><Relationship Type="http://schemas.openxmlformats.org/officeDocument/2006/relationships/hyperlink" Target="#'08 CROSSWALK'!A642" TargetMode="External" Id="rId645"/><Relationship Type="http://schemas.openxmlformats.org/officeDocument/2006/relationships/hyperlink" Target="#'08 CROSSWALK'!A643" TargetMode="External" Id="rId646"/><Relationship Type="http://schemas.openxmlformats.org/officeDocument/2006/relationships/hyperlink" Target="#'08 CROSSWALK'!A644" TargetMode="External" Id="rId647"/><Relationship Type="http://schemas.openxmlformats.org/officeDocument/2006/relationships/hyperlink" Target="#'08 CROSSWALK'!A645" TargetMode="External" Id="rId648"/><Relationship Type="http://schemas.openxmlformats.org/officeDocument/2006/relationships/hyperlink" Target="#'08 CROSSWALK'!A646" TargetMode="External" Id="rId649"/><Relationship Type="http://schemas.openxmlformats.org/officeDocument/2006/relationships/hyperlink" Target="#'08 CROSSWALK'!A647" TargetMode="External" Id="rId650"/><Relationship Type="http://schemas.openxmlformats.org/officeDocument/2006/relationships/hyperlink" Target="#'08 CROSSWALK'!A648" TargetMode="External" Id="rId651"/><Relationship Type="http://schemas.openxmlformats.org/officeDocument/2006/relationships/hyperlink" Target="#'08 CROSSWALK'!A649" TargetMode="External" Id="rId652"/><Relationship Type="http://schemas.openxmlformats.org/officeDocument/2006/relationships/hyperlink" Target="#'08 CROSSWALK'!A650" TargetMode="External" Id="rId653"/><Relationship Type="http://schemas.openxmlformats.org/officeDocument/2006/relationships/hyperlink" Target="#'08 CROSSWALK'!A651" TargetMode="External" Id="rId654"/><Relationship Type="http://schemas.openxmlformats.org/officeDocument/2006/relationships/hyperlink" Target="#'08 CROSSWALK'!A652" TargetMode="External" Id="rId655"/><Relationship Type="http://schemas.openxmlformats.org/officeDocument/2006/relationships/hyperlink" Target="#'08 CROSSWALK'!A653" TargetMode="External" Id="rId656"/><Relationship Type="http://schemas.openxmlformats.org/officeDocument/2006/relationships/hyperlink" Target="#'08 CROSSWALK'!A654" TargetMode="External" Id="rId657"/><Relationship Type="http://schemas.openxmlformats.org/officeDocument/2006/relationships/hyperlink" Target="#'08 CROSSWALK'!A655" TargetMode="External" Id="rId658"/><Relationship Type="http://schemas.openxmlformats.org/officeDocument/2006/relationships/hyperlink" Target="#'08 CROSSWALK'!A656" TargetMode="External" Id="rId659"/><Relationship Type="http://schemas.openxmlformats.org/officeDocument/2006/relationships/hyperlink" Target="#'08 CROSSWALK'!A657" TargetMode="External" Id="rId660"/><Relationship Type="http://schemas.openxmlformats.org/officeDocument/2006/relationships/hyperlink" Target="#'08 CROSSWALK'!A658" TargetMode="External" Id="rId661"/><Relationship Type="http://schemas.openxmlformats.org/officeDocument/2006/relationships/hyperlink" Target="#'08 CROSSWALK'!A659" TargetMode="External" Id="rId662"/><Relationship Type="http://schemas.openxmlformats.org/officeDocument/2006/relationships/hyperlink" Target="#'08 CROSSWALK'!A660" TargetMode="External" Id="rId663"/><Relationship Type="http://schemas.openxmlformats.org/officeDocument/2006/relationships/hyperlink" Target="#'08 CROSSWALK'!A661" TargetMode="External" Id="rId664"/><Relationship Type="http://schemas.openxmlformats.org/officeDocument/2006/relationships/hyperlink" Target="#'08 CROSSWALK'!A662" TargetMode="External" Id="rId665"/><Relationship Type="http://schemas.openxmlformats.org/officeDocument/2006/relationships/hyperlink" Target="#'08 CROSSWALK'!A663" TargetMode="External" Id="rId666"/><Relationship Type="http://schemas.openxmlformats.org/officeDocument/2006/relationships/hyperlink" Target="#'08 CROSSWALK'!A664" TargetMode="External" Id="rId667"/><Relationship Type="http://schemas.openxmlformats.org/officeDocument/2006/relationships/hyperlink" Target="#'08 CROSSWALK'!A665" TargetMode="External" Id="rId668"/><Relationship Type="http://schemas.openxmlformats.org/officeDocument/2006/relationships/hyperlink" Target="#'08 CROSSWALK'!A666" TargetMode="External" Id="rId669"/><Relationship Type="http://schemas.openxmlformats.org/officeDocument/2006/relationships/hyperlink" Target="#'08 CROSSWALK'!A667" TargetMode="External" Id="rId670"/><Relationship Type="http://schemas.openxmlformats.org/officeDocument/2006/relationships/hyperlink" Target="#'08 CROSSWALK'!A668" TargetMode="External" Id="rId671"/><Relationship Type="http://schemas.openxmlformats.org/officeDocument/2006/relationships/hyperlink" Target="#'08 CROSSWALK'!A669" TargetMode="External" Id="rId672"/><Relationship Type="http://schemas.openxmlformats.org/officeDocument/2006/relationships/hyperlink" Target="#'08 CROSSWALK'!A670" TargetMode="External" Id="rId673"/><Relationship Type="http://schemas.openxmlformats.org/officeDocument/2006/relationships/hyperlink" Target="#'08 CROSSWALK'!A671" TargetMode="External" Id="rId674"/><Relationship Type="http://schemas.openxmlformats.org/officeDocument/2006/relationships/hyperlink" Target="#'08 CROSSWALK'!A672" TargetMode="External" Id="rId675"/><Relationship Type="http://schemas.openxmlformats.org/officeDocument/2006/relationships/hyperlink" Target="#'08 CROSSWALK'!A673" TargetMode="External" Id="rId676"/><Relationship Type="http://schemas.openxmlformats.org/officeDocument/2006/relationships/hyperlink" Target="#'08 CROSSWALK'!A674" TargetMode="External" Id="rId677"/><Relationship Type="http://schemas.openxmlformats.org/officeDocument/2006/relationships/hyperlink" Target="#'08 CROSSWALK'!A675" TargetMode="External" Id="rId678"/><Relationship Type="http://schemas.openxmlformats.org/officeDocument/2006/relationships/hyperlink" Target="#'08 CROSSWALK'!A676" TargetMode="External" Id="rId679"/><Relationship Type="http://schemas.openxmlformats.org/officeDocument/2006/relationships/hyperlink" Target="#'08 CROSSWALK'!A677" TargetMode="External" Id="rId680"/><Relationship Type="http://schemas.openxmlformats.org/officeDocument/2006/relationships/hyperlink" Target="#'08 CROSSWALK'!A678" TargetMode="External" Id="rId681"/><Relationship Type="http://schemas.openxmlformats.org/officeDocument/2006/relationships/hyperlink" Target="#'08 CROSSWALK'!A679" TargetMode="External" Id="rId682"/><Relationship Type="http://schemas.openxmlformats.org/officeDocument/2006/relationships/hyperlink" Target="#'08 CROSSWALK'!A680" TargetMode="External" Id="rId683"/><Relationship Type="http://schemas.openxmlformats.org/officeDocument/2006/relationships/hyperlink" Target="#'08 CROSSWALK'!A681" TargetMode="External" Id="rId684"/><Relationship Type="http://schemas.openxmlformats.org/officeDocument/2006/relationships/hyperlink" Target="#'08 CROSSWALK'!A682" TargetMode="External" Id="rId685"/><Relationship Type="http://schemas.openxmlformats.org/officeDocument/2006/relationships/hyperlink" Target="#'08 CROSSWALK'!A683" TargetMode="External" Id="rId686"/><Relationship Type="http://schemas.openxmlformats.org/officeDocument/2006/relationships/hyperlink" Target="#'08 CROSSWALK'!A684" TargetMode="External" Id="rId687"/><Relationship Type="http://schemas.openxmlformats.org/officeDocument/2006/relationships/hyperlink" Target="#'08 CROSSWALK'!A685" TargetMode="External" Id="rId688"/><Relationship Type="http://schemas.openxmlformats.org/officeDocument/2006/relationships/hyperlink" Target="#'08 CROSSWALK'!A686" TargetMode="External" Id="rId689"/><Relationship Type="http://schemas.openxmlformats.org/officeDocument/2006/relationships/hyperlink" Target="#'08 CROSSWALK'!A687" TargetMode="External" Id="rId690"/><Relationship Type="http://schemas.openxmlformats.org/officeDocument/2006/relationships/hyperlink" Target="#'08 CROSSWALK'!A688" TargetMode="External" Id="rId691"/><Relationship Type="http://schemas.openxmlformats.org/officeDocument/2006/relationships/hyperlink" Target="#'08 CROSSWALK'!A689" TargetMode="External" Id="rId692"/><Relationship Type="http://schemas.openxmlformats.org/officeDocument/2006/relationships/hyperlink" Target="#'08 CROSSWALK'!A690" TargetMode="External" Id="rId693"/><Relationship Type="http://schemas.openxmlformats.org/officeDocument/2006/relationships/hyperlink" Target="#'08 CROSSWALK'!A691" TargetMode="External" Id="rId694"/><Relationship Type="http://schemas.openxmlformats.org/officeDocument/2006/relationships/hyperlink" Target="#'08 CROSSWALK'!A692" TargetMode="External" Id="rId695"/><Relationship Type="http://schemas.openxmlformats.org/officeDocument/2006/relationships/hyperlink" Target="#'08 CROSSWALK'!A693" TargetMode="External" Id="rId696"/><Relationship Type="http://schemas.openxmlformats.org/officeDocument/2006/relationships/hyperlink" Target="#'08 CROSSWALK'!A694" TargetMode="External" Id="rId697"/><Relationship Type="http://schemas.openxmlformats.org/officeDocument/2006/relationships/hyperlink" Target="#'08 CROSSWALK'!A695" TargetMode="External" Id="rId698"/><Relationship Type="http://schemas.openxmlformats.org/officeDocument/2006/relationships/hyperlink" Target="#'08 CROSSWALK'!A696" TargetMode="External" Id="rId699"/><Relationship Type="http://schemas.openxmlformats.org/officeDocument/2006/relationships/hyperlink" Target="#'08 CROSSWALK'!A697" TargetMode="External" Id="rId700"/><Relationship Type="http://schemas.openxmlformats.org/officeDocument/2006/relationships/hyperlink" Target="#'08 CROSSWALK'!A698" TargetMode="External" Id="rId701"/><Relationship Type="http://schemas.openxmlformats.org/officeDocument/2006/relationships/hyperlink" Target="#'08 CROSSWALK'!A699" TargetMode="External" Id="rId702"/><Relationship Type="http://schemas.openxmlformats.org/officeDocument/2006/relationships/hyperlink" Target="#'08 CROSSWALK'!A700" TargetMode="External" Id="rId703"/><Relationship Type="http://schemas.openxmlformats.org/officeDocument/2006/relationships/hyperlink" Target="#'08 CROSSWALK'!A701" TargetMode="External" Id="rId704"/><Relationship Type="http://schemas.openxmlformats.org/officeDocument/2006/relationships/hyperlink" Target="#'08 CROSSWALK'!A702" TargetMode="External" Id="rId705"/><Relationship Type="http://schemas.openxmlformats.org/officeDocument/2006/relationships/hyperlink" Target="#'08 CROSSWALK'!A703" TargetMode="External" Id="rId706"/><Relationship Type="http://schemas.openxmlformats.org/officeDocument/2006/relationships/hyperlink" Target="#'08 CROSSWALK'!A704" TargetMode="External" Id="rId707"/><Relationship Type="http://schemas.openxmlformats.org/officeDocument/2006/relationships/hyperlink" Target="#'08 CROSSWALK'!A705" TargetMode="External" Id="rId708"/><Relationship Type="http://schemas.openxmlformats.org/officeDocument/2006/relationships/hyperlink" Target="#'08 CROSSWALK'!A706" TargetMode="External" Id="rId709"/><Relationship Type="http://schemas.openxmlformats.org/officeDocument/2006/relationships/hyperlink" Target="#'08 CROSSWALK'!A707" TargetMode="External" Id="rId710"/><Relationship Type="http://schemas.openxmlformats.org/officeDocument/2006/relationships/hyperlink" Target="#'08 CROSSWALK'!A708" TargetMode="External" Id="rId711"/><Relationship Type="http://schemas.openxmlformats.org/officeDocument/2006/relationships/hyperlink" Target="#'08 CROSSWALK'!A709" TargetMode="External" Id="rId712"/><Relationship Type="http://schemas.openxmlformats.org/officeDocument/2006/relationships/hyperlink" Target="#'08 CROSSWALK'!A710" TargetMode="External" Id="rId713"/><Relationship Type="http://schemas.openxmlformats.org/officeDocument/2006/relationships/hyperlink" Target="#'08 CROSSWALK'!A711" TargetMode="External" Id="rId714"/><Relationship Type="http://schemas.openxmlformats.org/officeDocument/2006/relationships/hyperlink" Target="#'08 CROSSWALK'!A712" TargetMode="External" Id="rId715"/><Relationship Type="http://schemas.openxmlformats.org/officeDocument/2006/relationships/hyperlink" Target="#'08 CROSSWALK'!A713" TargetMode="External" Id="rId716"/><Relationship Type="http://schemas.openxmlformats.org/officeDocument/2006/relationships/hyperlink" Target="#'08 CROSSWALK'!A714" TargetMode="External" Id="rId717"/><Relationship Type="http://schemas.openxmlformats.org/officeDocument/2006/relationships/hyperlink" Target="#'08 CROSSWALK'!A715" TargetMode="External" Id="rId718"/><Relationship Type="http://schemas.openxmlformats.org/officeDocument/2006/relationships/hyperlink" Target="#'08 CROSSWALK'!A716" TargetMode="External" Id="rId719"/><Relationship Type="http://schemas.openxmlformats.org/officeDocument/2006/relationships/hyperlink" Target="#'08 CROSSWALK'!A717" TargetMode="External" Id="rId720"/><Relationship Type="http://schemas.openxmlformats.org/officeDocument/2006/relationships/hyperlink" Target="#'08 CROSSWALK'!A718" TargetMode="External" Id="rId721"/><Relationship Type="http://schemas.openxmlformats.org/officeDocument/2006/relationships/hyperlink" Target="#'08 CROSSWALK'!A719" TargetMode="External" Id="rId722"/><Relationship Type="http://schemas.openxmlformats.org/officeDocument/2006/relationships/hyperlink" Target="#'08 CROSSWALK'!A720" TargetMode="External" Id="rId723"/><Relationship Type="http://schemas.openxmlformats.org/officeDocument/2006/relationships/hyperlink" Target="#'08 CROSSWALK'!A721" TargetMode="External" Id="rId724"/><Relationship Type="http://schemas.openxmlformats.org/officeDocument/2006/relationships/hyperlink" Target="#'08 CROSSWALK'!A722" TargetMode="External" Id="rId725"/><Relationship Type="http://schemas.openxmlformats.org/officeDocument/2006/relationships/hyperlink" Target="#'08 CROSSWALK'!A723" TargetMode="External" Id="rId726"/><Relationship Type="http://schemas.openxmlformats.org/officeDocument/2006/relationships/hyperlink" Target="#'08 CROSSWALK'!A724" TargetMode="External" Id="rId727"/><Relationship Type="http://schemas.openxmlformats.org/officeDocument/2006/relationships/hyperlink" Target="#'08 CROSSWALK'!A725" TargetMode="External" Id="rId728"/><Relationship Type="http://schemas.openxmlformats.org/officeDocument/2006/relationships/hyperlink" Target="#'08 CROSSWALK'!A726" TargetMode="External" Id="rId729"/><Relationship Type="http://schemas.openxmlformats.org/officeDocument/2006/relationships/hyperlink" Target="#'08 CROSSWALK'!A727" TargetMode="External" Id="rId730"/><Relationship Type="http://schemas.openxmlformats.org/officeDocument/2006/relationships/hyperlink" Target="#'08 CROSSWALK'!A728" TargetMode="External" Id="rId731"/><Relationship Type="http://schemas.openxmlformats.org/officeDocument/2006/relationships/hyperlink" Target="#'08 CROSSWALK'!A729" TargetMode="External" Id="rId732"/><Relationship Type="http://schemas.openxmlformats.org/officeDocument/2006/relationships/hyperlink" Target="#'08 CROSSWALK'!A730" TargetMode="External" Id="rId733"/><Relationship Type="http://schemas.openxmlformats.org/officeDocument/2006/relationships/hyperlink" Target="#'08 CROSSWALK'!A731" TargetMode="External" Id="rId734"/><Relationship Type="http://schemas.openxmlformats.org/officeDocument/2006/relationships/hyperlink" Target="#'08 CROSSWALK'!A732" TargetMode="External" Id="rId735"/><Relationship Type="http://schemas.openxmlformats.org/officeDocument/2006/relationships/hyperlink" Target="#'08 CROSSWALK'!A733" TargetMode="External" Id="rId736"/><Relationship Type="http://schemas.openxmlformats.org/officeDocument/2006/relationships/hyperlink" Target="#'08 CROSSWALK'!A734" TargetMode="External" Id="rId737"/><Relationship Type="http://schemas.openxmlformats.org/officeDocument/2006/relationships/hyperlink" Target="#'08 CROSSWALK'!A735" TargetMode="External" Id="rId738"/><Relationship Type="http://schemas.openxmlformats.org/officeDocument/2006/relationships/hyperlink" Target="#'08 CROSSWALK'!A736" TargetMode="External" Id="rId739"/><Relationship Type="http://schemas.openxmlformats.org/officeDocument/2006/relationships/hyperlink" Target="#'08 CROSSWALK'!A737" TargetMode="External" Id="rId740"/><Relationship Type="http://schemas.openxmlformats.org/officeDocument/2006/relationships/hyperlink" Target="#'08 CROSSWALK'!A738" TargetMode="External" Id="rId741"/><Relationship Type="http://schemas.openxmlformats.org/officeDocument/2006/relationships/hyperlink" Target="#'08 CROSSWALK'!A739" TargetMode="External" Id="rId742"/><Relationship Type="http://schemas.openxmlformats.org/officeDocument/2006/relationships/hyperlink" Target="#'08 CROSSWALK'!A740" TargetMode="External" Id="rId743"/><Relationship Type="http://schemas.openxmlformats.org/officeDocument/2006/relationships/hyperlink" Target="#'08 CROSSWALK'!A741" TargetMode="External" Id="rId744"/><Relationship Type="http://schemas.openxmlformats.org/officeDocument/2006/relationships/hyperlink" Target="#'08 CROSSWALK'!A742" TargetMode="External" Id="rId745"/><Relationship Type="http://schemas.openxmlformats.org/officeDocument/2006/relationships/hyperlink" Target="#'08 CROSSWALK'!A743" TargetMode="External" Id="rId746"/><Relationship Type="http://schemas.openxmlformats.org/officeDocument/2006/relationships/hyperlink" Target="#'08 CROSSWALK'!A744" TargetMode="External" Id="rId747"/><Relationship Type="http://schemas.openxmlformats.org/officeDocument/2006/relationships/hyperlink" Target="#'08 CROSSWALK'!A745" TargetMode="External" Id="rId748"/><Relationship Type="http://schemas.openxmlformats.org/officeDocument/2006/relationships/hyperlink" Target="#'08 CROSSWALK'!A746" TargetMode="External" Id="rId749"/><Relationship Type="http://schemas.openxmlformats.org/officeDocument/2006/relationships/hyperlink" Target="#'08 CROSSWALK'!A747" TargetMode="External" Id="rId750"/><Relationship Type="http://schemas.openxmlformats.org/officeDocument/2006/relationships/hyperlink" Target="#'08 CROSSWALK'!A748" TargetMode="External" Id="rId751"/><Relationship Type="http://schemas.openxmlformats.org/officeDocument/2006/relationships/hyperlink" Target="#'08 CROSSWALK'!A749" TargetMode="External" Id="rId752"/><Relationship Type="http://schemas.openxmlformats.org/officeDocument/2006/relationships/hyperlink" Target="#'08 CROSSWALK'!A750" TargetMode="External" Id="rId753"/><Relationship Type="http://schemas.openxmlformats.org/officeDocument/2006/relationships/hyperlink" Target="#'08 CROSSWALK'!A751" TargetMode="External" Id="rId754"/><Relationship Type="http://schemas.openxmlformats.org/officeDocument/2006/relationships/hyperlink" Target="#'08 CROSSWALK'!A752" TargetMode="External" Id="rId755"/><Relationship Type="http://schemas.openxmlformats.org/officeDocument/2006/relationships/hyperlink" Target="#'08 CROSSWALK'!A753" TargetMode="External" Id="rId756"/><Relationship Type="http://schemas.openxmlformats.org/officeDocument/2006/relationships/hyperlink" Target="#'08 CROSSWALK'!A754" TargetMode="External" Id="rId757"/><Relationship Type="http://schemas.openxmlformats.org/officeDocument/2006/relationships/hyperlink" Target="#'08 CROSSWALK'!A755" TargetMode="External" Id="rId758"/><Relationship Type="http://schemas.openxmlformats.org/officeDocument/2006/relationships/hyperlink" Target="#'08 CROSSWALK'!A756" TargetMode="External" Id="rId759"/><Relationship Type="http://schemas.openxmlformats.org/officeDocument/2006/relationships/hyperlink" Target="#'08 CROSSWALK'!A757" TargetMode="External" Id="rId760"/><Relationship Type="http://schemas.openxmlformats.org/officeDocument/2006/relationships/hyperlink" Target="#'08 CROSSWALK'!A758" TargetMode="External" Id="rId761"/><Relationship Type="http://schemas.openxmlformats.org/officeDocument/2006/relationships/hyperlink" Target="#'08 CROSSWALK'!A759" TargetMode="External" Id="rId762"/><Relationship Type="http://schemas.openxmlformats.org/officeDocument/2006/relationships/hyperlink" Target="#'08 CROSSWALK'!A760" TargetMode="External" Id="rId763"/><Relationship Type="http://schemas.openxmlformats.org/officeDocument/2006/relationships/hyperlink" Target="#'08 CROSSWALK'!A761" TargetMode="External" Id="rId764"/><Relationship Type="http://schemas.openxmlformats.org/officeDocument/2006/relationships/hyperlink" Target="#'08 CROSSWALK'!A762" TargetMode="External" Id="rId765"/><Relationship Type="http://schemas.openxmlformats.org/officeDocument/2006/relationships/hyperlink" Target="#'08 CROSSWALK'!A763" TargetMode="External" Id="rId766"/><Relationship Type="http://schemas.openxmlformats.org/officeDocument/2006/relationships/hyperlink" Target="#'08 CROSSWALK'!A764" TargetMode="External" Id="rId767"/><Relationship Type="http://schemas.openxmlformats.org/officeDocument/2006/relationships/hyperlink" Target="#'08 CROSSWALK'!A765" TargetMode="External" Id="rId768"/><Relationship Type="http://schemas.openxmlformats.org/officeDocument/2006/relationships/hyperlink" Target="#'08 CROSSWALK'!A766" TargetMode="External" Id="rId769"/><Relationship Type="http://schemas.openxmlformats.org/officeDocument/2006/relationships/hyperlink" Target="#'08 CROSSWALK'!A767" TargetMode="External" Id="rId770"/><Relationship Type="http://schemas.openxmlformats.org/officeDocument/2006/relationships/hyperlink" Target="#'08 CROSSWALK'!A768" TargetMode="External" Id="rId771"/><Relationship Type="http://schemas.openxmlformats.org/officeDocument/2006/relationships/hyperlink" Target="#'08 CROSSWALK'!A769" TargetMode="External" Id="rId772"/><Relationship Type="http://schemas.openxmlformats.org/officeDocument/2006/relationships/hyperlink" Target="#'08 CROSSWALK'!A770" TargetMode="External" Id="rId773"/><Relationship Type="http://schemas.openxmlformats.org/officeDocument/2006/relationships/hyperlink" Target="#'08 CROSSWALK'!A771" TargetMode="External" Id="rId774"/><Relationship Type="http://schemas.openxmlformats.org/officeDocument/2006/relationships/hyperlink" Target="#'08 CROSSWALK'!A772" TargetMode="External" Id="rId775"/><Relationship Type="http://schemas.openxmlformats.org/officeDocument/2006/relationships/hyperlink" Target="#'08 CROSSWALK'!A773" TargetMode="External" Id="rId776"/><Relationship Type="http://schemas.openxmlformats.org/officeDocument/2006/relationships/hyperlink" Target="#'08 CROSSWALK'!A774" TargetMode="External" Id="rId777"/><Relationship Type="http://schemas.openxmlformats.org/officeDocument/2006/relationships/hyperlink" Target="#'08 CROSSWALK'!A775" TargetMode="External" Id="rId778"/><Relationship Type="http://schemas.openxmlformats.org/officeDocument/2006/relationships/hyperlink" Target="#'08 CROSSWALK'!A776" TargetMode="External" Id="rId779"/><Relationship Type="http://schemas.openxmlformats.org/officeDocument/2006/relationships/hyperlink" Target="#'08 CROSSWALK'!A777" TargetMode="External" Id="rId780"/><Relationship Type="http://schemas.openxmlformats.org/officeDocument/2006/relationships/hyperlink" Target="#'08 CROSSWALK'!A778" TargetMode="External" Id="rId781"/><Relationship Type="http://schemas.openxmlformats.org/officeDocument/2006/relationships/hyperlink" Target="#'08 CROSSWALK'!A779" TargetMode="External" Id="rId782"/><Relationship Type="http://schemas.openxmlformats.org/officeDocument/2006/relationships/hyperlink" Target="#'08 CROSSWALK'!A780" TargetMode="External" Id="rId783"/><Relationship Type="http://schemas.openxmlformats.org/officeDocument/2006/relationships/hyperlink" Target="#'08 CROSSWALK'!A781" TargetMode="External" Id="rId784"/><Relationship Type="http://schemas.openxmlformats.org/officeDocument/2006/relationships/hyperlink" Target="#'08 CROSSWALK'!A782" TargetMode="External" Id="rId785"/><Relationship Type="http://schemas.openxmlformats.org/officeDocument/2006/relationships/hyperlink" Target="#'08 CROSSWALK'!A783" TargetMode="External" Id="rId786"/><Relationship Type="http://schemas.openxmlformats.org/officeDocument/2006/relationships/hyperlink" Target="#'08 CROSSWALK'!A784" TargetMode="External" Id="rId787"/><Relationship Type="http://schemas.openxmlformats.org/officeDocument/2006/relationships/hyperlink" Target="#'08 CROSSWALK'!A785" TargetMode="External" Id="rId788"/><Relationship Type="http://schemas.openxmlformats.org/officeDocument/2006/relationships/hyperlink" Target="#'08 CROSSWALK'!A786" TargetMode="External" Id="rId789"/><Relationship Type="http://schemas.openxmlformats.org/officeDocument/2006/relationships/hyperlink" Target="#'08 CROSSWALK'!A787" TargetMode="External" Id="rId790"/><Relationship Type="http://schemas.openxmlformats.org/officeDocument/2006/relationships/hyperlink" Target="#'08 CROSSWALK'!A788" TargetMode="External" Id="rId791"/><Relationship Type="http://schemas.openxmlformats.org/officeDocument/2006/relationships/hyperlink" Target="#'08 CROSSWALK'!A789" TargetMode="External" Id="rId792"/><Relationship Type="http://schemas.openxmlformats.org/officeDocument/2006/relationships/hyperlink" Target="#'08 CROSSWALK'!A790" TargetMode="External" Id="rId793"/><Relationship Type="http://schemas.openxmlformats.org/officeDocument/2006/relationships/hyperlink" Target="#'08 CROSSWALK'!A791" TargetMode="External" Id="rId794"/><Relationship Type="http://schemas.openxmlformats.org/officeDocument/2006/relationships/hyperlink" Target="#'08 CROSSWALK'!A792" TargetMode="External" Id="rId795"/><Relationship Type="http://schemas.openxmlformats.org/officeDocument/2006/relationships/hyperlink" Target="#'08 CROSSWALK'!A793" TargetMode="External" Id="rId796"/><Relationship Type="http://schemas.openxmlformats.org/officeDocument/2006/relationships/hyperlink" Target="#'08 CROSSWALK'!A794" TargetMode="External" Id="rId797"/><Relationship Type="http://schemas.openxmlformats.org/officeDocument/2006/relationships/hyperlink" Target="#'08 CROSSWALK'!A795" TargetMode="External" Id="rId798"/><Relationship Type="http://schemas.openxmlformats.org/officeDocument/2006/relationships/hyperlink" Target="#'08 CROSSWALK'!A796" TargetMode="External" Id="rId799"/><Relationship Type="http://schemas.openxmlformats.org/officeDocument/2006/relationships/hyperlink" Target="#'08 CROSSWALK'!A797" TargetMode="External" Id="rId800"/><Relationship Type="http://schemas.openxmlformats.org/officeDocument/2006/relationships/hyperlink" Target="#'08 CROSSWALK'!A798" TargetMode="External" Id="rId801"/><Relationship Type="http://schemas.openxmlformats.org/officeDocument/2006/relationships/hyperlink" Target="#'08 CROSSWALK'!A799" TargetMode="External" Id="rId802"/><Relationship Type="http://schemas.openxmlformats.org/officeDocument/2006/relationships/hyperlink" Target="#'08 CROSSWALK'!A800" TargetMode="External" Id="rId803"/><Relationship Type="http://schemas.openxmlformats.org/officeDocument/2006/relationships/hyperlink" Target="#'08 CROSSWALK'!A801" TargetMode="External" Id="rId804"/><Relationship Type="http://schemas.openxmlformats.org/officeDocument/2006/relationships/hyperlink" Target="#'08 CROSSWALK'!A802" TargetMode="External" Id="rId805"/><Relationship Type="http://schemas.openxmlformats.org/officeDocument/2006/relationships/hyperlink" Target="#'08 CROSSWALK'!A803" TargetMode="External" Id="rId806"/><Relationship Type="http://schemas.openxmlformats.org/officeDocument/2006/relationships/hyperlink" Target="#'08 CROSSWALK'!A804" TargetMode="External" Id="rId807"/><Relationship Type="http://schemas.openxmlformats.org/officeDocument/2006/relationships/hyperlink" Target="#'08 CROSSWALK'!A805" TargetMode="External" Id="rId808"/><Relationship Type="http://schemas.openxmlformats.org/officeDocument/2006/relationships/hyperlink" Target="#'08 CROSSWALK'!A806" TargetMode="External" Id="rId809"/><Relationship Type="http://schemas.openxmlformats.org/officeDocument/2006/relationships/hyperlink" Target="#'08 CROSSWALK'!A807" TargetMode="External" Id="rId810"/><Relationship Type="http://schemas.openxmlformats.org/officeDocument/2006/relationships/hyperlink" Target="#'08 CROSSWALK'!A808" TargetMode="External" Id="rId811"/><Relationship Type="http://schemas.openxmlformats.org/officeDocument/2006/relationships/hyperlink" Target="#'08 CROSSWALK'!A809" TargetMode="External" Id="rId812"/><Relationship Type="http://schemas.openxmlformats.org/officeDocument/2006/relationships/hyperlink" Target="#'08 CROSSWALK'!A810" TargetMode="External" Id="rId813"/><Relationship Type="http://schemas.openxmlformats.org/officeDocument/2006/relationships/hyperlink" Target="#'08 CROSSWALK'!A811" TargetMode="External" Id="rId814"/><Relationship Type="http://schemas.openxmlformats.org/officeDocument/2006/relationships/hyperlink" Target="#'08 CROSSWALK'!A812" TargetMode="External" Id="rId815"/><Relationship Type="http://schemas.openxmlformats.org/officeDocument/2006/relationships/hyperlink" Target="#'08 CROSSWALK'!A813" TargetMode="External" Id="rId816"/><Relationship Type="http://schemas.openxmlformats.org/officeDocument/2006/relationships/hyperlink" Target="#'08 CROSSWALK'!A814" TargetMode="External" Id="rId817"/><Relationship Type="http://schemas.openxmlformats.org/officeDocument/2006/relationships/hyperlink" Target="#'08 CROSSWALK'!A815" TargetMode="External" Id="rId818"/><Relationship Type="http://schemas.openxmlformats.org/officeDocument/2006/relationships/hyperlink" Target="#'08 CROSSWALK'!A816" TargetMode="External" Id="rId819"/><Relationship Type="http://schemas.openxmlformats.org/officeDocument/2006/relationships/hyperlink" Target="#'08 CROSSWALK'!A817" TargetMode="External" Id="rId820"/><Relationship Type="http://schemas.openxmlformats.org/officeDocument/2006/relationships/hyperlink" Target="#'08 CROSSWALK'!A818" TargetMode="External" Id="rId821"/><Relationship Type="http://schemas.openxmlformats.org/officeDocument/2006/relationships/hyperlink" Target="#'08 CROSSWALK'!A819" TargetMode="External" Id="rId822"/><Relationship Type="http://schemas.openxmlformats.org/officeDocument/2006/relationships/hyperlink" Target="#'08 CROSSWALK'!A820" TargetMode="External" Id="rId823"/><Relationship Type="http://schemas.openxmlformats.org/officeDocument/2006/relationships/hyperlink" Target="#'08 CROSSWALK'!A821" TargetMode="External" Id="rId824"/><Relationship Type="http://schemas.openxmlformats.org/officeDocument/2006/relationships/hyperlink" Target="#'08 CROSSWALK'!A822" TargetMode="External" Id="rId825"/><Relationship Type="http://schemas.openxmlformats.org/officeDocument/2006/relationships/hyperlink" Target="#'08 CROSSWALK'!A823" TargetMode="External" Id="rId826"/><Relationship Type="http://schemas.openxmlformats.org/officeDocument/2006/relationships/hyperlink" Target="#'08 CROSSWALK'!A824" TargetMode="External" Id="rId827"/><Relationship Type="http://schemas.openxmlformats.org/officeDocument/2006/relationships/hyperlink" Target="#'08 CROSSWALK'!A825" TargetMode="External" Id="rId828"/><Relationship Type="http://schemas.openxmlformats.org/officeDocument/2006/relationships/hyperlink" Target="#'08 CROSSWALK'!A826" TargetMode="External" Id="rId829"/><Relationship Type="http://schemas.openxmlformats.org/officeDocument/2006/relationships/hyperlink" Target="#'08 CROSSWALK'!A827" TargetMode="External" Id="rId830"/><Relationship Type="http://schemas.openxmlformats.org/officeDocument/2006/relationships/hyperlink" Target="#'08 CROSSWALK'!A828" TargetMode="External" Id="rId831"/><Relationship Type="http://schemas.openxmlformats.org/officeDocument/2006/relationships/hyperlink" Target="#'08 CROSSWALK'!A829" TargetMode="External" Id="rId832"/><Relationship Type="http://schemas.openxmlformats.org/officeDocument/2006/relationships/hyperlink" Target="#'08 CROSSWALK'!A830" TargetMode="External" Id="rId833"/><Relationship Type="http://schemas.openxmlformats.org/officeDocument/2006/relationships/hyperlink" Target="#'08 CROSSWALK'!A831" TargetMode="External" Id="rId834"/><Relationship Type="http://schemas.openxmlformats.org/officeDocument/2006/relationships/hyperlink" Target="#'08 CROSSWALK'!A832" TargetMode="External" Id="rId835"/><Relationship Type="http://schemas.openxmlformats.org/officeDocument/2006/relationships/hyperlink" Target="#'08 CROSSWALK'!A833" TargetMode="External" Id="rId836"/><Relationship Type="http://schemas.openxmlformats.org/officeDocument/2006/relationships/hyperlink" Target="#'08 CROSSWALK'!A834" TargetMode="External" Id="rId837"/><Relationship Type="http://schemas.openxmlformats.org/officeDocument/2006/relationships/hyperlink" Target="#'08 CROSSWALK'!A835" TargetMode="External" Id="rId838"/><Relationship Type="http://schemas.openxmlformats.org/officeDocument/2006/relationships/hyperlink" Target="#'08 CROSSWALK'!A836" TargetMode="External" Id="rId839"/><Relationship Type="http://schemas.openxmlformats.org/officeDocument/2006/relationships/hyperlink" Target="#'08 CROSSWALK'!A837" TargetMode="External" Id="rId840"/><Relationship Type="http://schemas.openxmlformats.org/officeDocument/2006/relationships/hyperlink" Target="#'08 CROSSWALK'!A838" TargetMode="External" Id="rId841"/><Relationship Type="http://schemas.openxmlformats.org/officeDocument/2006/relationships/hyperlink" Target="#'08 CROSSWALK'!A839" TargetMode="External" Id="rId842"/><Relationship Type="http://schemas.openxmlformats.org/officeDocument/2006/relationships/hyperlink" Target="#'08 CROSSWALK'!A840" TargetMode="External" Id="rId843"/><Relationship Type="http://schemas.openxmlformats.org/officeDocument/2006/relationships/hyperlink" Target="#'08 CROSSWALK'!A841" TargetMode="External" Id="rId844"/><Relationship Type="http://schemas.openxmlformats.org/officeDocument/2006/relationships/hyperlink" Target="#'08 CROSSWALK'!A842" TargetMode="External" Id="rId845"/><Relationship Type="http://schemas.openxmlformats.org/officeDocument/2006/relationships/hyperlink" Target="#'08 CROSSWALK'!A843" TargetMode="External" Id="rId846"/><Relationship Type="http://schemas.openxmlformats.org/officeDocument/2006/relationships/hyperlink" Target="#'08 CROSSWALK'!A844" TargetMode="External" Id="rId847"/><Relationship Type="http://schemas.openxmlformats.org/officeDocument/2006/relationships/hyperlink" Target="#'08 CROSSWALK'!A845" TargetMode="External" Id="rId848"/><Relationship Type="http://schemas.openxmlformats.org/officeDocument/2006/relationships/hyperlink" Target="#'08 CROSSWALK'!A846" TargetMode="External" Id="rId849"/><Relationship Type="http://schemas.openxmlformats.org/officeDocument/2006/relationships/hyperlink" Target="#'08 CROSSWALK'!A847" TargetMode="External" Id="rId850"/><Relationship Type="http://schemas.openxmlformats.org/officeDocument/2006/relationships/hyperlink" Target="#'08 CROSSWALK'!A848" TargetMode="External" Id="rId851"/><Relationship Type="http://schemas.openxmlformats.org/officeDocument/2006/relationships/hyperlink" Target="#'08 CROSSWALK'!A849" TargetMode="External" Id="rId852"/><Relationship Type="http://schemas.openxmlformats.org/officeDocument/2006/relationships/hyperlink" Target="#'08 CROSSWALK'!A850" TargetMode="External" Id="rId853"/><Relationship Type="http://schemas.openxmlformats.org/officeDocument/2006/relationships/hyperlink" Target="#'08 CROSSWALK'!A851" TargetMode="External" Id="rId854"/><Relationship Type="http://schemas.openxmlformats.org/officeDocument/2006/relationships/hyperlink" Target="#'08 CROSSWALK'!A852" TargetMode="External" Id="rId855"/><Relationship Type="http://schemas.openxmlformats.org/officeDocument/2006/relationships/hyperlink" Target="#'08 CROSSWALK'!A853" TargetMode="External" Id="rId856"/><Relationship Type="http://schemas.openxmlformats.org/officeDocument/2006/relationships/hyperlink" Target="#'08 CROSSWALK'!A854" TargetMode="External" Id="rId857"/><Relationship Type="http://schemas.openxmlformats.org/officeDocument/2006/relationships/hyperlink" Target="#'08 CROSSWALK'!A855" TargetMode="External" Id="rId858"/><Relationship Type="http://schemas.openxmlformats.org/officeDocument/2006/relationships/hyperlink" Target="#'08 CROSSWALK'!A856" TargetMode="External" Id="rId859"/><Relationship Type="http://schemas.openxmlformats.org/officeDocument/2006/relationships/hyperlink" Target="#'08 CROSSWALK'!A857" TargetMode="External" Id="rId860"/><Relationship Type="http://schemas.openxmlformats.org/officeDocument/2006/relationships/hyperlink" Target="#'08 CROSSWALK'!A858" TargetMode="External" Id="rId861"/><Relationship Type="http://schemas.openxmlformats.org/officeDocument/2006/relationships/hyperlink" Target="#'08 CROSSWALK'!A859" TargetMode="External" Id="rId862"/><Relationship Type="http://schemas.openxmlformats.org/officeDocument/2006/relationships/hyperlink" Target="#'08 CROSSWALK'!A860" TargetMode="External" Id="rId863"/><Relationship Type="http://schemas.openxmlformats.org/officeDocument/2006/relationships/hyperlink" Target="#'08 CROSSWALK'!A861" TargetMode="External" Id="rId864"/><Relationship Type="http://schemas.openxmlformats.org/officeDocument/2006/relationships/hyperlink" Target="#'08 CROSSWALK'!A862" TargetMode="External" Id="rId865"/><Relationship Type="http://schemas.openxmlformats.org/officeDocument/2006/relationships/hyperlink" Target="#'08 CROSSWALK'!A863" TargetMode="External" Id="rId866"/><Relationship Type="http://schemas.openxmlformats.org/officeDocument/2006/relationships/hyperlink" Target="#'08 CROSSWALK'!A864" TargetMode="External" Id="rId867"/><Relationship Type="http://schemas.openxmlformats.org/officeDocument/2006/relationships/hyperlink" Target="#'08 CROSSWALK'!A865" TargetMode="External" Id="rId868"/><Relationship Type="http://schemas.openxmlformats.org/officeDocument/2006/relationships/hyperlink" Target="#'08 CROSSWALK'!A866" TargetMode="External" Id="rId869"/><Relationship Type="http://schemas.openxmlformats.org/officeDocument/2006/relationships/hyperlink" Target="#'08 CROSSWALK'!A867" TargetMode="External" Id="rId870"/><Relationship Type="http://schemas.openxmlformats.org/officeDocument/2006/relationships/hyperlink" Target="#'08 CROSSWALK'!A868" TargetMode="External" Id="rId871"/><Relationship Type="http://schemas.openxmlformats.org/officeDocument/2006/relationships/hyperlink" Target="#'08 CROSSWALK'!A869" TargetMode="External" Id="rId872"/><Relationship Type="http://schemas.openxmlformats.org/officeDocument/2006/relationships/hyperlink" Target="#'08 CROSSWALK'!A870" TargetMode="External" Id="rId873"/><Relationship Type="http://schemas.openxmlformats.org/officeDocument/2006/relationships/hyperlink" Target="#'08 CROSSWALK'!A871" TargetMode="External" Id="rId874"/><Relationship Type="http://schemas.openxmlformats.org/officeDocument/2006/relationships/hyperlink" Target="#'08 CROSSWALK'!A872" TargetMode="External" Id="rId875"/><Relationship Type="http://schemas.openxmlformats.org/officeDocument/2006/relationships/hyperlink" Target="#'08 CROSSWALK'!A873" TargetMode="External" Id="rId876"/><Relationship Type="http://schemas.openxmlformats.org/officeDocument/2006/relationships/hyperlink" Target="#'08 CROSSWALK'!A874" TargetMode="External" Id="rId877"/><Relationship Type="http://schemas.openxmlformats.org/officeDocument/2006/relationships/hyperlink" Target="#'08 CROSSWALK'!A875" TargetMode="External" Id="rId878"/><Relationship Type="http://schemas.openxmlformats.org/officeDocument/2006/relationships/hyperlink" Target="#'08 CROSSWALK'!A876" TargetMode="External" Id="rId879"/><Relationship Type="http://schemas.openxmlformats.org/officeDocument/2006/relationships/hyperlink" Target="#'08 CROSSWALK'!A877" TargetMode="External" Id="rId880"/><Relationship Type="http://schemas.openxmlformats.org/officeDocument/2006/relationships/hyperlink" Target="#'08 CROSSWALK'!A878" TargetMode="External" Id="rId881"/><Relationship Type="http://schemas.openxmlformats.org/officeDocument/2006/relationships/hyperlink" Target="#'08 CROSSWALK'!A879" TargetMode="External" Id="rId882"/><Relationship Type="http://schemas.openxmlformats.org/officeDocument/2006/relationships/hyperlink" Target="#'08 CROSSWALK'!A880" TargetMode="External" Id="rId883"/><Relationship Type="http://schemas.openxmlformats.org/officeDocument/2006/relationships/hyperlink" Target="#'08 CROSSWALK'!A881" TargetMode="External" Id="rId884"/><Relationship Type="http://schemas.openxmlformats.org/officeDocument/2006/relationships/hyperlink" Target="#'08 CROSSWALK'!A882" TargetMode="External" Id="rId885"/><Relationship Type="http://schemas.openxmlformats.org/officeDocument/2006/relationships/hyperlink" Target="#'08 CROSSWALK'!A883" TargetMode="External" Id="rId886"/><Relationship Type="http://schemas.openxmlformats.org/officeDocument/2006/relationships/hyperlink" Target="#'08 CROSSWALK'!A884" TargetMode="External" Id="rId887"/><Relationship Type="http://schemas.openxmlformats.org/officeDocument/2006/relationships/hyperlink" Target="#'08 CROSSWALK'!A885" TargetMode="External" Id="rId888"/><Relationship Type="http://schemas.openxmlformats.org/officeDocument/2006/relationships/hyperlink" Target="#'08 CROSSWALK'!A886" TargetMode="External" Id="rId889"/><Relationship Type="http://schemas.openxmlformats.org/officeDocument/2006/relationships/hyperlink" Target="#'08 CROSSWALK'!A887" TargetMode="External" Id="rId890"/><Relationship Type="http://schemas.openxmlformats.org/officeDocument/2006/relationships/hyperlink" Target="#'08 CROSSWALK'!A888" TargetMode="External" Id="rId891"/><Relationship Type="http://schemas.openxmlformats.org/officeDocument/2006/relationships/hyperlink" Target="#'08 CROSSWALK'!A889" TargetMode="External" Id="rId892"/><Relationship Type="http://schemas.openxmlformats.org/officeDocument/2006/relationships/hyperlink" Target="#'08 CROSSWALK'!A890" TargetMode="External" Id="rId893"/><Relationship Type="http://schemas.openxmlformats.org/officeDocument/2006/relationships/hyperlink" Target="#'08 CROSSWALK'!A891" TargetMode="External" Id="rId894"/><Relationship Type="http://schemas.openxmlformats.org/officeDocument/2006/relationships/hyperlink" Target="#'08 CROSSWALK'!A892" TargetMode="External" Id="rId895"/><Relationship Type="http://schemas.openxmlformats.org/officeDocument/2006/relationships/hyperlink" Target="#'08 CROSSWALK'!A893" TargetMode="External" Id="rId896"/><Relationship Type="http://schemas.openxmlformats.org/officeDocument/2006/relationships/hyperlink" Target="#'08 CROSSWALK'!A894" TargetMode="External" Id="rId897"/><Relationship Type="http://schemas.openxmlformats.org/officeDocument/2006/relationships/hyperlink" Target="#'08 CROSSWALK'!A895" TargetMode="External" Id="rId898"/><Relationship Type="http://schemas.openxmlformats.org/officeDocument/2006/relationships/hyperlink" Target="#'08 CROSSWALK'!A896" TargetMode="External" Id="rId899"/><Relationship Type="http://schemas.openxmlformats.org/officeDocument/2006/relationships/hyperlink" Target="#'08 CROSSWALK'!A897" TargetMode="External" Id="rId900"/><Relationship Type="http://schemas.openxmlformats.org/officeDocument/2006/relationships/hyperlink" Target="#'08 CROSSWALK'!A898" TargetMode="External" Id="rId901"/><Relationship Type="http://schemas.openxmlformats.org/officeDocument/2006/relationships/hyperlink" Target="#'08 CROSSWALK'!A899" TargetMode="External" Id="rId902"/><Relationship Type="http://schemas.openxmlformats.org/officeDocument/2006/relationships/hyperlink" Target="#'08 CROSSWALK'!A900" TargetMode="External" Id="rId903"/><Relationship Type="http://schemas.openxmlformats.org/officeDocument/2006/relationships/hyperlink" Target="#'08 CROSSWALK'!A901" TargetMode="External" Id="rId904"/><Relationship Type="http://schemas.openxmlformats.org/officeDocument/2006/relationships/hyperlink" Target="#'08 CROSSWALK'!A902" TargetMode="External" Id="rId905"/><Relationship Type="http://schemas.openxmlformats.org/officeDocument/2006/relationships/hyperlink" Target="#'08 CROSSWALK'!A903" TargetMode="External" Id="rId906"/><Relationship Type="http://schemas.openxmlformats.org/officeDocument/2006/relationships/hyperlink" Target="#'08 CROSSWALK'!A904" TargetMode="External" Id="rId907"/><Relationship Type="http://schemas.openxmlformats.org/officeDocument/2006/relationships/hyperlink" Target="#'08 CROSSWALK'!A905" TargetMode="External" Id="rId908"/><Relationship Type="http://schemas.openxmlformats.org/officeDocument/2006/relationships/hyperlink" Target="#'08 CROSSWALK'!A906" TargetMode="External" Id="rId909"/><Relationship Type="http://schemas.openxmlformats.org/officeDocument/2006/relationships/hyperlink" Target="#'08 CROSSWALK'!A907" TargetMode="External" Id="rId910"/><Relationship Type="http://schemas.openxmlformats.org/officeDocument/2006/relationships/hyperlink" Target="#'08 CROSSWALK'!A908" TargetMode="External" Id="rId911"/><Relationship Type="http://schemas.openxmlformats.org/officeDocument/2006/relationships/hyperlink" Target="#'08 CROSSWALK'!A909" TargetMode="External" Id="rId912"/><Relationship Type="http://schemas.openxmlformats.org/officeDocument/2006/relationships/hyperlink" Target="#'08 CROSSWALK'!A910" TargetMode="External" Id="rId913"/><Relationship Type="http://schemas.openxmlformats.org/officeDocument/2006/relationships/hyperlink" Target="#'08 CROSSWALK'!A911" TargetMode="External" Id="rId914"/><Relationship Type="http://schemas.openxmlformats.org/officeDocument/2006/relationships/hyperlink" Target="#'08 CROSSWALK'!A912" TargetMode="External" Id="rId915"/><Relationship Type="http://schemas.openxmlformats.org/officeDocument/2006/relationships/hyperlink" Target="#'08 CROSSWALK'!A913" TargetMode="External" Id="rId916"/><Relationship Type="http://schemas.openxmlformats.org/officeDocument/2006/relationships/hyperlink" Target="#'08 CROSSWALK'!A914" TargetMode="External" Id="rId917"/><Relationship Type="http://schemas.openxmlformats.org/officeDocument/2006/relationships/hyperlink" Target="#'08 CROSSWALK'!A915" TargetMode="External" Id="rId918"/><Relationship Type="http://schemas.openxmlformats.org/officeDocument/2006/relationships/hyperlink" Target="#'08 CROSSWALK'!A916" TargetMode="External" Id="rId919"/><Relationship Type="http://schemas.openxmlformats.org/officeDocument/2006/relationships/hyperlink" Target="#'08 CROSSWALK'!A917" TargetMode="External" Id="rId920"/><Relationship Type="http://schemas.openxmlformats.org/officeDocument/2006/relationships/hyperlink" Target="#'08 CROSSWALK'!A918" TargetMode="External" Id="rId921"/><Relationship Type="http://schemas.openxmlformats.org/officeDocument/2006/relationships/hyperlink" Target="#'08 CROSSWALK'!A919" TargetMode="External" Id="rId922"/><Relationship Type="http://schemas.openxmlformats.org/officeDocument/2006/relationships/hyperlink" Target="#'08 CROSSWALK'!A920" TargetMode="External" Id="rId923"/><Relationship Type="http://schemas.openxmlformats.org/officeDocument/2006/relationships/hyperlink" Target="#'08 CROSSWALK'!A921" TargetMode="External" Id="rId924"/><Relationship Type="http://schemas.openxmlformats.org/officeDocument/2006/relationships/hyperlink" Target="#'08 CROSSWALK'!A922" TargetMode="External" Id="rId925"/><Relationship Type="http://schemas.openxmlformats.org/officeDocument/2006/relationships/hyperlink" Target="#'08 CROSSWALK'!A923" TargetMode="External" Id="rId926"/><Relationship Type="http://schemas.openxmlformats.org/officeDocument/2006/relationships/hyperlink" Target="#'08 CROSSWALK'!A924" TargetMode="External" Id="rId927"/><Relationship Type="http://schemas.openxmlformats.org/officeDocument/2006/relationships/hyperlink" Target="#'08 CROSSWALK'!A925" TargetMode="External" Id="rId928"/><Relationship Type="http://schemas.openxmlformats.org/officeDocument/2006/relationships/hyperlink" Target="#'08 CROSSWALK'!A926" TargetMode="External" Id="rId929"/><Relationship Type="http://schemas.openxmlformats.org/officeDocument/2006/relationships/hyperlink" Target="#'08 CROSSWALK'!A927" TargetMode="External" Id="rId930"/><Relationship Type="http://schemas.openxmlformats.org/officeDocument/2006/relationships/hyperlink" Target="#'08 CROSSWALK'!A928" TargetMode="External" Id="rId931"/><Relationship Type="http://schemas.openxmlformats.org/officeDocument/2006/relationships/hyperlink" Target="#'08 CROSSWALK'!A929" TargetMode="External" Id="rId932"/><Relationship Type="http://schemas.openxmlformats.org/officeDocument/2006/relationships/hyperlink" Target="#'08 CROSSWALK'!A930" TargetMode="External" Id="rId933"/><Relationship Type="http://schemas.openxmlformats.org/officeDocument/2006/relationships/hyperlink" Target="#'08 CROSSWALK'!A931" TargetMode="External" Id="rId934"/><Relationship Type="http://schemas.openxmlformats.org/officeDocument/2006/relationships/hyperlink" Target="#'08 CROSSWALK'!A932" TargetMode="External" Id="rId935"/><Relationship Type="http://schemas.openxmlformats.org/officeDocument/2006/relationships/hyperlink" Target="#'08 CROSSWALK'!A933" TargetMode="External" Id="rId936"/><Relationship Type="http://schemas.openxmlformats.org/officeDocument/2006/relationships/hyperlink" Target="#'08 CROSSWALK'!A934" TargetMode="External" Id="rId937"/><Relationship Type="http://schemas.openxmlformats.org/officeDocument/2006/relationships/hyperlink" Target="#'08 CROSSWALK'!A935" TargetMode="External" Id="rId938"/><Relationship Type="http://schemas.openxmlformats.org/officeDocument/2006/relationships/hyperlink" Target="#'08 CROSSWALK'!A936" TargetMode="External" Id="rId939"/><Relationship Type="http://schemas.openxmlformats.org/officeDocument/2006/relationships/hyperlink" Target="#'08 CROSSWALK'!A937" TargetMode="External" Id="rId940"/><Relationship Type="http://schemas.openxmlformats.org/officeDocument/2006/relationships/hyperlink" Target="#'08 CROSSWALK'!A938" TargetMode="External" Id="rId941"/><Relationship Type="http://schemas.openxmlformats.org/officeDocument/2006/relationships/hyperlink" Target="#'08 CROSSWALK'!A939" TargetMode="External" Id="rId942"/><Relationship Type="http://schemas.openxmlformats.org/officeDocument/2006/relationships/hyperlink" Target="#'08 CROSSWALK'!A940" TargetMode="External" Id="rId943"/><Relationship Type="http://schemas.openxmlformats.org/officeDocument/2006/relationships/hyperlink" Target="#'08 CROSSWALK'!A941" TargetMode="External" Id="rId944"/><Relationship Type="http://schemas.openxmlformats.org/officeDocument/2006/relationships/hyperlink" Target="#'08 CROSSWALK'!A942" TargetMode="External" Id="rId945"/><Relationship Type="http://schemas.openxmlformats.org/officeDocument/2006/relationships/hyperlink" Target="#'08 CROSSWALK'!A943" TargetMode="External" Id="rId946"/><Relationship Type="http://schemas.openxmlformats.org/officeDocument/2006/relationships/hyperlink" Target="#'08 CROSSWALK'!A944" TargetMode="External" Id="rId947"/><Relationship Type="http://schemas.openxmlformats.org/officeDocument/2006/relationships/hyperlink" Target="#'08 CROSSWALK'!A945" TargetMode="External" Id="rId948"/><Relationship Type="http://schemas.openxmlformats.org/officeDocument/2006/relationships/hyperlink" Target="#'08 CROSSWALK'!A946" TargetMode="External" Id="rId949"/><Relationship Type="http://schemas.openxmlformats.org/officeDocument/2006/relationships/hyperlink" Target="#'08 CROSSWALK'!A947" TargetMode="External" Id="rId950"/><Relationship Type="http://schemas.openxmlformats.org/officeDocument/2006/relationships/hyperlink" Target="#'08 CROSSWALK'!A948" TargetMode="External" Id="rId951"/><Relationship Type="http://schemas.openxmlformats.org/officeDocument/2006/relationships/hyperlink" Target="#'08 CROSSWALK'!A949" TargetMode="External" Id="rId952"/><Relationship Type="http://schemas.openxmlformats.org/officeDocument/2006/relationships/hyperlink" Target="#'08 CROSSWALK'!A950" TargetMode="External" Id="rId953"/><Relationship Type="http://schemas.openxmlformats.org/officeDocument/2006/relationships/hyperlink" Target="#'08 CROSSWALK'!A951" TargetMode="External" Id="rId954"/><Relationship Type="http://schemas.openxmlformats.org/officeDocument/2006/relationships/hyperlink" Target="#'08 CROSSWALK'!A952" TargetMode="External" Id="rId955"/><Relationship Type="http://schemas.openxmlformats.org/officeDocument/2006/relationships/hyperlink" Target="#'08 CROSSWALK'!A953" TargetMode="External" Id="rId956"/><Relationship Type="http://schemas.openxmlformats.org/officeDocument/2006/relationships/hyperlink" Target="#'08 CROSSWALK'!A954" TargetMode="External" Id="rId957"/><Relationship Type="http://schemas.openxmlformats.org/officeDocument/2006/relationships/hyperlink" Target="#'08 CROSSWALK'!A955" TargetMode="External" Id="rId958"/><Relationship Type="http://schemas.openxmlformats.org/officeDocument/2006/relationships/hyperlink" Target="#'08 CROSSWALK'!A956" TargetMode="External" Id="rId959"/><Relationship Type="http://schemas.openxmlformats.org/officeDocument/2006/relationships/hyperlink" Target="#'08 CROSSWALK'!A957" TargetMode="External" Id="rId960"/><Relationship Type="http://schemas.openxmlformats.org/officeDocument/2006/relationships/hyperlink" Target="#'08 CROSSWALK'!A958" TargetMode="External" Id="rId961"/><Relationship Type="http://schemas.openxmlformats.org/officeDocument/2006/relationships/hyperlink" Target="#'08 CROSSWALK'!A959" TargetMode="External" Id="rId962"/><Relationship Type="http://schemas.openxmlformats.org/officeDocument/2006/relationships/hyperlink" Target="#'08 CROSSWALK'!A960" TargetMode="External" Id="rId963"/><Relationship Type="http://schemas.openxmlformats.org/officeDocument/2006/relationships/hyperlink" Target="#'08 CROSSWALK'!A961" TargetMode="External" Id="rId964"/><Relationship Type="http://schemas.openxmlformats.org/officeDocument/2006/relationships/hyperlink" Target="#'08 CROSSWALK'!A962" TargetMode="External" Id="rId965"/><Relationship Type="http://schemas.openxmlformats.org/officeDocument/2006/relationships/hyperlink" Target="#'08 CROSSWALK'!A963" TargetMode="External" Id="rId966"/><Relationship Type="http://schemas.openxmlformats.org/officeDocument/2006/relationships/hyperlink" Target="#'08 CROSSWALK'!A964" TargetMode="External" Id="rId967"/><Relationship Type="http://schemas.openxmlformats.org/officeDocument/2006/relationships/hyperlink" Target="#'08 CROSSWALK'!A965" TargetMode="External" Id="rId968"/><Relationship Type="http://schemas.openxmlformats.org/officeDocument/2006/relationships/hyperlink" Target="#'08 CROSSWALK'!A966" TargetMode="External" Id="rId969"/><Relationship Type="http://schemas.openxmlformats.org/officeDocument/2006/relationships/hyperlink" Target="#'08 CROSSWALK'!A967" TargetMode="External" Id="rId970"/><Relationship Type="http://schemas.openxmlformats.org/officeDocument/2006/relationships/hyperlink" Target="#'08 CROSSWALK'!A968" TargetMode="External" Id="rId971"/><Relationship Type="http://schemas.openxmlformats.org/officeDocument/2006/relationships/hyperlink" Target="#'08 CROSSWALK'!A969" TargetMode="External" Id="rId972"/><Relationship Type="http://schemas.openxmlformats.org/officeDocument/2006/relationships/hyperlink" Target="#'08 CROSSWALK'!A970" TargetMode="External" Id="rId973"/><Relationship Type="http://schemas.openxmlformats.org/officeDocument/2006/relationships/hyperlink" Target="#'08 CROSSWALK'!A971" TargetMode="External" Id="rId974"/><Relationship Type="http://schemas.openxmlformats.org/officeDocument/2006/relationships/hyperlink" Target="#'08 CROSSWALK'!A972" TargetMode="External" Id="rId975"/><Relationship Type="http://schemas.openxmlformats.org/officeDocument/2006/relationships/hyperlink" Target="#'08 CROSSWALK'!A973" TargetMode="External" Id="rId976"/><Relationship Type="http://schemas.openxmlformats.org/officeDocument/2006/relationships/hyperlink" Target="#'08 CROSSWALK'!A974" TargetMode="External" Id="rId977"/><Relationship Type="http://schemas.openxmlformats.org/officeDocument/2006/relationships/hyperlink" Target="#'08 CROSSWALK'!A975" TargetMode="External" Id="rId978"/><Relationship Type="http://schemas.openxmlformats.org/officeDocument/2006/relationships/hyperlink" Target="#'08 CROSSWALK'!A976" TargetMode="External" Id="rId979"/><Relationship Type="http://schemas.openxmlformats.org/officeDocument/2006/relationships/hyperlink" Target="#'08 CROSSWALK'!A977" TargetMode="External" Id="rId980"/><Relationship Type="http://schemas.openxmlformats.org/officeDocument/2006/relationships/hyperlink" Target="#'08 CROSSWALK'!A978" TargetMode="External" Id="rId981"/><Relationship Type="http://schemas.openxmlformats.org/officeDocument/2006/relationships/hyperlink" Target="#'08 CROSSWALK'!A979" TargetMode="External" Id="rId982"/><Relationship Type="http://schemas.openxmlformats.org/officeDocument/2006/relationships/hyperlink" Target="#'08 CROSSWALK'!A980" TargetMode="External" Id="rId983"/><Relationship Type="http://schemas.openxmlformats.org/officeDocument/2006/relationships/hyperlink" Target="#'08 CROSSWALK'!A981" TargetMode="External" Id="rId984"/><Relationship Type="http://schemas.openxmlformats.org/officeDocument/2006/relationships/hyperlink" Target="#'08 CROSSWALK'!A982" TargetMode="External" Id="rId985"/><Relationship Type="http://schemas.openxmlformats.org/officeDocument/2006/relationships/hyperlink" Target="#'08 CROSSWALK'!A983" TargetMode="External" Id="rId986"/><Relationship Type="http://schemas.openxmlformats.org/officeDocument/2006/relationships/hyperlink" Target="#'08 CROSSWALK'!A984" TargetMode="External" Id="rId987"/><Relationship Type="http://schemas.openxmlformats.org/officeDocument/2006/relationships/hyperlink" Target="#'08 CROSSWALK'!A985" TargetMode="External" Id="rId988"/><Relationship Type="http://schemas.openxmlformats.org/officeDocument/2006/relationships/hyperlink" Target="#'08 CROSSWALK'!A986" TargetMode="External" Id="rId989"/><Relationship Type="http://schemas.openxmlformats.org/officeDocument/2006/relationships/hyperlink" Target="#'08 CROSSWALK'!A987" TargetMode="External" Id="rId990"/><Relationship Type="http://schemas.openxmlformats.org/officeDocument/2006/relationships/hyperlink" Target="#'08 CROSSWALK'!A988" TargetMode="External" Id="rId991"/><Relationship Type="http://schemas.openxmlformats.org/officeDocument/2006/relationships/hyperlink" Target="#'08 CROSSWALK'!A989" TargetMode="External" Id="rId992"/><Relationship Type="http://schemas.openxmlformats.org/officeDocument/2006/relationships/hyperlink" Target="#'08 CROSSWALK'!A990" TargetMode="External" Id="rId993"/><Relationship Type="http://schemas.openxmlformats.org/officeDocument/2006/relationships/hyperlink" Target="#'08 CROSSWALK'!A991" TargetMode="External" Id="rId994"/><Relationship Type="http://schemas.openxmlformats.org/officeDocument/2006/relationships/hyperlink" Target="#'08 CROSSWALK'!A992" TargetMode="External" Id="rId995"/><Relationship Type="http://schemas.openxmlformats.org/officeDocument/2006/relationships/hyperlink" Target="#'08 CROSSWALK'!A993" TargetMode="External" Id="rId996"/><Relationship Type="http://schemas.openxmlformats.org/officeDocument/2006/relationships/hyperlink" Target="#'08 CROSSWALK'!A994" TargetMode="External" Id="rId997"/><Relationship Type="http://schemas.openxmlformats.org/officeDocument/2006/relationships/hyperlink" Target="#'08 CROSSWALK'!A995" TargetMode="External" Id="rId998"/><Relationship Type="http://schemas.openxmlformats.org/officeDocument/2006/relationships/hyperlink" Target="#'08 CROSSWALK'!A996" TargetMode="External" Id="rId999"/><Relationship Type="http://schemas.openxmlformats.org/officeDocument/2006/relationships/hyperlink" Target="#'08 CROSSWALK'!A997" TargetMode="External" Id="rId1000"/><Relationship Type="http://schemas.openxmlformats.org/officeDocument/2006/relationships/hyperlink" Target="#'08 CROSSWALK'!A998" TargetMode="External" Id="rId1001"/><Relationship Type="http://schemas.openxmlformats.org/officeDocument/2006/relationships/hyperlink" Target="#'08 CROSSWALK'!A999" TargetMode="External" Id="rId1002"/><Relationship Type="http://schemas.openxmlformats.org/officeDocument/2006/relationships/hyperlink" Target="#'08 CROSSWALK'!A1000" TargetMode="External" Id="rId1003"/><Relationship Type="http://schemas.openxmlformats.org/officeDocument/2006/relationships/hyperlink" Target="#'08 CROSSWALK'!A1001" TargetMode="External" Id="rId1004"/><Relationship Type="http://schemas.openxmlformats.org/officeDocument/2006/relationships/hyperlink" Target="#'08 CROSSWALK'!A1002" TargetMode="External" Id="rId1005"/><Relationship Type="http://schemas.openxmlformats.org/officeDocument/2006/relationships/hyperlink" Target="#'08 CROSSWALK'!A1003" TargetMode="External" Id="rId1006"/><Relationship Type="http://schemas.openxmlformats.org/officeDocument/2006/relationships/hyperlink" Target="#'08 CROSSWALK'!A1004" TargetMode="External" Id="rId1007"/><Relationship Type="http://schemas.openxmlformats.org/officeDocument/2006/relationships/hyperlink" Target="#'08 CROSSWALK'!A1005" TargetMode="External" Id="rId1008"/><Relationship Type="http://schemas.openxmlformats.org/officeDocument/2006/relationships/hyperlink" Target="#'08 CROSSWALK'!A1006" TargetMode="External" Id="rId1009"/><Relationship Type="http://schemas.openxmlformats.org/officeDocument/2006/relationships/hyperlink" Target="#'08 CROSSWALK'!A1007" TargetMode="External" Id="rId1010"/><Relationship Type="http://schemas.openxmlformats.org/officeDocument/2006/relationships/hyperlink" Target="#'08 CROSSWALK'!A1008" TargetMode="External" Id="rId1011"/><Relationship Type="http://schemas.openxmlformats.org/officeDocument/2006/relationships/hyperlink" Target="#'08 CROSSWALK'!A1009" TargetMode="External" Id="rId1012"/><Relationship Type="http://schemas.openxmlformats.org/officeDocument/2006/relationships/hyperlink" Target="#'08 CROSSWALK'!A1010" TargetMode="External" Id="rId1013"/><Relationship Type="http://schemas.openxmlformats.org/officeDocument/2006/relationships/hyperlink" Target="#'08 CROSSWALK'!A1011" TargetMode="External" Id="rId1014"/><Relationship Type="http://schemas.openxmlformats.org/officeDocument/2006/relationships/hyperlink" Target="#'08 CROSSWALK'!A1012" TargetMode="External" Id="rId1015"/><Relationship Type="http://schemas.openxmlformats.org/officeDocument/2006/relationships/hyperlink" Target="#'08 CROSSWALK'!A1013" TargetMode="External" Id="rId1016"/><Relationship Type="http://schemas.openxmlformats.org/officeDocument/2006/relationships/hyperlink" Target="#'08 CROSSWALK'!A1014" TargetMode="External" Id="rId1017"/><Relationship Type="http://schemas.openxmlformats.org/officeDocument/2006/relationships/hyperlink" Target="#'08 CROSSWALK'!A1015" TargetMode="External" Id="rId1018"/><Relationship Type="http://schemas.openxmlformats.org/officeDocument/2006/relationships/hyperlink" Target="#'08 CROSSWALK'!A1016" TargetMode="External" Id="rId1019"/><Relationship Type="http://schemas.openxmlformats.org/officeDocument/2006/relationships/hyperlink" Target="#'08 CROSSWALK'!A1017" TargetMode="External" Id="rId1020"/><Relationship Type="http://schemas.openxmlformats.org/officeDocument/2006/relationships/hyperlink" Target="#'08 CROSSWALK'!A1018" TargetMode="External" Id="rId1021"/><Relationship Type="http://schemas.openxmlformats.org/officeDocument/2006/relationships/hyperlink" Target="#'08 CROSSWALK'!A1019" TargetMode="External" Id="rId1022"/><Relationship Type="http://schemas.openxmlformats.org/officeDocument/2006/relationships/hyperlink" Target="#'08 CROSSWALK'!A1020" TargetMode="External" Id="rId1023"/><Relationship Type="http://schemas.openxmlformats.org/officeDocument/2006/relationships/hyperlink" Target="#'08 CROSSWALK'!A1021" TargetMode="External" Id="rId1024"/><Relationship Type="http://schemas.openxmlformats.org/officeDocument/2006/relationships/hyperlink" Target="#'08 CROSSWALK'!A1022" TargetMode="External" Id="rId1025"/><Relationship Type="http://schemas.openxmlformats.org/officeDocument/2006/relationships/hyperlink" Target="#'08 CROSSWALK'!A1023" TargetMode="External" Id="rId1026"/><Relationship Type="http://schemas.openxmlformats.org/officeDocument/2006/relationships/hyperlink" Target="#'08 CROSSWALK'!A1024" TargetMode="External" Id="rId1027"/><Relationship Type="http://schemas.openxmlformats.org/officeDocument/2006/relationships/hyperlink" Target="#'08 CROSSWALK'!A1025" TargetMode="External" Id="rId1028"/><Relationship Type="http://schemas.openxmlformats.org/officeDocument/2006/relationships/hyperlink" Target="#'08 CROSSWALK'!A1026" TargetMode="External" Id="rId1029"/><Relationship Type="http://schemas.openxmlformats.org/officeDocument/2006/relationships/hyperlink" Target="#'08 CROSSWALK'!A1027" TargetMode="External" Id="rId1030"/><Relationship Type="http://schemas.openxmlformats.org/officeDocument/2006/relationships/hyperlink" Target="#'08 CROSSWALK'!A1028" TargetMode="External" Id="rId1031"/><Relationship Type="http://schemas.openxmlformats.org/officeDocument/2006/relationships/hyperlink" Target="#'08 CROSSWALK'!A1029" TargetMode="External" Id="rId1032"/><Relationship Type="http://schemas.openxmlformats.org/officeDocument/2006/relationships/hyperlink" Target="#'08 CROSSWALK'!A1030" TargetMode="External" Id="rId1033"/><Relationship Type="http://schemas.openxmlformats.org/officeDocument/2006/relationships/hyperlink" Target="#'08 CROSSWALK'!A1031" TargetMode="External" Id="rId1034"/><Relationship Type="http://schemas.openxmlformats.org/officeDocument/2006/relationships/hyperlink" Target="#'08 CROSSWALK'!A1032" TargetMode="External" Id="rId1035"/><Relationship Type="http://schemas.openxmlformats.org/officeDocument/2006/relationships/hyperlink" Target="#'08 CROSSWALK'!A1033" TargetMode="External" Id="rId1036"/><Relationship Type="http://schemas.openxmlformats.org/officeDocument/2006/relationships/hyperlink" Target="#'08 CROSSWALK'!A1034" TargetMode="External" Id="rId1037"/><Relationship Type="http://schemas.openxmlformats.org/officeDocument/2006/relationships/hyperlink" Target="#'08 CROSSWALK'!A1035" TargetMode="External" Id="rId1038"/><Relationship Type="http://schemas.openxmlformats.org/officeDocument/2006/relationships/hyperlink" Target="#'08 CROSSWALK'!A1036" TargetMode="External" Id="rId1039"/><Relationship Type="http://schemas.openxmlformats.org/officeDocument/2006/relationships/hyperlink" Target="#'08 CROSSWALK'!A1037" TargetMode="External" Id="rId1040"/><Relationship Type="http://schemas.openxmlformats.org/officeDocument/2006/relationships/hyperlink" Target="#'08 CROSSWALK'!A1038" TargetMode="External" Id="rId1041"/><Relationship Type="http://schemas.openxmlformats.org/officeDocument/2006/relationships/hyperlink" Target="#'08 CROSSWALK'!A1039" TargetMode="External" Id="rId1042"/><Relationship Type="http://schemas.openxmlformats.org/officeDocument/2006/relationships/hyperlink" Target="#'08 CROSSWALK'!A1040" TargetMode="External" Id="rId1043"/><Relationship Type="http://schemas.openxmlformats.org/officeDocument/2006/relationships/hyperlink" Target="#'08 CROSSWALK'!A1041" TargetMode="External" Id="rId1044"/><Relationship Type="http://schemas.openxmlformats.org/officeDocument/2006/relationships/hyperlink" Target="#'08 CROSSWALK'!A1042" TargetMode="External" Id="rId1045"/><Relationship Type="http://schemas.openxmlformats.org/officeDocument/2006/relationships/hyperlink" Target="#'08 CROSSWALK'!A1043" TargetMode="External" Id="rId1046"/><Relationship Type="http://schemas.openxmlformats.org/officeDocument/2006/relationships/hyperlink" Target="#'08 CROSSWALK'!A1044" TargetMode="External" Id="rId1047"/><Relationship Type="http://schemas.openxmlformats.org/officeDocument/2006/relationships/hyperlink" Target="#'08 CROSSWALK'!A1045" TargetMode="External" Id="rId1048"/><Relationship Type="http://schemas.openxmlformats.org/officeDocument/2006/relationships/hyperlink" Target="#'08 CROSSWALK'!A1046" TargetMode="External" Id="rId1049"/><Relationship Type="http://schemas.openxmlformats.org/officeDocument/2006/relationships/hyperlink" Target="#'08 CROSSWALK'!A1047" TargetMode="External" Id="rId1050"/><Relationship Type="http://schemas.openxmlformats.org/officeDocument/2006/relationships/hyperlink" Target="#'08 CROSSWALK'!A1048" TargetMode="External" Id="rId1051"/><Relationship Type="http://schemas.openxmlformats.org/officeDocument/2006/relationships/hyperlink" Target="#'08 CROSSWALK'!A1049" TargetMode="External" Id="rId1052"/><Relationship Type="http://schemas.openxmlformats.org/officeDocument/2006/relationships/hyperlink" Target="#'08 CROSSWALK'!A1050" TargetMode="External" Id="rId1053"/><Relationship Type="http://schemas.openxmlformats.org/officeDocument/2006/relationships/hyperlink" Target="#'08 CROSSWALK'!A1051" TargetMode="External" Id="rId1054"/><Relationship Type="http://schemas.openxmlformats.org/officeDocument/2006/relationships/hyperlink" Target="#'08 CROSSWALK'!A1052" TargetMode="External" Id="rId1055"/><Relationship Type="http://schemas.openxmlformats.org/officeDocument/2006/relationships/hyperlink" Target="#'08 CROSSWALK'!A1053" TargetMode="External" Id="rId1056"/><Relationship Type="http://schemas.openxmlformats.org/officeDocument/2006/relationships/hyperlink" Target="#'08 CROSSWALK'!A1054" TargetMode="External" Id="rId1057"/><Relationship Type="http://schemas.openxmlformats.org/officeDocument/2006/relationships/hyperlink" Target="#'08 CROSSWALK'!A1055" TargetMode="External" Id="rId1058"/><Relationship Type="http://schemas.openxmlformats.org/officeDocument/2006/relationships/hyperlink" Target="#'08 CROSSWALK'!A1056" TargetMode="External" Id="rId1059"/><Relationship Type="http://schemas.openxmlformats.org/officeDocument/2006/relationships/hyperlink" Target="#'08 CROSSWALK'!A1057" TargetMode="External" Id="rId1060"/><Relationship Type="http://schemas.openxmlformats.org/officeDocument/2006/relationships/hyperlink" Target="#'08 CROSSWALK'!A1058" TargetMode="External" Id="rId1061"/><Relationship Type="http://schemas.openxmlformats.org/officeDocument/2006/relationships/hyperlink" Target="#'08 CROSSWALK'!A1059" TargetMode="External" Id="rId1062"/><Relationship Type="http://schemas.openxmlformats.org/officeDocument/2006/relationships/hyperlink" Target="#'08 CROSSWALK'!A1060" TargetMode="External" Id="rId1063"/><Relationship Type="http://schemas.openxmlformats.org/officeDocument/2006/relationships/hyperlink" Target="#'08 CROSSWALK'!A1061" TargetMode="External" Id="rId1064"/><Relationship Type="http://schemas.openxmlformats.org/officeDocument/2006/relationships/hyperlink" Target="#'08 CROSSWALK'!A1062" TargetMode="External" Id="rId1065"/><Relationship Type="http://schemas.openxmlformats.org/officeDocument/2006/relationships/hyperlink" Target="#'08 CROSSWALK'!A1063" TargetMode="External" Id="rId1066"/><Relationship Type="http://schemas.openxmlformats.org/officeDocument/2006/relationships/hyperlink" Target="#'08 CROSSWALK'!A1064" TargetMode="External" Id="rId1067"/><Relationship Type="http://schemas.openxmlformats.org/officeDocument/2006/relationships/hyperlink" Target="#'08 CROSSWALK'!A1065" TargetMode="External" Id="rId1068"/><Relationship Type="http://schemas.openxmlformats.org/officeDocument/2006/relationships/hyperlink" Target="#'08 CROSSWALK'!A1066" TargetMode="External" Id="rId1069"/><Relationship Type="http://schemas.openxmlformats.org/officeDocument/2006/relationships/hyperlink" Target="#'08 CROSSWALK'!A1067" TargetMode="External" Id="rId1070"/><Relationship Type="http://schemas.openxmlformats.org/officeDocument/2006/relationships/hyperlink" Target="#'08 CROSSWALK'!A1068" TargetMode="External" Id="rId1071"/><Relationship Type="http://schemas.openxmlformats.org/officeDocument/2006/relationships/hyperlink" Target="#'08 CROSSWALK'!A1069" TargetMode="External" Id="rId1072"/><Relationship Type="http://schemas.openxmlformats.org/officeDocument/2006/relationships/hyperlink" Target="#'08 CROSSWALK'!A1070" TargetMode="External" Id="rId1073"/><Relationship Type="http://schemas.openxmlformats.org/officeDocument/2006/relationships/hyperlink" Target="#'08 CROSSWALK'!A1071" TargetMode="External" Id="rId1074"/><Relationship Type="http://schemas.openxmlformats.org/officeDocument/2006/relationships/hyperlink" Target="#'08 CROSSWALK'!A1072" TargetMode="External" Id="rId1075"/><Relationship Type="http://schemas.openxmlformats.org/officeDocument/2006/relationships/hyperlink" Target="#'08 CROSSWALK'!A1073" TargetMode="External" Id="rId1076"/><Relationship Type="http://schemas.openxmlformats.org/officeDocument/2006/relationships/hyperlink" Target="#'08 CROSSWALK'!A1074" TargetMode="External" Id="rId1077"/><Relationship Type="http://schemas.openxmlformats.org/officeDocument/2006/relationships/hyperlink" Target="#'08 CROSSWALK'!A1075" TargetMode="External" Id="rId1078"/><Relationship Type="http://schemas.openxmlformats.org/officeDocument/2006/relationships/hyperlink" Target="#'08 CROSSWALK'!A1076" TargetMode="External" Id="rId1079"/><Relationship Type="http://schemas.openxmlformats.org/officeDocument/2006/relationships/hyperlink" Target="#'08 CROSSWALK'!A1077" TargetMode="External" Id="rId1080"/><Relationship Type="http://schemas.openxmlformats.org/officeDocument/2006/relationships/hyperlink" Target="#'08 CROSSWALK'!A1078" TargetMode="External" Id="rId1081"/><Relationship Type="http://schemas.openxmlformats.org/officeDocument/2006/relationships/hyperlink" Target="#'08 CROSSWALK'!A1079" TargetMode="External" Id="rId1082"/><Relationship Type="http://schemas.openxmlformats.org/officeDocument/2006/relationships/hyperlink" Target="#'08 CROSSWALK'!A1080" TargetMode="External" Id="rId1083"/><Relationship Type="http://schemas.openxmlformats.org/officeDocument/2006/relationships/hyperlink" Target="#'08 CROSSWALK'!A1081" TargetMode="External" Id="rId1084"/><Relationship Type="http://schemas.openxmlformats.org/officeDocument/2006/relationships/hyperlink" Target="#'08 CROSSWALK'!A1082" TargetMode="External" Id="rId1085"/><Relationship Type="http://schemas.openxmlformats.org/officeDocument/2006/relationships/hyperlink" Target="#'08 CROSSWALK'!A1083" TargetMode="External" Id="rId1086"/><Relationship Type="http://schemas.openxmlformats.org/officeDocument/2006/relationships/hyperlink" Target="#'08 CROSSWALK'!A1084" TargetMode="External" Id="rId1087"/><Relationship Type="http://schemas.openxmlformats.org/officeDocument/2006/relationships/hyperlink" Target="#'08 CROSSWALK'!A1085" TargetMode="External" Id="rId1088"/><Relationship Type="http://schemas.openxmlformats.org/officeDocument/2006/relationships/hyperlink" Target="#'08 CROSSWALK'!A1086" TargetMode="External" Id="rId1089"/><Relationship Type="http://schemas.openxmlformats.org/officeDocument/2006/relationships/hyperlink" Target="#'08 CROSSWALK'!A1087" TargetMode="External" Id="rId1090"/><Relationship Type="http://schemas.openxmlformats.org/officeDocument/2006/relationships/hyperlink" Target="#'08 CROSSWALK'!A1088" TargetMode="External" Id="rId1091"/><Relationship Type="http://schemas.openxmlformats.org/officeDocument/2006/relationships/hyperlink" Target="#'08 CROSSWALK'!A1089" TargetMode="External" Id="rId1092"/><Relationship Type="http://schemas.openxmlformats.org/officeDocument/2006/relationships/hyperlink" Target="#'08 CROSSWALK'!A1090" TargetMode="External" Id="rId1093"/><Relationship Type="http://schemas.openxmlformats.org/officeDocument/2006/relationships/hyperlink" Target="#'08 CROSSWALK'!A1091" TargetMode="External" Id="rId1094"/><Relationship Type="http://schemas.openxmlformats.org/officeDocument/2006/relationships/hyperlink" Target="#'08 CROSSWALK'!A1092" TargetMode="External" Id="rId1095"/><Relationship Type="http://schemas.openxmlformats.org/officeDocument/2006/relationships/hyperlink" Target="#'08 CROSSWALK'!A1093" TargetMode="External" Id="rId1096"/><Relationship Type="http://schemas.openxmlformats.org/officeDocument/2006/relationships/hyperlink" Target="#'08 CROSSWALK'!A1094" TargetMode="External" Id="rId1097"/><Relationship Type="http://schemas.openxmlformats.org/officeDocument/2006/relationships/hyperlink" Target="#'08 CROSSWALK'!A1095" TargetMode="External" Id="rId1098"/><Relationship Type="http://schemas.openxmlformats.org/officeDocument/2006/relationships/hyperlink" Target="#'08 CROSSWALK'!A1096" TargetMode="External" Id="rId1099"/><Relationship Type="http://schemas.openxmlformats.org/officeDocument/2006/relationships/hyperlink" Target="#'08 CROSSWALK'!A1097" TargetMode="External" Id="rId1100"/><Relationship Type="http://schemas.openxmlformats.org/officeDocument/2006/relationships/hyperlink" Target="#'08 CROSSWALK'!A1098" TargetMode="External" Id="rId1101"/><Relationship Type="http://schemas.openxmlformats.org/officeDocument/2006/relationships/hyperlink" Target="#'08 CROSSWALK'!A1099" TargetMode="External" Id="rId1102"/><Relationship Type="http://schemas.openxmlformats.org/officeDocument/2006/relationships/hyperlink" Target="#'08 CROSSWALK'!A1100" TargetMode="External" Id="rId1103"/><Relationship Type="http://schemas.openxmlformats.org/officeDocument/2006/relationships/hyperlink" Target="#'08 CROSSWALK'!A1101" TargetMode="External" Id="rId1104"/><Relationship Type="http://schemas.openxmlformats.org/officeDocument/2006/relationships/hyperlink" Target="#'08 CROSSWALK'!A1102" TargetMode="External" Id="rId1105"/><Relationship Type="http://schemas.openxmlformats.org/officeDocument/2006/relationships/hyperlink" Target="#'08 CROSSWALK'!A1103" TargetMode="External" Id="rId1106"/><Relationship Type="http://schemas.openxmlformats.org/officeDocument/2006/relationships/hyperlink" Target="#'08 CROSSWALK'!A1104" TargetMode="External" Id="rId1107"/><Relationship Type="http://schemas.openxmlformats.org/officeDocument/2006/relationships/hyperlink" Target="#'08 CROSSWALK'!A1105" TargetMode="External" Id="rId1108"/><Relationship Type="http://schemas.openxmlformats.org/officeDocument/2006/relationships/hyperlink" Target="#'08 CROSSWALK'!A1106" TargetMode="External" Id="rId1109"/><Relationship Type="http://schemas.openxmlformats.org/officeDocument/2006/relationships/hyperlink" Target="#'08 CROSSWALK'!A1107" TargetMode="External" Id="rId1110"/><Relationship Type="http://schemas.openxmlformats.org/officeDocument/2006/relationships/hyperlink" Target="#'08 CROSSWALK'!A1108" TargetMode="External" Id="rId1111"/><Relationship Type="http://schemas.openxmlformats.org/officeDocument/2006/relationships/hyperlink" Target="#'08 CROSSWALK'!A1109" TargetMode="External" Id="rId1112"/><Relationship Type="http://schemas.openxmlformats.org/officeDocument/2006/relationships/hyperlink" Target="#'08 CROSSWALK'!A1110" TargetMode="External" Id="rId1113"/><Relationship Type="http://schemas.openxmlformats.org/officeDocument/2006/relationships/hyperlink" Target="#'08 CROSSWALK'!A1111" TargetMode="External" Id="rId1114"/><Relationship Type="http://schemas.openxmlformats.org/officeDocument/2006/relationships/hyperlink" Target="#'08 CROSSWALK'!A1112" TargetMode="External" Id="rId1115"/><Relationship Type="http://schemas.openxmlformats.org/officeDocument/2006/relationships/hyperlink" Target="#'08 CROSSWALK'!A1113" TargetMode="External" Id="rId1116"/><Relationship Type="http://schemas.openxmlformats.org/officeDocument/2006/relationships/hyperlink" Target="#'08 CROSSWALK'!A1114" TargetMode="External" Id="rId1117"/><Relationship Type="http://schemas.openxmlformats.org/officeDocument/2006/relationships/hyperlink" Target="#'08 CROSSWALK'!A1115" TargetMode="External" Id="rId1118"/><Relationship Type="http://schemas.openxmlformats.org/officeDocument/2006/relationships/hyperlink" Target="#'08 CROSSWALK'!A1116" TargetMode="External" Id="rId1119"/><Relationship Type="http://schemas.openxmlformats.org/officeDocument/2006/relationships/hyperlink" Target="#'08 CROSSWALK'!A1117" TargetMode="External" Id="rId1120"/><Relationship Type="http://schemas.openxmlformats.org/officeDocument/2006/relationships/hyperlink" Target="#'08 CROSSWALK'!A1118" TargetMode="External" Id="rId1121"/><Relationship Type="http://schemas.openxmlformats.org/officeDocument/2006/relationships/hyperlink" Target="#'08 CROSSWALK'!A1119" TargetMode="External" Id="rId1122"/><Relationship Type="http://schemas.openxmlformats.org/officeDocument/2006/relationships/hyperlink" Target="#'08 CROSSWALK'!A1120" TargetMode="External" Id="rId1123"/><Relationship Type="http://schemas.openxmlformats.org/officeDocument/2006/relationships/hyperlink" Target="#'08 CROSSWALK'!A1121" TargetMode="External" Id="rId1124"/><Relationship Type="http://schemas.openxmlformats.org/officeDocument/2006/relationships/hyperlink" Target="#'08 CROSSWALK'!A1122" TargetMode="External" Id="rId1125"/><Relationship Type="http://schemas.openxmlformats.org/officeDocument/2006/relationships/hyperlink" Target="#'08 CROSSWALK'!A1123" TargetMode="External" Id="rId1126"/><Relationship Type="http://schemas.openxmlformats.org/officeDocument/2006/relationships/hyperlink" Target="#'08 CROSSWALK'!A1124" TargetMode="External" Id="rId1127"/><Relationship Type="http://schemas.openxmlformats.org/officeDocument/2006/relationships/hyperlink" Target="#'08 CROSSWALK'!A1125" TargetMode="External" Id="rId1128"/><Relationship Type="http://schemas.openxmlformats.org/officeDocument/2006/relationships/hyperlink" Target="#'08 CROSSWALK'!A1126" TargetMode="External" Id="rId1129"/><Relationship Type="http://schemas.openxmlformats.org/officeDocument/2006/relationships/hyperlink" Target="#'08 CROSSWALK'!A1127" TargetMode="External" Id="rId1130"/><Relationship Type="http://schemas.openxmlformats.org/officeDocument/2006/relationships/hyperlink" Target="#'08 CROSSWALK'!A1128" TargetMode="External" Id="rId1131"/><Relationship Type="http://schemas.openxmlformats.org/officeDocument/2006/relationships/hyperlink" Target="#'08 CROSSWALK'!A1129" TargetMode="External" Id="rId1132"/><Relationship Type="http://schemas.openxmlformats.org/officeDocument/2006/relationships/hyperlink" Target="#'08 CROSSWALK'!A1130" TargetMode="External" Id="rId1133"/><Relationship Type="http://schemas.openxmlformats.org/officeDocument/2006/relationships/hyperlink" Target="#'08 CROSSWALK'!A1131" TargetMode="External" Id="rId1134"/><Relationship Type="http://schemas.openxmlformats.org/officeDocument/2006/relationships/hyperlink" Target="#'08 CROSSWALK'!A1132" TargetMode="External" Id="rId1135"/><Relationship Type="http://schemas.openxmlformats.org/officeDocument/2006/relationships/hyperlink" Target="#'08 CROSSWALK'!A1133" TargetMode="External" Id="rId1136"/><Relationship Type="http://schemas.openxmlformats.org/officeDocument/2006/relationships/hyperlink" Target="#'08 CROSSWALK'!A1134" TargetMode="External" Id="rId1137"/><Relationship Type="http://schemas.openxmlformats.org/officeDocument/2006/relationships/hyperlink" Target="#'08 CROSSWALK'!A1135" TargetMode="External" Id="rId1138"/><Relationship Type="http://schemas.openxmlformats.org/officeDocument/2006/relationships/hyperlink" Target="#'08 CROSSWALK'!A1136" TargetMode="External" Id="rId1139"/><Relationship Type="http://schemas.openxmlformats.org/officeDocument/2006/relationships/hyperlink" Target="#'08 CROSSWALK'!A1137" TargetMode="External" Id="rId1140"/><Relationship Type="http://schemas.openxmlformats.org/officeDocument/2006/relationships/hyperlink" Target="#'08 CROSSWALK'!A1138" TargetMode="External" Id="rId1141"/><Relationship Type="http://schemas.openxmlformats.org/officeDocument/2006/relationships/hyperlink" Target="#'08 CROSSWALK'!A1139" TargetMode="External" Id="rId1142"/><Relationship Type="http://schemas.openxmlformats.org/officeDocument/2006/relationships/hyperlink" Target="#'08 CROSSWALK'!A1140" TargetMode="External" Id="rId1143"/><Relationship Type="http://schemas.openxmlformats.org/officeDocument/2006/relationships/hyperlink" Target="#'08 CROSSWALK'!A1141" TargetMode="External" Id="rId1144"/><Relationship Type="http://schemas.openxmlformats.org/officeDocument/2006/relationships/hyperlink" Target="#'08 CROSSWALK'!A1142" TargetMode="External" Id="rId1145"/><Relationship Type="http://schemas.openxmlformats.org/officeDocument/2006/relationships/hyperlink" Target="#'08 CROSSWALK'!A1143" TargetMode="External" Id="rId1146"/><Relationship Type="http://schemas.openxmlformats.org/officeDocument/2006/relationships/hyperlink" Target="#'08 CROSSWALK'!A1144" TargetMode="External" Id="rId1147"/><Relationship Type="http://schemas.openxmlformats.org/officeDocument/2006/relationships/hyperlink" Target="#'08 CROSSWALK'!A1145" TargetMode="External" Id="rId1148"/><Relationship Type="http://schemas.openxmlformats.org/officeDocument/2006/relationships/hyperlink" Target="#'08 CROSSWALK'!A1146" TargetMode="External" Id="rId1149"/><Relationship Type="http://schemas.openxmlformats.org/officeDocument/2006/relationships/hyperlink" Target="#'08 CROSSWALK'!A1147" TargetMode="External" Id="rId1150"/><Relationship Type="http://schemas.openxmlformats.org/officeDocument/2006/relationships/hyperlink" Target="#'08 CROSSWALK'!A1148" TargetMode="External" Id="rId1151"/><Relationship Type="http://schemas.openxmlformats.org/officeDocument/2006/relationships/hyperlink" Target="#'08 CROSSWALK'!A1149" TargetMode="External" Id="rId1152"/><Relationship Type="http://schemas.openxmlformats.org/officeDocument/2006/relationships/hyperlink" Target="#'08 CROSSWALK'!A1150" TargetMode="External" Id="rId1153"/><Relationship Type="http://schemas.openxmlformats.org/officeDocument/2006/relationships/hyperlink" Target="#'08 CROSSWALK'!A1151" TargetMode="External" Id="rId1154"/><Relationship Type="http://schemas.openxmlformats.org/officeDocument/2006/relationships/hyperlink" Target="#'08 CROSSWALK'!A1152" TargetMode="External" Id="rId1155"/><Relationship Type="http://schemas.openxmlformats.org/officeDocument/2006/relationships/hyperlink" Target="#'08 CROSSWALK'!A1153" TargetMode="External" Id="rId1156"/><Relationship Type="http://schemas.openxmlformats.org/officeDocument/2006/relationships/hyperlink" Target="#'08 CROSSWALK'!A1154" TargetMode="External" Id="rId1157"/><Relationship Type="http://schemas.openxmlformats.org/officeDocument/2006/relationships/hyperlink" Target="#'08 CROSSWALK'!A1155" TargetMode="External" Id="rId1158"/><Relationship Type="http://schemas.openxmlformats.org/officeDocument/2006/relationships/hyperlink" Target="#'08 CROSSWALK'!A1156" TargetMode="External" Id="rId1159"/><Relationship Type="http://schemas.openxmlformats.org/officeDocument/2006/relationships/hyperlink" Target="#'08 CROSSWALK'!A1157" TargetMode="External" Id="rId1160"/><Relationship Type="http://schemas.openxmlformats.org/officeDocument/2006/relationships/hyperlink" Target="#'08 CROSSWALK'!A1158" TargetMode="External" Id="rId1161"/><Relationship Type="http://schemas.openxmlformats.org/officeDocument/2006/relationships/hyperlink" Target="#'08 CROSSWALK'!A1159" TargetMode="External" Id="rId1162"/><Relationship Type="http://schemas.openxmlformats.org/officeDocument/2006/relationships/hyperlink" Target="#'08 CROSSWALK'!A1160" TargetMode="External" Id="rId1163"/><Relationship Type="http://schemas.openxmlformats.org/officeDocument/2006/relationships/hyperlink" Target="#'08 CROSSWALK'!A1161" TargetMode="External" Id="rId1164"/><Relationship Type="http://schemas.openxmlformats.org/officeDocument/2006/relationships/hyperlink" Target="#'08 CROSSWALK'!A1162" TargetMode="External" Id="rId1165"/><Relationship Type="http://schemas.openxmlformats.org/officeDocument/2006/relationships/hyperlink" Target="#'08 CROSSWALK'!A1163" TargetMode="External" Id="rId1166"/><Relationship Type="http://schemas.openxmlformats.org/officeDocument/2006/relationships/hyperlink" Target="#'08 CROSSWALK'!A1164" TargetMode="External" Id="rId1167"/><Relationship Type="http://schemas.openxmlformats.org/officeDocument/2006/relationships/hyperlink" Target="#'08 CROSSWALK'!A1165" TargetMode="External" Id="rId1168"/><Relationship Type="http://schemas.openxmlformats.org/officeDocument/2006/relationships/hyperlink" Target="#'08 CROSSWALK'!A1166" TargetMode="External" Id="rId1169"/><Relationship Type="http://schemas.openxmlformats.org/officeDocument/2006/relationships/hyperlink" Target="#'08 CROSSWALK'!A1167" TargetMode="External" Id="rId1170"/><Relationship Type="http://schemas.openxmlformats.org/officeDocument/2006/relationships/hyperlink" Target="#'08 CROSSWALK'!A1168" TargetMode="External" Id="rId1171"/><Relationship Type="http://schemas.openxmlformats.org/officeDocument/2006/relationships/hyperlink" Target="#'08 CROSSWALK'!A1169" TargetMode="External" Id="rId1172"/><Relationship Type="http://schemas.openxmlformats.org/officeDocument/2006/relationships/hyperlink" Target="#'08 CROSSWALK'!A1170" TargetMode="External" Id="rId1173"/><Relationship Type="http://schemas.openxmlformats.org/officeDocument/2006/relationships/hyperlink" Target="#'08 CROSSWALK'!A1171" TargetMode="External" Id="rId1174"/><Relationship Type="http://schemas.openxmlformats.org/officeDocument/2006/relationships/hyperlink" Target="#'08 CROSSWALK'!A1172" TargetMode="External" Id="rId1175"/><Relationship Type="http://schemas.openxmlformats.org/officeDocument/2006/relationships/hyperlink" Target="#'08 CROSSWALK'!A1173" TargetMode="External" Id="rId1176"/><Relationship Type="http://schemas.openxmlformats.org/officeDocument/2006/relationships/hyperlink" Target="#'08 CROSSWALK'!A1174" TargetMode="External" Id="rId1177"/><Relationship Type="http://schemas.openxmlformats.org/officeDocument/2006/relationships/hyperlink" Target="#'08 CROSSWALK'!A1175" TargetMode="External" Id="rId1178"/><Relationship Type="http://schemas.openxmlformats.org/officeDocument/2006/relationships/hyperlink" Target="#'08 CROSSWALK'!A1176" TargetMode="External" Id="rId1179"/><Relationship Type="http://schemas.openxmlformats.org/officeDocument/2006/relationships/hyperlink" Target="#'08 CROSSWALK'!A1177" TargetMode="External" Id="rId1180"/><Relationship Type="http://schemas.openxmlformats.org/officeDocument/2006/relationships/hyperlink" Target="#'08 CROSSWALK'!A1178" TargetMode="External" Id="rId1181"/><Relationship Type="http://schemas.openxmlformats.org/officeDocument/2006/relationships/hyperlink" Target="#'08 CROSSWALK'!A1179" TargetMode="External" Id="rId1182"/><Relationship Type="http://schemas.openxmlformats.org/officeDocument/2006/relationships/hyperlink" Target="#'08 CROSSWALK'!A1180" TargetMode="External" Id="rId1183"/><Relationship Type="http://schemas.openxmlformats.org/officeDocument/2006/relationships/hyperlink" Target="#'08 CROSSWALK'!A1181" TargetMode="External" Id="rId1184"/><Relationship Type="http://schemas.openxmlformats.org/officeDocument/2006/relationships/hyperlink" Target="#'08 CROSSWALK'!A1182" TargetMode="External" Id="rId1185"/><Relationship Type="http://schemas.openxmlformats.org/officeDocument/2006/relationships/hyperlink" Target="#'08 CROSSWALK'!A1183" TargetMode="External" Id="rId1186"/><Relationship Type="http://schemas.openxmlformats.org/officeDocument/2006/relationships/hyperlink" Target="#'08 CROSSWALK'!A1184" TargetMode="External" Id="rId1187"/><Relationship Type="http://schemas.openxmlformats.org/officeDocument/2006/relationships/hyperlink" Target="#'08 CROSSWALK'!A1185" TargetMode="External" Id="rId1188"/><Relationship Type="http://schemas.openxmlformats.org/officeDocument/2006/relationships/hyperlink" Target="#'08 CROSSWALK'!A1186" TargetMode="External" Id="rId1189"/><Relationship Type="http://schemas.openxmlformats.org/officeDocument/2006/relationships/hyperlink" Target="#'08 CROSSWALK'!A1187" TargetMode="External" Id="rId1190"/><Relationship Type="http://schemas.openxmlformats.org/officeDocument/2006/relationships/hyperlink" Target="#'08 CROSSWALK'!A1188" TargetMode="External" Id="rId1191"/><Relationship Type="http://schemas.openxmlformats.org/officeDocument/2006/relationships/hyperlink" Target="#'08 CROSSWALK'!A1189" TargetMode="External" Id="rId1192"/><Relationship Type="http://schemas.openxmlformats.org/officeDocument/2006/relationships/hyperlink" Target="#'08 CROSSWALK'!A1190" TargetMode="External" Id="rId1193"/><Relationship Type="http://schemas.openxmlformats.org/officeDocument/2006/relationships/hyperlink" Target="#'08 CROSSWALK'!A1191" TargetMode="External" Id="rId1194"/><Relationship Type="http://schemas.openxmlformats.org/officeDocument/2006/relationships/hyperlink" Target="#'08 CROSSWALK'!A1192" TargetMode="External" Id="rId1195"/><Relationship Type="http://schemas.openxmlformats.org/officeDocument/2006/relationships/hyperlink" Target="#'08 CROSSWALK'!A1193" TargetMode="External" Id="rId1196"/><Relationship Type="http://schemas.openxmlformats.org/officeDocument/2006/relationships/hyperlink" Target="#'08 CROSSWALK'!A1194" TargetMode="External" Id="rId1197"/><Relationship Type="http://schemas.openxmlformats.org/officeDocument/2006/relationships/hyperlink" Target="#'08 CROSSWALK'!A1195" TargetMode="External" Id="rId1198"/><Relationship Type="http://schemas.openxmlformats.org/officeDocument/2006/relationships/hyperlink" Target="#'08 CROSSWALK'!A1196" TargetMode="External" Id="rId1199"/><Relationship Type="http://schemas.openxmlformats.org/officeDocument/2006/relationships/hyperlink" Target="#'08 CROSSWALK'!A1197" TargetMode="External" Id="rId1200"/><Relationship Type="http://schemas.openxmlformats.org/officeDocument/2006/relationships/hyperlink" Target="#'08 CROSSWALK'!A1198" TargetMode="External" Id="rId1201"/><Relationship Type="http://schemas.openxmlformats.org/officeDocument/2006/relationships/hyperlink" Target="#'08 CROSSWALK'!A1199" TargetMode="External" Id="rId1202"/><Relationship Type="http://schemas.openxmlformats.org/officeDocument/2006/relationships/hyperlink" Target="#'08 CROSSWALK'!A1200" TargetMode="External" Id="rId1203"/><Relationship Type="http://schemas.openxmlformats.org/officeDocument/2006/relationships/hyperlink" Target="#'08 CROSSWALK'!A1201" TargetMode="External" Id="rId1204"/><Relationship Type="http://schemas.openxmlformats.org/officeDocument/2006/relationships/hyperlink" Target="#'08 CROSSWALK'!A1202" TargetMode="External" Id="rId1205"/><Relationship Type="http://schemas.openxmlformats.org/officeDocument/2006/relationships/hyperlink" Target="#'08 CROSSWALK'!A1203" TargetMode="External" Id="rId1206"/><Relationship Type="http://schemas.openxmlformats.org/officeDocument/2006/relationships/hyperlink" Target="#'08 CROSSWALK'!A1204" TargetMode="External" Id="rId1207"/><Relationship Type="http://schemas.openxmlformats.org/officeDocument/2006/relationships/hyperlink" Target="#'08 CROSSWALK'!A1205" TargetMode="External" Id="rId1208"/><Relationship Type="http://schemas.openxmlformats.org/officeDocument/2006/relationships/hyperlink" Target="#'08 CROSSWALK'!A1206" TargetMode="External" Id="rId1209"/><Relationship Type="http://schemas.openxmlformats.org/officeDocument/2006/relationships/hyperlink" Target="#'08 CROSSWALK'!A1207" TargetMode="External" Id="rId1210"/><Relationship Type="http://schemas.openxmlformats.org/officeDocument/2006/relationships/hyperlink" Target="#'08 CROSSWALK'!A1208" TargetMode="External" Id="rId1211"/><Relationship Type="http://schemas.openxmlformats.org/officeDocument/2006/relationships/hyperlink" Target="#'08 CROSSWALK'!A1209" TargetMode="External" Id="rId1212"/><Relationship Type="http://schemas.openxmlformats.org/officeDocument/2006/relationships/hyperlink" Target="#'08 CROSSWALK'!A1210" TargetMode="External" Id="rId1213"/><Relationship Type="http://schemas.openxmlformats.org/officeDocument/2006/relationships/hyperlink" Target="#'08 CROSSWALK'!A1211" TargetMode="External" Id="rId1214"/><Relationship Type="http://schemas.openxmlformats.org/officeDocument/2006/relationships/hyperlink" Target="#'08 CROSSWALK'!A1212" TargetMode="External" Id="rId1215"/><Relationship Type="http://schemas.openxmlformats.org/officeDocument/2006/relationships/hyperlink" Target="#'08 CROSSWALK'!A1213" TargetMode="External" Id="rId1216"/><Relationship Type="http://schemas.openxmlformats.org/officeDocument/2006/relationships/hyperlink" Target="#'08 CROSSWALK'!A1214" TargetMode="External" Id="rId1217"/><Relationship Type="http://schemas.openxmlformats.org/officeDocument/2006/relationships/hyperlink" Target="#'08 CROSSWALK'!A1215" TargetMode="External" Id="rId1218"/><Relationship Type="http://schemas.openxmlformats.org/officeDocument/2006/relationships/hyperlink" Target="#'08 CROSSWALK'!A1216" TargetMode="External" Id="rId1219"/><Relationship Type="http://schemas.openxmlformats.org/officeDocument/2006/relationships/hyperlink" Target="#'08 CROSSWALK'!A1217" TargetMode="External" Id="rId1220"/><Relationship Type="http://schemas.openxmlformats.org/officeDocument/2006/relationships/hyperlink" Target="#'08 CROSSWALK'!A1218" TargetMode="External" Id="rId1221"/><Relationship Type="http://schemas.openxmlformats.org/officeDocument/2006/relationships/hyperlink" Target="#'08 CROSSWALK'!A1219" TargetMode="External" Id="rId1222"/><Relationship Type="http://schemas.openxmlformats.org/officeDocument/2006/relationships/hyperlink" Target="#'08 CROSSWALK'!A1220" TargetMode="External" Id="rId1223"/><Relationship Type="http://schemas.openxmlformats.org/officeDocument/2006/relationships/hyperlink" Target="#'08 CROSSWALK'!A1221" TargetMode="External" Id="rId1224"/><Relationship Type="http://schemas.openxmlformats.org/officeDocument/2006/relationships/hyperlink" Target="#'08 CROSSWALK'!A1222" TargetMode="External" Id="rId1225"/><Relationship Type="http://schemas.openxmlformats.org/officeDocument/2006/relationships/hyperlink" Target="#'08 CROSSWALK'!A1223" TargetMode="External" Id="rId1226"/><Relationship Type="http://schemas.openxmlformats.org/officeDocument/2006/relationships/hyperlink" Target="#'08 CROSSWALK'!A1224" TargetMode="External" Id="rId1227"/><Relationship Type="http://schemas.openxmlformats.org/officeDocument/2006/relationships/hyperlink" Target="#'08 CROSSWALK'!A1225" TargetMode="External" Id="rId1228"/><Relationship Type="http://schemas.openxmlformats.org/officeDocument/2006/relationships/hyperlink" Target="#'08 CROSSWALK'!A1226" TargetMode="External" Id="rId1229"/><Relationship Type="http://schemas.openxmlformats.org/officeDocument/2006/relationships/hyperlink" Target="#'08 CROSSWALK'!A1227" TargetMode="External" Id="rId1230"/><Relationship Type="http://schemas.openxmlformats.org/officeDocument/2006/relationships/hyperlink" Target="#'08 CROSSWALK'!A1228" TargetMode="External" Id="rId1231"/><Relationship Type="http://schemas.openxmlformats.org/officeDocument/2006/relationships/hyperlink" Target="#'08 CROSSWALK'!A1229" TargetMode="External" Id="rId1232"/><Relationship Type="http://schemas.openxmlformats.org/officeDocument/2006/relationships/hyperlink" Target="#'08 CROSSWALK'!A1230" TargetMode="External" Id="rId1233"/><Relationship Type="http://schemas.openxmlformats.org/officeDocument/2006/relationships/hyperlink" Target="#'08 CROSSWALK'!A1231" TargetMode="External" Id="rId1234"/><Relationship Type="http://schemas.openxmlformats.org/officeDocument/2006/relationships/hyperlink" Target="#'08 CROSSWALK'!A1232" TargetMode="External" Id="rId1235"/><Relationship Type="http://schemas.openxmlformats.org/officeDocument/2006/relationships/hyperlink" Target="#'08 CROSSWALK'!A1233" TargetMode="External" Id="rId1236"/><Relationship Type="http://schemas.openxmlformats.org/officeDocument/2006/relationships/hyperlink" Target="#'08 CROSSWALK'!A1234" TargetMode="External" Id="rId1237"/><Relationship Type="http://schemas.openxmlformats.org/officeDocument/2006/relationships/hyperlink" Target="#'08 CROSSWALK'!A1235" TargetMode="External" Id="rId1238"/><Relationship Type="http://schemas.openxmlformats.org/officeDocument/2006/relationships/hyperlink" Target="#'08 CROSSWALK'!A1236" TargetMode="External" Id="rId1239"/><Relationship Type="http://schemas.openxmlformats.org/officeDocument/2006/relationships/hyperlink" Target="#'08 CROSSWALK'!A1237" TargetMode="External" Id="rId1240"/><Relationship Type="http://schemas.openxmlformats.org/officeDocument/2006/relationships/hyperlink" Target="#'08 CROSSWALK'!A1238" TargetMode="External" Id="rId1241"/><Relationship Type="http://schemas.openxmlformats.org/officeDocument/2006/relationships/hyperlink" Target="#'08 CROSSWALK'!A1239" TargetMode="External" Id="rId1242"/><Relationship Type="http://schemas.openxmlformats.org/officeDocument/2006/relationships/hyperlink" Target="#'08 CROSSWALK'!A1240" TargetMode="External" Id="rId1243"/><Relationship Type="http://schemas.openxmlformats.org/officeDocument/2006/relationships/hyperlink" Target="#'08 CROSSWALK'!A1241" TargetMode="External" Id="rId1244"/><Relationship Type="http://schemas.openxmlformats.org/officeDocument/2006/relationships/hyperlink" Target="#'08 CROSSWALK'!A1242" TargetMode="External" Id="rId1245"/><Relationship Type="http://schemas.openxmlformats.org/officeDocument/2006/relationships/hyperlink" Target="#'08 CROSSWALK'!A1243" TargetMode="External" Id="rId1246"/><Relationship Type="http://schemas.openxmlformats.org/officeDocument/2006/relationships/hyperlink" Target="#'08 CROSSWALK'!A1244" TargetMode="External" Id="rId1247"/><Relationship Type="http://schemas.openxmlformats.org/officeDocument/2006/relationships/hyperlink" Target="#'08 CROSSWALK'!A1245" TargetMode="External" Id="rId1248"/><Relationship Type="http://schemas.openxmlformats.org/officeDocument/2006/relationships/hyperlink" Target="#'08 CROSSWALK'!A1246" TargetMode="External" Id="rId1249"/><Relationship Type="http://schemas.openxmlformats.org/officeDocument/2006/relationships/hyperlink" Target="#'08 CROSSWALK'!A1247" TargetMode="External" Id="rId1250"/><Relationship Type="http://schemas.openxmlformats.org/officeDocument/2006/relationships/hyperlink" Target="#'08 CROSSWALK'!A1248" TargetMode="External" Id="rId1251"/><Relationship Type="http://schemas.openxmlformats.org/officeDocument/2006/relationships/hyperlink" Target="#'08 CROSSWALK'!A1249" TargetMode="External" Id="rId1252"/><Relationship Type="http://schemas.openxmlformats.org/officeDocument/2006/relationships/hyperlink" Target="#'08 CROSSWALK'!A1250" TargetMode="External" Id="rId1253"/><Relationship Type="http://schemas.openxmlformats.org/officeDocument/2006/relationships/hyperlink" Target="#'08 CROSSWALK'!A1251" TargetMode="External" Id="rId1254"/><Relationship Type="http://schemas.openxmlformats.org/officeDocument/2006/relationships/hyperlink" Target="#'08 CROSSWALK'!A1252" TargetMode="External" Id="rId1255"/><Relationship Type="http://schemas.openxmlformats.org/officeDocument/2006/relationships/hyperlink" Target="#'08 CROSSWALK'!A1253" TargetMode="External" Id="rId1256"/><Relationship Type="http://schemas.openxmlformats.org/officeDocument/2006/relationships/hyperlink" Target="#'08 CROSSWALK'!A1254" TargetMode="External" Id="rId1257"/><Relationship Type="http://schemas.openxmlformats.org/officeDocument/2006/relationships/hyperlink" Target="#'08 CROSSWALK'!A1255" TargetMode="External" Id="rId1258"/><Relationship Type="http://schemas.openxmlformats.org/officeDocument/2006/relationships/hyperlink" Target="#'08 CROSSWALK'!A1256" TargetMode="External" Id="rId1259"/><Relationship Type="http://schemas.openxmlformats.org/officeDocument/2006/relationships/hyperlink" Target="#'08 CROSSWALK'!A1257" TargetMode="External" Id="rId1260"/><Relationship Type="http://schemas.openxmlformats.org/officeDocument/2006/relationships/hyperlink" Target="#'08 CROSSWALK'!A1258" TargetMode="External" Id="rId1261"/><Relationship Type="http://schemas.openxmlformats.org/officeDocument/2006/relationships/hyperlink" Target="#'08 CROSSWALK'!A1259" TargetMode="External" Id="rId1262"/><Relationship Type="http://schemas.openxmlformats.org/officeDocument/2006/relationships/hyperlink" Target="#'08 CROSSWALK'!A1260" TargetMode="External" Id="rId1263"/><Relationship Type="http://schemas.openxmlformats.org/officeDocument/2006/relationships/hyperlink" Target="#'08 CROSSWALK'!A1261" TargetMode="External" Id="rId1264"/><Relationship Type="http://schemas.openxmlformats.org/officeDocument/2006/relationships/hyperlink" Target="#'08 CROSSWALK'!A1262" TargetMode="External" Id="rId1265"/><Relationship Type="http://schemas.openxmlformats.org/officeDocument/2006/relationships/hyperlink" Target="#'08 CROSSWALK'!A1263" TargetMode="External" Id="rId1266"/><Relationship Type="http://schemas.openxmlformats.org/officeDocument/2006/relationships/hyperlink" Target="#'08 CROSSWALK'!A1264" TargetMode="External" Id="rId1267"/><Relationship Type="http://schemas.openxmlformats.org/officeDocument/2006/relationships/hyperlink" Target="#'08 CROSSWALK'!A1265" TargetMode="External" Id="rId1268"/><Relationship Type="http://schemas.openxmlformats.org/officeDocument/2006/relationships/hyperlink" Target="#'08 CROSSWALK'!A1266" TargetMode="External" Id="rId1269"/><Relationship Type="http://schemas.openxmlformats.org/officeDocument/2006/relationships/hyperlink" Target="#'08 CROSSWALK'!A1267" TargetMode="External" Id="rId1270"/><Relationship Type="http://schemas.openxmlformats.org/officeDocument/2006/relationships/hyperlink" Target="#'08 CROSSWALK'!A1268" TargetMode="External" Id="rId1271"/><Relationship Type="http://schemas.openxmlformats.org/officeDocument/2006/relationships/hyperlink" Target="#'08 CROSSWALK'!A1269" TargetMode="External" Id="rId1272"/><Relationship Type="http://schemas.openxmlformats.org/officeDocument/2006/relationships/hyperlink" Target="#'08 CROSSWALK'!A1270" TargetMode="External" Id="rId1273"/><Relationship Type="http://schemas.openxmlformats.org/officeDocument/2006/relationships/hyperlink" Target="#'08 CROSSWALK'!A1271" TargetMode="External" Id="rId1274"/><Relationship Type="http://schemas.openxmlformats.org/officeDocument/2006/relationships/hyperlink" Target="#'08 CROSSWALK'!A1272" TargetMode="External" Id="rId1275"/><Relationship Type="http://schemas.openxmlformats.org/officeDocument/2006/relationships/hyperlink" Target="#'08 CROSSWALK'!A1273" TargetMode="External" Id="rId1276"/><Relationship Type="http://schemas.openxmlformats.org/officeDocument/2006/relationships/hyperlink" Target="#'08 CROSSWALK'!A1274" TargetMode="External" Id="rId1277"/><Relationship Type="http://schemas.openxmlformats.org/officeDocument/2006/relationships/hyperlink" Target="#'08 CROSSWALK'!A1275" TargetMode="External" Id="rId1278"/><Relationship Type="http://schemas.openxmlformats.org/officeDocument/2006/relationships/hyperlink" Target="#'08 CROSSWALK'!A1276" TargetMode="External" Id="rId1279"/><Relationship Type="http://schemas.openxmlformats.org/officeDocument/2006/relationships/hyperlink" Target="#'08 CROSSWALK'!A1277" TargetMode="External" Id="rId1280"/><Relationship Type="http://schemas.openxmlformats.org/officeDocument/2006/relationships/hyperlink" Target="#'08 CROSSWALK'!A1278" TargetMode="External" Id="rId1281"/><Relationship Type="http://schemas.openxmlformats.org/officeDocument/2006/relationships/hyperlink" Target="#'08 CROSSWALK'!A1279" TargetMode="External" Id="rId1282"/><Relationship Type="http://schemas.openxmlformats.org/officeDocument/2006/relationships/hyperlink" Target="#'08 CROSSWALK'!A1280" TargetMode="External" Id="rId1283"/><Relationship Type="http://schemas.openxmlformats.org/officeDocument/2006/relationships/hyperlink" Target="#'08 CROSSWALK'!A1281" TargetMode="External" Id="rId1284"/><Relationship Type="http://schemas.openxmlformats.org/officeDocument/2006/relationships/hyperlink" Target="#'08 CROSSWALK'!A1282" TargetMode="External" Id="rId1285"/><Relationship Type="http://schemas.openxmlformats.org/officeDocument/2006/relationships/hyperlink" Target="#'08 CROSSWALK'!A1283" TargetMode="External" Id="rId1286"/><Relationship Type="http://schemas.openxmlformats.org/officeDocument/2006/relationships/hyperlink" Target="#'08 CROSSWALK'!A1284" TargetMode="External" Id="rId1287"/><Relationship Type="http://schemas.openxmlformats.org/officeDocument/2006/relationships/hyperlink" Target="#'08 CROSSWALK'!A1285" TargetMode="External" Id="rId1288"/><Relationship Type="http://schemas.openxmlformats.org/officeDocument/2006/relationships/hyperlink" Target="#'08 CROSSWALK'!A1286" TargetMode="External" Id="rId1289"/><Relationship Type="http://schemas.openxmlformats.org/officeDocument/2006/relationships/hyperlink" Target="#'08 CROSSWALK'!A1287" TargetMode="External" Id="rId1290"/><Relationship Type="http://schemas.openxmlformats.org/officeDocument/2006/relationships/hyperlink" Target="#'08 CROSSWALK'!A1288" TargetMode="External" Id="rId1291"/><Relationship Type="http://schemas.openxmlformats.org/officeDocument/2006/relationships/hyperlink" Target="#'08 CROSSWALK'!A1289" TargetMode="External" Id="rId1292"/><Relationship Type="http://schemas.openxmlformats.org/officeDocument/2006/relationships/hyperlink" Target="#'08 CROSSWALK'!A1290" TargetMode="External" Id="rId1293"/><Relationship Type="http://schemas.openxmlformats.org/officeDocument/2006/relationships/hyperlink" Target="#'08 CROSSWALK'!A1291" TargetMode="External" Id="rId1294"/><Relationship Type="http://schemas.openxmlformats.org/officeDocument/2006/relationships/hyperlink" Target="#'08 CROSSWALK'!A1292" TargetMode="External" Id="rId1295"/><Relationship Type="http://schemas.openxmlformats.org/officeDocument/2006/relationships/hyperlink" Target="#'08 CROSSWALK'!A1293" TargetMode="External" Id="rId1296"/><Relationship Type="http://schemas.openxmlformats.org/officeDocument/2006/relationships/hyperlink" Target="#'08 CROSSWALK'!A1294" TargetMode="External" Id="rId1297"/><Relationship Type="http://schemas.openxmlformats.org/officeDocument/2006/relationships/hyperlink" Target="#'08 CROSSWALK'!A1295" TargetMode="External" Id="rId1298"/><Relationship Type="http://schemas.openxmlformats.org/officeDocument/2006/relationships/hyperlink" Target="#'08 CROSSWALK'!A1296" TargetMode="External" Id="rId1299"/><Relationship Type="http://schemas.openxmlformats.org/officeDocument/2006/relationships/hyperlink" Target="#'08 CROSSWALK'!A1297" TargetMode="External" Id="rId1300"/><Relationship Type="http://schemas.openxmlformats.org/officeDocument/2006/relationships/hyperlink" Target="#'08 CROSSWALK'!A1298" TargetMode="External" Id="rId1301"/><Relationship Type="http://schemas.openxmlformats.org/officeDocument/2006/relationships/hyperlink" Target="#'08 CROSSWALK'!A1299" TargetMode="External" Id="rId1302"/><Relationship Type="http://schemas.openxmlformats.org/officeDocument/2006/relationships/hyperlink" Target="#'08 CROSSWALK'!A1300" TargetMode="External" Id="rId1303"/><Relationship Type="http://schemas.openxmlformats.org/officeDocument/2006/relationships/hyperlink" Target="#'08 CROSSWALK'!A1301" TargetMode="External" Id="rId1304"/><Relationship Type="http://schemas.openxmlformats.org/officeDocument/2006/relationships/hyperlink" Target="#'08 CROSSWALK'!A1302" TargetMode="External" Id="rId1305"/><Relationship Type="http://schemas.openxmlformats.org/officeDocument/2006/relationships/hyperlink" Target="#'08 CROSSWALK'!A1303" TargetMode="External" Id="rId1306"/><Relationship Type="http://schemas.openxmlformats.org/officeDocument/2006/relationships/hyperlink" Target="#'08 CROSSWALK'!A1304" TargetMode="External" Id="rId1307"/><Relationship Type="http://schemas.openxmlformats.org/officeDocument/2006/relationships/hyperlink" Target="#'08 CROSSWALK'!A1305" TargetMode="External" Id="rId1308"/><Relationship Type="http://schemas.openxmlformats.org/officeDocument/2006/relationships/hyperlink" Target="#'08 CROSSWALK'!A1306" TargetMode="External" Id="rId1309"/><Relationship Type="http://schemas.openxmlformats.org/officeDocument/2006/relationships/hyperlink" Target="#'08 CROSSWALK'!A1307" TargetMode="External" Id="rId1310"/><Relationship Type="http://schemas.openxmlformats.org/officeDocument/2006/relationships/hyperlink" Target="#'08 CROSSWALK'!A1308" TargetMode="External" Id="rId1311"/><Relationship Type="http://schemas.openxmlformats.org/officeDocument/2006/relationships/hyperlink" Target="#'08 CROSSWALK'!A1309" TargetMode="External" Id="rId1312"/><Relationship Type="http://schemas.openxmlformats.org/officeDocument/2006/relationships/hyperlink" Target="#'08 CROSSWALK'!A1310" TargetMode="External" Id="rId1313"/><Relationship Type="http://schemas.openxmlformats.org/officeDocument/2006/relationships/hyperlink" Target="#'08 CROSSWALK'!A1311" TargetMode="External" Id="rId1314"/><Relationship Type="http://schemas.openxmlformats.org/officeDocument/2006/relationships/hyperlink" Target="#'08 CROSSWALK'!A1312" TargetMode="External" Id="rId1315"/><Relationship Type="http://schemas.openxmlformats.org/officeDocument/2006/relationships/hyperlink" Target="#'08 CROSSWALK'!A1313" TargetMode="External" Id="rId1316"/><Relationship Type="http://schemas.openxmlformats.org/officeDocument/2006/relationships/hyperlink" Target="#'08 CROSSWALK'!A1314" TargetMode="External" Id="rId1317"/><Relationship Type="http://schemas.openxmlformats.org/officeDocument/2006/relationships/hyperlink" Target="#'08 CROSSWALK'!A1315" TargetMode="External" Id="rId1318"/><Relationship Type="http://schemas.openxmlformats.org/officeDocument/2006/relationships/hyperlink" Target="#'08 CROSSWALK'!A1316" TargetMode="External" Id="rId1319"/><Relationship Type="http://schemas.openxmlformats.org/officeDocument/2006/relationships/hyperlink" Target="#'08 CROSSWALK'!A1317" TargetMode="External" Id="rId1320"/><Relationship Type="http://schemas.openxmlformats.org/officeDocument/2006/relationships/hyperlink" Target="#'08 CROSSWALK'!A1318" TargetMode="External" Id="rId1321"/><Relationship Type="http://schemas.openxmlformats.org/officeDocument/2006/relationships/hyperlink" Target="#'08 CROSSWALK'!A1319" TargetMode="External" Id="rId1322"/><Relationship Type="http://schemas.openxmlformats.org/officeDocument/2006/relationships/hyperlink" Target="#'08 CROSSWALK'!A1320" TargetMode="External" Id="rId1323"/><Relationship Type="http://schemas.openxmlformats.org/officeDocument/2006/relationships/hyperlink" Target="#'08 CROSSWALK'!A1321" TargetMode="External" Id="rId1324"/><Relationship Type="http://schemas.openxmlformats.org/officeDocument/2006/relationships/hyperlink" Target="#'08 CROSSWALK'!A1322" TargetMode="External" Id="rId1325"/><Relationship Type="http://schemas.openxmlformats.org/officeDocument/2006/relationships/hyperlink" Target="#'08 CROSSWALK'!A1323" TargetMode="External" Id="rId1326"/><Relationship Type="http://schemas.openxmlformats.org/officeDocument/2006/relationships/hyperlink" Target="#'08 CROSSWALK'!A1324" TargetMode="External" Id="rId1327"/><Relationship Type="http://schemas.openxmlformats.org/officeDocument/2006/relationships/hyperlink" Target="#'08 CROSSWALK'!A1325" TargetMode="External" Id="rId1328"/><Relationship Type="http://schemas.openxmlformats.org/officeDocument/2006/relationships/hyperlink" Target="#'08 CROSSWALK'!A1326" TargetMode="External" Id="rId1329"/><Relationship Type="http://schemas.openxmlformats.org/officeDocument/2006/relationships/hyperlink" Target="#'08 CROSSWALK'!A1327" TargetMode="External" Id="rId1330"/><Relationship Type="http://schemas.openxmlformats.org/officeDocument/2006/relationships/hyperlink" Target="#'08 CROSSWALK'!A1328" TargetMode="External" Id="rId1331"/><Relationship Type="http://schemas.openxmlformats.org/officeDocument/2006/relationships/hyperlink" Target="#'08 CROSSWALK'!A1329" TargetMode="External" Id="rId1332"/><Relationship Type="http://schemas.openxmlformats.org/officeDocument/2006/relationships/hyperlink" Target="#'08 CROSSWALK'!A1330" TargetMode="External" Id="rId1333"/><Relationship Type="http://schemas.openxmlformats.org/officeDocument/2006/relationships/hyperlink" Target="#'08 CROSSWALK'!A1331" TargetMode="External" Id="rId1334"/><Relationship Type="http://schemas.openxmlformats.org/officeDocument/2006/relationships/hyperlink" Target="#'08 CROSSWALK'!A1332" TargetMode="External" Id="rId1335"/><Relationship Type="http://schemas.openxmlformats.org/officeDocument/2006/relationships/hyperlink" Target="#'08 CROSSWALK'!A1333" TargetMode="External" Id="rId1336"/><Relationship Type="http://schemas.openxmlformats.org/officeDocument/2006/relationships/hyperlink" Target="#'08 CROSSWALK'!A1334" TargetMode="External" Id="rId1337"/><Relationship Type="http://schemas.openxmlformats.org/officeDocument/2006/relationships/hyperlink" Target="#'08 CROSSWALK'!A1335" TargetMode="External" Id="rId1338"/><Relationship Type="http://schemas.openxmlformats.org/officeDocument/2006/relationships/hyperlink" Target="#'08 CROSSWALK'!A1336" TargetMode="External" Id="rId1339"/><Relationship Type="http://schemas.openxmlformats.org/officeDocument/2006/relationships/hyperlink" Target="#'08 CROSSWALK'!A1337" TargetMode="External" Id="rId1340"/><Relationship Type="http://schemas.openxmlformats.org/officeDocument/2006/relationships/hyperlink" Target="#'08 CROSSWALK'!A1338" TargetMode="External" Id="rId1341"/><Relationship Type="http://schemas.openxmlformats.org/officeDocument/2006/relationships/hyperlink" Target="#'08 CROSSWALK'!A1339" TargetMode="External" Id="rId1342"/><Relationship Type="http://schemas.openxmlformats.org/officeDocument/2006/relationships/hyperlink" Target="#'08 CROSSWALK'!A1340" TargetMode="External" Id="rId1343"/><Relationship Type="http://schemas.openxmlformats.org/officeDocument/2006/relationships/hyperlink" Target="#'08 CROSSWALK'!A1341" TargetMode="External" Id="rId1344"/><Relationship Type="http://schemas.openxmlformats.org/officeDocument/2006/relationships/hyperlink" Target="#'08 CROSSWALK'!A1342" TargetMode="External" Id="rId1345"/><Relationship Type="http://schemas.openxmlformats.org/officeDocument/2006/relationships/hyperlink" Target="#'08 CROSSWALK'!A1343" TargetMode="External" Id="rId1346"/><Relationship Type="http://schemas.openxmlformats.org/officeDocument/2006/relationships/hyperlink" Target="#'08 CROSSWALK'!A1344" TargetMode="External" Id="rId1347"/><Relationship Type="http://schemas.openxmlformats.org/officeDocument/2006/relationships/hyperlink" Target="#'08 CROSSWALK'!A1345" TargetMode="External" Id="rId1348"/><Relationship Type="http://schemas.openxmlformats.org/officeDocument/2006/relationships/hyperlink" Target="#'08 CROSSWALK'!A1346" TargetMode="External" Id="rId1349"/><Relationship Type="http://schemas.openxmlformats.org/officeDocument/2006/relationships/hyperlink" Target="#'08 CROSSWALK'!A1347" TargetMode="External" Id="rId1350"/><Relationship Type="http://schemas.openxmlformats.org/officeDocument/2006/relationships/hyperlink" Target="#'08 CROSSWALK'!A1348" TargetMode="External" Id="rId1351"/><Relationship Type="http://schemas.openxmlformats.org/officeDocument/2006/relationships/hyperlink" Target="#'08 CROSSWALK'!A1349" TargetMode="External" Id="rId1352"/><Relationship Type="http://schemas.openxmlformats.org/officeDocument/2006/relationships/hyperlink" Target="#'08 CROSSWALK'!A1350" TargetMode="External" Id="rId1353"/><Relationship Type="http://schemas.openxmlformats.org/officeDocument/2006/relationships/hyperlink" Target="#'08 CROSSWALK'!A1351" TargetMode="External" Id="rId1354"/><Relationship Type="http://schemas.openxmlformats.org/officeDocument/2006/relationships/hyperlink" Target="#'08 CROSSWALK'!A1352" TargetMode="External" Id="rId1355"/><Relationship Type="http://schemas.openxmlformats.org/officeDocument/2006/relationships/hyperlink" Target="#'08 CROSSWALK'!A1353" TargetMode="External" Id="rId1356"/><Relationship Type="http://schemas.openxmlformats.org/officeDocument/2006/relationships/hyperlink" Target="#'08 CROSSWALK'!A1354" TargetMode="External" Id="rId1357"/><Relationship Type="http://schemas.openxmlformats.org/officeDocument/2006/relationships/hyperlink" Target="#'08 CROSSWALK'!A1355" TargetMode="External" Id="rId1358"/><Relationship Type="http://schemas.openxmlformats.org/officeDocument/2006/relationships/hyperlink" Target="#'08 CROSSWALK'!A1356" TargetMode="External" Id="rId1359"/><Relationship Type="http://schemas.openxmlformats.org/officeDocument/2006/relationships/hyperlink" Target="#'08 CROSSWALK'!A1357" TargetMode="External" Id="rId1360"/><Relationship Type="http://schemas.openxmlformats.org/officeDocument/2006/relationships/hyperlink" Target="#'08 CROSSWALK'!A1358" TargetMode="External" Id="rId1361"/><Relationship Type="http://schemas.openxmlformats.org/officeDocument/2006/relationships/hyperlink" Target="#'08 CROSSWALK'!A1359" TargetMode="External" Id="rId1362"/><Relationship Type="http://schemas.openxmlformats.org/officeDocument/2006/relationships/hyperlink" Target="#'08 CROSSWALK'!A1360" TargetMode="External" Id="rId1363"/><Relationship Type="http://schemas.openxmlformats.org/officeDocument/2006/relationships/hyperlink" Target="#'08 CROSSWALK'!A1361" TargetMode="External" Id="rId1364"/><Relationship Type="http://schemas.openxmlformats.org/officeDocument/2006/relationships/hyperlink" Target="#'08 CROSSWALK'!A1362" TargetMode="External" Id="rId1365"/><Relationship Type="http://schemas.openxmlformats.org/officeDocument/2006/relationships/hyperlink" Target="#'08 CROSSWALK'!A1363" TargetMode="External" Id="rId1366"/><Relationship Type="http://schemas.openxmlformats.org/officeDocument/2006/relationships/hyperlink" Target="#'08 CROSSWALK'!A1364" TargetMode="External" Id="rId1367"/><Relationship Type="http://schemas.openxmlformats.org/officeDocument/2006/relationships/hyperlink" Target="#'08 CROSSWALK'!A1365" TargetMode="External" Id="rId1368"/><Relationship Type="http://schemas.openxmlformats.org/officeDocument/2006/relationships/hyperlink" Target="#'08 CROSSWALK'!A1366" TargetMode="External" Id="rId1369"/><Relationship Type="http://schemas.openxmlformats.org/officeDocument/2006/relationships/hyperlink" Target="#'08 CROSSWALK'!A1367" TargetMode="External" Id="rId1370"/><Relationship Type="http://schemas.openxmlformats.org/officeDocument/2006/relationships/hyperlink" Target="#'08 CROSSWALK'!A1368" TargetMode="External" Id="rId1371"/><Relationship Type="http://schemas.openxmlformats.org/officeDocument/2006/relationships/hyperlink" Target="#'08 CROSSWALK'!A1369" TargetMode="External" Id="rId1372"/><Relationship Type="http://schemas.openxmlformats.org/officeDocument/2006/relationships/hyperlink" Target="#'08 CROSSWALK'!A1370" TargetMode="External" Id="rId1373"/><Relationship Type="http://schemas.openxmlformats.org/officeDocument/2006/relationships/hyperlink" Target="#'08 CROSSWALK'!A1371" TargetMode="External" Id="rId1374"/><Relationship Type="http://schemas.openxmlformats.org/officeDocument/2006/relationships/hyperlink" Target="#'08 CROSSWALK'!A1372" TargetMode="External" Id="rId1375"/><Relationship Type="http://schemas.openxmlformats.org/officeDocument/2006/relationships/hyperlink" Target="#'08 CROSSWALK'!A1373" TargetMode="External" Id="rId1376"/><Relationship Type="http://schemas.openxmlformats.org/officeDocument/2006/relationships/hyperlink" Target="#'08 CROSSWALK'!A1374" TargetMode="External" Id="rId1377"/><Relationship Type="http://schemas.openxmlformats.org/officeDocument/2006/relationships/hyperlink" Target="#'08 CROSSWALK'!A1375" TargetMode="External" Id="rId1378"/><Relationship Type="http://schemas.openxmlformats.org/officeDocument/2006/relationships/hyperlink" Target="#'08 CROSSWALK'!A1376" TargetMode="External" Id="rId1379"/><Relationship Type="http://schemas.openxmlformats.org/officeDocument/2006/relationships/hyperlink" Target="#'08 CROSSWALK'!A1377" TargetMode="External" Id="rId1380"/><Relationship Type="http://schemas.openxmlformats.org/officeDocument/2006/relationships/hyperlink" Target="#'08 CROSSWALK'!A1378" TargetMode="External" Id="rId1381"/><Relationship Type="http://schemas.openxmlformats.org/officeDocument/2006/relationships/hyperlink" Target="#'08 CROSSWALK'!A1379" TargetMode="External" Id="rId1382"/><Relationship Type="http://schemas.openxmlformats.org/officeDocument/2006/relationships/hyperlink" Target="#'08 CROSSWALK'!A1380" TargetMode="External" Id="rId1383"/><Relationship Type="http://schemas.openxmlformats.org/officeDocument/2006/relationships/hyperlink" Target="#'08 CROSSWALK'!A1381" TargetMode="External" Id="rId1384"/><Relationship Type="http://schemas.openxmlformats.org/officeDocument/2006/relationships/hyperlink" Target="#'08 CROSSWALK'!A1382" TargetMode="External" Id="rId1385"/><Relationship Type="http://schemas.openxmlformats.org/officeDocument/2006/relationships/hyperlink" Target="#'08 CROSSWALK'!A1383" TargetMode="External" Id="rId1386"/><Relationship Type="http://schemas.openxmlformats.org/officeDocument/2006/relationships/hyperlink" Target="#'08 CROSSWALK'!A1384" TargetMode="External" Id="rId1387"/><Relationship Type="http://schemas.openxmlformats.org/officeDocument/2006/relationships/hyperlink" Target="#'08 CROSSWALK'!A1385" TargetMode="External" Id="rId1388"/><Relationship Type="http://schemas.openxmlformats.org/officeDocument/2006/relationships/hyperlink" Target="#'08 CROSSWALK'!A1386" TargetMode="External" Id="rId1389"/><Relationship Type="http://schemas.openxmlformats.org/officeDocument/2006/relationships/hyperlink" Target="#'08 CROSSWALK'!A1387" TargetMode="External" Id="rId1390"/><Relationship Type="http://schemas.openxmlformats.org/officeDocument/2006/relationships/hyperlink" Target="#'08 CROSSWALK'!A1388" TargetMode="External" Id="rId1391"/><Relationship Type="http://schemas.openxmlformats.org/officeDocument/2006/relationships/hyperlink" Target="#'08 CROSSWALK'!A1389" TargetMode="External" Id="rId1392"/><Relationship Type="http://schemas.openxmlformats.org/officeDocument/2006/relationships/hyperlink" Target="#'08 CROSSWALK'!A1390" TargetMode="External" Id="rId1393"/><Relationship Type="http://schemas.openxmlformats.org/officeDocument/2006/relationships/hyperlink" Target="#'08 CROSSWALK'!A1391" TargetMode="External" Id="rId1394"/><Relationship Type="http://schemas.openxmlformats.org/officeDocument/2006/relationships/hyperlink" Target="#'08 CROSSWALK'!A1392" TargetMode="External" Id="rId1395"/><Relationship Type="http://schemas.openxmlformats.org/officeDocument/2006/relationships/hyperlink" Target="#'08 CROSSWALK'!A1393" TargetMode="External" Id="rId1396"/><Relationship Type="http://schemas.openxmlformats.org/officeDocument/2006/relationships/hyperlink" Target="#'08 CROSSWALK'!A1394" TargetMode="External" Id="rId1397"/><Relationship Type="http://schemas.openxmlformats.org/officeDocument/2006/relationships/hyperlink" Target="#'08 CROSSWALK'!A1395" TargetMode="External" Id="rId1398"/><Relationship Type="http://schemas.openxmlformats.org/officeDocument/2006/relationships/hyperlink" Target="#'08 CROSSWALK'!A1396" TargetMode="External" Id="rId1399"/><Relationship Type="http://schemas.openxmlformats.org/officeDocument/2006/relationships/hyperlink" Target="#'08 CROSSWALK'!A1397" TargetMode="External" Id="rId1400"/><Relationship Type="http://schemas.openxmlformats.org/officeDocument/2006/relationships/hyperlink" Target="#'08 CROSSWALK'!A1398" TargetMode="External" Id="rId1401"/><Relationship Type="http://schemas.openxmlformats.org/officeDocument/2006/relationships/hyperlink" Target="#'08 CROSSWALK'!A1399" TargetMode="External" Id="rId1402"/><Relationship Type="http://schemas.openxmlformats.org/officeDocument/2006/relationships/hyperlink" Target="#'08 CROSSWALK'!A1400" TargetMode="External" Id="rId1403"/><Relationship Type="http://schemas.openxmlformats.org/officeDocument/2006/relationships/hyperlink" Target="#'08 CROSSWALK'!A1401" TargetMode="External" Id="rId1404"/><Relationship Type="http://schemas.openxmlformats.org/officeDocument/2006/relationships/hyperlink" Target="#'08 CROSSWALK'!A1402" TargetMode="External" Id="rId1405"/><Relationship Type="http://schemas.openxmlformats.org/officeDocument/2006/relationships/hyperlink" Target="#'08 CROSSWALK'!A1403" TargetMode="External" Id="rId1406"/><Relationship Type="http://schemas.openxmlformats.org/officeDocument/2006/relationships/hyperlink" Target="#'08 CROSSWALK'!A1404" TargetMode="External" Id="rId1407"/><Relationship Type="http://schemas.openxmlformats.org/officeDocument/2006/relationships/hyperlink" Target="#'08 CROSSWALK'!A1405" TargetMode="External" Id="rId1408"/><Relationship Type="http://schemas.openxmlformats.org/officeDocument/2006/relationships/hyperlink" Target="#'08 CROSSWALK'!A1406" TargetMode="External" Id="rId1409"/><Relationship Type="http://schemas.openxmlformats.org/officeDocument/2006/relationships/hyperlink" Target="#'08 CROSSWALK'!A1407" TargetMode="External" Id="rId1410"/><Relationship Type="http://schemas.openxmlformats.org/officeDocument/2006/relationships/hyperlink" Target="#'08 CROSSWALK'!A1408" TargetMode="External" Id="rId1411"/><Relationship Type="http://schemas.openxmlformats.org/officeDocument/2006/relationships/hyperlink" Target="#'08 CROSSWALK'!A1409" TargetMode="External" Id="rId1412"/><Relationship Type="http://schemas.openxmlformats.org/officeDocument/2006/relationships/hyperlink" Target="#'08 CROSSWALK'!A1410" TargetMode="External" Id="rId1413"/><Relationship Type="http://schemas.openxmlformats.org/officeDocument/2006/relationships/hyperlink" Target="#'08 CROSSWALK'!A1411" TargetMode="External" Id="rId1414"/><Relationship Type="http://schemas.openxmlformats.org/officeDocument/2006/relationships/hyperlink" Target="#'08 CROSSWALK'!A1412" TargetMode="External" Id="rId1415"/><Relationship Type="http://schemas.openxmlformats.org/officeDocument/2006/relationships/hyperlink" Target="#'08 CROSSWALK'!A1413" TargetMode="External" Id="rId1416"/><Relationship Type="http://schemas.openxmlformats.org/officeDocument/2006/relationships/hyperlink" Target="#'08 CROSSWALK'!A1414" TargetMode="External" Id="rId1417"/><Relationship Type="http://schemas.openxmlformats.org/officeDocument/2006/relationships/hyperlink" Target="#'08 CROSSWALK'!A1415" TargetMode="External" Id="rId1418"/><Relationship Type="http://schemas.openxmlformats.org/officeDocument/2006/relationships/hyperlink" Target="#'08 CROSSWALK'!A1416" TargetMode="External" Id="rId1419"/><Relationship Type="http://schemas.openxmlformats.org/officeDocument/2006/relationships/hyperlink" Target="#'08 CROSSWALK'!A1417" TargetMode="External" Id="rId1420"/><Relationship Type="http://schemas.openxmlformats.org/officeDocument/2006/relationships/hyperlink" Target="#'08 CROSSWALK'!A1418" TargetMode="External" Id="rId1421"/><Relationship Type="http://schemas.openxmlformats.org/officeDocument/2006/relationships/hyperlink" Target="#'08 CROSSWALK'!A1419" TargetMode="External" Id="rId1422"/><Relationship Type="http://schemas.openxmlformats.org/officeDocument/2006/relationships/hyperlink" Target="#'08 CROSSWALK'!A1420" TargetMode="External" Id="rId1423"/><Relationship Type="http://schemas.openxmlformats.org/officeDocument/2006/relationships/hyperlink" Target="#'08 CROSSWALK'!A1421" TargetMode="External" Id="rId1424"/><Relationship Type="http://schemas.openxmlformats.org/officeDocument/2006/relationships/hyperlink" Target="#'08 CROSSWALK'!A1422" TargetMode="External" Id="rId1425"/><Relationship Type="http://schemas.openxmlformats.org/officeDocument/2006/relationships/hyperlink" Target="#'08 CROSSWALK'!A1423" TargetMode="External" Id="rId1426"/><Relationship Type="http://schemas.openxmlformats.org/officeDocument/2006/relationships/hyperlink" Target="#'08 CROSSWALK'!A1424" TargetMode="External" Id="rId1427"/><Relationship Type="http://schemas.openxmlformats.org/officeDocument/2006/relationships/hyperlink" Target="#'08 CROSSWALK'!A1425" TargetMode="External" Id="rId1428"/><Relationship Type="http://schemas.openxmlformats.org/officeDocument/2006/relationships/hyperlink" Target="#'08 CROSSWALK'!A1426" TargetMode="External" Id="rId1429"/><Relationship Type="http://schemas.openxmlformats.org/officeDocument/2006/relationships/hyperlink" Target="#'08 CROSSWALK'!A1427" TargetMode="External" Id="rId1430"/><Relationship Type="http://schemas.openxmlformats.org/officeDocument/2006/relationships/hyperlink" Target="#'08 CROSSWALK'!A1428" TargetMode="External" Id="rId1431"/><Relationship Type="http://schemas.openxmlformats.org/officeDocument/2006/relationships/hyperlink" Target="#'08 CROSSWALK'!A1429" TargetMode="External" Id="rId1432"/><Relationship Type="http://schemas.openxmlformats.org/officeDocument/2006/relationships/hyperlink" Target="#'08 CROSSWALK'!A1430" TargetMode="External" Id="rId1433"/><Relationship Type="http://schemas.openxmlformats.org/officeDocument/2006/relationships/hyperlink" Target="#'08 CROSSWALK'!A1431" TargetMode="External" Id="rId1434"/><Relationship Type="http://schemas.openxmlformats.org/officeDocument/2006/relationships/hyperlink" Target="#'08 CROSSWALK'!A1432" TargetMode="External" Id="rId1435"/><Relationship Type="http://schemas.openxmlformats.org/officeDocument/2006/relationships/hyperlink" Target="#'08 CROSSWALK'!A1433" TargetMode="External" Id="rId1436"/><Relationship Type="http://schemas.openxmlformats.org/officeDocument/2006/relationships/hyperlink" Target="#'08 CROSSWALK'!A1434" TargetMode="External" Id="rId1437"/><Relationship Type="http://schemas.openxmlformats.org/officeDocument/2006/relationships/hyperlink" Target="#'08 CROSSWALK'!A1435" TargetMode="External" Id="rId1438"/><Relationship Type="http://schemas.openxmlformats.org/officeDocument/2006/relationships/hyperlink" Target="#'08 CROSSWALK'!A1436" TargetMode="External" Id="rId1439"/><Relationship Type="http://schemas.openxmlformats.org/officeDocument/2006/relationships/hyperlink" Target="#'08 CROSSWALK'!A1437" TargetMode="External" Id="rId1440"/><Relationship Type="http://schemas.openxmlformats.org/officeDocument/2006/relationships/hyperlink" Target="#'08 CROSSWALK'!A1438" TargetMode="External" Id="rId1441"/><Relationship Type="http://schemas.openxmlformats.org/officeDocument/2006/relationships/hyperlink" Target="#'08 CROSSWALK'!A1439" TargetMode="External" Id="rId1442"/><Relationship Type="http://schemas.openxmlformats.org/officeDocument/2006/relationships/hyperlink" Target="#'08 CROSSWALK'!A1440" TargetMode="External" Id="rId1443"/><Relationship Type="http://schemas.openxmlformats.org/officeDocument/2006/relationships/hyperlink" Target="#'08 CROSSWALK'!A1441" TargetMode="External" Id="rId1444"/><Relationship Type="http://schemas.openxmlformats.org/officeDocument/2006/relationships/hyperlink" Target="#'08 CROSSWALK'!A1442" TargetMode="External" Id="rId1445"/><Relationship Type="http://schemas.openxmlformats.org/officeDocument/2006/relationships/hyperlink" Target="#'08 CROSSWALK'!A1443" TargetMode="External" Id="rId1446"/><Relationship Type="http://schemas.openxmlformats.org/officeDocument/2006/relationships/hyperlink" Target="#'08 CROSSWALK'!A1444" TargetMode="External" Id="rId1447"/><Relationship Type="http://schemas.openxmlformats.org/officeDocument/2006/relationships/hyperlink" Target="#'08 CROSSWALK'!A1445" TargetMode="External" Id="rId1448"/><Relationship Type="http://schemas.openxmlformats.org/officeDocument/2006/relationships/hyperlink" Target="#'08 CROSSWALK'!A1446" TargetMode="External" Id="rId1449"/><Relationship Type="http://schemas.openxmlformats.org/officeDocument/2006/relationships/hyperlink" Target="#'08 CROSSWALK'!A1447" TargetMode="External" Id="rId1450"/><Relationship Type="http://schemas.openxmlformats.org/officeDocument/2006/relationships/hyperlink" Target="#'08 CROSSWALK'!A1448" TargetMode="External" Id="rId1451"/><Relationship Type="http://schemas.openxmlformats.org/officeDocument/2006/relationships/hyperlink" Target="#'08 CROSSWALK'!A1449" TargetMode="External" Id="rId1452"/><Relationship Type="http://schemas.openxmlformats.org/officeDocument/2006/relationships/hyperlink" Target="#'08 CROSSWALK'!A1450" TargetMode="External" Id="rId1453"/><Relationship Type="http://schemas.openxmlformats.org/officeDocument/2006/relationships/hyperlink" Target="#'08 CROSSWALK'!A1451" TargetMode="External" Id="rId1454"/><Relationship Type="http://schemas.openxmlformats.org/officeDocument/2006/relationships/hyperlink" Target="#'08 CROSSWALK'!A1452" TargetMode="External" Id="rId1455"/><Relationship Type="http://schemas.openxmlformats.org/officeDocument/2006/relationships/hyperlink" Target="#'08 CROSSWALK'!A1453" TargetMode="External" Id="rId1456"/><Relationship Type="http://schemas.openxmlformats.org/officeDocument/2006/relationships/hyperlink" Target="#'08 CROSSWALK'!A1454" TargetMode="External" Id="rId1457"/><Relationship Type="http://schemas.openxmlformats.org/officeDocument/2006/relationships/hyperlink" Target="#'08 CROSSWALK'!A1455" TargetMode="External" Id="rId1458"/><Relationship Type="http://schemas.openxmlformats.org/officeDocument/2006/relationships/hyperlink" Target="#'08 CROSSWALK'!A1456" TargetMode="External" Id="rId1459"/><Relationship Type="http://schemas.openxmlformats.org/officeDocument/2006/relationships/hyperlink" Target="#'08 CROSSWALK'!A1457" TargetMode="External" Id="rId1460"/><Relationship Type="http://schemas.openxmlformats.org/officeDocument/2006/relationships/hyperlink" Target="#'08 CROSSWALK'!A1458" TargetMode="External" Id="rId1461"/><Relationship Type="http://schemas.openxmlformats.org/officeDocument/2006/relationships/hyperlink" Target="#'08 CROSSWALK'!A1459" TargetMode="External" Id="rId1462"/><Relationship Type="http://schemas.openxmlformats.org/officeDocument/2006/relationships/hyperlink" Target="#'08 CROSSWALK'!A1460" TargetMode="External" Id="rId1463"/><Relationship Type="http://schemas.openxmlformats.org/officeDocument/2006/relationships/hyperlink" Target="#'08 CROSSWALK'!A1461" TargetMode="External" Id="rId1464"/><Relationship Type="http://schemas.openxmlformats.org/officeDocument/2006/relationships/hyperlink" Target="#'08 CROSSWALK'!A1462" TargetMode="External" Id="rId1465"/><Relationship Type="http://schemas.openxmlformats.org/officeDocument/2006/relationships/hyperlink" Target="#'08 CROSSWALK'!A1463" TargetMode="External" Id="rId1466"/><Relationship Type="http://schemas.openxmlformats.org/officeDocument/2006/relationships/hyperlink" Target="#'08 CROSSWALK'!A1464" TargetMode="External" Id="rId1467"/><Relationship Type="http://schemas.openxmlformats.org/officeDocument/2006/relationships/hyperlink" Target="#'08 CROSSWALK'!A1465" TargetMode="External" Id="rId1468"/><Relationship Type="http://schemas.openxmlformats.org/officeDocument/2006/relationships/hyperlink" Target="#'08 CROSSWALK'!A1466" TargetMode="External" Id="rId1469"/><Relationship Type="http://schemas.openxmlformats.org/officeDocument/2006/relationships/hyperlink" Target="#'08 CROSSWALK'!A1467" TargetMode="External" Id="rId1470"/><Relationship Type="http://schemas.openxmlformats.org/officeDocument/2006/relationships/hyperlink" Target="#'08 CROSSWALK'!A1468" TargetMode="External" Id="rId1471"/><Relationship Type="http://schemas.openxmlformats.org/officeDocument/2006/relationships/hyperlink" Target="#'08 CROSSWALK'!A1469" TargetMode="External" Id="rId1472"/><Relationship Type="http://schemas.openxmlformats.org/officeDocument/2006/relationships/hyperlink" Target="#'08 CROSSWALK'!A1470" TargetMode="External" Id="rId1473"/><Relationship Type="http://schemas.openxmlformats.org/officeDocument/2006/relationships/hyperlink" Target="#'08 CROSSWALK'!A1471" TargetMode="External" Id="rId1474"/><Relationship Type="http://schemas.openxmlformats.org/officeDocument/2006/relationships/hyperlink" Target="#'08 CROSSWALK'!A1472" TargetMode="External" Id="rId1475"/><Relationship Type="http://schemas.openxmlformats.org/officeDocument/2006/relationships/hyperlink" Target="#'08 CROSSWALK'!A1473" TargetMode="External" Id="rId1476"/><Relationship Type="http://schemas.openxmlformats.org/officeDocument/2006/relationships/hyperlink" Target="#'08 CROSSWALK'!A1474" TargetMode="External" Id="rId1477"/><Relationship Type="http://schemas.openxmlformats.org/officeDocument/2006/relationships/hyperlink" Target="#'08 CROSSWALK'!A1475" TargetMode="External" Id="rId1478"/><Relationship Type="http://schemas.openxmlformats.org/officeDocument/2006/relationships/hyperlink" Target="#'08 CROSSWALK'!A1476" TargetMode="External" Id="rId1479"/><Relationship Type="http://schemas.openxmlformats.org/officeDocument/2006/relationships/hyperlink" Target="#'08 CROSSWALK'!A1477" TargetMode="External" Id="rId1480"/><Relationship Type="http://schemas.openxmlformats.org/officeDocument/2006/relationships/hyperlink" Target="#'08 CROSSWALK'!A1478" TargetMode="External" Id="rId1481"/><Relationship Type="http://schemas.openxmlformats.org/officeDocument/2006/relationships/hyperlink" Target="#'08 CROSSWALK'!A1479" TargetMode="External" Id="rId1482"/><Relationship Type="http://schemas.openxmlformats.org/officeDocument/2006/relationships/hyperlink" Target="#'08 CROSSWALK'!A1480" TargetMode="External" Id="rId1483"/><Relationship Type="http://schemas.openxmlformats.org/officeDocument/2006/relationships/hyperlink" Target="#'08 CROSSWALK'!A1481" TargetMode="External" Id="rId1484"/><Relationship Type="http://schemas.openxmlformats.org/officeDocument/2006/relationships/hyperlink" Target="#'08 CROSSWALK'!A1482" TargetMode="External" Id="rId1485"/><Relationship Type="http://schemas.openxmlformats.org/officeDocument/2006/relationships/hyperlink" Target="#'08 CROSSWALK'!A1483" TargetMode="External" Id="rId1486"/><Relationship Type="http://schemas.openxmlformats.org/officeDocument/2006/relationships/hyperlink" Target="#'08 CROSSWALK'!A1484" TargetMode="External" Id="rId1487"/><Relationship Type="http://schemas.openxmlformats.org/officeDocument/2006/relationships/hyperlink" Target="#'08 CROSSWALK'!A1485" TargetMode="External" Id="rId1488"/><Relationship Type="http://schemas.openxmlformats.org/officeDocument/2006/relationships/hyperlink" Target="#'08 CROSSWALK'!A1486" TargetMode="External" Id="rId1489"/><Relationship Type="http://schemas.openxmlformats.org/officeDocument/2006/relationships/hyperlink" Target="#'08 CROSSWALK'!A1487" TargetMode="External" Id="rId1490"/><Relationship Type="http://schemas.openxmlformats.org/officeDocument/2006/relationships/hyperlink" Target="#'08 CROSSWALK'!A1488" TargetMode="External" Id="rId1491"/><Relationship Type="http://schemas.openxmlformats.org/officeDocument/2006/relationships/hyperlink" Target="#'08 CROSSWALK'!A1489" TargetMode="External" Id="rId1492"/><Relationship Type="http://schemas.openxmlformats.org/officeDocument/2006/relationships/hyperlink" Target="#'08 CROSSWALK'!A1490" TargetMode="External" Id="rId1493"/><Relationship Type="http://schemas.openxmlformats.org/officeDocument/2006/relationships/hyperlink" Target="#'08 CROSSWALK'!A1491" TargetMode="External" Id="rId1494"/><Relationship Type="http://schemas.openxmlformats.org/officeDocument/2006/relationships/hyperlink" Target="#'08 CROSSWALK'!A1492" TargetMode="External" Id="rId1495"/><Relationship Type="http://schemas.openxmlformats.org/officeDocument/2006/relationships/hyperlink" Target="#'08 CROSSWALK'!A1493" TargetMode="External" Id="rId1496"/><Relationship Type="http://schemas.openxmlformats.org/officeDocument/2006/relationships/hyperlink" Target="#'08 CROSSWALK'!A1494" TargetMode="External" Id="rId1497"/><Relationship Type="http://schemas.openxmlformats.org/officeDocument/2006/relationships/hyperlink" Target="#'08 CROSSWALK'!A1495" TargetMode="External" Id="rId1498"/><Relationship Type="http://schemas.openxmlformats.org/officeDocument/2006/relationships/hyperlink" Target="#'08 CROSSWALK'!A1496" TargetMode="External" Id="rId1499"/><Relationship Type="http://schemas.openxmlformats.org/officeDocument/2006/relationships/hyperlink" Target="#'08 CROSSWALK'!A1497" TargetMode="External" Id="rId1500"/><Relationship Type="http://schemas.openxmlformats.org/officeDocument/2006/relationships/hyperlink" Target="#'08 CROSSWALK'!A1498" TargetMode="External" Id="rId1501"/><Relationship Type="http://schemas.openxmlformats.org/officeDocument/2006/relationships/hyperlink" Target="#'08 CROSSWALK'!A1499" TargetMode="External" Id="rId1502"/><Relationship Type="http://schemas.openxmlformats.org/officeDocument/2006/relationships/hyperlink" Target="#'08 CROSSWALK'!A1500" TargetMode="External" Id="rId1503"/><Relationship Type="http://schemas.openxmlformats.org/officeDocument/2006/relationships/hyperlink" Target="#'08 CROSSWALK'!A1501" TargetMode="External" Id="rId1504"/><Relationship Type="http://schemas.openxmlformats.org/officeDocument/2006/relationships/hyperlink" Target="#'08 CROSSWALK'!A1502" TargetMode="External" Id="rId1505"/><Relationship Type="http://schemas.openxmlformats.org/officeDocument/2006/relationships/hyperlink" Target="#'08 CROSSWALK'!A1503" TargetMode="External" Id="rId1506"/><Relationship Type="http://schemas.openxmlformats.org/officeDocument/2006/relationships/hyperlink" Target="#'08 CROSSWALK'!A1504" TargetMode="External" Id="rId1507"/><Relationship Type="http://schemas.openxmlformats.org/officeDocument/2006/relationships/hyperlink" Target="#'08 CROSSWALK'!A1505" TargetMode="External" Id="rId1508"/><Relationship Type="http://schemas.openxmlformats.org/officeDocument/2006/relationships/hyperlink" Target="#'08 CROSSWALK'!A1506" TargetMode="External" Id="rId1509"/><Relationship Type="http://schemas.openxmlformats.org/officeDocument/2006/relationships/hyperlink" Target="#'08 CROSSWALK'!A1507" TargetMode="External" Id="rId1510"/><Relationship Type="http://schemas.openxmlformats.org/officeDocument/2006/relationships/hyperlink" Target="#'08 CROSSWALK'!A1508" TargetMode="External" Id="rId1511"/><Relationship Type="http://schemas.openxmlformats.org/officeDocument/2006/relationships/hyperlink" Target="#'08 CROSSWALK'!A1509" TargetMode="External" Id="rId1512"/><Relationship Type="http://schemas.openxmlformats.org/officeDocument/2006/relationships/hyperlink" Target="#'08 CROSSWALK'!A1510" TargetMode="External" Id="rId1513"/><Relationship Type="http://schemas.openxmlformats.org/officeDocument/2006/relationships/hyperlink" Target="#'08 CROSSWALK'!A1511" TargetMode="External" Id="rId1514"/><Relationship Type="http://schemas.openxmlformats.org/officeDocument/2006/relationships/hyperlink" Target="#'08 CROSSWALK'!A1512" TargetMode="External" Id="rId1515"/><Relationship Type="http://schemas.openxmlformats.org/officeDocument/2006/relationships/hyperlink" Target="#'08 CROSSWALK'!A1513" TargetMode="External" Id="rId1516"/><Relationship Type="http://schemas.openxmlformats.org/officeDocument/2006/relationships/hyperlink" Target="#'08 CROSSWALK'!A1514" TargetMode="External" Id="rId1517"/><Relationship Type="http://schemas.openxmlformats.org/officeDocument/2006/relationships/hyperlink" Target="#'08 CROSSWALK'!A1515" TargetMode="External" Id="rId1518"/><Relationship Type="http://schemas.openxmlformats.org/officeDocument/2006/relationships/hyperlink" Target="#'08 CROSSWALK'!A1516" TargetMode="External" Id="rId1519"/><Relationship Type="http://schemas.openxmlformats.org/officeDocument/2006/relationships/hyperlink" Target="#'08 CROSSWALK'!A1517" TargetMode="External" Id="rId1520"/><Relationship Type="http://schemas.openxmlformats.org/officeDocument/2006/relationships/hyperlink" Target="#'08 CROSSWALK'!A1518" TargetMode="External" Id="rId1521"/><Relationship Type="http://schemas.openxmlformats.org/officeDocument/2006/relationships/hyperlink" Target="#'08 CROSSWALK'!A1519" TargetMode="External" Id="rId1522"/><Relationship Type="http://schemas.openxmlformats.org/officeDocument/2006/relationships/hyperlink" Target="#'08 CROSSWALK'!A1520" TargetMode="External" Id="rId1523"/><Relationship Type="http://schemas.openxmlformats.org/officeDocument/2006/relationships/hyperlink" Target="#'08 CROSSWALK'!A1521" TargetMode="External" Id="rId1524"/><Relationship Type="http://schemas.openxmlformats.org/officeDocument/2006/relationships/hyperlink" Target="#'08 CROSSWALK'!A1522" TargetMode="External" Id="rId1525"/><Relationship Type="http://schemas.openxmlformats.org/officeDocument/2006/relationships/hyperlink" Target="#'08 CROSSWALK'!A1523" TargetMode="External" Id="rId1526"/><Relationship Type="http://schemas.openxmlformats.org/officeDocument/2006/relationships/hyperlink" Target="#'08 CROSSWALK'!A1524" TargetMode="External" Id="rId1527"/><Relationship Type="http://schemas.openxmlformats.org/officeDocument/2006/relationships/hyperlink" Target="#'08 CROSSWALK'!A1525" TargetMode="External" Id="rId1528"/><Relationship Type="http://schemas.openxmlformats.org/officeDocument/2006/relationships/hyperlink" Target="#'08 CROSSWALK'!A1526" TargetMode="External" Id="rId1529"/><Relationship Type="http://schemas.openxmlformats.org/officeDocument/2006/relationships/hyperlink" Target="#'08 CROSSWALK'!A1527" TargetMode="External" Id="rId1530"/><Relationship Type="http://schemas.openxmlformats.org/officeDocument/2006/relationships/hyperlink" Target="#'08 CROSSWALK'!A1528" TargetMode="External" Id="rId1531"/><Relationship Type="http://schemas.openxmlformats.org/officeDocument/2006/relationships/hyperlink" Target="#'08 CROSSWALK'!A1529" TargetMode="External" Id="rId1532"/><Relationship Type="http://schemas.openxmlformats.org/officeDocument/2006/relationships/hyperlink" Target="#'08 CROSSWALK'!A1530" TargetMode="External" Id="rId1533"/><Relationship Type="http://schemas.openxmlformats.org/officeDocument/2006/relationships/hyperlink" Target="#'08 CROSSWALK'!A1531" TargetMode="External" Id="rId1534"/><Relationship Type="http://schemas.openxmlformats.org/officeDocument/2006/relationships/hyperlink" Target="#'08 CROSSWALK'!A1532" TargetMode="External" Id="rId1535"/><Relationship Type="http://schemas.openxmlformats.org/officeDocument/2006/relationships/hyperlink" Target="#'08 CROSSWALK'!A1533" TargetMode="External" Id="rId1536"/><Relationship Type="http://schemas.openxmlformats.org/officeDocument/2006/relationships/hyperlink" Target="#'08 CROSSWALK'!A1534" TargetMode="External" Id="rId1537"/><Relationship Type="http://schemas.openxmlformats.org/officeDocument/2006/relationships/hyperlink" Target="#'08 CROSSWALK'!A1535" TargetMode="External" Id="rId1538"/><Relationship Type="http://schemas.openxmlformats.org/officeDocument/2006/relationships/hyperlink" Target="#'08 CROSSWALK'!A1536" TargetMode="External" Id="rId1539"/><Relationship Type="http://schemas.openxmlformats.org/officeDocument/2006/relationships/hyperlink" Target="#'08 CROSSWALK'!A1537" TargetMode="External" Id="rId1540"/><Relationship Type="http://schemas.openxmlformats.org/officeDocument/2006/relationships/hyperlink" Target="#'08 CROSSWALK'!A1538" TargetMode="External" Id="rId1541"/><Relationship Type="http://schemas.openxmlformats.org/officeDocument/2006/relationships/hyperlink" Target="#'08 CROSSWALK'!A1539" TargetMode="External" Id="rId1542"/><Relationship Type="http://schemas.openxmlformats.org/officeDocument/2006/relationships/hyperlink" Target="#'08 CROSSWALK'!A1540" TargetMode="External" Id="rId1543"/><Relationship Type="http://schemas.openxmlformats.org/officeDocument/2006/relationships/hyperlink" Target="#'08 CROSSWALK'!A1541" TargetMode="External" Id="rId1544"/><Relationship Type="http://schemas.openxmlformats.org/officeDocument/2006/relationships/hyperlink" Target="#'08 CROSSWALK'!A1542" TargetMode="External" Id="rId1545"/><Relationship Type="http://schemas.openxmlformats.org/officeDocument/2006/relationships/hyperlink" Target="#'08 CROSSWALK'!A1543" TargetMode="External" Id="rId1546"/><Relationship Type="http://schemas.openxmlformats.org/officeDocument/2006/relationships/hyperlink" Target="#'08 CROSSWALK'!A1544" TargetMode="External" Id="rId1547"/><Relationship Type="http://schemas.openxmlformats.org/officeDocument/2006/relationships/hyperlink" Target="#'08 CROSSWALK'!A1545" TargetMode="External" Id="rId1548"/><Relationship Type="http://schemas.openxmlformats.org/officeDocument/2006/relationships/hyperlink" Target="#'08 CROSSWALK'!A1546" TargetMode="External" Id="rId1549"/><Relationship Type="http://schemas.openxmlformats.org/officeDocument/2006/relationships/hyperlink" Target="#'08 CROSSWALK'!A1547" TargetMode="External" Id="rId1550"/><Relationship Type="http://schemas.openxmlformats.org/officeDocument/2006/relationships/hyperlink" Target="#'08 CROSSWALK'!A1548" TargetMode="External" Id="rId1551"/><Relationship Type="http://schemas.openxmlformats.org/officeDocument/2006/relationships/hyperlink" Target="#'08 CROSSWALK'!A1549" TargetMode="External" Id="rId1552"/><Relationship Type="http://schemas.openxmlformats.org/officeDocument/2006/relationships/hyperlink" Target="#'08 CROSSWALK'!A1550" TargetMode="External" Id="rId1553"/><Relationship Type="http://schemas.openxmlformats.org/officeDocument/2006/relationships/hyperlink" Target="#'08 CROSSWALK'!A1551" TargetMode="External" Id="rId1554"/><Relationship Type="http://schemas.openxmlformats.org/officeDocument/2006/relationships/hyperlink" Target="#'08 CROSSWALK'!A1552" TargetMode="External" Id="rId1555"/><Relationship Type="http://schemas.openxmlformats.org/officeDocument/2006/relationships/hyperlink" Target="#'08 CROSSWALK'!A1553" TargetMode="External" Id="rId1556"/><Relationship Type="http://schemas.openxmlformats.org/officeDocument/2006/relationships/hyperlink" Target="#'08 CROSSWALK'!A1554" TargetMode="External" Id="rId1557"/><Relationship Type="http://schemas.openxmlformats.org/officeDocument/2006/relationships/hyperlink" Target="#'08 CROSSWALK'!A1555" TargetMode="External" Id="rId1558"/><Relationship Type="http://schemas.openxmlformats.org/officeDocument/2006/relationships/hyperlink" Target="#'08 CROSSWALK'!A1556" TargetMode="External" Id="rId1559"/><Relationship Type="http://schemas.openxmlformats.org/officeDocument/2006/relationships/hyperlink" Target="#'08 CROSSWALK'!A1557" TargetMode="External" Id="rId1560"/><Relationship Type="http://schemas.openxmlformats.org/officeDocument/2006/relationships/hyperlink" Target="#'08 CROSSWALK'!A1558" TargetMode="External" Id="rId1561"/><Relationship Type="http://schemas.openxmlformats.org/officeDocument/2006/relationships/hyperlink" Target="#'08 CROSSWALK'!A1559" TargetMode="External" Id="rId1562"/><Relationship Type="http://schemas.openxmlformats.org/officeDocument/2006/relationships/hyperlink" Target="#'08 CROSSWALK'!A1560" TargetMode="External" Id="rId1563"/><Relationship Type="http://schemas.openxmlformats.org/officeDocument/2006/relationships/hyperlink" Target="#'08 CROSSWALK'!A1561" TargetMode="External" Id="rId1564"/><Relationship Type="http://schemas.openxmlformats.org/officeDocument/2006/relationships/hyperlink" Target="#'08 CROSSWALK'!A1562" TargetMode="External" Id="rId1565"/><Relationship Type="http://schemas.openxmlformats.org/officeDocument/2006/relationships/hyperlink" Target="#'08 CROSSWALK'!A1563" TargetMode="External" Id="rId1566"/><Relationship Type="http://schemas.openxmlformats.org/officeDocument/2006/relationships/hyperlink" Target="#'08 CROSSWALK'!A1564" TargetMode="External" Id="rId1567"/><Relationship Type="http://schemas.openxmlformats.org/officeDocument/2006/relationships/hyperlink" Target="#'08 CROSSWALK'!A1565" TargetMode="External" Id="rId1568"/><Relationship Type="http://schemas.openxmlformats.org/officeDocument/2006/relationships/hyperlink" Target="#'08 CROSSWALK'!A1566" TargetMode="External" Id="rId1569"/><Relationship Type="http://schemas.openxmlformats.org/officeDocument/2006/relationships/hyperlink" Target="#'08 CROSSWALK'!A1567" TargetMode="External" Id="rId1570"/><Relationship Type="http://schemas.openxmlformats.org/officeDocument/2006/relationships/hyperlink" Target="#'08 CROSSWALK'!A1568" TargetMode="External" Id="rId1571"/><Relationship Type="http://schemas.openxmlformats.org/officeDocument/2006/relationships/hyperlink" Target="#'08 CROSSWALK'!A1569" TargetMode="External" Id="rId1572"/><Relationship Type="http://schemas.openxmlformats.org/officeDocument/2006/relationships/hyperlink" Target="#'08 CROSSWALK'!A1570" TargetMode="External" Id="rId1573"/><Relationship Type="http://schemas.openxmlformats.org/officeDocument/2006/relationships/hyperlink" Target="#'08 CROSSWALK'!A1571" TargetMode="External" Id="rId1574"/><Relationship Type="http://schemas.openxmlformats.org/officeDocument/2006/relationships/hyperlink" Target="#'08 CROSSWALK'!A1572" TargetMode="External" Id="rId1575"/><Relationship Type="http://schemas.openxmlformats.org/officeDocument/2006/relationships/hyperlink" Target="#'08 CROSSWALK'!A1573" TargetMode="External" Id="rId1576"/><Relationship Type="http://schemas.openxmlformats.org/officeDocument/2006/relationships/hyperlink" Target="#'08 CROSSWALK'!A1574" TargetMode="External" Id="rId1577"/><Relationship Type="http://schemas.openxmlformats.org/officeDocument/2006/relationships/hyperlink" Target="#'08 CROSSWALK'!A1575" TargetMode="External" Id="rId1578"/><Relationship Type="http://schemas.openxmlformats.org/officeDocument/2006/relationships/hyperlink" Target="#'08 CROSSWALK'!A1576" TargetMode="External" Id="rId1579"/><Relationship Type="http://schemas.openxmlformats.org/officeDocument/2006/relationships/hyperlink" Target="#'08 CROSSWALK'!A1577" TargetMode="External" Id="rId1580"/><Relationship Type="http://schemas.openxmlformats.org/officeDocument/2006/relationships/hyperlink" Target="#'08 CROSSWALK'!A1578" TargetMode="External" Id="rId1581"/><Relationship Type="http://schemas.openxmlformats.org/officeDocument/2006/relationships/hyperlink" Target="#'08 CROSSWALK'!A1579" TargetMode="External" Id="rId1582"/><Relationship Type="http://schemas.openxmlformats.org/officeDocument/2006/relationships/hyperlink" Target="#'08 CROSSWALK'!A1580" TargetMode="External" Id="rId1583"/><Relationship Type="http://schemas.openxmlformats.org/officeDocument/2006/relationships/hyperlink" Target="#'08 CROSSWALK'!A1581" TargetMode="External" Id="rId1584"/><Relationship Type="http://schemas.openxmlformats.org/officeDocument/2006/relationships/hyperlink" Target="#'08 CROSSWALK'!A1582" TargetMode="External" Id="rId1585"/><Relationship Type="http://schemas.openxmlformats.org/officeDocument/2006/relationships/hyperlink" Target="#'08 CROSSWALK'!A1583" TargetMode="External" Id="rId1586"/><Relationship Type="http://schemas.openxmlformats.org/officeDocument/2006/relationships/hyperlink" Target="#'08 CROSSWALK'!A1584" TargetMode="External" Id="rId1587"/><Relationship Type="http://schemas.openxmlformats.org/officeDocument/2006/relationships/hyperlink" Target="#'08 CROSSWALK'!A1585" TargetMode="External" Id="rId1588"/><Relationship Type="http://schemas.openxmlformats.org/officeDocument/2006/relationships/hyperlink" Target="#'08 CROSSWALK'!A1586" TargetMode="External" Id="rId1589"/><Relationship Type="http://schemas.openxmlformats.org/officeDocument/2006/relationships/hyperlink" Target="#'08 CROSSWALK'!A1587" TargetMode="External" Id="rId1590"/><Relationship Type="http://schemas.openxmlformats.org/officeDocument/2006/relationships/hyperlink" Target="#'08 CROSSWALK'!A1588" TargetMode="External" Id="rId1591"/><Relationship Type="http://schemas.openxmlformats.org/officeDocument/2006/relationships/hyperlink" Target="#'08 CROSSWALK'!A1589" TargetMode="External" Id="rId1592"/><Relationship Type="http://schemas.openxmlformats.org/officeDocument/2006/relationships/hyperlink" Target="#'08 CROSSWALK'!A1590" TargetMode="External" Id="rId1593"/><Relationship Type="http://schemas.openxmlformats.org/officeDocument/2006/relationships/hyperlink" Target="#'08 CROSSWALK'!A1591" TargetMode="External" Id="rId1594"/><Relationship Type="http://schemas.openxmlformats.org/officeDocument/2006/relationships/hyperlink" Target="#'08 CROSSWALK'!A1592" TargetMode="External" Id="rId1595"/><Relationship Type="http://schemas.openxmlformats.org/officeDocument/2006/relationships/hyperlink" Target="#'08 CROSSWALK'!A1593" TargetMode="External" Id="rId1596"/><Relationship Type="http://schemas.openxmlformats.org/officeDocument/2006/relationships/hyperlink" Target="#'08 CROSSWALK'!A1594" TargetMode="External" Id="rId1597"/><Relationship Type="http://schemas.openxmlformats.org/officeDocument/2006/relationships/hyperlink" Target="#'08 CROSSWALK'!A1595" TargetMode="External" Id="rId1598"/><Relationship Type="http://schemas.openxmlformats.org/officeDocument/2006/relationships/hyperlink" Target="#'08 CROSSWALK'!A1596" TargetMode="External" Id="rId1599"/><Relationship Type="http://schemas.openxmlformats.org/officeDocument/2006/relationships/hyperlink" Target="#'08 CROSSWALK'!A1597" TargetMode="External" Id="rId1600"/><Relationship Type="http://schemas.openxmlformats.org/officeDocument/2006/relationships/hyperlink" Target="#'08 CROSSWALK'!A1598" TargetMode="External" Id="rId1601"/><Relationship Type="http://schemas.openxmlformats.org/officeDocument/2006/relationships/hyperlink" Target="#'08 CROSSWALK'!A1599" TargetMode="External" Id="rId1602"/><Relationship Type="http://schemas.openxmlformats.org/officeDocument/2006/relationships/hyperlink" Target="#'08 CROSSWALK'!A1600" TargetMode="External" Id="rId1603"/><Relationship Type="http://schemas.openxmlformats.org/officeDocument/2006/relationships/hyperlink" Target="#'08 CROSSWALK'!A1601" TargetMode="External" Id="rId1604"/><Relationship Type="http://schemas.openxmlformats.org/officeDocument/2006/relationships/hyperlink" Target="#'08 CROSSWALK'!A1602" TargetMode="External" Id="rId1605"/><Relationship Type="http://schemas.openxmlformats.org/officeDocument/2006/relationships/hyperlink" Target="#'08 CROSSWALK'!A1603" TargetMode="External" Id="rId1606"/><Relationship Type="http://schemas.openxmlformats.org/officeDocument/2006/relationships/hyperlink" Target="#'08 CROSSWALK'!A1604" TargetMode="External" Id="rId1607"/><Relationship Type="http://schemas.openxmlformats.org/officeDocument/2006/relationships/hyperlink" Target="#'08 CROSSWALK'!A1605" TargetMode="External" Id="rId1608"/><Relationship Type="http://schemas.openxmlformats.org/officeDocument/2006/relationships/hyperlink" Target="#'08 CROSSWALK'!A1606" TargetMode="External" Id="rId1609"/><Relationship Type="http://schemas.openxmlformats.org/officeDocument/2006/relationships/hyperlink" Target="#'08 CROSSWALK'!A1607" TargetMode="External" Id="rId1610"/><Relationship Type="http://schemas.openxmlformats.org/officeDocument/2006/relationships/hyperlink" Target="#'08 CROSSWALK'!A1608" TargetMode="External" Id="rId1611"/><Relationship Type="http://schemas.openxmlformats.org/officeDocument/2006/relationships/hyperlink" Target="#'08 CROSSWALK'!A1609" TargetMode="External" Id="rId1612"/><Relationship Type="http://schemas.openxmlformats.org/officeDocument/2006/relationships/hyperlink" Target="#'08 CROSSWALK'!A1610" TargetMode="External" Id="rId1613"/><Relationship Type="http://schemas.openxmlformats.org/officeDocument/2006/relationships/hyperlink" Target="#'08 CROSSWALK'!A1611" TargetMode="External" Id="rId1614"/><Relationship Type="http://schemas.openxmlformats.org/officeDocument/2006/relationships/hyperlink" Target="#'08 CROSSWALK'!A1612" TargetMode="External" Id="rId1615"/><Relationship Type="http://schemas.openxmlformats.org/officeDocument/2006/relationships/hyperlink" Target="#'08 CROSSWALK'!A1613" TargetMode="External" Id="rId1616"/><Relationship Type="http://schemas.openxmlformats.org/officeDocument/2006/relationships/hyperlink" Target="#'08 CROSSWALK'!A1614" TargetMode="External" Id="rId1617"/><Relationship Type="http://schemas.openxmlformats.org/officeDocument/2006/relationships/hyperlink" Target="#'08 CROSSWALK'!A1615" TargetMode="External" Id="rId1618"/><Relationship Type="http://schemas.openxmlformats.org/officeDocument/2006/relationships/hyperlink" Target="#'08 CROSSWALK'!A1616" TargetMode="External" Id="rId1619"/><Relationship Type="http://schemas.openxmlformats.org/officeDocument/2006/relationships/hyperlink" Target="#'08 CROSSWALK'!A1617" TargetMode="External" Id="rId1620"/><Relationship Type="http://schemas.openxmlformats.org/officeDocument/2006/relationships/hyperlink" Target="#'08 CROSSWALK'!A1618" TargetMode="External" Id="rId1621"/><Relationship Type="http://schemas.openxmlformats.org/officeDocument/2006/relationships/hyperlink" Target="#'08 CROSSWALK'!A1619" TargetMode="External" Id="rId1622"/><Relationship Type="http://schemas.openxmlformats.org/officeDocument/2006/relationships/hyperlink" Target="#'08 CROSSWALK'!A1620" TargetMode="External" Id="rId1623"/><Relationship Type="http://schemas.openxmlformats.org/officeDocument/2006/relationships/hyperlink" Target="#'08 CROSSWALK'!A1621" TargetMode="External" Id="rId1624"/><Relationship Type="http://schemas.openxmlformats.org/officeDocument/2006/relationships/hyperlink" Target="#'08 CROSSWALK'!A1622" TargetMode="External" Id="rId1625"/><Relationship Type="http://schemas.openxmlformats.org/officeDocument/2006/relationships/hyperlink" Target="#'08 CROSSWALK'!A1623" TargetMode="External" Id="rId1626"/><Relationship Type="http://schemas.openxmlformats.org/officeDocument/2006/relationships/hyperlink" Target="#'08 CROSSWALK'!A1624" TargetMode="External" Id="rId1627"/><Relationship Type="http://schemas.openxmlformats.org/officeDocument/2006/relationships/hyperlink" Target="#'08 CROSSWALK'!A1625" TargetMode="External" Id="rId1628"/><Relationship Type="http://schemas.openxmlformats.org/officeDocument/2006/relationships/hyperlink" Target="#'08 CROSSWALK'!A1626" TargetMode="External" Id="rId1629"/><Relationship Type="http://schemas.openxmlformats.org/officeDocument/2006/relationships/hyperlink" Target="#'08 CROSSWALK'!A1627" TargetMode="External" Id="rId1630"/><Relationship Type="http://schemas.openxmlformats.org/officeDocument/2006/relationships/hyperlink" Target="#'08 CROSSWALK'!A1628" TargetMode="External" Id="rId1631"/><Relationship Type="http://schemas.openxmlformats.org/officeDocument/2006/relationships/hyperlink" Target="#'08 CROSSWALK'!A1629" TargetMode="External" Id="rId1632"/><Relationship Type="http://schemas.openxmlformats.org/officeDocument/2006/relationships/hyperlink" Target="#'08 CROSSWALK'!A1630" TargetMode="External" Id="rId1633"/><Relationship Type="http://schemas.openxmlformats.org/officeDocument/2006/relationships/hyperlink" Target="#'08 CROSSWALK'!A1631" TargetMode="External" Id="rId1634"/><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1.xml.rels><Relationships xmlns="http://schemas.openxmlformats.org/package/2006/relationships"><Relationship Type="http://schemas.openxmlformats.org/officeDocument/2006/relationships/hyperlink" Target="#'03 EXECUTIVE VIEW'!K208" TargetMode="External" Id="rId1"/><Relationship Type="http://schemas.openxmlformats.org/officeDocument/2006/relationships/hyperlink" Target="#'04 ISSUES FOR REVIEW'!A1" TargetMode="External" Id="rId2"/><Relationship Type="http://schemas.openxmlformats.org/officeDocument/2006/relationships/hyperlink" Target="#'05 INTEGRATION HEALTH'!A1" TargetMode="External" Id="rId3"/><Relationship Type="http://schemas.openxmlformats.org/officeDocument/2006/relationships/hyperlink" Target="#'06 INTEGRATED PROJECT'!A1" TargetMode="External" Id="rId4"/><Relationship Type="http://schemas.openxmlformats.org/officeDocument/2006/relationships/hyperlink" Target="#'07 CHANGES &amp; REVALIDATION'!A1" TargetMode="External" Id="rId5"/><Relationship Type="http://schemas.openxmlformats.org/officeDocument/2006/relationships/hyperlink" Target="#'08 CROSSWALK'!A1" TargetMode="External" Id="rId6"/><Relationship Type="http://schemas.openxmlformats.org/officeDocument/2006/relationships/hyperlink" Target="#'10 EVIDENCE &amp; DECISIONS'!A1" TargetMode="External" Id="rId7"/><Relationship Type="http://schemas.openxmlformats.org/officeDocument/2006/relationships/hyperlink" Target="#'11 SOURCES &amp; PROVENANCE'!A1" TargetMode="External" Id="rId8"/><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2.xml.rels><Relationships xmlns="http://schemas.openxmlformats.org/package/2006/relationships"><Relationship Type="http://schemas.openxmlformats.org/officeDocument/2006/relationships/hyperlink" Target="#'03 EXECUTIVE VIEW'!K208" TargetMode="External" Id="rId1"/><Relationship Type="http://schemas.openxmlformats.org/officeDocument/2006/relationships/hyperlink" Target="#'04 ISSUES FOR REVIEW'!A1" TargetMode="External" Id="rId2"/><Relationship Type="http://schemas.openxmlformats.org/officeDocument/2006/relationships/hyperlink" Target="#'05 INTEGRATION HEALTH'!A1" TargetMode="External" Id="rId3"/><Relationship Type="http://schemas.openxmlformats.org/officeDocument/2006/relationships/hyperlink" Target="#'06 INTEGRATED PROJECT'!A1" TargetMode="External" Id="rId4"/><Relationship Type="http://schemas.openxmlformats.org/officeDocument/2006/relationships/hyperlink" Target="#'07 CHANGES &amp; REVALIDATION'!A1" TargetMode="External" Id="rId5"/><Relationship Type="http://schemas.openxmlformats.org/officeDocument/2006/relationships/hyperlink" Target="#'08 CROSSWALK'!A1" TargetMode="External" Id="rId6"/><Relationship Type="http://schemas.openxmlformats.org/officeDocument/2006/relationships/hyperlink" Target="#'10 EVIDENCE &amp; DECISIONS'!A1" TargetMode="External" Id="rId7"/><Relationship Type="http://schemas.openxmlformats.org/officeDocument/2006/relationships/hyperlink" Target="#'11 SOURCES &amp; PROVENANCE'!A1" TargetMode="External" Id="rId8"/><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3.xml.rels><Relationships xmlns="http://schemas.openxmlformats.org/package/2006/relationships"><Relationship Type="http://schemas.openxmlformats.org/officeDocument/2006/relationships/hyperlink" Target="#'03 EXECUTIVE VIEW'!K208" TargetMode="External" Id="rId1"/><Relationship Type="http://schemas.openxmlformats.org/officeDocument/2006/relationships/hyperlink" Target="#'04 ISSUES FOR REVIEW'!A1" TargetMode="External" Id="rId2"/><Relationship Type="http://schemas.openxmlformats.org/officeDocument/2006/relationships/hyperlink" Target="#'05 INTEGRATION HEALTH'!A1" TargetMode="External" Id="rId3"/><Relationship Type="http://schemas.openxmlformats.org/officeDocument/2006/relationships/hyperlink" Target="#'06 INTEGRATED PROJECT'!A1" TargetMode="External" Id="rId4"/><Relationship Type="http://schemas.openxmlformats.org/officeDocument/2006/relationships/hyperlink" Target="#'07 CHANGES &amp; REVALIDATION'!A1" TargetMode="External" Id="rId5"/><Relationship Type="http://schemas.openxmlformats.org/officeDocument/2006/relationships/hyperlink" Target="#'08 CROSSWALK'!A1" TargetMode="External" Id="rId6"/><Relationship Type="http://schemas.openxmlformats.org/officeDocument/2006/relationships/hyperlink" Target="#'10 EVIDENCE &amp; DECISIONS'!A1" TargetMode="External" Id="rId7"/><Relationship Type="http://schemas.openxmlformats.org/officeDocument/2006/relationships/hyperlink" Target="#'11 SOURCES &amp; PROVENANCE'!A1" TargetMode="External" Id="rId8"/><Relationship Type="http://schemas.openxmlformats.org/officeDocument/2006/relationships/hyperlink" Target="#'10 EVIDENCE &amp; DECISIONS'!A238" TargetMode="External" Id="rId9"/><Relationship Type="http://schemas.openxmlformats.org/officeDocument/2006/relationships/hyperlink" Target="#'10 EVIDENCE &amp; DECISIONS'!A278" TargetMode="External" Id="rId10"/><Relationship Type="http://schemas.openxmlformats.org/officeDocument/2006/relationships/hyperlink" Target="#'10 EVIDENCE &amp; DECISIONS'!A176" TargetMode="External" Id="rId11"/><Relationship Type="http://schemas.openxmlformats.org/officeDocument/2006/relationships/hyperlink" Target="#'10 EVIDENCE &amp; DECISIONS'!A1366" TargetMode="External" Id="rId12"/><Relationship Type="http://schemas.openxmlformats.org/officeDocument/2006/relationships/hyperlink" Target="#'10 EVIDENCE &amp; DECISIONS'!A174" TargetMode="External" Id="rId13"/><Relationship Type="http://schemas.openxmlformats.org/officeDocument/2006/relationships/hyperlink" Target="#'10 EVIDENCE &amp; DECISIONS'!A1365" TargetMode="External" Id="rId14"/><Relationship Type="http://schemas.openxmlformats.org/officeDocument/2006/relationships/hyperlink" Target="#'10 EVIDENCE &amp; DECISIONS'!A449" TargetMode="External" Id="rId15"/><Relationship Type="http://schemas.openxmlformats.org/officeDocument/2006/relationships/hyperlink" Target="#'10 EVIDENCE &amp; DECISIONS'!A134" TargetMode="External" Id="rId16"/><Relationship Type="http://schemas.openxmlformats.org/officeDocument/2006/relationships/hyperlink" Target="#'10 EVIDENCE &amp; DECISIONS'!A1630" TargetMode="External" Id="rId17"/><Relationship Type="http://schemas.openxmlformats.org/officeDocument/2006/relationships/hyperlink" Target="#'10 EVIDENCE &amp; DECISIONS'!A1629" TargetMode="External" Id="rId18"/><Relationship Type="http://schemas.openxmlformats.org/officeDocument/2006/relationships/hyperlink" Target="#'10 EVIDENCE &amp; DECISIONS'!A1631" TargetMode="External" Id="rId19"/><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4.xml.rels><Relationships xmlns="http://schemas.openxmlformats.org/package/2006/relationships"><Relationship Type="http://schemas.openxmlformats.org/officeDocument/2006/relationships/hyperlink" Target="#'03 EXECUTIVE VIEW'!K208" TargetMode="External" Id="rId1"/><Relationship Type="http://schemas.openxmlformats.org/officeDocument/2006/relationships/hyperlink" Target="#'04 ISSUES FOR REVIEW'!A1" TargetMode="External" Id="rId2"/><Relationship Type="http://schemas.openxmlformats.org/officeDocument/2006/relationships/hyperlink" Target="#'05 INTEGRATION HEALTH'!A1" TargetMode="External" Id="rId3"/><Relationship Type="http://schemas.openxmlformats.org/officeDocument/2006/relationships/hyperlink" Target="#'06 INTEGRATED PROJECT'!A1" TargetMode="External" Id="rId4"/><Relationship Type="http://schemas.openxmlformats.org/officeDocument/2006/relationships/hyperlink" Target="#'07 CHANGES &amp; REVALIDATION'!A1" TargetMode="External" Id="rId5"/><Relationship Type="http://schemas.openxmlformats.org/officeDocument/2006/relationships/hyperlink" Target="#'08 CROSSWALK'!A1" TargetMode="External" Id="rId6"/><Relationship Type="http://schemas.openxmlformats.org/officeDocument/2006/relationships/hyperlink" Target="#'10 EVIDENCE &amp; DECISIONS'!A1" TargetMode="External" Id="rId7"/><Relationship Type="http://schemas.openxmlformats.org/officeDocument/2006/relationships/hyperlink" Target="#'11 SOURCES &amp; PROVENANCE'!A1" TargetMode="External" Id="rId8"/><Relationship Type="http://schemas.openxmlformats.org/officeDocument/2006/relationships/hyperlink" Target="#'09 WBS EXPLORER'!A1" TargetMode="External" Id="rId9"/><Relationship Type="http://schemas.openxmlformats.org/officeDocument/2006/relationships/hyperlink" Target="#'08 CROSSWALK'!A6" TargetMode="External" Id="rId10"/><Relationship Type="http://schemas.openxmlformats.org/officeDocument/2006/relationships/hyperlink" Target="#'08 CROSSWALK'!A6" TargetMode="External" Id="rId11"/><Relationship Type="http://schemas.openxmlformats.org/officeDocument/2006/relationships/hyperlink" Target="#'08 CROSSWALK'!A15" TargetMode="External" Id="rId12"/><Relationship Type="http://schemas.openxmlformats.org/officeDocument/2006/relationships/hyperlink" Target="#'08 CROSSWALK'!A175" TargetMode="External" Id="rId13"/><Relationship Type="http://schemas.openxmlformats.org/officeDocument/2006/relationships/hyperlink" Target="#'08 CROSSWALK'!A277" TargetMode="External" Id="rId14"/><Relationship Type="http://schemas.openxmlformats.org/officeDocument/2006/relationships/hyperlink" Target="#'08 CROSSWALK'!A289" TargetMode="External" Id="rId15"/><Relationship Type="http://schemas.openxmlformats.org/officeDocument/2006/relationships/hyperlink" Target="#'08 CROSSWALK'!A449" TargetMode="External" Id="rId16"/><Relationship Type="http://schemas.openxmlformats.org/officeDocument/2006/relationships/hyperlink" Target="#'08 CROSSWALK'!A549" TargetMode="External" Id="rId17"/><Relationship Type="http://schemas.openxmlformats.org/officeDocument/2006/relationships/hyperlink" Target="#'08 CROSSWALK'!A559" TargetMode="External" Id="rId18"/><Relationship Type="http://schemas.openxmlformats.org/officeDocument/2006/relationships/hyperlink" Target="#'08 CROSSWALK'!A718" TargetMode="External" Id="rId19"/><Relationship Type="http://schemas.openxmlformats.org/officeDocument/2006/relationships/hyperlink" Target="#'08 CROSSWALK'!A817" TargetMode="External" Id="rId20"/><Relationship Type="http://schemas.openxmlformats.org/officeDocument/2006/relationships/hyperlink" Target="#'08 CROSSWALK'!A827" TargetMode="External" Id="rId21"/><Relationship Type="http://schemas.openxmlformats.org/officeDocument/2006/relationships/hyperlink" Target="#'08 CROSSWALK'!A987" TargetMode="External" Id="rId22"/><Relationship Type="http://schemas.openxmlformats.org/officeDocument/2006/relationships/hyperlink" Target="#'08 CROSSWALK'!A1086" TargetMode="External" Id="rId23"/><Relationship Type="http://schemas.openxmlformats.org/officeDocument/2006/relationships/hyperlink" Target="#'08 CROSSWALK'!A1096" TargetMode="External" Id="rId24"/><Relationship Type="http://schemas.openxmlformats.org/officeDocument/2006/relationships/hyperlink" Target="#'08 CROSSWALK'!A1216" TargetMode="External" Id="rId25"/><Relationship Type="http://schemas.openxmlformats.org/officeDocument/2006/relationships/hyperlink" Target="#'08 CROSSWALK'!A1276" TargetMode="External" Id="rId26"/><Relationship Type="http://schemas.openxmlformats.org/officeDocument/2006/relationships/hyperlink" Target="#'08 CROSSWALK'!A1285" TargetMode="External" Id="rId27"/><Relationship Type="http://schemas.openxmlformats.org/officeDocument/2006/relationships/hyperlink" Target="#'08 CROSSWALK'!A1324" TargetMode="External" Id="rId28"/><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5.xml.rels><Relationships xmlns="http://schemas.openxmlformats.org/package/2006/relationships"><Relationship Type="http://schemas.openxmlformats.org/officeDocument/2006/relationships/hyperlink" Target="#'03 EXECUTIVE VIEW'!K208" TargetMode="External" Id="rId1"/><Relationship Type="http://schemas.openxmlformats.org/officeDocument/2006/relationships/hyperlink" Target="#'04 ISSUES FOR REVIEW'!A1" TargetMode="External" Id="rId2"/><Relationship Type="http://schemas.openxmlformats.org/officeDocument/2006/relationships/hyperlink" Target="#'05 INTEGRATION HEALTH'!A1" TargetMode="External" Id="rId3"/><Relationship Type="http://schemas.openxmlformats.org/officeDocument/2006/relationships/hyperlink" Target="#'06 INTEGRATED PROJECT'!A1" TargetMode="External" Id="rId4"/><Relationship Type="http://schemas.openxmlformats.org/officeDocument/2006/relationships/hyperlink" Target="#'07 CHANGES &amp; REVALIDATION'!A1" TargetMode="External" Id="rId5"/><Relationship Type="http://schemas.openxmlformats.org/officeDocument/2006/relationships/hyperlink" Target="#'08 CROSSWALK'!A1" TargetMode="External" Id="rId6"/><Relationship Type="http://schemas.openxmlformats.org/officeDocument/2006/relationships/hyperlink" Target="#'10 EVIDENCE &amp; DECISIONS'!A1" TargetMode="External" Id="rId7"/><Relationship Type="http://schemas.openxmlformats.org/officeDocument/2006/relationships/hyperlink" Target="#'11 SOURCES &amp; PROVENANCE'!A1" TargetMode="External" Id="rId8"/><Relationship Type="http://schemas.openxmlformats.org/officeDocument/2006/relationships/hyperlink" Target="#'08 CROSSWALK'!A1" TargetMode="External" Id="rId9"/><Relationship Type="http://schemas.openxmlformats.org/officeDocument/2006/relationships/hyperlink" Target="#'08 CROSSWALK'!A1" TargetMode="External" Id="rId10"/><Relationship Type="http://schemas.openxmlformats.org/officeDocument/2006/relationships/hyperlink" Target="#'08 CROSSWALK'!A1" TargetMode="External" Id="rId11"/><Relationship Type="http://schemas.openxmlformats.org/officeDocument/2006/relationships/hyperlink" Target="#'08 CROSSWALK'!A1" TargetMode="External" Id="rId12"/><Relationship Type="http://schemas.openxmlformats.org/officeDocument/2006/relationships/hyperlink" Target="#'08 CROSSWALK'!A1" TargetMode="External" Id="rId13"/><Relationship Type="http://schemas.openxmlformats.org/officeDocument/2006/relationships/hyperlink" Target="#'08 CROSSWALK'!A1" TargetMode="External" Id="rId14"/><Relationship Type="http://schemas.openxmlformats.org/officeDocument/2006/relationships/hyperlink" Target="#'08 CROSSWALK'!A1" TargetMode="External" Id="rId15"/><Relationship Type="http://schemas.openxmlformats.org/officeDocument/2006/relationships/hyperlink" Target="#'08 CROSSWALK'!A1" TargetMode="External" Id="rId16"/><Relationship Type="http://schemas.openxmlformats.org/officeDocument/2006/relationships/hyperlink" Target="#'08 CROSSWALK'!A1" TargetMode="External" Id="rId17"/><Relationship Type="http://schemas.openxmlformats.org/officeDocument/2006/relationships/hyperlink" Target="#'08 CROSSWALK'!A1" TargetMode="External" Id="rId18"/><Relationship Type="http://schemas.openxmlformats.org/officeDocument/2006/relationships/hyperlink" Target="#'08 CROSSWALK'!A1" TargetMode="External" Id="rId19"/><Relationship Type="http://schemas.openxmlformats.org/officeDocument/2006/relationships/hyperlink" Target="#'08 CROSSWALK'!A1" TargetMode="External" Id="rId20"/><Relationship Type="http://schemas.openxmlformats.org/officeDocument/2006/relationships/hyperlink" Target="#'08 CROSSWALK'!A1" TargetMode="External" Id="rId21"/><Relationship Type="http://schemas.openxmlformats.org/officeDocument/2006/relationships/hyperlink" Target="#'08 CROSSWALK'!A1" TargetMode="External" Id="rId22"/><Relationship Type="http://schemas.openxmlformats.org/officeDocument/2006/relationships/hyperlink" Target="#'08 CROSSWALK'!A1" TargetMode="External" Id="rId23"/><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6.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7.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18.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19.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0.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1.xml.rels><Relationships xmlns="http://schemas.openxmlformats.org/package/2006/relationships"><Relationship Type="http://schemas.openxmlformats.org/officeDocument/2006/relationships/hyperlink" Target="#'03 EXECUTIVE VIEW'!K208" TargetMode="External" Id="rId1"/><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sheet1.xml><?xml version="1.0" encoding="utf-8"?>
<worksheet xmlns="http://schemas.openxmlformats.org/spreadsheetml/2006/main">
  <sheetPr>
    <tabColor rgb="008F5A28"/>
    <outlinePr summaryBelow="0" summaryRight="0"/>
    <pageSetUpPr fitToPage="1"/>
  </sheetPr>
  <dimension ref="A1:D22"/>
  <sheetViews>
    <sheetView showGridLines="0" tabSelected="0" topLeftCell="A1" zoomScale="100" zoomScaleNormal="100" workbookViewId="0">
      <selection activeCell="A1" sqref="A1"/>
    </sheetView>
  </sheetViews>
  <sheetFormatPr baseColWidth="8" defaultRowHeight="15"/>
  <cols>
    <col width="29" customWidth="1" min="1" max="1"/>
    <col width="46" customWidth="1" min="2" max="2"/>
    <col width="18" customWidth="1" min="3" max="3"/>
    <col width="18" customWidth="1" min="4" max="4"/>
  </cols>
  <sheetData>
    <row r="1">
      <c r="A1" t="n"/>
    </row>
    <row r="2" ht="38" customHeight="1">
      <c r="A2" s="1" t="inlineStr">
        <is>
          <t>ZP SYNERGY GROUP INC.</t>
        </is>
      </c>
    </row>
    <row r="3"/>
    <row r="4" ht="43" customHeight="1">
      <c r="A4" s="2" t="inlineStr">
        <is>
          <r>
            <t>WBS</t>
          </r>
          <r>
            <rPr>
              <rFont val="DejaVu Sans"/>
              <b val="1"/>
              <sz val="28"/>
            </rPr>
            <t>↔</t>
          </r>
          <r>
            <t>LINK™</t>
          </r>
        </is>
      </c>
    </row>
    <row r="5" ht="51" customHeight="1">
      <c r="A5" s="3" t="inlineStr">
        <is>
          <t>Premium Integrated Project Controls Workbook</t>
        </is>
      </c>
    </row>
    <row r="6"/>
    <row r="7" ht="44" customHeight="1">
      <c r="A7" s="3" t="inlineStr">
        <is>
          <t>HarbourLink Urban Transit Expansion</t>
        </is>
      </c>
    </row>
    <row r="8"/>
    <row r="9"/>
    <row r="10" ht="44" customHeight="1">
      <c r="A10" s="4" t="inlineStr">
        <is>
          <t>Workbook state</t>
        </is>
      </c>
      <c r="B10" s="5" t="inlineStr">
        <is>
          <t>Approved project-controls relationship state</t>
        </is>
      </c>
    </row>
    <row r="11" ht="44" customHeight="1">
      <c r="A11" s="4" t="inlineStr">
        <is>
          <t>Reporting / data date</t>
        </is>
      </c>
      <c r="B11" s="5" t="inlineStr">
        <is>
          <t>2026-07-31 (Contractor Programme Rev 1); 2026-07-31 (Cost &amp; Forecast Control Accounts Rev 1); 2026-07-31 (Commercial Package Register Rev 1)</t>
        </is>
      </c>
    </row>
    <row r="12" ht="44" customHeight="1">
      <c r="A12" s="4" t="inlineStr">
        <is>
          <t>Approved by</t>
        </is>
      </c>
      <c r="B12" s="5" t="inlineStr">
        <is>
          <t>Maya Chen, Owner Project Controls</t>
        </is>
      </c>
    </row>
    <row r="13" ht="44" customHeight="1">
      <c r="A13" s="4" t="inlineStr">
        <is>
          <t>Approved (UTC)</t>
        </is>
      </c>
      <c r="B13" s="5" t="inlineStr">
        <is>
          <t>2026-10-16 14:14</t>
        </is>
      </c>
    </row>
    <row r="14" ht="44" customHeight="1">
      <c r="A14" s="4" t="inlineStr">
        <is>
          <t>WBS version</t>
        </is>
      </c>
      <c r="B14" s="5" t="inlineStr">
        <is>
          <t>1</t>
        </is>
      </c>
    </row>
    <row r="15" ht="44" customHeight="1">
      <c r="A15" s="4" t="inlineStr">
        <is>
          <t>Source set</t>
        </is>
      </c>
      <c r="B15" s="5" t="inlineStr">
        <is>
          <t>Commercial Package Register (WORK_PACKAGE_LIST, Rev 1); Contractor Programme (SCHEDULE, Rev 1); Cost &amp; Forecast Control Accounts (COST_ESTIMATE, Rev 1); Owner WBS (WBS_DICTIONARY, Rev 0)</t>
        </is>
      </c>
    </row>
    <row r="16"/>
    <row r="17"/>
    <row r="18" ht="26" customHeight="1">
      <c r="A18" s="6" t="inlineStr">
        <is>
          <t>HarbourLink is a fictional infrastructure example. Owner WBS is the owner’s common list of project work. Begin with one approved finding, then follow its original source and professional authority. Use the Management Report PDF for the executive print route; this workbook is the deeper working evidence tool.</t>
        </is>
      </c>
      <c r="B18" s="7" t="n"/>
      <c r="C18" s="7" t="n"/>
      <c r="D18" s="7" t="n"/>
    </row>
    <row r="19" ht="26" customHeight="1">
      <c r="A19" s="7" t="n"/>
      <c r="B19" s="7" t="n"/>
      <c r="C19" s="7" t="n"/>
      <c r="D19" s="7" t="n"/>
    </row>
    <row r="20" ht="26" customHeight="1">
      <c r="A20" s="7" t="n"/>
      <c r="B20" s="7" t="n"/>
      <c r="C20" s="7" t="n"/>
      <c r="D20" s="7" t="n"/>
    </row>
    <row r="21"/>
    <row r="22" ht="34" customHeight="1">
      <c r="A22" s="8" t="inlineStr">
        <is>
          <t>Begin with 02 START HERE →</t>
        </is>
      </c>
      <c r="B22" s="7" t="n"/>
      <c r="C22" s="7" t="n"/>
      <c r="D22" s="7" t="n"/>
    </row>
  </sheetData>
  <mergeCells count="12">
    <mergeCell ref="B10:D10"/>
    <mergeCell ref="A5:D5"/>
    <mergeCell ref="B11:D11"/>
    <mergeCell ref="A18:D20"/>
    <mergeCell ref="B14:D14"/>
    <mergeCell ref="B15:D15"/>
    <mergeCell ref="A22:D22"/>
    <mergeCell ref="A4:D4"/>
    <mergeCell ref="A7:D7"/>
    <mergeCell ref="B13:D13"/>
    <mergeCell ref="A2:D2"/>
    <mergeCell ref="B12:D12"/>
  </mergeCells>
  <hyperlinks>
    <hyperlink xmlns:r="http://schemas.openxmlformats.org/officeDocument/2006/relationships" ref="A22" r:id="rId1"/>
  </hyperlinks>
  <pageMargins left="0.75" right="0.75" top="1" bottom="1" header="0.5" footer="0.5"/>
  <pageSetup orientation="portrait" paperSize="9" fitToHeight="1"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008F5A28"/>
    <outlinePr summaryBelow="0" summaryRight="0"/>
    <pageSetUpPr fitToPage="1"/>
  </sheetPr>
  <dimension ref="A1:H71"/>
  <sheetViews>
    <sheetView showGridLines="0" tabSelected="0" topLeftCell="A1" zoomScale="100" zoomScaleNormal="100" workbookViewId="0">
      <pane ySplit="3" topLeftCell="A4" activePane="bottomLeft" state="frozen"/>
      <selection pane="bottomLeft" activeCell="A1" sqref="A1"/>
    </sheetView>
  </sheetViews>
  <sheetFormatPr baseColWidth="8" defaultRowHeight="15"/>
  <cols>
    <col width="31" customWidth="1" min="1" max="1"/>
    <col width="46" customWidth="1" min="2" max="2"/>
    <col width="13" customWidth="1" min="3" max="3"/>
    <col width="13" customWidth="1" min="4" max="4"/>
    <col width="13" customWidth="1" min="5" max="5"/>
    <col width="13" customWidth="1" min="6" max="6"/>
    <col width="13" customWidth="1" min="7" max="7"/>
    <col width="13" customWidth="1" min="8" max="8"/>
  </cols>
  <sheetData>
    <row r="1" ht="33.2" customHeight="1">
      <c r="A1" s="9" t="inlineStr">
        <is>
          <t>HOW TO USE THIS WORKBOOK</t>
        </is>
      </c>
    </row>
    <row r="2" ht="50.88" customHeight="1">
      <c r="A2" s="10" t="inlineStr">
        <is>
          <t>Owner WBS is the owner’s common list of project work. Compare schedule, cost and work packages; follow one finding to original evidence.</t>
        </is>
      </c>
    </row>
    <row r="3" ht="34" customHeight="1">
      <c r="A3" s="11" t="inlineStr">
        <is>
          <t>Executive</t>
        </is>
      </c>
      <c r="B3" s="11" t="inlineStr">
        <is>
          <t>Issues</t>
        </is>
      </c>
      <c r="C3" s="11" t="inlineStr">
        <is>
          <t>Integration</t>
        </is>
      </c>
      <c r="D3" s="11" t="inlineStr">
        <is>
          <t>Project</t>
        </is>
      </c>
      <c r="E3" s="11" t="inlineStr">
        <is>
          <t>Changes</t>
        </is>
      </c>
      <c r="F3" s="11" t="inlineStr">
        <is>
          <t>Crosswalk</t>
        </is>
      </c>
      <c r="G3" s="11" t="inlineStr">
        <is>
          <t>Evidence</t>
        </is>
      </c>
      <c r="H3" s="11" t="inlineStr">
        <is>
          <t>Sources</t>
        </is>
      </c>
    </row>
    <row r="4"/>
    <row r="5" ht="34" customHeight="1">
      <c r="A5" s="12" t="inlineStr">
        <is>
          <t>Start with your task</t>
        </is>
      </c>
      <c r="B5" s="12" t="inlineStr">
        <is>
          <t>Purpose and next step</t>
        </is>
      </c>
      <c r="D5" s="13" t="inlineStr">
        <is>
          <t>ONE FINDING → ITS AUTHORITY</t>
        </is>
      </c>
    </row>
    <row r="6" ht="42" customHeight="1">
      <c r="A6" s="14" t="inlineStr">
        <is>
          <t>Executive | Position</t>
        </is>
      </c>
      <c r="B6" s="15" t="inlineStr">
        <is>
          <t>Read the approved position; four governed charts and their source tables.</t>
        </is>
      </c>
      <c r="C6" s="16" t="n"/>
      <c r="D6" s="17" t="inlineStr">
        <is>
          <t>1  Read the approved position</t>
        </is>
      </c>
      <c r="E6" s="7" t="n"/>
      <c r="F6" s="7" t="n"/>
      <c r="G6" s="7" t="n"/>
      <c r="H6" s="7" t="n"/>
    </row>
    <row r="7" ht="49" customHeight="1">
      <c r="A7" s="14" t="inlineStr">
        <is>
          <t>Controls | Issues</t>
        </is>
      </c>
      <c r="B7" s="15" t="inlineStr">
        <is>
          <t>Choose one issue and its exact professional Action. Issues are not ranked.</t>
        </is>
      </c>
      <c r="C7" s="16" t="n"/>
      <c r="D7" s="7" t="n"/>
      <c r="E7" s="7" t="n"/>
      <c r="F7" s="7" t="n"/>
      <c r="G7" s="7" t="n"/>
      <c r="H7" s="7" t="n"/>
    </row>
    <row r="8" ht="42" customHeight="1">
      <c r="A8" s="14" t="inlineStr">
        <is>
          <t>Controls | WBS scope</t>
        </is>
      </c>
      <c r="B8" s="15" t="inlineStr">
        <is>
          <t>Primary WBS view: governed relationship coverage/status. Then open Crosswalk.</t>
        </is>
      </c>
      <c r="C8" s="16" t="n"/>
      <c r="D8" s="17" t="inlineStr">
        <is>
          <t>2  Choose the exact professional Action</t>
        </is>
      </c>
      <c r="E8" s="7" t="n"/>
      <c r="F8" s="7" t="n"/>
      <c r="G8" s="7" t="n"/>
      <c r="H8" s="7" t="n"/>
    </row>
    <row r="9" ht="42" customHeight="1">
      <c r="A9" s="14" t="inlineStr">
        <is>
          <t>Analyst | Crosswalk</t>
        </is>
      </c>
      <c r="B9" s="15" t="inlineStr">
        <is>
          <t>Filter WBS code / Source Record ID; follow the stable Relationship ID.</t>
        </is>
      </c>
      <c r="C9" s="16" t="n"/>
      <c r="D9" s="7" t="n"/>
      <c r="E9" s="7" t="n"/>
      <c r="F9" s="7" t="n"/>
      <c r="G9" s="7" t="n"/>
      <c r="H9" s="7" t="n"/>
    </row>
    <row r="10" ht="49" customHeight="1">
      <c r="A10" s="14" t="inlineStr">
        <is>
          <t>Analyst | Evidence</t>
        </is>
      </c>
      <c r="B10" s="15" t="inlineStr">
        <is>
          <t>Match Relationship ID: source assertion, interpretation, contrary evidence, human decision.</t>
        </is>
      </c>
      <c r="C10" s="16" t="n"/>
      <c r="D10" s="17" t="inlineStr">
        <is>
          <t>3  Match the original source record</t>
        </is>
      </c>
      <c r="E10" s="7" t="n"/>
      <c r="F10" s="7" t="n"/>
      <c r="G10" s="7" t="n"/>
      <c r="H10" s="7" t="n"/>
    </row>
    <row r="11" ht="42" customHeight="1">
      <c r="A11" s="14" t="inlineStr">
        <is>
          <t>Controls | Cycle change</t>
        </is>
      </c>
      <c r="B11" s="15" t="inlineStr">
        <is>
          <t>Inspect the approved-cycle movement and what returned for review.</t>
        </is>
      </c>
      <c r="C11" s="16" t="n"/>
      <c r="D11" s="7" t="n"/>
      <c r="E11" s="7" t="n"/>
      <c r="F11" s="7" t="n"/>
      <c r="G11" s="7" t="n"/>
      <c r="H11" s="7" t="n"/>
    </row>
    <row r="12" ht="42" customHeight="1">
      <c r="A12" s="14" t="inlineStr">
        <is>
          <t>Assurance | Sources</t>
        </is>
      </c>
      <c r="B12" s="15" t="inlineStr">
        <is>
          <t>Identify source, approved revision and original representation.</t>
        </is>
      </c>
      <c r="C12" s="16" t="n"/>
      <c r="D12" s="17" t="inlineStr">
        <is>
          <t>4  Inspect evidence and separate approval</t>
        </is>
      </c>
      <c r="E12" s="7" t="n"/>
      <c r="F12" s="7" t="n"/>
      <c r="G12" s="7" t="n"/>
      <c r="H12" s="7" t="n"/>
    </row>
    <row r="13" ht="42" customHeight="1">
      <c r="A13" s="14" t="inlineStr">
        <is>
          <t>Assurance | Withholding</t>
        </is>
      </c>
      <c r="B13" s="15" t="inlineStr">
        <is>
          <t>Check withholding, approved basis and definitions.</t>
        </is>
      </c>
      <c r="C13" s="16" t="n"/>
      <c r="D13" s="7" t="n"/>
      <c r="E13" s="7" t="n"/>
      <c r="F13" s="7" t="n"/>
      <c r="G13" s="7" t="n"/>
      <c r="H13" s="7" t="n"/>
    </row>
    <row r="14" ht="29" customHeight="1">
      <c r="A14" s="18" t="n"/>
      <c r="B14" s="19" t="n"/>
    </row>
    <row r="15" ht="26" customHeight="1">
      <c r="D15" s="20" t="inlineStr">
        <is>
          <t>Coverage is not project health. Cost / forecast totals remain withheld.</t>
        </is>
      </c>
      <c r="E15" s="21" t="n"/>
      <c r="F15" s="21" t="n"/>
      <c r="G15" s="21" t="n"/>
      <c r="H15" s="21" t="n"/>
    </row>
    <row r="16" ht="26" customHeight="1">
      <c r="D16" s="21" t="n"/>
      <c r="E16" s="21" t="n"/>
      <c r="F16" s="21" t="n"/>
      <c r="G16" s="21" t="n"/>
      <c r="H16" s="21" t="n"/>
    </row>
    <row r="17" ht="34" customHeight="1">
      <c r="A17" s="22" t="inlineStr">
        <is>
          <t>One evidence path</t>
        </is>
      </c>
      <c r="D17" s="21" t="n"/>
      <c r="E17" s="21" t="n"/>
      <c r="F17" s="21" t="n"/>
      <c r="G17" s="21" t="n"/>
      <c r="H17" s="21" t="n"/>
    </row>
    <row r="18" ht="34" customHeight="1">
      <c r="A18" s="6" t="inlineStr">
        <is>
          <t>Approved position → named finding → Owner WBS → Crosswalk → original source / interpretation → professional decision → separate approval. Compare the next cycle only after reading the approved baseline.</t>
        </is>
      </c>
      <c r="B18" s="7" t="n"/>
      <c r="C18" s="7" t="n"/>
      <c r="D18" s="7" t="n"/>
    </row>
    <row r="19" ht="34" customHeight="1">
      <c r="A19" s="7" t="n"/>
      <c r="B19" s="7" t="n"/>
      <c r="C19" s="7" t="n"/>
      <c r="D19" s="7" t="n"/>
    </row>
    <row r="20" ht="34" customHeight="1">
      <c r="A20" s="7" t="n"/>
      <c r="B20" s="7" t="n"/>
      <c r="C20" s="7" t="n"/>
      <c r="D20" s="7" t="n"/>
    </row>
    <row r="21"/>
    <row r="22" ht="49" customHeight="1">
      <c r="A22" s="22" t="inlineStr">
        <is>
          <t>Supporting diagnostics and scope detail</t>
        </is>
      </c>
    </row>
    <row r="23" ht="49" customHeight="1">
      <c r="A23" s="14" t="inlineStr">
        <is>
          <t>13 REVISIONS &amp; PERIODS</t>
        </is>
      </c>
      <c r="B23" s="23" t="inlineStr">
        <is>
          <t>See which reporting revision each source is on, what superseded what, and why only part of the relationship state reopened.</t>
        </is>
      </c>
    </row>
    <row r="24" ht="79" customHeight="1">
      <c r="A24" s="14" t="inlineStr">
        <is>
          <t>14 WBS HIERARCHY</t>
        </is>
      </c>
      <c r="B24" s="23" t="inlineStr">
        <is>
          <t>Approved scope tree and direct/branch relationship ROW counts. Split targets may create multiple rows; retired rows are included unless filtered. Not interchangeable with 09 WBS EXPLORER.</t>
        </is>
      </c>
    </row>
    <row r="25" ht="34" customHeight="1">
      <c r="A25" s="14" t="inlineStr">
        <is>
          <t>15 ANALYSIS</t>
        </is>
      </c>
      <c r="B25" s="23" t="inlineStr">
        <is>
          <t>Cross-tabulate governed dimensions from MASTER DATA (formulas, self-checking).</t>
        </is>
      </c>
    </row>
    <row r="26"/>
    <row r="27"/>
    <row r="28" ht="64" customHeight="1">
      <c r="A28" s="14" t="inlineStr">
        <is>
          <t>EXECUTIVE</t>
        </is>
      </c>
      <c r="B28" s="23" t="inlineStr">
        <is>
          <t>Start at 03 EXECUTIVE VIEW. Read the position, exact Actions and withholding; inspect the four figures when a question needs diagnosis.</t>
        </is>
      </c>
    </row>
    <row r="29" ht="64" customHeight="1">
      <c r="A29" s="14" t="inlineStr">
        <is>
          <t>PROJECT CONTROLS</t>
        </is>
      </c>
      <c r="B29" s="23" t="inlineStr">
        <is>
          <t>Start at 04 ISSUES FOR REVIEW. Choose a finding, open its WBS scope in 09, then follow the actual source record and stable Relationship ID.</t>
        </is>
      </c>
    </row>
    <row r="30" ht="94" customHeight="1">
      <c r="A30" s="14" t="inlineStr">
        <is>
          <t>EVIDENCE</t>
        </is>
      </c>
      <c r="B30" s="23" t="inlineStr">
        <is>
          <t>Start at 10 EVIDENCE &amp; DECISIONS. Match the stable Relationship ID to source assertion, interpretation, contrary evidence and the recorded professional decision. Check approval-time sources in 11.</t>
        </is>
      </c>
    </row>
    <row r="31" ht="64" customHeight="1">
      <c r="A31" s="14" t="inlineStr">
        <is>
          <t>ASSURANCE / SOURCES</t>
        </is>
      </c>
      <c r="B31" s="23" t="inlineStr">
        <is>
          <t>Use 12 ASSURANCE for withholding and counting definitions; 13 REVISIONS &amp; PERIODS records lineage. Approval is separate from a record-level decision.</t>
        </is>
      </c>
    </row>
    <row r="32" ht="94" customHeight="1">
      <c r="A32" s="14" t="inlineStr">
        <is>
          <t>STUDENT · HARBOURLINK</t>
        </is>
      </c>
      <c r="B32" s="23" t="inlineStr">
        <is>
          <t>Start at WBS 1.5 Testing and Commissioning. Compare schedule and cost coverage; follow the issue to Crosswalk and Evidence. Inspect the recorded decision, then Cycle 2 Changes. This is a synthetic example, not an answer key.</t>
        </is>
      </c>
    </row>
    <row r="33"/>
    <row r="34" ht="139" customHeight="1">
      <c r="A34" s="24" t="inlineStr">
        <is>
          <t>Tab groups</t>
        </is>
      </c>
      <c r="B34" s="24" t="inlineStr">
        <is>
          <t>Cognac: orientation. Navy: executive decisions. Navy veil: diagnostics. Grey: source and assurance evidence. Steel: advanced and compatibility views. Colours support the sheet names; they do not indicate risk or project health.</t>
        </is>
      </c>
    </row>
    <row r="35" ht="124" customHeight="1">
      <c r="A35" s="24" t="inlineStr">
        <is>
          <t>Why the counts differ</t>
        </is>
      </c>
      <c r="B35" s="24" t="inlineStr">
        <is>
          <t>09 WBS EXPLORER counts distinct relationship coverage/status. 14 WBS HIERARCHY counts relationship ROWS per target, including split targets and retired rows unless filtered. Current movement, issue groups and unplaced outcomes have different populations.</t>
        </is>
      </c>
    </row>
    <row r="36"/>
    <row r="37" ht="34" customHeight="1">
      <c r="A37" s="24" t="inlineStr">
        <is>
          <t>Advanced evidence and supporting views</t>
        </is>
      </c>
    </row>
    <row r="38" ht="34" customHeight="1">
      <c r="A38" s="14" t="inlineStr">
        <is>
          <t>05 INTEGRATION HEALTH</t>
        </is>
      </c>
      <c r="B38" s="23" t="inlineStr">
        <is>
          <t>Cross-view relationship availability and gated analytical populations.</t>
        </is>
      </c>
    </row>
    <row r="39" ht="34" customHeight="1">
      <c r="A39" s="14" t="inlineStr">
        <is>
          <t>06 INTEGRATED PROJECT</t>
        </is>
      </c>
      <c r="B39" s="23" t="inlineStr">
        <is>
          <t>Supporting cross-view projections by WBS; use 09 for first scope navigation.</t>
        </is>
      </c>
    </row>
    <row r="40" ht="34" customHeight="1">
      <c r="A40" s="14" t="inlineStr">
        <is>
          <t>MASTER DATA</t>
        </is>
      </c>
      <c r="B40" s="23" t="inlineStr">
        <is>
          <t>Compatibility/formula source table; one row per relationship target.</t>
        </is>
      </c>
    </row>
    <row r="41" ht="34" customHeight="1">
      <c r="A41" s="14" t="inlineStr">
        <is>
          <t>OWNER WBS</t>
        </is>
      </c>
      <c r="B41" s="23" t="inlineStr">
        <is>
          <t>Approved source scope tree; original names, ancestry and evidence retained.</t>
        </is>
      </c>
    </row>
    <row r="42" ht="34" customHeight="1">
      <c r="A42" s="14" t="inlineStr">
        <is>
          <t>RELATIONSHIP EXPLORER</t>
        </is>
      </c>
      <c r="B42" s="23" t="inlineStr">
        <is>
          <t>Advanced formula-based target-row explorer; 09 is the primary scope view.</t>
        </is>
      </c>
    </row>
    <row r="43" ht="34" customHeight="1">
      <c r="A43" s="14" t="inlineStr">
        <is>
          <t>UNRESOLVED</t>
        </is>
      </c>
      <c r="B43" s="23" t="inlineStr">
        <is>
          <t>Supporting outcome records; uncertainty is not assessed outside scope.</t>
        </is>
      </c>
    </row>
    <row r="44" ht="34" customHeight="1">
      <c r="A44" s="14" t="inlineStr">
        <is>
          <t>HISTORY</t>
        </is>
      </c>
      <c r="B44" s="23" t="inlineStr">
        <is>
          <t>Compatibility approved-version history; 13 provides revision lineage.</t>
        </is>
      </c>
    </row>
    <row r="45" ht="34" customHeight="1">
      <c r="A45" s="14" t="inlineStr">
        <is>
          <t>SUMMARY</t>
        </is>
      </c>
      <c r="B45" s="23" t="inlineStr">
        <is>
          <t>Compatibility calculations; 03 is the canonical executive decision surface.</t>
        </is>
      </c>
    </row>
    <row r="46"/>
    <row r="47"/>
    <row r="48"/>
    <row r="49"/>
    <row r="50" ht="30" customHeight="1">
      <c r="A50" s="12" t="inlineStr">
        <is>
          <t>All-sheet purpose index</t>
        </is>
      </c>
      <c r="B50" s="12" t="inlineStr">
        <is>
          <t>Role and counting population</t>
        </is>
      </c>
    </row>
    <row r="51" ht="49" customHeight="1">
      <c r="A51" s="14" t="inlineStr">
        <is>
          <t>01 PROJECT</t>
        </is>
      </c>
      <c r="B51" s="23" t="inlineStr">
        <is>
          <t>Publication identity, approved version and source-set orientation; then open the index.</t>
        </is>
      </c>
    </row>
    <row r="52" ht="34" customHeight="1">
      <c r="A52" s="14" t="inlineStr">
        <is>
          <t>02 START HERE</t>
        </is>
      </c>
      <c r="B52" s="23" t="inlineStr">
        <is>
          <t>Primary task index and discoverable supporting/advanced destinations.</t>
        </is>
      </c>
    </row>
    <row r="53" ht="34" customHeight="1">
      <c r="A53" s="14" t="inlineStr">
        <is>
          <t>03 EXECUTIVE VIEW</t>
        </is>
      </c>
      <c r="B53" s="23" t="inlineStr">
        <is>
          <t>Canonical executive decision surface and four retained native charts.</t>
        </is>
      </c>
    </row>
    <row r="54" ht="34" customHeight="1">
      <c r="A54" s="14" t="inlineStr">
        <is>
          <t>04 ISSUES FOR REVIEW</t>
        </is>
      </c>
      <c r="B54" s="23" t="inlineStr">
        <is>
          <t>Exact governed matters and professional Actions; no materiality ranking.</t>
        </is>
      </c>
    </row>
    <row r="55" ht="34" customHeight="1">
      <c r="A55" s="14" t="inlineStr">
        <is>
          <t>05 INTEGRATION HEALTH</t>
        </is>
      </c>
      <c r="B55" s="23" t="inlineStr">
        <is>
          <t>Cross-view relationship availability and gated analytical populations.</t>
        </is>
      </c>
    </row>
    <row r="56" ht="34" customHeight="1">
      <c r="A56" s="14" t="inlineStr">
        <is>
          <t>06 INTEGRATED PROJECT</t>
        </is>
      </c>
      <c r="B56" s="23" t="inlineStr">
        <is>
          <t>Supporting cross-view projections by WBS; use 09 for first scope navigation.</t>
        </is>
      </c>
    </row>
    <row r="57" ht="34" customHeight="1">
      <c r="A57" s="14" t="inlineStr">
        <is>
          <t>07 CHANGES &amp; REVALIDATION</t>
        </is>
      </c>
      <c r="B57" s="23" t="inlineStr">
        <is>
          <t>Relationship change classification and separate revalidation.</t>
        </is>
      </c>
    </row>
    <row r="58" ht="34" customHeight="1">
      <c r="A58" s="14" t="inlineStr">
        <is>
          <t>08 CROSSWALK</t>
        </is>
      </c>
      <c r="B58" s="23" t="inlineStr">
        <is>
          <t>Approved source-to-WBS targets; split targets are separate rows.</t>
        </is>
      </c>
    </row>
    <row r="59" ht="34" customHeight="1">
      <c r="A59" s="14" t="inlineStr">
        <is>
          <t>09 WBS EXPLORER</t>
        </is>
      </c>
      <c r="B59" s="23" t="inlineStr">
        <is>
          <t>Primary scope navigation: distinct relationship coverage/status.</t>
        </is>
      </c>
    </row>
    <row r="60" ht="34" customHeight="1">
      <c r="A60" s="14" t="inlineStr">
        <is>
          <t>10 EVIDENCE &amp; DECISIONS</t>
        </is>
      </c>
      <c r="B60" s="23" t="inlineStr">
        <is>
          <t>Source assertion, interpretation, contrary evidence and human decision.</t>
        </is>
      </c>
    </row>
    <row r="61" ht="34" customHeight="1">
      <c r="A61" s="14" t="inlineStr">
        <is>
          <t>11 SOURCES &amp; PROVENANCE</t>
        </is>
      </c>
      <c r="B61" s="23" t="inlineStr">
        <is>
          <t>Approval-time source revisions and representation integrity.</t>
        </is>
      </c>
    </row>
    <row r="62" ht="34" customHeight="1">
      <c r="A62" s="14" t="inlineStr">
        <is>
          <t>12 ASSURANCE</t>
        </is>
      </c>
      <c r="B62" s="23" t="inlineStr">
        <is>
          <t>Withholding, metric ledger, evidence boundary and reconciliation.</t>
        </is>
      </c>
    </row>
    <row r="63" ht="34" customHeight="1">
      <c r="A63" s="14" t="inlineStr">
        <is>
          <t>13 REVISIONS &amp; PERIODS</t>
        </is>
      </c>
      <c r="B63" s="23" t="inlineStr">
        <is>
          <t>Advanced revision lineage and reporting-period state of record.</t>
        </is>
      </c>
    </row>
    <row r="64" ht="49" customHeight="1">
      <c r="A64" s="14" t="inlineStr">
        <is>
          <t>14 WBS HIERARCHY</t>
        </is>
      </c>
      <c r="B64" s="23" t="inlineStr">
        <is>
          <t>Advanced approved scope tree and relationship ROW rollups; split/retired included unless filtered.</t>
        </is>
      </c>
    </row>
    <row r="65" ht="34" customHeight="1">
      <c r="A65" s="14" t="inlineStr">
        <is>
          <t>15 ANALYSIS</t>
        </is>
      </c>
      <c r="B65" s="23" t="inlineStr">
        <is>
          <t>Advanced filter/formula analysis; not the executive first-use summary.</t>
        </is>
      </c>
    </row>
    <row r="66" ht="34" customHeight="1">
      <c r="A66" s="14" t="inlineStr">
        <is>
          <t>MASTER DATA</t>
        </is>
      </c>
      <c r="B66" s="23" t="inlineStr">
        <is>
          <t>Compatibility/formula source table; one row per relationship target.</t>
        </is>
      </c>
    </row>
    <row r="67" ht="34" customHeight="1">
      <c r="A67" s="14" t="inlineStr">
        <is>
          <t>OWNER WBS</t>
        </is>
      </c>
      <c r="B67" s="23" t="inlineStr">
        <is>
          <t>Approved source scope tree; original names, ancestry and evidence retained.</t>
        </is>
      </c>
    </row>
    <row r="68" ht="34" customHeight="1">
      <c r="A68" s="14" t="inlineStr">
        <is>
          <t>RELATIONSHIP EXPLORER</t>
        </is>
      </c>
      <c r="B68" s="23" t="inlineStr">
        <is>
          <t>Advanced formula-based target-row explorer; 09 is the primary scope view.</t>
        </is>
      </c>
    </row>
    <row r="69" ht="34" customHeight="1">
      <c r="A69" s="14" t="inlineStr">
        <is>
          <t>UNRESOLVED</t>
        </is>
      </c>
      <c r="B69" s="23" t="inlineStr">
        <is>
          <t>Supporting outcome records; uncertainty is not assessed outside scope.</t>
        </is>
      </c>
    </row>
    <row r="70" ht="34" customHeight="1">
      <c r="A70" s="14" t="inlineStr">
        <is>
          <t>HISTORY</t>
        </is>
      </c>
      <c r="B70" s="23" t="inlineStr">
        <is>
          <t>Compatibility approved-version history; 13 provides revision lineage.</t>
        </is>
      </c>
    </row>
    <row r="71" ht="34" customHeight="1">
      <c r="A71" s="14" t="inlineStr">
        <is>
          <t>SUMMARY</t>
        </is>
      </c>
      <c r="B71" s="23" t="inlineStr">
        <is>
          <t>Compatibility calculations; 03 is the canonical executive decision surface.</t>
        </is>
      </c>
    </row>
  </sheetData>
  <mergeCells count="17">
    <mergeCell ref="B13:C13"/>
    <mergeCell ref="A18:D20"/>
    <mergeCell ref="B6:C6"/>
    <mergeCell ref="D15:H17"/>
    <mergeCell ref="A2:B2"/>
    <mergeCell ref="B7:C7"/>
    <mergeCell ref="B11:C11"/>
    <mergeCell ref="D8:H9"/>
    <mergeCell ref="D12:H13"/>
    <mergeCell ref="B10:C10"/>
    <mergeCell ref="D5:H5"/>
    <mergeCell ref="A1:B1"/>
    <mergeCell ref="D6:H7"/>
    <mergeCell ref="B9:C9"/>
    <mergeCell ref="B8:C8"/>
    <mergeCell ref="D10:H11"/>
    <mergeCell ref="B12:C12"/>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 xmlns:r="http://schemas.openxmlformats.org/officeDocument/2006/relationships" ref="A6" r:id="rId9"/>
    <hyperlink xmlns:r="http://schemas.openxmlformats.org/officeDocument/2006/relationships" ref="D6" r:id="rId10"/>
    <hyperlink xmlns:r="http://schemas.openxmlformats.org/officeDocument/2006/relationships" ref="A7" r:id="rId11"/>
    <hyperlink xmlns:r="http://schemas.openxmlformats.org/officeDocument/2006/relationships" ref="A8" r:id="rId12"/>
    <hyperlink xmlns:r="http://schemas.openxmlformats.org/officeDocument/2006/relationships" ref="D8" r:id="rId13"/>
    <hyperlink xmlns:r="http://schemas.openxmlformats.org/officeDocument/2006/relationships" ref="A9" r:id="rId14"/>
    <hyperlink xmlns:r="http://schemas.openxmlformats.org/officeDocument/2006/relationships" ref="A10" r:id="rId15"/>
    <hyperlink xmlns:r="http://schemas.openxmlformats.org/officeDocument/2006/relationships" ref="D10" r:id="rId16"/>
    <hyperlink xmlns:r="http://schemas.openxmlformats.org/officeDocument/2006/relationships" ref="A11" r:id="rId17"/>
    <hyperlink xmlns:r="http://schemas.openxmlformats.org/officeDocument/2006/relationships" ref="A12" r:id="rId18"/>
    <hyperlink xmlns:r="http://schemas.openxmlformats.org/officeDocument/2006/relationships" ref="D12" r:id="rId19"/>
    <hyperlink xmlns:r="http://schemas.openxmlformats.org/officeDocument/2006/relationships" ref="A13" r:id="rId20"/>
    <hyperlink xmlns:r="http://schemas.openxmlformats.org/officeDocument/2006/relationships" ref="A23" r:id="rId21"/>
    <hyperlink xmlns:r="http://schemas.openxmlformats.org/officeDocument/2006/relationships" ref="A24" r:id="rId22"/>
    <hyperlink xmlns:r="http://schemas.openxmlformats.org/officeDocument/2006/relationships" ref="A25" r:id="rId23"/>
    <hyperlink xmlns:r="http://schemas.openxmlformats.org/officeDocument/2006/relationships" ref="A28" r:id="rId24"/>
    <hyperlink xmlns:r="http://schemas.openxmlformats.org/officeDocument/2006/relationships" ref="A29" r:id="rId25"/>
    <hyperlink xmlns:r="http://schemas.openxmlformats.org/officeDocument/2006/relationships" ref="A30" r:id="rId26"/>
    <hyperlink xmlns:r="http://schemas.openxmlformats.org/officeDocument/2006/relationships" ref="A31" r:id="rId27"/>
    <hyperlink xmlns:r="http://schemas.openxmlformats.org/officeDocument/2006/relationships" ref="A32" r:id="rId28"/>
    <hyperlink xmlns:r="http://schemas.openxmlformats.org/officeDocument/2006/relationships" ref="A38" r:id="rId29"/>
    <hyperlink xmlns:r="http://schemas.openxmlformats.org/officeDocument/2006/relationships" ref="A39" r:id="rId30"/>
    <hyperlink xmlns:r="http://schemas.openxmlformats.org/officeDocument/2006/relationships" ref="A40" r:id="rId31"/>
    <hyperlink xmlns:r="http://schemas.openxmlformats.org/officeDocument/2006/relationships" ref="A41" r:id="rId32"/>
    <hyperlink xmlns:r="http://schemas.openxmlformats.org/officeDocument/2006/relationships" ref="A42" r:id="rId33"/>
    <hyperlink xmlns:r="http://schemas.openxmlformats.org/officeDocument/2006/relationships" ref="A43" r:id="rId34"/>
    <hyperlink xmlns:r="http://schemas.openxmlformats.org/officeDocument/2006/relationships" ref="A44" r:id="rId35"/>
    <hyperlink xmlns:r="http://schemas.openxmlformats.org/officeDocument/2006/relationships" ref="A45" r:id="rId36"/>
    <hyperlink xmlns:r="http://schemas.openxmlformats.org/officeDocument/2006/relationships" ref="A51" r:id="rId37"/>
    <hyperlink xmlns:r="http://schemas.openxmlformats.org/officeDocument/2006/relationships" ref="A52" r:id="rId38"/>
    <hyperlink xmlns:r="http://schemas.openxmlformats.org/officeDocument/2006/relationships" ref="A53" r:id="rId39"/>
    <hyperlink xmlns:r="http://schemas.openxmlformats.org/officeDocument/2006/relationships" ref="A54" r:id="rId40"/>
    <hyperlink xmlns:r="http://schemas.openxmlformats.org/officeDocument/2006/relationships" ref="A55" r:id="rId41"/>
    <hyperlink xmlns:r="http://schemas.openxmlformats.org/officeDocument/2006/relationships" ref="A56" r:id="rId42"/>
    <hyperlink xmlns:r="http://schemas.openxmlformats.org/officeDocument/2006/relationships" ref="A57" r:id="rId43"/>
    <hyperlink xmlns:r="http://schemas.openxmlformats.org/officeDocument/2006/relationships" ref="A58" r:id="rId44"/>
    <hyperlink xmlns:r="http://schemas.openxmlformats.org/officeDocument/2006/relationships" ref="A59" r:id="rId45"/>
    <hyperlink xmlns:r="http://schemas.openxmlformats.org/officeDocument/2006/relationships" ref="A60" r:id="rId46"/>
    <hyperlink xmlns:r="http://schemas.openxmlformats.org/officeDocument/2006/relationships" ref="A61" r:id="rId47"/>
    <hyperlink xmlns:r="http://schemas.openxmlformats.org/officeDocument/2006/relationships" ref="A62" r:id="rId48"/>
    <hyperlink xmlns:r="http://schemas.openxmlformats.org/officeDocument/2006/relationships" ref="A63" r:id="rId49"/>
    <hyperlink xmlns:r="http://schemas.openxmlformats.org/officeDocument/2006/relationships" ref="A64" r:id="rId50"/>
    <hyperlink xmlns:r="http://schemas.openxmlformats.org/officeDocument/2006/relationships" ref="A65" r:id="rId51"/>
    <hyperlink xmlns:r="http://schemas.openxmlformats.org/officeDocument/2006/relationships" ref="A66" r:id="rId52"/>
    <hyperlink xmlns:r="http://schemas.openxmlformats.org/officeDocument/2006/relationships" ref="A67" r:id="rId53"/>
    <hyperlink xmlns:r="http://schemas.openxmlformats.org/officeDocument/2006/relationships" ref="A68" r:id="rId54"/>
    <hyperlink xmlns:r="http://schemas.openxmlformats.org/officeDocument/2006/relationships" ref="A69" r:id="rId55"/>
    <hyperlink xmlns:r="http://schemas.openxmlformats.org/officeDocument/2006/relationships" ref="A70" r:id="rId56"/>
    <hyperlink xmlns:r="http://schemas.openxmlformats.org/officeDocument/2006/relationships" ref="A71" r:id="rId57"/>
  </hyperlinks>
  <pageMargins left="0.75" right="0.75" top="1" bottom="1" header="0.5" footer="0.5"/>
  <pageSetup orientation="landscape" paperSize="8" scale="100" fitToHeight="0" fitToWidth="0"/>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tabColor rgb="00121A2E"/>
    <outlinePr summaryBelow="0" summaryRight="0"/>
    <pageSetUpPr fitToPage="1"/>
  </sheetPr>
  <dimension ref="A1:Q243"/>
  <sheetViews>
    <sheetView showGridLines="0" tabSelected="1" topLeftCell="K208" zoomScale="100" zoomScaleNormal="100" workbookViewId="0">
      <selection activeCell="K208" sqref="K208"/>
    </sheetView>
  </sheetViews>
  <sheetFormatPr baseColWidth="8" defaultRowHeight="15"/>
  <cols>
    <col width="22" customWidth="1" min="1" max="1"/>
    <col width="3" customWidth="1" min="2" max="2"/>
    <col width="22" customWidth="1" min="3" max="3"/>
    <col width="3" customWidth="1" min="4" max="4"/>
    <col width="22" customWidth="1" min="5" max="5"/>
    <col width="3" customWidth="1" min="6" max="6"/>
    <col width="22" customWidth="1" min="7" max="7"/>
    <col width="3" customWidth="1" min="8" max="8"/>
    <col width="13" customWidth="1" min="9" max="9"/>
    <col width="13" customWidth="1" min="10" max="10"/>
    <col width="12" customWidth="1" min="11" max="11"/>
    <col width="31" customWidth="1" min="12" max="12"/>
    <col width="17" customWidth="1" min="13" max="13"/>
    <col width="17" customWidth="1" min="14" max="14"/>
    <col width="17" customWidth="1" min="15" max="15"/>
    <col width="13" customWidth="1" min="16" max="16"/>
    <col width="13" customWidth="1" min="17" max="17"/>
  </cols>
  <sheetData>
    <row r="1" ht="33.2" customHeight="1">
      <c r="A1" s="9" t="inlineStr">
        <is>
          <t>EXECUTIVE VIEW</t>
        </is>
      </c>
    </row>
    <row r="2" ht="64" customHeight="1">
      <c r="A2" s="10" t="inlineStr">
        <is>
          <t>HarbourLink Urban Transit Expansion · approved integrated project view</t>
        </is>
      </c>
      <c r="G2" s="10" t="inlineStr">
        <is>
          <t>Owner WBS: the owner’s common list of project work. Gaps need checking; coverage does not prove performance.</t>
        </is>
      </c>
    </row>
    <row r="3" ht="19" customHeight="1">
      <c r="A3" s="11" t="inlineStr">
        <is>
          <t>Executive</t>
        </is>
      </c>
      <c r="C3" s="11" t="inlineStr">
        <is>
          <t>Issues</t>
        </is>
      </c>
      <c r="E3" s="11" t="inlineStr">
        <is>
          <t>Integration</t>
        </is>
      </c>
      <c r="G3" s="11" t="inlineStr">
        <is>
          <t>Project</t>
        </is>
      </c>
    </row>
    <row r="4" ht="19" customHeight="1">
      <c r="A4" s="11" t="inlineStr">
        <is>
          <t>Changes</t>
        </is>
      </c>
      <c r="C4" s="11" t="inlineStr">
        <is>
          <t>Crosswalk</t>
        </is>
      </c>
      <c r="E4" s="11" t="inlineStr">
        <is>
          <t>Evidence</t>
        </is>
      </c>
      <c r="G4" s="11" t="inlineStr">
        <is>
          <t>Sources</t>
        </is>
      </c>
    </row>
    <row r="5" ht="34" customHeight="1">
      <c r="A5" s="4" t="inlineStr">
        <is>
          <t>WHERE THE PROJECT STANDS</t>
        </is>
      </c>
      <c r="E5" s="4" t="inlineStr">
        <is>
          <t>ISSUES AND WITHHOLDING</t>
        </is>
      </c>
    </row>
    <row r="6" ht="57" customHeight="1">
      <c r="A6" s="25" t="inlineStr">
        <is>
          <t>4 / 6 Owner-WBS branches
schedule AND cost present</t>
        </is>
      </c>
      <c r="E6" s="26" t="inlineStr">
        <is>
          <t>1. 1.5 Testing and Commissioning: Schedule without cost coverage.
2. 1.6 Program Management: Cost without schedule coverage.
3. 264 items still need more information before they can be placed in the Owner WBS</t>
        </is>
      </c>
    </row>
    <row r="7" ht="57" customHeight="1"/>
    <row r="8" ht="92" customHeight="1">
      <c r="A8" s="26" t="inlineStr">
        <is>
          <t>1.1 Guideway and Civil
Schedule: Present · Cost: Present
1.2 Stations
Schedule: Present · Cost: Present
1.3 Systems
Schedule: Present · Cost: Present
1.4 Vehicles and Depot
Schedule: Present · Cost: Present
1.5 Testing and Commissioning
Schedule: Present · Cost: ABSENT
1.6 Program Management
Schedule: ABSENT · Cost: Present</t>
        </is>
      </c>
    </row>
    <row r="9" ht="92" customHeight="1">
      <c r="E9" s="27" t="inlineStr">
        <is>
          <t>Cost / forecast total: Withheld. Aggregation eligibility is not established. See 12 ASSURANCE.</t>
        </is>
      </c>
    </row>
    <row r="10" ht="64" customHeight="1">
      <c r="A10" s="27" t="inlineStr">
        <is>
          <t>Next step: Confirm whether the missing governed relationship is expected or requires project-controls attention. (3 issues on sheet 04.)</t>
        </is>
      </c>
    </row>
    <row r="11" ht="49" customHeight="1">
      <c r="A11" s="4" t="inlineStr">
        <is>
          <t>Issues for review</t>
        </is>
      </c>
      <c r="C11" s="4" t="inlineStr">
        <is>
          <t>Current relationships not carried forward</t>
        </is>
      </c>
      <c r="E11" s="4" t="inlineStr">
        <is>
          <t>Reopened this cycle</t>
        </is>
      </c>
      <c r="G11" s="4" t="inlineStr">
        <is>
          <t>Source integrity</t>
        </is>
      </c>
    </row>
    <row r="12" ht="32" customHeight="1">
      <c r="A12" s="28" t="n">
        <v>3</v>
      </c>
      <c r="C12" s="28" t="n">
        <v>9</v>
      </c>
      <c r="E12" s="28" t="n">
        <v>5</v>
      </c>
      <c r="G12" s="9" t="inlineStr">
        <is>
          <t>Established</t>
        </is>
      </c>
    </row>
    <row r="13" ht="49" customHeight="1">
      <c r="A13" s="10" t="inlineStr">
        <is>
          <t>Listed on sheet 04</t>
        </is>
      </c>
      <c r="C13" s="10" t="inlineStr">
        <is>
          <t>Includes re-keyed/revalidated; excludes retired</t>
        </is>
      </c>
      <c r="E13" s="10" t="inlineStr">
        <is>
          <t>Event count; issues needing attention now are on sheet 04</t>
        </is>
      </c>
      <c r="G13" s="10" t="inlineStr">
        <is>
          <t>Upstream truth gate</t>
        </is>
      </c>
    </row>
    <row r="14"/>
    <row r="15" ht="34" customHeight="1">
      <c r="A15" s="29" t="inlineStr">
        <is>
          <t>Review the issues →</t>
        </is>
      </c>
      <c r="C15" s="29" t="inlineStr">
        <is>
          <t>Open Integration Health →</t>
        </is>
      </c>
      <c r="E15" s="29" t="inlineStr">
        <is>
          <t>Open Changes →</t>
        </is>
      </c>
      <c r="G15" s="29" t="inlineStr">
        <is>
          <t>Prove it in Crosswalk →</t>
        </is>
      </c>
    </row>
    <row r="16"/>
    <row r="17"/>
    <row r="18" ht="19" customHeight="1">
      <c r="A18" s="22" t="inlineStr">
        <is>
          <t>What this workbook cannot establish</t>
        </is>
      </c>
    </row>
    <row r="19" ht="49" customHeight="1">
      <c r="A19" s="10" t="inlineStr">
        <is>
          <t>• Amount/date/duration management measures are withheld unless their field semantics are explicitly governed for that use.</t>
        </is>
      </c>
    </row>
    <row r="20"/>
    <row r="21" ht="17" customHeight="1">
      <c r="A21" s="22" t="inlineStr">
        <is>
          <t>1 · Schedule and cost relationships by WBS branch</t>
        </is>
      </c>
      <c r="E21" s="22" t="inlineStr">
        <is>
          <t>2 · Relationship outcomes by source</t>
        </is>
      </c>
    </row>
    <row r="22" ht="17" customHeight="1"/>
    <row r="23" ht="22" customHeight="1">
      <c r="A23" s="26" t="inlineStr">
        <is>
          <t>4 of 6 WBS branches carry both schedule and cost relationships; 2 branches are covered by only one of them.</t>
        </is>
      </c>
      <c r="E23" s="26" t="inlineStr">
        <is>
          <t>1,357 of 1,622 current relationships relate a source record to a WBS element, across 3 source documents. 265 are recorded outside the WBS or left unresolved.</t>
        </is>
      </c>
    </row>
    <row r="24" ht="22" customHeight="1"/>
    <row r="25" ht="22" customHeight="1"/>
    <row r="26" ht="22" customHeight="1">
      <c r="A26" s="26" t="inlineStr">
        <is>
          <t>Out of 6 reported WBS branches. Coverage is observed through the WBS; it is not a direct schedule-to-cost link. Detail: 05 INTEGRATION HEALTH.</t>
        </is>
      </c>
      <c r="E26" s="26" t="inlineStr">
        <is>
          <t>Out of 1,622 current relationships (retired relationships excluded); one relationship counted once even when split across several WBS elements. Detail: 08 CROSSWALK.</t>
        </is>
      </c>
    </row>
    <row r="27" ht="22" customHeight="1"/>
    <row r="28" ht="22" customHeight="1"/>
    <row r="29" ht="16" customHeight="1"/>
    <row r="30" ht="16" customHeight="1"/>
    <row r="31" ht="16" customHeight="1"/>
    <row r="32" ht="16" customHeight="1"/>
    <row r="33" ht="16" customHeight="1"/>
    <row r="34" ht="16" customHeight="1"/>
    <row r="35" ht="16" customHeight="1"/>
    <row r="36" ht="16" customHeight="1"/>
    <row r="37" ht="16" customHeight="1"/>
    <row r="38" ht="16" customHeight="1"/>
    <row r="39" ht="16" customHeight="1"/>
    <row r="40" ht="16" customHeight="1"/>
    <row r="41" ht="16" customHeight="1"/>
    <row r="42" ht="16" customHeight="1"/>
    <row r="43" ht="16" customHeight="1"/>
    <row r="44" ht="16" customHeight="1"/>
    <row r="45" ht="16" customHeight="1"/>
    <row r="46" ht="16" customHeight="1"/>
    <row r="47" ht="16" customHeight="1"/>
    <row r="48" ht="16" customHeight="1"/>
    <row r="49" ht="16" customHeight="1"/>
    <row r="50" ht="16" customHeight="1"/>
    <row r="51" ht="17" customHeight="1">
      <c r="A51" s="22" t="inlineStr">
        <is>
          <t>3 · Changes since the previous approved version</t>
        </is>
      </c>
      <c r="E51" s="22" t="inlineStr">
        <is>
          <t>4 · Outcomes left unresolved or outside the WBS</t>
        </is>
      </c>
    </row>
    <row r="52" ht="17" customHeight="1"/>
    <row r="53" ht="27" customHeight="1">
      <c r="A53" s="26" t="inlineStr">
        <is>
          <t>1,613 of 1,625 relationships carried forward unchanged; 12 were re-keyed, changed, new or retired.</t>
        </is>
      </c>
      <c r="E53" s="26" t="inlineStr">
        <is>
          <t>265 of 1,622 current relationships are left unresolved or recorded outside the approved WBS. Rely only on conclusions that do not depend on them; sheet 04 groups them into the issues for review.</t>
        </is>
      </c>
    </row>
    <row r="54" ht="27" customHeight="1"/>
    <row r="55" ht="27" customHeight="1"/>
    <row r="56" ht="22" customHeight="1">
      <c r="A56" s="26" t="inlineStr">
        <is>
          <t>Out of 1,625 relationships, including retired ones, by change label. Detail: 07 CHANGES &amp; REVALIDATION.</t>
        </is>
      </c>
      <c r="E56" s="26" t="inlineStr">
        <is>
          <t>Out of 1,622 current relationships (retired excluded). These are recorded, governed outcomes, not errors. Detail: sheet 04 (issues for review) and 08 CROSSWALK.</t>
        </is>
      </c>
    </row>
    <row r="57" ht="22" customHeight="1"/>
    <row r="58" ht="22" customHeight="1"/>
    <row r="59" ht="16" customHeight="1"/>
    <row r="60" ht="16" customHeight="1"/>
    <row r="61" ht="16" customHeight="1"/>
    <row r="62" ht="16" customHeight="1"/>
    <row r="63" ht="16" customHeight="1"/>
    <row r="64" ht="16" customHeight="1"/>
    <row r="65" ht="16" customHeight="1"/>
    <row r="66" ht="16" customHeight="1"/>
    <row r="67" ht="16" customHeight="1"/>
    <row r="68" ht="16" customHeight="1"/>
    <row r="69" ht="16" customHeight="1"/>
    <row r="70" ht="16" customHeight="1"/>
    <row r="71" ht="16" customHeight="1"/>
    <row r="72" ht="16" customHeight="1"/>
    <row r="73" ht="16" customHeight="1"/>
    <row r="74" ht="16" customHeight="1"/>
    <row r="75" ht="16" customHeight="1"/>
    <row r="76" ht="16" customHeight="1"/>
    <row r="77" ht="16" customHeight="1"/>
    <row r="78" ht="16" customHeight="1"/>
    <row r="79" ht="16" customHeight="1"/>
    <row r="80" ht="16" customHeight="1"/>
    <row r="81"/>
    <row r="82"/>
    <row r="83" ht="22" customHeight="1">
      <c r="A83" s="30" t="inlineStr">
        <is>
          <t>FOUR VIEWS OF THE APPROVED PROJECT</t>
        </is>
      </c>
    </row>
    <row r="84" ht="64" customHeight="1">
      <c r="A84" s="31" t="inlineStr">
        <is>
          <t>Each chart draws on the approved relationship records. It states what it counts, the population covered and the source table beneath it.</t>
        </is>
      </c>
    </row>
    <row r="85"/>
    <row r="86" ht="37" customHeight="1">
      <c r="A86" s="32" t="inlineStr">
        <is>
          <t>1 · Schedule and cost relationships by WBS branch</t>
        </is>
      </c>
    </row>
    <row r="87" ht="49" customHeight="1">
      <c r="A87" s="26" t="inlineStr">
        <is>
          <t>4 of 6 WBS branches carry both schedule and cost relationships; 2 branches are covered by only one of them.</t>
        </is>
      </c>
    </row>
    <row r="88" ht="64" customHeight="1">
      <c r="A88" s="31" t="inlineStr">
        <is>
          <t>Out of 6 reported WBS branches. Coverage is observed through the WBS; it is not a direct schedule-to-cost link. Detail: 05 INTEGRATION HEALTH.</t>
        </is>
      </c>
    </row>
    <row r="89"/>
    <row r="90"/>
    <row r="91"/>
    <row r="92"/>
    <row r="93"/>
    <row r="94"/>
    <row r="95"/>
    <row r="96"/>
    <row r="97"/>
    <row r="98"/>
    <row r="99"/>
    <row r="100"/>
    <row r="101"/>
    <row r="102"/>
    <row r="103"/>
    <row r="104" ht="19" customHeight="1">
      <c r="A104" s="12" t="inlineStr">
        <is>
          <t>WBS branches</t>
        </is>
      </c>
      <c r="C104" s="12" t="inlineStr">
        <is>
          <t>Count</t>
        </is>
      </c>
    </row>
    <row r="105" ht="19" customHeight="1">
      <c r="A105" s="23" t="inlineStr">
        <is>
          <t>Schedule and cost</t>
        </is>
      </c>
      <c r="C105" s="33" t="n">
        <v>4</v>
      </c>
    </row>
    <row r="106" ht="19" customHeight="1">
      <c r="A106" s="23" t="inlineStr">
        <is>
          <t>Schedule only</t>
        </is>
      </c>
      <c r="C106" s="33" t="n">
        <v>1</v>
      </c>
    </row>
    <row r="107" ht="19" customHeight="1">
      <c r="A107" s="23" t="inlineStr">
        <is>
          <t>Cost only</t>
        </is>
      </c>
      <c r="C107" s="33" t="n">
        <v>1</v>
      </c>
    </row>
    <row r="108" ht="34" customHeight="1">
      <c r="A108" s="23" t="inlineStr">
        <is>
          <t>Neither schedule nor cost</t>
        </is>
      </c>
      <c r="C108" s="33" t="n">
        <v>0</v>
      </c>
    </row>
    <row r="109" ht="34" customHeight="1">
      <c r="A109" s="34" t="inlineStr">
        <is>
          <t>Total WBS branches</t>
        </is>
      </c>
      <c r="C109" s="35" t="n">
        <v>6</v>
      </c>
    </row>
    <row r="110"/>
    <row r="111" ht="21" customHeight="1">
      <c r="A111" s="32" t="inlineStr">
        <is>
          <t>2 · Relationship outcomes by source</t>
        </is>
      </c>
    </row>
    <row r="112" ht="64" customHeight="1">
      <c r="A112" s="26" t="inlineStr">
        <is>
          <t>1,357 of 1,622 current relationships relate a source record to a WBS element, across 3 source documents. 265 are recorded outside the WBS or left unresolved.</t>
        </is>
      </c>
    </row>
    <row r="113" ht="64" customHeight="1">
      <c r="A113" s="31" t="inlineStr">
        <is>
          <t>Out of 1,622 current relationships (retired relationships excluded); one relationship counted once even when split across several WBS elements. Detail: 08 CROSSWALK.</t>
        </is>
      </c>
    </row>
    <row r="114"/>
    <row r="115"/>
    <row r="116"/>
    <row r="117"/>
    <row r="118"/>
    <row r="119"/>
    <row r="120"/>
    <row r="121"/>
    <row r="122"/>
    <row r="123"/>
    <row r="124"/>
    <row r="125"/>
    <row r="126"/>
    <row r="127"/>
    <row r="128"/>
    <row r="129" ht="34" customHeight="1">
      <c r="A129" s="12" t="inlineStr">
        <is>
          <t>Source document</t>
        </is>
      </c>
      <c r="C129" s="12" t="inlineStr">
        <is>
          <t>Related to a WBS element</t>
        </is>
      </c>
      <c r="E129" s="12" t="inlineStr">
        <is>
          <t>Recorded outside the WBS</t>
        </is>
      </c>
      <c r="G129" s="12" t="inlineStr">
        <is>
          <t>Left unresolved</t>
        </is>
      </c>
      <c r="I129" s="12" t="inlineStr">
        <is>
          <t>Total</t>
        </is>
      </c>
    </row>
    <row r="130" ht="34" customHeight="1">
      <c r="A130" s="23" t="inlineStr">
        <is>
          <t>Commercial Package Register</t>
        </is>
      </c>
      <c r="C130" s="33" t="n">
        <v>59</v>
      </c>
      <c r="E130" s="33" t="n">
        <v>0</v>
      </c>
      <c r="G130" s="33" t="n">
        <v>1</v>
      </c>
      <c r="I130" s="33" t="n">
        <v>60</v>
      </c>
    </row>
    <row r="131" ht="34" customHeight="1">
      <c r="A131" s="23" t="inlineStr">
        <is>
          <t>Contractor Programme</t>
        </is>
      </c>
      <c r="C131" s="33" t="n">
        <v>899</v>
      </c>
      <c r="E131" s="33" t="n">
        <v>1</v>
      </c>
      <c r="G131" s="33" t="n">
        <v>182</v>
      </c>
      <c r="I131" s="33" t="n">
        <v>1082</v>
      </c>
    </row>
    <row r="132" ht="34" customHeight="1">
      <c r="A132" s="23" t="inlineStr">
        <is>
          <t>Cost &amp; Forecast Control Accounts</t>
        </is>
      </c>
      <c r="C132" s="33" t="n">
        <v>399</v>
      </c>
      <c r="E132" s="33" t="n">
        <v>0</v>
      </c>
      <c r="G132" s="33" t="n">
        <v>81</v>
      </c>
      <c r="I132" s="33" t="n">
        <v>480</v>
      </c>
    </row>
    <row r="133" ht="19" customHeight="1">
      <c r="A133" s="34" t="inlineStr">
        <is>
          <t>All sources</t>
        </is>
      </c>
      <c r="C133" s="35" t="n">
        <v>1357</v>
      </c>
      <c r="E133" s="35" t="n">
        <v>1</v>
      </c>
      <c r="G133" s="35" t="n">
        <v>264</v>
      </c>
      <c r="I133" s="35" t="n">
        <v>1622</v>
      </c>
    </row>
    <row r="134"/>
    <row r="135" ht="37" customHeight="1">
      <c r="A135" s="32" t="inlineStr">
        <is>
          <t>3 · Changes since the previous approved version</t>
        </is>
      </c>
    </row>
    <row r="136" ht="49" customHeight="1">
      <c r="A136" s="26" t="inlineStr">
        <is>
          <t>1,613 of 1,625 relationships carried forward unchanged; 12 were re-keyed, changed, new or retired.</t>
        </is>
      </c>
    </row>
    <row r="137" ht="49" customHeight="1">
      <c r="A137" s="31" t="inlineStr">
        <is>
          <t>Out of 1,625 relationships, including retired ones, by change label. Detail: 07 CHANGES &amp; REVALIDATION.</t>
        </is>
      </c>
    </row>
    <row r="138"/>
    <row r="139"/>
    <row r="140"/>
    <row r="141"/>
    <row r="142"/>
    <row r="143"/>
    <row r="144"/>
    <row r="145"/>
    <row r="146"/>
    <row r="147"/>
    <row r="148"/>
    <row r="149"/>
    <row r="150"/>
    <row r="151"/>
    <row r="152"/>
    <row r="153" ht="34" customHeight="1">
      <c r="A153" s="12" t="inlineStr">
        <is>
          <t>Change since previous version</t>
        </is>
      </c>
      <c r="C153" s="12" t="inlineStr">
        <is>
          <t>Count</t>
        </is>
      </c>
    </row>
    <row r="154" ht="19" customHeight="1">
      <c r="A154" s="23" t="inlineStr">
        <is>
          <t>Carried forward</t>
        </is>
      </c>
      <c r="C154" s="33" t="n">
        <v>1613</v>
      </c>
    </row>
    <row r="155" ht="34" customHeight="1">
      <c r="A155" s="23" t="inlineStr">
        <is>
          <t>Re-keyed, revalidated</t>
        </is>
      </c>
      <c r="C155" s="33" t="n">
        <v>1</v>
      </c>
    </row>
    <row r="156" ht="19" customHeight="1">
      <c r="A156" s="23" t="inlineStr">
        <is>
          <t>Changed, re-decided</t>
        </is>
      </c>
      <c r="C156" s="33" t="n">
        <v>4</v>
      </c>
    </row>
    <row r="157" ht="19" customHeight="1">
      <c r="A157" s="23" t="inlineStr">
        <is>
          <t>New</t>
        </is>
      </c>
      <c r="C157" s="33" t="n">
        <v>4</v>
      </c>
    </row>
    <row r="158" ht="19" customHeight="1">
      <c r="A158" s="23" t="inlineStr">
        <is>
          <t>Retired</t>
        </is>
      </c>
      <c r="C158" s="33" t="n">
        <v>3</v>
      </c>
    </row>
    <row r="159" ht="34" customHeight="1">
      <c r="A159" s="34" t="inlineStr">
        <is>
          <t>Total relationships</t>
        </is>
      </c>
      <c r="C159" s="35" t="n">
        <v>1625</v>
      </c>
    </row>
    <row r="160"/>
    <row r="161" ht="37" customHeight="1">
      <c r="A161" s="32" t="inlineStr">
        <is>
          <t>4 · Outcomes left unresolved or outside the WBS</t>
        </is>
      </c>
    </row>
    <row r="162" ht="79" customHeight="1">
      <c r="A162" s="26" t="inlineStr">
        <is>
          <t>265 of 1,622 current relationships are left unresolved or recorded outside the approved WBS. Rely only on conclusions that do not depend on them; sheet 04 groups them into the issues for review.</t>
        </is>
      </c>
    </row>
    <row r="163" ht="64" customHeight="1">
      <c r="A163" s="31" t="inlineStr">
        <is>
          <t>Out of 1,622 current relationships (retired excluded). These are recorded, governed outcomes, not errors. Detail: sheet 04 (issues for review) and 08 CROSSWALK.</t>
        </is>
      </c>
    </row>
    <row r="164"/>
    <row r="165"/>
    <row r="166"/>
    <row r="167"/>
    <row r="168"/>
    <row r="169"/>
    <row r="170"/>
    <row r="171"/>
    <row r="172"/>
    <row r="173"/>
    <row r="174"/>
    <row r="175"/>
    <row r="176"/>
    <row r="177"/>
    <row r="178"/>
    <row r="179" ht="19" customHeight="1">
      <c r="A179" s="12" t="inlineStr">
        <is>
          <t>Outcome</t>
        </is>
      </c>
      <c r="C179" s="12" t="inlineStr">
        <is>
          <t>Count</t>
        </is>
      </c>
    </row>
    <row r="180" ht="34" customHeight="1">
      <c r="A180" s="23" t="inlineStr">
        <is>
          <t>Left unresolved on purpose (UNSURE)</t>
        </is>
      </c>
      <c r="C180" s="33" t="n">
        <v>264</v>
      </c>
    </row>
    <row r="181" ht="49" customHeight="1">
      <c r="A181" s="23" t="inlineStr">
        <is>
          <t>Scope not in the approved WBS (NEW_SCOPE)</t>
        </is>
      </c>
      <c r="C181" s="33" t="n">
        <v>0</v>
      </c>
    </row>
    <row r="182" ht="34" customHeight="1">
      <c r="A182" s="23" t="inlineStr">
        <is>
          <t>No WBS element applies (NO_WBS)</t>
        </is>
      </c>
      <c r="C182" s="33" t="n">
        <v>1</v>
      </c>
    </row>
    <row r="183" ht="34" customHeight="1">
      <c r="A183" s="34" t="inlineStr">
        <is>
          <t>Unresolved or outside the WBS</t>
        </is>
      </c>
      <c r="C183" s="35" t="n">
        <v>265</v>
      </c>
    </row>
    <row r="184"/>
    <row r="185"/>
    <row r="186"/>
    <row r="187" ht="229" customHeight="1">
      <c r="A187" s="12" t="inlineStr">
        <is>
          <t>E01 · Owner-WBS branch</t>
        </is>
      </c>
      <c r="B187" s="12" t="inlineStr">
        <is>
          <t>Schedule relationships</t>
        </is>
      </c>
      <c r="C187" s="12" t="inlineStr">
        <is>
          <t>Cost relationships</t>
        </is>
      </c>
      <c r="D187" s="12" t="inlineStr">
        <is>
          <t>Coverage state</t>
        </is>
      </c>
    </row>
    <row r="188" ht="34" customHeight="1">
      <c r="A188" s="23" t="inlineStr">
        <is>
          <t>1.1 Guideway and Civil</t>
        </is>
      </c>
      <c r="B188" s="36" t="n">
        <v>181</v>
      </c>
      <c r="C188" s="36" t="n">
        <v>81</v>
      </c>
      <c r="D188" s="37" t="inlineStr">
        <is>
          <t>Both views present</t>
        </is>
      </c>
      <c r="E188" s="16" t="n"/>
      <c r="F188" s="16" t="n"/>
      <c r="G188" s="16" t="n"/>
    </row>
    <row r="189" ht="19" customHeight="1">
      <c r="A189" s="23" t="inlineStr">
        <is>
          <t>1.2 Stations</t>
        </is>
      </c>
      <c r="B189" s="36" t="n">
        <v>180</v>
      </c>
      <c r="C189" s="36" t="n">
        <v>80</v>
      </c>
      <c r="D189" s="37" t="inlineStr">
        <is>
          <t>Both views present</t>
        </is>
      </c>
      <c r="E189" s="16" t="n"/>
      <c r="F189" s="16" t="n"/>
      <c r="G189" s="16" t="n"/>
    </row>
    <row r="190" ht="19" customHeight="1">
      <c r="A190" s="23" t="inlineStr">
        <is>
          <t>1.3 Systems</t>
        </is>
      </c>
      <c r="B190" s="36" t="n">
        <v>179</v>
      </c>
      <c r="C190" s="36" t="n">
        <v>79</v>
      </c>
      <c r="D190" s="37" t="inlineStr">
        <is>
          <t>Both views present</t>
        </is>
      </c>
      <c r="E190" s="16" t="n"/>
      <c r="F190" s="16" t="n"/>
      <c r="G190" s="16" t="n"/>
    </row>
    <row r="191" ht="34" customHeight="1">
      <c r="A191" s="23" t="inlineStr">
        <is>
          <t>1.4 Vehicles and Depot</t>
        </is>
      </c>
      <c r="B191" s="36" t="n">
        <v>179</v>
      </c>
      <c r="C191" s="36" t="n">
        <v>80</v>
      </c>
      <c r="D191" s="37" t="inlineStr">
        <is>
          <t>Both views present</t>
        </is>
      </c>
      <c r="E191" s="16" t="n"/>
      <c r="F191" s="16" t="n"/>
      <c r="G191" s="16" t="n"/>
    </row>
    <row r="192" ht="34" customHeight="1">
      <c r="A192" s="23" t="inlineStr">
        <is>
          <t>1.5 Testing and Commissioning</t>
        </is>
      </c>
      <c r="B192" s="36" t="n">
        <v>180</v>
      </c>
      <c r="C192" s="36" t="n">
        <v>0</v>
      </c>
      <c r="D192" s="37" t="inlineStr">
        <is>
          <t>Cost coverage gap</t>
        </is>
      </c>
      <c r="E192" s="16" t="n"/>
      <c r="F192" s="16" t="n"/>
      <c r="G192" s="16" t="n"/>
    </row>
    <row r="193" ht="34" customHeight="1">
      <c r="A193" s="23" t="inlineStr">
        <is>
          <t>1.6 Program Management</t>
        </is>
      </c>
      <c r="B193" s="36" t="n">
        <v>0</v>
      </c>
      <c r="C193" s="36" t="n">
        <v>79</v>
      </c>
      <c r="D193" s="37" t="inlineStr">
        <is>
          <t>Schedule coverage gap</t>
        </is>
      </c>
      <c r="E193" s="16" t="n"/>
      <c r="F193" s="16" t="n"/>
      <c r="G193" s="16" t="n"/>
    </row>
    <row r="194"/>
    <row r="195" ht="49" customHeight="1">
      <c r="A195" s="24" t="inlineStr">
        <is>
          <t>Coverage through the Owner WBS; not project health or direct schedule-to-cost equivalence. 2 have only one of these views.</t>
        </is>
      </c>
    </row>
    <row r="196"/>
    <row r="197"/>
    <row r="198" ht="34" customHeight="1">
      <c r="A198" s="24" t="inlineStr">
        <is>
          <t>E03D · Separate detail scale: 0 to 4 relationships; Carried forward excluded.</t>
        </is>
      </c>
    </row>
    <row r="199" ht="124" customHeight="1">
      <c r="A199" s="12" t="inlineStr">
        <is>
          <t>Change class</t>
        </is>
      </c>
      <c r="B199" s="12" t="inlineStr">
        <is>
          <t>Exact count</t>
        </is>
      </c>
      <c r="C199" s="12" t="inlineStr">
        <is>
          <t>Detail bar (separate scale)</t>
        </is>
      </c>
    </row>
    <row r="200" ht="34" customHeight="1">
      <c r="A200" s="23" t="inlineStr">
        <is>
          <t>Re-keyed, revalidated</t>
        </is>
      </c>
      <c r="B200" s="36" t="n">
        <v>1</v>
      </c>
      <c r="C200" s="36" t="n">
        <v>1</v>
      </c>
    </row>
    <row r="201" ht="19" customHeight="1">
      <c r="A201" s="23" t="inlineStr">
        <is>
          <t>Changed, re-decided</t>
        </is>
      </c>
      <c r="B201" s="36" t="n">
        <v>4</v>
      </c>
      <c r="C201" s="36" t="n">
        <v>4</v>
      </c>
    </row>
    <row r="202" ht="19" customHeight="1">
      <c r="A202" s="23" t="inlineStr">
        <is>
          <t>New</t>
        </is>
      </c>
      <c r="B202" s="36" t="n">
        <v>4</v>
      </c>
      <c r="C202" s="36" t="n">
        <v>4</v>
      </c>
    </row>
    <row r="203" ht="19" customHeight="1">
      <c r="A203" s="23" t="inlineStr">
        <is>
          <t>Retired</t>
        </is>
      </c>
      <c r="B203" s="36" t="n">
        <v>3</v>
      </c>
      <c r="C203" s="36" t="n">
        <v>3</v>
      </c>
    </row>
    <row r="204"/>
    <row r="205" ht="49" customHeight="1">
      <c r="A205" s="24" t="inlineStr">
        <is>
          <t>E03 whole-population native chart remains above. This separately labelled detail view does not enlarge classes on that chart.</t>
        </is>
      </c>
    </row>
    <row r="208" ht="30" customHeight="1">
      <c r="K208" s="38" t="inlineStr">
        <is>
          <t>APPROVED PROJECT POSITION</t>
        </is>
      </c>
    </row>
    <row r="209" ht="20" customHeight="1">
      <c r="K209" s="39" t="inlineStr">
        <is>
          <t>Owner WBS: the owner’s common list of project work</t>
        </is>
      </c>
    </row>
    <row r="210" ht="28" customHeight="1">
      <c r="K210" s="40" t="inlineStr">
        <is>
          <t>4 / 6 branches
Both views present</t>
        </is>
      </c>
      <c r="L210" s="7" t="n"/>
      <c r="M210" s="7" t="n"/>
      <c r="N210" s="20" t="inlineStr">
        <is>
          <t>Coverage is not project health. Read the named gaps and exact Actions.</t>
        </is>
      </c>
      <c r="O210" s="21" t="n"/>
      <c r="P210" s="21" t="n"/>
      <c r="Q210" s="21" t="n"/>
    </row>
    <row r="211" ht="28" customHeight="1">
      <c r="K211" s="7" t="n"/>
      <c r="L211" s="7" t="n"/>
      <c r="M211" s="7" t="n"/>
      <c r="N211" s="21" t="n"/>
      <c r="O211" s="21" t="n"/>
      <c r="P211" s="21" t="n"/>
      <c r="Q211" s="21" t="n"/>
    </row>
    <row r="212" ht="22" customHeight="1">
      <c r="K212" s="41" t="inlineStr">
        <is>
          <t>OWNER-WBS BRANCH</t>
        </is>
      </c>
      <c r="L212" s="7" t="n"/>
      <c r="M212" s="41" t="inlineStr">
        <is>
          <t>SCHEDULE</t>
        </is>
      </c>
      <c r="N212" s="7" t="n"/>
      <c r="O212" s="41" t="inlineStr">
        <is>
          <t>COST</t>
        </is>
      </c>
      <c r="P212" s="7" t="n"/>
      <c r="Q212" s="7" t="n"/>
    </row>
    <row r="213" ht="26" customHeight="1">
      <c r="K213" s="42" t="inlineStr">
        <is>
          <t>1.1 Guideway and Civil</t>
        </is>
      </c>
      <c r="M213" s="41" t="inlineStr">
        <is>
          <t>PRESENT</t>
        </is>
      </c>
      <c r="N213" s="7" t="n"/>
      <c r="O213" s="41" t="inlineStr">
        <is>
          <t>PRESENT</t>
        </is>
      </c>
      <c r="P213" s="7" t="n"/>
      <c r="Q213" s="7" t="n"/>
    </row>
    <row r="214" ht="26" customHeight="1">
      <c r="K214" s="42" t="inlineStr">
        <is>
          <t>1.2 Stations</t>
        </is>
      </c>
      <c r="M214" s="41" t="inlineStr">
        <is>
          <t>PRESENT</t>
        </is>
      </c>
      <c r="N214" s="7" t="n"/>
      <c r="O214" s="41" t="inlineStr">
        <is>
          <t>PRESENT</t>
        </is>
      </c>
      <c r="P214" s="7" t="n"/>
      <c r="Q214" s="7" t="n"/>
    </row>
    <row r="215" ht="26" customHeight="1">
      <c r="K215" s="42" t="inlineStr">
        <is>
          <t>1.3 Systems</t>
        </is>
      </c>
      <c r="M215" s="41" t="inlineStr">
        <is>
          <t>PRESENT</t>
        </is>
      </c>
      <c r="N215" s="7" t="n"/>
      <c r="O215" s="41" t="inlineStr">
        <is>
          <t>PRESENT</t>
        </is>
      </c>
      <c r="P215" s="7" t="n"/>
      <c r="Q215" s="7" t="n"/>
    </row>
    <row r="216" ht="26" customHeight="1">
      <c r="K216" s="42" t="inlineStr">
        <is>
          <t>1.4 Vehicles and Depot</t>
        </is>
      </c>
      <c r="M216" s="41" t="inlineStr">
        <is>
          <t>PRESENT</t>
        </is>
      </c>
      <c r="N216" s="7" t="n"/>
      <c r="O216" s="41" t="inlineStr">
        <is>
          <t>PRESENT</t>
        </is>
      </c>
      <c r="P216" s="7" t="n"/>
      <c r="Q216" s="7" t="n"/>
    </row>
    <row r="217" ht="26" customHeight="1">
      <c r="K217" s="42" t="inlineStr">
        <is>
          <t>1.5 Testing and Commissioning</t>
        </is>
      </c>
      <c r="M217" s="41" t="inlineStr">
        <is>
          <t>PRESENT</t>
        </is>
      </c>
      <c r="N217" s="7" t="n"/>
      <c r="O217" s="43" t="inlineStr">
        <is>
          <t>ABSENT</t>
        </is>
      </c>
      <c r="P217" s="21" t="n"/>
      <c r="Q217" s="21" t="n"/>
    </row>
    <row r="218" ht="26" customHeight="1">
      <c r="K218" s="42" t="inlineStr">
        <is>
          <t>1.6 Program Management</t>
        </is>
      </c>
      <c r="M218" s="43" t="inlineStr">
        <is>
          <t>ABSENT</t>
        </is>
      </c>
      <c r="N218" s="21" t="n"/>
      <c r="O218" s="41" t="inlineStr">
        <is>
          <t>PRESENT</t>
        </is>
      </c>
      <c r="P218" s="7" t="n"/>
      <c r="Q218" s="7" t="n"/>
    </row>
    <row r="219" ht="18" customHeight="1">
      <c r="K219" s="44" t="inlineStr">
        <is>
          <t>Ask your controls team: is the absent view expected in the supplied sources, or does its governed relationship require attention?</t>
        </is>
      </c>
    </row>
    <row r="220" ht="18" customHeight="1"/>
    <row r="221" ht="18" customHeight="1">
      <c r="K221" s="20" t="inlineStr">
        <is>
          <t>WITHHELD · Cost / forecast totals. Coverage cannot establish financial materiality or performance.</t>
        </is>
      </c>
      <c r="L221" s="21" t="n"/>
      <c r="M221" s="21" t="n"/>
      <c r="N221" s="21" t="n"/>
      <c r="O221" s="21" t="n"/>
      <c r="P221" s="21" t="n"/>
      <c r="Q221" s="21" t="n"/>
    </row>
    <row r="222" ht="18" customHeight="1">
      <c r="K222" s="21" t="n"/>
      <c r="L222" s="21" t="n"/>
      <c r="M222" s="21" t="n"/>
      <c r="N222" s="21" t="n"/>
      <c r="O222" s="21" t="n"/>
      <c r="P222" s="21" t="n"/>
      <c r="Q222" s="21" t="n"/>
    </row>
    <row r="223" ht="26" customHeight="1">
      <c r="K223" s="17" t="inlineStr">
        <is>
          <t>Exact Actions →</t>
        </is>
      </c>
      <c r="L223" s="7" t="n"/>
      <c r="M223" s="7" t="n"/>
      <c r="N223" s="17" t="inlineStr">
        <is>
          <t>Crosswalk / source evidence →</t>
        </is>
      </c>
      <c r="O223" s="7" t="n"/>
      <c r="P223" s="7" t="n"/>
      <c r="Q223" s="7" t="n"/>
    </row>
    <row r="224" ht="30" customHeight="1">
      <c r="K224" s="45" t="inlineStr">
        <is>
          <t>6 reported branches; first 6 shown. Present = at least one governed relationship. Full counts: Integration Health.</t>
        </is>
      </c>
    </row>
    <row r="225" ht="24" customHeight="1">
      <c r="K225" s="46" t="inlineStr">
        <is>
          <t>Inspect the four native charts →</t>
        </is>
      </c>
      <c r="L225" s="7" t="n"/>
      <c r="M225" s="7" t="n"/>
      <c r="N225" s="7" t="n"/>
      <c r="O225" s="7" t="n"/>
      <c r="P225" s="7" t="n"/>
      <c r="Q225" s="7" t="n"/>
    </row>
    <row r="227" ht="26" customHeight="1">
      <c r="K227" s="13" t="inlineStr">
        <is>
          <t>CHOOSE THE QUESTION YOU NEED TO ANSWER</t>
        </is>
      </c>
    </row>
    <row r="228" ht="24" customHeight="1">
      <c r="K228" s="47" t="inlineStr">
        <is>
          <t>Figure 01 · Which work areas lack a connection?</t>
        </is>
      </c>
      <c r="L228" s="7" t="n"/>
      <c r="M228" s="7" t="n"/>
      <c r="N228" s="7" t="n"/>
      <c r="O228" s="7" t="n"/>
      <c r="P228" s="7" t="n"/>
      <c r="Q228" s="7" t="n"/>
    </row>
    <row r="229" ht="24" customHeight="1">
      <c r="K229" s="39" t="inlineStr">
        <is>
          <t>Coverage locates an absent source view; it does not measure project progress.</t>
        </is>
      </c>
    </row>
    <row r="230" ht="24" customHeight="1"/>
    <row r="231" ht="24" customHeight="1">
      <c r="K231" s="48" t="inlineStr">
        <is>
          <t>Open native chart →</t>
        </is>
      </c>
      <c r="L231" s="7" t="n"/>
      <c r="M231" s="7" t="n"/>
      <c r="N231" s="48" t="inlineStr">
        <is>
          <t>Next: INTEGRATION HEALTH →</t>
        </is>
      </c>
      <c r="O231" s="7" t="n"/>
      <c r="P231" s="7" t="n"/>
      <c r="Q231" s="7" t="n"/>
    </row>
    <row r="232" ht="24" customHeight="1">
      <c r="K232" s="47" t="inlineStr">
        <is>
          <t>Figure 02 · Where should controls review relationships?</t>
        </is>
      </c>
      <c r="L232" s="7" t="n"/>
      <c r="M232" s="7" t="n"/>
      <c r="N232" s="7" t="n"/>
      <c r="O232" s="7" t="n"/>
      <c r="P232" s="7" t="n"/>
      <c r="Q232" s="7" t="n"/>
    </row>
    <row r="233" ht="24" customHeight="1">
      <c r="K233" s="39" t="inlineStr">
        <is>
          <t>Compare current relationships by source. The unresolved count is not a risk ranking.</t>
        </is>
      </c>
    </row>
    <row r="234" ht="24" customHeight="1"/>
    <row r="235" ht="24" customHeight="1">
      <c r="K235" s="48" t="inlineStr">
        <is>
          <t>Open native chart →</t>
        </is>
      </c>
      <c r="L235" s="7" t="n"/>
      <c r="M235" s="7" t="n"/>
      <c r="N235" s="48" t="inlineStr">
        <is>
          <t>Next: CROSSWALK →</t>
        </is>
      </c>
      <c r="O235" s="7" t="n"/>
      <c r="P235" s="7" t="n"/>
      <c r="Q235" s="7" t="n"/>
    </row>
    <row r="236" ht="24" customHeight="1">
      <c r="K236" s="47" t="inlineStr">
        <is>
          <t>Figure 03 · What changed since the approved baseline?</t>
        </is>
      </c>
      <c r="L236" s="7" t="n"/>
      <c r="M236" s="7" t="n"/>
      <c r="N236" s="7" t="n"/>
      <c r="O236" s="7" t="n"/>
      <c r="P236" s="7" t="n"/>
      <c r="Q236" s="7" t="n"/>
    </row>
    <row r="237" ht="24" customHeight="1">
      <c r="K237" s="39" t="inlineStr">
        <is>
          <t>Separate carried / revalidated from changed, new and retired. The first cycle has no prior baseline.</t>
        </is>
      </c>
    </row>
    <row r="238" ht="24" customHeight="1"/>
    <row r="239" ht="24" customHeight="1">
      <c r="K239" s="48" t="inlineStr">
        <is>
          <t>Open native chart →</t>
        </is>
      </c>
      <c r="L239" s="7" t="n"/>
      <c r="M239" s="7" t="n"/>
      <c r="N239" s="48" t="inlineStr">
        <is>
          <t>Next: CHANGES &amp; REVALIDATION →</t>
        </is>
      </c>
      <c r="O239" s="7" t="n"/>
      <c r="P239" s="7" t="n"/>
      <c r="Q239" s="7" t="n"/>
    </row>
    <row r="240" ht="24" customHeight="1">
      <c r="K240" s="47" t="inlineStr">
        <is>
          <t>Figure 04 · Does unresolved mean missing work?</t>
        </is>
      </c>
      <c r="L240" s="7" t="n"/>
      <c r="M240" s="7" t="n"/>
      <c r="N240" s="7" t="n"/>
      <c r="O240" s="7" t="n"/>
      <c r="P240" s="7" t="n"/>
      <c r="Q240" s="7" t="n"/>
    </row>
    <row r="241" ht="24" customHeight="1">
      <c r="K241" s="39" t="inlineStr">
        <is>
          <t>No. UNSURE, NEW_SCOPE and NO_WBS are distinct recorded outcomes, not financial-loss estimates.</t>
        </is>
      </c>
    </row>
    <row r="242" ht="24" customHeight="1"/>
    <row r="243" ht="24" customHeight="1">
      <c r="K243" s="48" t="inlineStr">
        <is>
          <t>Open native chart →</t>
        </is>
      </c>
      <c r="L243" s="7" t="n"/>
      <c r="M243" s="7" t="n"/>
      <c r="N243" s="48" t="inlineStr">
        <is>
          <t>Next: EVIDENCE &amp; DECISIONS →</t>
        </is>
      </c>
      <c r="O243" s="7" t="n"/>
      <c r="P243" s="7" t="n"/>
      <c r="Q243" s="7" t="n"/>
    </row>
  </sheetData>
  <mergeCells count="105">
    <mergeCell ref="D192:G192"/>
    <mergeCell ref="K217:L217"/>
    <mergeCell ref="A112:D112"/>
    <mergeCell ref="D188:G188"/>
    <mergeCell ref="A161:D161"/>
    <mergeCell ref="O217:Q217"/>
    <mergeCell ref="K237:Q238"/>
    <mergeCell ref="K236:Q236"/>
    <mergeCell ref="D187:G187"/>
    <mergeCell ref="A21:D22"/>
    <mergeCell ref="K229:Q230"/>
    <mergeCell ref="A8:D9"/>
    <mergeCell ref="N235:Q235"/>
    <mergeCell ref="K231:M231"/>
    <mergeCell ref="G2:I2"/>
    <mergeCell ref="K208:Q208"/>
    <mergeCell ref="A163:D163"/>
    <mergeCell ref="A195:D195"/>
    <mergeCell ref="K215:L215"/>
    <mergeCell ref="A2:D2"/>
    <mergeCell ref="M215:N215"/>
    <mergeCell ref="C3:D3"/>
    <mergeCell ref="E3:F3"/>
    <mergeCell ref="D193:G193"/>
    <mergeCell ref="K233:Q234"/>
    <mergeCell ref="K225:Q225"/>
    <mergeCell ref="A135:D135"/>
    <mergeCell ref="K241:Q242"/>
    <mergeCell ref="E51:H52"/>
    <mergeCell ref="A19:D19"/>
    <mergeCell ref="M216:N216"/>
    <mergeCell ref="O218:Q218"/>
    <mergeCell ref="A6:D7"/>
    <mergeCell ref="A111:D111"/>
    <mergeCell ref="C199:F199"/>
    <mergeCell ref="C4:D4"/>
    <mergeCell ref="K239:M239"/>
    <mergeCell ref="E4:F4"/>
    <mergeCell ref="K219:Q220"/>
    <mergeCell ref="E53:H55"/>
    <mergeCell ref="M218:N218"/>
    <mergeCell ref="E5:H5"/>
    <mergeCell ref="N239:Q239"/>
    <mergeCell ref="A88:D88"/>
    <mergeCell ref="A162:D162"/>
    <mergeCell ref="N223:Q223"/>
    <mergeCell ref="D189:G189"/>
    <mergeCell ref="A137:D137"/>
    <mergeCell ref="E23:H25"/>
    <mergeCell ref="K240:Q240"/>
    <mergeCell ref="A136:D136"/>
    <mergeCell ref="K224:Q224"/>
    <mergeCell ref="K212:L212"/>
    <mergeCell ref="K221:Q222"/>
    <mergeCell ref="K210:M211"/>
    <mergeCell ref="A56:D58"/>
    <mergeCell ref="A26:D28"/>
    <mergeCell ref="O212:Q212"/>
    <mergeCell ref="K214:L214"/>
    <mergeCell ref="A51:D52"/>
    <mergeCell ref="A10:D10"/>
    <mergeCell ref="O214:Q214"/>
    <mergeCell ref="K213:L213"/>
    <mergeCell ref="A53:D55"/>
    <mergeCell ref="E9:H10"/>
    <mergeCell ref="A83:D83"/>
    <mergeCell ref="E56:H58"/>
    <mergeCell ref="O213:Q213"/>
    <mergeCell ref="A3:B3"/>
    <mergeCell ref="N243:Q243"/>
    <mergeCell ref="A1:D1"/>
    <mergeCell ref="K228:Q228"/>
    <mergeCell ref="M217:N217"/>
    <mergeCell ref="A205:D205"/>
    <mergeCell ref="A87:D87"/>
    <mergeCell ref="G12:I12"/>
    <mergeCell ref="K216:L216"/>
    <mergeCell ref="A4:B4"/>
    <mergeCell ref="E6:H8"/>
    <mergeCell ref="O216:Q216"/>
    <mergeCell ref="N231:Q231"/>
    <mergeCell ref="A113:D113"/>
    <mergeCell ref="K243:M243"/>
    <mergeCell ref="A23:D25"/>
    <mergeCell ref="E26:H28"/>
    <mergeCell ref="M212:N212"/>
    <mergeCell ref="D191:G191"/>
    <mergeCell ref="K227:Q227"/>
    <mergeCell ref="G3:H3"/>
    <mergeCell ref="D190:G190"/>
    <mergeCell ref="M214:N214"/>
    <mergeCell ref="K232:Q232"/>
    <mergeCell ref="M213:N213"/>
    <mergeCell ref="A84:D84"/>
    <mergeCell ref="K209:Q209"/>
    <mergeCell ref="K223:M223"/>
    <mergeCell ref="K235:M235"/>
    <mergeCell ref="G4:H4"/>
    <mergeCell ref="A18:D18"/>
    <mergeCell ref="A198:D198"/>
    <mergeCell ref="N210:Q211"/>
    <mergeCell ref="A86:D86"/>
    <mergeCell ref="E21:H22"/>
    <mergeCell ref="O215:Q215"/>
    <mergeCell ref="K218:L218"/>
  </mergeCells>
  <conditionalFormatting sqref="C200:C203">
    <cfRule type="dataBar" priority="1">
      <dataBar showValue="0">
        <cfvo type="num" val="0"/>
        <cfvo type="num" val="4"/>
        <color rgb="00121A2E"/>
      </dataBar>
    </cfRule>
  </conditionalFormatting>
  <hyperlinks>
    <hyperlink xmlns:r="http://schemas.openxmlformats.org/officeDocument/2006/relationships" ref="A3" r:id="rId1"/>
    <hyperlink xmlns:r="http://schemas.openxmlformats.org/officeDocument/2006/relationships" ref="C3" r:id="rId2"/>
    <hyperlink xmlns:r="http://schemas.openxmlformats.org/officeDocument/2006/relationships" ref="E3" r:id="rId3"/>
    <hyperlink xmlns:r="http://schemas.openxmlformats.org/officeDocument/2006/relationships" ref="G3" r:id="rId4"/>
    <hyperlink xmlns:r="http://schemas.openxmlformats.org/officeDocument/2006/relationships" ref="A4" r:id="rId5"/>
    <hyperlink xmlns:r="http://schemas.openxmlformats.org/officeDocument/2006/relationships" ref="C4" r:id="rId6"/>
    <hyperlink xmlns:r="http://schemas.openxmlformats.org/officeDocument/2006/relationships" ref="E4" r:id="rId7"/>
    <hyperlink xmlns:r="http://schemas.openxmlformats.org/officeDocument/2006/relationships" ref="G4" r:id="rId8"/>
    <hyperlink xmlns:r="http://schemas.openxmlformats.org/officeDocument/2006/relationships" ref="A15" r:id="rId9"/>
    <hyperlink xmlns:r="http://schemas.openxmlformats.org/officeDocument/2006/relationships" ref="C15" r:id="rId10"/>
    <hyperlink xmlns:r="http://schemas.openxmlformats.org/officeDocument/2006/relationships" ref="E15" r:id="rId11"/>
    <hyperlink xmlns:r="http://schemas.openxmlformats.org/officeDocument/2006/relationships" ref="G15" r:id="rId12"/>
    <hyperlink xmlns:r="http://schemas.openxmlformats.org/officeDocument/2006/relationships" ref="K223" r:id="rId13"/>
    <hyperlink xmlns:r="http://schemas.openxmlformats.org/officeDocument/2006/relationships" ref="N223" r:id="rId14"/>
    <hyperlink xmlns:r="http://schemas.openxmlformats.org/officeDocument/2006/relationships" ref="K224" r:id="rId15"/>
    <hyperlink xmlns:r="http://schemas.openxmlformats.org/officeDocument/2006/relationships" ref="K225" r:id="rId16"/>
    <hyperlink xmlns:r="http://schemas.openxmlformats.org/officeDocument/2006/relationships" ref="K231" r:id="rId17"/>
    <hyperlink xmlns:r="http://schemas.openxmlformats.org/officeDocument/2006/relationships" ref="N231" r:id="rId18"/>
    <hyperlink xmlns:r="http://schemas.openxmlformats.org/officeDocument/2006/relationships" ref="K235" r:id="rId19"/>
    <hyperlink xmlns:r="http://schemas.openxmlformats.org/officeDocument/2006/relationships" ref="N235" r:id="rId20"/>
    <hyperlink xmlns:r="http://schemas.openxmlformats.org/officeDocument/2006/relationships" ref="K239" r:id="rId21"/>
    <hyperlink xmlns:r="http://schemas.openxmlformats.org/officeDocument/2006/relationships" ref="N239" r:id="rId22"/>
    <hyperlink xmlns:r="http://schemas.openxmlformats.org/officeDocument/2006/relationships" ref="K243" r:id="rId23"/>
    <hyperlink xmlns:r="http://schemas.openxmlformats.org/officeDocument/2006/relationships" ref="N243" r:id="rId24"/>
  </hyperlinks>
  <pageMargins left="0.3" right="0.3" top="0.3" bottom="0.3" header="0.12" footer="0.12"/>
  <pageSetup orientation="landscape" scale="100" fitToHeight="0" fitToWidth="0"/>
  <headerFooter>
    <oddHeader/>
    <oddFooter>&amp;LSynthetic example&amp;CWBS↔LINK™ · ZP Synergy Group Inc.&amp;RPremium Workbook Rev 2</oddFooter>
    <evenHeader/>
    <evenFooter/>
    <firstHeader/>
    <firstFooter/>
  </headerFooter>
  <rowBreaks count="4" manualBreakCount="4">
    <brk id="10" min="0" max="16383" man="1"/>
    <brk id="20" min="0" max="16383" man="1"/>
    <brk id="50" min="0" max="16383" man="1"/>
    <brk id="82" min="0" max="16383" man="1"/>
  </rowBreaks>
  <drawing xmlns:r="http://schemas.openxmlformats.org/officeDocument/2006/relationships" r:id="rId25"/>
  <legacyDrawing xmlns:r="http://schemas.openxmlformats.org/officeDocument/2006/relationships" r:id="anysvml"/>
</worksheet>
</file>

<file path=xl/worksheets/sheet4.xml><?xml version="1.0" encoding="utf-8"?>
<worksheet xmlns="http://schemas.openxmlformats.org/spreadsheetml/2006/main">
  <sheetPr>
    <tabColor rgb="00121A2E"/>
    <outlinePr summaryBelow="0" summaryRight="0"/>
    <pageSetUpPr fitToPage="1"/>
  </sheetPr>
  <dimension ref="A1:H10"/>
  <sheetViews>
    <sheetView showGridLines="0" tabSelected="0" topLeftCell="A1" zoomScale="100" zoomScaleNormal="100" workbookViewId="0">
      <pane ySplit="5" topLeftCell="A6" activePane="bottomLeft" state="frozen"/>
      <selection pane="bottomLeft" activeCell="A1" sqref="A1"/>
    </sheetView>
  </sheetViews>
  <sheetFormatPr baseColWidth="8" defaultRowHeight="15"/>
  <cols>
    <col width="31" customWidth="1" min="1" max="1"/>
    <col width="45" customWidth="1" min="2" max="2"/>
    <col width="28" customWidth="1" min="3" max="3"/>
    <col width="22" customWidth="1" min="4" max="4"/>
    <col width="28" customWidth="1" min="5" max="5"/>
    <col width="45" customWidth="1" min="6" max="6"/>
    <col width="32" customWidth="1" min="7" max="7"/>
    <col width="32" customWidth="1" min="8" max="8"/>
  </cols>
  <sheetData>
    <row r="1" ht="33.2" customHeight="1">
      <c r="A1" s="9" t="inlineStr">
        <is>
          <t>ISSUES FOR REVIEW</t>
        </is>
      </c>
    </row>
    <row r="2" ht="35.92" customHeight="1">
      <c r="A2" s="10" t="inlineStr">
        <is>
          <t>The issues the governed evidence supports raising with the project team now. Grouped by type and WBS code; not ranked by importance.</t>
        </is>
      </c>
    </row>
    <row r="3" ht="19" customHeight="1">
      <c r="A3" s="11" t="inlineStr">
        <is>
          <t>Executive</t>
        </is>
      </c>
      <c r="B3" s="11" t="inlineStr">
        <is>
          <t>Issues</t>
        </is>
      </c>
      <c r="C3" s="11" t="inlineStr">
        <is>
          <t>Integration</t>
        </is>
      </c>
      <c r="D3" s="11" t="inlineStr">
        <is>
          <t>Project</t>
        </is>
      </c>
      <c r="E3" s="11" t="inlineStr">
        <is>
          <t>Changes</t>
        </is>
      </c>
      <c r="F3" s="11" t="inlineStr">
        <is>
          <t>Crosswalk</t>
        </is>
      </c>
      <c r="G3" s="11" t="inlineStr">
        <is>
          <t>Evidence</t>
        </is>
      </c>
      <c r="H3" s="11" t="inlineStr">
        <is>
          <t>Sources</t>
        </is>
      </c>
    </row>
    <row r="4"/>
    <row r="5" ht="34" customHeight="1">
      <c r="A5" s="12" t="inlineStr">
        <is>
          <t>Matter</t>
        </is>
      </c>
      <c r="B5" s="12" t="inlineStr">
        <is>
          <t>Why it matters</t>
        </is>
      </c>
      <c r="C5" s="12" t="inlineStr">
        <is>
          <t>Affected WBS scope</t>
        </is>
      </c>
      <c r="D5" s="12" t="inlineStr">
        <is>
          <t>Affected source view(s)</t>
        </is>
      </c>
      <c r="E5" s="12" t="inlineStr">
        <is>
          <t>State</t>
        </is>
      </c>
      <c r="F5" s="12" t="inlineStr">
        <is>
          <t>Recommended professional action</t>
        </is>
      </c>
      <c r="G5" s="12" t="inlineStr">
        <is>
          <t>Evidence path</t>
        </is>
      </c>
      <c r="H5" s="12" t="inlineStr">
        <is>
          <t>Authority</t>
        </is>
      </c>
    </row>
    <row r="6" ht="49" customHeight="1">
      <c r="A6" s="23" t="inlineStr">
        <is>
          <t>Schedule scope has no governed cost relationships</t>
        </is>
      </c>
      <c r="B6" s="23" t="inlineStr">
        <is>
          <t>The supplied schedule and cost views do not both project through this approved WBS branch.</t>
        </is>
      </c>
      <c r="C6" s="14" t="inlineStr">
        <is>
          <t>1.5 Testing and Commissioning</t>
        </is>
      </c>
      <c r="D6" s="23" t="inlineStr">
        <is>
          <t>Schedule + Cost</t>
        </is>
      </c>
      <c r="E6" s="23" t="inlineStr">
        <is>
          <t>Derived observation from governed relationships</t>
        </is>
      </c>
      <c r="F6" s="23" t="inlineStr">
        <is>
          <t>Confirm whether the missing governed relationship is expected or requires project-controls attention.</t>
        </is>
      </c>
      <c r="G6" s="14" t="inlineStr">
        <is>
          <t>05 INTEGRATION HEALTH / 08 CROSSWALK: WBS 1.5</t>
        </is>
      </c>
      <c r="H6" s="23" t="inlineStr">
        <is>
          <t>Derived observation; no direct schedule↔cost relationship asserted</t>
        </is>
      </c>
    </row>
    <row r="7" ht="49" customHeight="1">
      <c r="A7" s="23" t="inlineStr">
        <is>
          <t>Cost scope has no governed schedule relationships</t>
        </is>
      </c>
      <c r="B7" s="23" t="inlineStr">
        <is>
          <t>The supplied schedule and cost views do not both project through this approved WBS branch.</t>
        </is>
      </c>
      <c r="C7" s="14" t="inlineStr">
        <is>
          <t>1.6 Program Management</t>
        </is>
      </c>
      <c r="D7" s="23" t="inlineStr">
        <is>
          <t>Schedule + Cost</t>
        </is>
      </c>
      <c r="E7" s="23" t="inlineStr">
        <is>
          <t>Derived observation from governed relationships</t>
        </is>
      </c>
      <c r="F7" s="23" t="inlineStr">
        <is>
          <t>Confirm whether the missing governed relationship is expected or requires project-controls attention.</t>
        </is>
      </c>
      <c r="G7" s="14" t="inlineStr">
        <is>
          <t>05 INTEGRATION HEALTH / 08 CROSSWALK: WBS 1.6</t>
        </is>
      </c>
      <c r="H7" s="23" t="inlineStr">
        <is>
          <t>Derived observation; no direct schedule↔cost relationship asserted</t>
        </is>
      </c>
    </row>
    <row r="8" ht="49" customHeight="1">
      <c r="A8" s="23" t="inlineStr">
        <is>
          <t>264 relationship outcome(s) remain deliberately unresolved</t>
        </is>
      </c>
      <c r="B8" s="23" t="inlineStr">
        <is>
          <t>The approved state preserves uncertainty rather than forcing a WBS relationship.</t>
        </is>
      </c>
      <c r="C8" s="23" t="inlineStr">
        <is>
          <t>See Crosswalk</t>
        </is>
      </c>
      <c r="D8" s="23" t="inlineStr">
        <is>
          <t>See Crosswalk</t>
        </is>
      </c>
      <c r="E8" s="23" t="inlineStr">
        <is>
          <t>Professionally/governed unresolved outcome</t>
        </is>
      </c>
      <c r="F8" s="23" t="inlineStr">
        <is>
          <t>Use only conclusions that do not depend on these unresolved relationships.</t>
        </is>
      </c>
      <c r="G8" s="14" t="inlineStr">
        <is>
          <t>08 CROSSWALK / 10 EVIDENCE &amp; DECISIONS</t>
        </is>
      </c>
      <c r="H8" s="23" t="inlineStr">
        <is>
          <t>Governed uncertainty</t>
        </is>
      </c>
    </row>
    <row r="9"/>
    <row r="10" ht="109" customHeight="1">
      <c r="A10" s="31" t="inlineStr">
        <is>
          <t>Ordering note: matters are grouped deterministically by governed matter class and WBS code. No claim of objective project materiality or #1 priority is made.</t>
        </is>
      </c>
    </row>
  </sheetData>
  <autoFilter ref="A5:H8"/>
  <mergeCells count="2">
    <mergeCell ref="A1:D1"/>
    <mergeCell ref="A2:D2"/>
  </mergeCells>
  <conditionalFormatting sqref="A8">
    <cfRule type="expression" priority="1" dxfId="0">
      <formula>ISNUMBER(SEARCH("Unresolved",A8))</formula>
    </cfRule>
  </conditionalFormatting>
  <conditionalFormatting sqref="E8">
    <cfRule type="expression" priority="2" dxfId="0">
      <formula>ISNUMBER(SEARCH("Unresolved",E8))</formula>
    </cfRule>
  </conditionalFormatting>
  <conditionalFormatting sqref="F8">
    <cfRule type="expression" priority="3" dxfId="0">
      <formula>ISNUMBER(SEARCH("Unresolved",F8))</formula>
    </cfRule>
  </conditionalFormatting>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 xmlns:r="http://schemas.openxmlformats.org/officeDocument/2006/relationships" ref="C6" tooltip="Primary relationship coverage/status view; then follow its exact Crosswalk evidence link. Advanced 14 counts relationship ROWS." r:id="rId9"/>
    <hyperlink xmlns:r="http://schemas.openxmlformats.org/officeDocument/2006/relationships" ref="G6" r:id="rId10"/>
    <hyperlink xmlns:r="http://schemas.openxmlformats.org/officeDocument/2006/relationships" ref="C7" tooltip="Primary relationship coverage/status view; then follow its exact Crosswalk evidence link. Advanced 14 counts relationship ROWS." r:id="rId11"/>
    <hyperlink xmlns:r="http://schemas.openxmlformats.org/officeDocument/2006/relationships" ref="G7" r:id="rId12"/>
    <hyperlink xmlns:r="http://schemas.openxmlformats.org/officeDocument/2006/relationships" ref="G8" r:id="rId13"/>
  </hyperlinks>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tabColor rgb="00243553"/>
    <outlinePr summaryBelow="0" summaryRight="0"/>
    <pageSetUpPr fitToPage="1"/>
  </sheetPr>
  <dimension ref="A1:O27"/>
  <sheetViews>
    <sheetView showGridLines="0" tabSelected="0" topLeftCell="A1" zoomScale="100" zoomScaleNormal="100" workbookViewId="0">
      <pane xSplit="1" ySplit="5" topLeftCell="B6"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1" customWidth="1" min="1" max="1"/>
    <col width="29" customWidth="1" min="2" max="2"/>
    <col width="25" customWidth="1" min="3" max="3"/>
    <col width="25" customWidth="1" min="4" max="4"/>
    <col width="25" customWidth="1" min="5" max="5"/>
    <col width="40" customWidth="1" min="6" max="6"/>
    <col width="18" customWidth="1" min="7" max="7"/>
    <col width="12"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s>
  <sheetData>
    <row r="1" ht="33.2" customHeight="1">
      <c r="A1" s="9" t="inlineStr">
        <is>
          <t>INTEGRATION HEALTH</t>
        </is>
      </c>
    </row>
    <row r="2" ht="35.92" customHeight="1">
      <c r="A2" s="10" t="inlineStr">
        <is>
          <t>WBS branch view of governed project-control relationships. No single aggregate health percentage is asserted.</t>
        </is>
      </c>
    </row>
    <row r="3" ht="124" customHeight="1">
      <c r="A3" s="11" t="inlineStr">
        <is>
          <t>Executive</t>
        </is>
      </c>
      <c r="B3" s="11" t="inlineStr">
        <is>
          <t>Issues</t>
        </is>
      </c>
      <c r="C3" s="11" t="inlineStr">
        <is>
          <t>Integration</t>
        </is>
      </c>
      <c r="D3" s="11" t="inlineStr">
        <is>
          <t>Project</t>
        </is>
      </c>
      <c r="E3" s="11" t="inlineStr">
        <is>
          <t>Changes</t>
        </is>
      </c>
      <c r="F3" s="11" t="inlineStr">
        <is>
          <t>Crosswalk</t>
        </is>
      </c>
      <c r="G3" s="11" t="inlineStr">
        <is>
          <t>Evidence</t>
        </is>
      </c>
      <c r="H3" s="11" t="inlineStr">
        <is>
          <t>Sources</t>
        </is>
      </c>
      <c r="K3" s="22" t="inlineStr">
        <is>
          <t>V2 · WHERE PROFESSIONAL ATTENTION IS CONCENTRATED</t>
        </is>
      </c>
    </row>
    <row r="4" ht="64" customHeight="1">
      <c r="K4" s="10" t="inlineStr">
        <is>
          <t>Where are governed reopened, unresolved or contradictory relationship populations concentrated?</t>
        </is>
      </c>
    </row>
    <row r="5" ht="34" customHeight="1">
      <c r="A5" s="12" t="inlineStr">
        <is>
          <t>WBS</t>
        </is>
      </c>
      <c r="B5" s="12" t="inlineStr">
        <is>
          <t>Scope</t>
        </is>
      </c>
      <c r="C5" s="12" t="inlineStr">
        <is>
          <t>Schedule</t>
        </is>
      </c>
      <c r="D5" s="12" t="inlineStr">
        <is>
          <t>Cost / forecast</t>
        </is>
      </c>
      <c r="E5" s="12" t="inlineStr">
        <is>
          <t>Package / contract</t>
        </is>
      </c>
      <c r="F5" s="12" t="inlineStr">
        <is>
          <t>Integration condition</t>
        </is>
      </c>
      <c r="G5" s="12" t="inlineStr">
        <is>
          <t>Attention / unresolved</t>
        </is>
      </c>
      <c r="H5" s="12" t="inlineStr">
        <is>
          <t>Changed</t>
        </is>
      </c>
      <c r="I5" s="12" t="inlineStr">
        <is>
          <t>Evidence path</t>
        </is>
      </c>
      <c r="K5" s="12" t="inlineStr">
        <is>
          <t>WBS</t>
        </is>
      </c>
      <c r="L5" s="12" t="inlineStr">
        <is>
          <t>Reopened</t>
        </is>
      </c>
      <c r="M5" s="12" t="inlineStr">
        <is>
          <t>Unresolved</t>
        </is>
      </c>
      <c r="N5" s="12" t="inlineStr">
        <is>
          <t>Contradictory</t>
        </is>
      </c>
      <c r="O5" s="12" t="inlineStr">
        <is>
          <t>Attention records</t>
        </is>
      </c>
    </row>
    <row r="6" ht="64" customHeight="1">
      <c r="A6" s="23" t="inlineStr">
        <is>
          <t>1.1</t>
        </is>
      </c>
      <c r="B6" s="23" t="inlineStr">
        <is>
          <t>Guideway and Civil</t>
        </is>
      </c>
      <c r="C6" s="23" t="inlineStr">
        <is>
          <t>181 governed relationships</t>
        </is>
      </c>
      <c r="D6" s="23" t="inlineStr">
        <is>
          <t>81 governed relationships</t>
        </is>
      </c>
      <c r="E6" s="23" t="inlineStr">
        <is>
          <t>9 governed relationships</t>
        </is>
      </c>
      <c r="F6" s="49" t="inlineStr">
        <is>
          <t>Aligned: Schedule and cost both relate through this WBS branch. 9 package/contract relationships also project through this branch.</t>
        </is>
      </c>
      <c r="G6" s="36" t="n">
        <v>0</v>
      </c>
      <c r="H6" s="36" t="n">
        <v>5</v>
      </c>
      <c r="I6" s="14" t="inlineStr">
        <is>
          <t>06 INTEGRATED PROJECT / 08 CROSSWALK: WBS 1.1</t>
        </is>
      </c>
      <c r="K6" s="26" t="inlineStr">
        <is>
          <t>1.2</t>
        </is>
      </c>
      <c r="L6" s="50" t="n">
        <v>2</v>
      </c>
      <c r="M6" s="50" t="n">
        <v>0</v>
      </c>
      <c r="N6" s="50" t="n">
        <v>1</v>
      </c>
      <c r="O6" s="50" t="n">
        <v>3</v>
      </c>
    </row>
    <row r="7" ht="64" customHeight="1">
      <c r="A7" s="23" t="inlineStr">
        <is>
          <t>1.2</t>
        </is>
      </c>
      <c r="B7" s="23" t="inlineStr">
        <is>
          <t>Stations</t>
        </is>
      </c>
      <c r="C7" s="23" t="inlineStr">
        <is>
          <t>180 governed relationships</t>
        </is>
      </c>
      <c r="D7" s="23" t="inlineStr">
        <is>
          <t>80 governed relationships</t>
        </is>
      </c>
      <c r="E7" s="23" t="inlineStr">
        <is>
          <t>12 governed relationships</t>
        </is>
      </c>
      <c r="F7" s="49" t="inlineStr">
        <is>
          <t>Aligned: Schedule and cost both relate through this WBS branch. 12 package/contract relationships also project through this branch.</t>
        </is>
      </c>
      <c r="G7" s="36" t="n">
        <v>0</v>
      </c>
      <c r="H7" s="36" t="n">
        <v>2</v>
      </c>
      <c r="I7" s="14" t="inlineStr">
        <is>
          <t>06 INTEGRATED PROJECT / 08 CROSSWALK: WBS 1.2</t>
        </is>
      </c>
      <c r="K7" s="26" t="inlineStr">
        <is>
          <t>1.1</t>
        </is>
      </c>
      <c r="L7" s="50" t="n">
        <v>2</v>
      </c>
      <c r="M7" s="50" t="n">
        <v>0</v>
      </c>
      <c r="N7" s="50" t="n">
        <v>1</v>
      </c>
      <c r="O7" s="50" t="n">
        <v>3</v>
      </c>
    </row>
    <row r="8" ht="64" customHeight="1">
      <c r="A8" s="23" t="inlineStr">
        <is>
          <t>1.3</t>
        </is>
      </c>
      <c r="B8" s="23" t="inlineStr">
        <is>
          <t>Systems</t>
        </is>
      </c>
      <c r="C8" s="23" t="inlineStr">
        <is>
          <t>179 governed relationships</t>
        </is>
      </c>
      <c r="D8" s="23" t="inlineStr">
        <is>
          <t>79 governed relationships</t>
        </is>
      </c>
      <c r="E8" s="23" t="inlineStr">
        <is>
          <t>10 governed relationships</t>
        </is>
      </c>
      <c r="F8" s="49" t="inlineStr">
        <is>
          <t>Aligned: Schedule and cost both relate through this WBS branch. 10 package/contract relationships also project through this branch.</t>
        </is>
      </c>
      <c r="G8" s="36" t="n">
        <v>0</v>
      </c>
      <c r="H8" s="36" t="n">
        <v>0</v>
      </c>
      <c r="I8" s="14" t="inlineStr">
        <is>
          <t>06 INTEGRATED PROJECT / 08 CROSSWALK: WBS 1.3</t>
        </is>
      </c>
      <c r="K8" s="26" t="inlineStr">
        <is>
          <t>1.4</t>
        </is>
      </c>
      <c r="L8" s="50" t="n">
        <v>0</v>
      </c>
      <c r="M8" s="50" t="n">
        <v>0</v>
      </c>
      <c r="N8" s="50" t="n">
        <v>0</v>
      </c>
      <c r="O8" s="50" t="n">
        <v>0</v>
      </c>
    </row>
    <row r="9" ht="64" customHeight="1">
      <c r="A9" s="23" t="inlineStr">
        <is>
          <t>1.4</t>
        </is>
      </c>
      <c r="B9" s="23" t="inlineStr">
        <is>
          <t>Vehicles and Depot</t>
        </is>
      </c>
      <c r="C9" s="23" t="inlineStr">
        <is>
          <t>179 governed relationships</t>
        </is>
      </c>
      <c r="D9" s="23" t="inlineStr">
        <is>
          <t>80 governed relationships</t>
        </is>
      </c>
      <c r="E9" s="23" t="inlineStr">
        <is>
          <t>10 governed relationships</t>
        </is>
      </c>
      <c r="F9" s="49" t="inlineStr">
        <is>
          <t>Aligned: Schedule and cost both relate through this WBS branch. 10 package/contract relationships also project through this branch.</t>
        </is>
      </c>
      <c r="G9" s="36" t="n">
        <v>0</v>
      </c>
      <c r="H9" s="36" t="n">
        <v>0</v>
      </c>
      <c r="I9" s="14" t="inlineStr">
        <is>
          <t>06 INTEGRATED PROJECT / 08 CROSSWALK: WBS 1.4</t>
        </is>
      </c>
      <c r="K9" s="26" t="inlineStr">
        <is>
          <t>1.3</t>
        </is>
      </c>
      <c r="L9" s="50" t="n">
        <v>0</v>
      </c>
      <c r="M9" s="50" t="n">
        <v>0</v>
      </c>
      <c r="N9" s="50" t="n">
        <v>0</v>
      </c>
      <c r="O9" s="50" t="n">
        <v>0</v>
      </c>
    </row>
    <row r="10" ht="64" customHeight="1">
      <c r="A10" s="23" t="inlineStr">
        <is>
          <t>1.5</t>
        </is>
      </c>
      <c r="B10" s="23" t="inlineStr">
        <is>
          <t>Testing and Commissioning</t>
        </is>
      </c>
      <c r="C10" s="23" t="inlineStr">
        <is>
          <t>180 governed relationships</t>
        </is>
      </c>
      <c r="D10" s="23" t="inlineStr">
        <is>
          <t>0 governed relationships</t>
        </is>
      </c>
      <c r="E10" s="23" t="inlineStr">
        <is>
          <t>10 governed relationships</t>
        </is>
      </c>
      <c r="F10" s="51" t="inlineStr">
        <is>
          <t>Attention: Schedule scope has no governed cost relationships in this WBS branch. 10 package/contract relationships also project through this branch.</t>
        </is>
      </c>
      <c r="G10" s="36" t="n">
        <v>0</v>
      </c>
      <c r="H10" s="36" t="n">
        <v>0</v>
      </c>
      <c r="I10" s="14" t="inlineStr">
        <is>
          <t>06 INTEGRATED PROJECT / 08 CROSSWALK: WBS 1.5</t>
        </is>
      </c>
      <c r="K10" s="26" t="inlineStr">
        <is>
          <t>1.5</t>
        </is>
      </c>
      <c r="L10" s="50" t="n">
        <v>0</v>
      </c>
      <c r="M10" s="50" t="n">
        <v>0</v>
      </c>
      <c r="N10" s="50" t="n">
        <v>0</v>
      </c>
      <c r="O10" s="50" t="n">
        <v>0</v>
      </c>
    </row>
    <row r="11" ht="64" customHeight="1">
      <c r="A11" s="23" t="inlineStr">
        <is>
          <t>1.6</t>
        </is>
      </c>
      <c r="B11" s="23" t="inlineStr">
        <is>
          <t>Program Management</t>
        </is>
      </c>
      <c r="C11" s="23" t="inlineStr">
        <is>
          <t>0 governed relationships</t>
        </is>
      </c>
      <c r="D11" s="23" t="inlineStr">
        <is>
          <t>79 governed relationships</t>
        </is>
      </c>
      <c r="E11" s="23" t="inlineStr">
        <is>
          <t>9 governed relationships</t>
        </is>
      </c>
      <c r="F11" s="51" t="inlineStr">
        <is>
          <t>Attention: Cost scope has no governed schedule relationships in this WBS branch. 9 package/contract relationships also project through this branch.</t>
        </is>
      </c>
      <c r="G11" s="36" t="n">
        <v>0</v>
      </c>
      <c r="H11" s="36" t="n">
        <v>0</v>
      </c>
      <c r="I11" s="14" t="inlineStr">
        <is>
          <t>06 INTEGRATED PROJECT / 08 CROSSWALK: WBS 1.6</t>
        </is>
      </c>
      <c r="K11" s="26" t="inlineStr">
        <is>
          <t>1.6</t>
        </is>
      </c>
      <c r="L11" s="50" t="n">
        <v>0</v>
      </c>
      <c r="M11" s="50" t="n">
        <v>0</v>
      </c>
      <c r="N11" s="50" t="n">
        <v>0</v>
      </c>
      <c r="O11" s="50" t="n">
        <v>0</v>
      </c>
    </row>
    <row r="12" ht="49" customHeight="1">
      <c r="K12" s="31" t="inlineStr">
        <is>
          <t>Counts locate governed professional-attention populations only; they are not financial or schedule materiality rankings.</t>
        </is>
      </c>
    </row>
    <row r="13" ht="34" customHeight="1">
      <c r="B13" s="22" t="inlineStr">
        <is>
          <t>V1 · WBS × CONTROL-VIEW INTEGRATION MATRIX</t>
        </is>
      </c>
    </row>
    <row r="14" ht="64" customHeight="1">
      <c r="B14" s="10" t="inlineStr">
        <is>
          <t>Which supplied project-control views have governed relationships through each major Owner-WBS branch?</t>
        </is>
      </c>
    </row>
    <row r="15"/>
    <row r="16" ht="34" customHeight="1">
      <c r="B16" s="12" t="inlineStr">
        <is>
          <t>WBS</t>
        </is>
      </c>
      <c r="C16" s="12" t="inlineStr">
        <is>
          <t>Scope</t>
        </is>
      </c>
      <c r="D16" s="12" t="inlineStr">
        <is>
          <t>Schedule</t>
        </is>
      </c>
      <c r="E16" s="12" t="inlineStr">
        <is>
          <t>Cost / forecast</t>
        </is>
      </c>
      <c r="F16" s="12" t="inlineStr">
        <is>
          <t>Package / contract</t>
        </is>
      </c>
      <c r="G16" s="12" t="inlineStr">
        <is>
          <t>Responsibility</t>
        </is>
      </c>
      <c r="H16" s="12" t="inlineStr">
        <is>
          <t>Proof path</t>
        </is>
      </c>
    </row>
    <row r="17" ht="34" customHeight="1">
      <c r="B17" s="23" t="inlineStr">
        <is>
          <t>1.2</t>
        </is>
      </c>
      <c r="C17" s="23" t="inlineStr">
        <is>
          <t>Stations</t>
        </is>
      </c>
      <c r="D17" s="23" t="inlineStr">
        <is>
          <t>180 governed relationships</t>
        </is>
      </c>
      <c r="E17" s="23" t="inlineStr">
        <is>
          <t>80 governed relationships</t>
        </is>
      </c>
      <c r="F17" s="23" t="inlineStr">
        <is>
          <t>12 governed relationships</t>
        </is>
      </c>
      <c r="G17" s="23" t="inlineStr">
        <is>
          <t>Not supplied</t>
        </is>
      </c>
      <c r="H17" s="52" t="inlineStr">
        <is>
          <t>06 INTEGRATED PROJECT / 08 CROSSWALK: WBS 1.2</t>
        </is>
      </c>
      <c r="I17" s="16" t="n"/>
    </row>
    <row r="18" ht="34" customHeight="1">
      <c r="B18" s="23" t="inlineStr">
        <is>
          <t>1.1</t>
        </is>
      </c>
      <c r="C18" s="23" t="inlineStr">
        <is>
          <t>Guideway and Civil</t>
        </is>
      </c>
      <c r="D18" s="23" t="inlineStr">
        <is>
          <t>181 governed relationships</t>
        </is>
      </c>
      <c r="E18" s="23" t="inlineStr">
        <is>
          <t>81 governed relationships</t>
        </is>
      </c>
      <c r="F18" s="23" t="inlineStr">
        <is>
          <t>9 governed relationships</t>
        </is>
      </c>
      <c r="G18" s="23" t="inlineStr">
        <is>
          <t>Not supplied</t>
        </is>
      </c>
      <c r="H18" s="52" t="inlineStr">
        <is>
          <t>06 INTEGRATED PROJECT / 08 CROSSWALK: WBS 1.1</t>
        </is>
      </c>
      <c r="I18" s="16" t="n"/>
    </row>
    <row r="19" ht="34" customHeight="1">
      <c r="B19" s="23" t="inlineStr">
        <is>
          <t>1.4</t>
        </is>
      </c>
      <c r="C19" s="23" t="inlineStr">
        <is>
          <t>Vehicles and Depot</t>
        </is>
      </c>
      <c r="D19" s="23" t="inlineStr">
        <is>
          <t>179 governed relationships</t>
        </is>
      </c>
      <c r="E19" s="23" t="inlineStr">
        <is>
          <t>80 governed relationships</t>
        </is>
      </c>
      <c r="F19" s="23" t="inlineStr">
        <is>
          <t>10 governed relationships</t>
        </is>
      </c>
      <c r="G19" s="23" t="inlineStr">
        <is>
          <t>Not supplied</t>
        </is>
      </c>
      <c r="H19" s="52" t="inlineStr">
        <is>
          <t>06 INTEGRATED PROJECT / 08 CROSSWALK: WBS 1.4</t>
        </is>
      </c>
      <c r="I19" s="16" t="n"/>
    </row>
    <row r="20" ht="34" customHeight="1">
      <c r="B20" s="23" t="inlineStr">
        <is>
          <t>1.3</t>
        </is>
      </c>
      <c r="C20" s="23" t="inlineStr">
        <is>
          <t>Systems</t>
        </is>
      </c>
      <c r="D20" s="23" t="inlineStr">
        <is>
          <t>179 governed relationships</t>
        </is>
      </c>
      <c r="E20" s="23" t="inlineStr">
        <is>
          <t>79 governed relationships</t>
        </is>
      </c>
      <c r="F20" s="23" t="inlineStr">
        <is>
          <t>10 governed relationships</t>
        </is>
      </c>
      <c r="G20" s="23" t="inlineStr">
        <is>
          <t>Not supplied</t>
        </is>
      </c>
      <c r="H20" s="52" t="inlineStr">
        <is>
          <t>06 INTEGRATED PROJECT / 08 CROSSWALK: WBS 1.3</t>
        </is>
      </c>
      <c r="I20" s="16" t="n"/>
    </row>
    <row r="21" ht="34" customHeight="1">
      <c r="B21" s="23" t="inlineStr">
        <is>
          <t>1.5</t>
        </is>
      </c>
      <c r="C21" s="23" t="inlineStr">
        <is>
          <t>Testing and Commissioning</t>
        </is>
      </c>
      <c r="D21" s="23" t="inlineStr">
        <is>
          <t>180 governed relationships</t>
        </is>
      </c>
      <c r="E21" s="23" t="inlineStr">
        <is>
          <t>Assessed · no governed coverage</t>
        </is>
      </c>
      <c r="F21" s="23" t="inlineStr">
        <is>
          <t>10 governed relationships</t>
        </is>
      </c>
      <c r="G21" s="23" t="inlineStr">
        <is>
          <t>Not supplied</t>
        </is>
      </c>
      <c r="H21" s="52" t="inlineStr">
        <is>
          <t>06 INTEGRATED PROJECT / 08 CROSSWALK: WBS 1.5</t>
        </is>
      </c>
      <c r="I21" s="16" t="n"/>
    </row>
    <row r="22" ht="34" customHeight="1">
      <c r="B22" s="23" t="inlineStr">
        <is>
          <t>1.6</t>
        </is>
      </c>
      <c r="C22" s="23" t="inlineStr">
        <is>
          <t>Program Management</t>
        </is>
      </c>
      <c r="D22" s="23" t="inlineStr">
        <is>
          <t>Assessed · no governed coverage</t>
        </is>
      </c>
      <c r="E22" s="23" t="inlineStr">
        <is>
          <t>79 governed relationships</t>
        </is>
      </c>
      <c r="F22" s="23" t="inlineStr">
        <is>
          <t>9 governed relationships</t>
        </is>
      </c>
      <c r="G22" s="23" t="inlineStr">
        <is>
          <t>Not supplied</t>
        </is>
      </c>
      <c r="H22" s="52" t="inlineStr">
        <is>
          <t>06 INTEGRATED PROJECT / 08 CROSSWALK: WBS 1.6</t>
        </is>
      </c>
      <c r="I22" s="16" t="n"/>
    </row>
    <row r="23" ht="49" customHeight="1">
      <c r="B23" s="31" t="inlineStr">
        <is>
          <t>Unresolved is distinct from assessed zero coverage and source-not-supplied.</t>
        </is>
      </c>
    </row>
    <row r="24"/>
    <row r="25" ht="19" customHeight="1">
      <c r="A25" s="53" t="inlineStr">
        <is>
          <t>V4 · COST / FORECAST VISUAL WITHHELD</t>
        </is>
      </c>
    </row>
    <row r="26" ht="47" customHeight="1">
      <c r="A26" s="10" t="inlineStr">
        <is>
          <t>Withheld: current generic field-name recognition is not a governed quantitative contract. Measure meaning, currency/unit, period, grain, WBS basis, allocation and unresolved treatment must all be established.</t>
        </is>
      </c>
    </row>
    <row r="27" ht="47" customHeight="1"/>
  </sheetData>
  <autoFilter ref="A5:I11"/>
  <mergeCells count="12">
    <mergeCell ref="A1:D1"/>
    <mergeCell ref="K12:O12"/>
    <mergeCell ref="A26:B27"/>
    <mergeCell ref="H20:I20"/>
    <mergeCell ref="H21:I21"/>
    <mergeCell ref="A25:B25"/>
    <mergeCell ref="K4:M4"/>
    <mergeCell ref="H18:I18"/>
    <mergeCell ref="H19:I19"/>
    <mergeCell ref="A2:D2"/>
    <mergeCell ref="H22:I22"/>
    <mergeCell ref="H17:I17"/>
  </mergeCells>
  <conditionalFormatting sqref="B23">
    <cfRule type="expression" priority="1" dxfId="0">
      <formula>ISNUMBER(SEARCH("Unresolved",B23))</formula>
    </cfRule>
  </conditionalFormatting>
  <conditionalFormatting sqref="A26">
    <cfRule type="expression" priority="2" dxfId="0">
      <formula>ISNUMBER(SEARCH("Unresolved",A26))</formula>
    </cfRule>
  </conditionalFormatting>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 xmlns:r="http://schemas.openxmlformats.org/officeDocument/2006/relationships" ref="I6" r:id="rId9"/>
    <hyperlink xmlns:r="http://schemas.openxmlformats.org/officeDocument/2006/relationships" ref="I7" r:id="rId10"/>
    <hyperlink xmlns:r="http://schemas.openxmlformats.org/officeDocument/2006/relationships" ref="I8" r:id="rId11"/>
    <hyperlink xmlns:r="http://schemas.openxmlformats.org/officeDocument/2006/relationships" ref="I9" r:id="rId12"/>
    <hyperlink xmlns:r="http://schemas.openxmlformats.org/officeDocument/2006/relationships" ref="I10" r:id="rId13"/>
    <hyperlink xmlns:r="http://schemas.openxmlformats.org/officeDocument/2006/relationships" ref="I11" r:id="rId14"/>
    <hyperlink xmlns:r="http://schemas.openxmlformats.org/officeDocument/2006/relationships" ref="H17" r:id="rId15"/>
    <hyperlink xmlns:r="http://schemas.openxmlformats.org/officeDocument/2006/relationships" ref="H18" r:id="rId16"/>
    <hyperlink xmlns:r="http://schemas.openxmlformats.org/officeDocument/2006/relationships" ref="H19" r:id="rId17"/>
    <hyperlink xmlns:r="http://schemas.openxmlformats.org/officeDocument/2006/relationships" ref="H20" r:id="rId18"/>
    <hyperlink xmlns:r="http://schemas.openxmlformats.org/officeDocument/2006/relationships" ref="H21" r:id="rId19"/>
    <hyperlink xmlns:r="http://schemas.openxmlformats.org/officeDocument/2006/relationships" ref="H22" r:id="rId20"/>
  </hyperlinks>
  <pageMargins left="0.75" right="0.75" top="1" bottom="1" header="0.5" footer="0.5"/>
  <pageSetup orientation="landscape" paperSize="8" scale="100" fitToHeight="0" fitToWidth="0"/>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tabColor rgb="00243553"/>
    <outlinePr summaryBelow="0" summaryRight="0"/>
    <pageSetUpPr fitToPage="1"/>
  </sheetPr>
  <dimension ref="A1:J85"/>
  <sheetViews>
    <sheetView showGridLines="0" tabSelected="0" topLeftCell="A1" zoomScale="100" zoomScaleNormal="100" workbookViewId="0">
      <pane xSplit="1" ySplit="5" topLeftCell="B6"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3" customWidth="1" min="1" max="1"/>
    <col width="40" customWidth="1" min="2" max="2"/>
    <col width="22" customWidth="1" min="3" max="3"/>
    <col width="22" customWidth="1" min="4" max="4"/>
    <col width="24" customWidth="1" min="5" max="5"/>
    <col width="20" customWidth="1" min="6" max="6"/>
    <col width="17" customWidth="1" min="7" max="7"/>
    <col width="12" customWidth="1" min="8" max="8"/>
    <col width="46" customWidth="1" min="9" max="9"/>
    <col width="28" customWidth="1" min="10" max="10"/>
  </cols>
  <sheetData>
    <row r="1" ht="33.2" customHeight="1">
      <c r="A1" s="9" t="inlineStr">
        <is>
          <t>INTEGRATED PROJECT</t>
        </is>
      </c>
    </row>
    <row r="2" ht="35.92" customHeight="1">
      <c r="A2" s="10" t="inlineStr">
        <is>
          <t>Working projection of independently authored project views through the approved WBS integration spine.</t>
        </is>
      </c>
    </row>
    <row r="3" ht="19" customHeight="1">
      <c r="A3" s="11" t="inlineStr">
        <is>
          <t>Executive</t>
        </is>
      </c>
      <c r="B3" s="11" t="inlineStr">
        <is>
          <t>Issues</t>
        </is>
      </c>
      <c r="C3" s="11" t="inlineStr">
        <is>
          <t>Integration</t>
        </is>
      </c>
      <c r="D3" s="11" t="inlineStr">
        <is>
          <t>Project</t>
        </is>
      </c>
      <c r="E3" s="11" t="inlineStr">
        <is>
          <t>Changes</t>
        </is>
      </c>
      <c r="F3" s="11" t="inlineStr">
        <is>
          <t>Crosswalk</t>
        </is>
      </c>
      <c r="G3" s="11" t="inlineStr">
        <is>
          <t>Evidence</t>
        </is>
      </c>
      <c r="H3" s="11" t="inlineStr">
        <is>
          <t>Sources</t>
        </is>
      </c>
    </row>
    <row r="4"/>
    <row r="5" ht="34" customHeight="1">
      <c r="A5" s="12" t="inlineStr">
        <is>
          <t>WBS</t>
        </is>
      </c>
      <c r="B5" s="12" t="inlineStr">
        <is>
          <t>Scope</t>
        </is>
      </c>
      <c r="C5" s="12" t="inlineStr">
        <is>
          <t>Schedule relationships</t>
        </is>
      </c>
      <c r="D5" s="12" t="inlineStr">
        <is>
          <t>Cost relationships</t>
        </is>
      </c>
      <c r="E5" s="12" t="inlineStr">
        <is>
          <t>Package / contract relationships</t>
        </is>
      </c>
      <c r="F5" s="12" t="inlineStr">
        <is>
          <t>Other relationships</t>
        </is>
      </c>
      <c r="G5" s="12" t="inlineStr">
        <is>
          <t>Open / unresolved</t>
        </is>
      </c>
      <c r="H5" s="12" t="inlineStr">
        <is>
          <t>Changed</t>
        </is>
      </c>
      <c r="I5" s="12" t="inlineStr">
        <is>
          <t>Current integration observation</t>
        </is>
      </c>
      <c r="J5" s="12" t="inlineStr">
        <is>
          <t>Drill to proof</t>
        </is>
      </c>
    </row>
    <row r="6" ht="64" customHeight="1">
      <c r="A6" s="54" t="inlineStr"/>
      <c r="B6" s="54" t="inlineStr">
        <is>
          <t>HarbourLink Urban Transit Expansion</t>
        </is>
      </c>
      <c r="C6" s="54" t="inlineStr">
        <is>
          <t>899 governed relationships</t>
        </is>
      </c>
      <c r="D6" s="54" t="inlineStr">
        <is>
          <t>399 governed relationships</t>
        </is>
      </c>
      <c r="E6" s="54" t="inlineStr">
        <is>
          <t>59 governed relationships</t>
        </is>
      </c>
      <c r="F6" s="54" t="inlineStr">
        <is>
          <t>0 governed relationships</t>
        </is>
      </c>
      <c r="G6" s="55" t="n">
        <v>0</v>
      </c>
      <c r="H6" s="55" t="n">
        <v>7</v>
      </c>
      <c r="I6" s="54" t="inlineStr">
        <is>
          <t>Schedule and cost both relate through this WBS branch. 59 package/contract relationships also project through this branch.</t>
        </is>
      </c>
      <c r="J6" s="14" t="inlineStr">
        <is>
          <t xml:space="preserve">08 CROSSWALK: WBS </t>
        </is>
      </c>
    </row>
    <row r="7" ht="64" customHeight="1">
      <c r="A7" s="54" t="inlineStr">
        <is>
          <t>1</t>
        </is>
      </c>
      <c r="B7" s="56" t="inlineStr">
        <is>
          <t>HarbourLink Urban Transit Expansion</t>
        </is>
      </c>
      <c r="C7" s="54" t="inlineStr">
        <is>
          <t>899 governed relationships</t>
        </is>
      </c>
      <c r="D7" s="54" t="inlineStr">
        <is>
          <t>399 governed relationships</t>
        </is>
      </c>
      <c r="E7" s="54" t="inlineStr">
        <is>
          <t>59 governed relationships</t>
        </is>
      </c>
      <c r="F7" s="54" t="inlineStr">
        <is>
          <t>0 governed relationships</t>
        </is>
      </c>
      <c r="G7" s="55" t="n">
        <v>0</v>
      </c>
      <c r="H7" s="55" t="n">
        <v>7</v>
      </c>
      <c r="I7" s="54" t="inlineStr">
        <is>
          <t>Schedule and cost both relate through this WBS branch. 59 package/contract relationships also project through this branch.</t>
        </is>
      </c>
      <c r="J7" s="14" t="inlineStr">
        <is>
          <t>08 CROSSWALK: WBS 1</t>
        </is>
      </c>
    </row>
    <row r="8" ht="64" customHeight="1">
      <c r="A8" s="23" t="inlineStr">
        <is>
          <t>1.1</t>
        </is>
      </c>
      <c r="B8" s="57" t="inlineStr">
        <is>
          <t>Guideway and Civil</t>
        </is>
      </c>
      <c r="C8" s="23" t="inlineStr">
        <is>
          <t>181 governed relationships</t>
        </is>
      </c>
      <c r="D8" s="23" t="inlineStr">
        <is>
          <t>81 governed relationships</t>
        </is>
      </c>
      <c r="E8" s="23" t="inlineStr">
        <is>
          <t>9 governed relationships</t>
        </is>
      </c>
      <c r="F8" s="23" t="inlineStr">
        <is>
          <t>0 governed relationships</t>
        </is>
      </c>
      <c r="G8" s="36" t="n">
        <v>0</v>
      </c>
      <c r="H8" s="36" t="n">
        <v>5</v>
      </c>
      <c r="I8" s="23" t="inlineStr">
        <is>
          <t>Schedule and cost both relate through this WBS branch. 9 package/contract relationships also project through this branch.</t>
        </is>
      </c>
      <c r="J8" s="14" t="inlineStr">
        <is>
          <t>08 CROSSWALK: WBS 1.1</t>
        </is>
      </c>
    </row>
    <row r="9" ht="34" customHeight="1">
      <c r="A9" s="23" t="inlineStr">
        <is>
          <t>1.1.1</t>
        </is>
      </c>
      <c r="B9" s="58" t="inlineStr">
        <is>
          <t>Guideway and Civil - Guideway Structures</t>
        </is>
      </c>
      <c r="C9" s="23" t="inlineStr">
        <is>
          <t>120 governed relationships</t>
        </is>
      </c>
      <c r="D9" s="23" t="inlineStr">
        <is>
          <t>40 governed relationships</t>
        </is>
      </c>
      <c r="E9" s="23" t="inlineStr">
        <is>
          <t>0 governed relationships</t>
        </is>
      </c>
      <c r="F9" s="23" t="inlineStr">
        <is>
          <t>0 governed relationships</t>
        </is>
      </c>
      <c r="G9" s="36" t="n">
        <v>0</v>
      </c>
      <c r="H9" s="36" t="n">
        <v>3</v>
      </c>
      <c r="I9" s="23" t="inlineStr">
        <is>
          <t>Schedule and cost both relate through this WBS branch.</t>
        </is>
      </c>
      <c r="J9" s="14" t="inlineStr">
        <is>
          <t>08 CROSSWALK: WBS 1.1.1</t>
        </is>
      </c>
    </row>
    <row r="10" ht="34" customHeight="1">
      <c r="A10" s="23" t="inlineStr">
        <is>
          <t>1.1.1.1</t>
        </is>
      </c>
      <c r="B10" s="59" t="inlineStr">
        <is>
          <t>Guideway Structures - East Segment</t>
        </is>
      </c>
      <c r="C10" s="23" t="inlineStr">
        <is>
          <t>0 governed relationships</t>
        </is>
      </c>
      <c r="D10" s="23" t="inlineStr">
        <is>
          <t>0 governed relationships</t>
        </is>
      </c>
      <c r="E10" s="23" t="inlineStr">
        <is>
          <t>0 governed relationships</t>
        </is>
      </c>
      <c r="F10" s="23" t="inlineStr">
        <is>
          <t>0 governed relationships</t>
        </is>
      </c>
      <c r="G10" s="36" t="n">
        <v>0</v>
      </c>
      <c r="H10" s="36" t="n">
        <v>0</v>
      </c>
      <c r="I10" s="23" t="inlineStr">
        <is>
          <t>No governed schedule or cost relationships in this WBS branch.</t>
        </is>
      </c>
      <c r="J10" s="14" t="inlineStr">
        <is>
          <t>08 CROSSWALK: WBS 1.1.1.1</t>
        </is>
      </c>
    </row>
    <row r="11" ht="34" customHeight="1">
      <c r="A11" s="23" t="inlineStr">
        <is>
          <t>1.1.1.2</t>
        </is>
      </c>
      <c r="B11" s="59" t="inlineStr">
        <is>
          <t>Guideway Structures - West Segment</t>
        </is>
      </c>
      <c r="C11" s="23" t="inlineStr">
        <is>
          <t>0 governed relationships</t>
        </is>
      </c>
      <c r="D11" s="23" t="inlineStr">
        <is>
          <t>0 governed relationships</t>
        </is>
      </c>
      <c r="E11" s="23" t="inlineStr">
        <is>
          <t>0 governed relationships</t>
        </is>
      </c>
      <c r="F11" s="23" t="inlineStr">
        <is>
          <t>0 governed relationships</t>
        </is>
      </c>
      <c r="G11" s="36" t="n">
        <v>0</v>
      </c>
      <c r="H11" s="36" t="n">
        <v>0</v>
      </c>
      <c r="I11" s="23" t="inlineStr">
        <is>
          <t>No governed schedule or cost relationships in this WBS branch.</t>
        </is>
      </c>
      <c r="J11" s="14" t="inlineStr">
        <is>
          <t>08 CROSSWALK: WBS 1.1.1.2</t>
        </is>
      </c>
    </row>
    <row r="12" ht="34" customHeight="1">
      <c r="A12" s="23" t="inlineStr">
        <is>
          <t>1.1.2</t>
        </is>
      </c>
      <c r="B12" s="58" t="inlineStr">
        <is>
          <t>Guideway and Civil - Utility &amp; Roadworks</t>
        </is>
      </c>
      <c r="C12" s="23" t="inlineStr">
        <is>
          <t>61 governed relationships</t>
        </is>
      </c>
      <c r="D12" s="23" t="inlineStr">
        <is>
          <t>41 governed relationships</t>
        </is>
      </c>
      <c r="E12" s="23" t="inlineStr">
        <is>
          <t>0 governed relationships</t>
        </is>
      </c>
      <c r="F12" s="23" t="inlineStr">
        <is>
          <t>0 governed relationships</t>
        </is>
      </c>
      <c r="G12" s="36" t="n">
        <v>0</v>
      </c>
      <c r="H12" s="36" t="n">
        <v>2</v>
      </c>
      <c r="I12" s="23" t="inlineStr">
        <is>
          <t>Schedule and cost both relate through this WBS branch.</t>
        </is>
      </c>
      <c r="J12" s="14" t="inlineStr">
        <is>
          <t>08 CROSSWALK: WBS 1.1.2</t>
        </is>
      </c>
    </row>
    <row r="13" ht="34" customHeight="1">
      <c r="A13" s="23" t="inlineStr">
        <is>
          <t>1.1.2.1</t>
        </is>
      </c>
      <c r="B13" s="59" t="inlineStr">
        <is>
          <t>Utility &amp; Roadworks - East Segment</t>
        </is>
      </c>
      <c r="C13" s="23" t="inlineStr">
        <is>
          <t>0 governed relationships</t>
        </is>
      </c>
      <c r="D13" s="23" t="inlineStr">
        <is>
          <t>0 governed relationships</t>
        </is>
      </c>
      <c r="E13" s="23" t="inlineStr">
        <is>
          <t>0 governed relationships</t>
        </is>
      </c>
      <c r="F13" s="23" t="inlineStr">
        <is>
          <t>0 governed relationships</t>
        </is>
      </c>
      <c r="G13" s="36" t="n">
        <v>0</v>
      </c>
      <c r="H13" s="36" t="n">
        <v>0</v>
      </c>
      <c r="I13" s="23" t="inlineStr">
        <is>
          <t>No governed schedule or cost relationships in this WBS branch.</t>
        </is>
      </c>
      <c r="J13" s="14" t="inlineStr">
        <is>
          <t>08 CROSSWALK: WBS 1.1.2.1</t>
        </is>
      </c>
    </row>
    <row r="14" ht="34" customHeight="1">
      <c r="A14" s="23" t="inlineStr">
        <is>
          <t>1.1.2.2</t>
        </is>
      </c>
      <c r="B14" s="59" t="inlineStr">
        <is>
          <t>Utility &amp; Roadworks - West Segment</t>
        </is>
      </c>
      <c r="C14" s="23" t="inlineStr">
        <is>
          <t>0 governed relationships</t>
        </is>
      </c>
      <c r="D14" s="23" t="inlineStr">
        <is>
          <t>0 governed relationships</t>
        </is>
      </c>
      <c r="E14" s="23" t="inlineStr">
        <is>
          <t>0 governed relationships</t>
        </is>
      </c>
      <c r="F14" s="23" t="inlineStr">
        <is>
          <t>0 governed relationships</t>
        </is>
      </c>
      <c r="G14" s="36" t="n">
        <v>0</v>
      </c>
      <c r="H14" s="36" t="n">
        <v>0</v>
      </c>
      <c r="I14" s="23" t="inlineStr">
        <is>
          <t>No governed schedule or cost relationships in this WBS branch.</t>
        </is>
      </c>
      <c r="J14" s="14" t="inlineStr">
        <is>
          <t>08 CROSSWALK: WBS 1.1.2.2</t>
        </is>
      </c>
    </row>
    <row r="15" ht="34" customHeight="1">
      <c r="A15" s="23" t="inlineStr">
        <is>
          <t>1.1.3</t>
        </is>
      </c>
      <c r="B15" s="58" t="inlineStr">
        <is>
          <t>Guideway and Civil - Track Support Works</t>
        </is>
      </c>
      <c r="C15" s="23" t="inlineStr">
        <is>
          <t>0 governed relationships</t>
        </is>
      </c>
      <c r="D15" s="23" t="inlineStr">
        <is>
          <t>0 governed relationships</t>
        </is>
      </c>
      <c r="E15" s="23" t="inlineStr">
        <is>
          <t>0 governed relationships</t>
        </is>
      </c>
      <c r="F15" s="23" t="inlineStr">
        <is>
          <t>0 governed relationships</t>
        </is>
      </c>
      <c r="G15" s="36" t="n">
        <v>0</v>
      </c>
      <c r="H15" s="36" t="n">
        <v>0</v>
      </c>
      <c r="I15" s="23" t="inlineStr">
        <is>
          <t>No governed schedule or cost relationships in this WBS branch.</t>
        </is>
      </c>
      <c r="J15" s="14" t="inlineStr">
        <is>
          <t>08 CROSSWALK: WBS 1.1.3</t>
        </is>
      </c>
    </row>
    <row r="16" ht="34" customHeight="1">
      <c r="A16" s="23" t="inlineStr">
        <is>
          <t>1.1.3.1</t>
        </is>
      </c>
      <c r="B16" s="59" t="inlineStr">
        <is>
          <t>Track Support Works - East Segment</t>
        </is>
      </c>
      <c r="C16" s="23" t="inlineStr">
        <is>
          <t>0 governed relationships</t>
        </is>
      </c>
      <c r="D16" s="23" t="inlineStr">
        <is>
          <t>0 governed relationships</t>
        </is>
      </c>
      <c r="E16" s="23" t="inlineStr">
        <is>
          <t>0 governed relationships</t>
        </is>
      </c>
      <c r="F16" s="23" t="inlineStr">
        <is>
          <t>0 governed relationships</t>
        </is>
      </c>
      <c r="G16" s="36" t="n">
        <v>0</v>
      </c>
      <c r="H16" s="36" t="n">
        <v>0</v>
      </c>
      <c r="I16" s="23" t="inlineStr">
        <is>
          <t>No governed schedule or cost relationships in this WBS branch.</t>
        </is>
      </c>
      <c r="J16" s="14" t="inlineStr">
        <is>
          <t>08 CROSSWALK: WBS 1.1.3.1</t>
        </is>
      </c>
    </row>
    <row r="17" ht="34" customHeight="1">
      <c r="A17" s="23" t="inlineStr">
        <is>
          <t>1.1.3.2</t>
        </is>
      </c>
      <c r="B17" s="59" t="inlineStr">
        <is>
          <t>Track Support Works - West Segment</t>
        </is>
      </c>
      <c r="C17" s="23" t="inlineStr">
        <is>
          <t>0 governed relationships</t>
        </is>
      </c>
      <c r="D17" s="23" t="inlineStr">
        <is>
          <t>0 governed relationships</t>
        </is>
      </c>
      <c r="E17" s="23" t="inlineStr">
        <is>
          <t>0 governed relationships</t>
        </is>
      </c>
      <c r="F17" s="23" t="inlineStr">
        <is>
          <t>0 governed relationships</t>
        </is>
      </c>
      <c r="G17" s="36" t="n">
        <v>0</v>
      </c>
      <c r="H17" s="36" t="n">
        <v>0</v>
      </c>
      <c r="I17" s="23" t="inlineStr">
        <is>
          <t>No governed schedule or cost relationships in this WBS branch.</t>
        </is>
      </c>
      <c r="J17" s="14" t="inlineStr">
        <is>
          <t>08 CROSSWALK: WBS 1.1.3.2</t>
        </is>
      </c>
    </row>
    <row r="18" ht="34" customHeight="1">
      <c r="A18" s="23" t="inlineStr">
        <is>
          <t>1.1.4</t>
        </is>
      </c>
      <c r="B18" s="58" t="inlineStr">
        <is>
          <t>Guideway and Civil - Civil Interfaces</t>
        </is>
      </c>
      <c r="C18" s="23" t="inlineStr">
        <is>
          <t>0 governed relationships</t>
        </is>
      </c>
      <c r="D18" s="23" t="inlineStr">
        <is>
          <t>0 governed relationships</t>
        </is>
      </c>
      <c r="E18" s="23" t="inlineStr">
        <is>
          <t>0 governed relationships</t>
        </is>
      </c>
      <c r="F18" s="23" t="inlineStr">
        <is>
          <t>0 governed relationships</t>
        </is>
      </c>
      <c r="G18" s="36" t="n">
        <v>0</v>
      </c>
      <c r="H18" s="36" t="n">
        <v>0</v>
      </c>
      <c r="I18" s="23" t="inlineStr">
        <is>
          <t>No governed schedule or cost relationships in this WBS branch.</t>
        </is>
      </c>
      <c r="J18" s="14" t="inlineStr">
        <is>
          <t>08 CROSSWALK: WBS 1.1.4</t>
        </is>
      </c>
    </row>
    <row r="19" ht="34" customHeight="1">
      <c r="A19" s="23" t="inlineStr">
        <is>
          <t>1.1.4.1</t>
        </is>
      </c>
      <c r="B19" s="59" t="inlineStr">
        <is>
          <t>Civil Interfaces - East Segment</t>
        </is>
      </c>
      <c r="C19" s="23" t="inlineStr">
        <is>
          <t>0 governed relationships</t>
        </is>
      </c>
      <c r="D19" s="23" t="inlineStr">
        <is>
          <t>0 governed relationships</t>
        </is>
      </c>
      <c r="E19" s="23" t="inlineStr">
        <is>
          <t>0 governed relationships</t>
        </is>
      </c>
      <c r="F19" s="23" t="inlineStr">
        <is>
          <t>0 governed relationships</t>
        </is>
      </c>
      <c r="G19" s="36" t="n">
        <v>0</v>
      </c>
      <c r="H19" s="36" t="n">
        <v>0</v>
      </c>
      <c r="I19" s="23" t="inlineStr">
        <is>
          <t>No governed schedule or cost relationships in this WBS branch.</t>
        </is>
      </c>
      <c r="J19" s="14" t="inlineStr">
        <is>
          <t>08 CROSSWALK: WBS 1.1.4.1</t>
        </is>
      </c>
    </row>
    <row r="20" ht="34" customHeight="1">
      <c r="A20" s="23" t="inlineStr">
        <is>
          <t>1.1.4.2</t>
        </is>
      </c>
      <c r="B20" s="59" t="inlineStr">
        <is>
          <t>Civil Interfaces - West Segment</t>
        </is>
      </c>
      <c r="C20" s="23" t="inlineStr">
        <is>
          <t>0 governed relationships</t>
        </is>
      </c>
      <c r="D20" s="23" t="inlineStr">
        <is>
          <t>0 governed relationships</t>
        </is>
      </c>
      <c r="E20" s="23" t="inlineStr">
        <is>
          <t>0 governed relationships</t>
        </is>
      </c>
      <c r="F20" s="23" t="inlineStr">
        <is>
          <t>0 governed relationships</t>
        </is>
      </c>
      <c r="G20" s="36" t="n">
        <v>0</v>
      </c>
      <c r="H20" s="36" t="n">
        <v>0</v>
      </c>
      <c r="I20" s="23" t="inlineStr">
        <is>
          <t>No governed schedule or cost relationships in this WBS branch.</t>
        </is>
      </c>
      <c r="J20" s="14" t="inlineStr">
        <is>
          <t>08 CROSSWALK: WBS 1.1.4.2</t>
        </is>
      </c>
    </row>
    <row r="21" ht="64" customHeight="1">
      <c r="A21" s="23" t="inlineStr">
        <is>
          <t>1.2</t>
        </is>
      </c>
      <c r="B21" s="57" t="inlineStr">
        <is>
          <t>Stations</t>
        </is>
      </c>
      <c r="C21" s="23" t="inlineStr">
        <is>
          <t>180 governed relationships</t>
        </is>
      </c>
      <c r="D21" s="23" t="inlineStr">
        <is>
          <t>80 governed relationships</t>
        </is>
      </c>
      <c r="E21" s="23" t="inlineStr">
        <is>
          <t>12 governed relationships</t>
        </is>
      </c>
      <c r="F21" s="23" t="inlineStr">
        <is>
          <t>0 governed relationships</t>
        </is>
      </c>
      <c r="G21" s="36" t="n">
        <v>0</v>
      </c>
      <c r="H21" s="36" t="n">
        <v>2</v>
      </c>
      <c r="I21" s="23" t="inlineStr">
        <is>
          <t>Schedule and cost both relate through this WBS branch. 12 package/contract relationships also project through this branch.</t>
        </is>
      </c>
      <c r="J21" s="14" t="inlineStr">
        <is>
          <t>08 CROSSWALK: WBS 1.2</t>
        </is>
      </c>
    </row>
    <row r="22" ht="34" customHeight="1">
      <c r="A22" s="23" t="inlineStr">
        <is>
          <t>1.2.1</t>
        </is>
      </c>
      <c r="B22" s="58" t="inlineStr">
        <is>
          <t>Stations - Station Structures</t>
        </is>
      </c>
      <c r="C22" s="23" t="inlineStr">
        <is>
          <t>120 governed relationships</t>
        </is>
      </c>
      <c r="D22" s="23" t="inlineStr">
        <is>
          <t>40 governed relationships</t>
        </is>
      </c>
      <c r="E22" s="23" t="inlineStr">
        <is>
          <t>0 governed relationships</t>
        </is>
      </c>
      <c r="F22" s="23" t="inlineStr">
        <is>
          <t>0 governed relationships</t>
        </is>
      </c>
      <c r="G22" s="36" t="n">
        <v>0</v>
      </c>
      <c r="H22" s="36" t="n">
        <v>0</v>
      </c>
      <c r="I22" s="23" t="inlineStr">
        <is>
          <t>Schedule and cost both relate through this WBS branch.</t>
        </is>
      </c>
      <c r="J22" s="14" t="inlineStr">
        <is>
          <t>08 CROSSWALK: WBS 1.2.1</t>
        </is>
      </c>
    </row>
    <row r="23" ht="34" customHeight="1">
      <c r="A23" s="23" t="inlineStr">
        <is>
          <t>1.2.1.1</t>
        </is>
      </c>
      <c r="B23" s="59" t="inlineStr">
        <is>
          <t>Station Structures - Concourse &amp; Entries</t>
        </is>
      </c>
      <c r="C23" s="23" t="inlineStr">
        <is>
          <t>0 governed relationships</t>
        </is>
      </c>
      <c r="D23" s="23" t="inlineStr">
        <is>
          <t>0 governed relationships</t>
        </is>
      </c>
      <c r="E23" s="23" t="inlineStr">
        <is>
          <t>0 governed relationships</t>
        </is>
      </c>
      <c r="F23" s="23" t="inlineStr">
        <is>
          <t>0 governed relationships</t>
        </is>
      </c>
      <c r="G23" s="36" t="n">
        <v>0</v>
      </c>
      <c r="H23" s="36" t="n">
        <v>0</v>
      </c>
      <c r="I23" s="23" t="inlineStr">
        <is>
          <t>No governed schedule or cost relationships in this WBS branch.</t>
        </is>
      </c>
      <c r="J23" s="14" t="inlineStr">
        <is>
          <t>08 CROSSWALK: WBS 1.2.1.1</t>
        </is>
      </c>
    </row>
    <row r="24" ht="34" customHeight="1">
      <c r="A24" s="23" t="inlineStr">
        <is>
          <t>1.2.1.2</t>
        </is>
      </c>
      <c r="B24" s="59" t="inlineStr">
        <is>
          <t>Station Structures - Platforms &amp; Back-of-House</t>
        </is>
      </c>
      <c r="C24" s="23" t="inlineStr">
        <is>
          <t>0 governed relationships</t>
        </is>
      </c>
      <c r="D24" s="23" t="inlineStr">
        <is>
          <t>0 governed relationships</t>
        </is>
      </c>
      <c r="E24" s="23" t="inlineStr">
        <is>
          <t>0 governed relationships</t>
        </is>
      </c>
      <c r="F24" s="23" t="inlineStr">
        <is>
          <t>0 governed relationships</t>
        </is>
      </c>
      <c r="G24" s="36" t="n">
        <v>0</v>
      </c>
      <c r="H24" s="36" t="n">
        <v>0</v>
      </c>
      <c r="I24" s="23" t="inlineStr">
        <is>
          <t>No governed schedule or cost relationships in this WBS branch.</t>
        </is>
      </c>
      <c r="J24" s="14" t="inlineStr">
        <is>
          <t>08 CROSSWALK: WBS 1.2.1.2</t>
        </is>
      </c>
    </row>
    <row r="25" ht="34" customHeight="1">
      <c r="A25" s="23" t="inlineStr">
        <is>
          <t>1.2.2</t>
        </is>
      </c>
      <c r="B25" s="58" t="inlineStr">
        <is>
          <t>Stations - Architectural Fit-Out</t>
        </is>
      </c>
      <c r="C25" s="23" t="inlineStr">
        <is>
          <t>60 governed relationships</t>
        </is>
      </c>
      <c r="D25" s="23" t="inlineStr">
        <is>
          <t>40 governed relationships</t>
        </is>
      </c>
      <c r="E25" s="23" t="inlineStr">
        <is>
          <t>0 governed relationships</t>
        </is>
      </c>
      <c r="F25" s="23" t="inlineStr">
        <is>
          <t>0 governed relationships</t>
        </is>
      </c>
      <c r="G25" s="36" t="n">
        <v>0</v>
      </c>
      <c r="H25" s="36" t="n">
        <v>1</v>
      </c>
      <c r="I25" s="23" t="inlineStr">
        <is>
          <t>Schedule and cost both relate through this WBS branch.</t>
        </is>
      </c>
      <c r="J25" s="14" t="inlineStr">
        <is>
          <t>08 CROSSWALK: WBS 1.2.2</t>
        </is>
      </c>
    </row>
    <row r="26" ht="34" customHeight="1">
      <c r="A26" s="23" t="inlineStr">
        <is>
          <t>1.2.2.1</t>
        </is>
      </c>
      <c r="B26" s="59" t="inlineStr">
        <is>
          <t>Architectural Fit-Out - Concourse &amp; Entries</t>
        </is>
      </c>
      <c r="C26" s="23" t="inlineStr">
        <is>
          <t>0 governed relationships</t>
        </is>
      </c>
      <c r="D26" s="23" t="inlineStr">
        <is>
          <t>0 governed relationships</t>
        </is>
      </c>
      <c r="E26" s="23" t="inlineStr">
        <is>
          <t>0 governed relationships</t>
        </is>
      </c>
      <c r="F26" s="23" t="inlineStr">
        <is>
          <t>0 governed relationships</t>
        </is>
      </c>
      <c r="G26" s="36" t="n">
        <v>0</v>
      </c>
      <c r="H26" s="36" t="n">
        <v>0</v>
      </c>
      <c r="I26" s="23" t="inlineStr">
        <is>
          <t>No governed schedule or cost relationships in this WBS branch.</t>
        </is>
      </c>
      <c r="J26" s="14" t="inlineStr">
        <is>
          <t>08 CROSSWALK: WBS 1.2.2.1</t>
        </is>
      </c>
    </row>
    <row r="27" ht="34" customHeight="1">
      <c r="A27" s="23" t="inlineStr">
        <is>
          <t>1.2.2.2</t>
        </is>
      </c>
      <c r="B27" s="59" t="inlineStr">
        <is>
          <t>Architectural Fit-Out - Platforms &amp; Back-of-House</t>
        </is>
      </c>
      <c r="C27" s="23" t="inlineStr">
        <is>
          <t>0 governed relationships</t>
        </is>
      </c>
      <c r="D27" s="23" t="inlineStr">
        <is>
          <t>0 governed relationships</t>
        </is>
      </c>
      <c r="E27" s="23" t="inlineStr">
        <is>
          <t>0 governed relationships</t>
        </is>
      </c>
      <c r="F27" s="23" t="inlineStr">
        <is>
          <t>0 governed relationships</t>
        </is>
      </c>
      <c r="G27" s="36" t="n">
        <v>0</v>
      </c>
      <c r="H27" s="36" t="n">
        <v>0</v>
      </c>
      <c r="I27" s="23" t="inlineStr">
        <is>
          <t>No governed schedule or cost relationships in this WBS branch.</t>
        </is>
      </c>
      <c r="J27" s="14" t="inlineStr">
        <is>
          <t>08 CROSSWALK: WBS 1.2.2.2</t>
        </is>
      </c>
    </row>
    <row r="28" ht="34" customHeight="1">
      <c r="A28" s="23" t="inlineStr">
        <is>
          <t>1.2.3</t>
        </is>
      </c>
      <c r="B28" s="58" t="inlineStr">
        <is>
          <t>Stations - Station Building Services</t>
        </is>
      </c>
      <c r="C28" s="23" t="inlineStr">
        <is>
          <t>0 governed relationships</t>
        </is>
      </c>
      <c r="D28" s="23" t="inlineStr">
        <is>
          <t>0 governed relationships</t>
        </is>
      </c>
      <c r="E28" s="23" t="inlineStr">
        <is>
          <t>0 governed relationships</t>
        </is>
      </c>
      <c r="F28" s="23" t="inlineStr">
        <is>
          <t>0 governed relationships</t>
        </is>
      </c>
      <c r="G28" s="36" t="n">
        <v>0</v>
      </c>
      <c r="H28" s="36" t="n">
        <v>0</v>
      </c>
      <c r="I28" s="23" t="inlineStr">
        <is>
          <t>No governed schedule or cost relationships in this WBS branch.</t>
        </is>
      </c>
      <c r="J28" s="14" t="inlineStr">
        <is>
          <t>08 CROSSWALK: WBS 1.2.3</t>
        </is>
      </c>
    </row>
    <row r="29" ht="34" customHeight="1">
      <c r="A29" s="23" t="inlineStr">
        <is>
          <t>1.2.3.1</t>
        </is>
      </c>
      <c r="B29" s="59" t="inlineStr">
        <is>
          <t>Station Building Services - Concourse &amp; Entries</t>
        </is>
      </c>
      <c r="C29" s="23" t="inlineStr">
        <is>
          <t>0 governed relationships</t>
        </is>
      </c>
      <c r="D29" s="23" t="inlineStr">
        <is>
          <t>0 governed relationships</t>
        </is>
      </c>
      <c r="E29" s="23" t="inlineStr">
        <is>
          <t>0 governed relationships</t>
        </is>
      </c>
      <c r="F29" s="23" t="inlineStr">
        <is>
          <t>0 governed relationships</t>
        </is>
      </c>
      <c r="G29" s="36" t="n">
        <v>0</v>
      </c>
      <c r="H29" s="36" t="n">
        <v>0</v>
      </c>
      <c r="I29" s="23" t="inlineStr">
        <is>
          <t>No governed schedule or cost relationships in this WBS branch.</t>
        </is>
      </c>
      <c r="J29" s="14" t="inlineStr">
        <is>
          <t>08 CROSSWALK: WBS 1.2.3.1</t>
        </is>
      </c>
    </row>
    <row r="30" ht="34" customHeight="1">
      <c r="A30" s="23" t="inlineStr">
        <is>
          <t>1.2.3.2</t>
        </is>
      </c>
      <c r="B30" s="59" t="inlineStr">
        <is>
          <t>Station Building Services - Platforms &amp; Back-of-House</t>
        </is>
      </c>
      <c r="C30" s="23" t="inlineStr">
        <is>
          <t>0 governed relationships</t>
        </is>
      </c>
      <c r="D30" s="23" t="inlineStr">
        <is>
          <t>0 governed relationships</t>
        </is>
      </c>
      <c r="E30" s="23" t="inlineStr">
        <is>
          <t>0 governed relationships</t>
        </is>
      </c>
      <c r="F30" s="23" t="inlineStr">
        <is>
          <t>0 governed relationships</t>
        </is>
      </c>
      <c r="G30" s="36" t="n">
        <v>0</v>
      </c>
      <c r="H30" s="36" t="n">
        <v>0</v>
      </c>
      <c r="I30" s="23" t="inlineStr">
        <is>
          <t>No governed schedule or cost relationships in this WBS branch.</t>
        </is>
      </c>
      <c r="J30" s="14" t="inlineStr">
        <is>
          <t>08 CROSSWALK: WBS 1.2.3.2</t>
        </is>
      </c>
    </row>
    <row r="31" ht="34" customHeight="1">
      <c r="A31" s="23" t="inlineStr">
        <is>
          <t>1.2.4</t>
        </is>
      </c>
      <c r="B31" s="58" t="inlineStr">
        <is>
          <t>Stations - Public Realm</t>
        </is>
      </c>
      <c r="C31" s="23" t="inlineStr">
        <is>
          <t>0 governed relationships</t>
        </is>
      </c>
      <c r="D31" s="23" t="inlineStr">
        <is>
          <t>0 governed relationships</t>
        </is>
      </c>
      <c r="E31" s="23" t="inlineStr">
        <is>
          <t>0 governed relationships</t>
        </is>
      </c>
      <c r="F31" s="23" t="inlineStr">
        <is>
          <t>0 governed relationships</t>
        </is>
      </c>
      <c r="G31" s="36" t="n">
        <v>0</v>
      </c>
      <c r="H31" s="36" t="n">
        <v>0</v>
      </c>
      <c r="I31" s="23" t="inlineStr">
        <is>
          <t>No governed schedule or cost relationships in this WBS branch.</t>
        </is>
      </c>
      <c r="J31" s="14" t="inlineStr">
        <is>
          <t>08 CROSSWALK: WBS 1.2.4</t>
        </is>
      </c>
    </row>
    <row r="32" ht="34" customHeight="1">
      <c r="A32" s="23" t="inlineStr">
        <is>
          <t>1.2.4.1</t>
        </is>
      </c>
      <c r="B32" s="59" t="inlineStr">
        <is>
          <t>Public Realm - Concourse &amp; Entries</t>
        </is>
      </c>
      <c r="C32" s="23" t="inlineStr">
        <is>
          <t>0 governed relationships</t>
        </is>
      </c>
      <c r="D32" s="23" t="inlineStr">
        <is>
          <t>0 governed relationships</t>
        </is>
      </c>
      <c r="E32" s="23" t="inlineStr">
        <is>
          <t>0 governed relationships</t>
        </is>
      </c>
      <c r="F32" s="23" t="inlineStr">
        <is>
          <t>0 governed relationships</t>
        </is>
      </c>
      <c r="G32" s="36" t="n">
        <v>0</v>
      </c>
      <c r="H32" s="36" t="n">
        <v>0</v>
      </c>
      <c r="I32" s="23" t="inlineStr">
        <is>
          <t>No governed schedule or cost relationships in this WBS branch.</t>
        </is>
      </c>
      <c r="J32" s="14" t="inlineStr">
        <is>
          <t>08 CROSSWALK: WBS 1.2.4.1</t>
        </is>
      </c>
    </row>
    <row r="33" ht="34" customHeight="1">
      <c r="A33" s="23" t="inlineStr">
        <is>
          <t>1.2.4.2</t>
        </is>
      </c>
      <c r="B33" s="59" t="inlineStr">
        <is>
          <t>Public Realm - Platforms &amp; Back-of-House</t>
        </is>
      </c>
      <c r="C33" s="23" t="inlineStr">
        <is>
          <t>0 governed relationships</t>
        </is>
      </c>
      <c r="D33" s="23" t="inlineStr">
        <is>
          <t>0 governed relationships</t>
        </is>
      </c>
      <c r="E33" s="23" t="inlineStr">
        <is>
          <t>0 governed relationships</t>
        </is>
      </c>
      <c r="F33" s="23" t="inlineStr">
        <is>
          <t>0 governed relationships</t>
        </is>
      </c>
      <c r="G33" s="36" t="n">
        <v>0</v>
      </c>
      <c r="H33" s="36" t="n">
        <v>0</v>
      </c>
      <c r="I33" s="23" t="inlineStr">
        <is>
          <t>No governed schedule or cost relationships in this WBS branch.</t>
        </is>
      </c>
      <c r="J33" s="14" t="inlineStr">
        <is>
          <t>08 CROSSWALK: WBS 1.2.4.2</t>
        </is>
      </c>
    </row>
    <row r="34" ht="64" customHeight="1">
      <c r="A34" s="23" t="inlineStr">
        <is>
          <t>1.3</t>
        </is>
      </c>
      <c r="B34" s="57" t="inlineStr">
        <is>
          <t>Systems</t>
        </is>
      </c>
      <c r="C34" s="23" t="inlineStr">
        <is>
          <t>179 governed relationships</t>
        </is>
      </c>
      <c r="D34" s="23" t="inlineStr">
        <is>
          <t>79 governed relationships</t>
        </is>
      </c>
      <c r="E34" s="23" t="inlineStr">
        <is>
          <t>10 governed relationships</t>
        </is>
      </c>
      <c r="F34" s="23" t="inlineStr">
        <is>
          <t>0 governed relationships</t>
        </is>
      </c>
      <c r="G34" s="36" t="n">
        <v>0</v>
      </c>
      <c r="H34" s="36" t="n">
        <v>0</v>
      </c>
      <c r="I34" s="23" t="inlineStr">
        <is>
          <t>Schedule and cost both relate through this WBS branch. 10 package/contract relationships also project through this branch.</t>
        </is>
      </c>
      <c r="J34" s="14" t="inlineStr">
        <is>
          <t>08 CROSSWALK: WBS 1.3</t>
        </is>
      </c>
    </row>
    <row r="35" ht="34" customHeight="1">
      <c r="A35" s="23" t="inlineStr">
        <is>
          <t>1.3.1</t>
        </is>
      </c>
      <c r="B35" s="58" t="inlineStr">
        <is>
          <t>Systems - Traction Power</t>
        </is>
      </c>
      <c r="C35" s="23" t="inlineStr">
        <is>
          <t>119 governed relationships</t>
        </is>
      </c>
      <c r="D35" s="23" t="inlineStr">
        <is>
          <t>40 governed relationships</t>
        </is>
      </c>
      <c r="E35" s="23" t="inlineStr">
        <is>
          <t>0 governed relationships</t>
        </is>
      </c>
      <c r="F35" s="23" t="inlineStr">
        <is>
          <t>0 governed relationships</t>
        </is>
      </c>
      <c r="G35" s="36" t="n">
        <v>0</v>
      </c>
      <c r="H35" s="36" t="n">
        <v>0</v>
      </c>
      <c r="I35" s="23" t="inlineStr">
        <is>
          <t>Schedule and cost both relate through this WBS branch.</t>
        </is>
      </c>
      <c r="J35" s="14" t="inlineStr">
        <is>
          <t>08 CROSSWALK: WBS 1.3.1</t>
        </is>
      </c>
    </row>
    <row r="36" ht="34" customHeight="1">
      <c r="A36" s="23" t="inlineStr">
        <is>
          <t>1.3.1.1</t>
        </is>
      </c>
      <c r="B36" s="59" t="inlineStr">
        <is>
          <t>Traction Power - Wayside</t>
        </is>
      </c>
      <c r="C36" s="23" t="inlineStr">
        <is>
          <t>0 governed relationships</t>
        </is>
      </c>
      <c r="D36" s="23" t="inlineStr">
        <is>
          <t>0 governed relationships</t>
        </is>
      </c>
      <c r="E36" s="23" t="inlineStr">
        <is>
          <t>0 governed relationships</t>
        </is>
      </c>
      <c r="F36" s="23" t="inlineStr">
        <is>
          <t>0 governed relationships</t>
        </is>
      </c>
      <c r="G36" s="36" t="n">
        <v>0</v>
      </c>
      <c r="H36" s="36" t="n">
        <v>0</v>
      </c>
      <c r="I36" s="23" t="inlineStr">
        <is>
          <t>No governed schedule or cost relationships in this WBS branch.</t>
        </is>
      </c>
      <c r="J36" s="14" t="inlineStr">
        <is>
          <t>08 CROSSWALK: WBS 1.3.1.1</t>
        </is>
      </c>
    </row>
    <row r="37" ht="34" customHeight="1">
      <c r="A37" s="23" t="inlineStr">
        <is>
          <t>1.3.1.2</t>
        </is>
      </c>
      <c r="B37" s="59" t="inlineStr">
        <is>
          <t>Traction Power - Control Centre &amp; Stations</t>
        </is>
      </c>
      <c r="C37" s="23" t="inlineStr">
        <is>
          <t>0 governed relationships</t>
        </is>
      </c>
      <c r="D37" s="23" t="inlineStr">
        <is>
          <t>0 governed relationships</t>
        </is>
      </c>
      <c r="E37" s="23" t="inlineStr">
        <is>
          <t>0 governed relationships</t>
        </is>
      </c>
      <c r="F37" s="23" t="inlineStr">
        <is>
          <t>0 governed relationships</t>
        </is>
      </c>
      <c r="G37" s="36" t="n">
        <v>0</v>
      </c>
      <c r="H37" s="36" t="n">
        <v>0</v>
      </c>
      <c r="I37" s="23" t="inlineStr">
        <is>
          <t>No governed schedule or cost relationships in this WBS branch.</t>
        </is>
      </c>
      <c r="J37" s="14" t="inlineStr">
        <is>
          <t>08 CROSSWALK: WBS 1.3.1.2</t>
        </is>
      </c>
    </row>
    <row r="38" ht="34" customHeight="1">
      <c r="A38" s="23" t="inlineStr">
        <is>
          <t>1.3.2</t>
        </is>
      </c>
      <c r="B38" s="58" t="inlineStr">
        <is>
          <t>Systems - Signalling &amp; Train Control</t>
        </is>
      </c>
      <c r="C38" s="23" t="inlineStr">
        <is>
          <t>60 governed relationships</t>
        </is>
      </c>
      <c r="D38" s="23" t="inlineStr">
        <is>
          <t>39 governed relationships</t>
        </is>
      </c>
      <c r="E38" s="23" t="inlineStr">
        <is>
          <t>0 governed relationships</t>
        </is>
      </c>
      <c r="F38" s="23" t="inlineStr">
        <is>
          <t>0 governed relationships</t>
        </is>
      </c>
      <c r="G38" s="36" t="n">
        <v>0</v>
      </c>
      <c r="H38" s="36" t="n">
        <v>0</v>
      </c>
      <c r="I38" s="23" t="inlineStr">
        <is>
          <t>Schedule and cost both relate through this WBS branch.</t>
        </is>
      </c>
      <c r="J38" s="14" t="inlineStr">
        <is>
          <t>08 CROSSWALK: WBS 1.3.2</t>
        </is>
      </c>
    </row>
    <row r="39" ht="34" customHeight="1">
      <c r="A39" s="23" t="inlineStr">
        <is>
          <t>1.3.2.1</t>
        </is>
      </c>
      <c r="B39" s="59" t="inlineStr">
        <is>
          <t>Signalling &amp; Train Control - Wayside</t>
        </is>
      </c>
      <c r="C39" s="23" t="inlineStr">
        <is>
          <t>0 governed relationships</t>
        </is>
      </c>
      <c r="D39" s="23" t="inlineStr">
        <is>
          <t>0 governed relationships</t>
        </is>
      </c>
      <c r="E39" s="23" t="inlineStr">
        <is>
          <t>0 governed relationships</t>
        </is>
      </c>
      <c r="F39" s="23" t="inlineStr">
        <is>
          <t>0 governed relationships</t>
        </is>
      </c>
      <c r="G39" s="36" t="n">
        <v>0</v>
      </c>
      <c r="H39" s="36" t="n">
        <v>0</v>
      </c>
      <c r="I39" s="23" t="inlineStr">
        <is>
          <t>No governed schedule or cost relationships in this WBS branch.</t>
        </is>
      </c>
      <c r="J39" s="14" t="inlineStr">
        <is>
          <t>08 CROSSWALK: WBS 1.3.2.1</t>
        </is>
      </c>
    </row>
    <row r="40" ht="34" customHeight="1">
      <c r="A40" s="23" t="inlineStr">
        <is>
          <t>1.3.2.2</t>
        </is>
      </c>
      <c r="B40" s="59" t="inlineStr">
        <is>
          <t>Signalling &amp; Train Control - Control Centre &amp; Stations</t>
        </is>
      </c>
      <c r="C40" s="23" t="inlineStr">
        <is>
          <t>0 governed relationships</t>
        </is>
      </c>
      <c r="D40" s="23" t="inlineStr">
        <is>
          <t>0 governed relationships</t>
        </is>
      </c>
      <c r="E40" s="23" t="inlineStr">
        <is>
          <t>0 governed relationships</t>
        </is>
      </c>
      <c r="F40" s="23" t="inlineStr">
        <is>
          <t>0 governed relationships</t>
        </is>
      </c>
      <c r="G40" s="36" t="n">
        <v>0</v>
      </c>
      <c r="H40" s="36" t="n">
        <v>0</v>
      </c>
      <c r="I40" s="23" t="inlineStr">
        <is>
          <t>No governed schedule or cost relationships in this WBS branch.</t>
        </is>
      </c>
      <c r="J40" s="14" t="inlineStr">
        <is>
          <t>08 CROSSWALK: WBS 1.3.2.2</t>
        </is>
      </c>
    </row>
    <row r="41" ht="34" customHeight="1">
      <c r="A41" s="23" t="inlineStr">
        <is>
          <t>1.3.3</t>
        </is>
      </c>
      <c r="B41" s="58" t="inlineStr">
        <is>
          <t>Systems - Communications</t>
        </is>
      </c>
      <c r="C41" s="23" t="inlineStr">
        <is>
          <t>0 governed relationships</t>
        </is>
      </c>
      <c r="D41" s="23" t="inlineStr">
        <is>
          <t>0 governed relationships</t>
        </is>
      </c>
      <c r="E41" s="23" t="inlineStr">
        <is>
          <t>0 governed relationships</t>
        </is>
      </c>
      <c r="F41" s="23" t="inlineStr">
        <is>
          <t>0 governed relationships</t>
        </is>
      </c>
      <c r="G41" s="36" t="n">
        <v>0</v>
      </c>
      <c r="H41" s="36" t="n">
        <v>0</v>
      </c>
      <c r="I41" s="23" t="inlineStr">
        <is>
          <t>No governed schedule or cost relationships in this WBS branch.</t>
        </is>
      </c>
      <c r="J41" s="14" t="inlineStr">
        <is>
          <t>08 CROSSWALK: WBS 1.3.3</t>
        </is>
      </c>
    </row>
    <row r="42" ht="34" customHeight="1">
      <c r="A42" s="23" t="inlineStr">
        <is>
          <t>1.3.3.1</t>
        </is>
      </c>
      <c r="B42" s="59" t="inlineStr">
        <is>
          <t>Communications - Wayside</t>
        </is>
      </c>
      <c r="C42" s="23" t="inlineStr">
        <is>
          <t>0 governed relationships</t>
        </is>
      </c>
      <c r="D42" s="23" t="inlineStr">
        <is>
          <t>0 governed relationships</t>
        </is>
      </c>
      <c r="E42" s="23" t="inlineStr">
        <is>
          <t>0 governed relationships</t>
        </is>
      </c>
      <c r="F42" s="23" t="inlineStr">
        <is>
          <t>0 governed relationships</t>
        </is>
      </c>
      <c r="G42" s="36" t="n">
        <v>0</v>
      </c>
      <c r="H42" s="36" t="n">
        <v>0</v>
      </c>
      <c r="I42" s="23" t="inlineStr">
        <is>
          <t>No governed schedule or cost relationships in this WBS branch.</t>
        </is>
      </c>
      <c r="J42" s="14" t="inlineStr">
        <is>
          <t>08 CROSSWALK: WBS 1.3.3.1</t>
        </is>
      </c>
    </row>
    <row r="43" ht="34" customHeight="1">
      <c r="A43" s="23" t="inlineStr">
        <is>
          <t>1.3.3.2</t>
        </is>
      </c>
      <c r="B43" s="59" t="inlineStr">
        <is>
          <t>Communications - Control Centre &amp; Stations</t>
        </is>
      </c>
      <c r="C43" s="23" t="inlineStr">
        <is>
          <t>0 governed relationships</t>
        </is>
      </c>
      <c r="D43" s="23" t="inlineStr">
        <is>
          <t>0 governed relationships</t>
        </is>
      </c>
      <c r="E43" s="23" t="inlineStr">
        <is>
          <t>0 governed relationships</t>
        </is>
      </c>
      <c r="F43" s="23" t="inlineStr">
        <is>
          <t>0 governed relationships</t>
        </is>
      </c>
      <c r="G43" s="36" t="n">
        <v>0</v>
      </c>
      <c r="H43" s="36" t="n">
        <v>0</v>
      </c>
      <c r="I43" s="23" t="inlineStr">
        <is>
          <t>No governed schedule or cost relationships in this WBS branch.</t>
        </is>
      </c>
      <c r="J43" s="14" t="inlineStr">
        <is>
          <t>08 CROSSWALK: WBS 1.3.3.2</t>
        </is>
      </c>
    </row>
    <row r="44" ht="34" customHeight="1">
      <c r="A44" s="23" t="inlineStr">
        <is>
          <t>1.3.4</t>
        </is>
      </c>
      <c r="B44" s="58" t="inlineStr">
        <is>
          <t>Systems - Systems Integration</t>
        </is>
      </c>
      <c r="C44" s="23" t="inlineStr">
        <is>
          <t>0 governed relationships</t>
        </is>
      </c>
      <c r="D44" s="23" t="inlineStr">
        <is>
          <t>0 governed relationships</t>
        </is>
      </c>
      <c r="E44" s="23" t="inlineStr">
        <is>
          <t>0 governed relationships</t>
        </is>
      </c>
      <c r="F44" s="23" t="inlineStr">
        <is>
          <t>0 governed relationships</t>
        </is>
      </c>
      <c r="G44" s="36" t="n">
        <v>0</v>
      </c>
      <c r="H44" s="36" t="n">
        <v>0</v>
      </c>
      <c r="I44" s="23" t="inlineStr">
        <is>
          <t>No governed schedule or cost relationships in this WBS branch.</t>
        </is>
      </c>
      <c r="J44" s="14" t="inlineStr">
        <is>
          <t>08 CROSSWALK: WBS 1.3.4</t>
        </is>
      </c>
    </row>
    <row r="45" ht="34" customHeight="1">
      <c r="A45" s="23" t="inlineStr">
        <is>
          <t>1.3.4.1</t>
        </is>
      </c>
      <c r="B45" s="59" t="inlineStr">
        <is>
          <t>Systems Integration - Wayside</t>
        </is>
      </c>
      <c r="C45" s="23" t="inlineStr">
        <is>
          <t>0 governed relationships</t>
        </is>
      </c>
      <c r="D45" s="23" t="inlineStr">
        <is>
          <t>0 governed relationships</t>
        </is>
      </c>
      <c r="E45" s="23" t="inlineStr">
        <is>
          <t>0 governed relationships</t>
        </is>
      </c>
      <c r="F45" s="23" t="inlineStr">
        <is>
          <t>0 governed relationships</t>
        </is>
      </c>
      <c r="G45" s="36" t="n">
        <v>0</v>
      </c>
      <c r="H45" s="36" t="n">
        <v>0</v>
      </c>
      <c r="I45" s="23" t="inlineStr">
        <is>
          <t>No governed schedule or cost relationships in this WBS branch.</t>
        </is>
      </c>
      <c r="J45" s="14" t="inlineStr">
        <is>
          <t>08 CROSSWALK: WBS 1.3.4.1</t>
        </is>
      </c>
    </row>
    <row r="46" ht="34" customHeight="1">
      <c r="A46" s="23" t="inlineStr">
        <is>
          <t>1.3.4.2</t>
        </is>
      </c>
      <c r="B46" s="59" t="inlineStr">
        <is>
          <t>Systems Integration - Control Centre &amp; Stations</t>
        </is>
      </c>
      <c r="C46" s="23" t="inlineStr">
        <is>
          <t>0 governed relationships</t>
        </is>
      </c>
      <c r="D46" s="23" t="inlineStr">
        <is>
          <t>0 governed relationships</t>
        </is>
      </c>
      <c r="E46" s="23" t="inlineStr">
        <is>
          <t>0 governed relationships</t>
        </is>
      </c>
      <c r="F46" s="23" t="inlineStr">
        <is>
          <t>0 governed relationships</t>
        </is>
      </c>
      <c r="G46" s="36" t="n">
        <v>0</v>
      </c>
      <c r="H46" s="36" t="n">
        <v>0</v>
      </c>
      <c r="I46" s="23" t="inlineStr">
        <is>
          <t>No governed schedule or cost relationships in this WBS branch.</t>
        </is>
      </c>
      <c r="J46" s="14" t="inlineStr">
        <is>
          <t>08 CROSSWALK: WBS 1.3.4.2</t>
        </is>
      </c>
    </row>
    <row r="47" ht="64" customHeight="1">
      <c r="A47" s="23" t="inlineStr">
        <is>
          <t>1.4</t>
        </is>
      </c>
      <c r="B47" s="57" t="inlineStr">
        <is>
          <t>Vehicles and Depot</t>
        </is>
      </c>
      <c r="C47" s="23" t="inlineStr">
        <is>
          <t>179 governed relationships</t>
        </is>
      </c>
      <c r="D47" s="23" t="inlineStr">
        <is>
          <t>80 governed relationships</t>
        </is>
      </c>
      <c r="E47" s="23" t="inlineStr">
        <is>
          <t>10 governed relationships</t>
        </is>
      </c>
      <c r="F47" s="23" t="inlineStr">
        <is>
          <t>0 governed relationships</t>
        </is>
      </c>
      <c r="G47" s="36" t="n">
        <v>0</v>
      </c>
      <c r="H47" s="36" t="n">
        <v>0</v>
      </c>
      <c r="I47" s="23" t="inlineStr">
        <is>
          <t>Schedule and cost both relate through this WBS branch. 10 package/contract relationships also project through this branch.</t>
        </is>
      </c>
      <c r="J47" s="14" t="inlineStr">
        <is>
          <t>08 CROSSWALK: WBS 1.4</t>
        </is>
      </c>
    </row>
    <row r="48" ht="34" customHeight="1">
      <c r="A48" s="23" t="inlineStr">
        <is>
          <t>1.4.1</t>
        </is>
      </c>
      <c r="B48" s="58" t="inlineStr">
        <is>
          <t>Vehicles and Depot - Fleet Supply</t>
        </is>
      </c>
      <c r="C48" s="23" t="inlineStr">
        <is>
          <t>120 governed relationships</t>
        </is>
      </c>
      <c r="D48" s="23" t="inlineStr">
        <is>
          <t>40 governed relationships</t>
        </is>
      </c>
      <c r="E48" s="23" t="inlineStr">
        <is>
          <t>0 governed relationships</t>
        </is>
      </c>
      <c r="F48" s="23" t="inlineStr">
        <is>
          <t>0 governed relationships</t>
        </is>
      </c>
      <c r="G48" s="36" t="n">
        <v>0</v>
      </c>
      <c r="H48" s="36" t="n">
        <v>0</v>
      </c>
      <c r="I48" s="23" t="inlineStr">
        <is>
          <t>Schedule and cost both relate through this WBS branch.</t>
        </is>
      </c>
      <c r="J48" s="14" t="inlineStr">
        <is>
          <t>08 CROSSWALK: WBS 1.4.1</t>
        </is>
      </c>
    </row>
    <row r="49" ht="34" customHeight="1">
      <c r="A49" s="23" t="inlineStr">
        <is>
          <t>1.4.1.1</t>
        </is>
      </c>
      <c r="B49" s="59" t="inlineStr">
        <is>
          <t>Fleet Supply - Maintenance Facility</t>
        </is>
      </c>
      <c r="C49" s="23" t="inlineStr">
        <is>
          <t>0 governed relationships</t>
        </is>
      </c>
      <c r="D49" s="23" t="inlineStr">
        <is>
          <t>0 governed relationships</t>
        </is>
      </c>
      <c r="E49" s="23" t="inlineStr">
        <is>
          <t>0 governed relationships</t>
        </is>
      </c>
      <c r="F49" s="23" t="inlineStr">
        <is>
          <t>0 governed relationships</t>
        </is>
      </c>
      <c r="G49" s="36" t="n">
        <v>0</v>
      </c>
      <c r="H49" s="36" t="n">
        <v>0</v>
      </c>
      <c r="I49" s="23" t="inlineStr">
        <is>
          <t>No governed schedule or cost relationships in this WBS branch.</t>
        </is>
      </c>
      <c r="J49" s="14" t="inlineStr">
        <is>
          <t>08 CROSSWALK: WBS 1.4.1.1</t>
        </is>
      </c>
    </row>
    <row r="50" ht="34" customHeight="1">
      <c r="A50" s="23" t="inlineStr">
        <is>
          <t>1.4.1.2</t>
        </is>
      </c>
      <c r="B50" s="59" t="inlineStr">
        <is>
          <t>Fleet Supply - Storage &amp; Commissioning Yard</t>
        </is>
      </c>
      <c r="C50" s="23" t="inlineStr">
        <is>
          <t>0 governed relationships</t>
        </is>
      </c>
      <c r="D50" s="23" t="inlineStr">
        <is>
          <t>0 governed relationships</t>
        </is>
      </c>
      <c r="E50" s="23" t="inlineStr">
        <is>
          <t>0 governed relationships</t>
        </is>
      </c>
      <c r="F50" s="23" t="inlineStr">
        <is>
          <t>0 governed relationships</t>
        </is>
      </c>
      <c r="G50" s="36" t="n">
        <v>0</v>
      </c>
      <c r="H50" s="36" t="n">
        <v>0</v>
      </c>
      <c r="I50" s="23" t="inlineStr">
        <is>
          <t>No governed schedule or cost relationships in this WBS branch.</t>
        </is>
      </c>
      <c r="J50" s="14" t="inlineStr">
        <is>
          <t>08 CROSSWALK: WBS 1.4.1.2</t>
        </is>
      </c>
    </row>
    <row r="51" ht="34" customHeight="1">
      <c r="A51" s="23" t="inlineStr">
        <is>
          <t>1.4.2</t>
        </is>
      </c>
      <c r="B51" s="58" t="inlineStr">
        <is>
          <t>Vehicles and Depot - Depot Buildings</t>
        </is>
      </c>
      <c r="C51" s="23" t="inlineStr">
        <is>
          <t>59 governed relationships</t>
        </is>
      </c>
      <c r="D51" s="23" t="inlineStr">
        <is>
          <t>40 governed relationships</t>
        </is>
      </c>
      <c r="E51" s="23" t="inlineStr">
        <is>
          <t>0 governed relationships</t>
        </is>
      </c>
      <c r="F51" s="23" t="inlineStr">
        <is>
          <t>0 governed relationships</t>
        </is>
      </c>
      <c r="G51" s="36" t="n">
        <v>0</v>
      </c>
      <c r="H51" s="36" t="n">
        <v>0</v>
      </c>
      <c r="I51" s="23" t="inlineStr">
        <is>
          <t>Schedule and cost both relate through this WBS branch.</t>
        </is>
      </c>
      <c r="J51" s="14" t="inlineStr">
        <is>
          <t>08 CROSSWALK: WBS 1.4.2</t>
        </is>
      </c>
    </row>
    <row r="52" ht="34" customHeight="1">
      <c r="A52" s="23" t="inlineStr">
        <is>
          <t>1.4.2.1</t>
        </is>
      </c>
      <c r="B52" s="59" t="inlineStr">
        <is>
          <t>Depot Buildings - Maintenance Facility</t>
        </is>
      </c>
      <c r="C52" s="23" t="inlineStr">
        <is>
          <t>0 governed relationships</t>
        </is>
      </c>
      <c r="D52" s="23" t="inlineStr">
        <is>
          <t>0 governed relationships</t>
        </is>
      </c>
      <c r="E52" s="23" t="inlineStr">
        <is>
          <t>0 governed relationships</t>
        </is>
      </c>
      <c r="F52" s="23" t="inlineStr">
        <is>
          <t>0 governed relationships</t>
        </is>
      </c>
      <c r="G52" s="36" t="n">
        <v>0</v>
      </c>
      <c r="H52" s="36" t="n">
        <v>0</v>
      </c>
      <c r="I52" s="23" t="inlineStr">
        <is>
          <t>No governed schedule or cost relationships in this WBS branch.</t>
        </is>
      </c>
      <c r="J52" s="14" t="inlineStr">
        <is>
          <t>08 CROSSWALK: WBS 1.4.2.1</t>
        </is>
      </c>
    </row>
    <row r="53" ht="34" customHeight="1">
      <c r="A53" s="23" t="inlineStr">
        <is>
          <t>1.4.2.2</t>
        </is>
      </c>
      <c r="B53" s="59" t="inlineStr">
        <is>
          <t>Depot Buildings - Storage &amp; Commissioning Yard</t>
        </is>
      </c>
      <c r="C53" s="23" t="inlineStr">
        <is>
          <t>0 governed relationships</t>
        </is>
      </c>
      <c r="D53" s="23" t="inlineStr">
        <is>
          <t>0 governed relationships</t>
        </is>
      </c>
      <c r="E53" s="23" t="inlineStr">
        <is>
          <t>0 governed relationships</t>
        </is>
      </c>
      <c r="F53" s="23" t="inlineStr">
        <is>
          <t>0 governed relationships</t>
        </is>
      </c>
      <c r="G53" s="36" t="n">
        <v>0</v>
      </c>
      <c r="H53" s="36" t="n">
        <v>0</v>
      </c>
      <c r="I53" s="23" t="inlineStr">
        <is>
          <t>No governed schedule or cost relationships in this WBS branch.</t>
        </is>
      </c>
      <c r="J53" s="14" t="inlineStr">
        <is>
          <t>08 CROSSWALK: WBS 1.4.2.2</t>
        </is>
      </c>
    </row>
    <row r="54" ht="34" customHeight="1">
      <c r="A54" s="23" t="inlineStr">
        <is>
          <t>1.4.3</t>
        </is>
      </c>
      <c r="B54" s="58" t="inlineStr">
        <is>
          <t>Vehicles and Depot - Workshop Equipment</t>
        </is>
      </c>
      <c r="C54" s="23" t="inlineStr">
        <is>
          <t>0 governed relationships</t>
        </is>
      </c>
      <c r="D54" s="23" t="inlineStr">
        <is>
          <t>0 governed relationships</t>
        </is>
      </c>
      <c r="E54" s="23" t="inlineStr">
        <is>
          <t>0 governed relationships</t>
        </is>
      </c>
      <c r="F54" s="23" t="inlineStr">
        <is>
          <t>0 governed relationships</t>
        </is>
      </c>
      <c r="G54" s="36" t="n">
        <v>0</v>
      </c>
      <c r="H54" s="36" t="n">
        <v>0</v>
      </c>
      <c r="I54" s="23" t="inlineStr">
        <is>
          <t>No governed schedule or cost relationships in this WBS branch.</t>
        </is>
      </c>
      <c r="J54" s="14" t="inlineStr">
        <is>
          <t>08 CROSSWALK: WBS 1.4.3</t>
        </is>
      </c>
    </row>
    <row r="55" ht="34" customHeight="1">
      <c r="A55" s="23" t="inlineStr">
        <is>
          <t>1.4.3.1</t>
        </is>
      </c>
      <c r="B55" s="59" t="inlineStr">
        <is>
          <t>Workshop Equipment - Maintenance Facility</t>
        </is>
      </c>
      <c r="C55" s="23" t="inlineStr">
        <is>
          <t>0 governed relationships</t>
        </is>
      </c>
      <c r="D55" s="23" t="inlineStr">
        <is>
          <t>0 governed relationships</t>
        </is>
      </c>
      <c r="E55" s="23" t="inlineStr">
        <is>
          <t>0 governed relationships</t>
        </is>
      </c>
      <c r="F55" s="23" t="inlineStr">
        <is>
          <t>0 governed relationships</t>
        </is>
      </c>
      <c r="G55" s="36" t="n">
        <v>0</v>
      </c>
      <c r="H55" s="36" t="n">
        <v>0</v>
      </c>
      <c r="I55" s="23" t="inlineStr">
        <is>
          <t>No governed schedule or cost relationships in this WBS branch.</t>
        </is>
      </c>
      <c r="J55" s="14" t="inlineStr">
        <is>
          <t>08 CROSSWALK: WBS 1.4.3.1</t>
        </is>
      </c>
    </row>
    <row r="56" ht="34" customHeight="1">
      <c r="A56" s="23" t="inlineStr">
        <is>
          <t>1.4.3.2</t>
        </is>
      </c>
      <c r="B56" s="59" t="inlineStr">
        <is>
          <t>Workshop Equipment - Storage &amp; Commissioning Yard</t>
        </is>
      </c>
      <c r="C56" s="23" t="inlineStr">
        <is>
          <t>0 governed relationships</t>
        </is>
      </c>
      <c r="D56" s="23" t="inlineStr">
        <is>
          <t>0 governed relationships</t>
        </is>
      </c>
      <c r="E56" s="23" t="inlineStr">
        <is>
          <t>0 governed relationships</t>
        </is>
      </c>
      <c r="F56" s="23" t="inlineStr">
        <is>
          <t>0 governed relationships</t>
        </is>
      </c>
      <c r="G56" s="36" t="n">
        <v>0</v>
      </c>
      <c r="H56" s="36" t="n">
        <v>0</v>
      </c>
      <c r="I56" s="23" t="inlineStr">
        <is>
          <t>No governed schedule or cost relationships in this WBS branch.</t>
        </is>
      </c>
      <c r="J56" s="14" t="inlineStr">
        <is>
          <t>08 CROSSWALK: WBS 1.4.3.2</t>
        </is>
      </c>
    </row>
    <row r="57" ht="34" customHeight="1">
      <c r="A57" s="23" t="inlineStr">
        <is>
          <t>1.4.4</t>
        </is>
      </c>
      <c r="B57" s="58" t="inlineStr">
        <is>
          <t>Vehicles and Depot - Vehicle Integration</t>
        </is>
      </c>
      <c r="C57" s="23" t="inlineStr">
        <is>
          <t>0 governed relationships</t>
        </is>
      </c>
      <c r="D57" s="23" t="inlineStr">
        <is>
          <t>0 governed relationships</t>
        </is>
      </c>
      <c r="E57" s="23" t="inlineStr">
        <is>
          <t>0 governed relationships</t>
        </is>
      </c>
      <c r="F57" s="23" t="inlineStr">
        <is>
          <t>0 governed relationships</t>
        </is>
      </c>
      <c r="G57" s="36" t="n">
        <v>0</v>
      </c>
      <c r="H57" s="36" t="n">
        <v>0</v>
      </c>
      <c r="I57" s="23" t="inlineStr">
        <is>
          <t>No governed schedule or cost relationships in this WBS branch.</t>
        </is>
      </c>
      <c r="J57" s="14" t="inlineStr">
        <is>
          <t>08 CROSSWALK: WBS 1.4.4</t>
        </is>
      </c>
    </row>
    <row r="58" ht="34" customHeight="1">
      <c r="A58" s="23" t="inlineStr">
        <is>
          <t>1.4.4.1</t>
        </is>
      </c>
      <c r="B58" s="59" t="inlineStr">
        <is>
          <t>Vehicle Integration - Maintenance Facility</t>
        </is>
      </c>
      <c r="C58" s="23" t="inlineStr">
        <is>
          <t>0 governed relationships</t>
        </is>
      </c>
      <c r="D58" s="23" t="inlineStr">
        <is>
          <t>0 governed relationships</t>
        </is>
      </c>
      <c r="E58" s="23" t="inlineStr">
        <is>
          <t>0 governed relationships</t>
        </is>
      </c>
      <c r="F58" s="23" t="inlineStr">
        <is>
          <t>0 governed relationships</t>
        </is>
      </c>
      <c r="G58" s="36" t="n">
        <v>0</v>
      </c>
      <c r="H58" s="36" t="n">
        <v>0</v>
      </c>
      <c r="I58" s="23" t="inlineStr">
        <is>
          <t>No governed schedule or cost relationships in this WBS branch.</t>
        </is>
      </c>
      <c r="J58" s="14" t="inlineStr">
        <is>
          <t>08 CROSSWALK: WBS 1.4.4.1</t>
        </is>
      </c>
    </row>
    <row r="59" ht="34" customHeight="1">
      <c r="A59" s="23" t="inlineStr">
        <is>
          <t>1.4.4.2</t>
        </is>
      </c>
      <c r="B59" s="59" t="inlineStr">
        <is>
          <t>Vehicle Integration - Storage &amp; Commissioning Yard</t>
        </is>
      </c>
      <c r="C59" s="23" t="inlineStr">
        <is>
          <t>0 governed relationships</t>
        </is>
      </c>
      <c r="D59" s="23" t="inlineStr">
        <is>
          <t>0 governed relationships</t>
        </is>
      </c>
      <c r="E59" s="23" t="inlineStr">
        <is>
          <t>0 governed relationships</t>
        </is>
      </c>
      <c r="F59" s="23" t="inlineStr">
        <is>
          <t>0 governed relationships</t>
        </is>
      </c>
      <c r="G59" s="36" t="n">
        <v>0</v>
      </c>
      <c r="H59" s="36" t="n">
        <v>0</v>
      </c>
      <c r="I59" s="23" t="inlineStr">
        <is>
          <t>No governed schedule or cost relationships in this WBS branch.</t>
        </is>
      </c>
      <c r="J59" s="14" t="inlineStr">
        <is>
          <t>08 CROSSWALK: WBS 1.4.4.2</t>
        </is>
      </c>
    </row>
    <row r="60" ht="64" customHeight="1">
      <c r="A60" s="23" t="inlineStr">
        <is>
          <t>1.5</t>
        </is>
      </c>
      <c r="B60" s="57" t="inlineStr">
        <is>
          <t>Testing and Commissioning</t>
        </is>
      </c>
      <c r="C60" s="23" t="inlineStr">
        <is>
          <t>180 governed relationships</t>
        </is>
      </c>
      <c r="D60" s="23" t="inlineStr">
        <is>
          <t>0 governed relationships</t>
        </is>
      </c>
      <c r="E60" s="23" t="inlineStr">
        <is>
          <t>10 governed relationships</t>
        </is>
      </c>
      <c r="F60" s="23" t="inlineStr">
        <is>
          <t>0 governed relationships</t>
        </is>
      </c>
      <c r="G60" s="36" t="n">
        <v>0</v>
      </c>
      <c r="H60" s="36" t="n">
        <v>0</v>
      </c>
      <c r="I60" s="23" t="inlineStr">
        <is>
          <t>Schedule scope has no governed cost relationships in this WBS branch. 10 package/contract relationships also project through this branch.</t>
        </is>
      </c>
      <c r="J60" s="14" t="inlineStr">
        <is>
          <t>08 CROSSWALK: WBS 1.5</t>
        </is>
      </c>
    </row>
    <row r="61" ht="34" customHeight="1">
      <c r="A61" s="23" t="inlineStr">
        <is>
          <t>1.5.1</t>
        </is>
      </c>
      <c r="B61" s="58" t="inlineStr">
        <is>
          <t>Testing and Commissioning - Test Readiness</t>
        </is>
      </c>
      <c r="C61" s="23" t="inlineStr">
        <is>
          <t>120 governed relationships</t>
        </is>
      </c>
      <c r="D61" s="23" t="inlineStr">
        <is>
          <t>0 governed relationships</t>
        </is>
      </c>
      <c r="E61" s="23" t="inlineStr">
        <is>
          <t>0 governed relationships</t>
        </is>
      </c>
      <c r="F61" s="23" t="inlineStr">
        <is>
          <t>0 governed relationships</t>
        </is>
      </c>
      <c r="G61" s="36" t="n">
        <v>0</v>
      </c>
      <c r="H61" s="36" t="n">
        <v>0</v>
      </c>
      <c r="I61" s="23" t="inlineStr">
        <is>
          <t>Schedule scope has no governed cost relationships in this WBS branch.</t>
        </is>
      </c>
      <c r="J61" s="14" t="inlineStr">
        <is>
          <t>08 CROSSWALK: WBS 1.5.1</t>
        </is>
      </c>
    </row>
    <row r="62" ht="34" customHeight="1">
      <c r="A62" s="23" t="inlineStr">
        <is>
          <t>1.5.1.1</t>
        </is>
      </c>
      <c r="B62" s="59" t="inlineStr">
        <is>
          <t>Test Readiness - Mainline</t>
        </is>
      </c>
      <c r="C62" s="23" t="inlineStr">
        <is>
          <t>0 governed relationships</t>
        </is>
      </c>
      <c r="D62" s="23" t="inlineStr">
        <is>
          <t>0 governed relationships</t>
        </is>
      </c>
      <c r="E62" s="23" t="inlineStr">
        <is>
          <t>0 governed relationships</t>
        </is>
      </c>
      <c r="F62" s="23" t="inlineStr">
        <is>
          <t>0 governed relationships</t>
        </is>
      </c>
      <c r="G62" s="36" t="n">
        <v>0</v>
      </c>
      <c r="H62" s="36" t="n">
        <v>0</v>
      </c>
      <c r="I62" s="23" t="inlineStr">
        <is>
          <t>No governed schedule or cost relationships in this WBS branch.</t>
        </is>
      </c>
      <c r="J62" s="14" t="inlineStr">
        <is>
          <t>08 CROSSWALK: WBS 1.5.1.1</t>
        </is>
      </c>
    </row>
    <row r="63" ht="34" customHeight="1">
      <c r="A63" s="23" t="inlineStr">
        <is>
          <t>1.5.1.2</t>
        </is>
      </c>
      <c r="B63" s="59" t="inlineStr">
        <is>
          <t>Test Readiness - Depot &amp; Stations</t>
        </is>
      </c>
      <c r="C63" s="23" t="inlineStr">
        <is>
          <t>0 governed relationships</t>
        </is>
      </c>
      <c r="D63" s="23" t="inlineStr">
        <is>
          <t>0 governed relationships</t>
        </is>
      </c>
      <c r="E63" s="23" t="inlineStr">
        <is>
          <t>0 governed relationships</t>
        </is>
      </c>
      <c r="F63" s="23" t="inlineStr">
        <is>
          <t>0 governed relationships</t>
        </is>
      </c>
      <c r="G63" s="36" t="n">
        <v>0</v>
      </c>
      <c r="H63" s="36" t="n">
        <v>0</v>
      </c>
      <c r="I63" s="23" t="inlineStr">
        <is>
          <t>No governed schedule or cost relationships in this WBS branch.</t>
        </is>
      </c>
      <c r="J63" s="14" t="inlineStr">
        <is>
          <t>08 CROSSWALK: WBS 1.5.1.2</t>
        </is>
      </c>
    </row>
    <row r="64" ht="34" customHeight="1">
      <c r="A64" s="23" t="inlineStr">
        <is>
          <t>1.5.2</t>
        </is>
      </c>
      <c r="B64" s="58" t="inlineStr">
        <is>
          <t>Testing and Commissioning - Dynamic Testing</t>
        </is>
      </c>
      <c r="C64" s="23" t="inlineStr">
        <is>
          <t>60 governed relationships</t>
        </is>
      </c>
      <c r="D64" s="23" t="inlineStr">
        <is>
          <t>0 governed relationships</t>
        </is>
      </c>
      <c r="E64" s="23" t="inlineStr">
        <is>
          <t>0 governed relationships</t>
        </is>
      </c>
      <c r="F64" s="23" t="inlineStr">
        <is>
          <t>0 governed relationships</t>
        </is>
      </c>
      <c r="G64" s="36" t="n">
        <v>0</v>
      </c>
      <c r="H64" s="36" t="n">
        <v>0</v>
      </c>
      <c r="I64" s="23" t="inlineStr">
        <is>
          <t>Schedule scope has no governed cost relationships in this WBS branch.</t>
        </is>
      </c>
      <c r="J64" s="14" t="inlineStr">
        <is>
          <t>08 CROSSWALK: WBS 1.5.2</t>
        </is>
      </c>
    </row>
    <row r="65" ht="34" customHeight="1">
      <c r="A65" s="23" t="inlineStr">
        <is>
          <t>1.5.2.1</t>
        </is>
      </c>
      <c r="B65" s="59" t="inlineStr">
        <is>
          <t>Dynamic Testing - Mainline</t>
        </is>
      </c>
      <c r="C65" s="23" t="inlineStr">
        <is>
          <t>0 governed relationships</t>
        </is>
      </c>
      <c r="D65" s="23" t="inlineStr">
        <is>
          <t>0 governed relationships</t>
        </is>
      </c>
      <c r="E65" s="23" t="inlineStr">
        <is>
          <t>0 governed relationships</t>
        </is>
      </c>
      <c r="F65" s="23" t="inlineStr">
        <is>
          <t>0 governed relationships</t>
        </is>
      </c>
      <c r="G65" s="36" t="n">
        <v>0</v>
      </c>
      <c r="H65" s="36" t="n">
        <v>0</v>
      </c>
      <c r="I65" s="23" t="inlineStr">
        <is>
          <t>No governed schedule or cost relationships in this WBS branch.</t>
        </is>
      </c>
      <c r="J65" s="14" t="inlineStr">
        <is>
          <t>08 CROSSWALK: WBS 1.5.2.1</t>
        </is>
      </c>
    </row>
    <row r="66" ht="34" customHeight="1">
      <c r="A66" s="23" t="inlineStr">
        <is>
          <t>1.5.2.2</t>
        </is>
      </c>
      <c r="B66" s="59" t="inlineStr">
        <is>
          <t>Dynamic Testing - Depot &amp; Stations</t>
        </is>
      </c>
      <c r="C66" s="23" t="inlineStr">
        <is>
          <t>0 governed relationships</t>
        </is>
      </c>
      <c r="D66" s="23" t="inlineStr">
        <is>
          <t>0 governed relationships</t>
        </is>
      </c>
      <c r="E66" s="23" t="inlineStr">
        <is>
          <t>0 governed relationships</t>
        </is>
      </c>
      <c r="F66" s="23" t="inlineStr">
        <is>
          <t>0 governed relationships</t>
        </is>
      </c>
      <c r="G66" s="36" t="n">
        <v>0</v>
      </c>
      <c r="H66" s="36" t="n">
        <v>0</v>
      </c>
      <c r="I66" s="23" t="inlineStr">
        <is>
          <t>No governed schedule or cost relationships in this WBS branch.</t>
        </is>
      </c>
      <c r="J66" s="14" t="inlineStr">
        <is>
          <t>08 CROSSWALK: WBS 1.5.2.2</t>
        </is>
      </c>
    </row>
    <row r="67" ht="34" customHeight="1">
      <c r="A67" s="23" t="inlineStr">
        <is>
          <t>1.5.3</t>
        </is>
      </c>
      <c r="B67" s="58" t="inlineStr">
        <is>
          <t>Testing and Commissioning - Safety Certification</t>
        </is>
      </c>
      <c r="C67" s="23" t="inlineStr">
        <is>
          <t>0 governed relationships</t>
        </is>
      </c>
      <c r="D67" s="23" t="inlineStr">
        <is>
          <t>0 governed relationships</t>
        </is>
      </c>
      <c r="E67" s="23" t="inlineStr">
        <is>
          <t>0 governed relationships</t>
        </is>
      </c>
      <c r="F67" s="23" t="inlineStr">
        <is>
          <t>0 governed relationships</t>
        </is>
      </c>
      <c r="G67" s="36" t="n">
        <v>0</v>
      </c>
      <c r="H67" s="36" t="n">
        <v>0</v>
      </c>
      <c r="I67" s="23" t="inlineStr">
        <is>
          <t>No governed schedule or cost relationships in this WBS branch.</t>
        </is>
      </c>
      <c r="J67" s="14" t="inlineStr">
        <is>
          <t>08 CROSSWALK: WBS 1.5.3</t>
        </is>
      </c>
    </row>
    <row r="68" ht="34" customHeight="1">
      <c r="A68" s="23" t="inlineStr">
        <is>
          <t>1.5.3.1</t>
        </is>
      </c>
      <c r="B68" s="59" t="inlineStr">
        <is>
          <t>Safety Certification - Mainline</t>
        </is>
      </c>
      <c r="C68" s="23" t="inlineStr">
        <is>
          <t>0 governed relationships</t>
        </is>
      </c>
      <c r="D68" s="23" t="inlineStr">
        <is>
          <t>0 governed relationships</t>
        </is>
      </c>
      <c r="E68" s="23" t="inlineStr">
        <is>
          <t>0 governed relationships</t>
        </is>
      </c>
      <c r="F68" s="23" t="inlineStr">
        <is>
          <t>0 governed relationships</t>
        </is>
      </c>
      <c r="G68" s="36" t="n">
        <v>0</v>
      </c>
      <c r="H68" s="36" t="n">
        <v>0</v>
      </c>
      <c r="I68" s="23" t="inlineStr">
        <is>
          <t>No governed schedule or cost relationships in this WBS branch.</t>
        </is>
      </c>
      <c r="J68" s="14" t="inlineStr">
        <is>
          <t>08 CROSSWALK: WBS 1.5.3.1</t>
        </is>
      </c>
    </row>
    <row r="69" ht="34" customHeight="1">
      <c r="A69" s="23" t="inlineStr">
        <is>
          <t>1.5.3.2</t>
        </is>
      </c>
      <c r="B69" s="59" t="inlineStr">
        <is>
          <t>Safety Certification - Depot &amp; Stations</t>
        </is>
      </c>
      <c r="C69" s="23" t="inlineStr">
        <is>
          <t>0 governed relationships</t>
        </is>
      </c>
      <c r="D69" s="23" t="inlineStr">
        <is>
          <t>0 governed relationships</t>
        </is>
      </c>
      <c r="E69" s="23" t="inlineStr">
        <is>
          <t>0 governed relationships</t>
        </is>
      </c>
      <c r="F69" s="23" t="inlineStr">
        <is>
          <t>0 governed relationships</t>
        </is>
      </c>
      <c r="G69" s="36" t="n">
        <v>0</v>
      </c>
      <c r="H69" s="36" t="n">
        <v>0</v>
      </c>
      <c r="I69" s="23" t="inlineStr">
        <is>
          <t>No governed schedule or cost relationships in this WBS branch.</t>
        </is>
      </c>
      <c r="J69" s="14" t="inlineStr">
        <is>
          <t>08 CROSSWALK: WBS 1.5.3.2</t>
        </is>
      </c>
    </row>
    <row r="70" ht="34" customHeight="1">
      <c r="A70" s="23" t="inlineStr">
        <is>
          <t>1.5.4</t>
        </is>
      </c>
      <c r="B70" s="58" t="inlineStr">
        <is>
          <t>Testing and Commissioning - Service Readiness</t>
        </is>
      </c>
      <c r="C70" s="23" t="inlineStr">
        <is>
          <t>0 governed relationships</t>
        </is>
      </c>
      <c r="D70" s="23" t="inlineStr">
        <is>
          <t>0 governed relationships</t>
        </is>
      </c>
      <c r="E70" s="23" t="inlineStr">
        <is>
          <t>0 governed relationships</t>
        </is>
      </c>
      <c r="F70" s="23" t="inlineStr">
        <is>
          <t>0 governed relationships</t>
        </is>
      </c>
      <c r="G70" s="36" t="n">
        <v>0</v>
      </c>
      <c r="H70" s="36" t="n">
        <v>0</v>
      </c>
      <c r="I70" s="23" t="inlineStr">
        <is>
          <t>No governed schedule or cost relationships in this WBS branch.</t>
        </is>
      </c>
      <c r="J70" s="14" t="inlineStr">
        <is>
          <t>08 CROSSWALK: WBS 1.5.4</t>
        </is>
      </c>
    </row>
    <row r="71" ht="34" customHeight="1">
      <c r="A71" s="23" t="inlineStr">
        <is>
          <t>1.5.4.1</t>
        </is>
      </c>
      <c r="B71" s="59" t="inlineStr">
        <is>
          <t>Service Readiness - Mainline</t>
        </is>
      </c>
      <c r="C71" s="23" t="inlineStr">
        <is>
          <t>0 governed relationships</t>
        </is>
      </c>
      <c r="D71" s="23" t="inlineStr">
        <is>
          <t>0 governed relationships</t>
        </is>
      </c>
      <c r="E71" s="23" t="inlineStr">
        <is>
          <t>0 governed relationships</t>
        </is>
      </c>
      <c r="F71" s="23" t="inlineStr">
        <is>
          <t>0 governed relationships</t>
        </is>
      </c>
      <c r="G71" s="36" t="n">
        <v>0</v>
      </c>
      <c r="H71" s="36" t="n">
        <v>0</v>
      </c>
      <c r="I71" s="23" t="inlineStr">
        <is>
          <t>No governed schedule or cost relationships in this WBS branch.</t>
        </is>
      </c>
      <c r="J71" s="14" t="inlineStr">
        <is>
          <t>08 CROSSWALK: WBS 1.5.4.1</t>
        </is>
      </c>
    </row>
    <row r="72" ht="34" customHeight="1">
      <c r="A72" s="23" t="inlineStr">
        <is>
          <t>1.5.4.2</t>
        </is>
      </c>
      <c r="B72" s="59" t="inlineStr">
        <is>
          <t>Service Readiness - Depot &amp; Stations</t>
        </is>
      </c>
      <c r="C72" s="23" t="inlineStr">
        <is>
          <t>0 governed relationships</t>
        </is>
      </c>
      <c r="D72" s="23" t="inlineStr">
        <is>
          <t>0 governed relationships</t>
        </is>
      </c>
      <c r="E72" s="23" t="inlineStr">
        <is>
          <t>0 governed relationships</t>
        </is>
      </c>
      <c r="F72" s="23" t="inlineStr">
        <is>
          <t>0 governed relationships</t>
        </is>
      </c>
      <c r="G72" s="36" t="n">
        <v>0</v>
      </c>
      <c r="H72" s="36" t="n">
        <v>0</v>
      </c>
      <c r="I72" s="23" t="inlineStr">
        <is>
          <t>No governed schedule or cost relationships in this WBS branch.</t>
        </is>
      </c>
      <c r="J72" s="14" t="inlineStr">
        <is>
          <t>08 CROSSWALK: WBS 1.5.4.2</t>
        </is>
      </c>
    </row>
    <row r="73" ht="64" customHeight="1">
      <c r="A73" s="23" t="inlineStr">
        <is>
          <t>1.6</t>
        </is>
      </c>
      <c r="B73" s="57" t="inlineStr">
        <is>
          <t>Program Management</t>
        </is>
      </c>
      <c r="C73" s="23" t="inlineStr">
        <is>
          <t>0 governed relationships</t>
        </is>
      </c>
      <c r="D73" s="23" t="inlineStr">
        <is>
          <t>79 governed relationships</t>
        </is>
      </c>
      <c r="E73" s="23" t="inlineStr">
        <is>
          <t>9 governed relationships</t>
        </is>
      </c>
      <c r="F73" s="23" t="inlineStr">
        <is>
          <t>0 governed relationships</t>
        </is>
      </c>
      <c r="G73" s="36" t="n">
        <v>0</v>
      </c>
      <c r="H73" s="36" t="n">
        <v>0</v>
      </c>
      <c r="I73" s="23" t="inlineStr">
        <is>
          <t>Cost scope has no governed schedule relationships in this WBS branch. 9 package/contract relationships also project through this branch.</t>
        </is>
      </c>
      <c r="J73" s="14" t="inlineStr">
        <is>
          <t>08 CROSSWALK: WBS 1.6</t>
        </is>
      </c>
    </row>
    <row r="74" ht="34" customHeight="1">
      <c r="A74" s="23" t="inlineStr">
        <is>
          <t>1.6.1</t>
        </is>
      </c>
      <c r="B74" s="58" t="inlineStr">
        <is>
          <t>Program Management - Program Controls</t>
        </is>
      </c>
      <c r="C74" s="23" t="inlineStr">
        <is>
          <t>0 governed relationships</t>
        </is>
      </c>
      <c r="D74" s="23" t="inlineStr">
        <is>
          <t>39 governed relationships</t>
        </is>
      </c>
      <c r="E74" s="23" t="inlineStr">
        <is>
          <t>0 governed relationships</t>
        </is>
      </c>
      <c r="F74" s="23" t="inlineStr">
        <is>
          <t>0 governed relationships</t>
        </is>
      </c>
      <c r="G74" s="36" t="n">
        <v>0</v>
      </c>
      <c r="H74" s="36" t="n">
        <v>0</v>
      </c>
      <c r="I74" s="23" t="inlineStr">
        <is>
          <t>Cost scope has no governed schedule relationships in this WBS branch.</t>
        </is>
      </c>
      <c r="J74" s="14" t="inlineStr">
        <is>
          <t>08 CROSSWALK: WBS 1.6.1</t>
        </is>
      </c>
    </row>
    <row r="75" ht="34" customHeight="1">
      <c r="A75" s="23" t="inlineStr">
        <is>
          <t>1.6.1.1</t>
        </is>
      </c>
      <c r="B75" s="59" t="inlineStr">
        <is>
          <t>Program Controls - Owner Team</t>
        </is>
      </c>
      <c r="C75" s="23" t="inlineStr">
        <is>
          <t>0 governed relationships</t>
        </is>
      </c>
      <c r="D75" s="23" t="inlineStr">
        <is>
          <t>0 governed relationships</t>
        </is>
      </c>
      <c r="E75" s="23" t="inlineStr">
        <is>
          <t>0 governed relationships</t>
        </is>
      </c>
      <c r="F75" s="23" t="inlineStr">
        <is>
          <t>0 governed relationships</t>
        </is>
      </c>
      <c r="G75" s="36" t="n">
        <v>0</v>
      </c>
      <c r="H75" s="36" t="n">
        <v>0</v>
      </c>
      <c r="I75" s="23" t="inlineStr">
        <is>
          <t>No governed schedule or cost relationships in this WBS branch.</t>
        </is>
      </c>
      <c r="J75" s="14" t="inlineStr">
        <is>
          <t>08 CROSSWALK: WBS 1.6.1.1</t>
        </is>
      </c>
    </row>
    <row r="76" ht="34" customHeight="1">
      <c r="A76" s="23" t="inlineStr">
        <is>
          <t>1.6.1.2</t>
        </is>
      </c>
      <c r="B76" s="59" t="inlineStr">
        <is>
          <t>Program Controls - Delivery Partners</t>
        </is>
      </c>
      <c r="C76" s="23" t="inlineStr">
        <is>
          <t>0 governed relationships</t>
        </is>
      </c>
      <c r="D76" s="23" t="inlineStr">
        <is>
          <t>0 governed relationships</t>
        </is>
      </c>
      <c r="E76" s="23" t="inlineStr">
        <is>
          <t>0 governed relationships</t>
        </is>
      </c>
      <c r="F76" s="23" t="inlineStr">
        <is>
          <t>0 governed relationships</t>
        </is>
      </c>
      <c r="G76" s="36" t="n">
        <v>0</v>
      </c>
      <c r="H76" s="36" t="n">
        <v>0</v>
      </c>
      <c r="I76" s="23" t="inlineStr">
        <is>
          <t>No governed schedule or cost relationships in this WBS branch.</t>
        </is>
      </c>
      <c r="J76" s="14" t="inlineStr">
        <is>
          <t>08 CROSSWALK: WBS 1.6.1.2</t>
        </is>
      </c>
    </row>
    <row r="77" ht="34" customHeight="1">
      <c r="A77" s="23" t="inlineStr">
        <is>
          <t>1.6.2</t>
        </is>
      </c>
      <c r="B77" s="58" t="inlineStr">
        <is>
          <t>Program Management - Commercial &amp; Procurement</t>
        </is>
      </c>
      <c r="C77" s="23" t="inlineStr">
        <is>
          <t>0 governed relationships</t>
        </is>
      </c>
      <c r="D77" s="23" t="inlineStr">
        <is>
          <t>40 governed relationships</t>
        </is>
      </c>
      <c r="E77" s="23" t="inlineStr">
        <is>
          <t>0 governed relationships</t>
        </is>
      </c>
      <c r="F77" s="23" t="inlineStr">
        <is>
          <t>0 governed relationships</t>
        </is>
      </c>
      <c r="G77" s="36" t="n">
        <v>0</v>
      </c>
      <c r="H77" s="36" t="n">
        <v>0</v>
      </c>
      <c r="I77" s="23" t="inlineStr">
        <is>
          <t>Cost scope has no governed schedule relationships in this WBS branch.</t>
        </is>
      </c>
      <c r="J77" s="14" t="inlineStr">
        <is>
          <t>08 CROSSWALK: WBS 1.6.2</t>
        </is>
      </c>
    </row>
    <row r="78" ht="34" customHeight="1">
      <c r="A78" s="23" t="inlineStr">
        <is>
          <t>1.6.2.1</t>
        </is>
      </c>
      <c r="B78" s="59" t="inlineStr">
        <is>
          <t>Commercial &amp; Procurement - Owner Team</t>
        </is>
      </c>
      <c r="C78" s="23" t="inlineStr">
        <is>
          <t>0 governed relationships</t>
        </is>
      </c>
      <c r="D78" s="23" t="inlineStr">
        <is>
          <t>0 governed relationships</t>
        </is>
      </c>
      <c r="E78" s="23" t="inlineStr">
        <is>
          <t>0 governed relationships</t>
        </is>
      </c>
      <c r="F78" s="23" t="inlineStr">
        <is>
          <t>0 governed relationships</t>
        </is>
      </c>
      <c r="G78" s="36" t="n">
        <v>0</v>
      </c>
      <c r="H78" s="36" t="n">
        <v>0</v>
      </c>
      <c r="I78" s="23" t="inlineStr">
        <is>
          <t>No governed schedule or cost relationships in this WBS branch.</t>
        </is>
      </c>
      <c r="J78" s="14" t="inlineStr">
        <is>
          <t>08 CROSSWALK: WBS 1.6.2.1</t>
        </is>
      </c>
    </row>
    <row r="79" ht="34" customHeight="1">
      <c r="A79" s="23" t="inlineStr">
        <is>
          <t>1.6.2.2</t>
        </is>
      </c>
      <c r="B79" s="59" t="inlineStr">
        <is>
          <t>Commercial &amp; Procurement - Delivery Partners</t>
        </is>
      </c>
      <c r="C79" s="23" t="inlineStr">
        <is>
          <t>0 governed relationships</t>
        </is>
      </c>
      <c r="D79" s="23" t="inlineStr">
        <is>
          <t>0 governed relationships</t>
        </is>
      </c>
      <c r="E79" s="23" t="inlineStr">
        <is>
          <t>0 governed relationships</t>
        </is>
      </c>
      <c r="F79" s="23" t="inlineStr">
        <is>
          <t>0 governed relationships</t>
        </is>
      </c>
      <c r="G79" s="36" t="n">
        <v>0</v>
      </c>
      <c r="H79" s="36" t="n">
        <v>0</v>
      </c>
      <c r="I79" s="23" t="inlineStr">
        <is>
          <t>No governed schedule or cost relationships in this WBS branch.</t>
        </is>
      </c>
      <c r="J79" s="14" t="inlineStr">
        <is>
          <t>08 CROSSWALK: WBS 1.6.2.2</t>
        </is>
      </c>
    </row>
    <row r="80" ht="34" customHeight="1">
      <c r="A80" s="23" t="inlineStr">
        <is>
          <t>1.6.3</t>
        </is>
      </c>
      <c r="B80" s="58" t="inlineStr">
        <is>
          <t>Program Management - Stakeholder &amp; Permits</t>
        </is>
      </c>
      <c r="C80" s="23" t="inlineStr">
        <is>
          <t>0 governed relationships</t>
        </is>
      </c>
      <c r="D80" s="23" t="inlineStr">
        <is>
          <t>0 governed relationships</t>
        </is>
      </c>
      <c r="E80" s="23" t="inlineStr">
        <is>
          <t>0 governed relationships</t>
        </is>
      </c>
      <c r="F80" s="23" t="inlineStr">
        <is>
          <t>0 governed relationships</t>
        </is>
      </c>
      <c r="G80" s="36" t="n">
        <v>0</v>
      </c>
      <c r="H80" s="36" t="n">
        <v>0</v>
      </c>
      <c r="I80" s="23" t="inlineStr">
        <is>
          <t>No governed schedule or cost relationships in this WBS branch.</t>
        </is>
      </c>
      <c r="J80" s="14" t="inlineStr">
        <is>
          <t>08 CROSSWALK: WBS 1.6.3</t>
        </is>
      </c>
    </row>
    <row r="81" ht="34" customHeight="1">
      <c r="A81" s="23" t="inlineStr">
        <is>
          <t>1.6.3.1</t>
        </is>
      </c>
      <c r="B81" s="59" t="inlineStr">
        <is>
          <t>Stakeholder &amp; Permits - Owner Team</t>
        </is>
      </c>
      <c r="C81" s="23" t="inlineStr">
        <is>
          <t>0 governed relationships</t>
        </is>
      </c>
      <c r="D81" s="23" t="inlineStr">
        <is>
          <t>0 governed relationships</t>
        </is>
      </c>
      <c r="E81" s="23" t="inlineStr">
        <is>
          <t>0 governed relationships</t>
        </is>
      </c>
      <c r="F81" s="23" t="inlineStr">
        <is>
          <t>0 governed relationships</t>
        </is>
      </c>
      <c r="G81" s="36" t="n">
        <v>0</v>
      </c>
      <c r="H81" s="36" t="n">
        <v>0</v>
      </c>
      <c r="I81" s="23" t="inlineStr">
        <is>
          <t>No governed schedule or cost relationships in this WBS branch.</t>
        </is>
      </c>
      <c r="J81" s="14" t="inlineStr">
        <is>
          <t>08 CROSSWALK: WBS 1.6.3.1</t>
        </is>
      </c>
    </row>
    <row r="82" ht="34" customHeight="1">
      <c r="A82" s="23" t="inlineStr">
        <is>
          <t>1.6.3.2</t>
        </is>
      </c>
      <c r="B82" s="59" t="inlineStr">
        <is>
          <t>Stakeholder &amp; Permits - Delivery Partners</t>
        </is>
      </c>
      <c r="C82" s="23" t="inlineStr">
        <is>
          <t>0 governed relationships</t>
        </is>
      </c>
      <c r="D82" s="23" t="inlineStr">
        <is>
          <t>0 governed relationships</t>
        </is>
      </c>
      <c r="E82" s="23" t="inlineStr">
        <is>
          <t>0 governed relationships</t>
        </is>
      </c>
      <c r="F82" s="23" t="inlineStr">
        <is>
          <t>0 governed relationships</t>
        </is>
      </c>
      <c r="G82" s="36" t="n">
        <v>0</v>
      </c>
      <c r="H82" s="36" t="n">
        <v>0</v>
      </c>
      <c r="I82" s="23" t="inlineStr">
        <is>
          <t>No governed schedule or cost relationships in this WBS branch.</t>
        </is>
      </c>
      <c r="J82" s="14" t="inlineStr">
        <is>
          <t>08 CROSSWALK: WBS 1.6.3.2</t>
        </is>
      </c>
    </row>
    <row r="83" ht="34" customHeight="1">
      <c r="A83" s="23" t="inlineStr">
        <is>
          <t>1.6.4</t>
        </is>
      </c>
      <c r="B83" s="58" t="inlineStr">
        <is>
          <t>Program Management - Delivery Integration</t>
        </is>
      </c>
      <c r="C83" s="23" t="inlineStr">
        <is>
          <t>0 governed relationships</t>
        </is>
      </c>
      <c r="D83" s="23" t="inlineStr">
        <is>
          <t>0 governed relationships</t>
        </is>
      </c>
      <c r="E83" s="23" t="inlineStr">
        <is>
          <t>0 governed relationships</t>
        </is>
      </c>
      <c r="F83" s="23" t="inlineStr">
        <is>
          <t>0 governed relationships</t>
        </is>
      </c>
      <c r="G83" s="36" t="n">
        <v>0</v>
      </c>
      <c r="H83" s="36" t="n">
        <v>0</v>
      </c>
      <c r="I83" s="23" t="inlineStr">
        <is>
          <t>No governed schedule or cost relationships in this WBS branch.</t>
        </is>
      </c>
      <c r="J83" s="14" t="inlineStr">
        <is>
          <t>08 CROSSWALK: WBS 1.6.4</t>
        </is>
      </c>
    </row>
    <row r="84" ht="34" customHeight="1">
      <c r="A84" s="23" t="inlineStr">
        <is>
          <t>1.6.4.1</t>
        </is>
      </c>
      <c r="B84" s="59" t="inlineStr">
        <is>
          <t>Delivery Integration - Owner Team</t>
        </is>
      </c>
      <c r="C84" s="23" t="inlineStr">
        <is>
          <t>0 governed relationships</t>
        </is>
      </c>
      <c r="D84" s="23" t="inlineStr">
        <is>
          <t>0 governed relationships</t>
        </is>
      </c>
      <c r="E84" s="23" t="inlineStr">
        <is>
          <t>0 governed relationships</t>
        </is>
      </c>
      <c r="F84" s="23" t="inlineStr">
        <is>
          <t>0 governed relationships</t>
        </is>
      </c>
      <c r="G84" s="36" t="n">
        <v>0</v>
      </c>
      <c r="H84" s="36" t="n">
        <v>0</v>
      </c>
      <c r="I84" s="23" t="inlineStr">
        <is>
          <t>No governed schedule or cost relationships in this WBS branch.</t>
        </is>
      </c>
      <c r="J84" s="14" t="inlineStr">
        <is>
          <t>08 CROSSWALK: WBS 1.6.4.1</t>
        </is>
      </c>
    </row>
    <row r="85" ht="34" customHeight="1">
      <c r="A85" s="23" t="inlineStr">
        <is>
          <t>1.6.4.2</t>
        </is>
      </c>
      <c r="B85" s="59" t="inlineStr">
        <is>
          <t>Delivery Integration - Delivery Partners</t>
        </is>
      </c>
      <c r="C85" s="23" t="inlineStr">
        <is>
          <t>0 governed relationships</t>
        </is>
      </c>
      <c r="D85" s="23" t="inlineStr">
        <is>
          <t>0 governed relationships</t>
        </is>
      </c>
      <c r="E85" s="23" t="inlineStr">
        <is>
          <t>0 governed relationships</t>
        </is>
      </c>
      <c r="F85" s="23" t="inlineStr">
        <is>
          <t>0 governed relationships</t>
        </is>
      </c>
      <c r="G85" s="36" t="n">
        <v>0</v>
      </c>
      <c r="H85" s="36" t="n">
        <v>0</v>
      </c>
      <c r="I85" s="23" t="inlineStr">
        <is>
          <t>No governed schedule or cost relationships in this WBS branch.</t>
        </is>
      </c>
      <c r="J85" s="14" t="inlineStr">
        <is>
          <t>08 CROSSWALK: WBS 1.6.4.2</t>
        </is>
      </c>
    </row>
  </sheetData>
  <autoFilter ref="A5:J85"/>
  <mergeCells count="2">
    <mergeCell ref="A1:D1"/>
    <mergeCell ref="A2:D2"/>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 xmlns:r="http://schemas.openxmlformats.org/officeDocument/2006/relationships" ref="J6" r:id="rId9"/>
    <hyperlink xmlns:r="http://schemas.openxmlformats.org/officeDocument/2006/relationships" ref="J7" tooltip="First relationship in this approved WBS branch; use the WBS Explorer hierarchy and Target WBS filter to inspect all descendant targets." r:id="rId10"/>
    <hyperlink xmlns:r="http://schemas.openxmlformats.org/officeDocument/2006/relationships" ref="J8" tooltip="First relationship in this approved WBS branch; use the WBS Explorer hierarchy and Target WBS filter to inspect all descendant targets." r:id="rId11"/>
    <hyperlink xmlns:r="http://schemas.openxmlformats.org/officeDocument/2006/relationships" ref="J9" tooltip="First relationship in this approved WBS branch; use the WBS Explorer hierarchy and Target WBS filter to inspect all descendant targets." r:id="rId12"/>
    <hyperlink xmlns:r="http://schemas.openxmlformats.org/officeDocument/2006/relationships" ref="J10" r:id="rId13"/>
    <hyperlink xmlns:r="http://schemas.openxmlformats.org/officeDocument/2006/relationships" ref="J11" r:id="rId14"/>
    <hyperlink xmlns:r="http://schemas.openxmlformats.org/officeDocument/2006/relationships" ref="J12" tooltip="First relationship in this approved WBS branch; use the WBS Explorer hierarchy and Target WBS filter to inspect all descendant targets." r:id="rId15"/>
    <hyperlink xmlns:r="http://schemas.openxmlformats.org/officeDocument/2006/relationships" ref="J13" r:id="rId16"/>
    <hyperlink xmlns:r="http://schemas.openxmlformats.org/officeDocument/2006/relationships" ref="J14" r:id="rId17"/>
    <hyperlink xmlns:r="http://schemas.openxmlformats.org/officeDocument/2006/relationships" ref="J15" r:id="rId18"/>
    <hyperlink xmlns:r="http://schemas.openxmlformats.org/officeDocument/2006/relationships" ref="J16" r:id="rId19"/>
    <hyperlink xmlns:r="http://schemas.openxmlformats.org/officeDocument/2006/relationships" ref="J17" r:id="rId20"/>
    <hyperlink xmlns:r="http://schemas.openxmlformats.org/officeDocument/2006/relationships" ref="J18" r:id="rId21"/>
    <hyperlink xmlns:r="http://schemas.openxmlformats.org/officeDocument/2006/relationships" ref="J19" r:id="rId22"/>
    <hyperlink xmlns:r="http://schemas.openxmlformats.org/officeDocument/2006/relationships" ref="J20" r:id="rId23"/>
    <hyperlink xmlns:r="http://schemas.openxmlformats.org/officeDocument/2006/relationships" ref="J21" tooltip="First relationship in this approved WBS branch; use the WBS Explorer hierarchy and Target WBS filter to inspect all descendant targets." r:id="rId24"/>
    <hyperlink xmlns:r="http://schemas.openxmlformats.org/officeDocument/2006/relationships" ref="J22" tooltip="First relationship in this approved WBS branch; use the WBS Explorer hierarchy and Target WBS filter to inspect all descendant targets." r:id="rId25"/>
    <hyperlink xmlns:r="http://schemas.openxmlformats.org/officeDocument/2006/relationships" ref="J23" r:id="rId26"/>
    <hyperlink xmlns:r="http://schemas.openxmlformats.org/officeDocument/2006/relationships" ref="J24" r:id="rId27"/>
    <hyperlink xmlns:r="http://schemas.openxmlformats.org/officeDocument/2006/relationships" ref="J25" tooltip="First relationship in this approved WBS branch; use the WBS Explorer hierarchy and Target WBS filter to inspect all descendant targets." r:id="rId28"/>
    <hyperlink xmlns:r="http://schemas.openxmlformats.org/officeDocument/2006/relationships" ref="J26" r:id="rId29"/>
    <hyperlink xmlns:r="http://schemas.openxmlformats.org/officeDocument/2006/relationships" ref="J27" r:id="rId30"/>
    <hyperlink xmlns:r="http://schemas.openxmlformats.org/officeDocument/2006/relationships" ref="J28" r:id="rId31"/>
    <hyperlink xmlns:r="http://schemas.openxmlformats.org/officeDocument/2006/relationships" ref="J29" r:id="rId32"/>
    <hyperlink xmlns:r="http://schemas.openxmlformats.org/officeDocument/2006/relationships" ref="J30" r:id="rId33"/>
    <hyperlink xmlns:r="http://schemas.openxmlformats.org/officeDocument/2006/relationships" ref="J31" r:id="rId34"/>
    <hyperlink xmlns:r="http://schemas.openxmlformats.org/officeDocument/2006/relationships" ref="J32" r:id="rId35"/>
    <hyperlink xmlns:r="http://schemas.openxmlformats.org/officeDocument/2006/relationships" ref="J33" r:id="rId36"/>
    <hyperlink xmlns:r="http://schemas.openxmlformats.org/officeDocument/2006/relationships" ref="J34" tooltip="First relationship in this approved WBS branch; use the WBS Explorer hierarchy and Target WBS filter to inspect all descendant targets." r:id="rId37"/>
    <hyperlink xmlns:r="http://schemas.openxmlformats.org/officeDocument/2006/relationships" ref="J35" tooltip="First relationship in this approved WBS branch; use the WBS Explorer hierarchy and Target WBS filter to inspect all descendant targets." r:id="rId38"/>
    <hyperlink xmlns:r="http://schemas.openxmlformats.org/officeDocument/2006/relationships" ref="J36" r:id="rId39"/>
    <hyperlink xmlns:r="http://schemas.openxmlformats.org/officeDocument/2006/relationships" ref="J37" r:id="rId40"/>
    <hyperlink xmlns:r="http://schemas.openxmlformats.org/officeDocument/2006/relationships" ref="J38" tooltip="First relationship in this approved WBS branch; use the WBS Explorer hierarchy and Target WBS filter to inspect all descendant targets." r:id="rId41"/>
    <hyperlink xmlns:r="http://schemas.openxmlformats.org/officeDocument/2006/relationships" ref="J39" r:id="rId42"/>
    <hyperlink xmlns:r="http://schemas.openxmlformats.org/officeDocument/2006/relationships" ref="J40" r:id="rId43"/>
    <hyperlink xmlns:r="http://schemas.openxmlformats.org/officeDocument/2006/relationships" ref="J41" r:id="rId44"/>
    <hyperlink xmlns:r="http://schemas.openxmlformats.org/officeDocument/2006/relationships" ref="J42" r:id="rId45"/>
    <hyperlink xmlns:r="http://schemas.openxmlformats.org/officeDocument/2006/relationships" ref="J43" r:id="rId46"/>
    <hyperlink xmlns:r="http://schemas.openxmlformats.org/officeDocument/2006/relationships" ref="J44" r:id="rId47"/>
    <hyperlink xmlns:r="http://schemas.openxmlformats.org/officeDocument/2006/relationships" ref="J45" r:id="rId48"/>
    <hyperlink xmlns:r="http://schemas.openxmlformats.org/officeDocument/2006/relationships" ref="J46" r:id="rId49"/>
    <hyperlink xmlns:r="http://schemas.openxmlformats.org/officeDocument/2006/relationships" ref="J47" tooltip="First relationship in this approved WBS branch; use the WBS Explorer hierarchy and Target WBS filter to inspect all descendant targets." r:id="rId50"/>
    <hyperlink xmlns:r="http://schemas.openxmlformats.org/officeDocument/2006/relationships" ref="J48" tooltip="First relationship in this approved WBS branch; use the WBS Explorer hierarchy and Target WBS filter to inspect all descendant targets." r:id="rId51"/>
    <hyperlink xmlns:r="http://schemas.openxmlformats.org/officeDocument/2006/relationships" ref="J49" r:id="rId52"/>
    <hyperlink xmlns:r="http://schemas.openxmlformats.org/officeDocument/2006/relationships" ref="J50" r:id="rId53"/>
    <hyperlink xmlns:r="http://schemas.openxmlformats.org/officeDocument/2006/relationships" ref="J51" tooltip="First relationship in this approved WBS branch; use the WBS Explorer hierarchy and Target WBS filter to inspect all descendant targets." r:id="rId54"/>
    <hyperlink xmlns:r="http://schemas.openxmlformats.org/officeDocument/2006/relationships" ref="J52" r:id="rId55"/>
    <hyperlink xmlns:r="http://schemas.openxmlformats.org/officeDocument/2006/relationships" ref="J53" r:id="rId56"/>
    <hyperlink xmlns:r="http://schemas.openxmlformats.org/officeDocument/2006/relationships" ref="J54" r:id="rId57"/>
    <hyperlink xmlns:r="http://schemas.openxmlformats.org/officeDocument/2006/relationships" ref="J55" r:id="rId58"/>
    <hyperlink xmlns:r="http://schemas.openxmlformats.org/officeDocument/2006/relationships" ref="J56" r:id="rId59"/>
    <hyperlink xmlns:r="http://schemas.openxmlformats.org/officeDocument/2006/relationships" ref="J57" r:id="rId60"/>
    <hyperlink xmlns:r="http://schemas.openxmlformats.org/officeDocument/2006/relationships" ref="J58" r:id="rId61"/>
    <hyperlink xmlns:r="http://schemas.openxmlformats.org/officeDocument/2006/relationships" ref="J59" r:id="rId62"/>
    <hyperlink xmlns:r="http://schemas.openxmlformats.org/officeDocument/2006/relationships" ref="J60" tooltip="First relationship in this approved WBS branch; use the WBS Explorer hierarchy and Target WBS filter to inspect all descendant targets." r:id="rId63"/>
    <hyperlink xmlns:r="http://schemas.openxmlformats.org/officeDocument/2006/relationships" ref="J61" tooltip="First relationship in this approved WBS branch; use the WBS Explorer hierarchy and Target WBS filter to inspect all descendant targets." r:id="rId64"/>
    <hyperlink xmlns:r="http://schemas.openxmlformats.org/officeDocument/2006/relationships" ref="J62" r:id="rId65"/>
    <hyperlink xmlns:r="http://schemas.openxmlformats.org/officeDocument/2006/relationships" ref="J63" r:id="rId66"/>
    <hyperlink xmlns:r="http://schemas.openxmlformats.org/officeDocument/2006/relationships" ref="J64" tooltip="First relationship in this approved WBS branch; use the WBS Explorer hierarchy and Target WBS filter to inspect all descendant targets." r:id="rId67"/>
    <hyperlink xmlns:r="http://schemas.openxmlformats.org/officeDocument/2006/relationships" ref="J65" r:id="rId68"/>
    <hyperlink xmlns:r="http://schemas.openxmlformats.org/officeDocument/2006/relationships" ref="J66" r:id="rId69"/>
    <hyperlink xmlns:r="http://schemas.openxmlformats.org/officeDocument/2006/relationships" ref="J67" r:id="rId70"/>
    <hyperlink xmlns:r="http://schemas.openxmlformats.org/officeDocument/2006/relationships" ref="J68" r:id="rId71"/>
    <hyperlink xmlns:r="http://schemas.openxmlformats.org/officeDocument/2006/relationships" ref="J69" r:id="rId72"/>
    <hyperlink xmlns:r="http://schemas.openxmlformats.org/officeDocument/2006/relationships" ref="J70" r:id="rId73"/>
    <hyperlink xmlns:r="http://schemas.openxmlformats.org/officeDocument/2006/relationships" ref="J71" r:id="rId74"/>
    <hyperlink xmlns:r="http://schemas.openxmlformats.org/officeDocument/2006/relationships" ref="J72" r:id="rId75"/>
    <hyperlink xmlns:r="http://schemas.openxmlformats.org/officeDocument/2006/relationships" ref="J73" tooltip="First relationship in this approved WBS branch; use the WBS Explorer hierarchy and Target WBS filter to inspect all descendant targets." r:id="rId76"/>
    <hyperlink xmlns:r="http://schemas.openxmlformats.org/officeDocument/2006/relationships" ref="J74" tooltip="First relationship in this approved WBS branch; use the WBS Explorer hierarchy and Target WBS filter to inspect all descendant targets." r:id="rId77"/>
    <hyperlink xmlns:r="http://schemas.openxmlformats.org/officeDocument/2006/relationships" ref="J75" r:id="rId78"/>
    <hyperlink xmlns:r="http://schemas.openxmlformats.org/officeDocument/2006/relationships" ref="J76" r:id="rId79"/>
    <hyperlink xmlns:r="http://schemas.openxmlformats.org/officeDocument/2006/relationships" ref="J77" tooltip="First relationship in this approved WBS branch; use the WBS Explorer hierarchy and Target WBS filter to inspect all descendant targets." r:id="rId80"/>
    <hyperlink xmlns:r="http://schemas.openxmlformats.org/officeDocument/2006/relationships" ref="J78" r:id="rId81"/>
    <hyperlink xmlns:r="http://schemas.openxmlformats.org/officeDocument/2006/relationships" ref="J79" r:id="rId82"/>
    <hyperlink xmlns:r="http://schemas.openxmlformats.org/officeDocument/2006/relationships" ref="J80" r:id="rId83"/>
    <hyperlink xmlns:r="http://schemas.openxmlformats.org/officeDocument/2006/relationships" ref="J81" r:id="rId84"/>
    <hyperlink xmlns:r="http://schemas.openxmlformats.org/officeDocument/2006/relationships" ref="J82" r:id="rId85"/>
    <hyperlink xmlns:r="http://schemas.openxmlformats.org/officeDocument/2006/relationships" ref="J83" r:id="rId86"/>
    <hyperlink xmlns:r="http://schemas.openxmlformats.org/officeDocument/2006/relationships" ref="J84" r:id="rId87"/>
    <hyperlink xmlns:r="http://schemas.openxmlformats.org/officeDocument/2006/relationships" ref="J85" r:id="rId88"/>
  </hyperlinks>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tabColor rgb="00243553"/>
    <outlinePr summaryBelow="0" summaryRight="0"/>
    <pageSetUpPr fitToPage="1"/>
  </sheetPr>
  <dimension ref="A1:H1637"/>
  <sheetViews>
    <sheetView showGridLines="0" tabSelected="0" topLeftCell="A1" zoomScale="100" zoomScaleNormal="100" workbookViewId="0">
      <pane ySplit="12" topLeftCell="A13" activePane="bottomLeft" state="frozen"/>
      <selection pane="bottomLeft" activeCell="A1" sqref="A1"/>
    </sheetView>
  </sheetViews>
  <sheetFormatPr baseColWidth="8" defaultRowHeight="15"/>
  <cols>
    <col width="18" customWidth="1" min="1" max="1"/>
    <col width="24" customWidth="1" min="2" max="2"/>
    <col width="18" customWidth="1" min="3" max="3"/>
    <col width="34" customWidth="1" min="4" max="4"/>
    <col width="22" customWidth="1" min="5" max="5"/>
    <col width="46" customWidth="1" min="6" max="6"/>
    <col width="30" customWidth="1" min="7" max="7"/>
    <col width="26" customWidth="1" min="8" max="8"/>
  </cols>
  <sheetData>
    <row r="1" ht="33.2" customHeight="1">
      <c r="A1" s="9" t="inlineStr">
        <is>
          <t>CHANGES &amp; REVALIDATION</t>
        </is>
      </c>
    </row>
    <row r="2" ht="26" customHeight="1">
      <c r="A2" s="10" t="inlineStr">
        <is>
          <t>What changed that matters, what remained valid, and where revalidation occurred.</t>
        </is>
      </c>
    </row>
    <row r="3" ht="19" customHeight="1">
      <c r="A3" s="11" t="inlineStr">
        <is>
          <t>Executive</t>
        </is>
      </c>
      <c r="B3" s="11" t="inlineStr">
        <is>
          <t>Issues</t>
        </is>
      </c>
      <c r="C3" s="11" t="inlineStr">
        <is>
          <t>Integration</t>
        </is>
      </c>
      <c r="D3" s="11" t="inlineStr">
        <is>
          <t>Project</t>
        </is>
      </c>
      <c r="E3" s="11" t="inlineStr">
        <is>
          <t>Changes</t>
        </is>
      </c>
      <c r="F3" s="11" t="inlineStr">
        <is>
          <t>Crosswalk</t>
        </is>
      </c>
      <c r="G3" s="11" t="inlineStr">
        <is>
          <t>Evidence</t>
        </is>
      </c>
      <c r="H3" s="11" t="inlineStr">
        <is>
          <t>Sources</t>
        </is>
      </c>
    </row>
    <row r="4"/>
    <row r="5" ht="94" customHeight="1">
      <c r="A5" s="22" t="inlineStr">
        <is>
          <t>Current approved state versus prior approved state</t>
        </is>
      </c>
      <c r="D5" s="22" t="inlineStr">
        <is>
          <t>V3 · CYCLE CONTINUITY</t>
        </is>
      </c>
    </row>
    <row r="6" ht="34" customHeight="1">
      <c r="A6" s="4" t="inlineStr">
        <is>
          <t>Carried forward</t>
        </is>
      </c>
      <c r="B6" s="60" t="n">
        <v>1613</v>
      </c>
      <c r="D6" s="10" t="inlineStr">
        <is>
          <t>How much relationship state carried forward versus required revalidation/redecision/new/retired treatment?</t>
        </is>
      </c>
    </row>
    <row r="7" ht="34" customHeight="1">
      <c r="A7" s="4" t="inlineStr">
        <is>
          <t>Re-keyed, revalidated</t>
        </is>
      </c>
      <c r="B7" s="60" t="n">
        <v>1</v>
      </c>
    </row>
    <row r="8" ht="34" customHeight="1">
      <c r="A8" s="4" t="inlineStr">
        <is>
          <t>Changed, re-decided</t>
        </is>
      </c>
      <c r="B8" s="60" t="n">
        <v>4</v>
      </c>
    </row>
    <row r="9" ht="24" customHeight="1">
      <c r="A9" s="4" t="inlineStr">
        <is>
          <t>New</t>
        </is>
      </c>
      <c r="B9" s="60" t="n">
        <v>4</v>
      </c>
      <c r="D9" s="31" t="inlineStr">
        <is>
          <t>Read the counts at left as governed relationship-state composition. Carried forward / revalidated means prior work did not need to be rebuilt; reopened/new/retired remain inspectable below.</t>
        </is>
      </c>
    </row>
    <row r="10" ht="24" customHeight="1">
      <c r="A10" s="4" t="inlineStr">
        <is>
          <t>Retired</t>
        </is>
      </c>
      <c r="B10" s="60" t="n">
        <v>3</v>
      </c>
    </row>
    <row r="11"/>
    <row r="12" ht="34" customHeight="1">
      <c r="A12" s="12" t="inlineStr">
        <is>
          <t>Relationship</t>
        </is>
      </c>
      <c r="B12" s="12" t="inlineStr">
        <is>
          <t>Source</t>
        </is>
      </c>
      <c r="C12" s="12" t="inlineStr">
        <is>
          <t>Record</t>
        </is>
      </c>
      <c r="D12" s="12" t="inlineStr">
        <is>
          <t>WBS</t>
        </is>
      </c>
      <c r="E12" s="12" t="inlineStr">
        <is>
          <t>Change state</t>
        </is>
      </c>
      <c r="F12" s="12" t="inlineStr">
        <is>
          <t>Reopen / revalidation reason</t>
        </is>
      </c>
      <c r="G12" s="12" t="inlineStr">
        <is>
          <t>Decision provenance</t>
        </is>
      </c>
      <c r="H12" s="12" t="inlineStr">
        <is>
          <t>Evidence path</t>
        </is>
      </c>
    </row>
    <row r="13" ht="34" customHeight="1">
      <c r="A13" s="23" t="inlineStr">
        <is>
          <t>R1085-v2</t>
        </is>
      </c>
      <c r="B13" s="23" t="inlineStr">
        <is>
          <t>Cost &amp; Forecast Control Accounts</t>
        </is>
      </c>
      <c r="C13" s="23" t="inlineStr">
        <is>
          <t>CST-01-003R</t>
        </is>
      </c>
      <c r="D13" s="23" t="inlineStr">
        <is>
          <t>1.1.1 Guideway and Civil - Guideway Structures</t>
        </is>
      </c>
      <c r="E13" s="23" t="inlineStr">
        <is>
          <t>Re-keyed, revalidated</t>
        </is>
      </c>
      <c r="F13" s="23" t="inlineStr"/>
      <c r="G13" s="23" t="inlineStr">
        <is>
          <t>Source assignment -- not individually reviewed</t>
        </is>
      </c>
      <c r="H13" s="14" t="inlineStr">
        <is>
          <t>10 EVIDENCE &amp; DECISIONS</t>
        </is>
      </c>
    </row>
    <row r="14" ht="34" customHeight="1">
      <c r="A14" s="23" t="inlineStr">
        <is>
          <t>R1623-v1</t>
        </is>
      </c>
      <c r="B14" s="23" t="inlineStr">
        <is>
          <t>Contractor Programme</t>
        </is>
      </c>
      <c r="C14" s="23" t="inlineStr">
        <is>
          <t>SCH-90-903</t>
        </is>
      </c>
      <c r="D14" s="23" t="inlineStr">
        <is>
          <t>1.1.1 Guideway and Civil - Guideway Structures</t>
        </is>
      </c>
      <c r="E14" s="23" t="inlineStr">
        <is>
          <t>New</t>
        </is>
      </c>
      <c r="F14" s="23" t="inlineStr"/>
      <c r="G14" s="23" t="inlineStr">
        <is>
          <t>Source assignment -- not individually reviewed</t>
        </is>
      </c>
      <c r="H14" s="14" t="inlineStr">
        <is>
          <t>10 EVIDENCE &amp; DECISIONS</t>
        </is>
      </c>
    </row>
    <row r="15" ht="34" customHeight="1">
      <c r="A15" s="23" t="inlineStr">
        <is>
          <t>R1624-v1</t>
        </is>
      </c>
      <c r="B15" s="23" t="inlineStr">
        <is>
          <t>Cost &amp; Forecast Control Accounts</t>
        </is>
      </c>
      <c r="C15" s="23" t="inlineStr">
        <is>
          <t>CST-90-903</t>
        </is>
      </c>
      <c r="D15" s="23" t="inlineStr">
        <is>
          <t>1.1.1 Guideway and Civil - Guideway Structures</t>
        </is>
      </c>
      <c r="E15" s="23" t="inlineStr">
        <is>
          <t>New</t>
        </is>
      </c>
      <c r="F15" s="23" t="inlineStr"/>
      <c r="G15" s="23" t="inlineStr">
        <is>
          <t>Source assignment -- not individually reviewed</t>
        </is>
      </c>
      <c r="H15" s="14" t="inlineStr">
        <is>
          <t>10 EVIDENCE &amp; DECISIONS</t>
        </is>
      </c>
    </row>
    <row r="16" ht="49" customHeight="1">
      <c r="A16" s="23" t="inlineStr">
        <is>
          <t>R1087-v3</t>
        </is>
      </c>
      <c r="B16" s="23" t="inlineStr">
        <is>
          <t>Cost &amp; Forecast Control Accounts</t>
        </is>
      </c>
      <c r="C16" s="23" t="inlineStr">
        <is>
          <t>CST-01-005</t>
        </is>
      </c>
      <c r="D16" s="23" t="inlineStr">
        <is>
          <t>1.1.2 Guideway and Civil - Utility &amp; Roadworks</t>
        </is>
      </c>
      <c r="E16" s="23" t="inlineStr">
        <is>
          <t>Changed, re-decided</t>
        </is>
      </c>
      <c r="F16" s="23" t="inlineStr">
        <is>
          <t>'WBS Code' changed from 1.1.1 to 1.1.2; 'WBS Code' changed from 1.1.1 to 1.1.2; 'WBS Code' changed from 1.1.1 to 1.1.2</t>
        </is>
      </c>
      <c r="G16" s="23" t="inlineStr">
        <is>
          <t>Maya Chen, Owner Project Controls</t>
        </is>
      </c>
      <c r="H16" s="14" t="inlineStr">
        <is>
          <t>10 EVIDENCE &amp; DECISIONS</t>
        </is>
      </c>
    </row>
    <row r="17" ht="49" customHeight="1">
      <c r="A17" s="23" t="inlineStr">
        <is>
          <t>R5-v3</t>
        </is>
      </c>
      <c r="B17" s="23" t="inlineStr">
        <is>
          <t>Contractor Programme</t>
        </is>
      </c>
      <c r="C17" s="23" t="inlineStr">
        <is>
          <t>SCH-01-005</t>
        </is>
      </c>
      <c r="D17" s="23" t="inlineStr">
        <is>
          <t>1.1.2 Guideway and Civil - Utility &amp; Roadworks</t>
        </is>
      </c>
      <c r="E17" s="23" t="inlineStr">
        <is>
          <t>Changed, re-decided</t>
        </is>
      </c>
      <c r="F17" s="23" t="inlineStr">
        <is>
          <t>'WBS Code' changed from 1.1.1 to 1.1.2; 'WBS Code' changed from 1.1.1 to 1.1.2; 'WBS Code' changed from 1.1.1 to 1.1.2</t>
        </is>
      </c>
      <c r="G17" s="23" t="inlineStr">
        <is>
          <t>Maya Chen, Owner Project Controls</t>
        </is>
      </c>
      <c r="H17" s="14" t="inlineStr">
        <is>
          <t>10 EVIDENCE &amp; DECISIONS</t>
        </is>
      </c>
    </row>
    <row r="18" ht="49" customHeight="1">
      <c r="A18" s="23" t="inlineStr">
        <is>
          <t>R1567-v3</t>
        </is>
      </c>
      <c r="B18" s="23" t="inlineStr">
        <is>
          <t>Commercial Package Register</t>
        </is>
      </c>
      <c r="C18" s="23" t="inlineStr">
        <is>
          <t>PKG-005</t>
        </is>
      </c>
      <c r="D18" s="23" t="inlineStr">
        <is>
          <t>1.2 Stations</t>
        </is>
      </c>
      <c r="E18" s="23" t="inlineStr">
        <is>
          <t>Changed, re-decided</t>
        </is>
      </c>
      <c r="F18" s="23" t="inlineStr">
        <is>
          <t>'WBS Code' changed from 1.1 to 1.2; 'WBS Code' changed from 1.1 to 1.2; 'WBS Code' changed from 1.1 to 1.2</t>
        </is>
      </c>
      <c r="G18" s="23" t="inlineStr">
        <is>
          <t>Maya Chen, Owner Project Controls</t>
        </is>
      </c>
      <c r="H18" s="14" t="inlineStr">
        <is>
          <t>10 EVIDENCE &amp; DECISIONS</t>
        </is>
      </c>
    </row>
    <row r="19" ht="49" customHeight="1">
      <c r="A19" s="23" t="inlineStr">
        <is>
          <t>R183-v4</t>
        </is>
      </c>
      <c r="B19" s="23" t="inlineStr">
        <is>
          <t>Contractor Programme</t>
        </is>
      </c>
      <c r="C19" s="23" t="inlineStr">
        <is>
          <t>SCH-02-003</t>
        </is>
      </c>
      <c r="D19" s="23" t="inlineStr">
        <is>
          <t>1.2.2 Stations - Architectural Fit-Out</t>
        </is>
      </c>
      <c r="E19" s="23" t="inlineStr">
        <is>
          <t>New</t>
        </is>
      </c>
      <c r="F19" s="23" t="inlineStr">
        <is>
          <t>'WBS Code' changed from (blank) to 1.2.2; 'WBS Code' changed from (blank) to 1.2.2; 'WBS Code' changed from (blank) to 1.2.2</t>
        </is>
      </c>
      <c r="G19" s="23" t="inlineStr">
        <is>
          <t>Maya Chen, Owner Project Controls</t>
        </is>
      </c>
      <c r="H19" s="14" t="inlineStr">
        <is>
          <t>10 EVIDENCE &amp; DECISIONS</t>
        </is>
      </c>
    </row>
    <row r="20" ht="34" customHeight="1">
      <c r="A20" s="23" t="inlineStr">
        <is>
          <t>R1621-v2</t>
        </is>
      </c>
      <c r="B20" s="23" t="inlineStr">
        <is>
          <t>Commercial Package Register</t>
        </is>
      </c>
      <c r="C20" s="23" t="inlineStr">
        <is>
          <t>PKG-059</t>
        </is>
      </c>
      <c r="D20" s="23" t="inlineStr">
        <is>
          <t>1.6 Program Management</t>
        </is>
      </c>
      <c r="E20" s="23" t="inlineStr">
        <is>
          <t>Retired</t>
        </is>
      </c>
      <c r="F20" s="23" t="inlineStr"/>
      <c r="G20" s="23" t="inlineStr">
        <is>
          <t>Retired -- no longer reported</t>
        </is>
      </c>
      <c r="H20" s="14" t="inlineStr">
        <is>
          <t>10 EVIDENCE &amp; DECISIONS</t>
        </is>
      </c>
    </row>
    <row r="21" ht="34" customHeight="1">
      <c r="A21" s="23" t="inlineStr">
        <is>
          <t>R1561-v2</t>
        </is>
      </c>
      <c r="B21" s="23" t="inlineStr">
        <is>
          <t>Cost &amp; Forecast Control Accounts</t>
        </is>
      </c>
      <c r="C21" s="23" t="inlineStr">
        <is>
          <t>CST-06-079</t>
        </is>
      </c>
      <c r="D21" s="23" t="inlineStr">
        <is>
          <t>1.6.1 Program Management - Program Controls</t>
        </is>
      </c>
      <c r="E21" s="23" t="inlineStr">
        <is>
          <t>Retired</t>
        </is>
      </c>
      <c r="F21" s="23" t="inlineStr"/>
      <c r="G21" s="23" t="inlineStr">
        <is>
          <t>Retired -- no longer reported</t>
        </is>
      </c>
      <c r="H21" s="14" t="inlineStr">
        <is>
          <t>10 EVIDENCE &amp; DECISIONS</t>
        </is>
      </c>
    </row>
    <row r="22" ht="34" customHeight="1">
      <c r="A22" s="23" t="inlineStr">
        <is>
          <t>R1081-v3</t>
        </is>
      </c>
      <c r="B22" s="23" t="inlineStr">
        <is>
          <t>Contractor Programme</t>
        </is>
      </c>
      <c r="C22" s="23" t="inlineStr">
        <is>
          <t>SCH-90-901</t>
        </is>
      </c>
      <c r="D22" s="23" t="inlineStr">
        <is>
          <t>NEW_SCOPE</t>
        </is>
      </c>
      <c r="E22" s="23" t="inlineStr">
        <is>
          <t>Retired</t>
        </is>
      </c>
      <c r="F22" s="23" t="inlineStr"/>
      <c r="G22" s="23" t="inlineStr">
        <is>
          <t>Retired -- no longer reported</t>
        </is>
      </c>
      <c r="H22" s="14" t="inlineStr">
        <is>
          <t>10 EVIDENCE &amp; DECISIONS</t>
        </is>
      </c>
    </row>
    <row r="23" ht="34" customHeight="1">
      <c r="A23" s="23" t="inlineStr">
        <is>
          <t>R1625-v2</t>
        </is>
      </c>
      <c r="B23" s="23" t="inlineStr">
        <is>
          <t>Commercial Package Register</t>
        </is>
      </c>
      <c r="C23" s="23" t="inlineStr">
        <is>
          <t>PKG-903</t>
        </is>
      </c>
      <c r="D23" s="23" t="inlineStr">
        <is>
          <t>UNSURE</t>
        </is>
      </c>
      <c r="E23" s="23" t="inlineStr">
        <is>
          <t>New</t>
        </is>
      </c>
      <c r="F23" s="23" t="inlineStr"/>
      <c r="G23" s="23" t="inlineStr">
        <is>
          <t>Maya Chen, Owner Project Controls</t>
        </is>
      </c>
      <c r="H23" s="14" t="inlineStr">
        <is>
          <t>10 EVIDENCE &amp; DECISIONS</t>
        </is>
      </c>
    </row>
    <row r="24" ht="49" customHeight="1">
      <c r="A24" s="23" t="inlineStr">
        <is>
          <t>R367-v3</t>
        </is>
      </c>
      <c r="B24" s="23" t="inlineStr">
        <is>
          <t>Contractor Programme</t>
        </is>
      </c>
      <c r="C24" s="23" t="inlineStr">
        <is>
          <t>SCH-03-007</t>
        </is>
      </c>
      <c r="D24" s="23" t="inlineStr">
        <is>
          <t>UNSURE</t>
        </is>
      </c>
      <c r="E24" s="23" t="inlineStr">
        <is>
          <t>Changed, re-decided</t>
        </is>
      </c>
      <c r="F24" s="23" t="inlineStr">
        <is>
          <t>'WBS Code' changed from 1.3.1 to (blank); 'WBS Code' changed from 1.3.1 to (blank); 'WBS Code' changed from 1.3.1 to (blank)</t>
        </is>
      </c>
      <c r="G24" s="23" t="inlineStr">
        <is>
          <t>Maya Chen, Owner Project Controls</t>
        </is>
      </c>
      <c r="H24" s="14" t="inlineStr">
        <is>
          <t>10 EVIDENCE &amp; DECISIONS</t>
        </is>
      </c>
    </row>
    <row r="25" ht="34" customHeight="1">
      <c r="A25" s="23" t="inlineStr">
        <is>
          <t>R1563-v3</t>
        </is>
      </c>
      <c r="B25" s="23" t="inlineStr">
        <is>
          <t>Commercial Package Register</t>
        </is>
      </c>
      <c r="C25" s="23" t="inlineStr">
        <is>
          <t>PKG-001</t>
        </is>
      </c>
      <c r="D25" s="23" t="inlineStr">
        <is>
          <t>1.1 Guideway and Civil</t>
        </is>
      </c>
      <c r="E25" s="23" t="inlineStr">
        <is>
          <t>Carried forward</t>
        </is>
      </c>
      <c r="F25" s="23" t="inlineStr"/>
      <c r="G25" s="23" t="inlineStr">
        <is>
          <t>Maya Chen, Owner Project Controls</t>
        </is>
      </c>
      <c r="H25" s="14" t="inlineStr">
        <is>
          <t>10 EVIDENCE &amp; DECISIONS</t>
        </is>
      </c>
    </row>
    <row r="26" ht="34" customHeight="1">
      <c r="A26" s="23" t="inlineStr">
        <is>
          <t>R1564-v2</t>
        </is>
      </c>
      <c r="B26" s="23" t="inlineStr">
        <is>
          <t>Commercial Package Register</t>
        </is>
      </c>
      <c r="C26" s="23" t="inlineStr">
        <is>
          <t>PKG-002</t>
        </is>
      </c>
      <c r="D26" s="23" t="inlineStr">
        <is>
          <t>1.1 Guideway and Civil</t>
        </is>
      </c>
      <c r="E26" s="23" t="inlineStr">
        <is>
          <t>Carried forward</t>
        </is>
      </c>
      <c r="F26" s="23" t="inlineStr"/>
      <c r="G26" s="23" t="inlineStr">
        <is>
          <t>Source assignment -- not individually reviewed</t>
        </is>
      </c>
      <c r="H26" s="14" t="inlineStr">
        <is>
          <t>10 EVIDENCE &amp; DECISIONS</t>
        </is>
      </c>
    </row>
    <row r="27" ht="34" customHeight="1">
      <c r="A27" s="23" t="inlineStr">
        <is>
          <t>R1565-v2</t>
        </is>
      </c>
      <c r="B27" s="23" t="inlineStr">
        <is>
          <t>Commercial Package Register</t>
        </is>
      </c>
      <c r="C27" s="23" t="inlineStr">
        <is>
          <t>PKG-003</t>
        </is>
      </c>
      <c r="D27" s="23" t="inlineStr">
        <is>
          <t>1.1 Guideway and Civil</t>
        </is>
      </c>
      <c r="E27" s="23" t="inlineStr">
        <is>
          <t>Carried forward</t>
        </is>
      </c>
      <c r="F27" s="23" t="inlineStr"/>
      <c r="G27" s="23" t="inlineStr">
        <is>
          <t>Source assignment -- not individually reviewed</t>
        </is>
      </c>
      <c r="H27" s="14" t="inlineStr">
        <is>
          <t>10 EVIDENCE &amp; DECISIONS</t>
        </is>
      </c>
    </row>
    <row r="28" ht="34" customHeight="1">
      <c r="A28" s="23" t="inlineStr">
        <is>
          <t>R1566-v2</t>
        </is>
      </c>
      <c r="B28" s="23" t="inlineStr">
        <is>
          <t>Commercial Package Register</t>
        </is>
      </c>
      <c r="C28" s="23" t="inlineStr">
        <is>
          <t>PKG-004</t>
        </is>
      </c>
      <c r="D28" s="23" t="inlineStr">
        <is>
          <t>1.1 Guideway and Civil</t>
        </is>
      </c>
      <c r="E28" s="23" t="inlineStr">
        <is>
          <t>Carried forward</t>
        </is>
      </c>
      <c r="F28" s="23" t="inlineStr"/>
      <c r="G28" s="23" t="inlineStr">
        <is>
          <t>Source assignment -- not individually reviewed</t>
        </is>
      </c>
      <c r="H28" s="14" t="inlineStr">
        <is>
          <t>10 EVIDENCE &amp; DECISIONS</t>
        </is>
      </c>
    </row>
    <row r="29" ht="34" customHeight="1">
      <c r="A29" s="23" t="inlineStr">
        <is>
          <t>R1568-v2</t>
        </is>
      </c>
      <c r="B29" s="23" t="inlineStr">
        <is>
          <t>Commercial Package Register</t>
        </is>
      </c>
      <c r="C29" s="23" t="inlineStr">
        <is>
          <t>PKG-006</t>
        </is>
      </c>
      <c r="D29" s="23" t="inlineStr">
        <is>
          <t>1.1 Guideway and Civil</t>
        </is>
      </c>
      <c r="E29" s="23" t="inlineStr">
        <is>
          <t>Carried forward</t>
        </is>
      </c>
      <c r="F29" s="23" t="inlineStr"/>
      <c r="G29" s="23" t="inlineStr">
        <is>
          <t>Source assignment -- not individually reviewed</t>
        </is>
      </c>
      <c r="H29" s="14" t="inlineStr">
        <is>
          <t>10 EVIDENCE &amp; DECISIONS</t>
        </is>
      </c>
    </row>
    <row r="30" ht="34" customHeight="1">
      <c r="A30" s="23" t="inlineStr">
        <is>
          <t>R1569-v2</t>
        </is>
      </c>
      <c r="B30" s="23" t="inlineStr">
        <is>
          <t>Commercial Package Register</t>
        </is>
      </c>
      <c r="C30" s="23" t="inlineStr">
        <is>
          <t>PKG-007</t>
        </is>
      </c>
      <c r="D30" s="23" t="inlineStr">
        <is>
          <t>1.1 Guideway and Civil</t>
        </is>
      </c>
      <c r="E30" s="23" t="inlineStr">
        <is>
          <t>Carried forward</t>
        </is>
      </c>
      <c r="F30" s="23" t="inlineStr"/>
      <c r="G30" s="23" t="inlineStr">
        <is>
          <t>Source assignment -- not individually reviewed</t>
        </is>
      </c>
      <c r="H30" s="14" t="inlineStr">
        <is>
          <t>10 EVIDENCE &amp; DECISIONS</t>
        </is>
      </c>
    </row>
    <row r="31" ht="34" customHeight="1">
      <c r="A31" s="23" t="inlineStr">
        <is>
          <t>R1570-v2</t>
        </is>
      </c>
      <c r="B31" s="23" t="inlineStr">
        <is>
          <t>Commercial Package Register</t>
        </is>
      </c>
      <c r="C31" s="23" t="inlineStr">
        <is>
          <t>PKG-008</t>
        </is>
      </c>
      <c r="D31" s="23" t="inlineStr">
        <is>
          <t>1.1 Guideway and Civil</t>
        </is>
      </c>
      <c r="E31" s="23" t="inlineStr">
        <is>
          <t>Carried forward</t>
        </is>
      </c>
      <c r="F31" s="23" t="inlineStr"/>
      <c r="G31" s="23" t="inlineStr">
        <is>
          <t>Source assignment -- not individually reviewed</t>
        </is>
      </c>
      <c r="H31" s="14" t="inlineStr">
        <is>
          <t>10 EVIDENCE &amp; DECISIONS</t>
        </is>
      </c>
    </row>
    <row r="32" ht="34" customHeight="1">
      <c r="A32" s="23" t="inlineStr">
        <is>
          <t>R1571-v2</t>
        </is>
      </c>
      <c r="B32" s="23" t="inlineStr">
        <is>
          <t>Commercial Package Register</t>
        </is>
      </c>
      <c r="C32" s="23" t="inlineStr">
        <is>
          <t>PKG-009</t>
        </is>
      </c>
      <c r="D32" s="23" t="inlineStr">
        <is>
          <t>1.1 Guideway and Civil</t>
        </is>
      </c>
      <c r="E32" s="23" t="inlineStr">
        <is>
          <t>Carried forward</t>
        </is>
      </c>
      <c r="F32" s="23" t="inlineStr"/>
      <c r="G32" s="23" t="inlineStr">
        <is>
          <t>Source assignment -- not individually reviewed</t>
        </is>
      </c>
      <c r="H32" s="14" t="inlineStr">
        <is>
          <t>10 EVIDENCE &amp; DECISIONS</t>
        </is>
      </c>
    </row>
    <row r="33" ht="34" customHeight="1">
      <c r="A33" s="23" t="inlineStr">
        <is>
          <t>R1572-v2</t>
        </is>
      </c>
      <c r="B33" s="23" t="inlineStr">
        <is>
          <t>Commercial Package Register</t>
        </is>
      </c>
      <c r="C33" s="23" t="inlineStr">
        <is>
          <t>PKG-010</t>
        </is>
      </c>
      <c r="D33" s="23" t="inlineStr">
        <is>
          <t>1.1 Guideway and Civil</t>
        </is>
      </c>
      <c r="E33" s="23" t="inlineStr">
        <is>
          <t>Carried forward</t>
        </is>
      </c>
      <c r="F33" s="23" t="inlineStr"/>
      <c r="G33" s="23" t="inlineStr">
        <is>
          <t>Source assignment -- not individually reviewed</t>
        </is>
      </c>
      <c r="H33" s="14" t="inlineStr">
        <is>
          <t>10 EVIDENCE &amp; DECISIONS</t>
        </is>
      </c>
    </row>
    <row r="34" ht="34" customHeight="1">
      <c r="A34" s="23" t="inlineStr">
        <is>
          <t>R1-v2</t>
        </is>
      </c>
      <c r="B34" s="23" t="inlineStr">
        <is>
          <t>Contractor Programme</t>
        </is>
      </c>
      <c r="C34" s="23" t="inlineStr">
        <is>
          <t>SCH-01-001</t>
        </is>
      </c>
      <c r="D34" s="23" t="inlineStr">
        <is>
          <t>1.1.1 Guideway and Civil - Guideway Structures</t>
        </is>
      </c>
      <c r="E34" s="23" t="inlineStr">
        <is>
          <t>Carried forward</t>
        </is>
      </c>
      <c r="F34" s="23" t="inlineStr"/>
      <c r="G34" s="23" t="inlineStr">
        <is>
          <t>Source assignment -- not individually reviewed</t>
        </is>
      </c>
      <c r="H34" s="14" t="inlineStr">
        <is>
          <t>10 EVIDENCE &amp; DECISIONS</t>
        </is>
      </c>
    </row>
    <row r="35" ht="34" customHeight="1">
      <c r="A35" s="23" t="inlineStr">
        <is>
          <t>R10-v2</t>
        </is>
      </c>
      <c r="B35" s="23" t="inlineStr">
        <is>
          <t>Contractor Programme</t>
        </is>
      </c>
      <c r="C35" s="23" t="inlineStr">
        <is>
          <t>SCH-01-010</t>
        </is>
      </c>
      <c r="D35" s="23" t="inlineStr">
        <is>
          <t>1.1.1 Guideway and Civil - Guideway Structures</t>
        </is>
      </c>
      <c r="E35" s="23" t="inlineStr">
        <is>
          <t>Carried forward</t>
        </is>
      </c>
      <c r="F35" s="23" t="inlineStr"/>
      <c r="G35" s="23" t="inlineStr">
        <is>
          <t>Source assignment -- not individually reviewed</t>
        </is>
      </c>
      <c r="H35" s="14" t="inlineStr">
        <is>
          <t>10 EVIDENCE &amp; DECISIONS</t>
        </is>
      </c>
    </row>
    <row r="36" ht="34" customHeight="1">
      <c r="A36" s="23" t="inlineStr">
        <is>
          <t>R100-v2</t>
        </is>
      </c>
      <c r="B36" s="23" t="inlineStr">
        <is>
          <t>Contractor Programme</t>
        </is>
      </c>
      <c r="C36" s="23" t="inlineStr">
        <is>
          <t>SCH-01-100</t>
        </is>
      </c>
      <c r="D36" s="23" t="inlineStr">
        <is>
          <t>1.1.1 Guideway and Civil - Guideway Structures</t>
        </is>
      </c>
      <c r="E36" s="23" t="inlineStr">
        <is>
          <t>Carried forward</t>
        </is>
      </c>
      <c r="F36" s="23" t="inlineStr"/>
      <c r="G36" s="23" t="inlineStr">
        <is>
          <t>Source assignment -- not individually reviewed</t>
        </is>
      </c>
      <c r="H36" s="14" t="inlineStr">
        <is>
          <t>10 EVIDENCE &amp; DECISIONS</t>
        </is>
      </c>
    </row>
    <row r="37" ht="34" customHeight="1">
      <c r="A37" s="23" t="inlineStr">
        <is>
          <t>R101-v2</t>
        </is>
      </c>
      <c r="B37" s="23" t="inlineStr">
        <is>
          <t>Contractor Programme</t>
        </is>
      </c>
      <c r="C37" s="23" t="inlineStr">
        <is>
          <t>SCH-01-101</t>
        </is>
      </c>
      <c r="D37" s="23" t="inlineStr">
        <is>
          <t>1.1.1 Guideway and Civil - Guideway Structures</t>
        </is>
      </c>
      <c r="E37" s="23" t="inlineStr">
        <is>
          <t>Carried forward</t>
        </is>
      </c>
      <c r="F37" s="23" t="inlineStr"/>
      <c r="G37" s="23" t="inlineStr">
        <is>
          <t>Source assignment -- not individually reviewed</t>
        </is>
      </c>
      <c r="H37" s="14" t="inlineStr">
        <is>
          <t>10 EVIDENCE &amp; DECISIONS</t>
        </is>
      </c>
    </row>
    <row r="38" ht="34" customHeight="1">
      <c r="A38" s="23" t="inlineStr">
        <is>
          <t>R103-v2</t>
        </is>
      </c>
      <c r="B38" s="23" t="inlineStr">
        <is>
          <t>Contractor Programme</t>
        </is>
      </c>
      <c r="C38" s="23" t="inlineStr">
        <is>
          <t>SCH-01-103</t>
        </is>
      </c>
      <c r="D38" s="23" t="inlineStr">
        <is>
          <t>1.1.1 Guideway and Civil - Guideway Structures</t>
        </is>
      </c>
      <c r="E38" s="23" t="inlineStr">
        <is>
          <t>Carried forward</t>
        </is>
      </c>
      <c r="F38" s="23" t="inlineStr"/>
      <c r="G38" s="23" t="inlineStr">
        <is>
          <t>Source assignment -- not individually reviewed</t>
        </is>
      </c>
      <c r="H38" s="14" t="inlineStr">
        <is>
          <t>10 EVIDENCE &amp; DECISIONS</t>
        </is>
      </c>
    </row>
    <row r="39" ht="34" customHeight="1">
      <c r="A39" s="23" t="inlineStr">
        <is>
          <t>R104-v2</t>
        </is>
      </c>
      <c r="B39" s="23" t="inlineStr">
        <is>
          <t>Contractor Programme</t>
        </is>
      </c>
      <c r="C39" s="23" t="inlineStr">
        <is>
          <t>SCH-01-104</t>
        </is>
      </c>
      <c r="D39" s="23" t="inlineStr">
        <is>
          <t>1.1.1 Guideway and Civil - Guideway Structures</t>
        </is>
      </c>
      <c r="E39" s="23" t="inlineStr">
        <is>
          <t>Carried forward</t>
        </is>
      </c>
      <c r="F39" s="23" t="inlineStr"/>
      <c r="G39" s="23" t="inlineStr">
        <is>
          <t>Source assignment -- not individually reviewed</t>
        </is>
      </c>
      <c r="H39" s="14" t="inlineStr">
        <is>
          <t>10 EVIDENCE &amp; DECISIONS</t>
        </is>
      </c>
    </row>
    <row r="40" ht="34" customHeight="1">
      <c r="A40" s="23" t="inlineStr">
        <is>
          <t>R106-v2</t>
        </is>
      </c>
      <c r="B40" s="23" t="inlineStr">
        <is>
          <t>Contractor Programme</t>
        </is>
      </c>
      <c r="C40" s="23" t="inlineStr">
        <is>
          <t>SCH-01-106</t>
        </is>
      </c>
      <c r="D40" s="23" t="inlineStr">
        <is>
          <t>1.1.1 Guideway and Civil - Guideway Structures</t>
        </is>
      </c>
      <c r="E40" s="23" t="inlineStr">
        <is>
          <t>Carried forward</t>
        </is>
      </c>
      <c r="F40" s="23" t="inlineStr"/>
      <c r="G40" s="23" t="inlineStr">
        <is>
          <t>Source assignment -- not individually reviewed</t>
        </is>
      </c>
      <c r="H40" s="14" t="inlineStr">
        <is>
          <t>10 EVIDENCE &amp; DECISIONS</t>
        </is>
      </c>
    </row>
    <row r="41" ht="34" customHeight="1">
      <c r="A41" s="23" t="inlineStr">
        <is>
          <t>R107-v2</t>
        </is>
      </c>
      <c r="B41" s="23" t="inlineStr">
        <is>
          <t>Contractor Programme</t>
        </is>
      </c>
      <c r="C41" s="23" t="inlineStr">
        <is>
          <t>SCH-01-107</t>
        </is>
      </c>
      <c r="D41" s="23" t="inlineStr">
        <is>
          <t>1.1.1 Guideway and Civil - Guideway Structures</t>
        </is>
      </c>
      <c r="E41" s="23" t="inlineStr">
        <is>
          <t>Carried forward</t>
        </is>
      </c>
      <c r="F41" s="23" t="inlineStr"/>
      <c r="G41" s="23" t="inlineStr">
        <is>
          <t>Source assignment -- not individually reviewed</t>
        </is>
      </c>
      <c r="H41" s="14" t="inlineStr">
        <is>
          <t>10 EVIDENCE &amp; DECISIONS</t>
        </is>
      </c>
    </row>
    <row r="42" ht="34" customHeight="1">
      <c r="A42" s="23" t="inlineStr">
        <is>
          <t>R1083-v2</t>
        </is>
      </c>
      <c r="B42" s="23" t="inlineStr">
        <is>
          <t>Cost &amp; Forecast Control Accounts</t>
        </is>
      </c>
      <c r="C42" s="23" t="inlineStr">
        <is>
          <t>CST-01-001</t>
        </is>
      </c>
      <c r="D42" s="23" t="inlineStr">
        <is>
          <t>1.1.1 Guideway and Civil - Guideway Structures</t>
        </is>
      </c>
      <c r="E42" s="23" t="inlineStr">
        <is>
          <t>Carried forward</t>
        </is>
      </c>
      <c r="F42" s="23" t="inlineStr"/>
      <c r="G42" s="23" t="inlineStr">
        <is>
          <t>Source assignment -- not individually reviewed</t>
        </is>
      </c>
      <c r="H42" s="14" t="inlineStr">
        <is>
          <t>10 EVIDENCE &amp; DECISIONS</t>
        </is>
      </c>
    </row>
    <row r="43" ht="34" customHeight="1">
      <c r="A43" s="23" t="inlineStr">
        <is>
          <t>R1089-v2</t>
        </is>
      </c>
      <c r="B43" s="23" t="inlineStr">
        <is>
          <t>Cost &amp; Forecast Control Accounts</t>
        </is>
      </c>
      <c r="C43" s="23" t="inlineStr">
        <is>
          <t>CST-01-007</t>
        </is>
      </c>
      <c r="D43" s="23" t="inlineStr">
        <is>
          <t>1.1.1 Guideway and Civil - Guideway Structures</t>
        </is>
      </c>
      <c r="E43" s="23" t="inlineStr">
        <is>
          <t>Carried forward</t>
        </is>
      </c>
      <c r="F43" s="23" t="inlineStr"/>
      <c r="G43" s="23" t="inlineStr">
        <is>
          <t>Source assignment -- not individually reviewed</t>
        </is>
      </c>
      <c r="H43" s="14" t="inlineStr">
        <is>
          <t>10 EVIDENCE &amp; DECISIONS</t>
        </is>
      </c>
    </row>
    <row r="44" ht="34" customHeight="1">
      <c r="A44" s="23" t="inlineStr">
        <is>
          <t>R109-v2</t>
        </is>
      </c>
      <c r="B44" s="23" t="inlineStr">
        <is>
          <t>Contractor Programme</t>
        </is>
      </c>
      <c r="C44" s="23" t="inlineStr">
        <is>
          <t>SCH-01-109</t>
        </is>
      </c>
      <c r="D44" s="23" t="inlineStr">
        <is>
          <t>1.1.1 Guideway and Civil - Guideway Structures</t>
        </is>
      </c>
      <c r="E44" s="23" t="inlineStr">
        <is>
          <t>Carried forward</t>
        </is>
      </c>
      <c r="F44" s="23" t="inlineStr"/>
      <c r="G44" s="23" t="inlineStr">
        <is>
          <t>Source assignment -- not individually reviewed</t>
        </is>
      </c>
      <c r="H44" s="14" t="inlineStr">
        <is>
          <t>10 EVIDENCE &amp; DECISIONS</t>
        </is>
      </c>
    </row>
    <row r="45" ht="34" customHeight="1">
      <c r="A45" s="23" t="inlineStr">
        <is>
          <t>R1091-v2</t>
        </is>
      </c>
      <c r="B45" s="23" t="inlineStr">
        <is>
          <t>Cost &amp; Forecast Control Accounts</t>
        </is>
      </c>
      <c r="C45" s="23" t="inlineStr">
        <is>
          <t>CST-01-009</t>
        </is>
      </c>
      <c r="D45" s="23" t="inlineStr">
        <is>
          <t>1.1.1 Guideway and Civil - Guideway Structures</t>
        </is>
      </c>
      <c r="E45" s="23" t="inlineStr">
        <is>
          <t>Carried forward</t>
        </is>
      </c>
      <c r="F45" s="23" t="inlineStr"/>
      <c r="G45" s="23" t="inlineStr">
        <is>
          <t>Source assignment -- not individually reviewed</t>
        </is>
      </c>
      <c r="H45" s="14" t="inlineStr">
        <is>
          <t>10 EVIDENCE &amp; DECISIONS</t>
        </is>
      </c>
    </row>
    <row r="46" ht="34" customHeight="1">
      <c r="A46" s="23" t="inlineStr">
        <is>
          <t>R1093-v2</t>
        </is>
      </c>
      <c r="B46" s="23" t="inlineStr">
        <is>
          <t>Cost &amp; Forecast Control Accounts</t>
        </is>
      </c>
      <c r="C46" s="23" t="inlineStr">
        <is>
          <t>CST-01-011</t>
        </is>
      </c>
      <c r="D46" s="23" t="inlineStr">
        <is>
          <t>1.1.1 Guideway and Civil - Guideway Structures</t>
        </is>
      </c>
      <c r="E46" s="23" t="inlineStr">
        <is>
          <t>Carried forward</t>
        </is>
      </c>
      <c r="F46" s="23" t="inlineStr"/>
      <c r="G46" s="23" t="inlineStr">
        <is>
          <t>Source assignment -- not individually reviewed</t>
        </is>
      </c>
      <c r="H46" s="14" t="inlineStr">
        <is>
          <t>10 EVIDENCE &amp; DECISIONS</t>
        </is>
      </c>
    </row>
    <row r="47" ht="34" customHeight="1">
      <c r="A47" s="23" t="inlineStr">
        <is>
          <t>R1095-v2</t>
        </is>
      </c>
      <c r="B47" s="23" t="inlineStr">
        <is>
          <t>Cost &amp; Forecast Control Accounts</t>
        </is>
      </c>
      <c r="C47" s="23" t="inlineStr">
        <is>
          <t>CST-01-013</t>
        </is>
      </c>
      <c r="D47" s="23" t="inlineStr">
        <is>
          <t>1.1.1 Guideway and Civil - Guideway Structures</t>
        </is>
      </c>
      <c r="E47" s="23" t="inlineStr">
        <is>
          <t>Carried forward</t>
        </is>
      </c>
      <c r="F47" s="23" t="inlineStr"/>
      <c r="G47" s="23" t="inlineStr">
        <is>
          <t>Source assignment -- not individually reviewed</t>
        </is>
      </c>
      <c r="H47" s="14" t="inlineStr">
        <is>
          <t>10 EVIDENCE &amp; DECISIONS</t>
        </is>
      </c>
    </row>
    <row r="48" ht="34" customHeight="1">
      <c r="A48" s="23" t="inlineStr">
        <is>
          <t>R1097-v2</t>
        </is>
      </c>
      <c r="B48" s="23" t="inlineStr">
        <is>
          <t>Cost &amp; Forecast Control Accounts</t>
        </is>
      </c>
      <c r="C48" s="23" t="inlineStr">
        <is>
          <t>CST-01-015</t>
        </is>
      </c>
      <c r="D48" s="23" t="inlineStr">
        <is>
          <t>1.1.1 Guideway and Civil - Guideway Structures</t>
        </is>
      </c>
      <c r="E48" s="23" t="inlineStr">
        <is>
          <t>Carried forward</t>
        </is>
      </c>
      <c r="F48" s="23" t="inlineStr"/>
      <c r="G48" s="23" t="inlineStr">
        <is>
          <t>Source assignment -- not individually reviewed</t>
        </is>
      </c>
      <c r="H48" s="14" t="inlineStr">
        <is>
          <t>10 EVIDENCE &amp; DECISIONS</t>
        </is>
      </c>
    </row>
    <row r="49" ht="34" customHeight="1">
      <c r="A49" s="23" t="inlineStr">
        <is>
          <t>R1099-v2</t>
        </is>
      </c>
      <c r="B49" s="23" t="inlineStr">
        <is>
          <t>Cost &amp; Forecast Control Accounts</t>
        </is>
      </c>
      <c r="C49" s="23" t="inlineStr">
        <is>
          <t>CST-01-017</t>
        </is>
      </c>
      <c r="D49" s="23" t="inlineStr">
        <is>
          <t>1.1.1 Guideway and Civil - Guideway Structures</t>
        </is>
      </c>
      <c r="E49" s="23" t="inlineStr">
        <is>
          <t>Carried forward</t>
        </is>
      </c>
      <c r="F49" s="23" t="inlineStr"/>
      <c r="G49" s="23" t="inlineStr">
        <is>
          <t>Source assignment -- not individually reviewed</t>
        </is>
      </c>
      <c r="H49" s="14" t="inlineStr">
        <is>
          <t>10 EVIDENCE &amp; DECISIONS</t>
        </is>
      </c>
    </row>
    <row r="50" ht="34" customHeight="1">
      <c r="A50" s="23" t="inlineStr">
        <is>
          <t>R11-v2</t>
        </is>
      </c>
      <c r="B50" s="23" t="inlineStr">
        <is>
          <t>Contractor Programme</t>
        </is>
      </c>
      <c r="C50" s="23" t="inlineStr">
        <is>
          <t>SCH-01-011</t>
        </is>
      </c>
      <c r="D50" s="23" t="inlineStr">
        <is>
          <t>1.1.1 Guideway and Civil - Guideway Structures</t>
        </is>
      </c>
      <c r="E50" s="23" t="inlineStr">
        <is>
          <t>Carried forward</t>
        </is>
      </c>
      <c r="F50" s="23" t="inlineStr"/>
      <c r="G50" s="23" t="inlineStr">
        <is>
          <t>Source assignment -- not individually reviewed</t>
        </is>
      </c>
      <c r="H50" s="14" t="inlineStr">
        <is>
          <t>10 EVIDENCE &amp; DECISIONS</t>
        </is>
      </c>
    </row>
    <row r="51" ht="34" customHeight="1">
      <c r="A51" s="23" t="inlineStr">
        <is>
          <t>R110-v2</t>
        </is>
      </c>
      <c r="B51" s="23" t="inlineStr">
        <is>
          <t>Contractor Programme</t>
        </is>
      </c>
      <c r="C51" s="23" t="inlineStr">
        <is>
          <t>SCH-01-110</t>
        </is>
      </c>
      <c r="D51" s="23" t="inlineStr">
        <is>
          <t>1.1.1 Guideway and Civil - Guideway Structures</t>
        </is>
      </c>
      <c r="E51" s="23" t="inlineStr">
        <is>
          <t>Carried forward</t>
        </is>
      </c>
      <c r="F51" s="23" t="inlineStr"/>
      <c r="G51" s="23" t="inlineStr">
        <is>
          <t>Source assignment -- not individually reviewed</t>
        </is>
      </c>
      <c r="H51" s="14" t="inlineStr">
        <is>
          <t>10 EVIDENCE &amp; DECISIONS</t>
        </is>
      </c>
    </row>
    <row r="52" ht="34" customHeight="1">
      <c r="A52" s="23" t="inlineStr">
        <is>
          <t>R1101-v2</t>
        </is>
      </c>
      <c r="B52" s="23" t="inlineStr">
        <is>
          <t>Cost &amp; Forecast Control Accounts</t>
        </is>
      </c>
      <c r="C52" s="23" t="inlineStr">
        <is>
          <t>CST-01-019</t>
        </is>
      </c>
      <c r="D52" s="23" t="inlineStr">
        <is>
          <t>1.1.1 Guideway and Civil - Guideway Structures</t>
        </is>
      </c>
      <c r="E52" s="23" t="inlineStr">
        <is>
          <t>Carried forward</t>
        </is>
      </c>
      <c r="F52" s="23" t="inlineStr"/>
      <c r="G52" s="23" t="inlineStr">
        <is>
          <t>Source assignment -- not individually reviewed</t>
        </is>
      </c>
      <c r="H52" s="14" t="inlineStr">
        <is>
          <t>10 EVIDENCE &amp; DECISIONS</t>
        </is>
      </c>
    </row>
    <row r="53" ht="34" customHeight="1">
      <c r="A53" s="23" t="inlineStr">
        <is>
          <t>R1103-v2</t>
        </is>
      </c>
      <c r="B53" s="23" t="inlineStr">
        <is>
          <t>Cost &amp; Forecast Control Accounts</t>
        </is>
      </c>
      <c r="C53" s="23" t="inlineStr">
        <is>
          <t>CST-01-021</t>
        </is>
      </c>
      <c r="D53" s="23" t="inlineStr">
        <is>
          <t>1.1.1 Guideway and Civil - Guideway Structures</t>
        </is>
      </c>
      <c r="E53" s="23" t="inlineStr">
        <is>
          <t>Carried forward</t>
        </is>
      </c>
      <c r="F53" s="23" t="inlineStr"/>
      <c r="G53" s="23" t="inlineStr">
        <is>
          <t>Source assignment -- not individually reviewed</t>
        </is>
      </c>
      <c r="H53" s="14" t="inlineStr">
        <is>
          <t>10 EVIDENCE &amp; DECISIONS</t>
        </is>
      </c>
    </row>
    <row r="54" ht="34" customHeight="1">
      <c r="A54" s="23" t="inlineStr">
        <is>
          <t>R1105-v2</t>
        </is>
      </c>
      <c r="B54" s="23" t="inlineStr">
        <is>
          <t>Cost &amp; Forecast Control Accounts</t>
        </is>
      </c>
      <c r="C54" s="23" t="inlineStr">
        <is>
          <t>CST-01-023</t>
        </is>
      </c>
      <c r="D54" s="23" t="inlineStr">
        <is>
          <t>1.1.1 Guideway and Civil - Guideway Structures</t>
        </is>
      </c>
      <c r="E54" s="23" t="inlineStr">
        <is>
          <t>Carried forward</t>
        </is>
      </c>
      <c r="F54" s="23" t="inlineStr"/>
      <c r="G54" s="23" t="inlineStr">
        <is>
          <t>Source assignment -- not individually reviewed</t>
        </is>
      </c>
      <c r="H54" s="14" t="inlineStr">
        <is>
          <t>10 EVIDENCE &amp; DECISIONS</t>
        </is>
      </c>
    </row>
    <row r="55" ht="34" customHeight="1">
      <c r="A55" s="23" t="inlineStr">
        <is>
          <t>R1107-v2</t>
        </is>
      </c>
      <c r="B55" s="23" t="inlineStr">
        <is>
          <t>Cost &amp; Forecast Control Accounts</t>
        </is>
      </c>
      <c r="C55" s="23" t="inlineStr">
        <is>
          <t>CST-01-025</t>
        </is>
      </c>
      <c r="D55" s="23" t="inlineStr">
        <is>
          <t>1.1.1 Guideway and Civil - Guideway Structures</t>
        </is>
      </c>
      <c r="E55" s="23" t="inlineStr">
        <is>
          <t>Carried forward</t>
        </is>
      </c>
      <c r="F55" s="23" t="inlineStr"/>
      <c r="G55" s="23" t="inlineStr">
        <is>
          <t>Source assignment -- not individually reviewed</t>
        </is>
      </c>
      <c r="H55" s="14" t="inlineStr">
        <is>
          <t>10 EVIDENCE &amp; DECISIONS</t>
        </is>
      </c>
    </row>
    <row r="56" ht="34" customHeight="1">
      <c r="A56" s="23" t="inlineStr">
        <is>
          <t>R1109-v2</t>
        </is>
      </c>
      <c r="B56" s="23" t="inlineStr">
        <is>
          <t>Cost &amp; Forecast Control Accounts</t>
        </is>
      </c>
      <c r="C56" s="23" t="inlineStr">
        <is>
          <t>CST-01-027</t>
        </is>
      </c>
      <c r="D56" s="23" t="inlineStr">
        <is>
          <t>1.1.1 Guideway and Civil - Guideway Structures</t>
        </is>
      </c>
      <c r="E56" s="23" t="inlineStr">
        <is>
          <t>Carried forward</t>
        </is>
      </c>
      <c r="F56" s="23" t="inlineStr"/>
      <c r="G56" s="23" t="inlineStr">
        <is>
          <t>Source assignment -- not individually reviewed</t>
        </is>
      </c>
      <c r="H56" s="14" t="inlineStr">
        <is>
          <t>10 EVIDENCE &amp; DECISIONS</t>
        </is>
      </c>
    </row>
    <row r="57" ht="34" customHeight="1">
      <c r="A57" s="23" t="inlineStr">
        <is>
          <t>R1111-v2</t>
        </is>
      </c>
      <c r="B57" s="23" t="inlineStr">
        <is>
          <t>Cost &amp; Forecast Control Accounts</t>
        </is>
      </c>
      <c r="C57" s="23" t="inlineStr">
        <is>
          <t>CST-01-029</t>
        </is>
      </c>
      <c r="D57" s="23" t="inlineStr">
        <is>
          <t>1.1.1 Guideway and Civil - Guideway Structures</t>
        </is>
      </c>
      <c r="E57" s="23" t="inlineStr">
        <is>
          <t>Carried forward</t>
        </is>
      </c>
      <c r="F57" s="23" t="inlineStr"/>
      <c r="G57" s="23" t="inlineStr">
        <is>
          <t>Source assignment -- not individually reviewed</t>
        </is>
      </c>
      <c r="H57" s="14" t="inlineStr">
        <is>
          <t>10 EVIDENCE &amp; DECISIONS</t>
        </is>
      </c>
    </row>
    <row r="58" ht="34" customHeight="1">
      <c r="A58" s="23" t="inlineStr">
        <is>
          <t>R1113-v2</t>
        </is>
      </c>
      <c r="B58" s="23" t="inlineStr">
        <is>
          <t>Cost &amp; Forecast Control Accounts</t>
        </is>
      </c>
      <c r="C58" s="23" t="inlineStr">
        <is>
          <t>CST-01-031</t>
        </is>
      </c>
      <c r="D58" s="23" t="inlineStr">
        <is>
          <t>1.1.1 Guideway and Civil - Guideway Structures</t>
        </is>
      </c>
      <c r="E58" s="23" t="inlineStr">
        <is>
          <t>Carried forward</t>
        </is>
      </c>
      <c r="F58" s="23" t="inlineStr"/>
      <c r="G58" s="23" t="inlineStr">
        <is>
          <t>Source assignment -- not individually reviewed</t>
        </is>
      </c>
      <c r="H58" s="14" t="inlineStr">
        <is>
          <t>10 EVIDENCE &amp; DECISIONS</t>
        </is>
      </c>
    </row>
    <row r="59" ht="34" customHeight="1">
      <c r="A59" s="23" t="inlineStr">
        <is>
          <t>R1115-v2</t>
        </is>
      </c>
      <c r="B59" s="23" t="inlineStr">
        <is>
          <t>Cost &amp; Forecast Control Accounts</t>
        </is>
      </c>
      <c r="C59" s="23" t="inlineStr">
        <is>
          <t>CST-01-033</t>
        </is>
      </c>
      <c r="D59" s="23" t="inlineStr">
        <is>
          <t>1.1.1 Guideway and Civil - Guideway Structures</t>
        </is>
      </c>
      <c r="E59" s="23" t="inlineStr">
        <is>
          <t>Carried forward</t>
        </is>
      </c>
      <c r="F59" s="23" t="inlineStr"/>
      <c r="G59" s="23" t="inlineStr">
        <is>
          <t>Source assignment -- not individually reviewed</t>
        </is>
      </c>
      <c r="H59" s="14" t="inlineStr">
        <is>
          <t>10 EVIDENCE &amp; DECISIONS</t>
        </is>
      </c>
    </row>
    <row r="60" ht="34" customHeight="1">
      <c r="A60" s="23" t="inlineStr">
        <is>
          <t>R1117-v2</t>
        </is>
      </c>
      <c r="B60" s="23" t="inlineStr">
        <is>
          <t>Cost &amp; Forecast Control Accounts</t>
        </is>
      </c>
      <c r="C60" s="23" t="inlineStr">
        <is>
          <t>CST-01-035</t>
        </is>
      </c>
      <c r="D60" s="23" t="inlineStr">
        <is>
          <t>1.1.1 Guideway and Civil - Guideway Structures</t>
        </is>
      </c>
      <c r="E60" s="23" t="inlineStr">
        <is>
          <t>Carried forward</t>
        </is>
      </c>
      <c r="F60" s="23" t="inlineStr"/>
      <c r="G60" s="23" t="inlineStr">
        <is>
          <t>Source assignment -- not individually reviewed</t>
        </is>
      </c>
      <c r="H60" s="14" t="inlineStr">
        <is>
          <t>10 EVIDENCE &amp; DECISIONS</t>
        </is>
      </c>
    </row>
    <row r="61" ht="34" customHeight="1">
      <c r="A61" s="23" t="inlineStr">
        <is>
          <t>R1119-v2</t>
        </is>
      </c>
      <c r="B61" s="23" t="inlineStr">
        <is>
          <t>Cost &amp; Forecast Control Accounts</t>
        </is>
      </c>
      <c r="C61" s="23" t="inlineStr">
        <is>
          <t>CST-01-037</t>
        </is>
      </c>
      <c r="D61" s="23" t="inlineStr">
        <is>
          <t>1.1.1 Guideway and Civil - Guideway Structures</t>
        </is>
      </c>
      <c r="E61" s="23" t="inlineStr">
        <is>
          <t>Carried forward</t>
        </is>
      </c>
      <c r="F61" s="23" t="inlineStr"/>
      <c r="G61" s="23" t="inlineStr">
        <is>
          <t>Source assignment -- not individually reviewed</t>
        </is>
      </c>
      <c r="H61" s="14" t="inlineStr">
        <is>
          <t>10 EVIDENCE &amp; DECISIONS</t>
        </is>
      </c>
    </row>
    <row r="62" ht="34" customHeight="1">
      <c r="A62" s="23" t="inlineStr">
        <is>
          <t>R112-v2</t>
        </is>
      </c>
      <c r="B62" s="23" t="inlineStr">
        <is>
          <t>Contractor Programme</t>
        </is>
      </c>
      <c r="C62" s="23" t="inlineStr">
        <is>
          <t>SCH-01-112</t>
        </is>
      </c>
      <c r="D62" s="23" t="inlineStr">
        <is>
          <t>1.1.1 Guideway and Civil - Guideway Structures</t>
        </is>
      </c>
      <c r="E62" s="23" t="inlineStr">
        <is>
          <t>Carried forward</t>
        </is>
      </c>
      <c r="F62" s="23" t="inlineStr"/>
      <c r="G62" s="23" t="inlineStr">
        <is>
          <t>Source assignment -- not individually reviewed</t>
        </is>
      </c>
      <c r="H62" s="14" t="inlineStr">
        <is>
          <t>10 EVIDENCE &amp; DECISIONS</t>
        </is>
      </c>
    </row>
    <row r="63" ht="34" customHeight="1">
      <c r="A63" s="23" t="inlineStr">
        <is>
          <t>R1121-v2</t>
        </is>
      </c>
      <c r="B63" s="23" t="inlineStr">
        <is>
          <t>Cost &amp; Forecast Control Accounts</t>
        </is>
      </c>
      <c r="C63" s="23" t="inlineStr">
        <is>
          <t>CST-01-039</t>
        </is>
      </c>
      <c r="D63" s="23" t="inlineStr">
        <is>
          <t>1.1.1 Guideway and Civil - Guideway Structures</t>
        </is>
      </c>
      <c r="E63" s="23" t="inlineStr">
        <is>
          <t>Carried forward</t>
        </is>
      </c>
      <c r="F63" s="23" t="inlineStr"/>
      <c r="G63" s="23" t="inlineStr">
        <is>
          <t>Source assignment -- not individually reviewed</t>
        </is>
      </c>
      <c r="H63" s="14" t="inlineStr">
        <is>
          <t>10 EVIDENCE &amp; DECISIONS</t>
        </is>
      </c>
    </row>
    <row r="64" ht="34" customHeight="1">
      <c r="A64" s="23" t="inlineStr">
        <is>
          <t>R1123-v2</t>
        </is>
      </c>
      <c r="B64" s="23" t="inlineStr">
        <is>
          <t>Cost &amp; Forecast Control Accounts</t>
        </is>
      </c>
      <c r="C64" s="23" t="inlineStr">
        <is>
          <t>CST-01-041</t>
        </is>
      </c>
      <c r="D64" s="23" t="inlineStr">
        <is>
          <t>1.1.1 Guideway and Civil - Guideway Structures</t>
        </is>
      </c>
      <c r="E64" s="23" t="inlineStr">
        <is>
          <t>Carried forward</t>
        </is>
      </c>
      <c r="F64" s="23" t="inlineStr"/>
      <c r="G64" s="23" t="inlineStr">
        <is>
          <t>Source assignment -- not individually reviewed</t>
        </is>
      </c>
      <c r="H64" s="14" t="inlineStr">
        <is>
          <t>10 EVIDENCE &amp; DECISIONS</t>
        </is>
      </c>
    </row>
    <row r="65" ht="34" customHeight="1">
      <c r="A65" s="23" t="inlineStr">
        <is>
          <t>R1125-v2</t>
        </is>
      </c>
      <c r="B65" s="23" t="inlineStr">
        <is>
          <t>Cost &amp; Forecast Control Accounts</t>
        </is>
      </c>
      <c r="C65" s="23" t="inlineStr">
        <is>
          <t>CST-01-043</t>
        </is>
      </c>
      <c r="D65" s="23" t="inlineStr">
        <is>
          <t>1.1.1 Guideway and Civil - Guideway Structures</t>
        </is>
      </c>
      <c r="E65" s="23" t="inlineStr">
        <is>
          <t>Carried forward</t>
        </is>
      </c>
      <c r="F65" s="23" t="inlineStr"/>
      <c r="G65" s="23" t="inlineStr">
        <is>
          <t>Source assignment -- not individually reviewed</t>
        </is>
      </c>
      <c r="H65" s="14" t="inlineStr">
        <is>
          <t>10 EVIDENCE &amp; DECISIONS</t>
        </is>
      </c>
    </row>
    <row r="66" ht="34" customHeight="1">
      <c r="A66" s="23" t="inlineStr">
        <is>
          <t>R1127-v2</t>
        </is>
      </c>
      <c r="B66" s="23" t="inlineStr">
        <is>
          <t>Cost &amp; Forecast Control Accounts</t>
        </is>
      </c>
      <c r="C66" s="23" t="inlineStr">
        <is>
          <t>CST-01-045</t>
        </is>
      </c>
      <c r="D66" s="23" t="inlineStr">
        <is>
          <t>1.1.1 Guideway and Civil - Guideway Structures</t>
        </is>
      </c>
      <c r="E66" s="23" t="inlineStr">
        <is>
          <t>Carried forward</t>
        </is>
      </c>
      <c r="F66" s="23" t="inlineStr"/>
      <c r="G66" s="23" t="inlineStr">
        <is>
          <t>Source assignment -- not individually reviewed</t>
        </is>
      </c>
      <c r="H66" s="14" t="inlineStr">
        <is>
          <t>10 EVIDENCE &amp; DECISIONS</t>
        </is>
      </c>
    </row>
    <row r="67" ht="34" customHeight="1">
      <c r="A67" s="23" t="inlineStr">
        <is>
          <t>R1129-v2</t>
        </is>
      </c>
      <c r="B67" s="23" t="inlineStr">
        <is>
          <t>Cost &amp; Forecast Control Accounts</t>
        </is>
      </c>
      <c r="C67" s="23" t="inlineStr">
        <is>
          <t>CST-01-047</t>
        </is>
      </c>
      <c r="D67" s="23" t="inlineStr">
        <is>
          <t>1.1.1 Guideway and Civil - Guideway Structures</t>
        </is>
      </c>
      <c r="E67" s="23" t="inlineStr">
        <is>
          <t>Carried forward</t>
        </is>
      </c>
      <c r="F67" s="23" t="inlineStr"/>
      <c r="G67" s="23" t="inlineStr">
        <is>
          <t>Source assignment -- not individually reviewed</t>
        </is>
      </c>
      <c r="H67" s="14" t="inlineStr">
        <is>
          <t>10 EVIDENCE &amp; DECISIONS</t>
        </is>
      </c>
    </row>
    <row r="68" ht="34" customHeight="1">
      <c r="A68" s="23" t="inlineStr">
        <is>
          <t>R113-v2</t>
        </is>
      </c>
      <c r="B68" s="23" t="inlineStr">
        <is>
          <t>Contractor Programme</t>
        </is>
      </c>
      <c r="C68" s="23" t="inlineStr">
        <is>
          <t>SCH-01-113</t>
        </is>
      </c>
      <c r="D68" s="23" t="inlineStr">
        <is>
          <t>1.1.1 Guideway and Civil - Guideway Structures</t>
        </is>
      </c>
      <c r="E68" s="23" t="inlineStr">
        <is>
          <t>Carried forward</t>
        </is>
      </c>
      <c r="F68" s="23" t="inlineStr"/>
      <c r="G68" s="23" t="inlineStr">
        <is>
          <t>Source assignment -- not individually reviewed</t>
        </is>
      </c>
      <c r="H68" s="14" t="inlineStr">
        <is>
          <t>10 EVIDENCE &amp; DECISIONS</t>
        </is>
      </c>
    </row>
    <row r="69" ht="34" customHeight="1">
      <c r="A69" s="23" t="inlineStr">
        <is>
          <t>R1131-v2</t>
        </is>
      </c>
      <c r="B69" s="23" t="inlineStr">
        <is>
          <t>Cost &amp; Forecast Control Accounts</t>
        </is>
      </c>
      <c r="C69" s="23" t="inlineStr">
        <is>
          <t>CST-01-049</t>
        </is>
      </c>
      <c r="D69" s="23" t="inlineStr">
        <is>
          <t>1.1.1 Guideway and Civil - Guideway Structures</t>
        </is>
      </c>
      <c r="E69" s="23" t="inlineStr">
        <is>
          <t>Carried forward</t>
        </is>
      </c>
      <c r="F69" s="23" t="inlineStr"/>
      <c r="G69" s="23" t="inlineStr">
        <is>
          <t>Source assignment -- not individually reviewed</t>
        </is>
      </c>
      <c r="H69" s="14" t="inlineStr">
        <is>
          <t>10 EVIDENCE &amp; DECISIONS</t>
        </is>
      </c>
    </row>
    <row r="70" ht="34" customHeight="1">
      <c r="A70" s="23" t="inlineStr">
        <is>
          <t>R1133-v2</t>
        </is>
      </c>
      <c r="B70" s="23" t="inlineStr">
        <is>
          <t>Cost &amp; Forecast Control Accounts</t>
        </is>
      </c>
      <c r="C70" s="23" t="inlineStr">
        <is>
          <t>CST-01-051</t>
        </is>
      </c>
      <c r="D70" s="23" t="inlineStr">
        <is>
          <t>1.1.1 Guideway and Civil - Guideway Structures</t>
        </is>
      </c>
      <c r="E70" s="23" t="inlineStr">
        <is>
          <t>Carried forward</t>
        </is>
      </c>
      <c r="F70" s="23" t="inlineStr"/>
      <c r="G70" s="23" t="inlineStr">
        <is>
          <t>Source assignment -- not individually reviewed</t>
        </is>
      </c>
      <c r="H70" s="14" t="inlineStr">
        <is>
          <t>10 EVIDENCE &amp; DECISIONS</t>
        </is>
      </c>
    </row>
    <row r="71" ht="34" customHeight="1">
      <c r="A71" s="23" t="inlineStr">
        <is>
          <t>R1135-v2</t>
        </is>
      </c>
      <c r="B71" s="23" t="inlineStr">
        <is>
          <t>Cost &amp; Forecast Control Accounts</t>
        </is>
      </c>
      <c r="C71" s="23" t="inlineStr">
        <is>
          <t>CST-01-053</t>
        </is>
      </c>
      <c r="D71" s="23" t="inlineStr">
        <is>
          <t>1.1.1 Guideway and Civil - Guideway Structures</t>
        </is>
      </c>
      <c r="E71" s="23" t="inlineStr">
        <is>
          <t>Carried forward</t>
        </is>
      </c>
      <c r="F71" s="23" t="inlineStr"/>
      <c r="G71" s="23" t="inlineStr">
        <is>
          <t>Source assignment -- not individually reviewed</t>
        </is>
      </c>
      <c r="H71" s="14" t="inlineStr">
        <is>
          <t>10 EVIDENCE &amp; DECISIONS</t>
        </is>
      </c>
    </row>
    <row r="72" ht="34" customHeight="1">
      <c r="A72" s="23" t="inlineStr">
        <is>
          <t>R1137-v2</t>
        </is>
      </c>
      <c r="B72" s="23" t="inlineStr">
        <is>
          <t>Cost &amp; Forecast Control Accounts</t>
        </is>
      </c>
      <c r="C72" s="23" t="inlineStr">
        <is>
          <t>CST-01-055</t>
        </is>
      </c>
      <c r="D72" s="23" t="inlineStr">
        <is>
          <t>1.1.1 Guideway and Civil - Guideway Structures</t>
        </is>
      </c>
      <c r="E72" s="23" t="inlineStr">
        <is>
          <t>Carried forward</t>
        </is>
      </c>
      <c r="F72" s="23" t="inlineStr"/>
      <c r="G72" s="23" t="inlineStr">
        <is>
          <t>Source assignment -- not individually reviewed</t>
        </is>
      </c>
      <c r="H72" s="14" t="inlineStr">
        <is>
          <t>10 EVIDENCE &amp; DECISIONS</t>
        </is>
      </c>
    </row>
    <row r="73" ht="34" customHeight="1">
      <c r="A73" s="23" t="inlineStr">
        <is>
          <t>R1139-v2</t>
        </is>
      </c>
      <c r="B73" s="23" t="inlineStr">
        <is>
          <t>Cost &amp; Forecast Control Accounts</t>
        </is>
      </c>
      <c r="C73" s="23" t="inlineStr">
        <is>
          <t>CST-01-057</t>
        </is>
      </c>
      <c r="D73" s="23" t="inlineStr">
        <is>
          <t>1.1.1 Guideway and Civil - Guideway Structures</t>
        </is>
      </c>
      <c r="E73" s="23" t="inlineStr">
        <is>
          <t>Carried forward</t>
        </is>
      </c>
      <c r="F73" s="23" t="inlineStr"/>
      <c r="G73" s="23" t="inlineStr">
        <is>
          <t>Source assignment -- not individually reviewed</t>
        </is>
      </c>
      <c r="H73" s="14" t="inlineStr">
        <is>
          <t>10 EVIDENCE &amp; DECISIONS</t>
        </is>
      </c>
    </row>
    <row r="74" ht="34" customHeight="1">
      <c r="A74" s="23" t="inlineStr">
        <is>
          <t>R1141-v2</t>
        </is>
      </c>
      <c r="B74" s="23" t="inlineStr">
        <is>
          <t>Cost &amp; Forecast Control Accounts</t>
        </is>
      </c>
      <c r="C74" s="23" t="inlineStr">
        <is>
          <t>CST-01-059</t>
        </is>
      </c>
      <c r="D74" s="23" t="inlineStr">
        <is>
          <t>1.1.1 Guideway and Civil - Guideway Structures</t>
        </is>
      </c>
      <c r="E74" s="23" t="inlineStr">
        <is>
          <t>Carried forward</t>
        </is>
      </c>
      <c r="F74" s="23" t="inlineStr"/>
      <c r="G74" s="23" t="inlineStr">
        <is>
          <t>Source assignment -- not individually reviewed</t>
        </is>
      </c>
      <c r="H74" s="14" t="inlineStr">
        <is>
          <t>10 EVIDENCE &amp; DECISIONS</t>
        </is>
      </c>
    </row>
    <row r="75" ht="34" customHeight="1">
      <c r="A75" s="23" t="inlineStr">
        <is>
          <t>R1143-v2</t>
        </is>
      </c>
      <c r="B75" s="23" t="inlineStr">
        <is>
          <t>Cost &amp; Forecast Control Accounts</t>
        </is>
      </c>
      <c r="C75" s="23" t="inlineStr">
        <is>
          <t>CST-01-061</t>
        </is>
      </c>
      <c r="D75" s="23" t="inlineStr">
        <is>
          <t>1.1.1 Guideway and Civil - Guideway Structures</t>
        </is>
      </c>
      <c r="E75" s="23" t="inlineStr">
        <is>
          <t>Carried forward</t>
        </is>
      </c>
      <c r="F75" s="23" t="inlineStr"/>
      <c r="G75" s="23" t="inlineStr">
        <is>
          <t>Source assignment -- not individually reviewed</t>
        </is>
      </c>
      <c r="H75" s="14" t="inlineStr">
        <is>
          <t>10 EVIDENCE &amp; DECISIONS</t>
        </is>
      </c>
    </row>
    <row r="76" ht="34" customHeight="1">
      <c r="A76" s="23" t="inlineStr">
        <is>
          <t>R1145-v2</t>
        </is>
      </c>
      <c r="B76" s="23" t="inlineStr">
        <is>
          <t>Cost &amp; Forecast Control Accounts</t>
        </is>
      </c>
      <c r="C76" s="23" t="inlineStr">
        <is>
          <t>CST-01-063</t>
        </is>
      </c>
      <c r="D76" s="23" t="inlineStr">
        <is>
          <t>1.1.1 Guideway and Civil - Guideway Structures</t>
        </is>
      </c>
      <c r="E76" s="23" t="inlineStr">
        <is>
          <t>Carried forward</t>
        </is>
      </c>
      <c r="F76" s="23" t="inlineStr"/>
      <c r="G76" s="23" t="inlineStr">
        <is>
          <t>Source assignment -- not individually reviewed</t>
        </is>
      </c>
      <c r="H76" s="14" t="inlineStr">
        <is>
          <t>10 EVIDENCE &amp; DECISIONS</t>
        </is>
      </c>
    </row>
    <row r="77" ht="34" customHeight="1">
      <c r="A77" s="23" t="inlineStr">
        <is>
          <t>R1147-v2</t>
        </is>
      </c>
      <c r="B77" s="23" t="inlineStr">
        <is>
          <t>Cost &amp; Forecast Control Accounts</t>
        </is>
      </c>
      <c r="C77" s="23" t="inlineStr">
        <is>
          <t>CST-01-065</t>
        </is>
      </c>
      <c r="D77" s="23" t="inlineStr">
        <is>
          <t>1.1.1 Guideway and Civil - Guideway Structures</t>
        </is>
      </c>
      <c r="E77" s="23" t="inlineStr">
        <is>
          <t>Carried forward</t>
        </is>
      </c>
      <c r="F77" s="23" t="inlineStr"/>
      <c r="G77" s="23" t="inlineStr">
        <is>
          <t>Source assignment -- not individually reviewed</t>
        </is>
      </c>
      <c r="H77" s="14" t="inlineStr">
        <is>
          <t>10 EVIDENCE &amp; DECISIONS</t>
        </is>
      </c>
    </row>
    <row r="78" ht="34" customHeight="1">
      <c r="A78" s="23" t="inlineStr">
        <is>
          <t>R1149-v2</t>
        </is>
      </c>
      <c r="B78" s="23" t="inlineStr">
        <is>
          <t>Cost &amp; Forecast Control Accounts</t>
        </is>
      </c>
      <c r="C78" s="23" t="inlineStr">
        <is>
          <t>CST-01-067</t>
        </is>
      </c>
      <c r="D78" s="23" t="inlineStr">
        <is>
          <t>1.1.1 Guideway and Civil - Guideway Structures</t>
        </is>
      </c>
      <c r="E78" s="23" t="inlineStr">
        <is>
          <t>Carried forward</t>
        </is>
      </c>
      <c r="F78" s="23" t="inlineStr"/>
      <c r="G78" s="23" t="inlineStr">
        <is>
          <t>Source assignment -- not individually reviewed</t>
        </is>
      </c>
      <c r="H78" s="14" t="inlineStr">
        <is>
          <t>10 EVIDENCE &amp; DECISIONS</t>
        </is>
      </c>
    </row>
    <row r="79" ht="34" customHeight="1">
      <c r="A79" s="23" t="inlineStr">
        <is>
          <t>R115-v2</t>
        </is>
      </c>
      <c r="B79" s="23" t="inlineStr">
        <is>
          <t>Contractor Programme</t>
        </is>
      </c>
      <c r="C79" s="23" t="inlineStr">
        <is>
          <t>SCH-01-115</t>
        </is>
      </c>
      <c r="D79" s="23" t="inlineStr">
        <is>
          <t>1.1.1 Guideway and Civil - Guideway Structures</t>
        </is>
      </c>
      <c r="E79" s="23" t="inlineStr">
        <is>
          <t>Carried forward</t>
        </is>
      </c>
      <c r="F79" s="23" t="inlineStr"/>
      <c r="G79" s="23" t="inlineStr">
        <is>
          <t>Source assignment -- not individually reviewed</t>
        </is>
      </c>
      <c r="H79" s="14" t="inlineStr">
        <is>
          <t>10 EVIDENCE &amp; DECISIONS</t>
        </is>
      </c>
    </row>
    <row r="80" ht="34" customHeight="1">
      <c r="A80" s="23" t="inlineStr">
        <is>
          <t>R1151-v2</t>
        </is>
      </c>
      <c r="B80" s="23" t="inlineStr">
        <is>
          <t>Cost &amp; Forecast Control Accounts</t>
        </is>
      </c>
      <c r="C80" s="23" t="inlineStr">
        <is>
          <t>CST-01-069</t>
        </is>
      </c>
      <c r="D80" s="23" t="inlineStr">
        <is>
          <t>1.1.1 Guideway and Civil - Guideway Structures</t>
        </is>
      </c>
      <c r="E80" s="23" t="inlineStr">
        <is>
          <t>Carried forward</t>
        </is>
      </c>
      <c r="F80" s="23" t="inlineStr"/>
      <c r="G80" s="23" t="inlineStr">
        <is>
          <t>Source assignment -- not individually reviewed</t>
        </is>
      </c>
      <c r="H80" s="14" t="inlineStr">
        <is>
          <t>10 EVIDENCE &amp; DECISIONS</t>
        </is>
      </c>
    </row>
    <row r="81" ht="34" customHeight="1">
      <c r="A81" s="23" t="inlineStr">
        <is>
          <t>R1153-v2</t>
        </is>
      </c>
      <c r="B81" s="23" t="inlineStr">
        <is>
          <t>Cost &amp; Forecast Control Accounts</t>
        </is>
      </c>
      <c r="C81" s="23" t="inlineStr">
        <is>
          <t>CST-01-071</t>
        </is>
      </c>
      <c r="D81" s="23" t="inlineStr">
        <is>
          <t>1.1.1 Guideway and Civil - Guideway Structures</t>
        </is>
      </c>
      <c r="E81" s="23" t="inlineStr">
        <is>
          <t>Carried forward</t>
        </is>
      </c>
      <c r="F81" s="23" t="inlineStr"/>
      <c r="G81" s="23" t="inlineStr">
        <is>
          <t>Source assignment -- not individually reviewed</t>
        </is>
      </c>
      <c r="H81" s="14" t="inlineStr">
        <is>
          <t>10 EVIDENCE &amp; DECISIONS</t>
        </is>
      </c>
    </row>
    <row r="82" ht="34" customHeight="1">
      <c r="A82" s="23" t="inlineStr">
        <is>
          <t>R1155-v2</t>
        </is>
      </c>
      <c r="B82" s="23" t="inlineStr">
        <is>
          <t>Cost &amp; Forecast Control Accounts</t>
        </is>
      </c>
      <c r="C82" s="23" t="inlineStr">
        <is>
          <t>CST-01-073</t>
        </is>
      </c>
      <c r="D82" s="23" t="inlineStr">
        <is>
          <t>1.1.1 Guideway and Civil - Guideway Structures</t>
        </is>
      </c>
      <c r="E82" s="23" t="inlineStr">
        <is>
          <t>Carried forward</t>
        </is>
      </c>
      <c r="F82" s="23" t="inlineStr"/>
      <c r="G82" s="23" t="inlineStr">
        <is>
          <t>Source assignment -- not individually reviewed</t>
        </is>
      </c>
      <c r="H82" s="14" t="inlineStr">
        <is>
          <t>10 EVIDENCE &amp; DECISIONS</t>
        </is>
      </c>
    </row>
    <row r="83" ht="34" customHeight="1">
      <c r="A83" s="23" t="inlineStr">
        <is>
          <t>R1157-v2</t>
        </is>
      </c>
      <c r="B83" s="23" t="inlineStr">
        <is>
          <t>Cost &amp; Forecast Control Accounts</t>
        </is>
      </c>
      <c r="C83" s="23" t="inlineStr">
        <is>
          <t>CST-01-075</t>
        </is>
      </c>
      <c r="D83" s="23" t="inlineStr">
        <is>
          <t>1.1.1 Guideway and Civil - Guideway Structures</t>
        </is>
      </c>
      <c r="E83" s="23" t="inlineStr">
        <is>
          <t>Carried forward</t>
        </is>
      </c>
      <c r="F83" s="23" t="inlineStr"/>
      <c r="G83" s="23" t="inlineStr">
        <is>
          <t>Source assignment -- not individually reviewed</t>
        </is>
      </c>
      <c r="H83" s="14" t="inlineStr">
        <is>
          <t>10 EVIDENCE &amp; DECISIONS</t>
        </is>
      </c>
    </row>
    <row r="84" ht="34" customHeight="1">
      <c r="A84" s="23" t="inlineStr">
        <is>
          <t>R1159-v2</t>
        </is>
      </c>
      <c r="B84" s="23" t="inlineStr">
        <is>
          <t>Cost &amp; Forecast Control Accounts</t>
        </is>
      </c>
      <c r="C84" s="23" t="inlineStr">
        <is>
          <t>CST-01-077</t>
        </is>
      </c>
      <c r="D84" s="23" t="inlineStr">
        <is>
          <t>1.1.1 Guideway and Civil - Guideway Structures</t>
        </is>
      </c>
      <c r="E84" s="23" t="inlineStr">
        <is>
          <t>Carried forward</t>
        </is>
      </c>
      <c r="F84" s="23" t="inlineStr"/>
      <c r="G84" s="23" t="inlineStr">
        <is>
          <t>Source assignment -- not individually reviewed</t>
        </is>
      </c>
      <c r="H84" s="14" t="inlineStr">
        <is>
          <t>10 EVIDENCE &amp; DECISIONS</t>
        </is>
      </c>
    </row>
    <row r="85" ht="34" customHeight="1">
      <c r="A85" s="23" t="inlineStr">
        <is>
          <t>R116-v2</t>
        </is>
      </c>
      <c r="B85" s="23" t="inlineStr">
        <is>
          <t>Contractor Programme</t>
        </is>
      </c>
      <c r="C85" s="23" t="inlineStr">
        <is>
          <t>SCH-01-116</t>
        </is>
      </c>
      <c r="D85" s="23" t="inlineStr">
        <is>
          <t>1.1.1 Guideway and Civil - Guideway Structures</t>
        </is>
      </c>
      <c r="E85" s="23" t="inlineStr">
        <is>
          <t>Carried forward</t>
        </is>
      </c>
      <c r="F85" s="23" t="inlineStr"/>
      <c r="G85" s="23" t="inlineStr">
        <is>
          <t>Source assignment -- not individually reviewed</t>
        </is>
      </c>
      <c r="H85" s="14" t="inlineStr">
        <is>
          <t>10 EVIDENCE &amp; DECISIONS</t>
        </is>
      </c>
    </row>
    <row r="86" ht="34" customHeight="1">
      <c r="A86" s="23" t="inlineStr">
        <is>
          <t>R1161-v2</t>
        </is>
      </c>
      <c r="B86" s="23" t="inlineStr">
        <is>
          <t>Cost &amp; Forecast Control Accounts</t>
        </is>
      </c>
      <c r="C86" s="23" t="inlineStr">
        <is>
          <t>CST-01-079</t>
        </is>
      </c>
      <c r="D86" s="23" t="inlineStr">
        <is>
          <t>1.1.1 Guideway and Civil - Guideway Structures</t>
        </is>
      </c>
      <c r="E86" s="23" t="inlineStr">
        <is>
          <t>Carried forward</t>
        </is>
      </c>
      <c r="F86" s="23" t="inlineStr"/>
      <c r="G86" s="23" t="inlineStr">
        <is>
          <t>Source assignment -- not individually reviewed</t>
        </is>
      </c>
      <c r="H86" s="14" t="inlineStr">
        <is>
          <t>10 EVIDENCE &amp; DECISIONS</t>
        </is>
      </c>
    </row>
    <row r="87" ht="34" customHeight="1">
      <c r="A87" s="23" t="inlineStr">
        <is>
          <t>R118-v2</t>
        </is>
      </c>
      <c r="B87" s="23" t="inlineStr">
        <is>
          <t>Contractor Programme</t>
        </is>
      </c>
      <c r="C87" s="23" t="inlineStr">
        <is>
          <t>SCH-01-118</t>
        </is>
      </c>
      <c r="D87" s="23" t="inlineStr">
        <is>
          <t>1.1.1 Guideway and Civil - Guideway Structures</t>
        </is>
      </c>
      <c r="E87" s="23" t="inlineStr">
        <is>
          <t>Carried forward</t>
        </is>
      </c>
      <c r="F87" s="23" t="inlineStr"/>
      <c r="G87" s="23" t="inlineStr">
        <is>
          <t>Source assignment -- not individually reviewed</t>
        </is>
      </c>
      <c r="H87" s="14" t="inlineStr">
        <is>
          <t>10 EVIDENCE &amp; DECISIONS</t>
        </is>
      </c>
    </row>
    <row r="88" ht="34" customHeight="1">
      <c r="A88" s="23" t="inlineStr">
        <is>
          <t>R119-v2</t>
        </is>
      </c>
      <c r="B88" s="23" t="inlineStr">
        <is>
          <t>Contractor Programme</t>
        </is>
      </c>
      <c r="C88" s="23" t="inlineStr">
        <is>
          <t>SCH-01-119</t>
        </is>
      </c>
      <c r="D88" s="23" t="inlineStr">
        <is>
          <t>1.1.1 Guideway and Civil - Guideway Structures</t>
        </is>
      </c>
      <c r="E88" s="23" t="inlineStr">
        <is>
          <t>Carried forward</t>
        </is>
      </c>
      <c r="F88" s="23" t="inlineStr"/>
      <c r="G88" s="23" t="inlineStr">
        <is>
          <t>Source assignment -- not individually reviewed</t>
        </is>
      </c>
      <c r="H88" s="14" t="inlineStr">
        <is>
          <t>10 EVIDENCE &amp; DECISIONS</t>
        </is>
      </c>
    </row>
    <row r="89" ht="34" customHeight="1">
      <c r="A89" s="23" t="inlineStr">
        <is>
          <t>R121-v2</t>
        </is>
      </c>
      <c r="B89" s="23" t="inlineStr">
        <is>
          <t>Contractor Programme</t>
        </is>
      </c>
      <c r="C89" s="23" t="inlineStr">
        <is>
          <t>SCH-01-121</t>
        </is>
      </c>
      <c r="D89" s="23" t="inlineStr">
        <is>
          <t>1.1.1 Guideway and Civil - Guideway Structures</t>
        </is>
      </c>
      <c r="E89" s="23" t="inlineStr">
        <is>
          <t>Carried forward</t>
        </is>
      </c>
      <c r="F89" s="23" t="inlineStr"/>
      <c r="G89" s="23" t="inlineStr">
        <is>
          <t>Source assignment -- not individually reviewed</t>
        </is>
      </c>
      <c r="H89" s="14" t="inlineStr">
        <is>
          <t>10 EVIDENCE &amp; DECISIONS</t>
        </is>
      </c>
    </row>
    <row r="90" ht="34" customHeight="1">
      <c r="A90" s="23" t="inlineStr">
        <is>
          <t>R122-v2</t>
        </is>
      </c>
      <c r="B90" s="23" t="inlineStr">
        <is>
          <t>Contractor Programme</t>
        </is>
      </c>
      <c r="C90" s="23" t="inlineStr">
        <is>
          <t>SCH-01-122</t>
        </is>
      </c>
      <c r="D90" s="23" t="inlineStr">
        <is>
          <t>1.1.1 Guideway and Civil - Guideway Structures</t>
        </is>
      </c>
      <c r="E90" s="23" t="inlineStr">
        <is>
          <t>Carried forward</t>
        </is>
      </c>
      <c r="F90" s="23" t="inlineStr"/>
      <c r="G90" s="23" t="inlineStr">
        <is>
          <t>Source assignment -- not individually reviewed</t>
        </is>
      </c>
      <c r="H90" s="14" t="inlineStr">
        <is>
          <t>10 EVIDENCE &amp; DECISIONS</t>
        </is>
      </c>
    </row>
    <row r="91" ht="34" customHeight="1">
      <c r="A91" s="23" t="inlineStr">
        <is>
          <t>R124-v2</t>
        </is>
      </c>
      <c r="B91" s="23" t="inlineStr">
        <is>
          <t>Contractor Programme</t>
        </is>
      </c>
      <c r="C91" s="23" t="inlineStr">
        <is>
          <t>SCH-01-124</t>
        </is>
      </c>
      <c r="D91" s="23" t="inlineStr">
        <is>
          <t>1.1.1 Guideway and Civil - Guideway Structures</t>
        </is>
      </c>
      <c r="E91" s="23" t="inlineStr">
        <is>
          <t>Carried forward</t>
        </is>
      </c>
      <c r="F91" s="23" t="inlineStr"/>
      <c r="G91" s="23" t="inlineStr">
        <is>
          <t>Source assignment -- not individually reviewed</t>
        </is>
      </c>
      <c r="H91" s="14" t="inlineStr">
        <is>
          <t>10 EVIDENCE &amp; DECISIONS</t>
        </is>
      </c>
    </row>
    <row r="92" ht="34" customHeight="1">
      <c r="A92" s="23" t="inlineStr">
        <is>
          <t>R125-v2</t>
        </is>
      </c>
      <c r="B92" s="23" t="inlineStr">
        <is>
          <t>Contractor Programme</t>
        </is>
      </c>
      <c r="C92" s="23" t="inlineStr">
        <is>
          <t>SCH-01-125</t>
        </is>
      </c>
      <c r="D92" s="23" t="inlineStr">
        <is>
          <t>1.1.1 Guideway and Civil - Guideway Structures</t>
        </is>
      </c>
      <c r="E92" s="23" t="inlineStr">
        <is>
          <t>Carried forward</t>
        </is>
      </c>
      <c r="F92" s="23" t="inlineStr"/>
      <c r="G92" s="23" t="inlineStr">
        <is>
          <t>Source assignment -- not individually reviewed</t>
        </is>
      </c>
      <c r="H92" s="14" t="inlineStr">
        <is>
          <t>10 EVIDENCE &amp; DECISIONS</t>
        </is>
      </c>
    </row>
    <row r="93" ht="34" customHeight="1">
      <c r="A93" s="23" t="inlineStr">
        <is>
          <t>R127-v2</t>
        </is>
      </c>
      <c r="B93" s="23" t="inlineStr">
        <is>
          <t>Contractor Programme</t>
        </is>
      </c>
      <c r="C93" s="23" t="inlineStr">
        <is>
          <t>SCH-01-127</t>
        </is>
      </c>
      <c r="D93" s="23" t="inlineStr">
        <is>
          <t>1.1.1 Guideway and Civil - Guideway Structures</t>
        </is>
      </c>
      <c r="E93" s="23" t="inlineStr">
        <is>
          <t>Carried forward</t>
        </is>
      </c>
      <c r="F93" s="23" t="inlineStr"/>
      <c r="G93" s="23" t="inlineStr">
        <is>
          <t>Source assignment -- not individually reviewed</t>
        </is>
      </c>
      <c r="H93" s="14" t="inlineStr">
        <is>
          <t>10 EVIDENCE &amp; DECISIONS</t>
        </is>
      </c>
    </row>
    <row r="94" ht="34" customHeight="1">
      <c r="A94" s="23" t="inlineStr">
        <is>
          <t>R128-v2</t>
        </is>
      </c>
      <c r="B94" s="23" t="inlineStr">
        <is>
          <t>Contractor Programme</t>
        </is>
      </c>
      <c r="C94" s="23" t="inlineStr">
        <is>
          <t>SCH-01-128</t>
        </is>
      </c>
      <c r="D94" s="23" t="inlineStr">
        <is>
          <t>1.1.1 Guideway and Civil - Guideway Structures</t>
        </is>
      </c>
      <c r="E94" s="23" t="inlineStr">
        <is>
          <t>Carried forward</t>
        </is>
      </c>
      <c r="F94" s="23" t="inlineStr"/>
      <c r="G94" s="23" t="inlineStr">
        <is>
          <t>Source assignment -- not individually reviewed</t>
        </is>
      </c>
      <c r="H94" s="14" t="inlineStr">
        <is>
          <t>10 EVIDENCE &amp; DECISIONS</t>
        </is>
      </c>
    </row>
    <row r="95" ht="34" customHeight="1">
      <c r="A95" s="23" t="inlineStr">
        <is>
          <t>R13-v2</t>
        </is>
      </c>
      <c r="B95" s="23" t="inlineStr">
        <is>
          <t>Contractor Programme</t>
        </is>
      </c>
      <c r="C95" s="23" t="inlineStr">
        <is>
          <t>SCH-01-013</t>
        </is>
      </c>
      <c r="D95" s="23" t="inlineStr">
        <is>
          <t>1.1.1 Guideway and Civil - Guideway Structures</t>
        </is>
      </c>
      <c r="E95" s="23" t="inlineStr">
        <is>
          <t>Carried forward</t>
        </is>
      </c>
      <c r="F95" s="23" t="inlineStr"/>
      <c r="G95" s="23" t="inlineStr">
        <is>
          <t>Source assignment -- not individually reviewed</t>
        </is>
      </c>
      <c r="H95" s="14" t="inlineStr">
        <is>
          <t>10 EVIDENCE &amp; DECISIONS</t>
        </is>
      </c>
    </row>
    <row r="96" ht="34" customHeight="1">
      <c r="A96" s="23" t="inlineStr">
        <is>
          <t>R130-v2</t>
        </is>
      </c>
      <c r="B96" s="23" t="inlineStr">
        <is>
          <t>Contractor Programme</t>
        </is>
      </c>
      <c r="C96" s="23" t="inlineStr">
        <is>
          <t>SCH-01-130</t>
        </is>
      </c>
      <c r="D96" s="23" t="inlineStr">
        <is>
          <t>1.1.1 Guideway and Civil - Guideway Structures</t>
        </is>
      </c>
      <c r="E96" s="23" t="inlineStr">
        <is>
          <t>Carried forward</t>
        </is>
      </c>
      <c r="F96" s="23" t="inlineStr"/>
      <c r="G96" s="23" t="inlineStr">
        <is>
          <t>Source assignment -- not individually reviewed</t>
        </is>
      </c>
      <c r="H96" s="14" t="inlineStr">
        <is>
          <t>10 EVIDENCE &amp; DECISIONS</t>
        </is>
      </c>
    </row>
    <row r="97" ht="34" customHeight="1">
      <c r="A97" s="23" t="inlineStr">
        <is>
          <t>R131-v2</t>
        </is>
      </c>
      <c r="B97" s="23" t="inlineStr">
        <is>
          <t>Contractor Programme</t>
        </is>
      </c>
      <c r="C97" s="23" t="inlineStr">
        <is>
          <t>SCH-01-131</t>
        </is>
      </c>
      <c r="D97" s="23" t="inlineStr">
        <is>
          <t>1.1.1 Guideway and Civil - Guideway Structures</t>
        </is>
      </c>
      <c r="E97" s="23" t="inlineStr">
        <is>
          <t>Carried forward</t>
        </is>
      </c>
      <c r="F97" s="23" t="inlineStr"/>
      <c r="G97" s="23" t="inlineStr">
        <is>
          <t>Source assignment -- not individually reviewed</t>
        </is>
      </c>
      <c r="H97" s="14" t="inlineStr">
        <is>
          <t>10 EVIDENCE &amp; DECISIONS</t>
        </is>
      </c>
    </row>
    <row r="98" ht="34" customHeight="1">
      <c r="A98" s="23" t="inlineStr">
        <is>
          <t>R133-v2</t>
        </is>
      </c>
      <c r="B98" s="23" t="inlineStr">
        <is>
          <t>Contractor Programme</t>
        </is>
      </c>
      <c r="C98" s="23" t="inlineStr">
        <is>
          <t>SCH-01-133</t>
        </is>
      </c>
      <c r="D98" s="23" t="inlineStr">
        <is>
          <t>1.1.1 Guideway and Civil - Guideway Structures</t>
        </is>
      </c>
      <c r="E98" s="23" t="inlineStr">
        <is>
          <t>Carried forward</t>
        </is>
      </c>
      <c r="F98" s="23" t="inlineStr"/>
      <c r="G98" s="23" t="inlineStr">
        <is>
          <t>Source assignment -- not individually reviewed</t>
        </is>
      </c>
      <c r="H98" s="14" t="inlineStr">
        <is>
          <t>10 EVIDENCE &amp; DECISIONS</t>
        </is>
      </c>
    </row>
    <row r="99" ht="34" customHeight="1">
      <c r="A99" s="23" t="inlineStr">
        <is>
          <t>R134-v2</t>
        </is>
      </c>
      <c r="B99" s="23" t="inlineStr">
        <is>
          <t>Contractor Programme</t>
        </is>
      </c>
      <c r="C99" s="23" t="inlineStr">
        <is>
          <t>SCH-01-134</t>
        </is>
      </c>
      <c r="D99" s="23" t="inlineStr">
        <is>
          <t>1.1.1 Guideway and Civil - Guideway Structures</t>
        </is>
      </c>
      <c r="E99" s="23" t="inlineStr">
        <is>
          <t>Carried forward</t>
        </is>
      </c>
      <c r="F99" s="23" t="inlineStr"/>
      <c r="G99" s="23" t="inlineStr">
        <is>
          <t>Source assignment -- not individually reviewed</t>
        </is>
      </c>
      <c r="H99" s="14" t="inlineStr">
        <is>
          <t>10 EVIDENCE &amp; DECISIONS</t>
        </is>
      </c>
    </row>
    <row r="100" ht="34" customHeight="1">
      <c r="A100" s="23" t="inlineStr">
        <is>
          <t>R136-v2</t>
        </is>
      </c>
      <c r="B100" s="23" t="inlineStr">
        <is>
          <t>Contractor Programme</t>
        </is>
      </c>
      <c r="C100" s="23" t="inlineStr">
        <is>
          <t>SCH-01-136</t>
        </is>
      </c>
      <c r="D100" s="23" t="inlineStr">
        <is>
          <t>1.1.1 Guideway and Civil - Guideway Structures</t>
        </is>
      </c>
      <c r="E100" s="23" t="inlineStr">
        <is>
          <t>Carried forward</t>
        </is>
      </c>
      <c r="F100" s="23" t="inlineStr"/>
      <c r="G100" s="23" t="inlineStr">
        <is>
          <t>Source assignment -- not individually reviewed</t>
        </is>
      </c>
      <c r="H100" s="14" t="inlineStr">
        <is>
          <t>10 EVIDENCE &amp; DECISIONS</t>
        </is>
      </c>
    </row>
    <row r="101" ht="34" customHeight="1">
      <c r="A101" s="23" t="inlineStr">
        <is>
          <t>R137-v2</t>
        </is>
      </c>
      <c r="B101" s="23" t="inlineStr">
        <is>
          <t>Contractor Programme</t>
        </is>
      </c>
      <c r="C101" s="23" t="inlineStr">
        <is>
          <t>SCH-01-137</t>
        </is>
      </c>
      <c r="D101" s="23" t="inlineStr">
        <is>
          <t>1.1.1 Guideway and Civil - Guideway Structures</t>
        </is>
      </c>
      <c r="E101" s="23" t="inlineStr">
        <is>
          <t>Carried forward</t>
        </is>
      </c>
      <c r="F101" s="23" t="inlineStr"/>
      <c r="G101" s="23" t="inlineStr">
        <is>
          <t>Source assignment -- not individually reviewed</t>
        </is>
      </c>
      <c r="H101" s="14" t="inlineStr">
        <is>
          <t>10 EVIDENCE &amp; DECISIONS</t>
        </is>
      </c>
    </row>
    <row r="102" ht="34" customHeight="1">
      <c r="A102" s="23" t="inlineStr">
        <is>
          <t>R139-v2</t>
        </is>
      </c>
      <c r="B102" s="23" t="inlineStr">
        <is>
          <t>Contractor Programme</t>
        </is>
      </c>
      <c r="C102" s="23" t="inlineStr">
        <is>
          <t>SCH-01-139</t>
        </is>
      </c>
      <c r="D102" s="23" t="inlineStr">
        <is>
          <t>1.1.1 Guideway and Civil - Guideway Structures</t>
        </is>
      </c>
      <c r="E102" s="23" t="inlineStr">
        <is>
          <t>Carried forward</t>
        </is>
      </c>
      <c r="F102" s="23" t="inlineStr"/>
      <c r="G102" s="23" t="inlineStr">
        <is>
          <t>Source assignment -- not individually reviewed</t>
        </is>
      </c>
      <c r="H102" s="14" t="inlineStr">
        <is>
          <t>10 EVIDENCE &amp; DECISIONS</t>
        </is>
      </c>
    </row>
    <row r="103" ht="34" customHeight="1">
      <c r="A103" s="23" t="inlineStr">
        <is>
          <t>R14-v2</t>
        </is>
      </c>
      <c r="B103" s="23" t="inlineStr">
        <is>
          <t>Contractor Programme</t>
        </is>
      </c>
      <c r="C103" s="23" t="inlineStr">
        <is>
          <t>SCH-01-014</t>
        </is>
      </c>
      <c r="D103" s="23" t="inlineStr">
        <is>
          <t>1.1.1 Guideway and Civil - Guideway Structures</t>
        </is>
      </c>
      <c r="E103" s="23" t="inlineStr">
        <is>
          <t>Carried forward</t>
        </is>
      </c>
      <c r="F103" s="23" t="inlineStr"/>
      <c r="G103" s="23" t="inlineStr">
        <is>
          <t>Source assignment -- not individually reviewed</t>
        </is>
      </c>
      <c r="H103" s="14" t="inlineStr">
        <is>
          <t>10 EVIDENCE &amp; DECISIONS</t>
        </is>
      </c>
    </row>
    <row r="104" ht="34" customHeight="1">
      <c r="A104" s="23" t="inlineStr">
        <is>
          <t>R140-v2</t>
        </is>
      </c>
      <c r="B104" s="23" t="inlineStr">
        <is>
          <t>Contractor Programme</t>
        </is>
      </c>
      <c r="C104" s="23" t="inlineStr">
        <is>
          <t>SCH-01-140</t>
        </is>
      </c>
      <c r="D104" s="23" t="inlineStr">
        <is>
          <t>1.1.1 Guideway and Civil - Guideway Structures</t>
        </is>
      </c>
      <c r="E104" s="23" t="inlineStr">
        <is>
          <t>Carried forward</t>
        </is>
      </c>
      <c r="F104" s="23" t="inlineStr"/>
      <c r="G104" s="23" t="inlineStr">
        <is>
          <t>Source assignment -- not individually reviewed</t>
        </is>
      </c>
      <c r="H104" s="14" t="inlineStr">
        <is>
          <t>10 EVIDENCE &amp; DECISIONS</t>
        </is>
      </c>
    </row>
    <row r="105" ht="34" customHeight="1">
      <c r="A105" s="23" t="inlineStr">
        <is>
          <t>R142-v2</t>
        </is>
      </c>
      <c r="B105" s="23" t="inlineStr">
        <is>
          <t>Contractor Programme</t>
        </is>
      </c>
      <c r="C105" s="23" t="inlineStr">
        <is>
          <t>SCH-01-142</t>
        </is>
      </c>
      <c r="D105" s="23" t="inlineStr">
        <is>
          <t>1.1.1 Guideway and Civil - Guideway Structures</t>
        </is>
      </c>
      <c r="E105" s="23" t="inlineStr">
        <is>
          <t>Carried forward</t>
        </is>
      </c>
      <c r="F105" s="23" t="inlineStr"/>
      <c r="G105" s="23" t="inlineStr">
        <is>
          <t>Source assignment -- not individually reviewed</t>
        </is>
      </c>
      <c r="H105" s="14" t="inlineStr">
        <is>
          <t>10 EVIDENCE &amp; DECISIONS</t>
        </is>
      </c>
    </row>
    <row r="106" ht="34" customHeight="1">
      <c r="A106" s="23" t="inlineStr">
        <is>
          <t>R143-v2</t>
        </is>
      </c>
      <c r="B106" s="23" t="inlineStr">
        <is>
          <t>Contractor Programme</t>
        </is>
      </c>
      <c r="C106" s="23" t="inlineStr">
        <is>
          <t>SCH-01-143</t>
        </is>
      </c>
      <c r="D106" s="23" t="inlineStr">
        <is>
          <t>1.1.1 Guideway and Civil - Guideway Structures</t>
        </is>
      </c>
      <c r="E106" s="23" t="inlineStr">
        <is>
          <t>Carried forward</t>
        </is>
      </c>
      <c r="F106" s="23" t="inlineStr"/>
      <c r="G106" s="23" t="inlineStr">
        <is>
          <t>Source assignment -- not individually reviewed</t>
        </is>
      </c>
      <c r="H106" s="14" t="inlineStr">
        <is>
          <t>10 EVIDENCE &amp; DECISIONS</t>
        </is>
      </c>
    </row>
    <row r="107" ht="34" customHeight="1">
      <c r="A107" s="23" t="inlineStr">
        <is>
          <t>R145-v2</t>
        </is>
      </c>
      <c r="B107" s="23" t="inlineStr">
        <is>
          <t>Contractor Programme</t>
        </is>
      </c>
      <c r="C107" s="23" t="inlineStr">
        <is>
          <t>SCH-01-145</t>
        </is>
      </c>
      <c r="D107" s="23" t="inlineStr">
        <is>
          <t>1.1.1 Guideway and Civil - Guideway Structures</t>
        </is>
      </c>
      <c r="E107" s="23" t="inlineStr">
        <is>
          <t>Carried forward</t>
        </is>
      </c>
      <c r="F107" s="23" t="inlineStr"/>
      <c r="G107" s="23" t="inlineStr">
        <is>
          <t>Source assignment -- not individually reviewed</t>
        </is>
      </c>
      <c r="H107" s="14" t="inlineStr">
        <is>
          <t>10 EVIDENCE &amp; DECISIONS</t>
        </is>
      </c>
    </row>
    <row r="108" ht="34" customHeight="1">
      <c r="A108" s="23" t="inlineStr">
        <is>
          <t>R146-v2</t>
        </is>
      </c>
      <c r="B108" s="23" t="inlineStr">
        <is>
          <t>Contractor Programme</t>
        </is>
      </c>
      <c r="C108" s="23" t="inlineStr">
        <is>
          <t>SCH-01-146</t>
        </is>
      </c>
      <c r="D108" s="23" t="inlineStr">
        <is>
          <t>1.1.1 Guideway and Civil - Guideway Structures</t>
        </is>
      </c>
      <c r="E108" s="23" t="inlineStr">
        <is>
          <t>Carried forward</t>
        </is>
      </c>
      <c r="F108" s="23" t="inlineStr"/>
      <c r="G108" s="23" t="inlineStr">
        <is>
          <t>Source assignment -- not individually reviewed</t>
        </is>
      </c>
      <c r="H108" s="14" t="inlineStr">
        <is>
          <t>10 EVIDENCE &amp; DECISIONS</t>
        </is>
      </c>
    </row>
    <row r="109" ht="34" customHeight="1">
      <c r="A109" s="23" t="inlineStr">
        <is>
          <t>R148-v2</t>
        </is>
      </c>
      <c r="B109" s="23" t="inlineStr">
        <is>
          <t>Contractor Programme</t>
        </is>
      </c>
      <c r="C109" s="23" t="inlineStr">
        <is>
          <t>SCH-01-148</t>
        </is>
      </c>
      <c r="D109" s="23" t="inlineStr">
        <is>
          <t>1.1.1 Guideway and Civil - Guideway Structures</t>
        </is>
      </c>
      <c r="E109" s="23" t="inlineStr">
        <is>
          <t>Carried forward</t>
        </is>
      </c>
      <c r="F109" s="23" t="inlineStr"/>
      <c r="G109" s="23" t="inlineStr">
        <is>
          <t>Source assignment -- not individually reviewed</t>
        </is>
      </c>
      <c r="H109" s="14" t="inlineStr">
        <is>
          <t>10 EVIDENCE &amp; DECISIONS</t>
        </is>
      </c>
    </row>
    <row r="110" ht="34" customHeight="1">
      <c r="A110" s="23" t="inlineStr">
        <is>
          <t>R149-v2</t>
        </is>
      </c>
      <c r="B110" s="23" t="inlineStr">
        <is>
          <t>Contractor Programme</t>
        </is>
      </c>
      <c r="C110" s="23" t="inlineStr">
        <is>
          <t>SCH-01-149</t>
        </is>
      </c>
      <c r="D110" s="23" t="inlineStr">
        <is>
          <t>1.1.1 Guideway and Civil - Guideway Structures</t>
        </is>
      </c>
      <c r="E110" s="23" t="inlineStr">
        <is>
          <t>Carried forward</t>
        </is>
      </c>
      <c r="F110" s="23" t="inlineStr"/>
      <c r="G110" s="23" t="inlineStr">
        <is>
          <t>Source assignment -- not individually reviewed</t>
        </is>
      </c>
      <c r="H110" s="14" t="inlineStr">
        <is>
          <t>10 EVIDENCE &amp; DECISIONS</t>
        </is>
      </c>
    </row>
    <row r="111" ht="34" customHeight="1">
      <c r="A111" s="23" t="inlineStr">
        <is>
          <t>R151-v2</t>
        </is>
      </c>
      <c r="B111" s="23" t="inlineStr">
        <is>
          <t>Contractor Programme</t>
        </is>
      </c>
      <c r="C111" s="23" t="inlineStr">
        <is>
          <t>SCH-01-151</t>
        </is>
      </c>
      <c r="D111" s="23" t="inlineStr">
        <is>
          <t>1.1.1 Guideway and Civil - Guideway Structures</t>
        </is>
      </c>
      <c r="E111" s="23" t="inlineStr">
        <is>
          <t>Carried forward</t>
        </is>
      </c>
      <c r="F111" s="23" t="inlineStr"/>
      <c r="G111" s="23" t="inlineStr">
        <is>
          <t>Source assignment -- not individually reviewed</t>
        </is>
      </c>
      <c r="H111" s="14" t="inlineStr">
        <is>
          <t>10 EVIDENCE &amp; DECISIONS</t>
        </is>
      </c>
    </row>
    <row r="112" ht="34" customHeight="1">
      <c r="A112" s="23" t="inlineStr">
        <is>
          <t>R152-v2</t>
        </is>
      </c>
      <c r="B112" s="23" t="inlineStr">
        <is>
          <t>Contractor Programme</t>
        </is>
      </c>
      <c r="C112" s="23" t="inlineStr">
        <is>
          <t>SCH-01-152</t>
        </is>
      </c>
      <c r="D112" s="23" t="inlineStr">
        <is>
          <t>1.1.1 Guideway and Civil - Guideway Structures</t>
        </is>
      </c>
      <c r="E112" s="23" t="inlineStr">
        <is>
          <t>Carried forward</t>
        </is>
      </c>
      <c r="F112" s="23" t="inlineStr"/>
      <c r="G112" s="23" t="inlineStr">
        <is>
          <t>Source assignment -- not individually reviewed</t>
        </is>
      </c>
      <c r="H112" s="14" t="inlineStr">
        <is>
          <t>10 EVIDENCE &amp; DECISIONS</t>
        </is>
      </c>
    </row>
    <row r="113" ht="34" customHeight="1">
      <c r="A113" s="23" t="inlineStr">
        <is>
          <t>R154-v2</t>
        </is>
      </c>
      <c r="B113" s="23" t="inlineStr">
        <is>
          <t>Contractor Programme</t>
        </is>
      </c>
      <c r="C113" s="23" t="inlineStr">
        <is>
          <t>SCH-01-154</t>
        </is>
      </c>
      <c r="D113" s="23" t="inlineStr">
        <is>
          <t>1.1.1 Guideway and Civil - Guideway Structures</t>
        </is>
      </c>
      <c r="E113" s="23" t="inlineStr">
        <is>
          <t>Carried forward</t>
        </is>
      </c>
      <c r="F113" s="23" t="inlineStr"/>
      <c r="G113" s="23" t="inlineStr">
        <is>
          <t>Source assignment -- not individually reviewed</t>
        </is>
      </c>
      <c r="H113" s="14" t="inlineStr">
        <is>
          <t>10 EVIDENCE &amp; DECISIONS</t>
        </is>
      </c>
    </row>
    <row r="114" ht="34" customHeight="1">
      <c r="A114" s="23" t="inlineStr">
        <is>
          <t>R155-v2</t>
        </is>
      </c>
      <c r="B114" s="23" t="inlineStr">
        <is>
          <t>Contractor Programme</t>
        </is>
      </c>
      <c r="C114" s="23" t="inlineStr">
        <is>
          <t>SCH-01-155</t>
        </is>
      </c>
      <c r="D114" s="23" t="inlineStr">
        <is>
          <t>1.1.1 Guideway and Civil - Guideway Structures</t>
        </is>
      </c>
      <c r="E114" s="23" t="inlineStr">
        <is>
          <t>Carried forward</t>
        </is>
      </c>
      <c r="F114" s="23" t="inlineStr"/>
      <c r="G114" s="23" t="inlineStr">
        <is>
          <t>Source assignment -- not individually reviewed</t>
        </is>
      </c>
      <c r="H114" s="14" t="inlineStr">
        <is>
          <t>10 EVIDENCE &amp; DECISIONS</t>
        </is>
      </c>
    </row>
    <row r="115" ht="34" customHeight="1">
      <c r="A115" s="23" t="inlineStr">
        <is>
          <t>R157-v2</t>
        </is>
      </c>
      <c r="B115" s="23" t="inlineStr">
        <is>
          <t>Contractor Programme</t>
        </is>
      </c>
      <c r="C115" s="23" t="inlineStr">
        <is>
          <t>SCH-01-157</t>
        </is>
      </c>
      <c r="D115" s="23" t="inlineStr">
        <is>
          <t>1.1.1 Guideway and Civil - Guideway Structures</t>
        </is>
      </c>
      <c r="E115" s="23" t="inlineStr">
        <is>
          <t>Carried forward</t>
        </is>
      </c>
      <c r="F115" s="23" t="inlineStr"/>
      <c r="G115" s="23" t="inlineStr">
        <is>
          <t>Source assignment -- not individually reviewed</t>
        </is>
      </c>
      <c r="H115" s="14" t="inlineStr">
        <is>
          <t>10 EVIDENCE &amp; DECISIONS</t>
        </is>
      </c>
    </row>
    <row r="116" ht="34" customHeight="1">
      <c r="A116" s="23" t="inlineStr">
        <is>
          <t>R158-v2</t>
        </is>
      </c>
      <c r="B116" s="23" t="inlineStr">
        <is>
          <t>Contractor Programme</t>
        </is>
      </c>
      <c r="C116" s="23" t="inlineStr">
        <is>
          <t>SCH-01-158</t>
        </is>
      </c>
      <c r="D116" s="23" t="inlineStr">
        <is>
          <t>1.1.1 Guideway and Civil - Guideway Structures</t>
        </is>
      </c>
      <c r="E116" s="23" t="inlineStr">
        <is>
          <t>Carried forward</t>
        </is>
      </c>
      <c r="F116" s="23" t="inlineStr"/>
      <c r="G116" s="23" t="inlineStr">
        <is>
          <t>Source assignment -- not individually reviewed</t>
        </is>
      </c>
      <c r="H116" s="14" t="inlineStr">
        <is>
          <t>10 EVIDENCE &amp; DECISIONS</t>
        </is>
      </c>
    </row>
    <row r="117" ht="34" customHeight="1">
      <c r="A117" s="23" t="inlineStr">
        <is>
          <t>R16-v2</t>
        </is>
      </c>
      <c r="B117" s="23" t="inlineStr">
        <is>
          <t>Contractor Programme</t>
        </is>
      </c>
      <c r="C117" s="23" t="inlineStr">
        <is>
          <t>SCH-01-016</t>
        </is>
      </c>
      <c r="D117" s="23" t="inlineStr">
        <is>
          <t>1.1.1 Guideway and Civil - Guideway Structures</t>
        </is>
      </c>
      <c r="E117" s="23" t="inlineStr">
        <is>
          <t>Carried forward</t>
        </is>
      </c>
      <c r="F117" s="23" t="inlineStr"/>
      <c r="G117" s="23" t="inlineStr">
        <is>
          <t>Source assignment -- not individually reviewed</t>
        </is>
      </c>
      <c r="H117" s="14" t="inlineStr">
        <is>
          <t>10 EVIDENCE &amp; DECISIONS</t>
        </is>
      </c>
    </row>
    <row r="118" ht="34" customHeight="1">
      <c r="A118" s="23" t="inlineStr">
        <is>
          <t>R160-v2</t>
        </is>
      </c>
      <c r="B118" s="23" t="inlineStr">
        <is>
          <t>Contractor Programme</t>
        </is>
      </c>
      <c r="C118" s="23" t="inlineStr">
        <is>
          <t>SCH-01-160</t>
        </is>
      </c>
      <c r="D118" s="23" t="inlineStr">
        <is>
          <t>1.1.1 Guideway and Civil - Guideway Structures</t>
        </is>
      </c>
      <c r="E118" s="23" t="inlineStr">
        <is>
          <t>Carried forward</t>
        </is>
      </c>
      <c r="F118" s="23" t="inlineStr"/>
      <c r="G118" s="23" t="inlineStr">
        <is>
          <t>Source assignment -- not individually reviewed</t>
        </is>
      </c>
      <c r="H118" s="14" t="inlineStr">
        <is>
          <t>10 EVIDENCE &amp; DECISIONS</t>
        </is>
      </c>
    </row>
    <row r="119" ht="34" customHeight="1">
      <c r="A119" s="23" t="inlineStr">
        <is>
          <t>R161-v2</t>
        </is>
      </c>
      <c r="B119" s="23" t="inlineStr">
        <is>
          <t>Contractor Programme</t>
        </is>
      </c>
      <c r="C119" s="23" t="inlineStr">
        <is>
          <t>SCH-01-161</t>
        </is>
      </c>
      <c r="D119" s="23" t="inlineStr">
        <is>
          <t>1.1.1 Guideway and Civil - Guideway Structures</t>
        </is>
      </c>
      <c r="E119" s="23" t="inlineStr">
        <is>
          <t>Carried forward</t>
        </is>
      </c>
      <c r="F119" s="23" t="inlineStr"/>
      <c r="G119" s="23" t="inlineStr">
        <is>
          <t>Source assignment -- not individually reviewed</t>
        </is>
      </c>
      <c r="H119" s="14" t="inlineStr">
        <is>
          <t>10 EVIDENCE &amp; DECISIONS</t>
        </is>
      </c>
    </row>
    <row r="120" ht="34" customHeight="1">
      <c r="A120" s="23" t="inlineStr">
        <is>
          <t>R163-v2</t>
        </is>
      </c>
      <c r="B120" s="23" t="inlineStr">
        <is>
          <t>Contractor Programme</t>
        </is>
      </c>
      <c r="C120" s="23" t="inlineStr">
        <is>
          <t>SCH-01-163</t>
        </is>
      </c>
      <c r="D120" s="23" t="inlineStr">
        <is>
          <t>1.1.1 Guideway and Civil - Guideway Structures</t>
        </is>
      </c>
      <c r="E120" s="23" t="inlineStr">
        <is>
          <t>Carried forward</t>
        </is>
      </c>
      <c r="F120" s="23" t="inlineStr"/>
      <c r="G120" s="23" t="inlineStr">
        <is>
          <t>Source assignment -- not individually reviewed</t>
        </is>
      </c>
      <c r="H120" s="14" t="inlineStr">
        <is>
          <t>10 EVIDENCE &amp; DECISIONS</t>
        </is>
      </c>
    </row>
    <row r="121" ht="34" customHeight="1">
      <c r="A121" s="23" t="inlineStr">
        <is>
          <t>R164-v2</t>
        </is>
      </c>
      <c r="B121" s="23" t="inlineStr">
        <is>
          <t>Contractor Programme</t>
        </is>
      </c>
      <c r="C121" s="23" t="inlineStr">
        <is>
          <t>SCH-01-164</t>
        </is>
      </c>
      <c r="D121" s="23" t="inlineStr">
        <is>
          <t>1.1.1 Guideway and Civil - Guideway Structures</t>
        </is>
      </c>
      <c r="E121" s="23" t="inlineStr">
        <is>
          <t>Carried forward</t>
        </is>
      </c>
      <c r="F121" s="23" t="inlineStr"/>
      <c r="G121" s="23" t="inlineStr">
        <is>
          <t>Source assignment -- not individually reviewed</t>
        </is>
      </c>
      <c r="H121" s="14" t="inlineStr">
        <is>
          <t>10 EVIDENCE &amp; DECISIONS</t>
        </is>
      </c>
    </row>
    <row r="122" ht="34" customHeight="1">
      <c r="A122" s="23" t="inlineStr">
        <is>
          <t>R166-v2</t>
        </is>
      </c>
      <c r="B122" s="23" t="inlineStr">
        <is>
          <t>Contractor Programme</t>
        </is>
      </c>
      <c r="C122" s="23" t="inlineStr">
        <is>
          <t>SCH-01-166</t>
        </is>
      </c>
      <c r="D122" s="23" t="inlineStr">
        <is>
          <t>1.1.1 Guideway and Civil - Guideway Structures</t>
        </is>
      </c>
      <c r="E122" s="23" t="inlineStr">
        <is>
          <t>Carried forward</t>
        </is>
      </c>
      <c r="F122" s="23" t="inlineStr"/>
      <c r="G122" s="23" t="inlineStr">
        <is>
          <t>Source assignment -- not individually reviewed</t>
        </is>
      </c>
      <c r="H122" s="14" t="inlineStr">
        <is>
          <t>10 EVIDENCE &amp; DECISIONS</t>
        </is>
      </c>
    </row>
    <row r="123" ht="34" customHeight="1">
      <c r="A123" s="23" t="inlineStr">
        <is>
          <t>R167-v2</t>
        </is>
      </c>
      <c r="B123" s="23" t="inlineStr">
        <is>
          <t>Contractor Programme</t>
        </is>
      </c>
      <c r="C123" s="23" t="inlineStr">
        <is>
          <t>SCH-01-167</t>
        </is>
      </c>
      <c r="D123" s="23" t="inlineStr">
        <is>
          <t>1.1.1 Guideway and Civil - Guideway Structures</t>
        </is>
      </c>
      <c r="E123" s="23" t="inlineStr">
        <is>
          <t>Carried forward</t>
        </is>
      </c>
      <c r="F123" s="23" t="inlineStr"/>
      <c r="G123" s="23" t="inlineStr">
        <is>
          <t>Source assignment -- not individually reviewed</t>
        </is>
      </c>
      <c r="H123" s="14" t="inlineStr">
        <is>
          <t>10 EVIDENCE &amp; DECISIONS</t>
        </is>
      </c>
    </row>
    <row r="124" ht="34" customHeight="1">
      <c r="A124" s="23" t="inlineStr">
        <is>
          <t>R169-v2</t>
        </is>
      </c>
      <c r="B124" s="23" t="inlineStr">
        <is>
          <t>Contractor Programme</t>
        </is>
      </c>
      <c r="C124" s="23" t="inlineStr">
        <is>
          <t>SCH-01-169</t>
        </is>
      </c>
      <c r="D124" s="23" t="inlineStr">
        <is>
          <t>1.1.1 Guideway and Civil - Guideway Structures</t>
        </is>
      </c>
      <c r="E124" s="23" t="inlineStr">
        <is>
          <t>Carried forward</t>
        </is>
      </c>
      <c r="F124" s="23" t="inlineStr"/>
      <c r="G124" s="23" t="inlineStr">
        <is>
          <t>Source assignment -- not individually reviewed</t>
        </is>
      </c>
      <c r="H124" s="14" t="inlineStr">
        <is>
          <t>10 EVIDENCE &amp; DECISIONS</t>
        </is>
      </c>
    </row>
    <row r="125" ht="34" customHeight="1">
      <c r="A125" s="23" t="inlineStr">
        <is>
          <t>R17-v2</t>
        </is>
      </c>
      <c r="B125" s="23" t="inlineStr">
        <is>
          <t>Contractor Programme</t>
        </is>
      </c>
      <c r="C125" s="23" t="inlineStr">
        <is>
          <t>SCH-01-017</t>
        </is>
      </c>
      <c r="D125" s="23" t="inlineStr">
        <is>
          <t>1.1.1 Guideway and Civil - Guideway Structures</t>
        </is>
      </c>
      <c r="E125" s="23" t="inlineStr">
        <is>
          <t>Carried forward</t>
        </is>
      </c>
      <c r="F125" s="23" t="inlineStr"/>
      <c r="G125" s="23" t="inlineStr">
        <is>
          <t>Source assignment -- not individually reviewed</t>
        </is>
      </c>
      <c r="H125" s="14" t="inlineStr">
        <is>
          <t>10 EVIDENCE &amp; DECISIONS</t>
        </is>
      </c>
    </row>
    <row r="126" ht="34" customHeight="1">
      <c r="A126" s="23" t="inlineStr">
        <is>
          <t>R170-v2</t>
        </is>
      </c>
      <c r="B126" s="23" t="inlineStr">
        <is>
          <t>Contractor Programme</t>
        </is>
      </c>
      <c r="C126" s="23" t="inlineStr">
        <is>
          <t>SCH-01-170</t>
        </is>
      </c>
      <c r="D126" s="23" t="inlineStr">
        <is>
          <t>1.1.1 Guideway and Civil - Guideway Structures</t>
        </is>
      </c>
      <c r="E126" s="23" t="inlineStr">
        <is>
          <t>Carried forward</t>
        </is>
      </c>
      <c r="F126" s="23" t="inlineStr"/>
      <c r="G126" s="23" t="inlineStr">
        <is>
          <t>Source assignment -- not individually reviewed</t>
        </is>
      </c>
      <c r="H126" s="14" t="inlineStr">
        <is>
          <t>10 EVIDENCE &amp; DECISIONS</t>
        </is>
      </c>
    </row>
    <row r="127" ht="34" customHeight="1">
      <c r="A127" s="23" t="inlineStr">
        <is>
          <t>R172-v2</t>
        </is>
      </c>
      <c r="B127" s="23" t="inlineStr">
        <is>
          <t>Contractor Programme</t>
        </is>
      </c>
      <c r="C127" s="23" t="inlineStr">
        <is>
          <t>SCH-01-172</t>
        </is>
      </c>
      <c r="D127" s="23" t="inlineStr">
        <is>
          <t>1.1.1 Guideway and Civil - Guideway Structures</t>
        </is>
      </c>
      <c r="E127" s="23" t="inlineStr">
        <is>
          <t>Carried forward</t>
        </is>
      </c>
      <c r="F127" s="23" t="inlineStr"/>
      <c r="G127" s="23" t="inlineStr">
        <is>
          <t>Source assignment -- not individually reviewed</t>
        </is>
      </c>
      <c r="H127" s="14" t="inlineStr">
        <is>
          <t>10 EVIDENCE &amp; DECISIONS</t>
        </is>
      </c>
    </row>
    <row r="128" ht="34" customHeight="1">
      <c r="A128" s="23" t="inlineStr">
        <is>
          <t>R173-v2</t>
        </is>
      </c>
      <c r="B128" s="23" t="inlineStr">
        <is>
          <t>Contractor Programme</t>
        </is>
      </c>
      <c r="C128" s="23" t="inlineStr">
        <is>
          <t>SCH-01-173</t>
        </is>
      </c>
      <c r="D128" s="23" t="inlineStr">
        <is>
          <t>1.1.1 Guideway and Civil - Guideway Structures</t>
        </is>
      </c>
      <c r="E128" s="23" t="inlineStr">
        <is>
          <t>Carried forward</t>
        </is>
      </c>
      <c r="F128" s="23" t="inlineStr"/>
      <c r="G128" s="23" t="inlineStr">
        <is>
          <t>Source assignment -- not individually reviewed</t>
        </is>
      </c>
      <c r="H128" s="14" t="inlineStr">
        <is>
          <t>10 EVIDENCE &amp; DECISIONS</t>
        </is>
      </c>
    </row>
    <row r="129" ht="34" customHeight="1">
      <c r="A129" s="23" t="inlineStr">
        <is>
          <t>R175-v2</t>
        </is>
      </c>
      <c r="B129" s="23" t="inlineStr">
        <is>
          <t>Contractor Programme</t>
        </is>
      </c>
      <c r="C129" s="23" t="inlineStr">
        <is>
          <t>SCH-01-175</t>
        </is>
      </c>
      <c r="D129" s="23" t="inlineStr">
        <is>
          <t>1.1.1 Guideway and Civil - Guideway Structures</t>
        </is>
      </c>
      <c r="E129" s="23" t="inlineStr">
        <is>
          <t>Carried forward</t>
        </is>
      </c>
      <c r="F129" s="23" t="inlineStr"/>
      <c r="G129" s="23" t="inlineStr">
        <is>
          <t>Source assignment -- not individually reviewed</t>
        </is>
      </c>
      <c r="H129" s="14" t="inlineStr">
        <is>
          <t>10 EVIDENCE &amp; DECISIONS</t>
        </is>
      </c>
    </row>
    <row r="130" ht="34" customHeight="1">
      <c r="A130" s="23" t="inlineStr">
        <is>
          <t>R176-v2</t>
        </is>
      </c>
      <c r="B130" s="23" t="inlineStr">
        <is>
          <t>Contractor Programme</t>
        </is>
      </c>
      <c r="C130" s="23" t="inlineStr">
        <is>
          <t>SCH-01-176</t>
        </is>
      </c>
      <c r="D130" s="23" t="inlineStr">
        <is>
          <t>1.1.1 Guideway and Civil - Guideway Structures</t>
        </is>
      </c>
      <c r="E130" s="23" t="inlineStr">
        <is>
          <t>Carried forward</t>
        </is>
      </c>
      <c r="F130" s="23" t="inlineStr"/>
      <c r="G130" s="23" t="inlineStr">
        <is>
          <t>Source assignment -- not individually reviewed</t>
        </is>
      </c>
      <c r="H130" s="14" t="inlineStr">
        <is>
          <t>10 EVIDENCE &amp; DECISIONS</t>
        </is>
      </c>
    </row>
    <row r="131" ht="34" customHeight="1">
      <c r="A131" s="23" t="inlineStr">
        <is>
          <t>R178-v2</t>
        </is>
      </c>
      <c r="B131" s="23" t="inlineStr">
        <is>
          <t>Contractor Programme</t>
        </is>
      </c>
      <c r="C131" s="23" t="inlineStr">
        <is>
          <t>SCH-01-178</t>
        </is>
      </c>
      <c r="D131" s="23" t="inlineStr">
        <is>
          <t>1.1.1 Guideway and Civil - Guideway Structures</t>
        </is>
      </c>
      <c r="E131" s="23" t="inlineStr">
        <is>
          <t>Carried forward</t>
        </is>
      </c>
      <c r="F131" s="23" t="inlineStr"/>
      <c r="G131" s="23" t="inlineStr">
        <is>
          <t>Source assignment -- not individually reviewed</t>
        </is>
      </c>
      <c r="H131" s="14" t="inlineStr">
        <is>
          <t>10 EVIDENCE &amp; DECISIONS</t>
        </is>
      </c>
    </row>
    <row r="132" ht="34" customHeight="1">
      <c r="A132" s="23" t="inlineStr">
        <is>
          <t>R179-v2</t>
        </is>
      </c>
      <c r="B132" s="23" t="inlineStr">
        <is>
          <t>Contractor Programme</t>
        </is>
      </c>
      <c r="C132" s="23" t="inlineStr">
        <is>
          <t>SCH-01-179</t>
        </is>
      </c>
      <c r="D132" s="23" t="inlineStr">
        <is>
          <t>1.1.1 Guideway and Civil - Guideway Structures</t>
        </is>
      </c>
      <c r="E132" s="23" t="inlineStr">
        <is>
          <t>Carried forward</t>
        </is>
      </c>
      <c r="F132" s="23" t="inlineStr"/>
      <c r="G132" s="23" t="inlineStr">
        <is>
          <t>Source assignment -- not individually reviewed</t>
        </is>
      </c>
      <c r="H132" s="14" t="inlineStr">
        <is>
          <t>10 EVIDENCE &amp; DECISIONS</t>
        </is>
      </c>
    </row>
    <row r="133" ht="34" customHeight="1">
      <c r="A133" s="23" t="inlineStr">
        <is>
          <t>R19-v2</t>
        </is>
      </c>
      <c r="B133" s="23" t="inlineStr">
        <is>
          <t>Contractor Programme</t>
        </is>
      </c>
      <c r="C133" s="23" t="inlineStr">
        <is>
          <t>SCH-01-019</t>
        </is>
      </c>
      <c r="D133" s="23" t="inlineStr">
        <is>
          <t>1.1.1 Guideway and Civil - Guideway Structures</t>
        </is>
      </c>
      <c r="E133" s="23" t="inlineStr">
        <is>
          <t>Carried forward</t>
        </is>
      </c>
      <c r="F133" s="23" t="inlineStr"/>
      <c r="G133" s="23" t="inlineStr">
        <is>
          <t>Source assignment -- not individually reviewed</t>
        </is>
      </c>
      <c r="H133" s="14" t="inlineStr">
        <is>
          <t>10 EVIDENCE &amp; DECISIONS</t>
        </is>
      </c>
    </row>
    <row r="134" ht="34" customHeight="1">
      <c r="A134" s="23" t="inlineStr">
        <is>
          <t>R2-v2</t>
        </is>
      </c>
      <c r="B134" s="23" t="inlineStr">
        <is>
          <t>Contractor Programme</t>
        </is>
      </c>
      <c r="C134" s="23" t="inlineStr">
        <is>
          <t>SCH-01-002</t>
        </is>
      </c>
      <c r="D134" s="23" t="inlineStr">
        <is>
          <t>1.1.1 Guideway and Civil - Guideway Structures</t>
        </is>
      </c>
      <c r="E134" s="23" t="inlineStr">
        <is>
          <t>Carried forward</t>
        </is>
      </c>
      <c r="F134" s="23" t="inlineStr"/>
      <c r="G134" s="23" t="inlineStr">
        <is>
          <t>Source assignment -- not individually reviewed</t>
        </is>
      </c>
      <c r="H134" s="14" t="inlineStr">
        <is>
          <t>10 EVIDENCE &amp; DECISIONS</t>
        </is>
      </c>
    </row>
    <row r="135" ht="34" customHeight="1">
      <c r="A135" s="23" t="inlineStr">
        <is>
          <t>R20-v2</t>
        </is>
      </c>
      <c r="B135" s="23" t="inlineStr">
        <is>
          <t>Contractor Programme</t>
        </is>
      </c>
      <c r="C135" s="23" t="inlineStr">
        <is>
          <t>SCH-01-020</t>
        </is>
      </c>
      <c r="D135" s="23" t="inlineStr">
        <is>
          <t>1.1.1 Guideway and Civil - Guideway Structures</t>
        </is>
      </c>
      <c r="E135" s="23" t="inlineStr">
        <is>
          <t>Carried forward</t>
        </is>
      </c>
      <c r="F135" s="23" t="inlineStr"/>
      <c r="G135" s="23" t="inlineStr">
        <is>
          <t>Source assignment -- not individually reviewed</t>
        </is>
      </c>
      <c r="H135" s="14" t="inlineStr">
        <is>
          <t>10 EVIDENCE &amp; DECISIONS</t>
        </is>
      </c>
    </row>
    <row r="136" ht="34" customHeight="1">
      <c r="A136" s="23" t="inlineStr">
        <is>
          <t>R22-v2</t>
        </is>
      </c>
      <c r="B136" s="23" t="inlineStr">
        <is>
          <t>Contractor Programme</t>
        </is>
      </c>
      <c r="C136" s="23" t="inlineStr">
        <is>
          <t>SCH-01-022</t>
        </is>
      </c>
      <c r="D136" s="23" t="inlineStr">
        <is>
          <t>1.1.1 Guideway and Civil - Guideway Structures</t>
        </is>
      </c>
      <c r="E136" s="23" t="inlineStr">
        <is>
          <t>Carried forward</t>
        </is>
      </c>
      <c r="F136" s="23" t="inlineStr"/>
      <c r="G136" s="23" t="inlineStr">
        <is>
          <t>Source assignment -- not individually reviewed</t>
        </is>
      </c>
      <c r="H136" s="14" t="inlineStr">
        <is>
          <t>10 EVIDENCE &amp; DECISIONS</t>
        </is>
      </c>
    </row>
    <row r="137" ht="34" customHeight="1">
      <c r="A137" s="23" t="inlineStr">
        <is>
          <t>R23-v2</t>
        </is>
      </c>
      <c r="B137" s="23" t="inlineStr">
        <is>
          <t>Contractor Programme</t>
        </is>
      </c>
      <c r="C137" s="23" t="inlineStr">
        <is>
          <t>SCH-01-023</t>
        </is>
      </c>
      <c r="D137" s="23" t="inlineStr">
        <is>
          <t>1.1.1 Guideway and Civil - Guideway Structures</t>
        </is>
      </c>
      <c r="E137" s="23" t="inlineStr">
        <is>
          <t>Carried forward</t>
        </is>
      </c>
      <c r="F137" s="23" t="inlineStr"/>
      <c r="G137" s="23" t="inlineStr">
        <is>
          <t>Source assignment -- not individually reviewed</t>
        </is>
      </c>
      <c r="H137" s="14" t="inlineStr">
        <is>
          <t>10 EVIDENCE &amp; DECISIONS</t>
        </is>
      </c>
    </row>
    <row r="138" ht="34" customHeight="1">
      <c r="A138" s="23" t="inlineStr">
        <is>
          <t>R25-v2</t>
        </is>
      </c>
      <c r="B138" s="23" t="inlineStr">
        <is>
          <t>Contractor Programme</t>
        </is>
      </c>
      <c r="C138" s="23" t="inlineStr">
        <is>
          <t>SCH-01-025</t>
        </is>
      </c>
      <c r="D138" s="23" t="inlineStr">
        <is>
          <t>1.1.1 Guideway and Civil - Guideway Structures</t>
        </is>
      </c>
      <c r="E138" s="23" t="inlineStr">
        <is>
          <t>Carried forward</t>
        </is>
      </c>
      <c r="F138" s="23" t="inlineStr"/>
      <c r="G138" s="23" t="inlineStr">
        <is>
          <t>Source assignment -- not individually reviewed</t>
        </is>
      </c>
      <c r="H138" s="14" t="inlineStr">
        <is>
          <t>10 EVIDENCE &amp; DECISIONS</t>
        </is>
      </c>
    </row>
    <row r="139" ht="34" customHeight="1">
      <c r="A139" s="23" t="inlineStr">
        <is>
          <t>R26-v2</t>
        </is>
      </c>
      <c r="B139" s="23" t="inlineStr">
        <is>
          <t>Contractor Programme</t>
        </is>
      </c>
      <c r="C139" s="23" t="inlineStr">
        <is>
          <t>SCH-01-026</t>
        </is>
      </c>
      <c r="D139" s="23" t="inlineStr">
        <is>
          <t>1.1.1 Guideway and Civil - Guideway Structures</t>
        </is>
      </c>
      <c r="E139" s="23" t="inlineStr">
        <is>
          <t>Carried forward</t>
        </is>
      </c>
      <c r="F139" s="23" t="inlineStr"/>
      <c r="G139" s="23" t="inlineStr">
        <is>
          <t>Source assignment -- not individually reviewed</t>
        </is>
      </c>
      <c r="H139" s="14" t="inlineStr">
        <is>
          <t>10 EVIDENCE &amp; DECISIONS</t>
        </is>
      </c>
    </row>
    <row r="140" ht="34" customHeight="1">
      <c r="A140" s="23" t="inlineStr">
        <is>
          <t>R28-v2</t>
        </is>
      </c>
      <c r="B140" s="23" t="inlineStr">
        <is>
          <t>Contractor Programme</t>
        </is>
      </c>
      <c r="C140" s="23" t="inlineStr">
        <is>
          <t>SCH-01-028</t>
        </is>
      </c>
      <c r="D140" s="23" t="inlineStr">
        <is>
          <t>1.1.1 Guideway and Civil - Guideway Structures</t>
        </is>
      </c>
      <c r="E140" s="23" t="inlineStr">
        <is>
          <t>Carried forward</t>
        </is>
      </c>
      <c r="F140" s="23" t="inlineStr"/>
      <c r="G140" s="23" t="inlineStr">
        <is>
          <t>Source assignment -- not individually reviewed</t>
        </is>
      </c>
      <c r="H140" s="14" t="inlineStr">
        <is>
          <t>10 EVIDENCE &amp; DECISIONS</t>
        </is>
      </c>
    </row>
    <row r="141" ht="34" customHeight="1">
      <c r="A141" s="23" t="inlineStr">
        <is>
          <t>R29-v2</t>
        </is>
      </c>
      <c r="B141" s="23" t="inlineStr">
        <is>
          <t>Contractor Programme</t>
        </is>
      </c>
      <c r="C141" s="23" t="inlineStr">
        <is>
          <t>SCH-01-029</t>
        </is>
      </c>
      <c r="D141" s="23" t="inlineStr">
        <is>
          <t>1.1.1 Guideway and Civil - Guideway Structures</t>
        </is>
      </c>
      <c r="E141" s="23" t="inlineStr">
        <is>
          <t>Carried forward</t>
        </is>
      </c>
      <c r="F141" s="23" t="inlineStr"/>
      <c r="G141" s="23" t="inlineStr">
        <is>
          <t>Source assignment -- not individually reviewed</t>
        </is>
      </c>
      <c r="H141" s="14" t="inlineStr">
        <is>
          <t>10 EVIDENCE &amp; DECISIONS</t>
        </is>
      </c>
    </row>
    <row r="142" ht="34" customHeight="1">
      <c r="A142" s="23" t="inlineStr">
        <is>
          <t>R31-v2</t>
        </is>
      </c>
      <c r="B142" s="23" t="inlineStr">
        <is>
          <t>Contractor Programme</t>
        </is>
      </c>
      <c r="C142" s="23" t="inlineStr">
        <is>
          <t>SCH-01-031</t>
        </is>
      </c>
      <c r="D142" s="23" t="inlineStr">
        <is>
          <t>1.1.1 Guideway and Civil - Guideway Structures</t>
        </is>
      </c>
      <c r="E142" s="23" t="inlineStr">
        <is>
          <t>Carried forward</t>
        </is>
      </c>
      <c r="F142" s="23" t="inlineStr"/>
      <c r="G142" s="23" t="inlineStr">
        <is>
          <t>Source assignment -- not individually reviewed</t>
        </is>
      </c>
      <c r="H142" s="14" t="inlineStr">
        <is>
          <t>10 EVIDENCE &amp; DECISIONS</t>
        </is>
      </c>
    </row>
    <row r="143" ht="34" customHeight="1">
      <c r="A143" s="23" t="inlineStr">
        <is>
          <t>R32-v2</t>
        </is>
      </c>
      <c r="B143" s="23" t="inlineStr">
        <is>
          <t>Contractor Programme</t>
        </is>
      </c>
      <c r="C143" s="23" t="inlineStr">
        <is>
          <t>SCH-01-032</t>
        </is>
      </c>
      <c r="D143" s="23" t="inlineStr">
        <is>
          <t>1.1.1 Guideway and Civil - Guideway Structures</t>
        </is>
      </c>
      <c r="E143" s="23" t="inlineStr">
        <is>
          <t>Carried forward</t>
        </is>
      </c>
      <c r="F143" s="23" t="inlineStr"/>
      <c r="G143" s="23" t="inlineStr">
        <is>
          <t>Source assignment -- not individually reviewed</t>
        </is>
      </c>
      <c r="H143" s="14" t="inlineStr">
        <is>
          <t>10 EVIDENCE &amp; DECISIONS</t>
        </is>
      </c>
    </row>
    <row r="144" ht="34" customHeight="1">
      <c r="A144" s="23" t="inlineStr">
        <is>
          <t>R34-v2</t>
        </is>
      </c>
      <c r="B144" s="23" t="inlineStr">
        <is>
          <t>Contractor Programme</t>
        </is>
      </c>
      <c r="C144" s="23" t="inlineStr">
        <is>
          <t>SCH-01-034</t>
        </is>
      </c>
      <c r="D144" s="23" t="inlineStr">
        <is>
          <t>1.1.1 Guideway and Civil - Guideway Structures</t>
        </is>
      </c>
      <c r="E144" s="23" t="inlineStr">
        <is>
          <t>Carried forward</t>
        </is>
      </c>
      <c r="F144" s="23" t="inlineStr"/>
      <c r="G144" s="23" t="inlineStr">
        <is>
          <t>Source assignment -- not individually reviewed</t>
        </is>
      </c>
      <c r="H144" s="14" t="inlineStr">
        <is>
          <t>10 EVIDENCE &amp; DECISIONS</t>
        </is>
      </c>
    </row>
    <row r="145" ht="34" customHeight="1">
      <c r="A145" s="23" t="inlineStr">
        <is>
          <t>R35-v2</t>
        </is>
      </c>
      <c r="B145" s="23" t="inlineStr">
        <is>
          <t>Contractor Programme</t>
        </is>
      </c>
      <c r="C145" s="23" t="inlineStr">
        <is>
          <t>SCH-01-035</t>
        </is>
      </c>
      <c r="D145" s="23" t="inlineStr">
        <is>
          <t>1.1.1 Guideway and Civil - Guideway Structures</t>
        </is>
      </c>
      <c r="E145" s="23" t="inlineStr">
        <is>
          <t>Carried forward</t>
        </is>
      </c>
      <c r="F145" s="23" t="inlineStr"/>
      <c r="G145" s="23" t="inlineStr">
        <is>
          <t>Source assignment -- not individually reviewed</t>
        </is>
      </c>
      <c r="H145" s="14" t="inlineStr">
        <is>
          <t>10 EVIDENCE &amp; DECISIONS</t>
        </is>
      </c>
    </row>
    <row r="146" ht="34" customHeight="1">
      <c r="A146" s="23" t="inlineStr">
        <is>
          <t>R37-v2</t>
        </is>
      </c>
      <c r="B146" s="23" t="inlineStr">
        <is>
          <t>Contractor Programme</t>
        </is>
      </c>
      <c r="C146" s="23" t="inlineStr">
        <is>
          <t>SCH-01-037</t>
        </is>
      </c>
      <c r="D146" s="23" t="inlineStr">
        <is>
          <t>1.1.1 Guideway and Civil - Guideway Structures</t>
        </is>
      </c>
      <c r="E146" s="23" t="inlineStr">
        <is>
          <t>Carried forward</t>
        </is>
      </c>
      <c r="F146" s="23" t="inlineStr"/>
      <c r="G146" s="23" t="inlineStr">
        <is>
          <t>Source assignment -- not individually reviewed</t>
        </is>
      </c>
      <c r="H146" s="14" t="inlineStr">
        <is>
          <t>10 EVIDENCE &amp; DECISIONS</t>
        </is>
      </c>
    </row>
    <row r="147" ht="34" customHeight="1">
      <c r="A147" s="23" t="inlineStr">
        <is>
          <t>R38-v2</t>
        </is>
      </c>
      <c r="B147" s="23" t="inlineStr">
        <is>
          <t>Contractor Programme</t>
        </is>
      </c>
      <c r="C147" s="23" t="inlineStr">
        <is>
          <t>SCH-01-038</t>
        </is>
      </c>
      <c r="D147" s="23" t="inlineStr">
        <is>
          <t>1.1.1 Guideway and Civil - Guideway Structures</t>
        </is>
      </c>
      <c r="E147" s="23" t="inlineStr">
        <is>
          <t>Carried forward</t>
        </is>
      </c>
      <c r="F147" s="23" t="inlineStr"/>
      <c r="G147" s="23" t="inlineStr">
        <is>
          <t>Source assignment -- not individually reviewed</t>
        </is>
      </c>
      <c r="H147" s="14" t="inlineStr">
        <is>
          <t>10 EVIDENCE &amp; DECISIONS</t>
        </is>
      </c>
    </row>
    <row r="148" ht="34" customHeight="1">
      <c r="A148" s="23" t="inlineStr">
        <is>
          <t>R4-v2</t>
        </is>
      </c>
      <c r="B148" s="23" t="inlineStr">
        <is>
          <t>Contractor Programme</t>
        </is>
      </c>
      <c r="C148" s="23" t="inlineStr">
        <is>
          <t>SCH-01-004</t>
        </is>
      </c>
      <c r="D148" s="23" t="inlineStr">
        <is>
          <t>1.1.1 Guideway and Civil - Guideway Structures</t>
        </is>
      </c>
      <c r="E148" s="23" t="inlineStr">
        <is>
          <t>Carried forward</t>
        </is>
      </c>
      <c r="F148" s="23" t="inlineStr"/>
      <c r="G148" s="23" t="inlineStr">
        <is>
          <t>Source assignment -- not individually reviewed</t>
        </is>
      </c>
      <c r="H148" s="14" t="inlineStr">
        <is>
          <t>10 EVIDENCE &amp; DECISIONS</t>
        </is>
      </c>
    </row>
    <row r="149" ht="34" customHeight="1">
      <c r="A149" s="23" t="inlineStr">
        <is>
          <t>R40-v2</t>
        </is>
      </c>
      <c r="B149" s="23" t="inlineStr">
        <is>
          <t>Contractor Programme</t>
        </is>
      </c>
      <c r="C149" s="23" t="inlineStr">
        <is>
          <t>SCH-01-040</t>
        </is>
      </c>
      <c r="D149" s="23" t="inlineStr">
        <is>
          <t>1.1.1 Guideway and Civil - Guideway Structures</t>
        </is>
      </c>
      <c r="E149" s="23" t="inlineStr">
        <is>
          <t>Carried forward</t>
        </is>
      </c>
      <c r="F149" s="23" t="inlineStr"/>
      <c r="G149" s="23" t="inlineStr">
        <is>
          <t>Source assignment -- not individually reviewed</t>
        </is>
      </c>
      <c r="H149" s="14" t="inlineStr">
        <is>
          <t>10 EVIDENCE &amp; DECISIONS</t>
        </is>
      </c>
    </row>
    <row r="150" ht="34" customHeight="1">
      <c r="A150" s="23" t="inlineStr">
        <is>
          <t>R41-v2</t>
        </is>
      </c>
      <c r="B150" s="23" t="inlineStr">
        <is>
          <t>Contractor Programme</t>
        </is>
      </c>
      <c r="C150" s="23" t="inlineStr">
        <is>
          <t>SCH-01-041</t>
        </is>
      </c>
      <c r="D150" s="23" t="inlineStr">
        <is>
          <t>1.1.1 Guideway and Civil - Guideway Structures</t>
        </is>
      </c>
      <c r="E150" s="23" t="inlineStr">
        <is>
          <t>Carried forward</t>
        </is>
      </c>
      <c r="F150" s="23" t="inlineStr"/>
      <c r="G150" s="23" t="inlineStr">
        <is>
          <t>Source assignment -- not individually reviewed</t>
        </is>
      </c>
      <c r="H150" s="14" t="inlineStr">
        <is>
          <t>10 EVIDENCE &amp; DECISIONS</t>
        </is>
      </c>
    </row>
    <row r="151" ht="34" customHeight="1">
      <c r="A151" s="23" t="inlineStr">
        <is>
          <t>R43-v2</t>
        </is>
      </c>
      <c r="B151" s="23" t="inlineStr">
        <is>
          <t>Contractor Programme</t>
        </is>
      </c>
      <c r="C151" s="23" t="inlineStr">
        <is>
          <t>SCH-01-043</t>
        </is>
      </c>
      <c r="D151" s="23" t="inlineStr">
        <is>
          <t>1.1.1 Guideway and Civil - Guideway Structures</t>
        </is>
      </c>
      <c r="E151" s="23" t="inlineStr">
        <is>
          <t>Carried forward</t>
        </is>
      </c>
      <c r="F151" s="23" t="inlineStr"/>
      <c r="G151" s="23" t="inlineStr">
        <is>
          <t>Source assignment -- not individually reviewed</t>
        </is>
      </c>
      <c r="H151" s="14" t="inlineStr">
        <is>
          <t>10 EVIDENCE &amp; DECISIONS</t>
        </is>
      </c>
    </row>
    <row r="152" ht="34" customHeight="1">
      <c r="A152" s="23" t="inlineStr">
        <is>
          <t>R44-v2</t>
        </is>
      </c>
      <c r="B152" s="23" t="inlineStr">
        <is>
          <t>Contractor Programme</t>
        </is>
      </c>
      <c r="C152" s="23" t="inlineStr">
        <is>
          <t>SCH-01-044</t>
        </is>
      </c>
      <c r="D152" s="23" t="inlineStr">
        <is>
          <t>1.1.1 Guideway and Civil - Guideway Structures</t>
        </is>
      </c>
      <c r="E152" s="23" t="inlineStr">
        <is>
          <t>Carried forward</t>
        </is>
      </c>
      <c r="F152" s="23" t="inlineStr"/>
      <c r="G152" s="23" t="inlineStr">
        <is>
          <t>Source assignment -- not individually reviewed</t>
        </is>
      </c>
      <c r="H152" s="14" t="inlineStr">
        <is>
          <t>10 EVIDENCE &amp; DECISIONS</t>
        </is>
      </c>
    </row>
    <row r="153" ht="34" customHeight="1">
      <c r="A153" s="23" t="inlineStr">
        <is>
          <t>R46-v2</t>
        </is>
      </c>
      <c r="B153" s="23" t="inlineStr">
        <is>
          <t>Contractor Programme</t>
        </is>
      </c>
      <c r="C153" s="23" t="inlineStr">
        <is>
          <t>SCH-01-046</t>
        </is>
      </c>
      <c r="D153" s="23" t="inlineStr">
        <is>
          <t>1.1.1 Guideway and Civil - Guideway Structures</t>
        </is>
      </c>
      <c r="E153" s="23" t="inlineStr">
        <is>
          <t>Carried forward</t>
        </is>
      </c>
      <c r="F153" s="23" t="inlineStr"/>
      <c r="G153" s="23" t="inlineStr">
        <is>
          <t>Source assignment -- not individually reviewed</t>
        </is>
      </c>
      <c r="H153" s="14" t="inlineStr">
        <is>
          <t>10 EVIDENCE &amp; DECISIONS</t>
        </is>
      </c>
    </row>
    <row r="154" ht="34" customHeight="1">
      <c r="A154" s="23" t="inlineStr">
        <is>
          <t>R47-v2</t>
        </is>
      </c>
      <c r="B154" s="23" t="inlineStr">
        <is>
          <t>Contractor Programme</t>
        </is>
      </c>
      <c r="C154" s="23" t="inlineStr">
        <is>
          <t>SCH-01-047</t>
        </is>
      </c>
      <c r="D154" s="23" t="inlineStr">
        <is>
          <t>1.1.1 Guideway and Civil - Guideway Structures</t>
        </is>
      </c>
      <c r="E154" s="23" t="inlineStr">
        <is>
          <t>Carried forward</t>
        </is>
      </c>
      <c r="F154" s="23" t="inlineStr"/>
      <c r="G154" s="23" t="inlineStr">
        <is>
          <t>Source assignment -- not individually reviewed</t>
        </is>
      </c>
      <c r="H154" s="14" t="inlineStr">
        <is>
          <t>10 EVIDENCE &amp; DECISIONS</t>
        </is>
      </c>
    </row>
    <row r="155" ht="34" customHeight="1">
      <c r="A155" s="23" t="inlineStr">
        <is>
          <t>R49-v2</t>
        </is>
      </c>
      <c r="B155" s="23" t="inlineStr">
        <is>
          <t>Contractor Programme</t>
        </is>
      </c>
      <c r="C155" s="23" t="inlineStr">
        <is>
          <t>SCH-01-049</t>
        </is>
      </c>
      <c r="D155" s="23" t="inlineStr">
        <is>
          <t>1.1.1 Guideway and Civil - Guideway Structures</t>
        </is>
      </c>
      <c r="E155" s="23" t="inlineStr">
        <is>
          <t>Carried forward</t>
        </is>
      </c>
      <c r="F155" s="23" t="inlineStr"/>
      <c r="G155" s="23" t="inlineStr">
        <is>
          <t>Source assignment -- not individually reviewed</t>
        </is>
      </c>
      <c r="H155" s="14" t="inlineStr">
        <is>
          <t>10 EVIDENCE &amp; DECISIONS</t>
        </is>
      </c>
    </row>
    <row r="156" ht="34" customHeight="1">
      <c r="A156" s="23" t="inlineStr">
        <is>
          <t>R50-v2</t>
        </is>
      </c>
      <c r="B156" s="23" t="inlineStr">
        <is>
          <t>Contractor Programme</t>
        </is>
      </c>
      <c r="C156" s="23" t="inlineStr">
        <is>
          <t>SCH-01-050</t>
        </is>
      </c>
      <c r="D156" s="23" t="inlineStr">
        <is>
          <t>1.1.1 Guideway and Civil - Guideway Structures</t>
        </is>
      </c>
      <c r="E156" s="23" t="inlineStr">
        <is>
          <t>Carried forward</t>
        </is>
      </c>
      <c r="F156" s="23" t="inlineStr"/>
      <c r="G156" s="23" t="inlineStr">
        <is>
          <t>Source assignment -- not individually reviewed</t>
        </is>
      </c>
      <c r="H156" s="14" t="inlineStr">
        <is>
          <t>10 EVIDENCE &amp; DECISIONS</t>
        </is>
      </c>
    </row>
    <row r="157" ht="34" customHeight="1">
      <c r="A157" s="23" t="inlineStr">
        <is>
          <t>R52-v2</t>
        </is>
      </c>
      <c r="B157" s="23" t="inlineStr">
        <is>
          <t>Contractor Programme</t>
        </is>
      </c>
      <c r="C157" s="23" t="inlineStr">
        <is>
          <t>SCH-01-052</t>
        </is>
      </c>
      <c r="D157" s="23" t="inlineStr">
        <is>
          <t>1.1.1 Guideway and Civil - Guideway Structures</t>
        </is>
      </c>
      <c r="E157" s="23" t="inlineStr">
        <is>
          <t>Carried forward</t>
        </is>
      </c>
      <c r="F157" s="23" t="inlineStr"/>
      <c r="G157" s="23" t="inlineStr">
        <is>
          <t>Source assignment -- not individually reviewed</t>
        </is>
      </c>
      <c r="H157" s="14" t="inlineStr">
        <is>
          <t>10 EVIDENCE &amp; DECISIONS</t>
        </is>
      </c>
    </row>
    <row r="158" ht="34" customHeight="1">
      <c r="A158" s="23" t="inlineStr">
        <is>
          <t>R53-v2</t>
        </is>
      </c>
      <c r="B158" s="23" t="inlineStr">
        <is>
          <t>Contractor Programme</t>
        </is>
      </c>
      <c r="C158" s="23" t="inlineStr">
        <is>
          <t>SCH-01-053</t>
        </is>
      </c>
      <c r="D158" s="23" t="inlineStr">
        <is>
          <t>1.1.1 Guideway and Civil - Guideway Structures</t>
        </is>
      </c>
      <c r="E158" s="23" t="inlineStr">
        <is>
          <t>Carried forward</t>
        </is>
      </c>
      <c r="F158" s="23" t="inlineStr"/>
      <c r="G158" s="23" t="inlineStr">
        <is>
          <t>Source assignment -- not individually reviewed</t>
        </is>
      </c>
      <c r="H158" s="14" t="inlineStr">
        <is>
          <t>10 EVIDENCE &amp; DECISIONS</t>
        </is>
      </c>
    </row>
    <row r="159" ht="34" customHeight="1">
      <c r="A159" s="23" t="inlineStr">
        <is>
          <t>R55-v2</t>
        </is>
      </c>
      <c r="B159" s="23" t="inlineStr">
        <is>
          <t>Contractor Programme</t>
        </is>
      </c>
      <c r="C159" s="23" t="inlineStr">
        <is>
          <t>SCH-01-055</t>
        </is>
      </c>
      <c r="D159" s="23" t="inlineStr">
        <is>
          <t>1.1.1 Guideway and Civil - Guideway Structures</t>
        </is>
      </c>
      <c r="E159" s="23" t="inlineStr">
        <is>
          <t>Carried forward</t>
        </is>
      </c>
      <c r="F159" s="23" t="inlineStr"/>
      <c r="G159" s="23" t="inlineStr">
        <is>
          <t>Source assignment -- not individually reviewed</t>
        </is>
      </c>
      <c r="H159" s="14" t="inlineStr">
        <is>
          <t>10 EVIDENCE &amp; DECISIONS</t>
        </is>
      </c>
    </row>
    <row r="160" ht="34" customHeight="1">
      <c r="A160" s="23" t="inlineStr">
        <is>
          <t>R56-v2</t>
        </is>
      </c>
      <c r="B160" s="23" t="inlineStr">
        <is>
          <t>Contractor Programme</t>
        </is>
      </c>
      <c r="C160" s="23" t="inlineStr">
        <is>
          <t>SCH-01-056</t>
        </is>
      </c>
      <c r="D160" s="23" t="inlineStr">
        <is>
          <t>1.1.1 Guideway and Civil - Guideway Structures</t>
        </is>
      </c>
      <c r="E160" s="23" t="inlineStr">
        <is>
          <t>Carried forward</t>
        </is>
      </c>
      <c r="F160" s="23" t="inlineStr"/>
      <c r="G160" s="23" t="inlineStr">
        <is>
          <t>Source assignment -- not individually reviewed</t>
        </is>
      </c>
      <c r="H160" s="14" t="inlineStr">
        <is>
          <t>10 EVIDENCE &amp; DECISIONS</t>
        </is>
      </c>
    </row>
    <row r="161" ht="34" customHeight="1">
      <c r="A161" s="23" t="inlineStr">
        <is>
          <t>R58-v2</t>
        </is>
      </c>
      <c r="B161" s="23" t="inlineStr">
        <is>
          <t>Contractor Programme</t>
        </is>
      </c>
      <c r="C161" s="23" t="inlineStr">
        <is>
          <t>SCH-01-058</t>
        </is>
      </c>
      <c r="D161" s="23" t="inlineStr">
        <is>
          <t>1.1.1 Guideway and Civil - Guideway Structures</t>
        </is>
      </c>
      <c r="E161" s="23" t="inlineStr">
        <is>
          <t>Carried forward</t>
        </is>
      </c>
      <c r="F161" s="23" t="inlineStr"/>
      <c r="G161" s="23" t="inlineStr">
        <is>
          <t>Source assignment -- not individually reviewed</t>
        </is>
      </c>
      <c r="H161" s="14" t="inlineStr">
        <is>
          <t>10 EVIDENCE &amp; DECISIONS</t>
        </is>
      </c>
    </row>
    <row r="162" ht="34" customHeight="1">
      <c r="A162" s="23" t="inlineStr">
        <is>
          <t>R59-v2</t>
        </is>
      </c>
      <c r="B162" s="23" t="inlineStr">
        <is>
          <t>Contractor Programme</t>
        </is>
      </c>
      <c r="C162" s="23" t="inlineStr">
        <is>
          <t>SCH-01-059</t>
        </is>
      </c>
      <c r="D162" s="23" t="inlineStr">
        <is>
          <t>1.1.1 Guideway and Civil - Guideway Structures</t>
        </is>
      </c>
      <c r="E162" s="23" t="inlineStr">
        <is>
          <t>Carried forward</t>
        </is>
      </c>
      <c r="F162" s="23" t="inlineStr"/>
      <c r="G162" s="23" t="inlineStr">
        <is>
          <t>Source assignment -- not individually reviewed</t>
        </is>
      </c>
      <c r="H162" s="14" t="inlineStr">
        <is>
          <t>10 EVIDENCE &amp; DECISIONS</t>
        </is>
      </c>
    </row>
    <row r="163" ht="34" customHeight="1">
      <c r="A163" s="23" t="inlineStr">
        <is>
          <t>R61-v2</t>
        </is>
      </c>
      <c r="B163" s="23" t="inlineStr">
        <is>
          <t>Contractor Programme</t>
        </is>
      </c>
      <c r="C163" s="23" t="inlineStr">
        <is>
          <t>SCH-01-061</t>
        </is>
      </c>
      <c r="D163" s="23" t="inlineStr">
        <is>
          <t>1.1.1 Guideway and Civil - Guideway Structures</t>
        </is>
      </c>
      <c r="E163" s="23" t="inlineStr">
        <is>
          <t>Carried forward</t>
        </is>
      </c>
      <c r="F163" s="23" t="inlineStr"/>
      <c r="G163" s="23" t="inlineStr">
        <is>
          <t>Source assignment -- not individually reviewed</t>
        </is>
      </c>
      <c r="H163" s="14" t="inlineStr">
        <is>
          <t>10 EVIDENCE &amp; DECISIONS</t>
        </is>
      </c>
    </row>
    <row r="164" ht="34" customHeight="1">
      <c r="A164" s="23" t="inlineStr">
        <is>
          <t>R62-v2</t>
        </is>
      </c>
      <c r="B164" s="23" t="inlineStr">
        <is>
          <t>Contractor Programme</t>
        </is>
      </c>
      <c r="C164" s="23" t="inlineStr">
        <is>
          <t>SCH-01-062</t>
        </is>
      </c>
      <c r="D164" s="23" t="inlineStr">
        <is>
          <t>1.1.1 Guideway and Civil - Guideway Structures</t>
        </is>
      </c>
      <c r="E164" s="23" t="inlineStr">
        <is>
          <t>Carried forward</t>
        </is>
      </c>
      <c r="F164" s="23" t="inlineStr"/>
      <c r="G164" s="23" t="inlineStr">
        <is>
          <t>Source assignment -- not individually reviewed</t>
        </is>
      </c>
      <c r="H164" s="14" t="inlineStr">
        <is>
          <t>10 EVIDENCE &amp; DECISIONS</t>
        </is>
      </c>
    </row>
    <row r="165" ht="34" customHeight="1">
      <c r="A165" s="23" t="inlineStr">
        <is>
          <t>R64-v2</t>
        </is>
      </c>
      <c r="B165" s="23" t="inlineStr">
        <is>
          <t>Contractor Programme</t>
        </is>
      </c>
      <c r="C165" s="23" t="inlineStr">
        <is>
          <t>SCH-01-064</t>
        </is>
      </c>
      <c r="D165" s="23" t="inlineStr">
        <is>
          <t>1.1.1 Guideway and Civil - Guideway Structures</t>
        </is>
      </c>
      <c r="E165" s="23" t="inlineStr">
        <is>
          <t>Carried forward</t>
        </is>
      </c>
      <c r="F165" s="23" t="inlineStr"/>
      <c r="G165" s="23" t="inlineStr">
        <is>
          <t>Source assignment -- not individually reviewed</t>
        </is>
      </c>
      <c r="H165" s="14" t="inlineStr">
        <is>
          <t>10 EVIDENCE &amp; DECISIONS</t>
        </is>
      </c>
    </row>
    <row r="166" ht="34" customHeight="1">
      <c r="A166" s="23" t="inlineStr">
        <is>
          <t>R65-v2</t>
        </is>
      </c>
      <c r="B166" s="23" t="inlineStr">
        <is>
          <t>Contractor Programme</t>
        </is>
      </c>
      <c r="C166" s="23" t="inlineStr">
        <is>
          <t>SCH-01-065</t>
        </is>
      </c>
      <c r="D166" s="23" t="inlineStr">
        <is>
          <t>1.1.1 Guideway and Civil - Guideway Structures</t>
        </is>
      </c>
      <c r="E166" s="23" t="inlineStr">
        <is>
          <t>Carried forward</t>
        </is>
      </c>
      <c r="F166" s="23" t="inlineStr"/>
      <c r="G166" s="23" t="inlineStr">
        <is>
          <t>Source assignment -- not individually reviewed</t>
        </is>
      </c>
      <c r="H166" s="14" t="inlineStr">
        <is>
          <t>10 EVIDENCE &amp; DECISIONS</t>
        </is>
      </c>
    </row>
    <row r="167" ht="34" customHeight="1">
      <c r="A167" s="23" t="inlineStr">
        <is>
          <t>R67-v2</t>
        </is>
      </c>
      <c r="B167" s="23" t="inlineStr">
        <is>
          <t>Contractor Programme</t>
        </is>
      </c>
      <c r="C167" s="23" t="inlineStr">
        <is>
          <t>SCH-01-067</t>
        </is>
      </c>
      <c r="D167" s="23" t="inlineStr">
        <is>
          <t>1.1.1 Guideway and Civil - Guideway Structures</t>
        </is>
      </c>
      <c r="E167" s="23" t="inlineStr">
        <is>
          <t>Carried forward</t>
        </is>
      </c>
      <c r="F167" s="23" t="inlineStr"/>
      <c r="G167" s="23" t="inlineStr">
        <is>
          <t>Source assignment -- not individually reviewed</t>
        </is>
      </c>
      <c r="H167" s="14" t="inlineStr">
        <is>
          <t>10 EVIDENCE &amp; DECISIONS</t>
        </is>
      </c>
    </row>
    <row r="168" ht="34" customHeight="1">
      <c r="A168" s="23" t="inlineStr">
        <is>
          <t>R68-v2</t>
        </is>
      </c>
      <c r="B168" s="23" t="inlineStr">
        <is>
          <t>Contractor Programme</t>
        </is>
      </c>
      <c r="C168" s="23" t="inlineStr">
        <is>
          <t>SCH-01-068</t>
        </is>
      </c>
      <c r="D168" s="23" t="inlineStr">
        <is>
          <t>1.1.1 Guideway and Civil - Guideway Structures</t>
        </is>
      </c>
      <c r="E168" s="23" t="inlineStr">
        <is>
          <t>Carried forward</t>
        </is>
      </c>
      <c r="F168" s="23" t="inlineStr"/>
      <c r="G168" s="23" t="inlineStr">
        <is>
          <t>Source assignment -- not individually reviewed</t>
        </is>
      </c>
      <c r="H168" s="14" t="inlineStr">
        <is>
          <t>10 EVIDENCE &amp; DECISIONS</t>
        </is>
      </c>
    </row>
    <row r="169" ht="34" customHeight="1">
      <c r="A169" s="23" t="inlineStr">
        <is>
          <t>R7-v2</t>
        </is>
      </c>
      <c r="B169" s="23" t="inlineStr">
        <is>
          <t>Contractor Programme</t>
        </is>
      </c>
      <c r="C169" s="23" t="inlineStr">
        <is>
          <t>SCH-01-007</t>
        </is>
      </c>
      <c r="D169" s="23" t="inlineStr">
        <is>
          <t>1.1.1 Guideway and Civil - Guideway Structures</t>
        </is>
      </c>
      <c r="E169" s="23" t="inlineStr">
        <is>
          <t>Carried forward</t>
        </is>
      </c>
      <c r="F169" s="23" t="inlineStr"/>
      <c r="G169" s="23" t="inlineStr">
        <is>
          <t>Source assignment -- not individually reviewed</t>
        </is>
      </c>
      <c r="H169" s="14" t="inlineStr">
        <is>
          <t>10 EVIDENCE &amp; DECISIONS</t>
        </is>
      </c>
    </row>
    <row r="170" ht="34" customHeight="1">
      <c r="A170" s="23" t="inlineStr">
        <is>
          <t>R70-v2</t>
        </is>
      </c>
      <c r="B170" s="23" t="inlineStr">
        <is>
          <t>Contractor Programme</t>
        </is>
      </c>
      <c r="C170" s="23" t="inlineStr">
        <is>
          <t>SCH-01-070</t>
        </is>
      </c>
      <c r="D170" s="23" t="inlineStr">
        <is>
          <t>1.1.1 Guideway and Civil - Guideway Structures</t>
        </is>
      </c>
      <c r="E170" s="23" t="inlineStr">
        <is>
          <t>Carried forward</t>
        </is>
      </c>
      <c r="F170" s="23" t="inlineStr"/>
      <c r="G170" s="23" t="inlineStr">
        <is>
          <t>Source assignment -- not individually reviewed</t>
        </is>
      </c>
      <c r="H170" s="14" t="inlineStr">
        <is>
          <t>10 EVIDENCE &amp; DECISIONS</t>
        </is>
      </c>
    </row>
    <row r="171" ht="34" customHeight="1">
      <c r="A171" s="23" t="inlineStr">
        <is>
          <t>R71-v2</t>
        </is>
      </c>
      <c r="B171" s="23" t="inlineStr">
        <is>
          <t>Contractor Programme</t>
        </is>
      </c>
      <c r="C171" s="23" t="inlineStr">
        <is>
          <t>SCH-01-071</t>
        </is>
      </c>
      <c r="D171" s="23" t="inlineStr">
        <is>
          <t>1.1.1 Guideway and Civil - Guideway Structures</t>
        </is>
      </c>
      <c r="E171" s="23" t="inlineStr">
        <is>
          <t>Carried forward</t>
        </is>
      </c>
      <c r="F171" s="23" t="inlineStr"/>
      <c r="G171" s="23" t="inlineStr">
        <is>
          <t>Source assignment -- not individually reviewed</t>
        </is>
      </c>
      <c r="H171" s="14" t="inlineStr">
        <is>
          <t>10 EVIDENCE &amp; DECISIONS</t>
        </is>
      </c>
    </row>
    <row r="172" ht="34" customHeight="1">
      <c r="A172" s="23" t="inlineStr">
        <is>
          <t>R73-v2</t>
        </is>
      </c>
      <c r="B172" s="23" t="inlineStr">
        <is>
          <t>Contractor Programme</t>
        </is>
      </c>
      <c r="C172" s="23" t="inlineStr">
        <is>
          <t>SCH-01-073</t>
        </is>
      </c>
      <c r="D172" s="23" t="inlineStr">
        <is>
          <t>1.1.1 Guideway and Civil - Guideway Structures</t>
        </is>
      </c>
      <c r="E172" s="23" t="inlineStr">
        <is>
          <t>Carried forward</t>
        </is>
      </c>
      <c r="F172" s="23" t="inlineStr"/>
      <c r="G172" s="23" t="inlineStr">
        <is>
          <t>Source assignment -- not individually reviewed</t>
        </is>
      </c>
      <c r="H172" s="14" t="inlineStr">
        <is>
          <t>10 EVIDENCE &amp; DECISIONS</t>
        </is>
      </c>
    </row>
    <row r="173" ht="34" customHeight="1">
      <c r="A173" s="23" t="inlineStr">
        <is>
          <t>R74-v2</t>
        </is>
      </c>
      <c r="B173" s="23" t="inlineStr">
        <is>
          <t>Contractor Programme</t>
        </is>
      </c>
      <c r="C173" s="23" t="inlineStr">
        <is>
          <t>SCH-01-074</t>
        </is>
      </c>
      <c r="D173" s="23" t="inlineStr">
        <is>
          <t>1.1.1 Guideway and Civil - Guideway Structures</t>
        </is>
      </c>
      <c r="E173" s="23" t="inlineStr">
        <is>
          <t>Carried forward</t>
        </is>
      </c>
      <c r="F173" s="23" t="inlineStr"/>
      <c r="G173" s="23" t="inlineStr">
        <is>
          <t>Source assignment -- not individually reviewed</t>
        </is>
      </c>
      <c r="H173" s="14" t="inlineStr">
        <is>
          <t>10 EVIDENCE &amp; DECISIONS</t>
        </is>
      </c>
    </row>
    <row r="174" ht="34" customHeight="1">
      <c r="A174" s="23" t="inlineStr">
        <is>
          <t>R76-v2</t>
        </is>
      </c>
      <c r="B174" s="23" t="inlineStr">
        <is>
          <t>Contractor Programme</t>
        </is>
      </c>
      <c r="C174" s="23" t="inlineStr">
        <is>
          <t>SCH-01-076</t>
        </is>
      </c>
      <c r="D174" s="23" t="inlineStr">
        <is>
          <t>1.1.1 Guideway and Civil - Guideway Structures</t>
        </is>
      </c>
      <c r="E174" s="23" t="inlineStr">
        <is>
          <t>Carried forward</t>
        </is>
      </c>
      <c r="F174" s="23" t="inlineStr"/>
      <c r="G174" s="23" t="inlineStr">
        <is>
          <t>Source assignment -- not individually reviewed</t>
        </is>
      </c>
      <c r="H174" s="14" t="inlineStr">
        <is>
          <t>10 EVIDENCE &amp; DECISIONS</t>
        </is>
      </c>
    </row>
    <row r="175" ht="34" customHeight="1">
      <c r="A175" s="23" t="inlineStr">
        <is>
          <t>R77-v2</t>
        </is>
      </c>
      <c r="B175" s="23" t="inlineStr">
        <is>
          <t>Contractor Programme</t>
        </is>
      </c>
      <c r="C175" s="23" t="inlineStr">
        <is>
          <t>SCH-01-077</t>
        </is>
      </c>
      <c r="D175" s="23" t="inlineStr">
        <is>
          <t>1.1.1 Guideway and Civil - Guideway Structures</t>
        </is>
      </c>
      <c r="E175" s="23" t="inlineStr">
        <is>
          <t>Carried forward</t>
        </is>
      </c>
      <c r="F175" s="23" t="inlineStr"/>
      <c r="G175" s="23" t="inlineStr">
        <is>
          <t>Source assignment -- not individually reviewed</t>
        </is>
      </c>
      <c r="H175" s="14" t="inlineStr">
        <is>
          <t>10 EVIDENCE &amp; DECISIONS</t>
        </is>
      </c>
    </row>
    <row r="176" ht="34" customHeight="1">
      <c r="A176" s="23" t="inlineStr">
        <is>
          <t>R79-v2</t>
        </is>
      </c>
      <c r="B176" s="23" t="inlineStr">
        <is>
          <t>Contractor Programme</t>
        </is>
      </c>
      <c r="C176" s="23" t="inlineStr">
        <is>
          <t>SCH-01-079</t>
        </is>
      </c>
      <c r="D176" s="23" t="inlineStr">
        <is>
          <t>1.1.1 Guideway and Civil - Guideway Structures</t>
        </is>
      </c>
      <c r="E176" s="23" t="inlineStr">
        <is>
          <t>Carried forward</t>
        </is>
      </c>
      <c r="F176" s="23" t="inlineStr"/>
      <c r="G176" s="23" t="inlineStr">
        <is>
          <t>Source assignment -- not individually reviewed</t>
        </is>
      </c>
      <c r="H176" s="14" t="inlineStr">
        <is>
          <t>10 EVIDENCE &amp; DECISIONS</t>
        </is>
      </c>
    </row>
    <row r="177" ht="34" customHeight="1">
      <c r="A177" s="23" t="inlineStr">
        <is>
          <t>R8-v2</t>
        </is>
      </c>
      <c r="B177" s="23" t="inlineStr">
        <is>
          <t>Contractor Programme</t>
        </is>
      </c>
      <c r="C177" s="23" t="inlineStr">
        <is>
          <t>SCH-01-008</t>
        </is>
      </c>
      <c r="D177" s="23" t="inlineStr">
        <is>
          <t>1.1.1 Guideway and Civil - Guideway Structures</t>
        </is>
      </c>
      <c r="E177" s="23" t="inlineStr">
        <is>
          <t>Carried forward</t>
        </is>
      </c>
      <c r="F177" s="23" t="inlineStr"/>
      <c r="G177" s="23" t="inlineStr">
        <is>
          <t>Source assignment -- not individually reviewed</t>
        </is>
      </c>
      <c r="H177" s="14" t="inlineStr">
        <is>
          <t>10 EVIDENCE &amp; DECISIONS</t>
        </is>
      </c>
    </row>
    <row r="178" ht="34" customHeight="1">
      <c r="A178" s="23" t="inlineStr">
        <is>
          <t>R80-v2</t>
        </is>
      </c>
      <c r="B178" s="23" t="inlineStr">
        <is>
          <t>Contractor Programme</t>
        </is>
      </c>
      <c r="C178" s="23" t="inlineStr">
        <is>
          <t>SCH-01-080</t>
        </is>
      </c>
      <c r="D178" s="23" t="inlineStr">
        <is>
          <t>1.1.1 Guideway and Civil - Guideway Structures</t>
        </is>
      </c>
      <c r="E178" s="23" t="inlineStr">
        <is>
          <t>Carried forward</t>
        </is>
      </c>
      <c r="F178" s="23" t="inlineStr"/>
      <c r="G178" s="23" t="inlineStr">
        <is>
          <t>Source assignment -- not individually reviewed</t>
        </is>
      </c>
      <c r="H178" s="14" t="inlineStr">
        <is>
          <t>10 EVIDENCE &amp; DECISIONS</t>
        </is>
      </c>
    </row>
    <row r="179" ht="34" customHeight="1">
      <c r="A179" s="23" t="inlineStr">
        <is>
          <t>R82-v2</t>
        </is>
      </c>
      <c r="B179" s="23" t="inlineStr">
        <is>
          <t>Contractor Programme</t>
        </is>
      </c>
      <c r="C179" s="23" t="inlineStr">
        <is>
          <t>SCH-01-082</t>
        </is>
      </c>
      <c r="D179" s="23" t="inlineStr">
        <is>
          <t>1.1.1 Guideway and Civil - Guideway Structures</t>
        </is>
      </c>
      <c r="E179" s="23" t="inlineStr">
        <is>
          <t>Carried forward</t>
        </is>
      </c>
      <c r="F179" s="23" t="inlineStr"/>
      <c r="G179" s="23" t="inlineStr">
        <is>
          <t>Source assignment -- not individually reviewed</t>
        </is>
      </c>
      <c r="H179" s="14" t="inlineStr">
        <is>
          <t>10 EVIDENCE &amp; DECISIONS</t>
        </is>
      </c>
    </row>
    <row r="180" ht="34" customHeight="1">
      <c r="A180" s="23" t="inlineStr">
        <is>
          <t>R83-v2</t>
        </is>
      </c>
      <c r="B180" s="23" t="inlineStr">
        <is>
          <t>Contractor Programme</t>
        </is>
      </c>
      <c r="C180" s="23" t="inlineStr">
        <is>
          <t>SCH-01-083</t>
        </is>
      </c>
      <c r="D180" s="23" t="inlineStr">
        <is>
          <t>1.1.1 Guideway and Civil - Guideway Structures</t>
        </is>
      </c>
      <c r="E180" s="23" t="inlineStr">
        <is>
          <t>Carried forward</t>
        </is>
      </c>
      <c r="F180" s="23" t="inlineStr"/>
      <c r="G180" s="23" t="inlineStr">
        <is>
          <t>Source assignment -- not individually reviewed</t>
        </is>
      </c>
      <c r="H180" s="14" t="inlineStr">
        <is>
          <t>10 EVIDENCE &amp; DECISIONS</t>
        </is>
      </c>
    </row>
    <row r="181" ht="34" customHeight="1">
      <c r="A181" s="23" t="inlineStr">
        <is>
          <t>R85-v2</t>
        </is>
      </c>
      <c r="B181" s="23" t="inlineStr">
        <is>
          <t>Contractor Programme</t>
        </is>
      </c>
      <c r="C181" s="23" t="inlineStr">
        <is>
          <t>SCH-01-085</t>
        </is>
      </c>
      <c r="D181" s="23" t="inlineStr">
        <is>
          <t>1.1.1 Guideway and Civil - Guideway Structures</t>
        </is>
      </c>
      <c r="E181" s="23" t="inlineStr">
        <is>
          <t>Carried forward</t>
        </is>
      </c>
      <c r="F181" s="23" t="inlineStr"/>
      <c r="G181" s="23" t="inlineStr">
        <is>
          <t>Source assignment -- not individually reviewed</t>
        </is>
      </c>
      <c r="H181" s="14" t="inlineStr">
        <is>
          <t>10 EVIDENCE &amp; DECISIONS</t>
        </is>
      </c>
    </row>
    <row r="182" ht="34" customHeight="1">
      <c r="A182" s="23" t="inlineStr">
        <is>
          <t>R86-v2</t>
        </is>
      </c>
      <c r="B182" s="23" t="inlineStr">
        <is>
          <t>Contractor Programme</t>
        </is>
      </c>
      <c r="C182" s="23" t="inlineStr">
        <is>
          <t>SCH-01-086</t>
        </is>
      </c>
      <c r="D182" s="23" t="inlineStr">
        <is>
          <t>1.1.1 Guideway and Civil - Guideway Structures</t>
        </is>
      </c>
      <c r="E182" s="23" t="inlineStr">
        <is>
          <t>Carried forward</t>
        </is>
      </c>
      <c r="F182" s="23" t="inlineStr"/>
      <c r="G182" s="23" t="inlineStr">
        <is>
          <t>Source assignment -- not individually reviewed</t>
        </is>
      </c>
      <c r="H182" s="14" t="inlineStr">
        <is>
          <t>10 EVIDENCE &amp; DECISIONS</t>
        </is>
      </c>
    </row>
    <row r="183" ht="34" customHeight="1">
      <c r="A183" s="23" t="inlineStr">
        <is>
          <t>R88-v2</t>
        </is>
      </c>
      <c r="B183" s="23" t="inlineStr">
        <is>
          <t>Contractor Programme</t>
        </is>
      </c>
      <c r="C183" s="23" t="inlineStr">
        <is>
          <t>SCH-01-088</t>
        </is>
      </c>
      <c r="D183" s="23" t="inlineStr">
        <is>
          <t>1.1.1 Guideway and Civil - Guideway Structures</t>
        </is>
      </c>
      <c r="E183" s="23" t="inlineStr">
        <is>
          <t>Carried forward</t>
        </is>
      </c>
      <c r="F183" s="23" t="inlineStr"/>
      <c r="G183" s="23" t="inlineStr">
        <is>
          <t>Source assignment -- not individually reviewed</t>
        </is>
      </c>
      <c r="H183" s="14" t="inlineStr">
        <is>
          <t>10 EVIDENCE &amp; DECISIONS</t>
        </is>
      </c>
    </row>
    <row r="184" ht="34" customHeight="1">
      <c r="A184" s="23" t="inlineStr">
        <is>
          <t>R89-v2</t>
        </is>
      </c>
      <c r="B184" s="23" t="inlineStr">
        <is>
          <t>Contractor Programme</t>
        </is>
      </c>
      <c r="C184" s="23" t="inlineStr">
        <is>
          <t>SCH-01-089</t>
        </is>
      </c>
      <c r="D184" s="23" t="inlineStr">
        <is>
          <t>1.1.1 Guideway and Civil - Guideway Structures</t>
        </is>
      </c>
      <c r="E184" s="23" t="inlineStr">
        <is>
          <t>Carried forward</t>
        </is>
      </c>
      <c r="F184" s="23" t="inlineStr"/>
      <c r="G184" s="23" t="inlineStr">
        <is>
          <t>Source assignment -- not individually reviewed</t>
        </is>
      </c>
      <c r="H184" s="14" t="inlineStr">
        <is>
          <t>10 EVIDENCE &amp; DECISIONS</t>
        </is>
      </c>
    </row>
    <row r="185" ht="34" customHeight="1">
      <c r="A185" s="23" t="inlineStr">
        <is>
          <t>R91-v2</t>
        </is>
      </c>
      <c r="B185" s="23" t="inlineStr">
        <is>
          <t>Contractor Programme</t>
        </is>
      </c>
      <c r="C185" s="23" t="inlineStr">
        <is>
          <t>SCH-01-091</t>
        </is>
      </c>
      <c r="D185" s="23" t="inlineStr">
        <is>
          <t>1.1.1 Guideway and Civil - Guideway Structures</t>
        </is>
      </c>
      <c r="E185" s="23" t="inlineStr">
        <is>
          <t>Carried forward</t>
        </is>
      </c>
      <c r="F185" s="23" t="inlineStr"/>
      <c r="G185" s="23" t="inlineStr">
        <is>
          <t>Source assignment -- not individually reviewed</t>
        </is>
      </c>
      <c r="H185" s="14" t="inlineStr">
        <is>
          <t>10 EVIDENCE &amp; DECISIONS</t>
        </is>
      </c>
    </row>
    <row r="186" ht="34" customHeight="1">
      <c r="A186" s="23" t="inlineStr">
        <is>
          <t>R92-v2</t>
        </is>
      </c>
      <c r="B186" s="23" t="inlineStr">
        <is>
          <t>Contractor Programme</t>
        </is>
      </c>
      <c r="C186" s="23" t="inlineStr">
        <is>
          <t>SCH-01-092</t>
        </is>
      </c>
      <c r="D186" s="23" t="inlineStr">
        <is>
          <t>1.1.1 Guideway and Civil - Guideway Structures</t>
        </is>
      </c>
      <c r="E186" s="23" t="inlineStr">
        <is>
          <t>Carried forward</t>
        </is>
      </c>
      <c r="F186" s="23" t="inlineStr"/>
      <c r="G186" s="23" t="inlineStr">
        <is>
          <t>Source assignment -- not individually reviewed</t>
        </is>
      </c>
      <c r="H186" s="14" t="inlineStr">
        <is>
          <t>10 EVIDENCE &amp; DECISIONS</t>
        </is>
      </c>
    </row>
    <row r="187" ht="34" customHeight="1">
      <c r="A187" s="23" t="inlineStr">
        <is>
          <t>R94-v2</t>
        </is>
      </c>
      <c r="B187" s="23" t="inlineStr">
        <is>
          <t>Contractor Programme</t>
        </is>
      </c>
      <c r="C187" s="23" t="inlineStr">
        <is>
          <t>SCH-01-094</t>
        </is>
      </c>
      <c r="D187" s="23" t="inlineStr">
        <is>
          <t>1.1.1 Guideway and Civil - Guideway Structures</t>
        </is>
      </c>
      <c r="E187" s="23" t="inlineStr">
        <is>
          <t>Carried forward</t>
        </is>
      </c>
      <c r="F187" s="23" t="inlineStr"/>
      <c r="G187" s="23" t="inlineStr">
        <is>
          <t>Source assignment -- not individually reviewed</t>
        </is>
      </c>
      <c r="H187" s="14" t="inlineStr">
        <is>
          <t>10 EVIDENCE &amp; DECISIONS</t>
        </is>
      </c>
    </row>
    <row r="188" ht="34" customHeight="1">
      <c r="A188" s="23" t="inlineStr">
        <is>
          <t>R95-v2</t>
        </is>
      </c>
      <c r="B188" s="23" t="inlineStr">
        <is>
          <t>Contractor Programme</t>
        </is>
      </c>
      <c r="C188" s="23" t="inlineStr">
        <is>
          <t>SCH-01-095</t>
        </is>
      </c>
      <c r="D188" s="23" t="inlineStr">
        <is>
          <t>1.1.1 Guideway and Civil - Guideway Structures</t>
        </is>
      </c>
      <c r="E188" s="23" t="inlineStr">
        <is>
          <t>Carried forward</t>
        </is>
      </c>
      <c r="F188" s="23" t="inlineStr"/>
      <c r="G188" s="23" t="inlineStr">
        <is>
          <t>Source assignment -- not individually reviewed</t>
        </is>
      </c>
      <c r="H188" s="14" t="inlineStr">
        <is>
          <t>10 EVIDENCE &amp; DECISIONS</t>
        </is>
      </c>
    </row>
    <row r="189" ht="34" customHeight="1">
      <c r="A189" s="23" t="inlineStr">
        <is>
          <t>R97-v2</t>
        </is>
      </c>
      <c r="B189" s="23" t="inlineStr">
        <is>
          <t>Contractor Programme</t>
        </is>
      </c>
      <c r="C189" s="23" t="inlineStr">
        <is>
          <t>SCH-01-097</t>
        </is>
      </c>
      <c r="D189" s="23" t="inlineStr">
        <is>
          <t>1.1.1 Guideway and Civil - Guideway Structures</t>
        </is>
      </c>
      <c r="E189" s="23" t="inlineStr">
        <is>
          <t>Carried forward</t>
        </is>
      </c>
      <c r="F189" s="23" t="inlineStr"/>
      <c r="G189" s="23" t="inlineStr">
        <is>
          <t>Source assignment -- not individually reviewed</t>
        </is>
      </c>
      <c r="H189" s="14" t="inlineStr">
        <is>
          <t>10 EVIDENCE &amp; DECISIONS</t>
        </is>
      </c>
    </row>
    <row r="190" ht="34" customHeight="1">
      <c r="A190" s="23" t="inlineStr">
        <is>
          <t>R98-v2</t>
        </is>
      </c>
      <c r="B190" s="23" t="inlineStr">
        <is>
          <t>Contractor Programme</t>
        </is>
      </c>
      <c r="C190" s="23" t="inlineStr">
        <is>
          <t>SCH-01-098</t>
        </is>
      </c>
      <c r="D190" s="23" t="inlineStr">
        <is>
          <t>1.1.1 Guideway and Civil - Guideway Structures</t>
        </is>
      </c>
      <c r="E190" s="23" t="inlineStr">
        <is>
          <t>Carried forward</t>
        </is>
      </c>
      <c r="F190" s="23" t="inlineStr"/>
      <c r="G190" s="23" t="inlineStr">
        <is>
          <t>Source assignment -- not individually reviewed</t>
        </is>
      </c>
      <c r="H190" s="14" t="inlineStr">
        <is>
          <t>10 EVIDENCE &amp; DECISIONS</t>
        </is>
      </c>
    </row>
    <row r="191" ht="34" customHeight="1">
      <c r="A191" s="23" t="inlineStr">
        <is>
          <t>R102-v2</t>
        </is>
      </c>
      <c r="B191" s="23" t="inlineStr">
        <is>
          <t>Contractor Programme</t>
        </is>
      </c>
      <c r="C191" s="23" t="inlineStr">
        <is>
          <t>SCH-01-102</t>
        </is>
      </c>
      <c r="D191" s="23" t="inlineStr">
        <is>
          <t>1.1.2 Guideway and Civil - Utility &amp; Roadworks</t>
        </is>
      </c>
      <c r="E191" s="23" t="inlineStr">
        <is>
          <t>Carried forward</t>
        </is>
      </c>
      <c r="F191" s="23" t="inlineStr"/>
      <c r="G191" s="23" t="inlineStr">
        <is>
          <t>Source assignment -- not individually reviewed</t>
        </is>
      </c>
      <c r="H191" s="14" t="inlineStr">
        <is>
          <t>10 EVIDENCE &amp; DECISIONS</t>
        </is>
      </c>
    </row>
    <row r="192" ht="34" customHeight="1">
      <c r="A192" s="23" t="inlineStr">
        <is>
          <t>R105-v2</t>
        </is>
      </c>
      <c r="B192" s="23" t="inlineStr">
        <is>
          <t>Contractor Programme</t>
        </is>
      </c>
      <c r="C192" s="23" t="inlineStr">
        <is>
          <t>SCH-01-105</t>
        </is>
      </c>
      <c r="D192" s="23" t="inlineStr">
        <is>
          <t>1.1.2 Guideway and Civil - Utility &amp; Roadworks</t>
        </is>
      </c>
      <c r="E192" s="23" t="inlineStr">
        <is>
          <t>Carried forward</t>
        </is>
      </c>
      <c r="F192" s="23" t="inlineStr"/>
      <c r="G192" s="23" t="inlineStr">
        <is>
          <t>Source assignment -- not individually reviewed</t>
        </is>
      </c>
      <c r="H192" s="14" t="inlineStr">
        <is>
          <t>10 EVIDENCE &amp; DECISIONS</t>
        </is>
      </c>
    </row>
    <row r="193" ht="34" customHeight="1">
      <c r="A193" s="23" t="inlineStr">
        <is>
          <t>R108-v2</t>
        </is>
      </c>
      <c r="B193" s="23" t="inlineStr">
        <is>
          <t>Contractor Programme</t>
        </is>
      </c>
      <c r="C193" s="23" t="inlineStr">
        <is>
          <t>SCH-01-108</t>
        </is>
      </c>
      <c r="D193" s="23" t="inlineStr">
        <is>
          <t>1.1.2 Guideway and Civil - Utility &amp; Roadworks</t>
        </is>
      </c>
      <c r="E193" s="23" t="inlineStr">
        <is>
          <t>Carried forward</t>
        </is>
      </c>
      <c r="F193" s="23" t="inlineStr"/>
      <c r="G193" s="23" t="inlineStr">
        <is>
          <t>Source assignment -- not individually reviewed</t>
        </is>
      </c>
      <c r="H193" s="14" t="inlineStr">
        <is>
          <t>10 EVIDENCE &amp; DECISIONS</t>
        </is>
      </c>
    </row>
    <row r="194" ht="34" customHeight="1">
      <c r="A194" s="23" t="inlineStr">
        <is>
          <t>R1084-v2</t>
        </is>
      </c>
      <c r="B194" s="23" t="inlineStr">
        <is>
          <t>Cost &amp; Forecast Control Accounts</t>
        </is>
      </c>
      <c r="C194" s="23" t="inlineStr">
        <is>
          <t>CST-01-002</t>
        </is>
      </c>
      <c r="D194" s="23" t="inlineStr">
        <is>
          <t>1.1.2 Guideway and Civil - Utility &amp; Roadworks</t>
        </is>
      </c>
      <c r="E194" s="23" t="inlineStr">
        <is>
          <t>Carried forward</t>
        </is>
      </c>
      <c r="F194" s="23" t="inlineStr"/>
      <c r="G194" s="23" t="inlineStr">
        <is>
          <t>Source assignment -- not individually reviewed</t>
        </is>
      </c>
      <c r="H194" s="14" t="inlineStr">
        <is>
          <t>10 EVIDENCE &amp; DECISIONS</t>
        </is>
      </c>
    </row>
    <row r="195" ht="34" customHeight="1">
      <c r="A195" s="23" t="inlineStr">
        <is>
          <t>R1086-v2</t>
        </is>
      </c>
      <c r="B195" s="23" t="inlineStr">
        <is>
          <t>Cost &amp; Forecast Control Accounts</t>
        </is>
      </c>
      <c r="C195" s="23" t="inlineStr">
        <is>
          <t>CST-01-004</t>
        </is>
      </c>
      <c r="D195" s="23" t="inlineStr">
        <is>
          <t>1.1.2 Guideway and Civil - Utility &amp; Roadworks</t>
        </is>
      </c>
      <c r="E195" s="23" t="inlineStr">
        <is>
          <t>Carried forward</t>
        </is>
      </c>
      <c r="F195" s="23" t="inlineStr"/>
      <c r="G195" s="23" t="inlineStr">
        <is>
          <t>Source assignment -- not individually reviewed</t>
        </is>
      </c>
      <c r="H195" s="14" t="inlineStr">
        <is>
          <t>10 EVIDENCE &amp; DECISIONS</t>
        </is>
      </c>
    </row>
    <row r="196" ht="34" customHeight="1">
      <c r="A196" s="23" t="inlineStr">
        <is>
          <t>R1088-v2</t>
        </is>
      </c>
      <c r="B196" s="23" t="inlineStr">
        <is>
          <t>Cost &amp; Forecast Control Accounts</t>
        </is>
      </c>
      <c r="C196" s="23" t="inlineStr">
        <is>
          <t>CST-01-006</t>
        </is>
      </c>
      <c r="D196" s="23" t="inlineStr">
        <is>
          <t>1.1.2 Guideway and Civil - Utility &amp; Roadworks</t>
        </is>
      </c>
      <c r="E196" s="23" t="inlineStr">
        <is>
          <t>Carried forward</t>
        </is>
      </c>
      <c r="F196" s="23" t="inlineStr"/>
      <c r="G196" s="23" t="inlineStr">
        <is>
          <t>Source assignment -- not individually reviewed</t>
        </is>
      </c>
      <c r="H196" s="14" t="inlineStr">
        <is>
          <t>10 EVIDENCE &amp; DECISIONS</t>
        </is>
      </c>
    </row>
    <row r="197" ht="34" customHeight="1">
      <c r="A197" s="23" t="inlineStr">
        <is>
          <t>R1090-v2</t>
        </is>
      </c>
      <c r="B197" s="23" t="inlineStr">
        <is>
          <t>Cost &amp; Forecast Control Accounts</t>
        </is>
      </c>
      <c r="C197" s="23" t="inlineStr">
        <is>
          <t>CST-01-008</t>
        </is>
      </c>
      <c r="D197" s="23" t="inlineStr">
        <is>
          <t>1.1.2 Guideway and Civil - Utility &amp; Roadworks</t>
        </is>
      </c>
      <c r="E197" s="23" t="inlineStr">
        <is>
          <t>Carried forward</t>
        </is>
      </c>
      <c r="F197" s="23" t="inlineStr"/>
      <c r="G197" s="23" t="inlineStr">
        <is>
          <t>Source assignment -- not individually reviewed</t>
        </is>
      </c>
      <c r="H197" s="14" t="inlineStr">
        <is>
          <t>10 EVIDENCE &amp; DECISIONS</t>
        </is>
      </c>
    </row>
    <row r="198" ht="34" customHeight="1">
      <c r="A198" s="23" t="inlineStr">
        <is>
          <t>R1092-v2</t>
        </is>
      </c>
      <c r="B198" s="23" t="inlineStr">
        <is>
          <t>Cost &amp; Forecast Control Accounts</t>
        </is>
      </c>
      <c r="C198" s="23" t="inlineStr">
        <is>
          <t>CST-01-010</t>
        </is>
      </c>
      <c r="D198" s="23" t="inlineStr">
        <is>
          <t>1.1.2 Guideway and Civil - Utility &amp; Roadworks</t>
        </is>
      </c>
      <c r="E198" s="23" t="inlineStr">
        <is>
          <t>Carried forward</t>
        </is>
      </c>
      <c r="F198" s="23" t="inlineStr"/>
      <c r="G198" s="23" t="inlineStr">
        <is>
          <t>Source assignment -- not individually reviewed</t>
        </is>
      </c>
      <c r="H198" s="14" t="inlineStr">
        <is>
          <t>10 EVIDENCE &amp; DECISIONS</t>
        </is>
      </c>
    </row>
    <row r="199" ht="34" customHeight="1">
      <c r="A199" s="23" t="inlineStr">
        <is>
          <t>R1094-v2</t>
        </is>
      </c>
      <c r="B199" s="23" t="inlineStr">
        <is>
          <t>Cost &amp; Forecast Control Accounts</t>
        </is>
      </c>
      <c r="C199" s="23" t="inlineStr">
        <is>
          <t>CST-01-012</t>
        </is>
      </c>
      <c r="D199" s="23" t="inlineStr">
        <is>
          <t>1.1.2 Guideway and Civil - Utility &amp; Roadworks</t>
        </is>
      </c>
      <c r="E199" s="23" t="inlineStr">
        <is>
          <t>Carried forward</t>
        </is>
      </c>
      <c r="F199" s="23" t="inlineStr"/>
      <c r="G199" s="23" t="inlineStr">
        <is>
          <t>Source assignment -- not individually reviewed</t>
        </is>
      </c>
      <c r="H199" s="14" t="inlineStr">
        <is>
          <t>10 EVIDENCE &amp; DECISIONS</t>
        </is>
      </c>
    </row>
    <row r="200" ht="34" customHeight="1">
      <c r="A200" s="23" t="inlineStr">
        <is>
          <t>R1096-v2</t>
        </is>
      </c>
      <c r="B200" s="23" t="inlineStr">
        <is>
          <t>Cost &amp; Forecast Control Accounts</t>
        </is>
      </c>
      <c r="C200" s="23" t="inlineStr">
        <is>
          <t>CST-01-014</t>
        </is>
      </c>
      <c r="D200" s="23" t="inlineStr">
        <is>
          <t>1.1.2 Guideway and Civil - Utility &amp; Roadworks</t>
        </is>
      </c>
      <c r="E200" s="23" t="inlineStr">
        <is>
          <t>Carried forward</t>
        </is>
      </c>
      <c r="F200" s="23" t="inlineStr"/>
      <c r="G200" s="23" t="inlineStr">
        <is>
          <t>Source assignment -- not individually reviewed</t>
        </is>
      </c>
      <c r="H200" s="14" t="inlineStr">
        <is>
          <t>10 EVIDENCE &amp; DECISIONS</t>
        </is>
      </c>
    </row>
    <row r="201" ht="34" customHeight="1">
      <c r="A201" s="23" t="inlineStr">
        <is>
          <t>R1098-v2</t>
        </is>
      </c>
      <c r="B201" s="23" t="inlineStr">
        <is>
          <t>Cost &amp; Forecast Control Accounts</t>
        </is>
      </c>
      <c r="C201" s="23" t="inlineStr">
        <is>
          <t>CST-01-016</t>
        </is>
      </c>
      <c r="D201" s="23" t="inlineStr">
        <is>
          <t>1.1.2 Guideway and Civil - Utility &amp; Roadworks</t>
        </is>
      </c>
      <c r="E201" s="23" t="inlineStr">
        <is>
          <t>Carried forward</t>
        </is>
      </c>
      <c r="F201" s="23" t="inlineStr"/>
      <c r="G201" s="23" t="inlineStr">
        <is>
          <t>Source assignment -- not individually reviewed</t>
        </is>
      </c>
      <c r="H201" s="14" t="inlineStr">
        <is>
          <t>10 EVIDENCE &amp; DECISIONS</t>
        </is>
      </c>
    </row>
    <row r="202" ht="34" customHeight="1">
      <c r="A202" s="23" t="inlineStr">
        <is>
          <t>R1100-v2</t>
        </is>
      </c>
      <c r="B202" s="23" t="inlineStr">
        <is>
          <t>Cost &amp; Forecast Control Accounts</t>
        </is>
      </c>
      <c r="C202" s="23" t="inlineStr">
        <is>
          <t>CST-01-018</t>
        </is>
      </c>
      <c r="D202" s="23" t="inlineStr">
        <is>
          <t>1.1.2 Guideway and Civil - Utility &amp; Roadworks</t>
        </is>
      </c>
      <c r="E202" s="23" t="inlineStr">
        <is>
          <t>Carried forward</t>
        </is>
      </c>
      <c r="F202" s="23" t="inlineStr"/>
      <c r="G202" s="23" t="inlineStr">
        <is>
          <t>Source assignment -- not individually reviewed</t>
        </is>
      </c>
      <c r="H202" s="14" t="inlineStr">
        <is>
          <t>10 EVIDENCE &amp; DECISIONS</t>
        </is>
      </c>
    </row>
    <row r="203" ht="34" customHeight="1">
      <c r="A203" s="23" t="inlineStr">
        <is>
          <t>R1102-v2</t>
        </is>
      </c>
      <c r="B203" s="23" t="inlineStr">
        <is>
          <t>Cost &amp; Forecast Control Accounts</t>
        </is>
      </c>
      <c r="C203" s="23" t="inlineStr">
        <is>
          <t>CST-01-020</t>
        </is>
      </c>
      <c r="D203" s="23" t="inlineStr">
        <is>
          <t>1.1.2 Guideway and Civil - Utility &amp; Roadworks</t>
        </is>
      </c>
      <c r="E203" s="23" t="inlineStr">
        <is>
          <t>Carried forward</t>
        </is>
      </c>
      <c r="F203" s="23" t="inlineStr"/>
      <c r="G203" s="23" t="inlineStr">
        <is>
          <t>Source assignment -- not individually reviewed</t>
        </is>
      </c>
      <c r="H203" s="14" t="inlineStr">
        <is>
          <t>10 EVIDENCE &amp; DECISIONS</t>
        </is>
      </c>
    </row>
    <row r="204" ht="34" customHeight="1">
      <c r="A204" s="23" t="inlineStr">
        <is>
          <t>R1104-v2</t>
        </is>
      </c>
      <c r="B204" s="23" t="inlineStr">
        <is>
          <t>Cost &amp; Forecast Control Accounts</t>
        </is>
      </c>
      <c r="C204" s="23" t="inlineStr">
        <is>
          <t>CST-01-022</t>
        </is>
      </c>
      <c r="D204" s="23" t="inlineStr">
        <is>
          <t>1.1.2 Guideway and Civil - Utility &amp; Roadworks</t>
        </is>
      </c>
      <c r="E204" s="23" t="inlineStr">
        <is>
          <t>Carried forward</t>
        </is>
      </c>
      <c r="F204" s="23" t="inlineStr"/>
      <c r="G204" s="23" t="inlineStr">
        <is>
          <t>Source assignment -- not individually reviewed</t>
        </is>
      </c>
      <c r="H204" s="14" t="inlineStr">
        <is>
          <t>10 EVIDENCE &amp; DECISIONS</t>
        </is>
      </c>
    </row>
    <row r="205" ht="34" customHeight="1">
      <c r="A205" s="23" t="inlineStr">
        <is>
          <t>R1106-v2</t>
        </is>
      </c>
      <c r="B205" s="23" t="inlineStr">
        <is>
          <t>Cost &amp; Forecast Control Accounts</t>
        </is>
      </c>
      <c r="C205" s="23" t="inlineStr">
        <is>
          <t>CST-01-024</t>
        </is>
      </c>
      <c r="D205" s="23" t="inlineStr">
        <is>
          <t>1.1.2 Guideway and Civil - Utility &amp; Roadworks</t>
        </is>
      </c>
      <c r="E205" s="23" t="inlineStr">
        <is>
          <t>Carried forward</t>
        </is>
      </c>
      <c r="F205" s="23" t="inlineStr"/>
      <c r="G205" s="23" t="inlineStr">
        <is>
          <t>Source assignment -- not individually reviewed</t>
        </is>
      </c>
      <c r="H205" s="14" t="inlineStr">
        <is>
          <t>10 EVIDENCE &amp; DECISIONS</t>
        </is>
      </c>
    </row>
    <row r="206" ht="34" customHeight="1">
      <c r="A206" s="23" t="inlineStr">
        <is>
          <t>R1108-v2</t>
        </is>
      </c>
      <c r="B206" s="23" t="inlineStr">
        <is>
          <t>Cost &amp; Forecast Control Accounts</t>
        </is>
      </c>
      <c r="C206" s="23" t="inlineStr">
        <is>
          <t>CST-01-026</t>
        </is>
      </c>
      <c r="D206" s="23" t="inlineStr">
        <is>
          <t>1.1.2 Guideway and Civil - Utility &amp; Roadworks</t>
        </is>
      </c>
      <c r="E206" s="23" t="inlineStr">
        <is>
          <t>Carried forward</t>
        </is>
      </c>
      <c r="F206" s="23" t="inlineStr"/>
      <c r="G206" s="23" t="inlineStr">
        <is>
          <t>Source assignment -- not individually reviewed</t>
        </is>
      </c>
      <c r="H206" s="14" t="inlineStr">
        <is>
          <t>10 EVIDENCE &amp; DECISIONS</t>
        </is>
      </c>
    </row>
    <row r="207" ht="34" customHeight="1">
      <c r="A207" s="23" t="inlineStr">
        <is>
          <t>R111-v2</t>
        </is>
      </c>
      <c r="B207" s="23" t="inlineStr">
        <is>
          <t>Contractor Programme</t>
        </is>
      </c>
      <c r="C207" s="23" t="inlineStr">
        <is>
          <t>SCH-01-111</t>
        </is>
      </c>
      <c r="D207" s="23" t="inlineStr">
        <is>
          <t>1.1.2 Guideway and Civil - Utility &amp; Roadworks</t>
        </is>
      </c>
      <c r="E207" s="23" t="inlineStr">
        <is>
          <t>Carried forward</t>
        </is>
      </c>
      <c r="F207" s="23" t="inlineStr"/>
      <c r="G207" s="23" t="inlineStr">
        <is>
          <t>Source assignment -- not individually reviewed</t>
        </is>
      </c>
      <c r="H207" s="14" t="inlineStr">
        <is>
          <t>10 EVIDENCE &amp; DECISIONS</t>
        </is>
      </c>
    </row>
    <row r="208" ht="34" customHeight="1">
      <c r="A208" s="23" t="inlineStr">
        <is>
          <t>R1110-v2</t>
        </is>
      </c>
      <c r="B208" s="23" t="inlineStr">
        <is>
          <t>Cost &amp; Forecast Control Accounts</t>
        </is>
      </c>
      <c r="C208" s="23" t="inlineStr">
        <is>
          <t>CST-01-028</t>
        </is>
      </c>
      <c r="D208" s="23" t="inlineStr">
        <is>
          <t>1.1.2 Guideway and Civil - Utility &amp; Roadworks</t>
        </is>
      </c>
      <c r="E208" s="23" t="inlineStr">
        <is>
          <t>Carried forward</t>
        </is>
      </c>
      <c r="F208" s="23" t="inlineStr"/>
      <c r="G208" s="23" t="inlineStr">
        <is>
          <t>Source assignment -- not individually reviewed</t>
        </is>
      </c>
      <c r="H208" s="14" t="inlineStr">
        <is>
          <t>10 EVIDENCE &amp; DECISIONS</t>
        </is>
      </c>
    </row>
    <row r="209" ht="34" customHeight="1">
      <c r="A209" s="23" t="inlineStr">
        <is>
          <t>R1112-v2</t>
        </is>
      </c>
      <c r="B209" s="23" t="inlineStr">
        <is>
          <t>Cost &amp; Forecast Control Accounts</t>
        </is>
      </c>
      <c r="C209" s="23" t="inlineStr">
        <is>
          <t>CST-01-030</t>
        </is>
      </c>
      <c r="D209" s="23" t="inlineStr">
        <is>
          <t>1.1.2 Guideway and Civil - Utility &amp; Roadworks</t>
        </is>
      </c>
      <c r="E209" s="23" t="inlineStr">
        <is>
          <t>Carried forward</t>
        </is>
      </c>
      <c r="F209" s="23" t="inlineStr"/>
      <c r="G209" s="23" t="inlineStr">
        <is>
          <t>Source assignment -- not individually reviewed</t>
        </is>
      </c>
      <c r="H209" s="14" t="inlineStr">
        <is>
          <t>10 EVIDENCE &amp; DECISIONS</t>
        </is>
      </c>
    </row>
    <row r="210" ht="34" customHeight="1">
      <c r="A210" s="23" t="inlineStr">
        <is>
          <t>R1114-v2</t>
        </is>
      </c>
      <c r="B210" s="23" t="inlineStr">
        <is>
          <t>Cost &amp; Forecast Control Accounts</t>
        </is>
      </c>
      <c r="C210" s="23" t="inlineStr">
        <is>
          <t>CST-01-032</t>
        </is>
      </c>
      <c r="D210" s="23" t="inlineStr">
        <is>
          <t>1.1.2 Guideway and Civil - Utility &amp; Roadworks</t>
        </is>
      </c>
      <c r="E210" s="23" t="inlineStr">
        <is>
          <t>Carried forward</t>
        </is>
      </c>
      <c r="F210" s="23" t="inlineStr"/>
      <c r="G210" s="23" t="inlineStr">
        <is>
          <t>Source assignment -- not individually reviewed</t>
        </is>
      </c>
      <c r="H210" s="14" t="inlineStr">
        <is>
          <t>10 EVIDENCE &amp; DECISIONS</t>
        </is>
      </c>
    </row>
    <row r="211" ht="34" customHeight="1">
      <c r="A211" s="23" t="inlineStr">
        <is>
          <t>R1116-v2</t>
        </is>
      </c>
      <c r="B211" s="23" t="inlineStr">
        <is>
          <t>Cost &amp; Forecast Control Accounts</t>
        </is>
      </c>
      <c r="C211" s="23" t="inlineStr">
        <is>
          <t>CST-01-034</t>
        </is>
      </c>
      <c r="D211" s="23" t="inlineStr">
        <is>
          <t>1.1.2 Guideway and Civil - Utility &amp; Roadworks</t>
        </is>
      </c>
      <c r="E211" s="23" t="inlineStr">
        <is>
          <t>Carried forward</t>
        </is>
      </c>
      <c r="F211" s="23" t="inlineStr"/>
      <c r="G211" s="23" t="inlineStr">
        <is>
          <t>Source assignment -- not individually reviewed</t>
        </is>
      </c>
      <c r="H211" s="14" t="inlineStr">
        <is>
          <t>10 EVIDENCE &amp; DECISIONS</t>
        </is>
      </c>
    </row>
    <row r="212" ht="34" customHeight="1">
      <c r="A212" s="23" t="inlineStr">
        <is>
          <t>R1118-v2</t>
        </is>
      </c>
      <c r="B212" s="23" t="inlineStr">
        <is>
          <t>Cost &amp; Forecast Control Accounts</t>
        </is>
      </c>
      <c r="C212" s="23" t="inlineStr">
        <is>
          <t>CST-01-036</t>
        </is>
      </c>
      <c r="D212" s="23" t="inlineStr">
        <is>
          <t>1.1.2 Guideway and Civil - Utility &amp; Roadworks</t>
        </is>
      </c>
      <c r="E212" s="23" t="inlineStr">
        <is>
          <t>Carried forward</t>
        </is>
      </c>
      <c r="F212" s="23" t="inlineStr"/>
      <c r="G212" s="23" t="inlineStr">
        <is>
          <t>Source assignment -- not individually reviewed</t>
        </is>
      </c>
      <c r="H212" s="14" t="inlineStr">
        <is>
          <t>10 EVIDENCE &amp; DECISIONS</t>
        </is>
      </c>
    </row>
    <row r="213" ht="34" customHeight="1">
      <c r="A213" s="23" t="inlineStr">
        <is>
          <t>R1120-v2</t>
        </is>
      </c>
      <c r="B213" s="23" t="inlineStr">
        <is>
          <t>Cost &amp; Forecast Control Accounts</t>
        </is>
      </c>
      <c r="C213" s="23" t="inlineStr">
        <is>
          <t>CST-01-038</t>
        </is>
      </c>
      <c r="D213" s="23" t="inlineStr">
        <is>
          <t>1.1.2 Guideway and Civil - Utility &amp; Roadworks</t>
        </is>
      </c>
      <c r="E213" s="23" t="inlineStr">
        <is>
          <t>Carried forward</t>
        </is>
      </c>
      <c r="F213" s="23" t="inlineStr"/>
      <c r="G213" s="23" t="inlineStr">
        <is>
          <t>Source assignment -- not individually reviewed</t>
        </is>
      </c>
      <c r="H213" s="14" t="inlineStr">
        <is>
          <t>10 EVIDENCE &amp; DECISIONS</t>
        </is>
      </c>
    </row>
    <row r="214" ht="34" customHeight="1">
      <c r="A214" s="23" t="inlineStr">
        <is>
          <t>R1122-v2</t>
        </is>
      </c>
      <c r="B214" s="23" t="inlineStr">
        <is>
          <t>Cost &amp; Forecast Control Accounts</t>
        </is>
      </c>
      <c r="C214" s="23" t="inlineStr">
        <is>
          <t>CST-01-040</t>
        </is>
      </c>
      <c r="D214" s="23" t="inlineStr">
        <is>
          <t>1.1.2 Guideway and Civil - Utility &amp; Roadworks</t>
        </is>
      </c>
      <c r="E214" s="23" t="inlineStr">
        <is>
          <t>Carried forward</t>
        </is>
      </c>
      <c r="F214" s="23" t="inlineStr"/>
      <c r="G214" s="23" t="inlineStr">
        <is>
          <t>Source assignment -- not individually reviewed</t>
        </is>
      </c>
      <c r="H214" s="14" t="inlineStr">
        <is>
          <t>10 EVIDENCE &amp; DECISIONS</t>
        </is>
      </c>
    </row>
    <row r="215" ht="34" customHeight="1">
      <c r="A215" s="23" t="inlineStr">
        <is>
          <t>R1124-v2</t>
        </is>
      </c>
      <c r="B215" s="23" t="inlineStr">
        <is>
          <t>Cost &amp; Forecast Control Accounts</t>
        </is>
      </c>
      <c r="C215" s="23" t="inlineStr">
        <is>
          <t>CST-01-042</t>
        </is>
      </c>
      <c r="D215" s="23" t="inlineStr">
        <is>
          <t>1.1.2 Guideway and Civil - Utility &amp; Roadworks</t>
        </is>
      </c>
      <c r="E215" s="23" t="inlineStr">
        <is>
          <t>Carried forward</t>
        </is>
      </c>
      <c r="F215" s="23" t="inlineStr"/>
      <c r="G215" s="23" t="inlineStr">
        <is>
          <t>Source assignment -- not individually reviewed</t>
        </is>
      </c>
      <c r="H215" s="14" t="inlineStr">
        <is>
          <t>10 EVIDENCE &amp; DECISIONS</t>
        </is>
      </c>
    </row>
    <row r="216" ht="34" customHeight="1">
      <c r="A216" s="23" t="inlineStr">
        <is>
          <t>R1126-v2</t>
        </is>
      </c>
      <c r="B216" s="23" t="inlineStr">
        <is>
          <t>Cost &amp; Forecast Control Accounts</t>
        </is>
      </c>
      <c r="C216" s="23" t="inlineStr">
        <is>
          <t>CST-01-044</t>
        </is>
      </c>
      <c r="D216" s="23" t="inlineStr">
        <is>
          <t>1.1.2 Guideway and Civil - Utility &amp; Roadworks</t>
        </is>
      </c>
      <c r="E216" s="23" t="inlineStr">
        <is>
          <t>Carried forward</t>
        </is>
      </c>
      <c r="F216" s="23" t="inlineStr"/>
      <c r="G216" s="23" t="inlineStr">
        <is>
          <t>Source assignment -- not individually reviewed</t>
        </is>
      </c>
      <c r="H216" s="14" t="inlineStr">
        <is>
          <t>10 EVIDENCE &amp; DECISIONS</t>
        </is>
      </c>
    </row>
    <row r="217" ht="34" customHeight="1">
      <c r="A217" s="23" t="inlineStr">
        <is>
          <t>R1128-v2</t>
        </is>
      </c>
      <c r="B217" s="23" t="inlineStr">
        <is>
          <t>Cost &amp; Forecast Control Accounts</t>
        </is>
      </c>
      <c r="C217" s="23" t="inlineStr">
        <is>
          <t>CST-01-046</t>
        </is>
      </c>
      <c r="D217" s="23" t="inlineStr">
        <is>
          <t>1.1.2 Guideway and Civil - Utility &amp; Roadworks</t>
        </is>
      </c>
      <c r="E217" s="23" t="inlineStr">
        <is>
          <t>Carried forward</t>
        </is>
      </c>
      <c r="F217" s="23" t="inlineStr"/>
      <c r="G217" s="23" t="inlineStr">
        <is>
          <t>Source assignment -- not individually reviewed</t>
        </is>
      </c>
      <c r="H217" s="14" t="inlineStr">
        <is>
          <t>10 EVIDENCE &amp; DECISIONS</t>
        </is>
      </c>
    </row>
    <row r="218" ht="34" customHeight="1">
      <c r="A218" s="23" t="inlineStr">
        <is>
          <t>R1130-v2</t>
        </is>
      </c>
      <c r="B218" s="23" t="inlineStr">
        <is>
          <t>Cost &amp; Forecast Control Accounts</t>
        </is>
      </c>
      <c r="C218" s="23" t="inlineStr">
        <is>
          <t>CST-01-048</t>
        </is>
      </c>
      <c r="D218" s="23" t="inlineStr">
        <is>
          <t>1.1.2 Guideway and Civil - Utility &amp; Roadworks</t>
        </is>
      </c>
      <c r="E218" s="23" t="inlineStr">
        <is>
          <t>Carried forward</t>
        </is>
      </c>
      <c r="F218" s="23" t="inlineStr"/>
      <c r="G218" s="23" t="inlineStr">
        <is>
          <t>Source assignment -- not individually reviewed</t>
        </is>
      </c>
      <c r="H218" s="14" t="inlineStr">
        <is>
          <t>10 EVIDENCE &amp; DECISIONS</t>
        </is>
      </c>
    </row>
    <row r="219" ht="34" customHeight="1">
      <c r="A219" s="23" t="inlineStr">
        <is>
          <t>R1132-v2</t>
        </is>
      </c>
      <c r="B219" s="23" t="inlineStr">
        <is>
          <t>Cost &amp; Forecast Control Accounts</t>
        </is>
      </c>
      <c r="C219" s="23" t="inlineStr">
        <is>
          <t>CST-01-050</t>
        </is>
      </c>
      <c r="D219" s="23" t="inlineStr">
        <is>
          <t>1.1.2 Guideway and Civil - Utility &amp; Roadworks</t>
        </is>
      </c>
      <c r="E219" s="23" t="inlineStr">
        <is>
          <t>Carried forward</t>
        </is>
      </c>
      <c r="F219" s="23" t="inlineStr"/>
      <c r="G219" s="23" t="inlineStr">
        <is>
          <t>Source assignment -- not individually reviewed</t>
        </is>
      </c>
      <c r="H219" s="14" t="inlineStr">
        <is>
          <t>10 EVIDENCE &amp; DECISIONS</t>
        </is>
      </c>
    </row>
    <row r="220" ht="34" customHeight="1">
      <c r="A220" s="23" t="inlineStr">
        <is>
          <t>R1134-v2</t>
        </is>
      </c>
      <c r="B220" s="23" t="inlineStr">
        <is>
          <t>Cost &amp; Forecast Control Accounts</t>
        </is>
      </c>
      <c r="C220" s="23" t="inlineStr">
        <is>
          <t>CST-01-052</t>
        </is>
      </c>
      <c r="D220" s="23" t="inlineStr">
        <is>
          <t>1.1.2 Guideway and Civil - Utility &amp; Roadworks</t>
        </is>
      </c>
      <c r="E220" s="23" t="inlineStr">
        <is>
          <t>Carried forward</t>
        </is>
      </c>
      <c r="F220" s="23" t="inlineStr"/>
      <c r="G220" s="23" t="inlineStr">
        <is>
          <t>Source assignment -- not individually reviewed</t>
        </is>
      </c>
      <c r="H220" s="14" t="inlineStr">
        <is>
          <t>10 EVIDENCE &amp; DECISIONS</t>
        </is>
      </c>
    </row>
    <row r="221" ht="34" customHeight="1">
      <c r="A221" s="23" t="inlineStr">
        <is>
          <t>R1136-v2</t>
        </is>
      </c>
      <c r="B221" s="23" t="inlineStr">
        <is>
          <t>Cost &amp; Forecast Control Accounts</t>
        </is>
      </c>
      <c r="C221" s="23" t="inlineStr">
        <is>
          <t>CST-01-054</t>
        </is>
      </c>
      <c r="D221" s="23" t="inlineStr">
        <is>
          <t>1.1.2 Guideway and Civil - Utility &amp; Roadworks</t>
        </is>
      </c>
      <c r="E221" s="23" t="inlineStr">
        <is>
          <t>Carried forward</t>
        </is>
      </c>
      <c r="F221" s="23" t="inlineStr"/>
      <c r="G221" s="23" t="inlineStr">
        <is>
          <t>Source assignment -- not individually reviewed</t>
        </is>
      </c>
      <c r="H221" s="14" t="inlineStr">
        <is>
          <t>10 EVIDENCE &amp; DECISIONS</t>
        </is>
      </c>
    </row>
    <row r="222" ht="34" customHeight="1">
      <c r="A222" s="23" t="inlineStr">
        <is>
          <t>R1138-v2</t>
        </is>
      </c>
      <c r="B222" s="23" t="inlineStr">
        <is>
          <t>Cost &amp; Forecast Control Accounts</t>
        </is>
      </c>
      <c r="C222" s="23" t="inlineStr">
        <is>
          <t>CST-01-056</t>
        </is>
      </c>
      <c r="D222" s="23" t="inlineStr">
        <is>
          <t>1.1.2 Guideway and Civil - Utility &amp; Roadworks</t>
        </is>
      </c>
      <c r="E222" s="23" t="inlineStr">
        <is>
          <t>Carried forward</t>
        </is>
      </c>
      <c r="F222" s="23" t="inlineStr"/>
      <c r="G222" s="23" t="inlineStr">
        <is>
          <t>Source assignment -- not individually reviewed</t>
        </is>
      </c>
      <c r="H222" s="14" t="inlineStr">
        <is>
          <t>10 EVIDENCE &amp; DECISIONS</t>
        </is>
      </c>
    </row>
    <row r="223" ht="34" customHeight="1">
      <c r="A223" s="23" t="inlineStr">
        <is>
          <t>R114-v2</t>
        </is>
      </c>
      <c r="B223" s="23" t="inlineStr">
        <is>
          <t>Contractor Programme</t>
        </is>
      </c>
      <c r="C223" s="23" t="inlineStr">
        <is>
          <t>SCH-01-114</t>
        </is>
      </c>
      <c r="D223" s="23" t="inlineStr">
        <is>
          <t>1.1.2 Guideway and Civil - Utility &amp; Roadworks</t>
        </is>
      </c>
      <c r="E223" s="23" t="inlineStr">
        <is>
          <t>Carried forward</t>
        </is>
      </c>
      <c r="F223" s="23" t="inlineStr"/>
      <c r="G223" s="23" t="inlineStr">
        <is>
          <t>Source assignment -- not individually reviewed</t>
        </is>
      </c>
      <c r="H223" s="14" t="inlineStr">
        <is>
          <t>10 EVIDENCE &amp; DECISIONS</t>
        </is>
      </c>
    </row>
    <row r="224" ht="34" customHeight="1">
      <c r="A224" s="23" t="inlineStr">
        <is>
          <t>R1140-v2</t>
        </is>
      </c>
      <c r="B224" s="23" t="inlineStr">
        <is>
          <t>Cost &amp; Forecast Control Accounts</t>
        </is>
      </c>
      <c r="C224" s="23" t="inlineStr">
        <is>
          <t>CST-01-058</t>
        </is>
      </c>
      <c r="D224" s="23" t="inlineStr">
        <is>
          <t>1.1.2 Guideway and Civil - Utility &amp; Roadworks</t>
        </is>
      </c>
      <c r="E224" s="23" t="inlineStr">
        <is>
          <t>Carried forward</t>
        </is>
      </c>
      <c r="F224" s="23" t="inlineStr"/>
      <c r="G224" s="23" t="inlineStr">
        <is>
          <t>Source assignment -- not individually reviewed</t>
        </is>
      </c>
      <c r="H224" s="14" t="inlineStr">
        <is>
          <t>10 EVIDENCE &amp; DECISIONS</t>
        </is>
      </c>
    </row>
    <row r="225" ht="34" customHeight="1">
      <c r="A225" s="23" t="inlineStr">
        <is>
          <t>R1142-v2</t>
        </is>
      </c>
      <c r="B225" s="23" t="inlineStr">
        <is>
          <t>Cost &amp; Forecast Control Accounts</t>
        </is>
      </c>
      <c r="C225" s="23" t="inlineStr">
        <is>
          <t>CST-01-060</t>
        </is>
      </c>
      <c r="D225" s="23" t="inlineStr">
        <is>
          <t>1.1.2 Guideway and Civil - Utility &amp; Roadworks</t>
        </is>
      </c>
      <c r="E225" s="23" t="inlineStr">
        <is>
          <t>Carried forward</t>
        </is>
      </c>
      <c r="F225" s="23" t="inlineStr"/>
      <c r="G225" s="23" t="inlineStr">
        <is>
          <t>Source assignment -- not individually reviewed</t>
        </is>
      </c>
      <c r="H225" s="14" t="inlineStr">
        <is>
          <t>10 EVIDENCE &amp; DECISIONS</t>
        </is>
      </c>
    </row>
    <row r="226" ht="34" customHeight="1">
      <c r="A226" s="23" t="inlineStr">
        <is>
          <t>R1144-v2</t>
        </is>
      </c>
      <c r="B226" s="23" t="inlineStr">
        <is>
          <t>Cost &amp; Forecast Control Accounts</t>
        </is>
      </c>
      <c r="C226" s="23" t="inlineStr">
        <is>
          <t>CST-01-062</t>
        </is>
      </c>
      <c r="D226" s="23" t="inlineStr">
        <is>
          <t>1.1.2 Guideway and Civil - Utility &amp; Roadworks</t>
        </is>
      </c>
      <c r="E226" s="23" t="inlineStr">
        <is>
          <t>Carried forward</t>
        </is>
      </c>
      <c r="F226" s="23" t="inlineStr"/>
      <c r="G226" s="23" t="inlineStr">
        <is>
          <t>Source assignment -- not individually reviewed</t>
        </is>
      </c>
      <c r="H226" s="14" t="inlineStr">
        <is>
          <t>10 EVIDENCE &amp; DECISIONS</t>
        </is>
      </c>
    </row>
    <row r="227" ht="34" customHeight="1">
      <c r="A227" s="23" t="inlineStr">
        <is>
          <t>R1146-v2</t>
        </is>
      </c>
      <c r="B227" s="23" t="inlineStr">
        <is>
          <t>Cost &amp; Forecast Control Accounts</t>
        </is>
      </c>
      <c r="C227" s="23" t="inlineStr">
        <is>
          <t>CST-01-064</t>
        </is>
      </c>
      <c r="D227" s="23" t="inlineStr">
        <is>
          <t>1.1.2 Guideway and Civil - Utility &amp; Roadworks</t>
        </is>
      </c>
      <c r="E227" s="23" t="inlineStr">
        <is>
          <t>Carried forward</t>
        </is>
      </c>
      <c r="F227" s="23" t="inlineStr"/>
      <c r="G227" s="23" t="inlineStr">
        <is>
          <t>Source assignment -- not individually reviewed</t>
        </is>
      </c>
      <c r="H227" s="14" t="inlineStr">
        <is>
          <t>10 EVIDENCE &amp; DECISIONS</t>
        </is>
      </c>
    </row>
    <row r="228" ht="34" customHeight="1">
      <c r="A228" s="23" t="inlineStr">
        <is>
          <t>R1148-v2</t>
        </is>
      </c>
      <c r="B228" s="23" t="inlineStr">
        <is>
          <t>Cost &amp; Forecast Control Accounts</t>
        </is>
      </c>
      <c r="C228" s="23" t="inlineStr">
        <is>
          <t>CST-01-066</t>
        </is>
      </c>
      <c r="D228" s="23" t="inlineStr">
        <is>
          <t>1.1.2 Guideway and Civil - Utility &amp; Roadworks</t>
        </is>
      </c>
      <c r="E228" s="23" t="inlineStr">
        <is>
          <t>Carried forward</t>
        </is>
      </c>
      <c r="F228" s="23" t="inlineStr"/>
      <c r="G228" s="23" t="inlineStr">
        <is>
          <t>Source assignment -- not individually reviewed</t>
        </is>
      </c>
      <c r="H228" s="14" t="inlineStr">
        <is>
          <t>10 EVIDENCE &amp; DECISIONS</t>
        </is>
      </c>
    </row>
    <row r="229" ht="34" customHeight="1">
      <c r="A229" s="23" t="inlineStr">
        <is>
          <t>R1150-v2</t>
        </is>
      </c>
      <c r="B229" s="23" t="inlineStr">
        <is>
          <t>Cost &amp; Forecast Control Accounts</t>
        </is>
      </c>
      <c r="C229" s="23" t="inlineStr">
        <is>
          <t>CST-01-068</t>
        </is>
      </c>
      <c r="D229" s="23" t="inlineStr">
        <is>
          <t>1.1.2 Guideway and Civil - Utility &amp; Roadworks</t>
        </is>
      </c>
      <c r="E229" s="23" t="inlineStr">
        <is>
          <t>Carried forward</t>
        </is>
      </c>
      <c r="F229" s="23" t="inlineStr"/>
      <c r="G229" s="23" t="inlineStr">
        <is>
          <t>Source assignment -- not individually reviewed</t>
        </is>
      </c>
      <c r="H229" s="14" t="inlineStr">
        <is>
          <t>10 EVIDENCE &amp; DECISIONS</t>
        </is>
      </c>
    </row>
    <row r="230" ht="34" customHeight="1">
      <c r="A230" s="23" t="inlineStr">
        <is>
          <t>R1152-v2</t>
        </is>
      </c>
      <c r="B230" s="23" t="inlineStr">
        <is>
          <t>Cost &amp; Forecast Control Accounts</t>
        </is>
      </c>
      <c r="C230" s="23" t="inlineStr">
        <is>
          <t>CST-01-070</t>
        </is>
      </c>
      <c r="D230" s="23" t="inlineStr">
        <is>
          <t>1.1.2 Guideway and Civil - Utility &amp; Roadworks</t>
        </is>
      </c>
      <c r="E230" s="23" t="inlineStr">
        <is>
          <t>Carried forward</t>
        </is>
      </c>
      <c r="F230" s="23" t="inlineStr"/>
      <c r="G230" s="23" t="inlineStr">
        <is>
          <t>Source assignment -- not individually reviewed</t>
        </is>
      </c>
      <c r="H230" s="14" t="inlineStr">
        <is>
          <t>10 EVIDENCE &amp; DECISIONS</t>
        </is>
      </c>
    </row>
    <row r="231" ht="34" customHeight="1">
      <c r="A231" s="23" t="inlineStr">
        <is>
          <t>R1154-v2</t>
        </is>
      </c>
      <c r="B231" s="23" t="inlineStr">
        <is>
          <t>Cost &amp; Forecast Control Accounts</t>
        </is>
      </c>
      <c r="C231" s="23" t="inlineStr">
        <is>
          <t>CST-01-072</t>
        </is>
      </c>
      <c r="D231" s="23" t="inlineStr">
        <is>
          <t>1.1.2 Guideway and Civil - Utility &amp; Roadworks</t>
        </is>
      </c>
      <c r="E231" s="23" t="inlineStr">
        <is>
          <t>Carried forward</t>
        </is>
      </c>
      <c r="F231" s="23" t="inlineStr"/>
      <c r="G231" s="23" t="inlineStr">
        <is>
          <t>Source assignment -- not individually reviewed</t>
        </is>
      </c>
      <c r="H231" s="14" t="inlineStr">
        <is>
          <t>10 EVIDENCE &amp; DECISIONS</t>
        </is>
      </c>
    </row>
    <row r="232" ht="34" customHeight="1">
      <c r="A232" s="23" t="inlineStr">
        <is>
          <t>R1156-v2</t>
        </is>
      </c>
      <c r="B232" s="23" t="inlineStr">
        <is>
          <t>Cost &amp; Forecast Control Accounts</t>
        </is>
      </c>
      <c r="C232" s="23" t="inlineStr">
        <is>
          <t>CST-01-074</t>
        </is>
      </c>
      <c r="D232" s="23" t="inlineStr">
        <is>
          <t>1.1.2 Guideway and Civil - Utility &amp; Roadworks</t>
        </is>
      </c>
      <c r="E232" s="23" t="inlineStr">
        <is>
          <t>Carried forward</t>
        </is>
      </c>
      <c r="F232" s="23" t="inlineStr"/>
      <c r="G232" s="23" t="inlineStr">
        <is>
          <t>Source assignment -- not individually reviewed</t>
        </is>
      </c>
      <c r="H232" s="14" t="inlineStr">
        <is>
          <t>10 EVIDENCE &amp; DECISIONS</t>
        </is>
      </c>
    </row>
    <row r="233" ht="34" customHeight="1">
      <c r="A233" s="23" t="inlineStr">
        <is>
          <t>R1158-v2</t>
        </is>
      </c>
      <c r="B233" s="23" t="inlineStr">
        <is>
          <t>Cost &amp; Forecast Control Accounts</t>
        </is>
      </c>
      <c r="C233" s="23" t="inlineStr">
        <is>
          <t>CST-01-076</t>
        </is>
      </c>
      <c r="D233" s="23" t="inlineStr">
        <is>
          <t>1.1.2 Guideway and Civil - Utility &amp; Roadworks</t>
        </is>
      </c>
      <c r="E233" s="23" t="inlineStr">
        <is>
          <t>Carried forward</t>
        </is>
      </c>
      <c r="F233" s="23" t="inlineStr"/>
      <c r="G233" s="23" t="inlineStr">
        <is>
          <t>Source assignment -- not individually reviewed</t>
        </is>
      </c>
      <c r="H233" s="14" t="inlineStr">
        <is>
          <t>10 EVIDENCE &amp; DECISIONS</t>
        </is>
      </c>
    </row>
    <row r="234" ht="34" customHeight="1">
      <c r="A234" s="23" t="inlineStr">
        <is>
          <t>R1160-v2</t>
        </is>
      </c>
      <c r="B234" s="23" t="inlineStr">
        <is>
          <t>Cost &amp; Forecast Control Accounts</t>
        </is>
      </c>
      <c r="C234" s="23" t="inlineStr">
        <is>
          <t>CST-01-078</t>
        </is>
      </c>
      <c r="D234" s="23" t="inlineStr">
        <is>
          <t>1.1.2 Guideway and Civil - Utility &amp; Roadworks</t>
        </is>
      </c>
      <c r="E234" s="23" t="inlineStr">
        <is>
          <t>Carried forward</t>
        </is>
      </c>
      <c r="F234" s="23" t="inlineStr"/>
      <c r="G234" s="23" t="inlineStr">
        <is>
          <t>Source assignment -- not individually reviewed</t>
        </is>
      </c>
      <c r="H234" s="14" t="inlineStr">
        <is>
          <t>10 EVIDENCE &amp; DECISIONS</t>
        </is>
      </c>
    </row>
    <row r="235" ht="34" customHeight="1">
      <c r="A235" s="23" t="inlineStr">
        <is>
          <t>R1162-v2</t>
        </is>
      </c>
      <c r="B235" s="23" t="inlineStr">
        <is>
          <t>Cost &amp; Forecast Control Accounts</t>
        </is>
      </c>
      <c r="C235" s="23" t="inlineStr">
        <is>
          <t>CST-01-080</t>
        </is>
      </c>
      <c r="D235" s="23" t="inlineStr">
        <is>
          <t>1.1.2 Guideway and Civil - Utility &amp; Roadworks</t>
        </is>
      </c>
      <c r="E235" s="23" t="inlineStr">
        <is>
          <t>Carried forward</t>
        </is>
      </c>
      <c r="F235" s="23" t="inlineStr"/>
      <c r="G235" s="23" t="inlineStr">
        <is>
          <t>Source assignment -- not individually reviewed</t>
        </is>
      </c>
      <c r="H235" s="14" t="inlineStr">
        <is>
          <t>10 EVIDENCE &amp; DECISIONS</t>
        </is>
      </c>
    </row>
    <row r="236" ht="34" customHeight="1">
      <c r="A236" s="23" t="inlineStr">
        <is>
          <t>R117-v2</t>
        </is>
      </c>
      <c r="B236" s="23" t="inlineStr">
        <is>
          <t>Contractor Programme</t>
        </is>
      </c>
      <c r="C236" s="23" t="inlineStr">
        <is>
          <t>SCH-01-117</t>
        </is>
      </c>
      <c r="D236" s="23" t="inlineStr">
        <is>
          <t>1.1.2 Guideway and Civil - Utility &amp; Roadworks</t>
        </is>
      </c>
      <c r="E236" s="23" t="inlineStr">
        <is>
          <t>Carried forward</t>
        </is>
      </c>
      <c r="F236" s="23" t="inlineStr"/>
      <c r="G236" s="23" t="inlineStr">
        <is>
          <t>Source assignment -- not individually reviewed</t>
        </is>
      </c>
      <c r="H236" s="14" t="inlineStr">
        <is>
          <t>10 EVIDENCE &amp; DECISIONS</t>
        </is>
      </c>
    </row>
    <row r="237" ht="34" customHeight="1">
      <c r="A237" s="23" t="inlineStr">
        <is>
          <t>R12-v2</t>
        </is>
      </c>
      <c r="B237" s="23" t="inlineStr">
        <is>
          <t>Contractor Programme</t>
        </is>
      </c>
      <c r="C237" s="23" t="inlineStr">
        <is>
          <t>SCH-01-012</t>
        </is>
      </c>
      <c r="D237" s="23" t="inlineStr">
        <is>
          <t>1.1.2 Guideway and Civil - Utility &amp; Roadworks</t>
        </is>
      </c>
      <c r="E237" s="23" t="inlineStr">
        <is>
          <t>Carried forward</t>
        </is>
      </c>
      <c r="F237" s="23" t="inlineStr"/>
      <c r="G237" s="23" t="inlineStr">
        <is>
          <t>Source assignment -- not individually reviewed</t>
        </is>
      </c>
      <c r="H237" s="14" t="inlineStr">
        <is>
          <t>10 EVIDENCE &amp; DECISIONS</t>
        </is>
      </c>
    </row>
    <row r="238" ht="34" customHeight="1">
      <c r="A238" s="23" t="inlineStr">
        <is>
          <t>R120-v2</t>
        </is>
      </c>
      <c r="B238" s="23" t="inlineStr">
        <is>
          <t>Contractor Programme</t>
        </is>
      </c>
      <c r="C238" s="23" t="inlineStr">
        <is>
          <t>SCH-01-120</t>
        </is>
      </c>
      <c r="D238" s="23" t="inlineStr">
        <is>
          <t>1.1.2 Guideway and Civil - Utility &amp; Roadworks</t>
        </is>
      </c>
      <c r="E238" s="23" t="inlineStr">
        <is>
          <t>Carried forward</t>
        </is>
      </c>
      <c r="F238" s="23" t="inlineStr"/>
      <c r="G238" s="23" t="inlineStr">
        <is>
          <t>Source assignment -- not individually reviewed</t>
        </is>
      </c>
      <c r="H238" s="14" t="inlineStr">
        <is>
          <t>10 EVIDENCE &amp; DECISIONS</t>
        </is>
      </c>
    </row>
    <row r="239" ht="34" customHeight="1">
      <c r="A239" s="23" t="inlineStr">
        <is>
          <t>R123-v2</t>
        </is>
      </c>
      <c r="B239" s="23" t="inlineStr">
        <is>
          <t>Contractor Programme</t>
        </is>
      </c>
      <c r="C239" s="23" t="inlineStr">
        <is>
          <t>SCH-01-123</t>
        </is>
      </c>
      <c r="D239" s="23" t="inlineStr">
        <is>
          <t>1.1.2 Guideway and Civil - Utility &amp; Roadworks</t>
        </is>
      </c>
      <c r="E239" s="23" t="inlineStr">
        <is>
          <t>Carried forward</t>
        </is>
      </c>
      <c r="F239" s="23" t="inlineStr"/>
      <c r="G239" s="23" t="inlineStr">
        <is>
          <t>Source assignment -- not individually reviewed</t>
        </is>
      </c>
      <c r="H239" s="14" t="inlineStr">
        <is>
          <t>10 EVIDENCE &amp; DECISIONS</t>
        </is>
      </c>
    </row>
    <row r="240" ht="34" customHeight="1">
      <c r="A240" s="23" t="inlineStr">
        <is>
          <t>R126-v2</t>
        </is>
      </c>
      <c r="B240" s="23" t="inlineStr">
        <is>
          <t>Contractor Programme</t>
        </is>
      </c>
      <c r="C240" s="23" t="inlineStr">
        <is>
          <t>SCH-01-126</t>
        </is>
      </c>
      <c r="D240" s="23" t="inlineStr">
        <is>
          <t>1.1.2 Guideway and Civil - Utility &amp; Roadworks</t>
        </is>
      </c>
      <c r="E240" s="23" t="inlineStr">
        <is>
          <t>Carried forward</t>
        </is>
      </c>
      <c r="F240" s="23" t="inlineStr"/>
      <c r="G240" s="23" t="inlineStr">
        <is>
          <t>Source assignment -- not individually reviewed</t>
        </is>
      </c>
      <c r="H240" s="14" t="inlineStr">
        <is>
          <t>10 EVIDENCE &amp; DECISIONS</t>
        </is>
      </c>
    </row>
    <row r="241" ht="34" customHeight="1">
      <c r="A241" s="23" t="inlineStr">
        <is>
          <t>R129-v2</t>
        </is>
      </c>
      <c r="B241" s="23" t="inlineStr">
        <is>
          <t>Contractor Programme</t>
        </is>
      </c>
      <c r="C241" s="23" t="inlineStr">
        <is>
          <t>SCH-01-129</t>
        </is>
      </c>
      <c r="D241" s="23" t="inlineStr">
        <is>
          <t>1.1.2 Guideway and Civil - Utility &amp; Roadworks</t>
        </is>
      </c>
      <c r="E241" s="23" t="inlineStr">
        <is>
          <t>Carried forward</t>
        </is>
      </c>
      <c r="F241" s="23" t="inlineStr"/>
      <c r="G241" s="23" t="inlineStr">
        <is>
          <t>Source assignment -- not individually reviewed</t>
        </is>
      </c>
      <c r="H241" s="14" t="inlineStr">
        <is>
          <t>10 EVIDENCE &amp; DECISIONS</t>
        </is>
      </c>
    </row>
    <row r="242" ht="34" customHeight="1">
      <c r="A242" s="23" t="inlineStr">
        <is>
          <t>R132-v2</t>
        </is>
      </c>
      <c r="B242" s="23" t="inlineStr">
        <is>
          <t>Contractor Programme</t>
        </is>
      </c>
      <c r="C242" s="23" t="inlineStr">
        <is>
          <t>SCH-01-132</t>
        </is>
      </c>
      <c r="D242" s="23" t="inlineStr">
        <is>
          <t>1.1.2 Guideway and Civil - Utility &amp; Roadworks</t>
        </is>
      </c>
      <c r="E242" s="23" t="inlineStr">
        <is>
          <t>Carried forward</t>
        </is>
      </c>
      <c r="F242" s="23" t="inlineStr"/>
      <c r="G242" s="23" t="inlineStr">
        <is>
          <t>Source assignment -- not individually reviewed</t>
        </is>
      </c>
      <c r="H242" s="14" t="inlineStr">
        <is>
          <t>10 EVIDENCE &amp; DECISIONS</t>
        </is>
      </c>
    </row>
    <row r="243" ht="34" customHeight="1">
      <c r="A243" s="23" t="inlineStr">
        <is>
          <t>R135-v2</t>
        </is>
      </c>
      <c r="B243" s="23" t="inlineStr">
        <is>
          <t>Contractor Programme</t>
        </is>
      </c>
      <c r="C243" s="23" t="inlineStr">
        <is>
          <t>SCH-01-135</t>
        </is>
      </c>
      <c r="D243" s="23" t="inlineStr">
        <is>
          <t>1.1.2 Guideway and Civil - Utility &amp; Roadworks</t>
        </is>
      </c>
      <c r="E243" s="23" t="inlineStr">
        <is>
          <t>Carried forward</t>
        </is>
      </c>
      <c r="F243" s="23" t="inlineStr"/>
      <c r="G243" s="23" t="inlineStr">
        <is>
          <t>Source assignment -- not individually reviewed</t>
        </is>
      </c>
      <c r="H243" s="14" t="inlineStr">
        <is>
          <t>10 EVIDENCE &amp; DECISIONS</t>
        </is>
      </c>
    </row>
    <row r="244" ht="34" customHeight="1">
      <c r="A244" s="23" t="inlineStr">
        <is>
          <t>R138-v2</t>
        </is>
      </c>
      <c r="B244" s="23" t="inlineStr">
        <is>
          <t>Contractor Programme</t>
        </is>
      </c>
      <c r="C244" s="23" t="inlineStr">
        <is>
          <t>SCH-01-138</t>
        </is>
      </c>
      <c r="D244" s="23" t="inlineStr">
        <is>
          <t>1.1.2 Guideway and Civil - Utility &amp; Roadworks</t>
        </is>
      </c>
      <c r="E244" s="23" t="inlineStr">
        <is>
          <t>Carried forward</t>
        </is>
      </c>
      <c r="F244" s="23" t="inlineStr"/>
      <c r="G244" s="23" t="inlineStr">
        <is>
          <t>Source assignment -- not individually reviewed</t>
        </is>
      </c>
      <c r="H244" s="14" t="inlineStr">
        <is>
          <t>10 EVIDENCE &amp; DECISIONS</t>
        </is>
      </c>
    </row>
    <row r="245" ht="34" customHeight="1">
      <c r="A245" s="23" t="inlineStr">
        <is>
          <t>R141-v2</t>
        </is>
      </c>
      <c r="B245" s="23" t="inlineStr">
        <is>
          <t>Contractor Programme</t>
        </is>
      </c>
      <c r="C245" s="23" t="inlineStr">
        <is>
          <t>SCH-01-141</t>
        </is>
      </c>
      <c r="D245" s="23" t="inlineStr">
        <is>
          <t>1.1.2 Guideway and Civil - Utility &amp; Roadworks</t>
        </is>
      </c>
      <c r="E245" s="23" t="inlineStr">
        <is>
          <t>Carried forward</t>
        </is>
      </c>
      <c r="F245" s="23" t="inlineStr"/>
      <c r="G245" s="23" t="inlineStr">
        <is>
          <t>Source assignment -- not individually reviewed</t>
        </is>
      </c>
      <c r="H245" s="14" t="inlineStr">
        <is>
          <t>10 EVIDENCE &amp; DECISIONS</t>
        </is>
      </c>
    </row>
    <row r="246" ht="34" customHeight="1">
      <c r="A246" s="23" t="inlineStr">
        <is>
          <t>R144-v2</t>
        </is>
      </c>
      <c r="B246" s="23" t="inlineStr">
        <is>
          <t>Contractor Programme</t>
        </is>
      </c>
      <c r="C246" s="23" t="inlineStr">
        <is>
          <t>SCH-01-144</t>
        </is>
      </c>
      <c r="D246" s="23" t="inlineStr">
        <is>
          <t>1.1.2 Guideway and Civil - Utility &amp; Roadworks</t>
        </is>
      </c>
      <c r="E246" s="23" t="inlineStr">
        <is>
          <t>Carried forward</t>
        </is>
      </c>
      <c r="F246" s="23" t="inlineStr"/>
      <c r="G246" s="23" t="inlineStr">
        <is>
          <t>Source assignment -- not individually reviewed</t>
        </is>
      </c>
      <c r="H246" s="14" t="inlineStr">
        <is>
          <t>10 EVIDENCE &amp; DECISIONS</t>
        </is>
      </c>
    </row>
    <row r="247" ht="34" customHeight="1">
      <c r="A247" s="23" t="inlineStr">
        <is>
          <t>R147-v2</t>
        </is>
      </c>
      <c r="B247" s="23" t="inlineStr">
        <is>
          <t>Contractor Programme</t>
        </is>
      </c>
      <c r="C247" s="23" t="inlineStr">
        <is>
          <t>SCH-01-147</t>
        </is>
      </c>
      <c r="D247" s="23" t="inlineStr">
        <is>
          <t>1.1.2 Guideway and Civil - Utility &amp; Roadworks</t>
        </is>
      </c>
      <c r="E247" s="23" t="inlineStr">
        <is>
          <t>Carried forward</t>
        </is>
      </c>
      <c r="F247" s="23" t="inlineStr"/>
      <c r="G247" s="23" t="inlineStr">
        <is>
          <t>Source assignment -- not individually reviewed</t>
        </is>
      </c>
      <c r="H247" s="14" t="inlineStr">
        <is>
          <t>10 EVIDENCE &amp; DECISIONS</t>
        </is>
      </c>
    </row>
    <row r="248" ht="34" customHeight="1">
      <c r="A248" s="23" t="inlineStr">
        <is>
          <t>R15-v2</t>
        </is>
      </c>
      <c r="B248" s="23" t="inlineStr">
        <is>
          <t>Contractor Programme</t>
        </is>
      </c>
      <c r="C248" s="23" t="inlineStr">
        <is>
          <t>SCH-01-015</t>
        </is>
      </c>
      <c r="D248" s="23" t="inlineStr">
        <is>
          <t>1.1.2 Guideway and Civil - Utility &amp; Roadworks</t>
        </is>
      </c>
      <c r="E248" s="23" t="inlineStr">
        <is>
          <t>Carried forward</t>
        </is>
      </c>
      <c r="F248" s="23" t="inlineStr"/>
      <c r="G248" s="23" t="inlineStr">
        <is>
          <t>Source assignment -- not individually reviewed</t>
        </is>
      </c>
      <c r="H248" s="14" t="inlineStr">
        <is>
          <t>10 EVIDENCE &amp; DECISIONS</t>
        </is>
      </c>
    </row>
    <row r="249" ht="34" customHeight="1">
      <c r="A249" s="23" t="inlineStr">
        <is>
          <t>R150-v2</t>
        </is>
      </c>
      <c r="B249" s="23" t="inlineStr">
        <is>
          <t>Contractor Programme</t>
        </is>
      </c>
      <c r="C249" s="23" t="inlineStr">
        <is>
          <t>SCH-01-150</t>
        </is>
      </c>
      <c r="D249" s="23" t="inlineStr">
        <is>
          <t>1.1.2 Guideway and Civil - Utility &amp; Roadworks</t>
        </is>
      </c>
      <c r="E249" s="23" t="inlineStr">
        <is>
          <t>Carried forward</t>
        </is>
      </c>
      <c r="F249" s="23" t="inlineStr"/>
      <c r="G249" s="23" t="inlineStr">
        <is>
          <t>Source assignment -- not individually reviewed</t>
        </is>
      </c>
      <c r="H249" s="14" t="inlineStr">
        <is>
          <t>10 EVIDENCE &amp; DECISIONS</t>
        </is>
      </c>
    </row>
    <row r="250" ht="34" customHeight="1">
      <c r="A250" s="23" t="inlineStr">
        <is>
          <t>R153-v2</t>
        </is>
      </c>
      <c r="B250" s="23" t="inlineStr">
        <is>
          <t>Contractor Programme</t>
        </is>
      </c>
      <c r="C250" s="23" t="inlineStr">
        <is>
          <t>SCH-01-153</t>
        </is>
      </c>
      <c r="D250" s="23" t="inlineStr">
        <is>
          <t>1.1.2 Guideway and Civil - Utility &amp; Roadworks</t>
        </is>
      </c>
      <c r="E250" s="23" t="inlineStr">
        <is>
          <t>Carried forward</t>
        </is>
      </c>
      <c r="F250" s="23" t="inlineStr"/>
      <c r="G250" s="23" t="inlineStr">
        <is>
          <t>Source assignment -- not individually reviewed</t>
        </is>
      </c>
      <c r="H250" s="14" t="inlineStr">
        <is>
          <t>10 EVIDENCE &amp; DECISIONS</t>
        </is>
      </c>
    </row>
    <row r="251" ht="34" customHeight="1">
      <c r="A251" s="23" t="inlineStr">
        <is>
          <t>R156-v2</t>
        </is>
      </c>
      <c r="B251" s="23" t="inlineStr">
        <is>
          <t>Contractor Programme</t>
        </is>
      </c>
      <c r="C251" s="23" t="inlineStr">
        <is>
          <t>SCH-01-156</t>
        </is>
      </c>
      <c r="D251" s="23" t="inlineStr">
        <is>
          <t>1.1.2 Guideway and Civil - Utility &amp; Roadworks</t>
        </is>
      </c>
      <c r="E251" s="23" t="inlineStr">
        <is>
          <t>Carried forward</t>
        </is>
      </c>
      <c r="F251" s="23" t="inlineStr"/>
      <c r="G251" s="23" t="inlineStr">
        <is>
          <t>Source assignment -- not individually reviewed</t>
        </is>
      </c>
      <c r="H251" s="14" t="inlineStr">
        <is>
          <t>10 EVIDENCE &amp; DECISIONS</t>
        </is>
      </c>
    </row>
    <row r="252" ht="34" customHeight="1">
      <c r="A252" s="23" t="inlineStr">
        <is>
          <t>R159-v2</t>
        </is>
      </c>
      <c r="B252" s="23" t="inlineStr">
        <is>
          <t>Contractor Programme</t>
        </is>
      </c>
      <c r="C252" s="23" t="inlineStr">
        <is>
          <t>SCH-01-159</t>
        </is>
      </c>
      <c r="D252" s="23" t="inlineStr">
        <is>
          <t>1.1.2 Guideway and Civil - Utility &amp; Roadworks</t>
        </is>
      </c>
      <c r="E252" s="23" t="inlineStr">
        <is>
          <t>Carried forward</t>
        </is>
      </c>
      <c r="F252" s="23" t="inlineStr"/>
      <c r="G252" s="23" t="inlineStr">
        <is>
          <t>Source assignment -- not individually reviewed</t>
        </is>
      </c>
      <c r="H252" s="14" t="inlineStr">
        <is>
          <t>10 EVIDENCE &amp; DECISIONS</t>
        </is>
      </c>
    </row>
    <row r="253" ht="34" customHeight="1">
      <c r="A253" s="23" t="inlineStr">
        <is>
          <t>R162-v2</t>
        </is>
      </c>
      <c r="B253" s="23" t="inlineStr">
        <is>
          <t>Contractor Programme</t>
        </is>
      </c>
      <c r="C253" s="23" t="inlineStr">
        <is>
          <t>SCH-01-162</t>
        </is>
      </c>
      <c r="D253" s="23" t="inlineStr">
        <is>
          <t>1.1.2 Guideway and Civil - Utility &amp; Roadworks</t>
        </is>
      </c>
      <c r="E253" s="23" t="inlineStr">
        <is>
          <t>Carried forward</t>
        </is>
      </c>
      <c r="F253" s="23" t="inlineStr"/>
      <c r="G253" s="23" t="inlineStr">
        <is>
          <t>Source assignment -- not individually reviewed</t>
        </is>
      </c>
      <c r="H253" s="14" t="inlineStr">
        <is>
          <t>10 EVIDENCE &amp; DECISIONS</t>
        </is>
      </c>
    </row>
    <row r="254" ht="34" customHeight="1">
      <c r="A254" s="23" t="inlineStr">
        <is>
          <t>R165-v2</t>
        </is>
      </c>
      <c r="B254" s="23" t="inlineStr">
        <is>
          <t>Contractor Programme</t>
        </is>
      </c>
      <c r="C254" s="23" t="inlineStr">
        <is>
          <t>SCH-01-165</t>
        </is>
      </c>
      <c r="D254" s="23" t="inlineStr">
        <is>
          <t>1.1.2 Guideway and Civil - Utility &amp; Roadworks</t>
        </is>
      </c>
      <c r="E254" s="23" t="inlineStr">
        <is>
          <t>Carried forward</t>
        </is>
      </c>
      <c r="F254" s="23" t="inlineStr"/>
      <c r="G254" s="23" t="inlineStr">
        <is>
          <t>Source assignment -- not individually reviewed</t>
        </is>
      </c>
      <c r="H254" s="14" t="inlineStr">
        <is>
          <t>10 EVIDENCE &amp; DECISIONS</t>
        </is>
      </c>
    </row>
    <row r="255" ht="34" customHeight="1">
      <c r="A255" s="23" t="inlineStr">
        <is>
          <t>R168-v2</t>
        </is>
      </c>
      <c r="B255" s="23" t="inlineStr">
        <is>
          <t>Contractor Programme</t>
        </is>
      </c>
      <c r="C255" s="23" t="inlineStr">
        <is>
          <t>SCH-01-168</t>
        </is>
      </c>
      <c r="D255" s="23" t="inlineStr">
        <is>
          <t>1.1.2 Guideway and Civil - Utility &amp; Roadworks</t>
        </is>
      </c>
      <c r="E255" s="23" t="inlineStr">
        <is>
          <t>Carried forward</t>
        </is>
      </c>
      <c r="F255" s="23" t="inlineStr"/>
      <c r="G255" s="23" t="inlineStr">
        <is>
          <t>Source assignment -- not individually reviewed</t>
        </is>
      </c>
      <c r="H255" s="14" t="inlineStr">
        <is>
          <t>10 EVIDENCE &amp; DECISIONS</t>
        </is>
      </c>
    </row>
    <row r="256" ht="34" customHeight="1">
      <c r="A256" s="23" t="inlineStr">
        <is>
          <t>R171-v2</t>
        </is>
      </c>
      <c r="B256" s="23" t="inlineStr">
        <is>
          <t>Contractor Programme</t>
        </is>
      </c>
      <c r="C256" s="23" t="inlineStr">
        <is>
          <t>SCH-01-171</t>
        </is>
      </c>
      <c r="D256" s="23" t="inlineStr">
        <is>
          <t>1.1.2 Guideway and Civil - Utility &amp; Roadworks</t>
        </is>
      </c>
      <c r="E256" s="23" t="inlineStr">
        <is>
          <t>Carried forward</t>
        </is>
      </c>
      <c r="F256" s="23" t="inlineStr"/>
      <c r="G256" s="23" t="inlineStr">
        <is>
          <t>Source assignment -- not individually reviewed</t>
        </is>
      </c>
      <c r="H256" s="14" t="inlineStr">
        <is>
          <t>10 EVIDENCE &amp; DECISIONS</t>
        </is>
      </c>
    </row>
    <row r="257" ht="34" customHeight="1">
      <c r="A257" s="23" t="inlineStr">
        <is>
          <t>R174-v2</t>
        </is>
      </c>
      <c r="B257" s="23" t="inlineStr">
        <is>
          <t>Contractor Programme</t>
        </is>
      </c>
      <c r="C257" s="23" t="inlineStr">
        <is>
          <t>SCH-01-174</t>
        </is>
      </c>
      <c r="D257" s="23" t="inlineStr">
        <is>
          <t>1.1.2 Guideway and Civil - Utility &amp; Roadworks</t>
        </is>
      </c>
      <c r="E257" s="23" t="inlineStr">
        <is>
          <t>Carried forward</t>
        </is>
      </c>
      <c r="F257" s="23" t="inlineStr"/>
      <c r="G257" s="23" t="inlineStr">
        <is>
          <t>Source assignment -- not individually reviewed</t>
        </is>
      </c>
      <c r="H257" s="14" t="inlineStr">
        <is>
          <t>10 EVIDENCE &amp; DECISIONS</t>
        </is>
      </c>
    </row>
    <row r="258" ht="34" customHeight="1">
      <c r="A258" s="23" t="inlineStr">
        <is>
          <t>R177-v2</t>
        </is>
      </c>
      <c r="B258" s="23" t="inlineStr">
        <is>
          <t>Contractor Programme</t>
        </is>
      </c>
      <c r="C258" s="23" t="inlineStr">
        <is>
          <t>SCH-01-177</t>
        </is>
      </c>
      <c r="D258" s="23" t="inlineStr">
        <is>
          <t>1.1.2 Guideway and Civil - Utility &amp; Roadworks</t>
        </is>
      </c>
      <c r="E258" s="23" t="inlineStr">
        <is>
          <t>Carried forward</t>
        </is>
      </c>
      <c r="F258" s="23" t="inlineStr"/>
      <c r="G258" s="23" t="inlineStr">
        <is>
          <t>Source assignment -- not individually reviewed</t>
        </is>
      </c>
      <c r="H258" s="14" t="inlineStr">
        <is>
          <t>10 EVIDENCE &amp; DECISIONS</t>
        </is>
      </c>
    </row>
    <row r="259" ht="34" customHeight="1">
      <c r="A259" s="23" t="inlineStr">
        <is>
          <t>R18-v2</t>
        </is>
      </c>
      <c r="B259" s="23" t="inlineStr">
        <is>
          <t>Contractor Programme</t>
        </is>
      </c>
      <c r="C259" s="23" t="inlineStr">
        <is>
          <t>SCH-01-018</t>
        </is>
      </c>
      <c r="D259" s="23" t="inlineStr">
        <is>
          <t>1.1.2 Guideway and Civil - Utility &amp; Roadworks</t>
        </is>
      </c>
      <c r="E259" s="23" t="inlineStr">
        <is>
          <t>Carried forward</t>
        </is>
      </c>
      <c r="F259" s="23" t="inlineStr"/>
      <c r="G259" s="23" t="inlineStr">
        <is>
          <t>Source assignment -- not individually reviewed</t>
        </is>
      </c>
      <c r="H259" s="14" t="inlineStr">
        <is>
          <t>10 EVIDENCE &amp; DECISIONS</t>
        </is>
      </c>
    </row>
    <row r="260" ht="34" customHeight="1">
      <c r="A260" s="23" t="inlineStr">
        <is>
          <t>R180-v2</t>
        </is>
      </c>
      <c r="B260" s="23" t="inlineStr">
        <is>
          <t>Contractor Programme</t>
        </is>
      </c>
      <c r="C260" s="23" t="inlineStr">
        <is>
          <t>SCH-01-180</t>
        </is>
      </c>
      <c r="D260" s="23" t="inlineStr">
        <is>
          <t>1.1.2 Guideway and Civil - Utility &amp; Roadworks</t>
        </is>
      </c>
      <c r="E260" s="23" t="inlineStr">
        <is>
          <t>Carried forward</t>
        </is>
      </c>
      <c r="F260" s="23" t="inlineStr"/>
      <c r="G260" s="23" t="inlineStr">
        <is>
          <t>Source assignment -- not individually reviewed</t>
        </is>
      </c>
      <c r="H260" s="14" t="inlineStr">
        <is>
          <t>10 EVIDENCE &amp; DECISIONS</t>
        </is>
      </c>
    </row>
    <row r="261" ht="34" customHeight="1">
      <c r="A261" s="23" t="inlineStr">
        <is>
          <t>R21-v2</t>
        </is>
      </c>
      <c r="B261" s="23" t="inlineStr">
        <is>
          <t>Contractor Programme</t>
        </is>
      </c>
      <c r="C261" s="23" t="inlineStr">
        <is>
          <t>SCH-01-021</t>
        </is>
      </c>
      <c r="D261" s="23" t="inlineStr">
        <is>
          <t>1.1.2 Guideway and Civil - Utility &amp; Roadworks</t>
        </is>
      </c>
      <c r="E261" s="23" t="inlineStr">
        <is>
          <t>Carried forward</t>
        </is>
      </c>
      <c r="F261" s="23" t="inlineStr"/>
      <c r="G261" s="23" t="inlineStr">
        <is>
          <t>Source assignment -- not individually reviewed</t>
        </is>
      </c>
      <c r="H261" s="14" t="inlineStr">
        <is>
          <t>10 EVIDENCE &amp; DECISIONS</t>
        </is>
      </c>
    </row>
    <row r="262" ht="34" customHeight="1">
      <c r="A262" s="23" t="inlineStr">
        <is>
          <t>R24-v2</t>
        </is>
      </c>
      <c r="B262" s="23" t="inlineStr">
        <is>
          <t>Contractor Programme</t>
        </is>
      </c>
      <c r="C262" s="23" t="inlineStr">
        <is>
          <t>SCH-01-024</t>
        </is>
      </c>
      <c r="D262" s="23" t="inlineStr">
        <is>
          <t>1.1.2 Guideway and Civil - Utility &amp; Roadworks</t>
        </is>
      </c>
      <c r="E262" s="23" t="inlineStr">
        <is>
          <t>Carried forward</t>
        </is>
      </c>
      <c r="F262" s="23" t="inlineStr"/>
      <c r="G262" s="23" t="inlineStr">
        <is>
          <t>Source assignment -- not individually reviewed</t>
        </is>
      </c>
      <c r="H262" s="14" t="inlineStr">
        <is>
          <t>10 EVIDENCE &amp; DECISIONS</t>
        </is>
      </c>
    </row>
    <row r="263" ht="34" customHeight="1">
      <c r="A263" s="23" t="inlineStr">
        <is>
          <t>R27-v2</t>
        </is>
      </c>
      <c r="B263" s="23" t="inlineStr">
        <is>
          <t>Contractor Programme</t>
        </is>
      </c>
      <c r="C263" s="23" t="inlineStr">
        <is>
          <t>SCH-01-027</t>
        </is>
      </c>
      <c r="D263" s="23" t="inlineStr">
        <is>
          <t>1.1.2 Guideway and Civil - Utility &amp; Roadworks</t>
        </is>
      </c>
      <c r="E263" s="23" t="inlineStr">
        <is>
          <t>Carried forward</t>
        </is>
      </c>
      <c r="F263" s="23" t="inlineStr"/>
      <c r="G263" s="23" t="inlineStr">
        <is>
          <t>Source assignment -- not individually reviewed</t>
        </is>
      </c>
      <c r="H263" s="14" t="inlineStr">
        <is>
          <t>10 EVIDENCE &amp; DECISIONS</t>
        </is>
      </c>
    </row>
    <row r="264" ht="34" customHeight="1">
      <c r="A264" s="23" t="inlineStr">
        <is>
          <t>R3-v2</t>
        </is>
      </c>
      <c r="B264" s="23" t="inlineStr">
        <is>
          <t>Contractor Programme</t>
        </is>
      </c>
      <c r="C264" s="23" t="inlineStr">
        <is>
          <t>SCH-01-003</t>
        </is>
      </c>
      <c r="D264" s="23" t="inlineStr">
        <is>
          <t>1.1.2 Guideway and Civil - Utility &amp; Roadworks</t>
        </is>
      </c>
      <c r="E264" s="23" t="inlineStr">
        <is>
          <t>Carried forward</t>
        </is>
      </c>
      <c r="F264" s="23" t="inlineStr"/>
      <c r="G264" s="23" t="inlineStr">
        <is>
          <t>Source assignment -- not individually reviewed</t>
        </is>
      </c>
      <c r="H264" s="14" t="inlineStr">
        <is>
          <t>10 EVIDENCE &amp; DECISIONS</t>
        </is>
      </c>
    </row>
    <row r="265" ht="34" customHeight="1">
      <c r="A265" s="23" t="inlineStr">
        <is>
          <t>R30-v2</t>
        </is>
      </c>
      <c r="B265" s="23" t="inlineStr">
        <is>
          <t>Contractor Programme</t>
        </is>
      </c>
      <c r="C265" s="23" t="inlineStr">
        <is>
          <t>SCH-01-030</t>
        </is>
      </c>
      <c r="D265" s="23" t="inlineStr">
        <is>
          <t>1.1.2 Guideway and Civil - Utility &amp; Roadworks</t>
        </is>
      </c>
      <c r="E265" s="23" t="inlineStr">
        <is>
          <t>Carried forward</t>
        </is>
      </c>
      <c r="F265" s="23" t="inlineStr"/>
      <c r="G265" s="23" t="inlineStr">
        <is>
          <t>Source assignment -- not individually reviewed</t>
        </is>
      </c>
      <c r="H265" s="14" t="inlineStr">
        <is>
          <t>10 EVIDENCE &amp; DECISIONS</t>
        </is>
      </c>
    </row>
    <row r="266" ht="34" customHeight="1">
      <c r="A266" s="23" t="inlineStr">
        <is>
          <t>R33-v2</t>
        </is>
      </c>
      <c r="B266" s="23" t="inlineStr">
        <is>
          <t>Contractor Programme</t>
        </is>
      </c>
      <c r="C266" s="23" t="inlineStr">
        <is>
          <t>SCH-01-033</t>
        </is>
      </c>
      <c r="D266" s="23" t="inlineStr">
        <is>
          <t>1.1.2 Guideway and Civil - Utility &amp; Roadworks</t>
        </is>
      </c>
      <c r="E266" s="23" t="inlineStr">
        <is>
          <t>Carried forward</t>
        </is>
      </c>
      <c r="F266" s="23" t="inlineStr"/>
      <c r="G266" s="23" t="inlineStr">
        <is>
          <t>Source assignment -- not individually reviewed</t>
        </is>
      </c>
      <c r="H266" s="14" t="inlineStr">
        <is>
          <t>10 EVIDENCE &amp; DECISIONS</t>
        </is>
      </c>
    </row>
    <row r="267" ht="34" customHeight="1">
      <c r="A267" s="23" t="inlineStr">
        <is>
          <t>R36-v2</t>
        </is>
      </c>
      <c r="B267" s="23" t="inlineStr">
        <is>
          <t>Contractor Programme</t>
        </is>
      </c>
      <c r="C267" s="23" t="inlineStr">
        <is>
          <t>SCH-01-036</t>
        </is>
      </c>
      <c r="D267" s="23" t="inlineStr">
        <is>
          <t>1.1.2 Guideway and Civil - Utility &amp; Roadworks</t>
        </is>
      </c>
      <c r="E267" s="23" t="inlineStr">
        <is>
          <t>Carried forward</t>
        </is>
      </c>
      <c r="F267" s="23" t="inlineStr"/>
      <c r="G267" s="23" t="inlineStr">
        <is>
          <t>Source assignment -- not individually reviewed</t>
        </is>
      </c>
      <c r="H267" s="14" t="inlineStr">
        <is>
          <t>10 EVIDENCE &amp; DECISIONS</t>
        </is>
      </c>
    </row>
    <row r="268" ht="34" customHeight="1">
      <c r="A268" s="23" t="inlineStr">
        <is>
          <t>R39-v2</t>
        </is>
      </c>
      <c r="B268" s="23" t="inlineStr">
        <is>
          <t>Contractor Programme</t>
        </is>
      </c>
      <c r="C268" s="23" t="inlineStr">
        <is>
          <t>SCH-01-039</t>
        </is>
      </c>
      <c r="D268" s="23" t="inlineStr">
        <is>
          <t>1.1.2 Guideway and Civil - Utility &amp; Roadworks</t>
        </is>
      </c>
      <c r="E268" s="23" t="inlineStr">
        <is>
          <t>Carried forward</t>
        </is>
      </c>
      <c r="F268" s="23" t="inlineStr"/>
      <c r="G268" s="23" t="inlineStr">
        <is>
          <t>Source assignment -- not individually reviewed</t>
        </is>
      </c>
      <c r="H268" s="14" t="inlineStr">
        <is>
          <t>10 EVIDENCE &amp; DECISIONS</t>
        </is>
      </c>
    </row>
    <row r="269" ht="34" customHeight="1">
      <c r="A269" s="23" t="inlineStr">
        <is>
          <t>R42-v2</t>
        </is>
      </c>
      <c r="B269" s="23" t="inlineStr">
        <is>
          <t>Contractor Programme</t>
        </is>
      </c>
      <c r="C269" s="23" t="inlineStr">
        <is>
          <t>SCH-01-042</t>
        </is>
      </c>
      <c r="D269" s="23" t="inlineStr">
        <is>
          <t>1.1.2 Guideway and Civil - Utility &amp; Roadworks</t>
        </is>
      </c>
      <c r="E269" s="23" t="inlineStr">
        <is>
          <t>Carried forward</t>
        </is>
      </c>
      <c r="F269" s="23" t="inlineStr"/>
      <c r="G269" s="23" t="inlineStr">
        <is>
          <t>Source assignment -- not individually reviewed</t>
        </is>
      </c>
      <c r="H269" s="14" t="inlineStr">
        <is>
          <t>10 EVIDENCE &amp; DECISIONS</t>
        </is>
      </c>
    </row>
    <row r="270" ht="34" customHeight="1">
      <c r="A270" s="23" t="inlineStr">
        <is>
          <t>R45-v2</t>
        </is>
      </c>
      <c r="B270" s="23" t="inlineStr">
        <is>
          <t>Contractor Programme</t>
        </is>
      </c>
      <c r="C270" s="23" t="inlineStr">
        <is>
          <t>SCH-01-045</t>
        </is>
      </c>
      <c r="D270" s="23" t="inlineStr">
        <is>
          <t>1.1.2 Guideway and Civil - Utility &amp; Roadworks</t>
        </is>
      </c>
      <c r="E270" s="23" t="inlineStr">
        <is>
          <t>Carried forward</t>
        </is>
      </c>
      <c r="F270" s="23" t="inlineStr"/>
      <c r="G270" s="23" t="inlineStr">
        <is>
          <t>Source assignment -- not individually reviewed</t>
        </is>
      </c>
      <c r="H270" s="14" t="inlineStr">
        <is>
          <t>10 EVIDENCE &amp; DECISIONS</t>
        </is>
      </c>
    </row>
    <row r="271" ht="34" customHeight="1">
      <c r="A271" s="23" t="inlineStr">
        <is>
          <t>R48-v2</t>
        </is>
      </c>
      <c r="B271" s="23" t="inlineStr">
        <is>
          <t>Contractor Programme</t>
        </is>
      </c>
      <c r="C271" s="23" t="inlineStr">
        <is>
          <t>SCH-01-048</t>
        </is>
      </c>
      <c r="D271" s="23" t="inlineStr">
        <is>
          <t>1.1.2 Guideway and Civil - Utility &amp; Roadworks</t>
        </is>
      </c>
      <c r="E271" s="23" t="inlineStr">
        <is>
          <t>Carried forward</t>
        </is>
      </c>
      <c r="F271" s="23" t="inlineStr"/>
      <c r="G271" s="23" t="inlineStr">
        <is>
          <t>Source assignment -- not individually reviewed</t>
        </is>
      </c>
      <c r="H271" s="14" t="inlineStr">
        <is>
          <t>10 EVIDENCE &amp; DECISIONS</t>
        </is>
      </c>
    </row>
    <row r="272" ht="34" customHeight="1">
      <c r="A272" s="23" t="inlineStr">
        <is>
          <t>R51-v2</t>
        </is>
      </c>
      <c r="B272" s="23" t="inlineStr">
        <is>
          <t>Contractor Programme</t>
        </is>
      </c>
      <c r="C272" s="23" t="inlineStr">
        <is>
          <t>SCH-01-051</t>
        </is>
      </c>
      <c r="D272" s="23" t="inlineStr">
        <is>
          <t>1.1.2 Guideway and Civil - Utility &amp; Roadworks</t>
        </is>
      </c>
      <c r="E272" s="23" t="inlineStr">
        <is>
          <t>Carried forward</t>
        </is>
      </c>
      <c r="F272" s="23" t="inlineStr"/>
      <c r="G272" s="23" t="inlineStr">
        <is>
          <t>Source assignment -- not individually reviewed</t>
        </is>
      </c>
      <c r="H272" s="14" t="inlineStr">
        <is>
          <t>10 EVIDENCE &amp; DECISIONS</t>
        </is>
      </c>
    </row>
    <row r="273" ht="34" customHeight="1">
      <c r="A273" s="23" t="inlineStr">
        <is>
          <t>R54-v2</t>
        </is>
      </c>
      <c r="B273" s="23" t="inlineStr">
        <is>
          <t>Contractor Programme</t>
        </is>
      </c>
      <c r="C273" s="23" t="inlineStr">
        <is>
          <t>SCH-01-054</t>
        </is>
      </c>
      <c r="D273" s="23" t="inlineStr">
        <is>
          <t>1.1.2 Guideway and Civil - Utility &amp; Roadworks</t>
        </is>
      </c>
      <c r="E273" s="23" t="inlineStr">
        <is>
          <t>Carried forward</t>
        </is>
      </c>
      <c r="F273" s="23" t="inlineStr"/>
      <c r="G273" s="23" t="inlineStr">
        <is>
          <t>Source assignment -- not individually reviewed</t>
        </is>
      </c>
      <c r="H273" s="14" t="inlineStr">
        <is>
          <t>10 EVIDENCE &amp; DECISIONS</t>
        </is>
      </c>
    </row>
    <row r="274" ht="34" customHeight="1">
      <c r="A274" s="23" t="inlineStr">
        <is>
          <t>R57-v2</t>
        </is>
      </c>
      <c r="B274" s="23" t="inlineStr">
        <is>
          <t>Contractor Programme</t>
        </is>
      </c>
      <c r="C274" s="23" t="inlineStr">
        <is>
          <t>SCH-01-057</t>
        </is>
      </c>
      <c r="D274" s="23" t="inlineStr">
        <is>
          <t>1.1.2 Guideway and Civil - Utility &amp; Roadworks</t>
        </is>
      </c>
      <c r="E274" s="23" t="inlineStr">
        <is>
          <t>Carried forward</t>
        </is>
      </c>
      <c r="F274" s="23" t="inlineStr"/>
      <c r="G274" s="23" t="inlineStr">
        <is>
          <t>Source assignment -- not individually reviewed</t>
        </is>
      </c>
      <c r="H274" s="14" t="inlineStr">
        <is>
          <t>10 EVIDENCE &amp; DECISIONS</t>
        </is>
      </c>
    </row>
    <row r="275" ht="34" customHeight="1">
      <c r="A275" s="23" t="inlineStr">
        <is>
          <t>R6-v2</t>
        </is>
      </c>
      <c r="B275" s="23" t="inlineStr">
        <is>
          <t>Contractor Programme</t>
        </is>
      </c>
      <c r="C275" s="23" t="inlineStr">
        <is>
          <t>SCH-01-006</t>
        </is>
      </c>
      <c r="D275" s="23" t="inlineStr">
        <is>
          <t>1.1.2 Guideway and Civil - Utility &amp; Roadworks</t>
        </is>
      </c>
      <c r="E275" s="23" t="inlineStr">
        <is>
          <t>Carried forward</t>
        </is>
      </c>
      <c r="F275" s="23" t="inlineStr"/>
      <c r="G275" s="23" t="inlineStr">
        <is>
          <t>Source assignment -- not individually reviewed</t>
        </is>
      </c>
      <c r="H275" s="14" t="inlineStr">
        <is>
          <t>10 EVIDENCE &amp; DECISIONS</t>
        </is>
      </c>
    </row>
    <row r="276" ht="34" customHeight="1">
      <c r="A276" s="23" t="inlineStr">
        <is>
          <t>R60-v2</t>
        </is>
      </c>
      <c r="B276" s="23" t="inlineStr">
        <is>
          <t>Contractor Programme</t>
        </is>
      </c>
      <c r="C276" s="23" t="inlineStr">
        <is>
          <t>SCH-01-060</t>
        </is>
      </c>
      <c r="D276" s="23" t="inlineStr">
        <is>
          <t>1.1.2 Guideway and Civil - Utility &amp; Roadworks</t>
        </is>
      </c>
      <c r="E276" s="23" t="inlineStr">
        <is>
          <t>Carried forward</t>
        </is>
      </c>
      <c r="F276" s="23" t="inlineStr"/>
      <c r="G276" s="23" t="inlineStr">
        <is>
          <t>Source assignment -- not individually reviewed</t>
        </is>
      </c>
      <c r="H276" s="14" t="inlineStr">
        <is>
          <t>10 EVIDENCE &amp; DECISIONS</t>
        </is>
      </c>
    </row>
    <row r="277" ht="34" customHeight="1">
      <c r="A277" s="23" t="inlineStr">
        <is>
          <t>R63-v2</t>
        </is>
      </c>
      <c r="B277" s="23" t="inlineStr">
        <is>
          <t>Contractor Programme</t>
        </is>
      </c>
      <c r="C277" s="23" t="inlineStr">
        <is>
          <t>SCH-01-063</t>
        </is>
      </c>
      <c r="D277" s="23" t="inlineStr">
        <is>
          <t>1.1.2 Guideway and Civil - Utility &amp; Roadworks</t>
        </is>
      </c>
      <c r="E277" s="23" t="inlineStr">
        <is>
          <t>Carried forward</t>
        </is>
      </c>
      <c r="F277" s="23" t="inlineStr"/>
      <c r="G277" s="23" t="inlineStr">
        <is>
          <t>Source assignment -- not individually reviewed</t>
        </is>
      </c>
      <c r="H277" s="14" t="inlineStr">
        <is>
          <t>10 EVIDENCE &amp; DECISIONS</t>
        </is>
      </c>
    </row>
    <row r="278" ht="34" customHeight="1">
      <c r="A278" s="23" t="inlineStr">
        <is>
          <t>R66-v2</t>
        </is>
      </c>
      <c r="B278" s="23" t="inlineStr">
        <is>
          <t>Contractor Programme</t>
        </is>
      </c>
      <c r="C278" s="23" t="inlineStr">
        <is>
          <t>SCH-01-066</t>
        </is>
      </c>
      <c r="D278" s="23" t="inlineStr">
        <is>
          <t>1.1.2 Guideway and Civil - Utility &amp; Roadworks</t>
        </is>
      </c>
      <c r="E278" s="23" t="inlineStr">
        <is>
          <t>Carried forward</t>
        </is>
      </c>
      <c r="F278" s="23" t="inlineStr"/>
      <c r="G278" s="23" t="inlineStr">
        <is>
          <t>Source assignment -- not individually reviewed</t>
        </is>
      </c>
      <c r="H278" s="14" t="inlineStr">
        <is>
          <t>10 EVIDENCE &amp; DECISIONS</t>
        </is>
      </c>
    </row>
    <row r="279" ht="34" customHeight="1">
      <c r="A279" s="23" t="inlineStr">
        <is>
          <t>R69-v2</t>
        </is>
      </c>
      <c r="B279" s="23" t="inlineStr">
        <is>
          <t>Contractor Programme</t>
        </is>
      </c>
      <c r="C279" s="23" t="inlineStr">
        <is>
          <t>SCH-01-069</t>
        </is>
      </c>
      <c r="D279" s="23" t="inlineStr">
        <is>
          <t>1.1.2 Guideway and Civil - Utility &amp; Roadworks</t>
        </is>
      </c>
      <c r="E279" s="23" t="inlineStr">
        <is>
          <t>Carried forward</t>
        </is>
      </c>
      <c r="F279" s="23" t="inlineStr"/>
      <c r="G279" s="23" t="inlineStr">
        <is>
          <t>Source assignment -- not individually reviewed</t>
        </is>
      </c>
      <c r="H279" s="14" t="inlineStr">
        <is>
          <t>10 EVIDENCE &amp; DECISIONS</t>
        </is>
      </c>
    </row>
    <row r="280" ht="34" customHeight="1">
      <c r="A280" s="23" t="inlineStr">
        <is>
          <t>R72-v2</t>
        </is>
      </c>
      <c r="B280" s="23" t="inlineStr">
        <is>
          <t>Contractor Programme</t>
        </is>
      </c>
      <c r="C280" s="23" t="inlineStr">
        <is>
          <t>SCH-01-072</t>
        </is>
      </c>
      <c r="D280" s="23" t="inlineStr">
        <is>
          <t>1.1.2 Guideway and Civil - Utility &amp; Roadworks</t>
        </is>
      </c>
      <c r="E280" s="23" t="inlineStr">
        <is>
          <t>Carried forward</t>
        </is>
      </c>
      <c r="F280" s="23" t="inlineStr"/>
      <c r="G280" s="23" t="inlineStr">
        <is>
          <t>Source assignment -- not individually reviewed</t>
        </is>
      </c>
      <c r="H280" s="14" t="inlineStr">
        <is>
          <t>10 EVIDENCE &amp; DECISIONS</t>
        </is>
      </c>
    </row>
    <row r="281" ht="34" customHeight="1">
      <c r="A281" s="23" t="inlineStr">
        <is>
          <t>R75-v2</t>
        </is>
      </c>
      <c r="B281" s="23" t="inlineStr">
        <is>
          <t>Contractor Programme</t>
        </is>
      </c>
      <c r="C281" s="23" t="inlineStr">
        <is>
          <t>SCH-01-075</t>
        </is>
      </c>
      <c r="D281" s="23" t="inlineStr">
        <is>
          <t>1.1.2 Guideway and Civil - Utility &amp; Roadworks</t>
        </is>
      </c>
      <c r="E281" s="23" t="inlineStr">
        <is>
          <t>Carried forward</t>
        </is>
      </c>
      <c r="F281" s="23" t="inlineStr"/>
      <c r="G281" s="23" t="inlineStr">
        <is>
          <t>Source assignment -- not individually reviewed</t>
        </is>
      </c>
      <c r="H281" s="14" t="inlineStr">
        <is>
          <t>10 EVIDENCE &amp; DECISIONS</t>
        </is>
      </c>
    </row>
    <row r="282" ht="34" customHeight="1">
      <c r="A282" s="23" t="inlineStr">
        <is>
          <t>R78-v2</t>
        </is>
      </c>
      <c r="B282" s="23" t="inlineStr">
        <is>
          <t>Contractor Programme</t>
        </is>
      </c>
      <c r="C282" s="23" t="inlineStr">
        <is>
          <t>SCH-01-078</t>
        </is>
      </c>
      <c r="D282" s="23" t="inlineStr">
        <is>
          <t>1.1.2 Guideway and Civil - Utility &amp; Roadworks</t>
        </is>
      </c>
      <c r="E282" s="23" t="inlineStr">
        <is>
          <t>Carried forward</t>
        </is>
      </c>
      <c r="F282" s="23" t="inlineStr"/>
      <c r="G282" s="23" t="inlineStr">
        <is>
          <t>Source assignment -- not individually reviewed</t>
        </is>
      </c>
      <c r="H282" s="14" t="inlineStr">
        <is>
          <t>10 EVIDENCE &amp; DECISIONS</t>
        </is>
      </c>
    </row>
    <row r="283" ht="34" customHeight="1">
      <c r="A283" s="23" t="inlineStr">
        <is>
          <t>R81-v2</t>
        </is>
      </c>
      <c r="B283" s="23" t="inlineStr">
        <is>
          <t>Contractor Programme</t>
        </is>
      </c>
      <c r="C283" s="23" t="inlineStr">
        <is>
          <t>SCH-01-081</t>
        </is>
      </c>
      <c r="D283" s="23" t="inlineStr">
        <is>
          <t>1.1.2 Guideway and Civil - Utility &amp; Roadworks</t>
        </is>
      </c>
      <c r="E283" s="23" t="inlineStr">
        <is>
          <t>Carried forward</t>
        </is>
      </c>
      <c r="F283" s="23" t="inlineStr"/>
      <c r="G283" s="23" t="inlineStr">
        <is>
          <t>Source assignment -- not individually reviewed</t>
        </is>
      </c>
      <c r="H283" s="14" t="inlineStr">
        <is>
          <t>10 EVIDENCE &amp; DECISIONS</t>
        </is>
      </c>
    </row>
    <row r="284" ht="34" customHeight="1">
      <c r="A284" s="23" t="inlineStr">
        <is>
          <t>R84-v2</t>
        </is>
      </c>
      <c r="B284" s="23" t="inlineStr">
        <is>
          <t>Contractor Programme</t>
        </is>
      </c>
      <c r="C284" s="23" t="inlineStr">
        <is>
          <t>SCH-01-084</t>
        </is>
      </c>
      <c r="D284" s="23" t="inlineStr">
        <is>
          <t>1.1.2 Guideway and Civil - Utility &amp; Roadworks</t>
        </is>
      </c>
      <c r="E284" s="23" t="inlineStr">
        <is>
          <t>Carried forward</t>
        </is>
      </c>
      <c r="F284" s="23" t="inlineStr"/>
      <c r="G284" s="23" t="inlineStr">
        <is>
          <t>Source assignment -- not individually reviewed</t>
        </is>
      </c>
      <c r="H284" s="14" t="inlineStr">
        <is>
          <t>10 EVIDENCE &amp; DECISIONS</t>
        </is>
      </c>
    </row>
    <row r="285" ht="34" customHeight="1">
      <c r="A285" s="23" t="inlineStr">
        <is>
          <t>R87-v2</t>
        </is>
      </c>
      <c r="B285" s="23" t="inlineStr">
        <is>
          <t>Contractor Programme</t>
        </is>
      </c>
      <c r="C285" s="23" t="inlineStr">
        <is>
          <t>SCH-01-087</t>
        </is>
      </c>
      <c r="D285" s="23" t="inlineStr">
        <is>
          <t>1.1.2 Guideway and Civil - Utility &amp; Roadworks</t>
        </is>
      </c>
      <c r="E285" s="23" t="inlineStr">
        <is>
          <t>Carried forward</t>
        </is>
      </c>
      <c r="F285" s="23" t="inlineStr"/>
      <c r="G285" s="23" t="inlineStr">
        <is>
          <t>Source assignment -- not individually reviewed</t>
        </is>
      </c>
      <c r="H285" s="14" t="inlineStr">
        <is>
          <t>10 EVIDENCE &amp; DECISIONS</t>
        </is>
      </c>
    </row>
    <row r="286" ht="34" customHeight="1">
      <c r="A286" s="23" t="inlineStr">
        <is>
          <t>R9-v2</t>
        </is>
      </c>
      <c r="B286" s="23" t="inlineStr">
        <is>
          <t>Contractor Programme</t>
        </is>
      </c>
      <c r="C286" s="23" t="inlineStr">
        <is>
          <t>SCH-01-009</t>
        </is>
      </c>
      <c r="D286" s="23" t="inlineStr">
        <is>
          <t>1.1.2 Guideway and Civil - Utility &amp; Roadworks</t>
        </is>
      </c>
      <c r="E286" s="23" t="inlineStr">
        <is>
          <t>Carried forward</t>
        </is>
      </c>
      <c r="F286" s="23" t="inlineStr"/>
      <c r="G286" s="23" t="inlineStr">
        <is>
          <t>Source assignment -- not individually reviewed</t>
        </is>
      </c>
      <c r="H286" s="14" t="inlineStr">
        <is>
          <t>10 EVIDENCE &amp; DECISIONS</t>
        </is>
      </c>
    </row>
    <row r="287" ht="34" customHeight="1">
      <c r="A287" s="23" t="inlineStr">
        <is>
          <t>R90-v2</t>
        </is>
      </c>
      <c r="B287" s="23" t="inlineStr">
        <is>
          <t>Contractor Programme</t>
        </is>
      </c>
      <c r="C287" s="23" t="inlineStr">
        <is>
          <t>SCH-01-090</t>
        </is>
      </c>
      <c r="D287" s="23" t="inlineStr">
        <is>
          <t>1.1.2 Guideway and Civil - Utility &amp; Roadworks</t>
        </is>
      </c>
      <c r="E287" s="23" t="inlineStr">
        <is>
          <t>Carried forward</t>
        </is>
      </c>
      <c r="F287" s="23" t="inlineStr"/>
      <c r="G287" s="23" t="inlineStr">
        <is>
          <t>Source assignment -- not individually reviewed</t>
        </is>
      </c>
      <c r="H287" s="14" t="inlineStr">
        <is>
          <t>10 EVIDENCE &amp; DECISIONS</t>
        </is>
      </c>
    </row>
    <row r="288" ht="34" customHeight="1">
      <c r="A288" s="23" t="inlineStr">
        <is>
          <t>R93-v2</t>
        </is>
      </c>
      <c r="B288" s="23" t="inlineStr">
        <is>
          <t>Contractor Programme</t>
        </is>
      </c>
      <c r="C288" s="23" t="inlineStr">
        <is>
          <t>SCH-01-093</t>
        </is>
      </c>
      <c r="D288" s="23" t="inlineStr">
        <is>
          <t>1.1.2 Guideway and Civil - Utility &amp; Roadworks</t>
        </is>
      </c>
      <c r="E288" s="23" t="inlineStr">
        <is>
          <t>Carried forward</t>
        </is>
      </c>
      <c r="F288" s="23" t="inlineStr"/>
      <c r="G288" s="23" t="inlineStr">
        <is>
          <t>Source assignment -- not individually reviewed</t>
        </is>
      </c>
      <c r="H288" s="14" t="inlineStr">
        <is>
          <t>10 EVIDENCE &amp; DECISIONS</t>
        </is>
      </c>
    </row>
    <row r="289" ht="34" customHeight="1">
      <c r="A289" s="23" t="inlineStr">
        <is>
          <t>R96-v2</t>
        </is>
      </c>
      <c r="B289" s="23" t="inlineStr">
        <is>
          <t>Contractor Programme</t>
        </is>
      </c>
      <c r="C289" s="23" t="inlineStr">
        <is>
          <t>SCH-01-096</t>
        </is>
      </c>
      <c r="D289" s="23" t="inlineStr">
        <is>
          <t>1.1.2 Guideway and Civil - Utility &amp; Roadworks</t>
        </is>
      </c>
      <c r="E289" s="23" t="inlineStr">
        <is>
          <t>Carried forward</t>
        </is>
      </c>
      <c r="F289" s="23" t="inlineStr"/>
      <c r="G289" s="23" t="inlineStr">
        <is>
          <t>Source assignment -- not individually reviewed</t>
        </is>
      </c>
      <c r="H289" s="14" t="inlineStr">
        <is>
          <t>10 EVIDENCE &amp; DECISIONS</t>
        </is>
      </c>
    </row>
    <row r="290" ht="34" customHeight="1">
      <c r="A290" s="23" t="inlineStr">
        <is>
          <t>R99-v2</t>
        </is>
      </c>
      <c r="B290" s="23" t="inlineStr">
        <is>
          <t>Contractor Programme</t>
        </is>
      </c>
      <c r="C290" s="23" t="inlineStr">
        <is>
          <t>SCH-01-099</t>
        </is>
      </c>
      <c r="D290" s="23" t="inlineStr">
        <is>
          <t>1.1.2 Guideway and Civil - Utility &amp; Roadworks</t>
        </is>
      </c>
      <c r="E290" s="23" t="inlineStr">
        <is>
          <t>Carried forward</t>
        </is>
      </c>
      <c r="F290" s="23" t="inlineStr"/>
      <c r="G290" s="23" t="inlineStr">
        <is>
          <t>Source assignment -- not individually reviewed</t>
        </is>
      </c>
      <c r="H290" s="14" t="inlineStr">
        <is>
          <t>10 EVIDENCE &amp; DECISIONS</t>
        </is>
      </c>
    </row>
    <row r="291" ht="34" customHeight="1">
      <c r="A291" s="23" t="inlineStr">
        <is>
          <t>R1573-v2</t>
        </is>
      </c>
      <c r="B291" s="23" t="inlineStr">
        <is>
          <t>Commercial Package Register</t>
        </is>
      </c>
      <c r="C291" s="23" t="inlineStr">
        <is>
          <t>PKG-011</t>
        </is>
      </c>
      <c r="D291" s="23" t="inlineStr">
        <is>
          <t>1.2 Stations</t>
        </is>
      </c>
      <c r="E291" s="23" t="inlineStr">
        <is>
          <t>Carried forward</t>
        </is>
      </c>
      <c r="F291" s="23" t="inlineStr"/>
      <c r="G291" s="23" t="inlineStr">
        <is>
          <t>Source assignment -- not individually reviewed</t>
        </is>
      </c>
      <c r="H291" s="14" t="inlineStr">
        <is>
          <t>10 EVIDENCE &amp; DECISIONS</t>
        </is>
      </c>
    </row>
    <row r="292" ht="34" customHeight="1">
      <c r="A292" s="23" t="inlineStr">
        <is>
          <t>R1574-v2</t>
        </is>
      </c>
      <c r="B292" s="23" t="inlineStr">
        <is>
          <t>Commercial Package Register</t>
        </is>
      </c>
      <c r="C292" s="23" t="inlineStr">
        <is>
          <t>PKG-012</t>
        </is>
      </c>
      <c r="D292" s="23" t="inlineStr">
        <is>
          <t>1.2 Stations</t>
        </is>
      </c>
      <c r="E292" s="23" t="inlineStr">
        <is>
          <t>Carried forward</t>
        </is>
      </c>
      <c r="F292" s="23" t="inlineStr"/>
      <c r="G292" s="23" t="inlineStr">
        <is>
          <t>Source assignment -- not individually reviewed</t>
        </is>
      </c>
      <c r="H292" s="14" t="inlineStr">
        <is>
          <t>10 EVIDENCE &amp; DECISIONS</t>
        </is>
      </c>
    </row>
    <row r="293" ht="34" customHeight="1">
      <c r="A293" s="23" t="inlineStr">
        <is>
          <t>R1575-v2</t>
        </is>
      </c>
      <c r="B293" s="23" t="inlineStr">
        <is>
          <t>Commercial Package Register</t>
        </is>
      </c>
      <c r="C293" s="23" t="inlineStr">
        <is>
          <t>PKG-013</t>
        </is>
      </c>
      <c r="D293" s="23" t="inlineStr">
        <is>
          <t>1.2 Stations</t>
        </is>
      </c>
      <c r="E293" s="23" t="inlineStr">
        <is>
          <t>Carried forward</t>
        </is>
      </c>
      <c r="F293" s="23" t="inlineStr"/>
      <c r="G293" s="23" t="inlineStr">
        <is>
          <t>Source assignment -- not individually reviewed</t>
        </is>
      </c>
      <c r="H293" s="14" t="inlineStr">
        <is>
          <t>10 EVIDENCE &amp; DECISIONS</t>
        </is>
      </c>
    </row>
    <row r="294" ht="34" customHeight="1">
      <c r="A294" s="23" t="inlineStr">
        <is>
          <t>R1576-v2</t>
        </is>
      </c>
      <c r="B294" s="23" t="inlineStr">
        <is>
          <t>Commercial Package Register</t>
        </is>
      </c>
      <c r="C294" s="23" t="inlineStr">
        <is>
          <t>PKG-014</t>
        </is>
      </c>
      <c r="D294" s="23" t="inlineStr">
        <is>
          <t>1.2 Stations</t>
        </is>
      </c>
      <c r="E294" s="23" t="inlineStr">
        <is>
          <t>Carried forward</t>
        </is>
      </c>
      <c r="F294" s="23" t="inlineStr"/>
      <c r="G294" s="23" t="inlineStr">
        <is>
          <t>Source assignment -- not individually reviewed</t>
        </is>
      </c>
      <c r="H294" s="14" t="inlineStr">
        <is>
          <t>10 EVIDENCE &amp; DECISIONS</t>
        </is>
      </c>
    </row>
    <row r="295" ht="34" customHeight="1">
      <c r="A295" s="23" t="inlineStr">
        <is>
          <t>R1577-v2</t>
        </is>
      </c>
      <c r="B295" s="23" t="inlineStr">
        <is>
          <t>Commercial Package Register</t>
        </is>
      </c>
      <c r="C295" s="23" t="inlineStr">
        <is>
          <t>PKG-015</t>
        </is>
      </c>
      <c r="D295" s="23" t="inlineStr">
        <is>
          <t>1.2 Stations</t>
        </is>
      </c>
      <c r="E295" s="23" t="inlineStr">
        <is>
          <t>Carried forward</t>
        </is>
      </c>
      <c r="F295" s="23" t="inlineStr"/>
      <c r="G295" s="23" t="inlineStr">
        <is>
          <t>Source assignment -- not individually reviewed</t>
        </is>
      </c>
      <c r="H295" s="14" t="inlineStr">
        <is>
          <t>10 EVIDENCE &amp; DECISIONS</t>
        </is>
      </c>
    </row>
    <row r="296" ht="34" customHeight="1">
      <c r="A296" s="23" t="inlineStr">
        <is>
          <t>R1578-v2</t>
        </is>
      </c>
      <c r="B296" s="23" t="inlineStr">
        <is>
          <t>Commercial Package Register</t>
        </is>
      </c>
      <c r="C296" s="23" t="inlineStr">
        <is>
          <t>PKG-016</t>
        </is>
      </c>
      <c r="D296" s="23" t="inlineStr">
        <is>
          <t>1.2 Stations</t>
        </is>
      </c>
      <c r="E296" s="23" t="inlineStr">
        <is>
          <t>Carried forward</t>
        </is>
      </c>
      <c r="F296" s="23" t="inlineStr"/>
      <c r="G296" s="23" t="inlineStr">
        <is>
          <t>Source assignment -- not individually reviewed</t>
        </is>
      </c>
      <c r="H296" s="14" t="inlineStr">
        <is>
          <t>10 EVIDENCE &amp; DECISIONS</t>
        </is>
      </c>
    </row>
    <row r="297" ht="34" customHeight="1">
      <c r="A297" s="23" t="inlineStr">
        <is>
          <t>R1579-v2</t>
        </is>
      </c>
      <c r="B297" s="23" t="inlineStr">
        <is>
          <t>Commercial Package Register</t>
        </is>
      </c>
      <c r="C297" s="23" t="inlineStr">
        <is>
          <t>PKG-017</t>
        </is>
      </c>
      <c r="D297" s="23" t="inlineStr">
        <is>
          <t>1.2 Stations</t>
        </is>
      </c>
      <c r="E297" s="23" t="inlineStr">
        <is>
          <t>Carried forward</t>
        </is>
      </c>
      <c r="F297" s="23" t="inlineStr"/>
      <c r="G297" s="23" t="inlineStr">
        <is>
          <t>Source assignment -- not individually reviewed</t>
        </is>
      </c>
      <c r="H297" s="14" t="inlineStr">
        <is>
          <t>10 EVIDENCE &amp; DECISIONS</t>
        </is>
      </c>
    </row>
    <row r="298" ht="34" customHeight="1">
      <c r="A298" s="23" t="inlineStr">
        <is>
          <t>R1580-v2</t>
        </is>
      </c>
      <c r="B298" s="23" t="inlineStr">
        <is>
          <t>Commercial Package Register</t>
        </is>
      </c>
      <c r="C298" s="23" t="inlineStr">
        <is>
          <t>PKG-018</t>
        </is>
      </c>
      <c r="D298" s="23" t="inlineStr">
        <is>
          <t>1.2 Stations</t>
        </is>
      </c>
      <c r="E298" s="23" t="inlineStr">
        <is>
          <t>Carried forward</t>
        </is>
      </c>
      <c r="F298" s="23" t="inlineStr"/>
      <c r="G298" s="23" t="inlineStr">
        <is>
          <t>Source assignment -- not individually reviewed</t>
        </is>
      </c>
      <c r="H298" s="14" t="inlineStr">
        <is>
          <t>10 EVIDENCE &amp; DECISIONS</t>
        </is>
      </c>
    </row>
    <row r="299" ht="34" customHeight="1">
      <c r="A299" s="23" t="inlineStr">
        <is>
          <t>R1581-v2</t>
        </is>
      </c>
      <c r="B299" s="23" t="inlineStr">
        <is>
          <t>Commercial Package Register</t>
        </is>
      </c>
      <c r="C299" s="23" t="inlineStr">
        <is>
          <t>PKG-019</t>
        </is>
      </c>
      <c r="D299" s="23" t="inlineStr">
        <is>
          <t>1.2 Stations</t>
        </is>
      </c>
      <c r="E299" s="23" t="inlineStr">
        <is>
          <t>Carried forward</t>
        </is>
      </c>
      <c r="F299" s="23" t="inlineStr"/>
      <c r="G299" s="23" t="inlineStr">
        <is>
          <t>Source assignment -- not individually reviewed</t>
        </is>
      </c>
      <c r="H299" s="14" t="inlineStr">
        <is>
          <t>10 EVIDENCE &amp; DECISIONS</t>
        </is>
      </c>
    </row>
    <row r="300" ht="34" customHeight="1">
      <c r="A300" s="23" t="inlineStr">
        <is>
          <t>R1582-v2</t>
        </is>
      </c>
      <c r="B300" s="23" t="inlineStr">
        <is>
          <t>Commercial Package Register</t>
        </is>
      </c>
      <c r="C300" s="23" t="inlineStr">
        <is>
          <t>PKG-020</t>
        </is>
      </c>
      <c r="D300" s="23" t="inlineStr">
        <is>
          <t>1.2 Stations</t>
        </is>
      </c>
      <c r="E300" s="23" t="inlineStr">
        <is>
          <t>Carried forward</t>
        </is>
      </c>
      <c r="F300" s="23" t="inlineStr"/>
      <c r="G300" s="23" t="inlineStr">
        <is>
          <t>Source assignment -- not individually reviewed</t>
        </is>
      </c>
      <c r="H300" s="14" t="inlineStr">
        <is>
          <t>10 EVIDENCE &amp; DECISIONS</t>
        </is>
      </c>
    </row>
    <row r="301" ht="34" customHeight="1">
      <c r="A301" s="23" t="inlineStr">
        <is>
          <t>R1163-v2</t>
        </is>
      </c>
      <c r="B301" s="23" t="inlineStr">
        <is>
          <t>Cost &amp; Forecast Control Accounts</t>
        </is>
      </c>
      <c r="C301" s="23" t="inlineStr">
        <is>
          <t>CST-02-001</t>
        </is>
      </c>
      <c r="D301" s="23" t="inlineStr">
        <is>
          <t>1.2.1 Stations - Station Structures</t>
        </is>
      </c>
      <c r="E301" s="23" t="inlineStr">
        <is>
          <t>Carried forward</t>
        </is>
      </c>
      <c r="F301" s="23" t="inlineStr"/>
      <c r="G301" s="23" t="inlineStr">
        <is>
          <t>Source assignment -- not individually reviewed</t>
        </is>
      </c>
      <c r="H301" s="14" t="inlineStr">
        <is>
          <t>10 EVIDENCE &amp; DECISIONS</t>
        </is>
      </c>
    </row>
    <row r="302" ht="34" customHeight="1">
      <c r="A302" s="23" t="inlineStr">
        <is>
          <t>R1165-v2</t>
        </is>
      </c>
      <c r="B302" s="23" t="inlineStr">
        <is>
          <t>Cost &amp; Forecast Control Accounts</t>
        </is>
      </c>
      <c r="C302" s="23" t="inlineStr">
        <is>
          <t>CST-02-003</t>
        </is>
      </c>
      <c r="D302" s="23" t="inlineStr">
        <is>
          <t>1.2.1 Stations - Station Structures</t>
        </is>
      </c>
      <c r="E302" s="23" t="inlineStr">
        <is>
          <t>Carried forward</t>
        </is>
      </c>
      <c r="F302" s="23" t="inlineStr"/>
      <c r="G302" s="23" t="inlineStr">
        <is>
          <t>Source assignment -- not individually reviewed</t>
        </is>
      </c>
      <c r="H302" s="14" t="inlineStr">
        <is>
          <t>10 EVIDENCE &amp; DECISIONS</t>
        </is>
      </c>
    </row>
    <row r="303" ht="34" customHeight="1">
      <c r="A303" s="23" t="inlineStr">
        <is>
          <t>R1167-v2</t>
        </is>
      </c>
      <c r="B303" s="23" t="inlineStr">
        <is>
          <t>Cost &amp; Forecast Control Accounts</t>
        </is>
      </c>
      <c r="C303" s="23" t="inlineStr">
        <is>
          <t>CST-02-005</t>
        </is>
      </c>
      <c r="D303" s="23" t="inlineStr">
        <is>
          <t>1.2.1 Stations - Station Structures</t>
        </is>
      </c>
      <c r="E303" s="23" t="inlineStr">
        <is>
          <t>Carried forward</t>
        </is>
      </c>
      <c r="F303" s="23" t="inlineStr"/>
      <c r="G303" s="23" t="inlineStr">
        <is>
          <t>Source assignment -- not individually reviewed</t>
        </is>
      </c>
      <c r="H303" s="14" t="inlineStr">
        <is>
          <t>10 EVIDENCE &amp; DECISIONS</t>
        </is>
      </c>
    </row>
    <row r="304" ht="34" customHeight="1">
      <c r="A304" s="23" t="inlineStr">
        <is>
          <t>R1169-v2</t>
        </is>
      </c>
      <c r="B304" s="23" t="inlineStr">
        <is>
          <t>Cost &amp; Forecast Control Accounts</t>
        </is>
      </c>
      <c r="C304" s="23" t="inlineStr">
        <is>
          <t>CST-02-007</t>
        </is>
      </c>
      <c r="D304" s="23" t="inlineStr">
        <is>
          <t>1.2.1 Stations - Station Structures</t>
        </is>
      </c>
      <c r="E304" s="23" t="inlineStr">
        <is>
          <t>Carried forward</t>
        </is>
      </c>
      <c r="F304" s="23" t="inlineStr"/>
      <c r="G304" s="23" t="inlineStr">
        <is>
          <t>Source assignment -- not individually reviewed</t>
        </is>
      </c>
      <c r="H304" s="14" t="inlineStr">
        <is>
          <t>10 EVIDENCE &amp; DECISIONS</t>
        </is>
      </c>
    </row>
    <row r="305" ht="34" customHeight="1">
      <c r="A305" s="23" t="inlineStr">
        <is>
          <t>R1171-v2</t>
        </is>
      </c>
      <c r="B305" s="23" t="inlineStr">
        <is>
          <t>Cost &amp; Forecast Control Accounts</t>
        </is>
      </c>
      <c r="C305" s="23" t="inlineStr">
        <is>
          <t>CST-02-009</t>
        </is>
      </c>
      <c r="D305" s="23" t="inlineStr">
        <is>
          <t>1.2.1 Stations - Station Structures</t>
        </is>
      </c>
      <c r="E305" s="23" t="inlineStr">
        <is>
          <t>Carried forward</t>
        </is>
      </c>
      <c r="F305" s="23" t="inlineStr"/>
      <c r="G305" s="23" t="inlineStr">
        <is>
          <t>Source assignment -- not individually reviewed</t>
        </is>
      </c>
      <c r="H305" s="14" t="inlineStr">
        <is>
          <t>10 EVIDENCE &amp; DECISIONS</t>
        </is>
      </c>
    </row>
    <row r="306" ht="34" customHeight="1">
      <c r="A306" s="23" t="inlineStr">
        <is>
          <t>R1173-v2</t>
        </is>
      </c>
      <c r="B306" s="23" t="inlineStr">
        <is>
          <t>Cost &amp; Forecast Control Accounts</t>
        </is>
      </c>
      <c r="C306" s="23" t="inlineStr">
        <is>
          <t>CST-02-011</t>
        </is>
      </c>
      <c r="D306" s="23" t="inlineStr">
        <is>
          <t>1.2.1 Stations - Station Structures</t>
        </is>
      </c>
      <c r="E306" s="23" t="inlineStr">
        <is>
          <t>Carried forward</t>
        </is>
      </c>
      <c r="F306" s="23" t="inlineStr"/>
      <c r="G306" s="23" t="inlineStr">
        <is>
          <t>Source assignment -- not individually reviewed</t>
        </is>
      </c>
      <c r="H306" s="14" t="inlineStr">
        <is>
          <t>10 EVIDENCE &amp; DECISIONS</t>
        </is>
      </c>
    </row>
    <row r="307" ht="34" customHeight="1">
      <c r="A307" s="23" t="inlineStr">
        <is>
          <t>R1175-v2</t>
        </is>
      </c>
      <c r="B307" s="23" t="inlineStr">
        <is>
          <t>Cost &amp; Forecast Control Accounts</t>
        </is>
      </c>
      <c r="C307" s="23" t="inlineStr">
        <is>
          <t>CST-02-013</t>
        </is>
      </c>
      <c r="D307" s="23" t="inlineStr">
        <is>
          <t>1.2.1 Stations - Station Structures</t>
        </is>
      </c>
      <c r="E307" s="23" t="inlineStr">
        <is>
          <t>Carried forward</t>
        </is>
      </c>
      <c r="F307" s="23" t="inlineStr"/>
      <c r="G307" s="23" t="inlineStr">
        <is>
          <t>Source assignment -- not individually reviewed</t>
        </is>
      </c>
      <c r="H307" s="14" t="inlineStr">
        <is>
          <t>10 EVIDENCE &amp; DECISIONS</t>
        </is>
      </c>
    </row>
    <row r="308" ht="34" customHeight="1">
      <c r="A308" s="23" t="inlineStr">
        <is>
          <t>R1177-v2</t>
        </is>
      </c>
      <c r="B308" s="23" t="inlineStr">
        <is>
          <t>Cost &amp; Forecast Control Accounts</t>
        </is>
      </c>
      <c r="C308" s="23" t="inlineStr">
        <is>
          <t>CST-02-015</t>
        </is>
      </c>
      <c r="D308" s="23" t="inlineStr">
        <is>
          <t>1.2.1 Stations - Station Structures</t>
        </is>
      </c>
      <c r="E308" s="23" t="inlineStr">
        <is>
          <t>Carried forward</t>
        </is>
      </c>
      <c r="F308" s="23" t="inlineStr"/>
      <c r="G308" s="23" t="inlineStr">
        <is>
          <t>Source assignment -- not individually reviewed</t>
        </is>
      </c>
      <c r="H308" s="14" t="inlineStr">
        <is>
          <t>10 EVIDENCE &amp; DECISIONS</t>
        </is>
      </c>
    </row>
    <row r="309" ht="34" customHeight="1">
      <c r="A309" s="23" t="inlineStr">
        <is>
          <t>R1179-v2</t>
        </is>
      </c>
      <c r="B309" s="23" t="inlineStr">
        <is>
          <t>Cost &amp; Forecast Control Accounts</t>
        </is>
      </c>
      <c r="C309" s="23" t="inlineStr">
        <is>
          <t>CST-02-017</t>
        </is>
      </c>
      <c r="D309" s="23" t="inlineStr">
        <is>
          <t>1.2.1 Stations - Station Structures</t>
        </is>
      </c>
      <c r="E309" s="23" t="inlineStr">
        <is>
          <t>Carried forward</t>
        </is>
      </c>
      <c r="F309" s="23" t="inlineStr"/>
      <c r="G309" s="23" t="inlineStr">
        <is>
          <t>Source assignment -- not individually reviewed</t>
        </is>
      </c>
      <c r="H309" s="14" t="inlineStr">
        <is>
          <t>10 EVIDENCE &amp; DECISIONS</t>
        </is>
      </c>
    </row>
    <row r="310" ht="34" customHeight="1">
      <c r="A310" s="23" t="inlineStr">
        <is>
          <t>R1181-v2</t>
        </is>
      </c>
      <c r="B310" s="23" t="inlineStr">
        <is>
          <t>Cost &amp; Forecast Control Accounts</t>
        </is>
      </c>
      <c r="C310" s="23" t="inlineStr">
        <is>
          <t>CST-02-019</t>
        </is>
      </c>
      <c r="D310" s="23" t="inlineStr">
        <is>
          <t>1.2.1 Stations - Station Structures</t>
        </is>
      </c>
      <c r="E310" s="23" t="inlineStr">
        <is>
          <t>Carried forward</t>
        </is>
      </c>
      <c r="F310" s="23" t="inlineStr"/>
      <c r="G310" s="23" t="inlineStr">
        <is>
          <t>Source assignment -- not individually reviewed</t>
        </is>
      </c>
      <c r="H310" s="14" t="inlineStr">
        <is>
          <t>10 EVIDENCE &amp; DECISIONS</t>
        </is>
      </c>
    </row>
    <row r="311" ht="34" customHeight="1">
      <c r="A311" s="23" t="inlineStr">
        <is>
          <t>R1183-v2</t>
        </is>
      </c>
      <c r="B311" s="23" t="inlineStr">
        <is>
          <t>Cost &amp; Forecast Control Accounts</t>
        </is>
      </c>
      <c r="C311" s="23" t="inlineStr">
        <is>
          <t>CST-02-021</t>
        </is>
      </c>
      <c r="D311" s="23" t="inlineStr">
        <is>
          <t>1.2.1 Stations - Station Structures</t>
        </is>
      </c>
      <c r="E311" s="23" t="inlineStr">
        <is>
          <t>Carried forward</t>
        </is>
      </c>
      <c r="F311" s="23" t="inlineStr"/>
      <c r="G311" s="23" t="inlineStr">
        <is>
          <t>Source assignment -- not individually reviewed</t>
        </is>
      </c>
      <c r="H311" s="14" t="inlineStr">
        <is>
          <t>10 EVIDENCE &amp; DECISIONS</t>
        </is>
      </c>
    </row>
    <row r="312" ht="34" customHeight="1">
      <c r="A312" s="23" t="inlineStr">
        <is>
          <t>R1185-v2</t>
        </is>
      </c>
      <c r="B312" s="23" t="inlineStr">
        <is>
          <t>Cost &amp; Forecast Control Accounts</t>
        </is>
      </c>
      <c r="C312" s="23" t="inlineStr">
        <is>
          <t>CST-02-023</t>
        </is>
      </c>
      <c r="D312" s="23" t="inlineStr">
        <is>
          <t>1.2.1 Stations - Station Structures</t>
        </is>
      </c>
      <c r="E312" s="23" t="inlineStr">
        <is>
          <t>Carried forward</t>
        </is>
      </c>
      <c r="F312" s="23" t="inlineStr"/>
      <c r="G312" s="23" t="inlineStr">
        <is>
          <t>Source assignment -- not individually reviewed</t>
        </is>
      </c>
      <c r="H312" s="14" t="inlineStr">
        <is>
          <t>10 EVIDENCE &amp; DECISIONS</t>
        </is>
      </c>
    </row>
    <row r="313" ht="34" customHeight="1">
      <c r="A313" s="23" t="inlineStr">
        <is>
          <t>R1187-v2</t>
        </is>
      </c>
      <c r="B313" s="23" t="inlineStr">
        <is>
          <t>Cost &amp; Forecast Control Accounts</t>
        </is>
      </c>
      <c r="C313" s="23" t="inlineStr">
        <is>
          <t>CST-02-025</t>
        </is>
      </c>
      <c r="D313" s="23" t="inlineStr">
        <is>
          <t>1.2.1 Stations - Station Structures</t>
        </is>
      </c>
      <c r="E313" s="23" t="inlineStr">
        <is>
          <t>Carried forward</t>
        </is>
      </c>
      <c r="F313" s="23" t="inlineStr"/>
      <c r="G313" s="23" t="inlineStr">
        <is>
          <t>Source assignment -- not individually reviewed</t>
        </is>
      </c>
      <c r="H313" s="14" t="inlineStr">
        <is>
          <t>10 EVIDENCE &amp; DECISIONS</t>
        </is>
      </c>
    </row>
    <row r="314" ht="34" customHeight="1">
      <c r="A314" s="23" t="inlineStr">
        <is>
          <t>R1189-v2</t>
        </is>
      </c>
      <c r="B314" s="23" t="inlineStr">
        <is>
          <t>Cost &amp; Forecast Control Accounts</t>
        </is>
      </c>
      <c r="C314" s="23" t="inlineStr">
        <is>
          <t>CST-02-027</t>
        </is>
      </c>
      <c r="D314" s="23" t="inlineStr">
        <is>
          <t>1.2.1 Stations - Station Structures</t>
        </is>
      </c>
      <c r="E314" s="23" t="inlineStr">
        <is>
          <t>Carried forward</t>
        </is>
      </c>
      <c r="F314" s="23" t="inlineStr"/>
      <c r="G314" s="23" t="inlineStr">
        <is>
          <t>Source assignment -- not individually reviewed</t>
        </is>
      </c>
      <c r="H314" s="14" t="inlineStr">
        <is>
          <t>10 EVIDENCE &amp; DECISIONS</t>
        </is>
      </c>
    </row>
    <row r="315" ht="34" customHeight="1">
      <c r="A315" s="23" t="inlineStr">
        <is>
          <t>R1191-v2</t>
        </is>
      </c>
      <c r="B315" s="23" t="inlineStr">
        <is>
          <t>Cost &amp; Forecast Control Accounts</t>
        </is>
      </c>
      <c r="C315" s="23" t="inlineStr">
        <is>
          <t>CST-02-029</t>
        </is>
      </c>
      <c r="D315" s="23" t="inlineStr">
        <is>
          <t>1.2.1 Stations - Station Structures</t>
        </is>
      </c>
      <c r="E315" s="23" t="inlineStr">
        <is>
          <t>Carried forward</t>
        </is>
      </c>
      <c r="F315" s="23" t="inlineStr"/>
      <c r="G315" s="23" t="inlineStr">
        <is>
          <t>Source assignment -- not individually reviewed</t>
        </is>
      </c>
      <c r="H315" s="14" t="inlineStr">
        <is>
          <t>10 EVIDENCE &amp; DECISIONS</t>
        </is>
      </c>
    </row>
    <row r="316" ht="34" customHeight="1">
      <c r="A316" s="23" t="inlineStr">
        <is>
          <t>R1193-v2</t>
        </is>
      </c>
      <c r="B316" s="23" t="inlineStr">
        <is>
          <t>Cost &amp; Forecast Control Accounts</t>
        </is>
      </c>
      <c r="C316" s="23" t="inlineStr">
        <is>
          <t>CST-02-031</t>
        </is>
      </c>
      <c r="D316" s="23" t="inlineStr">
        <is>
          <t>1.2.1 Stations - Station Structures</t>
        </is>
      </c>
      <c r="E316" s="23" t="inlineStr">
        <is>
          <t>Carried forward</t>
        </is>
      </c>
      <c r="F316" s="23" t="inlineStr"/>
      <c r="G316" s="23" t="inlineStr">
        <is>
          <t>Source assignment -- not individually reviewed</t>
        </is>
      </c>
      <c r="H316" s="14" t="inlineStr">
        <is>
          <t>10 EVIDENCE &amp; DECISIONS</t>
        </is>
      </c>
    </row>
    <row r="317" ht="34" customHeight="1">
      <c r="A317" s="23" t="inlineStr">
        <is>
          <t>R1195-v2</t>
        </is>
      </c>
      <c r="B317" s="23" t="inlineStr">
        <is>
          <t>Cost &amp; Forecast Control Accounts</t>
        </is>
      </c>
      <c r="C317" s="23" t="inlineStr">
        <is>
          <t>CST-02-033</t>
        </is>
      </c>
      <c r="D317" s="23" t="inlineStr">
        <is>
          <t>1.2.1 Stations - Station Structures</t>
        </is>
      </c>
      <c r="E317" s="23" t="inlineStr">
        <is>
          <t>Carried forward</t>
        </is>
      </c>
      <c r="F317" s="23" t="inlineStr"/>
      <c r="G317" s="23" t="inlineStr">
        <is>
          <t>Source assignment -- not individually reviewed</t>
        </is>
      </c>
      <c r="H317" s="14" t="inlineStr">
        <is>
          <t>10 EVIDENCE &amp; DECISIONS</t>
        </is>
      </c>
    </row>
    <row r="318" ht="34" customHeight="1">
      <c r="A318" s="23" t="inlineStr">
        <is>
          <t>R1197-v2</t>
        </is>
      </c>
      <c r="B318" s="23" t="inlineStr">
        <is>
          <t>Cost &amp; Forecast Control Accounts</t>
        </is>
      </c>
      <c r="C318" s="23" t="inlineStr">
        <is>
          <t>CST-02-035</t>
        </is>
      </c>
      <c r="D318" s="23" t="inlineStr">
        <is>
          <t>1.2.1 Stations - Station Structures</t>
        </is>
      </c>
      <c r="E318" s="23" t="inlineStr">
        <is>
          <t>Carried forward</t>
        </is>
      </c>
      <c r="F318" s="23" t="inlineStr"/>
      <c r="G318" s="23" t="inlineStr">
        <is>
          <t>Source assignment -- not individually reviewed</t>
        </is>
      </c>
      <c r="H318" s="14" t="inlineStr">
        <is>
          <t>10 EVIDENCE &amp; DECISIONS</t>
        </is>
      </c>
    </row>
    <row r="319" ht="34" customHeight="1">
      <c r="A319" s="23" t="inlineStr">
        <is>
          <t>R1199-v2</t>
        </is>
      </c>
      <c r="B319" s="23" t="inlineStr">
        <is>
          <t>Cost &amp; Forecast Control Accounts</t>
        </is>
      </c>
      <c r="C319" s="23" t="inlineStr">
        <is>
          <t>CST-02-037</t>
        </is>
      </c>
      <c r="D319" s="23" t="inlineStr">
        <is>
          <t>1.2.1 Stations - Station Structures</t>
        </is>
      </c>
      <c r="E319" s="23" t="inlineStr">
        <is>
          <t>Carried forward</t>
        </is>
      </c>
      <c r="F319" s="23" t="inlineStr"/>
      <c r="G319" s="23" t="inlineStr">
        <is>
          <t>Source assignment -- not individually reviewed</t>
        </is>
      </c>
      <c r="H319" s="14" t="inlineStr">
        <is>
          <t>10 EVIDENCE &amp; DECISIONS</t>
        </is>
      </c>
    </row>
    <row r="320" ht="34" customHeight="1">
      <c r="A320" s="23" t="inlineStr">
        <is>
          <t>R1201-v2</t>
        </is>
      </c>
      <c r="B320" s="23" t="inlineStr">
        <is>
          <t>Cost &amp; Forecast Control Accounts</t>
        </is>
      </c>
      <c r="C320" s="23" t="inlineStr">
        <is>
          <t>CST-02-039</t>
        </is>
      </c>
      <c r="D320" s="23" t="inlineStr">
        <is>
          <t>1.2.1 Stations - Station Structures</t>
        </is>
      </c>
      <c r="E320" s="23" t="inlineStr">
        <is>
          <t>Carried forward</t>
        </is>
      </c>
      <c r="F320" s="23" t="inlineStr"/>
      <c r="G320" s="23" t="inlineStr">
        <is>
          <t>Source assignment -- not individually reviewed</t>
        </is>
      </c>
      <c r="H320" s="14" t="inlineStr">
        <is>
          <t>10 EVIDENCE &amp; DECISIONS</t>
        </is>
      </c>
    </row>
    <row r="321" ht="34" customHeight="1">
      <c r="A321" s="23" t="inlineStr">
        <is>
          <t>R1203-v2</t>
        </is>
      </c>
      <c r="B321" s="23" t="inlineStr">
        <is>
          <t>Cost &amp; Forecast Control Accounts</t>
        </is>
      </c>
      <c r="C321" s="23" t="inlineStr">
        <is>
          <t>CST-02-041</t>
        </is>
      </c>
      <c r="D321" s="23" t="inlineStr">
        <is>
          <t>1.2.1 Stations - Station Structures</t>
        </is>
      </c>
      <c r="E321" s="23" t="inlineStr">
        <is>
          <t>Carried forward</t>
        </is>
      </c>
      <c r="F321" s="23" t="inlineStr"/>
      <c r="G321" s="23" t="inlineStr">
        <is>
          <t>Source assignment -- not individually reviewed</t>
        </is>
      </c>
      <c r="H321" s="14" t="inlineStr">
        <is>
          <t>10 EVIDENCE &amp; DECISIONS</t>
        </is>
      </c>
    </row>
    <row r="322" ht="34" customHeight="1">
      <c r="A322" s="23" t="inlineStr">
        <is>
          <t>R1205-v2</t>
        </is>
      </c>
      <c r="B322" s="23" t="inlineStr">
        <is>
          <t>Cost &amp; Forecast Control Accounts</t>
        </is>
      </c>
      <c r="C322" s="23" t="inlineStr">
        <is>
          <t>CST-02-043</t>
        </is>
      </c>
      <c r="D322" s="23" t="inlineStr">
        <is>
          <t>1.2.1 Stations - Station Structures</t>
        </is>
      </c>
      <c r="E322" s="23" t="inlineStr">
        <is>
          <t>Carried forward</t>
        </is>
      </c>
      <c r="F322" s="23" t="inlineStr"/>
      <c r="G322" s="23" t="inlineStr">
        <is>
          <t>Source assignment -- not individually reviewed</t>
        </is>
      </c>
      <c r="H322" s="14" t="inlineStr">
        <is>
          <t>10 EVIDENCE &amp; DECISIONS</t>
        </is>
      </c>
    </row>
    <row r="323" ht="34" customHeight="1">
      <c r="A323" s="23" t="inlineStr">
        <is>
          <t>R1207-v2</t>
        </is>
      </c>
      <c r="B323" s="23" t="inlineStr">
        <is>
          <t>Cost &amp; Forecast Control Accounts</t>
        </is>
      </c>
      <c r="C323" s="23" t="inlineStr">
        <is>
          <t>CST-02-045</t>
        </is>
      </c>
      <c r="D323" s="23" t="inlineStr">
        <is>
          <t>1.2.1 Stations - Station Structures</t>
        </is>
      </c>
      <c r="E323" s="23" t="inlineStr">
        <is>
          <t>Carried forward</t>
        </is>
      </c>
      <c r="F323" s="23" t="inlineStr"/>
      <c r="G323" s="23" t="inlineStr">
        <is>
          <t>Source assignment -- not individually reviewed</t>
        </is>
      </c>
      <c r="H323" s="14" t="inlineStr">
        <is>
          <t>10 EVIDENCE &amp; DECISIONS</t>
        </is>
      </c>
    </row>
    <row r="324" ht="34" customHeight="1">
      <c r="A324" s="23" t="inlineStr">
        <is>
          <t>R1209-v2</t>
        </is>
      </c>
      <c r="B324" s="23" t="inlineStr">
        <is>
          <t>Cost &amp; Forecast Control Accounts</t>
        </is>
      </c>
      <c r="C324" s="23" t="inlineStr">
        <is>
          <t>CST-02-047</t>
        </is>
      </c>
      <c r="D324" s="23" t="inlineStr">
        <is>
          <t>1.2.1 Stations - Station Structures</t>
        </is>
      </c>
      <c r="E324" s="23" t="inlineStr">
        <is>
          <t>Carried forward</t>
        </is>
      </c>
      <c r="F324" s="23" t="inlineStr"/>
      <c r="G324" s="23" t="inlineStr">
        <is>
          <t>Source assignment -- not individually reviewed</t>
        </is>
      </c>
      <c r="H324" s="14" t="inlineStr">
        <is>
          <t>10 EVIDENCE &amp; DECISIONS</t>
        </is>
      </c>
    </row>
    <row r="325" ht="34" customHeight="1">
      <c r="A325" s="23" t="inlineStr">
        <is>
          <t>R1211-v2</t>
        </is>
      </c>
      <c r="B325" s="23" t="inlineStr">
        <is>
          <t>Cost &amp; Forecast Control Accounts</t>
        </is>
      </c>
      <c r="C325" s="23" t="inlineStr">
        <is>
          <t>CST-02-049</t>
        </is>
      </c>
      <c r="D325" s="23" t="inlineStr">
        <is>
          <t>1.2.1 Stations - Station Structures</t>
        </is>
      </c>
      <c r="E325" s="23" t="inlineStr">
        <is>
          <t>Carried forward</t>
        </is>
      </c>
      <c r="F325" s="23" t="inlineStr"/>
      <c r="G325" s="23" t="inlineStr">
        <is>
          <t>Source assignment -- not individually reviewed</t>
        </is>
      </c>
      <c r="H325" s="14" t="inlineStr">
        <is>
          <t>10 EVIDENCE &amp; DECISIONS</t>
        </is>
      </c>
    </row>
    <row r="326" ht="34" customHeight="1">
      <c r="A326" s="23" t="inlineStr">
        <is>
          <t>R1213-v2</t>
        </is>
      </c>
      <c r="B326" s="23" t="inlineStr">
        <is>
          <t>Cost &amp; Forecast Control Accounts</t>
        </is>
      </c>
      <c r="C326" s="23" t="inlineStr">
        <is>
          <t>CST-02-051</t>
        </is>
      </c>
      <c r="D326" s="23" t="inlineStr">
        <is>
          <t>1.2.1 Stations - Station Structures</t>
        </is>
      </c>
      <c r="E326" s="23" t="inlineStr">
        <is>
          <t>Carried forward</t>
        </is>
      </c>
      <c r="F326" s="23" t="inlineStr"/>
      <c r="G326" s="23" t="inlineStr">
        <is>
          <t>Source assignment -- not individually reviewed</t>
        </is>
      </c>
      <c r="H326" s="14" t="inlineStr">
        <is>
          <t>10 EVIDENCE &amp; DECISIONS</t>
        </is>
      </c>
    </row>
    <row r="327" ht="34" customHeight="1">
      <c r="A327" s="23" t="inlineStr">
        <is>
          <t>R1215-v2</t>
        </is>
      </c>
      <c r="B327" s="23" t="inlineStr">
        <is>
          <t>Cost &amp; Forecast Control Accounts</t>
        </is>
      </c>
      <c r="C327" s="23" t="inlineStr">
        <is>
          <t>CST-02-053</t>
        </is>
      </c>
      <c r="D327" s="23" t="inlineStr">
        <is>
          <t>1.2.1 Stations - Station Structures</t>
        </is>
      </c>
      <c r="E327" s="23" t="inlineStr">
        <is>
          <t>Carried forward</t>
        </is>
      </c>
      <c r="F327" s="23" t="inlineStr"/>
      <c r="G327" s="23" t="inlineStr">
        <is>
          <t>Source assignment -- not individually reviewed</t>
        </is>
      </c>
      <c r="H327" s="14" t="inlineStr">
        <is>
          <t>10 EVIDENCE &amp; DECISIONS</t>
        </is>
      </c>
    </row>
    <row r="328" ht="34" customHeight="1">
      <c r="A328" s="23" t="inlineStr">
        <is>
          <t>R1217-v2</t>
        </is>
      </c>
      <c r="B328" s="23" t="inlineStr">
        <is>
          <t>Cost &amp; Forecast Control Accounts</t>
        </is>
      </c>
      <c r="C328" s="23" t="inlineStr">
        <is>
          <t>CST-02-055</t>
        </is>
      </c>
      <c r="D328" s="23" t="inlineStr">
        <is>
          <t>1.2.1 Stations - Station Structures</t>
        </is>
      </c>
      <c r="E328" s="23" t="inlineStr">
        <is>
          <t>Carried forward</t>
        </is>
      </c>
      <c r="F328" s="23" t="inlineStr"/>
      <c r="G328" s="23" t="inlineStr">
        <is>
          <t>Source assignment -- not individually reviewed</t>
        </is>
      </c>
      <c r="H328" s="14" t="inlineStr">
        <is>
          <t>10 EVIDENCE &amp; DECISIONS</t>
        </is>
      </c>
    </row>
    <row r="329" ht="34" customHeight="1">
      <c r="A329" s="23" t="inlineStr">
        <is>
          <t>R1219-v2</t>
        </is>
      </c>
      <c r="B329" s="23" t="inlineStr">
        <is>
          <t>Cost &amp; Forecast Control Accounts</t>
        </is>
      </c>
      <c r="C329" s="23" t="inlineStr">
        <is>
          <t>CST-02-057</t>
        </is>
      </c>
      <c r="D329" s="23" t="inlineStr">
        <is>
          <t>1.2.1 Stations - Station Structures</t>
        </is>
      </c>
      <c r="E329" s="23" t="inlineStr">
        <is>
          <t>Carried forward</t>
        </is>
      </c>
      <c r="F329" s="23" t="inlineStr"/>
      <c r="G329" s="23" t="inlineStr">
        <is>
          <t>Source assignment -- not individually reviewed</t>
        </is>
      </c>
      <c r="H329" s="14" t="inlineStr">
        <is>
          <t>10 EVIDENCE &amp; DECISIONS</t>
        </is>
      </c>
    </row>
    <row r="330" ht="34" customHeight="1">
      <c r="A330" s="23" t="inlineStr">
        <is>
          <t>R1221-v2</t>
        </is>
      </c>
      <c r="B330" s="23" t="inlineStr">
        <is>
          <t>Cost &amp; Forecast Control Accounts</t>
        </is>
      </c>
      <c r="C330" s="23" t="inlineStr">
        <is>
          <t>CST-02-059</t>
        </is>
      </c>
      <c r="D330" s="23" t="inlineStr">
        <is>
          <t>1.2.1 Stations - Station Structures</t>
        </is>
      </c>
      <c r="E330" s="23" t="inlineStr">
        <is>
          <t>Carried forward</t>
        </is>
      </c>
      <c r="F330" s="23" t="inlineStr"/>
      <c r="G330" s="23" t="inlineStr">
        <is>
          <t>Source assignment -- not individually reviewed</t>
        </is>
      </c>
      <c r="H330" s="14" t="inlineStr">
        <is>
          <t>10 EVIDENCE &amp; DECISIONS</t>
        </is>
      </c>
    </row>
    <row r="331" ht="34" customHeight="1">
      <c r="A331" s="23" t="inlineStr">
        <is>
          <t>R1223-v2</t>
        </is>
      </c>
      <c r="B331" s="23" t="inlineStr">
        <is>
          <t>Cost &amp; Forecast Control Accounts</t>
        </is>
      </c>
      <c r="C331" s="23" t="inlineStr">
        <is>
          <t>CST-02-061</t>
        </is>
      </c>
      <c r="D331" s="23" t="inlineStr">
        <is>
          <t>1.2.1 Stations - Station Structures</t>
        </is>
      </c>
      <c r="E331" s="23" t="inlineStr">
        <is>
          <t>Carried forward</t>
        </is>
      </c>
      <c r="F331" s="23" t="inlineStr"/>
      <c r="G331" s="23" t="inlineStr">
        <is>
          <t>Source assignment -- not individually reviewed</t>
        </is>
      </c>
      <c r="H331" s="14" t="inlineStr">
        <is>
          <t>10 EVIDENCE &amp; DECISIONS</t>
        </is>
      </c>
    </row>
    <row r="332" ht="34" customHeight="1">
      <c r="A332" s="23" t="inlineStr">
        <is>
          <t>R1225-v2</t>
        </is>
      </c>
      <c r="B332" s="23" t="inlineStr">
        <is>
          <t>Cost &amp; Forecast Control Accounts</t>
        </is>
      </c>
      <c r="C332" s="23" t="inlineStr">
        <is>
          <t>CST-02-063</t>
        </is>
      </c>
      <c r="D332" s="23" t="inlineStr">
        <is>
          <t>1.2.1 Stations - Station Structures</t>
        </is>
      </c>
      <c r="E332" s="23" t="inlineStr">
        <is>
          <t>Carried forward</t>
        </is>
      </c>
      <c r="F332" s="23" t="inlineStr"/>
      <c r="G332" s="23" t="inlineStr">
        <is>
          <t>Source assignment -- not individually reviewed</t>
        </is>
      </c>
      <c r="H332" s="14" t="inlineStr">
        <is>
          <t>10 EVIDENCE &amp; DECISIONS</t>
        </is>
      </c>
    </row>
    <row r="333" ht="34" customHeight="1">
      <c r="A333" s="23" t="inlineStr">
        <is>
          <t>R1227-v2</t>
        </is>
      </c>
      <c r="B333" s="23" t="inlineStr">
        <is>
          <t>Cost &amp; Forecast Control Accounts</t>
        </is>
      </c>
      <c r="C333" s="23" t="inlineStr">
        <is>
          <t>CST-02-065</t>
        </is>
      </c>
      <c r="D333" s="23" t="inlineStr">
        <is>
          <t>1.2.1 Stations - Station Structures</t>
        </is>
      </c>
      <c r="E333" s="23" t="inlineStr">
        <is>
          <t>Carried forward</t>
        </is>
      </c>
      <c r="F333" s="23" t="inlineStr"/>
      <c r="G333" s="23" t="inlineStr">
        <is>
          <t>Source assignment -- not individually reviewed</t>
        </is>
      </c>
      <c r="H333" s="14" t="inlineStr">
        <is>
          <t>10 EVIDENCE &amp; DECISIONS</t>
        </is>
      </c>
    </row>
    <row r="334" ht="34" customHeight="1">
      <c r="A334" s="23" t="inlineStr">
        <is>
          <t>R1229-v2</t>
        </is>
      </c>
      <c r="B334" s="23" t="inlineStr">
        <is>
          <t>Cost &amp; Forecast Control Accounts</t>
        </is>
      </c>
      <c r="C334" s="23" t="inlineStr">
        <is>
          <t>CST-02-067</t>
        </is>
      </c>
      <c r="D334" s="23" t="inlineStr">
        <is>
          <t>1.2.1 Stations - Station Structures</t>
        </is>
      </c>
      <c r="E334" s="23" t="inlineStr">
        <is>
          <t>Carried forward</t>
        </is>
      </c>
      <c r="F334" s="23" t="inlineStr"/>
      <c r="G334" s="23" t="inlineStr">
        <is>
          <t>Source assignment -- not individually reviewed</t>
        </is>
      </c>
      <c r="H334" s="14" t="inlineStr">
        <is>
          <t>10 EVIDENCE &amp; DECISIONS</t>
        </is>
      </c>
    </row>
    <row r="335" ht="34" customHeight="1">
      <c r="A335" s="23" t="inlineStr">
        <is>
          <t>R1231-v2</t>
        </is>
      </c>
      <c r="B335" s="23" t="inlineStr">
        <is>
          <t>Cost &amp; Forecast Control Accounts</t>
        </is>
      </c>
      <c r="C335" s="23" t="inlineStr">
        <is>
          <t>CST-02-069</t>
        </is>
      </c>
      <c r="D335" s="23" t="inlineStr">
        <is>
          <t>1.2.1 Stations - Station Structures</t>
        </is>
      </c>
      <c r="E335" s="23" t="inlineStr">
        <is>
          <t>Carried forward</t>
        </is>
      </c>
      <c r="F335" s="23" t="inlineStr"/>
      <c r="G335" s="23" t="inlineStr">
        <is>
          <t>Source assignment -- not individually reviewed</t>
        </is>
      </c>
      <c r="H335" s="14" t="inlineStr">
        <is>
          <t>10 EVIDENCE &amp; DECISIONS</t>
        </is>
      </c>
    </row>
    <row r="336" ht="34" customHeight="1">
      <c r="A336" s="23" t="inlineStr">
        <is>
          <t>R1233-v2</t>
        </is>
      </c>
      <c r="B336" s="23" t="inlineStr">
        <is>
          <t>Cost &amp; Forecast Control Accounts</t>
        </is>
      </c>
      <c r="C336" s="23" t="inlineStr">
        <is>
          <t>CST-02-071</t>
        </is>
      </c>
      <c r="D336" s="23" t="inlineStr">
        <is>
          <t>1.2.1 Stations - Station Structures</t>
        </is>
      </c>
      <c r="E336" s="23" t="inlineStr">
        <is>
          <t>Carried forward</t>
        </is>
      </c>
      <c r="F336" s="23" t="inlineStr"/>
      <c r="G336" s="23" t="inlineStr">
        <is>
          <t>Source assignment -- not individually reviewed</t>
        </is>
      </c>
      <c r="H336" s="14" t="inlineStr">
        <is>
          <t>10 EVIDENCE &amp; DECISIONS</t>
        </is>
      </c>
    </row>
    <row r="337" ht="34" customHeight="1">
      <c r="A337" s="23" t="inlineStr">
        <is>
          <t>R1235-v2</t>
        </is>
      </c>
      <c r="B337" s="23" t="inlineStr">
        <is>
          <t>Cost &amp; Forecast Control Accounts</t>
        </is>
      </c>
      <c r="C337" s="23" t="inlineStr">
        <is>
          <t>CST-02-073</t>
        </is>
      </c>
      <c r="D337" s="23" t="inlineStr">
        <is>
          <t>1.2.1 Stations - Station Structures</t>
        </is>
      </c>
      <c r="E337" s="23" t="inlineStr">
        <is>
          <t>Carried forward</t>
        </is>
      </c>
      <c r="F337" s="23" t="inlineStr"/>
      <c r="G337" s="23" t="inlineStr">
        <is>
          <t>Source assignment -- not individually reviewed</t>
        </is>
      </c>
      <c r="H337" s="14" t="inlineStr">
        <is>
          <t>10 EVIDENCE &amp; DECISIONS</t>
        </is>
      </c>
    </row>
    <row r="338" ht="34" customHeight="1">
      <c r="A338" s="23" t="inlineStr">
        <is>
          <t>R1237-v2</t>
        </is>
      </c>
      <c r="B338" s="23" t="inlineStr">
        <is>
          <t>Cost &amp; Forecast Control Accounts</t>
        </is>
      </c>
      <c r="C338" s="23" t="inlineStr">
        <is>
          <t>CST-02-075</t>
        </is>
      </c>
      <c r="D338" s="23" t="inlineStr">
        <is>
          <t>1.2.1 Stations - Station Structures</t>
        </is>
      </c>
      <c r="E338" s="23" t="inlineStr">
        <is>
          <t>Carried forward</t>
        </is>
      </c>
      <c r="F338" s="23" t="inlineStr"/>
      <c r="G338" s="23" t="inlineStr">
        <is>
          <t>Source assignment -- not individually reviewed</t>
        </is>
      </c>
      <c r="H338" s="14" t="inlineStr">
        <is>
          <t>10 EVIDENCE &amp; DECISIONS</t>
        </is>
      </c>
    </row>
    <row r="339" ht="34" customHeight="1">
      <c r="A339" s="23" t="inlineStr">
        <is>
          <t>R1239-v2</t>
        </is>
      </c>
      <c r="B339" s="23" t="inlineStr">
        <is>
          <t>Cost &amp; Forecast Control Accounts</t>
        </is>
      </c>
      <c r="C339" s="23" t="inlineStr">
        <is>
          <t>CST-02-077</t>
        </is>
      </c>
      <c r="D339" s="23" t="inlineStr">
        <is>
          <t>1.2.1 Stations - Station Structures</t>
        </is>
      </c>
      <c r="E339" s="23" t="inlineStr">
        <is>
          <t>Carried forward</t>
        </is>
      </c>
      <c r="F339" s="23" t="inlineStr"/>
      <c r="G339" s="23" t="inlineStr">
        <is>
          <t>Source assignment -- not individually reviewed</t>
        </is>
      </c>
      <c r="H339" s="14" t="inlineStr">
        <is>
          <t>10 EVIDENCE &amp; DECISIONS</t>
        </is>
      </c>
    </row>
    <row r="340" ht="34" customHeight="1">
      <c r="A340" s="23" t="inlineStr">
        <is>
          <t>R1241-v2</t>
        </is>
      </c>
      <c r="B340" s="23" t="inlineStr">
        <is>
          <t>Cost &amp; Forecast Control Accounts</t>
        </is>
      </c>
      <c r="C340" s="23" t="inlineStr">
        <is>
          <t>CST-02-079</t>
        </is>
      </c>
      <c r="D340" s="23" t="inlineStr">
        <is>
          <t>1.2.1 Stations - Station Structures</t>
        </is>
      </c>
      <c r="E340" s="23" t="inlineStr">
        <is>
          <t>Carried forward</t>
        </is>
      </c>
      <c r="F340" s="23" t="inlineStr"/>
      <c r="G340" s="23" t="inlineStr">
        <is>
          <t>Source assignment -- not individually reviewed</t>
        </is>
      </c>
      <c r="H340" s="14" t="inlineStr">
        <is>
          <t>10 EVIDENCE &amp; DECISIONS</t>
        </is>
      </c>
    </row>
    <row r="341" ht="34" customHeight="1">
      <c r="A341" s="23" t="inlineStr">
        <is>
          <t>R181-v2</t>
        </is>
      </c>
      <c r="B341" s="23" t="inlineStr">
        <is>
          <t>Contractor Programme</t>
        </is>
      </c>
      <c r="C341" s="23" t="inlineStr">
        <is>
          <t>SCH-02-001</t>
        </is>
      </c>
      <c r="D341" s="23" t="inlineStr">
        <is>
          <t>1.2.1 Stations - Station Structures</t>
        </is>
      </c>
      <c r="E341" s="23" t="inlineStr">
        <is>
          <t>Carried forward</t>
        </is>
      </c>
      <c r="F341" s="23" t="inlineStr"/>
      <c r="G341" s="23" t="inlineStr">
        <is>
          <t>Source assignment -- not individually reviewed</t>
        </is>
      </c>
      <c r="H341" s="14" t="inlineStr">
        <is>
          <t>10 EVIDENCE &amp; DECISIONS</t>
        </is>
      </c>
    </row>
    <row r="342" ht="34" customHeight="1">
      <c r="A342" s="23" t="inlineStr">
        <is>
          <t>R182-v2</t>
        </is>
      </c>
      <c r="B342" s="23" t="inlineStr">
        <is>
          <t>Contractor Programme</t>
        </is>
      </c>
      <c r="C342" s="23" t="inlineStr">
        <is>
          <t>SCH-02-002</t>
        </is>
      </c>
      <c r="D342" s="23" t="inlineStr">
        <is>
          <t>1.2.1 Stations - Station Structures</t>
        </is>
      </c>
      <c r="E342" s="23" t="inlineStr">
        <is>
          <t>Carried forward</t>
        </is>
      </c>
      <c r="F342" s="23" t="inlineStr"/>
      <c r="G342" s="23" t="inlineStr">
        <is>
          <t>Source assignment -- not individually reviewed</t>
        </is>
      </c>
      <c r="H342" s="14" t="inlineStr">
        <is>
          <t>10 EVIDENCE &amp; DECISIONS</t>
        </is>
      </c>
    </row>
    <row r="343" ht="34" customHeight="1">
      <c r="A343" s="23" t="inlineStr">
        <is>
          <t>R184-v2</t>
        </is>
      </c>
      <c r="B343" s="23" t="inlineStr">
        <is>
          <t>Contractor Programme</t>
        </is>
      </c>
      <c r="C343" s="23" t="inlineStr">
        <is>
          <t>SCH-02-004</t>
        </is>
      </c>
      <c r="D343" s="23" t="inlineStr">
        <is>
          <t>1.2.1 Stations - Station Structures</t>
        </is>
      </c>
      <c r="E343" s="23" t="inlineStr">
        <is>
          <t>Carried forward</t>
        </is>
      </c>
      <c r="F343" s="23" t="inlineStr"/>
      <c r="G343" s="23" t="inlineStr">
        <is>
          <t>Source assignment -- not individually reviewed</t>
        </is>
      </c>
      <c r="H343" s="14" t="inlineStr">
        <is>
          <t>10 EVIDENCE &amp; DECISIONS</t>
        </is>
      </c>
    </row>
    <row r="344" ht="34" customHeight="1">
      <c r="A344" s="23" t="inlineStr">
        <is>
          <t>R185-v2</t>
        </is>
      </c>
      <c r="B344" s="23" t="inlineStr">
        <is>
          <t>Contractor Programme</t>
        </is>
      </c>
      <c r="C344" s="23" t="inlineStr">
        <is>
          <t>SCH-02-005</t>
        </is>
      </c>
      <c r="D344" s="23" t="inlineStr">
        <is>
          <t>1.2.1 Stations - Station Structures</t>
        </is>
      </c>
      <c r="E344" s="23" t="inlineStr">
        <is>
          <t>Carried forward</t>
        </is>
      </c>
      <c r="F344" s="23" t="inlineStr"/>
      <c r="G344" s="23" t="inlineStr">
        <is>
          <t>Source assignment -- not individually reviewed</t>
        </is>
      </c>
      <c r="H344" s="14" t="inlineStr">
        <is>
          <t>10 EVIDENCE &amp; DECISIONS</t>
        </is>
      </c>
    </row>
    <row r="345" ht="34" customHeight="1">
      <c r="A345" s="23" t="inlineStr">
        <is>
          <t>R187-v2</t>
        </is>
      </c>
      <c r="B345" s="23" t="inlineStr">
        <is>
          <t>Contractor Programme</t>
        </is>
      </c>
      <c r="C345" s="23" t="inlineStr">
        <is>
          <t>SCH-02-007</t>
        </is>
      </c>
      <c r="D345" s="23" t="inlineStr">
        <is>
          <t>1.2.1 Stations - Station Structures</t>
        </is>
      </c>
      <c r="E345" s="23" t="inlineStr">
        <is>
          <t>Carried forward</t>
        </is>
      </c>
      <c r="F345" s="23" t="inlineStr"/>
      <c r="G345" s="23" t="inlineStr">
        <is>
          <t>Source assignment -- not individually reviewed</t>
        </is>
      </c>
      <c r="H345" s="14" t="inlineStr">
        <is>
          <t>10 EVIDENCE &amp; DECISIONS</t>
        </is>
      </c>
    </row>
    <row r="346" ht="34" customHeight="1">
      <c r="A346" s="23" t="inlineStr">
        <is>
          <t>R188-v2</t>
        </is>
      </c>
      <c r="B346" s="23" t="inlineStr">
        <is>
          <t>Contractor Programme</t>
        </is>
      </c>
      <c r="C346" s="23" t="inlineStr">
        <is>
          <t>SCH-02-008</t>
        </is>
      </c>
      <c r="D346" s="23" t="inlineStr">
        <is>
          <t>1.2.1 Stations - Station Structures</t>
        </is>
      </c>
      <c r="E346" s="23" t="inlineStr">
        <is>
          <t>Carried forward</t>
        </is>
      </c>
      <c r="F346" s="23" t="inlineStr"/>
      <c r="G346" s="23" t="inlineStr">
        <is>
          <t>Source assignment -- not individually reviewed</t>
        </is>
      </c>
      <c r="H346" s="14" t="inlineStr">
        <is>
          <t>10 EVIDENCE &amp; DECISIONS</t>
        </is>
      </c>
    </row>
    <row r="347" ht="34" customHeight="1">
      <c r="A347" s="23" t="inlineStr">
        <is>
          <t>R190-v2</t>
        </is>
      </c>
      <c r="B347" s="23" t="inlineStr">
        <is>
          <t>Contractor Programme</t>
        </is>
      </c>
      <c r="C347" s="23" t="inlineStr">
        <is>
          <t>SCH-02-010</t>
        </is>
      </c>
      <c r="D347" s="23" t="inlineStr">
        <is>
          <t>1.2.1 Stations - Station Structures</t>
        </is>
      </c>
      <c r="E347" s="23" t="inlineStr">
        <is>
          <t>Carried forward</t>
        </is>
      </c>
      <c r="F347" s="23" t="inlineStr"/>
      <c r="G347" s="23" t="inlineStr">
        <is>
          <t>Source assignment -- not individually reviewed</t>
        </is>
      </c>
      <c r="H347" s="14" t="inlineStr">
        <is>
          <t>10 EVIDENCE &amp; DECISIONS</t>
        </is>
      </c>
    </row>
    <row r="348" ht="34" customHeight="1">
      <c r="A348" s="23" t="inlineStr">
        <is>
          <t>R191-v2</t>
        </is>
      </c>
      <c r="B348" s="23" t="inlineStr">
        <is>
          <t>Contractor Programme</t>
        </is>
      </c>
      <c r="C348" s="23" t="inlineStr">
        <is>
          <t>SCH-02-011</t>
        </is>
      </c>
      <c r="D348" s="23" t="inlineStr">
        <is>
          <t>1.2.1 Stations - Station Structures</t>
        </is>
      </c>
      <c r="E348" s="23" t="inlineStr">
        <is>
          <t>Carried forward</t>
        </is>
      </c>
      <c r="F348" s="23" t="inlineStr"/>
      <c r="G348" s="23" t="inlineStr">
        <is>
          <t>Source assignment -- not individually reviewed</t>
        </is>
      </c>
      <c r="H348" s="14" t="inlineStr">
        <is>
          <t>10 EVIDENCE &amp; DECISIONS</t>
        </is>
      </c>
    </row>
    <row r="349" ht="34" customHeight="1">
      <c r="A349" s="23" t="inlineStr">
        <is>
          <t>R193-v2</t>
        </is>
      </c>
      <c r="B349" s="23" t="inlineStr">
        <is>
          <t>Contractor Programme</t>
        </is>
      </c>
      <c r="C349" s="23" t="inlineStr">
        <is>
          <t>SCH-02-013</t>
        </is>
      </c>
      <c r="D349" s="23" t="inlineStr">
        <is>
          <t>1.2.1 Stations - Station Structures</t>
        </is>
      </c>
      <c r="E349" s="23" t="inlineStr">
        <is>
          <t>Carried forward</t>
        </is>
      </c>
      <c r="F349" s="23" t="inlineStr"/>
      <c r="G349" s="23" t="inlineStr">
        <is>
          <t>Source assignment -- not individually reviewed</t>
        </is>
      </c>
      <c r="H349" s="14" t="inlineStr">
        <is>
          <t>10 EVIDENCE &amp; DECISIONS</t>
        </is>
      </c>
    </row>
    <row r="350" ht="34" customHeight="1">
      <c r="A350" s="23" t="inlineStr">
        <is>
          <t>R194-v2</t>
        </is>
      </c>
      <c r="B350" s="23" t="inlineStr">
        <is>
          <t>Contractor Programme</t>
        </is>
      </c>
      <c r="C350" s="23" t="inlineStr">
        <is>
          <t>SCH-02-014</t>
        </is>
      </c>
      <c r="D350" s="23" t="inlineStr">
        <is>
          <t>1.2.1 Stations - Station Structures</t>
        </is>
      </c>
      <c r="E350" s="23" t="inlineStr">
        <is>
          <t>Carried forward</t>
        </is>
      </c>
      <c r="F350" s="23" t="inlineStr"/>
      <c r="G350" s="23" t="inlineStr">
        <is>
          <t>Source assignment -- not individually reviewed</t>
        </is>
      </c>
      <c r="H350" s="14" t="inlineStr">
        <is>
          <t>10 EVIDENCE &amp; DECISIONS</t>
        </is>
      </c>
    </row>
    <row r="351" ht="34" customHeight="1">
      <c r="A351" s="23" t="inlineStr">
        <is>
          <t>R196-v2</t>
        </is>
      </c>
      <c r="B351" s="23" t="inlineStr">
        <is>
          <t>Contractor Programme</t>
        </is>
      </c>
      <c r="C351" s="23" t="inlineStr">
        <is>
          <t>SCH-02-016</t>
        </is>
      </c>
      <c r="D351" s="23" t="inlineStr">
        <is>
          <t>1.2.1 Stations - Station Structures</t>
        </is>
      </c>
      <c r="E351" s="23" t="inlineStr">
        <is>
          <t>Carried forward</t>
        </is>
      </c>
      <c r="F351" s="23" t="inlineStr"/>
      <c r="G351" s="23" t="inlineStr">
        <is>
          <t>Source assignment -- not individually reviewed</t>
        </is>
      </c>
      <c r="H351" s="14" t="inlineStr">
        <is>
          <t>10 EVIDENCE &amp; DECISIONS</t>
        </is>
      </c>
    </row>
    <row r="352" ht="34" customHeight="1">
      <c r="A352" s="23" t="inlineStr">
        <is>
          <t>R197-v2</t>
        </is>
      </c>
      <c r="B352" s="23" t="inlineStr">
        <is>
          <t>Contractor Programme</t>
        </is>
      </c>
      <c r="C352" s="23" t="inlineStr">
        <is>
          <t>SCH-02-017</t>
        </is>
      </c>
      <c r="D352" s="23" t="inlineStr">
        <is>
          <t>1.2.1 Stations - Station Structures</t>
        </is>
      </c>
      <c r="E352" s="23" t="inlineStr">
        <is>
          <t>Carried forward</t>
        </is>
      </c>
      <c r="F352" s="23" t="inlineStr"/>
      <c r="G352" s="23" t="inlineStr">
        <is>
          <t>Source assignment -- not individually reviewed</t>
        </is>
      </c>
      <c r="H352" s="14" t="inlineStr">
        <is>
          <t>10 EVIDENCE &amp; DECISIONS</t>
        </is>
      </c>
    </row>
    <row r="353" ht="34" customHeight="1">
      <c r="A353" s="23" t="inlineStr">
        <is>
          <t>R199-v2</t>
        </is>
      </c>
      <c r="B353" s="23" t="inlineStr">
        <is>
          <t>Contractor Programme</t>
        </is>
      </c>
      <c r="C353" s="23" t="inlineStr">
        <is>
          <t>SCH-02-019</t>
        </is>
      </c>
      <c r="D353" s="23" t="inlineStr">
        <is>
          <t>1.2.1 Stations - Station Structures</t>
        </is>
      </c>
      <c r="E353" s="23" t="inlineStr">
        <is>
          <t>Carried forward</t>
        </is>
      </c>
      <c r="F353" s="23" t="inlineStr"/>
      <c r="G353" s="23" t="inlineStr">
        <is>
          <t>Source assignment -- not individually reviewed</t>
        </is>
      </c>
      <c r="H353" s="14" t="inlineStr">
        <is>
          <t>10 EVIDENCE &amp; DECISIONS</t>
        </is>
      </c>
    </row>
    <row r="354" ht="34" customHeight="1">
      <c r="A354" s="23" t="inlineStr">
        <is>
          <t>R200-v2</t>
        </is>
      </c>
      <c r="B354" s="23" t="inlineStr">
        <is>
          <t>Contractor Programme</t>
        </is>
      </c>
      <c r="C354" s="23" t="inlineStr">
        <is>
          <t>SCH-02-020</t>
        </is>
      </c>
      <c r="D354" s="23" t="inlineStr">
        <is>
          <t>1.2.1 Stations - Station Structures</t>
        </is>
      </c>
      <c r="E354" s="23" t="inlineStr">
        <is>
          <t>Carried forward</t>
        </is>
      </c>
      <c r="F354" s="23" t="inlineStr"/>
      <c r="G354" s="23" t="inlineStr">
        <is>
          <t>Source assignment -- not individually reviewed</t>
        </is>
      </c>
      <c r="H354" s="14" t="inlineStr">
        <is>
          <t>10 EVIDENCE &amp; DECISIONS</t>
        </is>
      </c>
    </row>
    <row r="355" ht="34" customHeight="1">
      <c r="A355" s="23" t="inlineStr">
        <is>
          <t>R202-v2</t>
        </is>
      </c>
      <c r="B355" s="23" t="inlineStr">
        <is>
          <t>Contractor Programme</t>
        </is>
      </c>
      <c r="C355" s="23" t="inlineStr">
        <is>
          <t>SCH-02-022</t>
        </is>
      </c>
      <c r="D355" s="23" t="inlineStr">
        <is>
          <t>1.2.1 Stations - Station Structures</t>
        </is>
      </c>
      <c r="E355" s="23" t="inlineStr">
        <is>
          <t>Carried forward</t>
        </is>
      </c>
      <c r="F355" s="23" t="inlineStr"/>
      <c r="G355" s="23" t="inlineStr">
        <is>
          <t>Source assignment -- not individually reviewed</t>
        </is>
      </c>
      <c r="H355" s="14" t="inlineStr">
        <is>
          <t>10 EVIDENCE &amp; DECISIONS</t>
        </is>
      </c>
    </row>
    <row r="356" ht="34" customHeight="1">
      <c r="A356" s="23" t="inlineStr">
        <is>
          <t>R203-v2</t>
        </is>
      </c>
      <c r="B356" s="23" t="inlineStr">
        <is>
          <t>Contractor Programme</t>
        </is>
      </c>
      <c r="C356" s="23" t="inlineStr">
        <is>
          <t>SCH-02-023</t>
        </is>
      </c>
      <c r="D356" s="23" t="inlineStr">
        <is>
          <t>1.2.1 Stations - Station Structures</t>
        </is>
      </c>
      <c r="E356" s="23" t="inlineStr">
        <is>
          <t>Carried forward</t>
        </is>
      </c>
      <c r="F356" s="23" t="inlineStr"/>
      <c r="G356" s="23" t="inlineStr">
        <is>
          <t>Source assignment -- not individually reviewed</t>
        </is>
      </c>
      <c r="H356" s="14" t="inlineStr">
        <is>
          <t>10 EVIDENCE &amp; DECISIONS</t>
        </is>
      </c>
    </row>
    <row r="357" ht="34" customHeight="1">
      <c r="A357" s="23" t="inlineStr">
        <is>
          <t>R205-v2</t>
        </is>
      </c>
      <c r="B357" s="23" t="inlineStr">
        <is>
          <t>Contractor Programme</t>
        </is>
      </c>
      <c r="C357" s="23" t="inlineStr">
        <is>
          <t>SCH-02-025</t>
        </is>
      </c>
      <c r="D357" s="23" t="inlineStr">
        <is>
          <t>1.2.1 Stations - Station Structures</t>
        </is>
      </c>
      <c r="E357" s="23" t="inlineStr">
        <is>
          <t>Carried forward</t>
        </is>
      </c>
      <c r="F357" s="23" t="inlineStr"/>
      <c r="G357" s="23" t="inlineStr">
        <is>
          <t>Source assignment -- not individually reviewed</t>
        </is>
      </c>
      <c r="H357" s="14" t="inlineStr">
        <is>
          <t>10 EVIDENCE &amp; DECISIONS</t>
        </is>
      </c>
    </row>
    <row r="358" ht="34" customHeight="1">
      <c r="A358" s="23" t="inlineStr">
        <is>
          <t>R206-v2</t>
        </is>
      </c>
      <c r="B358" s="23" t="inlineStr">
        <is>
          <t>Contractor Programme</t>
        </is>
      </c>
      <c r="C358" s="23" t="inlineStr">
        <is>
          <t>SCH-02-026</t>
        </is>
      </c>
      <c r="D358" s="23" t="inlineStr">
        <is>
          <t>1.2.1 Stations - Station Structures</t>
        </is>
      </c>
      <c r="E358" s="23" t="inlineStr">
        <is>
          <t>Carried forward</t>
        </is>
      </c>
      <c r="F358" s="23" t="inlineStr"/>
      <c r="G358" s="23" t="inlineStr">
        <is>
          <t>Source assignment -- not individually reviewed</t>
        </is>
      </c>
      <c r="H358" s="14" t="inlineStr">
        <is>
          <t>10 EVIDENCE &amp; DECISIONS</t>
        </is>
      </c>
    </row>
    <row r="359" ht="34" customHeight="1">
      <c r="A359" s="23" t="inlineStr">
        <is>
          <t>R208-v2</t>
        </is>
      </c>
      <c r="B359" s="23" t="inlineStr">
        <is>
          <t>Contractor Programme</t>
        </is>
      </c>
      <c r="C359" s="23" t="inlineStr">
        <is>
          <t>SCH-02-028</t>
        </is>
      </c>
      <c r="D359" s="23" t="inlineStr">
        <is>
          <t>1.2.1 Stations - Station Structures</t>
        </is>
      </c>
      <c r="E359" s="23" t="inlineStr">
        <is>
          <t>Carried forward</t>
        </is>
      </c>
      <c r="F359" s="23" t="inlineStr"/>
      <c r="G359" s="23" t="inlineStr">
        <is>
          <t>Source assignment -- not individually reviewed</t>
        </is>
      </c>
      <c r="H359" s="14" t="inlineStr">
        <is>
          <t>10 EVIDENCE &amp; DECISIONS</t>
        </is>
      </c>
    </row>
    <row r="360" ht="34" customHeight="1">
      <c r="A360" s="23" t="inlineStr">
        <is>
          <t>R209-v2</t>
        </is>
      </c>
      <c r="B360" s="23" t="inlineStr">
        <is>
          <t>Contractor Programme</t>
        </is>
      </c>
      <c r="C360" s="23" t="inlineStr">
        <is>
          <t>SCH-02-029</t>
        </is>
      </c>
      <c r="D360" s="23" t="inlineStr">
        <is>
          <t>1.2.1 Stations - Station Structures</t>
        </is>
      </c>
      <c r="E360" s="23" t="inlineStr">
        <is>
          <t>Carried forward</t>
        </is>
      </c>
      <c r="F360" s="23" t="inlineStr"/>
      <c r="G360" s="23" t="inlineStr">
        <is>
          <t>Source assignment -- not individually reviewed</t>
        </is>
      </c>
      <c r="H360" s="14" t="inlineStr">
        <is>
          <t>10 EVIDENCE &amp; DECISIONS</t>
        </is>
      </c>
    </row>
    <row r="361" ht="34" customHeight="1">
      <c r="A361" s="23" t="inlineStr">
        <is>
          <t>R211-v2</t>
        </is>
      </c>
      <c r="B361" s="23" t="inlineStr">
        <is>
          <t>Contractor Programme</t>
        </is>
      </c>
      <c r="C361" s="23" t="inlineStr">
        <is>
          <t>SCH-02-031</t>
        </is>
      </c>
      <c r="D361" s="23" t="inlineStr">
        <is>
          <t>1.2.1 Stations - Station Structures</t>
        </is>
      </c>
      <c r="E361" s="23" t="inlineStr">
        <is>
          <t>Carried forward</t>
        </is>
      </c>
      <c r="F361" s="23" t="inlineStr"/>
      <c r="G361" s="23" t="inlineStr">
        <is>
          <t>Source assignment -- not individually reviewed</t>
        </is>
      </c>
      <c r="H361" s="14" t="inlineStr">
        <is>
          <t>10 EVIDENCE &amp; DECISIONS</t>
        </is>
      </c>
    </row>
    <row r="362" ht="34" customHeight="1">
      <c r="A362" s="23" t="inlineStr">
        <is>
          <t>R212-v2</t>
        </is>
      </c>
      <c r="B362" s="23" t="inlineStr">
        <is>
          <t>Contractor Programme</t>
        </is>
      </c>
      <c r="C362" s="23" t="inlineStr">
        <is>
          <t>SCH-02-032</t>
        </is>
      </c>
      <c r="D362" s="23" t="inlineStr">
        <is>
          <t>1.2.1 Stations - Station Structures</t>
        </is>
      </c>
      <c r="E362" s="23" t="inlineStr">
        <is>
          <t>Carried forward</t>
        </is>
      </c>
      <c r="F362" s="23" t="inlineStr"/>
      <c r="G362" s="23" t="inlineStr">
        <is>
          <t>Source assignment -- not individually reviewed</t>
        </is>
      </c>
      <c r="H362" s="14" t="inlineStr">
        <is>
          <t>10 EVIDENCE &amp; DECISIONS</t>
        </is>
      </c>
    </row>
    <row r="363" ht="34" customHeight="1">
      <c r="A363" s="23" t="inlineStr">
        <is>
          <t>R214-v2</t>
        </is>
      </c>
      <c r="B363" s="23" t="inlineStr">
        <is>
          <t>Contractor Programme</t>
        </is>
      </c>
      <c r="C363" s="23" t="inlineStr">
        <is>
          <t>SCH-02-034</t>
        </is>
      </c>
      <c r="D363" s="23" t="inlineStr">
        <is>
          <t>1.2.1 Stations - Station Structures</t>
        </is>
      </c>
      <c r="E363" s="23" t="inlineStr">
        <is>
          <t>Carried forward</t>
        </is>
      </c>
      <c r="F363" s="23" t="inlineStr"/>
      <c r="G363" s="23" t="inlineStr">
        <is>
          <t>Source assignment -- not individually reviewed</t>
        </is>
      </c>
      <c r="H363" s="14" t="inlineStr">
        <is>
          <t>10 EVIDENCE &amp; DECISIONS</t>
        </is>
      </c>
    </row>
    <row r="364" ht="34" customHeight="1">
      <c r="A364" s="23" t="inlineStr">
        <is>
          <t>R215-v2</t>
        </is>
      </c>
      <c r="B364" s="23" t="inlineStr">
        <is>
          <t>Contractor Programme</t>
        </is>
      </c>
      <c r="C364" s="23" t="inlineStr">
        <is>
          <t>SCH-02-035</t>
        </is>
      </c>
      <c r="D364" s="23" t="inlineStr">
        <is>
          <t>1.2.1 Stations - Station Structures</t>
        </is>
      </c>
      <c r="E364" s="23" t="inlineStr">
        <is>
          <t>Carried forward</t>
        </is>
      </c>
      <c r="F364" s="23" t="inlineStr"/>
      <c r="G364" s="23" t="inlineStr">
        <is>
          <t>Source assignment -- not individually reviewed</t>
        </is>
      </c>
      <c r="H364" s="14" t="inlineStr">
        <is>
          <t>10 EVIDENCE &amp; DECISIONS</t>
        </is>
      </c>
    </row>
    <row r="365" ht="34" customHeight="1">
      <c r="A365" s="23" t="inlineStr">
        <is>
          <t>R217-v2</t>
        </is>
      </c>
      <c r="B365" s="23" t="inlineStr">
        <is>
          <t>Contractor Programme</t>
        </is>
      </c>
      <c r="C365" s="23" t="inlineStr">
        <is>
          <t>SCH-02-037</t>
        </is>
      </c>
      <c r="D365" s="23" t="inlineStr">
        <is>
          <t>1.2.1 Stations - Station Structures</t>
        </is>
      </c>
      <c r="E365" s="23" t="inlineStr">
        <is>
          <t>Carried forward</t>
        </is>
      </c>
      <c r="F365" s="23" t="inlineStr"/>
      <c r="G365" s="23" t="inlineStr">
        <is>
          <t>Source assignment -- not individually reviewed</t>
        </is>
      </c>
      <c r="H365" s="14" t="inlineStr">
        <is>
          <t>10 EVIDENCE &amp; DECISIONS</t>
        </is>
      </c>
    </row>
    <row r="366" ht="34" customHeight="1">
      <c r="A366" s="23" t="inlineStr">
        <is>
          <t>R218-v2</t>
        </is>
      </c>
      <c r="B366" s="23" t="inlineStr">
        <is>
          <t>Contractor Programme</t>
        </is>
      </c>
      <c r="C366" s="23" t="inlineStr">
        <is>
          <t>SCH-02-038</t>
        </is>
      </c>
      <c r="D366" s="23" t="inlineStr">
        <is>
          <t>1.2.1 Stations - Station Structures</t>
        </is>
      </c>
      <c r="E366" s="23" t="inlineStr">
        <is>
          <t>Carried forward</t>
        </is>
      </c>
      <c r="F366" s="23" t="inlineStr"/>
      <c r="G366" s="23" t="inlineStr">
        <is>
          <t>Source assignment -- not individually reviewed</t>
        </is>
      </c>
      <c r="H366" s="14" t="inlineStr">
        <is>
          <t>10 EVIDENCE &amp; DECISIONS</t>
        </is>
      </c>
    </row>
    <row r="367" ht="34" customHeight="1">
      <c r="A367" s="23" t="inlineStr">
        <is>
          <t>R220-v2</t>
        </is>
      </c>
      <c r="B367" s="23" t="inlineStr">
        <is>
          <t>Contractor Programme</t>
        </is>
      </c>
      <c r="C367" s="23" t="inlineStr">
        <is>
          <t>SCH-02-040</t>
        </is>
      </c>
      <c r="D367" s="23" t="inlineStr">
        <is>
          <t>1.2.1 Stations - Station Structures</t>
        </is>
      </c>
      <c r="E367" s="23" t="inlineStr">
        <is>
          <t>Carried forward</t>
        </is>
      </c>
      <c r="F367" s="23" t="inlineStr"/>
      <c r="G367" s="23" t="inlineStr">
        <is>
          <t>Source assignment -- not individually reviewed</t>
        </is>
      </c>
      <c r="H367" s="14" t="inlineStr">
        <is>
          <t>10 EVIDENCE &amp; DECISIONS</t>
        </is>
      </c>
    </row>
    <row r="368" ht="34" customHeight="1">
      <c r="A368" s="23" t="inlineStr">
        <is>
          <t>R221-v2</t>
        </is>
      </c>
      <c r="B368" s="23" t="inlineStr">
        <is>
          <t>Contractor Programme</t>
        </is>
      </c>
      <c r="C368" s="23" t="inlineStr">
        <is>
          <t>SCH-02-041</t>
        </is>
      </c>
      <c r="D368" s="23" t="inlineStr">
        <is>
          <t>1.2.1 Stations - Station Structures</t>
        </is>
      </c>
      <c r="E368" s="23" t="inlineStr">
        <is>
          <t>Carried forward</t>
        </is>
      </c>
      <c r="F368" s="23" t="inlineStr"/>
      <c r="G368" s="23" t="inlineStr">
        <is>
          <t>Source assignment -- not individually reviewed</t>
        </is>
      </c>
      <c r="H368" s="14" t="inlineStr">
        <is>
          <t>10 EVIDENCE &amp; DECISIONS</t>
        </is>
      </c>
    </row>
    <row r="369" ht="34" customHeight="1">
      <c r="A369" s="23" t="inlineStr">
        <is>
          <t>R223-v2</t>
        </is>
      </c>
      <c r="B369" s="23" t="inlineStr">
        <is>
          <t>Contractor Programme</t>
        </is>
      </c>
      <c r="C369" s="23" t="inlineStr">
        <is>
          <t>SCH-02-043</t>
        </is>
      </c>
      <c r="D369" s="23" t="inlineStr">
        <is>
          <t>1.2.1 Stations - Station Structures</t>
        </is>
      </c>
      <c r="E369" s="23" t="inlineStr">
        <is>
          <t>Carried forward</t>
        </is>
      </c>
      <c r="F369" s="23" t="inlineStr"/>
      <c r="G369" s="23" t="inlineStr">
        <is>
          <t>Source assignment -- not individually reviewed</t>
        </is>
      </c>
      <c r="H369" s="14" t="inlineStr">
        <is>
          <t>10 EVIDENCE &amp; DECISIONS</t>
        </is>
      </c>
    </row>
    <row r="370" ht="34" customHeight="1">
      <c r="A370" s="23" t="inlineStr">
        <is>
          <t>R224-v2</t>
        </is>
      </c>
      <c r="B370" s="23" t="inlineStr">
        <is>
          <t>Contractor Programme</t>
        </is>
      </c>
      <c r="C370" s="23" t="inlineStr">
        <is>
          <t>SCH-02-044</t>
        </is>
      </c>
      <c r="D370" s="23" t="inlineStr">
        <is>
          <t>1.2.1 Stations - Station Structures</t>
        </is>
      </c>
      <c r="E370" s="23" t="inlineStr">
        <is>
          <t>Carried forward</t>
        </is>
      </c>
      <c r="F370" s="23" t="inlineStr"/>
      <c r="G370" s="23" t="inlineStr">
        <is>
          <t>Source assignment -- not individually reviewed</t>
        </is>
      </c>
      <c r="H370" s="14" t="inlineStr">
        <is>
          <t>10 EVIDENCE &amp; DECISIONS</t>
        </is>
      </c>
    </row>
    <row r="371" ht="34" customHeight="1">
      <c r="A371" s="23" t="inlineStr">
        <is>
          <t>R226-v2</t>
        </is>
      </c>
      <c r="B371" s="23" t="inlineStr">
        <is>
          <t>Contractor Programme</t>
        </is>
      </c>
      <c r="C371" s="23" t="inlineStr">
        <is>
          <t>SCH-02-046</t>
        </is>
      </c>
      <c r="D371" s="23" t="inlineStr">
        <is>
          <t>1.2.1 Stations - Station Structures</t>
        </is>
      </c>
      <c r="E371" s="23" t="inlineStr">
        <is>
          <t>Carried forward</t>
        </is>
      </c>
      <c r="F371" s="23" t="inlineStr"/>
      <c r="G371" s="23" t="inlineStr">
        <is>
          <t>Source assignment -- not individually reviewed</t>
        </is>
      </c>
      <c r="H371" s="14" t="inlineStr">
        <is>
          <t>10 EVIDENCE &amp; DECISIONS</t>
        </is>
      </c>
    </row>
    <row r="372" ht="34" customHeight="1">
      <c r="A372" s="23" t="inlineStr">
        <is>
          <t>R227-v2</t>
        </is>
      </c>
      <c r="B372" s="23" t="inlineStr">
        <is>
          <t>Contractor Programme</t>
        </is>
      </c>
      <c r="C372" s="23" t="inlineStr">
        <is>
          <t>SCH-02-047</t>
        </is>
      </c>
      <c r="D372" s="23" t="inlineStr">
        <is>
          <t>1.2.1 Stations - Station Structures</t>
        </is>
      </c>
      <c r="E372" s="23" t="inlineStr">
        <is>
          <t>Carried forward</t>
        </is>
      </c>
      <c r="F372" s="23" t="inlineStr"/>
      <c r="G372" s="23" t="inlineStr">
        <is>
          <t>Source assignment -- not individually reviewed</t>
        </is>
      </c>
      <c r="H372" s="14" t="inlineStr">
        <is>
          <t>10 EVIDENCE &amp; DECISIONS</t>
        </is>
      </c>
    </row>
    <row r="373" ht="34" customHeight="1">
      <c r="A373" s="23" t="inlineStr">
        <is>
          <t>R229-v2</t>
        </is>
      </c>
      <c r="B373" s="23" t="inlineStr">
        <is>
          <t>Contractor Programme</t>
        </is>
      </c>
      <c r="C373" s="23" t="inlineStr">
        <is>
          <t>SCH-02-049</t>
        </is>
      </c>
      <c r="D373" s="23" t="inlineStr">
        <is>
          <t>1.2.1 Stations - Station Structures</t>
        </is>
      </c>
      <c r="E373" s="23" t="inlineStr">
        <is>
          <t>Carried forward</t>
        </is>
      </c>
      <c r="F373" s="23" t="inlineStr"/>
      <c r="G373" s="23" t="inlineStr">
        <is>
          <t>Source assignment -- not individually reviewed</t>
        </is>
      </c>
      <c r="H373" s="14" t="inlineStr">
        <is>
          <t>10 EVIDENCE &amp; DECISIONS</t>
        </is>
      </c>
    </row>
    <row r="374" ht="34" customHeight="1">
      <c r="A374" s="23" t="inlineStr">
        <is>
          <t>R230-v2</t>
        </is>
      </c>
      <c r="B374" s="23" t="inlineStr">
        <is>
          <t>Contractor Programme</t>
        </is>
      </c>
      <c r="C374" s="23" t="inlineStr">
        <is>
          <t>SCH-02-050</t>
        </is>
      </c>
      <c r="D374" s="23" t="inlineStr">
        <is>
          <t>1.2.1 Stations - Station Structures</t>
        </is>
      </c>
      <c r="E374" s="23" t="inlineStr">
        <is>
          <t>Carried forward</t>
        </is>
      </c>
      <c r="F374" s="23" t="inlineStr"/>
      <c r="G374" s="23" t="inlineStr">
        <is>
          <t>Source assignment -- not individually reviewed</t>
        </is>
      </c>
      <c r="H374" s="14" t="inlineStr">
        <is>
          <t>10 EVIDENCE &amp; DECISIONS</t>
        </is>
      </c>
    </row>
    <row r="375" ht="34" customHeight="1">
      <c r="A375" s="23" t="inlineStr">
        <is>
          <t>R232-v2</t>
        </is>
      </c>
      <c r="B375" s="23" t="inlineStr">
        <is>
          <t>Contractor Programme</t>
        </is>
      </c>
      <c r="C375" s="23" t="inlineStr">
        <is>
          <t>SCH-02-052</t>
        </is>
      </c>
      <c r="D375" s="23" t="inlineStr">
        <is>
          <t>1.2.1 Stations - Station Structures</t>
        </is>
      </c>
      <c r="E375" s="23" t="inlineStr">
        <is>
          <t>Carried forward</t>
        </is>
      </c>
      <c r="F375" s="23" t="inlineStr"/>
      <c r="G375" s="23" t="inlineStr">
        <is>
          <t>Source assignment -- not individually reviewed</t>
        </is>
      </c>
      <c r="H375" s="14" t="inlineStr">
        <is>
          <t>10 EVIDENCE &amp; DECISIONS</t>
        </is>
      </c>
    </row>
    <row r="376" ht="34" customHeight="1">
      <c r="A376" s="23" t="inlineStr">
        <is>
          <t>R233-v2</t>
        </is>
      </c>
      <c r="B376" s="23" t="inlineStr">
        <is>
          <t>Contractor Programme</t>
        </is>
      </c>
      <c r="C376" s="23" t="inlineStr">
        <is>
          <t>SCH-02-053</t>
        </is>
      </c>
      <c r="D376" s="23" t="inlineStr">
        <is>
          <t>1.2.1 Stations - Station Structures</t>
        </is>
      </c>
      <c r="E376" s="23" t="inlineStr">
        <is>
          <t>Carried forward</t>
        </is>
      </c>
      <c r="F376" s="23" t="inlineStr"/>
      <c r="G376" s="23" t="inlineStr">
        <is>
          <t>Source assignment -- not individually reviewed</t>
        </is>
      </c>
      <c r="H376" s="14" t="inlineStr">
        <is>
          <t>10 EVIDENCE &amp; DECISIONS</t>
        </is>
      </c>
    </row>
    <row r="377" ht="34" customHeight="1">
      <c r="A377" s="23" t="inlineStr">
        <is>
          <t>R235-v2</t>
        </is>
      </c>
      <c r="B377" s="23" t="inlineStr">
        <is>
          <t>Contractor Programme</t>
        </is>
      </c>
      <c r="C377" s="23" t="inlineStr">
        <is>
          <t>SCH-02-055</t>
        </is>
      </c>
      <c r="D377" s="23" t="inlineStr">
        <is>
          <t>1.2.1 Stations - Station Structures</t>
        </is>
      </c>
      <c r="E377" s="23" t="inlineStr">
        <is>
          <t>Carried forward</t>
        </is>
      </c>
      <c r="F377" s="23" t="inlineStr"/>
      <c r="G377" s="23" t="inlineStr">
        <is>
          <t>Source assignment -- not individually reviewed</t>
        </is>
      </c>
      <c r="H377" s="14" t="inlineStr">
        <is>
          <t>10 EVIDENCE &amp; DECISIONS</t>
        </is>
      </c>
    </row>
    <row r="378" ht="34" customHeight="1">
      <c r="A378" s="23" t="inlineStr">
        <is>
          <t>R236-v2</t>
        </is>
      </c>
      <c r="B378" s="23" t="inlineStr">
        <is>
          <t>Contractor Programme</t>
        </is>
      </c>
      <c r="C378" s="23" t="inlineStr">
        <is>
          <t>SCH-02-056</t>
        </is>
      </c>
      <c r="D378" s="23" t="inlineStr">
        <is>
          <t>1.2.1 Stations - Station Structures</t>
        </is>
      </c>
      <c r="E378" s="23" t="inlineStr">
        <is>
          <t>Carried forward</t>
        </is>
      </c>
      <c r="F378" s="23" t="inlineStr"/>
      <c r="G378" s="23" t="inlineStr">
        <is>
          <t>Source assignment -- not individually reviewed</t>
        </is>
      </c>
      <c r="H378" s="14" t="inlineStr">
        <is>
          <t>10 EVIDENCE &amp; DECISIONS</t>
        </is>
      </c>
    </row>
    <row r="379" ht="34" customHeight="1">
      <c r="A379" s="23" t="inlineStr">
        <is>
          <t>R238-v2</t>
        </is>
      </c>
      <c r="B379" s="23" t="inlineStr">
        <is>
          <t>Contractor Programme</t>
        </is>
      </c>
      <c r="C379" s="23" t="inlineStr">
        <is>
          <t>SCH-02-058</t>
        </is>
      </c>
      <c r="D379" s="23" t="inlineStr">
        <is>
          <t>1.2.1 Stations - Station Structures</t>
        </is>
      </c>
      <c r="E379" s="23" t="inlineStr">
        <is>
          <t>Carried forward</t>
        </is>
      </c>
      <c r="F379" s="23" t="inlineStr"/>
      <c r="G379" s="23" t="inlineStr">
        <is>
          <t>Source assignment -- not individually reviewed</t>
        </is>
      </c>
      <c r="H379" s="14" t="inlineStr">
        <is>
          <t>10 EVIDENCE &amp; DECISIONS</t>
        </is>
      </c>
    </row>
    <row r="380" ht="34" customHeight="1">
      <c r="A380" s="23" t="inlineStr">
        <is>
          <t>R239-v2</t>
        </is>
      </c>
      <c r="B380" s="23" t="inlineStr">
        <is>
          <t>Contractor Programme</t>
        </is>
      </c>
      <c r="C380" s="23" t="inlineStr">
        <is>
          <t>SCH-02-059</t>
        </is>
      </c>
      <c r="D380" s="23" t="inlineStr">
        <is>
          <t>1.2.1 Stations - Station Structures</t>
        </is>
      </c>
      <c r="E380" s="23" t="inlineStr">
        <is>
          <t>Carried forward</t>
        </is>
      </c>
      <c r="F380" s="23" t="inlineStr"/>
      <c r="G380" s="23" t="inlineStr">
        <is>
          <t>Source assignment -- not individually reviewed</t>
        </is>
      </c>
      <c r="H380" s="14" t="inlineStr">
        <is>
          <t>10 EVIDENCE &amp; DECISIONS</t>
        </is>
      </c>
    </row>
    <row r="381" ht="34" customHeight="1">
      <c r="A381" s="23" t="inlineStr">
        <is>
          <t>R241-v2</t>
        </is>
      </c>
      <c r="B381" s="23" t="inlineStr">
        <is>
          <t>Contractor Programme</t>
        </is>
      </c>
      <c r="C381" s="23" t="inlineStr">
        <is>
          <t>SCH-02-061</t>
        </is>
      </c>
      <c r="D381" s="23" t="inlineStr">
        <is>
          <t>1.2.1 Stations - Station Structures</t>
        </is>
      </c>
      <c r="E381" s="23" t="inlineStr">
        <is>
          <t>Carried forward</t>
        </is>
      </c>
      <c r="F381" s="23" t="inlineStr"/>
      <c r="G381" s="23" t="inlineStr">
        <is>
          <t>Source assignment -- not individually reviewed</t>
        </is>
      </c>
      <c r="H381" s="14" t="inlineStr">
        <is>
          <t>10 EVIDENCE &amp; DECISIONS</t>
        </is>
      </c>
    </row>
    <row r="382" ht="34" customHeight="1">
      <c r="A382" s="23" t="inlineStr">
        <is>
          <t>R242-v2</t>
        </is>
      </c>
      <c r="B382" s="23" t="inlineStr">
        <is>
          <t>Contractor Programme</t>
        </is>
      </c>
      <c r="C382" s="23" t="inlineStr">
        <is>
          <t>SCH-02-062</t>
        </is>
      </c>
      <c r="D382" s="23" t="inlineStr">
        <is>
          <t>1.2.1 Stations - Station Structures</t>
        </is>
      </c>
      <c r="E382" s="23" t="inlineStr">
        <is>
          <t>Carried forward</t>
        </is>
      </c>
      <c r="F382" s="23" t="inlineStr"/>
      <c r="G382" s="23" t="inlineStr">
        <is>
          <t>Source assignment -- not individually reviewed</t>
        </is>
      </c>
      <c r="H382" s="14" t="inlineStr">
        <is>
          <t>10 EVIDENCE &amp; DECISIONS</t>
        </is>
      </c>
    </row>
    <row r="383" ht="34" customHeight="1">
      <c r="A383" s="23" t="inlineStr">
        <is>
          <t>R244-v2</t>
        </is>
      </c>
      <c r="B383" s="23" t="inlineStr">
        <is>
          <t>Contractor Programme</t>
        </is>
      </c>
      <c r="C383" s="23" t="inlineStr">
        <is>
          <t>SCH-02-064</t>
        </is>
      </c>
      <c r="D383" s="23" t="inlineStr">
        <is>
          <t>1.2.1 Stations - Station Structures</t>
        </is>
      </c>
      <c r="E383" s="23" t="inlineStr">
        <is>
          <t>Carried forward</t>
        </is>
      </c>
      <c r="F383" s="23" t="inlineStr"/>
      <c r="G383" s="23" t="inlineStr">
        <is>
          <t>Source assignment -- not individually reviewed</t>
        </is>
      </c>
      <c r="H383" s="14" t="inlineStr">
        <is>
          <t>10 EVIDENCE &amp; DECISIONS</t>
        </is>
      </c>
    </row>
    <row r="384" ht="34" customHeight="1">
      <c r="A384" s="23" t="inlineStr">
        <is>
          <t>R245-v2</t>
        </is>
      </c>
      <c r="B384" s="23" t="inlineStr">
        <is>
          <t>Contractor Programme</t>
        </is>
      </c>
      <c r="C384" s="23" t="inlineStr">
        <is>
          <t>SCH-02-065</t>
        </is>
      </c>
      <c r="D384" s="23" t="inlineStr">
        <is>
          <t>1.2.1 Stations - Station Structures</t>
        </is>
      </c>
      <c r="E384" s="23" t="inlineStr">
        <is>
          <t>Carried forward</t>
        </is>
      </c>
      <c r="F384" s="23" t="inlineStr"/>
      <c r="G384" s="23" t="inlineStr">
        <is>
          <t>Source assignment -- not individually reviewed</t>
        </is>
      </c>
      <c r="H384" s="14" t="inlineStr">
        <is>
          <t>10 EVIDENCE &amp; DECISIONS</t>
        </is>
      </c>
    </row>
    <row r="385" ht="34" customHeight="1">
      <c r="A385" s="23" t="inlineStr">
        <is>
          <t>R247-v2</t>
        </is>
      </c>
      <c r="B385" s="23" t="inlineStr">
        <is>
          <t>Contractor Programme</t>
        </is>
      </c>
      <c r="C385" s="23" t="inlineStr">
        <is>
          <t>SCH-02-067</t>
        </is>
      </c>
      <c r="D385" s="23" t="inlineStr">
        <is>
          <t>1.2.1 Stations - Station Structures</t>
        </is>
      </c>
      <c r="E385" s="23" t="inlineStr">
        <is>
          <t>Carried forward</t>
        </is>
      </c>
      <c r="F385" s="23" t="inlineStr"/>
      <c r="G385" s="23" t="inlineStr">
        <is>
          <t>Source assignment -- not individually reviewed</t>
        </is>
      </c>
      <c r="H385" s="14" t="inlineStr">
        <is>
          <t>10 EVIDENCE &amp; DECISIONS</t>
        </is>
      </c>
    </row>
    <row r="386" ht="34" customHeight="1">
      <c r="A386" s="23" t="inlineStr">
        <is>
          <t>R248-v2</t>
        </is>
      </c>
      <c r="B386" s="23" t="inlineStr">
        <is>
          <t>Contractor Programme</t>
        </is>
      </c>
      <c r="C386" s="23" t="inlineStr">
        <is>
          <t>SCH-02-068</t>
        </is>
      </c>
      <c r="D386" s="23" t="inlineStr">
        <is>
          <t>1.2.1 Stations - Station Structures</t>
        </is>
      </c>
      <c r="E386" s="23" t="inlineStr">
        <is>
          <t>Carried forward</t>
        </is>
      </c>
      <c r="F386" s="23" t="inlineStr"/>
      <c r="G386" s="23" t="inlineStr">
        <is>
          <t>Source assignment -- not individually reviewed</t>
        </is>
      </c>
      <c r="H386" s="14" t="inlineStr">
        <is>
          <t>10 EVIDENCE &amp; DECISIONS</t>
        </is>
      </c>
    </row>
    <row r="387" ht="34" customHeight="1">
      <c r="A387" s="23" t="inlineStr">
        <is>
          <t>R250-v2</t>
        </is>
      </c>
      <c r="B387" s="23" t="inlineStr">
        <is>
          <t>Contractor Programme</t>
        </is>
      </c>
      <c r="C387" s="23" t="inlineStr">
        <is>
          <t>SCH-02-070</t>
        </is>
      </c>
      <c r="D387" s="23" t="inlineStr">
        <is>
          <t>1.2.1 Stations - Station Structures</t>
        </is>
      </c>
      <c r="E387" s="23" t="inlineStr">
        <is>
          <t>Carried forward</t>
        </is>
      </c>
      <c r="F387" s="23" t="inlineStr"/>
      <c r="G387" s="23" t="inlineStr">
        <is>
          <t>Source assignment -- not individually reviewed</t>
        </is>
      </c>
      <c r="H387" s="14" t="inlineStr">
        <is>
          <t>10 EVIDENCE &amp; DECISIONS</t>
        </is>
      </c>
    </row>
    <row r="388" ht="34" customHeight="1">
      <c r="A388" s="23" t="inlineStr">
        <is>
          <t>R251-v2</t>
        </is>
      </c>
      <c r="B388" s="23" t="inlineStr">
        <is>
          <t>Contractor Programme</t>
        </is>
      </c>
      <c r="C388" s="23" t="inlineStr">
        <is>
          <t>SCH-02-071</t>
        </is>
      </c>
      <c r="D388" s="23" t="inlineStr">
        <is>
          <t>1.2.1 Stations - Station Structures</t>
        </is>
      </c>
      <c r="E388" s="23" t="inlineStr">
        <is>
          <t>Carried forward</t>
        </is>
      </c>
      <c r="F388" s="23" t="inlineStr"/>
      <c r="G388" s="23" t="inlineStr">
        <is>
          <t>Source assignment -- not individually reviewed</t>
        </is>
      </c>
      <c r="H388" s="14" t="inlineStr">
        <is>
          <t>10 EVIDENCE &amp; DECISIONS</t>
        </is>
      </c>
    </row>
    <row r="389" ht="34" customHeight="1">
      <c r="A389" s="23" t="inlineStr">
        <is>
          <t>R253-v2</t>
        </is>
      </c>
      <c r="B389" s="23" t="inlineStr">
        <is>
          <t>Contractor Programme</t>
        </is>
      </c>
      <c r="C389" s="23" t="inlineStr">
        <is>
          <t>SCH-02-073</t>
        </is>
      </c>
      <c r="D389" s="23" t="inlineStr">
        <is>
          <t>1.2.1 Stations - Station Structures</t>
        </is>
      </c>
      <c r="E389" s="23" t="inlineStr">
        <is>
          <t>Carried forward</t>
        </is>
      </c>
      <c r="F389" s="23" t="inlineStr"/>
      <c r="G389" s="23" t="inlineStr">
        <is>
          <t>Source assignment -- not individually reviewed</t>
        </is>
      </c>
      <c r="H389" s="14" t="inlineStr">
        <is>
          <t>10 EVIDENCE &amp; DECISIONS</t>
        </is>
      </c>
    </row>
    <row r="390" ht="34" customHeight="1">
      <c r="A390" s="23" t="inlineStr">
        <is>
          <t>R254-v2</t>
        </is>
      </c>
      <c r="B390" s="23" t="inlineStr">
        <is>
          <t>Contractor Programme</t>
        </is>
      </c>
      <c r="C390" s="23" t="inlineStr">
        <is>
          <t>SCH-02-074</t>
        </is>
      </c>
      <c r="D390" s="23" t="inlineStr">
        <is>
          <t>1.2.1 Stations - Station Structures</t>
        </is>
      </c>
      <c r="E390" s="23" t="inlineStr">
        <is>
          <t>Carried forward</t>
        </is>
      </c>
      <c r="F390" s="23" t="inlineStr"/>
      <c r="G390" s="23" t="inlineStr">
        <is>
          <t>Source assignment -- not individually reviewed</t>
        </is>
      </c>
      <c r="H390" s="14" t="inlineStr">
        <is>
          <t>10 EVIDENCE &amp; DECISIONS</t>
        </is>
      </c>
    </row>
    <row r="391" ht="34" customHeight="1">
      <c r="A391" s="23" t="inlineStr">
        <is>
          <t>R256-v2</t>
        </is>
      </c>
      <c r="B391" s="23" t="inlineStr">
        <is>
          <t>Contractor Programme</t>
        </is>
      </c>
      <c r="C391" s="23" t="inlineStr">
        <is>
          <t>SCH-02-076</t>
        </is>
      </c>
      <c r="D391" s="23" t="inlineStr">
        <is>
          <t>1.2.1 Stations - Station Structures</t>
        </is>
      </c>
      <c r="E391" s="23" t="inlineStr">
        <is>
          <t>Carried forward</t>
        </is>
      </c>
      <c r="F391" s="23" t="inlineStr"/>
      <c r="G391" s="23" t="inlineStr">
        <is>
          <t>Source assignment -- not individually reviewed</t>
        </is>
      </c>
      <c r="H391" s="14" t="inlineStr">
        <is>
          <t>10 EVIDENCE &amp; DECISIONS</t>
        </is>
      </c>
    </row>
    <row r="392" ht="34" customHeight="1">
      <c r="A392" s="23" t="inlineStr">
        <is>
          <t>R257-v2</t>
        </is>
      </c>
      <c r="B392" s="23" t="inlineStr">
        <is>
          <t>Contractor Programme</t>
        </is>
      </c>
      <c r="C392" s="23" t="inlineStr">
        <is>
          <t>SCH-02-077</t>
        </is>
      </c>
      <c r="D392" s="23" t="inlineStr">
        <is>
          <t>1.2.1 Stations - Station Structures</t>
        </is>
      </c>
      <c r="E392" s="23" t="inlineStr">
        <is>
          <t>Carried forward</t>
        </is>
      </c>
      <c r="F392" s="23" t="inlineStr"/>
      <c r="G392" s="23" t="inlineStr">
        <is>
          <t>Source assignment -- not individually reviewed</t>
        </is>
      </c>
      <c r="H392" s="14" t="inlineStr">
        <is>
          <t>10 EVIDENCE &amp; DECISIONS</t>
        </is>
      </c>
    </row>
    <row r="393" ht="34" customHeight="1">
      <c r="A393" s="23" t="inlineStr">
        <is>
          <t>R259-v2</t>
        </is>
      </c>
      <c r="B393" s="23" t="inlineStr">
        <is>
          <t>Contractor Programme</t>
        </is>
      </c>
      <c r="C393" s="23" t="inlineStr">
        <is>
          <t>SCH-02-079</t>
        </is>
      </c>
      <c r="D393" s="23" t="inlineStr">
        <is>
          <t>1.2.1 Stations - Station Structures</t>
        </is>
      </c>
      <c r="E393" s="23" t="inlineStr">
        <is>
          <t>Carried forward</t>
        </is>
      </c>
      <c r="F393" s="23" t="inlineStr"/>
      <c r="G393" s="23" t="inlineStr">
        <is>
          <t>Source assignment -- not individually reviewed</t>
        </is>
      </c>
      <c r="H393" s="14" t="inlineStr">
        <is>
          <t>10 EVIDENCE &amp; DECISIONS</t>
        </is>
      </c>
    </row>
    <row r="394" ht="34" customHeight="1">
      <c r="A394" s="23" t="inlineStr">
        <is>
          <t>R260-v2</t>
        </is>
      </c>
      <c r="B394" s="23" t="inlineStr">
        <is>
          <t>Contractor Programme</t>
        </is>
      </c>
      <c r="C394" s="23" t="inlineStr">
        <is>
          <t>SCH-02-080</t>
        </is>
      </c>
      <c r="D394" s="23" t="inlineStr">
        <is>
          <t>1.2.1 Stations - Station Structures</t>
        </is>
      </c>
      <c r="E394" s="23" t="inlineStr">
        <is>
          <t>Carried forward</t>
        </is>
      </c>
      <c r="F394" s="23" t="inlineStr"/>
      <c r="G394" s="23" t="inlineStr">
        <is>
          <t>Source assignment -- not individually reviewed</t>
        </is>
      </c>
      <c r="H394" s="14" t="inlineStr">
        <is>
          <t>10 EVIDENCE &amp; DECISIONS</t>
        </is>
      </c>
    </row>
    <row r="395" ht="34" customHeight="1">
      <c r="A395" s="23" t="inlineStr">
        <is>
          <t>R262-v2</t>
        </is>
      </c>
      <c r="B395" s="23" t="inlineStr">
        <is>
          <t>Contractor Programme</t>
        </is>
      </c>
      <c r="C395" s="23" t="inlineStr">
        <is>
          <t>SCH-02-082</t>
        </is>
      </c>
      <c r="D395" s="23" t="inlineStr">
        <is>
          <t>1.2.1 Stations - Station Structures</t>
        </is>
      </c>
      <c r="E395" s="23" t="inlineStr">
        <is>
          <t>Carried forward</t>
        </is>
      </c>
      <c r="F395" s="23" t="inlineStr"/>
      <c r="G395" s="23" t="inlineStr">
        <is>
          <t>Source assignment -- not individually reviewed</t>
        </is>
      </c>
      <c r="H395" s="14" t="inlineStr">
        <is>
          <t>10 EVIDENCE &amp; DECISIONS</t>
        </is>
      </c>
    </row>
    <row r="396" ht="34" customHeight="1">
      <c r="A396" s="23" t="inlineStr">
        <is>
          <t>R263-v2</t>
        </is>
      </c>
      <c r="B396" s="23" t="inlineStr">
        <is>
          <t>Contractor Programme</t>
        </is>
      </c>
      <c r="C396" s="23" t="inlineStr">
        <is>
          <t>SCH-02-083</t>
        </is>
      </c>
      <c r="D396" s="23" t="inlineStr">
        <is>
          <t>1.2.1 Stations - Station Structures</t>
        </is>
      </c>
      <c r="E396" s="23" t="inlineStr">
        <is>
          <t>Carried forward</t>
        </is>
      </c>
      <c r="F396" s="23" t="inlineStr"/>
      <c r="G396" s="23" t="inlineStr">
        <is>
          <t>Source assignment -- not individually reviewed</t>
        </is>
      </c>
      <c r="H396" s="14" t="inlineStr">
        <is>
          <t>10 EVIDENCE &amp; DECISIONS</t>
        </is>
      </c>
    </row>
    <row r="397" ht="34" customHeight="1">
      <c r="A397" s="23" t="inlineStr">
        <is>
          <t>R265-v2</t>
        </is>
      </c>
      <c r="B397" s="23" t="inlineStr">
        <is>
          <t>Contractor Programme</t>
        </is>
      </c>
      <c r="C397" s="23" t="inlineStr">
        <is>
          <t>SCH-02-085</t>
        </is>
      </c>
      <c r="D397" s="23" t="inlineStr">
        <is>
          <t>1.2.1 Stations - Station Structures</t>
        </is>
      </c>
      <c r="E397" s="23" t="inlineStr">
        <is>
          <t>Carried forward</t>
        </is>
      </c>
      <c r="F397" s="23" t="inlineStr"/>
      <c r="G397" s="23" t="inlineStr">
        <is>
          <t>Source assignment -- not individually reviewed</t>
        </is>
      </c>
      <c r="H397" s="14" t="inlineStr">
        <is>
          <t>10 EVIDENCE &amp; DECISIONS</t>
        </is>
      </c>
    </row>
    <row r="398" ht="34" customHeight="1">
      <c r="A398" s="23" t="inlineStr">
        <is>
          <t>R266-v2</t>
        </is>
      </c>
      <c r="B398" s="23" t="inlineStr">
        <is>
          <t>Contractor Programme</t>
        </is>
      </c>
      <c r="C398" s="23" t="inlineStr">
        <is>
          <t>SCH-02-086</t>
        </is>
      </c>
      <c r="D398" s="23" t="inlineStr">
        <is>
          <t>1.2.1 Stations - Station Structures</t>
        </is>
      </c>
      <c r="E398" s="23" t="inlineStr">
        <is>
          <t>Carried forward</t>
        </is>
      </c>
      <c r="F398" s="23" t="inlineStr"/>
      <c r="G398" s="23" t="inlineStr">
        <is>
          <t>Source assignment -- not individually reviewed</t>
        </is>
      </c>
      <c r="H398" s="14" t="inlineStr">
        <is>
          <t>10 EVIDENCE &amp; DECISIONS</t>
        </is>
      </c>
    </row>
    <row r="399" ht="34" customHeight="1">
      <c r="A399" s="23" t="inlineStr">
        <is>
          <t>R268-v2</t>
        </is>
      </c>
      <c r="B399" s="23" t="inlineStr">
        <is>
          <t>Contractor Programme</t>
        </is>
      </c>
      <c r="C399" s="23" t="inlineStr">
        <is>
          <t>SCH-02-088</t>
        </is>
      </c>
      <c r="D399" s="23" t="inlineStr">
        <is>
          <t>1.2.1 Stations - Station Structures</t>
        </is>
      </c>
      <c r="E399" s="23" t="inlineStr">
        <is>
          <t>Carried forward</t>
        </is>
      </c>
      <c r="F399" s="23" t="inlineStr"/>
      <c r="G399" s="23" t="inlineStr">
        <is>
          <t>Source assignment -- not individually reviewed</t>
        </is>
      </c>
      <c r="H399" s="14" t="inlineStr">
        <is>
          <t>10 EVIDENCE &amp; DECISIONS</t>
        </is>
      </c>
    </row>
    <row r="400" ht="34" customHeight="1">
      <c r="A400" s="23" t="inlineStr">
        <is>
          <t>R269-v2</t>
        </is>
      </c>
      <c r="B400" s="23" t="inlineStr">
        <is>
          <t>Contractor Programme</t>
        </is>
      </c>
      <c r="C400" s="23" t="inlineStr">
        <is>
          <t>SCH-02-089</t>
        </is>
      </c>
      <c r="D400" s="23" t="inlineStr">
        <is>
          <t>1.2.1 Stations - Station Structures</t>
        </is>
      </c>
      <c r="E400" s="23" t="inlineStr">
        <is>
          <t>Carried forward</t>
        </is>
      </c>
      <c r="F400" s="23" t="inlineStr"/>
      <c r="G400" s="23" t="inlineStr">
        <is>
          <t>Source assignment -- not individually reviewed</t>
        </is>
      </c>
      <c r="H400" s="14" t="inlineStr">
        <is>
          <t>10 EVIDENCE &amp; DECISIONS</t>
        </is>
      </c>
    </row>
    <row r="401" ht="34" customHeight="1">
      <c r="A401" s="23" t="inlineStr">
        <is>
          <t>R271-v2</t>
        </is>
      </c>
      <c r="B401" s="23" t="inlineStr">
        <is>
          <t>Contractor Programme</t>
        </is>
      </c>
      <c r="C401" s="23" t="inlineStr">
        <is>
          <t>SCH-02-091</t>
        </is>
      </c>
      <c r="D401" s="23" t="inlineStr">
        <is>
          <t>1.2.1 Stations - Station Structures</t>
        </is>
      </c>
      <c r="E401" s="23" t="inlineStr">
        <is>
          <t>Carried forward</t>
        </is>
      </c>
      <c r="F401" s="23" t="inlineStr"/>
      <c r="G401" s="23" t="inlineStr">
        <is>
          <t>Source assignment -- not individually reviewed</t>
        </is>
      </c>
      <c r="H401" s="14" t="inlineStr">
        <is>
          <t>10 EVIDENCE &amp; DECISIONS</t>
        </is>
      </c>
    </row>
    <row r="402" ht="34" customHeight="1">
      <c r="A402" s="23" t="inlineStr">
        <is>
          <t>R272-v2</t>
        </is>
      </c>
      <c r="B402" s="23" t="inlineStr">
        <is>
          <t>Contractor Programme</t>
        </is>
      </c>
      <c r="C402" s="23" t="inlineStr">
        <is>
          <t>SCH-02-092</t>
        </is>
      </c>
      <c r="D402" s="23" t="inlineStr">
        <is>
          <t>1.2.1 Stations - Station Structures</t>
        </is>
      </c>
      <c r="E402" s="23" t="inlineStr">
        <is>
          <t>Carried forward</t>
        </is>
      </c>
      <c r="F402" s="23" t="inlineStr"/>
      <c r="G402" s="23" t="inlineStr">
        <is>
          <t>Source assignment -- not individually reviewed</t>
        </is>
      </c>
      <c r="H402" s="14" t="inlineStr">
        <is>
          <t>10 EVIDENCE &amp; DECISIONS</t>
        </is>
      </c>
    </row>
    <row r="403" ht="34" customHeight="1">
      <c r="A403" s="23" t="inlineStr">
        <is>
          <t>R274-v2</t>
        </is>
      </c>
      <c r="B403" s="23" t="inlineStr">
        <is>
          <t>Contractor Programme</t>
        </is>
      </c>
      <c r="C403" s="23" t="inlineStr">
        <is>
          <t>SCH-02-094</t>
        </is>
      </c>
      <c r="D403" s="23" t="inlineStr">
        <is>
          <t>1.2.1 Stations - Station Structures</t>
        </is>
      </c>
      <c r="E403" s="23" t="inlineStr">
        <is>
          <t>Carried forward</t>
        </is>
      </c>
      <c r="F403" s="23" t="inlineStr"/>
      <c r="G403" s="23" t="inlineStr">
        <is>
          <t>Source assignment -- not individually reviewed</t>
        </is>
      </c>
      <c r="H403" s="14" t="inlineStr">
        <is>
          <t>10 EVIDENCE &amp; DECISIONS</t>
        </is>
      </c>
    </row>
    <row r="404" ht="34" customHeight="1">
      <c r="A404" s="23" t="inlineStr">
        <is>
          <t>R275-v2</t>
        </is>
      </c>
      <c r="B404" s="23" t="inlineStr">
        <is>
          <t>Contractor Programme</t>
        </is>
      </c>
      <c r="C404" s="23" t="inlineStr">
        <is>
          <t>SCH-02-095</t>
        </is>
      </c>
      <c r="D404" s="23" t="inlineStr">
        <is>
          <t>1.2.1 Stations - Station Structures</t>
        </is>
      </c>
      <c r="E404" s="23" t="inlineStr">
        <is>
          <t>Carried forward</t>
        </is>
      </c>
      <c r="F404" s="23" t="inlineStr"/>
      <c r="G404" s="23" t="inlineStr">
        <is>
          <t>Source assignment -- not individually reviewed</t>
        </is>
      </c>
      <c r="H404" s="14" t="inlineStr">
        <is>
          <t>10 EVIDENCE &amp; DECISIONS</t>
        </is>
      </c>
    </row>
    <row r="405" ht="34" customHeight="1">
      <c r="A405" s="23" t="inlineStr">
        <is>
          <t>R277-v2</t>
        </is>
      </c>
      <c r="B405" s="23" t="inlineStr">
        <is>
          <t>Contractor Programme</t>
        </is>
      </c>
      <c r="C405" s="23" t="inlineStr">
        <is>
          <t>SCH-02-097</t>
        </is>
      </c>
      <c r="D405" s="23" t="inlineStr">
        <is>
          <t>1.2.1 Stations - Station Structures</t>
        </is>
      </c>
      <c r="E405" s="23" t="inlineStr">
        <is>
          <t>Carried forward</t>
        </is>
      </c>
      <c r="F405" s="23" t="inlineStr"/>
      <c r="G405" s="23" t="inlineStr">
        <is>
          <t>Source assignment -- not individually reviewed</t>
        </is>
      </c>
      <c r="H405" s="14" t="inlineStr">
        <is>
          <t>10 EVIDENCE &amp; DECISIONS</t>
        </is>
      </c>
    </row>
    <row r="406" ht="34" customHeight="1">
      <c r="A406" s="23" t="inlineStr">
        <is>
          <t>R278-v2</t>
        </is>
      </c>
      <c r="B406" s="23" t="inlineStr">
        <is>
          <t>Contractor Programme</t>
        </is>
      </c>
      <c r="C406" s="23" t="inlineStr">
        <is>
          <t>SCH-02-098</t>
        </is>
      </c>
      <c r="D406" s="23" t="inlineStr">
        <is>
          <t>1.2.1 Stations - Station Structures</t>
        </is>
      </c>
      <c r="E406" s="23" t="inlineStr">
        <is>
          <t>Carried forward</t>
        </is>
      </c>
      <c r="F406" s="23" t="inlineStr"/>
      <c r="G406" s="23" t="inlineStr">
        <is>
          <t>Source assignment -- not individually reviewed</t>
        </is>
      </c>
      <c r="H406" s="14" t="inlineStr">
        <is>
          <t>10 EVIDENCE &amp; DECISIONS</t>
        </is>
      </c>
    </row>
    <row r="407" ht="34" customHeight="1">
      <c r="A407" s="23" t="inlineStr">
        <is>
          <t>R280-v2</t>
        </is>
      </c>
      <c r="B407" s="23" t="inlineStr">
        <is>
          <t>Contractor Programme</t>
        </is>
      </c>
      <c r="C407" s="23" t="inlineStr">
        <is>
          <t>SCH-02-100</t>
        </is>
      </c>
      <c r="D407" s="23" t="inlineStr">
        <is>
          <t>1.2.1 Stations - Station Structures</t>
        </is>
      </c>
      <c r="E407" s="23" t="inlineStr">
        <is>
          <t>Carried forward</t>
        </is>
      </c>
      <c r="F407" s="23" t="inlineStr"/>
      <c r="G407" s="23" t="inlineStr">
        <is>
          <t>Source assignment -- not individually reviewed</t>
        </is>
      </c>
      <c r="H407" s="14" t="inlineStr">
        <is>
          <t>10 EVIDENCE &amp; DECISIONS</t>
        </is>
      </c>
    </row>
    <row r="408" ht="34" customHeight="1">
      <c r="A408" s="23" t="inlineStr">
        <is>
          <t>R281-v2</t>
        </is>
      </c>
      <c r="B408" s="23" t="inlineStr">
        <is>
          <t>Contractor Programme</t>
        </is>
      </c>
      <c r="C408" s="23" t="inlineStr">
        <is>
          <t>SCH-02-101</t>
        </is>
      </c>
      <c r="D408" s="23" t="inlineStr">
        <is>
          <t>1.2.1 Stations - Station Structures</t>
        </is>
      </c>
      <c r="E408" s="23" t="inlineStr">
        <is>
          <t>Carried forward</t>
        </is>
      </c>
      <c r="F408" s="23" t="inlineStr"/>
      <c r="G408" s="23" t="inlineStr">
        <is>
          <t>Source assignment -- not individually reviewed</t>
        </is>
      </c>
      <c r="H408" s="14" t="inlineStr">
        <is>
          <t>10 EVIDENCE &amp; DECISIONS</t>
        </is>
      </c>
    </row>
    <row r="409" ht="34" customHeight="1">
      <c r="A409" s="23" t="inlineStr">
        <is>
          <t>R283-v2</t>
        </is>
      </c>
      <c r="B409" s="23" t="inlineStr">
        <is>
          <t>Contractor Programme</t>
        </is>
      </c>
      <c r="C409" s="23" t="inlineStr">
        <is>
          <t>SCH-02-103</t>
        </is>
      </c>
      <c r="D409" s="23" t="inlineStr">
        <is>
          <t>1.2.1 Stations - Station Structures</t>
        </is>
      </c>
      <c r="E409" s="23" t="inlineStr">
        <is>
          <t>Carried forward</t>
        </is>
      </c>
      <c r="F409" s="23" t="inlineStr"/>
      <c r="G409" s="23" t="inlineStr">
        <is>
          <t>Source assignment -- not individually reviewed</t>
        </is>
      </c>
      <c r="H409" s="14" t="inlineStr">
        <is>
          <t>10 EVIDENCE &amp; DECISIONS</t>
        </is>
      </c>
    </row>
    <row r="410" ht="34" customHeight="1">
      <c r="A410" s="23" t="inlineStr">
        <is>
          <t>R284-v2</t>
        </is>
      </c>
      <c r="B410" s="23" t="inlineStr">
        <is>
          <t>Contractor Programme</t>
        </is>
      </c>
      <c r="C410" s="23" t="inlineStr">
        <is>
          <t>SCH-02-104</t>
        </is>
      </c>
      <c r="D410" s="23" t="inlineStr">
        <is>
          <t>1.2.1 Stations - Station Structures</t>
        </is>
      </c>
      <c r="E410" s="23" t="inlineStr">
        <is>
          <t>Carried forward</t>
        </is>
      </c>
      <c r="F410" s="23" t="inlineStr"/>
      <c r="G410" s="23" t="inlineStr">
        <is>
          <t>Source assignment -- not individually reviewed</t>
        </is>
      </c>
      <c r="H410" s="14" t="inlineStr">
        <is>
          <t>10 EVIDENCE &amp; DECISIONS</t>
        </is>
      </c>
    </row>
    <row r="411" ht="34" customHeight="1">
      <c r="A411" s="23" t="inlineStr">
        <is>
          <t>R286-v2</t>
        </is>
      </c>
      <c r="B411" s="23" t="inlineStr">
        <is>
          <t>Contractor Programme</t>
        </is>
      </c>
      <c r="C411" s="23" t="inlineStr">
        <is>
          <t>SCH-02-106</t>
        </is>
      </c>
      <c r="D411" s="23" t="inlineStr">
        <is>
          <t>1.2.1 Stations - Station Structures</t>
        </is>
      </c>
      <c r="E411" s="23" t="inlineStr">
        <is>
          <t>Carried forward</t>
        </is>
      </c>
      <c r="F411" s="23" t="inlineStr"/>
      <c r="G411" s="23" t="inlineStr">
        <is>
          <t>Source assignment -- not individually reviewed</t>
        </is>
      </c>
      <c r="H411" s="14" t="inlineStr">
        <is>
          <t>10 EVIDENCE &amp; DECISIONS</t>
        </is>
      </c>
    </row>
    <row r="412" ht="34" customHeight="1">
      <c r="A412" s="23" t="inlineStr">
        <is>
          <t>R287-v2</t>
        </is>
      </c>
      <c r="B412" s="23" t="inlineStr">
        <is>
          <t>Contractor Programme</t>
        </is>
      </c>
      <c r="C412" s="23" t="inlineStr">
        <is>
          <t>SCH-02-107</t>
        </is>
      </c>
      <c r="D412" s="23" t="inlineStr">
        <is>
          <t>1.2.1 Stations - Station Structures</t>
        </is>
      </c>
      <c r="E412" s="23" t="inlineStr">
        <is>
          <t>Carried forward</t>
        </is>
      </c>
      <c r="F412" s="23" t="inlineStr"/>
      <c r="G412" s="23" t="inlineStr">
        <is>
          <t>Source assignment -- not individually reviewed</t>
        </is>
      </c>
      <c r="H412" s="14" t="inlineStr">
        <is>
          <t>10 EVIDENCE &amp; DECISIONS</t>
        </is>
      </c>
    </row>
    <row r="413" ht="34" customHeight="1">
      <c r="A413" s="23" t="inlineStr">
        <is>
          <t>R289-v2</t>
        </is>
      </c>
      <c r="B413" s="23" t="inlineStr">
        <is>
          <t>Contractor Programme</t>
        </is>
      </c>
      <c r="C413" s="23" t="inlineStr">
        <is>
          <t>SCH-02-109</t>
        </is>
      </c>
      <c r="D413" s="23" t="inlineStr">
        <is>
          <t>1.2.1 Stations - Station Structures</t>
        </is>
      </c>
      <c r="E413" s="23" t="inlineStr">
        <is>
          <t>Carried forward</t>
        </is>
      </c>
      <c r="F413" s="23" t="inlineStr"/>
      <c r="G413" s="23" t="inlineStr">
        <is>
          <t>Source assignment -- not individually reviewed</t>
        </is>
      </c>
      <c r="H413" s="14" t="inlineStr">
        <is>
          <t>10 EVIDENCE &amp; DECISIONS</t>
        </is>
      </c>
    </row>
    <row r="414" ht="34" customHeight="1">
      <c r="A414" s="23" t="inlineStr">
        <is>
          <t>R290-v2</t>
        </is>
      </c>
      <c r="B414" s="23" t="inlineStr">
        <is>
          <t>Contractor Programme</t>
        </is>
      </c>
      <c r="C414" s="23" t="inlineStr">
        <is>
          <t>SCH-02-110</t>
        </is>
      </c>
      <c r="D414" s="23" t="inlineStr">
        <is>
          <t>1.2.1 Stations - Station Structures</t>
        </is>
      </c>
      <c r="E414" s="23" t="inlineStr">
        <is>
          <t>Carried forward</t>
        </is>
      </c>
      <c r="F414" s="23" t="inlineStr"/>
      <c r="G414" s="23" t="inlineStr">
        <is>
          <t>Source assignment -- not individually reviewed</t>
        </is>
      </c>
      <c r="H414" s="14" t="inlineStr">
        <is>
          <t>10 EVIDENCE &amp; DECISIONS</t>
        </is>
      </c>
    </row>
    <row r="415" ht="34" customHeight="1">
      <c r="A415" s="23" t="inlineStr">
        <is>
          <t>R292-v2</t>
        </is>
      </c>
      <c r="B415" s="23" t="inlineStr">
        <is>
          <t>Contractor Programme</t>
        </is>
      </c>
      <c r="C415" s="23" t="inlineStr">
        <is>
          <t>SCH-02-112</t>
        </is>
      </c>
      <c r="D415" s="23" t="inlineStr">
        <is>
          <t>1.2.1 Stations - Station Structures</t>
        </is>
      </c>
      <c r="E415" s="23" t="inlineStr">
        <is>
          <t>Carried forward</t>
        </is>
      </c>
      <c r="F415" s="23" t="inlineStr"/>
      <c r="G415" s="23" t="inlineStr">
        <is>
          <t>Source assignment -- not individually reviewed</t>
        </is>
      </c>
      <c r="H415" s="14" t="inlineStr">
        <is>
          <t>10 EVIDENCE &amp; DECISIONS</t>
        </is>
      </c>
    </row>
    <row r="416" ht="34" customHeight="1">
      <c r="A416" s="23" t="inlineStr">
        <is>
          <t>R293-v2</t>
        </is>
      </c>
      <c r="B416" s="23" t="inlineStr">
        <is>
          <t>Contractor Programme</t>
        </is>
      </c>
      <c r="C416" s="23" t="inlineStr">
        <is>
          <t>SCH-02-113</t>
        </is>
      </c>
      <c r="D416" s="23" t="inlineStr">
        <is>
          <t>1.2.1 Stations - Station Structures</t>
        </is>
      </c>
      <c r="E416" s="23" t="inlineStr">
        <is>
          <t>Carried forward</t>
        </is>
      </c>
      <c r="F416" s="23" t="inlineStr"/>
      <c r="G416" s="23" t="inlineStr">
        <is>
          <t>Source assignment -- not individually reviewed</t>
        </is>
      </c>
      <c r="H416" s="14" t="inlineStr">
        <is>
          <t>10 EVIDENCE &amp; DECISIONS</t>
        </is>
      </c>
    </row>
    <row r="417" ht="34" customHeight="1">
      <c r="A417" s="23" t="inlineStr">
        <is>
          <t>R295-v2</t>
        </is>
      </c>
      <c r="B417" s="23" t="inlineStr">
        <is>
          <t>Contractor Programme</t>
        </is>
      </c>
      <c r="C417" s="23" t="inlineStr">
        <is>
          <t>SCH-02-115</t>
        </is>
      </c>
      <c r="D417" s="23" t="inlineStr">
        <is>
          <t>1.2.1 Stations - Station Structures</t>
        </is>
      </c>
      <c r="E417" s="23" t="inlineStr">
        <is>
          <t>Carried forward</t>
        </is>
      </c>
      <c r="F417" s="23" t="inlineStr"/>
      <c r="G417" s="23" t="inlineStr">
        <is>
          <t>Source assignment -- not individually reviewed</t>
        </is>
      </c>
      <c r="H417" s="14" t="inlineStr">
        <is>
          <t>10 EVIDENCE &amp; DECISIONS</t>
        </is>
      </c>
    </row>
    <row r="418" ht="34" customHeight="1">
      <c r="A418" s="23" t="inlineStr">
        <is>
          <t>R296-v2</t>
        </is>
      </c>
      <c r="B418" s="23" t="inlineStr">
        <is>
          <t>Contractor Programme</t>
        </is>
      </c>
      <c r="C418" s="23" t="inlineStr">
        <is>
          <t>SCH-02-116</t>
        </is>
      </c>
      <c r="D418" s="23" t="inlineStr">
        <is>
          <t>1.2.1 Stations - Station Structures</t>
        </is>
      </c>
      <c r="E418" s="23" t="inlineStr">
        <is>
          <t>Carried forward</t>
        </is>
      </c>
      <c r="F418" s="23" t="inlineStr"/>
      <c r="G418" s="23" t="inlineStr">
        <is>
          <t>Source assignment -- not individually reviewed</t>
        </is>
      </c>
      <c r="H418" s="14" t="inlineStr">
        <is>
          <t>10 EVIDENCE &amp; DECISIONS</t>
        </is>
      </c>
    </row>
    <row r="419" ht="34" customHeight="1">
      <c r="A419" s="23" t="inlineStr">
        <is>
          <t>R298-v2</t>
        </is>
      </c>
      <c r="B419" s="23" t="inlineStr">
        <is>
          <t>Contractor Programme</t>
        </is>
      </c>
      <c r="C419" s="23" t="inlineStr">
        <is>
          <t>SCH-02-118</t>
        </is>
      </c>
      <c r="D419" s="23" t="inlineStr">
        <is>
          <t>1.2.1 Stations - Station Structures</t>
        </is>
      </c>
      <c r="E419" s="23" t="inlineStr">
        <is>
          <t>Carried forward</t>
        </is>
      </c>
      <c r="F419" s="23" t="inlineStr"/>
      <c r="G419" s="23" t="inlineStr">
        <is>
          <t>Source assignment -- not individually reviewed</t>
        </is>
      </c>
      <c r="H419" s="14" t="inlineStr">
        <is>
          <t>10 EVIDENCE &amp; DECISIONS</t>
        </is>
      </c>
    </row>
    <row r="420" ht="34" customHeight="1">
      <c r="A420" s="23" t="inlineStr">
        <is>
          <t>R299-v2</t>
        </is>
      </c>
      <c r="B420" s="23" t="inlineStr">
        <is>
          <t>Contractor Programme</t>
        </is>
      </c>
      <c r="C420" s="23" t="inlineStr">
        <is>
          <t>SCH-02-119</t>
        </is>
      </c>
      <c r="D420" s="23" t="inlineStr">
        <is>
          <t>1.2.1 Stations - Station Structures</t>
        </is>
      </c>
      <c r="E420" s="23" t="inlineStr">
        <is>
          <t>Carried forward</t>
        </is>
      </c>
      <c r="F420" s="23" t="inlineStr"/>
      <c r="G420" s="23" t="inlineStr">
        <is>
          <t>Source assignment -- not individually reviewed</t>
        </is>
      </c>
      <c r="H420" s="14" t="inlineStr">
        <is>
          <t>10 EVIDENCE &amp; DECISIONS</t>
        </is>
      </c>
    </row>
    <row r="421" ht="34" customHeight="1">
      <c r="A421" s="23" t="inlineStr">
        <is>
          <t>R301-v2</t>
        </is>
      </c>
      <c r="B421" s="23" t="inlineStr">
        <is>
          <t>Contractor Programme</t>
        </is>
      </c>
      <c r="C421" s="23" t="inlineStr">
        <is>
          <t>SCH-02-121</t>
        </is>
      </c>
      <c r="D421" s="23" t="inlineStr">
        <is>
          <t>1.2.1 Stations - Station Structures</t>
        </is>
      </c>
      <c r="E421" s="23" t="inlineStr">
        <is>
          <t>Carried forward</t>
        </is>
      </c>
      <c r="F421" s="23" t="inlineStr"/>
      <c r="G421" s="23" t="inlineStr">
        <is>
          <t>Source assignment -- not individually reviewed</t>
        </is>
      </c>
      <c r="H421" s="14" t="inlineStr">
        <is>
          <t>10 EVIDENCE &amp; DECISIONS</t>
        </is>
      </c>
    </row>
    <row r="422" ht="34" customHeight="1">
      <c r="A422" s="23" t="inlineStr">
        <is>
          <t>R302-v2</t>
        </is>
      </c>
      <c r="B422" s="23" t="inlineStr">
        <is>
          <t>Contractor Programme</t>
        </is>
      </c>
      <c r="C422" s="23" t="inlineStr">
        <is>
          <t>SCH-02-122</t>
        </is>
      </c>
      <c r="D422" s="23" t="inlineStr">
        <is>
          <t>1.2.1 Stations - Station Structures</t>
        </is>
      </c>
      <c r="E422" s="23" t="inlineStr">
        <is>
          <t>Carried forward</t>
        </is>
      </c>
      <c r="F422" s="23" t="inlineStr"/>
      <c r="G422" s="23" t="inlineStr">
        <is>
          <t>Source assignment -- not individually reviewed</t>
        </is>
      </c>
      <c r="H422" s="14" t="inlineStr">
        <is>
          <t>10 EVIDENCE &amp; DECISIONS</t>
        </is>
      </c>
    </row>
    <row r="423" ht="34" customHeight="1">
      <c r="A423" s="23" t="inlineStr">
        <is>
          <t>R304-v2</t>
        </is>
      </c>
      <c r="B423" s="23" t="inlineStr">
        <is>
          <t>Contractor Programme</t>
        </is>
      </c>
      <c r="C423" s="23" t="inlineStr">
        <is>
          <t>SCH-02-124</t>
        </is>
      </c>
      <c r="D423" s="23" t="inlineStr">
        <is>
          <t>1.2.1 Stations - Station Structures</t>
        </is>
      </c>
      <c r="E423" s="23" t="inlineStr">
        <is>
          <t>Carried forward</t>
        </is>
      </c>
      <c r="F423" s="23" t="inlineStr"/>
      <c r="G423" s="23" t="inlineStr">
        <is>
          <t>Source assignment -- not individually reviewed</t>
        </is>
      </c>
      <c r="H423" s="14" t="inlineStr">
        <is>
          <t>10 EVIDENCE &amp; DECISIONS</t>
        </is>
      </c>
    </row>
    <row r="424" ht="34" customHeight="1">
      <c r="A424" s="23" t="inlineStr">
        <is>
          <t>R305-v2</t>
        </is>
      </c>
      <c r="B424" s="23" t="inlineStr">
        <is>
          <t>Contractor Programme</t>
        </is>
      </c>
      <c r="C424" s="23" t="inlineStr">
        <is>
          <t>SCH-02-125</t>
        </is>
      </c>
      <c r="D424" s="23" t="inlineStr">
        <is>
          <t>1.2.1 Stations - Station Structures</t>
        </is>
      </c>
      <c r="E424" s="23" t="inlineStr">
        <is>
          <t>Carried forward</t>
        </is>
      </c>
      <c r="F424" s="23" t="inlineStr"/>
      <c r="G424" s="23" t="inlineStr">
        <is>
          <t>Source assignment -- not individually reviewed</t>
        </is>
      </c>
      <c r="H424" s="14" t="inlineStr">
        <is>
          <t>10 EVIDENCE &amp; DECISIONS</t>
        </is>
      </c>
    </row>
    <row r="425" ht="34" customHeight="1">
      <c r="A425" s="23" t="inlineStr">
        <is>
          <t>R307-v2</t>
        </is>
      </c>
      <c r="B425" s="23" t="inlineStr">
        <is>
          <t>Contractor Programme</t>
        </is>
      </c>
      <c r="C425" s="23" t="inlineStr">
        <is>
          <t>SCH-02-127</t>
        </is>
      </c>
      <c r="D425" s="23" t="inlineStr">
        <is>
          <t>1.2.1 Stations - Station Structures</t>
        </is>
      </c>
      <c r="E425" s="23" t="inlineStr">
        <is>
          <t>Carried forward</t>
        </is>
      </c>
      <c r="F425" s="23" t="inlineStr"/>
      <c r="G425" s="23" t="inlineStr">
        <is>
          <t>Source assignment -- not individually reviewed</t>
        </is>
      </c>
      <c r="H425" s="14" t="inlineStr">
        <is>
          <t>10 EVIDENCE &amp; DECISIONS</t>
        </is>
      </c>
    </row>
    <row r="426" ht="34" customHeight="1">
      <c r="A426" s="23" t="inlineStr">
        <is>
          <t>R308-v2</t>
        </is>
      </c>
      <c r="B426" s="23" t="inlineStr">
        <is>
          <t>Contractor Programme</t>
        </is>
      </c>
      <c r="C426" s="23" t="inlineStr">
        <is>
          <t>SCH-02-128</t>
        </is>
      </c>
      <c r="D426" s="23" t="inlineStr">
        <is>
          <t>1.2.1 Stations - Station Structures</t>
        </is>
      </c>
      <c r="E426" s="23" t="inlineStr">
        <is>
          <t>Carried forward</t>
        </is>
      </c>
      <c r="F426" s="23" t="inlineStr"/>
      <c r="G426" s="23" t="inlineStr">
        <is>
          <t>Source assignment -- not individually reviewed</t>
        </is>
      </c>
      <c r="H426" s="14" t="inlineStr">
        <is>
          <t>10 EVIDENCE &amp; DECISIONS</t>
        </is>
      </c>
    </row>
    <row r="427" ht="34" customHeight="1">
      <c r="A427" s="23" t="inlineStr">
        <is>
          <t>R310-v2</t>
        </is>
      </c>
      <c r="B427" s="23" t="inlineStr">
        <is>
          <t>Contractor Programme</t>
        </is>
      </c>
      <c r="C427" s="23" t="inlineStr">
        <is>
          <t>SCH-02-130</t>
        </is>
      </c>
      <c r="D427" s="23" t="inlineStr">
        <is>
          <t>1.2.1 Stations - Station Structures</t>
        </is>
      </c>
      <c r="E427" s="23" t="inlineStr">
        <is>
          <t>Carried forward</t>
        </is>
      </c>
      <c r="F427" s="23" t="inlineStr"/>
      <c r="G427" s="23" t="inlineStr">
        <is>
          <t>Source assignment -- not individually reviewed</t>
        </is>
      </c>
      <c r="H427" s="14" t="inlineStr">
        <is>
          <t>10 EVIDENCE &amp; DECISIONS</t>
        </is>
      </c>
    </row>
    <row r="428" ht="34" customHeight="1">
      <c r="A428" s="23" t="inlineStr">
        <is>
          <t>R311-v2</t>
        </is>
      </c>
      <c r="B428" s="23" t="inlineStr">
        <is>
          <t>Contractor Programme</t>
        </is>
      </c>
      <c r="C428" s="23" t="inlineStr">
        <is>
          <t>SCH-02-131</t>
        </is>
      </c>
      <c r="D428" s="23" t="inlineStr">
        <is>
          <t>1.2.1 Stations - Station Structures</t>
        </is>
      </c>
      <c r="E428" s="23" t="inlineStr">
        <is>
          <t>Carried forward</t>
        </is>
      </c>
      <c r="F428" s="23" t="inlineStr"/>
      <c r="G428" s="23" t="inlineStr">
        <is>
          <t>Source assignment -- not individually reviewed</t>
        </is>
      </c>
      <c r="H428" s="14" t="inlineStr">
        <is>
          <t>10 EVIDENCE &amp; DECISIONS</t>
        </is>
      </c>
    </row>
    <row r="429" ht="34" customHeight="1">
      <c r="A429" s="23" t="inlineStr">
        <is>
          <t>R313-v2</t>
        </is>
      </c>
      <c r="B429" s="23" t="inlineStr">
        <is>
          <t>Contractor Programme</t>
        </is>
      </c>
      <c r="C429" s="23" t="inlineStr">
        <is>
          <t>SCH-02-133</t>
        </is>
      </c>
      <c r="D429" s="23" t="inlineStr">
        <is>
          <t>1.2.1 Stations - Station Structures</t>
        </is>
      </c>
      <c r="E429" s="23" t="inlineStr">
        <is>
          <t>Carried forward</t>
        </is>
      </c>
      <c r="F429" s="23" t="inlineStr"/>
      <c r="G429" s="23" t="inlineStr">
        <is>
          <t>Source assignment -- not individually reviewed</t>
        </is>
      </c>
      <c r="H429" s="14" t="inlineStr">
        <is>
          <t>10 EVIDENCE &amp; DECISIONS</t>
        </is>
      </c>
    </row>
    <row r="430" ht="34" customHeight="1">
      <c r="A430" s="23" t="inlineStr">
        <is>
          <t>R314-v2</t>
        </is>
      </c>
      <c r="B430" s="23" t="inlineStr">
        <is>
          <t>Contractor Programme</t>
        </is>
      </c>
      <c r="C430" s="23" t="inlineStr">
        <is>
          <t>SCH-02-134</t>
        </is>
      </c>
      <c r="D430" s="23" t="inlineStr">
        <is>
          <t>1.2.1 Stations - Station Structures</t>
        </is>
      </c>
      <c r="E430" s="23" t="inlineStr">
        <is>
          <t>Carried forward</t>
        </is>
      </c>
      <c r="F430" s="23" t="inlineStr"/>
      <c r="G430" s="23" t="inlineStr">
        <is>
          <t>Source assignment -- not individually reviewed</t>
        </is>
      </c>
      <c r="H430" s="14" t="inlineStr">
        <is>
          <t>10 EVIDENCE &amp; DECISIONS</t>
        </is>
      </c>
    </row>
    <row r="431" ht="34" customHeight="1">
      <c r="A431" s="23" t="inlineStr">
        <is>
          <t>R316-v2</t>
        </is>
      </c>
      <c r="B431" s="23" t="inlineStr">
        <is>
          <t>Contractor Programme</t>
        </is>
      </c>
      <c r="C431" s="23" t="inlineStr">
        <is>
          <t>SCH-02-136</t>
        </is>
      </c>
      <c r="D431" s="23" t="inlineStr">
        <is>
          <t>1.2.1 Stations - Station Structures</t>
        </is>
      </c>
      <c r="E431" s="23" t="inlineStr">
        <is>
          <t>Carried forward</t>
        </is>
      </c>
      <c r="F431" s="23" t="inlineStr"/>
      <c r="G431" s="23" t="inlineStr">
        <is>
          <t>Source assignment -- not individually reviewed</t>
        </is>
      </c>
      <c r="H431" s="14" t="inlineStr">
        <is>
          <t>10 EVIDENCE &amp; DECISIONS</t>
        </is>
      </c>
    </row>
    <row r="432" ht="34" customHeight="1">
      <c r="A432" s="23" t="inlineStr">
        <is>
          <t>R317-v2</t>
        </is>
      </c>
      <c r="B432" s="23" t="inlineStr">
        <is>
          <t>Contractor Programme</t>
        </is>
      </c>
      <c r="C432" s="23" t="inlineStr">
        <is>
          <t>SCH-02-137</t>
        </is>
      </c>
      <c r="D432" s="23" t="inlineStr">
        <is>
          <t>1.2.1 Stations - Station Structures</t>
        </is>
      </c>
      <c r="E432" s="23" t="inlineStr">
        <is>
          <t>Carried forward</t>
        </is>
      </c>
      <c r="F432" s="23" t="inlineStr"/>
      <c r="G432" s="23" t="inlineStr">
        <is>
          <t>Source assignment -- not individually reviewed</t>
        </is>
      </c>
      <c r="H432" s="14" t="inlineStr">
        <is>
          <t>10 EVIDENCE &amp; DECISIONS</t>
        </is>
      </c>
    </row>
    <row r="433" ht="34" customHeight="1">
      <c r="A433" s="23" t="inlineStr">
        <is>
          <t>R319-v2</t>
        </is>
      </c>
      <c r="B433" s="23" t="inlineStr">
        <is>
          <t>Contractor Programme</t>
        </is>
      </c>
      <c r="C433" s="23" t="inlineStr">
        <is>
          <t>SCH-02-139</t>
        </is>
      </c>
      <c r="D433" s="23" t="inlineStr">
        <is>
          <t>1.2.1 Stations - Station Structures</t>
        </is>
      </c>
      <c r="E433" s="23" t="inlineStr">
        <is>
          <t>Carried forward</t>
        </is>
      </c>
      <c r="F433" s="23" t="inlineStr"/>
      <c r="G433" s="23" t="inlineStr">
        <is>
          <t>Source assignment -- not individually reviewed</t>
        </is>
      </c>
      <c r="H433" s="14" t="inlineStr">
        <is>
          <t>10 EVIDENCE &amp; DECISIONS</t>
        </is>
      </c>
    </row>
    <row r="434" ht="34" customHeight="1">
      <c r="A434" s="23" t="inlineStr">
        <is>
          <t>R320-v2</t>
        </is>
      </c>
      <c r="B434" s="23" t="inlineStr">
        <is>
          <t>Contractor Programme</t>
        </is>
      </c>
      <c r="C434" s="23" t="inlineStr">
        <is>
          <t>SCH-02-140</t>
        </is>
      </c>
      <c r="D434" s="23" t="inlineStr">
        <is>
          <t>1.2.1 Stations - Station Structures</t>
        </is>
      </c>
      <c r="E434" s="23" t="inlineStr">
        <is>
          <t>Carried forward</t>
        </is>
      </c>
      <c r="F434" s="23" t="inlineStr"/>
      <c r="G434" s="23" t="inlineStr">
        <is>
          <t>Source assignment -- not individually reviewed</t>
        </is>
      </c>
      <c r="H434" s="14" t="inlineStr">
        <is>
          <t>10 EVIDENCE &amp; DECISIONS</t>
        </is>
      </c>
    </row>
    <row r="435" ht="34" customHeight="1">
      <c r="A435" s="23" t="inlineStr">
        <is>
          <t>R322-v2</t>
        </is>
      </c>
      <c r="B435" s="23" t="inlineStr">
        <is>
          <t>Contractor Programme</t>
        </is>
      </c>
      <c r="C435" s="23" t="inlineStr">
        <is>
          <t>SCH-02-142</t>
        </is>
      </c>
      <c r="D435" s="23" t="inlineStr">
        <is>
          <t>1.2.1 Stations - Station Structures</t>
        </is>
      </c>
      <c r="E435" s="23" t="inlineStr">
        <is>
          <t>Carried forward</t>
        </is>
      </c>
      <c r="F435" s="23" t="inlineStr"/>
      <c r="G435" s="23" t="inlineStr">
        <is>
          <t>Source assignment -- not individually reviewed</t>
        </is>
      </c>
      <c r="H435" s="14" t="inlineStr">
        <is>
          <t>10 EVIDENCE &amp; DECISIONS</t>
        </is>
      </c>
    </row>
    <row r="436" ht="34" customHeight="1">
      <c r="A436" s="23" t="inlineStr">
        <is>
          <t>R323-v2</t>
        </is>
      </c>
      <c r="B436" s="23" t="inlineStr">
        <is>
          <t>Contractor Programme</t>
        </is>
      </c>
      <c r="C436" s="23" t="inlineStr">
        <is>
          <t>SCH-02-143</t>
        </is>
      </c>
      <c r="D436" s="23" t="inlineStr">
        <is>
          <t>1.2.1 Stations - Station Structures</t>
        </is>
      </c>
      <c r="E436" s="23" t="inlineStr">
        <is>
          <t>Carried forward</t>
        </is>
      </c>
      <c r="F436" s="23" t="inlineStr"/>
      <c r="G436" s="23" t="inlineStr">
        <is>
          <t>Source assignment -- not individually reviewed</t>
        </is>
      </c>
      <c r="H436" s="14" t="inlineStr">
        <is>
          <t>10 EVIDENCE &amp; DECISIONS</t>
        </is>
      </c>
    </row>
    <row r="437" ht="34" customHeight="1">
      <c r="A437" s="23" t="inlineStr">
        <is>
          <t>R325-v2</t>
        </is>
      </c>
      <c r="B437" s="23" t="inlineStr">
        <is>
          <t>Contractor Programme</t>
        </is>
      </c>
      <c r="C437" s="23" t="inlineStr">
        <is>
          <t>SCH-02-145</t>
        </is>
      </c>
      <c r="D437" s="23" t="inlineStr">
        <is>
          <t>1.2.1 Stations - Station Structures</t>
        </is>
      </c>
      <c r="E437" s="23" t="inlineStr">
        <is>
          <t>Carried forward</t>
        </is>
      </c>
      <c r="F437" s="23" t="inlineStr"/>
      <c r="G437" s="23" t="inlineStr">
        <is>
          <t>Source assignment -- not individually reviewed</t>
        </is>
      </c>
      <c r="H437" s="14" t="inlineStr">
        <is>
          <t>10 EVIDENCE &amp; DECISIONS</t>
        </is>
      </c>
    </row>
    <row r="438" ht="34" customHeight="1">
      <c r="A438" s="23" t="inlineStr">
        <is>
          <t>R326-v2</t>
        </is>
      </c>
      <c r="B438" s="23" t="inlineStr">
        <is>
          <t>Contractor Programme</t>
        </is>
      </c>
      <c r="C438" s="23" t="inlineStr">
        <is>
          <t>SCH-02-146</t>
        </is>
      </c>
      <c r="D438" s="23" t="inlineStr">
        <is>
          <t>1.2.1 Stations - Station Structures</t>
        </is>
      </c>
      <c r="E438" s="23" t="inlineStr">
        <is>
          <t>Carried forward</t>
        </is>
      </c>
      <c r="F438" s="23" t="inlineStr"/>
      <c r="G438" s="23" t="inlineStr">
        <is>
          <t>Source assignment -- not individually reviewed</t>
        </is>
      </c>
      <c r="H438" s="14" t="inlineStr">
        <is>
          <t>10 EVIDENCE &amp; DECISIONS</t>
        </is>
      </c>
    </row>
    <row r="439" ht="34" customHeight="1">
      <c r="A439" s="23" t="inlineStr">
        <is>
          <t>R328-v2</t>
        </is>
      </c>
      <c r="B439" s="23" t="inlineStr">
        <is>
          <t>Contractor Programme</t>
        </is>
      </c>
      <c r="C439" s="23" t="inlineStr">
        <is>
          <t>SCH-02-148</t>
        </is>
      </c>
      <c r="D439" s="23" t="inlineStr">
        <is>
          <t>1.2.1 Stations - Station Structures</t>
        </is>
      </c>
      <c r="E439" s="23" t="inlineStr">
        <is>
          <t>Carried forward</t>
        </is>
      </c>
      <c r="F439" s="23" t="inlineStr"/>
      <c r="G439" s="23" t="inlineStr">
        <is>
          <t>Source assignment -- not individually reviewed</t>
        </is>
      </c>
      <c r="H439" s="14" t="inlineStr">
        <is>
          <t>10 EVIDENCE &amp; DECISIONS</t>
        </is>
      </c>
    </row>
    <row r="440" ht="34" customHeight="1">
      <c r="A440" s="23" t="inlineStr">
        <is>
          <t>R329-v2</t>
        </is>
      </c>
      <c r="B440" s="23" t="inlineStr">
        <is>
          <t>Contractor Programme</t>
        </is>
      </c>
      <c r="C440" s="23" t="inlineStr">
        <is>
          <t>SCH-02-149</t>
        </is>
      </c>
      <c r="D440" s="23" t="inlineStr">
        <is>
          <t>1.2.1 Stations - Station Structures</t>
        </is>
      </c>
      <c r="E440" s="23" t="inlineStr">
        <is>
          <t>Carried forward</t>
        </is>
      </c>
      <c r="F440" s="23" t="inlineStr"/>
      <c r="G440" s="23" t="inlineStr">
        <is>
          <t>Source assignment -- not individually reviewed</t>
        </is>
      </c>
      <c r="H440" s="14" t="inlineStr">
        <is>
          <t>10 EVIDENCE &amp; DECISIONS</t>
        </is>
      </c>
    </row>
    <row r="441" ht="34" customHeight="1">
      <c r="A441" s="23" t="inlineStr">
        <is>
          <t>R331-v2</t>
        </is>
      </c>
      <c r="B441" s="23" t="inlineStr">
        <is>
          <t>Contractor Programme</t>
        </is>
      </c>
      <c r="C441" s="23" t="inlineStr">
        <is>
          <t>SCH-02-151</t>
        </is>
      </c>
      <c r="D441" s="23" t="inlineStr">
        <is>
          <t>1.2.1 Stations - Station Structures</t>
        </is>
      </c>
      <c r="E441" s="23" t="inlineStr">
        <is>
          <t>Carried forward</t>
        </is>
      </c>
      <c r="F441" s="23" t="inlineStr"/>
      <c r="G441" s="23" t="inlineStr">
        <is>
          <t>Source assignment -- not individually reviewed</t>
        </is>
      </c>
      <c r="H441" s="14" t="inlineStr">
        <is>
          <t>10 EVIDENCE &amp; DECISIONS</t>
        </is>
      </c>
    </row>
    <row r="442" ht="34" customHeight="1">
      <c r="A442" s="23" t="inlineStr">
        <is>
          <t>R332-v2</t>
        </is>
      </c>
      <c r="B442" s="23" t="inlineStr">
        <is>
          <t>Contractor Programme</t>
        </is>
      </c>
      <c r="C442" s="23" t="inlineStr">
        <is>
          <t>SCH-02-152</t>
        </is>
      </c>
      <c r="D442" s="23" t="inlineStr">
        <is>
          <t>1.2.1 Stations - Station Structures</t>
        </is>
      </c>
      <c r="E442" s="23" t="inlineStr">
        <is>
          <t>Carried forward</t>
        </is>
      </c>
      <c r="F442" s="23" t="inlineStr"/>
      <c r="G442" s="23" t="inlineStr">
        <is>
          <t>Source assignment -- not individually reviewed</t>
        </is>
      </c>
      <c r="H442" s="14" t="inlineStr">
        <is>
          <t>10 EVIDENCE &amp; DECISIONS</t>
        </is>
      </c>
    </row>
    <row r="443" ht="34" customHeight="1">
      <c r="A443" s="23" t="inlineStr">
        <is>
          <t>R334-v2</t>
        </is>
      </c>
      <c r="B443" s="23" t="inlineStr">
        <is>
          <t>Contractor Programme</t>
        </is>
      </c>
      <c r="C443" s="23" t="inlineStr">
        <is>
          <t>SCH-02-154</t>
        </is>
      </c>
      <c r="D443" s="23" t="inlineStr">
        <is>
          <t>1.2.1 Stations - Station Structures</t>
        </is>
      </c>
      <c r="E443" s="23" t="inlineStr">
        <is>
          <t>Carried forward</t>
        </is>
      </c>
      <c r="F443" s="23" t="inlineStr"/>
      <c r="G443" s="23" t="inlineStr">
        <is>
          <t>Source assignment -- not individually reviewed</t>
        </is>
      </c>
      <c r="H443" s="14" t="inlineStr">
        <is>
          <t>10 EVIDENCE &amp; DECISIONS</t>
        </is>
      </c>
    </row>
    <row r="444" ht="34" customHeight="1">
      <c r="A444" s="23" t="inlineStr">
        <is>
          <t>R335-v2</t>
        </is>
      </c>
      <c r="B444" s="23" t="inlineStr">
        <is>
          <t>Contractor Programme</t>
        </is>
      </c>
      <c r="C444" s="23" t="inlineStr">
        <is>
          <t>SCH-02-155</t>
        </is>
      </c>
      <c r="D444" s="23" t="inlineStr">
        <is>
          <t>1.2.1 Stations - Station Structures</t>
        </is>
      </c>
      <c r="E444" s="23" t="inlineStr">
        <is>
          <t>Carried forward</t>
        </is>
      </c>
      <c r="F444" s="23" t="inlineStr"/>
      <c r="G444" s="23" t="inlineStr">
        <is>
          <t>Source assignment -- not individually reviewed</t>
        </is>
      </c>
      <c r="H444" s="14" t="inlineStr">
        <is>
          <t>10 EVIDENCE &amp; DECISIONS</t>
        </is>
      </c>
    </row>
    <row r="445" ht="34" customHeight="1">
      <c r="A445" s="23" t="inlineStr">
        <is>
          <t>R337-v2</t>
        </is>
      </c>
      <c r="B445" s="23" t="inlineStr">
        <is>
          <t>Contractor Programme</t>
        </is>
      </c>
      <c r="C445" s="23" t="inlineStr">
        <is>
          <t>SCH-02-157</t>
        </is>
      </c>
      <c r="D445" s="23" t="inlineStr">
        <is>
          <t>1.2.1 Stations - Station Structures</t>
        </is>
      </c>
      <c r="E445" s="23" t="inlineStr">
        <is>
          <t>Carried forward</t>
        </is>
      </c>
      <c r="F445" s="23" t="inlineStr"/>
      <c r="G445" s="23" t="inlineStr">
        <is>
          <t>Source assignment -- not individually reviewed</t>
        </is>
      </c>
      <c r="H445" s="14" t="inlineStr">
        <is>
          <t>10 EVIDENCE &amp; DECISIONS</t>
        </is>
      </c>
    </row>
    <row r="446" ht="34" customHeight="1">
      <c r="A446" s="23" t="inlineStr">
        <is>
          <t>R338-v2</t>
        </is>
      </c>
      <c r="B446" s="23" t="inlineStr">
        <is>
          <t>Contractor Programme</t>
        </is>
      </c>
      <c r="C446" s="23" t="inlineStr">
        <is>
          <t>SCH-02-158</t>
        </is>
      </c>
      <c r="D446" s="23" t="inlineStr">
        <is>
          <t>1.2.1 Stations - Station Structures</t>
        </is>
      </c>
      <c r="E446" s="23" t="inlineStr">
        <is>
          <t>Carried forward</t>
        </is>
      </c>
      <c r="F446" s="23" t="inlineStr"/>
      <c r="G446" s="23" t="inlineStr">
        <is>
          <t>Source assignment -- not individually reviewed</t>
        </is>
      </c>
      <c r="H446" s="14" t="inlineStr">
        <is>
          <t>10 EVIDENCE &amp; DECISIONS</t>
        </is>
      </c>
    </row>
    <row r="447" ht="34" customHeight="1">
      <c r="A447" s="23" t="inlineStr">
        <is>
          <t>R340-v2</t>
        </is>
      </c>
      <c r="B447" s="23" t="inlineStr">
        <is>
          <t>Contractor Programme</t>
        </is>
      </c>
      <c r="C447" s="23" t="inlineStr">
        <is>
          <t>SCH-02-160</t>
        </is>
      </c>
      <c r="D447" s="23" t="inlineStr">
        <is>
          <t>1.2.1 Stations - Station Structures</t>
        </is>
      </c>
      <c r="E447" s="23" t="inlineStr">
        <is>
          <t>Carried forward</t>
        </is>
      </c>
      <c r="F447" s="23" t="inlineStr"/>
      <c r="G447" s="23" t="inlineStr">
        <is>
          <t>Source assignment -- not individually reviewed</t>
        </is>
      </c>
      <c r="H447" s="14" t="inlineStr">
        <is>
          <t>10 EVIDENCE &amp; DECISIONS</t>
        </is>
      </c>
    </row>
    <row r="448" ht="34" customHeight="1">
      <c r="A448" s="23" t="inlineStr">
        <is>
          <t>R341-v2</t>
        </is>
      </c>
      <c r="B448" s="23" t="inlineStr">
        <is>
          <t>Contractor Programme</t>
        </is>
      </c>
      <c r="C448" s="23" t="inlineStr">
        <is>
          <t>SCH-02-161</t>
        </is>
      </c>
      <c r="D448" s="23" t="inlineStr">
        <is>
          <t>1.2.1 Stations - Station Structures</t>
        </is>
      </c>
      <c r="E448" s="23" t="inlineStr">
        <is>
          <t>Carried forward</t>
        </is>
      </c>
      <c r="F448" s="23" t="inlineStr"/>
      <c r="G448" s="23" t="inlineStr">
        <is>
          <t>Source assignment -- not individually reviewed</t>
        </is>
      </c>
      <c r="H448" s="14" t="inlineStr">
        <is>
          <t>10 EVIDENCE &amp; DECISIONS</t>
        </is>
      </c>
    </row>
    <row r="449" ht="34" customHeight="1">
      <c r="A449" s="23" t="inlineStr">
        <is>
          <t>R343-v2</t>
        </is>
      </c>
      <c r="B449" s="23" t="inlineStr">
        <is>
          <t>Contractor Programme</t>
        </is>
      </c>
      <c r="C449" s="23" t="inlineStr">
        <is>
          <t>SCH-02-163</t>
        </is>
      </c>
      <c r="D449" s="23" t="inlineStr">
        <is>
          <t>1.2.1 Stations - Station Structures</t>
        </is>
      </c>
      <c r="E449" s="23" t="inlineStr">
        <is>
          <t>Carried forward</t>
        </is>
      </c>
      <c r="F449" s="23" t="inlineStr"/>
      <c r="G449" s="23" t="inlineStr">
        <is>
          <t>Source assignment -- not individually reviewed</t>
        </is>
      </c>
      <c r="H449" s="14" t="inlineStr">
        <is>
          <t>10 EVIDENCE &amp; DECISIONS</t>
        </is>
      </c>
    </row>
    <row r="450" ht="34" customHeight="1">
      <c r="A450" s="23" t="inlineStr">
        <is>
          <t>R344-v2</t>
        </is>
      </c>
      <c r="B450" s="23" t="inlineStr">
        <is>
          <t>Contractor Programme</t>
        </is>
      </c>
      <c r="C450" s="23" t="inlineStr">
        <is>
          <t>SCH-02-164</t>
        </is>
      </c>
      <c r="D450" s="23" t="inlineStr">
        <is>
          <t>1.2.1 Stations - Station Structures</t>
        </is>
      </c>
      <c r="E450" s="23" t="inlineStr">
        <is>
          <t>Carried forward</t>
        </is>
      </c>
      <c r="F450" s="23" t="inlineStr"/>
      <c r="G450" s="23" t="inlineStr">
        <is>
          <t>Source assignment -- not individually reviewed</t>
        </is>
      </c>
      <c r="H450" s="14" t="inlineStr">
        <is>
          <t>10 EVIDENCE &amp; DECISIONS</t>
        </is>
      </c>
    </row>
    <row r="451" ht="34" customHeight="1">
      <c r="A451" s="23" t="inlineStr">
        <is>
          <t>R346-v2</t>
        </is>
      </c>
      <c r="B451" s="23" t="inlineStr">
        <is>
          <t>Contractor Programme</t>
        </is>
      </c>
      <c r="C451" s="23" t="inlineStr">
        <is>
          <t>SCH-02-166</t>
        </is>
      </c>
      <c r="D451" s="23" t="inlineStr">
        <is>
          <t>1.2.1 Stations - Station Structures</t>
        </is>
      </c>
      <c r="E451" s="23" t="inlineStr">
        <is>
          <t>Carried forward</t>
        </is>
      </c>
      <c r="F451" s="23" t="inlineStr"/>
      <c r="G451" s="23" t="inlineStr">
        <is>
          <t>Source assignment -- not individually reviewed</t>
        </is>
      </c>
      <c r="H451" s="14" t="inlineStr">
        <is>
          <t>10 EVIDENCE &amp; DECISIONS</t>
        </is>
      </c>
    </row>
    <row r="452" ht="34" customHeight="1">
      <c r="A452" s="23" t="inlineStr">
        <is>
          <t>R347-v2</t>
        </is>
      </c>
      <c r="B452" s="23" t="inlineStr">
        <is>
          <t>Contractor Programme</t>
        </is>
      </c>
      <c r="C452" s="23" t="inlineStr">
        <is>
          <t>SCH-02-167</t>
        </is>
      </c>
      <c r="D452" s="23" t="inlineStr">
        <is>
          <t>1.2.1 Stations - Station Structures</t>
        </is>
      </c>
      <c r="E452" s="23" t="inlineStr">
        <is>
          <t>Carried forward</t>
        </is>
      </c>
      <c r="F452" s="23" t="inlineStr"/>
      <c r="G452" s="23" t="inlineStr">
        <is>
          <t>Source assignment -- not individually reviewed</t>
        </is>
      </c>
      <c r="H452" s="14" t="inlineStr">
        <is>
          <t>10 EVIDENCE &amp; DECISIONS</t>
        </is>
      </c>
    </row>
    <row r="453" ht="34" customHeight="1">
      <c r="A453" s="23" t="inlineStr">
        <is>
          <t>R349-v2</t>
        </is>
      </c>
      <c r="B453" s="23" t="inlineStr">
        <is>
          <t>Contractor Programme</t>
        </is>
      </c>
      <c r="C453" s="23" t="inlineStr">
        <is>
          <t>SCH-02-169</t>
        </is>
      </c>
      <c r="D453" s="23" t="inlineStr">
        <is>
          <t>1.2.1 Stations - Station Structures</t>
        </is>
      </c>
      <c r="E453" s="23" t="inlineStr">
        <is>
          <t>Carried forward</t>
        </is>
      </c>
      <c r="F453" s="23" t="inlineStr"/>
      <c r="G453" s="23" t="inlineStr">
        <is>
          <t>Source assignment -- not individually reviewed</t>
        </is>
      </c>
      <c r="H453" s="14" t="inlineStr">
        <is>
          <t>10 EVIDENCE &amp; DECISIONS</t>
        </is>
      </c>
    </row>
    <row r="454" ht="34" customHeight="1">
      <c r="A454" s="23" t="inlineStr">
        <is>
          <t>R350-v2</t>
        </is>
      </c>
      <c r="B454" s="23" t="inlineStr">
        <is>
          <t>Contractor Programme</t>
        </is>
      </c>
      <c r="C454" s="23" t="inlineStr">
        <is>
          <t>SCH-02-170</t>
        </is>
      </c>
      <c r="D454" s="23" t="inlineStr">
        <is>
          <t>1.2.1 Stations - Station Structures</t>
        </is>
      </c>
      <c r="E454" s="23" t="inlineStr">
        <is>
          <t>Carried forward</t>
        </is>
      </c>
      <c r="F454" s="23" t="inlineStr"/>
      <c r="G454" s="23" t="inlineStr">
        <is>
          <t>Source assignment -- not individually reviewed</t>
        </is>
      </c>
      <c r="H454" s="14" t="inlineStr">
        <is>
          <t>10 EVIDENCE &amp; DECISIONS</t>
        </is>
      </c>
    </row>
    <row r="455" ht="34" customHeight="1">
      <c r="A455" s="23" t="inlineStr">
        <is>
          <t>R352-v2</t>
        </is>
      </c>
      <c r="B455" s="23" t="inlineStr">
        <is>
          <t>Contractor Programme</t>
        </is>
      </c>
      <c r="C455" s="23" t="inlineStr">
        <is>
          <t>SCH-02-172</t>
        </is>
      </c>
      <c r="D455" s="23" t="inlineStr">
        <is>
          <t>1.2.1 Stations - Station Structures</t>
        </is>
      </c>
      <c r="E455" s="23" t="inlineStr">
        <is>
          <t>Carried forward</t>
        </is>
      </c>
      <c r="F455" s="23" t="inlineStr"/>
      <c r="G455" s="23" t="inlineStr">
        <is>
          <t>Source assignment -- not individually reviewed</t>
        </is>
      </c>
      <c r="H455" s="14" t="inlineStr">
        <is>
          <t>10 EVIDENCE &amp; DECISIONS</t>
        </is>
      </c>
    </row>
    <row r="456" ht="34" customHeight="1">
      <c r="A456" s="23" t="inlineStr">
        <is>
          <t>R353-v2</t>
        </is>
      </c>
      <c r="B456" s="23" t="inlineStr">
        <is>
          <t>Contractor Programme</t>
        </is>
      </c>
      <c r="C456" s="23" t="inlineStr">
        <is>
          <t>SCH-02-173</t>
        </is>
      </c>
      <c r="D456" s="23" t="inlineStr">
        <is>
          <t>1.2.1 Stations - Station Structures</t>
        </is>
      </c>
      <c r="E456" s="23" t="inlineStr">
        <is>
          <t>Carried forward</t>
        </is>
      </c>
      <c r="F456" s="23" t="inlineStr"/>
      <c r="G456" s="23" t="inlineStr">
        <is>
          <t>Source assignment -- not individually reviewed</t>
        </is>
      </c>
      <c r="H456" s="14" t="inlineStr">
        <is>
          <t>10 EVIDENCE &amp; DECISIONS</t>
        </is>
      </c>
    </row>
    <row r="457" ht="34" customHeight="1">
      <c r="A457" s="23" t="inlineStr">
        <is>
          <t>R355-v2</t>
        </is>
      </c>
      <c r="B457" s="23" t="inlineStr">
        <is>
          <t>Contractor Programme</t>
        </is>
      </c>
      <c r="C457" s="23" t="inlineStr">
        <is>
          <t>SCH-02-175</t>
        </is>
      </c>
      <c r="D457" s="23" t="inlineStr">
        <is>
          <t>1.2.1 Stations - Station Structures</t>
        </is>
      </c>
      <c r="E457" s="23" t="inlineStr">
        <is>
          <t>Carried forward</t>
        </is>
      </c>
      <c r="F457" s="23" t="inlineStr"/>
      <c r="G457" s="23" t="inlineStr">
        <is>
          <t>Source assignment -- not individually reviewed</t>
        </is>
      </c>
      <c r="H457" s="14" t="inlineStr">
        <is>
          <t>10 EVIDENCE &amp; DECISIONS</t>
        </is>
      </c>
    </row>
    <row r="458" ht="34" customHeight="1">
      <c r="A458" s="23" t="inlineStr">
        <is>
          <t>R356-v2</t>
        </is>
      </c>
      <c r="B458" s="23" t="inlineStr">
        <is>
          <t>Contractor Programme</t>
        </is>
      </c>
      <c r="C458" s="23" t="inlineStr">
        <is>
          <t>SCH-02-176</t>
        </is>
      </c>
      <c r="D458" s="23" t="inlineStr">
        <is>
          <t>1.2.1 Stations - Station Structures</t>
        </is>
      </c>
      <c r="E458" s="23" t="inlineStr">
        <is>
          <t>Carried forward</t>
        </is>
      </c>
      <c r="F458" s="23" t="inlineStr"/>
      <c r="G458" s="23" t="inlineStr">
        <is>
          <t>Source assignment -- not individually reviewed</t>
        </is>
      </c>
      <c r="H458" s="14" t="inlineStr">
        <is>
          <t>10 EVIDENCE &amp; DECISIONS</t>
        </is>
      </c>
    </row>
    <row r="459" ht="34" customHeight="1">
      <c r="A459" s="23" t="inlineStr">
        <is>
          <t>R358-v2</t>
        </is>
      </c>
      <c r="B459" s="23" t="inlineStr">
        <is>
          <t>Contractor Programme</t>
        </is>
      </c>
      <c r="C459" s="23" t="inlineStr">
        <is>
          <t>SCH-02-178</t>
        </is>
      </c>
      <c r="D459" s="23" t="inlineStr">
        <is>
          <t>1.2.1 Stations - Station Structures</t>
        </is>
      </c>
      <c r="E459" s="23" t="inlineStr">
        <is>
          <t>Carried forward</t>
        </is>
      </c>
      <c r="F459" s="23" t="inlineStr"/>
      <c r="G459" s="23" t="inlineStr">
        <is>
          <t>Source assignment -- not individually reviewed</t>
        </is>
      </c>
      <c r="H459" s="14" t="inlineStr">
        <is>
          <t>10 EVIDENCE &amp; DECISIONS</t>
        </is>
      </c>
    </row>
    <row r="460" ht="34" customHeight="1">
      <c r="A460" s="23" t="inlineStr">
        <is>
          <t>R359-v2</t>
        </is>
      </c>
      <c r="B460" s="23" t="inlineStr">
        <is>
          <t>Contractor Programme</t>
        </is>
      </c>
      <c r="C460" s="23" t="inlineStr">
        <is>
          <t>SCH-02-179</t>
        </is>
      </c>
      <c r="D460" s="23" t="inlineStr">
        <is>
          <t>1.2.1 Stations - Station Structures</t>
        </is>
      </c>
      <c r="E460" s="23" t="inlineStr">
        <is>
          <t>Carried forward</t>
        </is>
      </c>
      <c r="F460" s="23" t="inlineStr"/>
      <c r="G460" s="23" t="inlineStr">
        <is>
          <t>Source assignment -- not individually reviewed</t>
        </is>
      </c>
      <c r="H460" s="14" t="inlineStr">
        <is>
          <t>10 EVIDENCE &amp; DECISIONS</t>
        </is>
      </c>
    </row>
    <row r="461" ht="34" customHeight="1">
      <c r="A461" s="23" t="inlineStr">
        <is>
          <t>R1164-v2</t>
        </is>
      </c>
      <c r="B461" s="23" t="inlineStr">
        <is>
          <t>Cost &amp; Forecast Control Accounts</t>
        </is>
      </c>
      <c r="C461" s="23" t="inlineStr">
        <is>
          <t>CST-02-002</t>
        </is>
      </c>
      <c r="D461" s="23" t="inlineStr">
        <is>
          <t>1.2.2 Stations - Architectural Fit-Out</t>
        </is>
      </c>
      <c r="E461" s="23" t="inlineStr">
        <is>
          <t>Carried forward</t>
        </is>
      </c>
      <c r="F461" s="23" t="inlineStr"/>
      <c r="G461" s="23" t="inlineStr">
        <is>
          <t>Source assignment -- not individually reviewed</t>
        </is>
      </c>
      <c r="H461" s="14" t="inlineStr">
        <is>
          <t>10 EVIDENCE &amp; DECISIONS</t>
        </is>
      </c>
    </row>
    <row r="462" ht="34" customHeight="1">
      <c r="A462" s="23" t="inlineStr">
        <is>
          <t>R1166-v2</t>
        </is>
      </c>
      <c r="B462" s="23" t="inlineStr">
        <is>
          <t>Cost &amp; Forecast Control Accounts</t>
        </is>
      </c>
      <c r="C462" s="23" t="inlineStr">
        <is>
          <t>CST-02-004</t>
        </is>
      </c>
      <c r="D462" s="23" t="inlineStr">
        <is>
          <t>1.2.2 Stations - Architectural Fit-Out</t>
        </is>
      </c>
      <c r="E462" s="23" t="inlineStr">
        <is>
          <t>Carried forward</t>
        </is>
      </c>
      <c r="F462" s="23" t="inlineStr"/>
      <c r="G462" s="23" t="inlineStr">
        <is>
          <t>Source assignment -- not individually reviewed</t>
        </is>
      </c>
      <c r="H462" s="14" t="inlineStr">
        <is>
          <t>10 EVIDENCE &amp; DECISIONS</t>
        </is>
      </c>
    </row>
    <row r="463" ht="34" customHeight="1">
      <c r="A463" s="23" t="inlineStr">
        <is>
          <t>R1168-v2</t>
        </is>
      </c>
      <c r="B463" s="23" t="inlineStr">
        <is>
          <t>Cost &amp; Forecast Control Accounts</t>
        </is>
      </c>
      <c r="C463" s="23" t="inlineStr">
        <is>
          <t>CST-02-006</t>
        </is>
      </c>
      <c r="D463" s="23" t="inlineStr">
        <is>
          <t>1.2.2 Stations - Architectural Fit-Out</t>
        </is>
      </c>
      <c r="E463" s="23" t="inlineStr">
        <is>
          <t>Carried forward</t>
        </is>
      </c>
      <c r="F463" s="23" t="inlineStr"/>
      <c r="G463" s="23" t="inlineStr">
        <is>
          <t>Source assignment -- not individually reviewed</t>
        </is>
      </c>
      <c r="H463" s="14" t="inlineStr">
        <is>
          <t>10 EVIDENCE &amp; DECISIONS</t>
        </is>
      </c>
    </row>
    <row r="464" ht="34" customHeight="1">
      <c r="A464" s="23" t="inlineStr">
        <is>
          <t>R1170-v2</t>
        </is>
      </c>
      <c r="B464" s="23" t="inlineStr">
        <is>
          <t>Cost &amp; Forecast Control Accounts</t>
        </is>
      </c>
      <c r="C464" s="23" t="inlineStr">
        <is>
          <t>CST-02-008</t>
        </is>
      </c>
      <c r="D464" s="23" t="inlineStr">
        <is>
          <t>1.2.2 Stations - Architectural Fit-Out</t>
        </is>
      </c>
      <c r="E464" s="23" t="inlineStr">
        <is>
          <t>Carried forward</t>
        </is>
      </c>
      <c r="F464" s="23" t="inlineStr"/>
      <c r="G464" s="23" t="inlineStr">
        <is>
          <t>Source assignment -- not individually reviewed</t>
        </is>
      </c>
      <c r="H464" s="14" t="inlineStr">
        <is>
          <t>10 EVIDENCE &amp; DECISIONS</t>
        </is>
      </c>
    </row>
    <row r="465" ht="34" customHeight="1">
      <c r="A465" s="23" t="inlineStr">
        <is>
          <t>R1172-v2</t>
        </is>
      </c>
      <c r="B465" s="23" t="inlineStr">
        <is>
          <t>Cost &amp; Forecast Control Accounts</t>
        </is>
      </c>
      <c r="C465" s="23" t="inlineStr">
        <is>
          <t>CST-02-010</t>
        </is>
      </c>
      <c r="D465" s="23" t="inlineStr">
        <is>
          <t>1.2.2 Stations - Architectural Fit-Out</t>
        </is>
      </c>
      <c r="E465" s="23" t="inlineStr">
        <is>
          <t>Carried forward</t>
        </is>
      </c>
      <c r="F465" s="23" t="inlineStr"/>
      <c r="G465" s="23" t="inlineStr">
        <is>
          <t>Source assignment -- not individually reviewed</t>
        </is>
      </c>
      <c r="H465" s="14" t="inlineStr">
        <is>
          <t>10 EVIDENCE &amp; DECISIONS</t>
        </is>
      </c>
    </row>
    <row r="466" ht="34" customHeight="1">
      <c r="A466" s="23" t="inlineStr">
        <is>
          <t>R1174-v2</t>
        </is>
      </c>
      <c r="B466" s="23" t="inlineStr">
        <is>
          <t>Cost &amp; Forecast Control Accounts</t>
        </is>
      </c>
      <c r="C466" s="23" t="inlineStr">
        <is>
          <t>CST-02-012</t>
        </is>
      </c>
      <c r="D466" s="23" t="inlineStr">
        <is>
          <t>1.2.2 Stations - Architectural Fit-Out</t>
        </is>
      </c>
      <c r="E466" s="23" t="inlineStr">
        <is>
          <t>Carried forward</t>
        </is>
      </c>
      <c r="F466" s="23" t="inlineStr"/>
      <c r="G466" s="23" t="inlineStr">
        <is>
          <t>Source assignment -- not individually reviewed</t>
        </is>
      </c>
      <c r="H466" s="14" t="inlineStr">
        <is>
          <t>10 EVIDENCE &amp; DECISIONS</t>
        </is>
      </c>
    </row>
    <row r="467" ht="34" customHeight="1">
      <c r="A467" s="23" t="inlineStr">
        <is>
          <t>R1176-v2</t>
        </is>
      </c>
      <c r="B467" s="23" t="inlineStr">
        <is>
          <t>Cost &amp; Forecast Control Accounts</t>
        </is>
      </c>
      <c r="C467" s="23" t="inlineStr">
        <is>
          <t>CST-02-014</t>
        </is>
      </c>
      <c r="D467" s="23" t="inlineStr">
        <is>
          <t>1.2.2 Stations - Architectural Fit-Out</t>
        </is>
      </c>
      <c r="E467" s="23" t="inlineStr">
        <is>
          <t>Carried forward</t>
        </is>
      </c>
      <c r="F467" s="23" t="inlineStr"/>
      <c r="G467" s="23" t="inlineStr">
        <is>
          <t>Source assignment -- not individually reviewed</t>
        </is>
      </c>
      <c r="H467" s="14" t="inlineStr">
        <is>
          <t>10 EVIDENCE &amp; DECISIONS</t>
        </is>
      </c>
    </row>
    <row r="468" ht="34" customHeight="1">
      <c r="A468" s="23" t="inlineStr">
        <is>
          <t>R1178-v2</t>
        </is>
      </c>
      <c r="B468" s="23" t="inlineStr">
        <is>
          <t>Cost &amp; Forecast Control Accounts</t>
        </is>
      </c>
      <c r="C468" s="23" t="inlineStr">
        <is>
          <t>CST-02-016</t>
        </is>
      </c>
      <c r="D468" s="23" t="inlineStr">
        <is>
          <t>1.2.2 Stations - Architectural Fit-Out</t>
        </is>
      </c>
      <c r="E468" s="23" t="inlineStr">
        <is>
          <t>Carried forward</t>
        </is>
      </c>
      <c r="F468" s="23" t="inlineStr"/>
      <c r="G468" s="23" t="inlineStr">
        <is>
          <t>Source assignment -- not individually reviewed</t>
        </is>
      </c>
      <c r="H468" s="14" t="inlineStr">
        <is>
          <t>10 EVIDENCE &amp; DECISIONS</t>
        </is>
      </c>
    </row>
    <row r="469" ht="34" customHeight="1">
      <c r="A469" s="23" t="inlineStr">
        <is>
          <t>R1180-v2</t>
        </is>
      </c>
      <c r="B469" s="23" t="inlineStr">
        <is>
          <t>Cost &amp; Forecast Control Accounts</t>
        </is>
      </c>
      <c r="C469" s="23" t="inlineStr">
        <is>
          <t>CST-02-018</t>
        </is>
      </c>
      <c r="D469" s="23" t="inlineStr">
        <is>
          <t>1.2.2 Stations - Architectural Fit-Out</t>
        </is>
      </c>
      <c r="E469" s="23" t="inlineStr">
        <is>
          <t>Carried forward</t>
        </is>
      </c>
      <c r="F469" s="23" t="inlineStr"/>
      <c r="G469" s="23" t="inlineStr">
        <is>
          <t>Source assignment -- not individually reviewed</t>
        </is>
      </c>
      <c r="H469" s="14" t="inlineStr">
        <is>
          <t>10 EVIDENCE &amp; DECISIONS</t>
        </is>
      </c>
    </row>
    <row r="470" ht="34" customHeight="1">
      <c r="A470" s="23" t="inlineStr">
        <is>
          <t>R1182-v2</t>
        </is>
      </c>
      <c r="B470" s="23" t="inlineStr">
        <is>
          <t>Cost &amp; Forecast Control Accounts</t>
        </is>
      </c>
      <c r="C470" s="23" t="inlineStr">
        <is>
          <t>CST-02-020</t>
        </is>
      </c>
      <c r="D470" s="23" t="inlineStr">
        <is>
          <t>1.2.2 Stations - Architectural Fit-Out</t>
        </is>
      </c>
      <c r="E470" s="23" t="inlineStr">
        <is>
          <t>Carried forward</t>
        </is>
      </c>
      <c r="F470" s="23" t="inlineStr"/>
      <c r="G470" s="23" t="inlineStr">
        <is>
          <t>Source assignment -- not individually reviewed</t>
        </is>
      </c>
      <c r="H470" s="14" t="inlineStr">
        <is>
          <t>10 EVIDENCE &amp; DECISIONS</t>
        </is>
      </c>
    </row>
    <row r="471" ht="34" customHeight="1">
      <c r="A471" s="23" t="inlineStr">
        <is>
          <t>R1184-v2</t>
        </is>
      </c>
      <c r="B471" s="23" t="inlineStr">
        <is>
          <t>Cost &amp; Forecast Control Accounts</t>
        </is>
      </c>
      <c r="C471" s="23" t="inlineStr">
        <is>
          <t>CST-02-022</t>
        </is>
      </c>
      <c r="D471" s="23" t="inlineStr">
        <is>
          <t>1.2.2 Stations - Architectural Fit-Out</t>
        </is>
      </c>
      <c r="E471" s="23" t="inlineStr">
        <is>
          <t>Carried forward</t>
        </is>
      </c>
      <c r="F471" s="23" t="inlineStr"/>
      <c r="G471" s="23" t="inlineStr">
        <is>
          <t>Source assignment -- not individually reviewed</t>
        </is>
      </c>
      <c r="H471" s="14" t="inlineStr">
        <is>
          <t>10 EVIDENCE &amp; DECISIONS</t>
        </is>
      </c>
    </row>
    <row r="472" ht="34" customHeight="1">
      <c r="A472" s="23" t="inlineStr">
        <is>
          <t>R1186-v2</t>
        </is>
      </c>
      <c r="B472" s="23" t="inlineStr">
        <is>
          <t>Cost &amp; Forecast Control Accounts</t>
        </is>
      </c>
      <c r="C472" s="23" t="inlineStr">
        <is>
          <t>CST-02-024</t>
        </is>
      </c>
      <c r="D472" s="23" t="inlineStr">
        <is>
          <t>1.2.2 Stations - Architectural Fit-Out</t>
        </is>
      </c>
      <c r="E472" s="23" t="inlineStr">
        <is>
          <t>Carried forward</t>
        </is>
      </c>
      <c r="F472" s="23" t="inlineStr"/>
      <c r="G472" s="23" t="inlineStr">
        <is>
          <t>Source assignment -- not individually reviewed</t>
        </is>
      </c>
      <c r="H472" s="14" t="inlineStr">
        <is>
          <t>10 EVIDENCE &amp; DECISIONS</t>
        </is>
      </c>
    </row>
    <row r="473" ht="34" customHeight="1">
      <c r="A473" s="23" t="inlineStr">
        <is>
          <t>R1188-v2</t>
        </is>
      </c>
      <c r="B473" s="23" t="inlineStr">
        <is>
          <t>Cost &amp; Forecast Control Accounts</t>
        </is>
      </c>
      <c r="C473" s="23" t="inlineStr">
        <is>
          <t>CST-02-026</t>
        </is>
      </c>
      <c r="D473" s="23" t="inlineStr">
        <is>
          <t>1.2.2 Stations - Architectural Fit-Out</t>
        </is>
      </c>
      <c r="E473" s="23" t="inlineStr">
        <is>
          <t>Carried forward</t>
        </is>
      </c>
      <c r="F473" s="23" t="inlineStr"/>
      <c r="G473" s="23" t="inlineStr">
        <is>
          <t>Source assignment -- not individually reviewed</t>
        </is>
      </c>
      <c r="H473" s="14" t="inlineStr">
        <is>
          <t>10 EVIDENCE &amp; DECISIONS</t>
        </is>
      </c>
    </row>
    <row r="474" ht="34" customHeight="1">
      <c r="A474" s="23" t="inlineStr">
        <is>
          <t>R1190-v2</t>
        </is>
      </c>
      <c r="B474" s="23" t="inlineStr">
        <is>
          <t>Cost &amp; Forecast Control Accounts</t>
        </is>
      </c>
      <c r="C474" s="23" t="inlineStr">
        <is>
          <t>CST-02-028</t>
        </is>
      </c>
      <c r="D474" s="23" t="inlineStr">
        <is>
          <t>1.2.2 Stations - Architectural Fit-Out</t>
        </is>
      </c>
      <c r="E474" s="23" t="inlineStr">
        <is>
          <t>Carried forward</t>
        </is>
      </c>
      <c r="F474" s="23" t="inlineStr"/>
      <c r="G474" s="23" t="inlineStr">
        <is>
          <t>Source assignment -- not individually reviewed</t>
        </is>
      </c>
      <c r="H474" s="14" t="inlineStr">
        <is>
          <t>10 EVIDENCE &amp; DECISIONS</t>
        </is>
      </c>
    </row>
    <row r="475" ht="34" customHeight="1">
      <c r="A475" s="23" t="inlineStr">
        <is>
          <t>R1192-v2</t>
        </is>
      </c>
      <c r="B475" s="23" t="inlineStr">
        <is>
          <t>Cost &amp; Forecast Control Accounts</t>
        </is>
      </c>
      <c r="C475" s="23" t="inlineStr">
        <is>
          <t>CST-02-030</t>
        </is>
      </c>
      <c r="D475" s="23" t="inlineStr">
        <is>
          <t>1.2.2 Stations - Architectural Fit-Out</t>
        </is>
      </c>
      <c r="E475" s="23" t="inlineStr">
        <is>
          <t>Carried forward</t>
        </is>
      </c>
      <c r="F475" s="23" t="inlineStr"/>
      <c r="G475" s="23" t="inlineStr">
        <is>
          <t>Source assignment -- not individually reviewed</t>
        </is>
      </c>
      <c r="H475" s="14" t="inlineStr">
        <is>
          <t>10 EVIDENCE &amp; DECISIONS</t>
        </is>
      </c>
    </row>
    <row r="476" ht="34" customHeight="1">
      <c r="A476" s="23" t="inlineStr">
        <is>
          <t>R1194-v2</t>
        </is>
      </c>
      <c r="B476" s="23" t="inlineStr">
        <is>
          <t>Cost &amp; Forecast Control Accounts</t>
        </is>
      </c>
      <c r="C476" s="23" t="inlineStr">
        <is>
          <t>CST-02-032</t>
        </is>
      </c>
      <c r="D476" s="23" t="inlineStr">
        <is>
          <t>1.2.2 Stations - Architectural Fit-Out</t>
        </is>
      </c>
      <c r="E476" s="23" t="inlineStr">
        <is>
          <t>Carried forward</t>
        </is>
      </c>
      <c r="F476" s="23" t="inlineStr"/>
      <c r="G476" s="23" t="inlineStr">
        <is>
          <t>Source assignment -- not individually reviewed</t>
        </is>
      </c>
      <c r="H476" s="14" t="inlineStr">
        <is>
          <t>10 EVIDENCE &amp; DECISIONS</t>
        </is>
      </c>
    </row>
    <row r="477" ht="34" customHeight="1">
      <c r="A477" s="23" t="inlineStr">
        <is>
          <t>R1196-v2</t>
        </is>
      </c>
      <c r="B477" s="23" t="inlineStr">
        <is>
          <t>Cost &amp; Forecast Control Accounts</t>
        </is>
      </c>
      <c r="C477" s="23" t="inlineStr">
        <is>
          <t>CST-02-034</t>
        </is>
      </c>
      <c r="D477" s="23" t="inlineStr">
        <is>
          <t>1.2.2 Stations - Architectural Fit-Out</t>
        </is>
      </c>
      <c r="E477" s="23" t="inlineStr">
        <is>
          <t>Carried forward</t>
        </is>
      </c>
      <c r="F477" s="23" t="inlineStr"/>
      <c r="G477" s="23" t="inlineStr">
        <is>
          <t>Source assignment -- not individually reviewed</t>
        </is>
      </c>
      <c r="H477" s="14" t="inlineStr">
        <is>
          <t>10 EVIDENCE &amp; DECISIONS</t>
        </is>
      </c>
    </row>
    <row r="478" ht="34" customHeight="1">
      <c r="A478" s="23" t="inlineStr">
        <is>
          <t>R1198-v2</t>
        </is>
      </c>
      <c r="B478" s="23" t="inlineStr">
        <is>
          <t>Cost &amp; Forecast Control Accounts</t>
        </is>
      </c>
      <c r="C478" s="23" t="inlineStr">
        <is>
          <t>CST-02-036</t>
        </is>
      </c>
      <c r="D478" s="23" t="inlineStr">
        <is>
          <t>1.2.2 Stations - Architectural Fit-Out</t>
        </is>
      </c>
      <c r="E478" s="23" t="inlineStr">
        <is>
          <t>Carried forward</t>
        </is>
      </c>
      <c r="F478" s="23" t="inlineStr"/>
      <c r="G478" s="23" t="inlineStr">
        <is>
          <t>Source assignment -- not individually reviewed</t>
        </is>
      </c>
      <c r="H478" s="14" t="inlineStr">
        <is>
          <t>10 EVIDENCE &amp; DECISIONS</t>
        </is>
      </c>
    </row>
    <row r="479" ht="34" customHeight="1">
      <c r="A479" s="23" t="inlineStr">
        <is>
          <t>R1200-v2</t>
        </is>
      </c>
      <c r="B479" s="23" t="inlineStr">
        <is>
          <t>Cost &amp; Forecast Control Accounts</t>
        </is>
      </c>
      <c r="C479" s="23" t="inlineStr">
        <is>
          <t>CST-02-038</t>
        </is>
      </c>
      <c r="D479" s="23" t="inlineStr">
        <is>
          <t>1.2.2 Stations - Architectural Fit-Out</t>
        </is>
      </c>
      <c r="E479" s="23" t="inlineStr">
        <is>
          <t>Carried forward</t>
        </is>
      </c>
      <c r="F479" s="23" t="inlineStr"/>
      <c r="G479" s="23" t="inlineStr">
        <is>
          <t>Source assignment -- not individually reviewed</t>
        </is>
      </c>
      <c r="H479" s="14" t="inlineStr">
        <is>
          <t>10 EVIDENCE &amp; DECISIONS</t>
        </is>
      </c>
    </row>
    <row r="480" ht="34" customHeight="1">
      <c r="A480" s="23" t="inlineStr">
        <is>
          <t>R1202-v2</t>
        </is>
      </c>
      <c r="B480" s="23" t="inlineStr">
        <is>
          <t>Cost &amp; Forecast Control Accounts</t>
        </is>
      </c>
      <c r="C480" s="23" t="inlineStr">
        <is>
          <t>CST-02-040</t>
        </is>
      </c>
      <c r="D480" s="23" t="inlineStr">
        <is>
          <t>1.2.2 Stations - Architectural Fit-Out</t>
        </is>
      </c>
      <c r="E480" s="23" t="inlineStr">
        <is>
          <t>Carried forward</t>
        </is>
      </c>
      <c r="F480" s="23" t="inlineStr"/>
      <c r="G480" s="23" t="inlineStr">
        <is>
          <t>Source assignment -- not individually reviewed</t>
        </is>
      </c>
      <c r="H480" s="14" t="inlineStr">
        <is>
          <t>10 EVIDENCE &amp; DECISIONS</t>
        </is>
      </c>
    </row>
    <row r="481" ht="34" customHeight="1">
      <c r="A481" s="23" t="inlineStr">
        <is>
          <t>R1204-v2</t>
        </is>
      </c>
      <c r="B481" s="23" t="inlineStr">
        <is>
          <t>Cost &amp; Forecast Control Accounts</t>
        </is>
      </c>
      <c r="C481" s="23" t="inlineStr">
        <is>
          <t>CST-02-042</t>
        </is>
      </c>
      <c r="D481" s="23" t="inlineStr">
        <is>
          <t>1.2.2 Stations - Architectural Fit-Out</t>
        </is>
      </c>
      <c r="E481" s="23" t="inlineStr">
        <is>
          <t>Carried forward</t>
        </is>
      </c>
      <c r="F481" s="23" t="inlineStr"/>
      <c r="G481" s="23" t="inlineStr">
        <is>
          <t>Source assignment -- not individually reviewed</t>
        </is>
      </c>
      <c r="H481" s="14" t="inlineStr">
        <is>
          <t>10 EVIDENCE &amp; DECISIONS</t>
        </is>
      </c>
    </row>
    <row r="482" ht="34" customHeight="1">
      <c r="A482" s="23" t="inlineStr">
        <is>
          <t>R1206-v2</t>
        </is>
      </c>
      <c r="B482" s="23" t="inlineStr">
        <is>
          <t>Cost &amp; Forecast Control Accounts</t>
        </is>
      </c>
      <c r="C482" s="23" t="inlineStr">
        <is>
          <t>CST-02-044</t>
        </is>
      </c>
      <c r="D482" s="23" t="inlineStr">
        <is>
          <t>1.2.2 Stations - Architectural Fit-Out</t>
        </is>
      </c>
      <c r="E482" s="23" t="inlineStr">
        <is>
          <t>Carried forward</t>
        </is>
      </c>
      <c r="F482" s="23" t="inlineStr"/>
      <c r="G482" s="23" t="inlineStr">
        <is>
          <t>Source assignment -- not individually reviewed</t>
        </is>
      </c>
      <c r="H482" s="14" t="inlineStr">
        <is>
          <t>10 EVIDENCE &amp; DECISIONS</t>
        </is>
      </c>
    </row>
    <row r="483" ht="34" customHeight="1">
      <c r="A483" s="23" t="inlineStr">
        <is>
          <t>R1208-v2</t>
        </is>
      </c>
      <c r="B483" s="23" t="inlineStr">
        <is>
          <t>Cost &amp; Forecast Control Accounts</t>
        </is>
      </c>
      <c r="C483" s="23" t="inlineStr">
        <is>
          <t>CST-02-046</t>
        </is>
      </c>
      <c r="D483" s="23" t="inlineStr">
        <is>
          <t>1.2.2 Stations - Architectural Fit-Out</t>
        </is>
      </c>
      <c r="E483" s="23" t="inlineStr">
        <is>
          <t>Carried forward</t>
        </is>
      </c>
      <c r="F483" s="23" t="inlineStr"/>
      <c r="G483" s="23" t="inlineStr">
        <is>
          <t>Source assignment -- not individually reviewed</t>
        </is>
      </c>
      <c r="H483" s="14" t="inlineStr">
        <is>
          <t>10 EVIDENCE &amp; DECISIONS</t>
        </is>
      </c>
    </row>
    <row r="484" ht="34" customHeight="1">
      <c r="A484" s="23" t="inlineStr">
        <is>
          <t>R1210-v2</t>
        </is>
      </c>
      <c r="B484" s="23" t="inlineStr">
        <is>
          <t>Cost &amp; Forecast Control Accounts</t>
        </is>
      </c>
      <c r="C484" s="23" t="inlineStr">
        <is>
          <t>CST-02-048</t>
        </is>
      </c>
      <c r="D484" s="23" t="inlineStr">
        <is>
          <t>1.2.2 Stations - Architectural Fit-Out</t>
        </is>
      </c>
      <c r="E484" s="23" t="inlineStr">
        <is>
          <t>Carried forward</t>
        </is>
      </c>
      <c r="F484" s="23" t="inlineStr"/>
      <c r="G484" s="23" t="inlineStr">
        <is>
          <t>Source assignment -- not individually reviewed</t>
        </is>
      </c>
      <c r="H484" s="14" t="inlineStr">
        <is>
          <t>10 EVIDENCE &amp; DECISIONS</t>
        </is>
      </c>
    </row>
    <row r="485" ht="34" customHeight="1">
      <c r="A485" s="23" t="inlineStr">
        <is>
          <t>R1212-v2</t>
        </is>
      </c>
      <c r="B485" s="23" t="inlineStr">
        <is>
          <t>Cost &amp; Forecast Control Accounts</t>
        </is>
      </c>
      <c r="C485" s="23" t="inlineStr">
        <is>
          <t>CST-02-050</t>
        </is>
      </c>
      <c r="D485" s="23" t="inlineStr">
        <is>
          <t>1.2.2 Stations - Architectural Fit-Out</t>
        </is>
      </c>
      <c r="E485" s="23" t="inlineStr">
        <is>
          <t>Carried forward</t>
        </is>
      </c>
      <c r="F485" s="23" t="inlineStr"/>
      <c r="G485" s="23" t="inlineStr">
        <is>
          <t>Source assignment -- not individually reviewed</t>
        </is>
      </c>
      <c r="H485" s="14" t="inlineStr">
        <is>
          <t>10 EVIDENCE &amp; DECISIONS</t>
        </is>
      </c>
    </row>
    <row r="486" ht="34" customHeight="1">
      <c r="A486" s="23" t="inlineStr">
        <is>
          <t>R1214-v2</t>
        </is>
      </c>
      <c r="B486" s="23" t="inlineStr">
        <is>
          <t>Cost &amp; Forecast Control Accounts</t>
        </is>
      </c>
      <c r="C486" s="23" t="inlineStr">
        <is>
          <t>CST-02-052</t>
        </is>
      </c>
      <c r="D486" s="23" t="inlineStr">
        <is>
          <t>1.2.2 Stations - Architectural Fit-Out</t>
        </is>
      </c>
      <c r="E486" s="23" t="inlineStr">
        <is>
          <t>Carried forward</t>
        </is>
      </c>
      <c r="F486" s="23" t="inlineStr"/>
      <c r="G486" s="23" t="inlineStr">
        <is>
          <t>Source assignment -- not individually reviewed</t>
        </is>
      </c>
      <c r="H486" s="14" t="inlineStr">
        <is>
          <t>10 EVIDENCE &amp; DECISIONS</t>
        </is>
      </c>
    </row>
    <row r="487" ht="34" customHeight="1">
      <c r="A487" s="23" t="inlineStr">
        <is>
          <t>R1216-v2</t>
        </is>
      </c>
      <c r="B487" s="23" t="inlineStr">
        <is>
          <t>Cost &amp; Forecast Control Accounts</t>
        </is>
      </c>
      <c r="C487" s="23" t="inlineStr">
        <is>
          <t>CST-02-054</t>
        </is>
      </c>
      <c r="D487" s="23" t="inlineStr">
        <is>
          <t>1.2.2 Stations - Architectural Fit-Out</t>
        </is>
      </c>
      <c r="E487" s="23" t="inlineStr">
        <is>
          <t>Carried forward</t>
        </is>
      </c>
      <c r="F487" s="23" t="inlineStr"/>
      <c r="G487" s="23" t="inlineStr">
        <is>
          <t>Source assignment -- not individually reviewed</t>
        </is>
      </c>
      <c r="H487" s="14" t="inlineStr">
        <is>
          <t>10 EVIDENCE &amp; DECISIONS</t>
        </is>
      </c>
    </row>
    <row r="488" ht="34" customHeight="1">
      <c r="A488" s="23" t="inlineStr">
        <is>
          <t>R1218-v2</t>
        </is>
      </c>
      <c r="B488" s="23" t="inlineStr">
        <is>
          <t>Cost &amp; Forecast Control Accounts</t>
        </is>
      </c>
      <c r="C488" s="23" t="inlineStr">
        <is>
          <t>CST-02-056</t>
        </is>
      </c>
      <c r="D488" s="23" t="inlineStr">
        <is>
          <t>1.2.2 Stations - Architectural Fit-Out</t>
        </is>
      </c>
      <c r="E488" s="23" t="inlineStr">
        <is>
          <t>Carried forward</t>
        </is>
      </c>
      <c r="F488" s="23" t="inlineStr"/>
      <c r="G488" s="23" t="inlineStr">
        <is>
          <t>Source assignment -- not individually reviewed</t>
        </is>
      </c>
      <c r="H488" s="14" t="inlineStr">
        <is>
          <t>10 EVIDENCE &amp; DECISIONS</t>
        </is>
      </c>
    </row>
    <row r="489" ht="34" customHeight="1">
      <c r="A489" s="23" t="inlineStr">
        <is>
          <t>R1220-v2</t>
        </is>
      </c>
      <c r="B489" s="23" t="inlineStr">
        <is>
          <t>Cost &amp; Forecast Control Accounts</t>
        </is>
      </c>
      <c r="C489" s="23" t="inlineStr">
        <is>
          <t>CST-02-058</t>
        </is>
      </c>
      <c r="D489" s="23" t="inlineStr">
        <is>
          <t>1.2.2 Stations - Architectural Fit-Out</t>
        </is>
      </c>
      <c r="E489" s="23" t="inlineStr">
        <is>
          <t>Carried forward</t>
        </is>
      </c>
      <c r="F489" s="23" t="inlineStr"/>
      <c r="G489" s="23" t="inlineStr">
        <is>
          <t>Source assignment -- not individually reviewed</t>
        </is>
      </c>
      <c r="H489" s="14" t="inlineStr">
        <is>
          <t>10 EVIDENCE &amp; DECISIONS</t>
        </is>
      </c>
    </row>
    <row r="490" ht="34" customHeight="1">
      <c r="A490" s="23" t="inlineStr">
        <is>
          <t>R1222-v2</t>
        </is>
      </c>
      <c r="B490" s="23" t="inlineStr">
        <is>
          <t>Cost &amp; Forecast Control Accounts</t>
        </is>
      </c>
      <c r="C490" s="23" t="inlineStr">
        <is>
          <t>CST-02-060</t>
        </is>
      </c>
      <c r="D490" s="23" t="inlineStr">
        <is>
          <t>1.2.2 Stations - Architectural Fit-Out</t>
        </is>
      </c>
      <c r="E490" s="23" t="inlineStr">
        <is>
          <t>Carried forward</t>
        </is>
      </c>
      <c r="F490" s="23" t="inlineStr"/>
      <c r="G490" s="23" t="inlineStr">
        <is>
          <t>Source assignment -- not individually reviewed</t>
        </is>
      </c>
      <c r="H490" s="14" t="inlineStr">
        <is>
          <t>10 EVIDENCE &amp; DECISIONS</t>
        </is>
      </c>
    </row>
    <row r="491" ht="34" customHeight="1">
      <c r="A491" s="23" t="inlineStr">
        <is>
          <t>R1224-v2</t>
        </is>
      </c>
      <c r="B491" s="23" t="inlineStr">
        <is>
          <t>Cost &amp; Forecast Control Accounts</t>
        </is>
      </c>
      <c r="C491" s="23" t="inlineStr">
        <is>
          <t>CST-02-062</t>
        </is>
      </c>
      <c r="D491" s="23" t="inlineStr">
        <is>
          <t>1.2.2 Stations - Architectural Fit-Out</t>
        </is>
      </c>
      <c r="E491" s="23" t="inlineStr">
        <is>
          <t>Carried forward</t>
        </is>
      </c>
      <c r="F491" s="23" t="inlineStr"/>
      <c r="G491" s="23" t="inlineStr">
        <is>
          <t>Source assignment -- not individually reviewed</t>
        </is>
      </c>
      <c r="H491" s="14" t="inlineStr">
        <is>
          <t>10 EVIDENCE &amp; DECISIONS</t>
        </is>
      </c>
    </row>
    <row r="492" ht="34" customHeight="1">
      <c r="A492" s="23" t="inlineStr">
        <is>
          <t>R1226-v2</t>
        </is>
      </c>
      <c r="B492" s="23" t="inlineStr">
        <is>
          <t>Cost &amp; Forecast Control Accounts</t>
        </is>
      </c>
      <c r="C492" s="23" t="inlineStr">
        <is>
          <t>CST-02-064</t>
        </is>
      </c>
      <c r="D492" s="23" t="inlineStr">
        <is>
          <t>1.2.2 Stations - Architectural Fit-Out</t>
        </is>
      </c>
      <c r="E492" s="23" t="inlineStr">
        <is>
          <t>Carried forward</t>
        </is>
      </c>
      <c r="F492" s="23" t="inlineStr"/>
      <c r="G492" s="23" t="inlineStr">
        <is>
          <t>Source assignment -- not individually reviewed</t>
        </is>
      </c>
      <c r="H492" s="14" t="inlineStr">
        <is>
          <t>10 EVIDENCE &amp; DECISIONS</t>
        </is>
      </c>
    </row>
    <row r="493" ht="34" customHeight="1">
      <c r="A493" s="23" t="inlineStr">
        <is>
          <t>R1228-v2</t>
        </is>
      </c>
      <c r="B493" s="23" t="inlineStr">
        <is>
          <t>Cost &amp; Forecast Control Accounts</t>
        </is>
      </c>
      <c r="C493" s="23" t="inlineStr">
        <is>
          <t>CST-02-066</t>
        </is>
      </c>
      <c r="D493" s="23" t="inlineStr">
        <is>
          <t>1.2.2 Stations - Architectural Fit-Out</t>
        </is>
      </c>
      <c r="E493" s="23" t="inlineStr">
        <is>
          <t>Carried forward</t>
        </is>
      </c>
      <c r="F493" s="23" t="inlineStr"/>
      <c r="G493" s="23" t="inlineStr">
        <is>
          <t>Source assignment -- not individually reviewed</t>
        </is>
      </c>
      <c r="H493" s="14" t="inlineStr">
        <is>
          <t>10 EVIDENCE &amp; DECISIONS</t>
        </is>
      </c>
    </row>
    <row r="494" ht="34" customHeight="1">
      <c r="A494" s="23" t="inlineStr">
        <is>
          <t>R1230-v2</t>
        </is>
      </c>
      <c r="B494" s="23" t="inlineStr">
        <is>
          <t>Cost &amp; Forecast Control Accounts</t>
        </is>
      </c>
      <c r="C494" s="23" t="inlineStr">
        <is>
          <t>CST-02-068</t>
        </is>
      </c>
      <c r="D494" s="23" t="inlineStr">
        <is>
          <t>1.2.2 Stations - Architectural Fit-Out</t>
        </is>
      </c>
      <c r="E494" s="23" t="inlineStr">
        <is>
          <t>Carried forward</t>
        </is>
      </c>
      <c r="F494" s="23" t="inlineStr"/>
      <c r="G494" s="23" t="inlineStr">
        <is>
          <t>Source assignment -- not individually reviewed</t>
        </is>
      </c>
      <c r="H494" s="14" t="inlineStr">
        <is>
          <t>10 EVIDENCE &amp; DECISIONS</t>
        </is>
      </c>
    </row>
    <row r="495" ht="34" customHeight="1">
      <c r="A495" s="23" t="inlineStr">
        <is>
          <t>R1232-v2</t>
        </is>
      </c>
      <c r="B495" s="23" t="inlineStr">
        <is>
          <t>Cost &amp; Forecast Control Accounts</t>
        </is>
      </c>
      <c r="C495" s="23" t="inlineStr">
        <is>
          <t>CST-02-070</t>
        </is>
      </c>
      <c r="D495" s="23" t="inlineStr">
        <is>
          <t>1.2.2 Stations - Architectural Fit-Out</t>
        </is>
      </c>
      <c r="E495" s="23" t="inlineStr">
        <is>
          <t>Carried forward</t>
        </is>
      </c>
      <c r="F495" s="23" t="inlineStr"/>
      <c r="G495" s="23" t="inlineStr">
        <is>
          <t>Source assignment -- not individually reviewed</t>
        </is>
      </c>
      <c r="H495" s="14" t="inlineStr">
        <is>
          <t>10 EVIDENCE &amp; DECISIONS</t>
        </is>
      </c>
    </row>
    <row r="496" ht="34" customHeight="1">
      <c r="A496" s="23" t="inlineStr">
        <is>
          <t>R1234-v2</t>
        </is>
      </c>
      <c r="B496" s="23" t="inlineStr">
        <is>
          <t>Cost &amp; Forecast Control Accounts</t>
        </is>
      </c>
      <c r="C496" s="23" t="inlineStr">
        <is>
          <t>CST-02-072</t>
        </is>
      </c>
      <c r="D496" s="23" t="inlineStr">
        <is>
          <t>1.2.2 Stations - Architectural Fit-Out</t>
        </is>
      </c>
      <c r="E496" s="23" t="inlineStr">
        <is>
          <t>Carried forward</t>
        </is>
      </c>
      <c r="F496" s="23" t="inlineStr"/>
      <c r="G496" s="23" t="inlineStr">
        <is>
          <t>Source assignment -- not individually reviewed</t>
        </is>
      </c>
      <c r="H496" s="14" t="inlineStr">
        <is>
          <t>10 EVIDENCE &amp; DECISIONS</t>
        </is>
      </c>
    </row>
    <row r="497" ht="34" customHeight="1">
      <c r="A497" s="23" t="inlineStr">
        <is>
          <t>R1236-v2</t>
        </is>
      </c>
      <c r="B497" s="23" t="inlineStr">
        <is>
          <t>Cost &amp; Forecast Control Accounts</t>
        </is>
      </c>
      <c r="C497" s="23" t="inlineStr">
        <is>
          <t>CST-02-074</t>
        </is>
      </c>
      <c r="D497" s="23" t="inlineStr">
        <is>
          <t>1.2.2 Stations - Architectural Fit-Out</t>
        </is>
      </c>
      <c r="E497" s="23" t="inlineStr">
        <is>
          <t>Carried forward</t>
        </is>
      </c>
      <c r="F497" s="23" t="inlineStr"/>
      <c r="G497" s="23" t="inlineStr">
        <is>
          <t>Source assignment -- not individually reviewed</t>
        </is>
      </c>
      <c r="H497" s="14" t="inlineStr">
        <is>
          <t>10 EVIDENCE &amp; DECISIONS</t>
        </is>
      </c>
    </row>
    <row r="498" ht="34" customHeight="1">
      <c r="A498" s="23" t="inlineStr">
        <is>
          <t>R1238-v2</t>
        </is>
      </c>
      <c r="B498" s="23" t="inlineStr">
        <is>
          <t>Cost &amp; Forecast Control Accounts</t>
        </is>
      </c>
      <c r="C498" s="23" t="inlineStr">
        <is>
          <t>CST-02-076</t>
        </is>
      </c>
      <c r="D498" s="23" t="inlineStr">
        <is>
          <t>1.2.2 Stations - Architectural Fit-Out</t>
        </is>
      </c>
      <c r="E498" s="23" t="inlineStr">
        <is>
          <t>Carried forward</t>
        </is>
      </c>
      <c r="F498" s="23" t="inlineStr"/>
      <c r="G498" s="23" t="inlineStr">
        <is>
          <t>Source assignment -- not individually reviewed</t>
        </is>
      </c>
      <c r="H498" s="14" t="inlineStr">
        <is>
          <t>10 EVIDENCE &amp; DECISIONS</t>
        </is>
      </c>
    </row>
    <row r="499" ht="34" customHeight="1">
      <c r="A499" s="23" t="inlineStr">
        <is>
          <t>R1240-v2</t>
        </is>
      </c>
      <c r="B499" s="23" t="inlineStr">
        <is>
          <t>Cost &amp; Forecast Control Accounts</t>
        </is>
      </c>
      <c r="C499" s="23" t="inlineStr">
        <is>
          <t>CST-02-078</t>
        </is>
      </c>
      <c r="D499" s="23" t="inlineStr">
        <is>
          <t>1.2.2 Stations - Architectural Fit-Out</t>
        </is>
      </c>
      <c r="E499" s="23" t="inlineStr">
        <is>
          <t>Carried forward</t>
        </is>
      </c>
      <c r="F499" s="23" t="inlineStr"/>
      <c r="G499" s="23" t="inlineStr">
        <is>
          <t>Source assignment -- not individually reviewed</t>
        </is>
      </c>
      <c r="H499" s="14" t="inlineStr">
        <is>
          <t>10 EVIDENCE &amp; DECISIONS</t>
        </is>
      </c>
    </row>
    <row r="500" ht="34" customHeight="1">
      <c r="A500" s="23" t="inlineStr">
        <is>
          <t>R1242-v2</t>
        </is>
      </c>
      <c r="B500" s="23" t="inlineStr">
        <is>
          <t>Cost &amp; Forecast Control Accounts</t>
        </is>
      </c>
      <c r="C500" s="23" t="inlineStr">
        <is>
          <t>CST-02-080</t>
        </is>
      </c>
      <c r="D500" s="23" t="inlineStr">
        <is>
          <t>1.2.2 Stations - Architectural Fit-Out</t>
        </is>
      </c>
      <c r="E500" s="23" t="inlineStr">
        <is>
          <t>Carried forward</t>
        </is>
      </c>
      <c r="F500" s="23" t="inlineStr"/>
      <c r="G500" s="23" t="inlineStr">
        <is>
          <t>Source assignment -- not individually reviewed</t>
        </is>
      </c>
      <c r="H500" s="14" t="inlineStr">
        <is>
          <t>10 EVIDENCE &amp; DECISIONS</t>
        </is>
      </c>
    </row>
    <row r="501" ht="34" customHeight="1">
      <c r="A501" s="23" t="inlineStr">
        <is>
          <t>R186-v2</t>
        </is>
      </c>
      <c r="B501" s="23" t="inlineStr">
        <is>
          <t>Contractor Programme</t>
        </is>
      </c>
      <c r="C501" s="23" t="inlineStr">
        <is>
          <t>SCH-02-006</t>
        </is>
      </c>
      <c r="D501" s="23" t="inlineStr">
        <is>
          <t>1.2.2 Stations - Architectural Fit-Out</t>
        </is>
      </c>
      <c r="E501" s="23" t="inlineStr">
        <is>
          <t>Carried forward</t>
        </is>
      </c>
      <c r="F501" s="23" t="inlineStr"/>
      <c r="G501" s="23" t="inlineStr">
        <is>
          <t>Source assignment -- not individually reviewed</t>
        </is>
      </c>
      <c r="H501" s="14" t="inlineStr">
        <is>
          <t>10 EVIDENCE &amp; DECISIONS</t>
        </is>
      </c>
    </row>
    <row r="502" ht="34" customHeight="1">
      <c r="A502" s="23" t="inlineStr">
        <is>
          <t>R189-v2</t>
        </is>
      </c>
      <c r="B502" s="23" t="inlineStr">
        <is>
          <t>Contractor Programme</t>
        </is>
      </c>
      <c r="C502" s="23" t="inlineStr">
        <is>
          <t>SCH-02-009</t>
        </is>
      </c>
      <c r="D502" s="23" t="inlineStr">
        <is>
          <t>1.2.2 Stations - Architectural Fit-Out</t>
        </is>
      </c>
      <c r="E502" s="23" t="inlineStr">
        <is>
          <t>Carried forward</t>
        </is>
      </c>
      <c r="F502" s="23" t="inlineStr"/>
      <c r="G502" s="23" t="inlineStr">
        <is>
          <t>Source assignment -- not individually reviewed</t>
        </is>
      </c>
      <c r="H502" s="14" t="inlineStr">
        <is>
          <t>10 EVIDENCE &amp; DECISIONS</t>
        </is>
      </c>
    </row>
    <row r="503" ht="34" customHeight="1">
      <c r="A503" s="23" t="inlineStr">
        <is>
          <t>R192-v2</t>
        </is>
      </c>
      <c r="B503" s="23" t="inlineStr">
        <is>
          <t>Contractor Programme</t>
        </is>
      </c>
      <c r="C503" s="23" t="inlineStr">
        <is>
          <t>SCH-02-012</t>
        </is>
      </c>
      <c r="D503" s="23" t="inlineStr">
        <is>
          <t>1.2.2 Stations - Architectural Fit-Out</t>
        </is>
      </c>
      <c r="E503" s="23" t="inlineStr">
        <is>
          <t>Carried forward</t>
        </is>
      </c>
      <c r="F503" s="23" t="inlineStr"/>
      <c r="G503" s="23" t="inlineStr">
        <is>
          <t>Source assignment -- not individually reviewed</t>
        </is>
      </c>
      <c r="H503" s="14" t="inlineStr">
        <is>
          <t>10 EVIDENCE &amp; DECISIONS</t>
        </is>
      </c>
    </row>
    <row r="504" ht="34" customHeight="1">
      <c r="A504" s="23" t="inlineStr">
        <is>
          <t>R195-v2</t>
        </is>
      </c>
      <c r="B504" s="23" t="inlineStr">
        <is>
          <t>Contractor Programme</t>
        </is>
      </c>
      <c r="C504" s="23" t="inlineStr">
        <is>
          <t>SCH-02-015</t>
        </is>
      </c>
      <c r="D504" s="23" t="inlineStr">
        <is>
          <t>1.2.2 Stations - Architectural Fit-Out</t>
        </is>
      </c>
      <c r="E504" s="23" t="inlineStr">
        <is>
          <t>Carried forward</t>
        </is>
      </c>
      <c r="F504" s="23" t="inlineStr"/>
      <c r="G504" s="23" t="inlineStr">
        <is>
          <t>Source assignment -- not individually reviewed</t>
        </is>
      </c>
      <c r="H504" s="14" t="inlineStr">
        <is>
          <t>10 EVIDENCE &amp; DECISIONS</t>
        </is>
      </c>
    </row>
    <row r="505" ht="34" customHeight="1">
      <c r="A505" s="23" t="inlineStr">
        <is>
          <t>R198-v2</t>
        </is>
      </c>
      <c r="B505" s="23" t="inlineStr">
        <is>
          <t>Contractor Programme</t>
        </is>
      </c>
      <c r="C505" s="23" t="inlineStr">
        <is>
          <t>SCH-02-018</t>
        </is>
      </c>
      <c r="D505" s="23" t="inlineStr">
        <is>
          <t>1.2.2 Stations - Architectural Fit-Out</t>
        </is>
      </c>
      <c r="E505" s="23" t="inlineStr">
        <is>
          <t>Carried forward</t>
        </is>
      </c>
      <c r="F505" s="23" t="inlineStr"/>
      <c r="G505" s="23" t="inlineStr">
        <is>
          <t>Source assignment -- not individually reviewed</t>
        </is>
      </c>
      <c r="H505" s="14" t="inlineStr">
        <is>
          <t>10 EVIDENCE &amp; DECISIONS</t>
        </is>
      </c>
    </row>
    <row r="506" ht="34" customHeight="1">
      <c r="A506" s="23" t="inlineStr">
        <is>
          <t>R201-v2</t>
        </is>
      </c>
      <c r="B506" s="23" t="inlineStr">
        <is>
          <t>Contractor Programme</t>
        </is>
      </c>
      <c r="C506" s="23" t="inlineStr">
        <is>
          <t>SCH-02-021</t>
        </is>
      </c>
      <c r="D506" s="23" t="inlineStr">
        <is>
          <t>1.2.2 Stations - Architectural Fit-Out</t>
        </is>
      </c>
      <c r="E506" s="23" t="inlineStr">
        <is>
          <t>Carried forward</t>
        </is>
      </c>
      <c r="F506" s="23" t="inlineStr"/>
      <c r="G506" s="23" t="inlineStr">
        <is>
          <t>Source assignment -- not individually reviewed</t>
        </is>
      </c>
      <c r="H506" s="14" t="inlineStr">
        <is>
          <t>10 EVIDENCE &amp; DECISIONS</t>
        </is>
      </c>
    </row>
    <row r="507" ht="34" customHeight="1">
      <c r="A507" s="23" t="inlineStr">
        <is>
          <t>R204-v2</t>
        </is>
      </c>
      <c r="B507" s="23" t="inlineStr">
        <is>
          <t>Contractor Programme</t>
        </is>
      </c>
      <c r="C507" s="23" t="inlineStr">
        <is>
          <t>SCH-02-024</t>
        </is>
      </c>
      <c r="D507" s="23" t="inlineStr">
        <is>
          <t>1.2.2 Stations - Architectural Fit-Out</t>
        </is>
      </c>
      <c r="E507" s="23" t="inlineStr">
        <is>
          <t>Carried forward</t>
        </is>
      </c>
      <c r="F507" s="23" t="inlineStr"/>
      <c r="G507" s="23" t="inlineStr">
        <is>
          <t>Source assignment -- not individually reviewed</t>
        </is>
      </c>
      <c r="H507" s="14" t="inlineStr">
        <is>
          <t>10 EVIDENCE &amp; DECISIONS</t>
        </is>
      </c>
    </row>
    <row r="508" ht="34" customHeight="1">
      <c r="A508" s="23" t="inlineStr">
        <is>
          <t>R207-v2</t>
        </is>
      </c>
      <c r="B508" s="23" t="inlineStr">
        <is>
          <t>Contractor Programme</t>
        </is>
      </c>
      <c r="C508" s="23" t="inlineStr">
        <is>
          <t>SCH-02-027</t>
        </is>
      </c>
      <c r="D508" s="23" t="inlineStr">
        <is>
          <t>1.2.2 Stations - Architectural Fit-Out</t>
        </is>
      </c>
      <c r="E508" s="23" t="inlineStr">
        <is>
          <t>Carried forward</t>
        </is>
      </c>
      <c r="F508" s="23" t="inlineStr"/>
      <c r="G508" s="23" t="inlineStr">
        <is>
          <t>Source assignment -- not individually reviewed</t>
        </is>
      </c>
      <c r="H508" s="14" t="inlineStr">
        <is>
          <t>10 EVIDENCE &amp; DECISIONS</t>
        </is>
      </c>
    </row>
    <row r="509" ht="34" customHeight="1">
      <c r="A509" s="23" t="inlineStr">
        <is>
          <t>R210-v2</t>
        </is>
      </c>
      <c r="B509" s="23" t="inlineStr">
        <is>
          <t>Contractor Programme</t>
        </is>
      </c>
      <c r="C509" s="23" t="inlineStr">
        <is>
          <t>SCH-02-030</t>
        </is>
      </c>
      <c r="D509" s="23" t="inlineStr">
        <is>
          <t>1.2.2 Stations - Architectural Fit-Out</t>
        </is>
      </c>
      <c r="E509" s="23" t="inlineStr">
        <is>
          <t>Carried forward</t>
        </is>
      </c>
      <c r="F509" s="23" t="inlineStr"/>
      <c r="G509" s="23" t="inlineStr">
        <is>
          <t>Source assignment -- not individually reviewed</t>
        </is>
      </c>
      <c r="H509" s="14" t="inlineStr">
        <is>
          <t>10 EVIDENCE &amp; DECISIONS</t>
        </is>
      </c>
    </row>
    <row r="510" ht="34" customHeight="1">
      <c r="A510" s="23" t="inlineStr">
        <is>
          <t>R213-v2</t>
        </is>
      </c>
      <c r="B510" s="23" t="inlineStr">
        <is>
          <t>Contractor Programme</t>
        </is>
      </c>
      <c r="C510" s="23" t="inlineStr">
        <is>
          <t>SCH-02-033</t>
        </is>
      </c>
      <c r="D510" s="23" t="inlineStr">
        <is>
          <t>1.2.2 Stations - Architectural Fit-Out</t>
        </is>
      </c>
      <c r="E510" s="23" t="inlineStr">
        <is>
          <t>Carried forward</t>
        </is>
      </c>
      <c r="F510" s="23" t="inlineStr"/>
      <c r="G510" s="23" t="inlineStr">
        <is>
          <t>Source assignment -- not individually reviewed</t>
        </is>
      </c>
      <c r="H510" s="14" t="inlineStr">
        <is>
          <t>10 EVIDENCE &amp; DECISIONS</t>
        </is>
      </c>
    </row>
    <row r="511" ht="34" customHeight="1">
      <c r="A511" s="23" t="inlineStr">
        <is>
          <t>R216-v2</t>
        </is>
      </c>
      <c r="B511" s="23" t="inlineStr">
        <is>
          <t>Contractor Programme</t>
        </is>
      </c>
      <c r="C511" s="23" t="inlineStr">
        <is>
          <t>SCH-02-036</t>
        </is>
      </c>
      <c r="D511" s="23" t="inlineStr">
        <is>
          <t>1.2.2 Stations - Architectural Fit-Out</t>
        </is>
      </c>
      <c r="E511" s="23" t="inlineStr">
        <is>
          <t>Carried forward</t>
        </is>
      </c>
      <c r="F511" s="23" t="inlineStr"/>
      <c r="G511" s="23" t="inlineStr">
        <is>
          <t>Source assignment -- not individually reviewed</t>
        </is>
      </c>
      <c r="H511" s="14" t="inlineStr">
        <is>
          <t>10 EVIDENCE &amp; DECISIONS</t>
        </is>
      </c>
    </row>
    <row r="512" ht="34" customHeight="1">
      <c r="A512" s="23" t="inlineStr">
        <is>
          <t>R219-v2</t>
        </is>
      </c>
      <c r="B512" s="23" t="inlineStr">
        <is>
          <t>Contractor Programme</t>
        </is>
      </c>
      <c r="C512" s="23" t="inlineStr">
        <is>
          <t>SCH-02-039</t>
        </is>
      </c>
      <c r="D512" s="23" t="inlineStr">
        <is>
          <t>1.2.2 Stations - Architectural Fit-Out</t>
        </is>
      </c>
      <c r="E512" s="23" t="inlineStr">
        <is>
          <t>Carried forward</t>
        </is>
      </c>
      <c r="F512" s="23" t="inlineStr"/>
      <c r="G512" s="23" t="inlineStr">
        <is>
          <t>Source assignment -- not individually reviewed</t>
        </is>
      </c>
      <c r="H512" s="14" t="inlineStr">
        <is>
          <t>10 EVIDENCE &amp; DECISIONS</t>
        </is>
      </c>
    </row>
    <row r="513" ht="34" customHeight="1">
      <c r="A513" s="23" t="inlineStr">
        <is>
          <t>R222-v2</t>
        </is>
      </c>
      <c r="B513" s="23" t="inlineStr">
        <is>
          <t>Contractor Programme</t>
        </is>
      </c>
      <c r="C513" s="23" t="inlineStr">
        <is>
          <t>SCH-02-042</t>
        </is>
      </c>
      <c r="D513" s="23" t="inlineStr">
        <is>
          <t>1.2.2 Stations - Architectural Fit-Out</t>
        </is>
      </c>
      <c r="E513" s="23" t="inlineStr">
        <is>
          <t>Carried forward</t>
        </is>
      </c>
      <c r="F513" s="23" t="inlineStr"/>
      <c r="G513" s="23" t="inlineStr">
        <is>
          <t>Source assignment -- not individually reviewed</t>
        </is>
      </c>
      <c r="H513" s="14" t="inlineStr">
        <is>
          <t>10 EVIDENCE &amp; DECISIONS</t>
        </is>
      </c>
    </row>
    <row r="514" ht="34" customHeight="1">
      <c r="A514" s="23" t="inlineStr">
        <is>
          <t>R225-v2</t>
        </is>
      </c>
      <c r="B514" s="23" t="inlineStr">
        <is>
          <t>Contractor Programme</t>
        </is>
      </c>
      <c r="C514" s="23" t="inlineStr">
        <is>
          <t>SCH-02-045</t>
        </is>
      </c>
      <c r="D514" s="23" t="inlineStr">
        <is>
          <t>1.2.2 Stations - Architectural Fit-Out</t>
        </is>
      </c>
      <c r="E514" s="23" t="inlineStr">
        <is>
          <t>Carried forward</t>
        </is>
      </c>
      <c r="F514" s="23" t="inlineStr"/>
      <c r="G514" s="23" t="inlineStr">
        <is>
          <t>Source assignment -- not individually reviewed</t>
        </is>
      </c>
      <c r="H514" s="14" t="inlineStr">
        <is>
          <t>10 EVIDENCE &amp; DECISIONS</t>
        </is>
      </c>
    </row>
    <row r="515" ht="34" customHeight="1">
      <c r="A515" s="23" t="inlineStr">
        <is>
          <t>R228-v2</t>
        </is>
      </c>
      <c r="B515" s="23" t="inlineStr">
        <is>
          <t>Contractor Programme</t>
        </is>
      </c>
      <c r="C515" s="23" t="inlineStr">
        <is>
          <t>SCH-02-048</t>
        </is>
      </c>
      <c r="D515" s="23" t="inlineStr">
        <is>
          <t>1.2.2 Stations - Architectural Fit-Out</t>
        </is>
      </c>
      <c r="E515" s="23" t="inlineStr">
        <is>
          <t>Carried forward</t>
        </is>
      </c>
      <c r="F515" s="23" t="inlineStr"/>
      <c r="G515" s="23" t="inlineStr">
        <is>
          <t>Source assignment -- not individually reviewed</t>
        </is>
      </c>
      <c r="H515" s="14" t="inlineStr">
        <is>
          <t>10 EVIDENCE &amp; DECISIONS</t>
        </is>
      </c>
    </row>
    <row r="516" ht="34" customHeight="1">
      <c r="A516" s="23" t="inlineStr">
        <is>
          <t>R231-v2</t>
        </is>
      </c>
      <c r="B516" s="23" t="inlineStr">
        <is>
          <t>Contractor Programme</t>
        </is>
      </c>
      <c r="C516" s="23" t="inlineStr">
        <is>
          <t>SCH-02-051</t>
        </is>
      </c>
      <c r="D516" s="23" t="inlineStr">
        <is>
          <t>1.2.2 Stations - Architectural Fit-Out</t>
        </is>
      </c>
      <c r="E516" s="23" t="inlineStr">
        <is>
          <t>Carried forward</t>
        </is>
      </c>
      <c r="F516" s="23" t="inlineStr"/>
      <c r="G516" s="23" t="inlineStr">
        <is>
          <t>Source assignment -- not individually reviewed</t>
        </is>
      </c>
      <c r="H516" s="14" t="inlineStr">
        <is>
          <t>10 EVIDENCE &amp; DECISIONS</t>
        </is>
      </c>
    </row>
    <row r="517" ht="34" customHeight="1">
      <c r="A517" s="23" t="inlineStr">
        <is>
          <t>R234-v2</t>
        </is>
      </c>
      <c r="B517" s="23" t="inlineStr">
        <is>
          <t>Contractor Programme</t>
        </is>
      </c>
      <c r="C517" s="23" t="inlineStr">
        <is>
          <t>SCH-02-054</t>
        </is>
      </c>
      <c r="D517" s="23" t="inlineStr">
        <is>
          <t>1.2.2 Stations - Architectural Fit-Out</t>
        </is>
      </c>
      <c r="E517" s="23" t="inlineStr">
        <is>
          <t>Carried forward</t>
        </is>
      </c>
      <c r="F517" s="23" t="inlineStr"/>
      <c r="G517" s="23" t="inlineStr">
        <is>
          <t>Source assignment -- not individually reviewed</t>
        </is>
      </c>
      <c r="H517" s="14" t="inlineStr">
        <is>
          <t>10 EVIDENCE &amp; DECISIONS</t>
        </is>
      </c>
    </row>
    <row r="518" ht="34" customHeight="1">
      <c r="A518" s="23" t="inlineStr">
        <is>
          <t>R237-v2</t>
        </is>
      </c>
      <c r="B518" s="23" t="inlineStr">
        <is>
          <t>Contractor Programme</t>
        </is>
      </c>
      <c r="C518" s="23" t="inlineStr">
        <is>
          <t>SCH-02-057</t>
        </is>
      </c>
      <c r="D518" s="23" t="inlineStr">
        <is>
          <t>1.2.2 Stations - Architectural Fit-Out</t>
        </is>
      </c>
      <c r="E518" s="23" t="inlineStr">
        <is>
          <t>Carried forward</t>
        </is>
      </c>
      <c r="F518" s="23" t="inlineStr"/>
      <c r="G518" s="23" t="inlineStr">
        <is>
          <t>Source assignment -- not individually reviewed</t>
        </is>
      </c>
      <c r="H518" s="14" t="inlineStr">
        <is>
          <t>10 EVIDENCE &amp; DECISIONS</t>
        </is>
      </c>
    </row>
    <row r="519" ht="34" customHeight="1">
      <c r="A519" s="23" t="inlineStr">
        <is>
          <t>R240-v2</t>
        </is>
      </c>
      <c r="B519" s="23" t="inlineStr">
        <is>
          <t>Contractor Programme</t>
        </is>
      </c>
      <c r="C519" s="23" t="inlineStr">
        <is>
          <t>SCH-02-060</t>
        </is>
      </c>
      <c r="D519" s="23" t="inlineStr">
        <is>
          <t>1.2.2 Stations - Architectural Fit-Out</t>
        </is>
      </c>
      <c r="E519" s="23" t="inlineStr">
        <is>
          <t>Carried forward</t>
        </is>
      </c>
      <c r="F519" s="23" t="inlineStr"/>
      <c r="G519" s="23" t="inlineStr">
        <is>
          <t>Source assignment -- not individually reviewed</t>
        </is>
      </c>
      <c r="H519" s="14" t="inlineStr">
        <is>
          <t>10 EVIDENCE &amp; DECISIONS</t>
        </is>
      </c>
    </row>
    <row r="520" ht="34" customHeight="1">
      <c r="A520" s="23" t="inlineStr">
        <is>
          <t>R243-v2</t>
        </is>
      </c>
      <c r="B520" s="23" t="inlineStr">
        <is>
          <t>Contractor Programme</t>
        </is>
      </c>
      <c r="C520" s="23" t="inlineStr">
        <is>
          <t>SCH-02-063</t>
        </is>
      </c>
      <c r="D520" s="23" t="inlineStr">
        <is>
          <t>1.2.2 Stations - Architectural Fit-Out</t>
        </is>
      </c>
      <c r="E520" s="23" t="inlineStr">
        <is>
          <t>Carried forward</t>
        </is>
      </c>
      <c r="F520" s="23" t="inlineStr"/>
      <c r="G520" s="23" t="inlineStr">
        <is>
          <t>Source assignment -- not individually reviewed</t>
        </is>
      </c>
      <c r="H520" s="14" t="inlineStr">
        <is>
          <t>10 EVIDENCE &amp; DECISIONS</t>
        </is>
      </c>
    </row>
    <row r="521" ht="34" customHeight="1">
      <c r="A521" s="23" t="inlineStr">
        <is>
          <t>R246-v2</t>
        </is>
      </c>
      <c r="B521" s="23" t="inlineStr">
        <is>
          <t>Contractor Programme</t>
        </is>
      </c>
      <c r="C521" s="23" t="inlineStr">
        <is>
          <t>SCH-02-066</t>
        </is>
      </c>
      <c r="D521" s="23" t="inlineStr">
        <is>
          <t>1.2.2 Stations - Architectural Fit-Out</t>
        </is>
      </c>
      <c r="E521" s="23" t="inlineStr">
        <is>
          <t>Carried forward</t>
        </is>
      </c>
      <c r="F521" s="23" t="inlineStr"/>
      <c r="G521" s="23" t="inlineStr">
        <is>
          <t>Source assignment -- not individually reviewed</t>
        </is>
      </c>
      <c r="H521" s="14" t="inlineStr">
        <is>
          <t>10 EVIDENCE &amp; DECISIONS</t>
        </is>
      </c>
    </row>
    <row r="522" ht="34" customHeight="1">
      <c r="A522" s="23" t="inlineStr">
        <is>
          <t>R249-v2</t>
        </is>
      </c>
      <c r="B522" s="23" t="inlineStr">
        <is>
          <t>Contractor Programme</t>
        </is>
      </c>
      <c r="C522" s="23" t="inlineStr">
        <is>
          <t>SCH-02-069</t>
        </is>
      </c>
      <c r="D522" s="23" t="inlineStr">
        <is>
          <t>1.2.2 Stations - Architectural Fit-Out</t>
        </is>
      </c>
      <c r="E522" s="23" t="inlineStr">
        <is>
          <t>Carried forward</t>
        </is>
      </c>
      <c r="F522" s="23" t="inlineStr"/>
      <c r="G522" s="23" t="inlineStr">
        <is>
          <t>Source assignment -- not individually reviewed</t>
        </is>
      </c>
      <c r="H522" s="14" t="inlineStr">
        <is>
          <t>10 EVIDENCE &amp; DECISIONS</t>
        </is>
      </c>
    </row>
    <row r="523" ht="34" customHeight="1">
      <c r="A523" s="23" t="inlineStr">
        <is>
          <t>R252-v2</t>
        </is>
      </c>
      <c r="B523" s="23" t="inlineStr">
        <is>
          <t>Contractor Programme</t>
        </is>
      </c>
      <c r="C523" s="23" t="inlineStr">
        <is>
          <t>SCH-02-072</t>
        </is>
      </c>
      <c r="D523" s="23" t="inlineStr">
        <is>
          <t>1.2.2 Stations - Architectural Fit-Out</t>
        </is>
      </c>
      <c r="E523" s="23" t="inlineStr">
        <is>
          <t>Carried forward</t>
        </is>
      </c>
      <c r="F523" s="23" t="inlineStr"/>
      <c r="G523" s="23" t="inlineStr">
        <is>
          <t>Source assignment -- not individually reviewed</t>
        </is>
      </c>
      <c r="H523" s="14" t="inlineStr">
        <is>
          <t>10 EVIDENCE &amp; DECISIONS</t>
        </is>
      </c>
    </row>
    <row r="524" ht="34" customHeight="1">
      <c r="A524" s="23" t="inlineStr">
        <is>
          <t>R255-v2</t>
        </is>
      </c>
      <c r="B524" s="23" t="inlineStr">
        <is>
          <t>Contractor Programme</t>
        </is>
      </c>
      <c r="C524" s="23" t="inlineStr">
        <is>
          <t>SCH-02-075</t>
        </is>
      </c>
      <c r="D524" s="23" t="inlineStr">
        <is>
          <t>1.2.2 Stations - Architectural Fit-Out</t>
        </is>
      </c>
      <c r="E524" s="23" t="inlineStr">
        <is>
          <t>Carried forward</t>
        </is>
      </c>
      <c r="F524" s="23" t="inlineStr"/>
      <c r="G524" s="23" t="inlineStr">
        <is>
          <t>Source assignment -- not individually reviewed</t>
        </is>
      </c>
      <c r="H524" s="14" t="inlineStr">
        <is>
          <t>10 EVIDENCE &amp; DECISIONS</t>
        </is>
      </c>
    </row>
    <row r="525" ht="34" customHeight="1">
      <c r="A525" s="23" t="inlineStr">
        <is>
          <t>R258-v2</t>
        </is>
      </c>
      <c r="B525" s="23" t="inlineStr">
        <is>
          <t>Contractor Programme</t>
        </is>
      </c>
      <c r="C525" s="23" t="inlineStr">
        <is>
          <t>SCH-02-078</t>
        </is>
      </c>
      <c r="D525" s="23" t="inlineStr">
        <is>
          <t>1.2.2 Stations - Architectural Fit-Out</t>
        </is>
      </c>
      <c r="E525" s="23" t="inlineStr">
        <is>
          <t>Carried forward</t>
        </is>
      </c>
      <c r="F525" s="23" t="inlineStr"/>
      <c r="G525" s="23" t="inlineStr">
        <is>
          <t>Source assignment -- not individually reviewed</t>
        </is>
      </c>
      <c r="H525" s="14" t="inlineStr">
        <is>
          <t>10 EVIDENCE &amp; DECISIONS</t>
        </is>
      </c>
    </row>
    <row r="526" ht="34" customHeight="1">
      <c r="A526" s="23" t="inlineStr">
        <is>
          <t>R261-v2</t>
        </is>
      </c>
      <c r="B526" s="23" t="inlineStr">
        <is>
          <t>Contractor Programme</t>
        </is>
      </c>
      <c r="C526" s="23" t="inlineStr">
        <is>
          <t>SCH-02-081</t>
        </is>
      </c>
      <c r="D526" s="23" t="inlineStr">
        <is>
          <t>1.2.2 Stations - Architectural Fit-Out</t>
        </is>
      </c>
      <c r="E526" s="23" t="inlineStr">
        <is>
          <t>Carried forward</t>
        </is>
      </c>
      <c r="F526" s="23" t="inlineStr"/>
      <c r="G526" s="23" t="inlineStr">
        <is>
          <t>Source assignment -- not individually reviewed</t>
        </is>
      </c>
      <c r="H526" s="14" t="inlineStr">
        <is>
          <t>10 EVIDENCE &amp; DECISIONS</t>
        </is>
      </c>
    </row>
    <row r="527" ht="34" customHeight="1">
      <c r="A527" s="23" t="inlineStr">
        <is>
          <t>R264-v2</t>
        </is>
      </c>
      <c r="B527" s="23" t="inlineStr">
        <is>
          <t>Contractor Programme</t>
        </is>
      </c>
      <c r="C527" s="23" t="inlineStr">
        <is>
          <t>SCH-02-084</t>
        </is>
      </c>
      <c r="D527" s="23" t="inlineStr">
        <is>
          <t>1.2.2 Stations - Architectural Fit-Out</t>
        </is>
      </c>
      <c r="E527" s="23" t="inlineStr">
        <is>
          <t>Carried forward</t>
        </is>
      </c>
      <c r="F527" s="23" t="inlineStr"/>
      <c r="G527" s="23" t="inlineStr">
        <is>
          <t>Source assignment -- not individually reviewed</t>
        </is>
      </c>
      <c r="H527" s="14" t="inlineStr">
        <is>
          <t>10 EVIDENCE &amp; DECISIONS</t>
        </is>
      </c>
    </row>
    <row r="528" ht="34" customHeight="1">
      <c r="A528" s="23" t="inlineStr">
        <is>
          <t>R267-v2</t>
        </is>
      </c>
      <c r="B528" s="23" t="inlineStr">
        <is>
          <t>Contractor Programme</t>
        </is>
      </c>
      <c r="C528" s="23" t="inlineStr">
        <is>
          <t>SCH-02-087</t>
        </is>
      </c>
      <c r="D528" s="23" t="inlineStr">
        <is>
          <t>1.2.2 Stations - Architectural Fit-Out</t>
        </is>
      </c>
      <c r="E528" s="23" t="inlineStr">
        <is>
          <t>Carried forward</t>
        </is>
      </c>
      <c r="F528" s="23" t="inlineStr"/>
      <c r="G528" s="23" t="inlineStr">
        <is>
          <t>Source assignment -- not individually reviewed</t>
        </is>
      </c>
      <c r="H528" s="14" t="inlineStr">
        <is>
          <t>10 EVIDENCE &amp; DECISIONS</t>
        </is>
      </c>
    </row>
    <row r="529" ht="34" customHeight="1">
      <c r="A529" s="23" t="inlineStr">
        <is>
          <t>R270-v2</t>
        </is>
      </c>
      <c r="B529" s="23" t="inlineStr">
        <is>
          <t>Contractor Programme</t>
        </is>
      </c>
      <c r="C529" s="23" t="inlineStr">
        <is>
          <t>SCH-02-090</t>
        </is>
      </c>
      <c r="D529" s="23" t="inlineStr">
        <is>
          <t>1.2.2 Stations - Architectural Fit-Out</t>
        </is>
      </c>
      <c r="E529" s="23" t="inlineStr">
        <is>
          <t>Carried forward</t>
        </is>
      </c>
      <c r="F529" s="23" t="inlineStr"/>
      <c r="G529" s="23" t="inlineStr">
        <is>
          <t>Source assignment -- not individually reviewed</t>
        </is>
      </c>
      <c r="H529" s="14" t="inlineStr">
        <is>
          <t>10 EVIDENCE &amp; DECISIONS</t>
        </is>
      </c>
    </row>
    <row r="530" ht="34" customHeight="1">
      <c r="A530" s="23" t="inlineStr">
        <is>
          <t>R273-v2</t>
        </is>
      </c>
      <c r="B530" s="23" t="inlineStr">
        <is>
          <t>Contractor Programme</t>
        </is>
      </c>
      <c r="C530" s="23" t="inlineStr">
        <is>
          <t>SCH-02-093</t>
        </is>
      </c>
      <c r="D530" s="23" t="inlineStr">
        <is>
          <t>1.2.2 Stations - Architectural Fit-Out</t>
        </is>
      </c>
      <c r="E530" s="23" t="inlineStr">
        <is>
          <t>Carried forward</t>
        </is>
      </c>
      <c r="F530" s="23" t="inlineStr"/>
      <c r="G530" s="23" t="inlineStr">
        <is>
          <t>Source assignment -- not individually reviewed</t>
        </is>
      </c>
      <c r="H530" s="14" t="inlineStr">
        <is>
          <t>10 EVIDENCE &amp; DECISIONS</t>
        </is>
      </c>
    </row>
    <row r="531" ht="34" customHeight="1">
      <c r="A531" s="23" t="inlineStr">
        <is>
          <t>R276-v2</t>
        </is>
      </c>
      <c r="B531" s="23" t="inlineStr">
        <is>
          <t>Contractor Programme</t>
        </is>
      </c>
      <c r="C531" s="23" t="inlineStr">
        <is>
          <t>SCH-02-096</t>
        </is>
      </c>
      <c r="D531" s="23" t="inlineStr">
        <is>
          <t>1.2.2 Stations - Architectural Fit-Out</t>
        </is>
      </c>
      <c r="E531" s="23" t="inlineStr">
        <is>
          <t>Carried forward</t>
        </is>
      </c>
      <c r="F531" s="23" t="inlineStr"/>
      <c r="G531" s="23" t="inlineStr">
        <is>
          <t>Source assignment -- not individually reviewed</t>
        </is>
      </c>
      <c r="H531" s="14" t="inlineStr">
        <is>
          <t>10 EVIDENCE &amp; DECISIONS</t>
        </is>
      </c>
    </row>
    <row r="532" ht="34" customHeight="1">
      <c r="A532" s="23" t="inlineStr">
        <is>
          <t>R279-v2</t>
        </is>
      </c>
      <c r="B532" s="23" t="inlineStr">
        <is>
          <t>Contractor Programme</t>
        </is>
      </c>
      <c r="C532" s="23" t="inlineStr">
        <is>
          <t>SCH-02-099</t>
        </is>
      </c>
      <c r="D532" s="23" t="inlineStr">
        <is>
          <t>1.2.2 Stations - Architectural Fit-Out</t>
        </is>
      </c>
      <c r="E532" s="23" t="inlineStr">
        <is>
          <t>Carried forward</t>
        </is>
      </c>
      <c r="F532" s="23" t="inlineStr"/>
      <c r="G532" s="23" t="inlineStr">
        <is>
          <t>Source assignment -- not individually reviewed</t>
        </is>
      </c>
      <c r="H532" s="14" t="inlineStr">
        <is>
          <t>10 EVIDENCE &amp; DECISIONS</t>
        </is>
      </c>
    </row>
    <row r="533" ht="34" customHeight="1">
      <c r="A533" s="23" t="inlineStr">
        <is>
          <t>R282-v2</t>
        </is>
      </c>
      <c r="B533" s="23" t="inlineStr">
        <is>
          <t>Contractor Programme</t>
        </is>
      </c>
      <c r="C533" s="23" t="inlineStr">
        <is>
          <t>SCH-02-102</t>
        </is>
      </c>
      <c r="D533" s="23" t="inlineStr">
        <is>
          <t>1.2.2 Stations - Architectural Fit-Out</t>
        </is>
      </c>
      <c r="E533" s="23" t="inlineStr">
        <is>
          <t>Carried forward</t>
        </is>
      </c>
      <c r="F533" s="23" t="inlineStr"/>
      <c r="G533" s="23" t="inlineStr">
        <is>
          <t>Source assignment -- not individually reviewed</t>
        </is>
      </c>
      <c r="H533" s="14" t="inlineStr">
        <is>
          <t>10 EVIDENCE &amp; DECISIONS</t>
        </is>
      </c>
    </row>
    <row r="534" ht="34" customHeight="1">
      <c r="A534" s="23" t="inlineStr">
        <is>
          <t>R285-v2</t>
        </is>
      </c>
      <c r="B534" s="23" t="inlineStr">
        <is>
          <t>Contractor Programme</t>
        </is>
      </c>
      <c r="C534" s="23" t="inlineStr">
        <is>
          <t>SCH-02-105</t>
        </is>
      </c>
      <c r="D534" s="23" t="inlineStr">
        <is>
          <t>1.2.2 Stations - Architectural Fit-Out</t>
        </is>
      </c>
      <c r="E534" s="23" t="inlineStr">
        <is>
          <t>Carried forward</t>
        </is>
      </c>
      <c r="F534" s="23" t="inlineStr"/>
      <c r="G534" s="23" t="inlineStr">
        <is>
          <t>Source assignment -- not individually reviewed</t>
        </is>
      </c>
      <c r="H534" s="14" t="inlineStr">
        <is>
          <t>10 EVIDENCE &amp; DECISIONS</t>
        </is>
      </c>
    </row>
    <row r="535" ht="34" customHeight="1">
      <c r="A535" s="23" t="inlineStr">
        <is>
          <t>R288-v2</t>
        </is>
      </c>
      <c r="B535" s="23" t="inlineStr">
        <is>
          <t>Contractor Programme</t>
        </is>
      </c>
      <c r="C535" s="23" t="inlineStr">
        <is>
          <t>SCH-02-108</t>
        </is>
      </c>
      <c r="D535" s="23" t="inlineStr">
        <is>
          <t>1.2.2 Stations - Architectural Fit-Out</t>
        </is>
      </c>
      <c r="E535" s="23" t="inlineStr">
        <is>
          <t>Carried forward</t>
        </is>
      </c>
      <c r="F535" s="23" t="inlineStr"/>
      <c r="G535" s="23" t="inlineStr">
        <is>
          <t>Source assignment -- not individually reviewed</t>
        </is>
      </c>
      <c r="H535" s="14" t="inlineStr">
        <is>
          <t>10 EVIDENCE &amp; DECISIONS</t>
        </is>
      </c>
    </row>
    <row r="536" ht="34" customHeight="1">
      <c r="A536" s="23" t="inlineStr">
        <is>
          <t>R291-v2</t>
        </is>
      </c>
      <c r="B536" s="23" t="inlineStr">
        <is>
          <t>Contractor Programme</t>
        </is>
      </c>
      <c r="C536" s="23" t="inlineStr">
        <is>
          <t>SCH-02-111</t>
        </is>
      </c>
      <c r="D536" s="23" t="inlineStr">
        <is>
          <t>1.2.2 Stations - Architectural Fit-Out</t>
        </is>
      </c>
      <c r="E536" s="23" t="inlineStr">
        <is>
          <t>Carried forward</t>
        </is>
      </c>
      <c r="F536" s="23" t="inlineStr"/>
      <c r="G536" s="23" t="inlineStr">
        <is>
          <t>Source assignment -- not individually reviewed</t>
        </is>
      </c>
      <c r="H536" s="14" t="inlineStr">
        <is>
          <t>10 EVIDENCE &amp; DECISIONS</t>
        </is>
      </c>
    </row>
    <row r="537" ht="34" customHeight="1">
      <c r="A537" s="23" t="inlineStr">
        <is>
          <t>R294-v2</t>
        </is>
      </c>
      <c r="B537" s="23" t="inlineStr">
        <is>
          <t>Contractor Programme</t>
        </is>
      </c>
      <c r="C537" s="23" t="inlineStr">
        <is>
          <t>SCH-02-114</t>
        </is>
      </c>
      <c r="D537" s="23" t="inlineStr">
        <is>
          <t>1.2.2 Stations - Architectural Fit-Out</t>
        </is>
      </c>
      <c r="E537" s="23" t="inlineStr">
        <is>
          <t>Carried forward</t>
        </is>
      </c>
      <c r="F537" s="23" t="inlineStr"/>
      <c r="G537" s="23" t="inlineStr">
        <is>
          <t>Source assignment -- not individually reviewed</t>
        </is>
      </c>
      <c r="H537" s="14" t="inlineStr">
        <is>
          <t>10 EVIDENCE &amp; DECISIONS</t>
        </is>
      </c>
    </row>
    <row r="538" ht="34" customHeight="1">
      <c r="A538" s="23" t="inlineStr">
        <is>
          <t>R297-v2</t>
        </is>
      </c>
      <c r="B538" s="23" t="inlineStr">
        <is>
          <t>Contractor Programme</t>
        </is>
      </c>
      <c r="C538" s="23" t="inlineStr">
        <is>
          <t>SCH-02-117</t>
        </is>
      </c>
      <c r="D538" s="23" t="inlineStr">
        <is>
          <t>1.2.2 Stations - Architectural Fit-Out</t>
        </is>
      </c>
      <c r="E538" s="23" t="inlineStr">
        <is>
          <t>Carried forward</t>
        </is>
      </c>
      <c r="F538" s="23" t="inlineStr"/>
      <c r="G538" s="23" t="inlineStr">
        <is>
          <t>Source assignment -- not individually reviewed</t>
        </is>
      </c>
      <c r="H538" s="14" t="inlineStr">
        <is>
          <t>10 EVIDENCE &amp; DECISIONS</t>
        </is>
      </c>
    </row>
    <row r="539" ht="34" customHeight="1">
      <c r="A539" s="23" t="inlineStr">
        <is>
          <t>R300-v2</t>
        </is>
      </c>
      <c r="B539" s="23" t="inlineStr">
        <is>
          <t>Contractor Programme</t>
        </is>
      </c>
      <c r="C539" s="23" t="inlineStr">
        <is>
          <t>SCH-02-120</t>
        </is>
      </c>
      <c r="D539" s="23" t="inlineStr">
        <is>
          <t>1.2.2 Stations - Architectural Fit-Out</t>
        </is>
      </c>
      <c r="E539" s="23" t="inlineStr">
        <is>
          <t>Carried forward</t>
        </is>
      </c>
      <c r="F539" s="23" t="inlineStr"/>
      <c r="G539" s="23" t="inlineStr">
        <is>
          <t>Source assignment -- not individually reviewed</t>
        </is>
      </c>
      <c r="H539" s="14" t="inlineStr">
        <is>
          <t>10 EVIDENCE &amp; DECISIONS</t>
        </is>
      </c>
    </row>
    <row r="540" ht="34" customHeight="1">
      <c r="A540" s="23" t="inlineStr">
        <is>
          <t>R303-v2</t>
        </is>
      </c>
      <c r="B540" s="23" t="inlineStr">
        <is>
          <t>Contractor Programme</t>
        </is>
      </c>
      <c r="C540" s="23" t="inlineStr">
        <is>
          <t>SCH-02-123</t>
        </is>
      </c>
      <c r="D540" s="23" t="inlineStr">
        <is>
          <t>1.2.2 Stations - Architectural Fit-Out</t>
        </is>
      </c>
      <c r="E540" s="23" t="inlineStr">
        <is>
          <t>Carried forward</t>
        </is>
      </c>
      <c r="F540" s="23" t="inlineStr"/>
      <c r="G540" s="23" t="inlineStr">
        <is>
          <t>Source assignment -- not individually reviewed</t>
        </is>
      </c>
      <c r="H540" s="14" t="inlineStr">
        <is>
          <t>10 EVIDENCE &amp; DECISIONS</t>
        </is>
      </c>
    </row>
    <row r="541" ht="34" customHeight="1">
      <c r="A541" s="23" t="inlineStr">
        <is>
          <t>R306-v2</t>
        </is>
      </c>
      <c r="B541" s="23" t="inlineStr">
        <is>
          <t>Contractor Programme</t>
        </is>
      </c>
      <c r="C541" s="23" t="inlineStr">
        <is>
          <t>SCH-02-126</t>
        </is>
      </c>
      <c r="D541" s="23" t="inlineStr">
        <is>
          <t>1.2.2 Stations - Architectural Fit-Out</t>
        </is>
      </c>
      <c r="E541" s="23" t="inlineStr">
        <is>
          <t>Carried forward</t>
        </is>
      </c>
      <c r="F541" s="23" t="inlineStr"/>
      <c r="G541" s="23" t="inlineStr">
        <is>
          <t>Source assignment -- not individually reviewed</t>
        </is>
      </c>
      <c r="H541" s="14" t="inlineStr">
        <is>
          <t>10 EVIDENCE &amp; DECISIONS</t>
        </is>
      </c>
    </row>
    <row r="542" ht="34" customHeight="1">
      <c r="A542" s="23" t="inlineStr">
        <is>
          <t>R309-v2</t>
        </is>
      </c>
      <c r="B542" s="23" t="inlineStr">
        <is>
          <t>Contractor Programme</t>
        </is>
      </c>
      <c r="C542" s="23" t="inlineStr">
        <is>
          <t>SCH-02-129</t>
        </is>
      </c>
      <c r="D542" s="23" t="inlineStr">
        <is>
          <t>1.2.2 Stations - Architectural Fit-Out</t>
        </is>
      </c>
      <c r="E542" s="23" t="inlineStr">
        <is>
          <t>Carried forward</t>
        </is>
      </c>
      <c r="F542" s="23" t="inlineStr"/>
      <c r="G542" s="23" t="inlineStr">
        <is>
          <t>Source assignment -- not individually reviewed</t>
        </is>
      </c>
      <c r="H542" s="14" t="inlineStr">
        <is>
          <t>10 EVIDENCE &amp; DECISIONS</t>
        </is>
      </c>
    </row>
    <row r="543" ht="34" customHeight="1">
      <c r="A543" s="23" t="inlineStr">
        <is>
          <t>R312-v2</t>
        </is>
      </c>
      <c r="B543" s="23" t="inlineStr">
        <is>
          <t>Contractor Programme</t>
        </is>
      </c>
      <c r="C543" s="23" t="inlineStr">
        <is>
          <t>SCH-02-132</t>
        </is>
      </c>
      <c r="D543" s="23" t="inlineStr">
        <is>
          <t>1.2.2 Stations - Architectural Fit-Out</t>
        </is>
      </c>
      <c r="E543" s="23" t="inlineStr">
        <is>
          <t>Carried forward</t>
        </is>
      </c>
      <c r="F543" s="23" t="inlineStr"/>
      <c r="G543" s="23" t="inlineStr">
        <is>
          <t>Source assignment -- not individually reviewed</t>
        </is>
      </c>
      <c r="H543" s="14" t="inlineStr">
        <is>
          <t>10 EVIDENCE &amp; DECISIONS</t>
        </is>
      </c>
    </row>
    <row r="544" ht="34" customHeight="1">
      <c r="A544" s="23" t="inlineStr">
        <is>
          <t>R315-v2</t>
        </is>
      </c>
      <c r="B544" s="23" t="inlineStr">
        <is>
          <t>Contractor Programme</t>
        </is>
      </c>
      <c r="C544" s="23" t="inlineStr">
        <is>
          <t>SCH-02-135</t>
        </is>
      </c>
      <c r="D544" s="23" t="inlineStr">
        <is>
          <t>1.2.2 Stations - Architectural Fit-Out</t>
        </is>
      </c>
      <c r="E544" s="23" t="inlineStr">
        <is>
          <t>Carried forward</t>
        </is>
      </c>
      <c r="F544" s="23" t="inlineStr"/>
      <c r="G544" s="23" t="inlineStr">
        <is>
          <t>Source assignment -- not individually reviewed</t>
        </is>
      </c>
      <c r="H544" s="14" t="inlineStr">
        <is>
          <t>10 EVIDENCE &amp; DECISIONS</t>
        </is>
      </c>
    </row>
    <row r="545" ht="34" customHeight="1">
      <c r="A545" s="23" t="inlineStr">
        <is>
          <t>R318-v2</t>
        </is>
      </c>
      <c r="B545" s="23" t="inlineStr">
        <is>
          <t>Contractor Programme</t>
        </is>
      </c>
      <c r="C545" s="23" t="inlineStr">
        <is>
          <t>SCH-02-138</t>
        </is>
      </c>
      <c r="D545" s="23" t="inlineStr">
        <is>
          <t>1.2.2 Stations - Architectural Fit-Out</t>
        </is>
      </c>
      <c r="E545" s="23" t="inlineStr">
        <is>
          <t>Carried forward</t>
        </is>
      </c>
      <c r="F545" s="23" t="inlineStr"/>
      <c r="G545" s="23" t="inlineStr">
        <is>
          <t>Source assignment -- not individually reviewed</t>
        </is>
      </c>
      <c r="H545" s="14" t="inlineStr">
        <is>
          <t>10 EVIDENCE &amp; DECISIONS</t>
        </is>
      </c>
    </row>
    <row r="546" ht="34" customHeight="1">
      <c r="A546" s="23" t="inlineStr">
        <is>
          <t>R321-v2</t>
        </is>
      </c>
      <c r="B546" s="23" t="inlineStr">
        <is>
          <t>Contractor Programme</t>
        </is>
      </c>
      <c r="C546" s="23" t="inlineStr">
        <is>
          <t>SCH-02-141</t>
        </is>
      </c>
      <c r="D546" s="23" t="inlineStr">
        <is>
          <t>1.2.2 Stations - Architectural Fit-Out</t>
        </is>
      </c>
      <c r="E546" s="23" t="inlineStr">
        <is>
          <t>Carried forward</t>
        </is>
      </c>
      <c r="F546" s="23" t="inlineStr"/>
      <c r="G546" s="23" t="inlineStr">
        <is>
          <t>Source assignment -- not individually reviewed</t>
        </is>
      </c>
      <c r="H546" s="14" t="inlineStr">
        <is>
          <t>10 EVIDENCE &amp; DECISIONS</t>
        </is>
      </c>
    </row>
    <row r="547" ht="34" customHeight="1">
      <c r="A547" s="23" t="inlineStr">
        <is>
          <t>R324-v2</t>
        </is>
      </c>
      <c r="B547" s="23" t="inlineStr">
        <is>
          <t>Contractor Programme</t>
        </is>
      </c>
      <c r="C547" s="23" t="inlineStr">
        <is>
          <t>SCH-02-144</t>
        </is>
      </c>
      <c r="D547" s="23" t="inlineStr">
        <is>
          <t>1.2.2 Stations - Architectural Fit-Out</t>
        </is>
      </c>
      <c r="E547" s="23" t="inlineStr">
        <is>
          <t>Carried forward</t>
        </is>
      </c>
      <c r="F547" s="23" t="inlineStr"/>
      <c r="G547" s="23" t="inlineStr">
        <is>
          <t>Source assignment -- not individually reviewed</t>
        </is>
      </c>
      <c r="H547" s="14" t="inlineStr">
        <is>
          <t>10 EVIDENCE &amp; DECISIONS</t>
        </is>
      </c>
    </row>
    <row r="548" ht="34" customHeight="1">
      <c r="A548" s="23" t="inlineStr">
        <is>
          <t>R327-v2</t>
        </is>
      </c>
      <c r="B548" s="23" t="inlineStr">
        <is>
          <t>Contractor Programme</t>
        </is>
      </c>
      <c r="C548" s="23" t="inlineStr">
        <is>
          <t>SCH-02-147</t>
        </is>
      </c>
      <c r="D548" s="23" t="inlineStr">
        <is>
          <t>1.2.2 Stations - Architectural Fit-Out</t>
        </is>
      </c>
      <c r="E548" s="23" t="inlineStr">
        <is>
          <t>Carried forward</t>
        </is>
      </c>
      <c r="F548" s="23" t="inlineStr"/>
      <c r="G548" s="23" t="inlineStr">
        <is>
          <t>Source assignment -- not individually reviewed</t>
        </is>
      </c>
      <c r="H548" s="14" t="inlineStr">
        <is>
          <t>10 EVIDENCE &amp; DECISIONS</t>
        </is>
      </c>
    </row>
    <row r="549" ht="34" customHeight="1">
      <c r="A549" s="23" t="inlineStr">
        <is>
          <t>R330-v2</t>
        </is>
      </c>
      <c r="B549" s="23" t="inlineStr">
        <is>
          <t>Contractor Programme</t>
        </is>
      </c>
      <c r="C549" s="23" t="inlineStr">
        <is>
          <t>SCH-02-150</t>
        </is>
      </c>
      <c r="D549" s="23" t="inlineStr">
        <is>
          <t>1.2.2 Stations - Architectural Fit-Out</t>
        </is>
      </c>
      <c r="E549" s="23" t="inlineStr">
        <is>
          <t>Carried forward</t>
        </is>
      </c>
      <c r="F549" s="23" t="inlineStr"/>
      <c r="G549" s="23" t="inlineStr">
        <is>
          <t>Source assignment -- not individually reviewed</t>
        </is>
      </c>
      <c r="H549" s="14" t="inlineStr">
        <is>
          <t>10 EVIDENCE &amp; DECISIONS</t>
        </is>
      </c>
    </row>
    <row r="550" ht="34" customHeight="1">
      <c r="A550" s="23" t="inlineStr">
        <is>
          <t>R333-v2</t>
        </is>
      </c>
      <c r="B550" s="23" t="inlineStr">
        <is>
          <t>Contractor Programme</t>
        </is>
      </c>
      <c r="C550" s="23" t="inlineStr">
        <is>
          <t>SCH-02-153</t>
        </is>
      </c>
      <c r="D550" s="23" t="inlineStr">
        <is>
          <t>1.2.2 Stations - Architectural Fit-Out</t>
        </is>
      </c>
      <c r="E550" s="23" t="inlineStr">
        <is>
          <t>Carried forward</t>
        </is>
      </c>
      <c r="F550" s="23" t="inlineStr"/>
      <c r="G550" s="23" t="inlineStr">
        <is>
          <t>Source assignment -- not individually reviewed</t>
        </is>
      </c>
      <c r="H550" s="14" t="inlineStr">
        <is>
          <t>10 EVIDENCE &amp; DECISIONS</t>
        </is>
      </c>
    </row>
    <row r="551" ht="34" customHeight="1">
      <c r="A551" s="23" t="inlineStr">
        <is>
          <t>R336-v2</t>
        </is>
      </c>
      <c r="B551" s="23" t="inlineStr">
        <is>
          <t>Contractor Programme</t>
        </is>
      </c>
      <c r="C551" s="23" t="inlineStr">
        <is>
          <t>SCH-02-156</t>
        </is>
      </c>
      <c r="D551" s="23" t="inlineStr">
        <is>
          <t>1.2.2 Stations - Architectural Fit-Out</t>
        </is>
      </c>
      <c r="E551" s="23" t="inlineStr">
        <is>
          <t>Carried forward</t>
        </is>
      </c>
      <c r="F551" s="23" t="inlineStr"/>
      <c r="G551" s="23" t="inlineStr">
        <is>
          <t>Source assignment -- not individually reviewed</t>
        </is>
      </c>
      <c r="H551" s="14" t="inlineStr">
        <is>
          <t>10 EVIDENCE &amp; DECISIONS</t>
        </is>
      </c>
    </row>
    <row r="552" ht="34" customHeight="1">
      <c r="A552" s="23" t="inlineStr">
        <is>
          <t>R339-v2</t>
        </is>
      </c>
      <c r="B552" s="23" t="inlineStr">
        <is>
          <t>Contractor Programme</t>
        </is>
      </c>
      <c r="C552" s="23" t="inlineStr">
        <is>
          <t>SCH-02-159</t>
        </is>
      </c>
      <c r="D552" s="23" t="inlineStr">
        <is>
          <t>1.2.2 Stations - Architectural Fit-Out</t>
        </is>
      </c>
      <c r="E552" s="23" t="inlineStr">
        <is>
          <t>Carried forward</t>
        </is>
      </c>
      <c r="F552" s="23" t="inlineStr"/>
      <c r="G552" s="23" t="inlineStr">
        <is>
          <t>Source assignment -- not individually reviewed</t>
        </is>
      </c>
      <c r="H552" s="14" t="inlineStr">
        <is>
          <t>10 EVIDENCE &amp; DECISIONS</t>
        </is>
      </c>
    </row>
    <row r="553" ht="34" customHeight="1">
      <c r="A553" s="23" t="inlineStr">
        <is>
          <t>R342-v2</t>
        </is>
      </c>
      <c r="B553" s="23" t="inlineStr">
        <is>
          <t>Contractor Programme</t>
        </is>
      </c>
      <c r="C553" s="23" t="inlineStr">
        <is>
          <t>SCH-02-162</t>
        </is>
      </c>
      <c r="D553" s="23" t="inlineStr">
        <is>
          <t>1.2.2 Stations - Architectural Fit-Out</t>
        </is>
      </c>
      <c r="E553" s="23" t="inlineStr">
        <is>
          <t>Carried forward</t>
        </is>
      </c>
      <c r="F553" s="23" t="inlineStr"/>
      <c r="G553" s="23" t="inlineStr">
        <is>
          <t>Source assignment -- not individually reviewed</t>
        </is>
      </c>
      <c r="H553" s="14" t="inlineStr">
        <is>
          <t>10 EVIDENCE &amp; DECISIONS</t>
        </is>
      </c>
    </row>
    <row r="554" ht="34" customHeight="1">
      <c r="A554" s="23" t="inlineStr">
        <is>
          <t>R345-v2</t>
        </is>
      </c>
      <c r="B554" s="23" t="inlineStr">
        <is>
          <t>Contractor Programme</t>
        </is>
      </c>
      <c r="C554" s="23" t="inlineStr">
        <is>
          <t>SCH-02-165</t>
        </is>
      </c>
      <c r="D554" s="23" t="inlineStr">
        <is>
          <t>1.2.2 Stations - Architectural Fit-Out</t>
        </is>
      </c>
      <c r="E554" s="23" t="inlineStr">
        <is>
          <t>Carried forward</t>
        </is>
      </c>
      <c r="F554" s="23" t="inlineStr"/>
      <c r="G554" s="23" t="inlineStr">
        <is>
          <t>Source assignment -- not individually reviewed</t>
        </is>
      </c>
      <c r="H554" s="14" t="inlineStr">
        <is>
          <t>10 EVIDENCE &amp; DECISIONS</t>
        </is>
      </c>
    </row>
    <row r="555" ht="34" customHeight="1">
      <c r="A555" s="23" t="inlineStr">
        <is>
          <t>R348-v2</t>
        </is>
      </c>
      <c r="B555" s="23" t="inlineStr">
        <is>
          <t>Contractor Programme</t>
        </is>
      </c>
      <c r="C555" s="23" t="inlineStr">
        <is>
          <t>SCH-02-168</t>
        </is>
      </c>
      <c r="D555" s="23" t="inlineStr">
        <is>
          <t>1.2.2 Stations - Architectural Fit-Out</t>
        </is>
      </c>
      <c r="E555" s="23" t="inlineStr">
        <is>
          <t>Carried forward</t>
        </is>
      </c>
      <c r="F555" s="23" t="inlineStr"/>
      <c r="G555" s="23" t="inlineStr">
        <is>
          <t>Source assignment -- not individually reviewed</t>
        </is>
      </c>
      <c r="H555" s="14" t="inlineStr">
        <is>
          <t>10 EVIDENCE &amp; DECISIONS</t>
        </is>
      </c>
    </row>
    <row r="556" ht="34" customHeight="1">
      <c r="A556" s="23" t="inlineStr">
        <is>
          <t>R351-v2</t>
        </is>
      </c>
      <c r="B556" s="23" t="inlineStr">
        <is>
          <t>Contractor Programme</t>
        </is>
      </c>
      <c r="C556" s="23" t="inlineStr">
        <is>
          <t>SCH-02-171</t>
        </is>
      </c>
      <c r="D556" s="23" t="inlineStr">
        <is>
          <t>1.2.2 Stations - Architectural Fit-Out</t>
        </is>
      </c>
      <c r="E556" s="23" t="inlineStr">
        <is>
          <t>Carried forward</t>
        </is>
      </c>
      <c r="F556" s="23" t="inlineStr"/>
      <c r="G556" s="23" t="inlineStr">
        <is>
          <t>Source assignment -- not individually reviewed</t>
        </is>
      </c>
      <c r="H556" s="14" t="inlineStr">
        <is>
          <t>10 EVIDENCE &amp; DECISIONS</t>
        </is>
      </c>
    </row>
    <row r="557" ht="34" customHeight="1">
      <c r="A557" s="23" t="inlineStr">
        <is>
          <t>R354-v2</t>
        </is>
      </c>
      <c r="B557" s="23" t="inlineStr">
        <is>
          <t>Contractor Programme</t>
        </is>
      </c>
      <c r="C557" s="23" t="inlineStr">
        <is>
          <t>SCH-02-174</t>
        </is>
      </c>
      <c r="D557" s="23" t="inlineStr">
        <is>
          <t>1.2.2 Stations - Architectural Fit-Out</t>
        </is>
      </c>
      <c r="E557" s="23" t="inlineStr">
        <is>
          <t>Carried forward</t>
        </is>
      </c>
      <c r="F557" s="23" t="inlineStr"/>
      <c r="G557" s="23" t="inlineStr">
        <is>
          <t>Source assignment -- not individually reviewed</t>
        </is>
      </c>
      <c r="H557" s="14" t="inlineStr">
        <is>
          <t>10 EVIDENCE &amp; DECISIONS</t>
        </is>
      </c>
    </row>
    <row r="558" ht="34" customHeight="1">
      <c r="A558" s="23" t="inlineStr">
        <is>
          <t>R357-v2</t>
        </is>
      </c>
      <c r="B558" s="23" t="inlineStr">
        <is>
          <t>Contractor Programme</t>
        </is>
      </c>
      <c r="C558" s="23" t="inlineStr">
        <is>
          <t>SCH-02-177</t>
        </is>
      </c>
      <c r="D558" s="23" t="inlineStr">
        <is>
          <t>1.2.2 Stations - Architectural Fit-Out</t>
        </is>
      </c>
      <c r="E558" s="23" t="inlineStr">
        <is>
          <t>Carried forward</t>
        </is>
      </c>
      <c r="F558" s="23" t="inlineStr"/>
      <c r="G558" s="23" t="inlineStr">
        <is>
          <t>Source assignment -- not individually reviewed</t>
        </is>
      </c>
      <c r="H558" s="14" t="inlineStr">
        <is>
          <t>10 EVIDENCE &amp; DECISIONS</t>
        </is>
      </c>
    </row>
    <row r="559" ht="34" customHeight="1">
      <c r="A559" s="23" t="inlineStr">
        <is>
          <t>R360-v2</t>
        </is>
      </c>
      <c r="B559" s="23" t="inlineStr">
        <is>
          <t>Contractor Programme</t>
        </is>
      </c>
      <c r="C559" s="23" t="inlineStr">
        <is>
          <t>SCH-02-180</t>
        </is>
      </c>
      <c r="D559" s="23" t="inlineStr">
        <is>
          <t>1.2.2 Stations - Architectural Fit-Out</t>
        </is>
      </c>
      <c r="E559" s="23" t="inlineStr">
        <is>
          <t>Carried forward</t>
        </is>
      </c>
      <c r="F559" s="23" t="inlineStr"/>
      <c r="G559" s="23" t="inlineStr">
        <is>
          <t>Source assignment -- not individually reviewed</t>
        </is>
      </c>
      <c r="H559" s="14" t="inlineStr">
        <is>
          <t>10 EVIDENCE &amp; DECISIONS</t>
        </is>
      </c>
    </row>
    <row r="560" ht="34" customHeight="1">
      <c r="A560" s="23" t="inlineStr">
        <is>
          <t>R1583-v2</t>
        </is>
      </c>
      <c r="B560" s="23" t="inlineStr">
        <is>
          <t>Commercial Package Register</t>
        </is>
      </c>
      <c r="C560" s="23" t="inlineStr">
        <is>
          <t>PKG-021</t>
        </is>
      </c>
      <c r="D560" s="23" t="inlineStr">
        <is>
          <t>1.3 Systems</t>
        </is>
      </c>
      <c r="E560" s="23" t="inlineStr">
        <is>
          <t>Carried forward</t>
        </is>
      </c>
      <c r="F560" s="23" t="inlineStr"/>
      <c r="G560" s="23" t="inlineStr">
        <is>
          <t>Source assignment -- not individually reviewed</t>
        </is>
      </c>
      <c r="H560" s="14" t="inlineStr">
        <is>
          <t>10 EVIDENCE &amp; DECISIONS</t>
        </is>
      </c>
    </row>
    <row r="561" ht="34" customHeight="1">
      <c r="A561" s="23" t="inlineStr">
        <is>
          <t>R1584-v2</t>
        </is>
      </c>
      <c r="B561" s="23" t="inlineStr">
        <is>
          <t>Commercial Package Register</t>
        </is>
      </c>
      <c r="C561" s="23" t="inlineStr">
        <is>
          <t>PKG-022</t>
        </is>
      </c>
      <c r="D561" s="23" t="inlineStr">
        <is>
          <t>1.3 Systems</t>
        </is>
      </c>
      <c r="E561" s="23" t="inlineStr">
        <is>
          <t>Carried forward</t>
        </is>
      </c>
      <c r="F561" s="23" t="inlineStr"/>
      <c r="G561" s="23" t="inlineStr">
        <is>
          <t>Source assignment -- not individually reviewed</t>
        </is>
      </c>
      <c r="H561" s="14" t="inlineStr">
        <is>
          <t>10 EVIDENCE &amp; DECISIONS</t>
        </is>
      </c>
    </row>
    <row r="562" ht="34" customHeight="1">
      <c r="A562" s="23" t="inlineStr">
        <is>
          <t>R1585-v2</t>
        </is>
      </c>
      <c r="B562" s="23" t="inlineStr">
        <is>
          <t>Commercial Package Register</t>
        </is>
      </c>
      <c r="C562" s="23" t="inlineStr">
        <is>
          <t>PKG-023</t>
        </is>
      </c>
      <c r="D562" s="23" t="inlineStr">
        <is>
          <t>1.3 Systems</t>
        </is>
      </c>
      <c r="E562" s="23" t="inlineStr">
        <is>
          <t>Carried forward</t>
        </is>
      </c>
      <c r="F562" s="23" t="inlineStr"/>
      <c r="G562" s="23" t="inlineStr">
        <is>
          <t>Source assignment -- not individually reviewed</t>
        </is>
      </c>
      <c r="H562" s="14" t="inlineStr">
        <is>
          <t>10 EVIDENCE &amp; DECISIONS</t>
        </is>
      </c>
    </row>
    <row r="563" ht="34" customHeight="1">
      <c r="A563" s="23" t="inlineStr">
        <is>
          <t>R1586-v2</t>
        </is>
      </c>
      <c r="B563" s="23" t="inlineStr">
        <is>
          <t>Commercial Package Register</t>
        </is>
      </c>
      <c r="C563" s="23" t="inlineStr">
        <is>
          <t>PKG-024</t>
        </is>
      </c>
      <c r="D563" s="23" t="inlineStr">
        <is>
          <t>1.3 Systems</t>
        </is>
      </c>
      <c r="E563" s="23" t="inlineStr">
        <is>
          <t>Carried forward</t>
        </is>
      </c>
      <c r="F563" s="23" t="inlineStr"/>
      <c r="G563" s="23" t="inlineStr">
        <is>
          <t>Source assignment -- not individually reviewed</t>
        </is>
      </c>
      <c r="H563" s="14" t="inlineStr">
        <is>
          <t>10 EVIDENCE &amp; DECISIONS</t>
        </is>
      </c>
    </row>
    <row r="564" ht="34" customHeight="1">
      <c r="A564" s="23" t="inlineStr">
        <is>
          <t>R1587-v2</t>
        </is>
      </c>
      <c r="B564" s="23" t="inlineStr">
        <is>
          <t>Commercial Package Register</t>
        </is>
      </c>
      <c r="C564" s="23" t="inlineStr">
        <is>
          <t>PKG-025</t>
        </is>
      </c>
      <c r="D564" s="23" t="inlineStr">
        <is>
          <t>1.3 Systems</t>
        </is>
      </c>
      <c r="E564" s="23" t="inlineStr">
        <is>
          <t>Carried forward</t>
        </is>
      </c>
      <c r="F564" s="23" t="inlineStr"/>
      <c r="G564" s="23" t="inlineStr">
        <is>
          <t>Source assignment -- not individually reviewed</t>
        </is>
      </c>
      <c r="H564" s="14" t="inlineStr">
        <is>
          <t>10 EVIDENCE &amp; DECISIONS</t>
        </is>
      </c>
    </row>
    <row r="565" ht="34" customHeight="1">
      <c r="A565" s="23" t="inlineStr">
        <is>
          <t>R1588-v2</t>
        </is>
      </c>
      <c r="B565" s="23" t="inlineStr">
        <is>
          <t>Commercial Package Register</t>
        </is>
      </c>
      <c r="C565" s="23" t="inlineStr">
        <is>
          <t>PKG-026</t>
        </is>
      </c>
      <c r="D565" s="23" t="inlineStr">
        <is>
          <t>1.3 Systems</t>
        </is>
      </c>
      <c r="E565" s="23" t="inlineStr">
        <is>
          <t>Carried forward</t>
        </is>
      </c>
      <c r="F565" s="23" t="inlineStr"/>
      <c r="G565" s="23" t="inlineStr">
        <is>
          <t>Source assignment -- not individually reviewed</t>
        </is>
      </c>
      <c r="H565" s="14" t="inlineStr">
        <is>
          <t>10 EVIDENCE &amp; DECISIONS</t>
        </is>
      </c>
    </row>
    <row r="566" ht="34" customHeight="1">
      <c r="A566" s="23" t="inlineStr">
        <is>
          <t>R1589-v2</t>
        </is>
      </c>
      <c r="B566" s="23" t="inlineStr">
        <is>
          <t>Commercial Package Register</t>
        </is>
      </c>
      <c r="C566" s="23" t="inlineStr">
        <is>
          <t>PKG-027</t>
        </is>
      </c>
      <c r="D566" s="23" t="inlineStr">
        <is>
          <t>1.3 Systems</t>
        </is>
      </c>
      <c r="E566" s="23" t="inlineStr">
        <is>
          <t>Carried forward</t>
        </is>
      </c>
      <c r="F566" s="23" t="inlineStr"/>
      <c r="G566" s="23" t="inlineStr">
        <is>
          <t>Source assignment -- not individually reviewed</t>
        </is>
      </c>
      <c r="H566" s="14" t="inlineStr">
        <is>
          <t>10 EVIDENCE &amp; DECISIONS</t>
        </is>
      </c>
    </row>
    <row r="567" ht="34" customHeight="1">
      <c r="A567" s="23" t="inlineStr">
        <is>
          <t>R1590-v2</t>
        </is>
      </c>
      <c r="B567" s="23" t="inlineStr">
        <is>
          <t>Commercial Package Register</t>
        </is>
      </c>
      <c r="C567" s="23" t="inlineStr">
        <is>
          <t>PKG-028</t>
        </is>
      </c>
      <c r="D567" s="23" t="inlineStr">
        <is>
          <t>1.3 Systems</t>
        </is>
      </c>
      <c r="E567" s="23" t="inlineStr">
        <is>
          <t>Carried forward</t>
        </is>
      </c>
      <c r="F567" s="23" t="inlineStr"/>
      <c r="G567" s="23" t="inlineStr">
        <is>
          <t>Source assignment -- not individually reviewed</t>
        </is>
      </c>
      <c r="H567" s="14" t="inlineStr">
        <is>
          <t>10 EVIDENCE &amp; DECISIONS</t>
        </is>
      </c>
    </row>
    <row r="568" ht="34" customHeight="1">
      <c r="A568" s="23" t="inlineStr">
        <is>
          <t>R1591-v2</t>
        </is>
      </c>
      <c r="B568" s="23" t="inlineStr">
        <is>
          <t>Commercial Package Register</t>
        </is>
      </c>
      <c r="C568" s="23" t="inlineStr">
        <is>
          <t>PKG-029</t>
        </is>
      </c>
      <c r="D568" s="23" t="inlineStr">
        <is>
          <t>1.3 Systems</t>
        </is>
      </c>
      <c r="E568" s="23" t="inlineStr">
        <is>
          <t>Carried forward</t>
        </is>
      </c>
      <c r="F568" s="23" t="inlineStr"/>
      <c r="G568" s="23" t="inlineStr">
        <is>
          <t>Source assignment -- not individually reviewed</t>
        </is>
      </c>
      <c r="H568" s="14" t="inlineStr">
        <is>
          <t>10 EVIDENCE &amp; DECISIONS</t>
        </is>
      </c>
    </row>
    <row r="569" ht="34" customHeight="1">
      <c r="A569" s="23" t="inlineStr">
        <is>
          <t>R1592-v2</t>
        </is>
      </c>
      <c r="B569" s="23" t="inlineStr">
        <is>
          <t>Commercial Package Register</t>
        </is>
      </c>
      <c r="C569" s="23" t="inlineStr">
        <is>
          <t>PKG-030</t>
        </is>
      </c>
      <c r="D569" s="23" t="inlineStr">
        <is>
          <t>1.3 Systems</t>
        </is>
      </c>
      <c r="E569" s="23" t="inlineStr">
        <is>
          <t>Carried forward</t>
        </is>
      </c>
      <c r="F569" s="23" t="inlineStr"/>
      <c r="G569" s="23" t="inlineStr">
        <is>
          <t>Source assignment -- not individually reviewed</t>
        </is>
      </c>
      <c r="H569" s="14" t="inlineStr">
        <is>
          <t>10 EVIDENCE &amp; DECISIONS</t>
        </is>
      </c>
    </row>
    <row r="570" ht="34" customHeight="1">
      <c r="A570" s="23" t="inlineStr">
        <is>
          <t>R1243-v2</t>
        </is>
      </c>
      <c r="B570" s="23" t="inlineStr">
        <is>
          <t>Cost &amp; Forecast Control Accounts</t>
        </is>
      </c>
      <c r="C570" s="23" t="inlineStr">
        <is>
          <t>CST-03-001</t>
        </is>
      </c>
      <c r="D570" s="23" t="inlineStr">
        <is>
          <t>1.3.1 Systems - Traction Power</t>
        </is>
      </c>
      <c r="E570" s="23" t="inlineStr">
        <is>
          <t>Carried forward</t>
        </is>
      </c>
      <c r="F570" s="23" t="inlineStr"/>
      <c r="G570" s="23" t="inlineStr">
        <is>
          <t>Source assignment -- not individually reviewed</t>
        </is>
      </c>
      <c r="H570" s="14" t="inlineStr">
        <is>
          <t>10 EVIDENCE &amp; DECISIONS</t>
        </is>
      </c>
    </row>
    <row r="571" ht="34" customHeight="1">
      <c r="A571" s="23" t="inlineStr">
        <is>
          <t>R1245-v2</t>
        </is>
      </c>
      <c r="B571" s="23" t="inlineStr">
        <is>
          <t>Cost &amp; Forecast Control Accounts</t>
        </is>
      </c>
      <c r="C571" s="23" t="inlineStr">
        <is>
          <t>CST-03-003</t>
        </is>
      </c>
      <c r="D571" s="23" t="inlineStr">
        <is>
          <t>1.3.1 Systems - Traction Power</t>
        </is>
      </c>
      <c r="E571" s="23" t="inlineStr">
        <is>
          <t>Carried forward</t>
        </is>
      </c>
      <c r="F571" s="23" t="inlineStr"/>
      <c r="G571" s="23" t="inlineStr">
        <is>
          <t>Source assignment -- not individually reviewed</t>
        </is>
      </c>
      <c r="H571" s="14" t="inlineStr">
        <is>
          <t>10 EVIDENCE &amp; DECISIONS</t>
        </is>
      </c>
    </row>
    <row r="572" ht="34" customHeight="1">
      <c r="A572" s="23" t="inlineStr">
        <is>
          <t>R1247-v2</t>
        </is>
      </c>
      <c r="B572" s="23" t="inlineStr">
        <is>
          <t>Cost &amp; Forecast Control Accounts</t>
        </is>
      </c>
      <c r="C572" s="23" t="inlineStr">
        <is>
          <t>CST-03-005</t>
        </is>
      </c>
      <c r="D572" s="23" t="inlineStr">
        <is>
          <t>1.3.1 Systems - Traction Power</t>
        </is>
      </c>
      <c r="E572" s="23" t="inlineStr">
        <is>
          <t>Carried forward</t>
        </is>
      </c>
      <c r="F572" s="23" t="inlineStr"/>
      <c r="G572" s="23" t="inlineStr">
        <is>
          <t>Source assignment -- not individually reviewed</t>
        </is>
      </c>
      <c r="H572" s="14" t="inlineStr">
        <is>
          <t>10 EVIDENCE &amp; DECISIONS</t>
        </is>
      </c>
    </row>
    <row r="573" ht="34" customHeight="1">
      <c r="A573" s="23" t="inlineStr">
        <is>
          <t>R1249-v2</t>
        </is>
      </c>
      <c r="B573" s="23" t="inlineStr">
        <is>
          <t>Cost &amp; Forecast Control Accounts</t>
        </is>
      </c>
      <c r="C573" s="23" t="inlineStr">
        <is>
          <t>CST-03-007</t>
        </is>
      </c>
      <c r="D573" s="23" t="inlineStr">
        <is>
          <t>1.3.1 Systems - Traction Power</t>
        </is>
      </c>
      <c r="E573" s="23" t="inlineStr">
        <is>
          <t>Carried forward</t>
        </is>
      </c>
      <c r="F573" s="23" t="inlineStr"/>
      <c r="G573" s="23" t="inlineStr">
        <is>
          <t>Source assignment -- not individually reviewed</t>
        </is>
      </c>
      <c r="H573" s="14" t="inlineStr">
        <is>
          <t>10 EVIDENCE &amp; DECISIONS</t>
        </is>
      </c>
    </row>
    <row r="574" ht="34" customHeight="1">
      <c r="A574" s="23" t="inlineStr">
        <is>
          <t>R1251-v2</t>
        </is>
      </c>
      <c r="B574" s="23" t="inlineStr">
        <is>
          <t>Cost &amp; Forecast Control Accounts</t>
        </is>
      </c>
      <c r="C574" s="23" t="inlineStr">
        <is>
          <t>CST-03-009</t>
        </is>
      </c>
      <c r="D574" s="23" t="inlineStr">
        <is>
          <t>1.3.1 Systems - Traction Power</t>
        </is>
      </c>
      <c r="E574" s="23" t="inlineStr">
        <is>
          <t>Carried forward</t>
        </is>
      </c>
      <c r="F574" s="23" t="inlineStr"/>
      <c r="G574" s="23" t="inlineStr">
        <is>
          <t>Source assignment -- not individually reviewed</t>
        </is>
      </c>
      <c r="H574" s="14" t="inlineStr">
        <is>
          <t>10 EVIDENCE &amp; DECISIONS</t>
        </is>
      </c>
    </row>
    <row r="575" ht="34" customHeight="1">
      <c r="A575" s="23" t="inlineStr">
        <is>
          <t>R1253-v2</t>
        </is>
      </c>
      <c r="B575" s="23" t="inlineStr">
        <is>
          <t>Cost &amp; Forecast Control Accounts</t>
        </is>
      </c>
      <c r="C575" s="23" t="inlineStr">
        <is>
          <t>CST-03-011</t>
        </is>
      </c>
      <c r="D575" s="23" t="inlineStr">
        <is>
          <t>1.3.1 Systems - Traction Power</t>
        </is>
      </c>
      <c r="E575" s="23" t="inlineStr">
        <is>
          <t>Carried forward</t>
        </is>
      </c>
      <c r="F575" s="23" t="inlineStr"/>
      <c r="G575" s="23" t="inlineStr">
        <is>
          <t>Source assignment -- not individually reviewed</t>
        </is>
      </c>
      <c r="H575" s="14" t="inlineStr">
        <is>
          <t>10 EVIDENCE &amp; DECISIONS</t>
        </is>
      </c>
    </row>
    <row r="576" ht="34" customHeight="1">
      <c r="A576" s="23" t="inlineStr">
        <is>
          <t>R1255-v2</t>
        </is>
      </c>
      <c r="B576" s="23" t="inlineStr">
        <is>
          <t>Cost &amp; Forecast Control Accounts</t>
        </is>
      </c>
      <c r="C576" s="23" t="inlineStr">
        <is>
          <t>CST-03-013</t>
        </is>
      </c>
      <c r="D576" s="23" t="inlineStr">
        <is>
          <t>1.3.1 Systems - Traction Power</t>
        </is>
      </c>
      <c r="E576" s="23" t="inlineStr">
        <is>
          <t>Carried forward</t>
        </is>
      </c>
      <c r="F576" s="23" t="inlineStr"/>
      <c r="G576" s="23" t="inlineStr">
        <is>
          <t>Source assignment -- not individually reviewed</t>
        </is>
      </c>
      <c r="H576" s="14" t="inlineStr">
        <is>
          <t>10 EVIDENCE &amp; DECISIONS</t>
        </is>
      </c>
    </row>
    <row r="577" ht="34" customHeight="1">
      <c r="A577" s="23" t="inlineStr">
        <is>
          <t>R1257-v2</t>
        </is>
      </c>
      <c r="B577" s="23" t="inlineStr">
        <is>
          <t>Cost &amp; Forecast Control Accounts</t>
        </is>
      </c>
      <c r="C577" s="23" t="inlineStr">
        <is>
          <t>CST-03-015</t>
        </is>
      </c>
      <c r="D577" s="23" t="inlineStr">
        <is>
          <t>1.3.1 Systems - Traction Power</t>
        </is>
      </c>
      <c r="E577" s="23" t="inlineStr">
        <is>
          <t>Carried forward</t>
        </is>
      </c>
      <c r="F577" s="23" t="inlineStr"/>
      <c r="G577" s="23" t="inlineStr">
        <is>
          <t>Source assignment -- not individually reviewed</t>
        </is>
      </c>
      <c r="H577" s="14" t="inlineStr">
        <is>
          <t>10 EVIDENCE &amp; DECISIONS</t>
        </is>
      </c>
    </row>
    <row r="578" ht="34" customHeight="1">
      <c r="A578" s="23" t="inlineStr">
        <is>
          <t>R1259-v2</t>
        </is>
      </c>
      <c r="B578" s="23" t="inlineStr">
        <is>
          <t>Cost &amp; Forecast Control Accounts</t>
        </is>
      </c>
      <c r="C578" s="23" t="inlineStr">
        <is>
          <t>CST-03-017</t>
        </is>
      </c>
      <c r="D578" s="23" t="inlineStr">
        <is>
          <t>1.3.1 Systems - Traction Power</t>
        </is>
      </c>
      <c r="E578" s="23" t="inlineStr">
        <is>
          <t>Carried forward</t>
        </is>
      </c>
      <c r="F578" s="23" t="inlineStr"/>
      <c r="G578" s="23" t="inlineStr">
        <is>
          <t>Source assignment -- not individually reviewed</t>
        </is>
      </c>
      <c r="H578" s="14" t="inlineStr">
        <is>
          <t>10 EVIDENCE &amp; DECISIONS</t>
        </is>
      </c>
    </row>
    <row r="579" ht="34" customHeight="1">
      <c r="A579" s="23" t="inlineStr">
        <is>
          <t>R1261-v2</t>
        </is>
      </c>
      <c r="B579" s="23" t="inlineStr">
        <is>
          <t>Cost &amp; Forecast Control Accounts</t>
        </is>
      </c>
      <c r="C579" s="23" t="inlineStr">
        <is>
          <t>CST-03-019</t>
        </is>
      </c>
      <c r="D579" s="23" t="inlineStr">
        <is>
          <t>1.3.1 Systems - Traction Power</t>
        </is>
      </c>
      <c r="E579" s="23" t="inlineStr">
        <is>
          <t>Carried forward</t>
        </is>
      </c>
      <c r="F579" s="23" t="inlineStr"/>
      <c r="G579" s="23" t="inlineStr">
        <is>
          <t>Source assignment -- not individually reviewed</t>
        </is>
      </c>
      <c r="H579" s="14" t="inlineStr">
        <is>
          <t>10 EVIDENCE &amp; DECISIONS</t>
        </is>
      </c>
    </row>
    <row r="580" ht="34" customHeight="1">
      <c r="A580" s="23" t="inlineStr">
        <is>
          <t>R1263-v2</t>
        </is>
      </c>
      <c r="B580" s="23" t="inlineStr">
        <is>
          <t>Cost &amp; Forecast Control Accounts</t>
        </is>
      </c>
      <c r="C580" s="23" t="inlineStr">
        <is>
          <t>CST-03-021</t>
        </is>
      </c>
      <c r="D580" s="23" t="inlineStr">
        <is>
          <t>1.3.1 Systems - Traction Power</t>
        </is>
      </c>
      <c r="E580" s="23" t="inlineStr">
        <is>
          <t>Carried forward</t>
        </is>
      </c>
      <c r="F580" s="23" t="inlineStr"/>
      <c r="G580" s="23" t="inlineStr">
        <is>
          <t>Source assignment -- not individually reviewed</t>
        </is>
      </c>
      <c r="H580" s="14" t="inlineStr">
        <is>
          <t>10 EVIDENCE &amp; DECISIONS</t>
        </is>
      </c>
    </row>
    <row r="581" ht="34" customHeight="1">
      <c r="A581" s="23" t="inlineStr">
        <is>
          <t>R1265-v2</t>
        </is>
      </c>
      <c r="B581" s="23" t="inlineStr">
        <is>
          <t>Cost &amp; Forecast Control Accounts</t>
        </is>
      </c>
      <c r="C581" s="23" t="inlineStr">
        <is>
          <t>CST-03-023</t>
        </is>
      </c>
      <c r="D581" s="23" t="inlineStr">
        <is>
          <t>1.3.1 Systems - Traction Power</t>
        </is>
      </c>
      <c r="E581" s="23" t="inlineStr">
        <is>
          <t>Carried forward</t>
        </is>
      </c>
      <c r="F581" s="23" t="inlineStr"/>
      <c r="G581" s="23" t="inlineStr">
        <is>
          <t>Source assignment -- not individually reviewed</t>
        </is>
      </c>
      <c r="H581" s="14" t="inlineStr">
        <is>
          <t>10 EVIDENCE &amp; DECISIONS</t>
        </is>
      </c>
    </row>
    <row r="582" ht="34" customHeight="1">
      <c r="A582" s="23" t="inlineStr">
        <is>
          <t>R1267-v2</t>
        </is>
      </c>
      <c r="B582" s="23" t="inlineStr">
        <is>
          <t>Cost &amp; Forecast Control Accounts</t>
        </is>
      </c>
      <c r="C582" s="23" t="inlineStr">
        <is>
          <t>CST-03-025</t>
        </is>
      </c>
      <c r="D582" s="23" t="inlineStr">
        <is>
          <t>1.3.1 Systems - Traction Power</t>
        </is>
      </c>
      <c r="E582" s="23" t="inlineStr">
        <is>
          <t>Carried forward</t>
        </is>
      </c>
      <c r="F582" s="23" t="inlineStr"/>
      <c r="G582" s="23" t="inlineStr">
        <is>
          <t>Source assignment -- not individually reviewed</t>
        </is>
      </c>
      <c r="H582" s="14" t="inlineStr">
        <is>
          <t>10 EVIDENCE &amp; DECISIONS</t>
        </is>
      </c>
    </row>
    <row r="583" ht="34" customHeight="1">
      <c r="A583" s="23" t="inlineStr">
        <is>
          <t>R1269-v2</t>
        </is>
      </c>
      <c r="B583" s="23" t="inlineStr">
        <is>
          <t>Cost &amp; Forecast Control Accounts</t>
        </is>
      </c>
      <c r="C583" s="23" t="inlineStr">
        <is>
          <t>CST-03-027</t>
        </is>
      </c>
      <c r="D583" s="23" t="inlineStr">
        <is>
          <t>1.3.1 Systems - Traction Power</t>
        </is>
      </c>
      <c r="E583" s="23" t="inlineStr">
        <is>
          <t>Carried forward</t>
        </is>
      </c>
      <c r="F583" s="23" t="inlineStr"/>
      <c r="G583" s="23" t="inlineStr">
        <is>
          <t>Source assignment -- not individually reviewed</t>
        </is>
      </c>
      <c r="H583" s="14" t="inlineStr">
        <is>
          <t>10 EVIDENCE &amp; DECISIONS</t>
        </is>
      </c>
    </row>
    <row r="584" ht="34" customHeight="1">
      <c r="A584" s="23" t="inlineStr">
        <is>
          <t>R1271-v2</t>
        </is>
      </c>
      <c r="B584" s="23" t="inlineStr">
        <is>
          <t>Cost &amp; Forecast Control Accounts</t>
        </is>
      </c>
      <c r="C584" s="23" t="inlineStr">
        <is>
          <t>CST-03-029</t>
        </is>
      </c>
      <c r="D584" s="23" t="inlineStr">
        <is>
          <t>1.3.1 Systems - Traction Power</t>
        </is>
      </c>
      <c r="E584" s="23" t="inlineStr">
        <is>
          <t>Carried forward</t>
        </is>
      </c>
      <c r="F584" s="23" t="inlineStr"/>
      <c r="G584" s="23" t="inlineStr">
        <is>
          <t>Source assignment -- not individually reviewed</t>
        </is>
      </c>
      <c r="H584" s="14" t="inlineStr">
        <is>
          <t>10 EVIDENCE &amp; DECISIONS</t>
        </is>
      </c>
    </row>
    <row r="585" ht="34" customHeight="1">
      <c r="A585" s="23" t="inlineStr">
        <is>
          <t>R1273-v2</t>
        </is>
      </c>
      <c r="B585" s="23" t="inlineStr">
        <is>
          <t>Cost &amp; Forecast Control Accounts</t>
        </is>
      </c>
      <c r="C585" s="23" t="inlineStr">
        <is>
          <t>CST-03-031</t>
        </is>
      </c>
      <c r="D585" s="23" t="inlineStr">
        <is>
          <t>1.3.1 Systems - Traction Power</t>
        </is>
      </c>
      <c r="E585" s="23" t="inlineStr">
        <is>
          <t>Carried forward</t>
        </is>
      </c>
      <c r="F585" s="23" t="inlineStr"/>
      <c r="G585" s="23" t="inlineStr">
        <is>
          <t>Source assignment -- not individually reviewed</t>
        </is>
      </c>
      <c r="H585" s="14" t="inlineStr">
        <is>
          <t>10 EVIDENCE &amp; DECISIONS</t>
        </is>
      </c>
    </row>
    <row r="586" ht="34" customHeight="1">
      <c r="A586" s="23" t="inlineStr">
        <is>
          <t>R1275-v2</t>
        </is>
      </c>
      <c r="B586" s="23" t="inlineStr">
        <is>
          <t>Cost &amp; Forecast Control Accounts</t>
        </is>
      </c>
      <c r="C586" s="23" t="inlineStr">
        <is>
          <t>CST-03-033</t>
        </is>
      </c>
      <c r="D586" s="23" t="inlineStr">
        <is>
          <t>1.3.1 Systems - Traction Power</t>
        </is>
      </c>
      <c r="E586" s="23" t="inlineStr">
        <is>
          <t>Carried forward</t>
        </is>
      </c>
      <c r="F586" s="23" t="inlineStr"/>
      <c r="G586" s="23" t="inlineStr">
        <is>
          <t>Source assignment -- not individually reviewed</t>
        </is>
      </c>
      <c r="H586" s="14" t="inlineStr">
        <is>
          <t>10 EVIDENCE &amp; DECISIONS</t>
        </is>
      </c>
    </row>
    <row r="587" ht="34" customHeight="1">
      <c r="A587" s="23" t="inlineStr">
        <is>
          <t>R1277-v2</t>
        </is>
      </c>
      <c r="B587" s="23" t="inlineStr">
        <is>
          <t>Cost &amp; Forecast Control Accounts</t>
        </is>
      </c>
      <c r="C587" s="23" t="inlineStr">
        <is>
          <t>CST-03-035</t>
        </is>
      </c>
      <c r="D587" s="23" t="inlineStr">
        <is>
          <t>1.3.1 Systems - Traction Power</t>
        </is>
      </c>
      <c r="E587" s="23" t="inlineStr">
        <is>
          <t>Carried forward</t>
        </is>
      </c>
      <c r="F587" s="23" t="inlineStr"/>
      <c r="G587" s="23" t="inlineStr">
        <is>
          <t>Source assignment -- not individually reviewed</t>
        </is>
      </c>
      <c r="H587" s="14" t="inlineStr">
        <is>
          <t>10 EVIDENCE &amp; DECISIONS</t>
        </is>
      </c>
    </row>
    <row r="588" ht="34" customHeight="1">
      <c r="A588" s="23" t="inlineStr">
        <is>
          <t>R1279-v2</t>
        </is>
      </c>
      <c r="B588" s="23" t="inlineStr">
        <is>
          <t>Cost &amp; Forecast Control Accounts</t>
        </is>
      </c>
      <c r="C588" s="23" t="inlineStr">
        <is>
          <t>CST-03-037</t>
        </is>
      </c>
      <c r="D588" s="23" t="inlineStr">
        <is>
          <t>1.3.1 Systems - Traction Power</t>
        </is>
      </c>
      <c r="E588" s="23" t="inlineStr">
        <is>
          <t>Carried forward</t>
        </is>
      </c>
      <c r="F588" s="23" t="inlineStr"/>
      <c r="G588" s="23" t="inlineStr">
        <is>
          <t>Source assignment -- not individually reviewed</t>
        </is>
      </c>
      <c r="H588" s="14" t="inlineStr">
        <is>
          <t>10 EVIDENCE &amp; DECISIONS</t>
        </is>
      </c>
    </row>
    <row r="589" ht="34" customHeight="1">
      <c r="A589" s="23" t="inlineStr">
        <is>
          <t>R1281-v2</t>
        </is>
      </c>
      <c r="B589" s="23" t="inlineStr">
        <is>
          <t>Cost &amp; Forecast Control Accounts</t>
        </is>
      </c>
      <c r="C589" s="23" t="inlineStr">
        <is>
          <t>CST-03-039</t>
        </is>
      </c>
      <c r="D589" s="23" t="inlineStr">
        <is>
          <t>1.3.1 Systems - Traction Power</t>
        </is>
      </c>
      <c r="E589" s="23" t="inlineStr">
        <is>
          <t>Carried forward</t>
        </is>
      </c>
      <c r="F589" s="23" t="inlineStr"/>
      <c r="G589" s="23" t="inlineStr">
        <is>
          <t>Source assignment -- not individually reviewed</t>
        </is>
      </c>
      <c r="H589" s="14" t="inlineStr">
        <is>
          <t>10 EVIDENCE &amp; DECISIONS</t>
        </is>
      </c>
    </row>
    <row r="590" ht="34" customHeight="1">
      <c r="A590" s="23" t="inlineStr">
        <is>
          <t>R1283-v2</t>
        </is>
      </c>
      <c r="B590" s="23" t="inlineStr">
        <is>
          <t>Cost &amp; Forecast Control Accounts</t>
        </is>
      </c>
      <c r="C590" s="23" t="inlineStr">
        <is>
          <t>CST-03-041</t>
        </is>
      </c>
      <c r="D590" s="23" t="inlineStr">
        <is>
          <t>1.3.1 Systems - Traction Power</t>
        </is>
      </c>
      <c r="E590" s="23" t="inlineStr">
        <is>
          <t>Carried forward</t>
        </is>
      </c>
      <c r="F590" s="23" t="inlineStr"/>
      <c r="G590" s="23" t="inlineStr">
        <is>
          <t>Source assignment -- not individually reviewed</t>
        </is>
      </c>
      <c r="H590" s="14" t="inlineStr">
        <is>
          <t>10 EVIDENCE &amp; DECISIONS</t>
        </is>
      </c>
    </row>
    <row r="591" ht="34" customHeight="1">
      <c r="A591" s="23" t="inlineStr">
        <is>
          <t>R1285-v2</t>
        </is>
      </c>
      <c r="B591" s="23" t="inlineStr">
        <is>
          <t>Cost &amp; Forecast Control Accounts</t>
        </is>
      </c>
      <c r="C591" s="23" t="inlineStr">
        <is>
          <t>CST-03-043</t>
        </is>
      </c>
      <c r="D591" s="23" t="inlineStr">
        <is>
          <t>1.3.1 Systems - Traction Power</t>
        </is>
      </c>
      <c r="E591" s="23" t="inlineStr">
        <is>
          <t>Carried forward</t>
        </is>
      </c>
      <c r="F591" s="23" t="inlineStr"/>
      <c r="G591" s="23" t="inlineStr">
        <is>
          <t>Source assignment -- not individually reviewed</t>
        </is>
      </c>
      <c r="H591" s="14" t="inlineStr">
        <is>
          <t>10 EVIDENCE &amp; DECISIONS</t>
        </is>
      </c>
    </row>
    <row r="592" ht="34" customHeight="1">
      <c r="A592" s="23" t="inlineStr">
        <is>
          <t>R1287-v2</t>
        </is>
      </c>
      <c r="B592" s="23" t="inlineStr">
        <is>
          <t>Cost &amp; Forecast Control Accounts</t>
        </is>
      </c>
      <c r="C592" s="23" t="inlineStr">
        <is>
          <t>CST-03-045</t>
        </is>
      </c>
      <c r="D592" s="23" t="inlineStr">
        <is>
          <t>1.3.1 Systems - Traction Power</t>
        </is>
      </c>
      <c r="E592" s="23" t="inlineStr">
        <is>
          <t>Carried forward</t>
        </is>
      </c>
      <c r="F592" s="23" t="inlineStr"/>
      <c r="G592" s="23" t="inlineStr">
        <is>
          <t>Source assignment -- not individually reviewed</t>
        </is>
      </c>
      <c r="H592" s="14" t="inlineStr">
        <is>
          <t>10 EVIDENCE &amp; DECISIONS</t>
        </is>
      </c>
    </row>
    <row r="593" ht="34" customHeight="1">
      <c r="A593" s="23" t="inlineStr">
        <is>
          <t>R1289-v2</t>
        </is>
      </c>
      <c r="B593" s="23" t="inlineStr">
        <is>
          <t>Cost &amp; Forecast Control Accounts</t>
        </is>
      </c>
      <c r="C593" s="23" t="inlineStr">
        <is>
          <t>CST-03-047</t>
        </is>
      </c>
      <c r="D593" s="23" t="inlineStr">
        <is>
          <t>1.3.1 Systems - Traction Power</t>
        </is>
      </c>
      <c r="E593" s="23" t="inlineStr">
        <is>
          <t>Carried forward</t>
        </is>
      </c>
      <c r="F593" s="23" t="inlineStr"/>
      <c r="G593" s="23" t="inlineStr">
        <is>
          <t>Source assignment -- not individually reviewed</t>
        </is>
      </c>
      <c r="H593" s="14" t="inlineStr">
        <is>
          <t>10 EVIDENCE &amp; DECISIONS</t>
        </is>
      </c>
    </row>
    <row r="594" ht="34" customHeight="1">
      <c r="A594" s="23" t="inlineStr">
        <is>
          <t>R1291-v2</t>
        </is>
      </c>
      <c r="B594" s="23" t="inlineStr">
        <is>
          <t>Cost &amp; Forecast Control Accounts</t>
        </is>
      </c>
      <c r="C594" s="23" t="inlineStr">
        <is>
          <t>CST-03-049</t>
        </is>
      </c>
      <c r="D594" s="23" t="inlineStr">
        <is>
          <t>1.3.1 Systems - Traction Power</t>
        </is>
      </c>
      <c r="E594" s="23" t="inlineStr">
        <is>
          <t>Carried forward</t>
        </is>
      </c>
      <c r="F594" s="23" t="inlineStr"/>
      <c r="G594" s="23" t="inlineStr">
        <is>
          <t>Source assignment -- not individually reviewed</t>
        </is>
      </c>
      <c r="H594" s="14" t="inlineStr">
        <is>
          <t>10 EVIDENCE &amp; DECISIONS</t>
        </is>
      </c>
    </row>
    <row r="595" ht="34" customHeight="1">
      <c r="A595" s="23" t="inlineStr">
        <is>
          <t>R1293-v2</t>
        </is>
      </c>
      <c r="B595" s="23" t="inlineStr">
        <is>
          <t>Cost &amp; Forecast Control Accounts</t>
        </is>
      </c>
      <c r="C595" s="23" t="inlineStr">
        <is>
          <t>CST-03-051</t>
        </is>
      </c>
      <c r="D595" s="23" t="inlineStr">
        <is>
          <t>1.3.1 Systems - Traction Power</t>
        </is>
      </c>
      <c r="E595" s="23" t="inlineStr">
        <is>
          <t>Carried forward</t>
        </is>
      </c>
      <c r="F595" s="23" t="inlineStr"/>
      <c r="G595" s="23" t="inlineStr">
        <is>
          <t>Source assignment -- not individually reviewed</t>
        </is>
      </c>
      <c r="H595" s="14" t="inlineStr">
        <is>
          <t>10 EVIDENCE &amp; DECISIONS</t>
        </is>
      </c>
    </row>
    <row r="596" ht="34" customHeight="1">
      <c r="A596" s="23" t="inlineStr">
        <is>
          <t>R1295-v2</t>
        </is>
      </c>
      <c r="B596" s="23" t="inlineStr">
        <is>
          <t>Cost &amp; Forecast Control Accounts</t>
        </is>
      </c>
      <c r="C596" s="23" t="inlineStr">
        <is>
          <t>CST-03-053</t>
        </is>
      </c>
      <c r="D596" s="23" t="inlineStr">
        <is>
          <t>1.3.1 Systems - Traction Power</t>
        </is>
      </c>
      <c r="E596" s="23" t="inlineStr">
        <is>
          <t>Carried forward</t>
        </is>
      </c>
      <c r="F596" s="23" t="inlineStr"/>
      <c r="G596" s="23" t="inlineStr">
        <is>
          <t>Source assignment -- not individually reviewed</t>
        </is>
      </c>
      <c r="H596" s="14" t="inlineStr">
        <is>
          <t>10 EVIDENCE &amp; DECISIONS</t>
        </is>
      </c>
    </row>
    <row r="597" ht="34" customHeight="1">
      <c r="A597" s="23" t="inlineStr">
        <is>
          <t>R1297-v2</t>
        </is>
      </c>
      <c r="B597" s="23" t="inlineStr">
        <is>
          <t>Cost &amp; Forecast Control Accounts</t>
        </is>
      </c>
      <c r="C597" s="23" t="inlineStr">
        <is>
          <t>CST-03-055</t>
        </is>
      </c>
      <c r="D597" s="23" t="inlineStr">
        <is>
          <t>1.3.1 Systems - Traction Power</t>
        </is>
      </c>
      <c r="E597" s="23" t="inlineStr">
        <is>
          <t>Carried forward</t>
        </is>
      </c>
      <c r="F597" s="23" t="inlineStr"/>
      <c r="G597" s="23" t="inlineStr">
        <is>
          <t>Source assignment -- not individually reviewed</t>
        </is>
      </c>
      <c r="H597" s="14" t="inlineStr">
        <is>
          <t>10 EVIDENCE &amp; DECISIONS</t>
        </is>
      </c>
    </row>
    <row r="598" ht="34" customHeight="1">
      <c r="A598" s="23" t="inlineStr">
        <is>
          <t>R1299-v2</t>
        </is>
      </c>
      <c r="B598" s="23" t="inlineStr">
        <is>
          <t>Cost &amp; Forecast Control Accounts</t>
        </is>
      </c>
      <c r="C598" s="23" t="inlineStr">
        <is>
          <t>CST-03-057</t>
        </is>
      </c>
      <c r="D598" s="23" t="inlineStr">
        <is>
          <t>1.3.1 Systems - Traction Power</t>
        </is>
      </c>
      <c r="E598" s="23" t="inlineStr">
        <is>
          <t>Carried forward</t>
        </is>
      </c>
      <c r="F598" s="23" t="inlineStr"/>
      <c r="G598" s="23" t="inlineStr">
        <is>
          <t>Source assignment -- not individually reviewed</t>
        </is>
      </c>
      <c r="H598" s="14" t="inlineStr">
        <is>
          <t>10 EVIDENCE &amp; DECISIONS</t>
        </is>
      </c>
    </row>
    <row r="599" ht="34" customHeight="1">
      <c r="A599" s="23" t="inlineStr">
        <is>
          <t>R1301-v2</t>
        </is>
      </c>
      <c r="B599" s="23" t="inlineStr">
        <is>
          <t>Cost &amp; Forecast Control Accounts</t>
        </is>
      </c>
      <c r="C599" s="23" t="inlineStr">
        <is>
          <t>CST-03-059</t>
        </is>
      </c>
      <c r="D599" s="23" t="inlineStr">
        <is>
          <t>1.3.1 Systems - Traction Power</t>
        </is>
      </c>
      <c r="E599" s="23" t="inlineStr">
        <is>
          <t>Carried forward</t>
        </is>
      </c>
      <c r="F599" s="23" t="inlineStr"/>
      <c r="G599" s="23" t="inlineStr">
        <is>
          <t>Source assignment -- not individually reviewed</t>
        </is>
      </c>
      <c r="H599" s="14" t="inlineStr">
        <is>
          <t>10 EVIDENCE &amp; DECISIONS</t>
        </is>
      </c>
    </row>
    <row r="600" ht="34" customHeight="1">
      <c r="A600" s="23" t="inlineStr">
        <is>
          <t>R1303-v2</t>
        </is>
      </c>
      <c r="B600" s="23" t="inlineStr">
        <is>
          <t>Cost &amp; Forecast Control Accounts</t>
        </is>
      </c>
      <c r="C600" s="23" t="inlineStr">
        <is>
          <t>CST-03-061</t>
        </is>
      </c>
      <c r="D600" s="23" t="inlineStr">
        <is>
          <t>1.3.1 Systems - Traction Power</t>
        </is>
      </c>
      <c r="E600" s="23" t="inlineStr">
        <is>
          <t>Carried forward</t>
        </is>
      </c>
      <c r="F600" s="23" t="inlineStr"/>
      <c r="G600" s="23" t="inlineStr">
        <is>
          <t>Source assignment -- not individually reviewed</t>
        </is>
      </c>
      <c r="H600" s="14" t="inlineStr">
        <is>
          <t>10 EVIDENCE &amp; DECISIONS</t>
        </is>
      </c>
    </row>
    <row r="601" ht="34" customHeight="1">
      <c r="A601" s="23" t="inlineStr">
        <is>
          <t>R1305-v2</t>
        </is>
      </c>
      <c r="B601" s="23" t="inlineStr">
        <is>
          <t>Cost &amp; Forecast Control Accounts</t>
        </is>
      </c>
      <c r="C601" s="23" t="inlineStr">
        <is>
          <t>CST-03-063</t>
        </is>
      </c>
      <c r="D601" s="23" t="inlineStr">
        <is>
          <t>1.3.1 Systems - Traction Power</t>
        </is>
      </c>
      <c r="E601" s="23" t="inlineStr">
        <is>
          <t>Carried forward</t>
        </is>
      </c>
      <c r="F601" s="23" t="inlineStr"/>
      <c r="G601" s="23" t="inlineStr">
        <is>
          <t>Source assignment -- not individually reviewed</t>
        </is>
      </c>
      <c r="H601" s="14" t="inlineStr">
        <is>
          <t>10 EVIDENCE &amp; DECISIONS</t>
        </is>
      </c>
    </row>
    <row r="602" ht="34" customHeight="1">
      <c r="A602" s="23" t="inlineStr">
        <is>
          <t>R1307-v2</t>
        </is>
      </c>
      <c r="B602" s="23" t="inlineStr">
        <is>
          <t>Cost &amp; Forecast Control Accounts</t>
        </is>
      </c>
      <c r="C602" s="23" t="inlineStr">
        <is>
          <t>CST-03-065</t>
        </is>
      </c>
      <c r="D602" s="23" t="inlineStr">
        <is>
          <t>1.3.1 Systems - Traction Power</t>
        </is>
      </c>
      <c r="E602" s="23" t="inlineStr">
        <is>
          <t>Carried forward</t>
        </is>
      </c>
      <c r="F602" s="23" t="inlineStr"/>
      <c r="G602" s="23" t="inlineStr">
        <is>
          <t>Source assignment -- not individually reviewed</t>
        </is>
      </c>
      <c r="H602" s="14" t="inlineStr">
        <is>
          <t>10 EVIDENCE &amp; DECISIONS</t>
        </is>
      </c>
    </row>
    <row r="603" ht="34" customHeight="1">
      <c r="A603" s="23" t="inlineStr">
        <is>
          <t>R1309-v2</t>
        </is>
      </c>
      <c r="B603" s="23" t="inlineStr">
        <is>
          <t>Cost &amp; Forecast Control Accounts</t>
        </is>
      </c>
      <c r="C603" s="23" t="inlineStr">
        <is>
          <t>CST-03-067</t>
        </is>
      </c>
      <c r="D603" s="23" t="inlineStr">
        <is>
          <t>1.3.1 Systems - Traction Power</t>
        </is>
      </c>
      <c r="E603" s="23" t="inlineStr">
        <is>
          <t>Carried forward</t>
        </is>
      </c>
      <c r="F603" s="23" t="inlineStr"/>
      <c r="G603" s="23" t="inlineStr">
        <is>
          <t>Source assignment -- not individually reviewed</t>
        </is>
      </c>
      <c r="H603" s="14" t="inlineStr">
        <is>
          <t>10 EVIDENCE &amp; DECISIONS</t>
        </is>
      </c>
    </row>
    <row r="604" ht="34" customHeight="1">
      <c r="A604" s="23" t="inlineStr">
        <is>
          <t>R1311-v2</t>
        </is>
      </c>
      <c r="B604" s="23" t="inlineStr">
        <is>
          <t>Cost &amp; Forecast Control Accounts</t>
        </is>
      </c>
      <c r="C604" s="23" t="inlineStr">
        <is>
          <t>CST-03-069</t>
        </is>
      </c>
      <c r="D604" s="23" t="inlineStr">
        <is>
          <t>1.3.1 Systems - Traction Power</t>
        </is>
      </c>
      <c r="E604" s="23" t="inlineStr">
        <is>
          <t>Carried forward</t>
        </is>
      </c>
      <c r="F604" s="23" t="inlineStr"/>
      <c r="G604" s="23" t="inlineStr">
        <is>
          <t>Source assignment -- not individually reviewed</t>
        </is>
      </c>
      <c r="H604" s="14" t="inlineStr">
        <is>
          <t>10 EVIDENCE &amp; DECISIONS</t>
        </is>
      </c>
    </row>
    <row r="605" ht="34" customHeight="1">
      <c r="A605" s="23" t="inlineStr">
        <is>
          <t>R1313-v2</t>
        </is>
      </c>
      <c r="B605" s="23" t="inlineStr">
        <is>
          <t>Cost &amp; Forecast Control Accounts</t>
        </is>
      </c>
      <c r="C605" s="23" t="inlineStr">
        <is>
          <t>CST-03-071</t>
        </is>
      </c>
      <c r="D605" s="23" t="inlineStr">
        <is>
          <t>1.3.1 Systems - Traction Power</t>
        </is>
      </c>
      <c r="E605" s="23" t="inlineStr">
        <is>
          <t>Carried forward</t>
        </is>
      </c>
      <c r="F605" s="23" t="inlineStr"/>
      <c r="G605" s="23" t="inlineStr">
        <is>
          <t>Source assignment -- not individually reviewed</t>
        </is>
      </c>
      <c r="H605" s="14" t="inlineStr">
        <is>
          <t>10 EVIDENCE &amp; DECISIONS</t>
        </is>
      </c>
    </row>
    <row r="606" ht="34" customHeight="1">
      <c r="A606" s="23" t="inlineStr">
        <is>
          <t>R1315-v2</t>
        </is>
      </c>
      <c r="B606" s="23" t="inlineStr">
        <is>
          <t>Cost &amp; Forecast Control Accounts</t>
        </is>
      </c>
      <c r="C606" s="23" t="inlineStr">
        <is>
          <t>CST-03-073</t>
        </is>
      </c>
      <c r="D606" s="23" t="inlineStr">
        <is>
          <t>1.3.1 Systems - Traction Power</t>
        </is>
      </c>
      <c r="E606" s="23" t="inlineStr">
        <is>
          <t>Carried forward</t>
        </is>
      </c>
      <c r="F606" s="23" t="inlineStr"/>
      <c r="G606" s="23" t="inlineStr">
        <is>
          <t>Source assignment -- not individually reviewed</t>
        </is>
      </c>
      <c r="H606" s="14" t="inlineStr">
        <is>
          <t>10 EVIDENCE &amp; DECISIONS</t>
        </is>
      </c>
    </row>
    <row r="607" ht="34" customHeight="1">
      <c r="A607" s="23" t="inlineStr">
        <is>
          <t>R1317-v2</t>
        </is>
      </c>
      <c r="B607" s="23" t="inlineStr">
        <is>
          <t>Cost &amp; Forecast Control Accounts</t>
        </is>
      </c>
      <c r="C607" s="23" t="inlineStr">
        <is>
          <t>CST-03-075</t>
        </is>
      </c>
      <c r="D607" s="23" t="inlineStr">
        <is>
          <t>1.3.1 Systems - Traction Power</t>
        </is>
      </c>
      <c r="E607" s="23" t="inlineStr">
        <is>
          <t>Carried forward</t>
        </is>
      </c>
      <c r="F607" s="23" t="inlineStr"/>
      <c r="G607" s="23" t="inlineStr">
        <is>
          <t>Source assignment -- not individually reviewed</t>
        </is>
      </c>
      <c r="H607" s="14" t="inlineStr">
        <is>
          <t>10 EVIDENCE &amp; DECISIONS</t>
        </is>
      </c>
    </row>
    <row r="608" ht="34" customHeight="1">
      <c r="A608" s="23" t="inlineStr">
        <is>
          <t>R1319-v2</t>
        </is>
      </c>
      <c r="B608" s="23" t="inlineStr">
        <is>
          <t>Cost &amp; Forecast Control Accounts</t>
        </is>
      </c>
      <c r="C608" s="23" t="inlineStr">
        <is>
          <t>CST-03-077</t>
        </is>
      </c>
      <c r="D608" s="23" t="inlineStr">
        <is>
          <t>1.3.1 Systems - Traction Power</t>
        </is>
      </c>
      <c r="E608" s="23" t="inlineStr">
        <is>
          <t>Carried forward</t>
        </is>
      </c>
      <c r="F608" s="23" t="inlineStr"/>
      <c r="G608" s="23" t="inlineStr">
        <is>
          <t>Source assignment -- not individually reviewed</t>
        </is>
      </c>
      <c r="H608" s="14" t="inlineStr">
        <is>
          <t>10 EVIDENCE &amp; DECISIONS</t>
        </is>
      </c>
    </row>
    <row r="609" ht="34" customHeight="1">
      <c r="A609" s="23" t="inlineStr">
        <is>
          <t>R1321-v2</t>
        </is>
      </c>
      <c r="B609" s="23" t="inlineStr">
        <is>
          <t>Cost &amp; Forecast Control Accounts</t>
        </is>
      </c>
      <c r="C609" s="23" t="inlineStr">
        <is>
          <t>CST-03-079</t>
        </is>
      </c>
      <c r="D609" s="23" t="inlineStr">
        <is>
          <t>1.3.1 Systems - Traction Power</t>
        </is>
      </c>
      <c r="E609" s="23" t="inlineStr">
        <is>
          <t>Carried forward</t>
        </is>
      </c>
      <c r="F609" s="23" t="inlineStr"/>
      <c r="G609" s="23" t="inlineStr">
        <is>
          <t>Source assignment -- not individually reviewed</t>
        </is>
      </c>
      <c r="H609" s="14" t="inlineStr">
        <is>
          <t>10 EVIDENCE &amp; DECISIONS</t>
        </is>
      </c>
    </row>
    <row r="610" ht="34" customHeight="1">
      <c r="A610" s="23" t="inlineStr">
        <is>
          <t>R361-v2</t>
        </is>
      </c>
      <c r="B610" s="23" t="inlineStr">
        <is>
          <t>Contractor Programme</t>
        </is>
      </c>
      <c r="C610" s="23" t="inlineStr">
        <is>
          <t>SCH-03-001</t>
        </is>
      </c>
      <c r="D610" s="23" t="inlineStr">
        <is>
          <t>1.3.1 Systems - Traction Power</t>
        </is>
      </c>
      <c r="E610" s="23" t="inlineStr">
        <is>
          <t>Carried forward</t>
        </is>
      </c>
      <c r="F610" s="23" t="inlineStr"/>
      <c r="G610" s="23" t="inlineStr">
        <is>
          <t>Source assignment -- not individually reviewed</t>
        </is>
      </c>
      <c r="H610" s="14" t="inlineStr">
        <is>
          <t>10 EVIDENCE &amp; DECISIONS</t>
        </is>
      </c>
    </row>
    <row r="611" ht="34" customHeight="1">
      <c r="A611" s="23" t="inlineStr">
        <is>
          <t>R362-v2</t>
        </is>
      </c>
      <c r="B611" s="23" t="inlineStr">
        <is>
          <t>Contractor Programme</t>
        </is>
      </c>
      <c r="C611" s="23" t="inlineStr">
        <is>
          <t>SCH-03-002</t>
        </is>
      </c>
      <c r="D611" s="23" t="inlineStr">
        <is>
          <t>1.3.1 Systems - Traction Power</t>
        </is>
      </c>
      <c r="E611" s="23" t="inlineStr">
        <is>
          <t>Carried forward</t>
        </is>
      </c>
      <c r="F611" s="23" t="inlineStr"/>
      <c r="G611" s="23" t="inlineStr">
        <is>
          <t>Source assignment -- not individually reviewed</t>
        </is>
      </c>
      <c r="H611" s="14" t="inlineStr">
        <is>
          <t>10 EVIDENCE &amp; DECISIONS</t>
        </is>
      </c>
    </row>
    <row r="612" ht="34" customHeight="1">
      <c r="A612" s="23" t="inlineStr">
        <is>
          <t>R364-v2</t>
        </is>
      </c>
      <c r="B612" s="23" t="inlineStr">
        <is>
          <t>Contractor Programme</t>
        </is>
      </c>
      <c r="C612" s="23" t="inlineStr">
        <is>
          <t>SCH-03-004</t>
        </is>
      </c>
      <c r="D612" s="23" t="inlineStr">
        <is>
          <t>1.3.1 Systems - Traction Power</t>
        </is>
      </c>
      <c r="E612" s="23" t="inlineStr">
        <is>
          <t>Carried forward</t>
        </is>
      </c>
      <c r="F612" s="23" t="inlineStr"/>
      <c r="G612" s="23" t="inlineStr">
        <is>
          <t>Source assignment -- not individually reviewed</t>
        </is>
      </c>
      <c r="H612" s="14" t="inlineStr">
        <is>
          <t>10 EVIDENCE &amp; DECISIONS</t>
        </is>
      </c>
    </row>
    <row r="613" ht="34" customHeight="1">
      <c r="A613" s="23" t="inlineStr">
        <is>
          <t>R365-v2</t>
        </is>
      </c>
      <c r="B613" s="23" t="inlineStr">
        <is>
          <t>Contractor Programme</t>
        </is>
      </c>
      <c r="C613" s="23" t="inlineStr">
        <is>
          <t>SCH-03-005</t>
        </is>
      </c>
      <c r="D613" s="23" t="inlineStr">
        <is>
          <t>1.3.1 Systems - Traction Power</t>
        </is>
      </c>
      <c r="E613" s="23" t="inlineStr">
        <is>
          <t>Carried forward</t>
        </is>
      </c>
      <c r="F613" s="23" t="inlineStr"/>
      <c r="G613" s="23" t="inlineStr">
        <is>
          <t>Source assignment -- not individually reviewed</t>
        </is>
      </c>
      <c r="H613" s="14" t="inlineStr">
        <is>
          <t>10 EVIDENCE &amp; DECISIONS</t>
        </is>
      </c>
    </row>
    <row r="614" ht="34" customHeight="1">
      <c r="A614" s="23" t="inlineStr">
        <is>
          <t>R368-v2</t>
        </is>
      </c>
      <c r="B614" s="23" t="inlineStr">
        <is>
          <t>Contractor Programme</t>
        </is>
      </c>
      <c r="C614" s="23" t="inlineStr">
        <is>
          <t>SCH-03-008</t>
        </is>
      </c>
      <c r="D614" s="23" t="inlineStr">
        <is>
          <t>1.3.1 Systems - Traction Power</t>
        </is>
      </c>
      <c r="E614" s="23" t="inlineStr">
        <is>
          <t>Carried forward</t>
        </is>
      </c>
      <c r="F614" s="23" t="inlineStr"/>
      <c r="G614" s="23" t="inlineStr">
        <is>
          <t>Source assignment -- not individually reviewed</t>
        </is>
      </c>
      <c r="H614" s="14" t="inlineStr">
        <is>
          <t>10 EVIDENCE &amp; DECISIONS</t>
        </is>
      </c>
    </row>
    <row r="615" ht="34" customHeight="1">
      <c r="A615" s="23" t="inlineStr">
        <is>
          <t>R370-v2</t>
        </is>
      </c>
      <c r="B615" s="23" t="inlineStr">
        <is>
          <t>Contractor Programme</t>
        </is>
      </c>
      <c r="C615" s="23" t="inlineStr">
        <is>
          <t>SCH-03-010</t>
        </is>
      </c>
      <c r="D615" s="23" t="inlineStr">
        <is>
          <t>1.3.1 Systems - Traction Power</t>
        </is>
      </c>
      <c r="E615" s="23" t="inlineStr">
        <is>
          <t>Carried forward</t>
        </is>
      </c>
      <c r="F615" s="23" t="inlineStr"/>
      <c r="G615" s="23" t="inlineStr">
        <is>
          <t>Source assignment -- not individually reviewed</t>
        </is>
      </c>
      <c r="H615" s="14" t="inlineStr">
        <is>
          <t>10 EVIDENCE &amp; DECISIONS</t>
        </is>
      </c>
    </row>
    <row r="616" ht="34" customHeight="1">
      <c r="A616" s="23" t="inlineStr">
        <is>
          <t>R371-v2</t>
        </is>
      </c>
      <c r="B616" s="23" t="inlineStr">
        <is>
          <t>Contractor Programme</t>
        </is>
      </c>
      <c r="C616" s="23" t="inlineStr">
        <is>
          <t>SCH-03-011</t>
        </is>
      </c>
      <c r="D616" s="23" t="inlineStr">
        <is>
          <t>1.3.1 Systems - Traction Power</t>
        </is>
      </c>
      <c r="E616" s="23" t="inlineStr">
        <is>
          <t>Carried forward</t>
        </is>
      </c>
      <c r="F616" s="23" t="inlineStr"/>
      <c r="G616" s="23" t="inlineStr">
        <is>
          <t>Source assignment -- not individually reviewed</t>
        </is>
      </c>
      <c r="H616" s="14" t="inlineStr">
        <is>
          <t>10 EVIDENCE &amp; DECISIONS</t>
        </is>
      </c>
    </row>
    <row r="617" ht="34" customHeight="1">
      <c r="A617" s="23" t="inlineStr">
        <is>
          <t>R373-v2</t>
        </is>
      </c>
      <c r="B617" s="23" t="inlineStr">
        <is>
          <t>Contractor Programme</t>
        </is>
      </c>
      <c r="C617" s="23" t="inlineStr">
        <is>
          <t>SCH-03-013</t>
        </is>
      </c>
      <c r="D617" s="23" t="inlineStr">
        <is>
          <t>1.3.1 Systems - Traction Power</t>
        </is>
      </c>
      <c r="E617" s="23" t="inlineStr">
        <is>
          <t>Carried forward</t>
        </is>
      </c>
      <c r="F617" s="23" t="inlineStr"/>
      <c r="G617" s="23" t="inlineStr">
        <is>
          <t>Source assignment -- not individually reviewed</t>
        </is>
      </c>
      <c r="H617" s="14" t="inlineStr">
        <is>
          <t>10 EVIDENCE &amp; DECISIONS</t>
        </is>
      </c>
    </row>
    <row r="618" ht="34" customHeight="1">
      <c r="A618" s="23" t="inlineStr">
        <is>
          <t>R374-v2</t>
        </is>
      </c>
      <c r="B618" s="23" t="inlineStr">
        <is>
          <t>Contractor Programme</t>
        </is>
      </c>
      <c r="C618" s="23" t="inlineStr">
        <is>
          <t>SCH-03-014</t>
        </is>
      </c>
      <c r="D618" s="23" t="inlineStr">
        <is>
          <t>1.3.1 Systems - Traction Power</t>
        </is>
      </c>
      <c r="E618" s="23" t="inlineStr">
        <is>
          <t>Carried forward</t>
        </is>
      </c>
      <c r="F618" s="23" t="inlineStr"/>
      <c r="G618" s="23" t="inlineStr">
        <is>
          <t>Source assignment -- not individually reviewed</t>
        </is>
      </c>
      <c r="H618" s="14" t="inlineStr">
        <is>
          <t>10 EVIDENCE &amp; DECISIONS</t>
        </is>
      </c>
    </row>
    <row r="619" ht="34" customHeight="1">
      <c r="A619" s="23" t="inlineStr">
        <is>
          <t>R376-v2</t>
        </is>
      </c>
      <c r="B619" s="23" t="inlineStr">
        <is>
          <t>Contractor Programme</t>
        </is>
      </c>
      <c r="C619" s="23" t="inlineStr">
        <is>
          <t>SCH-03-016</t>
        </is>
      </c>
      <c r="D619" s="23" t="inlineStr">
        <is>
          <t>1.3.1 Systems - Traction Power</t>
        </is>
      </c>
      <c r="E619" s="23" t="inlineStr">
        <is>
          <t>Carried forward</t>
        </is>
      </c>
      <c r="F619" s="23" t="inlineStr"/>
      <c r="G619" s="23" t="inlineStr">
        <is>
          <t>Source assignment -- not individually reviewed</t>
        </is>
      </c>
      <c r="H619" s="14" t="inlineStr">
        <is>
          <t>10 EVIDENCE &amp; DECISIONS</t>
        </is>
      </c>
    </row>
    <row r="620" ht="34" customHeight="1">
      <c r="A620" s="23" t="inlineStr">
        <is>
          <t>R377-v2</t>
        </is>
      </c>
      <c r="B620" s="23" t="inlineStr">
        <is>
          <t>Contractor Programme</t>
        </is>
      </c>
      <c r="C620" s="23" t="inlineStr">
        <is>
          <t>SCH-03-017</t>
        </is>
      </c>
      <c r="D620" s="23" t="inlineStr">
        <is>
          <t>1.3.1 Systems - Traction Power</t>
        </is>
      </c>
      <c r="E620" s="23" t="inlineStr">
        <is>
          <t>Carried forward</t>
        </is>
      </c>
      <c r="F620" s="23" t="inlineStr"/>
      <c r="G620" s="23" t="inlineStr">
        <is>
          <t>Source assignment -- not individually reviewed</t>
        </is>
      </c>
      <c r="H620" s="14" t="inlineStr">
        <is>
          <t>10 EVIDENCE &amp; DECISIONS</t>
        </is>
      </c>
    </row>
    <row r="621" ht="34" customHeight="1">
      <c r="A621" s="23" t="inlineStr">
        <is>
          <t>R379-v2</t>
        </is>
      </c>
      <c r="B621" s="23" t="inlineStr">
        <is>
          <t>Contractor Programme</t>
        </is>
      </c>
      <c r="C621" s="23" t="inlineStr">
        <is>
          <t>SCH-03-019</t>
        </is>
      </c>
      <c r="D621" s="23" t="inlineStr">
        <is>
          <t>1.3.1 Systems - Traction Power</t>
        </is>
      </c>
      <c r="E621" s="23" t="inlineStr">
        <is>
          <t>Carried forward</t>
        </is>
      </c>
      <c r="F621" s="23" t="inlineStr"/>
      <c r="G621" s="23" t="inlineStr">
        <is>
          <t>Source assignment -- not individually reviewed</t>
        </is>
      </c>
      <c r="H621" s="14" t="inlineStr">
        <is>
          <t>10 EVIDENCE &amp; DECISIONS</t>
        </is>
      </c>
    </row>
    <row r="622" ht="34" customHeight="1">
      <c r="A622" s="23" t="inlineStr">
        <is>
          <t>R380-v2</t>
        </is>
      </c>
      <c r="B622" s="23" t="inlineStr">
        <is>
          <t>Contractor Programme</t>
        </is>
      </c>
      <c r="C622" s="23" t="inlineStr">
        <is>
          <t>SCH-03-020</t>
        </is>
      </c>
      <c r="D622" s="23" t="inlineStr">
        <is>
          <t>1.3.1 Systems - Traction Power</t>
        </is>
      </c>
      <c r="E622" s="23" t="inlineStr">
        <is>
          <t>Carried forward</t>
        </is>
      </c>
      <c r="F622" s="23" t="inlineStr"/>
      <c r="G622" s="23" t="inlineStr">
        <is>
          <t>Source assignment -- not individually reviewed</t>
        </is>
      </c>
      <c r="H622" s="14" t="inlineStr">
        <is>
          <t>10 EVIDENCE &amp; DECISIONS</t>
        </is>
      </c>
    </row>
    <row r="623" ht="34" customHeight="1">
      <c r="A623" s="23" t="inlineStr">
        <is>
          <t>R382-v2</t>
        </is>
      </c>
      <c r="B623" s="23" t="inlineStr">
        <is>
          <t>Contractor Programme</t>
        </is>
      </c>
      <c r="C623" s="23" t="inlineStr">
        <is>
          <t>SCH-03-022</t>
        </is>
      </c>
      <c r="D623" s="23" t="inlineStr">
        <is>
          <t>1.3.1 Systems - Traction Power</t>
        </is>
      </c>
      <c r="E623" s="23" t="inlineStr">
        <is>
          <t>Carried forward</t>
        </is>
      </c>
      <c r="F623" s="23" t="inlineStr"/>
      <c r="G623" s="23" t="inlineStr">
        <is>
          <t>Source assignment -- not individually reviewed</t>
        </is>
      </c>
      <c r="H623" s="14" t="inlineStr">
        <is>
          <t>10 EVIDENCE &amp; DECISIONS</t>
        </is>
      </c>
    </row>
    <row r="624" ht="34" customHeight="1">
      <c r="A624" s="23" t="inlineStr">
        <is>
          <t>R383-v2</t>
        </is>
      </c>
      <c r="B624" s="23" t="inlineStr">
        <is>
          <t>Contractor Programme</t>
        </is>
      </c>
      <c r="C624" s="23" t="inlineStr">
        <is>
          <t>SCH-03-023</t>
        </is>
      </c>
      <c r="D624" s="23" t="inlineStr">
        <is>
          <t>1.3.1 Systems - Traction Power</t>
        </is>
      </c>
      <c r="E624" s="23" t="inlineStr">
        <is>
          <t>Carried forward</t>
        </is>
      </c>
      <c r="F624" s="23" t="inlineStr"/>
      <c r="G624" s="23" t="inlineStr">
        <is>
          <t>Source assignment -- not individually reviewed</t>
        </is>
      </c>
      <c r="H624" s="14" t="inlineStr">
        <is>
          <t>10 EVIDENCE &amp; DECISIONS</t>
        </is>
      </c>
    </row>
    <row r="625" ht="34" customHeight="1">
      <c r="A625" s="23" t="inlineStr">
        <is>
          <t>R385-v2</t>
        </is>
      </c>
      <c r="B625" s="23" t="inlineStr">
        <is>
          <t>Contractor Programme</t>
        </is>
      </c>
      <c r="C625" s="23" t="inlineStr">
        <is>
          <t>SCH-03-025</t>
        </is>
      </c>
      <c r="D625" s="23" t="inlineStr">
        <is>
          <t>1.3.1 Systems - Traction Power</t>
        </is>
      </c>
      <c r="E625" s="23" t="inlineStr">
        <is>
          <t>Carried forward</t>
        </is>
      </c>
      <c r="F625" s="23" t="inlineStr"/>
      <c r="G625" s="23" t="inlineStr">
        <is>
          <t>Source assignment -- not individually reviewed</t>
        </is>
      </c>
      <c r="H625" s="14" t="inlineStr">
        <is>
          <t>10 EVIDENCE &amp; DECISIONS</t>
        </is>
      </c>
    </row>
    <row r="626" ht="34" customHeight="1">
      <c r="A626" s="23" t="inlineStr">
        <is>
          <t>R386-v2</t>
        </is>
      </c>
      <c r="B626" s="23" t="inlineStr">
        <is>
          <t>Contractor Programme</t>
        </is>
      </c>
      <c r="C626" s="23" t="inlineStr">
        <is>
          <t>SCH-03-026</t>
        </is>
      </c>
      <c r="D626" s="23" t="inlineStr">
        <is>
          <t>1.3.1 Systems - Traction Power</t>
        </is>
      </c>
      <c r="E626" s="23" t="inlineStr">
        <is>
          <t>Carried forward</t>
        </is>
      </c>
      <c r="F626" s="23" t="inlineStr"/>
      <c r="G626" s="23" t="inlineStr">
        <is>
          <t>Source assignment -- not individually reviewed</t>
        </is>
      </c>
      <c r="H626" s="14" t="inlineStr">
        <is>
          <t>10 EVIDENCE &amp; DECISIONS</t>
        </is>
      </c>
    </row>
    <row r="627" ht="34" customHeight="1">
      <c r="A627" s="23" t="inlineStr">
        <is>
          <t>R388-v2</t>
        </is>
      </c>
      <c r="B627" s="23" t="inlineStr">
        <is>
          <t>Contractor Programme</t>
        </is>
      </c>
      <c r="C627" s="23" t="inlineStr">
        <is>
          <t>SCH-03-028</t>
        </is>
      </c>
      <c r="D627" s="23" t="inlineStr">
        <is>
          <t>1.3.1 Systems - Traction Power</t>
        </is>
      </c>
      <c r="E627" s="23" t="inlineStr">
        <is>
          <t>Carried forward</t>
        </is>
      </c>
      <c r="F627" s="23" t="inlineStr"/>
      <c r="G627" s="23" t="inlineStr">
        <is>
          <t>Source assignment -- not individually reviewed</t>
        </is>
      </c>
      <c r="H627" s="14" t="inlineStr">
        <is>
          <t>10 EVIDENCE &amp; DECISIONS</t>
        </is>
      </c>
    </row>
    <row r="628" ht="34" customHeight="1">
      <c r="A628" s="23" t="inlineStr">
        <is>
          <t>R389-v2</t>
        </is>
      </c>
      <c r="B628" s="23" t="inlineStr">
        <is>
          <t>Contractor Programme</t>
        </is>
      </c>
      <c r="C628" s="23" t="inlineStr">
        <is>
          <t>SCH-03-029</t>
        </is>
      </c>
      <c r="D628" s="23" t="inlineStr">
        <is>
          <t>1.3.1 Systems - Traction Power</t>
        </is>
      </c>
      <c r="E628" s="23" t="inlineStr">
        <is>
          <t>Carried forward</t>
        </is>
      </c>
      <c r="F628" s="23" t="inlineStr"/>
      <c r="G628" s="23" t="inlineStr">
        <is>
          <t>Source assignment -- not individually reviewed</t>
        </is>
      </c>
      <c r="H628" s="14" t="inlineStr">
        <is>
          <t>10 EVIDENCE &amp; DECISIONS</t>
        </is>
      </c>
    </row>
    <row r="629" ht="34" customHeight="1">
      <c r="A629" s="23" t="inlineStr">
        <is>
          <t>R391-v2</t>
        </is>
      </c>
      <c r="B629" s="23" t="inlineStr">
        <is>
          <t>Contractor Programme</t>
        </is>
      </c>
      <c r="C629" s="23" t="inlineStr">
        <is>
          <t>SCH-03-031</t>
        </is>
      </c>
      <c r="D629" s="23" t="inlineStr">
        <is>
          <t>1.3.1 Systems - Traction Power</t>
        </is>
      </c>
      <c r="E629" s="23" t="inlineStr">
        <is>
          <t>Carried forward</t>
        </is>
      </c>
      <c r="F629" s="23" t="inlineStr"/>
      <c r="G629" s="23" t="inlineStr">
        <is>
          <t>Source assignment -- not individually reviewed</t>
        </is>
      </c>
      <c r="H629" s="14" t="inlineStr">
        <is>
          <t>10 EVIDENCE &amp; DECISIONS</t>
        </is>
      </c>
    </row>
    <row r="630" ht="34" customHeight="1">
      <c r="A630" s="23" t="inlineStr">
        <is>
          <t>R392-v2</t>
        </is>
      </c>
      <c r="B630" s="23" t="inlineStr">
        <is>
          <t>Contractor Programme</t>
        </is>
      </c>
      <c r="C630" s="23" t="inlineStr">
        <is>
          <t>SCH-03-032</t>
        </is>
      </c>
      <c r="D630" s="23" t="inlineStr">
        <is>
          <t>1.3.1 Systems - Traction Power</t>
        </is>
      </c>
      <c r="E630" s="23" t="inlineStr">
        <is>
          <t>Carried forward</t>
        </is>
      </c>
      <c r="F630" s="23" t="inlineStr"/>
      <c r="G630" s="23" t="inlineStr">
        <is>
          <t>Source assignment -- not individually reviewed</t>
        </is>
      </c>
      <c r="H630" s="14" t="inlineStr">
        <is>
          <t>10 EVIDENCE &amp; DECISIONS</t>
        </is>
      </c>
    </row>
    <row r="631" ht="34" customHeight="1">
      <c r="A631" s="23" t="inlineStr">
        <is>
          <t>R394-v2</t>
        </is>
      </c>
      <c r="B631" s="23" t="inlineStr">
        <is>
          <t>Contractor Programme</t>
        </is>
      </c>
      <c r="C631" s="23" t="inlineStr">
        <is>
          <t>SCH-03-034</t>
        </is>
      </c>
      <c r="D631" s="23" t="inlineStr">
        <is>
          <t>1.3.1 Systems - Traction Power</t>
        </is>
      </c>
      <c r="E631" s="23" t="inlineStr">
        <is>
          <t>Carried forward</t>
        </is>
      </c>
      <c r="F631" s="23" t="inlineStr"/>
      <c r="G631" s="23" t="inlineStr">
        <is>
          <t>Source assignment -- not individually reviewed</t>
        </is>
      </c>
      <c r="H631" s="14" t="inlineStr">
        <is>
          <t>10 EVIDENCE &amp; DECISIONS</t>
        </is>
      </c>
    </row>
    <row r="632" ht="34" customHeight="1">
      <c r="A632" s="23" t="inlineStr">
        <is>
          <t>R395-v2</t>
        </is>
      </c>
      <c r="B632" s="23" t="inlineStr">
        <is>
          <t>Contractor Programme</t>
        </is>
      </c>
      <c r="C632" s="23" t="inlineStr">
        <is>
          <t>SCH-03-035</t>
        </is>
      </c>
      <c r="D632" s="23" t="inlineStr">
        <is>
          <t>1.3.1 Systems - Traction Power</t>
        </is>
      </c>
      <c r="E632" s="23" t="inlineStr">
        <is>
          <t>Carried forward</t>
        </is>
      </c>
      <c r="F632" s="23" t="inlineStr"/>
      <c r="G632" s="23" t="inlineStr">
        <is>
          <t>Source assignment -- not individually reviewed</t>
        </is>
      </c>
      <c r="H632" s="14" t="inlineStr">
        <is>
          <t>10 EVIDENCE &amp; DECISIONS</t>
        </is>
      </c>
    </row>
    <row r="633" ht="34" customHeight="1">
      <c r="A633" s="23" t="inlineStr">
        <is>
          <t>R397-v2</t>
        </is>
      </c>
      <c r="B633" s="23" t="inlineStr">
        <is>
          <t>Contractor Programme</t>
        </is>
      </c>
      <c r="C633" s="23" t="inlineStr">
        <is>
          <t>SCH-03-037</t>
        </is>
      </c>
      <c r="D633" s="23" t="inlineStr">
        <is>
          <t>1.3.1 Systems - Traction Power</t>
        </is>
      </c>
      <c r="E633" s="23" t="inlineStr">
        <is>
          <t>Carried forward</t>
        </is>
      </c>
      <c r="F633" s="23" t="inlineStr"/>
      <c r="G633" s="23" t="inlineStr">
        <is>
          <t>Source assignment -- not individually reviewed</t>
        </is>
      </c>
      <c r="H633" s="14" t="inlineStr">
        <is>
          <t>10 EVIDENCE &amp; DECISIONS</t>
        </is>
      </c>
    </row>
    <row r="634" ht="34" customHeight="1">
      <c r="A634" s="23" t="inlineStr">
        <is>
          <t>R398-v2</t>
        </is>
      </c>
      <c r="B634" s="23" t="inlineStr">
        <is>
          <t>Contractor Programme</t>
        </is>
      </c>
      <c r="C634" s="23" t="inlineStr">
        <is>
          <t>SCH-03-038</t>
        </is>
      </c>
      <c r="D634" s="23" t="inlineStr">
        <is>
          <t>1.3.1 Systems - Traction Power</t>
        </is>
      </c>
      <c r="E634" s="23" t="inlineStr">
        <is>
          <t>Carried forward</t>
        </is>
      </c>
      <c r="F634" s="23" t="inlineStr"/>
      <c r="G634" s="23" t="inlineStr">
        <is>
          <t>Source assignment -- not individually reviewed</t>
        </is>
      </c>
      <c r="H634" s="14" t="inlineStr">
        <is>
          <t>10 EVIDENCE &amp; DECISIONS</t>
        </is>
      </c>
    </row>
    <row r="635" ht="34" customHeight="1">
      <c r="A635" s="23" t="inlineStr">
        <is>
          <t>R400-v2</t>
        </is>
      </c>
      <c r="B635" s="23" t="inlineStr">
        <is>
          <t>Contractor Programme</t>
        </is>
      </c>
      <c r="C635" s="23" t="inlineStr">
        <is>
          <t>SCH-03-040</t>
        </is>
      </c>
      <c r="D635" s="23" t="inlineStr">
        <is>
          <t>1.3.1 Systems - Traction Power</t>
        </is>
      </c>
      <c r="E635" s="23" t="inlineStr">
        <is>
          <t>Carried forward</t>
        </is>
      </c>
      <c r="F635" s="23" t="inlineStr"/>
      <c r="G635" s="23" t="inlineStr">
        <is>
          <t>Source assignment -- not individually reviewed</t>
        </is>
      </c>
      <c r="H635" s="14" t="inlineStr">
        <is>
          <t>10 EVIDENCE &amp; DECISIONS</t>
        </is>
      </c>
    </row>
    <row r="636" ht="34" customHeight="1">
      <c r="A636" s="23" t="inlineStr">
        <is>
          <t>R401-v2</t>
        </is>
      </c>
      <c r="B636" s="23" t="inlineStr">
        <is>
          <t>Contractor Programme</t>
        </is>
      </c>
      <c r="C636" s="23" t="inlineStr">
        <is>
          <t>SCH-03-041</t>
        </is>
      </c>
      <c r="D636" s="23" t="inlineStr">
        <is>
          <t>1.3.1 Systems - Traction Power</t>
        </is>
      </c>
      <c r="E636" s="23" t="inlineStr">
        <is>
          <t>Carried forward</t>
        </is>
      </c>
      <c r="F636" s="23" t="inlineStr"/>
      <c r="G636" s="23" t="inlineStr">
        <is>
          <t>Source assignment -- not individually reviewed</t>
        </is>
      </c>
      <c r="H636" s="14" t="inlineStr">
        <is>
          <t>10 EVIDENCE &amp; DECISIONS</t>
        </is>
      </c>
    </row>
    <row r="637" ht="34" customHeight="1">
      <c r="A637" s="23" t="inlineStr">
        <is>
          <t>R403-v2</t>
        </is>
      </c>
      <c r="B637" s="23" t="inlineStr">
        <is>
          <t>Contractor Programme</t>
        </is>
      </c>
      <c r="C637" s="23" t="inlineStr">
        <is>
          <t>SCH-03-043</t>
        </is>
      </c>
      <c r="D637" s="23" t="inlineStr">
        <is>
          <t>1.3.1 Systems - Traction Power</t>
        </is>
      </c>
      <c r="E637" s="23" t="inlineStr">
        <is>
          <t>Carried forward</t>
        </is>
      </c>
      <c r="F637" s="23" t="inlineStr"/>
      <c r="G637" s="23" t="inlineStr">
        <is>
          <t>Source assignment -- not individually reviewed</t>
        </is>
      </c>
      <c r="H637" s="14" t="inlineStr">
        <is>
          <t>10 EVIDENCE &amp; DECISIONS</t>
        </is>
      </c>
    </row>
    <row r="638" ht="34" customHeight="1">
      <c r="A638" s="23" t="inlineStr">
        <is>
          <t>R404-v2</t>
        </is>
      </c>
      <c r="B638" s="23" t="inlineStr">
        <is>
          <t>Contractor Programme</t>
        </is>
      </c>
      <c r="C638" s="23" t="inlineStr">
        <is>
          <t>SCH-03-044</t>
        </is>
      </c>
      <c r="D638" s="23" t="inlineStr">
        <is>
          <t>1.3.1 Systems - Traction Power</t>
        </is>
      </c>
      <c r="E638" s="23" t="inlineStr">
        <is>
          <t>Carried forward</t>
        </is>
      </c>
      <c r="F638" s="23" t="inlineStr"/>
      <c r="G638" s="23" t="inlineStr">
        <is>
          <t>Source assignment -- not individually reviewed</t>
        </is>
      </c>
      <c r="H638" s="14" t="inlineStr">
        <is>
          <t>10 EVIDENCE &amp; DECISIONS</t>
        </is>
      </c>
    </row>
    <row r="639" ht="34" customHeight="1">
      <c r="A639" s="23" t="inlineStr">
        <is>
          <t>R406-v2</t>
        </is>
      </c>
      <c r="B639" s="23" t="inlineStr">
        <is>
          <t>Contractor Programme</t>
        </is>
      </c>
      <c r="C639" s="23" t="inlineStr">
        <is>
          <t>SCH-03-046</t>
        </is>
      </c>
      <c r="D639" s="23" t="inlineStr">
        <is>
          <t>1.3.1 Systems - Traction Power</t>
        </is>
      </c>
      <c r="E639" s="23" t="inlineStr">
        <is>
          <t>Carried forward</t>
        </is>
      </c>
      <c r="F639" s="23" t="inlineStr"/>
      <c r="G639" s="23" t="inlineStr">
        <is>
          <t>Source assignment -- not individually reviewed</t>
        </is>
      </c>
      <c r="H639" s="14" t="inlineStr">
        <is>
          <t>10 EVIDENCE &amp; DECISIONS</t>
        </is>
      </c>
    </row>
    <row r="640" ht="34" customHeight="1">
      <c r="A640" s="23" t="inlineStr">
        <is>
          <t>R407-v2</t>
        </is>
      </c>
      <c r="B640" s="23" t="inlineStr">
        <is>
          <t>Contractor Programme</t>
        </is>
      </c>
      <c r="C640" s="23" t="inlineStr">
        <is>
          <t>SCH-03-047</t>
        </is>
      </c>
      <c r="D640" s="23" t="inlineStr">
        <is>
          <t>1.3.1 Systems - Traction Power</t>
        </is>
      </c>
      <c r="E640" s="23" t="inlineStr">
        <is>
          <t>Carried forward</t>
        </is>
      </c>
      <c r="F640" s="23" t="inlineStr"/>
      <c r="G640" s="23" t="inlineStr">
        <is>
          <t>Source assignment -- not individually reviewed</t>
        </is>
      </c>
      <c r="H640" s="14" t="inlineStr">
        <is>
          <t>10 EVIDENCE &amp; DECISIONS</t>
        </is>
      </c>
    </row>
    <row r="641" ht="34" customHeight="1">
      <c r="A641" s="23" t="inlineStr">
        <is>
          <t>R409-v2</t>
        </is>
      </c>
      <c r="B641" s="23" t="inlineStr">
        <is>
          <t>Contractor Programme</t>
        </is>
      </c>
      <c r="C641" s="23" t="inlineStr">
        <is>
          <t>SCH-03-049</t>
        </is>
      </c>
      <c r="D641" s="23" t="inlineStr">
        <is>
          <t>1.3.1 Systems - Traction Power</t>
        </is>
      </c>
      <c r="E641" s="23" t="inlineStr">
        <is>
          <t>Carried forward</t>
        </is>
      </c>
      <c r="F641" s="23" t="inlineStr"/>
      <c r="G641" s="23" t="inlineStr">
        <is>
          <t>Source assignment -- not individually reviewed</t>
        </is>
      </c>
      <c r="H641" s="14" t="inlineStr">
        <is>
          <t>10 EVIDENCE &amp; DECISIONS</t>
        </is>
      </c>
    </row>
    <row r="642" ht="34" customHeight="1">
      <c r="A642" s="23" t="inlineStr">
        <is>
          <t>R410-v2</t>
        </is>
      </c>
      <c r="B642" s="23" t="inlineStr">
        <is>
          <t>Contractor Programme</t>
        </is>
      </c>
      <c r="C642" s="23" t="inlineStr">
        <is>
          <t>SCH-03-050</t>
        </is>
      </c>
      <c r="D642" s="23" t="inlineStr">
        <is>
          <t>1.3.1 Systems - Traction Power</t>
        </is>
      </c>
      <c r="E642" s="23" t="inlineStr">
        <is>
          <t>Carried forward</t>
        </is>
      </c>
      <c r="F642" s="23" t="inlineStr"/>
      <c r="G642" s="23" t="inlineStr">
        <is>
          <t>Source assignment -- not individually reviewed</t>
        </is>
      </c>
      <c r="H642" s="14" t="inlineStr">
        <is>
          <t>10 EVIDENCE &amp; DECISIONS</t>
        </is>
      </c>
    </row>
    <row r="643" ht="34" customHeight="1">
      <c r="A643" s="23" t="inlineStr">
        <is>
          <t>R412-v2</t>
        </is>
      </c>
      <c r="B643" s="23" t="inlineStr">
        <is>
          <t>Contractor Programme</t>
        </is>
      </c>
      <c r="C643" s="23" t="inlineStr">
        <is>
          <t>SCH-03-052</t>
        </is>
      </c>
      <c r="D643" s="23" t="inlineStr">
        <is>
          <t>1.3.1 Systems - Traction Power</t>
        </is>
      </c>
      <c r="E643" s="23" t="inlineStr">
        <is>
          <t>Carried forward</t>
        </is>
      </c>
      <c r="F643" s="23" t="inlineStr"/>
      <c r="G643" s="23" t="inlineStr">
        <is>
          <t>Source assignment -- not individually reviewed</t>
        </is>
      </c>
      <c r="H643" s="14" t="inlineStr">
        <is>
          <t>10 EVIDENCE &amp; DECISIONS</t>
        </is>
      </c>
    </row>
    <row r="644" ht="34" customHeight="1">
      <c r="A644" s="23" t="inlineStr">
        <is>
          <t>R413-v2</t>
        </is>
      </c>
      <c r="B644" s="23" t="inlineStr">
        <is>
          <t>Contractor Programme</t>
        </is>
      </c>
      <c r="C644" s="23" t="inlineStr">
        <is>
          <t>SCH-03-053</t>
        </is>
      </c>
      <c r="D644" s="23" t="inlineStr">
        <is>
          <t>1.3.1 Systems - Traction Power</t>
        </is>
      </c>
      <c r="E644" s="23" t="inlineStr">
        <is>
          <t>Carried forward</t>
        </is>
      </c>
      <c r="F644" s="23" t="inlineStr"/>
      <c r="G644" s="23" t="inlineStr">
        <is>
          <t>Source assignment -- not individually reviewed</t>
        </is>
      </c>
      <c r="H644" s="14" t="inlineStr">
        <is>
          <t>10 EVIDENCE &amp; DECISIONS</t>
        </is>
      </c>
    </row>
    <row r="645" ht="34" customHeight="1">
      <c r="A645" s="23" t="inlineStr">
        <is>
          <t>R415-v2</t>
        </is>
      </c>
      <c r="B645" s="23" t="inlineStr">
        <is>
          <t>Contractor Programme</t>
        </is>
      </c>
      <c r="C645" s="23" t="inlineStr">
        <is>
          <t>SCH-03-055</t>
        </is>
      </c>
      <c r="D645" s="23" t="inlineStr">
        <is>
          <t>1.3.1 Systems - Traction Power</t>
        </is>
      </c>
      <c r="E645" s="23" t="inlineStr">
        <is>
          <t>Carried forward</t>
        </is>
      </c>
      <c r="F645" s="23" t="inlineStr"/>
      <c r="G645" s="23" t="inlineStr">
        <is>
          <t>Source assignment -- not individually reviewed</t>
        </is>
      </c>
      <c r="H645" s="14" t="inlineStr">
        <is>
          <t>10 EVIDENCE &amp; DECISIONS</t>
        </is>
      </c>
    </row>
    <row r="646" ht="34" customHeight="1">
      <c r="A646" s="23" t="inlineStr">
        <is>
          <t>R416-v2</t>
        </is>
      </c>
      <c r="B646" s="23" t="inlineStr">
        <is>
          <t>Contractor Programme</t>
        </is>
      </c>
      <c r="C646" s="23" t="inlineStr">
        <is>
          <t>SCH-03-056</t>
        </is>
      </c>
      <c r="D646" s="23" t="inlineStr">
        <is>
          <t>1.3.1 Systems - Traction Power</t>
        </is>
      </c>
      <c r="E646" s="23" t="inlineStr">
        <is>
          <t>Carried forward</t>
        </is>
      </c>
      <c r="F646" s="23" t="inlineStr"/>
      <c r="G646" s="23" t="inlineStr">
        <is>
          <t>Source assignment -- not individually reviewed</t>
        </is>
      </c>
      <c r="H646" s="14" t="inlineStr">
        <is>
          <t>10 EVIDENCE &amp; DECISIONS</t>
        </is>
      </c>
    </row>
    <row r="647" ht="34" customHeight="1">
      <c r="A647" s="23" t="inlineStr">
        <is>
          <t>R418-v2</t>
        </is>
      </c>
      <c r="B647" s="23" t="inlineStr">
        <is>
          <t>Contractor Programme</t>
        </is>
      </c>
      <c r="C647" s="23" t="inlineStr">
        <is>
          <t>SCH-03-058</t>
        </is>
      </c>
      <c r="D647" s="23" t="inlineStr">
        <is>
          <t>1.3.1 Systems - Traction Power</t>
        </is>
      </c>
      <c r="E647" s="23" t="inlineStr">
        <is>
          <t>Carried forward</t>
        </is>
      </c>
      <c r="F647" s="23" t="inlineStr"/>
      <c r="G647" s="23" t="inlineStr">
        <is>
          <t>Source assignment -- not individually reviewed</t>
        </is>
      </c>
      <c r="H647" s="14" t="inlineStr">
        <is>
          <t>10 EVIDENCE &amp; DECISIONS</t>
        </is>
      </c>
    </row>
    <row r="648" ht="34" customHeight="1">
      <c r="A648" s="23" t="inlineStr">
        <is>
          <t>R419-v2</t>
        </is>
      </c>
      <c r="B648" s="23" t="inlineStr">
        <is>
          <t>Contractor Programme</t>
        </is>
      </c>
      <c r="C648" s="23" t="inlineStr">
        <is>
          <t>SCH-03-059</t>
        </is>
      </c>
      <c r="D648" s="23" t="inlineStr">
        <is>
          <t>1.3.1 Systems - Traction Power</t>
        </is>
      </c>
      <c r="E648" s="23" t="inlineStr">
        <is>
          <t>Carried forward</t>
        </is>
      </c>
      <c r="F648" s="23" t="inlineStr"/>
      <c r="G648" s="23" t="inlineStr">
        <is>
          <t>Source assignment -- not individually reviewed</t>
        </is>
      </c>
      <c r="H648" s="14" t="inlineStr">
        <is>
          <t>10 EVIDENCE &amp; DECISIONS</t>
        </is>
      </c>
    </row>
    <row r="649" ht="34" customHeight="1">
      <c r="A649" s="23" t="inlineStr">
        <is>
          <t>R421-v2</t>
        </is>
      </c>
      <c r="B649" s="23" t="inlineStr">
        <is>
          <t>Contractor Programme</t>
        </is>
      </c>
      <c r="C649" s="23" t="inlineStr">
        <is>
          <t>SCH-03-061</t>
        </is>
      </c>
      <c r="D649" s="23" t="inlineStr">
        <is>
          <t>1.3.1 Systems - Traction Power</t>
        </is>
      </c>
      <c r="E649" s="23" t="inlineStr">
        <is>
          <t>Carried forward</t>
        </is>
      </c>
      <c r="F649" s="23" t="inlineStr"/>
      <c r="G649" s="23" t="inlineStr">
        <is>
          <t>Source assignment -- not individually reviewed</t>
        </is>
      </c>
      <c r="H649" s="14" t="inlineStr">
        <is>
          <t>10 EVIDENCE &amp; DECISIONS</t>
        </is>
      </c>
    </row>
    <row r="650" ht="34" customHeight="1">
      <c r="A650" s="23" t="inlineStr">
        <is>
          <t>R422-v2</t>
        </is>
      </c>
      <c r="B650" s="23" t="inlineStr">
        <is>
          <t>Contractor Programme</t>
        </is>
      </c>
      <c r="C650" s="23" t="inlineStr">
        <is>
          <t>SCH-03-062</t>
        </is>
      </c>
      <c r="D650" s="23" t="inlineStr">
        <is>
          <t>1.3.1 Systems - Traction Power</t>
        </is>
      </c>
      <c r="E650" s="23" t="inlineStr">
        <is>
          <t>Carried forward</t>
        </is>
      </c>
      <c r="F650" s="23" t="inlineStr"/>
      <c r="G650" s="23" t="inlineStr">
        <is>
          <t>Source assignment -- not individually reviewed</t>
        </is>
      </c>
      <c r="H650" s="14" t="inlineStr">
        <is>
          <t>10 EVIDENCE &amp; DECISIONS</t>
        </is>
      </c>
    </row>
    <row r="651" ht="34" customHeight="1">
      <c r="A651" s="23" t="inlineStr">
        <is>
          <t>R424-v2</t>
        </is>
      </c>
      <c r="B651" s="23" t="inlineStr">
        <is>
          <t>Contractor Programme</t>
        </is>
      </c>
      <c r="C651" s="23" t="inlineStr">
        <is>
          <t>SCH-03-064</t>
        </is>
      </c>
      <c r="D651" s="23" t="inlineStr">
        <is>
          <t>1.3.1 Systems - Traction Power</t>
        </is>
      </c>
      <c r="E651" s="23" t="inlineStr">
        <is>
          <t>Carried forward</t>
        </is>
      </c>
      <c r="F651" s="23" t="inlineStr"/>
      <c r="G651" s="23" t="inlineStr">
        <is>
          <t>Source assignment -- not individually reviewed</t>
        </is>
      </c>
      <c r="H651" s="14" t="inlineStr">
        <is>
          <t>10 EVIDENCE &amp; DECISIONS</t>
        </is>
      </c>
    </row>
    <row r="652" ht="34" customHeight="1">
      <c r="A652" s="23" t="inlineStr">
        <is>
          <t>R425-v2</t>
        </is>
      </c>
      <c r="B652" s="23" t="inlineStr">
        <is>
          <t>Contractor Programme</t>
        </is>
      </c>
      <c r="C652" s="23" t="inlineStr">
        <is>
          <t>SCH-03-065</t>
        </is>
      </c>
      <c r="D652" s="23" t="inlineStr">
        <is>
          <t>1.3.1 Systems - Traction Power</t>
        </is>
      </c>
      <c r="E652" s="23" t="inlineStr">
        <is>
          <t>Carried forward</t>
        </is>
      </c>
      <c r="F652" s="23" t="inlineStr"/>
      <c r="G652" s="23" t="inlineStr">
        <is>
          <t>Source assignment -- not individually reviewed</t>
        </is>
      </c>
      <c r="H652" s="14" t="inlineStr">
        <is>
          <t>10 EVIDENCE &amp; DECISIONS</t>
        </is>
      </c>
    </row>
    <row r="653" ht="34" customHeight="1">
      <c r="A653" s="23" t="inlineStr">
        <is>
          <t>R427-v2</t>
        </is>
      </c>
      <c r="B653" s="23" t="inlineStr">
        <is>
          <t>Contractor Programme</t>
        </is>
      </c>
      <c r="C653" s="23" t="inlineStr">
        <is>
          <t>SCH-03-067</t>
        </is>
      </c>
      <c r="D653" s="23" t="inlineStr">
        <is>
          <t>1.3.1 Systems - Traction Power</t>
        </is>
      </c>
      <c r="E653" s="23" t="inlineStr">
        <is>
          <t>Carried forward</t>
        </is>
      </c>
      <c r="F653" s="23" t="inlineStr"/>
      <c r="G653" s="23" t="inlineStr">
        <is>
          <t>Source assignment -- not individually reviewed</t>
        </is>
      </c>
      <c r="H653" s="14" t="inlineStr">
        <is>
          <t>10 EVIDENCE &amp; DECISIONS</t>
        </is>
      </c>
    </row>
    <row r="654" ht="34" customHeight="1">
      <c r="A654" s="23" t="inlineStr">
        <is>
          <t>R428-v2</t>
        </is>
      </c>
      <c r="B654" s="23" t="inlineStr">
        <is>
          <t>Contractor Programme</t>
        </is>
      </c>
      <c r="C654" s="23" t="inlineStr">
        <is>
          <t>SCH-03-068</t>
        </is>
      </c>
      <c r="D654" s="23" t="inlineStr">
        <is>
          <t>1.3.1 Systems - Traction Power</t>
        </is>
      </c>
      <c r="E654" s="23" t="inlineStr">
        <is>
          <t>Carried forward</t>
        </is>
      </c>
      <c r="F654" s="23" t="inlineStr"/>
      <c r="G654" s="23" t="inlineStr">
        <is>
          <t>Source assignment -- not individually reviewed</t>
        </is>
      </c>
      <c r="H654" s="14" t="inlineStr">
        <is>
          <t>10 EVIDENCE &amp; DECISIONS</t>
        </is>
      </c>
    </row>
    <row r="655" ht="34" customHeight="1">
      <c r="A655" s="23" t="inlineStr">
        <is>
          <t>R430-v2</t>
        </is>
      </c>
      <c r="B655" s="23" t="inlineStr">
        <is>
          <t>Contractor Programme</t>
        </is>
      </c>
      <c r="C655" s="23" t="inlineStr">
        <is>
          <t>SCH-03-070</t>
        </is>
      </c>
      <c r="D655" s="23" t="inlineStr">
        <is>
          <t>1.3.1 Systems - Traction Power</t>
        </is>
      </c>
      <c r="E655" s="23" t="inlineStr">
        <is>
          <t>Carried forward</t>
        </is>
      </c>
      <c r="F655" s="23" t="inlineStr"/>
      <c r="G655" s="23" t="inlineStr">
        <is>
          <t>Source assignment -- not individually reviewed</t>
        </is>
      </c>
      <c r="H655" s="14" t="inlineStr">
        <is>
          <t>10 EVIDENCE &amp; DECISIONS</t>
        </is>
      </c>
    </row>
    <row r="656" ht="34" customHeight="1">
      <c r="A656" s="23" t="inlineStr">
        <is>
          <t>R431-v2</t>
        </is>
      </c>
      <c r="B656" s="23" t="inlineStr">
        <is>
          <t>Contractor Programme</t>
        </is>
      </c>
      <c r="C656" s="23" t="inlineStr">
        <is>
          <t>SCH-03-071</t>
        </is>
      </c>
      <c r="D656" s="23" t="inlineStr">
        <is>
          <t>1.3.1 Systems - Traction Power</t>
        </is>
      </c>
      <c r="E656" s="23" t="inlineStr">
        <is>
          <t>Carried forward</t>
        </is>
      </c>
      <c r="F656" s="23" t="inlineStr"/>
      <c r="G656" s="23" t="inlineStr">
        <is>
          <t>Source assignment -- not individually reviewed</t>
        </is>
      </c>
      <c r="H656" s="14" t="inlineStr">
        <is>
          <t>10 EVIDENCE &amp; DECISIONS</t>
        </is>
      </c>
    </row>
    <row r="657" ht="34" customHeight="1">
      <c r="A657" s="23" t="inlineStr">
        <is>
          <t>R433-v2</t>
        </is>
      </c>
      <c r="B657" s="23" t="inlineStr">
        <is>
          <t>Contractor Programme</t>
        </is>
      </c>
      <c r="C657" s="23" t="inlineStr">
        <is>
          <t>SCH-03-073</t>
        </is>
      </c>
      <c r="D657" s="23" t="inlineStr">
        <is>
          <t>1.3.1 Systems - Traction Power</t>
        </is>
      </c>
      <c r="E657" s="23" t="inlineStr">
        <is>
          <t>Carried forward</t>
        </is>
      </c>
      <c r="F657" s="23" t="inlineStr"/>
      <c r="G657" s="23" t="inlineStr">
        <is>
          <t>Source assignment -- not individually reviewed</t>
        </is>
      </c>
      <c r="H657" s="14" t="inlineStr">
        <is>
          <t>10 EVIDENCE &amp; DECISIONS</t>
        </is>
      </c>
    </row>
    <row r="658" ht="34" customHeight="1">
      <c r="A658" s="23" t="inlineStr">
        <is>
          <t>R434-v2</t>
        </is>
      </c>
      <c r="B658" s="23" t="inlineStr">
        <is>
          <t>Contractor Programme</t>
        </is>
      </c>
      <c r="C658" s="23" t="inlineStr">
        <is>
          <t>SCH-03-074</t>
        </is>
      </c>
      <c r="D658" s="23" t="inlineStr">
        <is>
          <t>1.3.1 Systems - Traction Power</t>
        </is>
      </c>
      <c r="E658" s="23" t="inlineStr">
        <is>
          <t>Carried forward</t>
        </is>
      </c>
      <c r="F658" s="23" t="inlineStr"/>
      <c r="G658" s="23" t="inlineStr">
        <is>
          <t>Source assignment -- not individually reviewed</t>
        </is>
      </c>
      <c r="H658" s="14" t="inlineStr">
        <is>
          <t>10 EVIDENCE &amp; DECISIONS</t>
        </is>
      </c>
    </row>
    <row r="659" ht="34" customHeight="1">
      <c r="A659" s="23" t="inlineStr">
        <is>
          <t>R436-v2</t>
        </is>
      </c>
      <c r="B659" s="23" t="inlineStr">
        <is>
          <t>Contractor Programme</t>
        </is>
      </c>
      <c r="C659" s="23" t="inlineStr">
        <is>
          <t>SCH-03-076</t>
        </is>
      </c>
      <c r="D659" s="23" t="inlineStr">
        <is>
          <t>1.3.1 Systems - Traction Power</t>
        </is>
      </c>
      <c r="E659" s="23" t="inlineStr">
        <is>
          <t>Carried forward</t>
        </is>
      </c>
      <c r="F659" s="23" t="inlineStr"/>
      <c r="G659" s="23" t="inlineStr">
        <is>
          <t>Source assignment -- not individually reviewed</t>
        </is>
      </c>
      <c r="H659" s="14" t="inlineStr">
        <is>
          <t>10 EVIDENCE &amp; DECISIONS</t>
        </is>
      </c>
    </row>
    <row r="660" ht="34" customHeight="1">
      <c r="A660" s="23" t="inlineStr">
        <is>
          <t>R437-v2</t>
        </is>
      </c>
      <c r="B660" s="23" t="inlineStr">
        <is>
          <t>Contractor Programme</t>
        </is>
      </c>
      <c r="C660" s="23" t="inlineStr">
        <is>
          <t>SCH-03-077</t>
        </is>
      </c>
      <c r="D660" s="23" t="inlineStr">
        <is>
          <t>1.3.1 Systems - Traction Power</t>
        </is>
      </c>
      <c r="E660" s="23" t="inlineStr">
        <is>
          <t>Carried forward</t>
        </is>
      </c>
      <c r="F660" s="23" t="inlineStr"/>
      <c r="G660" s="23" t="inlineStr">
        <is>
          <t>Source assignment -- not individually reviewed</t>
        </is>
      </c>
      <c r="H660" s="14" t="inlineStr">
        <is>
          <t>10 EVIDENCE &amp; DECISIONS</t>
        </is>
      </c>
    </row>
    <row r="661" ht="34" customHeight="1">
      <c r="A661" s="23" t="inlineStr">
        <is>
          <t>R439-v2</t>
        </is>
      </c>
      <c r="B661" s="23" t="inlineStr">
        <is>
          <t>Contractor Programme</t>
        </is>
      </c>
      <c r="C661" s="23" t="inlineStr">
        <is>
          <t>SCH-03-079</t>
        </is>
      </c>
      <c r="D661" s="23" t="inlineStr">
        <is>
          <t>1.3.1 Systems - Traction Power</t>
        </is>
      </c>
      <c r="E661" s="23" t="inlineStr">
        <is>
          <t>Carried forward</t>
        </is>
      </c>
      <c r="F661" s="23" t="inlineStr"/>
      <c r="G661" s="23" t="inlineStr">
        <is>
          <t>Source assignment -- not individually reviewed</t>
        </is>
      </c>
      <c r="H661" s="14" t="inlineStr">
        <is>
          <t>10 EVIDENCE &amp; DECISIONS</t>
        </is>
      </c>
    </row>
    <row r="662" ht="34" customHeight="1">
      <c r="A662" s="23" t="inlineStr">
        <is>
          <t>R440-v2</t>
        </is>
      </c>
      <c r="B662" s="23" t="inlineStr">
        <is>
          <t>Contractor Programme</t>
        </is>
      </c>
      <c r="C662" s="23" t="inlineStr">
        <is>
          <t>SCH-03-080</t>
        </is>
      </c>
      <c r="D662" s="23" t="inlineStr">
        <is>
          <t>1.3.1 Systems - Traction Power</t>
        </is>
      </c>
      <c r="E662" s="23" t="inlineStr">
        <is>
          <t>Carried forward</t>
        </is>
      </c>
      <c r="F662" s="23" t="inlineStr"/>
      <c r="G662" s="23" t="inlineStr">
        <is>
          <t>Source assignment -- not individually reviewed</t>
        </is>
      </c>
      <c r="H662" s="14" t="inlineStr">
        <is>
          <t>10 EVIDENCE &amp; DECISIONS</t>
        </is>
      </c>
    </row>
    <row r="663" ht="34" customHeight="1">
      <c r="A663" s="23" t="inlineStr">
        <is>
          <t>R442-v2</t>
        </is>
      </c>
      <c r="B663" s="23" t="inlineStr">
        <is>
          <t>Contractor Programme</t>
        </is>
      </c>
      <c r="C663" s="23" t="inlineStr">
        <is>
          <t>SCH-03-082</t>
        </is>
      </c>
      <c r="D663" s="23" t="inlineStr">
        <is>
          <t>1.3.1 Systems - Traction Power</t>
        </is>
      </c>
      <c r="E663" s="23" t="inlineStr">
        <is>
          <t>Carried forward</t>
        </is>
      </c>
      <c r="F663" s="23" t="inlineStr"/>
      <c r="G663" s="23" t="inlineStr">
        <is>
          <t>Source assignment -- not individually reviewed</t>
        </is>
      </c>
      <c r="H663" s="14" t="inlineStr">
        <is>
          <t>10 EVIDENCE &amp; DECISIONS</t>
        </is>
      </c>
    </row>
    <row r="664" ht="34" customHeight="1">
      <c r="A664" s="23" t="inlineStr">
        <is>
          <t>R443-v2</t>
        </is>
      </c>
      <c r="B664" s="23" t="inlineStr">
        <is>
          <t>Contractor Programme</t>
        </is>
      </c>
      <c r="C664" s="23" t="inlineStr">
        <is>
          <t>SCH-03-083</t>
        </is>
      </c>
      <c r="D664" s="23" t="inlineStr">
        <is>
          <t>1.3.1 Systems - Traction Power</t>
        </is>
      </c>
      <c r="E664" s="23" t="inlineStr">
        <is>
          <t>Carried forward</t>
        </is>
      </c>
      <c r="F664" s="23" t="inlineStr"/>
      <c r="G664" s="23" t="inlineStr">
        <is>
          <t>Source assignment -- not individually reviewed</t>
        </is>
      </c>
      <c r="H664" s="14" t="inlineStr">
        <is>
          <t>10 EVIDENCE &amp; DECISIONS</t>
        </is>
      </c>
    </row>
    <row r="665" ht="34" customHeight="1">
      <c r="A665" s="23" t="inlineStr">
        <is>
          <t>R445-v2</t>
        </is>
      </c>
      <c r="B665" s="23" t="inlineStr">
        <is>
          <t>Contractor Programme</t>
        </is>
      </c>
      <c r="C665" s="23" t="inlineStr">
        <is>
          <t>SCH-03-085</t>
        </is>
      </c>
      <c r="D665" s="23" t="inlineStr">
        <is>
          <t>1.3.1 Systems - Traction Power</t>
        </is>
      </c>
      <c r="E665" s="23" t="inlineStr">
        <is>
          <t>Carried forward</t>
        </is>
      </c>
      <c r="F665" s="23" t="inlineStr"/>
      <c r="G665" s="23" t="inlineStr">
        <is>
          <t>Source assignment -- not individually reviewed</t>
        </is>
      </c>
      <c r="H665" s="14" t="inlineStr">
        <is>
          <t>10 EVIDENCE &amp; DECISIONS</t>
        </is>
      </c>
    </row>
    <row r="666" ht="34" customHeight="1">
      <c r="A666" s="23" t="inlineStr">
        <is>
          <t>R446-v2</t>
        </is>
      </c>
      <c r="B666" s="23" t="inlineStr">
        <is>
          <t>Contractor Programme</t>
        </is>
      </c>
      <c r="C666" s="23" t="inlineStr">
        <is>
          <t>SCH-03-086</t>
        </is>
      </c>
      <c r="D666" s="23" t="inlineStr">
        <is>
          <t>1.3.1 Systems - Traction Power</t>
        </is>
      </c>
      <c r="E666" s="23" t="inlineStr">
        <is>
          <t>Carried forward</t>
        </is>
      </c>
      <c r="F666" s="23" t="inlineStr"/>
      <c r="G666" s="23" t="inlineStr">
        <is>
          <t>Source assignment -- not individually reviewed</t>
        </is>
      </c>
      <c r="H666" s="14" t="inlineStr">
        <is>
          <t>10 EVIDENCE &amp; DECISIONS</t>
        </is>
      </c>
    </row>
    <row r="667" ht="34" customHeight="1">
      <c r="A667" s="23" t="inlineStr">
        <is>
          <t>R448-v2</t>
        </is>
      </c>
      <c r="B667" s="23" t="inlineStr">
        <is>
          <t>Contractor Programme</t>
        </is>
      </c>
      <c r="C667" s="23" t="inlineStr">
        <is>
          <t>SCH-03-088</t>
        </is>
      </c>
      <c r="D667" s="23" t="inlineStr">
        <is>
          <t>1.3.1 Systems - Traction Power</t>
        </is>
      </c>
      <c r="E667" s="23" t="inlineStr">
        <is>
          <t>Carried forward</t>
        </is>
      </c>
      <c r="F667" s="23" t="inlineStr"/>
      <c r="G667" s="23" t="inlineStr">
        <is>
          <t>Source assignment -- not individually reviewed</t>
        </is>
      </c>
      <c r="H667" s="14" t="inlineStr">
        <is>
          <t>10 EVIDENCE &amp; DECISIONS</t>
        </is>
      </c>
    </row>
    <row r="668" ht="34" customHeight="1">
      <c r="A668" s="23" t="inlineStr">
        <is>
          <t>R449-v2</t>
        </is>
      </c>
      <c r="B668" s="23" t="inlineStr">
        <is>
          <t>Contractor Programme</t>
        </is>
      </c>
      <c r="C668" s="23" t="inlineStr">
        <is>
          <t>SCH-03-089</t>
        </is>
      </c>
      <c r="D668" s="23" t="inlineStr">
        <is>
          <t>1.3.1 Systems - Traction Power</t>
        </is>
      </c>
      <c r="E668" s="23" t="inlineStr">
        <is>
          <t>Carried forward</t>
        </is>
      </c>
      <c r="F668" s="23" t="inlineStr"/>
      <c r="G668" s="23" t="inlineStr">
        <is>
          <t>Source assignment -- not individually reviewed</t>
        </is>
      </c>
      <c r="H668" s="14" t="inlineStr">
        <is>
          <t>10 EVIDENCE &amp; DECISIONS</t>
        </is>
      </c>
    </row>
    <row r="669" ht="34" customHeight="1">
      <c r="A669" s="23" t="inlineStr">
        <is>
          <t>R451-v2</t>
        </is>
      </c>
      <c r="B669" s="23" t="inlineStr">
        <is>
          <t>Contractor Programme</t>
        </is>
      </c>
      <c r="C669" s="23" t="inlineStr">
        <is>
          <t>SCH-03-091</t>
        </is>
      </c>
      <c r="D669" s="23" t="inlineStr">
        <is>
          <t>1.3.1 Systems - Traction Power</t>
        </is>
      </c>
      <c r="E669" s="23" t="inlineStr">
        <is>
          <t>Carried forward</t>
        </is>
      </c>
      <c r="F669" s="23" t="inlineStr"/>
      <c r="G669" s="23" t="inlineStr">
        <is>
          <t>Source assignment -- not individually reviewed</t>
        </is>
      </c>
      <c r="H669" s="14" t="inlineStr">
        <is>
          <t>10 EVIDENCE &amp; DECISIONS</t>
        </is>
      </c>
    </row>
    <row r="670" ht="34" customHeight="1">
      <c r="A670" s="23" t="inlineStr">
        <is>
          <t>R452-v2</t>
        </is>
      </c>
      <c r="B670" s="23" t="inlineStr">
        <is>
          <t>Contractor Programme</t>
        </is>
      </c>
      <c r="C670" s="23" t="inlineStr">
        <is>
          <t>SCH-03-092</t>
        </is>
      </c>
      <c r="D670" s="23" t="inlineStr">
        <is>
          <t>1.3.1 Systems - Traction Power</t>
        </is>
      </c>
      <c r="E670" s="23" t="inlineStr">
        <is>
          <t>Carried forward</t>
        </is>
      </c>
      <c r="F670" s="23" t="inlineStr"/>
      <c r="G670" s="23" t="inlineStr">
        <is>
          <t>Source assignment -- not individually reviewed</t>
        </is>
      </c>
      <c r="H670" s="14" t="inlineStr">
        <is>
          <t>10 EVIDENCE &amp; DECISIONS</t>
        </is>
      </c>
    </row>
    <row r="671" ht="34" customHeight="1">
      <c r="A671" s="23" t="inlineStr">
        <is>
          <t>R454-v2</t>
        </is>
      </c>
      <c r="B671" s="23" t="inlineStr">
        <is>
          <t>Contractor Programme</t>
        </is>
      </c>
      <c r="C671" s="23" t="inlineStr">
        <is>
          <t>SCH-03-094</t>
        </is>
      </c>
      <c r="D671" s="23" t="inlineStr">
        <is>
          <t>1.3.1 Systems - Traction Power</t>
        </is>
      </c>
      <c r="E671" s="23" t="inlineStr">
        <is>
          <t>Carried forward</t>
        </is>
      </c>
      <c r="F671" s="23" t="inlineStr"/>
      <c r="G671" s="23" t="inlineStr">
        <is>
          <t>Source assignment -- not individually reviewed</t>
        </is>
      </c>
      <c r="H671" s="14" t="inlineStr">
        <is>
          <t>10 EVIDENCE &amp; DECISIONS</t>
        </is>
      </c>
    </row>
    <row r="672" ht="34" customHeight="1">
      <c r="A672" s="23" t="inlineStr">
        <is>
          <t>R455-v2</t>
        </is>
      </c>
      <c r="B672" s="23" t="inlineStr">
        <is>
          <t>Contractor Programme</t>
        </is>
      </c>
      <c r="C672" s="23" t="inlineStr">
        <is>
          <t>SCH-03-095</t>
        </is>
      </c>
      <c r="D672" s="23" t="inlineStr">
        <is>
          <t>1.3.1 Systems - Traction Power</t>
        </is>
      </c>
      <c r="E672" s="23" t="inlineStr">
        <is>
          <t>Carried forward</t>
        </is>
      </c>
      <c r="F672" s="23" t="inlineStr"/>
      <c r="G672" s="23" t="inlineStr">
        <is>
          <t>Source assignment -- not individually reviewed</t>
        </is>
      </c>
      <c r="H672" s="14" t="inlineStr">
        <is>
          <t>10 EVIDENCE &amp; DECISIONS</t>
        </is>
      </c>
    </row>
    <row r="673" ht="34" customHeight="1">
      <c r="A673" s="23" t="inlineStr">
        <is>
          <t>R457-v2</t>
        </is>
      </c>
      <c r="B673" s="23" t="inlineStr">
        <is>
          <t>Contractor Programme</t>
        </is>
      </c>
      <c r="C673" s="23" t="inlineStr">
        <is>
          <t>SCH-03-097</t>
        </is>
      </c>
      <c r="D673" s="23" t="inlineStr">
        <is>
          <t>1.3.1 Systems - Traction Power</t>
        </is>
      </c>
      <c r="E673" s="23" t="inlineStr">
        <is>
          <t>Carried forward</t>
        </is>
      </c>
      <c r="F673" s="23" t="inlineStr"/>
      <c r="G673" s="23" t="inlineStr">
        <is>
          <t>Source assignment -- not individually reviewed</t>
        </is>
      </c>
      <c r="H673" s="14" t="inlineStr">
        <is>
          <t>10 EVIDENCE &amp; DECISIONS</t>
        </is>
      </c>
    </row>
    <row r="674" ht="34" customHeight="1">
      <c r="A674" s="23" t="inlineStr">
        <is>
          <t>R458-v2</t>
        </is>
      </c>
      <c r="B674" s="23" t="inlineStr">
        <is>
          <t>Contractor Programme</t>
        </is>
      </c>
      <c r="C674" s="23" t="inlineStr">
        <is>
          <t>SCH-03-098</t>
        </is>
      </c>
      <c r="D674" s="23" t="inlineStr">
        <is>
          <t>1.3.1 Systems - Traction Power</t>
        </is>
      </c>
      <c r="E674" s="23" t="inlineStr">
        <is>
          <t>Carried forward</t>
        </is>
      </c>
      <c r="F674" s="23" t="inlineStr"/>
      <c r="G674" s="23" t="inlineStr">
        <is>
          <t>Source assignment -- not individually reviewed</t>
        </is>
      </c>
      <c r="H674" s="14" t="inlineStr">
        <is>
          <t>10 EVIDENCE &amp; DECISIONS</t>
        </is>
      </c>
    </row>
    <row r="675" ht="34" customHeight="1">
      <c r="A675" s="23" t="inlineStr">
        <is>
          <t>R460-v2</t>
        </is>
      </c>
      <c r="B675" s="23" t="inlineStr">
        <is>
          <t>Contractor Programme</t>
        </is>
      </c>
      <c r="C675" s="23" t="inlineStr">
        <is>
          <t>SCH-03-100</t>
        </is>
      </c>
      <c r="D675" s="23" t="inlineStr">
        <is>
          <t>1.3.1 Systems - Traction Power</t>
        </is>
      </c>
      <c r="E675" s="23" t="inlineStr">
        <is>
          <t>Carried forward</t>
        </is>
      </c>
      <c r="F675" s="23" t="inlineStr"/>
      <c r="G675" s="23" t="inlineStr">
        <is>
          <t>Source assignment -- not individually reviewed</t>
        </is>
      </c>
      <c r="H675" s="14" t="inlineStr">
        <is>
          <t>10 EVIDENCE &amp; DECISIONS</t>
        </is>
      </c>
    </row>
    <row r="676" ht="34" customHeight="1">
      <c r="A676" s="23" t="inlineStr">
        <is>
          <t>R461-v2</t>
        </is>
      </c>
      <c r="B676" s="23" t="inlineStr">
        <is>
          <t>Contractor Programme</t>
        </is>
      </c>
      <c r="C676" s="23" t="inlineStr">
        <is>
          <t>SCH-03-101</t>
        </is>
      </c>
      <c r="D676" s="23" t="inlineStr">
        <is>
          <t>1.3.1 Systems - Traction Power</t>
        </is>
      </c>
      <c r="E676" s="23" t="inlineStr">
        <is>
          <t>Carried forward</t>
        </is>
      </c>
      <c r="F676" s="23" t="inlineStr"/>
      <c r="G676" s="23" t="inlineStr">
        <is>
          <t>Source assignment -- not individually reviewed</t>
        </is>
      </c>
      <c r="H676" s="14" t="inlineStr">
        <is>
          <t>10 EVIDENCE &amp; DECISIONS</t>
        </is>
      </c>
    </row>
    <row r="677" ht="34" customHeight="1">
      <c r="A677" s="23" t="inlineStr">
        <is>
          <t>R463-v2</t>
        </is>
      </c>
      <c r="B677" s="23" t="inlineStr">
        <is>
          <t>Contractor Programme</t>
        </is>
      </c>
      <c r="C677" s="23" t="inlineStr">
        <is>
          <t>SCH-03-103</t>
        </is>
      </c>
      <c r="D677" s="23" t="inlineStr">
        <is>
          <t>1.3.1 Systems - Traction Power</t>
        </is>
      </c>
      <c r="E677" s="23" t="inlineStr">
        <is>
          <t>Carried forward</t>
        </is>
      </c>
      <c r="F677" s="23" t="inlineStr"/>
      <c r="G677" s="23" t="inlineStr">
        <is>
          <t>Source assignment -- not individually reviewed</t>
        </is>
      </c>
      <c r="H677" s="14" t="inlineStr">
        <is>
          <t>10 EVIDENCE &amp; DECISIONS</t>
        </is>
      </c>
    </row>
    <row r="678" ht="34" customHeight="1">
      <c r="A678" s="23" t="inlineStr">
        <is>
          <t>R464-v2</t>
        </is>
      </c>
      <c r="B678" s="23" t="inlineStr">
        <is>
          <t>Contractor Programme</t>
        </is>
      </c>
      <c r="C678" s="23" t="inlineStr">
        <is>
          <t>SCH-03-104</t>
        </is>
      </c>
      <c r="D678" s="23" t="inlineStr">
        <is>
          <t>1.3.1 Systems - Traction Power</t>
        </is>
      </c>
      <c r="E678" s="23" t="inlineStr">
        <is>
          <t>Carried forward</t>
        </is>
      </c>
      <c r="F678" s="23" t="inlineStr"/>
      <c r="G678" s="23" t="inlineStr">
        <is>
          <t>Source assignment -- not individually reviewed</t>
        </is>
      </c>
      <c r="H678" s="14" t="inlineStr">
        <is>
          <t>10 EVIDENCE &amp; DECISIONS</t>
        </is>
      </c>
    </row>
    <row r="679" ht="34" customHeight="1">
      <c r="A679" s="23" t="inlineStr">
        <is>
          <t>R466-v2</t>
        </is>
      </c>
      <c r="B679" s="23" t="inlineStr">
        <is>
          <t>Contractor Programme</t>
        </is>
      </c>
      <c r="C679" s="23" t="inlineStr">
        <is>
          <t>SCH-03-106</t>
        </is>
      </c>
      <c r="D679" s="23" t="inlineStr">
        <is>
          <t>1.3.1 Systems - Traction Power</t>
        </is>
      </c>
      <c r="E679" s="23" t="inlineStr">
        <is>
          <t>Carried forward</t>
        </is>
      </c>
      <c r="F679" s="23" t="inlineStr"/>
      <c r="G679" s="23" t="inlineStr">
        <is>
          <t>Source assignment -- not individually reviewed</t>
        </is>
      </c>
      <c r="H679" s="14" t="inlineStr">
        <is>
          <t>10 EVIDENCE &amp; DECISIONS</t>
        </is>
      </c>
    </row>
    <row r="680" ht="34" customHeight="1">
      <c r="A680" s="23" t="inlineStr">
        <is>
          <t>R467-v2</t>
        </is>
      </c>
      <c r="B680" s="23" t="inlineStr">
        <is>
          <t>Contractor Programme</t>
        </is>
      </c>
      <c r="C680" s="23" t="inlineStr">
        <is>
          <t>SCH-03-107</t>
        </is>
      </c>
      <c r="D680" s="23" t="inlineStr">
        <is>
          <t>1.3.1 Systems - Traction Power</t>
        </is>
      </c>
      <c r="E680" s="23" t="inlineStr">
        <is>
          <t>Carried forward</t>
        </is>
      </c>
      <c r="F680" s="23" t="inlineStr"/>
      <c r="G680" s="23" t="inlineStr">
        <is>
          <t>Source assignment -- not individually reviewed</t>
        </is>
      </c>
      <c r="H680" s="14" t="inlineStr">
        <is>
          <t>10 EVIDENCE &amp; DECISIONS</t>
        </is>
      </c>
    </row>
    <row r="681" ht="34" customHeight="1">
      <c r="A681" s="23" t="inlineStr">
        <is>
          <t>R469-v2</t>
        </is>
      </c>
      <c r="B681" s="23" t="inlineStr">
        <is>
          <t>Contractor Programme</t>
        </is>
      </c>
      <c r="C681" s="23" t="inlineStr">
        <is>
          <t>SCH-03-109</t>
        </is>
      </c>
      <c r="D681" s="23" t="inlineStr">
        <is>
          <t>1.3.1 Systems - Traction Power</t>
        </is>
      </c>
      <c r="E681" s="23" t="inlineStr">
        <is>
          <t>Carried forward</t>
        </is>
      </c>
      <c r="F681" s="23" t="inlineStr"/>
      <c r="G681" s="23" t="inlineStr">
        <is>
          <t>Source assignment -- not individually reviewed</t>
        </is>
      </c>
      <c r="H681" s="14" t="inlineStr">
        <is>
          <t>10 EVIDENCE &amp; DECISIONS</t>
        </is>
      </c>
    </row>
    <row r="682" ht="34" customHeight="1">
      <c r="A682" s="23" t="inlineStr">
        <is>
          <t>R470-v2</t>
        </is>
      </c>
      <c r="B682" s="23" t="inlineStr">
        <is>
          <t>Contractor Programme</t>
        </is>
      </c>
      <c r="C682" s="23" t="inlineStr">
        <is>
          <t>SCH-03-110</t>
        </is>
      </c>
      <c r="D682" s="23" t="inlineStr">
        <is>
          <t>1.3.1 Systems - Traction Power</t>
        </is>
      </c>
      <c r="E682" s="23" t="inlineStr">
        <is>
          <t>Carried forward</t>
        </is>
      </c>
      <c r="F682" s="23" t="inlineStr"/>
      <c r="G682" s="23" t="inlineStr">
        <is>
          <t>Source assignment -- not individually reviewed</t>
        </is>
      </c>
      <c r="H682" s="14" t="inlineStr">
        <is>
          <t>10 EVIDENCE &amp; DECISIONS</t>
        </is>
      </c>
    </row>
    <row r="683" ht="34" customHeight="1">
      <c r="A683" s="23" t="inlineStr">
        <is>
          <t>R472-v2</t>
        </is>
      </c>
      <c r="B683" s="23" t="inlineStr">
        <is>
          <t>Contractor Programme</t>
        </is>
      </c>
      <c r="C683" s="23" t="inlineStr">
        <is>
          <t>SCH-03-112</t>
        </is>
      </c>
      <c r="D683" s="23" t="inlineStr">
        <is>
          <t>1.3.1 Systems - Traction Power</t>
        </is>
      </c>
      <c r="E683" s="23" t="inlineStr">
        <is>
          <t>Carried forward</t>
        </is>
      </c>
      <c r="F683" s="23" t="inlineStr"/>
      <c r="G683" s="23" t="inlineStr">
        <is>
          <t>Source assignment -- not individually reviewed</t>
        </is>
      </c>
      <c r="H683" s="14" t="inlineStr">
        <is>
          <t>10 EVIDENCE &amp; DECISIONS</t>
        </is>
      </c>
    </row>
    <row r="684" ht="34" customHeight="1">
      <c r="A684" s="23" t="inlineStr">
        <is>
          <t>R473-v2</t>
        </is>
      </c>
      <c r="B684" s="23" t="inlineStr">
        <is>
          <t>Contractor Programme</t>
        </is>
      </c>
      <c r="C684" s="23" t="inlineStr">
        <is>
          <t>SCH-03-113</t>
        </is>
      </c>
      <c r="D684" s="23" t="inlineStr">
        <is>
          <t>1.3.1 Systems - Traction Power</t>
        </is>
      </c>
      <c r="E684" s="23" t="inlineStr">
        <is>
          <t>Carried forward</t>
        </is>
      </c>
      <c r="F684" s="23" t="inlineStr"/>
      <c r="G684" s="23" t="inlineStr">
        <is>
          <t>Source assignment -- not individually reviewed</t>
        </is>
      </c>
      <c r="H684" s="14" t="inlineStr">
        <is>
          <t>10 EVIDENCE &amp; DECISIONS</t>
        </is>
      </c>
    </row>
    <row r="685" ht="34" customHeight="1">
      <c r="A685" s="23" t="inlineStr">
        <is>
          <t>R475-v2</t>
        </is>
      </c>
      <c r="B685" s="23" t="inlineStr">
        <is>
          <t>Contractor Programme</t>
        </is>
      </c>
      <c r="C685" s="23" t="inlineStr">
        <is>
          <t>SCH-03-115</t>
        </is>
      </c>
      <c r="D685" s="23" t="inlineStr">
        <is>
          <t>1.3.1 Systems - Traction Power</t>
        </is>
      </c>
      <c r="E685" s="23" t="inlineStr">
        <is>
          <t>Carried forward</t>
        </is>
      </c>
      <c r="F685" s="23" t="inlineStr"/>
      <c r="G685" s="23" t="inlineStr">
        <is>
          <t>Source assignment -- not individually reviewed</t>
        </is>
      </c>
      <c r="H685" s="14" t="inlineStr">
        <is>
          <t>10 EVIDENCE &amp; DECISIONS</t>
        </is>
      </c>
    </row>
    <row r="686" ht="34" customHeight="1">
      <c r="A686" s="23" t="inlineStr">
        <is>
          <t>R476-v2</t>
        </is>
      </c>
      <c r="B686" s="23" t="inlineStr">
        <is>
          <t>Contractor Programme</t>
        </is>
      </c>
      <c r="C686" s="23" t="inlineStr">
        <is>
          <t>SCH-03-116</t>
        </is>
      </c>
      <c r="D686" s="23" t="inlineStr">
        <is>
          <t>1.3.1 Systems - Traction Power</t>
        </is>
      </c>
      <c r="E686" s="23" t="inlineStr">
        <is>
          <t>Carried forward</t>
        </is>
      </c>
      <c r="F686" s="23" t="inlineStr"/>
      <c r="G686" s="23" t="inlineStr">
        <is>
          <t>Source assignment -- not individually reviewed</t>
        </is>
      </c>
      <c r="H686" s="14" t="inlineStr">
        <is>
          <t>10 EVIDENCE &amp; DECISIONS</t>
        </is>
      </c>
    </row>
    <row r="687" ht="34" customHeight="1">
      <c r="A687" s="23" t="inlineStr">
        <is>
          <t>R478-v2</t>
        </is>
      </c>
      <c r="B687" s="23" t="inlineStr">
        <is>
          <t>Contractor Programme</t>
        </is>
      </c>
      <c r="C687" s="23" t="inlineStr">
        <is>
          <t>SCH-03-118</t>
        </is>
      </c>
      <c r="D687" s="23" t="inlineStr">
        <is>
          <t>1.3.1 Systems - Traction Power</t>
        </is>
      </c>
      <c r="E687" s="23" t="inlineStr">
        <is>
          <t>Carried forward</t>
        </is>
      </c>
      <c r="F687" s="23" t="inlineStr"/>
      <c r="G687" s="23" t="inlineStr">
        <is>
          <t>Source assignment -- not individually reviewed</t>
        </is>
      </c>
      <c r="H687" s="14" t="inlineStr">
        <is>
          <t>10 EVIDENCE &amp; DECISIONS</t>
        </is>
      </c>
    </row>
    <row r="688" ht="34" customHeight="1">
      <c r="A688" s="23" t="inlineStr">
        <is>
          <t>R479-v2</t>
        </is>
      </c>
      <c r="B688" s="23" t="inlineStr">
        <is>
          <t>Contractor Programme</t>
        </is>
      </c>
      <c r="C688" s="23" t="inlineStr">
        <is>
          <t>SCH-03-119</t>
        </is>
      </c>
      <c r="D688" s="23" t="inlineStr">
        <is>
          <t>1.3.1 Systems - Traction Power</t>
        </is>
      </c>
      <c r="E688" s="23" t="inlineStr">
        <is>
          <t>Carried forward</t>
        </is>
      </c>
      <c r="F688" s="23" t="inlineStr"/>
      <c r="G688" s="23" t="inlineStr">
        <is>
          <t>Source assignment -- not individually reviewed</t>
        </is>
      </c>
      <c r="H688" s="14" t="inlineStr">
        <is>
          <t>10 EVIDENCE &amp; DECISIONS</t>
        </is>
      </c>
    </row>
    <row r="689" ht="34" customHeight="1">
      <c r="A689" s="23" t="inlineStr">
        <is>
          <t>R481-v2</t>
        </is>
      </c>
      <c r="B689" s="23" t="inlineStr">
        <is>
          <t>Contractor Programme</t>
        </is>
      </c>
      <c r="C689" s="23" t="inlineStr">
        <is>
          <t>SCH-03-121</t>
        </is>
      </c>
      <c r="D689" s="23" t="inlineStr">
        <is>
          <t>1.3.1 Systems - Traction Power</t>
        </is>
      </c>
      <c r="E689" s="23" t="inlineStr">
        <is>
          <t>Carried forward</t>
        </is>
      </c>
      <c r="F689" s="23" t="inlineStr"/>
      <c r="G689" s="23" t="inlineStr">
        <is>
          <t>Source assignment -- not individually reviewed</t>
        </is>
      </c>
      <c r="H689" s="14" t="inlineStr">
        <is>
          <t>10 EVIDENCE &amp; DECISIONS</t>
        </is>
      </c>
    </row>
    <row r="690" ht="34" customHeight="1">
      <c r="A690" s="23" t="inlineStr">
        <is>
          <t>R482-v2</t>
        </is>
      </c>
      <c r="B690" s="23" t="inlineStr">
        <is>
          <t>Contractor Programme</t>
        </is>
      </c>
      <c r="C690" s="23" t="inlineStr">
        <is>
          <t>SCH-03-122</t>
        </is>
      </c>
      <c r="D690" s="23" t="inlineStr">
        <is>
          <t>1.3.1 Systems - Traction Power</t>
        </is>
      </c>
      <c r="E690" s="23" t="inlineStr">
        <is>
          <t>Carried forward</t>
        </is>
      </c>
      <c r="F690" s="23" t="inlineStr"/>
      <c r="G690" s="23" t="inlineStr">
        <is>
          <t>Source assignment -- not individually reviewed</t>
        </is>
      </c>
      <c r="H690" s="14" t="inlineStr">
        <is>
          <t>10 EVIDENCE &amp; DECISIONS</t>
        </is>
      </c>
    </row>
    <row r="691" ht="34" customHeight="1">
      <c r="A691" s="23" t="inlineStr">
        <is>
          <t>R484-v2</t>
        </is>
      </c>
      <c r="B691" s="23" t="inlineStr">
        <is>
          <t>Contractor Programme</t>
        </is>
      </c>
      <c r="C691" s="23" t="inlineStr">
        <is>
          <t>SCH-03-124</t>
        </is>
      </c>
      <c r="D691" s="23" t="inlineStr">
        <is>
          <t>1.3.1 Systems - Traction Power</t>
        </is>
      </c>
      <c r="E691" s="23" t="inlineStr">
        <is>
          <t>Carried forward</t>
        </is>
      </c>
      <c r="F691" s="23" t="inlineStr"/>
      <c r="G691" s="23" t="inlineStr">
        <is>
          <t>Source assignment -- not individually reviewed</t>
        </is>
      </c>
      <c r="H691" s="14" t="inlineStr">
        <is>
          <t>10 EVIDENCE &amp; DECISIONS</t>
        </is>
      </c>
    </row>
    <row r="692" ht="34" customHeight="1">
      <c r="A692" s="23" t="inlineStr">
        <is>
          <t>R485-v2</t>
        </is>
      </c>
      <c r="B692" s="23" t="inlineStr">
        <is>
          <t>Contractor Programme</t>
        </is>
      </c>
      <c r="C692" s="23" t="inlineStr">
        <is>
          <t>SCH-03-125</t>
        </is>
      </c>
      <c r="D692" s="23" t="inlineStr">
        <is>
          <t>1.3.1 Systems - Traction Power</t>
        </is>
      </c>
      <c r="E692" s="23" t="inlineStr">
        <is>
          <t>Carried forward</t>
        </is>
      </c>
      <c r="F692" s="23" t="inlineStr"/>
      <c r="G692" s="23" t="inlineStr">
        <is>
          <t>Source assignment -- not individually reviewed</t>
        </is>
      </c>
      <c r="H692" s="14" t="inlineStr">
        <is>
          <t>10 EVIDENCE &amp; DECISIONS</t>
        </is>
      </c>
    </row>
    <row r="693" ht="34" customHeight="1">
      <c r="A693" s="23" t="inlineStr">
        <is>
          <t>R487-v2</t>
        </is>
      </c>
      <c r="B693" s="23" t="inlineStr">
        <is>
          <t>Contractor Programme</t>
        </is>
      </c>
      <c r="C693" s="23" t="inlineStr">
        <is>
          <t>SCH-03-127</t>
        </is>
      </c>
      <c r="D693" s="23" t="inlineStr">
        <is>
          <t>1.3.1 Systems - Traction Power</t>
        </is>
      </c>
      <c r="E693" s="23" t="inlineStr">
        <is>
          <t>Carried forward</t>
        </is>
      </c>
      <c r="F693" s="23" t="inlineStr"/>
      <c r="G693" s="23" t="inlineStr">
        <is>
          <t>Source assignment -- not individually reviewed</t>
        </is>
      </c>
      <c r="H693" s="14" t="inlineStr">
        <is>
          <t>10 EVIDENCE &amp; DECISIONS</t>
        </is>
      </c>
    </row>
    <row r="694" ht="34" customHeight="1">
      <c r="A694" s="23" t="inlineStr">
        <is>
          <t>R488-v2</t>
        </is>
      </c>
      <c r="B694" s="23" t="inlineStr">
        <is>
          <t>Contractor Programme</t>
        </is>
      </c>
      <c r="C694" s="23" t="inlineStr">
        <is>
          <t>SCH-03-128</t>
        </is>
      </c>
      <c r="D694" s="23" t="inlineStr">
        <is>
          <t>1.3.1 Systems - Traction Power</t>
        </is>
      </c>
      <c r="E694" s="23" t="inlineStr">
        <is>
          <t>Carried forward</t>
        </is>
      </c>
      <c r="F694" s="23" t="inlineStr"/>
      <c r="G694" s="23" t="inlineStr">
        <is>
          <t>Source assignment -- not individually reviewed</t>
        </is>
      </c>
      <c r="H694" s="14" t="inlineStr">
        <is>
          <t>10 EVIDENCE &amp; DECISIONS</t>
        </is>
      </c>
    </row>
    <row r="695" ht="34" customHeight="1">
      <c r="A695" s="23" t="inlineStr">
        <is>
          <t>R490-v2</t>
        </is>
      </c>
      <c r="B695" s="23" t="inlineStr">
        <is>
          <t>Contractor Programme</t>
        </is>
      </c>
      <c r="C695" s="23" t="inlineStr">
        <is>
          <t>SCH-03-130</t>
        </is>
      </c>
      <c r="D695" s="23" t="inlineStr">
        <is>
          <t>1.3.1 Systems - Traction Power</t>
        </is>
      </c>
      <c r="E695" s="23" t="inlineStr">
        <is>
          <t>Carried forward</t>
        </is>
      </c>
      <c r="F695" s="23" t="inlineStr"/>
      <c r="G695" s="23" t="inlineStr">
        <is>
          <t>Source assignment -- not individually reviewed</t>
        </is>
      </c>
      <c r="H695" s="14" t="inlineStr">
        <is>
          <t>10 EVIDENCE &amp; DECISIONS</t>
        </is>
      </c>
    </row>
    <row r="696" ht="34" customHeight="1">
      <c r="A696" s="23" t="inlineStr">
        <is>
          <t>R491-v2</t>
        </is>
      </c>
      <c r="B696" s="23" t="inlineStr">
        <is>
          <t>Contractor Programme</t>
        </is>
      </c>
      <c r="C696" s="23" t="inlineStr">
        <is>
          <t>SCH-03-131</t>
        </is>
      </c>
      <c r="D696" s="23" t="inlineStr">
        <is>
          <t>1.3.1 Systems - Traction Power</t>
        </is>
      </c>
      <c r="E696" s="23" t="inlineStr">
        <is>
          <t>Carried forward</t>
        </is>
      </c>
      <c r="F696" s="23" t="inlineStr"/>
      <c r="G696" s="23" t="inlineStr">
        <is>
          <t>Source assignment -- not individually reviewed</t>
        </is>
      </c>
      <c r="H696" s="14" t="inlineStr">
        <is>
          <t>10 EVIDENCE &amp; DECISIONS</t>
        </is>
      </c>
    </row>
    <row r="697" ht="34" customHeight="1">
      <c r="A697" s="23" t="inlineStr">
        <is>
          <t>R493-v2</t>
        </is>
      </c>
      <c r="B697" s="23" t="inlineStr">
        <is>
          <t>Contractor Programme</t>
        </is>
      </c>
      <c r="C697" s="23" t="inlineStr">
        <is>
          <t>SCH-03-133</t>
        </is>
      </c>
      <c r="D697" s="23" t="inlineStr">
        <is>
          <t>1.3.1 Systems - Traction Power</t>
        </is>
      </c>
      <c r="E697" s="23" t="inlineStr">
        <is>
          <t>Carried forward</t>
        </is>
      </c>
      <c r="F697" s="23" t="inlineStr"/>
      <c r="G697" s="23" t="inlineStr">
        <is>
          <t>Source assignment -- not individually reviewed</t>
        </is>
      </c>
      <c r="H697" s="14" t="inlineStr">
        <is>
          <t>10 EVIDENCE &amp; DECISIONS</t>
        </is>
      </c>
    </row>
    <row r="698" ht="34" customHeight="1">
      <c r="A698" s="23" t="inlineStr">
        <is>
          <t>R494-v2</t>
        </is>
      </c>
      <c r="B698" s="23" t="inlineStr">
        <is>
          <t>Contractor Programme</t>
        </is>
      </c>
      <c r="C698" s="23" t="inlineStr">
        <is>
          <t>SCH-03-134</t>
        </is>
      </c>
      <c r="D698" s="23" t="inlineStr">
        <is>
          <t>1.3.1 Systems - Traction Power</t>
        </is>
      </c>
      <c r="E698" s="23" t="inlineStr">
        <is>
          <t>Carried forward</t>
        </is>
      </c>
      <c r="F698" s="23" t="inlineStr"/>
      <c r="G698" s="23" t="inlineStr">
        <is>
          <t>Source assignment -- not individually reviewed</t>
        </is>
      </c>
      <c r="H698" s="14" t="inlineStr">
        <is>
          <t>10 EVIDENCE &amp; DECISIONS</t>
        </is>
      </c>
    </row>
    <row r="699" ht="34" customHeight="1">
      <c r="A699" s="23" t="inlineStr">
        <is>
          <t>R496-v2</t>
        </is>
      </c>
      <c r="B699" s="23" t="inlineStr">
        <is>
          <t>Contractor Programme</t>
        </is>
      </c>
      <c r="C699" s="23" t="inlineStr">
        <is>
          <t>SCH-03-136</t>
        </is>
      </c>
      <c r="D699" s="23" t="inlineStr">
        <is>
          <t>1.3.1 Systems - Traction Power</t>
        </is>
      </c>
      <c r="E699" s="23" t="inlineStr">
        <is>
          <t>Carried forward</t>
        </is>
      </c>
      <c r="F699" s="23" t="inlineStr"/>
      <c r="G699" s="23" t="inlineStr">
        <is>
          <t>Source assignment -- not individually reviewed</t>
        </is>
      </c>
      <c r="H699" s="14" t="inlineStr">
        <is>
          <t>10 EVIDENCE &amp; DECISIONS</t>
        </is>
      </c>
    </row>
    <row r="700" ht="34" customHeight="1">
      <c r="A700" s="23" t="inlineStr">
        <is>
          <t>R497-v2</t>
        </is>
      </c>
      <c r="B700" s="23" t="inlineStr">
        <is>
          <t>Contractor Programme</t>
        </is>
      </c>
      <c r="C700" s="23" t="inlineStr">
        <is>
          <t>SCH-03-137</t>
        </is>
      </c>
      <c r="D700" s="23" t="inlineStr">
        <is>
          <t>1.3.1 Systems - Traction Power</t>
        </is>
      </c>
      <c r="E700" s="23" t="inlineStr">
        <is>
          <t>Carried forward</t>
        </is>
      </c>
      <c r="F700" s="23" t="inlineStr"/>
      <c r="G700" s="23" t="inlineStr">
        <is>
          <t>Source assignment -- not individually reviewed</t>
        </is>
      </c>
      <c r="H700" s="14" t="inlineStr">
        <is>
          <t>10 EVIDENCE &amp; DECISIONS</t>
        </is>
      </c>
    </row>
    <row r="701" ht="34" customHeight="1">
      <c r="A701" s="23" t="inlineStr">
        <is>
          <t>R499-v2</t>
        </is>
      </c>
      <c r="B701" s="23" t="inlineStr">
        <is>
          <t>Contractor Programme</t>
        </is>
      </c>
      <c r="C701" s="23" t="inlineStr">
        <is>
          <t>SCH-03-139</t>
        </is>
      </c>
      <c r="D701" s="23" t="inlineStr">
        <is>
          <t>1.3.1 Systems - Traction Power</t>
        </is>
      </c>
      <c r="E701" s="23" t="inlineStr">
        <is>
          <t>Carried forward</t>
        </is>
      </c>
      <c r="F701" s="23" t="inlineStr"/>
      <c r="G701" s="23" t="inlineStr">
        <is>
          <t>Source assignment -- not individually reviewed</t>
        </is>
      </c>
      <c r="H701" s="14" t="inlineStr">
        <is>
          <t>10 EVIDENCE &amp; DECISIONS</t>
        </is>
      </c>
    </row>
    <row r="702" ht="34" customHeight="1">
      <c r="A702" s="23" t="inlineStr">
        <is>
          <t>R500-v2</t>
        </is>
      </c>
      <c r="B702" s="23" t="inlineStr">
        <is>
          <t>Contractor Programme</t>
        </is>
      </c>
      <c r="C702" s="23" t="inlineStr">
        <is>
          <t>SCH-03-140</t>
        </is>
      </c>
      <c r="D702" s="23" t="inlineStr">
        <is>
          <t>1.3.1 Systems - Traction Power</t>
        </is>
      </c>
      <c r="E702" s="23" t="inlineStr">
        <is>
          <t>Carried forward</t>
        </is>
      </c>
      <c r="F702" s="23" t="inlineStr"/>
      <c r="G702" s="23" t="inlineStr">
        <is>
          <t>Source assignment -- not individually reviewed</t>
        </is>
      </c>
      <c r="H702" s="14" t="inlineStr">
        <is>
          <t>10 EVIDENCE &amp; DECISIONS</t>
        </is>
      </c>
    </row>
    <row r="703" ht="34" customHeight="1">
      <c r="A703" s="23" t="inlineStr">
        <is>
          <t>R502-v2</t>
        </is>
      </c>
      <c r="B703" s="23" t="inlineStr">
        <is>
          <t>Contractor Programme</t>
        </is>
      </c>
      <c r="C703" s="23" t="inlineStr">
        <is>
          <t>SCH-03-142</t>
        </is>
      </c>
      <c r="D703" s="23" t="inlineStr">
        <is>
          <t>1.3.1 Systems - Traction Power</t>
        </is>
      </c>
      <c r="E703" s="23" t="inlineStr">
        <is>
          <t>Carried forward</t>
        </is>
      </c>
      <c r="F703" s="23" t="inlineStr"/>
      <c r="G703" s="23" t="inlineStr">
        <is>
          <t>Source assignment -- not individually reviewed</t>
        </is>
      </c>
      <c r="H703" s="14" t="inlineStr">
        <is>
          <t>10 EVIDENCE &amp; DECISIONS</t>
        </is>
      </c>
    </row>
    <row r="704" ht="34" customHeight="1">
      <c r="A704" s="23" t="inlineStr">
        <is>
          <t>R503-v2</t>
        </is>
      </c>
      <c r="B704" s="23" t="inlineStr">
        <is>
          <t>Contractor Programme</t>
        </is>
      </c>
      <c r="C704" s="23" t="inlineStr">
        <is>
          <t>SCH-03-143</t>
        </is>
      </c>
      <c r="D704" s="23" t="inlineStr">
        <is>
          <t>1.3.1 Systems - Traction Power</t>
        </is>
      </c>
      <c r="E704" s="23" t="inlineStr">
        <is>
          <t>Carried forward</t>
        </is>
      </c>
      <c r="F704" s="23" t="inlineStr"/>
      <c r="G704" s="23" t="inlineStr">
        <is>
          <t>Source assignment -- not individually reviewed</t>
        </is>
      </c>
      <c r="H704" s="14" t="inlineStr">
        <is>
          <t>10 EVIDENCE &amp; DECISIONS</t>
        </is>
      </c>
    </row>
    <row r="705" ht="34" customHeight="1">
      <c r="A705" s="23" t="inlineStr">
        <is>
          <t>R505-v2</t>
        </is>
      </c>
      <c r="B705" s="23" t="inlineStr">
        <is>
          <t>Contractor Programme</t>
        </is>
      </c>
      <c r="C705" s="23" t="inlineStr">
        <is>
          <t>SCH-03-145</t>
        </is>
      </c>
      <c r="D705" s="23" t="inlineStr">
        <is>
          <t>1.3.1 Systems - Traction Power</t>
        </is>
      </c>
      <c r="E705" s="23" t="inlineStr">
        <is>
          <t>Carried forward</t>
        </is>
      </c>
      <c r="F705" s="23" t="inlineStr"/>
      <c r="G705" s="23" t="inlineStr">
        <is>
          <t>Source assignment -- not individually reviewed</t>
        </is>
      </c>
      <c r="H705" s="14" t="inlineStr">
        <is>
          <t>10 EVIDENCE &amp; DECISIONS</t>
        </is>
      </c>
    </row>
    <row r="706" ht="34" customHeight="1">
      <c r="A706" s="23" t="inlineStr">
        <is>
          <t>R506-v2</t>
        </is>
      </c>
      <c r="B706" s="23" t="inlineStr">
        <is>
          <t>Contractor Programme</t>
        </is>
      </c>
      <c r="C706" s="23" t="inlineStr">
        <is>
          <t>SCH-03-146</t>
        </is>
      </c>
      <c r="D706" s="23" t="inlineStr">
        <is>
          <t>1.3.1 Systems - Traction Power</t>
        </is>
      </c>
      <c r="E706" s="23" t="inlineStr">
        <is>
          <t>Carried forward</t>
        </is>
      </c>
      <c r="F706" s="23" t="inlineStr"/>
      <c r="G706" s="23" t="inlineStr">
        <is>
          <t>Source assignment -- not individually reviewed</t>
        </is>
      </c>
      <c r="H706" s="14" t="inlineStr">
        <is>
          <t>10 EVIDENCE &amp; DECISIONS</t>
        </is>
      </c>
    </row>
    <row r="707" ht="34" customHeight="1">
      <c r="A707" s="23" t="inlineStr">
        <is>
          <t>R508-v2</t>
        </is>
      </c>
      <c r="B707" s="23" t="inlineStr">
        <is>
          <t>Contractor Programme</t>
        </is>
      </c>
      <c r="C707" s="23" t="inlineStr">
        <is>
          <t>SCH-03-148</t>
        </is>
      </c>
      <c r="D707" s="23" t="inlineStr">
        <is>
          <t>1.3.1 Systems - Traction Power</t>
        </is>
      </c>
      <c r="E707" s="23" t="inlineStr">
        <is>
          <t>Carried forward</t>
        </is>
      </c>
      <c r="F707" s="23" t="inlineStr"/>
      <c r="G707" s="23" t="inlineStr">
        <is>
          <t>Source assignment -- not individually reviewed</t>
        </is>
      </c>
      <c r="H707" s="14" t="inlineStr">
        <is>
          <t>10 EVIDENCE &amp; DECISIONS</t>
        </is>
      </c>
    </row>
    <row r="708" ht="34" customHeight="1">
      <c r="A708" s="23" t="inlineStr">
        <is>
          <t>R509-v2</t>
        </is>
      </c>
      <c r="B708" s="23" t="inlineStr">
        <is>
          <t>Contractor Programme</t>
        </is>
      </c>
      <c r="C708" s="23" t="inlineStr">
        <is>
          <t>SCH-03-149</t>
        </is>
      </c>
      <c r="D708" s="23" t="inlineStr">
        <is>
          <t>1.3.1 Systems - Traction Power</t>
        </is>
      </c>
      <c r="E708" s="23" t="inlineStr">
        <is>
          <t>Carried forward</t>
        </is>
      </c>
      <c r="F708" s="23" t="inlineStr"/>
      <c r="G708" s="23" t="inlineStr">
        <is>
          <t>Source assignment -- not individually reviewed</t>
        </is>
      </c>
      <c r="H708" s="14" t="inlineStr">
        <is>
          <t>10 EVIDENCE &amp; DECISIONS</t>
        </is>
      </c>
    </row>
    <row r="709" ht="34" customHeight="1">
      <c r="A709" s="23" t="inlineStr">
        <is>
          <t>R511-v2</t>
        </is>
      </c>
      <c r="B709" s="23" t="inlineStr">
        <is>
          <t>Contractor Programme</t>
        </is>
      </c>
      <c r="C709" s="23" t="inlineStr">
        <is>
          <t>SCH-03-151</t>
        </is>
      </c>
      <c r="D709" s="23" t="inlineStr">
        <is>
          <t>1.3.1 Systems - Traction Power</t>
        </is>
      </c>
      <c r="E709" s="23" t="inlineStr">
        <is>
          <t>Carried forward</t>
        </is>
      </c>
      <c r="F709" s="23" t="inlineStr"/>
      <c r="G709" s="23" t="inlineStr">
        <is>
          <t>Source assignment -- not individually reviewed</t>
        </is>
      </c>
      <c r="H709" s="14" t="inlineStr">
        <is>
          <t>10 EVIDENCE &amp; DECISIONS</t>
        </is>
      </c>
    </row>
    <row r="710" ht="34" customHeight="1">
      <c r="A710" s="23" t="inlineStr">
        <is>
          <t>R512-v2</t>
        </is>
      </c>
      <c r="B710" s="23" t="inlineStr">
        <is>
          <t>Contractor Programme</t>
        </is>
      </c>
      <c r="C710" s="23" t="inlineStr">
        <is>
          <t>SCH-03-152</t>
        </is>
      </c>
      <c r="D710" s="23" t="inlineStr">
        <is>
          <t>1.3.1 Systems - Traction Power</t>
        </is>
      </c>
      <c r="E710" s="23" t="inlineStr">
        <is>
          <t>Carried forward</t>
        </is>
      </c>
      <c r="F710" s="23" t="inlineStr"/>
      <c r="G710" s="23" t="inlineStr">
        <is>
          <t>Source assignment -- not individually reviewed</t>
        </is>
      </c>
      <c r="H710" s="14" t="inlineStr">
        <is>
          <t>10 EVIDENCE &amp; DECISIONS</t>
        </is>
      </c>
    </row>
    <row r="711" ht="34" customHeight="1">
      <c r="A711" s="23" t="inlineStr">
        <is>
          <t>R514-v2</t>
        </is>
      </c>
      <c r="B711" s="23" t="inlineStr">
        <is>
          <t>Contractor Programme</t>
        </is>
      </c>
      <c r="C711" s="23" t="inlineStr">
        <is>
          <t>SCH-03-154</t>
        </is>
      </c>
      <c r="D711" s="23" t="inlineStr">
        <is>
          <t>1.3.1 Systems - Traction Power</t>
        </is>
      </c>
      <c r="E711" s="23" t="inlineStr">
        <is>
          <t>Carried forward</t>
        </is>
      </c>
      <c r="F711" s="23" t="inlineStr"/>
      <c r="G711" s="23" t="inlineStr">
        <is>
          <t>Source assignment -- not individually reviewed</t>
        </is>
      </c>
      <c r="H711" s="14" t="inlineStr">
        <is>
          <t>10 EVIDENCE &amp; DECISIONS</t>
        </is>
      </c>
    </row>
    <row r="712" ht="34" customHeight="1">
      <c r="A712" s="23" t="inlineStr">
        <is>
          <t>R515-v2</t>
        </is>
      </c>
      <c r="B712" s="23" t="inlineStr">
        <is>
          <t>Contractor Programme</t>
        </is>
      </c>
      <c r="C712" s="23" t="inlineStr">
        <is>
          <t>SCH-03-155</t>
        </is>
      </c>
      <c r="D712" s="23" t="inlineStr">
        <is>
          <t>1.3.1 Systems - Traction Power</t>
        </is>
      </c>
      <c r="E712" s="23" t="inlineStr">
        <is>
          <t>Carried forward</t>
        </is>
      </c>
      <c r="F712" s="23" t="inlineStr"/>
      <c r="G712" s="23" t="inlineStr">
        <is>
          <t>Source assignment -- not individually reviewed</t>
        </is>
      </c>
      <c r="H712" s="14" t="inlineStr">
        <is>
          <t>10 EVIDENCE &amp; DECISIONS</t>
        </is>
      </c>
    </row>
    <row r="713" ht="34" customHeight="1">
      <c r="A713" s="23" t="inlineStr">
        <is>
          <t>R517-v2</t>
        </is>
      </c>
      <c r="B713" s="23" t="inlineStr">
        <is>
          <t>Contractor Programme</t>
        </is>
      </c>
      <c r="C713" s="23" t="inlineStr">
        <is>
          <t>SCH-03-157</t>
        </is>
      </c>
      <c r="D713" s="23" t="inlineStr">
        <is>
          <t>1.3.1 Systems - Traction Power</t>
        </is>
      </c>
      <c r="E713" s="23" t="inlineStr">
        <is>
          <t>Carried forward</t>
        </is>
      </c>
      <c r="F713" s="23" t="inlineStr"/>
      <c r="G713" s="23" t="inlineStr">
        <is>
          <t>Source assignment -- not individually reviewed</t>
        </is>
      </c>
      <c r="H713" s="14" t="inlineStr">
        <is>
          <t>10 EVIDENCE &amp; DECISIONS</t>
        </is>
      </c>
    </row>
    <row r="714" ht="34" customHeight="1">
      <c r="A714" s="23" t="inlineStr">
        <is>
          <t>R518-v2</t>
        </is>
      </c>
      <c r="B714" s="23" t="inlineStr">
        <is>
          <t>Contractor Programme</t>
        </is>
      </c>
      <c r="C714" s="23" t="inlineStr">
        <is>
          <t>SCH-03-158</t>
        </is>
      </c>
      <c r="D714" s="23" t="inlineStr">
        <is>
          <t>1.3.1 Systems - Traction Power</t>
        </is>
      </c>
      <c r="E714" s="23" t="inlineStr">
        <is>
          <t>Carried forward</t>
        </is>
      </c>
      <c r="F714" s="23" t="inlineStr"/>
      <c r="G714" s="23" t="inlineStr">
        <is>
          <t>Source assignment -- not individually reviewed</t>
        </is>
      </c>
      <c r="H714" s="14" t="inlineStr">
        <is>
          <t>10 EVIDENCE &amp; DECISIONS</t>
        </is>
      </c>
    </row>
    <row r="715" ht="34" customHeight="1">
      <c r="A715" s="23" t="inlineStr">
        <is>
          <t>R520-v2</t>
        </is>
      </c>
      <c r="B715" s="23" t="inlineStr">
        <is>
          <t>Contractor Programme</t>
        </is>
      </c>
      <c r="C715" s="23" t="inlineStr">
        <is>
          <t>SCH-03-160</t>
        </is>
      </c>
      <c r="D715" s="23" t="inlineStr">
        <is>
          <t>1.3.1 Systems - Traction Power</t>
        </is>
      </c>
      <c r="E715" s="23" t="inlineStr">
        <is>
          <t>Carried forward</t>
        </is>
      </c>
      <c r="F715" s="23" t="inlineStr"/>
      <c r="G715" s="23" t="inlineStr">
        <is>
          <t>Source assignment -- not individually reviewed</t>
        </is>
      </c>
      <c r="H715" s="14" t="inlineStr">
        <is>
          <t>10 EVIDENCE &amp; DECISIONS</t>
        </is>
      </c>
    </row>
    <row r="716" ht="34" customHeight="1">
      <c r="A716" s="23" t="inlineStr">
        <is>
          <t>R521-v2</t>
        </is>
      </c>
      <c r="B716" s="23" t="inlineStr">
        <is>
          <t>Contractor Programme</t>
        </is>
      </c>
      <c r="C716" s="23" t="inlineStr">
        <is>
          <t>SCH-03-161</t>
        </is>
      </c>
      <c r="D716" s="23" t="inlineStr">
        <is>
          <t>1.3.1 Systems - Traction Power</t>
        </is>
      </c>
      <c r="E716" s="23" t="inlineStr">
        <is>
          <t>Carried forward</t>
        </is>
      </c>
      <c r="F716" s="23" t="inlineStr"/>
      <c r="G716" s="23" t="inlineStr">
        <is>
          <t>Source assignment -- not individually reviewed</t>
        </is>
      </c>
      <c r="H716" s="14" t="inlineStr">
        <is>
          <t>10 EVIDENCE &amp; DECISIONS</t>
        </is>
      </c>
    </row>
    <row r="717" ht="34" customHeight="1">
      <c r="A717" s="23" t="inlineStr">
        <is>
          <t>R523-v2</t>
        </is>
      </c>
      <c r="B717" s="23" t="inlineStr">
        <is>
          <t>Contractor Programme</t>
        </is>
      </c>
      <c r="C717" s="23" t="inlineStr">
        <is>
          <t>SCH-03-163</t>
        </is>
      </c>
      <c r="D717" s="23" t="inlineStr">
        <is>
          <t>1.3.1 Systems - Traction Power</t>
        </is>
      </c>
      <c r="E717" s="23" t="inlineStr">
        <is>
          <t>Carried forward</t>
        </is>
      </c>
      <c r="F717" s="23" t="inlineStr"/>
      <c r="G717" s="23" t="inlineStr">
        <is>
          <t>Source assignment -- not individually reviewed</t>
        </is>
      </c>
      <c r="H717" s="14" t="inlineStr">
        <is>
          <t>10 EVIDENCE &amp; DECISIONS</t>
        </is>
      </c>
    </row>
    <row r="718" ht="34" customHeight="1">
      <c r="A718" s="23" t="inlineStr">
        <is>
          <t>R524-v2</t>
        </is>
      </c>
      <c r="B718" s="23" t="inlineStr">
        <is>
          <t>Contractor Programme</t>
        </is>
      </c>
      <c r="C718" s="23" t="inlineStr">
        <is>
          <t>SCH-03-164</t>
        </is>
      </c>
      <c r="D718" s="23" t="inlineStr">
        <is>
          <t>1.3.1 Systems - Traction Power</t>
        </is>
      </c>
      <c r="E718" s="23" t="inlineStr">
        <is>
          <t>Carried forward</t>
        </is>
      </c>
      <c r="F718" s="23" t="inlineStr"/>
      <c r="G718" s="23" t="inlineStr">
        <is>
          <t>Source assignment -- not individually reviewed</t>
        </is>
      </c>
      <c r="H718" s="14" t="inlineStr">
        <is>
          <t>10 EVIDENCE &amp; DECISIONS</t>
        </is>
      </c>
    </row>
    <row r="719" ht="34" customHeight="1">
      <c r="A719" s="23" t="inlineStr">
        <is>
          <t>R526-v2</t>
        </is>
      </c>
      <c r="B719" s="23" t="inlineStr">
        <is>
          <t>Contractor Programme</t>
        </is>
      </c>
      <c r="C719" s="23" t="inlineStr">
        <is>
          <t>SCH-03-166</t>
        </is>
      </c>
      <c r="D719" s="23" t="inlineStr">
        <is>
          <t>1.3.1 Systems - Traction Power</t>
        </is>
      </c>
      <c r="E719" s="23" t="inlineStr">
        <is>
          <t>Carried forward</t>
        </is>
      </c>
      <c r="F719" s="23" t="inlineStr"/>
      <c r="G719" s="23" t="inlineStr">
        <is>
          <t>Source assignment -- not individually reviewed</t>
        </is>
      </c>
      <c r="H719" s="14" t="inlineStr">
        <is>
          <t>10 EVIDENCE &amp; DECISIONS</t>
        </is>
      </c>
    </row>
    <row r="720" ht="34" customHeight="1">
      <c r="A720" s="23" t="inlineStr">
        <is>
          <t>R527-v2</t>
        </is>
      </c>
      <c r="B720" s="23" t="inlineStr">
        <is>
          <t>Contractor Programme</t>
        </is>
      </c>
      <c r="C720" s="23" t="inlineStr">
        <is>
          <t>SCH-03-167</t>
        </is>
      </c>
      <c r="D720" s="23" t="inlineStr">
        <is>
          <t>1.3.1 Systems - Traction Power</t>
        </is>
      </c>
      <c r="E720" s="23" t="inlineStr">
        <is>
          <t>Carried forward</t>
        </is>
      </c>
      <c r="F720" s="23" t="inlineStr"/>
      <c r="G720" s="23" t="inlineStr">
        <is>
          <t>Source assignment -- not individually reviewed</t>
        </is>
      </c>
      <c r="H720" s="14" t="inlineStr">
        <is>
          <t>10 EVIDENCE &amp; DECISIONS</t>
        </is>
      </c>
    </row>
    <row r="721" ht="34" customHeight="1">
      <c r="A721" s="23" t="inlineStr">
        <is>
          <t>R529-v2</t>
        </is>
      </c>
      <c r="B721" s="23" t="inlineStr">
        <is>
          <t>Contractor Programme</t>
        </is>
      </c>
      <c r="C721" s="23" t="inlineStr">
        <is>
          <t>SCH-03-169</t>
        </is>
      </c>
      <c r="D721" s="23" t="inlineStr">
        <is>
          <t>1.3.1 Systems - Traction Power</t>
        </is>
      </c>
      <c r="E721" s="23" t="inlineStr">
        <is>
          <t>Carried forward</t>
        </is>
      </c>
      <c r="F721" s="23" t="inlineStr"/>
      <c r="G721" s="23" t="inlineStr">
        <is>
          <t>Source assignment -- not individually reviewed</t>
        </is>
      </c>
      <c r="H721" s="14" t="inlineStr">
        <is>
          <t>10 EVIDENCE &amp; DECISIONS</t>
        </is>
      </c>
    </row>
    <row r="722" ht="34" customHeight="1">
      <c r="A722" s="23" t="inlineStr">
        <is>
          <t>R530-v2</t>
        </is>
      </c>
      <c r="B722" s="23" t="inlineStr">
        <is>
          <t>Contractor Programme</t>
        </is>
      </c>
      <c r="C722" s="23" t="inlineStr">
        <is>
          <t>SCH-03-170</t>
        </is>
      </c>
      <c r="D722" s="23" t="inlineStr">
        <is>
          <t>1.3.1 Systems - Traction Power</t>
        </is>
      </c>
      <c r="E722" s="23" t="inlineStr">
        <is>
          <t>Carried forward</t>
        </is>
      </c>
      <c r="F722" s="23" t="inlineStr"/>
      <c r="G722" s="23" t="inlineStr">
        <is>
          <t>Source assignment -- not individually reviewed</t>
        </is>
      </c>
      <c r="H722" s="14" t="inlineStr">
        <is>
          <t>10 EVIDENCE &amp; DECISIONS</t>
        </is>
      </c>
    </row>
    <row r="723" ht="34" customHeight="1">
      <c r="A723" s="23" t="inlineStr">
        <is>
          <t>R532-v2</t>
        </is>
      </c>
      <c r="B723" s="23" t="inlineStr">
        <is>
          <t>Contractor Programme</t>
        </is>
      </c>
      <c r="C723" s="23" t="inlineStr">
        <is>
          <t>SCH-03-172</t>
        </is>
      </c>
      <c r="D723" s="23" t="inlineStr">
        <is>
          <t>1.3.1 Systems - Traction Power</t>
        </is>
      </c>
      <c r="E723" s="23" t="inlineStr">
        <is>
          <t>Carried forward</t>
        </is>
      </c>
      <c r="F723" s="23" t="inlineStr"/>
      <c r="G723" s="23" t="inlineStr">
        <is>
          <t>Source assignment -- not individually reviewed</t>
        </is>
      </c>
      <c r="H723" s="14" t="inlineStr">
        <is>
          <t>10 EVIDENCE &amp; DECISIONS</t>
        </is>
      </c>
    </row>
    <row r="724" ht="34" customHeight="1">
      <c r="A724" s="23" t="inlineStr">
        <is>
          <t>R533-v2</t>
        </is>
      </c>
      <c r="B724" s="23" t="inlineStr">
        <is>
          <t>Contractor Programme</t>
        </is>
      </c>
      <c r="C724" s="23" t="inlineStr">
        <is>
          <t>SCH-03-173</t>
        </is>
      </c>
      <c r="D724" s="23" t="inlineStr">
        <is>
          <t>1.3.1 Systems - Traction Power</t>
        </is>
      </c>
      <c r="E724" s="23" t="inlineStr">
        <is>
          <t>Carried forward</t>
        </is>
      </c>
      <c r="F724" s="23" t="inlineStr"/>
      <c r="G724" s="23" t="inlineStr">
        <is>
          <t>Source assignment -- not individually reviewed</t>
        </is>
      </c>
      <c r="H724" s="14" t="inlineStr">
        <is>
          <t>10 EVIDENCE &amp; DECISIONS</t>
        </is>
      </c>
    </row>
    <row r="725" ht="34" customHeight="1">
      <c r="A725" s="23" t="inlineStr">
        <is>
          <t>R535-v2</t>
        </is>
      </c>
      <c r="B725" s="23" t="inlineStr">
        <is>
          <t>Contractor Programme</t>
        </is>
      </c>
      <c r="C725" s="23" t="inlineStr">
        <is>
          <t>SCH-03-175</t>
        </is>
      </c>
      <c r="D725" s="23" t="inlineStr">
        <is>
          <t>1.3.1 Systems - Traction Power</t>
        </is>
      </c>
      <c r="E725" s="23" t="inlineStr">
        <is>
          <t>Carried forward</t>
        </is>
      </c>
      <c r="F725" s="23" t="inlineStr"/>
      <c r="G725" s="23" t="inlineStr">
        <is>
          <t>Source assignment -- not individually reviewed</t>
        </is>
      </c>
      <c r="H725" s="14" t="inlineStr">
        <is>
          <t>10 EVIDENCE &amp; DECISIONS</t>
        </is>
      </c>
    </row>
    <row r="726" ht="34" customHeight="1">
      <c r="A726" s="23" t="inlineStr">
        <is>
          <t>R536-v2</t>
        </is>
      </c>
      <c r="B726" s="23" t="inlineStr">
        <is>
          <t>Contractor Programme</t>
        </is>
      </c>
      <c r="C726" s="23" t="inlineStr">
        <is>
          <t>SCH-03-176</t>
        </is>
      </c>
      <c r="D726" s="23" t="inlineStr">
        <is>
          <t>1.3.1 Systems - Traction Power</t>
        </is>
      </c>
      <c r="E726" s="23" t="inlineStr">
        <is>
          <t>Carried forward</t>
        </is>
      </c>
      <c r="F726" s="23" t="inlineStr"/>
      <c r="G726" s="23" t="inlineStr">
        <is>
          <t>Source assignment -- not individually reviewed</t>
        </is>
      </c>
      <c r="H726" s="14" t="inlineStr">
        <is>
          <t>10 EVIDENCE &amp; DECISIONS</t>
        </is>
      </c>
    </row>
    <row r="727" ht="34" customHeight="1">
      <c r="A727" s="23" t="inlineStr">
        <is>
          <t>R538-v2</t>
        </is>
      </c>
      <c r="B727" s="23" t="inlineStr">
        <is>
          <t>Contractor Programme</t>
        </is>
      </c>
      <c r="C727" s="23" t="inlineStr">
        <is>
          <t>SCH-03-178</t>
        </is>
      </c>
      <c r="D727" s="23" t="inlineStr">
        <is>
          <t>1.3.1 Systems - Traction Power</t>
        </is>
      </c>
      <c r="E727" s="23" t="inlineStr">
        <is>
          <t>Carried forward</t>
        </is>
      </c>
      <c r="F727" s="23" t="inlineStr"/>
      <c r="G727" s="23" t="inlineStr">
        <is>
          <t>Source assignment -- not individually reviewed</t>
        </is>
      </c>
      <c r="H727" s="14" t="inlineStr">
        <is>
          <t>10 EVIDENCE &amp; DECISIONS</t>
        </is>
      </c>
    </row>
    <row r="728" ht="34" customHeight="1">
      <c r="A728" s="23" t="inlineStr">
        <is>
          <t>R539-v2</t>
        </is>
      </c>
      <c r="B728" s="23" t="inlineStr">
        <is>
          <t>Contractor Programme</t>
        </is>
      </c>
      <c r="C728" s="23" t="inlineStr">
        <is>
          <t>SCH-03-179</t>
        </is>
      </c>
      <c r="D728" s="23" t="inlineStr">
        <is>
          <t>1.3.1 Systems - Traction Power</t>
        </is>
      </c>
      <c r="E728" s="23" t="inlineStr">
        <is>
          <t>Carried forward</t>
        </is>
      </c>
      <c r="F728" s="23" t="inlineStr"/>
      <c r="G728" s="23" t="inlineStr">
        <is>
          <t>Source assignment -- not individually reviewed</t>
        </is>
      </c>
      <c r="H728" s="14" t="inlineStr">
        <is>
          <t>10 EVIDENCE &amp; DECISIONS</t>
        </is>
      </c>
    </row>
    <row r="729" ht="34" customHeight="1">
      <c r="A729" s="23" t="inlineStr">
        <is>
          <t>R1244-v2</t>
        </is>
      </c>
      <c r="B729" s="23" t="inlineStr">
        <is>
          <t>Cost &amp; Forecast Control Accounts</t>
        </is>
      </c>
      <c r="C729" s="23" t="inlineStr">
        <is>
          <t>CST-03-002</t>
        </is>
      </c>
      <c r="D729" s="23" t="inlineStr">
        <is>
          <t>1.3.2 Systems - Signalling &amp; Train Control</t>
        </is>
      </c>
      <c r="E729" s="23" t="inlineStr">
        <is>
          <t>Carried forward</t>
        </is>
      </c>
      <c r="F729" s="23" t="inlineStr"/>
      <c r="G729" s="23" t="inlineStr">
        <is>
          <t>Source assignment -- not individually reviewed</t>
        </is>
      </c>
      <c r="H729" s="14" t="inlineStr">
        <is>
          <t>10 EVIDENCE &amp; DECISIONS</t>
        </is>
      </c>
    </row>
    <row r="730" ht="34" customHeight="1">
      <c r="A730" s="23" t="inlineStr">
        <is>
          <t>R1248-v2</t>
        </is>
      </c>
      <c r="B730" s="23" t="inlineStr">
        <is>
          <t>Cost &amp; Forecast Control Accounts</t>
        </is>
      </c>
      <c r="C730" s="23" t="inlineStr">
        <is>
          <t>CST-03-006</t>
        </is>
      </c>
      <c r="D730" s="23" t="inlineStr">
        <is>
          <t>1.3.2 Systems - Signalling &amp; Train Control</t>
        </is>
      </c>
      <c r="E730" s="23" t="inlineStr">
        <is>
          <t>Carried forward</t>
        </is>
      </c>
      <c r="F730" s="23" t="inlineStr"/>
      <c r="G730" s="23" t="inlineStr">
        <is>
          <t>Source assignment -- not individually reviewed</t>
        </is>
      </c>
      <c r="H730" s="14" t="inlineStr">
        <is>
          <t>10 EVIDENCE &amp; DECISIONS</t>
        </is>
      </c>
    </row>
    <row r="731" ht="34" customHeight="1">
      <c r="A731" s="23" t="inlineStr">
        <is>
          <t>R1250-v2</t>
        </is>
      </c>
      <c r="B731" s="23" t="inlineStr">
        <is>
          <t>Cost &amp; Forecast Control Accounts</t>
        </is>
      </c>
      <c r="C731" s="23" t="inlineStr">
        <is>
          <t>CST-03-008</t>
        </is>
      </c>
      <c r="D731" s="23" t="inlineStr">
        <is>
          <t>1.3.2 Systems - Signalling &amp; Train Control</t>
        </is>
      </c>
      <c r="E731" s="23" t="inlineStr">
        <is>
          <t>Carried forward</t>
        </is>
      </c>
      <c r="F731" s="23" t="inlineStr"/>
      <c r="G731" s="23" t="inlineStr">
        <is>
          <t>Source assignment -- not individually reviewed</t>
        </is>
      </c>
      <c r="H731" s="14" t="inlineStr">
        <is>
          <t>10 EVIDENCE &amp; DECISIONS</t>
        </is>
      </c>
    </row>
    <row r="732" ht="34" customHeight="1">
      <c r="A732" s="23" t="inlineStr">
        <is>
          <t>R1252-v2</t>
        </is>
      </c>
      <c r="B732" s="23" t="inlineStr">
        <is>
          <t>Cost &amp; Forecast Control Accounts</t>
        </is>
      </c>
      <c r="C732" s="23" t="inlineStr">
        <is>
          <t>CST-03-010</t>
        </is>
      </c>
      <c r="D732" s="23" t="inlineStr">
        <is>
          <t>1.3.2 Systems - Signalling &amp; Train Control</t>
        </is>
      </c>
      <c r="E732" s="23" t="inlineStr">
        <is>
          <t>Carried forward</t>
        </is>
      </c>
      <c r="F732" s="23" t="inlineStr"/>
      <c r="G732" s="23" t="inlineStr">
        <is>
          <t>Source assignment -- not individually reviewed</t>
        </is>
      </c>
      <c r="H732" s="14" t="inlineStr">
        <is>
          <t>10 EVIDENCE &amp; DECISIONS</t>
        </is>
      </c>
    </row>
    <row r="733" ht="34" customHeight="1">
      <c r="A733" s="23" t="inlineStr">
        <is>
          <t>R1254-v2</t>
        </is>
      </c>
      <c r="B733" s="23" t="inlineStr">
        <is>
          <t>Cost &amp; Forecast Control Accounts</t>
        </is>
      </c>
      <c r="C733" s="23" t="inlineStr">
        <is>
          <t>CST-03-012</t>
        </is>
      </c>
      <c r="D733" s="23" t="inlineStr">
        <is>
          <t>1.3.2 Systems - Signalling &amp; Train Control</t>
        </is>
      </c>
      <c r="E733" s="23" t="inlineStr">
        <is>
          <t>Carried forward</t>
        </is>
      </c>
      <c r="F733" s="23" t="inlineStr"/>
      <c r="G733" s="23" t="inlineStr">
        <is>
          <t>Source assignment -- not individually reviewed</t>
        </is>
      </c>
      <c r="H733" s="14" t="inlineStr">
        <is>
          <t>10 EVIDENCE &amp; DECISIONS</t>
        </is>
      </c>
    </row>
    <row r="734" ht="34" customHeight="1">
      <c r="A734" s="23" t="inlineStr">
        <is>
          <t>R1256-v2</t>
        </is>
      </c>
      <c r="B734" s="23" t="inlineStr">
        <is>
          <t>Cost &amp; Forecast Control Accounts</t>
        </is>
      </c>
      <c r="C734" s="23" t="inlineStr">
        <is>
          <t>CST-03-014</t>
        </is>
      </c>
      <c r="D734" s="23" t="inlineStr">
        <is>
          <t>1.3.2 Systems - Signalling &amp; Train Control</t>
        </is>
      </c>
      <c r="E734" s="23" t="inlineStr">
        <is>
          <t>Carried forward</t>
        </is>
      </c>
      <c r="F734" s="23" t="inlineStr"/>
      <c r="G734" s="23" t="inlineStr">
        <is>
          <t>Source assignment -- not individually reviewed</t>
        </is>
      </c>
      <c r="H734" s="14" t="inlineStr">
        <is>
          <t>10 EVIDENCE &amp; DECISIONS</t>
        </is>
      </c>
    </row>
    <row r="735" ht="34" customHeight="1">
      <c r="A735" s="23" t="inlineStr">
        <is>
          <t>R1258-v2</t>
        </is>
      </c>
      <c r="B735" s="23" t="inlineStr">
        <is>
          <t>Cost &amp; Forecast Control Accounts</t>
        </is>
      </c>
      <c r="C735" s="23" t="inlineStr">
        <is>
          <t>CST-03-016</t>
        </is>
      </c>
      <c r="D735" s="23" t="inlineStr">
        <is>
          <t>1.3.2 Systems - Signalling &amp; Train Control</t>
        </is>
      </c>
      <c r="E735" s="23" t="inlineStr">
        <is>
          <t>Carried forward</t>
        </is>
      </c>
      <c r="F735" s="23" t="inlineStr"/>
      <c r="G735" s="23" t="inlineStr">
        <is>
          <t>Source assignment -- not individually reviewed</t>
        </is>
      </c>
      <c r="H735" s="14" t="inlineStr">
        <is>
          <t>10 EVIDENCE &amp; DECISIONS</t>
        </is>
      </c>
    </row>
    <row r="736" ht="34" customHeight="1">
      <c r="A736" s="23" t="inlineStr">
        <is>
          <t>R1260-v2</t>
        </is>
      </c>
      <c r="B736" s="23" t="inlineStr">
        <is>
          <t>Cost &amp; Forecast Control Accounts</t>
        </is>
      </c>
      <c r="C736" s="23" t="inlineStr">
        <is>
          <t>CST-03-018</t>
        </is>
      </c>
      <c r="D736" s="23" t="inlineStr">
        <is>
          <t>1.3.2 Systems - Signalling &amp; Train Control</t>
        </is>
      </c>
      <c r="E736" s="23" t="inlineStr">
        <is>
          <t>Carried forward</t>
        </is>
      </c>
      <c r="F736" s="23" t="inlineStr"/>
      <c r="G736" s="23" t="inlineStr">
        <is>
          <t>Source assignment -- not individually reviewed</t>
        </is>
      </c>
      <c r="H736" s="14" t="inlineStr">
        <is>
          <t>10 EVIDENCE &amp; DECISIONS</t>
        </is>
      </c>
    </row>
    <row r="737" ht="34" customHeight="1">
      <c r="A737" s="23" t="inlineStr">
        <is>
          <t>R1262-v2</t>
        </is>
      </c>
      <c r="B737" s="23" t="inlineStr">
        <is>
          <t>Cost &amp; Forecast Control Accounts</t>
        </is>
      </c>
      <c r="C737" s="23" t="inlineStr">
        <is>
          <t>CST-03-020</t>
        </is>
      </c>
      <c r="D737" s="23" t="inlineStr">
        <is>
          <t>1.3.2 Systems - Signalling &amp; Train Control</t>
        </is>
      </c>
      <c r="E737" s="23" t="inlineStr">
        <is>
          <t>Carried forward</t>
        </is>
      </c>
      <c r="F737" s="23" t="inlineStr"/>
      <c r="G737" s="23" t="inlineStr">
        <is>
          <t>Source assignment -- not individually reviewed</t>
        </is>
      </c>
      <c r="H737" s="14" t="inlineStr">
        <is>
          <t>10 EVIDENCE &amp; DECISIONS</t>
        </is>
      </c>
    </row>
    <row r="738" ht="34" customHeight="1">
      <c r="A738" s="23" t="inlineStr">
        <is>
          <t>R1264-v2</t>
        </is>
      </c>
      <c r="B738" s="23" t="inlineStr">
        <is>
          <t>Cost &amp; Forecast Control Accounts</t>
        </is>
      </c>
      <c r="C738" s="23" t="inlineStr">
        <is>
          <t>CST-03-022</t>
        </is>
      </c>
      <c r="D738" s="23" t="inlineStr">
        <is>
          <t>1.3.2 Systems - Signalling &amp; Train Control</t>
        </is>
      </c>
      <c r="E738" s="23" t="inlineStr">
        <is>
          <t>Carried forward</t>
        </is>
      </c>
      <c r="F738" s="23" t="inlineStr"/>
      <c r="G738" s="23" t="inlineStr">
        <is>
          <t>Source assignment -- not individually reviewed</t>
        </is>
      </c>
      <c r="H738" s="14" t="inlineStr">
        <is>
          <t>10 EVIDENCE &amp; DECISIONS</t>
        </is>
      </c>
    </row>
    <row r="739" ht="34" customHeight="1">
      <c r="A739" s="23" t="inlineStr">
        <is>
          <t>R1266-v2</t>
        </is>
      </c>
      <c r="B739" s="23" t="inlineStr">
        <is>
          <t>Cost &amp; Forecast Control Accounts</t>
        </is>
      </c>
      <c r="C739" s="23" t="inlineStr">
        <is>
          <t>CST-03-024</t>
        </is>
      </c>
      <c r="D739" s="23" t="inlineStr">
        <is>
          <t>1.3.2 Systems - Signalling &amp; Train Control</t>
        </is>
      </c>
      <c r="E739" s="23" t="inlineStr">
        <is>
          <t>Carried forward</t>
        </is>
      </c>
      <c r="F739" s="23" t="inlineStr"/>
      <c r="G739" s="23" t="inlineStr">
        <is>
          <t>Source assignment -- not individually reviewed</t>
        </is>
      </c>
      <c r="H739" s="14" t="inlineStr">
        <is>
          <t>10 EVIDENCE &amp; DECISIONS</t>
        </is>
      </c>
    </row>
    <row r="740" ht="34" customHeight="1">
      <c r="A740" s="23" t="inlineStr">
        <is>
          <t>R1268-v2</t>
        </is>
      </c>
      <c r="B740" s="23" t="inlineStr">
        <is>
          <t>Cost &amp; Forecast Control Accounts</t>
        </is>
      </c>
      <c r="C740" s="23" t="inlineStr">
        <is>
          <t>CST-03-026</t>
        </is>
      </c>
      <c r="D740" s="23" t="inlineStr">
        <is>
          <t>1.3.2 Systems - Signalling &amp; Train Control</t>
        </is>
      </c>
      <c r="E740" s="23" t="inlineStr">
        <is>
          <t>Carried forward</t>
        </is>
      </c>
      <c r="F740" s="23" t="inlineStr"/>
      <c r="G740" s="23" t="inlineStr">
        <is>
          <t>Source assignment -- not individually reviewed</t>
        </is>
      </c>
      <c r="H740" s="14" t="inlineStr">
        <is>
          <t>10 EVIDENCE &amp; DECISIONS</t>
        </is>
      </c>
    </row>
    <row r="741" ht="34" customHeight="1">
      <c r="A741" s="23" t="inlineStr">
        <is>
          <t>R1270-v2</t>
        </is>
      </c>
      <c r="B741" s="23" t="inlineStr">
        <is>
          <t>Cost &amp; Forecast Control Accounts</t>
        </is>
      </c>
      <c r="C741" s="23" t="inlineStr">
        <is>
          <t>CST-03-028</t>
        </is>
      </c>
      <c r="D741" s="23" t="inlineStr">
        <is>
          <t>1.3.2 Systems - Signalling &amp; Train Control</t>
        </is>
      </c>
      <c r="E741" s="23" t="inlineStr">
        <is>
          <t>Carried forward</t>
        </is>
      </c>
      <c r="F741" s="23" t="inlineStr"/>
      <c r="G741" s="23" t="inlineStr">
        <is>
          <t>Source assignment -- not individually reviewed</t>
        </is>
      </c>
      <c r="H741" s="14" t="inlineStr">
        <is>
          <t>10 EVIDENCE &amp; DECISIONS</t>
        </is>
      </c>
    </row>
    <row r="742" ht="34" customHeight="1">
      <c r="A742" s="23" t="inlineStr">
        <is>
          <t>R1272-v2</t>
        </is>
      </c>
      <c r="B742" s="23" t="inlineStr">
        <is>
          <t>Cost &amp; Forecast Control Accounts</t>
        </is>
      </c>
      <c r="C742" s="23" t="inlineStr">
        <is>
          <t>CST-03-030</t>
        </is>
      </c>
      <c r="D742" s="23" t="inlineStr">
        <is>
          <t>1.3.2 Systems - Signalling &amp; Train Control</t>
        </is>
      </c>
      <c r="E742" s="23" t="inlineStr">
        <is>
          <t>Carried forward</t>
        </is>
      </c>
      <c r="F742" s="23" t="inlineStr"/>
      <c r="G742" s="23" t="inlineStr">
        <is>
          <t>Source assignment -- not individually reviewed</t>
        </is>
      </c>
      <c r="H742" s="14" t="inlineStr">
        <is>
          <t>10 EVIDENCE &amp; DECISIONS</t>
        </is>
      </c>
    </row>
    <row r="743" ht="34" customHeight="1">
      <c r="A743" s="23" t="inlineStr">
        <is>
          <t>R1274-v2</t>
        </is>
      </c>
      <c r="B743" s="23" t="inlineStr">
        <is>
          <t>Cost &amp; Forecast Control Accounts</t>
        </is>
      </c>
      <c r="C743" s="23" t="inlineStr">
        <is>
          <t>CST-03-032</t>
        </is>
      </c>
      <c r="D743" s="23" t="inlineStr">
        <is>
          <t>1.3.2 Systems - Signalling &amp; Train Control</t>
        </is>
      </c>
      <c r="E743" s="23" t="inlineStr">
        <is>
          <t>Carried forward</t>
        </is>
      </c>
      <c r="F743" s="23" t="inlineStr"/>
      <c r="G743" s="23" t="inlineStr">
        <is>
          <t>Source assignment -- not individually reviewed</t>
        </is>
      </c>
      <c r="H743" s="14" t="inlineStr">
        <is>
          <t>10 EVIDENCE &amp; DECISIONS</t>
        </is>
      </c>
    </row>
    <row r="744" ht="34" customHeight="1">
      <c r="A744" s="23" t="inlineStr">
        <is>
          <t>R1276-v2</t>
        </is>
      </c>
      <c r="B744" s="23" t="inlineStr">
        <is>
          <t>Cost &amp; Forecast Control Accounts</t>
        </is>
      </c>
      <c r="C744" s="23" t="inlineStr">
        <is>
          <t>CST-03-034</t>
        </is>
      </c>
      <c r="D744" s="23" t="inlineStr">
        <is>
          <t>1.3.2 Systems - Signalling &amp; Train Control</t>
        </is>
      </c>
      <c r="E744" s="23" t="inlineStr">
        <is>
          <t>Carried forward</t>
        </is>
      </c>
      <c r="F744" s="23" t="inlineStr"/>
      <c r="G744" s="23" t="inlineStr">
        <is>
          <t>Source assignment -- not individually reviewed</t>
        </is>
      </c>
      <c r="H744" s="14" t="inlineStr">
        <is>
          <t>10 EVIDENCE &amp; DECISIONS</t>
        </is>
      </c>
    </row>
    <row r="745" ht="34" customHeight="1">
      <c r="A745" s="23" t="inlineStr">
        <is>
          <t>R1278-v2</t>
        </is>
      </c>
      <c r="B745" s="23" t="inlineStr">
        <is>
          <t>Cost &amp; Forecast Control Accounts</t>
        </is>
      </c>
      <c r="C745" s="23" t="inlineStr">
        <is>
          <t>CST-03-036</t>
        </is>
      </c>
      <c r="D745" s="23" t="inlineStr">
        <is>
          <t>1.3.2 Systems - Signalling &amp; Train Control</t>
        </is>
      </c>
      <c r="E745" s="23" t="inlineStr">
        <is>
          <t>Carried forward</t>
        </is>
      </c>
      <c r="F745" s="23" t="inlineStr"/>
      <c r="G745" s="23" t="inlineStr">
        <is>
          <t>Source assignment -- not individually reviewed</t>
        </is>
      </c>
      <c r="H745" s="14" t="inlineStr">
        <is>
          <t>10 EVIDENCE &amp; DECISIONS</t>
        </is>
      </c>
    </row>
    <row r="746" ht="34" customHeight="1">
      <c r="A746" s="23" t="inlineStr">
        <is>
          <t>R1280-v2</t>
        </is>
      </c>
      <c r="B746" s="23" t="inlineStr">
        <is>
          <t>Cost &amp; Forecast Control Accounts</t>
        </is>
      </c>
      <c r="C746" s="23" t="inlineStr">
        <is>
          <t>CST-03-038</t>
        </is>
      </c>
      <c r="D746" s="23" t="inlineStr">
        <is>
          <t>1.3.2 Systems - Signalling &amp; Train Control</t>
        </is>
      </c>
      <c r="E746" s="23" t="inlineStr">
        <is>
          <t>Carried forward</t>
        </is>
      </c>
      <c r="F746" s="23" t="inlineStr"/>
      <c r="G746" s="23" t="inlineStr">
        <is>
          <t>Source assignment -- not individually reviewed</t>
        </is>
      </c>
      <c r="H746" s="14" t="inlineStr">
        <is>
          <t>10 EVIDENCE &amp; DECISIONS</t>
        </is>
      </c>
    </row>
    <row r="747" ht="34" customHeight="1">
      <c r="A747" s="23" t="inlineStr">
        <is>
          <t>R1282-v2</t>
        </is>
      </c>
      <c r="B747" s="23" t="inlineStr">
        <is>
          <t>Cost &amp; Forecast Control Accounts</t>
        </is>
      </c>
      <c r="C747" s="23" t="inlineStr">
        <is>
          <t>CST-03-040</t>
        </is>
      </c>
      <c r="D747" s="23" t="inlineStr">
        <is>
          <t>1.3.2 Systems - Signalling &amp; Train Control</t>
        </is>
      </c>
      <c r="E747" s="23" t="inlineStr">
        <is>
          <t>Carried forward</t>
        </is>
      </c>
      <c r="F747" s="23" t="inlineStr"/>
      <c r="G747" s="23" t="inlineStr">
        <is>
          <t>Source assignment -- not individually reviewed</t>
        </is>
      </c>
      <c r="H747" s="14" t="inlineStr">
        <is>
          <t>10 EVIDENCE &amp; DECISIONS</t>
        </is>
      </c>
    </row>
    <row r="748" ht="34" customHeight="1">
      <c r="A748" s="23" t="inlineStr">
        <is>
          <t>R1284-v2</t>
        </is>
      </c>
      <c r="B748" s="23" t="inlineStr">
        <is>
          <t>Cost &amp; Forecast Control Accounts</t>
        </is>
      </c>
      <c r="C748" s="23" t="inlineStr">
        <is>
          <t>CST-03-042</t>
        </is>
      </c>
      <c r="D748" s="23" t="inlineStr">
        <is>
          <t>1.3.2 Systems - Signalling &amp; Train Control</t>
        </is>
      </c>
      <c r="E748" s="23" t="inlineStr">
        <is>
          <t>Carried forward</t>
        </is>
      </c>
      <c r="F748" s="23" t="inlineStr"/>
      <c r="G748" s="23" t="inlineStr">
        <is>
          <t>Source assignment -- not individually reviewed</t>
        </is>
      </c>
      <c r="H748" s="14" t="inlineStr">
        <is>
          <t>10 EVIDENCE &amp; DECISIONS</t>
        </is>
      </c>
    </row>
    <row r="749" ht="34" customHeight="1">
      <c r="A749" s="23" t="inlineStr">
        <is>
          <t>R1286-v2</t>
        </is>
      </c>
      <c r="B749" s="23" t="inlineStr">
        <is>
          <t>Cost &amp; Forecast Control Accounts</t>
        </is>
      </c>
      <c r="C749" s="23" t="inlineStr">
        <is>
          <t>CST-03-044</t>
        </is>
      </c>
      <c r="D749" s="23" t="inlineStr">
        <is>
          <t>1.3.2 Systems - Signalling &amp; Train Control</t>
        </is>
      </c>
      <c r="E749" s="23" t="inlineStr">
        <is>
          <t>Carried forward</t>
        </is>
      </c>
      <c r="F749" s="23" t="inlineStr"/>
      <c r="G749" s="23" t="inlineStr">
        <is>
          <t>Source assignment -- not individually reviewed</t>
        </is>
      </c>
      <c r="H749" s="14" t="inlineStr">
        <is>
          <t>10 EVIDENCE &amp; DECISIONS</t>
        </is>
      </c>
    </row>
    <row r="750" ht="34" customHeight="1">
      <c r="A750" s="23" t="inlineStr">
        <is>
          <t>R1288-v2</t>
        </is>
      </c>
      <c r="B750" s="23" t="inlineStr">
        <is>
          <t>Cost &amp; Forecast Control Accounts</t>
        </is>
      </c>
      <c r="C750" s="23" t="inlineStr">
        <is>
          <t>CST-03-046</t>
        </is>
      </c>
      <c r="D750" s="23" t="inlineStr">
        <is>
          <t>1.3.2 Systems - Signalling &amp; Train Control</t>
        </is>
      </c>
      <c r="E750" s="23" t="inlineStr">
        <is>
          <t>Carried forward</t>
        </is>
      </c>
      <c r="F750" s="23" t="inlineStr"/>
      <c r="G750" s="23" t="inlineStr">
        <is>
          <t>Source assignment -- not individually reviewed</t>
        </is>
      </c>
      <c r="H750" s="14" t="inlineStr">
        <is>
          <t>10 EVIDENCE &amp; DECISIONS</t>
        </is>
      </c>
    </row>
    <row r="751" ht="34" customHeight="1">
      <c r="A751" s="23" t="inlineStr">
        <is>
          <t>R1290-v2</t>
        </is>
      </c>
      <c r="B751" s="23" t="inlineStr">
        <is>
          <t>Cost &amp; Forecast Control Accounts</t>
        </is>
      </c>
      <c r="C751" s="23" t="inlineStr">
        <is>
          <t>CST-03-048</t>
        </is>
      </c>
      <c r="D751" s="23" t="inlineStr">
        <is>
          <t>1.3.2 Systems - Signalling &amp; Train Control</t>
        </is>
      </c>
      <c r="E751" s="23" t="inlineStr">
        <is>
          <t>Carried forward</t>
        </is>
      </c>
      <c r="F751" s="23" t="inlineStr"/>
      <c r="G751" s="23" t="inlineStr">
        <is>
          <t>Source assignment -- not individually reviewed</t>
        </is>
      </c>
      <c r="H751" s="14" t="inlineStr">
        <is>
          <t>10 EVIDENCE &amp; DECISIONS</t>
        </is>
      </c>
    </row>
    <row r="752" ht="34" customHeight="1">
      <c r="A752" s="23" t="inlineStr">
        <is>
          <t>R1292-v2</t>
        </is>
      </c>
      <c r="B752" s="23" t="inlineStr">
        <is>
          <t>Cost &amp; Forecast Control Accounts</t>
        </is>
      </c>
      <c r="C752" s="23" t="inlineStr">
        <is>
          <t>CST-03-050</t>
        </is>
      </c>
      <c r="D752" s="23" t="inlineStr">
        <is>
          <t>1.3.2 Systems - Signalling &amp; Train Control</t>
        </is>
      </c>
      <c r="E752" s="23" t="inlineStr">
        <is>
          <t>Carried forward</t>
        </is>
      </c>
      <c r="F752" s="23" t="inlineStr"/>
      <c r="G752" s="23" t="inlineStr">
        <is>
          <t>Source assignment -- not individually reviewed</t>
        </is>
      </c>
      <c r="H752" s="14" t="inlineStr">
        <is>
          <t>10 EVIDENCE &amp; DECISIONS</t>
        </is>
      </c>
    </row>
    <row r="753" ht="34" customHeight="1">
      <c r="A753" s="23" t="inlineStr">
        <is>
          <t>R1294-v2</t>
        </is>
      </c>
      <c r="B753" s="23" t="inlineStr">
        <is>
          <t>Cost &amp; Forecast Control Accounts</t>
        </is>
      </c>
      <c r="C753" s="23" t="inlineStr">
        <is>
          <t>CST-03-052</t>
        </is>
      </c>
      <c r="D753" s="23" t="inlineStr">
        <is>
          <t>1.3.2 Systems - Signalling &amp; Train Control</t>
        </is>
      </c>
      <c r="E753" s="23" t="inlineStr">
        <is>
          <t>Carried forward</t>
        </is>
      </c>
      <c r="F753" s="23" t="inlineStr"/>
      <c r="G753" s="23" t="inlineStr">
        <is>
          <t>Source assignment -- not individually reviewed</t>
        </is>
      </c>
      <c r="H753" s="14" t="inlineStr">
        <is>
          <t>10 EVIDENCE &amp; DECISIONS</t>
        </is>
      </c>
    </row>
    <row r="754" ht="34" customHeight="1">
      <c r="A754" s="23" t="inlineStr">
        <is>
          <t>R1296-v2</t>
        </is>
      </c>
      <c r="B754" s="23" t="inlineStr">
        <is>
          <t>Cost &amp; Forecast Control Accounts</t>
        </is>
      </c>
      <c r="C754" s="23" t="inlineStr">
        <is>
          <t>CST-03-054</t>
        </is>
      </c>
      <c r="D754" s="23" t="inlineStr">
        <is>
          <t>1.3.2 Systems - Signalling &amp; Train Control</t>
        </is>
      </c>
      <c r="E754" s="23" t="inlineStr">
        <is>
          <t>Carried forward</t>
        </is>
      </c>
      <c r="F754" s="23" t="inlineStr"/>
      <c r="G754" s="23" t="inlineStr">
        <is>
          <t>Source assignment -- not individually reviewed</t>
        </is>
      </c>
      <c r="H754" s="14" t="inlineStr">
        <is>
          <t>10 EVIDENCE &amp; DECISIONS</t>
        </is>
      </c>
    </row>
    <row r="755" ht="34" customHeight="1">
      <c r="A755" s="23" t="inlineStr">
        <is>
          <t>R1298-v2</t>
        </is>
      </c>
      <c r="B755" s="23" t="inlineStr">
        <is>
          <t>Cost &amp; Forecast Control Accounts</t>
        </is>
      </c>
      <c r="C755" s="23" t="inlineStr">
        <is>
          <t>CST-03-056</t>
        </is>
      </c>
      <c r="D755" s="23" t="inlineStr">
        <is>
          <t>1.3.2 Systems - Signalling &amp; Train Control</t>
        </is>
      </c>
      <c r="E755" s="23" t="inlineStr">
        <is>
          <t>Carried forward</t>
        </is>
      </c>
      <c r="F755" s="23" t="inlineStr"/>
      <c r="G755" s="23" t="inlineStr">
        <is>
          <t>Source assignment -- not individually reviewed</t>
        </is>
      </c>
      <c r="H755" s="14" t="inlineStr">
        <is>
          <t>10 EVIDENCE &amp; DECISIONS</t>
        </is>
      </c>
    </row>
    <row r="756" ht="34" customHeight="1">
      <c r="A756" s="23" t="inlineStr">
        <is>
          <t>R1300-v2</t>
        </is>
      </c>
      <c r="B756" s="23" t="inlineStr">
        <is>
          <t>Cost &amp; Forecast Control Accounts</t>
        </is>
      </c>
      <c r="C756" s="23" t="inlineStr">
        <is>
          <t>CST-03-058</t>
        </is>
      </c>
      <c r="D756" s="23" t="inlineStr">
        <is>
          <t>1.3.2 Systems - Signalling &amp; Train Control</t>
        </is>
      </c>
      <c r="E756" s="23" t="inlineStr">
        <is>
          <t>Carried forward</t>
        </is>
      </c>
      <c r="F756" s="23" t="inlineStr"/>
      <c r="G756" s="23" t="inlineStr">
        <is>
          <t>Source assignment -- not individually reviewed</t>
        </is>
      </c>
      <c r="H756" s="14" t="inlineStr">
        <is>
          <t>10 EVIDENCE &amp; DECISIONS</t>
        </is>
      </c>
    </row>
    <row r="757" ht="34" customHeight="1">
      <c r="A757" s="23" t="inlineStr">
        <is>
          <t>R1302-v2</t>
        </is>
      </c>
      <c r="B757" s="23" t="inlineStr">
        <is>
          <t>Cost &amp; Forecast Control Accounts</t>
        </is>
      </c>
      <c r="C757" s="23" t="inlineStr">
        <is>
          <t>CST-03-060</t>
        </is>
      </c>
      <c r="D757" s="23" t="inlineStr">
        <is>
          <t>1.3.2 Systems - Signalling &amp; Train Control</t>
        </is>
      </c>
      <c r="E757" s="23" t="inlineStr">
        <is>
          <t>Carried forward</t>
        </is>
      </c>
      <c r="F757" s="23" t="inlineStr"/>
      <c r="G757" s="23" t="inlineStr">
        <is>
          <t>Source assignment -- not individually reviewed</t>
        </is>
      </c>
      <c r="H757" s="14" t="inlineStr">
        <is>
          <t>10 EVIDENCE &amp; DECISIONS</t>
        </is>
      </c>
    </row>
    <row r="758" ht="34" customHeight="1">
      <c r="A758" s="23" t="inlineStr">
        <is>
          <t>R1304-v2</t>
        </is>
      </c>
      <c r="B758" s="23" t="inlineStr">
        <is>
          <t>Cost &amp; Forecast Control Accounts</t>
        </is>
      </c>
      <c r="C758" s="23" t="inlineStr">
        <is>
          <t>CST-03-062</t>
        </is>
      </c>
      <c r="D758" s="23" t="inlineStr">
        <is>
          <t>1.3.2 Systems - Signalling &amp; Train Control</t>
        </is>
      </c>
      <c r="E758" s="23" t="inlineStr">
        <is>
          <t>Carried forward</t>
        </is>
      </c>
      <c r="F758" s="23" t="inlineStr"/>
      <c r="G758" s="23" t="inlineStr">
        <is>
          <t>Source assignment -- not individually reviewed</t>
        </is>
      </c>
      <c r="H758" s="14" t="inlineStr">
        <is>
          <t>10 EVIDENCE &amp; DECISIONS</t>
        </is>
      </c>
    </row>
    <row r="759" ht="34" customHeight="1">
      <c r="A759" s="23" t="inlineStr">
        <is>
          <t>R1306-v2</t>
        </is>
      </c>
      <c r="B759" s="23" t="inlineStr">
        <is>
          <t>Cost &amp; Forecast Control Accounts</t>
        </is>
      </c>
      <c r="C759" s="23" t="inlineStr">
        <is>
          <t>CST-03-064</t>
        </is>
      </c>
      <c r="D759" s="23" t="inlineStr">
        <is>
          <t>1.3.2 Systems - Signalling &amp; Train Control</t>
        </is>
      </c>
      <c r="E759" s="23" t="inlineStr">
        <is>
          <t>Carried forward</t>
        </is>
      </c>
      <c r="F759" s="23" t="inlineStr"/>
      <c r="G759" s="23" t="inlineStr">
        <is>
          <t>Source assignment -- not individually reviewed</t>
        </is>
      </c>
      <c r="H759" s="14" t="inlineStr">
        <is>
          <t>10 EVIDENCE &amp; DECISIONS</t>
        </is>
      </c>
    </row>
    <row r="760" ht="34" customHeight="1">
      <c r="A760" s="23" t="inlineStr">
        <is>
          <t>R1308-v2</t>
        </is>
      </c>
      <c r="B760" s="23" t="inlineStr">
        <is>
          <t>Cost &amp; Forecast Control Accounts</t>
        </is>
      </c>
      <c r="C760" s="23" t="inlineStr">
        <is>
          <t>CST-03-066</t>
        </is>
      </c>
      <c r="D760" s="23" t="inlineStr">
        <is>
          <t>1.3.2 Systems - Signalling &amp; Train Control</t>
        </is>
      </c>
      <c r="E760" s="23" t="inlineStr">
        <is>
          <t>Carried forward</t>
        </is>
      </c>
      <c r="F760" s="23" t="inlineStr"/>
      <c r="G760" s="23" t="inlineStr">
        <is>
          <t>Source assignment -- not individually reviewed</t>
        </is>
      </c>
      <c r="H760" s="14" t="inlineStr">
        <is>
          <t>10 EVIDENCE &amp; DECISIONS</t>
        </is>
      </c>
    </row>
    <row r="761" ht="34" customHeight="1">
      <c r="A761" s="23" t="inlineStr">
        <is>
          <t>R1310-v2</t>
        </is>
      </c>
      <c r="B761" s="23" t="inlineStr">
        <is>
          <t>Cost &amp; Forecast Control Accounts</t>
        </is>
      </c>
      <c r="C761" s="23" t="inlineStr">
        <is>
          <t>CST-03-068</t>
        </is>
      </c>
      <c r="D761" s="23" t="inlineStr">
        <is>
          <t>1.3.2 Systems - Signalling &amp; Train Control</t>
        </is>
      </c>
      <c r="E761" s="23" t="inlineStr">
        <is>
          <t>Carried forward</t>
        </is>
      </c>
      <c r="F761" s="23" t="inlineStr"/>
      <c r="G761" s="23" t="inlineStr">
        <is>
          <t>Source assignment -- not individually reviewed</t>
        </is>
      </c>
      <c r="H761" s="14" t="inlineStr">
        <is>
          <t>10 EVIDENCE &amp; DECISIONS</t>
        </is>
      </c>
    </row>
    <row r="762" ht="34" customHeight="1">
      <c r="A762" s="23" t="inlineStr">
        <is>
          <t>R1312-v2</t>
        </is>
      </c>
      <c r="B762" s="23" t="inlineStr">
        <is>
          <t>Cost &amp; Forecast Control Accounts</t>
        </is>
      </c>
      <c r="C762" s="23" t="inlineStr">
        <is>
          <t>CST-03-070</t>
        </is>
      </c>
      <c r="D762" s="23" t="inlineStr">
        <is>
          <t>1.3.2 Systems - Signalling &amp; Train Control</t>
        </is>
      </c>
      <c r="E762" s="23" t="inlineStr">
        <is>
          <t>Carried forward</t>
        </is>
      </c>
      <c r="F762" s="23" t="inlineStr"/>
      <c r="G762" s="23" t="inlineStr">
        <is>
          <t>Source assignment -- not individually reviewed</t>
        </is>
      </c>
      <c r="H762" s="14" t="inlineStr">
        <is>
          <t>10 EVIDENCE &amp; DECISIONS</t>
        </is>
      </c>
    </row>
    <row r="763" ht="34" customHeight="1">
      <c r="A763" s="23" t="inlineStr">
        <is>
          <t>R1314-v2</t>
        </is>
      </c>
      <c r="B763" s="23" t="inlineStr">
        <is>
          <t>Cost &amp; Forecast Control Accounts</t>
        </is>
      </c>
      <c r="C763" s="23" t="inlineStr">
        <is>
          <t>CST-03-072</t>
        </is>
      </c>
      <c r="D763" s="23" t="inlineStr">
        <is>
          <t>1.3.2 Systems - Signalling &amp; Train Control</t>
        </is>
      </c>
      <c r="E763" s="23" t="inlineStr">
        <is>
          <t>Carried forward</t>
        </is>
      </c>
      <c r="F763" s="23" t="inlineStr"/>
      <c r="G763" s="23" t="inlineStr">
        <is>
          <t>Source assignment -- not individually reviewed</t>
        </is>
      </c>
      <c r="H763" s="14" t="inlineStr">
        <is>
          <t>10 EVIDENCE &amp; DECISIONS</t>
        </is>
      </c>
    </row>
    <row r="764" ht="34" customHeight="1">
      <c r="A764" s="23" t="inlineStr">
        <is>
          <t>R1316-v2</t>
        </is>
      </c>
      <c r="B764" s="23" t="inlineStr">
        <is>
          <t>Cost &amp; Forecast Control Accounts</t>
        </is>
      </c>
      <c r="C764" s="23" t="inlineStr">
        <is>
          <t>CST-03-074</t>
        </is>
      </c>
      <c r="D764" s="23" t="inlineStr">
        <is>
          <t>1.3.2 Systems - Signalling &amp; Train Control</t>
        </is>
      </c>
      <c r="E764" s="23" t="inlineStr">
        <is>
          <t>Carried forward</t>
        </is>
      </c>
      <c r="F764" s="23" t="inlineStr"/>
      <c r="G764" s="23" t="inlineStr">
        <is>
          <t>Source assignment -- not individually reviewed</t>
        </is>
      </c>
      <c r="H764" s="14" t="inlineStr">
        <is>
          <t>10 EVIDENCE &amp; DECISIONS</t>
        </is>
      </c>
    </row>
    <row r="765" ht="34" customHeight="1">
      <c r="A765" s="23" t="inlineStr">
        <is>
          <t>R1318-v2</t>
        </is>
      </c>
      <c r="B765" s="23" t="inlineStr">
        <is>
          <t>Cost &amp; Forecast Control Accounts</t>
        </is>
      </c>
      <c r="C765" s="23" t="inlineStr">
        <is>
          <t>CST-03-076</t>
        </is>
      </c>
      <c r="D765" s="23" t="inlineStr">
        <is>
          <t>1.3.2 Systems - Signalling &amp; Train Control</t>
        </is>
      </c>
      <c r="E765" s="23" t="inlineStr">
        <is>
          <t>Carried forward</t>
        </is>
      </c>
      <c r="F765" s="23" t="inlineStr"/>
      <c r="G765" s="23" t="inlineStr">
        <is>
          <t>Source assignment -- not individually reviewed</t>
        </is>
      </c>
      <c r="H765" s="14" t="inlineStr">
        <is>
          <t>10 EVIDENCE &amp; DECISIONS</t>
        </is>
      </c>
    </row>
    <row r="766" ht="34" customHeight="1">
      <c r="A766" s="23" t="inlineStr">
        <is>
          <t>R1320-v2</t>
        </is>
      </c>
      <c r="B766" s="23" t="inlineStr">
        <is>
          <t>Cost &amp; Forecast Control Accounts</t>
        </is>
      </c>
      <c r="C766" s="23" t="inlineStr">
        <is>
          <t>CST-03-078</t>
        </is>
      </c>
      <c r="D766" s="23" t="inlineStr">
        <is>
          <t>1.3.2 Systems - Signalling &amp; Train Control</t>
        </is>
      </c>
      <c r="E766" s="23" t="inlineStr">
        <is>
          <t>Carried forward</t>
        </is>
      </c>
      <c r="F766" s="23" t="inlineStr"/>
      <c r="G766" s="23" t="inlineStr">
        <is>
          <t>Source assignment -- not individually reviewed</t>
        </is>
      </c>
      <c r="H766" s="14" t="inlineStr">
        <is>
          <t>10 EVIDENCE &amp; DECISIONS</t>
        </is>
      </c>
    </row>
    <row r="767" ht="34" customHeight="1">
      <c r="A767" s="23" t="inlineStr">
        <is>
          <t>R1322-v2</t>
        </is>
      </c>
      <c r="B767" s="23" t="inlineStr">
        <is>
          <t>Cost &amp; Forecast Control Accounts</t>
        </is>
      </c>
      <c r="C767" s="23" t="inlineStr">
        <is>
          <t>CST-03-080</t>
        </is>
      </c>
      <c r="D767" s="23" t="inlineStr">
        <is>
          <t>1.3.2 Systems - Signalling &amp; Train Control</t>
        </is>
      </c>
      <c r="E767" s="23" t="inlineStr">
        <is>
          <t>Carried forward</t>
        </is>
      </c>
      <c r="F767" s="23" t="inlineStr"/>
      <c r="G767" s="23" t="inlineStr">
        <is>
          <t>Source assignment -- not individually reviewed</t>
        </is>
      </c>
      <c r="H767" s="14" t="inlineStr">
        <is>
          <t>10 EVIDENCE &amp; DECISIONS</t>
        </is>
      </c>
    </row>
    <row r="768" ht="34" customHeight="1">
      <c r="A768" s="23" t="inlineStr">
        <is>
          <t>R363-v2</t>
        </is>
      </c>
      <c r="B768" s="23" t="inlineStr">
        <is>
          <t>Contractor Programme</t>
        </is>
      </c>
      <c r="C768" s="23" t="inlineStr">
        <is>
          <t>SCH-03-003</t>
        </is>
      </c>
      <c r="D768" s="23" t="inlineStr">
        <is>
          <t>1.3.2 Systems - Signalling &amp; Train Control</t>
        </is>
      </c>
      <c r="E768" s="23" t="inlineStr">
        <is>
          <t>Carried forward</t>
        </is>
      </c>
      <c r="F768" s="23" t="inlineStr"/>
      <c r="G768" s="23" t="inlineStr">
        <is>
          <t>Source assignment -- not individually reviewed</t>
        </is>
      </c>
      <c r="H768" s="14" t="inlineStr">
        <is>
          <t>10 EVIDENCE &amp; DECISIONS</t>
        </is>
      </c>
    </row>
    <row r="769" ht="34" customHeight="1">
      <c r="A769" s="23" t="inlineStr">
        <is>
          <t>R366-v2</t>
        </is>
      </c>
      <c r="B769" s="23" t="inlineStr">
        <is>
          <t>Contractor Programme</t>
        </is>
      </c>
      <c r="C769" s="23" t="inlineStr">
        <is>
          <t>SCH-03-006</t>
        </is>
      </c>
      <c r="D769" s="23" t="inlineStr">
        <is>
          <t>1.3.2 Systems - Signalling &amp; Train Control</t>
        </is>
      </c>
      <c r="E769" s="23" t="inlineStr">
        <is>
          <t>Carried forward</t>
        </is>
      </c>
      <c r="F769" s="23" t="inlineStr"/>
      <c r="G769" s="23" t="inlineStr">
        <is>
          <t>Source assignment -- not individually reviewed</t>
        </is>
      </c>
      <c r="H769" s="14" t="inlineStr">
        <is>
          <t>10 EVIDENCE &amp; DECISIONS</t>
        </is>
      </c>
    </row>
    <row r="770" ht="34" customHeight="1">
      <c r="A770" s="23" t="inlineStr">
        <is>
          <t>R369-v2</t>
        </is>
      </c>
      <c r="B770" s="23" t="inlineStr">
        <is>
          <t>Contractor Programme</t>
        </is>
      </c>
      <c r="C770" s="23" t="inlineStr">
        <is>
          <t>SCH-03-009</t>
        </is>
      </c>
      <c r="D770" s="23" t="inlineStr">
        <is>
          <t>1.3.2 Systems - Signalling &amp; Train Control</t>
        </is>
      </c>
      <c r="E770" s="23" t="inlineStr">
        <is>
          <t>Carried forward</t>
        </is>
      </c>
      <c r="F770" s="23" t="inlineStr"/>
      <c r="G770" s="23" t="inlineStr">
        <is>
          <t>Source assignment -- not individually reviewed</t>
        </is>
      </c>
      <c r="H770" s="14" t="inlineStr">
        <is>
          <t>10 EVIDENCE &amp; DECISIONS</t>
        </is>
      </c>
    </row>
    <row r="771" ht="34" customHeight="1">
      <c r="A771" s="23" t="inlineStr">
        <is>
          <t>R372-v2</t>
        </is>
      </c>
      <c r="B771" s="23" t="inlineStr">
        <is>
          <t>Contractor Programme</t>
        </is>
      </c>
      <c r="C771" s="23" t="inlineStr">
        <is>
          <t>SCH-03-012</t>
        </is>
      </c>
      <c r="D771" s="23" t="inlineStr">
        <is>
          <t>1.3.2 Systems - Signalling &amp; Train Control</t>
        </is>
      </c>
      <c r="E771" s="23" t="inlineStr">
        <is>
          <t>Carried forward</t>
        </is>
      </c>
      <c r="F771" s="23" t="inlineStr"/>
      <c r="G771" s="23" t="inlineStr">
        <is>
          <t>Source assignment -- not individually reviewed</t>
        </is>
      </c>
      <c r="H771" s="14" t="inlineStr">
        <is>
          <t>10 EVIDENCE &amp; DECISIONS</t>
        </is>
      </c>
    </row>
    <row r="772" ht="34" customHeight="1">
      <c r="A772" s="23" t="inlineStr">
        <is>
          <t>R375-v2</t>
        </is>
      </c>
      <c r="B772" s="23" t="inlineStr">
        <is>
          <t>Contractor Programme</t>
        </is>
      </c>
      <c r="C772" s="23" t="inlineStr">
        <is>
          <t>SCH-03-015</t>
        </is>
      </c>
      <c r="D772" s="23" t="inlineStr">
        <is>
          <t>1.3.2 Systems - Signalling &amp; Train Control</t>
        </is>
      </c>
      <c r="E772" s="23" t="inlineStr">
        <is>
          <t>Carried forward</t>
        </is>
      </c>
      <c r="F772" s="23" t="inlineStr"/>
      <c r="G772" s="23" t="inlineStr">
        <is>
          <t>Source assignment -- not individually reviewed</t>
        </is>
      </c>
      <c r="H772" s="14" t="inlineStr">
        <is>
          <t>10 EVIDENCE &amp; DECISIONS</t>
        </is>
      </c>
    </row>
    <row r="773" ht="34" customHeight="1">
      <c r="A773" s="23" t="inlineStr">
        <is>
          <t>R378-v2</t>
        </is>
      </c>
      <c r="B773" s="23" t="inlineStr">
        <is>
          <t>Contractor Programme</t>
        </is>
      </c>
      <c r="C773" s="23" t="inlineStr">
        <is>
          <t>SCH-03-018</t>
        </is>
      </c>
      <c r="D773" s="23" t="inlineStr">
        <is>
          <t>1.3.2 Systems - Signalling &amp; Train Control</t>
        </is>
      </c>
      <c r="E773" s="23" t="inlineStr">
        <is>
          <t>Carried forward</t>
        </is>
      </c>
      <c r="F773" s="23" t="inlineStr"/>
      <c r="G773" s="23" t="inlineStr">
        <is>
          <t>Source assignment -- not individually reviewed</t>
        </is>
      </c>
      <c r="H773" s="14" t="inlineStr">
        <is>
          <t>10 EVIDENCE &amp; DECISIONS</t>
        </is>
      </c>
    </row>
    <row r="774" ht="34" customHeight="1">
      <c r="A774" s="23" t="inlineStr">
        <is>
          <t>R381-v2</t>
        </is>
      </c>
      <c r="B774" s="23" t="inlineStr">
        <is>
          <t>Contractor Programme</t>
        </is>
      </c>
      <c r="C774" s="23" t="inlineStr">
        <is>
          <t>SCH-03-021</t>
        </is>
      </c>
      <c r="D774" s="23" t="inlineStr">
        <is>
          <t>1.3.2 Systems - Signalling &amp; Train Control</t>
        </is>
      </c>
      <c r="E774" s="23" t="inlineStr">
        <is>
          <t>Carried forward</t>
        </is>
      </c>
      <c r="F774" s="23" t="inlineStr"/>
      <c r="G774" s="23" t="inlineStr">
        <is>
          <t>Source assignment -- not individually reviewed</t>
        </is>
      </c>
      <c r="H774" s="14" t="inlineStr">
        <is>
          <t>10 EVIDENCE &amp; DECISIONS</t>
        </is>
      </c>
    </row>
    <row r="775" ht="34" customHeight="1">
      <c r="A775" s="23" t="inlineStr">
        <is>
          <t>R384-v2</t>
        </is>
      </c>
      <c r="B775" s="23" t="inlineStr">
        <is>
          <t>Contractor Programme</t>
        </is>
      </c>
      <c r="C775" s="23" t="inlineStr">
        <is>
          <t>SCH-03-024</t>
        </is>
      </c>
      <c r="D775" s="23" t="inlineStr">
        <is>
          <t>1.3.2 Systems - Signalling &amp; Train Control</t>
        </is>
      </c>
      <c r="E775" s="23" t="inlineStr">
        <is>
          <t>Carried forward</t>
        </is>
      </c>
      <c r="F775" s="23" t="inlineStr"/>
      <c r="G775" s="23" t="inlineStr">
        <is>
          <t>Source assignment -- not individually reviewed</t>
        </is>
      </c>
      <c r="H775" s="14" t="inlineStr">
        <is>
          <t>10 EVIDENCE &amp; DECISIONS</t>
        </is>
      </c>
    </row>
    <row r="776" ht="34" customHeight="1">
      <c r="A776" s="23" t="inlineStr">
        <is>
          <t>R387-v2</t>
        </is>
      </c>
      <c r="B776" s="23" t="inlineStr">
        <is>
          <t>Contractor Programme</t>
        </is>
      </c>
      <c r="C776" s="23" t="inlineStr">
        <is>
          <t>SCH-03-027</t>
        </is>
      </c>
      <c r="D776" s="23" t="inlineStr">
        <is>
          <t>1.3.2 Systems - Signalling &amp; Train Control</t>
        </is>
      </c>
      <c r="E776" s="23" t="inlineStr">
        <is>
          <t>Carried forward</t>
        </is>
      </c>
      <c r="F776" s="23" t="inlineStr"/>
      <c r="G776" s="23" t="inlineStr">
        <is>
          <t>Source assignment -- not individually reviewed</t>
        </is>
      </c>
      <c r="H776" s="14" t="inlineStr">
        <is>
          <t>10 EVIDENCE &amp; DECISIONS</t>
        </is>
      </c>
    </row>
    <row r="777" ht="34" customHeight="1">
      <c r="A777" s="23" t="inlineStr">
        <is>
          <t>R390-v2</t>
        </is>
      </c>
      <c r="B777" s="23" t="inlineStr">
        <is>
          <t>Contractor Programme</t>
        </is>
      </c>
      <c r="C777" s="23" t="inlineStr">
        <is>
          <t>SCH-03-030</t>
        </is>
      </c>
      <c r="D777" s="23" t="inlineStr">
        <is>
          <t>1.3.2 Systems - Signalling &amp; Train Control</t>
        </is>
      </c>
      <c r="E777" s="23" t="inlineStr">
        <is>
          <t>Carried forward</t>
        </is>
      </c>
      <c r="F777" s="23" t="inlineStr"/>
      <c r="G777" s="23" t="inlineStr">
        <is>
          <t>Source assignment -- not individually reviewed</t>
        </is>
      </c>
      <c r="H777" s="14" t="inlineStr">
        <is>
          <t>10 EVIDENCE &amp; DECISIONS</t>
        </is>
      </c>
    </row>
    <row r="778" ht="34" customHeight="1">
      <c r="A778" s="23" t="inlineStr">
        <is>
          <t>R393-v2</t>
        </is>
      </c>
      <c r="B778" s="23" t="inlineStr">
        <is>
          <t>Contractor Programme</t>
        </is>
      </c>
      <c r="C778" s="23" t="inlineStr">
        <is>
          <t>SCH-03-033</t>
        </is>
      </c>
      <c r="D778" s="23" t="inlineStr">
        <is>
          <t>1.3.2 Systems - Signalling &amp; Train Control</t>
        </is>
      </c>
      <c r="E778" s="23" t="inlineStr">
        <is>
          <t>Carried forward</t>
        </is>
      </c>
      <c r="F778" s="23" t="inlineStr"/>
      <c r="G778" s="23" t="inlineStr">
        <is>
          <t>Source assignment -- not individually reviewed</t>
        </is>
      </c>
      <c r="H778" s="14" t="inlineStr">
        <is>
          <t>10 EVIDENCE &amp; DECISIONS</t>
        </is>
      </c>
    </row>
    <row r="779" ht="34" customHeight="1">
      <c r="A779" s="23" t="inlineStr">
        <is>
          <t>R396-v2</t>
        </is>
      </c>
      <c r="B779" s="23" t="inlineStr">
        <is>
          <t>Contractor Programme</t>
        </is>
      </c>
      <c r="C779" s="23" t="inlineStr">
        <is>
          <t>SCH-03-036</t>
        </is>
      </c>
      <c r="D779" s="23" t="inlineStr">
        <is>
          <t>1.3.2 Systems - Signalling &amp; Train Control</t>
        </is>
      </c>
      <c r="E779" s="23" t="inlineStr">
        <is>
          <t>Carried forward</t>
        </is>
      </c>
      <c r="F779" s="23" t="inlineStr"/>
      <c r="G779" s="23" t="inlineStr">
        <is>
          <t>Source assignment -- not individually reviewed</t>
        </is>
      </c>
      <c r="H779" s="14" t="inlineStr">
        <is>
          <t>10 EVIDENCE &amp; DECISIONS</t>
        </is>
      </c>
    </row>
    <row r="780" ht="34" customHeight="1">
      <c r="A780" s="23" t="inlineStr">
        <is>
          <t>R399-v2</t>
        </is>
      </c>
      <c r="B780" s="23" t="inlineStr">
        <is>
          <t>Contractor Programme</t>
        </is>
      </c>
      <c r="C780" s="23" t="inlineStr">
        <is>
          <t>SCH-03-039</t>
        </is>
      </c>
      <c r="D780" s="23" t="inlineStr">
        <is>
          <t>1.3.2 Systems - Signalling &amp; Train Control</t>
        </is>
      </c>
      <c r="E780" s="23" t="inlineStr">
        <is>
          <t>Carried forward</t>
        </is>
      </c>
      <c r="F780" s="23" t="inlineStr"/>
      <c r="G780" s="23" t="inlineStr">
        <is>
          <t>Source assignment -- not individually reviewed</t>
        </is>
      </c>
      <c r="H780" s="14" t="inlineStr">
        <is>
          <t>10 EVIDENCE &amp; DECISIONS</t>
        </is>
      </c>
    </row>
    <row r="781" ht="34" customHeight="1">
      <c r="A781" s="23" t="inlineStr">
        <is>
          <t>R402-v2</t>
        </is>
      </c>
      <c r="B781" s="23" t="inlineStr">
        <is>
          <t>Contractor Programme</t>
        </is>
      </c>
      <c r="C781" s="23" t="inlineStr">
        <is>
          <t>SCH-03-042</t>
        </is>
      </c>
      <c r="D781" s="23" t="inlineStr">
        <is>
          <t>1.3.2 Systems - Signalling &amp; Train Control</t>
        </is>
      </c>
      <c r="E781" s="23" t="inlineStr">
        <is>
          <t>Carried forward</t>
        </is>
      </c>
      <c r="F781" s="23" t="inlineStr"/>
      <c r="G781" s="23" t="inlineStr">
        <is>
          <t>Source assignment -- not individually reviewed</t>
        </is>
      </c>
      <c r="H781" s="14" t="inlineStr">
        <is>
          <t>10 EVIDENCE &amp; DECISIONS</t>
        </is>
      </c>
    </row>
    <row r="782" ht="34" customHeight="1">
      <c r="A782" s="23" t="inlineStr">
        <is>
          <t>R405-v2</t>
        </is>
      </c>
      <c r="B782" s="23" t="inlineStr">
        <is>
          <t>Contractor Programme</t>
        </is>
      </c>
      <c r="C782" s="23" t="inlineStr">
        <is>
          <t>SCH-03-045</t>
        </is>
      </c>
      <c r="D782" s="23" t="inlineStr">
        <is>
          <t>1.3.2 Systems - Signalling &amp; Train Control</t>
        </is>
      </c>
      <c r="E782" s="23" t="inlineStr">
        <is>
          <t>Carried forward</t>
        </is>
      </c>
      <c r="F782" s="23" t="inlineStr"/>
      <c r="G782" s="23" t="inlineStr">
        <is>
          <t>Source assignment -- not individually reviewed</t>
        </is>
      </c>
      <c r="H782" s="14" t="inlineStr">
        <is>
          <t>10 EVIDENCE &amp; DECISIONS</t>
        </is>
      </c>
    </row>
    <row r="783" ht="34" customHeight="1">
      <c r="A783" s="23" t="inlineStr">
        <is>
          <t>R408-v2</t>
        </is>
      </c>
      <c r="B783" s="23" t="inlineStr">
        <is>
          <t>Contractor Programme</t>
        </is>
      </c>
      <c r="C783" s="23" t="inlineStr">
        <is>
          <t>SCH-03-048</t>
        </is>
      </c>
      <c r="D783" s="23" t="inlineStr">
        <is>
          <t>1.3.2 Systems - Signalling &amp; Train Control</t>
        </is>
      </c>
      <c r="E783" s="23" t="inlineStr">
        <is>
          <t>Carried forward</t>
        </is>
      </c>
      <c r="F783" s="23" t="inlineStr"/>
      <c r="G783" s="23" t="inlineStr">
        <is>
          <t>Source assignment -- not individually reviewed</t>
        </is>
      </c>
      <c r="H783" s="14" t="inlineStr">
        <is>
          <t>10 EVIDENCE &amp; DECISIONS</t>
        </is>
      </c>
    </row>
    <row r="784" ht="34" customHeight="1">
      <c r="A784" s="23" t="inlineStr">
        <is>
          <t>R411-v2</t>
        </is>
      </c>
      <c r="B784" s="23" t="inlineStr">
        <is>
          <t>Contractor Programme</t>
        </is>
      </c>
      <c r="C784" s="23" t="inlineStr">
        <is>
          <t>SCH-03-051</t>
        </is>
      </c>
      <c r="D784" s="23" t="inlineStr">
        <is>
          <t>1.3.2 Systems - Signalling &amp; Train Control</t>
        </is>
      </c>
      <c r="E784" s="23" t="inlineStr">
        <is>
          <t>Carried forward</t>
        </is>
      </c>
      <c r="F784" s="23" t="inlineStr"/>
      <c r="G784" s="23" t="inlineStr">
        <is>
          <t>Source assignment -- not individually reviewed</t>
        </is>
      </c>
      <c r="H784" s="14" t="inlineStr">
        <is>
          <t>10 EVIDENCE &amp; DECISIONS</t>
        </is>
      </c>
    </row>
    <row r="785" ht="34" customHeight="1">
      <c r="A785" s="23" t="inlineStr">
        <is>
          <t>R414-v2</t>
        </is>
      </c>
      <c r="B785" s="23" t="inlineStr">
        <is>
          <t>Contractor Programme</t>
        </is>
      </c>
      <c r="C785" s="23" t="inlineStr">
        <is>
          <t>SCH-03-054</t>
        </is>
      </c>
      <c r="D785" s="23" t="inlineStr">
        <is>
          <t>1.3.2 Systems - Signalling &amp; Train Control</t>
        </is>
      </c>
      <c r="E785" s="23" t="inlineStr">
        <is>
          <t>Carried forward</t>
        </is>
      </c>
      <c r="F785" s="23" t="inlineStr"/>
      <c r="G785" s="23" t="inlineStr">
        <is>
          <t>Source assignment -- not individually reviewed</t>
        </is>
      </c>
      <c r="H785" s="14" t="inlineStr">
        <is>
          <t>10 EVIDENCE &amp; DECISIONS</t>
        </is>
      </c>
    </row>
    <row r="786" ht="34" customHeight="1">
      <c r="A786" s="23" t="inlineStr">
        <is>
          <t>R417-v2</t>
        </is>
      </c>
      <c r="B786" s="23" t="inlineStr">
        <is>
          <t>Contractor Programme</t>
        </is>
      </c>
      <c r="C786" s="23" t="inlineStr">
        <is>
          <t>SCH-03-057</t>
        </is>
      </c>
      <c r="D786" s="23" t="inlineStr">
        <is>
          <t>1.3.2 Systems - Signalling &amp; Train Control</t>
        </is>
      </c>
      <c r="E786" s="23" t="inlineStr">
        <is>
          <t>Carried forward</t>
        </is>
      </c>
      <c r="F786" s="23" t="inlineStr"/>
      <c r="G786" s="23" t="inlineStr">
        <is>
          <t>Source assignment -- not individually reviewed</t>
        </is>
      </c>
      <c r="H786" s="14" t="inlineStr">
        <is>
          <t>10 EVIDENCE &amp; DECISIONS</t>
        </is>
      </c>
    </row>
    <row r="787" ht="34" customHeight="1">
      <c r="A787" s="23" t="inlineStr">
        <is>
          <t>R420-v2</t>
        </is>
      </c>
      <c r="B787" s="23" t="inlineStr">
        <is>
          <t>Contractor Programme</t>
        </is>
      </c>
      <c r="C787" s="23" t="inlineStr">
        <is>
          <t>SCH-03-060</t>
        </is>
      </c>
      <c r="D787" s="23" t="inlineStr">
        <is>
          <t>1.3.2 Systems - Signalling &amp; Train Control</t>
        </is>
      </c>
      <c r="E787" s="23" t="inlineStr">
        <is>
          <t>Carried forward</t>
        </is>
      </c>
      <c r="F787" s="23" t="inlineStr"/>
      <c r="G787" s="23" t="inlineStr">
        <is>
          <t>Source assignment -- not individually reviewed</t>
        </is>
      </c>
      <c r="H787" s="14" t="inlineStr">
        <is>
          <t>10 EVIDENCE &amp; DECISIONS</t>
        </is>
      </c>
    </row>
    <row r="788" ht="34" customHeight="1">
      <c r="A788" s="23" t="inlineStr">
        <is>
          <t>R423-v2</t>
        </is>
      </c>
      <c r="B788" s="23" t="inlineStr">
        <is>
          <t>Contractor Programme</t>
        </is>
      </c>
      <c r="C788" s="23" t="inlineStr">
        <is>
          <t>SCH-03-063</t>
        </is>
      </c>
      <c r="D788" s="23" t="inlineStr">
        <is>
          <t>1.3.2 Systems - Signalling &amp; Train Control</t>
        </is>
      </c>
      <c r="E788" s="23" t="inlineStr">
        <is>
          <t>Carried forward</t>
        </is>
      </c>
      <c r="F788" s="23" t="inlineStr"/>
      <c r="G788" s="23" t="inlineStr">
        <is>
          <t>Source assignment -- not individually reviewed</t>
        </is>
      </c>
      <c r="H788" s="14" t="inlineStr">
        <is>
          <t>10 EVIDENCE &amp; DECISIONS</t>
        </is>
      </c>
    </row>
    <row r="789" ht="34" customHeight="1">
      <c r="A789" s="23" t="inlineStr">
        <is>
          <t>R426-v2</t>
        </is>
      </c>
      <c r="B789" s="23" t="inlineStr">
        <is>
          <t>Contractor Programme</t>
        </is>
      </c>
      <c r="C789" s="23" t="inlineStr">
        <is>
          <t>SCH-03-066</t>
        </is>
      </c>
      <c r="D789" s="23" t="inlineStr">
        <is>
          <t>1.3.2 Systems - Signalling &amp; Train Control</t>
        </is>
      </c>
      <c r="E789" s="23" t="inlineStr">
        <is>
          <t>Carried forward</t>
        </is>
      </c>
      <c r="F789" s="23" t="inlineStr"/>
      <c r="G789" s="23" t="inlineStr">
        <is>
          <t>Source assignment -- not individually reviewed</t>
        </is>
      </c>
      <c r="H789" s="14" t="inlineStr">
        <is>
          <t>10 EVIDENCE &amp; DECISIONS</t>
        </is>
      </c>
    </row>
    <row r="790" ht="34" customHeight="1">
      <c r="A790" s="23" t="inlineStr">
        <is>
          <t>R429-v2</t>
        </is>
      </c>
      <c r="B790" s="23" t="inlineStr">
        <is>
          <t>Contractor Programme</t>
        </is>
      </c>
      <c r="C790" s="23" t="inlineStr">
        <is>
          <t>SCH-03-069</t>
        </is>
      </c>
      <c r="D790" s="23" t="inlineStr">
        <is>
          <t>1.3.2 Systems - Signalling &amp; Train Control</t>
        </is>
      </c>
      <c r="E790" s="23" t="inlineStr">
        <is>
          <t>Carried forward</t>
        </is>
      </c>
      <c r="F790" s="23" t="inlineStr"/>
      <c r="G790" s="23" t="inlineStr">
        <is>
          <t>Source assignment -- not individually reviewed</t>
        </is>
      </c>
      <c r="H790" s="14" t="inlineStr">
        <is>
          <t>10 EVIDENCE &amp; DECISIONS</t>
        </is>
      </c>
    </row>
    <row r="791" ht="34" customHeight="1">
      <c r="A791" s="23" t="inlineStr">
        <is>
          <t>R432-v2</t>
        </is>
      </c>
      <c r="B791" s="23" t="inlineStr">
        <is>
          <t>Contractor Programme</t>
        </is>
      </c>
      <c r="C791" s="23" t="inlineStr">
        <is>
          <t>SCH-03-072</t>
        </is>
      </c>
      <c r="D791" s="23" t="inlineStr">
        <is>
          <t>1.3.2 Systems - Signalling &amp; Train Control</t>
        </is>
      </c>
      <c r="E791" s="23" t="inlineStr">
        <is>
          <t>Carried forward</t>
        </is>
      </c>
      <c r="F791" s="23" t="inlineStr"/>
      <c r="G791" s="23" t="inlineStr">
        <is>
          <t>Source assignment -- not individually reviewed</t>
        </is>
      </c>
      <c r="H791" s="14" t="inlineStr">
        <is>
          <t>10 EVIDENCE &amp; DECISIONS</t>
        </is>
      </c>
    </row>
    <row r="792" ht="34" customHeight="1">
      <c r="A792" s="23" t="inlineStr">
        <is>
          <t>R435-v2</t>
        </is>
      </c>
      <c r="B792" s="23" t="inlineStr">
        <is>
          <t>Contractor Programme</t>
        </is>
      </c>
      <c r="C792" s="23" t="inlineStr">
        <is>
          <t>SCH-03-075</t>
        </is>
      </c>
      <c r="D792" s="23" t="inlineStr">
        <is>
          <t>1.3.2 Systems - Signalling &amp; Train Control</t>
        </is>
      </c>
      <c r="E792" s="23" t="inlineStr">
        <is>
          <t>Carried forward</t>
        </is>
      </c>
      <c r="F792" s="23" t="inlineStr"/>
      <c r="G792" s="23" t="inlineStr">
        <is>
          <t>Source assignment -- not individually reviewed</t>
        </is>
      </c>
      <c r="H792" s="14" t="inlineStr">
        <is>
          <t>10 EVIDENCE &amp; DECISIONS</t>
        </is>
      </c>
    </row>
    <row r="793" ht="34" customHeight="1">
      <c r="A793" s="23" t="inlineStr">
        <is>
          <t>R438-v2</t>
        </is>
      </c>
      <c r="B793" s="23" t="inlineStr">
        <is>
          <t>Contractor Programme</t>
        </is>
      </c>
      <c r="C793" s="23" t="inlineStr">
        <is>
          <t>SCH-03-078</t>
        </is>
      </c>
      <c r="D793" s="23" t="inlineStr">
        <is>
          <t>1.3.2 Systems - Signalling &amp; Train Control</t>
        </is>
      </c>
      <c r="E793" s="23" t="inlineStr">
        <is>
          <t>Carried forward</t>
        </is>
      </c>
      <c r="F793" s="23" t="inlineStr"/>
      <c r="G793" s="23" t="inlineStr">
        <is>
          <t>Source assignment -- not individually reviewed</t>
        </is>
      </c>
      <c r="H793" s="14" t="inlineStr">
        <is>
          <t>10 EVIDENCE &amp; DECISIONS</t>
        </is>
      </c>
    </row>
    <row r="794" ht="34" customHeight="1">
      <c r="A794" s="23" t="inlineStr">
        <is>
          <t>R441-v2</t>
        </is>
      </c>
      <c r="B794" s="23" t="inlineStr">
        <is>
          <t>Contractor Programme</t>
        </is>
      </c>
      <c r="C794" s="23" t="inlineStr">
        <is>
          <t>SCH-03-081</t>
        </is>
      </c>
      <c r="D794" s="23" t="inlineStr">
        <is>
          <t>1.3.2 Systems - Signalling &amp; Train Control</t>
        </is>
      </c>
      <c r="E794" s="23" t="inlineStr">
        <is>
          <t>Carried forward</t>
        </is>
      </c>
      <c r="F794" s="23" t="inlineStr"/>
      <c r="G794" s="23" t="inlineStr">
        <is>
          <t>Source assignment -- not individually reviewed</t>
        </is>
      </c>
      <c r="H794" s="14" t="inlineStr">
        <is>
          <t>10 EVIDENCE &amp; DECISIONS</t>
        </is>
      </c>
    </row>
    <row r="795" ht="34" customHeight="1">
      <c r="A795" s="23" t="inlineStr">
        <is>
          <t>R444-v2</t>
        </is>
      </c>
      <c r="B795" s="23" t="inlineStr">
        <is>
          <t>Contractor Programme</t>
        </is>
      </c>
      <c r="C795" s="23" t="inlineStr">
        <is>
          <t>SCH-03-084</t>
        </is>
      </c>
      <c r="D795" s="23" t="inlineStr">
        <is>
          <t>1.3.2 Systems - Signalling &amp; Train Control</t>
        </is>
      </c>
      <c r="E795" s="23" t="inlineStr">
        <is>
          <t>Carried forward</t>
        </is>
      </c>
      <c r="F795" s="23" t="inlineStr"/>
      <c r="G795" s="23" t="inlineStr">
        <is>
          <t>Source assignment -- not individually reviewed</t>
        </is>
      </c>
      <c r="H795" s="14" t="inlineStr">
        <is>
          <t>10 EVIDENCE &amp; DECISIONS</t>
        </is>
      </c>
    </row>
    <row r="796" ht="34" customHeight="1">
      <c r="A796" s="23" t="inlineStr">
        <is>
          <t>R447-v2</t>
        </is>
      </c>
      <c r="B796" s="23" t="inlineStr">
        <is>
          <t>Contractor Programme</t>
        </is>
      </c>
      <c r="C796" s="23" t="inlineStr">
        <is>
          <t>SCH-03-087</t>
        </is>
      </c>
      <c r="D796" s="23" t="inlineStr">
        <is>
          <t>1.3.2 Systems - Signalling &amp; Train Control</t>
        </is>
      </c>
      <c r="E796" s="23" t="inlineStr">
        <is>
          <t>Carried forward</t>
        </is>
      </c>
      <c r="F796" s="23" t="inlineStr"/>
      <c r="G796" s="23" t="inlineStr">
        <is>
          <t>Source assignment -- not individually reviewed</t>
        </is>
      </c>
      <c r="H796" s="14" t="inlineStr">
        <is>
          <t>10 EVIDENCE &amp; DECISIONS</t>
        </is>
      </c>
    </row>
    <row r="797" ht="34" customHeight="1">
      <c r="A797" s="23" t="inlineStr">
        <is>
          <t>R450-v2</t>
        </is>
      </c>
      <c r="B797" s="23" t="inlineStr">
        <is>
          <t>Contractor Programme</t>
        </is>
      </c>
      <c r="C797" s="23" t="inlineStr">
        <is>
          <t>SCH-03-090</t>
        </is>
      </c>
      <c r="D797" s="23" t="inlineStr">
        <is>
          <t>1.3.2 Systems - Signalling &amp; Train Control</t>
        </is>
      </c>
      <c r="E797" s="23" t="inlineStr">
        <is>
          <t>Carried forward</t>
        </is>
      </c>
      <c r="F797" s="23" t="inlineStr"/>
      <c r="G797" s="23" t="inlineStr">
        <is>
          <t>Source assignment -- not individually reviewed</t>
        </is>
      </c>
      <c r="H797" s="14" t="inlineStr">
        <is>
          <t>10 EVIDENCE &amp; DECISIONS</t>
        </is>
      </c>
    </row>
    <row r="798" ht="34" customHeight="1">
      <c r="A798" s="23" t="inlineStr">
        <is>
          <t>R453-v2</t>
        </is>
      </c>
      <c r="B798" s="23" t="inlineStr">
        <is>
          <t>Contractor Programme</t>
        </is>
      </c>
      <c r="C798" s="23" t="inlineStr">
        <is>
          <t>SCH-03-093</t>
        </is>
      </c>
      <c r="D798" s="23" t="inlineStr">
        <is>
          <t>1.3.2 Systems - Signalling &amp; Train Control</t>
        </is>
      </c>
      <c r="E798" s="23" t="inlineStr">
        <is>
          <t>Carried forward</t>
        </is>
      </c>
      <c r="F798" s="23" t="inlineStr"/>
      <c r="G798" s="23" t="inlineStr">
        <is>
          <t>Source assignment -- not individually reviewed</t>
        </is>
      </c>
      <c r="H798" s="14" t="inlineStr">
        <is>
          <t>10 EVIDENCE &amp; DECISIONS</t>
        </is>
      </c>
    </row>
    <row r="799" ht="34" customHeight="1">
      <c r="A799" s="23" t="inlineStr">
        <is>
          <t>R456-v2</t>
        </is>
      </c>
      <c r="B799" s="23" t="inlineStr">
        <is>
          <t>Contractor Programme</t>
        </is>
      </c>
      <c r="C799" s="23" t="inlineStr">
        <is>
          <t>SCH-03-096</t>
        </is>
      </c>
      <c r="D799" s="23" t="inlineStr">
        <is>
          <t>1.3.2 Systems - Signalling &amp; Train Control</t>
        </is>
      </c>
      <c r="E799" s="23" t="inlineStr">
        <is>
          <t>Carried forward</t>
        </is>
      </c>
      <c r="F799" s="23" t="inlineStr"/>
      <c r="G799" s="23" t="inlineStr">
        <is>
          <t>Source assignment -- not individually reviewed</t>
        </is>
      </c>
      <c r="H799" s="14" t="inlineStr">
        <is>
          <t>10 EVIDENCE &amp; DECISIONS</t>
        </is>
      </c>
    </row>
    <row r="800" ht="34" customHeight="1">
      <c r="A800" s="23" t="inlineStr">
        <is>
          <t>R459-v2</t>
        </is>
      </c>
      <c r="B800" s="23" t="inlineStr">
        <is>
          <t>Contractor Programme</t>
        </is>
      </c>
      <c r="C800" s="23" t="inlineStr">
        <is>
          <t>SCH-03-099</t>
        </is>
      </c>
      <c r="D800" s="23" t="inlineStr">
        <is>
          <t>1.3.2 Systems - Signalling &amp; Train Control</t>
        </is>
      </c>
      <c r="E800" s="23" t="inlineStr">
        <is>
          <t>Carried forward</t>
        </is>
      </c>
      <c r="F800" s="23" t="inlineStr"/>
      <c r="G800" s="23" t="inlineStr">
        <is>
          <t>Source assignment -- not individually reviewed</t>
        </is>
      </c>
      <c r="H800" s="14" t="inlineStr">
        <is>
          <t>10 EVIDENCE &amp; DECISIONS</t>
        </is>
      </c>
    </row>
    <row r="801" ht="34" customHeight="1">
      <c r="A801" s="23" t="inlineStr">
        <is>
          <t>R462-v2</t>
        </is>
      </c>
      <c r="B801" s="23" t="inlineStr">
        <is>
          <t>Contractor Programme</t>
        </is>
      </c>
      <c r="C801" s="23" t="inlineStr">
        <is>
          <t>SCH-03-102</t>
        </is>
      </c>
      <c r="D801" s="23" t="inlineStr">
        <is>
          <t>1.3.2 Systems - Signalling &amp; Train Control</t>
        </is>
      </c>
      <c r="E801" s="23" t="inlineStr">
        <is>
          <t>Carried forward</t>
        </is>
      </c>
      <c r="F801" s="23" t="inlineStr"/>
      <c r="G801" s="23" t="inlineStr">
        <is>
          <t>Source assignment -- not individually reviewed</t>
        </is>
      </c>
      <c r="H801" s="14" t="inlineStr">
        <is>
          <t>10 EVIDENCE &amp; DECISIONS</t>
        </is>
      </c>
    </row>
    <row r="802" ht="34" customHeight="1">
      <c r="A802" s="23" t="inlineStr">
        <is>
          <t>R465-v2</t>
        </is>
      </c>
      <c r="B802" s="23" t="inlineStr">
        <is>
          <t>Contractor Programme</t>
        </is>
      </c>
      <c r="C802" s="23" t="inlineStr">
        <is>
          <t>SCH-03-105</t>
        </is>
      </c>
      <c r="D802" s="23" t="inlineStr">
        <is>
          <t>1.3.2 Systems - Signalling &amp; Train Control</t>
        </is>
      </c>
      <c r="E802" s="23" t="inlineStr">
        <is>
          <t>Carried forward</t>
        </is>
      </c>
      <c r="F802" s="23" t="inlineStr"/>
      <c r="G802" s="23" t="inlineStr">
        <is>
          <t>Source assignment -- not individually reviewed</t>
        </is>
      </c>
      <c r="H802" s="14" t="inlineStr">
        <is>
          <t>10 EVIDENCE &amp; DECISIONS</t>
        </is>
      </c>
    </row>
    <row r="803" ht="34" customHeight="1">
      <c r="A803" s="23" t="inlineStr">
        <is>
          <t>R468-v2</t>
        </is>
      </c>
      <c r="B803" s="23" t="inlineStr">
        <is>
          <t>Contractor Programme</t>
        </is>
      </c>
      <c r="C803" s="23" t="inlineStr">
        <is>
          <t>SCH-03-108</t>
        </is>
      </c>
      <c r="D803" s="23" t="inlineStr">
        <is>
          <t>1.3.2 Systems - Signalling &amp; Train Control</t>
        </is>
      </c>
      <c r="E803" s="23" t="inlineStr">
        <is>
          <t>Carried forward</t>
        </is>
      </c>
      <c r="F803" s="23" t="inlineStr"/>
      <c r="G803" s="23" t="inlineStr">
        <is>
          <t>Source assignment -- not individually reviewed</t>
        </is>
      </c>
      <c r="H803" s="14" t="inlineStr">
        <is>
          <t>10 EVIDENCE &amp; DECISIONS</t>
        </is>
      </c>
    </row>
    <row r="804" ht="34" customHeight="1">
      <c r="A804" s="23" t="inlineStr">
        <is>
          <t>R471-v2</t>
        </is>
      </c>
      <c r="B804" s="23" t="inlineStr">
        <is>
          <t>Contractor Programme</t>
        </is>
      </c>
      <c r="C804" s="23" t="inlineStr">
        <is>
          <t>SCH-03-111</t>
        </is>
      </c>
      <c r="D804" s="23" t="inlineStr">
        <is>
          <t>1.3.2 Systems - Signalling &amp; Train Control</t>
        </is>
      </c>
      <c r="E804" s="23" t="inlineStr">
        <is>
          <t>Carried forward</t>
        </is>
      </c>
      <c r="F804" s="23" t="inlineStr"/>
      <c r="G804" s="23" t="inlineStr">
        <is>
          <t>Source assignment -- not individually reviewed</t>
        </is>
      </c>
      <c r="H804" s="14" t="inlineStr">
        <is>
          <t>10 EVIDENCE &amp; DECISIONS</t>
        </is>
      </c>
    </row>
    <row r="805" ht="34" customHeight="1">
      <c r="A805" s="23" t="inlineStr">
        <is>
          <t>R474-v2</t>
        </is>
      </c>
      <c r="B805" s="23" t="inlineStr">
        <is>
          <t>Contractor Programme</t>
        </is>
      </c>
      <c r="C805" s="23" t="inlineStr">
        <is>
          <t>SCH-03-114</t>
        </is>
      </c>
      <c r="D805" s="23" t="inlineStr">
        <is>
          <t>1.3.2 Systems - Signalling &amp; Train Control</t>
        </is>
      </c>
      <c r="E805" s="23" t="inlineStr">
        <is>
          <t>Carried forward</t>
        </is>
      </c>
      <c r="F805" s="23" t="inlineStr"/>
      <c r="G805" s="23" t="inlineStr">
        <is>
          <t>Source assignment -- not individually reviewed</t>
        </is>
      </c>
      <c r="H805" s="14" t="inlineStr">
        <is>
          <t>10 EVIDENCE &amp; DECISIONS</t>
        </is>
      </c>
    </row>
    <row r="806" ht="34" customHeight="1">
      <c r="A806" s="23" t="inlineStr">
        <is>
          <t>R477-v2</t>
        </is>
      </c>
      <c r="B806" s="23" t="inlineStr">
        <is>
          <t>Contractor Programme</t>
        </is>
      </c>
      <c r="C806" s="23" t="inlineStr">
        <is>
          <t>SCH-03-117</t>
        </is>
      </c>
      <c r="D806" s="23" t="inlineStr">
        <is>
          <t>1.3.2 Systems - Signalling &amp; Train Control</t>
        </is>
      </c>
      <c r="E806" s="23" t="inlineStr">
        <is>
          <t>Carried forward</t>
        </is>
      </c>
      <c r="F806" s="23" t="inlineStr"/>
      <c r="G806" s="23" t="inlineStr">
        <is>
          <t>Source assignment -- not individually reviewed</t>
        </is>
      </c>
      <c r="H806" s="14" t="inlineStr">
        <is>
          <t>10 EVIDENCE &amp; DECISIONS</t>
        </is>
      </c>
    </row>
    <row r="807" ht="34" customHeight="1">
      <c r="A807" s="23" t="inlineStr">
        <is>
          <t>R480-v2</t>
        </is>
      </c>
      <c r="B807" s="23" t="inlineStr">
        <is>
          <t>Contractor Programme</t>
        </is>
      </c>
      <c r="C807" s="23" t="inlineStr">
        <is>
          <t>SCH-03-120</t>
        </is>
      </c>
      <c r="D807" s="23" t="inlineStr">
        <is>
          <t>1.3.2 Systems - Signalling &amp; Train Control</t>
        </is>
      </c>
      <c r="E807" s="23" t="inlineStr">
        <is>
          <t>Carried forward</t>
        </is>
      </c>
      <c r="F807" s="23" t="inlineStr"/>
      <c r="G807" s="23" t="inlineStr">
        <is>
          <t>Source assignment -- not individually reviewed</t>
        </is>
      </c>
      <c r="H807" s="14" t="inlineStr">
        <is>
          <t>10 EVIDENCE &amp; DECISIONS</t>
        </is>
      </c>
    </row>
    <row r="808" ht="34" customHeight="1">
      <c r="A808" s="23" t="inlineStr">
        <is>
          <t>R483-v2</t>
        </is>
      </c>
      <c r="B808" s="23" t="inlineStr">
        <is>
          <t>Contractor Programme</t>
        </is>
      </c>
      <c r="C808" s="23" t="inlineStr">
        <is>
          <t>SCH-03-123</t>
        </is>
      </c>
      <c r="D808" s="23" t="inlineStr">
        <is>
          <t>1.3.2 Systems - Signalling &amp; Train Control</t>
        </is>
      </c>
      <c r="E808" s="23" t="inlineStr">
        <is>
          <t>Carried forward</t>
        </is>
      </c>
      <c r="F808" s="23" t="inlineStr"/>
      <c r="G808" s="23" t="inlineStr">
        <is>
          <t>Source assignment -- not individually reviewed</t>
        </is>
      </c>
      <c r="H808" s="14" t="inlineStr">
        <is>
          <t>10 EVIDENCE &amp; DECISIONS</t>
        </is>
      </c>
    </row>
    <row r="809" ht="34" customHeight="1">
      <c r="A809" s="23" t="inlineStr">
        <is>
          <t>R486-v2</t>
        </is>
      </c>
      <c r="B809" s="23" t="inlineStr">
        <is>
          <t>Contractor Programme</t>
        </is>
      </c>
      <c r="C809" s="23" t="inlineStr">
        <is>
          <t>SCH-03-126</t>
        </is>
      </c>
      <c r="D809" s="23" t="inlineStr">
        <is>
          <t>1.3.2 Systems - Signalling &amp; Train Control</t>
        </is>
      </c>
      <c r="E809" s="23" t="inlineStr">
        <is>
          <t>Carried forward</t>
        </is>
      </c>
      <c r="F809" s="23" t="inlineStr"/>
      <c r="G809" s="23" t="inlineStr">
        <is>
          <t>Source assignment -- not individually reviewed</t>
        </is>
      </c>
      <c r="H809" s="14" t="inlineStr">
        <is>
          <t>10 EVIDENCE &amp; DECISIONS</t>
        </is>
      </c>
    </row>
    <row r="810" ht="34" customHeight="1">
      <c r="A810" s="23" t="inlineStr">
        <is>
          <t>R489-v2</t>
        </is>
      </c>
      <c r="B810" s="23" t="inlineStr">
        <is>
          <t>Contractor Programme</t>
        </is>
      </c>
      <c r="C810" s="23" t="inlineStr">
        <is>
          <t>SCH-03-129</t>
        </is>
      </c>
      <c r="D810" s="23" t="inlineStr">
        <is>
          <t>1.3.2 Systems - Signalling &amp; Train Control</t>
        </is>
      </c>
      <c r="E810" s="23" t="inlineStr">
        <is>
          <t>Carried forward</t>
        </is>
      </c>
      <c r="F810" s="23" t="inlineStr"/>
      <c r="G810" s="23" t="inlineStr">
        <is>
          <t>Source assignment -- not individually reviewed</t>
        </is>
      </c>
      <c r="H810" s="14" t="inlineStr">
        <is>
          <t>10 EVIDENCE &amp; DECISIONS</t>
        </is>
      </c>
    </row>
    <row r="811" ht="34" customHeight="1">
      <c r="A811" s="23" t="inlineStr">
        <is>
          <t>R492-v2</t>
        </is>
      </c>
      <c r="B811" s="23" t="inlineStr">
        <is>
          <t>Contractor Programme</t>
        </is>
      </c>
      <c r="C811" s="23" t="inlineStr">
        <is>
          <t>SCH-03-132</t>
        </is>
      </c>
      <c r="D811" s="23" t="inlineStr">
        <is>
          <t>1.3.2 Systems - Signalling &amp; Train Control</t>
        </is>
      </c>
      <c r="E811" s="23" t="inlineStr">
        <is>
          <t>Carried forward</t>
        </is>
      </c>
      <c r="F811" s="23" t="inlineStr"/>
      <c r="G811" s="23" t="inlineStr">
        <is>
          <t>Source assignment -- not individually reviewed</t>
        </is>
      </c>
      <c r="H811" s="14" t="inlineStr">
        <is>
          <t>10 EVIDENCE &amp; DECISIONS</t>
        </is>
      </c>
    </row>
    <row r="812" ht="34" customHeight="1">
      <c r="A812" s="23" t="inlineStr">
        <is>
          <t>R495-v2</t>
        </is>
      </c>
      <c r="B812" s="23" t="inlineStr">
        <is>
          <t>Contractor Programme</t>
        </is>
      </c>
      <c r="C812" s="23" t="inlineStr">
        <is>
          <t>SCH-03-135</t>
        </is>
      </c>
      <c r="D812" s="23" t="inlineStr">
        <is>
          <t>1.3.2 Systems - Signalling &amp; Train Control</t>
        </is>
      </c>
      <c r="E812" s="23" t="inlineStr">
        <is>
          <t>Carried forward</t>
        </is>
      </c>
      <c r="F812" s="23" t="inlineStr"/>
      <c r="G812" s="23" t="inlineStr">
        <is>
          <t>Source assignment -- not individually reviewed</t>
        </is>
      </c>
      <c r="H812" s="14" t="inlineStr">
        <is>
          <t>10 EVIDENCE &amp; DECISIONS</t>
        </is>
      </c>
    </row>
    <row r="813" ht="34" customHeight="1">
      <c r="A813" s="23" t="inlineStr">
        <is>
          <t>R498-v2</t>
        </is>
      </c>
      <c r="B813" s="23" t="inlineStr">
        <is>
          <t>Contractor Programme</t>
        </is>
      </c>
      <c r="C813" s="23" t="inlineStr">
        <is>
          <t>SCH-03-138</t>
        </is>
      </c>
      <c r="D813" s="23" t="inlineStr">
        <is>
          <t>1.3.2 Systems - Signalling &amp; Train Control</t>
        </is>
      </c>
      <c r="E813" s="23" t="inlineStr">
        <is>
          <t>Carried forward</t>
        </is>
      </c>
      <c r="F813" s="23" t="inlineStr"/>
      <c r="G813" s="23" t="inlineStr">
        <is>
          <t>Source assignment -- not individually reviewed</t>
        </is>
      </c>
      <c r="H813" s="14" t="inlineStr">
        <is>
          <t>10 EVIDENCE &amp; DECISIONS</t>
        </is>
      </c>
    </row>
    <row r="814" ht="34" customHeight="1">
      <c r="A814" s="23" t="inlineStr">
        <is>
          <t>R501-v2</t>
        </is>
      </c>
      <c r="B814" s="23" t="inlineStr">
        <is>
          <t>Contractor Programme</t>
        </is>
      </c>
      <c r="C814" s="23" t="inlineStr">
        <is>
          <t>SCH-03-141</t>
        </is>
      </c>
      <c r="D814" s="23" t="inlineStr">
        <is>
          <t>1.3.2 Systems - Signalling &amp; Train Control</t>
        </is>
      </c>
      <c r="E814" s="23" t="inlineStr">
        <is>
          <t>Carried forward</t>
        </is>
      </c>
      <c r="F814" s="23" t="inlineStr"/>
      <c r="G814" s="23" t="inlineStr">
        <is>
          <t>Source assignment -- not individually reviewed</t>
        </is>
      </c>
      <c r="H814" s="14" t="inlineStr">
        <is>
          <t>10 EVIDENCE &amp; DECISIONS</t>
        </is>
      </c>
    </row>
    <row r="815" ht="34" customHeight="1">
      <c r="A815" s="23" t="inlineStr">
        <is>
          <t>R504-v2</t>
        </is>
      </c>
      <c r="B815" s="23" t="inlineStr">
        <is>
          <t>Contractor Programme</t>
        </is>
      </c>
      <c r="C815" s="23" t="inlineStr">
        <is>
          <t>SCH-03-144</t>
        </is>
      </c>
      <c r="D815" s="23" t="inlineStr">
        <is>
          <t>1.3.2 Systems - Signalling &amp; Train Control</t>
        </is>
      </c>
      <c r="E815" s="23" t="inlineStr">
        <is>
          <t>Carried forward</t>
        </is>
      </c>
      <c r="F815" s="23" t="inlineStr"/>
      <c r="G815" s="23" t="inlineStr">
        <is>
          <t>Source assignment -- not individually reviewed</t>
        </is>
      </c>
      <c r="H815" s="14" t="inlineStr">
        <is>
          <t>10 EVIDENCE &amp; DECISIONS</t>
        </is>
      </c>
    </row>
    <row r="816" ht="34" customHeight="1">
      <c r="A816" s="23" t="inlineStr">
        <is>
          <t>R507-v2</t>
        </is>
      </c>
      <c r="B816" s="23" t="inlineStr">
        <is>
          <t>Contractor Programme</t>
        </is>
      </c>
      <c r="C816" s="23" t="inlineStr">
        <is>
          <t>SCH-03-147</t>
        </is>
      </c>
      <c r="D816" s="23" t="inlineStr">
        <is>
          <t>1.3.2 Systems - Signalling &amp; Train Control</t>
        </is>
      </c>
      <c r="E816" s="23" t="inlineStr">
        <is>
          <t>Carried forward</t>
        </is>
      </c>
      <c r="F816" s="23" t="inlineStr"/>
      <c r="G816" s="23" t="inlineStr">
        <is>
          <t>Source assignment -- not individually reviewed</t>
        </is>
      </c>
      <c r="H816" s="14" t="inlineStr">
        <is>
          <t>10 EVIDENCE &amp; DECISIONS</t>
        </is>
      </c>
    </row>
    <row r="817" ht="34" customHeight="1">
      <c r="A817" s="23" t="inlineStr">
        <is>
          <t>R510-v2</t>
        </is>
      </c>
      <c r="B817" s="23" t="inlineStr">
        <is>
          <t>Contractor Programme</t>
        </is>
      </c>
      <c r="C817" s="23" t="inlineStr">
        <is>
          <t>SCH-03-150</t>
        </is>
      </c>
      <c r="D817" s="23" t="inlineStr">
        <is>
          <t>1.3.2 Systems - Signalling &amp; Train Control</t>
        </is>
      </c>
      <c r="E817" s="23" t="inlineStr">
        <is>
          <t>Carried forward</t>
        </is>
      </c>
      <c r="F817" s="23" t="inlineStr"/>
      <c r="G817" s="23" t="inlineStr">
        <is>
          <t>Source assignment -- not individually reviewed</t>
        </is>
      </c>
      <c r="H817" s="14" t="inlineStr">
        <is>
          <t>10 EVIDENCE &amp; DECISIONS</t>
        </is>
      </c>
    </row>
    <row r="818" ht="34" customHeight="1">
      <c r="A818" s="23" t="inlineStr">
        <is>
          <t>R513-v2</t>
        </is>
      </c>
      <c r="B818" s="23" t="inlineStr">
        <is>
          <t>Contractor Programme</t>
        </is>
      </c>
      <c r="C818" s="23" t="inlineStr">
        <is>
          <t>SCH-03-153</t>
        </is>
      </c>
      <c r="D818" s="23" t="inlineStr">
        <is>
          <t>1.3.2 Systems - Signalling &amp; Train Control</t>
        </is>
      </c>
      <c r="E818" s="23" t="inlineStr">
        <is>
          <t>Carried forward</t>
        </is>
      </c>
      <c r="F818" s="23" t="inlineStr"/>
      <c r="G818" s="23" t="inlineStr">
        <is>
          <t>Source assignment -- not individually reviewed</t>
        </is>
      </c>
      <c r="H818" s="14" t="inlineStr">
        <is>
          <t>10 EVIDENCE &amp; DECISIONS</t>
        </is>
      </c>
    </row>
    <row r="819" ht="34" customHeight="1">
      <c r="A819" s="23" t="inlineStr">
        <is>
          <t>R516-v2</t>
        </is>
      </c>
      <c r="B819" s="23" t="inlineStr">
        <is>
          <t>Contractor Programme</t>
        </is>
      </c>
      <c r="C819" s="23" t="inlineStr">
        <is>
          <t>SCH-03-156</t>
        </is>
      </c>
      <c r="D819" s="23" t="inlineStr">
        <is>
          <t>1.3.2 Systems - Signalling &amp; Train Control</t>
        </is>
      </c>
      <c r="E819" s="23" t="inlineStr">
        <is>
          <t>Carried forward</t>
        </is>
      </c>
      <c r="F819" s="23" t="inlineStr"/>
      <c r="G819" s="23" t="inlineStr">
        <is>
          <t>Source assignment -- not individually reviewed</t>
        </is>
      </c>
      <c r="H819" s="14" t="inlineStr">
        <is>
          <t>10 EVIDENCE &amp; DECISIONS</t>
        </is>
      </c>
    </row>
    <row r="820" ht="34" customHeight="1">
      <c r="A820" s="23" t="inlineStr">
        <is>
          <t>R519-v2</t>
        </is>
      </c>
      <c r="B820" s="23" t="inlineStr">
        <is>
          <t>Contractor Programme</t>
        </is>
      </c>
      <c r="C820" s="23" t="inlineStr">
        <is>
          <t>SCH-03-159</t>
        </is>
      </c>
      <c r="D820" s="23" t="inlineStr">
        <is>
          <t>1.3.2 Systems - Signalling &amp; Train Control</t>
        </is>
      </c>
      <c r="E820" s="23" t="inlineStr">
        <is>
          <t>Carried forward</t>
        </is>
      </c>
      <c r="F820" s="23" t="inlineStr"/>
      <c r="G820" s="23" t="inlineStr">
        <is>
          <t>Source assignment -- not individually reviewed</t>
        </is>
      </c>
      <c r="H820" s="14" t="inlineStr">
        <is>
          <t>10 EVIDENCE &amp; DECISIONS</t>
        </is>
      </c>
    </row>
    <row r="821" ht="34" customHeight="1">
      <c r="A821" s="23" t="inlineStr">
        <is>
          <t>R522-v2</t>
        </is>
      </c>
      <c r="B821" s="23" t="inlineStr">
        <is>
          <t>Contractor Programme</t>
        </is>
      </c>
      <c r="C821" s="23" t="inlineStr">
        <is>
          <t>SCH-03-162</t>
        </is>
      </c>
      <c r="D821" s="23" t="inlineStr">
        <is>
          <t>1.3.2 Systems - Signalling &amp; Train Control</t>
        </is>
      </c>
      <c r="E821" s="23" t="inlineStr">
        <is>
          <t>Carried forward</t>
        </is>
      </c>
      <c r="F821" s="23" t="inlineStr"/>
      <c r="G821" s="23" t="inlineStr">
        <is>
          <t>Source assignment -- not individually reviewed</t>
        </is>
      </c>
      <c r="H821" s="14" t="inlineStr">
        <is>
          <t>10 EVIDENCE &amp; DECISIONS</t>
        </is>
      </c>
    </row>
    <row r="822" ht="34" customHeight="1">
      <c r="A822" s="23" t="inlineStr">
        <is>
          <t>R525-v2</t>
        </is>
      </c>
      <c r="B822" s="23" t="inlineStr">
        <is>
          <t>Contractor Programme</t>
        </is>
      </c>
      <c r="C822" s="23" t="inlineStr">
        <is>
          <t>SCH-03-165</t>
        </is>
      </c>
      <c r="D822" s="23" t="inlineStr">
        <is>
          <t>1.3.2 Systems - Signalling &amp; Train Control</t>
        </is>
      </c>
      <c r="E822" s="23" t="inlineStr">
        <is>
          <t>Carried forward</t>
        </is>
      </c>
      <c r="F822" s="23" t="inlineStr"/>
      <c r="G822" s="23" t="inlineStr">
        <is>
          <t>Source assignment -- not individually reviewed</t>
        </is>
      </c>
      <c r="H822" s="14" t="inlineStr">
        <is>
          <t>10 EVIDENCE &amp; DECISIONS</t>
        </is>
      </c>
    </row>
    <row r="823" ht="34" customHeight="1">
      <c r="A823" s="23" t="inlineStr">
        <is>
          <t>R528-v2</t>
        </is>
      </c>
      <c r="B823" s="23" t="inlineStr">
        <is>
          <t>Contractor Programme</t>
        </is>
      </c>
      <c r="C823" s="23" t="inlineStr">
        <is>
          <t>SCH-03-168</t>
        </is>
      </c>
      <c r="D823" s="23" t="inlineStr">
        <is>
          <t>1.3.2 Systems - Signalling &amp; Train Control</t>
        </is>
      </c>
      <c r="E823" s="23" t="inlineStr">
        <is>
          <t>Carried forward</t>
        </is>
      </c>
      <c r="F823" s="23" t="inlineStr"/>
      <c r="G823" s="23" t="inlineStr">
        <is>
          <t>Source assignment -- not individually reviewed</t>
        </is>
      </c>
      <c r="H823" s="14" t="inlineStr">
        <is>
          <t>10 EVIDENCE &amp; DECISIONS</t>
        </is>
      </c>
    </row>
    <row r="824" ht="34" customHeight="1">
      <c r="A824" s="23" t="inlineStr">
        <is>
          <t>R531-v2</t>
        </is>
      </c>
      <c r="B824" s="23" t="inlineStr">
        <is>
          <t>Contractor Programme</t>
        </is>
      </c>
      <c r="C824" s="23" t="inlineStr">
        <is>
          <t>SCH-03-171</t>
        </is>
      </c>
      <c r="D824" s="23" t="inlineStr">
        <is>
          <t>1.3.2 Systems - Signalling &amp; Train Control</t>
        </is>
      </c>
      <c r="E824" s="23" t="inlineStr">
        <is>
          <t>Carried forward</t>
        </is>
      </c>
      <c r="F824" s="23" t="inlineStr"/>
      <c r="G824" s="23" t="inlineStr">
        <is>
          <t>Source assignment -- not individually reviewed</t>
        </is>
      </c>
      <c r="H824" s="14" t="inlineStr">
        <is>
          <t>10 EVIDENCE &amp; DECISIONS</t>
        </is>
      </c>
    </row>
    <row r="825" ht="34" customHeight="1">
      <c r="A825" s="23" t="inlineStr">
        <is>
          <t>R534-v2</t>
        </is>
      </c>
      <c r="B825" s="23" t="inlineStr">
        <is>
          <t>Contractor Programme</t>
        </is>
      </c>
      <c r="C825" s="23" t="inlineStr">
        <is>
          <t>SCH-03-174</t>
        </is>
      </c>
      <c r="D825" s="23" t="inlineStr">
        <is>
          <t>1.3.2 Systems - Signalling &amp; Train Control</t>
        </is>
      </c>
      <c r="E825" s="23" t="inlineStr">
        <is>
          <t>Carried forward</t>
        </is>
      </c>
      <c r="F825" s="23" t="inlineStr"/>
      <c r="G825" s="23" t="inlineStr">
        <is>
          <t>Source assignment -- not individually reviewed</t>
        </is>
      </c>
      <c r="H825" s="14" t="inlineStr">
        <is>
          <t>10 EVIDENCE &amp; DECISIONS</t>
        </is>
      </c>
    </row>
    <row r="826" ht="34" customHeight="1">
      <c r="A826" s="23" t="inlineStr">
        <is>
          <t>R537-v2</t>
        </is>
      </c>
      <c r="B826" s="23" t="inlineStr">
        <is>
          <t>Contractor Programme</t>
        </is>
      </c>
      <c r="C826" s="23" t="inlineStr">
        <is>
          <t>SCH-03-177</t>
        </is>
      </c>
      <c r="D826" s="23" t="inlineStr">
        <is>
          <t>1.3.2 Systems - Signalling &amp; Train Control</t>
        </is>
      </c>
      <c r="E826" s="23" t="inlineStr">
        <is>
          <t>Carried forward</t>
        </is>
      </c>
      <c r="F826" s="23" t="inlineStr"/>
      <c r="G826" s="23" t="inlineStr">
        <is>
          <t>Source assignment -- not individually reviewed</t>
        </is>
      </c>
      <c r="H826" s="14" t="inlineStr">
        <is>
          <t>10 EVIDENCE &amp; DECISIONS</t>
        </is>
      </c>
    </row>
    <row r="827" ht="34" customHeight="1">
      <c r="A827" s="23" t="inlineStr">
        <is>
          <t>R540-v2</t>
        </is>
      </c>
      <c r="B827" s="23" t="inlineStr">
        <is>
          <t>Contractor Programme</t>
        </is>
      </c>
      <c r="C827" s="23" t="inlineStr">
        <is>
          <t>SCH-03-180</t>
        </is>
      </c>
      <c r="D827" s="23" t="inlineStr">
        <is>
          <t>1.3.2 Systems - Signalling &amp; Train Control</t>
        </is>
      </c>
      <c r="E827" s="23" t="inlineStr">
        <is>
          <t>Carried forward</t>
        </is>
      </c>
      <c r="F827" s="23" t="inlineStr"/>
      <c r="G827" s="23" t="inlineStr">
        <is>
          <t>Source assignment -- not individually reviewed</t>
        </is>
      </c>
      <c r="H827" s="14" t="inlineStr">
        <is>
          <t>10 EVIDENCE &amp; DECISIONS</t>
        </is>
      </c>
    </row>
    <row r="828" ht="34" customHeight="1">
      <c r="A828" s="23" t="inlineStr">
        <is>
          <t>R1593-v2</t>
        </is>
      </c>
      <c r="B828" s="23" t="inlineStr">
        <is>
          <t>Commercial Package Register</t>
        </is>
      </c>
      <c r="C828" s="23" t="inlineStr">
        <is>
          <t>PKG-031</t>
        </is>
      </c>
      <c r="D828" s="23" t="inlineStr">
        <is>
          <t>1.4 Vehicles and Depot</t>
        </is>
      </c>
      <c r="E828" s="23" t="inlineStr">
        <is>
          <t>Carried forward</t>
        </is>
      </c>
      <c r="F828" s="23" t="inlineStr"/>
      <c r="G828" s="23" t="inlineStr">
        <is>
          <t>Source assignment -- not individually reviewed</t>
        </is>
      </c>
      <c r="H828" s="14" t="inlineStr">
        <is>
          <t>10 EVIDENCE &amp; DECISIONS</t>
        </is>
      </c>
    </row>
    <row r="829" ht="34" customHeight="1">
      <c r="A829" s="23" t="inlineStr">
        <is>
          <t>R1594-v2</t>
        </is>
      </c>
      <c r="B829" s="23" t="inlineStr">
        <is>
          <t>Commercial Package Register</t>
        </is>
      </c>
      <c r="C829" s="23" t="inlineStr">
        <is>
          <t>PKG-032</t>
        </is>
      </c>
      <c r="D829" s="23" t="inlineStr">
        <is>
          <t>1.4 Vehicles and Depot</t>
        </is>
      </c>
      <c r="E829" s="23" t="inlineStr">
        <is>
          <t>Carried forward</t>
        </is>
      </c>
      <c r="F829" s="23" t="inlineStr"/>
      <c r="G829" s="23" t="inlineStr">
        <is>
          <t>Source assignment -- not individually reviewed</t>
        </is>
      </c>
      <c r="H829" s="14" t="inlineStr">
        <is>
          <t>10 EVIDENCE &amp; DECISIONS</t>
        </is>
      </c>
    </row>
    <row r="830" ht="34" customHeight="1">
      <c r="A830" s="23" t="inlineStr">
        <is>
          <t>R1595-v2</t>
        </is>
      </c>
      <c r="B830" s="23" t="inlineStr">
        <is>
          <t>Commercial Package Register</t>
        </is>
      </c>
      <c r="C830" s="23" t="inlineStr">
        <is>
          <t>PKG-033</t>
        </is>
      </c>
      <c r="D830" s="23" t="inlineStr">
        <is>
          <t>1.4 Vehicles and Depot</t>
        </is>
      </c>
      <c r="E830" s="23" t="inlineStr">
        <is>
          <t>Carried forward</t>
        </is>
      </c>
      <c r="F830" s="23" t="inlineStr"/>
      <c r="G830" s="23" t="inlineStr">
        <is>
          <t>Source assignment -- not individually reviewed</t>
        </is>
      </c>
      <c r="H830" s="14" t="inlineStr">
        <is>
          <t>10 EVIDENCE &amp; DECISIONS</t>
        </is>
      </c>
    </row>
    <row r="831" ht="34" customHeight="1">
      <c r="A831" s="23" t="inlineStr">
        <is>
          <t>R1596-v2</t>
        </is>
      </c>
      <c r="B831" s="23" t="inlineStr">
        <is>
          <t>Commercial Package Register</t>
        </is>
      </c>
      <c r="C831" s="23" t="inlineStr">
        <is>
          <t>PKG-034</t>
        </is>
      </c>
      <c r="D831" s="23" t="inlineStr">
        <is>
          <t>1.4 Vehicles and Depot</t>
        </is>
      </c>
      <c r="E831" s="23" t="inlineStr">
        <is>
          <t>Carried forward</t>
        </is>
      </c>
      <c r="F831" s="23" t="inlineStr"/>
      <c r="G831" s="23" t="inlineStr">
        <is>
          <t>Source assignment -- not individually reviewed</t>
        </is>
      </c>
      <c r="H831" s="14" t="inlineStr">
        <is>
          <t>10 EVIDENCE &amp; DECISIONS</t>
        </is>
      </c>
    </row>
    <row r="832" ht="34" customHeight="1">
      <c r="A832" s="23" t="inlineStr">
        <is>
          <t>R1597-v2</t>
        </is>
      </c>
      <c r="B832" s="23" t="inlineStr">
        <is>
          <t>Commercial Package Register</t>
        </is>
      </c>
      <c r="C832" s="23" t="inlineStr">
        <is>
          <t>PKG-035</t>
        </is>
      </c>
      <c r="D832" s="23" t="inlineStr">
        <is>
          <t>1.4 Vehicles and Depot</t>
        </is>
      </c>
      <c r="E832" s="23" t="inlineStr">
        <is>
          <t>Carried forward</t>
        </is>
      </c>
      <c r="F832" s="23" t="inlineStr"/>
      <c r="G832" s="23" t="inlineStr">
        <is>
          <t>Source assignment -- not individually reviewed</t>
        </is>
      </c>
      <c r="H832" s="14" t="inlineStr">
        <is>
          <t>10 EVIDENCE &amp; DECISIONS</t>
        </is>
      </c>
    </row>
    <row r="833" ht="34" customHeight="1">
      <c r="A833" s="23" t="inlineStr">
        <is>
          <t>R1598-v2</t>
        </is>
      </c>
      <c r="B833" s="23" t="inlineStr">
        <is>
          <t>Commercial Package Register</t>
        </is>
      </c>
      <c r="C833" s="23" t="inlineStr">
        <is>
          <t>PKG-036</t>
        </is>
      </c>
      <c r="D833" s="23" t="inlineStr">
        <is>
          <t>1.4 Vehicles and Depot</t>
        </is>
      </c>
      <c r="E833" s="23" t="inlineStr">
        <is>
          <t>Carried forward</t>
        </is>
      </c>
      <c r="F833" s="23" t="inlineStr"/>
      <c r="G833" s="23" t="inlineStr">
        <is>
          <t>Source assignment -- not individually reviewed</t>
        </is>
      </c>
      <c r="H833" s="14" t="inlineStr">
        <is>
          <t>10 EVIDENCE &amp; DECISIONS</t>
        </is>
      </c>
    </row>
    <row r="834" ht="34" customHeight="1">
      <c r="A834" s="23" t="inlineStr">
        <is>
          <t>R1599-v2</t>
        </is>
      </c>
      <c r="B834" s="23" t="inlineStr">
        <is>
          <t>Commercial Package Register</t>
        </is>
      </c>
      <c r="C834" s="23" t="inlineStr">
        <is>
          <t>PKG-037</t>
        </is>
      </c>
      <c r="D834" s="23" t="inlineStr">
        <is>
          <t>1.4 Vehicles and Depot</t>
        </is>
      </c>
      <c r="E834" s="23" t="inlineStr">
        <is>
          <t>Carried forward</t>
        </is>
      </c>
      <c r="F834" s="23" t="inlineStr"/>
      <c r="G834" s="23" t="inlineStr">
        <is>
          <t>Source assignment -- not individually reviewed</t>
        </is>
      </c>
      <c r="H834" s="14" t="inlineStr">
        <is>
          <t>10 EVIDENCE &amp; DECISIONS</t>
        </is>
      </c>
    </row>
    <row r="835" ht="34" customHeight="1">
      <c r="A835" s="23" t="inlineStr">
        <is>
          <t>R1600-v2</t>
        </is>
      </c>
      <c r="B835" s="23" t="inlineStr">
        <is>
          <t>Commercial Package Register</t>
        </is>
      </c>
      <c r="C835" s="23" t="inlineStr">
        <is>
          <t>PKG-038</t>
        </is>
      </c>
      <c r="D835" s="23" t="inlineStr">
        <is>
          <t>1.4 Vehicles and Depot</t>
        </is>
      </c>
      <c r="E835" s="23" t="inlineStr">
        <is>
          <t>Carried forward</t>
        </is>
      </c>
      <c r="F835" s="23" t="inlineStr"/>
      <c r="G835" s="23" t="inlineStr">
        <is>
          <t>Source assignment -- not individually reviewed</t>
        </is>
      </c>
      <c r="H835" s="14" t="inlineStr">
        <is>
          <t>10 EVIDENCE &amp; DECISIONS</t>
        </is>
      </c>
    </row>
    <row r="836" ht="34" customHeight="1">
      <c r="A836" s="23" t="inlineStr">
        <is>
          <t>R1601-v2</t>
        </is>
      </c>
      <c r="B836" s="23" t="inlineStr">
        <is>
          <t>Commercial Package Register</t>
        </is>
      </c>
      <c r="C836" s="23" t="inlineStr">
        <is>
          <t>PKG-039</t>
        </is>
      </c>
      <c r="D836" s="23" t="inlineStr">
        <is>
          <t>1.4 Vehicles and Depot</t>
        </is>
      </c>
      <c r="E836" s="23" t="inlineStr">
        <is>
          <t>Carried forward</t>
        </is>
      </c>
      <c r="F836" s="23" t="inlineStr"/>
      <c r="G836" s="23" t="inlineStr">
        <is>
          <t>Source assignment -- not individually reviewed</t>
        </is>
      </c>
      <c r="H836" s="14" t="inlineStr">
        <is>
          <t>10 EVIDENCE &amp; DECISIONS</t>
        </is>
      </c>
    </row>
    <row r="837" ht="34" customHeight="1">
      <c r="A837" s="23" t="inlineStr">
        <is>
          <t>R1602-v2</t>
        </is>
      </c>
      <c r="B837" s="23" t="inlineStr">
        <is>
          <t>Commercial Package Register</t>
        </is>
      </c>
      <c r="C837" s="23" t="inlineStr">
        <is>
          <t>PKG-040</t>
        </is>
      </c>
      <c r="D837" s="23" t="inlineStr">
        <is>
          <t>1.4 Vehicles and Depot</t>
        </is>
      </c>
      <c r="E837" s="23" t="inlineStr">
        <is>
          <t>Carried forward</t>
        </is>
      </c>
      <c r="F837" s="23" t="inlineStr"/>
      <c r="G837" s="23" t="inlineStr">
        <is>
          <t>Source assignment -- not individually reviewed</t>
        </is>
      </c>
      <c r="H837" s="14" t="inlineStr">
        <is>
          <t>10 EVIDENCE &amp; DECISIONS</t>
        </is>
      </c>
    </row>
    <row r="838" ht="34" customHeight="1">
      <c r="A838" s="23" t="inlineStr">
        <is>
          <t>R1323-v2</t>
        </is>
      </c>
      <c r="B838" s="23" t="inlineStr">
        <is>
          <t>Cost &amp; Forecast Control Accounts</t>
        </is>
      </c>
      <c r="C838" s="23" t="inlineStr">
        <is>
          <t>CST-04-001</t>
        </is>
      </c>
      <c r="D838" s="23" t="inlineStr">
        <is>
          <t>1.4.1 Vehicles and Depot - Fleet Supply</t>
        </is>
      </c>
      <c r="E838" s="23" t="inlineStr">
        <is>
          <t>Carried forward</t>
        </is>
      </c>
      <c r="F838" s="23" t="inlineStr"/>
      <c r="G838" s="23" t="inlineStr">
        <is>
          <t>Source assignment -- not individually reviewed</t>
        </is>
      </c>
      <c r="H838" s="14" t="inlineStr">
        <is>
          <t>10 EVIDENCE &amp; DECISIONS</t>
        </is>
      </c>
    </row>
    <row r="839" ht="34" customHeight="1">
      <c r="A839" s="23" t="inlineStr">
        <is>
          <t>R1325-v2</t>
        </is>
      </c>
      <c r="B839" s="23" t="inlineStr">
        <is>
          <t>Cost &amp; Forecast Control Accounts</t>
        </is>
      </c>
      <c r="C839" s="23" t="inlineStr">
        <is>
          <t>CST-04-003</t>
        </is>
      </c>
      <c r="D839" s="23" t="inlineStr">
        <is>
          <t>1.4.1 Vehicles and Depot - Fleet Supply</t>
        </is>
      </c>
      <c r="E839" s="23" t="inlineStr">
        <is>
          <t>Carried forward</t>
        </is>
      </c>
      <c r="F839" s="23" t="inlineStr"/>
      <c r="G839" s="23" t="inlineStr">
        <is>
          <t>Source assignment -- not individually reviewed</t>
        </is>
      </c>
      <c r="H839" s="14" t="inlineStr">
        <is>
          <t>10 EVIDENCE &amp; DECISIONS</t>
        </is>
      </c>
    </row>
    <row r="840" ht="34" customHeight="1">
      <c r="A840" s="23" t="inlineStr">
        <is>
          <t>R1327-v2</t>
        </is>
      </c>
      <c r="B840" s="23" t="inlineStr">
        <is>
          <t>Cost &amp; Forecast Control Accounts</t>
        </is>
      </c>
      <c r="C840" s="23" t="inlineStr">
        <is>
          <t>CST-04-005</t>
        </is>
      </c>
      <c r="D840" s="23" t="inlineStr">
        <is>
          <t>1.4.1 Vehicles and Depot - Fleet Supply</t>
        </is>
      </c>
      <c r="E840" s="23" t="inlineStr">
        <is>
          <t>Carried forward</t>
        </is>
      </c>
      <c r="F840" s="23" t="inlineStr"/>
      <c r="G840" s="23" t="inlineStr">
        <is>
          <t>Source assignment -- not individually reviewed</t>
        </is>
      </c>
      <c r="H840" s="14" t="inlineStr">
        <is>
          <t>10 EVIDENCE &amp; DECISIONS</t>
        </is>
      </c>
    </row>
    <row r="841" ht="34" customHeight="1">
      <c r="A841" s="23" t="inlineStr">
        <is>
          <t>R1329-v2</t>
        </is>
      </c>
      <c r="B841" s="23" t="inlineStr">
        <is>
          <t>Cost &amp; Forecast Control Accounts</t>
        </is>
      </c>
      <c r="C841" s="23" t="inlineStr">
        <is>
          <t>CST-04-007</t>
        </is>
      </c>
      <c r="D841" s="23" t="inlineStr">
        <is>
          <t>1.4.1 Vehicles and Depot - Fleet Supply</t>
        </is>
      </c>
      <c r="E841" s="23" t="inlineStr">
        <is>
          <t>Carried forward</t>
        </is>
      </c>
      <c r="F841" s="23" t="inlineStr"/>
      <c r="G841" s="23" t="inlineStr">
        <is>
          <t>Source assignment -- not individually reviewed</t>
        </is>
      </c>
      <c r="H841" s="14" t="inlineStr">
        <is>
          <t>10 EVIDENCE &amp; DECISIONS</t>
        </is>
      </c>
    </row>
    <row r="842" ht="34" customHeight="1">
      <c r="A842" s="23" t="inlineStr">
        <is>
          <t>R1331-v2</t>
        </is>
      </c>
      <c r="B842" s="23" t="inlineStr">
        <is>
          <t>Cost &amp; Forecast Control Accounts</t>
        </is>
      </c>
      <c r="C842" s="23" t="inlineStr">
        <is>
          <t>CST-04-009</t>
        </is>
      </c>
      <c r="D842" s="23" t="inlineStr">
        <is>
          <t>1.4.1 Vehicles and Depot - Fleet Supply</t>
        </is>
      </c>
      <c r="E842" s="23" t="inlineStr">
        <is>
          <t>Carried forward</t>
        </is>
      </c>
      <c r="F842" s="23" t="inlineStr"/>
      <c r="G842" s="23" t="inlineStr">
        <is>
          <t>Source assignment -- not individually reviewed</t>
        </is>
      </c>
      <c r="H842" s="14" t="inlineStr">
        <is>
          <t>10 EVIDENCE &amp; DECISIONS</t>
        </is>
      </c>
    </row>
    <row r="843" ht="34" customHeight="1">
      <c r="A843" s="23" t="inlineStr">
        <is>
          <t>R1333-v2</t>
        </is>
      </c>
      <c r="B843" s="23" t="inlineStr">
        <is>
          <t>Cost &amp; Forecast Control Accounts</t>
        </is>
      </c>
      <c r="C843" s="23" t="inlineStr">
        <is>
          <t>CST-04-011</t>
        </is>
      </c>
      <c r="D843" s="23" t="inlineStr">
        <is>
          <t>1.4.1 Vehicles and Depot - Fleet Supply</t>
        </is>
      </c>
      <c r="E843" s="23" t="inlineStr">
        <is>
          <t>Carried forward</t>
        </is>
      </c>
      <c r="F843" s="23" t="inlineStr"/>
      <c r="G843" s="23" t="inlineStr">
        <is>
          <t>Source assignment -- not individually reviewed</t>
        </is>
      </c>
      <c r="H843" s="14" t="inlineStr">
        <is>
          <t>10 EVIDENCE &amp; DECISIONS</t>
        </is>
      </c>
    </row>
    <row r="844" ht="34" customHeight="1">
      <c r="A844" s="23" t="inlineStr">
        <is>
          <t>R1335-v2</t>
        </is>
      </c>
      <c r="B844" s="23" t="inlineStr">
        <is>
          <t>Cost &amp; Forecast Control Accounts</t>
        </is>
      </c>
      <c r="C844" s="23" t="inlineStr">
        <is>
          <t>CST-04-013</t>
        </is>
      </c>
      <c r="D844" s="23" t="inlineStr">
        <is>
          <t>1.4.1 Vehicles and Depot - Fleet Supply</t>
        </is>
      </c>
      <c r="E844" s="23" t="inlineStr">
        <is>
          <t>Carried forward</t>
        </is>
      </c>
      <c r="F844" s="23" t="inlineStr"/>
      <c r="G844" s="23" t="inlineStr">
        <is>
          <t>Source assignment -- not individually reviewed</t>
        </is>
      </c>
      <c r="H844" s="14" t="inlineStr">
        <is>
          <t>10 EVIDENCE &amp; DECISIONS</t>
        </is>
      </c>
    </row>
    <row r="845" ht="34" customHeight="1">
      <c r="A845" s="23" t="inlineStr">
        <is>
          <t>R1337-v2</t>
        </is>
      </c>
      <c r="B845" s="23" t="inlineStr">
        <is>
          <t>Cost &amp; Forecast Control Accounts</t>
        </is>
      </c>
      <c r="C845" s="23" t="inlineStr">
        <is>
          <t>CST-04-015</t>
        </is>
      </c>
      <c r="D845" s="23" t="inlineStr">
        <is>
          <t>1.4.1 Vehicles and Depot - Fleet Supply</t>
        </is>
      </c>
      <c r="E845" s="23" t="inlineStr">
        <is>
          <t>Carried forward</t>
        </is>
      </c>
      <c r="F845" s="23" t="inlineStr"/>
      <c r="G845" s="23" t="inlineStr">
        <is>
          <t>Source assignment -- not individually reviewed</t>
        </is>
      </c>
      <c r="H845" s="14" t="inlineStr">
        <is>
          <t>10 EVIDENCE &amp; DECISIONS</t>
        </is>
      </c>
    </row>
    <row r="846" ht="34" customHeight="1">
      <c r="A846" s="23" t="inlineStr">
        <is>
          <t>R1339-v2</t>
        </is>
      </c>
      <c r="B846" s="23" t="inlineStr">
        <is>
          <t>Cost &amp; Forecast Control Accounts</t>
        </is>
      </c>
      <c r="C846" s="23" t="inlineStr">
        <is>
          <t>CST-04-017</t>
        </is>
      </c>
      <c r="D846" s="23" t="inlineStr">
        <is>
          <t>1.4.1 Vehicles and Depot - Fleet Supply</t>
        </is>
      </c>
      <c r="E846" s="23" t="inlineStr">
        <is>
          <t>Carried forward</t>
        </is>
      </c>
      <c r="F846" s="23" t="inlineStr"/>
      <c r="G846" s="23" t="inlineStr">
        <is>
          <t>Source assignment -- not individually reviewed</t>
        </is>
      </c>
      <c r="H846" s="14" t="inlineStr">
        <is>
          <t>10 EVIDENCE &amp; DECISIONS</t>
        </is>
      </c>
    </row>
    <row r="847" ht="34" customHeight="1">
      <c r="A847" s="23" t="inlineStr">
        <is>
          <t>R1341-v2</t>
        </is>
      </c>
      <c r="B847" s="23" t="inlineStr">
        <is>
          <t>Cost &amp; Forecast Control Accounts</t>
        </is>
      </c>
      <c r="C847" s="23" t="inlineStr">
        <is>
          <t>CST-04-019</t>
        </is>
      </c>
      <c r="D847" s="23" t="inlineStr">
        <is>
          <t>1.4.1 Vehicles and Depot - Fleet Supply</t>
        </is>
      </c>
      <c r="E847" s="23" t="inlineStr">
        <is>
          <t>Carried forward</t>
        </is>
      </c>
      <c r="F847" s="23" t="inlineStr"/>
      <c r="G847" s="23" t="inlineStr">
        <is>
          <t>Source assignment -- not individually reviewed</t>
        </is>
      </c>
      <c r="H847" s="14" t="inlineStr">
        <is>
          <t>10 EVIDENCE &amp; DECISIONS</t>
        </is>
      </c>
    </row>
    <row r="848" ht="34" customHeight="1">
      <c r="A848" s="23" t="inlineStr">
        <is>
          <t>R1343-v2</t>
        </is>
      </c>
      <c r="B848" s="23" t="inlineStr">
        <is>
          <t>Cost &amp; Forecast Control Accounts</t>
        </is>
      </c>
      <c r="C848" s="23" t="inlineStr">
        <is>
          <t>CST-04-021</t>
        </is>
      </c>
      <c r="D848" s="23" t="inlineStr">
        <is>
          <t>1.4.1 Vehicles and Depot - Fleet Supply</t>
        </is>
      </c>
      <c r="E848" s="23" t="inlineStr">
        <is>
          <t>Carried forward</t>
        </is>
      </c>
      <c r="F848" s="23" t="inlineStr"/>
      <c r="G848" s="23" t="inlineStr">
        <is>
          <t>Source assignment -- not individually reviewed</t>
        </is>
      </c>
      <c r="H848" s="14" t="inlineStr">
        <is>
          <t>10 EVIDENCE &amp; DECISIONS</t>
        </is>
      </c>
    </row>
    <row r="849" ht="34" customHeight="1">
      <c r="A849" s="23" t="inlineStr">
        <is>
          <t>R1345-v2</t>
        </is>
      </c>
      <c r="B849" s="23" t="inlineStr">
        <is>
          <t>Cost &amp; Forecast Control Accounts</t>
        </is>
      </c>
      <c r="C849" s="23" t="inlineStr">
        <is>
          <t>CST-04-023</t>
        </is>
      </c>
      <c r="D849" s="23" t="inlineStr">
        <is>
          <t>1.4.1 Vehicles and Depot - Fleet Supply</t>
        </is>
      </c>
      <c r="E849" s="23" t="inlineStr">
        <is>
          <t>Carried forward</t>
        </is>
      </c>
      <c r="F849" s="23" t="inlineStr"/>
      <c r="G849" s="23" t="inlineStr">
        <is>
          <t>Source assignment -- not individually reviewed</t>
        </is>
      </c>
      <c r="H849" s="14" t="inlineStr">
        <is>
          <t>10 EVIDENCE &amp; DECISIONS</t>
        </is>
      </c>
    </row>
    <row r="850" ht="34" customHeight="1">
      <c r="A850" s="23" t="inlineStr">
        <is>
          <t>R1347-v2</t>
        </is>
      </c>
      <c r="B850" s="23" t="inlineStr">
        <is>
          <t>Cost &amp; Forecast Control Accounts</t>
        </is>
      </c>
      <c r="C850" s="23" t="inlineStr">
        <is>
          <t>CST-04-025</t>
        </is>
      </c>
      <c r="D850" s="23" t="inlineStr">
        <is>
          <t>1.4.1 Vehicles and Depot - Fleet Supply</t>
        </is>
      </c>
      <c r="E850" s="23" t="inlineStr">
        <is>
          <t>Carried forward</t>
        </is>
      </c>
      <c r="F850" s="23" t="inlineStr"/>
      <c r="G850" s="23" t="inlineStr">
        <is>
          <t>Source assignment -- not individually reviewed</t>
        </is>
      </c>
      <c r="H850" s="14" t="inlineStr">
        <is>
          <t>10 EVIDENCE &amp; DECISIONS</t>
        </is>
      </c>
    </row>
    <row r="851" ht="34" customHeight="1">
      <c r="A851" s="23" t="inlineStr">
        <is>
          <t>R1349-v2</t>
        </is>
      </c>
      <c r="B851" s="23" t="inlineStr">
        <is>
          <t>Cost &amp; Forecast Control Accounts</t>
        </is>
      </c>
      <c r="C851" s="23" t="inlineStr">
        <is>
          <t>CST-04-027</t>
        </is>
      </c>
      <c r="D851" s="23" t="inlineStr">
        <is>
          <t>1.4.1 Vehicles and Depot - Fleet Supply</t>
        </is>
      </c>
      <c r="E851" s="23" t="inlineStr">
        <is>
          <t>Carried forward</t>
        </is>
      </c>
      <c r="F851" s="23" t="inlineStr"/>
      <c r="G851" s="23" t="inlineStr">
        <is>
          <t>Source assignment -- not individually reviewed</t>
        </is>
      </c>
      <c r="H851" s="14" t="inlineStr">
        <is>
          <t>10 EVIDENCE &amp; DECISIONS</t>
        </is>
      </c>
    </row>
    <row r="852" ht="34" customHeight="1">
      <c r="A852" s="23" t="inlineStr">
        <is>
          <t>R1351-v2</t>
        </is>
      </c>
      <c r="B852" s="23" t="inlineStr">
        <is>
          <t>Cost &amp; Forecast Control Accounts</t>
        </is>
      </c>
      <c r="C852" s="23" t="inlineStr">
        <is>
          <t>CST-04-029</t>
        </is>
      </c>
      <c r="D852" s="23" t="inlineStr">
        <is>
          <t>1.4.1 Vehicles and Depot - Fleet Supply</t>
        </is>
      </c>
      <c r="E852" s="23" t="inlineStr">
        <is>
          <t>Carried forward</t>
        </is>
      </c>
      <c r="F852" s="23" t="inlineStr"/>
      <c r="G852" s="23" t="inlineStr">
        <is>
          <t>Source assignment -- not individually reviewed</t>
        </is>
      </c>
      <c r="H852" s="14" t="inlineStr">
        <is>
          <t>10 EVIDENCE &amp; DECISIONS</t>
        </is>
      </c>
    </row>
    <row r="853" ht="34" customHeight="1">
      <c r="A853" s="23" t="inlineStr">
        <is>
          <t>R1353-v2</t>
        </is>
      </c>
      <c r="B853" s="23" t="inlineStr">
        <is>
          <t>Cost &amp; Forecast Control Accounts</t>
        </is>
      </c>
      <c r="C853" s="23" t="inlineStr">
        <is>
          <t>CST-04-031</t>
        </is>
      </c>
      <c r="D853" s="23" t="inlineStr">
        <is>
          <t>1.4.1 Vehicles and Depot - Fleet Supply</t>
        </is>
      </c>
      <c r="E853" s="23" t="inlineStr">
        <is>
          <t>Carried forward</t>
        </is>
      </c>
      <c r="F853" s="23" t="inlineStr"/>
      <c r="G853" s="23" t="inlineStr">
        <is>
          <t>Source assignment -- not individually reviewed</t>
        </is>
      </c>
      <c r="H853" s="14" t="inlineStr">
        <is>
          <t>10 EVIDENCE &amp; DECISIONS</t>
        </is>
      </c>
    </row>
    <row r="854" ht="34" customHeight="1">
      <c r="A854" s="23" t="inlineStr">
        <is>
          <t>R1355-v2</t>
        </is>
      </c>
      <c r="B854" s="23" t="inlineStr">
        <is>
          <t>Cost &amp; Forecast Control Accounts</t>
        </is>
      </c>
      <c r="C854" s="23" t="inlineStr">
        <is>
          <t>CST-04-033</t>
        </is>
      </c>
      <c r="D854" s="23" t="inlineStr">
        <is>
          <t>1.4.1 Vehicles and Depot - Fleet Supply</t>
        </is>
      </c>
      <c r="E854" s="23" t="inlineStr">
        <is>
          <t>Carried forward</t>
        </is>
      </c>
      <c r="F854" s="23" t="inlineStr"/>
      <c r="G854" s="23" t="inlineStr">
        <is>
          <t>Source assignment -- not individually reviewed</t>
        </is>
      </c>
      <c r="H854" s="14" t="inlineStr">
        <is>
          <t>10 EVIDENCE &amp; DECISIONS</t>
        </is>
      </c>
    </row>
    <row r="855" ht="34" customHeight="1">
      <c r="A855" s="23" t="inlineStr">
        <is>
          <t>R1357-v2</t>
        </is>
      </c>
      <c r="B855" s="23" t="inlineStr">
        <is>
          <t>Cost &amp; Forecast Control Accounts</t>
        </is>
      </c>
      <c r="C855" s="23" t="inlineStr">
        <is>
          <t>CST-04-035</t>
        </is>
      </c>
      <c r="D855" s="23" t="inlineStr">
        <is>
          <t>1.4.1 Vehicles and Depot - Fleet Supply</t>
        </is>
      </c>
      <c r="E855" s="23" t="inlineStr">
        <is>
          <t>Carried forward</t>
        </is>
      </c>
      <c r="F855" s="23" t="inlineStr"/>
      <c r="G855" s="23" t="inlineStr">
        <is>
          <t>Source assignment -- not individually reviewed</t>
        </is>
      </c>
      <c r="H855" s="14" t="inlineStr">
        <is>
          <t>10 EVIDENCE &amp; DECISIONS</t>
        </is>
      </c>
    </row>
    <row r="856" ht="34" customHeight="1">
      <c r="A856" s="23" t="inlineStr">
        <is>
          <t>R1359-v2</t>
        </is>
      </c>
      <c r="B856" s="23" t="inlineStr">
        <is>
          <t>Cost &amp; Forecast Control Accounts</t>
        </is>
      </c>
      <c r="C856" s="23" t="inlineStr">
        <is>
          <t>CST-04-037</t>
        </is>
      </c>
      <c r="D856" s="23" t="inlineStr">
        <is>
          <t>1.4.1 Vehicles and Depot - Fleet Supply</t>
        </is>
      </c>
      <c r="E856" s="23" t="inlineStr">
        <is>
          <t>Carried forward</t>
        </is>
      </c>
      <c r="F856" s="23" t="inlineStr"/>
      <c r="G856" s="23" t="inlineStr">
        <is>
          <t>Source assignment -- not individually reviewed</t>
        </is>
      </c>
      <c r="H856" s="14" t="inlineStr">
        <is>
          <t>10 EVIDENCE &amp; DECISIONS</t>
        </is>
      </c>
    </row>
    <row r="857" ht="34" customHeight="1">
      <c r="A857" s="23" t="inlineStr">
        <is>
          <t>R1361-v2</t>
        </is>
      </c>
      <c r="B857" s="23" t="inlineStr">
        <is>
          <t>Cost &amp; Forecast Control Accounts</t>
        </is>
      </c>
      <c r="C857" s="23" t="inlineStr">
        <is>
          <t>CST-04-039</t>
        </is>
      </c>
      <c r="D857" s="23" t="inlineStr">
        <is>
          <t>1.4.1 Vehicles and Depot - Fleet Supply</t>
        </is>
      </c>
      <c r="E857" s="23" t="inlineStr">
        <is>
          <t>Carried forward</t>
        </is>
      </c>
      <c r="F857" s="23" t="inlineStr"/>
      <c r="G857" s="23" t="inlineStr">
        <is>
          <t>Source assignment -- not individually reviewed</t>
        </is>
      </c>
      <c r="H857" s="14" t="inlineStr">
        <is>
          <t>10 EVIDENCE &amp; DECISIONS</t>
        </is>
      </c>
    </row>
    <row r="858" ht="34" customHeight="1">
      <c r="A858" s="23" t="inlineStr">
        <is>
          <t>R1363-v2</t>
        </is>
      </c>
      <c r="B858" s="23" t="inlineStr">
        <is>
          <t>Cost &amp; Forecast Control Accounts</t>
        </is>
      </c>
      <c r="C858" s="23" t="inlineStr">
        <is>
          <t>CST-04-041</t>
        </is>
      </c>
      <c r="D858" s="23" t="inlineStr">
        <is>
          <t>1.4.1 Vehicles and Depot - Fleet Supply</t>
        </is>
      </c>
      <c r="E858" s="23" t="inlineStr">
        <is>
          <t>Carried forward</t>
        </is>
      </c>
      <c r="F858" s="23" t="inlineStr"/>
      <c r="G858" s="23" t="inlineStr">
        <is>
          <t>Source assignment -- not individually reviewed</t>
        </is>
      </c>
      <c r="H858" s="14" t="inlineStr">
        <is>
          <t>10 EVIDENCE &amp; DECISIONS</t>
        </is>
      </c>
    </row>
    <row r="859" ht="34" customHeight="1">
      <c r="A859" s="23" t="inlineStr">
        <is>
          <t>R1365-v2</t>
        </is>
      </c>
      <c r="B859" s="23" t="inlineStr">
        <is>
          <t>Cost &amp; Forecast Control Accounts</t>
        </is>
      </c>
      <c r="C859" s="23" t="inlineStr">
        <is>
          <t>CST-04-043</t>
        </is>
      </c>
      <c r="D859" s="23" t="inlineStr">
        <is>
          <t>1.4.1 Vehicles and Depot - Fleet Supply</t>
        </is>
      </c>
      <c r="E859" s="23" t="inlineStr">
        <is>
          <t>Carried forward</t>
        </is>
      </c>
      <c r="F859" s="23" t="inlineStr"/>
      <c r="G859" s="23" t="inlineStr">
        <is>
          <t>Source assignment -- not individually reviewed</t>
        </is>
      </c>
      <c r="H859" s="14" t="inlineStr">
        <is>
          <t>10 EVIDENCE &amp; DECISIONS</t>
        </is>
      </c>
    </row>
    <row r="860" ht="34" customHeight="1">
      <c r="A860" s="23" t="inlineStr">
        <is>
          <t>R1367-v2</t>
        </is>
      </c>
      <c r="B860" s="23" t="inlineStr">
        <is>
          <t>Cost &amp; Forecast Control Accounts</t>
        </is>
      </c>
      <c r="C860" s="23" t="inlineStr">
        <is>
          <t>CST-04-045</t>
        </is>
      </c>
      <c r="D860" s="23" t="inlineStr">
        <is>
          <t>1.4.1 Vehicles and Depot - Fleet Supply</t>
        </is>
      </c>
      <c r="E860" s="23" t="inlineStr">
        <is>
          <t>Carried forward</t>
        </is>
      </c>
      <c r="F860" s="23" t="inlineStr"/>
      <c r="G860" s="23" t="inlineStr">
        <is>
          <t>Source assignment -- not individually reviewed</t>
        </is>
      </c>
      <c r="H860" s="14" t="inlineStr">
        <is>
          <t>10 EVIDENCE &amp; DECISIONS</t>
        </is>
      </c>
    </row>
    <row r="861" ht="34" customHeight="1">
      <c r="A861" s="23" t="inlineStr">
        <is>
          <t>R1369-v2</t>
        </is>
      </c>
      <c r="B861" s="23" t="inlineStr">
        <is>
          <t>Cost &amp; Forecast Control Accounts</t>
        </is>
      </c>
      <c r="C861" s="23" t="inlineStr">
        <is>
          <t>CST-04-047</t>
        </is>
      </c>
      <c r="D861" s="23" t="inlineStr">
        <is>
          <t>1.4.1 Vehicles and Depot - Fleet Supply</t>
        </is>
      </c>
      <c r="E861" s="23" t="inlineStr">
        <is>
          <t>Carried forward</t>
        </is>
      </c>
      <c r="F861" s="23" t="inlineStr"/>
      <c r="G861" s="23" t="inlineStr">
        <is>
          <t>Source assignment -- not individually reviewed</t>
        </is>
      </c>
      <c r="H861" s="14" t="inlineStr">
        <is>
          <t>10 EVIDENCE &amp; DECISIONS</t>
        </is>
      </c>
    </row>
    <row r="862" ht="34" customHeight="1">
      <c r="A862" s="23" t="inlineStr">
        <is>
          <t>R1371-v2</t>
        </is>
      </c>
      <c r="B862" s="23" t="inlineStr">
        <is>
          <t>Cost &amp; Forecast Control Accounts</t>
        </is>
      </c>
      <c r="C862" s="23" t="inlineStr">
        <is>
          <t>CST-04-049</t>
        </is>
      </c>
      <c r="D862" s="23" t="inlineStr">
        <is>
          <t>1.4.1 Vehicles and Depot - Fleet Supply</t>
        </is>
      </c>
      <c r="E862" s="23" t="inlineStr">
        <is>
          <t>Carried forward</t>
        </is>
      </c>
      <c r="F862" s="23" t="inlineStr"/>
      <c r="G862" s="23" t="inlineStr">
        <is>
          <t>Source assignment -- not individually reviewed</t>
        </is>
      </c>
      <c r="H862" s="14" t="inlineStr">
        <is>
          <t>10 EVIDENCE &amp; DECISIONS</t>
        </is>
      </c>
    </row>
    <row r="863" ht="34" customHeight="1">
      <c r="A863" s="23" t="inlineStr">
        <is>
          <t>R1373-v2</t>
        </is>
      </c>
      <c r="B863" s="23" t="inlineStr">
        <is>
          <t>Cost &amp; Forecast Control Accounts</t>
        </is>
      </c>
      <c r="C863" s="23" t="inlineStr">
        <is>
          <t>CST-04-051</t>
        </is>
      </c>
      <c r="D863" s="23" t="inlineStr">
        <is>
          <t>1.4.1 Vehicles and Depot - Fleet Supply</t>
        </is>
      </c>
      <c r="E863" s="23" t="inlineStr">
        <is>
          <t>Carried forward</t>
        </is>
      </c>
      <c r="F863" s="23" t="inlineStr"/>
      <c r="G863" s="23" t="inlineStr">
        <is>
          <t>Source assignment -- not individually reviewed</t>
        </is>
      </c>
      <c r="H863" s="14" t="inlineStr">
        <is>
          <t>10 EVIDENCE &amp; DECISIONS</t>
        </is>
      </c>
    </row>
    <row r="864" ht="34" customHeight="1">
      <c r="A864" s="23" t="inlineStr">
        <is>
          <t>R1375-v2</t>
        </is>
      </c>
      <c r="B864" s="23" t="inlineStr">
        <is>
          <t>Cost &amp; Forecast Control Accounts</t>
        </is>
      </c>
      <c r="C864" s="23" t="inlineStr">
        <is>
          <t>CST-04-053</t>
        </is>
      </c>
      <c r="D864" s="23" t="inlineStr">
        <is>
          <t>1.4.1 Vehicles and Depot - Fleet Supply</t>
        </is>
      </c>
      <c r="E864" s="23" t="inlineStr">
        <is>
          <t>Carried forward</t>
        </is>
      </c>
      <c r="F864" s="23" t="inlineStr"/>
      <c r="G864" s="23" t="inlineStr">
        <is>
          <t>Source assignment -- not individually reviewed</t>
        </is>
      </c>
      <c r="H864" s="14" t="inlineStr">
        <is>
          <t>10 EVIDENCE &amp; DECISIONS</t>
        </is>
      </c>
    </row>
    <row r="865" ht="34" customHeight="1">
      <c r="A865" s="23" t="inlineStr">
        <is>
          <t>R1377-v2</t>
        </is>
      </c>
      <c r="B865" s="23" t="inlineStr">
        <is>
          <t>Cost &amp; Forecast Control Accounts</t>
        </is>
      </c>
      <c r="C865" s="23" t="inlineStr">
        <is>
          <t>CST-04-055</t>
        </is>
      </c>
      <c r="D865" s="23" t="inlineStr">
        <is>
          <t>1.4.1 Vehicles and Depot - Fleet Supply</t>
        </is>
      </c>
      <c r="E865" s="23" t="inlineStr">
        <is>
          <t>Carried forward</t>
        </is>
      </c>
      <c r="F865" s="23" t="inlineStr"/>
      <c r="G865" s="23" t="inlineStr">
        <is>
          <t>Source assignment -- not individually reviewed</t>
        </is>
      </c>
      <c r="H865" s="14" t="inlineStr">
        <is>
          <t>10 EVIDENCE &amp; DECISIONS</t>
        </is>
      </c>
    </row>
    <row r="866" ht="34" customHeight="1">
      <c r="A866" s="23" t="inlineStr">
        <is>
          <t>R1379-v2</t>
        </is>
      </c>
      <c r="B866" s="23" t="inlineStr">
        <is>
          <t>Cost &amp; Forecast Control Accounts</t>
        </is>
      </c>
      <c r="C866" s="23" t="inlineStr">
        <is>
          <t>CST-04-057</t>
        </is>
      </c>
      <c r="D866" s="23" t="inlineStr">
        <is>
          <t>1.4.1 Vehicles and Depot - Fleet Supply</t>
        </is>
      </c>
      <c r="E866" s="23" t="inlineStr">
        <is>
          <t>Carried forward</t>
        </is>
      </c>
      <c r="F866" s="23" t="inlineStr"/>
      <c r="G866" s="23" t="inlineStr">
        <is>
          <t>Source assignment -- not individually reviewed</t>
        </is>
      </c>
      <c r="H866" s="14" t="inlineStr">
        <is>
          <t>10 EVIDENCE &amp; DECISIONS</t>
        </is>
      </c>
    </row>
    <row r="867" ht="34" customHeight="1">
      <c r="A867" s="23" t="inlineStr">
        <is>
          <t>R1381-v2</t>
        </is>
      </c>
      <c r="B867" s="23" t="inlineStr">
        <is>
          <t>Cost &amp; Forecast Control Accounts</t>
        </is>
      </c>
      <c r="C867" s="23" t="inlineStr">
        <is>
          <t>CST-04-059</t>
        </is>
      </c>
      <c r="D867" s="23" t="inlineStr">
        <is>
          <t>1.4.1 Vehicles and Depot - Fleet Supply</t>
        </is>
      </c>
      <c r="E867" s="23" t="inlineStr">
        <is>
          <t>Carried forward</t>
        </is>
      </c>
      <c r="F867" s="23" t="inlineStr"/>
      <c r="G867" s="23" t="inlineStr">
        <is>
          <t>Source assignment -- not individually reviewed</t>
        </is>
      </c>
      <c r="H867" s="14" t="inlineStr">
        <is>
          <t>10 EVIDENCE &amp; DECISIONS</t>
        </is>
      </c>
    </row>
    <row r="868" ht="34" customHeight="1">
      <c r="A868" s="23" t="inlineStr">
        <is>
          <t>R1383-v2</t>
        </is>
      </c>
      <c r="B868" s="23" t="inlineStr">
        <is>
          <t>Cost &amp; Forecast Control Accounts</t>
        </is>
      </c>
      <c r="C868" s="23" t="inlineStr">
        <is>
          <t>CST-04-061</t>
        </is>
      </c>
      <c r="D868" s="23" t="inlineStr">
        <is>
          <t>1.4.1 Vehicles and Depot - Fleet Supply</t>
        </is>
      </c>
      <c r="E868" s="23" t="inlineStr">
        <is>
          <t>Carried forward</t>
        </is>
      </c>
      <c r="F868" s="23" t="inlineStr"/>
      <c r="G868" s="23" t="inlineStr">
        <is>
          <t>Source assignment -- not individually reviewed</t>
        </is>
      </c>
      <c r="H868" s="14" t="inlineStr">
        <is>
          <t>10 EVIDENCE &amp; DECISIONS</t>
        </is>
      </c>
    </row>
    <row r="869" ht="34" customHeight="1">
      <c r="A869" s="23" t="inlineStr">
        <is>
          <t>R1385-v2</t>
        </is>
      </c>
      <c r="B869" s="23" t="inlineStr">
        <is>
          <t>Cost &amp; Forecast Control Accounts</t>
        </is>
      </c>
      <c r="C869" s="23" t="inlineStr">
        <is>
          <t>CST-04-063</t>
        </is>
      </c>
      <c r="D869" s="23" t="inlineStr">
        <is>
          <t>1.4.1 Vehicles and Depot - Fleet Supply</t>
        </is>
      </c>
      <c r="E869" s="23" t="inlineStr">
        <is>
          <t>Carried forward</t>
        </is>
      </c>
      <c r="F869" s="23" t="inlineStr"/>
      <c r="G869" s="23" t="inlineStr">
        <is>
          <t>Source assignment -- not individually reviewed</t>
        </is>
      </c>
      <c r="H869" s="14" t="inlineStr">
        <is>
          <t>10 EVIDENCE &amp; DECISIONS</t>
        </is>
      </c>
    </row>
    <row r="870" ht="34" customHeight="1">
      <c r="A870" s="23" t="inlineStr">
        <is>
          <t>R1387-v2</t>
        </is>
      </c>
      <c r="B870" s="23" t="inlineStr">
        <is>
          <t>Cost &amp; Forecast Control Accounts</t>
        </is>
      </c>
      <c r="C870" s="23" t="inlineStr">
        <is>
          <t>CST-04-065</t>
        </is>
      </c>
      <c r="D870" s="23" t="inlineStr">
        <is>
          <t>1.4.1 Vehicles and Depot - Fleet Supply</t>
        </is>
      </c>
      <c r="E870" s="23" t="inlineStr">
        <is>
          <t>Carried forward</t>
        </is>
      </c>
      <c r="F870" s="23" t="inlineStr"/>
      <c r="G870" s="23" t="inlineStr">
        <is>
          <t>Source assignment -- not individually reviewed</t>
        </is>
      </c>
      <c r="H870" s="14" t="inlineStr">
        <is>
          <t>10 EVIDENCE &amp; DECISIONS</t>
        </is>
      </c>
    </row>
    <row r="871" ht="34" customHeight="1">
      <c r="A871" s="23" t="inlineStr">
        <is>
          <t>R1389-v2</t>
        </is>
      </c>
      <c r="B871" s="23" t="inlineStr">
        <is>
          <t>Cost &amp; Forecast Control Accounts</t>
        </is>
      </c>
      <c r="C871" s="23" t="inlineStr">
        <is>
          <t>CST-04-067</t>
        </is>
      </c>
      <c r="D871" s="23" t="inlineStr">
        <is>
          <t>1.4.1 Vehicles and Depot - Fleet Supply</t>
        </is>
      </c>
      <c r="E871" s="23" t="inlineStr">
        <is>
          <t>Carried forward</t>
        </is>
      </c>
      <c r="F871" s="23" t="inlineStr"/>
      <c r="G871" s="23" t="inlineStr">
        <is>
          <t>Source assignment -- not individually reviewed</t>
        </is>
      </c>
      <c r="H871" s="14" t="inlineStr">
        <is>
          <t>10 EVIDENCE &amp; DECISIONS</t>
        </is>
      </c>
    </row>
    <row r="872" ht="34" customHeight="1">
      <c r="A872" s="23" t="inlineStr">
        <is>
          <t>R1391-v2</t>
        </is>
      </c>
      <c r="B872" s="23" t="inlineStr">
        <is>
          <t>Cost &amp; Forecast Control Accounts</t>
        </is>
      </c>
      <c r="C872" s="23" t="inlineStr">
        <is>
          <t>CST-04-069</t>
        </is>
      </c>
      <c r="D872" s="23" t="inlineStr">
        <is>
          <t>1.4.1 Vehicles and Depot - Fleet Supply</t>
        </is>
      </c>
      <c r="E872" s="23" t="inlineStr">
        <is>
          <t>Carried forward</t>
        </is>
      </c>
      <c r="F872" s="23" t="inlineStr"/>
      <c r="G872" s="23" t="inlineStr">
        <is>
          <t>Source assignment -- not individually reviewed</t>
        </is>
      </c>
      <c r="H872" s="14" t="inlineStr">
        <is>
          <t>10 EVIDENCE &amp; DECISIONS</t>
        </is>
      </c>
    </row>
    <row r="873" ht="34" customHeight="1">
      <c r="A873" s="23" t="inlineStr">
        <is>
          <t>R1393-v2</t>
        </is>
      </c>
      <c r="B873" s="23" t="inlineStr">
        <is>
          <t>Cost &amp; Forecast Control Accounts</t>
        </is>
      </c>
      <c r="C873" s="23" t="inlineStr">
        <is>
          <t>CST-04-071</t>
        </is>
      </c>
      <c r="D873" s="23" t="inlineStr">
        <is>
          <t>1.4.1 Vehicles and Depot - Fleet Supply</t>
        </is>
      </c>
      <c r="E873" s="23" t="inlineStr">
        <is>
          <t>Carried forward</t>
        </is>
      </c>
      <c r="F873" s="23" t="inlineStr"/>
      <c r="G873" s="23" t="inlineStr">
        <is>
          <t>Source assignment -- not individually reviewed</t>
        </is>
      </c>
      <c r="H873" s="14" t="inlineStr">
        <is>
          <t>10 EVIDENCE &amp; DECISIONS</t>
        </is>
      </c>
    </row>
    <row r="874" ht="34" customHeight="1">
      <c r="A874" s="23" t="inlineStr">
        <is>
          <t>R1395-v2</t>
        </is>
      </c>
      <c r="B874" s="23" t="inlineStr">
        <is>
          <t>Cost &amp; Forecast Control Accounts</t>
        </is>
      </c>
      <c r="C874" s="23" t="inlineStr">
        <is>
          <t>CST-04-073</t>
        </is>
      </c>
      <c r="D874" s="23" t="inlineStr">
        <is>
          <t>1.4.1 Vehicles and Depot - Fleet Supply</t>
        </is>
      </c>
      <c r="E874" s="23" t="inlineStr">
        <is>
          <t>Carried forward</t>
        </is>
      </c>
      <c r="F874" s="23" t="inlineStr"/>
      <c r="G874" s="23" t="inlineStr">
        <is>
          <t>Source assignment -- not individually reviewed</t>
        </is>
      </c>
      <c r="H874" s="14" t="inlineStr">
        <is>
          <t>10 EVIDENCE &amp; DECISIONS</t>
        </is>
      </c>
    </row>
    <row r="875" ht="34" customHeight="1">
      <c r="A875" s="23" t="inlineStr">
        <is>
          <t>R1397-v2</t>
        </is>
      </c>
      <c r="B875" s="23" t="inlineStr">
        <is>
          <t>Cost &amp; Forecast Control Accounts</t>
        </is>
      </c>
      <c r="C875" s="23" t="inlineStr">
        <is>
          <t>CST-04-075</t>
        </is>
      </c>
      <c r="D875" s="23" t="inlineStr">
        <is>
          <t>1.4.1 Vehicles and Depot - Fleet Supply</t>
        </is>
      </c>
      <c r="E875" s="23" t="inlineStr">
        <is>
          <t>Carried forward</t>
        </is>
      </c>
      <c r="F875" s="23" t="inlineStr"/>
      <c r="G875" s="23" t="inlineStr">
        <is>
          <t>Source assignment -- not individually reviewed</t>
        </is>
      </c>
      <c r="H875" s="14" t="inlineStr">
        <is>
          <t>10 EVIDENCE &amp; DECISIONS</t>
        </is>
      </c>
    </row>
    <row r="876" ht="34" customHeight="1">
      <c r="A876" s="23" t="inlineStr">
        <is>
          <t>R1399-v2</t>
        </is>
      </c>
      <c r="B876" s="23" t="inlineStr">
        <is>
          <t>Cost &amp; Forecast Control Accounts</t>
        </is>
      </c>
      <c r="C876" s="23" t="inlineStr">
        <is>
          <t>CST-04-077</t>
        </is>
      </c>
      <c r="D876" s="23" t="inlineStr">
        <is>
          <t>1.4.1 Vehicles and Depot - Fleet Supply</t>
        </is>
      </c>
      <c r="E876" s="23" t="inlineStr">
        <is>
          <t>Carried forward</t>
        </is>
      </c>
      <c r="F876" s="23" t="inlineStr"/>
      <c r="G876" s="23" t="inlineStr">
        <is>
          <t>Source assignment -- not individually reviewed</t>
        </is>
      </c>
      <c r="H876" s="14" t="inlineStr">
        <is>
          <t>10 EVIDENCE &amp; DECISIONS</t>
        </is>
      </c>
    </row>
    <row r="877" ht="34" customHeight="1">
      <c r="A877" s="23" t="inlineStr">
        <is>
          <t>R1401-v2</t>
        </is>
      </c>
      <c r="B877" s="23" t="inlineStr">
        <is>
          <t>Cost &amp; Forecast Control Accounts</t>
        </is>
      </c>
      <c r="C877" s="23" t="inlineStr">
        <is>
          <t>CST-04-079</t>
        </is>
      </c>
      <c r="D877" s="23" t="inlineStr">
        <is>
          <t>1.4.1 Vehicles and Depot - Fleet Supply</t>
        </is>
      </c>
      <c r="E877" s="23" t="inlineStr">
        <is>
          <t>Carried forward</t>
        </is>
      </c>
      <c r="F877" s="23" t="inlineStr"/>
      <c r="G877" s="23" t="inlineStr">
        <is>
          <t>Source assignment -- not individually reviewed</t>
        </is>
      </c>
      <c r="H877" s="14" t="inlineStr">
        <is>
          <t>10 EVIDENCE &amp; DECISIONS</t>
        </is>
      </c>
    </row>
    <row r="878" ht="34" customHeight="1">
      <c r="A878" s="23" t="inlineStr">
        <is>
          <t>R541-v2</t>
        </is>
      </c>
      <c r="B878" s="23" t="inlineStr">
        <is>
          <t>Contractor Programme</t>
        </is>
      </c>
      <c r="C878" s="23" t="inlineStr">
        <is>
          <t>SCH-04-001</t>
        </is>
      </c>
      <c r="D878" s="23" t="inlineStr">
        <is>
          <t>1.4.1 Vehicles and Depot - Fleet Supply</t>
        </is>
      </c>
      <c r="E878" s="23" t="inlineStr">
        <is>
          <t>Carried forward</t>
        </is>
      </c>
      <c r="F878" s="23" t="inlineStr"/>
      <c r="G878" s="23" t="inlineStr">
        <is>
          <t>Source assignment -- not individually reviewed</t>
        </is>
      </c>
      <c r="H878" s="14" t="inlineStr">
        <is>
          <t>10 EVIDENCE &amp; DECISIONS</t>
        </is>
      </c>
    </row>
    <row r="879" ht="34" customHeight="1">
      <c r="A879" s="23" t="inlineStr">
        <is>
          <t>R542-v2</t>
        </is>
      </c>
      <c r="B879" s="23" t="inlineStr">
        <is>
          <t>Contractor Programme</t>
        </is>
      </c>
      <c r="C879" s="23" t="inlineStr">
        <is>
          <t>SCH-04-002</t>
        </is>
      </c>
      <c r="D879" s="23" t="inlineStr">
        <is>
          <t>1.4.1 Vehicles and Depot - Fleet Supply</t>
        </is>
      </c>
      <c r="E879" s="23" t="inlineStr">
        <is>
          <t>Carried forward</t>
        </is>
      </c>
      <c r="F879" s="23" t="inlineStr"/>
      <c r="G879" s="23" t="inlineStr">
        <is>
          <t>Source assignment -- not individually reviewed</t>
        </is>
      </c>
      <c r="H879" s="14" t="inlineStr">
        <is>
          <t>10 EVIDENCE &amp; DECISIONS</t>
        </is>
      </c>
    </row>
    <row r="880" ht="34" customHeight="1">
      <c r="A880" s="23" t="inlineStr">
        <is>
          <t>R544-v2</t>
        </is>
      </c>
      <c r="B880" s="23" t="inlineStr">
        <is>
          <t>Contractor Programme</t>
        </is>
      </c>
      <c r="C880" s="23" t="inlineStr">
        <is>
          <t>SCH-04-004</t>
        </is>
      </c>
      <c r="D880" s="23" t="inlineStr">
        <is>
          <t>1.4.1 Vehicles and Depot - Fleet Supply</t>
        </is>
      </c>
      <c r="E880" s="23" t="inlineStr">
        <is>
          <t>Carried forward</t>
        </is>
      </c>
      <c r="F880" s="23" t="inlineStr"/>
      <c r="G880" s="23" t="inlineStr">
        <is>
          <t>Source assignment -- not individually reviewed</t>
        </is>
      </c>
      <c r="H880" s="14" t="inlineStr">
        <is>
          <t>10 EVIDENCE &amp; DECISIONS</t>
        </is>
      </c>
    </row>
    <row r="881" ht="34" customHeight="1">
      <c r="A881" s="23" t="inlineStr">
        <is>
          <t>R545-v2</t>
        </is>
      </c>
      <c r="B881" s="23" t="inlineStr">
        <is>
          <t>Contractor Programme</t>
        </is>
      </c>
      <c r="C881" s="23" t="inlineStr">
        <is>
          <t>SCH-04-005</t>
        </is>
      </c>
      <c r="D881" s="23" t="inlineStr">
        <is>
          <t>1.4.1 Vehicles and Depot - Fleet Supply</t>
        </is>
      </c>
      <c r="E881" s="23" t="inlineStr">
        <is>
          <t>Carried forward</t>
        </is>
      </c>
      <c r="F881" s="23" t="inlineStr"/>
      <c r="G881" s="23" t="inlineStr">
        <is>
          <t>Source assignment -- not individually reviewed</t>
        </is>
      </c>
      <c r="H881" s="14" t="inlineStr">
        <is>
          <t>10 EVIDENCE &amp; DECISIONS</t>
        </is>
      </c>
    </row>
    <row r="882" ht="34" customHeight="1">
      <c r="A882" s="23" t="inlineStr">
        <is>
          <t>R547-v2</t>
        </is>
      </c>
      <c r="B882" s="23" t="inlineStr">
        <is>
          <t>Contractor Programme</t>
        </is>
      </c>
      <c r="C882" s="23" t="inlineStr">
        <is>
          <t>SCH-04-007</t>
        </is>
      </c>
      <c r="D882" s="23" t="inlineStr">
        <is>
          <t>1.4.1 Vehicles and Depot - Fleet Supply</t>
        </is>
      </c>
      <c r="E882" s="23" t="inlineStr">
        <is>
          <t>Carried forward</t>
        </is>
      </c>
      <c r="F882" s="23" t="inlineStr"/>
      <c r="G882" s="23" t="inlineStr">
        <is>
          <t>Source assignment -- not individually reviewed</t>
        </is>
      </c>
      <c r="H882" s="14" t="inlineStr">
        <is>
          <t>10 EVIDENCE &amp; DECISIONS</t>
        </is>
      </c>
    </row>
    <row r="883" ht="34" customHeight="1">
      <c r="A883" s="23" t="inlineStr">
        <is>
          <t>R548-v2</t>
        </is>
      </c>
      <c r="B883" s="23" t="inlineStr">
        <is>
          <t>Contractor Programme</t>
        </is>
      </c>
      <c r="C883" s="23" t="inlineStr">
        <is>
          <t>SCH-04-008</t>
        </is>
      </c>
      <c r="D883" s="23" t="inlineStr">
        <is>
          <t>1.4.1 Vehicles and Depot - Fleet Supply</t>
        </is>
      </c>
      <c r="E883" s="23" t="inlineStr">
        <is>
          <t>Carried forward</t>
        </is>
      </c>
      <c r="F883" s="23" t="inlineStr"/>
      <c r="G883" s="23" t="inlineStr">
        <is>
          <t>Source assignment -- not individually reviewed</t>
        </is>
      </c>
      <c r="H883" s="14" t="inlineStr">
        <is>
          <t>10 EVIDENCE &amp; DECISIONS</t>
        </is>
      </c>
    </row>
    <row r="884" ht="34" customHeight="1">
      <c r="A884" s="23" t="inlineStr">
        <is>
          <t>R550-v2</t>
        </is>
      </c>
      <c r="B884" s="23" t="inlineStr">
        <is>
          <t>Contractor Programme</t>
        </is>
      </c>
      <c r="C884" s="23" t="inlineStr">
        <is>
          <t>SCH-04-010</t>
        </is>
      </c>
      <c r="D884" s="23" t="inlineStr">
        <is>
          <t>1.4.1 Vehicles and Depot - Fleet Supply</t>
        </is>
      </c>
      <c r="E884" s="23" t="inlineStr">
        <is>
          <t>Carried forward</t>
        </is>
      </c>
      <c r="F884" s="23" t="inlineStr"/>
      <c r="G884" s="23" t="inlineStr">
        <is>
          <t>Source assignment -- not individually reviewed</t>
        </is>
      </c>
      <c r="H884" s="14" t="inlineStr">
        <is>
          <t>10 EVIDENCE &amp; DECISIONS</t>
        </is>
      </c>
    </row>
    <row r="885" ht="34" customHeight="1">
      <c r="A885" s="23" t="inlineStr">
        <is>
          <t>R551-v2</t>
        </is>
      </c>
      <c r="B885" s="23" t="inlineStr">
        <is>
          <t>Contractor Programme</t>
        </is>
      </c>
      <c r="C885" s="23" t="inlineStr">
        <is>
          <t>SCH-04-011</t>
        </is>
      </c>
      <c r="D885" s="23" t="inlineStr">
        <is>
          <t>1.4.1 Vehicles and Depot - Fleet Supply</t>
        </is>
      </c>
      <c r="E885" s="23" t="inlineStr">
        <is>
          <t>Carried forward</t>
        </is>
      </c>
      <c r="F885" s="23" t="inlineStr"/>
      <c r="G885" s="23" t="inlineStr">
        <is>
          <t>Source assignment -- not individually reviewed</t>
        </is>
      </c>
      <c r="H885" s="14" t="inlineStr">
        <is>
          <t>10 EVIDENCE &amp; DECISIONS</t>
        </is>
      </c>
    </row>
    <row r="886" ht="34" customHeight="1">
      <c r="A886" s="23" t="inlineStr">
        <is>
          <t>R553-v2</t>
        </is>
      </c>
      <c r="B886" s="23" t="inlineStr">
        <is>
          <t>Contractor Programme</t>
        </is>
      </c>
      <c r="C886" s="23" t="inlineStr">
        <is>
          <t>SCH-04-013</t>
        </is>
      </c>
      <c r="D886" s="23" t="inlineStr">
        <is>
          <t>1.4.1 Vehicles and Depot - Fleet Supply</t>
        </is>
      </c>
      <c r="E886" s="23" t="inlineStr">
        <is>
          <t>Carried forward</t>
        </is>
      </c>
      <c r="F886" s="23" t="inlineStr"/>
      <c r="G886" s="23" t="inlineStr">
        <is>
          <t>Source assignment -- not individually reviewed</t>
        </is>
      </c>
      <c r="H886" s="14" t="inlineStr">
        <is>
          <t>10 EVIDENCE &amp; DECISIONS</t>
        </is>
      </c>
    </row>
    <row r="887" ht="34" customHeight="1">
      <c r="A887" s="23" t="inlineStr">
        <is>
          <t>R554-v2</t>
        </is>
      </c>
      <c r="B887" s="23" t="inlineStr">
        <is>
          <t>Contractor Programme</t>
        </is>
      </c>
      <c r="C887" s="23" t="inlineStr">
        <is>
          <t>SCH-04-014</t>
        </is>
      </c>
      <c r="D887" s="23" t="inlineStr">
        <is>
          <t>1.4.1 Vehicles and Depot - Fleet Supply</t>
        </is>
      </c>
      <c r="E887" s="23" t="inlineStr">
        <is>
          <t>Carried forward</t>
        </is>
      </c>
      <c r="F887" s="23" t="inlineStr"/>
      <c r="G887" s="23" t="inlineStr">
        <is>
          <t>Source assignment -- not individually reviewed</t>
        </is>
      </c>
      <c r="H887" s="14" t="inlineStr">
        <is>
          <t>10 EVIDENCE &amp; DECISIONS</t>
        </is>
      </c>
    </row>
    <row r="888" ht="34" customHeight="1">
      <c r="A888" s="23" t="inlineStr">
        <is>
          <t>R556-v2</t>
        </is>
      </c>
      <c r="B888" s="23" t="inlineStr">
        <is>
          <t>Contractor Programme</t>
        </is>
      </c>
      <c r="C888" s="23" t="inlineStr">
        <is>
          <t>SCH-04-016</t>
        </is>
      </c>
      <c r="D888" s="23" t="inlineStr">
        <is>
          <t>1.4.1 Vehicles and Depot - Fleet Supply</t>
        </is>
      </c>
      <c r="E888" s="23" t="inlineStr">
        <is>
          <t>Carried forward</t>
        </is>
      </c>
      <c r="F888" s="23" t="inlineStr"/>
      <c r="G888" s="23" t="inlineStr">
        <is>
          <t>Source assignment -- not individually reviewed</t>
        </is>
      </c>
      <c r="H888" s="14" t="inlineStr">
        <is>
          <t>10 EVIDENCE &amp; DECISIONS</t>
        </is>
      </c>
    </row>
    <row r="889" ht="34" customHeight="1">
      <c r="A889" s="23" t="inlineStr">
        <is>
          <t>R557-v2</t>
        </is>
      </c>
      <c r="B889" s="23" t="inlineStr">
        <is>
          <t>Contractor Programme</t>
        </is>
      </c>
      <c r="C889" s="23" t="inlineStr">
        <is>
          <t>SCH-04-017</t>
        </is>
      </c>
      <c r="D889" s="23" t="inlineStr">
        <is>
          <t>1.4.1 Vehicles and Depot - Fleet Supply</t>
        </is>
      </c>
      <c r="E889" s="23" t="inlineStr">
        <is>
          <t>Carried forward</t>
        </is>
      </c>
      <c r="F889" s="23" t="inlineStr"/>
      <c r="G889" s="23" t="inlineStr">
        <is>
          <t>Source assignment -- not individually reviewed</t>
        </is>
      </c>
      <c r="H889" s="14" t="inlineStr">
        <is>
          <t>10 EVIDENCE &amp; DECISIONS</t>
        </is>
      </c>
    </row>
    <row r="890" ht="34" customHeight="1">
      <c r="A890" s="23" t="inlineStr">
        <is>
          <t>R559-v2</t>
        </is>
      </c>
      <c r="B890" s="23" t="inlineStr">
        <is>
          <t>Contractor Programme</t>
        </is>
      </c>
      <c r="C890" s="23" t="inlineStr">
        <is>
          <t>SCH-04-019</t>
        </is>
      </c>
      <c r="D890" s="23" t="inlineStr">
        <is>
          <t>1.4.1 Vehicles and Depot - Fleet Supply</t>
        </is>
      </c>
      <c r="E890" s="23" t="inlineStr">
        <is>
          <t>Carried forward</t>
        </is>
      </c>
      <c r="F890" s="23" t="inlineStr"/>
      <c r="G890" s="23" t="inlineStr">
        <is>
          <t>Source assignment -- not individually reviewed</t>
        </is>
      </c>
      <c r="H890" s="14" t="inlineStr">
        <is>
          <t>10 EVIDENCE &amp; DECISIONS</t>
        </is>
      </c>
    </row>
    <row r="891" ht="34" customHeight="1">
      <c r="A891" s="23" t="inlineStr">
        <is>
          <t>R560-v2</t>
        </is>
      </c>
      <c r="B891" s="23" t="inlineStr">
        <is>
          <t>Contractor Programme</t>
        </is>
      </c>
      <c r="C891" s="23" t="inlineStr">
        <is>
          <t>SCH-04-020</t>
        </is>
      </c>
      <c r="D891" s="23" t="inlineStr">
        <is>
          <t>1.4.1 Vehicles and Depot - Fleet Supply</t>
        </is>
      </c>
      <c r="E891" s="23" t="inlineStr">
        <is>
          <t>Carried forward</t>
        </is>
      </c>
      <c r="F891" s="23" t="inlineStr"/>
      <c r="G891" s="23" t="inlineStr">
        <is>
          <t>Source assignment -- not individually reviewed</t>
        </is>
      </c>
      <c r="H891" s="14" t="inlineStr">
        <is>
          <t>10 EVIDENCE &amp; DECISIONS</t>
        </is>
      </c>
    </row>
    <row r="892" ht="34" customHeight="1">
      <c r="A892" s="23" t="inlineStr">
        <is>
          <t>R562-v2</t>
        </is>
      </c>
      <c r="B892" s="23" t="inlineStr">
        <is>
          <t>Contractor Programme</t>
        </is>
      </c>
      <c r="C892" s="23" t="inlineStr">
        <is>
          <t>SCH-04-022</t>
        </is>
      </c>
      <c r="D892" s="23" t="inlineStr">
        <is>
          <t>1.4.1 Vehicles and Depot - Fleet Supply</t>
        </is>
      </c>
      <c r="E892" s="23" t="inlineStr">
        <is>
          <t>Carried forward</t>
        </is>
      </c>
      <c r="F892" s="23" t="inlineStr"/>
      <c r="G892" s="23" t="inlineStr">
        <is>
          <t>Source assignment -- not individually reviewed</t>
        </is>
      </c>
      <c r="H892" s="14" t="inlineStr">
        <is>
          <t>10 EVIDENCE &amp; DECISIONS</t>
        </is>
      </c>
    </row>
    <row r="893" ht="34" customHeight="1">
      <c r="A893" s="23" t="inlineStr">
        <is>
          <t>R563-v2</t>
        </is>
      </c>
      <c r="B893" s="23" t="inlineStr">
        <is>
          <t>Contractor Programme</t>
        </is>
      </c>
      <c r="C893" s="23" t="inlineStr">
        <is>
          <t>SCH-04-023</t>
        </is>
      </c>
      <c r="D893" s="23" t="inlineStr">
        <is>
          <t>1.4.1 Vehicles and Depot - Fleet Supply</t>
        </is>
      </c>
      <c r="E893" s="23" t="inlineStr">
        <is>
          <t>Carried forward</t>
        </is>
      </c>
      <c r="F893" s="23" t="inlineStr"/>
      <c r="G893" s="23" t="inlineStr">
        <is>
          <t>Source assignment -- not individually reviewed</t>
        </is>
      </c>
      <c r="H893" s="14" t="inlineStr">
        <is>
          <t>10 EVIDENCE &amp; DECISIONS</t>
        </is>
      </c>
    </row>
    <row r="894" ht="34" customHeight="1">
      <c r="A894" s="23" t="inlineStr">
        <is>
          <t>R565-v2</t>
        </is>
      </c>
      <c r="B894" s="23" t="inlineStr">
        <is>
          <t>Contractor Programme</t>
        </is>
      </c>
      <c r="C894" s="23" t="inlineStr">
        <is>
          <t>SCH-04-025</t>
        </is>
      </c>
      <c r="D894" s="23" t="inlineStr">
        <is>
          <t>1.4.1 Vehicles and Depot - Fleet Supply</t>
        </is>
      </c>
      <c r="E894" s="23" t="inlineStr">
        <is>
          <t>Carried forward</t>
        </is>
      </c>
      <c r="F894" s="23" t="inlineStr"/>
      <c r="G894" s="23" t="inlineStr">
        <is>
          <t>Source assignment -- not individually reviewed</t>
        </is>
      </c>
      <c r="H894" s="14" t="inlineStr">
        <is>
          <t>10 EVIDENCE &amp; DECISIONS</t>
        </is>
      </c>
    </row>
    <row r="895" ht="34" customHeight="1">
      <c r="A895" s="23" t="inlineStr">
        <is>
          <t>R566-v2</t>
        </is>
      </c>
      <c r="B895" s="23" t="inlineStr">
        <is>
          <t>Contractor Programme</t>
        </is>
      </c>
      <c r="C895" s="23" t="inlineStr">
        <is>
          <t>SCH-04-026</t>
        </is>
      </c>
      <c r="D895" s="23" t="inlineStr">
        <is>
          <t>1.4.1 Vehicles and Depot - Fleet Supply</t>
        </is>
      </c>
      <c r="E895" s="23" t="inlineStr">
        <is>
          <t>Carried forward</t>
        </is>
      </c>
      <c r="F895" s="23" t="inlineStr"/>
      <c r="G895" s="23" t="inlineStr">
        <is>
          <t>Source assignment -- not individually reviewed</t>
        </is>
      </c>
      <c r="H895" s="14" t="inlineStr">
        <is>
          <t>10 EVIDENCE &amp; DECISIONS</t>
        </is>
      </c>
    </row>
    <row r="896" ht="34" customHeight="1">
      <c r="A896" s="23" t="inlineStr">
        <is>
          <t>R568-v2</t>
        </is>
      </c>
      <c r="B896" s="23" t="inlineStr">
        <is>
          <t>Contractor Programme</t>
        </is>
      </c>
      <c r="C896" s="23" t="inlineStr">
        <is>
          <t>SCH-04-028</t>
        </is>
      </c>
      <c r="D896" s="23" t="inlineStr">
        <is>
          <t>1.4.1 Vehicles and Depot - Fleet Supply</t>
        </is>
      </c>
      <c r="E896" s="23" t="inlineStr">
        <is>
          <t>Carried forward</t>
        </is>
      </c>
      <c r="F896" s="23" t="inlineStr"/>
      <c r="G896" s="23" t="inlineStr">
        <is>
          <t>Source assignment -- not individually reviewed</t>
        </is>
      </c>
      <c r="H896" s="14" t="inlineStr">
        <is>
          <t>10 EVIDENCE &amp; DECISIONS</t>
        </is>
      </c>
    </row>
    <row r="897" ht="34" customHeight="1">
      <c r="A897" s="23" t="inlineStr">
        <is>
          <t>R569-v2</t>
        </is>
      </c>
      <c r="B897" s="23" t="inlineStr">
        <is>
          <t>Contractor Programme</t>
        </is>
      </c>
      <c r="C897" s="23" t="inlineStr">
        <is>
          <t>SCH-04-029</t>
        </is>
      </c>
      <c r="D897" s="23" t="inlineStr">
        <is>
          <t>1.4.1 Vehicles and Depot - Fleet Supply</t>
        </is>
      </c>
      <c r="E897" s="23" t="inlineStr">
        <is>
          <t>Carried forward</t>
        </is>
      </c>
      <c r="F897" s="23" t="inlineStr"/>
      <c r="G897" s="23" t="inlineStr">
        <is>
          <t>Source assignment -- not individually reviewed</t>
        </is>
      </c>
      <c r="H897" s="14" t="inlineStr">
        <is>
          <t>10 EVIDENCE &amp; DECISIONS</t>
        </is>
      </c>
    </row>
    <row r="898" ht="34" customHeight="1">
      <c r="A898" s="23" t="inlineStr">
        <is>
          <t>R571-v2</t>
        </is>
      </c>
      <c r="B898" s="23" t="inlineStr">
        <is>
          <t>Contractor Programme</t>
        </is>
      </c>
      <c r="C898" s="23" t="inlineStr">
        <is>
          <t>SCH-04-031</t>
        </is>
      </c>
      <c r="D898" s="23" t="inlineStr">
        <is>
          <t>1.4.1 Vehicles and Depot - Fleet Supply</t>
        </is>
      </c>
      <c r="E898" s="23" t="inlineStr">
        <is>
          <t>Carried forward</t>
        </is>
      </c>
      <c r="F898" s="23" t="inlineStr"/>
      <c r="G898" s="23" t="inlineStr">
        <is>
          <t>Source assignment -- not individually reviewed</t>
        </is>
      </c>
      <c r="H898" s="14" t="inlineStr">
        <is>
          <t>10 EVIDENCE &amp; DECISIONS</t>
        </is>
      </c>
    </row>
    <row r="899" ht="34" customHeight="1">
      <c r="A899" s="23" t="inlineStr">
        <is>
          <t>R572-v2</t>
        </is>
      </c>
      <c r="B899" s="23" t="inlineStr">
        <is>
          <t>Contractor Programme</t>
        </is>
      </c>
      <c r="C899" s="23" t="inlineStr">
        <is>
          <t>SCH-04-032</t>
        </is>
      </c>
      <c r="D899" s="23" t="inlineStr">
        <is>
          <t>1.4.1 Vehicles and Depot - Fleet Supply</t>
        </is>
      </c>
      <c r="E899" s="23" t="inlineStr">
        <is>
          <t>Carried forward</t>
        </is>
      </c>
      <c r="F899" s="23" t="inlineStr"/>
      <c r="G899" s="23" t="inlineStr">
        <is>
          <t>Source assignment -- not individually reviewed</t>
        </is>
      </c>
      <c r="H899" s="14" t="inlineStr">
        <is>
          <t>10 EVIDENCE &amp; DECISIONS</t>
        </is>
      </c>
    </row>
    <row r="900" ht="34" customHeight="1">
      <c r="A900" s="23" t="inlineStr">
        <is>
          <t>R574-v2</t>
        </is>
      </c>
      <c r="B900" s="23" t="inlineStr">
        <is>
          <t>Contractor Programme</t>
        </is>
      </c>
      <c r="C900" s="23" t="inlineStr">
        <is>
          <t>SCH-04-034</t>
        </is>
      </c>
      <c r="D900" s="23" t="inlineStr">
        <is>
          <t>1.4.1 Vehicles and Depot - Fleet Supply</t>
        </is>
      </c>
      <c r="E900" s="23" t="inlineStr">
        <is>
          <t>Carried forward</t>
        </is>
      </c>
      <c r="F900" s="23" t="inlineStr"/>
      <c r="G900" s="23" t="inlineStr">
        <is>
          <t>Source assignment -- not individually reviewed</t>
        </is>
      </c>
      <c r="H900" s="14" t="inlineStr">
        <is>
          <t>10 EVIDENCE &amp; DECISIONS</t>
        </is>
      </c>
    </row>
    <row r="901" ht="34" customHeight="1">
      <c r="A901" s="23" t="inlineStr">
        <is>
          <t>R575-v2</t>
        </is>
      </c>
      <c r="B901" s="23" t="inlineStr">
        <is>
          <t>Contractor Programme</t>
        </is>
      </c>
      <c r="C901" s="23" t="inlineStr">
        <is>
          <t>SCH-04-035</t>
        </is>
      </c>
      <c r="D901" s="23" t="inlineStr">
        <is>
          <t>1.4.1 Vehicles and Depot - Fleet Supply</t>
        </is>
      </c>
      <c r="E901" s="23" t="inlineStr">
        <is>
          <t>Carried forward</t>
        </is>
      </c>
      <c r="F901" s="23" t="inlineStr"/>
      <c r="G901" s="23" t="inlineStr">
        <is>
          <t>Source assignment -- not individually reviewed</t>
        </is>
      </c>
      <c r="H901" s="14" t="inlineStr">
        <is>
          <t>10 EVIDENCE &amp; DECISIONS</t>
        </is>
      </c>
    </row>
    <row r="902" ht="34" customHeight="1">
      <c r="A902" s="23" t="inlineStr">
        <is>
          <t>R577-v2</t>
        </is>
      </c>
      <c r="B902" s="23" t="inlineStr">
        <is>
          <t>Contractor Programme</t>
        </is>
      </c>
      <c r="C902" s="23" t="inlineStr">
        <is>
          <t>SCH-04-037</t>
        </is>
      </c>
      <c r="D902" s="23" t="inlineStr">
        <is>
          <t>1.4.1 Vehicles and Depot - Fleet Supply</t>
        </is>
      </c>
      <c r="E902" s="23" t="inlineStr">
        <is>
          <t>Carried forward</t>
        </is>
      </c>
      <c r="F902" s="23" t="inlineStr"/>
      <c r="G902" s="23" t="inlineStr">
        <is>
          <t>Source assignment -- not individually reviewed</t>
        </is>
      </c>
      <c r="H902" s="14" t="inlineStr">
        <is>
          <t>10 EVIDENCE &amp; DECISIONS</t>
        </is>
      </c>
    </row>
    <row r="903" ht="34" customHeight="1">
      <c r="A903" s="23" t="inlineStr">
        <is>
          <t>R578-v2</t>
        </is>
      </c>
      <c r="B903" s="23" t="inlineStr">
        <is>
          <t>Contractor Programme</t>
        </is>
      </c>
      <c r="C903" s="23" t="inlineStr">
        <is>
          <t>SCH-04-038</t>
        </is>
      </c>
      <c r="D903" s="23" t="inlineStr">
        <is>
          <t>1.4.1 Vehicles and Depot - Fleet Supply</t>
        </is>
      </c>
      <c r="E903" s="23" t="inlineStr">
        <is>
          <t>Carried forward</t>
        </is>
      </c>
      <c r="F903" s="23" t="inlineStr"/>
      <c r="G903" s="23" t="inlineStr">
        <is>
          <t>Source assignment -- not individually reviewed</t>
        </is>
      </c>
      <c r="H903" s="14" t="inlineStr">
        <is>
          <t>10 EVIDENCE &amp; DECISIONS</t>
        </is>
      </c>
    </row>
    <row r="904" ht="34" customHeight="1">
      <c r="A904" s="23" t="inlineStr">
        <is>
          <t>R580-v2</t>
        </is>
      </c>
      <c r="B904" s="23" t="inlineStr">
        <is>
          <t>Contractor Programme</t>
        </is>
      </c>
      <c r="C904" s="23" t="inlineStr">
        <is>
          <t>SCH-04-040</t>
        </is>
      </c>
      <c r="D904" s="23" t="inlineStr">
        <is>
          <t>1.4.1 Vehicles and Depot - Fleet Supply</t>
        </is>
      </c>
      <c r="E904" s="23" t="inlineStr">
        <is>
          <t>Carried forward</t>
        </is>
      </c>
      <c r="F904" s="23" t="inlineStr"/>
      <c r="G904" s="23" t="inlineStr">
        <is>
          <t>Source assignment -- not individually reviewed</t>
        </is>
      </c>
      <c r="H904" s="14" t="inlineStr">
        <is>
          <t>10 EVIDENCE &amp; DECISIONS</t>
        </is>
      </c>
    </row>
    <row r="905" ht="34" customHeight="1">
      <c r="A905" s="23" t="inlineStr">
        <is>
          <t>R581-v2</t>
        </is>
      </c>
      <c r="B905" s="23" t="inlineStr">
        <is>
          <t>Contractor Programme</t>
        </is>
      </c>
      <c r="C905" s="23" t="inlineStr">
        <is>
          <t>SCH-04-041</t>
        </is>
      </c>
      <c r="D905" s="23" t="inlineStr">
        <is>
          <t>1.4.1 Vehicles and Depot - Fleet Supply</t>
        </is>
      </c>
      <c r="E905" s="23" t="inlineStr">
        <is>
          <t>Carried forward</t>
        </is>
      </c>
      <c r="F905" s="23" t="inlineStr"/>
      <c r="G905" s="23" t="inlineStr">
        <is>
          <t>Source assignment -- not individually reviewed</t>
        </is>
      </c>
      <c r="H905" s="14" t="inlineStr">
        <is>
          <t>10 EVIDENCE &amp; DECISIONS</t>
        </is>
      </c>
    </row>
    <row r="906" ht="34" customHeight="1">
      <c r="A906" s="23" t="inlineStr">
        <is>
          <t>R583-v2</t>
        </is>
      </c>
      <c r="B906" s="23" t="inlineStr">
        <is>
          <t>Contractor Programme</t>
        </is>
      </c>
      <c r="C906" s="23" t="inlineStr">
        <is>
          <t>SCH-04-043</t>
        </is>
      </c>
      <c r="D906" s="23" t="inlineStr">
        <is>
          <t>1.4.1 Vehicles and Depot - Fleet Supply</t>
        </is>
      </c>
      <c r="E906" s="23" t="inlineStr">
        <is>
          <t>Carried forward</t>
        </is>
      </c>
      <c r="F906" s="23" t="inlineStr"/>
      <c r="G906" s="23" t="inlineStr">
        <is>
          <t>Source assignment -- not individually reviewed</t>
        </is>
      </c>
      <c r="H906" s="14" t="inlineStr">
        <is>
          <t>10 EVIDENCE &amp; DECISIONS</t>
        </is>
      </c>
    </row>
    <row r="907" ht="34" customHeight="1">
      <c r="A907" s="23" t="inlineStr">
        <is>
          <t>R584-v2</t>
        </is>
      </c>
      <c r="B907" s="23" t="inlineStr">
        <is>
          <t>Contractor Programme</t>
        </is>
      </c>
      <c r="C907" s="23" t="inlineStr">
        <is>
          <t>SCH-04-044</t>
        </is>
      </c>
      <c r="D907" s="23" t="inlineStr">
        <is>
          <t>1.4.1 Vehicles and Depot - Fleet Supply</t>
        </is>
      </c>
      <c r="E907" s="23" t="inlineStr">
        <is>
          <t>Carried forward</t>
        </is>
      </c>
      <c r="F907" s="23" t="inlineStr"/>
      <c r="G907" s="23" t="inlineStr">
        <is>
          <t>Source assignment -- not individually reviewed</t>
        </is>
      </c>
      <c r="H907" s="14" t="inlineStr">
        <is>
          <t>10 EVIDENCE &amp; DECISIONS</t>
        </is>
      </c>
    </row>
    <row r="908" ht="34" customHeight="1">
      <c r="A908" s="23" t="inlineStr">
        <is>
          <t>R586-v2</t>
        </is>
      </c>
      <c r="B908" s="23" t="inlineStr">
        <is>
          <t>Contractor Programme</t>
        </is>
      </c>
      <c r="C908" s="23" t="inlineStr">
        <is>
          <t>SCH-04-046</t>
        </is>
      </c>
      <c r="D908" s="23" t="inlineStr">
        <is>
          <t>1.4.1 Vehicles and Depot - Fleet Supply</t>
        </is>
      </c>
      <c r="E908" s="23" t="inlineStr">
        <is>
          <t>Carried forward</t>
        </is>
      </c>
      <c r="F908" s="23" t="inlineStr"/>
      <c r="G908" s="23" t="inlineStr">
        <is>
          <t>Source assignment -- not individually reviewed</t>
        </is>
      </c>
      <c r="H908" s="14" t="inlineStr">
        <is>
          <t>10 EVIDENCE &amp; DECISIONS</t>
        </is>
      </c>
    </row>
    <row r="909" ht="34" customHeight="1">
      <c r="A909" s="23" t="inlineStr">
        <is>
          <t>R587-v2</t>
        </is>
      </c>
      <c r="B909" s="23" t="inlineStr">
        <is>
          <t>Contractor Programme</t>
        </is>
      </c>
      <c r="C909" s="23" t="inlineStr">
        <is>
          <t>SCH-04-047</t>
        </is>
      </c>
      <c r="D909" s="23" t="inlineStr">
        <is>
          <t>1.4.1 Vehicles and Depot - Fleet Supply</t>
        </is>
      </c>
      <c r="E909" s="23" t="inlineStr">
        <is>
          <t>Carried forward</t>
        </is>
      </c>
      <c r="F909" s="23" t="inlineStr"/>
      <c r="G909" s="23" t="inlineStr">
        <is>
          <t>Source assignment -- not individually reviewed</t>
        </is>
      </c>
      <c r="H909" s="14" t="inlineStr">
        <is>
          <t>10 EVIDENCE &amp; DECISIONS</t>
        </is>
      </c>
    </row>
    <row r="910" ht="34" customHeight="1">
      <c r="A910" s="23" t="inlineStr">
        <is>
          <t>R589-v2</t>
        </is>
      </c>
      <c r="B910" s="23" t="inlineStr">
        <is>
          <t>Contractor Programme</t>
        </is>
      </c>
      <c r="C910" s="23" t="inlineStr">
        <is>
          <t>SCH-04-049</t>
        </is>
      </c>
      <c r="D910" s="23" t="inlineStr">
        <is>
          <t>1.4.1 Vehicles and Depot - Fleet Supply</t>
        </is>
      </c>
      <c r="E910" s="23" t="inlineStr">
        <is>
          <t>Carried forward</t>
        </is>
      </c>
      <c r="F910" s="23" t="inlineStr"/>
      <c r="G910" s="23" t="inlineStr">
        <is>
          <t>Source assignment -- not individually reviewed</t>
        </is>
      </c>
      <c r="H910" s="14" t="inlineStr">
        <is>
          <t>10 EVIDENCE &amp; DECISIONS</t>
        </is>
      </c>
    </row>
    <row r="911" ht="34" customHeight="1">
      <c r="A911" s="23" t="inlineStr">
        <is>
          <t>R590-v2</t>
        </is>
      </c>
      <c r="B911" s="23" t="inlineStr">
        <is>
          <t>Contractor Programme</t>
        </is>
      </c>
      <c r="C911" s="23" t="inlineStr">
        <is>
          <t>SCH-04-050</t>
        </is>
      </c>
      <c r="D911" s="23" t="inlineStr">
        <is>
          <t>1.4.1 Vehicles and Depot - Fleet Supply</t>
        </is>
      </c>
      <c r="E911" s="23" t="inlineStr">
        <is>
          <t>Carried forward</t>
        </is>
      </c>
      <c r="F911" s="23" t="inlineStr"/>
      <c r="G911" s="23" t="inlineStr">
        <is>
          <t>Source assignment -- not individually reviewed</t>
        </is>
      </c>
      <c r="H911" s="14" t="inlineStr">
        <is>
          <t>10 EVIDENCE &amp; DECISIONS</t>
        </is>
      </c>
    </row>
    <row r="912" ht="34" customHeight="1">
      <c r="A912" s="23" t="inlineStr">
        <is>
          <t>R592-v2</t>
        </is>
      </c>
      <c r="B912" s="23" t="inlineStr">
        <is>
          <t>Contractor Programme</t>
        </is>
      </c>
      <c r="C912" s="23" t="inlineStr">
        <is>
          <t>SCH-04-052</t>
        </is>
      </c>
      <c r="D912" s="23" t="inlineStr">
        <is>
          <t>1.4.1 Vehicles and Depot - Fleet Supply</t>
        </is>
      </c>
      <c r="E912" s="23" t="inlineStr">
        <is>
          <t>Carried forward</t>
        </is>
      </c>
      <c r="F912" s="23" t="inlineStr"/>
      <c r="G912" s="23" t="inlineStr">
        <is>
          <t>Source assignment -- not individually reviewed</t>
        </is>
      </c>
      <c r="H912" s="14" t="inlineStr">
        <is>
          <t>10 EVIDENCE &amp; DECISIONS</t>
        </is>
      </c>
    </row>
    <row r="913" ht="34" customHeight="1">
      <c r="A913" s="23" t="inlineStr">
        <is>
          <t>R593-v2</t>
        </is>
      </c>
      <c r="B913" s="23" t="inlineStr">
        <is>
          <t>Contractor Programme</t>
        </is>
      </c>
      <c r="C913" s="23" t="inlineStr">
        <is>
          <t>SCH-04-053</t>
        </is>
      </c>
      <c r="D913" s="23" t="inlineStr">
        <is>
          <t>1.4.1 Vehicles and Depot - Fleet Supply</t>
        </is>
      </c>
      <c r="E913" s="23" t="inlineStr">
        <is>
          <t>Carried forward</t>
        </is>
      </c>
      <c r="F913" s="23" t="inlineStr"/>
      <c r="G913" s="23" t="inlineStr">
        <is>
          <t>Source assignment -- not individually reviewed</t>
        </is>
      </c>
      <c r="H913" s="14" t="inlineStr">
        <is>
          <t>10 EVIDENCE &amp; DECISIONS</t>
        </is>
      </c>
    </row>
    <row r="914" ht="34" customHeight="1">
      <c r="A914" s="23" t="inlineStr">
        <is>
          <t>R595-v2</t>
        </is>
      </c>
      <c r="B914" s="23" t="inlineStr">
        <is>
          <t>Contractor Programme</t>
        </is>
      </c>
      <c r="C914" s="23" t="inlineStr">
        <is>
          <t>SCH-04-055</t>
        </is>
      </c>
      <c r="D914" s="23" t="inlineStr">
        <is>
          <t>1.4.1 Vehicles and Depot - Fleet Supply</t>
        </is>
      </c>
      <c r="E914" s="23" t="inlineStr">
        <is>
          <t>Carried forward</t>
        </is>
      </c>
      <c r="F914" s="23" t="inlineStr"/>
      <c r="G914" s="23" t="inlineStr">
        <is>
          <t>Source assignment -- not individually reviewed</t>
        </is>
      </c>
      <c r="H914" s="14" t="inlineStr">
        <is>
          <t>10 EVIDENCE &amp; DECISIONS</t>
        </is>
      </c>
    </row>
    <row r="915" ht="34" customHeight="1">
      <c r="A915" s="23" t="inlineStr">
        <is>
          <t>R596-v2</t>
        </is>
      </c>
      <c r="B915" s="23" t="inlineStr">
        <is>
          <t>Contractor Programme</t>
        </is>
      </c>
      <c r="C915" s="23" t="inlineStr">
        <is>
          <t>SCH-04-056</t>
        </is>
      </c>
      <c r="D915" s="23" t="inlineStr">
        <is>
          <t>1.4.1 Vehicles and Depot - Fleet Supply</t>
        </is>
      </c>
      <c r="E915" s="23" t="inlineStr">
        <is>
          <t>Carried forward</t>
        </is>
      </c>
      <c r="F915" s="23" t="inlineStr"/>
      <c r="G915" s="23" t="inlineStr">
        <is>
          <t>Source assignment -- not individually reviewed</t>
        </is>
      </c>
      <c r="H915" s="14" t="inlineStr">
        <is>
          <t>10 EVIDENCE &amp; DECISIONS</t>
        </is>
      </c>
    </row>
    <row r="916" ht="34" customHeight="1">
      <c r="A916" s="23" t="inlineStr">
        <is>
          <t>R598-v2</t>
        </is>
      </c>
      <c r="B916" s="23" t="inlineStr">
        <is>
          <t>Contractor Programme</t>
        </is>
      </c>
      <c r="C916" s="23" t="inlineStr">
        <is>
          <t>SCH-04-058</t>
        </is>
      </c>
      <c r="D916" s="23" t="inlineStr">
        <is>
          <t>1.4.1 Vehicles and Depot - Fleet Supply</t>
        </is>
      </c>
      <c r="E916" s="23" t="inlineStr">
        <is>
          <t>Carried forward</t>
        </is>
      </c>
      <c r="F916" s="23" t="inlineStr"/>
      <c r="G916" s="23" t="inlineStr">
        <is>
          <t>Source assignment -- not individually reviewed</t>
        </is>
      </c>
      <c r="H916" s="14" t="inlineStr">
        <is>
          <t>10 EVIDENCE &amp; DECISIONS</t>
        </is>
      </c>
    </row>
    <row r="917" ht="34" customHeight="1">
      <c r="A917" s="23" t="inlineStr">
        <is>
          <t>R599-v2</t>
        </is>
      </c>
      <c r="B917" s="23" t="inlineStr">
        <is>
          <t>Contractor Programme</t>
        </is>
      </c>
      <c r="C917" s="23" t="inlineStr">
        <is>
          <t>SCH-04-059</t>
        </is>
      </c>
      <c r="D917" s="23" t="inlineStr">
        <is>
          <t>1.4.1 Vehicles and Depot - Fleet Supply</t>
        </is>
      </c>
      <c r="E917" s="23" t="inlineStr">
        <is>
          <t>Carried forward</t>
        </is>
      </c>
      <c r="F917" s="23" t="inlineStr"/>
      <c r="G917" s="23" t="inlineStr">
        <is>
          <t>Source assignment -- not individually reviewed</t>
        </is>
      </c>
      <c r="H917" s="14" t="inlineStr">
        <is>
          <t>10 EVIDENCE &amp; DECISIONS</t>
        </is>
      </c>
    </row>
    <row r="918" ht="34" customHeight="1">
      <c r="A918" s="23" t="inlineStr">
        <is>
          <t>R601-v2</t>
        </is>
      </c>
      <c r="B918" s="23" t="inlineStr">
        <is>
          <t>Contractor Programme</t>
        </is>
      </c>
      <c r="C918" s="23" t="inlineStr">
        <is>
          <t>SCH-04-061</t>
        </is>
      </c>
      <c r="D918" s="23" t="inlineStr">
        <is>
          <t>1.4.1 Vehicles and Depot - Fleet Supply</t>
        </is>
      </c>
      <c r="E918" s="23" t="inlineStr">
        <is>
          <t>Carried forward</t>
        </is>
      </c>
      <c r="F918" s="23" t="inlineStr"/>
      <c r="G918" s="23" t="inlineStr">
        <is>
          <t>Source assignment -- not individually reviewed</t>
        </is>
      </c>
      <c r="H918" s="14" t="inlineStr">
        <is>
          <t>10 EVIDENCE &amp; DECISIONS</t>
        </is>
      </c>
    </row>
    <row r="919" ht="34" customHeight="1">
      <c r="A919" s="23" t="inlineStr">
        <is>
          <t>R602-v2</t>
        </is>
      </c>
      <c r="B919" s="23" t="inlineStr">
        <is>
          <t>Contractor Programme</t>
        </is>
      </c>
      <c r="C919" s="23" t="inlineStr">
        <is>
          <t>SCH-04-062</t>
        </is>
      </c>
      <c r="D919" s="23" t="inlineStr">
        <is>
          <t>1.4.1 Vehicles and Depot - Fleet Supply</t>
        </is>
      </c>
      <c r="E919" s="23" t="inlineStr">
        <is>
          <t>Carried forward</t>
        </is>
      </c>
      <c r="F919" s="23" t="inlineStr"/>
      <c r="G919" s="23" t="inlineStr">
        <is>
          <t>Source assignment -- not individually reviewed</t>
        </is>
      </c>
      <c r="H919" s="14" t="inlineStr">
        <is>
          <t>10 EVIDENCE &amp; DECISIONS</t>
        </is>
      </c>
    </row>
    <row r="920" ht="34" customHeight="1">
      <c r="A920" s="23" t="inlineStr">
        <is>
          <t>R604-v2</t>
        </is>
      </c>
      <c r="B920" s="23" t="inlineStr">
        <is>
          <t>Contractor Programme</t>
        </is>
      </c>
      <c r="C920" s="23" t="inlineStr">
        <is>
          <t>SCH-04-064</t>
        </is>
      </c>
      <c r="D920" s="23" t="inlineStr">
        <is>
          <t>1.4.1 Vehicles and Depot - Fleet Supply</t>
        </is>
      </c>
      <c r="E920" s="23" t="inlineStr">
        <is>
          <t>Carried forward</t>
        </is>
      </c>
      <c r="F920" s="23" t="inlineStr"/>
      <c r="G920" s="23" t="inlineStr">
        <is>
          <t>Source assignment -- not individually reviewed</t>
        </is>
      </c>
      <c r="H920" s="14" t="inlineStr">
        <is>
          <t>10 EVIDENCE &amp; DECISIONS</t>
        </is>
      </c>
    </row>
    <row r="921" ht="34" customHeight="1">
      <c r="A921" s="23" t="inlineStr">
        <is>
          <t>R605-v2</t>
        </is>
      </c>
      <c r="B921" s="23" t="inlineStr">
        <is>
          <t>Contractor Programme</t>
        </is>
      </c>
      <c r="C921" s="23" t="inlineStr">
        <is>
          <t>SCH-04-065</t>
        </is>
      </c>
      <c r="D921" s="23" t="inlineStr">
        <is>
          <t>1.4.1 Vehicles and Depot - Fleet Supply</t>
        </is>
      </c>
      <c r="E921" s="23" t="inlineStr">
        <is>
          <t>Carried forward</t>
        </is>
      </c>
      <c r="F921" s="23" t="inlineStr"/>
      <c r="G921" s="23" t="inlineStr">
        <is>
          <t>Source assignment -- not individually reviewed</t>
        </is>
      </c>
      <c r="H921" s="14" t="inlineStr">
        <is>
          <t>10 EVIDENCE &amp; DECISIONS</t>
        </is>
      </c>
    </row>
    <row r="922" ht="34" customHeight="1">
      <c r="A922" s="23" t="inlineStr">
        <is>
          <t>R607-v2</t>
        </is>
      </c>
      <c r="B922" s="23" t="inlineStr">
        <is>
          <t>Contractor Programme</t>
        </is>
      </c>
      <c r="C922" s="23" t="inlineStr">
        <is>
          <t>SCH-04-067</t>
        </is>
      </c>
      <c r="D922" s="23" t="inlineStr">
        <is>
          <t>1.4.1 Vehicles and Depot - Fleet Supply</t>
        </is>
      </c>
      <c r="E922" s="23" t="inlineStr">
        <is>
          <t>Carried forward</t>
        </is>
      </c>
      <c r="F922" s="23" t="inlineStr"/>
      <c r="G922" s="23" t="inlineStr">
        <is>
          <t>Source assignment -- not individually reviewed</t>
        </is>
      </c>
      <c r="H922" s="14" t="inlineStr">
        <is>
          <t>10 EVIDENCE &amp; DECISIONS</t>
        </is>
      </c>
    </row>
    <row r="923" ht="34" customHeight="1">
      <c r="A923" s="23" t="inlineStr">
        <is>
          <t>R608-v2</t>
        </is>
      </c>
      <c r="B923" s="23" t="inlineStr">
        <is>
          <t>Contractor Programme</t>
        </is>
      </c>
      <c r="C923" s="23" t="inlineStr">
        <is>
          <t>SCH-04-068</t>
        </is>
      </c>
      <c r="D923" s="23" t="inlineStr">
        <is>
          <t>1.4.1 Vehicles and Depot - Fleet Supply</t>
        </is>
      </c>
      <c r="E923" s="23" t="inlineStr">
        <is>
          <t>Carried forward</t>
        </is>
      </c>
      <c r="F923" s="23" t="inlineStr"/>
      <c r="G923" s="23" t="inlineStr">
        <is>
          <t>Source assignment -- not individually reviewed</t>
        </is>
      </c>
      <c r="H923" s="14" t="inlineStr">
        <is>
          <t>10 EVIDENCE &amp; DECISIONS</t>
        </is>
      </c>
    </row>
    <row r="924" ht="34" customHeight="1">
      <c r="A924" s="23" t="inlineStr">
        <is>
          <t>R610-v2</t>
        </is>
      </c>
      <c r="B924" s="23" t="inlineStr">
        <is>
          <t>Contractor Programme</t>
        </is>
      </c>
      <c r="C924" s="23" t="inlineStr">
        <is>
          <t>SCH-04-070</t>
        </is>
      </c>
      <c r="D924" s="23" t="inlineStr">
        <is>
          <t>1.4.1 Vehicles and Depot - Fleet Supply</t>
        </is>
      </c>
      <c r="E924" s="23" t="inlineStr">
        <is>
          <t>Carried forward</t>
        </is>
      </c>
      <c r="F924" s="23" t="inlineStr"/>
      <c r="G924" s="23" t="inlineStr">
        <is>
          <t>Source assignment -- not individually reviewed</t>
        </is>
      </c>
      <c r="H924" s="14" t="inlineStr">
        <is>
          <t>10 EVIDENCE &amp; DECISIONS</t>
        </is>
      </c>
    </row>
    <row r="925" ht="34" customHeight="1">
      <c r="A925" s="23" t="inlineStr">
        <is>
          <t>R611-v2</t>
        </is>
      </c>
      <c r="B925" s="23" t="inlineStr">
        <is>
          <t>Contractor Programme</t>
        </is>
      </c>
      <c r="C925" s="23" t="inlineStr">
        <is>
          <t>SCH-04-071</t>
        </is>
      </c>
      <c r="D925" s="23" t="inlineStr">
        <is>
          <t>1.4.1 Vehicles and Depot - Fleet Supply</t>
        </is>
      </c>
      <c r="E925" s="23" t="inlineStr">
        <is>
          <t>Carried forward</t>
        </is>
      </c>
      <c r="F925" s="23" t="inlineStr"/>
      <c r="G925" s="23" t="inlineStr">
        <is>
          <t>Source assignment -- not individually reviewed</t>
        </is>
      </c>
      <c r="H925" s="14" t="inlineStr">
        <is>
          <t>10 EVIDENCE &amp; DECISIONS</t>
        </is>
      </c>
    </row>
    <row r="926" ht="34" customHeight="1">
      <c r="A926" s="23" t="inlineStr">
        <is>
          <t>R613-v2</t>
        </is>
      </c>
      <c r="B926" s="23" t="inlineStr">
        <is>
          <t>Contractor Programme</t>
        </is>
      </c>
      <c r="C926" s="23" t="inlineStr">
        <is>
          <t>SCH-04-073</t>
        </is>
      </c>
      <c r="D926" s="23" t="inlineStr">
        <is>
          <t>1.4.1 Vehicles and Depot - Fleet Supply</t>
        </is>
      </c>
      <c r="E926" s="23" t="inlineStr">
        <is>
          <t>Carried forward</t>
        </is>
      </c>
      <c r="F926" s="23" t="inlineStr"/>
      <c r="G926" s="23" t="inlineStr">
        <is>
          <t>Source assignment -- not individually reviewed</t>
        </is>
      </c>
      <c r="H926" s="14" t="inlineStr">
        <is>
          <t>10 EVIDENCE &amp; DECISIONS</t>
        </is>
      </c>
    </row>
    <row r="927" ht="34" customHeight="1">
      <c r="A927" s="23" t="inlineStr">
        <is>
          <t>R614-v2</t>
        </is>
      </c>
      <c r="B927" s="23" t="inlineStr">
        <is>
          <t>Contractor Programme</t>
        </is>
      </c>
      <c r="C927" s="23" t="inlineStr">
        <is>
          <t>SCH-04-074</t>
        </is>
      </c>
      <c r="D927" s="23" t="inlineStr">
        <is>
          <t>1.4.1 Vehicles and Depot - Fleet Supply</t>
        </is>
      </c>
      <c r="E927" s="23" t="inlineStr">
        <is>
          <t>Carried forward</t>
        </is>
      </c>
      <c r="F927" s="23" t="inlineStr"/>
      <c r="G927" s="23" t="inlineStr">
        <is>
          <t>Source assignment -- not individually reviewed</t>
        </is>
      </c>
      <c r="H927" s="14" t="inlineStr">
        <is>
          <t>10 EVIDENCE &amp; DECISIONS</t>
        </is>
      </c>
    </row>
    <row r="928" ht="34" customHeight="1">
      <c r="A928" s="23" t="inlineStr">
        <is>
          <t>R616-v2</t>
        </is>
      </c>
      <c r="B928" s="23" t="inlineStr">
        <is>
          <t>Contractor Programme</t>
        </is>
      </c>
      <c r="C928" s="23" t="inlineStr">
        <is>
          <t>SCH-04-076</t>
        </is>
      </c>
      <c r="D928" s="23" t="inlineStr">
        <is>
          <t>1.4.1 Vehicles and Depot - Fleet Supply</t>
        </is>
      </c>
      <c r="E928" s="23" t="inlineStr">
        <is>
          <t>Carried forward</t>
        </is>
      </c>
      <c r="F928" s="23" t="inlineStr"/>
      <c r="G928" s="23" t="inlineStr">
        <is>
          <t>Source assignment -- not individually reviewed</t>
        </is>
      </c>
      <c r="H928" s="14" t="inlineStr">
        <is>
          <t>10 EVIDENCE &amp; DECISIONS</t>
        </is>
      </c>
    </row>
    <row r="929" ht="34" customHeight="1">
      <c r="A929" s="23" t="inlineStr">
        <is>
          <t>R617-v2</t>
        </is>
      </c>
      <c r="B929" s="23" t="inlineStr">
        <is>
          <t>Contractor Programme</t>
        </is>
      </c>
      <c r="C929" s="23" t="inlineStr">
        <is>
          <t>SCH-04-077</t>
        </is>
      </c>
      <c r="D929" s="23" t="inlineStr">
        <is>
          <t>1.4.1 Vehicles and Depot - Fleet Supply</t>
        </is>
      </c>
      <c r="E929" s="23" t="inlineStr">
        <is>
          <t>Carried forward</t>
        </is>
      </c>
      <c r="F929" s="23" t="inlineStr"/>
      <c r="G929" s="23" t="inlineStr">
        <is>
          <t>Source assignment -- not individually reviewed</t>
        </is>
      </c>
      <c r="H929" s="14" t="inlineStr">
        <is>
          <t>10 EVIDENCE &amp; DECISIONS</t>
        </is>
      </c>
    </row>
    <row r="930" ht="34" customHeight="1">
      <c r="A930" s="23" t="inlineStr">
        <is>
          <t>R619-v2</t>
        </is>
      </c>
      <c r="B930" s="23" t="inlineStr">
        <is>
          <t>Contractor Programme</t>
        </is>
      </c>
      <c r="C930" s="23" t="inlineStr">
        <is>
          <t>SCH-04-079</t>
        </is>
      </c>
      <c r="D930" s="23" t="inlineStr">
        <is>
          <t>1.4.1 Vehicles and Depot - Fleet Supply</t>
        </is>
      </c>
      <c r="E930" s="23" t="inlineStr">
        <is>
          <t>Carried forward</t>
        </is>
      </c>
      <c r="F930" s="23" t="inlineStr"/>
      <c r="G930" s="23" t="inlineStr">
        <is>
          <t>Source assignment -- not individually reviewed</t>
        </is>
      </c>
      <c r="H930" s="14" t="inlineStr">
        <is>
          <t>10 EVIDENCE &amp; DECISIONS</t>
        </is>
      </c>
    </row>
    <row r="931" ht="34" customHeight="1">
      <c r="A931" s="23" t="inlineStr">
        <is>
          <t>R620-v2</t>
        </is>
      </c>
      <c r="B931" s="23" t="inlineStr">
        <is>
          <t>Contractor Programme</t>
        </is>
      </c>
      <c r="C931" s="23" t="inlineStr">
        <is>
          <t>SCH-04-080</t>
        </is>
      </c>
      <c r="D931" s="23" t="inlineStr">
        <is>
          <t>1.4.1 Vehicles and Depot - Fleet Supply</t>
        </is>
      </c>
      <c r="E931" s="23" t="inlineStr">
        <is>
          <t>Carried forward</t>
        </is>
      </c>
      <c r="F931" s="23" t="inlineStr"/>
      <c r="G931" s="23" t="inlineStr">
        <is>
          <t>Source assignment -- not individually reviewed</t>
        </is>
      </c>
      <c r="H931" s="14" t="inlineStr">
        <is>
          <t>10 EVIDENCE &amp; DECISIONS</t>
        </is>
      </c>
    </row>
    <row r="932" ht="34" customHeight="1">
      <c r="A932" s="23" t="inlineStr">
        <is>
          <t>R622-v2</t>
        </is>
      </c>
      <c r="B932" s="23" t="inlineStr">
        <is>
          <t>Contractor Programme</t>
        </is>
      </c>
      <c r="C932" s="23" t="inlineStr">
        <is>
          <t>SCH-04-082</t>
        </is>
      </c>
      <c r="D932" s="23" t="inlineStr">
        <is>
          <t>1.4.1 Vehicles and Depot - Fleet Supply</t>
        </is>
      </c>
      <c r="E932" s="23" t="inlineStr">
        <is>
          <t>Carried forward</t>
        </is>
      </c>
      <c r="F932" s="23" t="inlineStr"/>
      <c r="G932" s="23" t="inlineStr">
        <is>
          <t>Source assignment -- not individually reviewed</t>
        </is>
      </c>
      <c r="H932" s="14" t="inlineStr">
        <is>
          <t>10 EVIDENCE &amp; DECISIONS</t>
        </is>
      </c>
    </row>
    <row r="933" ht="34" customHeight="1">
      <c r="A933" s="23" t="inlineStr">
        <is>
          <t>R623-v2</t>
        </is>
      </c>
      <c r="B933" s="23" t="inlineStr">
        <is>
          <t>Contractor Programme</t>
        </is>
      </c>
      <c r="C933" s="23" t="inlineStr">
        <is>
          <t>SCH-04-083</t>
        </is>
      </c>
      <c r="D933" s="23" t="inlineStr">
        <is>
          <t>1.4.1 Vehicles and Depot - Fleet Supply</t>
        </is>
      </c>
      <c r="E933" s="23" t="inlineStr">
        <is>
          <t>Carried forward</t>
        </is>
      </c>
      <c r="F933" s="23" t="inlineStr"/>
      <c r="G933" s="23" t="inlineStr">
        <is>
          <t>Source assignment -- not individually reviewed</t>
        </is>
      </c>
      <c r="H933" s="14" t="inlineStr">
        <is>
          <t>10 EVIDENCE &amp; DECISIONS</t>
        </is>
      </c>
    </row>
    <row r="934" ht="34" customHeight="1">
      <c r="A934" s="23" t="inlineStr">
        <is>
          <t>R625-v2</t>
        </is>
      </c>
      <c r="B934" s="23" t="inlineStr">
        <is>
          <t>Contractor Programme</t>
        </is>
      </c>
      <c r="C934" s="23" t="inlineStr">
        <is>
          <t>SCH-04-085</t>
        </is>
      </c>
      <c r="D934" s="23" t="inlineStr">
        <is>
          <t>1.4.1 Vehicles and Depot - Fleet Supply</t>
        </is>
      </c>
      <c r="E934" s="23" t="inlineStr">
        <is>
          <t>Carried forward</t>
        </is>
      </c>
      <c r="F934" s="23" t="inlineStr"/>
      <c r="G934" s="23" t="inlineStr">
        <is>
          <t>Source assignment -- not individually reviewed</t>
        </is>
      </c>
      <c r="H934" s="14" t="inlineStr">
        <is>
          <t>10 EVIDENCE &amp; DECISIONS</t>
        </is>
      </c>
    </row>
    <row r="935" ht="34" customHeight="1">
      <c r="A935" s="23" t="inlineStr">
        <is>
          <t>R626-v2</t>
        </is>
      </c>
      <c r="B935" s="23" t="inlineStr">
        <is>
          <t>Contractor Programme</t>
        </is>
      </c>
      <c r="C935" s="23" t="inlineStr">
        <is>
          <t>SCH-04-086</t>
        </is>
      </c>
      <c r="D935" s="23" t="inlineStr">
        <is>
          <t>1.4.1 Vehicles and Depot - Fleet Supply</t>
        </is>
      </c>
      <c r="E935" s="23" t="inlineStr">
        <is>
          <t>Carried forward</t>
        </is>
      </c>
      <c r="F935" s="23" t="inlineStr"/>
      <c r="G935" s="23" t="inlineStr">
        <is>
          <t>Source assignment -- not individually reviewed</t>
        </is>
      </c>
      <c r="H935" s="14" t="inlineStr">
        <is>
          <t>10 EVIDENCE &amp; DECISIONS</t>
        </is>
      </c>
    </row>
    <row r="936" ht="34" customHeight="1">
      <c r="A936" s="23" t="inlineStr">
        <is>
          <t>R628-v2</t>
        </is>
      </c>
      <c r="B936" s="23" t="inlineStr">
        <is>
          <t>Contractor Programme</t>
        </is>
      </c>
      <c r="C936" s="23" t="inlineStr">
        <is>
          <t>SCH-04-088</t>
        </is>
      </c>
      <c r="D936" s="23" t="inlineStr">
        <is>
          <t>1.4.1 Vehicles and Depot - Fleet Supply</t>
        </is>
      </c>
      <c r="E936" s="23" t="inlineStr">
        <is>
          <t>Carried forward</t>
        </is>
      </c>
      <c r="F936" s="23" t="inlineStr"/>
      <c r="G936" s="23" t="inlineStr">
        <is>
          <t>Source assignment -- not individually reviewed</t>
        </is>
      </c>
      <c r="H936" s="14" t="inlineStr">
        <is>
          <t>10 EVIDENCE &amp; DECISIONS</t>
        </is>
      </c>
    </row>
    <row r="937" ht="34" customHeight="1">
      <c r="A937" s="23" t="inlineStr">
        <is>
          <t>R629-v2</t>
        </is>
      </c>
      <c r="B937" s="23" t="inlineStr">
        <is>
          <t>Contractor Programme</t>
        </is>
      </c>
      <c r="C937" s="23" t="inlineStr">
        <is>
          <t>SCH-04-089</t>
        </is>
      </c>
      <c r="D937" s="23" t="inlineStr">
        <is>
          <t>1.4.1 Vehicles and Depot - Fleet Supply</t>
        </is>
      </c>
      <c r="E937" s="23" t="inlineStr">
        <is>
          <t>Carried forward</t>
        </is>
      </c>
      <c r="F937" s="23" t="inlineStr"/>
      <c r="G937" s="23" t="inlineStr">
        <is>
          <t>Source assignment -- not individually reviewed</t>
        </is>
      </c>
      <c r="H937" s="14" t="inlineStr">
        <is>
          <t>10 EVIDENCE &amp; DECISIONS</t>
        </is>
      </c>
    </row>
    <row r="938" ht="34" customHeight="1">
      <c r="A938" s="23" t="inlineStr">
        <is>
          <t>R631-v2</t>
        </is>
      </c>
      <c r="B938" s="23" t="inlineStr">
        <is>
          <t>Contractor Programme</t>
        </is>
      </c>
      <c r="C938" s="23" t="inlineStr">
        <is>
          <t>SCH-04-091</t>
        </is>
      </c>
      <c r="D938" s="23" t="inlineStr">
        <is>
          <t>1.4.1 Vehicles and Depot - Fleet Supply</t>
        </is>
      </c>
      <c r="E938" s="23" t="inlineStr">
        <is>
          <t>Carried forward</t>
        </is>
      </c>
      <c r="F938" s="23" t="inlineStr"/>
      <c r="G938" s="23" t="inlineStr">
        <is>
          <t>Source assignment -- not individually reviewed</t>
        </is>
      </c>
      <c r="H938" s="14" t="inlineStr">
        <is>
          <t>10 EVIDENCE &amp; DECISIONS</t>
        </is>
      </c>
    </row>
    <row r="939" ht="34" customHeight="1">
      <c r="A939" s="23" t="inlineStr">
        <is>
          <t>R632-v2</t>
        </is>
      </c>
      <c r="B939" s="23" t="inlineStr">
        <is>
          <t>Contractor Programme</t>
        </is>
      </c>
      <c r="C939" s="23" t="inlineStr">
        <is>
          <t>SCH-04-092</t>
        </is>
      </c>
      <c r="D939" s="23" t="inlineStr">
        <is>
          <t>1.4.1 Vehicles and Depot - Fleet Supply</t>
        </is>
      </c>
      <c r="E939" s="23" t="inlineStr">
        <is>
          <t>Carried forward</t>
        </is>
      </c>
      <c r="F939" s="23" t="inlineStr"/>
      <c r="G939" s="23" t="inlineStr">
        <is>
          <t>Source assignment -- not individually reviewed</t>
        </is>
      </c>
      <c r="H939" s="14" t="inlineStr">
        <is>
          <t>10 EVIDENCE &amp; DECISIONS</t>
        </is>
      </c>
    </row>
    <row r="940" ht="34" customHeight="1">
      <c r="A940" s="23" t="inlineStr">
        <is>
          <t>R634-v2</t>
        </is>
      </c>
      <c r="B940" s="23" t="inlineStr">
        <is>
          <t>Contractor Programme</t>
        </is>
      </c>
      <c r="C940" s="23" t="inlineStr">
        <is>
          <t>SCH-04-094</t>
        </is>
      </c>
      <c r="D940" s="23" t="inlineStr">
        <is>
          <t>1.4.1 Vehicles and Depot - Fleet Supply</t>
        </is>
      </c>
      <c r="E940" s="23" t="inlineStr">
        <is>
          <t>Carried forward</t>
        </is>
      </c>
      <c r="F940" s="23" t="inlineStr"/>
      <c r="G940" s="23" t="inlineStr">
        <is>
          <t>Source assignment -- not individually reviewed</t>
        </is>
      </c>
      <c r="H940" s="14" t="inlineStr">
        <is>
          <t>10 EVIDENCE &amp; DECISIONS</t>
        </is>
      </c>
    </row>
    <row r="941" ht="34" customHeight="1">
      <c r="A941" s="23" t="inlineStr">
        <is>
          <t>R635-v2</t>
        </is>
      </c>
      <c r="B941" s="23" t="inlineStr">
        <is>
          <t>Contractor Programme</t>
        </is>
      </c>
      <c r="C941" s="23" t="inlineStr">
        <is>
          <t>SCH-04-095</t>
        </is>
      </c>
      <c r="D941" s="23" t="inlineStr">
        <is>
          <t>1.4.1 Vehicles and Depot - Fleet Supply</t>
        </is>
      </c>
      <c r="E941" s="23" t="inlineStr">
        <is>
          <t>Carried forward</t>
        </is>
      </c>
      <c r="F941" s="23" t="inlineStr"/>
      <c r="G941" s="23" t="inlineStr">
        <is>
          <t>Source assignment -- not individually reviewed</t>
        </is>
      </c>
      <c r="H941" s="14" t="inlineStr">
        <is>
          <t>10 EVIDENCE &amp; DECISIONS</t>
        </is>
      </c>
    </row>
    <row r="942" ht="34" customHeight="1">
      <c r="A942" s="23" t="inlineStr">
        <is>
          <t>R637-v2</t>
        </is>
      </c>
      <c r="B942" s="23" t="inlineStr">
        <is>
          <t>Contractor Programme</t>
        </is>
      </c>
      <c r="C942" s="23" t="inlineStr">
        <is>
          <t>SCH-04-097</t>
        </is>
      </c>
      <c r="D942" s="23" t="inlineStr">
        <is>
          <t>1.4.1 Vehicles and Depot - Fleet Supply</t>
        </is>
      </c>
      <c r="E942" s="23" t="inlineStr">
        <is>
          <t>Carried forward</t>
        </is>
      </c>
      <c r="F942" s="23" t="inlineStr"/>
      <c r="G942" s="23" t="inlineStr">
        <is>
          <t>Source assignment -- not individually reviewed</t>
        </is>
      </c>
      <c r="H942" s="14" t="inlineStr">
        <is>
          <t>10 EVIDENCE &amp; DECISIONS</t>
        </is>
      </c>
    </row>
    <row r="943" ht="34" customHeight="1">
      <c r="A943" s="23" t="inlineStr">
        <is>
          <t>R638-v2</t>
        </is>
      </c>
      <c r="B943" s="23" t="inlineStr">
        <is>
          <t>Contractor Programme</t>
        </is>
      </c>
      <c r="C943" s="23" t="inlineStr">
        <is>
          <t>SCH-04-098</t>
        </is>
      </c>
      <c r="D943" s="23" t="inlineStr">
        <is>
          <t>1.4.1 Vehicles and Depot - Fleet Supply</t>
        </is>
      </c>
      <c r="E943" s="23" t="inlineStr">
        <is>
          <t>Carried forward</t>
        </is>
      </c>
      <c r="F943" s="23" t="inlineStr"/>
      <c r="G943" s="23" t="inlineStr">
        <is>
          <t>Source assignment -- not individually reviewed</t>
        </is>
      </c>
      <c r="H943" s="14" t="inlineStr">
        <is>
          <t>10 EVIDENCE &amp; DECISIONS</t>
        </is>
      </c>
    </row>
    <row r="944" ht="34" customHeight="1">
      <c r="A944" s="23" t="inlineStr">
        <is>
          <t>R640-v2</t>
        </is>
      </c>
      <c r="B944" s="23" t="inlineStr">
        <is>
          <t>Contractor Programme</t>
        </is>
      </c>
      <c r="C944" s="23" t="inlineStr">
        <is>
          <t>SCH-04-100</t>
        </is>
      </c>
      <c r="D944" s="23" t="inlineStr">
        <is>
          <t>1.4.1 Vehicles and Depot - Fleet Supply</t>
        </is>
      </c>
      <c r="E944" s="23" t="inlineStr">
        <is>
          <t>Carried forward</t>
        </is>
      </c>
      <c r="F944" s="23" t="inlineStr"/>
      <c r="G944" s="23" t="inlineStr">
        <is>
          <t>Source assignment -- not individually reviewed</t>
        </is>
      </c>
      <c r="H944" s="14" t="inlineStr">
        <is>
          <t>10 EVIDENCE &amp; DECISIONS</t>
        </is>
      </c>
    </row>
    <row r="945" ht="34" customHeight="1">
      <c r="A945" s="23" t="inlineStr">
        <is>
          <t>R641-v2</t>
        </is>
      </c>
      <c r="B945" s="23" t="inlineStr">
        <is>
          <t>Contractor Programme</t>
        </is>
      </c>
      <c r="C945" s="23" t="inlineStr">
        <is>
          <t>SCH-04-101</t>
        </is>
      </c>
      <c r="D945" s="23" t="inlineStr">
        <is>
          <t>1.4.1 Vehicles and Depot - Fleet Supply</t>
        </is>
      </c>
      <c r="E945" s="23" t="inlineStr">
        <is>
          <t>Carried forward</t>
        </is>
      </c>
      <c r="F945" s="23" t="inlineStr"/>
      <c r="G945" s="23" t="inlineStr">
        <is>
          <t>Source assignment -- not individually reviewed</t>
        </is>
      </c>
      <c r="H945" s="14" t="inlineStr">
        <is>
          <t>10 EVIDENCE &amp; DECISIONS</t>
        </is>
      </c>
    </row>
    <row r="946" ht="34" customHeight="1">
      <c r="A946" s="23" t="inlineStr">
        <is>
          <t>R643-v2</t>
        </is>
      </c>
      <c r="B946" s="23" t="inlineStr">
        <is>
          <t>Contractor Programme</t>
        </is>
      </c>
      <c r="C946" s="23" t="inlineStr">
        <is>
          <t>SCH-04-103</t>
        </is>
      </c>
      <c r="D946" s="23" t="inlineStr">
        <is>
          <t>1.4.1 Vehicles and Depot - Fleet Supply</t>
        </is>
      </c>
      <c r="E946" s="23" t="inlineStr">
        <is>
          <t>Carried forward</t>
        </is>
      </c>
      <c r="F946" s="23" t="inlineStr"/>
      <c r="G946" s="23" t="inlineStr">
        <is>
          <t>Source assignment -- not individually reviewed</t>
        </is>
      </c>
      <c r="H946" s="14" t="inlineStr">
        <is>
          <t>10 EVIDENCE &amp; DECISIONS</t>
        </is>
      </c>
    </row>
    <row r="947" ht="34" customHeight="1">
      <c r="A947" s="23" t="inlineStr">
        <is>
          <t>R644-v2</t>
        </is>
      </c>
      <c r="B947" s="23" t="inlineStr">
        <is>
          <t>Contractor Programme</t>
        </is>
      </c>
      <c r="C947" s="23" t="inlineStr">
        <is>
          <t>SCH-04-104</t>
        </is>
      </c>
      <c r="D947" s="23" t="inlineStr">
        <is>
          <t>1.4.1 Vehicles and Depot - Fleet Supply</t>
        </is>
      </c>
      <c r="E947" s="23" t="inlineStr">
        <is>
          <t>Carried forward</t>
        </is>
      </c>
      <c r="F947" s="23" t="inlineStr"/>
      <c r="G947" s="23" t="inlineStr">
        <is>
          <t>Source assignment -- not individually reviewed</t>
        </is>
      </c>
      <c r="H947" s="14" t="inlineStr">
        <is>
          <t>10 EVIDENCE &amp; DECISIONS</t>
        </is>
      </c>
    </row>
    <row r="948" ht="34" customHeight="1">
      <c r="A948" s="23" t="inlineStr">
        <is>
          <t>R646-v2</t>
        </is>
      </c>
      <c r="B948" s="23" t="inlineStr">
        <is>
          <t>Contractor Programme</t>
        </is>
      </c>
      <c r="C948" s="23" t="inlineStr">
        <is>
          <t>SCH-04-106</t>
        </is>
      </c>
      <c r="D948" s="23" t="inlineStr">
        <is>
          <t>1.4.1 Vehicles and Depot - Fleet Supply</t>
        </is>
      </c>
      <c r="E948" s="23" t="inlineStr">
        <is>
          <t>Carried forward</t>
        </is>
      </c>
      <c r="F948" s="23" t="inlineStr"/>
      <c r="G948" s="23" t="inlineStr">
        <is>
          <t>Source assignment -- not individually reviewed</t>
        </is>
      </c>
      <c r="H948" s="14" t="inlineStr">
        <is>
          <t>10 EVIDENCE &amp; DECISIONS</t>
        </is>
      </c>
    </row>
    <row r="949" ht="34" customHeight="1">
      <c r="A949" s="23" t="inlineStr">
        <is>
          <t>R647-v2</t>
        </is>
      </c>
      <c r="B949" s="23" t="inlineStr">
        <is>
          <t>Contractor Programme</t>
        </is>
      </c>
      <c r="C949" s="23" t="inlineStr">
        <is>
          <t>SCH-04-107</t>
        </is>
      </c>
      <c r="D949" s="23" t="inlineStr">
        <is>
          <t>1.4.1 Vehicles and Depot - Fleet Supply</t>
        </is>
      </c>
      <c r="E949" s="23" t="inlineStr">
        <is>
          <t>Carried forward</t>
        </is>
      </c>
      <c r="F949" s="23" t="inlineStr"/>
      <c r="G949" s="23" t="inlineStr">
        <is>
          <t>Source assignment -- not individually reviewed</t>
        </is>
      </c>
      <c r="H949" s="14" t="inlineStr">
        <is>
          <t>10 EVIDENCE &amp; DECISIONS</t>
        </is>
      </c>
    </row>
    <row r="950" ht="34" customHeight="1">
      <c r="A950" s="23" t="inlineStr">
        <is>
          <t>R649-v2</t>
        </is>
      </c>
      <c r="B950" s="23" t="inlineStr">
        <is>
          <t>Contractor Programme</t>
        </is>
      </c>
      <c r="C950" s="23" t="inlineStr">
        <is>
          <t>SCH-04-109</t>
        </is>
      </c>
      <c r="D950" s="23" t="inlineStr">
        <is>
          <t>1.4.1 Vehicles and Depot - Fleet Supply</t>
        </is>
      </c>
      <c r="E950" s="23" t="inlineStr">
        <is>
          <t>Carried forward</t>
        </is>
      </c>
      <c r="F950" s="23" t="inlineStr"/>
      <c r="G950" s="23" t="inlineStr">
        <is>
          <t>Source assignment -- not individually reviewed</t>
        </is>
      </c>
      <c r="H950" s="14" t="inlineStr">
        <is>
          <t>10 EVIDENCE &amp; DECISIONS</t>
        </is>
      </c>
    </row>
    <row r="951" ht="34" customHeight="1">
      <c r="A951" s="23" t="inlineStr">
        <is>
          <t>R650-v2</t>
        </is>
      </c>
      <c r="B951" s="23" t="inlineStr">
        <is>
          <t>Contractor Programme</t>
        </is>
      </c>
      <c r="C951" s="23" t="inlineStr">
        <is>
          <t>SCH-04-110</t>
        </is>
      </c>
      <c r="D951" s="23" t="inlineStr">
        <is>
          <t>1.4.1 Vehicles and Depot - Fleet Supply</t>
        </is>
      </c>
      <c r="E951" s="23" t="inlineStr">
        <is>
          <t>Carried forward</t>
        </is>
      </c>
      <c r="F951" s="23" t="inlineStr"/>
      <c r="G951" s="23" t="inlineStr">
        <is>
          <t>Source assignment -- not individually reviewed</t>
        </is>
      </c>
      <c r="H951" s="14" t="inlineStr">
        <is>
          <t>10 EVIDENCE &amp; DECISIONS</t>
        </is>
      </c>
    </row>
    <row r="952" ht="34" customHeight="1">
      <c r="A952" s="23" t="inlineStr">
        <is>
          <t>R652-v2</t>
        </is>
      </c>
      <c r="B952" s="23" t="inlineStr">
        <is>
          <t>Contractor Programme</t>
        </is>
      </c>
      <c r="C952" s="23" t="inlineStr">
        <is>
          <t>SCH-04-112</t>
        </is>
      </c>
      <c r="D952" s="23" t="inlineStr">
        <is>
          <t>1.4.1 Vehicles and Depot - Fleet Supply</t>
        </is>
      </c>
      <c r="E952" s="23" t="inlineStr">
        <is>
          <t>Carried forward</t>
        </is>
      </c>
      <c r="F952" s="23" t="inlineStr"/>
      <c r="G952" s="23" t="inlineStr">
        <is>
          <t>Source assignment -- not individually reviewed</t>
        </is>
      </c>
      <c r="H952" s="14" t="inlineStr">
        <is>
          <t>10 EVIDENCE &amp; DECISIONS</t>
        </is>
      </c>
    </row>
    <row r="953" ht="34" customHeight="1">
      <c r="A953" s="23" t="inlineStr">
        <is>
          <t>R653-v2</t>
        </is>
      </c>
      <c r="B953" s="23" t="inlineStr">
        <is>
          <t>Contractor Programme</t>
        </is>
      </c>
      <c r="C953" s="23" t="inlineStr">
        <is>
          <t>SCH-04-113</t>
        </is>
      </c>
      <c r="D953" s="23" t="inlineStr">
        <is>
          <t>1.4.1 Vehicles and Depot - Fleet Supply</t>
        </is>
      </c>
      <c r="E953" s="23" t="inlineStr">
        <is>
          <t>Carried forward</t>
        </is>
      </c>
      <c r="F953" s="23" t="inlineStr"/>
      <c r="G953" s="23" t="inlineStr">
        <is>
          <t>Source assignment -- not individually reviewed</t>
        </is>
      </c>
      <c r="H953" s="14" t="inlineStr">
        <is>
          <t>10 EVIDENCE &amp; DECISIONS</t>
        </is>
      </c>
    </row>
    <row r="954" ht="34" customHeight="1">
      <c r="A954" s="23" t="inlineStr">
        <is>
          <t>R655-v2</t>
        </is>
      </c>
      <c r="B954" s="23" t="inlineStr">
        <is>
          <t>Contractor Programme</t>
        </is>
      </c>
      <c r="C954" s="23" t="inlineStr">
        <is>
          <t>SCH-04-115</t>
        </is>
      </c>
      <c r="D954" s="23" t="inlineStr">
        <is>
          <t>1.4.1 Vehicles and Depot - Fleet Supply</t>
        </is>
      </c>
      <c r="E954" s="23" t="inlineStr">
        <is>
          <t>Carried forward</t>
        </is>
      </c>
      <c r="F954" s="23" t="inlineStr"/>
      <c r="G954" s="23" t="inlineStr">
        <is>
          <t>Source assignment -- not individually reviewed</t>
        </is>
      </c>
      <c r="H954" s="14" t="inlineStr">
        <is>
          <t>10 EVIDENCE &amp; DECISIONS</t>
        </is>
      </c>
    </row>
    <row r="955" ht="34" customHeight="1">
      <c r="A955" s="23" t="inlineStr">
        <is>
          <t>R656-v2</t>
        </is>
      </c>
      <c r="B955" s="23" t="inlineStr">
        <is>
          <t>Contractor Programme</t>
        </is>
      </c>
      <c r="C955" s="23" t="inlineStr">
        <is>
          <t>SCH-04-116</t>
        </is>
      </c>
      <c r="D955" s="23" t="inlineStr">
        <is>
          <t>1.4.1 Vehicles and Depot - Fleet Supply</t>
        </is>
      </c>
      <c r="E955" s="23" t="inlineStr">
        <is>
          <t>Carried forward</t>
        </is>
      </c>
      <c r="F955" s="23" t="inlineStr"/>
      <c r="G955" s="23" t="inlineStr">
        <is>
          <t>Source assignment -- not individually reviewed</t>
        </is>
      </c>
      <c r="H955" s="14" t="inlineStr">
        <is>
          <t>10 EVIDENCE &amp; DECISIONS</t>
        </is>
      </c>
    </row>
    <row r="956" ht="34" customHeight="1">
      <c r="A956" s="23" t="inlineStr">
        <is>
          <t>R658-v2</t>
        </is>
      </c>
      <c r="B956" s="23" t="inlineStr">
        <is>
          <t>Contractor Programme</t>
        </is>
      </c>
      <c r="C956" s="23" t="inlineStr">
        <is>
          <t>SCH-04-118</t>
        </is>
      </c>
      <c r="D956" s="23" t="inlineStr">
        <is>
          <t>1.4.1 Vehicles and Depot - Fleet Supply</t>
        </is>
      </c>
      <c r="E956" s="23" t="inlineStr">
        <is>
          <t>Carried forward</t>
        </is>
      </c>
      <c r="F956" s="23" t="inlineStr"/>
      <c r="G956" s="23" t="inlineStr">
        <is>
          <t>Source assignment -- not individually reviewed</t>
        </is>
      </c>
      <c r="H956" s="14" t="inlineStr">
        <is>
          <t>10 EVIDENCE &amp; DECISIONS</t>
        </is>
      </c>
    </row>
    <row r="957" ht="34" customHeight="1">
      <c r="A957" s="23" t="inlineStr">
        <is>
          <t>R659-v2</t>
        </is>
      </c>
      <c r="B957" s="23" t="inlineStr">
        <is>
          <t>Contractor Programme</t>
        </is>
      </c>
      <c r="C957" s="23" t="inlineStr">
        <is>
          <t>SCH-04-119</t>
        </is>
      </c>
      <c r="D957" s="23" t="inlineStr">
        <is>
          <t>1.4.1 Vehicles and Depot - Fleet Supply</t>
        </is>
      </c>
      <c r="E957" s="23" t="inlineStr">
        <is>
          <t>Carried forward</t>
        </is>
      </c>
      <c r="F957" s="23" t="inlineStr"/>
      <c r="G957" s="23" t="inlineStr">
        <is>
          <t>Source assignment -- not individually reviewed</t>
        </is>
      </c>
      <c r="H957" s="14" t="inlineStr">
        <is>
          <t>10 EVIDENCE &amp; DECISIONS</t>
        </is>
      </c>
    </row>
    <row r="958" ht="34" customHeight="1">
      <c r="A958" s="23" t="inlineStr">
        <is>
          <t>R661-v2</t>
        </is>
      </c>
      <c r="B958" s="23" t="inlineStr">
        <is>
          <t>Contractor Programme</t>
        </is>
      </c>
      <c r="C958" s="23" t="inlineStr">
        <is>
          <t>SCH-04-121</t>
        </is>
      </c>
      <c r="D958" s="23" t="inlineStr">
        <is>
          <t>1.4.1 Vehicles and Depot - Fleet Supply</t>
        </is>
      </c>
      <c r="E958" s="23" t="inlineStr">
        <is>
          <t>Carried forward</t>
        </is>
      </c>
      <c r="F958" s="23" t="inlineStr"/>
      <c r="G958" s="23" t="inlineStr">
        <is>
          <t>Source assignment -- not individually reviewed</t>
        </is>
      </c>
      <c r="H958" s="14" t="inlineStr">
        <is>
          <t>10 EVIDENCE &amp; DECISIONS</t>
        </is>
      </c>
    </row>
    <row r="959" ht="34" customHeight="1">
      <c r="A959" s="23" t="inlineStr">
        <is>
          <t>R662-v2</t>
        </is>
      </c>
      <c r="B959" s="23" t="inlineStr">
        <is>
          <t>Contractor Programme</t>
        </is>
      </c>
      <c r="C959" s="23" t="inlineStr">
        <is>
          <t>SCH-04-122</t>
        </is>
      </c>
      <c r="D959" s="23" t="inlineStr">
        <is>
          <t>1.4.1 Vehicles and Depot - Fleet Supply</t>
        </is>
      </c>
      <c r="E959" s="23" t="inlineStr">
        <is>
          <t>Carried forward</t>
        </is>
      </c>
      <c r="F959" s="23" t="inlineStr"/>
      <c r="G959" s="23" t="inlineStr">
        <is>
          <t>Source assignment -- not individually reviewed</t>
        </is>
      </c>
      <c r="H959" s="14" t="inlineStr">
        <is>
          <t>10 EVIDENCE &amp; DECISIONS</t>
        </is>
      </c>
    </row>
    <row r="960" ht="34" customHeight="1">
      <c r="A960" s="23" t="inlineStr">
        <is>
          <t>R664-v2</t>
        </is>
      </c>
      <c r="B960" s="23" t="inlineStr">
        <is>
          <t>Contractor Programme</t>
        </is>
      </c>
      <c r="C960" s="23" t="inlineStr">
        <is>
          <t>SCH-04-124</t>
        </is>
      </c>
      <c r="D960" s="23" t="inlineStr">
        <is>
          <t>1.4.1 Vehicles and Depot - Fleet Supply</t>
        </is>
      </c>
      <c r="E960" s="23" t="inlineStr">
        <is>
          <t>Carried forward</t>
        </is>
      </c>
      <c r="F960" s="23" t="inlineStr"/>
      <c r="G960" s="23" t="inlineStr">
        <is>
          <t>Source assignment -- not individually reviewed</t>
        </is>
      </c>
      <c r="H960" s="14" t="inlineStr">
        <is>
          <t>10 EVIDENCE &amp; DECISIONS</t>
        </is>
      </c>
    </row>
    <row r="961" ht="34" customHeight="1">
      <c r="A961" s="23" t="inlineStr">
        <is>
          <t>R665-v2</t>
        </is>
      </c>
      <c r="B961" s="23" t="inlineStr">
        <is>
          <t>Contractor Programme</t>
        </is>
      </c>
      <c r="C961" s="23" t="inlineStr">
        <is>
          <t>SCH-04-125</t>
        </is>
      </c>
      <c r="D961" s="23" t="inlineStr">
        <is>
          <t>1.4.1 Vehicles and Depot - Fleet Supply</t>
        </is>
      </c>
      <c r="E961" s="23" t="inlineStr">
        <is>
          <t>Carried forward</t>
        </is>
      </c>
      <c r="F961" s="23" t="inlineStr"/>
      <c r="G961" s="23" t="inlineStr">
        <is>
          <t>Source assignment -- not individually reviewed</t>
        </is>
      </c>
      <c r="H961" s="14" t="inlineStr">
        <is>
          <t>10 EVIDENCE &amp; DECISIONS</t>
        </is>
      </c>
    </row>
    <row r="962" ht="34" customHeight="1">
      <c r="A962" s="23" t="inlineStr">
        <is>
          <t>R667-v2</t>
        </is>
      </c>
      <c r="B962" s="23" t="inlineStr">
        <is>
          <t>Contractor Programme</t>
        </is>
      </c>
      <c r="C962" s="23" t="inlineStr">
        <is>
          <t>SCH-04-127</t>
        </is>
      </c>
      <c r="D962" s="23" t="inlineStr">
        <is>
          <t>1.4.1 Vehicles and Depot - Fleet Supply</t>
        </is>
      </c>
      <c r="E962" s="23" t="inlineStr">
        <is>
          <t>Carried forward</t>
        </is>
      </c>
      <c r="F962" s="23" t="inlineStr"/>
      <c r="G962" s="23" t="inlineStr">
        <is>
          <t>Source assignment -- not individually reviewed</t>
        </is>
      </c>
      <c r="H962" s="14" t="inlineStr">
        <is>
          <t>10 EVIDENCE &amp; DECISIONS</t>
        </is>
      </c>
    </row>
    <row r="963" ht="34" customHeight="1">
      <c r="A963" s="23" t="inlineStr">
        <is>
          <t>R668-v2</t>
        </is>
      </c>
      <c r="B963" s="23" t="inlineStr">
        <is>
          <t>Contractor Programme</t>
        </is>
      </c>
      <c r="C963" s="23" t="inlineStr">
        <is>
          <t>SCH-04-128</t>
        </is>
      </c>
      <c r="D963" s="23" t="inlineStr">
        <is>
          <t>1.4.1 Vehicles and Depot - Fleet Supply</t>
        </is>
      </c>
      <c r="E963" s="23" t="inlineStr">
        <is>
          <t>Carried forward</t>
        </is>
      </c>
      <c r="F963" s="23" t="inlineStr"/>
      <c r="G963" s="23" t="inlineStr">
        <is>
          <t>Source assignment -- not individually reviewed</t>
        </is>
      </c>
      <c r="H963" s="14" t="inlineStr">
        <is>
          <t>10 EVIDENCE &amp; DECISIONS</t>
        </is>
      </c>
    </row>
    <row r="964" ht="34" customHeight="1">
      <c r="A964" s="23" t="inlineStr">
        <is>
          <t>R670-v2</t>
        </is>
      </c>
      <c r="B964" s="23" t="inlineStr">
        <is>
          <t>Contractor Programme</t>
        </is>
      </c>
      <c r="C964" s="23" t="inlineStr">
        <is>
          <t>SCH-04-130</t>
        </is>
      </c>
      <c r="D964" s="23" t="inlineStr">
        <is>
          <t>1.4.1 Vehicles and Depot - Fleet Supply</t>
        </is>
      </c>
      <c r="E964" s="23" t="inlineStr">
        <is>
          <t>Carried forward</t>
        </is>
      </c>
      <c r="F964" s="23" t="inlineStr"/>
      <c r="G964" s="23" t="inlineStr">
        <is>
          <t>Source assignment -- not individually reviewed</t>
        </is>
      </c>
      <c r="H964" s="14" t="inlineStr">
        <is>
          <t>10 EVIDENCE &amp; DECISIONS</t>
        </is>
      </c>
    </row>
    <row r="965" ht="34" customHeight="1">
      <c r="A965" s="23" t="inlineStr">
        <is>
          <t>R671-v2</t>
        </is>
      </c>
      <c r="B965" s="23" t="inlineStr">
        <is>
          <t>Contractor Programme</t>
        </is>
      </c>
      <c r="C965" s="23" t="inlineStr">
        <is>
          <t>SCH-04-131</t>
        </is>
      </c>
      <c r="D965" s="23" t="inlineStr">
        <is>
          <t>1.4.1 Vehicles and Depot - Fleet Supply</t>
        </is>
      </c>
      <c r="E965" s="23" t="inlineStr">
        <is>
          <t>Carried forward</t>
        </is>
      </c>
      <c r="F965" s="23" t="inlineStr"/>
      <c r="G965" s="23" t="inlineStr">
        <is>
          <t>Source assignment -- not individually reviewed</t>
        </is>
      </c>
      <c r="H965" s="14" t="inlineStr">
        <is>
          <t>10 EVIDENCE &amp; DECISIONS</t>
        </is>
      </c>
    </row>
    <row r="966" ht="34" customHeight="1">
      <c r="A966" s="23" t="inlineStr">
        <is>
          <t>R673-v2</t>
        </is>
      </c>
      <c r="B966" s="23" t="inlineStr">
        <is>
          <t>Contractor Programme</t>
        </is>
      </c>
      <c r="C966" s="23" t="inlineStr">
        <is>
          <t>SCH-04-133</t>
        </is>
      </c>
      <c r="D966" s="23" t="inlineStr">
        <is>
          <t>1.4.1 Vehicles and Depot - Fleet Supply</t>
        </is>
      </c>
      <c r="E966" s="23" t="inlineStr">
        <is>
          <t>Carried forward</t>
        </is>
      </c>
      <c r="F966" s="23" t="inlineStr"/>
      <c r="G966" s="23" t="inlineStr">
        <is>
          <t>Source assignment -- not individually reviewed</t>
        </is>
      </c>
      <c r="H966" s="14" t="inlineStr">
        <is>
          <t>10 EVIDENCE &amp; DECISIONS</t>
        </is>
      </c>
    </row>
    <row r="967" ht="34" customHeight="1">
      <c r="A967" s="23" t="inlineStr">
        <is>
          <t>R674-v2</t>
        </is>
      </c>
      <c r="B967" s="23" t="inlineStr">
        <is>
          <t>Contractor Programme</t>
        </is>
      </c>
      <c r="C967" s="23" t="inlineStr">
        <is>
          <t>SCH-04-134</t>
        </is>
      </c>
      <c r="D967" s="23" t="inlineStr">
        <is>
          <t>1.4.1 Vehicles and Depot - Fleet Supply</t>
        </is>
      </c>
      <c r="E967" s="23" t="inlineStr">
        <is>
          <t>Carried forward</t>
        </is>
      </c>
      <c r="F967" s="23" t="inlineStr"/>
      <c r="G967" s="23" t="inlineStr">
        <is>
          <t>Source assignment -- not individually reviewed</t>
        </is>
      </c>
      <c r="H967" s="14" t="inlineStr">
        <is>
          <t>10 EVIDENCE &amp; DECISIONS</t>
        </is>
      </c>
    </row>
    <row r="968" ht="34" customHeight="1">
      <c r="A968" s="23" t="inlineStr">
        <is>
          <t>R676-v2</t>
        </is>
      </c>
      <c r="B968" s="23" t="inlineStr">
        <is>
          <t>Contractor Programme</t>
        </is>
      </c>
      <c r="C968" s="23" t="inlineStr">
        <is>
          <t>SCH-04-136</t>
        </is>
      </c>
      <c r="D968" s="23" t="inlineStr">
        <is>
          <t>1.4.1 Vehicles and Depot - Fleet Supply</t>
        </is>
      </c>
      <c r="E968" s="23" t="inlineStr">
        <is>
          <t>Carried forward</t>
        </is>
      </c>
      <c r="F968" s="23" t="inlineStr"/>
      <c r="G968" s="23" t="inlineStr">
        <is>
          <t>Source assignment -- not individually reviewed</t>
        </is>
      </c>
      <c r="H968" s="14" t="inlineStr">
        <is>
          <t>10 EVIDENCE &amp; DECISIONS</t>
        </is>
      </c>
    </row>
    <row r="969" ht="34" customHeight="1">
      <c r="A969" s="23" t="inlineStr">
        <is>
          <t>R677-v2</t>
        </is>
      </c>
      <c r="B969" s="23" t="inlineStr">
        <is>
          <t>Contractor Programme</t>
        </is>
      </c>
      <c r="C969" s="23" t="inlineStr">
        <is>
          <t>SCH-04-137</t>
        </is>
      </c>
      <c r="D969" s="23" t="inlineStr">
        <is>
          <t>1.4.1 Vehicles and Depot - Fleet Supply</t>
        </is>
      </c>
      <c r="E969" s="23" t="inlineStr">
        <is>
          <t>Carried forward</t>
        </is>
      </c>
      <c r="F969" s="23" t="inlineStr"/>
      <c r="G969" s="23" t="inlineStr">
        <is>
          <t>Source assignment -- not individually reviewed</t>
        </is>
      </c>
      <c r="H969" s="14" t="inlineStr">
        <is>
          <t>10 EVIDENCE &amp; DECISIONS</t>
        </is>
      </c>
    </row>
    <row r="970" ht="34" customHeight="1">
      <c r="A970" s="23" t="inlineStr">
        <is>
          <t>R679-v2</t>
        </is>
      </c>
      <c r="B970" s="23" t="inlineStr">
        <is>
          <t>Contractor Programme</t>
        </is>
      </c>
      <c r="C970" s="23" t="inlineStr">
        <is>
          <t>SCH-04-139</t>
        </is>
      </c>
      <c r="D970" s="23" t="inlineStr">
        <is>
          <t>1.4.1 Vehicles and Depot - Fleet Supply</t>
        </is>
      </c>
      <c r="E970" s="23" t="inlineStr">
        <is>
          <t>Carried forward</t>
        </is>
      </c>
      <c r="F970" s="23" t="inlineStr"/>
      <c r="G970" s="23" t="inlineStr">
        <is>
          <t>Source assignment -- not individually reviewed</t>
        </is>
      </c>
      <c r="H970" s="14" t="inlineStr">
        <is>
          <t>10 EVIDENCE &amp; DECISIONS</t>
        </is>
      </c>
    </row>
    <row r="971" ht="34" customHeight="1">
      <c r="A971" s="23" t="inlineStr">
        <is>
          <t>R680-v2</t>
        </is>
      </c>
      <c r="B971" s="23" t="inlineStr">
        <is>
          <t>Contractor Programme</t>
        </is>
      </c>
      <c r="C971" s="23" t="inlineStr">
        <is>
          <t>SCH-04-140</t>
        </is>
      </c>
      <c r="D971" s="23" t="inlineStr">
        <is>
          <t>1.4.1 Vehicles and Depot - Fleet Supply</t>
        </is>
      </c>
      <c r="E971" s="23" t="inlineStr">
        <is>
          <t>Carried forward</t>
        </is>
      </c>
      <c r="F971" s="23" t="inlineStr"/>
      <c r="G971" s="23" t="inlineStr">
        <is>
          <t>Source assignment -- not individually reviewed</t>
        </is>
      </c>
      <c r="H971" s="14" t="inlineStr">
        <is>
          <t>10 EVIDENCE &amp; DECISIONS</t>
        </is>
      </c>
    </row>
    <row r="972" ht="34" customHeight="1">
      <c r="A972" s="23" t="inlineStr">
        <is>
          <t>R682-v2</t>
        </is>
      </c>
      <c r="B972" s="23" t="inlineStr">
        <is>
          <t>Contractor Programme</t>
        </is>
      </c>
      <c r="C972" s="23" t="inlineStr">
        <is>
          <t>SCH-04-142</t>
        </is>
      </c>
      <c r="D972" s="23" t="inlineStr">
        <is>
          <t>1.4.1 Vehicles and Depot - Fleet Supply</t>
        </is>
      </c>
      <c r="E972" s="23" t="inlineStr">
        <is>
          <t>Carried forward</t>
        </is>
      </c>
      <c r="F972" s="23" t="inlineStr"/>
      <c r="G972" s="23" t="inlineStr">
        <is>
          <t>Source assignment -- not individually reviewed</t>
        </is>
      </c>
      <c r="H972" s="14" t="inlineStr">
        <is>
          <t>10 EVIDENCE &amp; DECISIONS</t>
        </is>
      </c>
    </row>
    <row r="973" ht="34" customHeight="1">
      <c r="A973" s="23" t="inlineStr">
        <is>
          <t>R683-v2</t>
        </is>
      </c>
      <c r="B973" s="23" t="inlineStr">
        <is>
          <t>Contractor Programme</t>
        </is>
      </c>
      <c r="C973" s="23" t="inlineStr">
        <is>
          <t>SCH-04-143</t>
        </is>
      </c>
      <c r="D973" s="23" t="inlineStr">
        <is>
          <t>1.4.1 Vehicles and Depot - Fleet Supply</t>
        </is>
      </c>
      <c r="E973" s="23" t="inlineStr">
        <is>
          <t>Carried forward</t>
        </is>
      </c>
      <c r="F973" s="23" t="inlineStr"/>
      <c r="G973" s="23" t="inlineStr">
        <is>
          <t>Source assignment -- not individually reviewed</t>
        </is>
      </c>
      <c r="H973" s="14" t="inlineStr">
        <is>
          <t>10 EVIDENCE &amp; DECISIONS</t>
        </is>
      </c>
    </row>
    <row r="974" ht="34" customHeight="1">
      <c r="A974" s="23" t="inlineStr">
        <is>
          <t>R685-v2</t>
        </is>
      </c>
      <c r="B974" s="23" t="inlineStr">
        <is>
          <t>Contractor Programme</t>
        </is>
      </c>
      <c r="C974" s="23" t="inlineStr">
        <is>
          <t>SCH-04-145</t>
        </is>
      </c>
      <c r="D974" s="23" t="inlineStr">
        <is>
          <t>1.4.1 Vehicles and Depot - Fleet Supply</t>
        </is>
      </c>
      <c r="E974" s="23" t="inlineStr">
        <is>
          <t>Carried forward</t>
        </is>
      </c>
      <c r="F974" s="23" t="inlineStr"/>
      <c r="G974" s="23" t="inlineStr">
        <is>
          <t>Source assignment -- not individually reviewed</t>
        </is>
      </c>
      <c r="H974" s="14" t="inlineStr">
        <is>
          <t>10 EVIDENCE &amp; DECISIONS</t>
        </is>
      </c>
    </row>
    <row r="975" ht="34" customHeight="1">
      <c r="A975" s="23" t="inlineStr">
        <is>
          <t>R686-v2</t>
        </is>
      </c>
      <c r="B975" s="23" t="inlineStr">
        <is>
          <t>Contractor Programme</t>
        </is>
      </c>
      <c r="C975" s="23" t="inlineStr">
        <is>
          <t>SCH-04-146</t>
        </is>
      </c>
      <c r="D975" s="23" t="inlineStr">
        <is>
          <t>1.4.1 Vehicles and Depot - Fleet Supply</t>
        </is>
      </c>
      <c r="E975" s="23" t="inlineStr">
        <is>
          <t>Carried forward</t>
        </is>
      </c>
      <c r="F975" s="23" t="inlineStr"/>
      <c r="G975" s="23" t="inlineStr">
        <is>
          <t>Source assignment -- not individually reviewed</t>
        </is>
      </c>
      <c r="H975" s="14" t="inlineStr">
        <is>
          <t>10 EVIDENCE &amp; DECISIONS</t>
        </is>
      </c>
    </row>
    <row r="976" ht="34" customHeight="1">
      <c r="A976" s="23" t="inlineStr">
        <is>
          <t>R688-v2</t>
        </is>
      </c>
      <c r="B976" s="23" t="inlineStr">
        <is>
          <t>Contractor Programme</t>
        </is>
      </c>
      <c r="C976" s="23" t="inlineStr">
        <is>
          <t>SCH-04-148</t>
        </is>
      </c>
      <c r="D976" s="23" t="inlineStr">
        <is>
          <t>1.4.1 Vehicles and Depot - Fleet Supply</t>
        </is>
      </c>
      <c r="E976" s="23" t="inlineStr">
        <is>
          <t>Carried forward</t>
        </is>
      </c>
      <c r="F976" s="23" t="inlineStr"/>
      <c r="G976" s="23" t="inlineStr">
        <is>
          <t>Source assignment -- not individually reviewed</t>
        </is>
      </c>
      <c r="H976" s="14" t="inlineStr">
        <is>
          <t>10 EVIDENCE &amp; DECISIONS</t>
        </is>
      </c>
    </row>
    <row r="977" ht="34" customHeight="1">
      <c r="A977" s="23" t="inlineStr">
        <is>
          <t>R689-v2</t>
        </is>
      </c>
      <c r="B977" s="23" t="inlineStr">
        <is>
          <t>Contractor Programme</t>
        </is>
      </c>
      <c r="C977" s="23" t="inlineStr">
        <is>
          <t>SCH-04-149</t>
        </is>
      </c>
      <c r="D977" s="23" t="inlineStr">
        <is>
          <t>1.4.1 Vehicles and Depot - Fleet Supply</t>
        </is>
      </c>
      <c r="E977" s="23" t="inlineStr">
        <is>
          <t>Carried forward</t>
        </is>
      </c>
      <c r="F977" s="23" t="inlineStr"/>
      <c r="G977" s="23" t="inlineStr">
        <is>
          <t>Source assignment -- not individually reviewed</t>
        </is>
      </c>
      <c r="H977" s="14" t="inlineStr">
        <is>
          <t>10 EVIDENCE &amp; DECISIONS</t>
        </is>
      </c>
    </row>
    <row r="978" ht="34" customHeight="1">
      <c r="A978" s="23" t="inlineStr">
        <is>
          <t>R691-v2</t>
        </is>
      </c>
      <c r="B978" s="23" t="inlineStr">
        <is>
          <t>Contractor Programme</t>
        </is>
      </c>
      <c r="C978" s="23" t="inlineStr">
        <is>
          <t>SCH-04-151</t>
        </is>
      </c>
      <c r="D978" s="23" t="inlineStr">
        <is>
          <t>1.4.1 Vehicles and Depot - Fleet Supply</t>
        </is>
      </c>
      <c r="E978" s="23" t="inlineStr">
        <is>
          <t>Carried forward</t>
        </is>
      </c>
      <c r="F978" s="23" t="inlineStr"/>
      <c r="G978" s="23" t="inlineStr">
        <is>
          <t>Source assignment -- not individually reviewed</t>
        </is>
      </c>
      <c r="H978" s="14" t="inlineStr">
        <is>
          <t>10 EVIDENCE &amp; DECISIONS</t>
        </is>
      </c>
    </row>
    <row r="979" ht="34" customHeight="1">
      <c r="A979" s="23" t="inlineStr">
        <is>
          <t>R692-v2</t>
        </is>
      </c>
      <c r="B979" s="23" t="inlineStr">
        <is>
          <t>Contractor Programme</t>
        </is>
      </c>
      <c r="C979" s="23" t="inlineStr">
        <is>
          <t>SCH-04-152</t>
        </is>
      </c>
      <c r="D979" s="23" t="inlineStr">
        <is>
          <t>1.4.1 Vehicles and Depot - Fleet Supply</t>
        </is>
      </c>
      <c r="E979" s="23" t="inlineStr">
        <is>
          <t>Carried forward</t>
        </is>
      </c>
      <c r="F979" s="23" t="inlineStr"/>
      <c r="G979" s="23" t="inlineStr">
        <is>
          <t>Source assignment -- not individually reviewed</t>
        </is>
      </c>
      <c r="H979" s="14" t="inlineStr">
        <is>
          <t>10 EVIDENCE &amp; DECISIONS</t>
        </is>
      </c>
    </row>
    <row r="980" ht="34" customHeight="1">
      <c r="A980" s="23" t="inlineStr">
        <is>
          <t>R694-v2</t>
        </is>
      </c>
      <c r="B980" s="23" t="inlineStr">
        <is>
          <t>Contractor Programme</t>
        </is>
      </c>
      <c r="C980" s="23" t="inlineStr">
        <is>
          <t>SCH-04-154</t>
        </is>
      </c>
      <c r="D980" s="23" t="inlineStr">
        <is>
          <t>1.4.1 Vehicles and Depot - Fleet Supply</t>
        </is>
      </c>
      <c r="E980" s="23" t="inlineStr">
        <is>
          <t>Carried forward</t>
        </is>
      </c>
      <c r="F980" s="23" t="inlineStr"/>
      <c r="G980" s="23" t="inlineStr">
        <is>
          <t>Source assignment -- not individually reviewed</t>
        </is>
      </c>
      <c r="H980" s="14" t="inlineStr">
        <is>
          <t>10 EVIDENCE &amp; DECISIONS</t>
        </is>
      </c>
    </row>
    <row r="981" ht="34" customHeight="1">
      <c r="A981" s="23" t="inlineStr">
        <is>
          <t>R695-v2</t>
        </is>
      </c>
      <c r="B981" s="23" t="inlineStr">
        <is>
          <t>Contractor Programme</t>
        </is>
      </c>
      <c r="C981" s="23" t="inlineStr">
        <is>
          <t>SCH-04-155</t>
        </is>
      </c>
      <c r="D981" s="23" t="inlineStr">
        <is>
          <t>1.4.1 Vehicles and Depot - Fleet Supply</t>
        </is>
      </c>
      <c r="E981" s="23" t="inlineStr">
        <is>
          <t>Carried forward</t>
        </is>
      </c>
      <c r="F981" s="23" t="inlineStr"/>
      <c r="G981" s="23" t="inlineStr">
        <is>
          <t>Source assignment -- not individually reviewed</t>
        </is>
      </c>
      <c r="H981" s="14" t="inlineStr">
        <is>
          <t>10 EVIDENCE &amp; DECISIONS</t>
        </is>
      </c>
    </row>
    <row r="982" ht="34" customHeight="1">
      <c r="A982" s="23" t="inlineStr">
        <is>
          <t>R697-v2</t>
        </is>
      </c>
      <c r="B982" s="23" t="inlineStr">
        <is>
          <t>Contractor Programme</t>
        </is>
      </c>
      <c r="C982" s="23" t="inlineStr">
        <is>
          <t>SCH-04-157</t>
        </is>
      </c>
      <c r="D982" s="23" t="inlineStr">
        <is>
          <t>1.4.1 Vehicles and Depot - Fleet Supply</t>
        </is>
      </c>
      <c r="E982" s="23" t="inlineStr">
        <is>
          <t>Carried forward</t>
        </is>
      </c>
      <c r="F982" s="23" t="inlineStr"/>
      <c r="G982" s="23" t="inlineStr">
        <is>
          <t>Source assignment -- not individually reviewed</t>
        </is>
      </c>
      <c r="H982" s="14" t="inlineStr">
        <is>
          <t>10 EVIDENCE &amp; DECISIONS</t>
        </is>
      </c>
    </row>
    <row r="983" ht="34" customHeight="1">
      <c r="A983" s="23" t="inlineStr">
        <is>
          <t>R698-v2</t>
        </is>
      </c>
      <c r="B983" s="23" t="inlineStr">
        <is>
          <t>Contractor Programme</t>
        </is>
      </c>
      <c r="C983" s="23" t="inlineStr">
        <is>
          <t>SCH-04-158</t>
        </is>
      </c>
      <c r="D983" s="23" t="inlineStr">
        <is>
          <t>1.4.1 Vehicles and Depot - Fleet Supply</t>
        </is>
      </c>
      <c r="E983" s="23" t="inlineStr">
        <is>
          <t>Carried forward</t>
        </is>
      </c>
      <c r="F983" s="23" t="inlineStr"/>
      <c r="G983" s="23" t="inlineStr">
        <is>
          <t>Source assignment -- not individually reviewed</t>
        </is>
      </c>
      <c r="H983" s="14" t="inlineStr">
        <is>
          <t>10 EVIDENCE &amp; DECISIONS</t>
        </is>
      </c>
    </row>
    <row r="984" ht="34" customHeight="1">
      <c r="A984" s="23" t="inlineStr">
        <is>
          <t>R700-v2</t>
        </is>
      </c>
      <c r="B984" s="23" t="inlineStr">
        <is>
          <t>Contractor Programme</t>
        </is>
      </c>
      <c r="C984" s="23" t="inlineStr">
        <is>
          <t>SCH-04-160</t>
        </is>
      </c>
      <c r="D984" s="23" t="inlineStr">
        <is>
          <t>1.4.1 Vehicles and Depot - Fleet Supply</t>
        </is>
      </c>
      <c r="E984" s="23" t="inlineStr">
        <is>
          <t>Carried forward</t>
        </is>
      </c>
      <c r="F984" s="23" t="inlineStr"/>
      <c r="G984" s="23" t="inlineStr">
        <is>
          <t>Source assignment -- not individually reviewed</t>
        </is>
      </c>
      <c r="H984" s="14" t="inlineStr">
        <is>
          <t>10 EVIDENCE &amp; DECISIONS</t>
        </is>
      </c>
    </row>
    <row r="985" ht="34" customHeight="1">
      <c r="A985" s="23" t="inlineStr">
        <is>
          <t>R701-v2</t>
        </is>
      </c>
      <c r="B985" s="23" t="inlineStr">
        <is>
          <t>Contractor Programme</t>
        </is>
      </c>
      <c r="C985" s="23" t="inlineStr">
        <is>
          <t>SCH-04-161</t>
        </is>
      </c>
      <c r="D985" s="23" t="inlineStr">
        <is>
          <t>1.4.1 Vehicles and Depot - Fleet Supply</t>
        </is>
      </c>
      <c r="E985" s="23" t="inlineStr">
        <is>
          <t>Carried forward</t>
        </is>
      </c>
      <c r="F985" s="23" t="inlineStr"/>
      <c r="G985" s="23" t="inlineStr">
        <is>
          <t>Source assignment -- not individually reviewed</t>
        </is>
      </c>
      <c r="H985" s="14" t="inlineStr">
        <is>
          <t>10 EVIDENCE &amp; DECISIONS</t>
        </is>
      </c>
    </row>
    <row r="986" ht="34" customHeight="1">
      <c r="A986" s="23" t="inlineStr">
        <is>
          <t>R703-v2</t>
        </is>
      </c>
      <c r="B986" s="23" t="inlineStr">
        <is>
          <t>Contractor Programme</t>
        </is>
      </c>
      <c r="C986" s="23" t="inlineStr">
        <is>
          <t>SCH-04-163</t>
        </is>
      </c>
      <c r="D986" s="23" t="inlineStr">
        <is>
          <t>1.4.1 Vehicles and Depot - Fleet Supply</t>
        </is>
      </c>
      <c r="E986" s="23" t="inlineStr">
        <is>
          <t>Carried forward</t>
        </is>
      </c>
      <c r="F986" s="23" t="inlineStr"/>
      <c r="G986" s="23" t="inlineStr">
        <is>
          <t>Source assignment -- not individually reviewed</t>
        </is>
      </c>
      <c r="H986" s="14" t="inlineStr">
        <is>
          <t>10 EVIDENCE &amp; DECISIONS</t>
        </is>
      </c>
    </row>
    <row r="987" ht="34" customHeight="1">
      <c r="A987" s="23" t="inlineStr">
        <is>
          <t>R704-v2</t>
        </is>
      </c>
      <c r="B987" s="23" t="inlineStr">
        <is>
          <t>Contractor Programme</t>
        </is>
      </c>
      <c r="C987" s="23" t="inlineStr">
        <is>
          <t>SCH-04-164</t>
        </is>
      </c>
      <c r="D987" s="23" t="inlineStr">
        <is>
          <t>1.4.1 Vehicles and Depot - Fleet Supply</t>
        </is>
      </c>
      <c r="E987" s="23" t="inlineStr">
        <is>
          <t>Carried forward</t>
        </is>
      </c>
      <c r="F987" s="23" t="inlineStr"/>
      <c r="G987" s="23" t="inlineStr">
        <is>
          <t>Source assignment -- not individually reviewed</t>
        </is>
      </c>
      <c r="H987" s="14" t="inlineStr">
        <is>
          <t>10 EVIDENCE &amp; DECISIONS</t>
        </is>
      </c>
    </row>
    <row r="988" ht="34" customHeight="1">
      <c r="A988" s="23" t="inlineStr">
        <is>
          <t>R706-v2</t>
        </is>
      </c>
      <c r="B988" s="23" t="inlineStr">
        <is>
          <t>Contractor Programme</t>
        </is>
      </c>
      <c r="C988" s="23" t="inlineStr">
        <is>
          <t>SCH-04-166</t>
        </is>
      </c>
      <c r="D988" s="23" t="inlineStr">
        <is>
          <t>1.4.1 Vehicles and Depot - Fleet Supply</t>
        </is>
      </c>
      <c r="E988" s="23" t="inlineStr">
        <is>
          <t>Carried forward</t>
        </is>
      </c>
      <c r="F988" s="23" t="inlineStr"/>
      <c r="G988" s="23" t="inlineStr">
        <is>
          <t>Source assignment -- not individually reviewed</t>
        </is>
      </c>
      <c r="H988" s="14" t="inlineStr">
        <is>
          <t>10 EVIDENCE &amp; DECISIONS</t>
        </is>
      </c>
    </row>
    <row r="989" ht="34" customHeight="1">
      <c r="A989" s="23" t="inlineStr">
        <is>
          <t>R707-v2</t>
        </is>
      </c>
      <c r="B989" s="23" t="inlineStr">
        <is>
          <t>Contractor Programme</t>
        </is>
      </c>
      <c r="C989" s="23" t="inlineStr">
        <is>
          <t>SCH-04-167</t>
        </is>
      </c>
      <c r="D989" s="23" t="inlineStr">
        <is>
          <t>1.4.1 Vehicles and Depot - Fleet Supply</t>
        </is>
      </c>
      <c r="E989" s="23" t="inlineStr">
        <is>
          <t>Carried forward</t>
        </is>
      </c>
      <c r="F989" s="23" t="inlineStr"/>
      <c r="G989" s="23" t="inlineStr">
        <is>
          <t>Source assignment -- not individually reviewed</t>
        </is>
      </c>
      <c r="H989" s="14" t="inlineStr">
        <is>
          <t>10 EVIDENCE &amp; DECISIONS</t>
        </is>
      </c>
    </row>
    <row r="990" ht="34" customHeight="1">
      <c r="A990" s="23" t="inlineStr">
        <is>
          <t>R709-v2</t>
        </is>
      </c>
      <c r="B990" s="23" t="inlineStr">
        <is>
          <t>Contractor Programme</t>
        </is>
      </c>
      <c r="C990" s="23" t="inlineStr">
        <is>
          <t>SCH-04-169</t>
        </is>
      </c>
      <c r="D990" s="23" t="inlineStr">
        <is>
          <t>1.4.1 Vehicles and Depot - Fleet Supply</t>
        </is>
      </c>
      <c r="E990" s="23" t="inlineStr">
        <is>
          <t>Carried forward</t>
        </is>
      </c>
      <c r="F990" s="23" t="inlineStr"/>
      <c r="G990" s="23" t="inlineStr">
        <is>
          <t>Source assignment -- not individually reviewed</t>
        </is>
      </c>
      <c r="H990" s="14" t="inlineStr">
        <is>
          <t>10 EVIDENCE &amp; DECISIONS</t>
        </is>
      </c>
    </row>
    <row r="991" ht="34" customHeight="1">
      <c r="A991" s="23" t="inlineStr">
        <is>
          <t>R710-v2</t>
        </is>
      </c>
      <c r="B991" s="23" t="inlineStr">
        <is>
          <t>Contractor Programme</t>
        </is>
      </c>
      <c r="C991" s="23" t="inlineStr">
        <is>
          <t>SCH-04-170</t>
        </is>
      </c>
      <c r="D991" s="23" t="inlineStr">
        <is>
          <t>1.4.1 Vehicles and Depot - Fleet Supply</t>
        </is>
      </c>
      <c r="E991" s="23" t="inlineStr">
        <is>
          <t>Carried forward</t>
        </is>
      </c>
      <c r="F991" s="23" t="inlineStr"/>
      <c r="G991" s="23" t="inlineStr">
        <is>
          <t>Source assignment -- not individually reviewed</t>
        </is>
      </c>
      <c r="H991" s="14" t="inlineStr">
        <is>
          <t>10 EVIDENCE &amp; DECISIONS</t>
        </is>
      </c>
    </row>
    <row r="992" ht="34" customHeight="1">
      <c r="A992" s="23" t="inlineStr">
        <is>
          <t>R712-v2</t>
        </is>
      </c>
      <c r="B992" s="23" t="inlineStr">
        <is>
          <t>Contractor Programme</t>
        </is>
      </c>
      <c r="C992" s="23" t="inlineStr">
        <is>
          <t>SCH-04-172</t>
        </is>
      </c>
      <c r="D992" s="23" t="inlineStr">
        <is>
          <t>1.4.1 Vehicles and Depot - Fleet Supply</t>
        </is>
      </c>
      <c r="E992" s="23" t="inlineStr">
        <is>
          <t>Carried forward</t>
        </is>
      </c>
      <c r="F992" s="23" t="inlineStr"/>
      <c r="G992" s="23" t="inlineStr">
        <is>
          <t>Source assignment -- not individually reviewed</t>
        </is>
      </c>
      <c r="H992" s="14" t="inlineStr">
        <is>
          <t>10 EVIDENCE &amp; DECISIONS</t>
        </is>
      </c>
    </row>
    <row r="993" ht="34" customHeight="1">
      <c r="A993" s="23" t="inlineStr">
        <is>
          <t>R713-v2</t>
        </is>
      </c>
      <c r="B993" s="23" t="inlineStr">
        <is>
          <t>Contractor Programme</t>
        </is>
      </c>
      <c r="C993" s="23" t="inlineStr">
        <is>
          <t>SCH-04-173</t>
        </is>
      </c>
      <c r="D993" s="23" t="inlineStr">
        <is>
          <t>1.4.1 Vehicles and Depot - Fleet Supply</t>
        </is>
      </c>
      <c r="E993" s="23" t="inlineStr">
        <is>
          <t>Carried forward</t>
        </is>
      </c>
      <c r="F993" s="23" t="inlineStr"/>
      <c r="G993" s="23" t="inlineStr">
        <is>
          <t>Source assignment -- not individually reviewed</t>
        </is>
      </c>
      <c r="H993" s="14" t="inlineStr">
        <is>
          <t>10 EVIDENCE &amp; DECISIONS</t>
        </is>
      </c>
    </row>
    <row r="994" ht="34" customHeight="1">
      <c r="A994" s="23" t="inlineStr">
        <is>
          <t>R715-v2</t>
        </is>
      </c>
      <c r="B994" s="23" t="inlineStr">
        <is>
          <t>Contractor Programme</t>
        </is>
      </c>
      <c r="C994" s="23" t="inlineStr">
        <is>
          <t>SCH-04-175</t>
        </is>
      </c>
      <c r="D994" s="23" t="inlineStr">
        <is>
          <t>1.4.1 Vehicles and Depot - Fleet Supply</t>
        </is>
      </c>
      <c r="E994" s="23" t="inlineStr">
        <is>
          <t>Carried forward</t>
        </is>
      </c>
      <c r="F994" s="23" t="inlineStr"/>
      <c r="G994" s="23" t="inlineStr">
        <is>
          <t>Source assignment -- not individually reviewed</t>
        </is>
      </c>
      <c r="H994" s="14" t="inlineStr">
        <is>
          <t>10 EVIDENCE &amp; DECISIONS</t>
        </is>
      </c>
    </row>
    <row r="995" ht="34" customHeight="1">
      <c r="A995" s="23" t="inlineStr">
        <is>
          <t>R716-v2</t>
        </is>
      </c>
      <c r="B995" s="23" t="inlineStr">
        <is>
          <t>Contractor Programme</t>
        </is>
      </c>
      <c r="C995" s="23" t="inlineStr">
        <is>
          <t>SCH-04-176</t>
        </is>
      </c>
      <c r="D995" s="23" t="inlineStr">
        <is>
          <t>1.4.1 Vehicles and Depot - Fleet Supply</t>
        </is>
      </c>
      <c r="E995" s="23" t="inlineStr">
        <is>
          <t>Carried forward</t>
        </is>
      </c>
      <c r="F995" s="23" t="inlineStr"/>
      <c r="G995" s="23" t="inlineStr">
        <is>
          <t>Source assignment -- not individually reviewed</t>
        </is>
      </c>
      <c r="H995" s="14" t="inlineStr">
        <is>
          <t>10 EVIDENCE &amp; DECISIONS</t>
        </is>
      </c>
    </row>
    <row r="996" ht="34" customHeight="1">
      <c r="A996" s="23" t="inlineStr">
        <is>
          <t>R718-v2</t>
        </is>
      </c>
      <c r="B996" s="23" t="inlineStr">
        <is>
          <t>Contractor Programme</t>
        </is>
      </c>
      <c r="C996" s="23" t="inlineStr">
        <is>
          <t>SCH-04-178</t>
        </is>
      </c>
      <c r="D996" s="23" t="inlineStr">
        <is>
          <t>1.4.1 Vehicles and Depot - Fleet Supply</t>
        </is>
      </c>
      <c r="E996" s="23" t="inlineStr">
        <is>
          <t>Carried forward</t>
        </is>
      </c>
      <c r="F996" s="23" t="inlineStr"/>
      <c r="G996" s="23" t="inlineStr">
        <is>
          <t>Source assignment -- not individually reviewed</t>
        </is>
      </c>
      <c r="H996" s="14" t="inlineStr">
        <is>
          <t>10 EVIDENCE &amp; DECISIONS</t>
        </is>
      </c>
    </row>
    <row r="997" ht="34" customHeight="1">
      <c r="A997" s="23" t="inlineStr">
        <is>
          <t>R719-v2</t>
        </is>
      </c>
      <c r="B997" s="23" t="inlineStr">
        <is>
          <t>Contractor Programme</t>
        </is>
      </c>
      <c r="C997" s="23" t="inlineStr">
        <is>
          <t>SCH-04-179</t>
        </is>
      </c>
      <c r="D997" s="23" t="inlineStr">
        <is>
          <t>1.4.1 Vehicles and Depot - Fleet Supply</t>
        </is>
      </c>
      <c r="E997" s="23" t="inlineStr">
        <is>
          <t>Carried forward</t>
        </is>
      </c>
      <c r="F997" s="23" t="inlineStr"/>
      <c r="G997" s="23" t="inlineStr">
        <is>
          <t>Source assignment -- not individually reviewed</t>
        </is>
      </c>
      <c r="H997" s="14" t="inlineStr">
        <is>
          <t>10 EVIDENCE &amp; DECISIONS</t>
        </is>
      </c>
    </row>
    <row r="998" ht="34" customHeight="1">
      <c r="A998" s="23" t="inlineStr">
        <is>
          <t>R1324-v2</t>
        </is>
      </c>
      <c r="B998" s="23" t="inlineStr">
        <is>
          <t>Cost &amp; Forecast Control Accounts</t>
        </is>
      </c>
      <c r="C998" s="23" t="inlineStr">
        <is>
          <t>CST-04-002</t>
        </is>
      </c>
      <c r="D998" s="23" t="inlineStr">
        <is>
          <t>1.4.2 Vehicles and Depot - Depot Buildings</t>
        </is>
      </c>
      <c r="E998" s="23" t="inlineStr">
        <is>
          <t>Carried forward</t>
        </is>
      </c>
      <c r="F998" s="23" t="inlineStr"/>
      <c r="G998" s="23" t="inlineStr">
        <is>
          <t>Source assignment -- not individually reviewed</t>
        </is>
      </c>
      <c r="H998" s="14" t="inlineStr">
        <is>
          <t>10 EVIDENCE &amp; DECISIONS</t>
        </is>
      </c>
    </row>
    <row r="999" ht="34" customHeight="1">
      <c r="A999" s="23" t="inlineStr">
        <is>
          <t>R1326-v2</t>
        </is>
      </c>
      <c r="B999" s="23" t="inlineStr">
        <is>
          <t>Cost &amp; Forecast Control Accounts</t>
        </is>
      </c>
      <c r="C999" s="23" t="inlineStr">
        <is>
          <t>CST-04-004</t>
        </is>
      </c>
      <c r="D999" s="23" t="inlineStr">
        <is>
          <t>1.4.2 Vehicles and Depot - Depot Buildings</t>
        </is>
      </c>
      <c r="E999" s="23" t="inlineStr">
        <is>
          <t>Carried forward</t>
        </is>
      </c>
      <c r="F999" s="23" t="inlineStr"/>
      <c r="G999" s="23" t="inlineStr">
        <is>
          <t>Source assignment -- not individually reviewed</t>
        </is>
      </c>
      <c r="H999" s="14" t="inlineStr">
        <is>
          <t>10 EVIDENCE &amp; DECISIONS</t>
        </is>
      </c>
    </row>
    <row r="1000" ht="34" customHeight="1">
      <c r="A1000" s="23" t="inlineStr">
        <is>
          <t>R1328-v2</t>
        </is>
      </c>
      <c r="B1000" s="23" t="inlineStr">
        <is>
          <t>Cost &amp; Forecast Control Accounts</t>
        </is>
      </c>
      <c r="C1000" s="23" t="inlineStr">
        <is>
          <t>CST-04-006</t>
        </is>
      </c>
      <c r="D1000" s="23" t="inlineStr">
        <is>
          <t>1.4.2 Vehicles and Depot - Depot Buildings</t>
        </is>
      </c>
      <c r="E1000" s="23" t="inlineStr">
        <is>
          <t>Carried forward</t>
        </is>
      </c>
      <c r="F1000" s="23" t="inlineStr"/>
      <c r="G1000" s="23" t="inlineStr">
        <is>
          <t>Source assignment -- not individually reviewed</t>
        </is>
      </c>
      <c r="H1000" s="14" t="inlineStr">
        <is>
          <t>10 EVIDENCE &amp; DECISIONS</t>
        </is>
      </c>
    </row>
    <row r="1001" ht="34" customHeight="1">
      <c r="A1001" s="23" t="inlineStr">
        <is>
          <t>R1330-v2</t>
        </is>
      </c>
      <c r="B1001" s="23" t="inlineStr">
        <is>
          <t>Cost &amp; Forecast Control Accounts</t>
        </is>
      </c>
      <c r="C1001" s="23" t="inlineStr">
        <is>
          <t>CST-04-008</t>
        </is>
      </c>
      <c r="D1001" s="23" t="inlineStr">
        <is>
          <t>1.4.2 Vehicles and Depot - Depot Buildings</t>
        </is>
      </c>
      <c r="E1001" s="23" t="inlineStr">
        <is>
          <t>Carried forward</t>
        </is>
      </c>
      <c r="F1001" s="23" t="inlineStr"/>
      <c r="G1001" s="23" t="inlineStr">
        <is>
          <t>Source assignment -- not individually reviewed</t>
        </is>
      </c>
      <c r="H1001" s="14" t="inlineStr">
        <is>
          <t>10 EVIDENCE &amp; DECISIONS</t>
        </is>
      </c>
    </row>
    <row r="1002" ht="34" customHeight="1">
      <c r="A1002" s="23" t="inlineStr">
        <is>
          <t>R1332-v2</t>
        </is>
      </c>
      <c r="B1002" s="23" t="inlineStr">
        <is>
          <t>Cost &amp; Forecast Control Accounts</t>
        </is>
      </c>
      <c r="C1002" s="23" t="inlineStr">
        <is>
          <t>CST-04-010</t>
        </is>
      </c>
      <c r="D1002" s="23" t="inlineStr">
        <is>
          <t>1.4.2 Vehicles and Depot - Depot Buildings</t>
        </is>
      </c>
      <c r="E1002" s="23" t="inlineStr">
        <is>
          <t>Carried forward</t>
        </is>
      </c>
      <c r="F1002" s="23" t="inlineStr"/>
      <c r="G1002" s="23" t="inlineStr">
        <is>
          <t>Source assignment -- not individually reviewed</t>
        </is>
      </c>
      <c r="H1002" s="14" t="inlineStr">
        <is>
          <t>10 EVIDENCE &amp; DECISIONS</t>
        </is>
      </c>
    </row>
    <row r="1003" ht="34" customHeight="1">
      <c r="A1003" s="23" t="inlineStr">
        <is>
          <t>R1334-v2</t>
        </is>
      </c>
      <c r="B1003" s="23" t="inlineStr">
        <is>
          <t>Cost &amp; Forecast Control Accounts</t>
        </is>
      </c>
      <c r="C1003" s="23" t="inlineStr">
        <is>
          <t>CST-04-012</t>
        </is>
      </c>
      <c r="D1003" s="23" t="inlineStr">
        <is>
          <t>1.4.2 Vehicles and Depot - Depot Buildings</t>
        </is>
      </c>
      <c r="E1003" s="23" t="inlineStr">
        <is>
          <t>Carried forward</t>
        </is>
      </c>
      <c r="F1003" s="23" t="inlineStr"/>
      <c r="G1003" s="23" t="inlineStr">
        <is>
          <t>Source assignment -- not individually reviewed</t>
        </is>
      </c>
      <c r="H1003" s="14" t="inlineStr">
        <is>
          <t>10 EVIDENCE &amp; DECISIONS</t>
        </is>
      </c>
    </row>
    <row r="1004" ht="34" customHeight="1">
      <c r="A1004" s="23" t="inlineStr">
        <is>
          <t>R1336-v2</t>
        </is>
      </c>
      <c r="B1004" s="23" t="inlineStr">
        <is>
          <t>Cost &amp; Forecast Control Accounts</t>
        </is>
      </c>
      <c r="C1004" s="23" t="inlineStr">
        <is>
          <t>CST-04-014</t>
        </is>
      </c>
      <c r="D1004" s="23" t="inlineStr">
        <is>
          <t>1.4.2 Vehicles and Depot - Depot Buildings</t>
        </is>
      </c>
      <c r="E1004" s="23" t="inlineStr">
        <is>
          <t>Carried forward</t>
        </is>
      </c>
      <c r="F1004" s="23" t="inlineStr"/>
      <c r="G1004" s="23" t="inlineStr">
        <is>
          <t>Source assignment -- not individually reviewed</t>
        </is>
      </c>
      <c r="H1004" s="14" t="inlineStr">
        <is>
          <t>10 EVIDENCE &amp; DECISIONS</t>
        </is>
      </c>
    </row>
    <row r="1005" ht="34" customHeight="1">
      <c r="A1005" s="23" t="inlineStr">
        <is>
          <t>R1338-v2</t>
        </is>
      </c>
      <c r="B1005" s="23" t="inlineStr">
        <is>
          <t>Cost &amp; Forecast Control Accounts</t>
        </is>
      </c>
      <c r="C1005" s="23" t="inlineStr">
        <is>
          <t>CST-04-016</t>
        </is>
      </c>
      <c r="D1005" s="23" t="inlineStr">
        <is>
          <t>1.4.2 Vehicles and Depot - Depot Buildings</t>
        </is>
      </c>
      <c r="E1005" s="23" t="inlineStr">
        <is>
          <t>Carried forward</t>
        </is>
      </c>
      <c r="F1005" s="23" t="inlineStr"/>
      <c r="G1005" s="23" t="inlineStr">
        <is>
          <t>Source assignment -- not individually reviewed</t>
        </is>
      </c>
      <c r="H1005" s="14" t="inlineStr">
        <is>
          <t>10 EVIDENCE &amp; DECISIONS</t>
        </is>
      </c>
    </row>
    <row r="1006" ht="34" customHeight="1">
      <c r="A1006" s="23" t="inlineStr">
        <is>
          <t>R1340-v2</t>
        </is>
      </c>
      <c r="B1006" s="23" t="inlineStr">
        <is>
          <t>Cost &amp; Forecast Control Accounts</t>
        </is>
      </c>
      <c r="C1006" s="23" t="inlineStr">
        <is>
          <t>CST-04-018</t>
        </is>
      </c>
      <c r="D1006" s="23" t="inlineStr">
        <is>
          <t>1.4.2 Vehicles and Depot - Depot Buildings</t>
        </is>
      </c>
      <c r="E1006" s="23" t="inlineStr">
        <is>
          <t>Carried forward</t>
        </is>
      </c>
      <c r="F1006" s="23" t="inlineStr"/>
      <c r="G1006" s="23" t="inlineStr">
        <is>
          <t>Source assignment -- not individually reviewed</t>
        </is>
      </c>
      <c r="H1006" s="14" t="inlineStr">
        <is>
          <t>10 EVIDENCE &amp; DECISIONS</t>
        </is>
      </c>
    </row>
    <row r="1007" ht="34" customHeight="1">
      <c r="A1007" s="23" t="inlineStr">
        <is>
          <t>R1342-v2</t>
        </is>
      </c>
      <c r="B1007" s="23" t="inlineStr">
        <is>
          <t>Cost &amp; Forecast Control Accounts</t>
        </is>
      </c>
      <c r="C1007" s="23" t="inlineStr">
        <is>
          <t>CST-04-020</t>
        </is>
      </c>
      <c r="D1007" s="23" t="inlineStr">
        <is>
          <t>1.4.2 Vehicles and Depot - Depot Buildings</t>
        </is>
      </c>
      <c r="E1007" s="23" t="inlineStr">
        <is>
          <t>Carried forward</t>
        </is>
      </c>
      <c r="F1007" s="23" t="inlineStr"/>
      <c r="G1007" s="23" t="inlineStr">
        <is>
          <t>Source assignment -- not individually reviewed</t>
        </is>
      </c>
      <c r="H1007" s="14" t="inlineStr">
        <is>
          <t>10 EVIDENCE &amp; DECISIONS</t>
        </is>
      </c>
    </row>
    <row r="1008" ht="34" customHeight="1">
      <c r="A1008" s="23" t="inlineStr">
        <is>
          <t>R1344-v2</t>
        </is>
      </c>
      <c r="B1008" s="23" t="inlineStr">
        <is>
          <t>Cost &amp; Forecast Control Accounts</t>
        </is>
      </c>
      <c r="C1008" s="23" t="inlineStr">
        <is>
          <t>CST-04-022</t>
        </is>
      </c>
      <c r="D1008" s="23" t="inlineStr">
        <is>
          <t>1.4.2 Vehicles and Depot - Depot Buildings</t>
        </is>
      </c>
      <c r="E1008" s="23" t="inlineStr">
        <is>
          <t>Carried forward</t>
        </is>
      </c>
      <c r="F1008" s="23" t="inlineStr"/>
      <c r="G1008" s="23" t="inlineStr">
        <is>
          <t>Source assignment -- not individually reviewed</t>
        </is>
      </c>
      <c r="H1008" s="14" t="inlineStr">
        <is>
          <t>10 EVIDENCE &amp; DECISIONS</t>
        </is>
      </c>
    </row>
    <row r="1009" ht="34" customHeight="1">
      <c r="A1009" s="23" t="inlineStr">
        <is>
          <t>R1346-v2</t>
        </is>
      </c>
      <c r="B1009" s="23" t="inlineStr">
        <is>
          <t>Cost &amp; Forecast Control Accounts</t>
        </is>
      </c>
      <c r="C1009" s="23" t="inlineStr">
        <is>
          <t>CST-04-024</t>
        </is>
      </c>
      <c r="D1009" s="23" t="inlineStr">
        <is>
          <t>1.4.2 Vehicles and Depot - Depot Buildings</t>
        </is>
      </c>
      <c r="E1009" s="23" t="inlineStr">
        <is>
          <t>Carried forward</t>
        </is>
      </c>
      <c r="F1009" s="23" t="inlineStr"/>
      <c r="G1009" s="23" t="inlineStr">
        <is>
          <t>Source assignment -- not individually reviewed</t>
        </is>
      </c>
      <c r="H1009" s="14" t="inlineStr">
        <is>
          <t>10 EVIDENCE &amp; DECISIONS</t>
        </is>
      </c>
    </row>
    <row r="1010" ht="34" customHeight="1">
      <c r="A1010" s="23" t="inlineStr">
        <is>
          <t>R1348-v2</t>
        </is>
      </c>
      <c r="B1010" s="23" t="inlineStr">
        <is>
          <t>Cost &amp; Forecast Control Accounts</t>
        </is>
      </c>
      <c r="C1010" s="23" t="inlineStr">
        <is>
          <t>CST-04-026</t>
        </is>
      </c>
      <c r="D1010" s="23" t="inlineStr">
        <is>
          <t>1.4.2 Vehicles and Depot - Depot Buildings</t>
        </is>
      </c>
      <c r="E1010" s="23" t="inlineStr">
        <is>
          <t>Carried forward</t>
        </is>
      </c>
      <c r="F1010" s="23" t="inlineStr"/>
      <c r="G1010" s="23" t="inlineStr">
        <is>
          <t>Source assignment -- not individually reviewed</t>
        </is>
      </c>
      <c r="H1010" s="14" t="inlineStr">
        <is>
          <t>10 EVIDENCE &amp; DECISIONS</t>
        </is>
      </c>
    </row>
    <row r="1011" ht="34" customHeight="1">
      <c r="A1011" s="23" t="inlineStr">
        <is>
          <t>R1350-v2</t>
        </is>
      </c>
      <c r="B1011" s="23" t="inlineStr">
        <is>
          <t>Cost &amp; Forecast Control Accounts</t>
        </is>
      </c>
      <c r="C1011" s="23" t="inlineStr">
        <is>
          <t>CST-04-028</t>
        </is>
      </c>
      <c r="D1011" s="23" t="inlineStr">
        <is>
          <t>1.4.2 Vehicles and Depot - Depot Buildings</t>
        </is>
      </c>
      <c r="E1011" s="23" t="inlineStr">
        <is>
          <t>Carried forward</t>
        </is>
      </c>
      <c r="F1011" s="23" t="inlineStr"/>
      <c r="G1011" s="23" t="inlineStr">
        <is>
          <t>Source assignment -- not individually reviewed</t>
        </is>
      </c>
      <c r="H1011" s="14" t="inlineStr">
        <is>
          <t>10 EVIDENCE &amp; DECISIONS</t>
        </is>
      </c>
    </row>
    <row r="1012" ht="34" customHeight="1">
      <c r="A1012" s="23" t="inlineStr">
        <is>
          <t>R1352-v2</t>
        </is>
      </c>
      <c r="B1012" s="23" t="inlineStr">
        <is>
          <t>Cost &amp; Forecast Control Accounts</t>
        </is>
      </c>
      <c r="C1012" s="23" t="inlineStr">
        <is>
          <t>CST-04-030</t>
        </is>
      </c>
      <c r="D1012" s="23" t="inlineStr">
        <is>
          <t>1.4.2 Vehicles and Depot - Depot Buildings</t>
        </is>
      </c>
      <c r="E1012" s="23" t="inlineStr">
        <is>
          <t>Carried forward</t>
        </is>
      </c>
      <c r="F1012" s="23" t="inlineStr"/>
      <c r="G1012" s="23" t="inlineStr">
        <is>
          <t>Source assignment -- not individually reviewed</t>
        </is>
      </c>
      <c r="H1012" s="14" t="inlineStr">
        <is>
          <t>10 EVIDENCE &amp; DECISIONS</t>
        </is>
      </c>
    </row>
    <row r="1013" ht="34" customHeight="1">
      <c r="A1013" s="23" t="inlineStr">
        <is>
          <t>R1354-v2</t>
        </is>
      </c>
      <c r="B1013" s="23" t="inlineStr">
        <is>
          <t>Cost &amp; Forecast Control Accounts</t>
        </is>
      </c>
      <c r="C1013" s="23" t="inlineStr">
        <is>
          <t>CST-04-032</t>
        </is>
      </c>
      <c r="D1013" s="23" t="inlineStr">
        <is>
          <t>1.4.2 Vehicles and Depot - Depot Buildings</t>
        </is>
      </c>
      <c r="E1013" s="23" t="inlineStr">
        <is>
          <t>Carried forward</t>
        </is>
      </c>
      <c r="F1013" s="23" t="inlineStr"/>
      <c r="G1013" s="23" t="inlineStr">
        <is>
          <t>Source assignment -- not individually reviewed</t>
        </is>
      </c>
      <c r="H1013" s="14" t="inlineStr">
        <is>
          <t>10 EVIDENCE &amp; DECISIONS</t>
        </is>
      </c>
    </row>
    <row r="1014" ht="34" customHeight="1">
      <c r="A1014" s="23" t="inlineStr">
        <is>
          <t>R1356-v2</t>
        </is>
      </c>
      <c r="B1014" s="23" t="inlineStr">
        <is>
          <t>Cost &amp; Forecast Control Accounts</t>
        </is>
      </c>
      <c r="C1014" s="23" t="inlineStr">
        <is>
          <t>CST-04-034</t>
        </is>
      </c>
      <c r="D1014" s="23" t="inlineStr">
        <is>
          <t>1.4.2 Vehicles and Depot - Depot Buildings</t>
        </is>
      </c>
      <c r="E1014" s="23" t="inlineStr">
        <is>
          <t>Carried forward</t>
        </is>
      </c>
      <c r="F1014" s="23" t="inlineStr"/>
      <c r="G1014" s="23" t="inlineStr">
        <is>
          <t>Source assignment -- not individually reviewed</t>
        </is>
      </c>
      <c r="H1014" s="14" t="inlineStr">
        <is>
          <t>10 EVIDENCE &amp; DECISIONS</t>
        </is>
      </c>
    </row>
    <row r="1015" ht="34" customHeight="1">
      <c r="A1015" s="23" t="inlineStr">
        <is>
          <t>R1358-v2</t>
        </is>
      </c>
      <c r="B1015" s="23" t="inlineStr">
        <is>
          <t>Cost &amp; Forecast Control Accounts</t>
        </is>
      </c>
      <c r="C1015" s="23" t="inlineStr">
        <is>
          <t>CST-04-036</t>
        </is>
      </c>
      <c r="D1015" s="23" t="inlineStr">
        <is>
          <t>1.4.2 Vehicles and Depot - Depot Buildings</t>
        </is>
      </c>
      <c r="E1015" s="23" t="inlineStr">
        <is>
          <t>Carried forward</t>
        </is>
      </c>
      <c r="F1015" s="23" t="inlineStr"/>
      <c r="G1015" s="23" t="inlineStr">
        <is>
          <t>Source assignment -- not individually reviewed</t>
        </is>
      </c>
      <c r="H1015" s="14" t="inlineStr">
        <is>
          <t>10 EVIDENCE &amp; DECISIONS</t>
        </is>
      </c>
    </row>
    <row r="1016" ht="34" customHeight="1">
      <c r="A1016" s="23" t="inlineStr">
        <is>
          <t>R1360-v2</t>
        </is>
      </c>
      <c r="B1016" s="23" t="inlineStr">
        <is>
          <t>Cost &amp; Forecast Control Accounts</t>
        </is>
      </c>
      <c r="C1016" s="23" t="inlineStr">
        <is>
          <t>CST-04-038</t>
        </is>
      </c>
      <c r="D1016" s="23" t="inlineStr">
        <is>
          <t>1.4.2 Vehicles and Depot - Depot Buildings</t>
        </is>
      </c>
      <c r="E1016" s="23" t="inlineStr">
        <is>
          <t>Carried forward</t>
        </is>
      </c>
      <c r="F1016" s="23" t="inlineStr"/>
      <c r="G1016" s="23" t="inlineStr">
        <is>
          <t>Source assignment -- not individually reviewed</t>
        </is>
      </c>
      <c r="H1016" s="14" t="inlineStr">
        <is>
          <t>10 EVIDENCE &amp; DECISIONS</t>
        </is>
      </c>
    </row>
    <row r="1017" ht="34" customHeight="1">
      <c r="A1017" s="23" t="inlineStr">
        <is>
          <t>R1362-v2</t>
        </is>
      </c>
      <c r="B1017" s="23" t="inlineStr">
        <is>
          <t>Cost &amp; Forecast Control Accounts</t>
        </is>
      </c>
      <c r="C1017" s="23" t="inlineStr">
        <is>
          <t>CST-04-040</t>
        </is>
      </c>
      <c r="D1017" s="23" t="inlineStr">
        <is>
          <t>1.4.2 Vehicles and Depot - Depot Buildings</t>
        </is>
      </c>
      <c r="E1017" s="23" t="inlineStr">
        <is>
          <t>Carried forward</t>
        </is>
      </c>
      <c r="F1017" s="23" t="inlineStr"/>
      <c r="G1017" s="23" t="inlineStr">
        <is>
          <t>Source assignment -- not individually reviewed</t>
        </is>
      </c>
      <c r="H1017" s="14" t="inlineStr">
        <is>
          <t>10 EVIDENCE &amp; DECISIONS</t>
        </is>
      </c>
    </row>
    <row r="1018" ht="34" customHeight="1">
      <c r="A1018" s="23" t="inlineStr">
        <is>
          <t>R1364-v2</t>
        </is>
      </c>
      <c r="B1018" s="23" t="inlineStr">
        <is>
          <t>Cost &amp; Forecast Control Accounts</t>
        </is>
      </c>
      <c r="C1018" s="23" t="inlineStr">
        <is>
          <t>CST-04-042</t>
        </is>
      </c>
      <c r="D1018" s="23" t="inlineStr">
        <is>
          <t>1.4.2 Vehicles and Depot - Depot Buildings</t>
        </is>
      </c>
      <c r="E1018" s="23" t="inlineStr">
        <is>
          <t>Carried forward</t>
        </is>
      </c>
      <c r="F1018" s="23" t="inlineStr"/>
      <c r="G1018" s="23" t="inlineStr">
        <is>
          <t>Source assignment -- not individually reviewed</t>
        </is>
      </c>
      <c r="H1018" s="14" t="inlineStr">
        <is>
          <t>10 EVIDENCE &amp; DECISIONS</t>
        </is>
      </c>
    </row>
    <row r="1019" ht="34" customHeight="1">
      <c r="A1019" s="23" t="inlineStr">
        <is>
          <t>R1366-v2</t>
        </is>
      </c>
      <c r="B1019" s="23" t="inlineStr">
        <is>
          <t>Cost &amp; Forecast Control Accounts</t>
        </is>
      </c>
      <c r="C1019" s="23" t="inlineStr">
        <is>
          <t>CST-04-044</t>
        </is>
      </c>
      <c r="D1019" s="23" t="inlineStr">
        <is>
          <t>1.4.2 Vehicles and Depot - Depot Buildings</t>
        </is>
      </c>
      <c r="E1019" s="23" t="inlineStr">
        <is>
          <t>Carried forward</t>
        </is>
      </c>
      <c r="F1019" s="23" t="inlineStr"/>
      <c r="G1019" s="23" t="inlineStr">
        <is>
          <t>Source assignment -- not individually reviewed</t>
        </is>
      </c>
      <c r="H1019" s="14" t="inlineStr">
        <is>
          <t>10 EVIDENCE &amp; DECISIONS</t>
        </is>
      </c>
    </row>
    <row r="1020" ht="34" customHeight="1">
      <c r="A1020" s="23" t="inlineStr">
        <is>
          <t>R1368-v2</t>
        </is>
      </c>
      <c r="B1020" s="23" t="inlineStr">
        <is>
          <t>Cost &amp; Forecast Control Accounts</t>
        </is>
      </c>
      <c r="C1020" s="23" t="inlineStr">
        <is>
          <t>CST-04-046</t>
        </is>
      </c>
      <c r="D1020" s="23" t="inlineStr">
        <is>
          <t>1.4.2 Vehicles and Depot - Depot Buildings</t>
        </is>
      </c>
      <c r="E1020" s="23" t="inlineStr">
        <is>
          <t>Carried forward</t>
        </is>
      </c>
      <c r="F1020" s="23" t="inlineStr"/>
      <c r="G1020" s="23" t="inlineStr">
        <is>
          <t>Source assignment -- not individually reviewed</t>
        </is>
      </c>
      <c r="H1020" s="14" t="inlineStr">
        <is>
          <t>10 EVIDENCE &amp; DECISIONS</t>
        </is>
      </c>
    </row>
    <row r="1021" ht="34" customHeight="1">
      <c r="A1021" s="23" t="inlineStr">
        <is>
          <t>R1370-v2</t>
        </is>
      </c>
      <c r="B1021" s="23" t="inlineStr">
        <is>
          <t>Cost &amp; Forecast Control Accounts</t>
        </is>
      </c>
      <c r="C1021" s="23" t="inlineStr">
        <is>
          <t>CST-04-048</t>
        </is>
      </c>
      <c r="D1021" s="23" t="inlineStr">
        <is>
          <t>1.4.2 Vehicles and Depot - Depot Buildings</t>
        </is>
      </c>
      <c r="E1021" s="23" t="inlineStr">
        <is>
          <t>Carried forward</t>
        </is>
      </c>
      <c r="F1021" s="23" t="inlineStr"/>
      <c r="G1021" s="23" t="inlineStr">
        <is>
          <t>Source assignment -- not individually reviewed</t>
        </is>
      </c>
      <c r="H1021" s="14" t="inlineStr">
        <is>
          <t>10 EVIDENCE &amp; DECISIONS</t>
        </is>
      </c>
    </row>
    <row r="1022" ht="34" customHeight="1">
      <c r="A1022" s="23" t="inlineStr">
        <is>
          <t>R1372-v2</t>
        </is>
      </c>
      <c r="B1022" s="23" t="inlineStr">
        <is>
          <t>Cost &amp; Forecast Control Accounts</t>
        </is>
      </c>
      <c r="C1022" s="23" t="inlineStr">
        <is>
          <t>CST-04-050</t>
        </is>
      </c>
      <c r="D1022" s="23" t="inlineStr">
        <is>
          <t>1.4.2 Vehicles and Depot - Depot Buildings</t>
        </is>
      </c>
      <c r="E1022" s="23" t="inlineStr">
        <is>
          <t>Carried forward</t>
        </is>
      </c>
      <c r="F1022" s="23" t="inlineStr"/>
      <c r="G1022" s="23" t="inlineStr">
        <is>
          <t>Source assignment -- not individually reviewed</t>
        </is>
      </c>
      <c r="H1022" s="14" t="inlineStr">
        <is>
          <t>10 EVIDENCE &amp; DECISIONS</t>
        </is>
      </c>
    </row>
    <row r="1023" ht="34" customHeight="1">
      <c r="A1023" s="23" t="inlineStr">
        <is>
          <t>R1374-v2</t>
        </is>
      </c>
      <c r="B1023" s="23" t="inlineStr">
        <is>
          <t>Cost &amp; Forecast Control Accounts</t>
        </is>
      </c>
      <c r="C1023" s="23" t="inlineStr">
        <is>
          <t>CST-04-052</t>
        </is>
      </c>
      <c r="D1023" s="23" t="inlineStr">
        <is>
          <t>1.4.2 Vehicles and Depot - Depot Buildings</t>
        </is>
      </c>
      <c r="E1023" s="23" t="inlineStr">
        <is>
          <t>Carried forward</t>
        </is>
      </c>
      <c r="F1023" s="23" t="inlineStr"/>
      <c r="G1023" s="23" t="inlineStr">
        <is>
          <t>Source assignment -- not individually reviewed</t>
        </is>
      </c>
      <c r="H1023" s="14" t="inlineStr">
        <is>
          <t>10 EVIDENCE &amp; DECISIONS</t>
        </is>
      </c>
    </row>
    <row r="1024" ht="34" customHeight="1">
      <c r="A1024" s="23" t="inlineStr">
        <is>
          <t>R1376-v2</t>
        </is>
      </c>
      <c r="B1024" s="23" t="inlineStr">
        <is>
          <t>Cost &amp; Forecast Control Accounts</t>
        </is>
      </c>
      <c r="C1024" s="23" t="inlineStr">
        <is>
          <t>CST-04-054</t>
        </is>
      </c>
      <c r="D1024" s="23" t="inlineStr">
        <is>
          <t>1.4.2 Vehicles and Depot - Depot Buildings</t>
        </is>
      </c>
      <c r="E1024" s="23" t="inlineStr">
        <is>
          <t>Carried forward</t>
        </is>
      </c>
      <c r="F1024" s="23" t="inlineStr"/>
      <c r="G1024" s="23" t="inlineStr">
        <is>
          <t>Source assignment -- not individually reviewed</t>
        </is>
      </c>
      <c r="H1024" s="14" t="inlineStr">
        <is>
          <t>10 EVIDENCE &amp; DECISIONS</t>
        </is>
      </c>
    </row>
    <row r="1025" ht="34" customHeight="1">
      <c r="A1025" s="23" t="inlineStr">
        <is>
          <t>R1378-v2</t>
        </is>
      </c>
      <c r="B1025" s="23" t="inlineStr">
        <is>
          <t>Cost &amp; Forecast Control Accounts</t>
        </is>
      </c>
      <c r="C1025" s="23" t="inlineStr">
        <is>
          <t>CST-04-056</t>
        </is>
      </c>
      <c r="D1025" s="23" t="inlineStr">
        <is>
          <t>1.4.2 Vehicles and Depot - Depot Buildings</t>
        </is>
      </c>
      <c r="E1025" s="23" t="inlineStr">
        <is>
          <t>Carried forward</t>
        </is>
      </c>
      <c r="F1025" s="23" t="inlineStr"/>
      <c r="G1025" s="23" t="inlineStr">
        <is>
          <t>Source assignment -- not individually reviewed</t>
        </is>
      </c>
      <c r="H1025" s="14" t="inlineStr">
        <is>
          <t>10 EVIDENCE &amp; DECISIONS</t>
        </is>
      </c>
    </row>
    <row r="1026" ht="34" customHeight="1">
      <c r="A1026" s="23" t="inlineStr">
        <is>
          <t>R1380-v2</t>
        </is>
      </c>
      <c r="B1026" s="23" t="inlineStr">
        <is>
          <t>Cost &amp; Forecast Control Accounts</t>
        </is>
      </c>
      <c r="C1026" s="23" t="inlineStr">
        <is>
          <t>CST-04-058</t>
        </is>
      </c>
      <c r="D1026" s="23" t="inlineStr">
        <is>
          <t>1.4.2 Vehicles and Depot - Depot Buildings</t>
        </is>
      </c>
      <c r="E1026" s="23" t="inlineStr">
        <is>
          <t>Carried forward</t>
        </is>
      </c>
      <c r="F1026" s="23" t="inlineStr"/>
      <c r="G1026" s="23" t="inlineStr">
        <is>
          <t>Source assignment -- not individually reviewed</t>
        </is>
      </c>
      <c r="H1026" s="14" t="inlineStr">
        <is>
          <t>10 EVIDENCE &amp; DECISIONS</t>
        </is>
      </c>
    </row>
    <row r="1027" ht="34" customHeight="1">
      <c r="A1027" s="23" t="inlineStr">
        <is>
          <t>R1382-v2</t>
        </is>
      </c>
      <c r="B1027" s="23" t="inlineStr">
        <is>
          <t>Cost &amp; Forecast Control Accounts</t>
        </is>
      </c>
      <c r="C1027" s="23" t="inlineStr">
        <is>
          <t>CST-04-060</t>
        </is>
      </c>
      <c r="D1027" s="23" t="inlineStr">
        <is>
          <t>1.4.2 Vehicles and Depot - Depot Buildings</t>
        </is>
      </c>
      <c r="E1027" s="23" t="inlineStr">
        <is>
          <t>Carried forward</t>
        </is>
      </c>
      <c r="F1027" s="23" t="inlineStr"/>
      <c r="G1027" s="23" t="inlineStr">
        <is>
          <t>Source assignment -- not individually reviewed</t>
        </is>
      </c>
      <c r="H1027" s="14" t="inlineStr">
        <is>
          <t>10 EVIDENCE &amp; DECISIONS</t>
        </is>
      </c>
    </row>
    <row r="1028" ht="34" customHeight="1">
      <c r="A1028" s="23" t="inlineStr">
        <is>
          <t>R1384-v2</t>
        </is>
      </c>
      <c r="B1028" s="23" t="inlineStr">
        <is>
          <t>Cost &amp; Forecast Control Accounts</t>
        </is>
      </c>
      <c r="C1028" s="23" t="inlineStr">
        <is>
          <t>CST-04-062</t>
        </is>
      </c>
      <c r="D1028" s="23" t="inlineStr">
        <is>
          <t>1.4.2 Vehicles and Depot - Depot Buildings</t>
        </is>
      </c>
      <c r="E1028" s="23" t="inlineStr">
        <is>
          <t>Carried forward</t>
        </is>
      </c>
      <c r="F1028" s="23" t="inlineStr"/>
      <c r="G1028" s="23" t="inlineStr">
        <is>
          <t>Source assignment -- not individually reviewed</t>
        </is>
      </c>
      <c r="H1028" s="14" t="inlineStr">
        <is>
          <t>10 EVIDENCE &amp; DECISIONS</t>
        </is>
      </c>
    </row>
    <row r="1029" ht="34" customHeight="1">
      <c r="A1029" s="23" t="inlineStr">
        <is>
          <t>R1386-v2</t>
        </is>
      </c>
      <c r="B1029" s="23" t="inlineStr">
        <is>
          <t>Cost &amp; Forecast Control Accounts</t>
        </is>
      </c>
      <c r="C1029" s="23" t="inlineStr">
        <is>
          <t>CST-04-064</t>
        </is>
      </c>
      <c r="D1029" s="23" t="inlineStr">
        <is>
          <t>1.4.2 Vehicles and Depot - Depot Buildings</t>
        </is>
      </c>
      <c r="E1029" s="23" t="inlineStr">
        <is>
          <t>Carried forward</t>
        </is>
      </c>
      <c r="F1029" s="23" t="inlineStr"/>
      <c r="G1029" s="23" t="inlineStr">
        <is>
          <t>Source assignment -- not individually reviewed</t>
        </is>
      </c>
      <c r="H1029" s="14" t="inlineStr">
        <is>
          <t>10 EVIDENCE &amp; DECISIONS</t>
        </is>
      </c>
    </row>
    <row r="1030" ht="34" customHeight="1">
      <c r="A1030" s="23" t="inlineStr">
        <is>
          <t>R1388-v2</t>
        </is>
      </c>
      <c r="B1030" s="23" t="inlineStr">
        <is>
          <t>Cost &amp; Forecast Control Accounts</t>
        </is>
      </c>
      <c r="C1030" s="23" t="inlineStr">
        <is>
          <t>CST-04-066</t>
        </is>
      </c>
      <c r="D1030" s="23" t="inlineStr">
        <is>
          <t>1.4.2 Vehicles and Depot - Depot Buildings</t>
        </is>
      </c>
      <c r="E1030" s="23" t="inlineStr">
        <is>
          <t>Carried forward</t>
        </is>
      </c>
      <c r="F1030" s="23" t="inlineStr"/>
      <c r="G1030" s="23" t="inlineStr">
        <is>
          <t>Source assignment -- not individually reviewed</t>
        </is>
      </c>
      <c r="H1030" s="14" t="inlineStr">
        <is>
          <t>10 EVIDENCE &amp; DECISIONS</t>
        </is>
      </c>
    </row>
    <row r="1031" ht="34" customHeight="1">
      <c r="A1031" s="23" t="inlineStr">
        <is>
          <t>R1390-v2</t>
        </is>
      </c>
      <c r="B1031" s="23" t="inlineStr">
        <is>
          <t>Cost &amp; Forecast Control Accounts</t>
        </is>
      </c>
      <c r="C1031" s="23" t="inlineStr">
        <is>
          <t>CST-04-068</t>
        </is>
      </c>
      <c r="D1031" s="23" t="inlineStr">
        <is>
          <t>1.4.2 Vehicles and Depot - Depot Buildings</t>
        </is>
      </c>
      <c r="E1031" s="23" t="inlineStr">
        <is>
          <t>Carried forward</t>
        </is>
      </c>
      <c r="F1031" s="23" t="inlineStr"/>
      <c r="G1031" s="23" t="inlineStr">
        <is>
          <t>Source assignment -- not individually reviewed</t>
        </is>
      </c>
      <c r="H1031" s="14" t="inlineStr">
        <is>
          <t>10 EVIDENCE &amp; DECISIONS</t>
        </is>
      </c>
    </row>
    <row r="1032" ht="34" customHeight="1">
      <c r="A1032" s="23" t="inlineStr">
        <is>
          <t>R1392-v2</t>
        </is>
      </c>
      <c r="B1032" s="23" t="inlineStr">
        <is>
          <t>Cost &amp; Forecast Control Accounts</t>
        </is>
      </c>
      <c r="C1032" s="23" t="inlineStr">
        <is>
          <t>CST-04-070</t>
        </is>
      </c>
      <c r="D1032" s="23" t="inlineStr">
        <is>
          <t>1.4.2 Vehicles and Depot - Depot Buildings</t>
        </is>
      </c>
      <c r="E1032" s="23" t="inlineStr">
        <is>
          <t>Carried forward</t>
        </is>
      </c>
      <c r="F1032" s="23" t="inlineStr"/>
      <c r="G1032" s="23" t="inlineStr">
        <is>
          <t>Source assignment -- not individually reviewed</t>
        </is>
      </c>
      <c r="H1032" s="14" t="inlineStr">
        <is>
          <t>10 EVIDENCE &amp; DECISIONS</t>
        </is>
      </c>
    </row>
    <row r="1033" ht="34" customHeight="1">
      <c r="A1033" s="23" t="inlineStr">
        <is>
          <t>R1394-v2</t>
        </is>
      </c>
      <c r="B1033" s="23" t="inlineStr">
        <is>
          <t>Cost &amp; Forecast Control Accounts</t>
        </is>
      </c>
      <c r="C1033" s="23" t="inlineStr">
        <is>
          <t>CST-04-072</t>
        </is>
      </c>
      <c r="D1033" s="23" t="inlineStr">
        <is>
          <t>1.4.2 Vehicles and Depot - Depot Buildings</t>
        </is>
      </c>
      <c r="E1033" s="23" t="inlineStr">
        <is>
          <t>Carried forward</t>
        </is>
      </c>
      <c r="F1033" s="23" t="inlineStr"/>
      <c r="G1033" s="23" t="inlineStr">
        <is>
          <t>Source assignment -- not individually reviewed</t>
        </is>
      </c>
      <c r="H1033" s="14" t="inlineStr">
        <is>
          <t>10 EVIDENCE &amp; DECISIONS</t>
        </is>
      </c>
    </row>
    <row r="1034" ht="34" customHeight="1">
      <c r="A1034" s="23" t="inlineStr">
        <is>
          <t>R1396-v2</t>
        </is>
      </c>
      <c r="B1034" s="23" t="inlineStr">
        <is>
          <t>Cost &amp; Forecast Control Accounts</t>
        </is>
      </c>
      <c r="C1034" s="23" t="inlineStr">
        <is>
          <t>CST-04-074</t>
        </is>
      </c>
      <c r="D1034" s="23" t="inlineStr">
        <is>
          <t>1.4.2 Vehicles and Depot - Depot Buildings</t>
        </is>
      </c>
      <c r="E1034" s="23" t="inlineStr">
        <is>
          <t>Carried forward</t>
        </is>
      </c>
      <c r="F1034" s="23" t="inlineStr"/>
      <c r="G1034" s="23" t="inlineStr">
        <is>
          <t>Source assignment -- not individually reviewed</t>
        </is>
      </c>
      <c r="H1034" s="14" t="inlineStr">
        <is>
          <t>10 EVIDENCE &amp; DECISIONS</t>
        </is>
      </c>
    </row>
    <row r="1035" ht="34" customHeight="1">
      <c r="A1035" s="23" t="inlineStr">
        <is>
          <t>R1398-v2</t>
        </is>
      </c>
      <c r="B1035" s="23" t="inlineStr">
        <is>
          <t>Cost &amp; Forecast Control Accounts</t>
        </is>
      </c>
      <c r="C1035" s="23" t="inlineStr">
        <is>
          <t>CST-04-076</t>
        </is>
      </c>
      <c r="D1035" s="23" t="inlineStr">
        <is>
          <t>1.4.2 Vehicles and Depot - Depot Buildings</t>
        </is>
      </c>
      <c r="E1035" s="23" t="inlineStr">
        <is>
          <t>Carried forward</t>
        </is>
      </c>
      <c r="F1035" s="23" t="inlineStr"/>
      <c r="G1035" s="23" t="inlineStr">
        <is>
          <t>Source assignment -- not individually reviewed</t>
        </is>
      </c>
      <c r="H1035" s="14" t="inlineStr">
        <is>
          <t>10 EVIDENCE &amp; DECISIONS</t>
        </is>
      </c>
    </row>
    <row r="1036" ht="34" customHeight="1">
      <c r="A1036" s="23" t="inlineStr">
        <is>
          <t>R1400-v2</t>
        </is>
      </c>
      <c r="B1036" s="23" t="inlineStr">
        <is>
          <t>Cost &amp; Forecast Control Accounts</t>
        </is>
      </c>
      <c r="C1036" s="23" t="inlineStr">
        <is>
          <t>CST-04-078</t>
        </is>
      </c>
      <c r="D1036" s="23" t="inlineStr">
        <is>
          <t>1.4.2 Vehicles and Depot - Depot Buildings</t>
        </is>
      </c>
      <c r="E1036" s="23" t="inlineStr">
        <is>
          <t>Carried forward</t>
        </is>
      </c>
      <c r="F1036" s="23" t="inlineStr"/>
      <c r="G1036" s="23" t="inlineStr">
        <is>
          <t>Source assignment -- not individually reviewed</t>
        </is>
      </c>
      <c r="H1036" s="14" t="inlineStr">
        <is>
          <t>10 EVIDENCE &amp; DECISIONS</t>
        </is>
      </c>
    </row>
    <row r="1037" ht="34" customHeight="1">
      <c r="A1037" s="23" t="inlineStr">
        <is>
          <t>R1402-v2</t>
        </is>
      </c>
      <c r="B1037" s="23" t="inlineStr">
        <is>
          <t>Cost &amp; Forecast Control Accounts</t>
        </is>
      </c>
      <c r="C1037" s="23" t="inlineStr">
        <is>
          <t>CST-04-080</t>
        </is>
      </c>
      <c r="D1037" s="23" t="inlineStr">
        <is>
          <t>1.4.2 Vehicles and Depot - Depot Buildings</t>
        </is>
      </c>
      <c r="E1037" s="23" t="inlineStr">
        <is>
          <t>Carried forward</t>
        </is>
      </c>
      <c r="F1037" s="23" t="inlineStr"/>
      <c r="G1037" s="23" t="inlineStr">
        <is>
          <t>Source assignment -- not individually reviewed</t>
        </is>
      </c>
      <c r="H1037" s="14" t="inlineStr">
        <is>
          <t>10 EVIDENCE &amp; DECISIONS</t>
        </is>
      </c>
    </row>
    <row r="1038" ht="34" customHeight="1">
      <c r="A1038" s="23" t="inlineStr">
        <is>
          <t>R546-v2</t>
        </is>
      </c>
      <c r="B1038" s="23" t="inlineStr">
        <is>
          <t>Contractor Programme</t>
        </is>
      </c>
      <c r="C1038" s="23" t="inlineStr">
        <is>
          <t>SCH-04-006</t>
        </is>
      </c>
      <c r="D1038" s="23" t="inlineStr">
        <is>
          <t>1.4.2 Vehicles and Depot - Depot Buildings</t>
        </is>
      </c>
      <c r="E1038" s="23" t="inlineStr">
        <is>
          <t>Carried forward</t>
        </is>
      </c>
      <c r="F1038" s="23" t="inlineStr"/>
      <c r="G1038" s="23" t="inlineStr">
        <is>
          <t>Source assignment -- not individually reviewed</t>
        </is>
      </c>
      <c r="H1038" s="14" t="inlineStr">
        <is>
          <t>10 EVIDENCE &amp; DECISIONS</t>
        </is>
      </c>
    </row>
    <row r="1039" ht="34" customHeight="1">
      <c r="A1039" s="23" t="inlineStr">
        <is>
          <t>R549-v2</t>
        </is>
      </c>
      <c r="B1039" s="23" t="inlineStr">
        <is>
          <t>Contractor Programme</t>
        </is>
      </c>
      <c r="C1039" s="23" t="inlineStr">
        <is>
          <t>SCH-04-009</t>
        </is>
      </c>
      <c r="D1039" s="23" t="inlineStr">
        <is>
          <t>1.4.2 Vehicles and Depot - Depot Buildings</t>
        </is>
      </c>
      <c r="E1039" s="23" t="inlineStr">
        <is>
          <t>Carried forward</t>
        </is>
      </c>
      <c r="F1039" s="23" t="inlineStr"/>
      <c r="G1039" s="23" t="inlineStr">
        <is>
          <t>Source assignment -- not individually reviewed</t>
        </is>
      </c>
      <c r="H1039" s="14" t="inlineStr">
        <is>
          <t>10 EVIDENCE &amp; DECISIONS</t>
        </is>
      </c>
    </row>
    <row r="1040" ht="34" customHeight="1">
      <c r="A1040" s="23" t="inlineStr">
        <is>
          <t>R552-v2</t>
        </is>
      </c>
      <c r="B1040" s="23" t="inlineStr">
        <is>
          <t>Contractor Programme</t>
        </is>
      </c>
      <c r="C1040" s="23" t="inlineStr">
        <is>
          <t>SCH-04-012</t>
        </is>
      </c>
      <c r="D1040" s="23" t="inlineStr">
        <is>
          <t>1.4.2 Vehicles and Depot - Depot Buildings</t>
        </is>
      </c>
      <c r="E1040" s="23" t="inlineStr">
        <is>
          <t>Carried forward</t>
        </is>
      </c>
      <c r="F1040" s="23" t="inlineStr"/>
      <c r="G1040" s="23" t="inlineStr">
        <is>
          <t>Source assignment -- not individually reviewed</t>
        </is>
      </c>
      <c r="H1040" s="14" t="inlineStr">
        <is>
          <t>10 EVIDENCE &amp; DECISIONS</t>
        </is>
      </c>
    </row>
    <row r="1041" ht="34" customHeight="1">
      <c r="A1041" s="23" t="inlineStr">
        <is>
          <t>R555-v2</t>
        </is>
      </c>
      <c r="B1041" s="23" t="inlineStr">
        <is>
          <t>Contractor Programme</t>
        </is>
      </c>
      <c r="C1041" s="23" t="inlineStr">
        <is>
          <t>SCH-04-015</t>
        </is>
      </c>
      <c r="D1041" s="23" t="inlineStr">
        <is>
          <t>1.4.2 Vehicles and Depot - Depot Buildings</t>
        </is>
      </c>
      <c r="E1041" s="23" t="inlineStr">
        <is>
          <t>Carried forward</t>
        </is>
      </c>
      <c r="F1041" s="23" t="inlineStr"/>
      <c r="G1041" s="23" t="inlineStr">
        <is>
          <t>Source assignment -- not individually reviewed</t>
        </is>
      </c>
      <c r="H1041" s="14" t="inlineStr">
        <is>
          <t>10 EVIDENCE &amp; DECISIONS</t>
        </is>
      </c>
    </row>
    <row r="1042" ht="34" customHeight="1">
      <c r="A1042" s="23" t="inlineStr">
        <is>
          <t>R558-v2</t>
        </is>
      </c>
      <c r="B1042" s="23" t="inlineStr">
        <is>
          <t>Contractor Programme</t>
        </is>
      </c>
      <c r="C1042" s="23" t="inlineStr">
        <is>
          <t>SCH-04-018</t>
        </is>
      </c>
      <c r="D1042" s="23" t="inlineStr">
        <is>
          <t>1.4.2 Vehicles and Depot - Depot Buildings</t>
        </is>
      </c>
      <c r="E1042" s="23" t="inlineStr">
        <is>
          <t>Carried forward</t>
        </is>
      </c>
      <c r="F1042" s="23" t="inlineStr"/>
      <c r="G1042" s="23" t="inlineStr">
        <is>
          <t>Source assignment -- not individually reviewed</t>
        </is>
      </c>
      <c r="H1042" s="14" t="inlineStr">
        <is>
          <t>10 EVIDENCE &amp; DECISIONS</t>
        </is>
      </c>
    </row>
    <row r="1043" ht="34" customHeight="1">
      <c r="A1043" s="23" t="inlineStr">
        <is>
          <t>R561-v2</t>
        </is>
      </c>
      <c r="B1043" s="23" t="inlineStr">
        <is>
          <t>Contractor Programme</t>
        </is>
      </c>
      <c r="C1043" s="23" t="inlineStr">
        <is>
          <t>SCH-04-021</t>
        </is>
      </c>
      <c r="D1043" s="23" t="inlineStr">
        <is>
          <t>1.4.2 Vehicles and Depot - Depot Buildings</t>
        </is>
      </c>
      <c r="E1043" s="23" t="inlineStr">
        <is>
          <t>Carried forward</t>
        </is>
      </c>
      <c r="F1043" s="23" t="inlineStr"/>
      <c r="G1043" s="23" t="inlineStr">
        <is>
          <t>Source assignment -- not individually reviewed</t>
        </is>
      </c>
      <c r="H1043" s="14" t="inlineStr">
        <is>
          <t>10 EVIDENCE &amp; DECISIONS</t>
        </is>
      </c>
    </row>
    <row r="1044" ht="34" customHeight="1">
      <c r="A1044" s="23" t="inlineStr">
        <is>
          <t>R564-v2</t>
        </is>
      </c>
      <c r="B1044" s="23" t="inlineStr">
        <is>
          <t>Contractor Programme</t>
        </is>
      </c>
      <c r="C1044" s="23" t="inlineStr">
        <is>
          <t>SCH-04-024</t>
        </is>
      </c>
      <c r="D1044" s="23" t="inlineStr">
        <is>
          <t>1.4.2 Vehicles and Depot - Depot Buildings</t>
        </is>
      </c>
      <c r="E1044" s="23" t="inlineStr">
        <is>
          <t>Carried forward</t>
        </is>
      </c>
      <c r="F1044" s="23" t="inlineStr"/>
      <c r="G1044" s="23" t="inlineStr">
        <is>
          <t>Source assignment -- not individually reviewed</t>
        </is>
      </c>
      <c r="H1044" s="14" t="inlineStr">
        <is>
          <t>10 EVIDENCE &amp; DECISIONS</t>
        </is>
      </c>
    </row>
    <row r="1045" ht="34" customHeight="1">
      <c r="A1045" s="23" t="inlineStr">
        <is>
          <t>R567-v2</t>
        </is>
      </c>
      <c r="B1045" s="23" t="inlineStr">
        <is>
          <t>Contractor Programme</t>
        </is>
      </c>
      <c r="C1045" s="23" t="inlineStr">
        <is>
          <t>SCH-04-027</t>
        </is>
      </c>
      <c r="D1045" s="23" t="inlineStr">
        <is>
          <t>1.4.2 Vehicles and Depot - Depot Buildings</t>
        </is>
      </c>
      <c r="E1045" s="23" t="inlineStr">
        <is>
          <t>Carried forward</t>
        </is>
      </c>
      <c r="F1045" s="23" t="inlineStr"/>
      <c r="G1045" s="23" t="inlineStr">
        <is>
          <t>Source assignment -- not individually reviewed</t>
        </is>
      </c>
      <c r="H1045" s="14" t="inlineStr">
        <is>
          <t>10 EVIDENCE &amp; DECISIONS</t>
        </is>
      </c>
    </row>
    <row r="1046" ht="34" customHeight="1">
      <c r="A1046" s="23" t="inlineStr">
        <is>
          <t>R570-v2</t>
        </is>
      </c>
      <c r="B1046" s="23" t="inlineStr">
        <is>
          <t>Contractor Programme</t>
        </is>
      </c>
      <c r="C1046" s="23" t="inlineStr">
        <is>
          <t>SCH-04-030</t>
        </is>
      </c>
      <c r="D1046" s="23" t="inlineStr">
        <is>
          <t>1.4.2 Vehicles and Depot - Depot Buildings</t>
        </is>
      </c>
      <c r="E1046" s="23" t="inlineStr">
        <is>
          <t>Carried forward</t>
        </is>
      </c>
      <c r="F1046" s="23" t="inlineStr"/>
      <c r="G1046" s="23" t="inlineStr">
        <is>
          <t>Source assignment -- not individually reviewed</t>
        </is>
      </c>
      <c r="H1046" s="14" t="inlineStr">
        <is>
          <t>10 EVIDENCE &amp; DECISIONS</t>
        </is>
      </c>
    </row>
    <row r="1047" ht="34" customHeight="1">
      <c r="A1047" s="23" t="inlineStr">
        <is>
          <t>R573-v2</t>
        </is>
      </c>
      <c r="B1047" s="23" t="inlineStr">
        <is>
          <t>Contractor Programme</t>
        </is>
      </c>
      <c r="C1047" s="23" t="inlineStr">
        <is>
          <t>SCH-04-033</t>
        </is>
      </c>
      <c r="D1047" s="23" t="inlineStr">
        <is>
          <t>1.4.2 Vehicles and Depot - Depot Buildings</t>
        </is>
      </c>
      <c r="E1047" s="23" t="inlineStr">
        <is>
          <t>Carried forward</t>
        </is>
      </c>
      <c r="F1047" s="23" t="inlineStr"/>
      <c r="G1047" s="23" t="inlineStr">
        <is>
          <t>Source assignment -- not individually reviewed</t>
        </is>
      </c>
      <c r="H1047" s="14" t="inlineStr">
        <is>
          <t>10 EVIDENCE &amp; DECISIONS</t>
        </is>
      </c>
    </row>
    <row r="1048" ht="34" customHeight="1">
      <c r="A1048" s="23" t="inlineStr">
        <is>
          <t>R576-v2</t>
        </is>
      </c>
      <c r="B1048" s="23" t="inlineStr">
        <is>
          <t>Contractor Programme</t>
        </is>
      </c>
      <c r="C1048" s="23" t="inlineStr">
        <is>
          <t>SCH-04-036</t>
        </is>
      </c>
      <c r="D1048" s="23" t="inlineStr">
        <is>
          <t>1.4.2 Vehicles and Depot - Depot Buildings</t>
        </is>
      </c>
      <c r="E1048" s="23" t="inlineStr">
        <is>
          <t>Carried forward</t>
        </is>
      </c>
      <c r="F1048" s="23" t="inlineStr"/>
      <c r="G1048" s="23" t="inlineStr">
        <is>
          <t>Source assignment -- not individually reviewed</t>
        </is>
      </c>
      <c r="H1048" s="14" t="inlineStr">
        <is>
          <t>10 EVIDENCE &amp; DECISIONS</t>
        </is>
      </c>
    </row>
    <row r="1049" ht="34" customHeight="1">
      <c r="A1049" s="23" t="inlineStr">
        <is>
          <t>R579-v2</t>
        </is>
      </c>
      <c r="B1049" s="23" t="inlineStr">
        <is>
          <t>Contractor Programme</t>
        </is>
      </c>
      <c r="C1049" s="23" t="inlineStr">
        <is>
          <t>SCH-04-039</t>
        </is>
      </c>
      <c r="D1049" s="23" t="inlineStr">
        <is>
          <t>1.4.2 Vehicles and Depot - Depot Buildings</t>
        </is>
      </c>
      <c r="E1049" s="23" t="inlineStr">
        <is>
          <t>Carried forward</t>
        </is>
      </c>
      <c r="F1049" s="23" t="inlineStr"/>
      <c r="G1049" s="23" t="inlineStr">
        <is>
          <t>Source assignment -- not individually reviewed</t>
        </is>
      </c>
      <c r="H1049" s="14" t="inlineStr">
        <is>
          <t>10 EVIDENCE &amp; DECISIONS</t>
        </is>
      </c>
    </row>
    <row r="1050" ht="34" customHeight="1">
      <c r="A1050" s="23" t="inlineStr">
        <is>
          <t>R582-v2</t>
        </is>
      </c>
      <c r="B1050" s="23" t="inlineStr">
        <is>
          <t>Contractor Programme</t>
        </is>
      </c>
      <c r="C1050" s="23" t="inlineStr">
        <is>
          <t>SCH-04-042</t>
        </is>
      </c>
      <c r="D1050" s="23" t="inlineStr">
        <is>
          <t>1.4.2 Vehicles and Depot - Depot Buildings</t>
        </is>
      </c>
      <c r="E1050" s="23" t="inlineStr">
        <is>
          <t>Carried forward</t>
        </is>
      </c>
      <c r="F1050" s="23" t="inlineStr"/>
      <c r="G1050" s="23" t="inlineStr">
        <is>
          <t>Source assignment -- not individually reviewed</t>
        </is>
      </c>
      <c r="H1050" s="14" t="inlineStr">
        <is>
          <t>10 EVIDENCE &amp; DECISIONS</t>
        </is>
      </c>
    </row>
    <row r="1051" ht="34" customHeight="1">
      <c r="A1051" s="23" t="inlineStr">
        <is>
          <t>R585-v2</t>
        </is>
      </c>
      <c r="B1051" s="23" t="inlineStr">
        <is>
          <t>Contractor Programme</t>
        </is>
      </c>
      <c r="C1051" s="23" t="inlineStr">
        <is>
          <t>SCH-04-045</t>
        </is>
      </c>
      <c r="D1051" s="23" t="inlineStr">
        <is>
          <t>1.4.2 Vehicles and Depot - Depot Buildings</t>
        </is>
      </c>
      <c r="E1051" s="23" t="inlineStr">
        <is>
          <t>Carried forward</t>
        </is>
      </c>
      <c r="F1051" s="23" t="inlineStr"/>
      <c r="G1051" s="23" t="inlineStr">
        <is>
          <t>Source assignment -- not individually reviewed</t>
        </is>
      </c>
      <c r="H1051" s="14" t="inlineStr">
        <is>
          <t>10 EVIDENCE &amp; DECISIONS</t>
        </is>
      </c>
    </row>
    <row r="1052" ht="34" customHeight="1">
      <c r="A1052" s="23" t="inlineStr">
        <is>
          <t>R588-v2</t>
        </is>
      </c>
      <c r="B1052" s="23" t="inlineStr">
        <is>
          <t>Contractor Programme</t>
        </is>
      </c>
      <c r="C1052" s="23" t="inlineStr">
        <is>
          <t>SCH-04-048</t>
        </is>
      </c>
      <c r="D1052" s="23" t="inlineStr">
        <is>
          <t>1.4.2 Vehicles and Depot - Depot Buildings</t>
        </is>
      </c>
      <c r="E1052" s="23" t="inlineStr">
        <is>
          <t>Carried forward</t>
        </is>
      </c>
      <c r="F1052" s="23" t="inlineStr"/>
      <c r="G1052" s="23" t="inlineStr">
        <is>
          <t>Source assignment -- not individually reviewed</t>
        </is>
      </c>
      <c r="H1052" s="14" t="inlineStr">
        <is>
          <t>10 EVIDENCE &amp; DECISIONS</t>
        </is>
      </c>
    </row>
    <row r="1053" ht="34" customHeight="1">
      <c r="A1053" s="23" t="inlineStr">
        <is>
          <t>R591-v2</t>
        </is>
      </c>
      <c r="B1053" s="23" t="inlineStr">
        <is>
          <t>Contractor Programme</t>
        </is>
      </c>
      <c r="C1053" s="23" t="inlineStr">
        <is>
          <t>SCH-04-051</t>
        </is>
      </c>
      <c r="D1053" s="23" t="inlineStr">
        <is>
          <t>1.4.2 Vehicles and Depot - Depot Buildings</t>
        </is>
      </c>
      <c r="E1053" s="23" t="inlineStr">
        <is>
          <t>Carried forward</t>
        </is>
      </c>
      <c r="F1053" s="23" t="inlineStr"/>
      <c r="G1053" s="23" t="inlineStr">
        <is>
          <t>Source assignment -- not individually reviewed</t>
        </is>
      </c>
      <c r="H1053" s="14" t="inlineStr">
        <is>
          <t>10 EVIDENCE &amp; DECISIONS</t>
        </is>
      </c>
    </row>
    <row r="1054" ht="34" customHeight="1">
      <c r="A1054" s="23" t="inlineStr">
        <is>
          <t>R594-v2</t>
        </is>
      </c>
      <c r="B1054" s="23" t="inlineStr">
        <is>
          <t>Contractor Programme</t>
        </is>
      </c>
      <c r="C1054" s="23" t="inlineStr">
        <is>
          <t>SCH-04-054</t>
        </is>
      </c>
      <c r="D1054" s="23" t="inlineStr">
        <is>
          <t>1.4.2 Vehicles and Depot - Depot Buildings</t>
        </is>
      </c>
      <c r="E1054" s="23" t="inlineStr">
        <is>
          <t>Carried forward</t>
        </is>
      </c>
      <c r="F1054" s="23" t="inlineStr"/>
      <c r="G1054" s="23" t="inlineStr">
        <is>
          <t>Source assignment -- not individually reviewed</t>
        </is>
      </c>
      <c r="H1054" s="14" t="inlineStr">
        <is>
          <t>10 EVIDENCE &amp; DECISIONS</t>
        </is>
      </c>
    </row>
    <row r="1055" ht="34" customHeight="1">
      <c r="A1055" s="23" t="inlineStr">
        <is>
          <t>R597-v2</t>
        </is>
      </c>
      <c r="B1055" s="23" t="inlineStr">
        <is>
          <t>Contractor Programme</t>
        </is>
      </c>
      <c r="C1055" s="23" t="inlineStr">
        <is>
          <t>SCH-04-057</t>
        </is>
      </c>
      <c r="D1055" s="23" t="inlineStr">
        <is>
          <t>1.4.2 Vehicles and Depot - Depot Buildings</t>
        </is>
      </c>
      <c r="E1055" s="23" t="inlineStr">
        <is>
          <t>Carried forward</t>
        </is>
      </c>
      <c r="F1055" s="23" t="inlineStr"/>
      <c r="G1055" s="23" t="inlineStr">
        <is>
          <t>Source assignment -- not individually reviewed</t>
        </is>
      </c>
      <c r="H1055" s="14" t="inlineStr">
        <is>
          <t>10 EVIDENCE &amp; DECISIONS</t>
        </is>
      </c>
    </row>
    <row r="1056" ht="34" customHeight="1">
      <c r="A1056" s="23" t="inlineStr">
        <is>
          <t>R600-v2</t>
        </is>
      </c>
      <c r="B1056" s="23" t="inlineStr">
        <is>
          <t>Contractor Programme</t>
        </is>
      </c>
      <c r="C1056" s="23" t="inlineStr">
        <is>
          <t>SCH-04-060</t>
        </is>
      </c>
      <c r="D1056" s="23" t="inlineStr">
        <is>
          <t>1.4.2 Vehicles and Depot - Depot Buildings</t>
        </is>
      </c>
      <c r="E1056" s="23" t="inlineStr">
        <is>
          <t>Carried forward</t>
        </is>
      </c>
      <c r="F1056" s="23" t="inlineStr"/>
      <c r="G1056" s="23" t="inlineStr">
        <is>
          <t>Source assignment -- not individually reviewed</t>
        </is>
      </c>
      <c r="H1056" s="14" t="inlineStr">
        <is>
          <t>10 EVIDENCE &amp; DECISIONS</t>
        </is>
      </c>
    </row>
    <row r="1057" ht="34" customHeight="1">
      <c r="A1057" s="23" t="inlineStr">
        <is>
          <t>R603-v2</t>
        </is>
      </c>
      <c r="B1057" s="23" t="inlineStr">
        <is>
          <t>Contractor Programme</t>
        </is>
      </c>
      <c r="C1057" s="23" t="inlineStr">
        <is>
          <t>SCH-04-063</t>
        </is>
      </c>
      <c r="D1057" s="23" t="inlineStr">
        <is>
          <t>1.4.2 Vehicles and Depot - Depot Buildings</t>
        </is>
      </c>
      <c r="E1057" s="23" t="inlineStr">
        <is>
          <t>Carried forward</t>
        </is>
      </c>
      <c r="F1057" s="23" t="inlineStr"/>
      <c r="G1057" s="23" t="inlineStr">
        <is>
          <t>Source assignment -- not individually reviewed</t>
        </is>
      </c>
      <c r="H1057" s="14" t="inlineStr">
        <is>
          <t>10 EVIDENCE &amp; DECISIONS</t>
        </is>
      </c>
    </row>
    <row r="1058" ht="34" customHeight="1">
      <c r="A1058" s="23" t="inlineStr">
        <is>
          <t>R606-v2</t>
        </is>
      </c>
      <c r="B1058" s="23" t="inlineStr">
        <is>
          <t>Contractor Programme</t>
        </is>
      </c>
      <c r="C1058" s="23" t="inlineStr">
        <is>
          <t>SCH-04-066</t>
        </is>
      </c>
      <c r="D1058" s="23" t="inlineStr">
        <is>
          <t>1.4.2 Vehicles and Depot - Depot Buildings</t>
        </is>
      </c>
      <c r="E1058" s="23" t="inlineStr">
        <is>
          <t>Carried forward</t>
        </is>
      </c>
      <c r="F1058" s="23" t="inlineStr"/>
      <c r="G1058" s="23" t="inlineStr">
        <is>
          <t>Source assignment -- not individually reviewed</t>
        </is>
      </c>
      <c r="H1058" s="14" t="inlineStr">
        <is>
          <t>10 EVIDENCE &amp; DECISIONS</t>
        </is>
      </c>
    </row>
    <row r="1059" ht="34" customHeight="1">
      <c r="A1059" s="23" t="inlineStr">
        <is>
          <t>R609-v2</t>
        </is>
      </c>
      <c r="B1059" s="23" t="inlineStr">
        <is>
          <t>Contractor Programme</t>
        </is>
      </c>
      <c r="C1059" s="23" t="inlineStr">
        <is>
          <t>SCH-04-069</t>
        </is>
      </c>
      <c r="D1059" s="23" t="inlineStr">
        <is>
          <t>1.4.2 Vehicles and Depot - Depot Buildings</t>
        </is>
      </c>
      <c r="E1059" s="23" t="inlineStr">
        <is>
          <t>Carried forward</t>
        </is>
      </c>
      <c r="F1059" s="23" t="inlineStr"/>
      <c r="G1059" s="23" t="inlineStr">
        <is>
          <t>Source assignment -- not individually reviewed</t>
        </is>
      </c>
      <c r="H1059" s="14" t="inlineStr">
        <is>
          <t>10 EVIDENCE &amp; DECISIONS</t>
        </is>
      </c>
    </row>
    <row r="1060" ht="34" customHeight="1">
      <c r="A1060" s="23" t="inlineStr">
        <is>
          <t>R612-v2</t>
        </is>
      </c>
      <c r="B1060" s="23" t="inlineStr">
        <is>
          <t>Contractor Programme</t>
        </is>
      </c>
      <c r="C1060" s="23" t="inlineStr">
        <is>
          <t>SCH-04-072</t>
        </is>
      </c>
      <c r="D1060" s="23" t="inlineStr">
        <is>
          <t>1.4.2 Vehicles and Depot - Depot Buildings</t>
        </is>
      </c>
      <c r="E1060" s="23" t="inlineStr">
        <is>
          <t>Carried forward</t>
        </is>
      </c>
      <c r="F1060" s="23" t="inlineStr"/>
      <c r="G1060" s="23" t="inlineStr">
        <is>
          <t>Source assignment -- not individually reviewed</t>
        </is>
      </c>
      <c r="H1060" s="14" t="inlineStr">
        <is>
          <t>10 EVIDENCE &amp; DECISIONS</t>
        </is>
      </c>
    </row>
    <row r="1061" ht="34" customHeight="1">
      <c r="A1061" s="23" t="inlineStr">
        <is>
          <t>R615-v2</t>
        </is>
      </c>
      <c r="B1061" s="23" t="inlineStr">
        <is>
          <t>Contractor Programme</t>
        </is>
      </c>
      <c r="C1061" s="23" t="inlineStr">
        <is>
          <t>SCH-04-075</t>
        </is>
      </c>
      <c r="D1061" s="23" t="inlineStr">
        <is>
          <t>1.4.2 Vehicles and Depot - Depot Buildings</t>
        </is>
      </c>
      <c r="E1061" s="23" t="inlineStr">
        <is>
          <t>Carried forward</t>
        </is>
      </c>
      <c r="F1061" s="23" t="inlineStr"/>
      <c r="G1061" s="23" t="inlineStr">
        <is>
          <t>Source assignment -- not individually reviewed</t>
        </is>
      </c>
      <c r="H1061" s="14" t="inlineStr">
        <is>
          <t>10 EVIDENCE &amp; DECISIONS</t>
        </is>
      </c>
    </row>
    <row r="1062" ht="34" customHeight="1">
      <c r="A1062" s="23" t="inlineStr">
        <is>
          <t>R618-v2</t>
        </is>
      </c>
      <c r="B1062" s="23" t="inlineStr">
        <is>
          <t>Contractor Programme</t>
        </is>
      </c>
      <c r="C1062" s="23" t="inlineStr">
        <is>
          <t>SCH-04-078</t>
        </is>
      </c>
      <c r="D1062" s="23" t="inlineStr">
        <is>
          <t>1.4.2 Vehicles and Depot - Depot Buildings</t>
        </is>
      </c>
      <c r="E1062" s="23" t="inlineStr">
        <is>
          <t>Carried forward</t>
        </is>
      </c>
      <c r="F1062" s="23" t="inlineStr"/>
      <c r="G1062" s="23" t="inlineStr">
        <is>
          <t>Source assignment -- not individually reviewed</t>
        </is>
      </c>
      <c r="H1062" s="14" t="inlineStr">
        <is>
          <t>10 EVIDENCE &amp; DECISIONS</t>
        </is>
      </c>
    </row>
    <row r="1063" ht="34" customHeight="1">
      <c r="A1063" s="23" t="inlineStr">
        <is>
          <t>R621-v2</t>
        </is>
      </c>
      <c r="B1063" s="23" t="inlineStr">
        <is>
          <t>Contractor Programme</t>
        </is>
      </c>
      <c r="C1063" s="23" t="inlineStr">
        <is>
          <t>SCH-04-081</t>
        </is>
      </c>
      <c r="D1063" s="23" t="inlineStr">
        <is>
          <t>1.4.2 Vehicles and Depot - Depot Buildings</t>
        </is>
      </c>
      <c r="E1063" s="23" t="inlineStr">
        <is>
          <t>Carried forward</t>
        </is>
      </c>
      <c r="F1063" s="23" t="inlineStr"/>
      <c r="G1063" s="23" t="inlineStr">
        <is>
          <t>Source assignment -- not individually reviewed</t>
        </is>
      </c>
      <c r="H1063" s="14" t="inlineStr">
        <is>
          <t>10 EVIDENCE &amp; DECISIONS</t>
        </is>
      </c>
    </row>
    <row r="1064" ht="34" customHeight="1">
      <c r="A1064" s="23" t="inlineStr">
        <is>
          <t>R624-v2</t>
        </is>
      </c>
      <c r="B1064" s="23" t="inlineStr">
        <is>
          <t>Contractor Programme</t>
        </is>
      </c>
      <c r="C1064" s="23" t="inlineStr">
        <is>
          <t>SCH-04-084</t>
        </is>
      </c>
      <c r="D1064" s="23" t="inlineStr">
        <is>
          <t>1.4.2 Vehicles and Depot - Depot Buildings</t>
        </is>
      </c>
      <c r="E1064" s="23" t="inlineStr">
        <is>
          <t>Carried forward</t>
        </is>
      </c>
      <c r="F1064" s="23" t="inlineStr"/>
      <c r="G1064" s="23" t="inlineStr">
        <is>
          <t>Source assignment -- not individually reviewed</t>
        </is>
      </c>
      <c r="H1064" s="14" t="inlineStr">
        <is>
          <t>10 EVIDENCE &amp; DECISIONS</t>
        </is>
      </c>
    </row>
    <row r="1065" ht="34" customHeight="1">
      <c r="A1065" s="23" t="inlineStr">
        <is>
          <t>R627-v2</t>
        </is>
      </c>
      <c r="B1065" s="23" t="inlineStr">
        <is>
          <t>Contractor Programme</t>
        </is>
      </c>
      <c r="C1065" s="23" t="inlineStr">
        <is>
          <t>SCH-04-087</t>
        </is>
      </c>
      <c r="D1065" s="23" t="inlineStr">
        <is>
          <t>1.4.2 Vehicles and Depot - Depot Buildings</t>
        </is>
      </c>
      <c r="E1065" s="23" t="inlineStr">
        <is>
          <t>Carried forward</t>
        </is>
      </c>
      <c r="F1065" s="23" t="inlineStr"/>
      <c r="G1065" s="23" t="inlineStr">
        <is>
          <t>Source assignment -- not individually reviewed</t>
        </is>
      </c>
      <c r="H1065" s="14" t="inlineStr">
        <is>
          <t>10 EVIDENCE &amp; DECISIONS</t>
        </is>
      </c>
    </row>
    <row r="1066" ht="34" customHeight="1">
      <c r="A1066" s="23" t="inlineStr">
        <is>
          <t>R630-v2</t>
        </is>
      </c>
      <c r="B1066" s="23" t="inlineStr">
        <is>
          <t>Contractor Programme</t>
        </is>
      </c>
      <c r="C1066" s="23" t="inlineStr">
        <is>
          <t>SCH-04-090</t>
        </is>
      </c>
      <c r="D1066" s="23" t="inlineStr">
        <is>
          <t>1.4.2 Vehicles and Depot - Depot Buildings</t>
        </is>
      </c>
      <c r="E1066" s="23" t="inlineStr">
        <is>
          <t>Carried forward</t>
        </is>
      </c>
      <c r="F1066" s="23" t="inlineStr"/>
      <c r="G1066" s="23" t="inlineStr">
        <is>
          <t>Source assignment -- not individually reviewed</t>
        </is>
      </c>
      <c r="H1066" s="14" t="inlineStr">
        <is>
          <t>10 EVIDENCE &amp; DECISIONS</t>
        </is>
      </c>
    </row>
    <row r="1067" ht="34" customHeight="1">
      <c r="A1067" s="23" t="inlineStr">
        <is>
          <t>R633-v2</t>
        </is>
      </c>
      <c r="B1067" s="23" t="inlineStr">
        <is>
          <t>Contractor Programme</t>
        </is>
      </c>
      <c r="C1067" s="23" t="inlineStr">
        <is>
          <t>SCH-04-093</t>
        </is>
      </c>
      <c r="D1067" s="23" t="inlineStr">
        <is>
          <t>1.4.2 Vehicles and Depot - Depot Buildings</t>
        </is>
      </c>
      <c r="E1067" s="23" t="inlineStr">
        <is>
          <t>Carried forward</t>
        </is>
      </c>
      <c r="F1067" s="23" t="inlineStr"/>
      <c r="G1067" s="23" t="inlineStr">
        <is>
          <t>Source assignment -- not individually reviewed</t>
        </is>
      </c>
      <c r="H1067" s="14" t="inlineStr">
        <is>
          <t>10 EVIDENCE &amp; DECISIONS</t>
        </is>
      </c>
    </row>
    <row r="1068" ht="34" customHeight="1">
      <c r="A1068" s="23" t="inlineStr">
        <is>
          <t>R636-v2</t>
        </is>
      </c>
      <c r="B1068" s="23" t="inlineStr">
        <is>
          <t>Contractor Programme</t>
        </is>
      </c>
      <c r="C1068" s="23" t="inlineStr">
        <is>
          <t>SCH-04-096</t>
        </is>
      </c>
      <c r="D1068" s="23" t="inlineStr">
        <is>
          <t>1.4.2 Vehicles and Depot - Depot Buildings</t>
        </is>
      </c>
      <c r="E1068" s="23" t="inlineStr">
        <is>
          <t>Carried forward</t>
        </is>
      </c>
      <c r="F1068" s="23" t="inlineStr"/>
      <c r="G1068" s="23" t="inlineStr">
        <is>
          <t>Source assignment -- not individually reviewed</t>
        </is>
      </c>
      <c r="H1068" s="14" t="inlineStr">
        <is>
          <t>10 EVIDENCE &amp; DECISIONS</t>
        </is>
      </c>
    </row>
    <row r="1069" ht="34" customHeight="1">
      <c r="A1069" s="23" t="inlineStr">
        <is>
          <t>R639-v2</t>
        </is>
      </c>
      <c r="B1069" s="23" t="inlineStr">
        <is>
          <t>Contractor Programme</t>
        </is>
      </c>
      <c r="C1069" s="23" t="inlineStr">
        <is>
          <t>SCH-04-099</t>
        </is>
      </c>
      <c r="D1069" s="23" t="inlineStr">
        <is>
          <t>1.4.2 Vehicles and Depot - Depot Buildings</t>
        </is>
      </c>
      <c r="E1069" s="23" t="inlineStr">
        <is>
          <t>Carried forward</t>
        </is>
      </c>
      <c r="F1069" s="23" t="inlineStr"/>
      <c r="G1069" s="23" t="inlineStr">
        <is>
          <t>Source assignment -- not individually reviewed</t>
        </is>
      </c>
      <c r="H1069" s="14" t="inlineStr">
        <is>
          <t>10 EVIDENCE &amp; DECISIONS</t>
        </is>
      </c>
    </row>
    <row r="1070" ht="34" customHeight="1">
      <c r="A1070" s="23" t="inlineStr">
        <is>
          <t>R642-v2</t>
        </is>
      </c>
      <c r="B1070" s="23" t="inlineStr">
        <is>
          <t>Contractor Programme</t>
        </is>
      </c>
      <c r="C1070" s="23" t="inlineStr">
        <is>
          <t>SCH-04-102</t>
        </is>
      </c>
      <c r="D1070" s="23" t="inlineStr">
        <is>
          <t>1.4.2 Vehicles and Depot - Depot Buildings</t>
        </is>
      </c>
      <c r="E1070" s="23" t="inlineStr">
        <is>
          <t>Carried forward</t>
        </is>
      </c>
      <c r="F1070" s="23" t="inlineStr"/>
      <c r="G1070" s="23" t="inlineStr">
        <is>
          <t>Source assignment -- not individually reviewed</t>
        </is>
      </c>
      <c r="H1070" s="14" t="inlineStr">
        <is>
          <t>10 EVIDENCE &amp; DECISIONS</t>
        </is>
      </c>
    </row>
    <row r="1071" ht="34" customHeight="1">
      <c r="A1071" s="23" t="inlineStr">
        <is>
          <t>R645-v2</t>
        </is>
      </c>
      <c r="B1071" s="23" t="inlineStr">
        <is>
          <t>Contractor Programme</t>
        </is>
      </c>
      <c r="C1071" s="23" t="inlineStr">
        <is>
          <t>SCH-04-105</t>
        </is>
      </c>
      <c r="D1071" s="23" t="inlineStr">
        <is>
          <t>1.4.2 Vehicles and Depot - Depot Buildings</t>
        </is>
      </c>
      <c r="E1071" s="23" t="inlineStr">
        <is>
          <t>Carried forward</t>
        </is>
      </c>
      <c r="F1071" s="23" t="inlineStr"/>
      <c r="G1071" s="23" t="inlineStr">
        <is>
          <t>Source assignment -- not individually reviewed</t>
        </is>
      </c>
      <c r="H1071" s="14" t="inlineStr">
        <is>
          <t>10 EVIDENCE &amp; DECISIONS</t>
        </is>
      </c>
    </row>
    <row r="1072" ht="34" customHeight="1">
      <c r="A1072" s="23" t="inlineStr">
        <is>
          <t>R648-v2</t>
        </is>
      </c>
      <c r="B1072" s="23" t="inlineStr">
        <is>
          <t>Contractor Programme</t>
        </is>
      </c>
      <c r="C1072" s="23" t="inlineStr">
        <is>
          <t>SCH-04-108</t>
        </is>
      </c>
      <c r="D1072" s="23" t="inlineStr">
        <is>
          <t>1.4.2 Vehicles and Depot - Depot Buildings</t>
        </is>
      </c>
      <c r="E1072" s="23" t="inlineStr">
        <is>
          <t>Carried forward</t>
        </is>
      </c>
      <c r="F1072" s="23" t="inlineStr"/>
      <c r="G1072" s="23" t="inlineStr">
        <is>
          <t>Source assignment -- not individually reviewed</t>
        </is>
      </c>
      <c r="H1072" s="14" t="inlineStr">
        <is>
          <t>10 EVIDENCE &amp; DECISIONS</t>
        </is>
      </c>
    </row>
    <row r="1073" ht="34" customHeight="1">
      <c r="A1073" s="23" t="inlineStr">
        <is>
          <t>R651-v2</t>
        </is>
      </c>
      <c r="B1073" s="23" t="inlineStr">
        <is>
          <t>Contractor Programme</t>
        </is>
      </c>
      <c r="C1073" s="23" t="inlineStr">
        <is>
          <t>SCH-04-111</t>
        </is>
      </c>
      <c r="D1073" s="23" t="inlineStr">
        <is>
          <t>1.4.2 Vehicles and Depot - Depot Buildings</t>
        </is>
      </c>
      <c r="E1073" s="23" t="inlineStr">
        <is>
          <t>Carried forward</t>
        </is>
      </c>
      <c r="F1073" s="23" t="inlineStr"/>
      <c r="G1073" s="23" t="inlineStr">
        <is>
          <t>Source assignment -- not individually reviewed</t>
        </is>
      </c>
      <c r="H1073" s="14" t="inlineStr">
        <is>
          <t>10 EVIDENCE &amp; DECISIONS</t>
        </is>
      </c>
    </row>
    <row r="1074" ht="34" customHeight="1">
      <c r="A1074" s="23" t="inlineStr">
        <is>
          <t>R654-v2</t>
        </is>
      </c>
      <c r="B1074" s="23" t="inlineStr">
        <is>
          <t>Contractor Programme</t>
        </is>
      </c>
      <c r="C1074" s="23" t="inlineStr">
        <is>
          <t>SCH-04-114</t>
        </is>
      </c>
      <c r="D1074" s="23" t="inlineStr">
        <is>
          <t>1.4.2 Vehicles and Depot - Depot Buildings</t>
        </is>
      </c>
      <c r="E1074" s="23" t="inlineStr">
        <is>
          <t>Carried forward</t>
        </is>
      </c>
      <c r="F1074" s="23" t="inlineStr"/>
      <c r="G1074" s="23" t="inlineStr">
        <is>
          <t>Source assignment -- not individually reviewed</t>
        </is>
      </c>
      <c r="H1074" s="14" t="inlineStr">
        <is>
          <t>10 EVIDENCE &amp; DECISIONS</t>
        </is>
      </c>
    </row>
    <row r="1075" ht="34" customHeight="1">
      <c r="A1075" s="23" t="inlineStr">
        <is>
          <t>R657-v2</t>
        </is>
      </c>
      <c r="B1075" s="23" t="inlineStr">
        <is>
          <t>Contractor Programme</t>
        </is>
      </c>
      <c r="C1075" s="23" t="inlineStr">
        <is>
          <t>SCH-04-117</t>
        </is>
      </c>
      <c r="D1075" s="23" t="inlineStr">
        <is>
          <t>1.4.2 Vehicles and Depot - Depot Buildings</t>
        </is>
      </c>
      <c r="E1075" s="23" t="inlineStr">
        <is>
          <t>Carried forward</t>
        </is>
      </c>
      <c r="F1075" s="23" t="inlineStr"/>
      <c r="G1075" s="23" t="inlineStr">
        <is>
          <t>Source assignment -- not individually reviewed</t>
        </is>
      </c>
      <c r="H1075" s="14" t="inlineStr">
        <is>
          <t>10 EVIDENCE &amp; DECISIONS</t>
        </is>
      </c>
    </row>
    <row r="1076" ht="34" customHeight="1">
      <c r="A1076" s="23" t="inlineStr">
        <is>
          <t>R660-v2</t>
        </is>
      </c>
      <c r="B1076" s="23" t="inlineStr">
        <is>
          <t>Contractor Programme</t>
        </is>
      </c>
      <c r="C1076" s="23" t="inlineStr">
        <is>
          <t>SCH-04-120</t>
        </is>
      </c>
      <c r="D1076" s="23" t="inlineStr">
        <is>
          <t>1.4.2 Vehicles and Depot - Depot Buildings</t>
        </is>
      </c>
      <c r="E1076" s="23" t="inlineStr">
        <is>
          <t>Carried forward</t>
        </is>
      </c>
      <c r="F1076" s="23" t="inlineStr"/>
      <c r="G1076" s="23" t="inlineStr">
        <is>
          <t>Source assignment -- not individually reviewed</t>
        </is>
      </c>
      <c r="H1076" s="14" t="inlineStr">
        <is>
          <t>10 EVIDENCE &amp; DECISIONS</t>
        </is>
      </c>
    </row>
    <row r="1077" ht="34" customHeight="1">
      <c r="A1077" s="23" t="inlineStr">
        <is>
          <t>R663-v2</t>
        </is>
      </c>
      <c r="B1077" s="23" t="inlineStr">
        <is>
          <t>Contractor Programme</t>
        </is>
      </c>
      <c r="C1077" s="23" t="inlineStr">
        <is>
          <t>SCH-04-123</t>
        </is>
      </c>
      <c r="D1077" s="23" t="inlineStr">
        <is>
          <t>1.4.2 Vehicles and Depot - Depot Buildings</t>
        </is>
      </c>
      <c r="E1077" s="23" t="inlineStr">
        <is>
          <t>Carried forward</t>
        </is>
      </c>
      <c r="F1077" s="23" t="inlineStr"/>
      <c r="G1077" s="23" t="inlineStr">
        <is>
          <t>Source assignment -- not individually reviewed</t>
        </is>
      </c>
      <c r="H1077" s="14" t="inlineStr">
        <is>
          <t>10 EVIDENCE &amp; DECISIONS</t>
        </is>
      </c>
    </row>
    <row r="1078" ht="34" customHeight="1">
      <c r="A1078" s="23" t="inlineStr">
        <is>
          <t>R666-v2</t>
        </is>
      </c>
      <c r="B1078" s="23" t="inlineStr">
        <is>
          <t>Contractor Programme</t>
        </is>
      </c>
      <c r="C1078" s="23" t="inlineStr">
        <is>
          <t>SCH-04-126</t>
        </is>
      </c>
      <c r="D1078" s="23" t="inlineStr">
        <is>
          <t>1.4.2 Vehicles and Depot - Depot Buildings</t>
        </is>
      </c>
      <c r="E1078" s="23" t="inlineStr">
        <is>
          <t>Carried forward</t>
        </is>
      </c>
      <c r="F1078" s="23" t="inlineStr"/>
      <c r="G1078" s="23" t="inlineStr">
        <is>
          <t>Source assignment -- not individually reviewed</t>
        </is>
      </c>
      <c r="H1078" s="14" t="inlineStr">
        <is>
          <t>10 EVIDENCE &amp; DECISIONS</t>
        </is>
      </c>
    </row>
    <row r="1079" ht="34" customHeight="1">
      <c r="A1079" s="23" t="inlineStr">
        <is>
          <t>R669-v2</t>
        </is>
      </c>
      <c r="B1079" s="23" t="inlineStr">
        <is>
          <t>Contractor Programme</t>
        </is>
      </c>
      <c r="C1079" s="23" t="inlineStr">
        <is>
          <t>SCH-04-129</t>
        </is>
      </c>
      <c r="D1079" s="23" t="inlineStr">
        <is>
          <t>1.4.2 Vehicles and Depot - Depot Buildings</t>
        </is>
      </c>
      <c r="E1079" s="23" t="inlineStr">
        <is>
          <t>Carried forward</t>
        </is>
      </c>
      <c r="F1079" s="23" t="inlineStr"/>
      <c r="G1079" s="23" t="inlineStr">
        <is>
          <t>Source assignment -- not individually reviewed</t>
        </is>
      </c>
      <c r="H1079" s="14" t="inlineStr">
        <is>
          <t>10 EVIDENCE &amp; DECISIONS</t>
        </is>
      </c>
    </row>
    <row r="1080" ht="34" customHeight="1">
      <c r="A1080" s="23" t="inlineStr">
        <is>
          <t>R672-v2</t>
        </is>
      </c>
      <c r="B1080" s="23" t="inlineStr">
        <is>
          <t>Contractor Programme</t>
        </is>
      </c>
      <c r="C1080" s="23" t="inlineStr">
        <is>
          <t>SCH-04-132</t>
        </is>
      </c>
      <c r="D1080" s="23" t="inlineStr">
        <is>
          <t>1.4.2 Vehicles and Depot - Depot Buildings</t>
        </is>
      </c>
      <c r="E1080" s="23" t="inlineStr">
        <is>
          <t>Carried forward</t>
        </is>
      </c>
      <c r="F1080" s="23" t="inlineStr"/>
      <c r="G1080" s="23" t="inlineStr">
        <is>
          <t>Source assignment -- not individually reviewed</t>
        </is>
      </c>
      <c r="H1080" s="14" t="inlineStr">
        <is>
          <t>10 EVIDENCE &amp; DECISIONS</t>
        </is>
      </c>
    </row>
    <row r="1081" ht="34" customHeight="1">
      <c r="A1081" s="23" t="inlineStr">
        <is>
          <t>R675-v2</t>
        </is>
      </c>
      <c r="B1081" s="23" t="inlineStr">
        <is>
          <t>Contractor Programme</t>
        </is>
      </c>
      <c r="C1081" s="23" t="inlineStr">
        <is>
          <t>SCH-04-135</t>
        </is>
      </c>
      <c r="D1081" s="23" t="inlineStr">
        <is>
          <t>1.4.2 Vehicles and Depot - Depot Buildings</t>
        </is>
      </c>
      <c r="E1081" s="23" t="inlineStr">
        <is>
          <t>Carried forward</t>
        </is>
      </c>
      <c r="F1081" s="23" t="inlineStr"/>
      <c r="G1081" s="23" t="inlineStr">
        <is>
          <t>Source assignment -- not individually reviewed</t>
        </is>
      </c>
      <c r="H1081" s="14" t="inlineStr">
        <is>
          <t>10 EVIDENCE &amp; DECISIONS</t>
        </is>
      </c>
    </row>
    <row r="1082" ht="34" customHeight="1">
      <c r="A1082" s="23" t="inlineStr">
        <is>
          <t>R678-v2</t>
        </is>
      </c>
      <c r="B1082" s="23" t="inlineStr">
        <is>
          <t>Contractor Programme</t>
        </is>
      </c>
      <c r="C1082" s="23" t="inlineStr">
        <is>
          <t>SCH-04-138</t>
        </is>
      </c>
      <c r="D1082" s="23" t="inlineStr">
        <is>
          <t>1.4.2 Vehicles and Depot - Depot Buildings</t>
        </is>
      </c>
      <c r="E1082" s="23" t="inlineStr">
        <is>
          <t>Carried forward</t>
        </is>
      </c>
      <c r="F1082" s="23" t="inlineStr"/>
      <c r="G1082" s="23" t="inlineStr">
        <is>
          <t>Source assignment -- not individually reviewed</t>
        </is>
      </c>
      <c r="H1082" s="14" t="inlineStr">
        <is>
          <t>10 EVIDENCE &amp; DECISIONS</t>
        </is>
      </c>
    </row>
    <row r="1083" ht="34" customHeight="1">
      <c r="A1083" s="23" t="inlineStr">
        <is>
          <t>R681-v2</t>
        </is>
      </c>
      <c r="B1083" s="23" t="inlineStr">
        <is>
          <t>Contractor Programme</t>
        </is>
      </c>
      <c r="C1083" s="23" t="inlineStr">
        <is>
          <t>SCH-04-141</t>
        </is>
      </c>
      <c r="D1083" s="23" t="inlineStr">
        <is>
          <t>1.4.2 Vehicles and Depot - Depot Buildings</t>
        </is>
      </c>
      <c r="E1083" s="23" t="inlineStr">
        <is>
          <t>Carried forward</t>
        </is>
      </c>
      <c r="F1083" s="23" t="inlineStr"/>
      <c r="G1083" s="23" t="inlineStr">
        <is>
          <t>Source assignment -- not individually reviewed</t>
        </is>
      </c>
      <c r="H1083" s="14" t="inlineStr">
        <is>
          <t>10 EVIDENCE &amp; DECISIONS</t>
        </is>
      </c>
    </row>
    <row r="1084" ht="34" customHeight="1">
      <c r="A1084" s="23" t="inlineStr">
        <is>
          <t>R684-v2</t>
        </is>
      </c>
      <c r="B1084" s="23" t="inlineStr">
        <is>
          <t>Contractor Programme</t>
        </is>
      </c>
      <c r="C1084" s="23" t="inlineStr">
        <is>
          <t>SCH-04-144</t>
        </is>
      </c>
      <c r="D1084" s="23" t="inlineStr">
        <is>
          <t>1.4.2 Vehicles and Depot - Depot Buildings</t>
        </is>
      </c>
      <c r="E1084" s="23" t="inlineStr">
        <is>
          <t>Carried forward</t>
        </is>
      </c>
      <c r="F1084" s="23" t="inlineStr"/>
      <c r="G1084" s="23" t="inlineStr">
        <is>
          <t>Source assignment -- not individually reviewed</t>
        </is>
      </c>
      <c r="H1084" s="14" t="inlineStr">
        <is>
          <t>10 EVIDENCE &amp; DECISIONS</t>
        </is>
      </c>
    </row>
    <row r="1085" ht="34" customHeight="1">
      <c r="A1085" s="23" t="inlineStr">
        <is>
          <t>R687-v2</t>
        </is>
      </c>
      <c r="B1085" s="23" t="inlineStr">
        <is>
          <t>Contractor Programme</t>
        </is>
      </c>
      <c r="C1085" s="23" t="inlineStr">
        <is>
          <t>SCH-04-147</t>
        </is>
      </c>
      <c r="D1085" s="23" t="inlineStr">
        <is>
          <t>1.4.2 Vehicles and Depot - Depot Buildings</t>
        </is>
      </c>
      <c r="E1085" s="23" t="inlineStr">
        <is>
          <t>Carried forward</t>
        </is>
      </c>
      <c r="F1085" s="23" t="inlineStr"/>
      <c r="G1085" s="23" t="inlineStr">
        <is>
          <t>Source assignment -- not individually reviewed</t>
        </is>
      </c>
      <c r="H1085" s="14" t="inlineStr">
        <is>
          <t>10 EVIDENCE &amp; DECISIONS</t>
        </is>
      </c>
    </row>
    <row r="1086" ht="34" customHeight="1">
      <c r="A1086" s="23" t="inlineStr">
        <is>
          <t>R690-v2</t>
        </is>
      </c>
      <c r="B1086" s="23" t="inlineStr">
        <is>
          <t>Contractor Programme</t>
        </is>
      </c>
      <c r="C1086" s="23" t="inlineStr">
        <is>
          <t>SCH-04-150</t>
        </is>
      </c>
      <c r="D1086" s="23" t="inlineStr">
        <is>
          <t>1.4.2 Vehicles and Depot - Depot Buildings</t>
        </is>
      </c>
      <c r="E1086" s="23" t="inlineStr">
        <is>
          <t>Carried forward</t>
        </is>
      </c>
      <c r="F1086" s="23" t="inlineStr"/>
      <c r="G1086" s="23" t="inlineStr">
        <is>
          <t>Source assignment -- not individually reviewed</t>
        </is>
      </c>
      <c r="H1086" s="14" t="inlineStr">
        <is>
          <t>10 EVIDENCE &amp; DECISIONS</t>
        </is>
      </c>
    </row>
    <row r="1087" ht="34" customHeight="1">
      <c r="A1087" s="23" t="inlineStr">
        <is>
          <t>R693-v2</t>
        </is>
      </c>
      <c r="B1087" s="23" t="inlineStr">
        <is>
          <t>Contractor Programme</t>
        </is>
      </c>
      <c r="C1087" s="23" t="inlineStr">
        <is>
          <t>SCH-04-153</t>
        </is>
      </c>
      <c r="D1087" s="23" t="inlineStr">
        <is>
          <t>1.4.2 Vehicles and Depot - Depot Buildings</t>
        </is>
      </c>
      <c r="E1087" s="23" t="inlineStr">
        <is>
          <t>Carried forward</t>
        </is>
      </c>
      <c r="F1087" s="23" t="inlineStr"/>
      <c r="G1087" s="23" t="inlineStr">
        <is>
          <t>Source assignment -- not individually reviewed</t>
        </is>
      </c>
      <c r="H1087" s="14" t="inlineStr">
        <is>
          <t>10 EVIDENCE &amp; DECISIONS</t>
        </is>
      </c>
    </row>
    <row r="1088" ht="34" customHeight="1">
      <c r="A1088" s="23" t="inlineStr">
        <is>
          <t>R696-v2</t>
        </is>
      </c>
      <c r="B1088" s="23" t="inlineStr">
        <is>
          <t>Contractor Programme</t>
        </is>
      </c>
      <c r="C1088" s="23" t="inlineStr">
        <is>
          <t>SCH-04-156</t>
        </is>
      </c>
      <c r="D1088" s="23" t="inlineStr">
        <is>
          <t>1.4.2 Vehicles and Depot - Depot Buildings</t>
        </is>
      </c>
      <c r="E1088" s="23" t="inlineStr">
        <is>
          <t>Carried forward</t>
        </is>
      </c>
      <c r="F1088" s="23" t="inlineStr"/>
      <c r="G1088" s="23" t="inlineStr">
        <is>
          <t>Source assignment -- not individually reviewed</t>
        </is>
      </c>
      <c r="H1088" s="14" t="inlineStr">
        <is>
          <t>10 EVIDENCE &amp; DECISIONS</t>
        </is>
      </c>
    </row>
    <row r="1089" ht="34" customHeight="1">
      <c r="A1089" s="23" t="inlineStr">
        <is>
          <t>R699-v2</t>
        </is>
      </c>
      <c r="B1089" s="23" t="inlineStr">
        <is>
          <t>Contractor Programme</t>
        </is>
      </c>
      <c r="C1089" s="23" t="inlineStr">
        <is>
          <t>SCH-04-159</t>
        </is>
      </c>
      <c r="D1089" s="23" t="inlineStr">
        <is>
          <t>1.4.2 Vehicles and Depot - Depot Buildings</t>
        </is>
      </c>
      <c r="E1089" s="23" t="inlineStr">
        <is>
          <t>Carried forward</t>
        </is>
      </c>
      <c r="F1089" s="23" t="inlineStr"/>
      <c r="G1089" s="23" t="inlineStr">
        <is>
          <t>Source assignment -- not individually reviewed</t>
        </is>
      </c>
      <c r="H1089" s="14" t="inlineStr">
        <is>
          <t>10 EVIDENCE &amp; DECISIONS</t>
        </is>
      </c>
    </row>
    <row r="1090" ht="34" customHeight="1">
      <c r="A1090" s="23" t="inlineStr">
        <is>
          <t>R702-v2</t>
        </is>
      </c>
      <c r="B1090" s="23" t="inlineStr">
        <is>
          <t>Contractor Programme</t>
        </is>
      </c>
      <c r="C1090" s="23" t="inlineStr">
        <is>
          <t>SCH-04-162</t>
        </is>
      </c>
      <c r="D1090" s="23" t="inlineStr">
        <is>
          <t>1.4.2 Vehicles and Depot - Depot Buildings</t>
        </is>
      </c>
      <c r="E1090" s="23" t="inlineStr">
        <is>
          <t>Carried forward</t>
        </is>
      </c>
      <c r="F1090" s="23" t="inlineStr"/>
      <c r="G1090" s="23" t="inlineStr">
        <is>
          <t>Source assignment -- not individually reviewed</t>
        </is>
      </c>
      <c r="H1090" s="14" t="inlineStr">
        <is>
          <t>10 EVIDENCE &amp; DECISIONS</t>
        </is>
      </c>
    </row>
    <row r="1091" ht="34" customHeight="1">
      <c r="A1091" s="23" t="inlineStr">
        <is>
          <t>R705-v2</t>
        </is>
      </c>
      <c r="B1091" s="23" t="inlineStr">
        <is>
          <t>Contractor Programme</t>
        </is>
      </c>
      <c r="C1091" s="23" t="inlineStr">
        <is>
          <t>SCH-04-165</t>
        </is>
      </c>
      <c r="D1091" s="23" t="inlineStr">
        <is>
          <t>1.4.2 Vehicles and Depot - Depot Buildings</t>
        </is>
      </c>
      <c r="E1091" s="23" t="inlineStr">
        <is>
          <t>Carried forward</t>
        </is>
      </c>
      <c r="F1091" s="23" t="inlineStr"/>
      <c r="G1091" s="23" t="inlineStr">
        <is>
          <t>Source assignment -- not individually reviewed</t>
        </is>
      </c>
      <c r="H1091" s="14" t="inlineStr">
        <is>
          <t>10 EVIDENCE &amp; DECISIONS</t>
        </is>
      </c>
    </row>
    <row r="1092" ht="34" customHeight="1">
      <c r="A1092" s="23" t="inlineStr">
        <is>
          <t>R708-v2</t>
        </is>
      </c>
      <c r="B1092" s="23" t="inlineStr">
        <is>
          <t>Contractor Programme</t>
        </is>
      </c>
      <c r="C1092" s="23" t="inlineStr">
        <is>
          <t>SCH-04-168</t>
        </is>
      </c>
      <c r="D1092" s="23" t="inlineStr">
        <is>
          <t>1.4.2 Vehicles and Depot - Depot Buildings</t>
        </is>
      </c>
      <c r="E1092" s="23" t="inlineStr">
        <is>
          <t>Carried forward</t>
        </is>
      </c>
      <c r="F1092" s="23" t="inlineStr"/>
      <c r="G1092" s="23" t="inlineStr">
        <is>
          <t>Source assignment -- not individually reviewed</t>
        </is>
      </c>
      <c r="H1092" s="14" t="inlineStr">
        <is>
          <t>10 EVIDENCE &amp; DECISIONS</t>
        </is>
      </c>
    </row>
    <row r="1093" ht="34" customHeight="1">
      <c r="A1093" s="23" t="inlineStr">
        <is>
          <t>R711-v2</t>
        </is>
      </c>
      <c r="B1093" s="23" t="inlineStr">
        <is>
          <t>Contractor Programme</t>
        </is>
      </c>
      <c r="C1093" s="23" t="inlineStr">
        <is>
          <t>SCH-04-171</t>
        </is>
      </c>
      <c r="D1093" s="23" t="inlineStr">
        <is>
          <t>1.4.2 Vehicles and Depot - Depot Buildings</t>
        </is>
      </c>
      <c r="E1093" s="23" t="inlineStr">
        <is>
          <t>Carried forward</t>
        </is>
      </c>
      <c r="F1093" s="23" t="inlineStr"/>
      <c r="G1093" s="23" t="inlineStr">
        <is>
          <t>Source assignment -- not individually reviewed</t>
        </is>
      </c>
      <c r="H1093" s="14" t="inlineStr">
        <is>
          <t>10 EVIDENCE &amp; DECISIONS</t>
        </is>
      </c>
    </row>
    <row r="1094" ht="34" customHeight="1">
      <c r="A1094" s="23" t="inlineStr">
        <is>
          <t>R714-v2</t>
        </is>
      </c>
      <c r="B1094" s="23" t="inlineStr">
        <is>
          <t>Contractor Programme</t>
        </is>
      </c>
      <c r="C1094" s="23" t="inlineStr">
        <is>
          <t>SCH-04-174</t>
        </is>
      </c>
      <c r="D1094" s="23" t="inlineStr">
        <is>
          <t>1.4.2 Vehicles and Depot - Depot Buildings</t>
        </is>
      </c>
      <c r="E1094" s="23" t="inlineStr">
        <is>
          <t>Carried forward</t>
        </is>
      </c>
      <c r="F1094" s="23" t="inlineStr"/>
      <c r="G1094" s="23" t="inlineStr">
        <is>
          <t>Source assignment -- not individually reviewed</t>
        </is>
      </c>
      <c r="H1094" s="14" t="inlineStr">
        <is>
          <t>10 EVIDENCE &amp; DECISIONS</t>
        </is>
      </c>
    </row>
    <row r="1095" ht="34" customHeight="1">
      <c r="A1095" s="23" t="inlineStr">
        <is>
          <t>R717-v2</t>
        </is>
      </c>
      <c r="B1095" s="23" t="inlineStr">
        <is>
          <t>Contractor Programme</t>
        </is>
      </c>
      <c r="C1095" s="23" t="inlineStr">
        <is>
          <t>SCH-04-177</t>
        </is>
      </c>
      <c r="D1095" s="23" t="inlineStr">
        <is>
          <t>1.4.2 Vehicles and Depot - Depot Buildings</t>
        </is>
      </c>
      <c r="E1095" s="23" t="inlineStr">
        <is>
          <t>Carried forward</t>
        </is>
      </c>
      <c r="F1095" s="23" t="inlineStr"/>
      <c r="G1095" s="23" t="inlineStr">
        <is>
          <t>Source assignment -- not individually reviewed</t>
        </is>
      </c>
      <c r="H1095" s="14" t="inlineStr">
        <is>
          <t>10 EVIDENCE &amp; DECISIONS</t>
        </is>
      </c>
    </row>
    <row r="1096" ht="34" customHeight="1">
      <c r="A1096" s="23" t="inlineStr">
        <is>
          <t>R720-v2</t>
        </is>
      </c>
      <c r="B1096" s="23" t="inlineStr">
        <is>
          <t>Contractor Programme</t>
        </is>
      </c>
      <c r="C1096" s="23" t="inlineStr">
        <is>
          <t>SCH-04-180</t>
        </is>
      </c>
      <c r="D1096" s="23" t="inlineStr">
        <is>
          <t>1.4.2 Vehicles and Depot - Depot Buildings</t>
        </is>
      </c>
      <c r="E1096" s="23" t="inlineStr">
        <is>
          <t>Carried forward</t>
        </is>
      </c>
      <c r="F1096" s="23" t="inlineStr"/>
      <c r="G1096" s="23" t="inlineStr">
        <is>
          <t>Source assignment -- not individually reviewed</t>
        </is>
      </c>
      <c r="H1096" s="14" t="inlineStr">
        <is>
          <t>10 EVIDENCE &amp; DECISIONS</t>
        </is>
      </c>
    </row>
    <row r="1097" ht="34" customHeight="1">
      <c r="A1097" s="23" t="inlineStr">
        <is>
          <t>R1603-v2</t>
        </is>
      </c>
      <c r="B1097" s="23" t="inlineStr">
        <is>
          <t>Commercial Package Register</t>
        </is>
      </c>
      <c r="C1097" s="23" t="inlineStr">
        <is>
          <t>PKG-041</t>
        </is>
      </c>
      <c r="D1097" s="23" t="inlineStr">
        <is>
          <t>1.5 Testing and Commissioning</t>
        </is>
      </c>
      <c r="E1097" s="23" t="inlineStr">
        <is>
          <t>Carried forward</t>
        </is>
      </c>
      <c r="F1097" s="23" t="inlineStr"/>
      <c r="G1097" s="23" t="inlineStr">
        <is>
          <t>Source assignment -- not individually reviewed</t>
        </is>
      </c>
      <c r="H1097" s="14" t="inlineStr">
        <is>
          <t>10 EVIDENCE &amp; DECISIONS</t>
        </is>
      </c>
    </row>
    <row r="1098" ht="34" customHeight="1">
      <c r="A1098" s="23" t="inlineStr">
        <is>
          <t>R1604-v2</t>
        </is>
      </c>
      <c r="B1098" s="23" t="inlineStr">
        <is>
          <t>Commercial Package Register</t>
        </is>
      </c>
      <c r="C1098" s="23" t="inlineStr">
        <is>
          <t>PKG-042</t>
        </is>
      </c>
      <c r="D1098" s="23" t="inlineStr">
        <is>
          <t>1.5 Testing and Commissioning</t>
        </is>
      </c>
      <c r="E1098" s="23" t="inlineStr">
        <is>
          <t>Carried forward</t>
        </is>
      </c>
      <c r="F1098" s="23" t="inlineStr"/>
      <c r="G1098" s="23" t="inlineStr">
        <is>
          <t>Source assignment -- not individually reviewed</t>
        </is>
      </c>
      <c r="H1098" s="14" t="inlineStr">
        <is>
          <t>10 EVIDENCE &amp; DECISIONS</t>
        </is>
      </c>
    </row>
    <row r="1099" ht="34" customHeight="1">
      <c r="A1099" s="23" t="inlineStr">
        <is>
          <t>R1605-v2</t>
        </is>
      </c>
      <c r="B1099" s="23" t="inlineStr">
        <is>
          <t>Commercial Package Register</t>
        </is>
      </c>
      <c r="C1099" s="23" t="inlineStr">
        <is>
          <t>PKG-043</t>
        </is>
      </c>
      <c r="D1099" s="23" t="inlineStr">
        <is>
          <t>1.5 Testing and Commissioning</t>
        </is>
      </c>
      <c r="E1099" s="23" t="inlineStr">
        <is>
          <t>Carried forward</t>
        </is>
      </c>
      <c r="F1099" s="23" t="inlineStr"/>
      <c r="G1099" s="23" t="inlineStr">
        <is>
          <t>Source assignment -- not individually reviewed</t>
        </is>
      </c>
      <c r="H1099" s="14" t="inlineStr">
        <is>
          <t>10 EVIDENCE &amp; DECISIONS</t>
        </is>
      </c>
    </row>
    <row r="1100" ht="34" customHeight="1">
      <c r="A1100" s="23" t="inlineStr">
        <is>
          <t>R1606-v2</t>
        </is>
      </c>
      <c r="B1100" s="23" t="inlineStr">
        <is>
          <t>Commercial Package Register</t>
        </is>
      </c>
      <c r="C1100" s="23" t="inlineStr">
        <is>
          <t>PKG-044</t>
        </is>
      </c>
      <c r="D1100" s="23" t="inlineStr">
        <is>
          <t>1.5 Testing and Commissioning</t>
        </is>
      </c>
      <c r="E1100" s="23" t="inlineStr">
        <is>
          <t>Carried forward</t>
        </is>
      </c>
      <c r="F1100" s="23" t="inlineStr"/>
      <c r="G1100" s="23" t="inlineStr">
        <is>
          <t>Source assignment -- not individually reviewed</t>
        </is>
      </c>
      <c r="H1100" s="14" t="inlineStr">
        <is>
          <t>10 EVIDENCE &amp; DECISIONS</t>
        </is>
      </c>
    </row>
    <row r="1101" ht="34" customHeight="1">
      <c r="A1101" s="23" t="inlineStr">
        <is>
          <t>R1607-v2</t>
        </is>
      </c>
      <c r="B1101" s="23" t="inlineStr">
        <is>
          <t>Commercial Package Register</t>
        </is>
      </c>
      <c r="C1101" s="23" t="inlineStr">
        <is>
          <t>PKG-045</t>
        </is>
      </c>
      <c r="D1101" s="23" t="inlineStr">
        <is>
          <t>1.5 Testing and Commissioning</t>
        </is>
      </c>
      <c r="E1101" s="23" t="inlineStr">
        <is>
          <t>Carried forward</t>
        </is>
      </c>
      <c r="F1101" s="23" t="inlineStr"/>
      <c r="G1101" s="23" t="inlineStr">
        <is>
          <t>Source assignment -- not individually reviewed</t>
        </is>
      </c>
      <c r="H1101" s="14" t="inlineStr">
        <is>
          <t>10 EVIDENCE &amp; DECISIONS</t>
        </is>
      </c>
    </row>
    <row r="1102" ht="34" customHeight="1">
      <c r="A1102" s="23" t="inlineStr">
        <is>
          <t>R1608-v2</t>
        </is>
      </c>
      <c r="B1102" s="23" t="inlineStr">
        <is>
          <t>Commercial Package Register</t>
        </is>
      </c>
      <c r="C1102" s="23" t="inlineStr">
        <is>
          <t>PKG-046</t>
        </is>
      </c>
      <c r="D1102" s="23" t="inlineStr">
        <is>
          <t>1.5 Testing and Commissioning</t>
        </is>
      </c>
      <c r="E1102" s="23" t="inlineStr">
        <is>
          <t>Carried forward</t>
        </is>
      </c>
      <c r="F1102" s="23" t="inlineStr"/>
      <c r="G1102" s="23" t="inlineStr">
        <is>
          <t>Source assignment -- not individually reviewed</t>
        </is>
      </c>
      <c r="H1102" s="14" t="inlineStr">
        <is>
          <t>10 EVIDENCE &amp; DECISIONS</t>
        </is>
      </c>
    </row>
    <row r="1103" ht="34" customHeight="1">
      <c r="A1103" s="23" t="inlineStr">
        <is>
          <t>R1609-v2</t>
        </is>
      </c>
      <c r="B1103" s="23" t="inlineStr">
        <is>
          <t>Commercial Package Register</t>
        </is>
      </c>
      <c r="C1103" s="23" t="inlineStr">
        <is>
          <t>PKG-047</t>
        </is>
      </c>
      <c r="D1103" s="23" t="inlineStr">
        <is>
          <t>1.5 Testing and Commissioning</t>
        </is>
      </c>
      <c r="E1103" s="23" t="inlineStr">
        <is>
          <t>Carried forward</t>
        </is>
      </c>
      <c r="F1103" s="23" t="inlineStr"/>
      <c r="G1103" s="23" t="inlineStr">
        <is>
          <t>Source assignment -- not individually reviewed</t>
        </is>
      </c>
      <c r="H1103" s="14" t="inlineStr">
        <is>
          <t>10 EVIDENCE &amp; DECISIONS</t>
        </is>
      </c>
    </row>
    <row r="1104" ht="34" customHeight="1">
      <c r="A1104" s="23" t="inlineStr">
        <is>
          <t>R1610-v2</t>
        </is>
      </c>
      <c r="B1104" s="23" t="inlineStr">
        <is>
          <t>Commercial Package Register</t>
        </is>
      </c>
      <c r="C1104" s="23" t="inlineStr">
        <is>
          <t>PKG-048</t>
        </is>
      </c>
      <c r="D1104" s="23" t="inlineStr">
        <is>
          <t>1.5 Testing and Commissioning</t>
        </is>
      </c>
      <c r="E1104" s="23" t="inlineStr">
        <is>
          <t>Carried forward</t>
        </is>
      </c>
      <c r="F1104" s="23" t="inlineStr"/>
      <c r="G1104" s="23" t="inlineStr">
        <is>
          <t>Source assignment -- not individually reviewed</t>
        </is>
      </c>
      <c r="H1104" s="14" t="inlineStr">
        <is>
          <t>10 EVIDENCE &amp; DECISIONS</t>
        </is>
      </c>
    </row>
    <row r="1105" ht="34" customHeight="1">
      <c r="A1105" s="23" t="inlineStr">
        <is>
          <t>R1611-v2</t>
        </is>
      </c>
      <c r="B1105" s="23" t="inlineStr">
        <is>
          <t>Commercial Package Register</t>
        </is>
      </c>
      <c r="C1105" s="23" t="inlineStr">
        <is>
          <t>PKG-049</t>
        </is>
      </c>
      <c r="D1105" s="23" t="inlineStr">
        <is>
          <t>1.5 Testing and Commissioning</t>
        </is>
      </c>
      <c r="E1105" s="23" t="inlineStr">
        <is>
          <t>Carried forward</t>
        </is>
      </c>
      <c r="F1105" s="23" t="inlineStr"/>
      <c r="G1105" s="23" t="inlineStr">
        <is>
          <t>Source assignment -- not individually reviewed</t>
        </is>
      </c>
      <c r="H1105" s="14" t="inlineStr">
        <is>
          <t>10 EVIDENCE &amp; DECISIONS</t>
        </is>
      </c>
    </row>
    <row r="1106" ht="34" customHeight="1">
      <c r="A1106" s="23" t="inlineStr">
        <is>
          <t>R1612-v2</t>
        </is>
      </c>
      <c r="B1106" s="23" t="inlineStr">
        <is>
          <t>Commercial Package Register</t>
        </is>
      </c>
      <c r="C1106" s="23" t="inlineStr">
        <is>
          <t>PKG-050</t>
        </is>
      </c>
      <c r="D1106" s="23" t="inlineStr">
        <is>
          <t>1.5 Testing and Commissioning</t>
        </is>
      </c>
      <c r="E1106" s="23" t="inlineStr">
        <is>
          <t>Carried forward</t>
        </is>
      </c>
      <c r="F1106" s="23" t="inlineStr"/>
      <c r="G1106" s="23" t="inlineStr">
        <is>
          <t>Source assignment -- not individually reviewed</t>
        </is>
      </c>
      <c r="H1106" s="14" t="inlineStr">
        <is>
          <t>10 EVIDENCE &amp; DECISIONS</t>
        </is>
      </c>
    </row>
    <row r="1107" ht="34" customHeight="1">
      <c r="A1107" s="23" t="inlineStr">
        <is>
          <t>R721-v2</t>
        </is>
      </c>
      <c r="B1107" s="23" t="inlineStr">
        <is>
          <t>Contractor Programme</t>
        </is>
      </c>
      <c r="C1107" s="23" t="inlineStr">
        <is>
          <t>SCH-05-001</t>
        </is>
      </c>
      <c r="D1107" s="23" t="inlineStr">
        <is>
          <t>1.5.1 Testing and Commissioning - Test Readiness</t>
        </is>
      </c>
      <c r="E1107" s="23" t="inlineStr">
        <is>
          <t>Carried forward</t>
        </is>
      </c>
      <c r="F1107" s="23" t="inlineStr"/>
      <c r="G1107" s="23" t="inlineStr">
        <is>
          <t>Source assignment -- not individually reviewed</t>
        </is>
      </c>
      <c r="H1107" s="14" t="inlineStr">
        <is>
          <t>10 EVIDENCE &amp; DECISIONS</t>
        </is>
      </c>
    </row>
    <row r="1108" ht="34" customHeight="1">
      <c r="A1108" s="23" t="inlineStr">
        <is>
          <t>R722-v2</t>
        </is>
      </c>
      <c r="B1108" s="23" t="inlineStr">
        <is>
          <t>Contractor Programme</t>
        </is>
      </c>
      <c r="C1108" s="23" t="inlineStr">
        <is>
          <t>SCH-05-002</t>
        </is>
      </c>
      <c r="D1108" s="23" t="inlineStr">
        <is>
          <t>1.5.1 Testing and Commissioning - Test Readiness</t>
        </is>
      </c>
      <c r="E1108" s="23" t="inlineStr">
        <is>
          <t>Carried forward</t>
        </is>
      </c>
      <c r="F1108" s="23" t="inlineStr"/>
      <c r="G1108" s="23" t="inlineStr">
        <is>
          <t>Source assignment -- not individually reviewed</t>
        </is>
      </c>
      <c r="H1108" s="14" t="inlineStr">
        <is>
          <t>10 EVIDENCE &amp; DECISIONS</t>
        </is>
      </c>
    </row>
    <row r="1109" ht="34" customHeight="1">
      <c r="A1109" s="23" t="inlineStr">
        <is>
          <t>R724-v2</t>
        </is>
      </c>
      <c r="B1109" s="23" t="inlineStr">
        <is>
          <t>Contractor Programme</t>
        </is>
      </c>
      <c r="C1109" s="23" t="inlineStr">
        <is>
          <t>SCH-05-004</t>
        </is>
      </c>
      <c r="D1109" s="23" t="inlineStr">
        <is>
          <t>1.5.1 Testing and Commissioning - Test Readiness</t>
        </is>
      </c>
      <c r="E1109" s="23" t="inlineStr">
        <is>
          <t>Carried forward</t>
        </is>
      </c>
      <c r="F1109" s="23" t="inlineStr"/>
      <c r="G1109" s="23" t="inlineStr">
        <is>
          <t>Source assignment -- not individually reviewed</t>
        </is>
      </c>
      <c r="H1109" s="14" t="inlineStr">
        <is>
          <t>10 EVIDENCE &amp; DECISIONS</t>
        </is>
      </c>
    </row>
    <row r="1110" ht="34" customHeight="1">
      <c r="A1110" s="23" t="inlineStr">
        <is>
          <t>R725-v2</t>
        </is>
      </c>
      <c r="B1110" s="23" t="inlineStr">
        <is>
          <t>Contractor Programme</t>
        </is>
      </c>
      <c r="C1110" s="23" t="inlineStr">
        <is>
          <t>SCH-05-005</t>
        </is>
      </c>
      <c r="D1110" s="23" t="inlineStr">
        <is>
          <t>1.5.1 Testing and Commissioning - Test Readiness</t>
        </is>
      </c>
      <c r="E1110" s="23" t="inlineStr">
        <is>
          <t>Carried forward</t>
        </is>
      </c>
      <c r="F1110" s="23" t="inlineStr"/>
      <c r="G1110" s="23" t="inlineStr">
        <is>
          <t>Source assignment -- not individually reviewed</t>
        </is>
      </c>
      <c r="H1110" s="14" t="inlineStr">
        <is>
          <t>10 EVIDENCE &amp; DECISIONS</t>
        </is>
      </c>
    </row>
    <row r="1111" ht="34" customHeight="1">
      <c r="A1111" s="23" t="inlineStr">
        <is>
          <t>R727-v2</t>
        </is>
      </c>
      <c r="B1111" s="23" t="inlineStr">
        <is>
          <t>Contractor Programme</t>
        </is>
      </c>
      <c r="C1111" s="23" t="inlineStr">
        <is>
          <t>SCH-05-007</t>
        </is>
      </c>
      <c r="D1111" s="23" t="inlineStr">
        <is>
          <t>1.5.1 Testing and Commissioning - Test Readiness</t>
        </is>
      </c>
      <c r="E1111" s="23" t="inlineStr">
        <is>
          <t>Carried forward</t>
        </is>
      </c>
      <c r="F1111" s="23" t="inlineStr"/>
      <c r="G1111" s="23" t="inlineStr">
        <is>
          <t>Source assignment -- not individually reviewed</t>
        </is>
      </c>
      <c r="H1111" s="14" t="inlineStr">
        <is>
          <t>10 EVIDENCE &amp; DECISIONS</t>
        </is>
      </c>
    </row>
    <row r="1112" ht="34" customHeight="1">
      <c r="A1112" s="23" t="inlineStr">
        <is>
          <t>R728-v2</t>
        </is>
      </c>
      <c r="B1112" s="23" t="inlineStr">
        <is>
          <t>Contractor Programme</t>
        </is>
      </c>
      <c r="C1112" s="23" t="inlineStr">
        <is>
          <t>SCH-05-008</t>
        </is>
      </c>
      <c r="D1112" s="23" t="inlineStr">
        <is>
          <t>1.5.1 Testing and Commissioning - Test Readiness</t>
        </is>
      </c>
      <c r="E1112" s="23" t="inlineStr">
        <is>
          <t>Carried forward</t>
        </is>
      </c>
      <c r="F1112" s="23" t="inlineStr"/>
      <c r="G1112" s="23" t="inlineStr">
        <is>
          <t>Source assignment -- not individually reviewed</t>
        </is>
      </c>
      <c r="H1112" s="14" t="inlineStr">
        <is>
          <t>10 EVIDENCE &amp; DECISIONS</t>
        </is>
      </c>
    </row>
    <row r="1113" ht="34" customHeight="1">
      <c r="A1113" s="23" t="inlineStr">
        <is>
          <t>R730-v2</t>
        </is>
      </c>
      <c r="B1113" s="23" t="inlineStr">
        <is>
          <t>Contractor Programme</t>
        </is>
      </c>
      <c r="C1113" s="23" t="inlineStr">
        <is>
          <t>SCH-05-010</t>
        </is>
      </c>
      <c r="D1113" s="23" t="inlineStr">
        <is>
          <t>1.5.1 Testing and Commissioning - Test Readiness</t>
        </is>
      </c>
      <c r="E1113" s="23" t="inlineStr">
        <is>
          <t>Carried forward</t>
        </is>
      </c>
      <c r="F1113" s="23" t="inlineStr"/>
      <c r="G1113" s="23" t="inlineStr">
        <is>
          <t>Source assignment -- not individually reviewed</t>
        </is>
      </c>
      <c r="H1113" s="14" t="inlineStr">
        <is>
          <t>10 EVIDENCE &amp; DECISIONS</t>
        </is>
      </c>
    </row>
    <row r="1114" ht="34" customHeight="1">
      <c r="A1114" s="23" t="inlineStr">
        <is>
          <t>R731-v2</t>
        </is>
      </c>
      <c r="B1114" s="23" t="inlineStr">
        <is>
          <t>Contractor Programme</t>
        </is>
      </c>
      <c r="C1114" s="23" t="inlineStr">
        <is>
          <t>SCH-05-011</t>
        </is>
      </c>
      <c r="D1114" s="23" t="inlineStr">
        <is>
          <t>1.5.1 Testing and Commissioning - Test Readiness</t>
        </is>
      </c>
      <c r="E1114" s="23" t="inlineStr">
        <is>
          <t>Carried forward</t>
        </is>
      </c>
      <c r="F1114" s="23" t="inlineStr"/>
      <c r="G1114" s="23" t="inlineStr">
        <is>
          <t>Source assignment -- not individually reviewed</t>
        </is>
      </c>
      <c r="H1114" s="14" t="inlineStr">
        <is>
          <t>10 EVIDENCE &amp; DECISIONS</t>
        </is>
      </c>
    </row>
    <row r="1115" ht="34" customHeight="1">
      <c r="A1115" s="23" t="inlineStr">
        <is>
          <t>R733-v2</t>
        </is>
      </c>
      <c r="B1115" s="23" t="inlineStr">
        <is>
          <t>Contractor Programme</t>
        </is>
      </c>
      <c r="C1115" s="23" t="inlineStr">
        <is>
          <t>SCH-05-013</t>
        </is>
      </c>
      <c r="D1115" s="23" t="inlineStr">
        <is>
          <t>1.5.1 Testing and Commissioning - Test Readiness</t>
        </is>
      </c>
      <c r="E1115" s="23" t="inlineStr">
        <is>
          <t>Carried forward</t>
        </is>
      </c>
      <c r="F1115" s="23" t="inlineStr"/>
      <c r="G1115" s="23" t="inlineStr">
        <is>
          <t>Source assignment -- not individually reviewed</t>
        </is>
      </c>
      <c r="H1115" s="14" t="inlineStr">
        <is>
          <t>10 EVIDENCE &amp; DECISIONS</t>
        </is>
      </c>
    </row>
    <row r="1116" ht="34" customHeight="1">
      <c r="A1116" s="23" t="inlineStr">
        <is>
          <t>R734-v2</t>
        </is>
      </c>
      <c r="B1116" s="23" t="inlineStr">
        <is>
          <t>Contractor Programme</t>
        </is>
      </c>
      <c r="C1116" s="23" t="inlineStr">
        <is>
          <t>SCH-05-014</t>
        </is>
      </c>
      <c r="D1116" s="23" t="inlineStr">
        <is>
          <t>1.5.1 Testing and Commissioning - Test Readiness</t>
        </is>
      </c>
      <c r="E1116" s="23" t="inlineStr">
        <is>
          <t>Carried forward</t>
        </is>
      </c>
      <c r="F1116" s="23" t="inlineStr"/>
      <c r="G1116" s="23" t="inlineStr">
        <is>
          <t>Source assignment -- not individually reviewed</t>
        </is>
      </c>
      <c r="H1116" s="14" t="inlineStr">
        <is>
          <t>10 EVIDENCE &amp; DECISIONS</t>
        </is>
      </c>
    </row>
    <row r="1117" ht="34" customHeight="1">
      <c r="A1117" s="23" t="inlineStr">
        <is>
          <t>R736-v2</t>
        </is>
      </c>
      <c r="B1117" s="23" t="inlineStr">
        <is>
          <t>Contractor Programme</t>
        </is>
      </c>
      <c r="C1117" s="23" t="inlineStr">
        <is>
          <t>SCH-05-016</t>
        </is>
      </c>
      <c r="D1117" s="23" t="inlineStr">
        <is>
          <t>1.5.1 Testing and Commissioning - Test Readiness</t>
        </is>
      </c>
      <c r="E1117" s="23" t="inlineStr">
        <is>
          <t>Carried forward</t>
        </is>
      </c>
      <c r="F1117" s="23" t="inlineStr"/>
      <c r="G1117" s="23" t="inlineStr">
        <is>
          <t>Source assignment -- not individually reviewed</t>
        </is>
      </c>
      <c r="H1117" s="14" t="inlineStr">
        <is>
          <t>10 EVIDENCE &amp; DECISIONS</t>
        </is>
      </c>
    </row>
    <row r="1118" ht="34" customHeight="1">
      <c r="A1118" s="23" t="inlineStr">
        <is>
          <t>R737-v2</t>
        </is>
      </c>
      <c r="B1118" s="23" t="inlineStr">
        <is>
          <t>Contractor Programme</t>
        </is>
      </c>
      <c r="C1118" s="23" t="inlineStr">
        <is>
          <t>SCH-05-017</t>
        </is>
      </c>
      <c r="D1118" s="23" t="inlineStr">
        <is>
          <t>1.5.1 Testing and Commissioning - Test Readiness</t>
        </is>
      </c>
      <c r="E1118" s="23" t="inlineStr">
        <is>
          <t>Carried forward</t>
        </is>
      </c>
      <c r="F1118" s="23" t="inlineStr"/>
      <c r="G1118" s="23" t="inlineStr">
        <is>
          <t>Source assignment -- not individually reviewed</t>
        </is>
      </c>
      <c r="H1118" s="14" t="inlineStr">
        <is>
          <t>10 EVIDENCE &amp; DECISIONS</t>
        </is>
      </c>
    </row>
    <row r="1119" ht="34" customHeight="1">
      <c r="A1119" s="23" t="inlineStr">
        <is>
          <t>R739-v2</t>
        </is>
      </c>
      <c r="B1119" s="23" t="inlineStr">
        <is>
          <t>Contractor Programme</t>
        </is>
      </c>
      <c r="C1119" s="23" t="inlineStr">
        <is>
          <t>SCH-05-019</t>
        </is>
      </c>
      <c r="D1119" s="23" t="inlineStr">
        <is>
          <t>1.5.1 Testing and Commissioning - Test Readiness</t>
        </is>
      </c>
      <c r="E1119" s="23" t="inlineStr">
        <is>
          <t>Carried forward</t>
        </is>
      </c>
      <c r="F1119" s="23" t="inlineStr"/>
      <c r="G1119" s="23" t="inlineStr">
        <is>
          <t>Source assignment -- not individually reviewed</t>
        </is>
      </c>
      <c r="H1119" s="14" t="inlineStr">
        <is>
          <t>10 EVIDENCE &amp; DECISIONS</t>
        </is>
      </c>
    </row>
    <row r="1120" ht="34" customHeight="1">
      <c r="A1120" s="23" t="inlineStr">
        <is>
          <t>R740-v2</t>
        </is>
      </c>
      <c r="B1120" s="23" t="inlineStr">
        <is>
          <t>Contractor Programme</t>
        </is>
      </c>
      <c r="C1120" s="23" t="inlineStr">
        <is>
          <t>SCH-05-020</t>
        </is>
      </c>
      <c r="D1120" s="23" t="inlineStr">
        <is>
          <t>1.5.1 Testing and Commissioning - Test Readiness</t>
        </is>
      </c>
      <c r="E1120" s="23" t="inlineStr">
        <is>
          <t>Carried forward</t>
        </is>
      </c>
      <c r="F1120" s="23" t="inlineStr"/>
      <c r="G1120" s="23" t="inlineStr">
        <is>
          <t>Source assignment -- not individually reviewed</t>
        </is>
      </c>
      <c r="H1120" s="14" t="inlineStr">
        <is>
          <t>10 EVIDENCE &amp; DECISIONS</t>
        </is>
      </c>
    </row>
    <row r="1121" ht="34" customHeight="1">
      <c r="A1121" s="23" t="inlineStr">
        <is>
          <t>R742-v2</t>
        </is>
      </c>
      <c r="B1121" s="23" t="inlineStr">
        <is>
          <t>Contractor Programme</t>
        </is>
      </c>
      <c r="C1121" s="23" t="inlineStr">
        <is>
          <t>SCH-05-022</t>
        </is>
      </c>
      <c r="D1121" s="23" t="inlineStr">
        <is>
          <t>1.5.1 Testing and Commissioning - Test Readiness</t>
        </is>
      </c>
      <c r="E1121" s="23" t="inlineStr">
        <is>
          <t>Carried forward</t>
        </is>
      </c>
      <c r="F1121" s="23" t="inlineStr"/>
      <c r="G1121" s="23" t="inlineStr">
        <is>
          <t>Source assignment -- not individually reviewed</t>
        </is>
      </c>
      <c r="H1121" s="14" t="inlineStr">
        <is>
          <t>10 EVIDENCE &amp; DECISIONS</t>
        </is>
      </c>
    </row>
    <row r="1122" ht="34" customHeight="1">
      <c r="A1122" s="23" t="inlineStr">
        <is>
          <t>R743-v2</t>
        </is>
      </c>
      <c r="B1122" s="23" t="inlineStr">
        <is>
          <t>Contractor Programme</t>
        </is>
      </c>
      <c r="C1122" s="23" t="inlineStr">
        <is>
          <t>SCH-05-023</t>
        </is>
      </c>
      <c r="D1122" s="23" t="inlineStr">
        <is>
          <t>1.5.1 Testing and Commissioning - Test Readiness</t>
        </is>
      </c>
      <c r="E1122" s="23" t="inlineStr">
        <is>
          <t>Carried forward</t>
        </is>
      </c>
      <c r="F1122" s="23" t="inlineStr"/>
      <c r="G1122" s="23" t="inlineStr">
        <is>
          <t>Source assignment -- not individually reviewed</t>
        </is>
      </c>
      <c r="H1122" s="14" t="inlineStr">
        <is>
          <t>10 EVIDENCE &amp; DECISIONS</t>
        </is>
      </c>
    </row>
    <row r="1123" ht="34" customHeight="1">
      <c r="A1123" s="23" t="inlineStr">
        <is>
          <t>R745-v2</t>
        </is>
      </c>
      <c r="B1123" s="23" t="inlineStr">
        <is>
          <t>Contractor Programme</t>
        </is>
      </c>
      <c r="C1123" s="23" t="inlineStr">
        <is>
          <t>SCH-05-025</t>
        </is>
      </c>
      <c r="D1123" s="23" t="inlineStr">
        <is>
          <t>1.5.1 Testing and Commissioning - Test Readiness</t>
        </is>
      </c>
      <c r="E1123" s="23" t="inlineStr">
        <is>
          <t>Carried forward</t>
        </is>
      </c>
      <c r="F1123" s="23" t="inlineStr"/>
      <c r="G1123" s="23" t="inlineStr">
        <is>
          <t>Source assignment -- not individually reviewed</t>
        </is>
      </c>
      <c r="H1123" s="14" t="inlineStr">
        <is>
          <t>10 EVIDENCE &amp; DECISIONS</t>
        </is>
      </c>
    </row>
    <row r="1124" ht="34" customHeight="1">
      <c r="A1124" s="23" t="inlineStr">
        <is>
          <t>R746-v2</t>
        </is>
      </c>
      <c r="B1124" s="23" t="inlineStr">
        <is>
          <t>Contractor Programme</t>
        </is>
      </c>
      <c r="C1124" s="23" t="inlineStr">
        <is>
          <t>SCH-05-026</t>
        </is>
      </c>
      <c r="D1124" s="23" t="inlineStr">
        <is>
          <t>1.5.1 Testing and Commissioning - Test Readiness</t>
        </is>
      </c>
      <c r="E1124" s="23" t="inlineStr">
        <is>
          <t>Carried forward</t>
        </is>
      </c>
      <c r="F1124" s="23" t="inlineStr"/>
      <c r="G1124" s="23" t="inlineStr">
        <is>
          <t>Source assignment -- not individually reviewed</t>
        </is>
      </c>
      <c r="H1124" s="14" t="inlineStr">
        <is>
          <t>10 EVIDENCE &amp; DECISIONS</t>
        </is>
      </c>
    </row>
    <row r="1125" ht="34" customHeight="1">
      <c r="A1125" s="23" t="inlineStr">
        <is>
          <t>R748-v2</t>
        </is>
      </c>
      <c r="B1125" s="23" t="inlineStr">
        <is>
          <t>Contractor Programme</t>
        </is>
      </c>
      <c r="C1125" s="23" t="inlineStr">
        <is>
          <t>SCH-05-028</t>
        </is>
      </c>
      <c r="D1125" s="23" t="inlineStr">
        <is>
          <t>1.5.1 Testing and Commissioning - Test Readiness</t>
        </is>
      </c>
      <c r="E1125" s="23" t="inlineStr">
        <is>
          <t>Carried forward</t>
        </is>
      </c>
      <c r="F1125" s="23" t="inlineStr"/>
      <c r="G1125" s="23" t="inlineStr">
        <is>
          <t>Source assignment -- not individually reviewed</t>
        </is>
      </c>
      <c r="H1125" s="14" t="inlineStr">
        <is>
          <t>10 EVIDENCE &amp; DECISIONS</t>
        </is>
      </c>
    </row>
    <row r="1126" ht="34" customHeight="1">
      <c r="A1126" s="23" t="inlineStr">
        <is>
          <t>R749-v2</t>
        </is>
      </c>
      <c r="B1126" s="23" t="inlineStr">
        <is>
          <t>Contractor Programme</t>
        </is>
      </c>
      <c r="C1126" s="23" t="inlineStr">
        <is>
          <t>SCH-05-029</t>
        </is>
      </c>
      <c r="D1126" s="23" t="inlineStr">
        <is>
          <t>1.5.1 Testing and Commissioning - Test Readiness</t>
        </is>
      </c>
      <c r="E1126" s="23" t="inlineStr">
        <is>
          <t>Carried forward</t>
        </is>
      </c>
      <c r="F1126" s="23" t="inlineStr"/>
      <c r="G1126" s="23" t="inlineStr">
        <is>
          <t>Source assignment -- not individually reviewed</t>
        </is>
      </c>
      <c r="H1126" s="14" t="inlineStr">
        <is>
          <t>10 EVIDENCE &amp; DECISIONS</t>
        </is>
      </c>
    </row>
    <row r="1127" ht="34" customHeight="1">
      <c r="A1127" s="23" t="inlineStr">
        <is>
          <t>R751-v2</t>
        </is>
      </c>
      <c r="B1127" s="23" t="inlineStr">
        <is>
          <t>Contractor Programme</t>
        </is>
      </c>
      <c r="C1127" s="23" t="inlineStr">
        <is>
          <t>SCH-05-031</t>
        </is>
      </c>
      <c r="D1127" s="23" t="inlineStr">
        <is>
          <t>1.5.1 Testing and Commissioning - Test Readiness</t>
        </is>
      </c>
      <c r="E1127" s="23" t="inlineStr">
        <is>
          <t>Carried forward</t>
        </is>
      </c>
      <c r="F1127" s="23" t="inlineStr"/>
      <c r="G1127" s="23" t="inlineStr">
        <is>
          <t>Source assignment -- not individually reviewed</t>
        </is>
      </c>
      <c r="H1127" s="14" t="inlineStr">
        <is>
          <t>10 EVIDENCE &amp; DECISIONS</t>
        </is>
      </c>
    </row>
    <row r="1128" ht="34" customHeight="1">
      <c r="A1128" s="23" t="inlineStr">
        <is>
          <t>R752-v2</t>
        </is>
      </c>
      <c r="B1128" s="23" t="inlineStr">
        <is>
          <t>Contractor Programme</t>
        </is>
      </c>
      <c r="C1128" s="23" t="inlineStr">
        <is>
          <t>SCH-05-032</t>
        </is>
      </c>
      <c r="D1128" s="23" t="inlineStr">
        <is>
          <t>1.5.1 Testing and Commissioning - Test Readiness</t>
        </is>
      </c>
      <c r="E1128" s="23" t="inlineStr">
        <is>
          <t>Carried forward</t>
        </is>
      </c>
      <c r="F1128" s="23" t="inlineStr"/>
      <c r="G1128" s="23" t="inlineStr">
        <is>
          <t>Source assignment -- not individually reviewed</t>
        </is>
      </c>
      <c r="H1128" s="14" t="inlineStr">
        <is>
          <t>10 EVIDENCE &amp; DECISIONS</t>
        </is>
      </c>
    </row>
    <row r="1129" ht="34" customHeight="1">
      <c r="A1129" s="23" t="inlineStr">
        <is>
          <t>R754-v2</t>
        </is>
      </c>
      <c r="B1129" s="23" t="inlineStr">
        <is>
          <t>Contractor Programme</t>
        </is>
      </c>
      <c r="C1129" s="23" t="inlineStr">
        <is>
          <t>SCH-05-034</t>
        </is>
      </c>
      <c r="D1129" s="23" t="inlineStr">
        <is>
          <t>1.5.1 Testing and Commissioning - Test Readiness</t>
        </is>
      </c>
      <c r="E1129" s="23" t="inlineStr">
        <is>
          <t>Carried forward</t>
        </is>
      </c>
      <c r="F1129" s="23" t="inlineStr"/>
      <c r="G1129" s="23" t="inlineStr">
        <is>
          <t>Source assignment -- not individually reviewed</t>
        </is>
      </c>
      <c r="H1129" s="14" t="inlineStr">
        <is>
          <t>10 EVIDENCE &amp; DECISIONS</t>
        </is>
      </c>
    </row>
    <row r="1130" ht="34" customHeight="1">
      <c r="A1130" s="23" t="inlineStr">
        <is>
          <t>R755-v2</t>
        </is>
      </c>
      <c r="B1130" s="23" t="inlineStr">
        <is>
          <t>Contractor Programme</t>
        </is>
      </c>
      <c r="C1130" s="23" t="inlineStr">
        <is>
          <t>SCH-05-035</t>
        </is>
      </c>
      <c r="D1130" s="23" t="inlineStr">
        <is>
          <t>1.5.1 Testing and Commissioning - Test Readiness</t>
        </is>
      </c>
      <c r="E1130" s="23" t="inlineStr">
        <is>
          <t>Carried forward</t>
        </is>
      </c>
      <c r="F1130" s="23" t="inlineStr"/>
      <c r="G1130" s="23" t="inlineStr">
        <is>
          <t>Source assignment -- not individually reviewed</t>
        </is>
      </c>
      <c r="H1130" s="14" t="inlineStr">
        <is>
          <t>10 EVIDENCE &amp; DECISIONS</t>
        </is>
      </c>
    </row>
    <row r="1131" ht="34" customHeight="1">
      <c r="A1131" s="23" t="inlineStr">
        <is>
          <t>R757-v2</t>
        </is>
      </c>
      <c r="B1131" s="23" t="inlineStr">
        <is>
          <t>Contractor Programme</t>
        </is>
      </c>
      <c r="C1131" s="23" t="inlineStr">
        <is>
          <t>SCH-05-037</t>
        </is>
      </c>
      <c r="D1131" s="23" t="inlineStr">
        <is>
          <t>1.5.1 Testing and Commissioning - Test Readiness</t>
        </is>
      </c>
      <c r="E1131" s="23" t="inlineStr">
        <is>
          <t>Carried forward</t>
        </is>
      </c>
      <c r="F1131" s="23" t="inlineStr"/>
      <c r="G1131" s="23" t="inlineStr">
        <is>
          <t>Source assignment -- not individually reviewed</t>
        </is>
      </c>
      <c r="H1131" s="14" t="inlineStr">
        <is>
          <t>10 EVIDENCE &amp; DECISIONS</t>
        </is>
      </c>
    </row>
    <row r="1132" ht="34" customHeight="1">
      <c r="A1132" s="23" t="inlineStr">
        <is>
          <t>R758-v2</t>
        </is>
      </c>
      <c r="B1132" s="23" t="inlineStr">
        <is>
          <t>Contractor Programme</t>
        </is>
      </c>
      <c r="C1132" s="23" t="inlineStr">
        <is>
          <t>SCH-05-038</t>
        </is>
      </c>
      <c r="D1132" s="23" t="inlineStr">
        <is>
          <t>1.5.1 Testing and Commissioning - Test Readiness</t>
        </is>
      </c>
      <c r="E1132" s="23" t="inlineStr">
        <is>
          <t>Carried forward</t>
        </is>
      </c>
      <c r="F1132" s="23" t="inlineStr"/>
      <c r="G1132" s="23" t="inlineStr">
        <is>
          <t>Source assignment -- not individually reviewed</t>
        </is>
      </c>
      <c r="H1132" s="14" t="inlineStr">
        <is>
          <t>10 EVIDENCE &amp; DECISIONS</t>
        </is>
      </c>
    </row>
    <row r="1133" ht="34" customHeight="1">
      <c r="A1133" s="23" t="inlineStr">
        <is>
          <t>R760-v2</t>
        </is>
      </c>
      <c r="B1133" s="23" t="inlineStr">
        <is>
          <t>Contractor Programme</t>
        </is>
      </c>
      <c r="C1133" s="23" t="inlineStr">
        <is>
          <t>SCH-05-040</t>
        </is>
      </c>
      <c r="D1133" s="23" t="inlineStr">
        <is>
          <t>1.5.1 Testing and Commissioning - Test Readiness</t>
        </is>
      </c>
      <c r="E1133" s="23" t="inlineStr">
        <is>
          <t>Carried forward</t>
        </is>
      </c>
      <c r="F1133" s="23" t="inlineStr"/>
      <c r="G1133" s="23" t="inlineStr">
        <is>
          <t>Source assignment -- not individually reviewed</t>
        </is>
      </c>
      <c r="H1133" s="14" t="inlineStr">
        <is>
          <t>10 EVIDENCE &amp; DECISIONS</t>
        </is>
      </c>
    </row>
    <row r="1134" ht="34" customHeight="1">
      <c r="A1134" s="23" t="inlineStr">
        <is>
          <t>R761-v2</t>
        </is>
      </c>
      <c r="B1134" s="23" t="inlineStr">
        <is>
          <t>Contractor Programme</t>
        </is>
      </c>
      <c r="C1134" s="23" t="inlineStr">
        <is>
          <t>SCH-05-041</t>
        </is>
      </c>
      <c r="D1134" s="23" t="inlineStr">
        <is>
          <t>1.5.1 Testing and Commissioning - Test Readiness</t>
        </is>
      </c>
      <c r="E1134" s="23" t="inlineStr">
        <is>
          <t>Carried forward</t>
        </is>
      </c>
      <c r="F1134" s="23" t="inlineStr"/>
      <c r="G1134" s="23" t="inlineStr">
        <is>
          <t>Source assignment -- not individually reviewed</t>
        </is>
      </c>
      <c r="H1134" s="14" t="inlineStr">
        <is>
          <t>10 EVIDENCE &amp; DECISIONS</t>
        </is>
      </c>
    </row>
    <row r="1135" ht="34" customHeight="1">
      <c r="A1135" s="23" t="inlineStr">
        <is>
          <t>R763-v2</t>
        </is>
      </c>
      <c r="B1135" s="23" t="inlineStr">
        <is>
          <t>Contractor Programme</t>
        </is>
      </c>
      <c r="C1135" s="23" t="inlineStr">
        <is>
          <t>SCH-05-043</t>
        </is>
      </c>
      <c r="D1135" s="23" t="inlineStr">
        <is>
          <t>1.5.1 Testing and Commissioning - Test Readiness</t>
        </is>
      </c>
      <c r="E1135" s="23" t="inlineStr">
        <is>
          <t>Carried forward</t>
        </is>
      </c>
      <c r="F1135" s="23" t="inlineStr"/>
      <c r="G1135" s="23" t="inlineStr">
        <is>
          <t>Source assignment -- not individually reviewed</t>
        </is>
      </c>
      <c r="H1135" s="14" t="inlineStr">
        <is>
          <t>10 EVIDENCE &amp; DECISIONS</t>
        </is>
      </c>
    </row>
    <row r="1136" ht="34" customHeight="1">
      <c r="A1136" s="23" t="inlineStr">
        <is>
          <t>R764-v2</t>
        </is>
      </c>
      <c r="B1136" s="23" t="inlineStr">
        <is>
          <t>Contractor Programme</t>
        </is>
      </c>
      <c r="C1136" s="23" t="inlineStr">
        <is>
          <t>SCH-05-044</t>
        </is>
      </c>
      <c r="D1136" s="23" t="inlineStr">
        <is>
          <t>1.5.1 Testing and Commissioning - Test Readiness</t>
        </is>
      </c>
      <c r="E1136" s="23" t="inlineStr">
        <is>
          <t>Carried forward</t>
        </is>
      </c>
      <c r="F1136" s="23" t="inlineStr"/>
      <c r="G1136" s="23" t="inlineStr">
        <is>
          <t>Source assignment -- not individually reviewed</t>
        </is>
      </c>
      <c r="H1136" s="14" t="inlineStr">
        <is>
          <t>10 EVIDENCE &amp; DECISIONS</t>
        </is>
      </c>
    </row>
    <row r="1137" ht="34" customHeight="1">
      <c r="A1137" s="23" t="inlineStr">
        <is>
          <t>R766-v2</t>
        </is>
      </c>
      <c r="B1137" s="23" t="inlineStr">
        <is>
          <t>Contractor Programme</t>
        </is>
      </c>
      <c r="C1137" s="23" t="inlineStr">
        <is>
          <t>SCH-05-046</t>
        </is>
      </c>
      <c r="D1137" s="23" t="inlineStr">
        <is>
          <t>1.5.1 Testing and Commissioning - Test Readiness</t>
        </is>
      </c>
      <c r="E1137" s="23" t="inlineStr">
        <is>
          <t>Carried forward</t>
        </is>
      </c>
      <c r="F1137" s="23" t="inlineStr"/>
      <c r="G1137" s="23" t="inlineStr">
        <is>
          <t>Source assignment -- not individually reviewed</t>
        </is>
      </c>
      <c r="H1137" s="14" t="inlineStr">
        <is>
          <t>10 EVIDENCE &amp; DECISIONS</t>
        </is>
      </c>
    </row>
    <row r="1138" ht="34" customHeight="1">
      <c r="A1138" s="23" t="inlineStr">
        <is>
          <t>R767-v2</t>
        </is>
      </c>
      <c r="B1138" s="23" t="inlineStr">
        <is>
          <t>Contractor Programme</t>
        </is>
      </c>
      <c r="C1138" s="23" t="inlineStr">
        <is>
          <t>SCH-05-047</t>
        </is>
      </c>
      <c r="D1138" s="23" t="inlineStr">
        <is>
          <t>1.5.1 Testing and Commissioning - Test Readiness</t>
        </is>
      </c>
      <c r="E1138" s="23" t="inlineStr">
        <is>
          <t>Carried forward</t>
        </is>
      </c>
      <c r="F1138" s="23" t="inlineStr"/>
      <c r="G1138" s="23" t="inlineStr">
        <is>
          <t>Source assignment -- not individually reviewed</t>
        </is>
      </c>
      <c r="H1138" s="14" t="inlineStr">
        <is>
          <t>10 EVIDENCE &amp; DECISIONS</t>
        </is>
      </c>
    </row>
    <row r="1139" ht="34" customHeight="1">
      <c r="A1139" s="23" t="inlineStr">
        <is>
          <t>R769-v2</t>
        </is>
      </c>
      <c r="B1139" s="23" t="inlineStr">
        <is>
          <t>Contractor Programme</t>
        </is>
      </c>
      <c r="C1139" s="23" t="inlineStr">
        <is>
          <t>SCH-05-049</t>
        </is>
      </c>
      <c r="D1139" s="23" t="inlineStr">
        <is>
          <t>1.5.1 Testing and Commissioning - Test Readiness</t>
        </is>
      </c>
      <c r="E1139" s="23" t="inlineStr">
        <is>
          <t>Carried forward</t>
        </is>
      </c>
      <c r="F1139" s="23" t="inlineStr"/>
      <c r="G1139" s="23" t="inlineStr">
        <is>
          <t>Source assignment -- not individually reviewed</t>
        </is>
      </c>
      <c r="H1139" s="14" t="inlineStr">
        <is>
          <t>10 EVIDENCE &amp; DECISIONS</t>
        </is>
      </c>
    </row>
    <row r="1140" ht="34" customHeight="1">
      <c r="A1140" s="23" t="inlineStr">
        <is>
          <t>R770-v2</t>
        </is>
      </c>
      <c r="B1140" s="23" t="inlineStr">
        <is>
          <t>Contractor Programme</t>
        </is>
      </c>
      <c r="C1140" s="23" t="inlineStr">
        <is>
          <t>SCH-05-050</t>
        </is>
      </c>
      <c r="D1140" s="23" t="inlineStr">
        <is>
          <t>1.5.1 Testing and Commissioning - Test Readiness</t>
        </is>
      </c>
      <c r="E1140" s="23" t="inlineStr">
        <is>
          <t>Carried forward</t>
        </is>
      </c>
      <c r="F1140" s="23" t="inlineStr"/>
      <c r="G1140" s="23" t="inlineStr">
        <is>
          <t>Source assignment -- not individually reviewed</t>
        </is>
      </c>
      <c r="H1140" s="14" t="inlineStr">
        <is>
          <t>10 EVIDENCE &amp; DECISIONS</t>
        </is>
      </c>
    </row>
    <row r="1141" ht="34" customHeight="1">
      <c r="A1141" s="23" t="inlineStr">
        <is>
          <t>R772-v2</t>
        </is>
      </c>
      <c r="B1141" s="23" t="inlineStr">
        <is>
          <t>Contractor Programme</t>
        </is>
      </c>
      <c r="C1141" s="23" t="inlineStr">
        <is>
          <t>SCH-05-052</t>
        </is>
      </c>
      <c r="D1141" s="23" t="inlineStr">
        <is>
          <t>1.5.1 Testing and Commissioning - Test Readiness</t>
        </is>
      </c>
      <c r="E1141" s="23" t="inlineStr">
        <is>
          <t>Carried forward</t>
        </is>
      </c>
      <c r="F1141" s="23" t="inlineStr"/>
      <c r="G1141" s="23" t="inlineStr">
        <is>
          <t>Source assignment -- not individually reviewed</t>
        </is>
      </c>
      <c r="H1141" s="14" t="inlineStr">
        <is>
          <t>10 EVIDENCE &amp; DECISIONS</t>
        </is>
      </c>
    </row>
    <row r="1142" ht="34" customHeight="1">
      <c r="A1142" s="23" t="inlineStr">
        <is>
          <t>R773-v2</t>
        </is>
      </c>
      <c r="B1142" s="23" t="inlineStr">
        <is>
          <t>Contractor Programme</t>
        </is>
      </c>
      <c r="C1142" s="23" t="inlineStr">
        <is>
          <t>SCH-05-053</t>
        </is>
      </c>
      <c r="D1142" s="23" t="inlineStr">
        <is>
          <t>1.5.1 Testing and Commissioning - Test Readiness</t>
        </is>
      </c>
      <c r="E1142" s="23" t="inlineStr">
        <is>
          <t>Carried forward</t>
        </is>
      </c>
      <c r="F1142" s="23" t="inlineStr"/>
      <c r="G1142" s="23" t="inlineStr">
        <is>
          <t>Source assignment -- not individually reviewed</t>
        </is>
      </c>
      <c r="H1142" s="14" t="inlineStr">
        <is>
          <t>10 EVIDENCE &amp; DECISIONS</t>
        </is>
      </c>
    </row>
    <row r="1143" ht="34" customHeight="1">
      <c r="A1143" s="23" t="inlineStr">
        <is>
          <t>R775-v2</t>
        </is>
      </c>
      <c r="B1143" s="23" t="inlineStr">
        <is>
          <t>Contractor Programme</t>
        </is>
      </c>
      <c r="C1143" s="23" t="inlineStr">
        <is>
          <t>SCH-05-055</t>
        </is>
      </c>
      <c r="D1143" s="23" t="inlineStr">
        <is>
          <t>1.5.1 Testing and Commissioning - Test Readiness</t>
        </is>
      </c>
      <c r="E1143" s="23" t="inlineStr">
        <is>
          <t>Carried forward</t>
        </is>
      </c>
      <c r="F1143" s="23" t="inlineStr"/>
      <c r="G1143" s="23" t="inlineStr">
        <is>
          <t>Source assignment -- not individually reviewed</t>
        </is>
      </c>
      <c r="H1143" s="14" t="inlineStr">
        <is>
          <t>10 EVIDENCE &amp; DECISIONS</t>
        </is>
      </c>
    </row>
    <row r="1144" ht="34" customHeight="1">
      <c r="A1144" s="23" t="inlineStr">
        <is>
          <t>R776-v2</t>
        </is>
      </c>
      <c r="B1144" s="23" t="inlineStr">
        <is>
          <t>Contractor Programme</t>
        </is>
      </c>
      <c r="C1144" s="23" t="inlineStr">
        <is>
          <t>SCH-05-056</t>
        </is>
      </c>
      <c r="D1144" s="23" t="inlineStr">
        <is>
          <t>1.5.1 Testing and Commissioning - Test Readiness</t>
        </is>
      </c>
      <c r="E1144" s="23" t="inlineStr">
        <is>
          <t>Carried forward</t>
        </is>
      </c>
      <c r="F1144" s="23" t="inlineStr"/>
      <c r="G1144" s="23" t="inlineStr">
        <is>
          <t>Source assignment -- not individually reviewed</t>
        </is>
      </c>
      <c r="H1144" s="14" t="inlineStr">
        <is>
          <t>10 EVIDENCE &amp; DECISIONS</t>
        </is>
      </c>
    </row>
    <row r="1145" ht="34" customHeight="1">
      <c r="A1145" s="23" t="inlineStr">
        <is>
          <t>R778-v2</t>
        </is>
      </c>
      <c r="B1145" s="23" t="inlineStr">
        <is>
          <t>Contractor Programme</t>
        </is>
      </c>
      <c r="C1145" s="23" t="inlineStr">
        <is>
          <t>SCH-05-058</t>
        </is>
      </c>
      <c r="D1145" s="23" t="inlineStr">
        <is>
          <t>1.5.1 Testing and Commissioning - Test Readiness</t>
        </is>
      </c>
      <c r="E1145" s="23" t="inlineStr">
        <is>
          <t>Carried forward</t>
        </is>
      </c>
      <c r="F1145" s="23" t="inlineStr"/>
      <c r="G1145" s="23" t="inlineStr">
        <is>
          <t>Source assignment -- not individually reviewed</t>
        </is>
      </c>
      <c r="H1145" s="14" t="inlineStr">
        <is>
          <t>10 EVIDENCE &amp; DECISIONS</t>
        </is>
      </c>
    </row>
    <row r="1146" ht="34" customHeight="1">
      <c r="A1146" s="23" t="inlineStr">
        <is>
          <t>R779-v2</t>
        </is>
      </c>
      <c r="B1146" s="23" t="inlineStr">
        <is>
          <t>Contractor Programme</t>
        </is>
      </c>
      <c r="C1146" s="23" t="inlineStr">
        <is>
          <t>SCH-05-059</t>
        </is>
      </c>
      <c r="D1146" s="23" t="inlineStr">
        <is>
          <t>1.5.1 Testing and Commissioning - Test Readiness</t>
        </is>
      </c>
      <c r="E1146" s="23" t="inlineStr">
        <is>
          <t>Carried forward</t>
        </is>
      </c>
      <c r="F1146" s="23" t="inlineStr"/>
      <c r="G1146" s="23" t="inlineStr">
        <is>
          <t>Source assignment -- not individually reviewed</t>
        </is>
      </c>
      <c r="H1146" s="14" t="inlineStr">
        <is>
          <t>10 EVIDENCE &amp; DECISIONS</t>
        </is>
      </c>
    </row>
    <row r="1147" ht="34" customHeight="1">
      <c r="A1147" s="23" t="inlineStr">
        <is>
          <t>R781-v2</t>
        </is>
      </c>
      <c r="B1147" s="23" t="inlineStr">
        <is>
          <t>Contractor Programme</t>
        </is>
      </c>
      <c r="C1147" s="23" t="inlineStr">
        <is>
          <t>SCH-05-061</t>
        </is>
      </c>
      <c r="D1147" s="23" t="inlineStr">
        <is>
          <t>1.5.1 Testing and Commissioning - Test Readiness</t>
        </is>
      </c>
      <c r="E1147" s="23" t="inlineStr">
        <is>
          <t>Carried forward</t>
        </is>
      </c>
      <c r="F1147" s="23" t="inlineStr"/>
      <c r="G1147" s="23" t="inlineStr">
        <is>
          <t>Source assignment -- not individually reviewed</t>
        </is>
      </c>
      <c r="H1147" s="14" t="inlineStr">
        <is>
          <t>10 EVIDENCE &amp; DECISIONS</t>
        </is>
      </c>
    </row>
    <row r="1148" ht="34" customHeight="1">
      <c r="A1148" s="23" t="inlineStr">
        <is>
          <t>R782-v2</t>
        </is>
      </c>
      <c r="B1148" s="23" t="inlineStr">
        <is>
          <t>Contractor Programme</t>
        </is>
      </c>
      <c r="C1148" s="23" t="inlineStr">
        <is>
          <t>SCH-05-062</t>
        </is>
      </c>
      <c r="D1148" s="23" t="inlineStr">
        <is>
          <t>1.5.1 Testing and Commissioning - Test Readiness</t>
        </is>
      </c>
      <c r="E1148" s="23" t="inlineStr">
        <is>
          <t>Carried forward</t>
        </is>
      </c>
      <c r="F1148" s="23" t="inlineStr"/>
      <c r="G1148" s="23" t="inlineStr">
        <is>
          <t>Source assignment -- not individually reviewed</t>
        </is>
      </c>
      <c r="H1148" s="14" t="inlineStr">
        <is>
          <t>10 EVIDENCE &amp; DECISIONS</t>
        </is>
      </c>
    </row>
    <row r="1149" ht="34" customHeight="1">
      <c r="A1149" s="23" t="inlineStr">
        <is>
          <t>R784-v2</t>
        </is>
      </c>
      <c r="B1149" s="23" t="inlineStr">
        <is>
          <t>Contractor Programme</t>
        </is>
      </c>
      <c r="C1149" s="23" t="inlineStr">
        <is>
          <t>SCH-05-064</t>
        </is>
      </c>
      <c r="D1149" s="23" t="inlineStr">
        <is>
          <t>1.5.1 Testing and Commissioning - Test Readiness</t>
        </is>
      </c>
      <c r="E1149" s="23" t="inlineStr">
        <is>
          <t>Carried forward</t>
        </is>
      </c>
      <c r="F1149" s="23" t="inlineStr"/>
      <c r="G1149" s="23" t="inlineStr">
        <is>
          <t>Source assignment -- not individually reviewed</t>
        </is>
      </c>
      <c r="H1149" s="14" t="inlineStr">
        <is>
          <t>10 EVIDENCE &amp; DECISIONS</t>
        </is>
      </c>
    </row>
    <row r="1150" ht="34" customHeight="1">
      <c r="A1150" s="23" t="inlineStr">
        <is>
          <t>R785-v2</t>
        </is>
      </c>
      <c r="B1150" s="23" t="inlineStr">
        <is>
          <t>Contractor Programme</t>
        </is>
      </c>
      <c r="C1150" s="23" t="inlineStr">
        <is>
          <t>SCH-05-065</t>
        </is>
      </c>
      <c r="D1150" s="23" t="inlineStr">
        <is>
          <t>1.5.1 Testing and Commissioning - Test Readiness</t>
        </is>
      </c>
      <c r="E1150" s="23" t="inlineStr">
        <is>
          <t>Carried forward</t>
        </is>
      </c>
      <c r="F1150" s="23" t="inlineStr"/>
      <c r="G1150" s="23" t="inlineStr">
        <is>
          <t>Source assignment -- not individually reviewed</t>
        </is>
      </c>
      <c r="H1150" s="14" t="inlineStr">
        <is>
          <t>10 EVIDENCE &amp; DECISIONS</t>
        </is>
      </c>
    </row>
    <row r="1151" ht="34" customHeight="1">
      <c r="A1151" s="23" t="inlineStr">
        <is>
          <t>R787-v2</t>
        </is>
      </c>
      <c r="B1151" s="23" t="inlineStr">
        <is>
          <t>Contractor Programme</t>
        </is>
      </c>
      <c r="C1151" s="23" t="inlineStr">
        <is>
          <t>SCH-05-067</t>
        </is>
      </c>
      <c r="D1151" s="23" t="inlineStr">
        <is>
          <t>1.5.1 Testing and Commissioning - Test Readiness</t>
        </is>
      </c>
      <c r="E1151" s="23" t="inlineStr">
        <is>
          <t>Carried forward</t>
        </is>
      </c>
      <c r="F1151" s="23" t="inlineStr"/>
      <c r="G1151" s="23" t="inlineStr">
        <is>
          <t>Source assignment -- not individually reviewed</t>
        </is>
      </c>
      <c r="H1151" s="14" t="inlineStr">
        <is>
          <t>10 EVIDENCE &amp; DECISIONS</t>
        </is>
      </c>
    </row>
    <row r="1152" ht="34" customHeight="1">
      <c r="A1152" s="23" t="inlineStr">
        <is>
          <t>R788-v2</t>
        </is>
      </c>
      <c r="B1152" s="23" t="inlineStr">
        <is>
          <t>Contractor Programme</t>
        </is>
      </c>
      <c r="C1152" s="23" t="inlineStr">
        <is>
          <t>SCH-05-068</t>
        </is>
      </c>
      <c r="D1152" s="23" t="inlineStr">
        <is>
          <t>1.5.1 Testing and Commissioning - Test Readiness</t>
        </is>
      </c>
      <c r="E1152" s="23" t="inlineStr">
        <is>
          <t>Carried forward</t>
        </is>
      </c>
      <c r="F1152" s="23" t="inlineStr"/>
      <c r="G1152" s="23" t="inlineStr">
        <is>
          <t>Source assignment -- not individually reviewed</t>
        </is>
      </c>
      <c r="H1152" s="14" t="inlineStr">
        <is>
          <t>10 EVIDENCE &amp; DECISIONS</t>
        </is>
      </c>
    </row>
    <row r="1153" ht="34" customHeight="1">
      <c r="A1153" s="23" t="inlineStr">
        <is>
          <t>R790-v2</t>
        </is>
      </c>
      <c r="B1153" s="23" t="inlineStr">
        <is>
          <t>Contractor Programme</t>
        </is>
      </c>
      <c r="C1153" s="23" t="inlineStr">
        <is>
          <t>SCH-05-070</t>
        </is>
      </c>
      <c r="D1153" s="23" t="inlineStr">
        <is>
          <t>1.5.1 Testing and Commissioning - Test Readiness</t>
        </is>
      </c>
      <c r="E1153" s="23" t="inlineStr">
        <is>
          <t>Carried forward</t>
        </is>
      </c>
      <c r="F1153" s="23" t="inlineStr"/>
      <c r="G1153" s="23" t="inlineStr">
        <is>
          <t>Source assignment -- not individually reviewed</t>
        </is>
      </c>
      <c r="H1153" s="14" t="inlineStr">
        <is>
          <t>10 EVIDENCE &amp; DECISIONS</t>
        </is>
      </c>
    </row>
    <row r="1154" ht="34" customHeight="1">
      <c r="A1154" s="23" t="inlineStr">
        <is>
          <t>R791-v2</t>
        </is>
      </c>
      <c r="B1154" s="23" t="inlineStr">
        <is>
          <t>Contractor Programme</t>
        </is>
      </c>
      <c r="C1154" s="23" t="inlineStr">
        <is>
          <t>SCH-05-071</t>
        </is>
      </c>
      <c r="D1154" s="23" t="inlineStr">
        <is>
          <t>1.5.1 Testing and Commissioning - Test Readiness</t>
        </is>
      </c>
      <c r="E1154" s="23" t="inlineStr">
        <is>
          <t>Carried forward</t>
        </is>
      </c>
      <c r="F1154" s="23" t="inlineStr"/>
      <c r="G1154" s="23" t="inlineStr">
        <is>
          <t>Source assignment -- not individually reviewed</t>
        </is>
      </c>
      <c r="H1154" s="14" t="inlineStr">
        <is>
          <t>10 EVIDENCE &amp; DECISIONS</t>
        </is>
      </c>
    </row>
    <row r="1155" ht="34" customHeight="1">
      <c r="A1155" s="23" t="inlineStr">
        <is>
          <t>R793-v2</t>
        </is>
      </c>
      <c r="B1155" s="23" t="inlineStr">
        <is>
          <t>Contractor Programme</t>
        </is>
      </c>
      <c r="C1155" s="23" t="inlineStr">
        <is>
          <t>SCH-05-073</t>
        </is>
      </c>
      <c r="D1155" s="23" t="inlineStr">
        <is>
          <t>1.5.1 Testing and Commissioning - Test Readiness</t>
        </is>
      </c>
      <c r="E1155" s="23" t="inlineStr">
        <is>
          <t>Carried forward</t>
        </is>
      </c>
      <c r="F1155" s="23" t="inlineStr"/>
      <c r="G1155" s="23" t="inlineStr">
        <is>
          <t>Source assignment -- not individually reviewed</t>
        </is>
      </c>
      <c r="H1155" s="14" t="inlineStr">
        <is>
          <t>10 EVIDENCE &amp; DECISIONS</t>
        </is>
      </c>
    </row>
    <row r="1156" ht="34" customHeight="1">
      <c r="A1156" s="23" t="inlineStr">
        <is>
          <t>R794-v2</t>
        </is>
      </c>
      <c r="B1156" s="23" t="inlineStr">
        <is>
          <t>Contractor Programme</t>
        </is>
      </c>
      <c r="C1156" s="23" t="inlineStr">
        <is>
          <t>SCH-05-074</t>
        </is>
      </c>
      <c r="D1156" s="23" t="inlineStr">
        <is>
          <t>1.5.1 Testing and Commissioning - Test Readiness</t>
        </is>
      </c>
      <c r="E1156" s="23" t="inlineStr">
        <is>
          <t>Carried forward</t>
        </is>
      </c>
      <c r="F1156" s="23" t="inlineStr"/>
      <c r="G1156" s="23" t="inlineStr">
        <is>
          <t>Source assignment -- not individually reviewed</t>
        </is>
      </c>
      <c r="H1156" s="14" t="inlineStr">
        <is>
          <t>10 EVIDENCE &amp; DECISIONS</t>
        </is>
      </c>
    </row>
    <row r="1157" ht="34" customHeight="1">
      <c r="A1157" s="23" t="inlineStr">
        <is>
          <t>R796-v2</t>
        </is>
      </c>
      <c r="B1157" s="23" t="inlineStr">
        <is>
          <t>Contractor Programme</t>
        </is>
      </c>
      <c r="C1157" s="23" t="inlineStr">
        <is>
          <t>SCH-05-076</t>
        </is>
      </c>
      <c r="D1157" s="23" t="inlineStr">
        <is>
          <t>1.5.1 Testing and Commissioning - Test Readiness</t>
        </is>
      </c>
      <c r="E1157" s="23" t="inlineStr">
        <is>
          <t>Carried forward</t>
        </is>
      </c>
      <c r="F1157" s="23" t="inlineStr"/>
      <c r="G1157" s="23" t="inlineStr">
        <is>
          <t>Source assignment -- not individually reviewed</t>
        </is>
      </c>
      <c r="H1157" s="14" t="inlineStr">
        <is>
          <t>10 EVIDENCE &amp; DECISIONS</t>
        </is>
      </c>
    </row>
    <row r="1158" ht="34" customHeight="1">
      <c r="A1158" s="23" t="inlineStr">
        <is>
          <t>R797-v2</t>
        </is>
      </c>
      <c r="B1158" s="23" t="inlineStr">
        <is>
          <t>Contractor Programme</t>
        </is>
      </c>
      <c r="C1158" s="23" t="inlineStr">
        <is>
          <t>SCH-05-077</t>
        </is>
      </c>
      <c r="D1158" s="23" t="inlineStr">
        <is>
          <t>1.5.1 Testing and Commissioning - Test Readiness</t>
        </is>
      </c>
      <c r="E1158" s="23" t="inlineStr">
        <is>
          <t>Carried forward</t>
        </is>
      </c>
      <c r="F1158" s="23" t="inlineStr"/>
      <c r="G1158" s="23" t="inlineStr">
        <is>
          <t>Source assignment -- not individually reviewed</t>
        </is>
      </c>
      <c r="H1158" s="14" t="inlineStr">
        <is>
          <t>10 EVIDENCE &amp; DECISIONS</t>
        </is>
      </c>
    </row>
    <row r="1159" ht="34" customHeight="1">
      <c r="A1159" s="23" t="inlineStr">
        <is>
          <t>R799-v2</t>
        </is>
      </c>
      <c r="B1159" s="23" t="inlineStr">
        <is>
          <t>Contractor Programme</t>
        </is>
      </c>
      <c r="C1159" s="23" t="inlineStr">
        <is>
          <t>SCH-05-079</t>
        </is>
      </c>
      <c r="D1159" s="23" t="inlineStr">
        <is>
          <t>1.5.1 Testing and Commissioning - Test Readiness</t>
        </is>
      </c>
      <c r="E1159" s="23" t="inlineStr">
        <is>
          <t>Carried forward</t>
        </is>
      </c>
      <c r="F1159" s="23" t="inlineStr"/>
      <c r="G1159" s="23" t="inlineStr">
        <is>
          <t>Source assignment -- not individually reviewed</t>
        </is>
      </c>
      <c r="H1159" s="14" t="inlineStr">
        <is>
          <t>10 EVIDENCE &amp; DECISIONS</t>
        </is>
      </c>
    </row>
    <row r="1160" ht="34" customHeight="1">
      <c r="A1160" s="23" t="inlineStr">
        <is>
          <t>R800-v2</t>
        </is>
      </c>
      <c r="B1160" s="23" t="inlineStr">
        <is>
          <t>Contractor Programme</t>
        </is>
      </c>
      <c r="C1160" s="23" t="inlineStr">
        <is>
          <t>SCH-05-080</t>
        </is>
      </c>
      <c r="D1160" s="23" t="inlineStr">
        <is>
          <t>1.5.1 Testing and Commissioning - Test Readiness</t>
        </is>
      </c>
      <c r="E1160" s="23" t="inlineStr">
        <is>
          <t>Carried forward</t>
        </is>
      </c>
      <c r="F1160" s="23" t="inlineStr"/>
      <c r="G1160" s="23" t="inlineStr">
        <is>
          <t>Source assignment -- not individually reviewed</t>
        </is>
      </c>
      <c r="H1160" s="14" t="inlineStr">
        <is>
          <t>10 EVIDENCE &amp; DECISIONS</t>
        </is>
      </c>
    </row>
    <row r="1161" ht="34" customHeight="1">
      <c r="A1161" s="23" t="inlineStr">
        <is>
          <t>R802-v2</t>
        </is>
      </c>
      <c r="B1161" s="23" t="inlineStr">
        <is>
          <t>Contractor Programme</t>
        </is>
      </c>
      <c r="C1161" s="23" t="inlineStr">
        <is>
          <t>SCH-05-082</t>
        </is>
      </c>
      <c r="D1161" s="23" t="inlineStr">
        <is>
          <t>1.5.1 Testing and Commissioning - Test Readiness</t>
        </is>
      </c>
      <c r="E1161" s="23" t="inlineStr">
        <is>
          <t>Carried forward</t>
        </is>
      </c>
      <c r="F1161" s="23" t="inlineStr"/>
      <c r="G1161" s="23" t="inlineStr">
        <is>
          <t>Source assignment -- not individually reviewed</t>
        </is>
      </c>
      <c r="H1161" s="14" t="inlineStr">
        <is>
          <t>10 EVIDENCE &amp; DECISIONS</t>
        </is>
      </c>
    </row>
    <row r="1162" ht="34" customHeight="1">
      <c r="A1162" s="23" t="inlineStr">
        <is>
          <t>R803-v2</t>
        </is>
      </c>
      <c r="B1162" s="23" t="inlineStr">
        <is>
          <t>Contractor Programme</t>
        </is>
      </c>
      <c r="C1162" s="23" t="inlineStr">
        <is>
          <t>SCH-05-083</t>
        </is>
      </c>
      <c r="D1162" s="23" t="inlineStr">
        <is>
          <t>1.5.1 Testing and Commissioning - Test Readiness</t>
        </is>
      </c>
      <c r="E1162" s="23" t="inlineStr">
        <is>
          <t>Carried forward</t>
        </is>
      </c>
      <c r="F1162" s="23" t="inlineStr"/>
      <c r="G1162" s="23" t="inlineStr">
        <is>
          <t>Source assignment -- not individually reviewed</t>
        </is>
      </c>
      <c r="H1162" s="14" t="inlineStr">
        <is>
          <t>10 EVIDENCE &amp; DECISIONS</t>
        </is>
      </c>
    </row>
    <row r="1163" ht="34" customHeight="1">
      <c r="A1163" s="23" t="inlineStr">
        <is>
          <t>R805-v2</t>
        </is>
      </c>
      <c r="B1163" s="23" t="inlineStr">
        <is>
          <t>Contractor Programme</t>
        </is>
      </c>
      <c r="C1163" s="23" t="inlineStr">
        <is>
          <t>SCH-05-085</t>
        </is>
      </c>
      <c r="D1163" s="23" t="inlineStr">
        <is>
          <t>1.5.1 Testing and Commissioning - Test Readiness</t>
        </is>
      </c>
      <c r="E1163" s="23" t="inlineStr">
        <is>
          <t>Carried forward</t>
        </is>
      </c>
      <c r="F1163" s="23" t="inlineStr"/>
      <c r="G1163" s="23" t="inlineStr">
        <is>
          <t>Source assignment -- not individually reviewed</t>
        </is>
      </c>
      <c r="H1163" s="14" t="inlineStr">
        <is>
          <t>10 EVIDENCE &amp; DECISIONS</t>
        </is>
      </c>
    </row>
    <row r="1164" ht="34" customHeight="1">
      <c r="A1164" s="23" t="inlineStr">
        <is>
          <t>R806-v2</t>
        </is>
      </c>
      <c r="B1164" s="23" t="inlineStr">
        <is>
          <t>Contractor Programme</t>
        </is>
      </c>
      <c r="C1164" s="23" t="inlineStr">
        <is>
          <t>SCH-05-086</t>
        </is>
      </c>
      <c r="D1164" s="23" t="inlineStr">
        <is>
          <t>1.5.1 Testing and Commissioning - Test Readiness</t>
        </is>
      </c>
      <c r="E1164" s="23" t="inlineStr">
        <is>
          <t>Carried forward</t>
        </is>
      </c>
      <c r="F1164" s="23" t="inlineStr"/>
      <c r="G1164" s="23" t="inlineStr">
        <is>
          <t>Source assignment -- not individually reviewed</t>
        </is>
      </c>
      <c r="H1164" s="14" t="inlineStr">
        <is>
          <t>10 EVIDENCE &amp; DECISIONS</t>
        </is>
      </c>
    </row>
    <row r="1165" ht="34" customHeight="1">
      <c r="A1165" s="23" t="inlineStr">
        <is>
          <t>R808-v2</t>
        </is>
      </c>
      <c r="B1165" s="23" t="inlineStr">
        <is>
          <t>Contractor Programme</t>
        </is>
      </c>
      <c r="C1165" s="23" t="inlineStr">
        <is>
          <t>SCH-05-088</t>
        </is>
      </c>
      <c r="D1165" s="23" t="inlineStr">
        <is>
          <t>1.5.1 Testing and Commissioning - Test Readiness</t>
        </is>
      </c>
      <c r="E1165" s="23" t="inlineStr">
        <is>
          <t>Carried forward</t>
        </is>
      </c>
      <c r="F1165" s="23" t="inlineStr"/>
      <c r="G1165" s="23" t="inlineStr">
        <is>
          <t>Source assignment -- not individually reviewed</t>
        </is>
      </c>
      <c r="H1165" s="14" t="inlineStr">
        <is>
          <t>10 EVIDENCE &amp; DECISIONS</t>
        </is>
      </c>
    </row>
    <row r="1166" ht="34" customHeight="1">
      <c r="A1166" s="23" t="inlineStr">
        <is>
          <t>R809-v2</t>
        </is>
      </c>
      <c r="B1166" s="23" t="inlineStr">
        <is>
          <t>Contractor Programme</t>
        </is>
      </c>
      <c r="C1166" s="23" t="inlineStr">
        <is>
          <t>SCH-05-089</t>
        </is>
      </c>
      <c r="D1166" s="23" t="inlineStr">
        <is>
          <t>1.5.1 Testing and Commissioning - Test Readiness</t>
        </is>
      </c>
      <c r="E1166" s="23" t="inlineStr">
        <is>
          <t>Carried forward</t>
        </is>
      </c>
      <c r="F1166" s="23" t="inlineStr"/>
      <c r="G1166" s="23" t="inlineStr">
        <is>
          <t>Source assignment -- not individually reviewed</t>
        </is>
      </c>
      <c r="H1166" s="14" t="inlineStr">
        <is>
          <t>10 EVIDENCE &amp; DECISIONS</t>
        </is>
      </c>
    </row>
    <row r="1167" ht="34" customHeight="1">
      <c r="A1167" s="23" t="inlineStr">
        <is>
          <t>R811-v2</t>
        </is>
      </c>
      <c r="B1167" s="23" t="inlineStr">
        <is>
          <t>Contractor Programme</t>
        </is>
      </c>
      <c r="C1167" s="23" t="inlineStr">
        <is>
          <t>SCH-05-091</t>
        </is>
      </c>
      <c r="D1167" s="23" t="inlineStr">
        <is>
          <t>1.5.1 Testing and Commissioning - Test Readiness</t>
        </is>
      </c>
      <c r="E1167" s="23" t="inlineStr">
        <is>
          <t>Carried forward</t>
        </is>
      </c>
      <c r="F1167" s="23" t="inlineStr"/>
      <c r="G1167" s="23" t="inlineStr">
        <is>
          <t>Source assignment -- not individually reviewed</t>
        </is>
      </c>
      <c r="H1167" s="14" t="inlineStr">
        <is>
          <t>10 EVIDENCE &amp; DECISIONS</t>
        </is>
      </c>
    </row>
    <row r="1168" ht="34" customHeight="1">
      <c r="A1168" s="23" t="inlineStr">
        <is>
          <t>R812-v2</t>
        </is>
      </c>
      <c r="B1168" s="23" t="inlineStr">
        <is>
          <t>Contractor Programme</t>
        </is>
      </c>
      <c r="C1168" s="23" t="inlineStr">
        <is>
          <t>SCH-05-092</t>
        </is>
      </c>
      <c r="D1168" s="23" t="inlineStr">
        <is>
          <t>1.5.1 Testing and Commissioning - Test Readiness</t>
        </is>
      </c>
      <c r="E1168" s="23" t="inlineStr">
        <is>
          <t>Carried forward</t>
        </is>
      </c>
      <c r="F1168" s="23" t="inlineStr"/>
      <c r="G1168" s="23" t="inlineStr">
        <is>
          <t>Source assignment -- not individually reviewed</t>
        </is>
      </c>
      <c r="H1168" s="14" t="inlineStr">
        <is>
          <t>10 EVIDENCE &amp; DECISIONS</t>
        </is>
      </c>
    </row>
    <row r="1169" ht="34" customHeight="1">
      <c r="A1169" s="23" t="inlineStr">
        <is>
          <t>R814-v2</t>
        </is>
      </c>
      <c r="B1169" s="23" t="inlineStr">
        <is>
          <t>Contractor Programme</t>
        </is>
      </c>
      <c r="C1169" s="23" t="inlineStr">
        <is>
          <t>SCH-05-094</t>
        </is>
      </c>
      <c r="D1169" s="23" t="inlineStr">
        <is>
          <t>1.5.1 Testing and Commissioning - Test Readiness</t>
        </is>
      </c>
      <c r="E1169" s="23" t="inlineStr">
        <is>
          <t>Carried forward</t>
        </is>
      </c>
      <c r="F1169" s="23" t="inlineStr"/>
      <c r="G1169" s="23" t="inlineStr">
        <is>
          <t>Source assignment -- not individually reviewed</t>
        </is>
      </c>
      <c r="H1169" s="14" t="inlineStr">
        <is>
          <t>10 EVIDENCE &amp; DECISIONS</t>
        </is>
      </c>
    </row>
    <row r="1170" ht="34" customHeight="1">
      <c r="A1170" s="23" t="inlineStr">
        <is>
          <t>R815-v2</t>
        </is>
      </c>
      <c r="B1170" s="23" t="inlineStr">
        <is>
          <t>Contractor Programme</t>
        </is>
      </c>
      <c r="C1170" s="23" t="inlineStr">
        <is>
          <t>SCH-05-095</t>
        </is>
      </c>
      <c r="D1170" s="23" t="inlineStr">
        <is>
          <t>1.5.1 Testing and Commissioning - Test Readiness</t>
        </is>
      </c>
      <c r="E1170" s="23" t="inlineStr">
        <is>
          <t>Carried forward</t>
        </is>
      </c>
      <c r="F1170" s="23" t="inlineStr"/>
      <c r="G1170" s="23" t="inlineStr">
        <is>
          <t>Source assignment -- not individually reviewed</t>
        </is>
      </c>
      <c r="H1170" s="14" t="inlineStr">
        <is>
          <t>10 EVIDENCE &amp; DECISIONS</t>
        </is>
      </c>
    </row>
    <row r="1171" ht="34" customHeight="1">
      <c r="A1171" s="23" t="inlineStr">
        <is>
          <t>R817-v2</t>
        </is>
      </c>
      <c r="B1171" s="23" t="inlineStr">
        <is>
          <t>Contractor Programme</t>
        </is>
      </c>
      <c r="C1171" s="23" t="inlineStr">
        <is>
          <t>SCH-05-097</t>
        </is>
      </c>
      <c r="D1171" s="23" t="inlineStr">
        <is>
          <t>1.5.1 Testing and Commissioning - Test Readiness</t>
        </is>
      </c>
      <c r="E1171" s="23" t="inlineStr">
        <is>
          <t>Carried forward</t>
        </is>
      </c>
      <c r="F1171" s="23" t="inlineStr"/>
      <c r="G1171" s="23" t="inlineStr">
        <is>
          <t>Source assignment -- not individually reviewed</t>
        </is>
      </c>
      <c r="H1171" s="14" t="inlineStr">
        <is>
          <t>10 EVIDENCE &amp; DECISIONS</t>
        </is>
      </c>
    </row>
    <row r="1172" ht="34" customHeight="1">
      <c r="A1172" s="23" t="inlineStr">
        <is>
          <t>R818-v2</t>
        </is>
      </c>
      <c r="B1172" s="23" t="inlineStr">
        <is>
          <t>Contractor Programme</t>
        </is>
      </c>
      <c r="C1172" s="23" t="inlineStr">
        <is>
          <t>SCH-05-098</t>
        </is>
      </c>
      <c r="D1172" s="23" t="inlineStr">
        <is>
          <t>1.5.1 Testing and Commissioning - Test Readiness</t>
        </is>
      </c>
      <c r="E1172" s="23" t="inlineStr">
        <is>
          <t>Carried forward</t>
        </is>
      </c>
      <c r="F1172" s="23" t="inlineStr"/>
      <c r="G1172" s="23" t="inlineStr">
        <is>
          <t>Source assignment -- not individually reviewed</t>
        </is>
      </c>
      <c r="H1172" s="14" t="inlineStr">
        <is>
          <t>10 EVIDENCE &amp; DECISIONS</t>
        </is>
      </c>
    </row>
    <row r="1173" ht="34" customHeight="1">
      <c r="A1173" s="23" t="inlineStr">
        <is>
          <t>R820-v2</t>
        </is>
      </c>
      <c r="B1173" s="23" t="inlineStr">
        <is>
          <t>Contractor Programme</t>
        </is>
      </c>
      <c r="C1173" s="23" t="inlineStr">
        <is>
          <t>SCH-05-100</t>
        </is>
      </c>
      <c r="D1173" s="23" t="inlineStr">
        <is>
          <t>1.5.1 Testing and Commissioning - Test Readiness</t>
        </is>
      </c>
      <c r="E1173" s="23" t="inlineStr">
        <is>
          <t>Carried forward</t>
        </is>
      </c>
      <c r="F1173" s="23" t="inlineStr"/>
      <c r="G1173" s="23" t="inlineStr">
        <is>
          <t>Source assignment -- not individually reviewed</t>
        </is>
      </c>
      <c r="H1173" s="14" t="inlineStr">
        <is>
          <t>10 EVIDENCE &amp; DECISIONS</t>
        </is>
      </c>
    </row>
    <row r="1174" ht="34" customHeight="1">
      <c r="A1174" s="23" t="inlineStr">
        <is>
          <t>R821-v2</t>
        </is>
      </c>
      <c r="B1174" s="23" t="inlineStr">
        <is>
          <t>Contractor Programme</t>
        </is>
      </c>
      <c r="C1174" s="23" t="inlineStr">
        <is>
          <t>SCH-05-101</t>
        </is>
      </c>
      <c r="D1174" s="23" t="inlineStr">
        <is>
          <t>1.5.1 Testing and Commissioning - Test Readiness</t>
        </is>
      </c>
      <c r="E1174" s="23" t="inlineStr">
        <is>
          <t>Carried forward</t>
        </is>
      </c>
      <c r="F1174" s="23" t="inlineStr"/>
      <c r="G1174" s="23" t="inlineStr">
        <is>
          <t>Source assignment -- not individually reviewed</t>
        </is>
      </c>
      <c r="H1174" s="14" t="inlineStr">
        <is>
          <t>10 EVIDENCE &amp; DECISIONS</t>
        </is>
      </c>
    </row>
    <row r="1175" ht="34" customHeight="1">
      <c r="A1175" s="23" t="inlineStr">
        <is>
          <t>R823-v2</t>
        </is>
      </c>
      <c r="B1175" s="23" t="inlineStr">
        <is>
          <t>Contractor Programme</t>
        </is>
      </c>
      <c r="C1175" s="23" t="inlineStr">
        <is>
          <t>SCH-05-103</t>
        </is>
      </c>
      <c r="D1175" s="23" t="inlineStr">
        <is>
          <t>1.5.1 Testing and Commissioning - Test Readiness</t>
        </is>
      </c>
      <c r="E1175" s="23" t="inlineStr">
        <is>
          <t>Carried forward</t>
        </is>
      </c>
      <c r="F1175" s="23" t="inlineStr"/>
      <c r="G1175" s="23" t="inlineStr">
        <is>
          <t>Source assignment -- not individually reviewed</t>
        </is>
      </c>
      <c r="H1175" s="14" t="inlineStr">
        <is>
          <t>10 EVIDENCE &amp; DECISIONS</t>
        </is>
      </c>
    </row>
    <row r="1176" ht="34" customHeight="1">
      <c r="A1176" s="23" t="inlineStr">
        <is>
          <t>R824-v2</t>
        </is>
      </c>
      <c r="B1176" s="23" t="inlineStr">
        <is>
          <t>Contractor Programme</t>
        </is>
      </c>
      <c r="C1176" s="23" t="inlineStr">
        <is>
          <t>SCH-05-104</t>
        </is>
      </c>
      <c r="D1176" s="23" t="inlineStr">
        <is>
          <t>1.5.1 Testing and Commissioning - Test Readiness</t>
        </is>
      </c>
      <c r="E1176" s="23" t="inlineStr">
        <is>
          <t>Carried forward</t>
        </is>
      </c>
      <c r="F1176" s="23" t="inlineStr"/>
      <c r="G1176" s="23" t="inlineStr">
        <is>
          <t>Source assignment -- not individually reviewed</t>
        </is>
      </c>
      <c r="H1176" s="14" t="inlineStr">
        <is>
          <t>10 EVIDENCE &amp; DECISIONS</t>
        </is>
      </c>
    </row>
    <row r="1177" ht="34" customHeight="1">
      <c r="A1177" s="23" t="inlineStr">
        <is>
          <t>R826-v2</t>
        </is>
      </c>
      <c r="B1177" s="23" t="inlineStr">
        <is>
          <t>Contractor Programme</t>
        </is>
      </c>
      <c r="C1177" s="23" t="inlineStr">
        <is>
          <t>SCH-05-106</t>
        </is>
      </c>
      <c r="D1177" s="23" t="inlineStr">
        <is>
          <t>1.5.1 Testing and Commissioning - Test Readiness</t>
        </is>
      </c>
      <c r="E1177" s="23" t="inlineStr">
        <is>
          <t>Carried forward</t>
        </is>
      </c>
      <c r="F1177" s="23" t="inlineStr"/>
      <c r="G1177" s="23" t="inlineStr">
        <is>
          <t>Source assignment -- not individually reviewed</t>
        </is>
      </c>
      <c r="H1177" s="14" t="inlineStr">
        <is>
          <t>10 EVIDENCE &amp; DECISIONS</t>
        </is>
      </c>
    </row>
    <row r="1178" ht="34" customHeight="1">
      <c r="A1178" s="23" t="inlineStr">
        <is>
          <t>R827-v2</t>
        </is>
      </c>
      <c r="B1178" s="23" t="inlineStr">
        <is>
          <t>Contractor Programme</t>
        </is>
      </c>
      <c r="C1178" s="23" t="inlineStr">
        <is>
          <t>SCH-05-107</t>
        </is>
      </c>
      <c r="D1178" s="23" t="inlineStr">
        <is>
          <t>1.5.1 Testing and Commissioning - Test Readiness</t>
        </is>
      </c>
      <c r="E1178" s="23" t="inlineStr">
        <is>
          <t>Carried forward</t>
        </is>
      </c>
      <c r="F1178" s="23" t="inlineStr"/>
      <c r="G1178" s="23" t="inlineStr">
        <is>
          <t>Source assignment -- not individually reviewed</t>
        </is>
      </c>
      <c r="H1178" s="14" t="inlineStr">
        <is>
          <t>10 EVIDENCE &amp; DECISIONS</t>
        </is>
      </c>
    </row>
    <row r="1179" ht="34" customHeight="1">
      <c r="A1179" s="23" t="inlineStr">
        <is>
          <t>R829-v2</t>
        </is>
      </c>
      <c r="B1179" s="23" t="inlineStr">
        <is>
          <t>Contractor Programme</t>
        </is>
      </c>
      <c r="C1179" s="23" t="inlineStr">
        <is>
          <t>SCH-05-109</t>
        </is>
      </c>
      <c r="D1179" s="23" t="inlineStr">
        <is>
          <t>1.5.1 Testing and Commissioning - Test Readiness</t>
        </is>
      </c>
      <c r="E1179" s="23" t="inlineStr">
        <is>
          <t>Carried forward</t>
        </is>
      </c>
      <c r="F1179" s="23" t="inlineStr"/>
      <c r="G1179" s="23" t="inlineStr">
        <is>
          <t>Source assignment -- not individually reviewed</t>
        </is>
      </c>
      <c r="H1179" s="14" t="inlineStr">
        <is>
          <t>10 EVIDENCE &amp; DECISIONS</t>
        </is>
      </c>
    </row>
    <row r="1180" ht="34" customHeight="1">
      <c r="A1180" s="23" t="inlineStr">
        <is>
          <t>R830-v2</t>
        </is>
      </c>
      <c r="B1180" s="23" t="inlineStr">
        <is>
          <t>Contractor Programme</t>
        </is>
      </c>
      <c r="C1180" s="23" t="inlineStr">
        <is>
          <t>SCH-05-110</t>
        </is>
      </c>
      <c r="D1180" s="23" t="inlineStr">
        <is>
          <t>1.5.1 Testing and Commissioning - Test Readiness</t>
        </is>
      </c>
      <c r="E1180" s="23" t="inlineStr">
        <is>
          <t>Carried forward</t>
        </is>
      </c>
      <c r="F1180" s="23" t="inlineStr"/>
      <c r="G1180" s="23" t="inlineStr">
        <is>
          <t>Source assignment -- not individually reviewed</t>
        </is>
      </c>
      <c r="H1180" s="14" t="inlineStr">
        <is>
          <t>10 EVIDENCE &amp; DECISIONS</t>
        </is>
      </c>
    </row>
    <row r="1181" ht="34" customHeight="1">
      <c r="A1181" s="23" t="inlineStr">
        <is>
          <t>R832-v2</t>
        </is>
      </c>
      <c r="B1181" s="23" t="inlineStr">
        <is>
          <t>Contractor Programme</t>
        </is>
      </c>
      <c r="C1181" s="23" t="inlineStr">
        <is>
          <t>SCH-05-112</t>
        </is>
      </c>
      <c r="D1181" s="23" t="inlineStr">
        <is>
          <t>1.5.1 Testing and Commissioning - Test Readiness</t>
        </is>
      </c>
      <c r="E1181" s="23" t="inlineStr">
        <is>
          <t>Carried forward</t>
        </is>
      </c>
      <c r="F1181" s="23" t="inlineStr"/>
      <c r="G1181" s="23" t="inlineStr">
        <is>
          <t>Source assignment -- not individually reviewed</t>
        </is>
      </c>
      <c r="H1181" s="14" t="inlineStr">
        <is>
          <t>10 EVIDENCE &amp; DECISIONS</t>
        </is>
      </c>
    </row>
    <row r="1182" ht="34" customHeight="1">
      <c r="A1182" s="23" t="inlineStr">
        <is>
          <t>R833-v2</t>
        </is>
      </c>
      <c r="B1182" s="23" t="inlineStr">
        <is>
          <t>Contractor Programme</t>
        </is>
      </c>
      <c r="C1182" s="23" t="inlineStr">
        <is>
          <t>SCH-05-113</t>
        </is>
      </c>
      <c r="D1182" s="23" t="inlineStr">
        <is>
          <t>1.5.1 Testing and Commissioning - Test Readiness</t>
        </is>
      </c>
      <c r="E1182" s="23" t="inlineStr">
        <is>
          <t>Carried forward</t>
        </is>
      </c>
      <c r="F1182" s="23" t="inlineStr"/>
      <c r="G1182" s="23" t="inlineStr">
        <is>
          <t>Source assignment -- not individually reviewed</t>
        </is>
      </c>
      <c r="H1182" s="14" t="inlineStr">
        <is>
          <t>10 EVIDENCE &amp; DECISIONS</t>
        </is>
      </c>
    </row>
    <row r="1183" ht="34" customHeight="1">
      <c r="A1183" s="23" t="inlineStr">
        <is>
          <t>R835-v2</t>
        </is>
      </c>
      <c r="B1183" s="23" t="inlineStr">
        <is>
          <t>Contractor Programme</t>
        </is>
      </c>
      <c r="C1183" s="23" t="inlineStr">
        <is>
          <t>SCH-05-115</t>
        </is>
      </c>
      <c r="D1183" s="23" t="inlineStr">
        <is>
          <t>1.5.1 Testing and Commissioning - Test Readiness</t>
        </is>
      </c>
      <c r="E1183" s="23" t="inlineStr">
        <is>
          <t>Carried forward</t>
        </is>
      </c>
      <c r="F1183" s="23" t="inlineStr"/>
      <c r="G1183" s="23" t="inlineStr">
        <is>
          <t>Source assignment -- not individually reviewed</t>
        </is>
      </c>
      <c r="H1183" s="14" t="inlineStr">
        <is>
          <t>10 EVIDENCE &amp; DECISIONS</t>
        </is>
      </c>
    </row>
    <row r="1184" ht="34" customHeight="1">
      <c r="A1184" s="23" t="inlineStr">
        <is>
          <t>R836-v2</t>
        </is>
      </c>
      <c r="B1184" s="23" t="inlineStr">
        <is>
          <t>Contractor Programme</t>
        </is>
      </c>
      <c r="C1184" s="23" t="inlineStr">
        <is>
          <t>SCH-05-116</t>
        </is>
      </c>
      <c r="D1184" s="23" t="inlineStr">
        <is>
          <t>1.5.1 Testing and Commissioning - Test Readiness</t>
        </is>
      </c>
      <c r="E1184" s="23" t="inlineStr">
        <is>
          <t>Carried forward</t>
        </is>
      </c>
      <c r="F1184" s="23" t="inlineStr"/>
      <c r="G1184" s="23" t="inlineStr">
        <is>
          <t>Source assignment -- not individually reviewed</t>
        </is>
      </c>
      <c r="H1184" s="14" t="inlineStr">
        <is>
          <t>10 EVIDENCE &amp; DECISIONS</t>
        </is>
      </c>
    </row>
    <row r="1185" ht="34" customHeight="1">
      <c r="A1185" s="23" t="inlineStr">
        <is>
          <t>R838-v2</t>
        </is>
      </c>
      <c r="B1185" s="23" t="inlineStr">
        <is>
          <t>Contractor Programme</t>
        </is>
      </c>
      <c r="C1185" s="23" t="inlineStr">
        <is>
          <t>SCH-05-118</t>
        </is>
      </c>
      <c r="D1185" s="23" t="inlineStr">
        <is>
          <t>1.5.1 Testing and Commissioning - Test Readiness</t>
        </is>
      </c>
      <c r="E1185" s="23" t="inlineStr">
        <is>
          <t>Carried forward</t>
        </is>
      </c>
      <c r="F1185" s="23" t="inlineStr"/>
      <c r="G1185" s="23" t="inlineStr">
        <is>
          <t>Source assignment -- not individually reviewed</t>
        </is>
      </c>
      <c r="H1185" s="14" t="inlineStr">
        <is>
          <t>10 EVIDENCE &amp; DECISIONS</t>
        </is>
      </c>
    </row>
    <row r="1186" ht="34" customHeight="1">
      <c r="A1186" s="23" t="inlineStr">
        <is>
          <t>R839-v2</t>
        </is>
      </c>
      <c r="B1186" s="23" t="inlineStr">
        <is>
          <t>Contractor Programme</t>
        </is>
      </c>
      <c r="C1186" s="23" t="inlineStr">
        <is>
          <t>SCH-05-119</t>
        </is>
      </c>
      <c r="D1186" s="23" t="inlineStr">
        <is>
          <t>1.5.1 Testing and Commissioning - Test Readiness</t>
        </is>
      </c>
      <c r="E1186" s="23" t="inlineStr">
        <is>
          <t>Carried forward</t>
        </is>
      </c>
      <c r="F1186" s="23" t="inlineStr"/>
      <c r="G1186" s="23" t="inlineStr">
        <is>
          <t>Source assignment -- not individually reviewed</t>
        </is>
      </c>
      <c r="H1186" s="14" t="inlineStr">
        <is>
          <t>10 EVIDENCE &amp; DECISIONS</t>
        </is>
      </c>
    </row>
    <row r="1187" ht="34" customHeight="1">
      <c r="A1187" s="23" t="inlineStr">
        <is>
          <t>R841-v2</t>
        </is>
      </c>
      <c r="B1187" s="23" t="inlineStr">
        <is>
          <t>Contractor Programme</t>
        </is>
      </c>
      <c r="C1187" s="23" t="inlineStr">
        <is>
          <t>SCH-05-121</t>
        </is>
      </c>
      <c r="D1187" s="23" t="inlineStr">
        <is>
          <t>1.5.1 Testing and Commissioning - Test Readiness</t>
        </is>
      </c>
      <c r="E1187" s="23" t="inlineStr">
        <is>
          <t>Carried forward</t>
        </is>
      </c>
      <c r="F1187" s="23" t="inlineStr"/>
      <c r="G1187" s="23" t="inlineStr">
        <is>
          <t>Source assignment -- not individually reviewed</t>
        </is>
      </c>
      <c r="H1187" s="14" t="inlineStr">
        <is>
          <t>10 EVIDENCE &amp; DECISIONS</t>
        </is>
      </c>
    </row>
    <row r="1188" ht="34" customHeight="1">
      <c r="A1188" s="23" t="inlineStr">
        <is>
          <t>R842-v2</t>
        </is>
      </c>
      <c r="B1188" s="23" t="inlineStr">
        <is>
          <t>Contractor Programme</t>
        </is>
      </c>
      <c r="C1188" s="23" t="inlineStr">
        <is>
          <t>SCH-05-122</t>
        </is>
      </c>
      <c r="D1188" s="23" t="inlineStr">
        <is>
          <t>1.5.1 Testing and Commissioning - Test Readiness</t>
        </is>
      </c>
      <c r="E1188" s="23" t="inlineStr">
        <is>
          <t>Carried forward</t>
        </is>
      </c>
      <c r="F1188" s="23" t="inlineStr"/>
      <c r="G1188" s="23" t="inlineStr">
        <is>
          <t>Source assignment -- not individually reviewed</t>
        </is>
      </c>
      <c r="H1188" s="14" t="inlineStr">
        <is>
          <t>10 EVIDENCE &amp; DECISIONS</t>
        </is>
      </c>
    </row>
    <row r="1189" ht="34" customHeight="1">
      <c r="A1189" s="23" t="inlineStr">
        <is>
          <t>R844-v2</t>
        </is>
      </c>
      <c r="B1189" s="23" t="inlineStr">
        <is>
          <t>Contractor Programme</t>
        </is>
      </c>
      <c r="C1189" s="23" t="inlineStr">
        <is>
          <t>SCH-05-124</t>
        </is>
      </c>
      <c r="D1189" s="23" t="inlineStr">
        <is>
          <t>1.5.1 Testing and Commissioning - Test Readiness</t>
        </is>
      </c>
      <c r="E1189" s="23" t="inlineStr">
        <is>
          <t>Carried forward</t>
        </is>
      </c>
      <c r="F1189" s="23" t="inlineStr"/>
      <c r="G1189" s="23" t="inlineStr">
        <is>
          <t>Source assignment -- not individually reviewed</t>
        </is>
      </c>
      <c r="H1189" s="14" t="inlineStr">
        <is>
          <t>10 EVIDENCE &amp; DECISIONS</t>
        </is>
      </c>
    </row>
    <row r="1190" ht="34" customHeight="1">
      <c r="A1190" s="23" t="inlineStr">
        <is>
          <t>R845-v2</t>
        </is>
      </c>
      <c r="B1190" s="23" t="inlineStr">
        <is>
          <t>Contractor Programme</t>
        </is>
      </c>
      <c r="C1190" s="23" t="inlineStr">
        <is>
          <t>SCH-05-125</t>
        </is>
      </c>
      <c r="D1190" s="23" t="inlineStr">
        <is>
          <t>1.5.1 Testing and Commissioning - Test Readiness</t>
        </is>
      </c>
      <c r="E1190" s="23" t="inlineStr">
        <is>
          <t>Carried forward</t>
        </is>
      </c>
      <c r="F1190" s="23" t="inlineStr"/>
      <c r="G1190" s="23" t="inlineStr">
        <is>
          <t>Source assignment -- not individually reviewed</t>
        </is>
      </c>
      <c r="H1190" s="14" t="inlineStr">
        <is>
          <t>10 EVIDENCE &amp; DECISIONS</t>
        </is>
      </c>
    </row>
    <row r="1191" ht="34" customHeight="1">
      <c r="A1191" s="23" t="inlineStr">
        <is>
          <t>R847-v2</t>
        </is>
      </c>
      <c r="B1191" s="23" t="inlineStr">
        <is>
          <t>Contractor Programme</t>
        </is>
      </c>
      <c r="C1191" s="23" t="inlineStr">
        <is>
          <t>SCH-05-127</t>
        </is>
      </c>
      <c r="D1191" s="23" t="inlineStr">
        <is>
          <t>1.5.1 Testing and Commissioning - Test Readiness</t>
        </is>
      </c>
      <c r="E1191" s="23" t="inlineStr">
        <is>
          <t>Carried forward</t>
        </is>
      </c>
      <c r="F1191" s="23" t="inlineStr"/>
      <c r="G1191" s="23" t="inlineStr">
        <is>
          <t>Source assignment -- not individually reviewed</t>
        </is>
      </c>
      <c r="H1191" s="14" t="inlineStr">
        <is>
          <t>10 EVIDENCE &amp; DECISIONS</t>
        </is>
      </c>
    </row>
    <row r="1192" ht="34" customHeight="1">
      <c r="A1192" s="23" t="inlineStr">
        <is>
          <t>R848-v2</t>
        </is>
      </c>
      <c r="B1192" s="23" t="inlineStr">
        <is>
          <t>Contractor Programme</t>
        </is>
      </c>
      <c r="C1192" s="23" t="inlineStr">
        <is>
          <t>SCH-05-128</t>
        </is>
      </c>
      <c r="D1192" s="23" t="inlineStr">
        <is>
          <t>1.5.1 Testing and Commissioning - Test Readiness</t>
        </is>
      </c>
      <c r="E1192" s="23" t="inlineStr">
        <is>
          <t>Carried forward</t>
        </is>
      </c>
      <c r="F1192" s="23" t="inlineStr"/>
      <c r="G1192" s="23" t="inlineStr">
        <is>
          <t>Source assignment -- not individually reviewed</t>
        </is>
      </c>
      <c r="H1192" s="14" t="inlineStr">
        <is>
          <t>10 EVIDENCE &amp; DECISIONS</t>
        </is>
      </c>
    </row>
    <row r="1193" ht="34" customHeight="1">
      <c r="A1193" s="23" t="inlineStr">
        <is>
          <t>R850-v2</t>
        </is>
      </c>
      <c r="B1193" s="23" t="inlineStr">
        <is>
          <t>Contractor Programme</t>
        </is>
      </c>
      <c r="C1193" s="23" t="inlineStr">
        <is>
          <t>SCH-05-130</t>
        </is>
      </c>
      <c r="D1193" s="23" t="inlineStr">
        <is>
          <t>1.5.1 Testing and Commissioning - Test Readiness</t>
        </is>
      </c>
      <c r="E1193" s="23" t="inlineStr">
        <is>
          <t>Carried forward</t>
        </is>
      </c>
      <c r="F1193" s="23" t="inlineStr"/>
      <c r="G1193" s="23" t="inlineStr">
        <is>
          <t>Source assignment -- not individually reviewed</t>
        </is>
      </c>
      <c r="H1193" s="14" t="inlineStr">
        <is>
          <t>10 EVIDENCE &amp; DECISIONS</t>
        </is>
      </c>
    </row>
    <row r="1194" ht="34" customHeight="1">
      <c r="A1194" s="23" t="inlineStr">
        <is>
          <t>R851-v2</t>
        </is>
      </c>
      <c r="B1194" s="23" t="inlineStr">
        <is>
          <t>Contractor Programme</t>
        </is>
      </c>
      <c r="C1194" s="23" t="inlineStr">
        <is>
          <t>SCH-05-131</t>
        </is>
      </c>
      <c r="D1194" s="23" t="inlineStr">
        <is>
          <t>1.5.1 Testing and Commissioning - Test Readiness</t>
        </is>
      </c>
      <c r="E1194" s="23" t="inlineStr">
        <is>
          <t>Carried forward</t>
        </is>
      </c>
      <c r="F1194" s="23" t="inlineStr"/>
      <c r="G1194" s="23" t="inlineStr">
        <is>
          <t>Source assignment -- not individually reviewed</t>
        </is>
      </c>
      <c r="H1194" s="14" t="inlineStr">
        <is>
          <t>10 EVIDENCE &amp; DECISIONS</t>
        </is>
      </c>
    </row>
    <row r="1195" ht="34" customHeight="1">
      <c r="A1195" s="23" t="inlineStr">
        <is>
          <t>R853-v2</t>
        </is>
      </c>
      <c r="B1195" s="23" t="inlineStr">
        <is>
          <t>Contractor Programme</t>
        </is>
      </c>
      <c r="C1195" s="23" t="inlineStr">
        <is>
          <t>SCH-05-133</t>
        </is>
      </c>
      <c r="D1195" s="23" t="inlineStr">
        <is>
          <t>1.5.1 Testing and Commissioning - Test Readiness</t>
        </is>
      </c>
      <c r="E1195" s="23" t="inlineStr">
        <is>
          <t>Carried forward</t>
        </is>
      </c>
      <c r="F1195" s="23" t="inlineStr"/>
      <c r="G1195" s="23" t="inlineStr">
        <is>
          <t>Source assignment -- not individually reviewed</t>
        </is>
      </c>
      <c r="H1195" s="14" t="inlineStr">
        <is>
          <t>10 EVIDENCE &amp; DECISIONS</t>
        </is>
      </c>
    </row>
    <row r="1196" ht="34" customHeight="1">
      <c r="A1196" s="23" t="inlineStr">
        <is>
          <t>R854-v2</t>
        </is>
      </c>
      <c r="B1196" s="23" t="inlineStr">
        <is>
          <t>Contractor Programme</t>
        </is>
      </c>
      <c r="C1196" s="23" t="inlineStr">
        <is>
          <t>SCH-05-134</t>
        </is>
      </c>
      <c r="D1196" s="23" t="inlineStr">
        <is>
          <t>1.5.1 Testing and Commissioning - Test Readiness</t>
        </is>
      </c>
      <c r="E1196" s="23" t="inlineStr">
        <is>
          <t>Carried forward</t>
        </is>
      </c>
      <c r="F1196" s="23" t="inlineStr"/>
      <c r="G1196" s="23" t="inlineStr">
        <is>
          <t>Source assignment -- not individually reviewed</t>
        </is>
      </c>
      <c r="H1196" s="14" t="inlineStr">
        <is>
          <t>10 EVIDENCE &amp; DECISIONS</t>
        </is>
      </c>
    </row>
    <row r="1197" ht="34" customHeight="1">
      <c r="A1197" s="23" t="inlineStr">
        <is>
          <t>R856-v2</t>
        </is>
      </c>
      <c r="B1197" s="23" t="inlineStr">
        <is>
          <t>Contractor Programme</t>
        </is>
      </c>
      <c r="C1197" s="23" t="inlineStr">
        <is>
          <t>SCH-05-136</t>
        </is>
      </c>
      <c r="D1197" s="23" t="inlineStr">
        <is>
          <t>1.5.1 Testing and Commissioning - Test Readiness</t>
        </is>
      </c>
      <c r="E1197" s="23" t="inlineStr">
        <is>
          <t>Carried forward</t>
        </is>
      </c>
      <c r="F1197" s="23" t="inlineStr"/>
      <c r="G1197" s="23" t="inlineStr">
        <is>
          <t>Source assignment -- not individually reviewed</t>
        </is>
      </c>
      <c r="H1197" s="14" t="inlineStr">
        <is>
          <t>10 EVIDENCE &amp; DECISIONS</t>
        </is>
      </c>
    </row>
    <row r="1198" ht="34" customHeight="1">
      <c r="A1198" s="23" t="inlineStr">
        <is>
          <t>R857-v2</t>
        </is>
      </c>
      <c r="B1198" s="23" t="inlineStr">
        <is>
          <t>Contractor Programme</t>
        </is>
      </c>
      <c r="C1198" s="23" t="inlineStr">
        <is>
          <t>SCH-05-137</t>
        </is>
      </c>
      <c r="D1198" s="23" t="inlineStr">
        <is>
          <t>1.5.1 Testing and Commissioning - Test Readiness</t>
        </is>
      </c>
      <c r="E1198" s="23" t="inlineStr">
        <is>
          <t>Carried forward</t>
        </is>
      </c>
      <c r="F1198" s="23" t="inlineStr"/>
      <c r="G1198" s="23" t="inlineStr">
        <is>
          <t>Source assignment -- not individually reviewed</t>
        </is>
      </c>
      <c r="H1198" s="14" t="inlineStr">
        <is>
          <t>10 EVIDENCE &amp; DECISIONS</t>
        </is>
      </c>
    </row>
    <row r="1199" ht="34" customHeight="1">
      <c r="A1199" s="23" t="inlineStr">
        <is>
          <t>R859-v2</t>
        </is>
      </c>
      <c r="B1199" s="23" t="inlineStr">
        <is>
          <t>Contractor Programme</t>
        </is>
      </c>
      <c r="C1199" s="23" t="inlineStr">
        <is>
          <t>SCH-05-139</t>
        </is>
      </c>
      <c r="D1199" s="23" t="inlineStr">
        <is>
          <t>1.5.1 Testing and Commissioning - Test Readiness</t>
        </is>
      </c>
      <c r="E1199" s="23" t="inlineStr">
        <is>
          <t>Carried forward</t>
        </is>
      </c>
      <c r="F1199" s="23" t="inlineStr"/>
      <c r="G1199" s="23" t="inlineStr">
        <is>
          <t>Source assignment -- not individually reviewed</t>
        </is>
      </c>
      <c r="H1199" s="14" t="inlineStr">
        <is>
          <t>10 EVIDENCE &amp; DECISIONS</t>
        </is>
      </c>
    </row>
    <row r="1200" ht="34" customHeight="1">
      <c r="A1200" s="23" t="inlineStr">
        <is>
          <t>R860-v2</t>
        </is>
      </c>
      <c r="B1200" s="23" t="inlineStr">
        <is>
          <t>Contractor Programme</t>
        </is>
      </c>
      <c r="C1200" s="23" t="inlineStr">
        <is>
          <t>SCH-05-140</t>
        </is>
      </c>
      <c r="D1200" s="23" t="inlineStr">
        <is>
          <t>1.5.1 Testing and Commissioning - Test Readiness</t>
        </is>
      </c>
      <c r="E1200" s="23" t="inlineStr">
        <is>
          <t>Carried forward</t>
        </is>
      </c>
      <c r="F1200" s="23" t="inlineStr"/>
      <c r="G1200" s="23" t="inlineStr">
        <is>
          <t>Source assignment -- not individually reviewed</t>
        </is>
      </c>
      <c r="H1200" s="14" t="inlineStr">
        <is>
          <t>10 EVIDENCE &amp; DECISIONS</t>
        </is>
      </c>
    </row>
    <row r="1201" ht="34" customHeight="1">
      <c r="A1201" s="23" t="inlineStr">
        <is>
          <t>R862-v2</t>
        </is>
      </c>
      <c r="B1201" s="23" t="inlineStr">
        <is>
          <t>Contractor Programme</t>
        </is>
      </c>
      <c r="C1201" s="23" t="inlineStr">
        <is>
          <t>SCH-05-142</t>
        </is>
      </c>
      <c r="D1201" s="23" t="inlineStr">
        <is>
          <t>1.5.1 Testing and Commissioning - Test Readiness</t>
        </is>
      </c>
      <c r="E1201" s="23" t="inlineStr">
        <is>
          <t>Carried forward</t>
        </is>
      </c>
      <c r="F1201" s="23" t="inlineStr"/>
      <c r="G1201" s="23" t="inlineStr">
        <is>
          <t>Source assignment -- not individually reviewed</t>
        </is>
      </c>
      <c r="H1201" s="14" t="inlineStr">
        <is>
          <t>10 EVIDENCE &amp; DECISIONS</t>
        </is>
      </c>
    </row>
    <row r="1202" ht="34" customHeight="1">
      <c r="A1202" s="23" t="inlineStr">
        <is>
          <t>R863-v2</t>
        </is>
      </c>
      <c r="B1202" s="23" t="inlineStr">
        <is>
          <t>Contractor Programme</t>
        </is>
      </c>
      <c r="C1202" s="23" t="inlineStr">
        <is>
          <t>SCH-05-143</t>
        </is>
      </c>
      <c r="D1202" s="23" t="inlineStr">
        <is>
          <t>1.5.1 Testing and Commissioning - Test Readiness</t>
        </is>
      </c>
      <c r="E1202" s="23" t="inlineStr">
        <is>
          <t>Carried forward</t>
        </is>
      </c>
      <c r="F1202" s="23" t="inlineStr"/>
      <c r="G1202" s="23" t="inlineStr">
        <is>
          <t>Source assignment -- not individually reviewed</t>
        </is>
      </c>
      <c r="H1202" s="14" t="inlineStr">
        <is>
          <t>10 EVIDENCE &amp; DECISIONS</t>
        </is>
      </c>
    </row>
    <row r="1203" ht="34" customHeight="1">
      <c r="A1203" s="23" t="inlineStr">
        <is>
          <t>R865-v2</t>
        </is>
      </c>
      <c r="B1203" s="23" t="inlineStr">
        <is>
          <t>Contractor Programme</t>
        </is>
      </c>
      <c r="C1203" s="23" t="inlineStr">
        <is>
          <t>SCH-05-145</t>
        </is>
      </c>
      <c r="D1203" s="23" t="inlineStr">
        <is>
          <t>1.5.1 Testing and Commissioning - Test Readiness</t>
        </is>
      </c>
      <c r="E1203" s="23" t="inlineStr">
        <is>
          <t>Carried forward</t>
        </is>
      </c>
      <c r="F1203" s="23" t="inlineStr"/>
      <c r="G1203" s="23" t="inlineStr">
        <is>
          <t>Source assignment -- not individually reviewed</t>
        </is>
      </c>
      <c r="H1203" s="14" t="inlineStr">
        <is>
          <t>10 EVIDENCE &amp; DECISIONS</t>
        </is>
      </c>
    </row>
    <row r="1204" ht="34" customHeight="1">
      <c r="A1204" s="23" t="inlineStr">
        <is>
          <t>R866-v2</t>
        </is>
      </c>
      <c r="B1204" s="23" t="inlineStr">
        <is>
          <t>Contractor Programme</t>
        </is>
      </c>
      <c r="C1204" s="23" t="inlineStr">
        <is>
          <t>SCH-05-146</t>
        </is>
      </c>
      <c r="D1204" s="23" t="inlineStr">
        <is>
          <t>1.5.1 Testing and Commissioning - Test Readiness</t>
        </is>
      </c>
      <c r="E1204" s="23" t="inlineStr">
        <is>
          <t>Carried forward</t>
        </is>
      </c>
      <c r="F1204" s="23" t="inlineStr"/>
      <c r="G1204" s="23" t="inlineStr">
        <is>
          <t>Source assignment -- not individually reviewed</t>
        </is>
      </c>
      <c r="H1204" s="14" t="inlineStr">
        <is>
          <t>10 EVIDENCE &amp; DECISIONS</t>
        </is>
      </c>
    </row>
    <row r="1205" ht="34" customHeight="1">
      <c r="A1205" s="23" t="inlineStr">
        <is>
          <t>R868-v2</t>
        </is>
      </c>
      <c r="B1205" s="23" t="inlineStr">
        <is>
          <t>Contractor Programme</t>
        </is>
      </c>
      <c r="C1205" s="23" t="inlineStr">
        <is>
          <t>SCH-05-148</t>
        </is>
      </c>
      <c r="D1205" s="23" t="inlineStr">
        <is>
          <t>1.5.1 Testing and Commissioning - Test Readiness</t>
        </is>
      </c>
      <c r="E1205" s="23" t="inlineStr">
        <is>
          <t>Carried forward</t>
        </is>
      </c>
      <c r="F1205" s="23" t="inlineStr"/>
      <c r="G1205" s="23" t="inlineStr">
        <is>
          <t>Source assignment -- not individually reviewed</t>
        </is>
      </c>
      <c r="H1205" s="14" t="inlineStr">
        <is>
          <t>10 EVIDENCE &amp; DECISIONS</t>
        </is>
      </c>
    </row>
    <row r="1206" ht="34" customHeight="1">
      <c r="A1206" s="23" t="inlineStr">
        <is>
          <t>R869-v2</t>
        </is>
      </c>
      <c r="B1206" s="23" t="inlineStr">
        <is>
          <t>Contractor Programme</t>
        </is>
      </c>
      <c r="C1206" s="23" t="inlineStr">
        <is>
          <t>SCH-05-149</t>
        </is>
      </c>
      <c r="D1206" s="23" t="inlineStr">
        <is>
          <t>1.5.1 Testing and Commissioning - Test Readiness</t>
        </is>
      </c>
      <c r="E1206" s="23" t="inlineStr">
        <is>
          <t>Carried forward</t>
        </is>
      </c>
      <c r="F1206" s="23" t="inlineStr"/>
      <c r="G1206" s="23" t="inlineStr">
        <is>
          <t>Source assignment -- not individually reviewed</t>
        </is>
      </c>
      <c r="H1206" s="14" t="inlineStr">
        <is>
          <t>10 EVIDENCE &amp; DECISIONS</t>
        </is>
      </c>
    </row>
    <row r="1207" ht="34" customHeight="1">
      <c r="A1207" s="23" t="inlineStr">
        <is>
          <t>R871-v2</t>
        </is>
      </c>
      <c r="B1207" s="23" t="inlineStr">
        <is>
          <t>Contractor Programme</t>
        </is>
      </c>
      <c r="C1207" s="23" t="inlineStr">
        <is>
          <t>SCH-05-151</t>
        </is>
      </c>
      <c r="D1207" s="23" t="inlineStr">
        <is>
          <t>1.5.1 Testing and Commissioning - Test Readiness</t>
        </is>
      </c>
      <c r="E1207" s="23" t="inlineStr">
        <is>
          <t>Carried forward</t>
        </is>
      </c>
      <c r="F1207" s="23" t="inlineStr"/>
      <c r="G1207" s="23" t="inlineStr">
        <is>
          <t>Source assignment -- not individually reviewed</t>
        </is>
      </c>
      <c r="H1207" s="14" t="inlineStr">
        <is>
          <t>10 EVIDENCE &amp; DECISIONS</t>
        </is>
      </c>
    </row>
    <row r="1208" ht="34" customHeight="1">
      <c r="A1208" s="23" t="inlineStr">
        <is>
          <t>R872-v2</t>
        </is>
      </c>
      <c r="B1208" s="23" t="inlineStr">
        <is>
          <t>Contractor Programme</t>
        </is>
      </c>
      <c r="C1208" s="23" t="inlineStr">
        <is>
          <t>SCH-05-152</t>
        </is>
      </c>
      <c r="D1208" s="23" t="inlineStr">
        <is>
          <t>1.5.1 Testing and Commissioning - Test Readiness</t>
        </is>
      </c>
      <c r="E1208" s="23" t="inlineStr">
        <is>
          <t>Carried forward</t>
        </is>
      </c>
      <c r="F1208" s="23" t="inlineStr"/>
      <c r="G1208" s="23" t="inlineStr">
        <is>
          <t>Source assignment -- not individually reviewed</t>
        </is>
      </c>
      <c r="H1208" s="14" t="inlineStr">
        <is>
          <t>10 EVIDENCE &amp; DECISIONS</t>
        </is>
      </c>
    </row>
    <row r="1209" ht="34" customHeight="1">
      <c r="A1209" s="23" t="inlineStr">
        <is>
          <t>R874-v2</t>
        </is>
      </c>
      <c r="B1209" s="23" t="inlineStr">
        <is>
          <t>Contractor Programme</t>
        </is>
      </c>
      <c r="C1209" s="23" t="inlineStr">
        <is>
          <t>SCH-05-154</t>
        </is>
      </c>
      <c r="D1209" s="23" t="inlineStr">
        <is>
          <t>1.5.1 Testing and Commissioning - Test Readiness</t>
        </is>
      </c>
      <c r="E1209" s="23" t="inlineStr">
        <is>
          <t>Carried forward</t>
        </is>
      </c>
      <c r="F1209" s="23" t="inlineStr"/>
      <c r="G1209" s="23" t="inlineStr">
        <is>
          <t>Source assignment -- not individually reviewed</t>
        </is>
      </c>
      <c r="H1209" s="14" t="inlineStr">
        <is>
          <t>10 EVIDENCE &amp; DECISIONS</t>
        </is>
      </c>
    </row>
    <row r="1210" ht="34" customHeight="1">
      <c r="A1210" s="23" t="inlineStr">
        <is>
          <t>R875-v2</t>
        </is>
      </c>
      <c r="B1210" s="23" t="inlineStr">
        <is>
          <t>Contractor Programme</t>
        </is>
      </c>
      <c r="C1210" s="23" t="inlineStr">
        <is>
          <t>SCH-05-155</t>
        </is>
      </c>
      <c r="D1210" s="23" t="inlineStr">
        <is>
          <t>1.5.1 Testing and Commissioning - Test Readiness</t>
        </is>
      </c>
      <c r="E1210" s="23" t="inlineStr">
        <is>
          <t>Carried forward</t>
        </is>
      </c>
      <c r="F1210" s="23" t="inlineStr"/>
      <c r="G1210" s="23" t="inlineStr">
        <is>
          <t>Source assignment -- not individually reviewed</t>
        </is>
      </c>
      <c r="H1210" s="14" t="inlineStr">
        <is>
          <t>10 EVIDENCE &amp; DECISIONS</t>
        </is>
      </c>
    </row>
    <row r="1211" ht="34" customHeight="1">
      <c r="A1211" s="23" t="inlineStr">
        <is>
          <t>R877-v2</t>
        </is>
      </c>
      <c r="B1211" s="23" t="inlineStr">
        <is>
          <t>Contractor Programme</t>
        </is>
      </c>
      <c r="C1211" s="23" t="inlineStr">
        <is>
          <t>SCH-05-157</t>
        </is>
      </c>
      <c r="D1211" s="23" t="inlineStr">
        <is>
          <t>1.5.1 Testing and Commissioning - Test Readiness</t>
        </is>
      </c>
      <c r="E1211" s="23" t="inlineStr">
        <is>
          <t>Carried forward</t>
        </is>
      </c>
      <c r="F1211" s="23" t="inlineStr"/>
      <c r="G1211" s="23" t="inlineStr">
        <is>
          <t>Source assignment -- not individually reviewed</t>
        </is>
      </c>
      <c r="H1211" s="14" t="inlineStr">
        <is>
          <t>10 EVIDENCE &amp; DECISIONS</t>
        </is>
      </c>
    </row>
    <row r="1212" ht="34" customHeight="1">
      <c r="A1212" s="23" t="inlineStr">
        <is>
          <t>R878-v2</t>
        </is>
      </c>
      <c r="B1212" s="23" t="inlineStr">
        <is>
          <t>Contractor Programme</t>
        </is>
      </c>
      <c r="C1212" s="23" t="inlineStr">
        <is>
          <t>SCH-05-158</t>
        </is>
      </c>
      <c r="D1212" s="23" t="inlineStr">
        <is>
          <t>1.5.1 Testing and Commissioning - Test Readiness</t>
        </is>
      </c>
      <c r="E1212" s="23" t="inlineStr">
        <is>
          <t>Carried forward</t>
        </is>
      </c>
      <c r="F1212" s="23" t="inlineStr"/>
      <c r="G1212" s="23" t="inlineStr">
        <is>
          <t>Source assignment -- not individually reviewed</t>
        </is>
      </c>
      <c r="H1212" s="14" t="inlineStr">
        <is>
          <t>10 EVIDENCE &amp; DECISIONS</t>
        </is>
      </c>
    </row>
    <row r="1213" ht="34" customHeight="1">
      <c r="A1213" s="23" t="inlineStr">
        <is>
          <t>R880-v2</t>
        </is>
      </c>
      <c r="B1213" s="23" t="inlineStr">
        <is>
          <t>Contractor Programme</t>
        </is>
      </c>
      <c r="C1213" s="23" t="inlineStr">
        <is>
          <t>SCH-05-160</t>
        </is>
      </c>
      <c r="D1213" s="23" t="inlineStr">
        <is>
          <t>1.5.1 Testing and Commissioning - Test Readiness</t>
        </is>
      </c>
      <c r="E1213" s="23" t="inlineStr">
        <is>
          <t>Carried forward</t>
        </is>
      </c>
      <c r="F1213" s="23" t="inlineStr"/>
      <c r="G1213" s="23" t="inlineStr">
        <is>
          <t>Source assignment -- not individually reviewed</t>
        </is>
      </c>
      <c r="H1213" s="14" t="inlineStr">
        <is>
          <t>10 EVIDENCE &amp; DECISIONS</t>
        </is>
      </c>
    </row>
    <row r="1214" ht="34" customHeight="1">
      <c r="A1214" s="23" t="inlineStr">
        <is>
          <t>R881-v2</t>
        </is>
      </c>
      <c r="B1214" s="23" t="inlineStr">
        <is>
          <t>Contractor Programme</t>
        </is>
      </c>
      <c r="C1214" s="23" t="inlineStr">
        <is>
          <t>SCH-05-161</t>
        </is>
      </c>
      <c r="D1214" s="23" t="inlineStr">
        <is>
          <t>1.5.1 Testing and Commissioning - Test Readiness</t>
        </is>
      </c>
      <c r="E1214" s="23" t="inlineStr">
        <is>
          <t>Carried forward</t>
        </is>
      </c>
      <c r="F1214" s="23" t="inlineStr"/>
      <c r="G1214" s="23" t="inlineStr">
        <is>
          <t>Source assignment -- not individually reviewed</t>
        </is>
      </c>
      <c r="H1214" s="14" t="inlineStr">
        <is>
          <t>10 EVIDENCE &amp; DECISIONS</t>
        </is>
      </c>
    </row>
    <row r="1215" ht="34" customHeight="1">
      <c r="A1215" s="23" t="inlineStr">
        <is>
          <t>R883-v2</t>
        </is>
      </c>
      <c r="B1215" s="23" t="inlineStr">
        <is>
          <t>Contractor Programme</t>
        </is>
      </c>
      <c r="C1215" s="23" t="inlineStr">
        <is>
          <t>SCH-05-163</t>
        </is>
      </c>
      <c r="D1215" s="23" t="inlineStr">
        <is>
          <t>1.5.1 Testing and Commissioning - Test Readiness</t>
        </is>
      </c>
      <c r="E1215" s="23" t="inlineStr">
        <is>
          <t>Carried forward</t>
        </is>
      </c>
      <c r="F1215" s="23" t="inlineStr"/>
      <c r="G1215" s="23" t="inlineStr">
        <is>
          <t>Source assignment -- not individually reviewed</t>
        </is>
      </c>
      <c r="H1215" s="14" t="inlineStr">
        <is>
          <t>10 EVIDENCE &amp; DECISIONS</t>
        </is>
      </c>
    </row>
    <row r="1216" ht="34" customHeight="1">
      <c r="A1216" s="23" t="inlineStr">
        <is>
          <t>R884-v2</t>
        </is>
      </c>
      <c r="B1216" s="23" t="inlineStr">
        <is>
          <t>Contractor Programme</t>
        </is>
      </c>
      <c r="C1216" s="23" t="inlineStr">
        <is>
          <t>SCH-05-164</t>
        </is>
      </c>
      <c r="D1216" s="23" t="inlineStr">
        <is>
          <t>1.5.1 Testing and Commissioning - Test Readiness</t>
        </is>
      </c>
      <c r="E1216" s="23" t="inlineStr">
        <is>
          <t>Carried forward</t>
        </is>
      </c>
      <c r="F1216" s="23" t="inlineStr"/>
      <c r="G1216" s="23" t="inlineStr">
        <is>
          <t>Source assignment -- not individually reviewed</t>
        </is>
      </c>
      <c r="H1216" s="14" t="inlineStr">
        <is>
          <t>10 EVIDENCE &amp; DECISIONS</t>
        </is>
      </c>
    </row>
    <row r="1217" ht="34" customHeight="1">
      <c r="A1217" s="23" t="inlineStr">
        <is>
          <t>R886-v2</t>
        </is>
      </c>
      <c r="B1217" s="23" t="inlineStr">
        <is>
          <t>Contractor Programme</t>
        </is>
      </c>
      <c r="C1217" s="23" t="inlineStr">
        <is>
          <t>SCH-05-166</t>
        </is>
      </c>
      <c r="D1217" s="23" t="inlineStr">
        <is>
          <t>1.5.1 Testing and Commissioning - Test Readiness</t>
        </is>
      </c>
      <c r="E1217" s="23" t="inlineStr">
        <is>
          <t>Carried forward</t>
        </is>
      </c>
      <c r="F1217" s="23" t="inlineStr"/>
      <c r="G1217" s="23" t="inlineStr">
        <is>
          <t>Source assignment -- not individually reviewed</t>
        </is>
      </c>
      <c r="H1217" s="14" t="inlineStr">
        <is>
          <t>10 EVIDENCE &amp; DECISIONS</t>
        </is>
      </c>
    </row>
    <row r="1218" ht="34" customHeight="1">
      <c r="A1218" s="23" t="inlineStr">
        <is>
          <t>R887-v2</t>
        </is>
      </c>
      <c r="B1218" s="23" t="inlineStr">
        <is>
          <t>Contractor Programme</t>
        </is>
      </c>
      <c r="C1218" s="23" t="inlineStr">
        <is>
          <t>SCH-05-167</t>
        </is>
      </c>
      <c r="D1218" s="23" t="inlineStr">
        <is>
          <t>1.5.1 Testing and Commissioning - Test Readiness</t>
        </is>
      </c>
      <c r="E1218" s="23" t="inlineStr">
        <is>
          <t>Carried forward</t>
        </is>
      </c>
      <c r="F1218" s="23" t="inlineStr"/>
      <c r="G1218" s="23" t="inlineStr">
        <is>
          <t>Source assignment -- not individually reviewed</t>
        </is>
      </c>
      <c r="H1218" s="14" t="inlineStr">
        <is>
          <t>10 EVIDENCE &amp; DECISIONS</t>
        </is>
      </c>
    </row>
    <row r="1219" ht="34" customHeight="1">
      <c r="A1219" s="23" t="inlineStr">
        <is>
          <t>R889-v2</t>
        </is>
      </c>
      <c r="B1219" s="23" t="inlineStr">
        <is>
          <t>Contractor Programme</t>
        </is>
      </c>
      <c r="C1219" s="23" t="inlineStr">
        <is>
          <t>SCH-05-169</t>
        </is>
      </c>
      <c r="D1219" s="23" t="inlineStr">
        <is>
          <t>1.5.1 Testing and Commissioning - Test Readiness</t>
        </is>
      </c>
      <c r="E1219" s="23" t="inlineStr">
        <is>
          <t>Carried forward</t>
        </is>
      </c>
      <c r="F1219" s="23" t="inlineStr"/>
      <c r="G1219" s="23" t="inlineStr">
        <is>
          <t>Source assignment -- not individually reviewed</t>
        </is>
      </c>
      <c r="H1219" s="14" t="inlineStr">
        <is>
          <t>10 EVIDENCE &amp; DECISIONS</t>
        </is>
      </c>
    </row>
    <row r="1220" ht="34" customHeight="1">
      <c r="A1220" s="23" t="inlineStr">
        <is>
          <t>R890-v2</t>
        </is>
      </c>
      <c r="B1220" s="23" t="inlineStr">
        <is>
          <t>Contractor Programme</t>
        </is>
      </c>
      <c r="C1220" s="23" t="inlineStr">
        <is>
          <t>SCH-05-170</t>
        </is>
      </c>
      <c r="D1220" s="23" t="inlineStr">
        <is>
          <t>1.5.1 Testing and Commissioning - Test Readiness</t>
        </is>
      </c>
      <c r="E1220" s="23" t="inlineStr">
        <is>
          <t>Carried forward</t>
        </is>
      </c>
      <c r="F1220" s="23" t="inlineStr"/>
      <c r="G1220" s="23" t="inlineStr">
        <is>
          <t>Source assignment -- not individually reviewed</t>
        </is>
      </c>
      <c r="H1220" s="14" t="inlineStr">
        <is>
          <t>10 EVIDENCE &amp; DECISIONS</t>
        </is>
      </c>
    </row>
    <row r="1221" ht="34" customHeight="1">
      <c r="A1221" s="23" t="inlineStr">
        <is>
          <t>R892-v2</t>
        </is>
      </c>
      <c r="B1221" s="23" t="inlineStr">
        <is>
          <t>Contractor Programme</t>
        </is>
      </c>
      <c r="C1221" s="23" t="inlineStr">
        <is>
          <t>SCH-05-172</t>
        </is>
      </c>
      <c r="D1221" s="23" t="inlineStr">
        <is>
          <t>1.5.1 Testing and Commissioning - Test Readiness</t>
        </is>
      </c>
      <c r="E1221" s="23" t="inlineStr">
        <is>
          <t>Carried forward</t>
        </is>
      </c>
      <c r="F1221" s="23" t="inlineStr"/>
      <c r="G1221" s="23" t="inlineStr">
        <is>
          <t>Source assignment -- not individually reviewed</t>
        </is>
      </c>
      <c r="H1221" s="14" t="inlineStr">
        <is>
          <t>10 EVIDENCE &amp; DECISIONS</t>
        </is>
      </c>
    </row>
    <row r="1222" ht="34" customHeight="1">
      <c r="A1222" s="23" t="inlineStr">
        <is>
          <t>R893-v2</t>
        </is>
      </c>
      <c r="B1222" s="23" t="inlineStr">
        <is>
          <t>Contractor Programme</t>
        </is>
      </c>
      <c r="C1222" s="23" t="inlineStr">
        <is>
          <t>SCH-05-173</t>
        </is>
      </c>
      <c r="D1222" s="23" t="inlineStr">
        <is>
          <t>1.5.1 Testing and Commissioning - Test Readiness</t>
        </is>
      </c>
      <c r="E1222" s="23" t="inlineStr">
        <is>
          <t>Carried forward</t>
        </is>
      </c>
      <c r="F1222" s="23" t="inlineStr"/>
      <c r="G1222" s="23" t="inlineStr">
        <is>
          <t>Source assignment -- not individually reviewed</t>
        </is>
      </c>
      <c r="H1222" s="14" t="inlineStr">
        <is>
          <t>10 EVIDENCE &amp; DECISIONS</t>
        </is>
      </c>
    </row>
    <row r="1223" ht="34" customHeight="1">
      <c r="A1223" s="23" t="inlineStr">
        <is>
          <t>R895-v2</t>
        </is>
      </c>
      <c r="B1223" s="23" t="inlineStr">
        <is>
          <t>Contractor Programme</t>
        </is>
      </c>
      <c r="C1223" s="23" t="inlineStr">
        <is>
          <t>SCH-05-175</t>
        </is>
      </c>
      <c r="D1223" s="23" t="inlineStr">
        <is>
          <t>1.5.1 Testing and Commissioning - Test Readiness</t>
        </is>
      </c>
      <c r="E1223" s="23" t="inlineStr">
        <is>
          <t>Carried forward</t>
        </is>
      </c>
      <c r="F1223" s="23" t="inlineStr"/>
      <c r="G1223" s="23" t="inlineStr">
        <is>
          <t>Source assignment -- not individually reviewed</t>
        </is>
      </c>
      <c r="H1223" s="14" t="inlineStr">
        <is>
          <t>10 EVIDENCE &amp; DECISIONS</t>
        </is>
      </c>
    </row>
    <row r="1224" ht="34" customHeight="1">
      <c r="A1224" s="23" t="inlineStr">
        <is>
          <t>R896-v2</t>
        </is>
      </c>
      <c r="B1224" s="23" t="inlineStr">
        <is>
          <t>Contractor Programme</t>
        </is>
      </c>
      <c r="C1224" s="23" t="inlineStr">
        <is>
          <t>SCH-05-176</t>
        </is>
      </c>
      <c r="D1224" s="23" t="inlineStr">
        <is>
          <t>1.5.1 Testing and Commissioning - Test Readiness</t>
        </is>
      </c>
      <c r="E1224" s="23" t="inlineStr">
        <is>
          <t>Carried forward</t>
        </is>
      </c>
      <c r="F1224" s="23" t="inlineStr"/>
      <c r="G1224" s="23" t="inlineStr">
        <is>
          <t>Source assignment -- not individually reviewed</t>
        </is>
      </c>
      <c r="H1224" s="14" t="inlineStr">
        <is>
          <t>10 EVIDENCE &amp; DECISIONS</t>
        </is>
      </c>
    </row>
    <row r="1225" ht="34" customHeight="1">
      <c r="A1225" s="23" t="inlineStr">
        <is>
          <t>R898-v2</t>
        </is>
      </c>
      <c r="B1225" s="23" t="inlineStr">
        <is>
          <t>Contractor Programme</t>
        </is>
      </c>
      <c r="C1225" s="23" t="inlineStr">
        <is>
          <t>SCH-05-178</t>
        </is>
      </c>
      <c r="D1225" s="23" t="inlineStr">
        <is>
          <t>1.5.1 Testing and Commissioning - Test Readiness</t>
        </is>
      </c>
      <c r="E1225" s="23" t="inlineStr">
        <is>
          <t>Carried forward</t>
        </is>
      </c>
      <c r="F1225" s="23" t="inlineStr"/>
      <c r="G1225" s="23" t="inlineStr">
        <is>
          <t>Source assignment -- not individually reviewed</t>
        </is>
      </c>
      <c r="H1225" s="14" t="inlineStr">
        <is>
          <t>10 EVIDENCE &amp; DECISIONS</t>
        </is>
      </c>
    </row>
    <row r="1226" ht="34" customHeight="1">
      <c r="A1226" s="23" t="inlineStr">
        <is>
          <t>R899-v2</t>
        </is>
      </c>
      <c r="B1226" s="23" t="inlineStr">
        <is>
          <t>Contractor Programme</t>
        </is>
      </c>
      <c r="C1226" s="23" t="inlineStr">
        <is>
          <t>SCH-05-179</t>
        </is>
      </c>
      <c r="D1226" s="23" t="inlineStr">
        <is>
          <t>1.5.1 Testing and Commissioning - Test Readiness</t>
        </is>
      </c>
      <c r="E1226" s="23" t="inlineStr">
        <is>
          <t>Carried forward</t>
        </is>
      </c>
      <c r="F1226" s="23" t="inlineStr"/>
      <c r="G1226" s="23" t="inlineStr">
        <is>
          <t>Source assignment -- not individually reviewed</t>
        </is>
      </c>
      <c r="H1226" s="14" t="inlineStr">
        <is>
          <t>10 EVIDENCE &amp; DECISIONS</t>
        </is>
      </c>
    </row>
    <row r="1227" ht="49" customHeight="1">
      <c r="A1227" s="23" t="inlineStr">
        <is>
          <t>R723-v2</t>
        </is>
      </c>
      <c r="B1227" s="23" t="inlineStr">
        <is>
          <t>Contractor Programme</t>
        </is>
      </c>
      <c r="C1227" s="23" t="inlineStr">
        <is>
          <t>SCH-05-003</t>
        </is>
      </c>
      <c r="D1227" s="23" t="inlineStr">
        <is>
          <t>1.5.2 Testing and Commissioning - Dynamic Testing</t>
        </is>
      </c>
      <c r="E1227" s="23" t="inlineStr">
        <is>
          <t>Carried forward</t>
        </is>
      </c>
      <c r="F1227" s="23" t="inlineStr"/>
      <c r="G1227" s="23" t="inlineStr">
        <is>
          <t>Source assignment -- not individually reviewed</t>
        </is>
      </c>
      <c r="H1227" s="14" t="inlineStr">
        <is>
          <t>10 EVIDENCE &amp; DECISIONS</t>
        </is>
      </c>
    </row>
    <row r="1228" ht="49" customHeight="1">
      <c r="A1228" s="23" t="inlineStr">
        <is>
          <t>R726-v2</t>
        </is>
      </c>
      <c r="B1228" s="23" t="inlineStr">
        <is>
          <t>Contractor Programme</t>
        </is>
      </c>
      <c r="C1228" s="23" t="inlineStr">
        <is>
          <t>SCH-05-006</t>
        </is>
      </c>
      <c r="D1228" s="23" t="inlineStr">
        <is>
          <t>1.5.2 Testing and Commissioning - Dynamic Testing</t>
        </is>
      </c>
      <c r="E1228" s="23" t="inlineStr">
        <is>
          <t>Carried forward</t>
        </is>
      </c>
      <c r="F1228" s="23" t="inlineStr"/>
      <c r="G1228" s="23" t="inlineStr">
        <is>
          <t>Source assignment -- not individually reviewed</t>
        </is>
      </c>
      <c r="H1228" s="14" t="inlineStr">
        <is>
          <t>10 EVIDENCE &amp; DECISIONS</t>
        </is>
      </c>
    </row>
    <row r="1229" ht="49" customHeight="1">
      <c r="A1229" s="23" t="inlineStr">
        <is>
          <t>R729-v2</t>
        </is>
      </c>
      <c r="B1229" s="23" t="inlineStr">
        <is>
          <t>Contractor Programme</t>
        </is>
      </c>
      <c r="C1229" s="23" t="inlineStr">
        <is>
          <t>SCH-05-009</t>
        </is>
      </c>
      <c r="D1229" s="23" t="inlineStr">
        <is>
          <t>1.5.2 Testing and Commissioning - Dynamic Testing</t>
        </is>
      </c>
      <c r="E1229" s="23" t="inlineStr">
        <is>
          <t>Carried forward</t>
        </is>
      </c>
      <c r="F1229" s="23" t="inlineStr"/>
      <c r="G1229" s="23" t="inlineStr">
        <is>
          <t>Source assignment -- not individually reviewed</t>
        </is>
      </c>
      <c r="H1229" s="14" t="inlineStr">
        <is>
          <t>10 EVIDENCE &amp; DECISIONS</t>
        </is>
      </c>
    </row>
    <row r="1230" ht="49" customHeight="1">
      <c r="A1230" s="23" t="inlineStr">
        <is>
          <t>R732-v2</t>
        </is>
      </c>
      <c r="B1230" s="23" t="inlineStr">
        <is>
          <t>Contractor Programme</t>
        </is>
      </c>
      <c r="C1230" s="23" t="inlineStr">
        <is>
          <t>SCH-05-012</t>
        </is>
      </c>
      <c r="D1230" s="23" t="inlineStr">
        <is>
          <t>1.5.2 Testing and Commissioning - Dynamic Testing</t>
        </is>
      </c>
      <c r="E1230" s="23" t="inlineStr">
        <is>
          <t>Carried forward</t>
        </is>
      </c>
      <c r="F1230" s="23" t="inlineStr"/>
      <c r="G1230" s="23" t="inlineStr">
        <is>
          <t>Source assignment -- not individually reviewed</t>
        </is>
      </c>
      <c r="H1230" s="14" t="inlineStr">
        <is>
          <t>10 EVIDENCE &amp; DECISIONS</t>
        </is>
      </c>
    </row>
    <row r="1231" ht="49" customHeight="1">
      <c r="A1231" s="23" t="inlineStr">
        <is>
          <t>R735-v2</t>
        </is>
      </c>
      <c r="B1231" s="23" t="inlineStr">
        <is>
          <t>Contractor Programme</t>
        </is>
      </c>
      <c r="C1231" s="23" t="inlineStr">
        <is>
          <t>SCH-05-015</t>
        </is>
      </c>
      <c r="D1231" s="23" t="inlineStr">
        <is>
          <t>1.5.2 Testing and Commissioning - Dynamic Testing</t>
        </is>
      </c>
      <c r="E1231" s="23" t="inlineStr">
        <is>
          <t>Carried forward</t>
        </is>
      </c>
      <c r="F1231" s="23" t="inlineStr"/>
      <c r="G1231" s="23" t="inlineStr">
        <is>
          <t>Source assignment -- not individually reviewed</t>
        </is>
      </c>
      <c r="H1231" s="14" t="inlineStr">
        <is>
          <t>10 EVIDENCE &amp; DECISIONS</t>
        </is>
      </c>
    </row>
    <row r="1232" ht="49" customHeight="1">
      <c r="A1232" s="23" t="inlineStr">
        <is>
          <t>R738-v2</t>
        </is>
      </c>
      <c r="B1232" s="23" t="inlineStr">
        <is>
          <t>Contractor Programme</t>
        </is>
      </c>
      <c r="C1232" s="23" t="inlineStr">
        <is>
          <t>SCH-05-018</t>
        </is>
      </c>
      <c r="D1232" s="23" t="inlineStr">
        <is>
          <t>1.5.2 Testing and Commissioning - Dynamic Testing</t>
        </is>
      </c>
      <c r="E1232" s="23" t="inlineStr">
        <is>
          <t>Carried forward</t>
        </is>
      </c>
      <c r="F1232" s="23" t="inlineStr"/>
      <c r="G1232" s="23" t="inlineStr">
        <is>
          <t>Source assignment -- not individually reviewed</t>
        </is>
      </c>
      <c r="H1232" s="14" t="inlineStr">
        <is>
          <t>10 EVIDENCE &amp; DECISIONS</t>
        </is>
      </c>
    </row>
    <row r="1233" ht="49" customHeight="1">
      <c r="A1233" s="23" t="inlineStr">
        <is>
          <t>R741-v2</t>
        </is>
      </c>
      <c r="B1233" s="23" t="inlineStr">
        <is>
          <t>Contractor Programme</t>
        </is>
      </c>
      <c r="C1233" s="23" t="inlineStr">
        <is>
          <t>SCH-05-021</t>
        </is>
      </c>
      <c r="D1233" s="23" t="inlineStr">
        <is>
          <t>1.5.2 Testing and Commissioning - Dynamic Testing</t>
        </is>
      </c>
      <c r="E1233" s="23" t="inlineStr">
        <is>
          <t>Carried forward</t>
        </is>
      </c>
      <c r="F1233" s="23" t="inlineStr"/>
      <c r="G1233" s="23" t="inlineStr">
        <is>
          <t>Source assignment -- not individually reviewed</t>
        </is>
      </c>
      <c r="H1233" s="14" t="inlineStr">
        <is>
          <t>10 EVIDENCE &amp; DECISIONS</t>
        </is>
      </c>
    </row>
    <row r="1234" ht="49" customHeight="1">
      <c r="A1234" s="23" t="inlineStr">
        <is>
          <t>R744-v2</t>
        </is>
      </c>
      <c r="B1234" s="23" t="inlineStr">
        <is>
          <t>Contractor Programme</t>
        </is>
      </c>
      <c r="C1234" s="23" t="inlineStr">
        <is>
          <t>SCH-05-024</t>
        </is>
      </c>
      <c r="D1234" s="23" t="inlineStr">
        <is>
          <t>1.5.2 Testing and Commissioning - Dynamic Testing</t>
        </is>
      </c>
      <c r="E1234" s="23" t="inlineStr">
        <is>
          <t>Carried forward</t>
        </is>
      </c>
      <c r="F1234" s="23" t="inlineStr"/>
      <c r="G1234" s="23" t="inlineStr">
        <is>
          <t>Source assignment -- not individually reviewed</t>
        </is>
      </c>
      <c r="H1234" s="14" t="inlineStr">
        <is>
          <t>10 EVIDENCE &amp; DECISIONS</t>
        </is>
      </c>
    </row>
    <row r="1235" ht="49" customHeight="1">
      <c r="A1235" s="23" t="inlineStr">
        <is>
          <t>R747-v2</t>
        </is>
      </c>
      <c r="B1235" s="23" t="inlineStr">
        <is>
          <t>Contractor Programme</t>
        </is>
      </c>
      <c r="C1235" s="23" t="inlineStr">
        <is>
          <t>SCH-05-027</t>
        </is>
      </c>
      <c r="D1235" s="23" t="inlineStr">
        <is>
          <t>1.5.2 Testing and Commissioning - Dynamic Testing</t>
        </is>
      </c>
      <c r="E1235" s="23" t="inlineStr">
        <is>
          <t>Carried forward</t>
        </is>
      </c>
      <c r="F1235" s="23" t="inlineStr"/>
      <c r="G1235" s="23" t="inlineStr">
        <is>
          <t>Source assignment -- not individually reviewed</t>
        </is>
      </c>
      <c r="H1235" s="14" t="inlineStr">
        <is>
          <t>10 EVIDENCE &amp; DECISIONS</t>
        </is>
      </c>
    </row>
    <row r="1236" ht="49" customHeight="1">
      <c r="A1236" s="23" t="inlineStr">
        <is>
          <t>R750-v2</t>
        </is>
      </c>
      <c r="B1236" s="23" t="inlineStr">
        <is>
          <t>Contractor Programme</t>
        </is>
      </c>
      <c r="C1236" s="23" t="inlineStr">
        <is>
          <t>SCH-05-030</t>
        </is>
      </c>
      <c r="D1236" s="23" t="inlineStr">
        <is>
          <t>1.5.2 Testing and Commissioning - Dynamic Testing</t>
        </is>
      </c>
      <c r="E1236" s="23" t="inlineStr">
        <is>
          <t>Carried forward</t>
        </is>
      </c>
      <c r="F1236" s="23" t="inlineStr"/>
      <c r="G1236" s="23" t="inlineStr">
        <is>
          <t>Source assignment -- not individually reviewed</t>
        </is>
      </c>
      <c r="H1236" s="14" t="inlineStr">
        <is>
          <t>10 EVIDENCE &amp; DECISIONS</t>
        </is>
      </c>
    </row>
    <row r="1237" ht="49" customHeight="1">
      <c r="A1237" s="23" t="inlineStr">
        <is>
          <t>R753-v2</t>
        </is>
      </c>
      <c r="B1237" s="23" t="inlineStr">
        <is>
          <t>Contractor Programme</t>
        </is>
      </c>
      <c r="C1237" s="23" t="inlineStr">
        <is>
          <t>SCH-05-033</t>
        </is>
      </c>
      <c r="D1237" s="23" t="inlineStr">
        <is>
          <t>1.5.2 Testing and Commissioning - Dynamic Testing</t>
        </is>
      </c>
      <c r="E1237" s="23" t="inlineStr">
        <is>
          <t>Carried forward</t>
        </is>
      </c>
      <c r="F1237" s="23" t="inlineStr"/>
      <c r="G1237" s="23" t="inlineStr">
        <is>
          <t>Source assignment -- not individually reviewed</t>
        </is>
      </c>
      <c r="H1237" s="14" t="inlineStr">
        <is>
          <t>10 EVIDENCE &amp; DECISIONS</t>
        </is>
      </c>
    </row>
    <row r="1238" ht="49" customHeight="1">
      <c r="A1238" s="23" t="inlineStr">
        <is>
          <t>R756-v2</t>
        </is>
      </c>
      <c r="B1238" s="23" t="inlineStr">
        <is>
          <t>Contractor Programme</t>
        </is>
      </c>
      <c r="C1238" s="23" t="inlineStr">
        <is>
          <t>SCH-05-036</t>
        </is>
      </c>
      <c r="D1238" s="23" t="inlineStr">
        <is>
          <t>1.5.2 Testing and Commissioning - Dynamic Testing</t>
        </is>
      </c>
      <c r="E1238" s="23" t="inlineStr">
        <is>
          <t>Carried forward</t>
        </is>
      </c>
      <c r="F1238" s="23" t="inlineStr"/>
      <c r="G1238" s="23" t="inlineStr">
        <is>
          <t>Source assignment -- not individually reviewed</t>
        </is>
      </c>
      <c r="H1238" s="14" t="inlineStr">
        <is>
          <t>10 EVIDENCE &amp; DECISIONS</t>
        </is>
      </c>
    </row>
    <row r="1239" ht="49" customHeight="1">
      <c r="A1239" s="23" t="inlineStr">
        <is>
          <t>R759-v2</t>
        </is>
      </c>
      <c r="B1239" s="23" t="inlineStr">
        <is>
          <t>Contractor Programme</t>
        </is>
      </c>
      <c r="C1239" s="23" t="inlineStr">
        <is>
          <t>SCH-05-039</t>
        </is>
      </c>
      <c r="D1239" s="23" t="inlineStr">
        <is>
          <t>1.5.2 Testing and Commissioning - Dynamic Testing</t>
        </is>
      </c>
      <c r="E1239" s="23" t="inlineStr">
        <is>
          <t>Carried forward</t>
        </is>
      </c>
      <c r="F1239" s="23" t="inlineStr"/>
      <c r="G1239" s="23" t="inlineStr">
        <is>
          <t>Source assignment -- not individually reviewed</t>
        </is>
      </c>
      <c r="H1239" s="14" t="inlineStr">
        <is>
          <t>10 EVIDENCE &amp; DECISIONS</t>
        </is>
      </c>
    </row>
    <row r="1240" ht="49" customHeight="1">
      <c r="A1240" s="23" t="inlineStr">
        <is>
          <t>R762-v2</t>
        </is>
      </c>
      <c r="B1240" s="23" t="inlineStr">
        <is>
          <t>Contractor Programme</t>
        </is>
      </c>
      <c r="C1240" s="23" t="inlineStr">
        <is>
          <t>SCH-05-042</t>
        </is>
      </c>
      <c r="D1240" s="23" t="inlineStr">
        <is>
          <t>1.5.2 Testing and Commissioning - Dynamic Testing</t>
        </is>
      </c>
      <c r="E1240" s="23" t="inlineStr">
        <is>
          <t>Carried forward</t>
        </is>
      </c>
      <c r="F1240" s="23" t="inlineStr"/>
      <c r="G1240" s="23" t="inlineStr">
        <is>
          <t>Source assignment -- not individually reviewed</t>
        </is>
      </c>
      <c r="H1240" s="14" t="inlineStr">
        <is>
          <t>10 EVIDENCE &amp; DECISIONS</t>
        </is>
      </c>
    </row>
    <row r="1241" ht="49" customHeight="1">
      <c r="A1241" s="23" t="inlineStr">
        <is>
          <t>R765-v2</t>
        </is>
      </c>
      <c r="B1241" s="23" t="inlineStr">
        <is>
          <t>Contractor Programme</t>
        </is>
      </c>
      <c r="C1241" s="23" t="inlineStr">
        <is>
          <t>SCH-05-045</t>
        </is>
      </c>
      <c r="D1241" s="23" t="inlineStr">
        <is>
          <t>1.5.2 Testing and Commissioning - Dynamic Testing</t>
        </is>
      </c>
      <c r="E1241" s="23" t="inlineStr">
        <is>
          <t>Carried forward</t>
        </is>
      </c>
      <c r="F1241" s="23" t="inlineStr"/>
      <c r="G1241" s="23" t="inlineStr">
        <is>
          <t>Source assignment -- not individually reviewed</t>
        </is>
      </c>
      <c r="H1241" s="14" t="inlineStr">
        <is>
          <t>10 EVIDENCE &amp; DECISIONS</t>
        </is>
      </c>
    </row>
    <row r="1242" ht="49" customHeight="1">
      <c r="A1242" s="23" t="inlineStr">
        <is>
          <t>R768-v2</t>
        </is>
      </c>
      <c r="B1242" s="23" t="inlineStr">
        <is>
          <t>Contractor Programme</t>
        </is>
      </c>
      <c r="C1242" s="23" t="inlineStr">
        <is>
          <t>SCH-05-048</t>
        </is>
      </c>
      <c r="D1242" s="23" t="inlineStr">
        <is>
          <t>1.5.2 Testing and Commissioning - Dynamic Testing</t>
        </is>
      </c>
      <c r="E1242" s="23" t="inlineStr">
        <is>
          <t>Carried forward</t>
        </is>
      </c>
      <c r="F1242" s="23" t="inlineStr"/>
      <c r="G1242" s="23" t="inlineStr">
        <is>
          <t>Source assignment -- not individually reviewed</t>
        </is>
      </c>
      <c r="H1242" s="14" t="inlineStr">
        <is>
          <t>10 EVIDENCE &amp; DECISIONS</t>
        </is>
      </c>
    </row>
    <row r="1243" ht="49" customHeight="1">
      <c r="A1243" s="23" t="inlineStr">
        <is>
          <t>R771-v2</t>
        </is>
      </c>
      <c r="B1243" s="23" t="inlineStr">
        <is>
          <t>Contractor Programme</t>
        </is>
      </c>
      <c r="C1243" s="23" t="inlineStr">
        <is>
          <t>SCH-05-051</t>
        </is>
      </c>
      <c r="D1243" s="23" t="inlineStr">
        <is>
          <t>1.5.2 Testing and Commissioning - Dynamic Testing</t>
        </is>
      </c>
      <c r="E1243" s="23" t="inlineStr">
        <is>
          <t>Carried forward</t>
        </is>
      </c>
      <c r="F1243" s="23" t="inlineStr"/>
      <c r="G1243" s="23" t="inlineStr">
        <is>
          <t>Source assignment -- not individually reviewed</t>
        </is>
      </c>
      <c r="H1243" s="14" t="inlineStr">
        <is>
          <t>10 EVIDENCE &amp; DECISIONS</t>
        </is>
      </c>
    </row>
    <row r="1244" ht="49" customHeight="1">
      <c r="A1244" s="23" t="inlineStr">
        <is>
          <t>R774-v2</t>
        </is>
      </c>
      <c r="B1244" s="23" t="inlineStr">
        <is>
          <t>Contractor Programme</t>
        </is>
      </c>
      <c r="C1244" s="23" t="inlineStr">
        <is>
          <t>SCH-05-054</t>
        </is>
      </c>
      <c r="D1244" s="23" t="inlineStr">
        <is>
          <t>1.5.2 Testing and Commissioning - Dynamic Testing</t>
        </is>
      </c>
      <c r="E1244" s="23" t="inlineStr">
        <is>
          <t>Carried forward</t>
        </is>
      </c>
      <c r="F1244" s="23" t="inlineStr"/>
      <c r="G1244" s="23" t="inlineStr">
        <is>
          <t>Source assignment -- not individually reviewed</t>
        </is>
      </c>
      <c r="H1244" s="14" t="inlineStr">
        <is>
          <t>10 EVIDENCE &amp; DECISIONS</t>
        </is>
      </c>
    </row>
    <row r="1245" ht="49" customHeight="1">
      <c r="A1245" s="23" t="inlineStr">
        <is>
          <t>R777-v2</t>
        </is>
      </c>
      <c r="B1245" s="23" t="inlineStr">
        <is>
          <t>Contractor Programme</t>
        </is>
      </c>
      <c r="C1245" s="23" t="inlineStr">
        <is>
          <t>SCH-05-057</t>
        </is>
      </c>
      <c r="D1245" s="23" t="inlineStr">
        <is>
          <t>1.5.2 Testing and Commissioning - Dynamic Testing</t>
        </is>
      </c>
      <c r="E1245" s="23" t="inlineStr">
        <is>
          <t>Carried forward</t>
        </is>
      </c>
      <c r="F1245" s="23" t="inlineStr"/>
      <c r="G1245" s="23" t="inlineStr">
        <is>
          <t>Source assignment -- not individually reviewed</t>
        </is>
      </c>
      <c r="H1245" s="14" t="inlineStr">
        <is>
          <t>10 EVIDENCE &amp; DECISIONS</t>
        </is>
      </c>
    </row>
    <row r="1246" ht="49" customHeight="1">
      <c r="A1246" s="23" t="inlineStr">
        <is>
          <t>R780-v2</t>
        </is>
      </c>
      <c r="B1246" s="23" t="inlineStr">
        <is>
          <t>Contractor Programme</t>
        </is>
      </c>
      <c r="C1246" s="23" t="inlineStr">
        <is>
          <t>SCH-05-060</t>
        </is>
      </c>
      <c r="D1246" s="23" t="inlineStr">
        <is>
          <t>1.5.2 Testing and Commissioning - Dynamic Testing</t>
        </is>
      </c>
      <c r="E1246" s="23" t="inlineStr">
        <is>
          <t>Carried forward</t>
        </is>
      </c>
      <c r="F1246" s="23" t="inlineStr"/>
      <c r="G1246" s="23" t="inlineStr">
        <is>
          <t>Source assignment -- not individually reviewed</t>
        </is>
      </c>
      <c r="H1246" s="14" t="inlineStr">
        <is>
          <t>10 EVIDENCE &amp; DECISIONS</t>
        </is>
      </c>
    </row>
    <row r="1247" ht="49" customHeight="1">
      <c r="A1247" s="23" t="inlineStr">
        <is>
          <t>R783-v2</t>
        </is>
      </c>
      <c r="B1247" s="23" t="inlineStr">
        <is>
          <t>Contractor Programme</t>
        </is>
      </c>
      <c r="C1247" s="23" t="inlineStr">
        <is>
          <t>SCH-05-063</t>
        </is>
      </c>
      <c r="D1247" s="23" t="inlineStr">
        <is>
          <t>1.5.2 Testing and Commissioning - Dynamic Testing</t>
        </is>
      </c>
      <c r="E1247" s="23" t="inlineStr">
        <is>
          <t>Carried forward</t>
        </is>
      </c>
      <c r="F1247" s="23" t="inlineStr"/>
      <c r="G1247" s="23" t="inlineStr">
        <is>
          <t>Source assignment -- not individually reviewed</t>
        </is>
      </c>
      <c r="H1247" s="14" t="inlineStr">
        <is>
          <t>10 EVIDENCE &amp; DECISIONS</t>
        </is>
      </c>
    </row>
    <row r="1248" ht="49" customHeight="1">
      <c r="A1248" s="23" t="inlineStr">
        <is>
          <t>R786-v2</t>
        </is>
      </c>
      <c r="B1248" s="23" t="inlineStr">
        <is>
          <t>Contractor Programme</t>
        </is>
      </c>
      <c r="C1248" s="23" t="inlineStr">
        <is>
          <t>SCH-05-066</t>
        </is>
      </c>
      <c r="D1248" s="23" t="inlineStr">
        <is>
          <t>1.5.2 Testing and Commissioning - Dynamic Testing</t>
        </is>
      </c>
      <c r="E1248" s="23" t="inlineStr">
        <is>
          <t>Carried forward</t>
        </is>
      </c>
      <c r="F1248" s="23" t="inlineStr"/>
      <c r="G1248" s="23" t="inlineStr">
        <is>
          <t>Source assignment -- not individually reviewed</t>
        </is>
      </c>
      <c r="H1248" s="14" t="inlineStr">
        <is>
          <t>10 EVIDENCE &amp; DECISIONS</t>
        </is>
      </c>
    </row>
    <row r="1249" ht="49" customHeight="1">
      <c r="A1249" s="23" t="inlineStr">
        <is>
          <t>R789-v2</t>
        </is>
      </c>
      <c r="B1249" s="23" t="inlineStr">
        <is>
          <t>Contractor Programme</t>
        </is>
      </c>
      <c r="C1249" s="23" t="inlineStr">
        <is>
          <t>SCH-05-069</t>
        </is>
      </c>
      <c r="D1249" s="23" t="inlineStr">
        <is>
          <t>1.5.2 Testing and Commissioning - Dynamic Testing</t>
        </is>
      </c>
      <c r="E1249" s="23" t="inlineStr">
        <is>
          <t>Carried forward</t>
        </is>
      </c>
      <c r="F1249" s="23" t="inlineStr"/>
      <c r="G1249" s="23" t="inlineStr">
        <is>
          <t>Source assignment -- not individually reviewed</t>
        </is>
      </c>
      <c r="H1249" s="14" t="inlineStr">
        <is>
          <t>10 EVIDENCE &amp; DECISIONS</t>
        </is>
      </c>
    </row>
    <row r="1250" ht="49" customHeight="1">
      <c r="A1250" s="23" t="inlineStr">
        <is>
          <t>R792-v2</t>
        </is>
      </c>
      <c r="B1250" s="23" t="inlineStr">
        <is>
          <t>Contractor Programme</t>
        </is>
      </c>
      <c r="C1250" s="23" t="inlineStr">
        <is>
          <t>SCH-05-072</t>
        </is>
      </c>
      <c r="D1250" s="23" t="inlineStr">
        <is>
          <t>1.5.2 Testing and Commissioning - Dynamic Testing</t>
        </is>
      </c>
      <c r="E1250" s="23" t="inlineStr">
        <is>
          <t>Carried forward</t>
        </is>
      </c>
      <c r="F1250" s="23" t="inlineStr"/>
      <c r="G1250" s="23" t="inlineStr">
        <is>
          <t>Source assignment -- not individually reviewed</t>
        </is>
      </c>
      <c r="H1250" s="14" t="inlineStr">
        <is>
          <t>10 EVIDENCE &amp; DECISIONS</t>
        </is>
      </c>
    </row>
    <row r="1251" ht="49" customHeight="1">
      <c r="A1251" s="23" t="inlineStr">
        <is>
          <t>R795-v2</t>
        </is>
      </c>
      <c r="B1251" s="23" t="inlineStr">
        <is>
          <t>Contractor Programme</t>
        </is>
      </c>
      <c r="C1251" s="23" t="inlineStr">
        <is>
          <t>SCH-05-075</t>
        </is>
      </c>
      <c r="D1251" s="23" t="inlineStr">
        <is>
          <t>1.5.2 Testing and Commissioning - Dynamic Testing</t>
        </is>
      </c>
      <c r="E1251" s="23" t="inlineStr">
        <is>
          <t>Carried forward</t>
        </is>
      </c>
      <c r="F1251" s="23" t="inlineStr"/>
      <c r="G1251" s="23" t="inlineStr">
        <is>
          <t>Source assignment -- not individually reviewed</t>
        </is>
      </c>
      <c r="H1251" s="14" t="inlineStr">
        <is>
          <t>10 EVIDENCE &amp; DECISIONS</t>
        </is>
      </c>
    </row>
    <row r="1252" ht="49" customHeight="1">
      <c r="A1252" s="23" t="inlineStr">
        <is>
          <t>R798-v2</t>
        </is>
      </c>
      <c r="B1252" s="23" t="inlineStr">
        <is>
          <t>Contractor Programme</t>
        </is>
      </c>
      <c r="C1252" s="23" t="inlineStr">
        <is>
          <t>SCH-05-078</t>
        </is>
      </c>
      <c r="D1252" s="23" t="inlineStr">
        <is>
          <t>1.5.2 Testing and Commissioning - Dynamic Testing</t>
        </is>
      </c>
      <c r="E1252" s="23" t="inlineStr">
        <is>
          <t>Carried forward</t>
        </is>
      </c>
      <c r="F1252" s="23" t="inlineStr"/>
      <c r="G1252" s="23" t="inlineStr">
        <is>
          <t>Source assignment -- not individually reviewed</t>
        </is>
      </c>
      <c r="H1252" s="14" t="inlineStr">
        <is>
          <t>10 EVIDENCE &amp; DECISIONS</t>
        </is>
      </c>
    </row>
    <row r="1253" ht="49" customHeight="1">
      <c r="A1253" s="23" t="inlineStr">
        <is>
          <t>R801-v2</t>
        </is>
      </c>
      <c r="B1253" s="23" t="inlineStr">
        <is>
          <t>Contractor Programme</t>
        </is>
      </c>
      <c r="C1253" s="23" t="inlineStr">
        <is>
          <t>SCH-05-081</t>
        </is>
      </c>
      <c r="D1253" s="23" t="inlineStr">
        <is>
          <t>1.5.2 Testing and Commissioning - Dynamic Testing</t>
        </is>
      </c>
      <c r="E1253" s="23" t="inlineStr">
        <is>
          <t>Carried forward</t>
        </is>
      </c>
      <c r="F1253" s="23" t="inlineStr"/>
      <c r="G1253" s="23" t="inlineStr">
        <is>
          <t>Source assignment -- not individually reviewed</t>
        </is>
      </c>
      <c r="H1253" s="14" t="inlineStr">
        <is>
          <t>10 EVIDENCE &amp; DECISIONS</t>
        </is>
      </c>
    </row>
    <row r="1254" ht="49" customHeight="1">
      <c r="A1254" s="23" t="inlineStr">
        <is>
          <t>R804-v2</t>
        </is>
      </c>
      <c r="B1254" s="23" t="inlineStr">
        <is>
          <t>Contractor Programme</t>
        </is>
      </c>
      <c r="C1254" s="23" t="inlineStr">
        <is>
          <t>SCH-05-084</t>
        </is>
      </c>
      <c r="D1254" s="23" t="inlineStr">
        <is>
          <t>1.5.2 Testing and Commissioning - Dynamic Testing</t>
        </is>
      </c>
      <c r="E1254" s="23" t="inlineStr">
        <is>
          <t>Carried forward</t>
        </is>
      </c>
      <c r="F1254" s="23" t="inlineStr"/>
      <c r="G1254" s="23" t="inlineStr">
        <is>
          <t>Source assignment -- not individually reviewed</t>
        </is>
      </c>
      <c r="H1254" s="14" t="inlineStr">
        <is>
          <t>10 EVIDENCE &amp; DECISIONS</t>
        </is>
      </c>
    </row>
    <row r="1255" ht="49" customHeight="1">
      <c r="A1255" s="23" t="inlineStr">
        <is>
          <t>R807-v2</t>
        </is>
      </c>
      <c r="B1255" s="23" t="inlineStr">
        <is>
          <t>Contractor Programme</t>
        </is>
      </c>
      <c r="C1255" s="23" t="inlineStr">
        <is>
          <t>SCH-05-087</t>
        </is>
      </c>
      <c r="D1255" s="23" t="inlineStr">
        <is>
          <t>1.5.2 Testing and Commissioning - Dynamic Testing</t>
        </is>
      </c>
      <c r="E1255" s="23" t="inlineStr">
        <is>
          <t>Carried forward</t>
        </is>
      </c>
      <c r="F1255" s="23" t="inlineStr"/>
      <c r="G1255" s="23" t="inlineStr">
        <is>
          <t>Source assignment -- not individually reviewed</t>
        </is>
      </c>
      <c r="H1255" s="14" t="inlineStr">
        <is>
          <t>10 EVIDENCE &amp; DECISIONS</t>
        </is>
      </c>
    </row>
    <row r="1256" ht="49" customHeight="1">
      <c r="A1256" s="23" t="inlineStr">
        <is>
          <t>R810-v2</t>
        </is>
      </c>
      <c r="B1256" s="23" t="inlineStr">
        <is>
          <t>Contractor Programme</t>
        </is>
      </c>
      <c r="C1256" s="23" t="inlineStr">
        <is>
          <t>SCH-05-090</t>
        </is>
      </c>
      <c r="D1256" s="23" t="inlineStr">
        <is>
          <t>1.5.2 Testing and Commissioning - Dynamic Testing</t>
        </is>
      </c>
      <c r="E1256" s="23" t="inlineStr">
        <is>
          <t>Carried forward</t>
        </is>
      </c>
      <c r="F1256" s="23" t="inlineStr"/>
      <c r="G1256" s="23" t="inlineStr">
        <is>
          <t>Source assignment -- not individually reviewed</t>
        </is>
      </c>
      <c r="H1256" s="14" t="inlineStr">
        <is>
          <t>10 EVIDENCE &amp; DECISIONS</t>
        </is>
      </c>
    </row>
    <row r="1257" ht="49" customHeight="1">
      <c r="A1257" s="23" t="inlineStr">
        <is>
          <t>R813-v2</t>
        </is>
      </c>
      <c r="B1257" s="23" t="inlineStr">
        <is>
          <t>Contractor Programme</t>
        </is>
      </c>
      <c r="C1257" s="23" t="inlineStr">
        <is>
          <t>SCH-05-093</t>
        </is>
      </c>
      <c r="D1257" s="23" t="inlineStr">
        <is>
          <t>1.5.2 Testing and Commissioning - Dynamic Testing</t>
        </is>
      </c>
      <c r="E1257" s="23" t="inlineStr">
        <is>
          <t>Carried forward</t>
        </is>
      </c>
      <c r="F1257" s="23" t="inlineStr"/>
      <c r="G1257" s="23" t="inlineStr">
        <is>
          <t>Source assignment -- not individually reviewed</t>
        </is>
      </c>
      <c r="H1257" s="14" t="inlineStr">
        <is>
          <t>10 EVIDENCE &amp; DECISIONS</t>
        </is>
      </c>
    </row>
    <row r="1258" ht="49" customHeight="1">
      <c r="A1258" s="23" t="inlineStr">
        <is>
          <t>R816-v2</t>
        </is>
      </c>
      <c r="B1258" s="23" t="inlineStr">
        <is>
          <t>Contractor Programme</t>
        </is>
      </c>
      <c r="C1258" s="23" t="inlineStr">
        <is>
          <t>SCH-05-096</t>
        </is>
      </c>
      <c r="D1258" s="23" t="inlineStr">
        <is>
          <t>1.5.2 Testing and Commissioning - Dynamic Testing</t>
        </is>
      </c>
      <c r="E1258" s="23" t="inlineStr">
        <is>
          <t>Carried forward</t>
        </is>
      </c>
      <c r="F1258" s="23" t="inlineStr"/>
      <c r="G1258" s="23" t="inlineStr">
        <is>
          <t>Source assignment -- not individually reviewed</t>
        </is>
      </c>
      <c r="H1258" s="14" t="inlineStr">
        <is>
          <t>10 EVIDENCE &amp; DECISIONS</t>
        </is>
      </c>
    </row>
    <row r="1259" ht="49" customHeight="1">
      <c r="A1259" s="23" t="inlineStr">
        <is>
          <t>R819-v2</t>
        </is>
      </c>
      <c r="B1259" s="23" t="inlineStr">
        <is>
          <t>Contractor Programme</t>
        </is>
      </c>
      <c r="C1259" s="23" t="inlineStr">
        <is>
          <t>SCH-05-099</t>
        </is>
      </c>
      <c r="D1259" s="23" t="inlineStr">
        <is>
          <t>1.5.2 Testing and Commissioning - Dynamic Testing</t>
        </is>
      </c>
      <c r="E1259" s="23" t="inlineStr">
        <is>
          <t>Carried forward</t>
        </is>
      </c>
      <c r="F1259" s="23" t="inlineStr"/>
      <c r="G1259" s="23" t="inlineStr">
        <is>
          <t>Source assignment -- not individually reviewed</t>
        </is>
      </c>
      <c r="H1259" s="14" t="inlineStr">
        <is>
          <t>10 EVIDENCE &amp; DECISIONS</t>
        </is>
      </c>
    </row>
    <row r="1260" ht="49" customHeight="1">
      <c r="A1260" s="23" t="inlineStr">
        <is>
          <t>R822-v2</t>
        </is>
      </c>
      <c r="B1260" s="23" t="inlineStr">
        <is>
          <t>Contractor Programme</t>
        </is>
      </c>
      <c r="C1260" s="23" t="inlineStr">
        <is>
          <t>SCH-05-102</t>
        </is>
      </c>
      <c r="D1260" s="23" t="inlineStr">
        <is>
          <t>1.5.2 Testing and Commissioning - Dynamic Testing</t>
        </is>
      </c>
      <c r="E1260" s="23" t="inlineStr">
        <is>
          <t>Carried forward</t>
        </is>
      </c>
      <c r="F1260" s="23" t="inlineStr"/>
      <c r="G1260" s="23" t="inlineStr">
        <is>
          <t>Source assignment -- not individually reviewed</t>
        </is>
      </c>
      <c r="H1260" s="14" t="inlineStr">
        <is>
          <t>10 EVIDENCE &amp; DECISIONS</t>
        </is>
      </c>
    </row>
    <row r="1261" ht="49" customHeight="1">
      <c r="A1261" s="23" t="inlineStr">
        <is>
          <t>R825-v2</t>
        </is>
      </c>
      <c r="B1261" s="23" t="inlineStr">
        <is>
          <t>Contractor Programme</t>
        </is>
      </c>
      <c r="C1261" s="23" t="inlineStr">
        <is>
          <t>SCH-05-105</t>
        </is>
      </c>
      <c r="D1261" s="23" t="inlineStr">
        <is>
          <t>1.5.2 Testing and Commissioning - Dynamic Testing</t>
        </is>
      </c>
      <c r="E1261" s="23" t="inlineStr">
        <is>
          <t>Carried forward</t>
        </is>
      </c>
      <c r="F1261" s="23" t="inlineStr"/>
      <c r="G1261" s="23" t="inlineStr">
        <is>
          <t>Source assignment -- not individually reviewed</t>
        </is>
      </c>
      <c r="H1261" s="14" t="inlineStr">
        <is>
          <t>10 EVIDENCE &amp; DECISIONS</t>
        </is>
      </c>
    </row>
    <row r="1262" ht="49" customHeight="1">
      <c r="A1262" s="23" t="inlineStr">
        <is>
          <t>R828-v2</t>
        </is>
      </c>
      <c r="B1262" s="23" t="inlineStr">
        <is>
          <t>Contractor Programme</t>
        </is>
      </c>
      <c r="C1262" s="23" t="inlineStr">
        <is>
          <t>SCH-05-108</t>
        </is>
      </c>
      <c r="D1262" s="23" t="inlineStr">
        <is>
          <t>1.5.2 Testing and Commissioning - Dynamic Testing</t>
        </is>
      </c>
      <c r="E1262" s="23" t="inlineStr">
        <is>
          <t>Carried forward</t>
        </is>
      </c>
      <c r="F1262" s="23" t="inlineStr"/>
      <c r="G1262" s="23" t="inlineStr">
        <is>
          <t>Source assignment -- not individually reviewed</t>
        </is>
      </c>
      <c r="H1262" s="14" t="inlineStr">
        <is>
          <t>10 EVIDENCE &amp; DECISIONS</t>
        </is>
      </c>
    </row>
    <row r="1263" ht="49" customHeight="1">
      <c r="A1263" s="23" t="inlineStr">
        <is>
          <t>R831-v2</t>
        </is>
      </c>
      <c r="B1263" s="23" t="inlineStr">
        <is>
          <t>Contractor Programme</t>
        </is>
      </c>
      <c r="C1263" s="23" t="inlineStr">
        <is>
          <t>SCH-05-111</t>
        </is>
      </c>
      <c r="D1263" s="23" t="inlineStr">
        <is>
          <t>1.5.2 Testing and Commissioning - Dynamic Testing</t>
        </is>
      </c>
      <c r="E1263" s="23" t="inlineStr">
        <is>
          <t>Carried forward</t>
        </is>
      </c>
      <c r="F1263" s="23" t="inlineStr"/>
      <c r="G1263" s="23" t="inlineStr">
        <is>
          <t>Source assignment -- not individually reviewed</t>
        </is>
      </c>
      <c r="H1263" s="14" t="inlineStr">
        <is>
          <t>10 EVIDENCE &amp; DECISIONS</t>
        </is>
      </c>
    </row>
    <row r="1264" ht="49" customHeight="1">
      <c r="A1264" s="23" t="inlineStr">
        <is>
          <t>R834-v2</t>
        </is>
      </c>
      <c r="B1264" s="23" t="inlineStr">
        <is>
          <t>Contractor Programme</t>
        </is>
      </c>
      <c r="C1264" s="23" t="inlineStr">
        <is>
          <t>SCH-05-114</t>
        </is>
      </c>
      <c r="D1264" s="23" t="inlineStr">
        <is>
          <t>1.5.2 Testing and Commissioning - Dynamic Testing</t>
        </is>
      </c>
      <c r="E1264" s="23" t="inlineStr">
        <is>
          <t>Carried forward</t>
        </is>
      </c>
      <c r="F1264" s="23" t="inlineStr"/>
      <c r="G1264" s="23" t="inlineStr">
        <is>
          <t>Source assignment -- not individually reviewed</t>
        </is>
      </c>
      <c r="H1264" s="14" t="inlineStr">
        <is>
          <t>10 EVIDENCE &amp; DECISIONS</t>
        </is>
      </c>
    </row>
    <row r="1265" ht="49" customHeight="1">
      <c r="A1265" s="23" t="inlineStr">
        <is>
          <t>R837-v2</t>
        </is>
      </c>
      <c r="B1265" s="23" t="inlineStr">
        <is>
          <t>Contractor Programme</t>
        </is>
      </c>
      <c r="C1265" s="23" t="inlineStr">
        <is>
          <t>SCH-05-117</t>
        </is>
      </c>
      <c r="D1265" s="23" t="inlineStr">
        <is>
          <t>1.5.2 Testing and Commissioning - Dynamic Testing</t>
        </is>
      </c>
      <c r="E1265" s="23" t="inlineStr">
        <is>
          <t>Carried forward</t>
        </is>
      </c>
      <c r="F1265" s="23" t="inlineStr"/>
      <c r="G1265" s="23" t="inlineStr">
        <is>
          <t>Source assignment -- not individually reviewed</t>
        </is>
      </c>
      <c r="H1265" s="14" t="inlineStr">
        <is>
          <t>10 EVIDENCE &amp; DECISIONS</t>
        </is>
      </c>
    </row>
    <row r="1266" ht="49" customHeight="1">
      <c r="A1266" s="23" t="inlineStr">
        <is>
          <t>R840-v2</t>
        </is>
      </c>
      <c r="B1266" s="23" t="inlineStr">
        <is>
          <t>Contractor Programme</t>
        </is>
      </c>
      <c r="C1266" s="23" t="inlineStr">
        <is>
          <t>SCH-05-120</t>
        </is>
      </c>
      <c r="D1266" s="23" t="inlineStr">
        <is>
          <t>1.5.2 Testing and Commissioning - Dynamic Testing</t>
        </is>
      </c>
      <c r="E1266" s="23" t="inlineStr">
        <is>
          <t>Carried forward</t>
        </is>
      </c>
      <c r="F1266" s="23" t="inlineStr"/>
      <c r="G1266" s="23" t="inlineStr">
        <is>
          <t>Source assignment -- not individually reviewed</t>
        </is>
      </c>
      <c r="H1266" s="14" t="inlineStr">
        <is>
          <t>10 EVIDENCE &amp; DECISIONS</t>
        </is>
      </c>
    </row>
    <row r="1267" ht="49" customHeight="1">
      <c r="A1267" s="23" t="inlineStr">
        <is>
          <t>R843-v2</t>
        </is>
      </c>
      <c r="B1267" s="23" t="inlineStr">
        <is>
          <t>Contractor Programme</t>
        </is>
      </c>
      <c r="C1267" s="23" t="inlineStr">
        <is>
          <t>SCH-05-123</t>
        </is>
      </c>
      <c r="D1267" s="23" t="inlineStr">
        <is>
          <t>1.5.2 Testing and Commissioning - Dynamic Testing</t>
        </is>
      </c>
      <c r="E1267" s="23" t="inlineStr">
        <is>
          <t>Carried forward</t>
        </is>
      </c>
      <c r="F1267" s="23" t="inlineStr"/>
      <c r="G1267" s="23" t="inlineStr">
        <is>
          <t>Source assignment -- not individually reviewed</t>
        </is>
      </c>
      <c r="H1267" s="14" t="inlineStr">
        <is>
          <t>10 EVIDENCE &amp; DECISIONS</t>
        </is>
      </c>
    </row>
    <row r="1268" ht="49" customHeight="1">
      <c r="A1268" s="23" t="inlineStr">
        <is>
          <t>R846-v2</t>
        </is>
      </c>
      <c r="B1268" s="23" t="inlineStr">
        <is>
          <t>Contractor Programme</t>
        </is>
      </c>
      <c r="C1268" s="23" t="inlineStr">
        <is>
          <t>SCH-05-126</t>
        </is>
      </c>
      <c r="D1268" s="23" t="inlineStr">
        <is>
          <t>1.5.2 Testing and Commissioning - Dynamic Testing</t>
        </is>
      </c>
      <c r="E1268" s="23" t="inlineStr">
        <is>
          <t>Carried forward</t>
        </is>
      </c>
      <c r="F1268" s="23" t="inlineStr"/>
      <c r="G1268" s="23" t="inlineStr">
        <is>
          <t>Source assignment -- not individually reviewed</t>
        </is>
      </c>
      <c r="H1268" s="14" t="inlineStr">
        <is>
          <t>10 EVIDENCE &amp; DECISIONS</t>
        </is>
      </c>
    </row>
    <row r="1269" ht="49" customHeight="1">
      <c r="A1269" s="23" t="inlineStr">
        <is>
          <t>R849-v2</t>
        </is>
      </c>
      <c r="B1269" s="23" t="inlineStr">
        <is>
          <t>Contractor Programme</t>
        </is>
      </c>
      <c r="C1269" s="23" t="inlineStr">
        <is>
          <t>SCH-05-129</t>
        </is>
      </c>
      <c r="D1269" s="23" t="inlineStr">
        <is>
          <t>1.5.2 Testing and Commissioning - Dynamic Testing</t>
        </is>
      </c>
      <c r="E1269" s="23" t="inlineStr">
        <is>
          <t>Carried forward</t>
        </is>
      </c>
      <c r="F1269" s="23" t="inlineStr"/>
      <c r="G1269" s="23" t="inlineStr">
        <is>
          <t>Source assignment -- not individually reviewed</t>
        </is>
      </c>
      <c r="H1269" s="14" t="inlineStr">
        <is>
          <t>10 EVIDENCE &amp; DECISIONS</t>
        </is>
      </c>
    </row>
    <row r="1270" ht="49" customHeight="1">
      <c r="A1270" s="23" t="inlineStr">
        <is>
          <t>R852-v2</t>
        </is>
      </c>
      <c r="B1270" s="23" t="inlineStr">
        <is>
          <t>Contractor Programme</t>
        </is>
      </c>
      <c r="C1270" s="23" t="inlineStr">
        <is>
          <t>SCH-05-132</t>
        </is>
      </c>
      <c r="D1270" s="23" t="inlineStr">
        <is>
          <t>1.5.2 Testing and Commissioning - Dynamic Testing</t>
        </is>
      </c>
      <c r="E1270" s="23" t="inlineStr">
        <is>
          <t>Carried forward</t>
        </is>
      </c>
      <c r="F1270" s="23" t="inlineStr"/>
      <c r="G1270" s="23" t="inlineStr">
        <is>
          <t>Source assignment -- not individually reviewed</t>
        </is>
      </c>
      <c r="H1270" s="14" t="inlineStr">
        <is>
          <t>10 EVIDENCE &amp; DECISIONS</t>
        </is>
      </c>
    </row>
    <row r="1271" ht="49" customHeight="1">
      <c r="A1271" s="23" t="inlineStr">
        <is>
          <t>R855-v2</t>
        </is>
      </c>
      <c r="B1271" s="23" t="inlineStr">
        <is>
          <t>Contractor Programme</t>
        </is>
      </c>
      <c r="C1271" s="23" t="inlineStr">
        <is>
          <t>SCH-05-135</t>
        </is>
      </c>
      <c r="D1271" s="23" t="inlineStr">
        <is>
          <t>1.5.2 Testing and Commissioning - Dynamic Testing</t>
        </is>
      </c>
      <c r="E1271" s="23" t="inlineStr">
        <is>
          <t>Carried forward</t>
        </is>
      </c>
      <c r="F1271" s="23" t="inlineStr"/>
      <c r="G1271" s="23" t="inlineStr">
        <is>
          <t>Source assignment -- not individually reviewed</t>
        </is>
      </c>
      <c r="H1271" s="14" t="inlineStr">
        <is>
          <t>10 EVIDENCE &amp; DECISIONS</t>
        </is>
      </c>
    </row>
    <row r="1272" ht="49" customHeight="1">
      <c r="A1272" s="23" t="inlineStr">
        <is>
          <t>R858-v2</t>
        </is>
      </c>
      <c r="B1272" s="23" t="inlineStr">
        <is>
          <t>Contractor Programme</t>
        </is>
      </c>
      <c r="C1272" s="23" t="inlineStr">
        <is>
          <t>SCH-05-138</t>
        </is>
      </c>
      <c r="D1272" s="23" t="inlineStr">
        <is>
          <t>1.5.2 Testing and Commissioning - Dynamic Testing</t>
        </is>
      </c>
      <c r="E1272" s="23" t="inlineStr">
        <is>
          <t>Carried forward</t>
        </is>
      </c>
      <c r="F1272" s="23" t="inlineStr"/>
      <c r="G1272" s="23" t="inlineStr">
        <is>
          <t>Source assignment -- not individually reviewed</t>
        </is>
      </c>
      <c r="H1272" s="14" t="inlineStr">
        <is>
          <t>10 EVIDENCE &amp; DECISIONS</t>
        </is>
      </c>
    </row>
    <row r="1273" ht="49" customHeight="1">
      <c r="A1273" s="23" t="inlineStr">
        <is>
          <t>R861-v2</t>
        </is>
      </c>
      <c r="B1273" s="23" t="inlineStr">
        <is>
          <t>Contractor Programme</t>
        </is>
      </c>
      <c r="C1273" s="23" t="inlineStr">
        <is>
          <t>SCH-05-141</t>
        </is>
      </c>
      <c r="D1273" s="23" t="inlineStr">
        <is>
          <t>1.5.2 Testing and Commissioning - Dynamic Testing</t>
        </is>
      </c>
      <c r="E1273" s="23" t="inlineStr">
        <is>
          <t>Carried forward</t>
        </is>
      </c>
      <c r="F1273" s="23" t="inlineStr"/>
      <c r="G1273" s="23" t="inlineStr">
        <is>
          <t>Source assignment -- not individually reviewed</t>
        </is>
      </c>
      <c r="H1273" s="14" t="inlineStr">
        <is>
          <t>10 EVIDENCE &amp; DECISIONS</t>
        </is>
      </c>
    </row>
    <row r="1274" ht="49" customHeight="1">
      <c r="A1274" s="23" t="inlineStr">
        <is>
          <t>R864-v2</t>
        </is>
      </c>
      <c r="B1274" s="23" t="inlineStr">
        <is>
          <t>Contractor Programme</t>
        </is>
      </c>
      <c r="C1274" s="23" t="inlineStr">
        <is>
          <t>SCH-05-144</t>
        </is>
      </c>
      <c r="D1274" s="23" t="inlineStr">
        <is>
          <t>1.5.2 Testing and Commissioning - Dynamic Testing</t>
        </is>
      </c>
      <c r="E1274" s="23" t="inlineStr">
        <is>
          <t>Carried forward</t>
        </is>
      </c>
      <c r="F1274" s="23" t="inlineStr"/>
      <c r="G1274" s="23" t="inlineStr">
        <is>
          <t>Source assignment -- not individually reviewed</t>
        </is>
      </c>
      <c r="H1274" s="14" t="inlineStr">
        <is>
          <t>10 EVIDENCE &amp; DECISIONS</t>
        </is>
      </c>
    </row>
    <row r="1275" ht="49" customHeight="1">
      <c r="A1275" s="23" t="inlineStr">
        <is>
          <t>R867-v2</t>
        </is>
      </c>
      <c r="B1275" s="23" t="inlineStr">
        <is>
          <t>Contractor Programme</t>
        </is>
      </c>
      <c r="C1275" s="23" t="inlineStr">
        <is>
          <t>SCH-05-147</t>
        </is>
      </c>
      <c r="D1275" s="23" t="inlineStr">
        <is>
          <t>1.5.2 Testing and Commissioning - Dynamic Testing</t>
        </is>
      </c>
      <c r="E1275" s="23" t="inlineStr">
        <is>
          <t>Carried forward</t>
        </is>
      </c>
      <c r="F1275" s="23" t="inlineStr"/>
      <c r="G1275" s="23" t="inlineStr">
        <is>
          <t>Source assignment -- not individually reviewed</t>
        </is>
      </c>
      <c r="H1275" s="14" t="inlineStr">
        <is>
          <t>10 EVIDENCE &amp; DECISIONS</t>
        </is>
      </c>
    </row>
    <row r="1276" ht="49" customHeight="1">
      <c r="A1276" s="23" t="inlineStr">
        <is>
          <t>R870-v2</t>
        </is>
      </c>
      <c r="B1276" s="23" t="inlineStr">
        <is>
          <t>Contractor Programme</t>
        </is>
      </c>
      <c r="C1276" s="23" t="inlineStr">
        <is>
          <t>SCH-05-150</t>
        </is>
      </c>
      <c r="D1276" s="23" t="inlineStr">
        <is>
          <t>1.5.2 Testing and Commissioning - Dynamic Testing</t>
        </is>
      </c>
      <c r="E1276" s="23" t="inlineStr">
        <is>
          <t>Carried forward</t>
        </is>
      </c>
      <c r="F1276" s="23" t="inlineStr"/>
      <c r="G1276" s="23" t="inlineStr">
        <is>
          <t>Source assignment -- not individually reviewed</t>
        </is>
      </c>
      <c r="H1276" s="14" t="inlineStr">
        <is>
          <t>10 EVIDENCE &amp; DECISIONS</t>
        </is>
      </c>
    </row>
    <row r="1277" ht="49" customHeight="1">
      <c r="A1277" s="23" t="inlineStr">
        <is>
          <t>R873-v2</t>
        </is>
      </c>
      <c r="B1277" s="23" t="inlineStr">
        <is>
          <t>Contractor Programme</t>
        </is>
      </c>
      <c r="C1277" s="23" t="inlineStr">
        <is>
          <t>SCH-05-153</t>
        </is>
      </c>
      <c r="D1277" s="23" t="inlineStr">
        <is>
          <t>1.5.2 Testing and Commissioning - Dynamic Testing</t>
        </is>
      </c>
      <c r="E1277" s="23" t="inlineStr">
        <is>
          <t>Carried forward</t>
        </is>
      </c>
      <c r="F1277" s="23" t="inlineStr"/>
      <c r="G1277" s="23" t="inlineStr">
        <is>
          <t>Source assignment -- not individually reviewed</t>
        </is>
      </c>
      <c r="H1277" s="14" t="inlineStr">
        <is>
          <t>10 EVIDENCE &amp; DECISIONS</t>
        </is>
      </c>
    </row>
    <row r="1278" ht="49" customHeight="1">
      <c r="A1278" s="23" t="inlineStr">
        <is>
          <t>R876-v2</t>
        </is>
      </c>
      <c r="B1278" s="23" t="inlineStr">
        <is>
          <t>Contractor Programme</t>
        </is>
      </c>
      <c r="C1278" s="23" t="inlineStr">
        <is>
          <t>SCH-05-156</t>
        </is>
      </c>
      <c r="D1278" s="23" t="inlineStr">
        <is>
          <t>1.5.2 Testing and Commissioning - Dynamic Testing</t>
        </is>
      </c>
      <c r="E1278" s="23" t="inlineStr">
        <is>
          <t>Carried forward</t>
        </is>
      </c>
      <c r="F1278" s="23" t="inlineStr"/>
      <c r="G1278" s="23" t="inlineStr">
        <is>
          <t>Source assignment -- not individually reviewed</t>
        </is>
      </c>
      <c r="H1278" s="14" t="inlineStr">
        <is>
          <t>10 EVIDENCE &amp; DECISIONS</t>
        </is>
      </c>
    </row>
    <row r="1279" ht="49" customHeight="1">
      <c r="A1279" s="23" t="inlineStr">
        <is>
          <t>R879-v2</t>
        </is>
      </c>
      <c r="B1279" s="23" t="inlineStr">
        <is>
          <t>Contractor Programme</t>
        </is>
      </c>
      <c r="C1279" s="23" t="inlineStr">
        <is>
          <t>SCH-05-159</t>
        </is>
      </c>
      <c r="D1279" s="23" t="inlineStr">
        <is>
          <t>1.5.2 Testing and Commissioning - Dynamic Testing</t>
        </is>
      </c>
      <c r="E1279" s="23" t="inlineStr">
        <is>
          <t>Carried forward</t>
        </is>
      </c>
      <c r="F1279" s="23" t="inlineStr"/>
      <c r="G1279" s="23" t="inlineStr">
        <is>
          <t>Source assignment -- not individually reviewed</t>
        </is>
      </c>
      <c r="H1279" s="14" t="inlineStr">
        <is>
          <t>10 EVIDENCE &amp; DECISIONS</t>
        </is>
      </c>
    </row>
    <row r="1280" ht="49" customHeight="1">
      <c r="A1280" s="23" t="inlineStr">
        <is>
          <t>R882-v2</t>
        </is>
      </c>
      <c r="B1280" s="23" t="inlineStr">
        <is>
          <t>Contractor Programme</t>
        </is>
      </c>
      <c r="C1280" s="23" t="inlineStr">
        <is>
          <t>SCH-05-162</t>
        </is>
      </c>
      <c r="D1280" s="23" t="inlineStr">
        <is>
          <t>1.5.2 Testing and Commissioning - Dynamic Testing</t>
        </is>
      </c>
      <c r="E1280" s="23" t="inlineStr">
        <is>
          <t>Carried forward</t>
        </is>
      </c>
      <c r="F1280" s="23" t="inlineStr"/>
      <c r="G1280" s="23" t="inlineStr">
        <is>
          <t>Source assignment -- not individually reviewed</t>
        </is>
      </c>
      <c r="H1280" s="14" t="inlineStr">
        <is>
          <t>10 EVIDENCE &amp; DECISIONS</t>
        </is>
      </c>
    </row>
    <row r="1281" ht="49" customHeight="1">
      <c r="A1281" s="23" t="inlineStr">
        <is>
          <t>R885-v2</t>
        </is>
      </c>
      <c r="B1281" s="23" t="inlineStr">
        <is>
          <t>Contractor Programme</t>
        </is>
      </c>
      <c r="C1281" s="23" t="inlineStr">
        <is>
          <t>SCH-05-165</t>
        </is>
      </c>
      <c r="D1281" s="23" t="inlineStr">
        <is>
          <t>1.5.2 Testing and Commissioning - Dynamic Testing</t>
        </is>
      </c>
      <c r="E1281" s="23" t="inlineStr">
        <is>
          <t>Carried forward</t>
        </is>
      </c>
      <c r="F1281" s="23" t="inlineStr"/>
      <c r="G1281" s="23" t="inlineStr">
        <is>
          <t>Source assignment -- not individually reviewed</t>
        </is>
      </c>
      <c r="H1281" s="14" t="inlineStr">
        <is>
          <t>10 EVIDENCE &amp; DECISIONS</t>
        </is>
      </c>
    </row>
    <row r="1282" ht="49" customHeight="1">
      <c r="A1282" s="23" t="inlineStr">
        <is>
          <t>R888-v2</t>
        </is>
      </c>
      <c r="B1282" s="23" t="inlineStr">
        <is>
          <t>Contractor Programme</t>
        </is>
      </c>
      <c r="C1282" s="23" t="inlineStr">
        <is>
          <t>SCH-05-168</t>
        </is>
      </c>
      <c r="D1282" s="23" t="inlineStr">
        <is>
          <t>1.5.2 Testing and Commissioning - Dynamic Testing</t>
        </is>
      </c>
      <c r="E1282" s="23" t="inlineStr">
        <is>
          <t>Carried forward</t>
        </is>
      </c>
      <c r="F1282" s="23" t="inlineStr"/>
      <c r="G1282" s="23" t="inlineStr">
        <is>
          <t>Source assignment -- not individually reviewed</t>
        </is>
      </c>
      <c r="H1282" s="14" t="inlineStr">
        <is>
          <t>10 EVIDENCE &amp; DECISIONS</t>
        </is>
      </c>
    </row>
    <row r="1283" ht="49" customHeight="1">
      <c r="A1283" s="23" t="inlineStr">
        <is>
          <t>R891-v2</t>
        </is>
      </c>
      <c r="B1283" s="23" t="inlineStr">
        <is>
          <t>Contractor Programme</t>
        </is>
      </c>
      <c r="C1283" s="23" t="inlineStr">
        <is>
          <t>SCH-05-171</t>
        </is>
      </c>
      <c r="D1283" s="23" t="inlineStr">
        <is>
          <t>1.5.2 Testing and Commissioning - Dynamic Testing</t>
        </is>
      </c>
      <c r="E1283" s="23" t="inlineStr">
        <is>
          <t>Carried forward</t>
        </is>
      </c>
      <c r="F1283" s="23" t="inlineStr"/>
      <c r="G1283" s="23" t="inlineStr">
        <is>
          <t>Source assignment -- not individually reviewed</t>
        </is>
      </c>
      <c r="H1283" s="14" t="inlineStr">
        <is>
          <t>10 EVIDENCE &amp; DECISIONS</t>
        </is>
      </c>
    </row>
    <row r="1284" ht="49" customHeight="1">
      <c r="A1284" s="23" t="inlineStr">
        <is>
          <t>R894-v2</t>
        </is>
      </c>
      <c r="B1284" s="23" t="inlineStr">
        <is>
          <t>Contractor Programme</t>
        </is>
      </c>
      <c r="C1284" s="23" t="inlineStr">
        <is>
          <t>SCH-05-174</t>
        </is>
      </c>
      <c r="D1284" s="23" t="inlineStr">
        <is>
          <t>1.5.2 Testing and Commissioning - Dynamic Testing</t>
        </is>
      </c>
      <c r="E1284" s="23" t="inlineStr">
        <is>
          <t>Carried forward</t>
        </is>
      </c>
      <c r="F1284" s="23" t="inlineStr"/>
      <c r="G1284" s="23" t="inlineStr">
        <is>
          <t>Source assignment -- not individually reviewed</t>
        </is>
      </c>
      <c r="H1284" s="14" t="inlineStr">
        <is>
          <t>10 EVIDENCE &amp; DECISIONS</t>
        </is>
      </c>
    </row>
    <row r="1285" ht="49" customHeight="1">
      <c r="A1285" s="23" t="inlineStr">
        <is>
          <t>R897-v2</t>
        </is>
      </c>
      <c r="B1285" s="23" t="inlineStr">
        <is>
          <t>Contractor Programme</t>
        </is>
      </c>
      <c r="C1285" s="23" t="inlineStr">
        <is>
          <t>SCH-05-177</t>
        </is>
      </c>
      <c r="D1285" s="23" t="inlineStr">
        <is>
          <t>1.5.2 Testing and Commissioning - Dynamic Testing</t>
        </is>
      </c>
      <c r="E1285" s="23" t="inlineStr">
        <is>
          <t>Carried forward</t>
        </is>
      </c>
      <c r="F1285" s="23" t="inlineStr"/>
      <c r="G1285" s="23" t="inlineStr">
        <is>
          <t>Source assignment -- not individually reviewed</t>
        </is>
      </c>
      <c r="H1285" s="14" t="inlineStr">
        <is>
          <t>10 EVIDENCE &amp; DECISIONS</t>
        </is>
      </c>
    </row>
    <row r="1286" ht="49" customHeight="1">
      <c r="A1286" s="23" t="inlineStr">
        <is>
          <t>R900-v2</t>
        </is>
      </c>
      <c r="B1286" s="23" t="inlineStr">
        <is>
          <t>Contractor Programme</t>
        </is>
      </c>
      <c r="C1286" s="23" t="inlineStr">
        <is>
          <t>SCH-05-180</t>
        </is>
      </c>
      <c r="D1286" s="23" t="inlineStr">
        <is>
          <t>1.5.2 Testing and Commissioning - Dynamic Testing</t>
        </is>
      </c>
      <c r="E1286" s="23" t="inlineStr">
        <is>
          <t>Carried forward</t>
        </is>
      </c>
      <c r="F1286" s="23" t="inlineStr"/>
      <c r="G1286" s="23" t="inlineStr">
        <is>
          <t>Source assignment -- not individually reviewed</t>
        </is>
      </c>
      <c r="H1286" s="14" t="inlineStr">
        <is>
          <t>10 EVIDENCE &amp; DECISIONS</t>
        </is>
      </c>
    </row>
    <row r="1287" ht="34" customHeight="1">
      <c r="A1287" s="23" t="inlineStr">
        <is>
          <t>R1613-v2</t>
        </is>
      </c>
      <c r="B1287" s="23" t="inlineStr">
        <is>
          <t>Commercial Package Register</t>
        </is>
      </c>
      <c r="C1287" s="23" t="inlineStr">
        <is>
          <t>PKG-051</t>
        </is>
      </c>
      <c r="D1287" s="23" t="inlineStr">
        <is>
          <t>1.6 Program Management</t>
        </is>
      </c>
      <c r="E1287" s="23" t="inlineStr">
        <is>
          <t>Carried forward</t>
        </is>
      </c>
      <c r="F1287" s="23" t="inlineStr"/>
      <c r="G1287" s="23" t="inlineStr">
        <is>
          <t>Source assignment -- not individually reviewed</t>
        </is>
      </c>
      <c r="H1287" s="14" t="inlineStr">
        <is>
          <t>10 EVIDENCE &amp; DECISIONS</t>
        </is>
      </c>
    </row>
    <row r="1288" ht="34" customHeight="1">
      <c r="A1288" s="23" t="inlineStr">
        <is>
          <t>R1614-v2</t>
        </is>
      </c>
      <c r="B1288" s="23" t="inlineStr">
        <is>
          <t>Commercial Package Register</t>
        </is>
      </c>
      <c r="C1288" s="23" t="inlineStr">
        <is>
          <t>PKG-052</t>
        </is>
      </c>
      <c r="D1288" s="23" t="inlineStr">
        <is>
          <t>1.6 Program Management</t>
        </is>
      </c>
      <c r="E1288" s="23" t="inlineStr">
        <is>
          <t>Carried forward</t>
        </is>
      </c>
      <c r="F1288" s="23" t="inlineStr"/>
      <c r="G1288" s="23" t="inlineStr">
        <is>
          <t>Source assignment -- not individually reviewed</t>
        </is>
      </c>
      <c r="H1288" s="14" t="inlineStr">
        <is>
          <t>10 EVIDENCE &amp; DECISIONS</t>
        </is>
      </c>
    </row>
    <row r="1289" ht="34" customHeight="1">
      <c r="A1289" s="23" t="inlineStr">
        <is>
          <t>R1615-v2</t>
        </is>
      </c>
      <c r="B1289" s="23" t="inlineStr">
        <is>
          <t>Commercial Package Register</t>
        </is>
      </c>
      <c r="C1289" s="23" t="inlineStr">
        <is>
          <t>PKG-053</t>
        </is>
      </c>
      <c r="D1289" s="23" t="inlineStr">
        <is>
          <t>1.6 Program Management</t>
        </is>
      </c>
      <c r="E1289" s="23" t="inlineStr">
        <is>
          <t>Carried forward</t>
        </is>
      </c>
      <c r="F1289" s="23" t="inlineStr"/>
      <c r="G1289" s="23" t="inlineStr">
        <is>
          <t>Source assignment -- not individually reviewed</t>
        </is>
      </c>
      <c r="H1289" s="14" t="inlineStr">
        <is>
          <t>10 EVIDENCE &amp; DECISIONS</t>
        </is>
      </c>
    </row>
    <row r="1290" ht="34" customHeight="1">
      <c r="A1290" s="23" t="inlineStr">
        <is>
          <t>R1616-v2</t>
        </is>
      </c>
      <c r="B1290" s="23" t="inlineStr">
        <is>
          <t>Commercial Package Register</t>
        </is>
      </c>
      <c r="C1290" s="23" t="inlineStr">
        <is>
          <t>PKG-054</t>
        </is>
      </c>
      <c r="D1290" s="23" t="inlineStr">
        <is>
          <t>1.6 Program Management</t>
        </is>
      </c>
      <c r="E1290" s="23" t="inlineStr">
        <is>
          <t>Carried forward</t>
        </is>
      </c>
      <c r="F1290" s="23" t="inlineStr"/>
      <c r="G1290" s="23" t="inlineStr">
        <is>
          <t>Source assignment -- not individually reviewed</t>
        </is>
      </c>
      <c r="H1290" s="14" t="inlineStr">
        <is>
          <t>10 EVIDENCE &amp; DECISIONS</t>
        </is>
      </c>
    </row>
    <row r="1291" ht="34" customHeight="1">
      <c r="A1291" s="23" t="inlineStr">
        <is>
          <t>R1617-v2</t>
        </is>
      </c>
      <c r="B1291" s="23" t="inlineStr">
        <is>
          <t>Commercial Package Register</t>
        </is>
      </c>
      <c r="C1291" s="23" t="inlineStr">
        <is>
          <t>PKG-055</t>
        </is>
      </c>
      <c r="D1291" s="23" t="inlineStr">
        <is>
          <t>1.6 Program Management</t>
        </is>
      </c>
      <c r="E1291" s="23" t="inlineStr">
        <is>
          <t>Carried forward</t>
        </is>
      </c>
      <c r="F1291" s="23" t="inlineStr"/>
      <c r="G1291" s="23" t="inlineStr">
        <is>
          <t>Source assignment -- not individually reviewed</t>
        </is>
      </c>
      <c r="H1291" s="14" t="inlineStr">
        <is>
          <t>10 EVIDENCE &amp; DECISIONS</t>
        </is>
      </c>
    </row>
    <row r="1292" ht="34" customHeight="1">
      <c r="A1292" s="23" t="inlineStr">
        <is>
          <t>R1618-v2</t>
        </is>
      </c>
      <c r="B1292" s="23" t="inlineStr">
        <is>
          <t>Commercial Package Register</t>
        </is>
      </c>
      <c r="C1292" s="23" t="inlineStr">
        <is>
          <t>PKG-056</t>
        </is>
      </c>
      <c r="D1292" s="23" t="inlineStr">
        <is>
          <t>1.6 Program Management</t>
        </is>
      </c>
      <c r="E1292" s="23" t="inlineStr">
        <is>
          <t>Carried forward</t>
        </is>
      </c>
      <c r="F1292" s="23" t="inlineStr"/>
      <c r="G1292" s="23" t="inlineStr">
        <is>
          <t>Source assignment -- not individually reviewed</t>
        </is>
      </c>
      <c r="H1292" s="14" t="inlineStr">
        <is>
          <t>10 EVIDENCE &amp; DECISIONS</t>
        </is>
      </c>
    </row>
    <row r="1293" ht="34" customHeight="1">
      <c r="A1293" s="23" t="inlineStr">
        <is>
          <t>R1619-v2</t>
        </is>
      </c>
      <c r="B1293" s="23" t="inlineStr">
        <is>
          <t>Commercial Package Register</t>
        </is>
      </c>
      <c r="C1293" s="23" t="inlineStr">
        <is>
          <t>PKG-057</t>
        </is>
      </c>
      <c r="D1293" s="23" t="inlineStr">
        <is>
          <t>1.6 Program Management</t>
        </is>
      </c>
      <c r="E1293" s="23" t="inlineStr">
        <is>
          <t>Carried forward</t>
        </is>
      </c>
      <c r="F1293" s="23" t="inlineStr"/>
      <c r="G1293" s="23" t="inlineStr">
        <is>
          <t>Source assignment -- not individually reviewed</t>
        </is>
      </c>
      <c r="H1293" s="14" t="inlineStr">
        <is>
          <t>10 EVIDENCE &amp; DECISIONS</t>
        </is>
      </c>
    </row>
    <row r="1294" ht="34" customHeight="1">
      <c r="A1294" s="23" t="inlineStr">
        <is>
          <t>R1620-v2</t>
        </is>
      </c>
      <c r="B1294" s="23" t="inlineStr">
        <is>
          <t>Commercial Package Register</t>
        </is>
      </c>
      <c r="C1294" s="23" t="inlineStr">
        <is>
          <t>PKG-058</t>
        </is>
      </c>
      <c r="D1294" s="23" t="inlineStr">
        <is>
          <t>1.6 Program Management</t>
        </is>
      </c>
      <c r="E1294" s="23" t="inlineStr">
        <is>
          <t>Carried forward</t>
        </is>
      </c>
      <c r="F1294" s="23" t="inlineStr"/>
      <c r="G1294" s="23" t="inlineStr">
        <is>
          <t>Source assignment -- not individually reviewed</t>
        </is>
      </c>
      <c r="H1294" s="14" t="inlineStr">
        <is>
          <t>10 EVIDENCE &amp; DECISIONS</t>
        </is>
      </c>
    </row>
    <row r="1295" ht="34" customHeight="1">
      <c r="A1295" s="23" t="inlineStr">
        <is>
          <t>R1622-v2</t>
        </is>
      </c>
      <c r="B1295" s="23" t="inlineStr">
        <is>
          <t>Commercial Package Register</t>
        </is>
      </c>
      <c r="C1295" s="23" t="inlineStr">
        <is>
          <t>PKG-060</t>
        </is>
      </c>
      <c r="D1295" s="23" t="inlineStr">
        <is>
          <t>1.6 Program Management</t>
        </is>
      </c>
      <c r="E1295" s="23" t="inlineStr">
        <is>
          <t>Carried forward</t>
        </is>
      </c>
      <c r="F1295" s="23" t="inlineStr"/>
      <c r="G1295" s="23" t="inlineStr">
        <is>
          <t>Source assignment -- not individually reviewed</t>
        </is>
      </c>
      <c r="H1295" s="14" t="inlineStr">
        <is>
          <t>10 EVIDENCE &amp; DECISIONS</t>
        </is>
      </c>
    </row>
    <row r="1296" ht="34" customHeight="1">
      <c r="A1296" s="23" t="inlineStr">
        <is>
          <t>R1483-v2</t>
        </is>
      </c>
      <c r="B1296" s="23" t="inlineStr">
        <is>
          <t>Cost &amp; Forecast Control Accounts</t>
        </is>
      </c>
      <c r="C1296" s="23" t="inlineStr">
        <is>
          <t>CST-06-001</t>
        </is>
      </c>
      <c r="D1296" s="23" t="inlineStr">
        <is>
          <t>1.6.1 Program Management - Program Controls</t>
        </is>
      </c>
      <c r="E1296" s="23" t="inlineStr">
        <is>
          <t>Carried forward</t>
        </is>
      </c>
      <c r="F1296" s="23" t="inlineStr"/>
      <c r="G1296" s="23" t="inlineStr">
        <is>
          <t>Source assignment -- not individually reviewed</t>
        </is>
      </c>
      <c r="H1296" s="14" t="inlineStr">
        <is>
          <t>10 EVIDENCE &amp; DECISIONS</t>
        </is>
      </c>
    </row>
    <row r="1297" ht="34" customHeight="1">
      <c r="A1297" s="23" t="inlineStr">
        <is>
          <t>R1485-v2</t>
        </is>
      </c>
      <c r="B1297" s="23" t="inlineStr">
        <is>
          <t>Cost &amp; Forecast Control Accounts</t>
        </is>
      </c>
      <c r="C1297" s="23" t="inlineStr">
        <is>
          <t>CST-06-003</t>
        </is>
      </c>
      <c r="D1297" s="23" t="inlineStr">
        <is>
          <t>1.6.1 Program Management - Program Controls</t>
        </is>
      </c>
      <c r="E1297" s="23" t="inlineStr">
        <is>
          <t>Carried forward</t>
        </is>
      </c>
      <c r="F1297" s="23" t="inlineStr"/>
      <c r="G1297" s="23" t="inlineStr">
        <is>
          <t>Source assignment -- not individually reviewed</t>
        </is>
      </c>
      <c r="H1297" s="14" t="inlineStr">
        <is>
          <t>10 EVIDENCE &amp; DECISIONS</t>
        </is>
      </c>
    </row>
    <row r="1298" ht="34" customHeight="1">
      <c r="A1298" s="23" t="inlineStr">
        <is>
          <t>R1487-v2</t>
        </is>
      </c>
      <c r="B1298" s="23" t="inlineStr">
        <is>
          <t>Cost &amp; Forecast Control Accounts</t>
        </is>
      </c>
      <c r="C1298" s="23" t="inlineStr">
        <is>
          <t>CST-06-005</t>
        </is>
      </c>
      <c r="D1298" s="23" t="inlineStr">
        <is>
          <t>1.6.1 Program Management - Program Controls</t>
        </is>
      </c>
      <c r="E1298" s="23" t="inlineStr">
        <is>
          <t>Carried forward</t>
        </is>
      </c>
      <c r="F1298" s="23" t="inlineStr"/>
      <c r="G1298" s="23" t="inlineStr">
        <is>
          <t>Source assignment -- not individually reviewed</t>
        </is>
      </c>
      <c r="H1298" s="14" t="inlineStr">
        <is>
          <t>10 EVIDENCE &amp; DECISIONS</t>
        </is>
      </c>
    </row>
    <row r="1299" ht="34" customHeight="1">
      <c r="A1299" s="23" t="inlineStr">
        <is>
          <t>R1489-v2</t>
        </is>
      </c>
      <c r="B1299" s="23" t="inlineStr">
        <is>
          <t>Cost &amp; Forecast Control Accounts</t>
        </is>
      </c>
      <c r="C1299" s="23" t="inlineStr">
        <is>
          <t>CST-06-007</t>
        </is>
      </c>
      <c r="D1299" s="23" t="inlineStr">
        <is>
          <t>1.6.1 Program Management - Program Controls</t>
        </is>
      </c>
      <c r="E1299" s="23" t="inlineStr">
        <is>
          <t>Carried forward</t>
        </is>
      </c>
      <c r="F1299" s="23" t="inlineStr"/>
      <c r="G1299" s="23" t="inlineStr">
        <is>
          <t>Source assignment -- not individually reviewed</t>
        </is>
      </c>
      <c r="H1299" s="14" t="inlineStr">
        <is>
          <t>10 EVIDENCE &amp; DECISIONS</t>
        </is>
      </c>
    </row>
    <row r="1300" ht="34" customHeight="1">
      <c r="A1300" s="23" t="inlineStr">
        <is>
          <t>R1491-v2</t>
        </is>
      </c>
      <c r="B1300" s="23" t="inlineStr">
        <is>
          <t>Cost &amp; Forecast Control Accounts</t>
        </is>
      </c>
      <c r="C1300" s="23" t="inlineStr">
        <is>
          <t>CST-06-009</t>
        </is>
      </c>
      <c r="D1300" s="23" t="inlineStr">
        <is>
          <t>1.6.1 Program Management - Program Controls</t>
        </is>
      </c>
      <c r="E1300" s="23" t="inlineStr">
        <is>
          <t>Carried forward</t>
        </is>
      </c>
      <c r="F1300" s="23" t="inlineStr"/>
      <c r="G1300" s="23" t="inlineStr">
        <is>
          <t>Source assignment -- not individually reviewed</t>
        </is>
      </c>
      <c r="H1300" s="14" t="inlineStr">
        <is>
          <t>10 EVIDENCE &amp; DECISIONS</t>
        </is>
      </c>
    </row>
    <row r="1301" ht="34" customHeight="1">
      <c r="A1301" s="23" t="inlineStr">
        <is>
          <t>R1493-v2</t>
        </is>
      </c>
      <c r="B1301" s="23" t="inlineStr">
        <is>
          <t>Cost &amp; Forecast Control Accounts</t>
        </is>
      </c>
      <c r="C1301" s="23" t="inlineStr">
        <is>
          <t>CST-06-011</t>
        </is>
      </c>
      <c r="D1301" s="23" t="inlineStr">
        <is>
          <t>1.6.1 Program Management - Program Controls</t>
        </is>
      </c>
      <c r="E1301" s="23" t="inlineStr">
        <is>
          <t>Carried forward</t>
        </is>
      </c>
      <c r="F1301" s="23" t="inlineStr"/>
      <c r="G1301" s="23" t="inlineStr">
        <is>
          <t>Source assignment -- not individually reviewed</t>
        </is>
      </c>
      <c r="H1301" s="14" t="inlineStr">
        <is>
          <t>10 EVIDENCE &amp; DECISIONS</t>
        </is>
      </c>
    </row>
    <row r="1302" ht="34" customHeight="1">
      <c r="A1302" s="23" t="inlineStr">
        <is>
          <t>R1495-v2</t>
        </is>
      </c>
      <c r="B1302" s="23" t="inlineStr">
        <is>
          <t>Cost &amp; Forecast Control Accounts</t>
        </is>
      </c>
      <c r="C1302" s="23" t="inlineStr">
        <is>
          <t>CST-06-013</t>
        </is>
      </c>
      <c r="D1302" s="23" t="inlineStr">
        <is>
          <t>1.6.1 Program Management - Program Controls</t>
        </is>
      </c>
      <c r="E1302" s="23" t="inlineStr">
        <is>
          <t>Carried forward</t>
        </is>
      </c>
      <c r="F1302" s="23" t="inlineStr"/>
      <c r="G1302" s="23" t="inlineStr">
        <is>
          <t>Source assignment -- not individually reviewed</t>
        </is>
      </c>
      <c r="H1302" s="14" t="inlineStr">
        <is>
          <t>10 EVIDENCE &amp; DECISIONS</t>
        </is>
      </c>
    </row>
    <row r="1303" ht="34" customHeight="1">
      <c r="A1303" s="23" t="inlineStr">
        <is>
          <t>R1497-v2</t>
        </is>
      </c>
      <c r="B1303" s="23" t="inlineStr">
        <is>
          <t>Cost &amp; Forecast Control Accounts</t>
        </is>
      </c>
      <c r="C1303" s="23" t="inlineStr">
        <is>
          <t>CST-06-015</t>
        </is>
      </c>
      <c r="D1303" s="23" t="inlineStr">
        <is>
          <t>1.6.1 Program Management - Program Controls</t>
        </is>
      </c>
      <c r="E1303" s="23" t="inlineStr">
        <is>
          <t>Carried forward</t>
        </is>
      </c>
      <c r="F1303" s="23" t="inlineStr"/>
      <c r="G1303" s="23" t="inlineStr">
        <is>
          <t>Source assignment -- not individually reviewed</t>
        </is>
      </c>
      <c r="H1303" s="14" t="inlineStr">
        <is>
          <t>10 EVIDENCE &amp; DECISIONS</t>
        </is>
      </c>
    </row>
    <row r="1304" ht="34" customHeight="1">
      <c r="A1304" s="23" t="inlineStr">
        <is>
          <t>R1499-v2</t>
        </is>
      </c>
      <c r="B1304" s="23" t="inlineStr">
        <is>
          <t>Cost &amp; Forecast Control Accounts</t>
        </is>
      </c>
      <c r="C1304" s="23" t="inlineStr">
        <is>
          <t>CST-06-017</t>
        </is>
      </c>
      <c r="D1304" s="23" t="inlineStr">
        <is>
          <t>1.6.1 Program Management - Program Controls</t>
        </is>
      </c>
      <c r="E1304" s="23" t="inlineStr">
        <is>
          <t>Carried forward</t>
        </is>
      </c>
      <c r="F1304" s="23" t="inlineStr"/>
      <c r="G1304" s="23" t="inlineStr">
        <is>
          <t>Source assignment -- not individually reviewed</t>
        </is>
      </c>
      <c r="H1304" s="14" t="inlineStr">
        <is>
          <t>10 EVIDENCE &amp; DECISIONS</t>
        </is>
      </c>
    </row>
    <row r="1305" ht="34" customHeight="1">
      <c r="A1305" s="23" t="inlineStr">
        <is>
          <t>R1501-v2</t>
        </is>
      </c>
      <c r="B1305" s="23" t="inlineStr">
        <is>
          <t>Cost &amp; Forecast Control Accounts</t>
        </is>
      </c>
      <c r="C1305" s="23" t="inlineStr">
        <is>
          <t>CST-06-019</t>
        </is>
      </c>
      <c r="D1305" s="23" t="inlineStr">
        <is>
          <t>1.6.1 Program Management - Program Controls</t>
        </is>
      </c>
      <c r="E1305" s="23" t="inlineStr">
        <is>
          <t>Carried forward</t>
        </is>
      </c>
      <c r="F1305" s="23" t="inlineStr"/>
      <c r="G1305" s="23" t="inlineStr">
        <is>
          <t>Source assignment -- not individually reviewed</t>
        </is>
      </c>
      <c r="H1305" s="14" t="inlineStr">
        <is>
          <t>10 EVIDENCE &amp; DECISIONS</t>
        </is>
      </c>
    </row>
    <row r="1306" ht="34" customHeight="1">
      <c r="A1306" s="23" t="inlineStr">
        <is>
          <t>R1503-v2</t>
        </is>
      </c>
      <c r="B1306" s="23" t="inlineStr">
        <is>
          <t>Cost &amp; Forecast Control Accounts</t>
        </is>
      </c>
      <c r="C1306" s="23" t="inlineStr">
        <is>
          <t>CST-06-021</t>
        </is>
      </c>
      <c r="D1306" s="23" t="inlineStr">
        <is>
          <t>1.6.1 Program Management - Program Controls</t>
        </is>
      </c>
      <c r="E1306" s="23" t="inlineStr">
        <is>
          <t>Carried forward</t>
        </is>
      </c>
      <c r="F1306" s="23" t="inlineStr"/>
      <c r="G1306" s="23" t="inlineStr">
        <is>
          <t>Source assignment -- not individually reviewed</t>
        </is>
      </c>
      <c r="H1306" s="14" t="inlineStr">
        <is>
          <t>10 EVIDENCE &amp; DECISIONS</t>
        </is>
      </c>
    </row>
    <row r="1307" ht="34" customHeight="1">
      <c r="A1307" s="23" t="inlineStr">
        <is>
          <t>R1505-v2</t>
        </is>
      </c>
      <c r="B1307" s="23" t="inlineStr">
        <is>
          <t>Cost &amp; Forecast Control Accounts</t>
        </is>
      </c>
      <c r="C1307" s="23" t="inlineStr">
        <is>
          <t>CST-06-023</t>
        </is>
      </c>
      <c r="D1307" s="23" t="inlineStr">
        <is>
          <t>1.6.1 Program Management - Program Controls</t>
        </is>
      </c>
      <c r="E1307" s="23" t="inlineStr">
        <is>
          <t>Carried forward</t>
        </is>
      </c>
      <c r="F1307" s="23" t="inlineStr"/>
      <c r="G1307" s="23" t="inlineStr">
        <is>
          <t>Source assignment -- not individually reviewed</t>
        </is>
      </c>
      <c r="H1307" s="14" t="inlineStr">
        <is>
          <t>10 EVIDENCE &amp; DECISIONS</t>
        </is>
      </c>
    </row>
    <row r="1308" ht="34" customHeight="1">
      <c r="A1308" s="23" t="inlineStr">
        <is>
          <t>R1507-v2</t>
        </is>
      </c>
      <c r="B1308" s="23" t="inlineStr">
        <is>
          <t>Cost &amp; Forecast Control Accounts</t>
        </is>
      </c>
      <c r="C1308" s="23" t="inlineStr">
        <is>
          <t>CST-06-025</t>
        </is>
      </c>
      <c r="D1308" s="23" t="inlineStr">
        <is>
          <t>1.6.1 Program Management - Program Controls</t>
        </is>
      </c>
      <c r="E1308" s="23" t="inlineStr">
        <is>
          <t>Carried forward</t>
        </is>
      </c>
      <c r="F1308" s="23" t="inlineStr"/>
      <c r="G1308" s="23" t="inlineStr">
        <is>
          <t>Source assignment -- not individually reviewed</t>
        </is>
      </c>
      <c r="H1308" s="14" t="inlineStr">
        <is>
          <t>10 EVIDENCE &amp; DECISIONS</t>
        </is>
      </c>
    </row>
    <row r="1309" ht="34" customHeight="1">
      <c r="A1309" s="23" t="inlineStr">
        <is>
          <t>R1509-v2</t>
        </is>
      </c>
      <c r="B1309" s="23" t="inlineStr">
        <is>
          <t>Cost &amp; Forecast Control Accounts</t>
        </is>
      </c>
      <c r="C1309" s="23" t="inlineStr">
        <is>
          <t>CST-06-027</t>
        </is>
      </c>
      <c r="D1309" s="23" t="inlineStr">
        <is>
          <t>1.6.1 Program Management - Program Controls</t>
        </is>
      </c>
      <c r="E1309" s="23" t="inlineStr">
        <is>
          <t>Carried forward</t>
        </is>
      </c>
      <c r="F1309" s="23" t="inlineStr"/>
      <c r="G1309" s="23" t="inlineStr">
        <is>
          <t>Source assignment -- not individually reviewed</t>
        </is>
      </c>
      <c r="H1309" s="14" t="inlineStr">
        <is>
          <t>10 EVIDENCE &amp; DECISIONS</t>
        </is>
      </c>
    </row>
    <row r="1310" ht="34" customHeight="1">
      <c r="A1310" s="23" t="inlineStr">
        <is>
          <t>R1511-v2</t>
        </is>
      </c>
      <c r="B1310" s="23" t="inlineStr">
        <is>
          <t>Cost &amp; Forecast Control Accounts</t>
        </is>
      </c>
      <c r="C1310" s="23" t="inlineStr">
        <is>
          <t>CST-06-029</t>
        </is>
      </c>
      <c r="D1310" s="23" t="inlineStr">
        <is>
          <t>1.6.1 Program Management - Program Controls</t>
        </is>
      </c>
      <c r="E1310" s="23" t="inlineStr">
        <is>
          <t>Carried forward</t>
        </is>
      </c>
      <c r="F1310" s="23" t="inlineStr"/>
      <c r="G1310" s="23" t="inlineStr">
        <is>
          <t>Source assignment -- not individually reviewed</t>
        </is>
      </c>
      <c r="H1310" s="14" t="inlineStr">
        <is>
          <t>10 EVIDENCE &amp; DECISIONS</t>
        </is>
      </c>
    </row>
    <row r="1311" ht="34" customHeight="1">
      <c r="A1311" s="23" t="inlineStr">
        <is>
          <t>R1513-v2</t>
        </is>
      </c>
      <c r="B1311" s="23" t="inlineStr">
        <is>
          <t>Cost &amp; Forecast Control Accounts</t>
        </is>
      </c>
      <c r="C1311" s="23" t="inlineStr">
        <is>
          <t>CST-06-031</t>
        </is>
      </c>
      <c r="D1311" s="23" t="inlineStr">
        <is>
          <t>1.6.1 Program Management - Program Controls</t>
        </is>
      </c>
      <c r="E1311" s="23" t="inlineStr">
        <is>
          <t>Carried forward</t>
        </is>
      </c>
      <c r="F1311" s="23" t="inlineStr"/>
      <c r="G1311" s="23" t="inlineStr">
        <is>
          <t>Source assignment -- not individually reviewed</t>
        </is>
      </c>
      <c r="H1311" s="14" t="inlineStr">
        <is>
          <t>10 EVIDENCE &amp; DECISIONS</t>
        </is>
      </c>
    </row>
    <row r="1312" ht="34" customHeight="1">
      <c r="A1312" s="23" t="inlineStr">
        <is>
          <t>R1515-v2</t>
        </is>
      </c>
      <c r="B1312" s="23" t="inlineStr">
        <is>
          <t>Cost &amp; Forecast Control Accounts</t>
        </is>
      </c>
      <c r="C1312" s="23" t="inlineStr">
        <is>
          <t>CST-06-033</t>
        </is>
      </c>
      <c r="D1312" s="23" t="inlineStr">
        <is>
          <t>1.6.1 Program Management - Program Controls</t>
        </is>
      </c>
      <c r="E1312" s="23" t="inlineStr">
        <is>
          <t>Carried forward</t>
        </is>
      </c>
      <c r="F1312" s="23" t="inlineStr"/>
      <c r="G1312" s="23" t="inlineStr">
        <is>
          <t>Source assignment -- not individually reviewed</t>
        </is>
      </c>
      <c r="H1312" s="14" t="inlineStr">
        <is>
          <t>10 EVIDENCE &amp; DECISIONS</t>
        </is>
      </c>
    </row>
    <row r="1313" ht="34" customHeight="1">
      <c r="A1313" s="23" t="inlineStr">
        <is>
          <t>R1517-v2</t>
        </is>
      </c>
      <c r="B1313" s="23" t="inlineStr">
        <is>
          <t>Cost &amp; Forecast Control Accounts</t>
        </is>
      </c>
      <c r="C1313" s="23" t="inlineStr">
        <is>
          <t>CST-06-035</t>
        </is>
      </c>
      <c r="D1313" s="23" t="inlineStr">
        <is>
          <t>1.6.1 Program Management - Program Controls</t>
        </is>
      </c>
      <c r="E1313" s="23" t="inlineStr">
        <is>
          <t>Carried forward</t>
        </is>
      </c>
      <c r="F1313" s="23" t="inlineStr"/>
      <c r="G1313" s="23" t="inlineStr">
        <is>
          <t>Source assignment -- not individually reviewed</t>
        </is>
      </c>
      <c r="H1313" s="14" t="inlineStr">
        <is>
          <t>10 EVIDENCE &amp; DECISIONS</t>
        </is>
      </c>
    </row>
    <row r="1314" ht="34" customHeight="1">
      <c r="A1314" s="23" t="inlineStr">
        <is>
          <t>R1519-v2</t>
        </is>
      </c>
      <c r="B1314" s="23" t="inlineStr">
        <is>
          <t>Cost &amp; Forecast Control Accounts</t>
        </is>
      </c>
      <c r="C1314" s="23" t="inlineStr">
        <is>
          <t>CST-06-037</t>
        </is>
      </c>
      <c r="D1314" s="23" t="inlineStr">
        <is>
          <t>1.6.1 Program Management - Program Controls</t>
        </is>
      </c>
      <c r="E1314" s="23" t="inlineStr">
        <is>
          <t>Carried forward</t>
        </is>
      </c>
      <c r="F1314" s="23" t="inlineStr"/>
      <c r="G1314" s="23" t="inlineStr">
        <is>
          <t>Source assignment -- not individually reviewed</t>
        </is>
      </c>
      <c r="H1314" s="14" t="inlineStr">
        <is>
          <t>10 EVIDENCE &amp; DECISIONS</t>
        </is>
      </c>
    </row>
    <row r="1315" ht="34" customHeight="1">
      <c r="A1315" s="23" t="inlineStr">
        <is>
          <t>R1521-v2</t>
        </is>
      </c>
      <c r="B1315" s="23" t="inlineStr">
        <is>
          <t>Cost &amp; Forecast Control Accounts</t>
        </is>
      </c>
      <c r="C1315" s="23" t="inlineStr">
        <is>
          <t>CST-06-039</t>
        </is>
      </c>
      <c r="D1315" s="23" t="inlineStr">
        <is>
          <t>1.6.1 Program Management - Program Controls</t>
        </is>
      </c>
      <c r="E1315" s="23" t="inlineStr">
        <is>
          <t>Carried forward</t>
        </is>
      </c>
      <c r="F1315" s="23" t="inlineStr"/>
      <c r="G1315" s="23" t="inlineStr">
        <is>
          <t>Source assignment -- not individually reviewed</t>
        </is>
      </c>
      <c r="H1315" s="14" t="inlineStr">
        <is>
          <t>10 EVIDENCE &amp; DECISIONS</t>
        </is>
      </c>
    </row>
    <row r="1316" ht="34" customHeight="1">
      <c r="A1316" s="23" t="inlineStr">
        <is>
          <t>R1523-v2</t>
        </is>
      </c>
      <c r="B1316" s="23" t="inlineStr">
        <is>
          <t>Cost &amp; Forecast Control Accounts</t>
        </is>
      </c>
      <c r="C1316" s="23" t="inlineStr">
        <is>
          <t>CST-06-041</t>
        </is>
      </c>
      <c r="D1316" s="23" t="inlineStr">
        <is>
          <t>1.6.1 Program Management - Program Controls</t>
        </is>
      </c>
      <c r="E1316" s="23" t="inlineStr">
        <is>
          <t>Carried forward</t>
        </is>
      </c>
      <c r="F1316" s="23" t="inlineStr"/>
      <c r="G1316" s="23" t="inlineStr">
        <is>
          <t>Source assignment -- not individually reviewed</t>
        </is>
      </c>
      <c r="H1316" s="14" t="inlineStr">
        <is>
          <t>10 EVIDENCE &amp; DECISIONS</t>
        </is>
      </c>
    </row>
    <row r="1317" ht="34" customHeight="1">
      <c r="A1317" s="23" t="inlineStr">
        <is>
          <t>R1525-v2</t>
        </is>
      </c>
      <c r="B1317" s="23" t="inlineStr">
        <is>
          <t>Cost &amp; Forecast Control Accounts</t>
        </is>
      </c>
      <c r="C1317" s="23" t="inlineStr">
        <is>
          <t>CST-06-043</t>
        </is>
      </c>
      <c r="D1317" s="23" t="inlineStr">
        <is>
          <t>1.6.1 Program Management - Program Controls</t>
        </is>
      </c>
      <c r="E1317" s="23" t="inlineStr">
        <is>
          <t>Carried forward</t>
        </is>
      </c>
      <c r="F1317" s="23" t="inlineStr"/>
      <c r="G1317" s="23" t="inlineStr">
        <is>
          <t>Source assignment -- not individually reviewed</t>
        </is>
      </c>
      <c r="H1317" s="14" t="inlineStr">
        <is>
          <t>10 EVIDENCE &amp; DECISIONS</t>
        </is>
      </c>
    </row>
    <row r="1318" ht="34" customHeight="1">
      <c r="A1318" s="23" t="inlineStr">
        <is>
          <t>R1527-v2</t>
        </is>
      </c>
      <c r="B1318" s="23" t="inlineStr">
        <is>
          <t>Cost &amp; Forecast Control Accounts</t>
        </is>
      </c>
      <c r="C1318" s="23" t="inlineStr">
        <is>
          <t>CST-06-045</t>
        </is>
      </c>
      <c r="D1318" s="23" t="inlineStr">
        <is>
          <t>1.6.1 Program Management - Program Controls</t>
        </is>
      </c>
      <c r="E1318" s="23" t="inlineStr">
        <is>
          <t>Carried forward</t>
        </is>
      </c>
      <c r="F1318" s="23" t="inlineStr"/>
      <c r="G1318" s="23" t="inlineStr">
        <is>
          <t>Source assignment -- not individually reviewed</t>
        </is>
      </c>
      <c r="H1318" s="14" t="inlineStr">
        <is>
          <t>10 EVIDENCE &amp; DECISIONS</t>
        </is>
      </c>
    </row>
    <row r="1319" ht="34" customHeight="1">
      <c r="A1319" s="23" t="inlineStr">
        <is>
          <t>R1529-v2</t>
        </is>
      </c>
      <c r="B1319" s="23" t="inlineStr">
        <is>
          <t>Cost &amp; Forecast Control Accounts</t>
        </is>
      </c>
      <c r="C1319" s="23" t="inlineStr">
        <is>
          <t>CST-06-047</t>
        </is>
      </c>
      <c r="D1319" s="23" t="inlineStr">
        <is>
          <t>1.6.1 Program Management - Program Controls</t>
        </is>
      </c>
      <c r="E1319" s="23" t="inlineStr">
        <is>
          <t>Carried forward</t>
        </is>
      </c>
      <c r="F1319" s="23" t="inlineStr"/>
      <c r="G1319" s="23" t="inlineStr">
        <is>
          <t>Source assignment -- not individually reviewed</t>
        </is>
      </c>
      <c r="H1319" s="14" t="inlineStr">
        <is>
          <t>10 EVIDENCE &amp; DECISIONS</t>
        </is>
      </c>
    </row>
    <row r="1320" ht="34" customHeight="1">
      <c r="A1320" s="23" t="inlineStr">
        <is>
          <t>R1531-v2</t>
        </is>
      </c>
      <c r="B1320" s="23" t="inlineStr">
        <is>
          <t>Cost &amp; Forecast Control Accounts</t>
        </is>
      </c>
      <c r="C1320" s="23" t="inlineStr">
        <is>
          <t>CST-06-049</t>
        </is>
      </c>
      <c r="D1320" s="23" t="inlineStr">
        <is>
          <t>1.6.1 Program Management - Program Controls</t>
        </is>
      </c>
      <c r="E1320" s="23" t="inlineStr">
        <is>
          <t>Carried forward</t>
        </is>
      </c>
      <c r="F1320" s="23" t="inlineStr"/>
      <c r="G1320" s="23" t="inlineStr">
        <is>
          <t>Source assignment -- not individually reviewed</t>
        </is>
      </c>
      <c r="H1320" s="14" t="inlineStr">
        <is>
          <t>10 EVIDENCE &amp; DECISIONS</t>
        </is>
      </c>
    </row>
    <row r="1321" ht="34" customHeight="1">
      <c r="A1321" s="23" t="inlineStr">
        <is>
          <t>R1533-v2</t>
        </is>
      </c>
      <c r="B1321" s="23" t="inlineStr">
        <is>
          <t>Cost &amp; Forecast Control Accounts</t>
        </is>
      </c>
      <c r="C1321" s="23" t="inlineStr">
        <is>
          <t>CST-06-051</t>
        </is>
      </c>
      <c r="D1321" s="23" t="inlineStr">
        <is>
          <t>1.6.1 Program Management - Program Controls</t>
        </is>
      </c>
      <c r="E1321" s="23" t="inlineStr">
        <is>
          <t>Carried forward</t>
        </is>
      </c>
      <c r="F1321" s="23" t="inlineStr"/>
      <c r="G1321" s="23" t="inlineStr">
        <is>
          <t>Source assignment -- not individually reviewed</t>
        </is>
      </c>
      <c r="H1321" s="14" t="inlineStr">
        <is>
          <t>10 EVIDENCE &amp; DECISIONS</t>
        </is>
      </c>
    </row>
    <row r="1322" ht="34" customHeight="1">
      <c r="A1322" s="23" t="inlineStr">
        <is>
          <t>R1535-v2</t>
        </is>
      </c>
      <c r="B1322" s="23" t="inlineStr">
        <is>
          <t>Cost &amp; Forecast Control Accounts</t>
        </is>
      </c>
      <c r="C1322" s="23" t="inlineStr">
        <is>
          <t>CST-06-053</t>
        </is>
      </c>
      <c r="D1322" s="23" t="inlineStr">
        <is>
          <t>1.6.1 Program Management - Program Controls</t>
        </is>
      </c>
      <c r="E1322" s="23" t="inlineStr">
        <is>
          <t>Carried forward</t>
        </is>
      </c>
      <c r="F1322" s="23" t="inlineStr"/>
      <c r="G1322" s="23" t="inlineStr">
        <is>
          <t>Source assignment -- not individually reviewed</t>
        </is>
      </c>
      <c r="H1322" s="14" t="inlineStr">
        <is>
          <t>10 EVIDENCE &amp; DECISIONS</t>
        </is>
      </c>
    </row>
    <row r="1323" ht="34" customHeight="1">
      <c r="A1323" s="23" t="inlineStr">
        <is>
          <t>R1537-v2</t>
        </is>
      </c>
      <c r="B1323" s="23" t="inlineStr">
        <is>
          <t>Cost &amp; Forecast Control Accounts</t>
        </is>
      </c>
      <c r="C1323" s="23" t="inlineStr">
        <is>
          <t>CST-06-055</t>
        </is>
      </c>
      <c r="D1323" s="23" t="inlineStr">
        <is>
          <t>1.6.1 Program Management - Program Controls</t>
        </is>
      </c>
      <c r="E1323" s="23" t="inlineStr">
        <is>
          <t>Carried forward</t>
        </is>
      </c>
      <c r="F1323" s="23" t="inlineStr"/>
      <c r="G1323" s="23" t="inlineStr">
        <is>
          <t>Source assignment -- not individually reviewed</t>
        </is>
      </c>
      <c r="H1323" s="14" t="inlineStr">
        <is>
          <t>10 EVIDENCE &amp; DECISIONS</t>
        </is>
      </c>
    </row>
    <row r="1324" ht="34" customHeight="1">
      <c r="A1324" s="23" t="inlineStr">
        <is>
          <t>R1539-v2</t>
        </is>
      </c>
      <c r="B1324" s="23" t="inlineStr">
        <is>
          <t>Cost &amp; Forecast Control Accounts</t>
        </is>
      </c>
      <c r="C1324" s="23" t="inlineStr">
        <is>
          <t>CST-06-057</t>
        </is>
      </c>
      <c r="D1324" s="23" t="inlineStr">
        <is>
          <t>1.6.1 Program Management - Program Controls</t>
        </is>
      </c>
      <c r="E1324" s="23" t="inlineStr">
        <is>
          <t>Carried forward</t>
        </is>
      </c>
      <c r="F1324" s="23" t="inlineStr"/>
      <c r="G1324" s="23" t="inlineStr">
        <is>
          <t>Source assignment -- not individually reviewed</t>
        </is>
      </c>
      <c r="H1324" s="14" t="inlineStr">
        <is>
          <t>10 EVIDENCE &amp; DECISIONS</t>
        </is>
      </c>
    </row>
    <row r="1325" ht="34" customHeight="1">
      <c r="A1325" s="23" t="inlineStr">
        <is>
          <t>R1541-v2</t>
        </is>
      </c>
      <c r="B1325" s="23" t="inlineStr">
        <is>
          <t>Cost &amp; Forecast Control Accounts</t>
        </is>
      </c>
      <c r="C1325" s="23" t="inlineStr">
        <is>
          <t>CST-06-059</t>
        </is>
      </c>
      <c r="D1325" s="23" t="inlineStr">
        <is>
          <t>1.6.1 Program Management - Program Controls</t>
        </is>
      </c>
      <c r="E1325" s="23" t="inlineStr">
        <is>
          <t>Carried forward</t>
        </is>
      </c>
      <c r="F1325" s="23" t="inlineStr"/>
      <c r="G1325" s="23" t="inlineStr">
        <is>
          <t>Source assignment -- not individually reviewed</t>
        </is>
      </c>
      <c r="H1325" s="14" t="inlineStr">
        <is>
          <t>10 EVIDENCE &amp; DECISIONS</t>
        </is>
      </c>
    </row>
    <row r="1326" ht="34" customHeight="1">
      <c r="A1326" s="23" t="inlineStr">
        <is>
          <t>R1543-v2</t>
        </is>
      </c>
      <c r="B1326" s="23" t="inlineStr">
        <is>
          <t>Cost &amp; Forecast Control Accounts</t>
        </is>
      </c>
      <c r="C1326" s="23" t="inlineStr">
        <is>
          <t>CST-06-061</t>
        </is>
      </c>
      <c r="D1326" s="23" t="inlineStr">
        <is>
          <t>1.6.1 Program Management - Program Controls</t>
        </is>
      </c>
      <c r="E1326" s="23" t="inlineStr">
        <is>
          <t>Carried forward</t>
        </is>
      </c>
      <c r="F1326" s="23" t="inlineStr"/>
      <c r="G1326" s="23" t="inlineStr">
        <is>
          <t>Source assignment -- not individually reviewed</t>
        </is>
      </c>
      <c r="H1326" s="14" t="inlineStr">
        <is>
          <t>10 EVIDENCE &amp; DECISIONS</t>
        </is>
      </c>
    </row>
    <row r="1327" ht="34" customHeight="1">
      <c r="A1327" s="23" t="inlineStr">
        <is>
          <t>R1545-v2</t>
        </is>
      </c>
      <c r="B1327" s="23" t="inlineStr">
        <is>
          <t>Cost &amp; Forecast Control Accounts</t>
        </is>
      </c>
      <c r="C1327" s="23" t="inlineStr">
        <is>
          <t>CST-06-063</t>
        </is>
      </c>
      <c r="D1327" s="23" t="inlineStr">
        <is>
          <t>1.6.1 Program Management - Program Controls</t>
        </is>
      </c>
      <c r="E1327" s="23" t="inlineStr">
        <is>
          <t>Carried forward</t>
        </is>
      </c>
      <c r="F1327" s="23" t="inlineStr"/>
      <c r="G1327" s="23" t="inlineStr">
        <is>
          <t>Source assignment -- not individually reviewed</t>
        </is>
      </c>
      <c r="H1327" s="14" t="inlineStr">
        <is>
          <t>10 EVIDENCE &amp; DECISIONS</t>
        </is>
      </c>
    </row>
    <row r="1328" ht="34" customHeight="1">
      <c r="A1328" s="23" t="inlineStr">
        <is>
          <t>R1547-v2</t>
        </is>
      </c>
      <c r="B1328" s="23" t="inlineStr">
        <is>
          <t>Cost &amp; Forecast Control Accounts</t>
        </is>
      </c>
      <c r="C1328" s="23" t="inlineStr">
        <is>
          <t>CST-06-065</t>
        </is>
      </c>
      <c r="D1328" s="23" t="inlineStr">
        <is>
          <t>1.6.1 Program Management - Program Controls</t>
        </is>
      </c>
      <c r="E1328" s="23" t="inlineStr">
        <is>
          <t>Carried forward</t>
        </is>
      </c>
      <c r="F1328" s="23" t="inlineStr"/>
      <c r="G1328" s="23" t="inlineStr">
        <is>
          <t>Source assignment -- not individually reviewed</t>
        </is>
      </c>
      <c r="H1328" s="14" t="inlineStr">
        <is>
          <t>10 EVIDENCE &amp; DECISIONS</t>
        </is>
      </c>
    </row>
    <row r="1329" ht="34" customHeight="1">
      <c r="A1329" s="23" t="inlineStr">
        <is>
          <t>R1549-v2</t>
        </is>
      </c>
      <c r="B1329" s="23" t="inlineStr">
        <is>
          <t>Cost &amp; Forecast Control Accounts</t>
        </is>
      </c>
      <c r="C1329" s="23" t="inlineStr">
        <is>
          <t>CST-06-067</t>
        </is>
      </c>
      <c r="D1329" s="23" t="inlineStr">
        <is>
          <t>1.6.1 Program Management - Program Controls</t>
        </is>
      </c>
      <c r="E1329" s="23" t="inlineStr">
        <is>
          <t>Carried forward</t>
        </is>
      </c>
      <c r="F1329" s="23" t="inlineStr"/>
      <c r="G1329" s="23" t="inlineStr">
        <is>
          <t>Source assignment -- not individually reviewed</t>
        </is>
      </c>
      <c r="H1329" s="14" t="inlineStr">
        <is>
          <t>10 EVIDENCE &amp; DECISIONS</t>
        </is>
      </c>
    </row>
    <row r="1330" ht="34" customHeight="1">
      <c r="A1330" s="23" t="inlineStr">
        <is>
          <t>R1551-v2</t>
        </is>
      </c>
      <c r="B1330" s="23" t="inlineStr">
        <is>
          <t>Cost &amp; Forecast Control Accounts</t>
        </is>
      </c>
      <c r="C1330" s="23" t="inlineStr">
        <is>
          <t>CST-06-069</t>
        </is>
      </c>
      <c r="D1330" s="23" t="inlineStr">
        <is>
          <t>1.6.1 Program Management - Program Controls</t>
        </is>
      </c>
      <c r="E1330" s="23" t="inlineStr">
        <is>
          <t>Carried forward</t>
        </is>
      </c>
      <c r="F1330" s="23" t="inlineStr"/>
      <c r="G1330" s="23" t="inlineStr">
        <is>
          <t>Source assignment -- not individually reviewed</t>
        </is>
      </c>
      <c r="H1330" s="14" t="inlineStr">
        <is>
          <t>10 EVIDENCE &amp; DECISIONS</t>
        </is>
      </c>
    </row>
    <row r="1331" ht="34" customHeight="1">
      <c r="A1331" s="23" t="inlineStr">
        <is>
          <t>R1553-v2</t>
        </is>
      </c>
      <c r="B1331" s="23" t="inlineStr">
        <is>
          <t>Cost &amp; Forecast Control Accounts</t>
        </is>
      </c>
      <c r="C1331" s="23" t="inlineStr">
        <is>
          <t>CST-06-071</t>
        </is>
      </c>
      <c r="D1331" s="23" t="inlineStr">
        <is>
          <t>1.6.1 Program Management - Program Controls</t>
        </is>
      </c>
      <c r="E1331" s="23" t="inlineStr">
        <is>
          <t>Carried forward</t>
        </is>
      </c>
      <c r="F1331" s="23" t="inlineStr"/>
      <c r="G1331" s="23" t="inlineStr">
        <is>
          <t>Source assignment -- not individually reviewed</t>
        </is>
      </c>
      <c r="H1331" s="14" t="inlineStr">
        <is>
          <t>10 EVIDENCE &amp; DECISIONS</t>
        </is>
      </c>
    </row>
    <row r="1332" ht="34" customHeight="1">
      <c r="A1332" s="23" t="inlineStr">
        <is>
          <t>R1555-v2</t>
        </is>
      </c>
      <c r="B1332" s="23" t="inlineStr">
        <is>
          <t>Cost &amp; Forecast Control Accounts</t>
        </is>
      </c>
      <c r="C1332" s="23" t="inlineStr">
        <is>
          <t>CST-06-073</t>
        </is>
      </c>
      <c r="D1332" s="23" t="inlineStr">
        <is>
          <t>1.6.1 Program Management - Program Controls</t>
        </is>
      </c>
      <c r="E1332" s="23" t="inlineStr">
        <is>
          <t>Carried forward</t>
        </is>
      </c>
      <c r="F1332" s="23" t="inlineStr"/>
      <c r="G1332" s="23" t="inlineStr">
        <is>
          <t>Source assignment -- not individually reviewed</t>
        </is>
      </c>
      <c r="H1332" s="14" t="inlineStr">
        <is>
          <t>10 EVIDENCE &amp; DECISIONS</t>
        </is>
      </c>
    </row>
    <row r="1333" ht="34" customHeight="1">
      <c r="A1333" s="23" t="inlineStr">
        <is>
          <t>R1557-v2</t>
        </is>
      </c>
      <c r="B1333" s="23" t="inlineStr">
        <is>
          <t>Cost &amp; Forecast Control Accounts</t>
        </is>
      </c>
      <c r="C1333" s="23" t="inlineStr">
        <is>
          <t>CST-06-075</t>
        </is>
      </c>
      <c r="D1333" s="23" t="inlineStr">
        <is>
          <t>1.6.1 Program Management - Program Controls</t>
        </is>
      </c>
      <c r="E1333" s="23" t="inlineStr">
        <is>
          <t>Carried forward</t>
        </is>
      </c>
      <c r="F1333" s="23" t="inlineStr"/>
      <c r="G1333" s="23" t="inlineStr">
        <is>
          <t>Source assignment -- not individually reviewed</t>
        </is>
      </c>
      <c r="H1333" s="14" t="inlineStr">
        <is>
          <t>10 EVIDENCE &amp; DECISIONS</t>
        </is>
      </c>
    </row>
    <row r="1334" ht="34" customHeight="1">
      <c r="A1334" s="23" t="inlineStr">
        <is>
          <t>R1559-v2</t>
        </is>
      </c>
      <c r="B1334" s="23" t="inlineStr">
        <is>
          <t>Cost &amp; Forecast Control Accounts</t>
        </is>
      </c>
      <c r="C1334" s="23" t="inlineStr">
        <is>
          <t>CST-06-077</t>
        </is>
      </c>
      <c r="D1334" s="23" t="inlineStr">
        <is>
          <t>1.6.1 Program Management - Program Controls</t>
        </is>
      </c>
      <c r="E1334" s="23" t="inlineStr">
        <is>
          <t>Carried forward</t>
        </is>
      </c>
      <c r="F1334" s="23" t="inlineStr"/>
      <c r="G1334" s="23" t="inlineStr">
        <is>
          <t>Source assignment -- not individually reviewed</t>
        </is>
      </c>
      <c r="H1334" s="14" t="inlineStr">
        <is>
          <t>10 EVIDENCE &amp; DECISIONS</t>
        </is>
      </c>
    </row>
    <row r="1335" ht="34" customHeight="1">
      <c r="A1335" s="23" t="inlineStr">
        <is>
          <t>R1484-v2</t>
        </is>
      </c>
      <c r="B1335" s="23" t="inlineStr">
        <is>
          <t>Cost &amp; Forecast Control Accounts</t>
        </is>
      </c>
      <c r="C1335" s="23" t="inlineStr">
        <is>
          <t>CST-06-002</t>
        </is>
      </c>
      <c r="D1335" s="23" t="inlineStr">
        <is>
          <t>1.6.2 Program Management - Commercial &amp; Procurement</t>
        </is>
      </c>
      <c r="E1335" s="23" t="inlineStr">
        <is>
          <t>Carried forward</t>
        </is>
      </c>
      <c r="F1335" s="23" t="inlineStr"/>
      <c r="G1335" s="23" t="inlineStr">
        <is>
          <t>Source assignment -- not individually reviewed</t>
        </is>
      </c>
      <c r="H1335" s="14" t="inlineStr">
        <is>
          <t>10 EVIDENCE &amp; DECISIONS</t>
        </is>
      </c>
    </row>
    <row r="1336" ht="34" customHeight="1">
      <c r="A1336" s="23" t="inlineStr">
        <is>
          <t>R1486-v2</t>
        </is>
      </c>
      <c r="B1336" s="23" t="inlineStr">
        <is>
          <t>Cost &amp; Forecast Control Accounts</t>
        </is>
      </c>
      <c r="C1336" s="23" t="inlineStr">
        <is>
          <t>CST-06-004</t>
        </is>
      </c>
      <c r="D1336" s="23" t="inlineStr">
        <is>
          <t>1.6.2 Program Management - Commercial &amp; Procurement</t>
        </is>
      </c>
      <c r="E1336" s="23" t="inlineStr">
        <is>
          <t>Carried forward</t>
        </is>
      </c>
      <c r="F1336" s="23" t="inlineStr"/>
      <c r="G1336" s="23" t="inlineStr">
        <is>
          <t>Source assignment -- not individually reviewed</t>
        </is>
      </c>
      <c r="H1336" s="14" t="inlineStr">
        <is>
          <t>10 EVIDENCE &amp; DECISIONS</t>
        </is>
      </c>
    </row>
    <row r="1337" ht="34" customHeight="1">
      <c r="A1337" s="23" t="inlineStr">
        <is>
          <t>R1488-v2</t>
        </is>
      </c>
      <c r="B1337" s="23" t="inlineStr">
        <is>
          <t>Cost &amp; Forecast Control Accounts</t>
        </is>
      </c>
      <c r="C1337" s="23" t="inlineStr">
        <is>
          <t>CST-06-006</t>
        </is>
      </c>
      <c r="D1337" s="23" t="inlineStr">
        <is>
          <t>1.6.2 Program Management - Commercial &amp; Procurement</t>
        </is>
      </c>
      <c r="E1337" s="23" t="inlineStr">
        <is>
          <t>Carried forward</t>
        </is>
      </c>
      <c r="F1337" s="23" t="inlineStr"/>
      <c r="G1337" s="23" t="inlineStr">
        <is>
          <t>Source assignment -- not individually reviewed</t>
        </is>
      </c>
      <c r="H1337" s="14" t="inlineStr">
        <is>
          <t>10 EVIDENCE &amp; DECISIONS</t>
        </is>
      </c>
    </row>
    <row r="1338" ht="34" customHeight="1">
      <c r="A1338" s="23" t="inlineStr">
        <is>
          <t>R1490-v2</t>
        </is>
      </c>
      <c r="B1338" s="23" t="inlineStr">
        <is>
          <t>Cost &amp; Forecast Control Accounts</t>
        </is>
      </c>
      <c r="C1338" s="23" t="inlineStr">
        <is>
          <t>CST-06-008</t>
        </is>
      </c>
      <c r="D1338" s="23" t="inlineStr">
        <is>
          <t>1.6.2 Program Management - Commercial &amp; Procurement</t>
        </is>
      </c>
      <c r="E1338" s="23" t="inlineStr">
        <is>
          <t>Carried forward</t>
        </is>
      </c>
      <c r="F1338" s="23" t="inlineStr"/>
      <c r="G1338" s="23" t="inlineStr">
        <is>
          <t>Source assignment -- not individually reviewed</t>
        </is>
      </c>
      <c r="H1338" s="14" t="inlineStr">
        <is>
          <t>10 EVIDENCE &amp; DECISIONS</t>
        </is>
      </c>
    </row>
    <row r="1339" ht="34" customHeight="1">
      <c r="A1339" s="23" t="inlineStr">
        <is>
          <t>R1492-v2</t>
        </is>
      </c>
      <c r="B1339" s="23" t="inlineStr">
        <is>
          <t>Cost &amp; Forecast Control Accounts</t>
        </is>
      </c>
      <c r="C1339" s="23" t="inlineStr">
        <is>
          <t>CST-06-010</t>
        </is>
      </c>
      <c r="D1339" s="23" t="inlineStr">
        <is>
          <t>1.6.2 Program Management - Commercial &amp; Procurement</t>
        </is>
      </c>
      <c r="E1339" s="23" t="inlineStr">
        <is>
          <t>Carried forward</t>
        </is>
      </c>
      <c r="F1339" s="23" t="inlineStr"/>
      <c r="G1339" s="23" t="inlineStr">
        <is>
          <t>Source assignment -- not individually reviewed</t>
        </is>
      </c>
      <c r="H1339" s="14" t="inlineStr">
        <is>
          <t>10 EVIDENCE &amp; DECISIONS</t>
        </is>
      </c>
    </row>
    <row r="1340" ht="34" customHeight="1">
      <c r="A1340" s="23" t="inlineStr">
        <is>
          <t>R1494-v2</t>
        </is>
      </c>
      <c r="B1340" s="23" t="inlineStr">
        <is>
          <t>Cost &amp; Forecast Control Accounts</t>
        </is>
      </c>
      <c r="C1340" s="23" t="inlineStr">
        <is>
          <t>CST-06-012</t>
        </is>
      </c>
      <c r="D1340" s="23" t="inlineStr">
        <is>
          <t>1.6.2 Program Management - Commercial &amp; Procurement</t>
        </is>
      </c>
      <c r="E1340" s="23" t="inlineStr">
        <is>
          <t>Carried forward</t>
        </is>
      </c>
      <c r="F1340" s="23" t="inlineStr"/>
      <c r="G1340" s="23" t="inlineStr">
        <is>
          <t>Source assignment -- not individually reviewed</t>
        </is>
      </c>
      <c r="H1340" s="14" t="inlineStr">
        <is>
          <t>10 EVIDENCE &amp; DECISIONS</t>
        </is>
      </c>
    </row>
    <row r="1341" ht="34" customHeight="1">
      <c r="A1341" s="23" t="inlineStr">
        <is>
          <t>R1496-v2</t>
        </is>
      </c>
      <c r="B1341" s="23" t="inlineStr">
        <is>
          <t>Cost &amp; Forecast Control Accounts</t>
        </is>
      </c>
      <c r="C1341" s="23" t="inlineStr">
        <is>
          <t>CST-06-014</t>
        </is>
      </c>
      <c r="D1341" s="23" t="inlineStr">
        <is>
          <t>1.6.2 Program Management - Commercial &amp; Procurement</t>
        </is>
      </c>
      <c r="E1341" s="23" t="inlineStr">
        <is>
          <t>Carried forward</t>
        </is>
      </c>
      <c r="F1341" s="23" t="inlineStr"/>
      <c r="G1341" s="23" t="inlineStr">
        <is>
          <t>Source assignment -- not individually reviewed</t>
        </is>
      </c>
      <c r="H1341" s="14" t="inlineStr">
        <is>
          <t>10 EVIDENCE &amp; DECISIONS</t>
        </is>
      </c>
    </row>
    <row r="1342" ht="34" customHeight="1">
      <c r="A1342" s="23" t="inlineStr">
        <is>
          <t>R1498-v2</t>
        </is>
      </c>
      <c r="B1342" s="23" t="inlineStr">
        <is>
          <t>Cost &amp; Forecast Control Accounts</t>
        </is>
      </c>
      <c r="C1342" s="23" t="inlineStr">
        <is>
          <t>CST-06-016</t>
        </is>
      </c>
      <c r="D1342" s="23" t="inlineStr">
        <is>
          <t>1.6.2 Program Management - Commercial &amp; Procurement</t>
        </is>
      </c>
      <c r="E1342" s="23" t="inlineStr">
        <is>
          <t>Carried forward</t>
        </is>
      </c>
      <c r="F1342" s="23" t="inlineStr"/>
      <c r="G1342" s="23" t="inlineStr">
        <is>
          <t>Source assignment -- not individually reviewed</t>
        </is>
      </c>
      <c r="H1342" s="14" t="inlineStr">
        <is>
          <t>10 EVIDENCE &amp; DECISIONS</t>
        </is>
      </c>
    </row>
    <row r="1343" ht="34" customHeight="1">
      <c r="A1343" s="23" t="inlineStr">
        <is>
          <t>R1500-v2</t>
        </is>
      </c>
      <c r="B1343" s="23" t="inlineStr">
        <is>
          <t>Cost &amp; Forecast Control Accounts</t>
        </is>
      </c>
      <c r="C1343" s="23" t="inlineStr">
        <is>
          <t>CST-06-018</t>
        </is>
      </c>
      <c r="D1343" s="23" t="inlineStr">
        <is>
          <t>1.6.2 Program Management - Commercial &amp; Procurement</t>
        </is>
      </c>
      <c r="E1343" s="23" t="inlineStr">
        <is>
          <t>Carried forward</t>
        </is>
      </c>
      <c r="F1343" s="23" t="inlineStr"/>
      <c r="G1343" s="23" t="inlineStr">
        <is>
          <t>Source assignment -- not individually reviewed</t>
        </is>
      </c>
      <c r="H1343" s="14" t="inlineStr">
        <is>
          <t>10 EVIDENCE &amp; DECISIONS</t>
        </is>
      </c>
    </row>
    <row r="1344" ht="34" customHeight="1">
      <c r="A1344" s="23" t="inlineStr">
        <is>
          <t>R1502-v2</t>
        </is>
      </c>
      <c r="B1344" s="23" t="inlineStr">
        <is>
          <t>Cost &amp; Forecast Control Accounts</t>
        </is>
      </c>
      <c r="C1344" s="23" t="inlineStr">
        <is>
          <t>CST-06-020</t>
        </is>
      </c>
      <c r="D1344" s="23" t="inlineStr">
        <is>
          <t>1.6.2 Program Management - Commercial &amp; Procurement</t>
        </is>
      </c>
      <c r="E1344" s="23" t="inlineStr">
        <is>
          <t>Carried forward</t>
        </is>
      </c>
      <c r="F1344" s="23" t="inlineStr"/>
      <c r="G1344" s="23" t="inlineStr">
        <is>
          <t>Source assignment -- not individually reviewed</t>
        </is>
      </c>
      <c r="H1344" s="14" t="inlineStr">
        <is>
          <t>10 EVIDENCE &amp; DECISIONS</t>
        </is>
      </c>
    </row>
    <row r="1345" ht="34" customHeight="1">
      <c r="A1345" s="23" t="inlineStr">
        <is>
          <t>R1504-v2</t>
        </is>
      </c>
      <c r="B1345" s="23" t="inlineStr">
        <is>
          <t>Cost &amp; Forecast Control Accounts</t>
        </is>
      </c>
      <c r="C1345" s="23" t="inlineStr">
        <is>
          <t>CST-06-022</t>
        </is>
      </c>
      <c r="D1345" s="23" t="inlineStr">
        <is>
          <t>1.6.2 Program Management - Commercial &amp; Procurement</t>
        </is>
      </c>
      <c r="E1345" s="23" t="inlineStr">
        <is>
          <t>Carried forward</t>
        </is>
      </c>
      <c r="F1345" s="23" t="inlineStr"/>
      <c r="G1345" s="23" t="inlineStr">
        <is>
          <t>Source assignment -- not individually reviewed</t>
        </is>
      </c>
      <c r="H1345" s="14" t="inlineStr">
        <is>
          <t>10 EVIDENCE &amp; DECISIONS</t>
        </is>
      </c>
    </row>
    <row r="1346" ht="34" customHeight="1">
      <c r="A1346" s="23" t="inlineStr">
        <is>
          <t>R1506-v2</t>
        </is>
      </c>
      <c r="B1346" s="23" t="inlineStr">
        <is>
          <t>Cost &amp; Forecast Control Accounts</t>
        </is>
      </c>
      <c r="C1346" s="23" t="inlineStr">
        <is>
          <t>CST-06-024</t>
        </is>
      </c>
      <c r="D1346" s="23" t="inlineStr">
        <is>
          <t>1.6.2 Program Management - Commercial &amp; Procurement</t>
        </is>
      </c>
      <c r="E1346" s="23" t="inlineStr">
        <is>
          <t>Carried forward</t>
        </is>
      </c>
      <c r="F1346" s="23" t="inlineStr"/>
      <c r="G1346" s="23" t="inlineStr">
        <is>
          <t>Source assignment -- not individually reviewed</t>
        </is>
      </c>
      <c r="H1346" s="14" t="inlineStr">
        <is>
          <t>10 EVIDENCE &amp; DECISIONS</t>
        </is>
      </c>
    </row>
    <row r="1347" ht="34" customHeight="1">
      <c r="A1347" s="23" t="inlineStr">
        <is>
          <t>R1508-v2</t>
        </is>
      </c>
      <c r="B1347" s="23" t="inlineStr">
        <is>
          <t>Cost &amp; Forecast Control Accounts</t>
        </is>
      </c>
      <c r="C1347" s="23" t="inlineStr">
        <is>
          <t>CST-06-026</t>
        </is>
      </c>
      <c r="D1347" s="23" t="inlineStr">
        <is>
          <t>1.6.2 Program Management - Commercial &amp; Procurement</t>
        </is>
      </c>
      <c r="E1347" s="23" t="inlineStr">
        <is>
          <t>Carried forward</t>
        </is>
      </c>
      <c r="F1347" s="23" t="inlineStr"/>
      <c r="G1347" s="23" t="inlineStr">
        <is>
          <t>Source assignment -- not individually reviewed</t>
        </is>
      </c>
      <c r="H1347" s="14" t="inlineStr">
        <is>
          <t>10 EVIDENCE &amp; DECISIONS</t>
        </is>
      </c>
    </row>
    <row r="1348" ht="34" customHeight="1">
      <c r="A1348" s="23" t="inlineStr">
        <is>
          <t>R1510-v2</t>
        </is>
      </c>
      <c r="B1348" s="23" t="inlineStr">
        <is>
          <t>Cost &amp; Forecast Control Accounts</t>
        </is>
      </c>
      <c r="C1348" s="23" t="inlineStr">
        <is>
          <t>CST-06-028</t>
        </is>
      </c>
      <c r="D1348" s="23" t="inlineStr">
        <is>
          <t>1.6.2 Program Management - Commercial &amp; Procurement</t>
        </is>
      </c>
      <c r="E1348" s="23" t="inlineStr">
        <is>
          <t>Carried forward</t>
        </is>
      </c>
      <c r="F1348" s="23" t="inlineStr"/>
      <c r="G1348" s="23" t="inlineStr">
        <is>
          <t>Source assignment -- not individually reviewed</t>
        </is>
      </c>
      <c r="H1348" s="14" t="inlineStr">
        <is>
          <t>10 EVIDENCE &amp; DECISIONS</t>
        </is>
      </c>
    </row>
    <row r="1349" ht="34" customHeight="1">
      <c r="A1349" s="23" t="inlineStr">
        <is>
          <t>R1512-v2</t>
        </is>
      </c>
      <c r="B1349" s="23" t="inlineStr">
        <is>
          <t>Cost &amp; Forecast Control Accounts</t>
        </is>
      </c>
      <c r="C1349" s="23" t="inlineStr">
        <is>
          <t>CST-06-030</t>
        </is>
      </c>
      <c r="D1349" s="23" t="inlineStr">
        <is>
          <t>1.6.2 Program Management - Commercial &amp; Procurement</t>
        </is>
      </c>
      <c r="E1349" s="23" t="inlineStr">
        <is>
          <t>Carried forward</t>
        </is>
      </c>
      <c r="F1349" s="23" t="inlineStr"/>
      <c r="G1349" s="23" t="inlineStr">
        <is>
          <t>Source assignment -- not individually reviewed</t>
        </is>
      </c>
      <c r="H1349" s="14" t="inlineStr">
        <is>
          <t>10 EVIDENCE &amp; DECISIONS</t>
        </is>
      </c>
    </row>
    <row r="1350" ht="34" customHeight="1">
      <c r="A1350" s="23" t="inlineStr">
        <is>
          <t>R1514-v2</t>
        </is>
      </c>
      <c r="B1350" s="23" t="inlineStr">
        <is>
          <t>Cost &amp; Forecast Control Accounts</t>
        </is>
      </c>
      <c r="C1350" s="23" t="inlineStr">
        <is>
          <t>CST-06-032</t>
        </is>
      </c>
      <c r="D1350" s="23" t="inlineStr">
        <is>
          <t>1.6.2 Program Management - Commercial &amp; Procurement</t>
        </is>
      </c>
      <c r="E1350" s="23" t="inlineStr">
        <is>
          <t>Carried forward</t>
        </is>
      </c>
      <c r="F1350" s="23" t="inlineStr"/>
      <c r="G1350" s="23" t="inlineStr">
        <is>
          <t>Source assignment -- not individually reviewed</t>
        </is>
      </c>
      <c r="H1350" s="14" t="inlineStr">
        <is>
          <t>10 EVIDENCE &amp; DECISIONS</t>
        </is>
      </c>
    </row>
    <row r="1351" ht="34" customHeight="1">
      <c r="A1351" s="23" t="inlineStr">
        <is>
          <t>R1516-v2</t>
        </is>
      </c>
      <c r="B1351" s="23" t="inlineStr">
        <is>
          <t>Cost &amp; Forecast Control Accounts</t>
        </is>
      </c>
      <c r="C1351" s="23" t="inlineStr">
        <is>
          <t>CST-06-034</t>
        </is>
      </c>
      <c r="D1351" s="23" t="inlineStr">
        <is>
          <t>1.6.2 Program Management - Commercial &amp; Procurement</t>
        </is>
      </c>
      <c r="E1351" s="23" t="inlineStr">
        <is>
          <t>Carried forward</t>
        </is>
      </c>
      <c r="F1351" s="23" t="inlineStr"/>
      <c r="G1351" s="23" t="inlineStr">
        <is>
          <t>Source assignment -- not individually reviewed</t>
        </is>
      </c>
      <c r="H1351" s="14" t="inlineStr">
        <is>
          <t>10 EVIDENCE &amp; DECISIONS</t>
        </is>
      </c>
    </row>
    <row r="1352" ht="34" customHeight="1">
      <c r="A1352" s="23" t="inlineStr">
        <is>
          <t>R1518-v2</t>
        </is>
      </c>
      <c r="B1352" s="23" t="inlineStr">
        <is>
          <t>Cost &amp; Forecast Control Accounts</t>
        </is>
      </c>
      <c r="C1352" s="23" t="inlineStr">
        <is>
          <t>CST-06-036</t>
        </is>
      </c>
      <c r="D1352" s="23" t="inlineStr">
        <is>
          <t>1.6.2 Program Management - Commercial &amp; Procurement</t>
        </is>
      </c>
      <c r="E1352" s="23" t="inlineStr">
        <is>
          <t>Carried forward</t>
        </is>
      </c>
      <c r="F1352" s="23" t="inlineStr"/>
      <c r="G1352" s="23" t="inlineStr">
        <is>
          <t>Source assignment -- not individually reviewed</t>
        </is>
      </c>
      <c r="H1352" s="14" t="inlineStr">
        <is>
          <t>10 EVIDENCE &amp; DECISIONS</t>
        </is>
      </c>
    </row>
    <row r="1353" ht="34" customHeight="1">
      <c r="A1353" s="23" t="inlineStr">
        <is>
          <t>R1520-v2</t>
        </is>
      </c>
      <c r="B1353" s="23" t="inlineStr">
        <is>
          <t>Cost &amp; Forecast Control Accounts</t>
        </is>
      </c>
      <c r="C1353" s="23" t="inlineStr">
        <is>
          <t>CST-06-038</t>
        </is>
      </c>
      <c r="D1353" s="23" t="inlineStr">
        <is>
          <t>1.6.2 Program Management - Commercial &amp; Procurement</t>
        </is>
      </c>
      <c r="E1353" s="23" t="inlineStr">
        <is>
          <t>Carried forward</t>
        </is>
      </c>
      <c r="F1353" s="23" t="inlineStr"/>
      <c r="G1353" s="23" t="inlineStr">
        <is>
          <t>Source assignment -- not individually reviewed</t>
        </is>
      </c>
      <c r="H1353" s="14" t="inlineStr">
        <is>
          <t>10 EVIDENCE &amp; DECISIONS</t>
        </is>
      </c>
    </row>
    <row r="1354" ht="34" customHeight="1">
      <c r="A1354" s="23" t="inlineStr">
        <is>
          <t>R1522-v2</t>
        </is>
      </c>
      <c r="B1354" s="23" t="inlineStr">
        <is>
          <t>Cost &amp; Forecast Control Accounts</t>
        </is>
      </c>
      <c r="C1354" s="23" t="inlineStr">
        <is>
          <t>CST-06-040</t>
        </is>
      </c>
      <c r="D1354" s="23" t="inlineStr">
        <is>
          <t>1.6.2 Program Management - Commercial &amp; Procurement</t>
        </is>
      </c>
      <c r="E1354" s="23" t="inlineStr">
        <is>
          <t>Carried forward</t>
        </is>
      </c>
      <c r="F1354" s="23" t="inlineStr"/>
      <c r="G1354" s="23" t="inlineStr">
        <is>
          <t>Source assignment -- not individually reviewed</t>
        </is>
      </c>
      <c r="H1354" s="14" t="inlineStr">
        <is>
          <t>10 EVIDENCE &amp; DECISIONS</t>
        </is>
      </c>
    </row>
    <row r="1355" ht="34" customHeight="1">
      <c r="A1355" s="23" t="inlineStr">
        <is>
          <t>R1524-v2</t>
        </is>
      </c>
      <c r="B1355" s="23" t="inlineStr">
        <is>
          <t>Cost &amp; Forecast Control Accounts</t>
        </is>
      </c>
      <c r="C1355" s="23" t="inlineStr">
        <is>
          <t>CST-06-042</t>
        </is>
      </c>
      <c r="D1355" s="23" t="inlineStr">
        <is>
          <t>1.6.2 Program Management - Commercial &amp; Procurement</t>
        </is>
      </c>
      <c r="E1355" s="23" t="inlineStr">
        <is>
          <t>Carried forward</t>
        </is>
      </c>
      <c r="F1355" s="23" t="inlineStr"/>
      <c r="G1355" s="23" t="inlineStr">
        <is>
          <t>Source assignment -- not individually reviewed</t>
        </is>
      </c>
      <c r="H1355" s="14" t="inlineStr">
        <is>
          <t>10 EVIDENCE &amp; DECISIONS</t>
        </is>
      </c>
    </row>
    <row r="1356" ht="34" customHeight="1">
      <c r="A1356" s="23" t="inlineStr">
        <is>
          <t>R1526-v2</t>
        </is>
      </c>
      <c r="B1356" s="23" t="inlineStr">
        <is>
          <t>Cost &amp; Forecast Control Accounts</t>
        </is>
      </c>
      <c r="C1356" s="23" t="inlineStr">
        <is>
          <t>CST-06-044</t>
        </is>
      </c>
      <c r="D1356" s="23" t="inlineStr">
        <is>
          <t>1.6.2 Program Management - Commercial &amp; Procurement</t>
        </is>
      </c>
      <c r="E1356" s="23" t="inlineStr">
        <is>
          <t>Carried forward</t>
        </is>
      </c>
      <c r="F1356" s="23" t="inlineStr"/>
      <c r="G1356" s="23" t="inlineStr">
        <is>
          <t>Source assignment -- not individually reviewed</t>
        </is>
      </c>
      <c r="H1356" s="14" t="inlineStr">
        <is>
          <t>10 EVIDENCE &amp; DECISIONS</t>
        </is>
      </c>
    </row>
    <row r="1357" ht="34" customHeight="1">
      <c r="A1357" s="23" t="inlineStr">
        <is>
          <t>R1528-v2</t>
        </is>
      </c>
      <c r="B1357" s="23" t="inlineStr">
        <is>
          <t>Cost &amp; Forecast Control Accounts</t>
        </is>
      </c>
      <c r="C1357" s="23" t="inlineStr">
        <is>
          <t>CST-06-046</t>
        </is>
      </c>
      <c r="D1357" s="23" t="inlineStr">
        <is>
          <t>1.6.2 Program Management - Commercial &amp; Procurement</t>
        </is>
      </c>
      <c r="E1357" s="23" t="inlineStr">
        <is>
          <t>Carried forward</t>
        </is>
      </c>
      <c r="F1357" s="23" t="inlineStr"/>
      <c r="G1357" s="23" t="inlineStr">
        <is>
          <t>Source assignment -- not individually reviewed</t>
        </is>
      </c>
      <c r="H1357" s="14" t="inlineStr">
        <is>
          <t>10 EVIDENCE &amp; DECISIONS</t>
        </is>
      </c>
    </row>
    <row r="1358" ht="34" customHeight="1">
      <c r="A1358" s="23" t="inlineStr">
        <is>
          <t>R1530-v2</t>
        </is>
      </c>
      <c r="B1358" s="23" t="inlineStr">
        <is>
          <t>Cost &amp; Forecast Control Accounts</t>
        </is>
      </c>
      <c r="C1358" s="23" t="inlineStr">
        <is>
          <t>CST-06-048</t>
        </is>
      </c>
      <c r="D1358" s="23" t="inlineStr">
        <is>
          <t>1.6.2 Program Management - Commercial &amp; Procurement</t>
        </is>
      </c>
      <c r="E1358" s="23" t="inlineStr">
        <is>
          <t>Carried forward</t>
        </is>
      </c>
      <c r="F1358" s="23" t="inlineStr"/>
      <c r="G1358" s="23" t="inlineStr">
        <is>
          <t>Source assignment -- not individually reviewed</t>
        </is>
      </c>
      <c r="H1358" s="14" t="inlineStr">
        <is>
          <t>10 EVIDENCE &amp; DECISIONS</t>
        </is>
      </c>
    </row>
    <row r="1359" ht="34" customHeight="1">
      <c r="A1359" s="23" t="inlineStr">
        <is>
          <t>R1532-v2</t>
        </is>
      </c>
      <c r="B1359" s="23" t="inlineStr">
        <is>
          <t>Cost &amp; Forecast Control Accounts</t>
        </is>
      </c>
      <c r="C1359" s="23" t="inlineStr">
        <is>
          <t>CST-06-050</t>
        </is>
      </c>
      <c r="D1359" s="23" t="inlineStr">
        <is>
          <t>1.6.2 Program Management - Commercial &amp; Procurement</t>
        </is>
      </c>
      <c r="E1359" s="23" t="inlineStr">
        <is>
          <t>Carried forward</t>
        </is>
      </c>
      <c r="F1359" s="23" t="inlineStr"/>
      <c r="G1359" s="23" t="inlineStr">
        <is>
          <t>Source assignment -- not individually reviewed</t>
        </is>
      </c>
      <c r="H1359" s="14" t="inlineStr">
        <is>
          <t>10 EVIDENCE &amp; DECISIONS</t>
        </is>
      </c>
    </row>
    <row r="1360" ht="34" customHeight="1">
      <c r="A1360" s="23" t="inlineStr">
        <is>
          <t>R1534-v2</t>
        </is>
      </c>
      <c r="B1360" s="23" t="inlineStr">
        <is>
          <t>Cost &amp; Forecast Control Accounts</t>
        </is>
      </c>
      <c r="C1360" s="23" t="inlineStr">
        <is>
          <t>CST-06-052</t>
        </is>
      </c>
      <c r="D1360" s="23" t="inlineStr">
        <is>
          <t>1.6.2 Program Management - Commercial &amp; Procurement</t>
        </is>
      </c>
      <c r="E1360" s="23" t="inlineStr">
        <is>
          <t>Carried forward</t>
        </is>
      </c>
      <c r="F1360" s="23" t="inlineStr"/>
      <c r="G1360" s="23" t="inlineStr">
        <is>
          <t>Source assignment -- not individually reviewed</t>
        </is>
      </c>
      <c r="H1360" s="14" t="inlineStr">
        <is>
          <t>10 EVIDENCE &amp; DECISIONS</t>
        </is>
      </c>
    </row>
    <row r="1361" ht="34" customHeight="1">
      <c r="A1361" s="23" t="inlineStr">
        <is>
          <t>R1536-v2</t>
        </is>
      </c>
      <c r="B1361" s="23" t="inlineStr">
        <is>
          <t>Cost &amp; Forecast Control Accounts</t>
        </is>
      </c>
      <c r="C1361" s="23" t="inlineStr">
        <is>
          <t>CST-06-054</t>
        </is>
      </c>
      <c r="D1361" s="23" t="inlineStr">
        <is>
          <t>1.6.2 Program Management - Commercial &amp; Procurement</t>
        </is>
      </c>
      <c r="E1361" s="23" t="inlineStr">
        <is>
          <t>Carried forward</t>
        </is>
      </c>
      <c r="F1361" s="23" t="inlineStr"/>
      <c r="G1361" s="23" t="inlineStr">
        <is>
          <t>Source assignment -- not individually reviewed</t>
        </is>
      </c>
      <c r="H1361" s="14" t="inlineStr">
        <is>
          <t>10 EVIDENCE &amp; DECISIONS</t>
        </is>
      </c>
    </row>
    <row r="1362" ht="34" customHeight="1">
      <c r="A1362" s="23" t="inlineStr">
        <is>
          <t>R1538-v2</t>
        </is>
      </c>
      <c r="B1362" s="23" t="inlineStr">
        <is>
          <t>Cost &amp; Forecast Control Accounts</t>
        </is>
      </c>
      <c r="C1362" s="23" t="inlineStr">
        <is>
          <t>CST-06-056</t>
        </is>
      </c>
      <c r="D1362" s="23" t="inlineStr">
        <is>
          <t>1.6.2 Program Management - Commercial &amp; Procurement</t>
        </is>
      </c>
      <c r="E1362" s="23" t="inlineStr">
        <is>
          <t>Carried forward</t>
        </is>
      </c>
      <c r="F1362" s="23" t="inlineStr"/>
      <c r="G1362" s="23" t="inlineStr">
        <is>
          <t>Source assignment -- not individually reviewed</t>
        </is>
      </c>
      <c r="H1362" s="14" t="inlineStr">
        <is>
          <t>10 EVIDENCE &amp; DECISIONS</t>
        </is>
      </c>
    </row>
    <row r="1363" ht="34" customHeight="1">
      <c r="A1363" s="23" t="inlineStr">
        <is>
          <t>R1540-v2</t>
        </is>
      </c>
      <c r="B1363" s="23" t="inlineStr">
        <is>
          <t>Cost &amp; Forecast Control Accounts</t>
        </is>
      </c>
      <c r="C1363" s="23" t="inlineStr">
        <is>
          <t>CST-06-058</t>
        </is>
      </c>
      <c r="D1363" s="23" t="inlineStr">
        <is>
          <t>1.6.2 Program Management - Commercial &amp; Procurement</t>
        </is>
      </c>
      <c r="E1363" s="23" t="inlineStr">
        <is>
          <t>Carried forward</t>
        </is>
      </c>
      <c r="F1363" s="23" t="inlineStr"/>
      <c r="G1363" s="23" t="inlineStr">
        <is>
          <t>Source assignment -- not individually reviewed</t>
        </is>
      </c>
      <c r="H1363" s="14" t="inlineStr">
        <is>
          <t>10 EVIDENCE &amp; DECISIONS</t>
        </is>
      </c>
    </row>
    <row r="1364" ht="34" customHeight="1">
      <c r="A1364" s="23" t="inlineStr">
        <is>
          <t>R1542-v2</t>
        </is>
      </c>
      <c r="B1364" s="23" t="inlineStr">
        <is>
          <t>Cost &amp; Forecast Control Accounts</t>
        </is>
      </c>
      <c r="C1364" s="23" t="inlineStr">
        <is>
          <t>CST-06-060</t>
        </is>
      </c>
      <c r="D1364" s="23" t="inlineStr">
        <is>
          <t>1.6.2 Program Management - Commercial &amp; Procurement</t>
        </is>
      </c>
      <c r="E1364" s="23" t="inlineStr">
        <is>
          <t>Carried forward</t>
        </is>
      </c>
      <c r="F1364" s="23" t="inlineStr"/>
      <c r="G1364" s="23" t="inlineStr">
        <is>
          <t>Source assignment -- not individually reviewed</t>
        </is>
      </c>
      <c r="H1364" s="14" t="inlineStr">
        <is>
          <t>10 EVIDENCE &amp; DECISIONS</t>
        </is>
      </c>
    </row>
    <row r="1365" ht="34" customHeight="1">
      <c r="A1365" s="23" t="inlineStr">
        <is>
          <t>R1544-v2</t>
        </is>
      </c>
      <c r="B1365" s="23" t="inlineStr">
        <is>
          <t>Cost &amp; Forecast Control Accounts</t>
        </is>
      </c>
      <c r="C1365" s="23" t="inlineStr">
        <is>
          <t>CST-06-062</t>
        </is>
      </c>
      <c r="D1365" s="23" t="inlineStr">
        <is>
          <t>1.6.2 Program Management - Commercial &amp; Procurement</t>
        </is>
      </c>
      <c r="E1365" s="23" t="inlineStr">
        <is>
          <t>Carried forward</t>
        </is>
      </c>
      <c r="F1365" s="23" t="inlineStr"/>
      <c r="G1365" s="23" t="inlineStr">
        <is>
          <t>Source assignment -- not individually reviewed</t>
        </is>
      </c>
      <c r="H1365" s="14" t="inlineStr">
        <is>
          <t>10 EVIDENCE &amp; DECISIONS</t>
        </is>
      </c>
    </row>
    <row r="1366" ht="34" customHeight="1">
      <c r="A1366" s="23" t="inlineStr">
        <is>
          <t>R1546-v2</t>
        </is>
      </c>
      <c r="B1366" s="23" t="inlineStr">
        <is>
          <t>Cost &amp; Forecast Control Accounts</t>
        </is>
      </c>
      <c r="C1366" s="23" t="inlineStr">
        <is>
          <t>CST-06-064</t>
        </is>
      </c>
      <c r="D1366" s="23" t="inlineStr">
        <is>
          <t>1.6.2 Program Management - Commercial &amp; Procurement</t>
        </is>
      </c>
      <c r="E1366" s="23" t="inlineStr">
        <is>
          <t>Carried forward</t>
        </is>
      </c>
      <c r="F1366" s="23" t="inlineStr"/>
      <c r="G1366" s="23" t="inlineStr">
        <is>
          <t>Source assignment -- not individually reviewed</t>
        </is>
      </c>
      <c r="H1366" s="14" t="inlineStr">
        <is>
          <t>10 EVIDENCE &amp; DECISIONS</t>
        </is>
      </c>
    </row>
    <row r="1367" ht="34" customHeight="1">
      <c r="A1367" s="23" t="inlineStr">
        <is>
          <t>R1548-v2</t>
        </is>
      </c>
      <c r="B1367" s="23" t="inlineStr">
        <is>
          <t>Cost &amp; Forecast Control Accounts</t>
        </is>
      </c>
      <c r="C1367" s="23" t="inlineStr">
        <is>
          <t>CST-06-066</t>
        </is>
      </c>
      <c r="D1367" s="23" t="inlineStr">
        <is>
          <t>1.6.2 Program Management - Commercial &amp; Procurement</t>
        </is>
      </c>
      <c r="E1367" s="23" t="inlineStr">
        <is>
          <t>Carried forward</t>
        </is>
      </c>
      <c r="F1367" s="23" t="inlineStr"/>
      <c r="G1367" s="23" t="inlineStr">
        <is>
          <t>Source assignment -- not individually reviewed</t>
        </is>
      </c>
      <c r="H1367" s="14" t="inlineStr">
        <is>
          <t>10 EVIDENCE &amp; DECISIONS</t>
        </is>
      </c>
    </row>
    <row r="1368" ht="34" customHeight="1">
      <c r="A1368" s="23" t="inlineStr">
        <is>
          <t>R1550-v2</t>
        </is>
      </c>
      <c r="B1368" s="23" t="inlineStr">
        <is>
          <t>Cost &amp; Forecast Control Accounts</t>
        </is>
      </c>
      <c r="C1368" s="23" t="inlineStr">
        <is>
          <t>CST-06-068</t>
        </is>
      </c>
      <c r="D1368" s="23" t="inlineStr">
        <is>
          <t>1.6.2 Program Management - Commercial &amp; Procurement</t>
        </is>
      </c>
      <c r="E1368" s="23" t="inlineStr">
        <is>
          <t>Carried forward</t>
        </is>
      </c>
      <c r="F1368" s="23" t="inlineStr"/>
      <c r="G1368" s="23" t="inlineStr">
        <is>
          <t>Source assignment -- not individually reviewed</t>
        </is>
      </c>
      <c r="H1368" s="14" t="inlineStr">
        <is>
          <t>10 EVIDENCE &amp; DECISIONS</t>
        </is>
      </c>
    </row>
    <row r="1369" ht="34" customHeight="1">
      <c r="A1369" s="23" t="inlineStr">
        <is>
          <t>R1552-v2</t>
        </is>
      </c>
      <c r="B1369" s="23" t="inlineStr">
        <is>
          <t>Cost &amp; Forecast Control Accounts</t>
        </is>
      </c>
      <c r="C1369" s="23" t="inlineStr">
        <is>
          <t>CST-06-070</t>
        </is>
      </c>
      <c r="D1369" s="23" t="inlineStr">
        <is>
          <t>1.6.2 Program Management - Commercial &amp; Procurement</t>
        </is>
      </c>
      <c r="E1369" s="23" t="inlineStr">
        <is>
          <t>Carried forward</t>
        </is>
      </c>
      <c r="F1369" s="23" t="inlineStr"/>
      <c r="G1369" s="23" t="inlineStr">
        <is>
          <t>Source assignment -- not individually reviewed</t>
        </is>
      </c>
      <c r="H1369" s="14" t="inlineStr">
        <is>
          <t>10 EVIDENCE &amp; DECISIONS</t>
        </is>
      </c>
    </row>
    <row r="1370" ht="34" customHeight="1">
      <c r="A1370" s="23" t="inlineStr">
        <is>
          <t>R1554-v2</t>
        </is>
      </c>
      <c r="B1370" s="23" t="inlineStr">
        <is>
          <t>Cost &amp; Forecast Control Accounts</t>
        </is>
      </c>
      <c r="C1370" s="23" t="inlineStr">
        <is>
          <t>CST-06-072</t>
        </is>
      </c>
      <c r="D1370" s="23" t="inlineStr">
        <is>
          <t>1.6.2 Program Management - Commercial &amp; Procurement</t>
        </is>
      </c>
      <c r="E1370" s="23" t="inlineStr">
        <is>
          <t>Carried forward</t>
        </is>
      </c>
      <c r="F1370" s="23" t="inlineStr"/>
      <c r="G1370" s="23" t="inlineStr">
        <is>
          <t>Source assignment -- not individually reviewed</t>
        </is>
      </c>
      <c r="H1370" s="14" t="inlineStr">
        <is>
          <t>10 EVIDENCE &amp; DECISIONS</t>
        </is>
      </c>
    </row>
    <row r="1371" ht="34" customHeight="1">
      <c r="A1371" s="23" t="inlineStr">
        <is>
          <t>R1556-v2</t>
        </is>
      </c>
      <c r="B1371" s="23" t="inlineStr">
        <is>
          <t>Cost &amp; Forecast Control Accounts</t>
        </is>
      </c>
      <c r="C1371" s="23" t="inlineStr">
        <is>
          <t>CST-06-074</t>
        </is>
      </c>
      <c r="D1371" s="23" t="inlineStr">
        <is>
          <t>1.6.2 Program Management - Commercial &amp; Procurement</t>
        </is>
      </c>
      <c r="E1371" s="23" t="inlineStr">
        <is>
          <t>Carried forward</t>
        </is>
      </c>
      <c r="F1371" s="23" t="inlineStr"/>
      <c r="G1371" s="23" t="inlineStr">
        <is>
          <t>Source assignment -- not individually reviewed</t>
        </is>
      </c>
      <c r="H1371" s="14" t="inlineStr">
        <is>
          <t>10 EVIDENCE &amp; DECISIONS</t>
        </is>
      </c>
    </row>
    <row r="1372" ht="34" customHeight="1">
      <c r="A1372" s="23" t="inlineStr">
        <is>
          <t>R1558-v2</t>
        </is>
      </c>
      <c r="B1372" s="23" t="inlineStr">
        <is>
          <t>Cost &amp; Forecast Control Accounts</t>
        </is>
      </c>
      <c r="C1372" s="23" t="inlineStr">
        <is>
          <t>CST-06-076</t>
        </is>
      </c>
      <c r="D1372" s="23" t="inlineStr">
        <is>
          <t>1.6.2 Program Management - Commercial &amp; Procurement</t>
        </is>
      </c>
      <c r="E1372" s="23" t="inlineStr">
        <is>
          <t>Carried forward</t>
        </is>
      </c>
      <c r="F1372" s="23" t="inlineStr"/>
      <c r="G1372" s="23" t="inlineStr">
        <is>
          <t>Source assignment -- not individually reviewed</t>
        </is>
      </c>
      <c r="H1372" s="14" t="inlineStr">
        <is>
          <t>10 EVIDENCE &amp; DECISIONS</t>
        </is>
      </c>
    </row>
    <row r="1373" ht="34" customHeight="1">
      <c r="A1373" s="23" t="inlineStr">
        <is>
          <t>R1560-v2</t>
        </is>
      </c>
      <c r="B1373" s="23" t="inlineStr">
        <is>
          <t>Cost &amp; Forecast Control Accounts</t>
        </is>
      </c>
      <c r="C1373" s="23" t="inlineStr">
        <is>
          <t>CST-06-078</t>
        </is>
      </c>
      <c r="D1373" s="23" t="inlineStr">
        <is>
          <t>1.6.2 Program Management - Commercial &amp; Procurement</t>
        </is>
      </c>
      <c r="E1373" s="23" t="inlineStr">
        <is>
          <t>Carried forward</t>
        </is>
      </c>
      <c r="F1373" s="23" t="inlineStr"/>
      <c r="G1373" s="23" t="inlineStr">
        <is>
          <t>Source assignment -- not individually reviewed</t>
        </is>
      </c>
      <c r="H1373" s="14" t="inlineStr">
        <is>
          <t>10 EVIDENCE &amp; DECISIONS</t>
        </is>
      </c>
    </row>
    <row r="1374" ht="34" customHeight="1">
      <c r="A1374" s="23" t="inlineStr">
        <is>
          <t>R1562-v2</t>
        </is>
      </c>
      <c r="B1374" s="23" t="inlineStr">
        <is>
          <t>Cost &amp; Forecast Control Accounts</t>
        </is>
      </c>
      <c r="C1374" s="23" t="inlineStr">
        <is>
          <t>CST-06-080</t>
        </is>
      </c>
      <c r="D1374" s="23" t="inlineStr">
        <is>
          <t>1.6.2 Program Management - Commercial &amp; Procurement</t>
        </is>
      </c>
      <c r="E1374" s="23" t="inlineStr">
        <is>
          <t>Carried forward</t>
        </is>
      </c>
      <c r="F1374" s="23" t="inlineStr"/>
      <c r="G1374" s="23" t="inlineStr">
        <is>
          <t>Source assignment -- not individually reviewed</t>
        </is>
      </c>
      <c r="H1374" s="14" t="inlineStr">
        <is>
          <t>10 EVIDENCE &amp; DECISIONS</t>
        </is>
      </c>
    </row>
    <row r="1375" ht="34" customHeight="1">
      <c r="A1375" s="23" t="inlineStr">
        <is>
          <t>R1082-v3</t>
        </is>
      </c>
      <c r="B1375" s="23" t="inlineStr">
        <is>
          <t>Contractor Programme</t>
        </is>
      </c>
      <c r="C1375" s="23" t="inlineStr">
        <is>
          <t>SCH-90-902</t>
        </is>
      </c>
      <c r="D1375" s="23" t="inlineStr">
        <is>
          <t>NO_WBS</t>
        </is>
      </c>
      <c r="E1375" s="23" t="inlineStr">
        <is>
          <t>Carried forward</t>
        </is>
      </c>
      <c r="F1375" s="23" t="inlineStr"/>
      <c r="G1375" s="23" t="inlineStr">
        <is>
          <t>Maya Chen, Owner Project Controls</t>
        </is>
      </c>
      <c r="H1375" s="14" t="inlineStr">
        <is>
          <t>10 EVIDENCE &amp; DECISIONS</t>
        </is>
      </c>
    </row>
    <row r="1376" ht="34" customHeight="1">
      <c r="A1376" s="23" t="inlineStr">
        <is>
          <t>R1000-v3</t>
        </is>
      </c>
      <c r="B1376" s="23" t="inlineStr">
        <is>
          <t>Contractor Programme</t>
        </is>
      </c>
      <c r="C1376" s="23" t="inlineStr">
        <is>
          <t>SCH-06-100</t>
        </is>
      </c>
      <c r="D1376" s="23" t="inlineStr">
        <is>
          <t>UNSURE</t>
        </is>
      </c>
      <c r="E1376" s="23" t="inlineStr">
        <is>
          <t>Carried forward</t>
        </is>
      </c>
      <c r="F1376" s="23" t="inlineStr"/>
      <c r="G1376" s="23" t="inlineStr">
        <is>
          <t>Maya Chen, Owner Project Controls</t>
        </is>
      </c>
      <c r="H1376" s="14" t="inlineStr">
        <is>
          <t>10 EVIDENCE &amp; DECISIONS</t>
        </is>
      </c>
    </row>
    <row r="1377" ht="34" customHeight="1">
      <c r="A1377" s="23" t="inlineStr">
        <is>
          <t>R1001-v3</t>
        </is>
      </c>
      <c r="B1377" s="23" t="inlineStr">
        <is>
          <t>Contractor Programme</t>
        </is>
      </c>
      <c r="C1377" s="23" t="inlineStr">
        <is>
          <t>SCH-06-101</t>
        </is>
      </c>
      <c r="D1377" s="23" t="inlineStr">
        <is>
          <t>UNSURE</t>
        </is>
      </c>
      <c r="E1377" s="23" t="inlineStr">
        <is>
          <t>Carried forward</t>
        </is>
      </c>
      <c r="F1377" s="23" t="inlineStr"/>
      <c r="G1377" s="23" t="inlineStr">
        <is>
          <t>Maya Chen, Owner Project Controls</t>
        </is>
      </c>
      <c r="H1377" s="14" t="inlineStr">
        <is>
          <t>10 EVIDENCE &amp; DECISIONS</t>
        </is>
      </c>
    </row>
    <row r="1378" ht="34" customHeight="1">
      <c r="A1378" s="23" t="inlineStr">
        <is>
          <t>R1002-v3</t>
        </is>
      </c>
      <c r="B1378" s="23" t="inlineStr">
        <is>
          <t>Contractor Programme</t>
        </is>
      </c>
      <c r="C1378" s="23" t="inlineStr">
        <is>
          <t>SCH-06-102</t>
        </is>
      </c>
      <c r="D1378" s="23" t="inlineStr">
        <is>
          <t>UNSURE</t>
        </is>
      </c>
      <c r="E1378" s="23" t="inlineStr">
        <is>
          <t>Carried forward</t>
        </is>
      </c>
      <c r="F1378" s="23" t="inlineStr"/>
      <c r="G1378" s="23" t="inlineStr">
        <is>
          <t>Maya Chen, Owner Project Controls</t>
        </is>
      </c>
      <c r="H1378" s="14" t="inlineStr">
        <is>
          <t>10 EVIDENCE &amp; DECISIONS</t>
        </is>
      </c>
    </row>
    <row r="1379" ht="34" customHeight="1">
      <c r="A1379" s="23" t="inlineStr">
        <is>
          <t>R1003-v3</t>
        </is>
      </c>
      <c r="B1379" s="23" t="inlineStr">
        <is>
          <t>Contractor Programme</t>
        </is>
      </c>
      <c r="C1379" s="23" t="inlineStr">
        <is>
          <t>SCH-06-103</t>
        </is>
      </c>
      <c r="D1379" s="23" t="inlineStr">
        <is>
          <t>UNSURE</t>
        </is>
      </c>
      <c r="E1379" s="23" t="inlineStr">
        <is>
          <t>Carried forward</t>
        </is>
      </c>
      <c r="F1379" s="23" t="inlineStr"/>
      <c r="G1379" s="23" t="inlineStr">
        <is>
          <t>Maya Chen, Owner Project Controls</t>
        </is>
      </c>
      <c r="H1379" s="14" t="inlineStr">
        <is>
          <t>10 EVIDENCE &amp; DECISIONS</t>
        </is>
      </c>
    </row>
    <row r="1380" ht="34" customHeight="1">
      <c r="A1380" s="23" t="inlineStr">
        <is>
          <t>R1004-v3</t>
        </is>
      </c>
      <c r="B1380" s="23" t="inlineStr">
        <is>
          <t>Contractor Programme</t>
        </is>
      </c>
      <c r="C1380" s="23" t="inlineStr">
        <is>
          <t>SCH-06-104</t>
        </is>
      </c>
      <c r="D1380" s="23" t="inlineStr">
        <is>
          <t>UNSURE</t>
        </is>
      </c>
      <c r="E1380" s="23" t="inlineStr">
        <is>
          <t>Carried forward</t>
        </is>
      </c>
      <c r="F1380" s="23" t="inlineStr"/>
      <c r="G1380" s="23" t="inlineStr">
        <is>
          <t>Maya Chen, Owner Project Controls</t>
        </is>
      </c>
      <c r="H1380" s="14" t="inlineStr">
        <is>
          <t>10 EVIDENCE &amp; DECISIONS</t>
        </is>
      </c>
    </row>
    <row r="1381" ht="34" customHeight="1">
      <c r="A1381" s="23" t="inlineStr">
        <is>
          <t>R1005-v3</t>
        </is>
      </c>
      <c r="B1381" s="23" t="inlineStr">
        <is>
          <t>Contractor Programme</t>
        </is>
      </c>
      <c r="C1381" s="23" t="inlineStr">
        <is>
          <t>SCH-06-105</t>
        </is>
      </c>
      <c r="D1381" s="23" t="inlineStr">
        <is>
          <t>UNSURE</t>
        </is>
      </c>
      <c r="E1381" s="23" t="inlineStr">
        <is>
          <t>Carried forward</t>
        </is>
      </c>
      <c r="F1381" s="23" t="inlineStr"/>
      <c r="G1381" s="23" t="inlineStr">
        <is>
          <t>Maya Chen, Owner Project Controls</t>
        </is>
      </c>
      <c r="H1381" s="14" t="inlineStr">
        <is>
          <t>10 EVIDENCE &amp; DECISIONS</t>
        </is>
      </c>
    </row>
    <row r="1382" ht="34" customHeight="1">
      <c r="A1382" s="23" t="inlineStr">
        <is>
          <t>R1006-v3</t>
        </is>
      </c>
      <c r="B1382" s="23" t="inlineStr">
        <is>
          <t>Contractor Programme</t>
        </is>
      </c>
      <c r="C1382" s="23" t="inlineStr">
        <is>
          <t>SCH-06-106</t>
        </is>
      </c>
      <c r="D1382" s="23" t="inlineStr">
        <is>
          <t>UNSURE</t>
        </is>
      </c>
      <c r="E1382" s="23" t="inlineStr">
        <is>
          <t>Carried forward</t>
        </is>
      </c>
      <c r="F1382" s="23" t="inlineStr"/>
      <c r="G1382" s="23" t="inlineStr">
        <is>
          <t>Maya Chen, Owner Project Controls</t>
        </is>
      </c>
      <c r="H1382" s="14" t="inlineStr">
        <is>
          <t>10 EVIDENCE &amp; DECISIONS</t>
        </is>
      </c>
    </row>
    <row r="1383" ht="34" customHeight="1">
      <c r="A1383" s="23" t="inlineStr">
        <is>
          <t>R1007-v3</t>
        </is>
      </c>
      <c r="B1383" s="23" t="inlineStr">
        <is>
          <t>Contractor Programme</t>
        </is>
      </c>
      <c r="C1383" s="23" t="inlineStr">
        <is>
          <t>SCH-06-107</t>
        </is>
      </c>
      <c r="D1383" s="23" t="inlineStr">
        <is>
          <t>UNSURE</t>
        </is>
      </c>
      <c r="E1383" s="23" t="inlineStr">
        <is>
          <t>Carried forward</t>
        </is>
      </c>
      <c r="F1383" s="23" t="inlineStr"/>
      <c r="G1383" s="23" t="inlineStr">
        <is>
          <t>Maya Chen, Owner Project Controls</t>
        </is>
      </c>
      <c r="H1383" s="14" t="inlineStr">
        <is>
          <t>10 EVIDENCE &amp; DECISIONS</t>
        </is>
      </c>
    </row>
    <row r="1384" ht="34" customHeight="1">
      <c r="A1384" s="23" t="inlineStr">
        <is>
          <t>R1008-v3</t>
        </is>
      </c>
      <c r="B1384" s="23" t="inlineStr">
        <is>
          <t>Contractor Programme</t>
        </is>
      </c>
      <c r="C1384" s="23" t="inlineStr">
        <is>
          <t>SCH-06-108</t>
        </is>
      </c>
      <c r="D1384" s="23" t="inlineStr">
        <is>
          <t>UNSURE</t>
        </is>
      </c>
      <c r="E1384" s="23" t="inlineStr">
        <is>
          <t>Carried forward</t>
        </is>
      </c>
      <c r="F1384" s="23" t="inlineStr"/>
      <c r="G1384" s="23" t="inlineStr">
        <is>
          <t>Maya Chen, Owner Project Controls</t>
        </is>
      </c>
      <c r="H1384" s="14" t="inlineStr">
        <is>
          <t>10 EVIDENCE &amp; DECISIONS</t>
        </is>
      </c>
    </row>
    <row r="1385" ht="34" customHeight="1">
      <c r="A1385" s="23" t="inlineStr">
        <is>
          <t>R1009-v3</t>
        </is>
      </c>
      <c r="B1385" s="23" t="inlineStr">
        <is>
          <t>Contractor Programme</t>
        </is>
      </c>
      <c r="C1385" s="23" t="inlineStr">
        <is>
          <t>SCH-06-109</t>
        </is>
      </c>
      <c r="D1385" s="23" t="inlineStr">
        <is>
          <t>UNSURE</t>
        </is>
      </c>
      <c r="E1385" s="23" t="inlineStr">
        <is>
          <t>Carried forward</t>
        </is>
      </c>
      <c r="F1385" s="23" t="inlineStr"/>
      <c r="G1385" s="23" t="inlineStr">
        <is>
          <t>Maya Chen, Owner Project Controls</t>
        </is>
      </c>
      <c r="H1385" s="14" t="inlineStr">
        <is>
          <t>10 EVIDENCE &amp; DECISIONS</t>
        </is>
      </c>
    </row>
    <row r="1386" ht="34" customHeight="1">
      <c r="A1386" s="23" t="inlineStr">
        <is>
          <t>R1010-v3</t>
        </is>
      </c>
      <c r="B1386" s="23" t="inlineStr">
        <is>
          <t>Contractor Programme</t>
        </is>
      </c>
      <c r="C1386" s="23" t="inlineStr">
        <is>
          <t>SCH-06-110</t>
        </is>
      </c>
      <c r="D1386" s="23" t="inlineStr">
        <is>
          <t>UNSURE</t>
        </is>
      </c>
      <c r="E1386" s="23" t="inlineStr">
        <is>
          <t>Carried forward</t>
        </is>
      </c>
      <c r="F1386" s="23" t="inlineStr"/>
      <c r="G1386" s="23" t="inlineStr">
        <is>
          <t>Maya Chen, Owner Project Controls</t>
        </is>
      </c>
      <c r="H1386" s="14" t="inlineStr">
        <is>
          <t>10 EVIDENCE &amp; DECISIONS</t>
        </is>
      </c>
    </row>
    <row r="1387" ht="34" customHeight="1">
      <c r="A1387" s="23" t="inlineStr">
        <is>
          <t>R1011-v3</t>
        </is>
      </c>
      <c r="B1387" s="23" t="inlineStr">
        <is>
          <t>Contractor Programme</t>
        </is>
      </c>
      <c r="C1387" s="23" t="inlineStr">
        <is>
          <t>SCH-06-111</t>
        </is>
      </c>
      <c r="D1387" s="23" t="inlineStr">
        <is>
          <t>UNSURE</t>
        </is>
      </c>
      <c r="E1387" s="23" t="inlineStr">
        <is>
          <t>Carried forward</t>
        </is>
      </c>
      <c r="F1387" s="23" t="inlineStr"/>
      <c r="G1387" s="23" t="inlineStr">
        <is>
          <t>Maya Chen, Owner Project Controls</t>
        </is>
      </c>
      <c r="H1387" s="14" t="inlineStr">
        <is>
          <t>10 EVIDENCE &amp; DECISIONS</t>
        </is>
      </c>
    </row>
    <row r="1388" ht="34" customHeight="1">
      <c r="A1388" s="23" t="inlineStr">
        <is>
          <t>R1012-v3</t>
        </is>
      </c>
      <c r="B1388" s="23" t="inlineStr">
        <is>
          <t>Contractor Programme</t>
        </is>
      </c>
      <c r="C1388" s="23" t="inlineStr">
        <is>
          <t>SCH-06-112</t>
        </is>
      </c>
      <c r="D1388" s="23" t="inlineStr">
        <is>
          <t>UNSURE</t>
        </is>
      </c>
      <c r="E1388" s="23" t="inlineStr">
        <is>
          <t>Carried forward</t>
        </is>
      </c>
      <c r="F1388" s="23" t="inlineStr"/>
      <c r="G1388" s="23" t="inlineStr">
        <is>
          <t>Maya Chen, Owner Project Controls</t>
        </is>
      </c>
      <c r="H1388" s="14" t="inlineStr">
        <is>
          <t>10 EVIDENCE &amp; DECISIONS</t>
        </is>
      </c>
    </row>
    <row r="1389" ht="34" customHeight="1">
      <c r="A1389" s="23" t="inlineStr">
        <is>
          <t>R1013-v3</t>
        </is>
      </c>
      <c r="B1389" s="23" t="inlineStr">
        <is>
          <t>Contractor Programme</t>
        </is>
      </c>
      <c r="C1389" s="23" t="inlineStr">
        <is>
          <t>SCH-06-113</t>
        </is>
      </c>
      <c r="D1389" s="23" t="inlineStr">
        <is>
          <t>UNSURE</t>
        </is>
      </c>
      <c r="E1389" s="23" t="inlineStr">
        <is>
          <t>Carried forward</t>
        </is>
      </c>
      <c r="F1389" s="23" t="inlineStr"/>
      <c r="G1389" s="23" t="inlineStr">
        <is>
          <t>Maya Chen, Owner Project Controls</t>
        </is>
      </c>
      <c r="H1389" s="14" t="inlineStr">
        <is>
          <t>10 EVIDENCE &amp; DECISIONS</t>
        </is>
      </c>
    </row>
    <row r="1390" ht="34" customHeight="1">
      <c r="A1390" s="23" t="inlineStr">
        <is>
          <t>R1014-v3</t>
        </is>
      </c>
      <c r="B1390" s="23" t="inlineStr">
        <is>
          <t>Contractor Programme</t>
        </is>
      </c>
      <c r="C1390" s="23" t="inlineStr">
        <is>
          <t>SCH-06-114</t>
        </is>
      </c>
      <c r="D1390" s="23" t="inlineStr">
        <is>
          <t>UNSURE</t>
        </is>
      </c>
      <c r="E1390" s="23" t="inlineStr">
        <is>
          <t>Carried forward</t>
        </is>
      </c>
      <c r="F1390" s="23" t="inlineStr"/>
      <c r="G1390" s="23" t="inlineStr">
        <is>
          <t>Maya Chen, Owner Project Controls</t>
        </is>
      </c>
      <c r="H1390" s="14" t="inlineStr">
        <is>
          <t>10 EVIDENCE &amp; DECISIONS</t>
        </is>
      </c>
    </row>
    <row r="1391" ht="34" customHeight="1">
      <c r="A1391" s="23" t="inlineStr">
        <is>
          <t>R1015-v3</t>
        </is>
      </c>
      <c r="B1391" s="23" t="inlineStr">
        <is>
          <t>Contractor Programme</t>
        </is>
      </c>
      <c r="C1391" s="23" t="inlineStr">
        <is>
          <t>SCH-06-115</t>
        </is>
      </c>
      <c r="D1391" s="23" t="inlineStr">
        <is>
          <t>UNSURE</t>
        </is>
      </c>
      <c r="E1391" s="23" t="inlineStr">
        <is>
          <t>Carried forward</t>
        </is>
      </c>
      <c r="F1391" s="23" t="inlineStr"/>
      <c r="G1391" s="23" t="inlineStr">
        <is>
          <t>Maya Chen, Owner Project Controls</t>
        </is>
      </c>
      <c r="H1391" s="14" t="inlineStr">
        <is>
          <t>10 EVIDENCE &amp; DECISIONS</t>
        </is>
      </c>
    </row>
    <row r="1392" ht="34" customHeight="1">
      <c r="A1392" s="23" t="inlineStr">
        <is>
          <t>R1016-v3</t>
        </is>
      </c>
      <c r="B1392" s="23" t="inlineStr">
        <is>
          <t>Contractor Programme</t>
        </is>
      </c>
      <c r="C1392" s="23" t="inlineStr">
        <is>
          <t>SCH-06-116</t>
        </is>
      </c>
      <c r="D1392" s="23" t="inlineStr">
        <is>
          <t>UNSURE</t>
        </is>
      </c>
      <c r="E1392" s="23" t="inlineStr">
        <is>
          <t>Carried forward</t>
        </is>
      </c>
      <c r="F1392" s="23" t="inlineStr"/>
      <c r="G1392" s="23" t="inlineStr">
        <is>
          <t>Maya Chen, Owner Project Controls</t>
        </is>
      </c>
      <c r="H1392" s="14" t="inlineStr">
        <is>
          <t>10 EVIDENCE &amp; DECISIONS</t>
        </is>
      </c>
    </row>
    <row r="1393" ht="34" customHeight="1">
      <c r="A1393" s="23" t="inlineStr">
        <is>
          <t>R1017-v3</t>
        </is>
      </c>
      <c r="B1393" s="23" t="inlineStr">
        <is>
          <t>Contractor Programme</t>
        </is>
      </c>
      <c r="C1393" s="23" t="inlineStr">
        <is>
          <t>SCH-06-117</t>
        </is>
      </c>
      <c r="D1393" s="23" t="inlineStr">
        <is>
          <t>UNSURE</t>
        </is>
      </c>
      <c r="E1393" s="23" t="inlineStr">
        <is>
          <t>Carried forward</t>
        </is>
      </c>
      <c r="F1393" s="23" t="inlineStr"/>
      <c r="G1393" s="23" t="inlineStr">
        <is>
          <t>Maya Chen, Owner Project Controls</t>
        </is>
      </c>
      <c r="H1393" s="14" t="inlineStr">
        <is>
          <t>10 EVIDENCE &amp; DECISIONS</t>
        </is>
      </c>
    </row>
    <row r="1394" ht="34" customHeight="1">
      <c r="A1394" s="23" t="inlineStr">
        <is>
          <t>R1018-v3</t>
        </is>
      </c>
      <c r="B1394" s="23" t="inlineStr">
        <is>
          <t>Contractor Programme</t>
        </is>
      </c>
      <c r="C1394" s="23" t="inlineStr">
        <is>
          <t>SCH-06-118</t>
        </is>
      </c>
      <c r="D1394" s="23" t="inlineStr">
        <is>
          <t>UNSURE</t>
        </is>
      </c>
      <c r="E1394" s="23" t="inlineStr">
        <is>
          <t>Carried forward</t>
        </is>
      </c>
      <c r="F1394" s="23" t="inlineStr"/>
      <c r="G1394" s="23" t="inlineStr">
        <is>
          <t>Maya Chen, Owner Project Controls</t>
        </is>
      </c>
      <c r="H1394" s="14" t="inlineStr">
        <is>
          <t>10 EVIDENCE &amp; DECISIONS</t>
        </is>
      </c>
    </row>
    <row r="1395" ht="34" customHeight="1">
      <c r="A1395" s="23" t="inlineStr">
        <is>
          <t>R1019-v3</t>
        </is>
      </c>
      <c r="B1395" s="23" t="inlineStr">
        <is>
          <t>Contractor Programme</t>
        </is>
      </c>
      <c r="C1395" s="23" t="inlineStr">
        <is>
          <t>SCH-06-119</t>
        </is>
      </c>
      <c r="D1395" s="23" t="inlineStr">
        <is>
          <t>UNSURE</t>
        </is>
      </c>
      <c r="E1395" s="23" t="inlineStr">
        <is>
          <t>Carried forward</t>
        </is>
      </c>
      <c r="F1395" s="23" t="inlineStr"/>
      <c r="G1395" s="23" t="inlineStr">
        <is>
          <t>Maya Chen, Owner Project Controls</t>
        </is>
      </c>
      <c r="H1395" s="14" t="inlineStr">
        <is>
          <t>10 EVIDENCE &amp; DECISIONS</t>
        </is>
      </c>
    </row>
    <row r="1396" ht="34" customHeight="1">
      <c r="A1396" s="23" t="inlineStr">
        <is>
          <t>R1020-v3</t>
        </is>
      </c>
      <c r="B1396" s="23" t="inlineStr">
        <is>
          <t>Contractor Programme</t>
        </is>
      </c>
      <c r="C1396" s="23" t="inlineStr">
        <is>
          <t>SCH-06-120</t>
        </is>
      </c>
      <c r="D1396" s="23" t="inlineStr">
        <is>
          <t>UNSURE</t>
        </is>
      </c>
      <c r="E1396" s="23" t="inlineStr">
        <is>
          <t>Carried forward</t>
        </is>
      </c>
      <c r="F1396" s="23" t="inlineStr"/>
      <c r="G1396" s="23" t="inlineStr">
        <is>
          <t>Maya Chen, Owner Project Controls</t>
        </is>
      </c>
      <c r="H1396" s="14" t="inlineStr">
        <is>
          <t>10 EVIDENCE &amp; DECISIONS</t>
        </is>
      </c>
    </row>
    <row r="1397" ht="34" customHeight="1">
      <c r="A1397" s="23" t="inlineStr">
        <is>
          <t>R1021-v3</t>
        </is>
      </c>
      <c r="B1397" s="23" t="inlineStr">
        <is>
          <t>Contractor Programme</t>
        </is>
      </c>
      <c r="C1397" s="23" t="inlineStr">
        <is>
          <t>SCH-06-121</t>
        </is>
      </c>
      <c r="D1397" s="23" t="inlineStr">
        <is>
          <t>UNSURE</t>
        </is>
      </c>
      <c r="E1397" s="23" t="inlineStr">
        <is>
          <t>Carried forward</t>
        </is>
      </c>
      <c r="F1397" s="23" t="inlineStr"/>
      <c r="G1397" s="23" t="inlineStr">
        <is>
          <t>Maya Chen, Owner Project Controls</t>
        </is>
      </c>
      <c r="H1397" s="14" t="inlineStr">
        <is>
          <t>10 EVIDENCE &amp; DECISIONS</t>
        </is>
      </c>
    </row>
    <row r="1398" ht="34" customHeight="1">
      <c r="A1398" s="23" t="inlineStr">
        <is>
          <t>R1022-v3</t>
        </is>
      </c>
      <c r="B1398" s="23" t="inlineStr">
        <is>
          <t>Contractor Programme</t>
        </is>
      </c>
      <c r="C1398" s="23" t="inlineStr">
        <is>
          <t>SCH-06-122</t>
        </is>
      </c>
      <c r="D1398" s="23" t="inlineStr">
        <is>
          <t>UNSURE</t>
        </is>
      </c>
      <c r="E1398" s="23" t="inlineStr">
        <is>
          <t>Carried forward</t>
        </is>
      </c>
      <c r="F1398" s="23" t="inlineStr"/>
      <c r="G1398" s="23" t="inlineStr">
        <is>
          <t>Maya Chen, Owner Project Controls</t>
        </is>
      </c>
      <c r="H1398" s="14" t="inlineStr">
        <is>
          <t>10 EVIDENCE &amp; DECISIONS</t>
        </is>
      </c>
    </row>
    <row r="1399" ht="34" customHeight="1">
      <c r="A1399" s="23" t="inlineStr">
        <is>
          <t>R1023-v3</t>
        </is>
      </c>
      <c r="B1399" s="23" t="inlineStr">
        <is>
          <t>Contractor Programme</t>
        </is>
      </c>
      <c r="C1399" s="23" t="inlineStr">
        <is>
          <t>SCH-06-123</t>
        </is>
      </c>
      <c r="D1399" s="23" t="inlineStr">
        <is>
          <t>UNSURE</t>
        </is>
      </c>
      <c r="E1399" s="23" t="inlineStr">
        <is>
          <t>Carried forward</t>
        </is>
      </c>
      <c r="F1399" s="23" t="inlineStr"/>
      <c r="G1399" s="23" t="inlineStr">
        <is>
          <t>Maya Chen, Owner Project Controls</t>
        </is>
      </c>
      <c r="H1399" s="14" t="inlineStr">
        <is>
          <t>10 EVIDENCE &amp; DECISIONS</t>
        </is>
      </c>
    </row>
    <row r="1400" ht="34" customHeight="1">
      <c r="A1400" s="23" t="inlineStr">
        <is>
          <t>R1024-v3</t>
        </is>
      </c>
      <c r="B1400" s="23" t="inlineStr">
        <is>
          <t>Contractor Programme</t>
        </is>
      </c>
      <c r="C1400" s="23" t="inlineStr">
        <is>
          <t>SCH-06-124</t>
        </is>
      </c>
      <c r="D1400" s="23" t="inlineStr">
        <is>
          <t>UNSURE</t>
        </is>
      </c>
      <c r="E1400" s="23" t="inlineStr">
        <is>
          <t>Carried forward</t>
        </is>
      </c>
      <c r="F1400" s="23" t="inlineStr"/>
      <c r="G1400" s="23" t="inlineStr">
        <is>
          <t>Maya Chen, Owner Project Controls</t>
        </is>
      </c>
      <c r="H1400" s="14" t="inlineStr">
        <is>
          <t>10 EVIDENCE &amp; DECISIONS</t>
        </is>
      </c>
    </row>
    <row r="1401" ht="34" customHeight="1">
      <c r="A1401" s="23" t="inlineStr">
        <is>
          <t>R1025-v3</t>
        </is>
      </c>
      <c r="B1401" s="23" t="inlineStr">
        <is>
          <t>Contractor Programme</t>
        </is>
      </c>
      <c r="C1401" s="23" t="inlineStr">
        <is>
          <t>SCH-06-125</t>
        </is>
      </c>
      <c r="D1401" s="23" t="inlineStr">
        <is>
          <t>UNSURE</t>
        </is>
      </c>
      <c r="E1401" s="23" t="inlineStr">
        <is>
          <t>Carried forward</t>
        </is>
      </c>
      <c r="F1401" s="23" t="inlineStr"/>
      <c r="G1401" s="23" t="inlineStr">
        <is>
          <t>Maya Chen, Owner Project Controls</t>
        </is>
      </c>
      <c r="H1401" s="14" t="inlineStr">
        <is>
          <t>10 EVIDENCE &amp; DECISIONS</t>
        </is>
      </c>
    </row>
    <row r="1402" ht="34" customHeight="1">
      <c r="A1402" s="23" t="inlineStr">
        <is>
          <t>R1026-v3</t>
        </is>
      </c>
      <c r="B1402" s="23" t="inlineStr">
        <is>
          <t>Contractor Programme</t>
        </is>
      </c>
      <c r="C1402" s="23" t="inlineStr">
        <is>
          <t>SCH-06-126</t>
        </is>
      </c>
      <c r="D1402" s="23" t="inlineStr">
        <is>
          <t>UNSURE</t>
        </is>
      </c>
      <c r="E1402" s="23" t="inlineStr">
        <is>
          <t>Carried forward</t>
        </is>
      </c>
      <c r="F1402" s="23" t="inlineStr"/>
      <c r="G1402" s="23" t="inlineStr">
        <is>
          <t>Maya Chen, Owner Project Controls</t>
        </is>
      </c>
      <c r="H1402" s="14" t="inlineStr">
        <is>
          <t>10 EVIDENCE &amp; DECISIONS</t>
        </is>
      </c>
    </row>
    <row r="1403" ht="34" customHeight="1">
      <c r="A1403" s="23" t="inlineStr">
        <is>
          <t>R1027-v3</t>
        </is>
      </c>
      <c r="B1403" s="23" t="inlineStr">
        <is>
          <t>Contractor Programme</t>
        </is>
      </c>
      <c r="C1403" s="23" t="inlineStr">
        <is>
          <t>SCH-06-127</t>
        </is>
      </c>
      <c r="D1403" s="23" t="inlineStr">
        <is>
          <t>UNSURE</t>
        </is>
      </c>
      <c r="E1403" s="23" t="inlineStr">
        <is>
          <t>Carried forward</t>
        </is>
      </c>
      <c r="F1403" s="23" t="inlineStr"/>
      <c r="G1403" s="23" t="inlineStr">
        <is>
          <t>Maya Chen, Owner Project Controls</t>
        </is>
      </c>
      <c r="H1403" s="14" t="inlineStr">
        <is>
          <t>10 EVIDENCE &amp; DECISIONS</t>
        </is>
      </c>
    </row>
    <row r="1404" ht="34" customHeight="1">
      <c r="A1404" s="23" t="inlineStr">
        <is>
          <t>R1028-v3</t>
        </is>
      </c>
      <c r="B1404" s="23" t="inlineStr">
        <is>
          <t>Contractor Programme</t>
        </is>
      </c>
      <c r="C1404" s="23" t="inlineStr">
        <is>
          <t>SCH-06-128</t>
        </is>
      </c>
      <c r="D1404" s="23" t="inlineStr">
        <is>
          <t>UNSURE</t>
        </is>
      </c>
      <c r="E1404" s="23" t="inlineStr">
        <is>
          <t>Carried forward</t>
        </is>
      </c>
      <c r="F1404" s="23" t="inlineStr"/>
      <c r="G1404" s="23" t="inlineStr">
        <is>
          <t>Maya Chen, Owner Project Controls</t>
        </is>
      </c>
      <c r="H1404" s="14" t="inlineStr">
        <is>
          <t>10 EVIDENCE &amp; DECISIONS</t>
        </is>
      </c>
    </row>
    <row r="1405" ht="34" customHeight="1">
      <c r="A1405" s="23" t="inlineStr">
        <is>
          <t>R1029-v3</t>
        </is>
      </c>
      <c r="B1405" s="23" t="inlineStr">
        <is>
          <t>Contractor Programme</t>
        </is>
      </c>
      <c r="C1405" s="23" t="inlineStr">
        <is>
          <t>SCH-06-129</t>
        </is>
      </c>
      <c r="D1405" s="23" t="inlineStr">
        <is>
          <t>UNSURE</t>
        </is>
      </c>
      <c r="E1405" s="23" t="inlineStr">
        <is>
          <t>Carried forward</t>
        </is>
      </c>
      <c r="F1405" s="23" t="inlineStr"/>
      <c r="G1405" s="23" t="inlineStr">
        <is>
          <t>Maya Chen, Owner Project Controls</t>
        </is>
      </c>
      <c r="H1405" s="14" t="inlineStr">
        <is>
          <t>10 EVIDENCE &amp; DECISIONS</t>
        </is>
      </c>
    </row>
    <row r="1406" ht="34" customHeight="1">
      <c r="A1406" s="23" t="inlineStr">
        <is>
          <t>R1030-v3</t>
        </is>
      </c>
      <c r="B1406" s="23" t="inlineStr">
        <is>
          <t>Contractor Programme</t>
        </is>
      </c>
      <c r="C1406" s="23" t="inlineStr">
        <is>
          <t>SCH-06-130</t>
        </is>
      </c>
      <c r="D1406" s="23" t="inlineStr">
        <is>
          <t>UNSURE</t>
        </is>
      </c>
      <c r="E1406" s="23" t="inlineStr">
        <is>
          <t>Carried forward</t>
        </is>
      </c>
      <c r="F1406" s="23" t="inlineStr"/>
      <c r="G1406" s="23" t="inlineStr">
        <is>
          <t>Maya Chen, Owner Project Controls</t>
        </is>
      </c>
      <c r="H1406" s="14" t="inlineStr">
        <is>
          <t>10 EVIDENCE &amp; DECISIONS</t>
        </is>
      </c>
    </row>
    <row r="1407" ht="34" customHeight="1">
      <c r="A1407" s="23" t="inlineStr">
        <is>
          <t>R1031-v3</t>
        </is>
      </c>
      <c r="B1407" s="23" t="inlineStr">
        <is>
          <t>Contractor Programme</t>
        </is>
      </c>
      <c r="C1407" s="23" t="inlineStr">
        <is>
          <t>SCH-06-131</t>
        </is>
      </c>
      <c r="D1407" s="23" t="inlineStr">
        <is>
          <t>UNSURE</t>
        </is>
      </c>
      <c r="E1407" s="23" t="inlineStr">
        <is>
          <t>Carried forward</t>
        </is>
      </c>
      <c r="F1407" s="23" t="inlineStr"/>
      <c r="G1407" s="23" t="inlineStr">
        <is>
          <t>Maya Chen, Owner Project Controls</t>
        </is>
      </c>
      <c r="H1407" s="14" t="inlineStr">
        <is>
          <t>10 EVIDENCE &amp; DECISIONS</t>
        </is>
      </c>
    </row>
    <row r="1408" ht="34" customHeight="1">
      <c r="A1408" s="23" t="inlineStr">
        <is>
          <t>R1032-v3</t>
        </is>
      </c>
      <c r="B1408" s="23" t="inlineStr">
        <is>
          <t>Contractor Programme</t>
        </is>
      </c>
      <c r="C1408" s="23" t="inlineStr">
        <is>
          <t>SCH-06-132</t>
        </is>
      </c>
      <c r="D1408" s="23" t="inlineStr">
        <is>
          <t>UNSURE</t>
        </is>
      </c>
      <c r="E1408" s="23" t="inlineStr">
        <is>
          <t>Carried forward</t>
        </is>
      </c>
      <c r="F1408" s="23" t="inlineStr"/>
      <c r="G1408" s="23" t="inlineStr">
        <is>
          <t>Maya Chen, Owner Project Controls</t>
        </is>
      </c>
      <c r="H1408" s="14" t="inlineStr">
        <is>
          <t>10 EVIDENCE &amp; DECISIONS</t>
        </is>
      </c>
    </row>
    <row r="1409" ht="34" customHeight="1">
      <c r="A1409" s="23" t="inlineStr">
        <is>
          <t>R1033-v3</t>
        </is>
      </c>
      <c r="B1409" s="23" t="inlineStr">
        <is>
          <t>Contractor Programme</t>
        </is>
      </c>
      <c r="C1409" s="23" t="inlineStr">
        <is>
          <t>SCH-06-133</t>
        </is>
      </c>
      <c r="D1409" s="23" t="inlineStr">
        <is>
          <t>UNSURE</t>
        </is>
      </c>
      <c r="E1409" s="23" t="inlineStr">
        <is>
          <t>Carried forward</t>
        </is>
      </c>
      <c r="F1409" s="23" t="inlineStr"/>
      <c r="G1409" s="23" t="inlineStr">
        <is>
          <t>Maya Chen, Owner Project Controls</t>
        </is>
      </c>
      <c r="H1409" s="14" t="inlineStr">
        <is>
          <t>10 EVIDENCE &amp; DECISIONS</t>
        </is>
      </c>
    </row>
    <row r="1410" ht="34" customHeight="1">
      <c r="A1410" s="23" t="inlineStr">
        <is>
          <t>R1034-v3</t>
        </is>
      </c>
      <c r="B1410" s="23" t="inlineStr">
        <is>
          <t>Contractor Programme</t>
        </is>
      </c>
      <c r="C1410" s="23" t="inlineStr">
        <is>
          <t>SCH-06-134</t>
        </is>
      </c>
      <c r="D1410" s="23" t="inlineStr">
        <is>
          <t>UNSURE</t>
        </is>
      </c>
      <c r="E1410" s="23" t="inlineStr">
        <is>
          <t>Carried forward</t>
        </is>
      </c>
      <c r="F1410" s="23" t="inlineStr"/>
      <c r="G1410" s="23" t="inlineStr">
        <is>
          <t>Maya Chen, Owner Project Controls</t>
        </is>
      </c>
      <c r="H1410" s="14" t="inlineStr">
        <is>
          <t>10 EVIDENCE &amp; DECISIONS</t>
        </is>
      </c>
    </row>
    <row r="1411" ht="34" customHeight="1">
      <c r="A1411" s="23" t="inlineStr">
        <is>
          <t>R1035-v3</t>
        </is>
      </c>
      <c r="B1411" s="23" t="inlineStr">
        <is>
          <t>Contractor Programme</t>
        </is>
      </c>
      <c r="C1411" s="23" t="inlineStr">
        <is>
          <t>SCH-06-135</t>
        </is>
      </c>
      <c r="D1411" s="23" t="inlineStr">
        <is>
          <t>UNSURE</t>
        </is>
      </c>
      <c r="E1411" s="23" t="inlineStr">
        <is>
          <t>Carried forward</t>
        </is>
      </c>
      <c r="F1411" s="23" t="inlineStr"/>
      <c r="G1411" s="23" t="inlineStr">
        <is>
          <t>Maya Chen, Owner Project Controls</t>
        </is>
      </c>
      <c r="H1411" s="14" t="inlineStr">
        <is>
          <t>10 EVIDENCE &amp; DECISIONS</t>
        </is>
      </c>
    </row>
    <row r="1412" ht="34" customHeight="1">
      <c r="A1412" s="23" t="inlineStr">
        <is>
          <t>R1036-v3</t>
        </is>
      </c>
      <c r="B1412" s="23" t="inlineStr">
        <is>
          <t>Contractor Programme</t>
        </is>
      </c>
      <c r="C1412" s="23" t="inlineStr">
        <is>
          <t>SCH-06-136</t>
        </is>
      </c>
      <c r="D1412" s="23" t="inlineStr">
        <is>
          <t>UNSURE</t>
        </is>
      </c>
      <c r="E1412" s="23" t="inlineStr">
        <is>
          <t>Carried forward</t>
        </is>
      </c>
      <c r="F1412" s="23" t="inlineStr"/>
      <c r="G1412" s="23" t="inlineStr">
        <is>
          <t>Maya Chen, Owner Project Controls</t>
        </is>
      </c>
      <c r="H1412" s="14" t="inlineStr">
        <is>
          <t>10 EVIDENCE &amp; DECISIONS</t>
        </is>
      </c>
    </row>
    <row r="1413" ht="34" customHeight="1">
      <c r="A1413" s="23" t="inlineStr">
        <is>
          <t>R1037-v3</t>
        </is>
      </c>
      <c r="B1413" s="23" t="inlineStr">
        <is>
          <t>Contractor Programme</t>
        </is>
      </c>
      <c r="C1413" s="23" t="inlineStr">
        <is>
          <t>SCH-06-137</t>
        </is>
      </c>
      <c r="D1413" s="23" t="inlineStr">
        <is>
          <t>UNSURE</t>
        </is>
      </c>
      <c r="E1413" s="23" t="inlineStr">
        <is>
          <t>Carried forward</t>
        </is>
      </c>
      <c r="F1413" s="23" t="inlineStr"/>
      <c r="G1413" s="23" t="inlineStr">
        <is>
          <t>Maya Chen, Owner Project Controls</t>
        </is>
      </c>
      <c r="H1413" s="14" t="inlineStr">
        <is>
          <t>10 EVIDENCE &amp; DECISIONS</t>
        </is>
      </c>
    </row>
    <row r="1414" ht="34" customHeight="1">
      <c r="A1414" s="23" t="inlineStr">
        <is>
          <t>R1038-v3</t>
        </is>
      </c>
      <c r="B1414" s="23" t="inlineStr">
        <is>
          <t>Contractor Programme</t>
        </is>
      </c>
      <c r="C1414" s="23" t="inlineStr">
        <is>
          <t>SCH-06-138</t>
        </is>
      </c>
      <c r="D1414" s="23" t="inlineStr">
        <is>
          <t>UNSURE</t>
        </is>
      </c>
      <c r="E1414" s="23" t="inlineStr">
        <is>
          <t>Carried forward</t>
        </is>
      </c>
      <c r="F1414" s="23" t="inlineStr"/>
      <c r="G1414" s="23" t="inlineStr">
        <is>
          <t>Maya Chen, Owner Project Controls</t>
        </is>
      </c>
      <c r="H1414" s="14" t="inlineStr">
        <is>
          <t>10 EVIDENCE &amp; DECISIONS</t>
        </is>
      </c>
    </row>
    <row r="1415" ht="34" customHeight="1">
      <c r="A1415" s="23" t="inlineStr">
        <is>
          <t>R1039-v3</t>
        </is>
      </c>
      <c r="B1415" s="23" t="inlineStr">
        <is>
          <t>Contractor Programme</t>
        </is>
      </c>
      <c r="C1415" s="23" t="inlineStr">
        <is>
          <t>SCH-06-139</t>
        </is>
      </c>
      <c r="D1415" s="23" t="inlineStr">
        <is>
          <t>UNSURE</t>
        </is>
      </c>
      <c r="E1415" s="23" t="inlineStr">
        <is>
          <t>Carried forward</t>
        </is>
      </c>
      <c r="F1415" s="23" t="inlineStr"/>
      <c r="G1415" s="23" t="inlineStr">
        <is>
          <t>Maya Chen, Owner Project Controls</t>
        </is>
      </c>
      <c r="H1415" s="14" t="inlineStr">
        <is>
          <t>10 EVIDENCE &amp; DECISIONS</t>
        </is>
      </c>
    </row>
    <row r="1416" ht="34" customHeight="1">
      <c r="A1416" s="23" t="inlineStr">
        <is>
          <t>R1040-v3</t>
        </is>
      </c>
      <c r="B1416" s="23" t="inlineStr">
        <is>
          <t>Contractor Programme</t>
        </is>
      </c>
      <c r="C1416" s="23" t="inlineStr">
        <is>
          <t>SCH-06-140</t>
        </is>
      </c>
      <c r="D1416" s="23" t="inlineStr">
        <is>
          <t>UNSURE</t>
        </is>
      </c>
      <c r="E1416" s="23" t="inlineStr">
        <is>
          <t>Carried forward</t>
        </is>
      </c>
      <c r="F1416" s="23" t="inlineStr"/>
      <c r="G1416" s="23" t="inlineStr">
        <is>
          <t>Maya Chen, Owner Project Controls</t>
        </is>
      </c>
      <c r="H1416" s="14" t="inlineStr">
        <is>
          <t>10 EVIDENCE &amp; DECISIONS</t>
        </is>
      </c>
    </row>
    <row r="1417" ht="34" customHeight="1">
      <c r="A1417" s="23" t="inlineStr">
        <is>
          <t>R1041-v3</t>
        </is>
      </c>
      <c r="B1417" s="23" t="inlineStr">
        <is>
          <t>Contractor Programme</t>
        </is>
      </c>
      <c r="C1417" s="23" t="inlineStr">
        <is>
          <t>SCH-06-141</t>
        </is>
      </c>
      <c r="D1417" s="23" t="inlineStr">
        <is>
          <t>UNSURE</t>
        </is>
      </c>
      <c r="E1417" s="23" t="inlineStr">
        <is>
          <t>Carried forward</t>
        </is>
      </c>
      <c r="F1417" s="23" t="inlineStr"/>
      <c r="G1417" s="23" t="inlineStr">
        <is>
          <t>Maya Chen, Owner Project Controls</t>
        </is>
      </c>
      <c r="H1417" s="14" t="inlineStr">
        <is>
          <t>10 EVIDENCE &amp; DECISIONS</t>
        </is>
      </c>
    </row>
    <row r="1418" ht="34" customHeight="1">
      <c r="A1418" s="23" t="inlineStr">
        <is>
          <t>R1042-v3</t>
        </is>
      </c>
      <c r="B1418" s="23" t="inlineStr">
        <is>
          <t>Contractor Programme</t>
        </is>
      </c>
      <c r="C1418" s="23" t="inlineStr">
        <is>
          <t>SCH-06-142</t>
        </is>
      </c>
      <c r="D1418" s="23" t="inlineStr">
        <is>
          <t>UNSURE</t>
        </is>
      </c>
      <c r="E1418" s="23" t="inlineStr">
        <is>
          <t>Carried forward</t>
        </is>
      </c>
      <c r="F1418" s="23" t="inlineStr"/>
      <c r="G1418" s="23" t="inlineStr">
        <is>
          <t>Maya Chen, Owner Project Controls</t>
        </is>
      </c>
      <c r="H1418" s="14" t="inlineStr">
        <is>
          <t>10 EVIDENCE &amp; DECISIONS</t>
        </is>
      </c>
    </row>
    <row r="1419" ht="34" customHeight="1">
      <c r="A1419" s="23" t="inlineStr">
        <is>
          <t>R1043-v3</t>
        </is>
      </c>
      <c r="B1419" s="23" t="inlineStr">
        <is>
          <t>Contractor Programme</t>
        </is>
      </c>
      <c r="C1419" s="23" t="inlineStr">
        <is>
          <t>SCH-06-143</t>
        </is>
      </c>
      <c r="D1419" s="23" t="inlineStr">
        <is>
          <t>UNSURE</t>
        </is>
      </c>
      <c r="E1419" s="23" t="inlineStr">
        <is>
          <t>Carried forward</t>
        </is>
      </c>
      <c r="F1419" s="23" t="inlineStr"/>
      <c r="G1419" s="23" t="inlineStr">
        <is>
          <t>Maya Chen, Owner Project Controls</t>
        </is>
      </c>
      <c r="H1419" s="14" t="inlineStr">
        <is>
          <t>10 EVIDENCE &amp; DECISIONS</t>
        </is>
      </c>
    </row>
    <row r="1420" ht="34" customHeight="1">
      <c r="A1420" s="23" t="inlineStr">
        <is>
          <t>R1044-v3</t>
        </is>
      </c>
      <c r="B1420" s="23" t="inlineStr">
        <is>
          <t>Contractor Programme</t>
        </is>
      </c>
      <c r="C1420" s="23" t="inlineStr">
        <is>
          <t>SCH-06-144</t>
        </is>
      </c>
      <c r="D1420" s="23" t="inlineStr">
        <is>
          <t>UNSURE</t>
        </is>
      </c>
      <c r="E1420" s="23" t="inlineStr">
        <is>
          <t>Carried forward</t>
        </is>
      </c>
      <c r="F1420" s="23" t="inlineStr"/>
      <c r="G1420" s="23" t="inlineStr">
        <is>
          <t>Maya Chen, Owner Project Controls</t>
        </is>
      </c>
      <c r="H1420" s="14" t="inlineStr">
        <is>
          <t>10 EVIDENCE &amp; DECISIONS</t>
        </is>
      </c>
    </row>
    <row r="1421" ht="34" customHeight="1">
      <c r="A1421" s="23" t="inlineStr">
        <is>
          <t>R1045-v3</t>
        </is>
      </c>
      <c r="B1421" s="23" t="inlineStr">
        <is>
          <t>Contractor Programme</t>
        </is>
      </c>
      <c r="C1421" s="23" t="inlineStr">
        <is>
          <t>SCH-06-145</t>
        </is>
      </c>
      <c r="D1421" s="23" t="inlineStr">
        <is>
          <t>UNSURE</t>
        </is>
      </c>
      <c r="E1421" s="23" t="inlineStr">
        <is>
          <t>Carried forward</t>
        </is>
      </c>
      <c r="F1421" s="23" t="inlineStr"/>
      <c r="G1421" s="23" t="inlineStr">
        <is>
          <t>Maya Chen, Owner Project Controls</t>
        </is>
      </c>
      <c r="H1421" s="14" t="inlineStr">
        <is>
          <t>10 EVIDENCE &amp; DECISIONS</t>
        </is>
      </c>
    </row>
    <row r="1422" ht="34" customHeight="1">
      <c r="A1422" s="23" t="inlineStr">
        <is>
          <t>R1046-v3</t>
        </is>
      </c>
      <c r="B1422" s="23" t="inlineStr">
        <is>
          <t>Contractor Programme</t>
        </is>
      </c>
      <c r="C1422" s="23" t="inlineStr">
        <is>
          <t>SCH-06-146</t>
        </is>
      </c>
      <c r="D1422" s="23" t="inlineStr">
        <is>
          <t>UNSURE</t>
        </is>
      </c>
      <c r="E1422" s="23" t="inlineStr">
        <is>
          <t>Carried forward</t>
        </is>
      </c>
      <c r="F1422" s="23" t="inlineStr"/>
      <c r="G1422" s="23" t="inlineStr">
        <is>
          <t>Maya Chen, Owner Project Controls</t>
        </is>
      </c>
      <c r="H1422" s="14" t="inlineStr">
        <is>
          <t>10 EVIDENCE &amp; DECISIONS</t>
        </is>
      </c>
    </row>
    <row r="1423" ht="34" customHeight="1">
      <c r="A1423" s="23" t="inlineStr">
        <is>
          <t>R1047-v3</t>
        </is>
      </c>
      <c r="B1423" s="23" t="inlineStr">
        <is>
          <t>Contractor Programme</t>
        </is>
      </c>
      <c r="C1423" s="23" t="inlineStr">
        <is>
          <t>SCH-06-147</t>
        </is>
      </c>
      <c r="D1423" s="23" t="inlineStr">
        <is>
          <t>UNSURE</t>
        </is>
      </c>
      <c r="E1423" s="23" t="inlineStr">
        <is>
          <t>Carried forward</t>
        </is>
      </c>
      <c r="F1423" s="23" t="inlineStr"/>
      <c r="G1423" s="23" t="inlineStr">
        <is>
          <t>Maya Chen, Owner Project Controls</t>
        </is>
      </c>
      <c r="H1423" s="14" t="inlineStr">
        <is>
          <t>10 EVIDENCE &amp; DECISIONS</t>
        </is>
      </c>
    </row>
    <row r="1424" ht="34" customHeight="1">
      <c r="A1424" s="23" t="inlineStr">
        <is>
          <t>R1048-v3</t>
        </is>
      </c>
      <c r="B1424" s="23" t="inlineStr">
        <is>
          <t>Contractor Programme</t>
        </is>
      </c>
      <c r="C1424" s="23" t="inlineStr">
        <is>
          <t>SCH-06-148</t>
        </is>
      </c>
      <c r="D1424" s="23" t="inlineStr">
        <is>
          <t>UNSURE</t>
        </is>
      </c>
      <c r="E1424" s="23" t="inlineStr">
        <is>
          <t>Carried forward</t>
        </is>
      </c>
      <c r="F1424" s="23" t="inlineStr"/>
      <c r="G1424" s="23" t="inlineStr">
        <is>
          <t>Maya Chen, Owner Project Controls</t>
        </is>
      </c>
      <c r="H1424" s="14" t="inlineStr">
        <is>
          <t>10 EVIDENCE &amp; DECISIONS</t>
        </is>
      </c>
    </row>
    <row r="1425" ht="34" customHeight="1">
      <c r="A1425" s="23" t="inlineStr">
        <is>
          <t>R1049-v3</t>
        </is>
      </c>
      <c r="B1425" s="23" t="inlineStr">
        <is>
          <t>Contractor Programme</t>
        </is>
      </c>
      <c r="C1425" s="23" t="inlineStr">
        <is>
          <t>SCH-06-149</t>
        </is>
      </c>
      <c r="D1425" s="23" t="inlineStr">
        <is>
          <t>UNSURE</t>
        </is>
      </c>
      <c r="E1425" s="23" t="inlineStr">
        <is>
          <t>Carried forward</t>
        </is>
      </c>
      <c r="F1425" s="23" t="inlineStr"/>
      <c r="G1425" s="23" t="inlineStr">
        <is>
          <t>Maya Chen, Owner Project Controls</t>
        </is>
      </c>
      <c r="H1425" s="14" t="inlineStr">
        <is>
          <t>10 EVIDENCE &amp; DECISIONS</t>
        </is>
      </c>
    </row>
    <row r="1426" ht="34" customHeight="1">
      <c r="A1426" s="23" t="inlineStr">
        <is>
          <t>R1050-v3</t>
        </is>
      </c>
      <c r="B1426" s="23" t="inlineStr">
        <is>
          <t>Contractor Programme</t>
        </is>
      </c>
      <c r="C1426" s="23" t="inlineStr">
        <is>
          <t>SCH-06-150</t>
        </is>
      </c>
      <c r="D1426" s="23" t="inlineStr">
        <is>
          <t>UNSURE</t>
        </is>
      </c>
      <c r="E1426" s="23" t="inlineStr">
        <is>
          <t>Carried forward</t>
        </is>
      </c>
      <c r="F1426" s="23" t="inlineStr"/>
      <c r="G1426" s="23" t="inlineStr">
        <is>
          <t>Maya Chen, Owner Project Controls</t>
        </is>
      </c>
      <c r="H1426" s="14" t="inlineStr">
        <is>
          <t>10 EVIDENCE &amp; DECISIONS</t>
        </is>
      </c>
    </row>
    <row r="1427" ht="34" customHeight="1">
      <c r="A1427" s="23" t="inlineStr">
        <is>
          <t>R1051-v3</t>
        </is>
      </c>
      <c r="B1427" s="23" t="inlineStr">
        <is>
          <t>Contractor Programme</t>
        </is>
      </c>
      <c r="C1427" s="23" t="inlineStr">
        <is>
          <t>SCH-06-151</t>
        </is>
      </c>
      <c r="D1427" s="23" t="inlineStr">
        <is>
          <t>UNSURE</t>
        </is>
      </c>
      <c r="E1427" s="23" t="inlineStr">
        <is>
          <t>Carried forward</t>
        </is>
      </c>
      <c r="F1427" s="23" t="inlineStr"/>
      <c r="G1427" s="23" t="inlineStr">
        <is>
          <t>Maya Chen, Owner Project Controls</t>
        </is>
      </c>
      <c r="H1427" s="14" t="inlineStr">
        <is>
          <t>10 EVIDENCE &amp; DECISIONS</t>
        </is>
      </c>
    </row>
    <row r="1428" ht="34" customHeight="1">
      <c r="A1428" s="23" t="inlineStr">
        <is>
          <t>R1052-v3</t>
        </is>
      </c>
      <c r="B1428" s="23" t="inlineStr">
        <is>
          <t>Contractor Programme</t>
        </is>
      </c>
      <c r="C1428" s="23" t="inlineStr">
        <is>
          <t>SCH-06-152</t>
        </is>
      </c>
      <c r="D1428" s="23" t="inlineStr">
        <is>
          <t>UNSURE</t>
        </is>
      </c>
      <c r="E1428" s="23" t="inlineStr">
        <is>
          <t>Carried forward</t>
        </is>
      </c>
      <c r="F1428" s="23" t="inlineStr"/>
      <c r="G1428" s="23" t="inlineStr">
        <is>
          <t>Maya Chen, Owner Project Controls</t>
        </is>
      </c>
      <c r="H1428" s="14" t="inlineStr">
        <is>
          <t>10 EVIDENCE &amp; DECISIONS</t>
        </is>
      </c>
    </row>
    <row r="1429" ht="34" customHeight="1">
      <c r="A1429" s="23" t="inlineStr">
        <is>
          <t>R1053-v3</t>
        </is>
      </c>
      <c r="B1429" s="23" t="inlineStr">
        <is>
          <t>Contractor Programme</t>
        </is>
      </c>
      <c r="C1429" s="23" t="inlineStr">
        <is>
          <t>SCH-06-153</t>
        </is>
      </c>
      <c r="D1429" s="23" t="inlineStr">
        <is>
          <t>UNSURE</t>
        </is>
      </c>
      <c r="E1429" s="23" t="inlineStr">
        <is>
          <t>Carried forward</t>
        </is>
      </c>
      <c r="F1429" s="23" t="inlineStr"/>
      <c r="G1429" s="23" t="inlineStr">
        <is>
          <t>Maya Chen, Owner Project Controls</t>
        </is>
      </c>
      <c r="H1429" s="14" t="inlineStr">
        <is>
          <t>10 EVIDENCE &amp; DECISIONS</t>
        </is>
      </c>
    </row>
    <row r="1430" ht="34" customHeight="1">
      <c r="A1430" s="23" t="inlineStr">
        <is>
          <t>R1054-v3</t>
        </is>
      </c>
      <c r="B1430" s="23" t="inlineStr">
        <is>
          <t>Contractor Programme</t>
        </is>
      </c>
      <c r="C1430" s="23" t="inlineStr">
        <is>
          <t>SCH-06-154</t>
        </is>
      </c>
      <c r="D1430" s="23" t="inlineStr">
        <is>
          <t>UNSURE</t>
        </is>
      </c>
      <c r="E1430" s="23" t="inlineStr">
        <is>
          <t>Carried forward</t>
        </is>
      </c>
      <c r="F1430" s="23" t="inlineStr"/>
      <c r="G1430" s="23" t="inlineStr">
        <is>
          <t>Maya Chen, Owner Project Controls</t>
        </is>
      </c>
      <c r="H1430" s="14" t="inlineStr">
        <is>
          <t>10 EVIDENCE &amp; DECISIONS</t>
        </is>
      </c>
    </row>
    <row r="1431" ht="34" customHeight="1">
      <c r="A1431" s="23" t="inlineStr">
        <is>
          <t>R1055-v3</t>
        </is>
      </c>
      <c r="B1431" s="23" t="inlineStr">
        <is>
          <t>Contractor Programme</t>
        </is>
      </c>
      <c r="C1431" s="23" t="inlineStr">
        <is>
          <t>SCH-06-155</t>
        </is>
      </c>
      <c r="D1431" s="23" t="inlineStr">
        <is>
          <t>UNSURE</t>
        </is>
      </c>
      <c r="E1431" s="23" t="inlineStr">
        <is>
          <t>Carried forward</t>
        </is>
      </c>
      <c r="F1431" s="23" t="inlineStr"/>
      <c r="G1431" s="23" t="inlineStr">
        <is>
          <t>Maya Chen, Owner Project Controls</t>
        </is>
      </c>
      <c r="H1431" s="14" t="inlineStr">
        <is>
          <t>10 EVIDENCE &amp; DECISIONS</t>
        </is>
      </c>
    </row>
    <row r="1432" ht="34" customHeight="1">
      <c r="A1432" s="23" t="inlineStr">
        <is>
          <t>R1056-v3</t>
        </is>
      </c>
      <c r="B1432" s="23" t="inlineStr">
        <is>
          <t>Contractor Programme</t>
        </is>
      </c>
      <c r="C1432" s="23" t="inlineStr">
        <is>
          <t>SCH-06-156</t>
        </is>
      </c>
      <c r="D1432" s="23" t="inlineStr">
        <is>
          <t>UNSURE</t>
        </is>
      </c>
      <c r="E1432" s="23" t="inlineStr">
        <is>
          <t>Carried forward</t>
        </is>
      </c>
      <c r="F1432" s="23" t="inlineStr"/>
      <c r="G1432" s="23" t="inlineStr">
        <is>
          <t>Maya Chen, Owner Project Controls</t>
        </is>
      </c>
      <c r="H1432" s="14" t="inlineStr">
        <is>
          <t>10 EVIDENCE &amp; DECISIONS</t>
        </is>
      </c>
    </row>
    <row r="1433" ht="34" customHeight="1">
      <c r="A1433" s="23" t="inlineStr">
        <is>
          <t>R1057-v3</t>
        </is>
      </c>
      <c r="B1433" s="23" t="inlineStr">
        <is>
          <t>Contractor Programme</t>
        </is>
      </c>
      <c r="C1433" s="23" t="inlineStr">
        <is>
          <t>SCH-06-157</t>
        </is>
      </c>
      <c r="D1433" s="23" t="inlineStr">
        <is>
          <t>UNSURE</t>
        </is>
      </c>
      <c r="E1433" s="23" t="inlineStr">
        <is>
          <t>Carried forward</t>
        </is>
      </c>
      <c r="F1433" s="23" t="inlineStr"/>
      <c r="G1433" s="23" t="inlineStr">
        <is>
          <t>Maya Chen, Owner Project Controls</t>
        </is>
      </c>
      <c r="H1433" s="14" t="inlineStr">
        <is>
          <t>10 EVIDENCE &amp; DECISIONS</t>
        </is>
      </c>
    </row>
    <row r="1434" ht="34" customHeight="1">
      <c r="A1434" s="23" t="inlineStr">
        <is>
          <t>R1058-v3</t>
        </is>
      </c>
      <c r="B1434" s="23" t="inlineStr">
        <is>
          <t>Contractor Programme</t>
        </is>
      </c>
      <c r="C1434" s="23" t="inlineStr">
        <is>
          <t>SCH-06-158</t>
        </is>
      </c>
      <c r="D1434" s="23" t="inlineStr">
        <is>
          <t>UNSURE</t>
        </is>
      </c>
      <c r="E1434" s="23" t="inlineStr">
        <is>
          <t>Carried forward</t>
        </is>
      </c>
      <c r="F1434" s="23" t="inlineStr"/>
      <c r="G1434" s="23" t="inlineStr">
        <is>
          <t>Maya Chen, Owner Project Controls</t>
        </is>
      </c>
      <c r="H1434" s="14" t="inlineStr">
        <is>
          <t>10 EVIDENCE &amp; DECISIONS</t>
        </is>
      </c>
    </row>
    <row r="1435" ht="34" customHeight="1">
      <c r="A1435" s="23" t="inlineStr">
        <is>
          <t>R1059-v3</t>
        </is>
      </c>
      <c r="B1435" s="23" t="inlineStr">
        <is>
          <t>Contractor Programme</t>
        </is>
      </c>
      <c r="C1435" s="23" t="inlineStr">
        <is>
          <t>SCH-06-159</t>
        </is>
      </c>
      <c r="D1435" s="23" t="inlineStr">
        <is>
          <t>UNSURE</t>
        </is>
      </c>
      <c r="E1435" s="23" t="inlineStr">
        <is>
          <t>Carried forward</t>
        </is>
      </c>
      <c r="F1435" s="23" t="inlineStr"/>
      <c r="G1435" s="23" t="inlineStr">
        <is>
          <t>Maya Chen, Owner Project Controls</t>
        </is>
      </c>
      <c r="H1435" s="14" t="inlineStr">
        <is>
          <t>10 EVIDENCE &amp; DECISIONS</t>
        </is>
      </c>
    </row>
    <row r="1436" ht="34" customHeight="1">
      <c r="A1436" s="23" t="inlineStr">
        <is>
          <t>R1060-v3</t>
        </is>
      </c>
      <c r="B1436" s="23" t="inlineStr">
        <is>
          <t>Contractor Programme</t>
        </is>
      </c>
      <c r="C1436" s="23" t="inlineStr">
        <is>
          <t>SCH-06-160</t>
        </is>
      </c>
      <c r="D1436" s="23" t="inlineStr">
        <is>
          <t>UNSURE</t>
        </is>
      </c>
      <c r="E1436" s="23" t="inlineStr">
        <is>
          <t>Carried forward</t>
        </is>
      </c>
      <c r="F1436" s="23" t="inlineStr"/>
      <c r="G1436" s="23" t="inlineStr">
        <is>
          <t>Maya Chen, Owner Project Controls</t>
        </is>
      </c>
      <c r="H1436" s="14" t="inlineStr">
        <is>
          <t>10 EVIDENCE &amp; DECISIONS</t>
        </is>
      </c>
    </row>
    <row r="1437" ht="34" customHeight="1">
      <c r="A1437" s="23" t="inlineStr">
        <is>
          <t>R1061-v3</t>
        </is>
      </c>
      <c r="B1437" s="23" t="inlineStr">
        <is>
          <t>Contractor Programme</t>
        </is>
      </c>
      <c r="C1437" s="23" t="inlineStr">
        <is>
          <t>SCH-06-161</t>
        </is>
      </c>
      <c r="D1437" s="23" t="inlineStr">
        <is>
          <t>UNSURE</t>
        </is>
      </c>
      <c r="E1437" s="23" t="inlineStr">
        <is>
          <t>Carried forward</t>
        </is>
      </c>
      <c r="F1437" s="23" t="inlineStr"/>
      <c r="G1437" s="23" t="inlineStr">
        <is>
          <t>Maya Chen, Owner Project Controls</t>
        </is>
      </c>
      <c r="H1437" s="14" t="inlineStr">
        <is>
          <t>10 EVIDENCE &amp; DECISIONS</t>
        </is>
      </c>
    </row>
    <row r="1438" ht="34" customHeight="1">
      <c r="A1438" s="23" t="inlineStr">
        <is>
          <t>R1062-v3</t>
        </is>
      </c>
      <c r="B1438" s="23" t="inlineStr">
        <is>
          <t>Contractor Programme</t>
        </is>
      </c>
      <c r="C1438" s="23" t="inlineStr">
        <is>
          <t>SCH-06-162</t>
        </is>
      </c>
      <c r="D1438" s="23" t="inlineStr">
        <is>
          <t>UNSURE</t>
        </is>
      </c>
      <c r="E1438" s="23" t="inlineStr">
        <is>
          <t>Carried forward</t>
        </is>
      </c>
      <c r="F1438" s="23" t="inlineStr"/>
      <c r="G1438" s="23" t="inlineStr">
        <is>
          <t>Maya Chen, Owner Project Controls</t>
        </is>
      </c>
      <c r="H1438" s="14" t="inlineStr">
        <is>
          <t>10 EVIDENCE &amp; DECISIONS</t>
        </is>
      </c>
    </row>
    <row r="1439" ht="34" customHeight="1">
      <c r="A1439" s="23" t="inlineStr">
        <is>
          <t>R1063-v3</t>
        </is>
      </c>
      <c r="B1439" s="23" t="inlineStr">
        <is>
          <t>Contractor Programme</t>
        </is>
      </c>
      <c r="C1439" s="23" t="inlineStr">
        <is>
          <t>SCH-06-163</t>
        </is>
      </c>
      <c r="D1439" s="23" t="inlineStr">
        <is>
          <t>UNSURE</t>
        </is>
      </c>
      <c r="E1439" s="23" t="inlineStr">
        <is>
          <t>Carried forward</t>
        </is>
      </c>
      <c r="F1439" s="23" t="inlineStr"/>
      <c r="G1439" s="23" t="inlineStr">
        <is>
          <t>Maya Chen, Owner Project Controls</t>
        </is>
      </c>
      <c r="H1439" s="14" t="inlineStr">
        <is>
          <t>10 EVIDENCE &amp; DECISIONS</t>
        </is>
      </c>
    </row>
    <row r="1440" ht="34" customHeight="1">
      <c r="A1440" s="23" t="inlineStr">
        <is>
          <t>R1064-v3</t>
        </is>
      </c>
      <c r="B1440" s="23" t="inlineStr">
        <is>
          <t>Contractor Programme</t>
        </is>
      </c>
      <c r="C1440" s="23" t="inlineStr">
        <is>
          <t>SCH-06-164</t>
        </is>
      </c>
      <c r="D1440" s="23" t="inlineStr">
        <is>
          <t>UNSURE</t>
        </is>
      </c>
      <c r="E1440" s="23" t="inlineStr">
        <is>
          <t>Carried forward</t>
        </is>
      </c>
      <c r="F1440" s="23" t="inlineStr"/>
      <c r="G1440" s="23" t="inlineStr">
        <is>
          <t>Maya Chen, Owner Project Controls</t>
        </is>
      </c>
      <c r="H1440" s="14" t="inlineStr">
        <is>
          <t>10 EVIDENCE &amp; DECISIONS</t>
        </is>
      </c>
    </row>
    <row r="1441" ht="34" customHeight="1">
      <c r="A1441" s="23" t="inlineStr">
        <is>
          <t>R1065-v3</t>
        </is>
      </c>
      <c r="B1441" s="23" t="inlineStr">
        <is>
          <t>Contractor Programme</t>
        </is>
      </c>
      <c r="C1441" s="23" t="inlineStr">
        <is>
          <t>SCH-06-165</t>
        </is>
      </c>
      <c r="D1441" s="23" t="inlineStr">
        <is>
          <t>UNSURE</t>
        </is>
      </c>
      <c r="E1441" s="23" t="inlineStr">
        <is>
          <t>Carried forward</t>
        </is>
      </c>
      <c r="F1441" s="23" t="inlineStr"/>
      <c r="G1441" s="23" t="inlineStr">
        <is>
          <t>Maya Chen, Owner Project Controls</t>
        </is>
      </c>
      <c r="H1441" s="14" t="inlineStr">
        <is>
          <t>10 EVIDENCE &amp; DECISIONS</t>
        </is>
      </c>
    </row>
    <row r="1442" ht="34" customHeight="1">
      <c r="A1442" s="23" t="inlineStr">
        <is>
          <t>R1066-v3</t>
        </is>
      </c>
      <c r="B1442" s="23" t="inlineStr">
        <is>
          <t>Contractor Programme</t>
        </is>
      </c>
      <c r="C1442" s="23" t="inlineStr">
        <is>
          <t>SCH-06-166</t>
        </is>
      </c>
      <c r="D1442" s="23" t="inlineStr">
        <is>
          <t>UNSURE</t>
        </is>
      </c>
      <c r="E1442" s="23" t="inlineStr">
        <is>
          <t>Carried forward</t>
        </is>
      </c>
      <c r="F1442" s="23" t="inlineStr"/>
      <c r="G1442" s="23" t="inlineStr">
        <is>
          <t>Maya Chen, Owner Project Controls</t>
        </is>
      </c>
      <c r="H1442" s="14" t="inlineStr">
        <is>
          <t>10 EVIDENCE &amp; DECISIONS</t>
        </is>
      </c>
    </row>
    <row r="1443" ht="34" customHeight="1">
      <c r="A1443" s="23" t="inlineStr">
        <is>
          <t>R1067-v3</t>
        </is>
      </c>
      <c r="B1443" s="23" t="inlineStr">
        <is>
          <t>Contractor Programme</t>
        </is>
      </c>
      <c r="C1443" s="23" t="inlineStr">
        <is>
          <t>SCH-06-167</t>
        </is>
      </c>
      <c r="D1443" s="23" t="inlineStr">
        <is>
          <t>UNSURE</t>
        </is>
      </c>
      <c r="E1443" s="23" t="inlineStr">
        <is>
          <t>Carried forward</t>
        </is>
      </c>
      <c r="F1443" s="23" t="inlineStr"/>
      <c r="G1443" s="23" t="inlineStr">
        <is>
          <t>Maya Chen, Owner Project Controls</t>
        </is>
      </c>
      <c r="H1443" s="14" t="inlineStr">
        <is>
          <t>10 EVIDENCE &amp; DECISIONS</t>
        </is>
      </c>
    </row>
    <row r="1444" ht="34" customHeight="1">
      <c r="A1444" s="23" t="inlineStr">
        <is>
          <t>R1068-v3</t>
        </is>
      </c>
      <c r="B1444" s="23" t="inlineStr">
        <is>
          <t>Contractor Programme</t>
        </is>
      </c>
      <c r="C1444" s="23" t="inlineStr">
        <is>
          <t>SCH-06-168</t>
        </is>
      </c>
      <c r="D1444" s="23" t="inlineStr">
        <is>
          <t>UNSURE</t>
        </is>
      </c>
      <c r="E1444" s="23" t="inlineStr">
        <is>
          <t>Carried forward</t>
        </is>
      </c>
      <c r="F1444" s="23" t="inlineStr"/>
      <c r="G1444" s="23" t="inlineStr">
        <is>
          <t>Maya Chen, Owner Project Controls</t>
        </is>
      </c>
      <c r="H1444" s="14" t="inlineStr">
        <is>
          <t>10 EVIDENCE &amp; DECISIONS</t>
        </is>
      </c>
    </row>
    <row r="1445" ht="34" customHeight="1">
      <c r="A1445" s="23" t="inlineStr">
        <is>
          <t>R1069-v3</t>
        </is>
      </c>
      <c r="B1445" s="23" t="inlineStr">
        <is>
          <t>Contractor Programme</t>
        </is>
      </c>
      <c r="C1445" s="23" t="inlineStr">
        <is>
          <t>SCH-06-169</t>
        </is>
      </c>
      <c r="D1445" s="23" t="inlineStr">
        <is>
          <t>UNSURE</t>
        </is>
      </c>
      <c r="E1445" s="23" t="inlineStr">
        <is>
          <t>Carried forward</t>
        </is>
      </c>
      <c r="F1445" s="23" t="inlineStr"/>
      <c r="G1445" s="23" t="inlineStr">
        <is>
          <t>Maya Chen, Owner Project Controls</t>
        </is>
      </c>
      <c r="H1445" s="14" t="inlineStr">
        <is>
          <t>10 EVIDENCE &amp; DECISIONS</t>
        </is>
      </c>
    </row>
    <row r="1446" ht="34" customHeight="1">
      <c r="A1446" s="23" t="inlineStr">
        <is>
          <t>R1070-v3</t>
        </is>
      </c>
      <c r="B1446" s="23" t="inlineStr">
        <is>
          <t>Contractor Programme</t>
        </is>
      </c>
      <c r="C1446" s="23" t="inlineStr">
        <is>
          <t>SCH-06-170</t>
        </is>
      </c>
      <c r="D1446" s="23" t="inlineStr">
        <is>
          <t>UNSURE</t>
        </is>
      </c>
      <c r="E1446" s="23" t="inlineStr">
        <is>
          <t>Carried forward</t>
        </is>
      </c>
      <c r="F1446" s="23" t="inlineStr"/>
      <c r="G1446" s="23" t="inlineStr">
        <is>
          <t>Maya Chen, Owner Project Controls</t>
        </is>
      </c>
      <c r="H1446" s="14" t="inlineStr">
        <is>
          <t>10 EVIDENCE &amp; DECISIONS</t>
        </is>
      </c>
    </row>
    <row r="1447" ht="34" customHeight="1">
      <c r="A1447" s="23" t="inlineStr">
        <is>
          <t>R1071-v3</t>
        </is>
      </c>
      <c r="B1447" s="23" t="inlineStr">
        <is>
          <t>Contractor Programme</t>
        </is>
      </c>
      <c r="C1447" s="23" t="inlineStr">
        <is>
          <t>SCH-06-171</t>
        </is>
      </c>
      <c r="D1447" s="23" t="inlineStr">
        <is>
          <t>UNSURE</t>
        </is>
      </c>
      <c r="E1447" s="23" t="inlineStr">
        <is>
          <t>Carried forward</t>
        </is>
      </c>
      <c r="F1447" s="23" t="inlineStr"/>
      <c r="G1447" s="23" t="inlineStr">
        <is>
          <t>Maya Chen, Owner Project Controls</t>
        </is>
      </c>
      <c r="H1447" s="14" t="inlineStr">
        <is>
          <t>10 EVIDENCE &amp; DECISIONS</t>
        </is>
      </c>
    </row>
    <row r="1448" ht="34" customHeight="1">
      <c r="A1448" s="23" t="inlineStr">
        <is>
          <t>R1072-v3</t>
        </is>
      </c>
      <c r="B1448" s="23" t="inlineStr">
        <is>
          <t>Contractor Programme</t>
        </is>
      </c>
      <c r="C1448" s="23" t="inlineStr">
        <is>
          <t>SCH-06-172</t>
        </is>
      </c>
      <c r="D1448" s="23" t="inlineStr">
        <is>
          <t>UNSURE</t>
        </is>
      </c>
      <c r="E1448" s="23" t="inlineStr">
        <is>
          <t>Carried forward</t>
        </is>
      </c>
      <c r="F1448" s="23" t="inlineStr"/>
      <c r="G1448" s="23" t="inlineStr">
        <is>
          <t>Maya Chen, Owner Project Controls</t>
        </is>
      </c>
      <c r="H1448" s="14" t="inlineStr">
        <is>
          <t>10 EVIDENCE &amp; DECISIONS</t>
        </is>
      </c>
    </row>
    <row r="1449" ht="34" customHeight="1">
      <c r="A1449" s="23" t="inlineStr">
        <is>
          <t>R1073-v3</t>
        </is>
      </c>
      <c r="B1449" s="23" t="inlineStr">
        <is>
          <t>Contractor Programme</t>
        </is>
      </c>
      <c r="C1449" s="23" t="inlineStr">
        <is>
          <t>SCH-06-173</t>
        </is>
      </c>
      <c r="D1449" s="23" t="inlineStr">
        <is>
          <t>UNSURE</t>
        </is>
      </c>
      <c r="E1449" s="23" t="inlineStr">
        <is>
          <t>Carried forward</t>
        </is>
      </c>
      <c r="F1449" s="23" t="inlineStr"/>
      <c r="G1449" s="23" t="inlineStr">
        <is>
          <t>Maya Chen, Owner Project Controls</t>
        </is>
      </c>
      <c r="H1449" s="14" t="inlineStr">
        <is>
          <t>10 EVIDENCE &amp; DECISIONS</t>
        </is>
      </c>
    </row>
    <row r="1450" ht="34" customHeight="1">
      <c r="A1450" s="23" t="inlineStr">
        <is>
          <t>R1074-v3</t>
        </is>
      </c>
      <c r="B1450" s="23" t="inlineStr">
        <is>
          <t>Contractor Programme</t>
        </is>
      </c>
      <c r="C1450" s="23" t="inlineStr">
        <is>
          <t>SCH-06-174</t>
        </is>
      </c>
      <c r="D1450" s="23" t="inlineStr">
        <is>
          <t>UNSURE</t>
        </is>
      </c>
      <c r="E1450" s="23" t="inlineStr">
        <is>
          <t>Carried forward</t>
        </is>
      </c>
      <c r="F1450" s="23" t="inlineStr"/>
      <c r="G1450" s="23" t="inlineStr">
        <is>
          <t>Maya Chen, Owner Project Controls</t>
        </is>
      </c>
      <c r="H1450" s="14" t="inlineStr">
        <is>
          <t>10 EVIDENCE &amp; DECISIONS</t>
        </is>
      </c>
    </row>
    <row r="1451" ht="34" customHeight="1">
      <c r="A1451" s="23" t="inlineStr">
        <is>
          <t>R1075-v3</t>
        </is>
      </c>
      <c r="B1451" s="23" t="inlineStr">
        <is>
          <t>Contractor Programme</t>
        </is>
      </c>
      <c r="C1451" s="23" t="inlineStr">
        <is>
          <t>SCH-06-175</t>
        </is>
      </c>
      <c r="D1451" s="23" t="inlineStr">
        <is>
          <t>UNSURE</t>
        </is>
      </c>
      <c r="E1451" s="23" t="inlineStr">
        <is>
          <t>Carried forward</t>
        </is>
      </c>
      <c r="F1451" s="23" t="inlineStr"/>
      <c r="G1451" s="23" t="inlineStr">
        <is>
          <t>Maya Chen, Owner Project Controls</t>
        </is>
      </c>
      <c r="H1451" s="14" t="inlineStr">
        <is>
          <t>10 EVIDENCE &amp; DECISIONS</t>
        </is>
      </c>
    </row>
    <row r="1452" ht="34" customHeight="1">
      <c r="A1452" s="23" t="inlineStr">
        <is>
          <t>R1076-v3</t>
        </is>
      </c>
      <c r="B1452" s="23" t="inlineStr">
        <is>
          <t>Contractor Programme</t>
        </is>
      </c>
      <c r="C1452" s="23" t="inlineStr">
        <is>
          <t>SCH-06-176</t>
        </is>
      </c>
      <c r="D1452" s="23" t="inlineStr">
        <is>
          <t>UNSURE</t>
        </is>
      </c>
      <c r="E1452" s="23" t="inlineStr">
        <is>
          <t>Carried forward</t>
        </is>
      </c>
      <c r="F1452" s="23" t="inlineStr"/>
      <c r="G1452" s="23" t="inlineStr">
        <is>
          <t>Maya Chen, Owner Project Controls</t>
        </is>
      </c>
      <c r="H1452" s="14" t="inlineStr">
        <is>
          <t>10 EVIDENCE &amp; DECISIONS</t>
        </is>
      </c>
    </row>
    <row r="1453" ht="34" customHeight="1">
      <c r="A1453" s="23" t="inlineStr">
        <is>
          <t>R1077-v3</t>
        </is>
      </c>
      <c r="B1453" s="23" t="inlineStr">
        <is>
          <t>Contractor Programme</t>
        </is>
      </c>
      <c r="C1453" s="23" t="inlineStr">
        <is>
          <t>SCH-06-177</t>
        </is>
      </c>
      <c r="D1453" s="23" t="inlineStr">
        <is>
          <t>UNSURE</t>
        </is>
      </c>
      <c r="E1453" s="23" t="inlineStr">
        <is>
          <t>Carried forward</t>
        </is>
      </c>
      <c r="F1453" s="23" t="inlineStr"/>
      <c r="G1453" s="23" t="inlineStr">
        <is>
          <t>Maya Chen, Owner Project Controls</t>
        </is>
      </c>
      <c r="H1453" s="14" t="inlineStr">
        <is>
          <t>10 EVIDENCE &amp; DECISIONS</t>
        </is>
      </c>
    </row>
    <row r="1454" ht="34" customHeight="1">
      <c r="A1454" s="23" t="inlineStr">
        <is>
          <t>R1078-v3</t>
        </is>
      </c>
      <c r="B1454" s="23" t="inlineStr">
        <is>
          <t>Contractor Programme</t>
        </is>
      </c>
      <c r="C1454" s="23" t="inlineStr">
        <is>
          <t>SCH-06-178</t>
        </is>
      </c>
      <c r="D1454" s="23" t="inlineStr">
        <is>
          <t>UNSURE</t>
        </is>
      </c>
      <c r="E1454" s="23" t="inlineStr">
        <is>
          <t>Carried forward</t>
        </is>
      </c>
      <c r="F1454" s="23" t="inlineStr"/>
      <c r="G1454" s="23" t="inlineStr">
        <is>
          <t>Maya Chen, Owner Project Controls</t>
        </is>
      </c>
      <c r="H1454" s="14" t="inlineStr">
        <is>
          <t>10 EVIDENCE &amp; DECISIONS</t>
        </is>
      </c>
    </row>
    <row r="1455" ht="34" customHeight="1">
      <c r="A1455" s="23" t="inlineStr">
        <is>
          <t>R1079-v3</t>
        </is>
      </c>
      <c r="B1455" s="23" t="inlineStr">
        <is>
          <t>Contractor Programme</t>
        </is>
      </c>
      <c r="C1455" s="23" t="inlineStr">
        <is>
          <t>SCH-06-179</t>
        </is>
      </c>
      <c r="D1455" s="23" t="inlineStr">
        <is>
          <t>UNSURE</t>
        </is>
      </c>
      <c r="E1455" s="23" t="inlineStr">
        <is>
          <t>Carried forward</t>
        </is>
      </c>
      <c r="F1455" s="23" t="inlineStr"/>
      <c r="G1455" s="23" t="inlineStr">
        <is>
          <t>Maya Chen, Owner Project Controls</t>
        </is>
      </c>
      <c r="H1455" s="14" t="inlineStr">
        <is>
          <t>10 EVIDENCE &amp; DECISIONS</t>
        </is>
      </c>
    </row>
    <row r="1456" ht="34" customHeight="1">
      <c r="A1456" s="23" t="inlineStr">
        <is>
          <t>R1080-v3</t>
        </is>
      </c>
      <c r="B1456" s="23" t="inlineStr">
        <is>
          <t>Contractor Programme</t>
        </is>
      </c>
      <c r="C1456" s="23" t="inlineStr">
        <is>
          <t>SCH-06-180</t>
        </is>
      </c>
      <c r="D1456" s="23" t="inlineStr">
        <is>
          <t>UNSURE</t>
        </is>
      </c>
      <c r="E1456" s="23" t="inlineStr">
        <is>
          <t>Carried forward</t>
        </is>
      </c>
      <c r="F1456" s="23" t="inlineStr"/>
      <c r="G1456" s="23" t="inlineStr">
        <is>
          <t>Maya Chen, Owner Project Controls</t>
        </is>
      </c>
      <c r="H1456" s="14" t="inlineStr">
        <is>
          <t>10 EVIDENCE &amp; DECISIONS</t>
        </is>
      </c>
    </row>
    <row r="1457" ht="34" customHeight="1">
      <c r="A1457" s="23" t="inlineStr">
        <is>
          <t>R1246-v3</t>
        </is>
      </c>
      <c r="B1457" s="23" t="inlineStr">
        <is>
          <t>Cost &amp; Forecast Control Accounts</t>
        </is>
      </c>
      <c r="C1457" s="23" t="inlineStr">
        <is>
          <t>CST-03-004</t>
        </is>
      </c>
      <c r="D1457" s="23" t="inlineStr">
        <is>
          <t>UNSURE</t>
        </is>
      </c>
      <c r="E1457" s="23" t="inlineStr">
        <is>
          <t>Carried forward</t>
        </is>
      </c>
      <c r="F1457" s="23" t="inlineStr"/>
      <c r="G1457" s="23" t="inlineStr">
        <is>
          <t>Maya Chen, Owner Project Controls</t>
        </is>
      </c>
      <c r="H1457" s="14" t="inlineStr">
        <is>
          <t>10 EVIDENCE &amp; DECISIONS</t>
        </is>
      </c>
    </row>
    <row r="1458" ht="34" customHeight="1">
      <c r="A1458" s="23" t="inlineStr">
        <is>
          <t>R1403-v3</t>
        </is>
      </c>
      <c r="B1458" s="23" t="inlineStr">
        <is>
          <t>Cost &amp; Forecast Control Accounts</t>
        </is>
      </c>
      <c r="C1458" s="23" t="inlineStr">
        <is>
          <t>CST-05-001</t>
        </is>
      </c>
      <c r="D1458" s="23" t="inlineStr">
        <is>
          <t>UNSURE</t>
        </is>
      </c>
      <c r="E1458" s="23" t="inlineStr">
        <is>
          <t>Carried forward</t>
        </is>
      </c>
      <c r="F1458" s="23" t="inlineStr"/>
      <c r="G1458" s="23" t="inlineStr">
        <is>
          <t>Maya Chen, Owner Project Controls</t>
        </is>
      </c>
      <c r="H1458" s="14" t="inlineStr">
        <is>
          <t>10 EVIDENCE &amp; DECISIONS</t>
        </is>
      </c>
    </row>
    <row r="1459" ht="34" customHeight="1">
      <c r="A1459" s="23" t="inlineStr">
        <is>
          <t>R1404-v3</t>
        </is>
      </c>
      <c r="B1459" s="23" t="inlineStr">
        <is>
          <t>Cost &amp; Forecast Control Accounts</t>
        </is>
      </c>
      <c r="C1459" s="23" t="inlineStr">
        <is>
          <t>CST-05-002</t>
        </is>
      </c>
      <c r="D1459" s="23" t="inlineStr">
        <is>
          <t>UNSURE</t>
        </is>
      </c>
      <c r="E1459" s="23" t="inlineStr">
        <is>
          <t>Carried forward</t>
        </is>
      </c>
      <c r="F1459" s="23" t="inlineStr"/>
      <c r="G1459" s="23" t="inlineStr">
        <is>
          <t>Maya Chen, Owner Project Controls</t>
        </is>
      </c>
      <c r="H1459" s="14" t="inlineStr">
        <is>
          <t>10 EVIDENCE &amp; DECISIONS</t>
        </is>
      </c>
    </row>
    <row r="1460" ht="34" customHeight="1">
      <c r="A1460" s="23" t="inlineStr">
        <is>
          <t>R1405-v3</t>
        </is>
      </c>
      <c r="B1460" s="23" t="inlineStr">
        <is>
          <t>Cost &amp; Forecast Control Accounts</t>
        </is>
      </c>
      <c r="C1460" s="23" t="inlineStr">
        <is>
          <t>CST-05-003</t>
        </is>
      </c>
      <c r="D1460" s="23" t="inlineStr">
        <is>
          <t>UNSURE</t>
        </is>
      </c>
      <c r="E1460" s="23" t="inlineStr">
        <is>
          <t>Carried forward</t>
        </is>
      </c>
      <c r="F1460" s="23" t="inlineStr"/>
      <c r="G1460" s="23" t="inlineStr">
        <is>
          <t>Maya Chen, Owner Project Controls</t>
        </is>
      </c>
      <c r="H1460" s="14" t="inlineStr">
        <is>
          <t>10 EVIDENCE &amp; DECISIONS</t>
        </is>
      </c>
    </row>
    <row r="1461" ht="34" customHeight="1">
      <c r="A1461" s="23" t="inlineStr">
        <is>
          <t>R1406-v3</t>
        </is>
      </c>
      <c r="B1461" s="23" t="inlineStr">
        <is>
          <t>Cost &amp; Forecast Control Accounts</t>
        </is>
      </c>
      <c r="C1461" s="23" t="inlineStr">
        <is>
          <t>CST-05-004</t>
        </is>
      </c>
      <c r="D1461" s="23" t="inlineStr">
        <is>
          <t>UNSURE</t>
        </is>
      </c>
      <c r="E1461" s="23" t="inlineStr">
        <is>
          <t>Carried forward</t>
        </is>
      </c>
      <c r="F1461" s="23" t="inlineStr"/>
      <c r="G1461" s="23" t="inlineStr">
        <is>
          <t>Maya Chen, Owner Project Controls</t>
        </is>
      </c>
      <c r="H1461" s="14" t="inlineStr">
        <is>
          <t>10 EVIDENCE &amp; DECISIONS</t>
        </is>
      </c>
    </row>
    <row r="1462" ht="34" customHeight="1">
      <c r="A1462" s="23" t="inlineStr">
        <is>
          <t>R1407-v3</t>
        </is>
      </c>
      <c r="B1462" s="23" t="inlineStr">
        <is>
          <t>Cost &amp; Forecast Control Accounts</t>
        </is>
      </c>
      <c r="C1462" s="23" t="inlineStr">
        <is>
          <t>CST-05-005</t>
        </is>
      </c>
      <c r="D1462" s="23" t="inlineStr">
        <is>
          <t>UNSURE</t>
        </is>
      </c>
      <c r="E1462" s="23" t="inlineStr">
        <is>
          <t>Carried forward</t>
        </is>
      </c>
      <c r="F1462" s="23" t="inlineStr"/>
      <c r="G1462" s="23" t="inlineStr">
        <is>
          <t>Maya Chen, Owner Project Controls</t>
        </is>
      </c>
      <c r="H1462" s="14" t="inlineStr">
        <is>
          <t>10 EVIDENCE &amp; DECISIONS</t>
        </is>
      </c>
    </row>
    <row r="1463" ht="34" customHeight="1">
      <c r="A1463" s="23" t="inlineStr">
        <is>
          <t>R1408-v3</t>
        </is>
      </c>
      <c r="B1463" s="23" t="inlineStr">
        <is>
          <t>Cost &amp; Forecast Control Accounts</t>
        </is>
      </c>
      <c r="C1463" s="23" t="inlineStr">
        <is>
          <t>CST-05-006</t>
        </is>
      </c>
      <c r="D1463" s="23" t="inlineStr">
        <is>
          <t>UNSURE</t>
        </is>
      </c>
      <c r="E1463" s="23" t="inlineStr">
        <is>
          <t>Carried forward</t>
        </is>
      </c>
      <c r="F1463" s="23" t="inlineStr"/>
      <c r="G1463" s="23" t="inlineStr">
        <is>
          <t>Maya Chen, Owner Project Controls</t>
        </is>
      </c>
      <c r="H1463" s="14" t="inlineStr">
        <is>
          <t>10 EVIDENCE &amp; DECISIONS</t>
        </is>
      </c>
    </row>
    <row r="1464" ht="34" customHeight="1">
      <c r="A1464" s="23" t="inlineStr">
        <is>
          <t>R1409-v3</t>
        </is>
      </c>
      <c r="B1464" s="23" t="inlineStr">
        <is>
          <t>Cost &amp; Forecast Control Accounts</t>
        </is>
      </c>
      <c r="C1464" s="23" t="inlineStr">
        <is>
          <t>CST-05-007</t>
        </is>
      </c>
      <c r="D1464" s="23" t="inlineStr">
        <is>
          <t>UNSURE</t>
        </is>
      </c>
      <c r="E1464" s="23" t="inlineStr">
        <is>
          <t>Carried forward</t>
        </is>
      </c>
      <c r="F1464" s="23" t="inlineStr"/>
      <c r="G1464" s="23" t="inlineStr">
        <is>
          <t>Maya Chen, Owner Project Controls</t>
        </is>
      </c>
      <c r="H1464" s="14" t="inlineStr">
        <is>
          <t>10 EVIDENCE &amp; DECISIONS</t>
        </is>
      </c>
    </row>
    <row r="1465" ht="34" customHeight="1">
      <c r="A1465" s="23" t="inlineStr">
        <is>
          <t>R1410-v3</t>
        </is>
      </c>
      <c r="B1465" s="23" t="inlineStr">
        <is>
          <t>Cost &amp; Forecast Control Accounts</t>
        </is>
      </c>
      <c r="C1465" s="23" t="inlineStr">
        <is>
          <t>CST-05-008</t>
        </is>
      </c>
      <c r="D1465" s="23" t="inlineStr">
        <is>
          <t>UNSURE</t>
        </is>
      </c>
      <c r="E1465" s="23" t="inlineStr">
        <is>
          <t>Carried forward</t>
        </is>
      </c>
      <c r="F1465" s="23" t="inlineStr"/>
      <c r="G1465" s="23" t="inlineStr">
        <is>
          <t>Maya Chen, Owner Project Controls</t>
        </is>
      </c>
      <c r="H1465" s="14" t="inlineStr">
        <is>
          <t>10 EVIDENCE &amp; DECISIONS</t>
        </is>
      </c>
    </row>
    <row r="1466" ht="34" customHeight="1">
      <c r="A1466" s="23" t="inlineStr">
        <is>
          <t>R1411-v3</t>
        </is>
      </c>
      <c r="B1466" s="23" t="inlineStr">
        <is>
          <t>Cost &amp; Forecast Control Accounts</t>
        </is>
      </c>
      <c r="C1466" s="23" t="inlineStr">
        <is>
          <t>CST-05-009</t>
        </is>
      </c>
      <c r="D1466" s="23" t="inlineStr">
        <is>
          <t>UNSURE</t>
        </is>
      </c>
      <c r="E1466" s="23" t="inlineStr">
        <is>
          <t>Carried forward</t>
        </is>
      </c>
      <c r="F1466" s="23" t="inlineStr"/>
      <c r="G1466" s="23" t="inlineStr">
        <is>
          <t>Maya Chen, Owner Project Controls</t>
        </is>
      </c>
      <c r="H1466" s="14" t="inlineStr">
        <is>
          <t>10 EVIDENCE &amp; DECISIONS</t>
        </is>
      </c>
    </row>
    <row r="1467" ht="34" customHeight="1">
      <c r="A1467" s="23" t="inlineStr">
        <is>
          <t>R1412-v3</t>
        </is>
      </c>
      <c r="B1467" s="23" t="inlineStr">
        <is>
          <t>Cost &amp; Forecast Control Accounts</t>
        </is>
      </c>
      <c r="C1467" s="23" t="inlineStr">
        <is>
          <t>CST-05-010</t>
        </is>
      </c>
      <c r="D1467" s="23" t="inlineStr">
        <is>
          <t>UNSURE</t>
        </is>
      </c>
      <c r="E1467" s="23" t="inlineStr">
        <is>
          <t>Carried forward</t>
        </is>
      </c>
      <c r="F1467" s="23" t="inlineStr"/>
      <c r="G1467" s="23" t="inlineStr">
        <is>
          <t>Maya Chen, Owner Project Controls</t>
        </is>
      </c>
      <c r="H1467" s="14" t="inlineStr">
        <is>
          <t>10 EVIDENCE &amp; DECISIONS</t>
        </is>
      </c>
    </row>
    <row r="1468" ht="34" customHeight="1">
      <c r="A1468" s="23" t="inlineStr">
        <is>
          <t>R1413-v3</t>
        </is>
      </c>
      <c r="B1468" s="23" t="inlineStr">
        <is>
          <t>Cost &amp; Forecast Control Accounts</t>
        </is>
      </c>
      <c r="C1468" s="23" t="inlineStr">
        <is>
          <t>CST-05-011</t>
        </is>
      </c>
      <c r="D1468" s="23" t="inlineStr">
        <is>
          <t>UNSURE</t>
        </is>
      </c>
      <c r="E1468" s="23" t="inlineStr">
        <is>
          <t>Carried forward</t>
        </is>
      </c>
      <c r="F1468" s="23" t="inlineStr"/>
      <c r="G1468" s="23" t="inlineStr">
        <is>
          <t>Maya Chen, Owner Project Controls</t>
        </is>
      </c>
      <c r="H1468" s="14" t="inlineStr">
        <is>
          <t>10 EVIDENCE &amp; DECISIONS</t>
        </is>
      </c>
    </row>
    <row r="1469" ht="34" customHeight="1">
      <c r="A1469" s="23" t="inlineStr">
        <is>
          <t>R1414-v3</t>
        </is>
      </c>
      <c r="B1469" s="23" t="inlineStr">
        <is>
          <t>Cost &amp; Forecast Control Accounts</t>
        </is>
      </c>
      <c r="C1469" s="23" t="inlineStr">
        <is>
          <t>CST-05-012</t>
        </is>
      </c>
      <c r="D1469" s="23" t="inlineStr">
        <is>
          <t>UNSURE</t>
        </is>
      </c>
      <c r="E1469" s="23" t="inlineStr">
        <is>
          <t>Carried forward</t>
        </is>
      </c>
      <c r="F1469" s="23" t="inlineStr"/>
      <c r="G1469" s="23" t="inlineStr">
        <is>
          <t>Maya Chen, Owner Project Controls</t>
        </is>
      </c>
      <c r="H1469" s="14" t="inlineStr">
        <is>
          <t>10 EVIDENCE &amp; DECISIONS</t>
        </is>
      </c>
    </row>
    <row r="1470" ht="34" customHeight="1">
      <c r="A1470" s="23" t="inlineStr">
        <is>
          <t>R1415-v3</t>
        </is>
      </c>
      <c r="B1470" s="23" t="inlineStr">
        <is>
          <t>Cost &amp; Forecast Control Accounts</t>
        </is>
      </c>
      <c r="C1470" s="23" t="inlineStr">
        <is>
          <t>CST-05-013</t>
        </is>
      </c>
      <c r="D1470" s="23" t="inlineStr">
        <is>
          <t>UNSURE</t>
        </is>
      </c>
      <c r="E1470" s="23" t="inlineStr">
        <is>
          <t>Carried forward</t>
        </is>
      </c>
      <c r="F1470" s="23" t="inlineStr"/>
      <c r="G1470" s="23" t="inlineStr">
        <is>
          <t>Maya Chen, Owner Project Controls</t>
        </is>
      </c>
      <c r="H1470" s="14" t="inlineStr">
        <is>
          <t>10 EVIDENCE &amp; DECISIONS</t>
        </is>
      </c>
    </row>
    <row r="1471" ht="34" customHeight="1">
      <c r="A1471" s="23" t="inlineStr">
        <is>
          <t>R1416-v3</t>
        </is>
      </c>
      <c r="B1471" s="23" t="inlineStr">
        <is>
          <t>Cost &amp; Forecast Control Accounts</t>
        </is>
      </c>
      <c r="C1471" s="23" t="inlineStr">
        <is>
          <t>CST-05-014</t>
        </is>
      </c>
      <c r="D1471" s="23" t="inlineStr">
        <is>
          <t>UNSURE</t>
        </is>
      </c>
      <c r="E1471" s="23" t="inlineStr">
        <is>
          <t>Carried forward</t>
        </is>
      </c>
      <c r="F1471" s="23" t="inlineStr"/>
      <c r="G1471" s="23" t="inlineStr">
        <is>
          <t>Maya Chen, Owner Project Controls</t>
        </is>
      </c>
      <c r="H1471" s="14" t="inlineStr">
        <is>
          <t>10 EVIDENCE &amp; DECISIONS</t>
        </is>
      </c>
    </row>
    <row r="1472" ht="34" customHeight="1">
      <c r="A1472" s="23" t="inlineStr">
        <is>
          <t>R1417-v3</t>
        </is>
      </c>
      <c r="B1472" s="23" t="inlineStr">
        <is>
          <t>Cost &amp; Forecast Control Accounts</t>
        </is>
      </c>
      <c r="C1472" s="23" t="inlineStr">
        <is>
          <t>CST-05-015</t>
        </is>
      </c>
      <c r="D1472" s="23" t="inlineStr">
        <is>
          <t>UNSURE</t>
        </is>
      </c>
      <c r="E1472" s="23" t="inlineStr">
        <is>
          <t>Carried forward</t>
        </is>
      </c>
      <c r="F1472" s="23" t="inlineStr"/>
      <c r="G1472" s="23" t="inlineStr">
        <is>
          <t>Maya Chen, Owner Project Controls</t>
        </is>
      </c>
      <c r="H1472" s="14" t="inlineStr">
        <is>
          <t>10 EVIDENCE &amp; DECISIONS</t>
        </is>
      </c>
    </row>
    <row r="1473" ht="34" customHeight="1">
      <c r="A1473" s="23" t="inlineStr">
        <is>
          <t>R1418-v3</t>
        </is>
      </c>
      <c r="B1473" s="23" t="inlineStr">
        <is>
          <t>Cost &amp; Forecast Control Accounts</t>
        </is>
      </c>
      <c r="C1473" s="23" t="inlineStr">
        <is>
          <t>CST-05-016</t>
        </is>
      </c>
      <c r="D1473" s="23" t="inlineStr">
        <is>
          <t>UNSURE</t>
        </is>
      </c>
      <c r="E1473" s="23" t="inlineStr">
        <is>
          <t>Carried forward</t>
        </is>
      </c>
      <c r="F1473" s="23" t="inlineStr"/>
      <c r="G1473" s="23" t="inlineStr">
        <is>
          <t>Maya Chen, Owner Project Controls</t>
        </is>
      </c>
      <c r="H1473" s="14" t="inlineStr">
        <is>
          <t>10 EVIDENCE &amp; DECISIONS</t>
        </is>
      </c>
    </row>
    <row r="1474" ht="34" customHeight="1">
      <c r="A1474" s="23" t="inlineStr">
        <is>
          <t>R1419-v3</t>
        </is>
      </c>
      <c r="B1474" s="23" t="inlineStr">
        <is>
          <t>Cost &amp; Forecast Control Accounts</t>
        </is>
      </c>
      <c r="C1474" s="23" t="inlineStr">
        <is>
          <t>CST-05-017</t>
        </is>
      </c>
      <c r="D1474" s="23" t="inlineStr">
        <is>
          <t>UNSURE</t>
        </is>
      </c>
      <c r="E1474" s="23" t="inlineStr">
        <is>
          <t>Carried forward</t>
        </is>
      </c>
      <c r="F1474" s="23" t="inlineStr"/>
      <c r="G1474" s="23" t="inlineStr">
        <is>
          <t>Maya Chen, Owner Project Controls</t>
        </is>
      </c>
      <c r="H1474" s="14" t="inlineStr">
        <is>
          <t>10 EVIDENCE &amp; DECISIONS</t>
        </is>
      </c>
    </row>
    <row r="1475" ht="34" customHeight="1">
      <c r="A1475" s="23" t="inlineStr">
        <is>
          <t>R1420-v3</t>
        </is>
      </c>
      <c r="B1475" s="23" t="inlineStr">
        <is>
          <t>Cost &amp; Forecast Control Accounts</t>
        </is>
      </c>
      <c r="C1475" s="23" t="inlineStr">
        <is>
          <t>CST-05-018</t>
        </is>
      </c>
      <c r="D1475" s="23" t="inlineStr">
        <is>
          <t>UNSURE</t>
        </is>
      </c>
      <c r="E1475" s="23" t="inlineStr">
        <is>
          <t>Carried forward</t>
        </is>
      </c>
      <c r="F1475" s="23" t="inlineStr"/>
      <c r="G1475" s="23" t="inlineStr">
        <is>
          <t>Maya Chen, Owner Project Controls</t>
        </is>
      </c>
      <c r="H1475" s="14" t="inlineStr">
        <is>
          <t>10 EVIDENCE &amp; DECISIONS</t>
        </is>
      </c>
    </row>
    <row r="1476" ht="34" customHeight="1">
      <c r="A1476" s="23" t="inlineStr">
        <is>
          <t>R1421-v3</t>
        </is>
      </c>
      <c r="B1476" s="23" t="inlineStr">
        <is>
          <t>Cost &amp; Forecast Control Accounts</t>
        </is>
      </c>
      <c r="C1476" s="23" t="inlineStr">
        <is>
          <t>CST-05-019</t>
        </is>
      </c>
      <c r="D1476" s="23" t="inlineStr">
        <is>
          <t>UNSURE</t>
        </is>
      </c>
      <c r="E1476" s="23" t="inlineStr">
        <is>
          <t>Carried forward</t>
        </is>
      </c>
      <c r="F1476" s="23" t="inlineStr"/>
      <c r="G1476" s="23" t="inlineStr">
        <is>
          <t>Maya Chen, Owner Project Controls</t>
        </is>
      </c>
      <c r="H1476" s="14" t="inlineStr">
        <is>
          <t>10 EVIDENCE &amp; DECISIONS</t>
        </is>
      </c>
    </row>
    <row r="1477" ht="34" customHeight="1">
      <c r="A1477" s="23" t="inlineStr">
        <is>
          <t>R1422-v3</t>
        </is>
      </c>
      <c r="B1477" s="23" t="inlineStr">
        <is>
          <t>Cost &amp; Forecast Control Accounts</t>
        </is>
      </c>
      <c r="C1477" s="23" t="inlineStr">
        <is>
          <t>CST-05-020</t>
        </is>
      </c>
      <c r="D1477" s="23" t="inlineStr">
        <is>
          <t>UNSURE</t>
        </is>
      </c>
      <c r="E1477" s="23" t="inlineStr">
        <is>
          <t>Carried forward</t>
        </is>
      </c>
      <c r="F1477" s="23" t="inlineStr"/>
      <c r="G1477" s="23" t="inlineStr">
        <is>
          <t>Maya Chen, Owner Project Controls</t>
        </is>
      </c>
      <c r="H1477" s="14" t="inlineStr">
        <is>
          <t>10 EVIDENCE &amp; DECISIONS</t>
        </is>
      </c>
    </row>
    <row r="1478" ht="34" customHeight="1">
      <c r="A1478" s="23" t="inlineStr">
        <is>
          <t>R1423-v3</t>
        </is>
      </c>
      <c r="B1478" s="23" t="inlineStr">
        <is>
          <t>Cost &amp; Forecast Control Accounts</t>
        </is>
      </c>
      <c r="C1478" s="23" t="inlineStr">
        <is>
          <t>CST-05-021</t>
        </is>
      </c>
      <c r="D1478" s="23" t="inlineStr">
        <is>
          <t>UNSURE</t>
        </is>
      </c>
      <c r="E1478" s="23" t="inlineStr">
        <is>
          <t>Carried forward</t>
        </is>
      </c>
      <c r="F1478" s="23" t="inlineStr"/>
      <c r="G1478" s="23" t="inlineStr">
        <is>
          <t>Maya Chen, Owner Project Controls</t>
        </is>
      </c>
      <c r="H1478" s="14" t="inlineStr">
        <is>
          <t>10 EVIDENCE &amp; DECISIONS</t>
        </is>
      </c>
    </row>
    <row r="1479" ht="34" customHeight="1">
      <c r="A1479" s="23" t="inlineStr">
        <is>
          <t>R1424-v3</t>
        </is>
      </c>
      <c r="B1479" s="23" t="inlineStr">
        <is>
          <t>Cost &amp; Forecast Control Accounts</t>
        </is>
      </c>
      <c r="C1479" s="23" t="inlineStr">
        <is>
          <t>CST-05-022</t>
        </is>
      </c>
      <c r="D1479" s="23" t="inlineStr">
        <is>
          <t>UNSURE</t>
        </is>
      </c>
      <c r="E1479" s="23" t="inlineStr">
        <is>
          <t>Carried forward</t>
        </is>
      </c>
      <c r="F1479" s="23" t="inlineStr"/>
      <c r="G1479" s="23" t="inlineStr">
        <is>
          <t>Maya Chen, Owner Project Controls</t>
        </is>
      </c>
      <c r="H1479" s="14" t="inlineStr">
        <is>
          <t>10 EVIDENCE &amp; DECISIONS</t>
        </is>
      </c>
    </row>
    <row r="1480" ht="34" customHeight="1">
      <c r="A1480" s="23" t="inlineStr">
        <is>
          <t>R1425-v3</t>
        </is>
      </c>
      <c r="B1480" s="23" t="inlineStr">
        <is>
          <t>Cost &amp; Forecast Control Accounts</t>
        </is>
      </c>
      <c r="C1480" s="23" t="inlineStr">
        <is>
          <t>CST-05-023</t>
        </is>
      </c>
      <c r="D1480" s="23" t="inlineStr">
        <is>
          <t>UNSURE</t>
        </is>
      </c>
      <c r="E1480" s="23" t="inlineStr">
        <is>
          <t>Carried forward</t>
        </is>
      </c>
      <c r="F1480" s="23" t="inlineStr"/>
      <c r="G1480" s="23" t="inlineStr">
        <is>
          <t>Maya Chen, Owner Project Controls</t>
        </is>
      </c>
      <c r="H1480" s="14" t="inlineStr">
        <is>
          <t>10 EVIDENCE &amp; DECISIONS</t>
        </is>
      </c>
    </row>
    <row r="1481" ht="34" customHeight="1">
      <c r="A1481" s="23" t="inlineStr">
        <is>
          <t>R1426-v3</t>
        </is>
      </c>
      <c r="B1481" s="23" t="inlineStr">
        <is>
          <t>Cost &amp; Forecast Control Accounts</t>
        </is>
      </c>
      <c r="C1481" s="23" t="inlineStr">
        <is>
          <t>CST-05-024</t>
        </is>
      </c>
      <c r="D1481" s="23" t="inlineStr">
        <is>
          <t>UNSURE</t>
        </is>
      </c>
      <c r="E1481" s="23" t="inlineStr">
        <is>
          <t>Carried forward</t>
        </is>
      </c>
      <c r="F1481" s="23" t="inlineStr"/>
      <c r="G1481" s="23" t="inlineStr">
        <is>
          <t>Maya Chen, Owner Project Controls</t>
        </is>
      </c>
      <c r="H1481" s="14" t="inlineStr">
        <is>
          <t>10 EVIDENCE &amp; DECISIONS</t>
        </is>
      </c>
    </row>
    <row r="1482" ht="34" customHeight="1">
      <c r="A1482" s="23" t="inlineStr">
        <is>
          <t>R1427-v3</t>
        </is>
      </c>
      <c r="B1482" s="23" t="inlineStr">
        <is>
          <t>Cost &amp; Forecast Control Accounts</t>
        </is>
      </c>
      <c r="C1482" s="23" t="inlineStr">
        <is>
          <t>CST-05-025</t>
        </is>
      </c>
      <c r="D1482" s="23" t="inlineStr">
        <is>
          <t>UNSURE</t>
        </is>
      </c>
      <c r="E1482" s="23" t="inlineStr">
        <is>
          <t>Carried forward</t>
        </is>
      </c>
      <c r="F1482" s="23" t="inlineStr"/>
      <c r="G1482" s="23" t="inlineStr">
        <is>
          <t>Maya Chen, Owner Project Controls</t>
        </is>
      </c>
      <c r="H1482" s="14" t="inlineStr">
        <is>
          <t>10 EVIDENCE &amp; DECISIONS</t>
        </is>
      </c>
    </row>
    <row r="1483" ht="34" customHeight="1">
      <c r="A1483" s="23" t="inlineStr">
        <is>
          <t>R1428-v3</t>
        </is>
      </c>
      <c r="B1483" s="23" t="inlineStr">
        <is>
          <t>Cost &amp; Forecast Control Accounts</t>
        </is>
      </c>
      <c r="C1483" s="23" t="inlineStr">
        <is>
          <t>CST-05-026</t>
        </is>
      </c>
      <c r="D1483" s="23" t="inlineStr">
        <is>
          <t>UNSURE</t>
        </is>
      </c>
      <c r="E1483" s="23" t="inlineStr">
        <is>
          <t>Carried forward</t>
        </is>
      </c>
      <c r="F1483" s="23" t="inlineStr"/>
      <c r="G1483" s="23" t="inlineStr">
        <is>
          <t>Maya Chen, Owner Project Controls</t>
        </is>
      </c>
      <c r="H1483" s="14" t="inlineStr">
        <is>
          <t>10 EVIDENCE &amp; DECISIONS</t>
        </is>
      </c>
    </row>
    <row r="1484" ht="34" customHeight="1">
      <c r="A1484" s="23" t="inlineStr">
        <is>
          <t>R1429-v3</t>
        </is>
      </c>
      <c r="B1484" s="23" t="inlineStr">
        <is>
          <t>Cost &amp; Forecast Control Accounts</t>
        </is>
      </c>
      <c r="C1484" s="23" t="inlineStr">
        <is>
          <t>CST-05-027</t>
        </is>
      </c>
      <c r="D1484" s="23" t="inlineStr">
        <is>
          <t>UNSURE</t>
        </is>
      </c>
      <c r="E1484" s="23" t="inlineStr">
        <is>
          <t>Carried forward</t>
        </is>
      </c>
      <c r="F1484" s="23" t="inlineStr"/>
      <c r="G1484" s="23" t="inlineStr">
        <is>
          <t>Maya Chen, Owner Project Controls</t>
        </is>
      </c>
      <c r="H1484" s="14" t="inlineStr">
        <is>
          <t>10 EVIDENCE &amp; DECISIONS</t>
        </is>
      </c>
    </row>
    <row r="1485" ht="34" customHeight="1">
      <c r="A1485" s="23" t="inlineStr">
        <is>
          <t>R1430-v3</t>
        </is>
      </c>
      <c r="B1485" s="23" t="inlineStr">
        <is>
          <t>Cost &amp; Forecast Control Accounts</t>
        </is>
      </c>
      <c r="C1485" s="23" t="inlineStr">
        <is>
          <t>CST-05-028</t>
        </is>
      </c>
      <c r="D1485" s="23" t="inlineStr">
        <is>
          <t>UNSURE</t>
        </is>
      </c>
      <c r="E1485" s="23" t="inlineStr">
        <is>
          <t>Carried forward</t>
        </is>
      </c>
      <c r="F1485" s="23" t="inlineStr"/>
      <c r="G1485" s="23" t="inlineStr">
        <is>
          <t>Maya Chen, Owner Project Controls</t>
        </is>
      </c>
      <c r="H1485" s="14" t="inlineStr">
        <is>
          <t>10 EVIDENCE &amp; DECISIONS</t>
        </is>
      </c>
    </row>
    <row r="1486" ht="34" customHeight="1">
      <c r="A1486" s="23" t="inlineStr">
        <is>
          <t>R1431-v3</t>
        </is>
      </c>
      <c r="B1486" s="23" t="inlineStr">
        <is>
          <t>Cost &amp; Forecast Control Accounts</t>
        </is>
      </c>
      <c r="C1486" s="23" t="inlineStr">
        <is>
          <t>CST-05-029</t>
        </is>
      </c>
      <c r="D1486" s="23" t="inlineStr">
        <is>
          <t>UNSURE</t>
        </is>
      </c>
      <c r="E1486" s="23" t="inlineStr">
        <is>
          <t>Carried forward</t>
        </is>
      </c>
      <c r="F1486" s="23" t="inlineStr"/>
      <c r="G1486" s="23" t="inlineStr">
        <is>
          <t>Maya Chen, Owner Project Controls</t>
        </is>
      </c>
      <c r="H1486" s="14" t="inlineStr">
        <is>
          <t>10 EVIDENCE &amp; DECISIONS</t>
        </is>
      </c>
    </row>
    <row r="1487" ht="34" customHeight="1">
      <c r="A1487" s="23" t="inlineStr">
        <is>
          <t>R1432-v3</t>
        </is>
      </c>
      <c r="B1487" s="23" t="inlineStr">
        <is>
          <t>Cost &amp; Forecast Control Accounts</t>
        </is>
      </c>
      <c r="C1487" s="23" t="inlineStr">
        <is>
          <t>CST-05-030</t>
        </is>
      </c>
      <c r="D1487" s="23" t="inlineStr">
        <is>
          <t>UNSURE</t>
        </is>
      </c>
      <c r="E1487" s="23" t="inlineStr">
        <is>
          <t>Carried forward</t>
        </is>
      </c>
      <c r="F1487" s="23" t="inlineStr"/>
      <c r="G1487" s="23" t="inlineStr">
        <is>
          <t>Maya Chen, Owner Project Controls</t>
        </is>
      </c>
      <c r="H1487" s="14" t="inlineStr">
        <is>
          <t>10 EVIDENCE &amp; DECISIONS</t>
        </is>
      </c>
    </row>
    <row r="1488" ht="34" customHeight="1">
      <c r="A1488" s="23" t="inlineStr">
        <is>
          <t>R1433-v3</t>
        </is>
      </c>
      <c r="B1488" s="23" t="inlineStr">
        <is>
          <t>Cost &amp; Forecast Control Accounts</t>
        </is>
      </c>
      <c r="C1488" s="23" t="inlineStr">
        <is>
          <t>CST-05-031</t>
        </is>
      </c>
      <c r="D1488" s="23" t="inlineStr">
        <is>
          <t>UNSURE</t>
        </is>
      </c>
      <c r="E1488" s="23" t="inlineStr">
        <is>
          <t>Carried forward</t>
        </is>
      </c>
      <c r="F1488" s="23" t="inlineStr"/>
      <c r="G1488" s="23" t="inlineStr">
        <is>
          <t>Maya Chen, Owner Project Controls</t>
        </is>
      </c>
      <c r="H1488" s="14" t="inlineStr">
        <is>
          <t>10 EVIDENCE &amp; DECISIONS</t>
        </is>
      </c>
    </row>
    <row r="1489" ht="34" customHeight="1">
      <c r="A1489" s="23" t="inlineStr">
        <is>
          <t>R1434-v3</t>
        </is>
      </c>
      <c r="B1489" s="23" t="inlineStr">
        <is>
          <t>Cost &amp; Forecast Control Accounts</t>
        </is>
      </c>
      <c r="C1489" s="23" t="inlineStr">
        <is>
          <t>CST-05-032</t>
        </is>
      </c>
      <c r="D1489" s="23" t="inlineStr">
        <is>
          <t>UNSURE</t>
        </is>
      </c>
      <c r="E1489" s="23" t="inlineStr">
        <is>
          <t>Carried forward</t>
        </is>
      </c>
      <c r="F1489" s="23" t="inlineStr"/>
      <c r="G1489" s="23" t="inlineStr">
        <is>
          <t>Maya Chen, Owner Project Controls</t>
        </is>
      </c>
      <c r="H1489" s="14" t="inlineStr">
        <is>
          <t>10 EVIDENCE &amp; DECISIONS</t>
        </is>
      </c>
    </row>
    <row r="1490" ht="34" customHeight="1">
      <c r="A1490" s="23" t="inlineStr">
        <is>
          <t>R1435-v3</t>
        </is>
      </c>
      <c r="B1490" s="23" t="inlineStr">
        <is>
          <t>Cost &amp; Forecast Control Accounts</t>
        </is>
      </c>
      <c r="C1490" s="23" t="inlineStr">
        <is>
          <t>CST-05-033</t>
        </is>
      </c>
      <c r="D1490" s="23" t="inlineStr">
        <is>
          <t>UNSURE</t>
        </is>
      </c>
      <c r="E1490" s="23" t="inlineStr">
        <is>
          <t>Carried forward</t>
        </is>
      </c>
      <c r="F1490" s="23" t="inlineStr"/>
      <c r="G1490" s="23" t="inlineStr">
        <is>
          <t>Maya Chen, Owner Project Controls</t>
        </is>
      </c>
      <c r="H1490" s="14" t="inlineStr">
        <is>
          <t>10 EVIDENCE &amp; DECISIONS</t>
        </is>
      </c>
    </row>
    <row r="1491" ht="34" customHeight="1">
      <c r="A1491" s="23" t="inlineStr">
        <is>
          <t>R1436-v3</t>
        </is>
      </c>
      <c r="B1491" s="23" t="inlineStr">
        <is>
          <t>Cost &amp; Forecast Control Accounts</t>
        </is>
      </c>
      <c r="C1491" s="23" t="inlineStr">
        <is>
          <t>CST-05-034</t>
        </is>
      </c>
      <c r="D1491" s="23" t="inlineStr">
        <is>
          <t>UNSURE</t>
        </is>
      </c>
      <c r="E1491" s="23" t="inlineStr">
        <is>
          <t>Carried forward</t>
        </is>
      </c>
      <c r="F1491" s="23" t="inlineStr"/>
      <c r="G1491" s="23" t="inlineStr">
        <is>
          <t>Maya Chen, Owner Project Controls</t>
        </is>
      </c>
      <c r="H1491" s="14" t="inlineStr">
        <is>
          <t>10 EVIDENCE &amp; DECISIONS</t>
        </is>
      </c>
    </row>
    <row r="1492" ht="34" customHeight="1">
      <c r="A1492" s="23" t="inlineStr">
        <is>
          <t>R1437-v3</t>
        </is>
      </c>
      <c r="B1492" s="23" t="inlineStr">
        <is>
          <t>Cost &amp; Forecast Control Accounts</t>
        </is>
      </c>
      <c r="C1492" s="23" t="inlineStr">
        <is>
          <t>CST-05-035</t>
        </is>
      </c>
      <c r="D1492" s="23" t="inlineStr">
        <is>
          <t>UNSURE</t>
        </is>
      </c>
      <c r="E1492" s="23" t="inlineStr">
        <is>
          <t>Carried forward</t>
        </is>
      </c>
      <c r="F1492" s="23" t="inlineStr"/>
      <c r="G1492" s="23" t="inlineStr">
        <is>
          <t>Maya Chen, Owner Project Controls</t>
        </is>
      </c>
      <c r="H1492" s="14" t="inlineStr">
        <is>
          <t>10 EVIDENCE &amp; DECISIONS</t>
        </is>
      </c>
    </row>
    <row r="1493" ht="34" customHeight="1">
      <c r="A1493" s="23" t="inlineStr">
        <is>
          <t>R1438-v3</t>
        </is>
      </c>
      <c r="B1493" s="23" t="inlineStr">
        <is>
          <t>Cost &amp; Forecast Control Accounts</t>
        </is>
      </c>
      <c r="C1493" s="23" t="inlineStr">
        <is>
          <t>CST-05-036</t>
        </is>
      </c>
      <c r="D1493" s="23" t="inlineStr">
        <is>
          <t>UNSURE</t>
        </is>
      </c>
      <c r="E1493" s="23" t="inlineStr">
        <is>
          <t>Carried forward</t>
        </is>
      </c>
      <c r="F1493" s="23" t="inlineStr"/>
      <c r="G1493" s="23" t="inlineStr">
        <is>
          <t>Maya Chen, Owner Project Controls</t>
        </is>
      </c>
      <c r="H1493" s="14" t="inlineStr">
        <is>
          <t>10 EVIDENCE &amp; DECISIONS</t>
        </is>
      </c>
    </row>
    <row r="1494" ht="34" customHeight="1">
      <c r="A1494" s="23" t="inlineStr">
        <is>
          <t>R1439-v3</t>
        </is>
      </c>
      <c r="B1494" s="23" t="inlineStr">
        <is>
          <t>Cost &amp; Forecast Control Accounts</t>
        </is>
      </c>
      <c r="C1494" s="23" t="inlineStr">
        <is>
          <t>CST-05-037</t>
        </is>
      </c>
      <c r="D1494" s="23" t="inlineStr">
        <is>
          <t>UNSURE</t>
        </is>
      </c>
      <c r="E1494" s="23" t="inlineStr">
        <is>
          <t>Carried forward</t>
        </is>
      </c>
      <c r="F1494" s="23" t="inlineStr"/>
      <c r="G1494" s="23" t="inlineStr">
        <is>
          <t>Maya Chen, Owner Project Controls</t>
        </is>
      </c>
      <c r="H1494" s="14" t="inlineStr">
        <is>
          <t>10 EVIDENCE &amp; DECISIONS</t>
        </is>
      </c>
    </row>
    <row r="1495" ht="34" customHeight="1">
      <c r="A1495" s="23" t="inlineStr">
        <is>
          <t>R1440-v3</t>
        </is>
      </c>
      <c r="B1495" s="23" t="inlineStr">
        <is>
          <t>Cost &amp; Forecast Control Accounts</t>
        </is>
      </c>
      <c r="C1495" s="23" t="inlineStr">
        <is>
          <t>CST-05-038</t>
        </is>
      </c>
      <c r="D1495" s="23" t="inlineStr">
        <is>
          <t>UNSURE</t>
        </is>
      </c>
      <c r="E1495" s="23" t="inlineStr">
        <is>
          <t>Carried forward</t>
        </is>
      </c>
      <c r="F1495" s="23" t="inlineStr"/>
      <c r="G1495" s="23" t="inlineStr">
        <is>
          <t>Maya Chen, Owner Project Controls</t>
        </is>
      </c>
      <c r="H1495" s="14" t="inlineStr">
        <is>
          <t>10 EVIDENCE &amp; DECISIONS</t>
        </is>
      </c>
    </row>
    <row r="1496" ht="34" customHeight="1">
      <c r="A1496" s="23" t="inlineStr">
        <is>
          <t>R1441-v3</t>
        </is>
      </c>
      <c r="B1496" s="23" t="inlineStr">
        <is>
          <t>Cost &amp; Forecast Control Accounts</t>
        </is>
      </c>
      <c r="C1496" s="23" t="inlineStr">
        <is>
          <t>CST-05-039</t>
        </is>
      </c>
      <c r="D1496" s="23" t="inlineStr">
        <is>
          <t>UNSURE</t>
        </is>
      </c>
      <c r="E1496" s="23" t="inlineStr">
        <is>
          <t>Carried forward</t>
        </is>
      </c>
      <c r="F1496" s="23" t="inlineStr"/>
      <c r="G1496" s="23" t="inlineStr">
        <is>
          <t>Maya Chen, Owner Project Controls</t>
        </is>
      </c>
      <c r="H1496" s="14" t="inlineStr">
        <is>
          <t>10 EVIDENCE &amp; DECISIONS</t>
        </is>
      </c>
    </row>
    <row r="1497" ht="34" customHeight="1">
      <c r="A1497" s="23" t="inlineStr">
        <is>
          <t>R1442-v3</t>
        </is>
      </c>
      <c r="B1497" s="23" t="inlineStr">
        <is>
          <t>Cost &amp; Forecast Control Accounts</t>
        </is>
      </c>
      <c r="C1497" s="23" t="inlineStr">
        <is>
          <t>CST-05-040</t>
        </is>
      </c>
      <c r="D1497" s="23" t="inlineStr">
        <is>
          <t>UNSURE</t>
        </is>
      </c>
      <c r="E1497" s="23" t="inlineStr">
        <is>
          <t>Carried forward</t>
        </is>
      </c>
      <c r="F1497" s="23" t="inlineStr"/>
      <c r="G1497" s="23" t="inlineStr">
        <is>
          <t>Maya Chen, Owner Project Controls</t>
        </is>
      </c>
      <c r="H1497" s="14" t="inlineStr">
        <is>
          <t>10 EVIDENCE &amp; DECISIONS</t>
        </is>
      </c>
    </row>
    <row r="1498" ht="34" customHeight="1">
      <c r="A1498" s="23" t="inlineStr">
        <is>
          <t>R1443-v3</t>
        </is>
      </c>
      <c r="B1498" s="23" t="inlineStr">
        <is>
          <t>Cost &amp; Forecast Control Accounts</t>
        </is>
      </c>
      <c r="C1498" s="23" t="inlineStr">
        <is>
          <t>CST-05-041</t>
        </is>
      </c>
      <c r="D1498" s="23" t="inlineStr">
        <is>
          <t>UNSURE</t>
        </is>
      </c>
      <c r="E1498" s="23" t="inlineStr">
        <is>
          <t>Carried forward</t>
        </is>
      </c>
      <c r="F1498" s="23" t="inlineStr"/>
      <c r="G1498" s="23" t="inlineStr">
        <is>
          <t>Maya Chen, Owner Project Controls</t>
        </is>
      </c>
      <c r="H1498" s="14" t="inlineStr">
        <is>
          <t>10 EVIDENCE &amp; DECISIONS</t>
        </is>
      </c>
    </row>
    <row r="1499" ht="34" customHeight="1">
      <c r="A1499" s="23" t="inlineStr">
        <is>
          <t>R1444-v3</t>
        </is>
      </c>
      <c r="B1499" s="23" t="inlineStr">
        <is>
          <t>Cost &amp; Forecast Control Accounts</t>
        </is>
      </c>
      <c r="C1499" s="23" t="inlineStr">
        <is>
          <t>CST-05-042</t>
        </is>
      </c>
      <c r="D1499" s="23" t="inlineStr">
        <is>
          <t>UNSURE</t>
        </is>
      </c>
      <c r="E1499" s="23" t="inlineStr">
        <is>
          <t>Carried forward</t>
        </is>
      </c>
      <c r="F1499" s="23" t="inlineStr"/>
      <c r="G1499" s="23" t="inlineStr">
        <is>
          <t>Maya Chen, Owner Project Controls</t>
        </is>
      </c>
      <c r="H1499" s="14" t="inlineStr">
        <is>
          <t>10 EVIDENCE &amp; DECISIONS</t>
        </is>
      </c>
    </row>
    <row r="1500" ht="34" customHeight="1">
      <c r="A1500" s="23" t="inlineStr">
        <is>
          <t>R1445-v3</t>
        </is>
      </c>
      <c r="B1500" s="23" t="inlineStr">
        <is>
          <t>Cost &amp; Forecast Control Accounts</t>
        </is>
      </c>
      <c r="C1500" s="23" t="inlineStr">
        <is>
          <t>CST-05-043</t>
        </is>
      </c>
      <c r="D1500" s="23" t="inlineStr">
        <is>
          <t>UNSURE</t>
        </is>
      </c>
      <c r="E1500" s="23" t="inlineStr">
        <is>
          <t>Carried forward</t>
        </is>
      </c>
      <c r="F1500" s="23" t="inlineStr"/>
      <c r="G1500" s="23" t="inlineStr">
        <is>
          <t>Maya Chen, Owner Project Controls</t>
        </is>
      </c>
      <c r="H1500" s="14" t="inlineStr">
        <is>
          <t>10 EVIDENCE &amp; DECISIONS</t>
        </is>
      </c>
    </row>
    <row r="1501" ht="34" customHeight="1">
      <c r="A1501" s="23" t="inlineStr">
        <is>
          <t>R1446-v3</t>
        </is>
      </c>
      <c r="B1501" s="23" t="inlineStr">
        <is>
          <t>Cost &amp; Forecast Control Accounts</t>
        </is>
      </c>
      <c r="C1501" s="23" t="inlineStr">
        <is>
          <t>CST-05-044</t>
        </is>
      </c>
      <c r="D1501" s="23" t="inlineStr">
        <is>
          <t>UNSURE</t>
        </is>
      </c>
      <c r="E1501" s="23" t="inlineStr">
        <is>
          <t>Carried forward</t>
        </is>
      </c>
      <c r="F1501" s="23" t="inlineStr"/>
      <c r="G1501" s="23" t="inlineStr">
        <is>
          <t>Maya Chen, Owner Project Controls</t>
        </is>
      </c>
      <c r="H1501" s="14" t="inlineStr">
        <is>
          <t>10 EVIDENCE &amp; DECISIONS</t>
        </is>
      </c>
    </row>
    <row r="1502" ht="34" customHeight="1">
      <c r="A1502" s="23" t="inlineStr">
        <is>
          <t>R1447-v3</t>
        </is>
      </c>
      <c r="B1502" s="23" t="inlineStr">
        <is>
          <t>Cost &amp; Forecast Control Accounts</t>
        </is>
      </c>
      <c r="C1502" s="23" t="inlineStr">
        <is>
          <t>CST-05-045</t>
        </is>
      </c>
      <c r="D1502" s="23" t="inlineStr">
        <is>
          <t>UNSURE</t>
        </is>
      </c>
      <c r="E1502" s="23" t="inlineStr">
        <is>
          <t>Carried forward</t>
        </is>
      </c>
      <c r="F1502" s="23" t="inlineStr"/>
      <c r="G1502" s="23" t="inlineStr">
        <is>
          <t>Maya Chen, Owner Project Controls</t>
        </is>
      </c>
      <c r="H1502" s="14" t="inlineStr">
        <is>
          <t>10 EVIDENCE &amp; DECISIONS</t>
        </is>
      </c>
    </row>
    <row r="1503" ht="34" customHeight="1">
      <c r="A1503" s="23" t="inlineStr">
        <is>
          <t>R1448-v3</t>
        </is>
      </c>
      <c r="B1503" s="23" t="inlineStr">
        <is>
          <t>Cost &amp; Forecast Control Accounts</t>
        </is>
      </c>
      <c r="C1503" s="23" t="inlineStr">
        <is>
          <t>CST-05-046</t>
        </is>
      </c>
      <c r="D1503" s="23" t="inlineStr">
        <is>
          <t>UNSURE</t>
        </is>
      </c>
      <c r="E1503" s="23" t="inlineStr">
        <is>
          <t>Carried forward</t>
        </is>
      </c>
      <c r="F1503" s="23" t="inlineStr"/>
      <c r="G1503" s="23" t="inlineStr">
        <is>
          <t>Maya Chen, Owner Project Controls</t>
        </is>
      </c>
      <c r="H1503" s="14" t="inlineStr">
        <is>
          <t>10 EVIDENCE &amp; DECISIONS</t>
        </is>
      </c>
    </row>
    <row r="1504" ht="34" customHeight="1">
      <c r="A1504" s="23" t="inlineStr">
        <is>
          <t>R1449-v3</t>
        </is>
      </c>
      <c r="B1504" s="23" t="inlineStr">
        <is>
          <t>Cost &amp; Forecast Control Accounts</t>
        </is>
      </c>
      <c r="C1504" s="23" t="inlineStr">
        <is>
          <t>CST-05-047</t>
        </is>
      </c>
      <c r="D1504" s="23" t="inlineStr">
        <is>
          <t>UNSURE</t>
        </is>
      </c>
      <c r="E1504" s="23" t="inlineStr">
        <is>
          <t>Carried forward</t>
        </is>
      </c>
      <c r="F1504" s="23" t="inlineStr"/>
      <c r="G1504" s="23" t="inlineStr">
        <is>
          <t>Maya Chen, Owner Project Controls</t>
        </is>
      </c>
      <c r="H1504" s="14" t="inlineStr">
        <is>
          <t>10 EVIDENCE &amp; DECISIONS</t>
        </is>
      </c>
    </row>
    <row r="1505" ht="34" customHeight="1">
      <c r="A1505" s="23" t="inlineStr">
        <is>
          <t>R1450-v3</t>
        </is>
      </c>
      <c r="B1505" s="23" t="inlineStr">
        <is>
          <t>Cost &amp; Forecast Control Accounts</t>
        </is>
      </c>
      <c r="C1505" s="23" t="inlineStr">
        <is>
          <t>CST-05-048</t>
        </is>
      </c>
      <c r="D1505" s="23" t="inlineStr">
        <is>
          <t>UNSURE</t>
        </is>
      </c>
      <c r="E1505" s="23" t="inlineStr">
        <is>
          <t>Carried forward</t>
        </is>
      </c>
      <c r="F1505" s="23" t="inlineStr"/>
      <c r="G1505" s="23" t="inlineStr">
        <is>
          <t>Maya Chen, Owner Project Controls</t>
        </is>
      </c>
      <c r="H1505" s="14" t="inlineStr">
        <is>
          <t>10 EVIDENCE &amp; DECISIONS</t>
        </is>
      </c>
    </row>
    <row r="1506" ht="34" customHeight="1">
      <c r="A1506" s="23" t="inlineStr">
        <is>
          <t>R1451-v3</t>
        </is>
      </c>
      <c r="B1506" s="23" t="inlineStr">
        <is>
          <t>Cost &amp; Forecast Control Accounts</t>
        </is>
      </c>
      <c r="C1506" s="23" t="inlineStr">
        <is>
          <t>CST-05-049</t>
        </is>
      </c>
      <c r="D1506" s="23" t="inlineStr">
        <is>
          <t>UNSURE</t>
        </is>
      </c>
      <c r="E1506" s="23" t="inlineStr">
        <is>
          <t>Carried forward</t>
        </is>
      </c>
      <c r="F1506" s="23" t="inlineStr"/>
      <c r="G1506" s="23" t="inlineStr">
        <is>
          <t>Maya Chen, Owner Project Controls</t>
        </is>
      </c>
      <c r="H1506" s="14" t="inlineStr">
        <is>
          <t>10 EVIDENCE &amp; DECISIONS</t>
        </is>
      </c>
    </row>
    <row r="1507" ht="34" customHeight="1">
      <c r="A1507" s="23" t="inlineStr">
        <is>
          <t>R1452-v3</t>
        </is>
      </c>
      <c r="B1507" s="23" t="inlineStr">
        <is>
          <t>Cost &amp; Forecast Control Accounts</t>
        </is>
      </c>
      <c r="C1507" s="23" t="inlineStr">
        <is>
          <t>CST-05-050</t>
        </is>
      </c>
      <c r="D1507" s="23" t="inlineStr">
        <is>
          <t>UNSURE</t>
        </is>
      </c>
      <c r="E1507" s="23" t="inlineStr">
        <is>
          <t>Carried forward</t>
        </is>
      </c>
      <c r="F1507" s="23" t="inlineStr"/>
      <c r="G1507" s="23" t="inlineStr">
        <is>
          <t>Maya Chen, Owner Project Controls</t>
        </is>
      </c>
      <c r="H1507" s="14" t="inlineStr">
        <is>
          <t>10 EVIDENCE &amp; DECISIONS</t>
        </is>
      </c>
    </row>
    <row r="1508" ht="34" customHeight="1">
      <c r="A1508" s="23" t="inlineStr">
        <is>
          <t>R1453-v3</t>
        </is>
      </c>
      <c r="B1508" s="23" t="inlineStr">
        <is>
          <t>Cost &amp; Forecast Control Accounts</t>
        </is>
      </c>
      <c r="C1508" s="23" t="inlineStr">
        <is>
          <t>CST-05-051</t>
        </is>
      </c>
      <c r="D1508" s="23" t="inlineStr">
        <is>
          <t>UNSURE</t>
        </is>
      </c>
      <c r="E1508" s="23" t="inlineStr">
        <is>
          <t>Carried forward</t>
        </is>
      </c>
      <c r="F1508" s="23" t="inlineStr"/>
      <c r="G1508" s="23" t="inlineStr">
        <is>
          <t>Maya Chen, Owner Project Controls</t>
        </is>
      </c>
      <c r="H1508" s="14" t="inlineStr">
        <is>
          <t>10 EVIDENCE &amp; DECISIONS</t>
        </is>
      </c>
    </row>
    <row r="1509" ht="34" customHeight="1">
      <c r="A1509" s="23" t="inlineStr">
        <is>
          <t>R1454-v3</t>
        </is>
      </c>
      <c r="B1509" s="23" t="inlineStr">
        <is>
          <t>Cost &amp; Forecast Control Accounts</t>
        </is>
      </c>
      <c r="C1509" s="23" t="inlineStr">
        <is>
          <t>CST-05-052</t>
        </is>
      </c>
      <c r="D1509" s="23" t="inlineStr">
        <is>
          <t>UNSURE</t>
        </is>
      </c>
      <c r="E1509" s="23" t="inlineStr">
        <is>
          <t>Carried forward</t>
        </is>
      </c>
      <c r="F1509" s="23" t="inlineStr"/>
      <c r="G1509" s="23" t="inlineStr">
        <is>
          <t>Maya Chen, Owner Project Controls</t>
        </is>
      </c>
      <c r="H1509" s="14" t="inlineStr">
        <is>
          <t>10 EVIDENCE &amp; DECISIONS</t>
        </is>
      </c>
    </row>
    <row r="1510" ht="34" customHeight="1">
      <c r="A1510" s="23" t="inlineStr">
        <is>
          <t>R1455-v3</t>
        </is>
      </c>
      <c r="B1510" s="23" t="inlineStr">
        <is>
          <t>Cost &amp; Forecast Control Accounts</t>
        </is>
      </c>
      <c r="C1510" s="23" t="inlineStr">
        <is>
          <t>CST-05-053</t>
        </is>
      </c>
      <c r="D1510" s="23" t="inlineStr">
        <is>
          <t>UNSURE</t>
        </is>
      </c>
      <c r="E1510" s="23" t="inlineStr">
        <is>
          <t>Carried forward</t>
        </is>
      </c>
      <c r="F1510" s="23" t="inlineStr"/>
      <c r="G1510" s="23" t="inlineStr">
        <is>
          <t>Maya Chen, Owner Project Controls</t>
        </is>
      </c>
      <c r="H1510" s="14" t="inlineStr">
        <is>
          <t>10 EVIDENCE &amp; DECISIONS</t>
        </is>
      </c>
    </row>
    <row r="1511" ht="34" customHeight="1">
      <c r="A1511" s="23" t="inlineStr">
        <is>
          <t>R1456-v3</t>
        </is>
      </c>
      <c r="B1511" s="23" t="inlineStr">
        <is>
          <t>Cost &amp; Forecast Control Accounts</t>
        </is>
      </c>
      <c r="C1511" s="23" t="inlineStr">
        <is>
          <t>CST-05-054</t>
        </is>
      </c>
      <c r="D1511" s="23" t="inlineStr">
        <is>
          <t>UNSURE</t>
        </is>
      </c>
      <c r="E1511" s="23" t="inlineStr">
        <is>
          <t>Carried forward</t>
        </is>
      </c>
      <c r="F1511" s="23" t="inlineStr"/>
      <c r="G1511" s="23" t="inlineStr">
        <is>
          <t>Maya Chen, Owner Project Controls</t>
        </is>
      </c>
      <c r="H1511" s="14" t="inlineStr">
        <is>
          <t>10 EVIDENCE &amp; DECISIONS</t>
        </is>
      </c>
    </row>
    <row r="1512" ht="34" customHeight="1">
      <c r="A1512" s="23" t="inlineStr">
        <is>
          <t>R1457-v3</t>
        </is>
      </c>
      <c r="B1512" s="23" t="inlineStr">
        <is>
          <t>Cost &amp; Forecast Control Accounts</t>
        </is>
      </c>
      <c r="C1512" s="23" t="inlineStr">
        <is>
          <t>CST-05-055</t>
        </is>
      </c>
      <c r="D1512" s="23" t="inlineStr">
        <is>
          <t>UNSURE</t>
        </is>
      </c>
      <c r="E1512" s="23" t="inlineStr">
        <is>
          <t>Carried forward</t>
        </is>
      </c>
      <c r="F1512" s="23" t="inlineStr"/>
      <c r="G1512" s="23" t="inlineStr">
        <is>
          <t>Maya Chen, Owner Project Controls</t>
        </is>
      </c>
      <c r="H1512" s="14" t="inlineStr">
        <is>
          <t>10 EVIDENCE &amp; DECISIONS</t>
        </is>
      </c>
    </row>
    <row r="1513" ht="34" customHeight="1">
      <c r="A1513" s="23" t="inlineStr">
        <is>
          <t>R1458-v3</t>
        </is>
      </c>
      <c r="B1513" s="23" t="inlineStr">
        <is>
          <t>Cost &amp; Forecast Control Accounts</t>
        </is>
      </c>
      <c r="C1513" s="23" t="inlineStr">
        <is>
          <t>CST-05-056</t>
        </is>
      </c>
      <c r="D1513" s="23" t="inlineStr">
        <is>
          <t>UNSURE</t>
        </is>
      </c>
      <c r="E1513" s="23" t="inlineStr">
        <is>
          <t>Carried forward</t>
        </is>
      </c>
      <c r="F1513" s="23" t="inlineStr"/>
      <c r="G1513" s="23" t="inlineStr">
        <is>
          <t>Maya Chen, Owner Project Controls</t>
        </is>
      </c>
      <c r="H1513" s="14" t="inlineStr">
        <is>
          <t>10 EVIDENCE &amp; DECISIONS</t>
        </is>
      </c>
    </row>
    <row r="1514" ht="34" customHeight="1">
      <c r="A1514" s="23" t="inlineStr">
        <is>
          <t>R1459-v3</t>
        </is>
      </c>
      <c r="B1514" s="23" t="inlineStr">
        <is>
          <t>Cost &amp; Forecast Control Accounts</t>
        </is>
      </c>
      <c r="C1514" s="23" t="inlineStr">
        <is>
          <t>CST-05-057</t>
        </is>
      </c>
      <c r="D1514" s="23" t="inlineStr">
        <is>
          <t>UNSURE</t>
        </is>
      </c>
      <c r="E1514" s="23" t="inlineStr">
        <is>
          <t>Carried forward</t>
        </is>
      </c>
      <c r="F1514" s="23" t="inlineStr"/>
      <c r="G1514" s="23" t="inlineStr">
        <is>
          <t>Maya Chen, Owner Project Controls</t>
        </is>
      </c>
      <c r="H1514" s="14" t="inlineStr">
        <is>
          <t>10 EVIDENCE &amp; DECISIONS</t>
        </is>
      </c>
    </row>
    <row r="1515" ht="34" customHeight="1">
      <c r="A1515" s="23" t="inlineStr">
        <is>
          <t>R1460-v3</t>
        </is>
      </c>
      <c r="B1515" s="23" t="inlineStr">
        <is>
          <t>Cost &amp; Forecast Control Accounts</t>
        </is>
      </c>
      <c r="C1515" s="23" t="inlineStr">
        <is>
          <t>CST-05-058</t>
        </is>
      </c>
      <c r="D1515" s="23" t="inlineStr">
        <is>
          <t>UNSURE</t>
        </is>
      </c>
      <c r="E1515" s="23" t="inlineStr">
        <is>
          <t>Carried forward</t>
        </is>
      </c>
      <c r="F1515" s="23" t="inlineStr"/>
      <c r="G1515" s="23" t="inlineStr">
        <is>
          <t>Maya Chen, Owner Project Controls</t>
        </is>
      </c>
      <c r="H1515" s="14" t="inlineStr">
        <is>
          <t>10 EVIDENCE &amp; DECISIONS</t>
        </is>
      </c>
    </row>
    <row r="1516" ht="34" customHeight="1">
      <c r="A1516" s="23" t="inlineStr">
        <is>
          <t>R1461-v3</t>
        </is>
      </c>
      <c r="B1516" s="23" t="inlineStr">
        <is>
          <t>Cost &amp; Forecast Control Accounts</t>
        </is>
      </c>
      <c r="C1516" s="23" t="inlineStr">
        <is>
          <t>CST-05-059</t>
        </is>
      </c>
      <c r="D1516" s="23" t="inlineStr">
        <is>
          <t>UNSURE</t>
        </is>
      </c>
      <c r="E1516" s="23" t="inlineStr">
        <is>
          <t>Carried forward</t>
        </is>
      </c>
      <c r="F1516" s="23" t="inlineStr"/>
      <c r="G1516" s="23" t="inlineStr">
        <is>
          <t>Maya Chen, Owner Project Controls</t>
        </is>
      </c>
      <c r="H1516" s="14" t="inlineStr">
        <is>
          <t>10 EVIDENCE &amp; DECISIONS</t>
        </is>
      </c>
    </row>
    <row r="1517" ht="34" customHeight="1">
      <c r="A1517" s="23" t="inlineStr">
        <is>
          <t>R1462-v3</t>
        </is>
      </c>
      <c r="B1517" s="23" t="inlineStr">
        <is>
          <t>Cost &amp; Forecast Control Accounts</t>
        </is>
      </c>
      <c r="C1517" s="23" t="inlineStr">
        <is>
          <t>CST-05-060</t>
        </is>
      </c>
      <c r="D1517" s="23" t="inlineStr">
        <is>
          <t>UNSURE</t>
        </is>
      </c>
      <c r="E1517" s="23" t="inlineStr">
        <is>
          <t>Carried forward</t>
        </is>
      </c>
      <c r="F1517" s="23" t="inlineStr"/>
      <c r="G1517" s="23" t="inlineStr">
        <is>
          <t>Maya Chen, Owner Project Controls</t>
        </is>
      </c>
      <c r="H1517" s="14" t="inlineStr">
        <is>
          <t>10 EVIDENCE &amp; DECISIONS</t>
        </is>
      </c>
    </row>
    <row r="1518" ht="34" customHeight="1">
      <c r="A1518" s="23" t="inlineStr">
        <is>
          <t>R1463-v3</t>
        </is>
      </c>
      <c r="B1518" s="23" t="inlineStr">
        <is>
          <t>Cost &amp; Forecast Control Accounts</t>
        </is>
      </c>
      <c r="C1518" s="23" t="inlineStr">
        <is>
          <t>CST-05-061</t>
        </is>
      </c>
      <c r="D1518" s="23" t="inlineStr">
        <is>
          <t>UNSURE</t>
        </is>
      </c>
      <c r="E1518" s="23" t="inlineStr">
        <is>
          <t>Carried forward</t>
        </is>
      </c>
      <c r="F1518" s="23" t="inlineStr"/>
      <c r="G1518" s="23" t="inlineStr">
        <is>
          <t>Maya Chen, Owner Project Controls</t>
        </is>
      </c>
      <c r="H1518" s="14" t="inlineStr">
        <is>
          <t>10 EVIDENCE &amp; DECISIONS</t>
        </is>
      </c>
    </row>
    <row r="1519" ht="34" customHeight="1">
      <c r="A1519" s="23" t="inlineStr">
        <is>
          <t>R1464-v3</t>
        </is>
      </c>
      <c r="B1519" s="23" t="inlineStr">
        <is>
          <t>Cost &amp; Forecast Control Accounts</t>
        </is>
      </c>
      <c r="C1519" s="23" t="inlineStr">
        <is>
          <t>CST-05-062</t>
        </is>
      </c>
      <c r="D1519" s="23" t="inlineStr">
        <is>
          <t>UNSURE</t>
        </is>
      </c>
      <c r="E1519" s="23" t="inlineStr">
        <is>
          <t>Carried forward</t>
        </is>
      </c>
      <c r="F1519" s="23" t="inlineStr"/>
      <c r="G1519" s="23" t="inlineStr">
        <is>
          <t>Maya Chen, Owner Project Controls</t>
        </is>
      </c>
      <c r="H1519" s="14" t="inlineStr">
        <is>
          <t>10 EVIDENCE &amp; DECISIONS</t>
        </is>
      </c>
    </row>
    <row r="1520" ht="34" customHeight="1">
      <c r="A1520" s="23" t="inlineStr">
        <is>
          <t>R1465-v3</t>
        </is>
      </c>
      <c r="B1520" s="23" t="inlineStr">
        <is>
          <t>Cost &amp; Forecast Control Accounts</t>
        </is>
      </c>
      <c r="C1520" s="23" t="inlineStr">
        <is>
          <t>CST-05-063</t>
        </is>
      </c>
      <c r="D1520" s="23" t="inlineStr">
        <is>
          <t>UNSURE</t>
        </is>
      </c>
      <c r="E1520" s="23" t="inlineStr">
        <is>
          <t>Carried forward</t>
        </is>
      </c>
      <c r="F1520" s="23" t="inlineStr"/>
      <c r="G1520" s="23" t="inlineStr">
        <is>
          <t>Maya Chen, Owner Project Controls</t>
        </is>
      </c>
      <c r="H1520" s="14" t="inlineStr">
        <is>
          <t>10 EVIDENCE &amp; DECISIONS</t>
        </is>
      </c>
    </row>
    <row r="1521" ht="34" customHeight="1">
      <c r="A1521" s="23" t="inlineStr">
        <is>
          <t>R1466-v3</t>
        </is>
      </c>
      <c r="B1521" s="23" t="inlineStr">
        <is>
          <t>Cost &amp; Forecast Control Accounts</t>
        </is>
      </c>
      <c r="C1521" s="23" t="inlineStr">
        <is>
          <t>CST-05-064</t>
        </is>
      </c>
      <c r="D1521" s="23" t="inlineStr">
        <is>
          <t>UNSURE</t>
        </is>
      </c>
      <c r="E1521" s="23" t="inlineStr">
        <is>
          <t>Carried forward</t>
        </is>
      </c>
      <c r="F1521" s="23" t="inlineStr"/>
      <c r="G1521" s="23" t="inlineStr">
        <is>
          <t>Maya Chen, Owner Project Controls</t>
        </is>
      </c>
      <c r="H1521" s="14" t="inlineStr">
        <is>
          <t>10 EVIDENCE &amp; DECISIONS</t>
        </is>
      </c>
    </row>
    <row r="1522" ht="34" customHeight="1">
      <c r="A1522" s="23" t="inlineStr">
        <is>
          <t>R1467-v3</t>
        </is>
      </c>
      <c r="B1522" s="23" t="inlineStr">
        <is>
          <t>Cost &amp; Forecast Control Accounts</t>
        </is>
      </c>
      <c r="C1522" s="23" t="inlineStr">
        <is>
          <t>CST-05-065</t>
        </is>
      </c>
      <c r="D1522" s="23" t="inlineStr">
        <is>
          <t>UNSURE</t>
        </is>
      </c>
      <c r="E1522" s="23" t="inlineStr">
        <is>
          <t>Carried forward</t>
        </is>
      </c>
      <c r="F1522" s="23" t="inlineStr"/>
      <c r="G1522" s="23" t="inlineStr">
        <is>
          <t>Maya Chen, Owner Project Controls</t>
        </is>
      </c>
      <c r="H1522" s="14" t="inlineStr">
        <is>
          <t>10 EVIDENCE &amp; DECISIONS</t>
        </is>
      </c>
    </row>
    <row r="1523" ht="34" customHeight="1">
      <c r="A1523" s="23" t="inlineStr">
        <is>
          <t>R1468-v3</t>
        </is>
      </c>
      <c r="B1523" s="23" t="inlineStr">
        <is>
          <t>Cost &amp; Forecast Control Accounts</t>
        </is>
      </c>
      <c r="C1523" s="23" t="inlineStr">
        <is>
          <t>CST-05-066</t>
        </is>
      </c>
      <c r="D1523" s="23" t="inlineStr">
        <is>
          <t>UNSURE</t>
        </is>
      </c>
      <c r="E1523" s="23" t="inlineStr">
        <is>
          <t>Carried forward</t>
        </is>
      </c>
      <c r="F1523" s="23" t="inlineStr"/>
      <c r="G1523" s="23" t="inlineStr">
        <is>
          <t>Maya Chen, Owner Project Controls</t>
        </is>
      </c>
      <c r="H1523" s="14" t="inlineStr">
        <is>
          <t>10 EVIDENCE &amp; DECISIONS</t>
        </is>
      </c>
    </row>
    <row r="1524" ht="34" customHeight="1">
      <c r="A1524" s="23" t="inlineStr">
        <is>
          <t>R1469-v3</t>
        </is>
      </c>
      <c r="B1524" s="23" t="inlineStr">
        <is>
          <t>Cost &amp; Forecast Control Accounts</t>
        </is>
      </c>
      <c r="C1524" s="23" t="inlineStr">
        <is>
          <t>CST-05-067</t>
        </is>
      </c>
      <c r="D1524" s="23" t="inlineStr">
        <is>
          <t>UNSURE</t>
        </is>
      </c>
      <c r="E1524" s="23" t="inlineStr">
        <is>
          <t>Carried forward</t>
        </is>
      </c>
      <c r="F1524" s="23" t="inlineStr"/>
      <c r="G1524" s="23" t="inlineStr">
        <is>
          <t>Maya Chen, Owner Project Controls</t>
        </is>
      </c>
      <c r="H1524" s="14" t="inlineStr">
        <is>
          <t>10 EVIDENCE &amp; DECISIONS</t>
        </is>
      </c>
    </row>
    <row r="1525" ht="34" customHeight="1">
      <c r="A1525" s="23" t="inlineStr">
        <is>
          <t>R1470-v3</t>
        </is>
      </c>
      <c r="B1525" s="23" t="inlineStr">
        <is>
          <t>Cost &amp; Forecast Control Accounts</t>
        </is>
      </c>
      <c r="C1525" s="23" t="inlineStr">
        <is>
          <t>CST-05-068</t>
        </is>
      </c>
      <c r="D1525" s="23" t="inlineStr">
        <is>
          <t>UNSURE</t>
        </is>
      </c>
      <c r="E1525" s="23" t="inlineStr">
        <is>
          <t>Carried forward</t>
        </is>
      </c>
      <c r="F1525" s="23" t="inlineStr"/>
      <c r="G1525" s="23" t="inlineStr">
        <is>
          <t>Maya Chen, Owner Project Controls</t>
        </is>
      </c>
      <c r="H1525" s="14" t="inlineStr">
        <is>
          <t>10 EVIDENCE &amp; DECISIONS</t>
        </is>
      </c>
    </row>
    <row r="1526" ht="34" customHeight="1">
      <c r="A1526" s="23" t="inlineStr">
        <is>
          <t>R1471-v3</t>
        </is>
      </c>
      <c r="B1526" s="23" t="inlineStr">
        <is>
          <t>Cost &amp; Forecast Control Accounts</t>
        </is>
      </c>
      <c r="C1526" s="23" t="inlineStr">
        <is>
          <t>CST-05-069</t>
        </is>
      </c>
      <c r="D1526" s="23" t="inlineStr">
        <is>
          <t>UNSURE</t>
        </is>
      </c>
      <c r="E1526" s="23" t="inlineStr">
        <is>
          <t>Carried forward</t>
        </is>
      </c>
      <c r="F1526" s="23" t="inlineStr"/>
      <c r="G1526" s="23" t="inlineStr">
        <is>
          <t>Maya Chen, Owner Project Controls</t>
        </is>
      </c>
      <c r="H1526" s="14" t="inlineStr">
        <is>
          <t>10 EVIDENCE &amp; DECISIONS</t>
        </is>
      </c>
    </row>
    <row r="1527" ht="34" customHeight="1">
      <c r="A1527" s="23" t="inlineStr">
        <is>
          <t>R1472-v3</t>
        </is>
      </c>
      <c r="B1527" s="23" t="inlineStr">
        <is>
          <t>Cost &amp; Forecast Control Accounts</t>
        </is>
      </c>
      <c r="C1527" s="23" t="inlineStr">
        <is>
          <t>CST-05-070</t>
        </is>
      </c>
      <c r="D1527" s="23" t="inlineStr">
        <is>
          <t>UNSURE</t>
        </is>
      </c>
      <c r="E1527" s="23" t="inlineStr">
        <is>
          <t>Carried forward</t>
        </is>
      </c>
      <c r="F1527" s="23" t="inlineStr"/>
      <c r="G1527" s="23" t="inlineStr">
        <is>
          <t>Maya Chen, Owner Project Controls</t>
        </is>
      </c>
      <c r="H1527" s="14" t="inlineStr">
        <is>
          <t>10 EVIDENCE &amp; DECISIONS</t>
        </is>
      </c>
    </row>
    <row r="1528" ht="34" customHeight="1">
      <c r="A1528" s="23" t="inlineStr">
        <is>
          <t>R1473-v3</t>
        </is>
      </c>
      <c r="B1528" s="23" t="inlineStr">
        <is>
          <t>Cost &amp; Forecast Control Accounts</t>
        </is>
      </c>
      <c r="C1528" s="23" t="inlineStr">
        <is>
          <t>CST-05-071</t>
        </is>
      </c>
      <c r="D1528" s="23" t="inlineStr">
        <is>
          <t>UNSURE</t>
        </is>
      </c>
      <c r="E1528" s="23" t="inlineStr">
        <is>
          <t>Carried forward</t>
        </is>
      </c>
      <c r="F1528" s="23" t="inlineStr"/>
      <c r="G1528" s="23" t="inlineStr">
        <is>
          <t>Maya Chen, Owner Project Controls</t>
        </is>
      </c>
      <c r="H1528" s="14" t="inlineStr">
        <is>
          <t>10 EVIDENCE &amp; DECISIONS</t>
        </is>
      </c>
    </row>
    <row r="1529" ht="34" customHeight="1">
      <c r="A1529" s="23" t="inlineStr">
        <is>
          <t>R1474-v3</t>
        </is>
      </c>
      <c r="B1529" s="23" t="inlineStr">
        <is>
          <t>Cost &amp; Forecast Control Accounts</t>
        </is>
      </c>
      <c r="C1529" s="23" t="inlineStr">
        <is>
          <t>CST-05-072</t>
        </is>
      </c>
      <c r="D1529" s="23" t="inlineStr">
        <is>
          <t>UNSURE</t>
        </is>
      </c>
      <c r="E1529" s="23" t="inlineStr">
        <is>
          <t>Carried forward</t>
        </is>
      </c>
      <c r="F1529" s="23" t="inlineStr"/>
      <c r="G1529" s="23" t="inlineStr">
        <is>
          <t>Maya Chen, Owner Project Controls</t>
        </is>
      </c>
      <c r="H1529" s="14" t="inlineStr">
        <is>
          <t>10 EVIDENCE &amp; DECISIONS</t>
        </is>
      </c>
    </row>
    <row r="1530" ht="34" customHeight="1">
      <c r="A1530" s="23" t="inlineStr">
        <is>
          <t>R1475-v3</t>
        </is>
      </c>
      <c r="B1530" s="23" t="inlineStr">
        <is>
          <t>Cost &amp; Forecast Control Accounts</t>
        </is>
      </c>
      <c r="C1530" s="23" t="inlineStr">
        <is>
          <t>CST-05-073</t>
        </is>
      </c>
      <c r="D1530" s="23" t="inlineStr">
        <is>
          <t>UNSURE</t>
        </is>
      </c>
      <c r="E1530" s="23" t="inlineStr">
        <is>
          <t>Carried forward</t>
        </is>
      </c>
      <c r="F1530" s="23" t="inlineStr"/>
      <c r="G1530" s="23" t="inlineStr">
        <is>
          <t>Maya Chen, Owner Project Controls</t>
        </is>
      </c>
      <c r="H1530" s="14" t="inlineStr">
        <is>
          <t>10 EVIDENCE &amp; DECISIONS</t>
        </is>
      </c>
    </row>
    <row r="1531" ht="34" customHeight="1">
      <c r="A1531" s="23" t="inlineStr">
        <is>
          <t>R1476-v3</t>
        </is>
      </c>
      <c r="B1531" s="23" t="inlineStr">
        <is>
          <t>Cost &amp; Forecast Control Accounts</t>
        </is>
      </c>
      <c r="C1531" s="23" t="inlineStr">
        <is>
          <t>CST-05-074</t>
        </is>
      </c>
      <c r="D1531" s="23" t="inlineStr">
        <is>
          <t>UNSURE</t>
        </is>
      </c>
      <c r="E1531" s="23" t="inlineStr">
        <is>
          <t>Carried forward</t>
        </is>
      </c>
      <c r="F1531" s="23" t="inlineStr"/>
      <c r="G1531" s="23" t="inlineStr">
        <is>
          <t>Maya Chen, Owner Project Controls</t>
        </is>
      </c>
      <c r="H1531" s="14" t="inlineStr">
        <is>
          <t>10 EVIDENCE &amp; DECISIONS</t>
        </is>
      </c>
    </row>
    <row r="1532" ht="34" customHeight="1">
      <c r="A1532" s="23" t="inlineStr">
        <is>
          <t>R1477-v3</t>
        </is>
      </c>
      <c r="B1532" s="23" t="inlineStr">
        <is>
          <t>Cost &amp; Forecast Control Accounts</t>
        </is>
      </c>
      <c r="C1532" s="23" t="inlineStr">
        <is>
          <t>CST-05-075</t>
        </is>
      </c>
      <c r="D1532" s="23" t="inlineStr">
        <is>
          <t>UNSURE</t>
        </is>
      </c>
      <c r="E1532" s="23" t="inlineStr">
        <is>
          <t>Carried forward</t>
        </is>
      </c>
      <c r="F1532" s="23" t="inlineStr"/>
      <c r="G1532" s="23" t="inlineStr">
        <is>
          <t>Maya Chen, Owner Project Controls</t>
        </is>
      </c>
      <c r="H1532" s="14" t="inlineStr">
        <is>
          <t>10 EVIDENCE &amp; DECISIONS</t>
        </is>
      </c>
    </row>
    <row r="1533" ht="34" customHeight="1">
      <c r="A1533" s="23" t="inlineStr">
        <is>
          <t>R1478-v3</t>
        </is>
      </c>
      <c r="B1533" s="23" t="inlineStr">
        <is>
          <t>Cost &amp; Forecast Control Accounts</t>
        </is>
      </c>
      <c r="C1533" s="23" t="inlineStr">
        <is>
          <t>CST-05-076</t>
        </is>
      </c>
      <c r="D1533" s="23" t="inlineStr">
        <is>
          <t>UNSURE</t>
        </is>
      </c>
      <c r="E1533" s="23" t="inlineStr">
        <is>
          <t>Carried forward</t>
        </is>
      </c>
      <c r="F1533" s="23" t="inlineStr"/>
      <c r="G1533" s="23" t="inlineStr">
        <is>
          <t>Maya Chen, Owner Project Controls</t>
        </is>
      </c>
      <c r="H1533" s="14" t="inlineStr">
        <is>
          <t>10 EVIDENCE &amp; DECISIONS</t>
        </is>
      </c>
    </row>
    <row r="1534" ht="34" customHeight="1">
      <c r="A1534" s="23" t="inlineStr">
        <is>
          <t>R1479-v3</t>
        </is>
      </c>
      <c r="B1534" s="23" t="inlineStr">
        <is>
          <t>Cost &amp; Forecast Control Accounts</t>
        </is>
      </c>
      <c r="C1534" s="23" t="inlineStr">
        <is>
          <t>CST-05-077</t>
        </is>
      </c>
      <c r="D1534" s="23" t="inlineStr">
        <is>
          <t>UNSURE</t>
        </is>
      </c>
      <c r="E1534" s="23" t="inlineStr">
        <is>
          <t>Carried forward</t>
        </is>
      </c>
      <c r="F1534" s="23" t="inlineStr"/>
      <c r="G1534" s="23" t="inlineStr">
        <is>
          <t>Maya Chen, Owner Project Controls</t>
        </is>
      </c>
      <c r="H1534" s="14" t="inlineStr">
        <is>
          <t>10 EVIDENCE &amp; DECISIONS</t>
        </is>
      </c>
    </row>
    <row r="1535" ht="34" customHeight="1">
      <c r="A1535" s="23" t="inlineStr">
        <is>
          <t>R1480-v3</t>
        </is>
      </c>
      <c r="B1535" s="23" t="inlineStr">
        <is>
          <t>Cost &amp; Forecast Control Accounts</t>
        </is>
      </c>
      <c r="C1535" s="23" t="inlineStr">
        <is>
          <t>CST-05-078</t>
        </is>
      </c>
      <c r="D1535" s="23" t="inlineStr">
        <is>
          <t>UNSURE</t>
        </is>
      </c>
      <c r="E1535" s="23" t="inlineStr">
        <is>
          <t>Carried forward</t>
        </is>
      </c>
      <c r="F1535" s="23" t="inlineStr"/>
      <c r="G1535" s="23" t="inlineStr">
        <is>
          <t>Maya Chen, Owner Project Controls</t>
        </is>
      </c>
      <c r="H1535" s="14" t="inlineStr">
        <is>
          <t>10 EVIDENCE &amp; DECISIONS</t>
        </is>
      </c>
    </row>
    <row r="1536" ht="34" customHeight="1">
      <c r="A1536" s="23" t="inlineStr">
        <is>
          <t>R1481-v3</t>
        </is>
      </c>
      <c r="B1536" s="23" t="inlineStr">
        <is>
          <t>Cost &amp; Forecast Control Accounts</t>
        </is>
      </c>
      <c r="C1536" s="23" t="inlineStr">
        <is>
          <t>CST-05-079</t>
        </is>
      </c>
      <c r="D1536" s="23" t="inlineStr">
        <is>
          <t>UNSURE</t>
        </is>
      </c>
      <c r="E1536" s="23" t="inlineStr">
        <is>
          <t>Carried forward</t>
        </is>
      </c>
      <c r="F1536" s="23" t="inlineStr"/>
      <c r="G1536" s="23" t="inlineStr">
        <is>
          <t>Maya Chen, Owner Project Controls</t>
        </is>
      </c>
      <c r="H1536" s="14" t="inlineStr">
        <is>
          <t>10 EVIDENCE &amp; DECISIONS</t>
        </is>
      </c>
    </row>
    <row r="1537" ht="34" customHeight="1">
      <c r="A1537" s="23" t="inlineStr">
        <is>
          <t>R1482-v3</t>
        </is>
      </c>
      <c r="B1537" s="23" t="inlineStr">
        <is>
          <t>Cost &amp; Forecast Control Accounts</t>
        </is>
      </c>
      <c r="C1537" s="23" t="inlineStr">
        <is>
          <t>CST-05-080</t>
        </is>
      </c>
      <c r="D1537" s="23" t="inlineStr">
        <is>
          <t>UNSURE</t>
        </is>
      </c>
      <c r="E1537" s="23" t="inlineStr">
        <is>
          <t>Carried forward</t>
        </is>
      </c>
      <c r="F1537" s="23" t="inlineStr"/>
      <c r="G1537" s="23" t="inlineStr">
        <is>
          <t>Maya Chen, Owner Project Controls</t>
        </is>
      </c>
      <c r="H1537" s="14" t="inlineStr">
        <is>
          <t>10 EVIDENCE &amp; DECISIONS</t>
        </is>
      </c>
    </row>
    <row r="1538" ht="34" customHeight="1">
      <c r="A1538" s="23" t="inlineStr">
        <is>
          <t>R543-v3</t>
        </is>
      </c>
      <c r="B1538" s="23" t="inlineStr">
        <is>
          <t>Contractor Programme</t>
        </is>
      </c>
      <c r="C1538" s="23" t="inlineStr">
        <is>
          <t>SCH-04-003</t>
        </is>
      </c>
      <c r="D1538" s="23" t="inlineStr">
        <is>
          <t>UNSURE</t>
        </is>
      </c>
      <c r="E1538" s="23" t="inlineStr">
        <is>
          <t>Carried forward</t>
        </is>
      </c>
      <c r="F1538" s="23" t="inlineStr"/>
      <c r="G1538" s="23" t="inlineStr">
        <is>
          <t>Maya Chen, Owner Project Controls</t>
        </is>
      </c>
      <c r="H1538" s="14" t="inlineStr">
        <is>
          <t>10 EVIDENCE &amp; DECISIONS</t>
        </is>
      </c>
    </row>
    <row r="1539" ht="34" customHeight="1">
      <c r="A1539" s="23" t="inlineStr">
        <is>
          <t>R901-v3</t>
        </is>
      </c>
      <c r="B1539" s="23" t="inlineStr">
        <is>
          <t>Contractor Programme</t>
        </is>
      </c>
      <c r="C1539" s="23" t="inlineStr">
        <is>
          <t>SCH-06-001</t>
        </is>
      </c>
      <c r="D1539" s="23" t="inlineStr">
        <is>
          <t>UNSURE</t>
        </is>
      </c>
      <c r="E1539" s="23" t="inlineStr">
        <is>
          <t>Carried forward</t>
        </is>
      </c>
      <c r="F1539" s="23" t="inlineStr"/>
      <c r="G1539" s="23" t="inlineStr">
        <is>
          <t>Maya Chen, Owner Project Controls</t>
        </is>
      </c>
      <c r="H1539" s="14" t="inlineStr">
        <is>
          <t>10 EVIDENCE &amp; DECISIONS</t>
        </is>
      </c>
    </row>
    <row r="1540" ht="34" customHeight="1">
      <c r="A1540" s="23" t="inlineStr">
        <is>
          <t>R902-v3</t>
        </is>
      </c>
      <c r="B1540" s="23" t="inlineStr">
        <is>
          <t>Contractor Programme</t>
        </is>
      </c>
      <c r="C1540" s="23" t="inlineStr">
        <is>
          <t>SCH-06-002</t>
        </is>
      </c>
      <c r="D1540" s="23" t="inlineStr">
        <is>
          <t>UNSURE</t>
        </is>
      </c>
      <c r="E1540" s="23" t="inlineStr">
        <is>
          <t>Carried forward</t>
        </is>
      </c>
      <c r="F1540" s="23" t="inlineStr"/>
      <c r="G1540" s="23" t="inlineStr">
        <is>
          <t>Maya Chen, Owner Project Controls</t>
        </is>
      </c>
      <c r="H1540" s="14" t="inlineStr">
        <is>
          <t>10 EVIDENCE &amp; DECISIONS</t>
        </is>
      </c>
    </row>
    <row r="1541" ht="34" customHeight="1">
      <c r="A1541" s="23" t="inlineStr">
        <is>
          <t>R903-v3</t>
        </is>
      </c>
      <c r="B1541" s="23" t="inlineStr">
        <is>
          <t>Contractor Programme</t>
        </is>
      </c>
      <c r="C1541" s="23" t="inlineStr">
        <is>
          <t>SCH-06-003</t>
        </is>
      </c>
      <c r="D1541" s="23" t="inlineStr">
        <is>
          <t>UNSURE</t>
        </is>
      </c>
      <c r="E1541" s="23" t="inlineStr">
        <is>
          <t>Carried forward</t>
        </is>
      </c>
      <c r="F1541" s="23" t="inlineStr"/>
      <c r="G1541" s="23" t="inlineStr">
        <is>
          <t>Maya Chen, Owner Project Controls</t>
        </is>
      </c>
      <c r="H1541" s="14" t="inlineStr">
        <is>
          <t>10 EVIDENCE &amp; DECISIONS</t>
        </is>
      </c>
    </row>
    <row r="1542" ht="34" customHeight="1">
      <c r="A1542" s="23" t="inlineStr">
        <is>
          <t>R904-v3</t>
        </is>
      </c>
      <c r="B1542" s="23" t="inlineStr">
        <is>
          <t>Contractor Programme</t>
        </is>
      </c>
      <c r="C1542" s="23" t="inlineStr">
        <is>
          <t>SCH-06-004</t>
        </is>
      </c>
      <c r="D1542" s="23" t="inlineStr">
        <is>
          <t>UNSURE</t>
        </is>
      </c>
      <c r="E1542" s="23" t="inlineStr">
        <is>
          <t>Carried forward</t>
        </is>
      </c>
      <c r="F1542" s="23" t="inlineStr"/>
      <c r="G1542" s="23" t="inlineStr">
        <is>
          <t>Maya Chen, Owner Project Controls</t>
        </is>
      </c>
      <c r="H1542" s="14" t="inlineStr">
        <is>
          <t>10 EVIDENCE &amp; DECISIONS</t>
        </is>
      </c>
    </row>
    <row r="1543" ht="34" customHeight="1">
      <c r="A1543" s="23" t="inlineStr">
        <is>
          <t>R905-v3</t>
        </is>
      </c>
      <c r="B1543" s="23" t="inlineStr">
        <is>
          <t>Contractor Programme</t>
        </is>
      </c>
      <c r="C1543" s="23" t="inlineStr">
        <is>
          <t>SCH-06-005</t>
        </is>
      </c>
      <c r="D1543" s="23" t="inlineStr">
        <is>
          <t>UNSURE</t>
        </is>
      </c>
      <c r="E1543" s="23" t="inlineStr">
        <is>
          <t>Carried forward</t>
        </is>
      </c>
      <c r="F1543" s="23" t="inlineStr"/>
      <c r="G1543" s="23" t="inlineStr">
        <is>
          <t>Maya Chen, Owner Project Controls</t>
        </is>
      </c>
      <c r="H1543" s="14" t="inlineStr">
        <is>
          <t>10 EVIDENCE &amp; DECISIONS</t>
        </is>
      </c>
    </row>
    <row r="1544" ht="34" customHeight="1">
      <c r="A1544" s="23" t="inlineStr">
        <is>
          <t>R906-v3</t>
        </is>
      </c>
      <c r="B1544" s="23" t="inlineStr">
        <is>
          <t>Contractor Programme</t>
        </is>
      </c>
      <c r="C1544" s="23" t="inlineStr">
        <is>
          <t>SCH-06-006</t>
        </is>
      </c>
      <c r="D1544" s="23" t="inlineStr">
        <is>
          <t>UNSURE</t>
        </is>
      </c>
      <c r="E1544" s="23" t="inlineStr">
        <is>
          <t>Carried forward</t>
        </is>
      </c>
      <c r="F1544" s="23" t="inlineStr"/>
      <c r="G1544" s="23" t="inlineStr">
        <is>
          <t>Maya Chen, Owner Project Controls</t>
        </is>
      </c>
      <c r="H1544" s="14" t="inlineStr">
        <is>
          <t>10 EVIDENCE &amp; DECISIONS</t>
        </is>
      </c>
    </row>
    <row r="1545" ht="34" customHeight="1">
      <c r="A1545" s="23" t="inlineStr">
        <is>
          <t>R907-v3</t>
        </is>
      </c>
      <c r="B1545" s="23" t="inlineStr">
        <is>
          <t>Contractor Programme</t>
        </is>
      </c>
      <c r="C1545" s="23" t="inlineStr">
        <is>
          <t>SCH-06-007</t>
        </is>
      </c>
      <c r="D1545" s="23" t="inlineStr">
        <is>
          <t>UNSURE</t>
        </is>
      </c>
      <c r="E1545" s="23" t="inlineStr">
        <is>
          <t>Carried forward</t>
        </is>
      </c>
      <c r="F1545" s="23" t="inlineStr"/>
      <c r="G1545" s="23" t="inlineStr">
        <is>
          <t>Maya Chen, Owner Project Controls</t>
        </is>
      </c>
      <c r="H1545" s="14" t="inlineStr">
        <is>
          <t>10 EVIDENCE &amp; DECISIONS</t>
        </is>
      </c>
    </row>
    <row r="1546" ht="34" customHeight="1">
      <c r="A1546" s="23" t="inlineStr">
        <is>
          <t>R908-v3</t>
        </is>
      </c>
      <c r="B1546" s="23" t="inlineStr">
        <is>
          <t>Contractor Programme</t>
        </is>
      </c>
      <c r="C1546" s="23" t="inlineStr">
        <is>
          <t>SCH-06-008</t>
        </is>
      </c>
      <c r="D1546" s="23" t="inlineStr">
        <is>
          <t>UNSURE</t>
        </is>
      </c>
      <c r="E1546" s="23" t="inlineStr">
        <is>
          <t>Carried forward</t>
        </is>
      </c>
      <c r="F1546" s="23" t="inlineStr"/>
      <c r="G1546" s="23" t="inlineStr">
        <is>
          <t>Maya Chen, Owner Project Controls</t>
        </is>
      </c>
      <c r="H1546" s="14" t="inlineStr">
        <is>
          <t>10 EVIDENCE &amp; DECISIONS</t>
        </is>
      </c>
    </row>
    <row r="1547" ht="34" customHeight="1">
      <c r="A1547" s="23" t="inlineStr">
        <is>
          <t>R909-v3</t>
        </is>
      </c>
      <c r="B1547" s="23" t="inlineStr">
        <is>
          <t>Contractor Programme</t>
        </is>
      </c>
      <c r="C1547" s="23" t="inlineStr">
        <is>
          <t>SCH-06-009</t>
        </is>
      </c>
      <c r="D1547" s="23" t="inlineStr">
        <is>
          <t>UNSURE</t>
        </is>
      </c>
      <c r="E1547" s="23" t="inlineStr">
        <is>
          <t>Carried forward</t>
        </is>
      </c>
      <c r="F1547" s="23" t="inlineStr"/>
      <c r="G1547" s="23" t="inlineStr">
        <is>
          <t>Maya Chen, Owner Project Controls</t>
        </is>
      </c>
      <c r="H1547" s="14" t="inlineStr">
        <is>
          <t>10 EVIDENCE &amp; DECISIONS</t>
        </is>
      </c>
    </row>
    <row r="1548" ht="34" customHeight="1">
      <c r="A1548" s="23" t="inlineStr">
        <is>
          <t>R910-v3</t>
        </is>
      </c>
      <c r="B1548" s="23" t="inlineStr">
        <is>
          <t>Contractor Programme</t>
        </is>
      </c>
      <c r="C1548" s="23" t="inlineStr">
        <is>
          <t>SCH-06-010</t>
        </is>
      </c>
      <c r="D1548" s="23" t="inlineStr">
        <is>
          <t>UNSURE</t>
        </is>
      </c>
      <c r="E1548" s="23" t="inlineStr">
        <is>
          <t>Carried forward</t>
        </is>
      </c>
      <c r="F1548" s="23" t="inlineStr"/>
      <c r="G1548" s="23" t="inlineStr">
        <is>
          <t>Maya Chen, Owner Project Controls</t>
        </is>
      </c>
      <c r="H1548" s="14" t="inlineStr">
        <is>
          <t>10 EVIDENCE &amp; DECISIONS</t>
        </is>
      </c>
    </row>
    <row r="1549" ht="34" customHeight="1">
      <c r="A1549" s="23" t="inlineStr">
        <is>
          <t>R911-v3</t>
        </is>
      </c>
      <c r="B1549" s="23" t="inlineStr">
        <is>
          <t>Contractor Programme</t>
        </is>
      </c>
      <c r="C1549" s="23" t="inlineStr">
        <is>
          <t>SCH-06-011</t>
        </is>
      </c>
      <c r="D1549" s="23" t="inlineStr">
        <is>
          <t>UNSURE</t>
        </is>
      </c>
      <c r="E1549" s="23" t="inlineStr">
        <is>
          <t>Carried forward</t>
        </is>
      </c>
      <c r="F1549" s="23" t="inlineStr"/>
      <c r="G1549" s="23" t="inlineStr">
        <is>
          <t>Maya Chen, Owner Project Controls</t>
        </is>
      </c>
      <c r="H1549" s="14" t="inlineStr">
        <is>
          <t>10 EVIDENCE &amp; DECISIONS</t>
        </is>
      </c>
    </row>
    <row r="1550" ht="34" customHeight="1">
      <c r="A1550" s="23" t="inlineStr">
        <is>
          <t>R912-v3</t>
        </is>
      </c>
      <c r="B1550" s="23" t="inlineStr">
        <is>
          <t>Contractor Programme</t>
        </is>
      </c>
      <c r="C1550" s="23" t="inlineStr">
        <is>
          <t>SCH-06-012</t>
        </is>
      </c>
      <c r="D1550" s="23" t="inlineStr">
        <is>
          <t>UNSURE</t>
        </is>
      </c>
      <c r="E1550" s="23" t="inlineStr">
        <is>
          <t>Carried forward</t>
        </is>
      </c>
      <c r="F1550" s="23" t="inlineStr"/>
      <c r="G1550" s="23" t="inlineStr">
        <is>
          <t>Maya Chen, Owner Project Controls</t>
        </is>
      </c>
      <c r="H1550" s="14" t="inlineStr">
        <is>
          <t>10 EVIDENCE &amp; DECISIONS</t>
        </is>
      </c>
    </row>
    <row r="1551" ht="34" customHeight="1">
      <c r="A1551" s="23" t="inlineStr">
        <is>
          <t>R913-v3</t>
        </is>
      </c>
      <c r="B1551" s="23" t="inlineStr">
        <is>
          <t>Contractor Programme</t>
        </is>
      </c>
      <c r="C1551" s="23" t="inlineStr">
        <is>
          <t>SCH-06-013</t>
        </is>
      </c>
      <c r="D1551" s="23" t="inlineStr">
        <is>
          <t>UNSURE</t>
        </is>
      </c>
      <c r="E1551" s="23" t="inlineStr">
        <is>
          <t>Carried forward</t>
        </is>
      </c>
      <c r="F1551" s="23" t="inlineStr"/>
      <c r="G1551" s="23" t="inlineStr">
        <is>
          <t>Maya Chen, Owner Project Controls</t>
        </is>
      </c>
      <c r="H1551" s="14" t="inlineStr">
        <is>
          <t>10 EVIDENCE &amp; DECISIONS</t>
        </is>
      </c>
    </row>
    <row r="1552" ht="34" customHeight="1">
      <c r="A1552" s="23" t="inlineStr">
        <is>
          <t>R914-v3</t>
        </is>
      </c>
      <c r="B1552" s="23" t="inlineStr">
        <is>
          <t>Contractor Programme</t>
        </is>
      </c>
      <c r="C1552" s="23" t="inlineStr">
        <is>
          <t>SCH-06-014</t>
        </is>
      </c>
      <c r="D1552" s="23" t="inlineStr">
        <is>
          <t>UNSURE</t>
        </is>
      </c>
      <c r="E1552" s="23" t="inlineStr">
        <is>
          <t>Carried forward</t>
        </is>
      </c>
      <c r="F1552" s="23" t="inlineStr"/>
      <c r="G1552" s="23" t="inlineStr">
        <is>
          <t>Maya Chen, Owner Project Controls</t>
        </is>
      </c>
      <c r="H1552" s="14" t="inlineStr">
        <is>
          <t>10 EVIDENCE &amp; DECISIONS</t>
        </is>
      </c>
    </row>
    <row r="1553" ht="34" customHeight="1">
      <c r="A1553" s="23" t="inlineStr">
        <is>
          <t>R915-v3</t>
        </is>
      </c>
      <c r="B1553" s="23" t="inlineStr">
        <is>
          <t>Contractor Programme</t>
        </is>
      </c>
      <c r="C1553" s="23" t="inlineStr">
        <is>
          <t>SCH-06-015</t>
        </is>
      </c>
      <c r="D1553" s="23" t="inlineStr">
        <is>
          <t>UNSURE</t>
        </is>
      </c>
      <c r="E1553" s="23" t="inlineStr">
        <is>
          <t>Carried forward</t>
        </is>
      </c>
      <c r="F1553" s="23" t="inlineStr"/>
      <c r="G1553" s="23" t="inlineStr">
        <is>
          <t>Maya Chen, Owner Project Controls</t>
        </is>
      </c>
      <c r="H1553" s="14" t="inlineStr">
        <is>
          <t>10 EVIDENCE &amp; DECISIONS</t>
        </is>
      </c>
    </row>
    <row r="1554" ht="34" customHeight="1">
      <c r="A1554" s="23" t="inlineStr">
        <is>
          <t>R916-v3</t>
        </is>
      </c>
      <c r="B1554" s="23" t="inlineStr">
        <is>
          <t>Contractor Programme</t>
        </is>
      </c>
      <c r="C1554" s="23" t="inlineStr">
        <is>
          <t>SCH-06-016</t>
        </is>
      </c>
      <c r="D1554" s="23" t="inlineStr">
        <is>
          <t>UNSURE</t>
        </is>
      </c>
      <c r="E1554" s="23" t="inlineStr">
        <is>
          <t>Carried forward</t>
        </is>
      </c>
      <c r="F1554" s="23" t="inlineStr"/>
      <c r="G1554" s="23" t="inlineStr">
        <is>
          <t>Maya Chen, Owner Project Controls</t>
        </is>
      </c>
      <c r="H1554" s="14" t="inlineStr">
        <is>
          <t>10 EVIDENCE &amp; DECISIONS</t>
        </is>
      </c>
    </row>
    <row r="1555" ht="34" customHeight="1">
      <c r="A1555" s="23" t="inlineStr">
        <is>
          <t>R917-v3</t>
        </is>
      </c>
      <c r="B1555" s="23" t="inlineStr">
        <is>
          <t>Contractor Programme</t>
        </is>
      </c>
      <c r="C1555" s="23" t="inlineStr">
        <is>
          <t>SCH-06-017</t>
        </is>
      </c>
      <c r="D1555" s="23" t="inlineStr">
        <is>
          <t>UNSURE</t>
        </is>
      </c>
      <c r="E1555" s="23" t="inlineStr">
        <is>
          <t>Carried forward</t>
        </is>
      </c>
      <c r="F1555" s="23" t="inlineStr"/>
      <c r="G1555" s="23" t="inlineStr">
        <is>
          <t>Maya Chen, Owner Project Controls</t>
        </is>
      </c>
      <c r="H1555" s="14" t="inlineStr">
        <is>
          <t>10 EVIDENCE &amp; DECISIONS</t>
        </is>
      </c>
    </row>
    <row r="1556" ht="34" customHeight="1">
      <c r="A1556" s="23" t="inlineStr">
        <is>
          <t>R918-v3</t>
        </is>
      </c>
      <c r="B1556" s="23" t="inlineStr">
        <is>
          <t>Contractor Programme</t>
        </is>
      </c>
      <c r="C1556" s="23" t="inlineStr">
        <is>
          <t>SCH-06-018</t>
        </is>
      </c>
      <c r="D1556" s="23" t="inlineStr">
        <is>
          <t>UNSURE</t>
        </is>
      </c>
      <c r="E1556" s="23" t="inlineStr">
        <is>
          <t>Carried forward</t>
        </is>
      </c>
      <c r="F1556" s="23" t="inlineStr"/>
      <c r="G1556" s="23" t="inlineStr">
        <is>
          <t>Maya Chen, Owner Project Controls</t>
        </is>
      </c>
      <c r="H1556" s="14" t="inlineStr">
        <is>
          <t>10 EVIDENCE &amp; DECISIONS</t>
        </is>
      </c>
    </row>
    <row r="1557" ht="34" customHeight="1">
      <c r="A1557" s="23" t="inlineStr">
        <is>
          <t>R919-v3</t>
        </is>
      </c>
      <c r="B1557" s="23" t="inlineStr">
        <is>
          <t>Contractor Programme</t>
        </is>
      </c>
      <c r="C1557" s="23" t="inlineStr">
        <is>
          <t>SCH-06-019</t>
        </is>
      </c>
      <c r="D1557" s="23" t="inlineStr">
        <is>
          <t>UNSURE</t>
        </is>
      </c>
      <c r="E1557" s="23" t="inlineStr">
        <is>
          <t>Carried forward</t>
        </is>
      </c>
      <c r="F1557" s="23" t="inlineStr"/>
      <c r="G1557" s="23" t="inlineStr">
        <is>
          <t>Maya Chen, Owner Project Controls</t>
        </is>
      </c>
      <c r="H1557" s="14" t="inlineStr">
        <is>
          <t>10 EVIDENCE &amp; DECISIONS</t>
        </is>
      </c>
    </row>
    <row r="1558" ht="34" customHeight="1">
      <c r="A1558" s="23" t="inlineStr">
        <is>
          <t>R920-v3</t>
        </is>
      </c>
      <c r="B1558" s="23" t="inlineStr">
        <is>
          <t>Contractor Programme</t>
        </is>
      </c>
      <c r="C1558" s="23" t="inlineStr">
        <is>
          <t>SCH-06-020</t>
        </is>
      </c>
      <c r="D1558" s="23" t="inlineStr">
        <is>
          <t>UNSURE</t>
        </is>
      </c>
      <c r="E1558" s="23" t="inlineStr">
        <is>
          <t>Carried forward</t>
        </is>
      </c>
      <c r="F1558" s="23" t="inlineStr"/>
      <c r="G1558" s="23" t="inlineStr">
        <is>
          <t>Maya Chen, Owner Project Controls</t>
        </is>
      </c>
      <c r="H1558" s="14" t="inlineStr">
        <is>
          <t>10 EVIDENCE &amp; DECISIONS</t>
        </is>
      </c>
    </row>
    <row r="1559" ht="34" customHeight="1">
      <c r="A1559" s="23" t="inlineStr">
        <is>
          <t>R921-v3</t>
        </is>
      </c>
      <c r="B1559" s="23" t="inlineStr">
        <is>
          <t>Contractor Programme</t>
        </is>
      </c>
      <c r="C1559" s="23" t="inlineStr">
        <is>
          <t>SCH-06-021</t>
        </is>
      </c>
      <c r="D1559" s="23" t="inlineStr">
        <is>
          <t>UNSURE</t>
        </is>
      </c>
      <c r="E1559" s="23" t="inlineStr">
        <is>
          <t>Carried forward</t>
        </is>
      </c>
      <c r="F1559" s="23" t="inlineStr"/>
      <c r="G1559" s="23" t="inlineStr">
        <is>
          <t>Maya Chen, Owner Project Controls</t>
        </is>
      </c>
      <c r="H1559" s="14" t="inlineStr">
        <is>
          <t>10 EVIDENCE &amp; DECISIONS</t>
        </is>
      </c>
    </row>
    <row r="1560" ht="34" customHeight="1">
      <c r="A1560" s="23" t="inlineStr">
        <is>
          <t>R922-v3</t>
        </is>
      </c>
      <c r="B1560" s="23" t="inlineStr">
        <is>
          <t>Contractor Programme</t>
        </is>
      </c>
      <c r="C1560" s="23" t="inlineStr">
        <is>
          <t>SCH-06-022</t>
        </is>
      </c>
      <c r="D1560" s="23" t="inlineStr">
        <is>
          <t>UNSURE</t>
        </is>
      </c>
      <c r="E1560" s="23" t="inlineStr">
        <is>
          <t>Carried forward</t>
        </is>
      </c>
      <c r="F1560" s="23" t="inlineStr"/>
      <c r="G1560" s="23" t="inlineStr">
        <is>
          <t>Maya Chen, Owner Project Controls</t>
        </is>
      </c>
      <c r="H1560" s="14" t="inlineStr">
        <is>
          <t>10 EVIDENCE &amp; DECISIONS</t>
        </is>
      </c>
    </row>
    <row r="1561" ht="34" customHeight="1">
      <c r="A1561" s="23" t="inlineStr">
        <is>
          <t>R923-v3</t>
        </is>
      </c>
      <c r="B1561" s="23" t="inlineStr">
        <is>
          <t>Contractor Programme</t>
        </is>
      </c>
      <c r="C1561" s="23" t="inlineStr">
        <is>
          <t>SCH-06-023</t>
        </is>
      </c>
      <c r="D1561" s="23" t="inlineStr">
        <is>
          <t>UNSURE</t>
        </is>
      </c>
      <c r="E1561" s="23" t="inlineStr">
        <is>
          <t>Carried forward</t>
        </is>
      </c>
      <c r="F1561" s="23" t="inlineStr"/>
      <c r="G1561" s="23" t="inlineStr">
        <is>
          <t>Maya Chen, Owner Project Controls</t>
        </is>
      </c>
      <c r="H1561" s="14" t="inlineStr">
        <is>
          <t>10 EVIDENCE &amp; DECISIONS</t>
        </is>
      </c>
    </row>
    <row r="1562" ht="34" customHeight="1">
      <c r="A1562" s="23" t="inlineStr">
        <is>
          <t>R924-v3</t>
        </is>
      </c>
      <c r="B1562" s="23" t="inlineStr">
        <is>
          <t>Contractor Programme</t>
        </is>
      </c>
      <c r="C1562" s="23" t="inlineStr">
        <is>
          <t>SCH-06-024</t>
        </is>
      </c>
      <c r="D1562" s="23" t="inlineStr">
        <is>
          <t>UNSURE</t>
        </is>
      </c>
      <c r="E1562" s="23" t="inlineStr">
        <is>
          <t>Carried forward</t>
        </is>
      </c>
      <c r="F1562" s="23" t="inlineStr"/>
      <c r="G1562" s="23" t="inlineStr">
        <is>
          <t>Maya Chen, Owner Project Controls</t>
        </is>
      </c>
      <c r="H1562" s="14" t="inlineStr">
        <is>
          <t>10 EVIDENCE &amp; DECISIONS</t>
        </is>
      </c>
    </row>
    <row r="1563" ht="34" customHeight="1">
      <c r="A1563" s="23" t="inlineStr">
        <is>
          <t>R925-v3</t>
        </is>
      </c>
      <c r="B1563" s="23" t="inlineStr">
        <is>
          <t>Contractor Programme</t>
        </is>
      </c>
      <c r="C1563" s="23" t="inlineStr">
        <is>
          <t>SCH-06-025</t>
        </is>
      </c>
      <c r="D1563" s="23" t="inlineStr">
        <is>
          <t>UNSURE</t>
        </is>
      </c>
      <c r="E1563" s="23" t="inlineStr">
        <is>
          <t>Carried forward</t>
        </is>
      </c>
      <c r="F1563" s="23" t="inlineStr"/>
      <c r="G1563" s="23" t="inlineStr">
        <is>
          <t>Maya Chen, Owner Project Controls</t>
        </is>
      </c>
      <c r="H1563" s="14" t="inlineStr">
        <is>
          <t>10 EVIDENCE &amp; DECISIONS</t>
        </is>
      </c>
    </row>
    <row r="1564" ht="34" customHeight="1">
      <c r="A1564" s="23" t="inlineStr">
        <is>
          <t>R926-v3</t>
        </is>
      </c>
      <c r="B1564" s="23" t="inlineStr">
        <is>
          <t>Contractor Programme</t>
        </is>
      </c>
      <c r="C1564" s="23" t="inlineStr">
        <is>
          <t>SCH-06-026</t>
        </is>
      </c>
      <c r="D1564" s="23" t="inlineStr">
        <is>
          <t>UNSURE</t>
        </is>
      </c>
      <c r="E1564" s="23" t="inlineStr">
        <is>
          <t>Carried forward</t>
        </is>
      </c>
      <c r="F1564" s="23" t="inlineStr"/>
      <c r="G1564" s="23" t="inlineStr">
        <is>
          <t>Maya Chen, Owner Project Controls</t>
        </is>
      </c>
      <c r="H1564" s="14" t="inlineStr">
        <is>
          <t>10 EVIDENCE &amp; DECISIONS</t>
        </is>
      </c>
    </row>
    <row r="1565" ht="34" customHeight="1">
      <c r="A1565" s="23" t="inlineStr">
        <is>
          <t>R927-v3</t>
        </is>
      </c>
      <c r="B1565" s="23" t="inlineStr">
        <is>
          <t>Contractor Programme</t>
        </is>
      </c>
      <c r="C1565" s="23" t="inlineStr">
        <is>
          <t>SCH-06-027</t>
        </is>
      </c>
      <c r="D1565" s="23" t="inlineStr">
        <is>
          <t>UNSURE</t>
        </is>
      </c>
      <c r="E1565" s="23" t="inlineStr">
        <is>
          <t>Carried forward</t>
        </is>
      </c>
      <c r="F1565" s="23" t="inlineStr"/>
      <c r="G1565" s="23" t="inlineStr">
        <is>
          <t>Maya Chen, Owner Project Controls</t>
        </is>
      </c>
      <c r="H1565" s="14" t="inlineStr">
        <is>
          <t>10 EVIDENCE &amp; DECISIONS</t>
        </is>
      </c>
    </row>
    <row r="1566" ht="34" customHeight="1">
      <c r="A1566" s="23" t="inlineStr">
        <is>
          <t>R928-v3</t>
        </is>
      </c>
      <c r="B1566" s="23" t="inlineStr">
        <is>
          <t>Contractor Programme</t>
        </is>
      </c>
      <c r="C1566" s="23" t="inlineStr">
        <is>
          <t>SCH-06-028</t>
        </is>
      </c>
      <c r="D1566" s="23" t="inlineStr">
        <is>
          <t>UNSURE</t>
        </is>
      </c>
      <c r="E1566" s="23" t="inlineStr">
        <is>
          <t>Carried forward</t>
        </is>
      </c>
      <c r="F1566" s="23" t="inlineStr"/>
      <c r="G1566" s="23" t="inlineStr">
        <is>
          <t>Maya Chen, Owner Project Controls</t>
        </is>
      </c>
      <c r="H1566" s="14" t="inlineStr">
        <is>
          <t>10 EVIDENCE &amp; DECISIONS</t>
        </is>
      </c>
    </row>
    <row r="1567" ht="34" customHeight="1">
      <c r="A1567" s="23" t="inlineStr">
        <is>
          <t>R929-v3</t>
        </is>
      </c>
      <c r="B1567" s="23" t="inlineStr">
        <is>
          <t>Contractor Programme</t>
        </is>
      </c>
      <c r="C1567" s="23" t="inlineStr">
        <is>
          <t>SCH-06-029</t>
        </is>
      </c>
      <c r="D1567" s="23" t="inlineStr">
        <is>
          <t>UNSURE</t>
        </is>
      </c>
      <c r="E1567" s="23" t="inlineStr">
        <is>
          <t>Carried forward</t>
        </is>
      </c>
      <c r="F1567" s="23" t="inlineStr"/>
      <c r="G1567" s="23" t="inlineStr">
        <is>
          <t>Maya Chen, Owner Project Controls</t>
        </is>
      </c>
      <c r="H1567" s="14" t="inlineStr">
        <is>
          <t>10 EVIDENCE &amp; DECISIONS</t>
        </is>
      </c>
    </row>
    <row r="1568" ht="34" customHeight="1">
      <c r="A1568" s="23" t="inlineStr">
        <is>
          <t>R930-v3</t>
        </is>
      </c>
      <c r="B1568" s="23" t="inlineStr">
        <is>
          <t>Contractor Programme</t>
        </is>
      </c>
      <c r="C1568" s="23" t="inlineStr">
        <is>
          <t>SCH-06-030</t>
        </is>
      </c>
      <c r="D1568" s="23" t="inlineStr">
        <is>
          <t>UNSURE</t>
        </is>
      </c>
      <c r="E1568" s="23" t="inlineStr">
        <is>
          <t>Carried forward</t>
        </is>
      </c>
      <c r="F1568" s="23" t="inlineStr"/>
      <c r="G1568" s="23" t="inlineStr">
        <is>
          <t>Maya Chen, Owner Project Controls</t>
        </is>
      </c>
      <c r="H1568" s="14" t="inlineStr">
        <is>
          <t>10 EVIDENCE &amp; DECISIONS</t>
        </is>
      </c>
    </row>
    <row r="1569" ht="34" customHeight="1">
      <c r="A1569" s="23" t="inlineStr">
        <is>
          <t>R931-v3</t>
        </is>
      </c>
      <c r="B1569" s="23" t="inlineStr">
        <is>
          <t>Contractor Programme</t>
        </is>
      </c>
      <c r="C1569" s="23" t="inlineStr">
        <is>
          <t>SCH-06-031</t>
        </is>
      </c>
      <c r="D1569" s="23" t="inlineStr">
        <is>
          <t>UNSURE</t>
        </is>
      </c>
      <c r="E1569" s="23" t="inlineStr">
        <is>
          <t>Carried forward</t>
        </is>
      </c>
      <c r="F1569" s="23" t="inlineStr"/>
      <c r="G1569" s="23" t="inlineStr">
        <is>
          <t>Maya Chen, Owner Project Controls</t>
        </is>
      </c>
      <c r="H1569" s="14" t="inlineStr">
        <is>
          <t>10 EVIDENCE &amp; DECISIONS</t>
        </is>
      </c>
    </row>
    <row r="1570" ht="34" customHeight="1">
      <c r="A1570" s="23" t="inlineStr">
        <is>
          <t>R932-v3</t>
        </is>
      </c>
      <c r="B1570" s="23" t="inlineStr">
        <is>
          <t>Contractor Programme</t>
        </is>
      </c>
      <c r="C1570" s="23" t="inlineStr">
        <is>
          <t>SCH-06-032</t>
        </is>
      </c>
      <c r="D1570" s="23" t="inlineStr">
        <is>
          <t>UNSURE</t>
        </is>
      </c>
      <c r="E1570" s="23" t="inlineStr">
        <is>
          <t>Carried forward</t>
        </is>
      </c>
      <c r="F1570" s="23" t="inlineStr"/>
      <c r="G1570" s="23" t="inlineStr">
        <is>
          <t>Maya Chen, Owner Project Controls</t>
        </is>
      </c>
      <c r="H1570" s="14" t="inlineStr">
        <is>
          <t>10 EVIDENCE &amp; DECISIONS</t>
        </is>
      </c>
    </row>
    <row r="1571" ht="34" customHeight="1">
      <c r="A1571" s="23" t="inlineStr">
        <is>
          <t>R933-v3</t>
        </is>
      </c>
      <c r="B1571" s="23" t="inlineStr">
        <is>
          <t>Contractor Programme</t>
        </is>
      </c>
      <c r="C1571" s="23" t="inlineStr">
        <is>
          <t>SCH-06-033</t>
        </is>
      </c>
      <c r="D1571" s="23" t="inlineStr">
        <is>
          <t>UNSURE</t>
        </is>
      </c>
      <c r="E1571" s="23" t="inlineStr">
        <is>
          <t>Carried forward</t>
        </is>
      </c>
      <c r="F1571" s="23" t="inlineStr"/>
      <c r="G1571" s="23" t="inlineStr">
        <is>
          <t>Maya Chen, Owner Project Controls</t>
        </is>
      </c>
      <c r="H1571" s="14" t="inlineStr">
        <is>
          <t>10 EVIDENCE &amp; DECISIONS</t>
        </is>
      </c>
    </row>
    <row r="1572" ht="34" customHeight="1">
      <c r="A1572" s="23" t="inlineStr">
        <is>
          <t>R934-v3</t>
        </is>
      </c>
      <c r="B1572" s="23" t="inlineStr">
        <is>
          <t>Contractor Programme</t>
        </is>
      </c>
      <c r="C1572" s="23" t="inlineStr">
        <is>
          <t>SCH-06-034</t>
        </is>
      </c>
      <c r="D1572" s="23" t="inlineStr">
        <is>
          <t>UNSURE</t>
        </is>
      </c>
      <c r="E1572" s="23" t="inlineStr">
        <is>
          <t>Carried forward</t>
        </is>
      </c>
      <c r="F1572" s="23" t="inlineStr"/>
      <c r="G1572" s="23" t="inlineStr">
        <is>
          <t>Maya Chen, Owner Project Controls</t>
        </is>
      </c>
      <c r="H1572" s="14" t="inlineStr">
        <is>
          <t>10 EVIDENCE &amp; DECISIONS</t>
        </is>
      </c>
    </row>
    <row r="1573" ht="34" customHeight="1">
      <c r="A1573" s="23" t="inlineStr">
        <is>
          <t>R935-v3</t>
        </is>
      </c>
      <c r="B1573" s="23" t="inlineStr">
        <is>
          <t>Contractor Programme</t>
        </is>
      </c>
      <c r="C1573" s="23" t="inlineStr">
        <is>
          <t>SCH-06-035</t>
        </is>
      </c>
      <c r="D1573" s="23" t="inlineStr">
        <is>
          <t>UNSURE</t>
        </is>
      </c>
      <c r="E1573" s="23" t="inlineStr">
        <is>
          <t>Carried forward</t>
        </is>
      </c>
      <c r="F1573" s="23" t="inlineStr"/>
      <c r="G1573" s="23" t="inlineStr">
        <is>
          <t>Maya Chen, Owner Project Controls</t>
        </is>
      </c>
      <c r="H1573" s="14" t="inlineStr">
        <is>
          <t>10 EVIDENCE &amp; DECISIONS</t>
        </is>
      </c>
    </row>
    <row r="1574" ht="34" customHeight="1">
      <c r="A1574" s="23" t="inlineStr">
        <is>
          <t>R936-v3</t>
        </is>
      </c>
      <c r="B1574" s="23" t="inlineStr">
        <is>
          <t>Contractor Programme</t>
        </is>
      </c>
      <c r="C1574" s="23" t="inlineStr">
        <is>
          <t>SCH-06-036</t>
        </is>
      </c>
      <c r="D1574" s="23" t="inlineStr">
        <is>
          <t>UNSURE</t>
        </is>
      </c>
      <c r="E1574" s="23" t="inlineStr">
        <is>
          <t>Carried forward</t>
        </is>
      </c>
      <c r="F1574" s="23" t="inlineStr"/>
      <c r="G1574" s="23" t="inlineStr">
        <is>
          <t>Maya Chen, Owner Project Controls</t>
        </is>
      </c>
      <c r="H1574" s="14" t="inlineStr">
        <is>
          <t>10 EVIDENCE &amp; DECISIONS</t>
        </is>
      </c>
    </row>
    <row r="1575" ht="34" customHeight="1">
      <c r="A1575" s="23" t="inlineStr">
        <is>
          <t>R937-v3</t>
        </is>
      </c>
      <c r="B1575" s="23" t="inlineStr">
        <is>
          <t>Contractor Programme</t>
        </is>
      </c>
      <c r="C1575" s="23" t="inlineStr">
        <is>
          <t>SCH-06-037</t>
        </is>
      </c>
      <c r="D1575" s="23" t="inlineStr">
        <is>
          <t>UNSURE</t>
        </is>
      </c>
      <c r="E1575" s="23" t="inlineStr">
        <is>
          <t>Carried forward</t>
        </is>
      </c>
      <c r="F1575" s="23" t="inlineStr"/>
      <c r="G1575" s="23" t="inlineStr">
        <is>
          <t>Maya Chen, Owner Project Controls</t>
        </is>
      </c>
      <c r="H1575" s="14" t="inlineStr">
        <is>
          <t>10 EVIDENCE &amp; DECISIONS</t>
        </is>
      </c>
    </row>
    <row r="1576" ht="34" customHeight="1">
      <c r="A1576" s="23" t="inlineStr">
        <is>
          <t>R938-v3</t>
        </is>
      </c>
      <c r="B1576" s="23" t="inlineStr">
        <is>
          <t>Contractor Programme</t>
        </is>
      </c>
      <c r="C1576" s="23" t="inlineStr">
        <is>
          <t>SCH-06-038</t>
        </is>
      </c>
      <c r="D1576" s="23" t="inlineStr">
        <is>
          <t>UNSURE</t>
        </is>
      </c>
      <c r="E1576" s="23" t="inlineStr">
        <is>
          <t>Carried forward</t>
        </is>
      </c>
      <c r="F1576" s="23" t="inlineStr"/>
      <c r="G1576" s="23" t="inlineStr">
        <is>
          <t>Maya Chen, Owner Project Controls</t>
        </is>
      </c>
      <c r="H1576" s="14" t="inlineStr">
        <is>
          <t>10 EVIDENCE &amp; DECISIONS</t>
        </is>
      </c>
    </row>
    <row r="1577" ht="34" customHeight="1">
      <c r="A1577" s="23" t="inlineStr">
        <is>
          <t>R939-v3</t>
        </is>
      </c>
      <c r="B1577" s="23" t="inlineStr">
        <is>
          <t>Contractor Programme</t>
        </is>
      </c>
      <c r="C1577" s="23" t="inlineStr">
        <is>
          <t>SCH-06-039</t>
        </is>
      </c>
      <c r="D1577" s="23" t="inlineStr">
        <is>
          <t>UNSURE</t>
        </is>
      </c>
      <c r="E1577" s="23" t="inlineStr">
        <is>
          <t>Carried forward</t>
        </is>
      </c>
      <c r="F1577" s="23" t="inlineStr"/>
      <c r="G1577" s="23" t="inlineStr">
        <is>
          <t>Maya Chen, Owner Project Controls</t>
        </is>
      </c>
      <c r="H1577" s="14" t="inlineStr">
        <is>
          <t>10 EVIDENCE &amp; DECISIONS</t>
        </is>
      </c>
    </row>
    <row r="1578" ht="34" customHeight="1">
      <c r="A1578" s="23" t="inlineStr">
        <is>
          <t>R940-v3</t>
        </is>
      </c>
      <c r="B1578" s="23" t="inlineStr">
        <is>
          <t>Contractor Programme</t>
        </is>
      </c>
      <c r="C1578" s="23" t="inlineStr">
        <is>
          <t>SCH-06-040</t>
        </is>
      </c>
      <c r="D1578" s="23" t="inlineStr">
        <is>
          <t>UNSURE</t>
        </is>
      </c>
      <c r="E1578" s="23" t="inlineStr">
        <is>
          <t>Carried forward</t>
        </is>
      </c>
      <c r="F1578" s="23" t="inlineStr"/>
      <c r="G1578" s="23" t="inlineStr">
        <is>
          <t>Maya Chen, Owner Project Controls</t>
        </is>
      </c>
      <c r="H1578" s="14" t="inlineStr">
        <is>
          <t>10 EVIDENCE &amp; DECISIONS</t>
        </is>
      </c>
    </row>
    <row r="1579" ht="34" customHeight="1">
      <c r="A1579" s="23" t="inlineStr">
        <is>
          <t>R941-v3</t>
        </is>
      </c>
      <c r="B1579" s="23" t="inlineStr">
        <is>
          <t>Contractor Programme</t>
        </is>
      </c>
      <c r="C1579" s="23" t="inlineStr">
        <is>
          <t>SCH-06-041</t>
        </is>
      </c>
      <c r="D1579" s="23" t="inlineStr">
        <is>
          <t>UNSURE</t>
        </is>
      </c>
      <c r="E1579" s="23" t="inlineStr">
        <is>
          <t>Carried forward</t>
        </is>
      </c>
      <c r="F1579" s="23" t="inlineStr"/>
      <c r="G1579" s="23" t="inlineStr">
        <is>
          <t>Maya Chen, Owner Project Controls</t>
        </is>
      </c>
      <c r="H1579" s="14" t="inlineStr">
        <is>
          <t>10 EVIDENCE &amp; DECISIONS</t>
        </is>
      </c>
    </row>
    <row r="1580" ht="34" customHeight="1">
      <c r="A1580" s="23" t="inlineStr">
        <is>
          <t>R942-v3</t>
        </is>
      </c>
      <c r="B1580" s="23" t="inlineStr">
        <is>
          <t>Contractor Programme</t>
        </is>
      </c>
      <c r="C1580" s="23" t="inlineStr">
        <is>
          <t>SCH-06-042</t>
        </is>
      </c>
      <c r="D1580" s="23" t="inlineStr">
        <is>
          <t>UNSURE</t>
        </is>
      </c>
      <c r="E1580" s="23" t="inlineStr">
        <is>
          <t>Carried forward</t>
        </is>
      </c>
      <c r="F1580" s="23" t="inlineStr"/>
      <c r="G1580" s="23" t="inlineStr">
        <is>
          <t>Maya Chen, Owner Project Controls</t>
        </is>
      </c>
      <c r="H1580" s="14" t="inlineStr">
        <is>
          <t>10 EVIDENCE &amp; DECISIONS</t>
        </is>
      </c>
    </row>
    <row r="1581" ht="34" customHeight="1">
      <c r="A1581" s="23" t="inlineStr">
        <is>
          <t>R943-v3</t>
        </is>
      </c>
      <c r="B1581" s="23" t="inlineStr">
        <is>
          <t>Contractor Programme</t>
        </is>
      </c>
      <c r="C1581" s="23" t="inlineStr">
        <is>
          <t>SCH-06-043</t>
        </is>
      </c>
      <c r="D1581" s="23" t="inlineStr">
        <is>
          <t>UNSURE</t>
        </is>
      </c>
      <c r="E1581" s="23" t="inlineStr">
        <is>
          <t>Carried forward</t>
        </is>
      </c>
      <c r="F1581" s="23" t="inlineStr"/>
      <c r="G1581" s="23" t="inlineStr">
        <is>
          <t>Maya Chen, Owner Project Controls</t>
        </is>
      </c>
      <c r="H1581" s="14" t="inlineStr">
        <is>
          <t>10 EVIDENCE &amp; DECISIONS</t>
        </is>
      </c>
    </row>
    <row r="1582" ht="34" customHeight="1">
      <c r="A1582" s="23" t="inlineStr">
        <is>
          <t>R944-v3</t>
        </is>
      </c>
      <c r="B1582" s="23" t="inlineStr">
        <is>
          <t>Contractor Programme</t>
        </is>
      </c>
      <c r="C1582" s="23" t="inlineStr">
        <is>
          <t>SCH-06-044</t>
        </is>
      </c>
      <c r="D1582" s="23" t="inlineStr">
        <is>
          <t>UNSURE</t>
        </is>
      </c>
      <c r="E1582" s="23" t="inlineStr">
        <is>
          <t>Carried forward</t>
        </is>
      </c>
      <c r="F1582" s="23" t="inlineStr"/>
      <c r="G1582" s="23" t="inlineStr">
        <is>
          <t>Maya Chen, Owner Project Controls</t>
        </is>
      </c>
      <c r="H1582" s="14" t="inlineStr">
        <is>
          <t>10 EVIDENCE &amp; DECISIONS</t>
        </is>
      </c>
    </row>
    <row r="1583" ht="34" customHeight="1">
      <c r="A1583" s="23" t="inlineStr">
        <is>
          <t>R945-v3</t>
        </is>
      </c>
      <c r="B1583" s="23" t="inlineStr">
        <is>
          <t>Contractor Programme</t>
        </is>
      </c>
      <c r="C1583" s="23" t="inlineStr">
        <is>
          <t>SCH-06-045</t>
        </is>
      </c>
      <c r="D1583" s="23" t="inlineStr">
        <is>
          <t>UNSURE</t>
        </is>
      </c>
      <c r="E1583" s="23" t="inlineStr">
        <is>
          <t>Carried forward</t>
        </is>
      </c>
      <c r="F1583" s="23" t="inlineStr"/>
      <c r="G1583" s="23" t="inlineStr">
        <is>
          <t>Maya Chen, Owner Project Controls</t>
        </is>
      </c>
      <c r="H1583" s="14" t="inlineStr">
        <is>
          <t>10 EVIDENCE &amp; DECISIONS</t>
        </is>
      </c>
    </row>
    <row r="1584" ht="34" customHeight="1">
      <c r="A1584" s="23" t="inlineStr">
        <is>
          <t>R946-v3</t>
        </is>
      </c>
      <c r="B1584" s="23" t="inlineStr">
        <is>
          <t>Contractor Programme</t>
        </is>
      </c>
      <c r="C1584" s="23" t="inlineStr">
        <is>
          <t>SCH-06-046</t>
        </is>
      </c>
      <c r="D1584" s="23" t="inlineStr">
        <is>
          <t>UNSURE</t>
        </is>
      </c>
      <c r="E1584" s="23" t="inlineStr">
        <is>
          <t>Carried forward</t>
        </is>
      </c>
      <c r="F1584" s="23" t="inlineStr"/>
      <c r="G1584" s="23" t="inlineStr">
        <is>
          <t>Maya Chen, Owner Project Controls</t>
        </is>
      </c>
      <c r="H1584" s="14" t="inlineStr">
        <is>
          <t>10 EVIDENCE &amp; DECISIONS</t>
        </is>
      </c>
    </row>
    <row r="1585" ht="34" customHeight="1">
      <c r="A1585" s="23" t="inlineStr">
        <is>
          <t>R947-v3</t>
        </is>
      </c>
      <c r="B1585" s="23" t="inlineStr">
        <is>
          <t>Contractor Programme</t>
        </is>
      </c>
      <c r="C1585" s="23" t="inlineStr">
        <is>
          <t>SCH-06-047</t>
        </is>
      </c>
      <c r="D1585" s="23" t="inlineStr">
        <is>
          <t>UNSURE</t>
        </is>
      </c>
      <c r="E1585" s="23" t="inlineStr">
        <is>
          <t>Carried forward</t>
        </is>
      </c>
      <c r="F1585" s="23" t="inlineStr"/>
      <c r="G1585" s="23" t="inlineStr">
        <is>
          <t>Maya Chen, Owner Project Controls</t>
        </is>
      </c>
      <c r="H1585" s="14" t="inlineStr">
        <is>
          <t>10 EVIDENCE &amp; DECISIONS</t>
        </is>
      </c>
    </row>
    <row r="1586" ht="34" customHeight="1">
      <c r="A1586" s="23" t="inlineStr">
        <is>
          <t>R948-v3</t>
        </is>
      </c>
      <c r="B1586" s="23" t="inlineStr">
        <is>
          <t>Contractor Programme</t>
        </is>
      </c>
      <c r="C1586" s="23" t="inlineStr">
        <is>
          <t>SCH-06-048</t>
        </is>
      </c>
      <c r="D1586" s="23" t="inlineStr">
        <is>
          <t>UNSURE</t>
        </is>
      </c>
      <c r="E1586" s="23" t="inlineStr">
        <is>
          <t>Carried forward</t>
        </is>
      </c>
      <c r="F1586" s="23" t="inlineStr"/>
      <c r="G1586" s="23" t="inlineStr">
        <is>
          <t>Maya Chen, Owner Project Controls</t>
        </is>
      </c>
      <c r="H1586" s="14" t="inlineStr">
        <is>
          <t>10 EVIDENCE &amp; DECISIONS</t>
        </is>
      </c>
    </row>
    <row r="1587" ht="34" customHeight="1">
      <c r="A1587" s="23" t="inlineStr">
        <is>
          <t>R949-v3</t>
        </is>
      </c>
      <c r="B1587" s="23" t="inlineStr">
        <is>
          <t>Contractor Programme</t>
        </is>
      </c>
      <c r="C1587" s="23" t="inlineStr">
        <is>
          <t>SCH-06-049</t>
        </is>
      </c>
      <c r="D1587" s="23" t="inlineStr">
        <is>
          <t>UNSURE</t>
        </is>
      </c>
      <c r="E1587" s="23" t="inlineStr">
        <is>
          <t>Carried forward</t>
        </is>
      </c>
      <c r="F1587" s="23" t="inlineStr"/>
      <c r="G1587" s="23" t="inlineStr">
        <is>
          <t>Maya Chen, Owner Project Controls</t>
        </is>
      </c>
      <c r="H1587" s="14" t="inlineStr">
        <is>
          <t>10 EVIDENCE &amp; DECISIONS</t>
        </is>
      </c>
    </row>
    <row r="1588" ht="34" customHeight="1">
      <c r="A1588" s="23" t="inlineStr">
        <is>
          <t>R950-v3</t>
        </is>
      </c>
      <c r="B1588" s="23" t="inlineStr">
        <is>
          <t>Contractor Programme</t>
        </is>
      </c>
      <c r="C1588" s="23" t="inlineStr">
        <is>
          <t>SCH-06-050</t>
        </is>
      </c>
      <c r="D1588" s="23" t="inlineStr">
        <is>
          <t>UNSURE</t>
        </is>
      </c>
      <c r="E1588" s="23" t="inlineStr">
        <is>
          <t>Carried forward</t>
        </is>
      </c>
      <c r="F1588" s="23" t="inlineStr"/>
      <c r="G1588" s="23" t="inlineStr">
        <is>
          <t>Maya Chen, Owner Project Controls</t>
        </is>
      </c>
      <c r="H1588" s="14" t="inlineStr">
        <is>
          <t>10 EVIDENCE &amp; DECISIONS</t>
        </is>
      </c>
    </row>
    <row r="1589" ht="34" customHeight="1">
      <c r="A1589" s="23" t="inlineStr">
        <is>
          <t>R951-v3</t>
        </is>
      </c>
      <c r="B1589" s="23" t="inlineStr">
        <is>
          <t>Contractor Programme</t>
        </is>
      </c>
      <c r="C1589" s="23" t="inlineStr">
        <is>
          <t>SCH-06-051</t>
        </is>
      </c>
      <c r="D1589" s="23" t="inlineStr">
        <is>
          <t>UNSURE</t>
        </is>
      </c>
      <c r="E1589" s="23" t="inlineStr">
        <is>
          <t>Carried forward</t>
        </is>
      </c>
      <c r="F1589" s="23" t="inlineStr"/>
      <c r="G1589" s="23" t="inlineStr">
        <is>
          <t>Maya Chen, Owner Project Controls</t>
        </is>
      </c>
      <c r="H1589" s="14" t="inlineStr">
        <is>
          <t>10 EVIDENCE &amp; DECISIONS</t>
        </is>
      </c>
    </row>
    <row r="1590" ht="34" customHeight="1">
      <c r="A1590" s="23" t="inlineStr">
        <is>
          <t>R952-v3</t>
        </is>
      </c>
      <c r="B1590" s="23" t="inlineStr">
        <is>
          <t>Contractor Programme</t>
        </is>
      </c>
      <c r="C1590" s="23" t="inlineStr">
        <is>
          <t>SCH-06-052</t>
        </is>
      </c>
      <c r="D1590" s="23" t="inlineStr">
        <is>
          <t>UNSURE</t>
        </is>
      </c>
      <c r="E1590" s="23" t="inlineStr">
        <is>
          <t>Carried forward</t>
        </is>
      </c>
      <c r="F1590" s="23" t="inlineStr"/>
      <c r="G1590" s="23" t="inlineStr">
        <is>
          <t>Maya Chen, Owner Project Controls</t>
        </is>
      </c>
      <c r="H1590" s="14" t="inlineStr">
        <is>
          <t>10 EVIDENCE &amp; DECISIONS</t>
        </is>
      </c>
    </row>
    <row r="1591" ht="34" customHeight="1">
      <c r="A1591" s="23" t="inlineStr">
        <is>
          <t>R953-v3</t>
        </is>
      </c>
      <c r="B1591" s="23" t="inlineStr">
        <is>
          <t>Contractor Programme</t>
        </is>
      </c>
      <c r="C1591" s="23" t="inlineStr">
        <is>
          <t>SCH-06-053</t>
        </is>
      </c>
      <c r="D1591" s="23" t="inlineStr">
        <is>
          <t>UNSURE</t>
        </is>
      </c>
      <c r="E1591" s="23" t="inlineStr">
        <is>
          <t>Carried forward</t>
        </is>
      </c>
      <c r="F1591" s="23" t="inlineStr"/>
      <c r="G1591" s="23" t="inlineStr">
        <is>
          <t>Maya Chen, Owner Project Controls</t>
        </is>
      </c>
      <c r="H1591" s="14" t="inlineStr">
        <is>
          <t>10 EVIDENCE &amp; DECISIONS</t>
        </is>
      </c>
    </row>
    <row r="1592" ht="34" customHeight="1">
      <c r="A1592" s="23" t="inlineStr">
        <is>
          <t>R954-v3</t>
        </is>
      </c>
      <c r="B1592" s="23" t="inlineStr">
        <is>
          <t>Contractor Programme</t>
        </is>
      </c>
      <c r="C1592" s="23" t="inlineStr">
        <is>
          <t>SCH-06-054</t>
        </is>
      </c>
      <c r="D1592" s="23" t="inlineStr">
        <is>
          <t>UNSURE</t>
        </is>
      </c>
      <c r="E1592" s="23" t="inlineStr">
        <is>
          <t>Carried forward</t>
        </is>
      </c>
      <c r="F1592" s="23" t="inlineStr"/>
      <c r="G1592" s="23" t="inlineStr">
        <is>
          <t>Maya Chen, Owner Project Controls</t>
        </is>
      </c>
      <c r="H1592" s="14" t="inlineStr">
        <is>
          <t>10 EVIDENCE &amp; DECISIONS</t>
        </is>
      </c>
    </row>
    <row r="1593" ht="34" customHeight="1">
      <c r="A1593" s="23" t="inlineStr">
        <is>
          <t>R955-v3</t>
        </is>
      </c>
      <c r="B1593" s="23" t="inlineStr">
        <is>
          <t>Contractor Programme</t>
        </is>
      </c>
      <c r="C1593" s="23" t="inlineStr">
        <is>
          <t>SCH-06-055</t>
        </is>
      </c>
      <c r="D1593" s="23" t="inlineStr">
        <is>
          <t>UNSURE</t>
        </is>
      </c>
      <c r="E1593" s="23" t="inlineStr">
        <is>
          <t>Carried forward</t>
        </is>
      </c>
      <c r="F1593" s="23" t="inlineStr"/>
      <c r="G1593" s="23" t="inlineStr">
        <is>
          <t>Maya Chen, Owner Project Controls</t>
        </is>
      </c>
      <c r="H1593" s="14" t="inlineStr">
        <is>
          <t>10 EVIDENCE &amp; DECISIONS</t>
        </is>
      </c>
    </row>
    <row r="1594" ht="34" customHeight="1">
      <c r="A1594" s="23" t="inlineStr">
        <is>
          <t>R956-v3</t>
        </is>
      </c>
      <c r="B1594" s="23" t="inlineStr">
        <is>
          <t>Contractor Programme</t>
        </is>
      </c>
      <c r="C1594" s="23" t="inlineStr">
        <is>
          <t>SCH-06-056</t>
        </is>
      </c>
      <c r="D1594" s="23" t="inlineStr">
        <is>
          <t>UNSURE</t>
        </is>
      </c>
      <c r="E1594" s="23" t="inlineStr">
        <is>
          <t>Carried forward</t>
        </is>
      </c>
      <c r="F1594" s="23" t="inlineStr"/>
      <c r="G1594" s="23" t="inlineStr">
        <is>
          <t>Maya Chen, Owner Project Controls</t>
        </is>
      </c>
      <c r="H1594" s="14" t="inlineStr">
        <is>
          <t>10 EVIDENCE &amp; DECISIONS</t>
        </is>
      </c>
    </row>
    <row r="1595" ht="34" customHeight="1">
      <c r="A1595" s="23" t="inlineStr">
        <is>
          <t>R957-v3</t>
        </is>
      </c>
      <c r="B1595" s="23" t="inlineStr">
        <is>
          <t>Contractor Programme</t>
        </is>
      </c>
      <c r="C1595" s="23" t="inlineStr">
        <is>
          <t>SCH-06-057</t>
        </is>
      </c>
      <c r="D1595" s="23" t="inlineStr">
        <is>
          <t>UNSURE</t>
        </is>
      </c>
      <c r="E1595" s="23" t="inlineStr">
        <is>
          <t>Carried forward</t>
        </is>
      </c>
      <c r="F1595" s="23" t="inlineStr"/>
      <c r="G1595" s="23" t="inlineStr">
        <is>
          <t>Maya Chen, Owner Project Controls</t>
        </is>
      </c>
      <c r="H1595" s="14" t="inlineStr">
        <is>
          <t>10 EVIDENCE &amp; DECISIONS</t>
        </is>
      </c>
    </row>
    <row r="1596" ht="34" customHeight="1">
      <c r="A1596" s="23" t="inlineStr">
        <is>
          <t>R958-v3</t>
        </is>
      </c>
      <c r="B1596" s="23" t="inlineStr">
        <is>
          <t>Contractor Programme</t>
        </is>
      </c>
      <c r="C1596" s="23" t="inlineStr">
        <is>
          <t>SCH-06-058</t>
        </is>
      </c>
      <c r="D1596" s="23" t="inlineStr">
        <is>
          <t>UNSURE</t>
        </is>
      </c>
      <c r="E1596" s="23" t="inlineStr">
        <is>
          <t>Carried forward</t>
        </is>
      </c>
      <c r="F1596" s="23" t="inlineStr"/>
      <c r="G1596" s="23" t="inlineStr">
        <is>
          <t>Maya Chen, Owner Project Controls</t>
        </is>
      </c>
      <c r="H1596" s="14" t="inlineStr">
        <is>
          <t>10 EVIDENCE &amp; DECISIONS</t>
        </is>
      </c>
    </row>
    <row r="1597" ht="34" customHeight="1">
      <c r="A1597" s="23" t="inlineStr">
        <is>
          <t>R959-v3</t>
        </is>
      </c>
      <c r="B1597" s="23" t="inlineStr">
        <is>
          <t>Contractor Programme</t>
        </is>
      </c>
      <c r="C1597" s="23" t="inlineStr">
        <is>
          <t>SCH-06-059</t>
        </is>
      </c>
      <c r="D1597" s="23" t="inlineStr">
        <is>
          <t>UNSURE</t>
        </is>
      </c>
      <c r="E1597" s="23" t="inlineStr">
        <is>
          <t>Carried forward</t>
        </is>
      </c>
      <c r="F1597" s="23" t="inlineStr"/>
      <c r="G1597" s="23" t="inlineStr">
        <is>
          <t>Maya Chen, Owner Project Controls</t>
        </is>
      </c>
      <c r="H1597" s="14" t="inlineStr">
        <is>
          <t>10 EVIDENCE &amp; DECISIONS</t>
        </is>
      </c>
    </row>
    <row r="1598" ht="34" customHeight="1">
      <c r="A1598" s="23" t="inlineStr">
        <is>
          <t>R960-v3</t>
        </is>
      </c>
      <c r="B1598" s="23" t="inlineStr">
        <is>
          <t>Contractor Programme</t>
        </is>
      </c>
      <c r="C1598" s="23" t="inlineStr">
        <is>
          <t>SCH-06-060</t>
        </is>
      </c>
      <c r="D1598" s="23" t="inlineStr">
        <is>
          <t>UNSURE</t>
        </is>
      </c>
      <c r="E1598" s="23" t="inlineStr">
        <is>
          <t>Carried forward</t>
        </is>
      </c>
      <c r="F1598" s="23" t="inlineStr"/>
      <c r="G1598" s="23" t="inlineStr">
        <is>
          <t>Maya Chen, Owner Project Controls</t>
        </is>
      </c>
      <c r="H1598" s="14" t="inlineStr">
        <is>
          <t>10 EVIDENCE &amp; DECISIONS</t>
        </is>
      </c>
    </row>
    <row r="1599" ht="34" customHeight="1">
      <c r="A1599" s="23" t="inlineStr">
        <is>
          <t>R961-v3</t>
        </is>
      </c>
      <c r="B1599" s="23" t="inlineStr">
        <is>
          <t>Contractor Programme</t>
        </is>
      </c>
      <c r="C1599" s="23" t="inlineStr">
        <is>
          <t>SCH-06-061</t>
        </is>
      </c>
      <c r="D1599" s="23" t="inlineStr">
        <is>
          <t>UNSURE</t>
        </is>
      </c>
      <c r="E1599" s="23" t="inlineStr">
        <is>
          <t>Carried forward</t>
        </is>
      </c>
      <c r="F1599" s="23" t="inlineStr"/>
      <c r="G1599" s="23" t="inlineStr">
        <is>
          <t>Maya Chen, Owner Project Controls</t>
        </is>
      </c>
      <c r="H1599" s="14" t="inlineStr">
        <is>
          <t>10 EVIDENCE &amp; DECISIONS</t>
        </is>
      </c>
    </row>
    <row r="1600" ht="34" customHeight="1">
      <c r="A1600" s="23" t="inlineStr">
        <is>
          <t>R962-v3</t>
        </is>
      </c>
      <c r="B1600" s="23" t="inlineStr">
        <is>
          <t>Contractor Programme</t>
        </is>
      </c>
      <c r="C1600" s="23" t="inlineStr">
        <is>
          <t>SCH-06-062</t>
        </is>
      </c>
      <c r="D1600" s="23" t="inlineStr">
        <is>
          <t>UNSURE</t>
        </is>
      </c>
      <c r="E1600" s="23" t="inlineStr">
        <is>
          <t>Carried forward</t>
        </is>
      </c>
      <c r="F1600" s="23" t="inlineStr"/>
      <c r="G1600" s="23" t="inlineStr">
        <is>
          <t>Maya Chen, Owner Project Controls</t>
        </is>
      </c>
      <c r="H1600" s="14" t="inlineStr">
        <is>
          <t>10 EVIDENCE &amp; DECISIONS</t>
        </is>
      </c>
    </row>
    <row r="1601" ht="34" customHeight="1">
      <c r="A1601" s="23" t="inlineStr">
        <is>
          <t>R963-v3</t>
        </is>
      </c>
      <c r="B1601" s="23" t="inlineStr">
        <is>
          <t>Contractor Programme</t>
        </is>
      </c>
      <c r="C1601" s="23" t="inlineStr">
        <is>
          <t>SCH-06-063</t>
        </is>
      </c>
      <c r="D1601" s="23" t="inlineStr">
        <is>
          <t>UNSURE</t>
        </is>
      </c>
      <c r="E1601" s="23" t="inlineStr">
        <is>
          <t>Carried forward</t>
        </is>
      </c>
      <c r="F1601" s="23" t="inlineStr"/>
      <c r="G1601" s="23" t="inlineStr">
        <is>
          <t>Maya Chen, Owner Project Controls</t>
        </is>
      </c>
      <c r="H1601" s="14" t="inlineStr">
        <is>
          <t>10 EVIDENCE &amp; DECISIONS</t>
        </is>
      </c>
    </row>
    <row r="1602" ht="34" customHeight="1">
      <c r="A1602" s="23" t="inlineStr">
        <is>
          <t>R964-v3</t>
        </is>
      </c>
      <c r="B1602" s="23" t="inlineStr">
        <is>
          <t>Contractor Programme</t>
        </is>
      </c>
      <c r="C1602" s="23" t="inlineStr">
        <is>
          <t>SCH-06-064</t>
        </is>
      </c>
      <c r="D1602" s="23" t="inlineStr">
        <is>
          <t>UNSURE</t>
        </is>
      </c>
      <c r="E1602" s="23" t="inlineStr">
        <is>
          <t>Carried forward</t>
        </is>
      </c>
      <c r="F1602" s="23" t="inlineStr"/>
      <c r="G1602" s="23" t="inlineStr">
        <is>
          <t>Maya Chen, Owner Project Controls</t>
        </is>
      </c>
      <c r="H1602" s="14" t="inlineStr">
        <is>
          <t>10 EVIDENCE &amp; DECISIONS</t>
        </is>
      </c>
    </row>
    <row r="1603" ht="34" customHeight="1">
      <c r="A1603" s="23" t="inlineStr">
        <is>
          <t>R965-v3</t>
        </is>
      </c>
      <c r="B1603" s="23" t="inlineStr">
        <is>
          <t>Contractor Programme</t>
        </is>
      </c>
      <c r="C1603" s="23" t="inlineStr">
        <is>
          <t>SCH-06-065</t>
        </is>
      </c>
      <c r="D1603" s="23" t="inlineStr">
        <is>
          <t>UNSURE</t>
        </is>
      </c>
      <c r="E1603" s="23" t="inlineStr">
        <is>
          <t>Carried forward</t>
        </is>
      </c>
      <c r="F1603" s="23" t="inlineStr"/>
      <c r="G1603" s="23" t="inlineStr">
        <is>
          <t>Maya Chen, Owner Project Controls</t>
        </is>
      </c>
      <c r="H1603" s="14" t="inlineStr">
        <is>
          <t>10 EVIDENCE &amp; DECISIONS</t>
        </is>
      </c>
    </row>
    <row r="1604" ht="34" customHeight="1">
      <c r="A1604" s="23" t="inlineStr">
        <is>
          <t>R966-v3</t>
        </is>
      </c>
      <c r="B1604" s="23" t="inlineStr">
        <is>
          <t>Contractor Programme</t>
        </is>
      </c>
      <c r="C1604" s="23" t="inlineStr">
        <is>
          <t>SCH-06-066</t>
        </is>
      </c>
      <c r="D1604" s="23" t="inlineStr">
        <is>
          <t>UNSURE</t>
        </is>
      </c>
      <c r="E1604" s="23" t="inlineStr">
        <is>
          <t>Carried forward</t>
        </is>
      </c>
      <c r="F1604" s="23" t="inlineStr"/>
      <c r="G1604" s="23" t="inlineStr">
        <is>
          <t>Maya Chen, Owner Project Controls</t>
        </is>
      </c>
      <c r="H1604" s="14" t="inlineStr">
        <is>
          <t>10 EVIDENCE &amp; DECISIONS</t>
        </is>
      </c>
    </row>
    <row r="1605" ht="34" customHeight="1">
      <c r="A1605" s="23" t="inlineStr">
        <is>
          <t>R967-v3</t>
        </is>
      </c>
      <c r="B1605" s="23" t="inlineStr">
        <is>
          <t>Contractor Programme</t>
        </is>
      </c>
      <c r="C1605" s="23" t="inlineStr">
        <is>
          <t>SCH-06-067</t>
        </is>
      </c>
      <c r="D1605" s="23" t="inlineStr">
        <is>
          <t>UNSURE</t>
        </is>
      </c>
      <c r="E1605" s="23" t="inlineStr">
        <is>
          <t>Carried forward</t>
        </is>
      </c>
      <c r="F1605" s="23" t="inlineStr"/>
      <c r="G1605" s="23" t="inlineStr">
        <is>
          <t>Maya Chen, Owner Project Controls</t>
        </is>
      </c>
      <c r="H1605" s="14" t="inlineStr">
        <is>
          <t>10 EVIDENCE &amp; DECISIONS</t>
        </is>
      </c>
    </row>
    <row r="1606" ht="34" customHeight="1">
      <c r="A1606" s="23" t="inlineStr">
        <is>
          <t>R968-v3</t>
        </is>
      </c>
      <c r="B1606" s="23" t="inlineStr">
        <is>
          <t>Contractor Programme</t>
        </is>
      </c>
      <c r="C1606" s="23" t="inlineStr">
        <is>
          <t>SCH-06-068</t>
        </is>
      </c>
      <c r="D1606" s="23" t="inlineStr">
        <is>
          <t>UNSURE</t>
        </is>
      </c>
      <c r="E1606" s="23" t="inlineStr">
        <is>
          <t>Carried forward</t>
        </is>
      </c>
      <c r="F1606" s="23" t="inlineStr"/>
      <c r="G1606" s="23" t="inlineStr">
        <is>
          <t>Maya Chen, Owner Project Controls</t>
        </is>
      </c>
      <c r="H1606" s="14" t="inlineStr">
        <is>
          <t>10 EVIDENCE &amp; DECISIONS</t>
        </is>
      </c>
    </row>
    <row r="1607" ht="34" customHeight="1">
      <c r="A1607" s="23" t="inlineStr">
        <is>
          <t>R969-v3</t>
        </is>
      </c>
      <c r="B1607" s="23" t="inlineStr">
        <is>
          <t>Contractor Programme</t>
        </is>
      </c>
      <c r="C1607" s="23" t="inlineStr">
        <is>
          <t>SCH-06-069</t>
        </is>
      </c>
      <c r="D1607" s="23" t="inlineStr">
        <is>
          <t>UNSURE</t>
        </is>
      </c>
      <c r="E1607" s="23" t="inlineStr">
        <is>
          <t>Carried forward</t>
        </is>
      </c>
      <c r="F1607" s="23" t="inlineStr"/>
      <c r="G1607" s="23" t="inlineStr">
        <is>
          <t>Maya Chen, Owner Project Controls</t>
        </is>
      </c>
      <c r="H1607" s="14" t="inlineStr">
        <is>
          <t>10 EVIDENCE &amp; DECISIONS</t>
        </is>
      </c>
    </row>
    <row r="1608" ht="34" customHeight="1">
      <c r="A1608" s="23" t="inlineStr">
        <is>
          <t>R970-v3</t>
        </is>
      </c>
      <c r="B1608" s="23" t="inlineStr">
        <is>
          <t>Contractor Programme</t>
        </is>
      </c>
      <c r="C1608" s="23" t="inlineStr">
        <is>
          <t>SCH-06-070</t>
        </is>
      </c>
      <c r="D1608" s="23" t="inlineStr">
        <is>
          <t>UNSURE</t>
        </is>
      </c>
      <c r="E1608" s="23" t="inlineStr">
        <is>
          <t>Carried forward</t>
        </is>
      </c>
      <c r="F1608" s="23" t="inlineStr"/>
      <c r="G1608" s="23" t="inlineStr">
        <is>
          <t>Maya Chen, Owner Project Controls</t>
        </is>
      </c>
      <c r="H1608" s="14" t="inlineStr">
        <is>
          <t>10 EVIDENCE &amp; DECISIONS</t>
        </is>
      </c>
    </row>
    <row r="1609" ht="34" customHeight="1">
      <c r="A1609" s="23" t="inlineStr">
        <is>
          <t>R971-v3</t>
        </is>
      </c>
      <c r="B1609" s="23" t="inlineStr">
        <is>
          <t>Contractor Programme</t>
        </is>
      </c>
      <c r="C1609" s="23" t="inlineStr">
        <is>
          <t>SCH-06-071</t>
        </is>
      </c>
      <c r="D1609" s="23" t="inlineStr">
        <is>
          <t>UNSURE</t>
        </is>
      </c>
      <c r="E1609" s="23" t="inlineStr">
        <is>
          <t>Carried forward</t>
        </is>
      </c>
      <c r="F1609" s="23" t="inlineStr"/>
      <c r="G1609" s="23" t="inlineStr">
        <is>
          <t>Maya Chen, Owner Project Controls</t>
        </is>
      </c>
      <c r="H1609" s="14" t="inlineStr">
        <is>
          <t>10 EVIDENCE &amp; DECISIONS</t>
        </is>
      </c>
    </row>
    <row r="1610" ht="34" customHeight="1">
      <c r="A1610" s="23" t="inlineStr">
        <is>
          <t>R972-v3</t>
        </is>
      </c>
      <c r="B1610" s="23" t="inlineStr">
        <is>
          <t>Contractor Programme</t>
        </is>
      </c>
      <c r="C1610" s="23" t="inlineStr">
        <is>
          <t>SCH-06-072</t>
        </is>
      </c>
      <c r="D1610" s="23" t="inlineStr">
        <is>
          <t>UNSURE</t>
        </is>
      </c>
      <c r="E1610" s="23" t="inlineStr">
        <is>
          <t>Carried forward</t>
        </is>
      </c>
      <c r="F1610" s="23" t="inlineStr"/>
      <c r="G1610" s="23" t="inlineStr">
        <is>
          <t>Maya Chen, Owner Project Controls</t>
        </is>
      </c>
      <c r="H1610" s="14" t="inlineStr">
        <is>
          <t>10 EVIDENCE &amp; DECISIONS</t>
        </is>
      </c>
    </row>
    <row r="1611" ht="34" customHeight="1">
      <c r="A1611" s="23" t="inlineStr">
        <is>
          <t>R973-v3</t>
        </is>
      </c>
      <c r="B1611" s="23" t="inlineStr">
        <is>
          <t>Contractor Programme</t>
        </is>
      </c>
      <c r="C1611" s="23" t="inlineStr">
        <is>
          <t>SCH-06-073</t>
        </is>
      </c>
      <c r="D1611" s="23" t="inlineStr">
        <is>
          <t>UNSURE</t>
        </is>
      </c>
      <c r="E1611" s="23" t="inlineStr">
        <is>
          <t>Carried forward</t>
        </is>
      </c>
      <c r="F1611" s="23" t="inlineStr"/>
      <c r="G1611" s="23" t="inlineStr">
        <is>
          <t>Maya Chen, Owner Project Controls</t>
        </is>
      </c>
      <c r="H1611" s="14" t="inlineStr">
        <is>
          <t>10 EVIDENCE &amp; DECISIONS</t>
        </is>
      </c>
    </row>
    <row r="1612" ht="34" customHeight="1">
      <c r="A1612" s="23" t="inlineStr">
        <is>
          <t>R974-v3</t>
        </is>
      </c>
      <c r="B1612" s="23" t="inlineStr">
        <is>
          <t>Contractor Programme</t>
        </is>
      </c>
      <c r="C1612" s="23" t="inlineStr">
        <is>
          <t>SCH-06-074</t>
        </is>
      </c>
      <c r="D1612" s="23" t="inlineStr">
        <is>
          <t>UNSURE</t>
        </is>
      </c>
      <c r="E1612" s="23" t="inlineStr">
        <is>
          <t>Carried forward</t>
        </is>
      </c>
      <c r="F1612" s="23" t="inlineStr"/>
      <c r="G1612" s="23" t="inlineStr">
        <is>
          <t>Maya Chen, Owner Project Controls</t>
        </is>
      </c>
      <c r="H1612" s="14" t="inlineStr">
        <is>
          <t>10 EVIDENCE &amp; DECISIONS</t>
        </is>
      </c>
    </row>
    <row r="1613" ht="34" customHeight="1">
      <c r="A1613" s="23" t="inlineStr">
        <is>
          <t>R975-v3</t>
        </is>
      </c>
      <c r="B1613" s="23" t="inlineStr">
        <is>
          <t>Contractor Programme</t>
        </is>
      </c>
      <c r="C1613" s="23" t="inlineStr">
        <is>
          <t>SCH-06-075</t>
        </is>
      </c>
      <c r="D1613" s="23" t="inlineStr">
        <is>
          <t>UNSURE</t>
        </is>
      </c>
      <c r="E1613" s="23" t="inlineStr">
        <is>
          <t>Carried forward</t>
        </is>
      </c>
      <c r="F1613" s="23" t="inlineStr"/>
      <c r="G1613" s="23" t="inlineStr">
        <is>
          <t>Maya Chen, Owner Project Controls</t>
        </is>
      </c>
      <c r="H1613" s="14" t="inlineStr">
        <is>
          <t>10 EVIDENCE &amp; DECISIONS</t>
        </is>
      </c>
    </row>
    <row r="1614" ht="34" customHeight="1">
      <c r="A1614" s="23" t="inlineStr">
        <is>
          <t>R976-v3</t>
        </is>
      </c>
      <c r="B1614" s="23" t="inlineStr">
        <is>
          <t>Contractor Programme</t>
        </is>
      </c>
      <c r="C1614" s="23" t="inlineStr">
        <is>
          <t>SCH-06-076</t>
        </is>
      </c>
      <c r="D1614" s="23" t="inlineStr">
        <is>
          <t>UNSURE</t>
        </is>
      </c>
      <c r="E1614" s="23" t="inlineStr">
        <is>
          <t>Carried forward</t>
        </is>
      </c>
      <c r="F1614" s="23" t="inlineStr"/>
      <c r="G1614" s="23" t="inlineStr">
        <is>
          <t>Maya Chen, Owner Project Controls</t>
        </is>
      </c>
      <c r="H1614" s="14" t="inlineStr">
        <is>
          <t>10 EVIDENCE &amp; DECISIONS</t>
        </is>
      </c>
    </row>
    <row r="1615" ht="34" customHeight="1">
      <c r="A1615" s="23" t="inlineStr">
        <is>
          <t>R977-v3</t>
        </is>
      </c>
      <c r="B1615" s="23" t="inlineStr">
        <is>
          <t>Contractor Programme</t>
        </is>
      </c>
      <c r="C1615" s="23" t="inlineStr">
        <is>
          <t>SCH-06-077</t>
        </is>
      </c>
      <c r="D1615" s="23" t="inlineStr">
        <is>
          <t>UNSURE</t>
        </is>
      </c>
      <c r="E1615" s="23" t="inlineStr">
        <is>
          <t>Carried forward</t>
        </is>
      </c>
      <c r="F1615" s="23" t="inlineStr"/>
      <c r="G1615" s="23" t="inlineStr">
        <is>
          <t>Maya Chen, Owner Project Controls</t>
        </is>
      </c>
      <c r="H1615" s="14" t="inlineStr">
        <is>
          <t>10 EVIDENCE &amp; DECISIONS</t>
        </is>
      </c>
    </row>
    <row r="1616" ht="34" customHeight="1">
      <c r="A1616" s="23" t="inlineStr">
        <is>
          <t>R978-v3</t>
        </is>
      </c>
      <c r="B1616" s="23" t="inlineStr">
        <is>
          <t>Contractor Programme</t>
        </is>
      </c>
      <c r="C1616" s="23" t="inlineStr">
        <is>
          <t>SCH-06-078</t>
        </is>
      </c>
      <c r="D1616" s="23" t="inlineStr">
        <is>
          <t>UNSURE</t>
        </is>
      </c>
      <c r="E1616" s="23" t="inlineStr">
        <is>
          <t>Carried forward</t>
        </is>
      </c>
      <c r="F1616" s="23" t="inlineStr"/>
      <c r="G1616" s="23" t="inlineStr">
        <is>
          <t>Maya Chen, Owner Project Controls</t>
        </is>
      </c>
      <c r="H1616" s="14" t="inlineStr">
        <is>
          <t>10 EVIDENCE &amp; DECISIONS</t>
        </is>
      </c>
    </row>
    <row r="1617" ht="34" customHeight="1">
      <c r="A1617" s="23" t="inlineStr">
        <is>
          <t>R979-v3</t>
        </is>
      </c>
      <c r="B1617" s="23" t="inlineStr">
        <is>
          <t>Contractor Programme</t>
        </is>
      </c>
      <c r="C1617" s="23" t="inlineStr">
        <is>
          <t>SCH-06-079</t>
        </is>
      </c>
      <c r="D1617" s="23" t="inlineStr">
        <is>
          <t>UNSURE</t>
        </is>
      </c>
      <c r="E1617" s="23" t="inlineStr">
        <is>
          <t>Carried forward</t>
        </is>
      </c>
      <c r="F1617" s="23" t="inlineStr"/>
      <c r="G1617" s="23" t="inlineStr">
        <is>
          <t>Maya Chen, Owner Project Controls</t>
        </is>
      </c>
      <c r="H1617" s="14" t="inlineStr">
        <is>
          <t>10 EVIDENCE &amp; DECISIONS</t>
        </is>
      </c>
    </row>
    <row r="1618" ht="34" customHeight="1">
      <c r="A1618" s="23" t="inlineStr">
        <is>
          <t>R980-v3</t>
        </is>
      </c>
      <c r="B1618" s="23" t="inlineStr">
        <is>
          <t>Contractor Programme</t>
        </is>
      </c>
      <c r="C1618" s="23" t="inlineStr">
        <is>
          <t>SCH-06-080</t>
        </is>
      </c>
      <c r="D1618" s="23" t="inlineStr">
        <is>
          <t>UNSURE</t>
        </is>
      </c>
      <c r="E1618" s="23" t="inlineStr">
        <is>
          <t>Carried forward</t>
        </is>
      </c>
      <c r="F1618" s="23" t="inlineStr"/>
      <c r="G1618" s="23" t="inlineStr">
        <is>
          <t>Maya Chen, Owner Project Controls</t>
        </is>
      </c>
      <c r="H1618" s="14" t="inlineStr">
        <is>
          <t>10 EVIDENCE &amp; DECISIONS</t>
        </is>
      </c>
    </row>
    <row r="1619" ht="34" customHeight="1">
      <c r="A1619" s="23" t="inlineStr">
        <is>
          <t>R981-v3</t>
        </is>
      </c>
      <c r="B1619" s="23" t="inlineStr">
        <is>
          <t>Contractor Programme</t>
        </is>
      </c>
      <c r="C1619" s="23" t="inlineStr">
        <is>
          <t>SCH-06-081</t>
        </is>
      </c>
      <c r="D1619" s="23" t="inlineStr">
        <is>
          <t>UNSURE</t>
        </is>
      </c>
      <c r="E1619" s="23" t="inlineStr">
        <is>
          <t>Carried forward</t>
        </is>
      </c>
      <c r="F1619" s="23" t="inlineStr"/>
      <c r="G1619" s="23" t="inlineStr">
        <is>
          <t>Maya Chen, Owner Project Controls</t>
        </is>
      </c>
      <c r="H1619" s="14" t="inlineStr">
        <is>
          <t>10 EVIDENCE &amp; DECISIONS</t>
        </is>
      </c>
    </row>
    <row r="1620" ht="34" customHeight="1">
      <c r="A1620" s="23" t="inlineStr">
        <is>
          <t>R982-v3</t>
        </is>
      </c>
      <c r="B1620" s="23" t="inlineStr">
        <is>
          <t>Contractor Programme</t>
        </is>
      </c>
      <c r="C1620" s="23" t="inlineStr">
        <is>
          <t>SCH-06-082</t>
        </is>
      </c>
      <c r="D1620" s="23" t="inlineStr">
        <is>
          <t>UNSURE</t>
        </is>
      </c>
      <c r="E1620" s="23" t="inlineStr">
        <is>
          <t>Carried forward</t>
        </is>
      </c>
      <c r="F1620" s="23" t="inlineStr"/>
      <c r="G1620" s="23" t="inlineStr">
        <is>
          <t>Maya Chen, Owner Project Controls</t>
        </is>
      </c>
      <c r="H1620" s="14" t="inlineStr">
        <is>
          <t>10 EVIDENCE &amp; DECISIONS</t>
        </is>
      </c>
    </row>
    <row r="1621" ht="34" customHeight="1">
      <c r="A1621" s="23" t="inlineStr">
        <is>
          <t>R983-v3</t>
        </is>
      </c>
      <c r="B1621" s="23" t="inlineStr">
        <is>
          <t>Contractor Programme</t>
        </is>
      </c>
      <c r="C1621" s="23" t="inlineStr">
        <is>
          <t>SCH-06-083</t>
        </is>
      </c>
      <c r="D1621" s="23" t="inlineStr">
        <is>
          <t>UNSURE</t>
        </is>
      </c>
      <c r="E1621" s="23" t="inlineStr">
        <is>
          <t>Carried forward</t>
        </is>
      </c>
      <c r="F1621" s="23" t="inlineStr"/>
      <c r="G1621" s="23" t="inlineStr">
        <is>
          <t>Maya Chen, Owner Project Controls</t>
        </is>
      </c>
      <c r="H1621" s="14" t="inlineStr">
        <is>
          <t>10 EVIDENCE &amp; DECISIONS</t>
        </is>
      </c>
    </row>
    <row r="1622" ht="34" customHeight="1">
      <c r="A1622" s="23" t="inlineStr">
        <is>
          <t>R984-v3</t>
        </is>
      </c>
      <c r="B1622" s="23" t="inlineStr">
        <is>
          <t>Contractor Programme</t>
        </is>
      </c>
      <c r="C1622" s="23" t="inlineStr">
        <is>
          <t>SCH-06-084</t>
        </is>
      </c>
      <c r="D1622" s="23" t="inlineStr">
        <is>
          <t>UNSURE</t>
        </is>
      </c>
      <c r="E1622" s="23" t="inlineStr">
        <is>
          <t>Carried forward</t>
        </is>
      </c>
      <c r="F1622" s="23" t="inlineStr"/>
      <c r="G1622" s="23" t="inlineStr">
        <is>
          <t>Maya Chen, Owner Project Controls</t>
        </is>
      </c>
      <c r="H1622" s="14" t="inlineStr">
        <is>
          <t>10 EVIDENCE &amp; DECISIONS</t>
        </is>
      </c>
    </row>
    <row r="1623" ht="34" customHeight="1">
      <c r="A1623" s="23" t="inlineStr">
        <is>
          <t>R985-v3</t>
        </is>
      </c>
      <c r="B1623" s="23" t="inlineStr">
        <is>
          <t>Contractor Programme</t>
        </is>
      </c>
      <c r="C1623" s="23" t="inlineStr">
        <is>
          <t>SCH-06-085</t>
        </is>
      </c>
      <c r="D1623" s="23" t="inlineStr">
        <is>
          <t>UNSURE</t>
        </is>
      </c>
      <c r="E1623" s="23" t="inlineStr">
        <is>
          <t>Carried forward</t>
        </is>
      </c>
      <c r="F1623" s="23" t="inlineStr"/>
      <c r="G1623" s="23" t="inlineStr">
        <is>
          <t>Maya Chen, Owner Project Controls</t>
        </is>
      </c>
      <c r="H1623" s="14" t="inlineStr">
        <is>
          <t>10 EVIDENCE &amp; DECISIONS</t>
        </is>
      </c>
    </row>
    <row r="1624" ht="34" customHeight="1">
      <c r="A1624" s="23" t="inlineStr">
        <is>
          <t>R986-v3</t>
        </is>
      </c>
      <c r="B1624" s="23" t="inlineStr">
        <is>
          <t>Contractor Programme</t>
        </is>
      </c>
      <c r="C1624" s="23" t="inlineStr">
        <is>
          <t>SCH-06-086</t>
        </is>
      </c>
      <c r="D1624" s="23" t="inlineStr">
        <is>
          <t>UNSURE</t>
        </is>
      </c>
      <c r="E1624" s="23" t="inlineStr">
        <is>
          <t>Carried forward</t>
        </is>
      </c>
      <c r="F1624" s="23" t="inlineStr"/>
      <c r="G1624" s="23" t="inlineStr">
        <is>
          <t>Maya Chen, Owner Project Controls</t>
        </is>
      </c>
      <c r="H1624" s="14" t="inlineStr">
        <is>
          <t>10 EVIDENCE &amp; DECISIONS</t>
        </is>
      </c>
    </row>
    <row r="1625" ht="34" customHeight="1">
      <c r="A1625" s="23" t="inlineStr">
        <is>
          <t>R987-v3</t>
        </is>
      </c>
      <c r="B1625" s="23" t="inlineStr">
        <is>
          <t>Contractor Programme</t>
        </is>
      </c>
      <c r="C1625" s="23" t="inlineStr">
        <is>
          <t>SCH-06-087</t>
        </is>
      </c>
      <c r="D1625" s="23" t="inlineStr">
        <is>
          <t>UNSURE</t>
        </is>
      </c>
      <c r="E1625" s="23" t="inlineStr">
        <is>
          <t>Carried forward</t>
        </is>
      </c>
      <c r="F1625" s="23" t="inlineStr"/>
      <c r="G1625" s="23" t="inlineStr">
        <is>
          <t>Maya Chen, Owner Project Controls</t>
        </is>
      </c>
      <c r="H1625" s="14" t="inlineStr">
        <is>
          <t>10 EVIDENCE &amp; DECISIONS</t>
        </is>
      </c>
    </row>
    <row r="1626" ht="34" customHeight="1">
      <c r="A1626" s="23" t="inlineStr">
        <is>
          <t>R988-v3</t>
        </is>
      </c>
      <c r="B1626" s="23" t="inlineStr">
        <is>
          <t>Contractor Programme</t>
        </is>
      </c>
      <c r="C1626" s="23" t="inlineStr">
        <is>
          <t>SCH-06-088</t>
        </is>
      </c>
      <c r="D1626" s="23" t="inlineStr">
        <is>
          <t>UNSURE</t>
        </is>
      </c>
      <c r="E1626" s="23" t="inlineStr">
        <is>
          <t>Carried forward</t>
        </is>
      </c>
      <c r="F1626" s="23" t="inlineStr"/>
      <c r="G1626" s="23" t="inlineStr">
        <is>
          <t>Maya Chen, Owner Project Controls</t>
        </is>
      </c>
      <c r="H1626" s="14" t="inlineStr">
        <is>
          <t>10 EVIDENCE &amp; DECISIONS</t>
        </is>
      </c>
    </row>
    <row r="1627" ht="34" customHeight="1">
      <c r="A1627" s="23" t="inlineStr">
        <is>
          <t>R989-v3</t>
        </is>
      </c>
      <c r="B1627" s="23" t="inlineStr">
        <is>
          <t>Contractor Programme</t>
        </is>
      </c>
      <c r="C1627" s="23" t="inlineStr">
        <is>
          <t>SCH-06-089</t>
        </is>
      </c>
      <c r="D1627" s="23" t="inlineStr">
        <is>
          <t>UNSURE</t>
        </is>
      </c>
      <c r="E1627" s="23" t="inlineStr">
        <is>
          <t>Carried forward</t>
        </is>
      </c>
      <c r="F1627" s="23" t="inlineStr"/>
      <c r="G1627" s="23" t="inlineStr">
        <is>
          <t>Maya Chen, Owner Project Controls</t>
        </is>
      </c>
      <c r="H1627" s="14" t="inlineStr">
        <is>
          <t>10 EVIDENCE &amp; DECISIONS</t>
        </is>
      </c>
    </row>
    <row r="1628" ht="34" customHeight="1">
      <c r="A1628" s="23" t="inlineStr">
        <is>
          <t>R990-v3</t>
        </is>
      </c>
      <c r="B1628" s="23" t="inlineStr">
        <is>
          <t>Contractor Programme</t>
        </is>
      </c>
      <c r="C1628" s="23" t="inlineStr">
        <is>
          <t>SCH-06-090</t>
        </is>
      </c>
      <c r="D1628" s="23" t="inlineStr">
        <is>
          <t>UNSURE</t>
        </is>
      </c>
      <c r="E1628" s="23" t="inlineStr">
        <is>
          <t>Carried forward</t>
        </is>
      </c>
      <c r="F1628" s="23" t="inlineStr"/>
      <c r="G1628" s="23" t="inlineStr">
        <is>
          <t>Maya Chen, Owner Project Controls</t>
        </is>
      </c>
      <c r="H1628" s="14" t="inlineStr">
        <is>
          <t>10 EVIDENCE &amp; DECISIONS</t>
        </is>
      </c>
    </row>
    <row r="1629" ht="34" customHeight="1">
      <c r="A1629" s="23" t="inlineStr">
        <is>
          <t>R991-v3</t>
        </is>
      </c>
      <c r="B1629" s="23" t="inlineStr">
        <is>
          <t>Contractor Programme</t>
        </is>
      </c>
      <c r="C1629" s="23" t="inlineStr">
        <is>
          <t>SCH-06-091</t>
        </is>
      </c>
      <c r="D1629" s="23" t="inlineStr">
        <is>
          <t>UNSURE</t>
        </is>
      </c>
      <c r="E1629" s="23" t="inlineStr">
        <is>
          <t>Carried forward</t>
        </is>
      </c>
      <c r="F1629" s="23" t="inlineStr"/>
      <c r="G1629" s="23" t="inlineStr">
        <is>
          <t>Maya Chen, Owner Project Controls</t>
        </is>
      </c>
      <c r="H1629" s="14" t="inlineStr">
        <is>
          <t>10 EVIDENCE &amp; DECISIONS</t>
        </is>
      </c>
    </row>
    <row r="1630" ht="34" customHeight="1">
      <c r="A1630" s="23" t="inlineStr">
        <is>
          <t>R992-v3</t>
        </is>
      </c>
      <c r="B1630" s="23" t="inlineStr">
        <is>
          <t>Contractor Programme</t>
        </is>
      </c>
      <c r="C1630" s="23" t="inlineStr">
        <is>
          <t>SCH-06-092</t>
        </is>
      </c>
      <c r="D1630" s="23" t="inlineStr">
        <is>
          <t>UNSURE</t>
        </is>
      </c>
      <c r="E1630" s="23" t="inlineStr">
        <is>
          <t>Carried forward</t>
        </is>
      </c>
      <c r="F1630" s="23" t="inlineStr"/>
      <c r="G1630" s="23" t="inlineStr">
        <is>
          <t>Maya Chen, Owner Project Controls</t>
        </is>
      </c>
      <c r="H1630" s="14" t="inlineStr">
        <is>
          <t>10 EVIDENCE &amp; DECISIONS</t>
        </is>
      </c>
    </row>
    <row r="1631" ht="34" customHeight="1">
      <c r="A1631" s="23" t="inlineStr">
        <is>
          <t>R993-v3</t>
        </is>
      </c>
      <c r="B1631" s="23" t="inlineStr">
        <is>
          <t>Contractor Programme</t>
        </is>
      </c>
      <c r="C1631" s="23" t="inlineStr">
        <is>
          <t>SCH-06-093</t>
        </is>
      </c>
      <c r="D1631" s="23" t="inlineStr">
        <is>
          <t>UNSURE</t>
        </is>
      </c>
      <c r="E1631" s="23" t="inlineStr">
        <is>
          <t>Carried forward</t>
        </is>
      </c>
      <c r="F1631" s="23" t="inlineStr"/>
      <c r="G1631" s="23" t="inlineStr">
        <is>
          <t>Maya Chen, Owner Project Controls</t>
        </is>
      </c>
      <c r="H1631" s="14" t="inlineStr">
        <is>
          <t>10 EVIDENCE &amp; DECISIONS</t>
        </is>
      </c>
    </row>
    <row r="1632" ht="34" customHeight="1">
      <c r="A1632" s="23" t="inlineStr">
        <is>
          <t>R994-v3</t>
        </is>
      </c>
      <c r="B1632" s="23" t="inlineStr">
        <is>
          <t>Contractor Programme</t>
        </is>
      </c>
      <c r="C1632" s="23" t="inlineStr">
        <is>
          <t>SCH-06-094</t>
        </is>
      </c>
      <c r="D1632" s="23" t="inlineStr">
        <is>
          <t>UNSURE</t>
        </is>
      </c>
      <c r="E1632" s="23" t="inlineStr">
        <is>
          <t>Carried forward</t>
        </is>
      </c>
      <c r="F1632" s="23" t="inlineStr"/>
      <c r="G1632" s="23" t="inlineStr">
        <is>
          <t>Maya Chen, Owner Project Controls</t>
        </is>
      </c>
      <c r="H1632" s="14" t="inlineStr">
        <is>
          <t>10 EVIDENCE &amp; DECISIONS</t>
        </is>
      </c>
    </row>
    <row r="1633" ht="34" customHeight="1">
      <c r="A1633" s="23" t="inlineStr">
        <is>
          <t>R995-v3</t>
        </is>
      </c>
      <c r="B1633" s="23" t="inlineStr">
        <is>
          <t>Contractor Programme</t>
        </is>
      </c>
      <c r="C1633" s="23" t="inlineStr">
        <is>
          <t>SCH-06-095</t>
        </is>
      </c>
      <c r="D1633" s="23" t="inlineStr">
        <is>
          <t>UNSURE</t>
        </is>
      </c>
      <c r="E1633" s="23" t="inlineStr">
        <is>
          <t>Carried forward</t>
        </is>
      </c>
      <c r="F1633" s="23" t="inlineStr"/>
      <c r="G1633" s="23" t="inlineStr">
        <is>
          <t>Maya Chen, Owner Project Controls</t>
        </is>
      </c>
      <c r="H1633" s="14" t="inlineStr">
        <is>
          <t>10 EVIDENCE &amp; DECISIONS</t>
        </is>
      </c>
    </row>
    <row r="1634" ht="34" customHeight="1">
      <c r="A1634" s="23" t="inlineStr">
        <is>
          <t>R996-v3</t>
        </is>
      </c>
      <c r="B1634" s="23" t="inlineStr">
        <is>
          <t>Contractor Programme</t>
        </is>
      </c>
      <c r="C1634" s="23" t="inlineStr">
        <is>
          <t>SCH-06-096</t>
        </is>
      </c>
      <c r="D1634" s="23" t="inlineStr">
        <is>
          <t>UNSURE</t>
        </is>
      </c>
      <c r="E1634" s="23" t="inlineStr">
        <is>
          <t>Carried forward</t>
        </is>
      </c>
      <c r="F1634" s="23" t="inlineStr"/>
      <c r="G1634" s="23" t="inlineStr">
        <is>
          <t>Maya Chen, Owner Project Controls</t>
        </is>
      </c>
      <c r="H1634" s="14" t="inlineStr">
        <is>
          <t>10 EVIDENCE &amp; DECISIONS</t>
        </is>
      </c>
    </row>
    <row r="1635" ht="34" customHeight="1">
      <c r="A1635" s="23" t="inlineStr">
        <is>
          <t>R997-v3</t>
        </is>
      </c>
      <c r="B1635" s="23" t="inlineStr">
        <is>
          <t>Contractor Programme</t>
        </is>
      </c>
      <c r="C1635" s="23" t="inlineStr">
        <is>
          <t>SCH-06-097</t>
        </is>
      </c>
      <c r="D1635" s="23" t="inlineStr">
        <is>
          <t>UNSURE</t>
        </is>
      </c>
      <c r="E1635" s="23" t="inlineStr">
        <is>
          <t>Carried forward</t>
        </is>
      </c>
      <c r="F1635" s="23" t="inlineStr"/>
      <c r="G1635" s="23" t="inlineStr">
        <is>
          <t>Maya Chen, Owner Project Controls</t>
        </is>
      </c>
      <c r="H1635" s="14" t="inlineStr">
        <is>
          <t>10 EVIDENCE &amp; DECISIONS</t>
        </is>
      </c>
    </row>
    <row r="1636" ht="34" customHeight="1">
      <c r="A1636" s="23" t="inlineStr">
        <is>
          <t>R998-v3</t>
        </is>
      </c>
      <c r="B1636" s="23" t="inlineStr">
        <is>
          <t>Contractor Programme</t>
        </is>
      </c>
      <c r="C1636" s="23" t="inlineStr">
        <is>
          <t>SCH-06-098</t>
        </is>
      </c>
      <c r="D1636" s="23" t="inlineStr">
        <is>
          <t>UNSURE</t>
        </is>
      </c>
      <c r="E1636" s="23" t="inlineStr">
        <is>
          <t>Carried forward</t>
        </is>
      </c>
      <c r="F1636" s="23" t="inlineStr"/>
      <c r="G1636" s="23" t="inlineStr">
        <is>
          <t>Maya Chen, Owner Project Controls</t>
        </is>
      </c>
      <c r="H1636" s="14" t="inlineStr">
        <is>
          <t>10 EVIDENCE &amp; DECISIONS</t>
        </is>
      </c>
    </row>
    <row r="1637" ht="34" customHeight="1">
      <c r="A1637" s="23" t="inlineStr">
        <is>
          <t>R999-v3</t>
        </is>
      </c>
      <c r="B1637" s="23" t="inlineStr">
        <is>
          <t>Contractor Programme</t>
        </is>
      </c>
      <c r="C1637" s="23" t="inlineStr">
        <is>
          <t>SCH-06-099</t>
        </is>
      </c>
      <c r="D1637" s="23" t="inlineStr">
        <is>
          <t>UNSURE</t>
        </is>
      </c>
      <c r="E1637" s="23" t="inlineStr">
        <is>
          <t>Carried forward</t>
        </is>
      </c>
      <c r="F1637" s="23" t="inlineStr"/>
      <c r="G1637" s="23" t="inlineStr">
        <is>
          <t>Maya Chen, Owner Project Controls</t>
        </is>
      </c>
      <c r="H1637" s="14" t="inlineStr">
        <is>
          <t>10 EVIDENCE &amp; DECISIONS</t>
        </is>
      </c>
    </row>
  </sheetData>
  <autoFilter ref="A12:H1637"/>
  <mergeCells count="4">
    <mergeCell ref="A1:D1"/>
    <mergeCell ref="D9:H10"/>
    <mergeCell ref="A2:D2"/>
    <mergeCell ref="D6:H7"/>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 xmlns:r="http://schemas.openxmlformats.org/officeDocument/2006/relationships" ref="H20" r:id="rId16"/>
    <hyperlink xmlns:r="http://schemas.openxmlformats.org/officeDocument/2006/relationships" ref="H21" r:id="rId17"/>
    <hyperlink xmlns:r="http://schemas.openxmlformats.org/officeDocument/2006/relationships" ref="H22" r:id="rId18"/>
    <hyperlink xmlns:r="http://schemas.openxmlformats.org/officeDocument/2006/relationships" ref="H23" r:id="rId19"/>
    <hyperlink xmlns:r="http://schemas.openxmlformats.org/officeDocument/2006/relationships" ref="H24" r:id="rId20"/>
    <hyperlink xmlns:r="http://schemas.openxmlformats.org/officeDocument/2006/relationships" ref="H25" r:id="rId21"/>
    <hyperlink xmlns:r="http://schemas.openxmlformats.org/officeDocument/2006/relationships" ref="H26" r:id="rId22"/>
    <hyperlink xmlns:r="http://schemas.openxmlformats.org/officeDocument/2006/relationships" ref="H27" r:id="rId23"/>
    <hyperlink xmlns:r="http://schemas.openxmlformats.org/officeDocument/2006/relationships" ref="H28" r:id="rId24"/>
    <hyperlink xmlns:r="http://schemas.openxmlformats.org/officeDocument/2006/relationships" ref="H29" r:id="rId25"/>
    <hyperlink xmlns:r="http://schemas.openxmlformats.org/officeDocument/2006/relationships" ref="H30" r:id="rId26"/>
    <hyperlink xmlns:r="http://schemas.openxmlformats.org/officeDocument/2006/relationships" ref="H31" r:id="rId27"/>
    <hyperlink xmlns:r="http://schemas.openxmlformats.org/officeDocument/2006/relationships" ref="H32" r:id="rId28"/>
    <hyperlink xmlns:r="http://schemas.openxmlformats.org/officeDocument/2006/relationships" ref="H33" r:id="rId29"/>
    <hyperlink xmlns:r="http://schemas.openxmlformats.org/officeDocument/2006/relationships" ref="H34" r:id="rId30"/>
    <hyperlink xmlns:r="http://schemas.openxmlformats.org/officeDocument/2006/relationships" ref="H35" r:id="rId31"/>
    <hyperlink xmlns:r="http://schemas.openxmlformats.org/officeDocument/2006/relationships" ref="H36" r:id="rId32"/>
    <hyperlink xmlns:r="http://schemas.openxmlformats.org/officeDocument/2006/relationships" ref="H37" r:id="rId33"/>
    <hyperlink xmlns:r="http://schemas.openxmlformats.org/officeDocument/2006/relationships" ref="H38" r:id="rId34"/>
    <hyperlink xmlns:r="http://schemas.openxmlformats.org/officeDocument/2006/relationships" ref="H39" r:id="rId35"/>
    <hyperlink xmlns:r="http://schemas.openxmlformats.org/officeDocument/2006/relationships" ref="H40" r:id="rId36"/>
    <hyperlink xmlns:r="http://schemas.openxmlformats.org/officeDocument/2006/relationships" ref="H41" r:id="rId37"/>
    <hyperlink xmlns:r="http://schemas.openxmlformats.org/officeDocument/2006/relationships" ref="H42" r:id="rId38"/>
    <hyperlink xmlns:r="http://schemas.openxmlformats.org/officeDocument/2006/relationships" ref="H43" r:id="rId39"/>
    <hyperlink xmlns:r="http://schemas.openxmlformats.org/officeDocument/2006/relationships" ref="H44" r:id="rId40"/>
    <hyperlink xmlns:r="http://schemas.openxmlformats.org/officeDocument/2006/relationships" ref="H45" r:id="rId41"/>
    <hyperlink xmlns:r="http://schemas.openxmlformats.org/officeDocument/2006/relationships" ref="H46" r:id="rId42"/>
    <hyperlink xmlns:r="http://schemas.openxmlformats.org/officeDocument/2006/relationships" ref="H47" r:id="rId43"/>
    <hyperlink xmlns:r="http://schemas.openxmlformats.org/officeDocument/2006/relationships" ref="H48" r:id="rId44"/>
    <hyperlink xmlns:r="http://schemas.openxmlformats.org/officeDocument/2006/relationships" ref="H49" r:id="rId45"/>
    <hyperlink xmlns:r="http://schemas.openxmlformats.org/officeDocument/2006/relationships" ref="H50" r:id="rId46"/>
    <hyperlink xmlns:r="http://schemas.openxmlformats.org/officeDocument/2006/relationships" ref="H51" r:id="rId47"/>
    <hyperlink xmlns:r="http://schemas.openxmlformats.org/officeDocument/2006/relationships" ref="H52" r:id="rId48"/>
    <hyperlink xmlns:r="http://schemas.openxmlformats.org/officeDocument/2006/relationships" ref="H53" r:id="rId49"/>
    <hyperlink xmlns:r="http://schemas.openxmlformats.org/officeDocument/2006/relationships" ref="H54" r:id="rId50"/>
    <hyperlink xmlns:r="http://schemas.openxmlformats.org/officeDocument/2006/relationships" ref="H55" r:id="rId51"/>
    <hyperlink xmlns:r="http://schemas.openxmlformats.org/officeDocument/2006/relationships" ref="H56" r:id="rId52"/>
    <hyperlink xmlns:r="http://schemas.openxmlformats.org/officeDocument/2006/relationships" ref="H57" r:id="rId53"/>
    <hyperlink xmlns:r="http://schemas.openxmlformats.org/officeDocument/2006/relationships" ref="H58" r:id="rId54"/>
    <hyperlink xmlns:r="http://schemas.openxmlformats.org/officeDocument/2006/relationships" ref="H59" r:id="rId55"/>
    <hyperlink xmlns:r="http://schemas.openxmlformats.org/officeDocument/2006/relationships" ref="H60" r:id="rId56"/>
    <hyperlink xmlns:r="http://schemas.openxmlformats.org/officeDocument/2006/relationships" ref="H61" r:id="rId57"/>
    <hyperlink xmlns:r="http://schemas.openxmlformats.org/officeDocument/2006/relationships" ref="H62" r:id="rId58"/>
    <hyperlink xmlns:r="http://schemas.openxmlformats.org/officeDocument/2006/relationships" ref="H63" r:id="rId59"/>
    <hyperlink xmlns:r="http://schemas.openxmlformats.org/officeDocument/2006/relationships" ref="H64" r:id="rId60"/>
    <hyperlink xmlns:r="http://schemas.openxmlformats.org/officeDocument/2006/relationships" ref="H65" r:id="rId61"/>
    <hyperlink xmlns:r="http://schemas.openxmlformats.org/officeDocument/2006/relationships" ref="H66" r:id="rId62"/>
    <hyperlink xmlns:r="http://schemas.openxmlformats.org/officeDocument/2006/relationships" ref="H67" r:id="rId63"/>
    <hyperlink xmlns:r="http://schemas.openxmlformats.org/officeDocument/2006/relationships" ref="H68" r:id="rId64"/>
    <hyperlink xmlns:r="http://schemas.openxmlformats.org/officeDocument/2006/relationships" ref="H69" r:id="rId65"/>
    <hyperlink xmlns:r="http://schemas.openxmlformats.org/officeDocument/2006/relationships" ref="H70" r:id="rId66"/>
    <hyperlink xmlns:r="http://schemas.openxmlformats.org/officeDocument/2006/relationships" ref="H71" r:id="rId67"/>
    <hyperlink xmlns:r="http://schemas.openxmlformats.org/officeDocument/2006/relationships" ref="H72" r:id="rId68"/>
    <hyperlink xmlns:r="http://schemas.openxmlformats.org/officeDocument/2006/relationships" ref="H73" r:id="rId69"/>
    <hyperlink xmlns:r="http://schemas.openxmlformats.org/officeDocument/2006/relationships" ref="H74" r:id="rId70"/>
    <hyperlink xmlns:r="http://schemas.openxmlformats.org/officeDocument/2006/relationships" ref="H75" r:id="rId71"/>
    <hyperlink xmlns:r="http://schemas.openxmlformats.org/officeDocument/2006/relationships" ref="H76" r:id="rId72"/>
    <hyperlink xmlns:r="http://schemas.openxmlformats.org/officeDocument/2006/relationships" ref="H77" r:id="rId73"/>
    <hyperlink xmlns:r="http://schemas.openxmlformats.org/officeDocument/2006/relationships" ref="H78" r:id="rId74"/>
    <hyperlink xmlns:r="http://schemas.openxmlformats.org/officeDocument/2006/relationships" ref="H79" r:id="rId75"/>
    <hyperlink xmlns:r="http://schemas.openxmlformats.org/officeDocument/2006/relationships" ref="H80" r:id="rId76"/>
    <hyperlink xmlns:r="http://schemas.openxmlformats.org/officeDocument/2006/relationships" ref="H81" r:id="rId77"/>
    <hyperlink xmlns:r="http://schemas.openxmlformats.org/officeDocument/2006/relationships" ref="H82" r:id="rId78"/>
    <hyperlink xmlns:r="http://schemas.openxmlformats.org/officeDocument/2006/relationships" ref="H83" r:id="rId79"/>
    <hyperlink xmlns:r="http://schemas.openxmlformats.org/officeDocument/2006/relationships" ref="H84" r:id="rId80"/>
    <hyperlink xmlns:r="http://schemas.openxmlformats.org/officeDocument/2006/relationships" ref="H85" r:id="rId81"/>
    <hyperlink xmlns:r="http://schemas.openxmlformats.org/officeDocument/2006/relationships" ref="H86" r:id="rId82"/>
    <hyperlink xmlns:r="http://schemas.openxmlformats.org/officeDocument/2006/relationships" ref="H87" r:id="rId83"/>
    <hyperlink xmlns:r="http://schemas.openxmlformats.org/officeDocument/2006/relationships" ref="H88" r:id="rId84"/>
    <hyperlink xmlns:r="http://schemas.openxmlformats.org/officeDocument/2006/relationships" ref="H89" r:id="rId85"/>
    <hyperlink xmlns:r="http://schemas.openxmlformats.org/officeDocument/2006/relationships" ref="H90" r:id="rId86"/>
    <hyperlink xmlns:r="http://schemas.openxmlformats.org/officeDocument/2006/relationships" ref="H91" r:id="rId87"/>
    <hyperlink xmlns:r="http://schemas.openxmlformats.org/officeDocument/2006/relationships" ref="H92" r:id="rId88"/>
    <hyperlink xmlns:r="http://schemas.openxmlformats.org/officeDocument/2006/relationships" ref="H93" r:id="rId89"/>
    <hyperlink xmlns:r="http://schemas.openxmlformats.org/officeDocument/2006/relationships" ref="H94" r:id="rId90"/>
    <hyperlink xmlns:r="http://schemas.openxmlformats.org/officeDocument/2006/relationships" ref="H95" r:id="rId91"/>
    <hyperlink xmlns:r="http://schemas.openxmlformats.org/officeDocument/2006/relationships" ref="H96" r:id="rId92"/>
    <hyperlink xmlns:r="http://schemas.openxmlformats.org/officeDocument/2006/relationships" ref="H97" r:id="rId93"/>
    <hyperlink xmlns:r="http://schemas.openxmlformats.org/officeDocument/2006/relationships" ref="H98" r:id="rId94"/>
    <hyperlink xmlns:r="http://schemas.openxmlformats.org/officeDocument/2006/relationships" ref="H99" r:id="rId95"/>
    <hyperlink xmlns:r="http://schemas.openxmlformats.org/officeDocument/2006/relationships" ref="H100" r:id="rId96"/>
    <hyperlink xmlns:r="http://schemas.openxmlformats.org/officeDocument/2006/relationships" ref="H101" r:id="rId97"/>
    <hyperlink xmlns:r="http://schemas.openxmlformats.org/officeDocument/2006/relationships" ref="H102" r:id="rId98"/>
    <hyperlink xmlns:r="http://schemas.openxmlformats.org/officeDocument/2006/relationships" ref="H103" r:id="rId99"/>
    <hyperlink xmlns:r="http://schemas.openxmlformats.org/officeDocument/2006/relationships" ref="H104" r:id="rId100"/>
    <hyperlink xmlns:r="http://schemas.openxmlformats.org/officeDocument/2006/relationships" ref="H105" r:id="rId101"/>
    <hyperlink xmlns:r="http://schemas.openxmlformats.org/officeDocument/2006/relationships" ref="H106" r:id="rId102"/>
    <hyperlink xmlns:r="http://schemas.openxmlformats.org/officeDocument/2006/relationships" ref="H107" r:id="rId103"/>
    <hyperlink xmlns:r="http://schemas.openxmlformats.org/officeDocument/2006/relationships" ref="H108" r:id="rId104"/>
    <hyperlink xmlns:r="http://schemas.openxmlformats.org/officeDocument/2006/relationships" ref="H109" r:id="rId105"/>
    <hyperlink xmlns:r="http://schemas.openxmlformats.org/officeDocument/2006/relationships" ref="H110" r:id="rId106"/>
    <hyperlink xmlns:r="http://schemas.openxmlformats.org/officeDocument/2006/relationships" ref="H111" r:id="rId107"/>
    <hyperlink xmlns:r="http://schemas.openxmlformats.org/officeDocument/2006/relationships" ref="H112" r:id="rId108"/>
    <hyperlink xmlns:r="http://schemas.openxmlformats.org/officeDocument/2006/relationships" ref="H113" r:id="rId109"/>
    <hyperlink xmlns:r="http://schemas.openxmlformats.org/officeDocument/2006/relationships" ref="H114" r:id="rId110"/>
    <hyperlink xmlns:r="http://schemas.openxmlformats.org/officeDocument/2006/relationships" ref="H115" r:id="rId111"/>
    <hyperlink xmlns:r="http://schemas.openxmlformats.org/officeDocument/2006/relationships" ref="H116" r:id="rId112"/>
    <hyperlink xmlns:r="http://schemas.openxmlformats.org/officeDocument/2006/relationships" ref="H117" r:id="rId113"/>
    <hyperlink xmlns:r="http://schemas.openxmlformats.org/officeDocument/2006/relationships" ref="H118" r:id="rId114"/>
    <hyperlink xmlns:r="http://schemas.openxmlformats.org/officeDocument/2006/relationships" ref="H119" r:id="rId115"/>
    <hyperlink xmlns:r="http://schemas.openxmlformats.org/officeDocument/2006/relationships" ref="H120" r:id="rId116"/>
    <hyperlink xmlns:r="http://schemas.openxmlformats.org/officeDocument/2006/relationships" ref="H121" r:id="rId117"/>
    <hyperlink xmlns:r="http://schemas.openxmlformats.org/officeDocument/2006/relationships" ref="H122" r:id="rId118"/>
    <hyperlink xmlns:r="http://schemas.openxmlformats.org/officeDocument/2006/relationships" ref="H123" r:id="rId119"/>
    <hyperlink xmlns:r="http://schemas.openxmlformats.org/officeDocument/2006/relationships" ref="H124" r:id="rId120"/>
    <hyperlink xmlns:r="http://schemas.openxmlformats.org/officeDocument/2006/relationships" ref="H125" r:id="rId121"/>
    <hyperlink xmlns:r="http://schemas.openxmlformats.org/officeDocument/2006/relationships" ref="H126" r:id="rId122"/>
    <hyperlink xmlns:r="http://schemas.openxmlformats.org/officeDocument/2006/relationships" ref="H127" r:id="rId123"/>
    <hyperlink xmlns:r="http://schemas.openxmlformats.org/officeDocument/2006/relationships" ref="H128" r:id="rId124"/>
    <hyperlink xmlns:r="http://schemas.openxmlformats.org/officeDocument/2006/relationships" ref="H129" r:id="rId125"/>
    <hyperlink xmlns:r="http://schemas.openxmlformats.org/officeDocument/2006/relationships" ref="H130" r:id="rId126"/>
    <hyperlink xmlns:r="http://schemas.openxmlformats.org/officeDocument/2006/relationships" ref="H131" r:id="rId127"/>
    <hyperlink xmlns:r="http://schemas.openxmlformats.org/officeDocument/2006/relationships" ref="H132" r:id="rId128"/>
    <hyperlink xmlns:r="http://schemas.openxmlformats.org/officeDocument/2006/relationships" ref="H133" r:id="rId129"/>
    <hyperlink xmlns:r="http://schemas.openxmlformats.org/officeDocument/2006/relationships" ref="H134" r:id="rId130"/>
    <hyperlink xmlns:r="http://schemas.openxmlformats.org/officeDocument/2006/relationships" ref="H135" r:id="rId131"/>
    <hyperlink xmlns:r="http://schemas.openxmlformats.org/officeDocument/2006/relationships" ref="H136" r:id="rId132"/>
    <hyperlink xmlns:r="http://schemas.openxmlformats.org/officeDocument/2006/relationships" ref="H137" r:id="rId133"/>
    <hyperlink xmlns:r="http://schemas.openxmlformats.org/officeDocument/2006/relationships" ref="H138" r:id="rId134"/>
    <hyperlink xmlns:r="http://schemas.openxmlformats.org/officeDocument/2006/relationships" ref="H139" r:id="rId135"/>
    <hyperlink xmlns:r="http://schemas.openxmlformats.org/officeDocument/2006/relationships" ref="H140" r:id="rId136"/>
    <hyperlink xmlns:r="http://schemas.openxmlformats.org/officeDocument/2006/relationships" ref="H141" r:id="rId137"/>
    <hyperlink xmlns:r="http://schemas.openxmlformats.org/officeDocument/2006/relationships" ref="H142" r:id="rId138"/>
    <hyperlink xmlns:r="http://schemas.openxmlformats.org/officeDocument/2006/relationships" ref="H143" r:id="rId139"/>
    <hyperlink xmlns:r="http://schemas.openxmlformats.org/officeDocument/2006/relationships" ref="H144" r:id="rId140"/>
    <hyperlink xmlns:r="http://schemas.openxmlformats.org/officeDocument/2006/relationships" ref="H145" r:id="rId141"/>
    <hyperlink xmlns:r="http://schemas.openxmlformats.org/officeDocument/2006/relationships" ref="H146" r:id="rId142"/>
    <hyperlink xmlns:r="http://schemas.openxmlformats.org/officeDocument/2006/relationships" ref="H147" r:id="rId143"/>
    <hyperlink xmlns:r="http://schemas.openxmlformats.org/officeDocument/2006/relationships" ref="H148" r:id="rId144"/>
    <hyperlink xmlns:r="http://schemas.openxmlformats.org/officeDocument/2006/relationships" ref="H149" r:id="rId145"/>
    <hyperlink xmlns:r="http://schemas.openxmlformats.org/officeDocument/2006/relationships" ref="H150" r:id="rId146"/>
    <hyperlink xmlns:r="http://schemas.openxmlformats.org/officeDocument/2006/relationships" ref="H151" r:id="rId147"/>
    <hyperlink xmlns:r="http://schemas.openxmlformats.org/officeDocument/2006/relationships" ref="H152" r:id="rId148"/>
    <hyperlink xmlns:r="http://schemas.openxmlformats.org/officeDocument/2006/relationships" ref="H153" r:id="rId149"/>
    <hyperlink xmlns:r="http://schemas.openxmlformats.org/officeDocument/2006/relationships" ref="H154" r:id="rId150"/>
    <hyperlink xmlns:r="http://schemas.openxmlformats.org/officeDocument/2006/relationships" ref="H155" r:id="rId151"/>
    <hyperlink xmlns:r="http://schemas.openxmlformats.org/officeDocument/2006/relationships" ref="H156" r:id="rId152"/>
    <hyperlink xmlns:r="http://schemas.openxmlformats.org/officeDocument/2006/relationships" ref="H157" r:id="rId153"/>
    <hyperlink xmlns:r="http://schemas.openxmlformats.org/officeDocument/2006/relationships" ref="H158" r:id="rId154"/>
    <hyperlink xmlns:r="http://schemas.openxmlformats.org/officeDocument/2006/relationships" ref="H159" r:id="rId155"/>
    <hyperlink xmlns:r="http://schemas.openxmlformats.org/officeDocument/2006/relationships" ref="H160" r:id="rId156"/>
    <hyperlink xmlns:r="http://schemas.openxmlformats.org/officeDocument/2006/relationships" ref="H161" r:id="rId157"/>
    <hyperlink xmlns:r="http://schemas.openxmlformats.org/officeDocument/2006/relationships" ref="H162" r:id="rId158"/>
    <hyperlink xmlns:r="http://schemas.openxmlformats.org/officeDocument/2006/relationships" ref="H163" r:id="rId159"/>
    <hyperlink xmlns:r="http://schemas.openxmlformats.org/officeDocument/2006/relationships" ref="H164" r:id="rId160"/>
    <hyperlink xmlns:r="http://schemas.openxmlformats.org/officeDocument/2006/relationships" ref="H165" r:id="rId161"/>
    <hyperlink xmlns:r="http://schemas.openxmlformats.org/officeDocument/2006/relationships" ref="H166" r:id="rId162"/>
    <hyperlink xmlns:r="http://schemas.openxmlformats.org/officeDocument/2006/relationships" ref="H167" r:id="rId163"/>
    <hyperlink xmlns:r="http://schemas.openxmlformats.org/officeDocument/2006/relationships" ref="H168" r:id="rId164"/>
    <hyperlink xmlns:r="http://schemas.openxmlformats.org/officeDocument/2006/relationships" ref="H169" r:id="rId165"/>
    <hyperlink xmlns:r="http://schemas.openxmlformats.org/officeDocument/2006/relationships" ref="H170" r:id="rId166"/>
    <hyperlink xmlns:r="http://schemas.openxmlformats.org/officeDocument/2006/relationships" ref="H171" r:id="rId167"/>
    <hyperlink xmlns:r="http://schemas.openxmlformats.org/officeDocument/2006/relationships" ref="H172" r:id="rId168"/>
    <hyperlink xmlns:r="http://schemas.openxmlformats.org/officeDocument/2006/relationships" ref="H173" r:id="rId169"/>
    <hyperlink xmlns:r="http://schemas.openxmlformats.org/officeDocument/2006/relationships" ref="H174" r:id="rId170"/>
    <hyperlink xmlns:r="http://schemas.openxmlformats.org/officeDocument/2006/relationships" ref="H175" r:id="rId171"/>
    <hyperlink xmlns:r="http://schemas.openxmlformats.org/officeDocument/2006/relationships" ref="H176" r:id="rId172"/>
    <hyperlink xmlns:r="http://schemas.openxmlformats.org/officeDocument/2006/relationships" ref="H177" r:id="rId173"/>
    <hyperlink xmlns:r="http://schemas.openxmlformats.org/officeDocument/2006/relationships" ref="H178" r:id="rId174"/>
    <hyperlink xmlns:r="http://schemas.openxmlformats.org/officeDocument/2006/relationships" ref="H179" r:id="rId175"/>
    <hyperlink xmlns:r="http://schemas.openxmlformats.org/officeDocument/2006/relationships" ref="H180" r:id="rId176"/>
    <hyperlink xmlns:r="http://schemas.openxmlformats.org/officeDocument/2006/relationships" ref="H181" r:id="rId177"/>
    <hyperlink xmlns:r="http://schemas.openxmlformats.org/officeDocument/2006/relationships" ref="H182" r:id="rId178"/>
    <hyperlink xmlns:r="http://schemas.openxmlformats.org/officeDocument/2006/relationships" ref="H183" r:id="rId179"/>
    <hyperlink xmlns:r="http://schemas.openxmlformats.org/officeDocument/2006/relationships" ref="H184" r:id="rId180"/>
    <hyperlink xmlns:r="http://schemas.openxmlformats.org/officeDocument/2006/relationships" ref="H185" r:id="rId181"/>
    <hyperlink xmlns:r="http://schemas.openxmlformats.org/officeDocument/2006/relationships" ref="H186" r:id="rId182"/>
    <hyperlink xmlns:r="http://schemas.openxmlformats.org/officeDocument/2006/relationships" ref="H187" r:id="rId183"/>
    <hyperlink xmlns:r="http://schemas.openxmlformats.org/officeDocument/2006/relationships" ref="H188" r:id="rId184"/>
    <hyperlink xmlns:r="http://schemas.openxmlformats.org/officeDocument/2006/relationships" ref="H189" r:id="rId185"/>
    <hyperlink xmlns:r="http://schemas.openxmlformats.org/officeDocument/2006/relationships" ref="H190" r:id="rId186"/>
    <hyperlink xmlns:r="http://schemas.openxmlformats.org/officeDocument/2006/relationships" ref="H191" r:id="rId187"/>
    <hyperlink xmlns:r="http://schemas.openxmlformats.org/officeDocument/2006/relationships" ref="H192" r:id="rId188"/>
    <hyperlink xmlns:r="http://schemas.openxmlformats.org/officeDocument/2006/relationships" ref="H193" r:id="rId189"/>
    <hyperlink xmlns:r="http://schemas.openxmlformats.org/officeDocument/2006/relationships" ref="H194" r:id="rId190"/>
    <hyperlink xmlns:r="http://schemas.openxmlformats.org/officeDocument/2006/relationships" ref="H195" r:id="rId191"/>
    <hyperlink xmlns:r="http://schemas.openxmlformats.org/officeDocument/2006/relationships" ref="H196" r:id="rId192"/>
    <hyperlink xmlns:r="http://schemas.openxmlformats.org/officeDocument/2006/relationships" ref="H197" r:id="rId193"/>
    <hyperlink xmlns:r="http://schemas.openxmlformats.org/officeDocument/2006/relationships" ref="H198" r:id="rId194"/>
    <hyperlink xmlns:r="http://schemas.openxmlformats.org/officeDocument/2006/relationships" ref="H199" r:id="rId195"/>
    <hyperlink xmlns:r="http://schemas.openxmlformats.org/officeDocument/2006/relationships" ref="H200" r:id="rId196"/>
    <hyperlink xmlns:r="http://schemas.openxmlformats.org/officeDocument/2006/relationships" ref="H201" r:id="rId197"/>
    <hyperlink xmlns:r="http://schemas.openxmlformats.org/officeDocument/2006/relationships" ref="H202" r:id="rId198"/>
    <hyperlink xmlns:r="http://schemas.openxmlformats.org/officeDocument/2006/relationships" ref="H203" r:id="rId199"/>
    <hyperlink xmlns:r="http://schemas.openxmlformats.org/officeDocument/2006/relationships" ref="H204" r:id="rId200"/>
    <hyperlink xmlns:r="http://schemas.openxmlformats.org/officeDocument/2006/relationships" ref="H205" r:id="rId201"/>
    <hyperlink xmlns:r="http://schemas.openxmlformats.org/officeDocument/2006/relationships" ref="H206" r:id="rId202"/>
    <hyperlink xmlns:r="http://schemas.openxmlformats.org/officeDocument/2006/relationships" ref="H207" r:id="rId203"/>
    <hyperlink xmlns:r="http://schemas.openxmlformats.org/officeDocument/2006/relationships" ref="H208" r:id="rId204"/>
    <hyperlink xmlns:r="http://schemas.openxmlformats.org/officeDocument/2006/relationships" ref="H209" r:id="rId205"/>
    <hyperlink xmlns:r="http://schemas.openxmlformats.org/officeDocument/2006/relationships" ref="H210" r:id="rId206"/>
    <hyperlink xmlns:r="http://schemas.openxmlformats.org/officeDocument/2006/relationships" ref="H211" r:id="rId207"/>
    <hyperlink xmlns:r="http://schemas.openxmlformats.org/officeDocument/2006/relationships" ref="H212" r:id="rId208"/>
    <hyperlink xmlns:r="http://schemas.openxmlformats.org/officeDocument/2006/relationships" ref="H213" r:id="rId209"/>
    <hyperlink xmlns:r="http://schemas.openxmlformats.org/officeDocument/2006/relationships" ref="H214" r:id="rId210"/>
    <hyperlink xmlns:r="http://schemas.openxmlformats.org/officeDocument/2006/relationships" ref="H215" r:id="rId211"/>
    <hyperlink xmlns:r="http://schemas.openxmlformats.org/officeDocument/2006/relationships" ref="H216" r:id="rId212"/>
    <hyperlink xmlns:r="http://schemas.openxmlformats.org/officeDocument/2006/relationships" ref="H217" r:id="rId213"/>
    <hyperlink xmlns:r="http://schemas.openxmlformats.org/officeDocument/2006/relationships" ref="H218" r:id="rId214"/>
    <hyperlink xmlns:r="http://schemas.openxmlformats.org/officeDocument/2006/relationships" ref="H219" r:id="rId215"/>
    <hyperlink xmlns:r="http://schemas.openxmlformats.org/officeDocument/2006/relationships" ref="H220" r:id="rId216"/>
    <hyperlink xmlns:r="http://schemas.openxmlformats.org/officeDocument/2006/relationships" ref="H221" r:id="rId217"/>
    <hyperlink xmlns:r="http://schemas.openxmlformats.org/officeDocument/2006/relationships" ref="H222" r:id="rId218"/>
    <hyperlink xmlns:r="http://schemas.openxmlformats.org/officeDocument/2006/relationships" ref="H223" r:id="rId219"/>
    <hyperlink xmlns:r="http://schemas.openxmlformats.org/officeDocument/2006/relationships" ref="H224" r:id="rId220"/>
    <hyperlink xmlns:r="http://schemas.openxmlformats.org/officeDocument/2006/relationships" ref="H225" r:id="rId221"/>
    <hyperlink xmlns:r="http://schemas.openxmlformats.org/officeDocument/2006/relationships" ref="H226" r:id="rId222"/>
    <hyperlink xmlns:r="http://schemas.openxmlformats.org/officeDocument/2006/relationships" ref="H227" r:id="rId223"/>
    <hyperlink xmlns:r="http://schemas.openxmlformats.org/officeDocument/2006/relationships" ref="H228" r:id="rId224"/>
    <hyperlink xmlns:r="http://schemas.openxmlformats.org/officeDocument/2006/relationships" ref="H229" r:id="rId225"/>
    <hyperlink xmlns:r="http://schemas.openxmlformats.org/officeDocument/2006/relationships" ref="H230" r:id="rId226"/>
    <hyperlink xmlns:r="http://schemas.openxmlformats.org/officeDocument/2006/relationships" ref="H231" r:id="rId227"/>
    <hyperlink xmlns:r="http://schemas.openxmlformats.org/officeDocument/2006/relationships" ref="H232" r:id="rId228"/>
    <hyperlink xmlns:r="http://schemas.openxmlformats.org/officeDocument/2006/relationships" ref="H233" r:id="rId229"/>
    <hyperlink xmlns:r="http://schemas.openxmlformats.org/officeDocument/2006/relationships" ref="H234" r:id="rId230"/>
    <hyperlink xmlns:r="http://schemas.openxmlformats.org/officeDocument/2006/relationships" ref="H235" r:id="rId231"/>
    <hyperlink xmlns:r="http://schemas.openxmlformats.org/officeDocument/2006/relationships" ref="H236" r:id="rId232"/>
    <hyperlink xmlns:r="http://schemas.openxmlformats.org/officeDocument/2006/relationships" ref="H237" r:id="rId233"/>
    <hyperlink xmlns:r="http://schemas.openxmlformats.org/officeDocument/2006/relationships" ref="H238" r:id="rId234"/>
    <hyperlink xmlns:r="http://schemas.openxmlformats.org/officeDocument/2006/relationships" ref="H239" r:id="rId235"/>
    <hyperlink xmlns:r="http://schemas.openxmlformats.org/officeDocument/2006/relationships" ref="H240" r:id="rId236"/>
    <hyperlink xmlns:r="http://schemas.openxmlformats.org/officeDocument/2006/relationships" ref="H241" r:id="rId237"/>
    <hyperlink xmlns:r="http://schemas.openxmlformats.org/officeDocument/2006/relationships" ref="H242" r:id="rId238"/>
    <hyperlink xmlns:r="http://schemas.openxmlformats.org/officeDocument/2006/relationships" ref="H243" r:id="rId239"/>
    <hyperlink xmlns:r="http://schemas.openxmlformats.org/officeDocument/2006/relationships" ref="H244" r:id="rId240"/>
    <hyperlink xmlns:r="http://schemas.openxmlformats.org/officeDocument/2006/relationships" ref="H245" r:id="rId241"/>
    <hyperlink xmlns:r="http://schemas.openxmlformats.org/officeDocument/2006/relationships" ref="H246" r:id="rId242"/>
    <hyperlink xmlns:r="http://schemas.openxmlformats.org/officeDocument/2006/relationships" ref="H247" r:id="rId243"/>
    <hyperlink xmlns:r="http://schemas.openxmlformats.org/officeDocument/2006/relationships" ref="H248" r:id="rId244"/>
    <hyperlink xmlns:r="http://schemas.openxmlformats.org/officeDocument/2006/relationships" ref="H249" r:id="rId245"/>
    <hyperlink xmlns:r="http://schemas.openxmlformats.org/officeDocument/2006/relationships" ref="H250" r:id="rId246"/>
    <hyperlink xmlns:r="http://schemas.openxmlformats.org/officeDocument/2006/relationships" ref="H251" r:id="rId247"/>
    <hyperlink xmlns:r="http://schemas.openxmlformats.org/officeDocument/2006/relationships" ref="H252" r:id="rId248"/>
    <hyperlink xmlns:r="http://schemas.openxmlformats.org/officeDocument/2006/relationships" ref="H253" r:id="rId249"/>
    <hyperlink xmlns:r="http://schemas.openxmlformats.org/officeDocument/2006/relationships" ref="H254" r:id="rId250"/>
    <hyperlink xmlns:r="http://schemas.openxmlformats.org/officeDocument/2006/relationships" ref="H255" r:id="rId251"/>
    <hyperlink xmlns:r="http://schemas.openxmlformats.org/officeDocument/2006/relationships" ref="H256" r:id="rId252"/>
    <hyperlink xmlns:r="http://schemas.openxmlformats.org/officeDocument/2006/relationships" ref="H257" r:id="rId253"/>
    <hyperlink xmlns:r="http://schemas.openxmlformats.org/officeDocument/2006/relationships" ref="H258" r:id="rId254"/>
    <hyperlink xmlns:r="http://schemas.openxmlformats.org/officeDocument/2006/relationships" ref="H259" r:id="rId255"/>
    <hyperlink xmlns:r="http://schemas.openxmlformats.org/officeDocument/2006/relationships" ref="H260" r:id="rId256"/>
    <hyperlink xmlns:r="http://schemas.openxmlformats.org/officeDocument/2006/relationships" ref="H261" r:id="rId257"/>
    <hyperlink xmlns:r="http://schemas.openxmlformats.org/officeDocument/2006/relationships" ref="H262" r:id="rId258"/>
    <hyperlink xmlns:r="http://schemas.openxmlformats.org/officeDocument/2006/relationships" ref="H263" r:id="rId259"/>
    <hyperlink xmlns:r="http://schemas.openxmlformats.org/officeDocument/2006/relationships" ref="H264" r:id="rId260"/>
    <hyperlink xmlns:r="http://schemas.openxmlformats.org/officeDocument/2006/relationships" ref="H265" r:id="rId261"/>
    <hyperlink xmlns:r="http://schemas.openxmlformats.org/officeDocument/2006/relationships" ref="H266" r:id="rId262"/>
    <hyperlink xmlns:r="http://schemas.openxmlformats.org/officeDocument/2006/relationships" ref="H267" r:id="rId263"/>
    <hyperlink xmlns:r="http://schemas.openxmlformats.org/officeDocument/2006/relationships" ref="H268" r:id="rId264"/>
    <hyperlink xmlns:r="http://schemas.openxmlformats.org/officeDocument/2006/relationships" ref="H269" r:id="rId265"/>
    <hyperlink xmlns:r="http://schemas.openxmlformats.org/officeDocument/2006/relationships" ref="H270" r:id="rId266"/>
    <hyperlink xmlns:r="http://schemas.openxmlformats.org/officeDocument/2006/relationships" ref="H271" r:id="rId267"/>
    <hyperlink xmlns:r="http://schemas.openxmlformats.org/officeDocument/2006/relationships" ref="H272" r:id="rId268"/>
    <hyperlink xmlns:r="http://schemas.openxmlformats.org/officeDocument/2006/relationships" ref="H273" r:id="rId269"/>
    <hyperlink xmlns:r="http://schemas.openxmlformats.org/officeDocument/2006/relationships" ref="H274" r:id="rId270"/>
    <hyperlink xmlns:r="http://schemas.openxmlformats.org/officeDocument/2006/relationships" ref="H275" r:id="rId271"/>
    <hyperlink xmlns:r="http://schemas.openxmlformats.org/officeDocument/2006/relationships" ref="H276" r:id="rId272"/>
    <hyperlink xmlns:r="http://schemas.openxmlformats.org/officeDocument/2006/relationships" ref="H277" r:id="rId273"/>
    <hyperlink xmlns:r="http://schemas.openxmlformats.org/officeDocument/2006/relationships" ref="H278" r:id="rId274"/>
    <hyperlink xmlns:r="http://schemas.openxmlformats.org/officeDocument/2006/relationships" ref="H279" r:id="rId275"/>
    <hyperlink xmlns:r="http://schemas.openxmlformats.org/officeDocument/2006/relationships" ref="H280" r:id="rId276"/>
    <hyperlink xmlns:r="http://schemas.openxmlformats.org/officeDocument/2006/relationships" ref="H281" r:id="rId277"/>
    <hyperlink xmlns:r="http://schemas.openxmlformats.org/officeDocument/2006/relationships" ref="H282" r:id="rId278"/>
    <hyperlink xmlns:r="http://schemas.openxmlformats.org/officeDocument/2006/relationships" ref="H283" r:id="rId279"/>
    <hyperlink xmlns:r="http://schemas.openxmlformats.org/officeDocument/2006/relationships" ref="H284" r:id="rId280"/>
    <hyperlink xmlns:r="http://schemas.openxmlformats.org/officeDocument/2006/relationships" ref="H285" r:id="rId281"/>
    <hyperlink xmlns:r="http://schemas.openxmlformats.org/officeDocument/2006/relationships" ref="H286" r:id="rId282"/>
    <hyperlink xmlns:r="http://schemas.openxmlformats.org/officeDocument/2006/relationships" ref="H287" r:id="rId283"/>
    <hyperlink xmlns:r="http://schemas.openxmlformats.org/officeDocument/2006/relationships" ref="H288" r:id="rId284"/>
    <hyperlink xmlns:r="http://schemas.openxmlformats.org/officeDocument/2006/relationships" ref="H289" r:id="rId285"/>
    <hyperlink xmlns:r="http://schemas.openxmlformats.org/officeDocument/2006/relationships" ref="H290" r:id="rId286"/>
    <hyperlink xmlns:r="http://schemas.openxmlformats.org/officeDocument/2006/relationships" ref="H291" r:id="rId287"/>
    <hyperlink xmlns:r="http://schemas.openxmlformats.org/officeDocument/2006/relationships" ref="H292" r:id="rId288"/>
    <hyperlink xmlns:r="http://schemas.openxmlformats.org/officeDocument/2006/relationships" ref="H293" r:id="rId289"/>
    <hyperlink xmlns:r="http://schemas.openxmlformats.org/officeDocument/2006/relationships" ref="H294" r:id="rId290"/>
    <hyperlink xmlns:r="http://schemas.openxmlformats.org/officeDocument/2006/relationships" ref="H295" r:id="rId291"/>
    <hyperlink xmlns:r="http://schemas.openxmlformats.org/officeDocument/2006/relationships" ref="H296" r:id="rId292"/>
    <hyperlink xmlns:r="http://schemas.openxmlformats.org/officeDocument/2006/relationships" ref="H297" r:id="rId293"/>
    <hyperlink xmlns:r="http://schemas.openxmlformats.org/officeDocument/2006/relationships" ref="H298" r:id="rId294"/>
    <hyperlink xmlns:r="http://schemas.openxmlformats.org/officeDocument/2006/relationships" ref="H299" r:id="rId295"/>
    <hyperlink xmlns:r="http://schemas.openxmlformats.org/officeDocument/2006/relationships" ref="H300" r:id="rId296"/>
    <hyperlink xmlns:r="http://schemas.openxmlformats.org/officeDocument/2006/relationships" ref="H301" r:id="rId297"/>
    <hyperlink xmlns:r="http://schemas.openxmlformats.org/officeDocument/2006/relationships" ref="H302" r:id="rId298"/>
    <hyperlink xmlns:r="http://schemas.openxmlformats.org/officeDocument/2006/relationships" ref="H303" r:id="rId299"/>
    <hyperlink xmlns:r="http://schemas.openxmlformats.org/officeDocument/2006/relationships" ref="H304" r:id="rId300"/>
    <hyperlink xmlns:r="http://schemas.openxmlformats.org/officeDocument/2006/relationships" ref="H305" r:id="rId301"/>
    <hyperlink xmlns:r="http://schemas.openxmlformats.org/officeDocument/2006/relationships" ref="H306" r:id="rId302"/>
    <hyperlink xmlns:r="http://schemas.openxmlformats.org/officeDocument/2006/relationships" ref="H307" r:id="rId303"/>
    <hyperlink xmlns:r="http://schemas.openxmlformats.org/officeDocument/2006/relationships" ref="H308" r:id="rId304"/>
    <hyperlink xmlns:r="http://schemas.openxmlformats.org/officeDocument/2006/relationships" ref="H309" r:id="rId305"/>
    <hyperlink xmlns:r="http://schemas.openxmlformats.org/officeDocument/2006/relationships" ref="H310" r:id="rId306"/>
    <hyperlink xmlns:r="http://schemas.openxmlformats.org/officeDocument/2006/relationships" ref="H311" r:id="rId307"/>
    <hyperlink xmlns:r="http://schemas.openxmlformats.org/officeDocument/2006/relationships" ref="H312" r:id="rId308"/>
    <hyperlink xmlns:r="http://schemas.openxmlformats.org/officeDocument/2006/relationships" ref="H313" r:id="rId309"/>
    <hyperlink xmlns:r="http://schemas.openxmlformats.org/officeDocument/2006/relationships" ref="H314" r:id="rId310"/>
    <hyperlink xmlns:r="http://schemas.openxmlformats.org/officeDocument/2006/relationships" ref="H315" r:id="rId311"/>
    <hyperlink xmlns:r="http://schemas.openxmlformats.org/officeDocument/2006/relationships" ref="H316" r:id="rId312"/>
    <hyperlink xmlns:r="http://schemas.openxmlformats.org/officeDocument/2006/relationships" ref="H317" r:id="rId313"/>
    <hyperlink xmlns:r="http://schemas.openxmlformats.org/officeDocument/2006/relationships" ref="H318" r:id="rId314"/>
    <hyperlink xmlns:r="http://schemas.openxmlformats.org/officeDocument/2006/relationships" ref="H319" r:id="rId315"/>
    <hyperlink xmlns:r="http://schemas.openxmlformats.org/officeDocument/2006/relationships" ref="H320" r:id="rId316"/>
    <hyperlink xmlns:r="http://schemas.openxmlformats.org/officeDocument/2006/relationships" ref="H321" r:id="rId317"/>
    <hyperlink xmlns:r="http://schemas.openxmlformats.org/officeDocument/2006/relationships" ref="H322" r:id="rId318"/>
    <hyperlink xmlns:r="http://schemas.openxmlformats.org/officeDocument/2006/relationships" ref="H323" r:id="rId319"/>
    <hyperlink xmlns:r="http://schemas.openxmlformats.org/officeDocument/2006/relationships" ref="H324" r:id="rId320"/>
    <hyperlink xmlns:r="http://schemas.openxmlformats.org/officeDocument/2006/relationships" ref="H325" r:id="rId321"/>
    <hyperlink xmlns:r="http://schemas.openxmlformats.org/officeDocument/2006/relationships" ref="H326" r:id="rId322"/>
    <hyperlink xmlns:r="http://schemas.openxmlformats.org/officeDocument/2006/relationships" ref="H327" r:id="rId323"/>
    <hyperlink xmlns:r="http://schemas.openxmlformats.org/officeDocument/2006/relationships" ref="H328" r:id="rId324"/>
    <hyperlink xmlns:r="http://schemas.openxmlformats.org/officeDocument/2006/relationships" ref="H329" r:id="rId325"/>
    <hyperlink xmlns:r="http://schemas.openxmlformats.org/officeDocument/2006/relationships" ref="H330" r:id="rId326"/>
    <hyperlink xmlns:r="http://schemas.openxmlformats.org/officeDocument/2006/relationships" ref="H331" r:id="rId327"/>
    <hyperlink xmlns:r="http://schemas.openxmlformats.org/officeDocument/2006/relationships" ref="H332" r:id="rId328"/>
    <hyperlink xmlns:r="http://schemas.openxmlformats.org/officeDocument/2006/relationships" ref="H333" r:id="rId329"/>
    <hyperlink xmlns:r="http://schemas.openxmlformats.org/officeDocument/2006/relationships" ref="H334" r:id="rId330"/>
    <hyperlink xmlns:r="http://schemas.openxmlformats.org/officeDocument/2006/relationships" ref="H335" r:id="rId331"/>
    <hyperlink xmlns:r="http://schemas.openxmlformats.org/officeDocument/2006/relationships" ref="H336" r:id="rId332"/>
    <hyperlink xmlns:r="http://schemas.openxmlformats.org/officeDocument/2006/relationships" ref="H337" r:id="rId333"/>
    <hyperlink xmlns:r="http://schemas.openxmlformats.org/officeDocument/2006/relationships" ref="H338" r:id="rId334"/>
    <hyperlink xmlns:r="http://schemas.openxmlformats.org/officeDocument/2006/relationships" ref="H339" r:id="rId335"/>
    <hyperlink xmlns:r="http://schemas.openxmlformats.org/officeDocument/2006/relationships" ref="H340" r:id="rId336"/>
    <hyperlink xmlns:r="http://schemas.openxmlformats.org/officeDocument/2006/relationships" ref="H341" r:id="rId337"/>
    <hyperlink xmlns:r="http://schemas.openxmlformats.org/officeDocument/2006/relationships" ref="H342" r:id="rId338"/>
    <hyperlink xmlns:r="http://schemas.openxmlformats.org/officeDocument/2006/relationships" ref="H343" r:id="rId339"/>
    <hyperlink xmlns:r="http://schemas.openxmlformats.org/officeDocument/2006/relationships" ref="H344" r:id="rId340"/>
    <hyperlink xmlns:r="http://schemas.openxmlformats.org/officeDocument/2006/relationships" ref="H345" r:id="rId341"/>
    <hyperlink xmlns:r="http://schemas.openxmlformats.org/officeDocument/2006/relationships" ref="H346" r:id="rId342"/>
    <hyperlink xmlns:r="http://schemas.openxmlformats.org/officeDocument/2006/relationships" ref="H347" r:id="rId343"/>
    <hyperlink xmlns:r="http://schemas.openxmlformats.org/officeDocument/2006/relationships" ref="H348" r:id="rId344"/>
    <hyperlink xmlns:r="http://schemas.openxmlformats.org/officeDocument/2006/relationships" ref="H349" r:id="rId345"/>
    <hyperlink xmlns:r="http://schemas.openxmlformats.org/officeDocument/2006/relationships" ref="H350" r:id="rId346"/>
    <hyperlink xmlns:r="http://schemas.openxmlformats.org/officeDocument/2006/relationships" ref="H351" r:id="rId347"/>
    <hyperlink xmlns:r="http://schemas.openxmlformats.org/officeDocument/2006/relationships" ref="H352" r:id="rId348"/>
    <hyperlink xmlns:r="http://schemas.openxmlformats.org/officeDocument/2006/relationships" ref="H353" r:id="rId349"/>
    <hyperlink xmlns:r="http://schemas.openxmlformats.org/officeDocument/2006/relationships" ref="H354" r:id="rId350"/>
    <hyperlink xmlns:r="http://schemas.openxmlformats.org/officeDocument/2006/relationships" ref="H355" r:id="rId351"/>
    <hyperlink xmlns:r="http://schemas.openxmlformats.org/officeDocument/2006/relationships" ref="H356" r:id="rId352"/>
    <hyperlink xmlns:r="http://schemas.openxmlformats.org/officeDocument/2006/relationships" ref="H357" r:id="rId353"/>
    <hyperlink xmlns:r="http://schemas.openxmlformats.org/officeDocument/2006/relationships" ref="H358" r:id="rId354"/>
    <hyperlink xmlns:r="http://schemas.openxmlformats.org/officeDocument/2006/relationships" ref="H359" r:id="rId355"/>
    <hyperlink xmlns:r="http://schemas.openxmlformats.org/officeDocument/2006/relationships" ref="H360" r:id="rId356"/>
    <hyperlink xmlns:r="http://schemas.openxmlformats.org/officeDocument/2006/relationships" ref="H361" r:id="rId357"/>
    <hyperlink xmlns:r="http://schemas.openxmlformats.org/officeDocument/2006/relationships" ref="H362" r:id="rId358"/>
    <hyperlink xmlns:r="http://schemas.openxmlformats.org/officeDocument/2006/relationships" ref="H363" r:id="rId359"/>
    <hyperlink xmlns:r="http://schemas.openxmlformats.org/officeDocument/2006/relationships" ref="H364" r:id="rId360"/>
    <hyperlink xmlns:r="http://schemas.openxmlformats.org/officeDocument/2006/relationships" ref="H365" r:id="rId361"/>
    <hyperlink xmlns:r="http://schemas.openxmlformats.org/officeDocument/2006/relationships" ref="H366" r:id="rId362"/>
    <hyperlink xmlns:r="http://schemas.openxmlformats.org/officeDocument/2006/relationships" ref="H367" r:id="rId363"/>
    <hyperlink xmlns:r="http://schemas.openxmlformats.org/officeDocument/2006/relationships" ref="H368" r:id="rId364"/>
    <hyperlink xmlns:r="http://schemas.openxmlformats.org/officeDocument/2006/relationships" ref="H369" r:id="rId365"/>
    <hyperlink xmlns:r="http://schemas.openxmlformats.org/officeDocument/2006/relationships" ref="H370" r:id="rId366"/>
    <hyperlink xmlns:r="http://schemas.openxmlformats.org/officeDocument/2006/relationships" ref="H371" r:id="rId367"/>
    <hyperlink xmlns:r="http://schemas.openxmlformats.org/officeDocument/2006/relationships" ref="H372" r:id="rId368"/>
    <hyperlink xmlns:r="http://schemas.openxmlformats.org/officeDocument/2006/relationships" ref="H373" r:id="rId369"/>
    <hyperlink xmlns:r="http://schemas.openxmlformats.org/officeDocument/2006/relationships" ref="H374" r:id="rId370"/>
    <hyperlink xmlns:r="http://schemas.openxmlformats.org/officeDocument/2006/relationships" ref="H375" r:id="rId371"/>
    <hyperlink xmlns:r="http://schemas.openxmlformats.org/officeDocument/2006/relationships" ref="H376" r:id="rId372"/>
    <hyperlink xmlns:r="http://schemas.openxmlformats.org/officeDocument/2006/relationships" ref="H377" r:id="rId373"/>
    <hyperlink xmlns:r="http://schemas.openxmlformats.org/officeDocument/2006/relationships" ref="H378" r:id="rId374"/>
    <hyperlink xmlns:r="http://schemas.openxmlformats.org/officeDocument/2006/relationships" ref="H379" r:id="rId375"/>
    <hyperlink xmlns:r="http://schemas.openxmlformats.org/officeDocument/2006/relationships" ref="H380" r:id="rId376"/>
    <hyperlink xmlns:r="http://schemas.openxmlformats.org/officeDocument/2006/relationships" ref="H381" r:id="rId377"/>
    <hyperlink xmlns:r="http://schemas.openxmlformats.org/officeDocument/2006/relationships" ref="H382" r:id="rId378"/>
    <hyperlink xmlns:r="http://schemas.openxmlformats.org/officeDocument/2006/relationships" ref="H383" r:id="rId379"/>
    <hyperlink xmlns:r="http://schemas.openxmlformats.org/officeDocument/2006/relationships" ref="H384" r:id="rId380"/>
    <hyperlink xmlns:r="http://schemas.openxmlformats.org/officeDocument/2006/relationships" ref="H385" r:id="rId381"/>
    <hyperlink xmlns:r="http://schemas.openxmlformats.org/officeDocument/2006/relationships" ref="H386" r:id="rId382"/>
    <hyperlink xmlns:r="http://schemas.openxmlformats.org/officeDocument/2006/relationships" ref="H387" r:id="rId383"/>
    <hyperlink xmlns:r="http://schemas.openxmlformats.org/officeDocument/2006/relationships" ref="H388" r:id="rId384"/>
    <hyperlink xmlns:r="http://schemas.openxmlformats.org/officeDocument/2006/relationships" ref="H389" r:id="rId385"/>
    <hyperlink xmlns:r="http://schemas.openxmlformats.org/officeDocument/2006/relationships" ref="H390" r:id="rId386"/>
    <hyperlink xmlns:r="http://schemas.openxmlformats.org/officeDocument/2006/relationships" ref="H391" r:id="rId387"/>
    <hyperlink xmlns:r="http://schemas.openxmlformats.org/officeDocument/2006/relationships" ref="H392" r:id="rId388"/>
    <hyperlink xmlns:r="http://schemas.openxmlformats.org/officeDocument/2006/relationships" ref="H393" r:id="rId389"/>
    <hyperlink xmlns:r="http://schemas.openxmlformats.org/officeDocument/2006/relationships" ref="H394" r:id="rId390"/>
    <hyperlink xmlns:r="http://schemas.openxmlformats.org/officeDocument/2006/relationships" ref="H395" r:id="rId391"/>
    <hyperlink xmlns:r="http://schemas.openxmlformats.org/officeDocument/2006/relationships" ref="H396" r:id="rId392"/>
    <hyperlink xmlns:r="http://schemas.openxmlformats.org/officeDocument/2006/relationships" ref="H397" r:id="rId393"/>
    <hyperlink xmlns:r="http://schemas.openxmlformats.org/officeDocument/2006/relationships" ref="H398" r:id="rId394"/>
    <hyperlink xmlns:r="http://schemas.openxmlformats.org/officeDocument/2006/relationships" ref="H399" r:id="rId395"/>
    <hyperlink xmlns:r="http://schemas.openxmlformats.org/officeDocument/2006/relationships" ref="H400" r:id="rId396"/>
    <hyperlink xmlns:r="http://schemas.openxmlformats.org/officeDocument/2006/relationships" ref="H401" r:id="rId397"/>
    <hyperlink xmlns:r="http://schemas.openxmlformats.org/officeDocument/2006/relationships" ref="H402" r:id="rId398"/>
    <hyperlink xmlns:r="http://schemas.openxmlformats.org/officeDocument/2006/relationships" ref="H403" r:id="rId399"/>
    <hyperlink xmlns:r="http://schemas.openxmlformats.org/officeDocument/2006/relationships" ref="H404" r:id="rId400"/>
    <hyperlink xmlns:r="http://schemas.openxmlformats.org/officeDocument/2006/relationships" ref="H405" r:id="rId401"/>
    <hyperlink xmlns:r="http://schemas.openxmlformats.org/officeDocument/2006/relationships" ref="H406" r:id="rId402"/>
    <hyperlink xmlns:r="http://schemas.openxmlformats.org/officeDocument/2006/relationships" ref="H407" r:id="rId403"/>
    <hyperlink xmlns:r="http://schemas.openxmlformats.org/officeDocument/2006/relationships" ref="H408" r:id="rId404"/>
    <hyperlink xmlns:r="http://schemas.openxmlformats.org/officeDocument/2006/relationships" ref="H409" r:id="rId405"/>
    <hyperlink xmlns:r="http://schemas.openxmlformats.org/officeDocument/2006/relationships" ref="H410" r:id="rId406"/>
    <hyperlink xmlns:r="http://schemas.openxmlformats.org/officeDocument/2006/relationships" ref="H411" r:id="rId407"/>
    <hyperlink xmlns:r="http://schemas.openxmlformats.org/officeDocument/2006/relationships" ref="H412" r:id="rId408"/>
    <hyperlink xmlns:r="http://schemas.openxmlformats.org/officeDocument/2006/relationships" ref="H413" r:id="rId409"/>
    <hyperlink xmlns:r="http://schemas.openxmlformats.org/officeDocument/2006/relationships" ref="H414" r:id="rId410"/>
    <hyperlink xmlns:r="http://schemas.openxmlformats.org/officeDocument/2006/relationships" ref="H415" r:id="rId411"/>
    <hyperlink xmlns:r="http://schemas.openxmlformats.org/officeDocument/2006/relationships" ref="H416" r:id="rId412"/>
    <hyperlink xmlns:r="http://schemas.openxmlformats.org/officeDocument/2006/relationships" ref="H417" r:id="rId413"/>
    <hyperlink xmlns:r="http://schemas.openxmlformats.org/officeDocument/2006/relationships" ref="H418" r:id="rId414"/>
    <hyperlink xmlns:r="http://schemas.openxmlformats.org/officeDocument/2006/relationships" ref="H419" r:id="rId415"/>
    <hyperlink xmlns:r="http://schemas.openxmlformats.org/officeDocument/2006/relationships" ref="H420" r:id="rId416"/>
    <hyperlink xmlns:r="http://schemas.openxmlformats.org/officeDocument/2006/relationships" ref="H421" r:id="rId417"/>
    <hyperlink xmlns:r="http://schemas.openxmlformats.org/officeDocument/2006/relationships" ref="H422" r:id="rId418"/>
    <hyperlink xmlns:r="http://schemas.openxmlformats.org/officeDocument/2006/relationships" ref="H423" r:id="rId419"/>
    <hyperlink xmlns:r="http://schemas.openxmlformats.org/officeDocument/2006/relationships" ref="H424" r:id="rId420"/>
    <hyperlink xmlns:r="http://schemas.openxmlformats.org/officeDocument/2006/relationships" ref="H425" r:id="rId421"/>
    <hyperlink xmlns:r="http://schemas.openxmlformats.org/officeDocument/2006/relationships" ref="H426" r:id="rId422"/>
    <hyperlink xmlns:r="http://schemas.openxmlformats.org/officeDocument/2006/relationships" ref="H427" r:id="rId423"/>
    <hyperlink xmlns:r="http://schemas.openxmlformats.org/officeDocument/2006/relationships" ref="H428" r:id="rId424"/>
    <hyperlink xmlns:r="http://schemas.openxmlformats.org/officeDocument/2006/relationships" ref="H429" r:id="rId425"/>
    <hyperlink xmlns:r="http://schemas.openxmlformats.org/officeDocument/2006/relationships" ref="H430" r:id="rId426"/>
    <hyperlink xmlns:r="http://schemas.openxmlformats.org/officeDocument/2006/relationships" ref="H431" r:id="rId427"/>
    <hyperlink xmlns:r="http://schemas.openxmlformats.org/officeDocument/2006/relationships" ref="H432" r:id="rId428"/>
    <hyperlink xmlns:r="http://schemas.openxmlformats.org/officeDocument/2006/relationships" ref="H433" r:id="rId429"/>
    <hyperlink xmlns:r="http://schemas.openxmlformats.org/officeDocument/2006/relationships" ref="H434" r:id="rId430"/>
    <hyperlink xmlns:r="http://schemas.openxmlformats.org/officeDocument/2006/relationships" ref="H435" r:id="rId431"/>
    <hyperlink xmlns:r="http://schemas.openxmlformats.org/officeDocument/2006/relationships" ref="H436" r:id="rId432"/>
    <hyperlink xmlns:r="http://schemas.openxmlformats.org/officeDocument/2006/relationships" ref="H437" r:id="rId433"/>
    <hyperlink xmlns:r="http://schemas.openxmlformats.org/officeDocument/2006/relationships" ref="H438" r:id="rId434"/>
    <hyperlink xmlns:r="http://schemas.openxmlformats.org/officeDocument/2006/relationships" ref="H439" r:id="rId435"/>
    <hyperlink xmlns:r="http://schemas.openxmlformats.org/officeDocument/2006/relationships" ref="H440" r:id="rId436"/>
    <hyperlink xmlns:r="http://schemas.openxmlformats.org/officeDocument/2006/relationships" ref="H441" r:id="rId437"/>
    <hyperlink xmlns:r="http://schemas.openxmlformats.org/officeDocument/2006/relationships" ref="H442" r:id="rId438"/>
    <hyperlink xmlns:r="http://schemas.openxmlformats.org/officeDocument/2006/relationships" ref="H443" r:id="rId439"/>
    <hyperlink xmlns:r="http://schemas.openxmlformats.org/officeDocument/2006/relationships" ref="H444" r:id="rId440"/>
    <hyperlink xmlns:r="http://schemas.openxmlformats.org/officeDocument/2006/relationships" ref="H445" r:id="rId441"/>
    <hyperlink xmlns:r="http://schemas.openxmlformats.org/officeDocument/2006/relationships" ref="H446" r:id="rId442"/>
    <hyperlink xmlns:r="http://schemas.openxmlformats.org/officeDocument/2006/relationships" ref="H447" r:id="rId443"/>
    <hyperlink xmlns:r="http://schemas.openxmlformats.org/officeDocument/2006/relationships" ref="H448" r:id="rId444"/>
    <hyperlink xmlns:r="http://schemas.openxmlformats.org/officeDocument/2006/relationships" ref="H449" r:id="rId445"/>
    <hyperlink xmlns:r="http://schemas.openxmlformats.org/officeDocument/2006/relationships" ref="H450" r:id="rId446"/>
    <hyperlink xmlns:r="http://schemas.openxmlformats.org/officeDocument/2006/relationships" ref="H451" r:id="rId447"/>
    <hyperlink xmlns:r="http://schemas.openxmlformats.org/officeDocument/2006/relationships" ref="H452" r:id="rId448"/>
    <hyperlink xmlns:r="http://schemas.openxmlformats.org/officeDocument/2006/relationships" ref="H453" r:id="rId449"/>
    <hyperlink xmlns:r="http://schemas.openxmlformats.org/officeDocument/2006/relationships" ref="H454" r:id="rId450"/>
    <hyperlink xmlns:r="http://schemas.openxmlformats.org/officeDocument/2006/relationships" ref="H455" r:id="rId451"/>
    <hyperlink xmlns:r="http://schemas.openxmlformats.org/officeDocument/2006/relationships" ref="H456" r:id="rId452"/>
    <hyperlink xmlns:r="http://schemas.openxmlformats.org/officeDocument/2006/relationships" ref="H457" r:id="rId453"/>
    <hyperlink xmlns:r="http://schemas.openxmlformats.org/officeDocument/2006/relationships" ref="H458" r:id="rId454"/>
    <hyperlink xmlns:r="http://schemas.openxmlformats.org/officeDocument/2006/relationships" ref="H459" r:id="rId455"/>
    <hyperlink xmlns:r="http://schemas.openxmlformats.org/officeDocument/2006/relationships" ref="H460" r:id="rId456"/>
    <hyperlink xmlns:r="http://schemas.openxmlformats.org/officeDocument/2006/relationships" ref="H461" r:id="rId457"/>
    <hyperlink xmlns:r="http://schemas.openxmlformats.org/officeDocument/2006/relationships" ref="H462" r:id="rId458"/>
    <hyperlink xmlns:r="http://schemas.openxmlformats.org/officeDocument/2006/relationships" ref="H463" r:id="rId459"/>
    <hyperlink xmlns:r="http://schemas.openxmlformats.org/officeDocument/2006/relationships" ref="H464" r:id="rId460"/>
    <hyperlink xmlns:r="http://schemas.openxmlformats.org/officeDocument/2006/relationships" ref="H465" r:id="rId461"/>
    <hyperlink xmlns:r="http://schemas.openxmlformats.org/officeDocument/2006/relationships" ref="H466" r:id="rId462"/>
    <hyperlink xmlns:r="http://schemas.openxmlformats.org/officeDocument/2006/relationships" ref="H467" r:id="rId463"/>
    <hyperlink xmlns:r="http://schemas.openxmlformats.org/officeDocument/2006/relationships" ref="H468" r:id="rId464"/>
    <hyperlink xmlns:r="http://schemas.openxmlformats.org/officeDocument/2006/relationships" ref="H469" r:id="rId465"/>
    <hyperlink xmlns:r="http://schemas.openxmlformats.org/officeDocument/2006/relationships" ref="H470" r:id="rId466"/>
    <hyperlink xmlns:r="http://schemas.openxmlformats.org/officeDocument/2006/relationships" ref="H471" r:id="rId467"/>
    <hyperlink xmlns:r="http://schemas.openxmlformats.org/officeDocument/2006/relationships" ref="H472" r:id="rId468"/>
    <hyperlink xmlns:r="http://schemas.openxmlformats.org/officeDocument/2006/relationships" ref="H473" r:id="rId469"/>
    <hyperlink xmlns:r="http://schemas.openxmlformats.org/officeDocument/2006/relationships" ref="H474" r:id="rId470"/>
    <hyperlink xmlns:r="http://schemas.openxmlformats.org/officeDocument/2006/relationships" ref="H475" r:id="rId471"/>
    <hyperlink xmlns:r="http://schemas.openxmlformats.org/officeDocument/2006/relationships" ref="H476" r:id="rId472"/>
    <hyperlink xmlns:r="http://schemas.openxmlformats.org/officeDocument/2006/relationships" ref="H477" r:id="rId473"/>
    <hyperlink xmlns:r="http://schemas.openxmlformats.org/officeDocument/2006/relationships" ref="H478" r:id="rId474"/>
    <hyperlink xmlns:r="http://schemas.openxmlformats.org/officeDocument/2006/relationships" ref="H479" r:id="rId475"/>
    <hyperlink xmlns:r="http://schemas.openxmlformats.org/officeDocument/2006/relationships" ref="H480" r:id="rId476"/>
    <hyperlink xmlns:r="http://schemas.openxmlformats.org/officeDocument/2006/relationships" ref="H481" r:id="rId477"/>
    <hyperlink xmlns:r="http://schemas.openxmlformats.org/officeDocument/2006/relationships" ref="H482" r:id="rId478"/>
    <hyperlink xmlns:r="http://schemas.openxmlformats.org/officeDocument/2006/relationships" ref="H483" r:id="rId479"/>
    <hyperlink xmlns:r="http://schemas.openxmlformats.org/officeDocument/2006/relationships" ref="H484" r:id="rId480"/>
    <hyperlink xmlns:r="http://schemas.openxmlformats.org/officeDocument/2006/relationships" ref="H485" r:id="rId481"/>
    <hyperlink xmlns:r="http://schemas.openxmlformats.org/officeDocument/2006/relationships" ref="H486" r:id="rId482"/>
    <hyperlink xmlns:r="http://schemas.openxmlformats.org/officeDocument/2006/relationships" ref="H487" r:id="rId483"/>
    <hyperlink xmlns:r="http://schemas.openxmlformats.org/officeDocument/2006/relationships" ref="H488" r:id="rId484"/>
    <hyperlink xmlns:r="http://schemas.openxmlformats.org/officeDocument/2006/relationships" ref="H489" r:id="rId485"/>
    <hyperlink xmlns:r="http://schemas.openxmlformats.org/officeDocument/2006/relationships" ref="H490" r:id="rId486"/>
    <hyperlink xmlns:r="http://schemas.openxmlformats.org/officeDocument/2006/relationships" ref="H491" r:id="rId487"/>
    <hyperlink xmlns:r="http://schemas.openxmlformats.org/officeDocument/2006/relationships" ref="H492" r:id="rId488"/>
    <hyperlink xmlns:r="http://schemas.openxmlformats.org/officeDocument/2006/relationships" ref="H493" r:id="rId489"/>
    <hyperlink xmlns:r="http://schemas.openxmlformats.org/officeDocument/2006/relationships" ref="H494" r:id="rId490"/>
    <hyperlink xmlns:r="http://schemas.openxmlformats.org/officeDocument/2006/relationships" ref="H495" r:id="rId491"/>
    <hyperlink xmlns:r="http://schemas.openxmlformats.org/officeDocument/2006/relationships" ref="H496" r:id="rId492"/>
    <hyperlink xmlns:r="http://schemas.openxmlformats.org/officeDocument/2006/relationships" ref="H497" r:id="rId493"/>
    <hyperlink xmlns:r="http://schemas.openxmlformats.org/officeDocument/2006/relationships" ref="H498" r:id="rId494"/>
    <hyperlink xmlns:r="http://schemas.openxmlformats.org/officeDocument/2006/relationships" ref="H499" r:id="rId495"/>
    <hyperlink xmlns:r="http://schemas.openxmlformats.org/officeDocument/2006/relationships" ref="H500" r:id="rId496"/>
    <hyperlink xmlns:r="http://schemas.openxmlformats.org/officeDocument/2006/relationships" ref="H501" r:id="rId497"/>
    <hyperlink xmlns:r="http://schemas.openxmlformats.org/officeDocument/2006/relationships" ref="H502" r:id="rId498"/>
    <hyperlink xmlns:r="http://schemas.openxmlformats.org/officeDocument/2006/relationships" ref="H503" r:id="rId499"/>
    <hyperlink xmlns:r="http://schemas.openxmlformats.org/officeDocument/2006/relationships" ref="H504" r:id="rId500"/>
    <hyperlink xmlns:r="http://schemas.openxmlformats.org/officeDocument/2006/relationships" ref="H505" r:id="rId501"/>
    <hyperlink xmlns:r="http://schemas.openxmlformats.org/officeDocument/2006/relationships" ref="H506" r:id="rId502"/>
    <hyperlink xmlns:r="http://schemas.openxmlformats.org/officeDocument/2006/relationships" ref="H507" r:id="rId503"/>
    <hyperlink xmlns:r="http://schemas.openxmlformats.org/officeDocument/2006/relationships" ref="H508" r:id="rId504"/>
    <hyperlink xmlns:r="http://schemas.openxmlformats.org/officeDocument/2006/relationships" ref="H509" r:id="rId505"/>
    <hyperlink xmlns:r="http://schemas.openxmlformats.org/officeDocument/2006/relationships" ref="H510" r:id="rId506"/>
    <hyperlink xmlns:r="http://schemas.openxmlformats.org/officeDocument/2006/relationships" ref="H511" r:id="rId507"/>
    <hyperlink xmlns:r="http://schemas.openxmlformats.org/officeDocument/2006/relationships" ref="H512" r:id="rId508"/>
    <hyperlink xmlns:r="http://schemas.openxmlformats.org/officeDocument/2006/relationships" ref="H513" r:id="rId509"/>
    <hyperlink xmlns:r="http://schemas.openxmlformats.org/officeDocument/2006/relationships" ref="H514" r:id="rId510"/>
    <hyperlink xmlns:r="http://schemas.openxmlformats.org/officeDocument/2006/relationships" ref="H515" r:id="rId511"/>
    <hyperlink xmlns:r="http://schemas.openxmlformats.org/officeDocument/2006/relationships" ref="H516" r:id="rId512"/>
    <hyperlink xmlns:r="http://schemas.openxmlformats.org/officeDocument/2006/relationships" ref="H517" r:id="rId513"/>
    <hyperlink xmlns:r="http://schemas.openxmlformats.org/officeDocument/2006/relationships" ref="H518" r:id="rId514"/>
    <hyperlink xmlns:r="http://schemas.openxmlformats.org/officeDocument/2006/relationships" ref="H519" r:id="rId515"/>
    <hyperlink xmlns:r="http://schemas.openxmlformats.org/officeDocument/2006/relationships" ref="H520" r:id="rId516"/>
    <hyperlink xmlns:r="http://schemas.openxmlformats.org/officeDocument/2006/relationships" ref="H521" r:id="rId517"/>
    <hyperlink xmlns:r="http://schemas.openxmlformats.org/officeDocument/2006/relationships" ref="H522" r:id="rId518"/>
    <hyperlink xmlns:r="http://schemas.openxmlformats.org/officeDocument/2006/relationships" ref="H523" r:id="rId519"/>
    <hyperlink xmlns:r="http://schemas.openxmlformats.org/officeDocument/2006/relationships" ref="H524" r:id="rId520"/>
    <hyperlink xmlns:r="http://schemas.openxmlformats.org/officeDocument/2006/relationships" ref="H525" r:id="rId521"/>
    <hyperlink xmlns:r="http://schemas.openxmlformats.org/officeDocument/2006/relationships" ref="H526" r:id="rId522"/>
    <hyperlink xmlns:r="http://schemas.openxmlformats.org/officeDocument/2006/relationships" ref="H527" r:id="rId523"/>
    <hyperlink xmlns:r="http://schemas.openxmlformats.org/officeDocument/2006/relationships" ref="H528" r:id="rId524"/>
    <hyperlink xmlns:r="http://schemas.openxmlformats.org/officeDocument/2006/relationships" ref="H529" r:id="rId525"/>
    <hyperlink xmlns:r="http://schemas.openxmlformats.org/officeDocument/2006/relationships" ref="H530" r:id="rId526"/>
    <hyperlink xmlns:r="http://schemas.openxmlformats.org/officeDocument/2006/relationships" ref="H531" r:id="rId527"/>
    <hyperlink xmlns:r="http://schemas.openxmlformats.org/officeDocument/2006/relationships" ref="H532" r:id="rId528"/>
    <hyperlink xmlns:r="http://schemas.openxmlformats.org/officeDocument/2006/relationships" ref="H533" r:id="rId529"/>
    <hyperlink xmlns:r="http://schemas.openxmlformats.org/officeDocument/2006/relationships" ref="H534" r:id="rId530"/>
    <hyperlink xmlns:r="http://schemas.openxmlformats.org/officeDocument/2006/relationships" ref="H535" r:id="rId531"/>
    <hyperlink xmlns:r="http://schemas.openxmlformats.org/officeDocument/2006/relationships" ref="H536" r:id="rId532"/>
    <hyperlink xmlns:r="http://schemas.openxmlformats.org/officeDocument/2006/relationships" ref="H537" r:id="rId533"/>
    <hyperlink xmlns:r="http://schemas.openxmlformats.org/officeDocument/2006/relationships" ref="H538" r:id="rId534"/>
    <hyperlink xmlns:r="http://schemas.openxmlformats.org/officeDocument/2006/relationships" ref="H539" r:id="rId535"/>
    <hyperlink xmlns:r="http://schemas.openxmlformats.org/officeDocument/2006/relationships" ref="H540" r:id="rId536"/>
    <hyperlink xmlns:r="http://schemas.openxmlformats.org/officeDocument/2006/relationships" ref="H541" r:id="rId537"/>
    <hyperlink xmlns:r="http://schemas.openxmlformats.org/officeDocument/2006/relationships" ref="H542" r:id="rId538"/>
    <hyperlink xmlns:r="http://schemas.openxmlformats.org/officeDocument/2006/relationships" ref="H543" r:id="rId539"/>
    <hyperlink xmlns:r="http://schemas.openxmlformats.org/officeDocument/2006/relationships" ref="H544" r:id="rId540"/>
    <hyperlink xmlns:r="http://schemas.openxmlformats.org/officeDocument/2006/relationships" ref="H545" r:id="rId541"/>
    <hyperlink xmlns:r="http://schemas.openxmlformats.org/officeDocument/2006/relationships" ref="H546" r:id="rId542"/>
    <hyperlink xmlns:r="http://schemas.openxmlformats.org/officeDocument/2006/relationships" ref="H547" r:id="rId543"/>
    <hyperlink xmlns:r="http://schemas.openxmlformats.org/officeDocument/2006/relationships" ref="H548" r:id="rId544"/>
    <hyperlink xmlns:r="http://schemas.openxmlformats.org/officeDocument/2006/relationships" ref="H549" r:id="rId545"/>
    <hyperlink xmlns:r="http://schemas.openxmlformats.org/officeDocument/2006/relationships" ref="H550" r:id="rId546"/>
    <hyperlink xmlns:r="http://schemas.openxmlformats.org/officeDocument/2006/relationships" ref="H551" r:id="rId547"/>
    <hyperlink xmlns:r="http://schemas.openxmlformats.org/officeDocument/2006/relationships" ref="H552" r:id="rId548"/>
    <hyperlink xmlns:r="http://schemas.openxmlformats.org/officeDocument/2006/relationships" ref="H553" r:id="rId549"/>
    <hyperlink xmlns:r="http://schemas.openxmlformats.org/officeDocument/2006/relationships" ref="H554" r:id="rId550"/>
    <hyperlink xmlns:r="http://schemas.openxmlformats.org/officeDocument/2006/relationships" ref="H555" r:id="rId551"/>
    <hyperlink xmlns:r="http://schemas.openxmlformats.org/officeDocument/2006/relationships" ref="H556" r:id="rId552"/>
    <hyperlink xmlns:r="http://schemas.openxmlformats.org/officeDocument/2006/relationships" ref="H557" r:id="rId553"/>
    <hyperlink xmlns:r="http://schemas.openxmlformats.org/officeDocument/2006/relationships" ref="H558" r:id="rId554"/>
    <hyperlink xmlns:r="http://schemas.openxmlformats.org/officeDocument/2006/relationships" ref="H559" r:id="rId555"/>
    <hyperlink xmlns:r="http://schemas.openxmlformats.org/officeDocument/2006/relationships" ref="H560" r:id="rId556"/>
    <hyperlink xmlns:r="http://schemas.openxmlformats.org/officeDocument/2006/relationships" ref="H561" r:id="rId557"/>
    <hyperlink xmlns:r="http://schemas.openxmlformats.org/officeDocument/2006/relationships" ref="H562" r:id="rId558"/>
    <hyperlink xmlns:r="http://schemas.openxmlformats.org/officeDocument/2006/relationships" ref="H563" r:id="rId559"/>
    <hyperlink xmlns:r="http://schemas.openxmlformats.org/officeDocument/2006/relationships" ref="H564" r:id="rId560"/>
    <hyperlink xmlns:r="http://schemas.openxmlformats.org/officeDocument/2006/relationships" ref="H565" r:id="rId561"/>
    <hyperlink xmlns:r="http://schemas.openxmlformats.org/officeDocument/2006/relationships" ref="H566" r:id="rId562"/>
    <hyperlink xmlns:r="http://schemas.openxmlformats.org/officeDocument/2006/relationships" ref="H567" r:id="rId563"/>
    <hyperlink xmlns:r="http://schemas.openxmlformats.org/officeDocument/2006/relationships" ref="H568" r:id="rId564"/>
    <hyperlink xmlns:r="http://schemas.openxmlformats.org/officeDocument/2006/relationships" ref="H569" r:id="rId565"/>
    <hyperlink xmlns:r="http://schemas.openxmlformats.org/officeDocument/2006/relationships" ref="H570" r:id="rId566"/>
    <hyperlink xmlns:r="http://schemas.openxmlformats.org/officeDocument/2006/relationships" ref="H571" r:id="rId567"/>
    <hyperlink xmlns:r="http://schemas.openxmlformats.org/officeDocument/2006/relationships" ref="H572" r:id="rId568"/>
    <hyperlink xmlns:r="http://schemas.openxmlformats.org/officeDocument/2006/relationships" ref="H573" r:id="rId569"/>
    <hyperlink xmlns:r="http://schemas.openxmlformats.org/officeDocument/2006/relationships" ref="H574" r:id="rId570"/>
    <hyperlink xmlns:r="http://schemas.openxmlformats.org/officeDocument/2006/relationships" ref="H575" r:id="rId571"/>
    <hyperlink xmlns:r="http://schemas.openxmlformats.org/officeDocument/2006/relationships" ref="H576" r:id="rId572"/>
    <hyperlink xmlns:r="http://schemas.openxmlformats.org/officeDocument/2006/relationships" ref="H577" r:id="rId573"/>
    <hyperlink xmlns:r="http://schemas.openxmlformats.org/officeDocument/2006/relationships" ref="H578" r:id="rId574"/>
    <hyperlink xmlns:r="http://schemas.openxmlformats.org/officeDocument/2006/relationships" ref="H579" r:id="rId575"/>
    <hyperlink xmlns:r="http://schemas.openxmlformats.org/officeDocument/2006/relationships" ref="H580" r:id="rId576"/>
    <hyperlink xmlns:r="http://schemas.openxmlformats.org/officeDocument/2006/relationships" ref="H581" r:id="rId577"/>
    <hyperlink xmlns:r="http://schemas.openxmlformats.org/officeDocument/2006/relationships" ref="H582" r:id="rId578"/>
    <hyperlink xmlns:r="http://schemas.openxmlformats.org/officeDocument/2006/relationships" ref="H583" r:id="rId579"/>
    <hyperlink xmlns:r="http://schemas.openxmlformats.org/officeDocument/2006/relationships" ref="H584" r:id="rId580"/>
    <hyperlink xmlns:r="http://schemas.openxmlformats.org/officeDocument/2006/relationships" ref="H585" r:id="rId581"/>
    <hyperlink xmlns:r="http://schemas.openxmlformats.org/officeDocument/2006/relationships" ref="H586" r:id="rId582"/>
    <hyperlink xmlns:r="http://schemas.openxmlformats.org/officeDocument/2006/relationships" ref="H587" r:id="rId583"/>
    <hyperlink xmlns:r="http://schemas.openxmlformats.org/officeDocument/2006/relationships" ref="H588" r:id="rId584"/>
    <hyperlink xmlns:r="http://schemas.openxmlformats.org/officeDocument/2006/relationships" ref="H589" r:id="rId585"/>
    <hyperlink xmlns:r="http://schemas.openxmlformats.org/officeDocument/2006/relationships" ref="H590" r:id="rId586"/>
    <hyperlink xmlns:r="http://schemas.openxmlformats.org/officeDocument/2006/relationships" ref="H591" r:id="rId587"/>
    <hyperlink xmlns:r="http://schemas.openxmlformats.org/officeDocument/2006/relationships" ref="H592" r:id="rId588"/>
    <hyperlink xmlns:r="http://schemas.openxmlformats.org/officeDocument/2006/relationships" ref="H593" r:id="rId589"/>
    <hyperlink xmlns:r="http://schemas.openxmlformats.org/officeDocument/2006/relationships" ref="H594" r:id="rId590"/>
    <hyperlink xmlns:r="http://schemas.openxmlformats.org/officeDocument/2006/relationships" ref="H595" r:id="rId591"/>
    <hyperlink xmlns:r="http://schemas.openxmlformats.org/officeDocument/2006/relationships" ref="H596" r:id="rId592"/>
    <hyperlink xmlns:r="http://schemas.openxmlformats.org/officeDocument/2006/relationships" ref="H597" r:id="rId593"/>
    <hyperlink xmlns:r="http://schemas.openxmlformats.org/officeDocument/2006/relationships" ref="H598" r:id="rId594"/>
    <hyperlink xmlns:r="http://schemas.openxmlformats.org/officeDocument/2006/relationships" ref="H599" r:id="rId595"/>
    <hyperlink xmlns:r="http://schemas.openxmlformats.org/officeDocument/2006/relationships" ref="H600" r:id="rId596"/>
    <hyperlink xmlns:r="http://schemas.openxmlformats.org/officeDocument/2006/relationships" ref="H601" r:id="rId597"/>
    <hyperlink xmlns:r="http://schemas.openxmlformats.org/officeDocument/2006/relationships" ref="H602" r:id="rId598"/>
    <hyperlink xmlns:r="http://schemas.openxmlformats.org/officeDocument/2006/relationships" ref="H603" r:id="rId599"/>
    <hyperlink xmlns:r="http://schemas.openxmlformats.org/officeDocument/2006/relationships" ref="H604" r:id="rId600"/>
    <hyperlink xmlns:r="http://schemas.openxmlformats.org/officeDocument/2006/relationships" ref="H605" r:id="rId601"/>
    <hyperlink xmlns:r="http://schemas.openxmlformats.org/officeDocument/2006/relationships" ref="H606" r:id="rId602"/>
    <hyperlink xmlns:r="http://schemas.openxmlformats.org/officeDocument/2006/relationships" ref="H607" r:id="rId603"/>
    <hyperlink xmlns:r="http://schemas.openxmlformats.org/officeDocument/2006/relationships" ref="H608" r:id="rId604"/>
    <hyperlink xmlns:r="http://schemas.openxmlformats.org/officeDocument/2006/relationships" ref="H609" r:id="rId605"/>
    <hyperlink xmlns:r="http://schemas.openxmlformats.org/officeDocument/2006/relationships" ref="H610" r:id="rId606"/>
    <hyperlink xmlns:r="http://schemas.openxmlformats.org/officeDocument/2006/relationships" ref="H611" r:id="rId607"/>
    <hyperlink xmlns:r="http://schemas.openxmlformats.org/officeDocument/2006/relationships" ref="H612" r:id="rId608"/>
    <hyperlink xmlns:r="http://schemas.openxmlformats.org/officeDocument/2006/relationships" ref="H613" r:id="rId609"/>
    <hyperlink xmlns:r="http://schemas.openxmlformats.org/officeDocument/2006/relationships" ref="H614" r:id="rId610"/>
    <hyperlink xmlns:r="http://schemas.openxmlformats.org/officeDocument/2006/relationships" ref="H615" r:id="rId611"/>
    <hyperlink xmlns:r="http://schemas.openxmlformats.org/officeDocument/2006/relationships" ref="H616" r:id="rId612"/>
    <hyperlink xmlns:r="http://schemas.openxmlformats.org/officeDocument/2006/relationships" ref="H617" r:id="rId613"/>
    <hyperlink xmlns:r="http://schemas.openxmlformats.org/officeDocument/2006/relationships" ref="H618" r:id="rId614"/>
    <hyperlink xmlns:r="http://schemas.openxmlformats.org/officeDocument/2006/relationships" ref="H619" r:id="rId615"/>
    <hyperlink xmlns:r="http://schemas.openxmlformats.org/officeDocument/2006/relationships" ref="H620" r:id="rId616"/>
    <hyperlink xmlns:r="http://schemas.openxmlformats.org/officeDocument/2006/relationships" ref="H621" r:id="rId617"/>
    <hyperlink xmlns:r="http://schemas.openxmlformats.org/officeDocument/2006/relationships" ref="H622" r:id="rId618"/>
    <hyperlink xmlns:r="http://schemas.openxmlformats.org/officeDocument/2006/relationships" ref="H623" r:id="rId619"/>
    <hyperlink xmlns:r="http://schemas.openxmlformats.org/officeDocument/2006/relationships" ref="H624" r:id="rId620"/>
    <hyperlink xmlns:r="http://schemas.openxmlformats.org/officeDocument/2006/relationships" ref="H625" r:id="rId621"/>
    <hyperlink xmlns:r="http://schemas.openxmlformats.org/officeDocument/2006/relationships" ref="H626" r:id="rId622"/>
    <hyperlink xmlns:r="http://schemas.openxmlformats.org/officeDocument/2006/relationships" ref="H627" r:id="rId623"/>
    <hyperlink xmlns:r="http://schemas.openxmlformats.org/officeDocument/2006/relationships" ref="H628" r:id="rId624"/>
    <hyperlink xmlns:r="http://schemas.openxmlformats.org/officeDocument/2006/relationships" ref="H629" r:id="rId625"/>
    <hyperlink xmlns:r="http://schemas.openxmlformats.org/officeDocument/2006/relationships" ref="H630" r:id="rId626"/>
    <hyperlink xmlns:r="http://schemas.openxmlformats.org/officeDocument/2006/relationships" ref="H631" r:id="rId627"/>
    <hyperlink xmlns:r="http://schemas.openxmlformats.org/officeDocument/2006/relationships" ref="H632" r:id="rId628"/>
    <hyperlink xmlns:r="http://schemas.openxmlformats.org/officeDocument/2006/relationships" ref="H633" r:id="rId629"/>
    <hyperlink xmlns:r="http://schemas.openxmlformats.org/officeDocument/2006/relationships" ref="H634" r:id="rId630"/>
    <hyperlink xmlns:r="http://schemas.openxmlformats.org/officeDocument/2006/relationships" ref="H635" r:id="rId631"/>
    <hyperlink xmlns:r="http://schemas.openxmlformats.org/officeDocument/2006/relationships" ref="H636" r:id="rId632"/>
    <hyperlink xmlns:r="http://schemas.openxmlformats.org/officeDocument/2006/relationships" ref="H637" r:id="rId633"/>
    <hyperlink xmlns:r="http://schemas.openxmlformats.org/officeDocument/2006/relationships" ref="H638" r:id="rId634"/>
    <hyperlink xmlns:r="http://schemas.openxmlformats.org/officeDocument/2006/relationships" ref="H639" r:id="rId635"/>
    <hyperlink xmlns:r="http://schemas.openxmlformats.org/officeDocument/2006/relationships" ref="H640" r:id="rId636"/>
    <hyperlink xmlns:r="http://schemas.openxmlformats.org/officeDocument/2006/relationships" ref="H641" r:id="rId637"/>
    <hyperlink xmlns:r="http://schemas.openxmlformats.org/officeDocument/2006/relationships" ref="H642" r:id="rId638"/>
    <hyperlink xmlns:r="http://schemas.openxmlformats.org/officeDocument/2006/relationships" ref="H643" r:id="rId639"/>
    <hyperlink xmlns:r="http://schemas.openxmlformats.org/officeDocument/2006/relationships" ref="H644" r:id="rId640"/>
    <hyperlink xmlns:r="http://schemas.openxmlformats.org/officeDocument/2006/relationships" ref="H645" r:id="rId641"/>
    <hyperlink xmlns:r="http://schemas.openxmlformats.org/officeDocument/2006/relationships" ref="H646" r:id="rId642"/>
    <hyperlink xmlns:r="http://schemas.openxmlformats.org/officeDocument/2006/relationships" ref="H647" r:id="rId643"/>
    <hyperlink xmlns:r="http://schemas.openxmlformats.org/officeDocument/2006/relationships" ref="H648" r:id="rId644"/>
    <hyperlink xmlns:r="http://schemas.openxmlformats.org/officeDocument/2006/relationships" ref="H649" r:id="rId645"/>
    <hyperlink xmlns:r="http://schemas.openxmlformats.org/officeDocument/2006/relationships" ref="H650" r:id="rId646"/>
    <hyperlink xmlns:r="http://schemas.openxmlformats.org/officeDocument/2006/relationships" ref="H651" r:id="rId647"/>
    <hyperlink xmlns:r="http://schemas.openxmlformats.org/officeDocument/2006/relationships" ref="H652" r:id="rId648"/>
    <hyperlink xmlns:r="http://schemas.openxmlformats.org/officeDocument/2006/relationships" ref="H653" r:id="rId649"/>
    <hyperlink xmlns:r="http://schemas.openxmlformats.org/officeDocument/2006/relationships" ref="H654" r:id="rId650"/>
    <hyperlink xmlns:r="http://schemas.openxmlformats.org/officeDocument/2006/relationships" ref="H655" r:id="rId651"/>
    <hyperlink xmlns:r="http://schemas.openxmlformats.org/officeDocument/2006/relationships" ref="H656" r:id="rId652"/>
    <hyperlink xmlns:r="http://schemas.openxmlformats.org/officeDocument/2006/relationships" ref="H657" r:id="rId653"/>
    <hyperlink xmlns:r="http://schemas.openxmlformats.org/officeDocument/2006/relationships" ref="H658" r:id="rId654"/>
    <hyperlink xmlns:r="http://schemas.openxmlformats.org/officeDocument/2006/relationships" ref="H659" r:id="rId655"/>
    <hyperlink xmlns:r="http://schemas.openxmlformats.org/officeDocument/2006/relationships" ref="H660" r:id="rId656"/>
    <hyperlink xmlns:r="http://schemas.openxmlformats.org/officeDocument/2006/relationships" ref="H661" r:id="rId657"/>
    <hyperlink xmlns:r="http://schemas.openxmlformats.org/officeDocument/2006/relationships" ref="H662" r:id="rId658"/>
    <hyperlink xmlns:r="http://schemas.openxmlformats.org/officeDocument/2006/relationships" ref="H663" r:id="rId659"/>
    <hyperlink xmlns:r="http://schemas.openxmlformats.org/officeDocument/2006/relationships" ref="H664" r:id="rId660"/>
    <hyperlink xmlns:r="http://schemas.openxmlformats.org/officeDocument/2006/relationships" ref="H665" r:id="rId661"/>
    <hyperlink xmlns:r="http://schemas.openxmlformats.org/officeDocument/2006/relationships" ref="H666" r:id="rId662"/>
    <hyperlink xmlns:r="http://schemas.openxmlformats.org/officeDocument/2006/relationships" ref="H667" r:id="rId663"/>
    <hyperlink xmlns:r="http://schemas.openxmlformats.org/officeDocument/2006/relationships" ref="H668" r:id="rId664"/>
    <hyperlink xmlns:r="http://schemas.openxmlformats.org/officeDocument/2006/relationships" ref="H669" r:id="rId665"/>
    <hyperlink xmlns:r="http://schemas.openxmlformats.org/officeDocument/2006/relationships" ref="H670" r:id="rId666"/>
    <hyperlink xmlns:r="http://schemas.openxmlformats.org/officeDocument/2006/relationships" ref="H671" r:id="rId667"/>
    <hyperlink xmlns:r="http://schemas.openxmlformats.org/officeDocument/2006/relationships" ref="H672" r:id="rId668"/>
    <hyperlink xmlns:r="http://schemas.openxmlformats.org/officeDocument/2006/relationships" ref="H673" r:id="rId669"/>
    <hyperlink xmlns:r="http://schemas.openxmlformats.org/officeDocument/2006/relationships" ref="H674" r:id="rId670"/>
    <hyperlink xmlns:r="http://schemas.openxmlformats.org/officeDocument/2006/relationships" ref="H675" r:id="rId671"/>
    <hyperlink xmlns:r="http://schemas.openxmlformats.org/officeDocument/2006/relationships" ref="H676" r:id="rId672"/>
    <hyperlink xmlns:r="http://schemas.openxmlformats.org/officeDocument/2006/relationships" ref="H677" r:id="rId673"/>
    <hyperlink xmlns:r="http://schemas.openxmlformats.org/officeDocument/2006/relationships" ref="H678" r:id="rId674"/>
    <hyperlink xmlns:r="http://schemas.openxmlformats.org/officeDocument/2006/relationships" ref="H679" r:id="rId675"/>
    <hyperlink xmlns:r="http://schemas.openxmlformats.org/officeDocument/2006/relationships" ref="H680" r:id="rId676"/>
    <hyperlink xmlns:r="http://schemas.openxmlformats.org/officeDocument/2006/relationships" ref="H681" r:id="rId677"/>
    <hyperlink xmlns:r="http://schemas.openxmlformats.org/officeDocument/2006/relationships" ref="H682" r:id="rId678"/>
    <hyperlink xmlns:r="http://schemas.openxmlformats.org/officeDocument/2006/relationships" ref="H683" r:id="rId679"/>
    <hyperlink xmlns:r="http://schemas.openxmlformats.org/officeDocument/2006/relationships" ref="H684" r:id="rId680"/>
    <hyperlink xmlns:r="http://schemas.openxmlformats.org/officeDocument/2006/relationships" ref="H685" r:id="rId681"/>
    <hyperlink xmlns:r="http://schemas.openxmlformats.org/officeDocument/2006/relationships" ref="H686" r:id="rId682"/>
    <hyperlink xmlns:r="http://schemas.openxmlformats.org/officeDocument/2006/relationships" ref="H687" r:id="rId683"/>
    <hyperlink xmlns:r="http://schemas.openxmlformats.org/officeDocument/2006/relationships" ref="H688" r:id="rId684"/>
    <hyperlink xmlns:r="http://schemas.openxmlformats.org/officeDocument/2006/relationships" ref="H689" r:id="rId685"/>
    <hyperlink xmlns:r="http://schemas.openxmlformats.org/officeDocument/2006/relationships" ref="H690" r:id="rId686"/>
    <hyperlink xmlns:r="http://schemas.openxmlformats.org/officeDocument/2006/relationships" ref="H691" r:id="rId687"/>
    <hyperlink xmlns:r="http://schemas.openxmlformats.org/officeDocument/2006/relationships" ref="H692" r:id="rId688"/>
    <hyperlink xmlns:r="http://schemas.openxmlformats.org/officeDocument/2006/relationships" ref="H693" r:id="rId689"/>
    <hyperlink xmlns:r="http://schemas.openxmlformats.org/officeDocument/2006/relationships" ref="H694" r:id="rId690"/>
    <hyperlink xmlns:r="http://schemas.openxmlformats.org/officeDocument/2006/relationships" ref="H695" r:id="rId691"/>
    <hyperlink xmlns:r="http://schemas.openxmlformats.org/officeDocument/2006/relationships" ref="H696" r:id="rId692"/>
    <hyperlink xmlns:r="http://schemas.openxmlformats.org/officeDocument/2006/relationships" ref="H697" r:id="rId693"/>
    <hyperlink xmlns:r="http://schemas.openxmlformats.org/officeDocument/2006/relationships" ref="H698" r:id="rId694"/>
    <hyperlink xmlns:r="http://schemas.openxmlformats.org/officeDocument/2006/relationships" ref="H699" r:id="rId695"/>
    <hyperlink xmlns:r="http://schemas.openxmlformats.org/officeDocument/2006/relationships" ref="H700" r:id="rId696"/>
    <hyperlink xmlns:r="http://schemas.openxmlformats.org/officeDocument/2006/relationships" ref="H701" r:id="rId697"/>
    <hyperlink xmlns:r="http://schemas.openxmlformats.org/officeDocument/2006/relationships" ref="H702" r:id="rId698"/>
    <hyperlink xmlns:r="http://schemas.openxmlformats.org/officeDocument/2006/relationships" ref="H703" r:id="rId699"/>
    <hyperlink xmlns:r="http://schemas.openxmlformats.org/officeDocument/2006/relationships" ref="H704" r:id="rId700"/>
    <hyperlink xmlns:r="http://schemas.openxmlformats.org/officeDocument/2006/relationships" ref="H705" r:id="rId701"/>
    <hyperlink xmlns:r="http://schemas.openxmlformats.org/officeDocument/2006/relationships" ref="H706" r:id="rId702"/>
    <hyperlink xmlns:r="http://schemas.openxmlformats.org/officeDocument/2006/relationships" ref="H707" r:id="rId703"/>
    <hyperlink xmlns:r="http://schemas.openxmlformats.org/officeDocument/2006/relationships" ref="H708" r:id="rId704"/>
    <hyperlink xmlns:r="http://schemas.openxmlformats.org/officeDocument/2006/relationships" ref="H709" r:id="rId705"/>
    <hyperlink xmlns:r="http://schemas.openxmlformats.org/officeDocument/2006/relationships" ref="H710" r:id="rId706"/>
    <hyperlink xmlns:r="http://schemas.openxmlformats.org/officeDocument/2006/relationships" ref="H711" r:id="rId707"/>
    <hyperlink xmlns:r="http://schemas.openxmlformats.org/officeDocument/2006/relationships" ref="H712" r:id="rId708"/>
    <hyperlink xmlns:r="http://schemas.openxmlformats.org/officeDocument/2006/relationships" ref="H713" r:id="rId709"/>
    <hyperlink xmlns:r="http://schemas.openxmlformats.org/officeDocument/2006/relationships" ref="H714" r:id="rId710"/>
    <hyperlink xmlns:r="http://schemas.openxmlformats.org/officeDocument/2006/relationships" ref="H715" r:id="rId711"/>
    <hyperlink xmlns:r="http://schemas.openxmlformats.org/officeDocument/2006/relationships" ref="H716" r:id="rId712"/>
    <hyperlink xmlns:r="http://schemas.openxmlformats.org/officeDocument/2006/relationships" ref="H717" r:id="rId713"/>
    <hyperlink xmlns:r="http://schemas.openxmlformats.org/officeDocument/2006/relationships" ref="H718" r:id="rId714"/>
    <hyperlink xmlns:r="http://schemas.openxmlformats.org/officeDocument/2006/relationships" ref="H719" r:id="rId715"/>
    <hyperlink xmlns:r="http://schemas.openxmlformats.org/officeDocument/2006/relationships" ref="H720" r:id="rId716"/>
    <hyperlink xmlns:r="http://schemas.openxmlformats.org/officeDocument/2006/relationships" ref="H721" r:id="rId717"/>
    <hyperlink xmlns:r="http://schemas.openxmlformats.org/officeDocument/2006/relationships" ref="H722" r:id="rId718"/>
    <hyperlink xmlns:r="http://schemas.openxmlformats.org/officeDocument/2006/relationships" ref="H723" r:id="rId719"/>
    <hyperlink xmlns:r="http://schemas.openxmlformats.org/officeDocument/2006/relationships" ref="H724" r:id="rId720"/>
    <hyperlink xmlns:r="http://schemas.openxmlformats.org/officeDocument/2006/relationships" ref="H725" r:id="rId721"/>
    <hyperlink xmlns:r="http://schemas.openxmlformats.org/officeDocument/2006/relationships" ref="H726" r:id="rId722"/>
    <hyperlink xmlns:r="http://schemas.openxmlformats.org/officeDocument/2006/relationships" ref="H727" r:id="rId723"/>
    <hyperlink xmlns:r="http://schemas.openxmlformats.org/officeDocument/2006/relationships" ref="H728" r:id="rId724"/>
    <hyperlink xmlns:r="http://schemas.openxmlformats.org/officeDocument/2006/relationships" ref="H729" r:id="rId725"/>
    <hyperlink xmlns:r="http://schemas.openxmlformats.org/officeDocument/2006/relationships" ref="H730" r:id="rId726"/>
    <hyperlink xmlns:r="http://schemas.openxmlformats.org/officeDocument/2006/relationships" ref="H731" r:id="rId727"/>
    <hyperlink xmlns:r="http://schemas.openxmlformats.org/officeDocument/2006/relationships" ref="H732" r:id="rId728"/>
    <hyperlink xmlns:r="http://schemas.openxmlformats.org/officeDocument/2006/relationships" ref="H733" r:id="rId729"/>
    <hyperlink xmlns:r="http://schemas.openxmlformats.org/officeDocument/2006/relationships" ref="H734" r:id="rId730"/>
    <hyperlink xmlns:r="http://schemas.openxmlformats.org/officeDocument/2006/relationships" ref="H735" r:id="rId731"/>
    <hyperlink xmlns:r="http://schemas.openxmlformats.org/officeDocument/2006/relationships" ref="H736" r:id="rId732"/>
    <hyperlink xmlns:r="http://schemas.openxmlformats.org/officeDocument/2006/relationships" ref="H737" r:id="rId733"/>
    <hyperlink xmlns:r="http://schemas.openxmlformats.org/officeDocument/2006/relationships" ref="H738" r:id="rId734"/>
    <hyperlink xmlns:r="http://schemas.openxmlformats.org/officeDocument/2006/relationships" ref="H739" r:id="rId735"/>
    <hyperlink xmlns:r="http://schemas.openxmlformats.org/officeDocument/2006/relationships" ref="H740" r:id="rId736"/>
    <hyperlink xmlns:r="http://schemas.openxmlformats.org/officeDocument/2006/relationships" ref="H741" r:id="rId737"/>
    <hyperlink xmlns:r="http://schemas.openxmlformats.org/officeDocument/2006/relationships" ref="H742" r:id="rId738"/>
    <hyperlink xmlns:r="http://schemas.openxmlformats.org/officeDocument/2006/relationships" ref="H743" r:id="rId739"/>
    <hyperlink xmlns:r="http://schemas.openxmlformats.org/officeDocument/2006/relationships" ref="H744" r:id="rId740"/>
    <hyperlink xmlns:r="http://schemas.openxmlformats.org/officeDocument/2006/relationships" ref="H745" r:id="rId741"/>
    <hyperlink xmlns:r="http://schemas.openxmlformats.org/officeDocument/2006/relationships" ref="H746" r:id="rId742"/>
    <hyperlink xmlns:r="http://schemas.openxmlformats.org/officeDocument/2006/relationships" ref="H747" r:id="rId743"/>
    <hyperlink xmlns:r="http://schemas.openxmlformats.org/officeDocument/2006/relationships" ref="H748" r:id="rId744"/>
    <hyperlink xmlns:r="http://schemas.openxmlformats.org/officeDocument/2006/relationships" ref="H749" r:id="rId745"/>
    <hyperlink xmlns:r="http://schemas.openxmlformats.org/officeDocument/2006/relationships" ref="H750" r:id="rId746"/>
    <hyperlink xmlns:r="http://schemas.openxmlformats.org/officeDocument/2006/relationships" ref="H751" r:id="rId747"/>
    <hyperlink xmlns:r="http://schemas.openxmlformats.org/officeDocument/2006/relationships" ref="H752" r:id="rId748"/>
    <hyperlink xmlns:r="http://schemas.openxmlformats.org/officeDocument/2006/relationships" ref="H753" r:id="rId749"/>
    <hyperlink xmlns:r="http://schemas.openxmlformats.org/officeDocument/2006/relationships" ref="H754" r:id="rId750"/>
    <hyperlink xmlns:r="http://schemas.openxmlformats.org/officeDocument/2006/relationships" ref="H755" r:id="rId751"/>
    <hyperlink xmlns:r="http://schemas.openxmlformats.org/officeDocument/2006/relationships" ref="H756" r:id="rId752"/>
    <hyperlink xmlns:r="http://schemas.openxmlformats.org/officeDocument/2006/relationships" ref="H757" r:id="rId753"/>
    <hyperlink xmlns:r="http://schemas.openxmlformats.org/officeDocument/2006/relationships" ref="H758" r:id="rId754"/>
    <hyperlink xmlns:r="http://schemas.openxmlformats.org/officeDocument/2006/relationships" ref="H759" r:id="rId755"/>
    <hyperlink xmlns:r="http://schemas.openxmlformats.org/officeDocument/2006/relationships" ref="H760" r:id="rId756"/>
    <hyperlink xmlns:r="http://schemas.openxmlformats.org/officeDocument/2006/relationships" ref="H761" r:id="rId757"/>
    <hyperlink xmlns:r="http://schemas.openxmlformats.org/officeDocument/2006/relationships" ref="H762" r:id="rId758"/>
    <hyperlink xmlns:r="http://schemas.openxmlformats.org/officeDocument/2006/relationships" ref="H763" r:id="rId759"/>
    <hyperlink xmlns:r="http://schemas.openxmlformats.org/officeDocument/2006/relationships" ref="H764" r:id="rId760"/>
    <hyperlink xmlns:r="http://schemas.openxmlformats.org/officeDocument/2006/relationships" ref="H765" r:id="rId761"/>
    <hyperlink xmlns:r="http://schemas.openxmlformats.org/officeDocument/2006/relationships" ref="H766" r:id="rId762"/>
    <hyperlink xmlns:r="http://schemas.openxmlformats.org/officeDocument/2006/relationships" ref="H767" r:id="rId763"/>
    <hyperlink xmlns:r="http://schemas.openxmlformats.org/officeDocument/2006/relationships" ref="H768" r:id="rId764"/>
    <hyperlink xmlns:r="http://schemas.openxmlformats.org/officeDocument/2006/relationships" ref="H769" r:id="rId765"/>
    <hyperlink xmlns:r="http://schemas.openxmlformats.org/officeDocument/2006/relationships" ref="H770" r:id="rId766"/>
    <hyperlink xmlns:r="http://schemas.openxmlformats.org/officeDocument/2006/relationships" ref="H771" r:id="rId767"/>
    <hyperlink xmlns:r="http://schemas.openxmlformats.org/officeDocument/2006/relationships" ref="H772" r:id="rId768"/>
    <hyperlink xmlns:r="http://schemas.openxmlformats.org/officeDocument/2006/relationships" ref="H773" r:id="rId769"/>
    <hyperlink xmlns:r="http://schemas.openxmlformats.org/officeDocument/2006/relationships" ref="H774" r:id="rId770"/>
    <hyperlink xmlns:r="http://schemas.openxmlformats.org/officeDocument/2006/relationships" ref="H775" r:id="rId771"/>
    <hyperlink xmlns:r="http://schemas.openxmlformats.org/officeDocument/2006/relationships" ref="H776" r:id="rId772"/>
    <hyperlink xmlns:r="http://schemas.openxmlformats.org/officeDocument/2006/relationships" ref="H777" r:id="rId773"/>
    <hyperlink xmlns:r="http://schemas.openxmlformats.org/officeDocument/2006/relationships" ref="H778" r:id="rId774"/>
    <hyperlink xmlns:r="http://schemas.openxmlformats.org/officeDocument/2006/relationships" ref="H779" r:id="rId775"/>
    <hyperlink xmlns:r="http://schemas.openxmlformats.org/officeDocument/2006/relationships" ref="H780" r:id="rId776"/>
    <hyperlink xmlns:r="http://schemas.openxmlformats.org/officeDocument/2006/relationships" ref="H781" r:id="rId777"/>
    <hyperlink xmlns:r="http://schemas.openxmlformats.org/officeDocument/2006/relationships" ref="H782" r:id="rId778"/>
    <hyperlink xmlns:r="http://schemas.openxmlformats.org/officeDocument/2006/relationships" ref="H783" r:id="rId779"/>
    <hyperlink xmlns:r="http://schemas.openxmlformats.org/officeDocument/2006/relationships" ref="H784" r:id="rId780"/>
    <hyperlink xmlns:r="http://schemas.openxmlformats.org/officeDocument/2006/relationships" ref="H785" r:id="rId781"/>
    <hyperlink xmlns:r="http://schemas.openxmlformats.org/officeDocument/2006/relationships" ref="H786" r:id="rId782"/>
    <hyperlink xmlns:r="http://schemas.openxmlformats.org/officeDocument/2006/relationships" ref="H787" r:id="rId783"/>
    <hyperlink xmlns:r="http://schemas.openxmlformats.org/officeDocument/2006/relationships" ref="H788" r:id="rId784"/>
    <hyperlink xmlns:r="http://schemas.openxmlformats.org/officeDocument/2006/relationships" ref="H789" r:id="rId785"/>
    <hyperlink xmlns:r="http://schemas.openxmlformats.org/officeDocument/2006/relationships" ref="H790" r:id="rId786"/>
    <hyperlink xmlns:r="http://schemas.openxmlformats.org/officeDocument/2006/relationships" ref="H791" r:id="rId787"/>
    <hyperlink xmlns:r="http://schemas.openxmlformats.org/officeDocument/2006/relationships" ref="H792" r:id="rId788"/>
    <hyperlink xmlns:r="http://schemas.openxmlformats.org/officeDocument/2006/relationships" ref="H793" r:id="rId789"/>
    <hyperlink xmlns:r="http://schemas.openxmlformats.org/officeDocument/2006/relationships" ref="H794" r:id="rId790"/>
    <hyperlink xmlns:r="http://schemas.openxmlformats.org/officeDocument/2006/relationships" ref="H795" r:id="rId791"/>
    <hyperlink xmlns:r="http://schemas.openxmlformats.org/officeDocument/2006/relationships" ref="H796" r:id="rId792"/>
    <hyperlink xmlns:r="http://schemas.openxmlformats.org/officeDocument/2006/relationships" ref="H797" r:id="rId793"/>
    <hyperlink xmlns:r="http://schemas.openxmlformats.org/officeDocument/2006/relationships" ref="H798" r:id="rId794"/>
    <hyperlink xmlns:r="http://schemas.openxmlformats.org/officeDocument/2006/relationships" ref="H799" r:id="rId795"/>
    <hyperlink xmlns:r="http://schemas.openxmlformats.org/officeDocument/2006/relationships" ref="H800" r:id="rId796"/>
    <hyperlink xmlns:r="http://schemas.openxmlformats.org/officeDocument/2006/relationships" ref="H801" r:id="rId797"/>
    <hyperlink xmlns:r="http://schemas.openxmlformats.org/officeDocument/2006/relationships" ref="H802" r:id="rId798"/>
    <hyperlink xmlns:r="http://schemas.openxmlformats.org/officeDocument/2006/relationships" ref="H803" r:id="rId799"/>
    <hyperlink xmlns:r="http://schemas.openxmlformats.org/officeDocument/2006/relationships" ref="H804" r:id="rId800"/>
    <hyperlink xmlns:r="http://schemas.openxmlformats.org/officeDocument/2006/relationships" ref="H805" r:id="rId801"/>
    <hyperlink xmlns:r="http://schemas.openxmlformats.org/officeDocument/2006/relationships" ref="H806" r:id="rId802"/>
    <hyperlink xmlns:r="http://schemas.openxmlformats.org/officeDocument/2006/relationships" ref="H807" r:id="rId803"/>
    <hyperlink xmlns:r="http://schemas.openxmlformats.org/officeDocument/2006/relationships" ref="H808" r:id="rId804"/>
    <hyperlink xmlns:r="http://schemas.openxmlformats.org/officeDocument/2006/relationships" ref="H809" r:id="rId805"/>
    <hyperlink xmlns:r="http://schemas.openxmlformats.org/officeDocument/2006/relationships" ref="H810" r:id="rId806"/>
    <hyperlink xmlns:r="http://schemas.openxmlformats.org/officeDocument/2006/relationships" ref="H811" r:id="rId807"/>
    <hyperlink xmlns:r="http://schemas.openxmlformats.org/officeDocument/2006/relationships" ref="H812" r:id="rId808"/>
    <hyperlink xmlns:r="http://schemas.openxmlformats.org/officeDocument/2006/relationships" ref="H813" r:id="rId809"/>
    <hyperlink xmlns:r="http://schemas.openxmlformats.org/officeDocument/2006/relationships" ref="H814" r:id="rId810"/>
    <hyperlink xmlns:r="http://schemas.openxmlformats.org/officeDocument/2006/relationships" ref="H815" r:id="rId811"/>
    <hyperlink xmlns:r="http://schemas.openxmlformats.org/officeDocument/2006/relationships" ref="H816" r:id="rId812"/>
    <hyperlink xmlns:r="http://schemas.openxmlformats.org/officeDocument/2006/relationships" ref="H817" r:id="rId813"/>
    <hyperlink xmlns:r="http://schemas.openxmlformats.org/officeDocument/2006/relationships" ref="H818" r:id="rId814"/>
    <hyperlink xmlns:r="http://schemas.openxmlformats.org/officeDocument/2006/relationships" ref="H819" r:id="rId815"/>
    <hyperlink xmlns:r="http://schemas.openxmlformats.org/officeDocument/2006/relationships" ref="H820" r:id="rId816"/>
    <hyperlink xmlns:r="http://schemas.openxmlformats.org/officeDocument/2006/relationships" ref="H821" r:id="rId817"/>
    <hyperlink xmlns:r="http://schemas.openxmlformats.org/officeDocument/2006/relationships" ref="H822" r:id="rId818"/>
    <hyperlink xmlns:r="http://schemas.openxmlformats.org/officeDocument/2006/relationships" ref="H823" r:id="rId819"/>
    <hyperlink xmlns:r="http://schemas.openxmlformats.org/officeDocument/2006/relationships" ref="H824" r:id="rId820"/>
    <hyperlink xmlns:r="http://schemas.openxmlformats.org/officeDocument/2006/relationships" ref="H825" r:id="rId821"/>
    <hyperlink xmlns:r="http://schemas.openxmlformats.org/officeDocument/2006/relationships" ref="H826" r:id="rId822"/>
    <hyperlink xmlns:r="http://schemas.openxmlformats.org/officeDocument/2006/relationships" ref="H827" r:id="rId823"/>
    <hyperlink xmlns:r="http://schemas.openxmlformats.org/officeDocument/2006/relationships" ref="H828" r:id="rId824"/>
    <hyperlink xmlns:r="http://schemas.openxmlformats.org/officeDocument/2006/relationships" ref="H829" r:id="rId825"/>
    <hyperlink xmlns:r="http://schemas.openxmlformats.org/officeDocument/2006/relationships" ref="H830" r:id="rId826"/>
    <hyperlink xmlns:r="http://schemas.openxmlformats.org/officeDocument/2006/relationships" ref="H831" r:id="rId827"/>
    <hyperlink xmlns:r="http://schemas.openxmlformats.org/officeDocument/2006/relationships" ref="H832" r:id="rId828"/>
    <hyperlink xmlns:r="http://schemas.openxmlformats.org/officeDocument/2006/relationships" ref="H833" r:id="rId829"/>
    <hyperlink xmlns:r="http://schemas.openxmlformats.org/officeDocument/2006/relationships" ref="H834" r:id="rId830"/>
    <hyperlink xmlns:r="http://schemas.openxmlformats.org/officeDocument/2006/relationships" ref="H835" r:id="rId831"/>
    <hyperlink xmlns:r="http://schemas.openxmlformats.org/officeDocument/2006/relationships" ref="H836" r:id="rId832"/>
    <hyperlink xmlns:r="http://schemas.openxmlformats.org/officeDocument/2006/relationships" ref="H837" r:id="rId833"/>
    <hyperlink xmlns:r="http://schemas.openxmlformats.org/officeDocument/2006/relationships" ref="H838" r:id="rId834"/>
    <hyperlink xmlns:r="http://schemas.openxmlformats.org/officeDocument/2006/relationships" ref="H839" r:id="rId835"/>
    <hyperlink xmlns:r="http://schemas.openxmlformats.org/officeDocument/2006/relationships" ref="H840" r:id="rId836"/>
    <hyperlink xmlns:r="http://schemas.openxmlformats.org/officeDocument/2006/relationships" ref="H841" r:id="rId837"/>
    <hyperlink xmlns:r="http://schemas.openxmlformats.org/officeDocument/2006/relationships" ref="H842" r:id="rId838"/>
    <hyperlink xmlns:r="http://schemas.openxmlformats.org/officeDocument/2006/relationships" ref="H843" r:id="rId839"/>
    <hyperlink xmlns:r="http://schemas.openxmlformats.org/officeDocument/2006/relationships" ref="H844" r:id="rId840"/>
    <hyperlink xmlns:r="http://schemas.openxmlformats.org/officeDocument/2006/relationships" ref="H845" r:id="rId841"/>
    <hyperlink xmlns:r="http://schemas.openxmlformats.org/officeDocument/2006/relationships" ref="H846" r:id="rId842"/>
    <hyperlink xmlns:r="http://schemas.openxmlformats.org/officeDocument/2006/relationships" ref="H847" r:id="rId843"/>
    <hyperlink xmlns:r="http://schemas.openxmlformats.org/officeDocument/2006/relationships" ref="H848" r:id="rId844"/>
    <hyperlink xmlns:r="http://schemas.openxmlformats.org/officeDocument/2006/relationships" ref="H849" r:id="rId845"/>
    <hyperlink xmlns:r="http://schemas.openxmlformats.org/officeDocument/2006/relationships" ref="H850" r:id="rId846"/>
    <hyperlink xmlns:r="http://schemas.openxmlformats.org/officeDocument/2006/relationships" ref="H851" r:id="rId847"/>
    <hyperlink xmlns:r="http://schemas.openxmlformats.org/officeDocument/2006/relationships" ref="H852" r:id="rId848"/>
    <hyperlink xmlns:r="http://schemas.openxmlformats.org/officeDocument/2006/relationships" ref="H853" r:id="rId849"/>
    <hyperlink xmlns:r="http://schemas.openxmlformats.org/officeDocument/2006/relationships" ref="H854" r:id="rId850"/>
    <hyperlink xmlns:r="http://schemas.openxmlformats.org/officeDocument/2006/relationships" ref="H855" r:id="rId851"/>
    <hyperlink xmlns:r="http://schemas.openxmlformats.org/officeDocument/2006/relationships" ref="H856" r:id="rId852"/>
    <hyperlink xmlns:r="http://schemas.openxmlformats.org/officeDocument/2006/relationships" ref="H857" r:id="rId853"/>
    <hyperlink xmlns:r="http://schemas.openxmlformats.org/officeDocument/2006/relationships" ref="H858" r:id="rId854"/>
    <hyperlink xmlns:r="http://schemas.openxmlformats.org/officeDocument/2006/relationships" ref="H859" r:id="rId855"/>
    <hyperlink xmlns:r="http://schemas.openxmlformats.org/officeDocument/2006/relationships" ref="H860" r:id="rId856"/>
    <hyperlink xmlns:r="http://schemas.openxmlformats.org/officeDocument/2006/relationships" ref="H861" r:id="rId857"/>
    <hyperlink xmlns:r="http://schemas.openxmlformats.org/officeDocument/2006/relationships" ref="H862" r:id="rId858"/>
    <hyperlink xmlns:r="http://schemas.openxmlformats.org/officeDocument/2006/relationships" ref="H863" r:id="rId859"/>
    <hyperlink xmlns:r="http://schemas.openxmlformats.org/officeDocument/2006/relationships" ref="H864" r:id="rId860"/>
    <hyperlink xmlns:r="http://schemas.openxmlformats.org/officeDocument/2006/relationships" ref="H865" r:id="rId861"/>
    <hyperlink xmlns:r="http://schemas.openxmlformats.org/officeDocument/2006/relationships" ref="H866" r:id="rId862"/>
    <hyperlink xmlns:r="http://schemas.openxmlformats.org/officeDocument/2006/relationships" ref="H867" r:id="rId863"/>
    <hyperlink xmlns:r="http://schemas.openxmlformats.org/officeDocument/2006/relationships" ref="H868" r:id="rId864"/>
    <hyperlink xmlns:r="http://schemas.openxmlformats.org/officeDocument/2006/relationships" ref="H869" r:id="rId865"/>
    <hyperlink xmlns:r="http://schemas.openxmlformats.org/officeDocument/2006/relationships" ref="H870" r:id="rId866"/>
    <hyperlink xmlns:r="http://schemas.openxmlformats.org/officeDocument/2006/relationships" ref="H871" r:id="rId867"/>
    <hyperlink xmlns:r="http://schemas.openxmlformats.org/officeDocument/2006/relationships" ref="H872" r:id="rId868"/>
    <hyperlink xmlns:r="http://schemas.openxmlformats.org/officeDocument/2006/relationships" ref="H873" r:id="rId869"/>
    <hyperlink xmlns:r="http://schemas.openxmlformats.org/officeDocument/2006/relationships" ref="H874" r:id="rId870"/>
    <hyperlink xmlns:r="http://schemas.openxmlformats.org/officeDocument/2006/relationships" ref="H875" r:id="rId871"/>
    <hyperlink xmlns:r="http://schemas.openxmlformats.org/officeDocument/2006/relationships" ref="H876" r:id="rId872"/>
    <hyperlink xmlns:r="http://schemas.openxmlformats.org/officeDocument/2006/relationships" ref="H877" r:id="rId873"/>
    <hyperlink xmlns:r="http://schemas.openxmlformats.org/officeDocument/2006/relationships" ref="H878" r:id="rId874"/>
    <hyperlink xmlns:r="http://schemas.openxmlformats.org/officeDocument/2006/relationships" ref="H879" r:id="rId875"/>
    <hyperlink xmlns:r="http://schemas.openxmlformats.org/officeDocument/2006/relationships" ref="H880" r:id="rId876"/>
    <hyperlink xmlns:r="http://schemas.openxmlformats.org/officeDocument/2006/relationships" ref="H881" r:id="rId877"/>
    <hyperlink xmlns:r="http://schemas.openxmlformats.org/officeDocument/2006/relationships" ref="H882" r:id="rId878"/>
    <hyperlink xmlns:r="http://schemas.openxmlformats.org/officeDocument/2006/relationships" ref="H883" r:id="rId879"/>
    <hyperlink xmlns:r="http://schemas.openxmlformats.org/officeDocument/2006/relationships" ref="H884" r:id="rId880"/>
    <hyperlink xmlns:r="http://schemas.openxmlformats.org/officeDocument/2006/relationships" ref="H885" r:id="rId881"/>
    <hyperlink xmlns:r="http://schemas.openxmlformats.org/officeDocument/2006/relationships" ref="H886" r:id="rId882"/>
    <hyperlink xmlns:r="http://schemas.openxmlformats.org/officeDocument/2006/relationships" ref="H887" r:id="rId883"/>
    <hyperlink xmlns:r="http://schemas.openxmlformats.org/officeDocument/2006/relationships" ref="H888" r:id="rId884"/>
    <hyperlink xmlns:r="http://schemas.openxmlformats.org/officeDocument/2006/relationships" ref="H889" r:id="rId885"/>
    <hyperlink xmlns:r="http://schemas.openxmlformats.org/officeDocument/2006/relationships" ref="H890" r:id="rId886"/>
    <hyperlink xmlns:r="http://schemas.openxmlformats.org/officeDocument/2006/relationships" ref="H891" r:id="rId887"/>
    <hyperlink xmlns:r="http://schemas.openxmlformats.org/officeDocument/2006/relationships" ref="H892" r:id="rId888"/>
    <hyperlink xmlns:r="http://schemas.openxmlformats.org/officeDocument/2006/relationships" ref="H893" r:id="rId889"/>
    <hyperlink xmlns:r="http://schemas.openxmlformats.org/officeDocument/2006/relationships" ref="H894" r:id="rId890"/>
    <hyperlink xmlns:r="http://schemas.openxmlformats.org/officeDocument/2006/relationships" ref="H895" r:id="rId891"/>
    <hyperlink xmlns:r="http://schemas.openxmlformats.org/officeDocument/2006/relationships" ref="H896" r:id="rId892"/>
    <hyperlink xmlns:r="http://schemas.openxmlformats.org/officeDocument/2006/relationships" ref="H897" r:id="rId893"/>
    <hyperlink xmlns:r="http://schemas.openxmlformats.org/officeDocument/2006/relationships" ref="H898" r:id="rId894"/>
    <hyperlink xmlns:r="http://schemas.openxmlformats.org/officeDocument/2006/relationships" ref="H899" r:id="rId895"/>
    <hyperlink xmlns:r="http://schemas.openxmlformats.org/officeDocument/2006/relationships" ref="H900" r:id="rId896"/>
    <hyperlink xmlns:r="http://schemas.openxmlformats.org/officeDocument/2006/relationships" ref="H901" r:id="rId897"/>
    <hyperlink xmlns:r="http://schemas.openxmlformats.org/officeDocument/2006/relationships" ref="H902" r:id="rId898"/>
    <hyperlink xmlns:r="http://schemas.openxmlformats.org/officeDocument/2006/relationships" ref="H903" r:id="rId899"/>
    <hyperlink xmlns:r="http://schemas.openxmlformats.org/officeDocument/2006/relationships" ref="H904" r:id="rId900"/>
    <hyperlink xmlns:r="http://schemas.openxmlformats.org/officeDocument/2006/relationships" ref="H905" r:id="rId901"/>
    <hyperlink xmlns:r="http://schemas.openxmlformats.org/officeDocument/2006/relationships" ref="H906" r:id="rId902"/>
    <hyperlink xmlns:r="http://schemas.openxmlformats.org/officeDocument/2006/relationships" ref="H907" r:id="rId903"/>
    <hyperlink xmlns:r="http://schemas.openxmlformats.org/officeDocument/2006/relationships" ref="H908" r:id="rId904"/>
    <hyperlink xmlns:r="http://schemas.openxmlformats.org/officeDocument/2006/relationships" ref="H909" r:id="rId905"/>
    <hyperlink xmlns:r="http://schemas.openxmlformats.org/officeDocument/2006/relationships" ref="H910" r:id="rId906"/>
    <hyperlink xmlns:r="http://schemas.openxmlformats.org/officeDocument/2006/relationships" ref="H911" r:id="rId907"/>
    <hyperlink xmlns:r="http://schemas.openxmlformats.org/officeDocument/2006/relationships" ref="H912" r:id="rId908"/>
    <hyperlink xmlns:r="http://schemas.openxmlformats.org/officeDocument/2006/relationships" ref="H913" r:id="rId909"/>
    <hyperlink xmlns:r="http://schemas.openxmlformats.org/officeDocument/2006/relationships" ref="H914" r:id="rId910"/>
    <hyperlink xmlns:r="http://schemas.openxmlformats.org/officeDocument/2006/relationships" ref="H915" r:id="rId911"/>
    <hyperlink xmlns:r="http://schemas.openxmlformats.org/officeDocument/2006/relationships" ref="H916" r:id="rId912"/>
    <hyperlink xmlns:r="http://schemas.openxmlformats.org/officeDocument/2006/relationships" ref="H917" r:id="rId913"/>
    <hyperlink xmlns:r="http://schemas.openxmlformats.org/officeDocument/2006/relationships" ref="H918" r:id="rId914"/>
    <hyperlink xmlns:r="http://schemas.openxmlformats.org/officeDocument/2006/relationships" ref="H919" r:id="rId915"/>
    <hyperlink xmlns:r="http://schemas.openxmlformats.org/officeDocument/2006/relationships" ref="H920" r:id="rId916"/>
    <hyperlink xmlns:r="http://schemas.openxmlformats.org/officeDocument/2006/relationships" ref="H921" r:id="rId917"/>
    <hyperlink xmlns:r="http://schemas.openxmlformats.org/officeDocument/2006/relationships" ref="H922" r:id="rId918"/>
    <hyperlink xmlns:r="http://schemas.openxmlformats.org/officeDocument/2006/relationships" ref="H923" r:id="rId919"/>
    <hyperlink xmlns:r="http://schemas.openxmlformats.org/officeDocument/2006/relationships" ref="H924" r:id="rId920"/>
    <hyperlink xmlns:r="http://schemas.openxmlformats.org/officeDocument/2006/relationships" ref="H925" r:id="rId921"/>
    <hyperlink xmlns:r="http://schemas.openxmlformats.org/officeDocument/2006/relationships" ref="H926" r:id="rId922"/>
    <hyperlink xmlns:r="http://schemas.openxmlformats.org/officeDocument/2006/relationships" ref="H927" r:id="rId923"/>
    <hyperlink xmlns:r="http://schemas.openxmlformats.org/officeDocument/2006/relationships" ref="H928" r:id="rId924"/>
    <hyperlink xmlns:r="http://schemas.openxmlformats.org/officeDocument/2006/relationships" ref="H929" r:id="rId925"/>
    <hyperlink xmlns:r="http://schemas.openxmlformats.org/officeDocument/2006/relationships" ref="H930" r:id="rId926"/>
    <hyperlink xmlns:r="http://schemas.openxmlformats.org/officeDocument/2006/relationships" ref="H931" r:id="rId927"/>
    <hyperlink xmlns:r="http://schemas.openxmlformats.org/officeDocument/2006/relationships" ref="H932" r:id="rId928"/>
    <hyperlink xmlns:r="http://schemas.openxmlformats.org/officeDocument/2006/relationships" ref="H933" r:id="rId929"/>
    <hyperlink xmlns:r="http://schemas.openxmlformats.org/officeDocument/2006/relationships" ref="H934" r:id="rId930"/>
    <hyperlink xmlns:r="http://schemas.openxmlformats.org/officeDocument/2006/relationships" ref="H935" r:id="rId931"/>
    <hyperlink xmlns:r="http://schemas.openxmlformats.org/officeDocument/2006/relationships" ref="H936" r:id="rId932"/>
    <hyperlink xmlns:r="http://schemas.openxmlformats.org/officeDocument/2006/relationships" ref="H937" r:id="rId933"/>
    <hyperlink xmlns:r="http://schemas.openxmlformats.org/officeDocument/2006/relationships" ref="H938" r:id="rId934"/>
    <hyperlink xmlns:r="http://schemas.openxmlformats.org/officeDocument/2006/relationships" ref="H939" r:id="rId935"/>
    <hyperlink xmlns:r="http://schemas.openxmlformats.org/officeDocument/2006/relationships" ref="H940" r:id="rId936"/>
    <hyperlink xmlns:r="http://schemas.openxmlformats.org/officeDocument/2006/relationships" ref="H941" r:id="rId937"/>
    <hyperlink xmlns:r="http://schemas.openxmlformats.org/officeDocument/2006/relationships" ref="H942" r:id="rId938"/>
    <hyperlink xmlns:r="http://schemas.openxmlformats.org/officeDocument/2006/relationships" ref="H943" r:id="rId939"/>
    <hyperlink xmlns:r="http://schemas.openxmlformats.org/officeDocument/2006/relationships" ref="H944" r:id="rId940"/>
    <hyperlink xmlns:r="http://schemas.openxmlformats.org/officeDocument/2006/relationships" ref="H945" r:id="rId941"/>
    <hyperlink xmlns:r="http://schemas.openxmlformats.org/officeDocument/2006/relationships" ref="H946" r:id="rId942"/>
    <hyperlink xmlns:r="http://schemas.openxmlformats.org/officeDocument/2006/relationships" ref="H947" r:id="rId943"/>
    <hyperlink xmlns:r="http://schemas.openxmlformats.org/officeDocument/2006/relationships" ref="H948" r:id="rId944"/>
    <hyperlink xmlns:r="http://schemas.openxmlformats.org/officeDocument/2006/relationships" ref="H949" r:id="rId945"/>
    <hyperlink xmlns:r="http://schemas.openxmlformats.org/officeDocument/2006/relationships" ref="H950" r:id="rId946"/>
    <hyperlink xmlns:r="http://schemas.openxmlformats.org/officeDocument/2006/relationships" ref="H951" r:id="rId947"/>
    <hyperlink xmlns:r="http://schemas.openxmlformats.org/officeDocument/2006/relationships" ref="H952" r:id="rId948"/>
    <hyperlink xmlns:r="http://schemas.openxmlformats.org/officeDocument/2006/relationships" ref="H953" r:id="rId949"/>
    <hyperlink xmlns:r="http://schemas.openxmlformats.org/officeDocument/2006/relationships" ref="H954" r:id="rId950"/>
    <hyperlink xmlns:r="http://schemas.openxmlformats.org/officeDocument/2006/relationships" ref="H955" r:id="rId951"/>
    <hyperlink xmlns:r="http://schemas.openxmlformats.org/officeDocument/2006/relationships" ref="H956" r:id="rId952"/>
    <hyperlink xmlns:r="http://schemas.openxmlformats.org/officeDocument/2006/relationships" ref="H957" r:id="rId953"/>
    <hyperlink xmlns:r="http://schemas.openxmlformats.org/officeDocument/2006/relationships" ref="H958" r:id="rId954"/>
    <hyperlink xmlns:r="http://schemas.openxmlformats.org/officeDocument/2006/relationships" ref="H959" r:id="rId955"/>
    <hyperlink xmlns:r="http://schemas.openxmlformats.org/officeDocument/2006/relationships" ref="H960" r:id="rId956"/>
    <hyperlink xmlns:r="http://schemas.openxmlformats.org/officeDocument/2006/relationships" ref="H961" r:id="rId957"/>
    <hyperlink xmlns:r="http://schemas.openxmlformats.org/officeDocument/2006/relationships" ref="H962" r:id="rId958"/>
    <hyperlink xmlns:r="http://schemas.openxmlformats.org/officeDocument/2006/relationships" ref="H963" r:id="rId959"/>
    <hyperlink xmlns:r="http://schemas.openxmlformats.org/officeDocument/2006/relationships" ref="H964" r:id="rId960"/>
    <hyperlink xmlns:r="http://schemas.openxmlformats.org/officeDocument/2006/relationships" ref="H965" r:id="rId961"/>
    <hyperlink xmlns:r="http://schemas.openxmlformats.org/officeDocument/2006/relationships" ref="H966" r:id="rId962"/>
    <hyperlink xmlns:r="http://schemas.openxmlformats.org/officeDocument/2006/relationships" ref="H967" r:id="rId963"/>
    <hyperlink xmlns:r="http://schemas.openxmlformats.org/officeDocument/2006/relationships" ref="H968" r:id="rId964"/>
    <hyperlink xmlns:r="http://schemas.openxmlformats.org/officeDocument/2006/relationships" ref="H969" r:id="rId965"/>
    <hyperlink xmlns:r="http://schemas.openxmlformats.org/officeDocument/2006/relationships" ref="H970" r:id="rId966"/>
    <hyperlink xmlns:r="http://schemas.openxmlformats.org/officeDocument/2006/relationships" ref="H971" r:id="rId967"/>
    <hyperlink xmlns:r="http://schemas.openxmlformats.org/officeDocument/2006/relationships" ref="H972" r:id="rId968"/>
    <hyperlink xmlns:r="http://schemas.openxmlformats.org/officeDocument/2006/relationships" ref="H973" r:id="rId969"/>
    <hyperlink xmlns:r="http://schemas.openxmlformats.org/officeDocument/2006/relationships" ref="H974" r:id="rId970"/>
    <hyperlink xmlns:r="http://schemas.openxmlformats.org/officeDocument/2006/relationships" ref="H975" r:id="rId971"/>
    <hyperlink xmlns:r="http://schemas.openxmlformats.org/officeDocument/2006/relationships" ref="H976" r:id="rId972"/>
    <hyperlink xmlns:r="http://schemas.openxmlformats.org/officeDocument/2006/relationships" ref="H977" r:id="rId973"/>
    <hyperlink xmlns:r="http://schemas.openxmlformats.org/officeDocument/2006/relationships" ref="H978" r:id="rId974"/>
    <hyperlink xmlns:r="http://schemas.openxmlformats.org/officeDocument/2006/relationships" ref="H979" r:id="rId975"/>
    <hyperlink xmlns:r="http://schemas.openxmlformats.org/officeDocument/2006/relationships" ref="H980" r:id="rId976"/>
    <hyperlink xmlns:r="http://schemas.openxmlformats.org/officeDocument/2006/relationships" ref="H981" r:id="rId977"/>
    <hyperlink xmlns:r="http://schemas.openxmlformats.org/officeDocument/2006/relationships" ref="H982" r:id="rId978"/>
    <hyperlink xmlns:r="http://schemas.openxmlformats.org/officeDocument/2006/relationships" ref="H983" r:id="rId979"/>
    <hyperlink xmlns:r="http://schemas.openxmlformats.org/officeDocument/2006/relationships" ref="H984" r:id="rId980"/>
    <hyperlink xmlns:r="http://schemas.openxmlformats.org/officeDocument/2006/relationships" ref="H985" r:id="rId981"/>
    <hyperlink xmlns:r="http://schemas.openxmlformats.org/officeDocument/2006/relationships" ref="H986" r:id="rId982"/>
    <hyperlink xmlns:r="http://schemas.openxmlformats.org/officeDocument/2006/relationships" ref="H987" r:id="rId983"/>
    <hyperlink xmlns:r="http://schemas.openxmlformats.org/officeDocument/2006/relationships" ref="H988" r:id="rId984"/>
    <hyperlink xmlns:r="http://schemas.openxmlformats.org/officeDocument/2006/relationships" ref="H989" r:id="rId985"/>
    <hyperlink xmlns:r="http://schemas.openxmlformats.org/officeDocument/2006/relationships" ref="H990" r:id="rId986"/>
    <hyperlink xmlns:r="http://schemas.openxmlformats.org/officeDocument/2006/relationships" ref="H991" r:id="rId987"/>
    <hyperlink xmlns:r="http://schemas.openxmlformats.org/officeDocument/2006/relationships" ref="H992" r:id="rId988"/>
    <hyperlink xmlns:r="http://schemas.openxmlformats.org/officeDocument/2006/relationships" ref="H993" r:id="rId989"/>
    <hyperlink xmlns:r="http://schemas.openxmlformats.org/officeDocument/2006/relationships" ref="H994" r:id="rId990"/>
    <hyperlink xmlns:r="http://schemas.openxmlformats.org/officeDocument/2006/relationships" ref="H995" r:id="rId991"/>
    <hyperlink xmlns:r="http://schemas.openxmlformats.org/officeDocument/2006/relationships" ref="H996" r:id="rId992"/>
    <hyperlink xmlns:r="http://schemas.openxmlformats.org/officeDocument/2006/relationships" ref="H997" r:id="rId993"/>
    <hyperlink xmlns:r="http://schemas.openxmlformats.org/officeDocument/2006/relationships" ref="H998" r:id="rId994"/>
    <hyperlink xmlns:r="http://schemas.openxmlformats.org/officeDocument/2006/relationships" ref="H999" r:id="rId995"/>
    <hyperlink xmlns:r="http://schemas.openxmlformats.org/officeDocument/2006/relationships" ref="H1000" r:id="rId996"/>
    <hyperlink xmlns:r="http://schemas.openxmlformats.org/officeDocument/2006/relationships" ref="H1001" r:id="rId997"/>
    <hyperlink xmlns:r="http://schemas.openxmlformats.org/officeDocument/2006/relationships" ref="H1002" r:id="rId998"/>
    <hyperlink xmlns:r="http://schemas.openxmlformats.org/officeDocument/2006/relationships" ref="H1003" r:id="rId999"/>
    <hyperlink xmlns:r="http://schemas.openxmlformats.org/officeDocument/2006/relationships" ref="H1004" r:id="rId1000"/>
    <hyperlink xmlns:r="http://schemas.openxmlformats.org/officeDocument/2006/relationships" ref="H1005" r:id="rId1001"/>
    <hyperlink xmlns:r="http://schemas.openxmlformats.org/officeDocument/2006/relationships" ref="H1006" r:id="rId1002"/>
    <hyperlink xmlns:r="http://schemas.openxmlformats.org/officeDocument/2006/relationships" ref="H1007" r:id="rId1003"/>
    <hyperlink xmlns:r="http://schemas.openxmlformats.org/officeDocument/2006/relationships" ref="H1008" r:id="rId1004"/>
    <hyperlink xmlns:r="http://schemas.openxmlformats.org/officeDocument/2006/relationships" ref="H1009" r:id="rId1005"/>
    <hyperlink xmlns:r="http://schemas.openxmlformats.org/officeDocument/2006/relationships" ref="H1010" r:id="rId1006"/>
    <hyperlink xmlns:r="http://schemas.openxmlformats.org/officeDocument/2006/relationships" ref="H1011" r:id="rId1007"/>
    <hyperlink xmlns:r="http://schemas.openxmlformats.org/officeDocument/2006/relationships" ref="H1012" r:id="rId1008"/>
    <hyperlink xmlns:r="http://schemas.openxmlformats.org/officeDocument/2006/relationships" ref="H1013" r:id="rId1009"/>
    <hyperlink xmlns:r="http://schemas.openxmlformats.org/officeDocument/2006/relationships" ref="H1014" r:id="rId1010"/>
    <hyperlink xmlns:r="http://schemas.openxmlformats.org/officeDocument/2006/relationships" ref="H1015" r:id="rId1011"/>
    <hyperlink xmlns:r="http://schemas.openxmlformats.org/officeDocument/2006/relationships" ref="H1016" r:id="rId1012"/>
    <hyperlink xmlns:r="http://schemas.openxmlformats.org/officeDocument/2006/relationships" ref="H1017" r:id="rId1013"/>
    <hyperlink xmlns:r="http://schemas.openxmlformats.org/officeDocument/2006/relationships" ref="H1018" r:id="rId1014"/>
    <hyperlink xmlns:r="http://schemas.openxmlformats.org/officeDocument/2006/relationships" ref="H1019" r:id="rId1015"/>
    <hyperlink xmlns:r="http://schemas.openxmlformats.org/officeDocument/2006/relationships" ref="H1020" r:id="rId1016"/>
    <hyperlink xmlns:r="http://schemas.openxmlformats.org/officeDocument/2006/relationships" ref="H1021" r:id="rId1017"/>
    <hyperlink xmlns:r="http://schemas.openxmlformats.org/officeDocument/2006/relationships" ref="H1022" r:id="rId1018"/>
    <hyperlink xmlns:r="http://schemas.openxmlformats.org/officeDocument/2006/relationships" ref="H1023" r:id="rId1019"/>
    <hyperlink xmlns:r="http://schemas.openxmlformats.org/officeDocument/2006/relationships" ref="H1024" r:id="rId1020"/>
    <hyperlink xmlns:r="http://schemas.openxmlformats.org/officeDocument/2006/relationships" ref="H1025" r:id="rId1021"/>
    <hyperlink xmlns:r="http://schemas.openxmlformats.org/officeDocument/2006/relationships" ref="H1026" r:id="rId1022"/>
    <hyperlink xmlns:r="http://schemas.openxmlformats.org/officeDocument/2006/relationships" ref="H1027" r:id="rId1023"/>
    <hyperlink xmlns:r="http://schemas.openxmlformats.org/officeDocument/2006/relationships" ref="H1028" r:id="rId1024"/>
    <hyperlink xmlns:r="http://schemas.openxmlformats.org/officeDocument/2006/relationships" ref="H1029" r:id="rId1025"/>
    <hyperlink xmlns:r="http://schemas.openxmlformats.org/officeDocument/2006/relationships" ref="H1030" r:id="rId1026"/>
    <hyperlink xmlns:r="http://schemas.openxmlformats.org/officeDocument/2006/relationships" ref="H1031" r:id="rId1027"/>
    <hyperlink xmlns:r="http://schemas.openxmlformats.org/officeDocument/2006/relationships" ref="H1032" r:id="rId1028"/>
    <hyperlink xmlns:r="http://schemas.openxmlformats.org/officeDocument/2006/relationships" ref="H1033" r:id="rId1029"/>
    <hyperlink xmlns:r="http://schemas.openxmlformats.org/officeDocument/2006/relationships" ref="H1034" r:id="rId1030"/>
    <hyperlink xmlns:r="http://schemas.openxmlformats.org/officeDocument/2006/relationships" ref="H1035" r:id="rId1031"/>
    <hyperlink xmlns:r="http://schemas.openxmlformats.org/officeDocument/2006/relationships" ref="H1036" r:id="rId1032"/>
    <hyperlink xmlns:r="http://schemas.openxmlformats.org/officeDocument/2006/relationships" ref="H1037" r:id="rId1033"/>
    <hyperlink xmlns:r="http://schemas.openxmlformats.org/officeDocument/2006/relationships" ref="H1038" r:id="rId1034"/>
    <hyperlink xmlns:r="http://schemas.openxmlformats.org/officeDocument/2006/relationships" ref="H1039" r:id="rId1035"/>
    <hyperlink xmlns:r="http://schemas.openxmlformats.org/officeDocument/2006/relationships" ref="H1040" r:id="rId1036"/>
    <hyperlink xmlns:r="http://schemas.openxmlformats.org/officeDocument/2006/relationships" ref="H1041" r:id="rId1037"/>
    <hyperlink xmlns:r="http://schemas.openxmlformats.org/officeDocument/2006/relationships" ref="H1042" r:id="rId1038"/>
    <hyperlink xmlns:r="http://schemas.openxmlformats.org/officeDocument/2006/relationships" ref="H1043" r:id="rId1039"/>
    <hyperlink xmlns:r="http://schemas.openxmlformats.org/officeDocument/2006/relationships" ref="H1044" r:id="rId1040"/>
    <hyperlink xmlns:r="http://schemas.openxmlformats.org/officeDocument/2006/relationships" ref="H1045" r:id="rId1041"/>
    <hyperlink xmlns:r="http://schemas.openxmlformats.org/officeDocument/2006/relationships" ref="H1046" r:id="rId1042"/>
    <hyperlink xmlns:r="http://schemas.openxmlformats.org/officeDocument/2006/relationships" ref="H1047" r:id="rId1043"/>
    <hyperlink xmlns:r="http://schemas.openxmlformats.org/officeDocument/2006/relationships" ref="H1048" r:id="rId1044"/>
    <hyperlink xmlns:r="http://schemas.openxmlformats.org/officeDocument/2006/relationships" ref="H1049" r:id="rId1045"/>
    <hyperlink xmlns:r="http://schemas.openxmlformats.org/officeDocument/2006/relationships" ref="H1050" r:id="rId1046"/>
    <hyperlink xmlns:r="http://schemas.openxmlformats.org/officeDocument/2006/relationships" ref="H1051" r:id="rId1047"/>
    <hyperlink xmlns:r="http://schemas.openxmlformats.org/officeDocument/2006/relationships" ref="H1052" r:id="rId1048"/>
    <hyperlink xmlns:r="http://schemas.openxmlformats.org/officeDocument/2006/relationships" ref="H1053" r:id="rId1049"/>
    <hyperlink xmlns:r="http://schemas.openxmlformats.org/officeDocument/2006/relationships" ref="H1054" r:id="rId1050"/>
    <hyperlink xmlns:r="http://schemas.openxmlformats.org/officeDocument/2006/relationships" ref="H1055" r:id="rId1051"/>
    <hyperlink xmlns:r="http://schemas.openxmlformats.org/officeDocument/2006/relationships" ref="H1056" r:id="rId1052"/>
    <hyperlink xmlns:r="http://schemas.openxmlformats.org/officeDocument/2006/relationships" ref="H1057" r:id="rId1053"/>
    <hyperlink xmlns:r="http://schemas.openxmlformats.org/officeDocument/2006/relationships" ref="H1058" r:id="rId1054"/>
    <hyperlink xmlns:r="http://schemas.openxmlformats.org/officeDocument/2006/relationships" ref="H1059" r:id="rId1055"/>
    <hyperlink xmlns:r="http://schemas.openxmlformats.org/officeDocument/2006/relationships" ref="H1060" r:id="rId1056"/>
    <hyperlink xmlns:r="http://schemas.openxmlformats.org/officeDocument/2006/relationships" ref="H1061" r:id="rId1057"/>
    <hyperlink xmlns:r="http://schemas.openxmlformats.org/officeDocument/2006/relationships" ref="H1062" r:id="rId1058"/>
    <hyperlink xmlns:r="http://schemas.openxmlformats.org/officeDocument/2006/relationships" ref="H1063" r:id="rId1059"/>
    <hyperlink xmlns:r="http://schemas.openxmlformats.org/officeDocument/2006/relationships" ref="H1064" r:id="rId1060"/>
    <hyperlink xmlns:r="http://schemas.openxmlformats.org/officeDocument/2006/relationships" ref="H1065" r:id="rId1061"/>
    <hyperlink xmlns:r="http://schemas.openxmlformats.org/officeDocument/2006/relationships" ref="H1066" r:id="rId1062"/>
    <hyperlink xmlns:r="http://schemas.openxmlformats.org/officeDocument/2006/relationships" ref="H1067" r:id="rId1063"/>
    <hyperlink xmlns:r="http://schemas.openxmlformats.org/officeDocument/2006/relationships" ref="H1068" r:id="rId1064"/>
    <hyperlink xmlns:r="http://schemas.openxmlformats.org/officeDocument/2006/relationships" ref="H1069" r:id="rId1065"/>
    <hyperlink xmlns:r="http://schemas.openxmlformats.org/officeDocument/2006/relationships" ref="H1070" r:id="rId1066"/>
    <hyperlink xmlns:r="http://schemas.openxmlformats.org/officeDocument/2006/relationships" ref="H1071" r:id="rId1067"/>
    <hyperlink xmlns:r="http://schemas.openxmlformats.org/officeDocument/2006/relationships" ref="H1072" r:id="rId1068"/>
    <hyperlink xmlns:r="http://schemas.openxmlformats.org/officeDocument/2006/relationships" ref="H1073" r:id="rId1069"/>
    <hyperlink xmlns:r="http://schemas.openxmlformats.org/officeDocument/2006/relationships" ref="H1074" r:id="rId1070"/>
    <hyperlink xmlns:r="http://schemas.openxmlformats.org/officeDocument/2006/relationships" ref="H1075" r:id="rId1071"/>
    <hyperlink xmlns:r="http://schemas.openxmlformats.org/officeDocument/2006/relationships" ref="H1076" r:id="rId1072"/>
    <hyperlink xmlns:r="http://schemas.openxmlformats.org/officeDocument/2006/relationships" ref="H1077" r:id="rId1073"/>
    <hyperlink xmlns:r="http://schemas.openxmlformats.org/officeDocument/2006/relationships" ref="H1078" r:id="rId1074"/>
    <hyperlink xmlns:r="http://schemas.openxmlformats.org/officeDocument/2006/relationships" ref="H1079" r:id="rId1075"/>
    <hyperlink xmlns:r="http://schemas.openxmlformats.org/officeDocument/2006/relationships" ref="H1080" r:id="rId1076"/>
    <hyperlink xmlns:r="http://schemas.openxmlformats.org/officeDocument/2006/relationships" ref="H1081" r:id="rId1077"/>
    <hyperlink xmlns:r="http://schemas.openxmlformats.org/officeDocument/2006/relationships" ref="H1082" r:id="rId1078"/>
    <hyperlink xmlns:r="http://schemas.openxmlformats.org/officeDocument/2006/relationships" ref="H1083" r:id="rId1079"/>
    <hyperlink xmlns:r="http://schemas.openxmlformats.org/officeDocument/2006/relationships" ref="H1084" r:id="rId1080"/>
    <hyperlink xmlns:r="http://schemas.openxmlformats.org/officeDocument/2006/relationships" ref="H1085" r:id="rId1081"/>
    <hyperlink xmlns:r="http://schemas.openxmlformats.org/officeDocument/2006/relationships" ref="H1086" r:id="rId1082"/>
    <hyperlink xmlns:r="http://schemas.openxmlformats.org/officeDocument/2006/relationships" ref="H1087" r:id="rId1083"/>
    <hyperlink xmlns:r="http://schemas.openxmlformats.org/officeDocument/2006/relationships" ref="H1088" r:id="rId1084"/>
    <hyperlink xmlns:r="http://schemas.openxmlformats.org/officeDocument/2006/relationships" ref="H1089" r:id="rId1085"/>
    <hyperlink xmlns:r="http://schemas.openxmlformats.org/officeDocument/2006/relationships" ref="H1090" r:id="rId1086"/>
    <hyperlink xmlns:r="http://schemas.openxmlformats.org/officeDocument/2006/relationships" ref="H1091" r:id="rId1087"/>
    <hyperlink xmlns:r="http://schemas.openxmlformats.org/officeDocument/2006/relationships" ref="H1092" r:id="rId1088"/>
    <hyperlink xmlns:r="http://schemas.openxmlformats.org/officeDocument/2006/relationships" ref="H1093" r:id="rId1089"/>
    <hyperlink xmlns:r="http://schemas.openxmlformats.org/officeDocument/2006/relationships" ref="H1094" r:id="rId1090"/>
    <hyperlink xmlns:r="http://schemas.openxmlformats.org/officeDocument/2006/relationships" ref="H1095" r:id="rId1091"/>
    <hyperlink xmlns:r="http://schemas.openxmlformats.org/officeDocument/2006/relationships" ref="H1096" r:id="rId1092"/>
    <hyperlink xmlns:r="http://schemas.openxmlformats.org/officeDocument/2006/relationships" ref="H1097" r:id="rId1093"/>
    <hyperlink xmlns:r="http://schemas.openxmlformats.org/officeDocument/2006/relationships" ref="H1098" r:id="rId1094"/>
    <hyperlink xmlns:r="http://schemas.openxmlformats.org/officeDocument/2006/relationships" ref="H1099" r:id="rId1095"/>
    <hyperlink xmlns:r="http://schemas.openxmlformats.org/officeDocument/2006/relationships" ref="H1100" r:id="rId1096"/>
    <hyperlink xmlns:r="http://schemas.openxmlformats.org/officeDocument/2006/relationships" ref="H1101" r:id="rId1097"/>
    <hyperlink xmlns:r="http://schemas.openxmlformats.org/officeDocument/2006/relationships" ref="H1102" r:id="rId1098"/>
    <hyperlink xmlns:r="http://schemas.openxmlformats.org/officeDocument/2006/relationships" ref="H1103" r:id="rId1099"/>
    <hyperlink xmlns:r="http://schemas.openxmlformats.org/officeDocument/2006/relationships" ref="H1104" r:id="rId1100"/>
    <hyperlink xmlns:r="http://schemas.openxmlformats.org/officeDocument/2006/relationships" ref="H1105" r:id="rId1101"/>
    <hyperlink xmlns:r="http://schemas.openxmlformats.org/officeDocument/2006/relationships" ref="H1106" r:id="rId1102"/>
    <hyperlink xmlns:r="http://schemas.openxmlformats.org/officeDocument/2006/relationships" ref="H1107" r:id="rId1103"/>
    <hyperlink xmlns:r="http://schemas.openxmlformats.org/officeDocument/2006/relationships" ref="H1108" r:id="rId1104"/>
    <hyperlink xmlns:r="http://schemas.openxmlformats.org/officeDocument/2006/relationships" ref="H1109" r:id="rId1105"/>
    <hyperlink xmlns:r="http://schemas.openxmlformats.org/officeDocument/2006/relationships" ref="H1110" r:id="rId1106"/>
    <hyperlink xmlns:r="http://schemas.openxmlformats.org/officeDocument/2006/relationships" ref="H1111" r:id="rId1107"/>
    <hyperlink xmlns:r="http://schemas.openxmlformats.org/officeDocument/2006/relationships" ref="H1112" r:id="rId1108"/>
    <hyperlink xmlns:r="http://schemas.openxmlformats.org/officeDocument/2006/relationships" ref="H1113" r:id="rId1109"/>
    <hyperlink xmlns:r="http://schemas.openxmlformats.org/officeDocument/2006/relationships" ref="H1114" r:id="rId1110"/>
    <hyperlink xmlns:r="http://schemas.openxmlformats.org/officeDocument/2006/relationships" ref="H1115" r:id="rId1111"/>
    <hyperlink xmlns:r="http://schemas.openxmlformats.org/officeDocument/2006/relationships" ref="H1116" r:id="rId1112"/>
    <hyperlink xmlns:r="http://schemas.openxmlformats.org/officeDocument/2006/relationships" ref="H1117" r:id="rId1113"/>
    <hyperlink xmlns:r="http://schemas.openxmlformats.org/officeDocument/2006/relationships" ref="H1118" r:id="rId1114"/>
    <hyperlink xmlns:r="http://schemas.openxmlformats.org/officeDocument/2006/relationships" ref="H1119" r:id="rId1115"/>
    <hyperlink xmlns:r="http://schemas.openxmlformats.org/officeDocument/2006/relationships" ref="H1120" r:id="rId1116"/>
    <hyperlink xmlns:r="http://schemas.openxmlformats.org/officeDocument/2006/relationships" ref="H1121" r:id="rId1117"/>
    <hyperlink xmlns:r="http://schemas.openxmlformats.org/officeDocument/2006/relationships" ref="H1122" r:id="rId1118"/>
    <hyperlink xmlns:r="http://schemas.openxmlformats.org/officeDocument/2006/relationships" ref="H1123" r:id="rId1119"/>
    <hyperlink xmlns:r="http://schemas.openxmlformats.org/officeDocument/2006/relationships" ref="H1124" r:id="rId1120"/>
    <hyperlink xmlns:r="http://schemas.openxmlformats.org/officeDocument/2006/relationships" ref="H1125" r:id="rId1121"/>
    <hyperlink xmlns:r="http://schemas.openxmlformats.org/officeDocument/2006/relationships" ref="H1126" r:id="rId1122"/>
    <hyperlink xmlns:r="http://schemas.openxmlformats.org/officeDocument/2006/relationships" ref="H1127" r:id="rId1123"/>
    <hyperlink xmlns:r="http://schemas.openxmlformats.org/officeDocument/2006/relationships" ref="H1128" r:id="rId1124"/>
    <hyperlink xmlns:r="http://schemas.openxmlformats.org/officeDocument/2006/relationships" ref="H1129" r:id="rId1125"/>
    <hyperlink xmlns:r="http://schemas.openxmlformats.org/officeDocument/2006/relationships" ref="H1130" r:id="rId1126"/>
    <hyperlink xmlns:r="http://schemas.openxmlformats.org/officeDocument/2006/relationships" ref="H1131" r:id="rId1127"/>
    <hyperlink xmlns:r="http://schemas.openxmlformats.org/officeDocument/2006/relationships" ref="H1132" r:id="rId1128"/>
    <hyperlink xmlns:r="http://schemas.openxmlformats.org/officeDocument/2006/relationships" ref="H1133" r:id="rId1129"/>
    <hyperlink xmlns:r="http://schemas.openxmlformats.org/officeDocument/2006/relationships" ref="H1134" r:id="rId1130"/>
    <hyperlink xmlns:r="http://schemas.openxmlformats.org/officeDocument/2006/relationships" ref="H1135" r:id="rId1131"/>
    <hyperlink xmlns:r="http://schemas.openxmlformats.org/officeDocument/2006/relationships" ref="H1136" r:id="rId1132"/>
    <hyperlink xmlns:r="http://schemas.openxmlformats.org/officeDocument/2006/relationships" ref="H1137" r:id="rId1133"/>
    <hyperlink xmlns:r="http://schemas.openxmlformats.org/officeDocument/2006/relationships" ref="H1138" r:id="rId1134"/>
    <hyperlink xmlns:r="http://schemas.openxmlformats.org/officeDocument/2006/relationships" ref="H1139" r:id="rId1135"/>
    <hyperlink xmlns:r="http://schemas.openxmlformats.org/officeDocument/2006/relationships" ref="H1140" r:id="rId1136"/>
    <hyperlink xmlns:r="http://schemas.openxmlformats.org/officeDocument/2006/relationships" ref="H1141" r:id="rId1137"/>
    <hyperlink xmlns:r="http://schemas.openxmlformats.org/officeDocument/2006/relationships" ref="H1142" r:id="rId1138"/>
    <hyperlink xmlns:r="http://schemas.openxmlformats.org/officeDocument/2006/relationships" ref="H1143" r:id="rId1139"/>
    <hyperlink xmlns:r="http://schemas.openxmlformats.org/officeDocument/2006/relationships" ref="H1144" r:id="rId1140"/>
    <hyperlink xmlns:r="http://schemas.openxmlformats.org/officeDocument/2006/relationships" ref="H1145" r:id="rId1141"/>
    <hyperlink xmlns:r="http://schemas.openxmlformats.org/officeDocument/2006/relationships" ref="H1146" r:id="rId1142"/>
    <hyperlink xmlns:r="http://schemas.openxmlformats.org/officeDocument/2006/relationships" ref="H1147" r:id="rId1143"/>
    <hyperlink xmlns:r="http://schemas.openxmlformats.org/officeDocument/2006/relationships" ref="H1148" r:id="rId1144"/>
    <hyperlink xmlns:r="http://schemas.openxmlformats.org/officeDocument/2006/relationships" ref="H1149" r:id="rId1145"/>
    <hyperlink xmlns:r="http://schemas.openxmlformats.org/officeDocument/2006/relationships" ref="H1150" r:id="rId1146"/>
    <hyperlink xmlns:r="http://schemas.openxmlformats.org/officeDocument/2006/relationships" ref="H1151" r:id="rId1147"/>
    <hyperlink xmlns:r="http://schemas.openxmlformats.org/officeDocument/2006/relationships" ref="H1152" r:id="rId1148"/>
    <hyperlink xmlns:r="http://schemas.openxmlformats.org/officeDocument/2006/relationships" ref="H1153" r:id="rId1149"/>
    <hyperlink xmlns:r="http://schemas.openxmlformats.org/officeDocument/2006/relationships" ref="H1154" r:id="rId1150"/>
    <hyperlink xmlns:r="http://schemas.openxmlformats.org/officeDocument/2006/relationships" ref="H1155" r:id="rId1151"/>
    <hyperlink xmlns:r="http://schemas.openxmlformats.org/officeDocument/2006/relationships" ref="H1156" r:id="rId1152"/>
    <hyperlink xmlns:r="http://schemas.openxmlformats.org/officeDocument/2006/relationships" ref="H1157" r:id="rId1153"/>
    <hyperlink xmlns:r="http://schemas.openxmlformats.org/officeDocument/2006/relationships" ref="H1158" r:id="rId1154"/>
    <hyperlink xmlns:r="http://schemas.openxmlformats.org/officeDocument/2006/relationships" ref="H1159" r:id="rId1155"/>
    <hyperlink xmlns:r="http://schemas.openxmlformats.org/officeDocument/2006/relationships" ref="H1160" r:id="rId1156"/>
    <hyperlink xmlns:r="http://schemas.openxmlformats.org/officeDocument/2006/relationships" ref="H1161" r:id="rId1157"/>
    <hyperlink xmlns:r="http://schemas.openxmlformats.org/officeDocument/2006/relationships" ref="H1162" r:id="rId1158"/>
    <hyperlink xmlns:r="http://schemas.openxmlformats.org/officeDocument/2006/relationships" ref="H1163" r:id="rId1159"/>
    <hyperlink xmlns:r="http://schemas.openxmlformats.org/officeDocument/2006/relationships" ref="H1164" r:id="rId1160"/>
    <hyperlink xmlns:r="http://schemas.openxmlformats.org/officeDocument/2006/relationships" ref="H1165" r:id="rId1161"/>
    <hyperlink xmlns:r="http://schemas.openxmlformats.org/officeDocument/2006/relationships" ref="H1166" r:id="rId1162"/>
    <hyperlink xmlns:r="http://schemas.openxmlformats.org/officeDocument/2006/relationships" ref="H1167" r:id="rId1163"/>
    <hyperlink xmlns:r="http://schemas.openxmlformats.org/officeDocument/2006/relationships" ref="H1168" r:id="rId1164"/>
    <hyperlink xmlns:r="http://schemas.openxmlformats.org/officeDocument/2006/relationships" ref="H1169" r:id="rId1165"/>
    <hyperlink xmlns:r="http://schemas.openxmlformats.org/officeDocument/2006/relationships" ref="H1170" r:id="rId1166"/>
    <hyperlink xmlns:r="http://schemas.openxmlformats.org/officeDocument/2006/relationships" ref="H1171" r:id="rId1167"/>
    <hyperlink xmlns:r="http://schemas.openxmlformats.org/officeDocument/2006/relationships" ref="H1172" r:id="rId1168"/>
    <hyperlink xmlns:r="http://schemas.openxmlformats.org/officeDocument/2006/relationships" ref="H1173" r:id="rId1169"/>
    <hyperlink xmlns:r="http://schemas.openxmlformats.org/officeDocument/2006/relationships" ref="H1174" r:id="rId1170"/>
    <hyperlink xmlns:r="http://schemas.openxmlformats.org/officeDocument/2006/relationships" ref="H1175" r:id="rId1171"/>
    <hyperlink xmlns:r="http://schemas.openxmlformats.org/officeDocument/2006/relationships" ref="H1176" r:id="rId1172"/>
    <hyperlink xmlns:r="http://schemas.openxmlformats.org/officeDocument/2006/relationships" ref="H1177" r:id="rId1173"/>
    <hyperlink xmlns:r="http://schemas.openxmlformats.org/officeDocument/2006/relationships" ref="H1178" r:id="rId1174"/>
    <hyperlink xmlns:r="http://schemas.openxmlformats.org/officeDocument/2006/relationships" ref="H1179" r:id="rId1175"/>
    <hyperlink xmlns:r="http://schemas.openxmlformats.org/officeDocument/2006/relationships" ref="H1180" r:id="rId1176"/>
    <hyperlink xmlns:r="http://schemas.openxmlformats.org/officeDocument/2006/relationships" ref="H1181" r:id="rId1177"/>
    <hyperlink xmlns:r="http://schemas.openxmlformats.org/officeDocument/2006/relationships" ref="H1182" r:id="rId1178"/>
    <hyperlink xmlns:r="http://schemas.openxmlformats.org/officeDocument/2006/relationships" ref="H1183" r:id="rId1179"/>
    <hyperlink xmlns:r="http://schemas.openxmlformats.org/officeDocument/2006/relationships" ref="H1184" r:id="rId1180"/>
    <hyperlink xmlns:r="http://schemas.openxmlformats.org/officeDocument/2006/relationships" ref="H1185" r:id="rId1181"/>
    <hyperlink xmlns:r="http://schemas.openxmlformats.org/officeDocument/2006/relationships" ref="H1186" r:id="rId1182"/>
    <hyperlink xmlns:r="http://schemas.openxmlformats.org/officeDocument/2006/relationships" ref="H1187" r:id="rId1183"/>
    <hyperlink xmlns:r="http://schemas.openxmlformats.org/officeDocument/2006/relationships" ref="H1188" r:id="rId1184"/>
    <hyperlink xmlns:r="http://schemas.openxmlformats.org/officeDocument/2006/relationships" ref="H1189" r:id="rId1185"/>
    <hyperlink xmlns:r="http://schemas.openxmlformats.org/officeDocument/2006/relationships" ref="H1190" r:id="rId1186"/>
    <hyperlink xmlns:r="http://schemas.openxmlformats.org/officeDocument/2006/relationships" ref="H1191" r:id="rId1187"/>
    <hyperlink xmlns:r="http://schemas.openxmlformats.org/officeDocument/2006/relationships" ref="H1192" r:id="rId1188"/>
    <hyperlink xmlns:r="http://schemas.openxmlformats.org/officeDocument/2006/relationships" ref="H1193" r:id="rId1189"/>
    <hyperlink xmlns:r="http://schemas.openxmlformats.org/officeDocument/2006/relationships" ref="H1194" r:id="rId1190"/>
    <hyperlink xmlns:r="http://schemas.openxmlformats.org/officeDocument/2006/relationships" ref="H1195" r:id="rId1191"/>
    <hyperlink xmlns:r="http://schemas.openxmlformats.org/officeDocument/2006/relationships" ref="H1196" r:id="rId1192"/>
    <hyperlink xmlns:r="http://schemas.openxmlformats.org/officeDocument/2006/relationships" ref="H1197" r:id="rId1193"/>
    <hyperlink xmlns:r="http://schemas.openxmlformats.org/officeDocument/2006/relationships" ref="H1198" r:id="rId1194"/>
    <hyperlink xmlns:r="http://schemas.openxmlformats.org/officeDocument/2006/relationships" ref="H1199" r:id="rId1195"/>
    <hyperlink xmlns:r="http://schemas.openxmlformats.org/officeDocument/2006/relationships" ref="H1200" r:id="rId1196"/>
    <hyperlink xmlns:r="http://schemas.openxmlformats.org/officeDocument/2006/relationships" ref="H1201" r:id="rId1197"/>
    <hyperlink xmlns:r="http://schemas.openxmlformats.org/officeDocument/2006/relationships" ref="H1202" r:id="rId1198"/>
    <hyperlink xmlns:r="http://schemas.openxmlformats.org/officeDocument/2006/relationships" ref="H1203" r:id="rId1199"/>
    <hyperlink xmlns:r="http://schemas.openxmlformats.org/officeDocument/2006/relationships" ref="H1204" r:id="rId1200"/>
    <hyperlink xmlns:r="http://schemas.openxmlformats.org/officeDocument/2006/relationships" ref="H1205" r:id="rId1201"/>
    <hyperlink xmlns:r="http://schemas.openxmlformats.org/officeDocument/2006/relationships" ref="H1206" r:id="rId1202"/>
    <hyperlink xmlns:r="http://schemas.openxmlformats.org/officeDocument/2006/relationships" ref="H1207" r:id="rId1203"/>
    <hyperlink xmlns:r="http://schemas.openxmlformats.org/officeDocument/2006/relationships" ref="H1208" r:id="rId1204"/>
    <hyperlink xmlns:r="http://schemas.openxmlformats.org/officeDocument/2006/relationships" ref="H1209" r:id="rId1205"/>
    <hyperlink xmlns:r="http://schemas.openxmlformats.org/officeDocument/2006/relationships" ref="H1210" r:id="rId1206"/>
    <hyperlink xmlns:r="http://schemas.openxmlformats.org/officeDocument/2006/relationships" ref="H1211" r:id="rId1207"/>
    <hyperlink xmlns:r="http://schemas.openxmlformats.org/officeDocument/2006/relationships" ref="H1212" r:id="rId1208"/>
    <hyperlink xmlns:r="http://schemas.openxmlformats.org/officeDocument/2006/relationships" ref="H1213" r:id="rId1209"/>
    <hyperlink xmlns:r="http://schemas.openxmlformats.org/officeDocument/2006/relationships" ref="H1214" r:id="rId1210"/>
    <hyperlink xmlns:r="http://schemas.openxmlformats.org/officeDocument/2006/relationships" ref="H1215" r:id="rId1211"/>
    <hyperlink xmlns:r="http://schemas.openxmlformats.org/officeDocument/2006/relationships" ref="H1216" r:id="rId1212"/>
    <hyperlink xmlns:r="http://schemas.openxmlformats.org/officeDocument/2006/relationships" ref="H1217" r:id="rId1213"/>
    <hyperlink xmlns:r="http://schemas.openxmlformats.org/officeDocument/2006/relationships" ref="H1218" r:id="rId1214"/>
    <hyperlink xmlns:r="http://schemas.openxmlformats.org/officeDocument/2006/relationships" ref="H1219" r:id="rId1215"/>
    <hyperlink xmlns:r="http://schemas.openxmlformats.org/officeDocument/2006/relationships" ref="H1220" r:id="rId1216"/>
    <hyperlink xmlns:r="http://schemas.openxmlformats.org/officeDocument/2006/relationships" ref="H1221" r:id="rId1217"/>
    <hyperlink xmlns:r="http://schemas.openxmlformats.org/officeDocument/2006/relationships" ref="H1222" r:id="rId1218"/>
    <hyperlink xmlns:r="http://schemas.openxmlformats.org/officeDocument/2006/relationships" ref="H1223" r:id="rId1219"/>
    <hyperlink xmlns:r="http://schemas.openxmlformats.org/officeDocument/2006/relationships" ref="H1224" r:id="rId1220"/>
    <hyperlink xmlns:r="http://schemas.openxmlformats.org/officeDocument/2006/relationships" ref="H1225" r:id="rId1221"/>
    <hyperlink xmlns:r="http://schemas.openxmlformats.org/officeDocument/2006/relationships" ref="H1226" r:id="rId1222"/>
    <hyperlink xmlns:r="http://schemas.openxmlformats.org/officeDocument/2006/relationships" ref="H1227" r:id="rId1223"/>
    <hyperlink xmlns:r="http://schemas.openxmlformats.org/officeDocument/2006/relationships" ref="H1228" r:id="rId1224"/>
    <hyperlink xmlns:r="http://schemas.openxmlformats.org/officeDocument/2006/relationships" ref="H1229" r:id="rId1225"/>
    <hyperlink xmlns:r="http://schemas.openxmlformats.org/officeDocument/2006/relationships" ref="H1230" r:id="rId1226"/>
    <hyperlink xmlns:r="http://schemas.openxmlformats.org/officeDocument/2006/relationships" ref="H1231" r:id="rId1227"/>
    <hyperlink xmlns:r="http://schemas.openxmlformats.org/officeDocument/2006/relationships" ref="H1232" r:id="rId1228"/>
    <hyperlink xmlns:r="http://schemas.openxmlformats.org/officeDocument/2006/relationships" ref="H1233" r:id="rId1229"/>
    <hyperlink xmlns:r="http://schemas.openxmlformats.org/officeDocument/2006/relationships" ref="H1234" r:id="rId1230"/>
    <hyperlink xmlns:r="http://schemas.openxmlformats.org/officeDocument/2006/relationships" ref="H1235" r:id="rId1231"/>
    <hyperlink xmlns:r="http://schemas.openxmlformats.org/officeDocument/2006/relationships" ref="H1236" r:id="rId1232"/>
    <hyperlink xmlns:r="http://schemas.openxmlformats.org/officeDocument/2006/relationships" ref="H1237" r:id="rId1233"/>
    <hyperlink xmlns:r="http://schemas.openxmlformats.org/officeDocument/2006/relationships" ref="H1238" r:id="rId1234"/>
    <hyperlink xmlns:r="http://schemas.openxmlformats.org/officeDocument/2006/relationships" ref="H1239" r:id="rId1235"/>
    <hyperlink xmlns:r="http://schemas.openxmlformats.org/officeDocument/2006/relationships" ref="H1240" r:id="rId1236"/>
    <hyperlink xmlns:r="http://schemas.openxmlformats.org/officeDocument/2006/relationships" ref="H1241" r:id="rId1237"/>
    <hyperlink xmlns:r="http://schemas.openxmlformats.org/officeDocument/2006/relationships" ref="H1242" r:id="rId1238"/>
    <hyperlink xmlns:r="http://schemas.openxmlformats.org/officeDocument/2006/relationships" ref="H1243" r:id="rId1239"/>
    <hyperlink xmlns:r="http://schemas.openxmlformats.org/officeDocument/2006/relationships" ref="H1244" r:id="rId1240"/>
    <hyperlink xmlns:r="http://schemas.openxmlformats.org/officeDocument/2006/relationships" ref="H1245" r:id="rId1241"/>
    <hyperlink xmlns:r="http://schemas.openxmlformats.org/officeDocument/2006/relationships" ref="H1246" r:id="rId1242"/>
    <hyperlink xmlns:r="http://schemas.openxmlformats.org/officeDocument/2006/relationships" ref="H1247" r:id="rId1243"/>
    <hyperlink xmlns:r="http://schemas.openxmlformats.org/officeDocument/2006/relationships" ref="H1248" r:id="rId1244"/>
    <hyperlink xmlns:r="http://schemas.openxmlformats.org/officeDocument/2006/relationships" ref="H1249" r:id="rId1245"/>
    <hyperlink xmlns:r="http://schemas.openxmlformats.org/officeDocument/2006/relationships" ref="H1250" r:id="rId1246"/>
    <hyperlink xmlns:r="http://schemas.openxmlformats.org/officeDocument/2006/relationships" ref="H1251" r:id="rId1247"/>
    <hyperlink xmlns:r="http://schemas.openxmlformats.org/officeDocument/2006/relationships" ref="H1252" r:id="rId1248"/>
    <hyperlink xmlns:r="http://schemas.openxmlformats.org/officeDocument/2006/relationships" ref="H1253" r:id="rId1249"/>
    <hyperlink xmlns:r="http://schemas.openxmlformats.org/officeDocument/2006/relationships" ref="H1254" r:id="rId1250"/>
    <hyperlink xmlns:r="http://schemas.openxmlformats.org/officeDocument/2006/relationships" ref="H1255" r:id="rId1251"/>
    <hyperlink xmlns:r="http://schemas.openxmlformats.org/officeDocument/2006/relationships" ref="H1256" r:id="rId1252"/>
    <hyperlink xmlns:r="http://schemas.openxmlformats.org/officeDocument/2006/relationships" ref="H1257" r:id="rId1253"/>
    <hyperlink xmlns:r="http://schemas.openxmlformats.org/officeDocument/2006/relationships" ref="H1258" r:id="rId1254"/>
    <hyperlink xmlns:r="http://schemas.openxmlformats.org/officeDocument/2006/relationships" ref="H1259" r:id="rId1255"/>
    <hyperlink xmlns:r="http://schemas.openxmlformats.org/officeDocument/2006/relationships" ref="H1260" r:id="rId1256"/>
    <hyperlink xmlns:r="http://schemas.openxmlformats.org/officeDocument/2006/relationships" ref="H1261" r:id="rId1257"/>
    <hyperlink xmlns:r="http://schemas.openxmlformats.org/officeDocument/2006/relationships" ref="H1262" r:id="rId1258"/>
    <hyperlink xmlns:r="http://schemas.openxmlformats.org/officeDocument/2006/relationships" ref="H1263" r:id="rId1259"/>
    <hyperlink xmlns:r="http://schemas.openxmlformats.org/officeDocument/2006/relationships" ref="H1264" r:id="rId1260"/>
    <hyperlink xmlns:r="http://schemas.openxmlformats.org/officeDocument/2006/relationships" ref="H1265" r:id="rId1261"/>
    <hyperlink xmlns:r="http://schemas.openxmlformats.org/officeDocument/2006/relationships" ref="H1266" r:id="rId1262"/>
    <hyperlink xmlns:r="http://schemas.openxmlformats.org/officeDocument/2006/relationships" ref="H1267" r:id="rId1263"/>
    <hyperlink xmlns:r="http://schemas.openxmlformats.org/officeDocument/2006/relationships" ref="H1268" r:id="rId1264"/>
    <hyperlink xmlns:r="http://schemas.openxmlformats.org/officeDocument/2006/relationships" ref="H1269" r:id="rId1265"/>
    <hyperlink xmlns:r="http://schemas.openxmlformats.org/officeDocument/2006/relationships" ref="H1270" r:id="rId1266"/>
    <hyperlink xmlns:r="http://schemas.openxmlformats.org/officeDocument/2006/relationships" ref="H1271" r:id="rId1267"/>
    <hyperlink xmlns:r="http://schemas.openxmlformats.org/officeDocument/2006/relationships" ref="H1272" r:id="rId1268"/>
    <hyperlink xmlns:r="http://schemas.openxmlformats.org/officeDocument/2006/relationships" ref="H1273" r:id="rId1269"/>
    <hyperlink xmlns:r="http://schemas.openxmlformats.org/officeDocument/2006/relationships" ref="H1274" r:id="rId1270"/>
    <hyperlink xmlns:r="http://schemas.openxmlformats.org/officeDocument/2006/relationships" ref="H1275" r:id="rId1271"/>
    <hyperlink xmlns:r="http://schemas.openxmlformats.org/officeDocument/2006/relationships" ref="H1276" r:id="rId1272"/>
    <hyperlink xmlns:r="http://schemas.openxmlformats.org/officeDocument/2006/relationships" ref="H1277" r:id="rId1273"/>
    <hyperlink xmlns:r="http://schemas.openxmlformats.org/officeDocument/2006/relationships" ref="H1278" r:id="rId1274"/>
    <hyperlink xmlns:r="http://schemas.openxmlformats.org/officeDocument/2006/relationships" ref="H1279" r:id="rId1275"/>
    <hyperlink xmlns:r="http://schemas.openxmlformats.org/officeDocument/2006/relationships" ref="H1280" r:id="rId1276"/>
    <hyperlink xmlns:r="http://schemas.openxmlformats.org/officeDocument/2006/relationships" ref="H1281" r:id="rId1277"/>
    <hyperlink xmlns:r="http://schemas.openxmlformats.org/officeDocument/2006/relationships" ref="H1282" r:id="rId1278"/>
    <hyperlink xmlns:r="http://schemas.openxmlformats.org/officeDocument/2006/relationships" ref="H1283" r:id="rId1279"/>
    <hyperlink xmlns:r="http://schemas.openxmlformats.org/officeDocument/2006/relationships" ref="H1284" r:id="rId1280"/>
    <hyperlink xmlns:r="http://schemas.openxmlformats.org/officeDocument/2006/relationships" ref="H1285" r:id="rId1281"/>
    <hyperlink xmlns:r="http://schemas.openxmlformats.org/officeDocument/2006/relationships" ref="H1286" r:id="rId1282"/>
    <hyperlink xmlns:r="http://schemas.openxmlformats.org/officeDocument/2006/relationships" ref="H1287" r:id="rId1283"/>
    <hyperlink xmlns:r="http://schemas.openxmlformats.org/officeDocument/2006/relationships" ref="H1288" r:id="rId1284"/>
    <hyperlink xmlns:r="http://schemas.openxmlformats.org/officeDocument/2006/relationships" ref="H1289" r:id="rId1285"/>
    <hyperlink xmlns:r="http://schemas.openxmlformats.org/officeDocument/2006/relationships" ref="H1290" r:id="rId1286"/>
    <hyperlink xmlns:r="http://schemas.openxmlformats.org/officeDocument/2006/relationships" ref="H1291" r:id="rId1287"/>
    <hyperlink xmlns:r="http://schemas.openxmlformats.org/officeDocument/2006/relationships" ref="H1292" r:id="rId1288"/>
    <hyperlink xmlns:r="http://schemas.openxmlformats.org/officeDocument/2006/relationships" ref="H1293" r:id="rId1289"/>
    <hyperlink xmlns:r="http://schemas.openxmlformats.org/officeDocument/2006/relationships" ref="H1294" r:id="rId1290"/>
    <hyperlink xmlns:r="http://schemas.openxmlformats.org/officeDocument/2006/relationships" ref="H1295" r:id="rId1291"/>
    <hyperlink xmlns:r="http://schemas.openxmlformats.org/officeDocument/2006/relationships" ref="H1296" r:id="rId1292"/>
    <hyperlink xmlns:r="http://schemas.openxmlformats.org/officeDocument/2006/relationships" ref="H1297" r:id="rId1293"/>
    <hyperlink xmlns:r="http://schemas.openxmlformats.org/officeDocument/2006/relationships" ref="H1298" r:id="rId1294"/>
    <hyperlink xmlns:r="http://schemas.openxmlformats.org/officeDocument/2006/relationships" ref="H1299" r:id="rId1295"/>
    <hyperlink xmlns:r="http://schemas.openxmlformats.org/officeDocument/2006/relationships" ref="H1300" r:id="rId1296"/>
    <hyperlink xmlns:r="http://schemas.openxmlformats.org/officeDocument/2006/relationships" ref="H1301" r:id="rId1297"/>
    <hyperlink xmlns:r="http://schemas.openxmlformats.org/officeDocument/2006/relationships" ref="H1302" r:id="rId1298"/>
    <hyperlink xmlns:r="http://schemas.openxmlformats.org/officeDocument/2006/relationships" ref="H1303" r:id="rId1299"/>
    <hyperlink xmlns:r="http://schemas.openxmlformats.org/officeDocument/2006/relationships" ref="H1304" r:id="rId1300"/>
    <hyperlink xmlns:r="http://schemas.openxmlformats.org/officeDocument/2006/relationships" ref="H1305" r:id="rId1301"/>
    <hyperlink xmlns:r="http://schemas.openxmlformats.org/officeDocument/2006/relationships" ref="H1306" r:id="rId1302"/>
    <hyperlink xmlns:r="http://schemas.openxmlformats.org/officeDocument/2006/relationships" ref="H1307" r:id="rId1303"/>
    <hyperlink xmlns:r="http://schemas.openxmlformats.org/officeDocument/2006/relationships" ref="H1308" r:id="rId1304"/>
    <hyperlink xmlns:r="http://schemas.openxmlformats.org/officeDocument/2006/relationships" ref="H1309" r:id="rId1305"/>
    <hyperlink xmlns:r="http://schemas.openxmlformats.org/officeDocument/2006/relationships" ref="H1310" r:id="rId1306"/>
    <hyperlink xmlns:r="http://schemas.openxmlformats.org/officeDocument/2006/relationships" ref="H1311" r:id="rId1307"/>
    <hyperlink xmlns:r="http://schemas.openxmlformats.org/officeDocument/2006/relationships" ref="H1312" r:id="rId1308"/>
    <hyperlink xmlns:r="http://schemas.openxmlformats.org/officeDocument/2006/relationships" ref="H1313" r:id="rId1309"/>
    <hyperlink xmlns:r="http://schemas.openxmlformats.org/officeDocument/2006/relationships" ref="H1314" r:id="rId1310"/>
    <hyperlink xmlns:r="http://schemas.openxmlformats.org/officeDocument/2006/relationships" ref="H1315" r:id="rId1311"/>
    <hyperlink xmlns:r="http://schemas.openxmlformats.org/officeDocument/2006/relationships" ref="H1316" r:id="rId1312"/>
    <hyperlink xmlns:r="http://schemas.openxmlformats.org/officeDocument/2006/relationships" ref="H1317" r:id="rId1313"/>
    <hyperlink xmlns:r="http://schemas.openxmlformats.org/officeDocument/2006/relationships" ref="H1318" r:id="rId1314"/>
    <hyperlink xmlns:r="http://schemas.openxmlformats.org/officeDocument/2006/relationships" ref="H1319" r:id="rId1315"/>
    <hyperlink xmlns:r="http://schemas.openxmlformats.org/officeDocument/2006/relationships" ref="H1320" r:id="rId1316"/>
    <hyperlink xmlns:r="http://schemas.openxmlformats.org/officeDocument/2006/relationships" ref="H1321" r:id="rId1317"/>
    <hyperlink xmlns:r="http://schemas.openxmlformats.org/officeDocument/2006/relationships" ref="H1322" r:id="rId1318"/>
    <hyperlink xmlns:r="http://schemas.openxmlformats.org/officeDocument/2006/relationships" ref="H1323" r:id="rId1319"/>
    <hyperlink xmlns:r="http://schemas.openxmlformats.org/officeDocument/2006/relationships" ref="H1324" r:id="rId1320"/>
    <hyperlink xmlns:r="http://schemas.openxmlformats.org/officeDocument/2006/relationships" ref="H1325" r:id="rId1321"/>
    <hyperlink xmlns:r="http://schemas.openxmlformats.org/officeDocument/2006/relationships" ref="H1326" r:id="rId1322"/>
    <hyperlink xmlns:r="http://schemas.openxmlformats.org/officeDocument/2006/relationships" ref="H1327" r:id="rId1323"/>
    <hyperlink xmlns:r="http://schemas.openxmlformats.org/officeDocument/2006/relationships" ref="H1328" r:id="rId1324"/>
    <hyperlink xmlns:r="http://schemas.openxmlformats.org/officeDocument/2006/relationships" ref="H1329" r:id="rId1325"/>
    <hyperlink xmlns:r="http://schemas.openxmlformats.org/officeDocument/2006/relationships" ref="H1330" r:id="rId1326"/>
    <hyperlink xmlns:r="http://schemas.openxmlformats.org/officeDocument/2006/relationships" ref="H1331" r:id="rId1327"/>
    <hyperlink xmlns:r="http://schemas.openxmlformats.org/officeDocument/2006/relationships" ref="H1332" r:id="rId1328"/>
    <hyperlink xmlns:r="http://schemas.openxmlformats.org/officeDocument/2006/relationships" ref="H1333" r:id="rId1329"/>
    <hyperlink xmlns:r="http://schemas.openxmlformats.org/officeDocument/2006/relationships" ref="H1334" r:id="rId1330"/>
    <hyperlink xmlns:r="http://schemas.openxmlformats.org/officeDocument/2006/relationships" ref="H1335" r:id="rId1331"/>
    <hyperlink xmlns:r="http://schemas.openxmlformats.org/officeDocument/2006/relationships" ref="H1336" r:id="rId1332"/>
    <hyperlink xmlns:r="http://schemas.openxmlformats.org/officeDocument/2006/relationships" ref="H1337" r:id="rId1333"/>
    <hyperlink xmlns:r="http://schemas.openxmlformats.org/officeDocument/2006/relationships" ref="H1338" r:id="rId1334"/>
    <hyperlink xmlns:r="http://schemas.openxmlformats.org/officeDocument/2006/relationships" ref="H1339" r:id="rId1335"/>
    <hyperlink xmlns:r="http://schemas.openxmlformats.org/officeDocument/2006/relationships" ref="H1340" r:id="rId1336"/>
    <hyperlink xmlns:r="http://schemas.openxmlformats.org/officeDocument/2006/relationships" ref="H1341" r:id="rId1337"/>
    <hyperlink xmlns:r="http://schemas.openxmlformats.org/officeDocument/2006/relationships" ref="H1342" r:id="rId1338"/>
    <hyperlink xmlns:r="http://schemas.openxmlformats.org/officeDocument/2006/relationships" ref="H1343" r:id="rId1339"/>
    <hyperlink xmlns:r="http://schemas.openxmlformats.org/officeDocument/2006/relationships" ref="H1344" r:id="rId1340"/>
    <hyperlink xmlns:r="http://schemas.openxmlformats.org/officeDocument/2006/relationships" ref="H1345" r:id="rId1341"/>
    <hyperlink xmlns:r="http://schemas.openxmlformats.org/officeDocument/2006/relationships" ref="H1346" r:id="rId1342"/>
    <hyperlink xmlns:r="http://schemas.openxmlformats.org/officeDocument/2006/relationships" ref="H1347" r:id="rId1343"/>
    <hyperlink xmlns:r="http://schemas.openxmlformats.org/officeDocument/2006/relationships" ref="H1348" r:id="rId1344"/>
    <hyperlink xmlns:r="http://schemas.openxmlformats.org/officeDocument/2006/relationships" ref="H1349" r:id="rId1345"/>
    <hyperlink xmlns:r="http://schemas.openxmlformats.org/officeDocument/2006/relationships" ref="H1350" r:id="rId1346"/>
    <hyperlink xmlns:r="http://schemas.openxmlformats.org/officeDocument/2006/relationships" ref="H1351" r:id="rId1347"/>
    <hyperlink xmlns:r="http://schemas.openxmlformats.org/officeDocument/2006/relationships" ref="H1352" r:id="rId1348"/>
    <hyperlink xmlns:r="http://schemas.openxmlformats.org/officeDocument/2006/relationships" ref="H1353" r:id="rId1349"/>
    <hyperlink xmlns:r="http://schemas.openxmlformats.org/officeDocument/2006/relationships" ref="H1354" r:id="rId1350"/>
    <hyperlink xmlns:r="http://schemas.openxmlformats.org/officeDocument/2006/relationships" ref="H1355" r:id="rId1351"/>
    <hyperlink xmlns:r="http://schemas.openxmlformats.org/officeDocument/2006/relationships" ref="H1356" r:id="rId1352"/>
    <hyperlink xmlns:r="http://schemas.openxmlformats.org/officeDocument/2006/relationships" ref="H1357" r:id="rId1353"/>
    <hyperlink xmlns:r="http://schemas.openxmlformats.org/officeDocument/2006/relationships" ref="H1358" r:id="rId1354"/>
    <hyperlink xmlns:r="http://schemas.openxmlformats.org/officeDocument/2006/relationships" ref="H1359" r:id="rId1355"/>
    <hyperlink xmlns:r="http://schemas.openxmlformats.org/officeDocument/2006/relationships" ref="H1360" r:id="rId1356"/>
    <hyperlink xmlns:r="http://schemas.openxmlformats.org/officeDocument/2006/relationships" ref="H1361" r:id="rId1357"/>
    <hyperlink xmlns:r="http://schemas.openxmlformats.org/officeDocument/2006/relationships" ref="H1362" r:id="rId1358"/>
    <hyperlink xmlns:r="http://schemas.openxmlformats.org/officeDocument/2006/relationships" ref="H1363" r:id="rId1359"/>
    <hyperlink xmlns:r="http://schemas.openxmlformats.org/officeDocument/2006/relationships" ref="H1364" r:id="rId1360"/>
    <hyperlink xmlns:r="http://schemas.openxmlformats.org/officeDocument/2006/relationships" ref="H1365" r:id="rId1361"/>
    <hyperlink xmlns:r="http://schemas.openxmlformats.org/officeDocument/2006/relationships" ref="H1366" r:id="rId1362"/>
    <hyperlink xmlns:r="http://schemas.openxmlformats.org/officeDocument/2006/relationships" ref="H1367" r:id="rId1363"/>
    <hyperlink xmlns:r="http://schemas.openxmlformats.org/officeDocument/2006/relationships" ref="H1368" r:id="rId1364"/>
    <hyperlink xmlns:r="http://schemas.openxmlformats.org/officeDocument/2006/relationships" ref="H1369" r:id="rId1365"/>
    <hyperlink xmlns:r="http://schemas.openxmlformats.org/officeDocument/2006/relationships" ref="H1370" r:id="rId1366"/>
    <hyperlink xmlns:r="http://schemas.openxmlformats.org/officeDocument/2006/relationships" ref="H1371" r:id="rId1367"/>
    <hyperlink xmlns:r="http://schemas.openxmlformats.org/officeDocument/2006/relationships" ref="H1372" r:id="rId1368"/>
    <hyperlink xmlns:r="http://schemas.openxmlformats.org/officeDocument/2006/relationships" ref="H1373" r:id="rId1369"/>
    <hyperlink xmlns:r="http://schemas.openxmlformats.org/officeDocument/2006/relationships" ref="H1374" r:id="rId1370"/>
    <hyperlink xmlns:r="http://schemas.openxmlformats.org/officeDocument/2006/relationships" ref="H1375" r:id="rId1371"/>
    <hyperlink xmlns:r="http://schemas.openxmlformats.org/officeDocument/2006/relationships" ref="H1376" r:id="rId1372"/>
    <hyperlink xmlns:r="http://schemas.openxmlformats.org/officeDocument/2006/relationships" ref="H1377" r:id="rId1373"/>
    <hyperlink xmlns:r="http://schemas.openxmlformats.org/officeDocument/2006/relationships" ref="H1378" r:id="rId1374"/>
    <hyperlink xmlns:r="http://schemas.openxmlformats.org/officeDocument/2006/relationships" ref="H1379" r:id="rId1375"/>
    <hyperlink xmlns:r="http://schemas.openxmlformats.org/officeDocument/2006/relationships" ref="H1380" r:id="rId1376"/>
    <hyperlink xmlns:r="http://schemas.openxmlformats.org/officeDocument/2006/relationships" ref="H1381" r:id="rId1377"/>
    <hyperlink xmlns:r="http://schemas.openxmlformats.org/officeDocument/2006/relationships" ref="H1382" r:id="rId1378"/>
    <hyperlink xmlns:r="http://schemas.openxmlformats.org/officeDocument/2006/relationships" ref="H1383" r:id="rId1379"/>
    <hyperlink xmlns:r="http://schemas.openxmlformats.org/officeDocument/2006/relationships" ref="H1384" r:id="rId1380"/>
    <hyperlink xmlns:r="http://schemas.openxmlformats.org/officeDocument/2006/relationships" ref="H1385" r:id="rId1381"/>
    <hyperlink xmlns:r="http://schemas.openxmlformats.org/officeDocument/2006/relationships" ref="H1386" r:id="rId1382"/>
    <hyperlink xmlns:r="http://schemas.openxmlformats.org/officeDocument/2006/relationships" ref="H1387" r:id="rId1383"/>
    <hyperlink xmlns:r="http://schemas.openxmlformats.org/officeDocument/2006/relationships" ref="H1388" r:id="rId1384"/>
    <hyperlink xmlns:r="http://schemas.openxmlformats.org/officeDocument/2006/relationships" ref="H1389" r:id="rId1385"/>
    <hyperlink xmlns:r="http://schemas.openxmlformats.org/officeDocument/2006/relationships" ref="H1390" r:id="rId1386"/>
    <hyperlink xmlns:r="http://schemas.openxmlformats.org/officeDocument/2006/relationships" ref="H1391" r:id="rId1387"/>
    <hyperlink xmlns:r="http://schemas.openxmlformats.org/officeDocument/2006/relationships" ref="H1392" r:id="rId1388"/>
    <hyperlink xmlns:r="http://schemas.openxmlformats.org/officeDocument/2006/relationships" ref="H1393" r:id="rId1389"/>
    <hyperlink xmlns:r="http://schemas.openxmlformats.org/officeDocument/2006/relationships" ref="H1394" r:id="rId1390"/>
    <hyperlink xmlns:r="http://schemas.openxmlformats.org/officeDocument/2006/relationships" ref="H1395" r:id="rId1391"/>
    <hyperlink xmlns:r="http://schemas.openxmlformats.org/officeDocument/2006/relationships" ref="H1396" r:id="rId1392"/>
    <hyperlink xmlns:r="http://schemas.openxmlformats.org/officeDocument/2006/relationships" ref="H1397" r:id="rId1393"/>
    <hyperlink xmlns:r="http://schemas.openxmlformats.org/officeDocument/2006/relationships" ref="H1398" r:id="rId1394"/>
    <hyperlink xmlns:r="http://schemas.openxmlformats.org/officeDocument/2006/relationships" ref="H1399" r:id="rId1395"/>
    <hyperlink xmlns:r="http://schemas.openxmlformats.org/officeDocument/2006/relationships" ref="H1400" r:id="rId1396"/>
    <hyperlink xmlns:r="http://schemas.openxmlformats.org/officeDocument/2006/relationships" ref="H1401" r:id="rId1397"/>
    <hyperlink xmlns:r="http://schemas.openxmlformats.org/officeDocument/2006/relationships" ref="H1402" r:id="rId1398"/>
    <hyperlink xmlns:r="http://schemas.openxmlformats.org/officeDocument/2006/relationships" ref="H1403" r:id="rId1399"/>
    <hyperlink xmlns:r="http://schemas.openxmlformats.org/officeDocument/2006/relationships" ref="H1404" r:id="rId1400"/>
    <hyperlink xmlns:r="http://schemas.openxmlformats.org/officeDocument/2006/relationships" ref="H1405" r:id="rId1401"/>
    <hyperlink xmlns:r="http://schemas.openxmlformats.org/officeDocument/2006/relationships" ref="H1406" r:id="rId1402"/>
    <hyperlink xmlns:r="http://schemas.openxmlformats.org/officeDocument/2006/relationships" ref="H1407" r:id="rId1403"/>
    <hyperlink xmlns:r="http://schemas.openxmlformats.org/officeDocument/2006/relationships" ref="H1408" r:id="rId1404"/>
    <hyperlink xmlns:r="http://schemas.openxmlformats.org/officeDocument/2006/relationships" ref="H1409" r:id="rId1405"/>
    <hyperlink xmlns:r="http://schemas.openxmlformats.org/officeDocument/2006/relationships" ref="H1410" r:id="rId1406"/>
    <hyperlink xmlns:r="http://schemas.openxmlformats.org/officeDocument/2006/relationships" ref="H1411" r:id="rId1407"/>
    <hyperlink xmlns:r="http://schemas.openxmlformats.org/officeDocument/2006/relationships" ref="H1412" r:id="rId1408"/>
    <hyperlink xmlns:r="http://schemas.openxmlformats.org/officeDocument/2006/relationships" ref="H1413" r:id="rId1409"/>
    <hyperlink xmlns:r="http://schemas.openxmlformats.org/officeDocument/2006/relationships" ref="H1414" r:id="rId1410"/>
    <hyperlink xmlns:r="http://schemas.openxmlformats.org/officeDocument/2006/relationships" ref="H1415" r:id="rId1411"/>
    <hyperlink xmlns:r="http://schemas.openxmlformats.org/officeDocument/2006/relationships" ref="H1416" r:id="rId1412"/>
    <hyperlink xmlns:r="http://schemas.openxmlformats.org/officeDocument/2006/relationships" ref="H1417" r:id="rId1413"/>
    <hyperlink xmlns:r="http://schemas.openxmlformats.org/officeDocument/2006/relationships" ref="H1418" r:id="rId1414"/>
    <hyperlink xmlns:r="http://schemas.openxmlformats.org/officeDocument/2006/relationships" ref="H1419" r:id="rId1415"/>
    <hyperlink xmlns:r="http://schemas.openxmlformats.org/officeDocument/2006/relationships" ref="H1420" r:id="rId1416"/>
    <hyperlink xmlns:r="http://schemas.openxmlformats.org/officeDocument/2006/relationships" ref="H1421" r:id="rId1417"/>
    <hyperlink xmlns:r="http://schemas.openxmlformats.org/officeDocument/2006/relationships" ref="H1422" r:id="rId1418"/>
    <hyperlink xmlns:r="http://schemas.openxmlformats.org/officeDocument/2006/relationships" ref="H1423" r:id="rId1419"/>
    <hyperlink xmlns:r="http://schemas.openxmlformats.org/officeDocument/2006/relationships" ref="H1424" r:id="rId1420"/>
    <hyperlink xmlns:r="http://schemas.openxmlformats.org/officeDocument/2006/relationships" ref="H1425" r:id="rId1421"/>
    <hyperlink xmlns:r="http://schemas.openxmlformats.org/officeDocument/2006/relationships" ref="H1426" r:id="rId1422"/>
    <hyperlink xmlns:r="http://schemas.openxmlformats.org/officeDocument/2006/relationships" ref="H1427" r:id="rId1423"/>
    <hyperlink xmlns:r="http://schemas.openxmlformats.org/officeDocument/2006/relationships" ref="H1428" r:id="rId1424"/>
    <hyperlink xmlns:r="http://schemas.openxmlformats.org/officeDocument/2006/relationships" ref="H1429" r:id="rId1425"/>
    <hyperlink xmlns:r="http://schemas.openxmlformats.org/officeDocument/2006/relationships" ref="H1430" r:id="rId1426"/>
    <hyperlink xmlns:r="http://schemas.openxmlformats.org/officeDocument/2006/relationships" ref="H1431" r:id="rId1427"/>
    <hyperlink xmlns:r="http://schemas.openxmlformats.org/officeDocument/2006/relationships" ref="H1432" r:id="rId1428"/>
    <hyperlink xmlns:r="http://schemas.openxmlformats.org/officeDocument/2006/relationships" ref="H1433" r:id="rId1429"/>
    <hyperlink xmlns:r="http://schemas.openxmlformats.org/officeDocument/2006/relationships" ref="H1434" r:id="rId1430"/>
    <hyperlink xmlns:r="http://schemas.openxmlformats.org/officeDocument/2006/relationships" ref="H1435" r:id="rId1431"/>
    <hyperlink xmlns:r="http://schemas.openxmlformats.org/officeDocument/2006/relationships" ref="H1436" r:id="rId1432"/>
    <hyperlink xmlns:r="http://schemas.openxmlformats.org/officeDocument/2006/relationships" ref="H1437" r:id="rId1433"/>
    <hyperlink xmlns:r="http://schemas.openxmlformats.org/officeDocument/2006/relationships" ref="H1438" r:id="rId1434"/>
    <hyperlink xmlns:r="http://schemas.openxmlformats.org/officeDocument/2006/relationships" ref="H1439" r:id="rId1435"/>
    <hyperlink xmlns:r="http://schemas.openxmlformats.org/officeDocument/2006/relationships" ref="H1440" r:id="rId1436"/>
    <hyperlink xmlns:r="http://schemas.openxmlformats.org/officeDocument/2006/relationships" ref="H1441" r:id="rId1437"/>
    <hyperlink xmlns:r="http://schemas.openxmlformats.org/officeDocument/2006/relationships" ref="H1442" r:id="rId1438"/>
    <hyperlink xmlns:r="http://schemas.openxmlformats.org/officeDocument/2006/relationships" ref="H1443" r:id="rId1439"/>
    <hyperlink xmlns:r="http://schemas.openxmlformats.org/officeDocument/2006/relationships" ref="H1444" r:id="rId1440"/>
    <hyperlink xmlns:r="http://schemas.openxmlformats.org/officeDocument/2006/relationships" ref="H1445" r:id="rId1441"/>
    <hyperlink xmlns:r="http://schemas.openxmlformats.org/officeDocument/2006/relationships" ref="H1446" r:id="rId1442"/>
    <hyperlink xmlns:r="http://schemas.openxmlformats.org/officeDocument/2006/relationships" ref="H1447" r:id="rId1443"/>
    <hyperlink xmlns:r="http://schemas.openxmlformats.org/officeDocument/2006/relationships" ref="H1448" r:id="rId1444"/>
    <hyperlink xmlns:r="http://schemas.openxmlformats.org/officeDocument/2006/relationships" ref="H1449" r:id="rId1445"/>
    <hyperlink xmlns:r="http://schemas.openxmlformats.org/officeDocument/2006/relationships" ref="H1450" r:id="rId1446"/>
    <hyperlink xmlns:r="http://schemas.openxmlformats.org/officeDocument/2006/relationships" ref="H1451" r:id="rId1447"/>
    <hyperlink xmlns:r="http://schemas.openxmlformats.org/officeDocument/2006/relationships" ref="H1452" r:id="rId1448"/>
    <hyperlink xmlns:r="http://schemas.openxmlformats.org/officeDocument/2006/relationships" ref="H1453" r:id="rId1449"/>
    <hyperlink xmlns:r="http://schemas.openxmlformats.org/officeDocument/2006/relationships" ref="H1454" r:id="rId1450"/>
    <hyperlink xmlns:r="http://schemas.openxmlformats.org/officeDocument/2006/relationships" ref="H1455" r:id="rId1451"/>
    <hyperlink xmlns:r="http://schemas.openxmlformats.org/officeDocument/2006/relationships" ref="H1456" r:id="rId1452"/>
    <hyperlink xmlns:r="http://schemas.openxmlformats.org/officeDocument/2006/relationships" ref="H1457" r:id="rId1453"/>
    <hyperlink xmlns:r="http://schemas.openxmlformats.org/officeDocument/2006/relationships" ref="H1458" r:id="rId1454"/>
    <hyperlink xmlns:r="http://schemas.openxmlformats.org/officeDocument/2006/relationships" ref="H1459" r:id="rId1455"/>
    <hyperlink xmlns:r="http://schemas.openxmlformats.org/officeDocument/2006/relationships" ref="H1460" r:id="rId1456"/>
    <hyperlink xmlns:r="http://schemas.openxmlformats.org/officeDocument/2006/relationships" ref="H1461" r:id="rId1457"/>
    <hyperlink xmlns:r="http://schemas.openxmlformats.org/officeDocument/2006/relationships" ref="H1462" r:id="rId1458"/>
    <hyperlink xmlns:r="http://schemas.openxmlformats.org/officeDocument/2006/relationships" ref="H1463" r:id="rId1459"/>
    <hyperlink xmlns:r="http://schemas.openxmlformats.org/officeDocument/2006/relationships" ref="H1464" r:id="rId1460"/>
    <hyperlink xmlns:r="http://schemas.openxmlformats.org/officeDocument/2006/relationships" ref="H1465" r:id="rId1461"/>
    <hyperlink xmlns:r="http://schemas.openxmlformats.org/officeDocument/2006/relationships" ref="H1466" r:id="rId1462"/>
    <hyperlink xmlns:r="http://schemas.openxmlformats.org/officeDocument/2006/relationships" ref="H1467" r:id="rId1463"/>
    <hyperlink xmlns:r="http://schemas.openxmlformats.org/officeDocument/2006/relationships" ref="H1468" r:id="rId1464"/>
    <hyperlink xmlns:r="http://schemas.openxmlformats.org/officeDocument/2006/relationships" ref="H1469" r:id="rId1465"/>
    <hyperlink xmlns:r="http://schemas.openxmlformats.org/officeDocument/2006/relationships" ref="H1470" r:id="rId1466"/>
    <hyperlink xmlns:r="http://schemas.openxmlformats.org/officeDocument/2006/relationships" ref="H1471" r:id="rId1467"/>
    <hyperlink xmlns:r="http://schemas.openxmlformats.org/officeDocument/2006/relationships" ref="H1472" r:id="rId1468"/>
    <hyperlink xmlns:r="http://schemas.openxmlformats.org/officeDocument/2006/relationships" ref="H1473" r:id="rId1469"/>
    <hyperlink xmlns:r="http://schemas.openxmlformats.org/officeDocument/2006/relationships" ref="H1474" r:id="rId1470"/>
    <hyperlink xmlns:r="http://schemas.openxmlformats.org/officeDocument/2006/relationships" ref="H1475" r:id="rId1471"/>
    <hyperlink xmlns:r="http://schemas.openxmlformats.org/officeDocument/2006/relationships" ref="H1476" r:id="rId1472"/>
    <hyperlink xmlns:r="http://schemas.openxmlformats.org/officeDocument/2006/relationships" ref="H1477" r:id="rId1473"/>
    <hyperlink xmlns:r="http://schemas.openxmlformats.org/officeDocument/2006/relationships" ref="H1478" r:id="rId1474"/>
    <hyperlink xmlns:r="http://schemas.openxmlformats.org/officeDocument/2006/relationships" ref="H1479" r:id="rId1475"/>
    <hyperlink xmlns:r="http://schemas.openxmlformats.org/officeDocument/2006/relationships" ref="H1480" r:id="rId1476"/>
    <hyperlink xmlns:r="http://schemas.openxmlformats.org/officeDocument/2006/relationships" ref="H1481" r:id="rId1477"/>
    <hyperlink xmlns:r="http://schemas.openxmlformats.org/officeDocument/2006/relationships" ref="H1482" r:id="rId1478"/>
    <hyperlink xmlns:r="http://schemas.openxmlformats.org/officeDocument/2006/relationships" ref="H1483" r:id="rId1479"/>
    <hyperlink xmlns:r="http://schemas.openxmlformats.org/officeDocument/2006/relationships" ref="H1484" r:id="rId1480"/>
    <hyperlink xmlns:r="http://schemas.openxmlformats.org/officeDocument/2006/relationships" ref="H1485" r:id="rId1481"/>
    <hyperlink xmlns:r="http://schemas.openxmlformats.org/officeDocument/2006/relationships" ref="H1486" r:id="rId1482"/>
    <hyperlink xmlns:r="http://schemas.openxmlformats.org/officeDocument/2006/relationships" ref="H1487" r:id="rId1483"/>
    <hyperlink xmlns:r="http://schemas.openxmlformats.org/officeDocument/2006/relationships" ref="H1488" r:id="rId1484"/>
    <hyperlink xmlns:r="http://schemas.openxmlformats.org/officeDocument/2006/relationships" ref="H1489" r:id="rId1485"/>
    <hyperlink xmlns:r="http://schemas.openxmlformats.org/officeDocument/2006/relationships" ref="H1490" r:id="rId1486"/>
    <hyperlink xmlns:r="http://schemas.openxmlformats.org/officeDocument/2006/relationships" ref="H1491" r:id="rId1487"/>
    <hyperlink xmlns:r="http://schemas.openxmlformats.org/officeDocument/2006/relationships" ref="H1492" r:id="rId1488"/>
    <hyperlink xmlns:r="http://schemas.openxmlformats.org/officeDocument/2006/relationships" ref="H1493" r:id="rId1489"/>
    <hyperlink xmlns:r="http://schemas.openxmlformats.org/officeDocument/2006/relationships" ref="H1494" r:id="rId1490"/>
    <hyperlink xmlns:r="http://schemas.openxmlformats.org/officeDocument/2006/relationships" ref="H1495" r:id="rId1491"/>
    <hyperlink xmlns:r="http://schemas.openxmlformats.org/officeDocument/2006/relationships" ref="H1496" r:id="rId1492"/>
    <hyperlink xmlns:r="http://schemas.openxmlformats.org/officeDocument/2006/relationships" ref="H1497" r:id="rId1493"/>
    <hyperlink xmlns:r="http://schemas.openxmlformats.org/officeDocument/2006/relationships" ref="H1498" r:id="rId1494"/>
    <hyperlink xmlns:r="http://schemas.openxmlformats.org/officeDocument/2006/relationships" ref="H1499" r:id="rId1495"/>
    <hyperlink xmlns:r="http://schemas.openxmlformats.org/officeDocument/2006/relationships" ref="H1500" r:id="rId1496"/>
    <hyperlink xmlns:r="http://schemas.openxmlformats.org/officeDocument/2006/relationships" ref="H1501" r:id="rId1497"/>
    <hyperlink xmlns:r="http://schemas.openxmlformats.org/officeDocument/2006/relationships" ref="H1502" r:id="rId1498"/>
    <hyperlink xmlns:r="http://schemas.openxmlformats.org/officeDocument/2006/relationships" ref="H1503" r:id="rId1499"/>
    <hyperlink xmlns:r="http://schemas.openxmlformats.org/officeDocument/2006/relationships" ref="H1504" r:id="rId1500"/>
    <hyperlink xmlns:r="http://schemas.openxmlformats.org/officeDocument/2006/relationships" ref="H1505" r:id="rId1501"/>
    <hyperlink xmlns:r="http://schemas.openxmlformats.org/officeDocument/2006/relationships" ref="H1506" r:id="rId1502"/>
    <hyperlink xmlns:r="http://schemas.openxmlformats.org/officeDocument/2006/relationships" ref="H1507" r:id="rId1503"/>
    <hyperlink xmlns:r="http://schemas.openxmlformats.org/officeDocument/2006/relationships" ref="H1508" r:id="rId1504"/>
    <hyperlink xmlns:r="http://schemas.openxmlformats.org/officeDocument/2006/relationships" ref="H1509" r:id="rId1505"/>
    <hyperlink xmlns:r="http://schemas.openxmlformats.org/officeDocument/2006/relationships" ref="H1510" r:id="rId1506"/>
    <hyperlink xmlns:r="http://schemas.openxmlformats.org/officeDocument/2006/relationships" ref="H1511" r:id="rId1507"/>
    <hyperlink xmlns:r="http://schemas.openxmlformats.org/officeDocument/2006/relationships" ref="H1512" r:id="rId1508"/>
    <hyperlink xmlns:r="http://schemas.openxmlformats.org/officeDocument/2006/relationships" ref="H1513" r:id="rId1509"/>
    <hyperlink xmlns:r="http://schemas.openxmlformats.org/officeDocument/2006/relationships" ref="H1514" r:id="rId1510"/>
    <hyperlink xmlns:r="http://schemas.openxmlformats.org/officeDocument/2006/relationships" ref="H1515" r:id="rId1511"/>
    <hyperlink xmlns:r="http://schemas.openxmlformats.org/officeDocument/2006/relationships" ref="H1516" r:id="rId1512"/>
    <hyperlink xmlns:r="http://schemas.openxmlformats.org/officeDocument/2006/relationships" ref="H1517" r:id="rId1513"/>
    <hyperlink xmlns:r="http://schemas.openxmlformats.org/officeDocument/2006/relationships" ref="H1518" r:id="rId1514"/>
    <hyperlink xmlns:r="http://schemas.openxmlformats.org/officeDocument/2006/relationships" ref="H1519" r:id="rId1515"/>
    <hyperlink xmlns:r="http://schemas.openxmlformats.org/officeDocument/2006/relationships" ref="H1520" r:id="rId1516"/>
    <hyperlink xmlns:r="http://schemas.openxmlformats.org/officeDocument/2006/relationships" ref="H1521" r:id="rId1517"/>
    <hyperlink xmlns:r="http://schemas.openxmlformats.org/officeDocument/2006/relationships" ref="H1522" r:id="rId1518"/>
    <hyperlink xmlns:r="http://schemas.openxmlformats.org/officeDocument/2006/relationships" ref="H1523" r:id="rId1519"/>
    <hyperlink xmlns:r="http://schemas.openxmlformats.org/officeDocument/2006/relationships" ref="H1524" r:id="rId1520"/>
    <hyperlink xmlns:r="http://schemas.openxmlformats.org/officeDocument/2006/relationships" ref="H1525" r:id="rId1521"/>
    <hyperlink xmlns:r="http://schemas.openxmlformats.org/officeDocument/2006/relationships" ref="H1526" r:id="rId1522"/>
    <hyperlink xmlns:r="http://schemas.openxmlformats.org/officeDocument/2006/relationships" ref="H1527" r:id="rId1523"/>
    <hyperlink xmlns:r="http://schemas.openxmlformats.org/officeDocument/2006/relationships" ref="H1528" r:id="rId1524"/>
    <hyperlink xmlns:r="http://schemas.openxmlformats.org/officeDocument/2006/relationships" ref="H1529" r:id="rId1525"/>
    <hyperlink xmlns:r="http://schemas.openxmlformats.org/officeDocument/2006/relationships" ref="H1530" r:id="rId1526"/>
    <hyperlink xmlns:r="http://schemas.openxmlformats.org/officeDocument/2006/relationships" ref="H1531" r:id="rId1527"/>
    <hyperlink xmlns:r="http://schemas.openxmlformats.org/officeDocument/2006/relationships" ref="H1532" r:id="rId1528"/>
    <hyperlink xmlns:r="http://schemas.openxmlformats.org/officeDocument/2006/relationships" ref="H1533" r:id="rId1529"/>
    <hyperlink xmlns:r="http://schemas.openxmlformats.org/officeDocument/2006/relationships" ref="H1534" r:id="rId1530"/>
    <hyperlink xmlns:r="http://schemas.openxmlformats.org/officeDocument/2006/relationships" ref="H1535" r:id="rId1531"/>
    <hyperlink xmlns:r="http://schemas.openxmlformats.org/officeDocument/2006/relationships" ref="H1536" r:id="rId1532"/>
    <hyperlink xmlns:r="http://schemas.openxmlformats.org/officeDocument/2006/relationships" ref="H1537" r:id="rId1533"/>
    <hyperlink xmlns:r="http://schemas.openxmlformats.org/officeDocument/2006/relationships" ref="H1538" r:id="rId1534"/>
    <hyperlink xmlns:r="http://schemas.openxmlformats.org/officeDocument/2006/relationships" ref="H1539" r:id="rId1535"/>
    <hyperlink xmlns:r="http://schemas.openxmlformats.org/officeDocument/2006/relationships" ref="H1540" r:id="rId1536"/>
    <hyperlink xmlns:r="http://schemas.openxmlformats.org/officeDocument/2006/relationships" ref="H1541" r:id="rId1537"/>
    <hyperlink xmlns:r="http://schemas.openxmlformats.org/officeDocument/2006/relationships" ref="H1542" r:id="rId1538"/>
    <hyperlink xmlns:r="http://schemas.openxmlformats.org/officeDocument/2006/relationships" ref="H1543" r:id="rId1539"/>
    <hyperlink xmlns:r="http://schemas.openxmlformats.org/officeDocument/2006/relationships" ref="H1544" r:id="rId1540"/>
    <hyperlink xmlns:r="http://schemas.openxmlformats.org/officeDocument/2006/relationships" ref="H1545" r:id="rId1541"/>
    <hyperlink xmlns:r="http://schemas.openxmlformats.org/officeDocument/2006/relationships" ref="H1546" r:id="rId1542"/>
    <hyperlink xmlns:r="http://schemas.openxmlformats.org/officeDocument/2006/relationships" ref="H1547" r:id="rId1543"/>
    <hyperlink xmlns:r="http://schemas.openxmlformats.org/officeDocument/2006/relationships" ref="H1548" r:id="rId1544"/>
    <hyperlink xmlns:r="http://schemas.openxmlformats.org/officeDocument/2006/relationships" ref="H1549" r:id="rId1545"/>
    <hyperlink xmlns:r="http://schemas.openxmlformats.org/officeDocument/2006/relationships" ref="H1550" r:id="rId1546"/>
    <hyperlink xmlns:r="http://schemas.openxmlformats.org/officeDocument/2006/relationships" ref="H1551" r:id="rId1547"/>
    <hyperlink xmlns:r="http://schemas.openxmlformats.org/officeDocument/2006/relationships" ref="H1552" r:id="rId1548"/>
    <hyperlink xmlns:r="http://schemas.openxmlformats.org/officeDocument/2006/relationships" ref="H1553" r:id="rId1549"/>
    <hyperlink xmlns:r="http://schemas.openxmlformats.org/officeDocument/2006/relationships" ref="H1554" r:id="rId1550"/>
    <hyperlink xmlns:r="http://schemas.openxmlformats.org/officeDocument/2006/relationships" ref="H1555" r:id="rId1551"/>
    <hyperlink xmlns:r="http://schemas.openxmlformats.org/officeDocument/2006/relationships" ref="H1556" r:id="rId1552"/>
    <hyperlink xmlns:r="http://schemas.openxmlformats.org/officeDocument/2006/relationships" ref="H1557" r:id="rId1553"/>
    <hyperlink xmlns:r="http://schemas.openxmlformats.org/officeDocument/2006/relationships" ref="H1558" r:id="rId1554"/>
    <hyperlink xmlns:r="http://schemas.openxmlformats.org/officeDocument/2006/relationships" ref="H1559" r:id="rId1555"/>
    <hyperlink xmlns:r="http://schemas.openxmlformats.org/officeDocument/2006/relationships" ref="H1560" r:id="rId1556"/>
    <hyperlink xmlns:r="http://schemas.openxmlformats.org/officeDocument/2006/relationships" ref="H1561" r:id="rId1557"/>
    <hyperlink xmlns:r="http://schemas.openxmlformats.org/officeDocument/2006/relationships" ref="H1562" r:id="rId1558"/>
    <hyperlink xmlns:r="http://schemas.openxmlformats.org/officeDocument/2006/relationships" ref="H1563" r:id="rId1559"/>
    <hyperlink xmlns:r="http://schemas.openxmlformats.org/officeDocument/2006/relationships" ref="H1564" r:id="rId1560"/>
    <hyperlink xmlns:r="http://schemas.openxmlformats.org/officeDocument/2006/relationships" ref="H1565" r:id="rId1561"/>
    <hyperlink xmlns:r="http://schemas.openxmlformats.org/officeDocument/2006/relationships" ref="H1566" r:id="rId1562"/>
    <hyperlink xmlns:r="http://schemas.openxmlformats.org/officeDocument/2006/relationships" ref="H1567" r:id="rId1563"/>
    <hyperlink xmlns:r="http://schemas.openxmlformats.org/officeDocument/2006/relationships" ref="H1568" r:id="rId1564"/>
    <hyperlink xmlns:r="http://schemas.openxmlformats.org/officeDocument/2006/relationships" ref="H1569" r:id="rId1565"/>
    <hyperlink xmlns:r="http://schemas.openxmlformats.org/officeDocument/2006/relationships" ref="H1570" r:id="rId1566"/>
    <hyperlink xmlns:r="http://schemas.openxmlformats.org/officeDocument/2006/relationships" ref="H1571" r:id="rId1567"/>
    <hyperlink xmlns:r="http://schemas.openxmlformats.org/officeDocument/2006/relationships" ref="H1572" r:id="rId1568"/>
    <hyperlink xmlns:r="http://schemas.openxmlformats.org/officeDocument/2006/relationships" ref="H1573" r:id="rId1569"/>
    <hyperlink xmlns:r="http://schemas.openxmlformats.org/officeDocument/2006/relationships" ref="H1574" r:id="rId1570"/>
    <hyperlink xmlns:r="http://schemas.openxmlformats.org/officeDocument/2006/relationships" ref="H1575" r:id="rId1571"/>
    <hyperlink xmlns:r="http://schemas.openxmlformats.org/officeDocument/2006/relationships" ref="H1576" r:id="rId1572"/>
    <hyperlink xmlns:r="http://schemas.openxmlformats.org/officeDocument/2006/relationships" ref="H1577" r:id="rId1573"/>
    <hyperlink xmlns:r="http://schemas.openxmlformats.org/officeDocument/2006/relationships" ref="H1578" r:id="rId1574"/>
    <hyperlink xmlns:r="http://schemas.openxmlformats.org/officeDocument/2006/relationships" ref="H1579" r:id="rId1575"/>
    <hyperlink xmlns:r="http://schemas.openxmlformats.org/officeDocument/2006/relationships" ref="H1580" r:id="rId1576"/>
    <hyperlink xmlns:r="http://schemas.openxmlformats.org/officeDocument/2006/relationships" ref="H1581" r:id="rId1577"/>
    <hyperlink xmlns:r="http://schemas.openxmlformats.org/officeDocument/2006/relationships" ref="H1582" r:id="rId1578"/>
    <hyperlink xmlns:r="http://schemas.openxmlformats.org/officeDocument/2006/relationships" ref="H1583" r:id="rId1579"/>
    <hyperlink xmlns:r="http://schemas.openxmlformats.org/officeDocument/2006/relationships" ref="H1584" r:id="rId1580"/>
    <hyperlink xmlns:r="http://schemas.openxmlformats.org/officeDocument/2006/relationships" ref="H1585" r:id="rId1581"/>
    <hyperlink xmlns:r="http://schemas.openxmlformats.org/officeDocument/2006/relationships" ref="H1586" r:id="rId1582"/>
    <hyperlink xmlns:r="http://schemas.openxmlformats.org/officeDocument/2006/relationships" ref="H1587" r:id="rId1583"/>
    <hyperlink xmlns:r="http://schemas.openxmlformats.org/officeDocument/2006/relationships" ref="H1588" r:id="rId1584"/>
    <hyperlink xmlns:r="http://schemas.openxmlformats.org/officeDocument/2006/relationships" ref="H1589" r:id="rId1585"/>
    <hyperlink xmlns:r="http://schemas.openxmlformats.org/officeDocument/2006/relationships" ref="H1590" r:id="rId1586"/>
    <hyperlink xmlns:r="http://schemas.openxmlformats.org/officeDocument/2006/relationships" ref="H1591" r:id="rId1587"/>
    <hyperlink xmlns:r="http://schemas.openxmlformats.org/officeDocument/2006/relationships" ref="H1592" r:id="rId1588"/>
    <hyperlink xmlns:r="http://schemas.openxmlformats.org/officeDocument/2006/relationships" ref="H1593" r:id="rId1589"/>
    <hyperlink xmlns:r="http://schemas.openxmlformats.org/officeDocument/2006/relationships" ref="H1594" r:id="rId1590"/>
    <hyperlink xmlns:r="http://schemas.openxmlformats.org/officeDocument/2006/relationships" ref="H1595" r:id="rId1591"/>
    <hyperlink xmlns:r="http://schemas.openxmlformats.org/officeDocument/2006/relationships" ref="H1596" r:id="rId1592"/>
    <hyperlink xmlns:r="http://schemas.openxmlformats.org/officeDocument/2006/relationships" ref="H1597" r:id="rId1593"/>
    <hyperlink xmlns:r="http://schemas.openxmlformats.org/officeDocument/2006/relationships" ref="H1598" r:id="rId1594"/>
    <hyperlink xmlns:r="http://schemas.openxmlformats.org/officeDocument/2006/relationships" ref="H1599" r:id="rId1595"/>
    <hyperlink xmlns:r="http://schemas.openxmlformats.org/officeDocument/2006/relationships" ref="H1600" r:id="rId1596"/>
    <hyperlink xmlns:r="http://schemas.openxmlformats.org/officeDocument/2006/relationships" ref="H1601" r:id="rId1597"/>
    <hyperlink xmlns:r="http://schemas.openxmlformats.org/officeDocument/2006/relationships" ref="H1602" r:id="rId1598"/>
    <hyperlink xmlns:r="http://schemas.openxmlformats.org/officeDocument/2006/relationships" ref="H1603" r:id="rId1599"/>
    <hyperlink xmlns:r="http://schemas.openxmlformats.org/officeDocument/2006/relationships" ref="H1604" r:id="rId1600"/>
    <hyperlink xmlns:r="http://schemas.openxmlformats.org/officeDocument/2006/relationships" ref="H1605" r:id="rId1601"/>
    <hyperlink xmlns:r="http://schemas.openxmlformats.org/officeDocument/2006/relationships" ref="H1606" r:id="rId1602"/>
    <hyperlink xmlns:r="http://schemas.openxmlformats.org/officeDocument/2006/relationships" ref="H1607" r:id="rId1603"/>
    <hyperlink xmlns:r="http://schemas.openxmlformats.org/officeDocument/2006/relationships" ref="H1608" r:id="rId1604"/>
    <hyperlink xmlns:r="http://schemas.openxmlformats.org/officeDocument/2006/relationships" ref="H1609" r:id="rId1605"/>
    <hyperlink xmlns:r="http://schemas.openxmlformats.org/officeDocument/2006/relationships" ref="H1610" r:id="rId1606"/>
    <hyperlink xmlns:r="http://schemas.openxmlformats.org/officeDocument/2006/relationships" ref="H1611" r:id="rId1607"/>
    <hyperlink xmlns:r="http://schemas.openxmlformats.org/officeDocument/2006/relationships" ref="H1612" r:id="rId1608"/>
    <hyperlink xmlns:r="http://schemas.openxmlformats.org/officeDocument/2006/relationships" ref="H1613" r:id="rId1609"/>
    <hyperlink xmlns:r="http://schemas.openxmlformats.org/officeDocument/2006/relationships" ref="H1614" r:id="rId1610"/>
    <hyperlink xmlns:r="http://schemas.openxmlformats.org/officeDocument/2006/relationships" ref="H1615" r:id="rId1611"/>
    <hyperlink xmlns:r="http://schemas.openxmlformats.org/officeDocument/2006/relationships" ref="H1616" r:id="rId1612"/>
    <hyperlink xmlns:r="http://schemas.openxmlformats.org/officeDocument/2006/relationships" ref="H1617" r:id="rId1613"/>
    <hyperlink xmlns:r="http://schemas.openxmlformats.org/officeDocument/2006/relationships" ref="H1618" r:id="rId1614"/>
    <hyperlink xmlns:r="http://schemas.openxmlformats.org/officeDocument/2006/relationships" ref="H1619" r:id="rId1615"/>
    <hyperlink xmlns:r="http://schemas.openxmlformats.org/officeDocument/2006/relationships" ref="H1620" r:id="rId1616"/>
    <hyperlink xmlns:r="http://schemas.openxmlformats.org/officeDocument/2006/relationships" ref="H1621" r:id="rId1617"/>
    <hyperlink xmlns:r="http://schemas.openxmlformats.org/officeDocument/2006/relationships" ref="H1622" r:id="rId1618"/>
    <hyperlink xmlns:r="http://schemas.openxmlformats.org/officeDocument/2006/relationships" ref="H1623" r:id="rId1619"/>
    <hyperlink xmlns:r="http://schemas.openxmlformats.org/officeDocument/2006/relationships" ref="H1624" r:id="rId1620"/>
    <hyperlink xmlns:r="http://schemas.openxmlformats.org/officeDocument/2006/relationships" ref="H1625" r:id="rId1621"/>
    <hyperlink xmlns:r="http://schemas.openxmlformats.org/officeDocument/2006/relationships" ref="H1626" r:id="rId1622"/>
    <hyperlink xmlns:r="http://schemas.openxmlformats.org/officeDocument/2006/relationships" ref="H1627" r:id="rId1623"/>
    <hyperlink xmlns:r="http://schemas.openxmlformats.org/officeDocument/2006/relationships" ref="H1628" r:id="rId1624"/>
    <hyperlink xmlns:r="http://schemas.openxmlformats.org/officeDocument/2006/relationships" ref="H1629" r:id="rId1625"/>
    <hyperlink xmlns:r="http://schemas.openxmlformats.org/officeDocument/2006/relationships" ref="H1630" r:id="rId1626"/>
    <hyperlink xmlns:r="http://schemas.openxmlformats.org/officeDocument/2006/relationships" ref="H1631" r:id="rId1627"/>
    <hyperlink xmlns:r="http://schemas.openxmlformats.org/officeDocument/2006/relationships" ref="H1632" r:id="rId1628"/>
    <hyperlink xmlns:r="http://schemas.openxmlformats.org/officeDocument/2006/relationships" ref="H1633" r:id="rId1629"/>
    <hyperlink xmlns:r="http://schemas.openxmlformats.org/officeDocument/2006/relationships" ref="H1634" r:id="rId1630"/>
    <hyperlink xmlns:r="http://schemas.openxmlformats.org/officeDocument/2006/relationships" ref="H1635" r:id="rId1631"/>
    <hyperlink xmlns:r="http://schemas.openxmlformats.org/officeDocument/2006/relationships" ref="H1636" r:id="rId1632"/>
    <hyperlink xmlns:r="http://schemas.openxmlformats.org/officeDocument/2006/relationships" ref="H1637" r:id="rId1633"/>
  </hyperlinks>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tabColor rgb="00565B64"/>
    <outlinePr summaryBelow="0" summaryRight="0"/>
    <pageSetUpPr fitToPage="1"/>
  </sheetPr>
  <dimension ref="A1:N1631"/>
  <sheetViews>
    <sheetView showGridLines="0" tabSelected="0" topLeftCell="A1" zoomScale="100" zoomScaleNormal="100" workbookViewId="0">
      <pane xSplit="1" ySplit="5" topLeftCell="B6"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23" customWidth="1" min="1" max="1"/>
    <col width="18" customWidth="1" min="2" max="2"/>
    <col width="42" customWidth="1" min="3" max="3"/>
    <col width="38" customWidth="1" min="4" max="4"/>
    <col width="18" customWidth="1" min="5" max="5"/>
    <col width="36" customWidth="1" min="6" max="6"/>
    <col width="18" customWidth="1" min="7" max="7"/>
    <col width="18" customWidth="1" min="8" max="8"/>
    <col width="22" customWidth="1" min="9" max="9"/>
    <col width="34" customWidth="1" min="10" max="10"/>
    <col width="20" customWidth="1" min="11" max="11"/>
    <col width="34" customWidth="1" min="12" max="12"/>
    <col width="46" customWidth="1" min="13" max="13"/>
    <col width="26" customWidth="1" min="14" max="14"/>
  </cols>
  <sheetData>
    <row r="1" ht="33.2" customHeight="1">
      <c r="A1" s="9" t="inlineStr">
        <is>
          <t>CROSSWALK</t>
        </is>
      </c>
    </row>
    <row r="2" ht="26" customHeight="1">
      <c r="A2" s="10" t="inlineStr">
        <is>
          <t>Inspectable relationship truth: source record → governed relationship → WBS target.</t>
        </is>
      </c>
    </row>
    <row r="3" ht="19" customHeight="1">
      <c r="A3" s="11" t="inlineStr">
        <is>
          <t>Executive</t>
        </is>
      </c>
      <c r="B3" s="11" t="inlineStr">
        <is>
          <t>Issues</t>
        </is>
      </c>
      <c r="C3" s="11" t="inlineStr">
        <is>
          <t>Integration</t>
        </is>
      </c>
      <c r="D3" s="11" t="inlineStr">
        <is>
          <t>Project</t>
        </is>
      </c>
      <c r="E3" s="11" t="inlineStr">
        <is>
          <t>Changes</t>
        </is>
      </c>
      <c r="F3" s="11" t="inlineStr">
        <is>
          <t>Crosswalk</t>
        </is>
      </c>
      <c r="G3" s="11" t="inlineStr">
        <is>
          <t>Evidence</t>
        </is>
      </c>
      <c r="H3" s="11" t="inlineStr">
        <is>
          <t>Sources</t>
        </is>
      </c>
    </row>
    <row r="4"/>
    <row r="5" ht="34" customHeight="1">
      <c r="A5" s="12" t="inlineStr">
        <is>
          <t>Source</t>
        </is>
      </c>
      <c r="B5" s="12" t="inlineStr">
        <is>
          <t>Record</t>
        </is>
      </c>
      <c r="C5" s="12" t="inlineStr">
        <is>
          <t>Description</t>
        </is>
      </c>
      <c r="D5" s="12" t="inlineStr">
        <is>
          <t>Source assertion</t>
        </is>
      </c>
      <c r="E5" s="12" t="inlineStr">
        <is>
          <t>Relationship</t>
        </is>
      </c>
      <c r="F5" s="12" t="inlineStr">
        <is>
          <t>Target WBS</t>
        </is>
      </c>
      <c r="G5" s="12" t="inlineStr">
        <is>
          <t>Relationship type</t>
        </is>
      </c>
      <c r="H5" s="12" t="inlineStr">
        <is>
          <t>Lifecycle state</t>
        </is>
      </c>
      <c r="I5" s="12" t="inlineStr">
        <is>
          <t>Change</t>
        </is>
      </c>
      <c r="J5" s="12" t="inlineStr">
        <is>
          <t>Basis / origin</t>
        </is>
      </c>
      <c r="K5" s="12" t="inlineStr">
        <is>
          <t>Decided by</t>
        </is>
      </c>
      <c r="L5" s="12" t="inlineStr">
        <is>
          <t>Target status</t>
        </is>
      </c>
      <c r="M5" s="12" t="inlineStr">
        <is>
          <t>Contrary evidence</t>
        </is>
      </c>
      <c r="N5" s="12" t="inlineStr">
        <is>
          <t>Evidence &amp; decisions</t>
        </is>
      </c>
    </row>
    <row r="6" ht="94" customHeight="1">
      <c r="A6" s="23" t="inlineStr">
        <is>
          <t>Commercial Package Register</t>
        </is>
      </c>
      <c r="B6" s="23" t="inlineStr">
        <is>
          <t>PKG-001</t>
        </is>
      </c>
      <c r="C6" s="23" t="inlineStr">
        <is>
          <t>Guideway Civil Works</t>
        </is>
      </c>
      <c r="D6" s="23" t="inlineStr">
        <is>
          <t>Package Code = PK-101; WBS Code = 1.1;1.2</t>
        </is>
      </c>
      <c r="E6" s="23" t="inlineStr">
        <is>
          <t>R1563-v3</t>
        </is>
      </c>
      <c r="F6" s="23" t="inlineStr">
        <is>
          <t>1.1 Guideway and Civil</t>
        </is>
      </c>
      <c r="G6" s="23" t="inlineStr">
        <is>
          <t>ONE_TO_MANY</t>
        </is>
      </c>
      <c r="H6" s="23" t="inlineStr">
        <is>
          <t>RETAINED</t>
        </is>
      </c>
      <c r="I6" s="23" t="inlineStr">
        <is>
          <t>Carried forward</t>
        </is>
      </c>
      <c r="J6" s="23" t="inlineStr">
        <is>
          <t>Earlier professional decision, carried forward</t>
        </is>
      </c>
      <c r="K6" s="23" t="inlineStr">
        <is>
          <t>Maya Chen, Owner Project Controls</t>
        </is>
      </c>
      <c r="L6" s="23" t="inlineStr"/>
      <c r="M6" s="23" t="inlineStr">
        <is>
          <t>Source states 'WBS Code' = '1.1;1.2' -- names no element of this WBS -- professional reason (Maya Chen, Owner Project Controls): Source package register explicitly states both Owner-WBS branches.</t>
        </is>
      </c>
      <c r="N6" s="14" t="inlineStr">
        <is>
          <t>10 EVIDENCE &amp; DECISIONS</t>
        </is>
      </c>
    </row>
    <row r="7" ht="34" customHeight="1">
      <c r="A7" s="23" t="inlineStr">
        <is>
          <t>Commercial Package Register</t>
        </is>
      </c>
      <c r="B7" s="23" t="inlineStr">
        <is>
          <t>PKG-002</t>
        </is>
      </c>
      <c r="C7" s="23" t="inlineStr">
        <is>
          <t>Utility Relocations</t>
        </is>
      </c>
      <c r="D7" s="23" t="inlineStr">
        <is>
          <t>Package Code = PK-102; WBS Code = 1.1</t>
        </is>
      </c>
      <c r="E7" s="23" t="inlineStr">
        <is>
          <t>R1564-v2</t>
        </is>
      </c>
      <c r="F7" s="23" t="inlineStr">
        <is>
          <t>1.1 Guideway and Civil</t>
        </is>
      </c>
      <c r="G7" s="23" t="inlineStr">
        <is>
          <t>ONE_TO_ONE</t>
        </is>
      </c>
      <c r="H7" s="23" t="inlineStr">
        <is>
          <t>RETAINED</t>
        </is>
      </c>
      <c r="I7" s="23" t="inlineStr">
        <is>
          <t>Carried forward</t>
        </is>
      </c>
      <c r="J7" s="23" t="inlineStr">
        <is>
          <t>Source assignment -- not individually reviewed</t>
        </is>
      </c>
      <c r="K7" s="23" t="inlineStr"/>
      <c r="L7" s="23" t="inlineStr"/>
      <c r="M7" s="23" t="inlineStr"/>
      <c r="N7" s="14" t="inlineStr">
        <is>
          <t>10 EVIDENCE &amp; DECISIONS</t>
        </is>
      </c>
    </row>
    <row r="8" ht="34" customHeight="1">
      <c r="A8" s="23" t="inlineStr">
        <is>
          <t>Commercial Package Register</t>
        </is>
      </c>
      <c r="B8" s="23" t="inlineStr">
        <is>
          <t>PKG-003</t>
        </is>
      </c>
      <c r="C8" s="23" t="inlineStr">
        <is>
          <t>Road &amp; Drainage</t>
        </is>
      </c>
      <c r="D8" s="23" t="inlineStr">
        <is>
          <t>Package Code = PK-103; WBS Code = 1.1</t>
        </is>
      </c>
      <c r="E8" s="23" t="inlineStr">
        <is>
          <t>R1565-v2</t>
        </is>
      </c>
      <c r="F8" s="23" t="inlineStr">
        <is>
          <t>1.1 Guideway and Civil</t>
        </is>
      </c>
      <c r="G8" s="23" t="inlineStr">
        <is>
          <t>ONE_TO_ONE</t>
        </is>
      </c>
      <c r="H8" s="23" t="inlineStr">
        <is>
          <t>RETAINED</t>
        </is>
      </c>
      <c r="I8" s="23" t="inlineStr">
        <is>
          <t>Carried forward</t>
        </is>
      </c>
      <c r="J8" s="23" t="inlineStr">
        <is>
          <t>Source assignment -- not individually reviewed</t>
        </is>
      </c>
      <c r="K8" s="23" t="inlineStr"/>
      <c r="L8" s="23" t="inlineStr"/>
      <c r="M8" s="23" t="inlineStr"/>
      <c r="N8" s="14" t="inlineStr">
        <is>
          <t>10 EVIDENCE &amp; DECISIONS</t>
        </is>
      </c>
    </row>
    <row r="9" ht="34" customHeight="1">
      <c r="A9" s="23" t="inlineStr">
        <is>
          <t>Commercial Package Register</t>
        </is>
      </c>
      <c r="B9" s="23" t="inlineStr">
        <is>
          <t>PKG-004</t>
        </is>
      </c>
      <c r="C9" s="23" t="inlineStr">
        <is>
          <t>Track Support Works</t>
        </is>
      </c>
      <c r="D9" s="23" t="inlineStr">
        <is>
          <t>Package Code = PK-104; WBS Code = 1.1</t>
        </is>
      </c>
      <c r="E9" s="23" t="inlineStr">
        <is>
          <t>R1566-v2</t>
        </is>
      </c>
      <c r="F9" s="23" t="inlineStr">
        <is>
          <t>1.1 Guideway and Civil</t>
        </is>
      </c>
      <c r="G9" s="23" t="inlineStr">
        <is>
          <t>ONE_TO_ONE</t>
        </is>
      </c>
      <c r="H9" s="23" t="inlineStr">
        <is>
          <t>RETAINED</t>
        </is>
      </c>
      <c r="I9" s="23" t="inlineStr">
        <is>
          <t>Carried forward</t>
        </is>
      </c>
      <c r="J9" s="23" t="inlineStr">
        <is>
          <t>Source assignment -- not individually reviewed</t>
        </is>
      </c>
      <c r="K9" s="23" t="inlineStr"/>
      <c r="L9" s="23" t="inlineStr"/>
      <c r="M9" s="23" t="inlineStr"/>
      <c r="N9" s="14" t="inlineStr">
        <is>
          <t>10 EVIDENCE &amp; DECISIONS</t>
        </is>
      </c>
    </row>
    <row r="10" ht="34" customHeight="1">
      <c r="A10" s="23" t="inlineStr">
        <is>
          <t>Commercial Package Register</t>
        </is>
      </c>
      <c r="B10" s="23" t="inlineStr">
        <is>
          <t>PKG-006</t>
        </is>
      </c>
      <c r="C10" s="23" t="inlineStr">
        <is>
          <t>Utility Relocations - Lot 2</t>
        </is>
      </c>
      <c r="D10" s="23" t="inlineStr">
        <is>
          <t>Package Code = PK-106; WBS Code = 1.1</t>
        </is>
      </c>
      <c r="E10" s="23" t="inlineStr">
        <is>
          <t>R1568-v2</t>
        </is>
      </c>
      <c r="F10" s="23" t="inlineStr">
        <is>
          <t>1.1 Guideway and Civil</t>
        </is>
      </c>
      <c r="G10" s="23" t="inlineStr">
        <is>
          <t>ONE_TO_ONE</t>
        </is>
      </c>
      <c r="H10" s="23" t="inlineStr">
        <is>
          <t>RETAINED</t>
        </is>
      </c>
      <c r="I10" s="23" t="inlineStr">
        <is>
          <t>Carried forward</t>
        </is>
      </c>
      <c r="J10" s="23" t="inlineStr">
        <is>
          <t>Source assignment -- not individually reviewed</t>
        </is>
      </c>
      <c r="K10" s="23" t="inlineStr"/>
      <c r="L10" s="23" t="inlineStr"/>
      <c r="M10" s="23" t="inlineStr"/>
      <c r="N10" s="14" t="inlineStr">
        <is>
          <t>10 EVIDENCE &amp; DECISIONS</t>
        </is>
      </c>
    </row>
    <row r="11" ht="34" customHeight="1">
      <c r="A11" s="23" t="inlineStr">
        <is>
          <t>Commercial Package Register</t>
        </is>
      </c>
      <c r="B11" s="23" t="inlineStr">
        <is>
          <t>PKG-007</t>
        </is>
      </c>
      <c r="C11" s="23" t="inlineStr">
        <is>
          <t>Road &amp; Drainage - Lot 2</t>
        </is>
      </c>
      <c r="D11" s="23" t="inlineStr">
        <is>
          <t>Package Code = PK-107; WBS Code = 1.1</t>
        </is>
      </c>
      <c r="E11" s="23" t="inlineStr">
        <is>
          <t>R1569-v2</t>
        </is>
      </c>
      <c r="F11" s="23" t="inlineStr">
        <is>
          <t>1.1 Guideway and Civil</t>
        </is>
      </c>
      <c r="G11" s="23" t="inlineStr">
        <is>
          <t>ONE_TO_ONE</t>
        </is>
      </c>
      <c r="H11" s="23" t="inlineStr">
        <is>
          <t>RETAINED</t>
        </is>
      </c>
      <c r="I11" s="23" t="inlineStr">
        <is>
          <t>Carried forward</t>
        </is>
      </c>
      <c r="J11" s="23" t="inlineStr">
        <is>
          <t>Source assignment -- not individually reviewed</t>
        </is>
      </c>
      <c r="K11" s="23" t="inlineStr"/>
      <c r="L11" s="23" t="inlineStr"/>
      <c r="M11" s="23" t="inlineStr"/>
      <c r="N11" s="14" t="inlineStr">
        <is>
          <t>10 EVIDENCE &amp; DECISIONS</t>
        </is>
      </c>
    </row>
    <row r="12" ht="34" customHeight="1">
      <c r="A12" s="23" t="inlineStr">
        <is>
          <t>Commercial Package Register</t>
        </is>
      </c>
      <c r="B12" s="23" t="inlineStr">
        <is>
          <t>PKG-008</t>
        </is>
      </c>
      <c r="C12" s="23" t="inlineStr">
        <is>
          <t>Track Support Works - Lot 2</t>
        </is>
      </c>
      <c r="D12" s="23" t="inlineStr">
        <is>
          <t>Package Code = PK-108; WBS Code = 1.1</t>
        </is>
      </c>
      <c r="E12" s="23" t="inlineStr">
        <is>
          <t>R1570-v2</t>
        </is>
      </c>
      <c r="F12" s="23" t="inlineStr">
        <is>
          <t>1.1 Guideway and Civil</t>
        </is>
      </c>
      <c r="G12" s="23" t="inlineStr">
        <is>
          <t>ONE_TO_ONE</t>
        </is>
      </c>
      <c r="H12" s="23" t="inlineStr">
        <is>
          <t>RETAINED</t>
        </is>
      </c>
      <c r="I12" s="23" t="inlineStr">
        <is>
          <t>Carried forward</t>
        </is>
      </c>
      <c r="J12" s="23" t="inlineStr">
        <is>
          <t>Source assignment -- not individually reviewed</t>
        </is>
      </c>
      <c r="K12" s="23" t="inlineStr"/>
      <c r="L12" s="23" t="inlineStr"/>
      <c r="M12" s="23" t="inlineStr"/>
      <c r="N12" s="14" t="inlineStr">
        <is>
          <t>10 EVIDENCE &amp; DECISIONS</t>
        </is>
      </c>
    </row>
    <row r="13" ht="34" customHeight="1">
      <c r="A13" s="23" t="inlineStr">
        <is>
          <t>Commercial Package Register</t>
        </is>
      </c>
      <c r="B13" s="23" t="inlineStr">
        <is>
          <t>PKG-009</t>
        </is>
      </c>
      <c r="C13" s="23" t="inlineStr">
        <is>
          <t>Guideway Civil Works - Lot 3</t>
        </is>
      </c>
      <c r="D13" s="23" t="inlineStr">
        <is>
          <t>Package Code = PK-109; WBS Code = 1.1</t>
        </is>
      </c>
      <c r="E13" s="23" t="inlineStr">
        <is>
          <t>R1571-v2</t>
        </is>
      </c>
      <c r="F13" s="23" t="inlineStr">
        <is>
          <t>1.1 Guideway and Civil</t>
        </is>
      </c>
      <c r="G13" s="23" t="inlineStr">
        <is>
          <t>ONE_TO_ONE</t>
        </is>
      </c>
      <c r="H13" s="23" t="inlineStr">
        <is>
          <t>RETAINED</t>
        </is>
      </c>
      <c r="I13" s="23" t="inlineStr">
        <is>
          <t>Carried forward</t>
        </is>
      </c>
      <c r="J13" s="23" t="inlineStr">
        <is>
          <t>Source assignment -- not individually reviewed</t>
        </is>
      </c>
      <c r="K13" s="23" t="inlineStr"/>
      <c r="L13" s="23" t="inlineStr"/>
      <c r="M13" s="23" t="inlineStr"/>
      <c r="N13" s="14" t="inlineStr">
        <is>
          <t>10 EVIDENCE &amp; DECISIONS</t>
        </is>
      </c>
    </row>
    <row r="14" ht="34" customHeight="1">
      <c r="A14" s="23" t="inlineStr">
        <is>
          <t>Commercial Package Register</t>
        </is>
      </c>
      <c r="B14" s="23" t="inlineStr">
        <is>
          <t>PKG-010</t>
        </is>
      </c>
      <c r="C14" s="23" t="inlineStr">
        <is>
          <t>Utility Relocations - Lot 3</t>
        </is>
      </c>
      <c r="D14" s="23" t="inlineStr">
        <is>
          <t>Package Code = PK-110; WBS Code = 1.1</t>
        </is>
      </c>
      <c r="E14" s="23" t="inlineStr">
        <is>
          <t>R1572-v2</t>
        </is>
      </c>
      <c r="F14" s="23" t="inlineStr">
        <is>
          <t>1.1 Guideway and Civil</t>
        </is>
      </c>
      <c r="G14" s="23" t="inlineStr">
        <is>
          <t>ONE_TO_ONE</t>
        </is>
      </c>
      <c r="H14" s="23" t="inlineStr">
        <is>
          <t>RETAINED</t>
        </is>
      </c>
      <c r="I14" s="23" t="inlineStr">
        <is>
          <t>Carried forward</t>
        </is>
      </c>
      <c r="J14" s="23" t="inlineStr">
        <is>
          <t>Source assignment -- not individually reviewed</t>
        </is>
      </c>
      <c r="K14" s="23" t="inlineStr"/>
      <c r="L14" s="23" t="inlineStr"/>
      <c r="M14" s="23" t="inlineStr"/>
      <c r="N14" s="14" t="inlineStr">
        <is>
          <t>10 EVIDENCE &amp; DECISIONS</t>
        </is>
      </c>
    </row>
    <row r="15" ht="34" customHeight="1">
      <c r="A15" s="23" t="inlineStr">
        <is>
          <t>Contractor Programme</t>
        </is>
      </c>
      <c r="B15" s="23" t="inlineStr">
        <is>
          <t>SCH-01-001</t>
        </is>
      </c>
      <c r="C15" s="23" t="inlineStr">
        <is>
          <t>West approach: track-slab survey - installation</t>
        </is>
      </c>
      <c r="D15" s="23" t="inlineStr">
        <is>
          <t>WBS Code = 1.1.1</t>
        </is>
      </c>
      <c r="E15" s="23" t="inlineStr">
        <is>
          <t>R1-v2</t>
        </is>
      </c>
      <c r="F15" s="23" t="inlineStr">
        <is>
          <t>1.1.1 Guideway and Civil - Guideway Structures</t>
        </is>
      </c>
      <c r="G15" s="23" t="inlineStr">
        <is>
          <t>ONE_TO_ONE</t>
        </is>
      </c>
      <c r="H15" s="23" t="inlineStr">
        <is>
          <t>RETAINED</t>
        </is>
      </c>
      <c r="I15" s="23" t="inlineStr">
        <is>
          <t>Carried forward</t>
        </is>
      </c>
      <c r="J15" s="23" t="inlineStr">
        <is>
          <t>Source assignment -- not individually reviewed</t>
        </is>
      </c>
      <c r="K15" s="23" t="inlineStr"/>
      <c r="L15" s="23" t="inlineStr"/>
      <c r="M15" s="23" t="inlineStr"/>
      <c r="N15" s="14" t="inlineStr">
        <is>
          <t>10 EVIDENCE &amp; DECISIONS</t>
        </is>
      </c>
    </row>
    <row r="16" ht="34" customHeight="1">
      <c r="A16" s="23" t="inlineStr">
        <is>
          <t>Contractor Programme</t>
        </is>
      </c>
      <c r="B16" s="23" t="inlineStr">
        <is>
          <t>SCH-01-002</t>
        </is>
      </c>
      <c r="C16" s="23" t="inlineStr">
        <is>
          <t>Depot lead: temporary traffic staging - inspection</t>
        </is>
      </c>
      <c r="D16" s="23" t="inlineStr">
        <is>
          <t>WBS Code = 1.1.1</t>
        </is>
      </c>
      <c r="E16" s="23" t="inlineStr">
        <is>
          <t>R2-v2</t>
        </is>
      </c>
      <c r="F16" s="23" t="inlineStr">
        <is>
          <t>1.1.1 Guideway and Civil - Guideway Structures</t>
        </is>
      </c>
      <c r="G16" s="23" t="inlineStr">
        <is>
          <t>ONE_TO_ONE</t>
        </is>
      </c>
      <c r="H16" s="23" t="inlineStr">
        <is>
          <t>RETAINED</t>
        </is>
      </c>
      <c r="I16" s="23" t="inlineStr">
        <is>
          <t>Carried forward</t>
        </is>
      </c>
      <c r="J16" s="23" t="inlineStr">
        <is>
          <t>Source assignment -- not individually reviewed</t>
        </is>
      </c>
      <c r="K16" s="23" t="inlineStr"/>
      <c r="L16" s="23" t="inlineStr"/>
      <c r="M16" s="23" t="inlineStr"/>
      <c r="N16" s="14" t="inlineStr">
        <is>
          <t>10 EVIDENCE &amp; DECISIONS</t>
        </is>
      </c>
    </row>
    <row r="17" ht="34" customHeight="1">
      <c r="A17" s="23" t="inlineStr">
        <is>
          <t>Contractor Programme</t>
        </is>
      </c>
      <c r="B17" s="23" t="inlineStr">
        <is>
          <t>SCH-01-004</t>
        </is>
      </c>
      <c r="C17" s="23" t="inlineStr">
        <is>
          <t>River crossing: road restoration - release</t>
        </is>
      </c>
      <c r="D17" s="23" t="inlineStr">
        <is>
          <t>WBS Code = 1.1.1</t>
        </is>
      </c>
      <c r="E17" s="23" t="inlineStr">
        <is>
          <t>R4-v2</t>
        </is>
      </c>
      <c r="F17" s="23" t="inlineStr">
        <is>
          <t>1.1.1 Guideway and Civil - Guideway Structures</t>
        </is>
      </c>
      <c r="G17" s="23" t="inlineStr">
        <is>
          <t>ONE_TO_ONE</t>
        </is>
      </c>
      <c r="H17" s="23" t="inlineStr">
        <is>
          <t>RETAINED</t>
        </is>
      </c>
      <c r="I17" s="23" t="inlineStr">
        <is>
          <t>Carried forward</t>
        </is>
      </c>
      <c r="J17" s="23" t="inlineStr">
        <is>
          <t>Source assignment -- not individually reviewed</t>
        </is>
      </c>
      <c r="K17" s="23" t="inlineStr"/>
      <c r="L17" s="23" t="inlineStr"/>
      <c r="M17" s="23" t="inlineStr"/>
      <c r="N17" s="14" t="inlineStr">
        <is>
          <t>10 EVIDENCE &amp; DECISIONS</t>
        </is>
      </c>
    </row>
    <row r="18" ht="34" customHeight="1">
      <c r="A18" s="23" t="inlineStr">
        <is>
          <t>Contractor Programme</t>
        </is>
      </c>
      <c r="B18" s="23" t="inlineStr">
        <is>
          <t>SCH-01-007</t>
        </is>
      </c>
      <c r="C18" s="23" t="inlineStr">
        <is>
          <t>Depot lead: drainage tie-in - inspection</t>
        </is>
      </c>
      <c r="D18" s="23" t="inlineStr">
        <is>
          <t>WBS Code = 1.1.1</t>
        </is>
      </c>
      <c r="E18" s="23" t="inlineStr">
        <is>
          <t>R7-v2</t>
        </is>
      </c>
      <c r="F18" s="23" t="inlineStr">
        <is>
          <t>1.1.1 Guideway and Civil - Guideway Structures</t>
        </is>
      </c>
      <c r="G18" s="23" t="inlineStr">
        <is>
          <t>ONE_TO_ONE</t>
        </is>
      </c>
      <c r="H18" s="23" t="inlineStr">
        <is>
          <t>RETAINED</t>
        </is>
      </c>
      <c r="I18" s="23" t="inlineStr">
        <is>
          <t>Carried forward</t>
        </is>
      </c>
      <c r="J18" s="23" t="inlineStr">
        <is>
          <t>Source assignment -- not individually reviewed</t>
        </is>
      </c>
      <c r="K18" s="23" t="inlineStr"/>
      <c r="L18" s="23" t="inlineStr"/>
      <c r="M18" s="23" t="inlineStr"/>
      <c r="N18" s="14" t="inlineStr">
        <is>
          <t>10 EVIDENCE &amp; DECISIONS</t>
        </is>
      </c>
    </row>
    <row r="19" ht="34" customHeight="1">
      <c r="A19" s="23" t="inlineStr">
        <is>
          <t>Contractor Programme</t>
        </is>
      </c>
      <c r="B19" s="23" t="inlineStr">
        <is>
          <t>SCH-01-008</t>
        </is>
      </c>
      <c r="C19" s="23" t="inlineStr">
        <is>
          <t>East portal: utility relocation - turnover</t>
        </is>
      </c>
      <c r="D19" s="23" t="inlineStr">
        <is>
          <t>WBS Code = 1.1.1</t>
        </is>
      </c>
      <c r="E19" s="23" t="inlineStr">
        <is>
          <t>R8-v2</t>
        </is>
      </c>
      <c r="F19" s="23" t="inlineStr">
        <is>
          <t>1.1.1 Guideway and Civil - Guideway Structures</t>
        </is>
      </c>
      <c r="G19" s="23" t="inlineStr">
        <is>
          <t>ONE_TO_ONE</t>
        </is>
      </c>
      <c r="H19" s="23" t="inlineStr">
        <is>
          <t>RETAINED</t>
        </is>
      </c>
      <c r="I19" s="23" t="inlineStr">
        <is>
          <t>Carried forward</t>
        </is>
      </c>
      <c r="J19" s="23" t="inlineStr">
        <is>
          <t>Source assignment -- not individually reviewed</t>
        </is>
      </c>
      <c r="K19" s="23" t="inlineStr"/>
      <c r="L19" s="23" t="inlineStr"/>
      <c r="M19" s="23" t="inlineStr"/>
      <c r="N19" s="14" t="inlineStr">
        <is>
          <t>10 EVIDENCE &amp; DECISIONS</t>
        </is>
      </c>
    </row>
    <row r="20" ht="34" customHeight="1">
      <c r="A20" s="23" t="inlineStr">
        <is>
          <t>Contractor Programme</t>
        </is>
      </c>
      <c r="B20" s="23" t="inlineStr">
        <is>
          <t>SCH-01-010</t>
        </is>
      </c>
      <c r="C20" s="23" t="inlineStr">
        <is>
          <t>Central guideway: temporary traffic staging - field start</t>
        </is>
      </c>
      <c r="D20" s="23" t="inlineStr">
        <is>
          <t>WBS Code = 1.1.1</t>
        </is>
      </c>
      <c r="E20" s="23" t="inlineStr">
        <is>
          <t>R10-v2</t>
        </is>
      </c>
      <c r="F20" s="23" t="inlineStr">
        <is>
          <t>1.1.1 Guideway and Civil - Guideway Structures</t>
        </is>
      </c>
      <c r="G20" s="23" t="inlineStr">
        <is>
          <t>ONE_TO_ONE</t>
        </is>
      </c>
      <c r="H20" s="23" t="inlineStr">
        <is>
          <t>RETAINED</t>
        </is>
      </c>
      <c r="I20" s="23" t="inlineStr">
        <is>
          <t>Carried forward</t>
        </is>
      </c>
      <c r="J20" s="23" t="inlineStr">
        <is>
          <t>Source assignment -- not individually reviewed</t>
        </is>
      </c>
      <c r="K20" s="23" t="inlineStr"/>
      <c r="L20" s="23" t="inlineStr"/>
      <c r="M20" s="23" t="inlineStr"/>
      <c r="N20" s="14" t="inlineStr">
        <is>
          <t>10 EVIDENCE &amp; DECISIONS</t>
        </is>
      </c>
    </row>
    <row r="21" ht="34" customHeight="1">
      <c r="A21" s="23" t="inlineStr">
        <is>
          <t>Contractor Programme</t>
        </is>
      </c>
      <c r="B21" s="23" t="inlineStr">
        <is>
          <t>SCH-01-011</t>
        </is>
      </c>
      <c r="C21" s="23" t="inlineStr">
        <is>
          <t>West approach: guideway pier reinforcement - installation</t>
        </is>
      </c>
      <c r="D21" s="23" t="inlineStr">
        <is>
          <t>WBS Code = 1.1.1</t>
        </is>
      </c>
      <c r="E21" s="23" t="inlineStr">
        <is>
          <t>R11-v2</t>
        </is>
      </c>
      <c r="F21" s="23" t="inlineStr">
        <is>
          <t>1.1.1 Guideway and Civil - Guideway Structures</t>
        </is>
      </c>
      <c r="G21" s="23" t="inlineStr">
        <is>
          <t>ONE_TO_ONE</t>
        </is>
      </c>
      <c r="H21" s="23" t="inlineStr">
        <is>
          <t>RETAINED</t>
        </is>
      </c>
      <c r="I21" s="23" t="inlineStr">
        <is>
          <t>Carried forward</t>
        </is>
      </c>
      <c r="J21" s="23" t="inlineStr">
        <is>
          <t>Source assignment -- not individually reviewed</t>
        </is>
      </c>
      <c r="K21" s="23" t="inlineStr"/>
      <c r="L21" s="23" t="inlineStr"/>
      <c r="M21" s="23" t="inlineStr"/>
      <c r="N21" s="14" t="inlineStr">
        <is>
          <t>10 EVIDENCE &amp; DECISIONS</t>
        </is>
      </c>
    </row>
    <row r="22" ht="34" customHeight="1">
      <c r="A22" s="23" t="inlineStr">
        <is>
          <t>Contractor Programme</t>
        </is>
      </c>
      <c r="B22" s="23" t="inlineStr">
        <is>
          <t>SCH-01-013</t>
        </is>
      </c>
      <c r="C22" s="23" t="inlineStr">
        <is>
          <t>East portal: drilled-shaft installation - turnover</t>
        </is>
      </c>
      <c r="D22" s="23" t="inlineStr">
        <is>
          <t>WBS Code = 1.1.1</t>
        </is>
      </c>
      <c r="E22" s="23" t="inlineStr">
        <is>
          <t>R13-v2</t>
        </is>
      </c>
      <c r="F22" s="23" t="inlineStr">
        <is>
          <t>1.1.1 Guideway and Civil - Guideway Structures</t>
        </is>
      </c>
      <c r="G22" s="23" t="inlineStr">
        <is>
          <t>ONE_TO_ONE</t>
        </is>
      </c>
      <c r="H22" s="23" t="inlineStr">
        <is>
          <t>RETAINED</t>
        </is>
      </c>
      <c r="I22" s="23" t="inlineStr">
        <is>
          <t>Carried forward</t>
        </is>
      </c>
      <c r="J22" s="23" t="inlineStr">
        <is>
          <t>Source assignment -- not individually reviewed</t>
        </is>
      </c>
      <c r="K22" s="23" t="inlineStr"/>
      <c r="L22" s="23" t="inlineStr"/>
      <c r="M22" s="23" t="inlineStr"/>
      <c r="N22" s="14" t="inlineStr">
        <is>
          <t>10 EVIDENCE &amp; DECISIONS</t>
        </is>
      </c>
    </row>
    <row r="23" ht="34" customHeight="1">
      <c r="A23" s="23" t="inlineStr">
        <is>
          <t>Contractor Programme</t>
        </is>
      </c>
      <c r="B23" s="23" t="inlineStr">
        <is>
          <t>SCH-01-014</t>
        </is>
      </c>
      <c r="C23" s="23" t="inlineStr">
        <is>
          <t>River crossing: retaining-wall excavation - release</t>
        </is>
      </c>
      <c r="D23" s="23" t="inlineStr">
        <is>
          <t>WBS Code = 1.1.1</t>
        </is>
      </c>
      <c r="E23" s="23" t="inlineStr">
        <is>
          <t>R14-v2</t>
        </is>
      </c>
      <c r="F23" s="23" t="inlineStr">
        <is>
          <t>1.1.1 Guideway and Civil - Guideway Structures</t>
        </is>
      </c>
      <c r="G23" s="23" t="inlineStr">
        <is>
          <t>ONE_TO_ONE</t>
        </is>
      </c>
      <c r="H23" s="23" t="inlineStr">
        <is>
          <t>RETAINED</t>
        </is>
      </c>
      <c r="I23" s="23" t="inlineStr">
        <is>
          <t>Carried forward</t>
        </is>
      </c>
      <c r="J23" s="23" t="inlineStr">
        <is>
          <t>Source assignment -- not individually reviewed</t>
        </is>
      </c>
      <c r="K23" s="23" t="inlineStr"/>
      <c r="L23" s="23" t="inlineStr"/>
      <c r="M23" s="23" t="inlineStr"/>
      <c r="N23" s="14" t="inlineStr">
        <is>
          <t>10 EVIDENCE &amp; DECISIONS</t>
        </is>
      </c>
    </row>
    <row r="24" ht="34" customHeight="1">
      <c r="A24" s="23" t="inlineStr">
        <is>
          <t>Contractor Programme</t>
        </is>
      </c>
      <c r="B24" s="23" t="inlineStr">
        <is>
          <t>SCH-01-016</t>
        </is>
      </c>
      <c r="C24" s="23" t="inlineStr">
        <is>
          <t>West approach: utility relocation - installation</t>
        </is>
      </c>
      <c r="D24" s="23" t="inlineStr">
        <is>
          <t>WBS Code = 1.1.1</t>
        </is>
      </c>
      <c r="E24" s="23" t="inlineStr">
        <is>
          <t>R16-v2</t>
        </is>
      </c>
      <c r="F24" s="23" t="inlineStr">
        <is>
          <t>1.1.1 Guideway and Civil - Guideway Structures</t>
        </is>
      </c>
      <c r="G24" s="23" t="inlineStr">
        <is>
          <t>ONE_TO_ONE</t>
        </is>
      </c>
      <c r="H24" s="23" t="inlineStr">
        <is>
          <t>RETAINED</t>
        </is>
      </c>
      <c r="I24" s="23" t="inlineStr">
        <is>
          <t>Carried forward</t>
        </is>
      </c>
      <c r="J24" s="23" t="inlineStr">
        <is>
          <t>Source assignment -- not individually reviewed</t>
        </is>
      </c>
      <c r="K24" s="23" t="inlineStr"/>
      <c r="L24" s="23" t="inlineStr"/>
      <c r="M24" s="23" t="inlineStr"/>
      <c r="N24" s="14" t="inlineStr">
        <is>
          <t>10 EVIDENCE &amp; DECISIONS</t>
        </is>
      </c>
    </row>
    <row r="25" ht="34" customHeight="1">
      <c r="A25" s="23" t="inlineStr">
        <is>
          <t>Contractor Programme</t>
        </is>
      </c>
      <c r="B25" s="23" t="inlineStr">
        <is>
          <t>SCH-01-017</t>
        </is>
      </c>
      <c r="C25" s="23" t="inlineStr">
        <is>
          <t>Depot lead: track-slab survey - inspection</t>
        </is>
      </c>
      <c r="D25" s="23" t="inlineStr">
        <is>
          <t>WBS Code = 1.1.1</t>
        </is>
      </c>
      <c r="E25" s="23" t="inlineStr">
        <is>
          <t>R17-v2</t>
        </is>
      </c>
      <c r="F25" s="23" t="inlineStr">
        <is>
          <t>1.1.1 Guideway and Civil - Guideway Structures</t>
        </is>
      </c>
      <c r="G25" s="23" t="inlineStr">
        <is>
          <t>ONE_TO_ONE</t>
        </is>
      </c>
      <c r="H25" s="23" t="inlineStr">
        <is>
          <t>RETAINED</t>
        </is>
      </c>
      <c r="I25" s="23" t="inlineStr">
        <is>
          <t>Carried forward</t>
        </is>
      </c>
      <c r="J25" s="23" t="inlineStr">
        <is>
          <t>Source assignment -- not individually reviewed</t>
        </is>
      </c>
      <c r="K25" s="23" t="inlineStr"/>
      <c r="L25" s="23" t="inlineStr"/>
      <c r="M25" s="23" t="inlineStr"/>
      <c r="N25" s="14" t="inlineStr">
        <is>
          <t>10 EVIDENCE &amp; DECISIONS</t>
        </is>
      </c>
    </row>
    <row r="26" ht="34" customHeight="1">
      <c r="A26" s="23" t="inlineStr">
        <is>
          <t>Contractor Programme</t>
        </is>
      </c>
      <c r="B26" s="23" t="inlineStr">
        <is>
          <t>SCH-01-019</t>
        </is>
      </c>
      <c r="C26" s="23" t="inlineStr">
        <is>
          <t>River crossing: guideway pier reinforcement - release</t>
        </is>
      </c>
      <c r="D26" s="23" t="inlineStr">
        <is>
          <t>WBS Code = 1.1.1</t>
        </is>
      </c>
      <c r="E26" s="23" t="inlineStr">
        <is>
          <t>R19-v2</t>
        </is>
      </c>
      <c r="F26" s="23" t="inlineStr">
        <is>
          <t>1.1.1 Guideway and Civil - Guideway Structures</t>
        </is>
      </c>
      <c r="G26" s="23" t="inlineStr">
        <is>
          <t>ONE_TO_ONE</t>
        </is>
      </c>
      <c r="H26" s="23" t="inlineStr">
        <is>
          <t>RETAINED</t>
        </is>
      </c>
      <c r="I26" s="23" t="inlineStr">
        <is>
          <t>Carried forward</t>
        </is>
      </c>
      <c r="J26" s="23" t="inlineStr">
        <is>
          <t>Source assignment -- not individually reviewed</t>
        </is>
      </c>
      <c r="K26" s="23" t="inlineStr"/>
      <c r="L26" s="23" t="inlineStr"/>
      <c r="M26" s="23" t="inlineStr"/>
      <c r="N26" s="14" t="inlineStr">
        <is>
          <t>10 EVIDENCE &amp; DECISIONS</t>
        </is>
      </c>
    </row>
    <row r="27" ht="34" customHeight="1">
      <c r="A27" s="23" t="inlineStr">
        <is>
          <t>Contractor Programme</t>
        </is>
      </c>
      <c r="B27" s="23" t="inlineStr">
        <is>
          <t>SCH-01-020</t>
        </is>
      </c>
      <c r="C27" s="23" t="inlineStr">
        <is>
          <t>Central guideway: road restoration - field start</t>
        </is>
      </c>
      <c r="D27" s="23" t="inlineStr">
        <is>
          <t>WBS Code = 1.1.1</t>
        </is>
      </c>
      <c r="E27" s="23" t="inlineStr">
        <is>
          <t>R20-v2</t>
        </is>
      </c>
      <c r="F27" s="23" t="inlineStr">
        <is>
          <t>1.1.1 Guideway and Civil - Guideway Structures</t>
        </is>
      </c>
      <c r="G27" s="23" t="inlineStr">
        <is>
          <t>ONE_TO_ONE</t>
        </is>
      </c>
      <c r="H27" s="23" t="inlineStr">
        <is>
          <t>RETAINED</t>
        </is>
      </c>
      <c r="I27" s="23" t="inlineStr">
        <is>
          <t>Carried forward</t>
        </is>
      </c>
      <c r="J27" s="23" t="inlineStr">
        <is>
          <t>Source assignment -- not individually reviewed</t>
        </is>
      </c>
      <c r="K27" s="23" t="inlineStr"/>
      <c r="L27" s="23" t="inlineStr"/>
      <c r="M27" s="23" t="inlineStr"/>
      <c r="N27" s="14" t="inlineStr">
        <is>
          <t>10 EVIDENCE &amp; DECISIONS</t>
        </is>
      </c>
    </row>
    <row r="28" ht="34" customHeight="1">
      <c r="A28" s="23" t="inlineStr">
        <is>
          <t>Contractor Programme</t>
        </is>
      </c>
      <c r="B28" s="23" t="inlineStr">
        <is>
          <t>SCH-01-022</t>
        </is>
      </c>
      <c r="C28" s="23" t="inlineStr">
        <is>
          <t>Depot lead: retaining-wall excavation - inspection</t>
        </is>
      </c>
      <c r="D28" s="23" t="inlineStr">
        <is>
          <t>WBS Code = 1.1.1</t>
        </is>
      </c>
      <c r="E28" s="23" t="inlineStr">
        <is>
          <t>R22-v2</t>
        </is>
      </c>
      <c r="F28" s="23" t="inlineStr">
        <is>
          <t>1.1.1 Guideway and Civil - Guideway Structures</t>
        </is>
      </c>
      <c r="G28" s="23" t="inlineStr">
        <is>
          <t>ONE_TO_ONE</t>
        </is>
      </c>
      <c r="H28" s="23" t="inlineStr">
        <is>
          <t>RETAINED</t>
        </is>
      </c>
      <c r="I28" s="23" t="inlineStr">
        <is>
          <t>Carried forward</t>
        </is>
      </c>
      <c r="J28" s="23" t="inlineStr">
        <is>
          <t>Source assignment -- not individually reviewed</t>
        </is>
      </c>
      <c r="K28" s="23" t="inlineStr"/>
      <c r="L28" s="23" t="inlineStr"/>
      <c r="M28" s="23" t="inlineStr"/>
      <c r="N28" s="14" t="inlineStr">
        <is>
          <t>10 EVIDENCE &amp; DECISIONS</t>
        </is>
      </c>
    </row>
    <row r="29" ht="34" customHeight="1">
      <c r="A29" s="23" t="inlineStr">
        <is>
          <t>Contractor Programme</t>
        </is>
      </c>
      <c r="B29" s="23" t="inlineStr">
        <is>
          <t>SCH-01-023</t>
        </is>
      </c>
      <c r="C29" s="23" t="inlineStr">
        <is>
          <t>East portal: drainage tie-in - turnover</t>
        </is>
      </c>
      <c r="D29" s="23" t="inlineStr">
        <is>
          <t>WBS Code = 1.1.1</t>
        </is>
      </c>
      <c r="E29" s="23" t="inlineStr">
        <is>
          <t>R23-v2</t>
        </is>
      </c>
      <c r="F29" s="23" t="inlineStr">
        <is>
          <t>1.1.1 Guideway and Civil - Guideway Structures</t>
        </is>
      </c>
      <c r="G29" s="23" t="inlineStr">
        <is>
          <t>ONE_TO_ONE</t>
        </is>
      </c>
      <c r="H29" s="23" t="inlineStr">
        <is>
          <t>RETAINED</t>
        </is>
      </c>
      <c r="I29" s="23" t="inlineStr">
        <is>
          <t>Carried forward</t>
        </is>
      </c>
      <c r="J29" s="23" t="inlineStr">
        <is>
          <t>Source assignment -- not individually reviewed</t>
        </is>
      </c>
      <c r="K29" s="23" t="inlineStr"/>
      <c r="L29" s="23" t="inlineStr"/>
      <c r="M29" s="23" t="inlineStr"/>
      <c r="N29" s="14" t="inlineStr">
        <is>
          <t>10 EVIDENCE &amp; DECISIONS</t>
        </is>
      </c>
    </row>
    <row r="30" ht="34" customHeight="1">
      <c r="A30" s="23" t="inlineStr">
        <is>
          <t>Contractor Programme</t>
        </is>
      </c>
      <c r="B30" s="23" t="inlineStr">
        <is>
          <t>SCH-01-025</t>
        </is>
      </c>
      <c r="C30" s="23" t="inlineStr">
        <is>
          <t>Central guideway: track-slab survey - field start</t>
        </is>
      </c>
      <c r="D30" s="23" t="inlineStr">
        <is>
          <t>WBS Code = 1.1.1</t>
        </is>
      </c>
      <c r="E30" s="23" t="inlineStr">
        <is>
          <t>R25-v2</t>
        </is>
      </c>
      <c r="F30" s="23" t="inlineStr">
        <is>
          <t>1.1.1 Guideway and Civil - Guideway Structures</t>
        </is>
      </c>
      <c r="G30" s="23" t="inlineStr">
        <is>
          <t>ONE_TO_ONE</t>
        </is>
      </c>
      <c r="H30" s="23" t="inlineStr">
        <is>
          <t>RETAINED</t>
        </is>
      </c>
      <c r="I30" s="23" t="inlineStr">
        <is>
          <t>Carried forward</t>
        </is>
      </c>
      <c r="J30" s="23" t="inlineStr">
        <is>
          <t>Source assignment -- not individually reviewed</t>
        </is>
      </c>
      <c r="K30" s="23" t="inlineStr"/>
      <c r="L30" s="23" t="inlineStr"/>
      <c r="M30" s="23" t="inlineStr"/>
      <c r="N30" s="14" t="inlineStr">
        <is>
          <t>10 EVIDENCE &amp; DECISIONS</t>
        </is>
      </c>
    </row>
    <row r="31" ht="34" customHeight="1">
      <c r="A31" s="23" t="inlineStr">
        <is>
          <t>Contractor Programme</t>
        </is>
      </c>
      <c r="B31" s="23" t="inlineStr">
        <is>
          <t>SCH-01-026</t>
        </is>
      </c>
      <c r="C31" s="23" t="inlineStr">
        <is>
          <t>West approach: temporary traffic staging - installation</t>
        </is>
      </c>
      <c r="D31" s="23" t="inlineStr">
        <is>
          <t>WBS Code = 1.1.1</t>
        </is>
      </c>
      <c r="E31" s="23" t="inlineStr">
        <is>
          <t>R26-v2</t>
        </is>
      </c>
      <c r="F31" s="23" t="inlineStr">
        <is>
          <t>1.1.1 Guideway and Civil - Guideway Structures</t>
        </is>
      </c>
      <c r="G31" s="23" t="inlineStr">
        <is>
          <t>ONE_TO_ONE</t>
        </is>
      </c>
      <c r="H31" s="23" t="inlineStr">
        <is>
          <t>RETAINED</t>
        </is>
      </c>
      <c r="I31" s="23" t="inlineStr">
        <is>
          <t>Carried forward</t>
        </is>
      </c>
      <c r="J31" s="23" t="inlineStr">
        <is>
          <t>Source assignment -- not individually reviewed</t>
        </is>
      </c>
      <c r="K31" s="23" t="inlineStr"/>
      <c r="L31" s="23" t="inlineStr"/>
      <c r="M31" s="23" t="inlineStr"/>
      <c r="N31" s="14" t="inlineStr">
        <is>
          <t>10 EVIDENCE &amp; DECISIONS</t>
        </is>
      </c>
    </row>
    <row r="32" ht="34" customHeight="1">
      <c r="A32" s="23" t="inlineStr">
        <is>
          <t>Contractor Programme</t>
        </is>
      </c>
      <c r="B32" s="23" t="inlineStr">
        <is>
          <t>SCH-01-028</t>
        </is>
      </c>
      <c r="C32" s="23" t="inlineStr">
        <is>
          <t>East portal: road restoration - turnover</t>
        </is>
      </c>
      <c r="D32" s="23" t="inlineStr">
        <is>
          <t>WBS Code = 1.1.1</t>
        </is>
      </c>
      <c r="E32" s="23" t="inlineStr">
        <is>
          <t>R28-v2</t>
        </is>
      </c>
      <c r="F32" s="23" t="inlineStr">
        <is>
          <t>1.1.1 Guideway and Civil - Guideway Structures</t>
        </is>
      </c>
      <c r="G32" s="23" t="inlineStr">
        <is>
          <t>ONE_TO_ONE</t>
        </is>
      </c>
      <c r="H32" s="23" t="inlineStr">
        <is>
          <t>RETAINED</t>
        </is>
      </c>
      <c r="I32" s="23" t="inlineStr">
        <is>
          <t>Carried forward</t>
        </is>
      </c>
      <c r="J32" s="23" t="inlineStr">
        <is>
          <t>Source assignment -- not individually reviewed</t>
        </is>
      </c>
      <c r="K32" s="23" t="inlineStr"/>
      <c r="L32" s="23" t="inlineStr"/>
      <c r="M32" s="23" t="inlineStr"/>
      <c r="N32" s="14" t="inlineStr">
        <is>
          <t>10 EVIDENCE &amp; DECISIONS</t>
        </is>
      </c>
    </row>
    <row r="33" ht="34" customHeight="1">
      <c r="A33" s="23" t="inlineStr">
        <is>
          <t>Contractor Programme</t>
        </is>
      </c>
      <c r="B33" s="23" t="inlineStr">
        <is>
          <t>SCH-01-029</t>
        </is>
      </c>
      <c r="C33" s="23" t="inlineStr">
        <is>
          <t>River crossing: drilled-shaft installation - release</t>
        </is>
      </c>
      <c r="D33" s="23" t="inlineStr">
        <is>
          <t>WBS Code = 1.1.1</t>
        </is>
      </c>
      <c r="E33" s="23" t="inlineStr">
        <is>
          <t>R29-v2</t>
        </is>
      </c>
      <c r="F33" s="23" t="inlineStr">
        <is>
          <t>1.1.1 Guideway and Civil - Guideway Structures</t>
        </is>
      </c>
      <c r="G33" s="23" t="inlineStr">
        <is>
          <t>ONE_TO_ONE</t>
        </is>
      </c>
      <c r="H33" s="23" t="inlineStr">
        <is>
          <t>RETAINED</t>
        </is>
      </c>
      <c r="I33" s="23" t="inlineStr">
        <is>
          <t>Carried forward</t>
        </is>
      </c>
      <c r="J33" s="23" t="inlineStr">
        <is>
          <t>Source assignment -- not individually reviewed</t>
        </is>
      </c>
      <c r="K33" s="23" t="inlineStr"/>
      <c r="L33" s="23" t="inlineStr"/>
      <c r="M33" s="23" t="inlineStr"/>
      <c r="N33" s="14" t="inlineStr">
        <is>
          <t>10 EVIDENCE &amp; DECISIONS</t>
        </is>
      </c>
    </row>
    <row r="34" ht="34" customHeight="1">
      <c r="A34" s="23" t="inlineStr">
        <is>
          <t>Contractor Programme</t>
        </is>
      </c>
      <c r="B34" s="23" t="inlineStr">
        <is>
          <t>SCH-01-031</t>
        </is>
      </c>
      <c r="C34" s="23" t="inlineStr">
        <is>
          <t>West approach: drainage tie-in - installation</t>
        </is>
      </c>
      <c r="D34" s="23" t="inlineStr">
        <is>
          <t>WBS Code = 1.1.1</t>
        </is>
      </c>
      <c r="E34" s="23" t="inlineStr">
        <is>
          <t>R31-v2</t>
        </is>
      </c>
      <c r="F34" s="23" t="inlineStr">
        <is>
          <t>1.1.1 Guideway and Civil - Guideway Structures</t>
        </is>
      </c>
      <c r="G34" s="23" t="inlineStr">
        <is>
          <t>ONE_TO_ONE</t>
        </is>
      </c>
      <c r="H34" s="23" t="inlineStr">
        <is>
          <t>RETAINED</t>
        </is>
      </c>
      <c r="I34" s="23" t="inlineStr">
        <is>
          <t>Carried forward</t>
        </is>
      </c>
      <c r="J34" s="23" t="inlineStr">
        <is>
          <t>Source assignment -- not individually reviewed</t>
        </is>
      </c>
      <c r="K34" s="23" t="inlineStr"/>
      <c r="L34" s="23" t="inlineStr"/>
      <c r="M34" s="23" t="inlineStr"/>
      <c r="N34" s="14" t="inlineStr">
        <is>
          <t>10 EVIDENCE &amp; DECISIONS</t>
        </is>
      </c>
    </row>
    <row r="35" ht="34" customHeight="1">
      <c r="A35" s="23" t="inlineStr">
        <is>
          <t>Contractor Programme</t>
        </is>
      </c>
      <c r="B35" s="23" t="inlineStr">
        <is>
          <t>SCH-01-032</t>
        </is>
      </c>
      <c r="C35" s="23" t="inlineStr">
        <is>
          <t>Depot lead: utility relocation - inspection</t>
        </is>
      </c>
      <c r="D35" s="23" t="inlineStr">
        <is>
          <t>WBS Code = 1.1.1</t>
        </is>
      </c>
      <c r="E35" s="23" t="inlineStr">
        <is>
          <t>R32-v2</t>
        </is>
      </c>
      <c r="F35" s="23" t="inlineStr">
        <is>
          <t>1.1.1 Guideway and Civil - Guideway Structures</t>
        </is>
      </c>
      <c r="G35" s="23" t="inlineStr">
        <is>
          <t>ONE_TO_ONE</t>
        </is>
      </c>
      <c r="H35" s="23" t="inlineStr">
        <is>
          <t>RETAINED</t>
        </is>
      </c>
      <c r="I35" s="23" t="inlineStr">
        <is>
          <t>Carried forward</t>
        </is>
      </c>
      <c r="J35" s="23" t="inlineStr">
        <is>
          <t>Source assignment -- not individually reviewed</t>
        </is>
      </c>
      <c r="K35" s="23" t="inlineStr"/>
      <c r="L35" s="23" t="inlineStr"/>
      <c r="M35" s="23" t="inlineStr"/>
      <c r="N35" s="14" t="inlineStr">
        <is>
          <t>10 EVIDENCE &amp; DECISIONS</t>
        </is>
      </c>
    </row>
    <row r="36" ht="34" customHeight="1">
      <c r="A36" s="23" t="inlineStr">
        <is>
          <t>Contractor Programme</t>
        </is>
      </c>
      <c r="B36" s="23" t="inlineStr">
        <is>
          <t>SCH-01-034</t>
        </is>
      </c>
      <c r="C36" s="23" t="inlineStr">
        <is>
          <t>River crossing: temporary traffic staging - release</t>
        </is>
      </c>
      <c r="D36" s="23" t="inlineStr">
        <is>
          <t>WBS Code = 1.1.1</t>
        </is>
      </c>
      <c r="E36" s="23" t="inlineStr">
        <is>
          <t>R34-v2</t>
        </is>
      </c>
      <c r="F36" s="23" t="inlineStr">
        <is>
          <t>1.1.1 Guideway and Civil - Guideway Structures</t>
        </is>
      </c>
      <c r="G36" s="23" t="inlineStr">
        <is>
          <t>ONE_TO_ONE</t>
        </is>
      </c>
      <c r="H36" s="23" t="inlineStr">
        <is>
          <t>RETAINED</t>
        </is>
      </c>
      <c r="I36" s="23" t="inlineStr">
        <is>
          <t>Carried forward</t>
        </is>
      </c>
      <c r="J36" s="23" t="inlineStr">
        <is>
          <t>Source assignment -- not individually reviewed</t>
        </is>
      </c>
      <c r="K36" s="23" t="inlineStr"/>
      <c r="L36" s="23" t="inlineStr"/>
      <c r="M36" s="23" t="inlineStr"/>
      <c r="N36" s="14" t="inlineStr">
        <is>
          <t>10 EVIDENCE &amp; DECISIONS</t>
        </is>
      </c>
    </row>
    <row r="37" ht="34" customHeight="1">
      <c r="A37" s="23" t="inlineStr">
        <is>
          <t>Contractor Programme</t>
        </is>
      </c>
      <c r="B37" s="23" t="inlineStr">
        <is>
          <t>SCH-01-035</t>
        </is>
      </c>
      <c r="C37" s="23" t="inlineStr">
        <is>
          <t>Central guideway: guideway pier reinforcement - field start</t>
        </is>
      </c>
      <c r="D37" s="23" t="inlineStr">
        <is>
          <t>WBS Code = 1.1.1</t>
        </is>
      </c>
      <c r="E37" s="23" t="inlineStr">
        <is>
          <t>R35-v2</t>
        </is>
      </c>
      <c r="F37" s="23" t="inlineStr">
        <is>
          <t>1.1.1 Guideway and Civil - Guideway Structures</t>
        </is>
      </c>
      <c r="G37" s="23" t="inlineStr">
        <is>
          <t>ONE_TO_ONE</t>
        </is>
      </c>
      <c r="H37" s="23" t="inlineStr">
        <is>
          <t>RETAINED</t>
        </is>
      </c>
      <c r="I37" s="23" t="inlineStr">
        <is>
          <t>Carried forward</t>
        </is>
      </c>
      <c r="J37" s="23" t="inlineStr">
        <is>
          <t>Source assignment -- not individually reviewed</t>
        </is>
      </c>
      <c r="K37" s="23" t="inlineStr"/>
      <c r="L37" s="23" t="inlineStr"/>
      <c r="M37" s="23" t="inlineStr"/>
      <c r="N37" s="14" t="inlineStr">
        <is>
          <t>10 EVIDENCE &amp; DECISIONS</t>
        </is>
      </c>
    </row>
    <row r="38" ht="34" customHeight="1">
      <c r="A38" s="23" t="inlineStr">
        <is>
          <t>Contractor Programme</t>
        </is>
      </c>
      <c r="B38" s="23" t="inlineStr">
        <is>
          <t>SCH-01-037</t>
        </is>
      </c>
      <c r="C38" s="23" t="inlineStr">
        <is>
          <t>Depot lead: drilled-shaft installation - inspection</t>
        </is>
      </c>
      <c r="D38" s="23" t="inlineStr">
        <is>
          <t>WBS Code = 1.1.1</t>
        </is>
      </c>
      <c r="E38" s="23" t="inlineStr">
        <is>
          <t>R37-v2</t>
        </is>
      </c>
      <c r="F38" s="23" t="inlineStr">
        <is>
          <t>1.1.1 Guideway and Civil - Guideway Structures</t>
        </is>
      </c>
      <c r="G38" s="23" t="inlineStr">
        <is>
          <t>ONE_TO_ONE</t>
        </is>
      </c>
      <c r="H38" s="23" t="inlineStr">
        <is>
          <t>RETAINED</t>
        </is>
      </c>
      <c r="I38" s="23" t="inlineStr">
        <is>
          <t>Carried forward</t>
        </is>
      </c>
      <c r="J38" s="23" t="inlineStr">
        <is>
          <t>Source assignment -- not individually reviewed</t>
        </is>
      </c>
      <c r="K38" s="23" t="inlineStr"/>
      <c r="L38" s="23" t="inlineStr"/>
      <c r="M38" s="23" t="inlineStr"/>
      <c r="N38" s="14" t="inlineStr">
        <is>
          <t>10 EVIDENCE &amp; DECISIONS</t>
        </is>
      </c>
    </row>
    <row r="39" ht="34" customHeight="1">
      <c r="A39" s="23" t="inlineStr">
        <is>
          <t>Contractor Programme</t>
        </is>
      </c>
      <c r="B39" s="23" t="inlineStr">
        <is>
          <t>SCH-01-038</t>
        </is>
      </c>
      <c r="C39" s="23" t="inlineStr">
        <is>
          <t>East portal: retaining-wall excavation - turnover</t>
        </is>
      </c>
      <c r="D39" s="23" t="inlineStr">
        <is>
          <t>WBS Code = 1.1.1</t>
        </is>
      </c>
      <c r="E39" s="23" t="inlineStr">
        <is>
          <t>R38-v2</t>
        </is>
      </c>
      <c r="F39" s="23" t="inlineStr">
        <is>
          <t>1.1.1 Guideway and Civil - Guideway Structures</t>
        </is>
      </c>
      <c r="G39" s="23" t="inlineStr">
        <is>
          <t>ONE_TO_ONE</t>
        </is>
      </c>
      <c r="H39" s="23" t="inlineStr">
        <is>
          <t>RETAINED</t>
        </is>
      </c>
      <c r="I39" s="23" t="inlineStr">
        <is>
          <t>Carried forward</t>
        </is>
      </c>
      <c r="J39" s="23" t="inlineStr">
        <is>
          <t>Source assignment -- not individually reviewed</t>
        </is>
      </c>
      <c r="K39" s="23" t="inlineStr"/>
      <c r="L39" s="23" t="inlineStr"/>
      <c r="M39" s="23" t="inlineStr"/>
      <c r="N39" s="14" t="inlineStr">
        <is>
          <t>10 EVIDENCE &amp; DECISIONS</t>
        </is>
      </c>
    </row>
    <row r="40" ht="34" customHeight="1">
      <c r="A40" s="23" t="inlineStr">
        <is>
          <t>Contractor Programme</t>
        </is>
      </c>
      <c r="B40" s="23" t="inlineStr">
        <is>
          <t>SCH-01-040</t>
        </is>
      </c>
      <c r="C40" s="23" t="inlineStr">
        <is>
          <t>Central guideway: utility relocation - field start</t>
        </is>
      </c>
      <c r="D40" s="23" t="inlineStr">
        <is>
          <t>WBS Code = 1.1.1</t>
        </is>
      </c>
      <c r="E40" s="23" t="inlineStr">
        <is>
          <t>R40-v2</t>
        </is>
      </c>
      <c r="F40" s="23" t="inlineStr">
        <is>
          <t>1.1.1 Guideway and Civil - Guideway Structures</t>
        </is>
      </c>
      <c r="G40" s="23" t="inlineStr">
        <is>
          <t>ONE_TO_ONE</t>
        </is>
      </c>
      <c r="H40" s="23" t="inlineStr">
        <is>
          <t>RETAINED</t>
        </is>
      </c>
      <c r="I40" s="23" t="inlineStr">
        <is>
          <t>Carried forward</t>
        </is>
      </c>
      <c r="J40" s="23" t="inlineStr">
        <is>
          <t>Source assignment -- not individually reviewed</t>
        </is>
      </c>
      <c r="K40" s="23" t="inlineStr"/>
      <c r="L40" s="23" t="inlineStr"/>
      <c r="M40" s="23" t="inlineStr"/>
      <c r="N40" s="14" t="inlineStr">
        <is>
          <t>10 EVIDENCE &amp; DECISIONS</t>
        </is>
      </c>
    </row>
    <row r="41" ht="34" customHeight="1">
      <c r="A41" s="23" t="inlineStr">
        <is>
          <t>Contractor Programme</t>
        </is>
      </c>
      <c r="B41" s="23" t="inlineStr">
        <is>
          <t>SCH-01-041</t>
        </is>
      </c>
      <c r="C41" s="23" t="inlineStr">
        <is>
          <t>West approach: track-slab survey - installation</t>
        </is>
      </c>
      <c r="D41" s="23" t="inlineStr">
        <is>
          <t>WBS Code = 1.1.1</t>
        </is>
      </c>
      <c r="E41" s="23" t="inlineStr">
        <is>
          <t>R41-v2</t>
        </is>
      </c>
      <c r="F41" s="23" t="inlineStr">
        <is>
          <t>1.1.1 Guideway and Civil - Guideway Structures</t>
        </is>
      </c>
      <c r="G41" s="23" t="inlineStr">
        <is>
          <t>ONE_TO_ONE</t>
        </is>
      </c>
      <c r="H41" s="23" t="inlineStr">
        <is>
          <t>RETAINED</t>
        </is>
      </c>
      <c r="I41" s="23" t="inlineStr">
        <is>
          <t>Carried forward</t>
        </is>
      </c>
      <c r="J41" s="23" t="inlineStr">
        <is>
          <t>Source assignment -- not individually reviewed</t>
        </is>
      </c>
      <c r="K41" s="23" t="inlineStr"/>
      <c r="L41" s="23" t="inlineStr"/>
      <c r="M41" s="23" t="inlineStr"/>
      <c r="N41" s="14" t="inlineStr">
        <is>
          <t>10 EVIDENCE &amp; DECISIONS</t>
        </is>
      </c>
    </row>
    <row r="42" ht="34" customHeight="1">
      <c r="A42" s="23" t="inlineStr">
        <is>
          <t>Contractor Programme</t>
        </is>
      </c>
      <c r="B42" s="23" t="inlineStr">
        <is>
          <t>SCH-01-043</t>
        </is>
      </c>
      <c r="C42" s="23" t="inlineStr">
        <is>
          <t>East portal: guideway pier reinforcement - turnover</t>
        </is>
      </c>
      <c r="D42" s="23" t="inlineStr">
        <is>
          <t>WBS Code = 1.1.1</t>
        </is>
      </c>
      <c r="E42" s="23" t="inlineStr">
        <is>
          <t>R43-v2</t>
        </is>
      </c>
      <c r="F42" s="23" t="inlineStr">
        <is>
          <t>1.1.1 Guideway and Civil - Guideway Structures</t>
        </is>
      </c>
      <c r="G42" s="23" t="inlineStr">
        <is>
          <t>ONE_TO_ONE</t>
        </is>
      </c>
      <c r="H42" s="23" t="inlineStr">
        <is>
          <t>RETAINED</t>
        </is>
      </c>
      <c r="I42" s="23" t="inlineStr">
        <is>
          <t>Carried forward</t>
        </is>
      </c>
      <c r="J42" s="23" t="inlineStr">
        <is>
          <t>Source assignment -- not individually reviewed</t>
        </is>
      </c>
      <c r="K42" s="23" t="inlineStr"/>
      <c r="L42" s="23" t="inlineStr"/>
      <c r="M42" s="23" t="inlineStr"/>
      <c r="N42" s="14" t="inlineStr">
        <is>
          <t>10 EVIDENCE &amp; DECISIONS</t>
        </is>
      </c>
    </row>
    <row r="43" ht="34" customHeight="1">
      <c r="A43" s="23" t="inlineStr">
        <is>
          <t>Contractor Programme</t>
        </is>
      </c>
      <c r="B43" s="23" t="inlineStr">
        <is>
          <t>SCH-01-044</t>
        </is>
      </c>
      <c r="C43" s="23" t="inlineStr">
        <is>
          <t>River crossing: road restoration - release</t>
        </is>
      </c>
      <c r="D43" s="23" t="inlineStr">
        <is>
          <t>WBS Code = 1.1.1</t>
        </is>
      </c>
      <c r="E43" s="23" t="inlineStr">
        <is>
          <t>R44-v2</t>
        </is>
      </c>
      <c r="F43" s="23" t="inlineStr">
        <is>
          <t>1.1.1 Guideway and Civil - Guideway Structures</t>
        </is>
      </c>
      <c r="G43" s="23" t="inlineStr">
        <is>
          <t>ONE_TO_ONE</t>
        </is>
      </c>
      <c r="H43" s="23" t="inlineStr">
        <is>
          <t>RETAINED</t>
        </is>
      </c>
      <c r="I43" s="23" t="inlineStr">
        <is>
          <t>Carried forward</t>
        </is>
      </c>
      <c r="J43" s="23" t="inlineStr">
        <is>
          <t>Source assignment -- not individually reviewed</t>
        </is>
      </c>
      <c r="K43" s="23" t="inlineStr"/>
      <c r="L43" s="23" t="inlineStr"/>
      <c r="M43" s="23" t="inlineStr"/>
      <c r="N43" s="14" t="inlineStr">
        <is>
          <t>10 EVIDENCE &amp; DECISIONS</t>
        </is>
      </c>
    </row>
    <row r="44" ht="34" customHeight="1">
      <c r="A44" s="23" t="inlineStr">
        <is>
          <t>Contractor Programme</t>
        </is>
      </c>
      <c r="B44" s="23" t="inlineStr">
        <is>
          <t>SCH-01-046</t>
        </is>
      </c>
      <c r="C44" s="23" t="inlineStr">
        <is>
          <t>West approach: retaining-wall excavation - installation</t>
        </is>
      </c>
      <c r="D44" s="23" t="inlineStr">
        <is>
          <t>WBS Code = 1.1.1</t>
        </is>
      </c>
      <c r="E44" s="23" t="inlineStr">
        <is>
          <t>R46-v2</t>
        </is>
      </c>
      <c r="F44" s="23" t="inlineStr">
        <is>
          <t>1.1.1 Guideway and Civil - Guideway Structures</t>
        </is>
      </c>
      <c r="G44" s="23" t="inlineStr">
        <is>
          <t>ONE_TO_ONE</t>
        </is>
      </c>
      <c r="H44" s="23" t="inlineStr">
        <is>
          <t>RETAINED</t>
        </is>
      </c>
      <c r="I44" s="23" t="inlineStr">
        <is>
          <t>Carried forward</t>
        </is>
      </c>
      <c r="J44" s="23" t="inlineStr">
        <is>
          <t>Source assignment -- not individually reviewed</t>
        </is>
      </c>
      <c r="K44" s="23" t="inlineStr"/>
      <c r="L44" s="23" t="inlineStr"/>
      <c r="M44" s="23" t="inlineStr"/>
      <c r="N44" s="14" t="inlineStr">
        <is>
          <t>10 EVIDENCE &amp; DECISIONS</t>
        </is>
      </c>
    </row>
    <row r="45" ht="34" customHeight="1">
      <c r="A45" s="23" t="inlineStr">
        <is>
          <t>Contractor Programme</t>
        </is>
      </c>
      <c r="B45" s="23" t="inlineStr">
        <is>
          <t>SCH-01-047</t>
        </is>
      </c>
      <c r="C45" s="23" t="inlineStr">
        <is>
          <t>Depot lead: drainage tie-in - inspection</t>
        </is>
      </c>
      <c r="D45" s="23" t="inlineStr">
        <is>
          <t>WBS Code = 1.1.1</t>
        </is>
      </c>
      <c r="E45" s="23" t="inlineStr">
        <is>
          <t>R47-v2</t>
        </is>
      </c>
      <c r="F45" s="23" t="inlineStr">
        <is>
          <t>1.1.1 Guideway and Civil - Guideway Structures</t>
        </is>
      </c>
      <c r="G45" s="23" t="inlineStr">
        <is>
          <t>ONE_TO_ONE</t>
        </is>
      </c>
      <c r="H45" s="23" t="inlineStr">
        <is>
          <t>RETAINED</t>
        </is>
      </c>
      <c r="I45" s="23" t="inlineStr">
        <is>
          <t>Carried forward</t>
        </is>
      </c>
      <c r="J45" s="23" t="inlineStr">
        <is>
          <t>Source assignment -- not individually reviewed</t>
        </is>
      </c>
      <c r="K45" s="23" t="inlineStr"/>
      <c r="L45" s="23" t="inlineStr"/>
      <c r="M45" s="23" t="inlineStr"/>
      <c r="N45" s="14" t="inlineStr">
        <is>
          <t>10 EVIDENCE &amp; DECISIONS</t>
        </is>
      </c>
    </row>
    <row r="46" ht="34" customHeight="1">
      <c r="A46" s="23" t="inlineStr">
        <is>
          <t>Contractor Programme</t>
        </is>
      </c>
      <c r="B46" s="23" t="inlineStr">
        <is>
          <t>SCH-01-049</t>
        </is>
      </c>
      <c r="C46" s="23" t="inlineStr">
        <is>
          <t>River crossing: track-slab survey - release</t>
        </is>
      </c>
      <c r="D46" s="23" t="inlineStr">
        <is>
          <t>WBS Code = 1.1.1</t>
        </is>
      </c>
      <c r="E46" s="23" t="inlineStr">
        <is>
          <t>R49-v2</t>
        </is>
      </c>
      <c r="F46" s="23" t="inlineStr">
        <is>
          <t>1.1.1 Guideway and Civil - Guideway Structures</t>
        </is>
      </c>
      <c r="G46" s="23" t="inlineStr">
        <is>
          <t>ONE_TO_ONE</t>
        </is>
      </c>
      <c r="H46" s="23" t="inlineStr">
        <is>
          <t>RETAINED</t>
        </is>
      </c>
      <c r="I46" s="23" t="inlineStr">
        <is>
          <t>Carried forward</t>
        </is>
      </c>
      <c r="J46" s="23" t="inlineStr">
        <is>
          <t>Source assignment -- not individually reviewed</t>
        </is>
      </c>
      <c r="K46" s="23" t="inlineStr"/>
      <c r="L46" s="23" t="inlineStr"/>
      <c r="M46" s="23" t="inlineStr"/>
      <c r="N46" s="14" t="inlineStr">
        <is>
          <t>10 EVIDENCE &amp; DECISIONS</t>
        </is>
      </c>
    </row>
    <row r="47" ht="34" customHeight="1">
      <c r="A47" s="23" t="inlineStr">
        <is>
          <t>Contractor Programme</t>
        </is>
      </c>
      <c r="B47" s="23" t="inlineStr">
        <is>
          <t>SCH-01-050</t>
        </is>
      </c>
      <c r="C47" s="23" t="inlineStr">
        <is>
          <t>Central guideway: temporary traffic staging - field start</t>
        </is>
      </c>
      <c r="D47" s="23" t="inlineStr">
        <is>
          <t>WBS Code = 1.1.1</t>
        </is>
      </c>
      <c r="E47" s="23" t="inlineStr">
        <is>
          <t>R50-v2</t>
        </is>
      </c>
      <c r="F47" s="23" t="inlineStr">
        <is>
          <t>1.1.1 Guideway and Civil - Guideway Structures</t>
        </is>
      </c>
      <c r="G47" s="23" t="inlineStr">
        <is>
          <t>ONE_TO_ONE</t>
        </is>
      </c>
      <c r="H47" s="23" t="inlineStr">
        <is>
          <t>RETAINED</t>
        </is>
      </c>
      <c r="I47" s="23" t="inlineStr">
        <is>
          <t>Carried forward</t>
        </is>
      </c>
      <c r="J47" s="23" t="inlineStr">
        <is>
          <t>Source assignment -- not individually reviewed</t>
        </is>
      </c>
      <c r="K47" s="23" t="inlineStr"/>
      <c r="L47" s="23" t="inlineStr"/>
      <c r="M47" s="23" t="inlineStr"/>
      <c r="N47" s="14" t="inlineStr">
        <is>
          <t>10 EVIDENCE &amp; DECISIONS</t>
        </is>
      </c>
    </row>
    <row r="48" ht="34" customHeight="1">
      <c r="A48" s="23" t="inlineStr">
        <is>
          <t>Contractor Programme</t>
        </is>
      </c>
      <c r="B48" s="23" t="inlineStr">
        <is>
          <t>SCH-01-052</t>
        </is>
      </c>
      <c r="C48" s="23" t="inlineStr">
        <is>
          <t>Depot lead: road restoration - inspection</t>
        </is>
      </c>
      <c r="D48" s="23" t="inlineStr">
        <is>
          <t>WBS Code = 1.1.1</t>
        </is>
      </c>
      <c r="E48" s="23" t="inlineStr">
        <is>
          <t>R52-v2</t>
        </is>
      </c>
      <c r="F48" s="23" t="inlineStr">
        <is>
          <t>1.1.1 Guideway and Civil - Guideway Structures</t>
        </is>
      </c>
      <c r="G48" s="23" t="inlineStr">
        <is>
          <t>ONE_TO_ONE</t>
        </is>
      </c>
      <c r="H48" s="23" t="inlineStr">
        <is>
          <t>RETAINED</t>
        </is>
      </c>
      <c r="I48" s="23" t="inlineStr">
        <is>
          <t>Carried forward</t>
        </is>
      </c>
      <c r="J48" s="23" t="inlineStr">
        <is>
          <t>Source assignment -- not individually reviewed</t>
        </is>
      </c>
      <c r="K48" s="23" t="inlineStr"/>
      <c r="L48" s="23" t="inlineStr"/>
      <c r="M48" s="23" t="inlineStr"/>
      <c r="N48" s="14" t="inlineStr">
        <is>
          <t>10 EVIDENCE &amp; DECISIONS</t>
        </is>
      </c>
    </row>
    <row r="49" ht="34" customHeight="1">
      <c r="A49" s="23" t="inlineStr">
        <is>
          <t>Contractor Programme</t>
        </is>
      </c>
      <c r="B49" s="23" t="inlineStr">
        <is>
          <t>SCH-01-053</t>
        </is>
      </c>
      <c r="C49" s="23" t="inlineStr">
        <is>
          <t>East portal: drilled-shaft installation - turnover</t>
        </is>
      </c>
      <c r="D49" s="23" t="inlineStr">
        <is>
          <t>WBS Code = 1.1.1</t>
        </is>
      </c>
      <c r="E49" s="23" t="inlineStr">
        <is>
          <t>R53-v2</t>
        </is>
      </c>
      <c r="F49" s="23" t="inlineStr">
        <is>
          <t>1.1.1 Guideway and Civil - Guideway Structures</t>
        </is>
      </c>
      <c r="G49" s="23" t="inlineStr">
        <is>
          <t>ONE_TO_ONE</t>
        </is>
      </c>
      <c r="H49" s="23" t="inlineStr">
        <is>
          <t>RETAINED</t>
        </is>
      </c>
      <c r="I49" s="23" t="inlineStr">
        <is>
          <t>Carried forward</t>
        </is>
      </c>
      <c r="J49" s="23" t="inlineStr">
        <is>
          <t>Source assignment -- not individually reviewed</t>
        </is>
      </c>
      <c r="K49" s="23" t="inlineStr"/>
      <c r="L49" s="23" t="inlineStr"/>
      <c r="M49" s="23" t="inlineStr"/>
      <c r="N49" s="14" t="inlineStr">
        <is>
          <t>10 EVIDENCE &amp; DECISIONS</t>
        </is>
      </c>
    </row>
    <row r="50" ht="34" customHeight="1">
      <c r="A50" s="23" t="inlineStr">
        <is>
          <t>Contractor Programme</t>
        </is>
      </c>
      <c r="B50" s="23" t="inlineStr">
        <is>
          <t>SCH-01-055</t>
        </is>
      </c>
      <c r="C50" s="23" t="inlineStr">
        <is>
          <t>Central guideway: drainage tie-in - field start</t>
        </is>
      </c>
      <c r="D50" s="23" t="inlineStr">
        <is>
          <t>WBS Code = 1.1.1</t>
        </is>
      </c>
      <c r="E50" s="23" t="inlineStr">
        <is>
          <t>R55-v2</t>
        </is>
      </c>
      <c r="F50" s="23" t="inlineStr">
        <is>
          <t>1.1.1 Guideway and Civil - Guideway Structures</t>
        </is>
      </c>
      <c r="G50" s="23" t="inlineStr">
        <is>
          <t>ONE_TO_ONE</t>
        </is>
      </c>
      <c r="H50" s="23" t="inlineStr">
        <is>
          <t>RETAINED</t>
        </is>
      </c>
      <c r="I50" s="23" t="inlineStr">
        <is>
          <t>Carried forward</t>
        </is>
      </c>
      <c r="J50" s="23" t="inlineStr">
        <is>
          <t>Source assignment -- not individually reviewed</t>
        </is>
      </c>
      <c r="K50" s="23" t="inlineStr"/>
      <c r="L50" s="23" t="inlineStr"/>
      <c r="M50" s="23" t="inlineStr"/>
      <c r="N50" s="14" t="inlineStr">
        <is>
          <t>10 EVIDENCE &amp; DECISIONS</t>
        </is>
      </c>
    </row>
    <row r="51" ht="34" customHeight="1">
      <c r="A51" s="23" t="inlineStr">
        <is>
          <t>Contractor Programme</t>
        </is>
      </c>
      <c r="B51" s="23" t="inlineStr">
        <is>
          <t>SCH-01-056</t>
        </is>
      </c>
      <c r="C51" s="23" t="inlineStr">
        <is>
          <t>West approach: utility relocation - installation</t>
        </is>
      </c>
      <c r="D51" s="23" t="inlineStr">
        <is>
          <t>WBS Code = 1.1.1</t>
        </is>
      </c>
      <c r="E51" s="23" t="inlineStr">
        <is>
          <t>R56-v2</t>
        </is>
      </c>
      <c r="F51" s="23" t="inlineStr">
        <is>
          <t>1.1.1 Guideway and Civil - Guideway Structures</t>
        </is>
      </c>
      <c r="G51" s="23" t="inlineStr">
        <is>
          <t>ONE_TO_ONE</t>
        </is>
      </c>
      <c r="H51" s="23" t="inlineStr">
        <is>
          <t>RETAINED</t>
        </is>
      </c>
      <c r="I51" s="23" t="inlineStr">
        <is>
          <t>Carried forward</t>
        </is>
      </c>
      <c r="J51" s="23" t="inlineStr">
        <is>
          <t>Source assignment -- not individually reviewed</t>
        </is>
      </c>
      <c r="K51" s="23" t="inlineStr"/>
      <c r="L51" s="23" t="inlineStr"/>
      <c r="M51" s="23" t="inlineStr"/>
      <c r="N51" s="14" t="inlineStr">
        <is>
          <t>10 EVIDENCE &amp; DECISIONS</t>
        </is>
      </c>
    </row>
    <row r="52" ht="34" customHeight="1">
      <c r="A52" s="23" t="inlineStr">
        <is>
          <t>Contractor Programme</t>
        </is>
      </c>
      <c r="B52" s="23" t="inlineStr">
        <is>
          <t>SCH-01-058</t>
        </is>
      </c>
      <c r="C52" s="23" t="inlineStr">
        <is>
          <t>East portal: temporary traffic staging - turnover</t>
        </is>
      </c>
      <c r="D52" s="23" t="inlineStr">
        <is>
          <t>WBS Code = 1.1.1</t>
        </is>
      </c>
      <c r="E52" s="23" t="inlineStr">
        <is>
          <t>R58-v2</t>
        </is>
      </c>
      <c r="F52" s="23" t="inlineStr">
        <is>
          <t>1.1.1 Guideway and Civil - Guideway Structures</t>
        </is>
      </c>
      <c r="G52" s="23" t="inlineStr">
        <is>
          <t>ONE_TO_ONE</t>
        </is>
      </c>
      <c r="H52" s="23" t="inlineStr">
        <is>
          <t>RETAINED</t>
        </is>
      </c>
      <c r="I52" s="23" t="inlineStr">
        <is>
          <t>Carried forward</t>
        </is>
      </c>
      <c r="J52" s="23" t="inlineStr">
        <is>
          <t>Source assignment -- not individually reviewed</t>
        </is>
      </c>
      <c r="K52" s="23" t="inlineStr"/>
      <c r="L52" s="23" t="inlineStr"/>
      <c r="M52" s="23" t="inlineStr"/>
      <c r="N52" s="14" t="inlineStr">
        <is>
          <t>10 EVIDENCE &amp; DECISIONS</t>
        </is>
      </c>
    </row>
    <row r="53" ht="34" customHeight="1">
      <c r="A53" s="23" t="inlineStr">
        <is>
          <t>Contractor Programme</t>
        </is>
      </c>
      <c r="B53" s="23" t="inlineStr">
        <is>
          <t>SCH-01-059</t>
        </is>
      </c>
      <c r="C53" s="23" t="inlineStr">
        <is>
          <t>River crossing: guideway pier reinforcement - release</t>
        </is>
      </c>
      <c r="D53" s="23" t="inlineStr">
        <is>
          <t>WBS Code = 1.1.1</t>
        </is>
      </c>
      <c r="E53" s="23" t="inlineStr">
        <is>
          <t>R59-v2</t>
        </is>
      </c>
      <c r="F53" s="23" t="inlineStr">
        <is>
          <t>1.1.1 Guideway and Civil - Guideway Structures</t>
        </is>
      </c>
      <c r="G53" s="23" t="inlineStr">
        <is>
          <t>ONE_TO_ONE</t>
        </is>
      </c>
      <c r="H53" s="23" t="inlineStr">
        <is>
          <t>RETAINED</t>
        </is>
      </c>
      <c r="I53" s="23" t="inlineStr">
        <is>
          <t>Carried forward</t>
        </is>
      </c>
      <c r="J53" s="23" t="inlineStr">
        <is>
          <t>Source assignment -- not individually reviewed</t>
        </is>
      </c>
      <c r="K53" s="23" t="inlineStr"/>
      <c r="L53" s="23" t="inlineStr"/>
      <c r="M53" s="23" t="inlineStr"/>
      <c r="N53" s="14" t="inlineStr">
        <is>
          <t>10 EVIDENCE &amp; DECISIONS</t>
        </is>
      </c>
    </row>
    <row r="54" ht="34" customHeight="1">
      <c r="A54" s="23" t="inlineStr">
        <is>
          <t>Contractor Programme</t>
        </is>
      </c>
      <c r="B54" s="23" t="inlineStr">
        <is>
          <t>SCH-01-061</t>
        </is>
      </c>
      <c r="C54" s="23" t="inlineStr">
        <is>
          <t>West approach: drilled-shaft installation - installation</t>
        </is>
      </c>
      <c r="D54" s="23" t="inlineStr">
        <is>
          <t>WBS Code = 1.1.1</t>
        </is>
      </c>
      <c r="E54" s="23" t="inlineStr">
        <is>
          <t>R61-v2</t>
        </is>
      </c>
      <c r="F54" s="23" t="inlineStr">
        <is>
          <t>1.1.1 Guideway and Civil - Guideway Structures</t>
        </is>
      </c>
      <c r="G54" s="23" t="inlineStr">
        <is>
          <t>ONE_TO_ONE</t>
        </is>
      </c>
      <c r="H54" s="23" t="inlineStr">
        <is>
          <t>RETAINED</t>
        </is>
      </c>
      <c r="I54" s="23" t="inlineStr">
        <is>
          <t>Carried forward</t>
        </is>
      </c>
      <c r="J54" s="23" t="inlineStr">
        <is>
          <t>Source assignment -- not individually reviewed</t>
        </is>
      </c>
      <c r="K54" s="23" t="inlineStr"/>
      <c r="L54" s="23" t="inlineStr"/>
      <c r="M54" s="23" t="inlineStr"/>
      <c r="N54" s="14" t="inlineStr">
        <is>
          <t>10 EVIDENCE &amp; DECISIONS</t>
        </is>
      </c>
    </row>
    <row r="55" ht="34" customHeight="1">
      <c r="A55" s="23" t="inlineStr">
        <is>
          <t>Contractor Programme</t>
        </is>
      </c>
      <c r="B55" s="23" t="inlineStr">
        <is>
          <t>SCH-01-062</t>
        </is>
      </c>
      <c r="C55" s="23" t="inlineStr">
        <is>
          <t>Depot lead: retaining-wall excavation - inspection</t>
        </is>
      </c>
      <c r="D55" s="23" t="inlineStr">
        <is>
          <t>WBS Code = 1.1.1</t>
        </is>
      </c>
      <c r="E55" s="23" t="inlineStr">
        <is>
          <t>R62-v2</t>
        </is>
      </c>
      <c r="F55" s="23" t="inlineStr">
        <is>
          <t>1.1.1 Guideway and Civil - Guideway Structures</t>
        </is>
      </c>
      <c r="G55" s="23" t="inlineStr">
        <is>
          <t>ONE_TO_ONE</t>
        </is>
      </c>
      <c r="H55" s="23" t="inlineStr">
        <is>
          <t>RETAINED</t>
        </is>
      </c>
      <c r="I55" s="23" t="inlineStr">
        <is>
          <t>Carried forward</t>
        </is>
      </c>
      <c r="J55" s="23" t="inlineStr">
        <is>
          <t>Source assignment -- not individually reviewed</t>
        </is>
      </c>
      <c r="K55" s="23" t="inlineStr"/>
      <c r="L55" s="23" t="inlineStr"/>
      <c r="M55" s="23" t="inlineStr"/>
      <c r="N55" s="14" t="inlineStr">
        <is>
          <t>10 EVIDENCE &amp; DECISIONS</t>
        </is>
      </c>
    </row>
    <row r="56" ht="34" customHeight="1">
      <c r="A56" s="23" t="inlineStr">
        <is>
          <t>Contractor Programme</t>
        </is>
      </c>
      <c r="B56" s="23" t="inlineStr">
        <is>
          <t>SCH-01-064</t>
        </is>
      </c>
      <c r="C56" s="23" t="inlineStr">
        <is>
          <t>River crossing: utility relocation - release</t>
        </is>
      </c>
      <c r="D56" s="23" t="inlineStr">
        <is>
          <t>WBS Code = 1.1.1</t>
        </is>
      </c>
      <c r="E56" s="23" t="inlineStr">
        <is>
          <t>R64-v2</t>
        </is>
      </c>
      <c r="F56" s="23" t="inlineStr">
        <is>
          <t>1.1.1 Guideway and Civil - Guideway Structures</t>
        </is>
      </c>
      <c r="G56" s="23" t="inlineStr">
        <is>
          <t>ONE_TO_ONE</t>
        </is>
      </c>
      <c r="H56" s="23" t="inlineStr">
        <is>
          <t>RETAINED</t>
        </is>
      </c>
      <c r="I56" s="23" t="inlineStr">
        <is>
          <t>Carried forward</t>
        </is>
      </c>
      <c r="J56" s="23" t="inlineStr">
        <is>
          <t>Source assignment -- not individually reviewed</t>
        </is>
      </c>
      <c r="K56" s="23" t="inlineStr"/>
      <c r="L56" s="23" t="inlineStr"/>
      <c r="M56" s="23" t="inlineStr"/>
      <c r="N56" s="14" t="inlineStr">
        <is>
          <t>10 EVIDENCE &amp; DECISIONS</t>
        </is>
      </c>
    </row>
    <row r="57" ht="34" customHeight="1">
      <c r="A57" s="23" t="inlineStr">
        <is>
          <t>Contractor Programme</t>
        </is>
      </c>
      <c r="B57" s="23" t="inlineStr">
        <is>
          <t>SCH-01-065</t>
        </is>
      </c>
      <c r="C57" s="23" t="inlineStr">
        <is>
          <t>Central guideway: track-slab survey - field start</t>
        </is>
      </c>
      <c r="D57" s="23" t="inlineStr">
        <is>
          <t>WBS Code = 1.1.1</t>
        </is>
      </c>
      <c r="E57" s="23" t="inlineStr">
        <is>
          <t>R65-v2</t>
        </is>
      </c>
      <c r="F57" s="23" t="inlineStr">
        <is>
          <t>1.1.1 Guideway and Civil - Guideway Structures</t>
        </is>
      </c>
      <c r="G57" s="23" t="inlineStr">
        <is>
          <t>ONE_TO_ONE</t>
        </is>
      </c>
      <c r="H57" s="23" t="inlineStr">
        <is>
          <t>RETAINED</t>
        </is>
      </c>
      <c r="I57" s="23" t="inlineStr">
        <is>
          <t>Carried forward</t>
        </is>
      </c>
      <c r="J57" s="23" t="inlineStr">
        <is>
          <t>Source assignment -- not individually reviewed</t>
        </is>
      </c>
      <c r="K57" s="23" t="inlineStr"/>
      <c r="L57" s="23" t="inlineStr"/>
      <c r="M57" s="23" t="inlineStr"/>
      <c r="N57" s="14" t="inlineStr">
        <is>
          <t>10 EVIDENCE &amp; DECISIONS</t>
        </is>
      </c>
    </row>
    <row r="58" ht="34" customHeight="1">
      <c r="A58" s="23" t="inlineStr">
        <is>
          <t>Contractor Programme</t>
        </is>
      </c>
      <c r="B58" s="23" t="inlineStr">
        <is>
          <t>SCH-01-067</t>
        </is>
      </c>
      <c r="C58" s="23" t="inlineStr">
        <is>
          <t>Depot lead: guideway pier reinforcement - inspection</t>
        </is>
      </c>
      <c r="D58" s="23" t="inlineStr">
        <is>
          <t>WBS Code = 1.1.1</t>
        </is>
      </c>
      <c r="E58" s="23" t="inlineStr">
        <is>
          <t>R67-v2</t>
        </is>
      </c>
      <c r="F58" s="23" t="inlineStr">
        <is>
          <t>1.1.1 Guideway and Civil - Guideway Structures</t>
        </is>
      </c>
      <c r="G58" s="23" t="inlineStr">
        <is>
          <t>ONE_TO_ONE</t>
        </is>
      </c>
      <c r="H58" s="23" t="inlineStr">
        <is>
          <t>RETAINED</t>
        </is>
      </c>
      <c r="I58" s="23" t="inlineStr">
        <is>
          <t>Carried forward</t>
        </is>
      </c>
      <c r="J58" s="23" t="inlineStr">
        <is>
          <t>Source assignment -- not individually reviewed</t>
        </is>
      </c>
      <c r="K58" s="23" t="inlineStr"/>
      <c r="L58" s="23" t="inlineStr"/>
      <c r="M58" s="23" t="inlineStr"/>
      <c r="N58" s="14" t="inlineStr">
        <is>
          <t>10 EVIDENCE &amp; DECISIONS</t>
        </is>
      </c>
    </row>
    <row r="59" ht="34" customHeight="1">
      <c r="A59" s="23" t="inlineStr">
        <is>
          <t>Contractor Programme</t>
        </is>
      </c>
      <c r="B59" s="23" t="inlineStr">
        <is>
          <t>SCH-01-068</t>
        </is>
      </c>
      <c r="C59" s="23" t="inlineStr">
        <is>
          <t>East portal: road restoration - turnover</t>
        </is>
      </c>
      <c r="D59" s="23" t="inlineStr">
        <is>
          <t>WBS Code = 1.1.1</t>
        </is>
      </c>
      <c r="E59" s="23" t="inlineStr">
        <is>
          <t>R68-v2</t>
        </is>
      </c>
      <c r="F59" s="23" t="inlineStr">
        <is>
          <t>1.1.1 Guideway and Civil - Guideway Structures</t>
        </is>
      </c>
      <c r="G59" s="23" t="inlineStr">
        <is>
          <t>ONE_TO_ONE</t>
        </is>
      </c>
      <c r="H59" s="23" t="inlineStr">
        <is>
          <t>RETAINED</t>
        </is>
      </c>
      <c r="I59" s="23" t="inlineStr">
        <is>
          <t>Carried forward</t>
        </is>
      </c>
      <c r="J59" s="23" t="inlineStr">
        <is>
          <t>Source assignment -- not individually reviewed</t>
        </is>
      </c>
      <c r="K59" s="23" t="inlineStr"/>
      <c r="L59" s="23" t="inlineStr"/>
      <c r="M59" s="23" t="inlineStr"/>
      <c r="N59" s="14" t="inlineStr">
        <is>
          <t>10 EVIDENCE &amp; DECISIONS</t>
        </is>
      </c>
    </row>
    <row r="60" ht="34" customHeight="1">
      <c r="A60" s="23" t="inlineStr">
        <is>
          <t>Contractor Programme</t>
        </is>
      </c>
      <c r="B60" s="23" t="inlineStr">
        <is>
          <t>SCH-01-070</t>
        </is>
      </c>
      <c r="C60" s="23" t="inlineStr">
        <is>
          <t>Central guideway: retaining-wall excavation - field start</t>
        </is>
      </c>
      <c r="D60" s="23" t="inlineStr">
        <is>
          <t>WBS Code = 1.1.1</t>
        </is>
      </c>
      <c r="E60" s="23" t="inlineStr">
        <is>
          <t>R70-v2</t>
        </is>
      </c>
      <c r="F60" s="23" t="inlineStr">
        <is>
          <t>1.1.1 Guideway and Civil - Guideway Structures</t>
        </is>
      </c>
      <c r="G60" s="23" t="inlineStr">
        <is>
          <t>ONE_TO_ONE</t>
        </is>
      </c>
      <c r="H60" s="23" t="inlineStr">
        <is>
          <t>RETAINED</t>
        </is>
      </c>
      <c r="I60" s="23" t="inlineStr">
        <is>
          <t>Carried forward</t>
        </is>
      </c>
      <c r="J60" s="23" t="inlineStr">
        <is>
          <t>Source assignment -- not individually reviewed</t>
        </is>
      </c>
      <c r="K60" s="23" t="inlineStr"/>
      <c r="L60" s="23" t="inlineStr"/>
      <c r="M60" s="23" t="inlineStr"/>
      <c r="N60" s="14" t="inlineStr">
        <is>
          <t>10 EVIDENCE &amp; DECISIONS</t>
        </is>
      </c>
    </row>
    <row r="61" ht="34" customHeight="1">
      <c r="A61" s="23" t="inlineStr">
        <is>
          <t>Contractor Programme</t>
        </is>
      </c>
      <c r="B61" s="23" t="inlineStr">
        <is>
          <t>SCH-01-071</t>
        </is>
      </c>
      <c r="C61" s="23" t="inlineStr">
        <is>
          <t>West approach: drainage tie-in - installation</t>
        </is>
      </c>
      <c r="D61" s="23" t="inlineStr">
        <is>
          <t>WBS Code = 1.1.1</t>
        </is>
      </c>
      <c r="E61" s="23" t="inlineStr">
        <is>
          <t>R71-v2</t>
        </is>
      </c>
      <c r="F61" s="23" t="inlineStr">
        <is>
          <t>1.1.1 Guideway and Civil - Guideway Structures</t>
        </is>
      </c>
      <c r="G61" s="23" t="inlineStr">
        <is>
          <t>ONE_TO_ONE</t>
        </is>
      </c>
      <c r="H61" s="23" t="inlineStr">
        <is>
          <t>RETAINED</t>
        </is>
      </c>
      <c r="I61" s="23" t="inlineStr">
        <is>
          <t>Carried forward</t>
        </is>
      </c>
      <c r="J61" s="23" t="inlineStr">
        <is>
          <t>Source assignment -- not individually reviewed</t>
        </is>
      </c>
      <c r="K61" s="23" t="inlineStr"/>
      <c r="L61" s="23" t="inlineStr"/>
      <c r="M61" s="23" t="inlineStr"/>
      <c r="N61" s="14" t="inlineStr">
        <is>
          <t>10 EVIDENCE &amp; DECISIONS</t>
        </is>
      </c>
    </row>
    <row r="62" ht="34" customHeight="1">
      <c r="A62" s="23" t="inlineStr">
        <is>
          <t>Contractor Programme</t>
        </is>
      </c>
      <c r="B62" s="23" t="inlineStr">
        <is>
          <t>SCH-01-073</t>
        </is>
      </c>
      <c r="C62" s="23" t="inlineStr">
        <is>
          <t>East portal: track-slab survey - turnover</t>
        </is>
      </c>
      <c r="D62" s="23" t="inlineStr">
        <is>
          <t>WBS Code = 1.1.1</t>
        </is>
      </c>
      <c r="E62" s="23" t="inlineStr">
        <is>
          <t>R73-v2</t>
        </is>
      </c>
      <c r="F62" s="23" t="inlineStr">
        <is>
          <t>1.1.1 Guideway and Civil - Guideway Structures</t>
        </is>
      </c>
      <c r="G62" s="23" t="inlineStr">
        <is>
          <t>ONE_TO_ONE</t>
        </is>
      </c>
      <c r="H62" s="23" t="inlineStr">
        <is>
          <t>RETAINED</t>
        </is>
      </c>
      <c r="I62" s="23" t="inlineStr">
        <is>
          <t>Carried forward</t>
        </is>
      </c>
      <c r="J62" s="23" t="inlineStr">
        <is>
          <t>Source assignment -- not individually reviewed</t>
        </is>
      </c>
      <c r="K62" s="23" t="inlineStr"/>
      <c r="L62" s="23" t="inlineStr"/>
      <c r="M62" s="23" t="inlineStr"/>
      <c r="N62" s="14" t="inlineStr">
        <is>
          <t>10 EVIDENCE &amp; DECISIONS</t>
        </is>
      </c>
    </row>
    <row r="63" ht="34" customHeight="1">
      <c r="A63" s="23" t="inlineStr">
        <is>
          <t>Contractor Programme</t>
        </is>
      </c>
      <c r="B63" s="23" t="inlineStr">
        <is>
          <t>SCH-01-074</t>
        </is>
      </c>
      <c r="C63" s="23" t="inlineStr">
        <is>
          <t>River crossing: temporary traffic staging - release</t>
        </is>
      </c>
      <c r="D63" s="23" t="inlineStr">
        <is>
          <t>WBS Code = 1.1.1</t>
        </is>
      </c>
      <c r="E63" s="23" t="inlineStr">
        <is>
          <t>R74-v2</t>
        </is>
      </c>
      <c r="F63" s="23" t="inlineStr">
        <is>
          <t>1.1.1 Guideway and Civil - Guideway Structures</t>
        </is>
      </c>
      <c r="G63" s="23" t="inlineStr">
        <is>
          <t>ONE_TO_ONE</t>
        </is>
      </c>
      <c r="H63" s="23" t="inlineStr">
        <is>
          <t>RETAINED</t>
        </is>
      </c>
      <c r="I63" s="23" t="inlineStr">
        <is>
          <t>Carried forward</t>
        </is>
      </c>
      <c r="J63" s="23" t="inlineStr">
        <is>
          <t>Source assignment -- not individually reviewed</t>
        </is>
      </c>
      <c r="K63" s="23" t="inlineStr"/>
      <c r="L63" s="23" t="inlineStr"/>
      <c r="M63" s="23" t="inlineStr"/>
      <c r="N63" s="14" t="inlineStr">
        <is>
          <t>10 EVIDENCE &amp; DECISIONS</t>
        </is>
      </c>
    </row>
    <row r="64" ht="34" customHeight="1">
      <c r="A64" s="23" t="inlineStr">
        <is>
          <t>Contractor Programme</t>
        </is>
      </c>
      <c r="B64" s="23" t="inlineStr">
        <is>
          <t>SCH-01-076</t>
        </is>
      </c>
      <c r="C64" s="23" t="inlineStr">
        <is>
          <t>West approach: road restoration - installation</t>
        </is>
      </c>
      <c r="D64" s="23" t="inlineStr">
        <is>
          <t>WBS Code = 1.1.1</t>
        </is>
      </c>
      <c r="E64" s="23" t="inlineStr">
        <is>
          <t>R76-v2</t>
        </is>
      </c>
      <c r="F64" s="23" t="inlineStr">
        <is>
          <t>1.1.1 Guideway and Civil - Guideway Structures</t>
        </is>
      </c>
      <c r="G64" s="23" t="inlineStr">
        <is>
          <t>ONE_TO_ONE</t>
        </is>
      </c>
      <c r="H64" s="23" t="inlineStr">
        <is>
          <t>RETAINED</t>
        </is>
      </c>
      <c r="I64" s="23" t="inlineStr">
        <is>
          <t>Carried forward</t>
        </is>
      </c>
      <c r="J64" s="23" t="inlineStr">
        <is>
          <t>Source assignment -- not individually reviewed</t>
        </is>
      </c>
      <c r="K64" s="23" t="inlineStr"/>
      <c r="L64" s="23" t="inlineStr"/>
      <c r="M64" s="23" t="inlineStr"/>
      <c r="N64" s="14" t="inlineStr">
        <is>
          <t>10 EVIDENCE &amp; DECISIONS</t>
        </is>
      </c>
    </row>
    <row r="65" ht="34" customHeight="1">
      <c r="A65" s="23" t="inlineStr">
        <is>
          <t>Contractor Programme</t>
        </is>
      </c>
      <c r="B65" s="23" t="inlineStr">
        <is>
          <t>SCH-01-077</t>
        </is>
      </c>
      <c r="C65" s="23" t="inlineStr">
        <is>
          <t>Depot lead: drilled-shaft installation - inspection</t>
        </is>
      </c>
      <c r="D65" s="23" t="inlineStr">
        <is>
          <t>WBS Code = 1.1.1</t>
        </is>
      </c>
      <c r="E65" s="23" t="inlineStr">
        <is>
          <t>R77-v2</t>
        </is>
      </c>
      <c r="F65" s="23" t="inlineStr">
        <is>
          <t>1.1.1 Guideway and Civil - Guideway Structures</t>
        </is>
      </c>
      <c r="G65" s="23" t="inlineStr">
        <is>
          <t>ONE_TO_ONE</t>
        </is>
      </c>
      <c r="H65" s="23" t="inlineStr">
        <is>
          <t>RETAINED</t>
        </is>
      </c>
      <c r="I65" s="23" t="inlineStr">
        <is>
          <t>Carried forward</t>
        </is>
      </c>
      <c r="J65" s="23" t="inlineStr">
        <is>
          <t>Source assignment -- not individually reviewed</t>
        </is>
      </c>
      <c r="K65" s="23" t="inlineStr"/>
      <c r="L65" s="23" t="inlineStr"/>
      <c r="M65" s="23" t="inlineStr"/>
      <c r="N65" s="14" t="inlineStr">
        <is>
          <t>10 EVIDENCE &amp; DECISIONS</t>
        </is>
      </c>
    </row>
    <row r="66" ht="34" customHeight="1">
      <c r="A66" s="23" t="inlineStr">
        <is>
          <t>Contractor Programme</t>
        </is>
      </c>
      <c r="B66" s="23" t="inlineStr">
        <is>
          <t>SCH-01-079</t>
        </is>
      </c>
      <c r="C66" s="23" t="inlineStr">
        <is>
          <t>River crossing: drainage tie-in - release</t>
        </is>
      </c>
      <c r="D66" s="23" t="inlineStr">
        <is>
          <t>WBS Code = 1.1.1</t>
        </is>
      </c>
      <c r="E66" s="23" t="inlineStr">
        <is>
          <t>R79-v2</t>
        </is>
      </c>
      <c r="F66" s="23" t="inlineStr">
        <is>
          <t>1.1.1 Guideway and Civil - Guideway Structures</t>
        </is>
      </c>
      <c r="G66" s="23" t="inlineStr">
        <is>
          <t>ONE_TO_ONE</t>
        </is>
      </c>
      <c r="H66" s="23" t="inlineStr">
        <is>
          <t>RETAINED</t>
        </is>
      </c>
      <c r="I66" s="23" t="inlineStr">
        <is>
          <t>Carried forward</t>
        </is>
      </c>
      <c r="J66" s="23" t="inlineStr">
        <is>
          <t>Source assignment -- not individually reviewed</t>
        </is>
      </c>
      <c r="K66" s="23" t="inlineStr"/>
      <c r="L66" s="23" t="inlineStr"/>
      <c r="M66" s="23" t="inlineStr"/>
      <c r="N66" s="14" t="inlineStr">
        <is>
          <t>10 EVIDENCE &amp; DECISIONS</t>
        </is>
      </c>
    </row>
    <row r="67" ht="34" customHeight="1">
      <c r="A67" s="23" t="inlineStr">
        <is>
          <t>Contractor Programme</t>
        </is>
      </c>
      <c r="B67" s="23" t="inlineStr">
        <is>
          <t>SCH-01-080</t>
        </is>
      </c>
      <c r="C67" s="23" t="inlineStr">
        <is>
          <t>Central guideway: utility relocation - field start</t>
        </is>
      </c>
      <c r="D67" s="23" t="inlineStr">
        <is>
          <t>WBS Code = 1.1.1</t>
        </is>
      </c>
      <c r="E67" s="23" t="inlineStr">
        <is>
          <t>R80-v2</t>
        </is>
      </c>
      <c r="F67" s="23" t="inlineStr">
        <is>
          <t>1.1.1 Guideway and Civil - Guideway Structures</t>
        </is>
      </c>
      <c r="G67" s="23" t="inlineStr">
        <is>
          <t>ONE_TO_ONE</t>
        </is>
      </c>
      <c r="H67" s="23" t="inlineStr">
        <is>
          <t>RETAINED</t>
        </is>
      </c>
      <c r="I67" s="23" t="inlineStr">
        <is>
          <t>Carried forward</t>
        </is>
      </c>
      <c r="J67" s="23" t="inlineStr">
        <is>
          <t>Source assignment -- not individually reviewed</t>
        </is>
      </c>
      <c r="K67" s="23" t="inlineStr"/>
      <c r="L67" s="23" t="inlineStr"/>
      <c r="M67" s="23" t="inlineStr"/>
      <c r="N67" s="14" t="inlineStr">
        <is>
          <t>10 EVIDENCE &amp; DECISIONS</t>
        </is>
      </c>
    </row>
    <row r="68" ht="34" customHeight="1">
      <c r="A68" s="23" t="inlineStr">
        <is>
          <t>Contractor Programme</t>
        </is>
      </c>
      <c r="B68" s="23" t="inlineStr">
        <is>
          <t>SCH-01-082</t>
        </is>
      </c>
      <c r="C68" s="23" t="inlineStr">
        <is>
          <t>Depot lead: temporary traffic staging - inspection</t>
        </is>
      </c>
      <c r="D68" s="23" t="inlineStr">
        <is>
          <t>WBS Code = 1.1.1</t>
        </is>
      </c>
      <c r="E68" s="23" t="inlineStr">
        <is>
          <t>R82-v2</t>
        </is>
      </c>
      <c r="F68" s="23" t="inlineStr">
        <is>
          <t>1.1.1 Guideway and Civil - Guideway Structures</t>
        </is>
      </c>
      <c r="G68" s="23" t="inlineStr">
        <is>
          <t>ONE_TO_ONE</t>
        </is>
      </c>
      <c r="H68" s="23" t="inlineStr">
        <is>
          <t>RETAINED</t>
        </is>
      </c>
      <c r="I68" s="23" t="inlineStr">
        <is>
          <t>Carried forward</t>
        </is>
      </c>
      <c r="J68" s="23" t="inlineStr">
        <is>
          <t>Source assignment -- not individually reviewed</t>
        </is>
      </c>
      <c r="K68" s="23" t="inlineStr"/>
      <c r="L68" s="23" t="inlineStr"/>
      <c r="M68" s="23" t="inlineStr"/>
      <c r="N68" s="14" t="inlineStr">
        <is>
          <t>10 EVIDENCE &amp; DECISIONS</t>
        </is>
      </c>
    </row>
    <row r="69" ht="34" customHeight="1">
      <c r="A69" s="23" t="inlineStr">
        <is>
          <t>Contractor Programme</t>
        </is>
      </c>
      <c r="B69" s="23" t="inlineStr">
        <is>
          <t>SCH-01-083</t>
        </is>
      </c>
      <c r="C69" s="23" t="inlineStr">
        <is>
          <t>East portal: guideway pier reinforcement - turnover</t>
        </is>
      </c>
      <c r="D69" s="23" t="inlineStr">
        <is>
          <t>WBS Code = 1.1.1</t>
        </is>
      </c>
      <c r="E69" s="23" t="inlineStr">
        <is>
          <t>R83-v2</t>
        </is>
      </c>
      <c r="F69" s="23" t="inlineStr">
        <is>
          <t>1.1.1 Guideway and Civil - Guideway Structures</t>
        </is>
      </c>
      <c r="G69" s="23" t="inlineStr">
        <is>
          <t>ONE_TO_ONE</t>
        </is>
      </c>
      <c r="H69" s="23" t="inlineStr">
        <is>
          <t>RETAINED</t>
        </is>
      </c>
      <c r="I69" s="23" t="inlineStr">
        <is>
          <t>Carried forward</t>
        </is>
      </c>
      <c r="J69" s="23" t="inlineStr">
        <is>
          <t>Source assignment -- not individually reviewed</t>
        </is>
      </c>
      <c r="K69" s="23" t="inlineStr"/>
      <c r="L69" s="23" t="inlineStr"/>
      <c r="M69" s="23" t="inlineStr"/>
      <c r="N69" s="14" t="inlineStr">
        <is>
          <t>10 EVIDENCE &amp; DECISIONS</t>
        </is>
      </c>
    </row>
    <row r="70" ht="34" customHeight="1">
      <c r="A70" s="23" t="inlineStr">
        <is>
          <t>Contractor Programme</t>
        </is>
      </c>
      <c r="B70" s="23" t="inlineStr">
        <is>
          <t>SCH-01-085</t>
        </is>
      </c>
      <c r="C70" s="23" t="inlineStr">
        <is>
          <t>Central guideway: drilled-shaft installation - field start</t>
        </is>
      </c>
      <c r="D70" s="23" t="inlineStr">
        <is>
          <t>WBS Code = 1.1.1</t>
        </is>
      </c>
      <c r="E70" s="23" t="inlineStr">
        <is>
          <t>R85-v2</t>
        </is>
      </c>
      <c r="F70" s="23" t="inlineStr">
        <is>
          <t>1.1.1 Guideway and Civil - Guideway Structures</t>
        </is>
      </c>
      <c r="G70" s="23" t="inlineStr">
        <is>
          <t>ONE_TO_ONE</t>
        </is>
      </c>
      <c r="H70" s="23" t="inlineStr">
        <is>
          <t>RETAINED</t>
        </is>
      </c>
      <c r="I70" s="23" t="inlineStr">
        <is>
          <t>Carried forward</t>
        </is>
      </c>
      <c r="J70" s="23" t="inlineStr">
        <is>
          <t>Source assignment -- not individually reviewed</t>
        </is>
      </c>
      <c r="K70" s="23" t="inlineStr"/>
      <c r="L70" s="23" t="inlineStr"/>
      <c r="M70" s="23" t="inlineStr"/>
      <c r="N70" s="14" t="inlineStr">
        <is>
          <t>10 EVIDENCE &amp; DECISIONS</t>
        </is>
      </c>
    </row>
    <row r="71" ht="34" customHeight="1">
      <c r="A71" s="23" t="inlineStr">
        <is>
          <t>Contractor Programme</t>
        </is>
      </c>
      <c r="B71" s="23" t="inlineStr">
        <is>
          <t>SCH-01-086</t>
        </is>
      </c>
      <c r="C71" s="23" t="inlineStr">
        <is>
          <t>West approach: retaining-wall excavation - installation</t>
        </is>
      </c>
      <c r="D71" s="23" t="inlineStr">
        <is>
          <t>WBS Code = 1.1.1</t>
        </is>
      </c>
      <c r="E71" s="23" t="inlineStr">
        <is>
          <t>R86-v2</t>
        </is>
      </c>
      <c r="F71" s="23" t="inlineStr">
        <is>
          <t>1.1.1 Guideway and Civil - Guideway Structures</t>
        </is>
      </c>
      <c r="G71" s="23" t="inlineStr">
        <is>
          <t>ONE_TO_ONE</t>
        </is>
      </c>
      <c r="H71" s="23" t="inlineStr">
        <is>
          <t>RETAINED</t>
        </is>
      </c>
      <c r="I71" s="23" t="inlineStr">
        <is>
          <t>Carried forward</t>
        </is>
      </c>
      <c r="J71" s="23" t="inlineStr">
        <is>
          <t>Source assignment -- not individually reviewed</t>
        </is>
      </c>
      <c r="K71" s="23" t="inlineStr"/>
      <c r="L71" s="23" t="inlineStr"/>
      <c r="M71" s="23" t="inlineStr"/>
      <c r="N71" s="14" t="inlineStr">
        <is>
          <t>10 EVIDENCE &amp; DECISIONS</t>
        </is>
      </c>
    </row>
    <row r="72" ht="34" customHeight="1">
      <c r="A72" s="23" t="inlineStr">
        <is>
          <t>Contractor Programme</t>
        </is>
      </c>
      <c r="B72" s="23" t="inlineStr">
        <is>
          <t>SCH-01-088</t>
        </is>
      </c>
      <c r="C72" s="23" t="inlineStr">
        <is>
          <t>East portal: utility relocation - turnover</t>
        </is>
      </c>
      <c r="D72" s="23" t="inlineStr">
        <is>
          <t>WBS Code = 1.1.1</t>
        </is>
      </c>
      <c r="E72" s="23" t="inlineStr">
        <is>
          <t>R88-v2</t>
        </is>
      </c>
      <c r="F72" s="23" t="inlineStr">
        <is>
          <t>1.1.1 Guideway and Civil - Guideway Structures</t>
        </is>
      </c>
      <c r="G72" s="23" t="inlineStr">
        <is>
          <t>ONE_TO_ONE</t>
        </is>
      </c>
      <c r="H72" s="23" t="inlineStr">
        <is>
          <t>RETAINED</t>
        </is>
      </c>
      <c r="I72" s="23" t="inlineStr">
        <is>
          <t>Carried forward</t>
        </is>
      </c>
      <c r="J72" s="23" t="inlineStr">
        <is>
          <t>Source assignment -- not individually reviewed</t>
        </is>
      </c>
      <c r="K72" s="23" t="inlineStr"/>
      <c r="L72" s="23" t="inlineStr"/>
      <c r="M72" s="23" t="inlineStr"/>
      <c r="N72" s="14" t="inlineStr">
        <is>
          <t>10 EVIDENCE &amp; DECISIONS</t>
        </is>
      </c>
    </row>
    <row r="73" ht="34" customHeight="1">
      <c r="A73" s="23" t="inlineStr">
        <is>
          <t>Contractor Programme</t>
        </is>
      </c>
      <c r="B73" s="23" t="inlineStr">
        <is>
          <t>SCH-01-089</t>
        </is>
      </c>
      <c r="C73" s="23" t="inlineStr">
        <is>
          <t>River crossing: track-slab survey - release</t>
        </is>
      </c>
      <c r="D73" s="23" t="inlineStr">
        <is>
          <t>WBS Code = 1.1.1</t>
        </is>
      </c>
      <c r="E73" s="23" t="inlineStr">
        <is>
          <t>R89-v2</t>
        </is>
      </c>
      <c r="F73" s="23" t="inlineStr">
        <is>
          <t>1.1.1 Guideway and Civil - Guideway Structures</t>
        </is>
      </c>
      <c r="G73" s="23" t="inlineStr">
        <is>
          <t>ONE_TO_ONE</t>
        </is>
      </c>
      <c r="H73" s="23" t="inlineStr">
        <is>
          <t>RETAINED</t>
        </is>
      </c>
      <c r="I73" s="23" t="inlineStr">
        <is>
          <t>Carried forward</t>
        </is>
      </c>
      <c r="J73" s="23" t="inlineStr">
        <is>
          <t>Source assignment -- not individually reviewed</t>
        </is>
      </c>
      <c r="K73" s="23" t="inlineStr"/>
      <c r="L73" s="23" t="inlineStr"/>
      <c r="M73" s="23" t="inlineStr"/>
      <c r="N73" s="14" t="inlineStr">
        <is>
          <t>10 EVIDENCE &amp; DECISIONS</t>
        </is>
      </c>
    </row>
    <row r="74" ht="34" customHeight="1">
      <c r="A74" s="23" t="inlineStr">
        <is>
          <t>Contractor Programme</t>
        </is>
      </c>
      <c r="B74" s="23" t="inlineStr">
        <is>
          <t>SCH-01-091</t>
        </is>
      </c>
      <c r="C74" s="23" t="inlineStr">
        <is>
          <t>West approach: guideway pier reinforcement - installation</t>
        </is>
      </c>
      <c r="D74" s="23" t="inlineStr">
        <is>
          <t>WBS Code = 1.1.1</t>
        </is>
      </c>
      <c r="E74" s="23" t="inlineStr">
        <is>
          <t>R91-v2</t>
        </is>
      </c>
      <c r="F74" s="23" t="inlineStr">
        <is>
          <t>1.1.1 Guideway and Civil - Guideway Structures</t>
        </is>
      </c>
      <c r="G74" s="23" t="inlineStr">
        <is>
          <t>ONE_TO_ONE</t>
        </is>
      </c>
      <c r="H74" s="23" t="inlineStr">
        <is>
          <t>RETAINED</t>
        </is>
      </c>
      <c r="I74" s="23" t="inlineStr">
        <is>
          <t>Carried forward</t>
        </is>
      </c>
      <c r="J74" s="23" t="inlineStr">
        <is>
          <t>Source assignment -- not individually reviewed</t>
        </is>
      </c>
      <c r="K74" s="23" t="inlineStr"/>
      <c r="L74" s="23" t="inlineStr"/>
      <c r="M74" s="23" t="inlineStr"/>
      <c r="N74" s="14" t="inlineStr">
        <is>
          <t>10 EVIDENCE &amp; DECISIONS</t>
        </is>
      </c>
    </row>
    <row r="75" ht="34" customHeight="1">
      <c r="A75" s="23" t="inlineStr">
        <is>
          <t>Contractor Programme</t>
        </is>
      </c>
      <c r="B75" s="23" t="inlineStr">
        <is>
          <t>SCH-01-092</t>
        </is>
      </c>
      <c r="C75" s="23" t="inlineStr">
        <is>
          <t>Depot lead: road restoration - inspection</t>
        </is>
      </c>
      <c r="D75" s="23" t="inlineStr">
        <is>
          <t>WBS Code = 1.1.1</t>
        </is>
      </c>
      <c r="E75" s="23" t="inlineStr">
        <is>
          <t>R92-v2</t>
        </is>
      </c>
      <c r="F75" s="23" t="inlineStr">
        <is>
          <t>1.1.1 Guideway and Civil - Guideway Structures</t>
        </is>
      </c>
      <c r="G75" s="23" t="inlineStr">
        <is>
          <t>ONE_TO_ONE</t>
        </is>
      </c>
      <c r="H75" s="23" t="inlineStr">
        <is>
          <t>RETAINED</t>
        </is>
      </c>
      <c r="I75" s="23" t="inlineStr">
        <is>
          <t>Carried forward</t>
        </is>
      </c>
      <c r="J75" s="23" t="inlineStr">
        <is>
          <t>Source assignment -- not individually reviewed</t>
        </is>
      </c>
      <c r="K75" s="23" t="inlineStr"/>
      <c r="L75" s="23" t="inlineStr"/>
      <c r="M75" s="23" t="inlineStr"/>
      <c r="N75" s="14" t="inlineStr">
        <is>
          <t>10 EVIDENCE &amp; DECISIONS</t>
        </is>
      </c>
    </row>
    <row r="76" ht="34" customHeight="1">
      <c r="A76" s="23" t="inlineStr">
        <is>
          <t>Contractor Programme</t>
        </is>
      </c>
      <c r="B76" s="23" t="inlineStr">
        <is>
          <t>SCH-01-094</t>
        </is>
      </c>
      <c r="C76" s="23" t="inlineStr">
        <is>
          <t>River crossing: retaining-wall excavation - release</t>
        </is>
      </c>
      <c r="D76" s="23" t="inlineStr">
        <is>
          <t>WBS Code = 1.1.1</t>
        </is>
      </c>
      <c r="E76" s="23" t="inlineStr">
        <is>
          <t>R94-v2</t>
        </is>
      </c>
      <c r="F76" s="23" t="inlineStr">
        <is>
          <t>1.1.1 Guideway and Civil - Guideway Structures</t>
        </is>
      </c>
      <c r="G76" s="23" t="inlineStr">
        <is>
          <t>ONE_TO_ONE</t>
        </is>
      </c>
      <c r="H76" s="23" t="inlineStr">
        <is>
          <t>RETAINED</t>
        </is>
      </c>
      <c r="I76" s="23" t="inlineStr">
        <is>
          <t>Carried forward</t>
        </is>
      </c>
      <c r="J76" s="23" t="inlineStr">
        <is>
          <t>Source assignment -- not individually reviewed</t>
        </is>
      </c>
      <c r="K76" s="23" t="inlineStr"/>
      <c r="L76" s="23" t="inlineStr"/>
      <c r="M76" s="23" t="inlineStr"/>
      <c r="N76" s="14" t="inlineStr">
        <is>
          <t>10 EVIDENCE &amp; DECISIONS</t>
        </is>
      </c>
    </row>
    <row r="77" ht="34" customHeight="1">
      <c r="A77" s="23" t="inlineStr">
        <is>
          <t>Contractor Programme</t>
        </is>
      </c>
      <c r="B77" s="23" t="inlineStr">
        <is>
          <t>SCH-01-095</t>
        </is>
      </c>
      <c r="C77" s="23" t="inlineStr">
        <is>
          <t>Central guideway: drainage tie-in - field start</t>
        </is>
      </c>
      <c r="D77" s="23" t="inlineStr">
        <is>
          <t>WBS Code = 1.1.1</t>
        </is>
      </c>
      <c r="E77" s="23" t="inlineStr">
        <is>
          <t>R95-v2</t>
        </is>
      </c>
      <c r="F77" s="23" t="inlineStr">
        <is>
          <t>1.1.1 Guideway and Civil - Guideway Structures</t>
        </is>
      </c>
      <c r="G77" s="23" t="inlineStr">
        <is>
          <t>ONE_TO_ONE</t>
        </is>
      </c>
      <c r="H77" s="23" t="inlineStr">
        <is>
          <t>RETAINED</t>
        </is>
      </c>
      <c r="I77" s="23" t="inlineStr">
        <is>
          <t>Carried forward</t>
        </is>
      </c>
      <c r="J77" s="23" t="inlineStr">
        <is>
          <t>Source assignment -- not individually reviewed</t>
        </is>
      </c>
      <c r="K77" s="23" t="inlineStr"/>
      <c r="L77" s="23" t="inlineStr"/>
      <c r="M77" s="23" t="inlineStr"/>
      <c r="N77" s="14" t="inlineStr">
        <is>
          <t>10 EVIDENCE &amp; DECISIONS</t>
        </is>
      </c>
    </row>
    <row r="78" ht="34" customHeight="1">
      <c r="A78" s="23" t="inlineStr">
        <is>
          <t>Contractor Programme</t>
        </is>
      </c>
      <c r="B78" s="23" t="inlineStr">
        <is>
          <t>SCH-01-097</t>
        </is>
      </c>
      <c r="C78" s="23" t="inlineStr">
        <is>
          <t>Depot lead: track-slab survey - inspection</t>
        </is>
      </c>
      <c r="D78" s="23" t="inlineStr">
        <is>
          <t>WBS Code = 1.1.1</t>
        </is>
      </c>
      <c r="E78" s="23" t="inlineStr">
        <is>
          <t>R97-v2</t>
        </is>
      </c>
      <c r="F78" s="23" t="inlineStr">
        <is>
          <t>1.1.1 Guideway and Civil - Guideway Structures</t>
        </is>
      </c>
      <c r="G78" s="23" t="inlineStr">
        <is>
          <t>ONE_TO_ONE</t>
        </is>
      </c>
      <c r="H78" s="23" t="inlineStr">
        <is>
          <t>RETAINED</t>
        </is>
      </c>
      <c r="I78" s="23" t="inlineStr">
        <is>
          <t>Carried forward</t>
        </is>
      </c>
      <c r="J78" s="23" t="inlineStr">
        <is>
          <t>Source assignment -- not individually reviewed</t>
        </is>
      </c>
      <c r="K78" s="23" t="inlineStr"/>
      <c r="L78" s="23" t="inlineStr"/>
      <c r="M78" s="23" t="inlineStr"/>
      <c r="N78" s="14" t="inlineStr">
        <is>
          <t>10 EVIDENCE &amp; DECISIONS</t>
        </is>
      </c>
    </row>
    <row r="79" ht="34" customHeight="1">
      <c r="A79" s="23" t="inlineStr">
        <is>
          <t>Contractor Programme</t>
        </is>
      </c>
      <c r="B79" s="23" t="inlineStr">
        <is>
          <t>SCH-01-098</t>
        </is>
      </c>
      <c r="C79" s="23" t="inlineStr">
        <is>
          <t>East portal: temporary traffic staging - turnover</t>
        </is>
      </c>
      <c r="D79" s="23" t="inlineStr">
        <is>
          <t>WBS Code = 1.1.1</t>
        </is>
      </c>
      <c r="E79" s="23" t="inlineStr">
        <is>
          <t>R98-v2</t>
        </is>
      </c>
      <c r="F79" s="23" t="inlineStr">
        <is>
          <t>1.1.1 Guideway and Civil - Guideway Structures</t>
        </is>
      </c>
      <c r="G79" s="23" t="inlineStr">
        <is>
          <t>ONE_TO_ONE</t>
        </is>
      </c>
      <c r="H79" s="23" t="inlineStr">
        <is>
          <t>RETAINED</t>
        </is>
      </c>
      <c r="I79" s="23" t="inlineStr">
        <is>
          <t>Carried forward</t>
        </is>
      </c>
      <c r="J79" s="23" t="inlineStr">
        <is>
          <t>Source assignment -- not individually reviewed</t>
        </is>
      </c>
      <c r="K79" s="23" t="inlineStr"/>
      <c r="L79" s="23" t="inlineStr"/>
      <c r="M79" s="23" t="inlineStr"/>
      <c r="N79" s="14" t="inlineStr">
        <is>
          <t>10 EVIDENCE &amp; DECISIONS</t>
        </is>
      </c>
    </row>
    <row r="80" ht="34" customHeight="1">
      <c r="A80" s="23" t="inlineStr">
        <is>
          <t>Contractor Programme</t>
        </is>
      </c>
      <c r="B80" s="23" t="inlineStr">
        <is>
          <t>SCH-01-100</t>
        </is>
      </c>
      <c r="C80" s="23" t="inlineStr">
        <is>
          <t>Central guideway: road restoration - field start</t>
        </is>
      </c>
      <c r="D80" s="23" t="inlineStr">
        <is>
          <t>WBS Code = 1.1.1</t>
        </is>
      </c>
      <c r="E80" s="23" t="inlineStr">
        <is>
          <t>R100-v2</t>
        </is>
      </c>
      <c r="F80" s="23" t="inlineStr">
        <is>
          <t>1.1.1 Guideway and Civil - Guideway Structures</t>
        </is>
      </c>
      <c r="G80" s="23" t="inlineStr">
        <is>
          <t>ONE_TO_ONE</t>
        </is>
      </c>
      <c r="H80" s="23" t="inlineStr">
        <is>
          <t>RETAINED</t>
        </is>
      </c>
      <c r="I80" s="23" t="inlineStr">
        <is>
          <t>Carried forward</t>
        </is>
      </c>
      <c r="J80" s="23" t="inlineStr">
        <is>
          <t>Source assignment -- not individually reviewed</t>
        </is>
      </c>
      <c r="K80" s="23" t="inlineStr"/>
      <c r="L80" s="23" t="inlineStr"/>
      <c r="M80" s="23" t="inlineStr"/>
      <c r="N80" s="14" t="inlineStr">
        <is>
          <t>10 EVIDENCE &amp; DECISIONS</t>
        </is>
      </c>
    </row>
    <row r="81" ht="34" customHeight="1">
      <c r="A81" s="23" t="inlineStr">
        <is>
          <t>Contractor Programme</t>
        </is>
      </c>
      <c r="B81" s="23" t="inlineStr">
        <is>
          <t>SCH-01-101</t>
        </is>
      </c>
      <c r="C81" s="23" t="inlineStr">
        <is>
          <t>West approach: drilled-shaft installation - installation</t>
        </is>
      </c>
      <c r="D81" s="23" t="inlineStr">
        <is>
          <t>WBS Code = 1.1.1</t>
        </is>
      </c>
      <c r="E81" s="23" t="inlineStr">
        <is>
          <t>R101-v2</t>
        </is>
      </c>
      <c r="F81" s="23" t="inlineStr">
        <is>
          <t>1.1.1 Guideway and Civil - Guideway Structures</t>
        </is>
      </c>
      <c r="G81" s="23" t="inlineStr">
        <is>
          <t>ONE_TO_ONE</t>
        </is>
      </c>
      <c r="H81" s="23" t="inlineStr">
        <is>
          <t>RETAINED</t>
        </is>
      </c>
      <c r="I81" s="23" t="inlineStr">
        <is>
          <t>Carried forward</t>
        </is>
      </c>
      <c r="J81" s="23" t="inlineStr">
        <is>
          <t>Source assignment -- not individually reviewed</t>
        </is>
      </c>
      <c r="K81" s="23" t="inlineStr"/>
      <c r="L81" s="23" t="inlineStr"/>
      <c r="M81" s="23" t="inlineStr"/>
      <c r="N81" s="14" t="inlineStr">
        <is>
          <t>10 EVIDENCE &amp; DECISIONS</t>
        </is>
      </c>
    </row>
    <row r="82" ht="34" customHeight="1">
      <c r="A82" s="23" t="inlineStr">
        <is>
          <t>Contractor Programme</t>
        </is>
      </c>
      <c r="B82" s="23" t="inlineStr">
        <is>
          <t>SCH-01-103</t>
        </is>
      </c>
      <c r="C82" s="23" t="inlineStr">
        <is>
          <t>East portal: drainage tie-in - turnover</t>
        </is>
      </c>
      <c r="D82" s="23" t="inlineStr">
        <is>
          <t>WBS Code = 1.1.1</t>
        </is>
      </c>
      <c r="E82" s="23" t="inlineStr">
        <is>
          <t>R103-v2</t>
        </is>
      </c>
      <c r="F82" s="23" t="inlineStr">
        <is>
          <t>1.1.1 Guideway and Civil - Guideway Structures</t>
        </is>
      </c>
      <c r="G82" s="23" t="inlineStr">
        <is>
          <t>ONE_TO_ONE</t>
        </is>
      </c>
      <c r="H82" s="23" t="inlineStr">
        <is>
          <t>RETAINED</t>
        </is>
      </c>
      <c r="I82" s="23" t="inlineStr">
        <is>
          <t>Carried forward</t>
        </is>
      </c>
      <c r="J82" s="23" t="inlineStr">
        <is>
          <t>Source assignment -- not individually reviewed</t>
        </is>
      </c>
      <c r="K82" s="23" t="inlineStr"/>
      <c r="L82" s="23" t="inlineStr"/>
      <c r="M82" s="23" t="inlineStr"/>
      <c r="N82" s="14" t="inlineStr">
        <is>
          <t>10 EVIDENCE &amp; DECISIONS</t>
        </is>
      </c>
    </row>
    <row r="83" ht="34" customHeight="1">
      <c r="A83" s="23" t="inlineStr">
        <is>
          <t>Contractor Programme</t>
        </is>
      </c>
      <c r="B83" s="23" t="inlineStr">
        <is>
          <t>SCH-01-104</t>
        </is>
      </c>
      <c r="C83" s="23" t="inlineStr">
        <is>
          <t>River crossing: utility relocation - release</t>
        </is>
      </c>
      <c r="D83" s="23" t="inlineStr">
        <is>
          <t>WBS Code = 1.1.1</t>
        </is>
      </c>
      <c r="E83" s="23" t="inlineStr">
        <is>
          <t>R104-v2</t>
        </is>
      </c>
      <c r="F83" s="23" t="inlineStr">
        <is>
          <t>1.1.1 Guideway and Civil - Guideway Structures</t>
        </is>
      </c>
      <c r="G83" s="23" t="inlineStr">
        <is>
          <t>ONE_TO_ONE</t>
        </is>
      </c>
      <c r="H83" s="23" t="inlineStr">
        <is>
          <t>RETAINED</t>
        </is>
      </c>
      <c r="I83" s="23" t="inlineStr">
        <is>
          <t>Carried forward</t>
        </is>
      </c>
      <c r="J83" s="23" t="inlineStr">
        <is>
          <t>Source assignment -- not individually reviewed</t>
        </is>
      </c>
      <c r="K83" s="23" t="inlineStr"/>
      <c r="L83" s="23" t="inlineStr"/>
      <c r="M83" s="23" t="inlineStr"/>
      <c r="N83" s="14" t="inlineStr">
        <is>
          <t>10 EVIDENCE &amp; DECISIONS</t>
        </is>
      </c>
    </row>
    <row r="84" ht="34" customHeight="1">
      <c r="A84" s="23" t="inlineStr">
        <is>
          <t>Contractor Programme</t>
        </is>
      </c>
      <c r="B84" s="23" t="inlineStr">
        <is>
          <t>SCH-01-106</t>
        </is>
      </c>
      <c r="C84" s="23" t="inlineStr">
        <is>
          <t>West approach: temporary traffic staging - installation</t>
        </is>
      </c>
      <c r="D84" s="23" t="inlineStr">
        <is>
          <t>WBS Code = 1.1.1</t>
        </is>
      </c>
      <c r="E84" s="23" t="inlineStr">
        <is>
          <t>R106-v2</t>
        </is>
      </c>
      <c r="F84" s="23" t="inlineStr">
        <is>
          <t>1.1.1 Guideway and Civil - Guideway Structures</t>
        </is>
      </c>
      <c r="G84" s="23" t="inlineStr">
        <is>
          <t>ONE_TO_ONE</t>
        </is>
      </c>
      <c r="H84" s="23" t="inlineStr">
        <is>
          <t>RETAINED</t>
        </is>
      </c>
      <c r="I84" s="23" t="inlineStr">
        <is>
          <t>Carried forward</t>
        </is>
      </c>
      <c r="J84" s="23" t="inlineStr">
        <is>
          <t>Source assignment -- not individually reviewed</t>
        </is>
      </c>
      <c r="K84" s="23" t="inlineStr"/>
      <c r="L84" s="23" t="inlineStr"/>
      <c r="M84" s="23" t="inlineStr"/>
      <c r="N84" s="14" t="inlineStr">
        <is>
          <t>10 EVIDENCE &amp; DECISIONS</t>
        </is>
      </c>
    </row>
    <row r="85" ht="34" customHeight="1">
      <c r="A85" s="23" t="inlineStr">
        <is>
          <t>Contractor Programme</t>
        </is>
      </c>
      <c r="B85" s="23" t="inlineStr">
        <is>
          <t>SCH-01-107</t>
        </is>
      </c>
      <c r="C85" s="23" t="inlineStr">
        <is>
          <t>Depot lead: guideway pier reinforcement - inspection</t>
        </is>
      </c>
      <c r="D85" s="23" t="inlineStr">
        <is>
          <t>WBS Code = 1.1.1</t>
        </is>
      </c>
      <c r="E85" s="23" t="inlineStr">
        <is>
          <t>R107-v2</t>
        </is>
      </c>
      <c r="F85" s="23" t="inlineStr">
        <is>
          <t>1.1.1 Guideway and Civil - Guideway Structures</t>
        </is>
      </c>
      <c r="G85" s="23" t="inlineStr">
        <is>
          <t>ONE_TO_ONE</t>
        </is>
      </c>
      <c r="H85" s="23" t="inlineStr">
        <is>
          <t>RETAINED</t>
        </is>
      </c>
      <c r="I85" s="23" t="inlineStr">
        <is>
          <t>Carried forward</t>
        </is>
      </c>
      <c r="J85" s="23" t="inlineStr">
        <is>
          <t>Source assignment -- not individually reviewed</t>
        </is>
      </c>
      <c r="K85" s="23" t="inlineStr"/>
      <c r="L85" s="23" t="inlineStr"/>
      <c r="M85" s="23" t="inlineStr"/>
      <c r="N85" s="14" t="inlineStr">
        <is>
          <t>10 EVIDENCE &amp; DECISIONS</t>
        </is>
      </c>
    </row>
    <row r="86" ht="34" customHeight="1">
      <c r="A86" s="23" t="inlineStr">
        <is>
          <t>Contractor Programme</t>
        </is>
      </c>
      <c r="B86" s="23" t="inlineStr">
        <is>
          <t>SCH-01-109</t>
        </is>
      </c>
      <c r="C86" s="23" t="inlineStr">
        <is>
          <t>River crossing: drilled-shaft installation - release</t>
        </is>
      </c>
      <c r="D86" s="23" t="inlineStr">
        <is>
          <t>WBS Code = 1.1.1</t>
        </is>
      </c>
      <c r="E86" s="23" t="inlineStr">
        <is>
          <t>R109-v2</t>
        </is>
      </c>
      <c r="F86" s="23" t="inlineStr">
        <is>
          <t>1.1.1 Guideway and Civil - Guideway Structures</t>
        </is>
      </c>
      <c r="G86" s="23" t="inlineStr">
        <is>
          <t>ONE_TO_ONE</t>
        </is>
      </c>
      <c r="H86" s="23" t="inlineStr">
        <is>
          <t>RETAINED</t>
        </is>
      </c>
      <c r="I86" s="23" t="inlineStr">
        <is>
          <t>Carried forward</t>
        </is>
      </c>
      <c r="J86" s="23" t="inlineStr">
        <is>
          <t>Source assignment -- not individually reviewed</t>
        </is>
      </c>
      <c r="K86" s="23" t="inlineStr"/>
      <c r="L86" s="23" t="inlineStr"/>
      <c r="M86" s="23" t="inlineStr"/>
      <c r="N86" s="14" t="inlineStr">
        <is>
          <t>10 EVIDENCE &amp; DECISIONS</t>
        </is>
      </c>
    </row>
    <row r="87" ht="34" customHeight="1">
      <c r="A87" s="23" t="inlineStr">
        <is>
          <t>Contractor Programme</t>
        </is>
      </c>
      <c r="B87" s="23" t="inlineStr">
        <is>
          <t>SCH-01-110</t>
        </is>
      </c>
      <c r="C87" s="23" t="inlineStr">
        <is>
          <t>Central guideway: retaining-wall excavation - field start</t>
        </is>
      </c>
      <c r="D87" s="23" t="inlineStr">
        <is>
          <t>WBS Code = 1.1.1</t>
        </is>
      </c>
      <c r="E87" s="23" t="inlineStr">
        <is>
          <t>R110-v2</t>
        </is>
      </c>
      <c r="F87" s="23" t="inlineStr">
        <is>
          <t>1.1.1 Guideway and Civil - Guideway Structures</t>
        </is>
      </c>
      <c r="G87" s="23" t="inlineStr">
        <is>
          <t>ONE_TO_ONE</t>
        </is>
      </c>
      <c r="H87" s="23" t="inlineStr">
        <is>
          <t>RETAINED</t>
        </is>
      </c>
      <c r="I87" s="23" t="inlineStr">
        <is>
          <t>Carried forward</t>
        </is>
      </c>
      <c r="J87" s="23" t="inlineStr">
        <is>
          <t>Source assignment -- not individually reviewed</t>
        </is>
      </c>
      <c r="K87" s="23" t="inlineStr"/>
      <c r="L87" s="23" t="inlineStr"/>
      <c r="M87" s="23" t="inlineStr"/>
      <c r="N87" s="14" t="inlineStr">
        <is>
          <t>10 EVIDENCE &amp; DECISIONS</t>
        </is>
      </c>
    </row>
    <row r="88" ht="34" customHeight="1">
      <c r="A88" s="23" t="inlineStr">
        <is>
          <t>Contractor Programme</t>
        </is>
      </c>
      <c r="B88" s="23" t="inlineStr">
        <is>
          <t>SCH-01-112</t>
        </is>
      </c>
      <c r="C88" s="23" t="inlineStr">
        <is>
          <t>Depot lead: utility relocation - inspection</t>
        </is>
      </c>
      <c r="D88" s="23" t="inlineStr">
        <is>
          <t>WBS Code = 1.1.1</t>
        </is>
      </c>
      <c r="E88" s="23" t="inlineStr">
        <is>
          <t>R112-v2</t>
        </is>
      </c>
      <c r="F88" s="23" t="inlineStr">
        <is>
          <t>1.1.1 Guideway and Civil - Guideway Structures</t>
        </is>
      </c>
      <c r="G88" s="23" t="inlineStr">
        <is>
          <t>ONE_TO_ONE</t>
        </is>
      </c>
      <c r="H88" s="23" t="inlineStr">
        <is>
          <t>RETAINED</t>
        </is>
      </c>
      <c r="I88" s="23" t="inlineStr">
        <is>
          <t>Carried forward</t>
        </is>
      </c>
      <c r="J88" s="23" t="inlineStr">
        <is>
          <t>Source assignment -- not individually reviewed</t>
        </is>
      </c>
      <c r="K88" s="23" t="inlineStr"/>
      <c r="L88" s="23" t="inlineStr"/>
      <c r="M88" s="23" t="inlineStr"/>
      <c r="N88" s="14" t="inlineStr">
        <is>
          <t>10 EVIDENCE &amp; DECISIONS</t>
        </is>
      </c>
    </row>
    <row r="89" ht="34" customHeight="1">
      <c r="A89" s="23" t="inlineStr">
        <is>
          <t>Contractor Programme</t>
        </is>
      </c>
      <c r="B89" s="23" t="inlineStr">
        <is>
          <t>SCH-01-113</t>
        </is>
      </c>
      <c r="C89" s="23" t="inlineStr">
        <is>
          <t>East portal: track-slab survey - turnover</t>
        </is>
      </c>
      <c r="D89" s="23" t="inlineStr">
        <is>
          <t>WBS Code = 1.1.1</t>
        </is>
      </c>
      <c r="E89" s="23" t="inlineStr">
        <is>
          <t>R113-v2</t>
        </is>
      </c>
      <c r="F89" s="23" t="inlineStr">
        <is>
          <t>1.1.1 Guideway and Civil - Guideway Structures</t>
        </is>
      </c>
      <c r="G89" s="23" t="inlineStr">
        <is>
          <t>ONE_TO_ONE</t>
        </is>
      </c>
      <c r="H89" s="23" t="inlineStr">
        <is>
          <t>RETAINED</t>
        </is>
      </c>
      <c r="I89" s="23" t="inlineStr">
        <is>
          <t>Carried forward</t>
        </is>
      </c>
      <c r="J89" s="23" t="inlineStr">
        <is>
          <t>Source assignment -- not individually reviewed</t>
        </is>
      </c>
      <c r="K89" s="23" t="inlineStr"/>
      <c r="L89" s="23" t="inlineStr"/>
      <c r="M89" s="23" t="inlineStr"/>
      <c r="N89" s="14" t="inlineStr">
        <is>
          <t>10 EVIDENCE &amp; DECISIONS</t>
        </is>
      </c>
    </row>
    <row r="90" ht="34" customHeight="1">
      <c r="A90" s="23" t="inlineStr">
        <is>
          <t>Contractor Programme</t>
        </is>
      </c>
      <c r="B90" s="23" t="inlineStr">
        <is>
          <t>SCH-01-115</t>
        </is>
      </c>
      <c r="C90" s="23" t="inlineStr">
        <is>
          <t>Central guideway: guideway pier reinforcement - field start</t>
        </is>
      </c>
      <c r="D90" s="23" t="inlineStr">
        <is>
          <t>WBS Code = 1.1.1</t>
        </is>
      </c>
      <c r="E90" s="23" t="inlineStr">
        <is>
          <t>R115-v2</t>
        </is>
      </c>
      <c r="F90" s="23" t="inlineStr">
        <is>
          <t>1.1.1 Guideway and Civil - Guideway Structures</t>
        </is>
      </c>
      <c r="G90" s="23" t="inlineStr">
        <is>
          <t>ONE_TO_ONE</t>
        </is>
      </c>
      <c r="H90" s="23" t="inlineStr">
        <is>
          <t>RETAINED</t>
        </is>
      </c>
      <c r="I90" s="23" t="inlineStr">
        <is>
          <t>Carried forward</t>
        </is>
      </c>
      <c r="J90" s="23" t="inlineStr">
        <is>
          <t>Source assignment -- not individually reviewed</t>
        </is>
      </c>
      <c r="K90" s="23" t="inlineStr"/>
      <c r="L90" s="23" t="inlineStr"/>
      <c r="M90" s="23" t="inlineStr"/>
      <c r="N90" s="14" t="inlineStr">
        <is>
          <t>10 EVIDENCE &amp; DECISIONS</t>
        </is>
      </c>
    </row>
    <row r="91" ht="34" customHeight="1">
      <c r="A91" s="23" t="inlineStr">
        <is>
          <t>Contractor Programme</t>
        </is>
      </c>
      <c r="B91" s="23" t="inlineStr">
        <is>
          <t>SCH-01-116</t>
        </is>
      </c>
      <c r="C91" s="23" t="inlineStr">
        <is>
          <t>West approach: road restoration - installation</t>
        </is>
      </c>
      <c r="D91" s="23" t="inlineStr">
        <is>
          <t>WBS Code = 1.1.1</t>
        </is>
      </c>
      <c r="E91" s="23" t="inlineStr">
        <is>
          <t>R116-v2</t>
        </is>
      </c>
      <c r="F91" s="23" t="inlineStr">
        <is>
          <t>1.1.1 Guideway and Civil - Guideway Structures</t>
        </is>
      </c>
      <c r="G91" s="23" t="inlineStr">
        <is>
          <t>ONE_TO_ONE</t>
        </is>
      </c>
      <c r="H91" s="23" t="inlineStr">
        <is>
          <t>RETAINED</t>
        </is>
      </c>
      <c r="I91" s="23" t="inlineStr">
        <is>
          <t>Carried forward</t>
        </is>
      </c>
      <c r="J91" s="23" t="inlineStr">
        <is>
          <t>Source assignment -- not individually reviewed</t>
        </is>
      </c>
      <c r="K91" s="23" t="inlineStr"/>
      <c r="L91" s="23" t="inlineStr"/>
      <c r="M91" s="23" t="inlineStr"/>
      <c r="N91" s="14" t="inlineStr">
        <is>
          <t>10 EVIDENCE &amp; DECISIONS</t>
        </is>
      </c>
    </row>
    <row r="92" ht="34" customHeight="1">
      <c r="A92" s="23" t="inlineStr">
        <is>
          <t>Contractor Programme</t>
        </is>
      </c>
      <c r="B92" s="23" t="inlineStr">
        <is>
          <t>SCH-01-118</t>
        </is>
      </c>
      <c r="C92" s="23" t="inlineStr">
        <is>
          <t>East portal: retaining-wall excavation - turnover</t>
        </is>
      </c>
      <c r="D92" s="23" t="inlineStr">
        <is>
          <t>WBS Code = 1.1.1</t>
        </is>
      </c>
      <c r="E92" s="23" t="inlineStr">
        <is>
          <t>R118-v2</t>
        </is>
      </c>
      <c r="F92" s="23" t="inlineStr">
        <is>
          <t>1.1.1 Guideway and Civil - Guideway Structures</t>
        </is>
      </c>
      <c r="G92" s="23" t="inlineStr">
        <is>
          <t>ONE_TO_ONE</t>
        </is>
      </c>
      <c r="H92" s="23" t="inlineStr">
        <is>
          <t>RETAINED</t>
        </is>
      </c>
      <c r="I92" s="23" t="inlineStr">
        <is>
          <t>Carried forward</t>
        </is>
      </c>
      <c r="J92" s="23" t="inlineStr">
        <is>
          <t>Source assignment -- not individually reviewed</t>
        </is>
      </c>
      <c r="K92" s="23" t="inlineStr"/>
      <c r="L92" s="23" t="inlineStr"/>
      <c r="M92" s="23" t="inlineStr"/>
      <c r="N92" s="14" t="inlineStr">
        <is>
          <t>10 EVIDENCE &amp; DECISIONS</t>
        </is>
      </c>
    </row>
    <row r="93" ht="34" customHeight="1">
      <c r="A93" s="23" t="inlineStr">
        <is>
          <t>Contractor Programme</t>
        </is>
      </c>
      <c r="B93" s="23" t="inlineStr">
        <is>
          <t>SCH-01-119</t>
        </is>
      </c>
      <c r="C93" s="23" t="inlineStr">
        <is>
          <t>River crossing: drainage tie-in - release</t>
        </is>
      </c>
      <c r="D93" s="23" t="inlineStr">
        <is>
          <t>WBS Code = 1.1.1</t>
        </is>
      </c>
      <c r="E93" s="23" t="inlineStr">
        <is>
          <t>R119-v2</t>
        </is>
      </c>
      <c r="F93" s="23" t="inlineStr">
        <is>
          <t>1.1.1 Guideway and Civil - Guideway Structures</t>
        </is>
      </c>
      <c r="G93" s="23" t="inlineStr">
        <is>
          <t>ONE_TO_ONE</t>
        </is>
      </c>
      <c r="H93" s="23" t="inlineStr">
        <is>
          <t>RETAINED</t>
        </is>
      </c>
      <c r="I93" s="23" t="inlineStr">
        <is>
          <t>Carried forward</t>
        </is>
      </c>
      <c r="J93" s="23" t="inlineStr">
        <is>
          <t>Source assignment -- not individually reviewed</t>
        </is>
      </c>
      <c r="K93" s="23" t="inlineStr"/>
      <c r="L93" s="23" t="inlineStr"/>
      <c r="M93" s="23" t="inlineStr"/>
      <c r="N93" s="14" t="inlineStr">
        <is>
          <t>10 EVIDENCE &amp; DECISIONS</t>
        </is>
      </c>
    </row>
    <row r="94" ht="34" customHeight="1">
      <c r="A94" s="23" t="inlineStr">
        <is>
          <t>Contractor Programme</t>
        </is>
      </c>
      <c r="B94" s="23" t="inlineStr">
        <is>
          <t>SCH-01-121</t>
        </is>
      </c>
      <c r="C94" s="23" t="inlineStr">
        <is>
          <t>West approach: track-slab survey - installation</t>
        </is>
      </c>
      <c r="D94" s="23" t="inlineStr">
        <is>
          <t>WBS Code = 1.1.1</t>
        </is>
      </c>
      <c r="E94" s="23" t="inlineStr">
        <is>
          <t>R121-v2</t>
        </is>
      </c>
      <c r="F94" s="23" t="inlineStr">
        <is>
          <t>1.1.1 Guideway and Civil - Guideway Structures</t>
        </is>
      </c>
      <c r="G94" s="23" t="inlineStr">
        <is>
          <t>ONE_TO_ONE</t>
        </is>
      </c>
      <c r="H94" s="23" t="inlineStr">
        <is>
          <t>RETAINED</t>
        </is>
      </c>
      <c r="I94" s="23" t="inlineStr">
        <is>
          <t>Carried forward</t>
        </is>
      </c>
      <c r="J94" s="23" t="inlineStr">
        <is>
          <t>Source assignment -- not individually reviewed</t>
        </is>
      </c>
      <c r="K94" s="23" t="inlineStr"/>
      <c r="L94" s="23" t="inlineStr"/>
      <c r="M94" s="23" t="inlineStr"/>
      <c r="N94" s="14" t="inlineStr">
        <is>
          <t>10 EVIDENCE &amp; DECISIONS</t>
        </is>
      </c>
    </row>
    <row r="95" ht="34" customHeight="1">
      <c r="A95" s="23" t="inlineStr">
        <is>
          <t>Contractor Programme</t>
        </is>
      </c>
      <c r="B95" s="23" t="inlineStr">
        <is>
          <t>SCH-01-122</t>
        </is>
      </c>
      <c r="C95" s="23" t="inlineStr">
        <is>
          <t>Depot lead: temporary traffic staging - inspection</t>
        </is>
      </c>
      <c r="D95" s="23" t="inlineStr">
        <is>
          <t>WBS Code = 1.1.1</t>
        </is>
      </c>
      <c r="E95" s="23" t="inlineStr">
        <is>
          <t>R122-v2</t>
        </is>
      </c>
      <c r="F95" s="23" t="inlineStr">
        <is>
          <t>1.1.1 Guideway and Civil - Guideway Structures</t>
        </is>
      </c>
      <c r="G95" s="23" t="inlineStr">
        <is>
          <t>ONE_TO_ONE</t>
        </is>
      </c>
      <c r="H95" s="23" t="inlineStr">
        <is>
          <t>RETAINED</t>
        </is>
      </c>
      <c r="I95" s="23" t="inlineStr">
        <is>
          <t>Carried forward</t>
        </is>
      </c>
      <c r="J95" s="23" t="inlineStr">
        <is>
          <t>Source assignment -- not individually reviewed</t>
        </is>
      </c>
      <c r="K95" s="23" t="inlineStr"/>
      <c r="L95" s="23" t="inlineStr"/>
      <c r="M95" s="23" t="inlineStr"/>
      <c r="N95" s="14" t="inlineStr">
        <is>
          <t>10 EVIDENCE &amp; DECISIONS</t>
        </is>
      </c>
    </row>
    <row r="96" ht="34" customHeight="1">
      <c r="A96" s="23" t="inlineStr">
        <is>
          <t>Contractor Programme</t>
        </is>
      </c>
      <c r="B96" s="23" t="inlineStr">
        <is>
          <t>SCH-01-124</t>
        </is>
      </c>
      <c r="C96" s="23" t="inlineStr">
        <is>
          <t>River crossing: road restoration - release</t>
        </is>
      </c>
      <c r="D96" s="23" t="inlineStr">
        <is>
          <t>WBS Code = 1.1.1</t>
        </is>
      </c>
      <c r="E96" s="23" t="inlineStr">
        <is>
          <t>R124-v2</t>
        </is>
      </c>
      <c r="F96" s="23" t="inlineStr">
        <is>
          <t>1.1.1 Guideway and Civil - Guideway Structures</t>
        </is>
      </c>
      <c r="G96" s="23" t="inlineStr">
        <is>
          <t>ONE_TO_ONE</t>
        </is>
      </c>
      <c r="H96" s="23" t="inlineStr">
        <is>
          <t>RETAINED</t>
        </is>
      </c>
      <c r="I96" s="23" t="inlineStr">
        <is>
          <t>Carried forward</t>
        </is>
      </c>
      <c r="J96" s="23" t="inlineStr">
        <is>
          <t>Source assignment -- not individually reviewed</t>
        </is>
      </c>
      <c r="K96" s="23" t="inlineStr"/>
      <c r="L96" s="23" t="inlineStr"/>
      <c r="M96" s="23" t="inlineStr"/>
      <c r="N96" s="14" t="inlineStr">
        <is>
          <t>10 EVIDENCE &amp; DECISIONS</t>
        </is>
      </c>
    </row>
    <row r="97" ht="34" customHeight="1">
      <c r="A97" s="23" t="inlineStr">
        <is>
          <t>Contractor Programme</t>
        </is>
      </c>
      <c r="B97" s="23" t="inlineStr">
        <is>
          <t>SCH-01-125</t>
        </is>
      </c>
      <c r="C97" s="23" t="inlineStr">
        <is>
          <t>Central guideway: drilled-shaft installation - field start</t>
        </is>
      </c>
      <c r="D97" s="23" t="inlineStr">
        <is>
          <t>WBS Code = 1.1.1</t>
        </is>
      </c>
      <c r="E97" s="23" t="inlineStr">
        <is>
          <t>R125-v2</t>
        </is>
      </c>
      <c r="F97" s="23" t="inlineStr">
        <is>
          <t>1.1.1 Guideway and Civil - Guideway Structures</t>
        </is>
      </c>
      <c r="G97" s="23" t="inlineStr">
        <is>
          <t>ONE_TO_ONE</t>
        </is>
      </c>
      <c r="H97" s="23" t="inlineStr">
        <is>
          <t>RETAINED</t>
        </is>
      </c>
      <c r="I97" s="23" t="inlineStr">
        <is>
          <t>Carried forward</t>
        </is>
      </c>
      <c r="J97" s="23" t="inlineStr">
        <is>
          <t>Source assignment -- not individually reviewed</t>
        </is>
      </c>
      <c r="K97" s="23" t="inlineStr"/>
      <c r="L97" s="23" t="inlineStr"/>
      <c r="M97" s="23" t="inlineStr"/>
      <c r="N97" s="14" t="inlineStr">
        <is>
          <t>10 EVIDENCE &amp; DECISIONS</t>
        </is>
      </c>
    </row>
    <row r="98" ht="34" customHeight="1">
      <c r="A98" s="23" t="inlineStr">
        <is>
          <t>Contractor Programme</t>
        </is>
      </c>
      <c r="B98" s="23" t="inlineStr">
        <is>
          <t>SCH-01-127</t>
        </is>
      </c>
      <c r="C98" s="23" t="inlineStr">
        <is>
          <t>Depot lead: drainage tie-in - inspection</t>
        </is>
      </c>
      <c r="D98" s="23" t="inlineStr">
        <is>
          <t>WBS Code = 1.1.1</t>
        </is>
      </c>
      <c r="E98" s="23" t="inlineStr">
        <is>
          <t>R127-v2</t>
        </is>
      </c>
      <c r="F98" s="23" t="inlineStr">
        <is>
          <t>1.1.1 Guideway and Civil - Guideway Structures</t>
        </is>
      </c>
      <c r="G98" s="23" t="inlineStr">
        <is>
          <t>ONE_TO_ONE</t>
        </is>
      </c>
      <c r="H98" s="23" t="inlineStr">
        <is>
          <t>RETAINED</t>
        </is>
      </c>
      <c r="I98" s="23" t="inlineStr">
        <is>
          <t>Carried forward</t>
        </is>
      </c>
      <c r="J98" s="23" t="inlineStr">
        <is>
          <t>Source assignment -- not individually reviewed</t>
        </is>
      </c>
      <c r="K98" s="23" t="inlineStr"/>
      <c r="L98" s="23" t="inlineStr"/>
      <c r="M98" s="23" t="inlineStr"/>
      <c r="N98" s="14" t="inlineStr">
        <is>
          <t>10 EVIDENCE &amp; DECISIONS</t>
        </is>
      </c>
    </row>
    <row r="99" ht="34" customHeight="1">
      <c r="A99" s="23" t="inlineStr">
        <is>
          <t>Contractor Programme</t>
        </is>
      </c>
      <c r="B99" s="23" t="inlineStr">
        <is>
          <t>SCH-01-128</t>
        </is>
      </c>
      <c r="C99" s="23" t="inlineStr">
        <is>
          <t>East portal: utility relocation - turnover</t>
        </is>
      </c>
      <c r="D99" s="23" t="inlineStr">
        <is>
          <t>WBS Code = 1.1.1</t>
        </is>
      </c>
      <c r="E99" s="23" t="inlineStr">
        <is>
          <t>R128-v2</t>
        </is>
      </c>
      <c r="F99" s="23" t="inlineStr">
        <is>
          <t>1.1.1 Guideway and Civil - Guideway Structures</t>
        </is>
      </c>
      <c r="G99" s="23" t="inlineStr">
        <is>
          <t>ONE_TO_ONE</t>
        </is>
      </c>
      <c r="H99" s="23" t="inlineStr">
        <is>
          <t>RETAINED</t>
        </is>
      </c>
      <c r="I99" s="23" t="inlineStr">
        <is>
          <t>Carried forward</t>
        </is>
      </c>
      <c r="J99" s="23" t="inlineStr">
        <is>
          <t>Source assignment -- not individually reviewed</t>
        </is>
      </c>
      <c r="K99" s="23" t="inlineStr"/>
      <c r="L99" s="23" t="inlineStr"/>
      <c r="M99" s="23" t="inlineStr"/>
      <c r="N99" s="14" t="inlineStr">
        <is>
          <t>10 EVIDENCE &amp; DECISIONS</t>
        </is>
      </c>
    </row>
    <row r="100" ht="34" customHeight="1">
      <c r="A100" s="23" t="inlineStr">
        <is>
          <t>Contractor Programme</t>
        </is>
      </c>
      <c r="B100" s="23" t="inlineStr">
        <is>
          <t>SCH-01-130</t>
        </is>
      </c>
      <c r="C100" s="23" t="inlineStr">
        <is>
          <t>Central guideway: temporary traffic staging - field start</t>
        </is>
      </c>
      <c r="D100" s="23" t="inlineStr">
        <is>
          <t>WBS Code = 1.1.1</t>
        </is>
      </c>
      <c r="E100" s="23" t="inlineStr">
        <is>
          <t>R130-v2</t>
        </is>
      </c>
      <c r="F100" s="23" t="inlineStr">
        <is>
          <t>1.1.1 Guideway and Civil - Guideway Structures</t>
        </is>
      </c>
      <c r="G100" s="23" t="inlineStr">
        <is>
          <t>ONE_TO_ONE</t>
        </is>
      </c>
      <c r="H100" s="23" t="inlineStr">
        <is>
          <t>RETAINED</t>
        </is>
      </c>
      <c r="I100" s="23" t="inlineStr">
        <is>
          <t>Carried forward</t>
        </is>
      </c>
      <c r="J100" s="23" t="inlineStr">
        <is>
          <t>Source assignment -- not individually reviewed</t>
        </is>
      </c>
      <c r="K100" s="23" t="inlineStr"/>
      <c r="L100" s="23" t="inlineStr"/>
      <c r="M100" s="23" t="inlineStr"/>
      <c r="N100" s="14" t="inlineStr">
        <is>
          <t>10 EVIDENCE &amp; DECISIONS</t>
        </is>
      </c>
    </row>
    <row r="101" ht="34" customHeight="1">
      <c r="A101" s="23" t="inlineStr">
        <is>
          <t>Contractor Programme</t>
        </is>
      </c>
      <c r="B101" s="23" t="inlineStr">
        <is>
          <t>SCH-01-131</t>
        </is>
      </c>
      <c r="C101" s="23" t="inlineStr">
        <is>
          <t>West approach: guideway pier reinforcement - installation</t>
        </is>
      </c>
      <c r="D101" s="23" t="inlineStr">
        <is>
          <t>WBS Code = 1.1.1</t>
        </is>
      </c>
      <c r="E101" s="23" t="inlineStr">
        <is>
          <t>R131-v2</t>
        </is>
      </c>
      <c r="F101" s="23" t="inlineStr">
        <is>
          <t>1.1.1 Guideway and Civil - Guideway Structures</t>
        </is>
      </c>
      <c r="G101" s="23" t="inlineStr">
        <is>
          <t>ONE_TO_ONE</t>
        </is>
      </c>
      <c r="H101" s="23" t="inlineStr">
        <is>
          <t>RETAINED</t>
        </is>
      </c>
      <c r="I101" s="23" t="inlineStr">
        <is>
          <t>Carried forward</t>
        </is>
      </c>
      <c r="J101" s="23" t="inlineStr">
        <is>
          <t>Source assignment -- not individually reviewed</t>
        </is>
      </c>
      <c r="K101" s="23" t="inlineStr"/>
      <c r="L101" s="23" t="inlineStr"/>
      <c r="M101" s="23" t="inlineStr"/>
      <c r="N101" s="14" t="inlineStr">
        <is>
          <t>10 EVIDENCE &amp; DECISIONS</t>
        </is>
      </c>
    </row>
    <row r="102" ht="34" customHeight="1">
      <c r="A102" s="23" t="inlineStr">
        <is>
          <t>Contractor Programme</t>
        </is>
      </c>
      <c r="B102" s="23" t="inlineStr">
        <is>
          <t>SCH-01-133</t>
        </is>
      </c>
      <c r="C102" s="23" t="inlineStr">
        <is>
          <t>East portal: drilled-shaft installation - turnover</t>
        </is>
      </c>
      <c r="D102" s="23" t="inlineStr">
        <is>
          <t>WBS Code = 1.1.1</t>
        </is>
      </c>
      <c r="E102" s="23" t="inlineStr">
        <is>
          <t>R133-v2</t>
        </is>
      </c>
      <c r="F102" s="23" t="inlineStr">
        <is>
          <t>1.1.1 Guideway and Civil - Guideway Structures</t>
        </is>
      </c>
      <c r="G102" s="23" t="inlineStr">
        <is>
          <t>ONE_TO_ONE</t>
        </is>
      </c>
      <c r="H102" s="23" t="inlineStr">
        <is>
          <t>RETAINED</t>
        </is>
      </c>
      <c r="I102" s="23" t="inlineStr">
        <is>
          <t>Carried forward</t>
        </is>
      </c>
      <c r="J102" s="23" t="inlineStr">
        <is>
          <t>Source assignment -- not individually reviewed</t>
        </is>
      </c>
      <c r="K102" s="23" t="inlineStr"/>
      <c r="L102" s="23" t="inlineStr"/>
      <c r="M102" s="23" t="inlineStr"/>
      <c r="N102" s="14" t="inlineStr">
        <is>
          <t>10 EVIDENCE &amp; DECISIONS</t>
        </is>
      </c>
    </row>
    <row r="103" ht="34" customHeight="1">
      <c r="A103" s="23" t="inlineStr">
        <is>
          <t>Contractor Programme</t>
        </is>
      </c>
      <c r="B103" s="23" t="inlineStr">
        <is>
          <t>SCH-01-134</t>
        </is>
      </c>
      <c r="C103" s="23" t="inlineStr">
        <is>
          <t>River crossing: retaining-wall excavation - release</t>
        </is>
      </c>
      <c r="D103" s="23" t="inlineStr">
        <is>
          <t>WBS Code = 1.1.1</t>
        </is>
      </c>
      <c r="E103" s="23" t="inlineStr">
        <is>
          <t>R134-v2</t>
        </is>
      </c>
      <c r="F103" s="23" t="inlineStr">
        <is>
          <t>1.1.1 Guideway and Civil - Guideway Structures</t>
        </is>
      </c>
      <c r="G103" s="23" t="inlineStr">
        <is>
          <t>ONE_TO_ONE</t>
        </is>
      </c>
      <c r="H103" s="23" t="inlineStr">
        <is>
          <t>RETAINED</t>
        </is>
      </c>
      <c r="I103" s="23" t="inlineStr">
        <is>
          <t>Carried forward</t>
        </is>
      </c>
      <c r="J103" s="23" t="inlineStr">
        <is>
          <t>Source assignment -- not individually reviewed</t>
        </is>
      </c>
      <c r="K103" s="23" t="inlineStr"/>
      <c r="L103" s="23" t="inlineStr"/>
      <c r="M103" s="23" t="inlineStr"/>
      <c r="N103" s="14" t="inlineStr">
        <is>
          <t>10 EVIDENCE &amp; DECISIONS</t>
        </is>
      </c>
    </row>
    <row r="104" ht="34" customHeight="1">
      <c r="A104" s="23" t="inlineStr">
        <is>
          <t>Contractor Programme</t>
        </is>
      </c>
      <c r="B104" s="23" t="inlineStr">
        <is>
          <t>SCH-01-136</t>
        </is>
      </c>
      <c r="C104" s="23" t="inlineStr">
        <is>
          <t>West approach: utility relocation - installation</t>
        </is>
      </c>
      <c r="D104" s="23" t="inlineStr">
        <is>
          <t>WBS Code = 1.1.1</t>
        </is>
      </c>
      <c r="E104" s="23" t="inlineStr">
        <is>
          <t>R136-v2</t>
        </is>
      </c>
      <c r="F104" s="23" t="inlineStr">
        <is>
          <t>1.1.1 Guideway and Civil - Guideway Structures</t>
        </is>
      </c>
      <c r="G104" s="23" t="inlineStr">
        <is>
          <t>ONE_TO_ONE</t>
        </is>
      </c>
      <c r="H104" s="23" t="inlineStr">
        <is>
          <t>RETAINED</t>
        </is>
      </c>
      <c r="I104" s="23" t="inlineStr">
        <is>
          <t>Carried forward</t>
        </is>
      </c>
      <c r="J104" s="23" t="inlineStr">
        <is>
          <t>Source assignment -- not individually reviewed</t>
        </is>
      </c>
      <c r="K104" s="23" t="inlineStr"/>
      <c r="L104" s="23" t="inlineStr"/>
      <c r="M104" s="23" t="inlineStr"/>
      <c r="N104" s="14" t="inlineStr">
        <is>
          <t>10 EVIDENCE &amp; DECISIONS</t>
        </is>
      </c>
    </row>
    <row r="105" ht="34" customHeight="1">
      <c r="A105" s="23" t="inlineStr">
        <is>
          <t>Contractor Programme</t>
        </is>
      </c>
      <c r="B105" s="23" t="inlineStr">
        <is>
          <t>SCH-01-137</t>
        </is>
      </c>
      <c r="C105" s="23" t="inlineStr">
        <is>
          <t>Depot lead: track-slab survey - inspection</t>
        </is>
      </c>
      <c r="D105" s="23" t="inlineStr">
        <is>
          <t>WBS Code = 1.1.1</t>
        </is>
      </c>
      <c r="E105" s="23" t="inlineStr">
        <is>
          <t>R137-v2</t>
        </is>
      </c>
      <c r="F105" s="23" t="inlineStr">
        <is>
          <t>1.1.1 Guideway and Civil - Guideway Structures</t>
        </is>
      </c>
      <c r="G105" s="23" t="inlineStr">
        <is>
          <t>ONE_TO_ONE</t>
        </is>
      </c>
      <c r="H105" s="23" t="inlineStr">
        <is>
          <t>RETAINED</t>
        </is>
      </c>
      <c r="I105" s="23" t="inlineStr">
        <is>
          <t>Carried forward</t>
        </is>
      </c>
      <c r="J105" s="23" t="inlineStr">
        <is>
          <t>Source assignment -- not individually reviewed</t>
        </is>
      </c>
      <c r="K105" s="23" t="inlineStr"/>
      <c r="L105" s="23" t="inlineStr"/>
      <c r="M105" s="23" t="inlineStr"/>
      <c r="N105" s="14" t="inlineStr">
        <is>
          <t>10 EVIDENCE &amp; DECISIONS</t>
        </is>
      </c>
    </row>
    <row r="106" ht="34" customHeight="1">
      <c r="A106" s="23" t="inlineStr">
        <is>
          <t>Contractor Programme</t>
        </is>
      </c>
      <c r="B106" s="23" t="inlineStr">
        <is>
          <t>SCH-01-139</t>
        </is>
      </c>
      <c r="C106" s="23" t="inlineStr">
        <is>
          <t>River crossing: guideway pier reinforcement - release</t>
        </is>
      </c>
      <c r="D106" s="23" t="inlineStr">
        <is>
          <t>WBS Code = 1.1.1</t>
        </is>
      </c>
      <c r="E106" s="23" t="inlineStr">
        <is>
          <t>R139-v2</t>
        </is>
      </c>
      <c r="F106" s="23" t="inlineStr">
        <is>
          <t>1.1.1 Guideway and Civil - Guideway Structures</t>
        </is>
      </c>
      <c r="G106" s="23" t="inlineStr">
        <is>
          <t>ONE_TO_ONE</t>
        </is>
      </c>
      <c r="H106" s="23" t="inlineStr">
        <is>
          <t>RETAINED</t>
        </is>
      </c>
      <c r="I106" s="23" t="inlineStr">
        <is>
          <t>Carried forward</t>
        </is>
      </c>
      <c r="J106" s="23" t="inlineStr">
        <is>
          <t>Source assignment -- not individually reviewed</t>
        </is>
      </c>
      <c r="K106" s="23" t="inlineStr"/>
      <c r="L106" s="23" t="inlineStr"/>
      <c r="M106" s="23" t="inlineStr"/>
      <c r="N106" s="14" t="inlineStr">
        <is>
          <t>10 EVIDENCE &amp; DECISIONS</t>
        </is>
      </c>
    </row>
    <row r="107" ht="34" customHeight="1">
      <c r="A107" s="23" t="inlineStr">
        <is>
          <t>Contractor Programme</t>
        </is>
      </c>
      <c r="B107" s="23" t="inlineStr">
        <is>
          <t>SCH-01-140</t>
        </is>
      </c>
      <c r="C107" s="23" t="inlineStr">
        <is>
          <t>Central guideway: road restoration - field start</t>
        </is>
      </c>
      <c r="D107" s="23" t="inlineStr">
        <is>
          <t>WBS Code = 1.1.1</t>
        </is>
      </c>
      <c r="E107" s="23" t="inlineStr">
        <is>
          <t>R140-v2</t>
        </is>
      </c>
      <c r="F107" s="23" t="inlineStr">
        <is>
          <t>1.1.1 Guideway and Civil - Guideway Structures</t>
        </is>
      </c>
      <c r="G107" s="23" t="inlineStr">
        <is>
          <t>ONE_TO_ONE</t>
        </is>
      </c>
      <c r="H107" s="23" t="inlineStr">
        <is>
          <t>RETAINED</t>
        </is>
      </c>
      <c r="I107" s="23" t="inlineStr">
        <is>
          <t>Carried forward</t>
        </is>
      </c>
      <c r="J107" s="23" t="inlineStr">
        <is>
          <t>Source assignment -- not individually reviewed</t>
        </is>
      </c>
      <c r="K107" s="23" t="inlineStr"/>
      <c r="L107" s="23" t="inlineStr"/>
      <c r="M107" s="23" t="inlineStr"/>
      <c r="N107" s="14" t="inlineStr">
        <is>
          <t>10 EVIDENCE &amp; DECISIONS</t>
        </is>
      </c>
    </row>
    <row r="108" ht="34" customHeight="1">
      <c r="A108" s="23" t="inlineStr">
        <is>
          <t>Contractor Programme</t>
        </is>
      </c>
      <c r="B108" s="23" t="inlineStr">
        <is>
          <t>SCH-01-142</t>
        </is>
      </c>
      <c r="C108" s="23" t="inlineStr">
        <is>
          <t>Depot lead: retaining-wall excavation - inspection</t>
        </is>
      </c>
      <c r="D108" s="23" t="inlineStr">
        <is>
          <t>WBS Code = 1.1.1</t>
        </is>
      </c>
      <c r="E108" s="23" t="inlineStr">
        <is>
          <t>R142-v2</t>
        </is>
      </c>
      <c r="F108" s="23" t="inlineStr">
        <is>
          <t>1.1.1 Guideway and Civil - Guideway Structures</t>
        </is>
      </c>
      <c r="G108" s="23" t="inlineStr">
        <is>
          <t>ONE_TO_ONE</t>
        </is>
      </c>
      <c r="H108" s="23" t="inlineStr">
        <is>
          <t>RETAINED</t>
        </is>
      </c>
      <c r="I108" s="23" t="inlineStr">
        <is>
          <t>Carried forward</t>
        </is>
      </c>
      <c r="J108" s="23" t="inlineStr">
        <is>
          <t>Source assignment -- not individually reviewed</t>
        </is>
      </c>
      <c r="K108" s="23" t="inlineStr"/>
      <c r="L108" s="23" t="inlineStr"/>
      <c r="M108" s="23" t="inlineStr"/>
      <c r="N108" s="14" t="inlineStr">
        <is>
          <t>10 EVIDENCE &amp; DECISIONS</t>
        </is>
      </c>
    </row>
    <row r="109" ht="34" customHeight="1">
      <c r="A109" s="23" t="inlineStr">
        <is>
          <t>Contractor Programme</t>
        </is>
      </c>
      <c r="B109" s="23" t="inlineStr">
        <is>
          <t>SCH-01-143</t>
        </is>
      </c>
      <c r="C109" s="23" t="inlineStr">
        <is>
          <t>East portal: drainage tie-in - turnover</t>
        </is>
      </c>
      <c r="D109" s="23" t="inlineStr">
        <is>
          <t>WBS Code = 1.1.1</t>
        </is>
      </c>
      <c r="E109" s="23" t="inlineStr">
        <is>
          <t>R143-v2</t>
        </is>
      </c>
      <c r="F109" s="23" t="inlineStr">
        <is>
          <t>1.1.1 Guideway and Civil - Guideway Structures</t>
        </is>
      </c>
      <c r="G109" s="23" t="inlineStr">
        <is>
          <t>ONE_TO_ONE</t>
        </is>
      </c>
      <c r="H109" s="23" t="inlineStr">
        <is>
          <t>RETAINED</t>
        </is>
      </c>
      <c r="I109" s="23" t="inlineStr">
        <is>
          <t>Carried forward</t>
        </is>
      </c>
      <c r="J109" s="23" t="inlineStr">
        <is>
          <t>Source assignment -- not individually reviewed</t>
        </is>
      </c>
      <c r="K109" s="23" t="inlineStr"/>
      <c r="L109" s="23" t="inlineStr"/>
      <c r="M109" s="23" t="inlineStr"/>
      <c r="N109" s="14" t="inlineStr">
        <is>
          <t>10 EVIDENCE &amp; DECISIONS</t>
        </is>
      </c>
    </row>
    <row r="110" ht="34" customHeight="1">
      <c r="A110" s="23" t="inlineStr">
        <is>
          <t>Contractor Programme</t>
        </is>
      </c>
      <c r="B110" s="23" t="inlineStr">
        <is>
          <t>SCH-01-145</t>
        </is>
      </c>
      <c r="C110" s="23" t="inlineStr">
        <is>
          <t>Central guideway: track-slab survey - field start</t>
        </is>
      </c>
      <c r="D110" s="23" t="inlineStr">
        <is>
          <t>WBS Code = 1.1.1</t>
        </is>
      </c>
      <c r="E110" s="23" t="inlineStr">
        <is>
          <t>R145-v2</t>
        </is>
      </c>
      <c r="F110" s="23" t="inlineStr">
        <is>
          <t>1.1.1 Guideway and Civil - Guideway Structures</t>
        </is>
      </c>
      <c r="G110" s="23" t="inlineStr">
        <is>
          <t>ONE_TO_ONE</t>
        </is>
      </c>
      <c r="H110" s="23" t="inlineStr">
        <is>
          <t>RETAINED</t>
        </is>
      </c>
      <c r="I110" s="23" t="inlineStr">
        <is>
          <t>Carried forward</t>
        </is>
      </c>
      <c r="J110" s="23" t="inlineStr">
        <is>
          <t>Source assignment -- not individually reviewed</t>
        </is>
      </c>
      <c r="K110" s="23" t="inlineStr"/>
      <c r="L110" s="23" t="inlineStr"/>
      <c r="M110" s="23" t="inlineStr"/>
      <c r="N110" s="14" t="inlineStr">
        <is>
          <t>10 EVIDENCE &amp; DECISIONS</t>
        </is>
      </c>
    </row>
    <row r="111" ht="34" customHeight="1">
      <c r="A111" s="23" t="inlineStr">
        <is>
          <t>Contractor Programme</t>
        </is>
      </c>
      <c r="B111" s="23" t="inlineStr">
        <is>
          <t>SCH-01-146</t>
        </is>
      </c>
      <c r="C111" s="23" t="inlineStr">
        <is>
          <t>West approach: temporary traffic staging - installation</t>
        </is>
      </c>
      <c r="D111" s="23" t="inlineStr">
        <is>
          <t>WBS Code = 1.1.1</t>
        </is>
      </c>
      <c r="E111" s="23" t="inlineStr">
        <is>
          <t>R146-v2</t>
        </is>
      </c>
      <c r="F111" s="23" t="inlineStr">
        <is>
          <t>1.1.1 Guideway and Civil - Guideway Structures</t>
        </is>
      </c>
      <c r="G111" s="23" t="inlineStr">
        <is>
          <t>ONE_TO_ONE</t>
        </is>
      </c>
      <c r="H111" s="23" t="inlineStr">
        <is>
          <t>RETAINED</t>
        </is>
      </c>
      <c r="I111" s="23" t="inlineStr">
        <is>
          <t>Carried forward</t>
        </is>
      </c>
      <c r="J111" s="23" t="inlineStr">
        <is>
          <t>Source assignment -- not individually reviewed</t>
        </is>
      </c>
      <c r="K111" s="23" t="inlineStr"/>
      <c r="L111" s="23" t="inlineStr"/>
      <c r="M111" s="23" t="inlineStr"/>
      <c r="N111" s="14" t="inlineStr">
        <is>
          <t>10 EVIDENCE &amp; DECISIONS</t>
        </is>
      </c>
    </row>
    <row r="112" ht="34" customHeight="1">
      <c r="A112" s="23" t="inlineStr">
        <is>
          <t>Contractor Programme</t>
        </is>
      </c>
      <c r="B112" s="23" t="inlineStr">
        <is>
          <t>SCH-01-148</t>
        </is>
      </c>
      <c r="C112" s="23" t="inlineStr">
        <is>
          <t>East portal: road restoration - turnover</t>
        </is>
      </c>
      <c r="D112" s="23" t="inlineStr">
        <is>
          <t>WBS Code = 1.1.1</t>
        </is>
      </c>
      <c r="E112" s="23" t="inlineStr">
        <is>
          <t>R148-v2</t>
        </is>
      </c>
      <c r="F112" s="23" t="inlineStr">
        <is>
          <t>1.1.1 Guideway and Civil - Guideway Structures</t>
        </is>
      </c>
      <c r="G112" s="23" t="inlineStr">
        <is>
          <t>ONE_TO_ONE</t>
        </is>
      </c>
      <c r="H112" s="23" t="inlineStr">
        <is>
          <t>RETAINED</t>
        </is>
      </c>
      <c r="I112" s="23" t="inlineStr">
        <is>
          <t>Carried forward</t>
        </is>
      </c>
      <c r="J112" s="23" t="inlineStr">
        <is>
          <t>Source assignment -- not individually reviewed</t>
        </is>
      </c>
      <c r="K112" s="23" t="inlineStr"/>
      <c r="L112" s="23" t="inlineStr"/>
      <c r="M112" s="23" t="inlineStr"/>
      <c r="N112" s="14" t="inlineStr">
        <is>
          <t>10 EVIDENCE &amp; DECISIONS</t>
        </is>
      </c>
    </row>
    <row r="113" ht="34" customHeight="1">
      <c r="A113" s="23" t="inlineStr">
        <is>
          <t>Contractor Programme</t>
        </is>
      </c>
      <c r="B113" s="23" t="inlineStr">
        <is>
          <t>SCH-01-149</t>
        </is>
      </c>
      <c r="C113" s="23" t="inlineStr">
        <is>
          <t>River crossing: drilled-shaft installation - release</t>
        </is>
      </c>
      <c r="D113" s="23" t="inlineStr">
        <is>
          <t>WBS Code = 1.1.1</t>
        </is>
      </c>
      <c r="E113" s="23" t="inlineStr">
        <is>
          <t>R149-v2</t>
        </is>
      </c>
      <c r="F113" s="23" t="inlineStr">
        <is>
          <t>1.1.1 Guideway and Civil - Guideway Structures</t>
        </is>
      </c>
      <c r="G113" s="23" t="inlineStr">
        <is>
          <t>ONE_TO_ONE</t>
        </is>
      </c>
      <c r="H113" s="23" t="inlineStr">
        <is>
          <t>RETAINED</t>
        </is>
      </c>
      <c r="I113" s="23" t="inlineStr">
        <is>
          <t>Carried forward</t>
        </is>
      </c>
      <c r="J113" s="23" t="inlineStr">
        <is>
          <t>Source assignment -- not individually reviewed</t>
        </is>
      </c>
      <c r="K113" s="23" t="inlineStr"/>
      <c r="L113" s="23" t="inlineStr"/>
      <c r="M113" s="23" t="inlineStr"/>
      <c r="N113" s="14" t="inlineStr">
        <is>
          <t>10 EVIDENCE &amp; DECISIONS</t>
        </is>
      </c>
    </row>
    <row r="114" ht="34" customHeight="1">
      <c r="A114" s="23" t="inlineStr">
        <is>
          <t>Contractor Programme</t>
        </is>
      </c>
      <c r="B114" s="23" t="inlineStr">
        <is>
          <t>SCH-01-151</t>
        </is>
      </c>
      <c r="C114" s="23" t="inlineStr">
        <is>
          <t>West approach: drainage tie-in - installation</t>
        </is>
      </c>
      <c r="D114" s="23" t="inlineStr">
        <is>
          <t>WBS Code = 1.1.1</t>
        </is>
      </c>
      <c r="E114" s="23" t="inlineStr">
        <is>
          <t>R151-v2</t>
        </is>
      </c>
      <c r="F114" s="23" t="inlineStr">
        <is>
          <t>1.1.1 Guideway and Civil - Guideway Structures</t>
        </is>
      </c>
      <c r="G114" s="23" t="inlineStr">
        <is>
          <t>ONE_TO_ONE</t>
        </is>
      </c>
      <c r="H114" s="23" t="inlineStr">
        <is>
          <t>RETAINED</t>
        </is>
      </c>
      <c r="I114" s="23" t="inlineStr">
        <is>
          <t>Carried forward</t>
        </is>
      </c>
      <c r="J114" s="23" t="inlineStr">
        <is>
          <t>Source assignment -- not individually reviewed</t>
        </is>
      </c>
      <c r="K114" s="23" t="inlineStr"/>
      <c r="L114" s="23" t="inlineStr"/>
      <c r="M114" s="23" t="inlineStr"/>
      <c r="N114" s="14" t="inlineStr">
        <is>
          <t>10 EVIDENCE &amp; DECISIONS</t>
        </is>
      </c>
    </row>
    <row r="115" ht="34" customHeight="1">
      <c r="A115" s="23" t="inlineStr">
        <is>
          <t>Contractor Programme</t>
        </is>
      </c>
      <c r="B115" s="23" t="inlineStr">
        <is>
          <t>SCH-01-152</t>
        </is>
      </c>
      <c r="C115" s="23" t="inlineStr">
        <is>
          <t>Depot lead: utility relocation - inspection</t>
        </is>
      </c>
      <c r="D115" s="23" t="inlineStr">
        <is>
          <t>WBS Code = 1.1.1</t>
        </is>
      </c>
      <c r="E115" s="23" t="inlineStr">
        <is>
          <t>R152-v2</t>
        </is>
      </c>
      <c r="F115" s="23" t="inlineStr">
        <is>
          <t>1.1.1 Guideway and Civil - Guideway Structures</t>
        </is>
      </c>
      <c r="G115" s="23" t="inlineStr">
        <is>
          <t>ONE_TO_ONE</t>
        </is>
      </c>
      <c r="H115" s="23" t="inlineStr">
        <is>
          <t>RETAINED</t>
        </is>
      </c>
      <c r="I115" s="23" t="inlineStr">
        <is>
          <t>Carried forward</t>
        </is>
      </c>
      <c r="J115" s="23" t="inlineStr">
        <is>
          <t>Source assignment -- not individually reviewed</t>
        </is>
      </c>
      <c r="K115" s="23" t="inlineStr"/>
      <c r="L115" s="23" t="inlineStr"/>
      <c r="M115" s="23" t="inlineStr"/>
      <c r="N115" s="14" t="inlineStr">
        <is>
          <t>10 EVIDENCE &amp; DECISIONS</t>
        </is>
      </c>
    </row>
    <row r="116" ht="34" customHeight="1">
      <c r="A116" s="23" t="inlineStr">
        <is>
          <t>Contractor Programme</t>
        </is>
      </c>
      <c r="B116" s="23" t="inlineStr">
        <is>
          <t>SCH-01-154</t>
        </is>
      </c>
      <c r="C116" s="23" t="inlineStr">
        <is>
          <t>River crossing: temporary traffic staging - release</t>
        </is>
      </c>
      <c r="D116" s="23" t="inlineStr">
        <is>
          <t>WBS Code = 1.1.1</t>
        </is>
      </c>
      <c r="E116" s="23" t="inlineStr">
        <is>
          <t>R154-v2</t>
        </is>
      </c>
      <c r="F116" s="23" t="inlineStr">
        <is>
          <t>1.1.1 Guideway and Civil - Guideway Structures</t>
        </is>
      </c>
      <c r="G116" s="23" t="inlineStr">
        <is>
          <t>ONE_TO_ONE</t>
        </is>
      </c>
      <c r="H116" s="23" t="inlineStr">
        <is>
          <t>RETAINED</t>
        </is>
      </c>
      <c r="I116" s="23" t="inlineStr">
        <is>
          <t>Carried forward</t>
        </is>
      </c>
      <c r="J116" s="23" t="inlineStr">
        <is>
          <t>Source assignment -- not individually reviewed</t>
        </is>
      </c>
      <c r="K116" s="23" t="inlineStr"/>
      <c r="L116" s="23" t="inlineStr"/>
      <c r="M116" s="23" t="inlineStr"/>
      <c r="N116" s="14" t="inlineStr">
        <is>
          <t>10 EVIDENCE &amp; DECISIONS</t>
        </is>
      </c>
    </row>
    <row r="117" ht="34" customHeight="1">
      <c r="A117" s="23" t="inlineStr">
        <is>
          <t>Contractor Programme</t>
        </is>
      </c>
      <c r="B117" s="23" t="inlineStr">
        <is>
          <t>SCH-01-155</t>
        </is>
      </c>
      <c r="C117" s="23" t="inlineStr">
        <is>
          <t>Central guideway: guideway pier reinforcement - field start</t>
        </is>
      </c>
      <c r="D117" s="23" t="inlineStr">
        <is>
          <t>WBS Code = 1.1.1</t>
        </is>
      </c>
      <c r="E117" s="23" t="inlineStr">
        <is>
          <t>R155-v2</t>
        </is>
      </c>
      <c r="F117" s="23" t="inlineStr">
        <is>
          <t>1.1.1 Guideway and Civil - Guideway Structures</t>
        </is>
      </c>
      <c r="G117" s="23" t="inlineStr">
        <is>
          <t>ONE_TO_ONE</t>
        </is>
      </c>
      <c r="H117" s="23" t="inlineStr">
        <is>
          <t>RETAINED</t>
        </is>
      </c>
      <c r="I117" s="23" t="inlineStr">
        <is>
          <t>Carried forward</t>
        </is>
      </c>
      <c r="J117" s="23" t="inlineStr">
        <is>
          <t>Source assignment -- not individually reviewed</t>
        </is>
      </c>
      <c r="K117" s="23" t="inlineStr"/>
      <c r="L117" s="23" t="inlineStr"/>
      <c r="M117" s="23" t="inlineStr"/>
      <c r="N117" s="14" t="inlineStr">
        <is>
          <t>10 EVIDENCE &amp; DECISIONS</t>
        </is>
      </c>
    </row>
    <row r="118" ht="34" customHeight="1">
      <c r="A118" s="23" t="inlineStr">
        <is>
          <t>Contractor Programme</t>
        </is>
      </c>
      <c r="B118" s="23" t="inlineStr">
        <is>
          <t>SCH-01-157</t>
        </is>
      </c>
      <c r="C118" s="23" t="inlineStr">
        <is>
          <t>Depot lead: drilled-shaft installation - inspection</t>
        </is>
      </c>
      <c r="D118" s="23" t="inlineStr">
        <is>
          <t>WBS Code = 1.1.1</t>
        </is>
      </c>
      <c r="E118" s="23" t="inlineStr">
        <is>
          <t>R157-v2</t>
        </is>
      </c>
      <c r="F118" s="23" t="inlineStr">
        <is>
          <t>1.1.1 Guideway and Civil - Guideway Structures</t>
        </is>
      </c>
      <c r="G118" s="23" t="inlineStr">
        <is>
          <t>ONE_TO_ONE</t>
        </is>
      </c>
      <c r="H118" s="23" t="inlineStr">
        <is>
          <t>RETAINED</t>
        </is>
      </c>
      <c r="I118" s="23" t="inlineStr">
        <is>
          <t>Carried forward</t>
        </is>
      </c>
      <c r="J118" s="23" t="inlineStr">
        <is>
          <t>Source assignment -- not individually reviewed</t>
        </is>
      </c>
      <c r="K118" s="23" t="inlineStr"/>
      <c r="L118" s="23" t="inlineStr"/>
      <c r="M118" s="23" t="inlineStr"/>
      <c r="N118" s="14" t="inlineStr">
        <is>
          <t>10 EVIDENCE &amp; DECISIONS</t>
        </is>
      </c>
    </row>
    <row r="119" ht="34" customHeight="1">
      <c r="A119" s="23" t="inlineStr">
        <is>
          <t>Contractor Programme</t>
        </is>
      </c>
      <c r="B119" s="23" t="inlineStr">
        <is>
          <t>SCH-01-158</t>
        </is>
      </c>
      <c r="C119" s="23" t="inlineStr">
        <is>
          <t>East portal: retaining-wall excavation - turnover</t>
        </is>
      </c>
      <c r="D119" s="23" t="inlineStr">
        <is>
          <t>WBS Code = 1.1.1</t>
        </is>
      </c>
      <c r="E119" s="23" t="inlineStr">
        <is>
          <t>R158-v2</t>
        </is>
      </c>
      <c r="F119" s="23" t="inlineStr">
        <is>
          <t>1.1.1 Guideway and Civil - Guideway Structures</t>
        </is>
      </c>
      <c r="G119" s="23" t="inlineStr">
        <is>
          <t>ONE_TO_ONE</t>
        </is>
      </c>
      <c r="H119" s="23" t="inlineStr">
        <is>
          <t>RETAINED</t>
        </is>
      </c>
      <c r="I119" s="23" t="inlineStr">
        <is>
          <t>Carried forward</t>
        </is>
      </c>
      <c r="J119" s="23" t="inlineStr">
        <is>
          <t>Source assignment -- not individually reviewed</t>
        </is>
      </c>
      <c r="K119" s="23" t="inlineStr"/>
      <c r="L119" s="23" t="inlineStr"/>
      <c r="M119" s="23" t="inlineStr"/>
      <c r="N119" s="14" t="inlineStr">
        <is>
          <t>10 EVIDENCE &amp; DECISIONS</t>
        </is>
      </c>
    </row>
    <row r="120" ht="34" customHeight="1">
      <c r="A120" s="23" t="inlineStr">
        <is>
          <t>Contractor Programme</t>
        </is>
      </c>
      <c r="B120" s="23" t="inlineStr">
        <is>
          <t>SCH-01-160</t>
        </is>
      </c>
      <c r="C120" s="23" t="inlineStr">
        <is>
          <t>Central guideway: utility relocation - field start</t>
        </is>
      </c>
      <c r="D120" s="23" t="inlineStr">
        <is>
          <t>WBS Code = 1.1.1</t>
        </is>
      </c>
      <c r="E120" s="23" t="inlineStr">
        <is>
          <t>R160-v2</t>
        </is>
      </c>
      <c r="F120" s="23" t="inlineStr">
        <is>
          <t>1.1.1 Guideway and Civil - Guideway Structures</t>
        </is>
      </c>
      <c r="G120" s="23" t="inlineStr">
        <is>
          <t>ONE_TO_ONE</t>
        </is>
      </c>
      <c r="H120" s="23" t="inlineStr">
        <is>
          <t>RETAINED</t>
        </is>
      </c>
      <c r="I120" s="23" t="inlineStr">
        <is>
          <t>Carried forward</t>
        </is>
      </c>
      <c r="J120" s="23" t="inlineStr">
        <is>
          <t>Source assignment -- not individually reviewed</t>
        </is>
      </c>
      <c r="K120" s="23" t="inlineStr"/>
      <c r="L120" s="23" t="inlineStr"/>
      <c r="M120" s="23" t="inlineStr"/>
      <c r="N120" s="14" t="inlineStr">
        <is>
          <t>10 EVIDENCE &amp; DECISIONS</t>
        </is>
      </c>
    </row>
    <row r="121" ht="34" customHeight="1">
      <c r="A121" s="23" t="inlineStr">
        <is>
          <t>Contractor Programme</t>
        </is>
      </c>
      <c r="B121" s="23" t="inlineStr">
        <is>
          <t>SCH-01-161</t>
        </is>
      </c>
      <c r="C121" s="23" t="inlineStr">
        <is>
          <t>West approach: track-slab survey - installation</t>
        </is>
      </c>
      <c r="D121" s="23" t="inlineStr">
        <is>
          <t>WBS Code = 1.1.1</t>
        </is>
      </c>
      <c r="E121" s="23" t="inlineStr">
        <is>
          <t>R161-v2</t>
        </is>
      </c>
      <c r="F121" s="23" t="inlineStr">
        <is>
          <t>1.1.1 Guideway and Civil - Guideway Structures</t>
        </is>
      </c>
      <c r="G121" s="23" t="inlineStr">
        <is>
          <t>ONE_TO_ONE</t>
        </is>
      </c>
      <c r="H121" s="23" t="inlineStr">
        <is>
          <t>RETAINED</t>
        </is>
      </c>
      <c r="I121" s="23" t="inlineStr">
        <is>
          <t>Carried forward</t>
        </is>
      </c>
      <c r="J121" s="23" t="inlineStr">
        <is>
          <t>Source assignment -- not individually reviewed</t>
        </is>
      </c>
      <c r="K121" s="23" t="inlineStr"/>
      <c r="L121" s="23" t="inlineStr"/>
      <c r="M121" s="23" t="inlineStr"/>
      <c r="N121" s="14" t="inlineStr">
        <is>
          <t>10 EVIDENCE &amp; DECISIONS</t>
        </is>
      </c>
    </row>
    <row r="122" ht="34" customHeight="1">
      <c r="A122" s="23" t="inlineStr">
        <is>
          <t>Contractor Programme</t>
        </is>
      </c>
      <c r="B122" s="23" t="inlineStr">
        <is>
          <t>SCH-01-163</t>
        </is>
      </c>
      <c r="C122" s="23" t="inlineStr">
        <is>
          <t>East portal: guideway pier reinforcement - turnover</t>
        </is>
      </c>
      <c r="D122" s="23" t="inlineStr">
        <is>
          <t>WBS Code = 1.1.1</t>
        </is>
      </c>
      <c r="E122" s="23" t="inlineStr">
        <is>
          <t>R163-v2</t>
        </is>
      </c>
      <c r="F122" s="23" t="inlineStr">
        <is>
          <t>1.1.1 Guideway and Civil - Guideway Structures</t>
        </is>
      </c>
      <c r="G122" s="23" t="inlineStr">
        <is>
          <t>ONE_TO_ONE</t>
        </is>
      </c>
      <c r="H122" s="23" t="inlineStr">
        <is>
          <t>RETAINED</t>
        </is>
      </c>
      <c r="I122" s="23" t="inlineStr">
        <is>
          <t>Carried forward</t>
        </is>
      </c>
      <c r="J122" s="23" t="inlineStr">
        <is>
          <t>Source assignment -- not individually reviewed</t>
        </is>
      </c>
      <c r="K122" s="23" t="inlineStr"/>
      <c r="L122" s="23" t="inlineStr"/>
      <c r="M122" s="23" t="inlineStr"/>
      <c r="N122" s="14" t="inlineStr">
        <is>
          <t>10 EVIDENCE &amp; DECISIONS</t>
        </is>
      </c>
    </row>
    <row r="123" ht="34" customHeight="1">
      <c r="A123" s="23" t="inlineStr">
        <is>
          <t>Contractor Programme</t>
        </is>
      </c>
      <c r="B123" s="23" t="inlineStr">
        <is>
          <t>SCH-01-164</t>
        </is>
      </c>
      <c r="C123" s="23" t="inlineStr">
        <is>
          <t>River crossing: road restoration - release</t>
        </is>
      </c>
      <c r="D123" s="23" t="inlineStr">
        <is>
          <t>WBS Code = 1.1.1</t>
        </is>
      </c>
      <c r="E123" s="23" t="inlineStr">
        <is>
          <t>R164-v2</t>
        </is>
      </c>
      <c r="F123" s="23" t="inlineStr">
        <is>
          <t>1.1.1 Guideway and Civil - Guideway Structures</t>
        </is>
      </c>
      <c r="G123" s="23" t="inlineStr">
        <is>
          <t>ONE_TO_ONE</t>
        </is>
      </c>
      <c r="H123" s="23" t="inlineStr">
        <is>
          <t>RETAINED</t>
        </is>
      </c>
      <c r="I123" s="23" t="inlineStr">
        <is>
          <t>Carried forward</t>
        </is>
      </c>
      <c r="J123" s="23" t="inlineStr">
        <is>
          <t>Source assignment -- not individually reviewed</t>
        </is>
      </c>
      <c r="K123" s="23" t="inlineStr"/>
      <c r="L123" s="23" t="inlineStr"/>
      <c r="M123" s="23" t="inlineStr"/>
      <c r="N123" s="14" t="inlineStr">
        <is>
          <t>10 EVIDENCE &amp; DECISIONS</t>
        </is>
      </c>
    </row>
    <row r="124" ht="34" customHeight="1">
      <c r="A124" s="23" t="inlineStr">
        <is>
          <t>Contractor Programme</t>
        </is>
      </c>
      <c r="B124" s="23" t="inlineStr">
        <is>
          <t>SCH-01-166</t>
        </is>
      </c>
      <c r="C124" s="23" t="inlineStr">
        <is>
          <t>West approach: retaining-wall excavation - installation</t>
        </is>
      </c>
      <c r="D124" s="23" t="inlineStr">
        <is>
          <t>WBS Code = 1.1.1</t>
        </is>
      </c>
      <c r="E124" s="23" t="inlineStr">
        <is>
          <t>R166-v2</t>
        </is>
      </c>
      <c r="F124" s="23" t="inlineStr">
        <is>
          <t>1.1.1 Guideway and Civil - Guideway Structures</t>
        </is>
      </c>
      <c r="G124" s="23" t="inlineStr">
        <is>
          <t>ONE_TO_ONE</t>
        </is>
      </c>
      <c r="H124" s="23" t="inlineStr">
        <is>
          <t>RETAINED</t>
        </is>
      </c>
      <c r="I124" s="23" t="inlineStr">
        <is>
          <t>Carried forward</t>
        </is>
      </c>
      <c r="J124" s="23" t="inlineStr">
        <is>
          <t>Source assignment -- not individually reviewed</t>
        </is>
      </c>
      <c r="K124" s="23" t="inlineStr"/>
      <c r="L124" s="23" t="inlineStr"/>
      <c r="M124" s="23" t="inlineStr"/>
      <c r="N124" s="14" t="inlineStr">
        <is>
          <t>10 EVIDENCE &amp; DECISIONS</t>
        </is>
      </c>
    </row>
    <row r="125" ht="34" customHeight="1">
      <c r="A125" s="23" t="inlineStr">
        <is>
          <t>Contractor Programme</t>
        </is>
      </c>
      <c r="B125" s="23" t="inlineStr">
        <is>
          <t>SCH-01-167</t>
        </is>
      </c>
      <c r="C125" s="23" t="inlineStr">
        <is>
          <t>Depot lead: drainage tie-in - inspection</t>
        </is>
      </c>
      <c r="D125" s="23" t="inlineStr">
        <is>
          <t>WBS Code = 1.1.1</t>
        </is>
      </c>
      <c r="E125" s="23" t="inlineStr">
        <is>
          <t>R167-v2</t>
        </is>
      </c>
      <c r="F125" s="23" t="inlineStr">
        <is>
          <t>1.1.1 Guideway and Civil - Guideway Structures</t>
        </is>
      </c>
      <c r="G125" s="23" t="inlineStr">
        <is>
          <t>ONE_TO_ONE</t>
        </is>
      </c>
      <c r="H125" s="23" t="inlineStr">
        <is>
          <t>RETAINED</t>
        </is>
      </c>
      <c r="I125" s="23" t="inlineStr">
        <is>
          <t>Carried forward</t>
        </is>
      </c>
      <c r="J125" s="23" t="inlineStr">
        <is>
          <t>Source assignment -- not individually reviewed</t>
        </is>
      </c>
      <c r="K125" s="23" t="inlineStr"/>
      <c r="L125" s="23" t="inlineStr"/>
      <c r="M125" s="23" t="inlineStr"/>
      <c r="N125" s="14" t="inlineStr">
        <is>
          <t>10 EVIDENCE &amp; DECISIONS</t>
        </is>
      </c>
    </row>
    <row r="126" ht="34" customHeight="1">
      <c r="A126" s="23" t="inlineStr">
        <is>
          <t>Contractor Programme</t>
        </is>
      </c>
      <c r="B126" s="23" t="inlineStr">
        <is>
          <t>SCH-01-169</t>
        </is>
      </c>
      <c r="C126" s="23" t="inlineStr">
        <is>
          <t>River crossing: track-slab survey - release</t>
        </is>
      </c>
      <c r="D126" s="23" t="inlineStr">
        <is>
          <t>WBS Code = 1.1.1</t>
        </is>
      </c>
      <c r="E126" s="23" t="inlineStr">
        <is>
          <t>R169-v2</t>
        </is>
      </c>
      <c r="F126" s="23" t="inlineStr">
        <is>
          <t>1.1.1 Guideway and Civil - Guideway Structures</t>
        </is>
      </c>
      <c r="G126" s="23" t="inlineStr">
        <is>
          <t>ONE_TO_ONE</t>
        </is>
      </c>
      <c r="H126" s="23" t="inlineStr">
        <is>
          <t>RETAINED</t>
        </is>
      </c>
      <c r="I126" s="23" t="inlineStr">
        <is>
          <t>Carried forward</t>
        </is>
      </c>
      <c r="J126" s="23" t="inlineStr">
        <is>
          <t>Source assignment -- not individually reviewed</t>
        </is>
      </c>
      <c r="K126" s="23" t="inlineStr"/>
      <c r="L126" s="23" t="inlineStr"/>
      <c r="M126" s="23" t="inlineStr"/>
      <c r="N126" s="14" t="inlineStr">
        <is>
          <t>10 EVIDENCE &amp; DECISIONS</t>
        </is>
      </c>
    </row>
    <row r="127" ht="34" customHeight="1">
      <c r="A127" s="23" t="inlineStr">
        <is>
          <t>Contractor Programme</t>
        </is>
      </c>
      <c r="B127" s="23" t="inlineStr">
        <is>
          <t>SCH-01-170</t>
        </is>
      </c>
      <c r="C127" s="23" t="inlineStr">
        <is>
          <t>Central guideway: temporary traffic staging - field start</t>
        </is>
      </c>
      <c r="D127" s="23" t="inlineStr">
        <is>
          <t>WBS Code = 1.1.1</t>
        </is>
      </c>
      <c r="E127" s="23" t="inlineStr">
        <is>
          <t>R170-v2</t>
        </is>
      </c>
      <c r="F127" s="23" t="inlineStr">
        <is>
          <t>1.1.1 Guideway and Civil - Guideway Structures</t>
        </is>
      </c>
      <c r="G127" s="23" t="inlineStr">
        <is>
          <t>ONE_TO_ONE</t>
        </is>
      </c>
      <c r="H127" s="23" t="inlineStr">
        <is>
          <t>RETAINED</t>
        </is>
      </c>
      <c r="I127" s="23" t="inlineStr">
        <is>
          <t>Carried forward</t>
        </is>
      </c>
      <c r="J127" s="23" t="inlineStr">
        <is>
          <t>Source assignment -- not individually reviewed</t>
        </is>
      </c>
      <c r="K127" s="23" t="inlineStr"/>
      <c r="L127" s="23" t="inlineStr"/>
      <c r="M127" s="23" t="inlineStr"/>
      <c r="N127" s="14" t="inlineStr">
        <is>
          <t>10 EVIDENCE &amp; DECISIONS</t>
        </is>
      </c>
    </row>
    <row r="128" ht="34" customHeight="1">
      <c r="A128" s="23" t="inlineStr">
        <is>
          <t>Contractor Programme</t>
        </is>
      </c>
      <c r="B128" s="23" t="inlineStr">
        <is>
          <t>SCH-01-172</t>
        </is>
      </c>
      <c r="C128" s="23" t="inlineStr">
        <is>
          <t>Depot lead: road restoration - inspection</t>
        </is>
      </c>
      <c r="D128" s="23" t="inlineStr">
        <is>
          <t>WBS Code = 1.1.1</t>
        </is>
      </c>
      <c r="E128" s="23" t="inlineStr">
        <is>
          <t>R172-v2</t>
        </is>
      </c>
      <c r="F128" s="23" t="inlineStr">
        <is>
          <t>1.1.1 Guideway and Civil - Guideway Structures</t>
        </is>
      </c>
      <c r="G128" s="23" t="inlineStr">
        <is>
          <t>ONE_TO_ONE</t>
        </is>
      </c>
      <c r="H128" s="23" t="inlineStr">
        <is>
          <t>RETAINED</t>
        </is>
      </c>
      <c r="I128" s="23" t="inlineStr">
        <is>
          <t>Carried forward</t>
        </is>
      </c>
      <c r="J128" s="23" t="inlineStr">
        <is>
          <t>Source assignment -- not individually reviewed</t>
        </is>
      </c>
      <c r="K128" s="23" t="inlineStr"/>
      <c r="L128" s="23" t="inlineStr"/>
      <c r="M128" s="23" t="inlineStr"/>
      <c r="N128" s="14" t="inlineStr">
        <is>
          <t>10 EVIDENCE &amp; DECISIONS</t>
        </is>
      </c>
    </row>
    <row r="129" ht="34" customHeight="1">
      <c r="A129" s="23" t="inlineStr">
        <is>
          <t>Contractor Programme</t>
        </is>
      </c>
      <c r="B129" s="23" t="inlineStr">
        <is>
          <t>SCH-01-173</t>
        </is>
      </c>
      <c r="C129" s="23" t="inlineStr">
        <is>
          <t>East portal: drilled-shaft installation - turnover</t>
        </is>
      </c>
      <c r="D129" s="23" t="inlineStr">
        <is>
          <t>WBS Code = 1.1.1</t>
        </is>
      </c>
      <c r="E129" s="23" t="inlineStr">
        <is>
          <t>R173-v2</t>
        </is>
      </c>
      <c r="F129" s="23" t="inlineStr">
        <is>
          <t>1.1.1 Guideway and Civil - Guideway Structures</t>
        </is>
      </c>
      <c r="G129" s="23" t="inlineStr">
        <is>
          <t>ONE_TO_ONE</t>
        </is>
      </c>
      <c r="H129" s="23" t="inlineStr">
        <is>
          <t>RETAINED</t>
        </is>
      </c>
      <c r="I129" s="23" t="inlineStr">
        <is>
          <t>Carried forward</t>
        </is>
      </c>
      <c r="J129" s="23" t="inlineStr">
        <is>
          <t>Source assignment -- not individually reviewed</t>
        </is>
      </c>
      <c r="K129" s="23" t="inlineStr"/>
      <c r="L129" s="23" t="inlineStr"/>
      <c r="M129" s="23" t="inlineStr"/>
      <c r="N129" s="14" t="inlineStr">
        <is>
          <t>10 EVIDENCE &amp; DECISIONS</t>
        </is>
      </c>
    </row>
    <row r="130" ht="34" customHeight="1">
      <c r="A130" s="23" t="inlineStr">
        <is>
          <t>Contractor Programme</t>
        </is>
      </c>
      <c r="B130" s="23" t="inlineStr">
        <is>
          <t>SCH-01-175</t>
        </is>
      </c>
      <c r="C130" s="23" t="inlineStr">
        <is>
          <t>Central guideway: drainage tie-in - field start</t>
        </is>
      </c>
      <c r="D130" s="23" t="inlineStr">
        <is>
          <t>WBS Code = 1.1.1</t>
        </is>
      </c>
      <c r="E130" s="23" t="inlineStr">
        <is>
          <t>R175-v2</t>
        </is>
      </c>
      <c r="F130" s="23" t="inlineStr">
        <is>
          <t>1.1.1 Guideway and Civil - Guideway Structures</t>
        </is>
      </c>
      <c r="G130" s="23" t="inlineStr">
        <is>
          <t>ONE_TO_ONE</t>
        </is>
      </c>
      <c r="H130" s="23" t="inlineStr">
        <is>
          <t>RETAINED</t>
        </is>
      </c>
      <c r="I130" s="23" t="inlineStr">
        <is>
          <t>Carried forward</t>
        </is>
      </c>
      <c r="J130" s="23" t="inlineStr">
        <is>
          <t>Source assignment -- not individually reviewed</t>
        </is>
      </c>
      <c r="K130" s="23" t="inlineStr"/>
      <c r="L130" s="23" t="inlineStr"/>
      <c r="M130" s="23" t="inlineStr"/>
      <c r="N130" s="14" t="inlineStr">
        <is>
          <t>10 EVIDENCE &amp; DECISIONS</t>
        </is>
      </c>
    </row>
    <row r="131" ht="34" customHeight="1">
      <c r="A131" s="23" t="inlineStr">
        <is>
          <t>Contractor Programme</t>
        </is>
      </c>
      <c r="B131" s="23" t="inlineStr">
        <is>
          <t>SCH-01-176</t>
        </is>
      </c>
      <c r="C131" s="23" t="inlineStr">
        <is>
          <t>West approach: utility relocation - installation</t>
        </is>
      </c>
      <c r="D131" s="23" t="inlineStr">
        <is>
          <t>WBS Code = 1.1.1</t>
        </is>
      </c>
      <c r="E131" s="23" t="inlineStr">
        <is>
          <t>R176-v2</t>
        </is>
      </c>
      <c r="F131" s="23" t="inlineStr">
        <is>
          <t>1.1.1 Guideway and Civil - Guideway Structures</t>
        </is>
      </c>
      <c r="G131" s="23" t="inlineStr">
        <is>
          <t>ONE_TO_ONE</t>
        </is>
      </c>
      <c r="H131" s="23" t="inlineStr">
        <is>
          <t>RETAINED</t>
        </is>
      </c>
      <c r="I131" s="23" t="inlineStr">
        <is>
          <t>Carried forward</t>
        </is>
      </c>
      <c r="J131" s="23" t="inlineStr">
        <is>
          <t>Source assignment -- not individually reviewed</t>
        </is>
      </c>
      <c r="K131" s="23" t="inlineStr"/>
      <c r="L131" s="23" t="inlineStr"/>
      <c r="M131" s="23" t="inlineStr"/>
      <c r="N131" s="14" t="inlineStr">
        <is>
          <t>10 EVIDENCE &amp; DECISIONS</t>
        </is>
      </c>
    </row>
    <row r="132" ht="34" customHeight="1">
      <c r="A132" s="23" t="inlineStr">
        <is>
          <t>Contractor Programme</t>
        </is>
      </c>
      <c r="B132" s="23" t="inlineStr">
        <is>
          <t>SCH-01-178</t>
        </is>
      </c>
      <c r="C132" s="23" t="inlineStr">
        <is>
          <t>East portal: temporary traffic staging - turnover</t>
        </is>
      </c>
      <c r="D132" s="23" t="inlineStr">
        <is>
          <t>WBS Code = 1.1.1</t>
        </is>
      </c>
      <c r="E132" s="23" t="inlineStr">
        <is>
          <t>R178-v2</t>
        </is>
      </c>
      <c r="F132" s="23" t="inlineStr">
        <is>
          <t>1.1.1 Guideway and Civil - Guideway Structures</t>
        </is>
      </c>
      <c r="G132" s="23" t="inlineStr">
        <is>
          <t>ONE_TO_ONE</t>
        </is>
      </c>
      <c r="H132" s="23" t="inlineStr">
        <is>
          <t>RETAINED</t>
        </is>
      </c>
      <c r="I132" s="23" t="inlineStr">
        <is>
          <t>Carried forward</t>
        </is>
      </c>
      <c r="J132" s="23" t="inlineStr">
        <is>
          <t>Source assignment -- not individually reviewed</t>
        </is>
      </c>
      <c r="K132" s="23" t="inlineStr"/>
      <c r="L132" s="23" t="inlineStr"/>
      <c r="M132" s="23" t="inlineStr"/>
      <c r="N132" s="14" t="inlineStr">
        <is>
          <t>10 EVIDENCE &amp; DECISIONS</t>
        </is>
      </c>
    </row>
    <row r="133" ht="34" customHeight="1">
      <c r="A133" s="23" t="inlineStr">
        <is>
          <t>Contractor Programme</t>
        </is>
      </c>
      <c r="B133" s="23" t="inlineStr">
        <is>
          <t>SCH-01-179</t>
        </is>
      </c>
      <c r="C133" s="23" t="inlineStr">
        <is>
          <t>River crossing: guideway pier reinforcement - release</t>
        </is>
      </c>
      <c r="D133" s="23" t="inlineStr">
        <is>
          <t>WBS Code = 1.1.1</t>
        </is>
      </c>
      <c r="E133" s="23" t="inlineStr">
        <is>
          <t>R179-v2</t>
        </is>
      </c>
      <c r="F133" s="23" t="inlineStr">
        <is>
          <t>1.1.1 Guideway and Civil - Guideway Structures</t>
        </is>
      </c>
      <c r="G133" s="23" t="inlineStr">
        <is>
          <t>ONE_TO_ONE</t>
        </is>
      </c>
      <c r="H133" s="23" t="inlineStr">
        <is>
          <t>RETAINED</t>
        </is>
      </c>
      <c r="I133" s="23" t="inlineStr">
        <is>
          <t>Carried forward</t>
        </is>
      </c>
      <c r="J133" s="23" t="inlineStr">
        <is>
          <t>Source assignment -- not individually reviewed</t>
        </is>
      </c>
      <c r="K133" s="23" t="inlineStr"/>
      <c r="L133" s="23" t="inlineStr"/>
      <c r="M133" s="23" t="inlineStr"/>
      <c r="N133" s="14" t="inlineStr">
        <is>
          <t>10 EVIDENCE &amp; DECISIONS</t>
        </is>
      </c>
    </row>
    <row r="134" ht="49" customHeight="1">
      <c r="A134" s="23" t="inlineStr">
        <is>
          <t>Contractor Programme</t>
        </is>
      </c>
      <c r="B134" s="23" t="inlineStr">
        <is>
          <t>SCH-90-903</t>
        </is>
      </c>
      <c r="C134" s="23" t="inlineStr">
        <is>
          <t>Late-issued field instruction incorporated into the current contractor programme</t>
        </is>
      </c>
      <c r="D134" s="23" t="inlineStr">
        <is>
          <t>WBS Code = 1.1.1</t>
        </is>
      </c>
      <c r="E134" s="23" t="inlineStr">
        <is>
          <t>R1623-v1</t>
        </is>
      </c>
      <c r="F134" s="23" t="inlineStr">
        <is>
          <t>1.1.1 Guideway and Civil - Guideway Structures</t>
        </is>
      </c>
      <c r="G134" s="23" t="inlineStr">
        <is>
          <t>ONE_TO_ONE</t>
        </is>
      </c>
      <c r="H134" s="23" t="inlineStr">
        <is>
          <t>APPROVED</t>
        </is>
      </c>
      <c r="I134" s="23" t="inlineStr">
        <is>
          <t>New</t>
        </is>
      </c>
      <c r="J134" s="23" t="inlineStr">
        <is>
          <t>Source assignment -- not individually reviewed</t>
        </is>
      </c>
      <c r="K134" s="23" t="inlineStr"/>
      <c r="L134" s="23" t="inlineStr"/>
      <c r="M134" s="23" t="inlineStr"/>
      <c r="N134" s="14" t="inlineStr">
        <is>
          <t>10 EVIDENCE &amp; DECISIONS</t>
        </is>
      </c>
    </row>
    <row r="135" ht="34" customHeight="1">
      <c r="A135" s="23" t="inlineStr">
        <is>
          <t>Cost &amp; Forecast Control Accounts</t>
        </is>
      </c>
      <c r="B135" s="23" t="inlineStr">
        <is>
          <t>CST-01-001</t>
        </is>
      </c>
      <c r="C135" s="23" t="inlineStr">
        <is>
          <t>Guideway and Civil - roadworks - professional services</t>
        </is>
      </c>
      <c r="D135" s="23" t="inlineStr">
        <is>
          <t>Cost Account = CA-1001; WBS Code = 1.1.1</t>
        </is>
      </c>
      <c r="E135" s="23" t="inlineStr">
        <is>
          <t>R1083-v2</t>
        </is>
      </c>
      <c r="F135" s="23" t="inlineStr">
        <is>
          <t>1.1.1 Guideway and Civil - Guideway Structures</t>
        </is>
      </c>
      <c r="G135" s="23" t="inlineStr">
        <is>
          <t>ONE_TO_ONE</t>
        </is>
      </c>
      <c r="H135" s="23" t="inlineStr">
        <is>
          <t>RETAINED</t>
        </is>
      </c>
      <c r="I135" s="23" t="inlineStr">
        <is>
          <t>Carried forward</t>
        </is>
      </c>
      <c r="J135" s="23" t="inlineStr">
        <is>
          <t>Source assignment -- not individually reviewed</t>
        </is>
      </c>
      <c r="K135" s="23" t="inlineStr"/>
      <c r="L135" s="23" t="inlineStr"/>
      <c r="M135" s="23" t="inlineStr"/>
      <c r="N135" s="14" t="inlineStr">
        <is>
          <t>10 EVIDENCE &amp; DECISIONS</t>
        </is>
      </c>
    </row>
    <row r="136" ht="34" customHeight="1">
      <c r="A136" s="23" t="inlineStr">
        <is>
          <t>Cost &amp; Forecast Control Accounts</t>
        </is>
      </c>
      <c r="B136" s="23" t="inlineStr">
        <is>
          <t>CST-01-003R</t>
        </is>
      </c>
      <c r="C136" s="23" t="inlineStr">
        <is>
          <t>Guideway and Civil - concrete structures - closeout</t>
        </is>
      </c>
      <c r="D136" s="23" t="inlineStr">
        <is>
          <t>Cost Account = CA-1003; WBS Code = 1.1.1</t>
        </is>
      </c>
      <c r="E136" s="23" t="inlineStr">
        <is>
          <t>R1085-v2</t>
        </is>
      </c>
      <c r="F136" s="23" t="inlineStr">
        <is>
          <t>1.1.1 Guideway and Civil - Guideway Structures</t>
        </is>
      </c>
      <c r="G136" s="23" t="inlineStr">
        <is>
          <t>ONE_TO_ONE</t>
        </is>
      </c>
      <c r="H136" s="23" t="inlineStr">
        <is>
          <t>REVALIDATED</t>
        </is>
      </c>
      <c r="I136" s="23" t="inlineStr">
        <is>
          <t>Re-keyed, revalidated</t>
        </is>
      </c>
      <c r="J136" s="23" t="inlineStr">
        <is>
          <t>Source assignment -- not individually reviewed</t>
        </is>
      </c>
      <c r="K136" s="23" t="inlineStr"/>
      <c r="L136" s="23" t="inlineStr"/>
      <c r="M136" s="23" t="inlineStr"/>
      <c r="N136" s="14" t="inlineStr">
        <is>
          <t>10 EVIDENCE &amp; DECISIONS</t>
        </is>
      </c>
    </row>
    <row r="137" ht="34" customHeight="1">
      <c r="A137" s="23" t="inlineStr">
        <is>
          <t>Cost &amp; Forecast Control Accounts</t>
        </is>
      </c>
      <c r="B137" s="23" t="inlineStr">
        <is>
          <t>CST-01-007</t>
        </is>
      </c>
      <c r="C137" s="23" t="inlineStr">
        <is>
          <t>Guideway and Civil - roadworks - allowance</t>
        </is>
      </c>
      <c r="D137" s="23" t="inlineStr">
        <is>
          <t>Cost Account = CA-1007; WBS Code = 1.1.1</t>
        </is>
      </c>
      <c r="E137" s="23" t="inlineStr">
        <is>
          <t>R1089-v2</t>
        </is>
      </c>
      <c r="F137" s="23" t="inlineStr">
        <is>
          <t>1.1.1 Guideway and Civil - Guideway Structures</t>
        </is>
      </c>
      <c r="G137" s="23" t="inlineStr">
        <is>
          <t>ONE_TO_ONE</t>
        </is>
      </c>
      <c r="H137" s="23" t="inlineStr">
        <is>
          <t>RETAINED</t>
        </is>
      </c>
      <c r="I137" s="23" t="inlineStr">
        <is>
          <t>Carried forward</t>
        </is>
      </c>
      <c r="J137" s="23" t="inlineStr">
        <is>
          <t>Source assignment -- not individually reviewed</t>
        </is>
      </c>
      <c r="K137" s="23" t="inlineStr"/>
      <c r="L137" s="23" t="inlineStr"/>
      <c r="M137" s="23" t="inlineStr"/>
      <c r="N137" s="14" t="inlineStr">
        <is>
          <t>10 EVIDENCE &amp; DECISIONS</t>
        </is>
      </c>
    </row>
    <row r="138" ht="34" customHeight="1">
      <c r="A138" s="23" t="inlineStr">
        <is>
          <t>Cost &amp; Forecast Control Accounts</t>
        </is>
      </c>
      <c r="B138" s="23" t="inlineStr">
        <is>
          <t>CST-01-009</t>
        </is>
      </c>
      <c r="C138" s="23" t="inlineStr">
        <is>
          <t>Guideway and Civil - concrete structures - field package</t>
        </is>
      </c>
      <c r="D138" s="23" t="inlineStr">
        <is>
          <t>Cost Account = CA-1009; WBS Code = 1.1.1</t>
        </is>
      </c>
      <c r="E138" s="23" t="inlineStr">
        <is>
          <t>R1091-v2</t>
        </is>
      </c>
      <c r="F138" s="23" t="inlineStr">
        <is>
          <t>1.1.1 Guideway and Civil - Guideway Structures</t>
        </is>
      </c>
      <c r="G138" s="23" t="inlineStr">
        <is>
          <t>ONE_TO_ONE</t>
        </is>
      </c>
      <c r="H138" s="23" t="inlineStr">
        <is>
          <t>RETAINED</t>
        </is>
      </c>
      <c r="I138" s="23" t="inlineStr">
        <is>
          <t>Carried forward</t>
        </is>
      </c>
      <c r="J138" s="23" t="inlineStr">
        <is>
          <t>Source assignment -- not individually reviewed</t>
        </is>
      </c>
      <c r="K138" s="23" t="inlineStr"/>
      <c r="L138" s="23" t="inlineStr"/>
      <c r="M138" s="23" t="inlineStr"/>
      <c r="N138" s="14" t="inlineStr">
        <is>
          <t>10 EVIDENCE &amp; DECISIONS</t>
        </is>
      </c>
    </row>
    <row r="139" ht="34" customHeight="1">
      <c r="A139" s="23" t="inlineStr">
        <is>
          <t>Cost &amp; Forecast Control Accounts</t>
        </is>
      </c>
      <c r="B139" s="23" t="inlineStr">
        <is>
          <t>CST-01-011</t>
        </is>
      </c>
      <c r="C139" s="23" t="inlineStr">
        <is>
          <t>Guideway and Civil - temporary works - professional services</t>
        </is>
      </c>
      <c r="D139" s="23" t="inlineStr">
        <is>
          <t>Cost Account = CA-1011; WBS Code = 1.1.1</t>
        </is>
      </c>
      <c r="E139" s="23" t="inlineStr">
        <is>
          <t>R1093-v2</t>
        </is>
      </c>
      <c r="F139" s="23" t="inlineStr">
        <is>
          <t>1.1.1 Guideway and Civil - Guideway Structures</t>
        </is>
      </c>
      <c r="G139" s="23" t="inlineStr">
        <is>
          <t>ONE_TO_ONE</t>
        </is>
      </c>
      <c r="H139" s="23" t="inlineStr">
        <is>
          <t>RETAINED</t>
        </is>
      </c>
      <c r="I139" s="23" t="inlineStr">
        <is>
          <t>Carried forward</t>
        </is>
      </c>
      <c r="J139" s="23" t="inlineStr">
        <is>
          <t>Source assignment -- not individually reviewed</t>
        </is>
      </c>
      <c r="K139" s="23" t="inlineStr"/>
      <c r="L139" s="23" t="inlineStr"/>
      <c r="M139" s="23" t="inlineStr"/>
      <c r="N139" s="14" t="inlineStr">
        <is>
          <t>10 EVIDENCE &amp; DECISIONS</t>
        </is>
      </c>
    </row>
    <row r="140" ht="34" customHeight="1">
      <c r="A140" s="23" t="inlineStr">
        <is>
          <t>Cost &amp; Forecast Control Accounts</t>
        </is>
      </c>
      <c r="B140" s="23" t="inlineStr">
        <is>
          <t>CST-01-013</t>
        </is>
      </c>
      <c r="C140" s="23" t="inlineStr">
        <is>
          <t>Guideway and Civil - roadworks - closeout</t>
        </is>
      </c>
      <c r="D140" s="23" t="inlineStr">
        <is>
          <t>Cost Account = CA-1013; WBS Code = 1.1.1</t>
        </is>
      </c>
      <c r="E140" s="23" t="inlineStr">
        <is>
          <t>R1095-v2</t>
        </is>
      </c>
      <c r="F140" s="23" t="inlineStr">
        <is>
          <t>1.1.1 Guideway and Civil - Guideway Structures</t>
        </is>
      </c>
      <c r="G140" s="23" t="inlineStr">
        <is>
          <t>ONE_TO_ONE</t>
        </is>
      </c>
      <c r="H140" s="23" t="inlineStr">
        <is>
          <t>RETAINED</t>
        </is>
      </c>
      <c r="I140" s="23" t="inlineStr">
        <is>
          <t>Carried forward</t>
        </is>
      </c>
      <c r="J140" s="23" t="inlineStr">
        <is>
          <t>Source assignment -- not individually reviewed</t>
        </is>
      </c>
      <c r="K140" s="23" t="inlineStr"/>
      <c r="L140" s="23" t="inlineStr"/>
      <c r="M140" s="23" t="inlineStr"/>
      <c r="N140" s="14" t="inlineStr">
        <is>
          <t>10 EVIDENCE &amp; DECISIONS</t>
        </is>
      </c>
    </row>
    <row r="141" ht="34" customHeight="1">
      <c r="A141" s="23" t="inlineStr">
        <is>
          <t>Cost &amp; Forecast Control Accounts</t>
        </is>
      </c>
      <c r="B141" s="23" t="inlineStr">
        <is>
          <t>CST-01-015</t>
        </is>
      </c>
      <c r="C141" s="23" t="inlineStr">
        <is>
          <t>Guideway and Civil - concrete structures - supply and install</t>
        </is>
      </c>
      <c r="D141" s="23" t="inlineStr">
        <is>
          <t>Cost Account = CA-1015; WBS Code = 1.1.1</t>
        </is>
      </c>
      <c r="E141" s="23" t="inlineStr">
        <is>
          <t>R1097-v2</t>
        </is>
      </c>
      <c r="F141" s="23" t="inlineStr">
        <is>
          <t>1.1.1 Guideway and Civil - Guideway Structures</t>
        </is>
      </c>
      <c r="G141" s="23" t="inlineStr">
        <is>
          <t>ONE_TO_ONE</t>
        </is>
      </c>
      <c r="H141" s="23" t="inlineStr">
        <is>
          <t>RETAINED</t>
        </is>
      </c>
      <c r="I141" s="23" t="inlineStr">
        <is>
          <t>Carried forward</t>
        </is>
      </c>
      <c r="J141" s="23" t="inlineStr">
        <is>
          <t>Source assignment -- not individually reviewed</t>
        </is>
      </c>
      <c r="K141" s="23" t="inlineStr"/>
      <c r="L141" s="23" t="inlineStr"/>
      <c r="M141" s="23" t="inlineStr"/>
      <c r="N141" s="14" t="inlineStr">
        <is>
          <t>10 EVIDENCE &amp; DECISIONS</t>
        </is>
      </c>
    </row>
    <row r="142" ht="34" customHeight="1">
      <c r="A142" s="23" t="inlineStr">
        <is>
          <t>Cost &amp; Forecast Control Accounts</t>
        </is>
      </c>
      <c r="B142" s="23" t="inlineStr">
        <is>
          <t>CST-01-017</t>
        </is>
      </c>
      <c r="C142" s="23" t="inlineStr">
        <is>
          <t>Guideway and Civil - temporary works - allowance</t>
        </is>
      </c>
      <c r="D142" s="23" t="inlineStr">
        <is>
          <t>Cost Account = CA-1017; WBS Code = 1.1.1</t>
        </is>
      </c>
      <c r="E142" s="23" t="inlineStr">
        <is>
          <t>R1099-v2</t>
        </is>
      </c>
      <c r="F142" s="23" t="inlineStr">
        <is>
          <t>1.1.1 Guideway and Civil - Guideway Structures</t>
        </is>
      </c>
      <c r="G142" s="23" t="inlineStr">
        <is>
          <t>ONE_TO_ONE</t>
        </is>
      </c>
      <c r="H142" s="23" t="inlineStr">
        <is>
          <t>RETAINED</t>
        </is>
      </c>
      <c r="I142" s="23" t="inlineStr">
        <is>
          <t>Carried forward</t>
        </is>
      </c>
      <c r="J142" s="23" t="inlineStr">
        <is>
          <t>Source assignment -- not individually reviewed</t>
        </is>
      </c>
      <c r="K142" s="23" t="inlineStr"/>
      <c r="L142" s="23" t="inlineStr"/>
      <c r="M142" s="23" t="inlineStr"/>
      <c r="N142" s="14" t="inlineStr">
        <is>
          <t>10 EVIDENCE &amp; DECISIONS</t>
        </is>
      </c>
    </row>
    <row r="143" ht="34" customHeight="1">
      <c r="A143" s="23" t="inlineStr">
        <is>
          <t>Cost &amp; Forecast Control Accounts</t>
        </is>
      </c>
      <c r="B143" s="23" t="inlineStr">
        <is>
          <t>CST-01-019</t>
        </is>
      </c>
      <c r="C143" s="23" t="inlineStr">
        <is>
          <t>Guideway and Civil - roadworks - field package</t>
        </is>
      </c>
      <c r="D143" s="23" t="inlineStr">
        <is>
          <t>Cost Account = CA-1019; WBS Code = 1.1.1</t>
        </is>
      </c>
      <c r="E143" s="23" t="inlineStr">
        <is>
          <t>R1101-v2</t>
        </is>
      </c>
      <c r="F143" s="23" t="inlineStr">
        <is>
          <t>1.1.1 Guideway and Civil - Guideway Structures</t>
        </is>
      </c>
      <c r="G143" s="23" t="inlineStr">
        <is>
          <t>ONE_TO_ONE</t>
        </is>
      </c>
      <c r="H143" s="23" t="inlineStr">
        <is>
          <t>RETAINED</t>
        </is>
      </c>
      <c r="I143" s="23" t="inlineStr">
        <is>
          <t>Carried forward</t>
        </is>
      </c>
      <c r="J143" s="23" t="inlineStr">
        <is>
          <t>Source assignment -- not individually reviewed</t>
        </is>
      </c>
      <c r="K143" s="23" t="inlineStr"/>
      <c r="L143" s="23" t="inlineStr"/>
      <c r="M143" s="23" t="inlineStr"/>
      <c r="N143" s="14" t="inlineStr">
        <is>
          <t>10 EVIDENCE &amp; DECISIONS</t>
        </is>
      </c>
    </row>
    <row r="144" ht="34" customHeight="1">
      <c r="A144" s="23" t="inlineStr">
        <is>
          <t>Cost &amp; Forecast Control Accounts</t>
        </is>
      </c>
      <c r="B144" s="23" t="inlineStr">
        <is>
          <t>CST-01-021</t>
        </is>
      </c>
      <c r="C144" s="23" t="inlineStr">
        <is>
          <t>Guideway and Civil - concrete structures - professional services</t>
        </is>
      </c>
      <c r="D144" s="23" t="inlineStr">
        <is>
          <t>Cost Account = CA-1021; WBS Code = 1.1.1</t>
        </is>
      </c>
      <c r="E144" s="23" t="inlineStr">
        <is>
          <t>R1103-v2</t>
        </is>
      </c>
      <c r="F144" s="23" t="inlineStr">
        <is>
          <t>1.1.1 Guideway and Civil - Guideway Structures</t>
        </is>
      </c>
      <c r="G144" s="23" t="inlineStr">
        <is>
          <t>ONE_TO_ONE</t>
        </is>
      </c>
      <c r="H144" s="23" t="inlineStr">
        <is>
          <t>RETAINED</t>
        </is>
      </c>
      <c r="I144" s="23" t="inlineStr">
        <is>
          <t>Carried forward</t>
        </is>
      </c>
      <c r="J144" s="23" t="inlineStr">
        <is>
          <t>Source assignment -- not individually reviewed</t>
        </is>
      </c>
      <c r="K144" s="23" t="inlineStr"/>
      <c r="L144" s="23" t="inlineStr"/>
      <c r="M144" s="23" t="inlineStr"/>
      <c r="N144" s="14" t="inlineStr">
        <is>
          <t>10 EVIDENCE &amp; DECISIONS</t>
        </is>
      </c>
    </row>
    <row r="145" ht="34" customHeight="1">
      <c r="A145" s="23" t="inlineStr">
        <is>
          <t>Cost &amp; Forecast Control Accounts</t>
        </is>
      </c>
      <c r="B145" s="23" t="inlineStr">
        <is>
          <t>CST-01-023</t>
        </is>
      </c>
      <c r="C145" s="23" t="inlineStr">
        <is>
          <t>Guideway and Civil - temporary works - closeout</t>
        </is>
      </c>
      <c r="D145" s="23" t="inlineStr">
        <is>
          <t>Cost Account = CA-1023; WBS Code = 1.1.1</t>
        </is>
      </c>
      <c r="E145" s="23" t="inlineStr">
        <is>
          <t>R1105-v2</t>
        </is>
      </c>
      <c r="F145" s="23" t="inlineStr">
        <is>
          <t>1.1.1 Guideway and Civil - Guideway Structures</t>
        </is>
      </c>
      <c r="G145" s="23" t="inlineStr">
        <is>
          <t>ONE_TO_ONE</t>
        </is>
      </c>
      <c r="H145" s="23" t="inlineStr">
        <is>
          <t>RETAINED</t>
        </is>
      </c>
      <c r="I145" s="23" t="inlineStr">
        <is>
          <t>Carried forward</t>
        </is>
      </c>
      <c r="J145" s="23" t="inlineStr">
        <is>
          <t>Source assignment -- not individually reviewed</t>
        </is>
      </c>
      <c r="K145" s="23" t="inlineStr"/>
      <c r="L145" s="23" t="inlineStr"/>
      <c r="M145" s="23" t="inlineStr"/>
      <c r="N145" s="14" t="inlineStr">
        <is>
          <t>10 EVIDENCE &amp; DECISIONS</t>
        </is>
      </c>
    </row>
    <row r="146" ht="34" customHeight="1">
      <c r="A146" s="23" t="inlineStr">
        <is>
          <t>Cost &amp; Forecast Control Accounts</t>
        </is>
      </c>
      <c r="B146" s="23" t="inlineStr">
        <is>
          <t>CST-01-025</t>
        </is>
      </c>
      <c r="C146" s="23" t="inlineStr">
        <is>
          <t>Guideway and Civil - roadworks - supply and install</t>
        </is>
      </c>
      <c r="D146" s="23" t="inlineStr">
        <is>
          <t>Cost Account = CA-1025; WBS Code = 1.1.1</t>
        </is>
      </c>
      <c r="E146" s="23" t="inlineStr">
        <is>
          <t>R1107-v2</t>
        </is>
      </c>
      <c r="F146" s="23" t="inlineStr">
        <is>
          <t>1.1.1 Guideway and Civil - Guideway Structures</t>
        </is>
      </c>
      <c r="G146" s="23" t="inlineStr">
        <is>
          <t>ONE_TO_ONE</t>
        </is>
      </c>
      <c r="H146" s="23" t="inlineStr">
        <is>
          <t>RETAINED</t>
        </is>
      </c>
      <c r="I146" s="23" t="inlineStr">
        <is>
          <t>Carried forward</t>
        </is>
      </c>
      <c r="J146" s="23" t="inlineStr">
        <is>
          <t>Source assignment -- not individually reviewed</t>
        </is>
      </c>
      <c r="K146" s="23" t="inlineStr"/>
      <c r="L146" s="23" t="inlineStr"/>
      <c r="M146" s="23" t="inlineStr"/>
      <c r="N146" s="14" t="inlineStr">
        <is>
          <t>10 EVIDENCE &amp; DECISIONS</t>
        </is>
      </c>
    </row>
    <row r="147" ht="34" customHeight="1">
      <c r="A147" s="23" t="inlineStr">
        <is>
          <t>Cost &amp; Forecast Control Accounts</t>
        </is>
      </c>
      <c r="B147" s="23" t="inlineStr">
        <is>
          <t>CST-01-027</t>
        </is>
      </c>
      <c r="C147" s="23" t="inlineStr">
        <is>
          <t>Guideway and Civil - concrete structures - allowance</t>
        </is>
      </c>
      <c r="D147" s="23" t="inlineStr">
        <is>
          <t>Cost Account = CA-1027; WBS Code = 1.1.1</t>
        </is>
      </c>
      <c r="E147" s="23" t="inlineStr">
        <is>
          <t>R1109-v2</t>
        </is>
      </c>
      <c r="F147" s="23" t="inlineStr">
        <is>
          <t>1.1.1 Guideway and Civil - Guideway Structures</t>
        </is>
      </c>
      <c r="G147" s="23" t="inlineStr">
        <is>
          <t>ONE_TO_ONE</t>
        </is>
      </c>
      <c r="H147" s="23" t="inlineStr">
        <is>
          <t>RETAINED</t>
        </is>
      </c>
      <c r="I147" s="23" t="inlineStr">
        <is>
          <t>Carried forward</t>
        </is>
      </c>
      <c r="J147" s="23" t="inlineStr">
        <is>
          <t>Source assignment -- not individually reviewed</t>
        </is>
      </c>
      <c r="K147" s="23" t="inlineStr"/>
      <c r="L147" s="23" t="inlineStr"/>
      <c r="M147" s="23" t="inlineStr"/>
      <c r="N147" s="14" t="inlineStr">
        <is>
          <t>10 EVIDENCE &amp; DECISIONS</t>
        </is>
      </c>
    </row>
    <row r="148" ht="34" customHeight="1">
      <c r="A148" s="23" t="inlineStr">
        <is>
          <t>Cost &amp; Forecast Control Accounts</t>
        </is>
      </c>
      <c r="B148" s="23" t="inlineStr">
        <is>
          <t>CST-01-029</t>
        </is>
      </c>
      <c r="C148" s="23" t="inlineStr">
        <is>
          <t>Guideway and Civil - temporary works - field package</t>
        </is>
      </c>
      <c r="D148" s="23" t="inlineStr">
        <is>
          <t>Cost Account = CA-1029; WBS Code = 1.1.1</t>
        </is>
      </c>
      <c r="E148" s="23" t="inlineStr">
        <is>
          <t>R1111-v2</t>
        </is>
      </c>
      <c r="F148" s="23" t="inlineStr">
        <is>
          <t>1.1.1 Guideway and Civil - Guideway Structures</t>
        </is>
      </c>
      <c r="G148" s="23" t="inlineStr">
        <is>
          <t>ONE_TO_ONE</t>
        </is>
      </c>
      <c r="H148" s="23" t="inlineStr">
        <is>
          <t>RETAINED</t>
        </is>
      </c>
      <c r="I148" s="23" t="inlineStr">
        <is>
          <t>Carried forward</t>
        </is>
      </c>
      <c r="J148" s="23" t="inlineStr">
        <is>
          <t>Source assignment -- not individually reviewed</t>
        </is>
      </c>
      <c r="K148" s="23" t="inlineStr"/>
      <c r="L148" s="23" t="inlineStr"/>
      <c r="M148" s="23" t="inlineStr"/>
      <c r="N148" s="14" t="inlineStr">
        <is>
          <t>10 EVIDENCE &amp; DECISIONS</t>
        </is>
      </c>
    </row>
    <row r="149" ht="34" customHeight="1">
      <c r="A149" s="23" t="inlineStr">
        <is>
          <t>Cost &amp; Forecast Control Accounts</t>
        </is>
      </c>
      <c r="B149" s="23" t="inlineStr">
        <is>
          <t>CST-01-031</t>
        </is>
      </c>
      <c r="C149" s="23" t="inlineStr">
        <is>
          <t>Guideway and Civil - roadworks - professional services</t>
        </is>
      </c>
      <c r="D149" s="23" t="inlineStr">
        <is>
          <t>Cost Account = CA-1031; WBS Code = 1.1.1</t>
        </is>
      </c>
      <c r="E149" s="23" t="inlineStr">
        <is>
          <t>R1113-v2</t>
        </is>
      </c>
      <c r="F149" s="23" t="inlineStr">
        <is>
          <t>1.1.1 Guideway and Civil - Guideway Structures</t>
        </is>
      </c>
      <c r="G149" s="23" t="inlineStr">
        <is>
          <t>ONE_TO_ONE</t>
        </is>
      </c>
      <c r="H149" s="23" t="inlineStr">
        <is>
          <t>RETAINED</t>
        </is>
      </c>
      <c r="I149" s="23" t="inlineStr">
        <is>
          <t>Carried forward</t>
        </is>
      </c>
      <c r="J149" s="23" t="inlineStr">
        <is>
          <t>Source assignment -- not individually reviewed</t>
        </is>
      </c>
      <c r="K149" s="23" t="inlineStr"/>
      <c r="L149" s="23" t="inlineStr"/>
      <c r="M149" s="23" t="inlineStr"/>
      <c r="N149" s="14" t="inlineStr">
        <is>
          <t>10 EVIDENCE &amp; DECISIONS</t>
        </is>
      </c>
    </row>
    <row r="150" ht="34" customHeight="1">
      <c r="A150" s="23" t="inlineStr">
        <is>
          <t>Cost &amp; Forecast Control Accounts</t>
        </is>
      </c>
      <c r="B150" s="23" t="inlineStr">
        <is>
          <t>CST-01-033</t>
        </is>
      </c>
      <c r="C150" s="23" t="inlineStr">
        <is>
          <t>Guideway and Civil - concrete structures - closeout</t>
        </is>
      </c>
      <c r="D150" s="23" t="inlineStr">
        <is>
          <t>Cost Account = CA-1033; WBS Code = 1.1.1</t>
        </is>
      </c>
      <c r="E150" s="23" t="inlineStr">
        <is>
          <t>R1115-v2</t>
        </is>
      </c>
      <c r="F150" s="23" t="inlineStr">
        <is>
          <t>1.1.1 Guideway and Civil - Guideway Structures</t>
        </is>
      </c>
      <c r="G150" s="23" t="inlineStr">
        <is>
          <t>ONE_TO_ONE</t>
        </is>
      </c>
      <c r="H150" s="23" t="inlineStr">
        <is>
          <t>RETAINED</t>
        </is>
      </c>
      <c r="I150" s="23" t="inlineStr">
        <is>
          <t>Carried forward</t>
        </is>
      </c>
      <c r="J150" s="23" t="inlineStr">
        <is>
          <t>Source assignment -- not individually reviewed</t>
        </is>
      </c>
      <c r="K150" s="23" t="inlineStr"/>
      <c r="L150" s="23" t="inlineStr"/>
      <c r="M150" s="23" t="inlineStr"/>
      <c r="N150" s="14" t="inlineStr">
        <is>
          <t>10 EVIDENCE &amp; DECISIONS</t>
        </is>
      </c>
    </row>
    <row r="151" ht="34" customHeight="1">
      <c r="A151" s="23" t="inlineStr">
        <is>
          <t>Cost &amp; Forecast Control Accounts</t>
        </is>
      </c>
      <c r="B151" s="23" t="inlineStr">
        <is>
          <t>CST-01-035</t>
        </is>
      </c>
      <c r="C151" s="23" t="inlineStr">
        <is>
          <t>Guideway and Civil - temporary works - supply and install</t>
        </is>
      </c>
      <c r="D151" s="23" t="inlineStr">
        <is>
          <t>Cost Account = CA-1035; WBS Code = 1.1.1</t>
        </is>
      </c>
      <c r="E151" s="23" t="inlineStr">
        <is>
          <t>R1117-v2</t>
        </is>
      </c>
      <c r="F151" s="23" t="inlineStr">
        <is>
          <t>1.1.1 Guideway and Civil - Guideway Structures</t>
        </is>
      </c>
      <c r="G151" s="23" t="inlineStr">
        <is>
          <t>ONE_TO_ONE</t>
        </is>
      </c>
      <c r="H151" s="23" t="inlineStr">
        <is>
          <t>RETAINED</t>
        </is>
      </c>
      <c r="I151" s="23" t="inlineStr">
        <is>
          <t>Carried forward</t>
        </is>
      </c>
      <c r="J151" s="23" t="inlineStr">
        <is>
          <t>Source assignment -- not individually reviewed</t>
        </is>
      </c>
      <c r="K151" s="23" t="inlineStr"/>
      <c r="L151" s="23" t="inlineStr"/>
      <c r="M151" s="23" t="inlineStr"/>
      <c r="N151" s="14" t="inlineStr">
        <is>
          <t>10 EVIDENCE &amp; DECISIONS</t>
        </is>
      </c>
    </row>
    <row r="152" ht="34" customHeight="1">
      <c r="A152" s="23" t="inlineStr">
        <is>
          <t>Cost &amp; Forecast Control Accounts</t>
        </is>
      </c>
      <c r="B152" s="23" t="inlineStr">
        <is>
          <t>CST-01-037</t>
        </is>
      </c>
      <c r="C152" s="23" t="inlineStr">
        <is>
          <t>Guideway and Civil - roadworks - allowance</t>
        </is>
      </c>
      <c r="D152" s="23" t="inlineStr">
        <is>
          <t>Cost Account = CA-1037; WBS Code = 1.1.1</t>
        </is>
      </c>
      <c r="E152" s="23" t="inlineStr">
        <is>
          <t>R1119-v2</t>
        </is>
      </c>
      <c r="F152" s="23" t="inlineStr">
        <is>
          <t>1.1.1 Guideway and Civil - Guideway Structures</t>
        </is>
      </c>
      <c r="G152" s="23" t="inlineStr">
        <is>
          <t>ONE_TO_ONE</t>
        </is>
      </c>
      <c r="H152" s="23" t="inlineStr">
        <is>
          <t>RETAINED</t>
        </is>
      </c>
      <c r="I152" s="23" t="inlineStr">
        <is>
          <t>Carried forward</t>
        </is>
      </c>
      <c r="J152" s="23" t="inlineStr">
        <is>
          <t>Source assignment -- not individually reviewed</t>
        </is>
      </c>
      <c r="K152" s="23" t="inlineStr"/>
      <c r="L152" s="23" t="inlineStr"/>
      <c r="M152" s="23" t="inlineStr"/>
      <c r="N152" s="14" t="inlineStr">
        <is>
          <t>10 EVIDENCE &amp; DECISIONS</t>
        </is>
      </c>
    </row>
    <row r="153" ht="34" customHeight="1">
      <c r="A153" s="23" t="inlineStr">
        <is>
          <t>Cost &amp; Forecast Control Accounts</t>
        </is>
      </c>
      <c r="B153" s="23" t="inlineStr">
        <is>
          <t>CST-01-039</t>
        </is>
      </c>
      <c r="C153" s="23" t="inlineStr">
        <is>
          <t>Guideway and Civil - concrete structures - field package</t>
        </is>
      </c>
      <c r="D153" s="23" t="inlineStr">
        <is>
          <t>Cost Account = CA-1039; WBS Code = 1.1.1</t>
        </is>
      </c>
      <c r="E153" s="23" t="inlineStr">
        <is>
          <t>R1121-v2</t>
        </is>
      </c>
      <c r="F153" s="23" t="inlineStr">
        <is>
          <t>1.1.1 Guideway and Civil - Guideway Structures</t>
        </is>
      </c>
      <c r="G153" s="23" t="inlineStr">
        <is>
          <t>ONE_TO_ONE</t>
        </is>
      </c>
      <c r="H153" s="23" t="inlineStr">
        <is>
          <t>RETAINED</t>
        </is>
      </c>
      <c r="I153" s="23" t="inlineStr">
        <is>
          <t>Carried forward</t>
        </is>
      </c>
      <c r="J153" s="23" t="inlineStr">
        <is>
          <t>Source assignment -- not individually reviewed</t>
        </is>
      </c>
      <c r="K153" s="23" t="inlineStr"/>
      <c r="L153" s="23" t="inlineStr"/>
      <c r="M153" s="23" t="inlineStr"/>
      <c r="N153" s="14" t="inlineStr">
        <is>
          <t>10 EVIDENCE &amp; DECISIONS</t>
        </is>
      </c>
    </row>
    <row r="154" ht="34" customHeight="1">
      <c r="A154" s="23" t="inlineStr">
        <is>
          <t>Cost &amp; Forecast Control Accounts</t>
        </is>
      </c>
      <c r="B154" s="23" t="inlineStr">
        <is>
          <t>CST-01-041</t>
        </is>
      </c>
      <c r="C154" s="23" t="inlineStr">
        <is>
          <t>Guideway and Civil - temporary works - professional services</t>
        </is>
      </c>
      <c r="D154" s="23" t="inlineStr">
        <is>
          <t>Cost Account = CA-1041; WBS Code = 1.1.1</t>
        </is>
      </c>
      <c r="E154" s="23" t="inlineStr">
        <is>
          <t>R1123-v2</t>
        </is>
      </c>
      <c r="F154" s="23" t="inlineStr">
        <is>
          <t>1.1.1 Guideway and Civil - Guideway Structures</t>
        </is>
      </c>
      <c r="G154" s="23" t="inlineStr">
        <is>
          <t>ONE_TO_ONE</t>
        </is>
      </c>
      <c r="H154" s="23" t="inlineStr">
        <is>
          <t>RETAINED</t>
        </is>
      </c>
      <c r="I154" s="23" t="inlineStr">
        <is>
          <t>Carried forward</t>
        </is>
      </c>
      <c r="J154" s="23" t="inlineStr">
        <is>
          <t>Source assignment -- not individually reviewed</t>
        </is>
      </c>
      <c r="K154" s="23" t="inlineStr"/>
      <c r="L154" s="23" t="inlineStr"/>
      <c r="M154" s="23" t="inlineStr"/>
      <c r="N154" s="14" t="inlineStr">
        <is>
          <t>10 EVIDENCE &amp; DECISIONS</t>
        </is>
      </c>
    </row>
    <row r="155" ht="34" customHeight="1">
      <c r="A155" s="23" t="inlineStr">
        <is>
          <t>Cost &amp; Forecast Control Accounts</t>
        </is>
      </c>
      <c r="B155" s="23" t="inlineStr">
        <is>
          <t>CST-01-043</t>
        </is>
      </c>
      <c r="C155" s="23" t="inlineStr">
        <is>
          <t>Guideway and Civil - roadworks - closeout</t>
        </is>
      </c>
      <c r="D155" s="23" t="inlineStr">
        <is>
          <t>Cost Account = CA-1043; WBS Code = 1.1.1</t>
        </is>
      </c>
      <c r="E155" s="23" t="inlineStr">
        <is>
          <t>R1125-v2</t>
        </is>
      </c>
      <c r="F155" s="23" t="inlineStr">
        <is>
          <t>1.1.1 Guideway and Civil - Guideway Structures</t>
        </is>
      </c>
      <c r="G155" s="23" t="inlineStr">
        <is>
          <t>ONE_TO_ONE</t>
        </is>
      </c>
      <c r="H155" s="23" t="inlineStr">
        <is>
          <t>RETAINED</t>
        </is>
      </c>
      <c r="I155" s="23" t="inlineStr">
        <is>
          <t>Carried forward</t>
        </is>
      </c>
      <c r="J155" s="23" t="inlineStr">
        <is>
          <t>Source assignment -- not individually reviewed</t>
        </is>
      </c>
      <c r="K155" s="23" t="inlineStr"/>
      <c r="L155" s="23" t="inlineStr"/>
      <c r="M155" s="23" t="inlineStr"/>
      <c r="N155" s="14" t="inlineStr">
        <is>
          <t>10 EVIDENCE &amp; DECISIONS</t>
        </is>
      </c>
    </row>
    <row r="156" ht="34" customHeight="1">
      <c r="A156" s="23" t="inlineStr">
        <is>
          <t>Cost &amp; Forecast Control Accounts</t>
        </is>
      </c>
      <c r="B156" s="23" t="inlineStr">
        <is>
          <t>CST-01-045</t>
        </is>
      </c>
      <c r="C156" s="23" t="inlineStr">
        <is>
          <t>Guideway and Civil - concrete structures - supply and install</t>
        </is>
      </c>
      <c r="D156" s="23" t="inlineStr">
        <is>
          <t>Cost Account = CA-1045; WBS Code = 1.1.1</t>
        </is>
      </c>
      <c r="E156" s="23" t="inlineStr">
        <is>
          <t>R1127-v2</t>
        </is>
      </c>
      <c r="F156" s="23" t="inlineStr">
        <is>
          <t>1.1.1 Guideway and Civil - Guideway Structures</t>
        </is>
      </c>
      <c r="G156" s="23" t="inlineStr">
        <is>
          <t>ONE_TO_ONE</t>
        </is>
      </c>
      <c r="H156" s="23" t="inlineStr">
        <is>
          <t>RETAINED</t>
        </is>
      </c>
      <c r="I156" s="23" t="inlineStr">
        <is>
          <t>Carried forward</t>
        </is>
      </c>
      <c r="J156" s="23" t="inlineStr">
        <is>
          <t>Source assignment -- not individually reviewed</t>
        </is>
      </c>
      <c r="K156" s="23" t="inlineStr"/>
      <c r="L156" s="23" t="inlineStr"/>
      <c r="M156" s="23" t="inlineStr"/>
      <c r="N156" s="14" t="inlineStr">
        <is>
          <t>10 EVIDENCE &amp; DECISIONS</t>
        </is>
      </c>
    </row>
    <row r="157" ht="34" customHeight="1">
      <c r="A157" s="23" t="inlineStr">
        <is>
          <t>Cost &amp; Forecast Control Accounts</t>
        </is>
      </c>
      <c r="B157" s="23" t="inlineStr">
        <is>
          <t>CST-01-047</t>
        </is>
      </c>
      <c r="C157" s="23" t="inlineStr">
        <is>
          <t>Guideway and Civil - temporary works - allowance</t>
        </is>
      </c>
      <c r="D157" s="23" t="inlineStr">
        <is>
          <t>Cost Account = CA-1047; WBS Code = 1.1.1</t>
        </is>
      </c>
      <c r="E157" s="23" t="inlineStr">
        <is>
          <t>R1129-v2</t>
        </is>
      </c>
      <c r="F157" s="23" t="inlineStr">
        <is>
          <t>1.1.1 Guideway and Civil - Guideway Structures</t>
        </is>
      </c>
      <c r="G157" s="23" t="inlineStr">
        <is>
          <t>ONE_TO_ONE</t>
        </is>
      </c>
      <c r="H157" s="23" t="inlineStr">
        <is>
          <t>RETAINED</t>
        </is>
      </c>
      <c r="I157" s="23" t="inlineStr">
        <is>
          <t>Carried forward</t>
        </is>
      </c>
      <c r="J157" s="23" t="inlineStr">
        <is>
          <t>Source assignment -- not individually reviewed</t>
        </is>
      </c>
      <c r="K157" s="23" t="inlineStr"/>
      <c r="L157" s="23" t="inlineStr"/>
      <c r="M157" s="23" t="inlineStr"/>
      <c r="N157" s="14" t="inlineStr">
        <is>
          <t>10 EVIDENCE &amp; DECISIONS</t>
        </is>
      </c>
    </row>
    <row r="158" ht="34" customHeight="1">
      <c r="A158" s="23" t="inlineStr">
        <is>
          <t>Cost &amp; Forecast Control Accounts</t>
        </is>
      </c>
      <c r="B158" s="23" t="inlineStr">
        <is>
          <t>CST-01-049</t>
        </is>
      </c>
      <c r="C158" s="23" t="inlineStr">
        <is>
          <t>Guideway and Civil - roadworks - field package</t>
        </is>
      </c>
      <c r="D158" s="23" t="inlineStr">
        <is>
          <t>Cost Account = CA-1049; WBS Code = 1.1.1</t>
        </is>
      </c>
      <c r="E158" s="23" t="inlineStr">
        <is>
          <t>R1131-v2</t>
        </is>
      </c>
      <c r="F158" s="23" t="inlineStr">
        <is>
          <t>1.1.1 Guideway and Civil - Guideway Structures</t>
        </is>
      </c>
      <c r="G158" s="23" t="inlineStr">
        <is>
          <t>ONE_TO_ONE</t>
        </is>
      </c>
      <c r="H158" s="23" t="inlineStr">
        <is>
          <t>RETAINED</t>
        </is>
      </c>
      <c r="I158" s="23" t="inlineStr">
        <is>
          <t>Carried forward</t>
        </is>
      </c>
      <c r="J158" s="23" t="inlineStr">
        <is>
          <t>Source assignment -- not individually reviewed</t>
        </is>
      </c>
      <c r="K158" s="23" t="inlineStr"/>
      <c r="L158" s="23" t="inlineStr"/>
      <c r="M158" s="23" t="inlineStr"/>
      <c r="N158" s="14" t="inlineStr">
        <is>
          <t>10 EVIDENCE &amp; DECISIONS</t>
        </is>
      </c>
    </row>
    <row r="159" ht="34" customHeight="1">
      <c r="A159" s="23" t="inlineStr">
        <is>
          <t>Cost &amp; Forecast Control Accounts</t>
        </is>
      </c>
      <c r="B159" s="23" t="inlineStr">
        <is>
          <t>CST-01-051</t>
        </is>
      </c>
      <c r="C159" s="23" t="inlineStr">
        <is>
          <t>Guideway and Civil - concrete structures - professional services</t>
        </is>
      </c>
      <c r="D159" s="23" t="inlineStr">
        <is>
          <t>Cost Account = CA-1051; WBS Code = 1.1.1</t>
        </is>
      </c>
      <c r="E159" s="23" t="inlineStr">
        <is>
          <t>R1133-v2</t>
        </is>
      </c>
      <c r="F159" s="23" t="inlineStr">
        <is>
          <t>1.1.1 Guideway and Civil - Guideway Structures</t>
        </is>
      </c>
      <c r="G159" s="23" t="inlineStr">
        <is>
          <t>ONE_TO_ONE</t>
        </is>
      </c>
      <c r="H159" s="23" t="inlineStr">
        <is>
          <t>RETAINED</t>
        </is>
      </c>
      <c r="I159" s="23" t="inlineStr">
        <is>
          <t>Carried forward</t>
        </is>
      </c>
      <c r="J159" s="23" t="inlineStr">
        <is>
          <t>Source assignment -- not individually reviewed</t>
        </is>
      </c>
      <c r="K159" s="23" t="inlineStr"/>
      <c r="L159" s="23" t="inlineStr"/>
      <c r="M159" s="23" t="inlineStr"/>
      <c r="N159" s="14" t="inlineStr">
        <is>
          <t>10 EVIDENCE &amp; DECISIONS</t>
        </is>
      </c>
    </row>
    <row r="160" ht="34" customHeight="1">
      <c r="A160" s="23" t="inlineStr">
        <is>
          <t>Cost &amp; Forecast Control Accounts</t>
        </is>
      </c>
      <c r="B160" s="23" t="inlineStr">
        <is>
          <t>CST-01-053</t>
        </is>
      </c>
      <c r="C160" s="23" t="inlineStr">
        <is>
          <t>Guideway and Civil - temporary works - closeout</t>
        </is>
      </c>
      <c r="D160" s="23" t="inlineStr">
        <is>
          <t>Cost Account = CA-1053; WBS Code = 1.1.1</t>
        </is>
      </c>
      <c r="E160" s="23" t="inlineStr">
        <is>
          <t>R1135-v2</t>
        </is>
      </c>
      <c r="F160" s="23" t="inlineStr">
        <is>
          <t>1.1.1 Guideway and Civil - Guideway Structures</t>
        </is>
      </c>
      <c r="G160" s="23" t="inlineStr">
        <is>
          <t>ONE_TO_ONE</t>
        </is>
      </c>
      <c r="H160" s="23" t="inlineStr">
        <is>
          <t>RETAINED</t>
        </is>
      </c>
      <c r="I160" s="23" t="inlineStr">
        <is>
          <t>Carried forward</t>
        </is>
      </c>
      <c r="J160" s="23" t="inlineStr">
        <is>
          <t>Source assignment -- not individually reviewed</t>
        </is>
      </c>
      <c r="K160" s="23" t="inlineStr"/>
      <c r="L160" s="23" t="inlineStr"/>
      <c r="M160" s="23" t="inlineStr"/>
      <c r="N160" s="14" t="inlineStr">
        <is>
          <t>10 EVIDENCE &amp; DECISIONS</t>
        </is>
      </c>
    </row>
    <row r="161" ht="34" customHeight="1">
      <c r="A161" s="23" t="inlineStr">
        <is>
          <t>Cost &amp; Forecast Control Accounts</t>
        </is>
      </c>
      <c r="B161" s="23" t="inlineStr">
        <is>
          <t>CST-01-055</t>
        </is>
      </c>
      <c r="C161" s="23" t="inlineStr">
        <is>
          <t>Guideway and Civil - roadworks - supply and install</t>
        </is>
      </c>
      <c r="D161" s="23" t="inlineStr">
        <is>
          <t>Cost Account = CA-1055; WBS Code = 1.1.1</t>
        </is>
      </c>
      <c r="E161" s="23" t="inlineStr">
        <is>
          <t>R1137-v2</t>
        </is>
      </c>
      <c r="F161" s="23" t="inlineStr">
        <is>
          <t>1.1.1 Guideway and Civil - Guideway Structures</t>
        </is>
      </c>
      <c r="G161" s="23" t="inlineStr">
        <is>
          <t>ONE_TO_ONE</t>
        </is>
      </c>
      <c r="H161" s="23" t="inlineStr">
        <is>
          <t>RETAINED</t>
        </is>
      </c>
      <c r="I161" s="23" t="inlineStr">
        <is>
          <t>Carried forward</t>
        </is>
      </c>
      <c r="J161" s="23" t="inlineStr">
        <is>
          <t>Source assignment -- not individually reviewed</t>
        </is>
      </c>
      <c r="K161" s="23" t="inlineStr"/>
      <c r="L161" s="23" t="inlineStr"/>
      <c r="M161" s="23" t="inlineStr"/>
      <c r="N161" s="14" t="inlineStr">
        <is>
          <t>10 EVIDENCE &amp; DECISIONS</t>
        </is>
      </c>
    </row>
    <row r="162" ht="34" customHeight="1">
      <c r="A162" s="23" t="inlineStr">
        <is>
          <t>Cost &amp; Forecast Control Accounts</t>
        </is>
      </c>
      <c r="B162" s="23" t="inlineStr">
        <is>
          <t>CST-01-057</t>
        </is>
      </c>
      <c r="C162" s="23" t="inlineStr">
        <is>
          <t>Guideway and Civil - concrete structures - allowance</t>
        </is>
      </c>
      <c r="D162" s="23" t="inlineStr">
        <is>
          <t>Cost Account = CA-1057; WBS Code = 1.1.1</t>
        </is>
      </c>
      <c r="E162" s="23" t="inlineStr">
        <is>
          <t>R1139-v2</t>
        </is>
      </c>
      <c r="F162" s="23" t="inlineStr">
        <is>
          <t>1.1.1 Guideway and Civil - Guideway Structures</t>
        </is>
      </c>
      <c r="G162" s="23" t="inlineStr">
        <is>
          <t>ONE_TO_ONE</t>
        </is>
      </c>
      <c r="H162" s="23" t="inlineStr">
        <is>
          <t>RETAINED</t>
        </is>
      </c>
      <c r="I162" s="23" t="inlineStr">
        <is>
          <t>Carried forward</t>
        </is>
      </c>
      <c r="J162" s="23" t="inlineStr">
        <is>
          <t>Source assignment -- not individually reviewed</t>
        </is>
      </c>
      <c r="K162" s="23" t="inlineStr"/>
      <c r="L162" s="23" t="inlineStr"/>
      <c r="M162" s="23" t="inlineStr"/>
      <c r="N162" s="14" t="inlineStr">
        <is>
          <t>10 EVIDENCE &amp; DECISIONS</t>
        </is>
      </c>
    </row>
    <row r="163" ht="34" customHeight="1">
      <c r="A163" s="23" t="inlineStr">
        <is>
          <t>Cost &amp; Forecast Control Accounts</t>
        </is>
      </c>
      <c r="B163" s="23" t="inlineStr">
        <is>
          <t>CST-01-059</t>
        </is>
      </c>
      <c r="C163" s="23" t="inlineStr">
        <is>
          <t>Guideway and Civil - temporary works - field package</t>
        </is>
      </c>
      <c r="D163" s="23" t="inlineStr">
        <is>
          <t>Cost Account = CA-1059; WBS Code = 1.1.1</t>
        </is>
      </c>
      <c r="E163" s="23" t="inlineStr">
        <is>
          <t>R1141-v2</t>
        </is>
      </c>
      <c r="F163" s="23" t="inlineStr">
        <is>
          <t>1.1.1 Guideway and Civil - Guideway Structures</t>
        </is>
      </c>
      <c r="G163" s="23" t="inlineStr">
        <is>
          <t>ONE_TO_ONE</t>
        </is>
      </c>
      <c r="H163" s="23" t="inlineStr">
        <is>
          <t>RETAINED</t>
        </is>
      </c>
      <c r="I163" s="23" t="inlineStr">
        <is>
          <t>Carried forward</t>
        </is>
      </c>
      <c r="J163" s="23" t="inlineStr">
        <is>
          <t>Source assignment -- not individually reviewed</t>
        </is>
      </c>
      <c r="K163" s="23" t="inlineStr"/>
      <c r="L163" s="23" t="inlineStr"/>
      <c r="M163" s="23" t="inlineStr"/>
      <c r="N163" s="14" t="inlineStr">
        <is>
          <t>10 EVIDENCE &amp; DECISIONS</t>
        </is>
      </c>
    </row>
    <row r="164" ht="34" customHeight="1">
      <c r="A164" s="23" t="inlineStr">
        <is>
          <t>Cost &amp; Forecast Control Accounts</t>
        </is>
      </c>
      <c r="B164" s="23" t="inlineStr">
        <is>
          <t>CST-01-061</t>
        </is>
      </c>
      <c r="C164" s="23" t="inlineStr">
        <is>
          <t>Guideway and Civil - roadworks - professional services</t>
        </is>
      </c>
      <c r="D164" s="23" t="inlineStr">
        <is>
          <t>Cost Account = CA-1061; WBS Code = 1.1.1</t>
        </is>
      </c>
      <c r="E164" s="23" t="inlineStr">
        <is>
          <t>R1143-v2</t>
        </is>
      </c>
      <c r="F164" s="23" t="inlineStr">
        <is>
          <t>1.1.1 Guideway and Civil - Guideway Structures</t>
        </is>
      </c>
      <c r="G164" s="23" t="inlineStr">
        <is>
          <t>ONE_TO_ONE</t>
        </is>
      </c>
      <c r="H164" s="23" t="inlineStr">
        <is>
          <t>RETAINED</t>
        </is>
      </c>
      <c r="I164" s="23" t="inlineStr">
        <is>
          <t>Carried forward</t>
        </is>
      </c>
      <c r="J164" s="23" t="inlineStr">
        <is>
          <t>Source assignment -- not individually reviewed</t>
        </is>
      </c>
      <c r="K164" s="23" t="inlineStr"/>
      <c r="L164" s="23" t="inlineStr"/>
      <c r="M164" s="23" t="inlineStr"/>
      <c r="N164" s="14" t="inlineStr">
        <is>
          <t>10 EVIDENCE &amp; DECISIONS</t>
        </is>
      </c>
    </row>
    <row r="165" ht="34" customHeight="1">
      <c r="A165" s="23" t="inlineStr">
        <is>
          <t>Cost &amp; Forecast Control Accounts</t>
        </is>
      </c>
      <c r="B165" s="23" t="inlineStr">
        <is>
          <t>CST-01-063</t>
        </is>
      </c>
      <c r="C165" s="23" t="inlineStr">
        <is>
          <t>Guideway and Civil - concrete structures - closeout</t>
        </is>
      </c>
      <c r="D165" s="23" t="inlineStr">
        <is>
          <t>Cost Account = CA-1063; WBS Code = 1.1.1</t>
        </is>
      </c>
      <c r="E165" s="23" t="inlineStr">
        <is>
          <t>R1145-v2</t>
        </is>
      </c>
      <c r="F165" s="23" t="inlineStr">
        <is>
          <t>1.1.1 Guideway and Civil - Guideway Structures</t>
        </is>
      </c>
      <c r="G165" s="23" t="inlineStr">
        <is>
          <t>ONE_TO_ONE</t>
        </is>
      </c>
      <c r="H165" s="23" t="inlineStr">
        <is>
          <t>RETAINED</t>
        </is>
      </c>
      <c r="I165" s="23" t="inlineStr">
        <is>
          <t>Carried forward</t>
        </is>
      </c>
      <c r="J165" s="23" t="inlineStr">
        <is>
          <t>Source assignment -- not individually reviewed</t>
        </is>
      </c>
      <c r="K165" s="23" t="inlineStr"/>
      <c r="L165" s="23" t="inlineStr"/>
      <c r="M165" s="23" t="inlineStr"/>
      <c r="N165" s="14" t="inlineStr">
        <is>
          <t>10 EVIDENCE &amp; DECISIONS</t>
        </is>
      </c>
    </row>
    <row r="166" ht="34" customHeight="1">
      <c r="A166" s="23" t="inlineStr">
        <is>
          <t>Cost &amp; Forecast Control Accounts</t>
        </is>
      </c>
      <c r="B166" s="23" t="inlineStr">
        <is>
          <t>CST-01-065</t>
        </is>
      </c>
      <c r="C166" s="23" t="inlineStr">
        <is>
          <t>Guideway and Civil - temporary works - supply and install</t>
        </is>
      </c>
      <c r="D166" s="23" t="inlineStr">
        <is>
          <t>Cost Account = CA-1065; WBS Code = 1.1.1</t>
        </is>
      </c>
      <c r="E166" s="23" t="inlineStr">
        <is>
          <t>R1147-v2</t>
        </is>
      </c>
      <c r="F166" s="23" t="inlineStr">
        <is>
          <t>1.1.1 Guideway and Civil - Guideway Structures</t>
        </is>
      </c>
      <c r="G166" s="23" t="inlineStr">
        <is>
          <t>ONE_TO_ONE</t>
        </is>
      </c>
      <c r="H166" s="23" t="inlineStr">
        <is>
          <t>RETAINED</t>
        </is>
      </c>
      <c r="I166" s="23" t="inlineStr">
        <is>
          <t>Carried forward</t>
        </is>
      </c>
      <c r="J166" s="23" t="inlineStr">
        <is>
          <t>Source assignment -- not individually reviewed</t>
        </is>
      </c>
      <c r="K166" s="23" t="inlineStr"/>
      <c r="L166" s="23" t="inlineStr"/>
      <c r="M166" s="23" t="inlineStr"/>
      <c r="N166" s="14" t="inlineStr">
        <is>
          <t>10 EVIDENCE &amp; DECISIONS</t>
        </is>
      </c>
    </row>
    <row r="167" ht="34" customHeight="1">
      <c r="A167" s="23" t="inlineStr">
        <is>
          <t>Cost &amp; Forecast Control Accounts</t>
        </is>
      </c>
      <c r="B167" s="23" t="inlineStr">
        <is>
          <t>CST-01-067</t>
        </is>
      </c>
      <c r="C167" s="23" t="inlineStr">
        <is>
          <t>Guideway and Civil - roadworks - allowance</t>
        </is>
      </c>
      <c r="D167" s="23" t="inlineStr">
        <is>
          <t>Cost Account = CA-1067; WBS Code = 1.1.1</t>
        </is>
      </c>
      <c r="E167" s="23" t="inlineStr">
        <is>
          <t>R1149-v2</t>
        </is>
      </c>
      <c r="F167" s="23" t="inlineStr">
        <is>
          <t>1.1.1 Guideway and Civil - Guideway Structures</t>
        </is>
      </c>
      <c r="G167" s="23" t="inlineStr">
        <is>
          <t>ONE_TO_ONE</t>
        </is>
      </c>
      <c r="H167" s="23" t="inlineStr">
        <is>
          <t>RETAINED</t>
        </is>
      </c>
      <c r="I167" s="23" t="inlineStr">
        <is>
          <t>Carried forward</t>
        </is>
      </c>
      <c r="J167" s="23" t="inlineStr">
        <is>
          <t>Source assignment -- not individually reviewed</t>
        </is>
      </c>
      <c r="K167" s="23" t="inlineStr"/>
      <c r="L167" s="23" t="inlineStr"/>
      <c r="M167" s="23" t="inlineStr"/>
      <c r="N167" s="14" t="inlineStr">
        <is>
          <t>10 EVIDENCE &amp; DECISIONS</t>
        </is>
      </c>
    </row>
    <row r="168" ht="34" customHeight="1">
      <c r="A168" s="23" t="inlineStr">
        <is>
          <t>Cost &amp; Forecast Control Accounts</t>
        </is>
      </c>
      <c r="B168" s="23" t="inlineStr">
        <is>
          <t>CST-01-069</t>
        </is>
      </c>
      <c r="C168" s="23" t="inlineStr">
        <is>
          <t>Guideway and Civil - concrete structures - field package</t>
        </is>
      </c>
      <c r="D168" s="23" t="inlineStr">
        <is>
          <t>Cost Account = CA-1069; WBS Code = 1.1.1</t>
        </is>
      </c>
      <c r="E168" s="23" t="inlineStr">
        <is>
          <t>R1151-v2</t>
        </is>
      </c>
      <c r="F168" s="23" t="inlineStr">
        <is>
          <t>1.1.1 Guideway and Civil - Guideway Structures</t>
        </is>
      </c>
      <c r="G168" s="23" t="inlineStr">
        <is>
          <t>ONE_TO_ONE</t>
        </is>
      </c>
      <c r="H168" s="23" t="inlineStr">
        <is>
          <t>RETAINED</t>
        </is>
      </c>
      <c r="I168" s="23" t="inlineStr">
        <is>
          <t>Carried forward</t>
        </is>
      </c>
      <c r="J168" s="23" t="inlineStr">
        <is>
          <t>Source assignment -- not individually reviewed</t>
        </is>
      </c>
      <c r="K168" s="23" t="inlineStr"/>
      <c r="L168" s="23" t="inlineStr"/>
      <c r="M168" s="23" t="inlineStr"/>
      <c r="N168" s="14" t="inlineStr">
        <is>
          <t>10 EVIDENCE &amp; DECISIONS</t>
        </is>
      </c>
    </row>
    <row r="169" ht="34" customHeight="1">
      <c r="A169" s="23" t="inlineStr">
        <is>
          <t>Cost &amp; Forecast Control Accounts</t>
        </is>
      </c>
      <c r="B169" s="23" t="inlineStr">
        <is>
          <t>CST-01-071</t>
        </is>
      </c>
      <c r="C169" s="23" t="inlineStr">
        <is>
          <t>Guideway and Civil - temporary works - professional services</t>
        </is>
      </c>
      <c r="D169" s="23" t="inlineStr">
        <is>
          <t>Cost Account = CA-1071; WBS Code = 1.1.1</t>
        </is>
      </c>
      <c r="E169" s="23" t="inlineStr">
        <is>
          <t>R1153-v2</t>
        </is>
      </c>
      <c r="F169" s="23" t="inlineStr">
        <is>
          <t>1.1.1 Guideway and Civil - Guideway Structures</t>
        </is>
      </c>
      <c r="G169" s="23" t="inlineStr">
        <is>
          <t>ONE_TO_ONE</t>
        </is>
      </c>
      <c r="H169" s="23" t="inlineStr">
        <is>
          <t>RETAINED</t>
        </is>
      </c>
      <c r="I169" s="23" t="inlineStr">
        <is>
          <t>Carried forward</t>
        </is>
      </c>
      <c r="J169" s="23" t="inlineStr">
        <is>
          <t>Source assignment -- not individually reviewed</t>
        </is>
      </c>
      <c r="K169" s="23" t="inlineStr"/>
      <c r="L169" s="23" t="inlineStr"/>
      <c r="M169" s="23" t="inlineStr"/>
      <c r="N169" s="14" t="inlineStr">
        <is>
          <t>10 EVIDENCE &amp; DECISIONS</t>
        </is>
      </c>
    </row>
    <row r="170" ht="34" customHeight="1">
      <c r="A170" s="23" t="inlineStr">
        <is>
          <t>Cost &amp; Forecast Control Accounts</t>
        </is>
      </c>
      <c r="B170" s="23" t="inlineStr">
        <is>
          <t>CST-01-073</t>
        </is>
      </c>
      <c r="C170" s="23" t="inlineStr">
        <is>
          <t>Guideway and Civil - roadworks - closeout</t>
        </is>
      </c>
      <c r="D170" s="23" t="inlineStr">
        <is>
          <t>Cost Account = CA-1073; WBS Code = 1.1.1</t>
        </is>
      </c>
      <c r="E170" s="23" t="inlineStr">
        <is>
          <t>R1155-v2</t>
        </is>
      </c>
      <c r="F170" s="23" t="inlineStr">
        <is>
          <t>1.1.1 Guideway and Civil - Guideway Structures</t>
        </is>
      </c>
      <c r="G170" s="23" t="inlineStr">
        <is>
          <t>ONE_TO_ONE</t>
        </is>
      </c>
      <c r="H170" s="23" t="inlineStr">
        <is>
          <t>RETAINED</t>
        </is>
      </c>
      <c r="I170" s="23" t="inlineStr">
        <is>
          <t>Carried forward</t>
        </is>
      </c>
      <c r="J170" s="23" t="inlineStr">
        <is>
          <t>Source assignment -- not individually reviewed</t>
        </is>
      </c>
      <c r="K170" s="23" t="inlineStr"/>
      <c r="L170" s="23" t="inlineStr"/>
      <c r="M170" s="23" t="inlineStr"/>
      <c r="N170" s="14" t="inlineStr">
        <is>
          <t>10 EVIDENCE &amp; DECISIONS</t>
        </is>
      </c>
    </row>
    <row r="171" ht="34" customHeight="1">
      <c r="A171" s="23" t="inlineStr">
        <is>
          <t>Cost &amp; Forecast Control Accounts</t>
        </is>
      </c>
      <c r="B171" s="23" t="inlineStr">
        <is>
          <t>CST-01-075</t>
        </is>
      </c>
      <c r="C171" s="23" t="inlineStr">
        <is>
          <t>Guideway and Civil - concrete structures - supply and install</t>
        </is>
      </c>
      <c r="D171" s="23" t="inlineStr">
        <is>
          <t>Cost Account = CA-1075; WBS Code = 1.1.1</t>
        </is>
      </c>
      <c r="E171" s="23" t="inlineStr">
        <is>
          <t>R1157-v2</t>
        </is>
      </c>
      <c r="F171" s="23" t="inlineStr">
        <is>
          <t>1.1.1 Guideway and Civil - Guideway Structures</t>
        </is>
      </c>
      <c r="G171" s="23" t="inlineStr">
        <is>
          <t>ONE_TO_ONE</t>
        </is>
      </c>
      <c r="H171" s="23" t="inlineStr">
        <is>
          <t>RETAINED</t>
        </is>
      </c>
      <c r="I171" s="23" t="inlineStr">
        <is>
          <t>Carried forward</t>
        </is>
      </c>
      <c r="J171" s="23" t="inlineStr">
        <is>
          <t>Source assignment -- not individually reviewed</t>
        </is>
      </c>
      <c r="K171" s="23" t="inlineStr"/>
      <c r="L171" s="23" t="inlineStr"/>
      <c r="M171" s="23" t="inlineStr"/>
      <c r="N171" s="14" t="inlineStr">
        <is>
          <t>10 EVIDENCE &amp; DECISIONS</t>
        </is>
      </c>
    </row>
    <row r="172" ht="34" customHeight="1">
      <c r="A172" s="23" t="inlineStr">
        <is>
          <t>Cost &amp; Forecast Control Accounts</t>
        </is>
      </c>
      <c r="B172" s="23" t="inlineStr">
        <is>
          <t>CST-01-077</t>
        </is>
      </c>
      <c r="C172" s="23" t="inlineStr">
        <is>
          <t>Guideway and Civil - temporary works - allowance</t>
        </is>
      </c>
      <c r="D172" s="23" t="inlineStr">
        <is>
          <t>Cost Account = CA-1077; WBS Code = 1.1.1</t>
        </is>
      </c>
      <c r="E172" s="23" t="inlineStr">
        <is>
          <t>R1159-v2</t>
        </is>
      </c>
      <c r="F172" s="23" t="inlineStr">
        <is>
          <t>1.1.1 Guideway and Civil - Guideway Structures</t>
        </is>
      </c>
      <c r="G172" s="23" t="inlineStr">
        <is>
          <t>ONE_TO_ONE</t>
        </is>
      </c>
      <c r="H172" s="23" t="inlineStr">
        <is>
          <t>RETAINED</t>
        </is>
      </c>
      <c r="I172" s="23" t="inlineStr">
        <is>
          <t>Carried forward</t>
        </is>
      </c>
      <c r="J172" s="23" t="inlineStr">
        <is>
          <t>Source assignment -- not individually reviewed</t>
        </is>
      </c>
      <c r="K172" s="23" t="inlineStr"/>
      <c r="L172" s="23" t="inlineStr"/>
      <c r="M172" s="23" t="inlineStr"/>
      <c r="N172" s="14" t="inlineStr">
        <is>
          <t>10 EVIDENCE &amp; DECISIONS</t>
        </is>
      </c>
    </row>
    <row r="173" ht="34" customHeight="1">
      <c r="A173" s="23" t="inlineStr">
        <is>
          <t>Cost &amp; Forecast Control Accounts</t>
        </is>
      </c>
      <c r="B173" s="23" t="inlineStr">
        <is>
          <t>CST-01-079</t>
        </is>
      </c>
      <c r="C173" s="23" t="inlineStr">
        <is>
          <t>Guideway and Civil - roadworks - field package</t>
        </is>
      </c>
      <c r="D173" s="23" t="inlineStr">
        <is>
          <t>Cost Account = CA-1079; WBS Code = 1.1.1</t>
        </is>
      </c>
      <c r="E173" s="23" t="inlineStr">
        <is>
          <t>R1161-v2</t>
        </is>
      </c>
      <c r="F173" s="23" t="inlineStr">
        <is>
          <t>1.1.1 Guideway and Civil - Guideway Structures</t>
        </is>
      </c>
      <c r="G173" s="23" t="inlineStr">
        <is>
          <t>ONE_TO_ONE</t>
        </is>
      </c>
      <c r="H173" s="23" t="inlineStr">
        <is>
          <t>RETAINED</t>
        </is>
      </c>
      <c r="I173" s="23" t="inlineStr">
        <is>
          <t>Carried forward</t>
        </is>
      </c>
      <c r="J173" s="23" t="inlineStr">
        <is>
          <t>Source assignment -- not individually reviewed</t>
        </is>
      </c>
      <c r="K173" s="23" t="inlineStr"/>
      <c r="L173" s="23" t="inlineStr"/>
      <c r="M173" s="23" t="inlineStr"/>
      <c r="N173" s="14" t="inlineStr">
        <is>
          <t>10 EVIDENCE &amp; DECISIONS</t>
        </is>
      </c>
    </row>
    <row r="174" ht="34" customHeight="1">
      <c r="A174" s="23" t="inlineStr">
        <is>
          <t>Cost &amp; Forecast Control Accounts</t>
        </is>
      </c>
      <c r="B174" s="23" t="inlineStr">
        <is>
          <t>CST-90-903</t>
        </is>
      </c>
      <c r="C174" s="23" t="inlineStr">
        <is>
          <t>Current-period authorized change allowance</t>
        </is>
      </c>
      <c r="D174" s="23" t="inlineStr">
        <is>
          <t>Cost Account = CA-1001; WBS Code = 1.1.1</t>
        </is>
      </c>
      <c r="E174" s="23" t="inlineStr">
        <is>
          <t>R1624-v1</t>
        </is>
      </c>
      <c r="F174" s="23" t="inlineStr">
        <is>
          <t>1.1.1 Guideway and Civil - Guideway Structures</t>
        </is>
      </c>
      <c r="G174" s="23" t="inlineStr">
        <is>
          <t>ONE_TO_ONE</t>
        </is>
      </c>
      <c r="H174" s="23" t="inlineStr">
        <is>
          <t>APPROVED</t>
        </is>
      </c>
      <c r="I174" s="23" t="inlineStr">
        <is>
          <t>New</t>
        </is>
      </c>
      <c r="J174" s="23" t="inlineStr">
        <is>
          <t>Source assignment -- not individually reviewed</t>
        </is>
      </c>
      <c r="K174" s="23" t="inlineStr"/>
      <c r="L174" s="23" t="inlineStr"/>
      <c r="M174" s="23" t="inlineStr"/>
      <c r="N174" s="14" t="inlineStr">
        <is>
          <t>10 EVIDENCE &amp; DECISIONS</t>
        </is>
      </c>
    </row>
    <row r="175" ht="34" customHeight="1">
      <c r="A175" s="23" t="inlineStr">
        <is>
          <t>Contractor Programme</t>
        </is>
      </c>
      <c r="B175" s="23" t="inlineStr">
        <is>
          <t>SCH-01-003</t>
        </is>
      </c>
      <c r="C175" s="23" t="inlineStr">
        <is>
          <t>Interface works near guideway and civil boundary</t>
        </is>
      </c>
      <c r="D175" s="23" t="inlineStr">
        <is>
          <t>WBS Code = 1.1.2</t>
        </is>
      </c>
      <c r="E175" s="23" t="inlineStr">
        <is>
          <t>R3-v2</t>
        </is>
      </c>
      <c r="F175" s="23" t="inlineStr">
        <is>
          <t>1.1.2 Guideway and Civil - Utility &amp; Roadworks</t>
        </is>
      </c>
      <c r="G175" s="23" t="inlineStr">
        <is>
          <t>ONE_TO_ONE</t>
        </is>
      </c>
      <c r="H175" s="23" t="inlineStr">
        <is>
          <t>RETAINED</t>
        </is>
      </c>
      <c r="I175" s="23" t="inlineStr">
        <is>
          <t>Carried forward</t>
        </is>
      </c>
      <c r="J175" s="23" t="inlineStr">
        <is>
          <t>Source assignment -- not individually reviewed</t>
        </is>
      </c>
      <c r="K175" s="23" t="inlineStr"/>
      <c r="L175" s="23" t="inlineStr"/>
      <c r="M175" s="23" t="inlineStr"/>
      <c r="N175" s="14" t="inlineStr">
        <is>
          <t>10 EVIDENCE &amp; DECISIONS</t>
        </is>
      </c>
    </row>
    <row r="176" ht="49" customHeight="1">
      <c r="A176" s="23" t="inlineStr">
        <is>
          <t>Contractor Programme</t>
        </is>
      </c>
      <c r="B176" s="23" t="inlineStr">
        <is>
          <t>SCH-01-005</t>
        </is>
      </c>
      <c r="C176" s="23" t="inlineStr">
        <is>
          <t>Central guideway: drilled-shaft installation - field start - relocated to adjacent governed scope</t>
        </is>
      </c>
      <c r="D176" s="23" t="inlineStr">
        <is>
          <t>WBS Code = 1.1.2</t>
        </is>
      </c>
      <c r="E176" s="23" t="inlineStr">
        <is>
          <t>R5-v3</t>
        </is>
      </c>
      <c r="F176" s="23" t="inlineStr">
        <is>
          <t>1.1.2 Guideway and Civil - Utility &amp; Roadworks</t>
        </is>
      </c>
      <c r="G176" s="23" t="inlineStr">
        <is>
          <t>ONE_TO_ONE</t>
        </is>
      </c>
      <c r="H176" s="23" t="inlineStr">
        <is>
          <t>APPROVED</t>
        </is>
      </c>
      <c r="I176" s="23" t="inlineStr">
        <is>
          <t>Changed, re-decided</t>
        </is>
      </c>
      <c r="J176" s="23" t="inlineStr">
        <is>
          <t>Professional decision</t>
        </is>
      </c>
      <c r="K176" s="23" t="inlineStr">
        <is>
          <t>Maya Chen, Owner Project Controls</t>
        </is>
      </c>
      <c r="L176" s="23" t="inlineStr"/>
      <c r="M176" s="23" t="inlineStr"/>
      <c r="N176" s="14" t="inlineStr">
        <is>
          <t>10 EVIDENCE &amp; DECISIONS</t>
        </is>
      </c>
    </row>
    <row r="177" ht="34" customHeight="1">
      <c r="A177" s="23" t="inlineStr">
        <is>
          <t>Contractor Programme</t>
        </is>
      </c>
      <c r="B177" s="23" t="inlineStr">
        <is>
          <t>SCH-01-006</t>
        </is>
      </c>
      <c r="C177" s="23" t="inlineStr">
        <is>
          <t>West approach: retaining-wall excavation - installation</t>
        </is>
      </c>
      <c r="D177" s="23" t="inlineStr">
        <is>
          <t>WBS Code = 1.1.2</t>
        </is>
      </c>
      <c r="E177" s="23" t="inlineStr">
        <is>
          <t>R6-v2</t>
        </is>
      </c>
      <c r="F177" s="23" t="inlineStr">
        <is>
          <t>1.1.2 Guideway and Civil - Utility &amp; Roadworks</t>
        </is>
      </c>
      <c r="G177" s="23" t="inlineStr">
        <is>
          <t>ONE_TO_ONE</t>
        </is>
      </c>
      <c r="H177" s="23" t="inlineStr">
        <is>
          <t>RETAINED</t>
        </is>
      </c>
      <c r="I177" s="23" t="inlineStr">
        <is>
          <t>Carried forward</t>
        </is>
      </c>
      <c r="J177" s="23" t="inlineStr">
        <is>
          <t>Source assignment -- not individually reviewed</t>
        </is>
      </c>
      <c r="K177" s="23" t="inlineStr"/>
      <c r="L177" s="23" t="inlineStr"/>
      <c r="M177" s="23" t="inlineStr"/>
      <c r="N177" s="14" t="inlineStr">
        <is>
          <t>10 EVIDENCE &amp; DECISIONS</t>
        </is>
      </c>
    </row>
    <row r="178" ht="34" customHeight="1">
      <c r="A178" s="23" t="inlineStr">
        <is>
          <t>Contractor Programme</t>
        </is>
      </c>
      <c r="B178" s="23" t="inlineStr">
        <is>
          <t>SCH-01-009</t>
        </is>
      </c>
      <c r="C178" s="23" t="inlineStr">
        <is>
          <t>River crossing: track-slab survey - release</t>
        </is>
      </c>
      <c r="D178" s="23" t="inlineStr">
        <is>
          <t>WBS Code = 1.1.2</t>
        </is>
      </c>
      <c r="E178" s="23" t="inlineStr">
        <is>
          <t>R9-v2</t>
        </is>
      </c>
      <c r="F178" s="23" t="inlineStr">
        <is>
          <t>1.1.2 Guideway and Civil - Utility &amp; Roadworks</t>
        </is>
      </c>
      <c r="G178" s="23" t="inlineStr">
        <is>
          <t>ONE_TO_ONE</t>
        </is>
      </c>
      <c r="H178" s="23" t="inlineStr">
        <is>
          <t>RETAINED</t>
        </is>
      </c>
      <c r="I178" s="23" t="inlineStr">
        <is>
          <t>Carried forward</t>
        </is>
      </c>
      <c r="J178" s="23" t="inlineStr">
        <is>
          <t>Source assignment -- not individually reviewed</t>
        </is>
      </c>
      <c r="K178" s="23" t="inlineStr"/>
      <c r="L178" s="23" t="inlineStr"/>
      <c r="M178" s="23" t="inlineStr"/>
      <c r="N178" s="14" t="inlineStr">
        <is>
          <t>10 EVIDENCE &amp; DECISIONS</t>
        </is>
      </c>
    </row>
    <row r="179" ht="34" customHeight="1">
      <c r="A179" s="23" t="inlineStr">
        <is>
          <t>Contractor Programme</t>
        </is>
      </c>
      <c r="B179" s="23" t="inlineStr">
        <is>
          <t>SCH-01-012</t>
        </is>
      </c>
      <c r="C179" s="23" t="inlineStr">
        <is>
          <t>Depot lead: road restoration - inspection</t>
        </is>
      </c>
      <c r="D179" s="23" t="inlineStr">
        <is>
          <t>WBS Code = 1.1.2</t>
        </is>
      </c>
      <c r="E179" s="23" t="inlineStr">
        <is>
          <t>R12-v2</t>
        </is>
      </c>
      <c r="F179" s="23" t="inlineStr">
        <is>
          <t>1.1.2 Guideway and Civil - Utility &amp; Roadworks</t>
        </is>
      </c>
      <c r="G179" s="23" t="inlineStr">
        <is>
          <t>ONE_TO_ONE</t>
        </is>
      </c>
      <c r="H179" s="23" t="inlineStr">
        <is>
          <t>RETAINED</t>
        </is>
      </c>
      <c r="I179" s="23" t="inlineStr">
        <is>
          <t>Carried forward</t>
        </is>
      </c>
      <c r="J179" s="23" t="inlineStr">
        <is>
          <t>Source assignment -- not individually reviewed</t>
        </is>
      </c>
      <c r="K179" s="23" t="inlineStr"/>
      <c r="L179" s="23" t="inlineStr"/>
      <c r="M179" s="23" t="inlineStr"/>
      <c r="N179" s="14" t="inlineStr">
        <is>
          <t>10 EVIDENCE &amp; DECISIONS</t>
        </is>
      </c>
    </row>
    <row r="180" ht="34" customHeight="1">
      <c r="A180" s="23" t="inlineStr">
        <is>
          <t>Contractor Programme</t>
        </is>
      </c>
      <c r="B180" s="23" t="inlineStr">
        <is>
          <t>SCH-01-015</t>
        </is>
      </c>
      <c r="C180" s="23" t="inlineStr">
        <is>
          <t>Central guideway: drainage tie-in - field start</t>
        </is>
      </c>
      <c r="D180" s="23" t="inlineStr">
        <is>
          <t>WBS Code = 1.1.2</t>
        </is>
      </c>
      <c r="E180" s="23" t="inlineStr">
        <is>
          <t>R15-v2</t>
        </is>
      </c>
      <c r="F180" s="23" t="inlineStr">
        <is>
          <t>1.1.2 Guideway and Civil - Utility &amp; Roadworks</t>
        </is>
      </c>
      <c r="G180" s="23" t="inlineStr">
        <is>
          <t>ONE_TO_ONE</t>
        </is>
      </c>
      <c r="H180" s="23" t="inlineStr">
        <is>
          <t>RETAINED</t>
        </is>
      </c>
      <c r="I180" s="23" t="inlineStr">
        <is>
          <t>Carried forward</t>
        </is>
      </c>
      <c r="J180" s="23" t="inlineStr">
        <is>
          <t>Source assignment -- not individually reviewed</t>
        </is>
      </c>
      <c r="K180" s="23" t="inlineStr"/>
      <c r="L180" s="23" t="inlineStr"/>
      <c r="M180" s="23" t="inlineStr"/>
      <c r="N180" s="14" t="inlineStr">
        <is>
          <t>10 EVIDENCE &amp; DECISIONS</t>
        </is>
      </c>
    </row>
    <row r="181" ht="34" customHeight="1">
      <c r="A181" s="23" t="inlineStr">
        <is>
          <t>Contractor Programme</t>
        </is>
      </c>
      <c r="B181" s="23" t="inlineStr">
        <is>
          <t>SCH-01-018</t>
        </is>
      </c>
      <c r="C181" s="23" t="inlineStr">
        <is>
          <t>East portal: temporary traffic staging - turnover</t>
        </is>
      </c>
      <c r="D181" s="23" t="inlineStr">
        <is>
          <t>WBS Code = 1.1.2</t>
        </is>
      </c>
      <c r="E181" s="23" t="inlineStr">
        <is>
          <t>R18-v2</t>
        </is>
      </c>
      <c r="F181" s="23" t="inlineStr">
        <is>
          <t>1.1.2 Guideway and Civil - Utility &amp; Roadworks</t>
        </is>
      </c>
      <c r="G181" s="23" t="inlineStr">
        <is>
          <t>ONE_TO_ONE</t>
        </is>
      </c>
      <c r="H181" s="23" t="inlineStr">
        <is>
          <t>RETAINED</t>
        </is>
      </c>
      <c r="I181" s="23" t="inlineStr">
        <is>
          <t>Carried forward</t>
        </is>
      </c>
      <c r="J181" s="23" t="inlineStr">
        <is>
          <t>Source assignment -- not individually reviewed</t>
        </is>
      </c>
      <c r="K181" s="23" t="inlineStr"/>
      <c r="L181" s="23" t="inlineStr"/>
      <c r="M181" s="23" t="inlineStr"/>
      <c r="N181" s="14" t="inlineStr">
        <is>
          <t>10 EVIDENCE &amp; DECISIONS</t>
        </is>
      </c>
    </row>
    <row r="182" ht="34" customHeight="1">
      <c r="A182" s="23" t="inlineStr">
        <is>
          <t>Contractor Programme</t>
        </is>
      </c>
      <c r="B182" s="23" t="inlineStr">
        <is>
          <t>SCH-01-021</t>
        </is>
      </c>
      <c r="C182" s="23" t="inlineStr">
        <is>
          <t>West approach: drilled-shaft installation - installation</t>
        </is>
      </c>
      <c r="D182" s="23" t="inlineStr">
        <is>
          <t>WBS Code = 1.1.2</t>
        </is>
      </c>
      <c r="E182" s="23" t="inlineStr">
        <is>
          <t>R21-v2</t>
        </is>
      </c>
      <c r="F182" s="23" t="inlineStr">
        <is>
          <t>1.1.2 Guideway and Civil - Utility &amp; Roadworks</t>
        </is>
      </c>
      <c r="G182" s="23" t="inlineStr">
        <is>
          <t>ONE_TO_ONE</t>
        </is>
      </c>
      <c r="H182" s="23" t="inlineStr">
        <is>
          <t>RETAINED</t>
        </is>
      </c>
      <c r="I182" s="23" t="inlineStr">
        <is>
          <t>Carried forward</t>
        </is>
      </c>
      <c r="J182" s="23" t="inlineStr">
        <is>
          <t>Source assignment -- not individually reviewed</t>
        </is>
      </c>
      <c r="K182" s="23" t="inlineStr"/>
      <c r="L182" s="23" t="inlineStr"/>
      <c r="M182" s="23" t="inlineStr"/>
      <c r="N182" s="14" t="inlineStr">
        <is>
          <t>10 EVIDENCE &amp; DECISIONS</t>
        </is>
      </c>
    </row>
    <row r="183" ht="34" customHeight="1">
      <c r="A183" s="23" t="inlineStr">
        <is>
          <t>Contractor Programme</t>
        </is>
      </c>
      <c r="B183" s="23" t="inlineStr">
        <is>
          <t>SCH-01-024</t>
        </is>
      </c>
      <c r="C183" s="23" t="inlineStr">
        <is>
          <t>River crossing: utility relocation - release</t>
        </is>
      </c>
      <c r="D183" s="23" t="inlineStr">
        <is>
          <t>WBS Code = 1.1.2</t>
        </is>
      </c>
      <c r="E183" s="23" t="inlineStr">
        <is>
          <t>R24-v2</t>
        </is>
      </c>
      <c r="F183" s="23" t="inlineStr">
        <is>
          <t>1.1.2 Guideway and Civil - Utility &amp; Roadworks</t>
        </is>
      </c>
      <c r="G183" s="23" t="inlineStr">
        <is>
          <t>ONE_TO_ONE</t>
        </is>
      </c>
      <c r="H183" s="23" t="inlineStr">
        <is>
          <t>RETAINED</t>
        </is>
      </c>
      <c r="I183" s="23" t="inlineStr">
        <is>
          <t>Carried forward</t>
        </is>
      </c>
      <c r="J183" s="23" t="inlineStr">
        <is>
          <t>Source assignment -- not individually reviewed</t>
        </is>
      </c>
      <c r="K183" s="23" t="inlineStr"/>
      <c r="L183" s="23" t="inlineStr"/>
      <c r="M183" s="23" t="inlineStr"/>
      <c r="N183" s="14" t="inlineStr">
        <is>
          <t>10 EVIDENCE &amp; DECISIONS</t>
        </is>
      </c>
    </row>
    <row r="184" ht="34" customHeight="1">
      <c r="A184" s="23" t="inlineStr">
        <is>
          <t>Contractor Programme</t>
        </is>
      </c>
      <c r="B184" s="23" t="inlineStr">
        <is>
          <t>SCH-01-027</t>
        </is>
      </c>
      <c r="C184" s="23" t="inlineStr">
        <is>
          <t>Depot lead: guideway pier reinforcement - inspection</t>
        </is>
      </c>
      <c r="D184" s="23" t="inlineStr">
        <is>
          <t>WBS Code = 1.1.2</t>
        </is>
      </c>
      <c r="E184" s="23" t="inlineStr">
        <is>
          <t>R27-v2</t>
        </is>
      </c>
      <c r="F184" s="23" t="inlineStr">
        <is>
          <t>1.1.2 Guideway and Civil - Utility &amp; Roadworks</t>
        </is>
      </c>
      <c r="G184" s="23" t="inlineStr">
        <is>
          <t>ONE_TO_ONE</t>
        </is>
      </c>
      <c r="H184" s="23" t="inlineStr">
        <is>
          <t>RETAINED</t>
        </is>
      </c>
      <c r="I184" s="23" t="inlineStr">
        <is>
          <t>Carried forward</t>
        </is>
      </c>
      <c r="J184" s="23" t="inlineStr">
        <is>
          <t>Source assignment -- not individually reviewed</t>
        </is>
      </c>
      <c r="K184" s="23" t="inlineStr"/>
      <c r="L184" s="23" t="inlineStr"/>
      <c r="M184" s="23" t="inlineStr"/>
      <c r="N184" s="14" t="inlineStr">
        <is>
          <t>10 EVIDENCE &amp; DECISIONS</t>
        </is>
      </c>
    </row>
    <row r="185" ht="34" customHeight="1">
      <c r="A185" s="23" t="inlineStr">
        <is>
          <t>Contractor Programme</t>
        </is>
      </c>
      <c r="B185" s="23" t="inlineStr">
        <is>
          <t>SCH-01-030</t>
        </is>
      </c>
      <c r="C185" s="23" t="inlineStr">
        <is>
          <t>Central guideway: retaining-wall excavation - field start</t>
        </is>
      </c>
      <c r="D185" s="23" t="inlineStr">
        <is>
          <t>WBS Code = 1.1.2</t>
        </is>
      </c>
      <c r="E185" s="23" t="inlineStr">
        <is>
          <t>R30-v2</t>
        </is>
      </c>
      <c r="F185" s="23" t="inlineStr">
        <is>
          <t>1.1.2 Guideway and Civil - Utility &amp; Roadworks</t>
        </is>
      </c>
      <c r="G185" s="23" t="inlineStr">
        <is>
          <t>ONE_TO_ONE</t>
        </is>
      </c>
      <c r="H185" s="23" t="inlineStr">
        <is>
          <t>RETAINED</t>
        </is>
      </c>
      <c r="I185" s="23" t="inlineStr">
        <is>
          <t>Carried forward</t>
        </is>
      </c>
      <c r="J185" s="23" t="inlineStr">
        <is>
          <t>Source assignment -- not individually reviewed</t>
        </is>
      </c>
      <c r="K185" s="23" t="inlineStr"/>
      <c r="L185" s="23" t="inlineStr"/>
      <c r="M185" s="23" t="inlineStr"/>
      <c r="N185" s="14" t="inlineStr">
        <is>
          <t>10 EVIDENCE &amp; DECISIONS</t>
        </is>
      </c>
    </row>
    <row r="186" ht="34" customHeight="1">
      <c r="A186" s="23" t="inlineStr">
        <is>
          <t>Contractor Programme</t>
        </is>
      </c>
      <c r="B186" s="23" t="inlineStr">
        <is>
          <t>SCH-01-033</t>
        </is>
      </c>
      <c r="C186" s="23" t="inlineStr">
        <is>
          <t>East portal: track-slab survey - turnover</t>
        </is>
      </c>
      <c r="D186" s="23" t="inlineStr">
        <is>
          <t>WBS Code = 1.1.2</t>
        </is>
      </c>
      <c r="E186" s="23" t="inlineStr">
        <is>
          <t>R33-v2</t>
        </is>
      </c>
      <c r="F186" s="23" t="inlineStr">
        <is>
          <t>1.1.2 Guideway and Civil - Utility &amp; Roadworks</t>
        </is>
      </c>
      <c r="G186" s="23" t="inlineStr">
        <is>
          <t>ONE_TO_ONE</t>
        </is>
      </c>
      <c r="H186" s="23" t="inlineStr">
        <is>
          <t>RETAINED</t>
        </is>
      </c>
      <c r="I186" s="23" t="inlineStr">
        <is>
          <t>Carried forward</t>
        </is>
      </c>
      <c r="J186" s="23" t="inlineStr">
        <is>
          <t>Source assignment -- not individually reviewed</t>
        </is>
      </c>
      <c r="K186" s="23" t="inlineStr"/>
      <c r="L186" s="23" t="inlineStr"/>
      <c r="M186" s="23" t="inlineStr"/>
      <c r="N186" s="14" t="inlineStr">
        <is>
          <t>10 EVIDENCE &amp; DECISIONS</t>
        </is>
      </c>
    </row>
    <row r="187" ht="34" customHeight="1">
      <c r="A187" s="23" t="inlineStr">
        <is>
          <t>Contractor Programme</t>
        </is>
      </c>
      <c r="B187" s="23" t="inlineStr">
        <is>
          <t>SCH-01-036</t>
        </is>
      </c>
      <c r="C187" s="23" t="inlineStr">
        <is>
          <t>West approach: road restoration - installation</t>
        </is>
      </c>
      <c r="D187" s="23" t="inlineStr">
        <is>
          <t>WBS Code = 1.1.2</t>
        </is>
      </c>
      <c r="E187" s="23" t="inlineStr">
        <is>
          <t>R36-v2</t>
        </is>
      </c>
      <c r="F187" s="23" t="inlineStr">
        <is>
          <t>1.1.2 Guideway and Civil - Utility &amp; Roadworks</t>
        </is>
      </c>
      <c r="G187" s="23" t="inlineStr">
        <is>
          <t>ONE_TO_ONE</t>
        </is>
      </c>
      <c r="H187" s="23" t="inlineStr">
        <is>
          <t>RETAINED</t>
        </is>
      </c>
      <c r="I187" s="23" t="inlineStr">
        <is>
          <t>Carried forward</t>
        </is>
      </c>
      <c r="J187" s="23" t="inlineStr">
        <is>
          <t>Source assignment -- not individually reviewed</t>
        </is>
      </c>
      <c r="K187" s="23" t="inlineStr"/>
      <c r="L187" s="23" t="inlineStr"/>
      <c r="M187" s="23" t="inlineStr"/>
      <c r="N187" s="14" t="inlineStr">
        <is>
          <t>10 EVIDENCE &amp; DECISIONS</t>
        </is>
      </c>
    </row>
    <row r="188" ht="34" customHeight="1">
      <c r="A188" s="23" t="inlineStr">
        <is>
          <t>Contractor Programme</t>
        </is>
      </c>
      <c r="B188" s="23" t="inlineStr">
        <is>
          <t>SCH-01-039</t>
        </is>
      </c>
      <c r="C188" s="23" t="inlineStr">
        <is>
          <t>River crossing: drainage tie-in - release</t>
        </is>
      </c>
      <c r="D188" s="23" t="inlineStr">
        <is>
          <t>WBS Code = 1.1.2</t>
        </is>
      </c>
      <c r="E188" s="23" t="inlineStr">
        <is>
          <t>R39-v2</t>
        </is>
      </c>
      <c r="F188" s="23" t="inlineStr">
        <is>
          <t>1.1.2 Guideway and Civil - Utility &amp; Roadworks</t>
        </is>
      </c>
      <c r="G188" s="23" t="inlineStr">
        <is>
          <t>ONE_TO_ONE</t>
        </is>
      </c>
      <c r="H188" s="23" t="inlineStr">
        <is>
          <t>RETAINED</t>
        </is>
      </c>
      <c r="I188" s="23" t="inlineStr">
        <is>
          <t>Carried forward</t>
        </is>
      </c>
      <c r="J188" s="23" t="inlineStr">
        <is>
          <t>Source assignment -- not individually reviewed</t>
        </is>
      </c>
      <c r="K188" s="23" t="inlineStr"/>
      <c r="L188" s="23" t="inlineStr"/>
      <c r="M188" s="23" t="inlineStr"/>
      <c r="N188" s="14" t="inlineStr">
        <is>
          <t>10 EVIDENCE &amp; DECISIONS</t>
        </is>
      </c>
    </row>
    <row r="189" ht="34" customHeight="1">
      <c r="A189" s="23" t="inlineStr">
        <is>
          <t>Contractor Programme</t>
        </is>
      </c>
      <c r="B189" s="23" t="inlineStr">
        <is>
          <t>SCH-01-042</t>
        </is>
      </c>
      <c r="C189" s="23" t="inlineStr">
        <is>
          <t>Depot lead: temporary traffic staging - inspection</t>
        </is>
      </c>
      <c r="D189" s="23" t="inlineStr">
        <is>
          <t>WBS Code = 1.1.2</t>
        </is>
      </c>
      <c r="E189" s="23" t="inlineStr">
        <is>
          <t>R42-v2</t>
        </is>
      </c>
      <c r="F189" s="23" t="inlineStr">
        <is>
          <t>1.1.2 Guideway and Civil - Utility &amp; Roadworks</t>
        </is>
      </c>
      <c r="G189" s="23" t="inlineStr">
        <is>
          <t>ONE_TO_ONE</t>
        </is>
      </c>
      <c r="H189" s="23" t="inlineStr">
        <is>
          <t>RETAINED</t>
        </is>
      </c>
      <c r="I189" s="23" t="inlineStr">
        <is>
          <t>Carried forward</t>
        </is>
      </c>
      <c r="J189" s="23" t="inlineStr">
        <is>
          <t>Source assignment -- not individually reviewed</t>
        </is>
      </c>
      <c r="K189" s="23" t="inlineStr"/>
      <c r="L189" s="23" t="inlineStr"/>
      <c r="M189" s="23" t="inlineStr"/>
      <c r="N189" s="14" t="inlineStr">
        <is>
          <t>10 EVIDENCE &amp; DECISIONS</t>
        </is>
      </c>
    </row>
    <row r="190" ht="34" customHeight="1">
      <c r="A190" s="23" t="inlineStr">
        <is>
          <t>Contractor Programme</t>
        </is>
      </c>
      <c r="B190" s="23" t="inlineStr">
        <is>
          <t>SCH-01-045</t>
        </is>
      </c>
      <c r="C190" s="23" t="inlineStr">
        <is>
          <t>Central guideway: drilled-shaft installation - field start</t>
        </is>
      </c>
      <c r="D190" s="23" t="inlineStr">
        <is>
          <t>WBS Code = 1.1.2</t>
        </is>
      </c>
      <c r="E190" s="23" t="inlineStr">
        <is>
          <t>R45-v2</t>
        </is>
      </c>
      <c r="F190" s="23" t="inlineStr">
        <is>
          <t>1.1.2 Guideway and Civil - Utility &amp; Roadworks</t>
        </is>
      </c>
      <c r="G190" s="23" t="inlineStr">
        <is>
          <t>ONE_TO_ONE</t>
        </is>
      </c>
      <c r="H190" s="23" t="inlineStr">
        <is>
          <t>RETAINED</t>
        </is>
      </c>
      <c r="I190" s="23" t="inlineStr">
        <is>
          <t>Carried forward</t>
        </is>
      </c>
      <c r="J190" s="23" t="inlineStr">
        <is>
          <t>Source assignment -- not individually reviewed</t>
        </is>
      </c>
      <c r="K190" s="23" t="inlineStr"/>
      <c r="L190" s="23" t="inlineStr"/>
      <c r="M190" s="23" t="inlineStr"/>
      <c r="N190" s="14" t="inlineStr">
        <is>
          <t>10 EVIDENCE &amp; DECISIONS</t>
        </is>
      </c>
    </row>
    <row r="191" ht="34" customHeight="1">
      <c r="A191" s="23" t="inlineStr">
        <is>
          <t>Contractor Programme</t>
        </is>
      </c>
      <c r="B191" s="23" t="inlineStr">
        <is>
          <t>SCH-01-048</t>
        </is>
      </c>
      <c r="C191" s="23" t="inlineStr">
        <is>
          <t>East portal: utility relocation - turnover</t>
        </is>
      </c>
      <c r="D191" s="23" t="inlineStr">
        <is>
          <t>WBS Code = 1.1.2</t>
        </is>
      </c>
      <c r="E191" s="23" t="inlineStr">
        <is>
          <t>R48-v2</t>
        </is>
      </c>
      <c r="F191" s="23" t="inlineStr">
        <is>
          <t>1.1.2 Guideway and Civil - Utility &amp; Roadworks</t>
        </is>
      </c>
      <c r="G191" s="23" t="inlineStr">
        <is>
          <t>ONE_TO_ONE</t>
        </is>
      </c>
      <c r="H191" s="23" t="inlineStr">
        <is>
          <t>RETAINED</t>
        </is>
      </c>
      <c r="I191" s="23" t="inlineStr">
        <is>
          <t>Carried forward</t>
        </is>
      </c>
      <c r="J191" s="23" t="inlineStr">
        <is>
          <t>Source assignment -- not individually reviewed</t>
        </is>
      </c>
      <c r="K191" s="23" t="inlineStr"/>
      <c r="L191" s="23" t="inlineStr"/>
      <c r="M191" s="23" t="inlineStr"/>
      <c r="N191" s="14" t="inlineStr">
        <is>
          <t>10 EVIDENCE &amp; DECISIONS</t>
        </is>
      </c>
    </row>
    <row r="192" ht="34" customHeight="1">
      <c r="A192" s="23" t="inlineStr">
        <is>
          <t>Contractor Programme</t>
        </is>
      </c>
      <c r="B192" s="23" t="inlineStr">
        <is>
          <t>SCH-01-051</t>
        </is>
      </c>
      <c r="C192" s="23" t="inlineStr">
        <is>
          <t>West approach: guideway pier reinforcement - installation</t>
        </is>
      </c>
      <c r="D192" s="23" t="inlineStr">
        <is>
          <t>WBS Code = 1.1.2</t>
        </is>
      </c>
      <c r="E192" s="23" t="inlineStr">
        <is>
          <t>R51-v2</t>
        </is>
      </c>
      <c r="F192" s="23" t="inlineStr">
        <is>
          <t>1.1.2 Guideway and Civil - Utility &amp; Roadworks</t>
        </is>
      </c>
      <c r="G192" s="23" t="inlineStr">
        <is>
          <t>ONE_TO_ONE</t>
        </is>
      </c>
      <c r="H192" s="23" t="inlineStr">
        <is>
          <t>RETAINED</t>
        </is>
      </c>
      <c r="I192" s="23" t="inlineStr">
        <is>
          <t>Carried forward</t>
        </is>
      </c>
      <c r="J192" s="23" t="inlineStr">
        <is>
          <t>Source assignment -- not individually reviewed</t>
        </is>
      </c>
      <c r="K192" s="23" t="inlineStr"/>
      <c r="L192" s="23" t="inlineStr"/>
      <c r="M192" s="23" t="inlineStr"/>
      <c r="N192" s="14" t="inlineStr">
        <is>
          <t>10 EVIDENCE &amp; DECISIONS</t>
        </is>
      </c>
    </row>
    <row r="193" ht="34" customHeight="1">
      <c r="A193" s="23" t="inlineStr">
        <is>
          <t>Contractor Programme</t>
        </is>
      </c>
      <c r="B193" s="23" t="inlineStr">
        <is>
          <t>SCH-01-054</t>
        </is>
      </c>
      <c r="C193" s="23" t="inlineStr">
        <is>
          <t>River crossing: retaining-wall excavation - release</t>
        </is>
      </c>
      <c r="D193" s="23" t="inlineStr">
        <is>
          <t>WBS Code = 1.1.2</t>
        </is>
      </c>
      <c r="E193" s="23" t="inlineStr">
        <is>
          <t>R54-v2</t>
        </is>
      </c>
      <c r="F193" s="23" t="inlineStr">
        <is>
          <t>1.1.2 Guideway and Civil - Utility &amp; Roadworks</t>
        </is>
      </c>
      <c r="G193" s="23" t="inlineStr">
        <is>
          <t>ONE_TO_ONE</t>
        </is>
      </c>
      <c r="H193" s="23" t="inlineStr">
        <is>
          <t>RETAINED</t>
        </is>
      </c>
      <c r="I193" s="23" t="inlineStr">
        <is>
          <t>Carried forward</t>
        </is>
      </c>
      <c r="J193" s="23" t="inlineStr">
        <is>
          <t>Source assignment -- not individually reviewed</t>
        </is>
      </c>
      <c r="K193" s="23" t="inlineStr"/>
      <c r="L193" s="23" t="inlineStr"/>
      <c r="M193" s="23" t="inlineStr"/>
      <c r="N193" s="14" t="inlineStr">
        <is>
          <t>10 EVIDENCE &amp; DECISIONS</t>
        </is>
      </c>
    </row>
    <row r="194" ht="34" customHeight="1">
      <c r="A194" s="23" t="inlineStr">
        <is>
          <t>Contractor Programme</t>
        </is>
      </c>
      <c r="B194" s="23" t="inlineStr">
        <is>
          <t>SCH-01-057</t>
        </is>
      </c>
      <c r="C194" s="23" t="inlineStr">
        <is>
          <t>Depot lead: track-slab survey - inspection</t>
        </is>
      </c>
      <c r="D194" s="23" t="inlineStr">
        <is>
          <t>WBS Code = 1.1.2</t>
        </is>
      </c>
      <c r="E194" s="23" t="inlineStr">
        <is>
          <t>R57-v2</t>
        </is>
      </c>
      <c r="F194" s="23" t="inlineStr">
        <is>
          <t>1.1.2 Guideway and Civil - Utility &amp; Roadworks</t>
        </is>
      </c>
      <c r="G194" s="23" t="inlineStr">
        <is>
          <t>ONE_TO_ONE</t>
        </is>
      </c>
      <c r="H194" s="23" t="inlineStr">
        <is>
          <t>RETAINED</t>
        </is>
      </c>
      <c r="I194" s="23" t="inlineStr">
        <is>
          <t>Carried forward</t>
        </is>
      </c>
      <c r="J194" s="23" t="inlineStr">
        <is>
          <t>Source assignment -- not individually reviewed</t>
        </is>
      </c>
      <c r="K194" s="23" t="inlineStr"/>
      <c r="L194" s="23" t="inlineStr"/>
      <c r="M194" s="23" t="inlineStr"/>
      <c r="N194" s="14" t="inlineStr">
        <is>
          <t>10 EVIDENCE &amp; DECISIONS</t>
        </is>
      </c>
    </row>
    <row r="195" ht="34" customHeight="1">
      <c r="A195" s="23" t="inlineStr">
        <is>
          <t>Contractor Programme</t>
        </is>
      </c>
      <c r="B195" s="23" t="inlineStr">
        <is>
          <t>SCH-01-060</t>
        </is>
      </c>
      <c r="C195" s="23" t="inlineStr">
        <is>
          <t>Central guideway: road restoration - field start</t>
        </is>
      </c>
      <c r="D195" s="23" t="inlineStr">
        <is>
          <t>WBS Code = 1.1.2</t>
        </is>
      </c>
      <c r="E195" s="23" t="inlineStr">
        <is>
          <t>R60-v2</t>
        </is>
      </c>
      <c r="F195" s="23" t="inlineStr">
        <is>
          <t>1.1.2 Guideway and Civil - Utility &amp; Roadworks</t>
        </is>
      </c>
      <c r="G195" s="23" t="inlineStr">
        <is>
          <t>ONE_TO_ONE</t>
        </is>
      </c>
      <c r="H195" s="23" t="inlineStr">
        <is>
          <t>RETAINED</t>
        </is>
      </c>
      <c r="I195" s="23" t="inlineStr">
        <is>
          <t>Carried forward</t>
        </is>
      </c>
      <c r="J195" s="23" t="inlineStr">
        <is>
          <t>Source assignment -- not individually reviewed</t>
        </is>
      </c>
      <c r="K195" s="23" t="inlineStr"/>
      <c r="L195" s="23" t="inlineStr"/>
      <c r="M195" s="23" t="inlineStr"/>
      <c r="N195" s="14" t="inlineStr">
        <is>
          <t>10 EVIDENCE &amp; DECISIONS</t>
        </is>
      </c>
    </row>
    <row r="196" ht="34" customHeight="1">
      <c r="A196" s="23" t="inlineStr">
        <is>
          <t>Contractor Programme</t>
        </is>
      </c>
      <c r="B196" s="23" t="inlineStr">
        <is>
          <t>SCH-01-063</t>
        </is>
      </c>
      <c r="C196" s="23" t="inlineStr">
        <is>
          <t>East portal: drainage tie-in - turnover</t>
        </is>
      </c>
      <c r="D196" s="23" t="inlineStr">
        <is>
          <t>WBS Code = 1.1.2</t>
        </is>
      </c>
      <c r="E196" s="23" t="inlineStr">
        <is>
          <t>R63-v2</t>
        </is>
      </c>
      <c r="F196" s="23" t="inlineStr">
        <is>
          <t>1.1.2 Guideway and Civil - Utility &amp; Roadworks</t>
        </is>
      </c>
      <c r="G196" s="23" t="inlineStr">
        <is>
          <t>ONE_TO_ONE</t>
        </is>
      </c>
      <c r="H196" s="23" t="inlineStr">
        <is>
          <t>RETAINED</t>
        </is>
      </c>
      <c r="I196" s="23" t="inlineStr">
        <is>
          <t>Carried forward</t>
        </is>
      </c>
      <c r="J196" s="23" t="inlineStr">
        <is>
          <t>Source assignment -- not individually reviewed</t>
        </is>
      </c>
      <c r="K196" s="23" t="inlineStr"/>
      <c r="L196" s="23" t="inlineStr"/>
      <c r="M196" s="23" t="inlineStr"/>
      <c r="N196" s="14" t="inlineStr">
        <is>
          <t>10 EVIDENCE &amp; DECISIONS</t>
        </is>
      </c>
    </row>
    <row r="197" ht="34" customHeight="1">
      <c r="A197" s="23" t="inlineStr">
        <is>
          <t>Contractor Programme</t>
        </is>
      </c>
      <c r="B197" s="23" t="inlineStr">
        <is>
          <t>SCH-01-066</t>
        </is>
      </c>
      <c r="C197" s="23" t="inlineStr">
        <is>
          <t>West approach: temporary traffic staging - installation</t>
        </is>
      </c>
      <c r="D197" s="23" t="inlineStr">
        <is>
          <t>WBS Code = 1.1.2</t>
        </is>
      </c>
      <c r="E197" s="23" t="inlineStr">
        <is>
          <t>R66-v2</t>
        </is>
      </c>
      <c r="F197" s="23" t="inlineStr">
        <is>
          <t>1.1.2 Guideway and Civil - Utility &amp; Roadworks</t>
        </is>
      </c>
      <c r="G197" s="23" t="inlineStr">
        <is>
          <t>ONE_TO_ONE</t>
        </is>
      </c>
      <c r="H197" s="23" t="inlineStr">
        <is>
          <t>RETAINED</t>
        </is>
      </c>
      <c r="I197" s="23" t="inlineStr">
        <is>
          <t>Carried forward</t>
        </is>
      </c>
      <c r="J197" s="23" t="inlineStr">
        <is>
          <t>Source assignment -- not individually reviewed</t>
        </is>
      </c>
      <c r="K197" s="23" t="inlineStr"/>
      <c r="L197" s="23" t="inlineStr"/>
      <c r="M197" s="23" t="inlineStr"/>
      <c r="N197" s="14" t="inlineStr">
        <is>
          <t>10 EVIDENCE &amp; DECISIONS</t>
        </is>
      </c>
    </row>
    <row r="198" ht="34" customHeight="1">
      <c r="A198" s="23" t="inlineStr">
        <is>
          <t>Contractor Programme</t>
        </is>
      </c>
      <c r="B198" s="23" t="inlineStr">
        <is>
          <t>SCH-01-069</t>
        </is>
      </c>
      <c r="C198" s="23" t="inlineStr">
        <is>
          <t>River crossing: drilled-shaft installation - release</t>
        </is>
      </c>
      <c r="D198" s="23" t="inlineStr">
        <is>
          <t>WBS Code = 1.1.2</t>
        </is>
      </c>
      <c r="E198" s="23" t="inlineStr">
        <is>
          <t>R69-v2</t>
        </is>
      </c>
      <c r="F198" s="23" t="inlineStr">
        <is>
          <t>1.1.2 Guideway and Civil - Utility &amp; Roadworks</t>
        </is>
      </c>
      <c r="G198" s="23" t="inlineStr">
        <is>
          <t>ONE_TO_ONE</t>
        </is>
      </c>
      <c r="H198" s="23" t="inlineStr">
        <is>
          <t>RETAINED</t>
        </is>
      </c>
      <c r="I198" s="23" t="inlineStr">
        <is>
          <t>Carried forward</t>
        </is>
      </c>
      <c r="J198" s="23" t="inlineStr">
        <is>
          <t>Source assignment -- not individually reviewed</t>
        </is>
      </c>
      <c r="K198" s="23" t="inlineStr"/>
      <c r="L198" s="23" t="inlineStr"/>
      <c r="M198" s="23" t="inlineStr"/>
      <c r="N198" s="14" t="inlineStr">
        <is>
          <t>10 EVIDENCE &amp; DECISIONS</t>
        </is>
      </c>
    </row>
    <row r="199" ht="34" customHeight="1">
      <c r="A199" s="23" t="inlineStr">
        <is>
          <t>Contractor Programme</t>
        </is>
      </c>
      <c r="B199" s="23" t="inlineStr">
        <is>
          <t>SCH-01-072</t>
        </is>
      </c>
      <c r="C199" s="23" t="inlineStr">
        <is>
          <t>Depot lead: utility relocation - inspection</t>
        </is>
      </c>
      <c r="D199" s="23" t="inlineStr">
        <is>
          <t>WBS Code = 1.1.2</t>
        </is>
      </c>
      <c r="E199" s="23" t="inlineStr">
        <is>
          <t>R72-v2</t>
        </is>
      </c>
      <c r="F199" s="23" t="inlineStr">
        <is>
          <t>1.1.2 Guideway and Civil - Utility &amp; Roadworks</t>
        </is>
      </c>
      <c r="G199" s="23" t="inlineStr">
        <is>
          <t>ONE_TO_ONE</t>
        </is>
      </c>
      <c r="H199" s="23" t="inlineStr">
        <is>
          <t>RETAINED</t>
        </is>
      </c>
      <c r="I199" s="23" t="inlineStr">
        <is>
          <t>Carried forward</t>
        </is>
      </c>
      <c r="J199" s="23" t="inlineStr">
        <is>
          <t>Source assignment -- not individually reviewed</t>
        </is>
      </c>
      <c r="K199" s="23" t="inlineStr"/>
      <c r="L199" s="23" t="inlineStr"/>
      <c r="M199" s="23" t="inlineStr"/>
      <c r="N199" s="14" t="inlineStr">
        <is>
          <t>10 EVIDENCE &amp; DECISIONS</t>
        </is>
      </c>
    </row>
    <row r="200" ht="34" customHeight="1">
      <c r="A200" s="23" t="inlineStr">
        <is>
          <t>Contractor Programme</t>
        </is>
      </c>
      <c r="B200" s="23" t="inlineStr">
        <is>
          <t>SCH-01-075</t>
        </is>
      </c>
      <c r="C200" s="23" t="inlineStr">
        <is>
          <t>Central guideway: guideway pier reinforcement - field start</t>
        </is>
      </c>
      <c r="D200" s="23" t="inlineStr">
        <is>
          <t>WBS Code = 1.1.2</t>
        </is>
      </c>
      <c r="E200" s="23" t="inlineStr">
        <is>
          <t>R75-v2</t>
        </is>
      </c>
      <c r="F200" s="23" t="inlineStr">
        <is>
          <t>1.1.2 Guideway and Civil - Utility &amp; Roadworks</t>
        </is>
      </c>
      <c r="G200" s="23" t="inlineStr">
        <is>
          <t>ONE_TO_ONE</t>
        </is>
      </c>
      <c r="H200" s="23" t="inlineStr">
        <is>
          <t>RETAINED</t>
        </is>
      </c>
      <c r="I200" s="23" t="inlineStr">
        <is>
          <t>Carried forward</t>
        </is>
      </c>
      <c r="J200" s="23" t="inlineStr">
        <is>
          <t>Source assignment -- not individually reviewed</t>
        </is>
      </c>
      <c r="K200" s="23" t="inlineStr"/>
      <c r="L200" s="23" t="inlineStr"/>
      <c r="M200" s="23" t="inlineStr"/>
      <c r="N200" s="14" t="inlineStr">
        <is>
          <t>10 EVIDENCE &amp; DECISIONS</t>
        </is>
      </c>
    </row>
    <row r="201" ht="34" customHeight="1">
      <c r="A201" s="23" t="inlineStr">
        <is>
          <t>Contractor Programme</t>
        </is>
      </c>
      <c r="B201" s="23" t="inlineStr">
        <is>
          <t>SCH-01-078</t>
        </is>
      </c>
      <c r="C201" s="23" t="inlineStr">
        <is>
          <t>East portal: retaining-wall excavation - turnover</t>
        </is>
      </c>
      <c r="D201" s="23" t="inlineStr">
        <is>
          <t>WBS Code = 1.1.2</t>
        </is>
      </c>
      <c r="E201" s="23" t="inlineStr">
        <is>
          <t>R78-v2</t>
        </is>
      </c>
      <c r="F201" s="23" t="inlineStr">
        <is>
          <t>1.1.2 Guideway and Civil - Utility &amp; Roadworks</t>
        </is>
      </c>
      <c r="G201" s="23" t="inlineStr">
        <is>
          <t>ONE_TO_ONE</t>
        </is>
      </c>
      <c r="H201" s="23" t="inlineStr">
        <is>
          <t>RETAINED</t>
        </is>
      </c>
      <c r="I201" s="23" t="inlineStr">
        <is>
          <t>Carried forward</t>
        </is>
      </c>
      <c r="J201" s="23" t="inlineStr">
        <is>
          <t>Source assignment -- not individually reviewed</t>
        </is>
      </c>
      <c r="K201" s="23" t="inlineStr"/>
      <c r="L201" s="23" t="inlineStr"/>
      <c r="M201" s="23" t="inlineStr"/>
      <c r="N201" s="14" t="inlineStr">
        <is>
          <t>10 EVIDENCE &amp; DECISIONS</t>
        </is>
      </c>
    </row>
    <row r="202" ht="34" customHeight="1">
      <c r="A202" s="23" t="inlineStr">
        <is>
          <t>Contractor Programme</t>
        </is>
      </c>
      <c r="B202" s="23" t="inlineStr">
        <is>
          <t>SCH-01-081</t>
        </is>
      </c>
      <c r="C202" s="23" t="inlineStr">
        <is>
          <t>West approach: track-slab survey - installation</t>
        </is>
      </c>
      <c r="D202" s="23" t="inlineStr">
        <is>
          <t>WBS Code = 1.1.2</t>
        </is>
      </c>
      <c r="E202" s="23" t="inlineStr">
        <is>
          <t>R81-v2</t>
        </is>
      </c>
      <c r="F202" s="23" t="inlineStr">
        <is>
          <t>1.1.2 Guideway and Civil - Utility &amp; Roadworks</t>
        </is>
      </c>
      <c r="G202" s="23" t="inlineStr">
        <is>
          <t>ONE_TO_ONE</t>
        </is>
      </c>
      <c r="H202" s="23" t="inlineStr">
        <is>
          <t>RETAINED</t>
        </is>
      </c>
      <c r="I202" s="23" t="inlineStr">
        <is>
          <t>Carried forward</t>
        </is>
      </c>
      <c r="J202" s="23" t="inlineStr">
        <is>
          <t>Source assignment -- not individually reviewed</t>
        </is>
      </c>
      <c r="K202" s="23" t="inlineStr"/>
      <c r="L202" s="23" t="inlineStr"/>
      <c r="M202" s="23" t="inlineStr"/>
      <c r="N202" s="14" t="inlineStr">
        <is>
          <t>10 EVIDENCE &amp; DECISIONS</t>
        </is>
      </c>
    </row>
    <row r="203" ht="34" customHeight="1">
      <c r="A203" s="23" t="inlineStr">
        <is>
          <t>Contractor Programme</t>
        </is>
      </c>
      <c r="B203" s="23" t="inlineStr">
        <is>
          <t>SCH-01-084</t>
        </is>
      </c>
      <c r="C203" s="23" t="inlineStr">
        <is>
          <t>River crossing: road restoration - release</t>
        </is>
      </c>
      <c r="D203" s="23" t="inlineStr">
        <is>
          <t>WBS Code = 1.1.2</t>
        </is>
      </c>
      <c r="E203" s="23" t="inlineStr">
        <is>
          <t>R84-v2</t>
        </is>
      </c>
      <c r="F203" s="23" t="inlineStr">
        <is>
          <t>1.1.2 Guideway and Civil - Utility &amp; Roadworks</t>
        </is>
      </c>
      <c r="G203" s="23" t="inlineStr">
        <is>
          <t>ONE_TO_ONE</t>
        </is>
      </c>
      <c r="H203" s="23" t="inlineStr">
        <is>
          <t>RETAINED</t>
        </is>
      </c>
      <c r="I203" s="23" t="inlineStr">
        <is>
          <t>Carried forward</t>
        </is>
      </c>
      <c r="J203" s="23" t="inlineStr">
        <is>
          <t>Source assignment -- not individually reviewed</t>
        </is>
      </c>
      <c r="K203" s="23" t="inlineStr"/>
      <c r="L203" s="23" t="inlineStr"/>
      <c r="M203" s="23" t="inlineStr"/>
      <c r="N203" s="14" t="inlineStr">
        <is>
          <t>10 EVIDENCE &amp; DECISIONS</t>
        </is>
      </c>
    </row>
    <row r="204" ht="34" customHeight="1">
      <c r="A204" s="23" t="inlineStr">
        <is>
          <t>Contractor Programme</t>
        </is>
      </c>
      <c r="B204" s="23" t="inlineStr">
        <is>
          <t>SCH-01-087</t>
        </is>
      </c>
      <c r="C204" s="23" t="inlineStr">
        <is>
          <t>Depot lead: drainage tie-in - inspection</t>
        </is>
      </c>
      <c r="D204" s="23" t="inlineStr">
        <is>
          <t>WBS Code = 1.1.2</t>
        </is>
      </c>
      <c r="E204" s="23" t="inlineStr">
        <is>
          <t>R87-v2</t>
        </is>
      </c>
      <c r="F204" s="23" t="inlineStr">
        <is>
          <t>1.1.2 Guideway and Civil - Utility &amp; Roadworks</t>
        </is>
      </c>
      <c r="G204" s="23" t="inlineStr">
        <is>
          <t>ONE_TO_ONE</t>
        </is>
      </c>
      <c r="H204" s="23" t="inlineStr">
        <is>
          <t>RETAINED</t>
        </is>
      </c>
      <c r="I204" s="23" t="inlineStr">
        <is>
          <t>Carried forward</t>
        </is>
      </c>
      <c r="J204" s="23" t="inlineStr">
        <is>
          <t>Source assignment -- not individually reviewed</t>
        </is>
      </c>
      <c r="K204" s="23" t="inlineStr"/>
      <c r="L204" s="23" t="inlineStr"/>
      <c r="M204" s="23" t="inlineStr"/>
      <c r="N204" s="14" t="inlineStr">
        <is>
          <t>10 EVIDENCE &amp; DECISIONS</t>
        </is>
      </c>
    </row>
    <row r="205" ht="34" customHeight="1">
      <c r="A205" s="23" t="inlineStr">
        <is>
          <t>Contractor Programme</t>
        </is>
      </c>
      <c r="B205" s="23" t="inlineStr">
        <is>
          <t>SCH-01-090</t>
        </is>
      </c>
      <c r="C205" s="23" t="inlineStr">
        <is>
          <t>Central guideway: temporary traffic staging - field start</t>
        </is>
      </c>
      <c r="D205" s="23" t="inlineStr">
        <is>
          <t>WBS Code = 1.1.2</t>
        </is>
      </c>
      <c r="E205" s="23" t="inlineStr">
        <is>
          <t>R90-v2</t>
        </is>
      </c>
      <c r="F205" s="23" t="inlineStr">
        <is>
          <t>1.1.2 Guideway and Civil - Utility &amp; Roadworks</t>
        </is>
      </c>
      <c r="G205" s="23" t="inlineStr">
        <is>
          <t>ONE_TO_ONE</t>
        </is>
      </c>
      <c r="H205" s="23" t="inlineStr">
        <is>
          <t>RETAINED</t>
        </is>
      </c>
      <c r="I205" s="23" t="inlineStr">
        <is>
          <t>Carried forward</t>
        </is>
      </c>
      <c r="J205" s="23" t="inlineStr">
        <is>
          <t>Source assignment -- not individually reviewed</t>
        </is>
      </c>
      <c r="K205" s="23" t="inlineStr"/>
      <c r="L205" s="23" t="inlineStr"/>
      <c r="M205" s="23" t="inlineStr"/>
      <c r="N205" s="14" t="inlineStr">
        <is>
          <t>10 EVIDENCE &amp; DECISIONS</t>
        </is>
      </c>
    </row>
    <row r="206" ht="34" customHeight="1">
      <c r="A206" s="23" t="inlineStr">
        <is>
          <t>Contractor Programme</t>
        </is>
      </c>
      <c r="B206" s="23" t="inlineStr">
        <is>
          <t>SCH-01-093</t>
        </is>
      </c>
      <c r="C206" s="23" t="inlineStr">
        <is>
          <t>East portal: drilled-shaft installation - turnover</t>
        </is>
      </c>
      <c r="D206" s="23" t="inlineStr">
        <is>
          <t>WBS Code = 1.1.2</t>
        </is>
      </c>
      <c r="E206" s="23" t="inlineStr">
        <is>
          <t>R93-v2</t>
        </is>
      </c>
      <c r="F206" s="23" t="inlineStr">
        <is>
          <t>1.1.2 Guideway and Civil - Utility &amp; Roadworks</t>
        </is>
      </c>
      <c r="G206" s="23" t="inlineStr">
        <is>
          <t>ONE_TO_ONE</t>
        </is>
      </c>
      <c r="H206" s="23" t="inlineStr">
        <is>
          <t>RETAINED</t>
        </is>
      </c>
      <c r="I206" s="23" t="inlineStr">
        <is>
          <t>Carried forward</t>
        </is>
      </c>
      <c r="J206" s="23" t="inlineStr">
        <is>
          <t>Source assignment -- not individually reviewed</t>
        </is>
      </c>
      <c r="K206" s="23" t="inlineStr"/>
      <c r="L206" s="23" t="inlineStr"/>
      <c r="M206" s="23" t="inlineStr"/>
      <c r="N206" s="14" t="inlineStr">
        <is>
          <t>10 EVIDENCE &amp; DECISIONS</t>
        </is>
      </c>
    </row>
    <row r="207" ht="34" customHeight="1">
      <c r="A207" s="23" t="inlineStr">
        <is>
          <t>Contractor Programme</t>
        </is>
      </c>
      <c r="B207" s="23" t="inlineStr">
        <is>
          <t>SCH-01-096</t>
        </is>
      </c>
      <c r="C207" s="23" t="inlineStr">
        <is>
          <t>West approach: utility relocation - installation</t>
        </is>
      </c>
      <c r="D207" s="23" t="inlineStr">
        <is>
          <t>WBS Code = 1.1.2</t>
        </is>
      </c>
      <c r="E207" s="23" t="inlineStr">
        <is>
          <t>R96-v2</t>
        </is>
      </c>
      <c r="F207" s="23" t="inlineStr">
        <is>
          <t>1.1.2 Guideway and Civil - Utility &amp; Roadworks</t>
        </is>
      </c>
      <c r="G207" s="23" t="inlineStr">
        <is>
          <t>ONE_TO_ONE</t>
        </is>
      </c>
      <c r="H207" s="23" t="inlineStr">
        <is>
          <t>RETAINED</t>
        </is>
      </c>
      <c r="I207" s="23" t="inlineStr">
        <is>
          <t>Carried forward</t>
        </is>
      </c>
      <c r="J207" s="23" t="inlineStr">
        <is>
          <t>Source assignment -- not individually reviewed</t>
        </is>
      </c>
      <c r="K207" s="23" t="inlineStr"/>
      <c r="L207" s="23" t="inlineStr"/>
      <c r="M207" s="23" t="inlineStr"/>
      <c r="N207" s="14" t="inlineStr">
        <is>
          <t>10 EVIDENCE &amp; DECISIONS</t>
        </is>
      </c>
    </row>
    <row r="208" ht="34" customHeight="1">
      <c r="A208" s="23" t="inlineStr">
        <is>
          <t>Contractor Programme</t>
        </is>
      </c>
      <c r="B208" s="23" t="inlineStr">
        <is>
          <t>SCH-01-099</t>
        </is>
      </c>
      <c r="C208" s="23" t="inlineStr">
        <is>
          <t>River crossing: guideway pier reinforcement - release</t>
        </is>
      </c>
      <c r="D208" s="23" t="inlineStr">
        <is>
          <t>WBS Code = 1.1.2</t>
        </is>
      </c>
      <c r="E208" s="23" t="inlineStr">
        <is>
          <t>R99-v2</t>
        </is>
      </c>
      <c r="F208" s="23" t="inlineStr">
        <is>
          <t>1.1.2 Guideway and Civil - Utility &amp; Roadworks</t>
        </is>
      </c>
      <c r="G208" s="23" t="inlineStr">
        <is>
          <t>ONE_TO_ONE</t>
        </is>
      </c>
      <c r="H208" s="23" t="inlineStr">
        <is>
          <t>RETAINED</t>
        </is>
      </c>
      <c r="I208" s="23" t="inlineStr">
        <is>
          <t>Carried forward</t>
        </is>
      </c>
      <c r="J208" s="23" t="inlineStr">
        <is>
          <t>Source assignment -- not individually reviewed</t>
        </is>
      </c>
      <c r="K208" s="23" t="inlineStr"/>
      <c r="L208" s="23" t="inlineStr"/>
      <c r="M208" s="23" t="inlineStr"/>
      <c r="N208" s="14" t="inlineStr">
        <is>
          <t>10 EVIDENCE &amp; DECISIONS</t>
        </is>
      </c>
    </row>
    <row r="209" ht="34" customHeight="1">
      <c r="A209" s="23" t="inlineStr">
        <is>
          <t>Contractor Programme</t>
        </is>
      </c>
      <c r="B209" s="23" t="inlineStr">
        <is>
          <t>SCH-01-102</t>
        </is>
      </c>
      <c r="C209" s="23" t="inlineStr">
        <is>
          <t>Depot lead: retaining-wall excavation - inspection</t>
        </is>
      </c>
      <c r="D209" s="23" t="inlineStr">
        <is>
          <t>WBS Code = 1.1.2</t>
        </is>
      </c>
      <c r="E209" s="23" t="inlineStr">
        <is>
          <t>R102-v2</t>
        </is>
      </c>
      <c r="F209" s="23" t="inlineStr">
        <is>
          <t>1.1.2 Guideway and Civil - Utility &amp; Roadworks</t>
        </is>
      </c>
      <c r="G209" s="23" t="inlineStr">
        <is>
          <t>ONE_TO_ONE</t>
        </is>
      </c>
      <c r="H209" s="23" t="inlineStr">
        <is>
          <t>RETAINED</t>
        </is>
      </c>
      <c r="I209" s="23" t="inlineStr">
        <is>
          <t>Carried forward</t>
        </is>
      </c>
      <c r="J209" s="23" t="inlineStr">
        <is>
          <t>Source assignment -- not individually reviewed</t>
        </is>
      </c>
      <c r="K209" s="23" t="inlineStr"/>
      <c r="L209" s="23" t="inlineStr"/>
      <c r="M209" s="23" t="inlineStr"/>
      <c r="N209" s="14" t="inlineStr">
        <is>
          <t>10 EVIDENCE &amp; DECISIONS</t>
        </is>
      </c>
    </row>
    <row r="210" ht="34" customHeight="1">
      <c r="A210" s="23" t="inlineStr">
        <is>
          <t>Contractor Programme</t>
        </is>
      </c>
      <c r="B210" s="23" t="inlineStr">
        <is>
          <t>SCH-01-105</t>
        </is>
      </c>
      <c r="C210" s="23" t="inlineStr">
        <is>
          <t>Central guideway: track-slab survey - field start</t>
        </is>
      </c>
      <c r="D210" s="23" t="inlineStr">
        <is>
          <t>WBS Code = 1.1.2</t>
        </is>
      </c>
      <c r="E210" s="23" t="inlineStr">
        <is>
          <t>R105-v2</t>
        </is>
      </c>
      <c r="F210" s="23" t="inlineStr">
        <is>
          <t>1.1.2 Guideway and Civil - Utility &amp; Roadworks</t>
        </is>
      </c>
      <c r="G210" s="23" t="inlineStr">
        <is>
          <t>ONE_TO_ONE</t>
        </is>
      </c>
      <c r="H210" s="23" t="inlineStr">
        <is>
          <t>RETAINED</t>
        </is>
      </c>
      <c r="I210" s="23" t="inlineStr">
        <is>
          <t>Carried forward</t>
        </is>
      </c>
      <c r="J210" s="23" t="inlineStr">
        <is>
          <t>Source assignment -- not individually reviewed</t>
        </is>
      </c>
      <c r="K210" s="23" t="inlineStr"/>
      <c r="L210" s="23" t="inlineStr"/>
      <c r="M210" s="23" t="inlineStr"/>
      <c r="N210" s="14" t="inlineStr">
        <is>
          <t>10 EVIDENCE &amp; DECISIONS</t>
        </is>
      </c>
    </row>
    <row r="211" ht="34" customHeight="1">
      <c r="A211" s="23" t="inlineStr">
        <is>
          <t>Contractor Programme</t>
        </is>
      </c>
      <c r="B211" s="23" t="inlineStr">
        <is>
          <t>SCH-01-108</t>
        </is>
      </c>
      <c r="C211" s="23" t="inlineStr">
        <is>
          <t>East portal: road restoration - turnover</t>
        </is>
      </c>
      <c r="D211" s="23" t="inlineStr">
        <is>
          <t>WBS Code = 1.1.2</t>
        </is>
      </c>
      <c r="E211" s="23" t="inlineStr">
        <is>
          <t>R108-v2</t>
        </is>
      </c>
      <c r="F211" s="23" t="inlineStr">
        <is>
          <t>1.1.2 Guideway and Civil - Utility &amp; Roadworks</t>
        </is>
      </c>
      <c r="G211" s="23" t="inlineStr">
        <is>
          <t>ONE_TO_ONE</t>
        </is>
      </c>
      <c r="H211" s="23" t="inlineStr">
        <is>
          <t>RETAINED</t>
        </is>
      </c>
      <c r="I211" s="23" t="inlineStr">
        <is>
          <t>Carried forward</t>
        </is>
      </c>
      <c r="J211" s="23" t="inlineStr">
        <is>
          <t>Source assignment -- not individually reviewed</t>
        </is>
      </c>
      <c r="K211" s="23" t="inlineStr"/>
      <c r="L211" s="23" t="inlineStr"/>
      <c r="M211" s="23" t="inlineStr"/>
      <c r="N211" s="14" t="inlineStr">
        <is>
          <t>10 EVIDENCE &amp; DECISIONS</t>
        </is>
      </c>
    </row>
    <row r="212" ht="34" customHeight="1">
      <c r="A212" s="23" t="inlineStr">
        <is>
          <t>Contractor Programme</t>
        </is>
      </c>
      <c r="B212" s="23" t="inlineStr">
        <is>
          <t>SCH-01-111</t>
        </is>
      </c>
      <c r="C212" s="23" t="inlineStr">
        <is>
          <t>West approach: drainage tie-in - installation</t>
        </is>
      </c>
      <c r="D212" s="23" t="inlineStr">
        <is>
          <t>WBS Code = 1.1.2</t>
        </is>
      </c>
      <c r="E212" s="23" t="inlineStr">
        <is>
          <t>R111-v2</t>
        </is>
      </c>
      <c r="F212" s="23" t="inlineStr">
        <is>
          <t>1.1.2 Guideway and Civil - Utility &amp; Roadworks</t>
        </is>
      </c>
      <c r="G212" s="23" t="inlineStr">
        <is>
          <t>ONE_TO_ONE</t>
        </is>
      </c>
      <c r="H212" s="23" t="inlineStr">
        <is>
          <t>RETAINED</t>
        </is>
      </c>
      <c r="I212" s="23" t="inlineStr">
        <is>
          <t>Carried forward</t>
        </is>
      </c>
      <c r="J212" s="23" t="inlineStr">
        <is>
          <t>Source assignment -- not individually reviewed</t>
        </is>
      </c>
      <c r="K212" s="23" t="inlineStr"/>
      <c r="L212" s="23" t="inlineStr"/>
      <c r="M212" s="23" t="inlineStr"/>
      <c r="N212" s="14" t="inlineStr">
        <is>
          <t>10 EVIDENCE &amp; DECISIONS</t>
        </is>
      </c>
    </row>
    <row r="213" ht="34" customHeight="1">
      <c r="A213" s="23" t="inlineStr">
        <is>
          <t>Contractor Programme</t>
        </is>
      </c>
      <c r="B213" s="23" t="inlineStr">
        <is>
          <t>SCH-01-114</t>
        </is>
      </c>
      <c r="C213" s="23" t="inlineStr">
        <is>
          <t>River crossing: temporary traffic staging - release</t>
        </is>
      </c>
      <c r="D213" s="23" t="inlineStr">
        <is>
          <t>WBS Code = 1.1.2</t>
        </is>
      </c>
      <c r="E213" s="23" t="inlineStr">
        <is>
          <t>R114-v2</t>
        </is>
      </c>
      <c r="F213" s="23" t="inlineStr">
        <is>
          <t>1.1.2 Guideway and Civil - Utility &amp; Roadworks</t>
        </is>
      </c>
      <c r="G213" s="23" t="inlineStr">
        <is>
          <t>ONE_TO_ONE</t>
        </is>
      </c>
      <c r="H213" s="23" t="inlineStr">
        <is>
          <t>RETAINED</t>
        </is>
      </c>
      <c r="I213" s="23" t="inlineStr">
        <is>
          <t>Carried forward</t>
        </is>
      </c>
      <c r="J213" s="23" t="inlineStr">
        <is>
          <t>Source assignment -- not individually reviewed</t>
        </is>
      </c>
      <c r="K213" s="23" t="inlineStr"/>
      <c r="L213" s="23" t="inlineStr"/>
      <c r="M213" s="23" t="inlineStr"/>
      <c r="N213" s="14" t="inlineStr">
        <is>
          <t>10 EVIDENCE &amp; DECISIONS</t>
        </is>
      </c>
    </row>
    <row r="214" ht="34" customHeight="1">
      <c r="A214" s="23" t="inlineStr">
        <is>
          <t>Contractor Programme</t>
        </is>
      </c>
      <c r="B214" s="23" t="inlineStr">
        <is>
          <t>SCH-01-117</t>
        </is>
      </c>
      <c r="C214" s="23" t="inlineStr">
        <is>
          <t>Depot lead: drilled-shaft installation - inspection</t>
        </is>
      </c>
      <c r="D214" s="23" t="inlineStr">
        <is>
          <t>WBS Code = 1.1.2</t>
        </is>
      </c>
      <c r="E214" s="23" t="inlineStr">
        <is>
          <t>R117-v2</t>
        </is>
      </c>
      <c r="F214" s="23" t="inlineStr">
        <is>
          <t>1.1.2 Guideway and Civil - Utility &amp; Roadworks</t>
        </is>
      </c>
      <c r="G214" s="23" t="inlineStr">
        <is>
          <t>ONE_TO_ONE</t>
        </is>
      </c>
      <c r="H214" s="23" t="inlineStr">
        <is>
          <t>RETAINED</t>
        </is>
      </c>
      <c r="I214" s="23" t="inlineStr">
        <is>
          <t>Carried forward</t>
        </is>
      </c>
      <c r="J214" s="23" t="inlineStr">
        <is>
          <t>Source assignment -- not individually reviewed</t>
        </is>
      </c>
      <c r="K214" s="23" t="inlineStr"/>
      <c r="L214" s="23" t="inlineStr"/>
      <c r="M214" s="23" t="inlineStr"/>
      <c r="N214" s="14" t="inlineStr">
        <is>
          <t>10 EVIDENCE &amp; DECISIONS</t>
        </is>
      </c>
    </row>
    <row r="215" ht="34" customHeight="1">
      <c r="A215" s="23" t="inlineStr">
        <is>
          <t>Contractor Programme</t>
        </is>
      </c>
      <c r="B215" s="23" t="inlineStr">
        <is>
          <t>SCH-01-120</t>
        </is>
      </c>
      <c r="C215" s="23" t="inlineStr">
        <is>
          <t>Central guideway: utility relocation - field start</t>
        </is>
      </c>
      <c r="D215" s="23" t="inlineStr">
        <is>
          <t>WBS Code = 1.1.2</t>
        </is>
      </c>
      <c r="E215" s="23" t="inlineStr">
        <is>
          <t>R120-v2</t>
        </is>
      </c>
      <c r="F215" s="23" t="inlineStr">
        <is>
          <t>1.1.2 Guideway and Civil - Utility &amp; Roadworks</t>
        </is>
      </c>
      <c r="G215" s="23" t="inlineStr">
        <is>
          <t>ONE_TO_ONE</t>
        </is>
      </c>
      <c r="H215" s="23" t="inlineStr">
        <is>
          <t>RETAINED</t>
        </is>
      </c>
      <c r="I215" s="23" t="inlineStr">
        <is>
          <t>Carried forward</t>
        </is>
      </c>
      <c r="J215" s="23" t="inlineStr">
        <is>
          <t>Source assignment -- not individually reviewed</t>
        </is>
      </c>
      <c r="K215" s="23" t="inlineStr"/>
      <c r="L215" s="23" t="inlineStr"/>
      <c r="M215" s="23" t="inlineStr"/>
      <c r="N215" s="14" t="inlineStr">
        <is>
          <t>10 EVIDENCE &amp; DECISIONS</t>
        </is>
      </c>
    </row>
    <row r="216" ht="34" customHeight="1">
      <c r="A216" s="23" t="inlineStr">
        <is>
          <t>Contractor Programme</t>
        </is>
      </c>
      <c r="B216" s="23" t="inlineStr">
        <is>
          <t>SCH-01-123</t>
        </is>
      </c>
      <c r="C216" s="23" t="inlineStr">
        <is>
          <t>East portal: guideway pier reinforcement - turnover</t>
        </is>
      </c>
      <c r="D216" s="23" t="inlineStr">
        <is>
          <t>WBS Code = 1.1.2</t>
        </is>
      </c>
      <c r="E216" s="23" t="inlineStr">
        <is>
          <t>R123-v2</t>
        </is>
      </c>
      <c r="F216" s="23" t="inlineStr">
        <is>
          <t>1.1.2 Guideway and Civil - Utility &amp; Roadworks</t>
        </is>
      </c>
      <c r="G216" s="23" t="inlineStr">
        <is>
          <t>ONE_TO_ONE</t>
        </is>
      </c>
      <c r="H216" s="23" t="inlineStr">
        <is>
          <t>RETAINED</t>
        </is>
      </c>
      <c r="I216" s="23" t="inlineStr">
        <is>
          <t>Carried forward</t>
        </is>
      </c>
      <c r="J216" s="23" t="inlineStr">
        <is>
          <t>Source assignment -- not individually reviewed</t>
        </is>
      </c>
      <c r="K216" s="23" t="inlineStr"/>
      <c r="L216" s="23" t="inlineStr"/>
      <c r="M216" s="23" t="inlineStr"/>
      <c r="N216" s="14" t="inlineStr">
        <is>
          <t>10 EVIDENCE &amp; DECISIONS</t>
        </is>
      </c>
    </row>
    <row r="217" ht="34" customHeight="1">
      <c r="A217" s="23" t="inlineStr">
        <is>
          <t>Contractor Programme</t>
        </is>
      </c>
      <c r="B217" s="23" t="inlineStr">
        <is>
          <t>SCH-01-126</t>
        </is>
      </c>
      <c r="C217" s="23" t="inlineStr">
        <is>
          <t>West approach: retaining-wall excavation - installation</t>
        </is>
      </c>
      <c r="D217" s="23" t="inlineStr">
        <is>
          <t>WBS Code = 1.1.2</t>
        </is>
      </c>
      <c r="E217" s="23" t="inlineStr">
        <is>
          <t>R126-v2</t>
        </is>
      </c>
      <c r="F217" s="23" t="inlineStr">
        <is>
          <t>1.1.2 Guideway and Civil - Utility &amp; Roadworks</t>
        </is>
      </c>
      <c r="G217" s="23" t="inlineStr">
        <is>
          <t>ONE_TO_ONE</t>
        </is>
      </c>
      <c r="H217" s="23" t="inlineStr">
        <is>
          <t>RETAINED</t>
        </is>
      </c>
      <c r="I217" s="23" t="inlineStr">
        <is>
          <t>Carried forward</t>
        </is>
      </c>
      <c r="J217" s="23" t="inlineStr">
        <is>
          <t>Source assignment -- not individually reviewed</t>
        </is>
      </c>
      <c r="K217" s="23" t="inlineStr"/>
      <c r="L217" s="23" t="inlineStr"/>
      <c r="M217" s="23" t="inlineStr"/>
      <c r="N217" s="14" t="inlineStr">
        <is>
          <t>10 EVIDENCE &amp; DECISIONS</t>
        </is>
      </c>
    </row>
    <row r="218" ht="34" customHeight="1">
      <c r="A218" s="23" t="inlineStr">
        <is>
          <t>Contractor Programme</t>
        </is>
      </c>
      <c r="B218" s="23" t="inlineStr">
        <is>
          <t>SCH-01-129</t>
        </is>
      </c>
      <c r="C218" s="23" t="inlineStr">
        <is>
          <t>River crossing: track-slab survey - release</t>
        </is>
      </c>
      <c r="D218" s="23" t="inlineStr">
        <is>
          <t>WBS Code = 1.1.2</t>
        </is>
      </c>
      <c r="E218" s="23" t="inlineStr">
        <is>
          <t>R129-v2</t>
        </is>
      </c>
      <c r="F218" s="23" t="inlineStr">
        <is>
          <t>1.1.2 Guideway and Civil - Utility &amp; Roadworks</t>
        </is>
      </c>
      <c r="G218" s="23" t="inlineStr">
        <is>
          <t>ONE_TO_ONE</t>
        </is>
      </c>
      <c r="H218" s="23" t="inlineStr">
        <is>
          <t>RETAINED</t>
        </is>
      </c>
      <c r="I218" s="23" t="inlineStr">
        <is>
          <t>Carried forward</t>
        </is>
      </c>
      <c r="J218" s="23" t="inlineStr">
        <is>
          <t>Source assignment -- not individually reviewed</t>
        </is>
      </c>
      <c r="K218" s="23" t="inlineStr"/>
      <c r="L218" s="23" t="inlineStr"/>
      <c r="M218" s="23" t="inlineStr"/>
      <c r="N218" s="14" t="inlineStr">
        <is>
          <t>10 EVIDENCE &amp; DECISIONS</t>
        </is>
      </c>
    </row>
    <row r="219" ht="34" customHeight="1">
      <c r="A219" s="23" t="inlineStr">
        <is>
          <t>Contractor Programme</t>
        </is>
      </c>
      <c r="B219" s="23" t="inlineStr">
        <is>
          <t>SCH-01-132</t>
        </is>
      </c>
      <c r="C219" s="23" t="inlineStr">
        <is>
          <t>Depot lead: road restoration - inspection</t>
        </is>
      </c>
      <c r="D219" s="23" t="inlineStr">
        <is>
          <t>WBS Code = 1.1.2</t>
        </is>
      </c>
      <c r="E219" s="23" t="inlineStr">
        <is>
          <t>R132-v2</t>
        </is>
      </c>
      <c r="F219" s="23" t="inlineStr">
        <is>
          <t>1.1.2 Guideway and Civil - Utility &amp; Roadworks</t>
        </is>
      </c>
      <c r="G219" s="23" t="inlineStr">
        <is>
          <t>ONE_TO_ONE</t>
        </is>
      </c>
      <c r="H219" s="23" t="inlineStr">
        <is>
          <t>RETAINED</t>
        </is>
      </c>
      <c r="I219" s="23" t="inlineStr">
        <is>
          <t>Carried forward</t>
        </is>
      </c>
      <c r="J219" s="23" t="inlineStr">
        <is>
          <t>Source assignment -- not individually reviewed</t>
        </is>
      </c>
      <c r="K219" s="23" t="inlineStr"/>
      <c r="L219" s="23" t="inlineStr"/>
      <c r="M219" s="23" t="inlineStr"/>
      <c r="N219" s="14" t="inlineStr">
        <is>
          <t>10 EVIDENCE &amp; DECISIONS</t>
        </is>
      </c>
    </row>
    <row r="220" ht="34" customHeight="1">
      <c r="A220" s="23" t="inlineStr">
        <is>
          <t>Contractor Programme</t>
        </is>
      </c>
      <c r="B220" s="23" t="inlineStr">
        <is>
          <t>SCH-01-135</t>
        </is>
      </c>
      <c r="C220" s="23" t="inlineStr">
        <is>
          <t>Central guideway: drainage tie-in - field start</t>
        </is>
      </c>
      <c r="D220" s="23" t="inlineStr">
        <is>
          <t>WBS Code = 1.1.2</t>
        </is>
      </c>
      <c r="E220" s="23" t="inlineStr">
        <is>
          <t>R135-v2</t>
        </is>
      </c>
      <c r="F220" s="23" t="inlineStr">
        <is>
          <t>1.1.2 Guideway and Civil - Utility &amp; Roadworks</t>
        </is>
      </c>
      <c r="G220" s="23" t="inlineStr">
        <is>
          <t>ONE_TO_ONE</t>
        </is>
      </c>
      <c r="H220" s="23" t="inlineStr">
        <is>
          <t>RETAINED</t>
        </is>
      </c>
      <c r="I220" s="23" t="inlineStr">
        <is>
          <t>Carried forward</t>
        </is>
      </c>
      <c r="J220" s="23" t="inlineStr">
        <is>
          <t>Source assignment -- not individually reviewed</t>
        </is>
      </c>
      <c r="K220" s="23" t="inlineStr"/>
      <c r="L220" s="23" t="inlineStr"/>
      <c r="M220" s="23" t="inlineStr"/>
      <c r="N220" s="14" t="inlineStr">
        <is>
          <t>10 EVIDENCE &amp; DECISIONS</t>
        </is>
      </c>
    </row>
    <row r="221" ht="34" customHeight="1">
      <c r="A221" s="23" t="inlineStr">
        <is>
          <t>Contractor Programme</t>
        </is>
      </c>
      <c r="B221" s="23" t="inlineStr">
        <is>
          <t>SCH-01-138</t>
        </is>
      </c>
      <c r="C221" s="23" t="inlineStr">
        <is>
          <t>East portal: temporary traffic staging - turnover</t>
        </is>
      </c>
      <c r="D221" s="23" t="inlineStr">
        <is>
          <t>WBS Code = 1.1.2</t>
        </is>
      </c>
      <c r="E221" s="23" t="inlineStr">
        <is>
          <t>R138-v2</t>
        </is>
      </c>
      <c r="F221" s="23" t="inlineStr">
        <is>
          <t>1.1.2 Guideway and Civil - Utility &amp; Roadworks</t>
        </is>
      </c>
      <c r="G221" s="23" t="inlineStr">
        <is>
          <t>ONE_TO_ONE</t>
        </is>
      </c>
      <c r="H221" s="23" t="inlineStr">
        <is>
          <t>RETAINED</t>
        </is>
      </c>
      <c r="I221" s="23" t="inlineStr">
        <is>
          <t>Carried forward</t>
        </is>
      </c>
      <c r="J221" s="23" t="inlineStr">
        <is>
          <t>Source assignment -- not individually reviewed</t>
        </is>
      </c>
      <c r="K221" s="23" t="inlineStr"/>
      <c r="L221" s="23" t="inlineStr"/>
      <c r="M221" s="23" t="inlineStr"/>
      <c r="N221" s="14" t="inlineStr">
        <is>
          <t>10 EVIDENCE &amp; DECISIONS</t>
        </is>
      </c>
    </row>
    <row r="222" ht="34" customHeight="1">
      <c r="A222" s="23" t="inlineStr">
        <is>
          <t>Contractor Programme</t>
        </is>
      </c>
      <c r="B222" s="23" t="inlineStr">
        <is>
          <t>SCH-01-141</t>
        </is>
      </c>
      <c r="C222" s="23" t="inlineStr">
        <is>
          <t>West approach: drilled-shaft installation - installation</t>
        </is>
      </c>
      <c r="D222" s="23" t="inlineStr">
        <is>
          <t>WBS Code = 1.1.2</t>
        </is>
      </c>
      <c r="E222" s="23" t="inlineStr">
        <is>
          <t>R141-v2</t>
        </is>
      </c>
      <c r="F222" s="23" t="inlineStr">
        <is>
          <t>1.1.2 Guideway and Civil - Utility &amp; Roadworks</t>
        </is>
      </c>
      <c r="G222" s="23" t="inlineStr">
        <is>
          <t>ONE_TO_ONE</t>
        </is>
      </c>
      <c r="H222" s="23" t="inlineStr">
        <is>
          <t>RETAINED</t>
        </is>
      </c>
      <c r="I222" s="23" t="inlineStr">
        <is>
          <t>Carried forward</t>
        </is>
      </c>
      <c r="J222" s="23" t="inlineStr">
        <is>
          <t>Source assignment -- not individually reviewed</t>
        </is>
      </c>
      <c r="K222" s="23" t="inlineStr"/>
      <c r="L222" s="23" t="inlineStr"/>
      <c r="M222" s="23" t="inlineStr"/>
      <c r="N222" s="14" t="inlineStr">
        <is>
          <t>10 EVIDENCE &amp; DECISIONS</t>
        </is>
      </c>
    </row>
    <row r="223" ht="34" customHeight="1">
      <c r="A223" s="23" t="inlineStr">
        <is>
          <t>Contractor Programme</t>
        </is>
      </c>
      <c r="B223" s="23" t="inlineStr">
        <is>
          <t>SCH-01-144</t>
        </is>
      </c>
      <c r="C223" s="23" t="inlineStr">
        <is>
          <t>River crossing: utility relocation - release</t>
        </is>
      </c>
      <c r="D223" s="23" t="inlineStr">
        <is>
          <t>WBS Code = 1.1.2</t>
        </is>
      </c>
      <c r="E223" s="23" t="inlineStr">
        <is>
          <t>R144-v2</t>
        </is>
      </c>
      <c r="F223" s="23" t="inlineStr">
        <is>
          <t>1.1.2 Guideway and Civil - Utility &amp; Roadworks</t>
        </is>
      </c>
      <c r="G223" s="23" t="inlineStr">
        <is>
          <t>ONE_TO_ONE</t>
        </is>
      </c>
      <c r="H223" s="23" t="inlineStr">
        <is>
          <t>RETAINED</t>
        </is>
      </c>
      <c r="I223" s="23" t="inlineStr">
        <is>
          <t>Carried forward</t>
        </is>
      </c>
      <c r="J223" s="23" t="inlineStr">
        <is>
          <t>Source assignment -- not individually reviewed</t>
        </is>
      </c>
      <c r="K223" s="23" t="inlineStr"/>
      <c r="L223" s="23" t="inlineStr"/>
      <c r="M223" s="23" t="inlineStr"/>
      <c r="N223" s="14" t="inlineStr">
        <is>
          <t>10 EVIDENCE &amp; DECISIONS</t>
        </is>
      </c>
    </row>
    <row r="224" ht="34" customHeight="1">
      <c r="A224" s="23" t="inlineStr">
        <is>
          <t>Contractor Programme</t>
        </is>
      </c>
      <c r="B224" s="23" t="inlineStr">
        <is>
          <t>SCH-01-147</t>
        </is>
      </c>
      <c r="C224" s="23" t="inlineStr">
        <is>
          <t>Depot lead: guideway pier reinforcement - inspection</t>
        </is>
      </c>
      <c r="D224" s="23" t="inlineStr">
        <is>
          <t>WBS Code = 1.1.2</t>
        </is>
      </c>
      <c r="E224" s="23" t="inlineStr">
        <is>
          <t>R147-v2</t>
        </is>
      </c>
      <c r="F224" s="23" t="inlineStr">
        <is>
          <t>1.1.2 Guideway and Civil - Utility &amp; Roadworks</t>
        </is>
      </c>
      <c r="G224" s="23" t="inlineStr">
        <is>
          <t>ONE_TO_ONE</t>
        </is>
      </c>
      <c r="H224" s="23" t="inlineStr">
        <is>
          <t>RETAINED</t>
        </is>
      </c>
      <c r="I224" s="23" t="inlineStr">
        <is>
          <t>Carried forward</t>
        </is>
      </c>
      <c r="J224" s="23" t="inlineStr">
        <is>
          <t>Source assignment -- not individually reviewed</t>
        </is>
      </c>
      <c r="K224" s="23" t="inlineStr"/>
      <c r="L224" s="23" t="inlineStr"/>
      <c r="M224" s="23" t="inlineStr"/>
      <c r="N224" s="14" t="inlineStr">
        <is>
          <t>10 EVIDENCE &amp; DECISIONS</t>
        </is>
      </c>
    </row>
    <row r="225" ht="34" customHeight="1">
      <c r="A225" s="23" t="inlineStr">
        <is>
          <t>Contractor Programme</t>
        </is>
      </c>
      <c r="B225" s="23" t="inlineStr">
        <is>
          <t>SCH-01-150</t>
        </is>
      </c>
      <c r="C225" s="23" t="inlineStr">
        <is>
          <t>Central guideway: retaining-wall excavation - field start</t>
        </is>
      </c>
      <c r="D225" s="23" t="inlineStr">
        <is>
          <t>WBS Code = 1.1.2</t>
        </is>
      </c>
      <c r="E225" s="23" t="inlineStr">
        <is>
          <t>R150-v2</t>
        </is>
      </c>
      <c r="F225" s="23" t="inlineStr">
        <is>
          <t>1.1.2 Guideway and Civil - Utility &amp; Roadworks</t>
        </is>
      </c>
      <c r="G225" s="23" t="inlineStr">
        <is>
          <t>ONE_TO_ONE</t>
        </is>
      </c>
      <c r="H225" s="23" t="inlineStr">
        <is>
          <t>RETAINED</t>
        </is>
      </c>
      <c r="I225" s="23" t="inlineStr">
        <is>
          <t>Carried forward</t>
        </is>
      </c>
      <c r="J225" s="23" t="inlineStr">
        <is>
          <t>Source assignment -- not individually reviewed</t>
        </is>
      </c>
      <c r="K225" s="23" t="inlineStr"/>
      <c r="L225" s="23" t="inlineStr"/>
      <c r="M225" s="23" t="inlineStr"/>
      <c r="N225" s="14" t="inlineStr">
        <is>
          <t>10 EVIDENCE &amp; DECISIONS</t>
        </is>
      </c>
    </row>
    <row r="226" ht="34" customHeight="1">
      <c r="A226" s="23" t="inlineStr">
        <is>
          <t>Contractor Programme</t>
        </is>
      </c>
      <c r="B226" s="23" t="inlineStr">
        <is>
          <t>SCH-01-153</t>
        </is>
      </c>
      <c r="C226" s="23" t="inlineStr">
        <is>
          <t>East portal: track-slab survey - turnover</t>
        </is>
      </c>
      <c r="D226" s="23" t="inlineStr">
        <is>
          <t>WBS Code = 1.1.2</t>
        </is>
      </c>
      <c r="E226" s="23" t="inlineStr">
        <is>
          <t>R153-v2</t>
        </is>
      </c>
      <c r="F226" s="23" t="inlineStr">
        <is>
          <t>1.1.2 Guideway and Civil - Utility &amp; Roadworks</t>
        </is>
      </c>
      <c r="G226" s="23" t="inlineStr">
        <is>
          <t>ONE_TO_ONE</t>
        </is>
      </c>
      <c r="H226" s="23" t="inlineStr">
        <is>
          <t>RETAINED</t>
        </is>
      </c>
      <c r="I226" s="23" t="inlineStr">
        <is>
          <t>Carried forward</t>
        </is>
      </c>
      <c r="J226" s="23" t="inlineStr">
        <is>
          <t>Source assignment -- not individually reviewed</t>
        </is>
      </c>
      <c r="K226" s="23" t="inlineStr"/>
      <c r="L226" s="23" t="inlineStr"/>
      <c r="M226" s="23" t="inlineStr"/>
      <c r="N226" s="14" t="inlineStr">
        <is>
          <t>10 EVIDENCE &amp; DECISIONS</t>
        </is>
      </c>
    </row>
    <row r="227" ht="34" customHeight="1">
      <c r="A227" s="23" t="inlineStr">
        <is>
          <t>Contractor Programme</t>
        </is>
      </c>
      <c r="B227" s="23" t="inlineStr">
        <is>
          <t>SCH-01-156</t>
        </is>
      </c>
      <c r="C227" s="23" t="inlineStr">
        <is>
          <t>West approach: road restoration - installation</t>
        </is>
      </c>
      <c r="D227" s="23" t="inlineStr">
        <is>
          <t>WBS Code = 1.1.2</t>
        </is>
      </c>
      <c r="E227" s="23" t="inlineStr">
        <is>
          <t>R156-v2</t>
        </is>
      </c>
      <c r="F227" s="23" t="inlineStr">
        <is>
          <t>1.1.2 Guideway and Civil - Utility &amp; Roadworks</t>
        </is>
      </c>
      <c r="G227" s="23" t="inlineStr">
        <is>
          <t>ONE_TO_ONE</t>
        </is>
      </c>
      <c r="H227" s="23" t="inlineStr">
        <is>
          <t>RETAINED</t>
        </is>
      </c>
      <c r="I227" s="23" t="inlineStr">
        <is>
          <t>Carried forward</t>
        </is>
      </c>
      <c r="J227" s="23" t="inlineStr">
        <is>
          <t>Source assignment -- not individually reviewed</t>
        </is>
      </c>
      <c r="K227" s="23" t="inlineStr"/>
      <c r="L227" s="23" t="inlineStr"/>
      <c r="M227" s="23" t="inlineStr"/>
      <c r="N227" s="14" t="inlineStr">
        <is>
          <t>10 EVIDENCE &amp; DECISIONS</t>
        </is>
      </c>
    </row>
    <row r="228" ht="34" customHeight="1">
      <c r="A228" s="23" t="inlineStr">
        <is>
          <t>Contractor Programme</t>
        </is>
      </c>
      <c r="B228" s="23" t="inlineStr">
        <is>
          <t>SCH-01-159</t>
        </is>
      </c>
      <c r="C228" s="23" t="inlineStr">
        <is>
          <t>River crossing: drainage tie-in - release</t>
        </is>
      </c>
      <c r="D228" s="23" t="inlineStr">
        <is>
          <t>WBS Code = 1.1.2</t>
        </is>
      </c>
      <c r="E228" s="23" t="inlineStr">
        <is>
          <t>R159-v2</t>
        </is>
      </c>
      <c r="F228" s="23" t="inlineStr">
        <is>
          <t>1.1.2 Guideway and Civil - Utility &amp; Roadworks</t>
        </is>
      </c>
      <c r="G228" s="23" t="inlineStr">
        <is>
          <t>ONE_TO_ONE</t>
        </is>
      </c>
      <c r="H228" s="23" t="inlineStr">
        <is>
          <t>RETAINED</t>
        </is>
      </c>
      <c r="I228" s="23" t="inlineStr">
        <is>
          <t>Carried forward</t>
        </is>
      </c>
      <c r="J228" s="23" t="inlineStr">
        <is>
          <t>Source assignment -- not individually reviewed</t>
        </is>
      </c>
      <c r="K228" s="23" t="inlineStr"/>
      <c r="L228" s="23" t="inlineStr"/>
      <c r="M228" s="23" t="inlineStr"/>
      <c r="N228" s="14" t="inlineStr">
        <is>
          <t>10 EVIDENCE &amp; DECISIONS</t>
        </is>
      </c>
    </row>
    <row r="229" ht="34" customHeight="1">
      <c r="A229" s="23" t="inlineStr">
        <is>
          <t>Contractor Programme</t>
        </is>
      </c>
      <c r="B229" s="23" t="inlineStr">
        <is>
          <t>SCH-01-162</t>
        </is>
      </c>
      <c r="C229" s="23" t="inlineStr">
        <is>
          <t>Depot lead: temporary traffic staging - inspection</t>
        </is>
      </c>
      <c r="D229" s="23" t="inlineStr">
        <is>
          <t>WBS Code = 1.1.2</t>
        </is>
      </c>
      <c r="E229" s="23" t="inlineStr">
        <is>
          <t>R162-v2</t>
        </is>
      </c>
      <c r="F229" s="23" t="inlineStr">
        <is>
          <t>1.1.2 Guideway and Civil - Utility &amp; Roadworks</t>
        </is>
      </c>
      <c r="G229" s="23" t="inlineStr">
        <is>
          <t>ONE_TO_ONE</t>
        </is>
      </c>
      <c r="H229" s="23" t="inlineStr">
        <is>
          <t>RETAINED</t>
        </is>
      </c>
      <c r="I229" s="23" t="inlineStr">
        <is>
          <t>Carried forward</t>
        </is>
      </c>
      <c r="J229" s="23" t="inlineStr">
        <is>
          <t>Source assignment -- not individually reviewed</t>
        </is>
      </c>
      <c r="K229" s="23" t="inlineStr"/>
      <c r="L229" s="23" t="inlineStr"/>
      <c r="M229" s="23" t="inlineStr"/>
      <c r="N229" s="14" t="inlineStr">
        <is>
          <t>10 EVIDENCE &amp; DECISIONS</t>
        </is>
      </c>
    </row>
    <row r="230" ht="34" customHeight="1">
      <c r="A230" s="23" t="inlineStr">
        <is>
          <t>Contractor Programme</t>
        </is>
      </c>
      <c r="B230" s="23" t="inlineStr">
        <is>
          <t>SCH-01-165</t>
        </is>
      </c>
      <c r="C230" s="23" t="inlineStr">
        <is>
          <t>Central guideway: drilled-shaft installation - field start</t>
        </is>
      </c>
      <c r="D230" s="23" t="inlineStr">
        <is>
          <t>WBS Code = 1.1.2</t>
        </is>
      </c>
      <c r="E230" s="23" t="inlineStr">
        <is>
          <t>R165-v2</t>
        </is>
      </c>
      <c r="F230" s="23" t="inlineStr">
        <is>
          <t>1.1.2 Guideway and Civil - Utility &amp; Roadworks</t>
        </is>
      </c>
      <c r="G230" s="23" t="inlineStr">
        <is>
          <t>ONE_TO_ONE</t>
        </is>
      </c>
      <c r="H230" s="23" t="inlineStr">
        <is>
          <t>RETAINED</t>
        </is>
      </c>
      <c r="I230" s="23" t="inlineStr">
        <is>
          <t>Carried forward</t>
        </is>
      </c>
      <c r="J230" s="23" t="inlineStr">
        <is>
          <t>Source assignment -- not individually reviewed</t>
        </is>
      </c>
      <c r="K230" s="23" t="inlineStr"/>
      <c r="L230" s="23" t="inlineStr"/>
      <c r="M230" s="23" t="inlineStr"/>
      <c r="N230" s="14" t="inlineStr">
        <is>
          <t>10 EVIDENCE &amp; DECISIONS</t>
        </is>
      </c>
    </row>
    <row r="231" ht="34" customHeight="1">
      <c r="A231" s="23" t="inlineStr">
        <is>
          <t>Contractor Programme</t>
        </is>
      </c>
      <c r="B231" s="23" t="inlineStr">
        <is>
          <t>SCH-01-168</t>
        </is>
      </c>
      <c r="C231" s="23" t="inlineStr">
        <is>
          <t>East portal: utility relocation - turnover</t>
        </is>
      </c>
      <c r="D231" s="23" t="inlineStr">
        <is>
          <t>WBS Code = 1.1.2</t>
        </is>
      </c>
      <c r="E231" s="23" t="inlineStr">
        <is>
          <t>R168-v2</t>
        </is>
      </c>
      <c r="F231" s="23" t="inlineStr">
        <is>
          <t>1.1.2 Guideway and Civil - Utility &amp; Roadworks</t>
        </is>
      </c>
      <c r="G231" s="23" t="inlineStr">
        <is>
          <t>ONE_TO_ONE</t>
        </is>
      </c>
      <c r="H231" s="23" t="inlineStr">
        <is>
          <t>RETAINED</t>
        </is>
      </c>
      <c r="I231" s="23" t="inlineStr">
        <is>
          <t>Carried forward</t>
        </is>
      </c>
      <c r="J231" s="23" t="inlineStr">
        <is>
          <t>Source assignment -- not individually reviewed</t>
        </is>
      </c>
      <c r="K231" s="23" t="inlineStr"/>
      <c r="L231" s="23" t="inlineStr"/>
      <c r="M231" s="23" t="inlineStr"/>
      <c r="N231" s="14" t="inlineStr">
        <is>
          <t>10 EVIDENCE &amp; DECISIONS</t>
        </is>
      </c>
    </row>
    <row r="232" ht="34" customHeight="1">
      <c r="A232" s="23" t="inlineStr">
        <is>
          <t>Contractor Programme</t>
        </is>
      </c>
      <c r="B232" s="23" t="inlineStr">
        <is>
          <t>SCH-01-171</t>
        </is>
      </c>
      <c r="C232" s="23" t="inlineStr">
        <is>
          <t>West approach: guideway pier reinforcement - installation</t>
        </is>
      </c>
      <c r="D232" s="23" t="inlineStr">
        <is>
          <t>WBS Code = 1.1.2</t>
        </is>
      </c>
      <c r="E232" s="23" t="inlineStr">
        <is>
          <t>R171-v2</t>
        </is>
      </c>
      <c r="F232" s="23" t="inlineStr">
        <is>
          <t>1.1.2 Guideway and Civil - Utility &amp; Roadworks</t>
        </is>
      </c>
      <c r="G232" s="23" t="inlineStr">
        <is>
          <t>ONE_TO_ONE</t>
        </is>
      </c>
      <c r="H232" s="23" t="inlineStr">
        <is>
          <t>RETAINED</t>
        </is>
      </c>
      <c r="I232" s="23" t="inlineStr">
        <is>
          <t>Carried forward</t>
        </is>
      </c>
      <c r="J232" s="23" t="inlineStr">
        <is>
          <t>Source assignment -- not individually reviewed</t>
        </is>
      </c>
      <c r="K232" s="23" t="inlineStr"/>
      <c r="L232" s="23" t="inlineStr"/>
      <c r="M232" s="23" t="inlineStr"/>
      <c r="N232" s="14" t="inlineStr">
        <is>
          <t>10 EVIDENCE &amp; DECISIONS</t>
        </is>
      </c>
    </row>
    <row r="233" ht="34" customHeight="1">
      <c r="A233" s="23" t="inlineStr">
        <is>
          <t>Contractor Programme</t>
        </is>
      </c>
      <c r="B233" s="23" t="inlineStr">
        <is>
          <t>SCH-01-174</t>
        </is>
      </c>
      <c r="C233" s="23" t="inlineStr">
        <is>
          <t>River crossing: retaining-wall excavation - release</t>
        </is>
      </c>
      <c r="D233" s="23" t="inlineStr">
        <is>
          <t>WBS Code = 1.1.2</t>
        </is>
      </c>
      <c r="E233" s="23" t="inlineStr">
        <is>
          <t>R174-v2</t>
        </is>
      </c>
      <c r="F233" s="23" t="inlineStr">
        <is>
          <t>1.1.2 Guideway and Civil - Utility &amp; Roadworks</t>
        </is>
      </c>
      <c r="G233" s="23" t="inlineStr">
        <is>
          <t>ONE_TO_ONE</t>
        </is>
      </c>
      <c r="H233" s="23" t="inlineStr">
        <is>
          <t>RETAINED</t>
        </is>
      </c>
      <c r="I233" s="23" t="inlineStr">
        <is>
          <t>Carried forward</t>
        </is>
      </c>
      <c r="J233" s="23" t="inlineStr">
        <is>
          <t>Source assignment -- not individually reviewed</t>
        </is>
      </c>
      <c r="K233" s="23" t="inlineStr"/>
      <c r="L233" s="23" t="inlineStr"/>
      <c r="M233" s="23" t="inlineStr"/>
      <c r="N233" s="14" t="inlineStr">
        <is>
          <t>10 EVIDENCE &amp; DECISIONS</t>
        </is>
      </c>
    </row>
    <row r="234" ht="34" customHeight="1">
      <c r="A234" s="23" t="inlineStr">
        <is>
          <t>Contractor Programme</t>
        </is>
      </c>
      <c r="B234" s="23" t="inlineStr">
        <is>
          <t>SCH-01-177</t>
        </is>
      </c>
      <c r="C234" s="23" t="inlineStr">
        <is>
          <t>Depot lead: track-slab survey - inspection</t>
        </is>
      </c>
      <c r="D234" s="23" t="inlineStr">
        <is>
          <t>WBS Code = 1.1.2</t>
        </is>
      </c>
      <c r="E234" s="23" t="inlineStr">
        <is>
          <t>R177-v2</t>
        </is>
      </c>
      <c r="F234" s="23" t="inlineStr">
        <is>
          <t>1.1.2 Guideway and Civil - Utility &amp; Roadworks</t>
        </is>
      </c>
      <c r="G234" s="23" t="inlineStr">
        <is>
          <t>ONE_TO_ONE</t>
        </is>
      </c>
      <c r="H234" s="23" t="inlineStr">
        <is>
          <t>RETAINED</t>
        </is>
      </c>
      <c r="I234" s="23" t="inlineStr">
        <is>
          <t>Carried forward</t>
        </is>
      </c>
      <c r="J234" s="23" t="inlineStr">
        <is>
          <t>Source assignment -- not individually reviewed</t>
        </is>
      </c>
      <c r="K234" s="23" t="inlineStr"/>
      <c r="L234" s="23" t="inlineStr"/>
      <c r="M234" s="23" t="inlineStr"/>
      <c r="N234" s="14" t="inlineStr">
        <is>
          <t>10 EVIDENCE &amp; DECISIONS</t>
        </is>
      </c>
    </row>
    <row r="235" ht="34" customHeight="1">
      <c r="A235" s="23" t="inlineStr">
        <is>
          <t>Contractor Programme</t>
        </is>
      </c>
      <c r="B235" s="23" t="inlineStr">
        <is>
          <t>SCH-01-180</t>
        </is>
      </c>
      <c r="C235" s="23" t="inlineStr">
        <is>
          <t>Central guideway: road restoration - field start</t>
        </is>
      </c>
      <c r="D235" s="23" t="inlineStr">
        <is>
          <t>WBS Code = 1.1.2</t>
        </is>
      </c>
      <c r="E235" s="23" t="inlineStr">
        <is>
          <t>R180-v2</t>
        </is>
      </c>
      <c r="F235" s="23" t="inlineStr">
        <is>
          <t>1.1.2 Guideway and Civil - Utility &amp; Roadworks</t>
        </is>
      </c>
      <c r="G235" s="23" t="inlineStr">
        <is>
          <t>ONE_TO_ONE</t>
        </is>
      </c>
      <c r="H235" s="23" t="inlineStr">
        <is>
          <t>RETAINED</t>
        </is>
      </c>
      <c r="I235" s="23" t="inlineStr">
        <is>
          <t>Carried forward</t>
        </is>
      </c>
      <c r="J235" s="23" t="inlineStr">
        <is>
          <t>Source assignment -- not individually reviewed</t>
        </is>
      </c>
      <c r="K235" s="23" t="inlineStr"/>
      <c r="L235" s="23" t="inlineStr"/>
      <c r="M235" s="23" t="inlineStr"/>
      <c r="N235" s="14" t="inlineStr">
        <is>
          <t>10 EVIDENCE &amp; DECISIONS</t>
        </is>
      </c>
    </row>
    <row r="236" ht="34" customHeight="1">
      <c r="A236" s="23" t="inlineStr">
        <is>
          <t>Cost &amp; Forecast Control Accounts</t>
        </is>
      </c>
      <c r="B236" s="23" t="inlineStr">
        <is>
          <t>CST-01-002</t>
        </is>
      </c>
      <c r="C236" s="23" t="inlineStr">
        <is>
          <t>Guideway and Civil - temporary works - allowance</t>
        </is>
      </c>
      <c r="D236" s="23" t="inlineStr">
        <is>
          <t>Cost Account = CA-1002; WBS Code = 1.1.2</t>
        </is>
      </c>
      <c r="E236" s="23" t="inlineStr">
        <is>
          <t>R1084-v2</t>
        </is>
      </c>
      <c r="F236" s="23" t="inlineStr">
        <is>
          <t>1.1.2 Guideway and Civil - Utility &amp; Roadworks</t>
        </is>
      </c>
      <c r="G236" s="23" t="inlineStr">
        <is>
          <t>ONE_TO_ONE</t>
        </is>
      </c>
      <c r="H236" s="23" t="inlineStr">
        <is>
          <t>RETAINED</t>
        </is>
      </c>
      <c r="I236" s="23" t="inlineStr">
        <is>
          <t>Carried forward</t>
        </is>
      </c>
      <c r="J236" s="23" t="inlineStr">
        <is>
          <t>Source assignment -- not individually reviewed</t>
        </is>
      </c>
      <c r="K236" s="23" t="inlineStr"/>
      <c r="L236" s="23" t="inlineStr"/>
      <c r="M236" s="23" t="inlineStr"/>
      <c r="N236" s="14" t="inlineStr">
        <is>
          <t>10 EVIDENCE &amp; DECISIONS</t>
        </is>
      </c>
    </row>
    <row r="237" ht="34" customHeight="1">
      <c r="A237" s="23" t="inlineStr">
        <is>
          <t>Cost &amp; Forecast Control Accounts</t>
        </is>
      </c>
      <c r="B237" s="23" t="inlineStr">
        <is>
          <t>CST-01-004</t>
        </is>
      </c>
      <c r="C237" s="23" t="inlineStr">
        <is>
          <t>Guideway and Civil - roadworks - field package</t>
        </is>
      </c>
      <c r="D237" s="23" t="inlineStr">
        <is>
          <t>Cost Account = CA-1004; WBS Code = 1.1.2</t>
        </is>
      </c>
      <c r="E237" s="23" t="inlineStr">
        <is>
          <t>R1086-v2</t>
        </is>
      </c>
      <c r="F237" s="23" t="inlineStr">
        <is>
          <t>1.1.2 Guideway and Civil - Utility &amp; Roadworks</t>
        </is>
      </c>
      <c r="G237" s="23" t="inlineStr">
        <is>
          <t>ONE_TO_ONE</t>
        </is>
      </c>
      <c r="H237" s="23" t="inlineStr">
        <is>
          <t>RETAINED</t>
        </is>
      </c>
      <c r="I237" s="23" t="inlineStr">
        <is>
          <t>Carried forward</t>
        </is>
      </c>
      <c r="J237" s="23" t="inlineStr">
        <is>
          <t>Source assignment -- not individually reviewed</t>
        </is>
      </c>
      <c r="K237" s="23" t="inlineStr"/>
      <c r="L237" s="23" t="inlineStr"/>
      <c r="M237" s="23" t="inlineStr"/>
      <c r="N237" s="14" t="inlineStr">
        <is>
          <t>10 EVIDENCE &amp; DECISIONS</t>
        </is>
      </c>
    </row>
    <row r="238" ht="49" customHeight="1">
      <c r="A238" s="23" t="inlineStr">
        <is>
          <t>Cost &amp; Forecast Control Accounts</t>
        </is>
      </c>
      <c r="B238" s="23" t="inlineStr">
        <is>
          <t>CST-01-005</t>
        </is>
      </c>
      <c r="C238" s="23" t="inlineStr">
        <is>
          <t>Guideway and Civil - temporary works - supply and install - relocated to adjacent governed scope</t>
        </is>
      </c>
      <c r="D238" s="23" t="inlineStr">
        <is>
          <t>Cost Account = CA-1005; WBS Code = 1.1.2</t>
        </is>
      </c>
      <c r="E238" s="23" t="inlineStr">
        <is>
          <t>R1087-v3</t>
        </is>
      </c>
      <c r="F238" s="23" t="inlineStr">
        <is>
          <t>1.1.2 Guideway and Civil - Utility &amp; Roadworks</t>
        </is>
      </c>
      <c r="G238" s="23" t="inlineStr">
        <is>
          <t>ONE_TO_ONE</t>
        </is>
      </c>
      <c r="H238" s="23" t="inlineStr">
        <is>
          <t>APPROVED</t>
        </is>
      </c>
      <c r="I238" s="23" t="inlineStr">
        <is>
          <t>Changed, re-decided</t>
        </is>
      </c>
      <c r="J238" s="23" t="inlineStr">
        <is>
          <t>Professional decision</t>
        </is>
      </c>
      <c r="K238" s="23" t="inlineStr">
        <is>
          <t>Maya Chen, Owner Project Controls</t>
        </is>
      </c>
      <c r="L238" s="23" t="inlineStr"/>
      <c r="M238" s="23" t="inlineStr"/>
      <c r="N238" s="14" t="inlineStr">
        <is>
          <t>10 EVIDENCE &amp; DECISIONS</t>
        </is>
      </c>
    </row>
    <row r="239" ht="34" customHeight="1">
      <c r="A239" s="23" t="inlineStr">
        <is>
          <t>Cost &amp; Forecast Control Accounts</t>
        </is>
      </c>
      <c r="B239" s="23" t="inlineStr">
        <is>
          <t>CST-01-006</t>
        </is>
      </c>
      <c r="C239" s="23" t="inlineStr">
        <is>
          <t>Guideway and Civil - concrete structures - professional services</t>
        </is>
      </c>
      <c r="D239" s="23" t="inlineStr">
        <is>
          <t>Cost Account = CA-1006; WBS Code = 1.1.2</t>
        </is>
      </c>
      <c r="E239" s="23" t="inlineStr">
        <is>
          <t>R1088-v2</t>
        </is>
      </c>
      <c r="F239" s="23" t="inlineStr">
        <is>
          <t>1.1.2 Guideway and Civil - Utility &amp; Roadworks</t>
        </is>
      </c>
      <c r="G239" s="23" t="inlineStr">
        <is>
          <t>ONE_TO_ONE</t>
        </is>
      </c>
      <c r="H239" s="23" t="inlineStr">
        <is>
          <t>RETAINED</t>
        </is>
      </c>
      <c r="I239" s="23" t="inlineStr">
        <is>
          <t>Carried forward</t>
        </is>
      </c>
      <c r="J239" s="23" t="inlineStr">
        <is>
          <t>Source assignment -- not individually reviewed</t>
        </is>
      </c>
      <c r="K239" s="23" t="inlineStr"/>
      <c r="L239" s="23" t="inlineStr"/>
      <c r="M239" s="23" t="inlineStr"/>
      <c r="N239" s="14" t="inlineStr">
        <is>
          <t>10 EVIDENCE &amp; DECISIONS</t>
        </is>
      </c>
    </row>
    <row r="240" ht="34" customHeight="1">
      <c r="A240" s="23" t="inlineStr">
        <is>
          <t>Cost &amp; Forecast Control Accounts</t>
        </is>
      </c>
      <c r="B240" s="23" t="inlineStr">
        <is>
          <t>CST-01-008</t>
        </is>
      </c>
      <c r="C240" s="23" t="inlineStr">
        <is>
          <t>Guideway and Civil - temporary works - closeout</t>
        </is>
      </c>
      <c r="D240" s="23" t="inlineStr">
        <is>
          <t>Cost Account = CA-1008; WBS Code = 1.1.2</t>
        </is>
      </c>
      <c r="E240" s="23" t="inlineStr">
        <is>
          <t>R1090-v2</t>
        </is>
      </c>
      <c r="F240" s="23" t="inlineStr">
        <is>
          <t>1.1.2 Guideway and Civil - Utility &amp; Roadworks</t>
        </is>
      </c>
      <c r="G240" s="23" t="inlineStr">
        <is>
          <t>ONE_TO_ONE</t>
        </is>
      </c>
      <c r="H240" s="23" t="inlineStr">
        <is>
          <t>RETAINED</t>
        </is>
      </c>
      <c r="I240" s="23" t="inlineStr">
        <is>
          <t>Carried forward</t>
        </is>
      </c>
      <c r="J240" s="23" t="inlineStr">
        <is>
          <t>Source assignment -- not individually reviewed</t>
        </is>
      </c>
      <c r="K240" s="23" t="inlineStr"/>
      <c r="L240" s="23" t="inlineStr"/>
      <c r="M240" s="23" t="inlineStr"/>
      <c r="N240" s="14" t="inlineStr">
        <is>
          <t>10 EVIDENCE &amp; DECISIONS</t>
        </is>
      </c>
    </row>
    <row r="241" ht="34" customHeight="1">
      <c r="A241" s="23" t="inlineStr">
        <is>
          <t>Cost &amp; Forecast Control Accounts</t>
        </is>
      </c>
      <c r="B241" s="23" t="inlineStr">
        <is>
          <t>CST-01-010</t>
        </is>
      </c>
      <c r="C241" s="23" t="inlineStr">
        <is>
          <t>Guideway and Civil - roadworks - supply and install</t>
        </is>
      </c>
      <c r="D241" s="23" t="inlineStr">
        <is>
          <t>Cost Account = CA-1010; WBS Code = 1.1.2</t>
        </is>
      </c>
      <c r="E241" s="23" t="inlineStr">
        <is>
          <t>R1092-v2</t>
        </is>
      </c>
      <c r="F241" s="23" t="inlineStr">
        <is>
          <t>1.1.2 Guideway and Civil - Utility &amp; Roadworks</t>
        </is>
      </c>
      <c r="G241" s="23" t="inlineStr">
        <is>
          <t>ONE_TO_ONE</t>
        </is>
      </c>
      <c r="H241" s="23" t="inlineStr">
        <is>
          <t>RETAINED</t>
        </is>
      </c>
      <c r="I241" s="23" t="inlineStr">
        <is>
          <t>Carried forward</t>
        </is>
      </c>
      <c r="J241" s="23" t="inlineStr">
        <is>
          <t>Source assignment -- not individually reviewed</t>
        </is>
      </c>
      <c r="K241" s="23" t="inlineStr"/>
      <c r="L241" s="23" t="inlineStr"/>
      <c r="M241" s="23" t="inlineStr"/>
      <c r="N241" s="14" t="inlineStr">
        <is>
          <t>10 EVIDENCE &amp; DECISIONS</t>
        </is>
      </c>
    </row>
    <row r="242" ht="34" customHeight="1">
      <c r="A242" s="23" t="inlineStr">
        <is>
          <t>Cost &amp; Forecast Control Accounts</t>
        </is>
      </c>
      <c r="B242" s="23" t="inlineStr">
        <is>
          <t>CST-01-012</t>
        </is>
      </c>
      <c r="C242" s="23" t="inlineStr">
        <is>
          <t>Guideway and Civil - concrete structures - allowance</t>
        </is>
      </c>
      <c r="D242" s="23" t="inlineStr">
        <is>
          <t>Cost Account = CA-1012; WBS Code = 1.1.2</t>
        </is>
      </c>
      <c r="E242" s="23" t="inlineStr">
        <is>
          <t>R1094-v2</t>
        </is>
      </c>
      <c r="F242" s="23" t="inlineStr">
        <is>
          <t>1.1.2 Guideway and Civil - Utility &amp; Roadworks</t>
        </is>
      </c>
      <c r="G242" s="23" t="inlineStr">
        <is>
          <t>ONE_TO_ONE</t>
        </is>
      </c>
      <c r="H242" s="23" t="inlineStr">
        <is>
          <t>RETAINED</t>
        </is>
      </c>
      <c r="I242" s="23" t="inlineStr">
        <is>
          <t>Carried forward</t>
        </is>
      </c>
      <c r="J242" s="23" t="inlineStr">
        <is>
          <t>Source assignment -- not individually reviewed</t>
        </is>
      </c>
      <c r="K242" s="23" t="inlineStr"/>
      <c r="L242" s="23" t="inlineStr"/>
      <c r="M242" s="23" t="inlineStr"/>
      <c r="N242" s="14" t="inlineStr">
        <is>
          <t>10 EVIDENCE &amp; DECISIONS</t>
        </is>
      </c>
    </row>
    <row r="243" ht="34" customHeight="1">
      <c r="A243" s="23" t="inlineStr">
        <is>
          <t>Cost &amp; Forecast Control Accounts</t>
        </is>
      </c>
      <c r="B243" s="23" t="inlineStr">
        <is>
          <t>CST-01-014</t>
        </is>
      </c>
      <c r="C243" s="23" t="inlineStr">
        <is>
          <t>Guideway and Civil - temporary works - field package</t>
        </is>
      </c>
      <c r="D243" s="23" t="inlineStr">
        <is>
          <t>Cost Account = CA-1014; WBS Code = 1.1.2</t>
        </is>
      </c>
      <c r="E243" s="23" t="inlineStr">
        <is>
          <t>R1096-v2</t>
        </is>
      </c>
      <c r="F243" s="23" t="inlineStr">
        <is>
          <t>1.1.2 Guideway and Civil - Utility &amp; Roadworks</t>
        </is>
      </c>
      <c r="G243" s="23" t="inlineStr">
        <is>
          <t>ONE_TO_ONE</t>
        </is>
      </c>
      <c r="H243" s="23" t="inlineStr">
        <is>
          <t>RETAINED</t>
        </is>
      </c>
      <c r="I243" s="23" t="inlineStr">
        <is>
          <t>Carried forward</t>
        </is>
      </c>
      <c r="J243" s="23" t="inlineStr">
        <is>
          <t>Source assignment -- not individually reviewed</t>
        </is>
      </c>
      <c r="K243" s="23" t="inlineStr"/>
      <c r="L243" s="23" t="inlineStr"/>
      <c r="M243" s="23" t="inlineStr"/>
      <c r="N243" s="14" t="inlineStr">
        <is>
          <t>10 EVIDENCE &amp; DECISIONS</t>
        </is>
      </c>
    </row>
    <row r="244" ht="34" customHeight="1">
      <c r="A244" s="23" t="inlineStr">
        <is>
          <t>Cost &amp; Forecast Control Accounts</t>
        </is>
      </c>
      <c r="B244" s="23" t="inlineStr">
        <is>
          <t>CST-01-016</t>
        </is>
      </c>
      <c r="C244" s="23" t="inlineStr">
        <is>
          <t>Guideway and Civil - roadworks - professional services</t>
        </is>
      </c>
      <c r="D244" s="23" t="inlineStr">
        <is>
          <t>Cost Account = CA-1016; WBS Code = 1.1.2</t>
        </is>
      </c>
      <c r="E244" s="23" t="inlineStr">
        <is>
          <t>R1098-v2</t>
        </is>
      </c>
      <c r="F244" s="23" t="inlineStr">
        <is>
          <t>1.1.2 Guideway and Civil - Utility &amp; Roadworks</t>
        </is>
      </c>
      <c r="G244" s="23" t="inlineStr">
        <is>
          <t>ONE_TO_ONE</t>
        </is>
      </c>
      <c r="H244" s="23" t="inlineStr">
        <is>
          <t>RETAINED</t>
        </is>
      </c>
      <c r="I244" s="23" t="inlineStr">
        <is>
          <t>Carried forward</t>
        </is>
      </c>
      <c r="J244" s="23" t="inlineStr">
        <is>
          <t>Source assignment -- not individually reviewed</t>
        </is>
      </c>
      <c r="K244" s="23" t="inlineStr"/>
      <c r="L244" s="23" t="inlineStr"/>
      <c r="M244" s="23" t="inlineStr"/>
      <c r="N244" s="14" t="inlineStr">
        <is>
          <t>10 EVIDENCE &amp; DECISIONS</t>
        </is>
      </c>
    </row>
    <row r="245" ht="34" customHeight="1">
      <c r="A245" s="23" t="inlineStr">
        <is>
          <t>Cost &amp; Forecast Control Accounts</t>
        </is>
      </c>
      <c r="B245" s="23" t="inlineStr">
        <is>
          <t>CST-01-018</t>
        </is>
      </c>
      <c r="C245" s="23" t="inlineStr">
        <is>
          <t>Guideway and Civil - concrete structures - closeout</t>
        </is>
      </c>
      <c r="D245" s="23" t="inlineStr">
        <is>
          <t>Cost Account = CA-1018; WBS Code = 1.1.2</t>
        </is>
      </c>
      <c r="E245" s="23" t="inlineStr">
        <is>
          <t>R1100-v2</t>
        </is>
      </c>
      <c r="F245" s="23" t="inlineStr">
        <is>
          <t>1.1.2 Guideway and Civil - Utility &amp; Roadworks</t>
        </is>
      </c>
      <c r="G245" s="23" t="inlineStr">
        <is>
          <t>ONE_TO_ONE</t>
        </is>
      </c>
      <c r="H245" s="23" t="inlineStr">
        <is>
          <t>RETAINED</t>
        </is>
      </c>
      <c r="I245" s="23" t="inlineStr">
        <is>
          <t>Carried forward</t>
        </is>
      </c>
      <c r="J245" s="23" t="inlineStr">
        <is>
          <t>Source assignment -- not individually reviewed</t>
        </is>
      </c>
      <c r="K245" s="23" t="inlineStr"/>
      <c r="L245" s="23" t="inlineStr"/>
      <c r="M245" s="23" t="inlineStr"/>
      <c r="N245" s="14" t="inlineStr">
        <is>
          <t>10 EVIDENCE &amp; DECISIONS</t>
        </is>
      </c>
    </row>
    <row r="246" ht="34" customHeight="1">
      <c r="A246" s="23" t="inlineStr">
        <is>
          <t>Cost &amp; Forecast Control Accounts</t>
        </is>
      </c>
      <c r="B246" s="23" t="inlineStr">
        <is>
          <t>CST-01-020</t>
        </is>
      </c>
      <c r="C246" s="23" t="inlineStr">
        <is>
          <t>Guideway and Civil - temporary works - supply and install</t>
        </is>
      </c>
      <c r="D246" s="23" t="inlineStr">
        <is>
          <t>Cost Account = CA-1020; WBS Code = 1.1.2</t>
        </is>
      </c>
      <c r="E246" s="23" t="inlineStr">
        <is>
          <t>R1102-v2</t>
        </is>
      </c>
      <c r="F246" s="23" t="inlineStr">
        <is>
          <t>1.1.2 Guideway and Civil - Utility &amp; Roadworks</t>
        </is>
      </c>
      <c r="G246" s="23" t="inlineStr">
        <is>
          <t>ONE_TO_ONE</t>
        </is>
      </c>
      <c r="H246" s="23" t="inlineStr">
        <is>
          <t>RETAINED</t>
        </is>
      </c>
      <c r="I246" s="23" t="inlineStr">
        <is>
          <t>Carried forward</t>
        </is>
      </c>
      <c r="J246" s="23" t="inlineStr">
        <is>
          <t>Source assignment -- not individually reviewed</t>
        </is>
      </c>
      <c r="K246" s="23" t="inlineStr"/>
      <c r="L246" s="23" t="inlineStr"/>
      <c r="M246" s="23" t="inlineStr"/>
      <c r="N246" s="14" t="inlineStr">
        <is>
          <t>10 EVIDENCE &amp; DECISIONS</t>
        </is>
      </c>
    </row>
    <row r="247" ht="34" customHeight="1">
      <c r="A247" s="23" t="inlineStr">
        <is>
          <t>Cost &amp; Forecast Control Accounts</t>
        </is>
      </c>
      <c r="B247" s="23" t="inlineStr">
        <is>
          <t>CST-01-022</t>
        </is>
      </c>
      <c r="C247" s="23" t="inlineStr">
        <is>
          <t>Guideway and Civil - roadworks - allowance</t>
        </is>
      </c>
      <c r="D247" s="23" t="inlineStr">
        <is>
          <t>Cost Account = CA-1022; WBS Code = 1.1.2</t>
        </is>
      </c>
      <c r="E247" s="23" t="inlineStr">
        <is>
          <t>R1104-v2</t>
        </is>
      </c>
      <c r="F247" s="23" t="inlineStr">
        <is>
          <t>1.1.2 Guideway and Civil - Utility &amp; Roadworks</t>
        </is>
      </c>
      <c r="G247" s="23" t="inlineStr">
        <is>
          <t>ONE_TO_ONE</t>
        </is>
      </c>
      <c r="H247" s="23" t="inlineStr">
        <is>
          <t>RETAINED</t>
        </is>
      </c>
      <c r="I247" s="23" t="inlineStr">
        <is>
          <t>Carried forward</t>
        </is>
      </c>
      <c r="J247" s="23" t="inlineStr">
        <is>
          <t>Source assignment -- not individually reviewed</t>
        </is>
      </c>
      <c r="K247" s="23" t="inlineStr"/>
      <c r="L247" s="23" t="inlineStr"/>
      <c r="M247" s="23" t="inlineStr"/>
      <c r="N247" s="14" t="inlineStr">
        <is>
          <t>10 EVIDENCE &amp; DECISIONS</t>
        </is>
      </c>
    </row>
    <row r="248" ht="34" customHeight="1">
      <c r="A248" s="23" t="inlineStr">
        <is>
          <t>Cost &amp; Forecast Control Accounts</t>
        </is>
      </c>
      <c r="B248" s="23" t="inlineStr">
        <is>
          <t>CST-01-024</t>
        </is>
      </c>
      <c r="C248" s="23" t="inlineStr">
        <is>
          <t>Guideway and Civil - concrete structures - field package</t>
        </is>
      </c>
      <c r="D248" s="23" t="inlineStr">
        <is>
          <t>Cost Account = CA-1024; WBS Code = 1.1.2</t>
        </is>
      </c>
      <c r="E248" s="23" t="inlineStr">
        <is>
          <t>R1106-v2</t>
        </is>
      </c>
      <c r="F248" s="23" t="inlineStr">
        <is>
          <t>1.1.2 Guideway and Civil - Utility &amp; Roadworks</t>
        </is>
      </c>
      <c r="G248" s="23" t="inlineStr">
        <is>
          <t>ONE_TO_ONE</t>
        </is>
      </c>
      <c r="H248" s="23" t="inlineStr">
        <is>
          <t>RETAINED</t>
        </is>
      </c>
      <c r="I248" s="23" t="inlineStr">
        <is>
          <t>Carried forward</t>
        </is>
      </c>
      <c r="J248" s="23" t="inlineStr">
        <is>
          <t>Source assignment -- not individually reviewed</t>
        </is>
      </c>
      <c r="K248" s="23" t="inlineStr"/>
      <c r="L248" s="23" t="inlineStr"/>
      <c r="M248" s="23" t="inlineStr"/>
      <c r="N248" s="14" t="inlineStr">
        <is>
          <t>10 EVIDENCE &amp; DECISIONS</t>
        </is>
      </c>
    </row>
    <row r="249" ht="34" customHeight="1">
      <c r="A249" s="23" t="inlineStr">
        <is>
          <t>Cost &amp; Forecast Control Accounts</t>
        </is>
      </c>
      <c r="B249" s="23" t="inlineStr">
        <is>
          <t>CST-01-026</t>
        </is>
      </c>
      <c r="C249" s="23" t="inlineStr">
        <is>
          <t>Guideway and Civil - temporary works - professional services</t>
        </is>
      </c>
      <c r="D249" s="23" t="inlineStr">
        <is>
          <t>Cost Account = CA-1026; WBS Code = 1.1.2</t>
        </is>
      </c>
      <c r="E249" s="23" t="inlineStr">
        <is>
          <t>R1108-v2</t>
        </is>
      </c>
      <c r="F249" s="23" t="inlineStr">
        <is>
          <t>1.1.2 Guideway and Civil - Utility &amp; Roadworks</t>
        </is>
      </c>
      <c r="G249" s="23" t="inlineStr">
        <is>
          <t>ONE_TO_ONE</t>
        </is>
      </c>
      <c r="H249" s="23" t="inlineStr">
        <is>
          <t>RETAINED</t>
        </is>
      </c>
      <c r="I249" s="23" t="inlineStr">
        <is>
          <t>Carried forward</t>
        </is>
      </c>
      <c r="J249" s="23" t="inlineStr">
        <is>
          <t>Source assignment -- not individually reviewed</t>
        </is>
      </c>
      <c r="K249" s="23" t="inlineStr"/>
      <c r="L249" s="23" t="inlineStr"/>
      <c r="M249" s="23" t="inlineStr"/>
      <c r="N249" s="14" t="inlineStr">
        <is>
          <t>10 EVIDENCE &amp; DECISIONS</t>
        </is>
      </c>
    </row>
    <row r="250" ht="34" customHeight="1">
      <c r="A250" s="23" t="inlineStr">
        <is>
          <t>Cost &amp; Forecast Control Accounts</t>
        </is>
      </c>
      <c r="B250" s="23" t="inlineStr">
        <is>
          <t>CST-01-028</t>
        </is>
      </c>
      <c r="C250" s="23" t="inlineStr">
        <is>
          <t>Guideway and Civil - roadworks - closeout</t>
        </is>
      </c>
      <c r="D250" s="23" t="inlineStr">
        <is>
          <t>Cost Account = CA-1028; WBS Code = 1.1.2</t>
        </is>
      </c>
      <c r="E250" s="23" t="inlineStr">
        <is>
          <t>R1110-v2</t>
        </is>
      </c>
      <c r="F250" s="23" t="inlineStr">
        <is>
          <t>1.1.2 Guideway and Civil - Utility &amp; Roadworks</t>
        </is>
      </c>
      <c r="G250" s="23" t="inlineStr">
        <is>
          <t>ONE_TO_ONE</t>
        </is>
      </c>
      <c r="H250" s="23" t="inlineStr">
        <is>
          <t>RETAINED</t>
        </is>
      </c>
      <c r="I250" s="23" t="inlineStr">
        <is>
          <t>Carried forward</t>
        </is>
      </c>
      <c r="J250" s="23" t="inlineStr">
        <is>
          <t>Source assignment -- not individually reviewed</t>
        </is>
      </c>
      <c r="K250" s="23" t="inlineStr"/>
      <c r="L250" s="23" t="inlineStr"/>
      <c r="M250" s="23" t="inlineStr"/>
      <c r="N250" s="14" t="inlineStr">
        <is>
          <t>10 EVIDENCE &amp; DECISIONS</t>
        </is>
      </c>
    </row>
    <row r="251" ht="34" customHeight="1">
      <c r="A251" s="23" t="inlineStr">
        <is>
          <t>Cost &amp; Forecast Control Accounts</t>
        </is>
      </c>
      <c r="B251" s="23" t="inlineStr">
        <is>
          <t>CST-01-030</t>
        </is>
      </c>
      <c r="C251" s="23" t="inlineStr">
        <is>
          <t>Guideway and Civil - concrete structures - supply and install</t>
        </is>
      </c>
      <c r="D251" s="23" t="inlineStr">
        <is>
          <t>Cost Account = CA-1030; WBS Code = 1.1.2</t>
        </is>
      </c>
      <c r="E251" s="23" t="inlineStr">
        <is>
          <t>R1112-v2</t>
        </is>
      </c>
      <c r="F251" s="23" t="inlineStr">
        <is>
          <t>1.1.2 Guideway and Civil - Utility &amp; Roadworks</t>
        </is>
      </c>
      <c r="G251" s="23" t="inlineStr">
        <is>
          <t>ONE_TO_ONE</t>
        </is>
      </c>
      <c r="H251" s="23" t="inlineStr">
        <is>
          <t>RETAINED</t>
        </is>
      </c>
      <c r="I251" s="23" t="inlineStr">
        <is>
          <t>Carried forward</t>
        </is>
      </c>
      <c r="J251" s="23" t="inlineStr">
        <is>
          <t>Source assignment -- not individually reviewed</t>
        </is>
      </c>
      <c r="K251" s="23" t="inlineStr"/>
      <c r="L251" s="23" t="inlineStr"/>
      <c r="M251" s="23" t="inlineStr"/>
      <c r="N251" s="14" t="inlineStr">
        <is>
          <t>10 EVIDENCE &amp; DECISIONS</t>
        </is>
      </c>
    </row>
    <row r="252" ht="34" customHeight="1">
      <c r="A252" s="23" t="inlineStr">
        <is>
          <t>Cost &amp; Forecast Control Accounts</t>
        </is>
      </c>
      <c r="B252" s="23" t="inlineStr">
        <is>
          <t>CST-01-032</t>
        </is>
      </c>
      <c r="C252" s="23" t="inlineStr">
        <is>
          <t>Guideway and Civil - temporary works - allowance</t>
        </is>
      </c>
      <c r="D252" s="23" t="inlineStr">
        <is>
          <t>Cost Account = CA-1032; WBS Code = 1.1.2</t>
        </is>
      </c>
      <c r="E252" s="23" t="inlineStr">
        <is>
          <t>R1114-v2</t>
        </is>
      </c>
      <c r="F252" s="23" t="inlineStr">
        <is>
          <t>1.1.2 Guideway and Civil - Utility &amp; Roadworks</t>
        </is>
      </c>
      <c r="G252" s="23" t="inlineStr">
        <is>
          <t>ONE_TO_ONE</t>
        </is>
      </c>
      <c r="H252" s="23" t="inlineStr">
        <is>
          <t>RETAINED</t>
        </is>
      </c>
      <c r="I252" s="23" t="inlineStr">
        <is>
          <t>Carried forward</t>
        </is>
      </c>
      <c r="J252" s="23" t="inlineStr">
        <is>
          <t>Source assignment -- not individually reviewed</t>
        </is>
      </c>
      <c r="K252" s="23" t="inlineStr"/>
      <c r="L252" s="23" t="inlineStr"/>
      <c r="M252" s="23" t="inlineStr"/>
      <c r="N252" s="14" t="inlineStr">
        <is>
          <t>10 EVIDENCE &amp; DECISIONS</t>
        </is>
      </c>
    </row>
    <row r="253" ht="34" customHeight="1">
      <c r="A253" s="23" t="inlineStr">
        <is>
          <t>Cost &amp; Forecast Control Accounts</t>
        </is>
      </c>
      <c r="B253" s="23" t="inlineStr">
        <is>
          <t>CST-01-034</t>
        </is>
      </c>
      <c r="C253" s="23" t="inlineStr">
        <is>
          <t>Guideway and Civil - roadworks - field package</t>
        </is>
      </c>
      <c r="D253" s="23" t="inlineStr">
        <is>
          <t>Cost Account = CA-1034; WBS Code = 1.1.2</t>
        </is>
      </c>
      <c r="E253" s="23" t="inlineStr">
        <is>
          <t>R1116-v2</t>
        </is>
      </c>
      <c r="F253" s="23" t="inlineStr">
        <is>
          <t>1.1.2 Guideway and Civil - Utility &amp; Roadworks</t>
        </is>
      </c>
      <c r="G253" s="23" t="inlineStr">
        <is>
          <t>ONE_TO_ONE</t>
        </is>
      </c>
      <c r="H253" s="23" t="inlineStr">
        <is>
          <t>RETAINED</t>
        </is>
      </c>
      <c r="I253" s="23" t="inlineStr">
        <is>
          <t>Carried forward</t>
        </is>
      </c>
      <c r="J253" s="23" t="inlineStr">
        <is>
          <t>Source assignment -- not individually reviewed</t>
        </is>
      </c>
      <c r="K253" s="23" t="inlineStr"/>
      <c r="L253" s="23" t="inlineStr"/>
      <c r="M253" s="23" t="inlineStr"/>
      <c r="N253" s="14" t="inlineStr">
        <is>
          <t>10 EVIDENCE &amp; DECISIONS</t>
        </is>
      </c>
    </row>
    <row r="254" ht="34" customHeight="1">
      <c r="A254" s="23" t="inlineStr">
        <is>
          <t>Cost &amp; Forecast Control Accounts</t>
        </is>
      </c>
      <c r="B254" s="23" t="inlineStr">
        <is>
          <t>CST-01-036</t>
        </is>
      </c>
      <c r="C254" s="23" t="inlineStr">
        <is>
          <t>Guideway and Civil - concrete structures - professional services</t>
        </is>
      </c>
      <c r="D254" s="23" t="inlineStr">
        <is>
          <t>Cost Account = CA-1036; WBS Code = 1.1.2</t>
        </is>
      </c>
      <c r="E254" s="23" t="inlineStr">
        <is>
          <t>R1118-v2</t>
        </is>
      </c>
      <c r="F254" s="23" t="inlineStr">
        <is>
          <t>1.1.2 Guideway and Civil - Utility &amp; Roadworks</t>
        </is>
      </c>
      <c r="G254" s="23" t="inlineStr">
        <is>
          <t>ONE_TO_ONE</t>
        </is>
      </c>
      <c r="H254" s="23" t="inlineStr">
        <is>
          <t>RETAINED</t>
        </is>
      </c>
      <c r="I254" s="23" t="inlineStr">
        <is>
          <t>Carried forward</t>
        </is>
      </c>
      <c r="J254" s="23" t="inlineStr">
        <is>
          <t>Source assignment -- not individually reviewed</t>
        </is>
      </c>
      <c r="K254" s="23" t="inlineStr"/>
      <c r="L254" s="23" t="inlineStr"/>
      <c r="M254" s="23" t="inlineStr"/>
      <c r="N254" s="14" t="inlineStr">
        <is>
          <t>10 EVIDENCE &amp; DECISIONS</t>
        </is>
      </c>
    </row>
    <row r="255" ht="34" customHeight="1">
      <c r="A255" s="23" t="inlineStr">
        <is>
          <t>Cost &amp; Forecast Control Accounts</t>
        </is>
      </c>
      <c r="B255" s="23" t="inlineStr">
        <is>
          <t>CST-01-038</t>
        </is>
      </c>
      <c r="C255" s="23" t="inlineStr">
        <is>
          <t>Guideway and Civil - temporary works - closeout</t>
        </is>
      </c>
      <c r="D255" s="23" t="inlineStr">
        <is>
          <t>Cost Account = CA-1038; WBS Code = 1.1.2</t>
        </is>
      </c>
      <c r="E255" s="23" t="inlineStr">
        <is>
          <t>R1120-v2</t>
        </is>
      </c>
      <c r="F255" s="23" t="inlineStr">
        <is>
          <t>1.1.2 Guideway and Civil - Utility &amp; Roadworks</t>
        </is>
      </c>
      <c r="G255" s="23" t="inlineStr">
        <is>
          <t>ONE_TO_ONE</t>
        </is>
      </c>
      <c r="H255" s="23" t="inlineStr">
        <is>
          <t>RETAINED</t>
        </is>
      </c>
      <c r="I255" s="23" t="inlineStr">
        <is>
          <t>Carried forward</t>
        </is>
      </c>
      <c r="J255" s="23" t="inlineStr">
        <is>
          <t>Source assignment -- not individually reviewed</t>
        </is>
      </c>
      <c r="K255" s="23" t="inlineStr"/>
      <c r="L255" s="23" t="inlineStr"/>
      <c r="M255" s="23" t="inlineStr"/>
      <c r="N255" s="14" t="inlineStr">
        <is>
          <t>10 EVIDENCE &amp; DECISIONS</t>
        </is>
      </c>
    </row>
    <row r="256" ht="34" customHeight="1">
      <c r="A256" s="23" t="inlineStr">
        <is>
          <t>Cost &amp; Forecast Control Accounts</t>
        </is>
      </c>
      <c r="B256" s="23" t="inlineStr">
        <is>
          <t>CST-01-040</t>
        </is>
      </c>
      <c r="C256" s="23" t="inlineStr">
        <is>
          <t>Guideway and Civil - roadworks - supply and install</t>
        </is>
      </c>
      <c r="D256" s="23" t="inlineStr">
        <is>
          <t>Cost Account = CA-1040; WBS Code = 1.1.2</t>
        </is>
      </c>
      <c r="E256" s="23" t="inlineStr">
        <is>
          <t>R1122-v2</t>
        </is>
      </c>
      <c r="F256" s="23" t="inlineStr">
        <is>
          <t>1.1.2 Guideway and Civil - Utility &amp; Roadworks</t>
        </is>
      </c>
      <c r="G256" s="23" t="inlineStr">
        <is>
          <t>ONE_TO_ONE</t>
        </is>
      </c>
      <c r="H256" s="23" t="inlineStr">
        <is>
          <t>RETAINED</t>
        </is>
      </c>
      <c r="I256" s="23" t="inlineStr">
        <is>
          <t>Carried forward</t>
        </is>
      </c>
      <c r="J256" s="23" t="inlineStr">
        <is>
          <t>Source assignment -- not individually reviewed</t>
        </is>
      </c>
      <c r="K256" s="23" t="inlineStr"/>
      <c r="L256" s="23" t="inlineStr"/>
      <c r="M256" s="23" t="inlineStr"/>
      <c r="N256" s="14" t="inlineStr">
        <is>
          <t>10 EVIDENCE &amp; DECISIONS</t>
        </is>
      </c>
    </row>
    <row r="257" ht="34" customHeight="1">
      <c r="A257" s="23" t="inlineStr">
        <is>
          <t>Cost &amp; Forecast Control Accounts</t>
        </is>
      </c>
      <c r="B257" s="23" t="inlineStr">
        <is>
          <t>CST-01-042</t>
        </is>
      </c>
      <c r="C257" s="23" t="inlineStr">
        <is>
          <t>Guideway and Civil - concrete structures - allowance</t>
        </is>
      </c>
      <c r="D257" s="23" t="inlineStr">
        <is>
          <t>Cost Account = CA-1042; WBS Code = 1.1.2</t>
        </is>
      </c>
      <c r="E257" s="23" t="inlineStr">
        <is>
          <t>R1124-v2</t>
        </is>
      </c>
      <c r="F257" s="23" t="inlineStr">
        <is>
          <t>1.1.2 Guideway and Civil - Utility &amp; Roadworks</t>
        </is>
      </c>
      <c r="G257" s="23" t="inlineStr">
        <is>
          <t>ONE_TO_ONE</t>
        </is>
      </c>
      <c r="H257" s="23" t="inlineStr">
        <is>
          <t>RETAINED</t>
        </is>
      </c>
      <c r="I257" s="23" t="inlineStr">
        <is>
          <t>Carried forward</t>
        </is>
      </c>
      <c r="J257" s="23" t="inlineStr">
        <is>
          <t>Source assignment -- not individually reviewed</t>
        </is>
      </c>
      <c r="K257" s="23" t="inlineStr"/>
      <c r="L257" s="23" t="inlineStr"/>
      <c r="M257" s="23" t="inlineStr"/>
      <c r="N257" s="14" t="inlineStr">
        <is>
          <t>10 EVIDENCE &amp; DECISIONS</t>
        </is>
      </c>
    </row>
    <row r="258" ht="34" customHeight="1">
      <c r="A258" s="23" t="inlineStr">
        <is>
          <t>Cost &amp; Forecast Control Accounts</t>
        </is>
      </c>
      <c r="B258" s="23" t="inlineStr">
        <is>
          <t>CST-01-044</t>
        </is>
      </c>
      <c r="C258" s="23" t="inlineStr">
        <is>
          <t>Guideway and Civil - temporary works - field package</t>
        </is>
      </c>
      <c r="D258" s="23" t="inlineStr">
        <is>
          <t>Cost Account = CA-1044; WBS Code = 1.1.2</t>
        </is>
      </c>
      <c r="E258" s="23" t="inlineStr">
        <is>
          <t>R1126-v2</t>
        </is>
      </c>
      <c r="F258" s="23" t="inlineStr">
        <is>
          <t>1.1.2 Guideway and Civil - Utility &amp; Roadworks</t>
        </is>
      </c>
      <c r="G258" s="23" t="inlineStr">
        <is>
          <t>ONE_TO_ONE</t>
        </is>
      </c>
      <c r="H258" s="23" t="inlineStr">
        <is>
          <t>RETAINED</t>
        </is>
      </c>
      <c r="I258" s="23" t="inlineStr">
        <is>
          <t>Carried forward</t>
        </is>
      </c>
      <c r="J258" s="23" t="inlineStr">
        <is>
          <t>Source assignment -- not individually reviewed</t>
        </is>
      </c>
      <c r="K258" s="23" t="inlineStr"/>
      <c r="L258" s="23" t="inlineStr"/>
      <c r="M258" s="23" t="inlineStr"/>
      <c r="N258" s="14" t="inlineStr">
        <is>
          <t>10 EVIDENCE &amp; DECISIONS</t>
        </is>
      </c>
    </row>
    <row r="259" ht="34" customHeight="1">
      <c r="A259" s="23" t="inlineStr">
        <is>
          <t>Cost &amp; Forecast Control Accounts</t>
        </is>
      </c>
      <c r="B259" s="23" t="inlineStr">
        <is>
          <t>CST-01-046</t>
        </is>
      </c>
      <c r="C259" s="23" t="inlineStr">
        <is>
          <t>Guideway and Civil - roadworks - professional services</t>
        </is>
      </c>
      <c r="D259" s="23" t="inlineStr">
        <is>
          <t>Cost Account = CA-1046; WBS Code = 1.1.2</t>
        </is>
      </c>
      <c r="E259" s="23" t="inlineStr">
        <is>
          <t>R1128-v2</t>
        </is>
      </c>
      <c r="F259" s="23" t="inlineStr">
        <is>
          <t>1.1.2 Guideway and Civil - Utility &amp; Roadworks</t>
        </is>
      </c>
      <c r="G259" s="23" t="inlineStr">
        <is>
          <t>ONE_TO_ONE</t>
        </is>
      </c>
      <c r="H259" s="23" t="inlineStr">
        <is>
          <t>RETAINED</t>
        </is>
      </c>
      <c r="I259" s="23" t="inlineStr">
        <is>
          <t>Carried forward</t>
        </is>
      </c>
      <c r="J259" s="23" t="inlineStr">
        <is>
          <t>Source assignment -- not individually reviewed</t>
        </is>
      </c>
      <c r="K259" s="23" t="inlineStr"/>
      <c r="L259" s="23" t="inlineStr"/>
      <c r="M259" s="23" t="inlineStr"/>
      <c r="N259" s="14" t="inlineStr">
        <is>
          <t>10 EVIDENCE &amp; DECISIONS</t>
        </is>
      </c>
    </row>
    <row r="260" ht="34" customHeight="1">
      <c r="A260" s="23" t="inlineStr">
        <is>
          <t>Cost &amp; Forecast Control Accounts</t>
        </is>
      </c>
      <c r="B260" s="23" t="inlineStr">
        <is>
          <t>CST-01-048</t>
        </is>
      </c>
      <c r="C260" s="23" t="inlineStr">
        <is>
          <t>Guideway and Civil - concrete structures - closeout</t>
        </is>
      </c>
      <c r="D260" s="23" t="inlineStr">
        <is>
          <t>Cost Account = CA-1048; WBS Code = 1.1.2</t>
        </is>
      </c>
      <c r="E260" s="23" t="inlineStr">
        <is>
          <t>R1130-v2</t>
        </is>
      </c>
      <c r="F260" s="23" t="inlineStr">
        <is>
          <t>1.1.2 Guideway and Civil - Utility &amp; Roadworks</t>
        </is>
      </c>
      <c r="G260" s="23" t="inlineStr">
        <is>
          <t>ONE_TO_ONE</t>
        </is>
      </c>
      <c r="H260" s="23" t="inlineStr">
        <is>
          <t>RETAINED</t>
        </is>
      </c>
      <c r="I260" s="23" t="inlineStr">
        <is>
          <t>Carried forward</t>
        </is>
      </c>
      <c r="J260" s="23" t="inlineStr">
        <is>
          <t>Source assignment -- not individually reviewed</t>
        </is>
      </c>
      <c r="K260" s="23" t="inlineStr"/>
      <c r="L260" s="23" t="inlineStr"/>
      <c r="M260" s="23" t="inlineStr"/>
      <c r="N260" s="14" t="inlineStr">
        <is>
          <t>10 EVIDENCE &amp; DECISIONS</t>
        </is>
      </c>
    </row>
    <row r="261" ht="34" customHeight="1">
      <c r="A261" s="23" t="inlineStr">
        <is>
          <t>Cost &amp; Forecast Control Accounts</t>
        </is>
      </c>
      <c r="B261" s="23" t="inlineStr">
        <is>
          <t>CST-01-050</t>
        </is>
      </c>
      <c r="C261" s="23" t="inlineStr">
        <is>
          <t>Guideway and Civil - temporary works - supply and install</t>
        </is>
      </c>
      <c r="D261" s="23" t="inlineStr">
        <is>
          <t>Cost Account = CA-1050; WBS Code = 1.1.2</t>
        </is>
      </c>
      <c r="E261" s="23" t="inlineStr">
        <is>
          <t>R1132-v2</t>
        </is>
      </c>
      <c r="F261" s="23" t="inlineStr">
        <is>
          <t>1.1.2 Guideway and Civil - Utility &amp; Roadworks</t>
        </is>
      </c>
      <c r="G261" s="23" t="inlineStr">
        <is>
          <t>ONE_TO_ONE</t>
        </is>
      </c>
      <c r="H261" s="23" t="inlineStr">
        <is>
          <t>RETAINED</t>
        </is>
      </c>
      <c r="I261" s="23" t="inlineStr">
        <is>
          <t>Carried forward</t>
        </is>
      </c>
      <c r="J261" s="23" t="inlineStr">
        <is>
          <t>Source assignment -- not individually reviewed</t>
        </is>
      </c>
      <c r="K261" s="23" t="inlineStr"/>
      <c r="L261" s="23" t="inlineStr"/>
      <c r="M261" s="23" t="inlineStr"/>
      <c r="N261" s="14" t="inlineStr">
        <is>
          <t>10 EVIDENCE &amp; DECISIONS</t>
        </is>
      </c>
    </row>
    <row r="262" ht="34" customHeight="1">
      <c r="A262" s="23" t="inlineStr">
        <is>
          <t>Cost &amp; Forecast Control Accounts</t>
        </is>
      </c>
      <c r="B262" s="23" t="inlineStr">
        <is>
          <t>CST-01-052</t>
        </is>
      </c>
      <c r="C262" s="23" t="inlineStr">
        <is>
          <t>Guideway and Civil - roadworks - allowance</t>
        </is>
      </c>
      <c r="D262" s="23" t="inlineStr">
        <is>
          <t>Cost Account = CA-1052; WBS Code = 1.1.2</t>
        </is>
      </c>
      <c r="E262" s="23" t="inlineStr">
        <is>
          <t>R1134-v2</t>
        </is>
      </c>
      <c r="F262" s="23" t="inlineStr">
        <is>
          <t>1.1.2 Guideway and Civil - Utility &amp; Roadworks</t>
        </is>
      </c>
      <c r="G262" s="23" t="inlineStr">
        <is>
          <t>ONE_TO_ONE</t>
        </is>
      </c>
      <c r="H262" s="23" t="inlineStr">
        <is>
          <t>RETAINED</t>
        </is>
      </c>
      <c r="I262" s="23" t="inlineStr">
        <is>
          <t>Carried forward</t>
        </is>
      </c>
      <c r="J262" s="23" t="inlineStr">
        <is>
          <t>Source assignment -- not individually reviewed</t>
        </is>
      </c>
      <c r="K262" s="23" t="inlineStr"/>
      <c r="L262" s="23" t="inlineStr"/>
      <c r="M262" s="23" t="inlineStr"/>
      <c r="N262" s="14" t="inlineStr">
        <is>
          <t>10 EVIDENCE &amp; DECISIONS</t>
        </is>
      </c>
    </row>
    <row r="263" ht="34" customHeight="1">
      <c r="A263" s="23" t="inlineStr">
        <is>
          <t>Cost &amp; Forecast Control Accounts</t>
        </is>
      </c>
      <c r="B263" s="23" t="inlineStr">
        <is>
          <t>CST-01-054</t>
        </is>
      </c>
      <c r="C263" s="23" t="inlineStr">
        <is>
          <t>Guideway and Civil - concrete structures - field package</t>
        </is>
      </c>
      <c r="D263" s="23" t="inlineStr">
        <is>
          <t>Cost Account = CA-1054; WBS Code = 1.1.2</t>
        </is>
      </c>
      <c r="E263" s="23" t="inlineStr">
        <is>
          <t>R1136-v2</t>
        </is>
      </c>
      <c r="F263" s="23" t="inlineStr">
        <is>
          <t>1.1.2 Guideway and Civil - Utility &amp; Roadworks</t>
        </is>
      </c>
      <c r="G263" s="23" t="inlineStr">
        <is>
          <t>ONE_TO_ONE</t>
        </is>
      </c>
      <c r="H263" s="23" t="inlineStr">
        <is>
          <t>RETAINED</t>
        </is>
      </c>
      <c r="I263" s="23" t="inlineStr">
        <is>
          <t>Carried forward</t>
        </is>
      </c>
      <c r="J263" s="23" t="inlineStr">
        <is>
          <t>Source assignment -- not individually reviewed</t>
        </is>
      </c>
      <c r="K263" s="23" t="inlineStr"/>
      <c r="L263" s="23" t="inlineStr"/>
      <c r="M263" s="23" t="inlineStr"/>
      <c r="N263" s="14" t="inlineStr">
        <is>
          <t>10 EVIDENCE &amp; DECISIONS</t>
        </is>
      </c>
    </row>
    <row r="264" ht="34" customHeight="1">
      <c r="A264" s="23" t="inlineStr">
        <is>
          <t>Cost &amp; Forecast Control Accounts</t>
        </is>
      </c>
      <c r="B264" s="23" t="inlineStr">
        <is>
          <t>CST-01-056</t>
        </is>
      </c>
      <c r="C264" s="23" t="inlineStr">
        <is>
          <t>Guideway and Civil - temporary works - professional services</t>
        </is>
      </c>
      <c r="D264" s="23" t="inlineStr">
        <is>
          <t>Cost Account = CA-1056; WBS Code = 1.1.2</t>
        </is>
      </c>
      <c r="E264" s="23" t="inlineStr">
        <is>
          <t>R1138-v2</t>
        </is>
      </c>
      <c r="F264" s="23" t="inlineStr">
        <is>
          <t>1.1.2 Guideway and Civil - Utility &amp; Roadworks</t>
        </is>
      </c>
      <c r="G264" s="23" t="inlineStr">
        <is>
          <t>ONE_TO_ONE</t>
        </is>
      </c>
      <c r="H264" s="23" t="inlineStr">
        <is>
          <t>RETAINED</t>
        </is>
      </c>
      <c r="I264" s="23" t="inlineStr">
        <is>
          <t>Carried forward</t>
        </is>
      </c>
      <c r="J264" s="23" t="inlineStr">
        <is>
          <t>Source assignment -- not individually reviewed</t>
        </is>
      </c>
      <c r="K264" s="23" t="inlineStr"/>
      <c r="L264" s="23" t="inlineStr"/>
      <c r="M264" s="23" t="inlineStr"/>
      <c r="N264" s="14" t="inlineStr">
        <is>
          <t>10 EVIDENCE &amp; DECISIONS</t>
        </is>
      </c>
    </row>
    <row r="265" ht="34" customHeight="1">
      <c r="A265" s="23" t="inlineStr">
        <is>
          <t>Cost &amp; Forecast Control Accounts</t>
        </is>
      </c>
      <c r="B265" s="23" t="inlineStr">
        <is>
          <t>CST-01-058</t>
        </is>
      </c>
      <c r="C265" s="23" t="inlineStr">
        <is>
          <t>Guideway and Civil - roadworks - closeout</t>
        </is>
      </c>
      <c r="D265" s="23" t="inlineStr">
        <is>
          <t>Cost Account = CA-1058; WBS Code = 1.1.2</t>
        </is>
      </c>
      <c r="E265" s="23" t="inlineStr">
        <is>
          <t>R1140-v2</t>
        </is>
      </c>
      <c r="F265" s="23" t="inlineStr">
        <is>
          <t>1.1.2 Guideway and Civil - Utility &amp; Roadworks</t>
        </is>
      </c>
      <c r="G265" s="23" t="inlineStr">
        <is>
          <t>ONE_TO_ONE</t>
        </is>
      </c>
      <c r="H265" s="23" t="inlineStr">
        <is>
          <t>RETAINED</t>
        </is>
      </c>
      <c r="I265" s="23" t="inlineStr">
        <is>
          <t>Carried forward</t>
        </is>
      </c>
      <c r="J265" s="23" t="inlineStr">
        <is>
          <t>Source assignment -- not individually reviewed</t>
        </is>
      </c>
      <c r="K265" s="23" t="inlineStr"/>
      <c r="L265" s="23" t="inlineStr"/>
      <c r="M265" s="23" t="inlineStr"/>
      <c r="N265" s="14" t="inlineStr">
        <is>
          <t>10 EVIDENCE &amp; DECISIONS</t>
        </is>
      </c>
    </row>
    <row r="266" ht="34" customHeight="1">
      <c r="A266" s="23" t="inlineStr">
        <is>
          <t>Cost &amp; Forecast Control Accounts</t>
        </is>
      </c>
      <c r="B266" s="23" t="inlineStr">
        <is>
          <t>CST-01-060</t>
        </is>
      </c>
      <c r="C266" s="23" t="inlineStr">
        <is>
          <t>Guideway and Civil - concrete structures - supply and install</t>
        </is>
      </c>
      <c r="D266" s="23" t="inlineStr">
        <is>
          <t>Cost Account = CA-1060; WBS Code = 1.1.2</t>
        </is>
      </c>
      <c r="E266" s="23" t="inlineStr">
        <is>
          <t>R1142-v2</t>
        </is>
      </c>
      <c r="F266" s="23" t="inlineStr">
        <is>
          <t>1.1.2 Guideway and Civil - Utility &amp; Roadworks</t>
        </is>
      </c>
      <c r="G266" s="23" t="inlineStr">
        <is>
          <t>ONE_TO_ONE</t>
        </is>
      </c>
      <c r="H266" s="23" t="inlineStr">
        <is>
          <t>RETAINED</t>
        </is>
      </c>
      <c r="I266" s="23" t="inlineStr">
        <is>
          <t>Carried forward</t>
        </is>
      </c>
      <c r="J266" s="23" t="inlineStr">
        <is>
          <t>Source assignment -- not individually reviewed</t>
        </is>
      </c>
      <c r="K266" s="23" t="inlineStr"/>
      <c r="L266" s="23" t="inlineStr"/>
      <c r="M266" s="23" t="inlineStr"/>
      <c r="N266" s="14" t="inlineStr">
        <is>
          <t>10 EVIDENCE &amp; DECISIONS</t>
        </is>
      </c>
    </row>
    <row r="267" ht="34" customHeight="1">
      <c r="A267" s="23" t="inlineStr">
        <is>
          <t>Cost &amp; Forecast Control Accounts</t>
        </is>
      </c>
      <c r="B267" s="23" t="inlineStr">
        <is>
          <t>CST-01-062</t>
        </is>
      </c>
      <c r="C267" s="23" t="inlineStr">
        <is>
          <t>Guideway and Civil - temporary works - allowance</t>
        </is>
      </c>
      <c r="D267" s="23" t="inlineStr">
        <is>
          <t>Cost Account = CA-1062; WBS Code = 1.1.2</t>
        </is>
      </c>
      <c r="E267" s="23" t="inlineStr">
        <is>
          <t>R1144-v2</t>
        </is>
      </c>
      <c r="F267" s="23" t="inlineStr">
        <is>
          <t>1.1.2 Guideway and Civil - Utility &amp; Roadworks</t>
        </is>
      </c>
      <c r="G267" s="23" t="inlineStr">
        <is>
          <t>ONE_TO_ONE</t>
        </is>
      </c>
      <c r="H267" s="23" t="inlineStr">
        <is>
          <t>RETAINED</t>
        </is>
      </c>
      <c r="I267" s="23" t="inlineStr">
        <is>
          <t>Carried forward</t>
        </is>
      </c>
      <c r="J267" s="23" t="inlineStr">
        <is>
          <t>Source assignment -- not individually reviewed</t>
        </is>
      </c>
      <c r="K267" s="23" t="inlineStr"/>
      <c r="L267" s="23" t="inlineStr"/>
      <c r="M267" s="23" t="inlineStr"/>
      <c r="N267" s="14" t="inlineStr">
        <is>
          <t>10 EVIDENCE &amp; DECISIONS</t>
        </is>
      </c>
    </row>
    <row r="268" ht="34" customHeight="1">
      <c r="A268" s="23" t="inlineStr">
        <is>
          <t>Cost &amp; Forecast Control Accounts</t>
        </is>
      </c>
      <c r="B268" s="23" t="inlineStr">
        <is>
          <t>CST-01-064</t>
        </is>
      </c>
      <c r="C268" s="23" t="inlineStr">
        <is>
          <t>Guideway and Civil - roadworks - field package</t>
        </is>
      </c>
      <c r="D268" s="23" t="inlineStr">
        <is>
          <t>Cost Account = CA-1064; WBS Code = 1.1.2</t>
        </is>
      </c>
      <c r="E268" s="23" t="inlineStr">
        <is>
          <t>R1146-v2</t>
        </is>
      </c>
      <c r="F268" s="23" t="inlineStr">
        <is>
          <t>1.1.2 Guideway and Civil - Utility &amp; Roadworks</t>
        </is>
      </c>
      <c r="G268" s="23" t="inlineStr">
        <is>
          <t>ONE_TO_ONE</t>
        </is>
      </c>
      <c r="H268" s="23" t="inlineStr">
        <is>
          <t>RETAINED</t>
        </is>
      </c>
      <c r="I268" s="23" t="inlineStr">
        <is>
          <t>Carried forward</t>
        </is>
      </c>
      <c r="J268" s="23" t="inlineStr">
        <is>
          <t>Source assignment -- not individually reviewed</t>
        </is>
      </c>
      <c r="K268" s="23" t="inlineStr"/>
      <c r="L268" s="23" t="inlineStr"/>
      <c r="M268" s="23" t="inlineStr"/>
      <c r="N268" s="14" t="inlineStr">
        <is>
          <t>10 EVIDENCE &amp; DECISIONS</t>
        </is>
      </c>
    </row>
    <row r="269" ht="34" customHeight="1">
      <c r="A269" s="23" t="inlineStr">
        <is>
          <t>Cost &amp; Forecast Control Accounts</t>
        </is>
      </c>
      <c r="B269" s="23" t="inlineStr">
        <is>
          <t>CST-01-066</t>
        </is>
      </c>
      <c r="C269" s="23" t="inlineStr">
        <is>
          <t>Guideway and Civil - concrete structures - professional services</t>
        </is>
      </c>
      <c r="D269" s="23" t="inlineStr">
        <is>
          <t>Cost Account = CA-1066; WBS Code = 1.1.2</t>
        </is>
      </c>
      <c r="E269" s="23" t="inlineStr">
        <is>
          <t>R1148-v2</t>
        </is>
      </c>
      <c r="F269" s="23" t="inlineStr">
        <is>
          <t>1.1.2 Guideway and Civil - Utility &amp; Roadworks</t>
        </is>
      </c>
      <c r="G269" s="23" t="inlineStr">
        <is>
          <t>ONE_TO_ONE</t>
        </is>
      </c>
      <c r="H269" s="23" t="inlineStr">
        <is>
          <t>RETAINED</t>
        </is>
      </c>
      <c r="I269" s="23" t="inlineStr">
        <is>
          <t>Carried forward</t>
        </is>
      </c>
      <c r="J269" s="23" t="inlineStr">
        <is>
          <t>Source assignment -- not individually reviewed</t>
        </is>
      </c>
      <c r="K269" s="23" t="inlineStr"/>
      <c r="L269" s="23" t="inlineStr"/>
      <c r="M269" s="23" t="inlineStr"/>
      <c r="N269" s="14" t="inlineStr">
        <is>
          <t>10 EVIDENCE &amp; DECISIONS</t>
        </is>
      </c>
    </row>
    <row r="270" ht="34" customHeight="1">
      <c r="A270" s="23" t="inlineStr">
        <is>
          <t>Cost &amp; Forecast Control Accounts</t>
        </is>
      </c>
      <c r="B270" s="23" t="inlineStr">
        <is>
          <t>CST-01-068</t>
        </is>
      </c>
      <c r="C270" s="23" t="inlineStr">
        <is>
          <t>Guideway and Civil - temporary works - closeout</t>
        </is>
      </c>
      <c r="D270" s="23" t="inlineStr">
        <is>
          <t>Cost Account = CA-1068; WBS Code = 1.1.2</t>
        </is>
      </c>
      <c r="E270" s="23" t="inlineStr">
        <is>
          <t>R1150-v2</t>
        </is>
      </c>
      <c r="F270" s="23" t="inlineStr">
        <is>
          <t>1.1.2 Guideway and Civil - Utility &amp; Roadworks</t>
        </is>
      </c>
      <c r="G270" s="23" t="inlineStr">
        <is>
          <t>ONE_TO_ONE</t>
        </is>
      </c>
      <c r="H270" s="23" t="inlineStr">
        <is>
          <t>RETAINED</t>
        </is>
      </c>
      <c r="I270" s="23" t="inlineStr">
        <is>
          <t>Carried forward</t>
        </is>
      </c>
      <c r="J270" s="23" t="inlineStr">
        <is>
          <t>Source assignment -- not individually reviewed</t>
        </is>
      </c>
      <c r="K270" s="23" t="inlineStr"/>
      <c r="L270" s="23" t="inlineStr"/>
      <c r="M270" s="23" t="inlineStr"/>
      <c r="N270" s="14" t="inlineStr">
        <is>
          <t>10 EVIDENCE &amp; DECISIONS</t>
        </is>
      </c>
    </row>
    <row r="271" ht="34" customHeight="1">
      <c r="A271" s="23" t="inlineStr">
        <is>
          <t>Cost &amp; Forecast Control Accounts</t>
        </is>
      </c>
      <c r="B271" s="23" t="inlineStr">
        <is>
          <t>CST-01-070</t>
        </is>
      </c>
      <c r="C271" s="23" t="inlineStr">
        <is>
          <t>Guideway and Civil - roadworks - supply and install</t>
        </is>
      </c>
      <c r="D271" s="23" t="inlineStr">
        <is>
          <t>Cost Account = CA-1070; WBS Code = 1.1.2</t>
        </is>
      </c>
      <c r="E271" s="23" t="inlineStr">
        <is>
          <t>R1152-v2</t>
        </is>
      </c>
      <c r="F271" s="23" t="inlineStr">
        <is>
          <t>1.1.2 Guideway and Civil - Utility &amp; Roadworks</t>
        </is>
      </c>
      <c r="G271" s="23" t="inlineStr">
        <is>
          <t>ONE_TO_ONE</t>
        </is>
      </c>
      <c r="H271" s="23" t="inlineStr">
        <is>
          <t>RETAINED</t>
        </is>
      </c>
      <c r="I271" s="23" t="inlineStr">
        <is>
          <t>Carried forward</t>
        </is>
      </c>
      <c r="J271" s="23" t="inlineStr">
        <is>
          <t>Source assignment -- not individually reviewed</t>
        </is>
      </c>
      <c r="K271" s="23" t="inlineStr"/>
      <c r="L271" s="23" t="inlineStr"/>
      <c r="M271" s="23" t="inlineStr"/>
      <c r="N271" s="14" t="inlineStr">
        <is>
          <t>10 EVIDENCE &amp; DECISIONS</t>
        </is>
      </c>
    </row>
    <row r="272" ht="34" customHeight="1">
      <c r="A272" s="23" t="inlineStr">
        <is>
          <t>Cost &amp; Forecast Control Accounts</t>
        </is>
      </c>
      <c r="B272" s="23" t="inlineStr">
        <is>
          <t>CST-01-072</t>
        </is>
      </c>
      <c r="C272" s="23" t="inlineStr">
        <is>
          <t>Guideway and Civil - concrete structures - allowance</t>
        </is>
      </c>
      <c r="D272" s="23" t="inlineStr">
        <is>
          <t>Cost Account = CA-1072; WBS Code = 1.1.2</t>
        </is>
      </c>
      <c r="E272" s="23" t="inlineStr">
        <is>
          <t>R1154-v2</t>
        </is>
      </c>
      <c r="F272" s="23" t="inlineStr">
        <is>
          <t>1.1.2 Guideway and Civil - Utility &amp; Roadworks</t>
        </is>
      </c>
      <c r="G272" s="23" t="inlineStr">
        <is>
          <t>ONE_TO_ONE</t>
        </is>
      </c>
      <c r="H272" s="23" t="inlineStr">
        <is>
          <t>RETAINED</t>
        </is>
      </c>
      <c r="I272" s="23" t="inlineStr">
        <is>
          <t>Carried forward</t>
        </is>
      </c>
      <c r="J272" s="23" t="inlineStr">
        <is>
          <t>Source assignment -- not individually reviewed</t>
        </is>
      </c>
      <c r="K272" s="23" t="inlineStr"/>
      <c r="L272" s="23" t="inlineStr"/>
      <c r="M272" s="23" t="inlineStr"/>
      <c r="N272" s="14" t="inlineStr">
        <is>
          <t>10 EVIDENCE &amp; DECISIONS</t>
        </is>
      </c>
    </row>
    <row r="273" ht="34" customHeight="1">
      <c r="A273" s="23" t="inlineStr">
        <is>
          <t>Cost &amp; Forecast Control Accounts</t>
        </is>
      </c>
      <c r="B273" s="23" t="inlineStr">
        <is>
          <t>CST-01-074</t>
        </is>
      </c>
      <c r="C273" s="23" t="inlineStr">
        <is>
          <t>Guideway and Civil - temporary works - field package</t>
        </is>
      </c>
      <c r="D273" s="23" t="inlineStr">
        <is>
          <t>Cost Account = CA-1074; WBS Code = 1.1.2</t>
        </is>
      </c>
      <c r="E273" s="23" t="inlineStr">
        <is>
          <t>R1156-v2</t>
        </is>
      </c>
      <c r="F273" s="23" t="inlineStr">
        <is>
          <t>1.1.2 Guideway and Civil - Utility &amp; Roadworks</t>
        </is>
      </c>
      <c r="G273" s="23" t="inlineStr">
        <is>
          <t>ONE_TO_ONE</t>
        </is>
      </c>
      <c r="H273" s="23" t="inlineStr">
        <is>
          <t>RETAINED</t>
        </is>
      </c>
      <c r="I273" s="23" t="inlineStr">
        <is>
          <t>Carried forward</t>
        </is>
      </c>
      <c r="J273" s="23" t="inlineStr">
        <is>
          <t>Source assignment -- not individually reviewed</t>
        </is>
      </c>
      <c r="K273" s="23" t="inlineStr"/>
      <c r="L273" s="23" t="inlineStr"/>
      <c r="M273" s="23" t="inlineStr"/>
      <c r="N273" s="14" t="inlineStr">
        <is>
          <t>10 EVIDENCE &amp; DECISIONS</t>
        </is>
      </c>
    </row>
    <row r="274" ht="34" customHeight="1">
      <c r="A274" s="23" t="inlineStr">
        <is>
          <t>Cost &amp; Forecast Control Accounts</t>
        </is>
      </c>
      <c r="B274" s="23" t="inlineStr">
        <is>
          <t>CST-01-076</t>
        </is>
      </c>
      <c r="C274" s="23" t="inlineStr">
        <is>
          <t>Guideway and Civil - roadworks - professional services</t>
        </is>
      </c>
      <c r="D274" s="23" t="inlineStr">
        <is>
          <t>Cost Account = CA-1076; WBS Code = 1.1.2</t>
        </is>
      </c>
      <c r="E274" s="23" t="inlineStr">
        <is>
          <t>R1158-v2</t>
        </is>
      </c>
      <c r="F274" s="23" t="inlineStr">
        <is>
          <t>1.1.2 Guideway and Civil - Utility &amp; Roadworks</t>
        </is>
      </c>
      <c r="G274" s="23" t="inlineStr">
        <is>
          <t>ONE_TO_ONE</t>
        </is>
      </c>
      <c r="H274" s="23" t="inlineStr">
        <is>
          <t>RETAINED</t>
        </is>
      </c>
      <c r="I274" s="23" t="inlineStr">
        <is>
          <t>Carried forward</t>
        </is>
      </c>
      <c r="J274" s="23" t="inlineStr">
        <is>
          <t>Source assignment -- not individually reviewed</t>
        </is>
      </c>
      <c r="K274" s="23" t="inlineStr"/>
      <c r="L274" s="23" t="inlineStr"/>
      <c r="M274" s="23" t="inlineStr"/>
      <c r="N274" s="14" t="inlineStr">
        <is>
          <t>10 EVIDENCE &amp; DECISIONS</t>
        </is>
      </c>
    </row>
    <row r="275" ht="34" customHeight="1">
      <c r="A275" s="23" t="inlineStr">
        <is>
          <t>Cost &amp; Forecast Control Accounts</t>
        </is>
      </c>
      <c r="B275" s="23" t="inlineStr">
        <is>
          <t>CST-01-078</t>
        </is>
      </c>
      <c r="C275" s="23" t="inlineStr">
        <is>
          <t>Guideway and Civil - concrete structures - closeout</t>
        </is>
      </c>
      <c r="D275" s="23" t="inlineStr">
        <is>
          <t>Cost Account = CA-1078; WBS Code = 1.1.2</t>
        </is>
      </c>
      <c r="E275" s="23" t="inlineStr">
        <is>
          <t>R1160-v2</t>
        </is>
      </c>
      <c r="F275" s="23" t="inlineStr">
        <is>
          <t>1.1.2 Guideway and Civil - Utility &amp; Roadworks</t>
        </is>
      </c>
      <c r="G275" s="23" t="inlineStr">
        <is>
          <t>ONE_TO_ONE</t>
        </is>
      </c>
      <c r="H275" s="23" t="inlineStr">
        <is>
          <t>RETAINED</t>
        </is>
      </c>
      <c r="I275" s="23" t="inlineStr">
        <is>
          <t>Carried forward</t>
        </is>
      </c>
      <c r="J275" s="23" t="inlineStr">
        <is>
          <t>Source assignment -- not individually reviewed</t>
        </is>
      </c>
      <c r="K275" s="23" t="inlineStr"/>
      <c r="L275" s="23" t="inlineStr"/>
      <c r="M275" s="23" t="inlineStr"/>
      <c r="N275" s="14" t="inlineStr">
        <is>
          <t>10 EVIDENCE &amp; DECISIONS</t>
        </is>
      </c>
    </row>
    <row r="276" ht="34" customHeight="1">
      <c r="A276" s="23" t="inlineStr">
        <is>
          <t>Cost &amp; Forecast Control Accounts</t>
        </is>
      </c>
      <c r="B276" s="23" t="inlineStr">
        <is>
          <t>CST-01-080</t>
        </is>
      </c>
      <c r="C276" s="23" t="inlineStr">
        <is>
          <t>Guideway and Civil - temporary works - supply and install</t>
        </is>
      </c>
      <c r="D276" s="23" t="inlineStr">
        <is>
          <t>Cost Account = CA-1080; WBS Code = 1.1.2</t>
        </is>
      </c>
      <c r="E276" s="23" t="inlineStr">
        <is>
          <t>R1162-v2</t>
        </is>
      </c>
      <c r="F276" s="23" t="inlineStr">
        <is>
          <t>1.1.2 Guideway and Civil - Utility &amp; Roadworks</t>
        </is>
      </c>
      <c r="G276" s="23" t="inlineStr">
        <is>
          <t>ONE_TO_ONE</t>
        </is>
      </c>
      <c r="H276" s="23" t="inlineStr">
        <is>
          <t>RETAINED</t>
        </is>
      </c>
      <c r="I276" s="23" t="inlineStr">
        <is>
          <t>Carried forward</t>
        </is>
      </c>
      <c r="J276" s="23" t="inlineStr">
        <is>
          <t>Source assignment -- not individually reviewed</t>
        </is>
      </c>
      <c r="K276" s="23" t="inlineStr"/>
      <c r="L276" s="23" t="inlineStr"/>
      <c r="M276" s="23" t="inlineStr"/>
      <c r="N276" s="14" t="inlineStr">
        <is>
          <t>10 EVIDENCE &amp; DECISIONS</t>
        </is>
      </c>
    </row>
    <row r="277" ht="94" customHeight="1">
      <c r="A277" s="23" t="inlineStr">
        <is>
          <t>Commercial Package Register</t>
        </is>
      </c>
      <c r="B277" s="23" t="inlineStr">
        <is>
          <t>PKG-001</t>
        </is>
      </c>
      <c r="C277" s="23" t="inlineStr">
        <is>
          <t>Guideway Civil Works</t>
        </is>
      </c>
      <c r="D277" s="23" t="inlineStr">
        <is>
          <t>Package Code = PK-101; WBS Code = 1.1;1.2</t>
        </is>
      </c>
      <c r="E277" s="23" t="inlineStr">
        <is>
          <t>R1563-v3</t>
        </is>
      </c>
      <c r="F277" s="23" t="inlineStr">
        <is>
          <t>1.2 Stations</t>
        </is>
      </c>
      <c r="G277" s="23" t="inlineStr">
        <is>
          <t>ONE_TO_MANY</t>
        </is>
      </c>
      <c r="H277" s="23" t="inlineStr">
        <is>
          <t>RETAINED</t>
        </is>
      </c>
      <c r="I277" s="23" t="inlineStr">
        <is>
          <t>Carried forward</t>
        </is>
      </c>
      <c r="J277" s="23" t="inlineStr">
        <is>
          <t>Earlier professional decision, carried forward</t>
        </is>
      </c>
      <c r="K277" s="23" t="inlineStr">
        <is>
          <t>Maya Chen, Owner Project Controls</t>
        </is>
      </c>
      <c r="L277" s="23" t="inlineStr"/>
      <c r="M277" s="23" t="inlineStr">
        <is>
          <t>Source states 'WBS Code' = '1.1;1.2' -- names no element of this WBS -- professional reason (Maya Chen, Owner Project Controls): Source package register explicitly states both Owner-WBS branches.</t>
        </is>
      </c>
      <c r="N277" s="14" t="inlineStr">
        <is>
          <t>10 EVIDENCE &amp; DECISIONS</t>
        </is>
      </c>
    </row>
    <row r="278" ht="34" customHeight="1">
      <c r="A278" s="23" t="inlineStr">
        <is>
          <t>Commercial Package Register</t>
        </is>
      </c>
      <c r="B278" s="23" t="inlineStr">
        <is>
          <t>PKG-005</t>
        </is>
      </c>
      <c r="C278" s="23" t="inlineStr">
        <is>
          <t>Guideway Civil Works - Lot 2 - relocated to adjacent governed scope</t>
        </is>
      </c>
      <c r="D278" s="23" t="inlineStr">
        <is>
          <t>Package Code = PK-105; WBS Code = 1.2</t>
        </is>
      </c>
      <c r="E278" s="23" t="inlineStr">
        <is>
          <t>R1567-v3</t>
        </is>
      </c>
      <c r="F278" s="23" t="inlineStr">
        <is>
          <t>1.2 Stations</t>
        </is>
      </c>
      <c r="G278" s="23" t="inlineStr">
        <is>
          <t>ONE_TO_ONE</t>
        </is>
      </c>
      <c r="H278" s="23" t="inlineStr">
        <is>
          <t>APPROVED</t>
        </is>
      </c>
      <c r="I278" s="23" t="inlineStr">
        <is>
          <t>Changed, re-decided</t>
        </is>
      </c>
      <c r="J278" s="23" t="inlineStr">
        <is>
          <t>Professional decision</t>
        </is>
      </c>
      <c r="K278" s="23" t="inlineStr">
        <is>
          <t>Maya Chen, Owner Project Controls</t>
        </is>
      </c>
      <c r="L278" s="23" t="inlineStr"/>
      <c r="M278" s="23" t="inlineStr"/>
      <c r="N278" s="14" t="inlineStr">
        <is>
          <t>10 EVIDENCE &amp; DECISIONS</t>
        </is>
      </c>
    </row>
    <row r="279" ht="34" customHeight="1">
      <c r="A279" s="23" t="inlineStr">
        <is>
          <t>Commercial Package Register</t>
        </is>
      </c>
      <c r="B279" s="23" t="inlineStr">
        <is>
          <t>PKG-011</t>
        </is>
      </c>
      <c r="C279" s="23" t="inlineStr">
        <is>
          <t>Station Structural Works</t>
        </is>
      </c>
      <c r="D279" s="23" t="inlineStr">
        <is>
          <t>Package Code = PK-201; WBS Code = 1.2</t>
        </is>
      </c>
      <c r="E279" s="23" t="inlineStr">
        <is>
          <t>R1573-v2</t>
        </is>
      </c>
      <c r="F279" s="23" t="inlineStr">
        <is>
          <t>1.2 Stations</t>
        </is>
      </c>
      <c r="G279" s="23" t="inlineStr">
        <is>
          <t>ONE_TO_ONE</t>
        </is>
      </c>
      <c r="H279" s="23" t="inlineStr">
        <is>
          <t>RETAINED</t>
        </is>
      </c>
      <c r="I279" s="23" t="inlineStr">
        <is>
          <t>Carried forward</t>
        </is>
      </c>
      <c r="J279" s="23" t="inlineStr">
        <is>
          <t>Source assignment -- not individually reviewed</t>
        </is>
      </c>
      <c r="K279" s="23" t="inlineStr"/>
      <c r="L279" s="23" t="inlineStr"/>
      <c r="M279" s="23" t="inlineStr"/>
      <c r="N279" s="14" t="inlineStr">
        <is>
          <t>10 EVIDENCE &amp; DECISIONS</t>
        </is>
      </c>
    </row>
    <row r="280" ht="34" customHeight="1">
      <c r="A280" s="23" t="inlineStr">
        <is>
          <t>Commercial Package Register</t>
        </is>
      </c>
      <c r="B280" s="23" t="inlineStr">
        <is>
          <t>PKG-012</t>
        </is>
      </c>
      <c r="C280" s="23" t="inlineStr">
        <is>
          <t>Station Fit-Out</t>
        </is>
      </c>
      <c r="D280" s="23" t="inlineStr">
        <is>
          <t>Package Code = PK-202; WBS Code = 1.2</t>
        </is>
      </c>
      <c r="E280" s="23" t="inlineStr">
        <is>
          <t>R1574-v2</t>
        </is>
      </c>
      <c r="F280" s="23" t="inlineStr">
        <is>
          <t>1.2 Stations</t>
        </is>
      </c>
      <c r="G280" s="23" t="inlineStr">
        <is>
          <t>ONE_TO_ONE</t>
        </is>
      </c>
      <c r="H280" s="23" t="inlineStr">
        <is>
          <t>RETAINED</t>
        </is>
      </c>
      <c r="I280" s="23" t="inlineStr">
        <is>
          <t>Carried forward</t>
        </is>
      </c>
      <c r="J280" s="23" t="inlineStr">
        <is>
          <t>Source assignment -- not individually reviewed</t>
        </is>
      </c>
      <c r="K280" s="23" t="inlineStr"/>
      <c r="L280" s="23" t="inlineStr"/>
      <c r="M280" s="23" t="inlineStr"/>
      <c r="N280" s="14" t="inlineStr">
        <is>
          <t>10 EVIDENCE &amp; DECISIONS</t>
        </is>
      </c>
    </row>
    <row r="281" ht="34" customHeight="1">
      <c r="A281" s="23" t="inlineStr">
        <is>
          <t>Commercial Package Register</t>
        </is>
      </c>
      <c r="B281" s="23" t="inlineStr">
        <is>
          <t>PKG-013</t>
        </is>
      </c>
      <c r="C281" s="23" t="inlineStr">
        <is>
          <t>Building Services</t>
        </is>
      </c>
      <c r="D281" s="23" t="inlineStr">
        <is>
          <t>Package Code = PK-203; WBS Code = 1.2</t>
        </is>
      </c>
      <c r="E281" s="23" t="inlineStr">
        <is>
          <t>R1575-v2</t>
        </is>
      </c>
      <c r="F281" s="23" t="inlineStr">
        <is>
          <t>1.2 Stations</t>
        </is>
      </c>
      <c r="G281" s="23" t="inlineStr">
        <is>
          <t>ONE_TO_ONE</t>
        </is>
      </c>
      <c r="H281" s="23" t="inlineStr">
        <is>
          <t>RETAINED</t>
        </is>
      </c>
      <c r="I281" s="23" t="inlineStr">
        <is>
          <t>Carried forward</t>
        </is>
      </c>
      <c r="J281" s="23" t="inlineStr">
        <is>
          <t>Source assignment -- not individually reviewed</t>
        </is>
      </c>
      <c r="K281" s="23" t="inlineStr"/>
      <c r="L281" s="23" t="inlineStr"/>
      <c r="M281" s="23" t="inlineStr"/>
      <c r="N281" s="14" t="inlineStr">
        <is>
          <t>10 EVIDENCE &amp; DECISIONS</t>
        </is>
      </c>
    </row>
    <row r="282" ht="34" customHeight="1">
      <c r="A282" s="23" t="inlineStr">
        <is>
          <t>Commercial Package Register</t>
        </is>
      </c>
      <c r="B282" s="23" t="inlineStr">
        <is>
          <t>PKG-014</t>
        </is>
      </c>
      <c r="C282" s="23" t="inlineStr">
        <is>
          <t>Public Realm</t>
        </is>
      </c>
      <c r="D282" s="23" t="inlineStr">
        <is>
          <t>Package Code = PK-204; WBS Code = 1.2</t>
        </is>
      </c>
      <c r="E282" s="23" t="inlineStr">
        <is>
          <t>R1576-v2</t>
        </is>
      </c>
      <c r="F282" s="23" t="inlineStr">
        <is>
          <t>1.2 Stations</t>
        </is>
      </c>
      <c r="G282" s="23" t="inlineStr">
        <is>
          <t>ONE_TO_ONE</t>
        </is>
      </c>
      <c r="H282" s="23" t="inlineStr">
        <is>
          <t>RETAINED</t>
        </is>
      </c>
      <c r="I282" s="23" t="inlineStr">
        <is>
          <t>Carried forward</t>
        </is>
      </c>
      <c r="J282" s="23" t="inlineStr">
        <is>
          <t>Source assignment -- not individually reviewed</t>
        </is>
      </c>
      <c r="K282" s="23" t="inlineStr"/>
      <c r="L282" s="23" t="inlineStr"/>
      <c r="M282" s="23" t="inlineStr"/>
      <c r="N282" s="14" t="inlineStr">
        <is>
          <t>10 EVIDENCE &amp; DECISIONS</t>
        </is>
      </c>
    </row>
    <row r="283" ht="34" customHeight="1">
      <c r="A283" s="23" t="inlineStr">
        <is>
          <t>Commercial Package Register</t>
        </is>
      </c>
      <c r="B283" s="23" t="inlineStr">
        <is>
          <t>PKG-015</t>
        </is>
      </c>
      <c r="C283" s="23" t="inlineStr">
        <is>
          <t>Station Structural Works - Lot 2</t>
        </is>
      </c>
      <c r="D283" s="23" t="inlineStr">
        <is>
          <t>Package Code = PK-205; WBS Code = 1.2</t>
        </is>
      </c>
      <c r="E283" s="23" t="inlineStr">
        <is>
          <t>R1577-v2</t>
        </is>
      </c>
      <c r="F283" s="23" t="inlineStr">
        <is>
          <t>1.2 Stations</t>
        </is>
      </c>
      <c r="G283" s="23" t="inlineStr">
        <is>
          <t>ONE_TO_ONE</t>
        </is>
      </c>
      <c r="H283" s="23" t="inlineStr">
        <is>
          <t>RETAINED</t>
        </is>
      </c>
      <c r="I283" s="23" t="inlineStr">
        <is>
          <t>Carried forward</t>
        </is>
      </c>
      <c r="J283" s="23" t="inlineStr">
        <is>
          <t>Source assignment -- not individually reviewed</t>
        </is>
      </c>
      <c r="K283" s="23" t="inlineStr"/>
      <c r="L283" s="23" t="inlineStr"/>
      <c r="M283" s="23" t="inlineStr"/>
      <c r="N283" s="14" t="inlineStr">
        <is>
          <t>10 EVIDENCE &amp; DECISIONS</t>
        </is>
      </c>
    </row>
    <row r="284" ht="34" customHeight="1">
      <c r="A284" s="23" t="inlineStr">
        <is>
          <t>Commercial Package Register</t>
        </is>
      </c>
      <c r="B284" s="23" t="inlineStr">
        <is>
          <t>PKG-016</t>
        </is>
      </c>
      <c r="C284" s="23" t="inlineStr">
        <is>
          <t>Station Fit-Out - Lot 2</t>
        </is>
      </c>
      <c r="D284" s="23" t="inlineStr">
        <is>
          <t>Package Code = PK-206; WBS Code = 1.2</t>
        </is>
      </c>
      <c r="E284" s="23" t="inlineStr">
        <is>
          <t>R1578-v2</t>
        </is>
      </c>
      <c r="F284" s="23" t="inlineStr">
        <is>
          <t>1.2 Stations</t>
        </is>
      </c>
      <c r="G284" s="23" t="inlineStr">
        <is>
          <t>ONE_TO_ONE</t>
        </is>
      </c>
      <c r="H284" s="23" t="inlineStr">
        <is>
          <t>RETAINED</t>
        </is>
      </c>
      <c r="I284" s="23" t="inlineStr">
        <is>
          <t>Carried forward</t>
        </is>
      </c>
      <c r="J284" s="23" t="inlineStr">
        <is>
          <t>Source assignment -- not individually reviewed</t>
        </is>
      </c>
      <c r="K284" s="23" t="inlineStr"/>
      <c r="L284" s="23" t="inlineStr"/>
      <c r="M284" s="23" t="inlineStr"/>
      <c r="N284" s="14" t="inlineStr">
        <is>
          <t>10 EVIDENCE &amp; DECISIONS</t>
        </is>
      </c>
    </row>
    <row r="285" ht="34" customHeight="1">
      <c r="A285" s="23" t="inlineStr">
        <is>
          <t>Commercial Package Register</t>
        </is>
      </c>
      <c r="B285" s="23" t="inlineStr">
        <is>
          <t>PKG-017</t>
        </is>
      </c>
      <c r="C285" s="23" t="inlineStr">
        <is>
          <t>Building Services - Lot 2</t>
        </is>
      </c>
      <c r="D285" s="23" t="inlineStr">
        <is>
          <t>Package Code = PK-207; WBS Code = 1.2</t>
        </is>
      </c>
      <c r="E285" s="23" t="inlineStr">
        <is>
          <t>R1579-v2</t>
        </is>
      </c>
      <c r="F285" s="23" t="inlineStr">
        <is>
          <t>1.2 Stations</t>
        </is>
      </c>
      <c r="G285" s="23" t="inlineStr">
        <is>
          <t>ONE_TO_ONE</t>
        </is>
      </c>
      <c r="H285" s="23" t="inlineStr">
        <is>
          <t>RETAINED</t>
        </is>
      </c>
      <c r="I285" s="23" t="inlineStr">
        <is>
          <t>Carried forward</t>
        </is>
      </c>
      <c r="J285" s="23" t="inlineStr">
        <is>
          <t>Source assignment -- not individually reviewed</t>
        </is>
      </c>
      <c r="K285" s="23" t="inlineStr"/>
      <c r="L285" s="23" t="inlineStr"/>
      <c r="M285" s="23" t="inlineStr"/>
      <c r="N285" s="14" t="inlineStr">
        <is>
          <t>10 EVIDENCE &amp; DECISIONS</t>
        </is>
      </c>
    </row>
    <row r="286" ht="34" customHeight="1">
      <c r="A286" s="23" t="inlineStr">
        <is>
          <t>Commercial Package Register</t>
        </is>
      </c>
      <c r="B286" s="23" t="inlineStr">
        <is>
          <t>PKG-018</t>
        </is>
      </c>
      <c r="C286" s="23" t="inlineStr">
        <is>
          <t>Public Realm - Lot 2</t>
        </is>
      </c>
      <c r="D286" s="23" t="inlineStr">
        <is>
          <t>Package Code = PK-208; WBS Code = 1.2</t>
        </is>
      </c>
      <c r="E286" s="23" t="inlineStr">
        <is>
          <t>R1580-v2</t>
        </is>
      </c>
      <c r="F286" s="23" t="inlineStr">
        <is>
          <t>1.2 Stations</t>
        </is>
      </c>
      <c r="G286" s="23" t="inlineStr">
        <is>
          <t>ONE_TO_ONE</t>
        </is>
      </c>
      <c r="H286" s="23" t="inlineStr">
        <is>
          <t>RETAINED</t>
        </is>
      </c>
      <c r="I286" s="23" t="inlineStr">
        <is>
          <t>Carried forward</t>
        </is>
      </c>
      <c r="J286" s="23" t="inlineStr">
        <is>
          <t>Source assignment -- not individually reviewed</t>
        </is>
      </c>
      <c r="K286" s="23" t="inlineStr"/>
      <c r="L286" s="23" t="inlineStr"/>
      <c r="M286" s="23" t="inlineStr"/>
      <c r="N286" s="14" t="inlineStr">
        <is>
          <t>10 EVIDENCE &amp; DECISIONS</t>
        </is>
      </c>
    </row>
    <row r="287" ht="34" customHeight="1">
      <c r="A287" s="23" t="inlineStr">
        <is>
          <t>Commercial Package Register</t>
        </is>
      </c>
      <c r="B287" s="23" t="inlineStr">
        <is>
          <t>PKG-019</t>
        </is>
      </c>
      <c r="C287" s="23" t="inlineStr">
        <is>
          <t>Station Structural Works - Lot 3</t>
        </is>
      </c>
      <c r="D287" s="23" t="inlineStr">
        <is>
          <t>Package Code = PK-209; WBS Code = 1.2</t>
        </is>
      </c>
      <c r="E287" s="23" t="inlineStr">
        <is>
          <t>R1581-v2</t>
        </is>
      </c>
      <c r="F287" s="23" t="inlineStr">
        <is>
          <t>1.2 Stations</t>
        </is>
      </c>
      <c r="G287" s="23" t="inlineStr">
        <is>
          <t>ONE_TO_ONE</t>
        </is>
      </c>
      <c r="H287" s="23" t="inlineStr">
        <is>
          <t>RETAINED</t>
        </is>
      </c>
      <c r="I287" s="23" t="inlineStr">
        <is>
          <t>Carried forward</t>
        </is>
      </c>
      <c r="J287" s="23" t="inlineStr">
        <is>
          <t>Source assignment -- not individually reviewed</t>
        </is>
      </c>
      <c r="K287" s="23" t="inlineStr"/>
      <c r="L287" s="23" t="inlineStr"/>
      <c r="M287" s="23" t="inlineStr"/>
      <c r="N287" s="14" t="inlineStr">
        <is>
          <t>10 EVIDENCE &amp; DECISIONS</t>
        </is>
      </c>
    </row>
    <row r="288" ht="34" customHeight="1">
      <c r="A288" s="23" t="inlineStr">
        <is>
          <t>Commercial Package Register</t>
        </is>
      </c>
      <c r="B288" s="23" t="inlineStr">
        <is>
          <t>PKG-020</t>
        </is>
      </c>
      <c r="C288" s="23" t="inlineStr">
        <is>
          <t>Station Fit-Out - Lot 3</t>
        </is>
      </c>
      <c r="D288" s="23" t="inlineStr">
        <is>
          <t>Package Code = PK-210; WBS Code = 1.2</t>
        </is>
      </c>
      <c r="E288" s="23" t="inlineStr">
        <is>
          <t>R1582-v2</t>
        </is>
      </c>
      <c r="F288" s="23" t="inlineStr">
        <is>
          <t>1.2 Stations</t>
        </is>
      </c>
      <c r="G288" s="23" t="inlineStr">
        <is>
          <t>ONE_TO_ONE</t>
        </is>
      </c>
      <c r="H288" s="23" t="inlineStr">
        <is>
          <t>RETAINED</t>
        </is>
      </c>
      <c r="I288" s="23" t="inlineStr">
        <is>
          <t>Carried forward</t>
        </is>
      </c>
      <c r="J288" s="23" t="inlineStr">
        <is>
          <t>Source assignment -- not individually reviewed</t>
        </is>
      </c>
      <c r="K288" s="23" t="inlineStr"/>
      <c r="L288" s="23" t="inlineStr"/>
      <c r="M288" s="23" t="inlineStr"/>
      <c r="N288" s="14" t="inlineStr">
        <is>
          <t>10 EVIDENCE &amp; DECISIONS</t>
        </is>
      </c>
    </row>
    <row r="289" ht="34" customHeight="1">
      <c r="A289" s="23" t="inlineStr">
        <is>
          <t>Contractor Programme</t>
        </is>
      </c>
      <c r="B289" s="23" t="inlineStr">
        <is>
          <t>SCH-02-001</t>
        </is>
      </c>
      <c r="C289" s="23" t="inlineStr">
        <is>
          <t>Harbour Station: vertical-transport installation - inspection</t>
        </is>
      </c>
      <c r="D289" s="23" t="inlineStr">
        <is>
          <t>WBS Code = 1.2.1</t>
        </is>
      </c>
      <c r="E289" s="23" t="inlineStr">
        <is>
          <t>R181-v2</t>
        </is>
      </c>
      <c r="F289" s="23" t="inlineStr">
        <is>
          <t>1.2.1 Stations - Station Structures</t>
        </is>
      </c>
      <c r="G289" s="23" t="inlineStr">
        <is>
          <t>ONE_TO_ONE</t>
        </is>
      </c>
      <c r="H289" s="23" t="inlineStr">
        <is>
          <t>RETAINED</t>
        </is>
      </c>
      <c r="I289" s="23" t="inlineStr">
        <is>
          <t>Carried forward</t>
        </is>
      </c>
      <c r="J289" s="23" t="inlineStr">
        <is>
          <t>Source assignment -- not individually reviewed</t>
        </is>
      </c>
      <c r="K289" s="23" t="inlineStr"/>
      <c r="L289" s="23" t="inlineStr"/>
      <c r="M289" s="23" t="inlineStr"/>
      <c r="N289" s="14" t="inlineStr">
        <is>
          <t>10 EVIDENCE &amp; DECISIONS</t>
        </is>
      </c>
    </row>
    <row r="290" ht="34" customHeight="1">
      <c r="A290" s="23" t="inlineStr">
        <is>
          <t>Contractor Programme</t>
        </is>
      </c>
      <c r="B290" s="23" t="inlineStr">
        <is>
          <t>SCH-02-002</t>
        </is>
      </c>
      <c r="C290" s="23" t="inlineStr">
        <is>
          <t>Market Station: platform edge installation - turnover</t>
        </is>
      </c>
      <c r="D290" s="23" t="inlineStr">
        <is>
          <t>WBS Code = 1.2.1</t>
        </is>
      </c>
      <c r="E290" s="23" t="inlineStr">
        <is>
          <t>R182-v2</t>
        </is>
      </c>
      <c r="F290" s="23" t="inlineStr">
        <is>
          <t>1.2.1 Stations - Station Structures</t>
        </is>
      </c>
      <c r="G290" s="23" t="inlineStr">
        <is>
          <t>ONE_TO_ONE</t>
        </is>
      </c>
      <c r="H290" s="23" t="inlineStr">
        <is>
          <t>RETAINED</t>
        </is>
      </c>
      <c r="I290" s="23" t="inlineStr">
        <is>
          <t>Carried forward</t>
        </is>
      </c>
      <c r="J290" s="23" t="inlineStr">
        <is>
          <t>Source assignment -- not individually reviewed</t>
        </is>
      </c>
      <c r="K290" s="23" t="inlineStr"/>
      <c r="L290" s="23" t="inlineStr"/>
      <c r="M290" s="23" t="inlineStr"/>
      <c r="N290" s="14" t="inlineStr">
        <is>
          <t>10 EVIDENCE &amp; DECISIONS</t>
        </is>
      </c>
    </row>
    <row r="291" ht="34" customHeight="1">
      <c r="A291" s="23" t="inlineStr">
        <is>
          <t>Contractor Programme</t>
        </is>
      </c>
      <c r="B291" s="23" t="inlineStr">
        <is>
          <t>SCH-02-004</t>
        </is>
      </c>
      <c r="C291" s="23" t="inlineStr">
        <is>
          <t>University Station: fire-life-safety cabling - field start</t>
        </is>
      </c>
      <c r="D291" s="23" t="inlineStr">
        <is>
          <t>WBS Code = 1.2.1</t>
        </is>
      </c>
      <c r="E291" s="23" t="inlineStr">
        <is>
          <t>R184-v2</t>
        </is>
      </c>
      <c r="F291" s="23" t="inlineStr">
        <is>
          <t>1.2.1 Stations - Station Structures</t>
        </is>
      </c>
      <c r="G291" s="23" t="inlineStr">
        <is>
          <t>ONE_TO_ONE</t>
        </is>
      </c>
      <c r="H291" s="23" t="inlineStr">
        <is>
          <t>RETAINED</t>
        </is>
      </c>
      <c r="I291" s="23" t="inlineStr">
        <is>
          <t>Carried forward</t>
        </is>
      </c>
      <c r="J291" s="23" t="inlineStr">
        <is>
          <t>Source assignment -- not individually reviewed</t>
        </is>
      </c>
      <c r="K291" s="23" t="inlineStr"/>
      <c r="L291" s="23" t="inlineStr"/>
      <c r="M291" s="23" t="inlineStr"/>
      <c r="N291" s="14" t="inlineStr">
        <is>
          <t>10 EVIDENCE &amp; DECISIONS</t>
        </is>
      </c>
    </row>
    <row r="292" ht="49" customHeight="1">
      <c r="A292" s="23" t="inlineStr">
        <is>
          <t>Contractor Programme</t>
        </is>
      </c>
      <c r="B292" s="23" t="inlineStr">
        <is>
          <t>SCH-02-005</t>
        </is>
      </c>
      <c r="C292" s="23" t="inlineStr">
        <is>
          <t>Harbour Station: systems room enabling works before communications fit-out</t>
        </is>
      </c>
      <c r="D292" s="23" t="inlineStr">
        <is>
          <t>WBS Code = 1.2.1</t>
        </is>
      </c>
      <c r="E292" s="23" t="inlineStr">
        <is>
          <t>R185-v2</t>
        </is>
      </c>
      <c r="F292" s="23" t="inlineStr">
        <is>
          <t>1.2.1 Stations - Station Structures</t>
        </is>
      </c>
      <c r="G292" s="23" t="inlineStr">
        <is>
          <t>ONE_TO_ONE</t>
        </is>
      </c>
      <c r="H292" s="23" t="inlineStr">
        <is>
          <t>RETAINED</t>
        </is>
      </c>
      <c r="I292" s="23" t="inlineStr">
        <is>
          <t>Carried forward</t>
        </is>
      </c>
      <c r="J292" s="23" t="inlineStr">
        <is>
          <t>Source assignment -- not individually reviewed</t>
        </is>
      </c>
      <c r="K292" s="23" t="inlineStr"/>
      <c r="L292" s="23" t="inlineStr"/>
      <c r="M292" s="23" t="inlineStr"/>
      <c r="N292" s="14" t="inlineStr">
        <is>
          <t>10 EVIDENCE &amp; DECISIONS</t>
        </is>
      </c>
    </row>
    <row r="293" ht="34" customHeight="1">
      <c r="A293" s="23" t="inlineStr">
        <is>
          <t>Contractor Programme</t>
        </is>
      </c>
      <c r="B293" s="23" t="inlineStr">
        <is>
          <t>SCH-02-007</t>
        </is>
      </c>
      <c r="C293" s="23" t="inlineStr">
        <is>
          <t>Market Station: public-realm paving - turnover</t>
        </is>
      </c>
      <c r="D293" s="23" t="inlineStr">
        <is>
          <t>WBS Code = 1.2.1</t>
        </is>
      </c>
      <c r="E293" s="23" t="inlineStr">
        <is>
          <t>R187-v2</t>
        </is>
      </c>
      <c r="F293" s="23" t="inlineStr">
        <is>
          <t>1.2.1 Stations - Station Structures</t>
        </is>
      </c>
      <c r="G293" s="23" t="inlineStr">
        <is>
          <t>ONE_TO_ONE</t>
        </is>
      </c>
      <c r="H293" s="23" t="inlineStr">
        <is>
          <t>RETAINED</t>
        </is>
      </c>
      <c r="I293" s="23" t="inlineStr">
        <is>
          <t>Carried forward</t>
        </is>
      </c>
      <c r="J293" s="23" t="inlineStr">
        <is>
          <t>Source assignment -- not individually reviewed</t>
        </is>
      </c>
      <c r="K293" s="23" t="inlineStr"/>
      <c r="L293" s="23" t="inlineStr"/>
      <c r="M293" s="23" t="inlineStr"/>
      <c r="N293" s="14" t="inlineStr">
        <is>
          <t>10 EVIDENCE &amp; DECISIONS</t>
        </is>
      </c>
    </row>
    <row r="294" ht="34" customHeight="1">
      <c r="A294" s="23" t="inlineStr">
        <is>
          <t>Contractor Programme</t>
        </is>
      </c>
      <c r="B294" s="23" t="inlineStr">
        <is>
          <t>SCH-02-008</t>
        </is>
      </c>
      <c r="C294" s="23" t="inlineStr">
        <is>
          <t>Civic Station: entrance steel erection - release</t>
        </is>
      </c>
      <c r="D294" s="23" t="inlineStr">
        <is>
          <t>WBS Code = 1.2.1</t>
        </is>
      </c>
      <c r="E294" s="23" t="inlineStr">
        <is>
          <t>R188-v2</t>
        </is>
      </c>
      <c r="F294" s="23" t="inlineStr">
        <is>
          <t>1.2.1 Stations - Station Structures</t>
        </is>
      </c>
      <c r="G294" s="23" t="inlineStr">
        <is>
          <t>ONE_TO_ONE</t>
        </is>
      </c>
      <c r="H294" s="23" t="inlineStr">
        <is>
          <t>RETAINED</t>
        </is>
      </c>
      <c r="I294" s="23" t="inlineStr">
        <is>
          <t>Carried forward</t>
        </is>
      </c>
      <c r="J294" s="23" t="inlineStr">
        <is>
          <t>Source assignment -- not individually reviewed</t>
        </is>
      </c>
      <c r="K294" s="23" t="inlineStr"/>
      <c r="L294" s="23" t="inlineStr"/>
      <c r="M294" s="23" t="inlineStr"/>
      <c r="N294" s="14" t="inlineStr">
        <is>
          <t>10 EVIDENCE &amp; DECISIONS</t>
        </is>
      </c>
    </row>
    <row r="295" ht="34" customHeight="1">
      <c r="A295" s="23" t="inlineStr">
        <is>
          <t>Contractor Programme</t>
        </is>
      </c>
      <c r="B295" s="23" t="inlineStr">
        <is>
          <t>SCH-02-010</t>
        </is>
      </c>
      <c r="C295" s="23" t="inlineStr">
        <is>
          <t>West Terminal: platform edge installation - installation</t>
        </is>
      </c>
      <c r="D295" s="23" t="inlineStr">
        <is>
          <t>WBS Code = 1.2.1</t>
        </is>
      </c>
      <c r="E295" s="23" t="inlineStr">
        <is>
          <t>R190-v2</t>
        </is>
      </c>
      <c r="F295" s="23" t="inlineStr">
        <is>
          <t>1.2.1 Stations - Station Structures</t>
        </is>
      </c>
      <c r="G295" s="23" t="inlineStr">
        <is>
          <t>ONE_TO_ONE</t>
        </is>
      </c>
      <c r="H295" s="23" t="inlineStr">
        <is>
          <t>RETAINED</t>
        </is>
      </c>
      <c r="I295" s="23" t="inlineStr">
        <is>
          <t>Carried forward</t>
        </is>
      </c>
      <c r="J295" s="23" t="inlineStr">
        <is>
          <t>Source assignment -- not individually reviewed</t>
        </is>
      </c>
      <c r="K295" s="23" t="inlineStr"/>
      <c r="L295" s="23" t="inlineStr"/>
      <c r="M295" s="23" t="inlineStr"/>
      <c r="N295" s="14" t="inlineStr">
        <is>
          <t>10 EVIDENCE &amp; DECISIONS</t>
        </is>
      </c>
    </row>
    <row r="296" ht="34" customHeight="1">
      <c r="A296" s="23" t="inlineStr">
        <is>
          <t>Contractor Programme</t>
        </is>
      </c>
      <c r="B296" s="23" t="inlineStr">
        <is>
          <t>SCH-02-011</t>
        </is>
      </c>
      <c r="C296" s="23" t="inlineStr">
        <is>
          <t>Harbour Station: architectural wall framing - inspection</t>
        </is>
      </c>
      <c r="D296" s="23" t="inlineStr">
        <is>
          <t>WBS Code = 1.2.1</t>
        </is>
      </c>
      <c r="E296" s="23" t="inlineStr">
        <is>
          <t>R191-v2</t>
        </is>
      </c>
      <c r="F296" s="23" t="inlineStr">
        <is>
          <t>1.2.1 Stations - Station Structures</t>
        </is>
      </c>
      <c r="G296" s="23" t="inlineStr">
        <is>
          <t>ONE_TO_ONE</t>
        </is>
      </c>
      <c r="H296" s="23" t="inlineStr">
        <is>
          <t>RETAINED</t>
        </is>
      </c>
      <c r="I296" s="23" t="inlineStr">
        <is>
          <t>Carried forward</t>
        </is>
      </c>
      <c r="J296" s="23" t="inlineStr">
        <is>
          <t>Source assignment -- not individually reviewed</t>
        </is>
      </c>
      <c r="K296" s="23" t="inlineStr"/>
      <c r="L296" s="23" t="inlineStr"/>
      <c r="M296" s="23" t="inlineStr"/>
      <c r="N296" s="14" t="inlineStr">
        <is>
          <t>10 EVIDENCE &amp; DECISIONS</t>
        </is>
      </c>
    </row>
    <row r="297" ht="34" customHeight="1">
      <c r="A297" s="23" t="inlineStr">
        <is>
          <t>Contractor Programme</t>
        </is>
      </c>
      <c r="B297" s="23" t="inlineStr">
        <is>
          <t>SCH-02-013</t>
        </is>
      </c>
      <c r="C297" s="23" t="inlineStr">
        <is>
          <t>Civic Station: concourse slab pour - release</t>
        </is>
      </c>
      <c r="D297" s="23" t="inlineStr">
        <is>
          <t>WBS Code = 1.2.1</t>
        </is>
      </c>
      <c r="E297" s="23" t="inlineStr">
        <is>
          <t>R193-v2</t>
        </is>
      </c>
      <c r="F297" s="23" t="inlineStr">
        <is>
          <t>1.2.1 Stations - Station Structures</t>
        </is>
      </c>
      <c r="G297" s="23" t="inlineStr">
        <is>
          <t>ONE_TO_ONE</t>
        </is>
      </c>
      <c r="H297" s="23" t="inlineStr">
        <is>
          <t>RETAINED</t>
        </is>
      </c>
      <c r="I297" s="23" t="inlineStr">
        <is>
          <t>Carried forward</t>
        </is>
      </c>
      <c r="J297" s="23" t="inlineStr">
        <is>
          <t>Source assignment -- not individually reviewed</t>
        </is>
      </c>
      <c r="K297" s="23" t="inlineStr"/>
      <c r="L297" s="23" t="inlineStr"/>
      <c r="M297" s="23" t="inlineStr"/>
      <c r="N297" s="14" t="inlineStr">
        <is>
          <t>10 EVIDENCE &amp; DECISIONS</t>
        </is>
      </c>
    </row>
    <row r="298" ht="34" customHeight="1">
      <c r="A298" s="23" t="inlineStr">
        <is>
          <t>Contractor Programme</t>
        </is>
      </c>
      <c r="B298" s="23" t="inlineStr">
        <is>
          <t>SCH-02-014</t>
        </is>
      </c>
      <c r="C298" s="23" t="inlineStr">
        <is>
          <t>University Station: station ventilation rough-in - field start</t>
        </is>
      </c>
      <c r="D298" s="23" t="inlineStr">
        <is>
          <t>WBS Code = 1.2.1</t>
        </is>
      </c>
      <c r="E298" s="23" t="inlineStr">
        <is>
          <t>R194-v2</t>
        </is>
      </c>
      <c r="F298" s="23" t="inlineStr">
        <is>
          <t>1.2.1 Stations - Station Structures</t>
        </is>
      </c>
      <c r="G298" s="23" t="inlineStr">
        <is>
          <t>ONE_TO_ONE</t>
        </is>
      </c>
      <c r="H298" s="23" t="inlineStr">
        <is>
          <t>RETAINED</t>
        </is>
      </c>
      <c r="I298" s="23" t="inlineStr">
        <is>
          <t>Carried forward</t>
        </is>
      </c>
      <c r="J298" s="23" t="inlineStr">
        <is>
          <t>Source assignment -- not individually reviewed</t>
        </is>
      </c>
      <c r="K298" s="23" t="inlineStr"/>
      <c r="L298" s="23" t="inlineStr"/>
      <c r="M298" s="23" t="inlineStr"/>
      <c r="N298" s="14" t="inlineStr">
        <is>
          <t>10 EVIDENCE &amp; DECISIONS</t>
        </is>
      </c>
    </row>
    <row r="299" ht="34" customHeight="1">
      <c r="A299" s="23" t="inlineStr">
        <is>
          <t>Contractor Programme</t>
        </is>
      </c>
      <c r="B299" s="23" t="inlineStr">
        <is>
          <t>SCH-02-016</t>
        </is>
      </c>
      <c r="C299" s="23" t="inlineStr">
        <is>
          <t>Harbour Station: entrance steel erection - inspection</t>
        </is>
      </c>
      <c r="D299" s="23" t="inlineStr">
        <is>
          <t>WBS Code = 1.2.1</t>
        </is>
      </c>
      <c r="E299" s="23" t="inlineStr">
        <is>
          <t>R196-v2</t>
        </is>
      </c>
      <c r="F299" s="23" t="inlineStr">
        <is>
          <t>1.2.1 Stations - Station Structures</t>
        </is>
      </c>
      <c r="G299" s="23" t="inlineStr">
        <is>
          <t>ONE_TO_ONE</t>
        </is>
      </c>
      <c r="H299" s="23" t="inlineStr">
        <is>
          <t>RETAINED</t>
        </is>
      </c>
      <c r="I299" s="23" t="inlineStr">
        <is>
          <t>Carried forward</t>
        </is>
      </c>
      <c r="J299" s="23" t="inlineStr">
        <is>
          <t>Source assignment -- not individually reviewed</t>
        </is>
      </c>
      <c r="K299" s="23" t="inlineStr"/>
      <c r="L299" s="23" t="inlineStr"/>
      <c r="M299" s="23" t="inlineStr"/>
      <c r="N299" s="14" t="inlineStr">
        <is>
          <t>10 EVIDENCE &amp; DECISIONS</t>
        </is>
      </c>
    </row>
    <row r="300" ht="34" customHeight="1">
      <c r="A300" s="23" t="inlineStr">
        <is>
          <t>Contractor Programme</t>
        </is>
      </c>
      <c r="B300" s="23" t="inlineStr">
        <is>
          <t>SCH-02-017</t>
        </is>
      </c>
      <c r="C300" s="23" t="inlineStr">
        <is>
          <t>Market Station: vertical-transport installation - turnover</t>
        </is>
      </c>
      <c r="D300" s="23" t="inlineStr">
        <is>
          <t>WBS Code = 1.2.1</t>
        </is>
      </c>
      <c r="E300" s="23" t="inlineStr">
        <is>
          <t>R197-v2</t>
        </is>
      </c>
      <c r="F300" s="23" t="inlineStr">
        <is>
          <t>1.2.1 Stations - Station Structures</t>
        </is>
      </c>
      <c r="G300" s="23" t="inlineStr">
        <is>
          <t>ONE_TO_ONE</t>
        </is>
      </c>
      <c r="H300" s="23" t="inlineStr">
        <is>
          <t>RETAINED</t>
        </is>
      </c>
      <c r="I300" s="23" t="inlineStr">
        <is>
          <t>Carried forward</t>
        </is>
      </c>
      <c r="J300" s="23" t="inlineStr">
        <is>
          <t>Source assignment -- not individually reviewed</t>
        </is>
      </c>
      <c r="K300" s="23" t="inlineStr"/>
      <c r="L300" s="23" t="inlineStr"/>
      <c r="M300" s="23" t="inlineStr"/>
      <c r="N300" s="14" t="inlineStr">
        <is>
          <t>10 EVIDENCE &amp; DECISIONS</t>
        </is>
      </c>
    </row>
    <row r="301" ht="34" customHeight="1">
      <c r="A301" s="23" t="inlineStr">
        <is>
          <t>Contractor Programme</t>
        </is>
      </c>
      <c r="B301" s="23" t="inlineStr">
        <is>
          <t>SCH-02-019</t>
        </is>
      </c>
      <c r="C301" s="23" t="inlineStr">
        <is>
          <t>University Station: architectural wall framing - field start</t>
        </is>
      </c>
      <c r="D301" s="23" t="inlineStr">
        <is>
          <t>WBS Code = 1.2.1</t>
        </is>
      </c>
      <c r="E301" s="23" t="inlineStr">
        <is>
          <t>R199-v2</t>
        </is>
      </c>
      <c r="F301" s="23" t="inlineStr">
        <is>
          <t>1.2.1 Stations - Station Structures</t>
        </is>
      </c>
      <c r="G301" s="23" t="inlineStr">
        <is>
          <t>ONE_TO_ONE</t>
        </is>
      </c>
      <c r="H301" s="23" t="inlineStr">
        <is>
          <t>RETAINED</t>
        </is>
      </c>
      <c r="I301" s="23" t="inlineStr">
        <is>
          <t>Carried forward</t>
        </is>
      </c>
      <c r="J301" s="23" t="inlineStr">
        <is>
          <t>Source assignment -- not individually reviewed</t>
        </is>
      </c>
      <c r="K301" s="23" t="inlineStr"/>
      <c r="L301" s="23" t="inlineStr"/>
      <c r="M301" s="23" t="inlineStr"/>
      <c r="N301" s="14" t="inlineStr">
        <is>
          <t>10 EVIDENCE &amp; DECISIONS</t>
        </is>
      </c>
    </row>
    <row r="302" ht="34" customHeight="1">
      <c r="A302" s="23" t="inlineStr">
        <is>
          <t>Contractor Programme</t>
        </is>
      </c>
      <c r="B302" s="23" t="inlineStr">
        <is>
          <t>SCH-02-020</t>
        </is>
      </c>
      <c r="C302" s="23" t="inlineStr">
        <is>
          <t>West Terminal: fire-life-safety cabling - installation</t>
        </is>
      </c>
      <c r="D302" s="23" t="inlineStr">
        <is>
          <t>WBS Code = 1.2.1</t>
        </is>
      </c>
      <c r="E302" s="23" t="inlineStr">
        <is>
          <t>R200-v2</t>
        </is>
      </c>
      <c r="F302" s="23" t="inlineStr">
        <is>
          <t>1.2.1 Stations - Station Structures</t>
        </is>
      </c>
      <c r="G302" s="23" t="inlineStr">
        <is>
          <t>ONE_TO_ONE</t>
        </is>
      </c>
      <c r="H302" s="23" t="inlineStr">
        <is>
          <t>RETAINED</t>
        </is>
      </c>
      <c r="I302" s="23" t="inlineStr">
        <is>
          <t>Carried forward</t>
        </is>
      </c>
      <c r="J302" s="23" t="inlineStr">
        <is>
          <t>Source assignment -- not individually reviewed</t>
        </is>
      </c>
      <c r="K302" s="23" t="inlineStr"/>
      <c r="L302" s="23" t="inlineStr"/>
      <c r="M302" s="23" t="inlineStr"/>
      <c r="N302" s="14" t="inlineStr">
        <is>
          <t>10 EVIDENCE &amp; DECISIONS</t>
        </is>
      </c>
    </row>
    <row r="303" ht="34" customHeight="1">
      <c r="A303" s="23" t="inlineStr">
        <is>
          <t>Contractor Programme</t>
        </is>
      </c>
      <c r="B303" s="23" t="inlineStr">
        <is>
          <t>SCH-02-022</t>
        </is>
      </c>
      <c r="C303" s="23" t="inlineStr">
        <is>
          <t>Market Station: station ventilation rough-in - turnover</t>
        </is>
      </c>
      <c r="D303" s="23" t="inlineStr">
        <is>
          <t>WBS Code = 1.2.1</t>
        </is>
      </c>
      <c r="E303" s="23" t="inlineStr">
        <is>
          <t>R202-v2</t>
        </is>
      </c>
      <c r="F303" s="23" t="inlineStr">
        <is>
          <t>1.2.1 Stations - Station Structures</t>
        </is>
      </c>
      <c r="G303" s="23" t="inlineStr">
        <is>
          <t>ONE_TO_ONE</t>
        </is>
      </c>
      <c r="H303" s="23" t="inlineStr">
        <is>
          <t>RETAINED</t>
        </is>
      </c>
      <c r="I303" s="23" t="inlineStr">
        <is>
          <t>Carried forward</t>
        </is>
      </c>
      <c r="J303" s="23" t="inlineStr">
        <is>
          <t>Source assignment -- not individually reviewed</t>
        </is>
      </c>
      <c r="K303" s="23" t="inlineStr"/>
      <c r="L303" s="23" t="inlineStr"/>
      <c r="M303" s="23" t="inlineStr"/>
      <c r="N303" s="14" t="inlineStr">
        <is>
          <t>10 EVIDENCE &amp; DECISIONS</t>
        </is>
      </c>
    </row>
    <row r="304" ht="34" customHeight="1">
      <c r="A304" s="23" t="inlineStr">
        <is>
          <t>Contractor Programme</t>
        </is>
      </c>
      <c r="B304" s="23" t="inlineStr">
        <is>
          <t>SCH-02-023</t>
        </is>
      </c>
      <c r="C304" s="23" t="inlineStr">
        <is>
          <t>Civic Station: public-realm paving - release</t>
        </is>
      </c>
      <c r="D304" s="23" t="inlineStr">
        <is>
          <t>WBS Code = 1.2.1</t>
        </is>
      </c>
      <c r="E304" s="23" t="inlineStr">
        <is>
          <t>R203-v2</t>
        </is>
      </c>
      <c r="F304" s="23" t="inlineStr">
        <is>
          <t>1.2.1 Stations - Station Structures</t>
        </is>
      </c>
      <c r="G304" s="23" t="inlineStr">
        <is>
          <t>ONE_TO_ONE</t>
        </is>
      </c>
      <c r="H304" s="23" t="inlineStr">
        <is>
          <t>RETAINED</t>
        </is>
      </c>
      <c r="I304" s="23" t="inlineStr">
        <is>
          <t>Carried forward</t>
        </is>
      </c>
      <c r="J304" s="23" t="inlineStr">
        <is>
          <t>Source assignment -- not individually reviewed</t>
        </is>
      </c>
      <c r="K304" s="23" t="inlineStr"/>
      <c r="L304" s="23" t="inlineStr"/>
      <c r="M304" s="23" t="inlineStr"/>
      <c r="N304" s="14" t="inlineStr">
        <is>
          <t>10 EVIDENCE &amp; DECISIONS</t>
        </is>
      </c>
    </row>
    <row r="305" ht="34" customHeight="1">
      <c r="A305" s="23" t="inlineStr">
        <is>
          <t>Contractor Programme</t>
        </is>
      </c>
      <c r="B305" s="23" t="inlineStr">
        <is>
          <t>SCH-02-025</t>
        </is>
      </c>
      <c r="C305" s="23" t="inlineStr">
        <is>
          <t>West Terminal: vertical-transport installation - installation</t>
        </is>
      </c>
      <c r="D305" s="23" t="inlineStr">
        <is>
          <t>WBS Code = 1.2.1</t>
        </is>
      </c>
      <c r="E305" s="23" t="inlineStr">
        <is>
          <t>R205-v2</t>
        </is>
      </c>
      <c r="F305" s="23" t="inlineStr">
        <is>
          <t>1.2.1 Stations - Station Structures</t>
        </is>
      </c>
      <c r="G305" s="23" t="inlineStr">
        <is>
          <t>ONE_TO_ONE</t>
        </is>
      </c>
      <c r="H305" s="23" t="inlineStr">
        <is>
          <t>RETAINED</t>
        </is>
      </c>
      <c r="I305" s="23" t="inlineStr">
        <is>
          <t>Carried forward</t>
        </is>
      </c>
      <c r="J305" s="23" t="inlineStr">
        <is>
          <t>Source assignment -- not individually reviewed</t>
        </is>
      </c>
      <c r="K305" s="23" t="inlineStr"/>
      <c r="L305" s="23" t="inlineStr"/>
      <c r="M305" s="23" t="inlineStr"/>
      <c r="N305" s="14" t="inlineStr">
        <is>
          <t>10 EVIDENCE &amp; DECISIONS</t>
        </is>
      </c>
    </row>
    <row r="306" ht="34" customHeight="1">
      <c r="A306" s="23" t="inlineStr">
        <is>
          <t>Contractor Programme</t>
        </is>
      </c>
      <c r="B306" s="23" t="inlineStr">
        <is>
          <t>SCH-02-026</t>
        </is>
      </c>
      <c r="C306" s="23" t="inlineStr">
        <is>
          <t>Harbour Station: platform edge installation - inspection</t>
        </is>
      </c>
      <c r="D306" s="23" t="inlineStr">
        <is>
          <t>WBS Code = 1.2.1</t>
        </is>
      </c>
      <c r="E306" s="23" t="inlineStr">
        <is>
          <t>R206-v2</t>
        </is>
      </c>
      <c r="F306" s="23" t="inlineStr">
        <is>
          <t>1.2.1 Stations - Station Structures</t>
        </is>
      </c>
      <c r="G306" s="23" t="inlineStr">
        <is>
          <t>ONE_TO_ONE</t>
        </is>
      </c>
      <c r="H306" s="23" t="inlineStr">
        <is>
          <t>RETAINED</t>
        </is>
      </c>
      <c r="I306" s="23" t="inlineStr">
        <is>
          <t>Carried forward</t>
        </is>
      </c>
      <c r="J306" s="23" t="inlineStr">
        <is>
          <t>Source assignment -- not individually reviewed</t>
        </is>
      </c>
      <c r="K306" s="23" t="inlineStr"/>
      <c r="L306" s="23" t="inlineStr"/>
      <c r="M306" s="23" t="inlineStr"/>
      <c r="N306" s="14" t="inlineStr">
        <is>
          <t>10 EVIDENCE &amp; DECISIONS</t>
        </is>
      </c>
    </row>
    <row r="307" ht="34" customHeight="1">
      <c r="A307" s="23" t="inlineStr">
        <is>
          <t>Contractor Programme</t>
        </is>
      </c>
      <c r="B307" s="23" t="inlineStr">
        <is>
          <t>SCH-02-028</t>
        </is>
      </c>
      <c r="C307" s="23" t="inlineStr">
        <is>
          <t>Civic Station: fire-life-safety cabling - release</t>
        </is>
      </c>
      <c r="D307" s="23" t="inlineStr">
        <is>
          <t>WBS Code = 1.2.1</t>
        </is>
      </c>
      <c r="E307" s="23" t="inlineStr">
        <is>
          <t>R208-v2</t>
        </is>
      </c>
      <c r="F307" s="23" t="inlineStr">
        <is>
          <t>1.2.1 Stations - Station Structures</t>
        </is>
      </c>
      <c r="G307" s="23" t="inlineStr">
        <is>
          <t>ONE_TO_ONE</t>
        </is>
      </c>
      <c r="H307" s="23" t="inlineStr">
        <is>
          <t>RETAINED</t>
        </is>
      </c>
      <c r="I307" s="23" t="inlineStr">
        <is>
          <t>Carried forward</t>
        </is>
      </c>
      <c r="J307" s="23" t="inlineStr">
        <is>
          <t>Source assignment -- not individually reviewed</t>
        </is>
      </c>
      <c r="K307" s="23" t="inlineStr"/>
      <c r="L307" s="23" t="inlineStr"/>
      <c r="M307" s="23" t="inlineStr"/>
      <c r="N307" s="14" t="inlineStr">
        <is>
          <t>10 EVIDENCE &amp; DECISIONS</t>
        </is>
      </c>
    </row>
    <row r="308" ht="34" customHeight="1">
      <c r="A308" s="23" t="inlineStr">
        <is>
          <t>Contractor Programme</t>
        </is>
      </c>
      <c r="B308" s="23" t="inlineStr">
        <is>
          <t>SCH-02-029</t>
        </is>
      </c>
      <c r="C308" s="23" t="inlineStr">
        <is>
          <t>University Station: concourse slab pour - field start</t>
        </is>
      </c>
      <c r="D308" s="23" t="inlineStr">
        <is>
          <t>WBS Code = 1.2.1</t>
        </is>
      </c>
      <c r="E308" s="23" t="inlineStr">
        <is>
          <t>R209-v2</t>
        </is>
      </c>
      <c r="F308" s="23" t="inlineStr">
        <is>
          <t>1.2.1 Stations - Station Structures</t>
        </is>
      </c>
      <c r="G308" s="23" t="inlineStr">
        <is>
          <t>ONE_TO_ONE</t>
        </is>
      </c>
      <c r="H308" s="23" t="inlineStr">
        <is>
          <t>RETAINED</t>
        </is>
      </c>
      <c r="I308" s="23" t="inlineStr">
        <is>
          <t>Carried forward</t>
        </is>
      </c>
      <c r="J308" s="23" t="inlineStr">
        <is>
          <t>Source assignment -- not individually reviewed</t>
        </is>
      </c>
      <c r="K308" s="23" t="inlineStr"/>
      <c r="L308" s="23" t="inlineStr"/>
      <c r="M308" s="23" t="inlineStr"/>
      <c r="N308" s="14" t="inlineStr">
        <is>
          <t>10 EVIDENCE &amp; DECISIONS</t>
        </is>
      </c>
    </row>
    <row r="309" ht="34" customHeight="1">
      <c r="A309" s="23" t="inlineStr">
        <is>
          <t>Contractor Programme</t>
        </is>
      </c>
      <c r="B309" s="23" t="inlineStr">
        <is>
          <t>SCH-02-031</t>
        </is>
      </c>
      <c r="C309" s="23" t="inlineStr">
        <is>
          <t>Harbour Station: public-realm paving - inspection</t>
        </is>
      </c>
      <c r="D309" s="23" t="inlineStr">
        <is>
          <t>WBS Code = 1.2.1</t>
        </is>
      </c>
      <c r="E309" s="23" t="inlineStr">
        <is>
          <t>R211-v2</t>
        </is>
      </c>
      <c r="F309" s="23" t="inlineStr">
        <is>
          <t>1.2.1 Stations - Station Structures</t>
        </is>
      </c>
      <c r="G309" s="23" t="inlineStr">
        <is>
          <t>ONE_TO_ONE</t>
        </is>
      </c>
      <c r="H309" s="23" t="inlineStr">
        <is>
          <t>RETAINED</t>
        </is>
      </c>
      <c r="I309" s="23" t="inlineStr">
        <is>
          <t>Carried forward</t>
        </is>
      </c>
      <c r="J309" s="23" t="inlineStr">
        <is>
          <t>Source assignment -- not individually reviewed</t>
        </is>
      </c>
      <c r="K309" s="23" t="inlineStr"/>
      <c r="L309" s="23" t="inlineStr"/>
      <c r="M309" s="23" t="inlineStr"/>
      <c r="N309" s="14" t="inlineStr">
        <is>
          <t>10 EVIDENCE &amp; DECISIONS</t>
        </is>
      </c>
    </row>
    <row r="310" ht="34" customHeight="1">
      <c r="A310" s="23" t="inlineStr">
        <is>
          <t>Contractor Programme</t>
        </is>
      </c>
      <c r="B310" s="23" t="inlineStr">
        <is>
          <t>SCH-02-032</t>
        </is>
      </c>
      <c r="C310" s="23" t="inlineStr">
        <is>
          <t>Market Station: entrance steel erection - turnover</t>
        </is>
      </c>
      <c r="D310" s="23" t="inlineStr">
        <is>
          <t>WBS Code = 1.2.1</t>
        </is>
      </c>
      <c r="E310" s="23" t="inlineStr">
        <is>
          <t>R212-v2</t>
        </is>
      </c>
      <c r="F310" s="23" t="inlineStr">
        <is>
          <t>1.2.1 Stations - Station Structures</t>
        </is>
      </c>
      <c r="G310" s="23" t="inlineStr">
        <is>
          <t>ONE_TO_ONE</t>
        </is>
      </c>
      <c r="H310" s="23" t="inlineStr">
        <is>
          <t>RETAINED</t>
        </is>
      </c>
      <c r="I310" s="23" t="inlineStr">
        <is>
          <t>Carried forward</t>
        </is>
      </c>
      <c r="J310" s="23" t="inlineStr">
        <is>
          <t>Source assignment -- not individually reviewed</t>
        </is>
      </c>
      <c r="K310" s="23" t="inlineStr"/>
      <c r="L310" s="23" t="inlineStr"/>
      <c r="M310" s="23" t="inlineStr"/>
      <c r="N310" s="14" t="inlineStr">
        <is>
          <t>10 EVIDENCE &amp; DECISIONS</t>
        </is>
      </c>
    </row>
    <row r="311" ht="34" customHeight="1">
      <c r="A311" s="23" t="inlineStr">
        <is>
          <t>Contractor Programme</t>
        </is>
      </c>
      <c r="B311" s="23" t="inlineStr">
        <is>
          <t>SCH-02-034</t>
        </is>
      </c>
      <c r="C311" s="23" t="inlineStr">
        <is>
          <t>University Station: platform edge installation - field start</t>
        </is>
      </c>
      <c r="D311" s="23" t="inlineStr">
        <is>
          <t>WBS Code = 1.2.1</t>
        </is>
      </c>
      <c r="E311" s="23" t="inlineStr">
        <is>
          <t>R214-v2</t>
        </is>
      </c>
      <c r="F311" s="23" t="inlineStr">
        <is>
          <t>1.2.1 Stations - Station Structures</t>
        </is>
      </c>
      <c r="G311" s="23" t="inlineStr">
        <is>
          <t>ONE_TO_ONE</t>
        </is>
      </c>
      <c r="H311" s="23" t="inlineStr">
        <is>
          <t>RETAINED</t>
        </is>
      </c>
      <c r="I311" s="23" t="inlineStr">
        <is>
          <t>Carried forward</t>
        </is>
      </c>
      <c r="J311" s="23" t="inlineStr">
        <is>
          <t>Source assignment -- not individually reviewed</t>
        </is>
      </c>
      <c r="K311" s="23" t="inlineStr"/>
      <c r="L311" s="23" t="inlineStr"/>
      <c r="M311" s="23" t="inlineStr"/>
      <c r="N311" s="14" t="inlineStr">
        <is>
          <t>10 EVIDENCE &amp; DECISIONS</t>
        </is>
      </c>
    </row>
    <row r="312" ht="34" customHeight="1">
      <c r="A312" s="23" t="inlineStr">
        <is>
          <t>Contractor Programme</t>
        </is>
      </c>
      <c r="B312" s="23" t="inlineStr">
        <is>
          <t>SCH-02-035</t>
        </is>
      </c>
      <c r="C312" s="23" t="inlineStr">
        <is>
          <t>West Terminal: architectural wall framing - installation</t>
        </is>
      </c>
      <c r="D312" s="23" t="inlineStr">
        <is>
          <t>WBS Code = 1.2.1</t>
        </is>
      </c>
      <c r="E312" s="23" t="inlineStr">
        <is>
          <t>R215-v2</t>
        </is>
      </c>
      <c r="F312" s="23" t="inlineStr">
        <is>
          <t>1.2.1 Stations - Station Structures</t>
        </is>
      </c>
      <c r="G312" s="23" t="inlineStr">
        <is>
          <t>ONE_TO_ONE</t>
        </is>
      </c>
      <c r="H312" s="23" t="inlineStr">
        <is>
          <t>RETAINED</t>
        </is>
      </c>
      <c r="I312" s="23" t="inlineStr">
        <is>
          <t>Carried forward</t>
        </is>
      </c>
      <c r="J312" s="23" t="inlineStr">
        <is>
          <t>Source assignment -- not individually reviewed</t>
        </is>
      </c>
      <c r="K312" s="23" t="inlineStr"/>
      <c r="L312" s="23" t="inlineStr"/>
      <c r="M312" s="23" t="inlineStr"/>
      <c r="N312" s="14" t="inlineStr">
        <is>
          <t>10 EVIDENCE &amp; DECISIONS</t>
        </is>
      </c>
    </row>
    <row r="313" ht="34" customHeight="1">
      <c r="A313" s="23" t="inlineStr">
        <is>
          <t>Contractor Programme</t>
        </is>
      </c>
      <c r="B313" s="23" t="inlineStr">
        <is>
          <t>SCH-02-037</t>
        </is>
      </c>
      <c r="C313" s="23" t="inlineStr">
        <is>
          <t>Market Station: concourse slab pour - turnover</t>
        </is>
      </c>
      <c r="D313" s="23" t="inlineStr">
        <is>
          <t>WBS Code = 1.2.1</t>
        </is>
      </c>
      <c r="E313" s="23" t="inlineStr">
        <is>
          <t>R217-v2</t>
        </is>
      </c>
      <c r="F313" s="23" t="inlineStr">
        <is>
          <t>1.2.1 Stations - Station Structures</t>
        </is>
      </c>
      <c r="G313" s="23" t="inlineStr">
        <is>
          <t>ONE_TO_ONE</t>
        </is>
      </c>
      <c r="H313" s="23" t="inlineStr">
        <is>
          <t>RETAINED</t>
        </is>
      </c>
      <c r="I313" s="23" t="inlineStr">
        <is>
          <t>Carried forward</t>
        </is>
      </c>
      <c r="J313" s="23" t="inlineStr">
        <is>
          <t>Source assignment -- not individually reviewed</t>
        </is>
      </c>
      <c r="K313" s="23" t="inlineStr"/>
      <c r="L313" s="23" t="inlineStr"/>
      <c r="M313" s="23" t="inlineStr"/>
      <c r="N313" s="14" t="inlineStr">
        <is>
          <t>10 EVIDENCE &amp; DECISIONS</t>
        </is>
      </c>
    </row>
    <row r="314" ht="34" customHeight="1">
      <c r="A314" s="23" t="inlineStr">
        <is>
          <t>Contractor Programme</t>
        </is>
      </c>
      <c r="B314" s="23" t="inlineStr">
        <is>
          <t>SCH-02-038</t>
        </is>
      </c>
      <c r="C314" s="23" t="inlineStr">
        <is>
          <t>Civic Station: station ventilation rough-in - release</t>
        </is>
      </c>
      <c r="D314" s="23" t="inlineStr">
        <is>
          <t>WBS Code = 1.2.1</t>
        </is>
      </c>
      <c r="E314" s="23" t="inlineStr">
        <is>
          <t>R218-v2</t>
        </is>
      </c>
      <c r="F314" s="23" t="inlineStr">
        <is>
          <t>1.2.1 Stations - Station Structures</t>
        </is>
      </c>
      <c r="G314" s="23" t="inlineStr">
        <is>
          <t>ONE_TO_ONE</t>
        </is>
      </c>
      <c r="H314" s="23" t="inlineStr">
        <is>
          <t>RETAINED</t>
        </is>
      </c>
      <c r="I314" s="23" t="inlineStr">
        <is>
          <t>Carried forward</t>
        </is>
      </c>
      <c r="J314" s="23" t="inlineStr">
        <is>
          <t>Source assignment -- not individually reviewed</t>
        </is>
      </c>
      <c r="K314" s="23" t="inlineStr"/>
      <c r="L314" s="23" t="inlineStr"/>
      <c r="M314" s="23" t="inlineStr"/>
      <c r="N314" s="14" t="inlineStr">
        <is>
          <t>10 EVIDENCE &amp; DECISIONS</t>
        </is>
      </c>
    </row>
    <row r="315" ht="34" customHeight="1">
      <c r="A315" s="23" t="inlineStr">
        <is>
          <t>Contractor Programme</t>
        </is>
      </c>
      <c r="B315" s="23" t="inlineStr">
        <is>
          <t>SCH-02-040</t>
        </is>
      </c>
      <c r="C315" s="23" t="inlineStr">
        <is>
          <t>West Terminal: entrance steel erection - installation</t>
        </is>
      </c>
      <c r="D315" s="23" t="inlineStr">
        <is>
          <t>WBS Code = 1.2.1</t>
        </is>
      </c>
      <c r="E315" s="23" t="inlineStr">
        <is>
          <t>R220-v2</t>
        </is>
      </c>
      <c r="F315" s="23" t="inlineStr">
        <is>
          <t>1.2.1 Stations - Station Structures</t>
        </is>
      </c>
      <c r="G315" s="23" t="inlineStr">
        <is>
          <t>ONE_TO_ONE</t>
        </is>
      </c>
      <c r="H315" s="23" t="inlineStr">
        <is>
          <t>RETAINED</t>
        </is>
      </c>
      <c r="I315" s="23" t="inlineStr">
        <is>
          <t>Carried forward</t>
        </is>
      </c>
      <c r="J315" s="23" t="inlineStr">
        <is>
          <t>Source assignment -- not individually reviewed</t>
        </is>
      </c>
      <c r="K315" s="23" t="inlineStr"/>
      <c r="L315" s="23" t="inlineStr"/>
      <c r="M315" s="23" t="inlineStr"/>
      <c r="N315" s="14" t="inlineStr">
        <is>
          <t>10 EVIDENCE &amp; DECISIONS</t>
        </is>
      </c>
    </row>
    <row r="316" ht="34" customHeight="1">
      <c r="A316" s="23" t="inlineStr">
        <is>
          <t>Contractor Programme</t>
        </is>
      </c>
      <c r="B316" s="23" t="inlineStr">
        <is>
          <t>SCH-02-041</t>
        </is>
      </c>
      <c r="C316" s="23" t="inlineStr">
        <is>
          <t>Harbour Station: vertical-transport installation - inspection</t>
        </is>
      </c>
      <c r="D316" s="23" t="inlineStr">
        <is>
          <t>WBS Code = 1.2.1</t>
        </is>
      </c>
      <c r="E316" s="23" t="inlineStr">
        <is>
          <t>R221-v2</t>
        </is>
      </c>
      <c r="F316" s="23" t="inlineStr">
        <is>
          <t>1.2.1 Stations - Station Structures</t>
        </is>
      </c>
      <c r="G316" s="23" t="inlineStr">
        <is>
          <t>ONE_TO_ONE</t>
        </is>
      </c>
      <c r="H316" s="23" t="inlineStr">
        <is>
          <t>RETAINED</t>
        </is>
      </c>
      <c r="I316" s="23" t="inlineStr">
        <is>
          <t>Carried forward</t>
        </is>
      </c>
      <c r="J316" s="23" t="inlineStr">
        <is>
          <t>Source assignment -- not individually reviewed</t>
        </is>
      </c>
      <c r="K316" s="23" t="inlineStr"/>
      <c r="L316" s="23" t="inlineStr"/>
      <c r="M316" s="23" t="inlineStr"/>
      <c r="N316" s="14" t="inlineStr">
        <is>
          <t>10 EVIDENCE &amp; DECISIONS</t>
        </is>
      </c>
    </row>
    <row r="317" ht="34" customHeight="1">
      <c r="A317" s="23" t="inlineStr">
        <is>
          <t>Contractor Programme</t>
        </is>
      </c>
      <c r="B317" s="23" t="inlineStr">
        <is>
          <t>SCH-02-043</t>
        </is>
      </c>
      <c r="C317" s="23" t="inlineStr">
        <is>
          <t>Civic Station: architectural wall framing - release</t>
        </is>
      </c>
      <c r="D317" s="23" t="inlineStr">
        <is>
          <t>WBS Code = 1.2.1</t>
        </is>
      </c>
      <c r="E317" s="23" t="inlineStr">
        <is>
          <t>R223-v2</t>
        </is>
      </c>
      <c r="F317" s="23" t="inlineStr">
        <is>
          <t>1.2.1 Stations - Station Structures</t>
        </is>
      </c>
      <c r="G317" s="23" t="inlineStr">
        <is>
          <t>ONE_TO_ONE</t>
        </is>
      </c>
      <c r="H317" s="23" t="inlineStr">
        <is>
          <t>RETAINED</t>
        </is>
      </c>
      <c r="I317" s="23" t="inlineStr">
        <is>
          <t>Carried forward</t>
        </is>
      </c>
      <c r="J317" s="23" t="inlineStr">
        <is>
          <t>Source assignment -- not individually reviewed</t>
        </is>
      </c>
      <c r="K317" s="23" t="inlineStr"/>
      <c r="L317" s="23" t="inlineStr"/>
      <c r="M317" s="23" t="inlineStr"/>
      <c r="N317" s="14" t="inlineStr">
        <is>
          <t>10 EVIDENCE &amp; DECISIONS</t>
        </is>
      </c>
    </row>
    <row r="318" ht="34" customHeight="1">
      <c r="A318" s="23" t="inlineStr">
        <is>
          <t>Contractor Programme</t>
        </is>
      </c>
      <c r="B318" s="23" t="inlineStr">
        <is>
          <t>SCH-02-044</t>
        </is>
      </c>
      <c r="C318" s="23" t="inlineStr">
        <is>
          <t>University Station: fire-life-safety cabling - field start</t>
        </is>
      </c>
      <c r="D318" s="23" t="inlineStr">
        <is>
          <t>WBS Code = 1.2.1</t>
        </is>
      </c>
      <c r="E318" s="23" t="inlineStr">
        <is>
          <t>R224-v2</t>
        </is>
      </c>
      <c r="F318" s="23" t="inlineStr">
        <is>
          <t>1.2.1 Stations - Station Structures</t>
        </is>
      </c>
      <c r="G318" s="23" t="inlineStr">
        <is>
          <t>ONE_TO_ONE</t>
        </is>
      </c>
      <c r="H318" s="23" t="inlineStr">
        <is>
          <t>RETAINED</t>
        </is>
      </c>
      <c r="I318" s="23" t="inlineStr">
        <is>
          <t>Carried forward</t>
        </is>
      </c>
      <c r="J318" s="23" t="inlineStr">
        <is>
          <t>Source assignment -- not individually reviewed</t>
        </is>
      </c>
      <c r="K318" s="23" t="inlineStr"/>
      <c r="L318" s="23" t="inlineStr"/>
      <c r="M318" s="23" t="inlineStr"/>
      <c r="N318" s="14" t="inlineStr">
        <is>
          <t>10 EVIDENCE &amp; DECISIONS</t>
        </is>
      </c>
    </row>
    <row r="319" ht="34" customHeight="1">
      <c r="A319" s="23" t="inlineStr">
        <is>
          <t>Contractor Programme</t>
        </is>
      </c>
      <c r="B319" s="23" t="inlineStr">
        <is>
          <t>SCH-02-046</t>
        </is>
      </c>
      <c r="C319" s="23" t="inlineStr">
        <is>
          <t>Harbour Station: station ventilation rough-in - inspection</t>
        </is>
      </c>
      <c r="D319" s="23" t="inlineStr">
        <is>
          <t>WBS Code = 1.2.1</t>
        </is>
      </c>
      <c r="E319" s="23" t="inlineStr">
        <is>
          <t>R226-v2</t>
        </is>
      </c>
      <c r="F319" s="23" t="inlineStr">
        <is>
          <t>1.2.1 Stations - Station Structures</t>
        </is>
      </c>
      <c r="G319" s="23" t="inlineStr">
        <is>
          <t>ONE_TO_ONE</t>
        </is>
      </c>
      <c r="H319" s="23" t="inlineStr">
        <is>
          <t>RETAINED</t>
        </is>
      </c>
      <c r="I319" s="23" t="inlineStr">
        <is>
          <t>Carried forward</t>
        </is>
      </c>
      <c r="J319" s="23" t="inlineStr">
        <is>
          <t>Source assignment -- not individually reviewed</t>
        </is>
      </c>
      <c r="K319" s="23" t="inlineStr"/>
      <c r="L319" s="23" t="inlineStr"/>
      <c r="M319" s="23" t="inlineStr"/>
      <c r="N319" s="14" t="inlineStr">
        <is>
          <t>10 EVIDENCE &amp; DECISIONS</t>
        </is>
      </c>
    </row>
    <row r="320" ht="34" customHeight="1">
      <c r="A320" s="23" t="inlineStr">
        <is>
          <t>Contractor Programme</t>
        </is>
      </c>
      <c r="B320" s="23" t="inlineStr">
        <is>
          <t>SCH-02-047</t>
        </is>
      </c>
      <c r="C320" s="23" t="inlineStr">
        <is>
          <t>Market Station: public-realm paving - turnover</t>
        </is>
      </c>
      <c r="D320" s="23" t="inlineStr">
        <is>
          <t>WBS Code = 1.2.1</t>
        </is>
      </c>
      <c r="E320" s="23" t="inlineStr">
        <is>
          <t>R227-v2</t>
        </is>
      </c>
      <c r="F320" s="23" t="inlineStr">
        <is>
          <t>1.2.1 Stations - Station Structures</t>
        </is>
      </c>
      <c r="G320" s="23" t="inlineStr">
        <is>
          <t>ONE_TO_ONE</t>
        </is>
      </c>
      <c r="H320" s="23" t="inlineStr">
        <is>
          <t>RETAINED</t>
        </is>
      </c>
      <c r="I320" s="23" t="inlineStr">
        <is>
          <t>Carried forward</t>
        </is>
      </c>
      <c r="J320" s="23" t="inlineStr">
        <is>
          <t>Source assignment -- not individually reviewed</t>
        </is>
      </c>
      <c r="K320" s="23" t="inlineStr"/>
      <c r="L320" s="23" t="inlineStr"/>
      <c r="M320" s="23" t="inlineStr"/>
      <c r="N320" s="14" t="inlineStr">
        <is>
          <t>10 EVIDENCE &amp; DECISIONS</t>
        </is>
      </c>
    </row>
    <row r="321" ht="49" customHeight="1">
      <c r="A321" s="23" t="inlineStr">
        <is>
          <t>Contractor Programme</t>
        </is>
      </c>
      <c r="B321" s="23" t="inlineStr">
        <is>
          <t>SCH-02-049</t>
        </is>
      </c>
      <c r="C321" s="23" t="inlineStr">
        <is>
          <t>University Station: vertical-transport installation - field start</t>
        </is>
      </c>
      <c r="D321" s="23" t="inlineStr">
        <is>
          <t>WBS Code = 1.2.1</t>
        </is>
      </c>
      <c r="E321" s="23" t="inlineStr">
        <is>
          <t>R229-v2</t>
        </is>
      </c>
      <c r="F321" s="23" t="inlineStr">
        <is>
          <t>1.2.1 Stations - Station Structures</t>
        </is>
      </c>
      <c r="G321" s="23" t="inlineStr">
        <is>
          <t>ONE_TO_ONE</t>
        </is>
      </c>
      <c r="H321" s="23" t="inlineStr">
        <is>
          <t>RETAINED</t>
        </is>
      </c>
      <c r="I321" s="23" t="inlineStr">
        <is>
          <t>Carried forward</t>
        </is>
      </c>
      <c r="J321" s="23" t="inlineStr">
        <is>
          <t>Source assignment -- not individually reviewed</t>
        </is>
      </c>
      <c r="K321" s="23" t="inlineStr"/>
      <c r="L321" s="23" t="inlineStr"/>
      <c r="M321" s="23" t="inlineStr"/>
      <c r="N321" s="14" t="inlineStr">
        <is>
          <t>10 EVIDENCE &amp; DECISIONS</t>
        </is>
      </c>
    </row>
    <row r="322" ht="34" customHeight="1">
      <c r="A322" s="23" t="inlineStr">
        <is>
          <t>Contractor Programme</t>
        </is>
      </c>
      <c r="B322" s="23" t="inlineStr">
        <is>
          <t>SCH-02-050</t>
        </is>
      </c>
      <c r="C322" s="23" t="inlineStr">
        <is>
          <t>West Terminal: platform edge installation - installation</t>
        </is>
      </c>
      <c r="D322" s="23" t="inlineStr">
        <is>
          <t>WBS Code = 1.2.1</t>
        </is>
      </c>
      <c r="E322" s="23" t="inlineStr">
        <is>
          <t>R230-v2</t>
        </is>
      </c>
      <c r="F322" s="23" t="inlineStr">
        <is>
          <t>1.2.1 Stations - Station Structures</t>
        </is>
      </c>
      <c r="G322" s="23" t="inlineStr">
        <is>
          <t>ONE_TO_ONE</t>
        </is>
      </c>
      <c r="H322" s="23" t="inlineStr">
        <is>
          <t>RETAINED</t>
        </is>
      </c>
      <c r="I322" s="23" t="inlineStr">
        <is>
          <t>Carried forward</t>
        </is>
      </c>
      <c r="J322" s="23" t="inlineStr">
        <is>
          <t>Source assignment -- not individually reviewed</t>
        </is>
      </c>
      <c r="K322" s="23" t="inlineStr"/>
      <c r="L322" s="23" t="inlineStr"/>
      <c r="M322" s="23" t="inlineStr"/>
      <c r="N322" s="14" t="inlineStr">
        <is>
          <t>10 EVIDENCE &amp; DECISIONS</t>
        </is>
      </c>
    </row>
    <row r="323" ht="34" customHeight="1">
      <c r="A323" s="23" t="inlineStr">
        <is>
          <t>Contractor Programme</t>
        </is>
      </c>
      <c r="B323" s="23" t="inlineStr">
        <is>
          <t>SCH-02-052</t>
        </is>
      </c>
      <c r="C323" s="23" t="inlineStr">
        <is>
          <t>Market Station: fire-life-safety cabling - turnover</t>
        </is>
      </c>
      <c r="D323" s="23" t="inlineStr">
        <is>
          <t>WBS Code = 1.2.1</t>
        </is>
      </c>
      <c r="E323" s="23" t="inlineStr">
        <is>
          <t>R232-v2</t>
        </is>
      </c>
      <c r="F323" s="23" t="inlineStr">
        <is>
          <t>1.2.1 Stations - Station Structures</t>
        </is>
      </c>
      <c r="G323" s="23" t="inlineStr">
        <is>
          <t>ONE_TO_ONE</t>
        </is>
      </c>
      <c r="H323" s="23" t="inlineStr">
        <is>
          <t>RETAINED</t>
        </is>
      </c>
      <c r="I323" s="23" t="inlineStr">
        <is>
          <t>Carried forward</t>
        </is>
      </c>
      <c r="J323" s="23" t="inlineStr">
        <is>
          <t>Source assignment -- not individually reviewed</t>
        </is>
      </c>
      <c r="K323" s="23" t="inlineStr"/>
      <c r="L323" s="23" t="inlineStr"/>
      <c r="M323" s="23" t="inlineStr"/>
      <c r="N323" s="14" t="inlineStr">
        <is>
          <t>10 EVIDENCE &amp; DECISIONS</t>
        </is>
      </c>
    </row>
    <row r="324" ht="34" customHeight="1">
      <c r="A324" s="23" t="inlineStr">
        <is>
          <t>Contractor Programme</t>
        </is>
      </c>
      <c r="B324" s="23" t="inlineStr">
        <is>
          <t>SCH-02-053</t>
        </is>
      </c>
      <c r="C324" s="23" t="inlineStr">
        <is>
          <t>Civic Station: concourse slab pour - release</t>
        </is>
      </c>
      <c r="D324" s="23" t="inlineStr">
        <is>
          <t>WBS Code = 1.2.1</t>
        </is>
      </c>
      <c r="E324" s="23" t="inlineStr">
        <is>
          <t>R233-v2</t>
        </is>
      </c>
      <c r="F324" s="23" t="inlineStr">
        <is>
          <t>1.2.1 Stations - Station Structures</t>
        </is>
      </c>
      <c r="G324" s="23" t="inlineStr">
        <is>
          <t>ONE_TO_ONE</t>
        </is>
      </c>
      <c r="H324" s="23" t="inlineStr">
        <is>
          <t>RETAINED</t>
        </is>
      </c>
      <c r="I324" s="23" t="inlineStr">
        <is>
          <t>Carried forward</t>
        </is>
      </c>
      <c r="J324" s="23" t="inlineStr">
        <is>
          <t>Source assignment -- not individually reviewed</t>
        </is>
      </c>
      <c r="K324" s="23" t="inlineStr"/>
      <c r="L324" s="23" t="inlineStr"/>
      <c r="M324" s="23" t="inlineStr"/>
      <c r="N324" s="14" t="inlineStr">
        <is>
          <t>10 EVIDENCE &amp; DECISIONS</t>
        </is>
      </c>
    </row>
    <row r="325" ht="34" customHeight="1">
      <c r="A325" s="23" t="inlineStr">
        <is>
          <t>Contractor Programme</t>
        </is>
      </c>
      <c r="B325" s="23" t="inlineStr">
        <is>
          <t>SCH-02-055</t>
        </is>
      </c>
      <c r="C325" s="23" t="inlineStr">
        <is>
          <t>West Terminal: public-realm paving - installation</t>
        </is>
      </c>
      <c r="D325" s="23" t="inlineStr">
        <is>
          <t>WBS Code = 1.2.1</t>
        </is>
      </c>
      <c r="E325" s="23" t="inlineStr">
        <is>
          <t>R235-v2</t>
        </is>
      </c>
      <c r="F325" s="23" t="inlineStr">
        <is>
          <t>1.2.1 Stations - Station Structures</t>
        </is>
      </c>
      <c r="G325" s="23" t="inlineStr">
        <is>
          <t>ONE_TO_ONE</t>
        </is>
      </c>
      <c r="H325" s="23" t="inlineStr">
        <is>
          <t>RETAINED</t>
        </is>
      </c>
      <c r="I325" s="23" t="inlineStr">
        <is>
          <t>Carried forward</t>
        </is>
      </c>
      <c r="J325" s="23" t="inlineStr">
        <is>
          <t>Source assignment -- not individually reviewed</t>
        </is>
      </c>
      <c r="K325" s="23" t="inlineStr"/>
      <c r="L325" s="23" t="inlineStr"/>
      <c r="M325" s="23" t="inlineStr"/>
      <c r="N325" s="14" t="inlineStr">
        <is>
          <t>10 EVIDENCE &amp; DECISIONS</t>
        </is>
      </c>
    </row>
    <row r="326" ht="34" customHeight="1">
      <c r="A326" s="23" t="inlineStr">
        <is>
          <t>Contractor Programme</t>
        </is>
      </c>
      <c r="B326" s="23" t="inlineStr">
        <is>
          <t>SCH-02-056</t>
        </is>
      </c>
      <c r="C326" s="23" t="inlineStr">
        <is>
          <t>Harbour Station: entrance steel erection - inspection</t>
        </is>
      </c>
      <c r="D326" s="23" t="inlineStr">
        <is>
          <t>WBS Code = 1.2.1</t>
        </is>
      </c>
      <c r="E326" s="23" t="inlineStr">
        <is>
          <t>R236-v2</t>
        </is>
      </c>
      <c r="F326" s="23" t="inlineStr">
        <is>
          <t>1.2.1 Stations - Station Structures</t>
        </is>
      </c>
      <c r="G326" s="23" t="inlineStr">
        <is>
          <t>ONE_TO_ONE</t>
        </is>
      </c>
      <c r="H326" s="23" t="inlineStr">
        <is>
          <t>RETAINED</t>
        </is>
      </c>
      <c r="I326" s="23" t="inlineStr">
        <is>
          <t>Carried forward</t>
        </is>
      </c>
      <c r="J326" s="23" t="inlineStr">
        <is>
          <t>Source assignment -- not individually reviewed</t>
        </is>
      </c>
      <c r="K326" s="23" t="inlineStr"/>
      <c r="L326" s="23" t="inlineStr"/>
      <c r="M326" s="23" t="inlineStr"/>
      <c r="N326" s="14" t="inlineStr">
        <is>
          <t>10 EVIDENCE &amp; DECISIONS</t>
        </is>
      </c>
    </row>
    <row r="327" ht="34" customHeight="1">
      <c r="A327" s="23" t="inlineStr">
        <is>
          <t>Contractor Programme</t>
        </is>
      </c>
      <c r="B327" s="23" t="inlineStr">
        <is>
          <t>SCH-02-058</t>
        </is>
      </c>
      <c r="C327" s="23" t="inlineStr">
        <is>
          <t>Civic Station: platform edge installation - release</t>
        </is>
      </c>
      <c r="D327" s="23" t="inlineStr">
        <is>
          <t>WBS Code = 1.2.1</t>
        </is>
      </c>
      <c r="E327" s="23" t="inlineStr">
        <is>
          <t>R238-v2</t>
        </is>
      </c>
      <c r="F327" s="23" t="inlineStr">
        <is>
          <t>1.2.1 Stations - Station Structures</t>
        </is>
      </c>
      <c r="G327" s="23" t="inlineStr">
        <is>
          <t>ONE_TO_ONE</t>
        </is>
      </c>
      <c r="H327" s="23" t="inlineStr">
        <is>
          <t>RETAINED</t>
        </is>
      </c>
      <c r="I327" s="23" t="inlineStr">
        <is>
          <t>Carried forward</t>
        </is>
      </c>
      <c r="J327" s="23" t="inlineStr">
        <is>
          <t>Source assignment -- not individually reviewed</t>
        </is>
      </c>
      <c r="K327" s="23" t="inlineStr"/>
      <c r="L327" s="23" t="inlineStr"/>
      <c r="M327" s="23" t="inlineStr"/>
      <c r="N327" s="14" t="inlineStr">
        <is>
          <t>10 EVIDENCE &amp; DECISIONS</t>
        </is>
      </c>
    </row>
    <row r="328" ht="34" customHeight="1">
      <c r="A328" s="23" t="inlineStr">
        <is>
          <t>Contractor Programme</t>
        </is>
      </c>
      <c r="B328" s="23" t="inlineStr">
        <is>
          <t>SCH-02-059</t>
        </is>
      </c>
      <c r="C328" s="23" t="inlineStr">
        <is>
          <t>University Station: architectural wall framing - field start</t>
        </is>
      </c>
      <c r="D328" s="23" t="inlineStr">
        <is>
          <t>WBS Code = 1.2.1</t>
        </is>
      </c>
      <c r="E328" s="23" t="inlineStr">
        <is>
          <t>R239-v2</t>
        </is>
      </c>
      <c r="F328" s="23" t="inlineStr">
        <is>
          <t>1.2.1 Stations - Station Structures</t>
        </is>
      </c>
      <c r="G328" s="23" t="inlineStr">
        <is>
          <t>ONE_TO_ONE</t>
        </is>
      </c>
      <c r="H328" s="23" t="inlineStr">
        <is>
          <t>RETAINED</t>
        </is>
      </c>
      <c r="I328" s="23" t="inlineStr">
        <is>
          <t>Carried forward</t>
        </is>
      </c>
      <c r="J328" s="23" t="inlineStr">
        <is>
          <t>Source assignment -- not individually reviewed</t>
        </is>
      </c>
      <c r="K328" s="23" t="inlineStr"/>
      <c r="L328" s="23" t="inlineStr"/>
      <c r="M328" s="23" t="inlineStr"/>
      <c r="N328" s="14" t="inlineStr">
        <is>
          <t>10 EVIDENCE &amp; DECISIONS</t>
        </is>
      </c>
    </row>
    <row r="329" ht="34" customHeight="1">
      <c r="A329" s="23" t="inlineStr">
        <is>
          <t>Contractor Programme</t>
        </is>
      </c>
      <c r="B329" s="23" t="inlineStr">
        <is>
          <t>SCH-02-061</t>
        </is>
      </c>
      <c r="C329" s="23" t="inlineStr">
        <is>
          <t>Harbour Station: concourse slab pour - inspection</t>
        </is>
      </c>
      <c r="D329" s="23" t="inlineStr">
        <is>
          <t>WBS Code = 1.2.1</t>
        </is>
      </c>
      <c r="E329" s="23" t="inlineStr">
        <is>
          <t>R241-v2</t>
        </is>
      </c>
      <c r="F329" s="23" t="inlineStr">
        <is>
          <t>1.2.1 Stations - Station Structures</t>
        </is>
      </c>
      <c r="G329" s="23" t="inlineStr">
        <is>
          <t>ONE_TO_ONE</t>
        </is>
      </c>
      <c r="H329" s="23" t="inlineStr">
        <is>
          <t>RETAINED</t>
        </is>
      </c>
      <c r="I329" s="23" t="inlineStr">
        <is>
          <t>Carried forward</t>
        </is>
      </c>
      <c r="J329" s="23" t="inlineStr">
        <is>
          <t>Source assignment -- not individually reviewed</t>
        </is>
      </c>
      <c r="K329" s="23" t="inlineStr"/>
      <c r="L329" s="23" t="inlineStr"/>
      <c r="M329" s="23" t="inlineStr"/>
      <c r="N329" s="14" t="inlineStr">
        <is>
          <t>10 EVIDENCE &amp; DECISIONS</t>
        </is>
      </c>
    </row>
    <row r="330" ht="34" customHeight="1">
      <c r="A330" s="23" t="inlineStr">
        <is>
          <t>Contractor Programme</t>
        </is>
      </c>
      <c r="B330" s="23" t="inlineStr">
        <is>
          <t>SCH-02-062</t>
        </is>
      </c>
      <c r="C330" s="23" t="inlineStr">
        <is>
          <t>Market Station: station ventilation rough-in - turnover</t>
        </is>
      </c>
      <c r="D330" s="23" t="inlineStr">
        <is>
          <t>WBS Code = 1.2.1</t>
        </is>
      </c>
      <c r="E330" s="23" t="inlineStr">
        <is>
          <t>R242-v2</t>
        </is>
      </c>
      <c r="F330" s="23" t="inlineStr">
        <is>
          <t>1.2.1 Stations - Station Structures</t>
        </is>
      </c>
      <c r="G330" s="23" t="inlineStr">
        <is>
          <t>ONE_TO_ONE</t>
        </is>
      </c>
      <c r="H330" s="23" t="inlineStr">
        <is>
          <t>RETAINED</t>
        </is>
      </c>
      <c r="I330" s="23" t="inlineStr">
        <is>
          <t>Carried forward</t>
        </is>
      </c>
      <c r="J330" s="23" t="inlineStr">
        <is>
          <t>Source assignment -- not individually reviewed</t>
        </is>
      </c>
      <c r="K330" s="23" t="inlineStr"/>
      <c r="L330" s="23" t="inlineStr"/>
      <c r="M330" s="23" t="inlineStr"/>
      <c r="N330" s="14" t="inlineStr">
        <is>
          <t>10 EVIDENCE &amp; DECISIONS</t>
        </is>
      </c>
    </row>
    <row r="331" ht="34" customHeight="1">
      <c r="A331" s="23" t="inlineStr">
        <is>
          <t>Contractor Programme</t>
        </is>
      </c>
      <c r="B331" s="23" t="inlineStr">
        <is>
          <t>SCH-02-064</t>
        </is>
      </c>
      <c r="C331" s="23" t="inlineStr">
        <is>
          <t>University Station: entrance steel erection - field start</t>
        </is>
      </c>
      <c r="D331" s="23" t="inlineStr">
        <is>
          <t>WBS Code = 1.2.1</t>
        </is>
      </c>
      <c r="E331" s="23" t="inlineStr">
        <is>
          <t>R244-v2</t>
        </is>
      </c>
      <c r="F331" s="23" t="inlineStr">
        <is>
          <t>1.2.1 Stations - Station Structures</t>
        </is>
      </c>
      <c r="G331" s="23" t="inlineStr">
        <is>
          <t>ONE_TO_ONE</t>
        </is>
      </c>
      <c r="H331" s="23" t="inlineStr">
        <is>
          <t>RETAINED</t>
        </is>
      </c>
      <c r="I331" s="23" t="inlineStr">
        <is>
          <t>Carried forward</t>
        </is>
      </c>
      <c r="J331" s="23" t="inlineStr">
        <is>
          <t>Source assignment -- not individually reviewed</t>
        </is>
      </c>
      <c r="K331" s="23" t="inlineStr"/>
      <c r="L331" s="23" t="inlineStr"/>
      <c r="M331" s="23" t="inlineStr"/>
      <c r="N331" s="14" t="inlineStr">
        <is>
          <t>10 EVIDENCE &amp; DECISIONS</t>
        </is>
      </c>
    </row>
    <row r="332" ht="34" customHeight="1">
      <c r="A332" s="23" t="inlineStr">
        <is>
          <t>Contractor Programme</t>
        </is>
      </c>
      <c r="B332" s="23" t="inlineStr">
        <is>
          <t>SCH-02-065</t>
        </is>
      </c>
      <c r="C332" s="23" t="inlineStr">
        <is>
          <t>West Terminal: vertical-transport installation - installation</t>
        </is>
      </c>
      <c r="D332" s="23" t="inlineStr">
        <is>
          <t>WBS Code = 1.2.1</t>
        </is>
      </c>
      <c r="E332" s="23" t="inlineStr">
        <is>
          <t>R245-v2</t>
        </is>
      </c>
      <c r="F332" s="23" t="inlineStr">
        <is>
          <t>1.2.1 Stations - Station Structures</t>
        </is>
      </c>
      <c r="G332" s="23" t="inlineStr">
        <is>
          <t>ONE_TO_ONE</t>
        </is>
      </c>
      <c r="H332" s="23" t="inlineStr">
        <is>
          <t>RETAINED</t>
        </is>
      </c>
      <c r="I332" s="23" t="inlineStr">
        <is>
          <t>Carried forward</t>
        </is>
      </c>
      <c r="J332" s="23" t="inlineStr">
        <is>
          <t>Source assignment -- not individually reviewed</t>
        </is>
      </c>
      <c r="K332" s="23" t="inlineStr"/>
      <c r="L332" s="23" t="inlineStr"/>
      <c r="M332" s="23" t="inlineStr"/>
      <c r="N332" s="14" t="inlineStr">
        <is>
          <t>10 EVIDENCE &amp; DECISIONS</t>
        </is>
      </c>
    </row>
    <row r="333" ht="34" customHeight="1">
      <c r="A333" s="23" t="inlineStr">
        <is>
          <t>Contractor Programme</t>
        </is>
      </c>
      <c r="B333" s="23" t="inlineStr">
        <is>
          <t>SCH-02-067</t>
        </is>
      </c>
      <c r="C333" s="23" t="inlineStr">
        <is>
          <t>Market Station: architectural wall framing - turnover</t>
        </is>
      </c>
      <c r="D333" s="23" t="inlineStr">
        <is>
          <t>WBS Code = 1.2.1</t>
        </is>
      </c>
      <c r="E333" s="23" t="inlineStr">
        <is>
          <t>R247-v2</t>
        </is>
      </c>
      <c r="F333" s="23" t="inlineStr">
        <is>
          <t>1.2.1 Stations - Station Structures</t>
        </is>
      </c>
      <c r="G333" s="23" t="inlineStr">
        <is>
          <t>ONE_TO_ONE</t>
        </is>
      </c>
      <c r="H333" s="23" t="inlineStr">
        <is>
          <t>RETAINED</t>
        </is>
      </c>
      <c r="I333" s="23" t="inlineStr">
        <is>
          <t>Carried forward</t>
        </is>
      </c>
      <c r="J333" s="23" t="inlineStr">
        <is>
          <t>Source assignment -- not individually reviewed</t>
        </is>
      </c>
      <c r="K333" s="23" t="inlineStr"/>
      <c r="L333" s="23" t="inlineStr"/>
      <c r="M333" s="23" t="inlineStr"/>
      <c r="N333" s="14" t="inlineStr">
        <is>
          <t>10 EVIDENCE &amp; DECISIONS</t>
        </is>
      </c>
    </row>
    <row r="334" ht="34" customHeight="1">
      <c r="A334" s="23" t="inlineStr">
        <is>
          <t>Contractor Programme</t>
        </is>
      </c>
      <c r="B334" s="23" t="inlineStr">
        <is>
          <t>SCH-02-068</t>
        </is>
      </c>
      <c r="C334" s="23" t="inlineStr">
        <is>
          <t>Civic Station: fire-life-safety cabling - release</t>
        </is>
      </c>
      <c r="D334" s="23" t="inlineStr">
        <is>
          <t>WBS Code = 1.2.1</t>
        </is>
      </c>
      <c r="E334" s="23" t="inlineStr">
        <is>
          <t>R248-v2</t>
        </is>
      </c>
      <c r="F334" s="23" t="inlineStr">
        <is>
          <t>1.2.1 Stations - Station Structures</t>
        </is>
      </c>
      <c r="G334" s="23" t="inlineStr">
        <is>
          <t>ONE_TO_ONE</t>
        </is>
      </c>
      <c r="H334" s="23" t="inlineStr">
        <is>
          <t>RETAINED</t>
        </is>
      </c>
      <c r="I334" s="23" t="inlineStr">
        <is>
          <t>Carried forward</t>
        </is>
      </c>
      <c r="J334" s="23" t="inlineStr">
        <is>
          <t>Source assignment -- not individually reviewed</t>
        </is>
      </c>
      <c r="K334" s="23" t="inlineStr"/>
      <c r="L334" s="23" t="inlineStr"/>
      <c r="M334" s="23" t="inlineStr"/>
      <c r="N334" s="14" t="inlineStr">
        <is>
          <t>10 EVIDENCE &amp; DECISIONS</t>
        </is>
      </c>
    </row>
    <row r="335" ht="34" customHeight="1">
      <c r="A335" s="23" t="inlineStr">
        <is>
          <t>Contractor Programme</t>
        </is>
      </c>
      <c r="B335" s="23" t="inlineStr">
        <is>
          <t>SCH-02-070</t>
        </is>
      </c>
      <c r="C335" s="23" t="inlineStr">
        <is>
          <t>West Terminal: station ventilation rough-in - installation</t>
        </is>
      </c>
      <c r="D335" s="23" t="inlineStr">
        <is>
          <t>WBS Code = 1.2.1</t>
        </is>
      </c>
      <c r="E335" s="23" t="inlineStr">
        <is>
          <t>R250-v2</t>
        </is>
      </c>
      <c r="F335" s="23" t="inlineStr">
        <is>
          <t>1.2.1 Stations - Station Structures</t>
        </is>
      </c>
      <c r="G335" s="23" t="inlineStr">
        <is>
          <t>ONE_TO_ONE</t>
        </is>
      </c>
      <c r="H335" s="23" t="inlineStr">
        <is>
          <t>RETAINED</t>
        </is>
      </c>
      <c r="I335" s="23" t="inlineStr">
        <is>
          <t>Carried forward</t>
        </is>
      </c>
      <c r="J335" s="23" t="inlineStr">
        <is>
          <t>Source assignment -- not individually reviewed</t>
        </is>
      </c>
      <c r="K335" s="23" t="inlineStr"/>
      <c r="L335" s="23" t="inlineStr"/>
      <c r="M335" s="23" t="inlineStr"/>
      <c r="N335" s="14" t="inlineStr">
        <is>
          <t>10 EVIDENCE &amp; DECISIONS</t>
        </is>
      </c>
    </row>
    <row r="336" ht="34" customHeight="1">
      <c r="A336" s="23" t="inlineStr">
        <is>
          <t>Contractor Programme</t>
        </is>
      </c>
      <c r="B336" s="23" t="inlineStr">
        <is>
          <t>SCH-02-071</t>
        </is>
      </c>
      <c r="C336" s="23" t="inlineStr">
        <is>
          <t>Harbour Station: public-realm paving - inspection</t>
        </is>
      </c>
      <c r="D336" s="23" t="inlineStr">
        <is>
          <t>WBS Code = 1.2.1</t>
        </is>
      </c>
      <c r="E336" s="23" t="inlineStr">
        <is>
          <t>R251-v2</t>
        </is>
      </c>
      <c r="F336" s="23" t="inlineStr">
        <is>
          <t>1.2.1 Stations - Station Structures</t>
        </is>
      </c>
      <c r="G336" s="23" t="inlineStr">
        <is>
          <t>ONE_TO_ONE</t>
        </is>
      </c>
      <c r="H336" s="23" t="inlineStr">
        <is>
          <t>RETAINED</t>
        </is>
      </c>
      <c r="I336" s="23" t="inlineStr">
        <is>
          <t>Carried forward</t>
        </is>
      </c>
      <c r="J336" s="23" t="inlineStr">
        <is>
          <t>Source assignment -- not individually reviewed</t>
        </is>
      </c>
      <c r="K336" s="23" t="inlineStr"/>
      <c r="L336" s="23" t="inlineStr"/>
      <c r="M336" s="23" t="inlineStr"/>
      <c r="N336" s="14" t="inlineStr">
        <is>
          <t>10 EVIDENCE &amp; DECISIONS</t>
        </is>
      </c>
    </row>
    <row r="337" ht="34" customHeight="1">
      <c r="A337" s="23" t="inlineStr">
        <is>
          <t>Contractor Programme</t>
        </is>
      </c>
      <c r="B337" s="23" t="inlineStr">
        <is>
          <t>SCH-02-073</t>
        </is>
      </c>
      <c r="C337" s="23" t="inlineStr">
        <is>
          <t>Civic Station: vertical-transport installation - release</t>
        </is>
      </c>
      <c r="D337" s="23" t="inlineStr">
        <is>
          <t>WBS Code = 1.2.1</t>
        </is>
      </c>
      <c r="E337" s="23" t="inlineStr">
        <is>
          <t>R253-v2</t>
        </is>
      </c>
      <c r="F337" s="23" t="inlineStr">
        <is>
          <t>1.2.1 Stations - Station Structures</t>
        </is>
      </c>
      <c r="G337" s="23" t="inlineStr">
        <is>
          <t>ONE_TO_ONE</t>
        </is>
      </c>
      <c r="H337" s="23" t="inlineStr">
        <is>
          <t>RETAINED</t>
        </is>
      </c>
      <c r="I337" s="23" t="inlineStr">
        <is>
          <t>Carried forward</t>
        </is>
      </c>
      <c r="J337" s="23" t="inlineStr">
        <is>
          <t>Source assignment -- not individually reviewed</t>
        </is>
      </c>
      <c r="K337" s="23" t="inlineStr"/>
      <c r="L337" s="23" t="inlineStr"/>
      <c r="M337" s="23" t="inlineStr"/>
      <c r="N337" s="14" t="inlineStr">
        <is>
          <t>10 EVIDENCE &amp; DECISIONS</t>
        </is>
      </c>
    </row>
    <row r="338" ht="34" customHeight="1">
      <c r="A338" s="23" t="inlineStr">
        <is>
          <t>Contractor Programme</t>
        </is>
      </c>
      <c r="B338" s="23" t="inlineStr">
        <is>
          <t>SCH-02-074</t>
        </is>
      </c>
      <c r="C338" s="23" t="inlineStr">
        <is>
          <t>University Station: platform edge installation - field start</t>
        </is>
      </c>
      <c r="D338" s="23" t="inlineStr">
        <is>
          <t>WBS Code = 1.2.1</t>
        </is>
      </c>
      <c r="E338" s="23" t="inlineStr">
        <is>
          <t>R254-v2</t>
        </is>
      </c>
      <c r="F338" s="23" t="inlineStr">
        <is>
          <t>1.2.1 Stations - Station Structures</t>
        </is>
      </c>
      <c r="G338" s="23" t="inlineStr">
        <is>
          <t>ONE_TO_ONE</t>
        </is>
      </c>
      <c r="H338" s="23" t="inlineStr">
        <is>
          <t>RETAINED</t>
        </is>
      </c>
      <c r="I338" s="23" t="inlineStr">
        <is>
          <t>Carried forward</t>
        </is>
      </c>
      <c r="J338" s="23" t="inlineStr">
        <is>
          <t>Source assignment -- not individually reviewed</t>
        </is>
      </c>
      <c r="K338" s="23" t="inlineStr"/>
      <c r="L338" s="23" t="inlineStr"/>
      <c r="M338" s="23" t="inlineStr"/>
      <c r="N338" s="14" t="inlineStr">
        <is>
          <t>10 EVIDENCE &amp; DECISIONS</t>
        </is>
      </c>
    </row>
    <row r="339" ht="34" customHeight="1">
      <c r="A339" s="23" t="inlineStr">
        <is>
          <t>Contractor Programme</t>
        </is>
      </c>
      <c r="B339" s="23" t="inlineStr">
        <is>
          <t>SCH-02-076</t>
        </is>
      </c>
      <c r="C339" s="23" t="inlineStr">
        <is>
          <t>Harbour Station: fire-life-safety cabling - inspection</t>
        </is>
      </c>
      <c r="D339" s="23" t="inlineStr">
        <is>
          <t>WBS Code = 1.2.1</t>
        </is>
      </c>
      <c r="E339" s="23" t="inlineStr">
        <is>
          <t>R256-v2</t>
        </is>
      </c>
      <c r="F339" s="23" t="inlineStr">
        <is>
          <t>1.2.1 Stations - Station Structures</t>
        </is>
      </c>
      <c r="G339" s="23" t="inlineStr">
        <is>
          <t>ONE_TO_ONE</t>
        </is>
      </c>
      <c r="H339" s="23" t="inlineStr">
        <is>
          <t>RETAINED</t>
        </is>
      </c>
      <c r="I339" s="23" t="inlineStr">
        <is>
          <t>Carried forward</t>
        </is>
      </c>
      <c r="J339" s="23" t="inlineStr">
        <is>
          <t>Source assignment -- not individually reviewed</t>
        </is>
      </c>
      <c r="K339" s="23" t="inlineStr"/>
      <c r="L339" s="23" t="inlineStr"/>
      <c r="M339" s="23" t="inlineStr"/>
      <c r="N339" s="14" t="inlineStr">
        <is>
          <t>10 EVIDENCE &amp; DECISIONS</t>
        </is>
      </c>
    </row>
    <row r="340" ht="34" customHeight="1">
      <c r="A340" s="23" t="inlineStr">
        <is>
          <t>Contractor Programme</t>
        </is>
      </c>
      <c r="B340" s="23" t="inlineStr">
        <is>
          <t>SCH-02-077</t>
        </is>
      </c>
      <c r="C340" s="23" t="inlineStr">
        <is>
          <t>Market Station: concourse slab pour - turnover</t>
        </is>
      </c>
      <c r="D340" s="23" t="inlineStr">
        <is>
          <t>WBS Code = 1.2.1</t>
        </is>
      </c>
      <c r="E340" s="23" t="inlineStr">
        <is>
          <t>R257-v2</t>
        </is>
      </c>
      <c r="F340" s="23" t="inlineStr">
        <is>
          <t>1.2.1 Stations - Station Structures</t>
        </is>
      </c>
      <c r="G340" s="23" t="inlineStr">
        <is>
          <t>ONE_TO_ONE</t>
        </is>
      </c>
      <c r="H340" s="23" t="inlineStr">
        <is>
          <t>RETAINED</t>
        </is>
      </c>
      <c r="I340" s="23" t="inlineStr">
        <is>
          <t>Carried forward</t>
        </is>
      </c>
      <c r="J340" s="23" t="inlineStr">
        <is>
          <t>Source assignment -- not individually reviewed</t>
        </is>
      </c>
      <c r="K340" s="23" t="inlineStr"/>
      <c r="L340" s="23" t="inlineStr"/>
      <c r="M340" s="23" t="inlineStr"/>
      <c r="N340" s="14" t="inlineStr">
        <is>
          <t>10 EVIDENCE &amp; DECISIONS</t>
        </is>
      </c>
    </row>
    <row r="341" ht="34" customHeight="1">
      <c r="A341" s="23" t="inlineStr">
        <is>
          <t>Contractor Programme</t>
        </is>
      </c>
      <c r="B341" s="23" t="inlineStr">
        <is>
          <t>SCH-02-079</t>
        </is>
      </c>
      <c r="C341" s="23" t="inlineStr">
        <is>
          <t>University Station: public-realm paving - field start</t>
        </is>
      </c>
      <c r="D341" s="23" t="inlineStr">
        <is>
          <t>WBS Code = 1.2.1</t>
        </is>
      </c>
      <c r="E341" s="23" t="inlineStr">
        <is>
          <t>R259-v2</t>
        </is>
      </c>
      <c r="F341" s="23" t="inlineStr">
        <is>
          <t>1.2.1 Stations - Station Structures</t>
        </is>
      </c>
      <c r="G341" s="23" t="inlineStr">
        <is>
          <t>ONE_TO_ONE</t>
        </is>
      </c>
      <c r="H341" s="23" t="inlineStr">
        <is>
          <t>RETAINED</t>
        </is>
      </c>
      <c r="I341" s="23" t="inlineStr">
        <is>
          <t>Carried forward</t>
        </is>
      </c>
      <c r="J341" s="23" t="inlineStr">
        <is>
          <t>Source assignment -- not individually reviewed</t>
        </is>
      </c>
      <c r="K341" s="23" t="inlineStr"/>
      <c r="L341" s="23" t="inlineStr"/>
      <c r="M341" s="23" t="inlineStr"/>
      <c r="N341" s="14" t="inlineStr">
        <is>
          <t>10 EVIDENCE &amp; DECISIONS</t>
        </is>
      </c>
    </row>
    <row r="342" ht="34" customHeight="1">
      <c r="A342" s="23" t="inlineStr">
        <is>
          <t>Contractor Programme</t>
        </is>
      </c>
      <c r="B342" s="23" t="inlineStr">
        <is>
          <t>SCH-02-080</t>
        </is>
      </c>
      <c r="C342" s="23" t="inlineStr">
        <is>
          <t>West Terminal: entrance steel erection - installation</t>
        </is>
      </c>
      <c r="D342" s="23" t="inlineStr">
        <is>
          <t>WBS Code = 1.2.1</t>
        </is>
      </c>
      <c r="E342" s="23" t="inlineStr">
        <is>
          <t>R260-v2</t>
        </is>
      </c>
      <c r="F342" s="23" t="inlineStr">
        <is>
          <t>1.2.1 Stations - Station Structures</t>
        </is>
      </c>
      <c r="G342" s="23" t="inlineStr">
        <is>
          <t>ONE_TO_ONE</t>
        </is>
      </c>
      <c r="H342" s="23" t="inlineStr">
        <is>
          <t>RETAINED</t>
        </is>
      </c>
      <c r="I342" s="23" t="inlineStr">
        <is>
          <t>Carried forward</t>
        </is>
      </c>
      <c r="J342" s="23" t="inlineStr">
        <is>
          <t>Source assignment -- not individually reviewed</t>
        </is>
      </c>
      <c r="K342" s="23" t="inlineStr"/>
      <c r="L342" s="23" t="inlineStr"/>
      <c r="M342" s="23" t="inlineStr"/>
      <c r="N342" s="14" t="inlineStr">
        <is>
          <t>10 EVIDENCE &amp; DECISIONS</t>
        </is>
      </c>
    </row>
    <row r="343" ht="34" customHeight="1">
      <c r="A343" s="23" t="inlineStr">
        <is>
          <t>Contractor Programme</t>
        </is>
      </c>
      <c r="B343" s="23" t="inlineStr">
        <is>
          <t>SCH-02-082</t>
        </is>
      </c>
      <c r="C343" s="23" t="inlineStr">
        <is>
          <t>Market Station: platform edge installation - turnover</t>
        </is>
      </c>
      <c r="D343" s="23" t="inlineStr">
        <is>
          <t>WBS Code = 1.2.1</t>
        </is>
      </c>
      <c r="E343" s="23" t="inlineStr">
        <is>
          <t>R262-v2</t>
        </is>
      </c>
      <c r="F343" s="23" t="inlineStr">
        <is>
          <t>1.2.1 Stations - Station Structures</t>
        </is>
      </c>
      <c r="G343" s="23" t="inlineStr">
        <is>
          <t>ONE_TO_ONE</t>
        </is>
      </c>
      <c r="H343" s="23" t="inlineStr">
        <is>
          <t>RETAINED</t>
        </is>
      </c>
      <c r="I343" s="23" t="inlineStr">
        <is>
          <t>Carried forward</t>
        </is>
      </c>
      <c r="J343" s="23" t="inlineStr">
        <is>
          <t>Source assignment -- not individually reviewed</t>
        </is>
      </c>
      <c r="K343" s="23" t="inlineStr"/>
      <c r="L343" s="23" t="inlineStr"/>
      <c r="M343" s="23" t="inlineStr"/>
      <c r="N343" s="14" t="inlineStr">
        <is>
          <t>10 EVIDENCE &amp; DECISIONS</t>
        </is>
      </c>
    </row>
    <row r="344" ht="34" customHeight="1">
      <c r="A344" s="23" t="inlineStr">
        <is>
          <t>Contractor Programme</t>
        </is>
      </c>
      <c r="B344" s="23" t="inlineStr">
        <is>
          <t>SCH-02-083</t>
        </is>
      </c>
      <c r="C344" s="23" t="inlineStr">
        <is>
          <t>Civic Station: architectural wall framing - release</t>
        </is>
      </c>
      <c r="D344" s="23" t="inlineStr">
        <is>
          <t>WBS Code = 1.2.1</t>
        </is>
      </c>
      <c r="E344" s="23" t="inlineStr">
        <is>
          <t>R263-v2</t>
        </is>
      </c>
      <c r="F344" s="23" t="inlineStr">
        <is>
          <t>1.2.1 Stations - Station Structures</t>
        </is>
      </c>
      <c r="G344" s="23" t="inlineStr">
        <is>
          <t>ONE_TO_ONE</t>
        </is>
      </c>
      <c r="H344" s="23" t="inlineStr">
        <is>
          <t>RETAINED</t>
        </is>
      </c>
      <c r="I344" s="23" t="inlineStr">
        <is>
          <t>Carried forward</t>
        </is>
      </c>
      <c r="J344" s="23" t="inlineStr">
        <is>
          <t>Source assignment -- not individually reviewed</t>
        </is>
      </c>
      <c r="K344" s="23" t="inlineStr"/>
      <c r="L344" s="23" t="inlineStr"/>
      <c r="M344" s="23" t="inlineStr"/>
      <c r="N344" s="14" t="inlineStr">
        <is>
          <t>10 EVIDENCE &amp; DECISIONS</t>
        </is>
      </c>
    </row>
    <row r="345" ht="34" customHeight="1">
      <c r="A345" s="23" t="inlineStr">
        <is>
          <t>Contractor Programme</t>
        </is>
      </c>
      <c r="B345" s="23" t="inlineStr">
        <is>
          <t>SCH-02-085</t>
        </is>
      </c>
      <c r="C345" s="23" t="inlineStr">
        <is>
          <t>West Terminal: concourse slab pour - installation</t>
        </is>
      </c>
      <c r="D345" s="23" t="inlineStr">
        <is>
          <t>WBS Code = 1.2.1</t>
        </is>
      </c>
      <c r="E345" s="23" t="inlineStr">
        <is>
          <t>R265-v2</t>
        </is>
      </c>
      <c r="F345" s="23" t="inlineStr">
        <is>
          <t>1.2.1 Stations - Station Structures</t>
        </is>
      </c>
      <c r="G345" s="23" t="inlineStr">
        <is>
          <t>ONE_TO_ONE</t>
        </is>
      </c>
      <c r="H345" s="23" t="inlineStr">
        <is>
          <t>RETAINED</t>
        </is>
      </c>
      <c r="I345" s="23" t="inlineStr">
        <is>
          <t>Carried forward</t>
        </is>
      </c>
      <c r="J345" s="23" t="inlineStr">
        <is>
          <t>Source assignment -- not individually reviewed</t>
        </is>
      </c>
      <c r="K345" s="23" t="inlineStr"/>
      <c r="L345" s="23" t="inlineStr"/>
      <c r="M345" s="23" t="inlineStr"/>
      <c r="N345" s="14" t="inlineStr">
        <is>
          <t>10 EVIDENCE &amp; DECISIONS</t>
        </is>
      </c>
    </row>
    <row r="346" ht="34" customHeight="1">
      <c r="A346" s="23" t="inlineStr">
        <is>
          <t>Contractor Programme</t>
        </is>
      </c>
      <c r="B346" s="23" t="inlineStr">
        <is>
          <t>SCH-02-086</t>
        </is>
      </c>
      <c r="C346" s="23" t="inlineStr">
        <is>
          <t>Harbour Station: station ventilation rough-in - inspection</t>
        </is>
      </c>
      <c r="D346" s="23" t="inlineStr">
        <is>
          <t>WBS Code = 1.2.1</t>
        </is>
      </c>
      <c r="E346" s="23" t="inlineStr">
        <is>
          <t>R266-v2</t>
        </is>
      </c>
      <c r="F346" s="23" t="inlineStr">
        <is>
          <t>1.2.1 Stations - Station Structures</t>
        </is>
      </c>
      <c r="G346" s="23" t="inlineStr">
        <is>
          <t>ONE_TO_ONE</t>
        </is>
      </c>
      <c r="H346" s="23" t="inlineStr">
        <is>
          <t>RETAINED</t>
        </is>
      </c>
      <c r="I346" s="23" t="inlineStr">
        <is>
          <t>Carried forward</t>
        </is>
      </c>
      <c r="J346" s="23" t="inlineStr">
        <is>
          <t>Source assignment -- not individually reviewed</t>
        </is>
      </c>
      <c r="K346" s="23" t="inlineStr"/>
      <c r="L346" s="23" t="inlineStr"/>
      <c r="M346" s="23" t="inlineStr"/>
      <c r="N346" s="14" t="inlineStr">
        <is>
          <t>10 EVIDENCE &amp; DECISIONS</t>
        </is>
      </c>
    </row>
    <row r="347" ht="34" customHeight="1">
      <c r="A347" s="23" t="inlineStr">
        <is>
          <t>Contractor Programme</t>
        </is>
      </c>
      <c r="B347" s="23" t="inlineStr">
        <is>
          <t>SCH-02-088</t>
        </is>
      </c>
      <c r="C347" s="23" t="inlineStr">
        <is>
          <t>Civic Station: entrance steel erection - release</t>
        </is>
      </c>
      <c r="D347" s="23" t="inlineStr">
        <is>
          <t>WBS Code = 1.2.1</t>
        </is>
      </c>
      <c r="E347" s="23" t="inlineStr">
        <is>
          <t>R268-v2</t>
        </is>
      </c>
      <c r="F347" s="23" t="inlineStr">
        <is>
          <t>1.2.1 Stations - Station Structures</t>
        </is>
      </c>
      <c r="G347" s="23" t="inlineStr">
        <is>
          <t>ONE_TO_ONE</t>
        </is>
      </c>
      <c r="H347" s="23" t="inlineStr">
        <is>
          <t>RETAINED</t>
        </is>
      </c>
      <c r="I347" s="23" t="inlineStr">
        <is>
          <t>Carried forward</t>
        </is>
      </c>
      <c r="J347" s="23" t="inlineStr">
        <is>
          <t>Source assignment -- not individually reviewed</t>
        </is>
      </c>
      <c r="K347" s="23" t="inlineStr"/>
      <c r="L347" s="23" t="inlineStr"/>
      <c r="M347" s="23" t="inlineStr"/>
      <c r="N347" s="14" t="inlineStr">
        <is>
          <t>10 EVIDENCE &amp; DECISIONS</t>
        </is>
      </c>
    </row>
    <row r="348" ht="49" customHeight="1">
      <c r="A348" s="23" t="inlineStr">
        <is>
          <t>Contractor Programme</t>
        </is>
      </c>
      <c r="B348" s="23" t="inlineStr">
        <is>
          <t>SCH-02-089</t>
        </is>
      </c>
      <c r="C348" s="23" t="inlineStr">
        <is>
          <t>University Station: vertical-transport installation - field start</t>
        </is>
      </c>
      <c r="D348" s="23" t="inlineStr">
        <is>
          <t>WBS Code = 1.2.1</t>
        </is>
      </c>
      <c r="E348" s="23" t="inlineStr">
        <is>
          <t>R269-v2</t>
        </is>
      </c>
      <c r="F348" s="23" t="inlineStr">
        <is>
          <t>1.2.1 Stations - Station Structures</t>
        </is>
      </c>
      <c r="G348" s="23" t="inlineStr">
        <is>
          <t>ONE_TO_ONE</t>
        </is>
      </c>
      <c r="H348" s="23" t="inlineStr">
        <is>
          <t>RETAINED</t>
        </is>
      </c>
      <c r="I348" s="23" t="inlineStr">
        <is>
          <t>Carried forward</t>
        </is>
      </c>
      <c r="J348" s="23" t="inlineStr">
        <is>
          <t>Source assignment -- not individually reviewed</t>
        </is>
      </c>
      <c r="K348" s="23" t="inlineStr"/>
      <c r="L348" s="23" t="inlineStr"/>
      <c r="M348" s="23" t="inlineStr"/>
      <c r="N348" s="14" t="inlineStr">
        <is>
          <t>10 EVIDENCE &amp; DECISIONS</t>
        </is>
      </c>
    </row>
    <row r="349" ht="34" customHeight="1">
      <c r="A349" s="23" t="inlineStr">
        <is>
          <t>Contractor Programme</t>
        </is>
      </c>
      <c r="B349" s="23" t="inlineStr">
        <is>
          <t>SCH-02-091</t>
        </is>
      </c>
      <c r="C349" s="23" t="inlineStr">
        <is>
          <t>Harbour Station: architectural wall framing - inspection</t>
        </is>
      </c>
      <c r="D349" s="23" t="inlineStr">
        <is>
          <t>WBS Code = 1.2.1</t>
        </is>
      </c>
      <c r="E349" s="23" t="inlineStr">
        <is>
          <t>R271-v2</t>
        </is>
      </c>
      <c r="F349" s="23" t="inlineStr">
        <is>
          <t>1.2.1 Stations - Station Structures</t>
        </is>
      </c>
      <c r="G349" s="23" t="inlineStr">
        <is>
          <t>ONE_TO_ONE</t>
        </is>
      </c>
      <c r="H349" s="23" t="inlineStr">
        <is>
          <t>RETAINED</t>
        </is>
      </c>
      <c r="I349" s="23" t="inlineStr">
        <is>
          <t>Carried forward</t>
        </is>
      </c>
      <c r="J349" s="23" t="inlineStr">
        <is>
          <t>Source assignment -- not individually reviewed</t>
        </is>
      </c>
      <c r="K349" s="23" t="inlineStr"/>
      <c r="L349" s="23" t="inlineStr"/>
      <c r="M349" s="23" t="inlineStr"/>
      <c r="N349" s="14" t="inlineStr">
        <is>
          <t>10 EVIDENCE &amp; DECISIONS</t>
        </is>
      </c>
    </row>
    <row r="350" ht="34" customHeight="1">
      <c r="A350" s="23" t="inlineStr">
        <is>
          <t>Contractor Programme</t>
        </is>
      </c>
      <c r="B350" s="23" t="inlineStr">
        <is>
          <t>SCH-02-092</t>
        </is>
      </c>
      <c r="C350" s="23" t="inlineStr">
        <is>
          <t>Market Station: fire-life-safety cabling - turnover</t>
        </is>
      </c>
      <c r="D350" s="23" t="inlineStr">
        <is>
          <t>WBS Code = 1.2.1</t>
        </is>
      </c>
      <c r="E350" s="23" t="inlineStr">
        <is>
          <t>R272-v2</t>
        </is>
      </c>
      <c r="F350" s="23" t="inlineStr">
        <is>
          <t>1.2.1 Stations - Station Structures</t>
        </is>
      </c>
      <c r="G350" s="23" t="inlineStr">
        <is>
          <t>ONE_TO_ONE</t>
        </is>
      </c>
      <c r="H350" s="23" t="inlineStr">
        <is>
          <t>RETAINED</t>
        </is>
      </c>
      <c r="I350" s="23" t="inlineStr">
        <is>
          <t>Carried forward</t>
        </is>
      </c>
      <c r="J350" s="23" t="inlineStr">
        <is>
          <t>Source assignment -- not individually reviewed</t>
        </is>
      </c>
      <c r="K350" s="23" t="inlineStr"/>
      <c r="L350" s="23" t="inlineStr"/>
      <c r="M350" s="23" t="inlineStr"/>
      <c r="N350" s="14" t="inlineStr">
        <is>
          <t>10 EVIDENCE &amp; DECISIONS</t>
        </is>
      </c>
    </row>
    <row r="351" ht="34" customHeight="1">
      <c r="A351" s="23" t="inlineStr">
        <is>
          <t>Contractor Programme</t>
        </is>
      </c>
      <c r="B351" s="23" t="inlineStr">
        <is>
          <t>SCH-02-094</t>
        </is>
      </c>
      <c r="C351" s="23" t="inlineStr">
        <is>
          <t>University Station: station ventilation rough-in - field start</t>
        </is>
      </c>
      <c r="D351" s="23" t="inlineStr">
        <is>
          <t>WBS Code = 1.2.1</t>
        </is>
      </c>
      <c r="E351" s="23" t="inlineStr">
        <is>
          <t>R274-v2</t>
        </is>
      </c>
      <c r="F351" s="23" t="inlineStr">
        <is>
          <t>1.2.1 Stations - Station Structures</t>
        </is>
      </c>
      <c r="G351" s="23" t="inlineStr">
        <is>
          <t>ONE_TO_ONE</t>
        </is>
      </c>
      <c r="H351" s="23" t="inlineStr">
        <is>
          <t>RETAINED</t>
        </is>
      </c>
      <c r="I351" s="23" t="inlineStr">
        <is>
          <t>Carried forward</t>
        </is>
      </c>
      <c r="J351" s="23" t="inlineStr">
        <is>
          <t>Source assignment -- not individually reviewed</t>
        </is>
      </c>
      <c r="K351" s="23" t="inlineStr"/>
      <c r="L351" s="23" t="inlineStr"/>
      <c r="M351" s="23" t="inlineStr"/>
      <c r="N351" s="14" t="inlineStr">
        <is>
          <t>10 EVIDENCE &amp; DECISIONS</t>
        </is>
      </c>
    </row>
    <row r="352" ht="34" customHeight="1">
      <c r="A352" s="23" t="inlineStr">
        <is>
          <t>Contractor Programme</t>
        </is>
      </c>
      <c r="B352" s="23" t="inlineStr">
        <is>
          <t>SCH-02-095</t>
        </is>
      </c>
      <c r="C352" s="23" t="inlineStr">
        <is>
          <t>West Terminal: public-realm paving - installation</t>
        </is>
      </c>
      <c r="D352" s="23" t="inlineStr">
        <is>
          <t>WBS Code = 1.2.1</t>
        </is>
      </c>
      <c r="E352" s="23" t="inlineStr">
        <is>
          <t>R275-v2</t>
        </is>
      </c>
      <c r="F352" s="23" t="inlineStr">
        <is>
          <t>1.2.1 Stations - Station Structures</t>
        </is>
      </c>
      <c r="G352" s="23" t="inlineStr">
        <is>
          <t>ONE_TO_ONE</t>
        </is>
      </c>
      <c r="H352" s="23" t="inlineStr">
        <is>
          <t>RETAINED</t>
        </is>
      </c>
      <c r="I352" s="23" t="inlineStr">
        <is>
          <t>Carried forward</t>
        </is>
      </c>
      <c r="J352" s="23" t="inlineStr">
        <is>
          <t>Source assignment -- not individually reviewed</t>
        </is>
      </c>
      <c r="K352" s="23" t="inlineStr"/>
      <c r="L352" s="23" t="inlineStr"/>
      <c r="M352" s="23" t="inlineStr"/>
      <c r="N352" s="14" t="inlineStr">
        <is>
          <t>10 EVIDENCE &amp; DECISIONS</t>
        </is>
      </c>
    </row>
    <row r="353" ht="34" customHeight="1">
      <c r="A353" s="23" t="inlineStr">
        <is>
          <t>Contractor Programme</t>
        </is>
      </c>
      <c r="B353" s="23" t="inlineStr">
        <is>
          <t>SCH-02-097</t>
        </is>
      </c>
      <c r="C353" s="23" t="inlineStr">
        <is>
          <t>Market Station: vertical-transport installation - turnover</t>
        </is>
      </c>
      <c r="D353" s="23" t="inlineStr">
        <is>
          <t>WBS Code = 1.2.1</t>
        </is>
      </c>
      <c r="E353" s="23" t="inlineStr">
        <is>
          <t>R277-v2</t>
        </is>
      </c>
      <c r="F353" s="23" t="inlineStr">
        <is>
          <t>1.2.1 Stations - Station Structures</t>
        </is>
      </c>
      <c r="G353" s="23" t="inlineStr">
        <is>
          <t>ONE_TO_ONE</t>
        </is>
      </c>
      <c r="H353" s="23" t="inlineStr">
        <is>
          <t>RETAINED</t>
        </is>
      </c>
      <c r="I353" s="23" t="inlineStr">
        <is>
          <t>Carried forward</t>
        </is>
      </c>
      <c r="J353" s="23" t="inlineStr">
        <is>
          <t>Source assignment -- not individually reviewed</t>
        </is>
      </c>
      <c r="K353" s="23" t="inlineStr"/>
      <c r="L353" s="23" t="inlineStr"/>
      <c r="M353" s="23" t="inlineStr"/>
      <c r="N353" s="14" t="inlineStr">
        <is>
          <t>10 EVIDENCE &amp; DECISIONS</t>
        </is>
      </c>
    </row>
    <row r="354" ht="34" customHeight="1">
      <c r="A354" s="23" t="inlineStr">
        <is>
          <t>Contractor Programme</t>
        </is>
      </c>
      <c r="B354" s="23" t="inlineStr">
        <is>
          <t>SCH-02-098</t>
        </is>
      </c>
      <c r="C354" s="23" t="inlineStr">
        <is>
          <t>Civic Station: platform edge installation - release</t>
        </is>
      </c>
      <c r="D354" s="23" t="inlineStr">
        <is>
          <t>WBS Code = 1.2.1</t>
        </is>
      </c>
      <c r="E354" s="23" t="inlineStr">
        <is>
          <t>R278-v2</t>
        </is>
      </c>
      <c r="F354" s="23" t="inlineStr">
        <is>
          <t>1.2.1 Stations - Station Structures</t>
        </is>
      </c>
      <c r="G354" s="23" t="inlineStr">
        <is>
          <t>ONE_TO_ONE</t>
        </is>
      </c>
      <c r="H354" s="23" t="inlineStr">
        <is>
          <t>RETAINED</t>
        </is>
      </c>
      <c r="I354" s="23" t="inlineStr">
        <is>
          <t>Carried forward</t>
        </is>
      </c>
      <c r="J354" s="23" t="inlineStr">
        <is>
          <t>Source assignment -- not individually reviewed</t>
        </is>
      </c>
      <c r="K354" s="23" t="inlineStr"/>
      <c r="L354" s="23" t="inlineStr"/>
      <c r="M354" s="23" t="inlineStr"/>
      <c r="N354" s="14" t="inlineStr">
        <is>
          <t>10 EVIDENCE &amp; DECISIONS</t>
        </is>
      </c>
    </row>
    <row r="355" ht="34" customHeight="1">
      <c r="A355" s="23" t="inlineStr">
        <is>
          <t>Contractor Programme</t>
        </is>
      </c>
      <c r="B355" s="23" t="inlineStr">
        <is>
          <t>SCH-02-100</t>
        </is>
      </c>
      <c r="C355" s="23" t="inlineStr">
        <is>
          <t>West Terminal: fire-life-safety cabling - installation</t>
        </is>
      </c>
      <c r="D355" s="23" t="inlineStr">
        <is>
          <t>WBS Code = 1.2.1</t>
        </is>
      </c>
      <c r="E355" s="23" t="inlineStr">
        <is>
          <t>R280-v2</t>
        </is>
      </c>
      <c r="F355" s="23" t="inlineStr">
        <is>
          <t>1.2.1 Stations - Station Structures</t>
        </is>
      </c>
      <c r="G355" s="23" t="inlineStr">
        <is>
          <t>ONE_TO_ONE</t>
        </is>
      </c>
      <c r="H355" s="23" t="inlineStr">
        <is>
          <t>RETAINED</t>
        </is>
      </c>
      <c r="I355" s="23" t="inlineStr">
        <is>
          <t>Carried forward</t>
        </is>
      </c>
      <c r="J355" s="23" t="inlineStr">
        <is>
          <t>Source assignment -- not individually reviewed</t>
        </is>
      </c>
      <c r="K355" s="23" t="inlineStr"/>
      <c r="L355" s="23" t="inlineStr"/>
      <c r="M355" s="23" t="inlineStr"/>
      <c r="N355" s="14" t="inlineStr">
        <is>
          <t>10 EVIDENCE &amp; DECISIONS</t>
        </is>
      </c>
    </row>
    <row r="356" ht="34" customHeight="1">
      <c r="A356" s="23" t="inlineStr">
        <is>
          <t>Contractor Programme</t>
        </is>
      </c>
      <c r="B356" s="23" t="inlineStr">
        <is>
          <t>SCH-02-101</t>
        </is>
      </c>
      <c r="C356" s="23" t="inlineStr">
        <is>
          <t>Harbour Station: concourse slab pour - inspection</t>
        </is>
      </c>
      <c r="D356" s="23" t="inlineStr">
        <is>
          <t>WBS Code = 1.2.1</t>
        </is>
      </c>
      <c r="E356" s="23" t="inlineStr">
        <is>
          <t>R281-v2</t>
        </is>
      </c>
      <c r="F356" s="23" t="inlineStr">
        <is>
          <t>1.2.1 Stations - Station Structures</t>
        </is>
      </c>
      <c r="G356" s="23" t="inlineStr">
        <is>
          <t>ONE_TO_ONE</t>
        </is>
      </c>
      <c r="H356" s="23" t="inlineStr">
        <is>
          <t>RETAINED</t>
        </is>
      </c>
      <c r="I356" s="23" t="inlineStr">
        <is>
          <t>Carried forward</t>
        </is>
      </c>
      <c r="J356" s="23" t="inlineStr">
        <is>
          <t>Source assignment -- not individually reviewed</t>
        </is>
      </c>
      <c r="K356" s="23" t="inlineStr"/>
      <c r="L356" s="23" t="inlineStr"/>
      <c r="M356" s="23" t="inlineStr"/>
      <c r="N356" s="14" t="inlineStr">
        <is>
          <t>10 EVIDENCE &amp; DECISIONS</t>
        </is>
      </c>
    </row>
    <row r="357" ht="34" customHeight="1">
      <c r="A357" s="23" t="inlineStr">
        <is>
          <t>Contractor Programme</t>
        </is>
      </c>
      <c r="B357" s="23" t="inlineStr">
        <is>
          <t>SCH-02-103</t>
        </is>
      </c>
      <c r="C357" s="23" t="inlineStr">
        <is>
          <t>Civic Station: public-realm paving - release</t>
        </is>
      </c>
      <c r="D357" s="23" t="inlineStr">
        <is>
          <t>WBS Code = 1.2.1</t>
        </is>
      </c>
      <c r="E357" s="23" t="inlineStr">
        <is>
          <t>R283-v2</t>
        </is>
      </c>
      <c r="F357" s="23" t="inlineStr">
        <is>
          <t>1.2.1 Stations - Station Structures</t>
        </is>
      </c>
      <c r="G357" s="23" t="inlineStr">
        <is>
          <t>ONE_TO_ONE</t>
        </is>
      </c>
      <c r="H357" s="23" t="inlineStr">
        <is>
          <t>RETAINED</t>
        </is>
      </c>
      <c r="I357" s="23" t="inlineStr">
        <is>
          <t>Carried forward</t>
        </is>
      </c>
      <c r="J357" s="23" t="inlineStr">
        <is>
          <t>Source assignment -- not individually reviewed</t>
        </is>
      </c>
      <c r="K357" s="23" t="inlineStr"/>
      <c r="L357" s="23" t="inlineStr"/>
      <c r="M357" s="23" t="inlineStr"/>
      <c r="N357" s="14" t="inlineStr">
        <is>
          <t>10 EVIDENCE &amp; DECISIONS</t>
        </is>
      </c>
    </row>
    <row r="358" ht="34" customHeight="1">
      <c r="A358" s="23" t="inlineStr">
        <is>
          <t>Contractor Programme</t>
        </is>
      </c>
      <c r="B358" s="23" t="inlineStr">
        <is>
          <t>SCH-02-104</t>
        </is>
      </c>
      <c r="C358" s="23" t="inlineStr">
        <is>
          <t>University Station: entrance steel erection - field start</t>
        </is>
      </c>
      <c r="D358" s="23" t="inlineStr">
        <is>
          <t>WBS Code = 1.2.1</t>
        </is>
      </c>
      <c r="E358" s="23" t="inlineStr">
        <is>
          <t>R284-v2</t>
        </is>
      </c>
      <c r="F358" s="23" t="inlineStr">
        <is>
          <t>1.2.1 Stations - Station Structures</t>
        </is>
      </c>
      <c r="G358" s="23" t="inlineStr">
        <is>
          <t>ONE_TO_ONE</t>
        </is>
      </c>
      <c r="H358" s="23" t="inlineStr">
        <is>
          <t>RETAINED</t>
        </is>
      </c>
      <c r="I358" s="23" t="inlineStr">
        <is>
          <t>Carried forward</t>
        </is>
      </c>
      <c r="J358" s="23" t="inlineStr">
        <is>
          <t>Source assignment -- not individually reviewed</t>
        </is>
      </c>
      <c r="K358" s="23" t="inlineStr"/>
      <c r="L358" s="23" t="inlineStr"/>
      <c r="M358" s="23" t="inlineStr"/>
      <c r="N358" s="14" t="inlineStr">
        <is>
          <t>10 EVIDENCE &amp; DECISIONS</t>
        </is>
      </c>
    </row>
    <row r="359" ht="34" customHeight="1">
      <c r="A359" s="23" t="inlineStr">
        <is>
          <t>Contractor Programme</t>
        </is>
      </c>
      <c r="B359" s="23" t="inlineStr">
        <is>
          <t>SCH-02-106</t>
        </is>
      </c>
      <c r="C359" s="23" t="inlineStr">
        <is>
          <t>Harbour Station: platform edge installation - inspection</t>
        </is>
      </c>
      <c r="D359" s="23" t="inlineStr">
        <is>
          <t>WBS Code = 1.2.1</t>
        </is>
      </c>
      <c r="E359" s="23" t="inlineStr">
        <is>
          <t>R286-v2</t>
        </is>
      </c>
      <c r="F359" s="23" t="inlineStr">
        <is>
          <t>1.2.1 Stations - Station Structures</t>
        </is>
      </c>
      <c r="G359" s="23" t="inlineStr">
        <is>
          <t>ONE_TO_ONE</t>
        </is>
      </c>
      <c r="H359" s="23" t="inlineStr">
        <is>
          <t>RETAINED</t>
        </is>
      </c>
      <c r="I359" s="23" t="inlineStr">
        <is>
          <t>Carried forward</t>
        </is>
      </c>
      <c r="J359" s="23" t="inlineStr">
        <is>
          <t>Source assignment -- not individually reviewed</t>
        </is>
      </c>
      <c r="K359" s="23" t="inlineStr"/>
      <c r="L359" s="23" t="inlineStr"/>
      <c r="M359" s="23" t="inlineStr"/>
      <c r="N359" s="14" t="inlineStr">
        <is>
          <t>10 EVIDENCE &amp; DECISIONS</t>
        </is>
      </c>
    </row>
    <row r="360" ht="34" customHeight="1">
      <c r="A360" s="23" t="inlineStr">
        <is>
          <t>Contractor Programme</t>
        </is>
      </c>
      <c r="B360" s="23" t="inlineStr">
        <is>
          <t>SCH-02-107</t>
        </is>
      </c>
      <c r="C360" s="23" t="inlineStr">
        <is>
          <t>Market Station: architectural wall framing - turnover</t>
        </is>
      </c>
      <c r="D360" s="23" t="inlineStr">
        <is>
          <t>WBS Code = 1.2.1</t>
        </is>
      </c>
      <c r="E360" s="23" t="inlineStr">
        <is>
          <t>R287-v2</t>
        </is>
      </c>
      <c r="F360" s="23" t="inlineStr">
        <is>
          <t>1.2.1 Stations - Station Structures</t>
        </is>
      </c>
      <c r="G360" s="23" t="inlineStr">
        <is>
          <t>ONE_TO_ONE</t>
        </is>
      </c>
      <c r="H360" s="23" t="inlineStr">
        <is>
          <t>RETAINED</t>
        </is>
      </c>
      <c r="I360" s="23" t="inlineStr">
        <is>
          <t>Carried forward</t>
        </is>
      </c>
      <c r="J360" s="23" t="inlineStr">
        <is>
          <t>Source assignment -- not individually reviewed</t>
        </is>
      </c>
      <c r="K360" s="23" t="inlineStr"/>
      <c r="L360" s="23" t="inlineStr"/>
      <c r="M360" s="23" t="inlineStr"/>
      <c r="N360" s="14" t="inlineStr">
        <is>
          <t>10 EVIDENCE &amp; DECISIONS</t>
        </is>
      </c>
    </row>
    <row r="361" ht="34" customHeight="1">
      <c r="A361" s="23" t="inlineStr">
        <is>
          <t>Contractor Programme</t>
        </is>
      </c>
      <c r="B361" s="23" t="inlineStr">
        <is>
          <t>SCH-02-109</t>
        </is>
      </c>
      <c r="C361" s="23" t="inlineStr">
        <is>
          <t>University Station: concourse slab pour - field start</t>
        </is>
      </c>
      <c r="D361" s="23" t="inlineStr">
        <is>
          <t>WBS Code = 1.2.1</t>
        </is>
      </c>
      <c r="E361" s="23" t="inlineStr">
        <is>
          <t>R289-v2</t>
        </is>
      </c>
      <c r="F361" s="23" t="inlineStr">
        <is>
          <t>1.2.1 Stations - Station Structures</t>
        </is>
      </c>
      <c r="G361" s="23" t="inlineStr">
        <is>
          <t>ONE_TO_ONE</t>
        </is>
      </c>
      <c r="H361" s="23" t="inlineStr">
        <is>
          <t>RETAINED</t>
        </is>
      </c>
      <c r="I361" s="23" t="inlineStr">
        <is>
          <t>Carried forward</t>
        </is>
      </c>
      <c r="J361" s="23" t="inlineStr">
        <is>
          <t>Source assignment -- not individually reviewed</t>
        </is>
      </c>
      <c r="K361" s="23" t="inlineStr"/>
      <c r="L361" s="23" t="inlineStr"/>
      <c r="M361" s="23" t="inlineStr"/>
      <c r="N361" s="14" t="inlineStr">
        <is>
          <t>10 EVIDENCE &amp; DECISIONS</t>
        </is>
      </c>
    </row>
    <row r="362" ht="34" customHeight="1">
      <c r="A362" s="23" t="inlineStr">
        <is>
          <t>Contractor Programme</t>
        </is>
      </c>
      <c r="B362" s="23" t="inlineStr">
        <is>
          <t>SCH-02-110</t>
        </is>
      </c>
      <c r="C362" s="23" t="inlineStr">
        <is>
          <t>West Terminal: station ventilation rough-in - installation</t>
        </is>
      </c>
      <c r="D362" s="23" t="inlineStr">
        <is>
          <t>WBS Code = 1.2.1</t>
        </is>
      </c>
      <c r="E362" s="23" t="inlineStr">
        <is>
          <t>R290-v2</t>
        </is>
      </c>
      <c r="F362" s="23" t="inlineStr">
        <is>
          <t>1.2.1 Stations - Station Structures</t>
        </is>
      </c>
      <c r="G362" s="23" t="inlineStr">
        <is>
          <t>ONE_TO_ONE</t>
        </is>
      </c>
      <c r="H362" s="23" t="inlineStr">
        <is>
          <t>RETAINED</t>
        </is>
      </c>
      <c r="I362" s="23" t="inlineStr">
        <is>
          <t>Carried forward</t>
        </is>
      </c>
      <c r="J362" s="23" t="inlineStr">
        <is>
          <t>Source assignment -- not individually reviewed</t>
        </is>
      </c>
      <c r="K362" s="23" t="inlineStr"/>
      <c r="L362" s="23" t="inlineStr"/>
      <c r="M362" s="23" t="inlineStr"/>
      <c r="N362" s="14" t="inlineStr">
        <is>
          <t>10 EVIDENCE &amp; DECISIONS</t>
        </is>
      </c>
    </row>
    <row r="363" ht="34" customHeight="1">
      <c r="A363" s="23" t="inlineStr">
        <is>
          <t>Contractor Programme</t>
        </is>
      </c>
      <c r="B363" s="23" t="inlineStr">
        <is>
          <t>SCH-02-112</t>
        </is>
      </c>
      <c r="C363" s="23" t="inlineStr">
        <is>
          <t>Market Station: entrance steel erection - turnover</t>
        </is>
      </c>
      <c r="D363" s="23" t="inlineStr">
        <is>
          <t>WBS Code = 1.2.1</t>
        </is>
      </c>
      <c r="E363" s="23" t="inlineStr">
        <is>
          <t>R292-v2</t>
        </is>
      </c>
      <c r="F363" s="23" t="inlineStr">
        <is>
          <t>1.2.1 Stations - Station Structures</t>
        </is>
      </c>
      <c r="G363" s="23" t="inlineStr">
        <is>
          <t>ONE_TO_ONE</t>
        </is>
      </c>
      <c r="H363" s="23" t="inlineStr">
        <is>
          <t>RETAINED</t>
        </is>
      </c>
      <c r="I363" s="23" t="inlineStr">
        <is>
          <t>Carried forward</t>
        </is>
      </c>
      <c r="J363" s="23" t="inlineStr">
        <is>
          <t>Source assignment -- not individually reviewed</t>
        </is>
      </c>
      <c r="K363" s="23" t="inlineStr"/>
      <c r="L363" s="23" t="inlineStr"/>
      <c r="M363" s="23" t="inlineStr"/>
      <c r="N363" s="14" t="inlineStr">
        <is>
          <t>10 EVIDENCE &amp; DECISIONS</t>
        </is>
      </c>
    </row>
    <row r="364" ht="34" customHeight="1">
      <c r="A364" s="23" t="inlineStr">
        <is>
          <t>Contractor Programme</t>
        </is>
      </c>
      <c r="B364" s="23" t="inlineStr">
        <is>
          <t>SCH-02-113</t>
        </is>
      </c>
      <c r="C364" s="23" t="inlineStr">
        <is>
          <t>Civic Station: vertical-transport installation - release</t>
        </is>
      </c>
      <c r="D364" s="23" t="inlineStr">
        <is>
          <t>WBS Code = 1.2.1</t>
        </is>
      </c>
      <c r="E364" s="23" t="inlineStr">
        <is>
          <t>R293-v2</t>
        </is>
      </c>
      <c r="F364" s="23" t="inlineStr">
        <is>
          <t>1.2.1 Stations - Station Structures</t>
        </is>
      </c>
      <c r="G364" s="23" t="inlineStr">
        <is>
          <t>ONE_TO_ONE</t>
        </is>
      </c>
      <c r="H364" s="23" t="inlineStr">
        <is>
          <t>RETAINED</t>
        </is>
      </c>
      <c r="I364" s="23" t="inlineStr">
        <is>
          <t>Carried forward</t>
        </is>
      </c>
      <c r="J364" s="23" t="inlineStr">
        <is>
          <t>Source assignment -- not individually reviewed</t>
        </is>
      </c>
      <c r="K364" s="23" t="inlineStr"/>
      <c r="L364" s="23" t="inlineStr"/>
      <c r="M364" s="23" t="inlineStr"/>
      <c r="N364" s="14" t="inlineStr">
        <is>
          <t>10 EVIDENCE &amp; DECISIONS</t>
        </is>
      </c>
    </row>
    <row r="365" ht="34" customHeight="1">
      <c r="A365" s="23" t="inlineStr">
        <is>
          <t>Contractor Programme</t>
        </is>
      </c>
      <c r="B365" s="23" t="inlineStr">
        <is>
          <t>SCH-02-115</t>
        </is>
      </c>
      <c r="C365" s="23" t="inlineStr">
        <is>
          <t>West Terminal: architectural wall framing - installation</t>
        </is>
      </c>
      <c r="D365" s="23" t="inlineStr">
        <is>
          <t>WBS Code = 1.2.1</t>
        </is>
      </c>
      <c r="E365" s="23" t="inlineStr">
        <is>
          <t>R295-v2</t>
        </is>
      </c>
      <c r="F365" s="23" t="inlineStr">
        <is>
          <t>1.2.1 Stations - Station Structures</t>
        </is>
      </c>
      <c r="G365" s="23" t="inlineStr">
        <is>
          <t>ONE_TO_ONE</t>
        </is>
      </c>
      <c r="H365" s="23" t="inlineStr">
        <is>
          <t>RETAINED</t>
        </is>
      </c>
      <c r="I365" s="23" t="inlineStr">
        <is>
          <t>Carried forward</t>
        </is>
      </c>
      <c r="J365" s="23" t="inlineStr">
        <is>
          <t>Source assignment -- not individually reviewed</t>
        </is>
      </c>
      <c r="K365" s="23" t="inlineStr"/>
      <c r="L365" s="23" t="inlineStr"/>
      <c r="M365" s="23" t="inlineStr"/>
      <c r="N365" s="14" t="inlineStr">
        <is>
          <t>10 EVIDENCE &amp; DECISIONS</t>
        </is>
      </c>
    </row>
    <row r="366" ht="34" customHeight="1">
      <c r="A366" s="23" t="inlineStr">
        <is>
          <t>Contractor Programme</t>
        </is>
      </c>
      <c r="B366" s="23" t="inlineStr">
        <is>
          <t>SCH-02-116</t>
        </is>
      </c>
      <c r="C366" s="23" t="inlineStr">
        <is>
          <t>Harbour Station: fire-life-safety cabling - inspection</t>
        </is>
      </c>
      <c r="D366" s="23" t="inlineStr">
        <is>
          <t>WBS Code = 1.2.1</t>
        </is>
      </c>
      <c r="E366" s="23" t="inlineStr">
        <is>
          <t>R296-v2</t>
        </is>
      </c>
      <c r="F366" s="23" t="inlineStr">
        <is>
          <t>1.2.1 Stations - Station Structures</t>
        </is>
      </c>
      <c r="G366" s="23" t="inlineStr">
        <is>
          <t>ONE_TO_ONE</t>
        </is>
      </c>
      <c r="H366" s="23" t="inlineStr">
        <is>
          <t>RETAINED</t>
        </is>
      </c>
      <c r="I366" s="23" t="inlineStr">
        <is>
          <t>Carried forward</t>
        </is>
      </c>
      <c r="J366" s="23" t="inlineStr">
        <is>
          <t>Source assignment -- not individually reviewed</t>
        </is>
      </c>
      <c r="K366" s="23" t="inlineStr"/>
      <c r="L366" s="23" t="inlineStr"/>
      <c r="M366" s="23" t="inlineStr"/>
      <c r="N366" s="14" t="inlineStr">
        <is>
          <t>10 EVIDENCE &amp; DECISIONS</t>
        </is>
      </c>
    </row>
    <row r="367" ht="34" customHeight="1">
      <c r="A367" s="23" t="inlineStr">
        <is>
          <t>Contractor Programme</t>
        </is>
      </c>
      <c r="B367" s="23" t="inlineStr">
        <is>
          <t>SCH-02-118</t>
        </is>
      </c>
      <c r="C367" s="23" t="inlineStr">
        <is>
          <t>Civic Station: station ventilation rough-in - release</t>
        </is>
      </c>
      <c r="D367" s="23" t="inlineStr">
        <is>
          <t>WBS Code = 1.2.1</t>
        </is>
      </c>
      <c r="E367" s="23" t="inlineStr">
        <is>
          <t>R298-v2</t>
        </is>
      </c>
      <c r="F367" s="23" t="inlineStr">
        <is>
          <t>1.2.1 Stations - Station Structures</t>
        </is>
      </c>
      <c r="G367" s="23" t="inlineStr">
        <is>
          <t>ONE_TO_ONE</t>
        </is>
      </c>
      <c r="H367" s="23" t="inlineStr">
        <is>
          <t>RETAINED</t>
        </is>
      </c>
      <c r="I367" s="23" t="inlineStr">
        <is>
          <t>Carried forward</t>
        </is>
      </c>
      <c r="J367" s="23" t="inlineStr">
        <is>
          <t>Source assignment -- not individually reviewed</t>
        </is>
      </c>
      <c r="K367" s="23" t="inlineStr"/>
      <c r="L367" s="23" t="inlineStr"/>
      <c r="M367" s="23" t="inlineStr"/>
      <c r="N367" s="14" t="inlineStr">
        <is>
          <t>10 EVIDENCE &amp; DECISIONS</t>
        </is>
      </c>
    </row>
    <row r="368" ht="34" customHeight="1">
      <c r="A368" s="23" t="inlineStr">
        <is>
          <t>Contractor Programme</t>
        </is>
      </c>
      <c r="B368" s="23" t="inlineStr">
        <is>
          <t>SCH-02-119</t>
        </is>
      </c>
      <c r="C368" s="23" t="inlineStr">
        <is>
          <t>University Station: public-realm paving - field start</t>
        </is>
      </c>
      <c r="D368" s="23" t="inlineStr">
        <is>
          <t>WBS Code = 1.2.1</t>
        </is>
      </c>
      <c r="E368" s="23" t="inlineStr">
        <is>
          <t>R299-v2</t>
        </is>
      </c>
      <c r="F368" s="23" t="inlineStr">
        <is>
          <t>1.2.1 Stations - Station Structures</t>
        </is>
      </c>
      <c r="G368" s="23" t="inlineStr">
        <is>
          <t>ONE_TO_ONE</t>
        </is>
      </c>
      <c r="H368" s="23" t="inlineStr">
        <is>
          <t>RETAINED</t>
        </is>
      </c>
      <c r="I368" s="23" t="inlineStr">
        <is>
          <t>Carried forward</t>
        </is>
      </c>
      <c r="J368" s="23" t="inlineStr">
        <is>
          <t>Source assignment -- not individually reviewed</t>
        </is>
      </c>
      <c r="K368" s="23" t="inlineStr"/>
      <c r="L368" s="23" t="inlineStr"/>
      <c r="M368" s="23" t="inlineStr"/>
      <c r="N368" s="14" t="inlineStr">
        <is>
          <t>10 EVIDENCE &amp; DECISIONS</t>
        </is>
      </c>
    </row>
    <row r="369" ht="34" customHeight="1">
      <c r="A369" s="23" t="inlineStr">
        <is>
          <t>Contractor Programme</t>
        </is>
      </c>
      <c r="B369" s="23" t="inlineStr">
        <is>
          <t>SCH-02-121</t>
        </is>
      </c>
      <c r="C369" s="23" t="inlineStr">
        <is>
          <t>Harbour Station: vertical-transport installation - inspection</t>
        </is>
      </c>
      <c r="D369" s="23" t="inlineStr">
        <is>
          <t>WBS Code = 1.2.1</t>
        </is>
      </c>
      <c r="E369" s="23" t="inlineStr">
        <is>
          <t>R301-v2</t>
        </is>
      </c>
      <c r="F369" s="23" t="inlineStr">
        <is>
          <t>1.2.1 Stations - Station Structures</t>
        </is>
      </c>
      <c r="G369" s="23" t="inlineStr">
        <is>
          <t>ONE_TO_ONE</t>
        </is>
      </c>
      <c r="H369" s="23" t="inlineStr">
        <is>
          <t>RETAINED</t>
        </is>
      </c>
      <c r="I369" s="23" t="inlineStr">
        <is>
          <t>Carried forward</t>
        </is>
      </c>
      <c r="J369" s="23" t="inlineStr">
        <is>
          <t>Source assignment -- not individually reviewed</t>
        </is>
      </c>
      <c r="K369" s="23" t="inlineStr"/>
      <c r="L369" s="23" t="inlineStr"/>
      <c r="M369" s="23" t="inlineStr"/>
      <c r="N369" s="14" t="inlineStr">
        <is>
          <t>10 EVIDENCE &amp; DECISIONS</t>
        </is>
      </c>
    </row>
    <row r="370" ht="34" customHeight="1">
      <c r="A370" s="23" t="inlineStr">
        <is>
          <t>Contractor Programme</t>
        </is>
      </c>
      <c r="B370" s="23" t="inlineStr">
        <is>
          <t>SCH-02-122</t>
        </is>
      </c>
      <c r="C370" s="23" t="inlineStr">
        <is>
          <t>Market Station: platform edge installation - turnover</t>
        </is>
      </c>
      <c r="D370" s="23" t="inlineStr">
        <is>
          <t>WBS Code = 1.2.1</t>
        </is>
      </c>
      <c r="E370" s="23" t="inlineStr">
        <is>
          <t>R302-v2</t>
        </is>
      </c>
      <c r="F370" s="23" t="inlineStr">
        <is>
          <t>1.2.1 Stations - Station Structures</t>
        </is>
      </c>
      <c r="G370" s="23" t="inlineStr">
        <is>
          <t>ONE_TO_ONE</t>
        </is>
      </c>
      <c r="H370" s="23" t="inlineStr">
        <is>
          <t>RETAINED</t>
        </is>
      </c>
      <c r="I370" s="23" t="inlineStr">
        <is>
          <t>Carried forward</t>
        </is>
      </c>
      <c r="J370" s="23" t="inlineStr">
        <is>
          <t>Source assignment -- not individually reviewed</t>
        </is>
      </c>
      <c r="K370" s="23" t="inlineStr"/>
      <c r="L370" s="23" t="inlineStr"/>
      <c r="M370" s="23" t="inlineStr"/>
      <c r="N370" s="14" t="inlineStr">
        <is>
          <t>10 EVIDENCE &amp; DECISIONS</t>
        </is>
      </c>
    </row>
    <row r="371" ht="34" customHeight="1">
      <c r="A371" s="23" t="inlineStr">
        <is>
          <t>Contractor Programme</t>
        </is>
      </c>
      <c r="B371" s="23" t="inlineStr">
        <is>
          <t>SCH-02-124</t>
        </is>
      </c>
      <c r="C371" s="23" t="inlineStr">
        <is>
          <t>University Station: fire-life-safety cabling - field start</t>
        </is>
      </c>
      <c r="D371" s="23" t="inlineStr">
        <is>
          <t>WBS Code = 1.2.1</t>
        </is>
      </c>
      <c r="E371" s="23" t="inlineStr">
        <is>
          <t>R304-v2</t>
        </is>
      </c>
      <c r="F371" s="23" t="inlineStr">
        <is>
          <t>1.2.1 Stations - Station Structures</t>
        </is>
      </c>
      <c r="G371" s="23" t="inlineStr">
        <is>
          <t>ONE_TO_ONE</t>
        </is>
      </c>
      <c r="H371" s="23" t="inlineStr">
        <is>
          <t>RETAINED</t>
        </is>
      </c>
      <c r="I371" s="23" t="inlineStr">
        <is>
          <t>Carried forward</t>
        </is>
      </c>
      <c r="J371" s="23" t="inlineStr">
        <is>
          <t>Source assignment -- not individually reviewed</t>
        </is>
      </c>
      <c r="K371" s="23" t="inlineStr"/>
      <c r="L371" s="23" t="inlineStr"/>
      <c r="M371" s="23" t="inlineStr"/>
      <c r="N371" s="14" t="inlineStr">
        <is>
          <t>10 EVIDENCE &amp; DECISIONS</t>
        </is>
      </c>
    </row>
    <row r="372" ht="34" customHeight="1">
      <c r="A372" s="23" t="inlineStr">
        <is>
          <t>Contractor Programme</t>
        </is>
      </c>
      <c r="B372" s="23" t="inlineStr">
        <is>
          <t>SCH-02-125</t>
        </is>
      </c>
      <c r="C372" s="23" t="inlineStr">
        <is>
          <t>West Terminal: concourse slab pour - installation</t>
        </is>
      </c>
      <c r="D372" s="23" t="inlineStr">
        <is>
          <t>WBS Code = 1.2.1</t>
        </is>
      </c>
      <c r="E372" s="23" t="inlineStr">
        <is>
          <t>R305-v2</t>
        </is>
      </c>
      <c r="F372" s="23" t="inlineStr">
        <is>
          <t>1.2.1 Stations - Station Structures</t>
        </is>
      </c>
      <c r="G372" s="23" t="inlineStr">
        <is>
          <t>ONE_TO_ONE</t>
        </is>
      </c>
      <c r="H372" s="23" t="inlineStr">
        <is>
          <t>RETAINED</t>
        </is>
      </c>
      <c r="I372" s="23" t="inlineStr">
        <is>
          <t>Carried forward</t>
        </is>
      </c>
      <c r="J372" s="23" t="inlineStr">
        <is>
          <t>Source assignment -- not individually reviewed</t>
        </is>
      </c>
      <c r="K372" s="23" t="inlineStr"/>
      <c r="L372" s="23" t="inlineStr"/>
      <c r="M372" s="23" t="inlineStr"/>
      <c r="N372" s="14" t="inlineStr">
        <is>
          <t>10 EVIDENCE &amp; DECISIONS</t>
        </is>
      </c>
    </row>
    <row r="373" ht="34" customHeight="1">
      <c r="A373" s="23" t="inlineStr">
        <is>
          <t>Contractor Programme</t>
        </is>
      </c>
      <c r="B373" s="23" t="inlineStr">
        <is>
          <t>SCH-02-127</t>
        </is>
      </c>
      <c r="C373" s="23" t="inlineStr">
        <is>
          <t>Market Station: public-realm paving - turnover</t>
        </is>
      </c>
      <c r="D373" s="23" t="inlineStr">
        <is>
          <t>WBS Code = 1.2.1</t>
        </is>
      </c>
      <c r="E373" s="23" t="inlineStr">
        <is>
          <t>R307-v2</t>
        </is>
      </c>
      <c r="F373" s="23" t="inlineStr">
        <is>
          <t>1.2.1 Stations - Station Structures</t>
        </is>
      </c>
      <c r="G373" s="23" t="inlineStr">
        <is>
          <t>ONE_TO_ONE</t>
        </is>
      </c>
      <c r="H373" s="23" t="inlineStr">
        <is>
          <t>RETAINED</t>
        </is>
      </c>
      <c r="I373" s="23" t="inlineStr">
        <is>
          <t>Carried forward</t>
        </is>
      </c>
      <c r="J373" s="23" t="inlineStr">
        <is>
          <t>Source assignment -- not individually reviewed</t>
        </is>
      </c>
      <c r="K373" s="23" t="inlineStr"/>
      <c r="L373" s="23" t="inlineStr"/>
      <c r="M373" s="23" t="inlineStr"/>
      <c r="N373" s="14" t="inlineStr">
        <is>
          <t>10 EVIDENCE &amp; DECISIONS</t>
        </is>
      </c>
    </row>
    <row r="374" ht="34" customHeight="1">
      <c r="A374" s="23" t="inlineStr">
        <is>
          <t>Contractor Programme</t>
        </is>
      </c>
      <c r="B374" s="23" t="inlineStr">
        <is>
          <t>SCH-02-128</t>
        </is>
      </c>
      <c r="C374" s="23" t="inlineStr">
        <is>
          <t>Civic Station: entrance steel erection - release</t>
        </is>
      </c>
      <c r="D374" s="23" t="inlineStr">
        <is>
          <t>WBS Code = 1.2.1</t>
        </is>
      </c>
      <c r="E374" s="23" t="inlineStr">
        <is>
          <t>R308-v2</t>
        </is>
      </c>
      <c r="F374" s="23" t="inlineStr">
        <is>
          <t>1.2.1 Stations - Station Structures</t>
        </is>
      </c>
      <c r="G374" s="23" t="inlineStr">
        <is>
          <t>ONE_TO_ONE</t>
        </is>
      </c>
      <c r="H374" s="23" t="inlineStr">
        <is>
          <t>RETAINED</t>
        </is>
      </c>
      <c r="I374" s="23" t="inlineStr">
        <is>
          <t>Carried forward</t>
        </is>
      </c>
      <c r="J374" s="23" t="inlineStr">
        <is>
          <t>Source assignment -- not individually reviewed</t>
        </is>
      </c>
      <c r="K374" s="23" t="inlineStr"/>
      <c r="L374" s="23" t="inlineStr"/>
      <c r="M374" s="23" t="inlineStr"/>
      <c r="N374" s="14" t="inlineStr">
        <is>
          <t>10 EVIDENCE &amp; DECISIONS</t>
        </is>
      </c>
    </row>
    <row r="375" ht="34" customHeight="1">
      <c r="A375" s="23" t="inlineStr">
        <is>
          <t>Contractor Programme</t>
        </is>
      </c>
      <c r="B375" s="23" t="inlineStr">
        <is>
          <t>SCH-02-130</t>
        </is>
      </c>
      <c r="C375" s="23" t="inlineStr">
        <is>
          <t>West Terminal: platform edge installation - installation</t>
        </is>
      </c>
      <c r="D375" s="23" t="inlineStr">
        <is>
          <t>WBS Code = 1.2.1</t>
        </is>
      </c>
      <c r="E375" s="23" t="inlineStr">
        <is>
          <t>R310-v2</t>
        </is>
      </c>
      <c r="F375" s="23" t="inlineStr">
        <is>
          <t>1.2.1 Stations - Station Structures</t>
        </is>
      </c>
      <c r="G375" s="23" t="inlineStr">
        <is>
          <t>ONE_TO_ONE</t>
        </is>
      </c>
      <c r="H375" s="23" t="inlineStr">
        <is>
          <t>RETAINED</t>
        </is>
      </c>
      <c r="I375" s="23" t="inlineStr">
        <is>
          <t>Carried forward</t>
        </is>
      </c>
      <c r="J375" s="23" t="inlineStr">
        <is>
          <t>Source assignment -- not individually reviewed</t>
        </is>
      </c>
      <c r="K375" s="23" t="inlineStr"/>
      <c r="L375" s="23" t="inlineStr"/>
      <c r="M375" s="23" t="inlineStr"/>
      <c r="N375" s="14" t="inlineStr">
        <is>
          <t>10 EVIDENCE &amp; DECISIONS</t>
        </is>
      </c>
    </row>
    <row r="376" ht="34" customHeight="1">
      <c r="A376" s="23" t="inlineStr">
        <is>
          <t>Contractor Programme</t>
        </is>
      </c>
      <c r="B376" s="23" t="inlineStr">
        <is>
          <t>SCH-02-131</t>
        </is>
      </c>
      <c r="C376" s="23" t="inlineStr">
        <is>
          <t>Harbour Station: architectural wall framing - inspection</t>
        </is>
      </c>
      <c r="D376" s="23" t="inlineStr">
        <is>
          <t>WBS Code = 1.2.1</t>
        </is>
      </c>
      <c r="E376" s="23" t="inlineStr">
        <is>
          <t>R311-v2</t>
        </is>
      </c>
      <c r="F376" s="23" t="inlineStr">
        <is>
          <t>1.2.1 Stations - Station Structures</t>
        </is>
      </c>
      <c r="G376" s="23" t="inlineStr">
        <is>
          <t>ONE_TO_ONE</t>
        </is>
      </c>
      <c r="H376" s="23" t="inlineStr">
        <is>
          <t>RETAINED</t>
        </is>
      </c>
      <c r="I376" s="23" t="inlineStr">
        <is>
          <t>Carried forward</t>
        </is>
      </c>
      <c r="J376" s="23" t="inlineStr">
        <is>
          <t>Source assignment -- not individually reviewed</t>
        </is>
      </c>
      <c r="K376" s="23" t="inlineStr"/>
      <c r="L376" s="23" t="inlineStr"/>
      <c r="M376" s="23" t="inlineStr"/>
      <c r="N376" s="14" t="inlineStr">
        <is>
          <t>10 EVIDENCE &amp; DECISIONS</t>
        </is>
      </c>
    </row>
    <row r="377" ht="34" customHeight="1">
      <c r="A377" s="23" t="inlineStr">
        <is>
          <t>Contractor Programme</t>
        </is>
      </c>
      <c r="B377" s="23" t="inlineStr">
        <is>
          <t>SCH-02-133</t>
        </is>
      </c>
      <c r="C377" s="23" t="inlineStr">
        <is>
          <t>Civic Station: concourse slab pour - release</t>
        </is>
      </c>
      <c r="D377" s="23" t="inlineStr">
        <is>
          <t>WBS Code = 1.2.1</t>
        </is>
      </c>
      <c r="E377" s="23" t="inlineStr">
        <is>
          <t>R313-v2</t>
        </is>
      </c>
      <c r="F377" s="23" t="inlineStr">
        <is>
          <t>1.2.1 Stations - Station Structures</t>
        </is>
      </c>
      <c r="G377" s="23" t="inlineStr">
        <is>
          <t>ONE_TO_ONE</t>
        </is>
      </c>
      <c r="H377" s="23" t="inlineStr">
        <is>
          <t>RETAINED</t>
        </is>
      </c>
      <c r="I377" s="23" t="inlineStr">
        <is>
          <t>Carried forward</t>
        </is>
      </c>
      <c r="J377" s="23" t="inlineStr">
        <is>
          <t>Source assignment -- not individually reviewed</t>
        </is>
      </c>
      <c r="K377" s="23" t="inlineStr"/>
      <c r="L377" s="23" t="inlineStr"/>
      <c r="M377" s="23" t="inlineStr"/>
      <c r="N377" s="14" t="inlineStr">
        <is>
          <t>10 EVIDENCE &amp; DECISIONS</t>
        </is>
      </c>
    </row>
    <row r="378" ht="34" customHeight="1">
      <c r="A378" s="23" t="inlineStr">
        <is>
          <t>Contractor Programme</t>
        </is>
      </c>
      <c r="B378" s="23" t="inlineStr">
        <is>
          <t>SCH-02-134</t>
        </is>
      </c>
      <c r="C378" s="23" t="inlineStr">
        <is>
          <t>University Station: station ventilation rough-in - field start</t>
        </is>
      </c>
      <c r="D378" s="23" t="inlineStr">
        <is>
          <t>WBS Code = 1.2.1</t>
        </is>
      </c>
      <c r="E378" s="23" t="inlineStr">
        <is>
          <t>R314-v2</t>
        </is>
      </c>
      <c r="F378" s="23" t="inlineStr">
        <is>
          <t>1.2.1 Stations - Station Structures</t>
        </is>
      </c>
      <c r="G378" s="23" t="inlineStr">
        <is>
          <t>ONE_TO_ONE</t>
        </is>
      </c>
      <c r="H378" s="23" t="inlineStr">
        <is>
          <t>RETAINED</t>
        </is>
      </c>
      <c r="I378" s="23" t="inlineStr">
        <is>
          <t>Carried forward</t>
        </is>
      </c>
      <c r="J378" s="23" t="inlineStr">
        <is>
          <t>Source assignment -- not individually reviewed</t>
        </is>
      </c>
      <c r="K378" s="23" t="inlineStr"/>
      <c r="L378" s="23" t="inlineStr"/>
      <c r="M378" s="23" t="inlineStr"/>
      <c r="N378" s="14" t="inlineStr">
        <is>
          <t>10 EVIDENCE &amp; DECISIONS</t>
        </is>
      </c>
    </row>
    <row r="379" ht="34" customHeight="1">
      <c r="A379" s="23" t="inlineStr">
        <is>
          <t>Contractor Programme</t>
        </is>
      </c>
      <c r="B379" s="23" t="inlineStr">
        <is>
          <t>SCH-02-136</t>
        </is>
      </c>
      <c r="C379" s="23" t="inlineStr">
        <is>
          <t>Harbour Station: entrance steel erection - inspection</t>
        </is>
      </c>
      <c r="D379" s="23" t="inlineStr">
        <is>
          <t>WBS Code = 1.2.1</t>
        </is>
      </c>
      <c r="E379" s="23" t="inlineStr">
        <is>
          <t>R316-v2</t>
        </is>
      </c>
      <c r="F379" s="23" t="inlineStr">
        <is>
          <t>1.2.1 Stations - Station Structures</t>
        </is>
      </c>
      <c r="G379" s="23" t="inlineStr">
        <is>
          <t>ONE_TO_ONE</t>
        </is>
      </c>
      <c r="H379" s="23" t="inlineStr">
        <is>
          <t>RETAINED</t>
        </is>
      </c>
      <c r="I379" s="23" t="inlineStr">
        <is>
          <t>Carried forward</t>
        </is>
      </c>
      <c r="J379" s="23" t="inlineStr">
        <is>
          <t>Source assignment -- not individually reviewed</t>
        </is>
      </c>
      <c r="K379" s="23" t="inlineStr"/>
      <c r="L379" s="23" t="inlineStr"/>
      <c r="M379" s="23" t="inlineStr"/>
      <c r="N379" s="14" t="inlineStr">
        <is>
          <t>10 EVIDENCE &amp; DECISIONS</t>
        </is>
      </c>
    </row>
    <row r="380" ht="34" customHeight="1">
      <c r="A380" s="23" t="inlineStr">
        <is>
          <t>Contractor Programme</t>
        </is>
      </c>
      <c r="B380" s="23" t="inlineStr">
        <is>
          <t>SCH-02-137</t>
        </is>
      </c>
      <c r="C380" s="23" t="inlineStr">
        <is>
          <t>Market Station: vertical-transport installation - turnover</t>
        </is>
      </c>
      <c r="D380" s="23" t="inlineStr">
        <is>
          <t>WBS Code = 1.2.1</t>
        </is>
      </c>
      <c r="E380" s="23" t="inlineStr">
        <is>
          <t>R317-v2</t>
        </is>
      </c>
      <c r="F380" s="23" t="inlineStr">
        <is>
          <t>1.2.1 Stations - Station Structures</t>
        </is>
      </c>
      <c r="G380" s="23" t="inlineStr">
        <is>
          <t>ONE_TO_ONE</t>
        </is>
      </c>
      <c r="H380" s="23" t="inlineStr">
        <is>
          <t>RETAINED</t>
        </is>
      </c>
      <c r="I380" s="23" t="inlineStr">
        <is>
          <t>Carried forward</t>
        </is>
      </c>
      <c r="J380" s="23" t="inlineStr">
        <is>
          <t>Source assignment -- not individually reviewed</t>
        </is>
      </c>
      <c r="K380" s="23" t="inlineStr"/>
      <c r="L380" s="23" t="inlineStr"/>
      <c r="M380" s="23" t="inlineStr"/>
      <c r="N380" s="14" t="inlineStr">
        <is>
          <t>10 EVIDENCE &amp; DECISIONS</t>
        </is>
      </c>
    </row>
    <row r="381" ht="34" customHeight="1">
      <c r="A381" s="23" t="inlineStr">
        <is>
          <t>Contractor Programme</t>
        </is>
      </c>
      <c r="B381" s="23" t="inlineStr">
        <is>
          <t>SCH-02-139</t>
        </is>
      </c>
      <c r="C381" s="23" t="inlineStr">
        <is>
          <t>University Station: architectural wall framing - field start</t>
        </is>
      </c>
      <c r="D381" s="23" t="inlineStr">
        <is>
          <t>WBS Code = 1.2.1</t>
        </is>
      </c>
      <c r="E381" s="23" t="inlineStr">
        <is>
          <t>R319-v2</t>
        </is>
      </c>
      <c r="F381" s="23" t="inlineStr">
        <is>
          <t>1.2.1 Stations - Station Structures</t>
        </is>
      </c>
      <c r="G381" s="23" t="inlineStr">
        <is>
          <t>ONE_TO_ONE</t>
        </is>
      </c>
      <c r="H381" s="23" t="inlineStr">
        <is>
          <t>RETAINED</t>
        </is>
      </c>
      <c r="I381" s="23" t="inlineStr">
        <is>
          <t>Carried forward</t>
        </is>
      </c>
      <c r="J381" s="23" t="inlineStr">
        <is>
          <t>Source assignment -- not individually reviewed</t>
        </is>
      </c>
      <c r="K381" s="23" t="inlineStr"/>
      <c r="L381" s="23" t="inlineStr"/>
      <c r="M381" s="23" t="inlineStr"/>
      <c r="N381" s="14" t="inlineStr">
        <is>
          <t>10 EVIDENCE &amp; DECISIONS</t>
        </is>
      </c>
    </row>
    <row r="382" ht="34" customHeight="1">
      <c r="A382" s="23" t="inlineStr">
        <is>
          <t>Contractor Programme</t>
        </is>
      </c>
      <c r="B382" s="23" t="inlineStr">
        <is>
          <t>SCH-02-140</t>
        </is>
      </c>
      <c r="C382" s="23" t="inlineStr">
        <is>
          <t>West Terminal: fire-life-safety cabling - installation</t>
        </is>
      </c>
      <c r="D382" s="23" t="inlineStr">
        <is>
          <t>WBS Code = 1.2.1</t>
        </is>
      </c>
      <c r="E382" s="23" t="inlineStr">
        <is>
          <t>R320-v2</t>
        </is>
      </c>
      <c r="F382" s="23" t="inlineStr">
        <is>
          <t>1.2.1 Stations - Station Structures</t>
        </is>
      </c>
      <c r="G382" s="23" t="inlineStr">
        <is>
          <t>ONE_TO_ONE</t>
        </is>
      </c>
      <c r="H382" s="23" t="inlineStr">
        <is>
          <t>RETAINED</t>
        </is>
      </c>
      <c r="I382" s="23" t="inlineStr">
        <is>
          <t>Carried forward</t>
        </is>
      </c>
      <c r="J382" s="23" t="inlineStr">
        <is>
          <t>Source assignment -- not individually reviewed</t>
        </is>
      </c>
      <c r="K382" s="23" t="inlineStr"/>
      <c r="L382" s="23" t="inlineStr"/>
      <c r="M382" s="23" t="inlineStr"/>
      <c r="N382" s="14" t="inlineStr">
        <is>
          <t>10 EVIDENCE &amp; DECISIONS</t>
        </is>
      </c>
    </row>
    <row r="383" ht="34" customHeight="1">
      <c r="A383" s="23" t="inlineStr">
        <is>
          <t>Contractor Programme</t>
        </is>
      </c>
      <c r="B383" s="23" t="inlineStr">
        <is>
          <t>SCH-02-142</t>
        </is>
      </c>
      <c r="C383" s="23" t="inlineStr">
        <is>
          <t>Market Station: station ventilation rough-in - turnover</t>
        </is>
      </c>
      <c r="D383" s="23" t="inlineStr">
        <is>
          <t>WBS Code = 1.2.1</t>
        </is>
      </c>
      <c r="E383" s="23" t="inlineStr">
        <is>
          <t>R322-v2</t>
        </is>
      </c>
      <c r="F383" s="23" t="inlineStr">
        <is>
          <t>1.2.1 Stations - Station Structures</t>
        </is>
      </c>
      <c r="G383" s="23" t="inlineStr">
        <is>
          <t>ONE_TO_ONE</t>
        </is>
      </c>
      <c r="H383" s="23" t="inlineStr">
        <is>
          <t>RETAINED</t>
        </is>
      </c>
      <c r="I383" s="23" t="inlineStr">
        <is>
          <t>Carried forward</t>
        </is>
      </c>
      <c r="J383" s="23" t="inlineStr">
        <is>
          <t>Source assignment -- not individually reviewed</t>
        </is>
      </c>
      <c r="K383" s="23" t="inlineStr"/>
      <c r="L383" s="23" t="inlineStr"/>
      <c r="M383" s="23" t="inlineStr"/>
      <c r="N383" s="14" t="inlineStr">
        <is>
          <t>10 EVIDENCE &amp; DECISIONS</t>
        </is>
      </c>
    </row>
    <row r="384" ht="34" customHeight="1">
      <c r="A384" s="23" t="inlineStr">
        <is>
          <t>Contractor Programme</t>
        </is>
      </c>
      <c r="B384" s="23" t="inlineStr">
        <is>
          <t>SCH-02-143</t>
        </is>
      </c>
      <c r="C384" s="23" t="inlineStr">
        <is>
          <t>Civic Station: public-realm paving - release</t>
        </is>
      </c>
      <c r="D384" s="23" t="inlineStr">
        <is>
          <t>WBS Code = 1.2.1</t>
        </is>
      </c>
      <c r="E384" s="23" t="inlineStr">
        <is>
          <t>R323-v2</t>
        </is>
      </c>
      <c r="F384" s="23" t="inlineStr">
        <is>
          <t>1.2.1 Stations - Station Structures</t>
        </is>
      </c>
      <c r="G384" s="23" t="inlineStr">
        <is>
          <t>ONE_TO_ONE</t>
        </is>
      </c>
      <c r="H384" s="23" t="inlineStr">
        <is>
          <t>RETAINED</t>
        </is>
      </c>
      <c r="I384" s="23" t="inlineStr">
        <is>
          <t>Carried forward</t>
        </is>
      </c>
      <c r="J384" s="23" t="inlineStr">
        <is>
          <t>Source assignment -- not individually reviewed</t>
        </is>
      </c>
      <c r="K384" s="23" t="inlineStr"/>
      <c r="L384" s="23" t="inlineStr"/>
      <c r="M384" s="23" t="inlineStr"/>
      <c r="N384" s="14" t="inlineStr">
        <is>
          <t>10 EVIDENCE &amp; DECISIONS</t>
        </is>
      </c>
    </row>
    <row r="385" ht="34" customHeight="1">
      <c r="A385" s="23" t="inlineStr">
        <is>
          <t>Contractor Programme</t>
        </is>
      </c>
      <c r="B385" s="23" t="inlineStr">
        <is>
          <t>SCH-02-145</t>
        </is>
      </c>
      <c r="C385" s="23" t="inlineStr">
        <is>
          <t>West Terminal: vertical-transport installation - installation</t>
        </is>
      </c>
      <c r="D385" s="23" t="inlineStr">
        <is>
          <t>WBS Code = 1.2.1</t>
        </is>
      </c>
      <c r="E385" s="23" t="inlineStr">
        <is>
          <t>R325-v2</t>
        </is>
      </c>
      <c r="F385" s="23" t="inlineStr">
        <is>
          <t>1.2.1 Stations - Station Structures</t>
        </is>
      </c>
      <c r="G385" s="23" t="inlineStr">
        <is>
          <t>ONE_TO_ONE</t>
        </is>
      </c>
      <c r="H385" s="23" t="inlineStr">
        <is>
          <t>RETAINED</t>
        </is>
      </c>
      <c r="I385" s="23" t="inlineStr">
        <is>
          <t>Carried forward</t>
        </is>
      </c>
      <c r="J385" s="23" t="inlineStr">
        <is>
          <t>Source assignment -- not individually reviewed</t>
        </is>
      </c>
      <c r="K385" s="23" t="inlineStr"/>
      <c r="L385" s="23" t="inlineStr"/>
      <c r="M385" s="23" t="inlineStr"/>
      <c r="N385" s="14" t="inlineStr">
        <is>
          <t>10 EVIDENCE &amp; DECISIONS</t>
        </is>
      </c>
    </row>
    <row r="386" ht="34" customHeight="1">
      <c r="A386" s="23" t="inlineStr">
        <is>
          <t>Contractor Programme</t>
        </is>
      </c>
      <c r="B386" s="23" t="inlineStr">
        <is>
          <t>SCH-02-146</t>
        </is>
      </c>
      <c r="C386" s="23" t="inlineStr">
        <is>
          <t>Harbour Station: platform edge installation - inspection</t>
        </is>
      </c>
      <c r="D386" s="23" t="inlineStr">
        <is>
          <t>WBS Code = 1.2.1</t>
        </is>
      </c>
      <c r="E386" s="23" t="inlineStr">
        <is>
          <t>R326-v2</t>
        </is>
      </c>
      <c r="F386" s="23" t="inlineStr">
        <is>
          <t>1.2.1 Stations - Station Structures</t>
        </is>
      </c>
      <c r="G386" s="23" t="inlineStr">
        <is>
          <t>ONE_TO_ONE</t>
        </is>
      </c>
      <c r="H386" s="23" t="inlineStr">
        <is>
          <t>RETAINED</t>
        </is>
      </c>
      <c r="I386" s="23" t="inlineStr">
        <is>
          <t>Carried forward</t>
        </is>
      </c>
      <c r="J386" s="23" t="inlineStr">
        <is>
          <t>Source assignment -- not individually reviewed</t>
        </is>
      </c>
      <c r="K386" s="23" t="inlineStr"/>
      <c r="L386" s="23" t="inlineStr"/>
      <c r="M386" s="23" t="inlineStr"/>
      <c r="N386" s="14" t="inlineStr">
        <is>
          <t>10 EVIDENCE &amp; DECISIONS</t>
        </is>
      </c>
    </row>
    <row r="387" ht="34" customHeight="1">
      <c r="A387" s="23" t="inlineStr">
        <is>
          <t>Contractor Programme</t>
        </is>
      </c>
      <c r="B387" s="23" t="inlineStr">
        <is>
          <t>SCH-02-148</t>
        </is>
      </c>
      <c r="C387" s="23" t="inlineStr">
        <is>
          <t>Civic Station: fire-life-safety cabling - release</t>
        </is>
      </c>
      <c r="D387" s="23" t="inlineStr">
        <is>
          <t>WBS Code = 1.2.1</t>
        </is>
      </c>
      <c r="E387" s="23" t="inlineStr">
        <is>
          <t>R328-v2</t>
        </is>
      </c>
      <c r="F387" s="23" t="inlineStr">
        <is>
          <t>1.2.1 Stations - Station Structures</t>
        </is>
      </c>
      <c r="G387" s="23" t="inlineStr">
        <is>
          <t>ONE_TO_ONE</t>
        </is>
      </c>
      <c r="H387" s="23" t="inlineStr">
        <is>
          <t>RETAINED</t>
        </is>
      </c>
      <c r="I387" s="23" t="inlineStr">
        <is>
          <t>Carried forward</t>
        </is>
      </c>
      <c r="J387" s="23" t="inlineStr">
        <is>
          <t>Source assignment -- not individually reviewed</t>
        </is>
      </c>
      <c r="K387" s="23" t="inlineStr"/>
      <c r="L387" s="23" t="inlineStr"/>
      <c r="M387" s="23" t="inlineStr"/>
      <c r="N387" s="14" t="inlineStr">
        <is>
          <t>10 EVIDENCE &amp; DECISIONS</t>
        </is>
      </c>
    </row>
    <row r="388" ht="34" customHeight="1">
      <c r="A388" s="23" t="inlineStr">
        <is>
          <t>Contractor Programme</t>
        </is>
      </c>
      <c r="B388" s="23" t="inlineStr">
        <is>
          <t>SCH-02-149</t>
        </is>
      </c>
      <c r="C388" s="23" t="inlineStr">
        <is>
          <t>University Station: concourse slab pour - field start</t>
        </is>
      </c>
      <c r="D388" s="23" t="inlineStr">
        <is>
          <t>WBS Code = 1.2.1</t>
        </is>
      </c>
      <c r="E388" s="23" t="inlineStr">
        <is>
          <t>R329-v2</t>
        </is>
      </c>
      <c r="F388" s="23" t="inlineStr">
        <is>
          <t>1.2.1 Stations - Station Structures</t>
        </is>
      </c>
      <c r="G388" s="23" t="inlineStr">
        <is>
          <t>ONE_TO_ONE</t>
        </is>
      </c>
      <c r="H388" s="23" t="inlineStr">
        <is>
          <t>RETAINED</t>
        </is>
      </c>
      <c r="I388" s="23" t="inlineStr">
        <is>
          <t>Carried forward</t>
        </is>
      </c>
      <c r="J388" s="23" t="inlineStr">
        <is>
          <t>Source assignment -- not individually reviewed</t>
        </is>
      </c>
      <c r="K388" s="23" t="inlineStr"/>
      <c r="L388" s="23" t="inlineStr"/>
      <c r="M388" s="23" t="inlineStr"/>
      <c r="N388" s="14" t="inlineStr">
        <is>
          <t>10 EVIDENCE &amp; DECISIONS</t>
        </is>
      </c>
    </row>
    <row r="389" ht="34" customHeight="1">
      <c r="A389" s="23" t="inlineStr">
        <is>
          <t>Contractor Programme</t>
        </is>
      </c>
      <c r="B389" s="23" t="inlineStr">
        <is>
          <t>SCH-02-151</t>
        </is>
      </c>
      <c r="C389" s="23" t="inlineStr">
        <is>
          <t>Harbour Station: public-realm paving - inspection</t>
        </is>
      </c>
      <c r="D389" s="23" t="inlineStr">
        <is>
          <t>WBS Code = 1.2.1</t>
        </is>
      </c>
      <c r="E389" s="23" t="inlineStr">
        <is>
          <t>R331-v2</t>
        </is>
      </c>
      <c r="F389" s="23" t="inlineStr">
        <is>
          <t>1.2.1 Stations - Station Structures</t>
        </is>
      </c>
      <c r="G389" s="23" t="inlineStr">
        <is>
          <t>ONE_TO_ONE</t>
        </is>
      </c>
      <c r="H389" s="23" t="inlineStr">
        <is>
          <t>RETAINED</t>
        </is>
      </c>
      <c r="I389" s="23" t="inlineStr">
        <is>
          <t>Carried forward</t>
        </is>
      </c>
      <c r="J389" s="23" t="inlineStr">
        <is>
          <t>Source assignment -- not individually reviewed</t>
        </is>
      </c>
      <c r="K389" s="23" t="inlineStr"/>
      <c r="L389" s="23" t="inlineStr"/>
      <c r="M389" s="23" t="inlineStr"/>
      <c r="N389" s="14" t="inlineStr">
        <is>
          <t>10 EVIDENCE &amp; DECISIONS</t>
        </is>
      </c>
    </row>
    <row r="390" ht="34" customHeight="1">
      <c r="A390" s="23" t="inlineStr">
        <is>
          <t>Contractor Programme</t>
        </is>
      </c>
      <c r="B390" s="23" t="inlineStr">
        <is>
          <t>SCH-02-152</t>
        </is>
      </c>
      <c r="C390" s="23" t="inlineStr">
        <is>
          <t>Market Station: entrance steel erection - turnover</t>
        </is>
      </c>
      <c r="D390" s="23" t="inlineStr">
        <is>
          <t>WBS Code = 1.2.1</t>
        </is>
      </c>
      <c r="E390" s="23" t="inlineStr">
        <is>
          <t>R332-v2</t>
        </is>
      </c>
      <c r="F390" s="23" t="inlineStr">
        <is>
          <t>1.2.1 Stations - Station Structures</t>
        </is>
      </c>
      <c r="G390" s="23" t="inlineStr">
        <is>
          <t>ONE_TO_ONE</t>
        </is>
      </c>
      <c r="H390" s="23" t="inlineStr">
        <is>
          <t>RETAINED</t>
        </is>
      </c>
      <c r="I390" s="23" t="inlineStr">
        <is>
          <t>Carried forward</t>
        </is>
      </c>
      <c r="J390" s="23" t="inlineStr">
        <is>
          <t>Source assignment -- not individually reviewed</t>
        </is>
      </c>
      <c r="K390" s="23" t="inlineStr"/>
      <c r="L390" s="23" t="inlineStr"/>
      <c r="M390" s="23" t="inlineStr"/>
      <c r="N390" s="14" t="inlineStr">
        <is>
          <t>10 EVIDENCE &amp; DECISIONS</t>
        </is>
      </c>
    </row>
    <row r="391" ht="34" customHeight="1">
      <c r="A391" s="23" t="inlineStr">
        <is>
          <t>Contractor Programme</t>
        </is>
      </c>
      <c r="B391" s="23" t="inlineStr">
        <is>
          <t>SCH-02-154</t>
        </is>
      </c>
      <c r="C391" s="23" t="inlineStr">
        <is>
          <t>University Station: platform edge installation - field start</t>
        </is>
      </c>
      <c r="D391" s="23" t="inlineStr">
        <is>
          <t>WBS Code = 1.2.1</t>
        </is>
      </c>
      <c r="E391" s="23" t="inlineStr">
        <is>
          <t>R334-v2</t>
        </is>
      </c>
      <c r="F391" s="23" t="inlineStr">
        <is>
          <t>1.2.1 Stations - Station Structures</t>
        </is>
      </c>
      <c r="G391" s="23" t="inlineStr">
        <is>
          <t>ONE_TO_ONE</t>
        </is>
      </c>
      <c r="H391" s="23" t="inlineStr">
        <is>
          <t>RETAINED</t>
        </is>
      </c>
      <c r="I391" s="23" t="inlineStr">
        <is>
          <t>Carried forward</t>
        </is>
      </c>
      <c r="J391" s="23" t="inlineStr">
        <is>
          <t>Source assignment -- not individually reviewed</t>
        </is>
      </c>
      <c r="K391" s="23" t="inlineStr"/>
      <c r="L391" s="23" t="inlineStr"/>
      <c r="M391" s="23" t="inlineStr"/>
      <c r="N391" s="14" t="inlineStr">
        <is>
          <t>10 EVIDENCE &amp; DECISIONS</t>
        </is>
      </c>
    </row>
    <row r="392" ht="34" customHeight="1">
      <c r="A392" s="23" t="inlineStr">
        <is>
          <t>Contractor Programme</t>
        </is>
      </c>
      <c r="B392" s="23" t="inlineStr">
        <is>
          <t>SCH-02-155</t>
        </is>
      </c>
      <c r="C392" s="23" t="inlineStr">
        <is>
          <t>West Terminal: architectural wall framing - installation</t>
        </is>
      </c>
      <c r="D392" s="23" t="inlineStr">
        <is>
          <t>WBS Code = 1.2.1</t>
        </is>
      </c>
      <c r="E392" s="23" t="inlineStr">
        <is>
          <t>R335-v2</t>
        </is>
      </c>
      <c r="F392" s="23" t="inlineStr">
        <is>
          <t>1.2.1 Stations - Station Structures</t>
        </is>
      </c>
      <c r="G392" s="23" t="inlineStr">
        <is>
          <t>ONE_TO_ONE</t>
        </is>
      </c>
      <c r="H392" s="23" t="inlineStr">
        <is>
          <t>RETAINED</t>
        </is>
      </c>
      <c r="I392" s="23" t="inlineStr">
        <is>
          <t>Carried forward</t>
        </is>
      </c>
      <c r="J392" s="23" t="inlineStr">
        <is>
          <t>Source assignment -- not individually reviewed</t>
        </is>
      </c>
      <c r="K392" s="23" t="inlineStr"/>
      <c r="L392" s="23" t="inlineStr"/>
      <c r="M392" s="23" t="inlineStr"/>
      <c r="N392" s="14" t="inlineStr">
        <is>
          <t>10 EVIDENCE &amp; DECISIONS</t>
        </is>
      </c>
    </row>
    <row r="393" ht="34" customHeight="1">
      <c r="A393" s="23" t="inlineStr">
        <is>
          <t>Contractor Programme</t>
        </is>
      </c>
      <c r="B393" s="23" t="inlineStr">
        <is>
          <t>SCH-02-157</t>
        </is>
      </c>
      <c r="C393" s="23" t="inlineStr">
        <is>
          <t>Market Station: concourse slab pour - turnover</t>
        </is>
      </c>
      <c r="D393" s="23" t="inlineStr">
        <is>
          <t>WBS Code = 1.2.1</t>
        </is>
      </c>
      <c r="E393" s="23" t="inlineStr">
        <is>
          <t>R337-v2</t>
        </is>
      </c>
      <c r="F393" s="23" t="inlineStr">
        <is>
          <t>1.2.1 Stations - Station Structures</t>
        </is>
      </c>
      <c r="G393" s="23" t="inlineStr">
        <is>
          <t>ONE_TO_ONE</t>
        </is>
      </c>
      <c r="H393" s="23" t="inlineStr">
        <is>
          <t>RETAINED</t>
        </is>
      </c>
      <c r="I393" s="23" t="inlineStr">
        <is>
          <t>Carried forward</t>
        </is>
      </c>
      <c r="J393" s="23" t="inlineStr">
        <is>
          <t>Source assignment -- not individually reviewed</t>
        </is>
      </c>
      <c r="K393" s="23" t="inlineStr"/>
      <c r="L393" s="23" t="inlineStr"/>
      <c r="M393" s="23" t="inlineStr"/>
      <c r="N393" s="14" t="inlineStr">
        <is>
          <t>10 EVIDENCE &amp; DECISIONS</t>
        </is>
      </c>
    </row>
    <row r="394" ht="34" customHeight="1">
      <c r="A394" s="23" t="inlineStr">
        <is>
          <t>Contractor Programme</t>
        </is>
      </c>
      <c r="B394" s="23" t="inlineStr">
        <is>
          <t>SCH-02-158</t>
        </is>
      </c>
      <c r="C394" s="23" t="inlineStr">
        <is>
          <t>Civic Station: station ventilation rough-in - release</t>
        </is>
      </c>
      <c r="D394" s="23" t="inlineStr">
        <is>
          <t>WBS Code = 1.2.1</t>
        </is>
      </c>
      <c r="E394" s="23" t="inlineStr">
        <is>
          <t>R338-v2</t>
        </is>
      </c>
      <c r="F394" s="23" t="inlineStr">
        <is>
          <t>1.2.1 Stations - Station Structures</t>
        </is>
      </c>
      <c r="G394" s="23" t="inlineStr">
        <is>
          <t>ONE_TO_ONE</t>
        </is>
      </c>
      <c r="H394" s="23" t="inlineStr">
        <is>
          <t>RETAINED</t>
        </is>
      </c>
      <c r="I394" s="23" t="inlineStr">
        <is>
          <t>Carried forward</t>
        </is>
      </c>
      <c r="J394" s="23" t="inlineStr">
        <is>
          <t>Source assignment -- not individually reviewed</t>
        </is>
      </c>
      <c r="K394" s="23" t="inlineStr"/>
      <c r="L394" s="23" t="inlineStr"/>
      <c r="M394" s="23" t="inlineStr"/>
      <c r="N394" s="14" t="inlineStr">
        <is>
          <t>10 EVIDENCE &amp; DECISIONS</t>
        </is>
      </c>
    </row>
    <row r="395" ht="34" customHeight="1">
      <c r="A395" s="23" t="inlineStr">
        <is>
          <t>Contractor Programme</t>
        </is>
      </c>
      <c r="B395" s="23" t="inlineStr">
        <is>
          <t>SCH-02-160</t>
        </is>
      </c>
      <c r="C395" s="23" t="inlineStr">
        <is>
          <t>West Terminal: entrance steel erection - installation</t>
        </is>
      </c>
      <c r="D395" s="23" t="inlineStr">
        <is>
          <t>WBS Code = 1.2.1</t>
        </is>
      </c>
      <c r="E395" s="23" t="inlineStr">
        <is>
          <t>R340-v2</t>
        </is>
      </c>
      <c r="F395" s="23" t="inlineStr">
        <is>
          <t>1.2.1 Stations - Station Structures</t>
        </is>
      </c>
      <c r="G395" s="23" t="inlineStr">
        <is>
          <t>ONE_TO_ONE</t>
        </is>
      </c>
      <c r="H395" s="23" t="inlineStr">
        <is>
          <t>RETAINED</t>
        </is>
      </c>
      <c r="I395" s="23" t="inlineStr">
        <is>
          <t>Carried forward</t>
        </is>
      </c>
      <c r="J395" s="23" t="inlineStr">
        <is>
          <t>Source assignment -- not individually reviewed</t>
        </is>
      </c>
      <c r="K395" s="23" t="inlineStr"/>
      <c r="L395" s="23" t="inlineStr"/>
      <c r="M395" s="23" t="inlineStr"/>
      <c r="N395" s="14" t="inlineStr">
        <is>
          <t>10 EVIDENCE &amp; DECISIONS</t>
        </is>
      </c>
    </row>
    <row r="396" ht="34" customHeight="1">
      <c r="A396" s="23" t="inlineStr">
        <is>
          <t>Contractor Programme</t>
        </is>
      </c>
      <c r="B396" s="23" t="inlineStr">
        <is>
          <t>SCH-02-161</t>
        </is>
      </c>
      <c r="C396" s="23" t="inlineStr">
        <is>
          <t>Harbour Station: vertical-transport installation - inspection</t>
        </is>
      </c>
      <c r="D396" s="23" t="inlineStr">
        <is>
          <t>WBS Code = 1.2.1</t>
        </is>
      </c>
      <c r="E396" s="23" t="inlineStr">
        <is>
          <t>R341-v2</t>
        </is>
      </c>
      <c r="F396" s="23" t="inlineStr">
        <is>
          <t>1.2.1 Stations - Station Structures</t>
        </is>
      </c>
      <c r="G396" s="23" t="inlineStr">
        <is>
          <t>ONE_TO_ONE</t>
        </is>
      </c>
      <c r="H396" s="23" t="inlineStr">
        <is>
          <t>RETAINED</t>
        </is>
      </c>
      <c r="I396" s="23" t="inlineStr">
        <is>
          <t>Carried forward</t>
        </is>
      </c>
      <c r="J396" s="23" t="inlineStr">
        <is>
          <t>Source assignment -- not individually reviewed</t>
        </is>
      </c>
      <c r="K396" s="23" t="inlineStr"/>
      <c r="L396" s="23" t="inlineStr"/>
      <c r="M396" s="23" t="inlineStr"/>
      <c r="N396" s="14" t="inlineStr">
        <is>
          <t>10 EVIDENCE &amp; DECISIONS</t>
        </is>
      </c>
    </row>
    <row r="397" ht="34" customHeight="1">
      <c r="A397" s="23" t="inlineStr">
        <is>
          <t>Contractor Programme</t>
        </is>
      </c>
      <c r="B397" s="23" t="inlineStr">
        <is>
          <t>SCH-02-163</t>
        </is>
      </c>
      <c r="C397" s="23" t="inlineStr">
        <is>
          <t>Civic Station: architectural wall framing - release</t>
        </is>
      </c>
      <c r="D397" s="23" t="inlineStr">
        <is>
          <t>WBS Code = 1.2.1</t>
        </is>
      </c>
      <c r="E397" s="23" t="inlineStr">
        <is>
          <t>R343-v2</t>
        </is>
      </c>
      <c r="F397" s="23" t="inlineStr">
        <is>
          <t>1.2.1 Stations - Station Structures</t>
        </is>
      </c>
      <c r="G397" s="23" t="inlineStr">
        <is>
          <t>ONE_TO_ONE</t>
        </is>
      </c>
      <c r="H397" s="23" t="inlineStr">
        <is>
          <t>RETAINED</t>
        </is>
      </c>
      <c r="I397" s="23" t="inlineStr">
        <is>
          <t>Carried forward</t>
        </is>
      </c>
      <c r="J397" s="23" t="inlineStr">
        <is>
          <t>Source assignment -- not individually reviewed</t>
        </is>
      </c>
      <c r="K397" s="23" t="inlineStr"/>
      <c r="L397" s="23" t="inlineStr"/>
      <c r="M397" s="23" t="inlineStr"/>
      <c r="N397" s="14" t="inlineStr">
        <is>
          <t>10 EVIDENCE &amp; DECISIONS</t>
        </is>
      </c>
    </row>
    <row r="398" ht="34" customHeight="1">
      <c r="A398" s="23" t="inlineStr">
        <is>
          <t>Contractor Programme</t>
        </is>
      </c>
      <c r="B398" s="23" t="inlineStr">
        <is>
          <t>SCH-02-164</t>
        </is>
      </c>
      <c r="C398" s="23" t="inlineStr">
        <is>
          <t>University Station: fire-life-safety cabling - field start</t>
        </is>
      </c>
      <c r="D398" s="23" t="inlineStr">
        <is>
          <t>WBS Code = 1.2.1</t>
        </is>
      </c>
      <c r="E398" s="23" t="inlineStr">
        <is>
          <t>R344-v2</t>
        </is>
      </c>
      <c r="F398" s="23" t="inlineStr">
        <is>
          <t>1.2.1 Stations - Station Structures</t>
        </is>
      </c>
      <c r="G398" s="23" t="inlineStr">
        <is>
          <t>ONE_TO_ONE</t>
        </is>
      </c>
      <c r="H398" s="23" t="inlineStr">
        <is>
          <t>RETAINED</t>
        </is>
      </c>
      <c r="I398" s="23" t="inlineStr">
        <is>
          <t>Carried forward</t>
        </is>
      </c>
      <c r="J398" s="23" t="inlineStr">
        <is>
          <t>Source assignment -- not individually reviewed</t>
        </is>
      </c>
      <c r="K398" s="23" t="inlineStr"/>
      <c r="L398" s="23" t="inlineStr"/>
      <c r="M398" s="23" t="inlineStr"/>
      <c r="N398" s="14" t="inlineStr">
        <is>
          <t>10 EVIDENCE &amp; DECISIONS</t>
        </is>
      </c>
    </row>
    <row r="399" ht="34" customHeight="1">
      <c r="A399" s="23" t="inlineStr">
        <is>
          <t>Contractor Programme</t>
        </is>
      </c>
      <c r="B399" s="23" t="inlineStr">
        <is>
          <t>SCH-02-166</t>
        </is>
      </c>
      <c r="C399" s="23" t="inlineStr">
        <is>
          <t>Harbour Station: station ventilation rough-in - inspection</t>
        </is>
      </c>
      <c r="D399" s="23" t="inlineStr">
        <is>
          <t>WBS Code = 1.2.1</t>
        </is>
      </c>
      <c r="E399" s="23" t="inlineStr">
        <is>
          <t>R346-v2</t>
        </is>
      </c>
      <c r="F399" s="23" t="inlineStr">
        <is>
          <t>1.2.1 Stations - Station Structures</t>
        </is>
      </c>
      <c r="G399" s="23" t="inlineStr">
        <is>
          <t>ONE_TO_ONE</t>
        </is>
      </c>
      <c r="H399" s="23" t="inlineStr">
        <is>
          <t>RETAINED</t>
        </is>
      </c>
      <c r="I399" s="23" t="inlineStr">
        <is>
          <t>Carried forward</t>
        </is>
      </c>
      <c r="J399" s="23" t="inlineStr">
        <is>
          <t>Source assignment -- not individually reviewed</t>
        </is>
      </c>
      <c r="K399" s="23" t="inlineStr"/>
      <c r="L399" s="23" t="inlineStr"/>
      <c r="M399" s="23" t="inlineStr"/>
      <c r="N399" s="14" t="inlineStr">
        <is>
          <t>10 EVIDENCE &amp; DECISIONS</t>
        </is>
      </c>
    </row>
    <row r="400" ht="34" customHeight="1">
      <c r="A400" s="23" t="inlineStr">
        <is>
          <t>Contractor Programme</t>
        </is>
      </c>
      <c r="B400" s="23" t="inlineStr">
        <is>
          <t>SCH-02-167</t>
        </is>
      </c>
      <c r="C400" s="23" t="inlineStr">
        <is>
          <t>Market Station: public-realm paving - turnover</t>
        </is>
      </c>
      <c r="D400" s="23" t="inlineStr">
        <is>
          <t>WBS Code = 1.2.1</t>
        </is>
      </c>
      <c r="E400" s="23" t="inlineStr">
        <is>
          <t>R347-v2</t>
        </is>
      </c>
      <c r="F400" s="23" t="inlineStr">
        <is>
          <t>1.2.1 Stations - Station Structures</t>
        </is>
      </c>
      <c r="G400" s="23" t="inlineStr">
        <is>
          <t>ONE_TO_ONE</t>
        </is>
      </c>
      <c r="H400" s="23" t="inlineStr">
        <is>
          <t>RETAINED</t>
        </is>
      </c>
      <c r="I400" s="23" t="inlineStr">
        <is>
          <t>Carried forward</t>
        </is>
      </c>
      <c r="J400" s="23" t="inlineStr">
        <is>
          <t>Source assignment -- not individually reviewed</t>
        </is>
      </c>
      <c r="K400" s="23" t="inlineStr"/>
      <c r="L400" s="23" t="inlineStr"/>
      <c r="M400" s="23" t="inlineStr"/>
      <c r="N400" s="14" t="inlineStr">
        <is>
          <t>10 EVIDENCE &amp; DECISIONS</t>
        </is>
      </c>
    </row>
    <row r="401" ht="49" customHeight="1">
      <c r="A401" s="23" t="inlineStr">
        <is>
          <t>Contractor Programme</t>
        </is>
      </c>
      <c r="B401" s="23" t="inlineStr">
        <is>
          <t>SCH-02-169</t>
        </is>
      </c>
      <c r="C401" s="23" t="inlineStr">
        <is>
          <t>University Station: vertical-transport installation - field start</t>
        </is>
      </c>
      <c r="D401" s="23" t="inlineStr">
        <is>
          <t>WBS Code = 1.2.1</t>
        </is>
      </c>
      <c r="E401" s="23" t="inlineStr">
        <is>
          <t>R349-v2</t>
        </is>
      </c>
      <c r="F401" s="23" t="inlineStr">
        <is>
          <t>1.2.1 Stations - Station Structures</t>
        </is>
      </c>
      <c r="G401" s="23" t="inlineStr">
        <is>
          <t>ONE_TO_ONE</t>
        </is>
      </c>
      <c r="H401" s="23" t="inlineStr">
        <is>
          <t>RETAINED</t>
        </is>
      </c>
      <c r="I401" s="23" t="inlineStr">
        <is>
          <t>Carried forward</t>
        </is>
      </c>
      <c r="J401" s="23" t="inlineStr">
        <is>
          <t>Source assignment -- not individually reviewed</t>
        </is>
      </c>
      <c r="K401" s="23" t="inlineStr"/>
      <c r="L401" s="23" t="inlineStr"/>
      <c r="M401" s="23" t="inlineStr"/>
      <c r="N401" s="14" t="inlineStr">
        <is>
          <t>10 EVIDENCE &amp; DECISIONS</t>
        </is>
      </c>
    </row>
    <row r="402" ht="34" customHeight="1">
      <c r="A402" s="23" t="inlineStr">
        <is>
          <t>Contractor Programme</t>
        </is>
      </c>
      <c r="B402" s="23" t="inlineStr">
        <is>
          <t>SCH-02-170</t>
        </is>
      </c>
      <c r="C402" s="23" t="inlineStr">
        <is>
          <t>West Terminal: platform edge installation - installation</t>
        </is>
      </c>
      <c r="D402" s="23" t="inlineStr">
        <is>
          <t>WBS Code = 1.2.1</t>
        </is>
      </c>
      <c r="E402" s="23" t="inlineStr">
        <is>
          <t>R350-v2</t>
        </is>
      </c>
      <c r="F402" s="23" t="inlineStr">
        <is>
          <t>1.2.1 Stations - Station Structures</t>
        </is>
      </c>
      <c r="G402" s="23" t="inlineStr">
        <is>
          <t>ONE_TO_ONE</t>
        </is>
      </c>
      <c r="H402" s="23" t="inlineStr">
        <is>
          <t>RETAINED</t>
        </is>
      </c>
      <c r="I402" s="23" t="inlineStr">
        <is>
          <t>Carried forward</t>
        </is>
      </c>
      <c r="J402" s="23" t="inlineStr">
        <is>
          <t>Source assignment -- not individually reviewed</t>
        </is>
      </c>
      <c r="K402" s="23" t="inlineStr"/>
      <c r="L402" s="23" t="inlineStr"/>
      <c r="M402" s="23" t="inlineStr"/>
      <c r="N402" s="14" t="inlineStr">
        <is>
          <t>10 EVIDENCE &amp; DECISIONS</t>
        </is>
      </c>
    </row>
    <row r="403" ht="34" customHeight="1">
      <c r="A403" s="23" t="inlineStr">
        <is>
          <t>Contractor Programme</t>
        </is>
      </c>
      <c r="B403" s="23" t="inlineStr">
        <is>
          <t>SCH-02-172</t>
        </is>
      </c>
      <c r="C403" s="23" t="inlineStr">
        <is>
          <t>Market Station: fire-life-safety cabling - turnover</t>
        </is>
      </c>
      <c r="D403" s="23" t="inlineStr">
        <is>
          <t>WBS Code = 1.2.1</t>
        </is>
      </c>
      <c r="E403" s="23" t="inlineStr">
        <is>
          <t>R352-v2</t>
        </is>
      </c>
      <c r="F403" s="23" t="inlineStr">
        <is>
          <t>1.2.1 Stations - Station Structures</t>
        </is>
      </c>
      <c r="G403" s="23" t="inlineStr">
        <is>
          <t>ONE_TO_ONE</t>
        </is>
      </c>
      <c r="H403" s="23" t="inlineStr">
        <is>
          <t>RETAINED</t>
        </is>
      </c>
      <c r="I403" s="23" t="inlineStr">
        <is>
          <t>Carried forward</t>
        </is>
      </c>
      <c r="J403" s="23" t="inlineStr">
        <is>
          <t>Source assignment -- not individually reviewed</t>
        </is>
      </c>
      <c r="K403" s="23" t="inlineStr"/>
      <c r="L403" s="23" t="inlineStr"/>
      <c r="M403" s="23" t="inlineStr"/>
      <c r="N403" s="14" t="inlineStr">
        <is>
          <t>10 EVIDENCE &amp; DECISIONS</t>
        </is>
      </c>
    </row>
    <row r="404" ht="34" customHeight="1">
      <c r="A404" s="23" t="inlineStr">
        <is>
          <t>Contractor Programme</t>
        </is>
      </c>
      <c r="B404" s="23" t="inlineStr">
        <is>
          <t>SCH-02-173</t>
        </is>
      </c>
      <c r="C404" s="23" t="inlineStr">
        <is>
          <t>Civic Station: concourse slab pour - release</t>
        </is>
      </c>
      <c r="D404" s="23" t="inlineStr">
        <is>
          <t>WBS Code = 1.2.1</t>
        </is>
      </c>
      <c r="E404" s="23" t="inlineStr">
        <is>
          <t>R353-v2</t>
        </is>
      </c>
      <c r="F404" s="23" t="inlineStr">
        <is>
          <t>1.2.1 Stations - Station Structures</t>
        </is>
      </c>
      <c r="G404" s="23" t="inlineStr">
        <is>
          <t>ONE_TO_ONE</t>
        </is>
      </c>
      <c r="H404" s="23" t="inlineStr">
        <is>
          <t>RETAINED</t>
        </is>
      </c>
      <c r="I404" s="23" t="inlineStr">
        <is>
          <t>Carried forward</t>
        </is>
      </c>
      <c r="J404" s="23" t="inlineStr">
        <is>
          <t>Source assignment -- not individually reviewed</t>
        </is>
      </c>
      <c r="K404" s="23" t="inlineStr"/>
      <c r="L404" s="23" t="inlineStr"/>
      <c r="M404" s="23" t="inlineStr"/>
      <c r="N404" s="14" t="inlineStr">
        <is>
          <t>10 EVIDENCE &amp; DECISIONS</t>
        </is>
      </c>
    </row>
    <row r="405" ht="34" customHeight="1">
      <c r="A405" s="23" t="inlineStr">
        <is>
          <t>Contractor Programme</t>
        </is>
      </c>
      <c r="B405" s="23" t="inlineStr">
        <is>
          <t>SCH-02-175</t>
        </is>
      </c>
      <c r="C405" s="23" t="inlineStr">
        <is>
          <t>West Terminal: public-realm paving - installation</t>
        </is>
      </c>
      <c r="D405" s="23" t="inlineStr">
        <is>
          <t>WBS Code = 1.2.1</t>
        </is>
      </c>
      <c r="E405" s="23" t="inlineStr">
        <is>
          <t>R355-v2</t>
        </is>
      </c>
      <c r="F405" s="23" t="inlineStr">
        <is>
          <t>1.2.1 Stations - Station Structures</t>
        </is>
      </c>
      <c r="G405" s="23" t="inlineStr">
        <is>
          <t>ONE_TO_ONE</t>
        </is>
      </c>
      <c r="H405" s="23" t="inlineStr">
        <is>
          <t>RETAINED</t>
        </is>
      </c>
      <c r="I405" s="23" t="inlineStr">
        <is>
          <t>Carried forward</t>
        </is>
      </c>
      <c r="J405" s="23" t="inlineStr">
        <is>
          <t>Source assignment -- not individually reviewed</t>
        </is>
      </c>
      <c r="K405" s="23" t="inlineStr"/>
      <c r="L405" s="23" t="inlineStr"/>
      <c r="M405" s="23" t="inlineStr"/>
      <c r="N405" s="14" t="inlineStr">
        <is>
          <t>10 EVIDENCE &amp; DECISIONS</t>
        </is>
      </c>
    </row>
    <row r="406" ht="34" customHeight="1">
      <c r="A406" s="23" t="inlineStr">
        <is>
          <t>Contractor Programme</t>
        </is>
      </c>
      <c r="B406" s="23" t="inlineStr">
        <is>
          <t>SCH-02-176</t>
        </is>
      </c>
      <c r="C406" s="23" t="inlineStr">
        <is>
          <t>Harbour Station: entrance steel erection - inspection</t>
        </is>
      </c>
      <c r="D406" s="23" t="inlineStr">
        <is>
          <t>WBS Code = 1.2.1</t>
        </is>
      </c>
      <c r="E406" s="23" t="inlineStr">
        <is>
          <t>R356-v2</t>
        </is>
      </c>
      <c r="F406" s="23" t="inlineStr">
        <is>
          <t>1.2.1 Stations - Station Structures</t>
        </is>
      </c>
      <c r="G406" s="23" t="inlineStr">
        <is>
          <t>ONE_TO_ONE</t>
        </is>
      </c>
      <c r="H406" s="23" t="inlineStr">
        <is>
          <t>RETAINED</t>
        </is>
      </c>
      <c r="I406" s="23" t="inlineStr">
        <is>
          <t>Carried forward</t>
        </is>
      </c>
      <c r="J406" s="23" t="inlineStr">
        <is>
          <t>Source assignment -- not individually reviewed</t>
        </is>
      </c>
      <c r="K406" s="23" t="inlineStr"/>
      <c r="L406" s="23" t="inlineStr"/>
      <c r="M406" s="23" t="inlineStr"/>
      <c r="N406" s="14" t="inlineStr">
        <is>
          <t>10 EVIDENCE &amp; DECISIONS</t>
        </is>
      </c>
    </row>
    <row r="407" ht="34" customHeight="1">
      <c r="A407" s="23" t="inlineStr">
        <is>
          <t>Contractor Programme</t>
        </is>
      </c>
      <c r="B407" s="23" t="inlineStr">
        <is>
          <t>SCH-02-178</t>
        </is>
      </c>
      <c r="C407" s="23" t="inlineStr">
        <is>
          <t>Civic Station: platform edge installation - release</t>
        </is>
      </c>
      <c r="D407" s="23" t="inlineStr">
        <is>
          <t>WBS Code = 1.2.1</t>
        </is>
      </c>
      <c r="E407" s="23" t="inlineStr">
        <is>
          <t>R358-v2</t>
        </is>
      </c>
      <c r="F407" s="23" t="inlineStr">
        <is>
          <t>1.2.1 Stations - Station Structures</t>
        </is>
      </c>
      <c r="G407" s="23" t="inlineStr">
        <is>
          <t>ONE_TO_ONE</t>
        </is>
      </c>
      <c r="H407" s="23" t="inlineStr">
        <is>
          <t>RETAINED</t>
        </is>
      </c>
      <c r="I407" s="23" t="inlineStr">
        <is>
          <t>Carried forward</t>
        </is>
      </c>
      <c r="J407" s="23" t="inlineStr">
        <is>
          <t>Source assignment -- not individually reviewed</t>
        </is>
      </c>
      <c r="K407" s="23" t="inlineStr"/>
      <c r="L407" s="23" t="inlineStr"/>
      <c r="M407" s="23" t="inlineStr"/>
      <c r="N407" s="14" t="inlineStr">
        <is>
          <t>10 EVIDENCE &amp; DECISIONS</t>
        </is>
      </c>
    </row>
    <row r="408" ht="34" customHeight="1">
      <c r="A408" s="23" t="inlineStr">
        <is>
          <t>Contractor Programme</t>
        </is>
      </c>
      <c r="B408" s="23" t="inlineStr">
        <is>
          <t>SCH-02-179</t>
        </is>
      </c>
      <c r="C408" s="23" t="inlineStr">
        <is>
          <t>University Station: architectural wall framing - field start</t>
        </is>
      </c>
      <c r="D408" s="23" t="inlineStr">
        <is>
          <t>WBS Code = 1.2.1</t>
        </is>
      </c>
      <c r="E408" s="23" t="inlineStr">
        <is>
          <t>R359-v2</t>
        </is>
      </c>
      <c r="F408" s="23" t="inlineStr">
        <is>
          <t>1.2.1 Stations - Station Structures</t>
        </is>
      </c>
      <c r="G408" s="23" t="inlineStr">
        <is>
          <t>ONE_TO_ONE</t>
        </is>
      </c>
      <c r="H408" s="23" t="inlineStr">
        <is>
          <t>RETAINED</t>
        </is>
      </c>
      <c r="I408" s="23" t="inlineStr">
        <is>
          <t>Carried forward</t>
        </is>
      </c>
      <c r="J408" s="23" t="inlineStr">
        <is>
          <t>Source assignment -- not individually reviewed</t>
        </is>
      </c>
      <c r="K408" s="23" t="inlineStr"/>
      <c r="L408" s="23" t="inlineStr"/>
      <c r="M408" s="23" t="inlineStr"/>
      <c r="N408" s="14" t="inlineStr">
        <is>
          <t>10 EVIDENCE &amp; DECISIONS</t>
        </is>
      </c>
    </row>
    <row r="409" ht="34" customHeight="1">
      <c r="A409" s="23" t="inlineStr">
        <is>
          <t>Cost &amp; Forecast Control Accounts</t>
        </is>
      </c>
      <c r="B409" s="23" t="inlineStr">
        <is>
          <t>CST-02-001</t>
        </is>
      </c>
      <c r="C409" s="23" t="inlineStr">
        <is>
          <t>Stations - public realm - allowance</t>
        </is>
      </c>
      <c r="D409" s="23" t="inlineStr">
        <is>
          <t>Cost Account = CA-2001; WBS Code = 1.2.1</t>
        </is>
      </c>
      <c r="E409" s="23" t="inlineStr">
        <is>
          <t>R1163-v2</t>
        </is>
      </c>
      <c r="F409" s="23" t="inlineStr">
        <is>
          <t>1.2.1 Stations - Station Structures</t>
        </is>
      </c>
      <c r="G409" s="23" t="inlineStr">
        <is>
          <t>ONE_TO_ONE</t>
        </is>
      </c>
      <c r="H409" s="23" t="inlineStr">
        <is>
          <t>RETAINED</t>
        </is>
      </c>
      <c r="I409" s="23" t="inlineStr">
        <is>
          <t>Carried forward</t>
        </is>
      </c>
      <c r="J409" s="23" t="inlineStr">
        <is>
          <t>Source assignment -- not individually reviewed</t>
        </is>
      </c>
      <c r="K409" s="23" t="inlineStr"/>
      <c r="L409" s="23" t="inlineStr"/>
      <c r="M409" s="23" t="inlineStr"/>
      <c r="N409" s="14" t="inlineStr">
        <is>
          <t>10 EVIDENCE &amp; DECISIONS</t>
        </is>
      </c>
    </row>
    <row r="410" ht="34" customHeight="1">
      <c r="A410" s="23" t="inlineStr">
        <is>
          <t>Cost &amp; Forecast Control Accounts</t>
        </is>
      </c>
      <c r="B410" s="23" t="inlineStr">
        <is>
          <t>CST-02-003</t>
        </is>
      </c>
      <c r="C410" s="23" t="inlineStr">
        <is>
          <t>Stations - building services - field package</t>
        </is>
      </c>
      <c r="D410" s="23" t="inlineStr">
        <is>
          <t>Cost Account = CA-2003; WBS Code = 1.2.1</t>
        </is>
      </c>
      <c r="E410" s="23" t="inlineStr">
        <is>
          <t>R1165-v2</t>
        </is>
      </c>
      <c r="F410" s="23" t="inlineStr">
        <is>
          <t>1.2.1 Stations - Station Structures</t>
        </is>
      </c>
      <c r="G410" s="23" t="inlineStr">
        <is>
          <t>ONE_TO_ONE</t>
        </is>
      </c>
      <c r="H410" s="23" t="inlineStr">
        <is>
          <t>RETAINED</t>
        </is>
      </c>
      <c r="I410" s="23" t="inlineStr">
        <is>
          <t>Carried forward</t>
        </is>
      </c>
      <c r="J410" s="23" t="inlineStr">
        <is>
          <t>Source assignment -- not individually reviewed</t>
        </is>
      </c>
      <c r="K410" s="23" t="inlineStr"/>
      <c r="L410" s="23" t="inlineStr"/>
      <c r="M410" s="23" t="inlineStr"/>
      <c r="N410" s="14" t="inlineStr">
        <is>
          <t>10 EVIDENCE &amp; DECISIONS</t>
        </is>
      </c>
    </row>
    <row r="411" ht="34" customHeight="1">
      <c r="A411" s="23" t="inlineStr">
        <is>
          <t>Cost &amp; Forecast Control Accounts</t>
        </is>
      </c>
      <c r="B411" s="23" t="inlineStr">
        <is>
          <t>CST-02-005</t>
        </is>
      </c>
      <c r="C411" s="23" t="inlineStr">
        <is>
          <t>Stations - station structure - professional services</t>
        </is>
      </c>
      <c r="D411" s="23" t="inlineStr">
        <is>
          <t>Cost Account = CA-2005; WBS Code = 1.2.1</t>
        </is>
      </c>
      <c r="E411" s="23" t="inlineStr">
        <is>
          <t>R1167-v2</t>
        </is>
      </c>
      <c r="F411" s="23" t="inlineStr">
        <is>
          <t>1.2.1 Stations - Station Structures</t>
        </is>
      </c>
      <c r="G411" s="23" t="inlineStr">
        <is>
          <t>ONE_TO_ONE</t>
        </is>
      </c>
      <c r="H411" s="23" t="inlineStr">
        <is>
          <t>RETAINED</t>
        </is>
      </c>
      <c r="I411" s="23" t="inlineStr">
        <is>
          <t>Carried forward</t>
        </is>
      </c>
      <c r="J411" s="23" t="inlineStr">
        <is>
          <t>Source assignment -- not individually reviewed</t>
        </is>
      </c>
      <c r="K411" s="23" t="inlineStr"/>
      <c r="L411" s="23" t="inlineStr"/>
      <c r="M411" s="23" t="inlineStr"/>
      <c r="N411" s="14" t="inlineStr">
        <is>
          <t>10 EVIDENCE &amp; DECISIONS</t>
        </is>
      </c>
    </row>
    <row r="412" ht="34" customHeight="1">
      <c r="A412" s="23" t="inlineStr">
        <is>
          <t>Cost &amp; Forecast Control Accounts</t>
        </is>
      </c>
      <c r="B412" s="23" t="inlineStr">
        <is>
          <t>CST-02-007</t>
        </is>
      </c>
      <c r="C412" s="23" t="inlineStr">
        <is>
          <t>Stations - public realm - closeout</t>
        </is>
      </c>
      <c r="D412" s="23" t="inlineStr">
        <is>
          <t>Cost Account = CA-2007; WBS Code = 1.2.1</t>
        </is>
      </c>
      <c r="E412" s="23" t="inlineStr">
        <is>
          <t>R1169-v2</t>
        </is>
      </c>
      <c r="F412" s="23" t="inlineStr">
        <is>
          <t>1.2.1 Stations - Station Structures</t>
        </is>
      </c>
      <c r="G412" s="23" t="inlineStr">
        <is>
          <t>ONE_TO_ONE</t>
        </is>
      </c>
      <c r="H412" s="23" t="inlineStr">
        <is>
          <t>RETAINED</t>
        </is>
      </c>
      <c r="I412" s="23" t="inlineStr">
        <is>
          <t>Carried forward</t>
        </is>
      </c>
      <c r="J412" s="23" t="inlineStr">
        <is>
          <t>Source assignment -- not individually reviewed</t>
        </is>
      </c>
      <c r="K412" s="23" t="inlineStr"/>
      <c r="L412" s="23" t="inlineStr"/>
      <c r="M412" s="23" t="inlineStr"/>
      <c r="N412" s="14" t="inlineStr">
        <is>
          <t>10 EVIDENCE &amp; DECISIONS</t>
        </is>
      </c>
    </row>
    <row r="413" ht="34" customHeight="1">
      <c r="A413" s="23" t="inlineStr">
        <is>
          <t>Cost &amp; Forecast Control Accounts</t>
        </is>
      </c>
      <c r="B413" s="23" t="inlineStr">
        <is>
          <t>CST-02-009</t>
        </is>
      </c>
      <c r="C413" s="23" t="inlineStr">
        <is>
          <t>Stations - building services - supply and install</t>
        </is>
      </c>
      <c r="D413" s="23" t="inlineStr">
        <is>
          <t>Cost Account = CA-2009; WBS Code = 1.2.1</t>
        </is>
      </c>
      <c r="E413" s="23" t="inlineStr">
        <is>
          <t>R1171-v2</t>
        </is>
      </c>
      <c r="F413" s="23" t="inlineStr">
        <is>
          <t>1.2.1 Stations - Station Structures</t>
        </is>
      </c>
      <c r="G413" s="23" t="inlineStr">
        <is>
          <t>ONE_TO_ONE</t>
        </is>
      </c>
      <c r="H413" s="23" t="inlineStr">
        <is>
          <t>RETAINED</t>
        </is>
      </c>
      <c r="I413" s="23" t="inlineStr">
        <is>
          <t>Carried forward</t>
        </is>
      </c>
      <c r="J413" s="23" t="inlineStr">
        <is>
          <t>Source assignment -- not individually reviewed</t>
        </is>
      </c>
      <c r="K413" s="23" t="inlineStr"/>
      <c r="L413" s="23" t="inlineStr"/>
      <c r="M413" s="23" t="inlineStr"/>
      <c r="N413" s="14" t="inlineStr">
        <is>
          <t>10 EVIDENCE &amp; DECISIONS</t>
        </is>
      </c>
    </row>
    <row r="414" ht="34" customHeight="1">
      <c r="A414" s="23" t="inlineStr">
        <is>
          <t>Cost &amp; Forecast Control Accounts</t>
        </is>
      </c>
      <c r="B414" s="23" t="inlineStr">
        <is>
          <t>CST-02-011</t>
        </is>
      </c>
      <c r="C414" s="23" t="inlineStr">
        <is>
          <t>Stations - station structure - allowance</t>
        </is>
      </c>
      <c r="D414" s="23" t="inlineStr">
        <is>
          <t>Cost Account = CA-2011; WBS Code = 1.2.1</t>
        </is>
      </c>
      <c r="E414" s="23" t="inlineStr">
        <is>
          <t>R1173-v2</t>
        </is>
      </c>
      <c r="F414" s="23" t="inlineStr">
        <is>
          <t>1.2.1 Stations - Station Structures</t>
        </is>
      </c>
      <c r="G414" s="23" t="inlineStr">
        <is>
          <t>ONE_TO_ONE</t>
        </is>
      </c>
      <c r="H414" s="23" t="inlineStr">
        <is>
          <t>RETAINED</t>
        </is>
      </c>
      <c r="I414" s="23" t="inlineStr">
        <is>
          <t>Carried forward</t>
        </is>
      </c>
      <c r="J414" s="23" t="inlineStr">
        <is>
          <t>Source assignment -- not individually reviewed</t>
        </is>
      </c>
      <c r="K414" s="23" t="inlineStr"/>
      <c r="L414" s="23" t="inlineStr"/>
      <c r="M414" s="23" t="inlineStr"/>
      <c r="N414" s="14" t="inlineStr">
        <is>
          <t>10 EVIDENCE &amp; DECISIONS</t>
        </is>
      </c>
    </row>
    <row r="415" ht="34" customHeight="1">
      <c r="A415" s="23" t="inlineStr">
        <is>
          <t>Cost &amp; Forecast Control Accounts</t>
        </is>
      </c>
      <c r="B415" s="23" t="inlineStr">
        <is>
          <t>CST-02-013</t>
        </is>
      </c>
      <c r="C415" s="23" t="inlineStr">
        <is>
          <t>Stations - public realm - field package</t>
        </is>
      </c>
      <c r="D415" s="23" t="inlineStr">
        <is>
          <t>Cost Account = CA-2013; WBS Code = 1.2.1</t>
        </is>
      </c>
      <c r="E415" s="23" t="inlineStr">
        <is>
          <t>R1175-v2</t>
        </is>
      </c>
      <c r="F415" s="23" t="inlineStr">
        <is>
          <t>1.2.1 Stations - Station Structures</t>
        </is>
      </c>
      <c r="G415" s="23" t="inlineStr">
        <is>
          <t>ONE_TO_ONE</t>
        </is>
      </c>
      <c r="H415" s="23" t="inlineStr">
        <is>
          <t>RETAINED</t>
        </is>
      </c>
      <c r="I415" s="23" t="inlineStr">
        <is>
          <t>Carried forward</t>
        </is>
      </c>
      <c r="J415" s="23" t="inlineStr">
        <is>
          <t>Source assignment -- not individually reviewed</t>
        </is>
      </c>
      <c r="K415" s="23" t="inlineStr"/>
      <c r="L415" s="23" t="inlineStr"/>
      <c r="M415" s="23" t="inlineStr"/>
      <c r="N415" s="14" t="inlineStr">
        <is>
          <t>10 EVIDENCE &amp; DECISIONS</t>
        </is>
      </c>
    </row>
    <row r="416" ht="34" customHeight="1">
      <c r="A416" s="23" t="inlineStr">
        <is>
          <t>Cost &amp; Forecast Control Accounts</t>
        </is>
      </c>
      <c r="B416" s="23" t="inlineStr">
        <is>
          <t>CST-02-015</t>
        </is>
      </c>
      <c r="C416" s="23" t="inlineStr">
        <is>
          <t>Stations - building services - professional services</t>
        </is>
      </c>
      <c r="D416" s="23" t="inlineStr">
        <is>
          <t>Cost Account = CA-2015; WBS Code = 1.2.1</t>
        </is>
      </c>
      <c r="E416" s="23" t="inlineStr">
        <is>
          <t>R1177-v2</t>
        </is>
      </c>
      <c r="F416" s="23" t="inlineStr">
        <is>
          <t>1.2.1 Stations - Station Structures</t>
        </is>
      </c>
      <c r="G416" s="23" t="inlineStr">
        <is>
          <t>ONE_TO_ONE</t>
        </is>
      </c>
      <c r="H416" s="23" t="inlineStr">
        <is>
          <t>RETAINED</t>
        </is>
      </c>
      <c r="I416" s="23" t="inlineStr">
        <is>
          <t>Carried forward</t>
        </is>
      </c>
      <c r="J416" s="23" t="inlineStr">
        <is>
          <t>Source assignment -- not individually reviewed</t>
        </is>
      </c>
      <c r="K416" s="23" t="inlineStr"/>
      <c r="L416" s="23" t="inlineStr"/>
      <c r="M416" s="23" t="inlineStr"/>
      <c r="N416" s="14" t="inlineStr">
        <is>
          <t>10 EVIDENCE &amp; DECISIONS</t>
        </is>
      </c>
    </row>
    <row r="417" ht="34" customHeight="1">
      <c r="A417" s="23" t="inlineStr">
        <is>
          <t>Cost &amp; Forecast Control Accounts</t>
        </is>
      </c>
      <c r="B417" s="23" t="inlineStr">
        <is>
          <t>CST-02-017</t>
        </is>
      </c>
      <c r="C417" s="23" t="inlineStr">
        <is>
          <t>Stations - station structure - closeout</t>
        </is>
      </c>
      <c r="D417" s="23" t="inlineStr">
        <is>
          <t>Cost Account = CA-2017; WBS Code = 1.2.1</t>
        </is>
      </c>
      <c r="E417" s="23" t="inlineStr">
        <is>
          <t>R1179-v2</t>
        </is>
      </c>
      <c r="F417" s="23" t="inlineStr">
        <is>
          <t>1.2.1 Stations - Station Structures</t>
        </is>
      </c>
      <c r="G417" s="23" t="inlineStr">
        <is>
          <t>ONE_TO_ONE</t>
        </is>
      </c>
      <c r="H417" s="23" t="inlineStr">
        <is>
          <t>RETAINED</t>
        </is>
      </c>
      <c r="I417" s="23" t="inlineStr">
        <is>
          <t>Carried forward</t>
        </is>
      </c>
      <c r="J417" s="23" t="inlineStr">
        <is>
          <t>Source assignment -- not individually reviewed</t>
        </is>
      </c>
      <c r="K417" s="23" t="inlineStr"/>
      <c r="L417" s="23" t="inlineStr"/>
      <c r="M417" s="23" t="inlineStr"/>
      <c r="N417" s="14" t="inlineStr">
        <is>
          <t>10 EVIDENCE &amp; DECISIONS</t>
        </is>
      </c>
    </row>
    <row r="418" ht="34" customHeight="1">
      <c r="A418" s="23" t="inlineStr">
        <is>
          <t>Cost &amp; Forecast Control Accounts</t>
        </is>
      </c>
      <c r="B418" s="23" t="inlineStr">
        <is>
          <t>CST-02-019</t>
        </is>
      </c>
      <c r="C418" s="23" t="inlineStr">
        <is>
          <t>Stations - public realm - supply and install</t>
        </is>
      </c>
      <c r="D418" s="23" t="inlineStr">
        <is>
          <t>Cost Account = CA-2019; WBS Code = 1.2.1</t>
        </is>
      </c>
      <c r="E418" s="23" t="inlineStr">
        <is>
          <t>R1181-v2</t>
        </is>
      </c>
      <c r="F418" s="23" t="inlineStr">
        <is>
          <t>1.2.1 Stations - Station Structures</t>
        </is>
      </c>
      <c r="G418" s="23" t="inlineStr">
        <is>
          <t>ONE_TO_ONE</t>
        </is>
      </c>
      <c r="H418" s="23" t="inlineStr">
        <is>
          <t>RETAINED</t>
        </is>
      </c>
      <c r="I418" s="23" t="inlineStr">
        <is>
          <t>Carried forward</t>
        </is>
      </c>
      <c r="J418" s="23" t="inlineStr">
        <is>
          <t>Source assignment -- not individually reviewed</t>
        </is>
      </c>
      <c r="K418" s="23" t="inlineStr"/>
      <c r="L418" s="23" t="inlineStr"/>
      <c r="M418" s="23" t="inlineStr"/>
      <c r="N418" s="14" t="inlineStr">
        <is>
          <t>10 EVIDENCE &amp; DECISIONS</t>
        </is>
      </c>
    </row>
    <row r="419" ht="34" customHeight="1">
      <c r="A419" s="23" t="inlineStr">
        <is>
          <t>Cost &amp; Forecast Control Accounts</t>
        </is>
      </c>
      <c r="B419" s="23" t="inlineStr">
        <is>
          <t>CST-02-021</t>
        </is>
      </c>
      <c r="C419" s="23" t="inlineStr">
        <is>
          <t>Stations - building services - allowance</t>
        </is>
      </c>
      <c r="D419" s="23" t="inlineStr">
        <is>
          <t>Cost Account = CA-2021; WBS Code = 1.2.1</t>
        </is>
      </c>
      <c r="E419" s="23" t="inlineStr">
        <is>
          <t>R1183-v2</t>
        </is>
      </c>
      <c r="F419" s="23" t="inlineStr">
        <is>
          <t>1.2.1 Stations - Station Structures</t>
        </is>
      </c>
      <c r="G419" s="23" t="inlineStr">
        <is>
          <t>ONE_TO_ONE</t>
        </is>
      </c>
      <c r="H419" s="23" t="inlineStr">
        <is>
          <t>RETAINED</t>
        </is>
      </c>
      <c r="I419" s="23" t="inlineStr">
        <is>
          <t>Carried forward</t>
        </is>
      </c>
      <c r="J419" s="23" t="inlineStr">
        <is>
          <t>Source assignment -- not individually reviewed</t>
        </is>
      </c>
      <c r="K419" s="23" t="inlineStr"/>
      <c r="L419" s="23" t="inlineStr"/>
      <c r="M419" s="23" t="inlineStr"/>
      <c r="N419" s="14" t="inlineStr">
        <is>
          <t>10 EVIDENCE &amp; DECISIONS</t>
        </is>
      </c>
    </row>
    <row r="420" ht="34" customHeight="1">
      <c r="A420" s="23" t="inlineStr">
        <is>
          <t>Cost &amp; Forecast Control Accounts</t>
        </is>
      </c>
      <c r="B420" s="23" t="inlineStr">
        <is>
          <t>CST-02-023</t>
        </is>
      </c>
      <c r="C420" s="23" t="inlineStr">
        <is>
          <t>Stations - station structure - field package</t>
        </is>
      </c>
      <c r="D420" s="23" t="inlineStr">
        <is>
          <t>Cost Account = CA-2023; WBS Code = 1.2.1</t>
        </is>
      </c>
      <c r="E420" s="23" t="inlineStr">
        <is>
          <t>R1185-v2</t>
        </is>
      </c>
      <c r="F420" s="23" t="inlineStr">
        <is>
          <t>1.2.1 Stations - Station Structures</t>
        </is>
      </c>
      <c r="G420" s="23" t="inlineStr">
        <is>
          <t>ONE_TO_ONE</t>
        </is>
      </c>
      <c r="H420" s="23" t="inlineStr">
        <is>
          <t>RETAINED</t>
        </is>
      </c>
      <c r="I420" s="23" t="inlineStr">
        <is>
          <t>Carried forward</t>
        </is>
      </c>
      <c r="J420" s="23" t="inlineStr">
        <is>
          <t>Source assignment -- not individually reviewed</t>
        </is>
      </c>
      <c r="K420" s="23" t="inlineStr"/>
      <c r="L420" s="23" t="inlineStr"/>
      <c r="M420" s="23" t="inlineStr"/>
      <c r="N420" s="14" t="inlineStr">
        <is>
          <t>10 EVIDENCE &amp; DECISIONS</t>
        </is>
      </c>
    </row>
    <row r="421" ht="34" customHeight="1">
      <c r="A421" s="23" t="inlineStr">
        <is>
          <t>Cost &amp; Forecast Control Accounts</t>
        </is>
      </c>
      <c r="B421" s="23" t="inlineStr">
        <is>
          <t>CST-02-025</t>
        </is>
      </c>
      <c r="C421" s="23" t="inlineStr">
        <is>
          <t>Stations - public realm - professional services</t>
        </is>
      </c>
      <c r="D421" s="23" t="inlineStr">
        <is>
          <t>Cost Account = CA-2025; WBS Code = 1.2.1</t>
        </is>
      </c>
      <c r="E421" s="23" t="inlineStr">
        <is>
          <t>R1187-v2</t>
        </is>
      </c>
      <c r="F421" s="23" t="inlineStr">
        <is>
          <t>1.2.1 Stations - Station Structures</t>
        </is>
      </c>
      <c r="G421" s="23" t="inlineStr">
        <is>
          <t>ONE_TO_ONE</t>
        </is>
      </c>
      <c r="H421" s="23" t="inlineStr">
        <is>
          <t>RETAINED</t>
        </is>
      </c>
      <c r="I421" s="23" t="inlineStr">
        <is>
          <t>Carried forward</t>
        </is>
      </c>
      <c r="J421" s="23" t="inlineStr">
        <is>
          <t>Source assignment -- not individually reviewed</t>
        </is>
      </c>
      <c r="K421" s="23" t="inlineStr"/>
      <c r="L421" s="23" t="inlineStr"/>
      <c r="M421" s="23" t="inlineStr"/>
      <c r="N421" s="14" t="inlineStr">
        <is>
          <t>10 EVIDENCE &amp; DECISIONS</t>
        </is>
      </c>
    </row>
    <row r="422" ht="34" customHeight="1">
      <c r="A422" s="23" t="inlineStr">
        <is>
          <t>Cost &amp; Forecast Control Accounts</t>
        </is>
      </c>
      <c r="B422" s="23" t="inlineStr">
        <is>
          <t>CST-02-027</t>
        </is>
      </c>
      <c r="C422" s="23" t="inlineStr">
        <is>
          <t>Stations - building services - closeout</t>
        </is>
      </c>
      <c r="D422" s="23" t="inlineStr">
        <is>
          <t>Cost Account = CA-2027; WBS Code = 1.2.1</t>
        </is>
      </c>
      <c r="E422" s="23" t="inlineStr">
        <is>
          <t>R1189-v2</t>
        </is>
      </c>
      <c r="F422" s="23" t="inlineStr">
        <is>
          <t>1.2.1 Stations - Station Structures</t>
        </is>
      </c>
      <c r="G422" s="23" t="inlineStr">
        <is>
          <t>ONE_TO_ONE</t>
        </is>
      </c>
      <c r="H422" s="23" t="inlineStr">
        <is>
          <t>RETAINED</t>
        </is>
      </c>
      <c r="I422" s="23" t="inlineStr">
        <is>
          <t>Carried forward</t>
        </is>
      </c>
      <c r="J422" s="23" t="inlineStr">
        <is>
          <t>Source assignment -- not individually reviewed</t>
        </is>
      </c>
      <c r="K422" s="23" t="inlineStr"/>
      <c r="L422" s="23" t="inlineStr"/>
      <c r="M422" s="23" t="inlineStr"/>
      <c r="N422" s="14" t="inlineStr">
        <is>
          <t>10 EVIDENCE &amp; DECISIONS</t>
        </is>
      </c>
    </row>
    <row r="423" ht="34" customHeight="1">
      <c r="A423" s="23" t="inlineStr">
        <is>
          <t>Cost &amp; Forecast Control Accounts</t>
        </is>
      </c>
      <c r="B423" s="23" t="inlineStr">
        <is>
          <t>CST-02-029</t>
        </is>
      </c>
      <c r="C423" s="23" t="inlineStr">
        <is>
          <t>Stations - station structure - supply and install</t>
        </is>
      </c>
      <c r="D423" s="23" t="inlineStr">
        <is>
          <t>Cost Account = CA-2029; WBS Code = 1.2.1</t>
        </is>
      </c>
      <c r="E423" s="23" t="inlineStr">
        <is>
          <t>R1191-v2</t>
        </is>
      </c>
      <c r="F423" s="23" t="inlineStr">
        <is>
          <t>1.2.1 Stations - Station Structures</t>
        </is>
      </c>
      <c r="G423" s="23" t="inlineStr">
        <is>
          <t>ONE_TO_ONE</t>
        </is>
      </c>
      <c r="H423" s="23" t="inlineStr">
        <is>
          <t>RETAINED</t>
        </is>
      </c>
      <c r="I423" s="23" t="inlineStr">
        <is>
          <t>Carried forward</t>
        </is>
      </c>
      <c r="J423" s="23" t="inlineStr">
        <is>
          <t>Source assignment -- not individually reviewed</t>
        </is>
      </c>
      <c r="K423" s="23" t="inlineStr"/>
      <c r="L423" s="23" t="inlineStr"/>
      <c r="M423" s="23" t="inlineStr"/>
      <c r="N423" s="14" t="inlineStr">
        <is>
          <t>10 EVIDENCE &amp; DECISIONS</t>
        </is>
      </c>
    </row>
    <row r="424" ht="34" customHeight="1">
      <c r="A424" s="23" t="inlineStr">
        <is>
          <t>Cost &amp; Forecast Control Accounts</t>
        </is>
      </c>
      <c r="B424" s="23" t="inlineStr">
        <is>
          <t>CST-02-031</t>
        </is>
      </c>
      <c r="C424" s="23" t="inlineStr">
        <is>
          <t>Stations - public realm - allowance</t>
        </is>
      </c>
      <c r="D424" s="23" t="inlineStr">
        <is>
          <t>Cost Account = CA-2031; WBS Code = 1.2.1</t>
        </is>
      </c>
      <c r="E424" s="23" t="inlineStr">
        <is>
          <t>R1193-v2</t>
        </is>
      </c>
      <c r="F424" s="23" t="inlineStr">
        <is>
          <t>1.2.1 Stations - Station Structures</t>
        </is>
      </c>
      <c r="G424" s="23" t="inlineStr">
        <is>
          <t>ONE_TO_ONE</t>
        </is>
      </c>
      <c r="H424" s="23" t="inlineStr">
        <is>
          <t>RETAINED</t>
        </is>
      </c>
      <c r="I424" s="23" t="inlineStr">
        <is>
          <t>Carried forward</t>
        </is>
      </c>
      <c r="J424" s="23" t="inlineStr">
        <is>
          <t>Source assignment -- not individually reviewed</t>
        </is>
      </c>
      <c r="K424" s="23" t="inlineStr"/>
      <c r="L424" s="23" t="inlineStr"/>
      <c r="M424" s="23" t="inlineStr"/>
      <c r="N424" s="14" t="inlineStr">
        <is>
          <t>10 EVIDENCE &amp; DECISIONS</t>
        </is>
      </c>
    </row>
    <row r="425" ht="34" customHeight="1">
      <c r="A425" s="23" t="inlineStr">
        <is>
          <t>Cost &amp; Forecast Control Accounts</t>
        </is>
      </c>
      <c r="B425" s="23" t="inlineStr">
        <is>
          <t>CST-02-033</t>
        </is>
      </c>
      <c r="C425" s="23" t="inlineStr">
        <is>
          <t>Stations - building services - field package</t>
        </is>
      </c>
      <c r="D425" s="23" t="inlineStr">
        <is>
          <t>Cost Account = CA-2033; WBS Code = 1.2.1</t>
        </is>
      </c>
      <c r="E425" s="23" t="inlineStr">
        <is>
          <t>R1195-v2</t>
        </is>
      </c>
      <c r="F425" s="23" t="inlineStr">
        <is>
          <t>1.2.1 Stations - Station Structures</t>
        </is>
      </c>
      <c r="G425" s="23" t="inlineStr">
        <is>
          <t>ONE_TO_ONE</t>
        </is>
      </c>
      <c r="H425" s="23" t="inlineStr">
        <is>
          <t>RETAINED</t>
        </is>
      </c>
      <c r="I425" s="23" t="inlineStr">
        <is>
          <t>Carried forward</t>
        </is>
      </c>
      <c r="J425" s="23" t="inlineStr">
        <is>
          <t>Source assignment -- not individually reviewed</t>
        </is>
      </c>
      <c r="K425" s="23" t="inlineStr"/>
      <c r="L425" s="23" t="inlineStr"/>
      <c r="M425" s="23" t="inlineStr"/>
      <c r="N425" s="14" t="inlineStr">
        <is>
          <t>10 EVIDENCE &amp; DECISIONS</t>
        </is>
      </c>
    </row>
    <row r="426" ht="34" customHeight="1">
      <c r="A426" s="23" t="inlineStr">
        <is>
          <t>Cost &amp; Forecast Control Accounts</t>
        </is>
      </c>
      <c r="B426" s="23" t="inlineStr">
        <is>
          <t>CST-02-035</t>
        </is>
      </c>
      <c r="C426" s="23" t="inlineStr">
        <is>
          <t>Stations - station structure - professional services</t>
        </is>
      </c>
      <c r="D426" s="23" t="inlineStr">
        <is>
          <t>Cost Account = CA-2035; WBS Code = 1.2.1</t>
        </is>
      </c>
      <c r="E426" s="23" t="inlineStr">
        <is>
          <t>R1197-v2</t>
        </is>
      </c>
      <c r="F426" s="23" t="inlineStr">
        <is>
          <t>1.2.1 Stations - Station Structures</t>
        </is>
      </c>
      <c r="G426" s="23" t="inlineStr">
        <is>
          <t>ONE_TO_ONE</t>
        </is>
      </c>
      <c r="H426" s="23" t="inlineStr">
        <is>
          <t>RETAINED</t>
        </is>
      </c>
      <c r="I426" s="23" t="inlineStr">
        <is>
          <t>Carried forward</t>
        </is>
      </c>
      <c r="J426" s="23" t="inlineStr">
        <is>
          <t>Source assignment -- not individually reviewed</t>
        </is>
      </c>
      <c r="K426" s="23" t="inlineStr"/>
      <c r="L426" s="23" t="inlineStr"/>
      <c r="M426" s="23" t="inlineStr"/>
      <c r="N426" s="14" t="inlineStr">
        <is>
          <t>10 EVIDENCE &amp; DECISIONS</t>
        </is>
      </c>
    </row>
    <row r="427" ht="34" customHeight="1">
      <c r="A427" s="23" t="inlineStr">
        <is>
          <t>Cost &amp; Forecast Control Accounts</t>
        </is>
      </c>
      <c r="B427" s="23" t="inlineStr">
        <is>
          <t>CST-02-037</t>
        </is>
      </c>
      <c r="C427" s="23" t="inlineStr">
        <is>
          <t>Stations - public realm - closeout</t>
        </is>
      </c>
      <c r="D427" s="23" t="inlineStr">
        <is>
          <t>Cost Account = CA-2037; WBS Code = 1.2.1</t>
        </is>
      </c>
      <c r="E427" s="23" t="inlineStr">
        <is>
          <t>R1199-v2</t>
        </is>
      </c>
      <c r="F427" s="23" t="inlineStr">
        <is>
          <t>1.2.1 Stations - Station Structures</t>
        </is>
      </c>
      <c r="G427" s="23" t="inlineStr">
        <is>
          <t>ONE_TO_ONE</t>
        </is>
      </c>
      <c r="H427" s="23" t="inlineStr">
        <is>
          <t>RETAINED</t>
        </is>
      </c>
      <c r="I427" s="23" t="inlineStr">
        <is>
          <t>Carried forward</t>
        </is>
      </c>
      <c r="J427" s="23" t="inlineStr">
        <is>
          <t>Source assignment -- not individually reviewed</t>
        </is>
      </c>
      <c r="K427" s="23" t="inlineStr"/>
      <c r="L427" s="23" t="inlineStr"/>
      <c r="M427" s="23" t="inlineStr"/>
      <c r="N427" s="14" t="inlineStr">
        <is>
          <t>10 EVIDENCE &amp; DECISIONS</t>
        </is>
      </c>
    </row>
    <row r="428" ht="34" customHeight="1">
      <c r="A428" s="23" t="inlineStr">
        <is>
          <t>Cost &amp; Forecast Control Accounts</t>
        </is>
      </c>
      <c r="B428" s="23" t="inlineStr">
        <is>
          <t>CST-02-039</t>
        </is>
      </c>
      <c r="C428" s="23" t="inlineStr">
        <is>
          <t>Stations - building services - supply and install</t>
        </is>
      </c>
      <c r="D428" s="23" t="inlineStr">
        <is>
          <t>Cost Account = CA-2039; WBS Code = 1.2.1</t>
        </is>
      </c>
      <c r="E428" s="23" t="inlineStr">
        <is>
          <t>R1201-v2</t>
        </is>
      </c>
      <c r="F428" s="23" t="inlineStr">
        <is>
          <t>1.2.1 Stations - Station Structures</t>
        </is>
      </c>
      <c r="G428" s="23" t="inlineStr">
        <is>
          <t>ONE_TO_ONE</t>
        </is>
      </c>
      <c r="H428" s="23" t="inlineStr">
        <is>
          <t>RETAINED</t>
        </is>
      </c>
      <c r="I428" s="23" t="inlineStr">
        <is>
          <t>Carried forward</t>
        </is>
      </c>
      <c r="J428" s="23" t="inlineStr">
        <is>
          <t>Source assignment -- not individually reviewed</t>
        </is>
      </c>
      <c r="K428" s="23" t="inlineStr"/>
      <c r="L428" s="23" t="inlineStr"/>
      <c r="M428" s="23" t="inlineStr"/>
      <c r="N428" s="14" t="inlineStr">
        <is>
          <t>10 EVIDENCE &amp; DECISIONS</t>
        </is>
      </c>
    </row>
    <row r="429" ht="34" customHeight="1">
      <c r="A429" s="23" t="inlineStr">
        <is>
          <t>Cost &amp; Forecast Control Accounts</t>
        </is>
      </c>
      <c r="B429" s="23" t="inlineStr">
        <is>
          <t>CST-02-041</t>
        </is>
      </c>
      <c r="C429" s="23" t="inlineStr">
        <is>
          <t>Stations - station structure - allowance</t>
        </is>
      </c>
      <c r="D429" s="23" t="inlineStr">
        <is>
          <t>Cost Account = CA-2041; WBS Code = 1.2.1</t>
        </is>
      </c>
      <c r="E429" s="23" t="inlineStr">
        <is>
          <t>R1203-v2</t>
        </is>
      </c>
      <c r="F429" s="23" t="inlineStr">
        <is>
          <t>1.2.1 Stations - Station Structures</t>
        </is>
      </c>
      <c r="G429" s="23" t="inlineStr">
        <is>
          <t>ONE_TO_ONE</t>
        </is>
      </c>
      <c r="H429" s="23" t="inlineStr">
        <is>
          <t>RETAINED</t>
        </is>
      </c>
      <c r="I429" s="23" t="inlineStr">
        <is>
          <t>Carried forward</t>
        </is>
      </c>
      <c r="J429" s="23" t="inlineStr">
        <is>
          <t>Source assignment -- not individually reviewed</t>
        </is>
      </c>
      <c r="K429" s="23" t="inlineStr"/>
      <c r="L429" s="23" t="inlineStr"/>
      <c r="M429" s="23" t="inlineStr"/>
      <c r="N429" s="14" t="inlineStr">
        <is>
          <t>10 EVIDENCE &amp; DECISIONS</t>
        </is>
      </c>
    </row>
    <row r="430" ht="34" customHeight="1">
      <c r="A430" s="23" t="inlineStr">
        <is>
          <t>Cost &amp; Forecast Control Accounts</t>
        </is>
      </c>
      <c r="B430" s="23" t="inlineStr">
        <is>
          <t>CST-02-043</t>
        </is>
      </c>
      <c r="C430" s="23" t="inlineStr">
        <is>
          <t>Stations - public realm - field package</t>
        </is>
      </c>
      <c r="D430" s="23" t="inlineStr">
        <is>
          <t>Cost Account = CA-2043; WBS Code = 1.2.1</t>
        </is>
      </c>
      <c r="E430" s="23" t="inlineStr">
        <is>
          <t>R1205-v2</t>
        </is>
      </c>
      <c r="F430" s="23" t="inlineStr">
        <is>
          <t>1.2.1 Stations - Station Structures</t>
        </is>
      </c>
      <c r="G430" s="23" t="inlineStr">
        <is>
          <t>ONE_TO_ONE</t>
        </is>
      </c>
      <c r="H430" s="23" t="inlineStr">
        <is>
          <t>RETAINED</t>
        </is>
      </c>
      <c r="I430" s="23" t="inlineStr">
        <is>
          <t>Carried forward</t>
        </is>
      </c>
      <c r="J430" s="23" t="inlineStr">
        <is>
          <t>Source assignment -- not individually reviewed</t>
        </is>
      </c>
      <c r="K430" s="23" t="inlineStr"/>
      <c r="L430" s="23" t="inlineStr"/>
      <c r="M430" s="23" t="inlineStr"/>
      <c r="N430" s="14" t="inlineStr">
        <is>
          <t>10 EVIDENCE &amp; DECISIONS</t>
        </is>
      </c>
    </row>
    <row r="431" ht="34" customHeight="1">
      <c r="A431" s="23" t="inlineStr">
        <is>
          <t>Cost &amp; Forecast Control Accounts</t>
        </is>
      </c>
      <c r="B431" s="23" t="inlineStr">
        <is>
          <t>CST-02-045</t>
        </is>
      </c>
      <c r="C431" s="23" t="inlineStr">
        <is>
          <t>Stations - building services - professional services</t>
        </is>
      </c>
      <c r="D431" s="23" t="inlineStr">
        <is>
          <t>Cost Account = CA-2045; WBS Code = 1.2.1</t>
        </is>
      </c>
      <c r="E431" s="23" t="inlineStr">
        <is>
          <t>R1207-v2</t>
        </is>
      </c>
      <c r="F431" s="23" t="inlineStr">
        <is>
          <t>1.2.1 Stations - Station Structures</t>
        </is>
      </c>
      <c r="G431" s="23" t="inlineStr">
        <is>
          <t>ONE_TO_ONE</t>
        </is>
      </c>
      <c r="H431" s="23" t="inlineStr">
        <is>
          <t>RETAINED</t>
        </is>
      </c>
      <c r="I431" s="23" t="inlineStr">
        <is>
          <t>Carried forward</t>
        </is>
      </c>
      <c r="J431" s="23" t="inlineStr">
        <is>
          <t>Source assignment -- not individually reviewed</t>
        </is>
      </c>
      <c r="K431" s="23" t="inlineStr"/>
      <c r="L431" s="23" t="inlineStr"/>
      <c r="M431" s="23" t="inlineStr"/>
      <c r="N431" s="14" t="inlineStr">
        <is>
          <t>10 EVIDENCE &amp; DECISIONS</t>
        </is>
      </c>
    </row>
    <row r="432" ht="34" customHeight="1">
      <c r="A432" s="23" t="inlineStr">
        <is>
          <t>Cost &amp; Forecast Control Accounts</t>
        </is>
      </c>
      <c r="B432" s="23" t="inlineStr">
        <is>
          <t>CST-02-047</t>
        </is>
      </c>
      <c r="C432" s="23" t="inlineStr">
        <is>
          <t>Stations - station structure - closeout</t>
        </is>
      </c>
      <c r="D432" s="23" t="inlineStr">
        <is>
          <t>Cost Account = CA-2047; WBS Code = 1.2.1</t>
        </is>
      </c>
      <c r="E432" s="23" t="inlineStr">
        <is>
          <t>R1209-v2</t>
        </is>
      </c>
      <c r="F432" s="23" t="inlineStr">
        <is>
          <t>1.2.1 Stations - Station Structures</t>
        </is>
      </c>
      <c r="G432" s="23" t="inlineStr">
        <is>
          <t>ONE_TO_ONE</t>
        </is>
      </c>
      <c r="H432" s="23" t="inlineStr">
        <is>
          <t>RETAINED</t>
        </is>
      </c>
      <c r="I432" s="23" t="inlineStr">
        <is>
          <t>Carried forward</t>
        </is>
      </c>
      <c r="J432" s="23" t="inlineStr">
        <is>
          <t>Source assignment -- not individually reviewed</t>
        </is>
      </c>
      <c r="K432" s="23" t="inlineStr"/>
      <c r="L432" s="23" t="inlineStr"/>
      <c r="M432" s="23" t="inlineStr"/>
      <c r="N432" s="14" t="inlineStr">
        <is>
          <t>10 EVIDENCE &amp; DECISIONS</t>
        </is>
      </c>
    </row>
    <row r="433" ht="34" customHeight="1">
      <c r="A433" s="23" t="inlineStr">
        <is>
          <t>Cost &amp; Forecast Control Accounts</t>
        </is>
      </c>
      <c r="B433" s="23" t="inlineStr">
        <is>
          <t>CST-02-049</t>
        </is>
      </c>
      <c r="C433" s="23" t="inlineStr">
        <is>
          <t>Stations - public realm - supply and install</t>
        </is>
      </c>
      <c r="D433" s="23" t="inlineStr">
        <is>
          <t>Cost Account = CA-2049; WBS Code = 1.2.1</t>
        </is>
      </c>
      <c r="E433" s="23" t="inlineStr">
        <is>
          <t>R1211-v2</t>
        </is>
      </c>
      <c r="F433" s="23" t="inlineStr">
        <is>
          <t>1.2.1 Stations - Station Structures</t>
        </is>
      </c>
      <c r="G433" s="23" t="inlineStr">
        <is>
          <t>ONE_TO_ONE</t>
        </is>
      </c>
      <c r="H433" s="23" t="inlineStr">
        <is>
          <t>RETAINED</t>
        </is>
      </c>
      <c r="I433" s="23" t="inlineStr">
        <is>
          <t>Carried forward</t>
        </is>
      </c>
      <c r="J433" s="23" t="inlineStr">
        <is>
          <t>Source assignment -- not individually reviewed</t>
        </is>
      </c>
      <c r="K433" s="23" t="inlineStr"/>
      <c r="L433" s="23" t="inlineStr"/>
      <c r="M433" s="23" t="inlineStr"/>
      <c r="N433" s="14" t="inlineStr">
        <is>
          <t>10 EVIDENCE &amp; DECISIONS</t>
        </is>
      </c>
    </row>
    <row r="434" ht="34" customHeight="1">
      <c r="A434" s="23" t="inlineStr">
        <is>
          <t>Cost &amp; Forecast Control Accounts</t>
        </is>
      </c>
      <c r="B434" s="23" t="inlineStr">
        <is>
          <t>CST-02-051</t>
        </is>
      </c>
      <c r="C434" s="23" t="inlineStr">
        <is>
          <t>Stations - building services - allowance</t>
        </is>
      </c>
      <c r="D434" s="23" t="inlineStr">
        <is>
          <t>Cost Account = CA-2051; WBS Code = 1.2.1</t>
        </is>
      </c>
      <c r="E434" s="23" t="inlineStr">
        <is>
          <t>R1213-v2</t>
        </is>
      </c>
      <c r="F434" s="23" t="inlineStr">
        <is>
          <t>1.2.1 Stations - Station Structures</t>
        </is>
      </c>
      <c r="G434" s="23" t="inlineStr">
        <is>
          <t>ONE_TO_ONE</t>
        </is>
      </c>
      <c r="H434" s="23" t="inlineStr">
        <is>
          <t>RETAINED</t>
        </is>
      </c>
      <c r="I434" s="23" t="inlineStr">
        <is>
          <t>Carried forward</t>
        </is>
      </c>
      <c r="J434" s="23" t="inlineStr">
        <is>
          <t>Source assignment -- not individually reviewed</t>
        </is>
      </c>
      <c r="K434" s="23" t="inlineStr"/>
      <c r="L434" s="23" t="inlineStr"/>
      <c r="M434" s="23" t="inlineStr"/>
      <c r="N434" s="14" t="inlineStr">
        <is>
          <t>10 EVIDENCE &amp; DECISIONS</t>
        </is>
      </c>
    </row>
    <row r="435" ht="34" customHeight="1">
      <c r="A435" s="23" t="inlineStr">
        <is>
          <t>Cost &amp; Forecast Control Accounts</t>
        </is>
      </c>
      <c r="B435" s="23" t="inlineStr">
        <is>
          <t>CST-02-053</t>
        </is>
      </c>
      <c r="C435" s="23" t="inlineStr">
        <is>
          <t>Stations - station structure - field package</t>
        </is>
      </c>
      <c r="D435" s="23" t="inlineStr">
        <is>
          <t>Cost Account = CA-2053; WBS Code = 1.2.1</t>
        </is>
      </c>
      <c r="E435" s="23" t="inlineStr">
        <is>
          <t>R1215-v2</t>
        </is>
      </c>
      <c r="F435" s="23" t="inlineStr">
        <is>
          <t>1.2.1 Stations - Station Structures</t>
        </is>
      </c>
      <c r="G435" s="23" t="inlineStr">
        <is>
          <t>ONE_TO_ONE</t>
        </is>
      </c>
      <c r="H435" s="23" t="inlineStr">
        <is>
          <t>RETAINED</t>
        </is>
      </c>
      <c r="I435" s="23" t="inlineStr">
        <is>
          <t>Carried forward</t>
        </is>
      </c>
      <c r="J435" s="23" t="inlineStr">
        <is>
          <t>Source assignment -- not individually reviewed</t>
        </is>
      </c>
      <c r="K435" s="23" t="inlineStr"/>
      <c r="L435" s="23" t="inlineStr"/>
      <c r="M435" s="23" t="inlineStr"/>
      <c r="N435" s="14" t="inlineStr">
        <is>
          <t>10 EVIDENCE &amp; DECISIONS</t>
        </is>
      </c>
    </row>
    <row r="436" ht="34" customHeight="1">
      <c r="A436" s="23" t="inlineStr">
        <is>
          <t>Cost &amp; Forecast Control Accounts</t>
        </is>
      </c>
      <c r="B436" s="23" t="inlineStr">
        <is>
          <t>CST-02-055</t>
        </is>
      </c>
      <c r="C436" s="23" t="inlineStr">
        <is>
          <t>Stations - public realm - professional services</t>
        </is>
      </c>
      <c r="D436" s="23" t="inlineStr">
        <is>
          <t>Cost Account = CA-2055; WBS Code = 1.2.1</t>
        </is>
      </c>
      <c r="E436" s="23" t="inlineStr">
        <is>
          <t>R1217-v2</t>
        </is>
      </c>
      <c r="F436" s="23" t="inlineStr">
        <is>
          <t>1.2.1 Stations - Station Structures</t>
        </is>
      </c>
      <c r="G436" s="23" t="inlineStr">
        <is>
          <t>ONE_TO_ONE</t>
        </is>
      </c>
      <c r="H436" s="23" t="inlineStr">
        <is>
          <t>RETAINED</t>
        </is>
      </c>
      <c r="I436" s="23" t="inlineStr">
        <is>
          <t>Carried forward</t>
        </is>
      </c>
      <c r="J436" s="23" t="inlineStr">
        <is>
          <t>Source assignment -- not individually reviewed</t>
        </is>
      </c>
      <c r="K436" s="23" t="inlineStr"/>
      <c r="L436" s="23" t="inlineStr"/>
      <c r="M436" s="23" t="inlineStr"/>
      <c r="N436" s="14" t="inlineStr">
        <is>
          <t>10 EVIDENCE &amp; DECISIONS</t>
        </is>
      </c>
    </row>
    <row r="437" ht="34" customHeight="1">
      <c r="A437" s="23" t="inlineStr">
        <is>
          <t>Cost &amp; Forecast Control Accounts</t>
        </is>
      </c>
      <c r="B437" s="23" t="inlineStr">
        <is>
          <t>CST-02-057</t>
        </is>
      </c>
      <c r="C437" s="23" t="inlineStr">
        <is>
          <t>Stations - building services - closeout</t>
        </is>
      </c>
      <c r="D437" s="23" t="inlineStr">
        <is>
          <t>Cost Account = CA-2057; WBS Code = 1.2.1</t>
        </is>
      </c>
      <c r="E437" s="23" t="inlineStr">
        <is>
          <t>R1219-v2</t>
        </is>
      </c>
      <c r="F437" s="23" t="inlineStr">
        <is>
          <t>1.2.1 Stations - Station Structures</t>
        </is>
      </c>
      <c r="G437" s="23" t="inlineStr">
        <is>
          <t>ONE_TO_ONE</t>
        </is>
      </c>
      <c r="H437" s="23" t="inlineStr">
        <is>
          <t>RETAINED</t>
        </is>
      </c>
      <c r="I437" s="23" t="inlineStr">
        <is>
          <t>Carried forward</t>
        </is>
      </c>
      <c r="J437" s="23" t="inlineStr">
        <is>
          <t>Source assignment -- not individually reviewed</t>
        </is>
      </c>
      <c r="K437" s="23" t="inlineStr"/>
      <c r="L437" s="23" t="inlineStr"/>
      <c r="M437" s="23" t="inlineStr"/>
      <c r="N437" s="14" t="inlineStr">
        <is>
          <t>10 EVIDENCE &amp; DECISIONS</t>
        </is>
      </c>
    </row>
    <row r="438" ht="34" customHeight="1">
      <c r="A438" s="23" t="inlineStr">
        <is>
          <t>Cost &amp; Forecast Control Accounts</t>
        </is>
      </c>
      <c r="B438" s="23" t="inlineStr">
        <is>
          <t>CST-02-059</t>
        </is>
      </c>
      <c r="C438" s="23" t="inlineStr">
        <is>
          <t>Stations - station structure - supply and install</t>
        </is>
      </c>
      <c r="D438" s="23" t="inlineStr">
        <is>
          <t>Cost Account = CA-2059; WBS Code = 1.2.1</t>
        </is>
      </c>
      <c r="E438" s="23" t="inlineStr">
        <is>
          <t>R1221-v2</t>
        </is>
      </c>
      <c r="F438" s="23" t="inlineStr">
        <is>
          <t>1.2.1 Stations - Station Structures</t>
        </is>
      </c>
      <c r="G438" s="23" t="inlineStr">
        <is>
          <t>ONE_TO_ONE</t>
        </is>
      </c>
      <c r="H438" s="23" t="inlineStr">
        <is>
          <t>RETAINED</t>
        </is>
      </c>
      <c r="I438" s="23" t="inlineStr">
        <is>
          <t>Carried forward</t>
        </is>
      </c>
      <c r="J438" s="23" t="inlineStr">
        <is>
          <t>Source assignment -- not individually reviewed</t>
        </is>
      </c>
      <c r="K438" s="23" t="inlineStr"/>
      <c r="L438" s="23" t="inlineStr"/>
      <c r="M438" s="23" t="inlineStr"/>
      <c r="N438" s="14" t="inlineStr">
        <is>
          <t>10 EVIDENCE &amp; DECISIONS</t>
        </is>
      </c>
    </row>
    <row r="439" ht="34" customHeight="1">
      <c r="A439" s="23" t="inlineStr">
        <is>
          <t>Cost &amp; Forecast Control Accounts</t>
        </is>
      </c>
      <c r="B439" s="23" t="inlineStr">
        <is>
          <t>CST-02-061</t>
        </is>
      </c>
      <c r="C439" s="23" t="inlineStr">
        <is>
          <t>Stations - public realm - allowance</t>
        </is>
      </c>
      <c r="D439" s="23" t="inlineStr">
        <is>
          <t>Cost Account = CA-2061; WBS Code = 1.2.1</t>
        </is>
      </c>
      <c r="E439" s="23" t="inlineStr">
        <is>
          <t>R1223-v2</t>
        </is>
      </c>
      <c r="F439" s="23" t="inlineStr">
        <is>
          <t>1.2.1 Stations - Station Structures</t>
        </is>
      </c>
      <c r="G439" s="23" t="inlineStr">
        <is>
          <t>ONE_TO_ONE</t>
        </is>
      </c>
      <c r="H439" s="23" t="inlineStr">
        <is>
          <t>RETAINED</t>
        </is>
      </c>
      <c r="I439" s="23" t="inlineStr">
        <is>
          <t>Carried forward</t>
        </is>
      </c>
      <c r="J439" s="23" t="inlineStr">
        <is>
          <t>Source assignment -- not individually reviewed</t>
        </is>
      </c>
      <c r="K439" s="23" t="inlineStr"/>
      <c r="L439" s="23" t="inlineStr"/>
      <c r="M439" s="23" t="inlineStr"/>
      <c r="N439" s="14" t="inlineStr">
        <is>
          <t>10 EVIDENCE &amp; DECISIONS</t>
        </is>
      </c>
    </row>
    <row r="440" ht="34" customHeight="1">
      <c r="A440" s="23" t="inlineStr">
        <is>
          <t>Cost &amp; Forecast Control Accounts</t>
        </is>
      </c>
      <c r="B440" s="23" t="inlineStr">
        <is>
          <t>CST-02-063</t>
        </is>
      </c>
      <c r="C440" s="23" t="inlineStr">
        <is>
          <t>Stations - building services - field package</t>
        </is>
      </c>
      <c r="D440" s="23" t="inlineStr">
        <is>
          <t>Cost Account = CA-2063; WBS Code = 1.2.1</t>
        </is>
      </c>
      <c r="E440" s="23" t="inlineStr">
        <is>
          <t>R1225-v2</t>
        </is>
      </c>
      <c r="F440" s="23" t="inlineStr">
        <is>
          <t>1.2.1 Stations - Station Structures</t>
        </is>
      </c>
      <c r="G440" s="23" t="inlineStr">
        <is>
          <t>ONE_TO_ONE</t>
        </is>
      </c>
      <c r="H440" s="23" t="inlineStr">
        <is>
          <t>RETAINED</t>
        </is>
      </c>
      <c r="I440" s="23" t="inlineStr">
        <is>
          <t>Carried forward</t>
        </is>
      </c>
      <c r="J440" s="23" t="inlineStr">
        <is>
          <t>Source assignment -- not individually reviewed</t>
        </is>
      </c>
      <c r="K440" s="23" t="inlineStr"/>
      <c r="L440" s="23" t="inlineStr"/>
      <c r="M440" s="23" t="inlineStr"/>
      <c r="N440" s="14" t="inlineStr">
        <is>
          <t>10 EVIDENCE &amp; DECISIONS</t>
        </is>
      </c>
    </row>
    <row r="441" ht="34" customHeight="1">
      <c r="A441" s="23" t="inlineStr">
        <is>
          <t>Cost &amp; Forecast Control Accounts</t>
        </is>
      </c>
      <c r="B441" s="23" t="inlineStr">
        <is>
          <t>CST-02-065</t>
        </is>
      </c>
      <c r="C441" s="23" t="inlineStr">
        <is>
          <t>Stations - station structure - professional services</t>
        </is>
      </c>
      <c r="D441" s="23" t="inlineStr">
        <is>
          <t>Cost Account = CA-2065; WBS Code = 1.2.1</t>
        </is>
      </c>
      <c r="E441" s="23" t="inlineStr">
        <is>
          <t>R1227-v2</t>
        </is>
      </c>
      <c r="F441" s="23" t="inlineStr">
        <is>
          <t>1.2.1 Stations - Station Structures</t>
        </is>
      </c>
      <c r="G441" s="23" t="inlineStr">
        <is>
          <t>ONE_TO_ONE</t>
        </is>
      </c>
      <c r="H441" s="23" t="inlineStr">
        <is>
          <t>RETAINED</t>
        </is>
      </c>
      <c r="I441" s="23" t="inlineStr">
        <is>
          <t>Carried forward</t>
        </is>
      </c>
      <c r="J441" s="23" t="inlineStr">
        <is>
          <t>Source assignment -- not individually reviewed</t>
        </is>
      </c>
      <c r="K441" s="23" t="inlineStr"/>
      <c r="L441" s="23" t="inlineStr"/>
      <c r="M441" s="23" t="inlineStr"/>
      <c r="N441" s="14" t="inlineStr">
        <is>
          <t>10 EVIDENCE &amp; DECISIONS</t>
        </is>
      </c>
    </row>
    <row r="442" ht="34" customHeight="1">
      <c r="A442" s="23" t="inlineStr">
        <is>
          <t>Cost &amp; Forecast Control Accounts</t>
        </is>
      </c>
      <c r="B442" s="23" t="inlineStr">
        <is>
          <t>CST-02-067</t>
        </is>
      </c>
      <c r="C442" s="23" t="inlineStr">
        <is>
          <t>Stations - public realm - closeout</t>
        </is>
      </c>
      <c r="D442" s="23" t="inlineStr">
        <is>
          <t>Cost Account = CA-2067; WBS Code = 1.2.1</t>
        </is>
      </c>
      <c r="E442" s="23" t="inlineStr">
        <is>
          <t>R1229-v2</t>
        </is>
      </c>
      <c r="F442" s="23" t="inlineStr">
        <is>
          <t>1.2.1 Stations - Station Structures</t>
        </is>
      </c>
      <c r="G442" s="23" t="inlineStr">
        <is>
          <t>ONE_TO_ONE</t>
        </is>
      </c>
      <c r="H442" s="23" t="inlineStr">
        <is>
          <t>RETAINED</t>
        </is>
      </c>
      <c r="I442" s="23" t="inlineStr">
        <is>
          <t>Carried forward</t>
        </is>
      </c>
      <c r="J442" s="23" t="inlineStr">
        <is>
          <t>Source assignment -- not individually reviewed</t>
        </is>
      </c>
      <c r="K442" s="23" t="inlineStr"/>
      <c r="L442" s="23" t="inlineStr"/>
      <c r="M442" s="23" t="inlineStr"/>
      <c r="N442" s="14" t="inlineStr">
        <is>
          <t>10 EVIDENCE &amp; DECISIONS</t>
        </is>
      </c>
    </row>
    <row r="443" ht="34" customHeight="1">
      <c r="A443" s="23" t="inlineStr">
        <is>
          <t>Cost &amp; Forecast Control Accounts</t>
        </is>
      </c>
      <c r="B443" s="23" t="inlineStr">
        <is>
          <t>CST-02-069</t>
        </is>
      </c>
      <c r="C443" s="23" t="inlineStr">
        <is>
          <t>Stations - building services - supply and install</t>
        </is>
      </c>
      <c r="D443" s="23" t="inlineStr">
        <is>
          <t>Cost Account = CA-2069; WBS Code = 1.2.1</t>
        </is>
      </c>
      <c r="E443" s="23" t="inlineStr">
        <is>
          <t>R1231-v2</t>
        </is>
      </c>
      <c r="F443" s="23" t="inlineStr">
        <is>
          <t>1.2.1 Stations - Station Structures</t>
        </is>
      </c>
      <c r="G443" s="23" t="inlineStr">
        <is>
          <t>ONE_TO_ONE</t>
        </is>
      </c>
      <c r="H443" s="23" t="inlineStr">
        <is>
          <t>RETAINED</t>
        </is>
      </c>
      <c r="I443" s="23" t="inlineStr">
        <is>
          <t>Carried forward</t>
        </is>
      </c>
      <c r="J443" s="23" t="inlineStr">
        <is>
          <t>Source assignment -- not individually reviewed</t>
        </is>
      </c>
      <c r="K443" s="23" t="inlineStr"/>
      <c r="L443" s="23" t="inlineStr"/>
      <c r="M443" s="23" t="inlineStr"/>
      <c r="N443" s="14" t="inlineStr">
        <is>
          <t>10 EVIDENCE &amp; DECISIONS</t>
        </is>
      </c>
    </row>
    <row r="444" ht="34" customHeight="1">
      <c r="A444" s="23" t="inlineStr">
        <is>
          <t>Cost &amp; Forecast Control Accounts</t>
        </is>
      </c>
      <c r="B444" s="23" t="inlineStr">
        <is>
          <t>CST-02-071</t>
        </is>
      </c>
      <c r="C444" s="23" t="inlineStr">
        <is>
          <t>Stations - station structure - allowance</t>
        </is>
      </c>
      <c r="D444" s="23" t="inlineStr">
        <is>
          <t>Cost Account = CA-2071; WBS Code = 1.2.1</t>
        </is>
      </c>
      <c r="E444" s="23" t="inlineStr">
        <is>
          <t>R1233-v2</t>
        </is>
      </c>
      <c r="F444" s="23" t="inlineStr">
        <is>
          <t>1.2.1 Stations - Station Structures</t>
        </is>
      </c>
      <c r="G444" s="23" t="inlineStr">
        <is>
          <t>ONE_TO_ONE</t>
        </is>
      </c>
      <c r="H444" s="23" t="inlineStr">
        <is>
          <t>RETAINED</t>
        </is>
      </c>
      <c r="I444" s="23" t="inlineStr">
        <is>
          <t>Carried forward</t>
        </is>
      </c>
      <c r="J444" s="23" t="inlineStr">
        <is>
          <t>Source assignment -- not individually reviewed</t>
        </is>
      </c>
      <c r="K444" s="23" t="inlineStr"/>
      <c r="L444" s="23" t="inlineStr"/>
      <c r="M444" s="23" t="inlineStr"/>
      <c r="N444" s="14" t="inlineStr">
        <is>
          <t>10 EVIDENCE &amp; DECISIONS</t>
        </is>
      </c>
    </row>
    <row r="445" ht="34" customHeight="1">
      <c r="A445" s="23" t="inlineStr">
        <is>
          <t>Cost &amp; Forecast Control Accounts</t>
        </is>
      </c>
      <c r="B445" s="23" t="inlineStr">
        <is>
          <t>CST-02-073</t>
        </is>
      </c>
      <c r="C445" s="23" t="inlineStr">
        <is>
          <t>Stations - public realm - field package</t>
        </is>
      </c>
      <c r="D445" s="23" t="inlineStr">
        <is>
          <t>Cost Account = CA-2073; WBS Code = 1.2.1</t>
        </is>
      </c>
      <c r="E445" s="23" t="inlineStr">
        <is>
          <t>R1235-v2</t>
        </is>
      </c>
      <c r="F445" s="23" t="inlineStr">
        <is>
          <t>1.2.1 Stations - Station Structures</t>
        </is>
      </c>
      <c r="G445" s="23" t="inlineStr">
        <is>
          <t>ONE_TO_ONE</t>
        </is>
      </c>
      <c r="H445" s="23" t="inlineStr">
        <is>
          <t>RETAINED</t>
        </is>
      </c>
      <c r="I445" s="23" t="inlineStr">
        <is>
          <t>Carried forward</t>
        </is>
      </c>
      <c r="J445" s="23" t="inlineStr">
        <is>
          <t>Source assignment -- not individually reviewed</t>
        </is>
      </c>
      <c r="K445" s="23" t="inlineStr"/>
      <c r="L445" s="23" t="inlineStr"/>
      <c r="M445" s="23" t="inlineStr"/>
      <c r="N445" s="14" t="inlineStr">
        <is>
          <t>10 EVIDENCE &amp; DECISIONS</t>
        </is>
      </c>
    </row>
    <row r="446" ht="34" customHeight="1">
      <c r="A446" s="23" t="inlineStr">
        <is>
          <t>Cost &amp; Forecast Control Accounts</t>
        </is>
      </c>
      <c r="B446" s="23" t="inlineStr">
        <is>
          <t>CST-02-075</t>
        </is>
      </c>
      <c r="C446" s="23" t="inlineStr">
        <is>
          <t>Stations - building services - professional services</t>
        </is>
      </c>
      <c r="D446" s="23" t="inlineStr">
        <is>
          <t>Cost Account = CA-2075; WBS Code = 1.2.1</t>
        </is>
      </c>
      <c r="E446" s="23" t="inlineStr">
        <is>
          <t>R1237-v2</t>
        </is>
      </c>
      <c r="F446" s="23" t="inlineStr">
        <is>
          <t>1.2.1 Stations - Station Structures</t>
        </is>
      </c>
      <c r="G446" s="23" t="inlineStr">
        <is>
          <t>ONE_TO_ONE</t>
        </is>
      </c>
      <c r="H446" s="23" t="inlineStr">
        <is>
          <t>RETAINED</t>
        </is>
      </c>
      <c r="I446" s="23" t="inlineStr">
        <is>
          <t>Carried forward</t>
        </is>
      </c>
      <c r="J446" s="23" t="inlineStr">
        <is>
          <t>Source assignment -- not individually reviewed</t>
        </is>
      </c>
      <c r="K446" s="23" t="inlineStr"/>
      <c r="L446" s="23" t="inlineStr"/>
      <c r="M446" s="23" t="inlineStr"/>
      <c r="N446" s="14" t="inlineStr">
        <is>
          <t>10 EVIDENCE &amp; DECISIONS</t>
        </is>
      </c>
    </row>
    <row r="447" ht="34" customHeight="1">
      <c r="A447" s="23" t="inlineStr">
        <is>
          <t>Cost &amp; Forecast Control Accounts</t>
        </is>
      </c>
      <c r="B447" s="23" t="inlineStr">
        <is>
          <t>CST-02-077</t>
        </is>
      </c>
      <c r="C447" s="23" t="inlineStr">
        <is>
          <t>Stations - station structure - closeout</t>
        </is>
      </c>
      <c r="D447" s="23" t="inlineStr">
        <is>
          <t>Cost Account = CA-2077; WBS Code = 1.2.1</t>
        </is>
      </c>
      <c r="E447" s="23" t="inlineStr">
        <is>
          <t>R1239-v2</t>
        </is>
      </c>
      <c r="F447" s="23" t="inlineStr">
        <is>
          <t>1.2.1 Stations - Station Structures</t>
        </is>
      </c>
      <c r="G447" s="23" t="inlineStr">
        <is>
          <t>ONE_TO_ONE</t>
        </is>
      </c>
      <c r="H447" s="23" t="inlineStr">
        <is>
          <t>RETAINED</t>
        </is>
      </c>
      <c r="I447" s="23" t="inlineStr">
        <is>
          <t>Carried forward</t>
        </is>
      </c>
      <c r="J447" s="23" t="inlineStr">
        <is>
          <t>Source assignment -- not individually reviewed</t>
        </is>
      </c>
      <c r="K447" s="23" t="inlineStr"/>
      <c r="L447" s="23" t="inlineStr"/>
      <c r="M447" s="23" t="inlineStr"/>
      <c r="N447" s="14" t="inlineStr">
        <is>
          <t>10 EVIDENCE &amp; DECISIONS</t>
        </is>
      </c>
    </row>
    <row r="448" ht="34" customHeight="1">
      <c r="A448" s="23" t="inlineStr">
        <is>
          <t>Cost &amp; Forecast Control Accounts</t>
        </is>
      </c>
      <c r="B448" s="23" t="inlineStr">
        <is>
          <t>CST-02-079</t>
        </is>
      </c>
      <c r="C448" s="23" t="inlineStr">
        <is>
          <t>Stations - public realm - supply and install</t>
        </is>
      </c>
      <c r="D448" s="23" t="inlineStr">
        <is>
          <t>Cost Account = CA-2079; WBS Code = 1.2.1</t>
        </is>
      </c>
      <c r="E448" s="23" t="inlineStr">
        <is>
          <t>R1241-v2</t>
        </is>
      </c>
      <c r="F448" s="23" t="inlineStr">
        <is>
          <t>1.2.1 Stations - Station Structures</t>
        </is>
      </c>
      <c r="G448" s="23" t="inlineStr">
        <is>
          <t>ONE_TO_ONE</t>
        </is>
      </c>
      <c r="H448" s="23" t="inlineStr">
        <is>
          <t>RETAINED</t>
        </is>
      </c>
      <c r="I448" s="23" t="inlineStr">
        <is>
          <t>Carried forward</t>
        </is>
      </c>
      <c r="J448" s="23" t="inlineStr">
        <is>
          <t>Source assignment -- not individually reviewed</t>
        </is>
      </c>
      <c r="K448" s="23" t="inlineStr"/>
      <c r="L448" s="23" t="inlineStr"/>
      <c r="M448" s="23" t="inlineStr"/>
      <c r="N448" s="14" t="inlineStr">
        <is>
          <t>10 EVIDENCE &amp; DECISIONS</t>
        </is>
      </c>
    </row>
    <row r="449" ht="49" customHeight="1">
      <c r="A449" s="23" t="inlineStr">
        <is>
          <t>Contractor Programme</t>
        </is>
      </c>
      <c r="B449" s="23" t="inlineStr">
        <is>
          <t>SCH-02-003</t>
        </is>
      </c>
      <c r="C449" s="23" t="inlineStr">
        <is>
          <t>Market Station: back-of-house interface works confirmed within station delivery boundary</t>
        </is>
      </c>
      <c r="D449" s="23" t="inlineStr">
        <is>
          <t>WBS Code = 1.2.2</t>
        </is>
      </c>
      <c r="E449" s="23" t="inlineStr">
        <is>
          <t>R183-v4</t>
        </is>
      </c>
      <c r="F449" s="23" t="inlineStr">
        <is>
          <t>1.2.2 Stations - Architectural Fit-Out</t>
        </is>
      </c>
      <c r="G449" s="23" t="inlineStr">
        <is>
          <t>ONE_TO_ONE</t>
        </is>
      </c>
      <c r="H449" s="23" t="inlineStr">
        <is>
          <t>APPROVED</t>
        </is>
      </c>
      <c r="I449" s="23" t="inlineStr">
        <is>
          <t>New</t>
        </is>
      </c>
      <c r="J449" s="23" t="inlineStr">
        <is>
          <t>Professional decision</t>
        </is>
      </c>
      <c r="K449" s="23" t="inlineStr">
        <is>
          <t>Maya Chen, Owner Project Controls</t>
        </is>
      </c>
      <c r="L449" s="23" t="inlineStr"/>
      <c r="M449" s="23" t="inlineStr"/>
      <c r="N449" s="14" t="inlineStr">
        <is>
          <t>10 EVIDENCE &amp; DECISIONS</t>
        </is>
      </c>
    </row>
    <row r="450" ht="34" customHeight="1">
      <c r="A450" s="23" t="inlineStr">
        <is>
          <t>Contractor Programme</t>
        </is>
      </c>
      <c r="B450" s="23" t="inlineStr">
        <is>
          <t>SCH-02-006</t>
        </is>
      </c>
      <c r="C450" s="23" t="inlineStr">
        <is>
          <t>Harbour Station: station ventilation rough-in - inspection</t>
        </is>
      </c>
      <c r="D450" s="23" t="inlineStr">
        <is>
          <t>WBS Code = 1.2.2</t>
        </is>
      </c>
      <c r="E450" s="23" t="inlineStr">
        <is>
          <t>R186-v2</t>
        </is>
      </c>
      <c r="F450" s="23" t="inlineStr">
        <is>
          <t>1.2.2 Stations - Architectural Fit-Out</t>
        </is>
      </c>
      <c r="G450" s="23" t="inlineStr">
        <is>
          <t>ONE_TO_ONE</t>
        </is>
      </c>
      <c r="H450" s="23" t="inlineStr">
        <is>
          <t>RETAINED</t>
        </is>
      </c>
      <c r="I450" s="23" t="inlineStr">
        <is>
          <t>Carried forward</t>
        </is>
      </c>
      <c r="J450" s="23" t="inlineStr">
        <is>
          <t>Source assignment -- not individually reviewed</t>
        </is>
      </c>
      <c r="K450" s="23" t="inlineStr"/>
      <c r="L450" s="23" t="inlineStr"/>
      <c r="M450" s="23" t="inlineStr"/>
      <c r="N450" s="14" t="inlineStr">
        <is>
          <t>10 EVIDENCE &amp; DECISIONS</t>
        </is>
      </c>
    </row>
    <row r="451" ht="49" customHeight="1">
      <c r="A451" s="23" t="inlineStr">
        <is>
          <t>Contractor Programme</t>
        </is>
      </c>
      <c r="B451" s="23" t="inlineStr">
        <is>
          <t>SCH-02-009</t>
        </is>
      </c>
      <c r="C451" s="23" t="inlineStr">
        <is>
          <t>University Station: vertical-transport installation - field start</t>
        </is>
      </c>
      <c r="D451" s="23" t="inlineStr">
        <is>
          <t>WBS Code = 1.2.2</t>
        </is>
      </c>
      <c r="E451" s="23" t="inlineStr">
        <is>
          <t>R189-v2</t>
        </is>
      </c>
      <c r="F451" s="23" t="inlineStr">
        <is>
          <t>1.2.2 Stations - Architectural Fit-Out</t>
        </is>
      </c>
      <c r="G451" s="23" t="inlineStr">
        <is>
          <t>ONE_TO_ONE</t>
        </is>
      </c>
      <c r="H451" s="23" t="inlineStr">
        <is>
          <t>RETAINED</t>
        </is>
      </c>
      <c r="I451" s="23" t="inlineStr">
        <is>
          <t>Carried forward</t>
        </is>
      </c>
      <c r="J451" s="23" t="inlineStr">
        <is>
          <t>Source assignment -- not individually reviewed</t>
        </is>
      </c>
      <c r="K451" s="23" t="inlineStr"/>
      <c r="L451" s="23" t="inlineStr"/>
      <c r="M451" s="23" t="inlineStr"/>
      <c r="N451" s="14" t="inlineStr">
        <is>
          <t>10 EVIDENCE &amp; DECISIONS</t>
        </is>
      </c>
    </row>
    <row r="452" ht="34" customHeight="1">
      <c r="A452" s="23" t="inlineStr">
        <is>
          <t>Contractor Programme</t>
        </is>
      </c>
      <c r="B452" s="23" t="inlineStr">
        <is>
          <t>SCH-02-012</t>
        </is>
      </c>
      <c r="C452" s="23" t="inlineStr">
        <is>
          <t>Market Station: fire-life-safety cabling - turnover</t>
        </is>
      </c>
      <c r="D452" s="23" t="inlineStr">
        <is>
          <t>WBS Code = 1.2.2</t>
        </is>
      </c>
      <c r="E452" s="23" t="inlineStr">
        <is>
          <t>R192-v2</t>
        </is>
      </c>
      <c r="F452" s="23" t="inlineStr">
        <is>
          <t>1.2.2 Stations - Architectural Fit-Out</t>
        </is>
      </c>
      <c r="G452" s="23" t="inlineStr">
        <is>
          <t>ONE_TO_ONE</t>
        </is>
      </c>
      <c r="H452" s="23" t="inlineStr">
        <is>
          <t>RETAINED</t>
        </is>
      </c>
      <c r="I452" s="23" t="inlineStr">
        <is>
          <t>Carried forward</t>
        </is>
      </c>
      <c r="J452" s="23" t="inlineStr">
        <is>
          <t>Source assignment -- not individually reviewed</t>
        </is>
      </c>
      <c r="K452" s="23" t="inlineStr"/>
      <c r="L452" s="23" t="inlineStr"/>
      <c r="M452" s="23" t="inlineStr"/>
      <c r="N452" s="14" t="inlineStr">
        <is>
          <t>10 EVIDENCE &amp; DECISIONS</t>
        </is>
      </c>
    </row>
    <row r="453" ht="34" customHeight="1">
      <c r="A453" s="23" t="inlineStr">
        <is>
          <t>Contractor Programme</t>
        </is>
      </c>
      <c r="B453" s="23" t="inlineStr">
        <is>
          <t>SCH-02-015</t>
        </is>
      </c>
      <c r="C453" s="23" t="inlineStr">
        <is>
          <t>West Terminal: public-realm paving - installation</t>
        </is>
      </c>
      <c r="D453" s="23" t="inlineStr">
        <is>
          <t>WBS Code = 1.2.2</t>
        </is>
      </c>
      <c r="E453" s="23" t="inlineStr">
        <is>
          <t>R195-v2</t>
        </is>
      </c>
      <c r="F453" s="23" t="inlineStr">
        <is>
          <t>1.2.2 Stations - Architectural Fit-Out</t>
        </is>
      </c>
      <c r="G453" s="23" t="inlineStr">
        <is>
          <t>ONE_TO_ONE</t>
        </is>
      </c>
      <c r="H453" s="23" t="inlineStr">
        <is>
          <t>RETAINED</t>
        </is>
      </c>
      <c r="I453" s="23" t="inlineStr">
        <is>
          <t>Carried forward</t>
        </is>
      </c>
      <c r="J453" s="23" t="inlineStr">
        <is>
          <t>Source assignment -- not individually reviewed</t>
        </is>
      </c>
      <c r="K453" s="23" t="inlineStr"/>
      <c r="L453" s="23" t="inlineStr"/>
      <c r="M453" s="23" t="inlineStr"/>
      <c r="N453" s="14" t="inlineStr">
        <is>
          <t>10 EVIDENCE &amp; DECISIONS</t>
        </is>
      </c>
    </row>
    <row r="454" ht="34" customHeight="1">
      <c r="A454" s="23" t="inlineStr">
        <is>
          <t>Contractor Programme</t>
        </is>
      </c>
      <c r="B454" s="23" t="inlineStr">
        <is>
          <t>SCH-02-018</t>
        </is>
      </c>
      <c r="C454" s="23" t="inlineStr">
        <is>
          <t>Civic Station: platform edge installation - release</t>
        </is>
      </c>
      <c r="D454" s="23" t="inlineStr">
        <is>
          <t>WBS Code = 1.2.2</t>
        </is>
      </c>
      <c r="E454" s="23" t="inlineStr">
        <is>
          <t>R198-v2</t>
        </is>
      </c>
      <c r="F454" s="23" t="inlineStr">
        <is>
          <t>1.2.2 Stations - Architectural Fit-Out</t>
        </is>
      </c>
      <c r="G454" s="23" t="inlineStr">
        <is>
          <t>ONE_TO_ONE</t>
        </is>
      </c>
      <c r="H454" s="23" t="inlineStr">
        <is>
          <t>RETAINED</t>
        </is>
      </c>
      <c r="I454" s="23" t="inlineStr">
        <is>
          <t>Carried forward</t>
        </is>
      </c>
      <c r="J454" s="23" t="inlineStr">
        <is>
          <t>Source assignment -- not individually reviewed</t>
        </is>
      </c>
      <c r="K454" s="23" t="inlineStr"/>
      <c r="L454" s="23" t="inlineStr"/>
      <c r="M454" s="23" t="inlineStr"/>
      <c r="N454" s="14" t="inlineStr">
        <is>
          <t>10 EVIDENCE &amp; DECISIONS</t>
        </is>
      </c>
    </row>
    <row r="455" ht="34" customHeight="1">
      <c r="A455" s="23" t="inlineStr">
        <is>
          <t>Contractor Programme</t>
        </is>
      </c>
      <c r="B455" s="23" t="inlineStr">
        <is>
          <t>SCH-02-021</t>
        </is>
      </c>
      <c r="C455" s="23" t="inlineStr">
        <is>
          <t>Harbour Station: concourse slab pour - inspection</t>
        </is>
      </c>
      <c r="D455" s="23" t="inlineStr">
        <is>
          <t>WBS Code = 1.2.2</t>
        </is>
      </c>
      <c r="E455" s="23" t="inlineStr">
        <is>
          <t>R201-v2</t>
        </is>
      </c>
      <c r="F455" s="23" t="inlineStr">
        <is>
          <t>1.2.2 Stations - Architectural Fit-Out</t>
        </is>
      </c>
      <c r="G455" s="23" t="inlineStr">
        <is>
          <t>ONE_TO_ONE</t>
        </is>
      </c>
      <c r="H455" s="23" t="inlineStr">
        <is>
          <t>RETAINED</t>
        </is>
      </c>
      <c r="I455" s="23" t="inlineStr">
        <is>
          <t>Carried forward</t>
        </is>
      </c>
      <c r="J455" s="23" t="inlineStr">
        <is>
          <t>Source assignment -- not individually reviewed</t>
        </is>
      </c>
      <c r="K455" s="23" t="inlineStr"/>
      <c r="L455" s="23" t="inlineStr"/>
      <c r="M455" s="23" t="inlineStr"/>
      <c r="N455" s="14" t="inlineStr">
        <is>
          <t>10 EVIDENCE &amp; DECISIONS</t>
        </is>
      </c>
    </row>
    <row r="456" ht="34" customHeight="1">
      <c r="A456" s="23" t="inlineStr">
        <is>
          <t>Contractor Programme</t>
        </is>
      </c>
      <c r="B456" s="23" t="inlineStr">
        <is>
          <t>SCH-02-024</t>
        </is>
      </c>
      <c r="C456" s="23" t="inlineStr">
        <is>
          <t>University Station: entrance steel erection - field start</t>
        </is>
      </c>
      <c r="D456" s="23" t="inlineStr">
        <is>
          <t>WBS Code = 1.2.2</t>
        </is>
      </c>
      <c r="E456" s="23" t="inlineStr">
        <is>
          <t>R204-v2</t>
        </is>
      </c>
      <c r="F456" s="23" t="inlineStr">
        <is>
          <t>1.2.2 Stations - Architectural Fit-Out</t>
        </is>
      </c>
      <c r="G456" s="23" t="inlineStr">
        <is>
          <t>ONE_TO_ONE</t>
        </is>
      </c>
      <c r="H456" s="23" t="inlineStr">
        <is>
          <t>RETAINED</t>
        </is>
      </c>
      <c r="I456" s="23" t="inlineStr">
        <is>
          <t>Carried forward</t>
        </is>
      </c>
      <c r="J456" s="23" t="inlineStr">
        <is>
          <t>Source assignment -- not individually reviewed</t>
        </is>
      </c>
      <c r="K456" s="23" t="inlineStr"/>
      <c r="L456" s="23" t="inlineStr"/>
      <c r="M456" s="23" t="inlineStr"/>
      <c r="N456" s="14" t="inlineStr">
        <is>
          <t>10 EVIDENCE &amp; DECISIONS</t>
        </is>
      </c>
    </row>
    <row r="457" ht="34" customHeight="1">
      <c r="A457" s="23" t="inlineStr">
        <is>
          <t>Contractor Programme</t>
        </is>
      </c>
      <c r="B457" s="23" t="inlineStr">
        <is>
          <t>SCH-02-027</t>
        </is>
      </c>
      <c r="C457" s="23" t="inlineStr">
        <is>
          <t>Market Station: architectural wall framing - turnover</t>
        </is>
      </c>
      <c r="D457" s="23" t="inlineStr">
        <is>
          <t>WBS Code = 1.2.2</t>
        </is>
      </c>
      <c r="E457" s="23" t="inlineStr">
        <is>
          <t>R207-v2</t>
        </is>
      </c>
      <c r="F457" s="23" t="inlineStr">
        <is>
          <t>1.2.2 Stations - Architectural Fit-Out</t>
        </is>
      </c>
      <c r="G457" s="23" t="inlineStr">
        <is>
          <t>ONE_TO_ONE</t>
        </is>
      </c>
      <c r="H457" s="23" t="inlineStr">
        <is>
          <t>RETAINED</t>
        </is>
      </c>
      <c r="I457" s="23" t="inlineStr">
        <is>
          <t>Carried forward</t>
        </is>
      </c>
      <c r="J457" s="23" t="inlineStr">
        <is>
          <t>Source assignment -- not individually reviewed</t>
        </is>
      </c>
      <c r="K457" s="23" t="inlineStr"/>
      <c r="L457" s="23" t="inlineStr"/>
      <c r="M457" s="23" t="inlineStr"/>
      <c r="N457" s="14" t="inlineStr">
        <is>
          <t>10 EVIDENCE &amp; DECISIONS</t>
        </is>
      </c>
    </row>
    <row r="458" ht="34" customHeight="1">
      <c r="A458" s="23" t="inlineStr">
        <is>
          <t>Contractor Programme</t>
        </is>
      </c>
      <c r="B458" s="23" t="inlineStr">
        <is>
          <t>SCH-02-030</t>
        </is>
      </c>
      <c r="C458" s="23" t="inlineStr">
        <is>
          <t>West Terminal: station ventilation rough-in - installation</t>
        </is>
      </c>
      <c r="D458" s="23" t="inlineStr">
        <is>
          <t>WBS Code = 1.2.2</t>
        </is>
      </c>
      <c r="E458" s="23" t="inlineStr">
        <is>
          <t>R210-v2</t>
        </is>
      </c>
      <c r="F458" s="23" t="inlineStr">
        <is>
          <t>1.2.2 Stations - Architectural Fit-Out</t>
        </is>
      </c>
      <c r="G458" s="23" t="inlineStr">
        <is>
          <t>ONE_TO_ONE</t>
        </is>
      </c>
      <c r="H458" s="23" t="inlineStr">
        <is>
          <t>RETAINED</t>
        </is>
      </c>
      <c r="I458" s="23" t="inlineStr">
        <is>
          <t>Carried forward</t>
        </is>
      </c>
      <c r="J458" s="23" t="inlineStr">
        <is>
          <t>Source assignment -- not individually reviewed</t>
        </is>
      </c>
      <c r="K458" s="23" t="inlineStr"/>
      <c r="L458" s="23" t="inlineStr"/>
      <c r="M458" s="23" t="inlineStr"/>
      <c r="N458" s="14" t="inlineStr">
        <is>
          <t>10 EVIDENCE &amp; DECISIONS</t>
        </is>
      </c>
    </row>
    <row r="459" ht="34" customHeight="1">
      <c r="A459" s="23" t="inlineStr">
        <is>
          <t>Contractor Programme</t>
        </is>
      </c>
      <c r="B459" s="23" t="inlineStr">
        <is>
          <t>SCH-02-033</t>
        </is>
      </c>
      <c r="C459" s="23" t="inlineStr">
        <is>
          <t>Civic Station: vertical-transport installation - release</t>
        </is>
      </c>
      <c r="D459" s="23" t="inlineStr">
        <is>
          <t>WBS Code = 1.2.2</t>
        </is>
      </c>
      <c r="E459" s="23" t="inlineStr">
        <is>
          <t>R213-v2</t>
        </is>
      </c>
      <c r="F459" s="23" t="inlineStr">
        <is>
          <t>1.2.2 Stations - Architectural Fit-Out</t>
        </is>
      </c>
      <c r="G459" s="23" t="inlineStr">
        <is>
          <t>ONE_TO_ONE</t>
        </is>
      </c>
      <c r="H459" s="23" t="inlineStr">
        <is>
          <t>RETAINED</t>
        </is>
      </c>
      <c r="I459" s="23" t="inlineStr">
        <is>
          <t>Carried forward</t>
        </is>
      </c>
      <c r="J459" s="23" t="inlineStr">
        <is>
          <t>Source assignment -- not individually reviewed</t>
        </is>
      </c>
      <c r="K459" s="23" t="inlineStr"/>
      <c r="L459" s="23" t="inlineStr"/>
      <c r="M459" s="23" t="inlineStr"/>
      <c r="N459" s="14" t="inlineStr">
        <is>
          <t>10 EVIDENCE &amp; DECISIONS</t>
        </is>
      </c>
    </row>
    <row r="460" ht="34" customHeight="1">
      <c r="A460" s="23" t="inlineStr">
        <is>
          <t>Contractor Programme</t>
        </is>
      </c>
      <c r="B460" s="23" t="inlineStr">
        <is>
          <t>SCH-02-036</t>
        </is>
      </c>
      <c r="C460" s="23" t="inlineStr">
        <is>
          <t>Harbour Station: fire-life-safety cabling - inspection</t>
        </is>
      </c>
      <c r="D460" s="23" t="inlineStr">
        <is>
          <t>WBS Code = 1.2.2</t>
        </is>
      </c>
      <c r="E460" s="23" t="inlineStr">
        <is>
          <t>R216-v2</t>
        </is>
      </c>
      <c r="F460" s="23" t="inlineStr">
        <is>
          <t>1.2.2 Stations - Architectural Fit-Out</t>
        </is>
      </c>
      <c r="G460" s="23" t="inlineStr">
        <is>
          <t>ONE_TO_ONE</t>
        </is>
      </c>
      <c r="H460" s="23" t="inlineStr">
        <is>
          <t>RETAINED</t>
        </is>
      </c>
      <c r="I460" s="23" t="inlineStr">
        <is>
          <t>Carried forward</t>
        </is>
      </c>
      <c r="J460" s="23" t="inlineStr">
        <is>
          <t>Source assignment -- not individually reviewed</t>
        </is>
      </c>
      <c r="K460" s="23" t="inlineStr"/>
      <c r="L460" s="23" t="inlineStr"/>
      <c r="M460" s="23" t="inlineStr"/>
      <c r="N460" s="14" t="inlineStr">
        <is>
          <t>10 EVIDENCE &amp; DECISIONS</t>
        </is>
      </c>
    </row>
    <row r="461" ht="34" customHeight="1">
      <c r="A461" s="23" t="inlineStr">
        <is>
          <t>Contractor Programme</t>
        </is>
      </c>
      <c r="B461" s="23" t="inlineStr">
        <is>
          <t>SCH-02-039</t>
        </is>
      </c>
      <c r="C461" s="23" t="inlineStr">
        <is>
          <t>University Station: public-realm paving - field start</t>
        </is>
      </c>
      <c r="D461" s="23" t="inlineStr">
        <is>
          <t>WBS Code = 1.2.2</t>
        </is>
      </c>
      <c r="E461" s="23" t="inlineStr">
        <is>
          <t>R219-v2</t>
        </is>
      </c>
      <c r="F461" s="23" t="inlineStr">
        <is>
          <t>1.2.2 Stations - Architectural Fit-Out</t>
        </is>
      </c>
      <c r="G461" s="23" t="inlineStr">
        <is>
          <t>ONE_TO_ONE</t>
        </is>
      </c>
      <c r="H461" s="23" t="inlineStr">
        <is>
          <t>RETAINED</t>
        </is>
      </c>
      <c r="I461" s="23" t="inlineStr">
        <is>
          <t>Carried forward</t>
        </is>
      </c>
      <c r="J461" s="23" t="inlineStr">
        <is>
          <t>Source assignment -- not individually reviewed</t>
        </is>
      </c>
      <c r="K461" s="23" t="inlineStr"/>
      <c r="L461" s="23" t="inlineStr"/>
      <c r="M461" s="23" t="inlineStr"/>
      <c r="N461" s="14" t="inlineStr">
        <is>
          <t>10 EVIDENCE &amp; DECISIONS</t>
        </is>
      </c>
    </row>
    <row r="462" ht="34" customHeight="1">
      <c r="A462" s="23" t="inlineStr">
        <is>
          <t>Contractor Programme</t>
        </is>
      </c>
      <c r="B462" s="23" t="inlineStr">
        <is>
          <t>SCH-02-042</t>
        </is>
      </c>
      <c r="C462" s="23" t="inlineStr">
        <is>
          <t>Market Station: platform edge installation - turnover</t>
        </is>
      </c>
      <c r="D462" s="23" t="inlineStr">
        <is>
          <t>WBS Code = 1.2.2</t>
        </is>
      </c>
      <c r="E462" s="23" t="inlineStr">
        <is>
          <t>R222-v2</t>
        </is>
      </c>
      <c r="F462" s="23" t="inlineStr">
        <is>
          <t>1.2.2 Stations - Architectural Fit-Out</t>
        </is>
      </c>
      <c r="G462" s="23" t="inlineStr">
        <is>
          <t>ONE_TO_ONE</t>
        </is>
      </c>
      <c r="H462" s="23" t="inlineStr">
        <is>
          <t>RETAINED</t>
        </is>
      </c>
      <c r="I462" s="23" t="inlineStr">
        <is>
          <t>Carried forward</t>
        </is>
      </c>
      <c r="J462" s="23" t="inlineStr">
        <is>
          <t>Source assignment -- not individually reviewed</t>
        </is>
      </c>
      <c r="K462" s="23" t="inlineStr"/>
      <c r="L462" s="23" t="inlineStr"/>
      <c r="M462" s="23" t="inlineStr"/>
      <c r="N462" s="14" t="inlineStr">
        <is>
          <t>10 EVIDENCE &amp; DECISIONS</t>
        </is>
      </c>
    </row>
    <row r="463" ht="34" customHeight="1">
      <c r="A463" s="23" t="inlineStr">
        <is>
          <t>Contractor Programme</t>
        </is>
      </c>
      <c r="B463" s="23" t="inlineStr">
        <is>
          <t>SCH-02-045</t>
        </is>
      </c>
      <c r="C463" s="23" t="inlineStr">
        <is>
          <t>West Terminal: concourse slab pour - installation</t>
        </is>
      </c>
      <c r="D463" s="23" t="inlineStr">
        <is>
          <t>WBS Code = 1.2.2</t>
        </is>
      </c>
      <c r="E463" s="23" t="inlineStr">
        <is>
          <t>R225-v2</t>
        </is>
      </c>
      <c r="F463" s="23" t="inlineStr">
        <is>
          <t>1.2.2 Stations - Architectural Fit-Out</t>
        </is>
      </c>
      <c r="G463" s="23" t="inlineStr">
        <is>
          <t>ONE_TO_ONE</t>
        </is>
      </c>
      <c r="H463" s="23" t="inlineStr">
        <is>
          <t>RETAINED</t>
        </is>
      </c>
      <c r="I463" s="23" t="inlineStr">
        <is>
          <t>Carried forward</t>
        </is>
      </c>
      <c r="J463" s="23" t="inlineStr">
        <is>
          <t>Source assignment -- not individually reviewed</t>
        </is>
      </c>
      <c r="K463" s="23" t="inlineStr"/>
      <c r="L463" s="23" t="inlineStr"/>
      <c r="M463" s="23" t="inlineStr"/>
      <c r="N463" s="14" t="inlineStr">
        <is>
          <t>10 EVIDENCE &amp; DECISIONS</t>
        </is>
      </c>
    </row>
    <row r="464" ht="34" customHeight="1">
      <c r="A464" s="23" t="inlineStr">
        <is>
          <t>Contractor Programme</t>
        </is>
      </c>
      <c r="B464" s="23" t="inlineStr">
        <is>
          <t>SCH-02-048</t>
        </is>
      </c>
      <c r="C464" s="23" t="inlineStr">
        <is>
          <t>Civic Station: entrance steel erection - release</t>
        </is>
      </c>
      <c r="D464" s="23" t="inlineStr">
        <is>
          <t>WBS Code = 1.2.2</t>
        </is>
      </c>
      <c r="E464" s="23" t="inlineStr">
        <is>
          <t>R228-v2</t>
        </is>
      </c>
      <c r="F464" s="23" t="inlineStr">
        <is>
          <t>1.2.2 Stations - Architectural Fit-Out</t>
        </is>
      </c>
      <c r="G464" s="23" t="inlineStr">
        <is>
          <t>ONE_TO_ONE</t>
        </is>
      </c>
      <c r="H464" s="23" t="inlineStr">
        <is>
          <t>RETAINED</t>
        </is>
      </c>
      <c r="I464" s="23" t="inlineStr">
        <is>
          <t>Carried forward</t>
        </is>
      </c>
      <c r="J464" s="23" t="inlineStr">
        <is>
          <t>Source assignment -- not individually reviewed</t>
        </is>
      </c>
      <c r="K464" s="23" t="inlineStr"/>
      <c r="L464" s="23" t="inlineStr"/>
      <c r="M464" s="23" t="inlineStr"/>
      <c r="N464" s="14" t="inlineStr">
        <is>
          <t>10 EVIDENCE &amp; DECISIONS</t>
        </is>
      </c>
    </row>
    <row r="465" ht="34" customHeight="1">
      <c r="A465" s="23" t="inlineStr">
        <is>
          <t>Contractor Programme</t>
        </is>
      </c>
      <c r="B465" s="23" t="inlineStr">
        <is>
          <t>SCH-02-051</t>
        </is>
      </c>
      <c r="C465" s="23" t="inlineStr">
        <is>
          <t>Harbour Station: architectural wall framing - inspection</t>
        </is>
      </c>
      <c r="D465" s="23" t="inlineStr">
        <is>
          <t>WBS Code = 1.2.2</t>
        </is>
      </c>
      <c r="E465" s="23" t="inlineStr">
        <is>
          <t>R231-v2</t>
        </is>
      </c>
      <c r="F465" s="23" t="inlineStr">
        <is>
          <t>1.2.2 Stations - Architectural Fit-Out</t>
        </is>
      </c>
      <c r="G465" s="23" t="inlineStr">
        <is>
          <t>ONE_TO_ONE</t>
        </is>
      </c>
      <c r="H465" s="23" t="inlineStr">
        <is>
          <t>RETAINED</t>
        </is>
      </c>
      <c r="I465" s="23" t="inlineStr">
        <is>
          <t>Carried forward</t>
        </is>
      </c>
      <c r="J465" s="23" t="inlineStr">
        <is>
          <t>Source assignment -- not individually reviewed</t>
        </is>
      </c>
      <c r="K465" s="23" t="inlineStr"/>
      <c r="L465" s="23" t="inlineStr"/>
      <c r="M465" s="23" t="inlineStr"/>
      <c r="N465" s="14" t="inlineStr">
        <is>
          <t>10 EVIDENCE &amp; DECISIONS</t>
        </is>
      </c>
    </row>
    <row r="466" ht="34" customHeight="1">
      <c r="A466" s="23" t="inlineStr">
        <is>
          <t>Contractor Programme</t>
        </is>
      </c>
      <c r="B466" s="23" t="inlineStr">
        <is>
          <t>SCH-02-054</t>
        </is>
      </c>
      <c r="C466" s="23" t="inlineStr">
        <is>
          <t>University Station: station ventilation rough-in - field start</t>
        </is>
      </c>
      <c r="D466" s="23" t="inlineStr">
        <is>
          <t>WBS Code = 1.2.2</t>
        </is>
      </c>
      <c r="E466" s="23" t="inlineStr">
        <is>
          <t>R234-v2</t>
        </is>
      </c>
      <c r="F466" s="23" t="inlineStr">
        <is>
          <t>1.2.2 Stations - Architectural Fit-Out</t>
        </is>
      </c>
      <c r="G466" s="23" t="inlineStr">
        <is>
          <t>ONE_TO_ONE</t>
        </is>
      </c>
      <c r="H466" s="23" t="inlineStr">
        <is>
          <t>RETAINED</t>
        </is>
      </c>
      <c r="I466" s="23" t="inlineStr">
        <is>
          <t>Carried forward</t>
        </is>
      </c>
      <c r="J466" s="23" t="inlineStr">
        <is>
          <t>Source assignment -- not individually reviewed</t>
        </is>
      </c>
      <c r="K466" s="23" t="inlineStr"/>
      <c r="L466" s="23" t="inlineStr"/>
      <c r="M466" s="23" t="inlineStr"/>
      <c r="N466" s="14" t="inlineStr">
        <is>
          <t>10 EVIDENCE &amp; DECISIONS</t>
        </is>
      </c>
    </row>
    <row r="467" ht="34" customHeight="1">
      <c r="A467" s="23" t="inlineStr">
        <is>
          <t>Contractor Programme</t>
        </is>
      </c>
      <c r="B467" s="23" t="inlineStr">
        <is>
          <t>SCH-02-057</t>
        </is>
      </c>
      <c r="C467" s="23" t="inlineStr">
        <is>
          <t>Market Station: vertical-transport installation - turnover</t>
        </is>
      </c>
      <c r="D467" s="23" t="inlineStr">
        <is>
          <t>WBS Code = 1.2.2</t>
        </is>
      </c>
      <c r="E467" s="23" t="inlineStr">
        <is>
          <t>R237-v2</t>
        </is>
      </c>
      <c r="F467" s="23" t="inlineStr">
        <is>
          <t>1.2.2 Stations - Architectural Fit-Out</t>
        </is>
      </c>
      <c r="G467" s="23" t="inlineStr">
        <is>
          <t>ONE_TO_ONE</t>
        </is>
      </c>
      <c r="H467" s="23" t="inlineStr">
        <is>
          <t>RETAINED</t>
        </is>
      </c>
      <c r="I467" s="23" t="inlineStr">
        <is>
          <t>Carried forward</t>
        </is>
      </c>
      <c r="J467" s="23" t="inlineStr">
        <is>
          <t>Source assignment -- not individually reviewed</t>
        </is>
      </c>
      <c r="K467" s="23" t="inlineStr"/>
      <c r="L467" s="23" t="inlineStr"/>
      <c r="M467" s="23" t="inlineStr"/>
      <c r="N467" s="14" t="inlineStr">
        <is>
          <t>10 EVIDENCE &amp; DECISIONS</t>
        </is>
      </c>
    </row>
    <row r="468" ht="34" customHeight="1">
      <c r="A468" s="23" t="inlineStr">
        <is>
          <t>Contractor Programme</t>
        </is>
      </c>
      <c r="B468" s="23" t="inlineStr">
        <is>
          <t>SCH-02-060</t>
        </is>
      </c>
      <c r="C468" s="23" t="inlineStr">
        <is>
          <t>West Terminal: fire-life-safety cabling - installation</t>
        </is>
      </c>
      <c r="D468" s="23" t="inlineStr">
        <is>
          <t>WBS Code = 1.2.2</t>
        </is>
      </c>
      <c r="E468" s="23" t="inlineStr">
        <is>
          <t>R240-v2</t>
        </is>
      </c>
      <c r="F468" s="23" t="inlineStr">
        <is>
          <t>1.2.2 Stations - Architectural Fit-Out</t>
        </is>
      </c>
      <c r="G468" s="23" t="inlineStr">
        <is>
          <t>ONE_TO_ONE</t>
        </is>
      </c>
      <c r="H468" s="23" t="inlineStr">
        <is>
          <t>RETAINED</t>
        </is>
      </c>
      <c r="I468" s="23" t="inlineStr">
        <is>
          <t>Carried forward</t>
        </is>
      </c>
      <c r="J468" s="23" t="inlineStr">
        <is>
          <t>Source assignment -- not individually reviewed</t>
        </is>
      </c>
      <c r="K468" s="23" t="inlineStr"/>
      <c r="L468" s="23" t="inlineStr"/>
      <c r="M468" s="23" t="inlineStr"/>
      <c r="N468" s="14" t="inlineStr">
        <is>
          <t>10 EVIDENCE &amp; DECISIONS</t>
        </is>
      </c>
    </row>
    <row r="469" ht="34" customHeight="1">
      <c r="A469" s="23" t="inlineStr">
        <is>
          <t>Contractor Programme</t>
        </is>
      </c>
      <c r="B469" s="23" t="inlineStr">
        <is>
          <t>SCH-02-063</t>
        </is>
      </c>
      <c r="C469" s="23" t="inlineStr">
        <is>
          <t>Civic Station: public-realm paving - release</t>
        </is>
      </c>
      <c r="D469" s="23" t="inlineStr">
        <is>
          <t>WBS Code = 1.2.2</t>
        </is>
      </c>
      <c r="E469" s="23" t="inlineStr">
        <is>
          <t>R243-v2</t>
        </is>
      </c>
      <c r="F469" s="23" t="inlineStr">
        <is>
          <t>1.2.2 Stations - Architectural Fit-Out</t>
        </is>
      </c>
      <c r="G469" s="23" t="inlineStr">
        <is>
          <t>ONE_TO_ONE</t>
        </is>
      </c>
      <c r="H469" s="23" t="inlineStr">
        <is>
          <t>RETAINED</t>
        </is>
      </c>
      <c r="I469" s="23" t="inlineStr">
        <is>
          <t>Carried forward</t>
        </is>
      </c>
      <c r="J469" s="23" t="inlineStr">
        <is>
          <t>Source assignment -- not individually reviewed</t>
        </is>
      </c>
      <c r="K469" s="23" t="inlineStr"/>
      <c r="L469" s="23" t="inlineStr"/>
      <c r="M469" s="23" t="inlineStr"/>
      <c r="N469" s="14" t="inlineStr">
        <is>
          <t>10 EVIDENCE &amp; DECISIONS</t>
        </is>
      </c>
    </row>
    <row r="470" ht="34" customHeight="1">
      <c r="A470" s="23" t="inlineStr">
        <is>
          <t>Contractor Programme</t>
        </is>
      </c>
      <c r="B470" s="23" t="inlineStr">
        <is>
          <t>SCH-02-066</t>
        </is>
      </c>
      <c r="C470" s="23" t="inlineStr">
        <is>
          <t>Harbour Station: platform edge installation - inspection</t>
        </is>
      </c>
      <c r="D470" s="23" t="inlineStr">
        <is>
          <t>WBS Code = 1.2.2</t>
        </is>
      </c>
      <c r="E470" s="23" t="inlineStr">
        <is>
          <t>R246-v2</t>
        </is>
      </c>
      <c r="F470" s="23" t="inlineStr">
        <is>
          <t>1.2.2 Stations - Architectural Fit-Out</t>
        </is>
      </c>
      <c r="G470" s="23" t="inlineStr">
        <is>
          <t>ONE_TO_ONE</t>
        </is>
      </c>
      <c r="H470" s="23" t="inlineStr">
        <is>
          <t>RETAINED</t>
        </is>
      </c>
      <c r="I470" s="23" t="inlineStr">
        <is>
          <t>Carried forward</t>
        </is>
      </c>
      <c r="J470" s="23" t="inlineStr">
        <is>
          <t>Source assignment -- not individually reviewed</t>
        </is>
      </c>
      <c r="K470" s="23" t="inlineStr"/>
      <c r="L470" s="23" t="inlineStr"/>
      <c r="M470" s="23" t="inlineStr"/>
      <c r="N470" s="14" t="inlineStr">
        <is>
          <t>10 EVIDENCE &amp; DECISIONS</t>
        </is>
      </c>
    </row>
    <row r="471" ht="34" customHeight="1">
      <c r="A471" s="23" t="inlineStr">
        <is>
          <t>Contractor Programme</t>
        </is>
      </c>
      <c r="B471" s="23" t="inlineStr">
        <is>
          <t>SCH-02-069</t>
        </is>
      </c>
      <c r="C471" s="23" t="inlineStr">
        <is>
          <t>University Station: concourse slab pour - field start</t>
        </is>
      </c>
      <c r="D471" s="23" t="inlineStr">
        <is>
          <t>WBS Code = 1.2.2</t>
        </is>
      </c>
      <c r="E471" s="23" t="inlineStr">
        <is>
          <t>R249-v2</t>
        </is>
      </c>
      <c r="F471" s="23" t="inlineStr">
        <is>
          <t>1.2.2 Stations - Architectural Fit-Out</t>
        </is>
      </c>
      <c r="G471" s="23" t="inlineStr">
        <is>
          <t>ONE_TO_ONE</t>
        </is>
      </c>
      <c r="H471" s="23" t="inlineStr">
        <is>
          <t>RETAINED</t>
        </is>
      </c>
      <c r="I471" s="23" t="inlineStr">
        <is>
          <t>Carried forward</t>
        </is>
      </c>
      <c r="J471" s="23" t="inlineStr">
        <is>
          <t>Source assignment -- not individually reviewed</t>
        </is>
      </c>
      <c r="K471" s="23" t="inlineStr"/>
      <c r="L471" s="23" t="inlineStr"/>
      <c r="M471" s="23" t="inlineStr"/>
      <c r="N471" s="14" t="inlineStr">
        <is>
          <t>10 EVIDENCE &amp; DECISIONS</t>
        </is>
      </c>
    </row>
    <row r="472" ht="34" customHeight="1">
      <c r="A472" s="23" t="inlineStr">
        <is>
          <t>Contractor Programme</t>
        </is>
      </c>
      <c r="B472" s="23" t="inlineStr">
        <is>
          <t>SCH-02-072</t>
        </is>
      </c>
      <c r="C472" s="23" t="inlineStr">
        <is>
          <t>Market Station: entrance steel erection - turnover</t>
        </is>
      </c>
      <c r="D472" s="23" t="inlineStr">
        <is>
          <t>WBS Code = 1.2.2</t>
        </is>
      </c>
      <c r="E472" s="23" t="inlineStr">
        <is>
          <t>R252-v2</t>
        </is>
      </c>
      <c r="F472" s="23" t="inlineStr">
        <is>
          <t>1.2.2 Stations - Architectural Fit-Out</t>
        </is>
      </c>
      <c r="G472" s="23" t="inlineStr">
        <is>
          <t>ONE_TO_ONE</t>
        </is>
      </c>
      <c r="H472" s="23" t="inlineStr">
        <is>
          <t>RETAINED</t>
        </is>
      </c>
      <c r="I472" s="23" t="inlineStr">
        <is>
          <t>Carried forward</t>
        </is>
      </c>
      <c r="J472" s="23" t="inlineStr">
        <is>
          <t>Source assignment -- not individually reviewed</t>
        </is>
      </c>
      <c r="K472" s="23" t="inlineStr"/>
      <c r="L472" s="23" t="inlineStr"/>
      <c r="M472" s="23" t="inlineStr"/>
      <c r="N472" s="14" t="inlineStr">
        <is>
          <t>10 EVIDENCE &amp; DECISIONS</t>
        </is>
      </c>
    </row>
    <row r="473" ht="34" customHeight="1">
      <c r="A473" s="23" t="inlineStr">
        <is>
          <t>Contractor Programme</t>
        </is>
      </c>
      <c r="B473" s="23" t="inlineStr">
        <is>
          <t>SCH-02-075</t>
        </is>
      </c>
      <c r="C473" s="23" t="inlineStr">
        <is>
          <t>West Terminal: architectural wall framing - installation</t>
        </is>
      </c>
      <c r="D473" s="23" t="inlineStr">
        <is>
          <t>WBS Code = 1.2.2</t>
        </is>
      </c>
      <c r="E473" s="23" t="inlineStr">
        <is>
          <t>R255-v2</t>
        </is>
      </c>
      <c r="F473" s="23" t="inlineStr">
        <is>
          <t>1.2.2 Stations - Architectural Fit-Out</t>
        </is>
      </c>
      <c r="G473" s="23" t="inlineStr">
        <is>
          <t>ONE_TO_ONE</t>
        </is>
      </c>
      <c r="H473" s="23" t="inlineStr">
        <is>
          <t>RETAINED</t>
        </is>
      </c>
      <c r="I473" s="23" t="inlineStr">
        <is>
          <t>Carried forward</t>
        </is>
      </c>
      <c r="J473" s="23" t="inlineStr">
        <is>
          <t>Source assignment -- not individually reviewed</t>
        </is>
      </c>
      <c r="K473" s="23" t="inlineStr"/>
      <c r="L473" s="23" t="inlineStr"/>
      <c r="M473" s="23" t="inlineStr"/>
      <c r="N473" s="14" t="inlineStr">
        <is>
          <t>10 EVIDENCE &amp; DECISIONS</t>
        </is>
      </c>
    </row>
    <row r="474" ht="34" customHeight="1">
      <c r="A474" s="23" t="inlineStr">
        <is>
          <t>Contractor Programme</t>
        </is>
      </c>
      <c r="B474" s="23" t="inlineStr">
        <is>
          <t>SCH-02-078</t>
        </is>
      </c>
      <c r="C474" s="23" t="inlineStr">
        <is>
          <t>Civic Station: station ventilation rough-in - release</t>
        </is>
      </c>
      <c r="D474" s="23" t="inlineStr">
        <is>
          <t>WBS Code = 1.2.2</t>
        </is>
      </c>
      <c r="E474" s="23" t="inlineStr">
        <is>
          <t>R258-v2</t>
        </is>
      </c>
      <c r="F474" s="23" t="inlineStr">
        <is>
          <t>1.2.2 Stations - Architectural Fit-Out</t>
        </is>
      </c>
      <c r="G474" s="23" t="inlineStr">
        <is>
          <t>ONE_TO_ONE</t>
        </is>
      </c>
      <c r="H474" s="23" t="inlineStr">
        <is>
          <t>RETAINED</t>
        </is>
      </c>
      <c r="I474" s="23" t="inlineStr">
        <is>
          <t>Carried forward</t>
        </is>
      </c>
      <c r="J474" s="23" t="inlineStr">
        <is>
          <t>Source assignment -- not individually reviewed</t>
        </is>
      </c>
      <c r="K474" s="23" t="inlineStr"/>
      <c r="L474" s="23" t="inlineStr"/>
      <c r="M474" s="23" t="inlineStr"/>
      <c r="N474" s="14" t="inlineStr">
        <is>
          <t>10 EVIDENCE &amp; DECISIONS</t>
        </is>
      </c>
    </row>
    <row r="475" ht="34" customHeight="1">
      <c r="A475" s="23" t="inlineStr">
        <is>
          <t>Contractor Programme</t>
        </is>
      </c>
      <c r="B475" s="23" t="inlineStr">
        <is>
          <t>SCH-02-081</t>
        </is>
      </c>
      <c r="C475" s="23" t="inlineStr">
        <is>
          <t>Harbour Station: vertical-transport installation - inspection</t>
        </is>
      </c>
      <c r="D475" s="23" t="inlineStr">
        <is>
          <t>WBS Code = 1.2.2</t>
        </is>
      </c>
      <c r="E475" s="23" t="inlineStr">
        <is>
          <t>R261-v2</t>
        </is>
      </c>
      <c r="F475" s="23" t="inlineStr">
        <is>
          <t>1.2.2 Stations - Architectural Fit-Out</t>
        </is>
      </c>
      <c r="G475" s="23" t="inlineStr">
        <is>
          <t>ONE_TO_ONE</t>
        </is>
      </c>
      <c r="H475" s="23" t="inlineStr">
        <is>
          <t>RETAINED</t>
        </is>
      </c>
      <c r="I475" s="23" t="inlineStr">
        <is>
          <t>Carried forward</t>
        </is>
      </c>
      <c r="J475" s="23" t="inlineStr">
        <is>
          <t>Source assignment -- not individually reviewed</t>
        </is>
      </c>
      <c r="K475" s="23" t="inlineStr"/>
      <c r="L475" s="23" t="inlineStr"/>
      <c r="M475" s="23" t="inlineStr"/>
      <c r="N475" s="14" t="inlineStr">
        <is>
          <t>10 EVIDENCE &amp; DECISIONS</t>
        </is>
      </c>
    </row>
    <row r="476" ht="34" customHeight="1">
      <c r="A476" s="23" t="inlineStr">
        <is>
          <t>Contractor Programme</t>
        </is>
      </c>
      <c r="B476" s="23" t="inlineStr">
        <is>
          <t>SCH-02-084</t>
        </is>
      </c>
      <c r="C476" s="23" t="inlineStr">
        <is>
          <t>University Station: fire-life-safety cabling - field start</t>
        </is>
      </c>
      <c r="D476" s="23" t="inlineStr">
        <is>
          <t>WBS Code = 1.2.2</t>
        </is>
      </c>
      <c r="E476" s="23" t="inlineStr">
        <is>
          <t>R264-v2</t>
        </is>
      </c>
      <c r="F476" s="23" t="inlineStr">
        <is>
          <t>1.2.2 Stations - Architectural Fit-Out</t>
        </is>
      </c>
      <c r="G476" s="23" t="inlineStr">
        <is>
          <t>ONE_TO_ONE</t>
        </is>
      </c>
      <c r="H476" s="23" t="inlineStr">
        <is>
          <t>RETAINED</t>
        </is>
      </c>
      <c r="I476" s="23" t="inlineStr">
        <is>
          <t>Carried forward</t>
        </is>
      </c>
      <c r="J476" s="23" t="inlineStr">
        <is>
          <t>Source assignment -- not individually reviewed</t>
        </is>
      </c>
      <c r="K476" s="23" t="inlineStr"/>
      <c r="L476" s="23" t="inlineStr"/>
      <c r="M476" s="23" t="inlineStr"/>
      <c r="N476" s="14" t="inlineStr">
        <is>
          <t>10 EVIDENCE &amp; DECISIONS</t>
        </is>
      </c>
    </row>
    <row r="477" ht="34" customHeight="1">
      <c r="A477" s="23" t="inlineStr">
        <is>
          <t>Contractor Programme</t>
        </is>
      </c>
      <c r="B477" s="23" t="inlineStr">
        <is>
          <t>SCH-02-087</t>
        </is>
      </c>
      <c r="C477" s="23" t="inlineStr">
        <is>
          <t>Market Station: public-realm paving - turnover</t>
        </is>
      </c>
      <c r="D477" s="23" t="inlineStr">
        <is>
          <t>WBS Code = 1.2.2</t>
        </is>
      </c>
      <c r="E477" s="23" t="inlineStr">
        <is>
          <t>R267-v2</t>
        </is>
      </c>
      <c r="F477" s="23" t="inlineStr">
        <is>
          <t>1.2.2 Stations - Architectural Fit-Out</t>
        </is>
      </c>
      <c r="G477" s="23" t="inlineStr">
        <is>
          <t>ONE_TO_ONE</t>
        </is>
      </c>
      <c r="H477" s="23" t="inlineStr">
        <is>
          <t>RETAINED</t>
        </is>
      </c>
      <c r="I477" s="23" t="inlineStr">
        <is>
          <t>Carried forward</t>
        </is>
      </c>
      <c r="J477" s="23" t="inlineStr">
        <is>
          <t>Source assignment -- not individually reviewed</t>
        </is>
      </c>
      <c r="K477" s="23" t="inlineStr"/>
      <c r="L477" s="23" t="inlineStr"/>
      <c r="M477" s="23" t="inlineStr"/>
      <c r="N477" s="14" t="inlineStr">
        <is>
          <t>10 EVIDENCE &amp; DECISIONS</t>
        </is>
      </c>
    </row>
    <row r="478" ht="34" customHeight="1">
      <c r="A478" s="23" t="inlineStr">
        <is>
          <t>Contractor Programme</t>
        </is>
      </c>
      <c r="B478" s="23" t="inlineStr">
        <is>
          <t>SCH-02-090</t>
        </is>
      </c>
      <c r="C478" s="23" t="inlineStr">
        <is>
          <t>West Terminal: platform edge installation - installation</t>
        </is>
      </c>
      <c r="D478" s="23" t="inlineStr">
        <is>
          <t>WBS Code = 1.2.2</t>
        </is>
      </c>
      <c r="E478" s="23" t="inlineStr">
        <is>
          <t>R270-v2</t>
        </is>
      </c>
      <c r="F478" s="23" t="inlineStr">
        <is>
          <t>1.2.2 Stations - Architectural Fit-Out</t>
        </is>
      </c>
      <c r="G478" s="23" t="inlineStr">
        <is>
          <t>ONE_TO_ONE</t>
        </is>
      </c>
      <c r="H478" s="23" t="inlineStr">
        <is>
          <t>RETAINED</t>
        </is>
      </c>
      <c r="I478" s="23" t="inlineStr">
        <is>
          <t>Carried forward</t>
        </is>
      </c>
      <c r="J478" s="23" t="inlineStr">
        <is>
          <t>Source assignment -- not individually reviewed</t>
        </is>
      </c>
      <c r="K478" s="23" t="inlineStr"/>
      <c r="L478" s="23" t="inlineStr"/>
      <c r="M478" s="23" t="inlineStr"/>
      <c r="N478" s="14" t="inlineStr">
        <is>
          <t>10 EVIDENCE &amp; DECISIONS</t>
        </is>
      </c>
    </row>
    <row r="479" ht="34" customHeight="1">
      <c r="A479" s="23" t="inlineStr">
        <is>
          <t>Contractor Programme</t>
        </is>
      </c>
      <c r="B479" s="23" t="inlineStr">
        <is>
          <t>SCH-02-093</t>
        </is>
      </c>
      <c r="C479" s="23" t="inlineStr">
        <is>
          <t>Civic Station: concourse slab pour - release</t>
        </is>
      </c>
      <c r="D479" s="23" t="inlineStr">
        <is>
          <t>WBS Code = 1.2.2</t>
        </is>
      </c>
      <c r="E479" s="23" t="inlineStr">
        <is>
          <t>R273-v2</t>
        </is>
      </c>
      <c r="F479" s="23" t="inlineStr">
        <is>
          <t>1.2.2 Stations - Architectural Fit-Out</t>
        </is>
      </c>
      <c r="G479" s="23" t="inlineStr">
        <is>
          <t>ONE_TO_ONE</t>
        </is>
      </c>
      <c r="H479" s="23" t="inlineStr">
        <is>
          <t>RETAINED</t>
        </is>
      </c>
      <c r="I479" s="23" t="inlineStr">
        <is>
          <t>Carried forward</t>
        </is>
      </c>
      <c r="J479" s="23" t="inlineStr">
        <is>
          <t>Source assignment -- not individually reviewed</t>
        </is>
      </c>
      <c r="K479" s="23" t="inlineStr"/>
      <c r="L479" s="23" t="inlineStr"/>
      <c r="M479" s="23" t="inlineStr"/>
      <c r="N479" s="14" t="inlineStr">
        <is>
          <t>10 EVIDENCE &amp; DECISIONS</t>
        </is>
      </c>
    </row>
    <row r="480" ht="34" customHeight="1">
      <c r="A480" s="23" t="inlineStr">
        <is>
          <t>Contractor Programme</t>
        </is>
      </c>
      <c r="B480" s="23" t="inlineStr">
        <is>
          <t>SCH-02-096</t>
        </is>
      </c>
      <c r="C480" s="23" t="inlineStr">
        <is>
          <t>Harbour Station: entrance steel erection - inspection</t>
        </is>
      </c>
      <c r="D480" s="23" t="inlineStr">
        <is>
          <t>WBS Code = 1.2.2</t>
        </is>
      </c>
      <c r="E480" s="23" t="inlineStr">
        <is>
          <t>R276-v2</t>
        </is>
      </c>
      <c r="F480" s="23" t="inlineStr">
        <is>
          <t>1.2.2 Stations - Architectural Fit-Out</t>
        </is>
      </c>
      <c r="G480" s="23" t="inlineStr">
        <is>
          <t>ONE_TO_ONE</t>
        </is>
      </c>
      <c r="H480" s="23" t="inlineStr">
        <is>
          <t>RETAINED</t>
        </is>
      </c>
      <c r="I480" s="23" t="inlineStr">
        <is>
          <t>Carried forward</t>
        </is>
      </c>
      <c r="J480" s="23" t="inlineStr">
        <is>
          <t>Source assignment -- not individually reviewed</t>
        </is>
      </c>
      <c r="K480" s="23" t="inlineStr"/>
      <c r="L480" s="23" t="inlineStr"/>
      <c r="M480" s="23" t="inlineStr"/>
      <c r="N480" s="14" t="inlineStr">
        <is>
          <t>10 EVIDENCE &amp; DECISIONS</t>
        </is>
      </c>
    </row>
    <row r="481" ht="34" customHeight="1">
      <c r="A481" s="23" t="inlineStr">
        <is>
          <t>Contractor Programme</t>
        </is>
      </c>
      <c r="B481" s="23" t="inlineStr">
        <is>
          <t>SCH-02-099</t>
        </is>
      </c>
      <c r="C481" s="23" t="inlineStr">
        <is>
          <t>University Station: architectural wall framing - field start</t>
        </is>
      </c>
      <c r="D481" s="23" t="inlineStr">
        <is>
          <t>WBS Code = 1.2.2</t>
        </is>
      </c>
      <c r="E481" s="23" t="inlineStr">
        <is>
          <t>R279-v2</t>
        </is>
      </c>
      <c r="F481" s="23" t="inlineStr">
        <is>
          <t>1.2.2 Stations - Architectural Fit-Out</t>
        </is>
      </c>
      <c r="G481" s="23" t="inlineStr">
        <is>
          <t>ONE_TO_ONE</t>
        </is>
      </c>
      <c r="H481" s="23" t="inlineStr">
        <is>
          <t>RETAINED</t>
        </is>
      </c>
      <c r="I481" s="23" t="inlineStr">
        <is>
          <t>Carried forward</t>
        </is>
      </c>
      <c r="J481" s="23" t="inlineStr">
        <is>
          <t>Source assignment -- not individually reviewed</t>
        </is>
      </c>
      <c r="K481" s="23" t="inlineStr"/>
      <c r="L481" s="23" t="inlineStr"/>
      <c r="M481" s="23" t="inlineStr"/>
      <c r="N481" s="14" t="inlineStr">
        <is>
          <t>10 EVIDENCE &amp; DECISIONS</t>
        </is>
      </c>
    </row>
    <row r="482" ht="34" customHeight="1">
      <c r="A482" s="23" t="inlineStr">
        <is>
          <t>Contractor Programme</t>
        </is>
      </c>
      <c r="B482" s="23" t="inlineStr">
        <is>
          <t>SCH-02-102</t>
        </is>
      </c>
      <c r="C482" s="23" t="inlineStr">
        <is>
          <t>Market Station: station ventilation rough-in - turnover</t>
        </is>
      </c>
      <c r="D482" s="23" t="inlineStr">
        <is>
          <t>WBS Code = 1.2.2</t>
        </is>
      </c>
      <c r="E482" s="23" t="inlineStr">
        <is>
          <t>R282-v2</t>
        </is>
      </c>
      <c r="F482" s="23" t="inlineStr">
        <is>
          <t>1.2.2 Stations - Architectural Fit-Out</t>
        </is>
      </c>
      <c r="G482" s="23" t="inlineStr">
        <is>
          <t>ONE_TO_ONE</t>
        </is>
      </c>
      <c r="H482" s="23" t="inlineStr">
        <is>
          <t>RETAINED</t>
        </is>
      </c>
      <c r="I482" s="23" t="inlineStr">
        <is>
          <t>Carried forward</t>
        </is>
      </c>
      <c r="J482" s="23" t="inlineStr">
        <is>
          <t>Source assignment -- not individually reviewed</t>
        </is>
      </c>
      <c r="K482" s="23" t="inlineStr"/>
      <c r="L482" s="23" t="inlineStr"/>
      <c r="M482" s="23" t="inlineStr"/>
      <c r="N482" s="14" t="inlineStr">
        <is>
          <t>10 EVIDENCE &amp; DECISIONS</t>
        </is>
      </c>
    </row>
    <row r="483" ht="34" customHeight="1">
      <c r="A483" s="23" t="inlineStr">
        <is>
          <t>Contractor Programme</t>
        </is>
      </c>
      <c r="B483" s="23" t="inlineStr">
        <is>
          <t>SCH-02-105</t>
        </is>
      </c>
      <c r="C483" s="23" t="inlineStr">
        <is>
          <t>West Terminal: vertical-transport installation - installation</t>
        </is>
      </c>
      <c r="D483" s="23" t="inlineStr">
        <is>
          <t>WBS Code = 1.2.2</t>
        </is>
      </c>
      <c r="E483" s="23" t="inlineStr">
        <is>
          <t>R285-v2</t>
        </is>
      </c>
      <c r="F483" s="23" t="inlineStr">
        <is>
          <t>1.2.2 Stations - Architectural Fit-Out</t>
        </is>
      </c>
      <c r="G483" s="23" t="inlineStr">
        <is>
          <t>ONE_TO_ONE</t>
        </is>
      </c>
      <c r="H483" s="23" t="inlineStr">
        <is>
          <t>RETAINED</t>
        </is>
      </c>
      <c r="I483" s="23" t="inlineStr">
        <is>
          <t>Carried forward</t>
        </is>
      </c>
      <c r="J483" s="23" t="inlineStr">
        <is>
          <t>Source assignment -- not individually reviewed</t>
        </is>
      </c>
      <c r="K483" s="23" t="inlineStr"/>
      <c r="L483" s="23" t="inlineStr"/>
      <c r="M483" s="23" t="inlineStr"/>
      <c r="N483" s="14" t="inlineStr">
        <is>
          <t>10 EVIDENCE &amp; DECISIONS</t>
        </is>
      </c>
    </row>
    <row r="484" ht="34" customHeight="1">
      <c r="A484" s="23" t="inlineStr">
        <is>
          <t>Contractor Programme</t>
        </is>
      </c>
      <c r="B484" s="23" t="inlineStr">
        <is>
          <t>SCH-02-108</t>
        </is>
      </c>
      <c r="C484" s="23" t="inlineStr">
        <is>
          <t>Civic Station: fire-life-safety cabling - release</t>
        </is>
      </c>
      <c r="D484" s="23" t="inlineStr">
        <is>
          <t>WBS Code = 1.2.2</t>
        </is>
      </c>
      <c r="E484" s="23" t="inlineStr">
        <is>
          <t>R288-v2</t>
        </is>
      </c>
      <c r="F484" s="23" t="inlineStr">
        <is>
          <t>1.2.2 Stations - Architectural Fit-Out</t>
        </is>
      </c>
      <c r="G484" s="23" t="inlineStr">
        <is>
          <t>ONE_TO_ONE</t>
        </is>
      </c>
      <c r="H484" s="23" t="inlineStr">
        <is>
          <t>RETAINED</t>
        </is>
      </c>
      <c r="I484" s="23" t="inlineStr">
        <is>
          <t>Carried forward</t>
        </is>
      </c>
      <c r="J484" s="23" t="inlineStr">
        <is>
          <t>Source assignment -- not individually reviewed</t>
        </is>
      </c>
      <c r="K484" s="23" t="inlineStr"/>
      <c r="L484" s="23" t="inlineStr"/>
      <c r="M484" s="23" t="inlineStr"/>
      <c r="N484" s="14" t="inlineStr">
        <is>
          <t>10 EVIDENCE &amp; DECISIONS</t>
        </is>
      </c>
    </row>
    <row r="485" ht="34" customHeight="1">
      <c r="A485" s="23" t="inlineStr">
        <is>
          <t>Contractor Programme</t>
        </is>
      </c>
      <c r="B485" s="23" t="inlineStr">
        <is>
          <t>SCH-02-111</t>
        </is>
      </c>
      <c r="C485" s="23" t="inlineStr">
        <is>
          <t>Harbour Station: public-realm paving - inspection</t>
        </is>
      </c>
      <c r="D485" s="23" t="inlineStr">
        <is>
          <t>WBS Code = 1.2.2</t>
        </is>
      </c>
      <c r="E485" s="23" t="inlineStr">
        <is>
          <t>R291-v2</t>
        </is>
      </c>
      <c r="F485" s="23" t="inlineStr">
        <is>
          <t>1.2.2 Stations - Architectural Fit-Out</t>
        </is>
      </c>
      <c r="G485" s="23" t="inlineStr">
        <is>
          <t>ONE_TO_ONE</t>
        </is>
      </c>
      <c r="H485" s="23" t="inlineStr">
        <is>
          <t>RETAINED</t>
        </is>
      </c>
      <c r="I485" s="23" t="inlineStr">
        <is>
          <t>Carried forward</t>
        </is>
      </c>
      <c r="J485" s="23" t="inlineStr">
        <is>
          <t>Source assignment -- not individually reviewed</t>
        </is>
      </c>
      <c r="K485" s="23" t="inlineStr"/>
      <c r="L485" s="23" t="inlineStr"/>
      <c r="M485" s="23" t="inlineStr"/>
      <c r="N485" s="14" t="inlineStr">
        <is>
          <t>10 EVIDENCE &amp; DECISIONS</t>
        </is>
      </c>
    </row>
    <row r="486" ht="34" customHeight="1">
      <c r="A486" s="23" t="inlineStr">
        <is>
          <t>Contractor Programme</t>
        </is>
      </c>
      <c r="B486" s="23" t="inlineStr">
        <is>
          <t>SCH-02-114</t>
        </is>
      </c>
      <c r="C486" s="23" t="inlineStr">
        <is>
          <t>University Station: platform edge installation - field start</t>
        </is>
      </c>
      <c r="D486" s="23" t="inlineStr">
        <is>
          <t>WBS Code = 1.2.2</t>
        </is>
      </c>
      <c r="E486" s="23" t="inlineStr">
        <is>
          <t>R294-v2</t>
        </is>
      </c>
      <c r="F486" s="23" t="inlineStr">
        <is>
          <t>1.2.2 Stations - Architectural Fit-Out</t>
        </is>
      </c>
      <c r="G486" s="23" t="inlineStr">
        <is>
          <t>ONE_TO_ONE</t>
        </is>
      </c>
      <c r="H486" s="23" t="inlineStr">
        <is>
          <t>RETAINED</t>
        </is>
      </c>
      <c r="I486" s="23" t="inlineStr">
        <is>
          <t>Carried forward</t>
        </is>
      </c>
      <c r="J486" s="23" t="inlineStr">
        <is>
          <t>Source assignment -- not individually reviewed</t>
        </is>
      </c>
      <c r="K486" s="23" t="inlineStr"/>
      <c r="L486" s="23" t="inlineStr"/>
      <c r="M486" s="23" t="inlineStr"/>
      <c r="N486" s="14" t="inlineStr">
        <is>
          <t>10 EVIDENCE &amp; DECISIONS</t>
        </is>
      </c>
    </row>
    <row r="487" ht="34" customHeight="1">
      <c r="A487" s="23" t="inlineStr">
        <is>
          <t>Contractor Programme</t>
        </is>
      </c>
      <c r="B487" s="23" t="inlineStr">
        <is>
          <t>SCH-02-117</t>
        </is>
      </c>
      <c r="C487" s="23" t="inlineStr">
        <is>
          <t>Market Station: concourse slab pour - turnover</t>
        </is>
      </c>
      <c r="D487" s="23" t="inlineStr">
        <is>
          <t>WBS Code = 1.2.2</t>
        </is>
      </c>
      <c r="E487" s="23" t="inlineStr">
        <is>
          <t>R297-v2</t>
        </is>
      </c>
      <c r="F487" s="23" t="inlineStr">
        <is>
          <t>1.2.2 Stations - Architectural Fit-Out</t>
        </is>
      </c>
      <c r="G487" s="23" t="inlineStr">
        <is>
          <t>ONE_TO_ONE</t>
        </is>
      </c>
      <c r="H487" s="23" t="inlineStr">
        <is>
          <t>RETAINED</t>
        </is>
      </c>
      <c r="I487" s="23" t="inlineStr">
        <is>
          <t>Carried forward</t>
        </is>
      </c>
      <c r="J487" s="23" t="inlineStr">
        <is>
          <t>Source assignment -- not individually reviewed</t>
        </is>
      </c>
      <c r="K487" s="23" t="inlineStr"/>
      <c r="L487" s="23" t="inlineStr"/>
      <c r="M487" s="23" t="inlineStr"/>
      <c r="N487" s="14" t="inlineStr">
        <is>
          <t>10 EVIDENCE &amp; DECISIONS</t>
        </is>
      </c>
    </row>
    <row r="488" ht="34" customHeight="1">
      <c r="A488" s="23" t="inlineStr">
        <is>
          <t>Contractor Programme</t>
        </is>
      </c>
      <c r="B488" s="23" t="inlineStr">
        <is>
          <t>SCH-02-120</t>
        </is>
      </c>
      <c r="C488" s="23" t="inlineStr">
        <is>
          <t>West Terminal: entrance steel erection - installation</t>
        </is>
      </c>
      <c r="D488" s="23" t="inlineStr">
        <is>
          <t>WBS Code = 1.2.2</t>
        </is>
      </c>
      <c r="E488" s="23" t="inlineStr">
        <is>
          <t>R300-v2</t>
        </is>
      </c>
      <c r="F488" s="23" t="inlineStr">
        <is>
          <t>1.2.2 Stations - Architectural Fit-Out</t>
        </is>
      </c>
      <c r="G488" s="23" t="inlineStr">
        <is>
          <t>ONE_TO_ONE</t>
        </is>
      </c>
      <c r="H488" s="23" t="inlineStr">
        <is>
          <t>RETAINED</t>
        </is>
      </c>
      <c r="I488" s="23" t="inlineStr">
        <is>
          <t>Carried forward</t>
        </is>
      </c>
      <c r="J488" s="23" t="inlineStr">
        <is>
          <t>Source assignment -- not individually reviewed</t>
        </is>
      </c>
      <c r="K488" s="23" t="inlineStr"/>
      <c r="L488" s="23" t="inlineStr"/>
      <c r="M488" s="23" t="inlineStr"/>
      <c r="N488" s="14" t="inlineStr">
        <is>
          <t>10 EVIDENCE &amp; DECISIONS</t>
        </is>
      </c>
    </row>
    <row r="489" ht="34" customHeight="1">
      <c r="A489" s="23" t="inlineStr">
        <is>
          <t>Contractor Programme</t>
        </is>
      </c>
      <c r="B489" s="23" t="inlineStr">
        <is>
          <t>SCH-02-123</t>
        </is>
      </c>
      <c r="C489" s="23" t="inlineStr">
        <is>
          <t>Civic Station: architectural wall framing - release</t>
        </is>
      </c>
      <c r="D489" s="23" t="inlineStr">
        <is>
          <t>WBS Code = 1.2.2</t>
        </is>
      </c>
      <c r="E489" s="23" t="inlineStr">
        <is>
          <t>R303-v2</t>
        </is>
      </c>
      <c r="F489" s="23" t="inlineStr">
        <is>
          <t>1.2.2 Stations - Architectural Fit-Out</t>
        </is>
      </c>
      <c r="G489" s="23" t="inlineStr">
        <is>
          <t>ONE_TO_ONE</t>
        </is>
      </c>
      <c r="H489" s="23" t="inlineStr">
        <is>
          <t>RETAINED</t>
        </is>
      </c>
      <c r="I489" s="23" t="inlineStr">
        <is>
          <t>Carried forward</t>
        </is>
      </c>
      <c r="J489" s="23" t="inlineStr">
        <is>
          <t>Source assignment -- not individually reviewed</t>
        </is>
      </c>
      <c r="K489" s="23" t="inlineStr"/>
      <c r="L489" s="23" t="inlineStr"/>
      <c r="M489" s="23" t="inlineStr"/>
      <c r="N489" s="14" t="inlineStr">
        <is>
          <t>10 EVIDENCE &amp; DECISIONS</t>
        </is>
      </c>
    </row>
    <row r="490" ht="34" customHeight="1">
      <c r="A490" s="23" t="inlineStr">
        <is>
          <t>Contractor Programme</t>
        </is>
      </c>
      <c r="B490" s="23" t="inlineStr">
        <is>
          <t>SCH-02-126</t>
        </is>
      </c>
      <c r="C490" s="23" t="inlineStr">
        <is>
          <t>Harbour Station: station ventilation rough-in - inspection</t>
        </is>
      </c>
      <c r="D490" s="23" t="inlineStr">
        <is>
          <t>WBS Code = 1.2.2</t>
        </is>
      </c>
      <c r="E490" s="23" t="inlineStr">
        <is>
          <t>R306-v2</t>
        </is>
      </c>
      <c r="F490" s="23" t="inlineStr">
        <is>
          <t>1.2.2 Stations - Architectural Fit-Out</t>
        </is>
      </c>
      <c r="G490" s="23" t="inlineStr">
        <is>
          <t>ONE_TO_ONE</t>
        </is>
      </c>
      <c r="H490" s="23" t="inlineStr">
        <is>
          <t>RETAINED</t>
        </is>
      </c>
      <c r="I490" s="23" t="inlineStr">
        <is>
          <t>Carried forward</t>
        </is>
      </c>
      <c r="J490" s="23" t="inlineStr">
        <is>
          <t>Source assignment -- not individually reviewed</t>
        </is>
      </c>
      <c r="K490" s="23" t="inlineStr"/>
      <c r="L490" s="23" t="inlineStr"/>
      <c r="M490" s="23" t="inlineStr"/>
      <c r="N490" s="14" t="inlineStr">
        <is>
          <t>10 EVIDENCE &amp; DECISIONS</t>
        </is>
      </c>
    </row>
    <row r="491" ht="49" customHeight="1">
      <c r="A491" s="23" t="inlineStr">
        <is>
          <t>Contractor Programme</t>
        </is>
      </c>
      <c r="B491" s="23" t="inlineStr">
        <is>
          <t>SCH-02-129</t>
        </is>
      </c>
      <c r="C491" s="23" t="inlineStr">
        <is>
          <t>University Station: vertical-transport installation - field start</t>
        </is>
      </c>
      <c r="D491" s="23" t="inlineStr">
        <is>
          <t>WBS Code = 1.2.2</t>
        </is>
      </c>
      <c r="E491" s="23" t="inlineStr">
        <is>
          <t>R309-v2</t>
        </is>
      </c>
      <c r="F491" s="23" t="inlineStr">
        <is>
          <t>1.2.2 Stations - Architectural Fit-Out</t>
        </is>
      </c>
      <c r="G491" s="23" t="inlineStr">
        <is>
          <t>ONE_TO_ONE</t>
        </is>
      </c>
      <c r="H491" s="23" t="inlineStr">
        <is>
          <t>RETAINED</t>
        </is>
      </c>
      <c r="I491" s="23" t="inlineStr">
        <is>
          <t>Carried forward</t>
        </is>
      </c>
      <c r="J491" s="23" t="inlineStr">
        <is>
          <t>Source assignment -- not individually reviewed</t>
        </is>
      </c>
      <c r="K491" s="23" t="inlineStr"/>
      <c r="L491" s="23" t="inlineStr"/>
      <c r="M491" s="23" t="inlineStr"/>
      <c r="N491" s="14" t="inlineStr">
        <is>
          <t>10 EVIDENCE &amp; DECISIONS</t>
        </is>
      </c>
    </row>
    <row r="492" ht="34" customHeight="1">
      <c r="A492" s="23" t="inlineStr">
        <is>
          <t>Contractor Programme</t>
        </is>
      </c>
      <c r="B492" s="23" t="inlineStr">
        <is>
          <t>SCH-02-132</t>
        </is>
      </c>
      <c r="C492" s="23" t="inlineStr">
        <is>
          <t>Market Station: fire-life-safety cabling - turnover</t>
        </is>
      </c>
      <c r="D492" s="23" t="inlineStr">
        <is>
          <t>WBS Code = 1.2.2</t>
        </is>
      </c>
      <c r="E492" s="23" t="inlineStr">
        <is>
          <t>R312-v2</t>
        </is>
      </c>
      <c r="F492" s="23" t="inlineStr">
        <is>
          <t>1.2.2 Stations - Architectural Fit-Out</t>
        </is>
      </c>
      <c r="G492" s="23" t="inlineStr">
        <is>
          <t>ONE_TO_ONE</t>
        </is>
      </c>
      <c r="H492" s="23" t="inlineStr">
        <is>
          <t>RETAINED</t>
        </is>
      </c>
      <c r="I492" s="23" t="inlineStr">
        <is>
          <t>Carried forward</t>
        </is>
      </c>
      <c r="J492" s="23" t="inlineStr">
        <is>
          <t>Source assignment -- not individually reviewed</t>
        </is>
      </c>
      <c r="K492" s="23" t="inlineStr"/>
      <c r="L492" s="23" t="inlineStr"/>
      <c r="M492" s="23" t="inlineStr"/>
      <c r="N492" s="14" t="inlineStr">
        <is>
          <t>10 EVIDENCE &amp; DECISIONS</t>
        </is>
      </c>
    </row>
    <row r="493" ht="34" customHeight="1">
      <c r="A493" s="23" t="inlineStr">
        <is>
          <t>Contractor Programme</t>
        </is>
      </c>
      <c r="B493" s="23" t="inlineStr">
        <is>
          <t>SCH-02-135</t>
        </is>
      </c>
      <c r="C493" s="23" t="inlineStr">
        <is>
          <t>West Terminal: public-realm paving - installation</t>
        </is>
      </c>
      <c r="D493" s="23" t="inlineStr">
        <is>
          <t>WBS Code = 1.2.2</t>
        </is>
      </c>
      <c r="E493" s="23" t="inlineStr">
        <is>
          <t>R315-v2</t>
        </is>
      </c>
      <c r="F493" s="23" t="inlineStr">
        <is>
          <t>1.2.2 Stations - Architectural Fit-Out</t>
        </is>
      </c>
      <c r="G493" s="23" t="inlineStr">
        <is>
          <t>ONE_TO_ONE</t>
        </is>
      </c>
      <c r="H493" s="23" t="inlineStr">
        <is>
          <t>RETAINED</t>
        </is>
      </c>
      <c r="I493" s="23" t="inlineStr">
        <is>
          <t>Carried forward</t>
        </is>
      </c>
      <c r="J493" s="23" t="inlineStr">
        <is>
          <t>Source assignment -- not individually reviewed</t>
        </is>
      </c>
      <c r="K493" s="23" t="inlineStr"/>
      <c r="L493" s="23" t="inlineStr"/>
      <c r="M493" s="23" t="inlineStr"/>
      <c r="N493" s="14" t="inlineStr">
        <is>
          <t>10 EVIDENCE &amp; DECISIONS</t>
        </is>
      </c>
    </row>
    <row r="494" ht="34" customHeight="1">
      <c r="A494" s="23" t="inlineStr">
        <is>
          <t>Contractor Programme</t>
        </is>
      </c>
      <c r="B494" s="23" t="inlineStr">
        <is>
          <t>SCH-02-138</t>
        </is>
      </c>
      <c r="C494" s="23" t="inlineStr">
        <is>
          <t>Civic Station: platform edge installation - release</t>
        </is>
      </c>
      <c r="D494" s="23" t="inlineStr">
        <is>
          <t>WBS Code = 1.2.2</t>
        </is>
      </c>
      <c r="E494" s="23" t="inlineStr">
        <is>
          <t>R318-v2</t>
        </is>
      </c>
      <c r="F494" s="23" t="inlineStr">
        <is>
          <t>1.2.2 Stations - Architectural Fit-Out</t>
        </is>
      </c>
      <c r="G494" s="23" t="inlineStr">
        <is>
          <t>ONE_TO_ONE</t>
        </is>
      </c>
      <c r="H494" s="23" t="inlineStr">
        <is>
          <t>RETAINED</t>
        </is>
      </c>
      <c r="I494" s="23" t="inlineStr">
        <is>
          <t>Carried forward</t>
        </is>
      </c>
      <c r="J494" s="23" t="inlineStr">
        <is>
          <t>Source assignment -- not individually reviewed</t>
        </is>
      </c>
      <c r="K494" s="23" t="inlineStr"/>
      <c r="L494" s="23" t="inlineStr"/>
      <c r="M494" s="23" t="inlineStr"/>
      <c r="N494" s="14" t="inlineStr">
        <is>
          <t>10 EVIDENCE &amp; DECISIONS</t>
        </is>
      </c>
    </row>
    <row r="495" ht="34" customHeight="1">
      <c r="A495" s="23" t="inlineStr">
        <is>
          <t>Contractor Programme</t>
        </is>
      </c>
      <c r="B495" s="23" t="inlineStr">
        <is>
          <t>SCH-02-141</t>
        </is>
      </c>
      <c r="C495" s="23" t="inlineStr">
        <is>
          <t>Harbour Station: concourse slab pour - inspection</t>
        </is>
      </c>
      <c r="D495" s="23" t="inlineStr">
        <is>
          <t>WBS Code = 1.2.2</t>
        </is>
      </c>
      <c r="E495" s="23" t="inlineStr">
        <is>
          <t>R321-v2</t>
        </is>
      </c>
      <c r="F495" s="23" t="inlineStr">
        <is>
          <t>1.2.2 Stations - Architectural Fit-Out</t>
        </is>
      </c>
      <c r="G495" s="23" t="inlineStr">
        <is>
          <t>ONE_TO_ONE</t>
        </is>
      </c>
      <c r="H495" s="23" t="inlineStr">
        <is>
          <t>RETAINED</t>
        </is>
      </c>
      <c r="I495" s="23" t="inlineStr">
        <is>
          <t>Carried forward</t>
        </is>
      </c>
      <c r="J495" s="23" t="inlineStr">
        <is>
          <t>Source assignment -- not individually reviewed</t>
        </is>
      </c>
      <c r="K495" s="23" t="inlineStr"/>
      <c r="L495" s="23" t="inlineStr"/>
      <c r="M495" s="23" t="inlineStr"/>
      <c r="N495" s="14" t="inlineStr">
        <is>
          <t>10 EVIDENCE &amp; DECISIONS</t>
        </is>
      </c>
    </row>
    <row r="496" ht="34" customHeight="1">
      <c r="A496" s="23" t="inlineStr">
        <is>
          <t>Contractor Programme</t>
        </is>
      </c>
      <c r="B496" s="23" t="inlineStr">
        <is>
          <t>SCH-02-144</t>
        </is>
      </c>
      <c r="C496" s="23" t="inlineStr">
        <is>
          <t>University Station: entrance steel erection - field start</t>
        </is>
      </c>
      <c r="D496" s="23" t="inlineStr">
        <is>
          <t>WBS Code = 1.2.2</t>
        </is>
      </c>
      <c r="E496" s="23" t="inlineStr">
        <is>
          <t>R324-v2</t>
        </is>
      </c>
      <c r="F496" s="23" t="inlineStr">
        <is>
          <t>1.2.2 Stations - Architectural Fit-Out</t>
        </is>
      </c>
      <c r="G496" s="23" t="inlineStr">
        <is>
          <t>ONE_TO_ONE</t>
        </is>
      </c>
      <c r="H496" s="23" t="inlineStr">
        <is>
          <t>RETAINED</t>
        </is>
      </c>
      <c r="I496" s="23" t="inlineStr">
        <is>
          <t>Carried forward</t>
        </is>
      </c>
      <c r="J496" s="23" t="inlineStr">
        <is>
          <t>Source assignment -- not individually reviewed</t>
        </is>
      </c>
      <c r="K496" s="23" t="inlineStr"/>
      <c r="L496" s="23" t="inlineStr"/>
      <c r="M496" s="23" t="inlineStr"/>
      <c r="N496" s="14" t="inlineStr">
        <is>
          <t>10 EVIDENCE &amp; DECISIONS</t>
        </is>
      </c>
    </row>
    <row r="497" ht="34" customHeight="1">
      <c r="A497" s="23" t="inlineStr">
        <is>
          <t>Contractor Programme</t>
        </is>
      </c>
      <c r="B497" s="23" t="inlineStr">
        <is>
          <t>SCH-02-147</t>
        </is>
      </c>
      <c r="C497" s="23" t="inlineStr">
        <is>
          <t>Market Station: architectural wall framing - turnover</t>
        </is>
      </c>
      <c r="D497" s="23" t="inlineStr">
        <is>
          <t>WBS Code = 1.2.2</t>
        </is>
      </c>
      <c r="E497" s="23" t="inlineStr">
        <is>
          <t>R327-v2</t>
        </is>
      </c>
      <c r="F497" s="23" t="inlineStr">
        <is>
          <t>1.2.2 Stations - Architectural Fit-Out</t>
        </is>
      </c>
      <c r="G497" s="23" t="inlineStr">
        <is>
          <t>ONE_TO_ONE</t>
        </is>
      </c>
      <c r="H497" s="23" t="inlineStr">
        <is>
          <t>RETAINED</t>
        </is>
      </c>
      <c r="I497" s="23" t="inlineStr">
        <is>
          <t>Carried forward</t>
        </is>
      </c>
      <c r="J497" s="23" t="inlineStr">
        <is>
          <t>Source assignment -- not individually reviewed</t>
        </is>
      </c>
      <c r="K497" s="23" t="inlineStr"/>
      <c r="L497" s="23" t="inlineStr"/>
      <c r="M497" s="23" t="inlineStr"/>
      <c r="N497" s="14" t="inlineStr">
        <is>
          <t>10 EVIDENCE &amp; DECISIONS</t>
        </is>
      </c>
    </row>
    <row r="498" ht="34" customHeight="1">
      <c r="A498" s="23" t="inlineStr">
        <is>
          <t>Contractor Programme</t>
        </is>
      </c>
      <c r="B498" s="23" t="inlineStr">
        <is>
          <t>SCH-02-150</t>
        </is>
      </c>
      <c r="C498" s="23" t="inlineStr">
        <is>
          <t>West Terminal: station ventilation rough-in - installation</t>
        </is>
      </c>
      <c r="D498" s="23" t="inlineStr">
        <is>
          <t>WBS Code = 1.2.2</t>
        </is>
      </c>
      <c r="E498" s="23" t="inlineStr">
        <is>
          <t>R330-v2</t>
        </is>
      </c>
      <c r="F498" s="23" t="inlineStr">
        <is>
          <t>1.2.2 Stations - Architectural Fit-Out</t>
        </is>
      </c>
      <c r="G498" s="23" t="inlineStr">
        <is>
          <t>ONE_TO_ONE</t>
        </is>
      </c>
      <c r="H498" s="23" t="inlineStr">
        <is>
          <t>RETAINED</t>
        </is>
      </c>
      <c r="I498" s="23" t="inlineStr">
        <is>
          <t>Carried forward</t>
        </is>
      </c>
      <c r="J498" s="23" t="inlineStr">
        <is>
          <t>Source assignment -- not individually reviewed</t>
        </is>
      </c>
      <c r="K498" s="23" t="inlineStr"/>
      <c r="L498" s="23" t="inlineStr"/>
      <c r="M498" s="23" t="inlineStr"/>
      <c r="N498" s="14" t="inlineStr">
        <is>
          <t>10 EVIDENCE &amp; DECISIONS</t>
        </is>
      </c>
    </row>
    <row r="499" ht="34" customHeight="1">
      <c r="A499" s="23" t="inlineStr">
        <is>
          <t>Contractor Programme</t>
        </is>
      </c>
      <c r="B499" s="23" t="inlineStr">
        <is>
          <t>SCH-02-153</t>
        </is>
      </c>
      <c r="C499" s="23" t="inlineStr">
        <is>
          <t>Civic Station: vertical-transport installation - release</t>
        </is>
      </c>
      <c r="D499" s="23" t="inlineStr">
        <is>
          <t>WBS Code = 1.2.2</t>
        </is>
      </c>
      <c r="E499" s="23" t="inlineStr">
        <is>
          <t>R333-v2</t>
        </is>
      </c>
      <c r="F499" s="23" t="inlineStr">
        <is>
          <t>1.2.2 Stations - Architectural Fit-Out</t>
        </is>
      </c>
      <c r="G499" s="23" t="inlineStr">
        <is>
          <t>ONE_TO_ONE</t>
        </is>
      </c>
      <c r="H499" s="23" t="inlineStr">
        <is>
          <t>RETAINED</t>
        </is>
      </c>
      <c r="I499" s="23" t="inlineStr">
        <is>
          <t>Carried forward</t>
        </is>
      </c>
      <c r="J499" s="23" t="inlineStr">
        <is>
          <t>Source assignment -- not individually reviewed</t>
        </is>
      </c>
      <c r="K499" s="23" t="inlineStr"/>
      <c r="L499" s="23" t="inlineStr"/>
      <c r="M499" s="23" t="inlineStr"/>
      <c r="N499" s="14" t="inlineStr">
        <is>
          <t>10 EVIDENCE &amp; DECISIONS</t>
        </is>
      </c>
    </row>
    <row r="500" ht="34" customHeight="1">
      <c r="A500" s="23" t="inlineStr">
        <is>
          <t>Contractor Programme</t>
        </is>
      </c>
      <c r="B500" s="23" t="inlineStr">
        <is>
          <t>SCH-02-156</t>
        </is>
      </c>
      <c r="C500" s="23" t="inlineStr">
        <is>
          <t>Harbour Station: fire-life-safety cabling - inspection</t>
        </is>
      </c>
      <c r="D500" s="23" t="inlineStr">
        <is>
          <t>WBS Code = 1.2.2</t>
        </is>
      </c>
      <c r="E500" s="23" t="inlineStr">
        <is>
          <t>R336-v2</t>
        </is>
      </c>
      <c r="F500" s="23" t="inlineStr">
        <is>
          <t>1.2.2 Stations - Architectural Fit-Out</t>
        </is>
      </c>
      <c r="G500" s="23" t="inlineStr">
        <is>
          <t>ONE_TO_ONE</t>
        </is>
      </c>
      <c r="H500" s="23" t="inlineStr">
        <is>
          <t>RETAINED</t>
        </is>
      </c>
      <c r="I500" s="23" t="inlineStr">
        <is>
          <t>Carried forward</t>
        </is>
      </c>
      <c r="J500" s="23" t="inlineStr">
        <is>
          <t>Source assignment -- not individually reviewed</t>
        </is>
      </c>
      <c r="K500" s="23" t="inlineStr"/>
      <c r="L500" s="23" t="inlineStr"/>
      <c r="M500" s="23" t="inlineStr"/>
      <c r="N500" s="14" t="inlineStr">
        <is>
          <t>10 EVIDENCE &amp; DECISIONS</t>
        </is>
      </c>
    </row>
    <row r="501" ht="34" customHeight="1">
      <c r="A501" s="23" t="inlineStr">
        <is>
          <t>Contractor Programme</t>
        </is>
      </c>
      <c r="B501" s="23" t="inlineStr">
        <is>
          <t>SCH-02-159</t>
        </is>
      </c>
      <c r="C501" s="23" t="inlineStr">
        <is>
          <t>University Station: public-realm paving - field start</t>
        </is>
      </c>
      <c r="D501" s="23" t="inlineStr">
        <is>
          <t>WBS Code = 1.2.2</t>
        </is>
      </c>
      <c r="E501" s="23" t="inlineStr">
        <is>
          <t>R339-v2</t>
        </is>
      </c>
      <c r="F501" s="23" t="inlineStr">
        <is>
          <t>1.2.2 Stations - Architectural Fit-Out</t>
        </is>
      </c>
      <c r="G501" s="23" t="inlineStr">
        <is>
          <t>ONE_TO_ONE</t>
        </is>
      </c>
      <c r="H501" s="23" t="inlineStr">
        <is>
          <t>RETAINED</t>
        </is>
      </c>
      <c r="I501" s="23" t="inlineStr">
        <is>
          <t>Carried forward</t>
        </is>
      </c>
      <c r="J501" s="23" t="inlineStr">
        <is>
          <t>Source assignment -- not individually reviewed</t>
        </is>
      </c>
      <c r="K501" s="23" t="inlineStr"/>
      <c r="L501" s="23" t="inlineStr"/>
      <c r="M501" s="23" t="inlineStr"/>
      <c r="N501" s="14" t="inlineStr">
        <is>
          <t>10 EVIDENCE &amp; DECISIONS</t>
        </is>
      </c>
    </row>
    <row r="502" ht="34" customHeight="1">
      <c r="A502" s="23" t="inlineStr">
        <is>
          <t>Contractor Programme</t>
        </is>
      </c>
      <c r="B502" s="23" t="inlineStr">
        <is>
          <t>SCH-02-162</t>
        </is>
      </c>
      <c r="C502" s="23" t="inlineStr">
        <is>
          <t>Market Station: platform edge installation - turnover</t>
        </is>
      </c>
      <c r="D502" s="23" t="inlineStr">
        <is>
          <t>WBS Code = 1.2.2</t>
        </is>
      </c>
      <c r="E502" s="23" t="inlineStr">
        <is>
          <t>R342-v2</t>
        </is>
      </c>
      <c r="F502" s="23" t="inlineStr">
        <is>
          <t>1.2.2 Stations - Architectural Fit-Out</t>
        </is>
      </c>
      <c r="G502" s="23" t="inlineStr">
        <is>
          <t>ONE_TO_ONE</t>
        </is>
      </c>
      <c r="H502" s="23" t="inlineStr">
        <is>
          <t>RETAINED</t>
        </is>
      </c>
      <c r="I502" s="23" t="inlineStr">
        <is>
          <t>Carried forward</t>
        </is>
      </c>
      <c r="J502" s="23" t="inlineStr">
        <is>
          <t>Source assignment -- not individually reviewed</t>
        </is>
      </c>
      <c r="K502" s="23" t="inlineStr"/>
      <c r="L502" s="23" t="inlineStr"/>
      <c r="M502" s="23" t="inlineStr"/>
      <c r="N502" s="14" t="inlineStr">
        <is>
          <t>10 EVIDENCE &amp; DECISIONS</t>
        </is>
      </c>
    </row>
    <row r="503" ht="34" customHeight="1">
      <c r="A503" s="23" t="inlineStr">
        <is>
          <t>Contractor Programme</t>
        </is>
      </c>
      <c r="B503" s="23" t="inlineStr">
        <is>
          <t>SCH-02-165</t>
        </is>
      </c>
      <c r="C503" s="23" t="inlineStr">
        <is>
          <t>West Terminal: concourse slab pour - installation</t>
        </is>
      </c>
      <c r="D503" s="23" t="inlineStr">
        <is>
          <t>WBS Code = 1.2.2</t>
        </is>
      </c>
      <c r="E503" s="23" t="inlineStr">
        <is>
          <t>R345-v2</t>
        </is>
      </c>
      <c r="F503" s="23" t="inlineStr">
        <is>
          <t>1.2.2 Stations - Architectural Fit-Out</t>
        </is>
      </c>
      <c r="G503" s="23" t="inlineStr">
        <is>
          <t>ONE_TO_ONE</t>
        </is>
      </c>
      <c r="H503" s="23" t="inlineStr">
        <is>
          <t>RETAINED</t>
        </is>
      </c>
      <c r="I503" s="23" t="inlineStr">
        <is>
          <t>Carried forward</t>
        </is>
      </c>
      <c r="J503" s="23" t="inlineStr">
        <is>
          <t>Source assignment -- not individually reviewed</t>
        </is>
      </c>
      <c r="K503" s="23" t="inlineStr"/>
      <c r="L503" s="23" t="inlineStr"/>
      <c r="M503" s="23" t="inlineStr"/>
      <c r="N503" s="14" t="inlineStr">
        <is>
          <t>10 EVIDENCE &amp; DECISIONS</t>
        </is>
      </c>
    </row>
    <row r="504" ht="34" customHeight="1">
      <c r="A504" s="23" t="inlineStr">
        <is>
          <t>Contractor Programme</t>
        </is>
      </c>
      <c r="B504" s="23" t="inlineStr">
        <is>
          <t>SCH-02-168</t>
        </is>
      </c>
      <c r="C504" s="23" t="inlineStr">
        <is>
          <t>Civic Station: entrance steel erection - release</t>
        </is>
      </c>
      <c r="D504" s="23" t="inlineStr">
        <is>
          <t>WBS Code = 1.2.2</t>
        </is>
      </c>
      <c r="E504" s="23" t="inlineStr">
        <is>
          <t>R348-v2</t>
        </is>
      </c>
      <c r="F504" s="23" t="inlineStr">
        <is>
          <t>1.2.2 Stations - Architectural Fit-Out</t>
        </is>
      </c>
      <c r="G504" s="23" t="inlineStr">
        <is>
          <t>ONE_TO_ONE</t>
        </is>
      </c>
      <c r="H504" s="23" t="inlineStr">
        <is>
          <t>RETAINED</t>
        </is>
      </c>
      <c r="I504" s="23" t="inlineStr">
        <is>
          <t>Carried forward</t>
        </is>
      </c>
      <c r="J504" s="23" t="inlineStr">
        <is>
          <t>Source assignment -- not individually reviewed</t>
        </is>
      </c>
      <c r="K504" s="23" t="inlineStr"/>
      <c r="L504" s="23" t="inlineStr"/>
      <c r="M504" s="23" t="inlineStr"/>
      <c r="N504" s="14" t="inlineStr">
        <is>
          <t>10 EVIDENCE &amp; DECISIONS</t>
        </is>
      </c>
    </row>
    <row r="505" ht="34" customHeight="1">
      <c r="A505" s="23" t="inlineStr">
        <is>
          <t>Contractor Programme</t>
        </is>
      </c>
      <c r="B505" s="23" t="inlineStr">
        <is>
          <t>SCH-02-171</t>
        </is>
      </c>
      <c r="C505" s="23" t="inlineStr">
        <is>
          <t>Harbour Station: architectural wall framing - inspection</t>
        </is>
      </c>
      <c r="D505" s="23" t="inlineStr">
        <is>
          <t>WBS Code = 1.2.2</t>
        </is>
      </c>
      <c r="E505" s="23" t="inlineStr">
        <is>
          <t>R351-v2</t>
        </is>
      </c>
      <c r="F505" s="23" t="inlineStr">
        <is>
          <t>1.2.2 Stations - Architectural Fit-Out</t>
        </is>
      </c>
      <c r="G505" s="23" t="inlineStr">
        <is>
          <t>ONE_TO_ONE</t>
        </is>
      </c>
      <c r="H505" s="23" t="inlineStr">
        <is>
          <t>RETAINED</t>
        </is>
      </c>
      <c r="I505" s="23" t="inlineStr">
        <is>
          <t>Carried forward</t>
        </is>
      </c>
      <c r="J505" s="23" t="inlineStr">
        <is>
          <t>Source assignment -- not individually reviewed</t>
        </is>
      </c>
      <c r="K505" s="23" t="inlineStr"/>
      <c r="L505" s="23" t="inlineStr"/>
      <c r="M505" s="23" t="inlineStr"/>
      <c r="N505" s="14" t="inlineStr">
        <is>
          <t>10 EVIDENCE &amp; DECISIONS</t>
        </is>
      </c>
    </row>
    <row r="506" ht="34" customHeight="1">
      <c r="A506" s="23" t="inlineStr">
        <is>
          <t>Contractor Programme</t>
        </is>
      </c>
      <c r="B506" s="23" t="inlineStr">
        <is>
          <t>SCH-02-174</t>
        </is>
      </c>
      <c r="C506" s="23" t="inlineStr">
        <is>
          <t>University Station: station ventilation rough-in - field start</t>
        </is>
      </c>
      <c r="D506" s="23" t="inlineStr">
        <is>
          <t>WBS Code = 1.2.2</t>
        </is>
      </c>
      <c r="E506" s="23" t="inlineStr">
        <is>
          <t>R354-v2</t>
        </is>
      </c>
      <c r="F506" s="23" t="inlineStr">
        <is>
          <t>1.2.2 Stations - Architectural Fit-Out</t>
        </is>
      </c>
      <c r="G506" s="23" t="inlineStr">
        <is>
          <t>ONE_TO_ONE</t>
        </is>
      </c>
      <c r="H506" s="23" t="inlineStr">
        <is>
          <t>RETAINED</t>
        </is>
      </c>
      <c r="I506" s="23" t="inlineStr">
        <is>
          <t>Carried forward</t>
        </is>
      </c>
      <c r="J506" s="23" t="inlineStr">
        <is>
          <t>Source assignment -- not individually reviewed</t>
        </is>
      </c>
      <c r="K506" s="23" t="inlineStr"/>
      <c r="L506" s="23" t="inlineStr"/>
      <c r="M506" s="23" t="inlineStr"/>
      <c r="N506" s="14" t="inlineStr">
        <is>
          <t>10 EVIDENCE &amp; DECISIONS</t>
        </is>
      </c>
    </row>
    <row r="507" ht="34" customHeight="1">
      <c r="A507" s="23" t="inlineStr">
        <is>
          <t>Contractor Programme</t>
        </is>
      </c>
      <c r="B507" s="23" t="inlineStr">
        <is>
          <t>SCH-02-177</t>
        </is>
      </c>
      <c r="C507" s="23" t="inlineStr">
        <is>
          <t>Market Station: vertical-transport installation - turnover</t>
        </is>
      </c>
      <c r="D507" s="23" t="inlineStr">
        <is>
          <t>WBS Code = 1.2.2</t>
        </is>
      </c>
      <c r="E507" s="23" t="inlineStr">
        <is>
          <t>R357-v2</t>
        </is>
      </c>
      <c r="F507" s="23" t="inlineStr">
        <is>
          <t>1.2.2 Stations - Architectural Fit-Out</t>
        </is>
      </c>
      <c r="G507" s="23" t="inlineStr">
        <is>
          <t>ONE_TO_ONE</t>
        </is>
      </c>
      <c r="H507" s="23" t="inlineStr">
        <is>
          <t>RETAINED</t>
        </is>
      </c>
      <c r="I507" s="23" t="inlineStr">
        <is>
          <t>Carried forward</t>
        </is>
      </c>
      <c r="J507" s="23" t="inlineStr">
        <is>
          <t>Source assignment -- not individually reviewed</t>
        </is>
      </c>
      <c r="K507" s="23" t="inlineStr"/>
      <c r="L507" s="23" t="inlineStr"/>
      <c r="M507" s="23" t="inlineStr"/>
      <c r="N507" s="14" t="inlineStr">
        <is>
          <t>10 EVIDENCE &amp; DECISIONS</t>
        </is>
      </c>
    </row>
    <row r="508" ht="34" customHeight="1">
      <c r="A508" s="23" t="inlineStr">
        <is>
          <t>Contractor Programme</t>
        </is>
      </c>
      <c r="B508" s="23" t="inlineStr">
        <is>
          <t>SCH-02-180</t>
        </is>
      </c>
      <c r="C508" s="23" t="inlineStr">
        <is>
          <t>West Terminal: fire-life-safety cabling - installation</t>
        </is>
      </c>
      <c r="D508" s="23" t="inlineStr">
        <is>
          <t>WBS Code = 1.2.2</t>
        </is>
      </c>
      <c r="E508" s="23" t="inlineStr">
        <is>
          <t>R360-v2</t>
        </is>
      </c>
      <c r="F508" s="23" t="inlineStr">
        <is>
          <t>1.2.2 Stations - Architectural Fit-Out</t>
        </is>
      </c>
      <c r="G508" s="23" t="inlineStr">
        <is>
          <t>ONE_TO_ONE</t>
        </is>
      </c>
      <c r="H508" s="23" t="inlineStr">
        <is>
          <t>RETAINED</t>
        </is>
      </c>
      <c r="I508" s="23" t="inlineStr">
        <is>
          <t>Carried forward</t>
        </is>
      </c>
      <c r="J508" s="23" t="inlineStr">
        <is>
          <t>Source assignment -- not individually reviewed</t>
        </is>
      </c>
      <c r="K508" s="23" t="inlineStr"/>
      <c r="L508" s="23" t="inlineStr"/>
      <c r="M508" s="23" t="inlineStr"/>
      <c r="N508" s="14" t="inlineStr">
        <is>
          <t>10 EVIDENCE &amp; DECISIONS</t>
        </is>
      </c>
    </row>
    <row r="509" ht="34" customHeight="1">
      <c r="A509" s="23" t="inlineStr">
        <is>
          <t>Cost &amp; Forecast Control Accounts</t>
        </is>
      </c>
      <c r="B509" s="23" t="inlineStr">
        <is>
          <t>CST-02-002</t>
        </is>
      </c>
      <c r="C509" s="23" t="inlineStr">
        <is>
          <t>Stations - station structure - closeout</t>
        </is>
      </c>
      <c r="D509" s="23" t="inlineStr">
        <is>
          <t>Cost Account = CA-2002; WBS Code = 1.2.2</t>
        </is>
      </c>
      <c r="E509" s="23" t="inlineStr">
        <is>
          <t>R1164-v2</t>
        </is>
      </c>
      <c r="F509" s="23" t="inlineStr">
        <is>
          <t>1.2.2 Stations - Architectural Fit-Out</t>
        </is>
      </c>
      <c r="G509" s="23" t="inlineStr">
        <is>
          <t>ONE_TO_ONE</t>
        </is>
      </c>
      <c r="H509" s="23" t="inlineStr">
        <is>
          <t>RETAINED</t>
        </is>
      </c>
      <c r="I509" s="23" t="inlineStr">
        <is>
          <t>Carried forward</t>
        </is>
      </c>
      <c r="J509" s="23" t="inlineStr">
        <is>
          <t>Source assignment -- not individually reviewed</t>
        </is>
      </c>
      <c r="K509" s="23" t="inlineStr"/>
      <c r="L509" s="23" t="inlineStr"/>
      <c r="M509" s="23" t="inlineStr"/>
      <c r="N509" s="14" t="inlineStr">
        <is>
          <t>10 EVIDENCE &amp; DECISIONS</t>
        </is>
      </c>
    </row>
    <row r="510" ht="34" customHeight="1">
      <c r="A510" s="23" t="inlineStr">
        <is>
          <t>Cost &amp; Forecast Control Accounts</t>
        </is>
      </c>
      <c r="B510" s="23" t="inlineStr">
        <is>
          <t>CST-02-004</t>
        </is>
      </c>
      <c r="C510" s="23" t="inlineStr">
        <is>
          <t>Stations - public realm - supply and install</t>
        </is>
      </c>
      <c r="D510" s="23" t="inlineStr">
        <is>
          <t>Cost Account = CA-2004; WBS Code = 1.2.2</t>
        </is>
      </c>
      <c r="E510" s="23" t="inlineStr">
        <is>
          <t>R1166-v2</t>
        </is>
      </c>
      <c r="F510" s="23" t="inlineStr">
        <is>
          <t>1.2.2 Stations - Architectural Fit-Out</t>
        </is>
      </c>
      <c r="G510" s="23" t="inlineStr">
        <is>
          <t>ONE_TO_ONE</t>
        </is>
      </c>
      <c r="H510" s="23" t="inlineStr">
        <is>
          <t>RETAINED</t>
        </is>
      </c>
      <c r="I510" s="23" t="inlineStr">
        <is>
          <t>Carried forward</t>
        </is>
      </c>
      <c r="J510" s="23" t="inlineStr">
        <is>
          <t>Source assignment -- not individually reviewed</t>
        </is>
      </c>
      <c r="K510" s="23" t="inlineStr"/>
      <c r="L510" s="23" t="inlineStr"/>
      <c r="M510" s="23" t="inlineStr"/>
      <c r="N510" s="14" t="inlineStr">
        <is>
          <t>10 EVIDENCE &amp; DECISIONS</t>
        </is>
      </c>
    </row>
    <row r="511" ht="34" customHeight="1">
      <c r="A511" s="23" t="inlineStr">
        <is>
          <t>Cost &amp; Forecast Control Accounts</t>
        </is>
      </c>
      <c r="B511" s="23" t="inlineStr">
        <is>
          <t>CST-02-006</t>
        </is>
      </c>
      <c r="C511" s="23" t="inlineStr">
        <is>
          <t>Stations - building services - allowance</t>
        </is>
      </c>
      <c r="D511" s="23" t="inlineStr">
        <is>
          <t>Cost Account = CA-2006; WBS Code = 1.2.2</t>
        </is>
      </c>
      <c r="E511" s="23" t="inlineStr">
        <is>
          <t>R1168-v2</t>
        </is>
      </c>
      <c r="F511" s="23" t="inlineStr">
        <is>
          <t>1.2.2 Stations - Architectural Fit-Out</t>
        </is>
      </c>
      <c r="G511" s="23" t="inlineStr">
        <is>
          <t>ONE_TO_ONE</t>
        </is>
      </c>
      <c r="H511" s="23" t="inlineStr">
        <is>
          <t>RETAINED</t>
        </is>
      </c>
      <c r="I511" s="23" t="inlineStr">
        <is>
          <t>Carried forward</t>
        </is>
      </c>
      <c r="J511" s="23" t="inlineStr">
        <is>
          <t>Source assignment -- not individually reviewed</t>
        </is>
      </c>
      <c r="K511" s="23" t="inlineStr"/>
      <c r="L511" s="23" t="inlineStr"/>
      <c r="M511" s="23" t="inlineStr"/>
      <c r="N511" s="14" t="inlineStr">
        <is>
          <t>10 EVIDENCE &amp; DECISIONS</t>
        </is>
      </c>
    </row>
    <row r="512" ht="34" customHeight="1">
      <c r="A512" s="23" t="inlineStr">
        <is>
          <t>Cost &amp; Forecast Control Accounts</t>
        </is>
      </c>
      <c r="B512" s="23" t="inlineStr">
        <is>
          <t>CST-02-008</t>
        </is>
      </c>
      <c r="C512" s="23" t="inlineStr">
        <is>
          <t>Stations - station structure - field package</t>
        </is>
      </c>
      <c r="D512" s="23" t="inlineStr">
        <is>
          <t>Cost Account = CA-2008; WBS Code = 1.2.2</t>
        </is>
      </c>
      <c r="E512" s="23" t="inlineStr">
        <is>
          <t>R1170-v2</t>
        </is>
      </c>
      <c r="F512" s="23" t="inlineStr">
        <is>
          <t>1.2.2 Stations - Architectural Fit-Out</t>
        </is>
      </c>
      <c r="G512" s="23" t="inlineStr">
        <is>
          <t>ONE_TO_ONE</t>
        </is>
      </c>
      <c r="H512" s="23" t="inlineStr">
        <is>
          <t>RETAINED</t>
        </is>
      </c>
      <c r="I512" s="23" t="inlineStr">
        <is>
          <t>Carried forward</t>
        </is>
      </c>
      <c r="J512" s="23" t="inlineStr">
        <is>
          <t>Source assignment -- not individually reviewed</t>
        </is>
      </c>
      <c r="K512" s="23" t="inlineStr"/>
      <c r="L512" s="23" t="inlineStr"/>
      <c r="M512" s="23" t="inlineStr"/>
      <c r="N512" s="14" t="inlineStr">
        <is>
          <t>10 EVIDENCE &amp; DECISIONS</t>
        </is>
      </c>
    </row>
    <row r="513" ht="34" customHeight="1">
      <c r="A513" s="23" t="inlineStr">
        <is>
          <t>Cost &amp; Forecast Control Accounts</t>
        </is>
      </c>
      <c r="B513" s="23" t="inlineStr">
        <is>
          <t>CST-02-010</t>
        </is>
      </c>
      <c r="C513" s="23" t="inlineStr">
        <is>
          <t>Stations - public realm - professional services</t>
        </is>
      </c>
      <c r="D513" s="23" t="inlineStr">
        <is>
          <t>Cost Account = CA-2010; WBS Code = 1.2.2</t>
        </is>
      </c>
      <c r="E513" s="23" t="inlineStr">
        <is>
          <t>R1172-v2</t>
        </is>
      </c>
      <c r="F513" s="23" t="inlineStr">
        <is>
          <t>1.2.2 Stations - Architectural Fit-Out</t>
        </is>
      </c>
      <c r="G513" s="23" t="inlineStr">
        <is>
          <t>ONE_TO_ONE</t>
        </is>
      </c>
      <c r="H513" s="23" t="inlineStr">
        <is>
          <t>RETAINED</t>
        </is>
      </c>
      <c r="I513" s="23" t="inlineStr">
        <is>
          <t>Carried forward</t>
        </is>
      </c>
      <c r="J513" s="23" t="inlineStr">
        <is>
          <t>Source assignment -- not individually reviewed</t>
        </is>
      </c>
      <c r="K513" s="23" t="inlineStr"/>
      <c r="L513" s="23" t="inlineStr"/>
      <c r="M513" s="23" t="inlineStr"/>
      <c r="N513" s="14" t="inlineStr">
        <is>
          <t>10 EVIDENCE &amp; DECISIONS</t>
        </is>
      </c>
    </row>
    <row r="514" ht="34" customHeight="1">
      <c r="A514" s="23" t="inlineStr">
        <is>
          <t>Cost &amp; Forecast Control Accounts</t>
        </is>
      </c>
      <c r="B514" s="23" t="inlineStr">
        <is>
          <t>CST-02-012</t>
        </is>
      </c>
      <c r="C514" s="23" t="inlineStr">
        <is>
          <t>Stations - building services - closeout</t>
        </is>
      </c>
      <c r="D514" s="23" t="inlineStr">
        <is>
          <t>Cost Account = CA-2012; WBS Code = 1.2.2</t>
        </is>
      </c>
      <c r="E514" s="23" t="inlineStr">
        <is>
          <t>R1174-v2</t>
        </is>
      </c>
      <c r="F514" s="23" t="inlineStr">
        <is>
          <t>1.2.2 Stations - Architectural Fit-Out</t>
        </is>
      </c>
      <c r="G514" s="23" t="inlineStr">
        <is>
          <t>ONE_TO_ONE</t>
        </is>
      </c>
      <c r="H514" s="23" t="inlineStr">
        <is>
          <t>RETAINED</t>
        </is>
      </c>
      <c r="I514" s="23" t="inlineStr">
        <is>
          <t>Carried forward</t>
        </is>
      </c>
      <c r="J514" s="23" t="inlineStr">
        <is>
          <t>Source assignment -- not individually reviewed</t>
        </is>
      </c>
      <c r="K514" s="23" t="inlineStr"/>
      <c r="L514" s="23" t="inlineStr"/>
      <c r="M514" s="23" t="inlineStr"/>
      <c r="N514" s="14" t="inlineStr">
        <is>
          <t>10 EVIDENCE &amp; DECISIONS</t>
        </is>
      </c>
    </row>
    <row r="515" ht="34" customHeight="1">
      <c r="A515" s="23" t="inlineStr">
        <is>
          <t>Cost &amp; Forecast Control Accounts</t>
        </is>
      </c>
      <c r="B515" s="23" t="inlineStr">
        <is>
          <t>CST-02-014</t>
        </is>
      </c>
      <c r="C515" s="23" t="inlineStr">
        <is>
          <t>Stations - station structure - supply and install</t>
        </is>
      </c>
      <c r="D515" s="23" t="inlineStr">
        <is>
          <t>Cost Account = CA-2014; WBS Code = 1.2.2</t>
        </is>
      </c>
      <c r="E515" s="23" t="inlineStr">
        <is>
          <t>R1176-v2</t>
        </is>
      </c>
      <c r="F515" s="23" t="inlineStr">
        <is>
          <t>1.2.2 Stations - Architectural Fit-Out</t>
        </is>
      </c>
      <c r="G515" s="23" t="inlineStr">
        <is>
          <t>ONE_TO_ONE</t>
        </is>
      </c>
      <c r="H515" s="23" t="inlineStr">
        <is>
          <t>RETAINED</t>
        </is>
      </c>
      <c r="I515" s="23" t="inlineStr">
        <is>
          <t>Carried forward</t>
        </is>
      </c>
      <c r="J515" s="23" t="inlineStr">
        <is>
          <t>Source assignment -- not individually reviewed</t>
        </is>
      </c>
      <c r="K515" s="23" t="inlineStr"/>
      <c r="L515" s="23" t="inlineStr"/>
      <c r="M515" s="23" t="inlineStr"/>
      <c r="N515" s="14" t="inlineStr">
        <is>
          <t>10 EVIDENCE &amp; DECISIONS</t>
        </is>
      </c>
    </row>
    <row r="516" ht="34" customHeight="1">
      <c r="A516" s="23" t="inlineStr">
        <is>
          <t>Cost &amp; Forecast Control Accounts</t>
        </is>
      </c>
      <c r="B516" s="23" t="inlineStr">
        <is>
          <t>CST-02-016</t>
        </is>
      </c>
      <c r="C516" s="23" t="inlineStr">
        <is>
          <t>Stations - public realm - allowance</t>
        </is>
      </c>
      <c r="D516" s="23" t="inlineStr">
        <is>
          <t>Cost Account = CA-2016; WBS Code = 1.2.2</t>
        </is>
      </c>
      <c r="E516" s="23" t="inlineStr">
        <is>
          <t>R1178-v2</t>
        </is>
      </c>
      <c r="F516" s="23" t="inlineStr">
        <is>
          <t>1.2.2 Stations - Architectural Fit-Out</t>
        </is>
      </c>
      <c r="G516" s="23" t="inlineStr">
        <is>
          <t>ONE_TO_ONE</t>
        </is>
      </c>
      <c r="H516" s="23" t="inlineStr">
        <is>
          <t>RETAINED</t>
        </is>
      </c>
      <c r="I516" s="23" t="inlineStr">
        <is>
          <t>Carried forward</t>
        </is>
      </c>
      <c r="J516" s="23" t="inlineStr">
        <is>
          <t>Source assignment -- not individually reviewed</t>
        </is>
      </c>
      <c r="K516" s="23" t="inlineStr"/>
      <c r="L516" s="23" t="inlineStr"/>
      <c r="M516" s="23" t="inlineStr"/>
      <c r="N516" s="14" t="inlineStr">
        <is>
          <t>10 EVIDENCE &amp; DECISIONS</t>
        </is>
      </c>
    </row>
    <row r="517" ht="34" customHeight="1">
      <c r="A517" s="23" t="inlineStr">
        <is>
          <t>Cost &amp; Forecast Control Accounts</t>
        </is>
      </c>
      <c r="B517" s="23" t="inlineStr">
        <is>
          <t>CST-02-018</t>
        </is>
      </c>
      <c r="C517" s="23" t="inlineStr">
        <is>
          <t>Stations - building services - field package</t>
        </is>
      </c>
      <c r="D517" s="23" t="inlineStr">
        <is>
          <t>Cost Account = CA-2018; WBS Code = 1.2.2</t>
        </is>
      </c>
      <c r="E517" s="23" t="inlineStr">
        <is>
          <t>R1180-v2</t>
        </is>
      </c>
      <c r="F517" s="23" t="inlineStr">
        <is>
          <t>1.2.2 Stations - Architectural Fit-Out</t>
        </is>
      </c>
      <c r="G517" s="23" t="inlineStr">
        <is>
          <t>ONE_TO_ONE</t>
        </is>
      </c>
      <c r="H517" s="23" t="inlineStr">
        <is>
          <t>RETAINED</t>
        </is>
      </c>
      <c r="I517" s="23" t="inlineStr">
        <is>
          <t>Carried forward</t>
        </is>
      </c>
      <c r="J517" s="23" t="inlineStr">
        <is>
          <t>Source assignment -- not individually reviewed</t>
        </is>
      </c>
      <c r="K517" s="23" t="inlineStr"/>
      <c r="L517" s="23" t="inlineStr"/>
      <c r="M517" s="23" t="inlineStr"/>
      <c r="N517" s="14" t="inlineStr">
        <is>
          <t>10 EVIDENCE &amp; DECISIONS</t>
        </is>
      </c>
    </row>
    <row r="518" ht="34" customHeight="1">
      <c r="A518" s="23" t="inlineStr">
        <is>
          <t>Cost &amp; Forecast Control Accounts</t>
        </is>
      </c>
      <c r="B518" s="23" t="inlineStr">
        <is>
          <t>CST-02-020</t>
        </is>
      </c>
      <c r="C518" s="23" t="inlineStr">
        <is>
          <t>Stations - station structure - professional services</t>
        </is>
      </c>
      <c r="D518" s="23" t="inlineStr">
        <is>
          <t>Cost Account = CA-2020; WBS Code = 1.2.2</t>
        </is>
      </c>
      <c r="E518" s="23" t="inlineStr">
        <is>
          <t>R1182-v2</t>
        </is>
      </c>
      <c r="F518" s="23" t="inlineStr">
        <is>
          <t>1.2.2 Stations - Architectural Fit-Out</t>
        </is>
      </c>
      <c r="G518" s="23" t="inlineStr">
        <is>
          <t>ONE_TO_ONE</t>
        </is>
      </c>
      <c r="H518" s="23" t="inlineStr">
        <is>
          <t>RETAINED</t>
        </is>
      </c>
      <c r="I518" s="23" t="inlineStr">
        <is>
          <t>Carried forward</t>
        </is>
      </c>
      <c r="J518" s="23" t="inlineStr">
        <is>
          <t>Source assignment -- not individually reviewed</t>
        </is>
      </c>
      <c r="K518" s="23" t="inlineStr"/>
      <c r="L518" s="23" t="inlineStr"/>
      <c r="M518" s="23" t="inlineStr"/>
      <c r="N518" s="14" t="inlineStr">
        <is>
          <t>10 EVIDENCE &amp; DECISIONS</t>
        </is>
      </c>
    </row>
    <row r="519" ht="34" customHeight="1">
      <c r="A519" s="23" t="inlineStr">
        <is>
          <t>Cost &amp; Forecast Control Accounts</t>
        </is>
      </c>
      <c r="B519" s="23" t="inlineStr">
        <is>
          <t>CST-02-022</t>
        </is>
      </c>
      <c r="C519" s="23" t="inlineStr">
        <is>
          <t>Stations - public realm - closeout</t>
        </is>
      </c>
      <c r="D519" s="23" t="inlineStr">
        <is>
          <t>Cost Account = CA-2022; WBS Code = 1.2.2</t>
        </is>
      </c>
      <c r="E519" s="23" t="inlineStr">
        <is>
          <t>R1184-v2</t>
        </is>
      </c>
      <c r="F519" s="23" t="inlineStr">
        <is>
          <t>1.2.2 Stations - Architectural Fit-Out</t>
        </is>
      </c>
      <c r="G519" s="23" t="inlineStr">
        <is>
          <t>ONE_TO_ONE</t>
        </is>
      </c>
      <c r="H519" s="23" t="inlineStr">
        <is>
          <t>RETAINED</t>
        </is>
      </c>
      <c r="I519" s="23" t="inlineStr">
        <is>
          <t>Carried forward</t>
        </is>
      </c>
      <c r="J519" s="23" t="inlineStr">
        <is>
          <t>Source assignment -- not individually reviewed</t>
        </is>
      </c>
      <c r="K519" s="23" t="inlineStr"/>
      <c r="L519" s="23" t="inlineStr"/>
      <c r="M519" s="23" t="inlineStr"/>
      <c r="N519" s="14" t="inlineStr">
        <is>
          <t>10 EVIDENCE &amp; DECISIONS</t>
        </is>
      </c>
    </row>
    <row r="520" ht="34" customHeight="1">
      <c r="A520" s="23" t="inlineStr">
        <is>
          <t>Cost &amp; Forecast Control Accounts</t>
        </is>
      </c>
      <c r="B520" s="23" t="inlineStr">
        <is>
          <t>CST-02-024</t>
        </is>
      </c>
      <c r="C520" s="23" t="inlineStr">
        <is>
          <t>Stations - building services - supply and install</t>
        </is>
      </c>
      <c r="D520" s="23" t="inlineStr">
        <is>
          <t>Cost Account = CA-2024; WBS Code = 1.2.2</t>
        </is>
      </c>
      <c r="E520" s="23" t="inlineStr">
        <is>
          <t>R1186-v2</t>
        </is>
      </c>
      <c r="F520" s="23" t="inlineStr">
        <is>
          <t>1.2.2 Stations - Architectural Fit-Out</t>
        </is>
      </c>
      <c r="G520" s="23" t="inlineStr">
        <is>
          <t>ONE_TO_ONE</t>
        </is>
      </c>
      <c r="H520" s="23" t="inlineStr">
        <is>
          <t>RETAINED</t>
        </is>
      </c>
      <c r="I520" s="23" t="inlineStr">
        <is>
          <t>Carried forward</t>
        </is>
      </c>
      <c r="J520" s="23" t="inlineStr">
        <is>
          <t>Source assignment -- not individually reviewed</t>
        </is>
      </c>
      <c r="K520" s="23" t="inlineStr"/>
      <c r="L520" s="23" t="inlineStr"/>
      <c r="M520" s="23" t="inlineStr"/>
      <c r="N520" s="14" t="inlineStr">
        <is>
          <t>10 EVIDENCE &amp; DECISIONS</t>
        </is>
      </c>
    </row>
    <row r="521" ht="34" customHeight="1">
      <c r="A521" s="23" t="inlineStr">
        <is>
          <t>Cost &amp; Forecast Control Accounts</t>
        </is>
      </c>
      <c r="B521" s="23" t="inlineStr">
        <is>
          <t>CST-02-026</t>
        </is>
      </c>
      <c r="C521" s="23" t="inlineStr">
        <is>
          <t>Stations - station structure - allowance</t>
        </is>
      </c>
      <c r="D521" s="23" t="inlineStr">
        <is>
          <t>Cost Account = CA-2026; WBS Code = 1.2.2</t>
        </is>
      </c>
      <c r="E521" s="23" t="inlineStr">
        <is>
          <t>R1188-v2</t>
        </is>
      </c>
      <c r="F521" s="23" t="inlineStr">
        <is>
          <t>1.2.2 Stations - Architectural Fit-Out</t>
        </is>
      </c>
      <c r="G521" s="23" t="inlineStr">
        <is>
          <t>ONE_TO_ONE</t>
        </is>
      </c>
      <c r="H521" s="23" t="inlineStr">
        <is>
          <t>RETAINED</t>
        </is>
      </c>
      <c r="I521" s="23" t="inlineStr">
        <is>
          <t>Carried forward</t>
        </is>
      </c>
      <c r="J521" s="23" t="inlineStr">
        <is>
          <t>Source assignment -- not individually reviewed</t>
        </is>
      </c>
      <c r="K521" s="23" t="inlineStr"/>
      <c r="L521" s="23" t="inlineStr"/>
      <c r="M521" s="23" t="inlineStr"/>
      <c r="N521" s="14" t="inlineStr">
        <is>
          <t>10 EVIDENCE &amp; DECISIONS</t>
        </is>
      </c>
    </row>
    <row r="522" ht="34" customHeight="1">
      <c r="A522" s="23" t="inlineStr">
        <is>
          <t>Cost &amp; Forecast Control Accounts</t>
        </is>
      </c>
      <c r="B522" s="23" t="inlineStr">
        <is>
          <t>CST-02-028</t>
        </is>
      </c>
      <c r="C522" s="23" t="inlineStr">
        <is>
          <t>Stations - public realm - field package</t>
        </is>
      </c>
      <c r="D522" s="23" t="inlineStr">
        <is>
          <t>Cost Account = CA-2028; WBS Code = 1.2.2</t>
        </is>
      </c>
      <c r="E522" s="23" t="inlineStr">
        <is>
          <t>R1190-v2</t>
        </is>
      </c>
      <c r="F522" s="23" t="inlineStr">
        <is>
          <t>1.2.2 Stations - Architectural Fit-Out</t>
        </is>
      </c>
      <c r="G522" s="23" t="inlineStr">
        <is>
          <t>ONE_TO_ONE</t>
        </is>
      </c>
      <c r="H522" s="23" t="inlineStr">
        <is>
          <t>RETAINED</t>
        </is>
      </c>
      <c r="I522" s="23" t="inlineStr">
        <is>
          <t>Carried forward</t>
        </is>
      </c>
      <c r="J522" s="23" t="inlineStr">
        <is>
          <t>Source assignment -- not individually reviewed</t>
        </is>
      </c>
      <c r="K522" s="23" t="inlineStr"/>
      <c r="L522" s="23" t="inlineStr"/>
      <c r="M522" s="23" t="inlineStr"/>
      <c r="N522" s="14" t="inlineStr">
        <is>
          <t>10 EVIDENCE &amp; DECISIONS</t>
        </is>
      </c>
    </row>
    <row r="523" ht="34" customHeight="1">
      <c r="A523" s="23" t="inlineStr">
        <is>
          <t>Cost &amp; Forecast Control Accounts</t>
        </is>
      </c>
      <c r="B523" s="23" t="inlineStr">
        <is>
          <t>CST-02-030</t>
        </is>
      </c>
      <c r="C523" s="23" t="inlineStr">
        <is>
          <t>Stations - building services - professional services</t>
        </is>
      </c>
      <c r="D523" s="23" t="inlineStr">
        <is>
          <t>Cost Account = CA-2030; WBS Code = 1.2.2</t>
        </is>
      </c>
      <c r="E523" s="23" t="inlineStr">
        <is>
          <t>R1192-v2</t>
        </is>
      </c>
      <c r="F523" s="23" t="inlineStr">
        <is>
          <t>1.2.2 Stations - Architectural Fit-Out</t>
        </is>
      </c>
      <c r="G523" s="23" t="inlineStr">
        <is>
          <t>ONE_TO_ONE</t>
        </is>
      </c>
      <c r="H523" s="23" t="inlineStr">
        <is>
          <t>RETAINED</t>
        </is>
      </c>
      <c r="I523" s="23" t="inlineStr">
        <is>
          <t>Carried forward</t>
        </is>
      </c>
      <c r="J523" s="23" t="inlineStr">
        <is>
          <t>Source assignment -- not individually reviewed</t>
        </is>
      </c>
      <c r="K523" s="23" t="inlineStr"/>
      <c r="L523" s="23" t="inlineStr"/>
      <c r="M523" s="23" t="inlineStr"/>
      <c r="N523" s="14" t="inlineStr">
        <is>
          <t>10 EVIDENCE &amp; DECISIONS</t>
        </is>
      </c>
    </row>
    <row r="524" ht="34" customHeight="1">
      <c r="A524" s="23" t="inlineStr">
        <is>
          <t>Cost &amp; Forecast Control Accounts</t>
        </is>
      </c>
      <c r="B524" s="23" t="inlineStr">
        <is>
          <t>CST-02-032</t>
        </is>
      </c>
      <c r="C524" s="23" t="inlineStr">
        <is>
          <t>Stations - station structure - closeout</t>
        </is>
      </c>
      <c r="D524" s="23" t="inlineStr">
        <is>
          <t>Cost Account = CA-2032; WBS Code = 1.2.2</t>
        </is>
      </c>
      <c r="E524" s="23" t="inlineStr">
        <is>
          <t>R1194-v2</t>
        </is>
      </c>
      <c r="F524" s="23" t="inlineStr">
        <is>
          <t>1.2.2 Stations - Architectural Fit-Out</t>
        </is>
      </c>
      <c r="G524" s="23" t="inlineStr">
        <is>
          <t>ONE_TO_ONE</t>
        </is>
      </c>
      <c r="H524" s="23" t="inlineStr">
        <is>
          <t>RETAINED</t>
        </is>
      </c>
      <c r="I524" s="23" t="inlineStr">
        <is>
          <t>Carried forward</t>
        </is>
      </c>
      <c r="J524" s="23" t="inlineStr">
        <is>
          <t>Source assignment -- not individually reviewed</t>
        </is>
      </c>
      <c r="K524" s="23" t="inlineStr"/>
      <c r="L524" s="23" t="inlineStr"/>
      <c r="M524" s="23" t="inlineStr"/>
      <c r="N524" s="14" t="inlineStr">
        <is>
          <t>10 EVIDENCE &amp; DECISIONS</t>
        </is>
      </c>
    </row>
    <row r="525" ht="34" customHeight="1">
      <c r="A525" s="23" t="inlineStr">
        <is>
          <t>Cost &amp; Forecast Control Accounts</t>
        </is>
      </c>
      <c r="B525" s="23" t="inlineStr">
        <is>
          <t>CST-02-034</t>
        </is>
      </c>
      <c r="C525" s="23" t="inlineStr">
        <is>
          <t>Stations - public realm - supply and install</t>
        </is>
      </c>
      <c r="D525" s="23" t="inlineStr">
        <is>
          <t>Cost Account = CA-2034; WBS Code = 1.2.2</t>
        </is>
      </c>
      <c r="E525" s="23" t="inlineStr">
        <is>
          <t>R1196-v2</t>
        </is>
      </c>
      <c r="F525" s="23" t="inlineStr">
        <is>
          <t>1.2.2 Stations - Architectural Fit-Out</t>
        </is>
      </c>
      <c r="G525" s="23" t="inlineStr">
        <is>
          <t>ONE_TO_ONE</t>
        </is>
      </c>
      <c r="H525" s="23" t="inlineStr">
        <is>
          <t>RETAINED</t>
        </is>
      </c>
      <c r="I525" s="23" t="inlineStr">
        <is>
          <t>Carried forward</t>
        </is>
      </c>
      <c r="J525" s="23" t="inlineStr">
        <is>
          <t>Source assignment -- not individually reviewed</t>
        </is>
      </c>
      <c r="K525" s="23" t="inlineStr"/>
      <c r="L525" s="23" t="inlineStr"/>
      <c r="M525" s="23" t="inlineStr"/>
      <c r="N525" s="14" t="inlineStr">
        <is>
          <t>10 EVIDENCE &amp; DECISIONS</t>
        </is>
      </c>
    </row>
    <row r="526" ht="34" customHeight="1">
      <c r="A526" s="23" t="inlineStr">
        <is>
          <t>Cost &amp; Forecast Control Accounts</t>
        </is>
      </c>
      <c r="B526" s="23" t="inlineStr">
        <is>
          <t>CST-02-036</t>
        </is>
      </c>
      <c r="C526" s="23" t="inlineStr">
        <is>
          <t>Stations - building services - allowance</t>
        </is>
      </c>
      <c r="D526" s="23" t="inlineStr">
        <is>
          <t>Cost Account = CA-2036; WBS Code = 1.2.2</t>
        </is>
      </c>
      <c r="E526" s="23" t="inlineStr">
        <is>
          <t>R1198-v2</t>
        </is>
      </c>
      <c r="F526" s="23" t="inlineStr">
        <is>
          <t>1.2.2 Stations - Architectural Fit-Out</t>
        </is>
      </c>
      <c r="G526" s="23" t="inlineStr">
        <is>
          <t>ONE_TO_ONE</t>
        </is>
      </c>
      <c r="H526" s="23" t="inlineStr">
        <is>
          <t>RETAINED</t>
        </is>
      </c>
      <c r="I526" s="23" t="inlineStr">
        <is>
          <t>Carried forward</t>
        </is>
      </c>
      <c r="J526" s="23" t="inlineStr">
        <is>
          <t>Source assignment -- not individually reviewed</t>
        </is>
      </c>
      <c r="K526" s="23" t="inlineStr"/>
      <c r="L526" s="23" t="inlineStr"/>
      <c r="M526" s="23" t="inlineStr"/>
      <c r="N526" s="14" t="inlineStr">
        <is>
          <t>10 EVIDENCE &amp; DECISIONS</t>
        </is>
      </c>
    </row>
    <row r="527" ht="34" customHeight="1">
      <c r="A527" s="23" t="inlineStr">
        <is>
          <t>Cost &amp; Forecast Control Accounts</t>
        </is>
      </c>
      <c r="B527" s="23" t="inlineStr">
        <is>
          <t>CST-02-038</t>
        </is>
      </c>
      <c r="C527" s="23" t="inlineStr">
        <is>
          <t>Stations - station structure - field package</t>
        </is>
      </c>
      <c r="D527" s="23" t="inlineStr">
        <is>
          <t>Cost Account = CA-2038; WBS Code = 1.2.2</t>
        </is>
      </c>
      <c r="E527" s="23" t="inlineStr">
        <is>
          <t>R1200-v2</t>
        </is>
      </c>
      <c r="F527" s="23" t="inlineStr">
        <is>
          <t>1.2.2 Stations - Architectural Fit-Out</t>
        </is>
      </c>
      <c r="G527" s="23" t="inlineStr">
        <is>
          <t>ONE_TO_ONE</t>
        </is>
      </c>
      <c r="H527" s="23" t="inlineStr">
        <is>
          <t>RETAINED</t>
        </is>
      </c>
      <c r="I527" s="23" t="inlineStr">
        <is>
          <t>Carried forward</t>
        </is>
      </c>
      <c r="J527" s="23" t="inlineStr">
        <is>
          <t>Source assignment -- not individually reviewed</t>
        </is>
      </c>
      <c r="K527" s="23" t="inlineStr"/>
      <c r="L527" s="23" t="inlineStr"/>
      <c r="M527" s="23" t="inlineStr"/>
      <c r="N527" s="14" t="inlineStr">
        <is>
          <t>10 EVIDENCE &amp; DECISIONS</t>
        </is>
      </c>
    </row>
    <row r="528" ht="34" customHeight="1">
      <c r="A528" s="23" t="inlineStr">
        <is>
          <t>Cost &amp; Forecast Control Accounts</t>
        </is>
      </c>
      <c r="B528" s="23" t="inlineStr">
        <is>
          <t>CST-02-040</t>
        </is>
      </c>
      <c r="C528" s="23" t="inlineStr">
        <is>
          <t>Stations - public realm - professional services</t>
        </is>
      </c>
      <c r="D528" s="23" t="inlineStr">
        <is>
          <t>Cost Account = CA-2040; WBS Code = 1.2.2</t>
        </is>
      </c>
      <c r="E528" s="23" t="inlineStr">
        <is>
          <t>R1202-v2</t>
        </is>
      </c>
      <c r="F528" s="23" t="inlineStr">
        <is>
          <t>1.2.2 Stations - Architectural Fit-Out</t>
        </is>
      </c>
      <c r="G528" s="23" t="inlineStr">
        <is>
          <t>ONE_TO_ONE</t>
        </is>
      </c>
      <c r="H528" s="23" t="inlineStr">
        <is>
          <t>RETAINED</t>
        </is>
      </c>
      <c r="I528" s="23" t="inlineStr">
        <is>
          <t>Carried forward</t>
        </is>
      </c>
      <c r="J528" s="23" t="inlineStr">
        <is>
          <t>Source assignment -- not individually reviewed</t>
        </is>
      </c>
      <c r="K528" s="23" t="inlineStr"/>
      <c r="L528" s="23" t="inlineStr"/>
      <c r="M528" s="23" t="inlineStr"/>
      <c r="N528" s="14" t="inlineStr">
        <is>
          <t>10 EVIDENCE &amp; DECISIONS</t>
        </is>
      </c>
    </row>
    <row r="529" ht="34" customHeight="1">
      <c r="A529" s="23" t="inlineStr">
        <is>
          <t>Cost &amp; Forecast Control Accounts</t>
        </is>
      </c>
      <c r="B529" s="23" t="inlineStr">
        <is>
          <t>CST-02-042</t>
        </is>
      </c>
      <c r="C529" s="23" t="inlineStr">
        <is>
          <t>Stations - building services - closeout</t>
        </is>
      </c>
      <c r="D529" s="23" t="inlineStr">
        <is>
          <t>Cost Account = CA-2042; WBS Code = 1.2.2</t>
        </is>
      </c>
      <c r="E529" s="23" t="inlineStr">
        <is>
          <t>R1204-v2</t>
        </is>
      </c>
      <c r="F529" s="23" t="inlineStr">
        <is>
          <t>1.2.2 Stations - Architectural Fit-Out</t>
        </is>
      </c>
      <c r="G529" s="23" t="inlineStr">
        <is>
          <t>ONE_TO_ONE</t>
        </is>
      </c>
      <c r="H529" s="23" t="inlineStr">
        <is>
          <t>RETAINED</t>
        </is>
      </c>
      <c r="I529" s="23" t="inlineStr">
        <is>
          <t>Carried forward</t>
        </is>
      </c>
      <c r="J529" s="23" t="inlineStr">
        <is>
          <t>Source assignment -- not individually reviewed</t>
        </is>
      </c>
      <c r="K529" s="23" t="inlineStr"/>
      <c r="L529" s="23" t="inlineStr"/>
      <c r="M529" s="23" t="inlineStr"/>
      <c r="N529" s="14" t="inlineStr">
        <is>
          <t>10 EVIDENCE &amp; DECISIONS</t>
        </is>
      </c>
    </row>
    <row r="530" ht="34" customHeight="1">
      <c r="A530" s="23" t="inlineStr">
        <is>
          <t>Cost &amp; Forecast Control Accounts</t>
        </is>
      </c>
      <c r="B530" s="23" t="inlineStr">
        <is>
          <t>CST-02-044</t>
        </is>
      </c>
      <c r="C530" s="23" t="inlineStr">
        <is>
          <t>Stations - station structure - supply and install</t>
        </is>
      </c>
      <c r="D530" s="23" t="inlineStr">
        <is>
          <t>Cost Account = CA-2044; WBS Code = 1.2.2</t>
        </is>
      </c>
      <c r="E530" s="23" t="inlineStr">
        <is>
          <t>R1206-v2</t>
        </is>
      </c>
      <c r="F530" s="23" t="inlineStr">
        <is>
          <t>1.2.2 Stations - Architectural Fit-Out</t>
        </is>
      </c>
      <c r="G530" s="23" t="inlineStr">
        <is>
          <t>ONE_TO_ONE</t>
        </is>
      </c>
      <c r="H530" s="23" t="inlineStr">
        <is>
          <t>RETAINED</t>
        </is>
      </c>
      <c r="I530" s="23" t="inlineStr">
        <is>
          <t>Carried forward</t>
        </is>
      </c>
      <c r="J530" s="23" t="inlineStr">
        <is>
          <t>Source assignment -- not individually reviewed</t>
        </is>
      </c>
      <c r="K530" s="23" t="inlineStr"/>
      <c r="L530" s="23" t="inlineStr"/>
      <c r="M530" s="23" t="inlineStr"/>
      <c r="N530" s="14" t="inlineStr">
        <is>
          <t>10 EVIDENCE &amp; DECISIONS</t>
        </is>
      </c>
    </row>
    <row r="531" ht="34" customHeight="1">
      <c r="A531" s="23" t="inlineStr">
        <is>
          <t>Cost &amp; Forecast Control Accounts</t>
        </is>
      </c>
      <c r="B531" s="23" t="inlineStr">
        <is>
          <t>CST-02-046</t>
        </is>
      </c>
      <c r="C531" s="23" t="inlineStr">
        <is>
          <t>Stations - public realm - allowance</t>
        </is>
      </c>
      <c r="D531" s="23" t="inlineStr">
        <is>
          <t>Cost Account = CA-2046; WBS Code = 1.2.2</t>
        </is>
      </c>
      <c r="E531" s="23" t="inlineStr">
        <is>
          <t>R1208-v2</t>
        </is>
      </c>
      <c r="F531" s="23" t="inlineStr">
        <is>
          <t>1.2.2 Stations - Architectural Fit-Out</t>
        </is>
      </c>
      <c r="G531" s="23" t="inlineStr">
        <is>
          <t>ONE_TO_ONE</t>
        </is>
      </c>
      <c r="H531" s="23" t="inlineStr">
        <is>
          <t>RETAINED</t>
        </is>
      </c>
      <c r="I531" s="23" t="inlineStr">
        <is>
          <t>Carried forward</t>
        </is>
      </c>
      <c r="J531" s="23" t="inlineStr">
        <is>
          <t>Source assignment -- not individually reviewed</t>
        </is>
      </c>
      <c r="K531" s="23" t="inlineStr"/>
      <c r="L531" s="23" t="inlineStr"/>
      <c r="M531" s="23" t="inlineStr"/>
      <c r="N531" s="14" t="inlineStr">
        <is>
          <t>10 EVIDENCE &amp; DECISIONS</t>
        </is>
      </c>
    </row>
    <row r="532" ht="34" customHeight="1">
      <c r="A532" s="23" t="inlineStr">
        <is>
          <t>Cost &amp; Forecast Control Accounts</t>
        </is>
      </c>
      <c r="B532" s="23" t="inlineStr">
        <is>
          <t>CST-02-048</t>
        </is>
      </c>
      <c r="C532" s="23" t="inlineStr">
        <is>
          <t>Stations - building services - field package</t>
        </is>
      </c>
      <c r="D532" s="23" t="inlineStr">
        <is>
          <t>Cost Account = CA-2048; WBS Code = 1.2.2</t>
        </is>
      </c>
      <c r="E532" s="23" t="inlineStr">
        <is>
          <t>R1210-v2</t>
        </is>
      </c>
      <c r="F532" s="23" t="inlineStr">
        <is>
          <t>1.2.2 Stations - Architectural Fit-Out</t>
        </is>
      </c>
      <c r="G532" s="23" t="inlineStr">
        <is>
          <t>ONE_TO_ONE</t>
        </is>
      </c>
      <c r="H532" s="23" t="inlineStr">
        <is>
          <t>RETAINED</t>
        </is>
      </c>
      <c r="I532" s="23" t="inlineStr">
        <is>
          <t>Carried forward</t>
        </is>
      </c>
      <c r="J532" s="23" t="inlineStr">
        <is>
          <t>Source assignment -- not individually reviewed</t>
        </is>
      </c>
      <c r="K532" s="23" t="inlineStr"/>
      <c r="L532" s="23" t="inlineStr"/>
      <c r="M532" s="23" t="inlineStr"/>
      <c r="N532" s="14" t="inlineStr">
        <is>
          <t>10 EVIDENCE &amp; DECISIONS</t>
        </is>
      </c>
    </row>
    <row r="533" ht="34" customHeight="1">
      <c r="A533" s="23" t="inlineStr">
        <is>
          <t>Cost &amp; Forecast Control Accounts</t>
        </is>
      </c>
      <c r="B533" s="23" t="inlineStr">
        <is>
          <t>CST-02-050</t>
        </is>
      </c>
      <c r="C533" s="23" t="inlineStr">
        <is>
          <t>Stations - station structure - professional services</t>
        </is>
      </c>
      <c r="D533" s="23" t="inlineStr">
        <is>
          <t>Cost Account = CA-2050; WBS Code = 1.2.2</t>
        </is>
      </c>
      <c r="E533" s="23" t="inlineStr">
        <is>
          <t>R1212-v2</t>
        </is>
      </c>
      <c r="F533" s="23" t="inlineStr">
        <is>
          <t>1.2.2 Stations - Architectural Fit-Out</t>
        </is>
      </c>
      <c r="G533" s="23" t="inlineStr">
        <is>
          <t>ONE_TO_ONE</t>
        </is>
      </c>
      <c r="H533" s="23" t="inlineStr">
        <is>
          <t>RETAINED</t>
        </is>
      </c>
      <c r="I533" s="23" t="inlineStr">
        <is>
          <t>Carried forward</t>
        </is>
      </c>
      <c r="J533" s="23" t="inlineStr">
        <is>
          <t>Source assignment -- not individually reviewed</t>
        </is>
      </c>
      <c r="K533" s="23" t="inlineStr"/>
      <c r="L533" s="23" t="inlineStr"/>
      <c r="M533" s="23" t="inlineStr"/>
      <c r="N533" s="14" t="inlineStr">
        <is>
          <t>10 EVIDENCE &amp; DECISIONS</t>
        </is>
      </c>
    </row>
    <row r="534" ht="34" customHeight="1">
      <c r="A534" s="23" t="inlineStr">
        <is>
          <t>Cost &amp; Forecast Control Accounts</t>
        </is>
      </c>
      <c r="B534" s="23" t="inlineStr">
        <is>
          <t>CST-02-052</t>
        </is>
      </c>
      <c r="C534" s="23" t="inlineStr">
        <is>
          <t>Stations - public realm - closeout</t>
        </is>
      </c>
      <c r="D534" s="23" t="inlineStr">
        <is>
          <t>Cost Account = CA-2052; WBS Code = 1.2.2</t>
        </is>
      </c>
      <c r="E534" s="23" t="inlineStr">
        <is>
          <t>R1214-v2</t>
        </is>
      </c>
      <c r="F534" s="23" t="inlineStr">
        <is>
          <t>1.2.2 Stations - Architectural Fit-Out</t>
        </is>
      </c>
      <c r="G534" s="23" t="inlineStr">
        <is>
          <t>ONE_TO_ONE</t>
        </is>
      </c>
      <c r="H534" s="23" t="inlineStr">
        <is>
          <t>RETAINED</t>
        </is>
      </c>
      <c r="I534" s="23" t="inlineStr">
        <is>
          <t>Carried forward</t>
        </is>
      </c>
      <c r="J534" s="23" t="inlineStr">
        <is>
          <t>Source assignment -- not individually reviewed</t>
        </is>
      </c>
      <c r="K534" s="23" t="inlineStr"/>
      <c r="L534" s="23" t="inlineStr"/>
      <c r="M534" s="23" t="inlineStr"/>
      <c r="N534" s="14" t="inlineStr">
        <is>
          <t>10 EVIDENCE &amp; DECISIONS</t>
        </is>
      </c>
    </row>
    <row r="535" ht="34" customHeight="1">
      <c r="A535" s="23" t="inlineStr">
        <is>
          <t>Cost &amp; Forecast Control Accounts</t>
        </is>
      </c>
      <c r="B535" s="23" t="inlineStr">
        <is>
          <t>CST-02-054</t>
        </is>
      </c>
      <c r="C535" s="23" t="inlineStr">
        <is>
          <t>Stations - building services - supply and install</t>
        </is>
      </c>
      <c r="D535" s="23" t="inlineStr">
        <is>
          <t>Cost Account = CA-2054; WBS Code = 1.2.2</t>
        </is>
      </c>
      <c r="E535" s="23" t="inlineStr">
        <is>
          <t>R1216-v2</t>
        </is>
      </c>
      <c r="F535" s="23" t="inlineStr">
        <is>
          <t>1.2.2 Stations - Architectural Fit-Out</t>
        </is>
      </c>
      <c r="G535" s="23" t="inlineStr">
        <is>
          <t>ONE_TO_ONE</t>
        </is>
      </c>
      <c r="H535" s="23" t="inlineStr">
        <is>
          <t>RETAINED</t>
        </is>
      </c>
      <c r="I535" s="23" t="inlineStr">
        <is>
          <t>Carried forward</t>
        </is>
      </c>
      <c r="J535" s="23" t="inlineStr">
        <is>
          <t>Source assignment -- not individually reviewed</t>
        </is>
      </c>
      <c r="K535" s="23" t="inlineStr"/>
      <c r="L535" s="23" t="inlineStr"/>
      <c r="M535" s="23" t="inlineStr"/>
      <c r="N535" s="14" t="inlineStr">
        <is>
          <t>10 EVIDENCE &amp; DECISIONS</t>
        </is>
      </c>
    </row>
    <row r="536" ht="34" customHeight="1">
      <c r="A536" s="23" t="inlineStr">
        <is>
          <t>Cost &amp; Forecast Control Accounts</t>
        </is>
      </c>
      <c r="B536" s="23" t="inlineStr">
        <is>
          <t>CST-02-056</t>
        </is>
      </c>
      <c r="C536" s="23" t="inlineStr">
        <is>
          <t>Stations - station structure - allowance</t>
        </is>
      </c>
      <c r="D536" s="23" t="inlineStr">
        <is>
          <t>Cost Account = CA-2056; WBS Code = 1.2.2</t>
        </is>
      </c>
      <c r="E536" s="23" t="inlineStr">
        <is>
          <t>R1218-v2</t>
        </is>
      </c>
      <c r="F536" s="23" t="inlineStr">
        <is>
          <t>1.2.2 Stations - Architectural Fit-Out</t>
        </is>
      </c>
      <c r="G536" s="23" t="inlineStr">
        <is>
          <t>ONE_TO_ONE</t>
        </is>
      </c>
      <c r="H536" s="23" t="inlineStr">
        <is>
          <t>RETAINED</t>
        </is>
      </c>
      <c r="I536" s="23" t="inlineStr">
        <is>
          <t>Carried forward</t>
        </is>
      </c>
      <c r="J536" s="23" t="inlineStr">
        <is>
          <t>Source assignment -- not individually reviewed</t>
        </is>
      </c>
      <c r="K536" s="23" t="inlineStr"/>
      <c r="L536" s="23" t="inlineStr"/>
      <c r="M536" s="23" t="inlineStr"/>
      <c r="N536" s="14" t="inlineStr">
        <is>
          <t>10 EVIDENCE &amp; DECISIONS</t>
        </is>
      </c>
    </row>
    <row r="537" ht="34" customHeight="1">
      <c r="A537" s="23" t="inlineStr">
        <is>
          <t>Cost &amp; Forecast Control Accounts</t>
        </is>
      </c>
      <c r="B537" s="23" t="inlineStr">
        <is>
          <t>CST-02-058</t>
        </is>
      </c>
      <c r="C537" s="23" t="inlineStr">
        <is>
          <t>Stations - public realm - field package</t>
        </is>
      </c>
      <c r="D537" s="23" t="inlineStr">
        <is>
          <t>Cost Account = CA-2058; WBS Code = 1.2.2</t>
        </is>
      </c>
      <c r="E537" s="23" t="inlineStr">
        <is>
          <t>R1220-v2</t>
        </is>
      </c>
      <c r="F537" s="23" t="inlineStr">
        <is>
          <t>1.2.2 Stations - Architectural Fit-Out</t>
        </is>
      </c>
      <c r="G537" s="23" t="inlineStr">
        <is>
          <t>ONE_TO_ONE</t>
        </is>
      </c>
      <c r="H537" s="23" t="inlineStr">
        <is>
          <t>RETAINED</t>
        </is>
      </c>
      <c r="I537" s="23" t="inlineStr">
        <is>
          <t>Carried forward</t>
        </is>
      </c>
      <c r="J537" s="23" t="inlineStr">
        <is>
          <t>Source assignment -- not individually reviewed</t>
        </is>
      </c>
      <c r="K537" s="23" t="inlineStr"/>
      <c r="L537" s="23" t="inlineStr"/>
      <c r="M537" s="23" t="inlineStr"/>
      <c r="N537" s="14" t="inlineStr">
        <is>
          <t>10 EVIDENCE &amp; DECISIONS</t>
        </is>
      </c>
    </row>
    <row r="538" ht="34" customHeight="1">
      <c r="A538" s="23" t="inlineStr">
        <is>
          <t>Cost &amp; Forecast Control Accounts</t>
        </is>
      </c>
      <c r="B538" s="23" t="inlineStr">
        <is>
          <t>CST-02-060</t>
        </is>
      </c>
      <c r="C538" s="23" t="inlineStr">
        <is>
          <t>Stations - building services - professional services</t>
        </is>
      </c>
      <c r="D538" s="23" t="inlineStr">
        <is>
          <t>Cost Account = CA-2060; WBS Code = 1.2.2</t>
        </is>
      </c>
      <c r="E538" s="23" t="inlineStr">
        <is>
          <t>R1222-v2</t>
        </is>
      </c>
      <c r="F538" s="23" t="inlineStr">
        <is>
          <t>1.2.2 Stations - Architectural Fit-Out</t>
        </is>
      </c>
      <c r="G538" s="23" t="inlineStr">
        <is>
          <t>ONE_TO_ONE</t>
        </is>
      </c>
      <c r="H538" s="23" t="inlineStr">
        <is>
          <t>RETAINED</t>
        </is>
      </c>
      <c r="I538" s="23" t="inlineStr">
        <is>
          <t>Carried forward</t>
        </is>
      </c>
      <c r="J538" s="23" t="inlineStr">
        <is>
          <t>Source assignment -- not individually reviewed</t>
        </is>
      </c>
      <c r="K538" s="23" t="inlineStr"/>
      <c r="L538" s="23" t="inlineStr"/>
      <c r="M538" s="23" t="inlineStr"/>
      <c r="N538" s="14" t="inlineStr">
        <is>
          <t>10 EVIDENCE &amp; DECISIONS</t>
        </is>
      </c>
    </row>
    <row r="539" ht="34" customHeight="1">
      <c r="A539" s="23" t="inlineStr">
        <is>
          <t>Cost &amp; Forecast Control Accounts</t>
        </is>
      </c>
      <c r="B539" s="23" t="inlineStr">
        <is>
          <t>CST-02-062</t>
        </is>
      </c>
      <c r="C539" s="23" t="inlineStr">
        <is>
          <t>Stations - station structure - closeout</t>
        </is>
      </c>
      <c r="D539" s="23" t="inlineStr">
        <is>
          <t>Cost Account = CA-2062; WBS Code = 1.2.2</t>
        </is>
      </c>
      <c r="E539" s="23" t="inlineStr">
        <is>
          <t>R1224-v2</t>
        </is>
      </c>
      <c r="F539" s="23" t="inlineStr">
        <is>
          <t>1.2.2 Stations - Architectural Fit-Out</t>
        </is>
      </c>
      <c r="G539" s="23" t="inlineStr">
        <is>
          <t>ONE_TO_ONE</t>
        </is>
      </c>
      <c r="H539" s="23" t="inlineStr">
        <is>
          <t>RETAINED</t>
        </is>
      </c>
      <c r="I539" s="23" t="inlineStr">
        <is>
          <t>Carried forward</t>
        </is>
      </c>
      <c r="J539" s="23" t="inlineStr">
        <is>
          <t>Source assignment -- not individually reviewed</t>
        </is>
      </c>
      <c r="K539" s="23" t="inlineStr"/>
      <c r="L539" s="23" t="inlineStr"/>
      <c r="M539" s="23" t="inlineStr"/>
      <c r="N539" s="14" t="inlineStr">
        <is>
          <t>10 EVIDENCE &amp; DECISIONS</t>
        </is>
      </c>
    </row>
    <row r="540" ht="34" customHeight="1">
      <c r="A540" s="23" t="inlineStr">
        <is>
          <t>Cost &amp; Forecast Control Accounts</t>
        </is>
      </c>
      <c r="B540" s="23" t="inlineStr">
        <is>
          <t>CST-02-064</t>
        </is>
      </c>
      <c r="C540" s="23" t="inlineStr">
        <is>
          <t>Stations - public realm - supply and install</t>
        </is>
      </c>
      <c r="D540" s="23" t="inlineStr">
        <is>
          <t>Cost Account = CA-2064; WBS Code = 1.2.2</t>
        </is>
      </c>
      <c r="E540" s="23" t="inlineStr">
        <is>
          <t>R1226-v2</t>
        </is>
      </c>
      <c r="F540" s="23" t="inlineStr">
        <is>
          <t>1.2.2 Stations - Architectural Fit-Out</t>
        </is>
      </c>
      <c r="G540" s="23" t="inlineStr">
        <is>
          <t>ONE_TO_ONE</t>
        </is>
      </c>
      <c r="H540" s="23" t="inlineStr">
        <is>
          <t>RETAINED</t>
        </is>
      </c>
      <c r="I540" s="23" t="inlineStr">
        <is>
          <t>Carried forward</t>
        </is>
      </c>
      <c r="J540" s="23" t="inlineStr">
        <is>
          <t>Source assignment -- not individually reviewed</t>
        </is>
      </c>
      <c r="K540" s="23" t="inlineStr"/>
      <c r="L540" s="23" t="inlineStr"/>
      <c r="M540" s="23" t="inlineStr"/>
      <c r="N540" s="14" t="inlineStr">
        <is>
          <t>10 EVIDENCE &amp; DECISIONS</t>
        </is>
      </c>
    </row>
    <row r="541" ht="34" customHeight="1">
      <c r="A541" s="23" t="inlineStr">
        <is>
          <t>Cost &amp; Forecast Control Accounts</t>
        </is>
      </c>
      <c r="B541" s="23" t="inlineStr">
        <is>
          <t>CST-02-066</t>
        </is>
      </c>
      <c r="C541" s="23" t="inlineStr">
        <is>
          <t>Stations - building services - allowance</t>
        </is>
      </c>
      <c r="D541" s="23" t="inlineStr">
        <is>
          <t>Cost Account = CA-2066; WBS Code = 1.2.2</t>
        </is>
      </c>
      <c r="E541" s="23" t="inlineStr">
        <is>
          <t>R1228-v2</t>
        </is>
      </c>
      <c r="F541" s="23" t="inlineStr">
        <is>
          <t>1.2.2 Stations - Architectural Fit-Out</t>
        </is>
      </c>
      <c r="G541" s="23" t="inlineStr">
        <is>
          <t>ONE_TO_ONE</t>
        </is>
      </c>
      <c r="H541" s="23" t="inlineStr">
        <is>
          <t>RETAINED</t>
        </is>
      </c>
      <c r="I541" s="23" t="inlineStr">
        <is>
          <t>Carried forward</t>
        </is>
      </c>
      <c r="J541" s="23" t="inlineStr">
        <is>
          <t>Source assignment -- not individually reviewed</t>
        </is>
      </c>
      <c r="K541" s="23" t="inlineStr"/>
      <c r="L541" s="23" t="inlineStr"/>
      <c r="M541" s="23" t="inlineStr"/>
      <c r="N541" s="14" t="inlineStr">
        <is>
          <t>10 EVIDENCE &amp; DECISIONS</t>
        </is>
      </c>
    </row>
    <row r="542" ht="34" customHeight="1">
      <c r="A542" s="23" t="inlineStr">
        <is>
          <t>Cost &amp; Forecast Control Accounts</t>
        </is>
      </c>
      <c r="B542" s="23" t="inlineStr">
        <is>
          <t>CST-02-068</t>
        </is>
      </c>
      <c r="C542" s="23" t="inlineStr">
        <is>
          <t>Stations - station structure - field package</t>
        </is>
      </c>
      <c r="D542" s="23" t="inlineStr">
        <is>
          <t>Cost Account = CA-2068; WBS Code = 1.2.2</t>
        </is>
      </c>
      <c r="E542" s="23" t="inlineStr">
        <is>
          <t>R1230-v2</t>
        </is>
      </c>
      <c r="F542" s="23" t="inlineStr">
        <is>
          <t>1.2.2 Stations - Architectural Fit-Out</t>
        </is>
      </c>
      <c r="G542" s="23" t="inlineStr">
        <is>
          <t>ONE_TO_ONE</t>
        </is>
      </c>
      <c r="H542" s="23" t="inlineStr">
        <is>
          <t>RETAINED</t>
        </is>
      </c>
      <c r="I542" s="23" t="inlineStr">
        <is>
          <t>Carried forward</t>
        </is>
      </c>
      <c r="J542" s="23" t="inlineStr">
        <is>
          <t>Source assignment -- not individually reviewed</t>
        </is>
      </c>
      <c r="K542" s="23" t="inlineStr"/>
      <c r="L542" s="23" t="inlineStr"/>
      <c r="M542" s="23" t="inlineStr"/>
      <c r="N542" s="14" t="inlineStr">
        <is>
          <t>10 EVIDENCE &amp; DECISIONS</t>
        </is>
      </c>
    </row>
    <row r="543" ht="34" customHeight="1">
      <c r="A543" s="23" t="inlineStr">
        <is>
          <t>Cost &amp; Forecast Control Accounts</t>
        </is>
      </c>
      <c r="B543" s="23" t="inlineStr">
        <is>
          <t>CST-02-070</t>
        </is>
      </c>
      <c r="C543" s="23" t="inlineStr">
        <is>
          <t>Stations - public realm - professional services</t>
        </is>
      </c>
      <c r="D543" s="23" t="inlineStr">
        <is>
          <t>Cost Account = CA-2070; WBS Code = 1.2.2</t>
        </is>
      </c>
      <c r="E543" s="23" t="inlineStr">
        <is>
          <t>R1232-v2</t>
        </is>
      </c>
      <c r="F543" s="23" t="inlineStr">
        <is>
          <t>1.2.2 Stations - Architectural Fit-Out</t>
        </is>
      </c>
      <c r="G543" s="23" t="inlineStr">
        <is>
          <t>ONE_TO_ONE</t>
        </is>
      </c>
      <c r="H543" s="23" t="inlineStr">
        <is>
          <t>RETAINED</t>
        </is>
      </c>
      <c r="I543" s="23" t="inlineStr">
        <is>
          <t>Carried forward</t>
        </is>
      </c>
      <c r="J543" s="23" t="inlineStr">
        <is>
          <t>Source assignment -- not individually reviewed</t>
        </is>
      </c>
      <c r="K543" s="23" t="inlineStr"/>
      <c r="L543" s="23" t="inlineStr"/>
      <c r="M543" s="23" t="inlineStr"/>
      <c r="N543" s="14" t="inlineStr">
        <is>
          <t>10 EVIDENCE &amp; DECISIONS</t>
        </is>
      </c>
    </row>
    <row r="544" ht="34" customHeight="1">
      <c r="A544" s="23" t="inlineStr">
        <is>
          <t>Cost &amp; Forecast Control Accounts</t>
        </is>
      </c>
      <c r="B544" s="23" t="inlineStr">
        <is>
          <t>CST-02-072</t>
        </is>
      </c>
      <c r="C544" s="23" t="inlineStr">
        <is>
          <t>Stations - building services - closeout</t>
        </is>
      </c>
      <c r="D544" s="23" t="inlineStr">
        <is>
          <t>Cost Account = CA-2072; WBS Code = 1.2.2</t>
        </is>
      </c>
      <c r="E544" s="23" t="inlineStr">
        <is>
          <t>R1234-v2</t>
        </is>
      </c>
      <c r="F544" s="23" t="inlineStr">
        <is>
          <t>1.2.2 Stations - Architectural Fit-Out</t>
        </is>
      </c>
      <c r="G544" s="23" t="inlineStr">
        <is>
          <t>ONE_TO_ONE</t>
        </is>
      </c>
      <c r="H544" s="23" t="inlineStr">
        <is>
          <t>RETAINED</t>
        </is>
      </c>
      <c r="I544" s="23" t="inlineStr">
        <is>
          <t>Carried forward</t>
        </is>
      </c>
      <c r="J544" s="23" t="inlineStr">
        <is>
          <t>Source assignment -- not individually reviewed</t>
        </is>
      </c>
      <c r="K544" s="23" t="inlineStr"/>
      <c r="L544" s="23" t="inlineStr"/>
      <c r="M544" s="23" t="inlineStr"/>
      <c r="N544" s="14" t="inlineStr">
        <is>
          <t>10 EVIDENCE &amp; DECISIONS</t>
        </is>
      </c>
    </row>
    <row r="545" ht="34" customHeight="1">
      <c r="A545" s="23" t="inlineStr">
        <is>
          <t>Cost &amp; Forecast Control Accounts</t>
        </is>
      </c>
      <c r="B545" s="23" t="inlineStr">
        <is>
          <t>CST-02-074</t>
        </is>
      </c>
      <c r="C545" s="23" t="inlineStr">
        <is>
          <t>Stations - station structure - supply and install</t>
        </is>
      </c>
      <c r="D545" s="23" t="inlineStr">
        <is>
          <t>Cost Account = CA-2074; WBS Code = 1.2.2</t>
        </is>
      </c>
      <c r="E545" s="23" t="inlineStr">
        <is>
          <t>R1236-v2</t>
        </is>
      </c>
      <c r="F545" s="23" t="inlineStr">
        <is>
          <t>1.2.2 Stations - Architectural Fit-Out</t>
        </is>
      </c>
      <c r="G545" s="23" t="inlineStr">
        <is>
          <t>ONE_TO_ONE</t>
        </is>
      </c>
      <c r="H545" s="23" t="inlineStr">
        <is>
          <t>RETAINED</t>
        </is>
      </c>
      <c r="I545" s="23" t="inlineStr">
        <is>
          <t>Carried forward</t>
        </is>
      </c>
      <c r="J545" s="23" t="inlineStr">
        <is>
          <t>Source assignment -- not individually reviewed</t>
        </is>
      </c>
      <c r="K545" s="23" t="inlineStr"/>
      <c r="L545" s="23" t="inlineStr"/>
      <c r="M545" s="23" t="inlineStr"/>
      <c r="N545" s="14" t="inlineStr">
        <is>
          <t>10 EVIDENCE &amp; DECISIONS</t>
        </is>
      </c>
    </row>
    <row r="546" ht="34" customHeight="1">
      <c r="A546" s="23" t="inlineStr">
        <is>
          <t>Cost &amp; Forecast Control Accounts</t>
        </is>
      </c>
      <c r="B546" s="23" t="inlineStr">
        <is>
          <t>CST-02-076</t>
        </is>
      </c>
      <c r="C546" s="23" t="inlineStr">
        <is>
          <t>Stations - public realm - allowance</t>
        </is>
      </c>
      <c r="D546" s="23" t="inlineStr">
        <is>
          <t>Cost Account = CA-2076; WBS Code = 1.2.2</t>
        </is>
      </c>
      <c r="E546" s="23" t="inlineStr">
        <is>
          <t>R1238-v2</t>
        </is>
      </c>
      <c r="F546" s="23" t="inlineStr">
        <is>
          <t>1.2.2 Stations - Architectural Fit-Out</t>
        </is>
      </c>
      <c r="G546" s="23" t="inlineStr">
        <is>
          <t>ONE_TO_ONE</t>
        </is>
      </c>
      <c r="H546" s="23" t="inlineStr">
        <is>
          <t>RETAINED</t>
        </is>
      </c>
      <c r="I546" s="23" t="inlineStr">
        <is>
          <t>Carried forward</t>
        </is>
      </c>
      <c r="J546" s="23" t="inlineStr">
        <is>
          <t>Source assignment -- not individually reviewed</t>
        </is>
      </c>
      <c r="K546" s="23" t="inlineStr"/>
      <c r="L546" s="23" t="inlineStr"/>
      <c r="M546" s="23" t="inlineStr"/>
      <c r="N546" s="14" t="inlineStr">
        <is>
          <t>10 EVIDENCE &amp; DECISIONS</t>
        </is>
      </c>
    </row>
    <row r="547" ht="34" customHeight="1">
      <c r="A547" s="23" t="inlineStr">
        <is>
          <t>Cost &amp; Forecast Control Accounts</t>
        </is>
      </c>
      <c r="B547" s="23" t="inlineStr">
        <is>
          <t>CST-02-078</t>
        </is>
      </c>
      <c r="C547" s="23" t="inlineStr">
        <is>
          <t>Stations - building services - field package</t>
        </is>
      </c>
      <c r="D547" s="23" t="inlineStr">
        <is>
          <t>Cost Account = CA-2078; WBS Code = 1.2.2</t>
        </is>
      </c>
      <c r="E547" s="23" t="inlineStr">
        <is>
          <t>R1240-v2</t>
        </is>
      </c>
      <c r="F547" s="23" t="inlineStr">
        <is>
          <t>1.2.2 Stations - Architectural Fit-Out</t>
        </is>
      </c>
      <c r="G547" s="23" t="inlineStr">
        <is>
          <t>ONE_TO_ONE</t>
        </is>
      </c>
      <c r="H547" s="23" t="inlineStr">
        <is>
          <t>RETAINED</t>
        </is>
      </c>
      <c r="I547" s="23" t="inlineStr">
        <is>
          <t>Carried forward</t>
        </is>
      </c>
      <c r="J547" s="23" t="inlineStr">
        <is>
          <t>Source assignment -- not individually reviewed</t>
        </is>
      </c>
      <c r="K547" s="23" t="inlineStr"/>
      <c r="L547" s="23" t="inlineStr"/>
      <c r="M547" s="23" t="inlineStr"/>
      <c r="N547" s="14" t="inlineStr">
        <is>
          <t>10 EVIDENCE &amp; DECISIONS</t>
        </is>
      </c>
    </row>
    <row r="548" ht="34" customHeight="1">
      <c r="A548" s="23" t="inlineStr">
        <is>
          <t>Cost &amp; Forecast Control Accounts</t>
        </is>
      </c>
      <c r="B548" s="23" t="inlineStr">
        <is>
          <t>CST-02-080</t>
        </is>
      </c>
      <c r="C548" s="23" t="inlineStr">
        <is>
          <t>Stations - station structure - professional services</t>
        </is>
      </c>
      <c r="D548" s="23" t="inlineStr">
        <is>
          <t>Cost Account = CA-2080; WBS Code = 1.2.2</t>
        </is>
      </c>
      <c r="E548" s="23" t="inlineStr">
        <is>
          <t>R1242-v2</t>
        </is>
      </c>
      <c r="F548" s="23" t="inlineStr">
        <is>
          <t>1.2.2 Stations - Architectural Fit-Out</t>
        </is>
      </c>
      <c r="G548" s="23" t="inlineStr">
        <is>
          <t>ONE_TO_ONE</t>
        </is>
      </c>
      <c r="H548" s="23" t="inlineStr">
        <is>
          <t>RETAINED</t>
        </is>
      </c>
      <c r="I548" s="23" t="inlineStr">
        <is>
          <t>Carried forward</t>
        </is>
      </c>
      <c r="J548" s="23" t="inlineStr">
        <is>
          <t>Source assignment -- not individually reviewed</t>
        </is>
      </c>
      <c r="K548" s="23" t="inlineStr"/>
      <c r="L548" s="23" t="inlineStr"/>
      <c r="M548" s="23" t="inlineStr"/>
      <c r="N548" s="14" t="inlineStr">
        <is>
          <t>10 EVIDENCE &amp; DECISIONS</t>
        </is>
      </c>
    </row>
    <row r="549" ht="34" customHeight="1">
      <c r="A549" s="23" t="inlineStr">
        <is>
          <t>Commercial Package Register</t>
        </is>
      </c>
      <c r="B549" s="23" t="inlineStr">
        <is>
          <t>PKG-021</t>
        </is>
      </c>
      <c r="C549" s="23" t="inlineStr">
        <is>
          <t>Traction Power</t>
        </is>
      </c>
      <c r="D549" s="23" t="inlineStr">
        <is>
          <t>Package Code = PK-301; WBS Code = 1.3</t>
        </is>
      </c>
      <c r="E549" s="23" t="inlineStr">
        <is>
          <t>R1583-v2</t>
        </is>
      </c>
      <c r="F549" s="23" t="inlineStr">
        <is>
          <t>1.3 Systems</t>
        </is>
      </c>
      <c r="G549" s="23" t="inlineStr">
        <is>
          <t>ONE_TO_ONE</t>
        </is>
      </c>
      <c r="H549" s="23" t="inlineStr">
        <is>
          <t>RETAINED</t>
        </is>
      </c>
      <c r="I549" s="23" t="inlineStr">
        <is>
          <t>Carried forward</t>
        </is>
      </c>
      <c r="J549" s="23" t="inlineStr">
        <is>
          <t>Source assignment -- not individually reviewed</t>
        </is>
      </c>
      <c r="K549" s="23" t="inlineStr"/>
      <c r="L549" s="23" t="inlineStr"/>
      <c r="M549" s="23" t="inlineStr"/>
      <c r="N549" s="14" t="inlineStr">
        <is>
          <t>10 EVIDENCE &amp; DECISIONS</t>
        </is>
      </c>
    </row>
    <row r="550" ht="34" customHeight="1">
      <c r="A550" s="23" t="inlineStr">
        <is>
          <t>Commercial Package Register</t>
        </is>
      </c>
      <c r="B550" s="23" t="inlineStr">
        <is>
          <t>PKG-022</t>
        </is>
      </c>
      <c r="C550" s="23" t="inlineStr">
        <is>
          <t>Signalling &amp; Train Control</t>
        </is>
      </c>
      <c r="D550" s="23" t="inlineStr">
        <is>
          <t>Package Code = PK-302; WBS Code = 1.3</t>
        </is>
      </c>
      <c r="E550" s="23" t="inlineStr">
        <is>
          <t>R1584-v2</t>
        </is>
      </c>
      <c r="F550" s="23" t="inlineStr">
        <is>
          <t>1.3 Systems</t>
        </is>
      </c>
      <c r="G550" s="23" t="inlineStr">
        <is>
          <t>ONE_TO_ONE</t>
        </is>
      </c>
      <c r="H550" s="23" t="inlineStr">
        <is>
          <t>RETAINED</t>
        </is>
      </c>
      <c r="I550" s="23" t="inlineStr">
        <is>
          <t>Carried forward</t>
        </is>
      </c>
      <c r="J550" s="23" t="inlineStr">
        <is>
          <t>Source assignment -- not individually reviewed</t>
        </is>
      </c>
      <c r="K550" s="23" t="inlineStr"/>
      <c r="L550" s="23" t="inlineStr"/>
      <c r="M550" s="23" t="inlineStr"/>
      <c r="N550" s="14" t="inlineStr">
        <is>
          <t>10 EVIDENCE &amp; DECISIONS</t>
        </is>
      </c>
    </row>
    <row r="551" ht="34" customHeight="1">
      <c r="A551" s="23" t="inlineStr">
        <is>
          <t>Commercial Package Register</t>
        </is>
      </c>
      <c r="B551" s="23" t="inlineStr">
        <is>
          <t>PKG-023</t>
        </is>
      </c>
      <c r="C551" s="23" t="inlineStr">
        <is>
          <t>Communications</t>
        </is>
      </c>
      <c r="D551" s="23" t="inlineStr">
        <is>
          <t>Package Code = PK-303; WBS Code = 1.3</t>
        </is>
      </c>
      <c r="E551" s="23" t="inlineStr">
        <is>
          <t>R1585-v2</t>
        </is>
      </c>
      <c r="F551" s="23" t="inlineStr">
        <is>
          <t>1.3 Systems</t>
        </is>
      </c>
      <c r="G551" s="23" t="inlineStr">
        <is>
          <t>ONE_TO_ONE</t>
        </is>
      </c>
      <c r="H551" s="23" t="inlineStr">
        <is>
          <t>RETAINED</t>
        </is>
      </c>
      <c r="I551" s="23" t="inlineStr">
        <is>
          <t>Carried forward</t>
        </is>
      </c>
      <c r="J551" s="23" t="inlineStr">
        <is>
          <t>Source assignment -- not individually reviewed</t>
        </is>
      </c>
      <c r="K551" s="23" t="inlineStr"/>
      <c r="L551" s="23" t="inlineStr"/>
      <c r="M551" s="23" t="inlineStr"/>
      <c r="N551" s="14" t="inlineStr">
        <is>
          <t>10 EVIDENCE &amp; DECISIONS</t>
        </is>
      </c>
    </row>
    <row r="552" ht="34" customHeight="1">
      <c r="A552" s="23" t="inlineStr">
        <is>
          <t>Commercial Package Register</t>
        </is>
      </c>
      <c r="B552" s="23" t="inlineStr">
        <is>
          <t>PKG-024</t>
        </is>
      </c>
      <c r="C552" s="23" t="inlineStr">
        <is>
          <t>Systems Integration</t>
        </is>
      </c>
      <c r="D552" s="23" t="inlineStr">
        <is>
          <t>Package Code = PK-304; WBS Code = 1.3</t>
        </is>
      </c>
      <c r="E552" s="23" t="inlineStr">
        <is>
          <t>R1586-v2</t>
        </is>
      </c>
      <c r="F552" s="23" t="inlineStr">
        <is>
          <t>1.3 Systems</t>
        </is>
      </c>
      <c r="G552" s="23" t="inlineStr">
        <is>
          <t>ONE_TO_ONE</t>
        </is>
      </c>
      <c r="H552" s="23" t="inlineStr">
        <is>
          <t>RETAINED</t>
        </is>
      </c>
      <c r="I552" s="23" t="inlineStr">
        <is>
          <t>Carried forward</t>
        </is>
      </c>
      <c r="J552" s="23" t="inlineStr">
        <is>
          <t>Source assignment -- not individually reviewed</t>
        </is>
      </c>
      <c r="K552" s="23" t="inlineStr"/>
      <c r="L552" s="23" t="inlineStr"/>
      <c r="M552" s="23" t="inlineStr"/>
      <c r="N552" s="14" t="inlineStr">
        <is>
          <t>10 EVIDENCE &amp; DECISIONS</t>
        </is>
      </c>
    </row>
    <row r="553" ht="34" customHeight="1">
      <c r="A553" s="23" t="inlineStr">
        <is>
          <t>Commercial Package Register</t>
        </is>
      </c>
      <c r="B553" s="23" t="inlineStr">
        <is>
          <t>PKG-025</t>
        </is>
      </c>
      <c r="C553" s="23" t="inlineStr">
        <is>
          <t>Traction Power - Lot 2</t>
        </is>
      </c>
      <c r="D553" s="23" t="inlineStr">
        <is>
          <t>Package Code = PK-305; WBS Code = 1.3</t>
        </is>
      </c>
      <c r="E553" s="23" t="inlineStr">
        <is>
          <t>R1587-v2</t>
        </is>
      </c>
      <c r="F553" s="23" t="inlineStr">
        <is>
          <t>1.3 Systems</t>
        </is>
      </c>
      <c r="G553" s="23" t="inlineStr">
        <is>
          <t>ONE_TO_ONE</t>
        </is>
      </c>
      <c r="H553" s="23" t="inlineStr">
        <is>
          <t>RETAINED</t>
        </is>
      </c>
      <c r="I553" s="23" t="inlineStr">
        <is>
          <t>Carried forward</t>
        </is>
      </c>
      <c r="J553" s="23" t="inlineStr">
        <is>
          <t>Source assignment -- not individually reviewed</t>
        </is>
      </c>
      <c r="K553" s="23" t="inlineStr"/>
      <c r="L553" s="23" t="inlineStr"/>
      <c r="M553" s="23" t="inlineStr"/>
      <c r="N553" s="14" t="inlineStr">
        <is>
          <t>10 EVIDENCE &amp; DECISIONS</t>
        </is>
      </c>
    </row>
    <row r="554" ht="34" customHeight="1">
      <c r="A554" s="23" t="inlineStr">
        <is>
          <t>Commercial Package Register</t>
        </is>
      </c>
      <c r="B554" s="23" t="inlineStr">
        <is>
          <t>PKG-026</t>
        </is>
      </c>
      <c r="C554" s="23" t="inlineStr">
        <is>
          <t>Signalling &amp; Train Control - Lot 2</t>
        </is>
      </c>
      <c r="D554" s="23" t="inlineStr">
        <is>
          <t>Package Code = PK-306; WBS Code = 1.3</t>
        </is>
      </c>
      <c r="E554" s="23" t="inlineStr">
        <is>
          <t>R1588-v2</t>
        </is>
      </c>
      <c r="F554" s="23" t="inlineStr">
        <is>
          <t>1.3 Systems</t>
        </is>
      </c>
      <c r="G554" s="23" t="inlineStr">
        <is>
          <t>ONE_TO_ONE</t>
        </is>
      </c>
      <c r="H554" s="23" t="inlineStr">
        <is>
          <t>RETAINED</t>
        </is>
      </c>
      <c r="I554" s="23" t="inlineStr">
        <is>
          <t>Carried forward</t>
        </is>
      </c>
      <c r="J554" s="23" t="inlineStr">
        <is>
          <t>Source assignment -- not individually reviewed</t>
        </is>
      </c>
      <c r="K554" s="23" t="inlineStr"/>
      <c r="L554" s="23" t="inlineStr"/>
      <c r="M554" s="23" t="inlineStr"/>
      <c r="N554" s="14" t="inlineStr">
        <is>
          <t>10 EVIDENCE &amp; DECISIONS</t>
        </is>
      </c>
    </row>
    <row r="555" ht="34" customHeight="1">
      <c r="A555" s="23" t="inlineStr">
        <is>
          <t>Commercial Package Register</t>
        </is>
      </c>
      <c r="B555" s="23" t="inlineStr">
        <is>
          <t>PKG-027</t>
        </is>
      </c>
      <c r="C555" s="23" t="inlineStr">
        <is>
          <t>Communications - Lot 2</t>
        </is>
      </c>
      <c r="D555" s="23" t="inlineStr">
        <is>
          <t>Package Code = PK-307; WBS Code = 1.3</t>
        </is>
      </c>
      <c r="E555" s="23" t="inlineStr">
        <is>
          <t>R1589-v2</t>
        </is>
      </c>
      <c r="F555" s="23" t="inlineStr">
        <is>
          <t>1.3 Systems</t>
        </is>
      </c>
      <c r="G555" s="23" t="inlineStr">
        <is>
          <t>ONE_TO_ONE</t>
        </is>
      </c>
      <c r="H555" s="23" t="inlineStr">
        <is>
          <t>RETAINED</t>
        </is>
      </c>
      <c r="I555" s="23" t="inlineStr">
        <is>
          <t>Carried forward</t>
        </is>
      </c>
      <c r="J555" s="23" t="inlineStr">
        <is>
          <t>Source assignment -- not individually reviewed</t>
        </is>
      </c>
      <c r="K555" s="23" t="inlineStr"/>
      <c r="L555" s="23" t="inlineStr"/>
      <c r="M555" s="23" t="inlineStr"/>
      <c r="N555" s="14" t="inlineStr">
        <is>
          <t>10 EVIDENCE &amp; DECISIONS</t>
        </is>
      </c>
    </row>
    <row r="556" ht="34" customHeight="1">
      <c r="A556" s="23" t="inlineStr">
        <is>
          <t>Commercial Package Register</t>
        </is>
      </c>
      <c r="B556" s="23" t="inlineStr">
        <is>
          <t>PKG-028</t>
        </is>
      </c>
      <c r="C556" s="23" t="inlineStr">
        <is>
          <t>Systems Integration - Lot 2</t>
        </is>
      </c>
      <c r="D556" s="23" t="inlineStr">
        <is>
          <t>Package Code = PK-308; WBS Code = 1.3</t>
        </is>
      </c>
      <c r="E556" s="23" t="inlineStr">
        <is>
          <t>R1590-v2</t>
        </is>
      </c>
      <c r="F556" s="23" t="inlineStr">
        <is>
          <t>1.3 Systems</t>
        </is>
      </c>
      <c r="G556" s="23" t="inlineStr">
        <is>
          <t>ONE_TO_ONE</t>
        </is>
      </c>
      <c r="H556" s="23" t="inlineStr">
        <is>
          <t>RETAINED</t>
        </is>
      </c>
      <c r="I556" s="23" t="inlineStr">
        <is>
          <t>Carried forward</t>
        </is>
      </c>
      <c r="J556" s="23" t="inlineStr">
        <is>
          <t>Source assignment -- not individually reviewed</t>
        </is>
      </c>
      <c r="K556" s="23" t="inlineStr"/>
      <c r="L556" s="23" t="inlineStr"/>
      <c r="M556" s="23" t="inlineStr"/>
      <c r="N556" s="14" t="inlineStr">
        <is>
          <t>10 EVIDENCE &amp; DECISIONS</t>
        </is>
      </c>
    </row>
    <row r="557" ht="34" customHeight="1">
      <c r="A557" s="23" t="inlineStr">
        <is>
          <t>Commercial Package Register</t>
        </is>
      </c>
      <c r="B557" s="23" t="inlineStr">
        <is>
          <t>PKG-029</t>
        </is>
      </c>
      <c r="C557" s="23" t="inlineStr">
        <is>
          <t>Traction Power - Lot 3</t>
        </is>
      </c>
      <c r="D557" s="23" t="inlineStr">
        <is>
          <t>Package Code = PK-309; WBS Code = 1.3</t>
        </is>
      </c>
      <c r="E557" s="23" t="inlineStr">
        <is>
          <t>R1591-v2</t>
        </is>
      </c>
      <c r="F557" s="23" t="inlineStr">
        <is>
          <t>1.3 Systems</t>
        </is>
      </c>
      <c r="G557" s="23" t="inlineStr">
        <is>
          <t>ONE_TO_ONE</t>
        </is>
      </c>
      <c r="H557" s="23" t="inlineStr">
        <is>
          <t>RETAINED</t>
        </is>
      </c>
      <c r="I557" s="23" t="inlineStr">
        <is>
          <t>Carried forward</t>
        </is>
      </c>
      <c r="J557" s="23" t="inlineStr">
        <is>
          <t>Source assignment -- not individually reviewed</t>
        </is>
      </c>
      <c r="K557" s="23" t="inlineStr"/>
      <c r="L557" s="23" t="inlineStr"/>
      <c r="M557" s="23" t="inlineStr"/>
      <c r="N557" s="14" t="inlineStr">
        <is>
          <t>10 EVIDENCE &amp; DECISIONS</t>
        </is>
      </c>
    </row>
    <row r="558" ht="34" customHeight="1">
      <c r="A558" s="23" t="inlineStr">
        <is>
          <t>Commercial Package Register</t>
        </is>
      </c>
      <c r="B558" s="23" t="inlineStr">
        <is>
          <t>PKG-030</t>
        </is>
      </c>
      <c r="C558" s="23" t="inlineStr">
        <is>
          <t>Signalling &amp; Train Control - Lot 3</t>
        </is>
      </c>
      <c r="D558" s="23" t="inlineStr">
        <is>
          <t>Package Code = PK-310; WBS Code = 1.3</t>
        </is>
      </c>
      <c r="E558" s="23" t="inlineStr">
        <is>
          <t>R1592-v2</t>
        </is>
      </c>
      <c r="F558" s="23" t="inlineStr">
        <is>
          <t>1.3 Systems</t>
        </is>
      </c>
      <c r="G558" s="23" t="inlineStr">
        <is>
          <t>ONE_TO_ONE</t>
        </is>
      </c>
      <c r="H558" s="23" t="inlineStr">
        <is>
          <t>RETAINED</t>
        </is>
      </c>
      <c r="I558" s="23" t="inlineStr">
        <is>
          <t>Carried forward</t>
        </is>
      </c>
      <c r="J558" s="23" t="inlineStr">
        <is>
          <t>Source assignment -- not individually reviewed</t>
        </is>
      </c>
      <c r="K558" s="23" t="inlineStr"/>
      <c r="L558" s="23" t="inlineStr"/>
      <c r="M558" s="23" t="inlineStr"/>
      <c r="N558" s="14" t="inlineStr">
        <is>
          <t>10 EVIDENCE &amp; DECISIONS</t>
        </is>
      </c>
    </row>
    <row r="559" ht="34" customHeight="1">
      <c r="A559" s="23" t="inlineStr">
        <is>
          <t>Contractor Programme</t>
        </is>
      </c>
      <c r="B559" s="23" t="inlineStr">
        <is>
          <t>SCH-03-001</t>
        </is>
      </c>
      <c r="C559" s="23" t="inlineStr">
        <is>
          <t>Harbour Station: wayside interface test - turnover</t>
        </is>
      </c>
      <c r="D559" s="23" t="inlineStr">
        <is>
          <t>WBS Code = 1.3.1</t>
        </is>
      </c>
      <c r="E559" s="23" t="inlineStr">
        <is>
          <t>R361-v2</t>
        </is>
      </c>
      <c r="F559" s="23" t="inlineStr">
        <is>
          <t>1.3.1 Systems - Traction Power</t>
        </is>
      </c>
      <c r="G559" s="23" t="inlineStr">
        <is>
          <t>ONE_TO_ONE</t>
        </is>
      </c>
      <c r="H559" s="23" t="inlineStr">
        <is>
          <t>RETAINED</t>
        </is>
      </c>
      <c r="I559" s="23" t="inlineStr">
        <is>
          <t>Carried forward</t>
        </is>
      </c>
      <c r="J559" s="23" t="inlineStr">
        <is>
          <t>Source assignment -- not individually reviewed</t>
        </is>
      </c>
      <c r="K559" s="23" t="inlineStr"/>
      <c r="L559" s="23" t="inlineStr"/>
      <c r="M559" s="23" t="inlineStr"/>
      <c r="N559" s="14" t="inlineStr">
        <is>
          <t>10 EVIDENCE &amp; DECISIONS</t>
        </is>
      </c>
    </row>
    <row r="560" ht="34" customHeight="1">
      <c r="A560" s="23" t="inlineStr">
        <is>
          <t>Contractor Programme</t>
        </is>
      </c>
      <c r="B560" s="23" t="inlineStr">
        <is>
          <t>SCH-03-002</t>
        </is>
      </c>
      <c r="C560" s="23" t="inlineStr">
        <is>
          <t>Control Centre: signal equipment installation - release</t>
        </is>
      </c>
      <c r="D560" s="23" t="inlineStr">
        <is>
          <t>WBS Code = 1.3.1</t>
        </is>
      </c>
      <c r="E560" s="23" t="inlineStr">
        <is>
          <t>R362-v2</t>
        </is>
      </c>
      <c r="F560" s="23" t="inlineStr">
        <is>
          <t>1.3.1 Systems - Traction Power</t>
        </is>
      </c>
      <c r="G560" s="23" t="inlineStr">
        <is>
          <t>ONE_TO_ONE</t>
        </is>
      </c>
      <c r="H560" s="23" t="inlineStr">
        <is>
          <t>RETAINED</t>
        </is>
      </c>
      <c r="I560" s="23" t="inlineStr">
        <is>
          <t>Carried forward</t>
        </is>
      </c>
      <c r="J560" s="23" t="inlineStr">
        <is>
          <t>Source assignment -- not individually reviewed</t>
        </is>
      </c>
      <c r="K560" s="23" t="inlineStr"/>
      <c r="L560" s="23" t="inlineStr"/>
      <c r="M560" s="23" t="inlineStr"/>
      <c r="N560" s="14" t="inlineStr">
        <is>
          <t>10 EVIDENCE &amp; DECISIONS</t>
        </is>
      </c>
    </row>
    <row r="561" ht="34" customHeight="1">
      <c r="A561" s="23" t="inlineStr">
        <is>
          <t>Contractor Programme</t>
        </is>
      </c>
      <c r="B561" s="23" t="inlineStr">
        <is>
          <t>SCH-03-004</t>
        </is>
      </c>
      <c r="C561" s="23" t="inlineStr">
        <is>
          <t>East substation: control-centre integration - installation</t>
        </is>
      </c>
      <c r="D561" s="23" t="inlineStr">
        <is>
          <t>WBS Code = 1.3.1</t>
        </is>
      </c>
      <c r="E561" s="23" t="inlineStr">
        <is>
          <t>R364-v2</t>
        </is>
      </c>
      <c r="F561" s="23" t="inlineStr">
        <is>
          <t>1.3.1 Systems - Traction Power</t>
        </is>
      </c>
      <c r="G561" s="23" t="inlineStr">
        <is>
          <t>ONE_TO_ONE</t>
        </is>
      </c>
      <c r="H561" s="23" t="inlineStr">
        <is>
          <t>RETAINED</t>
        </is>
      </c>
      <c r="I561" s="23" t="inlineStr">
        <is>
          <t>Carried forward</t>
        </is>
      </c>
      <c r="J561" s="23" t="inlineStr">
        <is>
          <t>Source assignment -- not individually reviewed</t>
        </is>
      </c>
      <c r="K561" s="23" t="inlineStr"/>
      <c r="L561" s="23" t="inlineStr"/>
      <c r="M561" s="23" t="inlineStr"/>
      <c r="N561" s="14" t="inlineStr">
        <is>
          <t>10 EVIDENCE &amp; DECISIONS</t>
        </is>
      </c>
    </row>
    <row r="562" ht="34" customHeight="1">
      <c r="A562" s="23" t="inlineStr">
        <is>
          <t>Contractor Programme</t>
        </is>
      </c>
      <c r="B562" s="23" t="inlineStr">
        <is>
          <t>SCH-03-005</t>
        </is>
      </c>
      <c r="C562" s="23" t="inlineStr">
        <is>
          <t>Central interlocking: fibre backbone termination - inspection</t>
        </is>
      </c>
      <c r="D562" s="23" t="inlineStr">
        <is>
          <t>WBS Code = 1.3.1</t>
        </is>
      </c>
      <c r="E562" s="23" t="inlineStr">
        <is>
          <t>R365-v2</t>
        </is>
      </c>
      <c r="F562" s="23" t="inlineStr">
        <is>
          <t>1.3.1 Systems - Traction Power</t>
        </is>
      </c>
      <c r="G562" s="23" t="inlineStr">
        <is>
          <t>ONE_TO_ONE</t>
        </is>
      </c>
      <c r="H562" s="23" t="inlineStr">
        <is>
          <t>RETAINED</t>
        </is>
      </c>
      <c r="I562" s="23" t="inlineStr">
        <is>
          <t>Carried forward</t>
        </is>
      </c>
      <c r="J562" s="23" t="inlineStr">
        <is>
          <t>Source assignment -- not individually reviewed</t>
        </is>
      </c>
      <c r="K562" s="23" t="inlineStr"/>
      <c r="L562" s="23" t="inlineStr"/>
      <c r="M562" s="23" t="inlineStr"/>
      <c r="N562" s="14" t="inlineStr">
        <is>
          <t>10 EVIDENCE &amp; DECISIONS</t>
        </is>
      </c>
    </row>
    <row r="563" ht="34" customHeight="1">
      <c r="A563" s="23" t="inlineStr">
        <is>
          <t>Contractor Programme</t>
        </is>
      </c>
      <c r="B563" s="23" t="inlineStr">
        <is>
          <t>SCH-03-008</t>
        </is>
      </c>
      <c r="C563" s="23" t="inlineStr">
        <is>
          <t>West wayside: train-control cabinet fit-out - field start</t>
        </is>
      </c>
      <c r="D563" s="23" t="inlineStr">
        <is>
          <t>WBS Code = 1.3.1</t>
        </is>
      </c>
      <c r="E563" s="23" t="inlineStr">
        <is>
          <t>R368-v2</t>
        </is>
      </c>
      <c r="F563" s="23" t="inlineStr">
        <is>
          <t>1.3.1 Systems - Traction Power</t>
        </is>
      </c>
      <c r="G563" s="23" t="inlineStr">
        <is>
          <t>ONE_TO_ONE</t>
        </is>
      </c>
      <c r="H563" s="23" t="inlineStr">
        <is>
          <t>RETAINED</t>
        </is>
      </c>
      <c r="I563" s="23" t="inlineStr">
        <is>
          <t>Carried forward</t>
        </is>
      </c>
      <c r="J563" s="23" t="inlineStr">
        <is>
          <t>Source assignment -- not individually reviewed</t>
        </is>
      </c>
      <c r="K563" s="23" t="inlineStr"/>
      <c r="L563" s="23" t="inlineStr"/>
      <c r="M563" s="23" t="inlineStr"/>
      <c r="N563" s="14" t="inlineStr">
        <is>
          <t>10 EVIDENCE &amp; DECISIONS</t>
        </is>
      </c>
    </row>
    <row r="564" ht="34" customHeight="1">
      <c r="A564" s="23" t="inlineStr">
        <is>
          <t>Contractor Programme</t>
        </is>
      </c>
      <c r="B564" s="23" t="inlineStr">
        <is>
          <t>SCH-03-010</t>
        </is>
      </c>
      <c r="C564" s="23" t="inlineStr">
        <is>
          <t>Central interlocking: signal equipment installation - inspection</t>
        </is>
      </c>
      <c r="D564" s="23" t="inlineStr">
        <is>
          <t>WBS Code = 1.3.1</t>
        </is>
      </c>
      <c r="E564" s="23" t="inlineStr">
        <is>
          <t>R370-v2</t>
        </is>
      </c>
      <c r="F564" s="23" t="inlineStr">
        <is>
          <t>1.3.1 Systems - Traction Power</t>
        </is>
      </c>
      <c r="G564" s="23" t="inlineStr">
        <is>
          <t>ONE_TO_ONE</t>
        </is>
      </c>
      <c r="H564" s="23" t="inlineStr">
        <is>
          <t>RETAINED</t>
        </is>
      </c>
      <c r="I564" s="23" t="inlineStr">
        <is>
          <t>Carried forward</t>
        </is>
      </c>
      <c r="J564" s="23" t="inlineStr">
        <is>
          <t>Source assignment -- not individually reviewed</t>
        </is>
      </c>
      <c r="K564" s="23" t="inlineStr"/>
      <c r="L564" s="23" t="inlineStr"/>
      <c r="M564" s="23" t="inlineStr"/>
      <c r="N564" s="14" t="inlineStr">
        <is>
          <t>10 EVIDENCE &amp; DECISIONS</t>
        </is>
      </c>
    </row>
    <row r="565" ht="34" customHeight="1">
      <c r="A565" s="23" t="inlineStr">
        <is>
          <t>Contractor Programme</t>
        </is>
      </c>
      <c r="B565" s="23" t="inlineStr">
        <is>
          <t>SCH-03-011</t>
        </is>
      </c>
      <c r="C565" s="23" t="inlineStr">
        <is>
          <t>Harbour Station: radio equipment installation - turnover</t>
        </is>
      </c>
      <c r="D565" s="23" t="inlineStr">
        <is>
          <t>WBS Code = 1.3.1</t>
        </is>
      </c>
      <c r="E565" s="23" t="inlineStr">
        <is>
          <t>R371-v2</t>
        </is>
      </c>
      <c r="F565" s="23" t="inlineStr">
        <is>
          <t>1.3.1 Systems - Traction Power</t>
        </is>
      </c>
      <c r="G565" s="23" t="inlineStr">
        <is>
          <t>ONE_TO_ONE</t>
        </is>
      </c>
      <c r="H565" s="23" t="inlineStr">
        <is>
          <t>RETAINED</t>
        </is>
      </c>
      <c r="I565" s="23" t="inlineStr">
        <is>
          <t>Carried forward</t>
        </is>
      </c>
      <c r="J565" s="23" t="inlineStr">
        <is>
          <t>Source assignment -- not individually reviewed</t>
        </is>
      </c>
      <c r="K565" s="23" t="inlineStr"/>
      <c r="L565" s="23" t="inlineStr"/>
      <c r="M565" s="23" t="inlineStr"/>
      <c r="N565" s="14" t="inlineStr">
        <is>
          <t>10 EVIDENCE &amp; DECISIONS</t>
        </is>
      </c>
    </row>
    <row r="566" ht="34" customHeight="1">
      <c r="A566" s="23" t="inlineStr">
        <is>
          <t>Contractor Programme</t>
        </is>
      </c>
      <c r="B566" s="23" t="inlineStr">
        <is>
          <t>SCH-03-013</t>
        </is>
      </c>
      <c r="C566" s="23" t="inlineStr">
        <is>
          <t>West wayside: fibre backbone termination - field start</t>
        </is>
      </c>
      <c r="D566" s="23" t="inlineStr">
        <is>
          <t>WBS Code = 1.3.1</t>
        </is>
      </c>
      <c r="E566" s="23" t="inlineStr">
        <is>
          <t>R373-v2</t>
        </is>
      </c>
      <c r="F566" s="23" t="inlineStr">
        <is>
          <t>1.3.1 Systems - Traction Power</t>
        </is>
      </c>
      <c r="G566" s="23" t="inlineStr">
        <is>
          <t>ONE_TO_ONE</t>
        </is>
      </c>
      <c r="H566" s="23" t="inlineStr">
        <is>
          <t>RETAINED</t>
        </is>
      </c>
      <c r="I566" s="23" t="inlineStr">
        <is>
          <t>Carried forward</t>
        </is>
      </c>
      <c r="J566" s="23" t="inlineStr">
        <is>
          <t>Source assignment -- not individually reviewed</t>
        </is>
      </c>
      <c r="K566" s="23" t="inlineStr"/>
      <c r="L566" s="23" t="inlineStr"/>
      <c r="M566" s="23" t="inlineStr"/>
      <c r="N566" s="14" t="inlineStr">
        <is>
          <t>10 EVIDENCE &amp; DECISIONS</t>
        </is>
      </c>
    </row>
    <row r="567" ht="34" customHeight="1">
      <c r="A567" s="23" t="inlineStr">
        <is>
          <t>Contractor Programme</t>
        </is>
      </c>
      <c r="B567" s="23" t="inlineStr">
        <is>
          <t>SCH-03-014</t>
        </is>
      </c>
      <c r="C567" s="23" t="inlineStr">
        <is>
          <t>East substation: SCADA point-to-point check - installation</t>
        </is>
      </c>
      <c r="D567" s="23" t="inlineStr">
        <is>
          <t>WBS Code = 1.3.1</t>
        </is>
      </c>
      <c r="E567" s="23" t="inlineStr">
        <is>
          <t>R374-v2</t>
        </is>
      </c>
      <c r="F567" s="23" t="inlineStr">
        <is>
          <t>1.3.1 Systems - Traction Power</t>
        </is>
      </c>
      <c r="G567" s="23" t="inlineStr">
        <is>
          <t>ONE_TO_ONE</t>
        </is>
      </c>
      <c r="H567" s="23" t="inlineStr">
        <is>
          <t>RETAINED</t>
        </is>
      </c>
      <c r="I567" s="23" t="inlineStr">
        <is>
          <t>Carried forward</t>
        </is>
      </c>
      <c r="J567" s="23" t="inlineStr">
        <is>
          <t>Source assignment -- not individually reviewed</t>
        </is>
      </c>
      <c r="K567" s="23" t="inlineStr"/>
      <c r="L567" s="23" t="inlineStr"/>
      <c r="M567" s="23" t="inlineStr"/>
      <c r="N567" s="14" t="inlineStr">
        <is>
          <t>10 EVIDENCE &amp; DECISIONS</t>
        </is>
      </c>
    </row>
    <row r="568" ht="34" customHeight="1">
      <c r="A568" s="23" t="inlineStr">
        <is>
          <t>Contractor Programme</t>
        </is>
      </c>
      <c r="B568" s="23" t="inlineStr">
        <is>
          <t>SCH-03-016</t>
        </is>
      </c>
      <c r="C568" s="23" t="inlineStr">
        <is>
          <t>Harbour Station: train-control cabinet fit-out - turnover</t>
        </is>
      </c>
      <c r="D568" s="23" t="inlineStr">
        <is>
          <t>WBS Code = 1.3.1</t>
        </is>
      </c>
      <c r="E568" s="23" t="inlineStr">
        <is>
          <t>R376-v2</t>
        </is>
      </c>
      <c r="F568" s="23" t="inlineStr">
        <is>
          <t>1.3.1 Systems - Traction Power</t>
        </is>
      </c>
      <c r="G568" s="23" t="inlineStr">
        <is>
          <t>ONE_TO_ONE</t>
        </is>
      </c>
      <c r="H568" s="23" t="inlineStr">
        <is>
          <t>RETAINED</t>
        </is>
      </c>
      <c r="I568" s="23" t="inlineStr">
        <is>
          <t>Carried forward</t>
        </is>
      </c>
      <c r="J568" s="23" t="inlineStr">
        <is>
          <t>Source assignment -- not individually reviewed</t>
        </is>
      </c>
      <c r="K568" s="23" t="inlineStr"/>
      <c r="L568" s="23" t="inlineStr"/>
      <c r="M568" s="23" t="inlineStr"/>
      <c r="N568" s="14" t="inlineStr">
        <is>
          <t>10 EVIDENCE &amp; DECISIONS</t>
        </is>
      </c>
    </row>
    <row r="569" ht="34" customHeight="1">
      <c r="A569" s="23" t="inlineStr">
        <is>
          <t>Contractor Programme</t>
        </is>
      </c>
      <c r="B569" s="23" t="inlineStr">
        <is>
          <t>SCH-03-017</t>
        </is>
      </c>
      <c r="C569" s="23" t="inlineStr">
        <is>
          <t>Control Centre: wayside interface test - release</t>
        </is>
      </c>
      <c r="D569" s="23" t="inlineStr">
        <is>
          <t>WBS Code = 1.3.1</t>
        </is>
      </c>
      <c r="E569" s="23" t="inlineStr">
        <is>
          <t>R377-v2</t>
        </is>
      </c>
      <c r="F569" s="23" t="inlineStr">
        <is>
          <t>1.3.1 Systems - Traction Power</t>
        </is>
      </c>
      <c r="G569" s="23" t="inlineStr">
        <is>
          <t>ONE_TO_ONE</t>
        </is>
      </c>
      <c r="H569" s="23" t="inlineStr">
        <is>
          <t>RETAINED</t>
        </is>
      </c>
      <c r="I569" s="23" t="inlineStr">
        <is>
          <t>Carried forward</t>
        </is>
      </c>
      <c r="J569" s="23" t="inlineStr">
        <is>
          <t>Source assignment -- not individually reviewed</t>
        </is>
      </c>
      <c r="K569" s="23" t="inlineStr"/>
      <c r="L569" s="23" t="inlineStr"/>
      <c r="M569" s="23" t="inlineStr"/>
      <c r="N569" s="14" t="inlineStr">
        <is>
          <t>10 EVIDENCE &amp; DECISIONS</t>
        </is>
      </c>
    </row>
    <row r="570" ht="34" customHeight="1">
      <c r="A570" s="23" t="inlineStr">
        <is>
          <t>Contractor Programme</t>
        </is>
      </c>
      <c r="B570" s="23" t="inlineStr">
        <is>
          <t>SCH-03-019</t>
        </is>
      </c>
      <c r="C570" s="23" t="inlineStr">
        <is>
          <t>East substation: radio equipment installation - installation</t>
        </is>
      </c>
      <c r="D570" s="23" t="inlineStr">
        <is>
          <t>WBS Code = 1.3.1</t>
        </is>
      </c>
      <c r="E570" s="23" t="inlineStr">
        <is>
          <t>R379-v2</t>
        </is>
      </c>
      <c r="F570" s="23" t="inlineStr">
        <is>
          <t>1.3.1 Systems - Traction Power</t>
        </is>
      </c>
      <c r="G570" s="23" t="inlineStr">
        <is>
          <t>ONE_TO_ONE</t>
        </is>
      </c>
      <c r="H570" s="23" t="inlineStr">
        <is>
          <t>RETAINED</t>
        </is>
      </c>
      <c r="I570" s="23" t="inlineStr">
        <is>
          <t>Carried forward</t>
        </is>
      </c>
      <c r="J570" s="23" t="inlineStr">
        <is>
          <t>Source assignment -- not individually reviewed</t>
        </is>
      </c>
      <c r="K570" s="23" t="inlineStr"/>
      <c r="L570" s="23" t="inlineStr"/>
      <c r="M570" s="23" t="inlineStr"/>
      <c r="N570" s="14" t="inlineStr">
        <is>
          <t>10 EVIDENCE &amp; DECISIONS</t>
        </is>
      </c>
    </row>
    <row r="571" ht="34" customHeight="1">
      <c r="A571" s="23" t="inlineStr">
        <is>
          <t>Contractor Programme</t>
        </is>
      </c>
      <c r="B571" s="23" t="inlineStr">
        <is>
          <t>SCH-03-020</t>
        </is>
      </c>
      <c r="C571" s="23" t="inlineStr">
        <is>
          <t>Central interlocking: control-centre integration - inspection</t>
        </is>
      </c>
      <c r="D571" s="23" t="inlineStr">
        <is>
          <t>WBS Code = 1.3.1</t>
        </is>
      </c>
      <c r="E571" s="23" t="inlineStr">
        <is>
          <t>R380-v2</t>
        </is>
      </c>
      <c r="F571" s="23" t="inlineStr">
        <is>
          <t>1.3.1 Systems - Traction Power</t>
        </is>
      </c>
      <c r="G571" s="23" t="inlineStr">
        <is>
          <t>ONE_TO_ONE</t>
        </is>
      </c>
      <c r="H571" s="23" t="inlineStr">
        <is>
          <t>RETAINED</t>
        </is>
      </c>
      <c r="I571" s="23" t="inlineStr">
        <is>
          <t>Carried forward</t>
        </is>
      </c>
      <c r="J571" s="23" t="inlineStr">
        <is>
          <t>Source assignment -- not individually reviewed</t>
        </is>
      </c>
      <c r="K571" s="23" t="inlineStr"/>
      <c r="L571" s="23" t="inlineStr"/>
      <c r="M571" s="23" t="inlineStr"/>
      <c r="N571" s="14" t="inlineStr">
        <is>
          <t>10 EVIDENCE &amp; DECISIONS</t>
        </is>
      </c>
    </row>
    <row r="572" ht="34" customHeight="1">
      <c r="A572" s="23" t="inlineStr">
        <is>
          <t>Contractor Programme</t>
        </is>
      </c>
      <c r="B572" s="23" t="inlineStr">
        <is>
          <t>SCH-03-022</t>
        </is>
      </c>
      <c r="C572" s="23" t="inlineStr">
        <is>
          <t>Control Centre: SCADA point-to-point check - release</t>
        </is>
      </c>
      <c r="D572" s="23" t="inlineStr">
        <is>
          <t>WBS Code = 1.3.1</t>
        </is>
      </c>
      <c r="E572" s="23" t="inlineStr">
        <is>
          <t>R382-v2</t>
        </is>
      </c>
      <c r="F572" s="23" t="inlineStr">
        <is>
          <t>1.3.1 Systems - Traction Power</t>
        </is>
      </c>
      <c r="G572" s="23" t="inlineStr">
        <is>
          <t>ONE_TO_ONE</t>
        </is>
      </c>
      <c r="H572" s="23" t="inlineStr">
        <is>
          <t>RETAINED</t>
        </is>
      </c>
      <c r="I572" s="23" t="inlineStr">
        <is>
          <t>Carried forward</t>
        </is>
      </c>
      <c r="J572" s="23" t="inlineStr">
        <is>
          <t>Source assignment -- not individually reviewed</t>
        </is>
      </c>
      <c r="K572" s="23" t="inlineStr"/>
      <c r="L572" s="23" t="inlineStr"/>
      <c r="M572" s="23" t="inlineStr"/>
      <c r="N572" s="14" t="inlineStr">
        <is>
          <t>10 EVIDENCE &amp; DECISIONS</t>
        </is>
      </c>
    </row>
    <row r="573" ht="34" customHeight="1">
      <c r="A573" s="23" t="inlineStr">
        <is>
          <t>Contractor Programme</t>
        </is>
      </c>
      <c r="B573" s="23" t="inlineStr">
        <is>
          <t>SCH-03-023</t>
        </is>
      </c>
      <c r="C573" s="23" t="inlineStr">
        <is>
          <t>West wayside: traction-power feeder pull - field start</t>
        </is>
      </c>
      <c r="D573" s="23" t="inlineStr">
        <is>
          <t>WBS Code = 1.3.1</t>
        </is>
      </c>
      <c r="E573" s="23" t="inlineStr">
        <is>
          <t>R383-v2</t>
        </is>
      </c>
      <c r="F573" s="23" t="inlineStr">
        <is>
          <t>1.3.1 Systems - Traction Power</t>
        </is>
      </c>
      <c r="G573" s="23" t="inlineStr">
        <is>
          <t>ONE_TO_ONE</t>
        </is>
      </c>
      <c r="H573" s="23" t="inlineStr">
        <is>
          <t>RETAINED</t>
        </is>
      </c>
      <c r="I573" s="23" t="inlineStr">
        <is>
          <t>Carried forward</t>
        </is>
      </c>
      <c r="J573" s="23" t="inlineStr">
        <is>
          <t>Source assignment -- not individually reviewed</t>
        </is>
      </c>
      <c r="K573" s="23" t="inlineStr"/>
      <c r="L573" s="23" t="inlineStr"/>
      <c r="M573" s="23" t="inlineStr"/>
      <c r="N573" s="14" t="inlineStr">
        <is>
          <t>10 EVIDENCE &amp; DECISIONS</t>
        </is>
      </c>
    </row>
    <row r="574" ht="34" customHeight="1">
      <c r="A574" s="23" t="inlineStr">
        <is>
          <t>Contractor Programme</t>
        </is>
      </c>
      <c r="B574" s="23" t="inlineStr">
        <is>
          <t>SCH-03-025</t>
        </is>
      </c>
      <c r="C574" s="23" t="inlineStr">
        <is>
          <t>Central interlocking: wayside interface test - inspection</t>
        </is>
      </c>
      <c r="D574" s="23" t="inlineStr">
        <is>
          <t>WBS Code = 1.3.1</t>
        </is>
      </c>
      <c r="E574" s="23" t="inlineStr">
        <is>
          <t>R385-v2</t>
        </is>
      </c>
      <c r="F574" s="23" t="inlineStr">
        <is>
          <t>1.3.1 Systems - Traction Power</t>
        </is>
      </c>
      <c r="G574" s="23" t="inlineStr">
        <is>
          <t>ONE_TO_ONE</t>
        </is>
      </c>
      <c r="H574" s="23" t="inlineStr">
        <is>
          <t>RETAINED</t>
        </is>
      </c>
      <c r="I574" s="23" t="inlineStr">
        <is>
          <t>Carried forward</t>
        </is>
      </c>
      <c r="J574" s="23" t="inlineStr">
        <is>
          <t>Source assignment -- not individually reviewed</t>
        </is>
      </c>
      <c r="K574" s="23" t="inlineStr"/>
      <c r="L574" s="23" t="inlineStr"/>
      <c r="M574" s="23" t="inlineStr"/>
      <c r="N574" s="14" t="inlineStr">
        <is>
          <t>10 EVIDENCE &amp; DECISIONS</t>
        </is>
      </c>
    </row>
    <row r="575" ht="34" customHeight="1">
      <c r="A575" s="23" t="inlineStr">
        <is>
          <t>Contractor Programme</t>
        </is>
      </c>
      <c r="B575" s="23" t="inlineStr">
        <is>
          <t>SCH-03-026</t>
        </is>
      </c>
      <c r="C575" s="23" t="inlineStr">
        <is>
          <t>Harbour Station: signal equipment installation - turnover</t>
        </is>
      </c>
      <c r="D575" s="23" t="inlineStr">
        <is>
          <t>WBS Code = 1.3.1</t>
        </is>
      </c>
      <c r="E575" s="23" t="inlineStr">
        <is>
          <t>R386-v2</t>
        </is>
      </c>
      <c r="F575" s="23" t="inlineStr">
        <is>
          <t>1.3.1 Systems - Traction Power</t>
        </is>
      </c>
      <c r="G575" s="23" t="inlineStr">
        <is>
          <t>ONE_TO_ONE</t>
        </is>
      </c>
      <c r="H575" s="23" t="inlineStr">
        <is>
          <t>RETAINED</t>
        </is>
      </c>
      <c r="I575" s="23" t="inlineStr">
        <is>
          <t>Carried forward</t>
        </is>
      </c>
      <c r="J575" s="23" t="inlineStr">
        <is>
          <t>Source assignment -- not individually reviewed</t>
        </is>
      </c>
      <c r="K575" s="23" t="inlineStr"/>
      <c r="L575" s="23" t="inlineStr"/>
      <c r="M575" s="23" t="inlineStr"/>
      <c r="N575" s="14" t="inlineStr">
        <is>
          <t>10 EVIDENCE &amp; DECISIONS</t>
        </is>
      </c>
    </row>
    <row r="576" ht="34" customHeight="1">
      <c r="A576" s="23" t="inlineStr">
        <is>
          <t>Contractor Programme</t>
        </is>
      </c>
      <c r="B576" s="23" t="inlineStr">
        <is>
          <t>SCH-03-028</t>
        </is>
      </c>
      <c r="C576" s="23" t="inlineStr">
        <is>
          <t>West wayside: control-centre integration - field start</t>
        </is>
      </c>
      <c r="D576" s="23" t="inlineStr">
        <is>
          <t>WBS Code = 1.3.1</t>
        </is>
      </c>
      <c r="E576" s="23" t="inlineStr">
        <is>
          <t>R388-v2</t>
        </is>
      </c>
      <c r="F576" s="23" t="inlineStr">
        <is>
          <t>1.3.1 Systems - Traction Power</t>
        </is>
      </c>
      <c r="G576" s="23" t="inlineStr">
        <is>
          <t>ONE_TO_ONE</t>
        </is>
      </c>
      <c r="H576" s="23" t="inlineStr">
        <is>
          <t>RETAINED</t>
        </is>
      </c>
      <c r="I576" s="23" t="inlineStr">
        <is>
          <t>Carried forward</t>
        </is>
      </c>
      <c r="J576" s="23" t="inlineStr">
        <is>
          <t>Source assignment -- not individually reviewed</t>
        </is>
      </c>
      <c r="K576" s="23" t="inlineStr"/>
      <c r="L576" s="23" t="inlineStr"/>
      <c r="M576" s="23" t="inlineStr"/>
      <c r="N576" s="14" t="inlineStr">
        <is>
          <t>10 EVIDENCE &amp; DECISIONS</t>
        </is>
      </c>
    </row>
    <row r="577" ht="34" customHeight="1">
      <c r="A577" s="23" t="inlineStr">
        <is>
          <t>Contractor Programme</t>
        </is>
      </c>
      <c r="B577" s="23" t="inlineStr">
        <is>
          <t>SCH-03-029</t>
        </is>
      </c>
      <c r="C577" s="23" t="inlineStr">
        <is>
          <t>East substation: fibre backbone termination - installation</t>
        </is>
      </c>
      <c r="D577" s="23" t="inlineStr">
        <is>
          <t>WBS Code = 1.3.1</t>
        </is>
      </c>
      <c r="E577" s="23" t="inlineStr">
        <is>
          <t>R389-v2</t>
        </is>
      </c>
      <c r="F577" s="23" t="inlineStr">
        <is>
          <t>1.3.1 Systems - Traction Power</t>
        </is>
      </c>
      <c r="G577" s="23" t="inlineStr">
        <is>
          <t>ONE_TO_ONE</t>
        </is>
      </c>
      <c r="H577" s="23" t="inlineStr">
        <is>
          <t>RETAINED</t>
        </is>
      </c>
      <c r="I577" s="23" t="inlineStr">
        <is>
          <t>Carried forward</t>
        </is>
      </c>
      <c r="J577" s="23" t="inlineStr">
        <is>
          <t>Source assignment -- not individually reviewed</t>
        </is>
      </c>
      <c r="K577" s="23" t="inlineStr"/>
      <c r="L577" s="23" t="inlineStr"/>
      <c r="M577" s="23" t="inlineStr"/>
      <c r="N577" s="14" t="inlineStr">
        <is>
          <t>10 EVIDENCE &amp; DECISIONS</t>
        </is>
      </c>
    </row>
    <row r="578" ht="34" customHeight="1">
      <c r="A578" s="23" t="inlineStr">
        <is>
          <t>Contractor Programme</t>
        </is>
      </c>
      <c r="B578" s="23" t="inlineStr">
        <is>
          <t>SCH-03-031</t>
        </is>
      </c>
      <c r="C578" s="23" t="inlineStr">
        <is>
          <t>Harbour Station: traction-power feeder pull - turnover</t>
        </is>
      </c>
      <c r="D578" s="23" t="inlineStr">
        <is>
          <t>WBS Code = 1.3.1</t>
        </is>
      </c>
      <c r="E578" s="23" t="inlineStr">
        <is>
          <t>R391-v2</t>
        </is>
      </c>
      <c r="F578" s="23" t="inlineStr">
        <is>
          <t>1.3.1 Systems - Traction Power</t>
        </is>
      </c>
      <c r="G578" s="23" t="inlineStr">
        <is>
          <t>ONE_TO_ONE</t>
        </is>
      </c>
      <c r="H578" s="23" t="inlineStr">
        <is>
          <t>RETAINED</t>
        </is>
      </c>
      <c r="I578" s="23" t="inlineStr">
        <is>
          <t>Carried forward</t>
        </is>
      </c>
      <c r="J578" s="23" t="inlineStr">
        <is>
          <t>Source assignment -- not individually reviewed</t>
        </is>
      </c>
      <c r="K578" s="23" t="inlineStr"/>
      <c r="L578" s="23" t="inlineStr"/>
      <c r="M578" s="23" t="inlineStr"/>
      <c r="N578" s="14" t="inlineStr">
        <is>
          <t>10 EVIDENCE &amp; DECISIONS</t>
        </is>
      </c>
    </row>
    <row r="579" ht="34" customHeight="1">
      <c r="A579" s="23" t="inlineStr">
        <is>
          <t>Contractor Programme</t>
        </is>
      </c>
      <c r="B579" s="23" t="inlineStr">
        <is>
          <t>SCH-03-032</t>
        </is>
      </c>
      <c r="C579" s="23" t="inlineStr">
        <is>
          <t>Control Centre: train-control cabinet fit-out - release</t>
        </is>
      </c>
      <c r="D579" s="23" t="inlineStr">
        <is>
          <t>WBS Code = 1.3.1</t>
        </is>
      </c>
      <c r="E579" s="23" t="inlineStr">
        <is>
          <t>R392-v2</t>
        </is>
      </c>
      <c r="F579" s="23" t="inlineStr">
        <is>
          <t>1.3.1 Systems - Traction Power</t>
        </is>
      </c>
      <c r="G579" s="23" t="inlineStr">
        <is>
          <t>ONE_TO_ONE</t>
        </is>
      </c>
      <c r="H579" s="23" t="inlineStr">
        <is>
          <t>RETAINED</t>
        </is>
      </c>
      <c r="I579" s="23" t="inlineStr">
        <is>
          <t>Carried forward</t>
        </is>
      </c>
      <c r="J579" s="23" t="inlineStr">
        <is>
          <t>Source assignment -- not individually reviewed</t>
        </is>
      </c>
      <c r="K579" s="23" t="inlineStr"/>
      <c r="L579" s="23" t="inlineStr"/>
      <c r="M579" s="23" t="inlineStr"/>
      <c r="N579" s="14" t="inlineStr">
        <is>
          <t>10 EVIDENCE &amp; DECISIONS</t>
        </is>
      </c>
    </row>
    <row r="580" ht="34" customHeight="1">
      <c r="A580" s="23" t="inlineStr">
        <is>
          <t>Contractor Programme</t>
        </is>
      </c>
      <c r="B580" s="23" t="inlineStr">
        <is>
          <t>SCH-03-034</t>
        </is>
      </c>
      <c r="C580" s="23" t="inlineStr">
        <is>
          <t>East substation: signal equipment installation - installation</t>
        </is>
      </c>
      <c r="D580" s="23" t="inlineStr">
        <is>
          <t>WBS Code = 1.3.1</t>
        </is>
      </c>
      <c r="E580" s="23" t="inlineStr">
        <is>
          <t>R394-v2</t>
        </is>
      </c>
      <c r="F580" s="23" t="inlineStr">
        <is>
          <t>1.3.1 Systems - Traction Power</t>
        </is>
      </c>
      <c r="G580" s="23" t="inlineStr">
        <is>
          <t>ONE_TO_ONE</t>
        </is>
      </c>
      <c r="H580" s="23" t="inlineStr">
        <is>
          <t>RETAINED</t>
        </is>
      </c>
      <c r="I580" s="23" t="inlineStr">
        <is>
          <t>Carried forward</t>
        </is>
      </c>
      <c r="J580" s="23" t="inlineStr">
        <is>
          <t>Source assignment -- not individually reviewed</t>
        </is>
      </c>
      <c r="K580" s="23" t="inlineStr"/>
      <c r="L580" s="23" t="inlineStr"/>
      <c r="M580" s="23" t="inlineStr"/>
      <c r="N580" s="14" t="inlineStr">
        <is>
          <t>10 EVIDENCE &amp; DECISIONS</t>
        </is>
      </c>
    </row>
    <row r="581" ht="34" customHeight="1">
      <c r="A581" s="23" t="inlineStr">
        <is>
          <t>Contractor Programme</t>
        </is>
      </c>
      <c r="B581" s="23" t="inlineStr">
        <is>
          <t>SCH-03-035</t>
        </is>
      </c>
      <c r="C581" s="23" t="inlineStr">
        <is>
          <t>Central interlocking: radio equipment installation - inspection</t>
        </is>
      </c>
      <c r="D581" s="23" t="inlineStr">
        <is>
          <t>WBS Code = 1.3.1</t>
        </is>
      </c>
      <c r="E581" s="23" t="inlineStr">
        <is>
          <t>R395-v2</t>
        </is>
      </c>
      <c r="F581" s="23" t="inlineStr">
        <is>
          <t>1.3.1 Systems - Traction Power</t>
        </is>
      </c>
      <c r="G581" s="23" t="inlineStr">
        <is>
          <t>ONE_TO_ONE</t>
        </is>
      </c>
      <c r="H581" s="23" t="inlineStr">
        <is>
          <t>RETAINED</t>
        </is>
      </c>
      <c r="I581" s="23" t="inlineStr">
        <is>
          <t>Carried forward</t>
        </is>
      </c>
      <c r="J581" s="23" t="inlineStr">
        <is>
          <t>Source assignment -- not individually reviewed</t>
        </is>
      </c>
      <c r="K581" s="23" t="inlineStr"/>
      <c r="L581" s="23" t="inlineStr"/>
      <c r="M581" s="23" t="inlineStr"/>
      <c r="N581" s="14" t="inlineStr">
        <is>
          <t>10 EVIDENCE &amp; DECISIONS</t>
        </is>
      </c>
    </row>
    <row r="582" ht="34" customHeight="1">
      <c r="A582" s="23" t="inlineStr">
        <is>
          <t>Contractor Programme</t>
        </is>
      </c>
      <c r="B582" s="23" t="inlineStr">
        <is>
          <t>SCH-03-037</t>
        </is>
      </c>
      <c r="C582" s="23" t="inlineStr">
        <is>
          <t>Control Centre: fibre backbone termination - release</t>
        </is>
      </c>
      <c r="D582" s="23" t="inlineStr">
        <is>
          <t>WBS Code = 1.3.1</t>
        </is>
      </c>
      <c r="E582" s="23" t="inlineStr">
        <is>
          <t>R397-v2</t>
        </is>
      </c>
      <c r="F582" s="23" t="inlineStr">
        <is>
          <t>1.3.1 Systems - Traction Power</t>
        </is>
      </c>
      <c r="G582" s="23" t="inlineStr">
        <is>
          <t>ONE_TO_ONE</t>
        </is>
      </c>
      <c r="H582" s="23" t="inlineStr">
        <is>
          <t>RETAINED</t>
        </is>
      </c>
      <c r="I582" s="23" t="inlineStr">
        <is>
          <t>Carried forward</t>
        </is>
      </c>
      <c r="J582" s="23" t="inlineStr">
        <is>
          <t>Source assignment -- not individually reviewed</t>
        </is>
      </c>
      <c r="K582" s="23" t="inlineStr"/>
      <c r="L582" s="23" t="inlineStr"/>
      <c r="M582" s="23" t="inlineStr"/>
      <c r="N582" s="14" t="inlineStr">
        <is>
          <t>10 EVIDENCE &amp; DECISIONS</t>
        </is>
      </c>
    </row>
    <row r="583" ht="34" customHeight="1">
      <c r="A583" s="23" t="inlineStr">
        <is>
          <t>Contractor Programme</t>
        </is>
      </c>
      <c r="B583" s="23" t="inlineStr">
        <is>
          <t>SCH-03-038</t>
        </is>
      </c>
      <c r="C583" s="23" t="inlineStr">
        <is>
          <t>West wayside: SCADA point-to-point check - field start</t>
        </is>
      </c>
      <c r="D583" s="23" t="inlineStr">
        <is>
          <t>WBS Code = 1.3.1</t>
        </is>
      </c>
      <c r="E583" s="23" t="inlineStr">
        <is>
          <t>R398-v2</t>
        </is>
      </c>
      <c r="F583" s="23" t="inlineStr">
        <is>
          <t>1.3.1 Systems - Traction Power</t>
        </is>
      </c>
      <c r="G583" s="23" t="inlineStr">
        <is>
          <t>ONE_TO_ONE</t>
        </is>
      </c>
      <c r="H583" s="23" t="inlineStr">
        <is>
          <t>RETAINED</t>
        </is>
      </c>
      <c r="I583" s="23" t="inlineStr">
        <is>
          <t>Carried forward</t>
        </is>
      </c>
      <c r="J583" s="23" t="inlineStr">
        <is>
          <t>Source assignment -- not individually reviewed</t>
        </is>
      </c>
      <c r="K583" s="23" t="inlineStr"/>
      <c r="L583" s="23" t="inlineStr"/>
      <c r="M583" s="23" t="inlineStr"/>
      <c r="N583" s="14" t="inlineStr">
        <is>
          <t>10 EVIDENCE &amp; DECISIONS</t>
        </is>
      </c>
    </row>
    <row r="584" ht="34" customHeight="1">
      <c r="A584" s="23" t="inlineStr">
        <is>
          <t>Contractor Programme</t>
        </is>
      </c>
      <c r="B584" s="23" t="inlineStr">
        <is>
          <t>SCH-03-040</t>
        </is>
      </c>
      <c r="C584" s="23" t="inlineStr">
        <is>
          <t>Central interlocking: train-control cabinet fit-out - inspection</t>
        </is>
      </c>
      <c r="D584" s="23" t="inlineStr">
        <is>
          <t>WBS Code = 1.3.1</t>
        </is>
      </c>
      <c r="E584" s="23" t="inlineStr">
        <is>
          <t>R400-v2</t>
        </is>
      </c>
      <c r="F584" s="23" t="inlineStr">
        <is>
          <t>1.3.1 Systems - Traction Power</t>
        </is>
      </c>
      <c r="G584" s="23" t="inlineStr">
        <is>
          <t>ONE_TO_ONE</t>
        </is>
      </c>
      <c r="H584" s="23" t="inlineStr">
        <is>
          <t>RETAINED</t>
        </is>
      </c>
      <c r="I584" s="23" t="inlineStr">
        <is>
          <t>Carried forward</t>
        </is>
      </c>
      <c r="J584" s="23" t="inlineStr">
        <is>
          <t>Source assignment -- not individually reviewed</t>
        </is>
      </c>
      <c r="K584" s="23" t="inlineStr"/>
      <c r="L584" s="23" t="inlineStr"/>
      <c r="M584" s="23" t="inlineStr"/>
      <c r="N584" s="14" t="inlineStr">
        <is>
          <t>10 EVIDENCE &amp; DECISIONS</t>
        </is>
      </c>
    </row>
    <row r="585" ht="34" customHeight="1">
      <c r="A585" s="23" t="inlineStr">
        <is>
          <t>Contractor Programme</t>
        </is>
      </c>
      <c r="B585" s="23" t="inlineStr">
        <is>
          <t>SCH-03-041</t>
        </is>
      </c>
      <c r="C585" s="23" t="inlineStr">
        <is>
          <t>Harbour Station: wayside interface test - turnover</t>
        </is>
      </c>
      <c r="D585" s="23" t="inlineStr">
        <is>
          <t>WBS Code = 1.3.1</t>
        </is>
      </c>
      <c r="E585" s="23" t="inlineStr">
        <is>
          <t>R401-v2</t>
        </is>
      </c>
      <c r="F585" s="23" t="inlineStr">
        <is>
          <t>1.3.1 Systems - Traction Power</t>
        </is>
      </c>
      <c r="G585" s="23" t="inlineStr">
        <is>
          <t>ONE_TO_ONE</t>
        </is>
      </c>
      <c r="H585" s="23" t="inlineStr">
        <is>
          <t>RETAINED</t>
        </is>
      </c>
      <c r="I585" s="23" t="inlineStr">
        <is>
          <t>Carried forward</t>
        </is>
      </c>
      <c r="J585" s="23" t="inlineStr">
        <is>
          <t>Source assignment -- not individually reviewed</t>
        </is>
      </c>
      <c r="K585" s="23" t="inlineStr"/>
      <c r="L585" s="23" t="inlineStr"/>
      <c r="M585" s="23" t="inlineStr"/>
      <c r="N585" s="14" t="inlineStr">
        <is>
          <t>10 EVIDENCE &amp; DECISIONS</t>
        </is>
      </c>
    </row>
    <row r="586" ht="34" customHeight="1">
      <c r="A586" s="23" t="inlineStr">
        <is>
          <t>Contractor Programme</t>
        </is>
      </c>
      <c r="B586" s="23" t="inlineStr">
        <is>
          <t>SCH-03-043</t>
        </is>
      </c>
      <c r="C586" s="23" t="inlineStr">
        <is>
          <t>West wayside: radio equipment installation - field start</t>
        </is>
      </c>
      <c r="D586" s="23" t="inlineStr">
        <is>
          <t>WBS Code = 1.3.1</t>
        </is>
      </c>
      <c r="E586" s="23" t="inlineStr">
        <is>
          <t>R403-v2</t>
        </is>
      </c>
      <c r="F586" s="23" t="inlineStr">
        <is>
          <t>1.3.1 Systems - Traction Power</t>
        </is>
      </c>
      <c r="G586" s="23" t="inlineStr">
        <is>
          <t>ONE_TO_ONE</t>
        </is>
      </c>
      <c r="H586" s="23" t="inlineStr">
        <is>
          <t>RETAINED</t>
        </is>
      </c>
      <c r="I586" s="23" t="inlineStr">
        <is>
          <t>Carried forward</t>
        </is>
      </c>
      <c r="J586" s="23" t="inlineStr">
        <is>
          <t>Source assignment -- not individually reviewed</t>
        </is>
      </c>
      <c r="K586" s="23" t="inlineStr"/>
      <c r="L586" s="23" t="inlineStr"/>
      <c r="M586" s="23" t="inlineStr"/>
      <c r="N586" s="14" t="inlineStr">
        <is>
          <t>10 EVIDENCE &amp; DECISIONS</t>
        </is>
      </c>
    </row>
    <row r="587" ht="34" customHeight="1">
      <c r="A587" s="23" t="inlineStr">
        <is>
          <t>Contractor Programme</t>
        </is>
      </c>
      <c r="B587" s="23" t="inlineStr">
        <is>
          <t>SCH-03-044</t>
        </is>
      </c>
      <c r="C587" s="23" t="inlineStr">
        <is>
          <t>East substation: control-centre integration - installation</t>
        </is>
      </c>
      <c r="D587" s="23" t="inlineStr">
        <is>
          <t>WBS Code = 1.3.1</t>
        </is>
      </c>
      <c r="E587" s="23" t="inlineStr">
        <is>
          <t>R404-v2</t>
        </is>
      </c>
      <c r="F587" s="23" t="inlineStr">
        <is>
          <t>1.3.1 Systems - Traction Power</t>
        </is>
      </c>
      <c r="G587" s="23" t="inlineStr">
        <is>
          <t>ONE_TO_ONE</t>
        </is>
      </c>
      <c r="H587" s="23" t="inlineStr">
        <is>
          <t>RETAINED</t>
        </is>
      </c>
      <c r="I587" s="23" t="inlineStr">
        <is>
          <t>Carried forward</t>
        </is>
      </c>
      <c r="J587" s="23" t="inlineStr">
        <is>
          <t>Source assignment -- not individually reviewed</t>
        </is>
      </c>
      <c r="K587" s="23" t="inlineStr"/>
      <c r="L587" s="23" t="inlineStr"/>
      <c r="M587" s="23" t="inlineStr"/>
      <c r="N587" s="14" t="inlineStr">
        <is>
          <t>10 EVIDENCE &amp; DECISIONS</t>
        </is>
      </c>
    </row>
    <row r="588" ht="34" customHeight="1">
      <c r="A588" s="23" t="inlineStr">
        <is>
          <t>Contractor Programme</t>
        </is>
      </c>
      <c r="B588" s="23" t="inlineStr">
        <is>
          <t>SCH-03-046</t>
        </is>
      </c>
      <c r="C588" s="23" t="inlineStr">
        <is>
          <t>Harbour Station: SCADA point-to-point check - turnover</t>
        </is>
      </c>
      <c r="D588" s="23" t="inlineStr">
        <is>
          <t>WBS Code = 1.3.1</t>
        </is>
      </c>
      <c r="E588" s="23" t="inlineStr">
        <is>
          <t>R406-v2</t>
        </is>
      </c>
      <c r="F588" s="23" t="inlineStr">
        <is>
          <t>1.3.1 Systems - Traction Power</t>
        </is>
      </c>
      <c r="G588" s="23" t="inlineStr">
        <is>
          <t>ONE_TO_ONE</t>
        </is>
      </c>
      <c r="H588" s="23" t="inlineStr">
        <is>
          <t>RETAINED</t>
        </is>
      </c>
      <c r="I588" s="23" t="inlineStr">
        <is>
          <t>Carried forward</t>
        </is>
      </c>
      <c r="J588" s="23" t="inlineStr">
        <is>
          <t>Source assignment -- not individually reviewed</t>
        </is>
      </c>
      <c r="K588" s="23" t="inlineStr"/>
      <c r="L588" s="23" t="inlineStr"/>
      <c r="M588" s="23" t="inlineStr"/>
      <c r="N588" s="14" t="inlineStr">
        <is>
          <t>10 EVIDENCE &amp; DECISIONS</t>
        </is>
      </c>
    </row>
    <row r="589" ht="34" customHeight="1">
      <c r="A589" s="23" t="inlineStr">
        <is>
          <t>Contractor Programme</t>
        </is>
      </c>
      <c r="B589" s="23" t="inlineStr">
        <is>
          <t>SCH-03-047</t>
        </is>
      </c>
      <c r="C589" s="23" t="inlineStr">
        <is>
          <t>Control Centre: traction-power feeder pull - release</t>
        </is>
      </c>
      <c r="D589" s="23" t="inlineStr">
        <is>
          <t>WBS Code = 1.3.1</t>
        </is>
      </c>
      <c r="E589" s="23" t="inlineStr">
        <is>
          <t>R407-v2</t>
        </is>
      </c>
      <c r="F589" s="23" t="inlineStr">
        <is>
          <t>1.3.1 Systems - Traction Power</t>
        </is>
      </c>
      <c r="G589" s="23" t="inlineStr">
        <is>
          <t>ONE_TO_ONE</t>
        </is>
      </c>
      <c r="H589" s="23" t="inlineStr">
        <is>
          <t>RETAINED</t>
        </is>
      </c>
      <c r="I589" s="23" t="inlineStr">
        <is>
          <t>Carried forward</t>
        </is>
      </c>
      <c r="J589" s="23" t="inlineStr">
        <is>
          <t>Source assignment -- not individually reviewed</t>
        </is>
      </c>
      <c r="K589" s="23" t="inlineStr"/>
      <c r="L589" s="23" t="inlineStr"/>
      <c r="M589" s="23" t="inlineStr"/>
      <c r="N589" s="14" t="inlineStr">
        <is>
          <t>10 EVIDENCE &amp; DECISIONS</t>
        </is>
      </c>
    </row>
    <row r="590" ht="34" customHeight="1">
      <c r="A590" s="23" t="inlineStr">
        <is>
          <t>Contractor Programme</t>
        </is>
      </c>
      <c r="B590" s="23" t="inlineStr">
        <is>
          <t>SCH-03-049</t>
        </is>
      </c>
      <c r="C590" s="23" t="inlineStr">
        <is>
          <t>East substation: wayside interface test - installation</t>
        </is>
      </c>
      <c r="D590" s="23" t="inlineStr">
        <is>
          <t>WBS Code = 1.3.1</t>
        </is>
      </c>
      <c r="E590" s="23" t="inlineStr">
        <is>
          <t>R409-v2</t>
        </is>
      </c>
      <c r="F590" s="23" t="inlineStr">
        <is>
          <t>1.3.1 Systems - Traction Power</t>
        </is>
      </c>
      <c r="G590" s="23" t="inlineStr">
        <is>
          <t>ONE_TO_ONE</t>
        </is>
      </c>
      <c r="H590" s="23" t="inlineStr">
        <is>
          <t>RETAINED</t>
        </is>
      </c>
      <c r="I590" s="23" t="inlineStr">
        <is>
          <t>Carried forward</t>
        </is>
      </c>
      <c r="J590" s="23" t="inlineStr">
        <is>
          <t>Source assignment -- not individually reviewed</t>
        </is>
      </c>
      <c r="K590" s="23" t="inlineStr"/>
      <c r="L590" s="23" t="inlineStr"/>
      <c r="M590" s="23" t="inlineStr"/>
      <c r="N590" s="14" t="inlineStr">
        <is>
          <t>10 EVIDENCE &amp; DECISIONS</t>
        </is>
      </c>
    </row>
    <row r="591" ht="34" customHeight="1">
      <c r="A591" s="23" t="inlineStr">
        <is>
          <t>Contractor Programme</t>
        </is>
      </c>
      <c r="B591" s="23" t="inlineStr">
        <is>
          <t>SCH-03-050</t>
        </is>
      </c>
      <c r="C591" s="23" t="inlineStr">
        <is>
          <t>Central interlocking: signal equipment installation - inspection</t>
        </is>
      </c>
      <c r="D591" s="23" t="inlineStr">
        <is>
          <t>WBS Code = 1.3.1</t>
        </is>
      </c>
      <c r="E591" s="23" t="inlineStr">
        <is>
          <t>R410-v2</t>
        </is>
      </c>
      <c r="F591" s="23" t="inlineStr">
        <is>
          <t>1.3.1 Systems - Traction Power</t>
        </is>
      </c>
      <c r="G591" s="23" t="inlineStr">
        <is>
          <t>ONE_TO_ONE</t>
        </is>
      </c>
      <c r="H591" s="23" t="inlineStr">
        <is>
          <t>RETAINED</t>
        </is>
      </c>
      <c r="I591" s="23" t="inlineStr">
        <is>
          <t>Carried forward</t>
        </is>
      </c>
      <c r="J591" s="23" t="inlineStr">
        <is>
          <t>Source assignment -- not individually reviewed</t>
        </is>
      </c>
      <c r="K591" s="23" t="inlineStr"/>
      <c r="L591" s="23" t="inlineStr"/>
      <c r="M591" s="23" t="inlineStr"/>
      <c r="N591" s="14" t="inlineStr">
        <is>
          <t>10 EVIDENCE &amp; DECISIONS</t>
        </is>
      </c>
    </row>
    <row r="592" ht="34" customHeight="1">
      <c r="A592" s="23" t="inlineStr">
        <is>
          <t>Contractor Programme</t>
        </is>
      </c>
      <c r="B592" s="23" t="inlineStr">
        <is>
          <t>SCH-03-052</t>
        </is>
      </c>
      <c r="C592" s="23" t="inlineStr">
        <is>
          <t>Control Centre: control-centre integration - release</t>
        </is>
      </c>
      <c r="D592" s="23" t="inlineStr">
        <is>
          <t>WBS Code = 1.3.1</t>
        </is>
      </c>
      <c r="E592" s="23" t="inlineStr">
        <is>
          <t>R412-v2</t>
        </is>
      </c>
      <c r="F592" s="23" t="inlineStr">
        <is>
          <t>1.3.1 Systems - Traction Power</t>
        </is>
      </c>
      <c r="G592" s="23" t="inlineStr">
        <is>
          <t>ONE_TO_ONE</t>
        </is>
      </c>
      <c r="H592" s="23" t="inlineStr">
        <is>
          <t>RETAINED</t>
        </is>
      </c>
      <c r="I592" s="23" t="inlineStr">
        <is>
          <t>Carried forward</t>
        </is>
      </c>
      <c r="J592" s="23" t="inlineStr">
        <is>
          <t>Source assignment -- not individually reviewed</t>
        </is>
      </c>
      <c r="K592" s="23" t="inlineStr"/>
      <c r="L592" s="23" t="inlineStr"/>
      <c r="M592" s="23" t="inlineStr"/>
      <c r="N592" s="14" t="inlineStr">
        <is>
          <t>10 EVIDENCE &amp; DECISIONS</t>
        </is>
      </c>
    </row>
    <row r="593" ht="34" customHeight="1">
      <c r="A593" s="23" t="inlineStr">
        <is>
          <t>Contractor Programme</t>
        </is>
      </c>
      <c r="B593" s="23" t="inlineStr">
        <is>
          <t>SCH-03-053</t>
        </is>
      </c>
      <c r="C593" s="23" t="inlineStr">
        <is>
          <t>West wayside: fibre backbone termination - field start</t>
        </is>
      </c>
      <c r="D593" s="23" t="inlineStr">
        <is>
          <t>WBS Code = 1.3.1</t>
        </is>
      </c>
      <c r="E593" s="23" t="inlineStr">
        <is>
          <t>R413-v2</t>
        </is>
      </c>
      <c r="F593" s="23" t="inlineStr">
        <is>
          <t>1.3.1 Systems - Traction Power</t>
        </is>
      </c>
      <c r="G593" s="23" t="inlineStr">
        <is>
          <t>ONE_TO_ONE</t>
        </is>
      </c>
      <c r="H593" s="23" t="inlineStr">
        <is>
          <t>RETAINED</t>
        </is>
      </c>
      <c r="I593" s="23" t="inlineStr">
        <is>
          <t>Carried forward</t>
        </is>
      </c>
      <c r="J593" s="23" t="inlineStr">
        <is>
          <t>Source assignment -- not individually reviewed</t>
        </is>
      </c>
      <c r="K593" s="23" t="inlineStr"/>
      <c r="L593" s="23" t="inlineStr"/>
      <c r="M593" s="23" t="inlineStr"/>
      <c r="N593" s="14" t="inlineStr">
        <is>
          <t>10 EVIDENCE &amp; DECISIONS</t>
        </is>
      </c>
    </row>
    <row r="594" ht="34" customHeight="1">
      <c r="A594" s="23" t="inlineStr">
        <is>
          <t>Contractor Programme</t>
        </is>
      </c>
      <c r="B594" s="23" t="inlineStr">
        <is>
          <t>SCH-03-055</t>
        </is>
      </c>
      <c r="C594" s="23" t="inlineStr">
        <is>
          <t>Central interlocking: traction-power feeder pull - inspection</t>
        </is>
      </c>
      <c r="D594" s="23" t="inlineStr">
        <is>
          <t>WBS Code = 1.3.1</t>
        </is>
      </c>
      <c r="E594" s="23" t="inlineStr">
        <is>
          <t>R415-v2</t>
        </is>
      </c>
      <c r="F594" s="23" t="inlineStr">
        <is>
          <t>1.3.1 Systems - Traction Power</t>
        </is>
      </c>
      <c r="G594" s="23" t="inlineStr">
        <is>
          <t>ONE_TO_ONE</t>
        </is>
      </c>
      <c r="H594" s="23" t="inlineStr">
        <is>
          <t>RETAINED</t>
        </is>
      </c>
      <c r="I594" s="23" t="inlineStr">
        <is>
          <t>Carried forward</t>
        </is>
      </c>
      <c r="J594" s="23" t="inlineStr">
        <is>
          <t>Source assignment -- not individually reviewed</t>
        </is>
      </c>
      <c r="K594" s="23" t="inlineStr"/>
      <c r="L594" s="23" t="inlineStr"/>
      <c r="M594" s="23" t="inlineStr"/>
      <c r="N594" s="14" t="inlineStr">
        <is>
          <t>10 EVIDENCE &amp; DECISIONS</t>
        </is>
      </c>
    </row>
    <row r="595" ht="34" customHeight="1">
      <c r="A595" s="23" t="inlineStr">
        <is>
          <t>Contractor Programme</t>
        </is>
      </c>
      <c r="B595" s="23" t="inlineStr">
        <is>
          <t>SCH-03-056</t>
        </is>
      </c>
      <c r="C595" s="23" t="inlineStr">
        <is>
          <t>Harbour Station: train-control cabinet fit-out - turnover</t>
        </is>
      </c>
      <c r="D595" s="23" t="inlineStr">
        <is>
          <t>WBS Code = 1.3.1</t>
        </is>
      </c>
      <c r="E595" s="23" t="inlineStr">
        <is>
          <t>R416-v2</t>
        </is>
      </c>
      <c r="F595" s="23" t="inlineStr">
        <is>
          <t>1.3.1 Systems - Traction Power</t>
        </is>
      </c>
      <c r="G595" s="23" t="inlineStr">
        <is>
          <t>ONE_TO_ONE</t>
        </is>
      </c>
      <c r="H595" s="23" t="inlineStr">
        <is>
          <t>RETAINED</t>
        </is>
      </c>
      <c r="I595" s="23" t="inlineStr">
        <is>
          <t>Carried forward</t>
        </is>
      </c>
      <c r="J595" s="23" t="inlineStr">
        <is>
          <t>Source assignment -- not individually reviewed</t>
        </is>
      </c>
      <c r="K595" s="23" t="inlineStr"/>
      <c r="L595" s="23" t="inlineStr"/>
      <c r="M595" s="23" t="inlineStr"/>
      <c r="N595" s="14" t="inlineStr">
        <is>
          <t>10 EVIDENCE &amp; DECISIONS</t>
        </is>
      </c>
    </row>
    <row r="596" ht="34" customHeight="1">
      <c r="A596" s="23" t="inlineStr">
        <is>
          <t>Contractor Programme</t>
        </is>
      </c>
      <c r="B596" s="23" t="inlineStr">
        <is>
          <t>SCH-03-058</t>
        </is>
      </c>
      <c r="C596" s="23" t="inlineStr">
        <is>
          <t>West wayside: signal equipment installation - field start</t>
        </is>
      </c>
      <c r="D596" s="23" t="inlineStr">
        <is>
          <t>WBS Code = 1.3.1</t>
        </is>
      </c>
      <c r="E596" s="23" t="inlineStr">
        <is>
          <t>R418-v2</t>
        </is>
      </c>
      <c r="F596" s="23" t="inlineStr">
        <is>
          <t>1.3.1 Systems - Traction Power</t>
        </is>
      </c>
      <c r="G596" s="23" t="inlineStr">
        <is>
          <t>ONE_TO_ONE</t>
        </is>
      </c>
      <c r="H596" s="23" t="inlineStr">
        <is>
          <t>RETAINED</t>
        </is>
      </c>
      <c r="I596" s="23" t="inlineStr">
        <is>
          <t>Carried forward</t>
        </is>
      </c>
      <c r="J596" s="23" t="inlineStr">
        <is>
          <t>Source assignment -- not individually reviewed</t>
        </is>
      </c>
      <c r="K596" s="23" t="inlineStr"/>
      <c r="L596" s="23" t="inlineStr"/>
      <c r="M596" s="23" t="inlineStr"/>
      <c r="N596" s="14" t="inlineStr">
        <is>
          <t>10 EVIDENCE &amp; DECISIONS</t>
        </is>
      </c>
    </row>
    <row r="597" ht="34" customHeight="1">
      <c r="A597" s="23" t="inlineStr">
        <is>
          <t>Contractor Programme</t>
        </is>
      </c>
      <c r="B597" s="23" t="inlineStr">
        <is>
          <t>SCH-03-059</t>
        </is>
      </c>
      <c r="C597" s="23" t="inlineStr">
        <is>
          <t>East substation: radio equipment installation - installation</t>
        </is>
      </c>
      <c r="D597" s="23" t="inlineStr">
        <is>
          <t>WBS Code = 1.3.1</t>
        </is>
      </c>
      <c r="E597" s="23" t="inlineStr">
        <is>
          <t>R419-v2</t>
        </is>
      </c>
      <c r="F597" s="23" t="inlineStr">
        <is>
          <t>1.3.1 Systems - Traction Power</t>
        </is>
      </c>
      <c r="G597" s="23" t="inlineStr">
        <is>
          <t>ONE_TO_ONE</t>
        </is>
      </c>
      <c r="H597" s="23" t="inlineStr">
        <is>
          <t>RETAINED</t>
        </is>
      </c>
      <c r="I597" s="23" t="inlineStr">
        <is>
          <t>Carried forward</t>
        </is>
      </c>
      <c r="J597" s="23" t="inlineStr">
        <is>
          <t>Source assignment -- not individually reviewed</t>
        </is>
      </c>
      <c r="K597" s="23" t="inlineStr"/>
      <c r="L597" s="23" t="inlineStr"/>
      <c r="M597" s="23" t="inlineStr"/>
      <c r="N597" s="14" t="inlineStr">
        <is>
          <t>10 EVIDENCE &amp; DECISIONS</t>
        </is>
      </c>
    </row>
    <row r="598" ht="34" customHeight="1">
      <c r="A598" s="23" t="inlineStr">
        <is>
          <t>Contractor Programme</t>
        </is>
      </c>
      <c r="B598" s="23" t="inlineStr">
        <is>
          <t>SCH-03-061</t>
        </is>
      </c>
      <c r="C598" s="23" t="inlineStr">
        <is>
          <t>Harbour Station: fibre backbone termination - turnover</t>
        </is>
      </c>
      <c r="D598" s="23" t="inlineStr">
        <is>
          <t>WBS Code = 1.3.1</t>
        </is>
      </c>
      <c r="E598" s="23" t="inlineStr">
        <is>
          <t>R421-v2</t>
        </is>
      </c>
      <c r="F598" s="23" t="inlineStr">
        <is>
          <t>1.3.1 Systems - Traction Power</t>
        </is>
      </c>
      <c r="G598" s="23" t="inlineStr">
        <is>
          <t>ONE_TO_ONE</t>
        </is>
      </c>
      <c r="H598" s="23" t="inlineStr">
        <is>
          <t>RETAINED</t>
        </is>
      </c>
      <c r="I598" s="23" t="inlineStr">
        <is>
          <t>Carried forward</t>
        </is>
      </c>
      <c r="J598" s="23" t="inlineStr">
        <is>
          <t>Source assignment -- not individually reviewed</t>
        </is>
      </c>
      <c r="K598" s="23" t="inlineStr"/>
      <c r="L598" s="23" t="inlineStr"/>
      <c r="M598" s="23" t="inlineStr"/>
      <c r="N598" s="14" t="inlineStr">
        <is>
          <t>10 EVIDENCE &amp; DECISIONS</t>
        </is>
      </c>
    </row>
    <row r="599" ht="34" customHeight="1">
      <c r="A599" s="23" t="inlineStr">
        <is>
          <t>Contractor Programme</t>
        </is>
      </c>
      <c r="B599" s="23" t="inlineStr">
        <is>
          <t>SCH-03-062</t>
        </is>
      </c>
      <c r="C599" s="23" t="inlineStr">
        <is>
          <t>Control Centre: SCADA point-to-point check - release</t>
        </is>
      </c>
      <c r="D599" s="23" t="inlineStr">
        <is>
          <t>WBS Code = 1.3.1</t>
        </is>
      </c>
      <c r="E599" s="23" t="inlineStr">
        <is>
          <t>R422-v2</t>
        </is>
      </c>
      <c r="F599" s="23" t="inlineStr">
        <is>
          <t>1.3.1 Systems - Traction Power</t>
        </is>
      </c>
      <c r="G599" s="23" t="inlineStr">
        <is>
          <t>ONE_TO_ONE</t>
        </is>
      </c>
      <c r="H599" s="23" t="inlineStr">
        <is>
          <t>RETAINED</t>
        </is>
      </c>
      <c r="I599" s="23" t="inlineStr">
        <is>
          <t>Carried forward</t>
        </is>
      </c>
      <c r="J599" s="23" t="inlineStr">
        <is>
          <t>Source assignment -- not individually reviewed</t>
        </is>
      </c>
      <c r="K599" s="23" t="inlineStr"/>
      <c r="L599" s="23" t="inlineStr"/>
      <c r="M599" s="23" t="inlineStr"/>
      <c r="N599" s="14" t="inlineStr">
        <is>
          <t>10 EVIDENCE &amp; DECISIONS</t>
        </is>
      </c>
    </row>
    <row r="600" ht="34" customHeight="1">
      <c r="A600" s="23" t="inlineStr">
        <is>
          <t>Contractor Programme</t>
        </is>
      </c>
      <c r="B600" s="23" t="inlineStr">
        <is>
          <t>SCH-03-064</t>
        </is>
      </c>
      <c r="C600" s="23" t="inlineStr">
        <is>
          <t>East substation: train-control cabinet fit-out - installation</t>
        </is>
      </c>
      <c r="D600" s="23" t="inlineStr">
        <is>
          <t>WBS Code = 1.3.1</t>
        </is>
      </c>
      <c r="E600" s="23" t="inlineStr">
        <is>
          <t>R424-v2</t>
        </is>
      </c>
      <c r="F600" s="23" t="inlineStr">
        <is>
          <t>1.3.1 Systems - Traction Power</t>
        </is>
      </c>
      <c r="G600" s="23" t="inlineStr">
        <is>
          <t>ONE_TO_ONE</t>
        </is>
      </c>
      <c r="H600" s="23" t="inlineStr">
        <is>
          <t>RETAINED</t>
        </is>
      </c>
      <c r="I600" s="23" t="inlineStr">
        <is>
          <t>Carried forward</t>
        </is>
      </c>
      <c r="J600" s="23" t="inlineStr">
        <is>
          <t>Source assignment -- not individually reviewed</t>
        </is>
      </c>
      <c r="K600" s="23" t="inlineStr"/>
      <c r="L600" s="23" t="inlineStr"/>
      <c r="M600" s="23" t="inlineStr"/>
      <c r="N600" s="14" t="inlineStr">
        <is>
          <t>10 EVIDENCE &amp; DECISIONS</t>
        </is>
      </c>
    </row>
    <row r="601" ht="34" customHeight="1">
      <c r="A601" s="23" t="inlineStr">
        <is>
          <t>Contractor Programme</t>
        </is>
      </c>
      <c r="B601" s="23" t="inlineStr">
        <is>
          <t>SCH-03-065</t>
        </is>
      </c>
      <c r="C601" s="23" t="inlineStr">
        <is>
          <t>Central interlocking: wayside interface test - inspection</t>
        </is>
      </c>
      <c r="D601" s="23" t="inlineStr">
        <is>
          <t>WBS Code = 1.3.1</t>
        </is>
      </c>
      <c r="E601" s="23" t="inlineStr">
        <is>
          <t>R425-v2</t>
        </is>
      </c>
      <c r="F601" s="23" t="inlineStr">
        <is>
          <t>1.3.1 Systems - Traction Power</t>
        </is>
      </c>
      <c r="G601" s="23" t="inlineStr">
        <is>
          <t>ONE_TO_ONE</t>
        </is>
      </c>
      <c r="H601" s="23" t="inlineStr">
        <is>
          <t>RETAINED</t>
        </is>
      </c>
      <c r="I601" s="23" t="inlineStr">
        <is>
          <t>Carried forward</t>
        </is>
      </c>
      <c r="J601" s="23" t="inlineStr">
        <is>
          <t>Source assignment -- not individually reviewed</t>
        </is>
      </c>
      <c r="K601" s="23" t="inlineStr"/>
      <c r="L601" s="23" t="inlineStr"/>
      <c r="M601" s="23" t="inlineStr"/>
      <c r="N601" s="14" t="inlineStr">
        <is>
          <t>10 EVIDENCE &amp; DECISIONS</t>
        </is>
      </c>
    </row>
    <row r="602" ht="34" customHeight="1">
      <c r="A602" s="23" t="inlineStr">
        <is>
          <t>Contractor Programme</t>
        </is>
      </c>
      <c r="B602" s="23" t="inlineStr">
        <is>
          <t>SCH-03-067</t>
        </is>
      </c>
      <c r="C602" s="23" t="inlineStr">
        <is>
          <t>Control Centre: radio equipment installation - release</t>
        </is>
      </c>
      <c r="D602" s="23" t="inlineStr">
        <is>
          <t>WBS Code = 1.3.1</t>
        </is>
      </c>
      <c r="E602" s="23" t="inlineStr">
        <is>
          <t>R427-v2</t>
        </is>
      </c>
      <c r="F602" s="23" t="inlineStr">
        <is>
          <t>1.3.1 Systems - Traction Power</t>
        </is>
      </c>
      <c r="G602" s="23" t="inlineStr">
        <is>
          <t>ONE_TO_ONE</t>
        </is>
      </c>
      <c r="H602" s="23" t="inlineStr">
        <is>
          <t>RETAINED</t>
        </is>
      </c>
      <c r="I602" s="23" t="inlineStr">
        <is>
          <t>Carried forward</t>
        </is>
      </c>
      <c r="J602" s="23" t="inlineStr">
        <is>
          <t>Source assignment -- not individually reviewed</t>
        </is>
      </c>
      <c r="K602" s="23" t="inlineStr"/>
      <c r="L602" s="23" t="inlineStr"/>
      <c r="M602" s="23" t="inlineStr"/>
      <c r="N602" s="14" t="inlineStr">
        <is>
          <t>10 EVIDENCE &amp; DECISIONS</t>
        </is>
      </c>
    </row>
    <row r="603" ht="34" customHeight="1">
      <c r="A603" s="23" t="inlineStr">
        <is>
          <t>Contractor Programme</t>
        </is>
      </c>
      <c r="B603" s="23" t="inlineStr">
        <is>
          <t>SCH-03-068</t>
        </is>
      </c>
      <c r="C603" s="23" t="inlineStr">
        <is>
          <t>West wayside: control-centre integration - field start</t>
        </is>
      </c>
      <c r="D603" s="23" t="inlineStr">
        <is>
          <t>WBS Code = 1.3.1</t>
        </is>
      </c>
      <c r="E603" s="23" t="inlineStr">
        <is>
          <t>R428-v2</t>
        </is>
      </c>
      <c r="F603" s="23" t="inlineStr">
        <is>
          <t>1.3.1 Systems - Traction Power</t>
        </is>
      </c>
      <c r="G603" s="23" t="inlineStr">
        <is>
          <t>ONE_TO_ONE</t>
        </is>
      </c>
      <c r="H603" s="23" t="inlineStr">
        <is>
          <t>RETAINED</t>
        </is>
      </c>
      <c r="I603" s="23" t="inlineStr">
        <is>
          <t>Carried forward</t>
        </is>
      </c>
      <c r="J603" s="23" t="inlineStr">
        <is>
          <t>Source assignment -- not individually reviewed</t>
        </is>
      </c>
      <c r="K603" s="23" t="inlineStr"/>
      <c r="L603" s="23" t="inlineStr"/>
      <c r="M603" s="23" t="inlineStr"/>
      <c r="N603" s="14" t="inlineStr">
        <is>
          <t>10 EVIDENCE &amp; DECISIONS</t>
        </is>
      </c>
    </row>
    <row r="604" ht="34" customHeight="1">
      <c r="A604" s="23" t="inlineStr">
        <is>
          <t>Contractor Programme</t>
        </is>
      </c>
      <c r="B604" s="23" t="inlineStr">
        <is>
          <t>SCH-03-070</t>
        </is>
      </c>
      <c r="C604" s="23" t="inlineStr">
        <is>
          <t>Central interlocking: SCADA point-to-point check - inspection</t>
        </is>
      </c>
      <c r="D604" s="23" t="inlineStr">
        <is>
          <t>WBS Code = 1.3.1</t>
        </is>
      </c>
      <c r="E604" s="23" t="inlineStr">
        <is>
          <t>R430-v2</t>
        </is>
      </c>
      <c r="F604" s="23" t="inlineStr">
        <is>
          <t>1.3.1 Systems - Traction Power</t>
        </is>
      </c>
      <c r="G604" s="23" t="inlineStr">
        <is>
          <t>ONE_TO_ONE</t>
        </is>
      </c>
      <c r="H604" s="23" t="inlineStr">
        <is>
          <t>RETAINED</t>
        </is>
      </c>
      <c r="I604" s="23" t="inlineStr">
        <is>
          <t>Carried forward</t>
        </is>
      </c>
      <c r="J604" s="23" t="inlineStr">
        <is>
          <t>Source assignment -- not individually reviewed</t>
        </is>
      </c>
      <c r="K604" s="23" t="inlineStr"/>
      <c r="L604" s="23" t="inlineStr"/>
      <c r="M604" s="23" t="inlineStr"/>
      <c r="N604" s="14" t="inlineStr">
        <is>
          <t>10 EVIDENCE &amp; DECISIONS</t>
        </is>
      </c>
    </row>
    <row r="605" ht="34" customHeight="1">
      <c r="A605" s="23" t="inlineStr">
        <is>
          <t>Contractor Programme</t>
        </is>
      </c>
      <c r="B605" s="23" t="inlineStr">
        <is>
          <t>SCH-03-071</t>
        </is>
      </c>
      <c r="C605" s="23" t="inlineStr">
        <is>
          <t>Harbour Station: traction-power feeder pull - turnover</t>
        </is>
      </c>
      <c r="D605" s="23" t="inlineStr">
        <is>
          <t>WBS Code = 1.3.1</t>
        </is>
      </c>
      <c r="E605" s="23" t="inlineStr">
        <is>
          <t>R431-v2</t>
        </is>
      </c>
      <c r="F605" s="23" t="inlineStr">
        <is>
          <t>1.3.1 Systems - Traction Power</t>
        </is>
      </c>
      <c r="G605" s="23" t="inlineStr">
        <is>
          <t>ONE_TO_ONE</t>
        </is>
      </c>
      <c r="H605" s="23" t="inlineStr">
        <is>
          <t>RETAINED</t>
        </is>
      </c>
      <c r="I605" s="23" t="inlineStr">
        <is>
          <t>Carried forward</t>
        </is>
      </c>
      <c r="J605" s="23" t="inlineStr">
        <is>
          <t>Source assignment -- not individually reviewed</t>
        </is>
      </c>
      <c r="K605" s="23" t="inlineStr"/>
      <c r="L605" s="23" t="inlineStr"/>
      <c r="M605" s="23" t="inlineStr"/>
      <c r="N605" s="14" t="inlineStr">
        <is>
          <t>10 EVIDENCE &amp; DECISIONS</t>
        </is>
      </c>
    </row>
    <row r="606" ht="34" customHeight="1">
      <c r="A606" s="23" t="inlineStr">
        <is>
          <t>Contractor Programme</t>
        </is>
      </c>
      <c r="B606" s="23" t="inlineStr">
        <is>
          <t>SCH-03-073</t>
        </is>
      </c>
      <c r="C606" s="23" t="inlineStr">
        <is>
          <t>West wayside: wayside interface test - field start</t>
        </is>
      </c>
      <c r="D606" s="23" t="inlineStr">
        <is>
          <t>WBS Code = 1.3.1</t>
        </is>
      </c>
      <c r="E606" s="23" t="inlineStr">
        <is>
          <t>R433-v2</t>
        </is>
      </c>
      <c r="F606" s="23" t="inlineStr">
        <is>
          <t>1.3.1 Systems - Traction Power</t>
        </is>
      </c>
      <c r="G606" s="23" t="inlineStr">
        <is>
          <t>ONE_TO_ONE</t>
        </is>
      </c>
      <c r="H606" s="23" t="inlineStr">
        <is>
          <t>RETAINED</t>
        </is>
      </c>
      <c r="I606" s="23" t="inlineStr">
        <is>
          <t>Carried forward</t>
        </is>
      </c>
      <c r="J606" s="23" t="inlineStr">
        <is>
          <t>Source assignment -- not individually reviewed</t>
        </is>
      </c>
      <c r="K606" s="23" t="inlineStr"/>
      <c r="L606" s="23" t="inlineStr"/>
      <c r="M606" s="23" t="inlineStr"/>
      <c r="N606" s="14" t="inlineStr">
        <is>
          <t>10 EVIDENCE &amp; DECISIONS</t>
        </is>
      </c>
    </row>
    <row r="607" ht="34" customHeight="1">
      <c r="A607" s="23" t="inlineStr">
        <is>
          <t>Contractor Programme</t>
        </is>
      </c>
      <c r="B607" s="23" t="inlineStr">
        <is>
          <t>SCH-03-074</t>
        </is>
      </c>
      <c r="C607" s="23" t="inlineStr">
        <is>
          <t>East substation: signal equipment installation - installation</t>
        </is>
      </c>
      <c r="D607" s="23" t="inlineStr">
        <is>
          <t>WBS Code = 1.3.1</t>
        </is>
      </c>
      <c r="E607" s="23" t="inlineStr">
        <is>
          <t>R434-v2</t>
        </is>
      </c>
      <c r="F607" s="23" t="inlineStr">
        <is>
          <t>1.3.1 Systems - Traction Power</t>
        </is>
      </c>
      <c r="G607" s="23" t="inlineStr">
        <is>
          <t>ONE_TO_ONE</t>
        </is>
      </c>
      <c r="H607" s="23" t="inlineStr">
        <is>
          <t>RETAINED</t>
        </is>
      </c>
      <c r="I607" s="23" t="inlineStr">
        <is>
          <t>Carried forward</t>
        </is>
      </c>
      <c r="J607" s="23" t="inlineStr">
        <is>
          <t>Source assignment -- not individually reviewed</t>
        </is>
      </c>
      <c r="K607" s="23" t="inlineStr"/>
      <c r="L607" s="23" t="inlineStr"/>
      <c r="M607" s="23" t="inlineStr"/>
      <c r="N607" s="14" t="inlineStr">
        <is>
          <t>10 EVIDENCE &amp; DECISIONS</t>
        </is>
      </c>
    </row>
    <row r="608" ht="34" customHeight="1">
      <c r="A608" s="23" t="inlineStr">
        <is>
          <t>Contractor Programme</t>
        </is>
      </c>
      <c r="B608" s="23" t="inlineStr">
        <is>
          <t>SCH-03-076</t>
        </is>
      </c>
      <c r="C608" s="23" t="inlineStr">
        <is>
          <t>Harbour Station: control-centre integration - turnover</t>
        </is>
      </c>
      <c r="D608" s="23" t="inlineStr">
        <is>
          <t>WBS Code = 1.3.1</t>
        </is>
      </c>
      <c r="E608" s="23" t="inlineStr">
        <is>
          <t>R436-v2</t>
        </is>
      </c>
      <c r="F608" s="23" t="inlineStr">
        <is>
          <t>1.3.1 Systems - Traction Power</t>
        </is>
      </c>
      <c r="G608" s="23" t="inlineStr">
        <is>
          <t>ONE_TO_ONE</t>
        </is>
      </c>
      <c r="H608" s="23" t="inlineStr">
        <is>
          <t>RETAINED</t>
        </is>
      </c>
      <c r="I608" s="23" t="inlineStr">
        <is>
          <t>Carried forward</t>
        </is>
      </c>
      <c r="J608" s="23" t="inlineStr">
        <is>
          <t>Source assignment -- not individually reviewed</t>
        </is>
      </c>
      <c r="K608" s="23" t="inlineStr"/>
      <c r="L608" s="23" t="inlineStr"/>
      <c r="M608" s="23" t="inlineStr"/>
      <c r="N608" s="14" t="inlineStr">
        <is>
          <t>10 EVIDENCE &amp; DECISIONS</t>
        </is>
      </c>
    </row>
    <row r="609" ht="34" customHeight="1">
      <c r="A609" s="23" t="inlineStr">
        <is>
          <t>Contractor Programme</t>
        </is>
      </c>
      <c r="B609" s="23" t="inlineStr">
        <is>
          <t>SCH-03-077</t>
        </is>
      </c>
      <c r="C609" s="23" t="inlineStr">
        <is>
          <t>Control Centre: fibre backbone termination - release</t>
        </is>
      </c>
      <c r="D609" s="23" t="inlineStr">
        <is>
          <t>WBS Code = 1.3.1</t>
        </is>
      </c>
      <c r="E609" s="23" t="inlineStr">
        <is>
          <t>R437-v2</t>
        </is>
      </c>
      <c r="F609" s="23" t="inlineStr">
        <is>
          <t>1.3.1 Systems - Traction Power</t>
        </is>
      </c>
      <c r="G609" s="23" t="inlineStr">
        <is>
          <t>ONE_TO_ONE</t>
        </is>
      </c>
      <c r="H609" s="23" t="inlineStr">
        <is>
          <t>RETAINED</t>
        </is>
      </c>
      <c r="I609" s="23" t="inlineStr">
        <is>
          <t>Carried forward</t>
        </is>
      </c>
      <c r="J609" s="23" t="inlineStr">
        <is>
          <t>Source assignment -- not individually reviewed</t>
        </is>
      </c>
      <c r="K609" s="23" t="inlineStr"/>
      <c r="L609" s="23" t="inlineStr"/>
      <c r="M609" s="23" t="inlineStr"/>
      <c r="N609" s="14" t="inlineStr">
        <is>
          <t>10 EVIDENCE &amp; DECISIONS</t>
        </is>
      </c>
    </row>
    <row r="610" ht="34" customHeight="1">
      <c r="A610" s="23" t="inlineStr">
        <is>
          <t>Contractor Programme</t>
        </is>
      </c>
      <c r="B610" s="23" t="inlineStr">
        <is>
          <t>SCH-03-079</t>
        </is>
      </c>
      <c r="C610" s="23" t="inlineStr">
        <is>
          <t>East substation: traction-power feeder pull - installation</t>
        </is>
      </c>
      <c r="D610" s="23" t="inlineStr">
        <is>
          <t>WBS Code = 1.3.1</t>
        </is>
      </c>
      <c r="E610" s="23" t="inlineStr">
        <is>
          <t>R439-v2</t>
        </is>
      </c>
      <c r="F610" s="23" t="inlineStr">
        <is>
          <t>1.3.1 Systems - Traction Power</t>
        </is>
      </c>
      <c r="G610" s="23" t="inlineStr">
        <is>
          <t>ONE_TO_ONE</t>
        </is>
      </c>
      <c r="H610" s="23" t="inlineStr">
        <is>
          <t>RETAINED</t>
        </is>
      </c>
      <c r="I610" s="23" t="inlineStr">
        <is>
          <t>Carried forward</t>
        </is>
      </c>
      <c r="J610" s="23" t="inlineStr">
        <is>
          <t>Source assignment -- not individually reviewed</t>
        </is>
      </c>
      <c r="K610" s="23" t="inlineStr"/>
      <c r="L610" s="23" t="inlineStr"/>
      <c r="M610" s="23" t="inlineStr"/>
      <c r="N610" s="14" t="inlineStr">
        <is>
          <t>10 EVIDENCE &amp; DECISIONS</t>
        </is>
      </c>
    </row>
    <row r="611" ht="34" customHeight="1">
      <c r="A611" s="23" t="inlineStr">
        <is>
          <t>Contractor Programme</t>
        </is>
      </c>
      <c r="B611" s="23" t="inlineStr">
        <is>
          <t>SCH-03-080</t>
        </is>
      </c>
      <c r="C611" s="23" t="inlineStr">
        <is>
          <t>Central interlocking: train-control cabinet fit-out - inspection</t>
        </is>
      </c>
      <c r="D611" s="23" t="inlineStr">
        <is>
          <t>WBS Code = 1.3.1</t>
        </is>
      </c>
      <c r="E611" s="23" t="inlineStr">
        <is>
          <t>R440-v2</t>
        </is>
      </c>
      <c r="F611" s="23" t="inlineStr">
        <is>
          <t>1.3.1 Systems - Traction Power</t>
        </is>
      </c>
      <c r="G611" s="23" t="inlineStr">
        <is>
          <t>ONE_TO_ONE</t>
        </is>
      </c>
      <c r="H611" s="23" t="inlineStr">
        <is>
          <t>RETAINED</t>
        </is>
      </c>
      <c r="I611" s="23" t="inlineStr">
        <is>
          <t>Carried forward</t>
        </is>
      </c>
      <c r="J611" s="23" t="inlineStr">
        <is>
          <t>Source assignment -- not individually reviewed</t>
        </is>
      </c>
      <c r="K611" s="23" t="inlineStr"/>
      <c r="L611" s="23" t="inlineStr"/>
      <c r="M611" s="23" t="inlineStr"/>
      <c r="N611" s="14" t="inlineStr">
        <is>
          <t>10 EVIDENCE &amp; DECISIONS</t>
        </is>
      </c>
    </row>
    <row r="612" ht="34" customHeight="1">
      <c r="A612" s="23" t="inlineStr">
        <is>
          <t>Contractor Programme</t>
        </is>
      </c>
      <c r="B612" s="23" t="inlineStr">
        <is>
          <t>SCH-03-082</t>
        </is>
      </c>
      <c r="C612" s="23" t="inlineStr">
        <is>
          <t>Control Centre: signal equipment installation - release</t>
        </is>
      </c>
      <c r="D612" s="23" t="inlineStr">
        <is>
          <t>WBS Code = 1.3.1</t>
        </is>
      </c>
      <c r="E612" s="23" t="inlineStr">
        <is>
          <t>R442-v2</t>
        </is>
      </c>
      <c r="F612" s="23" t="inlineStr">
        <is>
          <t>1.3.1 Systems - Traction Power</t>
        </is>
      </c>
      <c r="G612" s="23" t="inlineStr">
        <is>
          <t>ONE_TO_ONE</t>
        </is>
      </c>
      <c r="H612" s="23" t="inlineStr">
        <is>
          <t>RETAINED</t>
        </is>
      </c>
      <c r="I612" s="23" t="inlineStr">
        <is>
          <t>Carried forward</t>
        </is>
      </c>
      <c r="J612" s="23" t="inlineStr">
        <is>
          <t>Source assignment -- not individually reviewed</t>
        </is>
      </c>
      <c r="K612" s="23" t="inlineStr"/>
      <c r="L612" s="23" t="inlineStr"/>
      <c r="M612" s="23" t="inlineStr"/>
      <c r="N612" s="14" t="inlineStr">
        <is>
          <t>10 EVIDENCE &amp; DECISIONS</t>
        </is>
      </c>
    </row>
    <row r="613" ht="34" customHeight="1">
      <c r="A613" s="23" t="inlineStr">
        <is>
          <t>Contractor Programme</t>
        </is>
      </c>
      <c r="B613" s="23" t="inlineStr">
        <is>
          <t>SCH-03-083</t>
        </is>
      </c>
      <c r="C613" s="23" t="inlineStr">
        <is>
          <t>West wayside: radio equipment installation - field start</t>
        </is>
      </c>
      <c r="D613" s="23" t="inlineStr">
        <is>
          <t>WBS Code = 1.3.1</t>
        </is>
      </c>
      <c r="E613" s="23" t="inlineStr">
        <is>
          <t>R443-v2</t>
        </is>
      </c>
      <c r="F613" s="23" t="inlineStr">
        <is>
          <t>1.3.1 Systems - Traction Power</t>
        </is>
      </c>
      <c r="G613" s="23" t="inlineStr">
        <is>
          <t>ONE_TO_ONE</t>
        </is>
      </c>
      <c r="H613" s="23" t="inlineStr">
        <is>
          <t>RETAINED</t>
        </is>
      </c>
      <c r="I613" s="23" t="inlineStr">
        <is>
          <t>Carried forward</t>
        </is>
      </c>
      <c r="J613" s="23" t="inlineStr">
        <is>
          <t>Source assignment -- not individually reviewed</t>
        </is>
      </c>
      <c r="K613" s="23" t="inlineStr"/>
      <c r="L613" s="23" t="inlineStr"/>
      <c r="M613" s="23" t="inlineStr"/>
      <c r="N613" s="14" t="inlineStr">
        <is>
          <t>10 EVIDENCE &amp; DECISIONS</t>
        </is>
      </c>
    </row>
    <row r="614" ht="34" customHeight="1">
      <c r="A614" s="23" t="inlineStr">
        <is>
          <t>Contractor Programme</t>
        </is>
      </c>
      <c r="B614" s="23" t="inlineStr">
        <is>
          <t>SCH-03-085</t>
        </is>
      </c>
      <c r="C614" s="23" t="inlineStr">
        <is>
          <t>Central interlocking: fibre backbone termination - inspection</t>
        </is>
      </c>
      <c r="D614" s="23" t="inlineStr">
        <is>
          <t>WBS Code = 1.3.1</t>
        </is>
      </c>
      <c r="E614" s="23" t="inlineStr">
        <is>
          <t>R445-v2</t>
        </is>
      </c>
      <c r="F614" s="23" t="inlineStr">
        <is>
          <t>1.3.1 Systems - Traction Power</t>
        </is>
      </c>
      <c r="G614" s="23" t="inlineStr">
        <is>
          <t>ONE_TO_ONE</t>
        </is>
      </c>
      <c r="H614" s="23" t="inlineStr">
        <is>
          <t>RETAINED</t>
        </is>
      </c>
      <c r="I614" s="23" t="inlineStr">
        <is>
          <t>Carried forward</t>
        </is>
      </c>
      <c r="J614" s="23" t="inlineStr">
        <is>
          <t>Source assignment -- not individually reviewed</t>
        </is>
      </c>
      <c r="K614" s="23" t="inlineStr"/>
      <c r="L614" s="23" t="inlineStr"/>
      <c r="M614" s="23" t="inlineStr"/>
      <c r="N614" s="14" t="inlineStr">
        <is>
          <t>10 EVIDENCE &amp; DECISIONS</t>
        </is>
      </c>
    </row>
    <row r="615" ht="34" customHeight="1">
      <c r="A615" s="23" t="inlineStr">
        <is>
          <t>Contractor Programme</t>
        </is>
      </c>
      <c r="B615" s="23" t="inlineStr">
        <is>
          <t>SCH-03-086</t>
        </is>
      </c>
      <c r="C615" s="23" t="inlineStr">
        <is>
          <t>Harbour Station: SCADA point-to-point check - turnover</t>
        </is>
      </c>
      <c r="D615" s="23" t="inlineStr">
        <is>
          <t>WBS Code = 1.3.1</t>
        </is>
      </c>
      <c r="E615" s="23" t="inlineStr">
        <is>
          <t>R446-v2</t>
        </is>
      </c>
      <c r="F615" s="23" t="inlineStr">
        <is>
          <t>1.3.1 Systems - Traction Power</t>
        </is>
      </c>
      <c r="G615" s="23" t="inlineStr">
        <is>
          <t>ONE_TO_ONE</t>
        </is>
      </c>
      <c r="H615" s="23" t="inlineStr">
        <is>
          <t>RETAINED</t>
        </is>
      </c>
      <c r="I615" s="23" t="inlineStr">
        <is>
          <t>Carried forward</t>
        </is>
      </c>
      <c r="J615" s="23" t="inlineStr">
        <is>
          <t>Source assignment -- not individually reviewed</t>
        </is>
      </c>
      <c r="K615" s="23" t="inlineStr"/>
      <c r="L615" s="23" t="inlineStr"/>
      <c r="M615" s="23" t="inlineStr"/>
      <c r="N615" s="14" t="inlineStr">
        <is>
          <t>10 EVIDENCE &amp; DECISIONS</t>
        </is>
      </c>
    </row>
    <row r="616" ht="34" customHeight="1">
      <c r="A616" s="23" t="inlineStr">
        <is>
          <t>Contractor Programme</t>
        </is>
      </c>
      <c r="B616" s="23" t="inlineStr">
        <is>
          <t>SCH-03-088</t>
        </is>
      </c>
      <c r="C616" s="23" t="inlineStr">
        <is>
          <t>West wayside: train-control cabinet fit-out - field start</t>
        </is>
      </c>
      <c r="D616" s="23" t="inlineStr">
        <is>
          <t>WBS Code = 1.3.1</t>
        </is>
      </c>
      <c r="E616" s="23" t="inlineStr">
        <is>
          <t>R448-v2</t>
        </is>
      </c>
      <c r="F616" s="23" t="inlineStr">
        <is>
          <t>1.3.1 Systems - Traction Power</t>
        </is>
      </c>
      <c r="G616" s="23" t="inlineStr">
        <is>
          <t>ONE_TO_ONE</t>
        </is>
      </c>
      <c r="H616" s="23" t="inlineStr">
        <is>
          <t>RETAINED</t>
        </is>
      </c>
      <c r="I616" s="23" t="inlineStr">
        <is>
          <t>Carried forward</t>
        </is>
      </c>
      <c r="J616" s="23" t="inlineStr">
        <is>
          <t>Source assignment -- not individually reviewed</t>
        </is>
      </c>
      <c r="K616" s="23" t="inlineStr"/>
      <c r="L616" s="23" t="inlineStr"/>
      <c r="M616" s="23" t="inlineStr"/>
      <c r="N616" s="14" t="inlineStr">
        <is>
          <t>10 EVIDENCE &amp; DECISIONS</t>
        </is>
      </c>
    </row>
    <row r="617" ht="34" customHeight="1">
      <c r="A617" s="23" t="inlineStr">
        <is>
          <t>Contractor Programme</t>
        </is>
      </c>
      <c r="B617" s="23" t="inlineStr">
        <is>
          <t>SCH-03-089</t>
        </is>
      </c>
      <c r="C617" s="23" t="inlineStr">
        <is>
          <t>East substation: wayside interface test - installation</t>
        </is>
      </c>
      <c r="D617" s="23" t="inlineStr">
        <is>
          <t>WBS Code = 1.3.1</t>
        </is>
      </c>
      <c r="E617" s="23" t="inlineStr">
        <is>
          <t>R449-v2</t>
        </is>
      </c>
      <c r="F617" s="23" t="inlineStr">
        <is>
          <t>1.3.1 Systems - Traction Power</t>
        </is>
      </c>
      <c r="G617" s="23" t="inlineStr">
        <is>
          <t>ONE_TO_ONE</t>
        </is>
      </c>
      <c r="H617" s="23" t="inlineStr">
        <is>
          <t>RETAINED</t>
        </is>
      </c>
      <c r="I617" s="23" t="inlineStr">
        <is>
          <t>Carried forward</t>
        </is>
      </c>
      <c r="J617" s="23" t="inlineStr">
        <is>
          <t>Source assignment -- not individually reviewed</t>
        </is>
      </c>
      <c r="K617" s="23" t="inlineStr"/>
      <c r="L617" s="23" t="inlineStr"/>
      <c r="M617" s="23" t="inlineStr"/>
      <c r="N617" s="14" t="inlineStr">
        <is>
          <t>10 EVIDENCE &amp; DECISIONS</t>
        </is>
      </c>
    </row>
    <row r="618" ht="34" customHeight="1">
      <c r="A618" s="23" t="inlineStr">
        <is>
          <t>Contractor Programme</t>
        </is>
      </c>
      <c r="B618" s="23" t="inlineStr">
        <is>
          <t>SCH-03-091</t>
        </is>
      </c>
      <c r="C618" s="23" t="inlineStr">
        <is>
          <t>Harbour Station: radio equipment installation - turnover</t>
        </is>
      </c>
      <c r="D618" s="23" t="inlineStr">
        <is>
          <t>WBS Code = 1.3.1</t>
        </is>
      </c>
      <c r="E618" s="23" t="inlineStr">
        <is>
          <t>R451-v2</t>
        </is>
      </c>
      <c r="F618" s="23" t="inlineStr">
        <is>
          <t>1.3.1 Systems - Traction Power</t>
        </is>
      </c>
      <c r="G618" s="23" t="inlineStr">
        <is>
          <t>ONE_TO_ONE</t>
        </is>
      </c>
      <c r="H618" s="23" t="inlineStr">
        <is>
          <t>RETAINED</t>
        </is>
      </c>
      <c r="I618" s="23" t="inlineStr">
        <is>
          <t>Carried forward</t>
        </is>
      </c>
      <c r="J618" s="23" t="inlineStr">
        <is>
          <t>Source assignment -- not individually reviewed</t>
        </is>
      </c>
      <c r="K618" s="23" t="inlineStr"/>
      <c r="L618" s="23" t="inlineStr"/>
      <c r="M618" s="23" t="inlineStr"/>
      <c r="N618" s="14" t="inlineStr">
        <is>
          <t>10 EVIDENCE &amp; DECISIONS</t>
        </is>
      </c>
    </row>
    <row r="619" ht="34" customHeight="1">
      <c r="A619" s="23" t="inlineStr">
        <is>
          <t>Contractor Programme</t>
        </is>
      </c>
      <c r="B619" s="23" t="inlineStr">
        <is>
          <t>SCH-03-092</t>
        </is>
      </c>
      <c r="C619" s="23" t="inlineStr">
        <is>
          <t>Control Centre: control-centre integration - release</t>
        </is>
      </c>
      <c r="D619" s="23" t="inlineStr">
        <is>
          <t>WBS Code = 1.3.1</t>
        </is>
      </c>
      <c r="E619" s="23" t="inlineStr">
        <is>
          <t>R452-v2</t>
        </is>
      </c>
      <c r="F619" s="23" t="inlineStr">
        <is>
          <t>1.3.1 Systems - Traction Power</t>
        </is>
      </c>
      <c r="G619" s="23" t="inlineStr">
        <is>
          <t>ONE_TO_ONE</t>
        </is>
      </c>
      <c r="H619" s="23" t="inlineStr">
        <is>
          <t>RETAINED</t>
        </is>
      </c>
      <c r="I619" s="23" t="inlineStr">
        <is>
          <t>Carried forward</t>
        </is>
      </c>
      <c r="J619" s="23" t="inlineStr">
        <is>
          <t>Source assignment -- not individually reviewed</t>
        </is>
      </c>
      <c r="K619" s="23" t="inlineStr"/>
      <c r="L619" s="23" t="inlineStr"/>
      <c r="M619" s="23" t="inlineStr"/>
      <c r="N619" s="14" t="inlineStr">
        <is>
          <t>10 EVIDENCE &amp; DECISIONS</t>
        </is>
      </c>
    </row>
    <row r="620" ht="34" customHeight="1">
      <c r="A620" s="23" t="inlineStr">
        <is>
          <t>Contractor Programme</t>
        </is>
      </c>
      <c r="B620" s="23" t="inlineStr">
        <is>
          <t>SCH-03-094</t>
        </is>
      </c>
      <c r="C620" s="23" t="inlineStr">
        <is>
          <t>East substation: SCADA point-to-point check - installation</t>
        </is>
      </c>
      <c r="D620" s="23" t="inlineStr">
        <is>
          <t>WBS Code = 1.3.1</t>
        </is>
      </c>
      <c r="E620" s="23" t="inlineStr">
        <is>
          <t>R454-v2</t>
        </is>
      </c>
      <c r="F620" s="23" t="inlineStr">
        <is>
          <t>1.3.1 Systems - Traction Power</t>
        </is>
      </c>
      <c r="G620" s="23" t="inlineStr">
        <is>
          <t>ONE_TO_ONE</t>
        </is>
      </c>
      <c r="H620" s="23" t="inlineStr">
        <is>
          <t>RETAINED</t>
        </is>
      </c>
      <c r="I620" s="23" t="inlineStr">
        <is>
          <t>Carried forward</t>
        </is>
      </c>
      <c r="J620" s="23" t="inlineStr">
        <is>
          <t>Source assignment -- not individually reviewed</t>
        </is>
      </c>
      <c r="K620" s="23" t="inlineStr"/>
      <c r="L620" s="23" t="inlineStr"/>
      <c r="M620" s="23" t="inlineStr"/>
      <c r="N620" s="14" t="inlineStr">
        <is>
          <t>10 EVIDENCE &amp; DECISIONS</t>
        </is>
      </c>
    </row>
    <row r="621" ht="34" customHeight="1">
      <c r="A621" s="23" t="inlineStr">
        <is>
          <t>Contractor Programme</t>
        </is>
      </c>
      <c r="B621" s="23" t="inlineStr">
        <is>
          <t>SCH-03-095</t>
        </is>
      </c>
      <c r="C621" s="23" t="inlineStr">
        <is>
          <t>Central interlocking: traction-power feeder pull - inspection</t>
        </is>
      </c>
      <c r="D621" s="23" t="inlineStr">
        <is>
          <t>WBS Code = 1.3.1</t>
        </is>
      </c>
      <c r="E621" s="23" t="inlineStr">
        <is>
          <t>R455-v2</t>
        </is>
      </c>
      <c r="F621" s="23" t="inlineStr">
        <is>
          <t>1.3.1 Systems - Traction Power</t>
        </is>
      </c>
      <c r="G621" s="23" t="inlineStr">
        <is>
          <t>ONE_TO_ONE</t>
        </is>
      </c>
      <c r="H621" s="23" t="inlineStr">
        <is>
          <t>RETAINED</t>
        </is>
      </c>
      <c r="I621" s="23" t="inlineStr">
        <is>
          <t>Carried forward</t>
        </is>
      </c>
      <c r="J621" s="23" t="inlineStr">
        <is>
          <t>Source assignment -- not individually reviewed</t>
        </is>
      </c>
      <c r="K621" s="23" t="inlineStr"/>
      <c r="L621" s="23" t="inlineStr"/>
      <c r="M621" s="23" t="inlineStr"/>
      <c r="N621" s="14" t="inlineStr">
        <is>
          <t>10 EVIDENCE &amp; DECISIONS</t>
        </is>
      </c>
    </row>
    <row r="622" ht="34" customHeight="1">
      <c r="A622" s="23" t="inlineStr">
        <is>
          <t>Contractor Programme</t>
        </is>
      </c>
      <c r="B622" s="23" t="inlineStr">
        <is>
          <t>SCH-03-097</t>
        </is>
      </c>
      <c r="C622" s="23" t="inlineStr">
        <is>
          <t>Control Centre: wayside interface test - release</t>
        </is>
      </c>
      <c r="D622" s="23" t="inlineStr">
        <is>
          <t>WBS Code = 1.3.1</t>
        </is>
      </c>
      <c r="E622" s="23" t="inlineStr">
        <is>
          <t>R457-v2</t>
        </is>
      </c>
      <c r="F622" s="23" t="inlineStr">
        <is>
          <t>1.3.1 Systems - Traction Power</t>
        </is>
      </c>
      <c r="G622" s="23" t="inlineStr">
        <is>
          <t>ONE_TO_ONE</t>
        </is>
      </c>
      <c r="H622" s="23" t="inlineStr">
        <is>
          <t>RETAINED</t>
        </is>
      </c>
      <c r="I622" s="23" t="inlineStr">
        <is>
          <t>Carried forward</t>
        </is>
      </c>
      <c r="J622" s="23" t="inlineStr">
        <is>
          <t>Source assignment -- not individually reviewed</t>
        </is>
      </c>
      <c r="K622" s="23" t="inlineStr"/>
      <c r="L622" s="23" t="inlineStr"/>
      <c r="M622" s="23" t="inlineStr"/>
      <c r="N622" s="14" t="inlineStr">
        <is>
          <t>10 EVIDENCE &amp; DECISIONS</t>
        </is>
      </c>
    </row>
    <row r="623" ht="34" customHeight="1">
      <c r="A623" s="23" t="inlineStr">
        <is>
          <t>Contractor Programme</t>
        </is>
      </c>
      <c r="B623" s="23" t="inlineStr">
        <is>
          <t>SCH-03-098</t>
        </is>
      </c>
      <c r="C623" s="23" t="inlineStr">
        <is>
          <t>West wayside: signal equipment installation - field start</t>
        </is>
      </c>
      <c r="D623" s="23" t="inlineStr">
        <is>
          <t>WBS Code = 1.3.1</t>
        </is>
      </c>
      <c r="E623" s="23" t="inlineStr">
        <is>
          <t>R458-v2</t>
        </is>
      </c>
      <c r="F623" s="23" t="inlineStr">
        <is>
          <t>1.3.1 Systems - Traction Power</t>
        </is>
      </c>
      <c r="G623" s="23" t="inlineStr">
        <is>
          <t>ONE_TO_ONE</t>
        </is>
      </c>
      <c r="H623" s="23" t="inlineStr">
        <is>
          <t>RETAINED</t>
        </is>
      </c>
      <c r="I623" s="23" t="inlineStr">
        <is>
          <t>Carried forward</t>
        </is>
      </c>
      <c r="J623" s="23" t="inlineStr">
        <is>
          <t>Source assignment -- not individually reviewed</t>
        </is>
      </c>
      <c r="K623" s="23" t="inlineStr"/>
      <c r="L623" s="23" t="inlineStr"/>
      <c r="M623" s="23" t="inlineStr"/>
      <c r="N623" s="14" t="inlineStr">
        <is>
          <t>10 EVIDENCE &amp; DECISIONS</t>
        </is>
      </c>
    </row>
    <row r="624" ht="34" customHeight="1">
      <c r="A624" s="23" t="inlineStr">
        <is>
          <t>Contractor Programme</t>
        </is>
      </c>
      <c r="B624" s="23" t="inlineStr">
        <is>
          <t>SCH-03-100</t>
        </is>
      </c>
      <c r="C624" s="23" t="inlineStr">
        <is>
          <t>Central interlocking: control-centre integration - inspection</t>
        </is>
      </c>
      <c r="D624" s="23" t="inlineStr">
        <is>
          <t>WBS Code = 1.3.1</t>
        </is>
      </c>
      <c r="E624" s="23" t="inlineStr">
        <is>
          <t>R460-v2</t>
        </is>
      </c>
      <c r="F624" s="23" t="inlineStr">
        <is>
          <t>1.3.1 Systems - Traction Power</t>
        </is>
      </c>
      <c r="G624" s="23" t="inlineStr">
        <is>
          <t>ONE_TO_ONE</t>
        </is>
      </c>
      <c r="H624" s="23" t="inlineStr">
        <is>
          <t>RETAINED</t>
        </is>
      </c>
      <c r="I624" s="23" t="inlineStr">
        <is>
          <t>Carried forward</t>
        </is>
      </c>
      <c r="J624" s="23" t="inlineStr">
        <is>
          <t>Source assignment -- not individually reviewed</t>
        </is>
      </c>
      <c r="K624" s="23" t="inlineStr"/>
      <c r="L624" s="23" t="inlineStr"/>
      <c r="M624" s="23" t="inlineStr"/>
      <c r="N624" s="14" t="inlineStr">
        <is>
          <t>10 EVIDENCE &amp; DECISIONS</t>
        </is>
      </c>
    </row>
    <row r="625" ht="34" customHeight="1">
      <c r="A625" s="23" t="inlineStr">
        <is>
          <t>Contractor Programme</t>
        </is>
      </c>
      <c r="B625" s="23" t="inlineStr">
        <is>
          <t>SCH-03-101</t>
        </is>
      </c>
      <c r="C625" s="23" t="inlineStr">
        <is>
          <t>Harbour Station: fibre backbone termination - turnover</t>
        </is>
      </c>
      <c r="D625" s="23" t="inlineStr">
        <is>
          <t>WBS Code = 1.3.1</t>
        </is>
      </c>
      <c r="E625" s="23" t="inlineStr">
        <is>
          <t>R461-v2</t>
        </is>
      </c>
      <c r="F625" s="23" t="inlineStr">
        <is>
          <t>1.3.1 Systems - Traction Power</t>
        </is>
      </c>
      <c r="G625" s="23" t="inlineStr">
        <is>
          <t>ONE_TO_ONE</t>
        </is>
      </c>
      <c r="H625" s="23" t="inlineStr">
        <is>
          <t>RETAINED</t>
        </is>
      </c>
      <c r="I625" s="23" t="inlineStr">
        <is>
          <t>Carried forward</t>
        </is>
      </c>
      <c r="J625" s="23" t="inlineStr">
        <is>
          <t>Source assignment -- not individually reviewed</t>
        </is>
      </c>
      <c r="K625" s="23" t="inlineStr"/>
      <c r="L625" s="23" t="inlineStr"/>
      <c r="M625" s="23" t="inlineStr"/>
      <c r="N625" s="14" t="inlineStr">
        <is>
          <t>10 EVIDENCE &amp; DECISIONS</t>
        </is>
      </c>
    </row>
    <row r="626" ht="34" customHeight="1">
      <c r="A626" s="23" t="inlineStr">
        <is>
          <t>Contractor Programme</t>
        </is>
      </c>
      <c r="B626" s="23" t="inlineStr">
        <is>
          <t>SCH-03-103</t>
        </is>
      </c>
      <c r="C626" s="23" t="inlineStr">
        <is>
          <t>West wayside: traction-power feeder pull - field start</t>
        </is>
      </c>
      <c r="D626" s="23" t="inlineStr">
        <is>
          <t>WBS Code = 1.3.1</t>
        </is>
      </c>
      <c r="E626" s="23" t="inlineStr">
        <is>
          <t>R463-v2</t>
        </is>
      </c>
      <c r="F626" s="23" t="inlineStr">
        <is>
          <t>1.3.1 Systems - Traction Power</t>
        </is>
      </c>
      <c r="G626" s="23" t="inlineStr">
        <is>
          <t>ONE_TO_ONE</t>
        </is>
      </c>
      <c r="H626" s="23" t="inlineStr">
        <is>
          <t>RETAINED</t>
        </is>
      </c>
      <c r="I626" s="23" t="inlineStr">
        <is>
          <t>Carried forward</t>
        </is>
      </c>
      <c r="J626" s="23" t="inlineStr">
        <is>
          <t>Source assignment -- not individually reviewed</t>
        </is>
      </c>
      <c r="K626" s="23" t="inlineStr"/>
      <c r="L626" s="23" t="inlineStr"/>
      <c r="M626" s="23" t="inlineStr"/>
      <c r="N626" s="14" t="inlineStr">
        <is>
          <t>10 EVIDENCE &amp; DECISIONS</t>
        </is>
      </c>
    </row>
    <row r="627" ht="34" customHeight="1">
      <c r="A627" s="23" t="inlineStr">
        <is>
          <t>Contractor Programme</t>
        </is>
      </c>
      <c r="B627" s="23" t="inlineStr">
        <is>
          <t>SCH-03-104</t>
        </is>
      </c>
      <c r="C627" s="23" t="inlineStr">
        <is>
          <t>East substation: train-control cabinet fit-out - installation</t>
        </is>
      </c>
      <c r="D627" s="23" t="inlineStr">
        <is>
          <t>WBS Code = 1.3.1</t>
        </is>
      </c>
      <c r="E627" s="23" t="inlineStr">
        <is>
          <t>R464-v2</t>
        </is>
      </c>
      <c r="F627" s="23" t="inlineStr">
        <is>
          <t>1.3.1 Systems - Traction Power</t>
        </is>
      </c>
      <c r="G627" s="23" t="inlineStr">
        <is>
          <t>ONE_TO_ONE</t>
        </is>
      </c>
      <c r="H627" s="23" t="inlineStr">
        <is>
          <t>RETAINED</t>
        </is>
      </c>
      <c r="I627" s="23" t="inlineStr">
        <is>
          <t>Carried forward</t>
        </is>
      </c>
      <c r="J627" s="23" t="inlineStr">
        <is>
          <t>Source assignment -- not individually reviewed</t>
        </is>
      </c>
      <c r="K627" s="23" t="inlineStr"/>
      <c r="L627" s="23" t="inlineStr"/>
      <c r="M627" s="23" t="inlineStr"/>
      <c r="N627" s="14" t="inlineStr">
        <is>
          <t>10 EVIDENCE &amp; DECISIONS</t>
        </is>
      </c>
    </row>
    <row r="628" ht="34" customHeight="1">
      <c r="A628" s="23" t="inlineStr">
        <is>
          <t>Contractor Programme</t>
        </is>
      </c>
      <c r="B628" s="23" t="inlineStr">
        <is>
          <t>SCH-03-106</t>
        </is>
      </c>
      <c r="C628" s="23" t="inlineStr">
        <is>
          <t>Harbour Station: signal equipment installation - turnover</t>
        </is>
      </c>
      <c r="D628" s="23" t="inlineStr">
        <is>
          <t>WBS Code = 1.3.1</t>
        </is>
      </c>
      <c r="E628" s="23" t="inlineStr">
        <is>
          <t>R466-v2</t>
        </is>
      </c>
      <c r="F628" s="23" t="inlineStr">
        <is>
          <t>1.3.1 Systems - Traction Power</t>
        </is>
      </c>
      <c r="G628" s="23" t="inlineStr">
        <is>
          <t>ONE_TO_ONE</t>
        </is>
      </c>
      <c r="H628" s="23" t="inlineStr">
        <is>
          <t>RETAINED</t>
        </is>
      </c>
      <c r="I628" s="23" t="inlineStr">
        <is>
          <t>Carried forward</t>
        </is>
      </c>
      <c r="J628" s="23" t="inlineStr">
        <is>
          <t>Source assignment -- not individually reviewed</t>
        </is>
      </c>
      <c r="K628" s="23" t="inlineStr"/>
      <c r="L628" s="23" t="inlineStr"/>
      <c r="M628" s="23" t="inlineStr"/>
      <c r="N628" s="14" t="inlineStr">
        <is>
          <t>10 EVIDENCE &amp; DECISIONS</t>
        </is>
      </c>
    </row>
    <row r="629" ht="34" customHeight="1">
      <c r="A629" s="23" t="inlineStr">
        <is>
          <t>Contractor Programme</t>
        </is>
      </c>
      <c r="B629" s="23" t="inlineStr">
        <is>
          <t>SCH-03-107</t>
        </is>
      </c>
      <c r="C629" s="23" t="inlineStr">
        <is>
          <t>Control Centre: radio equipment installation - release</t>
        </is>
      </c>
      <c r="D629" s="23" t="inlineStr">
        <is>
          <t>WBS Code = 1.3.1</t>
        </is>
      </c>
      <c r="E629" s="23" t="inlineStr">
        <is>
          <t>R467-v2</t>
        </is>
      </c>
      <c r="F629" s="23" t="inlineStr">
        <is>
          <t>1.3.1 Systems - Traction Power</t>
        </is>
      </c>
      <c r="G629" s="23" t="inlineStr">
        <is>
          <t>ONE_TO_ONE</t>
        </is>
      </c>
      <c r="H629" s="23" t="inlineStr">
        <is>
          <t>RETAINED</t>
        </is>
      </c>
      <c r="I629" s="23" t="inlineStr">
        <is>
          <t>Carried forward</t>
        </is>
      </c>
      <c r="J629" s="23" t="inlineStr">
        <is>
          <t>Source assignment -- not individually reviewed</t>
        </is>
      </c>
      <c r="K629" s="23" t="inlineStr"/>
      <c r="L629" s="23" t="inlineStr"/>
      <c r="M629" s="23" t="inlineStr"/>
      <c r="N629" s="14" t="inlineStr">
        <is>
          <t>10 EVIDENCE &amp; DECISIONS</t>
        </is>
      </c>
    </row>
    <row r="630" ht="34" customHeight="1">
      <c r="A630" s="23" t="inlineStr">
        <is>
          <t>Contractor Programme</t>
        </is>
      </c>
      <c r="B630" s="23" t="inlineStr">
        <is>
          <t>SCH-03-109</t>
        </is>
      </c>
      <c r="C630" s="23" t="inlineStr">
        <is>
          <t>East substation: fibre backbone termination - installation</t>
        </is>
      </c>
      <c r="D630" s="23" t="inlineStr">
        <is>
          <t>WBS Code = 1.3.1</t>
        </is>
      </c>
      <c r="E630" s="23" t="inlineStr">
        <is>
          <t>R469-v2</t>
        </is>
      </c>
      <c r="F630" s="23" t="inlineStr">
        <is>
          <t>1.3.1 Systems - Traction Power</t>
        </is>
      </c>
      <c r="G630" s="23" t="inlineStr">
        <is>
          <t>ONE_TO_ONE</t>
        </is>
      </c>
      <c r="H630" s="23" t="inlineStr">
        <is>
          <t>RETAINED</t>
        </is>
      </c>
      <c r="I630" s="23" t="inlineStr">
        <is>
          <t>Carried forward</t>
        </is>
      </c>
      <c r="J630" s="23" t="inlineStr">
        <is>
          <t>Source assignment -- not individually reviewed</t>
        </is>
      </c>
      <c r="K630" s="23" t="inlineStr"/>
      <c r="L630" s="23" t="inlineStr"/>
      <c r="M630" s="23" t="inlineStr"/>
      <c r="N630" s="14" t="inlineStr">
        <is>
          <t>10 EVIDENCE &amp; DECISIONS</t>
        </is>
      </c>
    </row>
    <row r="631" ht="34" customHeight="1">
      <c r="A631" s="23" t="inlineStr">
        <is>
          <t>Contractor Programme</t>
        </is>
      </c>
      <c r="B631" s="23" t="inlineStr">
        <is>
          <t>SCH-03-110</t>
        </is>
      </c>
      <c r="C631" s="23" t="inlineStr">
        <is>
          <t>Central interlocking: SCADA point-to-point check - inspection</t>
        </is>
      </c>
      <c r="D631" s="23" t="inlineStr">
        <is>
          <t>WBS Code = 1.3.1</t>
        </is>
      </c>
      <c r="E631" s="23" t="inlineStr">
        <is>
          <t>R470-v2</t>
        </is>
      </c>
      <c r="F631" s="23" t="inlineStr">
        <is>
          <t>1.3.1 Systems - Traction Power</t>
        </is>
      </c>
      <c r="G631" s="23" t="inlineStr">
        <is>
          <t>ONE_TO_ONE</t>
        </is>
      </c>
      <c r="H631" s="23" t="inlineStr">
        <is>
          <t>RETAINED</t>
        </is>
      </c>
      <c r="I631" s="23" t="inlineStr">
        <is>
          <t>Carried forward</t>
        </is>
      </c>
      <c r="J631" s="23" t="inlineStr">
        <is>
          <t>Source assignment -- not individually reviewed</t>
        </is>
      </c>
      <c r="K631" s="23" t="inlineStr"/>
      <c r="L631" s="23" t="inlineStr"/>
      <c r="M631" s="23" t="inlineStr"/>
      <c r="N631" s="14" t="inlineStr">
        <is>
          <t>10 EVIDENCE &amp; DECISIONS</t>
        </is>
      </c>
    </row>
    <row r="632" ht="34" customHeight="1">
      <c r="A632" s="23" t="inlineStr">
        <is>
          <t>Contractor Programme</t>
        </is>
      </c>
      <c r="B632" s="23" t="inlineStr">
        <is>
          <t>SCH-03-112</t>
        </is>
      </c>
      <c r="C632" s="23" t="inlineStr">
        <is>
          <t>Control Centre: train-control cabinet fit-out - release</t>
        </is>
      </c>
      <c r="D632" s="23" t="inlineStr">
        <is>
          <t>WBS Code = 1.3.1</t>
        </is>
      </c>
      <c r="E632" s="23" t="inlineStr">
        <is>
          <t>R472-v2</t>
        </is>
      </c>
      <c r="F632" s="23" t="inlineStr">
        <is>
          <t>1.3.1 Systems - Traction Power</t>
        </is>
      </c>
      <c r="G632" s="23" t="inlineStr">
        <is>
          <t>ONE_TO_ONE</t>
        </is>
      </c>
      <c r="H632" s="23" t="inlineStr">
        <is>
          <t>RETAINED</t>
        </is>
      </c>
      <c r="I632" s="23" t="inlineStr">
        <is>
          <t>Carried forward</t>
        </is>
      </c>
      <c r="J632" s="23" t="inlineStr">
        <is>
          <t>Source assignment -- not individually reviewed</t>
        </is>
      </c>
      <c r="K632" s="23" t="inlineStr"/>
      <c r="L632" s="23" t="inlineStr"/>
      <c r="M632" s="23" t="inlineStr"/>
      <c r="N632" s="14" t="inlineStr">
        <is>
          <t>10 EVIDENCE &amp; DECISIONS</t>
        </is>
      </c>
    </row>
    <row r="633" ht="34" customHeight="1">
      <c r="A633" s="23" t="inlineStr">
        <is>
          <t>Contractor Programme</t>
        </is>
      </c>
      <c r="B633" s="23" t="inlineStr">
        <is>
          <t>SCH-03-113</t>
        </is>
      </c>
      <c r="C633" s="23" t="inlineStr">
        <is>
          <t>West wayside: wayside interface test - field start</t>
        </is>
      </c>
      <c r="D633" s="23" t="inlineStr">
        <is>
          <t>WBS Code = 1.3.1</t>
        </is>
      </c>
      <c r="E633" s="23" t="inlineStr">
        <is>
          <t>R473-v2</t>
        </is>
      </c>
      <c r="F633" s="23" t="inlineStr">
        <is>
          <t>1.3.1 Systems - Traction Power</t>
        </is>
      </c>
      <c r="G633" s="23" t="inlineStr">
        <is>
          <t>ONE_TO_ONE</t>
        </is>
      </c>
      <c r="H633" s="23" t="inlineStr">
        <is>
          <t>RETAINED</t>
        </is>
      </c>
      <c r="I633" s="23" t="inlineStr">
        <is>
          <t>Carried forward</t>
        </is>
      </c>
      <c r="J633" s="23" t="inlineStr">
        <is>
          <t>Source assignment -- not individually reviewed</t>
        </is>
      </c>
      <c r="K633" s="23" t="inlineStr"/>
      <c r="L633" s="23" t="inlineStr"/>
      <c r="M633" s="23" t="inlineStr"/>
      <c r="N633" s="14" t="inlineStr">
        <is>
          <t>10 EVIDENCE &amp; DECISIONS</t>
        </is>
      </c>
    </row>
    <row r="634" ht="34" customHeight="1">
      <c r="A634" s="23" t="inlineStr">
        <is>
          <t>Contractor Programme</t>
        </is>
      </c>
      <c r="B634" s="23" t="inlineStr">
        <is>
          <t>SCH-03-115</t>
        </is>
      </c>
      <c r="C634" s="23" t="inlineStr">
        <is>
          <t>Central interlocking: radio equipment installation - inspection</t>
        </is>
      </c>
      <c r="D634" s="23" t="inlineStr">
        <is>
          <t>WBS Code = 1.3.1</t>
        </is>
      </c>
      <c r="E634" s="23" t="inlineStr">
        <is>
          <t>R475-v2</t>
        </is>
      </c>
      <c r="F634" s="23" t="inlineStr">
        <is>
          <t>1.3.1 Systems - Traction Power</t>
        </is>
      </c>
      <c r="G634" s="23" t="inlineStr">
        <is>
          <t>ONE_TO_ONE</t>
        </is>
      </c>
      <c r="H634" s="23" t="inlineStr">
        <is>
          <t>RETAINED</t>
        </is>
      </c>
      <c r="I634" s="23" t="inlineStr">
        <is>
          <t>Carried forward</t>
        </is>
      </c>
      <c r="J634" s="23" t="inlineStr">
        <is>
          <t>Source assignment -- not individually reviewed</t>
        </is>
      </c>
      <c r="K634" s="23" t="inlineStr"/>
      <c r="L634" s="23" t="inlineStr"/>
      <c r="M634" s="23" t="inlineStr"/>
      <c r="N634" s="14" t="inlineStr">
        <is>
          <t>10 EVIDENCE &amp; DECISIONS</t>
        </is>
      </c>
    </row>
    <row r="635" ht="34" customHeight="1">
      <c r="A635" s="23" t="inlineStr">
        <is>
          <t>Contractor Programme</t>
        </is>
      </c>
      <c r="B635" s="23" t="inlineStr">
        <is>
          <t>SCH-03-116</t>
        </is>
      </c>
      <c r="C635" s="23" t="inlineStr">
        <is>
          <t>Harbour Station: control-centre integration - turnover</t>
        </is>
      </c>
      <c r="D635" s="23" t="inlineStr">
        <is>
          <t>WBS Code = 1.3.1</t>
        </is>
      </c>
      <c r="E635" s="23" t="inlineStr">
        <is>
          <t>R476-v2</t>
        </is>
      </c>
      <c r="F635" s="23" t="inlineStr">
        <is>
          <t>1.3.1 Systems - Traction Power</t>
        </is>
      </c>
      <c r="G635" s="23" t="inlineStr">
        <is>
          <t>ONE_TO_ONE</t>
        </is>
      </c>
      <c r="H635" s="23" t="inlineStr">
        <is>
          <t>RETAINED</t>
        </is>
      </c>
      <c r="I635" s="23" t="inlineStr">
        <is>
          <t>Carried forward</t>
        </is>
      </c>
      <c r="J635" s="23" t="inlineStr">
        <is>
          <t>Source assignment -- not individually reviewed</t>
        </is>
      </c>
      <c r="K635" s="23" t="inlineStr"/>
      <c r="L635" s="23" t="inlineStr"/>
      <c r="M635" s="23" t="inlineStr"/>
      <c r="N635" s="14" t="inlineStr">
        <is>
          <t>10 EVIDENCE &amp; DECISIONS</t>
        </is>
      </c>
    </row>
    <row r="636" ht="34" customHeight="1">
      <c r="A636" s="23" t="inlineStr">
        <is>
          <t>Contractor Programme</t>
        </is>
      </c>
      <c r="B636" s="23" t="inlineStr">
        <is>
          <t>SCH-03-118</t>
        </is>
      </c>
      <c r="C636" s="23" t="inlineStr">
        <is>
          <t>West wayside: SCADA point-to-point check - field start</t>
        </is>
      </c>
      <c r="D636" s="23" t="inlineStr">
        <is>
          <t>WBS Code = 1.3.1</t>
        </is>
      </c>
      <c r="E636" s="23" t="inlineStr">
        <is>
          <t>R478-v2</t>
        </is>
      </c>
      <c r="F636" s="23" t="inlineStr">
        <is>
          <t>1.3.1 Systems - Traction Power</t>
        </is>
      </c>
      <c r="G636" s="23" t="inlineStr">
        <is>
          <t>ONE_TO_ONE</t>
        </is>
      </c>
      <c r="H636" s="23" t="inlineStr">
        <is>
          <t>RETAINED</t>
        </is>
      </c>
      <c r="I636" s="23" t="inlineStr">
        <is>
          <t>Carried forward</t>
        </is>
      </c>
      <c r="J636" s="23" t="inlineStr">
        <is>
          <t>Source assignment -- not individually reviewed</t>
        </is>
      </c>
      <c r="K636" s="23" t="inlineStr"/>
      <c r="L636" s="23" t="inlineStr"/>
      <c r="M636" s="23" t="inlineStr"/>
      <c r="N636" s="14" t="inlineStr">
        <is>
          <t>10 EVIDENCE &amp; DECISIONS</t>
        </is>
      </c>
    </row>
    <row r="637" ht="34" customHeight="1">
      <c r="A637" s="23" t="inlineStr">
        <is>
          <t>Contractor Programme</t>
        </is>
      </c>
      <c r="B637" s="23" t="inlineStr">
        <is>
          <t>SCH-03-119</t>
        </is>
      </c>
      <c r="C637" s="23" t="inlineStr">
        <is>
          <t>East substation: traction-power feeder pull - installation</t>
        </is>
      </c>
      <c r="D637" s="23" t="inlineStr">
        <is>
          <t>WBS Code = 1.3.1</t>
        </is>
      </c>
      <c r="E637" s="23" t="inlineStr">
        <is>
          <t>R479-v2</t>
        </is>
      </c>
      <c r="F637" s="23" t="inlineStr">
        <is>
          <t>1.3.1 Systems - Traction Power</t>
        </is>
      </c>
      <c r="G637" s="23" t="inlineStr">
        <is>
          <t>ONE_TO_ONE</t>
        </is>
      </c>
      <c r="H637" s="23" t="inlineStr">
        <is>
          <t>RETAINED</t>
        </is>
      </c>
      <c r="I637" s="23" t="inlineStr">
        <is>
          <t>Carried forward</t>
        </is>
      </c>
      <c r="J637" s="23" t="inlineStr">
        <is>
          <t>Source assignment -- not individually reviewed</t>
        </is>
      </c>
      <c r="K637" s="23" t="inlineStr"/>
      <c r="L637" s="23" t="inlineStr"/>
      <c r="M637" s="23" t="inlineStr"/>
      <c r="N637" s="14" t="inlineStr">
        <is>
          <t>10 EVIDENCE &amp; DECISIONS</t>
        </is>
      </c>
    </row>
    <row r="638" ht="34" customHeight="1">
      <c r="A638" s="23" t="inlineStr">
        <is>
          <t>Contractor Programme</t>
        </is>
      </c>
      <c r="B638" s="23" t="inlineStr">
        <is>
          <t>SCH-03-121</t>
        </is>
      </c>
      <c r="C638" s="23" t="inlineStr">
        <is>
          <t>Harbour Station: wayside interface test - turnover</t>
        </is>
      </c>
      <c r="D638" s="23" t="inlineStr">
        <is>
          <t>WBS Code = 1.3.1</t>
        </is>
      </c>
      <c r="E638" s="23" t="inlineStr">
        <is>
          <t>R481-v2</t>
        </is>
      </c>
      <c r="F638" s="23" t="inlineStr">
        <is>
          <t>1.3.1 Systems - Traction Power</t>
        </is>
      </c>
      <c r="G638" s="23" t="inlineStr">
        <is>
          <t>ONE_TO_ONE</t>
        </is>
      </c>
      <c r="H638" s="23" t="inlineStr">
        <is>
          <t>RETAINED</t>
        </is>
      </c>
      <c r="I638" s="23" t="inlineStr">
        <is>
          <t>Carried forward</t>
        </is>
      </c>
      <c r="J638" s="23" t="inlineStr">
        <is>
          <t>Source assignment -- not individually reviewed</t>
        </is>
      </c>
      <c r="K638" s="23" t="inlineStr"/>
      <c r="L638" s="23" t="inlineStr"/>
      <c r="M638" s="23" t="inlineStr"/>
      <c r="N638" s="14" t="inlineStr">
        <is>
          <t>10 EVIDENCE &amp; DECISIONS</t>
        </is>
      </c>
    </row>
    <row r="639" ht="34" customHeight="1">
      <c r="A639" s="23" t="inlineStr">
        <is>
          <t>Contractor Programme</t>
        </is>
      </c>
      <c r="B639" s="23" t="inlineStr">
        <is>
          <t>SCH-03-122</t>
        </is>
      </c>
      <c r="C639" s="23" t="inlineStr">
        <is>
          <t>Control Centre: signal equipment installation - release</t>
        </is>
      </c>
      <c r="D639" s="23" t="inlineStr">
        <is>
          <t>WBS Code = 1.3.1</t>
        </is>
      </c>
      <c r="E639" s="23" t="inlineStr">
        <is>
          <t>R482-v2</t>
        </is>
      </c>
      <c r="F639" s="23" t="inlineStr">
        <is>
          <t>1.3.1 Systems - Traction Power</t>
        </is>
      </c>
      <c r="G639" s="23" t="inlineStr">
        <is>
          <t>ONE_TO_ONE</t>
        </is>
      </c>
      <c r="H639" s="23" t="inlineStr">
        <is>
          <t>RETAINED</t>
        </is>
      </c>
      <c r="I639" s="23" t="inlineStr">
        <is>
          <t>Carried forward</t>
        </is>
      </c>
      <c r="J639" s="23" t="inlineStr">
        <is>
          <t>Source assignment -- not individually reviewed</t>
        </is>
      </c>
      <c r="K639" s="23" t="inlineStr"/>
      <c r="L639" s="23" t="inlineStr"/>
      <c r="M639" s="23" t="inlineStr"/>
      <c r="N639" s="14" t="inlineStr">
        <is>
          <t>10 EVIDENCE &amp; DECISIONS</t>
        </is>
      </c>
    </row>
    <row r="640" ht="34" customHeight="1">
      <c r="A640" s="23" t="inlineStr">
        <is>
          <t>Contractor Programme</t>
        </is>
      </c>
      <c r="B640" s="23" t="inlineStr">
        <is>
          <t>SCH-03-124</t>
        </is>
      </c>
      <c r="C640" s="23" t="inlineStr">
        <is>
          <t>East substation: control-centre integration - installation</t>
        </is>
      </c>
      <c r="D640" s="23" t="inlineStr">
        <is>
          <t>WBS Code = 1.3.1</t>
        </is>
      </c>
      <c r="E640" s="23" t="inlineStr">
        <is>
          <t>R484-v2</t>
        </is>
      </c>
      <c r="F640" s="23" t="inlineStr">
        <is>
          <t>1.3.1 Systems - Traction Power</t>
        </is>
      </c>
      <c r="G640" s="23" t="inlineStr">
        <is>
          <t>ONE_TO_ONE</t>
        </is>
      </c>
      <c r="H640" s="23" t="inlineStr">
        <is>
          <t>RETAINED</t>
        </is>
      </c>
      <c r="I640" s="23" t="inlineStr">
        <is>
          <t>Carried forward</t>
        </is>
      </c>
      <c r="J640" s="23" t="inlineStr">
        <is>
          <t>Source assignment -- not individually reviewed</t>
        </is>
      </c>
      <c r="K640" s="23" t="inlineStr"/>
      <c r="L640" s="23" t="inlineStr"/>
      <c r="M640" s="23" t="inlineStr"/>
      <c r="N640" s="14" t="inlineStr">
        <is>
          <t>10 EVIDENCE &amp; DECISIONS</t>
        </is>
      </c>
    </row>
    <row r="641" ht="34" customHeight="1">
      <c r="A641" s="23" t="inlineStr">
        <is>
          <t>Contractor Programme</t>
        </is>
      </c>
      <c r="B641" s="23" t="inlineStr">
        <is>
          <t>SCH-03-125</t>
        </is>
      </c>
      <c r="C641" s="23" t="inlineStr">
        <is>
          <t>Central interlocking: fibre backbone termination - inspection</t>
        </is>
      </c>
      <c r="D641" s="23" t="inlineStr">
        <is>
          <t>WBS Code = 1.3.1</t>
        </is>
      </c>
      <c r="E641" s="23" t="inlineStr">
        <is>
          <t>R485-v2</t>
        </is>
      </c>
      <c r="F641" s="23" t="inlineStr">
        <is>
          <t>1.3.1 Systems - Traction Power</t>
        </is>
      </c>
      <c r="G641" s="23" t="inlineStr">
        <is>
          <t>ONE_TO_ONE</t>
        </is>
      </c>
      <c r="H641" s="23" t="inlineStr">
        <is>
          <t>RETAINED</t>
        </is>
      </c>
      <c r="I641" s="23" t="inlineStr">
        <is>
          <t>Carried forward</t>
        </is>
      </c>
      <c r="J641" s="23" t="inlineStr">
        <is>
          <t>Source assignment -- not individually reviewed</t>
        </is>
      </c>
      <c r="K641" s="23" t="inlineStr"/>
      <c r="L641" s="23" t="inlineStr"/>
      <c r="M641" s="23" t="inlineStr"/>
      <c r="N641" s="14" t="inlineStr">
        <is>
          <t>10 EVIDENCE &amp; DECISIONS</t>
        </is>
      </c>
    </row>
    <row r="642" ht="34" customHeight="1">
      <c r="A642" s="23" t="inlineStr">
        <is>
          <t>Contractor Programme</t>
        </is>
      </c>
      <c r="B642" s="23" t="inlineStr">
        <is>
          <t>SCH-03-127</t>
        </is>
      </c>
      <c r="C642" s="23" t="inlineStr">
        <is>
          <t>Control Centre: traction-power feeder pull - release</t>
        </is>
      </c>
      <c r="D642" s="23" t="inlineStr">
        <is>
          <t>WBS Code = 1.3.1</t>
        </is>
      </c>
      <c r="E642" s="23" t="inlineStr">
        <is>
          <t>R487-v2</t>
        </is>
      </c>
      <c r="F642" s="23" t="inlineStr">
        <is>
          <t>1.3.1 Systems - Traction Power</t>
        </is>
      </c>
      <c r="G642" s="23" t="inlineStr">
        <is>
          <t>ONE_TO_ONE</t>
        </is>
      </c>
      <c r="H642" s="23" t="inlineStr">
        <is>
          <t>RETAINED</t>
        </is>
      </c>
      <c r="I642" s="23" t="inlineStr">
        <is>
          <t>Carried forward</t>
        </is>
      </c>
      <c r="J642" s="23" t="inlineStr">
        <is>
          <t>Source assignment -- not individually reviewed</t>
        </is>
      </c>
      <c r="K642" s="23" t="inlineStr"/>
      <c r="L642" s="23" t="inlineStr"/>
      <c r="M642" s="23" t="inlineStr"/>
      <c r="N642" s="14" t="inlineStr">
        <is>
          <t>10 EVIDENCE &amp; DECISIONS</t>
        </is>
      </c>
    </row>
    <row r="643" ht="34" customHeight="1">
      <c r="A643" s="23" t="inlineStr">
        <is>
          <t>Contractor Programme</t>
        </is>
      </c>
      <c r="B643" s="23" t="inlineStr">
        <is>
          <t>SCH-03-128</t>
        </is>
      </c>
      <c r="C643" s="23" t="inlineStr">
        <is>
          <t>West wayside: train-control cabinet fit-out - field start</t>
        </is>
      </c>
      <c r="D643" s="23" t="inlineStr">
        <is>
          <t>WBS Code = 1.3.1</t>
        </is>
      </c>
      <c r="E643" s="23" t="inlineStr">
        <is>
          <t>R488-v2</t>
        </is>
      </c>
      <c r="F643" s="23" t="inlineStr">
        <is>
          <t>1.3.1 Systems - Traction Power</t>
        </is>
      </c>
      <c r="G643" s="23" t="inlineStr">
        <is>
          <t>ONE_TO_ONE</t>
        </is>
      </c>
      <c r="H643" s="23" t="inlineStr">
        <is>
          <t>RETAINED</t>
        </is>
      </c>
      <c r="I643" s="23" t="inlineStr">
        <is>
          <t>Carried forward</t>
        </is>
      </c>
      <c r="J643" s="23" t="inlineStr">
        <is>
          <t>Source assignment -- not individually reviewed</t>
        </is>
      </c>
      <c r="K643" s="23" t="inlineStr"/>
      <c r="L643" s="23" t="inlineStr"/>
      <c r="M643" s="23" t="inlineStr"/>
      <c r="N643" s="14" t="inlineStr">
        <is>
          <t>10 EVIDENCE &amp; DECISIONS</t>
        </is>
      </c>
    </row>
    <row r="644" ht="34" customHeight="1">
      <c r="A644" s="23" t="inlineStr">
        <is>
          <t>Contractor Programme</t>
        </is>
      </c>
      <c r="B644" s="23" t="inlineStr">
        <is>
          <t>SCH-03-130</t>
        </is>
      </c>
      <c r="C644" s="23" t="inlineStr">
        <is>
          <t>Central interlocking: signal equipment installation - inspection</t>
        </is>
      </c>
      <c r="D644" s="23" t="inlineStr">
        <is>
          <t>WBS Code = 1.3.1</t>
        </is>
      </c>
      <c r="E644" s="23" t="inlineStr">
        <is>
          <t>R490-v2</t>
        </is>
      </c>
      <c r="F644" s="23" t="inlineStr">
        <is>
          <t>1.3.1 Systems - Traction Power</t>
        </is>
      </c>
      <c r="G644" s="23" t="inlineStr">
        <is>
          <t>ONE_TO_ONE</t>
        </is>
      </c>
      <c r="H644" s="23" t="inlineStr">
        <is>
          <t>RETAINED</t>
        </is>
      </c>
      <c r="I644" s="23" t="inlineStr">
        <is>
          <t>Carried forward</t>
        </is>
      </c>
      <c r="J644" s="23" t="inlineStr">
        <is>
          <t>Source assignment -- not individually reviewed</t>
        </is>
      </c>
      <c r="K644" s="23" t="inlineStr"/>
      <c r="L644" s="23" t="inlineStr"/>
      <c r="M644" s="23" t="inlineStr"/>
      <c r="N644" s="14" t="inlineStr">
        <is>
          <t>10 EVIDENCE &amp; DECISIONS</t>
        </is>
      </c>
    </row>
    <row r="645" ht="34" customHeight="1">
      <c r="A645" s="23" t="inlineStr">
        <is>
          <t>Contractor Programme</t>
        </is>
      </c>
      <c r="B645" s="23" t="inlineStr">
        <is>
          <t>SCH-03-131</t>
        </is>
      </c>
      <c r="C645" s="23" t="inlineStr">
        <is>
          <t>Harbour Station: radio equipment installation - turnover</t>
        </is>
      </c>
      <c r="D645" s="23" t="inlineStr">
        <is>
          <t>WBS Code = 1.3.1</t>
        </is>
      </c>
      <c r="E645" s="23" t="inlineStr">
        <is>
          <t>R491-v2</t>
        </is>
      </c>
      <c r="F645" s="23" t="inlineStr">
        <is>
          <t>1.3.1 Systems - Traction Power</t>
        </is>
      </c>
      <c r="G645" s="23" t="inlineStr">
        <is>
          <t>ONE_TO_ONE</t>
        </is>
      </c>
      <c r="H645" s="23" t="inlineStr">
        <is>
          <t>RETAINED</t>
        </is>
      </c>
      <c r="I645" s="23" t="inlineStr">
        <is>
          <t>Carried forward</t>
        </is>
      </c>
      <c r="J645" s="23" t="inlineStr">
        <is>
          <t>Source assignment -- not individually reviewed</t>
        </is>
      </c>
      <c r="K645" s="23" t="inlineStr"/>
      <c r="L645" s="23" t="inlineStr"/>
      <c r="M645" s="23" t="inlineStr"/>
      <c r="N645" s="14" t="inlineStr">
        <is>
          <t>10 EVIDENCE &amp; DECISIONS</t>
        </is>
      </c>
    </row>
    <row r="646" ht="34" customHeight="1">
      <c r="A646" s="23" t="inlineStr">
        <is>
          <t>Contractor Programme</t>
        </is>
      </c>
      <c r="B646" s="23" t="inlineStr">
        <is>
          <t>SCH-03-133</t>
        </is>
      </c>
      <c r="C646" s="23" t="inlineStr">
        <is>
          <t>West wayside: fibre backbone termination - field start</t>
        </is>
      </c>
      <c r="D646" s="23" t="inlineStr">
        <is>
          <t>WBS Code = 1.3.1</t>
        </is>
      </c>
      <c r="E646" s="23" t="inlineStr">
        <is>
          <t>R493-v2</t>
        </is>
      </c>
      <c r="F646" s="23" t="inlineStr">
        <is>
          <t>1.3.1 Systems - Traction Power</t>
        </is>
      </c>
      <c r="G646" s="23" t="inlineStr">
        <is>
          <t>ONE_TO_ONE</t>
        </is>
      </c>
      <c r="H646" s="23" t="inlineStr">
        <is>
          <t>RETAINED</t>
        </is>
      </c>
      <c r="I646" s="23" t="inlineStr">
        <is>
          <t>Carried forward</t>
        </is>
      </c>
      <c r="J646" s="23" t="inlineStr">
        <is>
          <t>Source assignment -- not individually reviewed</t>
        </is>
      </c>
      <c r="K646" s="23" t="inlineStr"/>
      <c r="L646" s="23" t="inlineStr"/>
      <c r="M646" s="23" t="inlineStr"/>
      <c r="N646" s="14" t="inlineStr">
        <is>
          <t>10 EVIDENCE &amp; DECISIONS</t>
        </is>
      </c>
    </row>
    <row r="647" ht="34" customHeight="1">
      <c r="A647" s="23" t="inlineStr">
        <is>
          <t>Contractor Programme</t>
        </is>
      </c>
      <c r="B647" s="23" t="inlineStr">
        <is>
          <t>SCH-03-134</t>
        </is>
      </c>
      <c r="C647" s="23" t="inlineStr">
        <is>
          <t>East substation: SCADA point-to-point check - installation</t>
        </is>
      </c>
      <c r="D647" s="23" t="inlineStr">
        <is>
          <t>WBS Code = 1.3.1</t>
        </is>
      </c>
      <c r="E647" s="23" t="inlineStr">
        <is>
          <t>R494-v2</t>
        </is>
      </c>
      <c r="F647" s="23" t="inlineStr">
        <is>
          <t>1.3.1 Systems - Traction Power</t>
        </is>
      </c>
      <c r="G647" s="23" t="inlineStr">
        <is>
          <t>ONE_TO_ONE</t>
        </is>
      </c>
      <c r="H647" s="23" t="inlineStr">
        <is>
          <t>RETAINED</t>
        </is>
      </c>
      <c r="I647" s="23" t="inlineStr">
        <is>
          <t>Carried forward</t>
        </is>
      </c>
      <c r="J647" s="23" t="inlineStr">
        <is>
          <t>Source assignment -- not individually reviewed</t>
        </is>
      </c>
      <c r="K647" s="23" t="inlineStr"/>
      <c r="L647" s="23" t="inlineStr"/>
      <c r="M647" s="23" t="inlineStr"/>
      <c r="N647" s="14" t="inlineStr">
        <is>
          <t>10 EVIDENCE &amp; DECISIONS</t>
        </is>
      </c>
    </row>
    <row r="648" ht="34" customHeight="1">
      <c r="A648" s="23" t="inlineStr">
        <is>
          <t>Contractor Programme</t>
        </is>
      </c>
      <c r="B648" s="23" t="inlineStr">
        <is>
          <t>SCH-03-136</t>
        </is>
      </c>
      <c r="C648" s="23" t="inlineStr">
        <is>
          <t>Harbour Station: train-control cabinet fit-out - turnover</t>
        </is>
      </c>
      <c r="D648" s="23" t="inlineStr">
        <is>
          <t>WBS Code = 1.3.1</t>
        </is>
      </c>
      <c r="E648" s="23" t="inlineStr">
        <is>
          <t>R496-v2</t>
        </is>
      </c>
      <c r="F648" s="23" t="inlineStr">
        <is>
          <t>1.3.1 Systems - Traction Power</t>
        </is>
      </c>
      <c r="G648" s="23" t="inlineStr">
        <is>
          <t>ONE_TO_ONE</t>
        </is>
      </c>
      <c r="H648" s="23" t="inlineStr">
        <is>
          <t>RETAINED</t>
        </is>
      </c>
      <c r="I648" s="23" t="inlineStr">
        <is>
          <t>Carried forward</t>
        </is>
      </c>
      <c r="J648" s="23" t="inlineStr">
        <is>
          <t>Source assignment -- not individually reviewed</t>
        </is>
      </c>
      <c r="K648" s="23" t="inlineStr"/>
      <c r="L648" s="23" t="inlineStr"/>
      <c r="M648" s="23" t="inlineStr"/>
      <c r="N648" s="14" t="inlineStr">
        <is>
          <t>10 EVIDENCE &amp; DECISIONS</t>
        </is>
      </c>
    </row>
    <row r="649" ht="34" customHeight="1">
      <c r="A649" s="23" t="inlineStr">
        <is>
          <t>Contractor Programme</t>
        </is>
      </c>
      <c r="B649" s="23" t="inlineStr">
        <is>
          <t>SCH-03-137</t>
        </is>
      </c>
      <c r="C649" s="23" t="inlineStr">
        <is>
          <t>Control Centre: wayside interface test - release</t>
        </is>
      </c>
      <c r="D649" s="23" t="inlineStr">
        <is>
          <t>WBS Code = 1.3.1</t>
        </is>
      </c>
      <c r="E649" s="23" t="inlineStr">
        <is>
          <t>R497-v2</t>
        </is>
      </c>
      <c r="F649" s="23" t="inlineStr">
        <is>
          <t>1.3.1 Systems - Traction Power</t>
        </is>
      </c>
      <c r="G649" s="23" t="inlineStr">
        <is>
          <t>ONE_TO_ONE</t>
        </is>
      </c>
      <c r="H649" s="23" t="inlineStr">
        <is>
          <t>RETAINED</t>
        </is>
      </c>
      <c r="I649" s="23" t="inlineStr">
        <is>
          <t>Carried forward</t>
        </is>
      </c>
      <c r="J649" s="23" t="inlineStr">
        <is>
          <t>Source assignment -- not individually reviewed</t>
        </is>
      </c>
      <c r="K649" s="23" t="inlineStr"/>
      <c r="L649" s="23" t="inlineStr"/>
      <c r="M649" s="23" t="inlineStr"/>
      <c r="N649" s="14" t="inlineStr">
        <is>
          <t>10 EVIDENCE &amp; DECISIONS</t>
        </is>
      </c>
    </row>
    <row r="650" ht="34" customHeight="1">
      <c r="A650" s="23" t="inlineStr">
        <is>
          <t>Contractor Programme</t>
        </is>
      </c>
      <c r="B650" s="23" t="inlineStr">
        <is>
          <t>SCH-03-139</t>
        </is>
      </c>
      <c r="C650" s="23" t="inlineStr">
        <is>
          <t>East substation: radio equipment installation - installation</t>
        </is>
      </c>
      <c r="D650" s="23" t="inlineStr">
        <is>
          <t>WBS Code = 1.3.1</t>
        </is>
      </c>
      <c r="E650" s="23" t="inlineStr">
        <is>
          <t>R499-v2</t>
        </is>
      </c>
      <c r="F650" s="23" t="inlineStr">
        <is>
          <t>1.3.1 Systems - Traction Power</t>
        </is>
      </c>
      <c r="G650" s="23" t="inlineStr">
        <is>
          <t>ONE_TO_ONE</t>
        </is>
      </c>
      <c r="H650" s="23" t="inlineStr">
        <is>
          <t>RETAINED</t>
        </is>
      </c>
      <c r="I650" s="23" t="inlineStr">
        <is>
          <t>Carried forward</t>
        </is>
      </c>
      <c r="J650" s="23" t="inlineStr">
        <is>
          <t>Source assignment -- not individually reviewed</t>
        </is>
      </c>
      <c r="K650" s="23" t="inlineStr"/>
      <c r="L650" s="23" t="inlineStr"/>
      <c r="M650" s="23" t="inlineStr"/>
      <c r="N650" s="14" t="inlineStr">
        <is>
          <t>10 EVIDENCE &amp; DECISIONS</t>
        </is>
      </c>
    </row>
    <row r="651" ht="34" customHeight="1">
      <c r="A651" s="23" t="inlineStr">
        <is>
          <t>Contractor Programme</t>
        </is>
      </c>
      <c r="B651" s="23" t="inlineStr">
        <is>
          <t>SCH-03-140</t>
        </is>
      </c>
      <c r="C651" s="23" t="inlineStr">
        <is>
          <t>Central interlocking: control-centre integration - inspection</t>
        </is>
      </c>
      <c r="D651" s="23" t="inlineStr">
        <is>
          <t>WBS Code = 1.3.1</t>
        </is>
      </c>
      <c r="E651" s="23" t="inlineStr">
        <is>
          <t>R500-v2</t>
        </is>
      </c>
      <c r="F651" s="23" t="inlineStr">
        <is>
          <t>1.3.1 Systems - Traction Power</t>
        </is>
      </c>
      <c r="G651" s="23" t="inlineStr">
        <is>
          <t>ONE_TO_ONE</t>
        </is>
      </c>
      <c r="H651" s="23" t="inlineStr">
        <is>
          <t>RETAINED</t>
        </is>
      </c>
      <c r="I651" s="23" t="inlineStr">
        <is>
          <t>Carried forward</t>
        </is>
      </c>
      <c r="J651" s="23" t="inlineStr">
        <is>
          <t>Source assignment -- not individually reviewed</t>
        </is>
      </c>
      <c r="K651" s="23" t="inlineStr"/>
      <c r="L651" s="23" t="inlineStr"/>
      <c r="M651" s="23" t="inlineStr"/>
      <c r="N651" s="14" t="inlineStr">
        <is>
          <t>10 EVIDENCE &amp; DECISIONS</t>
        </is>
      </c>
    </row>
    <row r="652" ht="34" customHeight="1">
      <c r="A652" s="23" t="inlineStr">
        <is>
          <t>Contractor Programme</t>
        </is>
      </c>
      <c r="B652" s="23" t="inlineStr">
        <is>
          <t>SCH-03-142</t>
        </is>
      </c>
      <c r="C652" s="23" t="inlineStr">
        <is>
          <t>Control Centre: SCADA point-to-point check - release</t>
        </is>
      </c>
      <c r="D652" s="23" t="inlineStr">
        <is>
          <t>WBS Code = 1.3.1</t>
        </is>
      </c>
      <c r="E652" s="23" t="inlineStr">
        <is>
          <t>R502-v2</t>
        </is>
      </c>
      <c r="F652" s="23" t="inlineStr">
        <is>
          <t>1.3.1 Systems - Traction Power</t>
        </is>
      </c>
      <c r="G652" s="23" t="inlineStr">
        <is>
          <t>ONE_TO_ONE</t>
        </is>
      </c>
      <c r="H652" s="23" t="inlineStr">
        <is>
          <t>RETAINED</t>
        </is>
      </c>
      <c r="I652" s="23" t="inlineStr">
        <is>
          <t>Carried forward</t>
        </is>
      </c>
      <c r="J652" s="23" t="inlineStr">
        <is>
          <t>Source assignment -- not individually reviewed</t>
        </is>
      </c>
      <c r="K652" s="23" t="inlineStr"/>
      <c r="L652" s="23" t="inlineStr"/>
      <c r="M652" s="23" t="inlineStr"/>
      <c r="N652" s="14" t="inlineStr">
        <is>
          <t>10 EVIDENCE &amp; DECISIONS</t>
        </is>
      </c>
    </row>
    <row r="653" ht="34" customHeight="1">
      <c r="A653" s="23" t="inlineStr">
        <is>
          <t>Contractor Programme</t>
        </is>
      </c>
      <c r="B653" s="23" t="inlineStr">
        <is>
          <t>SCH-03-143</t>
        </is>
      </c>
      <c r="C653" s="23" t="inlineStr">
        <is>
          <t>West wayside: traction-power feeder pull - field start</t>
        </is>
      </c>
      <c r="D653" s="23" t="inlineStr">
        <is>
          <t>WBS Code = 1.3.1</t>
        </is>
      </c>
      <c r="E653" s="23" t="inlineStr">
        <is>
          <t>R503-v2</t>
        </is>
      </c>
      <c r="F653" s="23" t="inlineStr">
        <is>
          <t>1.3.1 Systems - Traction Power</t>
        </is>
      </c>
      <c r="G653" s="23" t="inlineStr">
        <is>
          <t>ONE_TO_ONE</t>
        </is>
      </c>
      <c r="H653" s="23" t="inlineStr">
        <is>
          <t>RETAINED</t>
        </is>
      </c>
      <c r="I653" s="23" t="inlineStr">
        <is>
          <t>Carried forward</t>
        </is>
      </c>
      <c r="J653" s="23" t="inlineStr">
        <is>
          <t>Source assignment -- not individually reviewed</t>
        </is>
      </c>
      <c r="K653" s="23" t="inlineStr"/>
      <c r="L653" s="23" t="inlineStr"/>
      <c r="M653" s="23" t="inlineStr"/>
      <c r="N653" s="14" t="inlineStr">
        <is>
          <t>10 EVIDENCE &amp; DECISIONS</t>
        </is>
      </c>
    </row>
    <row r="654" ht="34" customHeight="1">
      <c r="A654" s="23" t="inlineStr">
        <is>
          <t>Contractor Programme</t>
        </is>
      </c>
      <c r="B654" s="23" t="inlineStr">
        <is>
          <t>SCH-03-145</t>
        </is>
      </c>
      <c r="C654" s="23" t="inlineStr">
        <is>
          <t>Central interlocking: wayside interface test - inspection</t>
        </is>
      </c>
      <c r="D654" s="23" t="inlineStr">
        <is>
          <t>WBS Code = 1.3.1</t>
        </is>
      </c>
      <c r="E654" s="23" t="inlineStr">
        <is>
          <t>R505-v2</t>
        </is>
      </c>
      <c r="F654" s="23" t="inlineStr">
        <is>
          <t>1.3.1 Systems - Traction Power</t>
        </is>
      </c>
      <c r="G654" s="23" t="inlineStr">
        <is>
          <t>ONE_TO_ONE</t>
        </is>
      </c>
      <c r="H654" s="23" t="inlineStr">
        <is>
          <t>RETAINED</t>
        </is>
      </c>
      <c r="I654" s="23" t="inlineStr">
        <is>
          <t>Carried forward</t>
        </is>
      </c>
      <c r="J654" s="23" t="inlineStr">
        <is>
          <t>Source assignment -- not individually reviewed</t>
        </is>
      </c>
      <c r="K654" s="23" t="inlineStr"/>
      <c r="L654" s="23" t="inlineStr"/>
      <c r="M654" s="23" t="inlineStr"/>
      <c r="N654" s="14" t="inlineStr">
        <is>
          <t>10 EVIDENCE &amp; DECISIONS</t>
        </is>
      </c>
    </row>
    <row r="655" ht="34" customHeight="1">
      <c r="A655" s="23" t="inlineStr">
        <is>
          <t>Contractor Programme</t>
        </is>
      </c>
      <c r="B655" s="23" t="inlineStr">
        <is>
          <t>SCH-03-146</t>
        </is>
      </c>
      <c r="C655" s="23" t="inlineStr">
        <is>
          <t>Harbour Station: signal equipment installation - turnover</t>
        </is>
      </c>
      <c r="D655" s="23" t="inlineStr">
        <is>
          <t>WBS Code = 1.3.1</t>
        </is>
      </c>
      <c r="E655" s="23" t="inlineStr">
        <is>
          <t>R506-v2</t>
        </is>
      </c>
      <c r="F655" s="23" t="inlineStr">
        <is>
          <t>1.3.1 Systems - Traction Power</t>
        </is>
      </c>
      <c r="G655" s="23" t="inlineStr">
        <is>
          <t>ONE_TO_ONE</t>
        </is>
      </c>
      <c r="H655" s="23" t="inlineStr">
        <is>
          <t>RETAINED</t>
        </is>
      </c>
      <c r="I655" s="23" t="inlineStr">
        <is>
          <t>Carried forward</t>
        </is>
      </c>
      <c r="J655" s="23" t="inlineStr">
        <is>
          <t>Source assignment -- not individually reviewed</t>
        </is>
      </c>
      <c r="K655" s="23" t="inlineStr"/>
      <c r="L655" s="23" t="inlineStr"/>
      <c r="M655" s="23" t="inlineStr"/>
      <c r="N655" s="14" t="inlineStr">
        <is>
          <t>10 EVIDENCE &amp; DECISIONS</t>
        </is>
      </c>
    </row>
    <row r="656" ht="34" customHeight="1">
      <c r="A656" s="23" t="inlineStr">
        <is>
          <t>Contractor Programme</t>
        </is>
      </c>
      <c r="B656" s="23" t="inlineStr">
        <is>
          <t>SCH-03-148</t>
        </is>
      </c>
      <c r="C656" s="23" t="inlineStr">
        <is>
          <t>West wayside: control-centre integration - field start</t>
        </is>
      </c>
      <c r="D656" s="23" t="inlineStr">
        <is>
          <t>WBS Code = 1.3.1</t>
        </is>
      </c>
      <c r="E656" s="23" t="inlineStr">
        <is>
          <t>R508-v2</t>
        </is>
      </c>
      <c r="F656" s="23" t="inlineStr">
        <is>
          <t>1.3.1 Systems - Traction Power</t>
        </is>
      </c>
      <c r="G656" s="23" t="inlineStr">
        <is>
          <t>ONE_TO_ONE</t>
        </is>
      </c>
      <c r="H656" s="23" t="inlineStr">
        <is>
          <t>RETAINED</t>
        </is>
      </c>
      <c r="I656" s="23" t="inlineStr">
        <is>
          <t>Carried forward</t>
        </is>
      </c>
      <c r="J656" s="23" t="inlineStr">
        <is>
          <t>Source assignment -- not individually reviewed</t>
        </is>
      </c>
      <c r="K656" s="23" t="inlineStr"/>
      <c r="L656" s="23" t="inlineStr"/>
      <c r="M656" s="23" t="inlineStr"/>
      <c r="N656" s="14" t="inlineStr">
        <is>
          <t>10 EVIDENCE &amp; DECISIONS</t>
        </is>
      </c>
    </row>
    <row r="657" ht="34" customHeight="1">
      <c r="A657" s="23" t="inlineStr">
        <is>
          <t>Contractor Programme</t>
        </is>
      </c>
      <c r="B657" s="23" t="inlineStr">
        <is>
          <t>SCH-03-149</t>
        </is>
      </c>
      <c r="C657" s="23" t="inlineStr">
        <is>
          <t>East substation: fibre backbone termination - installation</t>
        </is>
      </c>
      <c r="D657" s="23" t="inlineStr">
        <is>
          <t>WBS Code = 1.3.1</t>
        </is>
      </c>
      <c r="E657" s="23" t="inlineStr">
        <is>
          <t>R509-v2</t>
        </is>
      </c>
      <c r="F657" s="23" t="inlineStr">
        <is>
          <t>1.3.1 Systems - Traction Power</t>
        </is>
      </c>
      <c r="G657" s="23" t="inlineStr">
        <is>
          <t>ONE_TO_ONE</t>
        </is>
      </c>
      <c r="H657" s="23" t="inlineStr">
        <is>
          <t>RETAINED</t>
        </is>
      </c>
      <c r="I657" s="23" t="inlineStr">
        <is>
          <t>Carried forward</t>
        </is>
      </c>
      <c r="J657" s="23" t="inlineStr">
        <is>
          <t>Source assignment -- not individually reviewed</t>
        </is>
      </c>
      <c r="K657" s="23" t="inlineStr"/>
      <c r="L657" s="23" t="inlineStr"/>
      <c r="M657" s="23" t="inlineStr"/>
      <c r="N657" s="14" t="inlineStr">
        <is>
          <t>10 EVIDENCE &amp; DECISIONS</t>
        </is>
      </c>
    </row>
    <row r="658" ht="34" customHeight="1">
      <c r="A658" s="23" t="inlineStr">
        <is>
          <t>Contractor Programme</t>
        </is>
      </c>
      <c r="B658" s="23" t="inlineStr">
        <is>
          <t>SCH-03-151</t>
        </is>
      </c>
      <c r="C658" s="23" t="inlineStr">
        <is>
          <t>Harbour Station: traction-power feeder pull - turnover</t>
        </is>
      </c>
      <c r="D658" s="23" t="inlineStr">
        <is>
          <t>WBS Code = 1.3.1</t>
        </is>
      </c>
      <c r="E658" s="23" t="inlineStr">
        <is>
          <t>R511-v2</t>
        </is>
      </c>
      <c r="F658" s="23" t="inlineStr">
        <is>
          <t>1.3.1 Systems - Traction Power</t>
        </is>
      </c>
      <c r="G658" s="23" t="inlineStr">
        <is>
          <t>ONE_TO_ONE</t>
        </is>
      </c>
      <c r="H658" s="23" t="inlineStr">
        <is>
          <t>RETAINED</t>
        </is>
      </c>
      <c r="I658" s="23" t="inlineStr">
        <is>
          <t>Carried forward</t>
        </is>
      </c>
      <c r="J658" s="23" t="inlineStr">
        <is>
          <t>Source assignment -- not individually reviewed</t>
        </is>
      </c>
      <c r="K658" s="23" t="inlineStr"/>
      <c r="L658" s="23" t="inlineStr"/>
      <c r="M658" s="23" t="inlineStr"/>
      <c r="N658" s="14" t="inlineStr">
        <is>
          <t>10 EVIDENCE &amp; DECISIONS</t>
        </is>
      </c>
    </row>
    <row r="659" ht="34" customHeight="1">
      <c r="A659" s="23" t="inlineStr">
        <is>
          <t>Contractor Programme</t>
        </is>
      </c>
      <c r="B659" s="23" t="inlineStr">
        <is>
          <t>SCH-03-152</t>
        </is>
      </c>
      <c r="C659" s="23" t="inlineStr">
        <is>
          <t>Control Centre: train-control cabinet fit-out - release</t>
        </is>
      </c>
      <c r="D659" s="23" t="inlineStr">
        <is>
          <t>WBS Code = 1.3.1</t>
        </is>
      </c>
      <c r="E659" s="23" t="inlineStr">
        <is>
          <t>R512-v2</t>
        </is>
      </c>
      <c r="F659" s="23" t="inlineStr">
        <is>
          <t>1.3.1 Systems - Traction Power</t>
        </is>
      </c>
      <c r="G659" s="23" t="inlineStr">
        <is>
          <t>ONE_TO_ONE</t>
        </is>
      </c>
      <c r="H659" s="23" t="inlineStr">
        <is>
          <t>RETAINED</t>
        </is>
      </c>
      <c r="I659" s="23" t="inlineStr">
        <is>
          <t>Carried forward</t>
        </is>
      </c>
      <c r="J659" s="23" t="inlineStr">
        <is>
          <t>Source assignment -- not individually reviewed</t>
        </is>
      </c>
      <c r="K659" s="23" t="inlineStr"/>
      <c r="L659" s="23" t="inlineStr"/>
      <c r="M659" s="23" t="inlineStr"/>
      <c r="N659" s="14" t="inlineStr">
        <is>
          <t>10 EVIDENCE &amp; DECISIONS</t>
        </is>
      </c>
    </row>
    <row r="660" ht="34" customHeight="1">
      <c r="A660" s="23" t="inlineStr">
        <is>
          <t>Contractor Programme</t>
        </is>
      </c>
      <c r="B660" s="23" t="inlineStr">
        <is>
          <t>SCH-03-154</t>
        </is>
      </c>
      <c r="C660" s="23" t="inlineStr">
        <is>
          <t>East substation: signal equipment installation - installation</t>
        </is>
      </c>
      <c r="D660" s="23" t="inlineStr">
        <is>
          <t>WBS Code = 1.3.1</t>
        </is>
      </c>
      <c r="E660" s="23" t="inlineStr">
        <is>
          <t>R514-v2</t>
        </is>
      </c>
      <c r="F660" s="23" t="inlineStr">
        <is>
          <t>1.3.1 Systems - Traction Power</t>
        </is>
      </c>
      <c r="G660" s="23" t="inlineStr">
        <is>
          <t>ONE_TO_ONE</t>
        </is>
      </c>
      <c r="H660" s="23" t="inlineStr">
        <is>
          <t>RETAINED</t>
        </is>
      </c>
      <c r="I660" s="23" t="inlineStr">
        <is>
          <t>Carried forward</t>
        </is>
      </c>
      <c r="J660" s="23" t="inlineStr">
        <is>
          <t>Source assignment -- not individually reviewed</t>
        </is>
      </c>
      <c r="K660" s="23" t="inlineStr"/>
      <c r="L660" s="23" t="inlineStr"/>
      <c r="M660" s="23" t="inlineStr"/>
      <c r="N660" s="14" t="inlineStr">
        <is>
          <t>10 EVIDENCE &amp; DECISIONS</t>
        </is>
      </c>
    </row>
    <row r="661" ht="34" customHeight="1">
      <c r="A661" s="23" t="inlineStr">
        <is>
          <t>Contractor Programme</t>
        </is>
      </c>
      <c r="B661" s="23" t="inlineStr">
        <is>
          <t>SCH-03-155</t>
        </is>
      </c>
      <c r="C661" s="23" t="inlineStr">
        <is>
          <t>Central interlocking: radio equipment installation - inspection</t>
        </is>
      </c>
      <c r="D661" s="23" t="inlineStr">
        <is>
          <t>WBS Code = 1.3.1</t>
        </is>
      </c>
      <c r="E661" s="23" t="inlineStr">
        <is>
          <t>R515-v2</t>
        </is>
      </c>
      <c r="F661" s="23" t="inlineStr">
        <is>
          <t>1.3.1 Systems - Traction Power</t>
        </is>
      </c>
      <c r="G661" s="23" t="inlineStr">
        <is>
          <t>ONE_TO_ONE</t>
        </is>
      </c>
      <c r="H661" s="23" t="inlineStr">
        <is>
          <t>RETAINED</t>
        </is>
      </c>
      <c r="I661" s="23" t="inlineStr">
        <is>
          <t>Carried forward</t>
        </is>
      </c>
      <c r="J661" s="23" t="inlineStr">
        <is>
          <t>Source assignment -- not individually reviewed</t>
        </is>
      </c>
      <c r="K661" s="23" t="inlineStr"/>
      <c r="L661" s="23" t="inlineStr"/>
      <c r="M661" s="23" t="inlineStr"/>
      <c r="N661" s="14" t="inlineStr">
        <is>
          <t>10 EVIDENCE &amp; DECISIONS</t>
        </is>
      </c>
    </row>
    <row r="662" ht="34" customHeight="1">
      <c r="A662" s="23" t="inlineStr">
        <is>
          <t>Contractor Programme</t>
        </is>
      </c>
      <c r="B662" s="23" t="inlineStr">
        <is>
          <t>SCH-03-157</t>
        </is>
      </c>
      <c r="C662" s="23" t="inlineStr">
        <is>
          <t>Control Centre: fibre backbone termination - release</t>
        </is>
      </c>
      <c r="D662" s="23" t="inlineStr">
        <is>
          <t>WBS Code = 1.3.1</t>
        </is>
      </c>
      <c r="E662" s="23" t="inlineStr">
        <is>
          <t>R517-v2</t>
        </is>
      </c>
      <c r="F662" s="23" t="inlineStr">
        <is>
          <t>1.3.1 Systems - Traction Power</t>
        </is>
      </c>
      <c r="G662" s="23" t="inlineStr">
        <is>
          <t>ONE_TO_ONE</t>
        </is>
      </c>
      <c r="H662" s="23" t="inlineStr">
        <is>
          <t>RETAINED</t>
        </is>
      </c>
      <c r="I662" s="23" t="inlineStr">
        <is>
          <t>Carried forward</t>
        </is>
      </c>
      <c r="J662" s="23" t="inlineStr">
        <is>
          <t>Source assignment -- not individually reviewed</t>
        </is>
      </c>
      <c r="K662" s="23" t="inlineStr"/>
      <c r="L662" s="23" t="inlineStr"/>
      <c r="M662" s="23" t="inlineStr"/>
      <c r="N662" s="14" t="inlineStr">
        <is>
          <t>10 EVIDENCE &amp; DECISIONS</t>
        </is>
      </c>
    </row>
    <row r="663" ht="34" customHeight="1">
      <c r="A663" s="23" t="inlineStr">
        <is>
          <t>Contractor Programme</t>
        </is>
      </c>
      <c r="B663" s="23" t="inlineStr">
        <is>
          <t>SCH-03-158</t>
        </is>
      </c>
      <c r="C663" s="23" t="inlineStr">
        <is>
          <t>West wayside: SCADA point-to-point check - field start</t>
        </is>
      </c>
      <c r="D663" s="23" t="inlineStr">
        <is>
          <t>WBS Code = 1.3.1</t>
        </is>
      </c>
      <c r="E663" s="23" t="inlineStr">
        <is>
          <t>R518-v2</t>
        </is>
      </c>
      <c r="F663" s="23" t="inlineStr">
        <is>
          <t>1.3.1 Systems - Traction Power</t>
        </is>
      </c>
      <c r="G663" s="23" t="inlineStr">
        <is>
          <t>ONE_TO_ONE</t>
        </is>
      </c>
      <c r="H663" s="23" t="inlineStr">
        <is>
          <t>RETAINED</t>
        </is>
      </c>
      <c r="I663" s="23" t="inlineStr">
        <is>
          <t>Carried forward</t>
        </is>
      </c>
      <c r="J663" s="23" t="inlineStr">
        <is>
          <t>Source assignment -- not individually reviewed</t>
        </is>
      </c>
      <c r="K663" s="23" t="inlineStr"/>
      <c r="L663" s="23" t="inlineStr"/>
      <c r="M663" s="23" t="inlineStr"/>
      <c r="N663" s="14" t="inlineStr">
        <is>
          <t>10 EVIDENCE &amp; DECISIONS</t>
        </is>
      </c>
    </row>
    <row r="664" ht="34" customHeight="1">
      <c r="A664" s="23" t="inlineStr">
        <is>
          <t>Contractor Programme</t>
        </is>
      </c>
      <c r="B664" s="23" t="inlineStr">
        <is>
          <t>SCH-03-160</t>
        </is>
      </c>
      <c r="C664" s="23" t="inlineStr">
        <is>
          <t>Central interlocking: train-control cabinet fit-out - inspection</t>
        </is>
      </c>
      <c r="D664" s="23" t="inlineStr">
        <is>
          <t>WBS Code = 1.3.1</t>
        </is>
      </c>
      <c r="E664" s="23" t="inlineStr">
        <is>
          <t>R520-v2</t>
        </is>
      </c>
      <c r="F664" s="23" t="inlineStr">
        <is>
          <t>1.3.1 Systems - Traction Power</t>
        </is>
      </c>
      <c r="G664" s="23" t="inlineStr">
        <is>
          <t>ONE_TO_ONE</t>
        </is>
      </c>
      <c r="H664" s="23" t="inlineStr">
        <is>
          <t>RETAINED</t>
        </is>
      </c>
      <c r="I664" s="23" t="inlineStr">
        <is>
          <t>Carried forward</t>
        </is>
      </c>
      <c r="J664" s="23" t="inlineStr">
        <is>
          <t>Source assignment -- not individually reviewed</t>
        </is>
      </c>
      <c r="K664" s="23" t="inlineStr"/>
      <c r="L664" s="23" t="inlineStr"/>
      <c r="M664" s="23" t="inlineStr"/>
      <c r="N664" s="14" t="inlineStr">
        <is>
          <t>10 EVIDENCE &amp; DECISIONS</t>
        </is>
      </c>
    </row>
    <row r="665" ht="34" customHeight="1">
      <c r="A665" s="23" t="inlineStr">
        <is>
          <t>Contractor Programme</t>
        </is>
      </c>
      <c r="B665" s="23" t="inlineStr">
        <is>
          <t>SCH-03-161</t>
        </is>
      </c>
      <c r="C665" s="23" t="inlineStr">
        <is>
          <t>Harbour Station: wayside interface test - turnover</t>
        </is>
      </c>
      <c r="D665" s="23" t="inlineStr">
        <is>
          <t>WBS Code = 1.3.1</t>
        </is>
      </c>
      <c r="E665" s="23" t="inlineStr">
        <is>
          <t>R521-v2</t>
        </is>
      </c>
      <c r="F665" s="23" t="inlineStr">
        <is>
          <t>1.3.1 Systems - Traction Power</t>
        </is>
      </c>
      <c r="G665" s="23" t="inlineStr">
        <is>
          <t>ONE_TO_ONE</t>
        </is>
      </c>
      <c r="H665" s="23" t="inlineStr">
        <is>
          <t>RETAINED</t>
        </is>
      </c>
      <c r="I665" s="23" t="inlineStr">
        <is>
          <t>Carried forward</t>
        </is>
      </c>
      <c r="J665" s="23" t="inlineStr">
        <is>
          <t>Source assignment -- not individually reviewed</t>
        </is>
      </c>
      <c r="K665" s="23" t="inlineStr"/>
      <c r="L665" s="23" t="inlineStr"/>
      <c r="M665" s="23" t="inlineStr"/>
      <c r="N665" s="14" t="inlineStr">
        <is>
          <t>10 EVIDENCE &amp; DECISIONS</t>
        </is>
      </c>
    </row>
    <row r="666" ht="34" customHeight="1">
      <c r="A666" s="23" t="inlineStr">
        <is>
          <t>Contractor Programme</t>
        </is>
      </c>
      <c r="B666" s="23" t="inlineStr">
        <is>
          <t>SCH-03-163</t>
        </is>
      </c>
      <c r="C666" s="23" t="inlineStr">
        <is>
          <t>West wayside: radio equipment installation - field start</t>
        </is>
      </c>
      <c r="D666" s="23" t="inlineStr">
        <is>
          <t>WBS Code = 1.3.1</t>
        </is>
      </c>
      <c r="E666" s="23" t="inlineStr">
        <is>
          <t>R523-v2</t>
        </is>
      </c>
      <c r="F666" s="23" t="inlineStr">
        <is>
          <t>1.3.1 Systems - Traction Power</t>
        </is>
      </c>
      <c r="G666" s="23" t="inlineStr">
        <is>
          <t>ONE_TO_ONE</t>
        </is>
      </c>
      <c r="H666" s="23" t="inlineStr">
        <is>
          <t>RETAINED</t>
        </is>
      </c>
      <c r="I666" s="23" t="inlineStr">
        <is>
          <t>Carried forward</t>
        </is>
      </c>
      <c r="J666" s="23" t="inlineStr">
        <is>
          <t>Source assignment -- not individually reviewed</t>
        </is>
      </c>
      <c r="K666" s="23" t="inlineStr"/>
      <c r="L666" s="23" t="inlineStr"/>
      <c r="M666" s="23" t="inlineStr"/>
      <c r="N666" s="14" t="inlineStr">
        <is>
          <t>10 EVIDENCE &amp; DECISIONS</t>
        </is>
      </c>
    </row>
    <row r="667" ht="34" customHeight="1">
      <c r="A667" s="23" t="inlineStr">
        <is>
          <t>Contractor Programme</t>
        </is>
      </c>
      <c r="B667" s="23" t="inlineStr">
        <is>
          <t>SCH-03-164</t>
        </is>
      </c>
      <c r="C667" s="23" t="inlineStr">
        <is>
          <t>East substation: control-centre integration - installation</t>
        </is>
      </c>
      <c r="D667" s="23" t="inlineStr">
        <is>
          <t>WBS Code = 1.3.1</t>
        </is>
      </c>
      <c r="E667" s="23" t="inlineStr">
        <is>
          <t>R524-v2</t>
        </is>
      </c>
      <c r="F667" s="23" t="inlineStr">
        <is>
          <t>1.3.1 Systems - Traction Power</t>
        </is>
      </c>
      <c r="G667" s="23" t="inlineStr">
        <is>
          <t>ONE_TO_ONE</t>
        </is>
      </c>
      <c r="H667" s="23" t="inlineStr">
        <is>
          <t>RETAINED</t>
        </is>
      </c>
      <c r="I667" s="23" t="inlineStr">
        <is>
          <t>Carried forward</t>
        </is>
      </c>
      <c r="J667" s="23" t="inlineStr">
        <is>
          <t>Source assignment -- not individually reviewed</t>
        </is>
      </c>
      <c r="K667" s="23" t="inlineStr"/>
      <c r="L667" s="23" t="inlineStr"/>
      <c r="M667" s="23" t="inlineStr"/>
      <c r="N667" s="14" t="inlineStr">
        <is>
          <t>10 EVIDENCE &amp; DECISIONS</t>
        </is>
      </c>
    </row>
    <row r="668" ht="34" customHeight="1">
      <c r="A668" s="23" t="inlineStr">
        <is>
          <t>Contractor Programme</t>
        </is>
      </c>
      <c r="B668" s="23" t="inlineStr">
        <is>
          <t>SCH-03-166</t>
        </is>
      </c>
      <c r="C668" s="23" t="inlineStr">
        <is>
          <t>Harbour Station: SCADA point-to-point check - turnover</t>
        </is>
      </c>
      <c r="D668" s="23" t="inlineStr">
        <is>
          <t>WBS Code = 1.3.1</t>
        </is>
      </c>
      <c r="E668" s="23" t="inlineStr">
        <is>
          <t>R526-v2</t>
        </is>
      </c>
      <c r="F668" s="23" t="inlineStr">
        <is>
          <t>1.3.1 Systems - Traction Power</t>
        </is>
      </c>
      <c r="G668" s="23" t="inlineStr">
        <is>
          <t>ONE_TO_ONE</t>
        </is>
      </c>
      <c r="H668" s="23" t="inlineStr">
        <is>
          <t>RETAINED</t>
        </is>
      </c>
      <c r="I668" s="23" t="inlineStr">
        <is>
          <t>Carried forward</t>
        </is>
      </c>
      <c r="J668" s="23" t="inlineStr">
        <is>
          <t>Source assignment -- not individually reviewed</t>
        </is>
      </c>
      <c r="K668" s="23" t="inlineStr"/>
      <c r="L668" s="23" t="inlineStr"/>
      <c r="M668" s="23" t="inlineStr"/>
      <c r="N668" s="14" t="inlineStr">
        <is>
          <t>10 EVIDENCE &amp; DECISIONS</t>
        </is>
      </c>
    </row>
    <row r="669" ht="34" customHeight="1">
      <c r="A669" s="23" t="inlineStr">
        <is>
          <t>Contractor Programme</t>
        </is>
      </c>
      <c r="B669" s="23" t="inlineStr">
        <is>
          <t>SCH-03-167</t>
        </is>
      </c>
      <c r="C669" s="23" t="inlineStr">
        <is>
          <t>Control Centre: traction-power feeder pull - release</t>
        </is>
      </c>
      <c r="D669" s="23" t="inlineStr">
        <is>
          <t>WBS Code = 1.3.1</t>
        </is>
      </c>
      <c r="E669" s="23" t="inlineStr">
        <is>
          <t>R527-v2</t>
        </is>
      </c>
      <c r="F669" s="23" t="inlineStr">
        <is>
          <t>1.3.1 Systems - Traction Power</t>
        </is>
      </c>
      <c r="G669" s="23" t="inlineStr">
        <is>
          <t>ONE_TO_ONE</t>
        </is>
      </c>
      <c r="H669" s="23" t="inlineStr">
        <is>
          <t>RETAINED</t>
        </is>
      </c>
      <c r="I669" s="23" t="inlineStr">
        <is>
          <t>Carried forward</t>
        </is>
      </c>
      <c r="J669" s="23" t="inlineStr">
        <is>
          <t>Source assignment -- not individually reviewed</t>
        </is>
      </c>
      <c r="K669" s="23" t="inlineStr"/>
      <c r="L669" s="23" t="inlineStr"/>
      <c r="M669" s="23" t="inlineStr"/>
      <c r="N669" s="14" t="inlineStr">
        <is>
          <t>10 EVIDENCE &amp; DECISIONS</t>
        </is>
      </c>
    </row>
    <row r="670" ht="34" customHeight="1">
      <c r="A670" s="23" t="inlineStr">
        <is>
          <t>Contractor Programme</t>
        </is>
      </c>
      <c r="B670" s="23" t="inlineStr">
        <is>
          <t>SCH-03-169</t>
        </is>
      </c>
      <c r="C670" s="23" t="inlineStr">
        <is>
          <t>East substation: wayside interface test - installation</t>
        </is>
      </c>
      <c r="D670" s="23" t="inlineStr">
        <is>
          <t>WBS Code = 1.3.1</t>
        </is>
      </c>
      <c r="E670" s="23" t="inlineStr">
        <is>
          <t>R529-v2</t>
        </is>
      </c>
      <c r="F670" s="23" t="inlineStr">
        <is>
          <t>1.3.1 Systems - Traction Power</t>
        </is>
      </c>
      <c r="G670" s="23" t="inlineStr">
        <is>
          <t>ONE_TO_ONE</t>
        </is>
      </c>
      <c r="H670" s="23" t="inlineStr">
        <is>
          <t>RETAINED</t>
        </is>
      </c>
      <c r="I670" s="23" t="inlineStr">
        <is>
          <t>Carried forward</t>
        </is>
      </c>
      <c r="J670" s="23" t="inlineStr">
        <is>
          <t>Source assignment -- not individually reviewed</t>
        </is>
      </c>
      <c r="K670" s="23" t="inlineStr"/>
      <c r="L670" s="23" t="inlineStr"/>
      <c r="M670" s="23" t="inlineStr"/>
      <c r="N670" s="14" t="inlineStr">
        <is>
          <t>10 EVIDENCE &amp; DECISIONS</t>
        </is>
      </c>
    </row>
    <row r="671" ht="34" customHeight="1">
      <c r="A671" s="23" t="inlineStr">
        <is>
          <t>Contractor Programme</t>
        </is>
      </c>
      <c r="B671" s="23" t="inlineStr">
        <is>
          <t>SCH-03-170</t>
        </is>
      </c>
      <c r="C671" s="23" t="inlineStr">
        <is>
          <t>Central interlocking: signal equipment installation - inspection</t>
        </is>
      </c>
      <c r="D671" s="23" t="inlineStr">
        <is>
          <t>WBS Code = 1.3.1</t>
        </is>
      </c>
      <c r="E671" s="23" t="inlineStr">
        <is>
          <t>R530-v2</t>
        </is>
      </c>
      <c r="F671" s="23" t="inlineStr">
        <is>
          <t>1.3.1 Systems - Traction Power</t>
        </is>
      </c>
      <c r="G671" s="23" t="inlineStr">
        <is>
          <t>ONE_TO_ONE</t>
        </is>
      </c>
      <c r="H671" s="23" t="inlineStr">
        <is>
          <t>RETAINED</t>
        </is>
      </c>
      <c r="I671" s="23" t="inlineStr">
        <is>
          <t>Carried forward</t>
        </is>
      </c>
      <c r="J671" s="23" t="inlineStr">
        <is>
          <t>Source assignment -- not individually reviewed</t>
        </is>
      </c>
      <c r="K671" s="23" t="inlineStr"/>
      <c r="L671" s="23" t="inlineStr"/>
      <c r="M671" s="23" t="inlineStr"/>
      <c r="N671" s="14" t="inlineStr">
        <is>
          <t>10 EVIDENCE &amp; DECISIONS</t>
        </is>
      </c>
    </row>
    <row r="672" ht="34" customHeight="1">
      <c r="A672" s="23" t="inlineStr">
        <is>
          <t>Contractor Programme</t>
        </is>
      </c>
      <c r="B672" s="23" t="inlineStr">
        <is>
          <t>SCH-03-172</t>
        </is>
      </c>
      <c r="C672" s="23" t="inlineStr">
        <is>
          <t>Control Centre: control-centre integration - release</t>
        </is>
      </c>
      <c r="D672" s="23" t="inlineStr">
        <is>
          <t>WBS Code = 1.3.1</t>
        </is>
      </c>
      <c r="E672" s="23" t="inlineStr">
        <is>
          <t>R532-v2</t>
        </is>
      </c>
      <c r="F672" s="23" t="inlineStr">
        <is>
          <t>1.3.1 Systems - Traction Power</t>
        </is>
      </c>
      <c r="G672" s="23" t="inlineStr">
        <is>
          <t>ONE_TO_ONE</t>
        </is>
      </c>
      <c r="H672" s="23" t="inlineStr">
        <is>
          <t>RETAINED</t>
        </is>
      </c>
      <c r="I672" s="23" t="inlineStr">
        <is>
          <t>Carried forward</t>
        </is>
      </c>
      <c r="J672" s="23" t="inlineStr">
        <is>
          <t>Source assignment -- not individually reviewed</t>
        </is>
      </c>
      <c r="K672" s="23" t="inlineStr"/>
      <c r="L672" s="23" t="inlineStr"/>
      <c r="M672" s="23" t="inlineStr"/>
      <c r="N672" s="14" t="inlineStr">
        <is>
          <t>10 EVIDENCE &amp; DECISIONS</t>
        </is>
      </c>
    </row>
    <row r="673" ht="34" customHeight="1">
      <c r="A673" s="23" t="inlineStr">
        <is>
          <t>Contractor Programme</t>
        </is>
      </c>
      <c r="B673" s="23" t="inlineStr">
        <is>
          <t>SCH-03-173</t>
        </is>
      </c>
      <c r="C673" s="23" t="inlineStr">
        <is>
          <t>West wayside: fibre backbone termination - field start</t>
        </is>
      </c>
      <c r="D673" s="23" t="inlineStr">
        <is>
          <t>WBS Code = 1.3.1</t>
        </is>
      </c>
      <c r="E673" s="23" t="inlineStr">
        <is>
          <t>R533-v2</t>
        </is>
      </c>
      <c r="F673" s="23" t="inlineStr">
        <is>
          <t>1.3.1 Systems - Traction Power</t>
        </is>
      </c>
      <c r="G673" s="23" t="inlineStr">
        <is>
          <t>ONE_TO_ONE</t>
        </is>
      </c>
      <c r="H673" s="23" t="inlineStr">
        <is>
          <t>RETAINED</t>
        </is>
      </c>
      <c r="I673" s="23" t="inlineStr">
        <is>
          <t>Carried forward</t>
        </is>
      </c>
      <c r="J673" s="23" t="inlineStr">
        <is>
          <t>Source assignment -- not individually reviewed</t>
        </is>
      </c>
      <c r="K673" s="23" t="inlineStr"/>
      <c r="L673" s="23" t="inlineStr"/>
      <c r="M673" s="23" t="inlineStr"/>
      <c r="N673" s="14" t="inlineStr">
        <is>
          <t>10 EVIDENCE &amp; DECISIONS</t>
        </is>
      </c>
    </row>
    <row r="674" ht="34" customHeight="1">
      <c r="A674" s="23" t="inlineStr">
        <is>
          <t>Contractor Programme</t>
        </is>
      </c>
      <c r="B674" s="23" t="inlineStr">
        <is>
          <t>SCH-03-175</t>
        </is>
      </c>
      <c r="C674" s="23" t="inlineStr">
        <is>
          <t>Central interlocking: traction-power feeder pull - inspection</t>
        </is>
      </c>
      <c r="D674" s="23" t="inlineStr">
        <is>
          <t>WBS Code = 1.3.1</t>
        </is>
      </c>
      <c r="E674" s="23" t="inlineStr">
        <is>
          <t>R535-v2</t>
        </is>
      </c>
      <c r="F674" s="23" t="inlineStr">
        <is>
          <t>1.3.1 Systems - Traction Power</t>
        </is>
      </c>
      <c r="G674" s="23" t="inlineStr">
        <is>
          <t>ONE_TO_ONE</t>
        </is>
      </c>
      <c r="H674" s="23" t="inlineStr">
        <is>
          <t>RETAINED</t>
        </is>
      </c>
      <c r="I674" s="23" t="inlineStr">
        <is>
          <t>Carried forward</t>
        </is>
      </c>
      <c r="J674" s="23" t="inlineStr">
        <is>
          <t>Source assignment -- not individually reviewed</t>
        </is>
      </c>
      <c r="K674" s="23" t="inlineStr"/>
      <c r="L674" s="23" t="inlineStr"/>
      <c r="M674" s="23" t="inlineStr"/>
      <c r="N674" s="14" t="inlineStr">
        <is>
          <t>10 EVIDENCE &amp; DECISIONS</t>
        </is>
      </c>
    </row>
    <row r="675" ht="34" customHeight="1">
      <c r="A675" s="23" t="inlineStr">
        <is>
          <t>Contractor Programme</t>
        </is>
      </c>
      <c r="B675" s="23" t="inlineStr">
        <is>
          <t>SCH-03-176</t>
        </is>
      </c>
      <c r="C675" s="23" t="inlineStr">
        <is>
          <t>Harbour Station: train-control cabinet fit-out - turnover</t>
        </is>
      </c>
      <c r="D675" s="23" t="inlineStr">
        <is>
          <t>WBS Code = 1.3.1</t>
        </is>
      </c>
      <c r="E675" s="23" t="inlineStr">
        <is>
          <t>R536-v2</t>
        </is>
      </c>
      <c r="F675" s="23" t="inlineStr">
        <is>
          <t>1.3.1 Systems - Traction Power</t>
        </is>
      </c>
      <c r="G675" s="23" t="inlineStr">
        <is>
          <t>ONE_TO_ONE</t>
        </is>
      </c>
      <c r="H675" s="23" t="inlineStr">
        <is>
          <t>RETAINED</t>
        </is>
      </c>
      <c r="I675" s="23" t="inlineStr">
        <is>
          <t>Carried forward</t>
        </is>
      </c>
      <c r="J675" s="23" t="inlineStr">
        <is>
          <t>Source assignment -- not individually reviewed</t>
        </is>
      </c>
      <c r="K675" s="23" t="inlineStr"/>
      <c r="L675" s="23" t="inlineStr"/>
      <c r="M675" s="23" t="inlineStr"/>
      <c r="N675" s="14" t="inlineStr">
        <is>
          <t>10 EVIDENCE &amp; DECISIONS</t>
        </is>
      </c>
    </row>
    <row r="676" ht="34" customHeight="1">
      <c r="A676" s="23" t="inlineStr">
        <is>
          <t>Contractor Programme</t>
        </is>
      </c>
      <c r="B676" s="23" t="inlineStr">
        <is>
          <t>SCH-03-178</t>
        </is>
      </c>
      <c r="C676" s="23" t="inlineStr">
        <is>
          <t>West wayside: signal equipment installation - field start</t>
        </is>
      </c>
      <c r="D676" s="23" t="inlineStr">
        <is>
          <t>WBS Code = 1.3.1</t>
        </is>
      </c>
      <c r="E676" s="23" t="inlineStr">
        <is>
          <t>R538-v2</t>
        </is>
      </c>
      <c r="F676" s="23" t="inlineStr">
        <is>
          <t>1.3.1 Systems - Traction Power</t>
        </is>
      </c>
      <c r="G676" s="23" t="inlineStr">
        <is>
          <t>ONE_TO_ONE</t>
        </is>
      </c>
      <c r="H676" s="23" t="inlineStr">
        <is>
          <t>RETAINED</t>
        </is>
      </c>
      <c r="I676" s="23" t="inlineStr">
        <is>
          <t>Carried forward</t>
        </is>
      </c>
      <c r="J676" s="23" t="inlineStr">
        <is>
          <t>Source assignment -- not individually reviewed</t>
        </is>
      </c>
      <c r="K676" s="23" t="inlineStr"/>
      <c r="L676" s="23" t="inlineStr"/>
      <c r="M676" s="23" t="inlineStr"/>
      <c r="N676" s="14" t="inlineStr">
        <is>
          <t>10 EVIDENCE &amp; DECISIONS</t>
        </is>
      </c>
    </row>
    <row r="677" ht="34" customHeight="1">
      <c r="A677" s="23" t="inlineStr">
        <is>
          <t>Contractor Programme</t>
        </is>
      </c>
      <c r="B677" s="23" t="inlineStr">
        <is>
          <t>SCH-03-179</t>
        </is>
      </c>
      <c r="C677" s="23" t="inlineStr">
        <is>
          <t>East substation: radio equipment installation - installation</t>
        </is>
      </c>
      <c r="D677" s="23" t="inlineStr">
        <is>
          <t>WBS Code = 1.3.1</t>
        </is>
      </c>
      <c r="E677" s="23" t="inlineStr">
        <is>
          <t>R539-v2</t>
        </is>
      </c>
      <c r="F677" s="23" t="inlineStr">
        <is>
          <t>1.3.1 Systems - Traction Power</t>
        </is>
      </c>
      <c r="G677" s="23" t="inlineStr">
        <is>
          <t>ONE_TO_ONE</t>
        </is>
      </c>
      <c r="H677" s="23" t="inlineStr">
        <is>
          <t>RETAINED</t>
        </is>
      </c>
      <c r="I677" s="23" t="inlineStr">
        <is>
          <t>Carried forward</t>
        </is>
      </c>
      <c r="J677" s="23" t="inlineStr">
        <is>
          <t>Source assignment -- not individually reviewed</t>
        </is>
      </c>
      <c r="K677" s="23" t="inlineStr"/>
      <c r="L677" s="23" t="inlineStr"/>
      <c r="M677" s="23" t="inlineStr"/>
      <c r="N677" s="14" t="inlineStr">
        <is>
          <t>10 EVIDENCE &amp; DECISIONS</t>
        </is>
      </c>
    </row>
    <row r="678" ht="34" customHeight="1">
      <c r="A678" s="23" t="inlineStr">
        <is>
          <t>Cost &amp; Forecast Control Accounts</t>
        </is>
      </c>
      <c r="B678" s="23" t="inlineStr">
        <is>
          <t>CST-03-001</t>
        </is>
      </c>
      <c r="C678" s="23" t="inlineStr">
        <is>
          <t>Systems - systems integration - closeout</t>
        </is>
      </c>
      <c r="D678" s="23" t="inlineStr">
        <is>
          <t>Cost Account = CA-3001; WBS Code = 1.3.1</t>
        </is>
      </c>
      <c r="E678" s="23" t="inlineStr">
        <is>
          <t>R1243-v2</t>
        </is>
      </c>
      <c r="F678" s="23" t="inlineStr">
        <is>
          <t>1.3.1 Systems - Traction Power</t>
        </is>
      </c>
      <c r="G678" s="23" t="inlineStr">
        <is>
          <t>ONE_TO_ONE</t>
        </is>
      </c>
      <c r="H678" s="23" t="inlineStr">
        <is>
          <t>RETAINED</t>
        </is>
      </c>
      <c r="I678" s="23" t="inlineStr">
        <is>
          <t>Carried forward</t>
        </is>
      </c>
      <c r="J678" s="23" t="inlineStr">
        <is>
          <t>Source assignment -- not individually reviewed</t>
        </is>
      </c>
      <c r="K678" s="23" t="inlineStr"/>
      <c r="L678" s="23" t="inlineStr"/>
      <c r="M678" s="23" t="inlineStr"/>
      <c r="N678" s="14" t="inlineStr">
        <is>
          <t>10 EVIDENCE &amp; DECISIONS</t>
        </is>
      </c>
    </row>
    <row r="679" ht="34" customHeight="1">
      <c r="A679" s="23" t="inlineStr">
        <is>
          <t>Cost &amp; Forecast Control Accounts</t>
        </is>
      </c>
      <c r="B679" s="23" t="inlineStr">
        <is>
          <t>CST-03-003</t>
        </is>
      </c>
      <c r="C679" s="23" t="inlineStr">
        <is>
          <t>Systems - train control - supply and install</t>
        </is>
      </c>
      <c r="D679" s="23" t="inlineStr">
        <is>
          <t>Cost Account = CA-3003; WBS Code = 1.3.1</t>
        </is>
      </c>
      <c r="E679" s="23" t="inlineStr">
        <is>
          <t>R1245-v2</t>
        </is>
      </c>
      <c r="F679" s="23" t="inlineStr">
        <is>
          <t>1.3.1 Systems - Traction Power</t>
        </is>
      </c>
      <c r="G679" s="23" t="inlineStr">
        <is>
          <t>ONE_TO_ONE</t>
        </is>
      </c>
      <c r="H679" s="23" t="inlineStr">
        <is>
          <t>RETAINED</t>
        </is>
      </c>
      <c r="I679" s="23" t="inlineStr">
        <is>
          <t>Carried forward</t>
        </is>
      </c>
      <c r="J679" s="23" t="inlineStr">
        <is>
          <t>Source assignment -- not individually reviewed</t>
        </is>
      </c>
      <c r="K679" s="23" t="inlineStr"/>
      <c r="L679" s="23" t="inlineStr"/>
      <c r="M679" s="23" t="inlineStr"/>
      <c r="N679" s="14" t="inlineStr">
        <is>
          <t>10 EVIDENCE &amp; DECISIONS</t>
        </is>
      </c>
    </row>
    <row r="680" ht="34" customHeight="1">
      <c r="A680" s="23" t="inlineStr">
        <is>
          <t>Cost &amp; Forecast Control Accounts</t>
        </is>
      </c>
      <c r="B680" s="23" t="inlineStr">
        <is>
          <t>CST-03-005</t>
        </is>
      </c>
      <c r="C680" s="23" t="inlineStr">
        <is>
          <t>Systems - signalling - allowance</t>
        </is>
      </c>
      <c r="D680" s="23" t="inlineStr">
        <is>
          <t>Cost Account = CA-3005; WBS Code = 1.3.1</t>
        </is>
      </c>
      <c r="E680" s="23" t="inlineStr">
        <is>
          <t>R1247-v2</t>
        </is>
      </c>
      <c r="F680" s="23" t="inlineStr">
        <is>
          <t>1.3.1 Systems - Traction Power</t>
        </is>
      </c>
      <c r="G680" s="23" t="inlineStr">
        <is>
          <t>ONE_TO_ONE</t>
        </is>
      </c>
      <c r="H680" s="23" t="inlineStr">
        <is>
          <t>RETAINED</t>
        </is>
      </c>
      <c r="I680" s="23" t="inlineStr">
        <is>
          <t>Carried forward</t>
        </is>
      </c>
      <c r="J680" s="23" t="inlineStr">
        <is>
          <t>Source assignment -- not individually reviewed</t>
        </is>
      </c>
      <c r="K680" s="23" t="inlineStr"/>
      <c r="L680" s="23" t="inlineStr"/>
      <c r="M680" s="23" t="inlineStr"/>
      <c r="N680" s="14" t="inlineStr">
        <is>
          <t>10 EVIDENCE &amp; DECISIONS</t>
        </is>
      </c>
    </row>
    <row r="681" ht="34" customHeight="1">
      <c r="A681" s="23" t="inlineStr">
        <is>
          <t>Cost &amp; Forecast Control Accounts</t>
        </is>
      </c>
      <c r="B681" s="23" t="inlineStr">
        <is>
          <t>CST-03-007</t>
        </is>
      </c>
      <c r="C681" s="23" t="inlineStr">
        <is>
          <t>Systems - systems integration - field package</t>
        </is>
      </c>
      <c r="D681" s="23" t="inlineStr">
        <is>
          <t>Cost Account = CA-3007; WBS Code = 1.3.1</t>
        </is>
      </c>
      <c r="E681" s="23" t="inlineStr">
        <is>
          <t>R1249-v2</t>
        </is>
      </c>
      <c r="F681" s="23" t="inlineStr">
        <is>
          <t>1.3.1 Systems - Traction Power</t>
        </is>
      </c>
      <c r="G681" s="23" t="inlineStr">
        <is>
          <t>ONE_TO_ONE</t>
        </is>
      </c>
      <c r="H681" s="23" t="inlineStr">
        <is>
          <t>RETAINED</t>
        </is>
      </c>
      <c r="I681" s="23" t="inlineStr">
        <is>
          <t>Carried forward</t>
        </is>
      </c>
      <c r="J681" s="23" t="inlineStr">
        <is>
          <t>Source assignment -- not individually reviewed</t>
        </is>
      </c>
      <c r="K681" s="23" t="inlineStr"/>
      <c r="L681" s="23" t="inlineStr"/>
      <c r="M681" s="23" t="inlineStr"/>
      <c r="N681" s="14" t="inlineStr">
        <is>
          <t>10 EVIDENCE &amp; DECISIONS</t>
        </is>
      </c>
    </row>
    <row r="682" ht="34" customHeight="1">
      <c r="A682" s="23" t="inlineStr">
        <is>
          <t>Cost &amp; Forecast Control Accounts</t>
        </is>
      </c>
      <c r="B682" s="23" t="inlineStr">
        <is>
          <t>CST-03-009</t>
        </is>
      </c>
      <c r="C682" s="23" t="inlineStr">
        <is>
          <t>Systems - train control - professional services</t>
        </is>
      </c>
      <c r="D682" s="23" t="inlineStr">
        <is>
          <t>Cost Account = CA-3009; WBS Code = 1.3.1</t>
        </is>
      </c>
      <c r="E682" s="23" t="inlineStr">
        <is>
          <t>R1251-v2</t>
        </is>
      </c>
      <c r="F682" s="23" t="inlineStr">
        <is>
          <t>1.3.1 Systems - Traction Power</t>
        </is>
      </c>
      <c r="G682" s="23" t="inlineStr">
        <is>
          <t>ONE_TO_ONE</t>
        </is>
      </c>
      <c r="H682" s="23" t="inlineStr">
        <is>
          <t>RETAINED</t>
        </is>
      </c>
      <c r="I682" s="23" t="inlineStr">
        <is>
          <t>Carried forward</t>
        </is>
      </c>
      <c r="J682" s="23" t="inlineStr">
        <is>
          <t>Source assignment -- not individually reviewed</t>
        </is>
      </c>
      <c r="K682" s="23" t="inlineStr"/>
      <c r="L682" s="23" t="inlineStr"/>
      <c r="M682" s="23" t="inlineStr"/>
      <c r="N682" s="14" t="inlineStr">
        <is>
          <t>10 EVIDENCE &amp; DECISIONS</t>
        </is>
      </c>
    </row>
    <row r="683" ht="34" customHeight="1">
      <c r="A683" s="23" t="inlineStr">
        <is>
          <t>Cost &amp; Forecast Control Accounts</t>
        </is>
      </c>
      <c r="B683" s="23" t="inlineStr">
        <is>
          <t>CST-03-011</t>
        </is>
      </c>
      <c r="C683" s="23" t="inlineStr">
        <is>
          <t>Systems - signalling - closeout</t>
        </is>
      </c>
      <c r="D683" s="23" t="inlineStr">
        <is>
          <t>Cost Account = CA-3011; WBS Code = 1.3.1</t>
        </is>
      </c>
      <c r="E683" s="23" t="inlineStr">
        <is>
          <t>R1253-v2</t>
        </is>
      </c>
      <c r="F683" s="23" t="inlineStr">
        <is>
          <t>1.3.1 Systems - Traction Power</t>
        </is>
      </c>
      <c r="G683" s="23" t="inlineStr">
        <is>
          <t>ONE_TO_ONE</t>
        </is>
      </c>
      <c r="H683" s="23" t="inlineStr">
        <is>
          <t>RETAINED</t>
        </is>
      </c>
      <c r="I683" s="23" t="inlineStr">
        <is>
          <t>Carried forward</t>
        </is>
      </c>
      <c r="J683" s="23" t="inlineStr">
        <is>
          <t>Source assignment -- not individually reviewed</t>
        </is>
      </c>
      <c r="K683" s="23" t="inlineStr"/>
      <c r="L683" s="23" t="inlineStr"/>
      <c r="M683" s="23" t="inlineStr"/>
      <c r="N683" s="14" t="inlineStr">
        <is>
          <t>10 EVIDENCE &amp; DECISIONS</t>
        </is>
      </c>
    </row>
    <row r="684" ht="34" customHeight="1">
      <c r="A684" s="23" t="inlineStr">
        <is>
          <t>Cost &amp; Forecast Control Accounts</t>
        </is>
      </c>
      <c r="B684" s="23" t="inlineStr">
        <is>
          <t>CST-03-013</t>
        </is>
      </c>
      <c r="C684" s="23" t="inlineStr">
        <is>
          <t>Systems - systems integration - supply and install</t>
        </is>
      </c>
      <c r="D684" s="23" t="inlineStr">
        <is>
          <t>Cost Account = CA-3013; WBS Code = 1.3.1</t>
        </is>
      </c>
      <c r="E684" s="23" t="inlineStr">
        <is>
          <t>R1255-v2</t>
        </is>
      </c>
      <c r="F684" s="23" t="inlineStr">
        <is>
          <t>1.3.1 Systems - Traction Power</t>
        </is>
      </c>
      <c r="G684" s="23" t="inlineStr">
        <is>
          <t>ONE_TO_ONE</t>
        </is>
      </c>
      <c r="H684" s="23" t="inlineStr">
        <is>
          <t>RETAINED</t>
        </is>
      </c>
      <c r="I684" s="23" t="inlineStr">
        <is>
          <t>Carried forward</t>
        </is>
      </c>
      <c r="J684" s="23" t="inlineStr">
        <is>
          <t>Source assignment -- not individually reviewed</t>
        </is>
      </c>
      <c r="K684" s="23" t="inlineStr"/>
      <c r="L684" s="23" t="inlineStr"/>
      <c r="M684" s="23" t="inlineStr"/>
      <c r="N684" s="14" t="inlineStr">
        <is>
          <t>10 EVIDENCE &amp; DECISIONS</t>
        </is>
      </c>
    </row>
    <row r="685" ht="34" customHeight="1">
      <c r="A685" s="23" t="inlineStr">
        <is>
          <t>Cost &amp; Forecast Control Accounts</t>
        </is>
      </c>
      <c r="B685" s="23" t="inlineStr">
        <is>
          <t>CST-03-015</t>
        </is>
      </c>
      <c r="C685" s="23" t="inlineStr">
        <is>
          <t>Systems - train control - allowance</t>
        </is>
      </c>
      <c r="D685" s="23" t="inlineStr">
        <is>
          <t>Cost Account = CA-3015; WBS Code = 1.3.1</t>
        </is>
      </c>
      <c r="E685" s="23" t="inlineStr">
        <is>
          <t>R1257-v2</t>
        </is>
      </c>
      <c r="F685" s="23" t="inlineStr">
        <is>
          <t>1.3.1 Systems - Traction Power</t>
        </is>
      </c>
      <c r="G685" s="23" t="inlineStr">
        <is>
          <t>ONE_TO_ONE</t>
        </is>
      </c>
      <c r="H685" s="23" t="inlineStr">
        <is>
          <t>RETAINED</t>
        </is>
      </c>
      <c r="I685" s="23" t="inlineStr">
        <is>
          <t>Carried forward</t>
        </is>
      </c>
      <c r="J685" s="23" t="inlineStr">
        <is>
          <t>Source assignment -- not individually reviewed</t>
        </is>
      </c>
      <c r="K685" s="23" t="inlineStr"/>
      <c r="L685" s="23" t="inlineStr"/>
      <c r="M685" s="23" t="inlineStr"/>
      <c r="N685" s="14" t="inlineStr">
        <is>
          <t>10 EVIDENCE &amp; DECISIONS</t>
        </is>
      </c>
    </row>
    <row r="686" ht="34" customHeight="1">
      <c r="A686" s="23" t="inlineStr">
        <is>
          <t>Cost &amp; Forecast Control Accounts</t>
        </is>
      </c>
      <c r="B686" s="23" t="inlineStr">
        <is>
          <t>CST-03-017</t>
        </is>
      </c>
      <c r="C686" s="23" t="inlineStr">
        <is>
          <t>Systems - signalling - field package</t>
        </is>
      </c>
      <c r="D686" s="23" t="inlineStr">
        <is>
          <t>Cost Account = CA-3017; WBS Code = 1.3.1</t>
        </is>
      </c>
      <c r="E686" s="23" t="inlineStr">
        <is>
          <t>R1259-v2</t>
        </is>
      </c>
      <c r="F686" s="23" t="inlineStr">
        <is>
          <t>1.3.1 Systems - Traction Power</t>
        </is>
      </c>
      <c r="G686" s="23" t="inlineStr">
        <is>
          <t>ONE_TO_ONE</t>
        </is>
      </c>
      <c r="H686" s="23" t="inlineStr">
        <is>
          <t>RETAINED</t>
        </is>
      </c>
      <c r="I686" s="23" t="inlineStr">
        <is>
          <t>Carried forward</t>
        </is>
      </c>
      <c r="J686" s="23" t="inlineStr">
        <is>
          <t>Source assignment -- not individually reviewed</t>
        </is>
      </c>
      <c r="K686" s="23" t="inlineStr"/>
      <c r="L686" s="23" t="inlineStr"/>
      <c r="M686" s="23" t="inlineStr"/>
      <c r="N686" s="14" t="inlineStr">
        <is>
          <t>10 EVIDENCE &amp; DECISIONS</t>
        </is>
      </c>
    </row>
    <row r="687" ht="34" customHeight="1">
      <c r="A687" s="23" t="inlineStr">
        <is>
          <t>Cost &amp; Forecast Control Accounts</t>
        </is>
      </c>
      <c r="B687" s="23" t="inlineStr">
        <is>
          <t>CST-03-019</t>
        </is>
      </c>
      <c r="C687" s="23" t="inlineStr">
        <is>
          <t>Systems - systems integration - professional services</t>
        </is>
      </c>
      <c r="D687" s="23" t="inlineStr">
        <is>
          <t>Cost Account = CA-3019; WBS Code = 1.3.1</t>
        </is>
      </c>
      <c r="E687" s="23" t="inlineStr">
        <is>
          <t>R1261-v2</t>
        </is>
      </c>
      <c r="F687" s="23" t="inlineStr">
        <is>
          <t>1.3.1 Systems - Traction Power</t>
        </is>
      </c>
      <c r="G687" s="23" t="inlineStr">
        <is>
          <t>ONE_TO_ONE</t>
        </is>
      </c>
      <c r="H687" s="23" t="inlineStr">
        <is>
          <t>RETAINED</t>
        </is>
      </c>
      <c r="I687" s="23" t="inlineStr">
        <is>
          <t>Carried forward</t>
        </is>
      </c>
      <c r="J687" s="23" t="inlineStr">
        <is>
          <t>Source assignment -- not individually reviewed</t>
        </is>
      </c>
      <c r="K687" s="23" t="inlineStr"/>
      <c r="L687" s="23" t="inlineStr"/>
      <c r="M687" s="23" t="inlineStr"/>
      <c r="N687" s="14" t="inlineStr">
        <is>
          <t>10 EVIDENCE &amp; DECISIONS</t>
        </is>
      </c>
    </row>
    <row r="688" ht="34" customHeight="1">
      <c r="A688" s="23" t="inlineStr">
        <is>
          <t>Cost &amp; Forecast Control Accounts</t>
        </is>
      </c>
      <c r="B688" s="23" t="inlineStr">
        <is>
          <t>CST-03-021</t>
        </is>
      </c>
      <c r="C688" s="23" t="inlineStr">
        <is>
          <t>Systems - train control - closeout</t>
        </is>
      </c>
      <c r="D688" s="23" t="inlineStr">
        <is>
          <t>Cost Account = CA-3021; WBS Code = 1.3.1</t>
        </is>
      </c>
      <c r="E688" s="23" t="inlineStr">
        <is>
          <t>R1263-v2</t>
        </is>
      </c>
      <c r="F688" s="23" t="inlineStr">
        <is>
          <t>1.3.1 Systems - Traction Power</t>
        </is>
      </c>
      <c r="G688" s="23" t="inlineStr">
        <is>
          <t>ONE_TO_ONE</t>
        </is>
      </c>
      <c r="H688" s="23" t="inlineStr">
        <is>
          <t>RETAINED</t>
        </is>
      </c>
      <c r="I688" s="23" t="inlineStr">
        <is>
          <t>Carried forward</t>
        </is>
      </c>
      <c r="J688" s="23" t="inlineStr">
        <is>
          <t>Source assignment -- not individually reviewed</t>
        </is>
      </c>
      <c r="K688" s="23" t="inlineStr"/>
      <c r="L688" s="23" t="inlineStr"/>
      <c r="M688" s="23" t="inlineStr"/>
      <c r="N688" s="14" t="inlineStr">
        <is>
          <t>10 EVIDENCE &amp; DECISIONS</t>
        </is>
      </c>
    </row>
    <row r="689" ht="34" customHeight="1">
      <c r="A689" s="23" t="inlineStr">
        <is>
          <t>Cost &amp; Forecast Control Accounts</t>
        </is>
      </c>
      <c r="B689" s="23" t="inlineStr">
        <is>
          <t>CST-03-023</t>
        </is>
      </c>
      <c r="C689" s="23" t="inlineStr">
        <is>
          <t>Systems - signalling - supply and install</t>
        </is>
      </c>
      <c r="D689" s="23" t="inlineStr">
        <is>
          <t>Cost Account = CA-3023; WBS Code = 1.3.1</t>
        </is>
      </c>
      <c r="E689" s="23" t="inlineStr">
        <is>
          <t>R1265-v2</t>
        </is>
      </c>
      <c r="F689" s="23" t="inlineStr">
        <is>
          <t>1.3.1 Systems - Traction Power</t>
        </is>
      </c>
      <c r="G689" s="23" t="inlineStr">
        <is>
          <t>ONE_TO_ONE</t>
        </is>
      </c>
      <c r="H689" s="23" t="inlineStr">
        <is>
          <t>RETAINED</t>
        </is>
      </c>
      <c r="I689" s="23" t="inlineStr">
        <is>
          <t>Carried forward</t>
        </is>
      </c>
      <c r="J689" s="23" t="inlineStr">
        <is>
          <t>Source assignment -- not individually reviewed</t>
        </is>
      </c>
      <c r="K689" s="23" t="inlineStr"/>
      <c r="L689" s="23" t="inlineStr"/>
      <c r="M689" s="23" t="inlineStr"/>
      <c r="N689" s="14" t="inlineStr">
        <is>
          <t>10 EVIDENCE &amp; DECISIONS</t>
        </is>
      </c>
    </row>
    <row r="690" ht="34" customHeight="1">
      <c r="A690" s="23" t="inlineStr">
        <is>
          <t>Cost &amp; Forecast Control Accounts</t>
        </is>
      </c>
      <c r="B690" s="23" t="inlineStr">
        <is>
          <t>CST-03-025</t>
        </is>
      </c>
      <c r="C690" s="23" t="inlineStr">
        <is>
          <t>Systems - systems integration - allowance</t>
        </is>
      </c>
      <c r="D690" s="23" t="inlineStr">
        <is>
          <t>Cost Account = CA-3025; WBS Code = 1.3.1</t>
        </is>
      </c>
      <c r="E690" s="23" t="inlineStr">
        <is>
          <t>R1267-v2</t>
        </is>
      </c>
      <c r="F690" s="23" t="inlineStr">
        <is>
          <t>1.3.1 Systems - Traction Power</t>
        </is>
      </c>
      <c r="G690" s="23" t="inlineStr">
        <is>
          <t>ONE_TO_ONE</t>
        </is>
      </c>
      <c r="H690" s="23" t="inlineStr">
        <is>
          <t>RETAINED</t>
        </is>
      </c>
      <c r="I690" s="23" t="inlineStr">
        <is>
          <t>Carried forward</t>
        </is>
      </c>
      <c r="J690" s="23" t="inlineStr">
        <is>
          <t>Source assignment -- not individually reviewed</t>
        </is>
      </c>
      <c r="K690" s="23" t="inlineStr"/>
      <c r="L690" s="23" t="inlineStr"/>
      <c r="M690" s="23" t="inlineStr"/>
      <c r="N690" s="14" t="inlineStr">
        <is>
          <t>10 EVIDENCE &amp; DECISIONS</t>
        </is>
      </c>
    </row>
    <row r="691" ht="34" customHeight="1">
      <c r="A691" s="23" t="inlineStr">
        <is>
          <t>Cost &amp; Forecast Control Accounts</t>
        </is>
      </c>
      <c r="B691" s="23" t="inlineStr">
        <is>
          <t>CST-03-027</t>
        </is>
      </c>
      <c r="C691" s="23" t="inlineStr">
        <is>
          <t>Systems - train control - field package</t>
        </is>
      </c>
      <c r="D691" s="23" t="inlineStr">
        <is>
          <t>Cost Account = CA-3027; WBS Code = 1.3.1</t>
        </is>
      </c>
      <c r="E691" s="23" t="inlineStr">
        <is>
          <t>R1269-v2</t>
        </is>
      </c>
      <c r="F691" s="23" t="inlineStr">
        <is>
          <t>1.3.1 Systems - Traction Power</t>
        </is>
      </c>
      <c r="G691" s="23" t="inlineStr">
        <is>
          <t>ONE_TO_ONE</t>
        </is>
      </c>
      <c r="H691" s="23" t="inlineStr">
        <is>
          <t>RETAINED</t>
        </is>
      </c>
      <c r="I691" s="23" t="inlineStr">
        <is>
          <t>Carried forward</t>
        </is>
      </c>
      <c r="J691" s="23" t="inlineStr">
        <is>
          <t>Source assignment -- not individually reviewed</t>
        </is>
      </c>
      <c r="K691" s="23" t="inlineStr"/>
      <c r="L691" s="23" t="inlineStr"/>
      <c r="M691" s="23" t="inlineStr"/>
      <c r="N691" s="14" t="inlineStr">
        <is>
          <t>10 EVIDENCE &amp; DECISIONS</t>
        </is>
      </c>
    </row>
    <row r="692" ht="34" customHeight="1">
      <c r="A692" s="23" t="inlineStr">
        <is>
          <t>Cost &amp; Forecast Control Accounts</t>
        </is>
      </c>
      <c r="B692" s="23" t="inlineStr">
        <is>
          <t>CST-03-029</t>
        </is>
      </c>
      <c r="C692" s="23" t="inlineStr">
        <is>
          <t>Systems - signalling - professional services</t>
        </is>
      </c>
      <c r="D692" s="23" t="inlineStr">
        <is>
          <t>Cost Account = CA-3029; WBS Code = 1.3.1</t>
        </is>
      </c>
      <c r="E692" s="23" t="inlineStr">
        <is>
          <t>R1271-v2</t>
        </is>
      </c>
      <c r="F692" s="23" t="inlineStr">
        <is>
          <t>1.3.1 Systems - Traction Power</t>
        </is>
      </c>
      <c r="G692" s="23" t="inlineStr">
        <is>
          <t>ONE_TO_ONE</t>
        </is>
      </c>
      <c r="H692" s="23" t="inlineStr">
        <is>
          <t>RETAINED</t>
        </is>
      </c>
      <c r="I692" s="23" t="inlineStr">
        <is>
          <t>Carried forward</t>
        </is>
      </c>
      <c r="J692" s="23" t="inlineStr">
        <is>
          <t>Source assignment -- not individually reviewed</t>
        </is>
      </c>
      <c r="K692" s="23" t="inlineStr"/>
      <c r="L692" s="23" t="inlineStr"/>
      <c r="M692" s="23" t="inlineStr"/>
      <c r="N692" s="14" t="inlineStr">
        <is>
          <t>10 EVIDENCE &amp; DECISIONS</t>
        </is>
      </c>
    </row>
    <row r="693" ht="34" customHeight="1">
      <c r="A693" s="23" t="inlineStr">
        <is>
          <t>Cost &amp; Forecast Control Accounts</t>
        </is>
      </c>
      <c r="B693" s="23" t="inlineStr">
        <is>
          <t>CST-03-031</t>
        </is>
      </c>
      <c r="C693" s="23" t="inlineStr">
        <is>
          <t>Systems - systems integration - closeout</t>
        </is>
      </c>
      <c r="D693" s="23" t="inlineStr">
        <is>
          <t>Cost Account = CA-3031; WBS Code = 1.3.1</t>
        </is>
      </c>
      <c r="E693" s="23" t="inlineStr">
        <is>
          <t>R1273-v2</t>
        </is>
      </c>
      <c r="F693" s="23" t="inlineStr">
        <is>
          <t>1.3.1 Systems - Traction Power</t>
        </is>
      </c>
      <c r="G693" s="23" t="inlineStr">
        <is>
          <t>ONE_TO_ONE</t>
        </is>
      </c>
      <c r="H693" s="23" t="inlineStr">
        <is>
          <t>RETAINED</t>
        </is>
      </c>
      <c r="I693" s="23" t="inlineStr">
        <is>
          <t>Carried forward</t>
        </is>
      </c>
      <c r="J693" s="23" t="inlineStr">
        <is>
          <t>Source assignment -- not individually reviewed</t>
        </is>
      </c>
      <c r="K693" s="23" t="inlineStr"/>
      <c r="L693" s="23" t="inlineStr"/>
      <c r="M693" s="23" t="inlineStr"/>
      <c r="N693" s="14" t="inlineStr">
        <is>
          <t>10 EVIDENCE &amp; DECISIONS</t>
        </is>
      </c>
    </row>
    <row r="694" ht="34" customHeight="1">
      <c r="A694" s="23" t="inlineStr">
        <is>
          <t>Cost &amp; Forecast Control Accounts</t>
        </is>
      </c>
      <c r="B694" s="23" t="inlineStr">
        <is>
          <t>CST-03-033</t>
        </is>
      </c>
      <c r="C694" s="23" t="inlineStr">
        <is>
          <t>Systems - train control - supply and install</t>
        </is>
      </c>
      <c r="D694" s="23" t="inlineStr">
        <is>
          <t>Cost Account = CA-3033; WBS Code = 1.3.1</t>
        </is>
      </c>
      <c r="E694" s="23" t="inlineStr">
        <is>
          <t>R1275-v2</t>
        </is>
      </c>
      <c r="F694" s="23" t="inlineStr">
        <is>
          <t>1.3.1 Systems - Traction Power</t>
        </is>
      </c>
      <c r="G694" s="23" t="inlineStr">
        <is>
          <t>ONE_TO_ONE</t>
        </is>
      </c>
      <c r="H694" s="23" t="inlineStr">
        <is>
          <t>RETAINED</t>
        </is>
      </c>
      <c r="I694" s="23" t="inlineStr">
        <is>
          <t>Carried forward</t>
        </is>
      </c>
      <c r="J694" s="23" t="inlineStr">
        <is>
          <t>Source assignment -- not individually reviewed</t>
        </is>
      </c>
      <c r="K694" s="23" t="inlineStr"/>
      <c r="L694" s="23" t="inlineStr"/>
      <c r="M694" s="23" t="inlineStr"/>
      <c r="N694" s="14" t="inlineStr">
        <is>
          <t>10 EVIDENCE &amp; DECISIONS</t>
        </is>
      </c>
    </row>
    <row r="695" ht="34" customHeight="1">
      <c r="A695" s="23" t="inlineStr">
        <is>
          <t>Cost &amp; Forecast Control Accounts</t>
        </is>
      </c>
      <c r="B695" s="23" t="inlineStr">
        <is>
          <t>CST-03-035</t>
        </is>
      </c>
      <c r="C695" s="23" t="inlineStr">
        <is>
          <t>Systems - signalling - allowance</t>
        </is>
      </c>
      <c r="D695" s="23" t="inlineStr">
        <is>
          <t>Cost Account = CA-3035; WBS Code = 1.3.1</t>
        </is>
      </c>
      <c r="E695" s="23" t="inlineStr">
        <is>
          <t>R1277-v2</t>
        </is>
      </c>
      <c r="F695" s="23" t="inlineStr">
        <is>
          <t>1.3.1 Systems - Traction Power</t>
        </is>
      </c>
      <c r="G695" s="23" t="inlineStr">
        <is>
          <t>ONE_TO_ONE</t>
        </is>
      </c>
      <c r="H695" s="23" t="inlineStr">
        <is>
          <t>RETAINED</t>
        </is>
      </c>
      <c r="I695" s="23" t="inlineStr">
        <is>
          <t>Carried forward</t>
        </is>
      </c>
      <c r="J695" s="23" t="inlineStr">
        <is>
          <t>Source assignment -- not individually reviewed</t>
        </is>
      </c>
      <c r="K695" s="23" t="inlineStr"/>
      <c r="L695" s="23" t="inlineStr"/>
      <c r="M695" s="23" t="inlineStr"/>
      <c r="N695" s="14" t="inlineStr">
        <is>
          <t>10 EVIDENCE &amp; DECISIONS</t>
        </is>
      </c>
    </row>
    <row r="696" ht="34" customHeight="1">
      <c r="A696" s="23" t="inlineStr">
        <is>
          <t>Cost &amp; Forecast Control Accounts</t>
        </is>
      </c>
      <c r="B696" s="23" t="inlineStr">
        <is>
          <t>CST-03-037</t>
        </is>
      </c>
      <c r="C696" s="23" t="inlineStr">
        <is>
          <t>Systems - systems integration - field package</t>
        </is>
      </c>
      <c r="D696" s="23" t="inlineStr">
        <is>
          <t>Cost Account = CA-3037; WBS Code = 1.3.1</t>
        </is>
      </c>
      <c r="E696" s="23" t="inlineStr">
        <is>
          <t>R1279-v2</t>
        </is>
      </c>
      <c r="F696" s="23" t="inlineStr">
        <is>
          <t>1.3.1 Systems - Traction Power</t>
        </is>
      </c>
      <c r="G696" s="23" t="inlineStr">
        <is>
          <t>ONE_TO_ONE</t>
        </is>
      </c>
      <c r="H696" s="23" t="inlineStr">
        <is>
          <t>RETAINED</t>
        </is>
      </c>
      <c r="I696" s="23" t="inlineStr">
        <is>
          <t>Carried forward</t>
        </is>
      </c>
      <c r="J696" s="23" t="inlineStr">
        <is>
          <t>Source assignment -- not individually reviewed</t>
        </is>
      </c>
      <c r="K696" s="23" t="inlineStr"/>
      <c r="L696" s="23" t="inlineStr"/>
      <c r="M696" s="23" t="inlineStr"/>
      <c r="N696" s="14" t="inlineStr">
        <is>
          <t>10 EVIDENCE &amp; DECISIONS</t>
        </is>
      </c>
    </row>
    <row r="697" ht="34" customHeight="1">
      <c r="A697" s="23" t="inlineStr">
        <is>
          <t>Cost &amp; Forecast Control Accounts</t>
        </is>
      </c>
      <c r="B697" s="23" t="inlineStr">
        <is>
          <t>CST-03-039</t>
        </is>
      </c>
      <c r="C697" s="23" t="inlineStr">
        <is>
          <t>Systems - train control - professional services</t>
        </is>
      </c>
      <c r="D697" s="23" t="inlineStr">
        <is>
          <t>Cost Account = CA-3039; WBS Code = 1.3.1</t>
        </is>
      </c>
      <c r="E697" s="23" t="inlineStr">
        <is>
          <t>R1281-v2</t>
        </is>
      </c>
      <c r="F697" s="23" t="inlineStr">
        <is>
          <t>1.3.1 Systems - Traction Power</t>
        </is>
      </c>
      <c r="G697" s="23" t="inlineStr">
        <is>
          <t>ONE_TO_ONE</t>
        </is>
      </c>
      <c r="H697" s="23" t="inlineStr">
        <is>
          <t>RETAINED</t>
        </is>
      </c>
      <c r="I697" s="23" t="inlineStr">
        <is>
          <t>Carried forward</t>
        </is>
      </c>
      <c r="J697" s="23" t="inlineStr">
        <is>
          <t>Source assignment -- not individually reviewed</t>
        </is>
      </c>
      <c r="K697" s="23" t="inlineStr"/>
      <c r="L697" s="23" t="inlineStr"/>
      <c r="M697" s="23" t="inlineStr"/>
      <c r="N697" s="14" t="inlineStr">
        <is>
          <t>10 EVIDENCE &amp; DECISIONS</t>
        </is>
      </c>
    </row>
    <row r="698" ht="34" customHeight="1">
      <c r="A698" s="23" t="inlineStr">
        <is>
          <t>Cost &amp; Forecast Control Accounts</t>
        </is>
      </c>
      <c r="B698" s="23" t="inlineStr">
        <is>
          <t>CST-03-041</t>
        </is>
      </c>
      <c r="C698" s="23" t="inlineStr">
        <is>
          <t>Systems - signalling - closeout</t>
        </is>
      </c>
      <c r="D698" s="23" t="inlineStr">
        <is>
          <t>Cost Account = CA-3041; WBS Code = 1.3.1</t>
        </is>
      </c>
      <c r="E698" s="23" t="inlineStr">
        <is>
          <t>R1283-v2</t>
        </is>
      </c>
      <c r="F698" s="23" t="inlineStr">
        <is>
          <t>1.3.1 Systems - Traction Power</t>
        </is>
      </c>
      <c r="G698" s="23" t="inlineStr">
        <is>
          <t>ONE_TO_ONE</t>
        </is>
      </c>
      <c r="H698" s="23" t="inlineStr">
        <is>
          <t>RETAINED</t>
        </is>
      </c>
      <c r="I698" s="23" t="inlineStr">
        <is>
          <t>Carried forward</t>
        </is>
      </c>
      <c r="J698" s="23" t="inlineStr">
        <is>
          <t>Source assignment -- not individually reviewed</t>
        </is>
      </c>
      <c r="K698" s="23" t="inlineStr"/>
      <c r="L698" s="23" t="inlineStr"/>
      <c r="M698" s="23" t="inlineStr"/>
      <c r="N698" s="14" t="inlineStr">
        <is>
          <t>10 EVIDENCE &amp; DECISIONS</t>
        </is>
      </c>
    </row>
    <row r="699" ht="34" customHeight="1">
      <c r="A699" s="23" t="inlineStr">
        <is>
          <t>Cost &amp; Forecast Control Accounts</t>
        </is>
      </c>
      <c r="B699" s="23" t="inlineStr">
        <is>
          <t>CST-03-043</t>
        </is>
      </c>
      <c r="C699" s="23" t="inlineStr">
        <is>
          <t>Systems - systems integration - supply and install</t>
        </is>
      </c>
      <c r="D699" s="23" t="inlineStr">
        <is>
          <t>Cost Account = CA-3043; WBS Code = 1.3.1</t>
        </is>
      </c>
      <c r="E699" s="23" t="inlineStr">
        <is>
          <t>R1285-v2</t>
        </is>
      </c>
      <c r="F699" s="23" t="inlineStr">
        <is>
          <t>1.3.1 Systems - Traction Power</t>
        </is>
      </c>
      <c r="G699" s="23" t="inlineStr">
        <is>
          <t>ONE_TO_ONE</t>
        </is>
      </c>
      <c r="H699" s="23" t="inlineStr">
        <is>
          <t>RETAINED</t>
        </is>
      </c>
      <c r="I699" s="23" t="inlineStr">
        <is>
          <t>Carried forward</t>
        </is>
      </c>
      <c r="J699" s="23" t="inlineStr">
        <is>
          <t>Source assignment -- not individually reviewed</t>
        </is>
      </c>
      <c r="K699" s="23" t="inlineStr"/>
      <c r="L699" s="23" t="inlineStr"/>
      <c r="M699" s="23" t="inlineStr"/>
      <c r="N699" s="14" t="inlineStr">
        <is>
          <t>10 EVIDENCE &amp; DECISIONS</t>
        </is>
      </c>
    </row>
    <row r="700" ht="34" customHeight="1">
      <c r="A700" s="23" t="inlineStr">
        <is>
          <t>Cost &amp; Forecast Control Accounts</t>
        </is>
      </c>
      <c r="B700" s="23" t="inlineStr">
        <is>
          <t>CST-03-045</t>
        </is>
      </c>
      <c r="C700" s="23" t="inlineStr">
        <is>
          <t>Systems - train control - allowance</t>
        </is>
      </c>
      <c r="D700" s="23" t="inlineStr">
        <is>
          <t>Cost Account = CA-3045; WBS Code = 1.3.1</t>
        </is>
      </c>
      <c r="E700" s="23" t="inlineStr">
        <is>
          <t>R1287-v2</t>
        </is>
      </c>
      <c r="F700" s="23" t="inlineStr">
        <is>
          <t>1.3.1 Systems - Traction Power</t>
        </is>
      </c>
      <c r="G700" s="23" t="inlineStr">
        <is>
          <t>ONE_TO_ONE</t>
        </is>
      </c>
      <c r="H700" s="23" t="inlineStr">
        <is>
          <t>RETAINED</t>
        </is>
      </c>
      <c r="I700" s="23" t="inlineStr">
        <is>
          <t>Carried forward</t>
        </is>
      </c>
      <c r="J700" s="23" t="inlineStr">
        <is>
          <t>Source assignment -- not individually reviewed</t>
        </is>
      </c>
      <c r="K700" s="23" t="inlineStr"/>
      <c r="L700" s="23" t="inlineStr"/>
      <c r="M700" s="23" t="inlineStr"/>
      <c r="N700" s="14" t="inlineStr">
        <is>
          <t>10 EVIDENCE &amp; DECISIONS</t>
        </is>
      </c>
    </row>
    <row r="701" ht="34" customHeight="1">
      <c r="A701" s="23" t="inlineStr">
        <is>
          <t>Cost &amp; Forecast Control Accounts</t>
        </is>
      </c>
      <c r="B701" s="23" t="inlineStr">
        <is>
          <t>CST-03-047</t>
        </is>
      </c>
      <c r="C701" s="23" t="inlineStr">
        <is>
          <t>Systems - signalling - field package</t>
        </is>
      </c>
      <c r="D701" s="23" t="inlineStr">
        <is>
          <t>Cost Account = CA-3047; WBS Code = 1.3.1</t>
        </is>
      </c>
      <c r="E701" s="23" t="inlineStr">
        <is>
          <t>R1289-v2</t>
        </is>
      </c>
      <c r="F701" s="23" t="inlineStr">
        <is>
          <t>1.3.1 Systems - Traction Power</t>
        </is>
      </c>
      <c r="G701" s="23" t="inlineStr">
        <is>
          <t>ONE_TO_ONE</t>
        </is>
      </c>
      <c r="H701" s="23" t="inlineStr">
        <is>
          <t>RETAINED</t>
        </is>
      </c>
      <c r="I701" s="23" t="inlineStr">
        <is>
          <t>Carried forward</t>
        </is>
      </c>
      <c r="J701" s="23" t="inlineStr">
        <is>
          <t>Source assignment -- not individually reviewed</t>
        </is>
      </c>
      <c r="K701" s="23" t="inlineStr"/>
      <c r="L701" s="23" t="inlineStr"/>
      <c r="M701" s="23" t="inlineStr"/>
      <c r="N701" s="14" t="inlineStr">
        <is>
          <t>10 EVIDENCE &amp; DECISIONS</t>
        </is>
      </c>
    </row>
    <row r="702" ht="34" customHeight="1">
      <c r="A702" s="23" t="inlineStr">
        <is>
          <t>Cost &amp; Forecast Control Accounts</t>
        </is>
      </c>
      <c r="B702" s="23" t="inlineStr">
        <is>
          <t>CST-03-049</t>
        </is>
      </c>
      <c r="C702" s="23" t="inlineStr">
        <is>
          <t>Systems - systems integration - professional services</t>
        </is>
      </c>
      <c r="D702" s="23" t="inlineStr">
        <is>
          <t>Cost Account = CA-3049; WBS Code = 1.3.1</t>
        </is>
      </c>
      <c r="E702" s="23" t="inlineStr">
        <is>
          <t>R1291-v2</t>
        </is>
      </c>
      <c r="F702" s="23" t="inlineStr">
        <is>
          <t>1.3.1 Systems - Traction Power</t>
        </is>
      </c>
      <c r="G702" s="23" t="inlineStr">
        <is>
          <t>ONE_TO_ONE</t>
        </is>
      </c>
      <c r="H702" s="23" t="inlineStr">
        <is>
          <t>RETAINED</t>
        </is>
      </c>
      <c r="I702" s="23" t="inlineStr">
        <is>
          <t>Carried forward</t>
        </is>
      </c>
      <c r="J702" s="23" t="inlineStr">
        <is>
          <t>Source assignment -- not individually reviewed</t>
        </is>
      </c>
      <c r="K702" s="23" t="inlineStr"/>
      <c r="L702" s="23" t="inlineStr"/>
      <c r="M702" s="23" t="inlineStr"/>
      <c r="N702" s="14" t="inlineStr">
        <is>
          <t>10 EVIDENCE &amp; DECISIONS</t>
        </is>
      </c>
    </row>
    <row r="703" ht="34" customHeight="1">
      <c r="A703" s="23" t="inlineStr">
        <is>
          <t>Cost &amp; Forecast Control Accounts</t>
        </is>
      </c>
      <c r="B703" s="23" t="inlineStr">
        <is>
          <t>CST-03-051</t>
        </is>
      </c>
      <c r="C703" s="23" t="inlineStr">
        <is>
          <t>Systems - train control - closeout</t>
        </is>
      </c>
      <c r="D703" s="23" t="inlineStr">
        <is>
          <t>Cost Account = CA-3051; WBS Code = 1.3.1</t>
        </is>
      </c>
      <c r="E703" s="23" t="inlineStr">
        <is>
          <t>R1293-v2</t>
        </is>
      </c>
      <c r="F703" s="23" t="inlineStr">
        <is>
          <t>1.3.1 Systems - Traction Power</t>
        </is>
      </c>
      <c r="G703" s="23" t="inlineStr">
        <is>
          <t>ONE_TO_ONE</t>
        </is>
      </c>
      <c r="H703" s="23" t="inlineStr">
        <is>
          <t>RETAINED</t>
        </is>
      </c>
      <c r="I703" s="23" t="inlineStr">
        <is>
          <t>Carried forward</t>
        </is>
      </c>
      <c r="J703" s="23" t="inlineStr">
        <is>
          <t>Source assignment -- not individually reviewed</t>
        </is>
      </c>
      <c r="K703" s="23" t="inlineStr"/>
      <c r="L703" s="23" t="inlineStr"/>
      <c r="M703" s="23" t="inlineStr"/>
      <c r="N703" s="14" t="inlineStr">
        <is>
          <t>10 EVIDENCE &amp; DECISIONS</t>
        </is>
      </c>
    </row>
    <row r="704" ht="34" customHeight="1">
      <c r="A704" s="23" t="inlineStr">
        <is>
          <t>Cost &amp; Forecast Control Accounts</t>
        </is>
      </c>
      <c r="B704" s="23" t="inlineStr">
        <is>
          <t>CST-03-053</t>
        </is>
      </c>
      <c r="C704" s="23" t="inlineStr">
        <is>
          <t>Systems - signalling - supply and install</t>
        </is>
      </c>
      <c r="D704" s="23" t="inlineStr">
        <is>
          <t>Cost Account = CA-3053; WBS Code = 1.3.1</t>
        </is>
      </c>
      <c r="E704" s="23" t="inlineStr">
        <is>
          <t>R1295-v2</t>
        </is>
      </c>
      <c r="F704" s="23" t="inlineStr">
        <is>
          <t>1.3.1 Systems - Traction Power</t>
        </is>
      </c>
      <c r="G704" s="23" t="inlineStr">
        <is>
          <t>ONE_TO_ONE</t>
        </is>
      </c>
      <c r="H704" s="23" t="inlineStr">
        <is>
          <t>RETAINED</t>
        </is>
      </c>
      <c r="I704" s="23" t="inlineStr">
        <is>
          <t>Carried forward</t>
        </is>
      </c>
      <c r="J704" s="23" t="inlineStr">
        <is>
          <t>Source assignment -- not individually reviewed</t>
        </is>
      </c>
      <c r="K704" s="23" t="inlineStr"/>
      <c r="L704" s="23" t="inlineStr"/>
      <c r="M704" s="23" t="inlineStr"/>
      <c r="N704" s="14" t="inlineStr">
        <is>
          <t>10 EVIDENCE &amp; DECISIONS</t>
        </is>
      </c>
    </row>
    <row r="705" ht="34" customHeight="1">
      <c r="A705" s="23" t="inlineStr">
        <is>
          <t>Cost &amp; Forecast Control Accounts</t>
        </is>
      </c>
      <c r="B705" s="23" t="inlineStr">
        <is>
          <t>CST-03-055</t>
        </is>
      </c>
      <c r="C705" s="23" t="inlineStr">
        <is>
          <t>Systems - systems integration - allowance</t>
        </is>
      </c>
      <c r="D705" s="23" t="inlineStr">
        <is>
          <t>Cost Account = CA-3055; WBS Code = 1.3.1</t>
        </is>
      </c>
      <c r="E705" s="23" t="inlineStr">
        <is>
          <t>R1297-v2</t>
        </is>
      </c>
      <c r="F705" s="23" t="inlineStr">
        <is>
          <t>1.3.1 Systems - Traction Power</t>
        </is>
      </c>
      <c r="G705" s="23" t="inlineStr">
        <is>
          <t>ONE_TO_ONE</t>
        </is>
      </c>
      <c r="H705" s="23" t="inlineStr">
        <is>
          <t>RETAINED</t>
        </is>
      </c>
      <c r="I705" s="23" t="inlineStr">
        <is>
          <t>Carried forward</t>
        </is>
      </c>
      <c r="J705" s="23" t="inlineStr">
        <is>
          <t>Source assignment -- not individually reviewed</t>
        </is>
      </c>
      <c r="K705" s="23" t="inlineStr"/>
      <c r="L705" s="23" t="inlineStr"/>
      <c r="M705" s="23" t="inlineStr"/>
      <c r="N705" s="14" t="inlineStr">
        <is>
          <t>10 EVIDENCE &amp; DECISIONS</t>
        </is>
      </c>
    </row>
    <row r="706" ht="34" customHeight="1">
      <c r="A706" s="23" t="inlineStr">
        <is>
          <t>Cost &amp; Forecast Control Accounts</t>
        </is>
      </c>
      <c r="B706" s="23" t="inlineStr">
        <is>
          <t>CST-03-057</t>
        </is>
      </c>
      <c r="C706" s="23" t="inlineStr">
        <is>
          <t>Systems - train control - field package</t>
        </is>
      </c>
      <c r="D706" s="23" t="inlineStr">
        <is>
          <t>Cost Account = CA-3057; WBS Code = 1.3.1</t>
        </is>
      </c>
      <c r="E706" s="23" t="inlineStr">
        <is>
          <t>R1299-v2</t>
        </is>
      </c>
      <c r="F706" s="23" t="inlineStr">
        <is>
          <t>1.3.1 Systems - Traction Power</t>
        </is>
      </c>
      <c r="G706" s="23" t="inlineStr">
        <is>
          <t>ONE_TO_ONE</t>
        </is>
      </c>
      <c r="H706" s="23" t="inlineStr">
        <is>
          <t>RETAINED</t>
        </is>
      </c>
      <c r="I706" s="23" t="inlineStr">
        <is>
          <t>Carried forward</t>
        </is>
      </c>
      <c r="J706" s="23" t="inlineStr">
        <is>
          <t>Source assignment -- not individually reviewed</t>
        </is>
      </c>
      <c r="K706" s="23" t="inlineStr"/>
      <c r="L706" s="23" t="inlineStr"/>
      <c r="M706" s="23" t="inlineStr"/>
      <c r="N706" s="14" t="inlineStr">
        <is>
          <t>10 EVIDENCE &amp; DECISIONS</t>
        </is>
      </c>
    </row>
    <row r="707" ht="34" customHeight="1">
      <c r="A707" s="23" t="inlineStr">
        <is>
          <t>Cost &amp; Forecast Control Accounts</t>
        </is>
      </c>
      <c r="B707" s="23" t="inlineStr">
        <is>
          <t>CST-03-059</t>
        </is>
      </c>
      <c r="C707" s="23" t="inlineStr">
        <is>
          <t>Systems - signalling - professional services</t>
        </is>
      </c>
      <c r="D707" s="23" t="inlineStr">
        <is>
          <t>Cost Account = CA-3059; WBS Code = 1.3.1</t>
        </is>
      </c>
      <c r="E707" s="23" t="inlineStr">
        <is>
          <t>R1301-v2</t>
        </is>
      </c>
      <c r="F707" s="23" t="inlineStr">
        <is>
          <t>1.3.1 Systems - Traction Power</t>
        </is>
      </c>
      <c r="G707" s="23" t="inlineStr">
        <is>
          <t>ONE_TO_ONE</t>
        </is>
      </c>
      <c r="H707" s="23" t="inlineStr">
        <is>
          <t>RETAINED</t>
        </is>
      </c>
      <c r="I707" s="23" t="inlineStr">
        <is>
          <t>Carried forward</t>
        </is>
      </c>
      <c r="J707" s="23" t="inlineStr">
        <is>
          <t>Source assignment -- not individually reviewed</t>
        </is>
      </c>
      <c r="K707" s="23" t="inlineStr"/>
      <c r="L707" s="23" t="inlineStr"/>
      <c r="M707" s="23" t="inlineStr"/>
      <c r="N707" s="14" t="inlineStr">
        <is>
          <t>10 EVIDENCE &amp; DECISIONS</t>
        </is>
      </c>
    </row>
    <row r="708" ht="34" customHeight="1">
      <c r="A708" s="23" t="inlineStr">
        <is>
          <t>Cost &amp; Forecast Control Accounts</t>
        </is>
      </c>
      <c r="B708" s="23" t="inlineStr">
        <is>
          <t>CST-03-061</t>
        </is>
      </c>
      <c r="C708" s="23" t="inlineStr">
        <is>
          <t>Systems - systems integration - closeout</t>
        </is>
      </c>
      <c r="D708" s="23" t="inlineStr">
        <is>
          <t>Cost Account = CA-3061; WBS Code = 1.3.1</t>
        </is>
      </c>
      <c r="E708" s="23" t="inlineStr">
        <is>
          <t>R1303-v2</t>
        </is>
      </c>
      <c r="F708" s="23" t="inlineStr">
        <is>
          <t>1.3.1 Systems - Traction Power</t>
        </is>
      </c>
      <c r="G708" s="23" t="inlineStr">
        <is>
          <t>ONE_TO_ONE</t>
        </is>
      </c>
      <c r="H708" s="23" t="inlineStr">
        <is>
          <t>RETAINED</t>
        </is>
      </c>
      <c r="I708" s="23" t="inlineStr">
        <is>
          <t>Carried forward</t>
        </is>
      </c>
      <c r="J708" s="23" t="inlineStr">
        <is>
          <t>Source assignment -- not individually reviewed</t>
        </is>
      </c>
      <c r="K708" s="23" t="inlineStr"/>
      <c r="L708" s="23" t="inlineStr"/>
      <c r="M708" s="23" t="inlineStr"/>
      <c r="N708" s="14" t="inlineStr">
        <is>
          <t>10 EVIDENCE &amp; DECISIONS</t>
        </is>
      </c>
    </row>
    <row r="709" ht="34" customHeight="1">
      <c r="A709" s="23" t="inlineStr">
        <is>
          <t>Cost &amp; Forecast Control Accounts</t>
        </is>
      </c>
      <c r="B709" s="23" t="inlineStr">
        <is>
          <t>CST-03-063</t>
        </is>
      </c>
      <c r="C709" s="23" t="inlineStr">
        <is>
          <t>Systems - train control - supply and install</t>
        </is>
      </c>
      <c r="D709" s="23" t="inlineStr">
        <is>
          <t>Cost Account = CA-3063; WBS Code = 1.3.1</t>
        </is>
      </c>
      <c r="E709" s="23" t="inlineStr">
        <is>
          <t>R1305-v2</t>
        </is>
      </c>
      <c r="F709" s="23" t="inlineStr">
        <is>
          <t>1.3.1 Systems - Traction Power</t>
        </is>
      </c>
      <c r="G709" s="23" t="inlineStr">
        <is>
          <t>ONE_TO_ONE</t>
        </is>
      </c>
      <c r="H709" s="23" t="inlineStr">
        <is>
          <t>RETAINED</t>
        </is>
      </c>
      <c r="I709" s="23" t="inlineStr">
        <is>
          <t>Carried forward</t>
        </is>
      </c>
      <c r="J709" s="23" t="inlineStr">
        <is>
          <t>Source assignment -- not individually reviewed</t>
        </is>
      </c>
      <c r="K709" s="23" t="inlineStr"/>
      <c r="L709" s="23" t="inlineStr"/>
      <c r="M709" s="23" t="inlineStr"/>
      <c r="N709" s="14" t="inlineStr">
        <is>
          <t>10 EVIDENCE &amp; DECISIONS</t>
        </is>
      </c>
    </row>
    <row r="710" ht="34" customHeight="1">
      <c r="A710" s="23" t="inlineStr">
        <is>
          <t>Cost &amp; Forecast Control Accounts</t>
        </is>
      </c>
      <c r="B710" s="23" t="inlineStr">
        <is>
          <t>CST-03-065</t>
        </is>
      </c>
      <c r="C710" s="23" t="inlineStr">
        <is>
          <t>Systems - signalling - allowance</t>
        </is>
      </c>
      <c r="D710" s="23" t="inlineStr">
        <is>
          <t>Cost Account = CA-3065; WBS Code = 1.3.1</t>
        </is>
      </c>
      <c r="E710" s="23" t="inlineStr">
        <is>
          <t>R1307-v2</t>
        </is>
      </c>
      <c r="F710" s="23" t="inlineStr">
        <is>
          <t>1.3.1 Systems - Traction Power</t>
        </is>
      </c>
      <c r="G710" s="23" t="inlineStr">
        <is>
          <t>ONE_TO_ONE</t>
        </is>
      </c>
      <c r="H710" s="23" t="inlineStr">
        <is>
          <t>RETAINED</t>
        </is>
      </c>
      <c r="I710" s="23" t="inlineStr">
        <is>
          <t>Carried forward</t>
        </is>
      </c>
      <c r="J710" s="23" t="inlineStr">
        <is>
          <t>Source assignment -- not individually reviewed</t>
        </is>
      </c>
      <c r="K710" s="23" t="inlineStr"/>
      <c r="L710" s="23" t="inlineStr"/>
      <c r="M710" s="23" t="inlineStr"/>
      <c r="N710" s="14" t="inlineStr">
        <is>
          <t>10 EVIDENCE &amp; DECISIONS</t>
        </is>
      </c>
    </row>
    <row r="711" ht="34" customHeight="1">
      <c r="A711" s="23" t="inlineStr">
        <is>
          <t>Cost &amp; Forecast Control Accounts</t>
        </is>
      </c>
      <c r="B711" s="23" t="inlineStr">
        <is>
          <t>CST-03-067</t>
        </is>
      </c>
      <c r="C711" s="23" t="inlineStr">
        <is>
          <t>Systems - systems integration - field package</t>
        </is>
      </c>
      <c r="D711" s="23" t="inlineStr">
        <is>
          <t>Cost Account = CA-3067; WBS Code = 1.3.1</t>
        </is>
      </c>
      <c r="E711" s="23" t="inlineStr">
        <is>
          <t>R1309-v2</t>
        </is>
      </c>
      <c r="F711" s="23" t="inlineStr">
        <is>
          <t>1.3.1 Systems - Traction Power</t>
        </is>
      </c>
      <c r="G711" s="23" t="inlineStr">
        <is>
          <t>ONE_TO_ONE</t>
        </is>
      </c>
      <c r="H711" s="23" t="inlineStr">
        <is>
          <t>RETAINED</t>
        </is>
      </c>
      <c r="I711" s="23" t="inlineStr">
        <is>
          <t>Carried forward</t>
        </is>
      </c>
      <c r="J711" s="23" t="inlineStr">
        <is>
          <t>Source assignment -- not individually reviewed</t>
        </is>
      </c>
      <c r="K711" s="23" t="inlineStr"/>
      <c r="L711" s="23" t="inlineStr"/>
      <c r="M711" s="23" t="inlineStr"/>
      <c r="N711" s="14" t="inlineStr">
        <is>
          <t>10 EVIDENCE &amp; DECISIONS</t>
        </is>
      </c>
    </row>
    <row r="712" ht="34" customHeight="1">
      <c r="A712" s="23" t="inlineStr">
        <is>
          <t>Cost &amp; Forecast Control Accounts</t>
        </is>
      </c>
      <c r="B712" s="23" t="inlineStr">
        <is>
          <t>CST-03-069</t>
        </is>
      </c>
      <c r="C712" s="23" t="inlineStr">
        <is>
          <t>Systems - train control - professional services</t>
        </is>
      </c>
      <c r="D712" s="23" t="inlineStr">
        <is>
          <t>Cost Account = CA-3069; WBS Code = 1.3.1</t>
        </is>
      </c>
      <c r="E712" s="23" t="inlineStr">
        <is>
          <t>R1311-v2</t>
        </is>
      </c>
      <c r="F712" s="23" t="inlineStr">
        <is>
          <t>1.3.1 Systems - Traction Power</t>
        </is>
      </c>
      <c r="G712" s="23" t="inlineStr">
        <is>
          <t>ONE_TO_ONE</t>
        </is>
      </c>
      <c r="H712" s="23" t="inlineStr">
        <is>
          <t>RETAINED</t>
        </is>
      </c>
      <c r="I712" s="23" t="inlineStr">
        <is>
          <t>Carried forward</t>
        </is>
      </c>
      <c r="J712" s="23" t="inlineStr">
        <is>
          <t>Source assignment -- not individually reviewed</t>
        </is>
      </c>
      <c r="K712" s="23" t="inlineStr"/>
      <c r="L712" s="23" t="inlineStr"/>
      <c r="M712" s="23" t="inlineStr"/>
      <c r="N712" s="14" t="inlineStr">
        <is>
          <t>10 EVIDENCE &amp; DECISIONS</t>
        </is>
      </c>
    </row>
    <row r="713" ht="34" customHeight="1">
      <c r="A713" s="23" t="inlineStr">
        <is>
          <t>Cost &amp; Forecast Control Accounts</t>
        </is>
      </c>
      <c r="B713" s="23" t="inlineStr">
        <is>
          <t>CST-03-071</t>
        </is>
      </c>
      <c r="C713" s="23" t="inlineStr">
        <is>
          <t>Systems - signalling - closeout</t>
        </is>
      </c>
      <c r="D713" s="23" t="inlineStr">
        <is>
          <t>Cost Account = CA-3071; WBS Code = 1.3.1</t>
        </is>
      </c>
      <c r="E713" s="23" t="inlineStr">
        <is>
          <t>R1313-v2</t>
        </is>
      </c>
      <c r="F713" s="23" t="inlineStr">
        <is>
          <t>1.3.1 Systems - Traction Power</t>
        </is>
      </c>
      <c r="G713" s="23" t="inlineStr">
        <is>
          <t>ONE_TO_ONE</t>
        </is>
      </c>
      <c r="H713" s="23" t="inlineStr">
        <is>
          <t>RETAINED</t>
        </is>
      </c>
      <c r="I713" s="23" t="inlineStr">
        <is>
          <t>Carried forward</t>
        </is>
      </c>
      <c r="J713" s="23" t="inlineStr">
        <is>
          <t>Source assignment -- not individually reviewed</t>
        </is>
      </c>
      <c r="K713" s="23" t="inlineStr"/>
      <c r="L713" s="23" t="inlineStr"/>
      <c r="M713" s="23" t="inlineStr"/>
      <c r="N713" s="14" t="inlineStr">
        <is>
          <t>10 EVIDENCE &amp; DECISIONS</t>
        </is>
      </c>
    </row>
    <row r="714" ht="34" customHeight="1">
      <c r="A714" s="23" t="inlineStr">
        <is>
          <t>Cost &amp; Forecast Control Accounts</t>
        </is>
      </c>
      <c r="B714" s="23" t="inlineStr">
        <is>
          <t>CST-03-073</t>
        </is>
      </c>
      <c r="C714" s="23" t="inlineStr">
        <is>
          <t>Systems - systems integration - supply and install</t>
        </is>
      </c>
      <c r="D714" s="23" t="inlineStr">
        <is>
          <t>Cost Account = CA-3073; WBS Code = 1.3.1</t>
        </is>
      </c>
      <c r="E714" s="23" t="inlineStr">
        <is>
          <t>R1315-v2</t>
        </is>
      </c>
      <c r="F714" s="23" t="inlineStr">
        <is>
          <t>1.3.1 Systems - Traction Power</t>
        </is>
      </c>
      <c r="G714" s="23" t="inlineStr">
        <is>
          <t>ONE_TO_ONE</t>
        </is>
      </c>
      <c r="H714" s="23" t="inlineStr">
        <is>
          <t>RETAINED</t>
        </is>
      </c>
      <c r="I714" s="23" t="inlineStr">
        <is>
          <t>Carried forward</t>
        </is>
      </c>
      <c r="J714" s="23" t="inlineStr">
        <is>
          <t>Source assignment -- not individually reviewed</t>
        </is>
      </c>
      <c r="K714" s="23" t="inlineStr"/>
      <c r="L714" s="23" t="inlineStr"/>
      <c r="M714" s="23" t="inlineStr"/>
      <c r="N714" s="14" t="inlineStr">
        <is>
          <t>10 EVIDENCE &amp; DECISIONS</t>
        </is>
      </c>
    </row>
    <row r="715" ht="34" customHeight="1">
      <c r="A715" s="23" t="inlineStr">
        <is>
          <t>Cost &amp; Forecast Control Accounts</t>
        </is>
      </c>
      <c r="B715" s="23" t="inlineStr">
        <is>
          <t>CST-03-075</t>
        </is>
      </c>
      <c r="C715" s="23" t="inlineStr">
        <is>
          <t>Systems - train control - allowance</t>
        </is>
      </c>
      <c r="D715" s="23" t="inlineStr">
        <is>
          <t>Cost Account = CA-3075; WBS Code = 1.3.1</t>
        </is>
      </c>
      <c r="E715" s="23" t="inlineStr">
        <is>
          <t>R1317-v2</t>
        </is>
      </c>
      <c r="F715" s="23" t="inlineStr">
        <is>
          <t>1.3.1 Systems - Traction Power</t>
        </is>
      </c>
      <c r="G715" s="23" t="inlineStr">
        <is>
          <t>ONE_TO_ONE</t>
        </is>
      </c>
      <c r="H715" s="23" t="inlineStr">
        <is>
          <t>RETAINED</t>
        </is>
      </c>
      <c r="I715" s="23" t="inlineStr">
        <is>
          <t>Carried forward</t>
        </is>
      </c>
      <c r="J715" s="23" t="inlineStr">
        <is>
          <t>Source assignment -- not individually reviewed</t>
        </is>
      </c>
      <c r="K715" s="23" t="inlineStr"/>
      <c r="L715" s="23" t="inlineStr"/>
      <c r="M715" s="23" t="inlineStr"/>
      <c r="N715" s="14" t="inlineStr">
        <is>
          <t>10 EVIDENCE &amp; DECISIONS</t>
        </is>
      </c>
    </row>
    <row r="716" ht="34" customHeight="1">
      <c r="A716" s="23" t="inlineStr">
        <is>
          <t>Cost &amp; Forecast Control Accounts</t>
        </is>
      </c>
      <c r="B716" s="23" t="inlineStr">
        <is>
          <t>CST-03-077</t>
        </is>
      </c>
      <c r="C716" s="23" t="inlineStr">
        <is>
          <t>Systems - signalling - field package</t>
        </is>
      </c>
      <c r="D716" s="23" t="inlineStr">
        <is>
          <t>Cost Account = CA-3077; WBS Code = 1.3.1</t>
        </is>
      </c>
      <c r="E716" s="23" t="inlineStr">
        <is>
          <t>R1319-v2</t>
        </is>
      </c>
      <c r="F716" s="23" t="inlineStr">
        <is>
          <t>1.3.1 Systems - Traction Power</t>
        </is>
      </c>
      <c r="G716" s="23" t="inlineStr">
        <is>
          <t>ONE_TO_ONE</t>
        </is>
      </c>
      <c r="H716" s="23" t="inlineStr">
        <is>
          <t>RETAINED</t>
        </is>
      </c>
      <c r="I716" s="23" t="inlineStr">
        <is>
          <t>Carried forward</t>
        </is>
      </c>
      <c r="J716" s="23" t="inlineStr">
        <is>
          <t>Source assignment -- not individually reviewed</t>
        </is>
      </c>
      <c r="K716" s="23" t="inlineStr"/>
      <c r="L716" s="23" t="inlineStr"/>
      <c r="M716" s="23" t="inlineStr"/>
      <c r="N716" s="14" t="inlineStr">
        <is>
          <t>10 EVIDENCE &amp; DECISIONS</t>
        </is>
      </c>
    </row>
    <row r="717" ht="34" customHeight="1">
      <c r="A717" s="23" t="inlineStr">
        <is>
          <t>Cost &amp; Forecast Control Accounts</t>
        </is>
      </c>
      <c r="B717" s="23" t="inlineStr">
        <is>
          <t>CST-03-079</t>
        </is>
      </c>
      <c r="C717" s="23" t="inlineStr">
        <is>
          <t>Systems - systems integration - professional services</t>
        </is>
      </c>
      <c r="D717" s="23" t="inlineStr">
        <is>
          <t>Cost Account = CA-3079; WBS Code = 1.3.1</t>
        </is>
      </c>
      <c r="E717" s="23" t="inlineStr">
        <is>
          <t>R1321-v2</t>
        </is>
      </c>
      <c r="F717" s="23" t="inlineStr">
        <is>
          <t>1.3.1 Systems - Traction Power</t>
        </is>
      </c>
      <c r="G717" s="23" t="inlineStr">
        <is>
          <t>ONE_TO_ONE</t>
        </is>
      </c>
      <c r="H717" s="23" t="inlineStr">
        <is>
          <t>RETAINED</t>
        </is>
      </c>
      <c r="I717" s="23" t="inlineStr">
        <is>
          <t>Carried forward</t>
        </is>
      </c>
      <c r="J717" s="23" t="inlineStr">
        <is>
          <t>Source assignment -- not individually reviewed</t>
        </is>
      </c>
      <c r="K717" s="23" t="inlineStr"/>
      <c r="L717" s="23" t="inlineStr"/>
      <c r="M717" s="23" t="inlineStr"/>
      <c r="N717" s="14" t="inlineStr">
        <is>
          <t>10 EVIDENCE &amp; DECISIONS</t>
        </is>
      </c>
    </row>
    <row r="718" ht="34" customHeight="1">
      <c r="A718" s="23" t="inlineStr">
        <is>
          <t>Contractor Programme</t>
        </is>
      </c>
      <c r="B718" s="23" t="inlineStr">
        <is>
          <t>SCH-03-003</t>
        </is>
      </c>
      <c r="C718" s="23" t="inlineStr">
        <is>
          <t>Interface works near systems boundary</t>
        </is>
      </c>
      <c r="D718" s="23" t="inlineStr">
        <is>
          <t>WBS Code = 1.3.2</t>
        </is>
      </c>
      <c r="E718" s="23" t="inlineStr">
        <is>
          <t>R363-v2</t>
        </is>
      </c>
      <c r="F718" s="23" t="inlineStr">
        <is>
          <t>1.3.2 Systems - Signalling &amp; Train Control</t>
        </is>
      </c>
      <c r="G718" s="23" t="inlineStr">
        <is>
          <t>ONE_TO_ONE</t>
        </is>
      </c>
      <c r="H718" s="23" t="inlineStr">
        <is>
          <t>RETAINED</t>
        </is>
      </c>
      <c r="I718" s="23" t="inlineStr">
        <is>
          <t>Carried forward</t>
        </is>
      </c>
      <c r="J718" s="23" t="inlineStr">
        <is>
          <t>Source assignment -- not individually reviewed</t>
        </is>
      </c>
      <c r="K718" s="23" t="inlineStr"/>
      <c r="L718" s="23" t="inlineStr"/>
      <c r="M718" s="23" t="inlineStr"/>
      <c r="N718" s="14" t="inlineStr">
        <is>
          <t>10 EVIDENCE &amp; DECISIONS</t>
        </is>
      </c>
    </row>
    <row r="719" ht="34" customHeight="1">
      <c r="A719" s="23" t="inlineStr">
        <is>
          <t>Contractor Programme</t>
        </is>
      </c>
      <c r="B719" s="23" t="inlineStr">
        <is>
          <t>SCH-03-006</t>
        </is>
      </c>
      <c r="C719" s="23" t="inlineStr">
        <is>
          <t>Harbour Station: SCADA point-to-point check - turnover</t>
        </is>
      </c>
      <c r="D719" s="23" t="inlineStr">
        <is>
          <t>WBS Code = 1.3.2</t>
        </is>
      </c>
      <c r="E719" s="23" t="inlineStr">
        <is>
          <t>R366-v2</t>
        </is>
      </c>
      <c r="F719" s="23" t="inlineStr">
        <is>
          <t>1.3.2 Systems - Signalling &amp; Train Control</t>
        </is>
      </c>
      <c r="G719" s="23" t="inlineStr">
        <is>
          <t>ONE_TO_ONE</t>
        </is>
      </c>
      <c r="H719" s="23" t="inlineStr">
        <is>
          <t>RETAINED</t>
        </is>
      </c>
      <c r="I719" s="23" t="inlineStr">
        <is>
          <t>Carried forward</t>
        </is>
      </c>
      <c r="J719" s="23" t="inlineStr">
        <is>
          <t>Source assignment -- not individually reviewed</t>
        </is>
      </c>
      <c r="K719" s="23" t="inlineStr"/>
      <c r="L719" s="23" t="inlineStr"/>
      <c r="M719" s="23" t="inlineStr"/>
      <c r="N719" s="14" t="inlineStr">
        <is>
          <t>10 EVIDENCE &amp; DECISIONS</t>
        </is>
      </c>
    </row>
    <row r="720" ht="34" customHeight="1">
      <c r="A720" s="23" t="inlineStr">
        <is>
          <t>Contractor Programme</t>
        </is>
      </c>
      <c r="B720" s="23" t="inlineStr">
        <is>
          <t>SCH-03-009</t>
        </is>
      </c>
      <c r="C720" s="23" t="inlineStr">
        <is>
          <t>East substation: wayside interface test - installation</t>
        </is>
      </c>
      <c r="D720" s="23" t="inlineStr">
        <is>
          <t>WBS Code = 1.3.2</t>
        </is>
      </c>
      <c r="E720" s="23" t="inlineStr">
        <is>
          <t>R369-v2</t>
        </is>
      </c>
      <c r="F720" s="23" t="inlineStr">
        <is>
          <t>1.3.2 Systems - Signalling &amp; Train Control</t>
        </is>
      </c>
      <c r="G720" s="23" t="inlineStr">
        <is>
          <t>ONE_TO_ONE</t>
        </is>
      </c>
      <c r="H720" s="23" t="inlineStr">
        <is>
          <t>RETAINED</t>
        </is>
      </c>
      <c r="I720" s="23" t="inlineStr">
        <is>
          <t>Carried forward</t>
        </is>
      </c>
      <c r="J720" s="23" t="inlineStr">
        <is>
          <t>Source assignment -- not individually reviewed</t>
        </is>
      </c>
      <c r="K720" s="23" t="inlineStr"/>
      <c r="L720" s="23" t="inlineStr"/>
      <c r="M720" s="23" t="inlineStr"/>
      <c r="N720" s="14" t="inlineStr">
        <is>
          <t>10 EVIDENCE &amp; DECISIONS</t>
        </is>
      </c>
    </row>
    <row r="721" ht="34" customHeight="1">
      <c r="A721" s="23" t="inlineStr">
        <is>
          <t>Contractor Programme</t>
        </is>
      </c>
      <c r="B721" s="23" t="inlineStr">
        <is>
          <t>SCH-03-012</t>
        </is>
      </c>
      <c r="C721" s="23" t="inlineStr">
        <is>
          <t>Control Centre: control-centre integration - release</t>
        </is>
      </c>
      <c r="D721" s="23" t="inlineStr">
        <is>
          <t>WBS Code = 1.3.2</t>
        </is>
      </c>
      <c r="E721" s="23" t="inlineStr">
        <is>
          <t>R372-v2</t>
        </is>
      </c>
      <c r="F721" s="23" t="inlineStr">
        <is>
          <t>1.3.2 Systems - Signalling &amp; Train Control</t>
        </is>
      </c>
      <c r="G721" s="23" t="inlineStr">
        <is>
          <t>ONE_TO_ONE</t>
        </is>
      </c>
      <c r="H721" s="23" t="inlineStr">
        <is>
          <t>RETAINED</t>
        </is>
      </c>
      <c r="I721" s="23" t="inlineStr">
        <is>
          <t>Carried forward</t>
        </is>
      </c>
      <c r="J721" s="23" t="inlineStr">
        <is>
          <t>Source assignment -- not individually reviewed</t>
        </is>
      </c>
      <c r="K721" s="23" t="inlineStr"/>
      <c r="L721" s="23" t="inlineStr"/>
      <c r="M721" s="23" t="inlineStr"/>
      <c r="N721" s="14" t="inlineStr">
        <is>
          <t>10 EVIDENCE &amp; DECISIONS</t>
        </is>
      </c>
    </row>
    <row r="722" ht="34" customHeight="1">
      <c r="A722" s="23" t="inlineStr">
        <is>
          <t>Contractor Programme</t>
        </is>
      </c>
      <c r="B722" s="23" t="inlineStr">
        <is>
          <t>SCH-03-015</t>
        </is>
      </c>
      <c r="C722" s="23" t="inlineStr">
        <is>
          <t>Central interlocking: traction-power feeder pull - inspection</t>
        </is>
      </c>
      <c r="D722" s="23" t="inlineStr">
        <is>
          <t>WBS Code = 1.3.2</t>
        </is>
      </c>
      <c r="E722" s="23" t="inlineStr">
        <is>
          <t>R375-v2</t>
        </is>
      </c>
      <c r="F722" s="23" t="inlineStr">
        <is>
          <t>1.3.2 Systems - Signalling &amp; Train Control</t>
        </is>
      </c>
      <c r="G722" s="23" t="inlineStr">
        <is>
          <t>ONE_TO_ONE</t>
        </is>
      </c>
      <c r="H722" s="23" t="inlineStr">
        <is>
          <t>RETAINED</t>
        </is>
      </c>
      <c r="I722" s="23" t="inlineStr">
        <is>
          <t>Carried forward</t>
        </is>
      </c>
      <c r="J722" s="23" t="inlineStr">
        <is>
          <t>Source assignment -- not individually reviewed</t>
        </is>
      </c>
      <c r="K722" s="23" t="inlineStr"/>
      <c r="L722" s="23" t="inlineStr"/>
      <c r="M722" s="23" t="inlineStr"/>
      <c r="N722" s="14" t="inlineStr">
        <is>
          <t>10 EVIDENCE &amp; DECISIONS</t>
        </is>
      </c>
    </row>
    <row r="723" ht="34" customHeight="1">
      <c r="A723" s="23" t="inlineStr">
        <is>
          <t>Contractor Programme</t>
        </is>
      </c>
      <c r="B723" s="23" t="inlineStr">
        <is>
          <t>SCH-03-018</t>
        </is>
      </c>
      <c r="C723" s="23" t="inlineStr">
        <is>
          <t>West wayside: signal equipment installation - field start</t>
        </is>
      </c>
      <c r="D723" s="23" t="inlineStr">
        <is>
          <t>WBS Code = 1.3.2</t>
        </is>
      </c>
      <c r="E723" s="23" t="inlineStr">
        <is>
          <t>R378-v2</t>
        </is>
      </c>
      <c r="F723" s="23" t="inlineStr">
        <is>
          <t>1.3.2 Systems - Signalling &amp; Train Control</t>
        </is>
      </c>
      <c r="G723" s="23" t="inlineStr">
        <is>
          <t>ONE_TO_ONE</t>
        </is>
      </c>
      <c r="H723" s="23" t="inlineStr">
        <is>
          <t>RETAINED</t>
        </is>
      </c>
      <c r="I723" s="23" t="inlineStr">
        <is>
          <t>Carried forward</t>
        </is>
      </c>
      <c r="J723" s="23" t="inlineStr">
        <is>
          <t>Source assignment -- not individually reviewed</t>
        </is>
      </c>
      <c r="K723" s="23" t="inlineStr"/>
      <c r="L723" s="23" t="inlineStr"/>
      <c r="M723" s="23" t="inlineStr"/>
      <c r="N723" s="14" t="inlineStr">
        <is>
          <t>10 EVIDENCE &amp; DECISIONS</t>
        </is>
      </c>
    </row>
    <row r="724" ht="34" customHeight="1">
      <c r="A724" s="23" t="inlineStr">
        <is>
          <t>Contractor Programme</t>
        </is>
      </c>
      <c r="B724" s="23" t="inlineStr">
        <is>
          <t>SCH-03-021</t>
        </is>
      </c>
      <c r="C724" s="23" t="inlineStr">
        <is>
          <t>Harbour Station: fibre backbone termination - turnover</t>
        </is>
      </c>
      <c r="D724" s="23" t="inlineStr">
        <is>
          <t>WBS Code = 1.3.2</t>
        </is>
      </c>
      <c r="E724" s="23" t="inlineStr">
        <is>
          <t>R381-v2</t>
        </is>
      </c>
      <c r="F724" s="23" t="inlineStr">
        <is>
          <t>1.3.2 Systems - Signalling &amp; Train Control</t>
        </is>
      </c>
      <c r="G724" s="23" t="inlineStr">
        <is>
          <t>ONE_TO_ONE</t>
        </is>
      </c>
      <c r="H724" s="23" t="inlineStr">
        <is>
          <t>RETAINED</t>
        </is>
      </c>
      <c r="I724" s="23" t="inlineStr">
        <is>
          <t>Carried forward</t>
        </is>
      </c>
      <c r="J724" s="23" t="inlineStr">
        <is>
          <t>Source assignment -- not individually reviewed</t>
        </is>
      </c>
      <c r="K724" s="23" t="inlineStr"/>
      <c r="L724" s="23" t="inlineStr"/>
      <c r="M724" s="23" t="inlineStr"/>
      <c r="N724" s="14" t="inlineStr">
        <is>
          <t>10 EVIDENCE &amp; DECISIONS</t>
        </is>
      </c>
    </row>
    <row r="725" ht="34" customHeight="1">
      <c r="A725" s="23" t="inlineStr">
        <is>
          <t>Contractor Programme</t>
        </is>
      </c>
      <c r="B725" s="23" t="inlineStr">
        <is>
          <t>SCH-03-024</t>
        </is>
      </c>
      <c r="C725" s="23" t="inlineStr">
        <is>
          <t>East substation: train-control cabinet fit-out - installation</t>
        </is>
      </c>
      <c r="D725" s="23" t="inlineStr">
        <is>
          <t>WBS Code = 1.3.2</t>
        </is>
      </c>
      <c r="E725" s="23" t="inlineStr">
        <is>
          <t>R384-v2</t>
        </is>
      </c>
      <c r="F725" s="23" t="inlineStr">
        <is>
          <t>1.3.2 Systems - Signalling &amp; Train Control</t>
        </is>
      </c>
      <c r="G725" s="23" t="inlineStr">
        <is>
          <t>ONE_TO_ONE</t>
        </is>
      </c>
      <c r="H725" s="23" t="inlineStr">
        <is>
          <t>RETAINED</t>
        </is>
      </c>
      <c r="I725" s="23" t="inlineStr">
        <is>
          <t>Carried forward</t>
        </is>
      </c>
      <c r="J725" s="23" t="inlineStr">
        <is>
          <t>Source assignment -- not individually reviewed</t>
        </is>
      </c>
      <c r="K725" s="23" t="inlineStr"/>
      <c r="L725" s="23" t="inlineStr"/>
      <c r="M725" s="23" t="inlineStr"/>
      <c r="N725" s="14" t="inlineStr">
        <is>
          <t>10 EVIDENCE &amp; DECISIONS</t>
        </is>
      </c>
    </row>
    <row r="726" ht="34" customHeight="1">
      <c r="A726" s="23" t="inlineStr">
        <is>
          <t>Contractor Programme</t>
        </is>
      </c>
      <c r="B726" s="23" t="inlineStr">
        <is>
          <t>SCH-03-027</t>
        </is>
      </c>
      <c r="C726" s="23" t="inlineStr">
        <is>
          <t>Control Centre: radio equipment installation - release</t>
        </is>
      </c>
      <c r="D726" s="23" t="inlineStr">
        <is>
          <t>WBS Code = 1.3.2</t>
        </is>
      </c>
      <c r="E726" s="23" t="inlineStr">
        <is>
          <t>R387-v2</t>
        </is>
      </c>
      <c r="F726" s="23" t="inlineStr">
        <is>
          <t>1.3.2 Systems - Signalling &amp; Train Control</t>
        </is>
      </c>
      <c r="G726" s="23" t="inlineStr">
        <is>
          <t>ONE_TO_ONE</t>
        </is>
      </c>
      <c r="H726" s="23" t="inlineStr">
        <is>
          <t>RETAINED</t>
        </is>
      </c>
      <c r="I726" s="23" t="inlineStr">
        <is>
          <t>Carried forward</t>
        </is>
      </c>
      <c r="J726" s="23" t="inlineStr">
        <is>
          <t>Source assignment -- not individually reviewed</t>
        </is>
      </c>
      <c r="K726" s="23" t="inlineStr"/>
      <c r="L726" s="23" t="inlineStr"/>
      <c r="M726" s="23" t="inlineStr"/>
      <c r="N726" s="14" t="inlineStr">
        <is>
          <t>10 EVIDENCE &amp; DECISIONS</t>
        </is>
      </c>
    </row>
    <row r="727" ht="34" customHeight="1">
      <c r="A727" s="23" t="inlineStr">
        <is>
          <t>Contractor Programme</t>
        </is>
      </c>
      <c r="B727" s="23" t="inlineStr">
        <is>
          <t>SCH-03-030</t>
        </is>
      </c>
      <c r="C727" s="23" t="inlineStr">
        <is>
          <t>Central interlocking: SCADA point-to-point check - inspection</t>
        </is>
      </c>
      <c r="D727" s="23" t="inlineStr">
        <is>
          <t>WBS Code = 1.3.2</t>
        </is>
      </c>
      <c r="E727" s="23" t="inlineStr">
        <is>
          <t>R390-v2</t>
        </is>
      </c>
      <c r="F727" s="23" t="inlineStr">
        <is>
          <t>1.3.2 Systems - Signalling &amp; Train Control</t>
        </is>
      </c>
      <c r="G727" s="23" t="inlineStr">
        <is>
          <t>ONE_TO_ONE</t>
        </is>
      </c>
      <c r="H727" s="23" t="inlineStr">
        <is>
          <t>RETAINED</t>
        </is>
      </c>
      <c r="I727" s="23" t="inlineStr">
        <is>
          <t>Carried forward</t>
        </is>
      </c>
      <c r="J727" s="23" t="inlineStr">
        <is>
          <t>Source assignment -- not individually reviewed</t>
        </is>
      </c>
      <c r="K727" s="23" t="inlineStr"/>
      <c r="L727" s="23" t="inlineStr"/>
      <c r="M727" s="23" t="inlineStr"/>
      <c r="N727" s="14" t="inlineStr">
        <is>
          <t>10 EVIDENCE &amp; DECISIONS</t>
        </is>
      </c>
    </row>
    <row r="728" ht="34" customHeight="1">
      <c r="A728" s="23" t="inlineStr">
        <is>
          <t>Contractor Programme</t>
        </is>
      </c>
      <c r="B728" s="23" t="inlineStr">
        <is>
          <t>SCH-03-033</t>
        </is>
      </c>
      <c r="C728" s="23" t="inlineStr">
        <is>
          <t>West wayside: wayside interface test - field start</t>
        </is>
      </c>
      <c r="D728" s="23" t="inlineStr">
        <is>
          <t>WBS Code = 1.3.2</t>
        </is>
      </c>
      <c r="E728" s="23" t="inlineStr">
        <is>
          <t>R393-v2</t>
        </is>
      </c>
      <c r="F728" s="23" t="inlineStr">
        <is>
          <t>1.3.2 Systems - Signalling &amp; Train Control</t>
        </is>
      </c>
      <c r="G728" s="23" t="inlineStr">
        <is>
          <t>ONE_TO_ONE</t>
        </is>
      </c>
      <c r="H728" s="23" t="inlineStr">
        <is>
          <t>RETAINED</t>
        </is>
      </c>
      <c r="I728" s="23" t="inlineStr">
        <is>
          <t>Carried forward</t>
        </is>
      </c>
      <c r="J728" s="23" t="inlineStr">
        <is>
          <t>Source assignment -- not individually reviewed</t>
        </is>
      </c>
      <c r="K728" s="23" t="inlineStr"/>
      <c r="L728" s="23" t="inlineStr"/>
      <c r="M728" s="23" t="inlineStr"/>
      <c r="N728" s="14" t="inlineStr">
        <is>
          <t>10 EVIDENCE &amp; DECISIONS</t>
        </is>
      </c>
    </row>
    <row r="729" ht="34" customHeight="1">
      <c r="A729" s="23" t="inlineStr">
        <is>
          <t>Contractor Programme</t>
        </is>
      </c>
      <c r="B729" s="23" t="inlineStr">
        <is>
          <t>SCH-03-036</t>
        </is>
      </c>
      <c r="C729" s="23" t="inlineStr">
        <is>
          <t>Harbour Station: control-centre integration - turnover</t>
        </is>
      </c>
      <c r="D729" s="23" t="inlineStr">
        <is>
          <t>WBS Code = 1.3.2</t>
        </is>
      </c>
      <c r="E729" s="23" t="inlineStr">
        <is>
          <t>R396-v2</t>
        </is>
      </c>
      <c r="F729" s="23" t="inlineStr">
        <is>
          <t>1.3.2 Systems - Signalling &amp; Train Control</t>
        </is>
      </c>
      <c r="G729" s="23" t="inlineStr">
        <is>
          <t>ONE_TO_ONE</t>
        </is>
      </c>
      <c r="H729" s="23" t="inlineStr">
        <is>
          <t>RETAINED</t>
        </is>
      </c>
      <c r="I729" s="23" t="inlineStr">
        <is>
          <t>Carried forward</t>
        </is>
      </c>
      <c r="J729" s="23" t="inlineStr">
        <is>
          <t>Source assignment -- not individually reviewed</t>
        </is>
      </c>
      <c r="K729" s="23" t="inlineStr"/>
      <c r="L729" s="23" t="inlineStr"/>
      <c r="M729" s="23" t="inlineStr"/>
      <c r="N729" s="14" t="inlineStr">
        <is>
          <t>10 EVIDENCE &amp; DECISIONS</t>
        </is>
      </c>
    </row>
    <row r="730" ht="34" customHeight="1">
      <c r="A730" s="23" t="inlineStr">
        <is>
          <t>Contractor Programme</t>
        </is>
      </c>
      <c r="B730" s="23" t="inlineStr">
        <is>
          <t>SCH-03-039</t>
        </is>
      </c>
      <c r="C730" s="23" t="inlineStr">
        <is>
          <t>East substation: traction-power feeder pull - installation</t>
        </is>
      </c>
      <c r="D730" s="23" t="inlineStr">
        <is>
          <t>WBS Code = 1.3.2</t>
        </is>
      </c>
      <c r="E730" s="23" t="inlineStr">
        <is>
          <t>R399-v2</t>
        </is>
      </c>
      <c r="F730" s="23" t="inlineStr">
        <is>
          <t>1.3.2 Systems - Signalling &amp; Train Control</t>
        </is>
      </c>
      <c r="G730" s="23" t="inlineStr">
        <is>
          <t>ONE_TO_ONE</t>
        </is>
      </c>
      <c r="H730" s="23" t="inlineStr">
        <is>
          <t>RETAINED</t>
        </is>
      </c>
      <c r="I730" s="23" t="inlineStr">
        <is>
          <t>Carried forward</t>
        </is>
      </c>
      <c r="J730" s="23" t="inlineStr">
        <is>
          <t>Source assignment -- not individually reviewed</t>
        </is>
      </c>
      <c r="K730" s="23" t="inlineStr"/>
      <c r="L730" s="23" t="inlineStr"/>
      <c r="M730" s="23" t="inlineStr"/>
      <c r="N730" s="14" t="inlineStr">
        <is>
          <t>10 EVIDENCE &amp; DECISIONS</t>
        </is>
      </c>
    </row>
    <row r="731" ht="34" customHeight="1">
      <c r="A731" s="23" t="inlineStr">
        <is>
          <t>Contractor Programme</t>
        </is>
      </c>
      <c r="B731" s="23" t="inlineStr">
        <is>
          <t>SCH-03-042</t>
        </is>
      </c>
      <c r="C731" s="23" t="inlineStr">
        <is>
          <t>Control Centre: signal equipment installation - release</t>
        </is>
      </c>
      <c r="D731" s="23" t="inlineStr">
        <is>
          <t>WBS Code = 1.3.2</t>
        </is>
      </c>
      <c r="E731" s="23" t="inlineStr">
        <is>
          <t>R402-v2</t>
        </is>
      </c>
      <c r="F731" s="23" t="inlineStr">
        <is>
          <t>1.3.2 Systems - Signalling &amp; Train Control</t>
        </is>
      </c>
      <c r="G731" s="23" t="inlineStr">
        <is>
          <t>ONE_TO_ONE</t>
        </is>
      </c>
      <c r="H731" s="23" t="inlineStr">
        <is>
          <t>RETAINED</t>
        </is>
      </c>
      <c r="I731" s="23" t="inlineStr">
        <is>
          <t>Carried forward</t>
        </is>
      </c>
      <c r="J731" s="23" t="inlineStr">
        <is>
          <t>Source assignment -- not individually reviewed</t>
        </is>
      </c>
      <c r="K731" s="23" t="inlineStr"/>
      <c r="L731" s="23" t="inlineStr"/>
      <c r="M731" s="23" t="inlineStr"/>
      <c r="N731" s="14" t="inlineStr">
        <is>
          <t>10 EVIDENCE &amp; DECISIONS</t>
        </is>
      </c>
    </row>
    <row r="732" ht="34" customHeight="1">
      <c r="A732" s="23" t="inlineStr">
        <is>
          <t>Contractor Programme</t>
        </is>
      </c>
      <c r="B732" s="23" t="inlineStr">
        <is>
          <t>SCH-03-045</t>
        </is>
      </c>
      <c r="C732" s="23" t="inlineStr">
        <is>
          <t>Central interlocking: fibre backbone termination - inspection</t>
        </is>
      </c>
      <c r="D732" s="23" t="inlineStr">
        <is>
          <t>WBS Code = 1.3.2</t>
        </is>
      </c>
      <c r="E732" s="23" t="inlineStr">
        <is>
          <t>R405-v2</t>
        </is>
      </c>
      <c r="F732" s="23" t="inlineStr">
        <is>
          <t>1.3.2 Systems - Signalling &amp; Train Control</t>
        </is>
      </c>
      <c r="G732" s="23" t="inlineStr">
        <is>
          <t>ONE_TO_ONE</t>
        </is>
      </c>
      <c r="H732" s="23" t="inlineStr">
        <is>
          <t>RETAINED</t>
        </is>
      </c>
      <c r="I732" s="23" t="inlineStr">
        <is>
          <t>Carried forward</t>
        </is>
      </c>
      <c r="J732" s="23" t="inlineStr">
        <is>
          <t>Source assignment -- not individually reviewed</t>
        </is>
      </c>
      <c r="K732" s="23" t="inlineStr"/>
      <c r="L732" s="23" t="inlineStr"/>
      <c r="M732" s="23" t="inlineStr"/>
      <c r="N732" s="14" t="inlineStr">
        <is>
          <t>10 EVIDENCE &amp; DECISIONS</t>
        </is>
      </c>
    </row>
    <row r="733" ht="34" customHeight="1">
      <c r="A733" s="23" t="inlineStr">
        <is>
          <t>Contractor Programme</t>
        </is>
      </c>
      <c r="B733" s="23" t="inlineStr">
        <is>
          <t>SCH-03-048</t>
        </is>
      </c>
      <c r="C733" s="23" t="inlineStr">
        <is>
          <t>West wayside: train-control cabinet fit-out - field start</t>
        </is>
      </c>
      <c r="D733" s="23" t="inlineStr">
        <is>
          <t>WBS Code = 1.3.2</t>
        </is>
      </c>
      <c r="E733" s="23" t="inlineStr">
        <is>
          <t>R408-v2</t>
        </is>
      </c>
      <c r="F733" s="23" t="inlineStr">
        <is>
          <t>1.3.2 Systems - Signalling &amp; Train Control</t>
        </is>
      </c>
      <c r="G733" s="23" t="inlineStr">
        <is>
          <t>ONE_TO_ONE</t>
        </is>
      </c>
      <c r="H733" s="23" t="inlineStr">
        <is>
          <t>RETAINED</t>
        </is>
      </c>
      <c r="I733" s="23" t="inlineStr">
        <is>
          <t>Carried forward</t>
        </is>
      </c>
      <c r="J733" s="23" t="inlineStr">
        <is>
          <t>Source assignment -- not individually reviewed</t>
        </is>
      </c>
      <c r="K733" s="23" t="inlineStr"/>
      <c r="L733" s="23" t="inlineStr"/>
      <c r="M733" s="23" t="inlineStr"/>
      <c r="N733" s="14" t="inlineStr">
        <is>
          <t>10 EVIDENCE &amp; DECISIONS</t>
        </is>
      </c>
    </row>
    <row r="734" ht="34" customHeight="1">
      <c r="A734" s="23" t="inlineStr">
        <is>
          <t>Contractor Programme</t>
        </is>
      </c>
      <c r="B734" s="23" t="inlineStr">
        <is>
          <t>SCH-03-051</t>
        </is>
      </c>
      <c r="C734" s="23" t="inlineStr">
        <is>
          <t>Harbour Station: radio equipment installation - turnover</t>
        </is>
      </c>
      <c r="D734" s="23" t="inlineStr">
        <is>
          <t>WBS Code = 1.3.2</t>
        </is>
      </c>
      <c r="E734" s="23" t="inlineStr">
        <is>
          <t>R411-v2</t>
        </is>
      </c>
      <c r="F734" s="23" t="inlineStr">
        <is>
          <t>1.3.2 Systems - Signalling &amp; Train Control</t>
        </is>
      </c>
      <c r="G734" s="23" t="inlineStr">
        <is>
          <t>ONE_TO_ONE</t>
        </is>
      </c>
      <c r="H734" s="23" t="inlineStr">
        <is>
          <t>RETAINED</t>
        </is>
      </c>
      <c r="I734" s="23" t="inlineStr">
        <is>
          <t>Carried forward</t>
        </is>
      </c>
      <c r="J734" s="23" t="inlineStr">
        <is>
          <t>Source assignment -- not individually reviewed</t>
        </is>
      </c>
      <c r="K734" s="23" t="inlineStr"/>
      <c r="L734" s="23" t="inlineStr"/>
      <c r="M734" s="23" t="inlineStr"/>
      <c r="N734" s="14" t="inlineStr">
        <is>
          <t>10 EVIDENCE &amp; DECISIONS</t>
        </is>
      </c>
    </row>
    <row r="735" ht="34" customHeight="1">
      <c r="A735" s="23" t="inlineStr">
        <is>
          <t>Contractor Programme</t>
        </is>
      </c>
      <c r="B735" s="23" t="inlineStr">
        <is>
          <t>SCH-03-054</t>
        </is>
      </c>
      <c r="C735" s="23" t="inlineStr">
        <is>
          <t>East substation: SCADA point-to-point check - installation</t>
        </is>
      </c>
      <c r="D735" s="23" t="inlineStr">
        <is>
          <t>WBS Code = 1.3.2</t>
        </is>
      </c>
      <c r="E735" s="23" t="inlineStr">
        <is>
          <t>R414-v2</t>
        </is>
      </c>
      <c r="F735" s="23" t="inlineStr">
        <is>
          <t>1.3.2 Systems - Signalling &amp; Train Control</t>
        </is>
      </c>
      <c r="G735" s="23" t="inlineStr">
        <is>
          <t>ONE_TO_ONE</t>
        </is>
      </c>
      <c r="H735" s="23" t="inlineStr">
        <is>
          <t>RETAINED</t>
        </is>
      </c>
      <c r="I735" s="23" t="inlineStr">
        <is>
          <t>Carried forward</t>
        </is>
      </c>
      <c r="J735" s="23" t="inlineStr">
        <is>
          <t>Source assignment -- not individually reviewed</t>
        </is>
      </c>
      <c r="K735" s="23" t="inlineStr"/>
      <c r="L735" s="23" t="inlineStr"/>
      <c r="M735" s="23" t="inlineStr"/>
      <c r="N735" s="14" t="inlineStr">
        <is>
          <t>10 EVIDENCE &amp; DECISIONS</t>
        </is>
      </c>
    </row>
    <row r="736" ht="34" customHeight="1">
      <c r="A736" s="23" t="inlineStr">
        <is>
          <t>Contractor Programme</t>
        </is>
      </c>
      <c r="B736" s="23" t="inlineStr">
        <is>
          <t>SCH-03-057</t>
        </is>
      </c>
      <c r="C736" s="23" t="inlineStr">
        <is>
          <t>Control Centre: wayside interface test - release</t>
        </is>
      </c>
      <c r="D736" s="23" t="inlineStr">
        <is>
          <t>WBS Code = 1.3.2</t>
        </is>
      </c>
      <c r="E736" s="23" t="inlineStr">
        <is>
          <t>R417-v2</t>
        </is>
      </c>
      <c r="F736" s="23" t="inlineStr">
        <is>
          <t>1.3.2 Systems - Signalling &amp; Train Control</t>
        </is>
      </c>
      <c r="G736" s="23" t="inlineStr">
        <is>
          <t>ONE_TO_ONE</t>
        </is>
      </c>
      <c r="H736" s="23" t="inlineStr">
        <is>
          <t>RETAINED</t>
        </is>
      </c>
      <c r="I736" s="23" t="inlineStr">
        <is>
          <t>Carried forward</t>
        </is>
      </c>
      <c r="J736" s="23" t="inlineStr">
        <is>
          <t>Source assignment -- not individually reviewed</t>
        </is>
      </c>
      <c r="K736" s="23" t="inlineStr"/>
      <c r="L736" s="23" t="inlineStr"/>
      <c r="M736" s="23" t="inlineStr"/>
      <c r="N736" s="14" t="inlineStr">
        <is>
          <t>10 EVIDENCE &amp; DECISIONS</t>
        </is>
      </c>
    </row>
    <row r="737" ht="34" customHeight="1">
      <c r="A737" s="23" t="inlineStr">
        <is>
          <t>Contractor Programme</t>
        </is>
      </c>
      <c r="B737" s="23" t="inlineStr">
        <is>
          <t>SCH-03-060</t>
        </is>
      </c>
      <c r="C737" s="23" t="inlineStr">
        <is>
          <t>Central interlocking: control-centre integration - inspection</t>
        </is>
      </c>
      <c r="D737" s="23" t="inlineStr">
        <is>
          <t>WBS Code = 1.3.2</t>
        </is>
      </c>
      <c r="E737" s="23" t="inlineStr">
        <is>
          <t>R420-v2</t>
        </is>
      </c>
      <c r="F737" s="23" t="inlineStr">
        <is>
          <t>1.3.2 Systems - Signalling &amp; Train Control</t>
        </is>
      </c>
      <c r="G737" s="23" t="inlineStr">
        <is>
          <t>ONE_TO_ONE</t>
        </is>
      </c>
      <c r="H737" s="23" t="inlineStr">
        <is>
          <t>RETAINED</t>
        </is>
      </c>
      <c r="I737" s="23" t="inlineStr">
        <is>
          <t>Carried forward</t>
        </is>
      </c>
      <c r="J737" s="23" t="inlineStr">
        <is>
          <t>Source assignment -- not individually reviewed</t>
        </is>
      </c>
      <c r="K737" s="23" t="inlineStr"/>
      <c r="L737" s="23" t="inlineStr"/>
      <c r="M737" s="23" t="inlineStr"/>
      <c r="N737" s="14" t="inlineStr">
        <is>
          <t>10 EVIDENCE &amp; DECISIONS</t>
        </is>
      </c>
    </row>
    <row r="738" ht="34" customHeight="1">
      <c r="A738" s="23" t="inlineStr">
        <is>
          <t>Contractor Programme</t>
        </is>
      </c>
      <c r="B738" s="23" t="inlineStr">
        <is>
          <t>SCH-03-063</t>
        </is>
      </c>
      <c r="C738" s="23" t="inlineStr">
        <is>
          <t>West wayside: traction-power feeder pull - field start</t>
        </is>
      </c>
      <c r="D738" s="23" t="inlineStr">
        <is>
          <t>WBS Code = 1.3.2</t>
        </is>
      </c>
      <c r="E738" s="23" t="inlineStr">
        <is>
          <t>R423-v2</t>
        </is>
      </c>
      <c r="F738" s="23" t="inlineStr">
        <is>
          <t>1.3.2 Systems - Signalling &amp; Train Control</t>
        </is>
      </c>
      <c r="G738" s="23" t="inlineStr">
        <is>
          <t>ONE_TO_ONE</t>
        </is>
      </c>
      <c r="H738" s="23" t="inlineStr">
        <is>
          <t>RETAINED</t>
        </is>
      </c>
      <c r="I738" s="23" t="inlineStr">
        <is>
          <t>Carried forward</t>
        </is>
      </c>
      <c r="J738" s="23" t="inlineStr">
        <is>
          <t>Source assignment -- not individually reviewed</t>
        </is>
      </c>
      <c r="K738" s="23" t="inlineStr"/>
      <c r="L738" s="23" t="inlineStr"/>
      <c r="M738" s="23" t="inlineStr"/>
      <c r="N738" s="14" t="inlineStr">
        <is>
          <t>10 EVIDENCE &amp; DECISIONS</t>
        </is>
      </c>
    </row>
    <row r="739" ht="34" customHeight="1">
      <c r="A739" s="23" t="inlineStr">
        <is>
          <t>Contractor Programme</t>
        </is>
      </c>
      <c r="B739" s="23" t="inlineStr">
        <is>
          <t>SCH-03-066</t>
        </is>
      </c>
      <c r="C739" s="23" t="inlineStr">
        <is>
          <t>Harbour Station: signal equipment installation - turnover</t>
        </is>
      </c>
      <c r="D739" s="23" t="inlineStr">
        <is>
          <t>WBS Code = 1.3.2</t>
        </is>
      </c>
      <c r="E739" s="23" t="inlineStr">
        <is>
          <t>R426-v2</t>
        </is>
      </c>
      <c r="F739" s="23" t="inlineStr">
        <is>
          <t>1.3.2 Systems - Signalling &amp; Train Control</t>
        </is>
      </c>
      <c r="G739" s="23" t="inlineStr">
        <is>
          <t>ONE_TO_ONE</t>
        </is>
      </c>
      <c r="H739" s="23" t="inlineStr">
        <is>
          <t>RETAINED</t>
        </is>
      </c>
      <c r="I739" s="23" t="inlineStr">
        <is>
          <t>Carried forward</t>
        </is>
      </c>
      <c r="J739" s="23" t="inlineStr">
        <is>
          <t>Source assignment -- not individually reviewed</t>
        </is>
      </c>
      <c r="K739" s="23" t="inlineStr"/>
      <c r="L739" s="23" t="inlineStr"/>
      <c r="M739" s="23" t="inlineStr"/>
      <c r="N739" s="14" t="inlineStr">
        <is>
          <t>10 EVIDENCE &amp; DECISIONS</t>
        </is>
      </c>
    </row>
    <row r="740" ht="34" customHeight="1">
      <c r="A740" s="23" t="inlineStr">
        <is>
          <t>Contractor Programme</t>
        </is>
      </c>
      <c r="B740" s="23" t="inlineStr">
        <is>
          <t>SCH-03-069</t>
        </is>
      </c>
      <c r="C740" s="23" t="inlineStr">
        <is>
          <t>East substation: fibre backbone termination - installation</t>
        </is>
      </c>
      <c r="D740" s="23" t="inlineStr">
        <is>
          <t>WBS Code = 1.3.2</t>
        </is>
      </c>
      <c r="E740" s="23" t="inlineStr">
        <is>
          <t>R429-v2</t>
        </is>
      </c>
      <c r="F740" s="23" t="inlineStr">
        <is>
          <t>1.3.2 Systems - Signalling &amp; Train Control</t>
        </is>
      </c>
      <c r="G740" s="23" t="inlineStr">
        <is>
          <t>ONE_TO_ONE</t>
        </is>
      </c>
      <c r="H740" s="23" t="inlineStr">
        <is>
          <t>RETAINED</t>
        </is>
      </c>
      <c r="I740" s="23" t="inlineStr">
        <is>
          <t>Carried forward</t>
        </is>
      </c>
      <c r="J740" s="23" t="inlineStr">
        <is>
          <t>Source assignment -- not individually reviewed</t>
        </is>
      </c>
      <c r="K740" s="23" t="inlineStr"/>
      <c r="L740" s="23" t="inlineStr"/>
      <c r="M740" s="23" t="inlineStr"/>
      <c r="N740" s="14" t="inlineStr">
        <is>
          <t>10 EVIDENCE &amp; DECISIONS</t>
        </is>
      </c>
    </row>
    <row r="741" ht="34" customHeight="1">
      <c r="A741" s="23" t="inlineStr">
        <is>
          <t>Contractor Programme</t>
        </is>
      </c>
      <c r="B741" s="23" t="inlineStr">
        <is>
          <t>SCH-03-072</t>
        </is>
      </c>
      <c r="C741" s="23" t="inlineStr">
        <is>
          <t>Control Centre: train-control cabinet fit-out - release</t>
        </is>
      </c>
      <c r="D741" s="23" t="inlineStr">
        <is>
          <t>WBS Code = 1.3.2</t>
        </is>
      </c>
      <c r="E741" s="23" t="inlineStr">
        <is>
          <t>R432-v2</t>
        </is>
      </c>
      <c r="F741" s="23" t="inlineStr">
        <is>
          <t>1.3.2 Systems - Signalling &amp; Train Control</t>
        </is>
      </c>
      <c r="G741" s="23" t="inlineStr">
        <is>
          <t>ONE_TO_ONE</t>
        </is>
      </c>
      <c r="H741" s="23" t="inlineStr">
        <is>
          <t>RETAINED</t>
        </is>
      </c>
      <c r="I741" s="23" t="inlineStr">
        <is>
          <t>Carried forward</t>
        </is>
      </c>
      <c r="J741" s="23" t="inlineStr">
        <is>
          <t>Source assignment -- not individually reviewed</t>
        </is>
      </c>
      <c r="K741" s="23" t="inlineStr"/>
      <c r="L741" s="23" t="inlineStr"/>
      <c r="M741" s="23" t="inlineStr"/>
      <c r="N741" s="14" t="inlineStr">
        <is>
          <t>10 EVIDENCE &amp; DECISIONS</t>
        </is>
      </c>
    </row>
    <row r="742" ht="34" customHeight="1">
      <c r="A742" s="23" t="inlineStr">
        <is>
          <t>Contractor Programme</t>
        </is>
      </c>
      <c r="B742" s="23" t="inlineStr">
        <is>
          <t>SCH-03-075</t>
        </is>
      </c>
      <c r="C742" s="23" t="inlineStr">
        <is>
          <t>Central interlocking: radio equipment installation - inspection</t>
        </is>
      </c>
      <c r="D742" s="23" t="inlineStr">
        <is>
          <t>WBS Code = 1.3.2</t>
        </is>
      </c>
      <c r="E742" s="23" t="inlineStr">
        <is>
          <t>R435-v2</t>
        </is>
      </c>
      <c r="F742" s="23" t="inlineStr">
        <is>
          <t>1.3.2 Systems - Signalling &amp; Train Control</t>
        </is>
      </c>
      <c r="G742" s="23" t="inlineStr">
        <is>
          <t>ONE_TO_ONE</t>
        </is>
      </c>
      <c r="H742" s="23" t="inlineStr">
        <is>
          <t>RETAINED</t>
        </is>
      </c>
      <c r="I742" s="23" t="inlineStr">
        <is>
          <t>Carried forward</t>
        </is>
      </c>
      <c r="J742" s="23" t="inlineStr">
        <is>
          <t>Source assignment -- not individually reviewed</t>
        </is>
      </c>
      <c r="K742" s="23" t="inlineStr"/>
      <c r="L742" s="23" t="inlineStr"/>
      <c r="M742" s="23" t="inlineStr"/>
      <c r="N742" s="14" t="inlineStr">
        <is>
          <t>10 EVIDENCE &amp; DECISIONS</t>
        </is>
      </c>
    </row>
    <row r="743" ht="34" customHeight="1">
      <c r="A743" s="23" t="inlineStr">
        <is>
          <t>Contractor Programme</t>
        </is>
      </c>
      <c r="B743" s="23" t="inlineStr">
        <is>
          <t>SCH-03-078</t>
        </is>
      </c>
      <c r="C743" s="23" t="inlineStr">
        <is>
          <t>West wayside: SCADA point-to-point check - field start</t>
        </is>
      </c>
      <c r="D743" s="23" t="inlineStr">
        <is>
          <t>WBS Code = 1.3.2</t>
        </is>
      </c>
      <c r="E743" s="23" t="inlineStr">
        <is>
          <t>R438-v2</t>
        </is>
      </c>
      <c r="F743" s="23" t="inlineStr">
        <is>
          <t>1.3.2 Systems - Signalling &amp; Train Control</t>
        </is>
      </c>
      <c r="G743" s="23" t="inlineStr">
        <is>
          <t>ONE_TO_ONE</t>
        </is>
      </c>
      <c r="H743" s="23" t="inlineStr">
        <is>
          <t>RETAINED</t>
        </is>
      </c>
      <c r="I743" s="23" t="inlineStr">
        <is>
          <t>Carried forward</t>
        </is>
      </c>
      <c r="J743" s="23" t="inlineStr">
        <is>
          <t>Source assignment -- not individually reviewed</t>
        </is>
      </c>
      <c r="K743" s="23" t="inlineStr"/>
      <c r="L743" s="23" t="inlineStr"/>
      <c r="M743" s="23" t="inlineStr"/>
      <c r="N743" s="14" t="inlineStr">
        <is>
          <t>10 EVIDENCE &amp; DECISIONS</t>
        </is>
      </c>
    </row>
    <row r="744" ht="34" customHeight="1">
      <c r="A744" s="23" t="inlineStr">
        <is>
          <t>Contractor Programme</t>
        </is>
      </c>
      <c r="B744" s="23" t="inlineStr">
        <is>
          <t>SCH-03-081</t>
        </is>
      </c>
      <c r="C744" s="23" t="inlineStr">
        <is>
          <t>Harbour Station: wayside interface test - turnover</t>
        </is>
      </c>
      <c r="D744" s="23" t="inlineStr">
        <is>
          <t>WBS Code = 1.3.2</t>
        </is>
      </c>
      <c r="E744" s="23" t="inlineStr">
        <is>
          <t>R441-v2</t>
        </is>
      </c>
      <c r="F744" s="23" t="inlineStr">
        <is>
          <t>1.3.2 Systems - Signalling &amp; Train Control</t>
        </is>
      </c>
      <c r="G744" s="23" t="inlineStr">
        <is>
          <t>ONE_TO_ONE</t>
        </is>
      </c>
      <c r="H744" s="23" t="inlineStr">
        <is>
          <t>RETAINED</t>
        </is>
      </c>
      <c r="I744" s="23" t="inlineStr">
        <is>
          <t>Carried forward</t>
        </is>
      </c>
      <c r="J744" s="23" t="inlineStr">
        <is>
          <t>Source assignment -- not individually reviewed</t>
        </is>
      </c>
      <c r="K744" s="23" t="inlineStr"/>
      <c r="L744" s="23" t="inlineStr"/>
      <c r="M744" s="23" t="inlineStr"/>
      <c r="N744" s="14" t="inlineStr">
        <is>
          <t>10 EVIDENCE &amp; DECISIONS</t>
        </is>
      </c>
    </row>
    <row r="745" ht="34" customHeight="1">
      <c r="A745" s="23" t="inlineStr">
        <is>
          <t>Contractor Programme</t>
        </is>
      </c>
      <c r="B745" s="23" t="inlineStr">
        <is>
          <t>SCH-03-084</t>
        </is>
      </c>
      <c r="C745" s="23" t="inlineStr">
        <is>
          <t>East substation: control-centre integration - installation</t>
        </is>
      </c>
      <c r="D745" s="23" t="inlineStr">
        <is>
          <t>WBS Code = 1.3.2</t>
        </is>
      </c>
      <c r="E745" s="23" t="inlineStr">
        <is>
          <t>R444-v2</t>
        </is>
      </c>
      <c r="F745" s="23" t="inlineStr">
        <is>
          <t>1.3.2 Systems - Signalling &amp; Train Control</t>
        </is>
      </c>
      <c r="G745" s="23" t="inlineStr">
        <is>
          <t>ONE_TO_ONE</t>
        </is>
      </c>
      <c r="H745" s="23" t="inlineStr">
        <is>
          <t>RETAINED</t>
        </is>
      </c>
      <c r="I745" s="23" t="inlineStr">
        <is>
          <t>Carried forward</t>
        </is>
      </c>
      <c r="J745" s="23" t="inlineStr">
        <is>
          <t>Source assignment -- not individually reviewed</t>
        </is>
      </c>
      <c r="K745" s="23" t="inlineStr"/>
      <c r="L745" s="23" t="inlineStr"/>
      <c r="M745" s="23" t="inlineStr"/>
      <c r="N745" s="14" t="inlineStr">
        <is>
          <t>10 EVIDENCE &amp; DECISIONS</t>
        </is>
      </c>
    </row>
    <row r="746" ht="34" customHeight="1">
      <c r="A746" s="23" t="inlineStr">
        <is>
          <t>Contractor Programme</t>
        </is>
      </c>
      <c r="B746" s="23" t="inlineStr">
        <is>
          <t>SCH-03-087</t>
        </is>
      </c>
      <c r="C746" s="23" t="inlineStr">
        <is>
          <t>Control Centre: traction-power feeder pull - release</t>
        </is>
      </c>
      <c r="D746" s="23" t="inlineStr">
        <is>
          <t>WBS Code = 1.3.2</t>
        </is>
      </c>
      <c r="E746" s="23" t="inlineStr">
        <is>
          <t>R447-v2</t>
        </is>
      </c>
      <c r="F746" s="23" t="inlineStr">
        <is>
          <t>1.3.2 Systems - Signalling &amp; Train Control</t>
        </is>
      </c>
      <c r="G746" s="23" t="inlineStr">
        <is>
          <t>ONE_TO_ONE</t>
        </is>
      </c>
      <c r="H746" s="23" t="inlineStr">
        <is>
          <t>RETAINED</t>
        </is>
      </c>
      <c r="I746" s="23" t="inlineStr">
        <is>
          <t>Carried forward</t>
        </is>
      </c>
      <c r="J746" s="23" t="inlineStr">
        <is>
          <t>Source assignment -- not individually reviewed</t>
        </is>
      </c>
      <c r="K746" s="23" t="inlineStr"/>
      <c r="L746" s="23" t="inlineStr"/>
      <c r="M746" s="23" t="inlineStr"/>
      <c r="N746" s="14" t="inlineStr">
        <is>
          <t>10 EVIDENCE &amp; DECISIONS</t>
        </is>
      </c>
    </row>
    <row r="747" ht="34" customHeight="1">
      <c r="A747" s="23" t="inlineStr">
        <is>
          <t>Contractor Programme</t>
        </is>
      </c>
      <c r="B747" s="23" t="inlineStr">
        <is>
          <t>SCH-03-090</t>
        </is>
      </c>
      <c r="C747" s="23" t="inlineStr">
        <is>
          <t>Central interlocking: signal equipment installation - inspection</t>
        </is>
      </c>
      <c r="D747" s="23" t="inlineStr">
        <is>
          <t>WBS Code = 1.3.2</t>
        </is>
      </c>
      <c r="E747" s="23" t="inlineStr">
        <is>
          <t>R450-v2</t>
        </is>
      </c>
      <c r="F747" s="23" t="inlineStr">
        <is>
          <t>1.3.2 Systems - Signalling &amp; Train Control</t>
        </is>
      </c>
      <c r="G747" s="23" t="inlineStr">
        <is>
          <t>ONE_TO_ONE</t>
        </is>
      </c>
      <c r="H747" s="23" t="inlineStr">
        <is>
          <t>RETAINED</t>
        </is>
      </c>
      <c r="I747" s="23" t="inlineStr">
        <is>
          <t>Carried forward</t>
        </is>
      </c>
      <c r="J747" s="23" t="inlineStr">
        <is>
          <t>Source assignment -- not individually reviewed</t>
        </is>
      </c>
      <c r="K747" s="23" t="inlineStr"/>
      <c r="L747" s="23" t="inlineStr"/>
      <c r="M747" s="23" t="inlineStr"/>
      <c r="N747" s="14" t="inlineStr">
        <is>
          <t>10 EVIDENCE &amp; DECISIONS</t>
        </is>
      </c>
    </row>
    <row r="748" ht="34" customHeight="1">
      <c r="A748" s="23" t="inlineStr">
        <is>
          <t>Contractor Programme</t>
        </is>
      </c>
      <c r="B748" s="23" t="inlineStr">
        <is>
          <t>SCH-03-093</t>
        </is>
      </c>
      <c r="C748" s="23" t="inlineStr">
        <is>
          <t>West wayside: fibre backbone termination - field start</t>
        </is>
      </c>
      <c r="D748" s="23" t="inlineStr">
        <is>
          <t>WBS Code = 1.3.2</t>
        </is>
      </c>
      <c r="E748" s="23" t="inlineStr">
        <is>
          <t>R453-v2</t>
        </is>
      </c>
      <c r="F748" s="23" t="inlineStr">
        <is>
          <t>1.3.2 Systems - Signalling &amp; Train Control</t>
        </is>
      </c>
      <c r="G748" s="23" t="inlineStr">
        <is>
          <t>ONE_TO_ONE</t>
        </is>
      </c>
      <c r="H748" s="23" t="inlineStr">
        <is>
          <t>RETAINED</t>
        </is>
      </c>
      <c r="I748" s="23" t="inlineStr">
        <is>
          <t>Carried forward</t>
        </is>
      </c>
      <c r="J748" s="23" t="inlineStr">
        <is>
          <t>Source assignment -- not individually reviewed</t>
        </is>
      </c>
      <c r="K748" s="23" t="inlineStr"/>
      <c r="L748" s="23" t="inlineStr"/>
      <c r="M748" s="23" t="inlineStr"/>
      <c r="N748" s="14" t="inlineStr">
        <is>
          <t>10 EVIDENCE &amp; DECISIONS</t>
        </is>
      </c>
    </row>
    <row r="749" ht="34" customHeight="1">
      <c r="A749" s="23" t="inlineStr">
        <is>
          <t>Contractor Programme</t>
        </is>
      </c>
      <c r="B749" s="23" t="inlineStr">
        <is>
          <t>SCH-03-096</t>
        </is>
      </c>
      <c r="C749" s="23" t="inlineStr">
        <is>
          <t>Harbour Station: train-control cabinet fit-out - turnover</t>
        </is>
      </c>
      <c r="D749" s="23" t="inlineStr">
        <is>
          <t>WBS Code = 1.3.2</t>
        </is>
      </c>
      <c r="E749" s="23" t="inlineStr">
        <is>
          <t>R456-v2</t>
        </is>
      </c>
      <c r="F749" s="23" t="inlineStr">
        <is>
          <t>1.3.2 Systems - Signalling &amp; Train Control</t>
        </is>
      </c>
      <c r="G749" s="23" t="inlineStr">
        <is>
          <t>ONE_TO_ONE</t>
        </is>
      </c>
      <c r="H749" s="23" t="inlineStr">
        <is>
          <t>RETAINED</t>
        </is>
      </c>
      <c r="I749" s="23" t="inlineStr">
        <is>
          <t>Carried forward</t>
        </is>
      </c>
      <c r="J749" s="23" t="inlineStr">
        <is>
          <t>Source assignment -- not individually reviewed</t>
        </is>
      </c>
      <c r="K749" s="23" t="inlineStr"/>
      <c r="L749" s="23" t="inlineStr"/>
      <c r="M749" s="23" t="inlineStr"/>
      <c r="N749" s="14" t="inlineStr">
        <is>
          <t>10 EVIDENCE &amp; DECISIONS</t>
        </is>
      </c>
    </row>
    <row r="750" ht="34" customHeight="1">
      <c r="A750" s="23" t="inlineStr">
        <is>
          <t>Contractor Programme</t>
        </is>
      </c>
      <c r="B750" s="23" t="inlineStr">
        <is>
          <t>SCH-03-099</t>
        </is>
      </c>
      <c r="C750" s="23" t="inlineStr">
        <is>
          <t>East substation: radio equipment installation - installation</t>
        </is>
      </c>
      <c r="D750" s="23" t="inlineStr">
        <is>
          <t>WBS Code = 1.3.2</t>
        </is>
      </c>
      <c r="E750" s="23" t="inlineStr">
        <is>
          <t>R459-v2</t>
        </is>
      </c>
      <c r="F750" s="23" t="inlineStr">
        <is>
          <t>1.3.2 Systems - Signalling &amp; Train Control</t>
        </is>
      </c>
      <c r="G750" s="23" t="inlineStr">
        <is>
          <t>ONE_TO_ONE</t>
        </is>
      </c>
      <c r="H750" s="23" t="inlineStr">
        <is>
          <t>RETAINED</t>
        </is>
      </c>
      <c r="I750" s="23" t="inlineStr">
        <is>
          <t>Carried forward</t>
        </is>
      </c>
      <c r="J750" s="23" t="inlineStr">
        <is>
          <t>Source assignment -- not individually reviewed</t>
        </is>
      </c>
      <c r="K750" s="23" t="inlineStr"/>
      <c r="L750" s="23" t="inlineStr"/>
      <c r="M750" s="23" t="inlineStr"/>
      <c r="N750" s="14" t="inlineStr">
        <is>
          <t>10 EVIDENCE &amp; DECISIONS</t>
        </is>
      </c>
    </row>
    <row r="751" ht="34" customHeight="1">
      <c r="A751" s="23" t="inlineStr">
        <is>
          <t>Contractor Programme</t>
        </is>
      </c>
      <c r="B751" s="23" t="inlineStr">
        <is>
          <t>SCH-03-102</t>
        </is>
      </c>
      <c r="C751" s="23" t="inlineStr">
        <is>
          <t>Control Centre: SCADA point-to-point check - release</t>
        </is>
      </c>
      <c r="D751" s="23" t="inlineStr">
        <is>
          <t>WBS Code = 1.3.2</t>
        </is>
      </c>
      <c r="E751" s="23" t="inlineStr">
        <is>
          <t>R462-v2</t>
        </is>
      </c>
      <c r="F751" s="23" t="inlineStr">
        <is>
          <t>1.3.2 Systems - Signalling &amp; Train Control</t>
        </is>
      </c>
      <c r="G751" s="23" t="inlineStr">
        <is>
          <t>ONE_TO_ONE</t>
        </is>
      </c>
      <c r="H751" s="23" t="inlineStr">
        <is>
          <t>RETAINED</t>
        </is>
      </c>
      <c r="I751" s="23" t="inlineStr">
        <is>
          <t>Carried forward</t>
        </is>
      </c>
      <c r="J751" s="23" t="inlineStr">
        <is>
          <t>Source assignment -- not individually reviewed</t>
        </is>
      </c>
      <c r="K751" s="23" t="inlineStr"/>
      <c r="L751" s="23" t="inlineStr"/>
      <c r="M751" s="23" t="inlineStr"/>
      <c r="N751" s="14" t="inlineStr">
        <is>
          <t>10 EVIDENCE &amp; DECISIONS</t>
        </is>
      </c>
    </row>
    <row r="752" ht="34" customHeight="1">
      <c r="A752" s="23" t="inlineStr">
        <is>
          <t>Contractor Programme</t>
        </is>
      </c>
      <c r="B752" s="23" t="inlineStr">
        <is>
          <t>SCH-03-105</t>
        </is>
      </c>
      <c r="C752" s="23" t="inlineStr">
        <is>
          <t>Central interlocking: wayside interface test - inspection</t>
        </is>
      </c>
      <c r="D752" s="23" t="inlineStr">
        <is>
          <t>WBS Code = 1.3.2</t>
        </is>
      </c>
      <c r="E752" s="23" t="inlineStr">
        <is>
          <t>R465-v2</t>
        </is>
      </c>
      <c r="F752" s="23" t="inlineStr">
        <is>
          <t>1.3.2 Systems - Signalling &amp; Train Control</t>
        </is>
      </c>
      <c r="G752" s="23" t="inlineStr">
        <is>
          <t>ONE_TO_ONE</t>
        </is>
      </c>
      <c r="H752" s="23" t="inlineStr">
        <is>
          <t>RETAINED</t>
        </is>
      </c>
      <c r="I752" s="23" t="inlineStr">
        <is>
          <t>Carried forward</t>
        </is>
      </c>
      <c r="J752" s="23" t="inlineStr">
        <is>
          <t>Source assignment -- not individually reviewed</t>
        </is>
      </c>
      <c r="K752" s="23" t="inlineStr"/>
      <c r="L752" s="23" t="inlineStr"/>
      <c r="M752" s="23" t="inlineStr"/>
      <c r="N752" s="14" t="inlineStr">
        <is>
          <t>10 EVIDENCE &amp; DECISIONS</t>
        </is>
      </c>
    </row>
    <row r="753" ht="34" customHeight="1">
      <c r="A753" s="23" t="inlineStr">
        <is>
          <t>Contractor Programme</t>
        </is>
      </c>
      <c r="B753" s="23" t="inlineStr">
        <is>
          <t>SCH-03-108</t>
        </is>
      </c>
      <c r="C753" s="23" t="inlineStr">
        <is>
          <t>West wayside: control-centre integration - field start</t>
        </is>
      </c>
      <c r="D753" s="23" t="inlineStr">
        <is>
          <t>WBS Code = 1.3.2</t>
        </is>
      </c>
      <c r="E753" s="23" t="inlineStr">
        <is>
          <t>R468-v2</t>
        </is>
      </c>
      <c r="F753" s="23" t="inlineStr">
        <is>
          <t>1.3.2 Systems - Signalling &amp; Train Control</t>
        </is>
      </c>
      <c r="G753" s="23" t="inlineStr">
        <is>
          <t>ONE_TO_ONE</t>
        </is>
      </c>
      <c r="H753" s="23" t="inlineStr">
        <is>
          <t>RETAINED</t>
        </is>
      </c>
      <c r="I753" s="23" t="inlineStr">
        <is>
          <t>Carried forward</t>
        </is>
      </c>
      <c r="J753" s="23" t="inlineStr">
        <is>
          <t>Source assignment -- not individually reviewed</t>
        </is>
      </c>
      <c r="K753" s="23" t="inlineStr"/>
      <c r="L753" s="23" t="inlineStr"/>
      <c r="M753" s="23" t="inlineStr"/>
      <c r="N753" s="14" t="inlineStr">
        <is>
          <t>10 EVIDENCE &amp; DECISIONS</t>
        </is>
      </c>
    </row>
    <row r="754" ht="34" customHeight="1">
      <c r="A754" s="23" t="inlineStr">
        <is>
          <t>Contractor Programme</t>
        </is>
      </c>
      <c r="B754" s="23" t="inlineStr">
        <is>
          <t>SCH-03-111</t>
        </is>
      </c>
      <c r="C754" s="23" t="inlineStr">
        <is>
          <t>Harbour Station: traction-power feeder pull - turnover</t>
        </is>
      </c>
      <c r="D754" s="23" t="inlineStr">
        <is>
          <t>WBS Code = 1.3.2</t>
        </is>
      </c>
      <c r="E754" s="23" t="inlineStr">
        <is>
          <t>R471-v2</t>
        </is>
      </c>
      <c r="F754" s="23" t="inlineStr">
        <is>
          <t>1.3.2 Systems - Signalling &amp; Train Control</t>
        </is>
      </c>
      <c r="G754" s="23" t="inlineStr">
        <is>
          <t>ONE_TO_ONE</t>
        </is>
      </c>
      <c r="H754" s="23" t="inlineStr">
        <is>
          <t>RETAINED</t>
        </is>
      </c>
      <c r="I754" s="23" t="inlineStr">
        <is>
          <t>Carried forward</t>
        </is>
      </c>
      <c r="J754" s="23" t="inlineStr">
        <is>
          <t>Source assignment -- not individually reviewed</t>
        </is>
      </c>
      <c r="K754" s="23" t="inlineStr"/>
      <c r="L754" s="23" t="inlineStr"/>
      <c r="M754" s="23" t="inlineStr"/>
      <c r="N754" s="14" t="inlineStr">
        <is>
          <t>10 EVIDENCE &amp; DECISIONS</t>
        </is>
      </c>
    </row>
    <row r="755" ht="34" customHeight="1">
      <c r="A755" s="23" t="inlineStr">
        <is>
          <t>Contractor Programme</t>
        </is>
      </c>
      <c r="B755" s="23" t="inlineStr">
        <is>
          <t>SCH-03-114</t>
        </is>
      </c>
      <c r="C755" s="23" t="inlineStr">
        <is>
          <t>East substation: signal equipment installation - installation</t>
        </is>
      </c>
      <c r="D755" s="23" t="inlineStr">
        <is>
          <t>WBS Code = 1.3.2</t>
        </is>
      </c>
      <c r="E755" s="23" t="inlineStr">
        <is>
          <t>R474-v2</t>
        </is>
      </c>
      <c r="F755" s="23" t="inlineStr">
        <is>
          <t>1.3.2 Systems - Signalling &amp; Train Control</t>
        </is>
      </c>
      <c r="G755" s="23" t="inlineStr">
        <is>
          <t>ONE_TO_ONE</t>
        </is>
      </c>
      <c r="H755" s="23" t="inlineStr">
        <is>
          <t>RETAINED</t>
        </is>
      </c>
      <c r="I755" s="23" t="inlineStr">
        <is>
          <t>Carried forward</t>
        </is>
      </c>
      <c r="J755" s="23" t="inlineStr">
        <is>
          <t>Source assignment -- not individually reviewed</t>
        </is>
      </c>
      <c r="K755" s="23" t="inlineStr"/>
      <c r="L755" s="23" t="inlineStr"/>
      <c r="M755" s="23" t="inlineStr"/>
      <c r="N755" s="14" t="inlineStr">
        <is>
          <t>10 EVIDENCE &amp; DECISIONS</t>
        </is>
      </c>
    </row>
    <row r="756" ht="34" customHeight="1">
      <c r="A756" s="23" t="inlineStr">
        <is>
          <t>Contractor Programme</t>
        </is>
      </c>
      <c r="B756" s="23" t="inlineStr">
        <is>
          <t>SCH-03-117</t>
        </is>
      </c>
      <c r="C756" s="23" t="inlineStr">
        <is>
          <t>Control Centre: fibre backbone termination - release</t>
        </is>
      </c>
      <c r="D756" s="23" t="inlineStr">
        <is>
          <t>WBS Code = 1.3.2</t>
        </is>
      </c>
      <c r="E756" s="23" t="inlineStr">
        <is>
          <t>R477-v2</t>
        </is>
      </c>
      <c r="F756" s="23" t="inlineStr">
        <is>
          <t>1.3.2 Systems - Signalling &amp; Train Control</t>
        </is>
      </c>
      <c r="G756" s="23" t="inlineStr">
        <is>
          <t>ONE_TO_ONE</t>
        </is>
      </c>
      <c r="H756" s="23" t="inlineStr">
        <is>
          <t>RETAINED</t>
        </is>
      </c>
      <c r="I756" s="23" t="inlineStr">
        <is>
          <t>Carried forward</t>
        </is>
      </c>
      <c r="J756" s="23" t="inlineStr">
        <is>
          <t>Source assignment -- not individually reviewed</t>
        </is>
      </c>
      <c r="K756" s="23" t="inlineStr"/>
      <c r="L756" s="23" t="inlineStr"/>
      <c r="M756" s="23" t="inlineStr"/>
      <c r="N756" s="14" t="inlineStr">
        <is>
          <t>10 EVIDENCE &amp; DECISIONS</t>
        </is>
      </c>
    </row>
    <row r="757" ht="34" customHeight="1">
      <c r="A757" s="23" t="inlineStr">
        <is>
          <t>Contractor Programme</t>
        </is>
      </c>
      <c r="B757" s="23" t="inlineStr">
        <is>
          <t>SCH-03-120</t>
        </is>
      </c>
      <c r="C757" s="23" t="inlineStr">
        <is>
          <t>Central interlocking: train-control cabinet fit-out - inspection</t>
        </is>
      </c>
      <c r="D757" s="23" t="inlineStr">
        <is>
          <t>WBS Code = 1.3.2</t>
        </is>
      </c>
      <c r="E757" s="23" t="inlineStr">
        <is>
          <t>R480-v2</t>
        </is>
      </c>
      <c r="F757" s="23" t="inlineStr">
        <is>
          <t>1.3.2 Systems - Signalling &amp; Train Control</t>
        </is>
      </c>
      <c r="G757" s="23" t="inlineStr">
        <is>
          <t>ONE_TO_ONE</t>
        </is>
      </c>
      <c r="H757" s="23" t="inlineStr">
        <is>
          <t>RETAINED</t>
        </is>
      </c>
      <c r="I757" s="23" t="inlineStr">
        <is>
          <t>Carried forward</t>
        </is>
      </c>
      <c r="J757" s="23" t="inlineStr">
        <is>
          <t>Source assignment -- not individually reviewed</t>
        </is>
      </c>
      <c r="K757" s="23" t="inlineStr"/>
      <c r="L757" s="23" t="inlineStr"/>
      <c r="M757" s="23" t="inlineStr"/>
      <c r="N757" s="14" t="inlineStr">
        <is>
          <t>10 EVIDENCE &amp; DECISIONS</t>
        </is>
      </c>
    </row>
    <row r="758" ht="34" customHeight="1">
      <c r="A758" s="23" t="inlineStr">
        <is>
          <t>Contractor Programme</t>
        </is>
      </c>
      <c r="B758" s="23" t="inlineStr">
        <is>
          <t>SCH-03-123</t>
        </is>
      </c>
      <c r="C758" s="23" t="inlineStr">
        <is>
          <t>West wayside: radio equipment installation - field start</t>
        </is>
      </c>
      <c r="D758" s="23" t="inlineStr">
        <is>
          <t>WBS Code = 1.3.2</t>
        </is>
      </c>
      <c r="E758" s="23" t="inlineStr">
        <is>
          <t>R483-v2</t>
        </is>
      </c>
      <c r="F758" s="23" t="inlineStr">
        <is>
          <t>1.3.2 Systems - Signalling &amp; Train Control</t>
        </is>
      </c>
      <c r="G758" s="23" t="inlineStr">
        <is>
          <t>ONE_TO_ONE</t>
        </is>
      </c>
      <c r="H758" s="23" t="inlineStr">
        <is>
          <t>RETAINED</t>
        </is>
      </c>
      <c r="I758" s="23" t="inlineStr">
        <is>
          <t>Carried forward</t>
        </is>
      </c>
      <c r="J758" s="23" t="inlineStr">
        <is>
          <t>Source assignment -- not individually reviewed</t>
        </is>
      </c>
      <c r="K758" s="23" t="inlineStr"/>
      <c r="L758" s="23" t="inlineStr"/>
      <c r="M758" s="23" t="inlineStr"/>
      <c r="N758" s="14" t="inlineStr">
        <is>
          <t>10 EVIDENCE &amp; DECISIONS</t>
        </is>
      </c>
    </row>
    <row r="759" ht="34" customHeight="1">
      <c r="A759" s="23" t="inlineStr">
        <is>
          <t>Contractor Programme</t>
        </is>
      </c>
      <c r="B759" s="23" t="inlineStr">
        <is>
          <t>SCH-03-126</t>
        </is>
      </c>
      <c r="C759" s="23" t="inlineStr">
        <is>
          <t>Harbour Station: SCADA point-to-point check - turnover</t>
        </is>
      </c>
      <c r="D759" s="23" t="inlineStr">
        <is>
          <t>WBS Code = 1.3.2</t>
        </is>
      </c>
      <c r="E759" s="23" t="inlineStr">
        <is>
          <t>R486-v2</t>
        </is>
      </c>
      <c r="F759" s="23" t="inlineStr">
        <is>
          <t>1.3.2 Systems - Signalling &amp; Train Control</t>
        </is>
      </c>
      <c r="G759" s="23" t="inlineStr">
        <is>
          <t>ONE_TO_ONE</t>
        </is>
      </c>
      <c r="H759" s="23" t="inlineStr">
        <is>
          <t>RETAINED</t>
        </is>
      </c>
      <c r="I759" s="23" t="inlineStr">
        <is>
          <t>Carried forward</t>
        </is>
      </c>
      <c r="J759" s="23" t="inlineStr">
        <is>
          <t>Source assignment -- not individually reviewed</t>
        </is>
      </c>
      <c r="K759" s="23" t="inlineStr"/>
      <c r="L759" s="23" t="inlineStr"/>
      <c r="M759" s="23" t="inlineStr"/>
      <c r="N759" s="14" t="inlineStr">
        <is>
          <t>10 EVIDENCE &amp; DECISIONS</t>
        </is>
      </c>
    </row>
    <row r="760" ht="34" customHeight="1">
      <c r="A760" s="23" t="inlineStr">
        <is>
          <t>Contractor Programme</t>
        </is>
      </c>
      <c r="B760" s="23" t="inlineStr">
        <is>
          <t>SCH-03-129</t>
        </is>
      </c>
      <c r="C760" s="23" t="inlineStr">
        <is>
          <t>East substation: wayside interface test - installation</t>
        </is>
      </c>
      <c r="D760" s="23" t="inlineStr">
        <is>
          <t>WBS Code = 1.3.2</t>
        </is>
      </c>
      <c r="E760" s="23" t="inlineStr">
        <is>
          <t>R489-v2</t>
        </is>
      </c>
      <c r="F760" s="23" t="inlineStr">
        <is>
          <t>1.3.2 Systems - Signalling &amp; Train Control</t>
        </is>
      </c>
      <c r="G760" s="23" t="inlineStr">
        <is>
          <t>ONE_TO_ONE</t>
        </is>
      </c>
      <c r="H760" s="23" t="inlineStr">
        <is>
          <t>RETAINED</t>
        </is>
      </c>
      <c r="I760" s="23" t="inlineStr">
        <is>
          <t>Carried forward</t>
        </is>
      </c>
      <c r="J760" s="23" t="inlineStr">
        <is>
          <t>Source assignment -- not individually reviewed</t>
        </is>
      </c>
      <c r="K760" s="23" t="inlineStr"/>
      <c r="L760" s="23" t="inlineStr"/>
      <c r="M760" s="23" t="inlineStr"/>
      <c r="N760" s="14" t="inlineStr">
        <is>
          <t>10 EVIDENCE &amp; DECISIONS</t>
        </is>
      </c>
    </row>
    <row r="761" ht="34" customHeight="1">
      <c r="A761" s="23" t="inlineStr">
        <is>
          <t>Contractor Programme</t>
        </is>
      </c>
      <c r="B761" s="23" t="inlineStr">
        <is>
          <t>SCH-03-132</t>
        </is>
      </c>
      <c r="C761" s="23" t="inlineStr">
        <is>
          <t>Control Centre: control-centre integration - release</t>
        </is>
      </c>
      <c r="D761" s="23" t="inlineStr">
        <is>
          <t>WBS Code = 1.3.2</t>
        </is>
      </c>
      <c r="E761" s="23" t="inlineStr">
        <is>
          <t>R492-v2</t>
        </is>
      </c>
      <c r="F761" s="23" t="inlineStr">
        <is>
          <t>1.3.2 Systems - Signalling &amp; Train Control</t>
        </is>
      </c>
      <c r="G761" s="23" t="inlineStr">
        <is>
          <t>ONE_TO_ONE</t>
        </is>
      </c>
      <c r="H761" s="23" t="inlineStr">
        <is>
          <t>RETAINED</t>
        </is>
      </c>
      <c r="I761" s="23" t="inlineStr">
        <is>
          <t>Carried forward</t>
        </is>
      </c>
      <c r="J761" s="23" t="inlineStr">
        <is>
          <t>Source assignment -- not individually reviewed</t>
        </is>
      </c>
      <c r="K761" s="23" t="inlineStr"/>
      <c r="L761" s="23" t="inlineStr"/>
      <c r="M761" s="23" t="inlineStr"/>
      <c r="N761" s="14" t="inlineStr">
        <is>
          <t>10 EVIDENCE &amp; DECISIONS</t>
        </is>
      </c>
    </row>
    <row r="762" ht="34" customHeight="1">
      <c r="A762" s="23" t="inlineStr">
        <is>
          <t>Contractor Programme</t>
        </is>
      </c>
      <c r="B762" s="23" t="inlineStr">
        <is>
          <t>SCH-03-135</t>
        </is>
      </c>
      <c r="C762" s="23" t="inlineStr">
        <is>
          <t>Central interlocking: traction-power feeder pull - inspection</t>
        </is>
      </c>
      <c r="D762" s="23" t="inlineStr">
        <is>
          <t>WBS Code = 1.3.2</t>
        </is>
      </c>
      <c r="E762" s="23" t="inlineStr">
        <is>
          <t>R495-v2</t>
        </is>
      </c>
      <c r="F762" s="23" t="inlineStr">
        <is>
          <t>1.3.2 Systems - Signalling &amp; Train Control</t>
        </is>
      </c>
      <c r="G762" s="23" t="inlineStr">
        <is>
          <t>ONE_TO_ONE</t>
        </is>
      </c>
      <c r="H762" s="23" t="inlineStr">
        <is>
          <t>RETAINED</t>
        </is>
      </c>
      <c r="I762" s="23" t="inlineStr">
        <is>
          <t>Carried forward</t>
        </is>
      </c>
      <c r="J762" s="23" t="inlineStr">
        <is>
          <t>Source assignment -- not individually reviewed</t>
        </is>
      </c>
      <c r="K762" s="23" t="inlineStr"/>
      <c r="L762" s="23" t="inlineStr"/>
      <c r="M762" s="23" t="inlineStr"/>
      <c r="N762" s="14" t="inlineStr">
        <is>
          <t>10 EVIDENCE &amp; DECISIONS</t>
        </is>
      </c>
    </row>
    <row r="763" ht="34" customHeight="1">
      <c r="A763" s="23" t="inlineStr">
        <is>
          <t>Contractor Programme</t>
        </is>
      </c>
      <c r="B763" s="23" t="inlineStr">
        <is>
          <t>SCH-03-138</t>
        </is>
      </c>
      <c r="C763" s="23" t="inlineStr">
        <is>
          <t>West wayside: signal equipment installation - field start</t>
        </is>
      </c>
      <c r="D763" s="23" t="inlineStr">
        <is>
          <t>WBS Code = 1.3.2</t>
        </is>
      </c>
      <c r="E763" s="23" t="inlineStr">
        <is>
          <t>R498-v2</t>
        </is>
      </c>
      <c r="F763" s="23" t="inlineStr">
        <is>
          <t>1.3.2 Systems - Signalling &amp; Train Control</t>
        </is>
      </c>
      <c r="G763" s="23" t="inlineStr">
        <is>
          <t>ONE_TO_ONE</t>
        </is>
      </c>
      <c r="H763" s="23" t="inlineStr">
        <is>
          <t>RETAINED</t>
        </is>
      </c>
      <c r="I763" s="23" t="inlineStr">
        <is>
          <t>Carried forward</t>
        </is>
      </c>
      <c r="J763" s="23" t="inlineStr">
        <is>
          <t>Source assignment -- not individually reviewed</t>
        </is>
      </c>
      <c r="K763" s="23" t="inlineStr"/>
      <c r="L763" s="23" t="inlineStr"/>
      <c r="M763" s="23" t="inlineStr"/>
      <c r="N763" s="14" t="inlineStr">
        <is>
          <t>10 EVIDENCE &amp; DECISIONS</t>
        </is>
      </c>
    </row>
    <row r="764" ht="34" customHeight="1">
      <c r="A764" s="23" t="inlineStr">
        <is>
          <t>Contractor Programme</t>
        </is>
      </c>
      <c r="B764" s="23" t="inlineStr">
        <is>
          <t>SCH-03-141</t>
        </is>
      </c>
      <c r="C764" s="23" t="inlineStr">
        <is>
          <t>Harbour Station: fibre backbone termination - turnover</t>
        </is>
      </c>
      <c r="D764" s="23" t="inlineStr">
        <is>
          <t>WBS Code = 1.3.2</t>
        </is>
      </c>
      <c r="E764" s="23" t="inlineStr">
        <is>
          <t>R501-v2</t>
        </is>
      </c>
      <c r="F764" s="23" t="inlineStr">
        <is>
          <t>1.3.2 Systems - Signalling &amp; Train Control</t>
        </is>
      </c>
      <c r="G764" s="23" t="inlineStr">
        <is>
          <t>ONE_TO_ONE</t>
        </is>
      </c>
      <c r="H764" s="23" t="inlineStr">
        <is>
          <t>RETAINED</t>
        </is>
      </c>
      <c r="I764" s="23" t="inlineStr">
        <is>
          <t>Carried forward</t>
        </is>
      </c>
      <c r="J764" s="23" t="inlineStr">
        <is>
          <t>Source assignment -- not individually reviewed</t>
        </is>
      </c>
      <c r="K764" s="23" t="inlineStr"/>
      <c r="L764" s="23" t="inlineStr"/>
      <c r="M764" s="23" t="inlineStr"/>
      <c r="N764" s="14" t="inlineStr">
        <is>
          <t>10 EVIDENCE &amp; DECISIONS</t>
        </is>
      </c>
    </row>
    <row r="765" ht="34" customHeight="1">
      <c r="A765" s="23" t="inlineStr">
        <is>
          <t>Contractor Programme</t>
        </is>
      </c>
      <c r="B765" s="23" t="inlineStr">
        <is>
          <t>SCH-03-144</t>
        </is>
      </c>
      <c r="C765" s="23" t="inlineStr">
        <is>
          <t>East substation: train-control cabinet fit-out - installation</t>
        </is>
      </c>
      <c r="D765" s="23" t="inlineStr">
        <is>
          <t>WBS Code = 1.3.2</t>
        </is>
      </c>
      <c r="E765" s="23" t="inlineStr">
        <is>
          <t>R504-v2</t>
        </is>
      </c>
      <c r="F765" s="23" t="inlineStr">
        <is>
          <t>1.3.2 Systems - Signalling &amp; Train Control</t>
        </is>
      </c>
      <c r="G765" s="23" t="inlineStr">
        <is>
          <t>ONE_TO_ONE</t>
        </is>
      </c>
      <c r="H765" s="23" t="inlineStr">
        <is>
          <t>RETAINED</t>
        </is>
      </c>
      <c r="I765" s="23" t="inlineStr">
        <is>
          <t>Carried forward</t>
        </is>
      </c>
      <c r="J765" s="23" t="inlineStr">
        <is>
          <t>Source assignment -- not individually reviewed</t>
        </is>
      </c>
      <c r="K765" s="23" t="inlineStr"/>
      <c r="L765" s="23" t="inlineStr"/>
      <c r="M765" s="23" t="inlineStr"/>
      <c r="N765" s="14" t="inlineStr">
        <is>
          <t>10 EVIDENCE &amp; DECISIONS</t>
        </is>
      </c>
    </row>
    <row r="766" ht="34" customHeight="1">
      <c r="A766" s="23" t="inlineStr">
        <is>
          <t>Contractor Programme</t>
        </is>
      </c>
      <c r="B766" s="23" t="inlineStr">
        <is>
          <t>SCH-03-147</t>
        </is>
      </c>
      <c r="C766" s="23" t="inlineStr">
        <is>
          <t>Control Centre: radio equipment installation - release</t>
        </is>
      </c>
      <c r="D766" s="23" t="inlineStr">
        <is>
          <t>WBS Code = 1.3.2</t>
        </is>
      </c>
      <c r="E766" s="23" t="inlineStr">
        <is>
          <t>R507-v2</t>
        </is>
      </c>
      <c r="F766" s="23" t="inlineStr">
        <is>
          <t>1.3.2 Systems - Signalling &amp; Train Control</t>
        </is>
      </c>
      <c r="G766" s="23" t="inlineStr">
        <is>
          <t>ONE_TO_ONE</t>
        </is>
      </c>
      <c r="H766" s="23" t="inlineStr">
        <is>
          <t>RETAINED</t>
        </is>
      </c>
      <c r="I766" s="23" t="inlineStr">
        <is>
          <t>Carried forward</t>
        </is>
      </c>
      <c r="J766" s="23" t="inlineStr">
        <is>
          <t>Source assignment -- not individually reviewed</t>
        </is>
      </c>
      <c r="K766" s="23" t="inlineStr"/>
      <c r="L766" s="23" t="inlineStr"/>
      <c r="M766" s="23" t="inlineStr"/>
      <c r="N766" s="14" t="inlineStr">
        <is>
          <t>10 EVIDENCE &amp; DECISIONS</t>
        </is>
      </c>
    </row>
    <row r="767" ht="34" customHeight="1">
      <c r="A767" s="23" t="inlineStr">
        <is>
          <t>Contractor Programme</t>
        </is>
      </c>
      <c r="B767" s="23" t="inlineStr">
        <is>
          <t>SCH-03-150</t>
        </is>
      </c>
      <c r="C767" s="23" t="inlineStr">
        <is>
          <t>Central interlocking: SCADA point-to-point check - inspection</t>
        </is>
      </c>
      <c r="D767" s="23" t="inlineStr">
        <is>
          <t>WBS Code = 1.3.2</t>
        </is>
      </c>
      <c r="E767" s="23" t="inlineStr">
        <is>
          <t>R510-v2</t>
        </is>
      </c>
      <c r="F767" s="23" t="inlineStr">
        <is>
          <t>1.3.2 Systems - Signalling &amp; Train Control</t>
        </is>
      </c>
      <c r="G767" s="23" t="inlineStr">
        <is>
          <t>ONE_TO_ONE</t>
        </is>
      </c>
      <c r="H767" s="23" t="inlineStr">
        <is>
          <t>RETAINED</t>
        </is>
      </c>
      <c r="I767" s="23" t="inlineStr">
        <is>
          <t>Carried forward</t>
        </is>
      </c>
      <c r="J767" s="23" t="inlineStr">
        <is>
          <t>Source assignment -- not individually reviewed</t>
        </is>
      </c>
      <c r="K767" s="23" t="inlineStr"/>
      <c r="L767" s="23" t="inlineStr"/>
      <c r="M767" s="23" t="inlineStr"/>
      <c r="N767" s="14" t="inlineStr">
        <is>
          <t>10 EVIDENCE &amp; DECISIONS</t>
        </is>
      </c>
    </row>
    <row r="768" ht="34" customHeight="1">
      <c r="A768" s="23" t="inlineStr">
        <is>
          <t>Contractor Programme</t>
        </is>
      </c>
      <c r="B768" s="23" t="inlineStr">
        <is>
          <t>SCH-03-153</t>
        </is>
      </c>
      <c r="C768" s="23" t="inlineStr">
        <is>
          <t>West wayside: wayside interface test - field start</t>
        </is>
      </c>
      <c r="D768" s="23" t="inlineStr">
        <is>
          <t>WBS Code = 1.3.2</t>
        </is>
      </c>
      <c r="E768" s="23" t="inlineStr">
        <is>
          <t>R513-v2</t>
        </is>
      </c>
      <c r="F768" s="23" t="inlineStr">
        <is>
          <t>1.3.2 Systems - Signalling &amp; Train Control</t>
        </is>
      </c>
      <c r="G768" s="23" t="inlineStr">
        <is>
          <t>ONE_TO_ONE</t>
        </is>
      </c>
      <c r="H768" s="23" t="inlineStr">
        <is>
          <t>RETAINED</t>
        </is>
      </c>
      <c r="I768" s="23" t="inlineStr">
        <is>
          <t>Carried forward</t>
        </is>
      </c>
      <c r="J768" s="23" t="inlineStr">
        <is>
          <t>Source assignment -- not individually reviewed</t>
        </is>
      </c>
      <c r="K768" s="23" t="inlineStr"/>
      <c r="L768" s="23" t="inlineStr"/>
      <c r="M768" s="23" t="inlineStr"/>
      <c r="N768" s="14" t="inlineStr">
        <is>
          <t>10 EVIDENCE &amp; DECISIONS</t>
        </is>
      </c>
    </row>
    <row r="769" ht="34" customHeight="1">
      <c r="A769" s="23" t="inlineStr">
        <is>
          <t>Contractor Programme</t>
        </is>
      </c>
      <c r="B769" s="23" t="inlineStr">
        <is>
          <t>SCH-03-156</t>
        </is>
      </c>
      <c r="C769" s="23" t="inlineStr">
        <is>
          <t>Harbour Station: control-centre integration - turnover</t>
        </is>
      </c>
      <c r="D769" s="23" t="inlineStr">
        <is>
          <t>WBS Code = 1.3.2</t>
        </is>
      </c>
      <c r="E769" s="23" t="inlineStr">
        <is>
          <t>R516-v2</t>
        </is>
      </c>
      <c r="F769" s="23" t="inlineStr">
        <is>
          <t>1.3.2 Systems - Signalling &amp; Train Control</t>
        </is>
      </c>
      <c r="G769" s="23" t="inlineStr">
        <is>
          <t>ONE_TO_ONE</t>
        </is>
      </c>
      <c r="H769" s="23" t="inlineStr">
        <is>
          <t>RETAINED</t>
        </is>
      </c>
      <c r="I769" s="23" t="inlineStr">
        <is>
          <t>Carried forward</t>
        </is>
      </c>
      <c r="J769" s="23" t="inlineStr">
        <is>
          <t>Source assignment -- not individually reviewed</t>
        </is>
      </c>
      <c r="K769" s="23" t="inlineStr"/>
      <c r="L769" s="23" t="inlineStr"/>
      <c r="M769" s="23" t="inlineStr"/>
      <c r="N769" s="14" t="inlineStr">
        <is>
          <t>10 EVIDENCE &amp; DECISIONS</t>
        </is>
      </c>
    </row>
    <row r="770" ht="34" customHeight="1">
      <c r="A770" s="23" t="inlineStr">
        <is>
          <t>Contractor Programme</t>
        </is>
      </c>
      <c r="B770" s="23" t="inlineStr">
        <is>
          <t>SCH-03-159</t>
        </is>
      </c>
      <c r="C770" s="23" t="inlineStr">
        <is>
          <t>East substation: traction-power feeder pull - installation</t>
        </is>
      </c>
      <c r="D770" s="23" t="inlineStr">
        <is>
          <t>WBS Code = 1.3.2</t>
        </is>
      </c>
      <c r="E770" s="23" t="inlineStr">
        <is>
          <t>R519-v2</t>
        </is>
      </c>
      <c r="F770" s="23" t="inlineStr">
        <is>
          <t>1.3.2 Systems - Signalling &amp; Train Control</t>
        </is>
      </c>
      <c r="G770" s="23" t="inlineStr">
        <is>
          <t>ONE_TO_ONE</t>
        </is>
      </c>
      <c r="H770" s="23" t="inlineStr">
        <is>
          <t>RETAINED</t>
        </is>
      </c>
      <c r="I770" s="23" t="inlineStr">
        <is>
          <t>Carried forward</t>
        </is>
      </c>
      <c r="J770" s="23" t="inlineStr">
        <is>
          <t>Source assignment -- not individually reviewed</t>
        </is>
      </c>
      <c r="K770" s="23" t="inlineStr"/>
      <c r="L770" s="23" t="inlineStr"/>
      <c r="M770" s="23" t="inlineStr"/>
      <c r="N770" s="14" t="inlineStr">
        <is>
          <t>10 EVIDENCE &amp; DECISIONS</t>
        </is>
      </c>
    </row>
    <row r="771" ht="34" customHeight="1">
      <c r="A771" s="23" t="inlineStr">
        <is>
          <t>Contractor Programme</t>
        </is>
      </c>
      <c r="B771" s="23" t="inlineStr">
        <is>
          <t>SCH-03-162</t>
        </is>
      </c>
      <c r="C771" s="23" t="inlineStr">
        <is>
          <t>Control Centre: signal equipment installation - release</t>
        </is>
      </c>
      <c r="D771" s="23" t="inlineStr">
        <is>
          <t>WBS Code = 1.3.2</t>
        </is>
      </c>
      <c r="E771" s="23" t="inlineStr">
        <is>
          <t>R522-v2</t>
        </is>
      </c>
      <c r="F771" s="23" t="inlineStr">
        <is>
          <t>1.3.2 Systems - Signalling &amp; Train Control</t>
        </is>
      </c>
      <c r="G771" s="23" t="inlineStr">
        <is>
          <t>ONE_TO_ONE</t>
        </is>
      </c>
      <c r="H771" s="23" t="inlineStr">
        <is>
          <t>RETAINED</t>
        </is>
      </c>
      <c r="I771" s="23" t="inlineStr">
        <is>
          <t>Carried forward</t>
        </is>
      </c>
      <c r="J771" s="23" t="inlineStr">
        <is>
          <t>Source assignment -- not individually reviewed</t>
        </is>
      </c>
      <c r="K771" s="23" t="inlineStr"/>
      <c r="L771" s="23" t="inlineStr"/>
      <c r="M771" s="23" t="inlineStr"/>
      <c r="N771" s="14" t="inlineStr">
        <is>
          <t>10 EVIDENCE &amp; DECISIONS</t>
        </is>
      </c>
    </row>
    <row r="772" ht="34" customHeight="1">
      <c r="A772" s="23" t="inlineStr">
        <is>
          <t>Contractor Programme</t>
        </is>
      </c>
      <c r="B772" s="23" t="inlineStr">
        <is>
          <t>SCH-03-165</t>
        </is>
      </c>
      <c r="C772" s="23" t="inlineStr">
        <is>
          <t>Central interlocking: fibre backbone termination - inspection</t>
        </is>
      </c>
      <c r="D772" s="23" t="inlineStr">
        <is>
          <t>WBS Code = 1.3.2</t>
        </is>
      </c>
      <c r="E772" s="23" t="inlineStr">
        <is>
          <t>R525-v2</t>
        </is>
      </c>
      <c r="F772" s="23" t="inlineStr">
        <is>
          <t>1.3.2 Systems - Signalling &amp; Train Control</t>
        </is>
      </c>
      <c r="G772" s="23" t="inlineStr">
        <is>
          <t>ONE_TO_ONE</t>
        </is>
      </c>
      <c r="H772" s="23" t="inlineStr">
        <is>
          <t>RETAINED</t>
        </is>
      </c>
      <c r="I772" s="23" t="inlineStr">
        <is>
          <t>Carried forward</t>
        </is>
      </c>
      <c r="J772" s="23" t="inlineStr">
        <is>
          <t>Source assignment -- not individually reviewed</t>
        </is>
      </c>
      <c r="K772" s="23" t="inlineStr"/>
      <c r="L772" s="23" t="inlineStr"/>
      <c r="M772" s="23" t="inlineStr"/>
      <c r="N772" s="14" t="inlineStr">
        <is>
          <t>10 EVIDENCE &amp; DECISIONS</t>
        </is>
      </c>
    </row>
    <row r="773" ht="34" customHeight="1">
      <c r="A773" s="23" t="inlineStr">
        <is>
          <t>Contractor Programme</t>
        </is>
      </c>
      <c r="B773" s="23" t="inlineStr">
        <is>
          <t>SCH-03-168</t>
        </is>
      </c>
      <c r="C773" s="23" t="inlineStr">
        <is>
          <t>West wayside: train-control cabinet fit-out - field start</t>
        </is>
      </c>
      <c r="D773" s="23" t="inlineStr">
        <is>
          <t>WBS Code = 1.3.2</t>
        </is>
      </c>
      <c r="E773" s="23" t="inlineStr">
        <is>
          <t>R528-v2</t>
        </is>
      </c>
      <c r="F773" s="23" t="inlineStr">
        <is>
          <t>1.3.2 Systems - Signalling &amp; Train Control</t>
        </is>
      </c>
      <c r="G773" s="23" t="inlineStr">
        <is>
          <t>ONE_TO_ONE</t>
        </is>
      </c>
      <c r="H773" s="23" t="inlineStr">
        <is>
          <t>RETAINED</t>
        </is>
      </c>
      <c r="I773" s="23" t="inlineStr">
        <is>
          <t>Carried forward</t>
        </is>
      </c>
      <c r="J773" s="23" t="inlineStr">
        <is>
          <t>Source assignment -- not individually reviewed</t>
        </is>
      </c>
      <c r="K773" s="23" t="inlineStr"/>
      <c r="L773" s="23" t="inlineStr"/>
      <c r="M773" s="23" t="inlineStr"/>
      <c r="N773" s="14" t="inlineStr">
        <is>
          <t>10 EVIDENCE &amp; DECISIONS</t>
        </is>
      </c>
    </row>
    <row r="774" ht="34" customHeight="1">
      <c r="A774" s="23" t="inlineStr">
        <is>
          <t>Contractor Programme</t>
        </is>
      </c>
      <c r="B774" s="23" t="inlineStr">
        <is>
          <t>SCH-03-171</t>
        </is>
      </c>
      <c r="C774" s="23" t="inlineStr">
        <is>
          <t>Harbour Station: radio equipment installation - turnover</t>
        </is>
      </c>
      <c r="D774" s="23" t="inlineStr">
        <is>
          <t>WBS Code = 1.3.2</t>
        </is>
      </c>
      <c r="E774" s="23" t="inlineStr">
        <is>
          <t>R531-v2</t>
        </is>
      </c>
      <c r="F774" s="23" t="inlineStr">
        <is>
          <t>1.3.2 Systems - Signalling &amp; Train Control</t>
        </is>
      </c>
      <c r="G774" s="23" t="inlineStr">
        <is>
          <t>ONE_TO_ONE</t>
        </is>
      </c>
      <c r="H774" s="23" t="inlineStr">
        <is>
          <t>RETAINED</t>
        </is>
      </c>
      <c r="I774" s="23" t="inlineStr">
        <is>
          <t>Carried forward</t>
        </is>
      </c>
      <c r="J774" s="23" t="inlineStr">
        <is>
          <t>Source assignment -- not individually reviewed</t>
        </is>
      </c>
      <c r="K774" s="23" t="inlineStr"/>
      <c r="L774" s="23" t="inlineStr"/>
      <c r="M774" s="23" t="inlineStr"/>
      <c r="N774" s="14" t="inlineStr">
        <is>
          <t>10 EVIDENCE &amp; DECISIONS</t>
        </is>
      </c>
    </row>
    <row r="775" ht="34" customHeight="1">
      <c r="A775" s="23" t="inlineStr">
        <is>
          <t>Contractor Programme</t>
        </is>
      </c>
      <c r="B775" s="23" t="inlineStr">
        <is>
          <t>SCH-03-174</t>
        </is>
      </c>
      <c r="C775" s="23" t="inlineStr">
        <is>
          <t>East substation: SCADA point-to-point check - installation</t>
        </is>
      </c>
      <c r="D775" s="23" t="inlineStr">
        <is>
          <t>WBS Code = 1.3.2</t>
        </is>
      </c>
      <c r="E775" s="23" t="inlineStr">
        <is>
          <t>R534-v2</t>
        </is>
      </c>
      <c r="F775" s="23" t="inlineStr">
        <is>
          <t>1.3.2 Systems - Signalling &amp; Train Control</t>
        </is>
      </c>
      <c r="G775" s="23" t="inlineStr">
        <is>
          <t>ONE_TO_ONE</t>
        </is>
      </c>
      <c r="H775" s="23" t="inlineStr">
        <is>
          <t>RETAINED</t>
        </is>
      </c>
      <c r="I775" s="23" t="inlineStr">
        <is>
          <t>Carried forward</t>
        </is>
      </c>
      <c r="J775" s="23" t="inlineStr">
        <is>
          <t>Source assignment -- not individually reviewed</t>
        </is>
      </c>
      <c r="K775" s="23" t="inlineStr"/>
      <c r="L775" s="23" t="inlineStr"/>
      <c r="M775" s="23" t="inlineStr"/>
      <c r="N775" s="14" t="inlineStr">
        <is>
          <t>10 EVIDENCE &amp; DECISIONS</t>
        </is>
      </c>
    </row>
    <row r="776" ht="34" customHeight="1">
      <c r="A776" s="23" t="inlineStr">
        <is>
          <t>Contractor Programme</t>
        </is>
      </c>
      <c r="B776" s="23" t="inlineStr">
        <is>
          <t>SCH-03-177</t>
        </is>
      </c>
      <c r="C776" s="23" t="inlineStr">
        <is>
          <t>Control Centre: wayside interface test - release</t>
        </is>
      </c>
      <c r="D776" s="23" t="inlineStr">
        <is>
          <t>WBS Code = 1.3.2</t>
        </is>
      </c>
      <c r="E776" s="23" t="inlineStr">
        <is>
          <t>R537-v2</t>
        </is>
      </c>
      <c r="F776" s="23" t="inlineStr">
        <is>
          <t>1.3.2 Systems - Signalling &amp; Train Control</t>
        </is>
      </c>
      <c r="G776" s="23" t="inlineStr">
        <is>
          <t>ONE_TO_ONE</t>
        </is>
      </c>
      <c r="H776" s="23" t="inlineStr">
        <is>
          <t>RETAINED</t>
        </is>
      </c>
      <c r="I776" s="23" t="inlineStr">
        <is>
          <t>Carried forward</t>
        </is>
      </c>
      <c r="J776" s="23" t="inlineStr">
        <is>
          <t>Source assignment -- not individually reviewed</t>
        </is>
      </c>
      <c r="K776" s="23" t="inlineStr"/>
      <c r="L776" s="23" t="inlineStr"/>
      <c r="M776" s="23" t="inlineStr"/>
      <c r="N776" s="14" t="inlineStr">
        <is>
          <t>10 EVIDENCE &amp; DECISIONS</t>
        </is>
      </c>
    </row>
    <row r="777" ht="34" customHeight="1">
      <c r="A777" s="23" t="inlineStr">
        <is>
          <t>Contractor Programme</t>
        </is>
      </c>
      <c r="B777" s="23" t="inlineStr">
        <is>
          <t>SCH-03-180</t>
        </is>
      </c>
      <c r="C777" s="23" t="inlineStr">
        <is>
          <t>Central interlocking: control-centre integration - inspection</t>
        </is>
      </c>
      <c r="D777" s="23" t="inlineStr">
        <is>
          <t>WBS Code = 1.3.2</t>
        </is>
      </c>
      <c r="E777" s="23" t="inlineStr">
        <is>
          <t>R540-v2</t>
        </is>
      </c>
      <c r="F777" s="23" t="inlineStr">
        <is>
          <t>1.3.2 Systems - Signalling &amp; Train Control</t>
        </is>
      </c>
      <c r="G777" s="23" t="inlineStr">
        <is>
          <t>ONE_TO_ONE</t>
        </is>
      </c>
      <c r="H777" s="23" t="inlineStr">
        <is>
          <t>RETAINED</t>
        </is>
      </c>
      <c r="I777" s="23" t="inlineStr">
        <is>
          <t>Carried forward</t>
        </is>
      </c>
      <c r="J777" s="23" t="inlineStr">
        <is>
          <t>Source assignment -- not individually reviewed</t>
        </is>
      </c>
      <c r="K777" s="23" t="inlineStr"/>
      <c r="L777" s="23" t="inlineStr"/>
      <c r="M777" s="23" t="inlineStr"/>
      <c r="N777" s="14" t="inlineStr">
        <is>
          <t>10 EVIDENCE &amp; DECISIONS</t>
        </is>
      </c>
    </row>
    <row r="778" ht="34" customHeight="1">
      <c r="A778" s="23" t="inlineStr">
        <is>
          <t>Cost &amp; Forecast Control Accounts</t>
        </is>
      </c>
      <c r="B778" s="23" t="inlineStr">
        <is>
          <t>CST-03-002</t>
        </is>
      </c>
      <c r="C778" s="23" t="inlineStr">
        <is>
          <t>Systems - signalling - field package</t>
        </is>
      </c>
      <c r="D778" s="23" t="inlineStr">
        <is>
          <t>Cost Account = CA-3002; WBS Code = 1.3.2</t>
        </is>
      </c>
      <c r="E778" s="23" t="inlineStr">
        <is>
          <t>R1244-v2</t>
        </is>
      </c>
      <c r="F778" s="23" t="inlineStr">
        <is>
          <t>1.3.2 Systems - Signalling &amp; Train Control</t>
        </is>
      </c>
      <c r="G778" s="23" t="inlineStr">
        <is>
          <t>ONE_TO_ONE</t>
        </is>
      </c>
      <c r="H778" s="23" t="inlineStr">
        <is>
          <t>RETAINED</t>
        </is>
      </c>
      <c r="I778" s="23" t="inlineStr">
        <is>
          <t>Carried forward</t>
        </is>
      </c>
      <c r="J778" s="23" t="inlineStr">
        <is>
          <t>Source assignment -- not individually reviewed</t>
        </is>
      </c>
      <c r="K778" s="23" t="inlineStr"/>
      <c r="L778" s="23" t="inlineStr"/>
      <c r="M778" s="23" t="inlineStr"/>
      <c r="N778" s="14" t="inlineStr">
        <is>
          <t>10 EVIDENCE &amp; DECISIONS</t>
        </is>
      </c>
    </row>
    <row r="779" ht="34" customHeight="1">
      <c r="A779" s="23" t="inlineStr">
        <is>
          <t>Cost &amp; Forecast Control Accounts</t>
        </is>
      </c>
      <c r="B779" s="23" t="inlineStr">
        <is>
          <t>CST-03-006</t>
        </is>
      </c>
      <c r="C779" s="23" t="inlineStr">
        <is>
          <t>Systems - train control - closeout</t>
        </is>
      </c>
      <c r="D779" s="23" t="inlineStr">
        <is>
          <t>Cost Account = CA-3006; WBS Code = 1.3.2</t>
        </is>
      </c>
      <c r="E779" s="23" t="inlineStr">
        <is>
          <t>R1248-v2</t>
        </is>
      </c>
      <c r="F779" s="23" t="inlineStr">
        <is>
          <t>1.3.2 Systems - Signalling &amp; Train Control</t>
        </is>
      </c>
      <c r="G779" s="23" t="inlineStr">
        <is>
          <t>ONE_TO_ONE</t>
        </is>
      </c>
      <c r="H779" s="23" t="inlineStr">
        <is>
          <t>RETAINED</t>
        </is>
      </c>
      <c r="I779" s="23" t="inlineStr">
        <is>
          <t>Carried forward</t>
        </is>
      </c>
      <c r="J779" s="23" t="inlineStr">
        <is>
          <t>Source assignment -- not individually reviewed</t>
        </is>
      </c>
      <c r="K779" s="23" t="inlineStr"/>
      <c r="L779" s="23" t="inlineStr"/>
      <c r="M779" s="23" t="inlineStr"/>
      <c r="N779" s="14" t="inlineStr">
        <is>
          <t>10 EVIDENCE &amp; DECISIONS</t>
        </is>
      </c>
    </row>
    <row r="780" ht="34" customHeight="1">
      <c r="A780" s="23" t="inlineStr">
        <is>
          <t>Cost &amp; Forecast Control Accounts</t>
        </is>
      </c>
      <c r="B780" s="23" t="inlineStr">
        <is>
          <t>CST-03-008</t>
        </is>
      </c>
      <c r="C780" s="23" t="inlineStr">
        <is>
          <t>Systems - signalling - supply and install</t>
        </is>
      </c>
      <c r="D780" s="23" t="inlineStr">
        <is>
          <t>Cost Account = CA-3008; WBS Code = 1.3.2</t>
        </is>
      </c>
      <c r="E780" s="23" t="inlineStr">
        <is>
          <t>R1250-v2</t>
        </is>
      </c>
      <c r="F780" s="23" t="inlineStr">
        <is>
          <t>1.3.2 Systems - Signalling &amp; Train Control</t>
        </is>
      </c>
      <c r="G780" s="23" t="inlineStr">
        <is>
          <t>ONE_TO_ONE</t>
        </is>
      </c>
      <c r="H780" s="23" t="inlineStr">
        <is>
          <t>RETAINED</t>
        </is>
      </c>
      <c r="I780" s="23" t="inlineStr">
        <is>
          <t>Carried forward</t>
        </is>
      </c>
      <c r="J780" s="23" t="inlineStr">
        <is>
          <t>Source assignment -- not individually reviewed</t>
        </is>
      </c>
      <c r="K780" s="23" t="inlineStr"/>
      <c r="L780" s="23" t="inlineStr"/>
      <c r="M780" s="23" t="inlineStr"/>
      <c r="N780" s="14" t="inlineStr">
        <is>
          <t>10 EVIDENCE &amp; DECISIONS</t>
        </is>
      </c>
    </row>
    <row r="781" ht="34" customHeight="1">
      <c r="A781" s="23" t="inlineStr">
        <is>
          <t>Cost &amp; Forecast Control Accounts</t>
        </is>
      </c>
      <c r="B781" s="23" t="inlineStr">
        <is>
          <t>CST-03-010</t>
        </is>
      </c>
      <c r="C781" s="23" t="inlineStr">
        <is>
          <t>Systems - systems integration - allowance</t>
        </is>
      </c>
      <c r="D781" s="23" t="inlineStr">
        <is>
          <t>Cost Account = CA-3010; WBS Code = 1.3.2</t>
        </is>
      </c>
      <c r="E781" s="23" t="inlineStr">
        <is>
          <t>R1252-v2</t>
        </is>
      </c>
      <c r="F781" s="23" t="inlineStr">
        <is>
          <t>1.3.2 Systems - Signalling &amp; Train Control</t>
        </is>
      </c>
      <c r="G781" s="23" t="inlineStr">
        <is>
          <t>ONE_TO_ONE</t>
        </is>
      </c>
      <c r="H781" s="23" t="inlineStr">
        <is>
          <t>RETAINED</t>
        </is>
      </c>
      <c r="I781" s="23" t="inlineStr">
        <is>
          <t>Carried forward</t>
        </is>
      </c>
      <c r="J781" s="23" t="inlineStr">
        <is>
          <t>Source assignment -- not individually reviewed</t>
        </is>
      </c>
      <c r="K781" s="23" t="inlineStr"/>
      <c r="L781" s="23" t="inlineStr"/>
      <c r="M781" s="23" t="inlineStr"/>
      <c r="N781" s="14" t="inlineStr">
        <is>
          <t>10 EVIDENCE &amp; DECISIONS</t>
        </is>
      </c>
    </row>
    <row r="782" ht="34" customHeight="1">
      <c r="A782" s="23" t="inlineStr">
        <is>
          <t>Cost &amp; Forecast Control Accounts</t>
        </is>
      </c>
      <c r="B782" s="23" t="inlineStr">
        <is>
          <t>CST-03-012</t>
        </is>
      </c>
      <c r="C782" s="23" t="inlineStr">
        <is>
          <t>Systems - train control - field package</t>
        </is>
      </c>
      <c r="D782" s="23" t="inlineStr">
        <is>
          <t>Cost Account = CA-3012; WBS Code = 1.3.2</t>
        </is>
      </c>
      <c r="E782" s="23" t="inlineStr">
        <is>
          <t>R1254-v2</t>
        </is>
      </c>
      <c r="F782" s="23" t="inlineStr">
        <is>
          <t>1.3.2 Systems - Signalling &amp; Train Control</t>
        </is>
      </c>
      <c r="G782" s="23" t="inlineStr">
        <is>
          <t>ONE_TO_ONE</t>
        </is>
      </c>
      <c r="H782" s="23" t="inlineStr">
        <is>
          <t>RETAINED</t>
        </is>
      </c>
      <c r="I782" s="23" t="inlineStr">
        <is>
          <t>Carried forward</t>
        </is>
      </c>
      <c r="J782" s="23" t="inlineStr">
        <is>
          <t>Source assignment -- not individually reviewed</t>
        </is>
      </c>
      <c r="K782" s="23" t="inlineStr"/>
      <c r="L782" s="23" t="inlineStr"/>
      <c r="M782" s="23" t="inlineStr"/>
      <c r="N782" s="14" t="inlineStr">
        <is>
          <t>10 EVIDENCE &amp; DECISIONS</t>
        </is>
      </c>
    </row>
    <row r="783" ht="34" customHeight="1">
      <c r="A783" s="23" t="inlineStr">
        <is>
          <t>Cost &amp; Forecast Control Accounts</t>
        </is>
      </c>
      <c r="B783" s="23" t="inlineStr">
        <is>
          <t>CST-03-014</t>
        </is>
      </c>
      <c r="C783" s="23" t="inlineStr">
        <is>
          <t>Systems - signalling - professional services</t>
        </is>
      </c>
      <c r="D783" s="23" t="inlineStr">
        <is>
          <t>Cost Account = CA-3014; WBS Code = 1.3.2</t>
        </is>
      </c>
      <c r="E783" s="23" t="inlineStr">
        <is>
          <t>R1256-v2</t>
        </is>
      </c>
      <c r="F783" s="23" t="inlineStr">
        <is>
          <t>1.3.2 Systems - Signalling &amp; Train Control</t>
        </is>
      </c>
      <c r="G783" s="23" t="inlineStr">
        <is>
          <t>ONE_TO_ONE</t>
        </is>
      </c>
      <c r="H783" s="23" t="inlineStr">
        <is>
          <t>RETAINED</t>
        </is>
      </c>
      <c r="I783" s="23" t="inlineStr">
        <is>
          <t>Carried forward</t>
        </is>
      </c>
      <c r="J783" s="23" t="inlineStr">
        <is>
          <t>Source assignment -- not individually reviewed</t>
        </is>
      </c>
      <c r="K783" s="23" t="inlineStr"/>
      <c r="L783" s="23" t="inlineStr"/>
      <c r="M783" s="23" t="inlineStr"/>
      <c r="N783" s="14" t="inlineStr">
        <is>
          <t>10 EVIDENCE &amp; DECISIONS</t>
        </is>
      </c>
    </row>
    <row r="784" ht="34" customHeight="1">
      <c r="A784" s="23" t="inlineStr">
        <is>
          <t>Cost &amp; Forecast Control Accounts</t>
        </is>
      </c>
      <c r="B784" s="23" t="inlineStr">
        <is>
          <t>CST-03-016</t>
        </is>
      </c>
      <c r="C784" s="23" t="inlineStr">
        <is>
          <t>Systems - systems integration - closeout</t>
        </is>
      </c>
      <c r="D784" s="23" t="inlineStr">
        <is>
          <t>Cost Account = CA-3016; WBS Code = 1.3.2</t>
        </is>
      </c>
      <c r="E784" s="23" t="inlineStr">
        <is>
          <t>R1258-v2</t>
        </is>
      </c>
      <c r="F784" s="23" t="inlineStr">
        <is>
          <t>1.3.2 Systems - Signalling &amp; Train Control</t>
        </is>
      </c>
      <c r="G784" s="23" t="inlineStr">
        <is>
          <t>ONE_TO_ONE</t>
        </is>
      </c>
      <c r="H784" s="23" t="inlineStr">
        <is>
          <t>RETAINED</t>
        </is>
      </c>
      <c r="I784" s="23" t="inlineStr">
        <is>
          <t>Carried forward</t>
        </is>
      </c>
      <c r="J784" s="23" t="inlineStr">
        <is>
          <t>Source assignment -- not individually reviewed</t>
        </is>
      </c>
      <c r="K784" s="23" t="inlineStr"/>
      <c r="L784" s="23" t="inlineStr"/>
      <c r="M784" s="23" t="inlineStr"/>
      <c r="N784" s="14" t="inlineStr">
        <is>
          <t>10 EVIDENCE &amp; DECISIONS</t>
        </is>
      </c>
    </row>
    <row r="785" ht="34" customHeight="1">
      <c r="A785" s="23" t="inlineStr">
        <is>
          <t>Cost &amp; Forecast Control Accounts</t>
        </is>
      </c>
      <c r="B785" s="23" t="inlineStr">
        <is>
          <t>CST-03-018</t>
        </is>
      </c>
      <c r="C785" s="23" t="inlineStr">
        <is>
          <t>Systems - train control - supply and install</t>
        </is>
      </c>
      <c r="D785" s="23" t="inlineStr">
        <is>
          <t>Cost Account = CA-3018; WBS Code = 1.3.2</t>
        </is>
      </c>
      <c r="E785" s="23" t="inlineStr">
        <is>
          <t>R1260-v2</t>
        </is>
      </c>
      <c r="F785" s="23" t="inlineStr">
        <is>
          <t>1.3.2 Systems - Signalling &amp; Train Control</t>
        </is>
      </c>
      <c r="G785" s="23" t="inlineStr">
        <is>
          <t>ONE_TO_ONE</t>
        </is>
      </c>
      <c r="H785" s="23" t="inlineStr">
        <is>
          <t>RETAINED</t>
        </is>
      </c>
      <c r="I785" s="23" t="inlineStr">
        <is>
          <t>Carried forward</t>
        </is>
      </c>
      <c r="J785" s="23" t="inlineStr">
        <is>
          <t>Source assignment -- not individually reviewed</t>
        </is>
      </c>
      <c r="K785" s="23" t="inlineStr"/>
      <c r="L785" s="23" t="inlineStr"/>
      <c r="M785" s="23" t="inlineStr"/>
      <c r="N785" s="14" t="inlineStr">
        <is>
          <t>10 EVIDENCE &amp; DECISIONS</t>
        </is>
      </c>
    </row>
    <row r="786" ht="34" customHeight="1">
      <c r="A786" s="23" t="inlineStr">
        <is>
          <t>Cost &amp; Forecast Control Accounts</t>
        </is>
      </c>
      <c r="B786" s="23" t="inlineStr">
        <is>
          <t>CST-03-020</t>
        </is>
      </c>
      <c r="C786" s="23" t="inlineStr">
        <is>
          <t>Systems - signalling - allowance</t>
        </is>
      </c>
      <c r="D786" s="23" t="inlineStr">
        <is>
          <t>Cost Account = CA-3020; WBS Code = 1.3.2</t>
        </is>
      </c>
      <c r="E786" s="23" t="inlineStr">
        <is>
          <t>R1262-v2</t>
        </is>
      </c>
      <c r="F786" s="23" t="inlineStr">
        <is>
          <t>1.3.2 Systems - Signalling &amp; Train Control</t>
        </is>
      </c>
      <c r="G786" s="23" t="inlineStr">
        <is>
          <t>ONE_TO_ONE</t>
        </is>
      </c>
      <c r="H786" s="23" t="inlineStr">
        <is>
          <t>RETAINED</t>
        </is>
      </c>
      <c r="I786" s="23" t="inlineStr">
        <is>
          <t>Carried forward</t>
        </is>
      </c>
      <c r="J786" s="23" t="inlineStr">
        <is>
          <t>Source assignment -- not individually reviewed</t>
        </is>
      </c>
      <c r="K786" s="23" t="inlineStr"/>
      <c r="L786" s="23" t="inlineStr"/>
      <c r="M786" s="23" t="inlineStr"/>
      <c r="N786" s="14" t="inlineStr">
        <is>
          <t>10 EVIDENCE &amp; DECISIONS</t>
        </is>
      </c>
    </row>
    <row r="787" ht="34" customHeight="1">
      <c r="A787" s="23" t="inlineStr">
        <is>
          <t>Cost &amp; Forecast Control Accounts</t>
        </is>
      </c>
      <c r="B787" s="23" t="inlineStr">
        <is>
          <t>CST-03-022</t>
        </is>
      </c>
      <c r="C787" s="23" t="inlineStr">
        <is>
          <t>Systems - systems integration - field package</t>
        </is>
      </c>
      <c r="D787" s="23" t="inlineStr">
        <is>
          <t>Cost Account = CA-3022; WBS Code = 1.3.2</t>
        </is>
      </c>
      <c r="E787" s="23" t="inlineStr">
        <is>
          <t>R1264-v2</t>
        </is>
      </c>
      <c r="F787" s="23" t="inlineStr">
        <is>
          <t>1.3.2 Systems - Signalling &amp; Train Control</t>
        </is>
      </c>
      <c r="G787" s="23" t="inlineStr">
        <is>
          <t>ONE_TO_ONE</t>
        </is>
      </c>
      <c r="H787" s="23" t="inlineStr">
        <is>
          <t>RETAINED</t>
        </is>
      </c>
      <c r="I787" s="23" t="inlineStr">
        <is>
          <t>Carried forward</t>
        </is>
      </c>
      <c r="J787" s="23" t="inlineStr">
        <is>
          <t>Source assignment -- not individually reviewed</t>
        </is>
      </c>
      <c r="K787" s="23" t="inlineStr"/>
      <c r="L787" s="23" t="inlineStr"/>
      <c r="M787" s="23" t="inlineStr"/>
      <c r="N787" s="14" t="inlineStr">
        <is>
          <t>10 EVIDENCE &amp; DECISIONS</t>
        </is>
      </c>
    </row>
    <row r="788" ht="34" customHeight="1">
      <c r="A788" s="23" t="inlineStr">
        <is>
          <t>Cost &amp; Forecast Control Accounts</t>
        </is>
      </c>
      <c r="B788" s="23" t="inlineStr">
        <is>
          <t>CST-03-024</t>
        </is>
      </c>
      <c r="C788" s="23" t="inlineStr">
        <is>
          <t>Systems - train control - professional services</t>
        </is>
      </c>
      <c r="D788" s="23" t="inlineStr">
        <is>
          <t>Cost Account = CA-3024; WBS Code = 1.3.2</t>
        </is>
      </c>
      <c r="E788" s="23" t="inlineStr">
        <is>
          <t>R1266-v2</t>
        </is>
      </c>
      <c r="F788" s="23" t="inlineStr">
        <is>
          <t>1.3.2 Systems - Signalling &amp; Train Control</t>
        </is>
      </c>
      <c r="G788" s="23" t="inlineStr">
        <is>
          <t>ONE_TO_ONE</t>
        </is>
      </c>
      <c r="H788" s="23" t="inlineStr">
        <is>
          <t>RETAINED</t>
        </is>
      </c>
      <c r="I788" s="23" t="inlineStr">
        <is>
          <t>Carried forward</t>
        </is>
      </c>
      <c r="J788" s="23" t="inlineStr">
        <is>
          <t>Source assignment -- not individually reviewed</t>
        </is>
      </c>
      <c r="K788" s="23" t="inlineStr"/>
      <c r="L788" s="23" t="inlineStr"/>
      <c r="M788" s="23" t="inlineStr"/>
      <c r="N788" s="14" t="inlineStr">
        <is>
          <t>10 EVIDENCE &amp; DECISIONS</t>
        </is>
      </c>
    </row>
    <row r="789" ht="34" customHeight="1">
      <c r="A789" s="23" t="inlineStr">
        <is>
          <t>Cost &amp; Forecast Control Accounts</t>
        </is>
      </c>
      <c r="B789" s="23" t="inlineStr">
        <is>
          <t>CST-03-026</t>
        </is>
      </c>
      <c r="C789" s="23" t="inlineStr">
        <is>
          <t>Systems - signalling - closeout</t>
        </is>
      </c>
      <c r="D789" s="23" t="inlineStr">
        <is>
          <t>Cost Account = CA-3026; WBS Code = 1.3.2</t>
        </is>
      </c>
      <c r="E789" s="23" t="inlineStr">
        <is>
          <t>R1268-v2</t>
        </is>
      </c>
      <c r="F789" s="23" t="inlineStr">
        <is>
          <t>1.3.2 Systems - Signalling &amp; Train Control</t>
        </is>
      </c>
      <c r="G789" s="23" t="inlineStr">
        <is>
          <t>ONE_TO_ONE</t>
        </is>
      </c>
      <c r="H789" s="23" t="inlineStr">
        <is>
          <t>RETAINED</t>
        </is>
      </c>
      <c r="I789" s="23" t="inlineStr">
        <is>
          <t>Carried forward</t>
        </is>
      </c>
      <c r="J789" s="23" t="inlineStr">
        <is>
          <t>Source assignment -- not individually reviewed</t>
        </is>
      </c>
      <c r="K789" s="23" t="inlineStr"/>
      <c r="L789" s="23" t="inlineStr"/>
      <c r="M789" s="23" t="inlineStr"/>
      <c r="N789" s="14" t="inlineStr">
        <is>
          <t>10 EVIDENCE &amp; DECISIONS</t>
        </is>
      </c>
    </row>
    <row r="790" ht="34" customHeight="1">
      <c r="A790" s="23" t="inlineStr">
        <is>
          <t>Cost &amp; Forecast Control Accounts</t>
        </is>
      </c>
      <c r="B790" s="23" t="inlineStr">
        <is>
          <t>CST-03-028</t>
        </is>
      </c>
      <c r="C790" s="23" t="inlineStr">
        <is>
          <t>Systems - systems integration - supply and install</t>
        </is>
      </c>
      <c r="D790" s="23" t="inlineStr">
        <is>
          <t>Cost Account = CA-3028; WBS Code = 1.3.2</t>
        </is>
      </c>
      <c r="E790" s="23" t="inlineStr">
        <is>
          <t>R1270-v2</t>
        </is>
      </c>
      <c r="F790" s="23" t="inlineStr">
        <is>
          <t>1.3.2 Systems - Signalling &amp; Train Control</t>
        </is>
      </c>
      <c r="G790" s="23" t="inlineStr">
        <is>
          <t>ONE_TO_ONE</t>
        </is>
      </c>
      <c r="H790" s="23" t="inlineStr">
        <is>
          <t>RETAINED</t>
        </is>
      </c>
      <c r="I790" s="23" t="inlineStr">
        <is>
          <t>Carried forward</t>
        </is>
      </c>
      <c r="J790" s="23" t="inlineStr">
        <is>
          <t>Source assignment -- not individually reviewed</t>
        </is>
      </c>
      <c r="K790" s="23" t="inlineStr"/>
      <c r="L790" s="23" t="inlineStr"/>
      <c r="M790" s="23" t="inlineStr"/>
      <c r="N790" s="14" t="inlineStr">
        <is>
          <t>10 EVIDENCE &amp; DECISIONS</t>
        </is>
      </c>
    </row>
    <row r="791" ht="34" customHeight="1">
      <c r="A791" s="23" t="inlineStr">
        <is>
          <t>Cost &amp; Forecast Control Accounts</t>
        </is>
      </c>
      <c r="B791" s="23" t="inlineStr">
        <is>
          <t>CST-03-030</t>
        </is>
      </c>
      <c r="C791" s="23" t="inlineStr">
        <is>
          <t>Systems - train control - allowance</t>
        </is>
      </c>
      <c r="D791" s="23" t="inlineStr">
        <is>
          <t>Cost Account = CA-3030; WBS Code = 1.3.2</t>
        </is>
      </c>
      <c r="E791" s="23" t="inlineStr">
        <is>
          <t>R1272-v2</t>
        </is>
      </c>
      <c r="F791" s="23" t="inlineStr">
        <is>
          <t>1.3.2 Systems - Signalling &amp; Train Control</t>
        </is>
      </c>
      <c r="G791" s="23" t="inlineStr">
        <is>
          <t>ONE_TO_ONE</t>
        </is>
      </c>
      <c r="H791" s="23" t="inlineStr">
        <is>
          <t>RETAINED</t>
        </is>
      </c>
      <c r="I791" s="23" t="inlineStr">
        <is>
          <t>Carried forward</t>
        </is>
      </c>
      <c r="J791" s="23" t="inlineStr">
        <is>
          <t>Source assignment -- not individually reviewed</t>
        </is>
      </c>
      <c r="K791" s="23" t="inlineStr"/>
      <c r="L791" s="23" t="inlineStr"/>
      <c r="M791" s="23" t="inlineStr"/>
      <c r="N791" s="14" t="inlineStr">
        <is>
          <t>10 EVIDENCE &amp; DECISIONS</t>
        </is>
      </c>
    </row>
    <row r="792" ht="34" customHeight="1">
      <c r="A792" s="23" t="inlineStr">
        <is>
          <t>Cost &amp; Forecast Control Accounts</t>
        </is>
      </c>
      <c r="B792" s="23" t="inlineStr">
        <is>
          <t>CST-03-032</t>
        </is>
      </c>
      <c r="C792" s="23" t="inlineStr">
        <is>
          <t>Systems - signalling - field package</t>
        </is>
      </c>
      <c r="D792" s="23" t="inlineStr">
        <is>
          <t>Cost Account = CA-3032; WBS Code = 1.3.2</t>
        </is>
      </c>
      <c r="E792" s="23" t="inlineStr">
        <is>
          <t>R1274-v2</t>
        </is>
      </c>
      <c r="F792" s="23" t="inlineStr">
        <is>
          <t>1.3.2 Systems - Signalling &amp; Train Control</t>
        </is>
      </c>
      <c r="G792" s="23" t="inlineStr">
        <is>
          <t>ONE_TO_ONE</t>
        </is>
      </c>
      <c r="H792" s="23" t="inlineStr">
        <is>
          <t>RETAINED</t>
        </is>
      </c>
      <c r="I792" s="23" t="inlineStr">
        <is>
          <t>Carried forward</t>
        </is>
      </c>
      <c r="J792" s="23" t="inlineStr">
        <is>
          <t>Source assignment -- not individually reviewed</t>
        </is>
      </c>
      <c r="K792" s="23" t="inlineStr"/>
      <c r="L792" s="23" t="inlineStr"/>
      <c r="M792" s="23" t="inlineStr"/>
      <c r="N792" s="14" t="inlineStr">
        <is>
          <t>10 EVIDENCE &amp; DECISIONS</t>
        </is>
      </c>
    </row>
    <row r="793" ht="34" customHeight="1">
      <c r="A793" s="23" t="inlineStr">
        <is>
          <t>Cost &amp; Forecast Control Accounts</t>
        </is>
      </c>
      <c r="B793" s="23" t="inlineStr">
        <is>
          <t>CST-03-034</t>
        </is>
      </c>
      <c r="C793" s="23" t="inlineStr">
        <is>
          <t>Systems - systems integration - professional services</t>
        </is>
      </c>
      <c r="D793" s="23" t="inlineStr">
        <is>
          <t>Cost Account = CA-3034; WBS Code = 1.3.2</t>
        </is>
      </c>
      <c r="E793" s="23" t="inlineStr">
        <is>
          <t>R1276-v2</t>
        </is>
      </c>
      <c r="F793" s="23" t="inlineStr">
        <is>
          <t>1.3.2 Systems - Signalling &amp; Train Control</t>
        </is>
      </c>
      <c r="G793" s="23" t="inlineStr">
        <is>
          <t>ONE_TO_ONE</t>
        </is>
      </c>
      <c r="H793" s="23" t="inlineStr">
        <is>
          <t>RETAINED</t>
        </is>
      </c>
      <c r="I793" s="23" t="inlineStr">
        <is>
          <t>Carried forward</t>
        </is>
      </c>
      <c r="J793" s="23" t="inlineStr">
        <is>
          <t>Source assignment -- not individually reviewed</t>
        </is>
      </c>
      <c r="K793" s="23" t="inlineStr"/>
      <c r="L793" s="23" t="inlineStr"/>
      <c r="M793" s="23" t="inlineStr"/>
      <c r="N793" s="14" t="inlineStr">
        <is>
          <t>10 EVIDENCE &amp; DECISIONS</t>
        </is>
      </c>
    </row>
    <row r="794" ht="34" customHeight="1">
      <c r="A794" s="23" t="inlineStr">
        <is>
          <t>Cost &amp; Forecast Control Accounts</t>
        </is>
      </c>
      <c r="B794" s="23" t="inlineStr">
        <is>
          <t>CST-03-036</t>
        </is>
      </c>
      <c r="C794" s="23" t="inlineStr">
        <is>
          <t>Systems - train control - closeout</t>
        </is>
      </c>
      <c r="D794" s="23" t="inlineStr">
        <is>
          <t>Cost Account = CA-3036; WBS Code = 1.3.2</t>
        </is>
      </c>
      <c r="E794" s="23" t="inlineStr">
        <is>
          <t>R1278-v2</t>
        </is>
      </c>
      <c r="F794" s="23" t="inlineStr">
        <is>
          <t>1.3.2 Systems - Signalling &amp; Train Control</t>
        </is>
      </c>
      <c r="G794" s="23" t="inlineStr">
        <is>
          <t>ONE_TO_ONE</t>
        </is>
      </c>
      <c r="H794" s="23" t="inlineStr">
        <is>
          <t>RETAINED</t>
        </is>
      </c>
      <c r="I794" s="23" t="inlineStr">
        <is>
          <t>Carried forward</t>
        </is>
      </c>
      <c r="J794" s="23" t="inlineStr">
        <is>
          <t>Source assignment -- not individually reviewed</t>
        </is>
      </c>
      <c r="K794" s="23" t="inlineStr"/>
      <c r="L794" s="23" t="inlineStr"/>
      <c r="M794" s="23" t="inlineStr"/>
      <c r="N794" s="14" t="inlineStr">
        <is>
          <t>10 EVIDENCE &amp; DECISIONS</t>
        </is>
      </c>
    </row>
    <row r="795" ht="34" customHeight="1">
      <c r="A795" s="23" t="inlineStr">
        <is>
          <t>Cost &amp; Forecast Control Accounts</t>
        </is>
      </c>
      <c r="B795" s="23" t="inlineStr">
        <is>
          <t>CST-03-038</t>
        </is>
      </c>
      <c r="C795" s="23" t="inlineStr">
        <is>
          <t>Systems - signalling - supply and install</t>
        </is>
      </c>
      <c r="D795" s="23" t="inlineStr">
        <is>
          <t>Cost Account = CA-3038; WBS Code = 1.3.2</t>
        </is>
      </c>
      <c r="E795" s="23" t="inlineStr">
        <is>
          <t>R1280-v2</t>
        </is>
      </c>
      <c r="F795" s="23" t="inlineStr">
        <is>
          <t>1.3.2 Systems - Signalling &amp; Train Control</t>
        </is>
      </c>
      <c r="G795" s="23" t="inlineStr">
        <is>
          <t>ONE_TO_ONE</t>
        </is>
      </c>
      <c r="H795" s="23" t="inlineStr">
        <is>
          <t>RETAINED</t>
        </is>
      </c>
      <c r="I795" s="23" t="inlineStr">
        <is>
          <t>Carried forward</t>
        </is>
      </c>
      <c r="J795" s="23" t="inlineStr">
        <is>
          <t>Source assignment -- not individually reviewed</t>
        </is>
      </c>
      <c r="K795" s="23" t="inlineStr"/>
      <c r="L795" s="23" t="inlineStr"/>
      <c r="M795" s="23" t="inlineStr"/>
      <c r="N795" s="14" t="inlineStr">
        <is>
          <t>10 EVIDENCE &amp; DECISIONS</t>
        </is>
      </c>
    </row>
    <row r="796" ht="34" customHeight="1">
      <c r="A796" s="23" t="inlineStr">
        <is>
          <t>Cost &amp; Forecast Control Accounts</t>
        </is>
      </c>
      <c r="B796" s="23" t="inlineStr">
        <is>
          <t>CST-03-040</t>
        </is>
      </c>
      <c r="C796" s="23" t="inlineStr">
        <is>
          <t>Systems - systems integration - allowance</t>
        </is>
      </c>
      <c r="D796" s="23" t="inlineStr">
        <is>
          <t>Cost Account = CA-3040; WBS Code = 1.3.2</t>
        </is>
      </c>
      <c r="E796" s="23" t="inlineStr">
        <is>
          <t>R1282-v2</t>
        </is>
      </c>
      <c r="F796" s="23" t="inlineStr">
        <is>
          <t>1.3.2 Systems - Signalling &amp; Train Control</t>
        </is>
      </c>
      <c r="G796" s="23" t="inlineStr">
        <is>
          <t>ONE_TO_ONE</t>
        </is>
      </c>
      <c r="H796" s="23" t="inlineStr">
        <is>
          <t>RETAINED</t>
        </is>
      </c>
      <c r="I796" s="23" t="inlineStr">
        <is>
          <t>Carried forward</t>
        </is>
      </c>
      <c r="J796" s="23" t="inlineStr">
        <is>
          <t>Source assignment -- not individually reviewed</t>
        </is>
      </c>
      <c r="K796" s="23" t="inlineStr"/>
      <c r="L796" s="23" t="inlineStr"/>
      <c r="M796" s="23" t="inlineStr"/>
      <c r="N796" s="14" t="inlineStr">
        <is>
          <t>10 EVIDENCE &amp; DECISIONS</t>
        </is>
      </c>
    </row>
    <row r="797" ht="34" customHeight="1">
      <c r="A797" s="23" t="inlineStr">
        <is>
          <t>Cost &amp; Forecast Control Accounts</t>
        </is>
      </c>
      <c r="B797" s="23" t="inlineStr">
        <is>
          <t>CST-03-042</t>
        </is>
      </c>
      <c r="C797" s="23" t="inlineStr">
        <is>
          <t>Systems - train control - field package</t>
        </is>
      </c>
      <c r="D797" s="23" t="inlineStr">
        <is>
          <t>Cost Account = CA-3042; WBS Code = 1.3.2</t>
        </is>
      </c>
      <c r="E797" s="23" t="inlineStr">
        <is>
          <t>R1284-v2</t>
        </is>
      </c>
      <c r="F797" s="23" t="inlineStr">
        <is>
          <t>1.3.2 Systems - Signalling &amp; Train Control</t>
        </is>
      </c>
      <c r="G797" s="23" t="inlineStr">
        <is>
          <t>ONE_TO_ONE</t>
        </is>
      </c>
      <c r="H797" s="23" t="inlineStr">
        <is>
          <t>RETAINED</t>
        </is>
      </c>
      <c r="I797" s="23" t="inlineStr">
        <is>
          <t>Carried forward</t>
        </is>
      </c>
      <c r="J797" s="23" t="inlineStr">
        <is>
          <t>Source assignment -- not individually reviewed</t>
        </is>
      </c>
      <c r="K797" s="23" t="inlineStr"/>
      <c r="L797" s="23" t="inlineStr"/>
      <c r="M797" s="23" t="inlineStr"/>
      <c r="N797" s="14" t="inlineStr">
        <is>
          <t>10 EVIDENCE &amp; DECISIONS</t>
        </is>
      </c>
    </row>
    <row r="798" ht="34" customHeight="1">
      <c r="A798" s="23" t="inlineStr">
        <is>
          <t>Cost &amp; Forecast Control Accounts</t>
        </is>
      </c>
      <c r="B798" s="23" t="inlineStr">
        <is>
          <t>CST-03-044</t>
        </is>
      </c>
      <c r="C798" s="23" t="inlineStr">
        <is>
          <t>Systems - signalling - professional services</t>
        </is>
      </c>
      <c r="D798" s="23" t="inlineStr">
        <is>
          <t>Cost Account = CA-3044; WBS Code = 1.3.2</t>
        </is>
      </c>
      <c r="E798" s="23" t="inlineStr">
        <is>
          <t>R1286-v2</t>
        </is>
      </c>
      <c r="F798" s="23" t="inlineStr">
        <is>
          <t>1.3.2 Systems - Signalling &amp; Train Control</t>
        </is>
      </c>
      <c r="G798" s="23" t="inlineStr">
        <is>
          <t>ONE_TO_ONE</t>
        </is>
      </c>
      <c r="H798" s="23" t="inlineStr">
        <is>
          <t>RETAINED</t>
        </is>
      </c>
      <c r="I798" s="23" t="inlineStr">
        <is>
          <t>Carried forward</t>
        </is>
      </c>
      <c r="J798" s="23" t="inlineStr">
        <is>
          <t>Source assignment -- not individually reviewed</t>
        </is>
      </c>
      <c r="K798" s="23" t="inlineStr"/>
      <c r="L798" s="23" t="inlineStr"/>
      <c r="M798" s="23" t="inlineStr"/>
      <c r="N798" s="14" t="inlineStr">
        <is>
          <t>10 EVIDENCE &amp; DECISIONS</t>
        </is>
      </c>
    </row>
    <row r="799" ht="34" customHeight="1">
      <c r="A799" s="23" t="inlineStr">
        <is>
          <t>Cost &amp; Forecast Control Accounts</t>
        </is>
      </c>
      <c r="B799" s="23" t="inlineStr">
        <is>
          <t>CST-03-046</t>
        </is>
      </c>
      <c r="C799" s="23" t="inlineStr">
        <is>
          <t>Systems - systems integration - closeout</t>
        </is>
      </c>
      <c r="D799" s="23" t="inlineStr">
        <is>
          <t>Cost Account = CA-3046; WBS Code = 1.3.2</t>
        </is>
      </c>
      <c r="E799" s="23" t="inlineStr">
        <is>
          <t>R1288-v2</t>
        </is>
      </c>
      <c r="F799" s="23" t="inlineStr">
        <is>
          <t>1.3.2 Systems - Signalling &amp; Train Control</t>
        </is>
      </c>
      <c r="G799" s="23" t="inlineStr">
        <is>
          <t>ONE_TO_ONE</t>
        </is>
      </c>
      <c r="H799" s="23" t="inlineStr">
        <is>
          <t>RETAINED</t>
        </is>
      </c>
      <c r="I799" s="23" t="inlineStr">
        <is>
          <t>Carried forward</t>
        </is>
      </c>
      <c r="J799" s="23" t="inlineStr">
        <is>
          <t>Source assignment -- not individually reviewed</t>
        </is>
      </c>
      <c r="K799" s="23" t="inlineStr"/>
      <c r="L799" s="23" t="inlineStr"/>
      <c r="M799" s="23" t="inlineStr"/>
      <c r="N799" s="14" t="inlineStr">
        <is>
          <t>10 EVIDENCE &amp; DECISIONS</t>
        </is>
      </c>
    </row>
    <row r="800" ht="34" customHeight="1">
      <c r="A800" s="23" t="inlineStr">
        <is>
          <t>Cost &amp; Forecast Control Accounts</t>
        </is>
      </c>
      <c r="B800" s="23" t="inlineStr">
        <is>
          <t>CST-03-048</t>
        </is>
      </c>
      <c r="C800" s="23" t="inlineStr">
        <is>
          <t>Systems - train control - supply and install</t>
        </is>
      </c>
      <c r="D800" s="23" t="inlineStr">
        <is>
          <t>Cost Account = CA-3048; WBS Code = 1.3.2</t>
        </is>
      </c>
      <c r="E800" s="23" t="inlineStr">
        <is>
          <t>R1290-v2</t>
        </is>
      </c>
      <c r="F800" s="23" t="inlineStr">
        <is>
          <t>1.3.2 Systems - Signalling &amp; Train Control</t>
        </is>
      </c>
      <c r="G800" s="23" t="inlineStr">
        <is>
          <t>ONE_TO_ONE</t>
        </is>
      </c>
      <c r="H800" s="23" t="inlineStr">
        <is>
          <t>RETAINED</t>
        </is>
      </c>
      <c r="I800" s="23" t="inlineStr">
        <is>
          <t>Carried forward</t>
        </is>
      </c>
      <c r="J800" s="23" t="inlineStr">
        <is>
          <t>Source assignment -- not individually reviewed</t>
        </is>
      </c>
      <c r="K800" s="23" t="inlineStr"/>
      <c r="L800" s="23" t="inlineStr"/>
      <c r="M800" s="23" t="inlineStr"/>
      <c r="N800" s="14" t="inlineStr">
        <is>
          <t>10 EVIDENCE &amp; DECISIONS</t>
        </is>
      </c>
    </row>
    <row r="801" ht="34" customHeight="1">
      <c r="A801" s="23" t="inlineStr">
        <is>
          <t>Cost &amp; Forecast Control Accounts</t>
        </is>
      </c>
      <c r="B801" s="23" t="inlineStr">
        <is>
          <t>CST-03-050</t>
        </is>
      </c>
      <c r="C801" s="23" t="inlineStr">
        <is>
          <t>Systems - signalling - allowance</t>
        </is>
      </c>
      <c r="D801" s="23" t="inlineStr">
        <is>
          <t>Cost Account = CA-3050; WBS Code = 1.3.2</t>
        </is>
      </c>
      <c r="E801" s="23" t="inlineStr">
        <is>
          <t>R1292-v2</t>
        </is>
      </c>
      <c r="F801" s="23" t="inlineStr">
        <is>
          <t>1.3.2 Systems - Signalling &amp; Train Control</t>
        </is>
      </c>
      <c r="G801" s="23" t="inlineStr">
        <is>
          <t>ONE_TO_ONE</t>
        </is>
      </c>
      <c r="H801" s="23" t="inlineStr">
        <is>
          <t>RETAINED</t>
        </is>
      </c>
      <c r="I801" s="23" t="inlineStr">
        <is>
          <t>Carried forward</t>
        </is>
      </c>
      <c r="J801" s="23" t="inlineStr">
        <is>
          <t>Source assignment -- not individually reviewed</t>
        </is>
      </c>
      <c r="K801" s="23" t="inlineStr"/>
      <c r="L801" s="23" t="inlineStr"/>
      <c r="M801" s="23" t="inlineStr"/>
      <c r="N801" s="14" t="inlineStr">
        <is>
          <t>10 EVIDENCE &amp; DECISIONS</t>
        </is>
      </c>
    </row>
    <row r="802" ht="34" customHeight="1">
      <c r="A802" s="23" t="inlineStr">
        <is>
          <t>Cost &amp; Forecast Control Accounts</t>
        </is>
      </c>
      <c r="B802" s="23" t="inlineStr">
        <is>
          <t>CST-03-052</t>
        </is>
      </c>
      <c r="C802" s="23" t="inlineStr">
        <is>
          <t>Systems - systems integration - field package</t>
        </is>
      </c>
      <c r="D802" s="23" t="inlineStr">
        <is>
          <t>Cost Account = CA-3052; WBS Code = 1.3.2</t>
        </is>
      </c>
      <c r="E802" s="23" t="inlineStr">
        <is>
          <t>R1294-v2</t>
        </is>
      </c>
      <c r="F802" s="23" t="inlineStr">
        <is>
          <t>1.3.2 Systems - Signalling &amp; Train Control</t>
        </is>
      </c>
      <c r="G802" s="23" t="inlineStr">
        <is>
          <t>ONE_TO_ONE</t>
        </is>
      </c>
      <c r="H802" s="23" t="inlineStr">
        <is>
          <t>RETAINED</t>
        </is>
      </c>
      <c r="I802" s="23" t="inlineStr">
        <is>
          <t>Carried forward</t>
        </is>
      </c>
      <c r="J802" s="23" t="inlineStr">
        <is>
          <t>Source assignment -- not individually reviewed</t>
        </is>
      </c>
      <c r="K802" s="23" t="inlineStr"/>
      <c r="L802" s="23" t="inlineStr"/>
      <c r="M802" s="23" t="inlineStr"/>
      <c r="N802" s="14" t="inlineStr">
        <is>
          <t>10 EVIDENCE &amp; DECISIONS</t>
        </is>
      </c>
    </row>
    <row r="803" ht="34" customHeight="1">
      <c r="A803" s="23" t="inlineStr">
        <is>
          <t>Cost &amp; Forecast Control Accounts</t>
        </is>
      </c>
      <c r="B803" s="23" t="inlineStr">
        <is>
          <t>CST-03-054</t>
        </is>
      </c>
      <c r="C803" s="23" t="inlineStr">
        <is>
          <t>Systems - train control - professional services</t>
        </is>
      </c>
      <c r="D803" s="23" t="inlineStr">
        <is>
          <t>Cost Account = CA-3054; WBS Code = 1.3.2</t>
        </is>
      </c>
      <c r="E803" s="23" t="inlineStr">
        <is>
          <t>R1296-v2</t>
        </is>
      </c>
      <c r="F803" s="23" t="inlineStr">
        <is>
          <t>1.3.2 Systems - Signalling &amp; Train Control</t>
        </is>
      </c>
      <c r="G803" s="23" t="inlineStr">
        <is>
          <t>ONE_TO_ONE</t>
        </is>
      </c>
      <c r="H803" s="23" t="inlineStr">
        <is>
          <t>RETAINED</t>
        </is>
      </c>
      <c r="I803" s="23" t="inlineStr">
        <is>
          <t>Carried forward</t>
        </is>
      </c>
      <c r="J803" s="23" t="inlineStr">
        <is>
          <t>Source assignment -- not individually reviewed</t>
        </is>
      </c>
      <c r="K803" s="23" t="inlineStr"/>
      <c r="L803" s="23" t="inlineStr"/>
      <c r="M803" s="23" t="inlineStr"/>
      <c r="N803" s="14" t="inlineStr">
        <is>
          <t>10 EVIDENCE &amp; DECISIONS</t>
        </is>
      </c>
    </row>
    <row r="804" ht="34" customHeight="1">
      <c r="A804" s="23" t="inlineStr">
        <is>
          <t>Cost &amp; Forecast Control Accounts</t>
        </is>
      </c>
      <c r="B804" s="23" t="inlineStr">
        <is>
          <t>CST-03-056</t>
        </is>
      </c>
      <c r="C804" s="23" t="inlineStr">
        <is>
          <t>Systems - signalling - closeout</t>
        </is>
      </c>
      <c r="D804" s="23" t="inlineStr">
        <is>
          <t>Cost Account = CA-3056; WBS Code = 1.3.2</t>
        </is>
      </c>
      <c r="E804" s="23" t="inlineStr">
        <is>
          <t>R1298-v2</t>
        </is>
      </c>
      <c r="F804" s="23" t="inlineStr">
        <is>
          <t>1.3.2 Systems - Signalling &amp; Train Control</t>
        </is>
      </c>
      <c r="G804" s="23" t="inlineStr">
        <is>
          <t>ONE_TO_ONE</t>
        </is>
      </c>
      <c r="H804" s="23" t="inlineStr">
        <is>
          <t>RETAINED</t>
        </is>
      </c>
      <c r="I804" s="23" t="inlineStr">
        <is>
          <t>Carried forward</t>
        </is>
      </c>
      <c r="J804" s="23" t="inlineStr">
        <is>
          <t>Source assignment -- not individually reviewed</t>
        </is>
      </c>
      <c r="K804" s="23" t="inlineStr"/>
      <c r="L804" s="23" t="inlineStr"/>
      <c r="M804" s="23" t="inlineStr"/>
      <c r="N804" s="14" t="inlineStr">
        <is>
          <t>10 EVIDENCE &amp; DECISIONS</t>
        </is>
      </c>
    </row>
    <row r="805" ht="34" customHeight="1">
      <c r="A805" s="23" t="inlineStr">
        <is>
          <t>Cost &amp; Forecast Control Accounts</t>
        </is>
      </c>
      <c r="B805" s="23" t="inlineStr">
        <is>
          <t>CST-03-058</t>
        </is>
      </c>
      <c r="C805" s="23" t="inlineStr">
        <is>
          <t>Systems - systems integration - supply and install</t>
        </is>
      </c>
      <c r="D805" s="23" t="inlineStr">
        <is>
          <t>Cost Account = CA-3058; WBS Code = 1.3.2</t>
        </is>
      </c>
      <c r="E805" s="23" t="inlineStr">
        <is>
          <t>R1300-v2</t>
        </is>
      </c>
      <c r="F805" s="23" t="inlineStr">
        <is>
          <t>1.3.2 Systems - Signalling &amp; Train Control</t>
        </is>
      </c>
      <c r="G805" s="23" t="inlineStr">
        <is>
          <t>ONE_TO_ONE</t>
        </is>
      </c>
      <c r="H805" s="23" t="inlineStr">
        <is>
          <t>RETAINED</t>
        </is>
      </c>
      <c r="I805" s="23" t="inlineStr">
        <is>
          <t>Carried forward</t>
        </is>
      </c>
      <c r="J805" s="23" t="inlineStr">
        <is>
          <t>Source assignment -- not individually reviewed</t>
        </is>
      </c>
      <c r="K805" s="23" t="inlineStr"/>
      <c r="L805" s="23" t="inlineStr"/>
      <c r="M805" s="23" t="inlineStr"/>
      <c r="N805" s="14" t="inlineStr">
        <is>
          <t>10 EVIDENCE &amp; DECISIONS</t>
        </is>
      </c>
    </row>
    <row r="806" ht="34" customHeight="1">
      <c r="A806" s="23" t="inlineStr">
        <is>
          <t>Cost &amp; Forecast Control Accounts</t>
        </is>
      </c>
      <c r="B806" s="23" t="inlineStr">
        <is>
          <t>CST-03-060</t>
        </is>
      </c>
      <c r="C806" s="23" t="inlineStr">
        <is>
          <t>Systems - train control - allowance</t>
        </is>
      </c>
      <c r="D806" s="23" t="inlineStr">
        <is>
          <t>Cost Account = CA-3060; WBS Code = 1.3.2</t>
        </is>
      </c>
      <c r="E806" s="23" t="inlineStr">
        <is>
          <t>R1302-v2</t>
        </is>
      </c>
      <c r="F806" s="23" t="inlineStr">
        <is>
          <t>1.3.2 Systems - Signalling &amp; Train Control</t>
        </is>
      </c>
      <c r="G806" s="23" t="inlineStr">
        <is>
          <t>ONE_TO_ONE</t>
        </is>
      </c>
      <c r="H806" s="23" t="inlineStr">
        <is>
          <t>RETAINED</t>
        </is>
      </c>
      <c r="I806" s="23" t="inlineStr">
        <is>
          <t>Carried forward</t>
        </is>
      </c>
      <c r="J806" s="23" t="inlineStr">
        <is>
          <t>Source assignment -- not individually reviewed</t>
        </is>
      </c>
      <c r="K806" s="23" t="inlineStr"/>
      <c r="L806" s="23" t="inlineStr"/>
      <c r="M806" s="23" t="inlineStr"/>
      <c r="N806" s="14" t="inlineStr">
        <is>
          <t>10 EVIDENCE &amp; DECISIONS</t>
        </is>
      </c>
    </row>
    <row r="807" ht="34" customHeight="1">
      <c r="A807" s="23" t="inlineStr">
        <is>
          <t>Cost &amp; Forecast Control Accounts</t>
        </is>
      </c>
      <c r="B807" s="23" t="inlineStr">
        <is>
          <t>CST-03-062</t>
        </is>
      </c>
      <c r="C807" s="23" t="inlineStr">
        <is>
          <t>Systems - signalling - field package</t>
        </is>
      </c>
      <c r="D807" s="23" t="inlineStr">
        <is>
          <t>Cost Account = CA-3062; WBS Code = 1.3.2</t>
        </is>
      </c>
      <c r="E807" s="23" t="inlineStr">
        <is>
          <t>R1304-v2</t>
        </is>
      </c>
      <c r="F807" s="23" t="inlineStr">
        <is>
          <t>1.3.2 Systems - Signalling &amp; Train Control</t>
        </is>
      </c>
      <c r="G807" s="23" t="inlineStr">
        <is>
          <t>ONE_TO_ONE</t>
        </is>
      </c>
      <c r="H807" s="23" t="inlineStr">
        <is>
          <t>RETAINED</t>
        </is>
      </c>
      <c r="I807" s="23" t="inlineStr">
        <is>
          <t>Carried forward</t>
        </is>
      </c>
      <c r="J807" s="23" t="inlineStr">
        <is>
          <t>Source assignment -- not individually reviewed</t>
        </is>
      </c>
      <c r="K807" s="23" t="inlineStr"/>
      <c r="L807" s="23" t="inlineStr"/>
      <c r="M807" s="23" t="inlineStr"/>
      <c r="N807" s="14" t="inlineStr">
        <is>
          <t>10 EVIDENCE &amp; DECISIONS</t>
        </is>
      </c>
    </row>
    <row r="808" ht="34" customHeight="1">
      <c r="A808" s="23" t="inlineStr">
        <is>
          <t>Cost &amp; Forecast Control Accounts</t>
        </is>
      </c>
      <c r="B808" s="23" t="inlineStr">
        <is>
          <t>CST-03-064</t>
        </is>
      </c>
      <c r="C808" s="23" t="inlineStr">
        <is>
          <t>Systems - systems integration - professional services</t>
        </is>
      </c>
      <c r="D808" s="23" t="inlineStr">
        <is>
          <t>Cost Account = CA-3064; WBS Code = 1.3.2</t>
        </is>
      </c>
      <c r="E808" s="23" t="inlineStr">
        <is>
          <t>R1306-v2</t>
        </is>
      </c>
      <c r="F808" s="23" t="inlineStr">
        <is>
          <t>1.3.2 Systems - Signalling &amp; Train Control</t>
        </is>
      </c>
      <c r="G808" s="23" t="inlineStr">
        <is>
          <t>ONE_TO_ONE</t>
        </is>
      </c>
      <c r="H808" s="23" t="inlineStr">
        <is>
          <t>RETAINED</t>
        </is>
      </c>
      <c r="I808" s="23" t="inlineStr">
        <is>
          <t>Carried forward</t>
        </is>
      </c>
      <c r="J808" s="23" t="inlineStr">
        <is>
          <t>Source assignment -- not individually reviewed</t>
        </is>
      </c>
      <c r="K808" s="23" t="inlineStr"/>
      <c r="L808" s="23" t="inlineStr"/>
      <c r="M808" s="23" t="inlineStr"/>
      <c r="N808" s="14" t="inlineStr">
        <is>
          <t>10 EVIDENCE &amp; DECISIONS</t>
        </is>
      </c>
    </row>
    <row r="809" ht="34" customHeight="1">
      <c r="A809" s="23" t="inlineStr">
        <is>
          <t>Cost &amp; Forecast Control Accounts</t>
        </is>
      </c>
      <c r="B809" s="23" t="inlineStr">
        <is>
          <t>CST-03-066</t>
        </is>
      </c>
      <c r="C809" s="23" t="inlineStr">
        <is>
          <t>Systems - train control - closeout</t>
        </is>
      </c>
      <c r="D809" s="23" t="inlineStr">
        <is>
          <t>Cost Account = CA-3066; WBS Code = 1.3.2</t>
        </is>
      </c>
      <c r="E809" s="23" t="inlineStr">
        <is>
          <t>R1308-v2</t>
        </is>
      </c>
      <c r="F809" s="23" t="inlineStr">
        <is>
          <t>1.3.2 Systems - Signalling &amp; Train Control</t>
        </is>
      </c>
      <c r="G809" s="23" t="inlineStr">
        <is>
          <t>ONE_TO_ONE</t>
        </is>
      </c>
      <c r="H809" s="23" t="inlineStr">
        <is>
          <t>RETAINED</t>
        </is>
      </c>
      <c r="I809" s="23" t="inlineStr">
        <is>
          <t>Carried forward</t>
        </is>
      </c>
      <c r="J809" s="23" t="inlineStr">
        <is>
          <t>Source assignment -- not individually reviewed</t>
        </is>
      </c>
      <c r="K809" s="23" t="inlineStr"/>
      <c r="L809" s="23" t="inlineStr"/>
      <c r="M809" s="23" t="inlineStr"/>
      <c r="N809" s="14" t="inlineStr">
        <is>
          <t>10 EVIDENCE &amp; DECISIONS</t>
        </is>
      </c>
    </row>
    <row r="810" ht="34" customHeight="1">
      <c r="A810" s="23" t="inlineStr">
        <is>
          <t>Cost &amp; Forecast Control Accounts</t>
        </is>
      </c>
      <c r="B810" s="23" t="inlineStr">
        <is>
          <t>CST-03-068</t>
        </is>
      </c>
      <c r="C810" s="23" t="inlineStr">
        <is>
          <t>Systems - signalling - supply and install</t>
        </is>
      </c>
      <c r="D810" s="23" t="inlineStr">
        <is>
          <t>Cost Account = CA-3068; WBS Code = 1.3.2</t>
        </is>
      </c>
      <c r="E810" s="23" t="inlineStr">
        <is>
          <t>R1310-v2</t>
        </is>
      </c>
      <c r="F810" s="23" t="inlineStr">
        <is>
          <t>1.3.2 Systems - Signalling &amp; Train Control</t>
        </is>
      </c>
      <c r="G810" s="23" t="inlineStr">
        <is>
          <t>ONE_TO_ONE</t>
        </is>
      </c>
      <c r="H810" s="23" t="inlineStr">
        <is>
          <t>RETAINED</t>
        </is>
      </c>
      <c r="I810" s="23" t="inlineStr">
        <is>
          <t>Carried forward</t>
        </is>
      </c>
      <c r="J810" s="23" t="inlineStr">
        <is>
          <t>Source assignment -- not individually reviewed</t>
        </is>
      </c>
      <c r="K810" s="23" t="inlineStr"/>
      <c r="L810" s="23" t="inlineStr"/>
      <c r="M810" s="23" t="inlineStr"/>
      <c r="N810" s="14" t="inlineStr">
        <is>
          <t>10 EVIDENCE &amp; DECISIONS</t>
        </is>
      </c>
    </row>
    <row r="811" ht="34" customHeight="1">
      <c r="A811" s="23" t="inlineStr">
        <is>
          <t>Cost &amp; Forecast Control Accounts</t>
        </is>
      </c>
      <c r="B811" s="23" t="inlineStr">
        <is>
          <t>CST-03-070</t>
        </is>
      </c>
      <c r="C811" s="23" t="inlineStr">
        <is>
          <t>Systems - systems integration - allowance</t>
        </is>
      </c>
      <c r="D811" s="23" t="inlineStr">
        <is>
          <t>Cost Account = CA-3070; WBS Code = 1.3.2</t>
        </is>
      </c>
      <c r="E811" s="23" t="inlineStr">
        <is>
          <t>R1312-v2</t>
        </is>
      </c>
      <c r="F811" s="23" t="inlineStr">
        <is>
          <t>1.3.2 Systems - Signalling &amp; Train Control</t>
        </is>
      </c>
      <c r="G811" s="23" t="inlineStr">
        <is>
          <t>ONE_TO_ONE</t>
        </is>
      </c>
      <c r="H811" s="23" t="inlineStr">
        <is>
          <t>RETAINED</t>
        </is>
      </c>
      <c r="I811" s="23" t="inlineStr">
        <is>
          <t>Carried forward</t>
        </is>
      </c>
      <c r="J811" s="23" t="inlineStr">
        <is>
          <t>Source assignment -- not individually reviewed</t>
        </is>
      </c>
      <c r="K811" s="23" t="inlineStr"/>
      <c r="L811" s="23" t="inlineStr"/>
      <c r="M811" s="23" t="inlineStr"/>
      <c r="N811" s="14" t="inlineStr">
        <is>
          <t>10 EVIDENCE &amp; DECISIONS</t>
        </is>
      </c>
    </row>
    <row r="812" ht="34" customHeight="1">
      <c r="A812" s="23" t="inlineStr">
        <is>
          <t>Cost &amp; Forecast Control Accounts</t>
        </is>
      </c>
      <c r="B812" s="23" t="inlineStr">
        <is>
          <t>CST-03-072</t>
        </is>
      </c>
      <c r="C812" s="23" t="inlineStr">
        <is>
          <t>Systems - train control - field package</t>
        </is>
      </c>
      <c r="D812" s="23" t="inlineStr">
        <is>
          <t>Cost Account = CA-3072; WBS Code = 1.3.2</t>
        </is>
      </c>
      <c r="E812" s="23" t="inlineStr">
        <is>
          <t>R1314-v2</t>
        </is>
      </c>
      <c r="F812" s="23" t="inlineStr">
        <is>
          <t>1.3.2 Systems - Signalling &amp; Train Control</t>
        </is>
      </c>
      <c r="G812" s="23" t="inlineStr">
        <is>
          <t>ONE_TO_ONE</t>
        </is>
      </c>
      <c r="H812" s="23" t="inlineStr">
        <is>
          <t>RETAINED</t>
        </is>
      </c>
      <c r="I812" s="23" t="inlineStr">
        <is>
          <t>Carried forward</t>
        </is>
      </c>
      <c r="J812" s="23" t="inlineStr">
        <is>
          <t>Source assignment -- not individually reviewed</t>
        </is>
      </c>
      <c r="K812" s="23" t="inlineStr"/>
      <c r="L812" s="23" t="inlineStr"/>
      <c r="M812" s="23" t="inlineStr"/>
      <c r="N812" s="14" t="inlineStr">
        <is>
          <t>10 EVIDENCE &amp; DECISIONS</t>
        </is>
      </c>
    </row>
    <row r="813" ht="34" customHeight="1">
      <c r="A813" s="23" t="inlineStr">
        <is>
          <t>Cost &amp; Forecast Control Accounts</t>
        </is>
      </c>
      <c r="B813" s="23" t="inlineStr">
        <is>
          <t>CST-03-074</t>
        </is>
      </c>
      <c r="C813" s="23" t="inlineStr">
        <is>
          <t>Systems - signalling - professional services</t>
        </is>
      </c>
      <c r="D813" s="23" t="inlineStr">
        <is>
          <t>Cost Account = CA-3074; WBS Code = 1.3.2</t>
        </is>
      </c>
      <c r="E813" s="23" t="inlineStr">
        <is>
          <t>R1316-v2</t>
        </is>
      </c>
      <c r="F813" s="23" t="inlineStr">
        <is>
          <t>1.3.2 Systems - Signalling &amp; Train Control</t>
        </is>
      </c>
      <c r="G813" s="23" t="inlineStr">
        <is>
          <t>ONE_TO_ONE</t>
        </is>
      </c>
      <c r="H813" s="23" t="inlineStr">
        <is>
          <t>RETAINED</t>
        </is>
      </c>
      <c r="I813" s="23" t="inlineStr">
        <is>
          <t>Carried forward</t>
        </is>
      </c>
      <c r="J813" s="23" t="inlineStr">
        <is>
          <t>Source assignment -- not individually reviewed</t>
        </is>
      </c>
      <c r="K813" s="23" t="inlineStr"/>
      <c r="L813" s="23" t="inlineStr"/>
      <c r="M813" s="23" t="inlineStr"/>
      <c r="N813" s="14" t="inlineStr">
        <is>
          <t>10 EVIDENCE &amp; DECISIONS</t>
        </is>
      </c>
    </row>
    <row r="814" ht="34" customHeight="1">
      <c r="A814" s="23" t="inlineStr">
        <is>
          <t>Cost &amp; Forecast Control Accounts</t>
        </is>
      </c>
      <c r="B814" s="23" t="inlineStr">
        <is>
          <t>CST-03-076</t>
        </is>
      </c>
      <c r="C814" s="23" t="inlineStr">
        <is>
          <t>Systems - systems integration - closeout</t>
        </is>
      </c>
      <c r="D814" s="23" t="inlineStr">
        <is>
          <t>Cost Account = CA-3076; WBS Code = 1.3.2</t>
        </is>
      </c>
      <c r="E814" s="23" t="inlineStr">
        <is>
          <t>R1318-v2</t>
        </is>
      </c>
      <c r="F814" s="23" t="inlineStr">
        <is>
          <t>1.3.2 Systems - Signalling &amp; Train Control</t>
        </is>
      </c>
      <c r="G814" s="23" t="inlineStr">
        <is>
          <t>ONE_TO_ONE</t>
        </is>
      </c>
      <c r="H814" s="23" t="inlineStr">
        <is>
          <t>RETAINED</t>
        </is>
      </c>
      <c r="I814" s="23" t="inlineStr">
        <is>
          <t>Carried forward</t>
        </is>
      </c>
      <c r="J814" s="23" t="inlineStr">
        <is>
          <t>Source assignment -- not individually reviewed</t>
        </is>
      </c>
      <c r="K814" s="23" t="inlineStr"/>
      <c r="L814" s="23" t="inlineStr"/>
      <c r="M814" s="23" t="inlineStr"/>
      <c r="N814" s="14" t="inlineStr">
        <is>
          <t>10 EVIDENCE &amp; DECISIONS</t>
        </is>
      </c>
    </row>
    <row r="815" ht="34" customHeight="1">
      <c r="A815" s="23" t="inlineStr">
        <is>
          <t>Cost &amp; Forecast Control Accounts</t>
        </is>
      </c>
      <c r="B815" s="23" t="inlineStr">
        <is>
          <t>CST-03-078</t>
        </is>
      </c>
      <c r="C815" s="23" t="inlineStr">
        <is>
          <t>Systems - train control - supply and install</t>
        </is>
      </c>
      <c r="D815" s="23" t="inlineStr">
        <is>
          <t>Cost Account = CA-3078; WBS Code = 1.3.2</t>
        </is>
      </c>
      <c r="E815" s="23" t="inlineStr">
        <is>
          <t>R1320-v2</t>
        </is>
      </c>
      <c r="F815" s="23" t="inlineStr">
        <is>
          <t>1.3.2 Systems - Signalling &amp; Train Control</t>
        </is>
      </c>
      <c r="G815" s="23" t="inlineStr">
        <is>
          <t>ONE_TO_ONE</t>
        </is>
      </c>
      <c r="H815" s="23" t="inlineStr">
        <is>
          <t>RETAINED</t>
        </is>
      </c>
      <c r="I815" s="23" t="inlineStr">
        <is>
          <t>Carried forward</t>
        </is>
      </c>
      <c r="J815" s="23" t="inlineStr">
        <is>
          <t>Source assignment -- not individually reviewed</t>
        </is>
      </c>
      <c r="K815" s="23" t="inlineStr"/>
      <c r="L815" s="23" t="inlineStr"/>
      <c r="M815" s="23" t="inlineStr"/>
      <c r="N815" s="14" t="inlineStr">
        <is>
          <t>10 EVIDENCE &amp; DECISIONS</t>
        </is>
      </c>
    </row>
    <row r="816" ht="34" customHeight="1">
      <c r="A816" s="23" t="inlineStr">
        <is>
          <t>Cost &amp; Forecast Control Accounts</t>
        </is>
      </c>
      <c r="B816" s="23" t="inlineStr">
        <is>
          <t>CST-03-080</t>
        </is>
      </c>
      <c r="C816" s="23" t="inlineStr">
        <is>
          <t>Systems - signalling - allowance</t>
        </is>
      </c>
      <c r="D816" s="23" t="inlineStr">
        <is>
          <t>Cost Account = CA-3080; WBS Code = 1.3.2</t>
        </is>
      </c>
      <c r="E816" s="23" t="inlineStr">
        <is>
          <t>R1322-v2</t>
        </is>
      </c>
      <c r="F816" s="23" t="inlineStr">
        <is>
          <t>1.3.2 Systems - Signalling &amp; Train Control</t>
        </is>
      </c>
      <c r="G816" s="23" t="inlineStr">
        <is>
          <t>ONE_TO_ONE</t>
        </is>
      </c>
      <c r="H816" s="23" t="inlineStr">
        <is>
          <t>RETAINED</t>
        </is>
      </c>
      <c r="I816" s="23" t="inlineStr">
        <is>
          <t>Carried forward</t>
        </is>
      </c>
      <c r="J816" s="23" t="inlineStr">
        <is>
          <t>Source assignment -- not individually reviewed</t>
        </is>
      </c>
      <c r="K816" s="23" t="inlineStr"/>
      <c r="L816" s="23" t="inlineStr"/>
      <c r="M816" s="23" t="inlineStr"/>
      <c r="N816" s="14" t="inlineStr">
        <is>
          <t>10 EVIDENCE &amp; DECISIONS</t>
        </is>
      </c>
    </row>
    <row r="817" ht="34" customHeight="1">
      <c r="A817" s="23" t="inlineStr">
        <is>
          <t>Commercial Package Register</t>
        </is>
      </c>
      <c r="B817" s="23" t="inlineStr">
        <is>
          <t>PKG-031</t>
        </is>
      </c>
      <c r="C817" s="23" t="inlineStr">
        <is>
          <t>Fleet Supply</t>
        </is>
      </c>
      <c r="D817" s="23" t="inlineStr">
        <is>
          <t>Package Code = PK-401; WBS Code = 1.4</t>
        </is>
      </c>
      <c r="E817" s="23" t="inlineStr">
        <is>
          <t>R1593-v2</t>
        </is>
      </c>
      <c r="F817" s="23" t="inlineStr">
        <is>
          <t>1.4 Vehicles and Depot</t>
        </is>
      </c>
      <c r="G817" s="23" t="inlineStr">
        <is>
          <t>ONE_TO_ONE</t>
        </is>
      </c>
      <c r="H817" s="23" t="inlineStr">
        <is>
          <t>RETAINED</t>
        </is>
      </c>
      <c r="I817" s="23" t="inlineStr">
        <is>
          <t>Carried forward</t>
        </is>
      </c>
      <c r="J817" s="23" t="inlineStr">
        <is>
          <t>Source assignment -- not individually reviewed</t>
        </is>
      </c>
      <c r="K817" s="23" t="inlineStr"/>
      <c r="L817" s="23" t="inlineStr"/>
      <c r="M817" s="23" t="inlineStr"/>
      <c r="N817" s="14" t="inlineStr">
        <is>
          <t>10 EVIDENCE &amp; DECISIONS</t>
        </is>
      </c>
    </row>
    <row r="818" ht="34" customHeight="1">
      <c r="A818" s="23" t="inlineStr">
        <is>
          <t>Commercial Package Register</t>
        </is>
      </c>
      <c r="B818" s="23" t="inlineStr">
        <is>
          <t>PKG-032</t>
        </is>
      </c>
      <c r="C818" s="23" t="inlineStr">
        <is>
          <t>Depot Buildings</t>
        </is>
      </c>
      <c r="D818" s="23" t="inlineStr">
        <is>
          <t>Package Code = PK-402; WBS Code = 1.4</t>
        </is>
      </c>
      <c r="E818" s="23" t="inlineStr">
        <is>
          <t>R1594-v2</t>
        </is>
      </c>
      <c r="F818" s="23" t="inlineStr">
        <is>
          <t>1.4 Vehicles and Depot</t>
        </is>
      </c>
      <c r="G818" s="23" t="inlineStr">
        <is>
          <t>ONE_TO_ONE</t>
        </is>
      </c>
      <c r="H818" s="23" t="inlineStr">
        <is>
          <t>RETAINED</t>
        </is>
      </c>
      <c r="I818" s="23" t="inlineStr">
        <is>
          <t>Carried forward</t>
        </is>
      </c>
      <c r="J818" s="23" t="inlineStr">
        <is>
          <t>Source assignment -- not individually reviewed</t>
        </is>
      </c>
      <c r="K818" s="23" t="inlineStr"/>
      <c r="L818" s="23" t="inlineStr"/>
      <c r="M818" s="23" t="inlineStr"/>
      <c r="N818" s="14" t="inlineStr">
        <is>
          <t>10 EVIDENCE &amp; DECISIONS</t>
        </is>
      </c>
    </row>
    <row r="819" ht="34" customHeight="1">
      <c r="A819" s="23" t="inlineStr">
        <is>
          <t>Commercial Package Register</t>
        </is>
      </c>
      <c r="B819" s="23" t="inlineStr">
        <is>
          <t>PKG-033</t>
        </is>
      </c>
      <c r="C819" s="23" t="inlineStr">
        <is>
          <t>Workshop Equipment</t>
        </is>
      </c>
      <c r="D819" s="23" t="inlineStr">
        <is>
          <t>Package Code = PK-403; WBS Code = 1.4</t>
        </is>
      </c>
      <c r="E819" s="23" t="inlineStr">
        <is>
          <t>R1595-v2</t>
        </is>
      </c>
      <c r="F819" s="23" t="inlineStr">
        <is>
          <t>1.4 Vehicles and Depot</t>
        </is>
      </c>
      <c r="G819" s="23" t="inlineStr">
        <is>
          <t>ONE_TO_ONE</t>
        </is>
      </c>
      <c r="H819" s="23" t="inlineStr">
        <is>
          <t>RETAINED</t>
        </is>
      </c>
      <c r="I819" s="23" t="inlineStr">
        <is>
          <t>Carried forward</t>
        </is>
      </c>
      <c r="J819" s="23" t="inlineStr">
        <is>
          <t>Source assignment -- not individually reviewed</t>
        </is>
      </c>
      <c r="K819" s="23" t="inlineStr"/>
      <c r="L819" s="23" t="inlineStr"/>
      <c r="M819" s="23" t="inlineStr"/>
      <c r="N819" s="14" t="inlineStr">
        <is>
          <t>10 EVIDENCE &amp; DECISIONS</t>
        </is>
      </c>
    </row>
    <row r="820" ht="34" customHeight="1">
      <c r="A820" s="23" t="inlineStr">
        <is>
          <t>Commercial Package Register</t>
        </is>
      </c>
      <c r="B820" s="23" t="inlineStr">
        <is>
          <t>PKG-034</t>
        </is>
      </c>
      <c r="C820" s="23" t="inlineStr">
        <is>
          <t>Vehicle Integration</t>
        </is>
      </c>
      <c r="D820" s="23" t="inlineStr">
        <is>
          <t>Package Code = PK-404; WBS Code = 1.4</t>
        </is>
      </c>
      <c r="E820" s="23" t="inlineStr">
        <is>
          <t>R1596-v2</t>
        </is>
      </c>
      <c r="F820" s="23" t="inlineStr">
        <is>
          <t>1.4 Vehicles and Depot</t>
        </is>
      </c>
      <c r="G820" s="23" t="inlineStr">
        <is>
          <t>ONE_TO_ONE</t>
        </is>
      </c>
      <c r="H820" s="23" t="inlineStr">
        <is>
          <t>RETAINED</t>
        </is>
      </c>
      <c r="I820" s="23" t="inlineStr">
        <is>
          <t>Carried forward</t>
        </is>
      </c>
      <c r="J820" s="23" t="inlineStr">
        <is>
          <t>Source assignment -- not individually reviewed</t>
        </is>
      </c>
      <c r="K820" s="23" t="inlineStr"/>
      <c r="L820" s="23" t="inlineStr"/>
      <c r="M820" s="23" t="inlineStr"/>
      <c r="N820" s="14" t="inlineStr">
        <is>
          <t>10 EVIDENCE &amp; DECISIONS</t>
        </is>
      </c>
    </row>
    <row r="821" ht="34" customHeight="1">
      <c r="A821" s="23" t="inlineStr">
        <is>
          <t>Commercial Package Register</t>
        </is>
      </c>
      <c r="B821" s="23" t="inlineStr">
        <is>
          <t>PKG-035</t>
        </is>
      </c>
      <c r="C821" s="23" t="inlineStr">
        <is>
          <t>Fleet Supply - Lot 2</t>
        </is>
      </c>
      <c r="D821" s="23" t="inlineStr">
        <is>
          <t>Package Code = PK-405; WBS Code = 1.4</t>
        </is>
      </c>
      <c r="E821" s="23" t="inlineStr">
        <is>
          <t>R1597-v2</t>
        </is>
      </c>
      <c r="F821" s="23" t="inlineStr">
        <is>
          <t>1.4 Vehicles and Depot</t>
        </is>
      </c>
      <c r="G821" s="23" t="inlineStr">
        <is>
          <t>ONE_TO_ONE</t>
        </is>
      </c>
      <c r="H821" s="23" t="inlineStr">
        <is>
          <t>RETAINED</t>
        </is>
      </c>
      <c r="I821" s="23" t="inlineStr">
        <is>
          <t>Carried forward</t>
        </is>
      </c>
      <c r="J821" s="23" t="inlineStr">
        <is>
          <t>Source assignment -- not individually reviewed</t>
        </is>
      </c>
      <c r="K821" s="23" t="inlineStr"/>
      <c r="L821" s="23" t="inlineStr"/>
      <c r="M821" s="23" t="inlineStr"/>
      <c r="N821" s="14" t="inlineStr">
        <is>
          <t>10 EVIDENCE &amp; DECISIONS</t>
        </is>
      </c>
    </row>
    <row r="822" ht="34" customHeight="1">
      <c r="A822" s="23" t="inlineStr">
        <is>
          <t>Commercial Package Register</t>
        </is>
      </c>
      <c r="B822" s="23" t="inlineStr">
        <is>
          <t>PKG-036</t>
        </is>
      </c>
      <c r="C822" s="23" t="inlineStr">
        <is>
          <t>Depot Buildings - Lot 2</t>
        </is>
      </c>
      <c r="D822" s="23" t="inlineStr">
        <is>
          <t>Package Code = PK-406; WBS Code = 1.4</t>
        </is>
      </c>
      <c r="E822" s="23" t="inlineStr">
        <is>
          <t>R1598-v2</t>
        </is>
      </c>
      <c r="F822" s="23" t="inlineStr">
        <is>
          <t>1.4 Vehicles and Depot</t>
        </is>
      </c>
      <c r="G822" s="23" t="inlineStr">
        <is>
          <t>ONE_TO_ONE</t>
        </is>
      </c>
      <c r="H822" s="23" t="inlineStr">
        <is>
          <t>RETAINED</t>
        </is>
      </c>
      <c r="I822" s="23" t="inlineStr">
        <is>
          <t>Carried forward</t>
        </is>
      </c>
      <c r="J822" s="23" t="inlineStr">
        <is>
          <t>Source assignment -- not individually reviewed</t>
        </is>
      </c>
      <c r="K822" s="23" t="inlineStr"/>
      <c r="L822" s="23" t="inlineStr"/>
      <c r="M822" s="23" t="inlineStr"/>
      <c r="N822" s="14" t="inlineStr">
        <is>
          <t>10 EVIDENCE &amp; DECISIONS</t>
        </is>
      </c>
    </row>
    <row r="823" ht="34" customHeight="1">
      <c r="A823" s="23" t="inlineStr">
        <is>
          <t>Commercial Package Register</t>
        </is>
      </c>
      <c r="B823" s="23" t="inlineStr">
        <is>
          <t>PKG-037</t>
        </is>
      </c>
      <c r="C823" s="23" t="inlineStr">
        <is>
          <t>Workshop Equipment - Lot 2</t>
        </is>
      </c>
      <c r="D823" s="23" t="inlineStr">
        <is>
          <t>Package Code = PK-407; WBS Code = 1.4</t>
        </is>
      </c>
      <c r="E823" s="23" t="inlineStr">
        <is>
          <t>R1599-v2</t>
        </is>
      </c>
      <c r="F823" s="23" t="inlineStr">
        <is>
          <t>1.4 Vehicles and Depot</t>
        </is>
      </c>
      <c r="G823" s="23" t="inlineStr">
        <is>
          <t>ONE_TO_ONE</t>
        </is>
      </c>
      <c r="H823" s="23" t="inlineStr">
        <is>
          <t>RETAINED</t>
        </is>
      </c>
      <c r="I823" s="23" t="inlineStr">
        <is>
          <t>Carried forward</t>
        </is>
      </c>
      <c r="J823" s="23" t="inlineStr">
        <is>
          <t>Source assignment -- not individually reviewed</t>
        </is>
      </c>
      <c r="K823" s="23" t="inlineStr"/>
      <c r="L823" s="23" t="inlineStr"/>
      <c r="M823" s="23" t="inlineStr"/>
      <c r="N823" s="14" t="inlineStr">
        <is>
          <t>10 EVIDENCE &amp; DECISIONS</t>
        </is>
      </c>
    </row>
    <row r="824" ht="34" customHeight="1">
      <c r="A824" s="23" t="inlineStr">
        <is>
          <t>Commercial Package Register</t>
        </is>
      </c>
      <c r="B824" s="23" t="inlineStr">
        <is>
          <t>PKG-038</t>
        </is>
      </c>
      <c r="C824" s="23" t="inlineStr">
        <is>
          <t>Vehicle Integration - Lot 2</t>
        </is>
      </c>
      <c r="D824" s="23" t="inlineStr">
        <is>
          <t>Package Code = PK-408; WBS Code = 1.4</t>
        </is>
      </c>
      <c r="E824" s="23" t="inlineStr">
        <is>
          <t>R1600-v2</t>
        </is>
      </c>
      <c r="F824" s="23" t="inlineStr">
        <is>
          <t>1.4 Vehicles and Depot</t>
        </is>
      </c>
      <c r="G824" s="23" t="inlineStr">
        <is>
          <t>ONE_TO_ONE</t>
        </is>
      </c>
      <c r="H824" s="23" t="inlineStr">
        <is>
          <t>RETAINED</t>
        </is>
      </c>
      <c r="I824" s="23" t="inlineStr">
        <is>
          <t>Carried forward</t>
        </is>
      </c>
      <c r="J824" s="23" t="inlineStr">
        <is>
          <t>Source assignment -- not individually reviewed</t>
        </is>
      </c>
      <c r="K824" s="23" t="inlineStr"/>
      <c r="L824" s="23" t="inlineStr"/>
      <c r="M824" s="23" t="inlineStr"/>
      <c r="N824" s="14" t="inlineStr">
        <is>
          <t>10 EVIDENCE &amp; DECISIONS</t>
        </is>
      </c>
    </row>
    <row r="825" ht="34" customHeight="1">
      <c r="A825" s="23" t="inlineStr">
        <is>
          <t>Commercial Package Register</t>
        </is>
      </c>
      <c r="B825" s="23" t="inlineStr">
        <is>
          <t>PKG-039</t>
        </is>
      </c>
      <c r="C825" s="23" t="inlineStr">
        <is>
          <t>Fleet Supply - Lot 3</t>
        </is>
      </c>
      <c r="D825" s="23" t="inlineStr">
        <is>
          <t>Package Code = PK-409; WBS Code = 1.4</t>
        </is>
      </c>
      <c r="E825" s="23" t="inlineStr">
        <is>
          <t>R1601-v2</t>
        </is>
      </c>
      <c r="F825" s="23" t="inlineStr">
        <is>
          <t>1.4 Vehicles and Depot</t>
        </is>
      </c>
      <c r="G825" s="23" t="inlineStr">
        <is>
          <t>ONE_TO_ONE</t>
        </is>
      </c>
      <c r="H825" s="23" t="inlineStr">
        <is>
          <t>RETAINED</t>
        </is>
      </c>
      <c r="I825" s="23" t="inlineStr">
        <is>
          <t>Carried forward</t>
        </is>
      </c>
      <c r="J825" s="23" t="inlineStr">
        <is>
          <t>Source assignment -- not individually reviewed</t>
        </is>
      </c>
      <c r="K825" s="23" t="inlineStr"/>
      <c r="L825" s="23" t="inlineStr"/>
      <c r="M825" s="23" t="inlineStr"/>
      <c r="N825" s="14" t="inlineStr">
        <is>
          <t>10 EVIDENCE &amp; DECISIONS</t>
        </is>
      </c>
    </row>
    <row r="826" ht="34" customHeight="1">
      <c r="A826" s="23" t="inlineStr">
        <is>
          <t>Commercial Package Register</t>
        </is>
      </c>
      <c r="B826" s="23" t="inlineStr">
        <is>
          <t>PKG-040</t>
        </is>
      </c>
      <c r="C826" s="23" t="inlineStr">
        <is>
          <t>Depot Buildings - Lot 3</t>
        </is>
      </c>
      <c r="D826" s="23" t="inlineStr">
        <is>
          <t>Package Code = PK-410; WBS Code = 1.4</t>
        </is>
      </c>
      <c r="E826" s="23" t="inlineStr">
        <is>
          <t>R1602-v2</t>
        </is>
      </c>
      <c r="F826" s="23" t="inlineStr">
        <is>
          <t>1.4 Vehicles and Depot</t>
        </is>
      </c>
      <c r="G826" s="23" t="inlineStr">
        <is>
          <t>ONE_TO_ONE</t>
        </is>
      </c>
      <c r="H826" s="23" t="inlineStr">
        <is>
          <t>RETAINED</t>
        </is>
      </c>
      <c r="I826" s="23" t="inlineStr">
        <is>
          <t>Carried forward</t>
        </is>
      </c>
      <c r="J826" s="23" t="inlineStr">
        <is>
          <t>Source assignment -- not individually reviewed</t>
        </is>
      </c>
      <c r="K826" s="23" t="inlineStr"/>
      <c r="L826" s="23" t="inlineStr"/>
      <c r="M826" s="23" t="inlineStr"/>
      <c r="N826" s="14" t="inlineStr">
        <is>
          <t>10 EVIDENCE &amp; DECISIONS</t>
        </is>
      </c>
    </row>
    <row r="827" ht="34" customHeight="1">
      <c r="A827" s="23" t="inlineStr">
        <is>
          <t>Contractor Programme</t>
        </is>
      </c>
      <c r="B827" s="23" t="inlineStr">
        <is>
          <t>SCH-04-001</t>
        </is>
      </c>
      <c r="C827" s="23" t="inlineStr">
        <is>
          <t>Test track: vehicle-to-depot interface check - release</t>
        </is>
      </c>
      <c r="D827" s="23" t="inlineStr">
        <is>
          <t>WBS Code = 1.4.1</t>
        </is>
      </c>
      <c r="E827" s="23" t="inlineStr">
        <is>
          <t>R541-v2</t>
        </is>
      </c>
      <c r="F827" s="23" t="inlineStr">
        <is>
          <t>1.4.1 Vehicles and Depot - Fleet Supply</t>
        </is>
      </c>
      <c r="G827" s="23" t="inlineStr">
        <is>
          <t>ONE_TO_ONE</t>
        </is>
      </c>
      <c r="H827" s="23" t="inlineStr">
        <is>
          <t>RETAINED</t>
        </is>
      </c>
      <c r="I827" s="23" t="inlineStr">
        <is>
          <t>Carried forward</t>
        </is>
      </c>
      <c r="J827" s="23" t="inlineStr">
        <is>
          <t>Source assignment -- not individually reviewed</t>
        </is>
      </c>
      <c r="K827" s="23" t="inlineStr"/>
      <c r="L827" s="23" t="inlineStr"/>
      <c r="M827" s="23" t="inlineStr"/>
      <c r="N827" s="14" t="inlineStr">
        <is>
          <t>10 EVIDENCE &amp; DECISIONS</t>
        </is>
      </c>
    </row>
    <row r="828" ht="34" customHeight="1">
      <c r="A828" s="23" t="inlineStr">
        <is>
          <t>Contractor Programme</t>
        </is>
      </c>
      <c r="B828" s="23" t="inlineStr">
        <is>
          <t>SCH-04-002</t>
        </is>
      </c>
      <c r="C828" s="23" t="inlineStr">
        <is>
          <t>Receiving track: wheel-lathe installation - field start</t>
        </is>
      </c>
      <c r="D828" s="23" t="inlineStr">
        <is>
          <t>WBS Code = 1.4.1</t>
        </is>
      </c>
      <c r="E828" s="23" t="inlineStr">
        <is>
          <t>R542-v2</t>
        </is>
      </c>
      <c r="F828" s="23" t="inlineStr">
        <is>
          <t>1.4.1 Vehicles and Depot - Fleet Supply</t>
        </is>
      </c>
      <c r="G828" s="23" t="inlineStr">
        <is>
          <t>ONE_TO_ONE</t>
        </is>
      </c>
      <c r="H828" s="23" t="inlineStr">
        <is>
          <t>RETAINED</t>
        </is>
      </c>
      <c r="I828" s="23" t="inlineStr">
        <is>
          <t>Carried forward</t>
        </is>
      </c>
      <c r="J828" s="23" t="inlineStr">
        <is>
          <t>Source assignment -- not individually reviewed</t>
        </is>
      </c>
      <c r="K828" s="23" t="inlineStr"/>
      <c r="L828" s="23" t="inlineStr"/>
      <c r="M828" s="23" t="inlineStr"/>
      <c r="N828" s="14" t="inlineStr">
        <is>
          <t>10 EVIDENCE &amp; DECISIONS</t>
        </is>
      </c>
    </row>
    <row r="829" ht="34" customHeight="1">
      <c r="A829" s="23" t="inlineStr">
        <is>
          <t>Contractor Programme</t>
        </is>
      </c>
      <c r="B829" s="23" t="inlineStr">
        <is>
          <t>SCH-04-004</t>
        </is>
      </c>
      <c r="C829" s="23" t="inlineStr">
        <is>
          <t>Storage yard: vehicle delivery inspection - inspection</t>
        </is>
      </c>
      <c r="D829" s="23" t="inlineStr">
        <is>
          <t>WBS Code = 1.4.1</t>
        </is>
      </c>
      <c r="E829" s="23" t="inlineStr">
        <is>
          <t>R544-v2</t>
        </is>
      </c>
      <c r="F829" s="23" t="inlineStr">
        <is>
          <t>1.4.1 Vehicles and Depot - Fleet Supply</t>
        </is>
      </c>
      <c r="G829" s="23" t="inlineStr">
        <is>
          <t>ONE_TO_ONE</t>
        </is>
      </c>
      <c r="H829" s="23" t="inlineStr">
        <is>
          <t>RETAINED</t>
        </is>
      </c>
      <c r="I829" s="23" t="inlineStr">
        <is>
          <t>Carried forward</t>
        </is>
      </c>
      <c r="J829" s="23" t="inlineStr">
        <is>
          <t>Source assignment -- not individually reviewed</t>
        </is>
      </c>
      <c r="K829" s="23" t="inlineStr"/>
      <c r="L829" s="23" t="inlineStr"/>
      <c r="M829" s="23" t="inlineStr"/>
      <c r="N829" s="14" t="inlineStr">
        <is>
          <t>10 EVIDENCE &amp; DECISIONS</t>
        </is>
      </c>
    </row>
    <row r="830" ht="34" customHeight="1">
      <c r="A830" s="23" t="inlineStr">
        <is>
          <t>Contractor Programme</t>
        </is>
      </c>
      <c r="B830" s="23" t="inlineStr">
        <is>
          <t>SCH-04-005</t>
        </is>
      </c>
      <c r="C830" s="23" t="inlineStr">
        <is>
          <t>Operations building: wash-plant commissioning - turnover</t>
        </is>
      </c>
      <c r="D830" s="23" t="inlineStr">
        <is>
          <t>WBS Code = 1.4.1</t>
        </is>
      </c>
      <c r="E830" s="23" t="inlineStr">
        <is>
          <t>R545-v2</t>
        </is>
      </c>
      <c r="F830" s="23" t="inlineStr">
        <is>
          <t>1.4.1 Vehicles and Depot - Fleet Supply</t>
        </is>
      </c>
      <c r="G830" s="23" t="inlineStr">
        <is>
          <t>ONE_TO_ONE</t>
        </is>
      </c>
      <c r="H830" s="23" t="inlineStr">
        <is>
          <t>RETAINED</t>
        </is>
      </c>
      <c r="I830" s="23" t="inlineStr">
        <is>
          <t>Carried forward</t>
        </is>
      </c>
      <c r="J830" s="23" t="inlineStr">
        <is>
          <t>Source assignment -- not individually reviewed</t>
        </is>
      </c>
      <c r="K830" s="23" t="inlineStr"/>
      <c r="L830" s="23" t="inlineStr"/>
      <c r="M830" s="23" t="inlineStr"/>
      <c r="N830" s="14" t="inlineStr">
        <is>
          <t>10 EVIDENCE &amp; DECISIONS</t>
        </is>
      </c>
    </row>
    <row r="831" ht="34" customHeight="1">
      <c r="A831" s="23" t="inlineStr">
        <is>
          <t>Contractor Programme</t>
        </is>
      </c>
      <c r="B831" s="23" t="inlineStr">
        <is>
          <t>SCH-04-007</t>
        </is>
      </c>
      <c r="C831" s="23" t="inlineStr">
        <is>
          <t>Receiving track: depot structural fit-out - field start</t>
        </is>
      </c>
      <c r="D831" s="23" t="inlineStr">
        <is>
          <t>WBS Code = 1.4.1</t>
        </is>
      </c>
      <c r="E831" s="23" t="inlineStr">
        <is>
          <t>R547-v2</t>
        </is>
      </c>
      <c r="F831" s="23" t="inlineStr">
        <is>
          <t>1.4.1 Vehicles and Depot - Fleet Supply</t>
        </is>
      </c>
      <c r="G831" s="23" t="inlineStr">
        <is>
          <t>ONE_TO_ONE</t>
        </is>
      </c>
      <c r="H831" s="23" t="inlineStr">
        <is>
          <t>RETAINED</t>
        </is>
      </c>
      <c r="I831" s="23" t="inlineStr">
        <is>
          <t>Carried forward</t>
        </is>
      </c>
      <c r="J831" s="23" t="inlineStr">
        <is>
          <t>Source assignment -- not individually reviewed</t>
        </is>
      </c>
      <c r="K831" s="23" t="inlineStr"/>
      <c r="L831" s="23" t="inlineStr"/>
      <c r="M831" s="23" t="inlineStr"/>
      <c r="N831" s="14" t="inlineStr">
        <is>
          <t>10 EVIDENCE &amp; DECISIONS</t>
        </is>
      </c>
    </row>
    <row r="832" ht="34" customHeight="1">
      <c r="A832" s="23" t="inlineStr">
        <is>
          <t>Contractor Programme</t>
        </is>
      </c>
      <c r="B832" s="23" t="inlineStr">
        <is>
          <t>SCH-04-008</t>
        </is>
      </c>
      <c r="C832" s="23" t="inlineStr">
        <is>
          <t>Maintenance shop: workshop crane installation - installation</t>
        </is>
      </c>
      <c r="D832" s="23" t="inlineStr">
        <is>
          <t>WBS Code = 1.4.1</t>
        </is>
      </c>
      <c r="E832" s="23" t="inlineStr">
        <is>
          <t>R548-v2</t>
        </is>
      </c>
      <c r="F832" s="23" t="inlineStr">
        <is>
          <t>1.4.1 Vehicles and Depot - Fleet Supply</t>
        </is>
      </c>
      <c r="G832" s="23" t="inlineStr">
        <is>
          <t>ONE_TO_ONE</t>
        </is>
      </c>
      <c r="H832" s="23" t="inlineStr">
        <is>
          <t>RETAINED</t>
        </is>
      </c>
      <c r="I832" s="23" t="inlineStr">
        <is>
          <t>Carried forward</t>
        </is>
      </c>
      <c r="J832" s="23" t="inlineStr">
        <is>
          <t>Source assignment -- not individually reviewed</t>
        </is>
      </c>
      <c r="K832" s="23" t="inlineStr"/>
      <c r="L832" s="23" t="inlineStr"/>
      <c r="M832" s="23" t="inlineStr"/>
      <c r="N832" s="14" t="inlineStr">
        <is>
          <t>10 EVIDENCE &amp; DECISIONS</t>
        </is>
      </c>
    </row>
    <row r="833" ht="34" customHeight="1">
      <c r="A833" s="23" t="inlineStr">
        <is>
          <t>Contractor Programme</t>
        </is>
      </c>
      <c r="B833" s="23" t="inlineStr">
        <is>
          <t>SCH-04-010</t>
        </is>
      </c>
      <c r="C833" s="23" t="inlineStr">
        <is>
          <t>Operations building: wheel-lathe installation - turnover</t>
        </is>
      </c>
      <c r="D833" s="23" t="inlineStr">
        <is>
          <t>WBS Code = 1.4.1</t>
        </is>
      </c>
      <c r="E833" s="23" t="inlineStr">
        <is>
          <t>R550-v2</t>
        </is>
      </c>
      <c r="F833" s="23" t="inlineStr">
        <is>
          <t>1.4.1 Vehicles and Depot - Fleet Supply</t>
        </is>
      </c>
      <c r="G833" s="23" t="inlineStr">
        <is>
          <t>ONE_TO_ONE</t>
        </is>
      </c>
      <c r="H833" s="23" t="inlineStr">
        <is>
          <t>RETAINED</t>
        </is>
      </c>
      <c r="I833" s="23" t="inlineStr">
        <is>
          <t>Carried forward</t>
        </is>
      </c>
      <c r="J833" s="23" t="inlineStr">
        <is>
          <t>Source assignment -- not individually reviewed</t>
        </is>
      </c>
      <c r="K833" s="23" t="inlineStr"/>
      <c r="L833" s="23" t="inlineStr"/>
      <c r="M833" s="23" t="inlineStr"/>
      <c r="N833" s="14" t="inlineStr">
        <is>
          <t>10 EVIDENCE &amp; DECISIONS</t>
        </is>
      </c>
    </row>
    <row r="834" ht="34" customHeight="1">
      <c r="A834" s="23" t="inlineStr">
        <is>
          <t>Contractor Programme</t>
        </is>
      </c>
      <c r="B834" s="23" t="inlineStr">
        <is>
          <t>SCH-04-011</t>
        </is>
      </c>
      <c r="C834" s="23" t="inlineStr">
        <is>
          <t>Test track: fleet software load - release</t>
        </is>
      </c>
      <c r="D834" s="23" t="inlineStr">
        <is>
          <t>WBS Code = 1.4.1</t>
        </is>
      </c>
      <c r="E834" s="23" t="inlineStr">
        <is>
          <t>R551-v2</t>
        </is>
      </c>
      <c r="F834" s="23" t="inlineStr">
        <is>
          <t>1.4.1 Vehicles and Depot - Fleet Supply</t>
        </is>
      </c>
      <c r="G834" s="23" t="inlineStr">
        <is>
          <t>ONE_TO_ONE</t>
        </is>
      </c>
      <c r="H834" s="23" t="inlineStr">
        <is>
          <t>RETAINED</t>
        </is>
      </c>
      <c r="I834" s="23" t="inlineStr">
        <is>
          <t>Carried forward</t>
        </is>
      </c>
      <c r="J834" s="23" t="inlineStr">
        <is>
          <t>Source assignment -- not individually reviewed</t>
        </is>
      </c>
      <c r="K834" s="23" t="inlineStr"/>
      <c r="L834" s="23" t="inlineStr"/>
      <c r="M834" s="23" t="inlineStr"/>
      <c r="N834" s="14" t="inlineStr">
        <is>
          <t>10 EVIDENCE &amp; DECISIONS</t>
        </is>
      </c>
    </row>
    <row r="835" ht="34" customHeight="1">
      <c r="A835" s="23" t="inlineStr">
        <is>
          <t>Contractor Programme</t>
        </is>
      </c>
      <c r="B835" s="23" t="inlineStr">
        <is>
          <t>SCH-04-013</t>
        </is>
      </c>
      <c r="C835" s="23" t="inlineStr">
        <is>
          <t>Maintenance shop: wash-plant commissioning - installation</t>
        </is>
      </c>
      <c r="D835" s="23" t="inlineStr">
        <is>
          <t>WBS Code = 1.4.1</t>
        </is>
      </c>
      <c r="E835" s="23" t="inlineStr">
        <is>
          <t>R553-v2</t>
        </is>
      </c>
      <c r="F835" s="23" t="inlineStr">
        <is>
          <t>1.4.1 Vehicles and Depot - Fleet Supply</t>
        </is>
      </c>
      <c r="G835" s="23" t="inlineStr">
        <is>
          <t>ONE_TO_ONE</t>
        </is>
      </c>
      <c r="H835" s="23" t="inlineStr">
        <is>
          <t>RETAINED</t>
        </is>
      </c>
      <c r="I835" s="23" t="inlineStr">
        <is>
          <t>Carried forward</t>
        </is>
      </c>
      <c r="J835" s="23" t="inlineStr">
        <is>
          <t>Source assignment -- not individually reviewed</t>
        </is>
      </c>
      <c r="K835" s="23" t="inlineStr"/>
      <c r="L835" s="23" t="inlineStr"/>
      <c r="M835" s="23" t="inlineStr"/>
      <c r="N835" s="14" t="inlineStr">
        <is>
          <t>10 EVIDENCE &amp; DECISIONS</t>
        </is>
      </c>
    </row>
    <row r="836" ht="34" customHeight="1">
      <c r="A836" s="23" t="inlineStr">
        <is>
          <t>Contractor Programme</t>
        </is>
      </c>
      <c r="B836" s="23" t="inlineStr">
        <is>
          <t>SCH-04-014</t>
        </is>
      </c>
      <c r="C836" s="23" t="inlineStr">
        <is>
          <t>Storage yard: maintenance-bay services - inspection</t>
        </is>
      </c>
      <c r="D836" s="23" t="inlineStr">
        <is>
          <t>WBS Code = 1.4.1</t>
        </is>
      </c>
      <c r="E836" s="23" t="inlineStr">
        <is>
          <t>R554-v2</t>
        </is>
      </c>
      <c r="F836" s="23" t="inlineStr">
        <is>
          <t>1.4.1 Vehicles and Depot - Fleet Supply</t>
        </is>
      </c>
      <c r="G836" s="23" t="inlineStr">
        <is>
          <t>ONE_TO_ONE</t>
        </is>
      </c>
      <c r="H836" s="23" t="inlineStr">
        <is>
          <t>RETAINED</t>
        </is>
      </c>
      <c r="I836" s="23" t="inlineStr">
        <is>
          <t>Carried forward</t>
        </is>
      </c>
      <c r="J836" s="23" t="inlineStr">
        <is>
          <t>Source assignment -- not individually reviewed</t>
        </is>
      </c>
      <c r="K836" s="23" t="inlineStr"/>
      <c r="L836" s="23" t="inlineStr"/>
      <c r="M836" s="23" t="inlineStr"/>
      <c r="N836" s="14" t="inlineStr">
        <is>
          <t>10 EVIDENCE &amp; DECISIONS</t>
        </is>
      </c>
    </row>
    <row r="837" ht="34" customHeight="1">
      <c r="A837" s="23" t="inlineStr">
        <is>
          <t>Contractor Programme</t>
        </is>
      </c>
      <c r="B837" s="23" t="inlineStr">
        <is>
          <t>SCH-04-016</t>
        </is>
      </c>
      <c r="C837" s="23" t="inlineStr">
        <is>
          <t>Test track: workshop crane installation - release</t>
        </is>
      </c>
      <c r="D837" s="23" t="inlineStr">
        <is>
          <t>WBS Code = 1.4.1</t>
        </is>
      </c>
      <c r="E837" s="23" t="inlineStr">
        <is>
          <t>R556-v2</t>
        </is>
      </c>
      <c r="F837" s="23" t="inlineStr">
        <is>
          <t>1.4.1 Vehicles and Depot - Fleet Supply</t>
        </is>
      </c>
      <c r="G837" s="23" t="inlineStr">
        <is>
          <t>ONE_TO_ONE</t>
        </is>
      </c>
      <c r="H837" s="23" t="inlineStr">
        <is>
          <t>RETAINED</t>
        </is>
      </c>
      <c r="I837" s="23" t="inlineStr">
        <is>
          <t>Carried forward</t>
        </is>
      </c>
      <c r="J837" s="23" t="inlineStr">
        <is>
          <t>Source assignment -- not individually reviewed</t>
        </is>
      </c>
      <c r="K837" s="23" t="inlineStr"/>
      <c r="L837" s="23" t="inlineStr"/>
      <c r="M837" s="23" t="inlineStr"/>
      <c r="N837" s="14" t="inlineStr">
        <is>
          <t>10 EVIDENCE &amp; DECISIONS</t>
        </is>
      </c>
    </row>
    <row r="838" ht="34" customHeight="1">
      <c r="A838" s="23" t="inlineStr">
        <is>
          <t>Contractor Programme</t>
        </is>
      </c>
      <c r="B838" s="23" t="inlineStr">
        <is>
          <t>SCH-04-017</t>
        </is>
      </c>
      <c r="C838" s="23" t="inlineStr">
        <is>
          <t>Receiving track: vehicle-to-depot interface check - field start</t>
        </is>
      </c>
      <c r="D838" s="23" t="inlineStr">
        <is>
          <t>WBS Code = 1.4.1</t>
        </is>
      </c>
      <c r="E838" s="23" t="inlineStr">
        <is>
          <t>R557-v2</t>
        </is>
      </c>
      <c r="F838" s="23" t="inlineStr">
        <is>
          <t>1.4.1 Vehicles and Depot - Fleet Supply</t>
        </is>
      </c>
      <c r="G838" s="23" t="inlineStr">
        <is>
          <t>ONE_TO_ONE</t>
        </is>
      </c>
      <c r="H838" s="23" t="inlineStr">
        <is>
          <t>RETAINED</t>
        </is>
      </c>
      <c r="I838" s="23" t="inlineStr">
        <is>
          <t>Carried forward</t>
        </is>
      </c>
      <c r="J838" s="23" t="inlineStr">
        <is>
          <t>Source assignment -- not individually reviewed</t>
        </is>
      </c>
      <c r="K838" s="23" t="inlineStr"/>
      <c r="L838" s="23" t="inlineStr"/>
      <c r="M838" s="23" t="inlineStr"/>
      <c r="N838" s="14" t="inlineStr">
        <is>
          <t>10 EVIDENCE &amp; DECISIONS</t>
        </is>
      </c>
    </row>
    <row r="839" ht="34" customHeight="1">
      <c r="A839" s="23" t="inlineStr">
        <is>
          <t>Contractor Programme</t>
        </is>
      </c>
      <c r="B839" s="23" t="inlineStr">
        <is>
          <t>SCH-04-019</t>
        </is>
      </c>
      <c r="C839" s="23" t="inlineStr">
        <is>
          <t>Storage yard: fleet software load - inspection</t>
        </is>
      </c>
      <c r="D839" s="23" t="inlineStr">
        <is>
          <t>WBS Code = 1.4.1</t>
        </is>
      </c>
      <c r="E839" s="23" t="inlineStr">
        <is>
          <t>R559-v2</t>
        </is>
      </c>
      <c r="F839" s="23" t="inlineStr">
        <is>
          <t>1.4.1 Vehicles and Depot - Fleet Supply</t>
        </is>
      </c>
      <c r="G839" s="23" t="inlineStr">
        <is>
          <t>ONE_TO_ONE</t>
        </is>
      </c>
      <c r="H839" s="23" t="inlineStr">
        <is>
          <t>RETAINED</t>
        </is>
      </c>
      <c r="I839" s="23" t="inlineStr">
        <is>
          <t>Carried forward</t>
        </is>
      </c>
      <c r="J839" s="23" t="inlineStr">
        <is>
          <t>Source assignment -- not individually reviewed</t>
        </is>
      </c>
      <c r="K839" s="23" t="inlineStr"/>
      <c r="L839" s="23" t="inlineStr"/>
      <c r="M839" s="23" t="inlineStr"/>
      <c r="N839" s="14" t="inlineStr">
        <is>
          <t>10 EVIDENCE &amp; DECISIONS</t>
        </is>
      </c>
    </row>
    <row r="840" ht="34" customHeight="1">
      <c r="A840" s="23" t="inlineStr">
        <is>
          <t>Contractor Programme</t>
        </is>
      </c>
      <c r="B840" s="23" t="inlineStr">
        <is>
          <t>SCH-04-020</t>
        </is>
      </c>
      <c r="C840" s="23" t="inlineStr">
        <is>
          <t>Operations building: vehicle delivery inspection - turnover</t>
        </is>
      </c>
      <c r="D840" s="23" t="inlineStr">
        <is>
          <t>WBS Code = 1.4.1</t>
        </is>
      </c>
      <c r="E840" s="23" t="inlineStr">
        <is>
          <t>R560-v2</t>
        </is>
      </c>
      <c r="F840" s="23" t="inlineStr">
        <is>
          <t>1.4.1 Vehicles and Depot - Fleet Supply</t>
        </is>
      </c>
      <c r="G840" s="23" t="inlineStr">
        <is>
          <t>ONE_TO_ONE</t>
        </is>
      </c>
      <c r="H840" s="23" t="inlineStr">
        <is>
          <t>RETAINED</t>
        </is>
      </c>
      <c r="I840" s="23" t="inlineStr">
        <is>
          <t>Carried forward</t>
        </is>
      </c>
      <c r="J840" s="23" t="inlineStr">
        <is>
          <t>Source assignment -- not individually reviewed</t>
        </is>
      </c>
      <c r="K840" s="23" t="inlineStr"/>
      <c r="L840" s="23" t="inlineStr"/>
      <c r="M840" s="23" t="inlineStr"/>
      <c r="N840" s="14" t="inlineStr">
        <is>
          <t>10 EVIDENCE &amp; DECISIONS</t>
        </is>
      </c>
    </row>
    <row r="841" ht="34" customHeight="1">
      <c r="A841" s="23" t="inlineStr">
        <is>
          <t>Contractor Programme</t>
        </is>
      </c>
      <c r="B841" s="23" t="inlineStr">
        <is>
          <t>SCH-04-022</t>
        </is>
      </c>
      <c r="C841" s="23" t="inlineStr">
        <is>
          <t>Receiving track: maintenance-bay services - field start</t>
        </is>
      </c>
      <c r="D841" s="23" t="inlineStr">
        <is>
          <t>WBS Code = 1.4.1</t>
        </is>
      </c>
      <c r="E841" s="23" t="inlineStr">
        <is>
          <t>R562-v2</t>
        </is>
      </c>
      <c r="F841" s="23" t="inlineStr">
        <is>
          <t>1.4.1 Vehicles and Depot - Fleet Supply</t>
        </is>
      </c>
      <c r="G841" s="23" t="inlineStr">
        <is>
          <t>ONE_TO_ONE</t>
        </is>
      </c>
      <c r="H841" s="23" t="inlineStr">
        <is>
          <t>RETAINED</t>
        </is>
      </c>
      <c r="I841" s="23" t="inlineStr">
        <is>
          <t>Carried forward</t>
        </is>
      </c>
      <c r="J841" s="23" t="inlineStr">
        <is>
          <t>Source assignment -- not individually reviewed</t>
        </is>
      </c>
      <c r="K841" s="23" t="inlineStr"/>
      <c r="L841" s="23" t="inlineStr"/>
      <c r="M841" s="23" t="inlineStr"/>
      <c r="N841" s="14" t="inlineStr">
        <is>
          <t>10 EVIDENCE &amp; DECISIONS</t>
        </is>
      </c>
    </row>
    <row r="842" ht="34" customHeight="1">
      <c r="A842" s="23" t="inlineStr">
        <is>
          <t>Contractor Programme</t>
        </is>
      </c>
      <c r="B842" s="23" t="inlineStr">
        <is>
          <t>SCH-04-023</t>
        </is>
      </c>
      <c r="C842" s="23" t="inlineStr">
        <is>
          <t>Maintenance shop: depot structural fit-out - installation</t>
        </is>
      </c>
      <c r="D842" s="23" t="inlineStr">
        <is>
          <t>WBS Code = 1.4.1</t>
        </is>
      </c>
      <c r="E842" s="23" t="inlineStr">
        <is>
          <t>R563-v2</t>
        </is>
      </c>
      <c r="F842" s="23" t="inlineStr">
        <is>
          <t>1.4.1 Vehicles and Depot - Fleet Supply</t>
        </is>
      </c>
      <c r="G842" s="23" t="inlineStr">
        <is>
          <t>ONE_TO_ONE</t>
        </is>
      </c>
      <c r="H842" s="23" t="inlineStr">
        <is>
          <t>RETAINED</t>
        </is>
      </c>
      <c r="I842" s="23" t="inlineStr">
        <is>
          <t>Carried forward</t>
        </is>
      </c>
      <c r="J842" s="23" t="inlineStr">
        <is>
          <t>Source assignment -- not individually reviewed</t>
        </is>
      </c>
      <c r="K842" s="23" t="inlineStr"/>
      <c r="L842" s="23" t="inlineStr"/>
      <c r="M842" s="23" t="inlineStr"/>
      <c r="N842" s="14" t="inlineStr">
        <is>
          <t>10 EVIDENCE &amp; DECISIONS</t>
        </is>
      </c>
    </row>
    <row r="843" ht="34" customHeight="1">
      <c r="A843" s="23" t="inlineStr">
        <is>
          <t>Contractor Programme</t>
        </is>
      </c>
      <c r="B843" s="23" t="inlineStr">
        <is>
          <t>SCH-04-025</t>
        </is>
      </c>
      <c r="C843" s="23" t="inlineStr">
        <is>
          <t>Operations building: vehicle-to-depot interface check - turnover</t>
        </is>
      </c>
      <c r="D843" s="23" t="inlineStr">
        <is>
          <t>WBS Code = 1.4.1</t>
        </is>
      </c>
      <c r="E843" s="23" t="inlineStr">
        <is>
          <t>R565-v2</t>
        </is>
      </c>
      <c r="F843" s="23" t="inlineStr">
        <is>
          <t>1.4.1 Vehicles and Depot - Fleet Supply</t>
        </is>
      </c>
      <c r="G843" s="23" t="inlineStr">
        <is>
          <t>ONE_TO_ONE</t>
        </is>
      </c>
      <c r="H843" s="23" t="inlineStr">
        <is>
          <t>RETAINED</t>
        </is>
      </c>
      <c r="I843" s="23" t="inlineStr">
        <is>
          <t>Carried forward</t>
        </is>
      </c>
      <c r="J843" s="23" t="inlineStr">
        <is>
          <t>Source assignment -- not individually reviewed</t>
        </is>
      </c>
      <c r="K843" s="23" t="inlineStr"/>
      <c r="L843" s="23" t="inlineStr"/>
      <c r="M843" s="23" t="inlineStr"/>
      <c r="N843" s="14" t="inlineStr">
        <is>
          <t>10 EVIDENCE &amp; DECISIONS</t>
        </is>
      </c>
    </row>
    <row r="844" ht="34" customHeight="1">
      <c r="A844" s="23" t="inlineStr">
        <is>
          <t>Contractor Programme</t>
        </is>
      </c>
      <c r="B844" s="23" t="inlineStr">
        <is>
          <t>SCH-04-026</t>
        </is>
      </c>
      <c r="C844" s="23" t="inlineStr">
        <is>
          <t>Test track: wheel-lathe installation - release</t>
        </is>
      </c>
      <c r="D844" s="23" t="inlineStr">
        <is>
          <t>WBS Code = 1.4.1</t>
        </is>
      </c>
      <c r="E844" s="23" t="inlineStr">
        <is>
          <t>R566-v2</t>
        </is>
      </c>
      <c r="F844" s="23" t="inlineStr">
        <is>
          <t>1.4.1 Vehicles and Depot - Fleet Supply</t>
        </is>
      </c>
      <c r="G844" s="23" t="inlineStr">
        <is>
          <t>ONE_TO_ONE</t>
        </is>
      </c>
      <c r="H844" s="23" t="inlineStr">
        <is>
          <t>RETAINED</t>
        </is>
      </c>
      <c r="I844" s="23" t="inlineStr">
        <is>
          <t>Carried forward</t>
        </is>
      </c>
      <c r="J844" s="23" t="inlineStr">
        <is>
          <t>Source assignment -- not individually reviewed</t>
        </is>
      </c>
      <c r="K844" s="23" t="inlineStr"/>
      <c r="L844" s="23" t="inlineStr"/>
      <c r="M844" s="23" t="inlineStr"/>
      <c r="N844" s="14" t="inlineStr">
        <is>
          <t>10 EVIDENCE &amp; DECISIONS</t>
        </is>
      </c>
    </row>
    <row r="845" ht="34" customHeight="1">
      <c r="A845" s="23" t="inlineStr">
        <is>
          <t>Contractor Programme</t>
        </is>
      </c>
      <c r="B845" s="23" t="inlineStr">
        <is>
          <t>SCH-04-028</t>
        </is>
      </c>
      <c r="C845" s="23" t="inlineStr">
        <is>
          <t>Maintenance shop: vehicle delivery inspection - installation</t>
        </is>
      </c>
      <c r="D845" s="23" t="inlineStr">
        <is>
          <t>WBS Code = 1.4.1</t>
        </is>
      </c>
      <c r="E845" s="23" t="inlineStr">
        <is>
          <t>R568-v2</t>
        </is>
      </c>
      <c r="F845" s="23" t="inlineStr">
        <is>
          <t>1.4.1 Vehicles and Depot - Fleet Supply</t>
        </is>
      </c>
      <c r="G845" s="23" t="inlineStr">
        <is>
          <t>ONE_TO_ONE</t>
        </is>
      </c>
      <c r="H845" s="23" t="inlineStr">
        <is>
          <t>RETAINED</t>
        </is>
      </c>
      <c r="I845" s="23" t="inlineStr">
        <is>
          <t>Carried forward</t>
        </is>
      </c>
      <c r="J845" s="23" t="inlineStr">
        <is>
          <t>Source assignment -- not individually reviewed</t>
        </is>
      </c>
      <c r="K845" s="23" t="inlineStr"/>
      <c r="L845" s="23" t="inlineStr"/>
      <c r="M845" s="23" t="inlineStr"/>
      <c r="N845" s="14" t="inlineStr">
        <is>
          <t>10 EVIDENCE &amp; DECISIONS</t>
        </is>
      </c>
    </row>
    <row r="846" ht="34" customHeight="1">
      <c r="A846" s="23" t="inlineStr">
        <is>
          <t>Contractor Programme</t>
        </is>
      </c>
      <c r="B846" s="23" t="inlineStr">
        <is>
          <t>SCH-04-029</t>
        </is>
      </c>
      <c r="C846" s="23" t="inlineStr">
        <is>
          <t>Storage yard: wash-plant commissioning - inspection</t>
        </is>
      </c>
      <c r="D846" s="23" t="inlineStr">
        <is>
          <t>WBS Code = 1.4.1</t>
        </is>
      </c>
      <c r="E846" s="23" t="inlineStr">
        <is>
          <t>R569-v2</t>
        </is>
      </c>
      <c r="F846" s="23" t="inlineStr">
        <is>
          <t>1.4.1 Vehicles and Depot - Fleet Supply</t>
        </is>
      </c>
      <c r="G846" s="23" t="inlineStr">
        <is>
          <t>ONE_TO_ONE</t>
        </is>
      </c>
      <c r="H846" s="23" t="inlineStr">
        <is>
          <t>RETAINED</t>
        </is>
      </c>
      <c r="I846" s="23" t="inlineStr">
        <is>
          <t>Carried forward</t>
        </is>
      </c>
      <c r="J846" s="23" t="inlineStr">
        <is>
          <t>Source assignment -- not individually reviewed</t>
        </is>
      </c>
      <c r="K846" s="23" t="inlineStr"/>
      <c r="L846" s="23" t="inlineStr"/>
      <c r="M846" s="23" t="inlineStr"/>
      <c r="N846" s="14" t="inlineStr">
        <is>
          <t>10 EVIDENCE &amp; DECISIONS</t>
        </is>
      </c>
    </row>
    <row r="847" ht="34" customHeight="1">
      <c r="A847" s="23" t="inlineStr">
        <is>
          <t>Contractor Programme</t>
        </is>
      </c>
      <c r="B847" s="23" t="inlineStr">
        <is>
          <t>SCH-04-031</t>
        </is>
      </c>
      <c r="C847" s="23" t="inlineStr">
        <is>
          <t>Test track: depot structural fit-out - release</t>
        </is>
      </c>
      <c r="D847" s="23" t="inlineStr">
        <is>
          <t>WBS Code = 1.4.1</t>
        </is>
      </c>
      <c r="E847" s="23" t="inlineStr">
        <is>
          <t>R571-v2</t>
        </is>
      </c>
      <c r="F847" s="23" t="inlineStr">
        <is>
          <t>1.4.1 Vehicles and Depot - Fleet Supply</t>
        </is>
      </c>
      <c r="G847" s="23" t="inlineStr">
        <is>
          <t>ONE_TO_ONE</t>
        </is>
      </c>
      <c r="H847" s="23" t="inlineStr">
        <is>
          <t>RETAINED</t>
        </is>
      </c>
      <c r="I847" s="23" t="inlineStr">
        <is>
          <t>Carried forward</t>
        </is>
      </c>
      <c r="J847" s="23" t="inlineStr">
        <is>
          <t>Source assignment -- not individually reviewed</t>
        </is>
      </c>
      <c r="K847" s="23" t="inlineStr"/>
      <c r="L847" s="23" t="inlineStr"/>
      <c r="M847" s="23" t="inlineStr"/>
      <c r="N847" s="14" t="inlineStr">
        <is>
          <t>10 EVIDENCE &amp; DECISIONS</t>
        </is>
      </c>
    </row>
    <row r="848" ht="34" customHeight="1">
      <c r="A848" s="23" t="inlineStr">
        <is>
          <t>Contractor Programme</t>
        </is>
      </c>
      <c r="B848" s="23" t="inlineStr">
        <is>
          <t>SCH-04-032</t>
        </is>
      </c>
      <c r="C848" s="23" t="inlineStr">
        <is>
          <t>Receiving track: workshop crane installation - field start</t>
        </is>
      </c>
      <c r="D848" s="23" t="inlineStr">
        <is>
          <t>WBS Code = 1.4.1</t>
        </is>
      </c>
      <c r="E848" s="23" t="inlineStr">
        <is>
          <t>R572-v2</t>
        </is>
      </c>
      <c r="F848" s="23" t="inlineStr">
        <is>
          <t>1.4.1 Vehicles and Depot - Fleet Supply</t>
        </is>
      </c>
      <c r="G848" s="23" t="inlineStr">
        <is>
          <t>ONE_TO_ONE</t>
        </is>
      </c>
      <c r="H848" s="23" t="inlineStr">
        <is>
          <t>RETAINED</t>
        </is>
      </c>
      <c r="I848" s="23" t="inlineStr">
        <is>
          <t>Carried forward</t>
        </is>
      </c>
      <c r="J848" s="23" t="inlineStr">
        <is>
          <t>Source assignment -- not individually reviewed</t>
        </is>
      </c>
      <c r="K848" s="23" t="inlineStr"/>
      <c r="L848" s="23" t="inlineStr"/>
      <c r="M848" s="23" t="inlineStr"/>
      <c r="N848" s="14" t="inlineStr">
        <is>
          <t>10 EVIDENCE &amp; DECISIONS</t>
        </is>
      </c>
    </row>
    <row r="849" ht="34" customHeight="1">
      <c r="A849" s="23" t="inlineStr">
        <is>
          <t>Contractor Programme</t>
        </is>
      </c>
      <c r="B849" s="23" t="inlineStr">
        <is>
          <t>SCH-04-034</t>
        </is>
      </c>
      <c r="C849" s="23" t="inlineStr">
        <is>
          <t>Storage yard: wheel-lathe installation - inspection</t>
        </is>
      </c>
      <c r="D849" s="23" t="inlineStr">
        <is>
          <t>WBS Code = 1.4.1</t>
        </is>
      </c>
      <c r="E849" s="23" t="inlineStr">
        <is>
          <t>R574-v2</t>
        </is>
      </c>
      <c r="F849" s="23" t="inlineStr">
        <is>
          <t>1.4.1 Vehicles and Depot - Fleet Supply</t>
        </is>
      </c>
      <c r="G849" s="23" t="inlineStr">
        <is>
          <t>ONE_TO_ONE</t>
        </is>
      </c>
      <c r="H849" s="23" t="inlineStr">
        <is>
          <t>RETAINED</t>
        </is>
      </c>
      <c r="I849" s="23" t="inlineStr">
        <is>
          <t>Carried forward</t>
        </is>
      </c>
      <c r="J849" s="23" t="inlineStr">
        <is>
          <t>Source assignment -- not individually reviewed</t>
        </is>
      </c>
      <c r="K849" s="23" t="inlineStr"/>
      <c r="L849" s="23" t="inlineStr"/>
      <c r="M849" s="23" t="inlineStr"/>
      <c r="N849" s="14" t="inlineStr">
        <is>
          <t>10 EVIDENCE &amp; DECISIONS</t>
        </is>
      </c>
    </row>
    <row r="850" ht="34" customHeight="1">
      <c r="A850" s="23" t="inlineStr">
        <is>
          <t>Contractor Programme</t>
        </is>
      </c>
      <c r="B850" s="23" t="inlineStr">
        <is>
          <t>SCH-04-035</t>
        </is>
      </c>
      <c r="C850" s="23" t="inlineStr">
        <is>
          <t>Operations building: fleet software load - turnover</t>
        </is>
      </c>
      <c r="D850" s="23" t="inlineStr">
        <is>
          <t>WBS Code = 1.4.1</t>
        </is>
      </c>
      <c r="E850" s="23" t="inlineStr">
        <is>
          <t>R575-v2</t>
        </is>
      </c>
      <c r="F850" s="23" t="inlineStr">
        <is>
          <t>1.4.1 Vehicles and Depot - Fleet Supply</t>
        </is>
      </c>
      <c r="G850" s="23" t="inlineStr">
        <is>
          <t>ONE_TO_ONE</t>
        </is>
      </c>
      <c r="H850" s="23" t="inlineStr">
        <is>
          <t>RETAINED</t>
        </is>
      </c>
      <c r="I850" s="23" t="inlineStr">
        <is>
          <t>Carried forward</t>
        </is>
      </c>
      <c r="J850" s="23" t="inlineStr">
        <is>
          <t>Source assignment -- not individually reviewed</t>
        </is>
      </c>
      <c r="K850" s="23" t="inlineStr"/>
      <c r="L850" s="23" t="inlineStr"/>
      <c r="M850" s="23" t="inlineStr"/>
      <c r="N850" s="14" t="inlineStr">
        <is>
          <t>10 EVIDENCE &amp; DECISIONS</t>
        </is>
      </c>
    </row>
    <row r="851" ht="34" customHeight="1">
      <c r="A851" s="23" t="inlineStr">
        <is>
          <t>Contractor Programme</t>
        </is>
      </c>
      <c r="B851" s="23" t="inlineStr">
        <is>
          <t>SCH-04-037</t>
        </is>
      </c>
      <c r="C851" s="23" t="inlineStr">
        <is>
          <t>Receiving track: wash-plant commissioning - field start</t>
        </is>
      </c>
      <c r="D851" s="23" t="inlineStr">
        <is>
          <t>WBS Code = 1.4.1</t>
        </is>
      </c>
      <c r="E851" s="23" t="inlineStr">
        <is>
          <t>R577-v2</t>
        </is>
      </c>
      <c r="F851" s="23" t="inlineStr">
        <is>
          <t>1.4.1 Vehicles and Depot - Fleet Supply</t>
        </is>
      </c>
      <c r="G851" s="23" t="inlineStr">
        <is>
          <t>ONE_TO_ONE</t>
        </is>
      </c>
      <c r="H851" s="23" t="inlineStr">
        <is>
          <t>RETAINED</t>
        </is>
      </c>
      <c r="I851" s="23" t="inlineStr">
        <is>
          <t>Carried forward</t>
        </is>
      </c>
      <c r="J851" s="23" t="inlineStr">
        <is>
          <t>Source assignment -- not individually reviewed</t>
        </is>
      </c>
      <c r="K851" s="23" t="inlineStr"/>
      <c r="L851" s="23" t="inlineStr"/>
      <c r="M851" s="23" t="inlineStr"/>
      <c r="N851" s="14" t="inlineStr">
        <is>
          <t>10 EVIDENCE &amp; DECISIONS</t>
        </is>
      </c>
    </row>
    <row r="852" ht="34" customHeight="1">
      <c r="A852" s="23" t="inlineStr">
        <is>
          <t>Contractor Programme</t>
        </is>
      </c>
      <c r="B852" s="23" t="inlineStr">
        <is>
          <t>SCH-04-038</t>
        </is>
      </c>
      <c r="C852" s="23" t="inlineStr">
        <is>
          <t>Maintenance shop: maintenance-bay services - installation</t>
        </is>
      </c>
      <c r="D852" s="23" t="inlineStr">
        <is>
          <t>WBS Code = 1.4.1</t>
        </is>
      </c>
      <c r="E852" s="23" t="inlineStr">
        <is>
          <t>R578-v2</t>
        </is>
      </c>
      <c r="F852" s="23" t="inlineStr">
        <is>
          <t>1.4.1 Vehicles and Depot - Fleet Supply</t>
        </is>
      </c>
      <c r="G852" s="23" t="inlineStr">
        <is>
          <t>ONE_TO_ONE</t>
        </is>
      </c>
      <c r="H852" s="23" t="inlineStr">
        <is>
          <t>RETAINED</t>
        </is>
      </c>
      <c r="I852" s="23" t="inlineStr">
        <is>
          <t>Carried forward</t>
        </is>
      </c>
      <c r="J852" s="23" t="inlineStr">
        <is>
          <t>Source assignment -- not individually reviewed</t>
        </is>
      </c>
      <c r="K852" s="23" t="inlineStr"/>
      <c r="L852" s="23" t="inlineStr"/>
      <c r="M852" s="23" t="inlineStr"/>
      <c r="N852" s="14" t="inlineStr">
        <is>
          <t>10 EVIDENCE &amp; DECISIONS</t>
        </is>
      </c>
    </row>
    <row r="853" ht="34" customHeight="1">
      <c r="A853" s="23" t="inlineStr">
        <is>
          <t>Contractor Programme</t>
        </is>
      </c>
      <c r="B853" s="23" t="inlineStr">
        <is>
          <t>SCH-04-040</t>
        </is>
      </c>
      <c r="C853" s="23" t="inlineStr">
        <is>
          <t>Operations building: workshop crane installation - turnover</t>
        </is>
      </c>
      <c r="D853" s="23" t="inlineStr">
        <is>
          <t>WBS Code = 1.4.1</t>
        </is>
      </c>
      <c r="E853" s="23" t="inlineStr">
        <is>
          <t>R580-v2</t>
        </is>
      </c>
      <c r="F853" s="23" t="inlineStr">
        <is>
          <t>1.4.1 Vehicles and Depot - Fleet Supply</t>
        </is>
      </c>
      <c r="G853" s="23" t="inlineStr">
        <is>
          <t>ONE_TO_ONE</t>
        </is>
      </c>
      <c r="H853" s="23" t="inlineStr">
        <is>
          <t>RETAINED</t>
        </is>
      </c>
      <c r="I853" s="23" t="inlineStr">
        <is>
          <t>Carried forward</t>
        </is>
      </c>
      <c r="J853" s="23" t="inlineStr">
        <is>
          <t>Source assignment -- not individually reviewed</t>
        </is>
      </c>
      <c r="K853" s="23" t="inlineStr"/>
      <c r="L853" s="23" t="inlineStr"/>
      <c r="M853" s="23" t="inlineStr"/>
      <c r="N853" s="14" t="inlineStr">
        <is>
          <t>10 EVIDENCE &amp; DECISIONS</t>
        </is>
      </c>
    </row>
    <row r="854" ht="34" customHeight="1">
      <c r="A854" s="23" t="inlineStr">
        <is>
          <t>Contractor Programme</t>
        </is>
      </c>
      <c r="B854" s="23" t="inlineStr">
        <is>
          <t>SCH-04-041</t>
        </is>
      </c>
      <c r="C854" s="23" t="inlineStr">
        <is>
          <t>Test track: vehicle-to-depot interface check - release</t>
        </is>
      </c>
      <c r="D854" s="23" t="inlineStr">
        <is>
          <t>WBS Code = 1.4.1</t>
        </is>
      </c>
      <c r="E854" s="23" t="inlineStr">
        <is>
          <t>R581-v2</t>
        </is>
      </c>
      <c r="F854" s="23" t="inlineStr">
        <is>
          <t>1.4.1 Vehicles and Depot - Fleet Supply</t>
        </is>
      </c>
      <c r="G854" s="23" t="inlineStr">
        <is>
          <t>ONE_TO_ONE</t>
        </is>
      </c>
      <c r="H854" s="23" t="inlineStr">
        <is>
          <t>RETAINED</t>
        </is>
      </c>
      <c r="I854" s="23" t="inlineStr">
        <is>
          <t>Carried forward</t>
        </is>
      </c>
      <c r="J854" s="23" t="inlineStr">
        <is>
          <t>Source assignment -- not individually reviewed</t>
        </is>
      </c>
      <c r="K854" s="23" t="inlineStr"/>
      <c r="L854" s="23" t="inlineStr"/>
      <c r="M854" s="23" t="inlineStr"/>
      <c r="N854" s="14" t="inlineStr">
        <is>
          <t>10 EVIDENCE &amp; DECISIONS</t>
        </is>
      </c>
    </row>
    <row r="855" ht="34" customHeight="1">
      <c r="A855" s="23" t="inlineStr">
        <is>
          <t>Contractor Programme</t>
        </is>
      </c>
      <c r="B855" s="23" t="inlineStr">
        <is>
          <t>SCH-04-043</t>
        </is>
      </c>
      <c r="C855" s="23" t="inlineStr">
        <is>
          <t>Maintenance shop: fleet software load - installation</t>
        </is>
      </c>
      <c r="D855" s="23" t="inlineStr">
        <is>
          <t>WBS Code = 1.4.1</t>
        </is>
      </c>
      <c r="E855" s="23" t="inlineStr">
        <is>
          <t>R583-v2</t>
        </is>
      </c>
      <c r="F855" s="23" t="inlineStr">
        <is>
          <t>1.4.1 Vehicles and Depot - Fleet Supply</t>
        </is>
      </c>
      <c r="G855" s="23" t="inlineStr">
        <is>
          <t>ONE_TO_ONE</t>
        </is>
      </c>
      <c r="H855" s="23" t="inlineStr">
        <is>
          <t>RETAINED</t>
        </is>
      </c>
      <c r="I855" s="23" t="inlineStr">
        <is>
          <t>Carried forward</t>
        </is>
      </c>
      <c r="J855" s="23" t="inlineStr">
        <is>
          <t>Source assignment -- not individually reviewed</t>
        </is>
      </c>
      <c r="K855" s="23" t="inlineStr"/>
      <c r="L855" s="23" t="inlineStr"/>
      <c r="M855" s="23" t="inlineStr"/>
      <c r="N855" s="14" t="inlineStr">
        <is>
          <t>10 EVIDENCE &amp; DECISIONS</t>
        </is>
      </c>
    </row>
    <row r="856" ht="34" customHeight="1">
      <c r="A856" s="23" t="inlineStr">
        <is>
          <t>Contractor Programme</t>
        </is>
      </c>
      <c r="B856" s="23" t="inlineStr">
        <is>
          <t>SCH-04-044</t>
        </is>
      </c>
      <c r="C856" s="23" t="inlineStr">
        <is>
          <t>Storage yard: vehicle delivery inspection - inspection</t>
        </is>
      </c>
      <c r="D856" s="23" t="inlineStr">
        <is>
          <t>WBS Code = 1.4.1</t>
        </is>
      </c>
      <c r="E856" s="23" t="inlineStr">
        <is>
          <t>R584-v2</t>
        </is>
      </c>
      <c r="F856" s="23" t="inlineStr">
        <is>
          <t>1.4.1 Vehicles and Depot - Fleet Supply</t>
        </is>
      </c>
      <c r="G856" s="23" t="inlineStr">
        <is>
          <t>ONE_TO_ONE</t>
        </is>
      </c>
      <c r="H856" s="23" t="inlineStr">
        <is>
          <t>RETAINED</t>
        </is>
      </c>
      <c r="I856" s="23" t="inlineStr">
        <is>
          <t>Carried forward</t>
        </is>
      </c>
      <c r="J856" s="23" t="inlineStr">
        <is>
          <t>Source assignment -- not individually reviewed</t>
        </is>
      </c>
      <c r="K856" s="23" t="inlineStr"/>
      <c r="L856" s="23" t="inlineStr"/>
      <c r="M856" s="23" t="inlineStr"/>
      <c r="N856" s="14" t="inlineStr">
        <is>
          <t>10 EVIDENCE &amp; DECISIONS</t>
        </is>
      </c>
    </row>
    <row r="857" ht="34" customHeight="1">
      <c r="A857" s="23" t="inlineStr">
        <is>
          <t>Contractor Programme</t>
        </is>
      </c>
      <c r="B857" s="23" t="inlineStr">
        <is>
          <t>SCH-04-046</t>
        </is>
      </c>
      <c r="C857" s="23" t="inlineStr">
        <is>
          <t>Test track: maintenance-bay services - release</t>
        </is>
      </c>
      <c r="D857" s="23" t="inlineStr">
        <is>
          <t>WBS Code = 1.4.1</t>
        </is>
      </c>
      <c r="E857" s="23" t="inlineStr">
        <is>
          <t>R586-v2</t>
        </is>
      </c>
      <c r="F857" s="23" t="inlineStr">
        <is>
          <t>1.4.1 Vehicles and Depot - Fleet Supply</t>
        </is>
      </c>
      <c r="G857" s="23" t="inlineStr">
        <is>
          <t>ONE_TO_ONE</t>
        </is>
      </c>
      <c r="H857" s="23" t="inlineStr">
        <is>
          <t>RETAINED</t>
        </is>
      </c>
      <c r="I857" s="23" t="inlineStr">
        <is>
          <t>Carried forward</t>
        </is>
      </c>
      <c r="J857" s="23" t="inlineStr">
        <is>
          <t>Source assignment -- not individually reviewed</t>
        </is>
      </c>
      <c r="K857" s="23" t="inlineStr"/>
      <c r="L857" s="23" t="inlineStr"/>
      <c r="M857" s="23" t="inlineStr"/>
      <c r="N857" s="14" t="inlineStr">
        <is>
          <t>10 EVIDENCE &amp; DECISIONS</t>
        </is>
      </c>
    </row>
    <row r="858" ht="34" customHeight="1">
      <c r="A858" s="23" t="inlineStr">
        <is>
          <t>Contractor Programme</t>
        </is>
      </c>
      <c r="B858" s="23" t="inlineStr">
        <is>
          <t>SCH-04-047</t>
        </is>
      </c>
      <c r="C858" s="23" t="inlineStr">
        <is>
          <t>Receiving track: depot structural fit-out - field start</t>
        </is>
      </c>
      <c r="D858" s="23" t="inlineStr">
        <is>
          <t>WBS Code = 1.4.1</t>
        </is>
      </c>
      <c r="E858" s="23" t="inlineStr">
        <is>
          <t>R587-v2</t>
        </is>
      </c>
      <c r="F858" s="23" t="inlineStr">
        <is>
          <t>1.4.1 Vehicles and Depot - Fleet Supply</t>
        </is>
      </c>
      <c r="G858" s="23" t="inlineStr">
        <is>
          <t>ONE_TO_ONE</t>
        </is>
      </c>
      <c r="H858" s="23" t="inlineStr">
        <is>
          <t>RETAINED</t>
        </is>
      </c>
      <c r="I858" s="23" t="inlineStr">
        <is>
          <t>Carried forward</t>
        </is>
      </c>
      <c r="J858" s="23" t="inlineStr">
        <is>
          <t>Source assignment -- not individually reviewed</t>
        </is>
      </c>
      <c r="K858" s="23" t="inlineStr"/>
      <c r="L858" s="23" t="inlineStr"/>
      <c r="M858" s="23" t="inlineStr"/>
      <c r="N858" s="14" t="inlineStr">
        <is>
          <t>10 EVIDENCE &amp; DECISIONS</t>
        </is>
      </c>
    </row>
    <row r="859" ht="34" customHeight="1">
      <c r="A859" s="23" t="inlineStr">
        <is>
          <t>Contractor Programme</t>
        </is>
      </c>
      <c r="B859" s="23" t="inlineStr">
        <is>
          <t>SCH-04-049</t>
        </is>
      </c>
      <c r="C859" s="23" t="inlineStr">
        <is>
          <t>Storage yard: vehicle-to-depot interface check - inspection</t>
        </is>
      </c>
      <c r="D859" s="23" t="inlineStr">
        <is>
          <t>WBS Code = 1.4.1</t>
        </is>
      </c>
      <c r="E859" s="23" t="inlineStr">
        <is>
          <t>R589-v2</t>
        </is>
      </c>
      <c r="F859" s="23" t="inlineStr">
        <is>
          <t>1.4.1 Vehicles and Depot - Fleet Supply</t>
        </is>
      </c>
      <c r="G859" s="23" t="inlineStr">
        <is>
          <t>ONE_TO_ONE</t>
        </is>
      </c>
      <c r="H859" s="23" t="inlineStr">
        <is>
          <t>RETAINED</t>
        </is>
      </c>
      <c r="I859" s="23" t="inlineStr">
        <is>
          <t>Carried forward</t>
        </is>
      </c>
      <c r="J859" s="23" t="inlineStr">
        <is>
          <t>Source assignment -- not individually reviewed</t>
        </is>
      </c>
      <c r="K859" s="23" t="inlineStr"/>
      <c r="L859" s="23" t="inlineStr"/>
      <c r="M859" s="23" t="inlineStr"/>
      <c r="N859" s="14" t="inlineStr">
        <is>
          <t>10 EVIDENCE &amp; DECISIONS</t>
        </is>
      </c>
    </row>
    <row r="860" ht="34" customHeight="1">
      <c r="A860" s="23" t="inlineStr">
        <is>
          <t>Contractor Programme</t>
        </is>
      </c>
      <c r="B860" s="23" t="inlineStr">
        <is>
          <t>SCH-04-050</t>
        </is>
      </c>
      <c r="C860" s="23" t="inlineStr">
        <is>
          <t>Operations building: wheel-lathe installation - turnover</t>
        </is>
      </c>
      <c r="D860" s="23" t="inlineStr">
        <is>
          <t>WBS Code = 1.4.1</t>
        </is>
      </c>
      <c r="E860" s="23" t="inlineStr">
        <is>
          <t>R590-v2</t>
        </is>
      </c>
      <c r="F860" s="23" t="inlineStr">
        <is>
          <t>1.4.1 Vehicles and Depot - Fleet Supply</t>
        </is>
      </c>
      <c r="G860" s="23" t="inlineStr">
        <is>
          <t>ONE_TO_ONE</t>
        </is>
      </c>
      <c r="H860" s="23" t="inlineStr">
        <is>
          <t>RETAINED</t>
        </is>
      </c>
      <c r="I860" s="23" t="inlineStr">
        <is>
          <t>Carried forward</t>
        </is>
      </c>
      <c r="J860" s="23" t="inlineStr">
        <is>
          <t>Source assignment -- not individually reviewed</t>
        </is>
      </c>
      <c r="K860" s="23" t="inlineStr"/>
      <c r="L860" s="23" t="inlineStr"/>
      <c r="M860" s="23" t="inlineStr"/>
      <c r="N860" s="14" t="inlineStr">
        <is>
          <t>10 EVIDENCE &amp; DECISIONS</t>
        </is>
      </c>
    </row>
    <row r="861" ht="34" customHeight="1">
      <c r="A861" s="23" t="inlineStr">
        <is>
          <t>Contractor Programme</t>
        </is>
      </c>
      <c r="B861" s="23" t="inlineStr">
        <is>
          <t>SCH-04-052</t>
        </is>
      </c>
      <c r="C861" s="23" t="inlineStr">
        <is>
          <t>Receiving track: vehicle delivery inspection - field start</t>
        </is>
      </c>
      <c r="D861" s="23" t="inlineStr">
        <is>
          <t>WBS Code = 1.4.1</t>
        </is>
      </c>
      <c r="E861" s="23" t="inlineStr">
        <is>
          <t>R592-v2</t>
        </is>
      </c>
      <c r="F861" s="23" t="inlineStr">
        <is>
          <t>1.4.1 Vehicles and Depot - Fleet Supply</t>
        </is>
      </c>
      <c r="G861" s="23" t="inlineStr">
        <is>
          <t>ONE_TO_ONE</t>
        </is>
      </c>
      <c r="H861" s="23" t="inlineStr">
        <is>
          <t>RETAINED</t>
        </is>
      </c>
      <c r="I861" s="23" t="inlineStr">
        <is>
          <t>Carried forward</t>
        </is>
      </c>
      <c r="J861" s="23" t="inlineStr">
        <is>
          <t>Source assignment -- not individually reviewed</t>
        </is>
      </c>
      <c r="K861" s="23" t="inlineStr"/>
      <c r="L861" s="23" t="inlineStr"/>
      <c r="M861" s="23" t="inlineStr"/>
      <c r="N861" s="14" t="inlineStr">
        <is>
          <t>10 EVIDENCE &amp; DECISIONS</t>
        </is>
      </c>
    </row>
    <row r="862" ht="34" customHeight="1">
      <c r="A862" s="23" t="inlineStr">
        <is>
          <t>Contractor Programme</t>
        </is>
      </c>
      <c r="B862" s="23" t="inlineStr">
        <is>
          <t>SCH-04-053</t>
        </is>
      </c>
      <c r="C862" s="23" t="inlineStr">
        <is>
          <t>Maintenance shop: wash-plant commissioning - installation</t>
        </is>
      </c>
      <c r="D862" s="23" t="inlineStr">
        <is>
          <t>WBS Code = 1.4.1</t>
        </is>
      </c>
      <c r="E862" s="23" t="inlineStr">
        <is>
          <t>R593-v2</t>
        </is>
      </c>
      <c r="F862" s="23" t="inlineStr">
        <is>
          <t>1.4.1 Vehicles and Depot - Fleet Supply</t>
        </is>
      </c>
      <c r="G862" s="23" t="inlineStr">
        <is>
          <t>ONE_TO_ONE</t>
        </is>
      </c>
      <c r="H862" s="23" t="inlineStr">
        <is>
          <t>RETAINED</t>
        </is>
      </c>
      <c r="I862" s="23" t="inlineStr">
        <is>
          <t>Carried forward</t>
        </is>
      </c>
      <c r="J862" s="23" t="inlineStr">
        <is>
          <t>Source assignment -- not individually reviewed</t>
        </is>
      </c>
      <c r="K862" s="23" t="inlineStr"/>
      <c r="L862" s="23" t="inlineStr"/>
      <c r="M862" s="23" t="inlineStr"/>
      <c r="N862" s="14" t="inlineStr">
        <is>
          <t>10 EVIDENCE &amp; DECISIONS</t>
        </is>
      </c>
    </row>
    <row r="863" ht="34" customHeight="1">
      <c r="A863" s="23" t="inlineStr">
        <is>
          <t>Contractor Programme</t>
        </is>
      </c>
      <c r="B863" s="23" t="inlineStr">
        <is>
          <t>SCH-04-055</t>
        </is>
      </c>
      <c r="C863" s="23" t="inlineStr">
        <is>
          <t>Operations building: depot structural fit-out - turnover</t>
        </is>
      </c>
      <c r="D863" s="23" t="inlineStr">
        <is>
          <t>WBS Code = 1.4.1</t>
        </is>
      </c>
      <c r="E863" s="23" t="inlineStr">
        <is>
          <t>R595-v2</t>
        </is>
      </c>
      <c r="F863" s="23" t="inlineStr">
        <is>
          <t>1.4.1 Vehicles and Depot - Fleet Supply</t>
        </is>
      </c>
      <c r="G863" s="23" t="inlineStr">
        <is>
          <t>ONE_TO_ONE</t>
        </is>
      </c>
      <c r="H863" s="23" t="inlineStr">
        <is>
          <t>RETAINED</t>
        </is>
      </c>
      <c r="I863" s="23" t="inlineStr">
        <is>
          <t>Carried forward</t>
        </is>
      </c>
      <c r="J863" s="23" t="inlineStr">
        <is>
          <t>Source assignment -- not individually reviewed</t>
        </is>
      </c>
      <c r="K863" s="23" t="inlineStr"/>
      <c r="L863" s="23" t="inlineStr"/>
      <c r="M863" s="23" t="inlineStr"/>
      <c r="N863" s="14" t="inlineStr">
        <is>
          <t>10 EVIDENCE &amp; DECISIONS</t>
        </is>
      </c>
    </row>
    <row r="864" ht="34" customHeight="1">
      <c r="A864" s="23" t="inlineStr">
        <is>
          <t>Contractor Programme</t>
        </is>
      </c>
      <c r="B864" s="23" t="inlineStr">
        <is>
          <t>SCH-04-056</t>
        </is>
      </c>
      <c r="C864" s="23" t="inlineStr">
        <is>
          <t>Test track: workshop crane installation - release</t>
        </is>
      </c>
      <c r="D864" s="23" t="inlineStr">
        <is>
          <t>WBS Code = 1.4.1</t>
        </is>
      </c>
      <c r="E864" s="23" t="inlineStr">
        <is>
          <t>R596-v2</t>
        </is>
      </c>
      <c r="F864" s="23" t="inlineStr">
        <is>
          <t>1.4.1 Vehicles and Depot - Fleet Supply</t>
        </is>
      </c>
      <c r="G864" s="23" t="inlineStr">
        <is>
          <t>ONE_TO_ONE</t>
        </is>
      </c>
      <c r="H864" s="23" t="inlineStr">
        <is>
          <t>RETAINED</t>
        </is>
      </c>
      <c r="I864" s="23" t="inlineStr">
        <is>
          <t>Carried forward</t>
        </is>
      </c>
      <c r="J864" s="23" t="inlineStr">
        <is>
          <t>Source assignment -- not individually reviewed</t>
        </is>
      </c>
      <c r="K864" s="23" t="inlineStr"/>
      <c r="L864" s="23" t="inlineStr"/>
      <c r="M864" s="23" t="inlineStr"/>
      <c r="N864" s="14" t="inlineStr">
        <is>
          <t>10 EVIDENCE &amp; DECISIONS</t>
        </is>
      </c>
    </row>
    <row r="865" ht="34" customHeight="1">
      <c r="A865" s="23" t="inlineStr">
        <is>
          <t>Contractor Programme</t>
        </is>
      </c>
      <c r="B865" s="23" t="inlineStr">
        <is>
          <t>SCH-04-058</t>
        </is>
      </c>
      <c r="C865" s="23" t="inlineStr">
        <is>
          <t>Maintenance shop: wheel-lathe installation - installation</t>
        </is>
      </c>
      <c r="D865" s="23" t="inlineStr">
        <is>
          <t>WBS Code = 1.4.1</t>
        </is>
      </c>
      <c r="E865" s="23" t="inlineStr">
        <is>
          <t>R598-v2</t>
        </is>
      </c>
      <c r="F865" s="23" t="inlineStr">
        <is>
          <t>1.4.1 Vehicles and Depot - Fleet Supply</t>
        </is>
      </c>
      <c r="G865" s="23" t="inlineStr">
        <is>
          <t>ONE_TO_ONE</t>
        </is>
      </c>
      <c r="H865" s="23" t="inlineStr">
        <is>
          <t>RETAINED</t>
        </is>
      </c>
      <c r="I865" s="23" t="inlineStr">
        <is>
          <t>Carried forward</t>
        </is>
      </c>
      <c r="J865" s="23" t="inlineStr">
        <is>
          <t>Source assignment -- not individually reviewed</t>
        </is>
      </c>
      <c r="K865" s="23" t="inlineStr"/>
      <c r="L865" s="23" t="inlineStr"/>
      <c r="M865" s="23" t="inlineStr"/>
      <c r="N865" s="14" t="inlineStr">
        <is>
          <t>10 EVIDENCE &amp; DECISIONS</t>
        </is>
      </c>
    </row>
    <row r="866" ht="34" customHeight="1">
      <c r="A866" s="23" t="inlineStr">
        <is>
          <t>Contractor Programme</t>
        </is>
      </c>
      <c r="B866" s="23" t="inlineStr">
        <is>
          <t>SCH-04-059</t>
        </is>
      </c>
      <c r="C866" s="23" t="inlineStr">
        <is>
          <t>Storage yard: fleet software load - inspection</t>
        </is>
      </c>
      <c r="D866" s="23" t="inlineStr">
        <is>
          <t>WBS Code = 1.4.1</t>
        </is>
      </c>
      <c r="E866" s="23" t="inlineStr">
        <is>
          <t>R599-v2</t>
        </is>
      </c>
      <c r="F866" s="23" t="inlineStr">
        <is>
          <t>1.4.1 Vehicles and Depot - Fleet Supply</t>
        </is>
      </c>
      <c r="G866" s="23" t="inlineStr">
        <is>
          <t>ONE_TO_ONE</t>
        </is>
      </c>
      <c r="H866" s="23" t="inlineStr">
        <is>
          <t>RETAINED</t>
        </is>
      </c>
      <c r="I866" s="23" t="inlineStr">
        <is>
          <t>Carried forward</t>
        </is>
      </c>
      <c r="J866" s="23" t="inlineStr">
        <is>
          <t>Source assignment -- not individually reviewed</t>
        </is>
      </c>
      <c r="K866" s="23" t="inlineStr"/>
      <c r="L866" s="23" t="inlineStr"/>
      <c r="M866" s="23" t="inlineStr"/>
      <c r="N866" s="14" t="inlineStr">
        <is>
          <t>10 EVIDENCE &amp; DECISIONS</t>
        </is>
      </c>
    </row>
    <row r="867" ht="34" customHeight="1">
      <c r="A867" s="23" t="inlineStr">
        <is>
          <t>Contractor Programme</t>
        </is>
      </c>
      <c r="B867" s="23" t="inlineStr">
        <is>
          <t>SCH-04-061</t>
        </is>
      </c>
      <c r="C867" s="23" t="inlineStr">
        <is>
          <t>Test track: wash-plant commissioning - release</t>
        </is>
      </c>
      <c r="D867" s="23" t="inlineStr">
        <is>
          <t>WBS Code = 1.4.1</t>
        </is>
      </c>
      <c r="E867" s="23" t="inlineStr">
        <is>
          <t>R601-v2</t>
        </is>
      </c>
      <c r="F867" s="23" t="inlineStr">
        <is>
          <t>1.4.1 Vehicles and Depot - Fleet Supply</t>
        </is>
      </c>
      <c r="G867" s="23" t="inlineStr">
        <is>
          <t>ONE_TO_ONE</t>
        </is>
      </c>
      <c r="H867" s="23" t="inlineStr">
        <is>
          <t>RETAINED</t>
        </is>
      </c>
      <c r="I867" s="23" t="inlineStr">
        <is>
          <t>Carried forward</t>
        </is>
      </c>
      <c r="J867" s="23" t="inlineStr">
        <is>
          <t>Source assignment -- not individually reviewed</t>
        </is>
      </c>
      <c r="K867" s="23" t="inlineStr"/>
      <c r="L867" s="23" t="inlineStr"/>
      <c r="M867" s="23" t="inlineStr"/>
      <c r="N867" s="14" t="inlineStr">
        <is>
          <t>10 EVIDENCE &amp; DECISIONS</t>
        </is>
      </c>
    </row>
    <row r="868" ht="34" customHeight="1">
      <c r="A868" s="23" t="inlineStr">
        <is>
          <t>Contractor Programme</t>
        </is>
      </c>
      <c r="B868" s="23" t="inlineStr">
        <is>
          <t>SCH-04-062</t>
        </is>
      </c>
      <c r="C868" s="23" t="inlineStr">
        <is>
          <t>Receiving track: maintenance-bay services - field start</t>
        </is>
      </c>
      <c r="D868" s="23" t="inlineStr">
        <is>
          <t>WBS Code = 1.4.1</t>
        </is>
      </c>
      <c r="E868" s="23" t="inlineStr">
        <is>
          <t>R602-v2</t>
        </is>
      </c>
      <c r="F868" s="23" t="inlineStr">
        <is>
          <t>1.4.1 Vehicles and Depot - Fleet Supply</t>
        </is>
      </c>
      <c r="G868" s="23" t="inlineStr">
        <is>
          <t>ONE_TO_ONE</t>
        </is>
      </c>
      <c r="H868" s="23" t="inlineStr">
        <is>
          <t>RETAINED</t>
        </is>
      </c>
      <c r="I868" s="23" t="inlineStr">
        <is>
          <t>Carried forward</t>
        </is>
      </c>
      <c r="J868" s="23" t="inlineStr">
        <is>
          <t>Source assignment -- not individually reviewed</t>
        </is>
      </c>
      <c r="K868" s="23" t="inlineStr"/>
      <c r="L868" s="23" t="inlineStr"/>
      <c r="M868" s="23" t="inlineStr"/>
      <c r="N868" s="14" t="inlineStr">
        <is>
          <t>10 EVIDENCE &amp; DECISIONS</t>
        </is>
      </c>
    </row>
    <row r="869" ht="34" customHeight="1">
      <c r="A869" s="23" t="inlineStr">
        <is>
          <t>Contractor Programme</t>
        </is>
      </c>
      <c r="B869" s="23" t="inlineStr">
        <is>
          <t>SCH-04-064</t>
        </is>
      </c>
      <c r="C869" s="23" t="inlineStr">
        <is>
          <t>Storage yard: workshop crane installation - inspection</t>
        </is>
      </c>
      <c r="D869" s="23" t="inlineStr">
        <is>
          <t>WBS Code = 1.4.1</t>
        </is>
      </c>
      <c r="E869" s="23" t="inlineStr">
        <is>
          <t>R604-v2</t>
        </is>
      </c>
      <c r="F869" s="23" t="inlineStr">
        <is>
          <t>1.4.1 Vehicles and Depot - Fleet Supply</t>
        </is>
      </c>
      <c r="G869" s="23" t="inlineStr">
        <is>
          <t>ONE_TO_ONE</t>
        </is>
      </c>
      <c r="H869" s="23" t="inlineStr">
        <is>
          <t>RETAINED</t>
        </is>
      </c>
      <c r="I869" s="23" t="inlineStr">
        <is>
          <t>Carried forward</t>
        </is>
      </c>
      <c r="J869" s="23" t="inlineStr">
        <is>
          <t>Source assignment -- not individually reviewed</t>
        </is>
      </c>
      <c r="K869" s="23" t="inlineStr"/>
      <c r="L869" s="23" t="inlineStr"/>
      <c r="M869" s="23" t="inlineStr"/>
      <c r="N869" s="14" t="inlineStr">
        <is>
          <t>10 EVIDENCE &amp; DECISIONS</t>
        </is>
      </c>
    </row>
    <row r="870" ht="34" customHeight="1">
      <c r="A870" s="23" t="inlineStr">
        <is>
          <t>Contractor Programme</t>
        </is>
      </c>
      <c r="B870" s="23" t="inlineStr">
        <is>
          <t>SCH-04-065</t>
        </is>
      </c>
      <c r="C870" s="23" t="inlineStr">
        <is>
          <t>Operations building: vehicle-to-depot interface check - turnover</t>
        </is>
      </c>
      <c r="D870" s="23" t="inlineStr">
        <is>
          <t>WBS Code = 1.4.1</t>
        </is>
      </c>
      <c r="E870" s="23" t="inlineStr">
        <is>
          <t>R605-v2</t>
        </is>
      </c>
      <c r="F870" s="23" t="inlineStr">
        <is>
          <t>1.4.1 Vehicles and Depot - Fleet Supply</t>
        </is>
      </c>
      <c r="G870" s="23" t="inlineStr">
        <is>
          <t>ONE_TO_ONE</t>
        </is>
      </c>
      <c r="H870" s="23" t="inlineStr">
        <is>
          <t>RETAINED</t>
        </is>
      </c>
      <c r="I870" s="23" t="inlineStr">
        <is>
          <t>Carried forward</t>
        </is>
      </c>
      <c r="J870" s="23" t="inlineStr">
        <is>
          <t>Source assignment -- not individually reviewed</t>
        </is>
      </c>
      <c r="K870" s="23" t="inlineStr"/>
      <c r="L870" s="23" t="inlineStr"/>
      <c r="M870" s="23" t="inlineStr"/>
      <c r="N870" s="14" t="inlineStr">
        <is>
          <t>10 EVIDENCE &amp; DECISIONS</t>
        </is>
      </c>
    </row>
    <row r="871" ht="34" customHeight="1">
      <c r="A871" s="23" t="inlineStr">
        <is>
          <t>Contractor Programme</t>
        </is>
      </c>
      <c r="B871" s="23" t="inlineStr">
        <is>
          <t>SCH-04-067</t>
        </is>
      </c>
      <c r="C871" s="23" t="inlineStr">
        <is>
          <t>Receiving track: fleet software load - field start</t>
        </is>
      </c>
      <c r="D871" s="23" t="inlineStr">
        <is>
          <t>WBS Code = 1.4.1</t>
        </is>
      </c>
      <c r="E871" s="23" t="inlineStr">
        <is>
          <t>R607-v2</t>
        </is>
      </c>
      <c r="F871" s="23" t="inlineStr">
        <is>
          <t>1.4.1 Vehicles and Depot - Fleet Supply</t>
        </is>
      </c>
      <c r="G871" s="23" t="inlineStr">
        <is>
          <t>ONE_TO_ONE</t>
        </is>
      </c>
      <c r="H871" s="23" t="inlineStr">
        <is>
          <t>RETAINED</t>
        </is>
      </c>
      <c r="I871" s="23" t="inlineStr">
        <is>
          <t>Carried forward</t>
        </is>
      </c>
      <c r="J871" s="23" t="inlineStr">
        <is>
          <t>Source assignment -- not individually reviewed</t>
        </is>
      </c>
      <c r="K871" s="23" t="inlineStr"/>
      <c r="L871" s="23" t="inlineStr"/>
      <c r="M871" s="23" t="inlineStr"/>
      <c r="N871" s="14" t="inlineStr">
        <is>
          <t>10 EVIDENCE &amp; DECISIONS</t>
        </is>
      </c>
    </row>
    <row r="872" ht="34" customHeight="1">
      <c r="A872" s="23" t="inlineStr">
        <is>
          <t>Contractor Programme</t>
        </is>
      </c>
      <c r="B872" s="23" t="inlineStr">
        <is>
          <t>SCH-04-068</t>
        </is>
      </c>
      <c r="C872" s="23" t="inlineStr">
        <is>
          <t>Maintenance shop: vehicle delivery inspection - installation</t>
        </is>
      </c>
      <c r="D872" s="23" t="inlineStr">
        <is>
          <t>WBS Code = 1.4.1</t>
        </is>
      </c>
      <c r="E872" s="23" t="inlineStr">
        <is>
          <t>R608-v2</t>
        </is>
      </c>
      <c r="F872" s="23" t="inlineStr">
        <is>
          <t>1.4.1 Vehicles and Depot - Fleet Supply</t>
        </is>
      </c>
      <c r="G872" s="23" t="inlineStr">
        <is>
          <t>ONE_TO_ONE</t>
        </is>
      </c>
      <c r="H872" s="23" t="inlineStr">
        <is>
          <t>RETAINED</t>
        </is>
      </c>
      <c r="I872" s="23" t="inlineStr">
        <is>
          <t>Carried forward</t>
        </is>
      </c>
      <c r="J872" s="23" t="inlineStr">
        <is>
          <t>Source assignment -- not individually reviewed</t>
        </is>
      </c>
      <c r="K872" s="23" t="inlineStr"/>
      <c r="L872" s="23" t="inlineStr"/>
      <c r="M872" s="23" t="inlineStr"/>
      <c r="N872" s="14" t="inlineStr">
        <is>
          <t>10 EVIDENCE &amp; DECISIONS</t>
        </is>
      </c>
    </row>
    <row r="873" ht="34" customHeight="1">
      <c r="A873" s="23" t="inlineStr">
        <is>
          <t>Contractor Programme</t>
        </is>
      </c>
      <c r="B873" s="23" t="inlineStr">
        <is>
          <t>SCH-04-070</t>
        </is>
      </c>
      <c r="C873" s="23" t="inlineStr">
        <is>
          <t>Operations building: maintenance-bay services - turnover</t>
        </is>
      </c>
      <c r="D873" s="23" t="inlineStr">
        <is>
          <t>WBS Code = 1.4.1</t>
        </is>
      </c>
      <c r="E873" s="23" t="inlineStr">
        <is>
          <t>R610-v2</t>
        </is>
      </c>
      <c r="F873" s="23" t="inlineStr">
        <is>
          <t>1.4.1 Vehicles and Depot - Fleet Supply</t>
        </is>
      </c>
      <c r="G873" s="23" t="inlineStr">
        <is>
          <t>ONE_TO_ONE</t>
        </is>
      </c>
      <c r="H873" s="23" t="inlineStr">
        <is>
          <t>RETAINED</t>
        </is>
      </c>
      <c r="I873" s="23" t="inlineStr">
        <is>
          <t>Carried forward</t>
        </is>
      </c>
      <c r="J873" s="23" t="inlineStr">
        <is>
          <t>Source assignment -- not individually reviewed</t>
        </is>
      </c>
      <c r="K873" s="23" t="inlineStr"/>
      <c r="L873" s="23" t="inlineStr"/>
      <c r="M873" s="23" t="inlineStr"/>
      <c r="N873" s="14" t="inlineStr">
        <is>
          <t>10 EVIDENCE &amp; DECISIONS</t>
        </is>
      </c>
    </row>
    <row r="874" ht="34" customHeight="1">
      <c r="A874" s="23" t="inlineStr">
        <is>
          <t>Contractor Programme</t>
        </is>
      </c>
      <c r="B874" s="23" t="inlineStr">
        <is>
          <t>SCH-04-071</t>
        </is>
      </c>
      <c r="C874" s="23" t="inlineStr">
        <is>
          <t>Test track: depot structural fit-out - release</t>
        </is>
      </c>
      <c r="D874" s="23" t="inlineStr">
        <is>
          <t>WBS Code = 1.4.1</t>
        </is>
      </c>
      <c r="E874" s="23" t="inlineStr">
        <is>
          <t>R611-v2</t>
        </is>
      </c>
      <c r="F874" s="23" t="inlineStr">
        <is>
          <t>1.4.1 Vehicles and Depot - Fleet Supply</t>
        </is>
      </c>
      <c r="G874" s="23" t="inlineStr">
        <is>
          <t>ONE_TO_ONE</t>
        </is>
      </c>
      <c r="H874" s="23" t="inlineStr">
        <is>
          <t>RETAINED</t>
        </is>
      </c>
      <c r="I874" s="23" t="inlineStr">
        <is>
          <t>Carried forward</t>
        </is>
      </c>
      <c r="J874" s="23" t="inlineStr">
        <is>
          <t>Source assignment -- not individually reviewed</t>
        </is>
      </c>
      <c r="K874" s="23" t="inlineStr"/>
      <c r="L874" s="23" t="inlineStr"/>
      <c r="M874" s="23" t="inlineStr"/>
      <c r="N874" s="14" t="inlineStr">
        <is>
          <t>10 EVIDENCE &amp; DECISIONS</t>
        </is>
      </c>
    </row>
    <row r="875" ht="34" customHeight="1">
      <c r="A875" s="23" t="inlineStr">
        <is>
          <t>Contractor Programme</t>
        </is>
      </c>
      <c r="B875" s="23" t="inlineStr">
        <is>
          <t>SCH-04-073</t>
        </is>
      </c>
      <c r="C875" s="23" t="inlineStr">
        <is>
          <t>Maintenance shop: vehicle-to-depot interface check - installation</t>
        </is>
      </c>
      <c r="D875" s="23" t="inlineStr">
        <is>
          <t>WBS Code = 1.4.1</t>
        </is>
      </c>
      <c r="E875" s="23" t="inlineStr">
        <is>
          <t>R613-v2</t>
        </is>
      </c>
      <c r="F875" s="23" t="inlineStr">
        <is>
          <t>1.4.1 Vehicles and Depot - Fleet Supply</t>
        </is>
      </c>
      <c r="G875" s="23" t="inlineStr">
        <is>
          <t>ONE_TO_ONE</t>
        </is>
      </c>
      <c r="H875" s="23" t="inlineStr">
        <is>
          <t>RETAINED</t>
        </is>
      </c>
      <c r="I875" s="23" t="inlineStr">
        <is>
          <t>Carried forward</t>
        </is>
      </c>
      <c r="J875" s="23" t="inlineStr">
        <is>
          <t>Source assignment -- not individually reviewed</t>
        </is>
      </c>
      <c r="K875" s="23" t="inlineStr"/>
      <c r="L875" s="23" t="inlineStr"/>
      <c r="M875" s="23" t="inlineStr"/>
      <c r="N875" s="14" t="inlineStr">
        <is>
          <t>10 EVIDENCE &amp; DECISIONS</t>
        </is>
      </c>
    </row>
    <row r="876" ht="34" customHeight="1">
      <c r="A876" s="23" t="inlineStr">
        <is>
          <t>Contractor Programme</t>
        </is>
      </c>
      <c r="B876" s="23" t="inlineStr">
        <is>
          <t>SCH-04-074</t>
        </is>
      </c>
      <c r="C876" s="23" t="inlineStr">
        <is>
          <t>Storage yard: wheel-lathe installation - inspection</t>
        </is>
      </c>
      <c r="D876" s="23" t="inlineStr">
        <is>
          <t>WBS Code = 1.4.1</t>
        </is>
      </c>
      <c r="E876" s="23" t="inlineStr">
        <is>
          <t>R614-v2</t>
        </is>
      </c>
      <c r="F876" s="23" t="inlineStr">
        <is>
          <t>1.4.1 Vehicles and Depot - Fleet Supply</t>
        </is>
      </c>
      <c r="G876" s="23" t="inlineStr">
        <is>
          <t>ONE_TO_ONE</t>
        </is>
      </c>
      <c r="H876" s="23" t="inlineStr">
        <is>
          <t>RETAINED</t>
        </is>
      </c>
      <c r="I876" s="23" t="inlineStr">
        <is>
          <t>Carried forward</t>
        </is>
      </c>
      <c r="J876" s="23" t="inlineStr">
        <is>
          <t>Source assignment -- not individually reviewed</t>
        </is>
      </c>
      <c r="K876" s="23" t="inlineStr"/>
      <c r="L876" s="23" t="inlineStr"/>
      <c r="M876" s="23" t="inlineStr"/>
      <c r="N876" s="14" t="inlineStr">
        <is>
          <t>10 EVIDENCE &amp; DECISIONS</t>
        </is>
      </c>
    </row>
    <row r="877" ht="34" customHeight="1">
      <c r="A877" s="23" t="inlineStr">
        <is>
          <t>Contractor Programme</t>
        </is>
      </c>
      <c r="B877" s="23" t="inlineStr">
        <is>
          <t>SCH-04-076</t>
        </is>
      </c>
      <c r="C877" s="23" t="inlineStr">
        <is>
          <t>Test track: vehicle delivery inspection - release</t>
        </is>
      </c>
      <c r="D877" s="23" t="inlineStr">
        <is>
          <t>WBS Code = 1.4.1</t>
        </is>
      </c>
      <c r="E877" s="23" t="inlineStr">
        <is>
          <t>R616-v2</t>
        </is>
      </c>
      <c r="F877" s="23" t="inlineStr">
        <is>
          <t>1.4.1 Vehicles and Depot - Fleet Supply</t>
        </is>
      </c>
      <c r="G877" s="23" t="inlineStr">
        <is>
          <t>ONE_TO_ONE</t>
        </is>
      </c>
      <c r="H877" s="23" t="inlineStr">
        <is>
          <t>RETAINED</t>
        </is>
      </c>
      <c r="I877" s="23" t="inlineStr">
        <is>
          <t>Carried forward</t>
        </is>
      </c>
      <c r="J877" s="23" t="inlineStr">
        <is>
          <t>Source assignment -- not individually reviewed</t>
        </is>
      </c>
      <c r="K877" s="23" t="inlineStr"/>
      <c r="L877" s="23" t="inlineStr"/>
      <c r="M877" s="23" t="inlineStr"/>
      <c r="N877" s="14" t="inlineStr">
        <is>
          <t>10 EVIDENCE &amp; DECISIONS</t>
        </is>
      </c>
    </row>
    <row r="878" ht="34" customHeight="1">
      <c r="A878" s="23" t="inlineStr">
        <is>
          <t>Contractor Programme</t>
        </is>
      </c>
      <c r="B878" s="23" t="inlineStr">
        <is>
          <t>SCH-04-077</t>
        </is>
      </c>
      <c r="C878" s="23" t="inlineStr">
        <is>
          <t>Receiving track: wash-plant commissioning - field start</t>
        </is>
      </c>
      <c r="D878" s="23" t="inlineStr">
        <is>
          <t>WBS Code = 1.4.1</t>
        </is>
      </c>
      <c r="E878" s="23" t="inlineStr">
        <is>
          <t>R617-v2</t>
        </is>
      </c>
      <c r="F878" s="23" t="inlineStr">
        <is>
          <t>1.4.1 Vehicles and Depot - Fleet Supply</t>
        </is>
      </c>
      <c r="G878" s="23" t="inlineStr">
        <is>
          <t>ONE_TO_ONE</t>
        </is>
      </c>
      <c r="H878" s="23" t="inlineStr">
        <is>
          <t>RETAINED</t>
        </is>
      </c>
      <c r="I878" s="23" t="inlineStr">
        <is>
          <t>Carried forward</t>
        </is>
      </c>
      <c r="J878" s="23" t="inlineStr">
        <is>
          <t>Source assignment -- not individually reviewed</t>
        </is>
      </c>
      <c r="K878" s="23" t="inlineStr"/>
      <c r="L878" s="23" t="inlineStr"/>
      <c r="M878" s="23" t="inlineStr"/>
      <c r="N878" s="14" t="inlineStr">
        <is>
          <t>10 EVIDENCE &amp; DECISIONS</t>
        </is>
      </c>
    </row>
    <row r="879" ht="34" customHeight="1">
      <c r="A879" s="23" t="inlineStr">
        <is>
          <t>Contractor Programme</t>
        </is>
      </c>
      <c r="B879" s="23" t="inlineStr">
        <is>
          <t>SCH-04-079</t>
        </is>
      </c>
      <c r="C879" s="23" t="inlineStr">
        <is>
          <t>Storage yard: depot structural fit-out - inspection</t>
        </is>
      </c>
      <c r="D879" s="23" t="inlineStr">
        <is>
          <t>WBS Code = 1.4.1</t>
        </is>
      </c>
      <c r="E879" s="23" t="inlineStr">
        <is>
          <t>R619-v2</t>
        </is>
      </c>
      <c r="F879" s="23" t="inlineStr">
        <is>
          <t>1.4.1 Vehicles and Depot - Fleet Supply</t>
        </is>
      </c>
      <c r="G879" s="23" t="inlineStr">
        <is>
          <t>ONE_TO_ONE</t>
        </is>
      </c>
      <c r="H879" s="23" t="inlineStr">
        <is>
          <t>RETAINED</t>
        </is>
      </c>
      <c r="I879" s="23" t="inlineStr">
        <is>
          <t>Carried forward</t>
        </is>
      </c>
      <c r="J879" s="23" t="inlineStr">
        <is>
          <t>Source assignment -- not individually reviewed</t>
        </is>
      </c>
      <c r="K879" s="23" t="inlineStr"/>
      <c r="L879" s="23" t="inlineStr"/>
      <c r="M879" s="23" t="inlineStr"/>
      <c r="N879" s="14" t="inlineStr">
        <is>
          <t>10 EVIDENCE &amp; DECISIONS</t>
        </is>
      </c>
    </row>
    <row r="880" ht="34" customHeight="1">
      <c r="A880" s="23" t="inlineStr">
        <is>
          <t>Contractor Programme</t>
        </is>
      </c>
      <c r="B880" s="23" t="inlineStr">
        <is>
          <t>SCH-04-080</t>
        </is>
      </c>
      <c r="C880" s="23" t="inlineStr">
        <is>
          <t>Operations building: workshop crane installation - turnover</t>
        </is>
      </c>
      <c r="D880" s="23" t="inlineStr">
        <is>
          <t>WBS Code = 1.4.1</t>
        </is>
      </c>
      <c r="E880" s="23" t="inlineStr">
        <is>
          <t>R620-v2</t>
        </is>
      </c>
      <c r="F880" s="23" t="inlineStr">
        <is>
          <t>1.4.1 Vehicles and Depot - Fleet Supply</t>
        </is>
      </c>
      <c r="G880" s="23" t="inlineStr">
        <is>
          <t>ONE_TO_ONE</t>
        </is>
      </c>
      <c r="H880" s="23" t="inlineStr">
        <is>
          <t>RETAINED</t>
        </is>
      </c>
      <c r="I880" s="23" t="inlineStr">
        <is>
          <t>Carried forward</t>
        </is>
      </c>
      <c r="J880" s="23" t="inlineStr">
        <is>
          <t>Source assignment -- not individually reviewed</t>
        </is>
      </c>
      <c r="K880" s="23" t="inlineStr"/>
      <c r="L880" s="23" t="inlineStr"/>
      <c r="M880" s="23" t="inlineStr"/>
      <c r="N880" s="14" t="inlineStr">
        <is>
          <t>10 EVIDENCE &amp; DECISIONS</t>
        </is>
      </c>
    </row>
    <row r="881" ht="34" customHeight="1">
      <c r="A881" s="23" t="inlineStr">
        <is>
          <t>Contractor Programme</t>
        </is>
      </c>
      <c r="B881" s="23" t="inlineStr">
        <is>
          <t>SCH-04-082</t>
        </is>
      </c>
      <c r="C881" s="23" t="inlineStr">
        <is>
          <t>Receiving track: wheel-lathe installation - field start</t>
        </is>
      </c>
      <c r="D881" s="23" t="inlineStr">
        <is>
          <t>WBS Code = 1.4.1</t>
        </is>
      </c>
      <c r="E881" s="23" t="inlineStr">
        <is>
          <t>R622-v2</t>
        </is>
      </c>
      <c r="F881" s="23" t="inlineStr">
        <is>
          <t>1.4.1 Vehicles and Depot - Fleet Supply</t>
        </is>
      </c>
      <c r="G881" s="23" t="inlineStr">
        <is>
          <t>ONE_TO_ONE</t>
        </is>
      </c>
      <c r="H881" s="23" t="inlineStr">
        <is>
          <t>RETAINED</t>
        </is>
      </c>
      <c r="I881" s="23" t="inlineStr">
        <is>
          <t>Carried forward</t>
        </is>
      </c>
      <c r="J881" s="23" t="inlineStr">
        <is>
          <t>Source assignment -- not individually reviewed</t>
        </is>
      </c>
      <c r="K881" s="23" t="inlineStr"/>
      <c r="L881" s="23" t="inlineStr"/>
      <c r="M881" s="23" t="inlineStr"/>
      <c r="N881" s="14" t="inlineStr">
        <is>
          <t>10 EVIDENCE &amp; DECISIONS</t>
        </is>
      </c>
    </row>
    <row r="882" ht="34" customHeight="1">
      <c r="A882" s="23" t="inlineStr">
        <is>
          <t>Contractor Programme</t>
        </is>
      </c>
      <c r="B882" s="23" t="inlineStr">
        <is>
          <t>SCH-04-083</t>
        </is>
      </c>
      <c r="C882" s="23" t="inlineStr">
        <is>
          <t>Maintenance shop: fleet software load - installation</t>
        </is>
      </c>
      <c r="D882" s="23" t="inlineStr">
        <is>
          <t>WBS Code = 1.4.1</t>
        </is>
      </c>
      <c r="E882" s="23" t="inlineStr">
        <is>
          <t>R623-v2</t>
        </is>
      </c>
      <c r="F882" s="23" t="inlineStr">
        <is>
          <t>1.4.1 Vehicles and Depot - Fleet Supply</t>
        </is>
      </c>
      <c r="G882" s="23" t="inlineStr">
        <is>
          <t>ONE_TO_ONE</t>
        </is>
      </c>
      <c r="H882" s="23" t="inlineStr">
        <is>
          <t>RETAINED</t>
        </is>
      </c>
      <c r="I882" s="23" t="inlineStr">
        <is>
          <t>Carried forward</t>
        </is>
      </c>
      <c r="J882" s="23" t="inlineStr">
        <is>
          <t>Source assignment -- not individually reviewed</t>
        </is>
      </c>
      <c r="K882" s="23" t="inlineStr"/>
      <c r="L882" s="23" t="inlineStr"/>
      <c r="M882" s="23" t="inlineStr"/>
      <c r="N882" s="14" t="inlineStr">
        <is>
          <t>10 EVIDENCE &amp; DECISIONS</t>
        </is>
      </c>
    </row>
    <row r="883" ht="34" customHeight="1">
      <c r="A883" s="23" t="inlineStr">
        <is>
          <t>Contractor Programme</t>
        </is>
      </c>
      <c r="B883" s="23" t="inlineStr">
        <is>
          <t>SCH-04-085</t>
        </is>
      </c>
      <c r="C883" s="23" t="inlineStr">
        <is>
          <t>Operations building: wash-plant commissioning - turnover</t>
        </is>
      </c>
      <c r="D883" s="23" t="inlineStr">
        <is>
          <t>WBS Code = 1.4.1</t>
        </is>
      </c>
      <c r="E883" s="23" t="inlineStr">
        <is>
          <t>R625-v2</t>
        </is>
      </c>
      <c r="F883" s="23" t="inlineStr">
        <is>
          <t>1.4.1 Vehicles and Depot - Fleet Supply</t>
        </is>
      </c>
      <c r="G883" s="23" t="inlineStr">
        <is>
          <t>ONE_TO_ONE</t>
        </is>
      </c>
      <c r="H883" s="23" t="inlineStr">
        <is>
          <t>RETAINED</t>
        </is>
      </c>
      <c r="I883" s="23" t="inlineStr">
        <is>
          <t>Carried forward</t>
        </is>
      </c>
      <c r="J883" s="23" t="inlineStr">
        <is>
          <t>Source assignment -- not individually reviewed</t>
        </is>
      </c>
      <c r="K883" s="23" t="inlineStr"/>
      <c r="L883" s="23" t="inlineStr"/>
      <c r="M883" s="23" t="inlineStr"/>
      <c r="N883" s="14" t="inlineStr">
        <is>
          <t>10 EVIDENCE &amp; DECISIONS</t>
        </is>
      </c>
    </row>
    <row r="884" ht="34" customHeight="1">
      <c r="A884" s="23" t="inlineStr">
        <is>
          <t>Contractor Programme</t>
        </is>
      </c>
      <c r="B884" s="23" t="inlineStr">
        <is>
          <t>SCH-04-086</t>
        </is>
      </c>
      <c r="C884" s="23" t="inlineStr">
        <is>
          <t>Test track: maintenance-bay services - release</t>
        </is>
      </c>
      <c r="D884" s="23" t="inlineStr">
        <is>
          <t>WBS Code = 1.4.1</t>
        </is>
      </c>
      <c r="E884" s="23" t="inlineStr">
        <is>
          <t>R626-v2</t>
        </is>
      </c>
      <c r="F884" s="23" t="inlineStr">
        <is>
          <t>1.4.1 Vehicles and Depot - Fleet Supply</t>
        </is>
      </c>
      <c r="G884" s="23" t="inlineStr">
        <is>
          <t>ONE_TO_ONE</t>
        </is>
      </c>
      <c r="H884" s="23" t="inlineStr">
        <is>
          <t>RETAINED</t>
        </is>
      </c>
      <c r="I884" s="23" t="inlineStr">
        <is>
          <t>Carried forward</t>
        </is>
      </c>
      <c r="J884" s="23" t="inlineStr">
        <is>
          <t>Source assignment -- not individually reviewed</t>
        </is>
      </c>
      <c r="K884" s="23" t="inlineStr"/>
      <c r="L884" s="23" t="inlineStr"/>
      <c r="M884" s="23" t="inlineStr"/>
      <c r="N884" s="14" t="inlineStr">
        <is>
          <t>10 EVIDENCE &amp; DECISIONS</t>
        </is>
      </c>
    </row>
    <row r="885" ht="34" customHeight="1">
      <c r="A885" s="23" t="inlineStr">
        <is>
          <t>Contractor Programme</t>
        </is>
      </c>
      <c r="B885" s="23" t="inlineStr">
        <is>
          <t>SCH-04-088</t>
        </is>
      </c>
      <c r="C885" s="23" t="inlineStr">
        <is>
          <t>Maintenance shop: workshop crane installation - installation</t>
        </is>
      </c>
      <c r="D885" s="23" t="inlineStr">
        <is>
          <t>WBS Code = 1.4.1</t>
        </is>
      </c>
      <c r="E885" s="23" t="inlineStr">
        <is>
          <t>R628-v2</t>
        </is>
      </c>
      <c r="F885" s="23" t="inlineStr">
        <is>
          <t>1.4.1 Vehicles and Depot - Fleet Supply</t>
        </is>
      </c>
      <c r="G885" s="23" t="inlineStr">
        <is>
          <t>ONE_TO_ONE</t>
        </is>
      </c>
      <c r="H885" s="23" t="inlineStr">
        <is>
          <t>RETAINED</t>
        </is>
      </c>
      <c r="I885" s="23" t="inlineStr">
        <is>
          <t>Carried forward</t>
        </is>
      </c>
      <c r="J885" s="23" t="inlineStr">
        <is>
          <t>Source assignment -- not individually reviewed</t>
        </is>
      </c>
      <c r="K885" s="23" t="inlineStr"/>
      <c r="L885" s="23" t="inlineStr"/>
      <c r="M885" s="23" t="inlineStr"/>
      <c r="N885" s="14" t="inlineStr">
        <is>
          <t>10 EVIDENCE &amp; DECISIONS</t>
        </is>
      </c>
    </row>
    <row r="886" ht="34" customHeight="1">
      <c r="A886" s="23" t="inlineStr">
        <is>
          <t>Contractor Programme</t>
        </is>
      </c>
      <c r="B886" s="23" t="inlineStr">
        <is>
          <t>SCH-04-089</t>
        </is>
      </c>
      <c r="C886" s="23" t="inlineStr">
        <is>
          <t>Storage yard: vehicle-to-depot interface check - inspection</t>
        </is>
      </c>
      <c r="D886" s="23" t="inlineStr">
        <is>
          <t>WBS Code = 1.4.1</t>
        </is>
      </c>
      <c r="E886" s="23" t="inlineStr">
        <is>
          <t>R629-v2</t>
        </is>
      </c>
      <c r="F886" s="23" t="inlineStr">
        <is>
          <t>1.4.1 Vehicles and Depot - Fleet Supply</t>
        </is>
      </c>
      <c r="G886" s="23" t="inlineStr">
        <is>
          <t>ONE_TO_ONE</t>
        </is>
      </c>
      <c r="H886" s="23" t="inlineStr">
        <is>
          <t>RETAINED</t>
        </is>
      </c>
      <c r="I886" s="23" t="inlineStr">
        <is>
          <t>Carried forward</t>
        </is>
      </c>
      <c r="J886" s="23" t="inlineStr">
        <is>
          <t>Source assignment -- not individually reviewed</t>
        </is>
      </c>
      <c r="K886" s="23" t="inlineStr"/>
      <c r="L886" s="23" t="inlineStr"/>
      <c r="M886" s="23" t="inlineStr"/>
      <c r="N886" s="14" t="inlineStr">
        <is>
          <t>10 EVIDENCE &amp; DECISIONS</t>
        </is>
      </c>
    </row>
    <row r="887" ht="34" customHeight="1">
      <c r="A887" s="23" t="inlineStr">
        <is>
          <t>Contractor Programme</t>
        </is>
      </c>
      <c r="B887" s="23" t="inlineStr">
        <is>
          <t>SCH-04-091</t>
        </is>
      </c>
      <c r="C887" s="23" t="inlineStr">
        <is>
          <t>Test track: fleet software load - release</t>
        </is>
      </c>
      <c r="D887" s="23" t="inlineStr">
        <is>
          <t>WBS Code = 1.4.1</t>
        </is>
      </c>
      <c r="E887" s="23" t="inlineStr">
        <is>
          <t>R631-v2</t>
        </is>
      </c>
      <c r="F887" s="23" t="inlineStr">
        <is>
          <t>1.4.1 Vehicles and Depot - Fleet Supply</t>
        </is>
      </c>
      <c r="G887" s="23" t="inlineStr">
        <is>
          <t>ONE_TO_ONE</t>
        </is>
      </c>
      <c r="H887" s="23" t="inlineStr">
        <is>
          <t>RETAINED</t>
        </is>
      </c>
      <c r="I887" s="23" t="inlineStr">
        <is>
          <t>Carried forward</t>
        </is>
      </c>
      <c r="J887" s="23" t="inlineStr">
        <is>
          <t>Source assignment -- not individually reviewed</t>
        </is>
      </c>
      <c r="K887" s="23" t="inlineStr"/>
      <c r="L887" s="23" t="inlineStr"/>
      <c r="M887" s="23" t="inlineStr"/>
      <c r="N887" s="14" t="inlineStr">
        <is>
          <t>10 EVIDENCE &amp; DECISIONS</t>
        </is>
      </c>
    </row>
    <row r="888" ht="34" customHeight="1">
      <c r="A888" s="23" t="inlineStr">
        <is>
          <t>Contractor Programme</t>
        </is>
      </c>
      <c r="B888" s="23" t="inlineStr">
        <is>
          <t>SCH-04-092</t>
        </is>
      </c>
      <c r="C888" s="23" t="inlineStr">
        <is>
          <t>Receiving track: vehicle delivery inspection - field start</t>
        </is>
      </c>
      <c r="D888" s="23" t="inlineStr">
        <is>
          <t>WBS Code = 1.4.1</t>
        </is>
      </c>
      <c r="E888" s="23" t="inlineStr">
        <is>
          <t>R632-v2</t>
        </is>
      </c>
      <c r="F888" s="23" t="inlineStr">
        <is>
          <t>1.4.1 Vehicles and Depot - Fleet Supply</t>
        </is>
      </c>
      <c r="G888" s="23" t="inlineStr">
        <is>
          <t>ONE_TO_ONE</t>
        </is>
      </c>
      <c r="H888" s="23" t="inlineStr">
        <is>
          <t>RETAINED</t>
        </is>
      </c>
      <c r="I888" s="23" t="inlineStr">
        <is>
          <t>Carried forward</t>
        </is>
      </c>
      <c r="J888" s="23" t="inlineStr">
        <is>
          <t>Source assignment -- not individually reviewed</t>
        </is>
      </c>
      <c r="K888" s="23" t="inlineStr"/>
      <c r="L888" s="23" t="inlineStr"/>
      <c r="M888" s="23" t="inlineStr"/>
      <c r="N888" s="14" t="inlineStr">
        <is>
          <t>10 EVIDENCE &amp; DECISIONS</t>
        </is>
      </c>
    </row>
    <row r="889" ht="34" customHeight="1">
      <c r="A889" s="23" t="inlineStr">
        <is>
          <t>Contractor Programme</t>
        </is>
      </c>
      <c r="B889" s="23" t="inlineStr">
        <is>
          <t>SCH-04-094</t>
        </is>
      </c>
      <c r="C889" s="23" t="inlineStr">
        <is>
          <t>Storage yard: maintenance-bay services - inspection</t>
        </is>
      </c>
      <c r="D889" s="23" t="inlineStr">
        <is>
          <t>WBS Code = 1.4.1</t>
        </is>
      </c>
      <c r="E889" s="23" t="inlineStr">
        <is>
          <t>R634-v2</t>
        </is>
      </c>
      <c r="F889" s="23" t="inlineStr">
        <is>
          <t>1.4.1 Vehicles and Depot - Fleet Supply</t>
        </is>
      </c>
      <c r="G889" s="23" t="inlineStr">
        <is>
          <t>ONE_TO_ONE</t>
        </is>
      </c>
      <c r="H889" s="23" t="inlineStr">
        <is>
          <t>RETAINED</t>
        </is>
      </c>
      <c r="I889" s="23" t="inlineStr">
        <is>
          <t>Carried forward</t>
        </is>
      </c>
      <c r="J889" s="23" t="inlineStr">
        <is>
          <t>Source assignment -- not individually reviewed</t>
        </is>
      </c>
      <c r="K889" s="23" t="inlineStr"/>
      <c r="L889" s="23" t="inlineStr"/>
      <c r="M889" s="23" t="inlineStr"/>
      <c r="N889" s="14" t="inlineStr">
        <is>
          <t>10 EVIDENCE &amp; DECISIONS</t>
        </is>
      </c>
    </row>
    <row r="890" ht="34" customHeight="1">
      <c r="A890" s="23" t="inlineStr">
        <is>
          <t>Contractor Programme</t>
        </is>
      </c>
      <c r="B890" s="23" t="inlineStr">
        <is>
          <t>SCH-04-095</t>
        </is>
      </c>
      <c r="C890" s="23" t="inlineStr">
        <is>
          <t>Operations building: depot structural fit-out - turnover</t>
        </is>
      </c>
      <c r="D890" s="23" t="inlineStr">
        <is>
          <t>WBS Code = 1.4.1</t>
        </is>
      </c>
      <c r="E890" s="23" t="inlineStr">
        <is>
          <t>R635-v2</t>
        </is>
      </c>
      <c r="F890" s="23" t="inlineStr">
        <is>
          <t>1.4.1 Vehicles and Depot - Fleet Supply</t>
        </is>
      </c>
      <c r="G890" s="23" t="inlineStr">
        <is>
          <t>ONE_TO_ONE</t>
        </is>
      </c>
      <c r="H890" s="23" t="inlineStr">
        <is>
          <t>RETAINED</t>
        </is>
      </c>
      <c r="I890" s="23" t="inlineStr">
        <is>
          <t>Carried forward</t>
        </is>
      </c>
      <c r="J890" s="23" t="inlineStr">
        <is>
          <t>Source assignment -- not individually reviewed</t>
        </is>
      </c>
      <c r="K890" s="23" t="inlineStr"/>
      <c r="L890" s="23" t="inlineStr"/>
      <c r="M890" s="23" t="inlineStr"/>
      <c r="N890" s="14" t="inlineStr">
        <is>
          <t>10 EVIDENCE &amp; DECISIONS</t>
        </is>
      </c>
    </row>
    <row r="891" ht="34" customHeight="1">
      <c r="A891" s="23" t="inlineStr">
        <is>
          <t>Contractor Programme</t>
        </is>
      </c>
      <c r="B891" s="23" t="inlineStr">
        <is>
          <t>SCH-04-097</t>
        </is>
      </c>
      <c r="C891" s="23" t="inlineStr">
        <is>
          <t>Receiving track: vehicle-to-depot interface check - field start</t>
        </is>
      </c>
      <c r="D891" s="23" t="inlineStr">
        <is>
          <t>WBS Code = 1.4.1</t>
        </is>
      </c>
      <c r="E891" s="23" t="inlineStr">
        <is>
          <t>R637-v2</t>
        </is>
      </c>
      <c r="F891" s="23" t="inlineStr">
        <is>
          <t>1.4.1 Vehicles and Depot - Fleet Supply</t>
        </is>
      </c>
      <c r="G891" s="23" t="inlineStr">
        <is>
          <t>ONE_TO_ONE</t>
        </is>
      </c>
      <c r="H891" s="23" t="inlineStr">
        <is>
          <t>RETAINED</t>
        </is>
      </c>
      <c r="I891" s="23" t="inlineStr">
        <is>
          <t>Carried forward</t>
        </is>
      </c>
      <c r="J891" s="23" t="inlineStr">
        <is>
          <t>Source assignment -- not individually reviewed</t>
        </is>
      </c>
      <c r="K891" s="23" t="inlineStr"/>
      <c r="L891" s="23" t="inlineStr"/>
      <c r="M891" s="23" t="inlineStr"/>
      <c r="N891" s="14" t="inlineStr">
        <is>
          <t>10 EVIDENCE &amp; DECISIONS</t>
        </is>
      </c>
    </row>
    <row r="892" ht="34" customHeight="1">
      <c r="A892" s="23" t="inlineStr">
        <is>
          <t>Contractor Programme</t>
        </is>
      </c>
      <c r="B892" s="23" t="inlineStr">
        <is>
          <t>SCH-04-098</t>
        </is>
      </c>
      <c r="C892" s="23" t="inlineStr">
        <is>
          <t>Maintenance shop: wheel-lathe installation - installation</t>
        </is>
      </c>
      <c r="D892" s="23" t="inlineStr">
        <is>
          <t>WBS Code = 1.4.1</t>
        </is>
      </c>
      <c r="E892" s="23" t="inlineStr">
        <is>
          <t>R638-v2</t>
        </is>
      </c>
      <c r="F892" s="23" t="inlineStr">
        <is>
          <t>1.4.1 Vehicles and Depot - Fleet Supply</t>
        </is>
      </c>
      <c r="G892" s="23" t="inlineStr">
        <is>
          <t>ONE_TO_ONE</t>
        </is>
      </c>
      <c r="H892" s="23" t="inlineStr">
        <is>
          <t>RETAINED</t>
        </is>
      </c>
      <c r="I892" s="23" t="inlineStr">
        <is>
          <t>Carried forward</t>
        </is>
      </c>
      <c r="J892" s="23" t="inlineStr">
        <is>
          <t>Source assignment -- not individually reviewed</t>
        </is>
      </c>
      <c r="K892" s="23" t="inlineStr"/>
      <c r="L892" s="23" t="inlineStr"/>
      <c r="M892" s="23" t="inlineStr"/>
      <c r="N892" s="14" t="inlineStr">
        <is>
          <t>10 EVIDENCE &amp; DECISIONS</t>
        </is>
      </c>
    </row>
    <row r="893" ht="34" customHeight="1">
      <c r="A893" s="23" t="inlineStr">
        <is>
          <t>Contractor Programme</t>
        </is>
      </c>
      <c r="B893" s="23" t="inlineStr">
        <is>
          <t>SCH-04-100</t>
        </is>
      </c>
      <c r="C893" s="23" t="inlineStr">
        <is>
          <t>Operations building: vehicle delivery inspection - turnover</t>
        </is>
      </c>
      <c r="D893" s="23" t="inlineStr">
        <is>
          <t>WBS Code = 1.4.1</t>
        </is>
      </c>
      <c r="E893" s="23" t="inlineStr">
        <is>
          <t>R640-v2</t>
        </is>
      </c>
      <c r="F893" s="23" t="inlineStr">
        <is>
          <t>1.4.1 Vehicles and Depot - Fleet Supply</t>
        </is>
      </c>
      <c r="G893" s="23" t="inlineStr">
        <is>
          <t>ONE_TO_ONE</t>
        </is>
      </c>
      <c r="H893" s="23" t="inlineStr">
        <is>
          <t>RETAINED</t>
        </is>
      </c>
      <c r="I893" s="23" t="inlineStr">
        <is>
          <t>Carried forward</t>
        </is>
      </c>
      <c r="J893" s="23" t="inlineStr">
        <is>
          <t>Source assignment -- not individually reviewed</t>
        </is>
      </c>
      <c r="K893" s="23" t="inlineStr"/>
      <c r="L893" s="23" t="inlineStr"/>
      <c r="M893" s="23" t="inlineStr"/>
      <c r="N893" s="14" t="inlineStr">
        <is>
          <t>10 EVIDENCE &amp; DECISIONS</t>
        </is>
      </c>
    </row>
    <row r="894" ht="34" customHeight="1">
      <c r="A894" s="23" t="inlineStr">
        <is>
          <t>Contractor Programme</t>
        </is>
      </c>
      <c r="B894" s="23" t="inlineStr">
        <is>
          <t>SCH-04-101</t>
        </is>
      </c>
      <c r="C894" s="23" t="inlineStr">
        <is>
          <t>Test track: wash-plant commissioning - release</t>
        </is>
      </c>
      <c r="D894" s="23" t="inlineStr">
        <is>
          <t>WBS Code = 1.4.1</t>
        </is>
      </c>
      <c r="E894" s="23" t="inlineStr">
        <is>
          <t>R641-v2</t>
        </is>
      </c>
      <c r="F894" s="23" t="inlineStr">
        <is>
          <t>1.4.1 Vehicles and Depot - Fleet Supply</t>
        </is>
      </c>
      <c r="G894" s="23" t="inlineStr">
        <is>
          <t>ONE_TO_ONE</t>
        </is>
      </c>
      <c r="H894" s="23" t="inlineStr">
        <is>
          <t>RETAINED</t>
        </is>
      </c>
      <c r="I894" s="23" t="inlineStr">
        <is>
          <t>Carried forward</t>
        </is>
      </c>
      <c r="J894" s="23" t="inlineStr">
        <is>
          <t>Source assignment -- not individually reviewed</t>
        </is>
      </c>
      <c r="K894" s="23" t="inlineStr"/>
      <c r="L894" s="23" t="inlineStr"/>
      <c r="M894" s="23" t="inlineStr"/>
      <c r="N894" s="14" t="inlineStr">
        <is>
          <t>10 EVIDENCE &amp; DECISIONS</t>
        </is>
      </c>
    </row>
    <row r="895" ht="34" customHeight="1">
      <c r="A895" s="23" t="inlineStr">
        <is>
          <t>Contractor Programme</t>
        </is>
      </c>
      <c r="B895" s="23" t="inlineStr">
        <is>
          <t>SCH-04-103</t>
        </is>
      </c>
      <c r="C895" s="23" t="inlineStr">
        <is>
          <t>Maintenance shop: depot structural fit-out - installation</t>
        </is>
      </c>
      <c r="D895" s="23" t="inlineStr">
        <is>
          <t>WBS Code = 1.4.1</t>
        </is>
      </c>
      <c r="E895" s="23" t="inlineStr">
        <is>
          <t>R643-v2</t>
        </is>
      </c>
      <c r="F895" s="23" t="inlineStr">
        <is>
          <t>1.4.1 Vehicles and Depot - Fleet Supply</t>
        </is>
      </c>
      <c r="G895" s="23" t="inlineStr">
        <is>
          <t>ONE_TO_ONE</t>
        </is>
      </c>
      <c r="H895" s="23" t="inlineStr">
        <is>
          <t>RETAINED</t>
        </is>
      </c>
      <c r="I895" s="23" t="inlineStr">
        <is>
          <t>Carried forward</t>
        </is>
      </c>
      <c r="J895" s="23" t="inlineStr">
        <is>
          <t>Source assignment -- not individually reviewed</t>
        </is>
      </c>
      <c r="K895" s="23" t="inlineStr"/>
      <c r="L895" s="23" t="inlineStr"/>
      <c r="M895" s="23" t="inlineStr"/>
      <c r="N895" s="14" t="inlineStr">
        <is>
          <t>10 EVIDENCE &amp; DECISIONS</t>
        </is>
      </c>
    </row>
    <row r="896" ht="34" customHeight="1">
      <c r="A896" s="23" t="inlineStr">
        <is>
          <t>Contractor Programme</t>
        </is>
      </c>
      <c r="B896" s="23" t="inlineStr">
        <is>
          <t>SCH-04-104</t>
        </is>
      </c>
      <c r="C896" s="23" t="inlineStr">
        <is>
          <t>Storage yard: workshop crane installation - inspection</t>
        </is>
      </c>
      <c r="D896" s="23" t="inlineStr">
        <is>
          <t>WBS Code = 1.4.1</t>
        </is>
      </c>
      <c r="E896" s="23" t="inlineStr">
        <is>
          <t>R644-v2</t>
        </is>
      </c>
      <c r="F896" s="23" t="inlineStr">
        <is>
          <t>1.4.1 Vehicles and Depot - Fleet Supply</t>
        </is>
      </c>
      <c r="G896" s="23" t="inlineStr">
        <is>
          <t>ONE_TO_ONE</t>
        </is>
      </c>
      <c r="H896" s="23" t="inlineStr">
        <is>
          <t>RETAINED</t>
        </is>
      </c>
      <c r="I896" s="23" t="inlineStr">
        <is>
          <t>Carried forward</t>
        </is>
      </c>
      <c r="J896" s="23" t="inlineStr">
        <is>
          <t>Source assignment -- not individually reviewed</t>
        </is>
      </c>
      <c r="K896" s="23" t="inlineStr"/>
      <c r="L896" s="23" t="inlineStr"/>
      <c r="M896" s="23" t="inlineStr"/>
      <c r="N896" s="14" t="inlineStr">
        <is>
          <t>10 EVIDENCE &amp; DECISIONS</t>
        </is>
      </c>
    </row>
    <row r="897" ht="34" customHeight="1">
      <c r="A897" s="23" t="inlineStr">
        <is>
          <t>Contractor Programme</t>
        </is>
      </c>
      <c r="B897" s="23" t="inlineStr">
        <is>
          <t>SCH-04-106</t>
        </is>
      </c>
      <c r="C897" s="23" t="inlineStr">
        <is>
          <t>Test track: wheel-lathe installation - release</t>
        </is>
      </c>
      <c r="D897" s="23" t="inlineStr">
        <is>
          <t>WBS Code = 1.4.1</t>
        </is>
      </c>
      <c r="E897" s="23" t="inlineStr">
        <is>
          <t>R646-v2</t>
        </is>
      </c>
      <c r="F897" s="23" t="inlineStr">
        <is>
          <t>1.4.1 Vehicles and Depot - Fleet Supply</t>
        </is>
      </c>
      <c r="G897" s="23" t="inlineStr">
        <is>
          <t>ONE_TO_ONE</t>
        </is>
      </c>
      <c r="H897" s="23" t="inlineStr">
        <is>
          <t>RETAINED</t>
        </is>
      </c>
      <c r="I897" s="23" t="inlineStr">
        <is>
          <t>Carried forward</t>
        </is>
      </c>
      <c r="J897" s="23" t="inlineStr">
        <is>
          <t>Source assignment -- not individually reviewed</t>
        </is>
      </c>
      <c r="K897" s="23" t="inlineStr"/>
      <c r="L897" s="23" t="inlineStr"/>
      <c r="M897" s="23" t="inlineStr"/>
      <c r="N897" s="14" t="inlineStr">
        <is>
          <t>10 EVIDENCE &amp; DECISIONS</t>
        </is>
      </c>
    </row>
    <row r="898" ht="34" customHeight="1">
      <c r="A898" s="23" t="inlineStr">
        <is>
          <t>Contractor Programme</t>
        </is>
      </c>
      <c r="B898" s="23" t="inlineStr">
        <is>
          <t>SCH-04-107</t>
        </is>
      </c>
      <c r="C898" s="23" t="inlineStr">
        <is>
          <t>Receiving track: fleet software load - field start</t>
        </is>
      </c>
      <c r="D898" s="23" t="inlineStr">
        <is>
          <t>WBS Code = 1.4.1</t>
        </is>
      </c>
      <c r="E898" s="23" t="inlineStr">
        <is>
          <t>R647-v2</t>
        </is>
      </c>
      <c r="F898" s="23" t="inlineStr">
        <is>
          <t>1.4.1 Vehicles and Depot - Fleet Supply</t>
        </is>
      </c>
      <c r="G898" s="23" t="inlineStr">
        <is>
          <t>ONE_TO_ONE</t>
        </is>
      </c>
      <c r="H898" s="23" t="inlineStr">
        <is>
          <t>RETAINED</t>
        </is>
      </c>
      <c r="I898" s="23" t="inlineStr">
        <is>
          <t>Carried forward</t>
        </is>
      </c>
      <c r="J898" s="23" t="inlineStr">
        <is>
          <t>Source assignment -- not individually reviewed</t>
        </is>
      </c>
      <c r="K898" s="23" t="inlineStr"/>
      <c r="L898" s="23" t="inlineStr"/>
      <c r="M898" s="23" t="inlineStr"/>
      <c r="N898" s="14" t="inlineStr">
        <is>
          <t>10 EVIDENCE &amp; DECISIONS</t>
        </is>
      </c>
    </row>
    <row r="899" ht="34" customHeight="1">
      <c r="A899" s="23" t="inlineStr">
        <is>
          <t>Contractor Programme</t>
        </is>
      </c>
      <c r="B899" s="23" t="inlineStr">
        <is>
          <t>SCH-04-109</t>
        </is>
      </c>
      <c r="C899" s="23" t="inlineStr">
        <is>
          <t>Storage yard: wash-plant commissioning - inspection</t>
        </is>
      </c>
      <c r="D899" s="23" t="inlineStr">
        <is>
          <t>WBS Code = 1.4.1</t>
        </is>
      </c>
      <c r="E899" s="23" t="inlineStr">
        <is>
          <t>R649-v2</t>
        </is>
      </c>
      <c r="F899" s="23" t="inlineStr">
        <is>
          <t>1.4.1 Vehicles and Depot - Fleet Supply</t>
        </is>
      </c>
      <c r="G899" s="23" t="inlineStr">
        <is>
          <t>ONE_TO_ONE</t>
        </is>
      </c>
      <c r="H899" s="23" t="inlineStr">
        <is>
          <t>RETAINED</t>
        </is>
      </c>
      <c r="I899" s="23" t="inlineStr">
        <is>
          <t>Carried forward</t>
        </is>
      </c>
      <c r="J899" s="23" t="inlineStr">
        <is>
          <t>Source assignment -- not individually reviewed</t>
        </is>
      </c>
      <c r="K899" s="23" t="inlineStr"/>
      <c r="L899" s="23" t="inlineStr"/>
      <c r="M899" s="23" t="inlineStr"/>
      <c r="N899" s="14" t="inlineStr">
        <is>
          <t>10 EVIDENCE &amp; DECISIONS</t>
        </is>
      </c>
    </row>
    <row r="900" ht="34" customHeight="1">
      <c r="A900" s="23" t="inlineStr">
        <is>
          <t>Contractor Programme</t>
        </is>
      </c>
      <c r="B900" s="23" t="inlineStr">
        <is>
          <t>SCH-04-110</t>
        </is>
      </c>
      <c r="C900" s="23" t="inlineStr">
        <is>
          <t>Operations building: maintenance-bay services - turnover</t>
        </is>
      </c>
      <c r="D900" s="23" t="inlineStr">
        <is>
          <t>WBS Code = 1.4.1</t>
        </is>
      </c>
      <c r="E900" s="23" t="inlineStr">
        <is>
          <t>R650-v2</t>
        </is>
      </c>
      <c r="F900" s="23" t="inlineStr">
        <is>
          <t>1.4.1 Vehicles and Depot - Fleet Supply</t>
        </is>
      </c>
      <c r="G900" s="23" t="inlineStr">
        <is>
          <t>ONE_TO_ONE</t>
        </is>
      </c>
      <c r="H900" s="23" t="inlineStr">
        <is>
          <t>RETAINED</t>
        </is>
      </c>
      <c r="I900" s="23" t="inlineStr">
        <is>
          <t>Carried forward</t>
        </is>
      </c>
      <c r="J900" s="23" t="inlineStr">
        <is>
          <t>Source assignment -- not individually reviewed</t>
        </is>
      </c>
      <c r="K900" s="23" t="inlineStr"/>
      <c r="L900" s="23" t="inlineStr"/>
      <c r="M900" s="23" t="inlineStr"/>
      <c r="N900" s="14" t="inlineStr">
        <is>
          <t>10 EVIDENCE &amp; DECISIONS</t>
        </is>
      </c>
    </row>
    <row r="901" ht="34" customHeight="1">
      <c r="A901" s="23" t="inlineStr">
        <is>
          <t>Contractor Programme</t>
        </is>
      </c>
      <c r="B901" s="23" t="inlineStr">
        <is>
          <t>SCH-04-112</t>
        </is>
      </c>
      <c r="C901" s="23" t="inlineStr">
        <is>
          <t>Receiving track: workshop crane installation - field start</t>
        </is>
      </c>
      <c r="D901" s="23" t="inlineStr">
        <is>
          <t>WBS Code = 1.4.1</t>
        </is>
      </c>
      <c r="E901" s="23" t="inlineStr">
        <is>
          <t>R652-v2</t>
        </is>
      </c>
      <c r="F901" s="23" t="inlineStr">
        <is>
          <t>1.4.1 Vehicles and Depot - Fleet Supply</t>
        </is>
      </c>
      <c r="G901" s="23" t="inlineStr">
        <is>
          <t>ONE_TO_ONE</t>
        </is>
      </c>
      <c r="H901" s="23" t="inlineStr">
        <is>
          <t>RETAINED</t>
        </is>
      </c>
      <c r="I901" s="23" t="inlineStr">
        <is>
          <t>Carried forward</t>
        </is>
      </c>
      <c r="J901" s="23" t="inlineStr">
        <is>
          <t>Source assignment -- not individually reviewed</t>
        </is>
      </c>
      <c r="K901" s="23" t="inlineStr"/>
      <c r="L901" s="23" t="inlineStr"/>
      <c r="M901" s="23" t="inlineStr"/>
      <c r="N901" s="14" t="inlineStr">
        <is>
          <t>10 EVIDENCE &amp; DECISIONS</t>
        </is>
      </c>
    </row>
    <row r="902" ht="34" customHeight="1">
      <c r="A902" s="23" t="inlineStr">
        <is>
          <t>Contractor Programme</t>
        </is>
      </c>
      <c r="B902" s="23" t="inlineStr">
        <is>
          <t>SCH-04-113</t>
        </is>
      </c>
      <c r="C902" s="23" t="inlineStr">
        <is>
          <t>Maintenance shop: vehicle-to-depot interface check - installation</t>
        </is>
      </c>
      <c r="D902" s="23" t="inlineStr">
        <is>
          <t>WBS Code = 1.4.1</t>
        </is>
      </c>
      <c r="E902" s="23" t="inlineStr">
        <is>
          <t>R653-v2</t>
        </is>
      </c>
      <c r="F902" s="23" t="inlineStr">
        <is>
          <t>1.4.1 Vehicles and Depot - Fleet Supply</t>
        </is>
      </c>
      <c r="G902" s="23" t="inlineStr">
        <is>
          <t>ONE_TO_ONE</t>
        </is>
      </c>
      <c r="H902" s="23" t="inlineStr">
        <is>
          <t>RETAINED</t>
        </is>
      </c>
      <c r="I902" s="23" t="inlineStr">
        <is>
          <t>Carried forward</t>
        </is>
      </c>
      <c r="J902" s="23" t="inlineStr">
        <is>
          <t>Source assignment -- not individually reviewed</t>
        </is>
      </c>
      <c r="K902" s="23" t="inlineStr"/>
      <c r="L902" s="23" t="inlineStr"/>
      <c r="M902" s="23" t="inlineStr"/>
      <c r="N902" s="14" t="inlineStr">
        <is>
          <t>10 EVIDENCE &amp; DECISIONS</t>
        </is>
      </c>
    </row>
    <row r="903" ht="34" customHeight="1">
      <c r="A903" s="23" t="inlineStr">
        <is>
          <t>Contractor Programme</t>
        </is>
      </c>
      <c r="B903" s="23" t="inlineStr">
        <is>
          <t>SCH-04-115</t>
        </is>
      </c>
      <c r="C903" s="23" t="inlineStr">
        <is>
          <t>Operations building: fleet software load - turnover</t>
        </is>
      </c>
      <c r="D903" s="23" t="inlineStr">
        <is>
          <t>WBS Code = 1.4.1</t>
        </is>
      </c>
      <c r="E903" s="23" t="inlineStr">
        <is>
          <t>R655-v2</t>
        </is>
      </c>
      <c r="F903" s="23" t="inlineStr">
        <is>
          <t>1.4.1 Vehicles and Depot - Fleet Supply</t>
        </is>
      </c>
      <c r="G903" s="23" t="inlineStr">
        <is>
          <t>ONE_TO_ONE</t>
        </is>
      </c>
      <c r="H903" s="23" t="inlineStr">
        <is>
          <t>RETAINED</t>
        </is>
      </c>
      <c r="I903" s="23" t="inlineStr">
        <is>
          <t>Carried forward</t>
        </is>
      </c>
      <c r="J903" s="23" t="inlineStr">
        <is>
          <t>Source assignment -- not individually reviewed</t>
        </is>
      </c>
      <c r="K903" s="23" t="inlineStr"/>
      <c r="L903" s="23" t="inlineStr"/>
      <c r="M903" s="23" t="inlineStr"/>
      <c r="N903" s="14" t="inlineStr">
        <is>
          <t>10 EVIDENCE &amp; DECISIONS</t>
        </is>
      </c>
    </row>
    <row r="904" ht="34" customHeight="1">
      <c r="A904" s="23" t="inlineStr">
        <is>
          <t>Contractor Programme</t>
        </is>
      </c>
      <c r="B904" s="23" t="inlineStr">
        <is>
          <t>SCH-04-116</t>
        </is>
      </c>
      <c r="C904" s="23" t="inlineStr">
        <is>
          <t>Test track: vehicle delivery inspection - release</t>
        </is>
      </c>
      <c r="D904" s="23" t="inlineStr">
        <is>
          <t>WBS Code = 1.4.1</t>
        </is>
      </c>
      <c r="E904" s="23" t="inlineStr">
        <is>
          <t>R656-v2</t>
        </is>
      </c>
      <c r="F904" s="23" t="inlineStr">
        <is>
          <t>1.4.1 Vehicles and Depot - Fleet Supply</t>
        </is>
      </c>
      <c r="G904" s="23" t="inlineStr">
        <is>
          <t>ONE_TO_ONE</t>
        </is>
      </c>
      <c r="H904" s="23" t="inlineStr">
        <is>
          <t>RETAINED</t>
        </is>
      </c>
      <c r="I904" s="23" t="inlineStr">
        <is>
          <t>Carried forward</t>
        </is>
      </c>
      <c r="J904" s="23" t="inlineStr">
        <is>
          <t>Source assignment -- not individually reviewed</t>
        </is>
      </c>
      <c r="K904" s="23" t="inlineStr"/>
      <c r="L904" s="23" t="inlineStr"/>
      <c r="M904" s="23" t="inlineStr"/>
      <c r="N904" s="14" t="inlineStr">
        <is>
          <t>10 EVIDENCE &amp; DECISIONS</t>
        </is>
      </c>
    </row>
    <row r="905" ht="34" customHeight="1">
      <c r="A905" s="23" t="inlineStr">
        <is>
          <t>Contractor Programme</t>
        </is>
      </c>
      <c r="B905" s="23" t="inlineStr">
        <is>
          <t>SCH-04-118</t>
        </is>
      </c>
      <c r="C905" s="23" t="inlineStr">
        <is>
          <t>Maintenance shop: maintenance-bay services - installation</t>
        </is>
      </c>
      <c r="D905" s="23" t="inlineStr">
        <is>
          <t>WBS Code = 1.4.1</t>
        </is>
      </c>
      <c r="E905" s="23" t="inlineStr">
        <is>
          <t>R658-v2</t>
        </is>
      </c>
      <c r="F905" s="23" t="inlineStr">
        <is>
          <t>1.4.1 Vehicles and Depot - Fleet Supply</t>
        </is>
      </c>
      <c r="G905" s="23" t="inlineStr">
        <is>
          <t>ONE_TO_ONE</t>
        </is>
      </c>
      <c r="H905" s="23" t="inlineStr">
        <is>
          <t>RETAINED</t>
        </is>
      </c>
      <c r="I905" s="23" t="inlineStr">
        <is>
          <t>Carried forward</t>
        </is>
      </c>
      <c r="J905" s="23" t="inlineStr">
        <is>
          <t>Source assignment -- not individually reviewed</t>
        </is>
      </c>
      <c r="K905" s="23" t="inlineStr"/>
      <c r="L905" s="23" t="inlineStr"/>
      <c r="M905" s="23" t="inlineStr"/>
      <c r="N905" s="14" t="inlineStr">
        <is>
          <t>10 EVIDENCE &amp; DECISIONS</t>
        </is>
      </c>
    </row>
    <row r="906" ht="34" customHeight="1">
      <c r="A906" s="23" t="inlineStr">
        <is>
          <t>Contractor Programme</t>
        </is>
      </c>
      <c r="B906" s="23" t="inlineStr">
        <is>
          <t>SCH-04-119</t>
        </is>
      </c>
      <c r="C906" s="23" t="inlineStr">
        <is>
          <t>Storage yard: depot structural fit-out - inspection</t>
        </is>
      </c>
      <c r="D906" s="23" t="inlineStr">
        <is>
          <t>WBS Code = 1.4.1</t>
        </is>
      </c>
      <c r="E906" s="23" t="inlineStr">
        <is>
          <t>R659-v2</t>
        </is>
      </c>
      <c r="F906" s="23" t="inlineStr">
        <is>
          <t>1.4.1 Vehicles and Depot - Fleet Supply</t>
        </is>
      </c>
      <c r="G906" s="23" t="inlineStr">
        <is>
          <t>ONE_TO_ONE</t>
        </is>
      </c>
      <c r="H906" s="23" t="inlineStr">
        <is>
          <t>RETAINED</t>
        </is>
      </c>
      <c r="I906" s="23" t="inlineStr">
        <is>
          <t>Carried forward</t>
        </is>
      </c>
      <c r="J906" s="23" t="inlineStr">
        <is>
          <t>Source assignment -- not individually reviewed</t>
        </is>
      </c>
      <c r="K906" s="23" t="inlineStr"/>
      <c r="L906" s="23" t="inlineStr"/>
      <c r="M906" s="23" t="inlineStr"/>
      <c r="N906" s="14" t="inlineStr">
        <is>
          <t>10 EVIDENCE &amp; DECISIONS</t>
        </is>
      </c>
    </row>
    <row r="907" ht="34" customHeight="1">
      <c r="A907" s="23" t="inlineStr">
        <is>
          <t>Contractor Programme</t>
        </is>
      </c>
      <c r="B907" s="23" t="inlineStr">
        <is>
          <t>SCH-04-121</t>
        </is>
      </c>
      <c r="C907" s="23" t="inlineStr">
        <is>
          <t>Test track: vehicle-to-depot interface check - release</t>
        </is>
      </c>
      <c r="D907" s="23" t="inlineStr">
        <is>
          <t>WBS Code = 1.4.1</t>
        </is>
      </c>
      <c r="E907" s="23" t="inlineStr">
        <is>
          <t>R661-v2</t>
        </is>
      </c>
      <c r="F907" s="23" t="inlineStr">
        <is>
          <t>1.4.1 Vehicles and Depot - Fleet Supply</t>
        </is>
      </c>
      <c r="G907" s="23" t="inlineStr">
        <is>
          <t>ONE_TO_ONE</t>
        </is>
      </c>
      <c r="H907" s="23" t="inlineStr">
        <is>
          <t>RETAINED</t>
        </is>
      </c>
      <c r="I907" s="23" t="inlineStr">
        <is>
          <t>Carried forward</t>
        </is>
      </c>
      <c r="J907" s="23" t="inlineStr">
        <is>
          <t>Source assignment -- not individually reviewed</t>
        </is>
      </c>
      <c r="K907" s="23" t="inlineStr"/>
      <c r="L907" s="23" t="inlineStr"/>
      <c r="M907" s="23" t="inlineStr"/>
      <c r="N907" s="14" t="inlineStr">
        <is>
          <t>10 EVIDENCE &amp; DECISIONS</t>
        </is>
      </c>
    </row>
    <row r="908" ht="34" customHeight="1">
      <c r="A908" s="23" t="inlineStr">
        <is>
          <t>Contractor Programme</t>
        </is>
      </c>
      <c r="B908" s="23" t="inlineStr">
        <is>
          <t>SCH-04-122</t>
        </is>
      </c>
      <c r="C908" s="23" t="inlineStr">
        <is>
          <t>Receiving track: wheel-lathe installation - field start</t>
        </is>
      </c>
      <c r="D908" s="23" t="inlineStr">
        <is>
          <t>WBS Code = 1.4.1</t>
        </is>
      </c>
      <c r="E908" s="23" t="inlineStr">
        <is>
          <t>R662-v2</t>
        </is>
      </c>
      <c r="F908" s="23" t="inlineStr">
        <is>
          <t>1.4.1 Vehicles and Depot - Fleet Supply</t>
        </is>
      </c>
      <c r="G908" s="23" t="inlineStr">
        <is>
          <t>ONE_TO_ONE</t>
        </is>
      </c>
      <c r="H908" s="23" t="inlineStr">
        <is>
          <t>RETAINED</t>
        </is>
      </c>
      <c r="I908" s="23" t="inlineStr">
        <is>
          <t>Carried forward</t>
        </is>
      </c>
      <c r="J908" s="23" t="inlineStr">
        <is>
          <t>Source assignment -- not individually reviewed</t>
        </is>
      </c>
      <c r="K908" s="23" t="inlineStr"/>
      <c r="L908" s="23" t="inlineStr"/>
      <c r="M908" s="23" t="inlineStr"/>
      <c r="N908" s="14" t="inlineStr">
        <is>
          <t>10 EVIDENCE &amp; DECISIONS</t>
        </is>
      </c>
    </row>
    <row r="909" ht="34" customHeight="1">
      <c r="A909" s="23" t="inlineStr">
        <is>
          <t>Contractor Programme</t>
        </is>
      </c>
      <c r="B909" s="23" t="inlineStr">
        <is>
          <t>SCH-04-124</t>
        </is>
      </c>
      <c r="C909" s="23" t="inlineStr">
        <is>
          <t>Storage yard: vehicle delivery inspection - inspection</t>
        </is>
      </c>
      <c r="D909" s="23" t="inlineStr">
        <is>
          <t>WBS Code = 1.4.1</t>
        </is>
      </c>
      <c r="E909" s="23" t="inlineStr">
        <is>
          <t>R664-v2</t>
        </is>
      </c>
      <c r="F909" s="23" t="inlineStr">
        <is>
          <t>1.4.1 Vehicles and Depot - Fleet Supply</t>
        </is>
      </c>
      <c r="G909" s="23" t="inlineStr">
        <is>
          <t>ONE_TO_ONE</t>
        </is>
      </c>
      <c r="H909" s="23" t="inlineStr">
        <is>
          <t>RETAINED</t>
        </is>
      </c>
      <c r="I909" s="23" t="inlineStr">
        <is>
          <t>Carried forward</t>
        </is>
      </c>
      <c r="J909" s="23" t="inlineStr">
        <is>
          <t>Source assignment -- not individually reviewed</t>
        </is>
      </c>
      <c r="K909" s="23" t="inlineStr"/>
      <c r="L909" s="23" t="inlineStr"/>
      <c r="M909" s="23" t="inlineStr"/>
      <c r="N909" s="14" t="inlineStr">
        <is>
          <t>10 EVIDENCE &amp; DECISIONS</t>
        </is>
      </c>
    </row>
    <row r="910" ht="34" customHeight="1">
      <c r="A910" s="23" t="inlineStr">
        <is>
          <t>Contractor Programme</t>
        </is>
      </c>
      <c r="B910" s="23" t="inlineStr">
        <is>
          <t>SCH-04-125</t>
        </is>
      </c>
      <c r="C910" s="23" t="inlineStr">
        <is>
          <t>Operations building: wash-plant commissioning - turnover</t>
        </is>
      </c>
      <c r="D910" s="23" t="inlineStr">
        <is>
          <t>WBS Code = 1.4.1</t>
        </is>
      </c>
      <c r="E910" s="23" t="inlineStr">
        <is>
          <t>R665-v2</t>
        </is>
      </c>
      <c r="F910" s="23" t="inlineStr">
        <is>
          <t>1.4.1 Vehicles and Depot - Fleet Supply</t>
        </is>
      </c>
      <c r="G910" s="23" t="inlineStr">
        <is>
          <t>ONE_TO_ONE</t>
        </is>
      </c>
      <c r="H910" s="23" t="inlineStr">
        <is>
          <t>RETAINED</t>
        </is>
      </c>
      <c r="I910" s="23" t="inlineStr">
        <is>
          <t>Carried forward</t>
        </is>
      </c>
      <c r="J910" s="23" t="inlineStr">
        <is>
          <t>Source assignment -- not individually reviewed</t>
        </is>
      </c>
      <c r="K910" s="23" t="inlineStr"/>
      <c r="L910" s="23" t="inlineStr"/>
      <c r="M910" s="23" t="inlineStr"/>
      <c r="N910" s="14" t="inlineStr">
        <is>
          <t>10 EVIDENCE &amp; DECISIONS</t>
        </is>
      </c>
    </row>
    <row r="911" ht="34" customHeight="1">
      <c r="A911" s="23" t="inlineStr">
        <is>
          <t>Contractor Programme</t>
        </is>
      </c>
      <c r="B911" s="23" t="inlineStr">
        <is>
          <t>SCH-04-127</t>
        </is>
      </c>
      <c r="C911" s="23" t="inlineStr">
        <is>
          <t>Receiving track: depot structural fit-out - field start</t>
        </is>
      </c>
      <c r="D911" s="23" t="inlineStr">
        <is>
          <t>WBS Code = 1.4.1</t>
        </is>
      </c>
      <c r="E911" s="23" t="inlineStr">
        <is>
          <t>R667-v2</t>
        </is>
      </c>
      <c r="F911" s="23" t="inlineStr">
        <is>
          <t>1.4.1 Vehicles and Depot - Fleet Supply</t>
        </is>
      </c>
      <c r="G911" s="23" t="inlineStr">
        <is>
          <t>ONE_TO_ONE</t>
        </is>
      </c>
      <c r="H911" s="23" t="inlineStr">
        <is>
          <t>RETAINED</t>
        </is>
      </c>
      <c r="I911" s="23" t="inlineStr">
        <is>
          <t>Carried forward</t>
        </is>
      </c>
      <c r="J911" s="23" t="inlineStr">
        <is>
          <t>Source assignment -- not individually reviewed</t>
        </is>
      </c>
      <c r="K911" s="23" t="inlineStr"/>
      <c r="L911" s="23" t="inlineStr"/>
      <c r="M911" s="23" t="inlineStr"/>
      <c r="N911" s="14" t="inlineStr">
        <is>
          <t>10 EVIDENCE &amp; DECISIONS</t>
        </is>
      </c>
    </row>
    <row r="912" ht="34" customHeight="1">
      <c r="A912" s="23" t="inlineStr">
        <is>
          <t>Contractor Programme</t>
        </is>
      </c>
      <c r="B912" s="23" t="inlineStr">
        <is>
          <t>SCH-04-128</t>
        </is>
      </c>
      <c r="C912" s="23" t="inlineStr">
        <is>
          <t>Maintenance shop: workshop crane installation - installation</t>
        </is>
      </c>
      <c r="D912" s="23" t="inlineStr">
        <is>
          <t>WBS Code = 1.4.1</t>
        </is>
      </c>
      <c r="E912" s="23" t="inlineStr">
        <is>
          <t>R668-v2</t>
        </is>
      </c>
      <c r="F912" s="23" t="inlineStr">
        <is>
          <t>1.4.1 Vehicles and Depot - Fleet Supply</t>
        </is>
      </c>
      <c r="G912" s="23" t="inlineStr">
        <is>
          <t>ONE_TO_ONE</t>
        </is>
      </c>
      <c r="H912" s="23" t="inlineStr">
        <is>
          <t>RETAINED</t>
        </is>
      </c>
      <c r="I912" s="23" t="inlineStr">
        <is>
          <t>Carried forward</t>
        </is>
      </c>
      <c r="J912" s="23" t="inlineStr">
        <is>
          <t>Source assignment -- not individually reviewed</t>
        </is>
      </c>
      <c r="K912" s="23" t="inlineStr"/>
      <c r="L912" s="23" t="inlineStr"/>
      <c r="M912" s="23" t="inlineStr"/>
      <c r="N912" s="14" t="inlineStr">
        <is>
          <t>10 EVIDENCE &amp; DECISIONS</t>
        </is>
      </c>
    </row>
    <row r="913" ht="34" customHeight="1">
      <c r="A913" s="23" t="inlineStr">
        <is>
          <t>Contractor Programme</t>
        </is>
      </c>
      <c r="B913" s="23" t="inlineStr">
        <is>
          <t>SCH-04-130</t>
        </is>
      </c>
      <c r="C913" s="23" t="inlineStr">
        <is>
          <t>Operations building: wheel-lathe installation - turnover</t>
        </is>
      </c>
      <c r="D913" s="23" t="inlineStr">
        <is>
          <t>WBS Code = 1.4.1</t>
        </is>
      </c>
      <c r="E913" s="23" t="inlineStr">
        <is>
          <t>R670-v2</t>
        </is>
      </c>
      <c r="F913" s="23" t="inlineStr">
        <is>
          <t>1.4.1 Vehicles and Depot - Fleet Supply</t>
        </is>
      </c>
      <c r="G913" s="23" t="inlineStr">
        <is>
          <t>ONE_TO_ONE</t>
        </is>
      </c>
      <c r="H913" s="23" t="inlineStr">
        <is>
          <t>RETAINED</t>
        </is>
      </c>
      <c r="I913" s="23" t="inlineStr">
        <is>
          <t>Carried forward</t>
        </is>
      </c>
      <c r="J913" s="23" t="inlineStr">
        <is>
          <t>Source assignment -- not individually reviewed</t>
        </is>
      </c>
      <c r="K913" s="23" t="inlineStr"/>
      <c r="L913" s="23" t="inlineStr"/>
      <c r="M913" s="23" t="inlineStr"/>
      <c r="N913" s="14" t="inlineStr">
        <is>
          <t>10 EVIDENCE &amp; DECISIONS</t>
        </is>
      </c>
    </row>
    <row r="914" ht="34" customHeight="1">
      <c r="A914" s="23" t="inlineStr">
        <is>
          <t>Contractor Programme</t>
        </is>
      </c>
      <c r="B914" s="23" t="inlineStr">
        <is>
          <t>SCH-04-131</t>
        </is>
      </c>
      <c r="C914" s="23" t="inlineStr">
        <is>
          <t>Test track: fleet software load - release</t>
        </is>
      </c>
      <c r="D914" s="23" t="inlineStr">
        <is>
          <t>WBS Code = 1.4.1</t>
        </is>
      </c>
      <c r="E914" s="23" t="inlineStr">
        <is>
          <t>R671-v2</t>
        </is>
      </c>
      <c r="F914" s="23" t="inlineStr">
        <is>
          <t>1.4.1 Vehicles and Depot - Fleet Supply</t>
        </is>
      </c>
      <c r="G914" s="23" t="inlineStr">
        <is>
          <t>ONE_TO_ONE</t>
        </is>
      </c>
      <c r="H914" s="23" t="inlineStr">
        <is>
          <t>RETAINED</t>
        </is>
      </c>
      <c r="I914" s="23" t="inlineStr">
        <is>
          <t>Carried forward</t>
        </is>
      </c>
      <c r="J914" s="23" t="inlineStr">
        <is>
          <t>Source assignment -- not individually reviewed</t>
        </is>
      </c>
      <c r="K914" s="23" t="inlineStr"/>
      <c r="L914" s="23" t="inlineStr"/>
      <c r="M914" s="23" t="inlineStr"/>
      <c r="N914" s="14" t="inlineStr">
        <is>
          <t>10 EVIDENCE &amp; DECISIONS</t>
        </is>
      </c>
    </row>
    <row r="915" ht="34" customHeight="1">
      <c r="A915" s="23" t="inlineStr">
        <is>
          <t>Contractor Programme</t>
        </is>
      </c>
      <c r="B915" s="23" t="inlineStr">
        <is>
          <t>SCH-04-133</t>
        </is>
      </c>
      <c r="C915" s="23" t="inlineStr">
        <is>
          <t>Maintenance shop: wash-plant commissioning - installation</t>
        </is>
      </c>
      <c r="D915" s="23" t="inlineStr">
        <is>
          <t>WBS Code = 1.4.1</t>
        </is>
      </c>
      <c r="E915" s="23" t="inlineStr">
        <is>
          <t>R673-v2</t>
        </is>
      </c>
      <c r="F915" s="23" t="inlineStr">
        <is>
          <t>1.4.1 Vehicles and Depot - Fleet Supply</t>
        </is>
      </c>
      <c r="G915" s="23" t="inlineStr">
        <is>
          <t>ONE_TO_ONE</t>
        </is>
      </c>
      <c r="H915" s="23" t="inlineStr">
        <is>
          <t>RETAINED</t>
        </is>
      </c>
      <c r="I915" s="23" t="inlineStr">
        <is>
          <t>Carried forward</t>
        </is>
      </c>
      <c r="J915" s="23" t="inlineStr">
        <is>
          <t>Source assignment -- not individually reviewed</t>
        </is>
      </c>
      <c r="K915" s="23" t="inlineStr"/>
      <c r="L915" s="23" t="inlineStr"/>
      <c r="M915" s="23" t="inlineStr"/>
      <c r="N915" s="14" t="inlineStr">
        <is>
          <t>10 EVIDENCE &amp; DECISIONS</t>
        </is>
      </c>
    </row>
    <row r="916" ht="34" customHeight="1">
      <c r="A916" s="23" t="inlineStr">
        <is>
          <t>Contractor Programme</t>
        </is>
      </c>
      <c r="B916" s="23" t="inlineStr">
        <is>
          <t>SCH-04-134</t>
        </is>
      </c>
      <c r="C916" s="23" t="inlineStr">
        <is>
          <t>Storage yard: maintenance-bay services - inspection</t>
        </is>
      </c>
      <c r="D916" s="23" t="inlineStr">
        <is>
          <t>WBS Code = 1.4.1</t>
        </is>
      </c>
      <c r="E916" s="23" t="inlineStr">
        <is>
          <t>R674-v2</t>
        </is>
      </c>
      <c r="F916" s="23" t="inlineStr">
        <is>
          <t>1.4.1 Vehicles and Depot - Fleet Supply</t>
        </is>
      </c>
      <c r="G916" s="23" t="inlineStr">
        <is>
          <t>ONE_TO_ONE</t>
        </is>
      </c>
      <c r="H916" s="23" t="inlineStr">
        <is>
          <t>RETAINED</t>
        </is>
      </c>
      <c r="I916" s="23" t="inlineStr">
        <is>
          <t>Carried forward</t>
        </is>
      </c>
      <c r="J916" s="23" t="inlineStr">
        <is>
          <t>Source assignment -- not individually reviewed</t>
        </is>
      </c>
      <c r="K916" s="23" t="inlineStr"/>
      <c r="L916" s="23" t="inlineStr"/>
      <c r="M916" s="23" t="inlineStr"/>
      <c r="N916" s="14" t="inlineStr">
        <is>
          <t>10 EVIDENCE &amp; DECISIONS</t>
        </is>
      </c>
    </row>
    <row r="917" ht="34" customHeight="1">
      <c r="A917" s="23" t="inlineStr">
        <is>
          <t>Contractor Programme</t>
        </is>
      </c>
      <c r="B917" s="23" t="inlineStr">
        <is>
          <t>SCH-04-136</t>
        </is>
      </c>
      <c r="C917" s="23" t="inlineStr">
        <is>
          <t>Test track: workshop crane installation - release</t>
        </is>
      </c>
      <c r="D917" s="23" t="inlineStr">
        <is>
          <t>WBS Code = 1.4.1</t>
        </is>
      </c>
      <c r="E917" s="23" t="inlineStr">
        <is>
          <t>R676-v2</t>
        </is>
      </c>
      <c r="F917" s="23" t="inlineStr">
        <is>
          <t>1.4.1 Vehicles and Depot - Fleet Supply</t>
        </is>
      </c>
      <c r="G917" s="23" t="inlineStr">
        <is>
          <t>ONE_TO_ONE</t>
        </is>
      </c>
      <c r="H917" s="23" t="inlineStr">
        <is>
          <t>RETAINED</t>
        </is>
      </c>
      <c r="I917" s="23" t="inlineStr">
        <is>
          <t>Carried forward</t>
        </is>
      </c>
      <c r="J917" s="23" t="inlineStr">
        <is>
          <t>Source assignment -- not individually reviewed</t>
        </is>
      </c>
      <c r="K917" s="23" t="inlineStr"/>
      <c r="L917" s="23" t="inlineStr"/>
      <c r="M917" s="23" t="inlineStr"/>
      <c r="N917" s="14" t="inlineStr">
        <is>
          <t>10 EVIDENCE &amp; DECISIONS</t>
        </is>
      </c>
    </row>
    <row r="918" ht="34" customHeight="1">
      <c r="A918" s="23" t="inlineStr">
        <is>
          <t>Contractor Programme</t>
        </is>
      </c>
      <c r="B918" s="23" t="inlineStr">
        <is>
          <t>SCH-04-137</t>
        </is>
      </c>
      <c r="C918" s="23" t="inlineStr">
        <is>
          <t>Receiving track: vehicle-to-depot interface check - field start</t>
        </is>
      </c>
      <c r="D918" s="23" t="inlineStr">
        <is>
          <t>WBS Code = 1.4.1</t>
        </is>
      </c>
      <c r="E918" s="23" t="inlineStr">
        <is>
          <t>R677-v2</t>
        </is>
      </c>
      <c r="F918" s="23" t="inlineStr">
        <is>
          <t>1.4.1 Vehicles and Depot - Fleet Supply</t>
        </is>
      </c>
      <c r="G918" s="23" t="inlineStr">
        <is>
          <t>ONE_TO_ONE</t>
        </is>
      </c>
      <c r="H918" s="23" t="inlineStr">
        <is>
          <t>RETAINED</t>
        </is>
      </c>
      <c r="I918" s="23" t="inlineStr">
        <is>
          <t>Carried forward</t>
        </is>
      </c>
      <c r="J918" s="23" t="inlineStr">
        <is>
          <t>Source assignment -- not individually reviewed</t>
        </is>
      </c>
      <c r="K918" s="23" t="inlineStr"/>
      <c r="L918" s="23" t="inlineStr"/>
      <c r="M918" s="23" t="inlineStr"/>
      <c r="N918" s="14" t="inlineStr">
        <is>
          <t>10 EVIDENCE &amp; DECISIONS</t>
        </is>
      </c>
    </row>
    <row r="919" ht="34" customHeight="1">
      <c r="A919" s="23" t="inlineStr">
        <is>
          <t>Contractor Programme</t>
        </is>
      </c>
      <c r="B919" s="23" t="inlineStr">
        <is>
          <t>SCH-04-139</t>
        </is>
      </c>
      <c r="C919" s="23" t="inlineStr">
        <is>
          <t>Storage yard: fleet software load - inspection</t>
        </is>
      </c>
      <c r="D919" s="23" t="inlineStr">
        <is>
          <t>WBS Code = 1.4.1</t>
        </is>
      </c>
      <c r="E919" s="23" t="inlineStr">
        <is>
          <t>R679-v2</t>
        </is>
      </c>
      <c r="F919" s="23" t="inlineStr">
        <is>
          <t>1.4.1 Vehicles and Depot - Fleet Supply</t>
        </is>
      </c>
      <c r="G919" s="23" t="inlineStr">
        <is>
          <t>ONE_TO_ONE</t>
        </is>
      </c>
      <c r="H919" s="23" t="inlineStr">
        <is>
          <t>RETAINED</t>
        </is>
      </c>
      <c r="I919" s="23" t="inlineStr">
        <is>
          <t>Carried forward</t>
        </is>
      </c>
      <c r="J919" s="23" t="inlineStr">
        <is>
          <t>Source assignment -- not individually reviewed</t>
        </is>
      </c>
      <c r="K919" s="23" t="inlineStr"/>
      <c r="L919" s="23" t="inlineStr"/>
      <c r="M919" s="23" t="inlineStr"/>
      <c r="N919" s="14" t="inlineStr">
        <is>
          <t>10 EVIDENCE &amp; DECISIONS</t>
        </is>
      </c>
    </row>
    <row r="920" ht="34" customHeight="1">
      <c r="A920" s="23" t="inlineStr">
        <is>
          <t>Contractor Programme</t>
        </is>
      </c>
      <c r="B920" s="23" t="inlineStr">
        <is>
          <t>SCH-04-140</t>
        </is>
      </c>
      <c r="C920" s="23" t="inlineStr">
        <is>
          <t>Operations building: vehicle delivery inspection - turnover</t>
        </is>
      </c>
      <c r="D920" s="23" t="inlineStr">
        <is>
          <t>WBS Code = 1.4.1</t>
        </is>
      </c>
      <c r="E920" s="23" t="inlineStr">
        <is>
          <t>R680-v2</t>
        </is>
      </c>
      <c r="F920" s="23" t="inlineStr">
        <is>
          <t>1.4.1 Vehicles and Depot - Fleet Supply</t>
        </is>
      </c>
      <c r="G920" s="23" t="inlineStr">
        <is>
          <t>ONE_TO_ONE</t>
        </is>
      </c>
      <c r="H920" s="23" t="inlineStr">
        <is>
          <t>RETAINED</t>
        </is>
      </c>
      <c r="I920" s="23" t="inlineStr">
        <is>
          <t>Carried forward</t>
        </is>
      </c>
      <c r="J920" s="23" t="inlineStr">
        <is>
          <t>Source assignment -- not individually reviewed</t>
        </is>
      </c>
      <c r="K920" s="23" t="inlineStr"/>
      <c r="L920" s="23" t="inlineStr"/>
      <c r="M920" s="23" t="inlineStr"/>
      <c r="N920" s="14" t="inlineStr">
        <is>
          <t>10 EVIDENCE &amp; DECISIONS</t>
        </is>
      </c>
    </row>
    <row r="921" ht="34" customHeight="1">
      <c r="A921" s="23" t="inlineStr">
        <is>
          <t>Contractor Programme</t>
        </is>
      </c>
      <c r="B921" s="23" t="inlineStr">
        <is>
          <t>SCH-04-142</t>
        </is>
      </c>
      <c r="C921" s="23" t="inlineStr">
        <is>
          <t>Receiving track: maintenance-bay services - field start</t>
        </is>
      </c>
      <c r="D921" s="23" t="inlineStr">
        <is>
          <t>WBS Code = 1.4.1</t>
        </is>
      </c>
      <c r="E921" s="23" t="inlineStr">
        <is>
          <t>R682-v2</t>
        </is>
      </c>
      <c r="F921" s="23" t="inlineStr">
        <is>
          <t>1.4.1 Vehicles and Depot - Fleet Supply</t>
        </is>
      </c>
      <c r="G921" s="23" t="inlineStr">
        <is>
          <t>ONE_TO_ONE</t>
        </is>
      </c>
      <c r="H921" s="23" t="inlineStr">
        <is>
          <t>RETAINED</t>
        </is>
      </c>
      <c r="I921" s="23" t="inlineStr">
        <is>
          <t>Carried forward</t>
        </is>
      </c>
      <c r="J921" s="23" t="inlineStr">
        <is>
          <t>Source assignment -- not individually reviewed</t>
        </is>
      </c>
      <c r="K921" s="23" t="inlineStr"/>
      <c r="L921" s="23" t="inlineStr"/>
      <c r="M921" s="23" t="inlineStr"/>
      <c r="N921" s="14" t="inlineStr">
        <is>
          <t>10 EVIDENCE &amp; DECISIONS</t>
        </is>
      </c>
    </row>
    <row r="922" ht="34" customHeight="1">
      <c r="A922" s="23" t="inlineStr">
        <is>
          <t>Contractor Programme</t>
        </is>
      </c>
      <c r="B922" s="23" t="inlineStr">
        <is>
          <t>SCH-04-143</t>
        </is>
      </c>
      <c r="C922" s="23" t="inlineStr">
        <is>
          <t>Maintenance shop: depot structural fit-out - installation</t>
        </is>
      </c>
      <c r="D922" s="23" t="inlineStr">
        <is>
          <t>WBS Code = 1.4.1</t>
        </is>
      </c>
      <c r="E922" s="23" t="inlineStr">
        <is>
          <t>R683-v2</t>
        </is>
      </c>
      <c r="F922" s="23" t="inlineStr">
        <is>
          <t>1.4.1 Vehicles and Depot - Fleet Supply</t>
        </is>
      </c>
      <c r="G922" s="23" t="inlineStr">
        <is>
          <t>ONE_TO_ONE</t>
        </is>
      </c>
      <c r="H922" s="23" t="inlineStr">
        <is>
          <t>RETAINED</t>
        </is>
      </c>
      <c r="I922" s="23" t="inlineStr">
        <is>
          <t>Carried forward</t>
        </is>
      </c>
      <c r="J922" s="23" t="inlineStr">
        <is>
          <t>Source assignment -- not individually reviewed</t>
        </is>
      </c>
      <c r="K922" s="23" t="inlineStr"/>
      <c r="L922" s="23" t="inlineStr"/>
      <c r="M922" s="23" t="inlineStr"/>
      <c r="N922" s="14" t="inlineStr">
        <is>
          <t>10 EVIDENCE &amp; DECISIONS</t>
        </is>
      </c>
    </row>
    <row r="923" ht="34" customHeight="1">
      <c r="A923" s="23" t="inlineStr">
        <is>
          <t>Contractor Programme</t>
        </is>
      </c>
      <c r="B923" s="23" t="inlineStr">
        <is>
          <t>SCH-04-145</t>
        </is>
      </c>
      <c r="C923" s="23" t="inlineStr">
        <is>
          <t>Operations building: vehicle-to-depot interface check - turnover</t>
        </is>
      </c>
      <c r="D923" s="23" t="inlineStr">
        <is>
          <t>WBS Code = 1.4.1</t>
        </is>
      </c>
      <c r="E923" s="23" t="inlineStr">
        <is>
          <t>R685-v2</t>
        </is>
      </c>
      <c r="F923" s="23" t="inlineStr">
        <is>
          <t>1.4.1 Vehicles and Depot - Fleet Supply</t>
        </is>
      </c>
      <c r="G923" s="23" t="inlineStr">
        <is>
          <t>ONE_TO_ONE</t>
        </is>
      </c>
      <c r="H923" s="23" t="inlineStr">
        <is>
          <t>RETAINED</t>
        </is>
      </c>
      <c r="I923" s="23" t="inlineStr">
        <is>
          <t>Carried forward</t>
        </is>
      </c>
      <c r="J923" s="23" t="inlineStr">
        <is>
          <t>Source assignment -- not individually reviewed</t>
        </is>
      </c>
      <c r="K923" s="23" t="inlineStr"/>
      <c r="L923" s="23" t="inlineStr"/>
      <c r="M923" s="23" t="inlineStr"/>
      <c r="N923" s="14" t="inlineStr">
        <is>
          <t>10 EVIDENCE &amp; DECISIONS</t>
        </is>
      </c>
    </row>
    <row r="924" ht="34" customHeight="1">
      <c r="A924" s="23" t="inlineStr">
        <is>
          <t>Contractor Programme</t>
        </is>
      </c>
      <c r="B924" s="23" t="inlineStr">
        <is>
          <t>SCH-04-146</t>
        </is>
      </c>
      <c r="C924" s="23" t="inlineStr">
        <is>
          <t>Test track: wheel-lathe installation - release</t>
        </is>
      </c>
      <c r="D924" s="23" t="inlineStr">
        <is>
          <t>WBS Code = 1.4.1</t>
        </is>
      </c>
      <c r="E924" s="23" t="inlineStr">
        <is>
          <t>R686-v2</t>
        </is>
      </c>
      <c r="F924" s="23" t="inlineStr">
        <is>
          <t>1.4.1 Vehicles and Depot - Fleet Supply</t>
        </is>
      </c>
      <c r="G924" s="23" t="inlineStr">
        <is>
          <t>ONE_TO_ONE</t>
        </is>
      </c>
      <c r="H924" s="23" t="inlineStr">
        <is>
          <t>RETAINED</t>
        </is>
      </c>
      <c r="I924" s="23" t="inlineStr">
        <is>
          <t>Carried forward</t>
        </is>
      </c>
      <c r="J924" s="23" t="inlineStr">
        <is>
          <t>Source assignment -- not individually reviewed</t>
        </is>
      </c>
      <c r="K924" s="23" t="inlineStr"/>
      <c r="L924" s="23" t="inlineStr"/>
      <c r="M924" s="23" t="inlineStr"/>
      <c r="N924" s="14" t="inlineStr">
        <is>
          <t>10 EVIDENCE &amp; DECISIONS</t>
        </is>
      </c>
    </row>
    <row r="925" ht="34" customHeight="1">
      <c r="A925" s="23" t="inlineStr">
        <is>
          <t>Contractor Programme</t>
        </is>
      </c>
      <c r="B925" s="23" t="inlineStr">
        <is>
          <t>SCH-04-148</t>
        </is>
      </c>
      <c r="C925" s="23" t="inlineStr">
        <is>
          <t>Maintenance shop: vehicle delivery inspection - installation</t>
        </is>
      </c>
      <c r="D925" s="23" t="inlineStr">
        <is>
          <t>WBS Code = 1.4.1</t>
        </is>
      </c>
      <c r="E925" s="23" t="inlineStr">
        <is>
          <t>R688-v2</t>
        </is>
      </c>
      <c r="F925" s="23" t="inlineStr">
        <is>
          <t>1.4.1 Vehicles and Depot - Fleet Supply</t>
        </is>
      </c>
      <c r="G925" s="23" t="inlineStr">
        <is>
          <t>ONE_TO_ONE</t>
        </is>
      </c>
      <c r="H925" s="23" t="inlineStr">
        <is>
          <t>RETAINED</t>
        </is>
      </c>
      <c r="I925" s="23" t="inlineStr">
        <is>
          <t>Carried forward</t>
        </is>
      </c>
      <c r="J925" s="23" t="inlineStr">
        <is>
          <t>Source assignment -- not individually reviewed</t>
        </is>
      </c>
      <c r="K925" s="23" t="inlineStr"/>
      <c r="L925" s="23" t="inlineStr"/>
      <c r="M925" s="23" t="inlineStr"/>
      <c r="N925" s="14" t="inlineStr">
        <is>
          <t>10 EVIDENCE &amp; DECISIONS</t>
        </is>
      </c>
    </row>
    <row r="926" ht="34" customHeight="1">
      <c r="A926" s="23" t="inlineStr">
        <is>
          <t>Contractor Programme</t>
        </is>
      </c>
      <c r="B926" s="23" t="inlineStr">
        <is>
          <t>SCH-04-149</t>
        </is>
      </c>
      <c r="C926" s="23" t="inlineStr">
        <is>
          <t>Storage yard: wash-plant commissioning - inspection</t>
        </is>
      </c>
      <c r="D926" s="23" t="inlineStr">
        <is>
          <t>WBS Code = 1.4.1</t>
        </is>
      </c>
      <c r="E926" s="23" t="inlineStr">
        <is>
          <t>R689-v2</t>
        </is>
      </c>
      <c r="F926" s="23" t="inlineStr">
        <is>
          <t>1.4.1 Vehicles and Depot - Fleet Supply</t>
        </is>
      </c>
      <c r="G926" s="23" t="inlineStr">
        <is>
          <t>ONE_TO_ONE</t>
        </is>
      </c>
      <c r="H926" s="23" t="inlineStr">
        <is>
          <t>RETAINED</t>
        </is>
      </c>
      <c r="I926" s="23" t="inlineStr">
        <is>
          <t>Carried forward</t>
        </is>
      </c>
      <c r="J926" s="23" t="inlineStr">
        <is>
          <t>Source assignment -- not individually reviewed</t>
        </is>
      </c>
      <c r="K926" s="23" t="inlineStr"/>
      <c r="L926" s="23" t="inlineStr"/>
      <c r="M926" s="23" t="inlineStr"/>
      <c r="N926" s="14" t="inlineStr">
        <is>
          <t>10 EVIDENCE &amp; DECISIONS</t>
        </is>
      </c>
    </row>
    <row r="927" ht="34" customHeight="1">
      <c r="A927" s="23" t="inlineStr">
        <is>
          <t>Contractor Programme</t>
        </is>
      </c>
      <c r="B927" s="23" t="inlineStr">
        <is>
          <t>SCH-04-151</t>
        </is>
      </c>
      <c r="C927" s="23" t="inlineStr">
        <is>
          <t>Test track: depot structural fit-out - release</t>
        </is>
      </c>
      <c r="D927" s="23" t="inlineStr">
        <is>
          <t>WBS Code = 1.4.1</t>
        </is>
      </c>
      <c r="E927" s="23" t="inlineStr">
        <is>
          <t>R691-v2</t>
        </is>
      </c>
      <c r="F927" s="23" t="inlineStr">
        <is>
          <t>1.4.1 Vehicles and Depot - Fleet Supply</t>
        </is>
      </c>
      <c r="G927" s="23" t="inlineStr">
        <is>
          <t>ONE_TO_ONE</t>
        </is>
      </c>
      <c r="H927" s="23" t="inlineStr">
        <is>
          <t>RETAINED</t>
        </is>
      </c>
      <c r="I927" s="23" t="inlineStr">
        <is>
          <t>Carried forward</t>
        </is>
      </c>
      <c r="J927" s="23" t="inlineStr">
        <is>
          <t>Source assignment -- not individually reviewed</t>
        </is>
      </c>
      <c r="K927" s="23" t="inlineStr"/>
      <c r="L927" s="23" t="inlineStr"/>
      <c r="M927" s="23" t="inlineStr"/>
      <c r="N927" s="14" t="inlineStr">
        <is>
          <t>10 EVIDENCE &amp; DECISIONS</t>
        </is>
      </c>
    </row>
    <row r="928" ht="34" customHeight="1">
      <c r="A928" s="23" t="inlineStr">
        <is>
          <t>Contractor Programme</t>
        </is>
      </c>
      <c r="B928" s="23" t="inlineStr">
        <is>
          <t>SCH-04-152</t>
        </is>
      </c>
      <c r="C928" s="23" t="inlineStr">
        <is>
          <t>Receiving track: workshop crane installation - field start</t>
        </is>
      </c>
      <c r="D928" s="23" t="inlineStr">
        <is>
          <t>WBS Code = 1.4.1</t>
        </is>
      </c>
      <c r="E928" s="23" t="inlineStr">
        <is>
          <t>R692-v2</t>
        </is>
      </c>
      <c r="F928" s="23" t="inlineStr">
        <is>
          <t>1.4.1 Vehicles and Depot - Fleet Supply</t>
        </is>
      </c>
      <c r="G928" s="23" t="inlineStr">
        <is>
          <t>ONE_TO_ONE</t>
        </is>
      </c>
      <c r="H928" s="23" t="inlineStr">
        <is>
          <t>RETAINED</t>
        </is>
      </c>
      <c r="I928" s="23" t="inlineStr">
        <is>
          <t>Carried forward</t>
        </is>
      </c>
      <c r="J928" s="23" t="inlineStr">
        <is>
          <t>Source assignment -- not individually reviewed</t>
        </is>
      </c>
      <c r="K928" s="23" t="inlineStr"/>
      <c r="L928" s="23" t="inlineStr"/>
      <c r="M928" s="23" t="inlineStr"/>
      <c r="N928" s="14" t="inlineStr">
        <is>
          <t>10 EVIDENCE &amp; DECISIONS</t>
        </is>
      </c>
    </row>
    <row r="929" ht="34" customHeight="1">
      <c r="A929" s="23" t="inlineStr">
        <is>
          <t>Contractor Programme</t>
        </is>
      </c>
      <c r="B929" s="23" t="inlineStr">
        <is>
          <t>SCH-04-154</t>
        </is>
      </c>
      <c r="C929" s="23" t="inlineStr">
        <is>
          <t>Storage yard: wheel-lathe installation - inspection</t>
        </is>
      </c>
      <c r="D929" s="23" t="inlineStr">
        <is>
          <t>WBS Code = 1.4.1</t>
        </is>
      </c>
      <c r="E929" s="23" t="inlineStr">
        <is>
          <t>R694-v2</t>
        </is>
      </c>
      <c r="F929" s="23" t="inlineStr">
        <is>
          <t>1.4.1 Vehicles and Depot - Fleet Supply</t>
        </is>
      </c>
      <c r="G929" s="23" t="inlineStr">
        <is>
          <t>ONE_TO_ONE</t>
        </is>
      </c>
      <c r="H929" s="23" t="inlineStr">
        <is>
          <t>RETAINED</t>
        </is>
      </c>
      <c r="I929" s="23" t="inlineStr">
        <is>
          <t>Carried forward</t>
        </is>
      </c>
      <c r="J929" s="23" t="inlineStr">
        <is>
          <t>Source assignment -- not individually reviewed</t>
        </is>
      </c>
      <c r="K929" s="23" t="inlineStr"/>
      <c r="L929" s="23" t="inlineStr"/>
      <c r="M929" s="23" t="inlineStr"/>
      <c r="N929" s="14" t="inlineStr">
        <is>
          <t>10 EVIDENCE &amp; DECISIONS</t>
        </is>
      </c>
    </row>
    <row r="930" ht="34" customHeight="1">
      <c r="A930" s="23" t="inlineStr">
        <is>
          <t>Contractor Programme</t>
        </is>
      </c>
      <c r="B930" s="23" t="inlineStr">
        <is>
          <t>SCH-04-155</t>
        </is>
      </c>
      <c r="C930" s="23" t="inlineStr">
        <is>
          <t>Operations building: fleet software load - turnover</t>
        </is>
      </c>
      <c r="D930" s="23" t="inlineStr">
        <is>
          <t>WBS Code = 1.4.1</t>
        </is>
      </c>
      <c r="E930" s="23" t="inlineStr">
        <is>
          <t>R695-v2</t>
        </is>
      </c>
      <c r="F930" s="23" t="inlineStr">
        <is>
          <t>1.4.1 Vehicles and Depot - Fleet Supply</t>
        </is>
      </c>
      <c r="G930" s="23" t="inlineStr">
        <is>
          <t>ONE_TO_ONE</t>
        </is>
      </c>
      <c r="H930" s="23" t="inlineStr">
        <is>
          <t>RETAINED</t>
        </is>
      </c>
      <c r="I930" s="23" t="inlineStr">
        <is>
          <t>Carried forward</t>
        </is>
      </c>
      <c r="J930" s="23" t="inlineStr">
        <is>
          <t>Source assignment -- not individually reviewed</t>
        </is>
      </c>
      <c r="K930" s="23" t="inlineStr"/>
      <c r="L930" s="23" t="inlineStr"/>
      <c r="M930" s="23" t="inlineStr"/>
      <c r="N930" s="14" t="inlineStr">
        <is>
          <t>10 EVIDENCE &amp; DECISIONS</t>
        </is>
      </c>
    </row>
    <row r="931" ht="34" customHeight="1">
      <c r="A931" s="23" t="inlineStr">
        <is>
          <t>Contractor Programme</t>
        </is>
      </c>
      <c r="B931" s="23" t="inlineStr">
        <is>
          <t>SCH-04-157</t>
        </is>
      </c>
      <c r="C931" s="23" t="inlineStr">
        <is>
          <t>Receiving track: wash-plant commissioning - field start</t>
        </is>
      </c>
      <c r="D931" s="23" t="inlineStr">
        <is>
          <t>WBS Code = 1.4.1</t>
        </is>
      </c>
      <c r="E931" s="23" t="inlineStr">
        <is>
          <t>R697-v2</t>
        </is>
      </c>
      <c r="F931" s="23" t="inlineStr">
        <is>
          <t>1.4.1 Vehicles and Depot - Fleet Supply</t>
        </is>
      </c>
      <c r="G931" s="23" t="inlineStr">
        <is>
          <t>ONE_TO_ONE</t>
        </is>
      </c>
      <c r="H931" s="23" t="inlineStr">
        <is>
          <t>RETAINED</t>
        </is>
      </c>
      <c r="I931" s="23" t="inlineStr">
        <is>
          <t>Carried forward</t>
        </is>
      </c>
      <c r="J931" s="23" t="inlineStr">
        <is>
          <t>Source assignment -- not individually reviewed</t>
        </is>
      </c>
      <c r="K931" s="23" t="inlineStr"/>
      <c r="L931" s="23" t="inlineStr"/>
      <c r="M931" s="23" t="inlineStr"/>
      <c r="N931" s="14" t="inlineStr">
        <is>
          <t>10 EVIDENCE &amp; DECISIONS</t>
        </is>
      </c>
    </row>
    <row r="932" ht="34" customHeight="1">
      <c r="A932" s="23" t="inlineStr">
        <is>
          <t>Contractor Programme</t>
        </is>
      </c>
      <c r="B932" s="23" t="inlineStr">
        <is>
          <t>SCH-04-158</t>
        </is>
      </c>
      <c r="C932" s="23" t="inlineStr">
        <is>
          <t>Maintenance shop: maintenance-bay services - installation</t>
        </is>
      </c>
      <c r="D932" s="23" t="inlineStr">
        <is>
          <t>WBS Code = 1.4.1</t>
        </is>
      </c>
      <c r="E932" s="23" t="inlineStr">
        <is>
          <t>R698-v2</t>
        </is>
      </c>
      <c r="F932" s="23" t="inlineStr">
        <is>
          <t>1.4.1 Vehicles and Depot - Fleet Supply</t>
        </is>
      </c>
      <c r="G932" s="23" t="inlineStr">
        <is>
          <t>ONE_TO_ONE</t>
        </is>
      </c>
      <c r="H932" s="23" t="inlineStr">
        <is>
          <t>RETAINED</t>
        </is>
      </c>
      <c r="I932" s="23" t="inlineStr">
        <is>
          <t>Carried forward</t>
        </is>
      </c>
      <c r="J932" s="23" t="inlineStr">
        <is>
          <t>Source assignment -- not individually reviewed</t>
        </is>
      </c>
      <c r="K932" s="23" t="inlineStr"/>
      <c r="L932" s="23" t="inlineStr"/>
      <c r="M932" s="23" t="inlineStr"/>
      <c r="N932" s="14" t="inlineStr">
        <is>
          <t>10 EVIDENCE &amp; DECISIONS</t>
        </is>
      </c>
    </row>
    <row r="933" ht="34" customHeight="1">
      <c r="A933" s="23" t="inlineStr">
        <is>
          <t>Contractor Programme</t>
        </is>
      </c>
      <c r="B933" s="23" t="inlineStr">
        <is>
          <t>SCH-04-160</t>
        </is>
      </c>
      <c r="C933" s="23" t="inlineStr">
        <is>
          <t>Operations building: workshop crane installation - turnover</t>
        </is>
      </c>
      <c r="D933" s="23" t="inlineStr">
        <is>
          <t>WBS Code = 1.4.1</t>
        </is>
      </c>
      <c r="E933" s="23" t="inlineStr">
        <is>
          <t>R700-v2</t>
        </is>
      </c>
      <c r="F933" s="23" t="inlineStr">
        <is>
          <t>1.4.1 Vehicles and Depot - Fleet Supply</t>
        </is>
      </c>
      <c r="G933" s="23" t="inlineStr">
        <is>
          <t>ONE_TO_ONE</t>
        </is>
      </c>
      <c r="H933" s="23" t="inlineStr">
        <is>
          <t>RETAINED</t>
        </is>
      </c>
      <c r="I933" s="23" t="inlineStr">
        <is>
          <t>Carried forward</t>
        </is>
      </c>
      <c r="J933" s="23" t="inlineStr">
        <is>
          <t>Source assignment -- not individually reviewed</t>
        </is>
      </c>
      <c r="K933" s="23" t="inlineStr"/>
      <c r="L933" s="23" t="inlineStr"/>
      <c r="M933" s="23" t="inlineStr"/>
      <c r="N933" s="14" t="inlineStr">
        <is>
          <t>10 EVIDENCE &amp; DECISIONS</t>
        </is>
      </c>
    </row>
    <row r="934" ht="34" customHeight="1">
      <c r="A934" s="23" t="inlineStr">
        <is>
          <t>Contractor Programme</t>
        </is>
      </c>
      <c r="B934" s="23" t="inlineStr">
        <is>
          <t>SCH-04-161</t>
        </is>
      </c>
      <c r="C934" s="23" t="inlineStr">
        <is>
          <t>Test track: vehicle-to-depot interface check - release</t>
        </is>
      </c>
      <c r="D934" s="23" t="inlineStr">
        <is>
          <t>WBS Code = 1.4.1</t>
        </is>
      </c>
      <c r="E934" s="23" t="inlineStr">
        <is>
          <t>R701-v2</t>
        </is>
      </c>
      <c r="F934" s="23" t="inlineStr">
        <is>
          <t>1.4.1 Vehicles and Depot - Fleet Supply</t>
        </is>
      </c>
      <c r="G934" s="23" t="inlineStr">
        <is>
          <t>ONE_TO_ONE</t>
        </is>
      </c>
      <c r="H934" s="23" t="inlineStr">
        <is>
          <t>RETAINED</t>
        </is>
      </c>
      <c r="I934" s="23" t="inlineStr">
        <is>
          <t>Carried forward</t>
        </is>
      </c>
      <c r="J934" s="23" t="inlineStr">
        <is>
          <t>Source assignment -- not individually reviewed</t>
        </is>
      </c>
      <c r="K934" s="23" t="inlineStr"/>
      <c r="L934" s="23" t="inlineStr"/>
      <c r="M934" s="23" t="inlineStr"/>
      <c r="N934" s="14" t="inlineStr">
        <is>
          <t>10 EVIDENCE &amp; DECISIONS</t>
        </is>
      </c>
    </row>
    <row r="935" ht="34" customHeight="1">
      <c r="A935" s="23" t="inlineStr">
        <is>
          <t>Contractor Programme</t>
        </is>
      </c>
      <c r="B935" s="23" t="inlineStr">
        <is>
          <t>SCH-04-163</t>
        </is>
      </c>
      <c r="C935" s="23" t="inlineStr">
        <is>
          <t>Maintenance shop: fleet software load - installation</t>
        </is>
      </c>
      <c r="D935" s="23" t="inlineStr">
        <is>
          <t>WBS Code = 1.4.1</t>
        </is>
      </c>
      <c r="E935" s="23" t="inlineStr">
        <is>
          <t>R703-v2</t>
        </is>
      </c>
      <c r="F935" s="23" t="inlineStr">
        <is>
          <t>1.4.1 Vehicles and Depot - Fleet Supply</t>
        </is>
      </c>
      <c r="G935" s="23" t="inlineStr">
        <is>
          <t>ONE_TO_ONE</t>
        </is>
      </c>
      <c r="H935" s="23" t="inlineStr">
        <is>
          <t>RETAINED</t>
        </is>
      </c>
      <c r="I935" s="23" t="inlineStr">
        <is>
          <t>Carried forward</t>
        </is>
      </c>
      <c r="J935" s="23" t="inlineStr">
        <is>
          <t>Source assignment -- not individually reviewed</t>
        </is>
      </c>
      <c r="K935" s="23" t="inlineStr"/>
      <c r="L935" s="23" t="inlineStr"/>
      <c r="M935" s="23" t="inlineStr"/>
      <c r="N935" s="14" t="inlineStr">
        <is>
          <t>10 EVIDENCE &amp; DECISIONS</t>
        </is>
      </c>
    </row>
    <row r="936" ht="34" customHeight="1">
      <c r="A936" s="23" t="inlineStr">
        <is>
          <t>Contractor Programme</t>
        </is>
      </c>
      <c r="B936" s="23" t="inlineStr">
        <is>
          <t>SCH-04-164</t>
        </is>
      </c>
      <c r="C936" s="23" t="inlineStr">
        <is>
          <t>Storage yard: vehicle delivery inspection - inspection</t>
        </is>
      </c>
      <c r="D936" s="23" t="inlineStr">
        <is>
          <t>WBS Code = 1.4.1</t>
        </is>
      </c>
      <c r="E936" s="23" t="inlineStr">
        <is>
          <t>R704-v2</t>
        </is>
      </c>
      <c r="F936" s="23" t="inlineStr">
        <is>
          <t>1.4.1 Vehicles and Depot - Fleet Supply</t>
        </is>
      </c>
      <c r="G936" s="23" t="inlineStr">
        <is>
          <t>ONE_TO_ONE</t>
        </is>
      </c>
      <c r="H936" s="23" t="inlineStr">
        <is>
          <t>RETAINED</t>
        </is>
      </c>
      <c r="I936" s="23" t="inlineStr">
        <is>
          <t>Carried forward</t>
        </is>
      </c>
      <c r="J936" s="23" t="inlineStr">
        <is>
          <t>Source assignment -- not individually reviewed</t>
        </is>
      </c>
      <c r="K936" s="23" t="inlineStr"/>
      <c r="L936" s="23" t="inlineStr"/>
      <c r="M936" s="23" t="inlineStr"/>
      <c r="N936" s="14" t="inlineStr">
        <is>
          <t>10 EVIDENCE &amp; DECISIONS</t>
        </is>
      </c>
    </row>
    <row r="937" ht="34" customHeight="1">
      <c r="A937" s="23" t="inlineStr">
        <is>
          <t>Contractor Programme</t>
        </is>
      </c>
      <c r="B937" s="23" t="inlineStr">
        <is>
          <t>SCH-04-166</t>
        </is>
      </c>
      <c r="C937" s="23" t="inlineStr">
        <is>
          <t>Test track: maintenance-bay services - release</t>
        </is>
      </c>
      <c r="D937" s="23" t="inlineStr">
        <is>
          <t>WBS Code = 1.4.1</t>
        </is>
      </c>
      <c r="E937" s="23" t="inlineStr">
        <is>
          <t>R706-v2</t>
        </is>
      </c>
      <c r="F937" s="23" t="inlineStr">
        <is>
          <t>1.4.1 Vehicles and Depot - Fleet Supply</t>
        </is>
      </c>
      <c r="G937" s="23" t="inlineStr">
        <is>
          <t>ONE_TO_ONE</t>
        </is>
      </c>
      <c r="H937" s="23" t="inlineStr">
        <is>
          <t>RETAINED</t>
        </is>
      </c>
      <c r="I937" s="23" t="inlineStr">
        <is>
          <t>Carried forward</t>
        </is>
      </c>
      <c r="J937" s="23" t="inlineStr">
        <is>
          <t>Source assignment -- not individually reviewed</t>
        </is>
      </c>
      <c r="K937" s="23" t="inlineStr"/>
      <c r="L937" s="23" t="inlineStr"/>
      <c r="M937" s="23" t="inlineStr"/>
      <c r="N937" s="14" t="inlineStr">
        <is>
          <t>10 EVIDENCE &amp; DECISIONS</t>
        </is>
      </c>
    </row>
    <row r="938" ht="34" customHeight="1">
      <c r="A938" s="23" t="inlineStr">
        <is>
          <t>Contractor Programme</t>
        </is>
      </c>
      <c r="B938" s="23" t="inlineStr">
        <is>
          <t>SCH-04-167</t>
        </is>
      </c>
      <c r="C938" s="23" t="inlineStr">
        <is>
          <t>Receiving track: depot structural fit-out - field start</t>
        </is>
      </c>
      <c r="D938" s="23" t="inlineStr">
        <is>
          <t>WBS Code = 1.4.1</t>
        </is>
      </c>
      <c r="E938" s="23" t="inlineStr">
        <is>
          <t>R707-v2</t>
        </is>
      </c>
      <c r="F938" s="23" t="inlineStr">
        <is>
          <t>1.4.1 Vehicles and Depot - Fleet Supply</t>
        </is>
      </c>
      <c r="G938" s="23" t="inlineStr">
        <is>
          <t>ONE_TO_ONE</t>
        </is>
      </c>
      <c r="H938" s="23" t="inlineStr">
        <is>
          <t>RETAINED</t>
        </is>
      </c>
      <c r="I938" s="23" t="inlineStr">
        <is>
          <t>Carried forward</t>
        </is>
      </c>
      <c r="J938" s="23" t="inlineStr">
        <is>
          <t>Source assignment -- not individually reviewed</t>
        </is>
      </c>
      <c r="K938" s="23" t="inlineStr"/>
      <c r="L938" s="23" t="inlineStr"/>
      <c r="M938" s="23" t="inlineStr"/>
      <c r="N938" s="14" t="inlineStr">
        <is>
          <t>10 EVIDENCE &amp; DECISIONS</t>
        </is>
      </c>
    </row>
    <row r="939" ht="34" customHeight="1">
      <c r="A939" s="23" t="inlineStr">
        <is>
          <t>Contractor Programme</t>
        </is>
      </c>
      <c r="B939" s="23" t="inlineStr">
        <is>
          <t>SCH-04-169</t>
        </is>
      </c>
      <c r="C939" s="23" t="inlineStr">
        <is>
          <t>Storage yard: vehicle-to-depot interface check - inspection</t>
        </is>
      </c>
      <c r="D939" s="23" t="inlineStr">
        <is>
          <t>WBS Code = 1.4.1</t>
        </is>
      </c>
      <c r="E939" s="23" t="inlineStr">
        <is>
          <t>R709-v2</t>
        </is>
      </c>
      <c r="F939" s="23" t="inlineStr">
        <is>
          <t>1.4.1 Vehicles and Depot - Fleet Supply</t>
        </is>
      </c>
      <c r="G939" s="23" t="inlineStr">
        <is>
          <t>ONE_TO_ONE</t>
        </is>
      </c>
      <c r="H939" s="23" t="inlineStr">
        <is>
          <t>RETAINED</t>
        </is>
      </c>
      <c r="I939" s="23" t="inlineStr">
        <is>
          <t>Carried forward</t>
        </is>
      </c>
      <c r="J939" s="23" t="inlineStr">
        <is>
          <t>Source assignment -- not individually reviewed</t>
        </is>
      </c>
      <c r="K939" s="23" t="inlineStr"/>
      <c r="L939" s="23" t="inlineStr"/>
      <c r="M939" s="23" t="inlineStr"/>
      <c r="N939" s="14" t="inlineStr">
        <is>
          <t>10 EVIDENCE &amp; DECISIONS</t>
        </is>
      </c>
    </row>
    <row r="940" ht="34" customHeight="1">
      <c r="A940" s="23" t="inlineStr">
        <is>
          <t>Contractor Programme</t>
        </is>
      </c>
      <c r="B940" s="23" t="inlineStr">
        <is>
          <t>SCH-04-170</t>
        </is>
      </c>
      <c r="C940" s="23" t="inlineStr">
        <is>
          <t>Operations building: wheel-lathe installation - turnover</t>
        </is>
      </c>
      <c r="D940" s="23" t="inlineStr">
        <is>
          <t>WBS Code = 1.4.1</t>
        </is>
      </c>
      <c r="E940" s="23" t="inlineStr">
        <is>
          <t>R710-v2</t>
        </is>
      </c>
      <c r="F940" s="23" t="inlineStr">
        <is>
          <t>1.4.1 Vehicles and Depot - Fleet Supply</t>
        </is>
      </c>
      <c r="G940" s="23" t="inlineStr">
        <is>
          <t>ONE_TO_ONE</t>
        </is>
      </c>
      <c r="H940" s="23" t="inlineStr">
        <is>
          <t>RETAINED</t>
        </is>
      </c>
      <c r="I940" s="23" t="inlineStr">
        <is>
          <t>Carried forward</t>
        </is>
      </c>
      <c r="J940" s="23" t="inlineStr">
        <is>
          <t>Source assignment -- not individually reviewed</t>
        </is>
      </c>
      <c r="K940" s="23" t="inlineStr"/>
      <c r="L940" s="23" t="inlineStr"/>
      <c r="M940" s="23" t="inlineStr"/>
      <c r="N940" s="14" t="inlineStr">
        <is>
          <t>10 EVIDENCE &amp; DECISIONS</t>
        </is>
      </c>
    </row>
    <row r="941" ht="34" customHeight="1">
      <c r="A941" s="23" t="inlineStr">
        <is>
          <t>Contractor Programme</t>
        </is>
      </c>
      <c r="B941" s="23" t="inlineStr">
        <is>
          <t>SCH-04-172</t>
        </is>
      </c>
      <c r="C941" s="23" t="inlineStr">
        <is>
          <t>Receiving track: vehicle delivery inspection - field start</t>
        </is>
      </c>
      <c r="D941" s="23" t="inlineStr">
        <is>
          <t>WBS Code = 1.4.1</t>
        </is>
      </c>
      <c r="E941" s="23" t="inlineStr">
        <is>
          <t>R712-v2</t>
        </is>
      </c>
      <c r="F941" s="23" t="inlineStr">
        <is>
          <t>1.4.1 Vehicles and Depot - Fleet Supply</t>
        </is>
      </c>
      <c r="G941" s="23" t="inlineStr">
        <is>
          <t>ONE_TO_ONE</t>
        </is>
      </c>
      <c r="H941" s="23" t="inlineStr">
        <is>
          <t>RETAINED</t>
        </is>
      </c>
      <c r="I941" s="23" t="inlineStr">
        <is>
          <t>Carried forward</t>
        </is>
      </c>
      <c r="J941" s="23" t="inlineStr">
        <is>
          <t>Source assignment -- not individually reviewed</t>
        </is>
      </c>
      <c r="K941" s="23" t="inlineStr"/>
      <c r="L941" s="23" t="inlineStr"/>
      <c r="M941" s="23" t="inlineStr"/>
      <c r="N941" s="14" t="inlineStr">
        <is>
          <t>10 EVIDENCE &amp; DECISIONS</t>
        </is>
      </c>
    </row>
    <row r="942" ht="34" customHeight="1">
      <c r="A942" s="23" t="inlineStr">
        <is>
          <t>Contractor Programme</t>
        </is>
      </c>
      <c r="B942" s="23" t="inlineStr">
        <is>
          <t>SCH-04-173</t>
        </is>
      </c>
      <c r="C942" s="23" t="inlineStr">
        <is>
          <t>Maintenance shop: wash-plant commissioning - installation</t>
        </is>
      </c>
      <c r="D942" s="23" t="inlineStr">
        <is>
          <t>WBS Code = 1.4.1</t>
        </is>
      </c>
      <c r="E942" s="23" t="inlineStr">
        <is>
          <t>R713-v2</t>
        </is>
      </c>
      <c r="F942" s="23" t="inlineStr">
        <is>
          <t>1.4.1 Vehicles and Depot - Fleet Supply</t>
        </is>
      </c>
      <c r="G942" s="23" t="inlineStr">
        <is>
          <t>ONE_TO_ONE</t>
        </is>
      </c>
      <c r="H942" s="23" t="inlineStr">
        <is>
          <t>RETAINED</t>
        </is>
      </c>
      <c r="I942" s="23" t="inlineStr">
        <is>
          <t>Carried forward</t>
        </is>
      </c>
      <c r="J942" s="23" t="inlineStr">
        <is>
          <t>Source assignment -- not individually reviewed</t>
        </is>
      </c>
      <c r="K942" s="23" t="inlineStr"/>
      <c r="L942" s="23" t="inlineStr"/>
      <c r="M942" s="23" t="inlineStr"/>
      <c r="N942" s="14" t="inlineStr">
        <is>
          <t>10 EVIDENCE &amp; DECISIONS</t>
        </is>
      </c>
    </row>
    <row r="943" ht="34" customHeight="1">
      <c r="A943" s="23" t="inlineStr">
        <is>
          <t>Contractor Programme</t>
        </is>
      </c>
      <c r="B943" s="23" t="inlineStr">
        <is>
          <t>SCH-04-175</t>
        </is>
      </c>
      <c r="C943" s="23" t="inlineStr">
        <is>
          <t>Operations building: depot structural fit-out - turnover</t>
        </is>
      </c>
      <c r="D943" s="23" t="inlineStr">
        <is>
          <t>WBS Code = 1.4.1</t>
        </is>
      </c>
      <c r="E943" s="23" t="inlineStr">
        <is>
          <t>R715-v2</t>
        </is>
      </c>
      <c r="F943" s="23" t="inlineStr">
        <is>
          <t>1.4.1 Vehicles and Depot - Fleet Supply</t>
        </is>
      </c>
      <c r="G943" s="23" t="inlineStr">
        <is>
          <t>ONE_TO_ONE</t>
        </is>
      </c>
      <c r="H943" s="23" t="inlineStr">
        <is>
          <t>RETAINED</t>
        </is>
      </c>
      <c r="I943" s="23" t="inlineStr">
        <is>
          <t>Carried forward</t>
        </is>
      </c>
      <c r="J943" s="23" t="inlineStr">
        <is>
          <t>Source assignment -- not individually reviewed</t>
        </is>
      </c>
      <c r="K943" s="23" t="inlineStr"/>
      <c r="L943" s="23" t="inlineStr"/>
      <c r="M943" s="23" t="inlineStr"/>
      <c r="N943" s="14" t="inlineStr">
        <is>
          <t>10 EVIDENCE &amp; DECISIONS</t>
        </is>
      </c>
    </row>
    <row r="944" ht="34" customHeight="1">
      <c r="A944" s="23" t="inlineStr">
        <is>
          <t>Contractor Programme</t>
        </is>
      </c>
      <c r="B944" s="23" t="inlineStr">
        <is>
          <t>SCH-04-176</t>
        </is>
      </c>
      <c r="C944" s="23" t="inlineStr">
        <is>
          <t>Test track: workshop crane installation - release</t>
        </is>
      </c>
      <c r="D944" s="23" t="inlineStr">
        <is>
          <t>WBS Code = 1.4.1</t>
        </is>
      </c>
      <c r="E944" s="23" t="inlineStr">
        <is>
          <t>R716-v2</t>
        </is>
      </c>
      <c r="F944" s="23" t="inlineStr">
        <is>
          <t>1.4.1 Vehicles and Depot - Fleet Supply</t>
        </is>
      </c>
      <c r="G944" s="23" t="inlineStr">
        <is>
          <t>ONE_TO_ONE</t>
        </is>
      </c>
      <c r="H944" s="23" t="inlineStr">
        <is>
          <t>RETAINED</t>
        </is>
      </c>
      <c r="I944" s="23" t="inlineStr">
        <is>
          <t>Carried forward</t>
        </is>
      </c>
      <c r="J944" s="23" t="inlineStr">
        <is>
          <t>Source assignment -- not individually reviewed</t>
        </is>
      </c>
      <c r="K944" s="23" t="inlineStr"/>
      <c r="L944" s="23" t="inlineStr"/>
      <c r="M944" s="23" t="inlineStr"/>
      <c r="N944" s="14" t="inlineStr">
        <is>
          <t>10 EVIDENCE &amp; DECISIONS</t>
        </is>
      </c>
    </row>
    <row r="945" ht="34" customHeight="1">
      <c r="A945" s="23" t="inlineStr">
        <is>
          <t>Contractor Programme</t>
        </is>
      </c>
      <c r="B945" s="23" t="inlineStr">
        <is>
          <t>SCH-04-178</t>
        </is>
      </c>
      <c r="C945" s="23" t="inlineStr">
        <is>
          <t>Maintenance shop: wheel-lathe installation - installation</t>
        </is>
      </c>
      <c r="D945" s="23" t="inlineStr">
        <is>
          <t>WBS Code = 1.4.1</t>
        </is>
      </c>
      <c r="E945" s="23" t="inlineStr">
        <is>
          <t>R718-v2</t>
        </is>
      </c>
      <c r="F945" s="23" t="inlineStr">
        <is>
          <t>1.4.1 Vehicles and Depot - Fleet Supply</t>
        </is>
      </c>
      <c r="G945" s="23" t="inlineStr">
        <is>
          <t>ONE_TO_ONE</t>
        </is>
      </c>
      <c r="H945" s="23" t="inlineStr">
        <is>
          <t>RETAINED</t>
        </is>
      </c>
      <c r="I945" s="23" t="inlineStr">
        <is>
          <t>Carried forward</t>
        </is>
      </c>
      <c r="J945" s="23" t="inlineStr">
        <is>
          <t>Source assignment -- not individually reviewed</t>
        </is>
      </c>
      <c r="K945" s="23" t="inlineStr"/>
      <c r="L945" s="23" t="inlineStr"/>
      <c r="M945" s="23" t="inlineStr"/>
      <c r="N945" s="14" t="inlineStr">
        <is>
          <t>10 EVIDENCE &amp; DECISIONS</t>
        </is>
      </c>
    </row>
    <row r="946" ht="34" customHeight="1">
      <c r="A946" s="23" t="inlineStr">
        <is>
          <t>Contractor Programme</t>
        </is>
      </c>
      <c r="B946" s="23" t="inlineStr">
        <is>
          <t>SCH-04-179</t>
        </is>
      </c>
      <c r="C946" s="23" t="inlineStr">
        <is>
          <t>Storage yard: fleet software load - inspection</t>
        </is>
      </c>
      <c r="D946" s="23" t="inlineStr">
        <is>
          <t>WBS Code = 1.4.1</t>
        </is>
      </c>
      <c r="E946" s="23" t="inlineStr">
        <is>
          <t>R719-v2</t>
        </is>
      </c>
      <c r="F946" s="23" t="inlineStr">
        <is>
          <t>1.4.1 Vehicles and Depot - Fleet Supply</t>
        </is>
      </c>
      <c r="G946" s="23" t="inlineStr">
        <is>
          <t>ONE_TO_ONE</t>
        </is>
      </c>
      <c r="H946" s="23" t="inlineStr">
        <is>
          <t>RETAINED</t>
        </is>
      </c>
      <c r="I946" s="23" t="inlineStr">
        <is>
          <t>Carried forward</t>
        </is>
      </c>
      <c r="J946" s="23" t="inlineStr">
        <is>
          <t>Source assignment -- not individually reviewed</t>
        </is>
      </c>
      <c r="K946" s="23" t="inlineStr"/>
      <c r="L946" s="23" t="inlineStr"/>
      <c r="M946" s="23" t="inlineStr"/>
      <c r="N946" s="14" t="inlineStr">
        <is>
          <t>10 EVIDENCE &amp; DECISIONS</t>
        </is>
      </c>
    </row>
    <row r="947" ht="34" customHeight="1">
      <c r="A947" s="23" t="inlineStr">
        <is>
          <t>Cost &amp; Forecast Control Accounts</t>
        </is>
      </c>
      <c r="B947" s="23" t="inlineStr">
        <is>
          <t>CST-04-001</t>
        </is>
      </c>
      <c r="C947" s="23" t="inlineStr">
        <is>
          <t>Vehicles and Depot - fleet supply - field package</t>
        </is>
      </c>
      <c r="D947" s="23" t="inlineStr">
        <is>
          <t>Cost Account = CA-4001; WBS Code = 1.4.1</t>
        </is>
      </c>
      <c r="E947" s="23" t="inlineStr">
        <is>
          <t>R1323-v2</t>
        </is>
      </c>
      <c r="F947" s="23" t="inlineStr">
        <is>
          <t>1.4.1 Vehicles and Depot - Fleet Supply</t>
        </is>
      </c>
      <c r="G947" s="23" t="inlineStr">
        <is>
          <t>ONE_TO_ONE</t>
        </is>
      </c>
      <c r="H947" s="23" t="inlineStr">
        <is>
          <t>RETAINED</t>
        </is>
      </c>
      <c r="I947" s="23" t="inlineStr">
        <is>
          <t>Carried forward</t>
        </is>
      </c>
      <c r="J947" s="23" t="inlineStr">
        <is>
          <t>Source assignment -- not individually reviewed</t>
        </is>
      </c>
      <c r="K947" s="23" t="inlineStr"/>
      <c r="L947" s="23" t="inlineStr"/>
      <c r="M947" s="23" t="inlineStr"/>
      <c r="N947" s="14" t="inlineStr">
        <is>
          <t>10 EVIDENCE &amp; DECISIONS</t>
        </is>
      </c>
    </row>
    <row r="948" ht="34" customHeight="1">
      <c r="A948" s="23" t="inlineStr">
        <is>
          <t>Cost &amp; Forecast Control Accounts</t>
        </is>
      </c>
      <c r="B948" s="23" t="inlineStr">
        <is>
          <t>CST-04-003</t>
        </is>
      </c>
      <c r="C948" s="23" t="inlineStr">
        <is>
          <t>Vehicles and Depot - spares - professional services</t>
        </is>
      </c>
      <c r="D948" s="23" t="inlineStr">
        <is>
          <t>Cost Account = CA-4003; WBS Code = 1.4.1</t>
        </is>
      </c>
      <c r="E948" s="23" t="inlineStr">
        <is>
          <t>R1325-v2</t>
        </is>
      </c>
      <c r="F948" s="23" t="inlineStr">
        <is>
          <t>1.4.1 Vehicles and Depot - Fleet Supply</t>
        </is>
      </c>
      <c r="G948" s="23" t="inlineStr">
        <is>
          <t>ONE_TO_ONE</t>
        </is>
      </c>
      <c r="H948" s="23" t="inlineStr">
        <is>
          <t>RETAINED</t>
        </is>
      </c>
      <c r="I948" s="23" t="inlineStr">
        <is>
          <t>Carried forward</t>
        </is>
      </c>
      <c r="J948" s="23" t="inlineStr">
        <is>
          <t>Source assignment -- not individually reviewed</t>
        </is>
      </c>
      <c r="K948" s="23" t="inlineStr"/>
      <c r="L948" s="23" t="inlineStr"/>
      <c r="M948" s="23" t="inlineStr"/>
      <c r="N948" s="14" t="inlineStr">
        <is>
          <t>10 EVIDENCE &amp; DECISIONS</t>
        </is>
      </c>
    </row>
    <row r="949" ht="34" customHeight="1">
      <c r="A949" s="23" t="inlineStr">
        <is>
          <t>Cost &amp; Forecast Control Accounts</t>
        </is>
      </c>
      <c r="B949" s="23" t="inlineStr">
        <is>
          <t>CST-04-005</t>
        </is>
      </c>
      <c r="C949" s="23" t="inlineStr">
        <is>
          <t>Vehicles and Depot - workshop equipment - closeout</t>
        </is>
      </c>
      <c r="D949" s="23" t="inlineStr">
        <is>
          <t>Cost Account = CA-4005; WBS Code = 1.4.1</t>
        </is>
      </c>
      <c r="E949" s="23" t="inlineStr">
        <is>
          <t>R1327-v2</t>
        </is>
      </c>
      <c r="F949" s="23" t="inlineStr">
        <is>
          <t>1.4.1 Vehicles and Depot - Fleet Supply</t>
        </is>
      </c>
      <c r="G949" s="23" t="inlineStr">
        <is>
          <t>ONE_TO_ONE</t>
        </is>
      </c>
      <c r="H949" s="23" t="inlineStr">
        <is>
          <t>RETAINED</t>
        </is>
      </c>
      <c r="I949" s="23" t="inlineStr">
        <is>
          <t>Carried forward</t>
        </is>
      </c>
      <c r="J949" s="23" t="inlineStr">
        <is>
          <t>Source assignment -- not individually reviewed</t>
        </is>
      </c>
      <c r="K949" s="23" t="inlineStr"/>
      <c r="L949" s="23" t="inlineStr"/>
      <c r="M949" s="23" t="inlineStr"/>
      <c r="N949" s="14" t="inlineStr">
        <is>
          <t>10 EVIDENCE &amp; DECISIONS</t>
        </is>
      </c>
    </row>
    <row r="950" ht="34" customHeight="1">
      <c r="A950" s="23" t="inlineStr">
        <is>
          <t>Cost &amp; Forecast Control Accounts</t>
        </is>
      </c>
      <c r="B950" s="23" t="inlineStr">
        <is>
          <t>CST-04-007</t>
        </is>
      </c>
      <c r="C950" s="23" t="inlineStr">
        <is>
          <t>Vehicles and Depot - fleet supply - supply and install</t>
        </is>
      </c>
      <c r="D950" s="23" t="inlineStr">
        <is>
          <t>Cost Account = CA-4007; WBS Code = 1.4.1</t>
        </is>
      </c>
      <c r="E950" s="23" t="inlineStr">
        <is>
          <t>R1329-v2</t>
        </is>
      </c>
      <c r="F950" s="23" t="inlineStr">
        <is>
          <t>1.4.1 Vehicles and Depot - Fleet Supply</t>
        </is>
      </c>
      <c r="G950" s="23" t="inlineStr">
        <is>
          <t>ONE_TO_ONE</t>
        </is>
      </c>
      <c r="H950" s="23" t="inlineStr">
        <is>
          <t>RETAINED</t>
        </is>
      </c>
      <c r="I950" s="23" t="inlineStr">
        <is>
          <t>Carried forward</t>
        </is>
      </c>
      <c r="J950" s="23" t="inlineStr">
        <is>
          <t>Source assignment -- not individually reviewed</t>
        </is>
      </c>
      <c r="K950" s="23" t="inlineStr"/>
      <c r="L950" s="23" t="inlineStr"/>
      <c r="M950" s="23" t="inlineStr"/>
      <c r="N950" s="14" t="inlineStr">
        <is>
          <t>10 EVIDENCE &amp; DECISIONS</t>
        </is>
      </c>
    </row>
    <row r="951" ht="34" customHeight="1">
      <c r="A951" s="23" t="inlineStr">
        <is>
          <t>Cost &amp; Forecast Control Accounts</t>
        </is>
      </c>
      <c r="B951" s="23" t="inlineStr">
        <is>
          <t>CST-04-009</t>
        </is>
      </c>
      <c r="C951" s="23" t="inlineStr">
        <is>
          <t>Vehicles and Depot - spares - allowance</t>
        </is>
      </c>
      <c r="D951" s="23" t="inlineStr">
        <is>
          <t>Cost Account = CA-4009; WBS Code = 1.4.1</t>
        </is>
      </c>
      <c r="E951" s="23" t="inlineStr">
        <is>
          <t>R1331-v2</t>
        </is>
      </c>
      <c r="F951" s="23" t="inlineStr">
        <is>
          <t>1.4.1 Vehicles and Depot - Fleet Supply</t>
        </is>
      </c>
      <c r="G951" s="23" t="inlineStr">
        <is>
          <t>ONE_TO_ONE</t>
        </is>
      </c>
      <c r="H951" s="23" t="inlineStr">
        <is>
          <t>RETAINED</t>
        </is>
      </c>
      <c r="I951" s="23" t="inlineStr">
        <is>
          <t>Carried forward</t>
        </is>
      </c>
      <c r="J951" s="23" t="inlineStr">
        <is>
          <t>Source assignment -- not individually reviewed</t>
        </is>
      </c>
      <c r="K951" s="23" t="inlineStr"/>
      <c r="L951" s="23" t="inlineStr"/>
      <c r="M951" s="23" t="inlineStr"/>
      <c r="N951" s="14" t="inlineStr">
        <is>
          <t>10 EVIDENCE &amp; DECISIONS</t>
        </is>
      </c>
    </row>
    <row r="952" ht="34" customHeight="1">
      <c r="A952" s="23" t="inlineStr">
        <is>
          <t>Cost &amp; Forecast Control Accounts</t>
        </is>
      </c>
      <c r="B952" s="23" t="inlineStr">
        <is>
          <t>CST-04-011</t>
        </is>
      </c>
      <c r="C952" s="23" t="inlineStr">
        <is>
          <t>Vehicles and Depot - workshop equipment - field package</t>
        </is>
      </c>
      <c r="D952" s="23" t="inlineStr">
        <is>
          <t>Cost Account = CA-4011; WBS Code = 1.4.1</t>
        </is>
      </c>
      <c r="E952" s="23" t="inlineStr">
        <is>
          <t>R1333-v2</t>
        </is>
      </c>
      <c r="F952" s="23" t="inlineStr">
        <is>
          <t>1.4.1 Vehicles and Depot - Fleet Supply</t>
        </is>
      </c>
      <c r="G952" s="23" t="inlineStr">
        <is>
          <t>ONE_TO_ONE</t>
        </is>
      </c>
      <c r="H952" s="23" t="inlineStr">
        <is>
          <t>RETAINED</t>
        </is>
      </c>
      <c r="I952" s="23" t="inlineStr">
        <is>
          <t>Carried forward</t>
        </is>
      </c>
      <c r="J952" s="23" t="inlineStr">
        <is>
          <t>Source assignment -- not individually reviewed</t>
        </is>
      </c>
      <c r="K952" s="23" t="inlineStr"/>
      <c r="L952" s="23" t="inlineStr"/>
      <c r="M952" s="23" t="inlineStr"/>
      <c r="N952" s="14" t="inlineStr">
        <is>
          <t>10 EVIDENCE &amp; DECISIONS</t>
        </is>
      </c>
    </row>
    <row r="953" ht="34" customHeight="1">
      <c r="A953" s="23" t="inlineStr">
        <is>
          <t>Cost &amp; Forecast Control Accounts</t>
        </is>
      </c>
      <c r="B953" s="23" t="inlineStr">
        <is>
          <t>CST-04-013</t>
        </is>
      </c>
      <c r="C953" s="23" t="inlineStr">
        <is>
          <t>Vehicles and Depot - fleet supply - professional services</t>
        </is>
      </c>
      <c r="D953" s="23" t="inlineStr">
        <is>
          <t>Cost Account = CA-4013; WBS Code = 1.4.1</t>
        </is>
      </c>
      <c r="E953" s="23" t="inlineStr">
        <is>
          <t>R1335-v2</t>
        </is>
      </c>
      <c r="F953" s="23" t="inlineStr">
        <is>
          <t>1.4.1 Vehicles and Depot - Fleet Supply</t>
        </is>
      </c>
      <c r="G953" s="23" t="inlineStr">
        <is>
          <t>ONE_TO_ONE</t>
        </is>
      </c>
      <c r="H953" s="23" t="inlineStr">
        <is>
          <t>RETAINED</t>
        </is>
      </c>
      <c r="I953" s="23" t="inlineStr">
        <is>
          <t>Carried forward</t>
        </is>
      </c>
      <c r="J953" s="23" t="inlineStr">
        <is>
          <t>Source assignment -- not individually reviewed</t>
        </is>
      </c>
      <c r="K953" s="23" t="inlineStr"/>
      <c r="L953" s="23" t="inlineStr"/>
      <c r="M953" s="23" t="inlineStr"/>
      <c r="N953" s="14" t="inlineStr">
        <is>
          <t>10 EVIDENCE &amp; DECISIONS</t>
        </is>
      </c>
    </row>
    <row r="954" ht="34" customHeight="1">
      <c r="A954" s="23" t="inlineStr">
        <is>
          <t>Cost &amp; Forecast Control Accounts</t>
        </is>
      </c>
      <c r="B954" s="23" t="inlineStr">
        <is>
          <t>CST-04-015</t>
        </is>
      </c>
      <c r="C954" s="23" t="inlineStr">
        <is>
          <t>Vehicles and Depot - spares - closeout</t>
        </is>
      </c>
      <c r="D954" s="23" t="inlineStr">
        <is>
          <t>Cost Account = CA-4015; WBS Code = 1.4.1</t>
        </is>
      </c>
      <c r="E954" s="23" t="inlineStr">
        <is>
          <t>R1337-v2</t>
        </is>
      </c>
      <c r="F954" s="23" t="inlineStr">
        <is>
          <t>1.4.1 Vehicles and Depot - Fleet Supply</t>
        </is>
      </c>
      <c r="G954" s="23" t="inlineStr">
        <is>
          <t>ONE_TO_ONE</t>
        </is>
      </c>
      <c r="H954" s="23" t="inlineStr">
        <is>
          <t>RETAINED</t>
        </is>
      </c>
      <c r="I954" s="23" t="inlineStr">
        <is>
          <t>Carried forward</t>
        </is>
      </c>
      <c r="J954" s="23" t="inlineStr">
        <is>
          <t>Source assignment -- not individually reviewed</t>
        </is>
      </c>
      <c r="K954" s="23" t="inlineStr"/>
      <c r="L954" s="23" t="inlineStr"/>
      <c r="M954" s="23" t="inlineStr"/>
      <c r="N954" s="14" t="inlineStr">
        <is>
          <t>10 EVIDENCE &amp; DECISIONS</t>
        </is>
      </c>
    </row>
    <row r="955" ht="34" customHeight="1">
      <c r="A955" s="23" t="inlineStr">
        <is>
          <t>Cost &amp; Forecast Control Accounts</t>
        </is>
      </c>
      <c r="B955" s="23" t="inlineStr">
        <is>
          <t>CST-04-017</t>
        </is>
      </c>
      <c r="C955" s="23" t="inlineStr">
        <is>
          <t>Vehicles and Depot - workshop equipment - supply and install</t>
        </is>
      </c>
      <c r="D955" s="23" t="inlineStr">
        <is>
          <t>Cost Account = CA-4017; WBS Code = 1.4.1</t>
        </is>
      </c>
      <c r="E955" s="23" t="inlineStr">
        <is>
          <t>R1339-v2</t>
        </is>
      </c>
      <c r="F955" s="23" t="inlineStr">
        <is>
          <t>1.4.1 Vehicles and Depot - Fleet Supply</t>
        </is>
      </c>
      <c r="G955" s="23" t="inlineStr">
        <is>
          <t>ONE_TO_ONE</t>
        </is>
      </c>
      <c r="H955" s="23" t="inlineStr">
        <is>
          <t>RETAINED</t>
        </is>
      </c>
      <c r="I955" s="23" t="inlineStr">
        <is>
          <t>Carried forward</t>
        </is>
      </c>
      <c r="J955" s="23" t="inlineStr">
        <is>
          <t>Source assignment -- not individually reviewed</t>
        </is>
      </c>
      <c r="K955" s="23" t="inlineStr"/>
      <c r="L955" s="23" t="inlineStr"/>
      <c r="M955" s="23" t="inlineStr"/>
      <c r="N955" s="14" t="inlineStr">
        <is>
          <t>10 EVIDENCE &amp; DECISIONS</t>
        </is>
      </c>
    </row>
    <row r="956" ht="34" customHeight="1">
      <c r="A956" s="23" t="inlineStr">
        <is>
          <t>Cost &amp; Forecast Control Accounts</t>
        </is>
      </c>
      <c r="B956" s="23" t="inlineStr">
        <is>
          <t>CST-04-019</t>
        </is>
      </c>
      <c r="C956" s="23" t="inlineStr">
        <is>
          <t>Vehicles and Depot - fleet supply - allowance</t>
        </is>
      </c>
      <c r="D956" s="23" t="inlineStr">
        <is>
          <t>Cost Account = CA-4019; WBS Code = 1.4.1</t>
        </is>
      </c>
      <c r="E956" s="23" t="inlineStr">
        <is>
          <t>R1341-v2</t>
        </is>
      </c>
      <c r="F956" s="23" t="inlineStr">
        <is>
          <t>1.4.1 Vehicles and Depot - Fleet Supply</t>
        </is>
      </c>
      <c r="G956" s="23" t="inlineStr">
        <is>
          <t>ONE_TO_ONE</t>
        </is>
      </c>
      <c r="H956" s="23" t="inlineStr">
        <is>
          <t>RETAINED</t>
        </is>
      </c>
      <c r="I956" s="23" t="inlineStr">
        <is>
          <t>Carried forward</t>
        </is>
      </c>
      <c r="J956" s="23" t="inlineStr">
        <is>
          <t>Source assignment -- not individually reviewed</t>
        </is>
      </c>
      <c r="K956" s="23" t="inlineStr"/>
      <c r="L956" s="23" t="inlineStr"/>
      <c r="M956" s="23" t="inlineStr"/>
      <c r="N956" s="14" t="inlineStr">
        <is>
          <t>10 EVIDENCE &amp; DECISIONS</t>
        </is>
      </c>
    </row>
    <row r="957" ht="34" customHeight="1">
      <c r="A957" s="23" t="inlineStr">
        <is>
          <t>Cost &amp; Forecast Control Accounts</t>
        </is>
      </c>
      <c r="B957" s="23" t="inlineStr">
        <is>
          <t>CST-04-021</t>
        </is>
      </c>
      <c r="C957" s="23" t="inlineStr">
        <is>
          <t>Vehicles and Depot - spares - field package</t>
        </is>
      </c>
      <c r="D957" s="23" t="inlineStr">
        <is>
          <t>Cost Account = CA-4021; WBS Code = 1.4.1</t>
        </is>
      </c>
      <c r="E957" s="23" t="inlineStr">
        <is>
          <t>R1343-v2</t>
        </is>
      </c>
      <c r="F957" s="23" t="inlineStr">
        <is>
          <t>1.4.1 Vehicles and Depot - Fleet Supply</t>
        </is>
      </c>
      <c r="G957" s="23" t="inlineStr">
        <is>
          <t>ONE_TO_ONE</t>
        </is>
      </c>
      <c r="H957" s="23" t="inlineStr">
        <is>
          <t>RETAINED</t>
        </is>
      </c>
      <c r="I957" s="23" t="inlineStr">
        <is>
          <t>Carried forward</t>
        </is>
      </c>
      <c r="J957" s="23" t="inlineStr">
        <is>
          <t>Source assignment -- not individually reviewed</t>
        </is>
      </c>
      <c r="K957" s="23" t="inlineStr"/>
      <c r="L957" s="23" t="inlineStr"/>
      <c r="M957" s="23" t="inlineStr"/>
      <c r="N957" s="14" t="inlineStr">
        <is>
          <t>10 EVIDENCE &amp; DECISIONS</t>
        </is>
      </c>
    </row>
    <row r="958" ht="34" customHeight="1">
      <c r="A958" s="23" t="inlineStr">
        <is>
          <t>Cost &amp; Forecast Control Accounts</t>
        </is>
      </c>
      <c r="B958" s="23" t="inlineStr">
        <is>
          <t>CST-04-023</t>
        </is>
      </c>
      <c r="C958" s="23" t="inlineStr">
        <is>
          <t>Vehicles and Depot - workshop equipment - professional services</t>
        </is>
      </c>
      <c r="D958" s="23" t="inlineStr">
        <is>
          <t>Cost Account = CA-4023; WBS Code = 1.4.1</t>
        </is>
      </c>
      <c r="E958" s="23" t="inlineStr">
        <is>
          <t>R1345-v2</t>
        </is>
      </c>
      <c r="F958" s="23" t="inlineStr">
        <is>
          <t>1.4.1 Vehicles and Depot - Fleet Supply</t>
        </is>
      </c>
      <c r="G958" s="23" t="inlineStr">
        <is>
          <t>ONE_TO_ONE</t>
        </is>
      </c>
      <c r="H958" s="23" t="inlineStr">
        <is>
          <t>RETAINED</t>
        </is>
      </c>
      <c r="I958" s="23" t="inlineStr">
        <is>
          <t>Carried forward</t>
        </is>
      </c>
      <c r="J958" s="23" t="inlineStr">
        <is>
          <t>Source assignment -- not individually reviewed</t>
        </is>
      </c>
      <c r="K958" s="23" t="inlineStr"/>
      <c r="L958" s="23" t="inlineStr"/>
      <c r="M958" s="23" t="inlineStr"/>
      <c r="N958" s="14" t="inlineStr">
        <is>
          <t>10 EVIDENCE &amp; DECISIONS</t>
        </is>
      </c>
    </row>
    <row r="959" ht="34" customHeight="1">
      <c r="A959" s="23" t="inlineStr">
        <is>
          <t>Cost &amp; Forecast Control Accounts</t>
        </is>
      </c>
      <c r="B959" s="23" t="inlineStr">
        <is>
          <t>CST-04-025</t>
        </is>
      </c>
      <c r="C959" s="23" t="inlineStr">
        <is>
          <t>Vehicles and Depot - fleet supply - closeout</t>
        </is>
      </c>
      <c r="D959" s="23" t="inlineStr">
        <is>
          <t>Cost Account = CA-4025; WBS Code = 1.4.1</t>
        </is>
      </c>
      <c r="E959" s="23" t="inlineStr">
        <is>
          <t>R1347-v2</t>
        </is>
      </c>
      <c r="F959" s="23" t="inlineStr">
        <is>
          <t>1.4.1 Vehicles and Depot - Fleet Supply</t>
        </is>
      </c>
      <c r="G959" s="23" t="inlineStr">
        <is>
          <t>ONE_TO_ONE</t>
        </is>
      </c>
      <c r="H959" s="23" t="inlineStr">
        <is>
          <t>RETAINED</t>
        </is>
      </c>
      <c r="I959" s="23" t="inlineStr">
        <is>
          <t>Carried forward</t>
        </is>
      </c>
      <c r="J959" s="23" t="inlineStr">
        <is>
          <t>Source assignment -- not individually reviewed</t>
        </is>
      </c>
      <c r="K959" s="23" t="inlineStr"/>
      <c r="L959" s="23" t="inlineStr"/>
      <c r="M959" s="23" t="inlineStr"/>
      <c r="N959" s="14" t="inlineStr">
        <is>
          <t>10 EVIDENCE &amp; DECISIONS</t>
        </is>
      </c>
    </row>
    <row r="960" ht="34" customHeight="1">
      <c r="A960" s="23" t="inlineStr">
        <is>
          <t>Cost &amp; Forecast Control Accounts</t>
        </is>
      </c>
      <c r="B960" s="23" t="inlineStr">
        <is>
          <t>CST-04-027</t>
        </is>
      </c>
      <c r="C960" s="23" t="inlineStr">
        <is>
          <t>Vehicles and Depot - spares - supply and install</t>
        </is>
      </c>
      <c r="D960" s="23" t="inlineStr">
        <is>
          <t>Cost Account = CA-4027; WBS Code = 1.4.1</t>
        </is>
      </c>
      <c r="E960" s="23" t="inlineStr">
        <is>
          <t>R1349-v2</t>
        </is>
      </c>
      <c r="F960" s="23" t="inlineStr">
        <is>
          <t>1.4.1 Vehicles and Depot - Fleet Supply</t>
        </is>
      </c>
      <c r="G960" s="23" t="inlineStr">
        <is>
          <t>ONE_TO_ONE</t>
        </is>
      </c>
      <c r="H960" s="23" t="inlineStr">
        <is>
          <t>RETAINED</t>
        </is>
      </c>
      <c r="I960" s="23" t="inlineStr">
        <is>
          <t>Carried forward</t>
        </is>
      </c>
      <c r="J960" s="23" t="inlineStr">
        <is>
          <t>Source assignment -- not individually reviewed</t>
        </is>
      </c>
      <c r="K960" s="23" t="inlineStr"/>
      <c r="L960" s="23" t="inlineStr"/>
      <c r="M960" s="23" t="inlineStr"/>
      <c r="N960" s="14" t="inlineStr">
        <is>
          <t>10 EVIDENCE &amp; DECISIONS</t>
        </is>
      </c>
    </row>
    <row r="961" ht="34" customHeight="1">
      <c r="A961" s="23" t="inlineStr">
        <is>
          <t>Cost &amp; Forecast Control Accounts</t>
        </is>
      </c>
      <c r="B961" s="23" t="inlineStr">
        <is>
          <t>CST-04-029</t>
        </is>
      </c>
      <c r="C961" s="23" t="inlineStr">
        <is>
          <t>Vehicles and Depot - workshop equipment - allowance</t>
        </is>
      </c>
      <c r="D961" s="23" t="inlineStr">
        <is>
          <t>Cost Account = CA-4029; WBS Code = 1.4.1</t>
        </is>
      </c>
      <c r="E961" s="23" t="inlineStr">
        <is>
          <t>R1351-v2</t>
        </is>
      </c>
      <c r="F961" s="23" t="inlineStr">
        <is>
          <t>1.4.1 Vehicles and Depot - Fleet Supply</t>
        </is>
      </c>
      <c r="G961" s="23" t="inlineStr">
        <is>
          <t>ONE_TO_ONE</t>
        </is>
      </c>
      <c r="H961" s="23" t="inlineStr">
        <is>
          <t>RETAINED</t>
        </is>
      </c>
      <c r="I961" s="23" t="inlineStr">
        <is>
          <t>Carried forward</t>
        </is>
      </c>
      <c r="J961" s="23" t="inlineStr">
        <is>
          <t>Source assignment -- not individually reviewed</t>
        </is>
      </c>
      <c r="K961" s="23" t="inlineStr"/>
      <c r="L961" s="23" t="inlineStr"/>
      <c r="M961" s="23" t="inlineStr"/>
      <c r="N961" s="14" t="inlineStr">
        <is>
          <t>10 EVIDENCE &amp; DECISIONS</t>
        </is>
      </c>
    </row>
    <row r="962" ht="34" customHeight="1">
      <c r="A962" s="23" t="inlineStr">
        <is>
          <t>Cost &amp; Forecast Control Accounts</t>
        </is>
      </c>
      <c r="B962" s="23" t="inlineStr">
        <is>
          <t>CST-04-031</t>
        </is>
      </c>
      <c r="C962" s="23" t="inlineStr">
        <is>
          <t>Vehicles and Depot - fleet supply - field package</t>
        </is>
      </c>
      <c r="D962" s="23" t="inlineStr">
        <is>
          <t>Cost Account = CA-4031; WBS Code = 1.4.1</t>
        </is>
      </c>
      <c r="E962" s="23" t="inlineStr">
        <is>
          <t>R1353-v2</t>
        </is>
      </c>
      <c r="F962" s="23" t="inlineStr">
        <is>
          <t>1.4.1 Vehicles and Depot - Fleet Supply</t>
        </is>
      </c>
      <c r="G962" s="23" t="inlineStr">
        <is>
          <t>ONE_TO_ONE</t>
        </is>
      </c>
      <c r="H962" s="23" t="inlineStr">
        <is>
          <t>RETAINED</t>
        </is>
      </c>
      <c r="I962" s="23" t="inlineStr">
        <is>
          <t>Carried forward</t>
        </is>
      </c>
      <c r="J962" s="23" t="inlineStr">
        <is>
          <t>Source assignment -- not individually reviewed</t>
        </is>
      </c>
      <c r="K962" s="23" t="inlineStr"/>
      <c r="L962" s="23" t="inlineStr"/>
      <c r="M962" s="23" t="inlineStr"/>
      <c r="N962" s="14" t="inlineStr">
        <is>
          <t>10 EVIDENCE &amp; DECISIONS</t>
        </is>
      </c>
    </row>
    <row r="963" ht="34" customHeight="1">
      <c r="A963" s="23" t="inlineStr">
        <is>
          <t>Cost &amp; Forecast Control Accounts</t>
        </is>
      </c>
      <c r="B963" s="23" t="inlineStr">
        <is>
          <t>CST-04-033</t>
        </is>
      </c>
      <c r="C963" s="23" t="inlineStr">
        <is>
          <t>Vehicles and Depot - spares - professional services</t>
        </is>
      </c>
      <c r="D963" s="23" t="inlineStr">
        <is>
          <t>Cost Account = CA-4033; WBS Code = 1.4.1</t>
        </is>
      </c>
      <c r="E963" s="23" t="inlineStr">
        <is>
          <t>R1355-v2</t>
        </is>
      </c>
      <c r="F963" s="23" t="inlineStr">
        <is>
          <t>1.4.1 Vehicles and Depot - Fleet Supply</t>
        </is>
      </c>
      <c r="G963" s="23" t="inlineStr">
        <is>
          <t>ONE_TO_ONE</t>
        </is>
      </c>
      <c r="H963" s="23" t="inlineStr">
        <is>
          <t>RETAINED</t>
        </is>
      </c>
      <c r="I963" s="23" t="inlineStr">
        <is>
          <t>Carried forward</t>
        </is>
      </c>
      <c r="J963" s="23" t="inlineStr">
        <is>
          <t>Source assignment -- not individually reviewed</t>
        </is>
      </c>
      <c r="K963" s="23" t="inlineStr"/>
      <c r="L963" s="23" t="inlineStr"/>
      <c r="M963" s="23" t="inlineStr"/>
      <c r="N963" s="14" t="inlineStr">
        <is>
          <t>10 EVIDENCE &amp; DECISIONS</t>
        </is>
      </c>
    </row>
    <row r="964" ht="34" customHeight="1">
      <c r="A964" s="23" t="inlineStr">
        <is>
          <t>Cost &amp; Forecast Control Accounts</t>
        </is>
      </c>
      <c r="B964" s="23" t="inlineStr">
        <is>
          <t>CST-04-035</t>
        </is>
      </c>
      <c r="C964" s="23" t="inlineStr">
        <is>
          <t>Vehicles and Depot - workshop equipment - closeout</t>
        </is>
      </c>
      <c r="D964" s="23" t="inlineStr">
        <is>
          <t>Cost Account = CA-4035; WBS Code = 1.4.1</t>
        </is>
      </c>
      <c r="E964" s="23" t="inlineStr">
        <is>
          <t>R1357-v2</t>
        </is>
      </c>
      <c r="F964" s="23" t="inlineStr">
        <is>
          <t>1.4.1 Vehicles and Depot - Fleet Supply</t>
        </is>
      </c>
      <c r="G964" s="23" t="inlineStr">
        <is>
          <t>ONE_TO_ONE</t>
        </is>
      </c>
      <c r="H964" s="23" t="inlineStr">
        <is>
          <t>RETAINED</t>
        </is>
      </c>
      <c r="I964" s="23" t="inlineStr">
        <is>
          <t>Carried forward</t>
        </is>
      </c>
      <c r="J964" s="23" t="inlineStr">
        <is>
          <t>Source assignment -- not individually reviewed</t>
        </is>
      </c>
      <c r="K964" s="23" t="inlineStr"/>
      <c r="L964" s="23" t="inlineStr"/>
      <c r="M964" s="23" t="inlineStr"/>
      <c r="N964" s="14" t="inlineStr">
        <is>
          <t>10 EVIDENCE &amp; DECISIONS</t>
        </is>
      </c>
    </row>
    <row r="965" ht="34" customHeight="1">
      <c r="A965" s="23" t="inlineStr">
        <is>
          <t>Cost &amp; Forecast Control Accounts</t>
        </is>
      </c>
      <c r="B965" s="23" t="inlineStr">
        <is>
          <t>CST-04-037</t>
        </is>
      </c>
      <c r="C965" s="23" t="inlineStr">
        <is>
          <t>Vehicles and Depot - fleet supply - supply and install</t>
        </is>
      </c>
      <c r="D965" s="23" t="inlineStr">
        <is>
          <t>Cost Account = CA-4037; WBS Code = 1.4.1</t>
        </is>
      </c>
      <c r="E965" s="23" t="inlineStr">
        <is>
          <t>R1359-v2</t>
        </is>
      </c>
      <c r="F965" s="23" t="inlineStr">
        <is>
          <t>1.4.1 Vehicles and Depot - Fleet Supply</t>
        </is>
      </c>
      <c r="G965" s="23" t="inlineStr">
        <is>
          <t>ONE_TO_ONE</t>
        </is>
      </c>
      <c r="H965" s="23" t="inlineStr">
        <is>
          <t>RETAINED</t>
        </is>
      </c>
      <c r="I965" s="23" t="inlineStr">
        <is>
          <t>Carried forward</t>
        </is>
      </c>
      <c r="J965" s="23" t="inlineStr">
        <is>
          <t>Source assignment -- not individually reviewed</t>
        </is>
      </c>
      <c r="K965" s="23" t="inlineStr"/>
      <c r="L965" s="23" t="inlineStr"/>
      <c r="M965" s="23" t="inlineStr"/>
      <c r="N965" s="14" t="inlineStr">
        <is>
          <t>10 EVIDENCE &amp; DECISIONS</t>
        </is>
      </c>
    </row>
    <row r="966" ht="34" customHeight="1">
      <c r="A966" s="23" t="inlineStr">
        <is>
          <t>Cost &amp; Forecast Control Accounts</t>
        </is>
      </c>
      <c r="B966" s="23" t="inlineStr">
        <is>
          <t>CST-04-039</t>
        </is>
      </c>
      <c r="C966" s="23" t="inlineStr">
        <is>
          <t>Vehicles and Depot - spares - allowance</t>
        </is>
      </c>
      <c r="D966" s="23" t="inlineStr">
        <is>
          <t>Cost Account = CA-4039; WBS Code = 1.4.1</t>
        </is>
      </c>
      <c r="E966" s="23" t="inlineStr">
        <is>
          <t>R1361-v2</t>
        </is>
      </c>
      <c r="F966" s="23" t="inlineStr">
        <is>
          <t>1.4.1 Vehicles and Depot - Fleet Supply</t>
        </is>
      </c>
      <c r="G966" s="23" t="inlineStr">
        <is>
          <t>ONE_TO_ONE</t>
        </is>
      </c>
      <c r="H966" s="23" t="inlineStr">
        <is>
          <t>RETAINED</t>
        </is>
      </c>
      <c r="I966" s="23" t="inlineStr">
        <is>
          <t>Carried forward</t>
        </is>
      </c>
      <c r="J966" s="23" t="inlineStr">
        <is>
          <t>Source assignment -- not individually reviewed</t>
        </is>
      </c>
      <c r="K966" s="23" t="inlineStr"/>
      <c r="L966" s="23" t="inlineStr"/>
      <c r="M966" s="23" t="inlineStr"/>
      <c r="N966" s="14" t="inlineStr">
        <is>
          <t>10 EVIDENCE &amp; DECISIONS</t>
        </is>
      </c>
    </row>
    <row r="967" ht="34" customHeight="1">
      <c r="A967" s="23" t="inlineStr">
        <is>
          <t>Cost &amp; Forecast Control Accounts</t>
        </is>
      </c>
      <c r="B967" s="23" t="inlineStr">
        <is>
          <t>CST-04-041</t>
        </is>
      </c>
      <c r="C967" s="23" t="inlineStr">
        <is>
          <t>Vehicles and Depot - workshop equipment - field package</t>
        </is>
      </c>
      <c r="D967" s="23" t="inlineStr">
        <is>
          <t>Cost Account = CA-4041; WBS Code = 1.4.1</t>
        </is>
      </c>
      <c r="E967" s="23" t="inlineStr">
        <is>
          <t>R1363-v2</t>
        </is>
      </c>
      <c r="F967" s="23" t="inlineStr">
        <is>
          <t>1.4.1 Vehicles and Depot - Fleet Supply</t>
        </is>
      </c>
      <c r="G967" s="23" t="inlineStr">
        <is>
          <t>ONE_TO_ONE</t>
        </is>
      </c>
      <c r="H967" s="23" t="inlineStr">
        <is>
          <t>RETAINED</t>
        </is>
      </c>
      <c r="I967" s="23" t="inlineStr">
        <is>
          <t>Carried forward</t>
        </is>
      </c>
      <c r="J967" s="23" t="inlineStr">
        <is>
          <t>Source assignment -- not individually reviewed</t>
        </is>
      </c>
      <c r="K967" s="23" t="inlineStr"/>
      <c r="L967" s="23" t="inlineStr"/>
      <c r="M967" s="23" t="inlineStr"/>
      <c r="N967" s="14" t="inlineStr">
        <is>
          <t>10 EVIDENCE &amp; DECISIONS</t>
        </is>
      </c>
    </row>
    <row r="968" ht="34" customHeight="1">
      <c r="A968" s="23" t="inlineStr">
        <is>
          <t>Cost &amp; Forecast Control Accounts</t>
        </is>
      </c>
      <c r="B968" s="23" t="inlineStr">
        <is>
          <t>CST-04-043</t>
        </is>
      </c>
      <c r="C968" s="23" t="inlineStr">
        <is>
          <t>Vehicles and Depot - fleet supply - professional services</t>
        </is>
      </c>
      <c r="D968" s="23" t="inlineStr">
        <is>
          <t>Cost Account = CA-4043; WBS Code = 1.4.1</t>
        </is>
      </c>
      <c r="E968" s="23" t="inlineStr">
        <is>
          <t>R1365-v2</t>
        </is>
      </c>
      <c r="F968" s="23" t="inlineStr">
        <is>
          <t>1.4.1 Vehicles and Depot - Fleet Supply</t>
        </is>
      </c>
      <c r="G968" s="23" t="inlineStr">
        <is>
          <t>ONE_TO_ONE</t>
        </is>
      </c>
      <c r="H968" s="23" t="inlineStr">
        <is>
          <t>RETAINED</t>
        </is>
      </c>
      <c r="I968" s="23" t="inlineStr">
        <is>
          <t>Carried forward</t>
        </is>
      </c>
      <c r="J968" s="23" t="inlineStr">
        <is>
          <t>Source assignment -- not individually reviewed</t>
        </is>
      </c>
      <c r="K968" s="23" t="inlineStr"/>
      <c r="L968" s="23" t="inlineStr"/>
      <c r="M968" s="23" t="inlineStr"/>
      <c r="N968" s="14" t="inlineStr">
        <is>
          <t>10 EVIDENCE &amp; DECISIONS</t>
        </is>
      </c>
    </row>
    <row r="969" ht="34" customHeight="1">
      <c r="A969" s="23" t="inlineStr">
        <is>
          <t>Cost &amp; Forecast Control Accounts</t>
        </is>
      </c>
      <c r="B969" s="23" t="inlineStr">
        <is>
          <t>CST-04-045</t>
        </is>
      </c>
      <c r="C969" s="23" t="inlineStr">
        <is>
          <t>Vehicles and Depot - spares - closeout</t>
        </is>
      </c>
      <c r="D969" s="23" t="inlineStr">
        <is>
          <t>Cost Account = CA-4045; WBS Code = 1.4.1</t>
        </is>
      </c>
      <c r="E969" s="23" t="inlineStr">
        <is>
          <t>R1367-v2</t>
        </is>
      </c>
      <c r="F969" s="23" t="inlineStr">
        <is>
          <t>1.4.1 Vehicles and Depot - Fleet Supply</t>
        </is>
      </c>
      <c r="G969" s="23" t="inlineStr">
        <is>
          <t>ONE_TO_ONE</t>
        </is>
      </c>
      <c r="H969" s="23" t="inlineStr">
        <is>
          <t>RETAINED</t>
        </is>
      </c>
      <c r="I969" s="23" t="inlineStr">
        <is>
          <t>Carried forward</t>
        </is>
      </c>
      <c r="J969" s="23" t="inlineStr">
        <is>
          <t>Source assignment -- not individually reviewed</t>
        </is>
      </c>
      <c r="K969" s="23" t="inlineStr"/>
      <c r="L969" s="23" t="inlineStr"/>
      <c r="M969" s="23" t="inlineStr"/>
      <c r="N969" s="14" t="inlineStr">
        <is>
          <t>10 EVIDENCE &amp; DECISIONS</t>
        </is>
      </c>
    </row>
    <row r="970" ht="34" customHeight="1">
      <c r="A970" s="23" t="inlineStr">
        <is>
          <t>Cost &amp; Forecast Control Accounts</t>
        </is>
      </c>
      <c r="B970" s="23" t="inlineStr">
        <is>
          <t>CST-04-047</t>
        </is>
      </c>
      <c r="C970" s="23" t="inlineStr">
        <is>
          <t>Vehicles and Depot - workshop equipment - supply and install</t>
        </is>
      </c>
      <c r="D970" s="23" t="inlineStr">
        <is>
          <t>Cost Account = CA-4047; WBS Code = 1.4.1</t>
        </is>
      </c>
      <c r="E970" s="23" t="inlineStr">
        <is>
          <t>R1369-v2</t>
        </is>
      </c>
      <c r="F970" s="23" t="inlineStr">
        <is>
          <t>1.4.1 Vehicles and Depot - Fleet Supply</t>
        </is>
      </c>
      <c r="G970" s="23" t="inlineStr">
        <is>
          <t>ONE_TO_ONE</t>
        </is>
      </c>
      <c r="H970" s="23" t="inlineStr">
        <is>
          <t>RETAINED</t>
        </is>
      </c>
      <c r="I970" s="23" t="inlineStr">
        <is>
          <t>Carried forward</t>
        </is>
      </c>
      <c r="J970" s="23" t="inlineStr">
        <is>
          <t>Source assignment -- not individually reviewed</t>
        </is>
      </c>
      <c r="K970" s="23" t="inlineStr"/>
      <c r="L970" s="23" t="inlineStr"/>
      <c r="M970" s="23" t="inlineStr"/>
      <c r="N970" s="14" t="inlineStr">
        <is>
          <t>10 EVIDENCE &amp; DECISIONS</t>
        </is>
      </c>
    </row>
    <row r="971" ht="34" customHeight="1">
      <c r="A971" s="23" t="inlineStr">
        <is>
          <t>Cost &amp; Forecast Control Accounts</t>
        </is>
      </c>
      <c r="B971" s="23" t="inlineStr">
        <is>
          <t>CST-04-049</t>
        </is>
      </c>
      <c r="C971" s="23" t="inlineStr">
        <is>
          <t>Vehicles and Depot - fleet supply - allowance</t>
        </is>
      </c>
      <c r="D971" s="23" t="inlineStr">
        <is>
          <t>Cost Account = CA-4049; WBS Code = 1.4.1</t>
        </is>
      </c>
      <c r="E971" s="23" t="inlineStr">
        <is>
          <t>R1371-v2</t>
        </is>
      </c>
      <c r="F971" s="23" t="inlineStr">
        <is>
          <t>1.4.1 Vehicles and Depot - Fleet Supply</t>
        </is>
      </c>
      <c r="G971" s="23" t="inlineStr">
        <is>
          <t>ONE_TO_ONE</t>
        </is>
      </c>
      <c r="H971" s="23" t="inlineStr">
        <is>
          <t>RETAINED</t>
        </is>
      </c>
      <c r="I971" s="23" t="inlineStr">
        <is>
          <t>Carried forward</t>
        </is>
      </c>
      <c r="J971" s="23" t="inlineStr">
        <is>
          <t>Source assignment -- not individually reviewed</t>
        </is>
      </c>
      <c r="K971" s="23" t="inlineStr"/>
      <c r="L971" s="23" t="inlineStr"/>
      <c r="M971" s="23" t="inlineStr"/>
      <c r="N971" s="14" t="inlineStr">
        <is>
          <t>10 EVIDENCE &amp; DECISIONS</t>
        </is>
      </c>
    </row>
    <row r="972" ht="34" customHeight="1">
      <c r="A972" s="23" t="inlineStr">
        <is>
          <t>Cost &amp; Forecast Control Accounts</t>
        </is>
      </c>
      <c r="B972" s="23" t="inlineStr">
        <is>
          <t>CST-04-051</t>
        </is>
      </c>
      <c r="C972" s="23" t="inlineStr">
        <is>
          <t>Vehicles and Depot - spares - field package</t>
        </is>
      </c>
      <c r="D972" s="23" t="inlineStr">
        <is>
          <t>Cost Account = CA-4051; WBS Code = 1.4.1</t>
        </is>
      </c>
      <c r="E972" s="23" t="inlineStr">
        <is>
          <t>R1373-v2</t>
        </is>
      </c>
      <c r="F972" s="23" t="inlineStr">
        <is>
          <t>1.4.1 Vehicles and Depot - Fleet Supply</t>
        </is>
      </c>
      <c r="G972" s="23" t="inlineStr">
        <is>
          <t>ONE_TO_ONE</t>
        </is>
      </c>
      <c r="H972" s="23" t="inlineStr">
        <is>
          <t>RETAINED</t>
        </is>
      </c>
      <c r="I972" s="23" t="inlineStr">
        <is>
          <t>Carried forward</t>
        </is>
      </c>
      <c r="J972" s="23" t="inlineStr">
        <is>
          <t>Source assignment -- not individually reviewed</t>
        </is>
      </c>
      <c r="K972" s="23" t="inlineStr"/>
      <c r="L972" s="23" t="inlineStr"/>
      <c r="M972" s="23" t="inlineStr"/>
      <c r="N972" s="14" t="inlineStr">
        <is>
          <t>10 EVIDENCE &amp; DECISIONS</t>
        </is>
      </c>
    </row>
    <row r="973" ht="34" customHeight="1">
      <c r="A973" s="23" t="inlineStr">
        <is>
          <t>Cost &amp; Forecast Control Accounts</t>
        </is>
      </c>
      <c r="B973" s="23" t="inlineStr">
        <is>
          <t>CST-04-053</t>
        </is>
      </c>
      <c r="C973" s="23" t="inlineStr">
        <is>
          <t>Vehicles and Depot - workshop equipment - professional services</t>
        </is>
      </c>
      <c r="D973" s="23" t="inlineStr">
        <is>
          <t>Cost Account = CA-4053; WBS Code = 1.4.1</t>
        </is>
      </c>
      <c r="E973" s="23" t="inlineStr">
        <is>
          <t>R1375-v2</t>
        </is>
      </c>
      <c r="F973" s="23" t="inlineStr">
        <is>
          <t>1.4.1 Vehicles and Depot - Fleet Supply</t>
        </is>
      </c>
      <c r="G973" s="23" t="inlineStr">
        <is>
          <t>ONE_TO_ONE</t>
        </is>
      </c>
      <c r="H973" s="23" t="inlineStr">
        <is>
          <t>RETAINED</t>
        </is>
      </c>
      <c r="I973" s="23" t="inlineStr">
        <is>
          <t>Carried forward</t>
        </is>
      </c>
      <c r="J973" s="23" t="inlineStr">
        <is>
          <t>Source assignment -- not individually reviewed</t>
        </is>
      </c>
      <c r="K973" s="23" t="inlineStr"/>
      <c r="L973" s="23" t="inlineStr"/>
      <c r="M973" s="23" t="inlineStr"/>
      <c r="N973" s="14" t="inlineStr">
        <is>
          <t>10 EVIDENCE &amp; DECISIONS</t>
        </is>
      </c>
    </row>
    <row r="974" ht="34" customHeight="1">
      <c r="A974" s="23" t="inlineStr">
        <is>
          <t>Cost &amp; Forecast Control Accounts</t>
        </is>
      </c>
      <c r="B974" s="23" t="inlineStr">
        <is>
          <t>CST-04-055</t>
        </is>
      </c>
      <c r="C974" s="23" t="inlineStr">
        <is>
          <t>Vehicles and Depot - fleet supply - closeout</t>
        </is>
      </c>
      <c r="D974" s="23" t="inlineStr">
        <is>
          <t>Cost Account = CA-4055; WBS Code = 1.4.1</t>
        </is>
      </c>
      <c r="E974" s="23" t="inlineStr">
        <is>
          <t>R1377-v2</t>
        </is>
      </c>
      <c r="F974" s="23" t="inlineStr">
        <is>
          <t>1.4.1 Vehicles and Depot - Fleet Supply</t>
        </is>
      </c>
      <c r="G974" s="23" t="inlineStr">
        <is>
          <t>ONE_TO_ONE</t>
        </is>
      </c>
      <c r="H974" s="23" t="inlineStr">
        <is>
          <t>RETAINED</t>
        </is>
      </c>
      <c r="I974" s="23" t="inlineStr">
        <is>
          <t>Carried forward</t>
        </is>
      </c>
      <c r="J974" s="23" t="inlineStr">
        <is>
          <t>Source assignment -- not individually reviewed</t>
        </is>
      </c>
      <c r="K974" s="23" t="inlineStr"/>
      <c r="L974" s="23" t="inlineStr"/>
      <c r="M974" s="23" t="inlineStr"/>
      <c r="N974" s="14" t="inlineStr">
        <is>
          <t>10 EVIDENCE &amp; DECISIONS</t>
        </is>
      </c>
    </row>
    <row r="975" ht="34" customHeight="1">
      <c r="A975" s="23" t="inlineStr">
        <is>
          <t>Cost &amp; Forecast Control Accounts</t>
        </is>
      </c>
      <c r="B975" s="23" t="inlineStr">
        <is>
          <t>CST-04-057</t>
        </is>
      </c>
      <c r="C975" s="23" t="inlineStr">
        <is>
          <t>Vehicles and Depot - spares - supply and install</t>
        </is>
      </c>
      <c r="D975" s="23" t="inlineStr">
        <is>
          <t>Cost Account = CA-4057; WBS Code = 1.4.1</t>
        </is>
      </c>
      <c r="E975" s="23" t="inlineStr">
        <is>
          <t>R1379-v2</t>
        </is>
      </c>
      <c r="F975" s="23" t="inlineStr">
        <is>
          <t>1.4.1 Vehicles and Depot - Fleet Supply</t>
        </is>
      </c>
      <c r="G975" s="23" t="inlineStr">
        <is>
          <t>ONE_TO_ONE</t>
        </is>
      </c>
      <c r="H975" s="23" t="inlineStr">
        <is>
          <t>RETAINED</t>
        </is>
      </c>
      <c r="I975" s="23" t="inlineStr">
        <is>
          <t>Carried forward</t>
        </is>
      </c>
      <c r="J975" s="23" t="inlineStr">
        <is>
          <t>Source assignment -- not individually reviewed</t>
        </is>
      </c>
      <c r="K975" s="23" t="inlineStr"/>
      <c r="L975" s="23" t="inlineStr"/>
      <c r="M975" s="23" t="inlineStr"/>
      <c r="N975" s="14" t="inlineStr">
        <is>
          <t>10 EVIDENCE &amp; DECISIONS</t>
        </is>
      </c>
    </row>
    <row r="976" ht="34" customHeight="1">
      <c r="A976" s="23" t="inlineStr">
        <is>
          <t>Cost &amp; Forecast Control Accounts</t>
        </is>
      </c>
      <c r="B976" s="23" t="inlineStr">
        <is>
          <t>CST-04-059</t>
        </is>
      </c>
      <c r="C976" s="23" t="inlineStr">
        <is>
          <t>Vehicles and Depot - workshop equipment - allowance</t>
        </is>
      </c>
      <c r="D976" s="23" t="inlineStr">
        <is>
          <t>Cost Account = CA-4059; WBS Code = 1.4.1</t>
        </is>
      </c>
      <c r="E976" s="23" t="inlineStr">
        <is>
          <t>R1381-v2</t>
        </is>
      </c>
      <c r="F976" s="23" t="inlineStr">
        <is>
          <t>1.4.1 Vehicles and Depot - Fleet Supply</t>
        </is>
      </c>
      <c r="G976" s="23" t="inlineStr">
        <is>
          <t>ONE_TO_ONE</t>
        </is>
      </c>
      <c r="H976" s="23" t="inlineStr">
        <is>
          <t>RETAINED</t>
        </is>
      </c>
      <c r="I976" s="23" t="inlineStr">
        <is>
          <t>Carried forward</t>
        </is>
      </c>
      <c r="J976" s="23" t="inlineStr">
        <is>
          <t>Source assignment -- not individually reviewed</t>
        </is>
      </c>
      <c r="K976" s="23" t="inlineStr"/>
      <c r="L976" s="23" t="inlineStr"/>
      <c r="M976" s="23" t="inlineStr"/>
      <c r="N976" s="14" t="inlineStr">
        <is>
          <t>10 EVIDENCE &amp; DECISIONS</t>
        </is>
      </c>
    </row>
    <row r="977" ht="34" customHeight="1">
      <c r="A977" s="23" t="inlineStr">
        <is>
          <t>Cost &amp; Forecast Control Accounts</t>
        </is>
      </c>
      <c r="B977" s="23" t="inlineStr">
        <is>
          <t>CST-04-061</t>
        </is>
      </c>
      <c r="C977" s="23" t="inlineStr">
        <is>
          <t>Vehicles and Depot - fleet supply - field package</t>
        </is>
      </c>
      <c r="D977" s="23" t="inlineStr">
        <is>
          <t>Cost Account = CA-4061; WBS Code = 1.4.1</t>
        </is>
      </c>
      <c r="E977" s="23" t="inlineStr">
        <is>
          <t>R1383-v2</t>
        </is>
      </c>
      <c r="F977" s="23" t="inlineStr">
        <is>
          <t>1.4.1 Vehicles and Depot - Fleet Supply</t>
        </is>
      </c>
      <c r="G977" s="23" t="inlineStr">
        <is>
          <t>ONE_TO_ONE</t>
        </is>
      </c>
      <c r="H977" s="23" t="inlineStr">
        <is>
          <t>RETAINED</t>
        </is>
      </c>
      <c r="I977" s="23" t="inlineStr">
        <is>
          <t>Carried forward</t>
        </is>
      </c>
      <c r="J977" s="23" t="inlineStr">
        <is>
          <t>Source assignment -- not individually reviewed</t>
        </is>
      </c>
      <c r="K977" s="23" t="inlineStr"/>
      <c r="L977" s="23" t="inlineStr"/>
      <c r="M977" s="23" t="inlineStr"/>
      <c r="N977" s="14" t="inlineStr">
        <is>
          <t>10 EVIDENCE &amp; DECISIONS</t>
        </is>
      </c>
    </row>
    <row r="978" ht="34" customHeight="1">
      <c r="A978" s="23" t="inlineStr">
        <is>
          <t>Cost &amp; Forecast Control Accounts</t>
        </is>
      </c>
      <c r="B978" s="23" t="inlineStr">
        <is>
          <t>CST-04-063</t>
        </is>
      </c>
      <c r="C978" s="23" t="inlineStr">
        <is>
          <t>Vehicles and Depot - spares - professional services</t>
        </is>
      </c>
      <c r="D978" s="23" t="inlineStr">
        <is>
          <t>Cost Account = CA-4063; WBS Code = 1.4.1</t>
        </is>
      </c>
      <c r="E978" s="23" t="inlineStr">
        <is>
          <t>R1385-v2</t>
        </is>
      </c>
      <c r="F978" s="23" t="inlineStr">
        <is>
          <t>1.4.1 Vehicles and Depot - Fleet Supply</t>
        </is>
      </c>
      <c r="G978" s="23" t="inlineStr">
        <is>
          <t>ONE_TO_ONE</t>
        </is>
      </c>
      <c r="H978" s="23" t="inlineStr">
        <is>
          <t>RETAINED</t>
        </is>
      </c>
      <c r="I978" s="23" t="inlineStr">
        <is>
          <t>Carried forward</t>
        </is>
      </c>
      <c r="J978" s="23" t="inlineStr">
        <is>
          <t>Source assignment -- not individually reviewed</t>
        </is>
      </c>
      <c r="K978" s="23" t="inlineStr"/>
      <c r="L978" s="23" t="inlineStr"/>
      <c r="M978" s="23" t="inlineStr"/>
      <c r="N978" s="14" t="inlineStr">
        <is>
          <t>10 EVIDENCE &amp; DECISIONS</t>
        </is>
      </c>
    </row>
    <row r="979" ht="34" customHeight="1">
      <c r="A979" s="23" t="inlineStr">
        <is>
          <t>Cost &amp; Forecast Control Accounts</t>
        </is>
      </c>
      <c r="B979" s="23" t="inlineStr">
        <is>
          <t>CST-04-065</t>
        </is>
      </c>
      <c r="C979" s="23" t="inlineStr">
        <is>
          <t>Vehicles and Depot - workshop equipment - closeout</t>
        </is>
      </c>
      <c r="D979" s="23" t="inlineStr">
        <is>
          <t>Cost Account = CA-4065; WBS Code = 1.4.1</t>
        </is>
      </c>
      <c r="E979" s="23" t="inlineStr">
        <is>
          <t>R1387-v2</t>
        </is>
      </c>
      <c r="F979" s="23" t="inlineStr">
        <is>
          <t>1.4.1 Vehicles and Depot - Fleet Supply</t>
        </is>
      </c>
      <c r="G979" s="23" t="inlineStr">
        <is>
          <t>ONE_TO_ONE</t>
        </is>
      </c>
      <c r="H979" s="23" t="inlineStr">
        <is>
          <t>RETAINED</t>
        </is>
      </c>
      <c r="I979" s="23" t="inlineStr">
        <is>
          <t>Carried forward</t>
        </is>
      </c>
      <c r="J979" s="23" t="inlineStr">
        <is>
          <t>Source assignment -- not individually reviewed</t>
        </is>
      </c>
      <c r="K979" s="23" t="inlineStr"/>
      <c r="L979" s="23" t="inlineStr"/>
      <c r="M979" s="23" t="inlineStr"/>
      <c r="N979" s="14" t="inlineStr">
        <is>
          <t>10 EVIDENCE &amp; DECISIONS</t>
        </is>
      </c>
    </row>
    <row r="980" ht="34" customHeight="1">
      <c r="A980" s="23" t="inlineStr">
        <is>
          <t>Cost &amp; Forecast Control Accounts</t>
        </is>
      </c>
      <c r="B980" s="23" t="inlineStr">
        <is>
          <t>CST-04-067</t>
        </is>
      </c>
      <c r="C980" s="23" t="inlineStr">
        <is>
          <t>Vehicles and Depot - fleet supply - supply and install</t>
        </is>
      </c>
      <c r="D980" s="23" t="inlineStr">
        <is>
          <t>Cost Account = CA-4067; WBS Code = 1.4.1</t>
        </is>
      </c>
      <c r="E980" s="23" t="inlineStr">
        <is>
          <t>R1389-v2</t>
        </is>
      </c>
      <c r="F980" s="23" t="inlineStr">
        <is>
          <t>1.4.1 Vehicles and Depot - Fleet Supply</t>
        </is>
      </c>
      <c r="G980" s="23" t="inlineStr">
        <is>
          <t>ONE_TO_ONE</t>
        </is>
      </c>
      <c r="H980" s="23" t="inlineStr">
        <is>
          <t>RETAINED</t>
        </is>
      </c>
      <c r="I980" s="23" t="inlineStr">
        <is>
          <t>Carried forward</t>
        </is>
      </c>
      <c r="J980" s="23" t="inlineStr">
        <is>
          <t>Source assignment -- not individually reviewed</t>
        </is>
      </c>
      <c r="K980" s="23" t="inlineStr"/>
      <c r="L980" s="23" t="inlineStr"/>
      <c r="M980" s="23" t="inlineStr"/>
      <c r="N980" s="14" t="inlineStr">
        <is>
          <t>10 EVIDENCE &amp; DECISIONS</t>
        </is>
      </c>
    </row>
    <row r="981" ht="34" customHeight="1">
      <c r="A981" s="23" t="inlineStr">
        <is>
          <t>Cost &amp; Forecast Control Accounts</t>
        </is>
      </c>
      <c r="B981" s="23" t="inlineStr">
        <is>
          <t>CST-04-069</t>
        </is>
      </c>
      <c r="C981" s="23" t="inlineStr">
        <is>
          <t>Vehicles and Depot - spares - allowance</t>
        </is>
      </c>
      <c r="D981" s="23" t="inlineStr">
        <is>
          <t>Cost Account = CA-4069; WBS Code = 1.4.1</t>
        </is>
      </c>
      <c r="E981" s="23" t="inlineStr">
        <is>
          <t>R1391-v2</t>
        </is>
      </c>
      <c r="F981" s="23" t="inlineStr">
        <is>
          <t>1.4.1 Vehicles and Depot - Fleet Supply</t>
        </is>
      </c>
      <c r="G981" s="23" t="inlineStr">
        <is>
          <t>ONE_TO_ONE</t>
        </is>
      </c>
      <c r="H981" s="23" t="inlineStr">
        <is>
          <t>RETAINED</t>
        </is>
      </c>
      <c r="I981" s="23" t="inlineStr">
        <is>
          <t>Carried forward</t>
        </is>
      </c>
      <c r="J981" s="23" t="inlineStr">
        <is>
          <t>Source assignment -- not individually reviewed</t>
        </is>
      </c>
      <c r="K981" s="23" t="inlineStr"/>
      <c r="L981" s="23" t="inlineStr"/>
      <c r="M981" s="23" t="inlineStr"/>
      <c r="N981" s="14" t="inlineStr">
        <is>
          <t>10 EVIDENCE &amp; DECISIONS</t>
        </is>
      </c>
    </row>
    <row r="982" ht="34" customHeight="1">
      <c r="A982" s="23" t="inlineStr">
        <is>
          <t>Cost &amp; Forecast Control Accounts</t>
        </is>
      </c>
      <c r="B982" s="23" t="inlineStr">
        <is>
          <t>CST-04-071</t>
        </is>
      </c>
      <c r="C982" s="23" t="inlineStr">
        <is>
          <t>Vehicles and Depot - workshop equipment - field package</t>
        </is>
      </c>
      <c r="D982" s="23" t="inlineStr">
        <is>
          <t>Cost Account = CA-4071; WBS Code = 1.4.1</t>
        </is>
      </c>
      <c r="E982" s="23" t="inlineStr">
        <is>
          <t>R1393-v2</t>
        </is>
      </c>
      <c r="F982" s="23" t="inlineStr">
        <is>
          <t>1.4.1 Vehicles and Depot - Fleet Supply</t>
        </is>
      </c>
      <c r="G982" s="23" t="inlineStr">
        <is>
          <t>ONE_TO_ONE</t>
        </is>
      </c>
      <c r="H982" s="23" t="inlineStr">
        <is>
          <t>RETAINED</t>
        </is>
      </c>
      <c r="I982" s="23" t="inlineStr">
        <is>
          <t>Carried forward</t>
        </is>
      </c>
      <c r="J982" s="23" t="inlineStr">
        <is>
          <t>Source assignment -- not individually reviewed</t>
        </is>
      </c>
      <c r="K982" s="23" t="inlineStr"/>
      <c r="L982" s="23" t="inlineStr"/>
      <c r="M982" s="23" t="inlineStr"/>
      <c r="N982" s="14" t="inlineStr">
        <is>
          <t>10 EVIDENCE &amp; DECISIONS</t>
        </is>
      </c>
    </row>
    <row r="983" ht="34" customHeight="1">
      <c r="A983" s="23" t="inlineStr">
        <is>
          <t>Cost &amp; Forecast Control Accounts</t>
        </is>
      </c>
      <c r="B983" s="23" t="inlineStr">
        <is>
          <t>CST-04-073</t>
        </is>
      </c>
      <c r="C983" s="23" t="inlineStr">
        <is>
          <t>Vehicles and Depot - fleet supply - professional services</t>
        </is>
      </c>
      <c r="D983" s="23" t="inlineStr">
        <is>
          <t>Cost Account = CA-4073; WBS Code = 1.4.1</t>
        </is>
      </c>
      <c r="E983" s="23" t="inlineStr">
        <is>
          <t>R1395-v2</t>
        </is>
      </c>
      <c r="F983" s="23" t="inlineStr">
        <is>
          <t>1.4.1 Vehicles and Depot - Fleet Supply</t>
        </is>
      </c>
      <c r="G983" s="23" t="inlineStr">
        <is>
          <t>ONE_TO_ONE</t>
        </is>
      </c>
      <c r="H983" s="23" t="inlineStr">
        <is>
          <t>RETAINED</t>
        </is>
      </c>
      <c r="I983" s="23" t="inlineStr">
        <is>
          <t>Carried forward</t>
        </is>
      </c>
      <c r="J983" s="23" t="inlineStr">
        <is>
          <t>Source assignment -- not individually reviewed</t>
        </is>
      </c>
      <c r="K983" s="23" t="inlineStr"/>
      <c r="L983" s="23" t="inlineStr"/>
      <c r="M983" s="23" t="inlineStr"/>
      <c r="N983" s="14" t="inlineStr">
        <is>
          <t>10 EVIDENCE &amp; DECISIONS</t>
        </is>
      </c>
    </row>
    <row r="984" ht="34" customHeight="1">
      <c r="A984" s="23" t="inlineStr">
        <is>
          <t>Cost &amp; Forecast Control Accounts</t>
        </is>
      </c>
      <c r="B984" s="23" t="inlineStr">
        <is>
          <t>CST-04-075</t>
        </is>
      </c>
      <c r="C984" s="23" t="inlineStr">
        <is>
          <t>Vehicles and Depot - spares - closeout</t>
        </is>
      </c>
      <c r="D984" s="23" t="inlineStr">
        <is>
          <t>Cost Account = CA-4075; WBS Code = 1.4.1</t>
        </is>
      </c>
      <c r="E984" s="23" t="inlineStr">
        <is>
          <t>R1397-v2</t>
        </is>
      </c>
      <c r="F984" s="23" t="inlineStr">
        <is>
          <t>1.4.1 Vehicles and Depot - Fleet Supply</t>
        </is>
      </c>
      <c r="G984" s="23" t="inlineStr">
        <is>
          <t>ONE_TO_ONE</t>
        </is>
      </c>
      <c r="H984" s="23" t="inlineStr">
        <is>
          <t>RETAINED</t>
        </is>
      </c>
      <c r="I984" s="23" t="inlineStr">
        <is>
          <t>Carried forward</t>
        </is>
      </c>
      <c r="J984" s="23" t="inlineStr">
        <is>
          <t>Source assignment -- not individually reviewed</t>
        </is>
      </c>
      <c r="K984" s="23" t="inlineStr"/>
      <c r="L984" s="23" t="inlineStr"/>
      <c r="M984" s="23" t="inlineStr"/>
      <c r="N984" s="14" t="inlineStr">
        <is>
          <t>10 EVIDENCE &amp; DECISIONS</t>
        </is>
      </c>
    </row>
    <row r="985" ht="34" customHeight="1">
      <c r="A985" s="23" t="inlineStr">
        <is>
          <t>Cost &amp; Forecast Control Accounts</t>
        </is>
      </c>
      <c r="B985" s="23" t="inlineStr">
        <is>
          <t>CST-04-077</t>
        </is>
      </c>
      <c r="C985" s="23" t="inlineStr">
        <is>
          <t>Vehicles and Depot - workshop equipment - supply and install</t>
        </is>
      </c>
      <c r="D985" s="23" t="inlineStr">
        <is>
          <t>Cost Account = CA-4077; WBS Code = 1.4.1</t>
        </is>
      </c>
      <c r="E985" s="23" t="inlineStr">
        <is>
          <t>R1399-v2</t>
        </is>
      </c>
      <c r="F985" s="23" t="inlineStr">
        <is>
          <t>1.4.1 Vehicles and Depot - Fleet Supply</t>
        </is>
      </c>
      <c r="G985" s="23" t="inlineStr">
        <is>
          <t>ONE_TO_ONE</t>
        </is>
      </c>
      <c r="H985" s="23" t="inlineStr">
        <is>
          <t>RETAINED</t>
        </is>
      </c>
      <c r="I985" s="23" t="inlineStr">
        <is>
          <t>Carried forward</t>
        </is>
      </c>
      <c r="J985" s="23" t="inlineStr">
        <is>
          <t>Source assignment -- not individually reviewed</t>
        </is>
      </c>
      <c r="K985" s="23" t="inlineStr"/>
      <c r="L985" s="23" t="inlineStr"/>
      <c r="M985" s="23" t="inlineStr"/>
      <c r="N985" s="14" t="inlineStr">
        <is>
          <t>10 EVIDENCE &amp; DECISIONS</t>
        </is>
      </c>
    </row>
    <row r="986" ht="34" customHeight="1">
      <c r="A986" s="23" t="inlineStr">
        <is>
          <t>Cost &amp; Forecast Control Accounts</t>
        </is>
      </c>
      <c r="B986" s="23" t="inlineStr">
        <is>
          <t>CST-04-079</t>
        </is>
      </c>
      <c r="C986" s="23" t="inlineStr">
        <is>
          <t>Vehicles and Depot - fleet supply - allowance</t>
        </is>
      </c>
      <c r="D986" s="23" t="inlineStr">
        <is>
          <t>Cost Account = CA-4079; WBS Code = 1.4.1</t>
        </is>
      </c>
      <c r="E986" s="23" t="inlineStr">
        <is>
          <t>R1401-v2</t>
        </is>
      </c>
      <c r="F986" s="23" t="inlineStr">
        <is>
          <t>1.4.1 Vehicles and Depot - Fleet Supply</t>
        </is>
      </c>
      <c r="G986" s="23" t="inlineStr">
        <is>
          <t>ONE_TO_ONE</t>
        </is>
      </c>
      <c r="H986" s="23" t="inlineStr">
        <is>
          <t>RETAINED</t>
        </is>
      </c>
      <c r="I986" s="23" t="inlineStr">
        <is>
          <t>Carried forward</t>
        </is>
      </c>
      <c r="J986" s="23" t="inlineStr">
        <is>
          <t>Source assignment -- not individually reviewed</t>
        </is>
      </c>
      <c r="K986" s="23" t="inlineStr"/>
      <c r="L986" s="23" t="inlineStr"/>
      <c r="M986" s="23" t="inlineStr"/>
      <c r="N986" s="14" t="inlineStr">
        <is>
          <t>10 EVIDENCE &amp; DECISIONS</t>
        </is>
      </c>
    </row>
    <row r="987" ht="34" customHeight="1">
      <c r="A987" s="23" t="inlineStr">
        <is>
          <t>Contractor Programme</t>
        </is>
      </c>
      <c r="B987" s="23" t="inlineStr">
        <is>
          <t>SCH-04-006</t>
        </is>
      </c>
      <c r="C987" s="23" t="inlineStr">
        <is>
          <t>Test track: maintenance-bay services - release</t>
        </is>
      </c>
      <c r="D987" s="23" t="inlineStr">
        <is>
          <t>WBS Code = 1.4.2</t>
        </is>
      </c>
      <c r="E987" s="23" t="inlineStr">
        <is>
          <t>R546-v2</t>
        </is>
      </c>
      <c r="F987" s="23" t="inlineStr">
        <is>
          <t>1.4.2 Vehicles and Depot - Depot Buildings</t>
        </is>
      </c>
      <c r="G987" s="23" t="inlineStr">
        <is>
          <t>ONE_TO_ONE</t>
        </is>
      </c>
      <c r="H987" s="23" t="inlineStr">
        <is>
          <t>RETAINED</t>
        </is>
      </c>
      <c r="I987" s="23" t="inlineStr">
        <is>
          <t>Carried forward</t>
        </is>
      </c>
      <c r="J987" s="23" t="inlineStr">
        <is>
          <t>Source assignment -- not individually reviewed</t>
        </is>
      </c>
      <c r="K987" s="23" t="inlineStr"/>
      <c r="L987" s="23" t="inlineStr"/>
      <c r="M987" s="23" t="inlineStr"/>
      <c r="N987" s="14" t="inlineStr">
        <is>
          <t>10 EVIDENCE &amp; DECISIONS</t>
        </is>
      </c>
    </row>
    <row r="988" ht="34" customHeight="1">
      <c r="A988" s="23" t="inlineStr">
        <is>
          <t>Contractor Programme</t>
        </is>
      </c>
      <c r="B988" s="23" t="inlineStr">
        <is>
          <t>SCH-04-009</t>
        </is>
      </c>
      <c r="C988" s="23" t="inlineStr">
        <is>
          <t>Storage yard: vehicle-to-depot interface check - inspection</t>
        </is>
      </c>
      <c r="D988" s="23" t="inlineStr">
        <is>
          <t>WBS Code = 1.4.2</t>
        </is>
      </c>
      <c r="E988" s="23" t="inlineStr">
        <is>
          <t>R549-v2</t>
        </is>
      </c>
      <c r="F988" s="23" t="inlineStr">
        <is>
          <t>1.4.2 Vehicles and Depot - Depot Buildings</t>
        </is>
      </c>
      <c r="G988" s="23" t="inlineStr">
        <is>
          <t>ONE_TO_ONE</t>
        </is>
      </c>
      <c r="H988" s="23" t="inlineStr">
        <is>
          <t>RETAINED</t>
        </is>
      </c>
      <c r="I988" s="23" t="inlineStr">
        <is>
          <t>Carried forward</t>
        </is>
      </c>
      <c r="J988" s="23" t="inlineStr">
        <is>
          <t>Source assignment -- not individually reviewed</t>
        </is>
      </c>
      <c r="K988" s="23" t="inlineStr"/>
      <c r="L988" s="23" t="inlineStr"/>
      <c r="M988" s="23" t="inlineStr"/>
      <c r="N988" s="14" t="inlineStr">
        <is>
          <t>10 EVIDENCE &amp; DECISIONS</t>
        </is>
      </c>
    </row>
    <row r="989" ht="34" customHeight="1">
      <c r="A989" s="23" t="inlineStr">
        <is>
          <t>Contractor Programme</t>
        </is>
      </c>
      <c r="B989" s="23" t="inlineStr">
        <is>
          <t>SCH-04-012</t>
        </is>
      </c>
      <c r="C989" s="23" t="inlineStr">
        <is>
          <t>Receiving track: vehicle delivery inspection - field start</t>
        </is>
      </c>
      <c r="D989" s="23" t="inlineStr">
        <is>
          <t>WBS Code = 1.4.2</t>
        </is>
      </c>
      <c r="E989" s="23" t="inlineStr">
        <is>
          <t>R552-v2</t>
        </is>
      </c>
      <c r="F989" s="23" t="inlineStr">
        <is>
          <t>1.4.2 Vehicles and Depot - Depot Buildings</t>
        </is>
      </c>
      <c r="G989" s="23" t="inlineStr">
        <is>
          <t>ONE_TO_ONE</t>
        </is>
      </c>
      <c r="H989" s="23" t="inlineStr">
        <is>
          <t>RETAINED</t>
        </is>
      </c>
      <c r="I989" s="23" t="inlineStr">
        <is>
          <t>Carried forward</t>
        </is>
      </c>
      <c r="J989" s="23" t="inlineStr">
        <is>
          <t>Source assignment -- not individually reviewed</t>
        </is>
      </c>
      <c r="K989" s="23" t="inlineStr"/>
      <c r="L989" s="23" t="inlineStr"/>
      <c r="M989" s="23" t="inlineStr"/>
      <c r="N989" s="14" t="inlineStr">
        <is>
          <t>10 EVIDENCE &amp; DECISIONS</t>
        </is>
      </c>
    </row>
    <row r="990" ht="34" customHeight="1">
      <c r="A990" s="23" t="inlineStr">
        <is>
          <t>Contractor Programme</t>
        </is>
      </c>
      <c r="B990" s="23" t="inlineStr">
        <is>
          <t>SCH-04-015</t>
        </is>
      </c>
      <c r="C990" s="23" t="inlineStr">
        <is>
          <t>Operations building: depot structural fit-out - turnover</t>
        </is>
      </c>
      <c r="D990" s="23" t="inlineStr">
        <is>
          <t>WBS Code = 1.4.2</t>
        </is>
      </c>
      <c r="E990" s="23" t="inlineStr">
        <is>
          <t>R555-v2</t>
        </is>
      </c>
      <c r="F990" s="23" t="inlineStr">
        <is>
          <t>1.4.2 Vehicles and Depot - Depot Buildings</t>
        </is>
      </c>
      <c r="G990" s="23" t="inlineStr">
        <is>
          <t>ONE_TO_ONE</t>
        </is>
      </c>
      <c r="H990" s="23" t="inlineStr">
        <is>
          <t>RETAINED</t>
        </is>
      </c>
      <c r="I990" s="23" t="inlineStr">
        <is>
          <t>Carried forward</t>
        </is>
      </c>
      <c r="J990" s="23" t="inlineStr">
        <is>
          <t>Source assignment -- not individually reviewed</t>
        </is>
      </c>
      <c r="K990" s="23" t="inlineStr"/>
      <c r="L990" s="23" t="inlineStr"/>
      <c r="M990" s="23" t="inlineStr"/>
      <c r="N990" s="14" t="inlineStr">
        <is>
          <t>10 EVIDENCE &amp; DECISIONS</t>
        </is>
      </c>
    </row>
    <row r="991" ht="34" customHeight="1">
      <c r="A991" s="23" t="inlineStr">
        <is>
          <t>Contractor Programme</t>
        </is>
      </c>
      <c r="B991" s="23" t="inlineStr">
        <is>
          <t>SCH-04-018</t>
        </is>
      </c>
      <c r="C991" s="23" t="inlineStr">
        <is>
          <t>Maintenance shop: wheel-lathe installation - installation</t>
        </is>
      </c>
      <c r="D991" s="23" t="inlineStr">
        <is>
          <t>WBS Code = 1.4.2</t>
        </is>
      </c>
      <c r="E991" s="23" t="inlineStr">
        <is>
          <t>R558-v2</t>
        </is>
      </c>
      <c r="F991" s="23" t="inlineStr">
        <is>
          <t>1.4.2 Vehicles and Depot - Depot Buildings</t>
        </is>
      </c>
      <c r="G991" s="23" t="inlineStr">
        <is>
          <t>ONE_TO_ONE</t>
        </is>
      </c>
      <c r="H991" s="23" t="inlineStr">
        <is>
          <t>RETAINED</t>
        </is>
      </c>
      <c r="I991" s="23" t="inlineStr">
        <is>
          <t>Carried forward</t>
        </is>
      </c>
      <c r="J991" s="23" t="inlineStr">
        <is>
          <t>Source assignment -- not individually reviewed</t>
        </is>
      </c>
      <c r="K991" s="23" t="inlineStr"/>
      <c r="L991" s="23" t="inlineStr"/>
      <c r="M991" s="23" t="inlineStr"/>
      <c r="N991" s="14" t="inlineStr">
        <is>
          <t>10 EVIDENCE &amp; DECISIONS</t>
        </is>
      </c>
    </row>
    <row r="992" ht="34" customHeight="1">
      <c r="A992" s="23" t="inlineStr">
        <is>
          <t>Contractor Programme</t>
        </is>
      </c>
      <c r="B992" s="23" t="inlineStr">
        <is>
          <t>SCH-04-021</t>
        </is>
      </c>
      <c r="C992" s="23" t="inlineStr">
        <is>
          <t>Test track: wash-plant commissioning - release</t>
        </is>
      </c>
      <c r="D992" s="23" t="inlineStr">
        <is>
          <t>WBS Code = 1.4.2</t>
        </is>
      </c>
      <c r="E992" s="23" t="inlineStr">
        <is>
          <t>R561-v2</t>
        </is>
      </c>
      <c r="F992" s="23" t="inlineStr">
        <is>
          <t>1.4.2 Vehicles and Depot - Depot Buildings</t>
        </is>
      </c>
      <c r="G992" s="23" t="inlineStr">
        <is>
          <t>ONE_TO_ONE</t>
        </is>
      </c>
      <c r="H992" s="23" t="inlineStr">
        <is>
          <t>RETAINED</t>
        </is>
      </c>
      <c r="I992" s="23" t="inlineStr">
        <is>
          <t>Carried forward</t>
        </is>
      </c>
      <c r="J992" s="23" t="inlineStr">
        <is>
          <t>Source assignment -- not individually reviewed</t>
        </is>
      </c>
      <c r="K992" s="23" t="inlineStr"/>
      <c r="L992" s="23" t="inlineStr"/>
      <c r="M992" s="23" t="inlineStr"/>
      <c r="N992" s="14" t="inlineStr">
        <is>
          <t>10 EVIDENCE &amp; DECISIONS</t>
        </is>
      </c>
    </row>
    <row r="993" ht="34" customHeight="1">
      <c r="A993" s="23" t="inlineStr">
        <is>
          <t>Contractor Programme</t>
        </is>
      </c>
      <c r="B993" s="23" t="inlineStr">
        <is>
          <t>SCH-04-024</t>
        </is>
      </c>
      <c r="C993" s="23" t="inlineStr">
        <is>
          <t>Storage yard: workshop crane installation - inspection</t>
        </is>
      </c>
      <c r="D993" s="23" t="inlineStr">
        <is>
          <t>WBS Code = 1.4.2</t>
        </is>
      </c>
      <c r="E993" s="23" t="inlineStr">
        <is>
          <t>R564-v2</t>
        </is>
      </c>
      <c r="F993" s="23" t="inlineStr">
        <is>
          <t>1.4.2 Vehicles and Depot - Depot Buildings</t>
        </is>
      </c>
      <c r="G993" s="23" t="inlineStr">
        <is>
          <t>ONE_TO_ONE</t>
        </is>
      </c>
      <c r="H993" s="23" t="inlineStr">
        <is>
          <t>RETAINED</t>
        </is>
      </c>
      <c r="I993" s="23" t="inlineStr">
        <is>
          <t>Carried forward</t>
        </is>
      </c>
      <c r="J993" s="23" t="inlineStr">
        <is>
          <t>Source assignment -- not individually reviewed</t>
        </is>
      </c>
      <c r="K993" s="23" t="inlineStr"/>
      <c r="L993" s="23" t="inlineStr"/>
      <c r="M993" s="23" t="inlineStr"/>
      <c r="N993" s="14" t="inlineStr">
        <is>
          <t>10 EVIDENCE &amp; DECISIONS</t>
        </is>
      </c>
    </row>
    <row r="994" ht="34" customHeight="1">
      <c r="A994" s="23" t="inlineStr">
        <is>
          <t>Contractor Programme</t>
        </is>
      </c>
      <c r="B994" s="23" t="inlineStr">
        <is>
          <t>SCH-04-027</t>
        </is>
      </c>
      <c r="C994" s="23" t="inlineStr">
        <is>
          <t>Receiving track: fleet software load - field start</t>
        </is>
      </c>
      <c r="D994" s="23" t="inlineStr">
        <is>
          <t>WBS Code = 1.4.2</t>
        </is>
      </c>
      <c r="E994" s="23" t="inlineStr">
        <is>
          <t>R567-v2</t>
        </is>
      </c>
      <c r="F994" s="23" t="inlineStr">
        <is>
          <t>1.4.2 Vehicles and Depot - Depot Buildings</t>
        </is>
      </c>
      <c r="G994" s="23" t="inlineStr">
        <is>
          <t>ONE_TO_ONE</t>
        </is>
      </c>
      <c r="H994" s="23" t="inlineStr">
        <is>
          <t>RETAINED</t>
        </is>
      </c>
      <c r="I994" s="23" t="inlineStr">
        <is>
          <t>Carried forward</t>
        </is>
      </c>
      <c r="J994" s="23" t="inlineStr">
        <is>
          <t>Source assignment -- not individually reviewed</t>
        </is>
      </c>
      <c r="K994" s="23" t="inlineStr"/>
      <c r="L994" s="23" t="inlineStr"/>
      <c r="M994" s="23" t="inlineStr"/>
      <c r="N994" s="14" t="inlineStr">
        <is>
          <t>10 EVIDENCE &amp; DECISIONS</t>
        </is>
      </c>
    </row>
    <row r="995" ht="34" customHeight="1">
      <c r="A995" s="23" t="inlineStr">
        <is>
          <t>Contractor Programme</t>
        </is>
      </c>
      <c r="B995" s="23" t="inlineStr">
        <is>
          <t>SCH-04-030</t>
        </is>
      </c>
      <c r="C995" s="23" t="inlineStr">
        <is>
          <t>Operations building: maintenance-bay services - turnover</t>
        </is>
      </c>
      <c r="D995" s="23" t="inlineStr">
        <is>
          <t>WBS Code = 1.4.2</t>
        </is>
      </c>
      <c r="E995" s="23" t="inlineStr">
        <is>
          <t>R570-v2</t>
        </is>
      </c>
      <c r="F995" s="23" t="inlineStr">
        <is>
          <t>1.4.2 Vehicles and Depot - Depot Buildings</t>
        </is>
      </c>
      <c r="G995" s="23" t="inlineStr">
        <is>
          <t>ONE_TO_ONE</t>
        </is>
      </c>
      <c r="H995" s="23" t="inlineStr">
        <is>
          <t>RETAINED</t>
        </is>
      </c>
      <c r="I995" s="23" t="inlineStr">
        <is>
          <t>Carried forward</t>
        </is>
      </c>
      <c r="J995" s="23" t="inlineStr">
        <is>
          <t>Source assignment -- not individually reviewed</t>
        </is>
      </c>
      <c r="K995" s="23" t="inlineStr"/>
      <c r="L995" s="23" t="inlineStr"/>
      <c r="M995" s="23" t="inlineStr"/>
      <c r="N995" s="14" t="inlineStr">
        <is>
          <t>10 EVIDENCE &amp; DECISIONS</t>
        </is>
      </c>
    </row>
    <row r="996" ht="34" customHeight="1">
      <c r="A996" s="23" t="inlineStr">
        <is>
          <t>Contractor Programme</t>
        </is>
      </c>
      <c r="B996" s="23" t="inlineStr">
        <is>
          <t>SCH-04-033</t>
        </is>
      </c>
      <c r="C996" s="23" t="inlineStr">
        <is>
          <t>Maintenance shop: vehicle-to-depot interface check - installation</t>
        </is>
      </c>
      <c r="D996" s="23" t="inlineStr">
        <is>
          <t>WBS Code = 1.4.2</t>
        </is>
      </c>
      <c r="E996" s="23" t="inlineStr">
        <is>
          <t>R573-v2</t>
        </is>
      </c>
      <c r="F996" s="23" t="inlineStr">
        <is>
          <t>1.4.2 Vehicles and Depot - Depot Buildings</t>
        </is>
      </c>
      <c r="G996" s="23" t="inlineStr">
        <is>
          <t>ONE_TO_ONE</t>
        </is>
      </c>
      <c r="H996" s="23" t="inlineStr">
        <is>
          <t>RETAINED</t>
        </is>
      </c>
      <c r="I996" s="23" t="inlineStr">
        <is>
          <t>Carried forward</t>
        </is>
      </c>
      <c r="J996" s="23" t="inlineStr">
        <is>
          <t>Source assignment -- not individually reviewed</t>
        </is>
      </c>
      <c r="K996" s="23" t="inlineStr"/>
      <c r="L996" s="23" t="inlineStr"/>
      <c r="M996" s="23" t="inlineStr"/>
      <c r="N996" s="14" t="inlineStr">
        <is>
          <t>10 EVIDENCE &amp; DECISIONS</t>
        </is>
      </c>
    </row>
    <row r="997" ht="34" customHeight="1">
      <c r="A997" s="23" t="inlineStr">
        <is>
          <t>Contractor Programme</t>
        </is>
      </c>
      <c r="B997" s="23" t="inlineStr">
        <is>
          <t>SCH-04-036</t>
        </is>
      </c>
      <c r="C997" s="23" t="inlineStr">
        <is>
          <t>Test track: vehicle delivery inspection - release</t>
        </is>
      </c>
      <c r="D997" s="23" t="inlineStr">
        <is>
          <t>WBS Code = 1.4.2</t>
        </is>
      </c>
      <c r="E997" s="23" t="inlineStr">
        <is>
          <t>R576-v2</t>
        </is>
      </c>
      <c r="F997" s="23" t="inlineStr">
        <is>
          <t>1.4.2 Vehicles and Depot - Depot Buildings</t>
        </is>
      </c>
      <c r="G997" s="23" t="inlineStr">
        <is>
          <t>ONE_TO_ONE</t>
        </is>
      </c>
      <c r="H997" s="23" t="inlineStr">
        <is>
          <t>RETAINED</t>
        </is>
      </c>
      <c r="I997" s="23" t="inlineStr">
        <is>
          <t>Carried forward</t>
        </is>
      </c>
      <c r="J997" s="23" t="inlineStr">
        <is>
          <t>Source assignment -- not individually reviewed</t>
        </is>
      </c>
      <c r="K997" s="23" t="inlineStr"/>
      <c r="L997" s="23" t="inlineStr"/>
      <c r="M997" s="23" t="inlineStr"/>
      <c r="N997" s="14" t="inlineStr">
        <is>
          <t>10 EVIDENCE &amp; DECISIONS</t>
        </is>
      </c>
    </row>
    <row r="998" ht="34" customHeight="1">
      <c r="A998" s="23" t="inlineStr">
        <is>
          <t>Contractor Programme</t>
        </is>
      </c>
      <c r="B998" s="23" t="inlineStr">
        <is>
          <t>SCH-04-039</t>
        </is>
      </c>
      <c r="C998" s="23" t="inlineStr">
        <is>
          <t>Storage yard: depot structural fit-out - inspection</t>
        </is>
      </c>
      <c r="D998" s="23" t="inlineStr">
        <is>
          <t>WBS Code = 1.4.2</t>
        </is>
      </c>
      <c r="E998" s="23" t="inlineStr">
        <is>
          <t>R579-v2</t>
        </is>
      </c>
      <c r="F998" s="23" t="inlineStr">
        <is>
          <t>1.4.2 Vehicles and Depot - Depot Buildings</t>
        </is>
      </c>
      <c r="G998" s="23" t="inlineStr">
        <is>
          <t>ONE_TO_ONE</t>
        </is>
      </c>
      <c r="H998" s="23" t="inlineStr">
        <is>
          <t>RETAINED</t>
        </is>
      </c>
      <c r="I998" s="23" t="inlineStr">
        <is>
          <t>Carried forward</t>
        </is>
      </c>
      <c r="J998" s="23" t="inlineStr">
        <is>
          <t>Source assignment -- not individually reviewed</t>
        </is>
      </c>
      <c r="K998" s="23" t="inlineStr"/>
      <c r="L998" s="23" t="inlineStr"/>
      <c r="M998" s="23" t="inlineStr"/>
      <c r="N998" s="14" t="inlineStr">
        <is>
          <t>10 EVIDENCE &amp; DECISIONS</t>
        </is>
      </c>
    </row>
    <row r="999" ht="34" customHeight="1">
      <c r="A999" s="23" t="inlineStr">
        <is>
          <t>Contractor Programme</t>
        </is>
      </c>
      <c r="B999" s="23" t="inlineStr">
        <is>
          <t>SCH-04-042</t>
        </is>
      </c>
      <c r="C999" s="23" t="inlineStr">
        <is>
          <t>Receiving track: wheel-lathe installation - field start</t>
        </is>
      </c>
      <c r="D999" s="23" t="inlineStr">
        <is>
          <t>WBS Code = 1.4.2</t>
        </is>
      </c>
      <c r="E999" s="23" t="inlineStr">
        <is>
          <t>R582-v2</t>
        </is>
      </c>
      <c r="F999" s="23" t="inlineStr">
        <is>
          <t>1.4.2 Vehicles and Depot - Depot Buildings</t>
        </is>
      </c>
      <c r="G999" s="23" t="inlineStr">
        <is>
          <t>ONE_TO_ONE</t>
        </is>
      </c>
      <c r="H999" s="23" t="inlineStr">
        <is>
          <t>RETAINED</t>
        </is>
      </c>
      <c r="I999" s="23" t="inlineStr">
        <is>
          <t>Carried forward</t>
        </is>
      </c>
      <c r="J999" s="23" t="inlineStr">
        <is>
          <t>Source assignment -- not individually reviewed</t>
        </is>
      </c>
      <c r="K999" s="23" t="inlineStr"/>
      <c r="L999" s="23" t="inlineStr"/>
      <c r="M999" s="23" t="inlineStr"/>
      <c r="N999" s="14" t="inlineStr">
        <is>
          <t>10 EVIDENCE &amp; DECISIONS</t>
        </is>
      </c>
    </row>
    <row r="1000" ht="34" customHeight="1">
      <c r="A1000" s="23" t="inlineStr">
        <is>
          <t>Contractor Programme</t>
        </is>
      </c>
      <c r="B1000" s="23" t="inlineStr">
        <is>
          <t>SCH-04-045</t>
        </is>
      </c>
      <c r="C1000" s="23" t="inlineStr">
        <is>
          <t>Operations building: wash-plant commissioning - turnover</t>
        </is>
      </c>
      <c r="D1000" s="23" t="inlineStr">
        <is>
          <t>WBS Code = 1.4.2</t>
        </is>
      </c>
      <c r="E1000" s="23" t="inlineStr">
        <is>
          <t>R585-v2</t>
        </is>
      </c>
      <c r="F1000" s="23" t="inlineStr">
        <is>
          <t>1.4.2 Vehicles and Depot - Depot Buildings</t>
        </is>
      </c>
      <c r="G1000" s="23" t="inlineStr">
        <is>
          <t>ONE_TO_ONE</t>
        </is>
      </c>
      <c r="H1000" s="23" t="inlineStr">
        <is>
          <t>RETAINED</t>
        </is>
      </c>
      <c r="I1000" s="23" t="inlineStr">
        <is>
          <t>Carried forward</t>
        </is>
      </c>
      <c r="J1000" s="23" t="inlineStr">
        <is>
          <t>Source assignment -- not individually reviewed</t>
        </is>
      </c>
      <c r="K1000" s="23" t="inlineStr"/>
      <c r="L1000" s="23" t="inlineStr"/>
      <c r="M1000" s="23" t="inlineStr"/>
      <c r="N1000" s="14" t="inlineStr">
        <is>
          <t>10 EVIDENCE &amp; DECISIONS</t>
        </is>
      </c>
    </row>
    <row r="1001" ht="34" customHeight="1">
      <c r="A1001" s="23" t="inlineStr">
        <is>
          <t>Contractor Programme</t>
        </is>
      </c>
      <c r="B1001" s="23" t="inlineStr">
        <is>
          <t>SCH-04-048</t>
        </is>
      </c>
      <c r="C1001" s="23" t="inlineStr">
        <is>
          <t>Maintenance shop: workshop crane installation - installation</t>
        </is>
      </c>
      <c r="D1001" s="23" t="inlineStr">
        <is>
          <t>WBS Code = 1.4.2</t>
        </is>
      </c>
      <c r="E1001" s="23" t="inlineStr">
        <is>
          <t>R588-v2</t>
        </is>
      </c>
      <c r="F1001" s="23" t="inlineStr">
        <is>
          <t>1.4.2 Vehicles and Depot - Depot Buildings</t>
        </is>
      </c>
      <c r="G1001" s="23" t="inlineStr">
        <is>
          <t>ONE_TO_ONE</t>
        </is>
      </c>
      <c r="H1001" s="23" t="inlineStr">
        <is>
          <t>RETAINED</t>
        </is>
      </c>
      <c r="I1001" s="23" t="inlineStr">
        <is>
          <t>Carried forward</t>
        </is>
      </c>
      <c r="J1001" s="23" t="inlineStr">
        <is>
          <t>Source assignment -- not individually reviewed</t>
        </is>
      </c>
      <c r="K1001" s="23" t="inlineStr"/>
      <c r="L1001" s="23" t="inlineStr"/>
      <c r="M1001" s="23" t="inlineStr"/>
      <c r="N1001" s="14" t="inlineStr">
        <is>
          <t>10 EVIDENCE &amp; DECISIONS</t>
        </is>
      </c>
    </row>
    <row r="1002" ht="34" customHeight="1">
      <c r="A1002" s="23" t="inlineStr">
        <is>
          <t>Contractor Programme</t>
        </is>
      </c>
      <c r="B1002" s="23" t="inlineStr">
        <is>
          <t>SCH-04-051</t>
        </is>
      </c>
      <c r="C1002" s="23" t="inlineStr">
        <is>
          <t>Test track: fleet software load - release</t>
        </is>
      </c>
      <c r="D1002" s="23" t="inlineStr">
        <is>
          <t>WBS Code = 1.4.2</t>
        </is>
      </c>
      <c r="E1002" s="23" t="inlineStr">
        <is>
          <t>R591-v2</t>
        </is>
      </c>
      <c r="F1002" s="23" t="inlineStr">
        <is>
          <t>1.4.2 Vehicles and Depot - Depot Buildings</t>
        </is>
      </c>
      <c r="G1002" s="23" t="inlineStr">
        <is>
          <t>ONE_TO_ONE</t>
        </is>
      </c>
      <c r="H1002" s="23" t="inlineStr">
        <is>
          <t>RETAINED</t>
        </is>
      </c>
      <c r="I1002" s="23" t="inlineStr">
        <is>
          <t>Carried forward</t>
        </is>
      </c>
      <c r="J1002" s="23" t="inlineStr">
        <is>
          <t>Source assignment -- not individually reviewed</t>
        </is>
      </c>
      <c r="K1002" s="23" t="inlineStr"/>
      <c r="L1002" s="23" t="inlineStr"/>
      <c r="M1002" s="23" t="inlineStr"/>
      <c r="N1002" s="14" t="inlineStr">
        <is>
          <t>10 EVIDENCE &amp; DECISIONS</t>
        </is>
      </c>
    </row>
    <row r="1003" ht="34" customHeight="1">
      <c r="A1003" s="23" t="inlineStr">
        <is>
          <t>Contractor Programme</t>
        </is>
      </c>
      <c r="B1003" s="23" t="inlineStr">
        <is>
          <t>SCH-04-054</t>
        </is>
      </c>
      <c r="C1003" s="23" t="inlineStr">
        <is>
          <t>Storage yard: maintenance-bay services - inspection</t>
        </is>
      </c>
      <c r="D1003" s="23" t="inlineStr">
        <is>
          <t>WBS Code = 1.4.2</t>
        </is>
      </c>
      <c r="E1003" s="23" t="inlineStr">
        <is>
          <t>R594-v2</t>
        </is>
      </c>
      <c r="F1003" s="23" t="inlineStr">
        <is>
          <t>1.4.2 Vehicles and Depot - Depot Buildings</t>
        </is>
      </c>
      <c r="G1003" s="23" t="inlineStr">
        <is>
          <t>ONE_TO_ONE</t>
        </is>
      </c>
      <c r="H1003" s="23" t="inlineStr">
        <is>
          <t>RETAINED</t>
        </is>
      </c>
      <c r="I1003" s="23" t="inlineStr">
        <is>
          <t>Carried forward</t>
        </is>
      </c>
      <c r="J1003" s="23" t="inlineStr">
        <is>
          <t>Source assignment -- not individually reviewed</t>
        </is>
      </c>
      <c r="K1003" s="23" t="inlineStr"/>
      <c r="L1003" s="23" t="inlineStr"/>
      <c r="M1003" s="23" t="inlineStr"/>
      <c r="N1003" s="14" t="inlineStr">
        <is>
          <t>10 EVIDENCE &amp; DECISIONS</t>
        </is>
      </c>
    </row>
    <row r="1004" ht="34" customHeight="1">
      <c r="A1004" s="23" t="inlineStr">
        <is>
          <t>Contractor Programme</t>
        </is>
      </c>
      <c r="B1004" s="23" t="inlineStr">
        <is>
          <t>SCH-04-057</t>
        </is>
      </c>
      <c r="C1004" s="23" t="inlineStr">
        <is>
          <t>Receiving track: vehicle-to-depot interface check - field start</t>
        </is>
      </c>
      <c r="D1004" s="23" t="inlineStr">
        <is>
          <t>WBS Code = 1.4.2</t>
        </is>
      </c>
      <c r="E1004" s="23" t="inlineStr">
        <is>
          <t>R597-v2</t>
        </is>
      </c>
      <c r="F1004" s="23" t="inlineStr">
        <is>
          <t>1.4.2 Vehicles and Depot - Depot Buildings</t>
        </is>
      </c>
      <c r="G1004" s="23" t="inlineStr">
        <is>
          <t>ONE_TO_ONE</t>
        </is>
      </c>
      <c r="H1004" s="23" t="inlineStr">
        <is>
          <t>RETAINED</t>
        </is>
      </c>
      <c r="I1004" s="23" t="inlineStr">
        <is>
          <t>Carried forward</t>
        </is>
      </c>
      <c r="J1004" s="23" t="inlineStr">
        <is>
          <t>Source assignment -- not individually reviewed</t>
        </is>
      </c>
      <c r="K1004" s="23" t="inlineStr"/>
      <c r="L1004" s="23" t="inlineStr"/>
      <c r="M1004" s="23" t="inlineStr"/>
      <c r="N1004" s="14" t="inlineStr">
        <is>
          <t>10 EVIDENCE &amp; DECISIONS</t>
        </is>
      </c>
    </row>
    <row r="1005" ht="34" customHeight="1">
      <c r="A1005" s="23" t="inlineStr">
        <is>
          <t>Contractor Programme</t>
        </is>
      </c>
      <c r="B1005" s="23" t="inlineStr">
        <is>
          <t>SCH-04-060</t>
        </is>
      </c>
      <c r="C1005" s="23" t="inlineStr">
        <is>
          <t>Operations building: vehicle delivery inspection - turnover</t>
        </is>
      </c>
      <c r="D1005" s="23" t="inlineStr">
        <is>
          <t>WBS Code = 1.4.2</t>
        </is>
      </c>
      <c r="E1005" s="23" t="inlineStr">
        <is>
          <t>R600-v2</t>
        </is>
      </c>
      <c r="F1005" s="23" t="inlineStr">
        <is>
          <t>1.4.2 Vehicles and Depot - Depot Buildings</t>
        </is>
      </c>
      <c r="G1005" s="23" t="inlineStr">
        <is>
          <t>ONE_TO_ONE</t>
        </is>
      </c>
      <c r="H1005" s="23" t="inlineStr">
        <is>
          <t>RETAINED</t>
        </is>
      </c>
      <c r="I1005" s="23" t="inlineStr">
        <is>
          <t>Carried forward</t>
        </is>
      </c>
      <c r="J1005" s="23" t="inlineStr">
        <is>
          <t>Source assignment -- not individually reviewed</t>
        </is>
      </c>
      <c r="K1005" s="23" t="inlineStr"/>
      <c r="L1005" s="23" t="inlineStr"/>
      <c r="M1005" s="23" t="inlineStr"/>
      <c r="N1005" s="14" t="inlineStr">
        <is>
          <t>10 EVIDENCE &amp; DECISIONS</t>
        </is>
      </c>
    </row>
    <row r="1006" ht="34" customHeight="1">
      <c r="A1006" s="23" t="inlineStr">
        <is>
          <t>Contractor Programme</t>
        </is>
      </c>
      <c r="B1006" s="23" t="inlineStr">
        <is>
          <t>SCH-04-063</t>
        </is>
      </c>
      <c r="C1006" s="23" t="inlineStr">
        <is>
          <t>Maintenance shop: depot structural fit-out - installation</t>
        </is>
      </c>
      <c r="D1006" s="23" t="inlineStr">
        <is>
          <t>WBS Code = 1.4.2</t>
        </is>
      </c>
      <c r="E1006" s="23" t="inlineStr">
        <is>
          <t>R603-v2</t>
        </is>
      </c>
      <c r="F1006" s="23" t="inlineStr">
        <is>
          <t>1.4.2 Vehicles and Depot - Depot Buildings</t>
        </is>
      </c>
      <c r="G1006" s="23" t="inlineStr">
        <is>
          <t>ONE_TO_ONE</t>
        </is>
      </c>
      <c r="H1006" s="23" t="inlineStr">
        <is>
          <t>RETAINED</t>
        </is>
      </c>
      <c r="I1006" s="23" t="inlineStr">
        <is>
          <t>Carried forward</t>
        </is>
      </c>
      <c r="J1006" s="23" t="inlineStr">
        <is>
          <t>Source assignment -- not individually reviewed</t>
        </is>
      </c>
      <c r="K1006" s="23" t="inlineStr"/>
      <c r="L1006" s="23" t="inlineStr"/>
      <c r="M1006" s="23" t="inlineStr"/>
      <c r="N1006" s="14" t="inlineStr">
        <is>
          <t>10 EVIDENCE &amp; DECISIONS</t>
        </is>
      </c>
    </row>
    <row r="1007" ht="34" customHeight="1">
      <c r="A1007" s="23" t="inlineStr">
        <is>
          <t>Contractor Programme</t>
        </is>
      </c>
      <c r="B1007" s="23" t="inlineStr">
        <is>
          <t>SCH-04-066</t>
        </is>
      </c>
      <c r="C1007" s="23" t="inlineStr">
        <is>
          <t>Test track: wheel-lathe installation - release</t>
        </is>
      </c>
      <c r="D1007" s="23" t="inlineStr">
        <is>
          <t>WBS Code = 1.4.2</t>
        </is>
      </c>
      <c r="E1007" s="23" t="inlineStr">
        <is>
          <t>R606-v2</t>
        </is>
      </c>
      <c r="F1007" s="23" t="inlineStr">
        <is>
          <t>1.4.2 Vehicles and Depot - Depot Buildings</t>
        </is>
      </c>
      <c r="G1007" s="23" t="inlineStr">
        <is>
          <t>ONE_TO_ONE</t>
        </is>
      </c>
      <c r="H1007" s="23" t="inlineStr">
        <is>
          <t>RETAINED</t>
        </is>
      </c>
      <c r="I1007" s="23" t="inlineStr">
        <is>
          <t>Carried forward</t>
        </is>
      </c>
      <c r="J1007" s="23" t="inlineStr">
        <is>
          <t>Source assignment -- not individually reviewed</t>
        </is>
      </c>
      <c r="K1007" s="23" t="inlineStr"/>
      <c r="L1007" s="23" t="inlineStr"/>
      <c r="M1007" s="23" t="inlineStr"/>
      <c r="N1007" s="14" t="inlineStr">
        <is>
          <t>10 EVIDENCE &amp; DECISIONS</t>
        </is>
      </c>
    </row>
    <row r="1008" ht="34" customHeight="1">
      <c r="A1008" s="23" t="inlineStr">
        <is>
          <t>Contractor Programme</t>
        </is>
      </c>
      <c r="B1008" s="23" t="inlineStr">
        <is>
          <t>SCH-04-069</t>
        </is>
      </c>
      <c r="C1008" s="23" t="inlineStr">
        <is>
          <t>Storage yard: wash-plant commissioning - inspection</t>
        </is>
      </c>
      <c r="D1008" s="23" t="inlineStr">
        <is>
          <t>WBS Code = 1.4.2</t>
        </is>
      </c>
      <c r="E1008" s="23" t="inlineStr">
        <is>
          <t>R609-v2</t>
        </is>
      </c>
      <c r="F1008" s="23" t="inlineStr">
        <is>
          <t>1.4.2 Vehicles and Depot - Depot Buildings</t>
        </is>
      </c>
      <c r="G1008" s="23" t="inlineStr">
        <is>
          <t>ONE_TO_ONE</t>
        </is>
      </c>
      <c r="H1008" s="23" t="inlineStr">
        <is>
          <t>RETAINED</t>
        </is>
      </c>
      <c r="I1008" s="23" t="inlineStr">
        <is>
          <t>Carried forward</t>
        </is>
      </c>
      <c r="J1008" s="23" t="inlineStr">
        <is>
          <t>Source assignment -- not individually reviewed</t>
        </is>
      </c>
      <c r="K1008" s="23" t="inlineStr"/>
      <c r="L1008" s="23" t="inlineStr"/>
      <c r="M1008" s="23" t="inlineStr"/>
      <c r="N1008" s="14" t="inlineStr">
        <is>
          <t>10 EVIDENCE &amp; DECISIONS</t>
        </is>
      </c>
    </row>
    <row r="1009" ht="34" customHeight="1">
      <c r="A1009" s="23" t="inlineStr">
        <is>
          <t>Contractor Programme</t>
        </is>
      </c>
      <c r="B1009" s="23" t="inlineStr">
        <is>
          <t>SCH-04-072</t>
        </is>
      </c>
      <c r="C1009" s="23" t="inlineStr">
        <is>
          <t>Receiving track: workshop crane installation - field start</t>
        </is>
      </c>
      <c r="D1009" s="23" t="inlineStr">
        <is>
          <t>WBS Code = 1.4.2</t>
        </is>
      </c>
      <c r="E1009" s="23" t="inlineStr">
        <is>
          <t>R612-v2</t>
        </is>
      </c>
      <c r="F1009" s="23" t="inlineStr">
        <is>
          <t>1.4.2 Vehicles and Depot - Depot Buildings</t>
        </is>
      </c>
      <c r="G1009" s="23" t="inlineStr">
        <is>
          <t>ONE_TO_ONE</t>
        </is>
      </c>
      <c r="H1009" s="23" t="inlineStr">
        <is>
          <t>RETAINED</t>
        </is>
      </c>
      <c r="I1009" s="23" t="inlineStr">
        <is>
          <t>Carried forward</t>
        </is>
      </c>
      <c r="J1009" s="23" t="inlineStr">
        <is>
          <t>Source assignment -- not individually reviewed</t>
        </is>
      </c>
      <c r="K1009" s="23" t="inlineStr"/>
      <c r="L1009" s="23" t="inlineStr"/>
      <c r="M1009" s="23" t="inlineStr"/>
      <c r="N1009" s="14" t="inlineStr">
        <is>
          <t>10 EVIDENCE &amp; DECISIONS</t>
        </is>
      </c>
    </row>
    <row r="1010" ht="34" customHeight="1">
      <c r="A1010" s="23" t="inlineStr">
        <is>
          <t>Contractor Programme</t>
        </is>
      </c>
      <c r="B1010" s="23" t="inlineStr">
        <is>
          <t>SCH-04-075</t>
        </is>
      </c>
      <c r="C1010" s="23" t="inlineStr">
        <is>
          <t>Operations building: fleet software load - turnover</t>
        </is>
      </c>
      <c r="D1010" s="23" t="inlineStr">
        <is>
          <t>WBS Code = 1.4.2</t>
        </is>
      </c>
      <c r="E1010" s="23" t="inlineStr">
        <is>
          <t>R615-v2</t>
        </is>
      </c>
      <c r="F1010" s="23" t="inlineStr">
        <is>
          <t>1.4.2 Vehicles and Depot - Depot Buildings</t>
        </is>
      </c>
      <c r="G1010" s="23" t="inlineStr">
        <is>
          <t>ONE_TO_ONE</t>
        </is>
      </c>
      <c r="H1010" s="23" t="inlineStr">
        <is>
          <t>RETAINED</t>
        </is>
      </c>
      <c r="I1010" s="23" t="inlineStr">
        <is>
          <t>Carried forward</t>
        </is>
      </c>
      <c r="J1010" s="23" t="inlineStr">
        <is>
          <t>Source assignment -- not individually reviewed</t>
        </is>
      </c>
      <c r="K1010" s="23" t="inlineStr"/>
      <c r="L1010" s="23" t="inlineStr"/>
      <c r="M1010" s="23" t="inlineStr"/>
      <c r="N1010" s="14" t="inlineStr">
        <is>
          <t>10 EVIDENCE &amp; DECISIONS</t>
        </is>
      </c>
    </row>
    <row r="1011" ht="34" customHeight="1">
      <c r="A1011" s="23" t="inlineStr">
        <is>
          <t>Contractor Programme</t>
        </is>
      </c>
      <c r="B1011" s="23" t="inlineStr">
        <is>
          <t>SCH-04-078</t>
        </is>
      </c>
      <c r="C1011" s="23" t="inlineStr">
        <is>
          <t>Maintenance shop: maintenance-bay services - installation</t>
        </is>
      </c>
      <c r="D1011" s="23" t="inlineStr">
        <is>
          <t>WBS Code = 1.4.2</t>
        </is>
      </c>
      <c r="E1011" s="23" t="inlineStr">
        <is>
          <t>R618-v2</t>
        </is>
      </c>
      <c r="F1011" s="23" t="inlineStr">
        <is>
          <t>1.4.2 Vehicles and Depot - Depot Buildings</t>
        </is>
      </c>
      <c r="G1011" s="23" t="inlineStr">
        <is>
          <t>ONE_TO_ONE</t>
        </is>
      </c>
      <c r="H1011" s="23" t="inlineStr">
        <is>
          <t>RETAINED</t>
        </is>
      </c>
      <c r="I1011" s="23" t="inlineStr">
        <is>
          <t>Carried forward</t>
        </is>
      </c>
      <c r="J1011" s="23" t="inlineStr">
        <is>
          <t>Source assignment -- not individually reviewed</t>
        </is>
      </c>
      <c r="K1011" s="23" t="inlineStr"/>
      <c r="L1011" s="23" t="inlineStr"/>
      <c r="M1011" s="23" t="inlineStr"/>
      <c r="N1011" s="14" t="inlineStr">
        <is>
          <t>10 EVIDENCE &amp; DECISIONS</t>
        </is>
      </c>
    </row>
    <row r="1012" ht="34" customHeight="1">
      <c r="A1012" s="23" t="inlineStr">
        <is>
          <t>Contractor Programme</t>
        </is>
      </c>
      <c r="B1012" s="23" t="inlineStr">
        <is>
          <t>SCH-04-081</t>
        </is>
      </c>
      <c r="C1012" s="23" t="inlineStr">
        <is>
          <t>Test track: vehicle-to-depot interface check - release</t>
        </is>
      </c>
      <c r="D1012" s="23" t="inlineStr">
        <is>
          <t>WBS Code = 1.4.2</t>
        </is>
      </c>
      <c r="E1012" s="23" t="inlineStr">
        <is>
          <t>R621-v2</t>
        </is>
      </c>
      <c r="F1012" s="23" t="inlineStr">
        <is>
          <t>1.4.2 Vehicles and Depot - Depot Buildings</t>
        </is>
      </c>
      <c r="G1012" s="23" t="inlineStr">
        <is>
          <t>ONE_TO_ONE</t>
        </is>
      </c>
      <c r="H1012" s="23" t="inlineStr">
        <is>
          <t>RETAINED</t>
        </is>
      </c>
      <c r="I1012" s="23" t="inlineStr">
        <is>
          <t>Carried forward</t>
        </is>
      </c>
      <c r="J1012" s="23" t="inlineStr">
        <is>
          <t>Source assignment -- not individually reviewed</t>
        </is>
      </c>
      <c r="K1012" s="23" t="inlineStr"/>
      <c r="L1012" s="23" t="inlineStr"/>
      <c r="M1012" s="23" t="inlineStr"/>
      <c r="N1012" s="14" t="inlineStr">
        <is>
          <t>10 EVIDENCE &amp; DECISIONS</t>
        </is>
      </c>
    </row>
    <row r="1013" ht="34" customHeight="1">
      <c r="A1013" s="23" t="inlineStr">
        <is>
          <t>Contractor Programme</t>
        </is>
      </c>
      <c r="B1013" s="23" t="inlineStr">
        <is>
          <t>SCH-04-084</t>
        </is>
      </c>
      <c r="C1013" s="23" t="inlineStr">
        <is>
          <t>Storage yard: vehicle delivery inspection - inspection</t>
        </is>
      </c>
      <c r="D1013" s="23" t="inlineStr">
        <is>
          <t>WBS Code = 1.4.2</t>
        </is>
      </c>
      <c r="E1013" s="23" t="inlineStr">
        <is>
          <t>R624-v2</t>
        </is>
      </c>
      <c r="F1013" s="23" t="inlineStr">
        <is>
          <t>1.4.2 Vehicles and Depot - Depot Buildings</t>
        </is>
      </c>
      <c r="G1013" s="23" t="inlineStr">
        <is>
          <t>ONE_TO_ONE</t>
        </is>
      </c>
      <c r="H1013" s="23" t="inlineStr">
        <is>
          <t>RETAINED</t>
        </is>
      </c>
      <c r="I1013" s="23" t="inlineStr">
        <is>
          <t>Carried forward</t>
        </is>
      </c>
      <c r="J1013" s="23" t="inlineStr">
        <is>
          <t>Source assignment -- not individually reviewed</t>
        </is>
      </c>
      <c r="K1013" s="23" t="inlineStr"/>
      <c r="L1013" s="23" t="inlineStr"/>
      <c r="M1013" s="23" t="inlineStr"/>
      <c r="N1013" s="14" t="inlineStr">
        <is>
          <t>10 EVIDENCE &amp; DECISIONS</t>
        </is>
      </c>
    </row>
    <row r="1014" ht="34" customHeight="1">
      <c r="A1014" s="23" t="inlineStr">
        <is>
          <t>Contractor Programme</t>
        </is>
      </c>
      <c r="B1014" s="23" t="inlineStr">
        <is>
          <t>SCH-04-087</t>
        </is>
      </c>
      <c r="C1014" s="23" t="inlineStr">
        <is>
          <t>Receiving track: depot structural fit-out - field start</t>
        </is>
      </c>
      <c r="D1014" s="23" t="inlineStr">
        <is>
          <t>WBS Code = 1.4.2</t>
        </is>
      </c>
      <c r="E1014" s="23" t="inlineStr">
        <is>
          <t>R627-v2</t>
        </is>
      </c>
      <c r="F1014" s="23" t="inlineStr">
        <is>
          <t>1.4.2 Vehicles and Depot - Depot Buildings</t>
        </is>
      </c>
      <c r="G1014" s="23" t="inlineStr">
        <is>
          <t>ONE_TO_ONE</t>
        </is>
      </c>
      <c r="H1014" s="23" t="inlineStr">
        <is>
          <t>RETAINED</t>
        </is>
      </c>
      <c r="I1014" s="23" t="inlineStr">
        <is>
          <t>Carried forward</t>
        </is>
      </c>
      <c r="J1014" s="23" t="inlineStr">
        <is>
          <t>Source assignment -- not individually reviewed</t>
        </is>
      </c>
      <c r="K1014" s="23" t="inlineStr"/>
      <c r="L1014" s="23" t="inlineStr"/>
      <c r="M1014" s="23" t="inlineStr"/>
      <c r="N1014" s="14" t="inlineStr">
        <is>
          <t>10 EVIDENCE &amp; DECISIONS</t>
        </is>
      </c>
    </row>
    <row r="1015" ht="34" customHeight="1">
      <c r="A1015" s="23" t="inlineStr">
        <is>
          <t>Contractor Programme</t>
        </is>
      </c>
      <c r="B1015" s="23" t="inlineStr">
        <is>
          <t>SCH-04-090</t>
        </is>
      </c>
      <c r="C1015" s="23" t="inlineStr">
        <is>
          <t>Operations building: wheel-lathe installation - turnover</t>
        </is>
      </c>
      <c r="D1015" s="23" t="inlineStr">
        <is>
          <t>WBS Code = 1.4.2</t>
        </is>
      </c>
      <c r="E1015" s="23" t="inlineStr">
        <is>
          <t>R630-v2</t>
        </is>
      </c>
      <c r="F1015" s="23" t="inlineStr">
        <is>
          <t>1.4.2 Vehicles and Depot - Depot Buildings</t>
        </is>
      </c>
      <c r="G1015" s="23" t="inlineStr">
        <is>
          <t>ONE_TO_ONE</t>
        </is>
      </c>
      <c r="H1015" s="23" t="inlineStr">
        <is>
          <t>RETAINED</t>
        </is>
      </c>
      <c r="I1015" s="23" t="inlineStr">
        <is>
          <t>Carried forward</t>
        </is>
      </c>
      <c r="J1015" s="23" t="inlineStr">
        <is>
          <t>Source assignment -- not individually reviewed</t>
        </is>
      </c>
      <c r="K1015" s="23" t="inlineStr"/>
      <c r="L1015" s="23" t="inlineStr"/>
      <c r="M1015" s="23" t="inlineStr"/>
      <c r="N1015" s="14" t="inlineStr">
        <is>
          <t>10 EVIDENCE &amp; DECISIONS</t>
        </is>
      </c>
    </row>
    <row r="1016" ht="34" customHeight="1">
      <c r="A1016" s="23" t="inlineStr">
        <is>
          <t>Contractor Programme</t>
        </is>
      </c>
      <c r="B1016" s="23" t="inlineStr">
        <is>
          <t>SCH-04-093</t>
        </is>
      </c>
      <c r="C1016" s="23" t="inlineStr">
        <is>
          <t>Maintenance shop: wash-plant commissioning - installation</t>
        </is>
      </c>
      <c r="D1016" s="23" t="inlineStr">
        <is>
          <t>WBS Code = 1.4.2</t>
        </is>
      </c>
      <c r="E1016" s="23" t="inlineStr">
        <is>
          <t>R633-v2</t>
        </is>
      </c>
      <c r="F1016" s="23" t="inlineStr">
        <is>
          <t>1.4.2 Vehicles and Depot - Depot Buildings</t>
        </is>
      </c>
      <c r="G1016" s="23" t="inlineStr">
        <is>
          <t>ONE_TO_ONE</t>
        </is>
      </c>
      <c r="H1016" s="23" t="inlineStr">
        <is>
          <t>RETAINED</t>
        </is>
      </c>
      <c r="I1016" s="23" t="inlineStr">
        <is>
          <t>Carried forward</t>
        </is>
      </c>
      <c r="J1016" s="23" t="inlineStr">
        <is>
          <t>Source assignment -- not individually reviewed</t>
        </is>
      </c>
      <c r="K1016" s="23" t="inlineStr"/>
      <c r="L1016" s="23" t="inlineStr"/>
      <c r="M1016" s="23" t="inlineStr"/>
      <c r="N1016" s="14" t="inlineStr">
        <is>
          <t>10 EVIDENCE &amp; DECISIONS</t>
        </is>
      </c>
    </row>
    <row r="1017" ht="34" customHeight="1">
      <c r="A1017" s="23" t="inlineStr">
        <is>
          <t>Contractor Programme</t>
        </is>
      </c>
      <c r="B1017" s="23" t="inlineStr">
        <is>
          <t>SCH-04-096</t>
        </is>
      </c>
      <c r="C1017" s="23" t="inlineStr">
        <is>
          <t>Test track: workshop crane installation - release</t>
        </is>
      </c>
      <c r="D1017" s="23" t="inlineStr">
        <is>
          <t>WBS Code = 1.4.2</t>
        </is>
      </c>
      <c r="E1017" s="23" t="inlineStr">
        <is>
          <t>R636-v2</t>
        </is>
      </c>
      <c r="F1017" s="23" t="inlineStr">
        <is>
          <t>1.4.2 Vehicles and Depot - Depot Buildings</t>
        </is>
      </c>
      <c r="G1017" s="23" t="inlineStr">
        <is>
          <t>ONE_TO_ONE</t>
        </is>
      </c>
      <c r="H1017" s="23" t="inlineStr">
        <is>
          <t>RETAINED</t>
        </is>
      </c>
      <c r="I1017" s="23" t="inlineStr">
        <is>
          <t>Carried forward</t>
        </is>
      </c>
      <c r="J1017" s="23" t="inlineStr">
        <is>
          <t>Source assignment -- not individually reviewed</t>
        </is>
      </c>
      <c r="K1017" s="23" t="inlineStr"/>
      <c r="L1017" s="23" t="inlineStr"/>
      <c r="M1017" s="23" t="inlineStr"/>
      <c r="N1017" s="14" t="inlineStr">
        <is>
          <t>10 EVIDENCE &amp; DECISIONS</t>
        </is>
      </c>
    </row>
    <row r="1018" ht="34" customHeight="1">
      <c r="A1018" s="23" t="inlineStr">
        <is>
          <t>Contractor Programme</t>
        </is>
      </c>
      <c r="B1018" s="23" t="inlineStr">
        <is>
          <t>SCH-04-099</t>
        </is>
      </c>
      <c r="C1018" s="23" t="inlineStr">
        <is>
          <t>Storage yard: fleet software load - inspection</t>
        </is>
      </c>
      <c r="D1018" s="23" t="inlineStr">
        <is>
          <t>WBS Code = 1.4.2</t>
        </is>
      </c>
      <c r="E1018" s="23" t="inlineStr">
        <is>
          <t>R639-v2</t>
        </is>
      </c>
      <c r="F1018" s="23" t="inlineStr">
        <is>
          <t>1.4.2 Vehicles and Depot - Depot Buildings</t>
        </is>
      </c>
      <c r="G1018" s="23" t="inlineStr">
        <is>
          <t>ONE_TO_ONE</t>
        </is>
      </c>
      <c r="H1018" s="23" t="inlineStr">
        <is>
          <t>RETAINED</t>
        </is>
      </c>
      <c r="I1018" s="23" t="inlineStr">
        <is>
          <t>Carried forward</t>
        </is>
      </c>
      <c r="J1018" s="23" t="inlineStr">
        <is>
          <t>Source assignment -- not individually reviewed</t>
        </is>
      </c>
      <c r="K1018" s="23" t="inlineStr"/>
      <c r="L1018" s="23" t="inlineStr"/>
      <c r="M1018" s="23" t="inlineStr"/>
      <c r="N1018" s="14" t="inlineStr">
        <is>
          <t>10 EVIDENCE &amp; DECISIONS</t>
        </is>
      </c>
    </row>
    <row r="1019" ht="34" customHeight="1">
      <c r="A1019" s="23" t="inlineStr">
        <is>
          <t>Contractor Programme</t>
        </is>
      </c>
      <c r="B1019" s="23" t="inlineStr">
        <is>
          <t>SCH-04-102</t>
        </is>
      </c>
      <c r="C1019" s="23" t="inlineStr">
        <is>
          <t>Receiving track: maintenance-bay services - field start</t>
        </is>
      </c>
      <c r="D1019" s="23" t="inlineStr">
        <is>
          <t>WBS Code = 1.4.2</t>
        </is>
      </c>
      <c r="E1019" s="23" t="inlineStr">
        <is>
          <t>R642-v2</t>
        </is>
      </c>
      <c r="F1019" s="23" t="inlineStr">
        <is>
          <t>1.4.2 Vehicles and Depot - Depot Buildings</t>
        </is>
      </c>
      <c r="G1019" s="23" t="inlineStr">
        <is>
          <t>ONE_TO_ONE</t>
        </is>
      </c>
      <c r="H1019" s="23" t="inlineStr">
        <is>
          <t>RETAINED</t>
        </is>
      </c>
      <c r="I1019" s="23" t="inlineStr">
        <is>
          <t>Carried forward</t>
        </is>
      </c>
      <c r="J1019" s="23" t="inlineStr">
        <is>
          <t>Source assignment -- not individually reviewed</t>
        </is>
      </c>
      <c r="K1019" s="23" t="inlineStr"/>
      <c r="L1019" s="23" t="inlineStr"/>
      <c r="M1019" s="23" t="inlineStr"/>
      <c r="N1019" s="14" t="inlineStr">
        <is>
          <t>10 EVIDENCE &amp; DECISIONS</t>
        </is>
      </c>
    </row>
    <row r="1020" ht="34" customHeight="1">
      <c r="A1020" s="23" t="inlineStr">
        <is>
          <t>Contractor Programme</t>
        </is>
      </c>
      <c r="B1020" s="23" t="inlineStr">
        <is>
          <t>SCH-04-105</t>
        </is>
      </c>
      <c r="C1020" s="23" t="inlineStr">
        <is>
          <t>Operations building: vehicle-to-depot interface check - turnover</t>
        </is>
      </c>
      <c r="D1020" s="23" t="inlineStr">
        <is>
          <t>WBS Code = 1.4.2</t>
        </is>
      </c>
      <c r="E1020" s="23" t="inlineStr">
        <is>
          <t>R645-v2</t>
        </is>
      </c>
      <c r="F1020" s="23" t="inlineStr">
        <is>
          <t>1.4.2 Vehicles and Depot - Depot Buildings</t>
        </is>
      </c>
      <c r="G1020" s="23" t="inlineStr">
        <is>
          <t>ONE_TO_ONE</t>
        </is>
      </c>
      <c r="H1020" s="23" t="inlineStr">
        <is>
          <t>RETAINED</t>
        </is>
      </c>
      <c r="I1020" s="23" t="inlineStr">
        <is>
          <t>Carried forward</t>
        </is>
      </c>
      <c r="J1020" s="23" t="inlineStr">
        <is>
          <t>Source assignment -- not individually reviewed</t>
        </is>
      </c>
      <c r="K1020" s="23" t="inlineStr"/>
      <c r="L1020" s="23" t="inlineStr"/>
      <c r="M1020" s="23" t="inlineStr"/>
      <c r="N1020" s="14" t="inlineStr">
        <is>
          <t>10 EVIDENCE &amp; DECISIONS</t>
        </is>
      </c>
    </row>
    <row r="1021" ht="34" customHeight="1">
      <c r="A1021" s="23" t="inlineStr">
        <is>
          <t>Contractor Programme</t>
        </is>
      </c>
      <c r="B1021" s="23" t="inlineStr">
        <is>
          <t>SCH-04-108</t>
        </is>
      </c>
      <c r="C1021" s="23" t="inlineStr">
        <is>
          <t>Maintenance shop: vehicle delivery inspection - installation</t>
        </is>
      </c>
      <c r="D1021" s="23" t="inlineStr">
        <is>
          <t>WBS Code = 1.4.2</t>
        </is>
      </c>
      <c r="E1021" s="23" t="inlineStr">
        <is>
          <t>R648-v2</t>
        </is>
      </c>
      <c r="F1021" s="23" t="inlineStr">
        <is>
          <t>1.4.2 Vehicles and Depot - Depot Buildings</t>
        </is>
      </c>
      <c r="G1021" s="23" t="inlineStr">
        <is>
          <t>ONE_TO_ONE</t>
        </is>
      </c>
      <c r="H1021" s="23" t="inlineStr">
        <is>
          <t>RETAINED</t>
        </is>
      </c>
      <c r="I1021" s="23" t="inlineStr">
        <is>
          <t>Carried forward</t>
        </is>
      </c>
      <c r="J1021" s="23" t="inlineStr">
        <is>
          <t>Source assignment -- not individually reviewed</t>
        </is>
      </c>
      <c r="K1021" s="23" t="inlineStr"/>
      <c r="L1021" s="23" t="inlineStr"/>
      <c r="M1021" s="23" t="inlineStr"/>
      <c r="N1021" s="14" t="inlineStr">
        <is>
          <t>10 EVIDENCE &amp; DECISIONS</t>
        </is>
      </c>
    </row>
    <row r="1022" ht="34" customHeight="1">
      <c r="A1022" s="23" t="inlineStr">
        <is>
          <t>Contractor Programme</t>
        </is>
      </c>
      <c r="B1022" s="23" t="inlineStr">
        <is>
          <t>SCH-04-111</t>
        </is>
      </c>
      <c r="C1022" s="23" t="inlineStr">
        <is>
          <t>Test track: depot structural fit-out - release</t>
        </is>
      </c>
      <c r="D1022" s="23" t="inlineStr">
        <is>
          <t>WBS Code = 1.4.2</t>
        </is>
      </c>
      <c r="E1022" s="23" t="inlineStr">
        <is>
          <t>R651-v2</t>
        </is>
      </c>
      <c r="F1022" s="23" t="inlineStr">
        <is>
          <t>1.4.2 Vehicles and Depot - Depot Buildings</t>
        </is>
      </c>
      <c r="G1022" s="23" t="inlineStr">
        <is>
          <t>ONE_TO_ONE</t>
        </is>
      </c>
      <c r="H1022" s="23" t="inlineStr">
        <is>
          <t>RETAINED</t>
        </is>
      </c>
      <c r="I1022" s="23" t="inlineStr">
        <is>
          <t>Carried forward</t>
        </is>
      </c>
      <c r="J1022" s="23" t="inlineStr">
        <is>
          <t>Source assignment -- not individually reviewed</t>
        </is>
      </c>
      <c r="K1022" s="23" t="inlineStr"/>
      <c r="L1022" s="23" t="inlineStr"/>
      <c r="M1022" s="23" t="inlineStr"/>
      <c r="N1022" s="14" t="inlineStr">
        <is>
          <t>10 EVIDENCE &amp; DECISIONS</t>
        </is>
      </c>
    </row>
    <row r="1023" ht="34" customHeight="1">
      <c r="A1023" s="23" t="inlineStr">
        <is>
          <t>Contractor Programme</t>
        </is>
      </c>
      <c r="B1023" s="23" t="inlineStr">
        <is>
          <t>SCH-04-114</t>
        </is>
      </c>
      <c r="C1023" s="23" t="inlineStr">
        <is>
          <t>Storage yard: wheel-lathe installation - inspection</t>
        </is>
      </c>
      <c r="D1023" s="23" t="inlineStr">
        <is>
          <t>WBS Code = 1.4.2</t>
        </is>
      </c>
      <c r="E1023" s="23" t="inlineStr">
        <is>
          <t>R654-v2</t>
        </is>
      </c>
      <c r="F1023" s="23" t="inlineStr">
        <is>
          <t>1.4.2 Vehicles and Depot - Depot Buildings</t>
        </is>
      </c>
      <c r="G1023" s="23" t="inlineStr">
        <is>
          <t>ONE_TO_ONE</t>
        </is>
      </c>
      <c r="H1023" s="23" t="inlineStr">
        <is>
          <t>RETAINED</t>
        </is>
      </c>
      <c r="I1023" s="23" t="inlineStr">
        <is>
          <t>Carried forward</t>
        </is>
      </c>
      <c r="J1023" s="23" t="inlineStr">
        <is>
          <t>Source assignment -- not individually reviewed</t>
        </is>
      </c>
      <c r="K1023" s="23" t="inlineStr"/>
      <c r="L1023" s="23" t="inlineStr"/>
      <c r="M1023" s="23" t="inlineStr"/>
      <c r="N1023" s="14" t="inlineStr">
        <is>
          <t>10 EVIDENCE &amp; DECISIONS</t>
        </is>
      </c>
    </row>
    <row r="1024" ht="34" customHeight="1">
      <c r="A1024" s="23" t="inlineStr">
        <is>
          <t>Contractor Programme</t>
        </is>
      </c>
      <c r="B1024" s="23" t="inlineStr">
        <is>
          <t>SCH-04-117</t>
        </is>
      </c>
      <c r="C1024" s="23" t="inlineStr">
        <is>
          <t>Receiving track: wash-plant commissioning - field start</t>
        </is>
      </c>
      <c r="D1024" s="23" t="inlineStr">
        <is>
          <t>WBS Code = 1.4.2</t>
        </is>
      </c>
      <c r="E1024" s="23" t="inlineStr">
        <is>
          <t>R657-v2</t>
        </is>
      </c>
      <c r="F1024" s="23" t="inlineStr">
        <is>
          <t>1.4.2 Vehicles and Depot - Depot Buildings</t>
        </is>
      </c>
      <c r="G1024" s="23" t="inlineStr">
        <is>
          <t>ONE_TO_ONE</t>
        </is>
      </c>
      <c r="H1024" s="23" t="inlineStr">
        <is>
          <t>RETAINED</t>
        </is>
      </c>
      <c r="I1024" s="23" t="inlineStr">
        <is>
          <t>Carried forward</t>
        </is>
      </c>
      <c r="J1024" s="23" t="inlineStr">
        <is>
          <t>Source assignment -- not individually reviewed</t>
        </is>
      </c>
      <c r="K1024" s="23" t="inlineStr"/>
      <c r="L1024" s="23" t="inlineStr"/>
      <c r="M1024" s="23" t="inlineStr"/>
      <c r="N1024" s="14" t="inlineStr">
        <is>
          <t>10 EVIDENCE &amp; DECISIONS</t>
        </is>
      </c>
    </row>
    <row r="1025" ht="34" customHeight="1">
      <c r="A1025" s="23" t="inlineStr">
        <is>
          <t>Contractor Programme</t>
        </is>
      </c>
      <c r="B1025" s="23" t="inlineStr">
        <is>
          <t>SCH-04-120</t>
        </is>
      </c>
      <c r="C1025" s="23" t="inlineStr">
        <is>
          <t>Operations building: workshop crane installation - turnover</t>
        </is>
      </c>
      <c r="D1025" s="23" t="inlineStr">
        <is>
          <t>WBS Code = 1.4.2</t>
        </is>
      </c>
      <c r="E1025" s="23" t="inlineStr">
        <is>
          <t>R660-v2</t>
        </is>
      </c>
      <c r="F1025" s="23" t="inlineStr">
        <is>
          <t>1.4.2 Vehicles and Depot - Depot Buildings</t>
        </is>
      </c>
      <c r="G1025" s="23" t="inlineStr">
        <is>
          <t>ONE_TO_ONE</t>
        </is>
      </c>
      <c r="H1025" s="23" t="inlineStr">
        <is>
          <t>RETAINED</t>
        </is>
      </c>
      <c r="I1025" s="23" t="inlineStr">
        <is>
          <t>Carried forward</t>
        </is>
      </c>
      <c r="J1025" s="23" t="inlineStr">
        <is>
          <t>Source assignment -- not individually reviewed</t>
        </is>
      </c>
      <c r="K1025" s="23" t="inlineStr"/>
      <c r="L1025" s="23" t="inlineStr"/>
      <c r="M1025" s="23" t="inlineStr"/>
      <c r="N1025" s="14" t="inlineStr">
        <is>
          <t>10 EVIDENCE &amp; DECISIONS</t>
        </is>
      </c>
    </row>
    <row r="1026" ht="34" customHeight="1">
      <c r="A1026" s="23" t="inlineStr">
        <is>
          <t>Contractor Programme</t>
        </is>
      </c>
      <c r="B1026" s="23" t="inlineStr">
        <is>
          <t>SCH-04-123</t>
        </is>
      </c>
      <c r="C1026" s="23" t="inlineStr">
        <is>
          <t>Maintenance shop: fleet software load - installation</t>
        </is>
      </c>
      <c r="D1026" s="23" t="inlineStr">
        <is>
          <t>WBS Code = 1.4.2</t>
        </is>
      </c>
      <c r="E1026" s="23" t="inlineStr">
        <is>
          <t>R663-v2</t>
        </is>
      </c>
      <c r="F1026" s="23" t="inlineStr">
        <is>
          <t>1.4.2 Vehicles and Depot - Depot Buildings</t>
        </is>
      </c>
      <c r="G1026" s="23" t="inlineStr">
        <is>
          <t>ONE_TO_ONE</t>
        </is>
      </c>
      <c r="H1026" s="23" t="inlineStr">
        <is>
          <t>RETAINED</t>
        </is>
      </c>
      <c r="I1026" s="23" t="inlineStr">
        <is>
          <t>Carried forward</t>
        </is>
      </c>
      <c r="J1026" s="23" t="inlineStr">
        <is>
          <t>Source assignment -- not individually reviewed</t>
        </is>
      </c>
      <c r="K1026" s="23" t="inlineStr"/>
      <c r="L1026" s="23" t="inlineStr"/>
      <c r="M1026" s="23" t="inlineStr"/>
      <c r="N1026" s="14" t="inlineStr">
        <is>
          <t>10 EVIDENCE &amp; DECISIONS</t>
        </is>
      </c>
    </row>
    <row r="1027" ht="34" customHeight="1">
      <c r="A1027" s="23" t="inlineStr">
        <is>
          <t>Contractor Programme</t>
        </is>
      </c>
      <c r="B1027" s="23" t="inlineStr">
        <is>
          <t>SCH-04-126</t>
        </is>
      </c>
      <c r="C1027" s="23" t="inlineStr">
        <is>
          <t>Test track: maintenance-bay services - release</t>
        </is>
      </c>
      <c r="D1027" s="23" t="inlineStr">
        <is>
          <t>WBS Code = 1.4.2</t>
        </is>
      </c>
      <c r="E1027" s="23" t="inlineStr">
        <is>
          <t>R666-v2</t>
        </is>
      </c>
      <c r="F1027" s="23" t="inlineStr">
        <is>
          <t>1.4.2 Vehicles and Depot - Depot Buildings</t>
        </is>
      </c>
      <c r="G1027" s="23" t="inlineStr">
        <is>
          <t>ONE_TO_ONE</t>
        </is>
      </c>
      <c r="H1027" s="23" t="inlineStr">
        <is>
          <t>RETAINED</t>
        </is>
      </c>
      <c r="I1027" s="23" t="inlineStr">
        <is>
          <t>Carried forward</t>
        </is>
      </c>
      <c r="J1027" s="23" t="inlineStr">
        <is>
          <t>Source assignment -- not individually reviewed</t>
        </is>
      </c>
      <c r="K1027" s="23" t="inlineStr"/>
      <c r="L1027" s="23" t="inlineStr"/>
      <c r="M1027" s="23" t="inlineStr"/>
      <c r="N1027" s="14" t="inlineStr">
        <is>
          <t>10 EVIDENCE &amp; DECISIONS</t>
        </is>
      </c>
    </row>
    <row r="1028" ht="34" customHeight="1">
      <c r="A1028" s="23" t="inlineStr">
        <is>
          <t>Contractor Programme</t>
        </is>
      </c>
      <c r="B1028" s="23" t="inlineStr">
        <is>
          <t>SCH-04-129</t>
        </is>
      </c>
      <c r="C1028" s="23" t="inlineStr">
        <is>
          <t>Storage yard: vehicle-to-depot interface check - inspection</t>
        </is>
      </c>
      <c r="D1028" s="23" t="inlineStr">
        <is>
          <t>WBS Code = 1.4.2</t>
        </is>
      </c>
      <c r="E1028" s="23" t="inlineStr">
        <is>
          <t>R669-v2</t>
        </is>
      </c>
      <c r="F1028" s="23" t="inlineStr">
        <is>
          <t>1.4.2 Vehicles and Depot - Depot Buildings</t>
        </is>
      </c>
      <c r="G1028" s="23" t="inlineStr">
        <is>
          <t>ONE_TO_ONE</t>
        </is>
      </c>
      <c r="H1028" s="23" t="inlineStr">
        <is>
          <t>RETAINED</t>
        </is>
      </c>
      <c r="I1028" s="23" t="inlineStr">
        <is>
          <t>Carried forward</t>
        </is>
      </c>
      <c r="J1028" s="23" t="inlineStr">
        <is>
          <t>Source assignment -- not individually reviewed</t>
        </is>
      </c>
      <c r="K1028" s="23" t="inlineStr"/>
      <c r="L1028" s="23" t="inlineStr"/>
      <c r="M1028" s="23" t="inlineStr"/>
      <c r="N1028" s="14" t="inlineStr">
        <is>
          <t>10 EVIDENCE &amp; DECISIONS</t>
        </is>
      </c>
    </row>
    <row r="1029" ht="34" customHeight="1">
      <c r="A1029" s="23" t="inlineStr">
        <is>
          <t>Contractor Programme</t>
        </is>
      </c>
      <c r="B1029" s="23" t="inlineStr">
        <is>
          <t>SCH-04-132</t>
        </is>
      </c>
      <c r="C1029" s="23" t="inlineStr">
        <is>
          <t>Receiving track: vehicle delivery inspection - field start</t>
        </is>
      </c>
      <c r="D1029" s="23" t="inlineStr">
        <is>
          <t>WBS Code = 1.4.2</t>
        </is>
      </c>
      <c r="E1029" s="23" t="inlineStr">
        <is>
          <t>R672-v2</t>
        </is>
      </c>
      <c r="F1029" s="23" t="inlineStr">
        <is>
          <t>1.4.2 Vehicles and Depot - Depot Buildings</t>
        </is>
      </c>
      <c r="G1029" s="23" t="inlineStr">
        <is>
          <t>ONE_TO_ONE</t>
        </is>
      </c>
      <c r="H1029" s="23" t="inlineStr">
        <is>
          <t>RETAINED</t>
        </is>
      </c>
      <c r="I1029" s="23" t="inlineStr">
        <is>
          <t>Carried forward</t>
        </is>
      </c>
      <c r="J1029" s="23" t="inlineStr">
        <is>
          <t>Source assignment -- not individually reviewed</t>
        </is>
      </c>
      <c r="K1029" s="23" t="inlineStr"/>
      <c r="L1029" s="23" t="inlineStr"/>
      <c r="M1029" s="23" t="inlineStr"/>
      <c r="N1029" s="14" t="inlineStr">
        <is>
          <t>10 EVIDENCE &amp; DECISIONS</t>
        </is>
      </c>
    </row>
    <row r="1030" ht="34" customHeight="1">
      <c r="A1030" s="23" t="inlineStr">
        <is>
          <t>Contractor Programme</t>
        </is>
      </c>
      <c r="B1030" s="23" t="inlineStr">
        <is>
          <t>SCH-04-135</t>
        </is>
      </c>
      <c r="C1030" s="23" t="inlineStr">
        <is>
          <t>Operations building: depot structural fit-out - turnover</t>
        </is>
      </c>
      <c r="D1030" s="23" t="inlineStr">
        <is>
          <t>WBS Code = 1.4.2</t>
        </is>
      </c>
      <c r="E1030" s="23" t="inlineStr">
        <is>
          <t>R675-v2</t>
        </is>
      </c>
      <c r="F1030" s="23" t="inlineStr">
        <is>
          <t>1.4.2 Vehicles and Depot - Depot Buildings</t>
        </is>
      </c>
      <c r="G1030" s="23" t="inlineStr">
        <is>
          <t>ONE_TO_ONE</t>
        </is>
      </c>
      <c r="H1030" s="23" t="inlineStr">
        <is>
          <t>RETAINED</t>
        </is>
      </c>
      <c r="I1030" s="23" t="inlineStr">
        <is>
          <t>Carried forward</t>
        </is>
      </c>
      <c r="J1030" s="23" t="inlineStr">
        <is>
          <t>Source assignment -- not individually reviewed</t>
        </is>
      </c>
      <c r="K1030" s="23" t="inlineStr"/>
      <c r="L1030" s="23" t="inlineStr"/>
      <c r="M1030" s="23" t="inlineStr"/>
      <c r="N1030" s="14" t="inlineStr">
        <is>
          <t>10 EVIDENCE &amp; DECISIONS</t>
        </is>
      </c>
    </row>
    <row r="1031" ht="34" customHeight="1">
      <c r="A1031" s="23" t="inlineStr">
        <is>
          <t>Contractor Programme</t>
        </is>
      </c>
      <c r="B1031" s="23" t="inlineStr">
        <is>
          <t>SCH-04-138</t>
        </is>
      </c>
      <c r="C1031" s="23" t="inlineStr">
        <is>
          <t>Maintenance shop: wheel-lathe installation - installation</t>
        </is>
      </c>
      <c r="D1031" s="23" t="inlineStr">
        <is>
          <t>WBS Code = 1.4.2</t>
        </is>
      </c>
      <c r="E1031" s="23" t="inlineStr">
        <is>
          <t>R678-v2</t>
        </is>
      </c>
      <c r="F1031" s="23" t="inlineStr">
        <is>
          <t>1.4.2 Vehicles and Depot - Depot Buildings</t>
        </is>
      </c>
      <c r="G1031" s="23" t="inlineStr">
        <is>
          <t>ONE_TO_ONE</t>
        </is>
      </c>
      <c r="H1031" s="23" t="inlineStr">
        <is>
          <t>RETAINED</t>
        </is>
      </c>
      <c r="I1031" s="23" t="inlineStr">
        <is>
          <t>Carried forward</t>
        </is>
      </c>
      <c r="J1031" s="23" t="inlineStr">
        <is>
          <t>Source assignment -- not individually reviewed</t>
        </is>
      </c>
      <c r="K1031" s="23" t="inlineStr"/>
      <c r="L1031" s="23" t="inlineStr"/>
      <c r="M1031" s="23" t="inlineStr"/>
      <c r="N1031" s="14" t="inlineStr">
        <is>
          <t>10 EVIDENCE &amp; DECISIONS</t>
        </is>
      </c>
    </row>
    <row r="1032" ht="34" customHeight="1">
      <c r="A1032" s="23" t="inlineStr">
        <is>
          <t>Contractor Programme</t>
        </is>
      </c>
      <c r="B1032" s="23" t="inlineStr">
        <is>
          <t>SCH-04-141</t>
        </is>
      </c>
      <c r="C1032" s="23" t="inlineStr">
        <is>
          <t>Test track: wash-plant commissioning - release</t>
        </is>
      </c>
      <c r="D1032" s="23" t="inlineStr">
        <is>
          <t>WBS Code = 1.4.2</t>
        </is>
      </c>
      <c r="E1032" s="23" t="inlineStr">
        <is>
          <t>R681-v2</t>
        </is>
      </c>
      <c r="F1032" s="23" t="inlineStr">
        <is>
          <t>1.4.2 Vehicles and Depot - Depot Buildings</t>
        </is>
      </c>
      <c r="G1032" s="23" t="inlineStr">
        <is>
          <t>ONE_TO_ONE</t>
        </is>
      </c>
      <c r="H1032" s="23" t="inlineStr">
        <is>
          <t>RETAINED</t>
        </is>
      </c>
      <c r="I1032" s="23" t="inlineStr">
        <is>
          <t>Carried forward</t>
        </is>
      </c>
      <c r="J1032" s="23" t="inlineStr">
        <is>
          <t>Source assignment -- not individually reviewed</t>
        </is>
      </c>
      <c r="K1032" s="23" t="inlineStr"/>
      <c r="L1032" s="23" t="inlineStr"/>
      <c r="M1032" s="23" t="inlineStr"/>
      <c r="N1032" s="14" t="inlineStr">
        <is>
          <t>10 EVIDENCE &amp; DECISIONS</t>
        </is>
      </c>
    </row>
    <row r="1033" ht="34" customHeight="1">
      <c r="A1033" s="23" t="inlineStr">
        <is>
          <t>Contractor Programme</t>
        </is>
      </c>
      <c r="B1033" s="23" t="inlineStr">
        <is>
          <t>SCH-04-144</t>
        </is>
      </c>
      <c r="C1033" s="23" t="inlineStr">
        <is>
          <t>Storage yard: workshop crane installation - inspection</t>
        </is>
      </c>
      <c r="D1033" s="23" t="inlineStr">
        <is>
          <t>WBS Code = 1.4.2</t>
        </is>
      </c>
      <c r="E1033" s="23" t="inlineStr">
        <is>
          <t>R684-v2</t>
        </is>
      </c>
      <c r="F1033" s="23" t="inlineStr">
        <is>
          <t>1.4.2 Vehicles and Depot - Depot Buildings</t>
        </is>
      </c>
      <c r="G1033" s="23" t="inlineStr">
        <is>
          <t>ONE_TO_ONE</t>
        </is>
      </c>
      <c r="H1033" s="23" t="inlineStr">
        <is>
          <t>RETAINED</t>
        </is>
      </c>
      <c r="I1033" s="23" t="inlineStr">
        <is>
          <t>Carried forward</t>
        </is>
      </c>
      <c r="J1033" s="23" t="inlineStr">
        <is>
          <t>Source assignment -- not individually reviewed</t>
        </is>
      </c>
      <c r="K1033" s="23" t="inlineStr"/>
      <c r="L1033" s="23" t="inlineStr"/>
      <c r="M1033" s="23" t="inlineStr"/>
      <c r="N1033" s="14" t="inlineStr">
        <is>
          <t>10 EVIDENCE &amp; DECISIONS</t>
        </is>
      </c>
    </row>
    <row r="1034" ht="34" customHeight="1">
      <c r="A1034" s="23" t="inlineStr">
        <is>
          <t>Contractor Programme</t>
        </is>
      </c>
      <c r="B1034" s="23" t="inlineStr">
        <is>
          <t>SCH-04-147</t>
        </is>
      </c>
      <c r="C1034" s="23" t="inlineStr">
        <is>
          <t>Receiving track: fleet software load - field start</t>
        </is>
      </c>
      <c r="D1034" s="23" t="inlineStr">
        <is>
          <t>WBS Code = 1.4.2</t>
        </is>
      </c>
      <c r="E1034" s="23" t="inlineStr">
        <is>
          <t>R687-v2</t>
        </is>
      </c>
      <c r="F1034" s="23" t="inlineStr">
        <is>
          <t>1.4.2 Vehicles and Depot - Depot Buildings</t>
        </is>
      </c>
      <c r="G1034" s="23" t="inlineStr">
        <is>
          <t>ONE_TO_ONE</t>
        </is>
      </c>
      <c r="H1034" s="23" t="inlineStr">
        <is>
          <t>RETAINED</t>
        </is>
      </c>
      <c r="I1034" s="23" t="inlineStr">
        <is>
          <t>Carried forward</t>
        </is>
      </c>
      <c r="J1034" s="23" t="inlineStr">
        <is>
          <t>Source assignment -- not individually reviewed</t>
        </is>
      </c>
      <c r="K1034" s="23" t="inlineStr"/>
      <c r="L1034" s="23" t="inlineStr"/>
      <c r="M1034" s="23" t="inlineStr"/>
      <c r="N1034" s="14" t="inlineStr">
        <is>
          <t>10 EVIDENCE &amp; DECISIONS</t>
        </is>
      </c>
    </row>
    <row r="1035" ht="34" customHeight="1">
      <c r="A1035" s="23" t="inlineStr">
        <is>
          <t>Contractor Programme</t>
        </is>
      </c>
      <c r="B1035" s="23" t="inlineStr">
        <is>
          <t>SCH-04-150</t>
        </is>
      </c>
      <c r="C1035" s="23" t="inlineStr">
        <is>
          <t>Operations building: maintenance-bay services - turnover</t>
        </is>
      </c>
      <c r="D1035" s="23" t="inlineStr">
        <is>
          <t>WBS Code = 1.4.2</t>
        </is>
      </c>
      <c r="E1035" s="23" t="inlineStr">
        <is>
          <t>R690-v2</t>
        </is>
      </c>
      <c r="F1035" s="23" t="inlineStr">
        <is>
          <t>1.4.2 Vehicles and Depot - Depot Buildings</t>
        </is>
      </c>
      <c r="G1035" s="23" t="inlineStr">
        <is>
          <t>ONE_TO_ONE</t>
        </is>
      </c>
      <c r="H1035" s="23" t="inlineStr">
        <is>
          <t>RETAINED</t>
        </is>
      </c>
      <c r="I1035" s="23" t="inlineStr">
        <is>
          <t>Carried forward</t>
        </is>
      </c>
      <c r="J1035" s="23" t="inlineStr">
        <is>
          <t>Source assignment -- not individually reviewed</t>
        </is>
      </c>
      <c r="K1035" s="23" t="inlineStr"/>
      <c r="L1035" s="23" t="inlineStr"/>
      <c r="M1035" s="23" t="inlineStr"/>
      <c r="N1035" s="14" t="inlineStr">
        <is>
          <t>10 EVIDENCE &amp; DECISIONS</t>
        </is>
      </c>
    </row>
    <row r="1036" ht="34" customHeight="1">
      <c r="A1036" s="23" t="inlineStr">
        <is>
          <t>Contractor Programme</t>
        </is>
      </c>
      <c r="B1036" s="23" t="inlineStr">
        <is>
          <t>SCH-04-153</t>
        </is>
      </c>
      <c r="C1036" s="23" t="inlineStr">
        <is>
          <t>Maintenance shop: vehicle-to-depot interface check - installation</t>
        </is>
      </c>
      <c r="D1036" s="23" t="inlineStr">
        <is>
          <t>WBS Code = 1.4.2</t>
        </is>
      </c>
      <c r="E1036" s="23" t="inlineStr">
        <is>
          <t>R693-v2</t>
        </is>
      </c>
      <c r="F1036" s="23" t="inlineStr">
        <is>
          <t>1.4.2 Vehicles and Depot - Depot Buildings</t>
        </is>
      </c>
      <c r="G1036" s="23" t="inlineStr">
        <is>
          <t>ONE_TO_ONE</t>
        </is>
      </c>
      <c r="H1036" s="23" t="inlineStr">
        <is>
          <t>RETAINED</t>
        </is>
      </c>
      <c r="I1036" s="23" t="inlineStr">
        <is>
          <t>Carried forward</t>
        </is>
      </c>
      <c r="J1036" s="23" t="inlineStr">
        <is>
          <t>Source assignment -- not individually reviewed</t>
        </is>
      </c>
      <c r="K1036" s="23" t="inlineStr"/>
      <c r="L1036" s="23" t="inlineStr"/>
      <c r="M1036" s="23" t="inlineStr"/>
      <c r="N1036" s="14" t="inlineStr">
        <is>
          <t>10 EVIDENCE &amp; DECISIONS</t>
        </is>
      </c>
    </row>
    <row r="1037" ht="34" customHeight="1">
      <c r="A1037" s="23" t="inlineStr">
        <is>
          <t>Contractor Programme</t>
        </is>
      </c>
      <c r="B1037" s="23" t="inlineStr">
        <is>
          <t>SCH-04-156</t>
        </is>
      </c>
      <c r="C1037" s="23" t="inlineStr">
        <is>
          <t>Test track: vehicle delivery inspection - release</t>
        </is>
      </c>
      <c r="D1037" s="23" t="inlineStr">
        <is>
          <t>WBS Code = 1.4.2</t>
        </is>
      </c>
      <c r="E1037" s="23" t="inlineStr">
        <is>
          <t>R696-v2</t>
        </is>
      </c>
      <c r="F1037" s="23" t="inlineStr">
        <is>
          <t>1.4.2 Vehicles and Depot - Depot Buildings</t>
        </is>
      </c>
      <c r="G1037" s="23" t="inlineStr">
        <is>
          <t>ONE_TO_ONE</t>
        </is>
      </c>
      <c r="H1037" s="23" t="inlineStr">
        <is>
          <t>RETAINED</t>
        </is>
      </c>
      <c r="I1037" s="23" t="inlineStr">
        <is>
          <t>Carried forward</t>
        </is>
      </c>
      <c r="J1037" s="23" t="inlineStr">
        <is>
          <t>Source assignment -- not individually reviewed</t>
        </is>
      </c>
      <c r="K1037" s="23" t="inlineStr"/>
      <c r="L1037" s="23" t="inlineStr"/>
      <c r="M1037" s="23" t="inlineStr"/>
      <c r="N1037" s="14" t="inlineStr">
        <is>
          <t>10 EVIDENCE &amp; DECISIONS</t>
        </is>
      </c>
    </row>
    <row r="1038" ht="34" customHeight="1">
      <c r="A1038" s="23" t="inlineStr">
        <is>
          <t>Contractor Programme</t>
        </is>
      </c>
      <c r="B1038" s="23" t="inlineStr">
        <is>
          <t>SCH-04-159</t>
        </is>
      </c>
      <c r="C1038" s="23" t="inlineStr">
        <is>
          <t>Storage yard: depot structural fit-out - inspection</t>
        </is>
      </c>
      <c r="D1038" s="23" t="inlineStr">
        <is>
          <t>WBS Code = 1.4.2</t>
        </is>
      </c>
      <c r="E1038" s="23" t="inlineStr">
        <is>
          <t>R699-v2</t>
        </is>
      </c>
      <c r="F1038" s="23" t="inlineStr">
        <is>
          <t>1.4.2 Vehicles and Depot - Depot Buildings</t>
        </is>
      </c>
      <c r="G1038" s="23" t="inlineStr">
        <is>
          <t>ONE_TO_ONE</t>
        </is>
      </c>
      <c r="H1038" s="23" t="inlineStr">
        <is>
          <t>RETAINED</t>
        </is>
      </c>
      <c r="I1038" s="23" t="inlineStr">
        <is>
          <t>Carried forward</t>
        </is>
      </c>
      <c r="J1038" s="23" t="inlineStr">
        <is>
          <t>Source assignment -- not individually reviewed</t>
        </is>
      </c>
      <c r="K1038" s="23" t="inlineStr"/>
      <c r="L1038" s="23" t="inlineStr"/>
      <c r="M1038" s="23" t="inlineStr"/>
      <c r="N1038" s="14" t="inlineStr">
        <is>
          <t>10 EVIDENCE &amp; DECISIONS</t>
        </is>
      </c>
    </row>
    <row r="1039" ht="34" customHeight="1">
      <c r="A1039" s="23" t="inlineStr">
        <is>
          <t>Contractor Programme</t>
        </is>
      </c>
      <c r="B1039" s="23" t="inlineStr">
        <is>
          <t>SCH-04-162</t>
        </is>
      </c>
      <c r="C1039" s="23" t="inlineStr">
        <is>
          <t>Receiving track: wheel-lathe installation - field start</t>
        </is>
      </c>
      <c r="D1039" s="23" t="inlineStr">
        <is>
          <t>WBS Code = 1.4.2</t>
        </is>
      </c>
      <c r="E1039" s="23" t="inlineStr">
        <is>
          <t>R702-v2</t>
        </is>
      </c>
      <c r="F1039" s="23" t="inlineStr">
        <is>
          <t>1.4.2 Vehicles and Depot - Depot Buildings</t>
        </is>
      </c>
      <c r="G1039" s="23" t="inlineStr">
        <is>
          <t>ONE_TO_ONE</t>
        </is>
      </c>
      <c r="H1039" s="23" t="inlineStr">
        <is>
          <t>RETAINED</t>
        </is>
      </c>
      <c r="I1039" s="23" t="inlineStr">
        <is>
          <t>Carried forward</t>
        </is>
      </c>
      <c r="J1039" s="23" t="inlineStr">
        <is>
          <t>Source assignment -- not individually reviewed</t>
        </is>
      </c>
      <c r="K1039" s="23" t="inlineStr"/>
      <c r="L1039" s="23" t="inlineStr"/>
      <c r="M1039" s="23" t="inlineStr"/>
      <c r="N1039" s="14" t="inlineStr">
        <is>
          <t>10 EVIDENCE &amp; DECISIONS</t>
        </is>
      </c>
    </row>
    <row r="1040" ht="34" customHeight="1">
      <c r="A1040" s="23" t="inlineStr">
        <is>
          <t>Contractor Programme</t>
        </is>
      </c>
      <c r="B1040" s="23" t="inlineStr">
        <is>
          <t>SCH-04-165</t>
        </is>
      </c>
      <c r="C1040" s="23" t="inlineStr">
        <is>
          <t>Operations building: wash-plant commissioning - turnover</t>
        </is>
      </c>
      <c r="D1040" s="23" t="inlineStr">
        <is>
          <t>WBS Code = 1.4.2</t>
        </is>
      </c>
      <c r="E1040" s="23" t="inlineStr">
        <is>
          <t>R705-v2</t>
        </is>
      </c>
      <c r="F1040" s="23" t="inlineStr">
        <is>
          <t>1.4.2 Vehicles and Depot - Depot Buildings</t>
        </is>
      </c>
      <c r="G1040" s="23" t="inlineStr">
        <is>
          <t>ONE_TO_ONE</t>
        </is>
      </c>
      <c r="H1040" s="23" t="inlineStr">
        <is>
          <t>RETAINED</t>
        </is>
      </c>
      <c r="I1040" s="23" t="inlineStr">
        <is>
          <t>Carried forward</t>
        </is>
      </c>
      <c r="J1040" s="23" t="inlineStr">
        <is>
          <t>Source assignment -- not individually reviewed</t>
        </is>
      </c>
      <c r="K1040" s="23" t="inlineStr"/>
      <c r="L1040" s="23" t="inlineStr"/>
      <c r="M1040" s="23" t="inlineStr"/>
      <c r="N1040" s="14" t="inlineStr">
        <is>
          <t>10 EVIDENCE &amp; DECISIONS</t>
        </is>
      </c>
    </row>
    <row r="1041" ht="34" customHeight="1">
      <c r="A1041" s="23" t="inlineStr">
        <is>
          <t>Contractor Programme</t>
        </is>
      </c>
      <c r="B1041" s="23" t="inlineStr">
        <is>
          <t>SCH-04-168</t>
        </is>
      </c>
      <c r="C1041" s="23" t="inlineStr">
        <is>
          <t>Maintenance shop: workshop crane installation - installation</t>
        </is>
      </c>
      <c r="D1041" s="23" t="inlineStr">
        <is>
          <t>WBS Code = 1.4.2</t>
        </is>
      </c>
      <c r="E1041" s="23" t="inlineStr">
        <is>
          <t>R708-v2</t>
        </is>
      </c>
      <c r="F1041" s="23" t="inlineStr">
        <is>
          <t>1.4.2 Vehicles and Depot - Depot Buildings</t>
        </is>
      </c>
      <c r="G1041" s="23" t="inlineStr">
        <is>
          <t>ONE_TO_ONE</t>
        </is>
      </c>
      <c r="H1041" s="23" t="inlineStr">
        <is>
          <t>RETAINED</t>
        </is>
      </c>
      <c r="I1041" s="23" t="inlineStr">
        <is>
          <t>Carried forward</t>
        </is>
      </c>
      <c r="J1041" s="23" t="inlineStr">
        <is>
          <t>Source assignment -- not individually reviewed</t>
        </is>
      </c>
      <c r="K1041" s="23" t="inlineStr"/>
      <c r="L1041" s="23" t="inlineStr"/>
      <c r="M1041" s="23" t="inlineStr"/>
      <c r="N1041" s="14" t="inlineStr">
        <is>
          <t>10 EVIDENCE &amp; DECISIONS</t>
        </is>
      </c>
    </row>
    <row r="1042" ht="34" customHeight="1">
      <c r="A1042" s="23" t="inlineStr">
        <is>
          <t>Contractor Programme</t>
        </is>
      </c>
      <c r="B1042" s="23" t="inlineStr">
        <is>
          <t>SCH-04-171</t>
        </is>
      </c>
      <c r="C1042" s="23" t="inlineStr">
        <is>
          <t>Test track: fleet software load - release</t>
        </is>
      </c>
      <c r="D1042" s="23" t="inlineStr">
        <is>
          <t>WBS Code = 1.4.2</t>
        </is>
      </c>
      <c r="E1042" s="23" t="inlineStr">
        <is>
          <t>R711-v2</t>
        </is>
      </c>
      <c r="F1042" s="23" t="inlineStr">
        <is>
          <t>1.4.2 Vehicles and Depot - Depot Buildings</t>
        </is>
      </c>
      <c r="G1042" s="23" t="inlineStr">
        <is>
          <t>ONE_TO_ONE</t>
        </is>
      </c>
      <c r="H1042" s="23" t="inlineStr">
        <is>
          <t>RETAINED</t>
        </is>
      </c>
      <c r="I1042" s="23" t="inlineStr">
        <is>
          <t>Carried forward</t>
        </is>
      </c>
      <c r="J1042" s="23" t="inlineStr">
        <is>
          <t>Source assignment -- not individually reviewed</t>
        </is>
      </c>
      <c r="K1042" s="23" t="inlineStr"/>
      <c r="L1042" s="23" t="inlineStr"/>
      <c r="M1042" s="23" t="inlineStr"/>
      <c r="N1042" s="14" t="inlineStr">
        <is>
          <t>10 EVIDENCE &amp; DECISIONS</t>
        </is>
      </c>
    </row>
    <row r="1043" ht="34" customHeight="1">
      <c r="A1043" s="23" t="inlineStr">
        <is>
          <t>Contractor Programme</t>
        </is>
      </c>
      <c r="B1043" s="23" t="inlineStr">
        <is>
          <t>SCH-04-174</t>
        </is>
      </c>
      <c r="C1043" s="23" t="inlineStr">
        <is>
          <t>Storage yard: maintenance-bay services - inspection</t>
        </is>
      </c>
      <c r="D1043" s="23" t="inlineStr">
        <is>
          <t>WBS Code = 1.4.2</t>
        </is>
      </c>
      <c r="E1043" s="23" t="inlineStr">
        <is>
          <t>R714-v2</t>
        </is>
      </c>
      <c r="F1043" s="23" t="inlineStr">
        <is>
          <t>1.4.2 Vehicles and Depot - Depot Buildings</t>
        </is>
      </c>
      <c r="G1043" s="23" t="inlineStr">
        <is>
          <t>ONE_TO_ONE</t>
        </is>
      </c>
      <c r="H1043" s="23" t="inlineStr">
        <is>
          <t>RETAINED</t>
        </is>
      </c>
      <c r="I1043" s="23" t="inlineStr">
        <is>
          <t>Carried forward</t>
        </is>
      </c>
      <c r="J1043" s="23" t="inlineStr">
        <is>
          <t>Source assignment -- not individually reviewed</t>
        </is>
      </c>
      <c r="K1043" s="23" t="inlineStr"/>
      <c r="L1043" s="23" t="inlineStr"/>
      <c r="M1043" s="23" t="inlineStr"/>
      <c r="N1043" s="14" t="inlineStr">
        <is>
          <t>10 EVIDENCE &amp; DECISIONS</t>
        </is>
      </c>
    </row>
    <row r="1044" ht="34" customHeight="1">
      <c r="A1044" s="23" t="inlineStr">
        <is>
          <t>Contractor Programme</t>
        </is>
      </c>
      <c r="B1044" s="23" t="inlineStr">
        <is>
          <t>SCH-04-177</t>
        </is>
      </c>
      <c r="C1044" s="23" t="inlineStr">
        <is>
          <t>Receiving track: vehicle-to-depot interface check - field start</t>
        </is>
      </c>
      <c r="D1044" s="23" t="inlineStr">
        <is>
          <t>WBS Code = 1.4.2</t>
        </is>
      </c>
      <c r="E1044" s="23" t="inlineStr">
        <is>
          <t>R717-v2</t>
        </is>
      </c>
      <c r="F1044" s="23" t="inlineStr">
        <is>
          <t>1.4.2 Vehicles and Depot - Depot Buildings</t>
        </is>
      </c>
      <c r="G1044" s="23" t="inlineStr">
        <is>
          <t>ONE_TO_ONE</t>
        </is>
      </c>
      <c r="H1044" s="23" t="inlineStr">
        <is>
          <t>RETAINED</t>
        </is>
      </c>
      <c r="I1044" s="23" t="inlineStr">
        <is>
          <t>Carried forward</t>
        </is>
      </c>
      <c r="J1044" s="23" t="inlineStr">
        <is>
          <t>Source assignment -- not individually reviewed</t>
        </is>
      </c>
      <c r="K1044" s="23" t="inlineStr"/>
      <c r="L1044" s="23" t="inlineStr"/>
      <c r="M1044" s="23" t="inlineStr"/>
      <c r="N1044" s="14" t="inlineStr">
        <is>
          <t>10 EVIDENCE &amp; DECISIONS</t>
        </is>
      </c>
    </row>
    <row r="1045" ht="34" customHeight="1">
      <c r="A1045" s="23" t="inlineStr">
        <is>
          <t>Contractor Programme</t>
        </is>
      </c>
      <c r="B1045" s="23" t="inlineStr">
        <is>
          <t>SCH-04-180</t>
        </is>
      </c>
      <c r="C1045" s="23" t="inlineStr">
        <is>
          <t>Operations building: vehicle delivery inspection - turnover</t>
        </is>
      </c>
      <c r="D1045" s="23" t="inlineStr">
        <is>
          <t>WBS Code = 1.4.2</t>
        </is>
      </c>
      <c r="E1045" s="23" t="inlineStr">
        <is>
          <t>R720-v2</t>
        </is>
      </c>
      <c r="F1045" s="23" t="inlineStr">
        <is>
          <t>1.4.2 Vehicles and Depot - Depot Buildings</t>
        </is>
      </c>
      <c r="G1045" s="23" t="inlineStr">
        <is>
          <t>ONE_TO_ONE</t>
        </is>
      </c>
      <c r="H1045" s="23" t="inlineStr">
        <is>
          <t>RETAINED</t>
        </is>
      </c>
      <c r="I1045" s="23" t="inlineStr">
        <is>
          <t>Carried forward</t>
        </is>
      </c>
      <c r="J1045" s="23" t="inlineStr">
        <is>
          <t>Source assignment -- not individually reviewed</t>
        </is>
      </c>
      <c r="K1045" s="23" t="inlineStr"/>
      <c r="L1045" s="23" t="inlineStr"/>
      <c r="M1045" s="23" t="inlineStr"/>
      <c r="N1045" s="14" t="inlineStr">
        <is>
          <t>10 EVIDENCE &amp; DECISIONS</t>
        </is>
      </c>
    </row>
    <row r="1046" ht="34" customHeight="1">
      <c r="A1046" s="23" t="inlineStr">
        <is>
          <t>Cost &amp; Forecast Control Accounts</t>
        </is>
      </c>
      <c r="B1046" s="23" t="inlineStr">
        <is>
          <t>CST-04-002</t>
        </is>
      </c>
      <c r="C1046" s="23" t="inlineStr">
        <is>
          <t>Vehicles and Depot - workshop equipment - supply and install</t>
        </is>
      </c>
      <c r="D1046" s="23" t="inlineStr">
        <is>
          <t>Cost Account = CA-4002; WBS Code = 1.4.2</t>
        </is>
      </c>
      <c r="E1046" s="23" t="inlineStr">
        <is>
          <t>R1324-v2</t>
        </is>
      </c>
      <c r="F1046" s="23" t="inlineStr">
        <is>
          <t>1.4.2 Vehicles and Depot - Depot Buildings</t>
        </is>
      </c>
      <c r="G1046" s="23" t="inlineStr">
        <is>
          <t>ONE_TO_ONE</t>
        </is>
      </c>
      <c r="H1046" s="23" t="inlineStr">
        <is>
          <t>RETAINED</t>
        </is>
      </c>
      <c r="I1046" s="23" t="inlineStr">
        <is>
          <t>Carried forward</t>
        </is>
      </c>
      <c r="J1046" s="23" t="inlineStr">
        <is>
          <t>Source assignment -- not individually reviewed</t>
        </is>
      </c>
      <c r="K1046" s="23" t="inlineStr"/>
      <c r="L1046" s="23" t="inlineStr"/>
      <c r="M1046" s="23" t="inlineStr"/>
      <c r="N1046" s="14" t="inlineStr">
        <is>
          <t>10 EVIDENCE &amp; DECISIONS</t>
        </is>
      </c>
    </row>
    <row r="1047" ht="34" customHeight="1">
      <c r="A1047" s="23" t="inlineStr">
        <is>
          <t>Cost &amp; Forecast Control Accounts</t>
        </is>
      </c>
      <c r="B1047" s="23" t="inlineStr">
        <is>
          <t>CST-04-004</t>
        </is>
      </c>
      <c r="C1047" s="23" t="inlineStr">
        <is>
          <t>Vehicles and Depot - fleet supply - allowance</t>
        </is>
      </c>
      <c r="D1047" s="23" t="inlineStr">
        <is>
          <t>Cost Account = CA-4004; WBS Code = 1.4.2</t>
        </is>
      </c>
      <c r="E1047" s="23" t="inlineStr">
        <is>
          <t>R1326-v2</t>
        </is>
      </c>
      <c r="F1047" s="23" t="inlineStr">
        <is>
          <t>1.4.2 Vehicles and Depot - Depot Buildings</t>
        </is>
      </c>
      <c r="G1047" s="23" t="inlineStr">
        <is>
          <t>ONE_TO_ONE</t>
        </is>
      </c>
      <c r="H1047" s="23" t="inlineStr">
        <is>
          <t>RETAINED</t>
        </is>
      </c>
      <c r="I1047" s="23" t="inlineStr">
        <is>
          <t>Carried forward</t>
        </is>
      </c>
      <c r="J1047" s="23" t="inlineStr">
        <is>
          <t>Source assignment -- not individually reviewed</t>
        </is>
      </c>
      <c r="K1047" s="23" t="inlineStr"/>
      <c r="L1047" s="23" t="inlineStr"/>
      <c r="M1047" s="23" t="inlineStr"/>
      <c r="N1047" s="14" t="inlineStr">
        <is>
          <t>10 EVIDENCE &amp; DECISIONS</t>
        </is>
      </c>
    </row>
    <row r="1048" ht="34" customHeight="1">
      <c r="A1048" s="23" t="inlineStr">
        <is>
          <t>Cost &amp; Forecast Control Accounts</t>
        </is>
      </c>
      <c r="B1048" s="23" t="inlineStr">
        <is>
          <t>CST-04-006</t>
        </is>
      </c>
      <c r="C1048" s="23" t="inlineStr">
        <is>
          <t>Vehicles and Depot - spares - field package</t>
        </is>
      </c>
      <c r="D1048" s="23" t="inlineStr">
        <is>
          <t>Cost Account = CA-4006; WBS Code = 1.4.2</t>
        </is>
      </c>
      <c r="E1048" s="23" t="inlineStr">
        <is>
          <t>R1328-v2</t>
        </is>
      </c>
      <c r="F1048" s="23" t="inlineStr">
        <is>
          <t>1.4.2 Vehicles and Depot - Depot Buildings</t>
        </is>
      </c>
      <c r="G1048" s="23" t="inlineStr">
        <is>
          <t>ONE_TO_ONE</t>
        </is>
      </c>
      <c r="H1048" s="23" t="inlineStr">
        <is>
          <t>RETAINED</t>
        </is>
      </c>
      <c r="I1048" s="23" t="inlineStr">
        <is>
          <t>Carried forward</t>
        </is>
      </c>
      <c r="J1048" s="23" t="inlineStr">
        <is>
          <t>Source assignment -- not individually reviewed</t>
        </is>
      </c>
      <c r="K1048" s="23" t="inlineStr"/>
      <c r="L1048" s="23" t="inlineStr"/>
      <c r="M1048" s="23" t="inlineStr"/>
      <c r="N1048" s="14" t="inlineStr">
        <is>
          <t>10 EVIDENCE &amp; DECISIONS</t>
        </is>
      </c>
    </row>
    <row r="1049" ht="34" customHeight="1">
      <c r="A1049" s="23" t="inlineStr">
        <is>
          <t>Cost &amp; Forecast Control Accounts</t>
        </is>
      </c>
      <c r="B1049" s="23" t="inlineStr">
        <is>
          <t>CST-04-008</t>
        </is>
      </c>
      <c r="C1049" s="23" t="inlineStr">
        <is>
          <t>Vehicles and Depot - workshop equipment - professional services</t>
        </is>
      </c>
      <c r="D1049" s="23" t="inlineStr">
        <is>
          <t>Cost Account = CA-4008; WBS Code = 1.4.2</t>
        </is>
      </c>
      <c r="E1049" s="23" t="inlineStr">
        <is>
          <t>R1330-v2</t>
        </is>
      </c>
      <c r="F1049" s="23" t="inlineStr">
        <is>
          <t>1.4.2 Vehicles and Depot - Depot Buildings</t>
        </is>
      </c>
      <c r="G1049" s="23" t="inlineStr">
        <is>
          <t>ONE_TO_ONE</t>
        </is>
      </c>
      <c r="H1049" s="23" t="inlineStr">
        <is>
          <t>RETAINED</t>
        </is>
      </c>
      <c r="I1049" s="23" t="inlineStr">
        <is>
          <t>Carried forward</t>
        </is>
      </c>
      <c r="J1049" s="23" t="inlineStr">
        <is>
          <t>Source assignment -- not individually reviewed</t>
        </is>
      </c>
      <c r="K1049" s="23" t="inlineStr"/>
      <c r="L1049" s="23" t="inlineStr"/>
      <c r="M1049" s="23" t="inlineStr"/>
      <c r="N1049" s="14" t="inlineStr">
        <is>
          <t>10 EVIDENCE &amp; DECISIONS</t>
        </is>
      </c>
    </row>
    <row r="1050" ht="34" customHeight="1">
      <c r="A1050" s="23" t="inlineStr">
        <is>
          <t>Cost &amp; Forecast Control Accounts</t>
        </is>
      </c>
      <c r="B1050" s="23" t="inlineStr">
        <is>
          <t>CST-04-010</t>
        </is>
      </c>
      <c r="C1050" s="23" t="inlineStr">
        <is>
          <t>Vehicles and Depot - fleet supply - closeout</t>
        </is>
      </c>
      <c r="D1050" s="23" t="inlineStr">
        <is>
          <t>Cost Account = CA-4010; WBS Code = 1.4.2</t>
        </is>
      </c>
      <c r="E1050" s="23" t="inlineStr">
        <is>
          <t>R1332-v2</t>
        </is>
      </c>
      <c r="F1050" s="23" t="inlineStr">
        <is>
          <t>1.4.2 Vehicles and Depot - Depot Buildings</t>
        </is>
      </c>
      <c r="G1050" s="23" t="inlineStr">
        <is>
          <t>ONE_TO_ONE</t>
        </is>
      </c>
      <c r="H1050" s="23" t="inlineStr">
        <is>
          <t>RETAINED</t>
        </is>
      </c>
      <c r="I1050" s="23" t="inlineStr">
        <is>
          <t>Carried forward</t>
        </is>
      </c>
      <c r="J1050" s="23" t="inlineStr">
        <is>
          <t>Source assignment -- not individually reviewed</t>
        </is>
      </c>
      <c r="K1050" s="23" t="inlineStr"/>
      <c r="L1050" s="23" t="inlineStr"/>
      <c r="M1050" s="23" t="inlineStr"/>
      <c r="N1050" s="14" t="inlineStr">
        <is>
          <t>10 EVIDENCE &amp; DECISIONS</t>
        </is>
      </c>
    </row>
    <row r="1051" ht="34" customHeight="1">
      <c r="A1051" s="23" t="inlineStr">
        <is>
          <t>Cost &amp; Forecast Control Accounts</t>
        </is>
      </c>
      <c r="B1051" s="23" t="inlineStr">
        <is>
          <t>CST-04-012</t>
        </is>
      </c>
      <c r="C1051" s="23" t="inlineStr">
        <is>
          <t>Vehicles and Depot - spares - supply and install</t>
        </is>
      </c>
      <c r="D1051" s="23" t="inlineStr">
        <is>
          <t>Cost Account = CA-4012; WBS Code = 1.4.2</t>
        </is>
      </c>
      <c r="E1051" s="23" t="inlineStr">
        <is>
          <t>R1334-v2</t>
        </is>
      </c>
      <c r="F1051" s="23" t="inlineStr">
        <is>
          <t>1.4.2 Vehicles and Depot - Depot Buildings</t>
        </is>
      </c>
      <c r="G1051" s="23" t="inlineStr">
        <is>
          <t>ONE_TO_ONE</t>
        </is>
      </c>
      <c r="H1051" s="23" t="inlineStr">
        <is>
          <t>RETAINED</t>
        </is>
      </c>
      <c r="I1051" s="23" t="inlineStr">
        <is>
          <t>Carried forward</t>
        </is>
      </c>
      <c r="J1051" s="23" t="inlineStr">
        <is>
          <t>Source assignment -- not individually reviewed</t>
        </is>
      </c>
      <c r="K1051" s="23" t="inlineStr"/>
      <c r="L1051" s="23" t="inlineStr"/>
      <c r="M1051" s="23" t="inlineStr"/>
      <c r="N1051" s="14" t="inlineStr">
        <is>
          <t>10 EVIDENCE &amp; DECISIONS</t>
        </is>
      </c>
    </row>
    <row r="1052" ht="34" customHeight="1">
      <c r="A1052" s="23" t="inlineStr">
        <is>
          <t>Cost &amp; Forecast Control Accounts</t>
        </is>
      </c>
      <c r="B1052" s="23" t="inlineStr">
        <is>
          <t>CST-04-014</t>
        </is>
      </c>
      <c r="C1052" s="23" t="inlineStr">
        <is>
          <t>Vehicles and Depot - workshop equipment - allowance</t>
        </is>
      </c>
      <c r="D1052" s="23" t="inlineStr">
        <is>
          <t>Cost Account = CA-4014; WBS Code = 1.4.2</t>
        </is>
      </c>
      <c r="E1052" s="23" t="inlineStr">
        <is>
          <t>R1336-v2</t>
        </is>
      </c>
      <c r="F1052" s="23" t="inlineStr">
        <is>
          <t>1.4.2 Vehicles and Depot - Depot Buildings</t>
        </is>
      </c>
      <c r="G1052" s="23" t="inlineStr">
        <is>
          <t>ONE_TO_ONE</t>
        </is>
      </c>
      <c r="H1052" s="23" t="inlineStr">
        <is>
          <t>RETAINED</t>
        </is>
      </c>
      <c r="I1052" s="23" t="inlineStr">
        <is>
          <t>Carried forward</t>
        </is>
      </c>
      <c r="J1052" s="23" t="inlineStr">
        <is>
          <t>Source assignment -- not individually reviewed</t>
        </is>
      </c>
      <c r="K1052" s="23" t="inlineStr"/>
      <c r="L1052" s="23" t="inlineStr"/>
      <c r="M1052" s="23" t="inlineStr"/>
      <c r="N1052" s="14" t="inlineStr">
        <is>
          <t>10 EVIDENCE &amp; DECISIONS</t>
        </is>
      </c>
    </row>
    <row r="1053" ht="34" customHeight="1">
      <c r="A1053" s="23" t="inlineStr">
        <is>
          <t>Cost &amp; Forecast Control Accounts</t>
        </is>
      </c>
      <c r="B1053" s="23" t="inlineStr">
        <is>
          <t>CST-04-016</t>
        </is>
      </c>
      <c r="C1053" s="23" t="inlineStr">
        <is>
          <t>Vehicles and Depot - fleet supply - field package</t>
        </is>
      </c>
      <c r="D1053" s="23" t="inlineStr">
        <is>
          <t>Cost Account = CA-4016; WBS Code = 1.4.2</t>
        </is>
      </c>
      <c r="E1053" s="23" t="inlineStr">
        <is>
          <t>R1338-v2</t>
        </is>
      </c>
      <c r="F1053" s="23" t="inlineStr">
        <is>
          <t>1.4.2 Vehicles and Depot - Depot Buildings</t>
        </is>
      </c>
      <c r="G1053" s="23" t="inlineStr">
        <is>
          <t>ONE_TO_ONE</t>
        </is>
      </c>
      <c r="H1053" s="23" t="inlineStr">
        <is>
          <t>RETAINED</t>
        </is>
      </c>
      <c r="I1053" s="23" t="inlineStr">
        <is>
          <t>Carried forward</t>
        </is>
      </c>
      <c r="J1053" s="23" t="inlineStr">
        <is>
          <t>Source assignment -- not individually reviewed</t>
        </is>
      </c>
      <c r="K1053" s="23" t="inlineStr"/>
      <c r="L1053" s="23" t="inlineStr"/>
      <c r="M1053" s="23" t="inlineStr"/>
      <c r="N1053" s="14" t="inlineStr">
        <is>
          <t>10 EVIDENCE &amp; DECISIONS</t>
        </is>
      </c>
    </row>
    <row r="1054" ht="34" customHeight="1">
      <c r="A1054" s="23" t="inlineStr">
        <is>
          <t>Cost &amp; Forecast Control Accounts</t>
        </is>
      </c>
      <c r="B1054" s="23" t="inlineStr">
        <is>
          <t>CST-04-018</t>
        </is>
      </c>
      <c r="C1054" s="23" t="inlineStr">
        <is>
          <t>Vehicles and Depot - spares - professional services</t>
        </is>
      </c>
      <c r="D1054" s="23" t="inlineStr">
        <is>
          <t>Cost Account = CA-4018; WBS Code = 1.4.2</t>
        </is>
      </c>
      <c r="E1054" s="23" t="inlineStr">
        <is>
          <t>R1340-v2</t>
        </is>
      </c>
      <c r="F1054" s="23" t="inlineStr">
        <is>
          <t>1.4.2 Vehicles and Depot - Depot Buildings</t>
        </is>
      </c>
      <c r="G1054" s="23" t="inlineStr">
        <is>
          <t>ONE_TO_ONE</t>
        </is>
      </c>
      <c r="H1054" s="23" t="inlineStr">
        <is>
          <t>RETAINED</t>
        </is>
      </c>
      <c r="I1054" s="23" t="inlineStr">
        <is>
          <t>Carried forward</t>
        </is>
      </c>
      <c r="J1054" s="23" t="inlineStr">
        <is>
          <t>Source assignment -- not individually reviewed</t>
        </is>
      </c>
      <c r="K1054" s="23" t="inlineStr"/>
      <c r="L1054" s="23" t="inlineStr"/>
      <c r="M1054" s="23" t="inlineStr"/>
      <c r="N1054" s="14" t="inlineStr">
        <is>
          <t>10 EVIDENCE &amp; DECISIONS</t>
        </is>
      </c>
    </row>
    <row r="1055" ht="34" customHeight="1">
      <c r="A1055" s="23" t="inlineStr">
        <is>
          <t>Cost &amp; Forecast Control Accounts</t>
        </is>
      </c>
      <c r="B1055" s="23" t="inlineStr">
        <is>
          <t>CST-04-020</t>
        </is>
      </c>
      <c r="C1055" s="23" t="inlineStr">
        <is>
          <t>Vehicles and Depot - workshop equipment - closeout</t>
        </is>
      </c>
      <c r="D1055" s="23" t="inlineStr">
        <is>
          <t>Cost Account = CA-4020; WBS Code = 1.4.2</t>
        </is>
      </c>
      <c r="E1055" s="23" t="inlineStr">
        <is>
          <t>R1342-v2</t>
        </is>
      </c>
      <c r="F1055" s="23" t="inlineStr">
        <is>
          <t>1.4.2 Vehicles and Depot - Depot Buildings</t>
        </is>
      </c>
      <c r="G1055" s="23" t="inlineStr">
        <is>
          <t>ONE_TO_ONE</t>
        </is>
      </c>
      <c r="H1055" s="23" t="inlineStr">
        <is>
          <t>RETAINED</t>
        </is>
      </c>
      <c r="I1055" s="23" t="inlineStr">
        <is>
          <t>Carried forward</t>
        </is>
      </c>
      <c r="J1055" s="23" t="inlineStr">
        <is>
          <t>Source assignment -- not individually reviewed</t>
        </is>
      </c>
      <c r="K1055" s="23" t="inlineStr"/>
      <c r="L1055" s="23" t="inlineStr"/>
      <c r="M1055" s="23" t="inlineStr"/>
      <c r="N1055" s="14" t="inlineStr">
        <is>
          <t>10 EVIDENCE &amp; DECISIONS</t>
        </is>
      </c>
    </row>
    <row r="1056" ht="34" customHeight="1">
      <c r="A1056" s="23" t="inlineStr">
        <is>
          <t>Cost &amp; Forecast Control Accounts</t>
        </is>
      </c>
      <c r="B1056" s="23" t="inlineStr">
        <is>
          <t>CST-04-022</t>
        </is>
      </c>
      <c r="C1056" s="23" t="inlineStr">
        <is>
          <t>Vehicles and Depot - fleet supply - supply and install</t>
        </is>
      </c>
      <c r="D1056" s="23" t="inlineStr">
        <is>
          <t>Cost Account = CA-4022; WBS Code = 1.4.2</t>
        </is>
      </c>
      <c r="E1056" s="23" t="inlineStr">
        <is>
          <t>R1344-v2</t>
        </is>
      </c>
      <c r="F1056" s="23" t="inlineStr">
        <is>
          <t>1.4.2 Vehicles and Depot - Depot Buildings</t>
        </is>
      </c>
      <c r="G1056" s="23" t="inlineStr">
        <is>
          <t>ONE_TO_ONE</t>
        </is>
      </c>
      <c r="H1056" s="23" t="inlineStr">
        <is>
          <t>RETAINED</t>
        </is>
      </c>
      <c r="I1056" s="23" t="inlineStr">
        <is>
          <t>Carried forward</t>
        </is>
      </c>
      <c r="J1056" s="23" t="inlineStr">
        <is>
          <t>Source assignment -- not individually reviewed</t>
        </is>
      </c>
      <c r="K1056" s="23" t="inlineStr"/>
      <c r="L1056" s="23" t="inlineStr"/>
      <c r="M1056" s="23" t="inlineStr"/>
      <c r="N1056" s="14" t="inlineStr">
        <is>
          <t>10 EVIDENCE &amp; DECISIONS</t>
        </is>
      </c>
    </row>
    <row r="1057" ht="34" customHeight="1">
      <c r="A1057" s="23" t="inlineStr">
        <is>
          <t>Cost &amp; Forecast Control Accounts</t>
        </is>
      </c>
      <c r="B1057" s="23" t="inlineStr">
        <is>
          <t>CST-04-024</t>
        </is>
      </c>
      <c r="C1057" s="23" t="inlineStr">
        <is>
          <t>Vehicles and Depot - spares - allowance</t>
        </is>
      </c>
      <c r="D1057" s="23" t="inlineStr">
        <is>
          <t>Cost Account = CA-4024; WBS Code = 1.4.2</t>
        </is>
      </c>
      <c r="E1057" s="23" t="inlineStr">
        <is>
          <t>R1346-v2</t>
        </is>
      </c>
      <c r="F1057" s="23" t="inlineStr">
        <is>
          <t>1.4.2 Vehicles and Depot - Depot Buildings</t>
        </is>
      </c>
      <c r="G1057" s="23" t="inlineStr">
        <is>
          <t>ONE_TO_ONE</t>
        </is>
      </c>
      <c r="H1057" s="23" t="inlineStr">
        <is>
          <t>RETAINED</t>
        </is>
      </c>
      <c r="I1057" s="23" t="inlineStr">
        <is>
          <t>Carried forward</t>
        </is>
      </c>
      <c r="J1057" s="23" t="inlineStr">
        <is>
          <t>Source assignment -- not individually reviewed</t>
        </is>
      </c>
      <c r="K1057" s="23" t="inlineStr"/>
      <c r="L1057" s="23" t="inlineStr"/>
      <c r="M1057" s="23" t="inlineStr"/>
      <c r="N1057" s="14" t="inlineStr">
        <is>
          <t>10 EVIDENCE &amp; DECISIONS</t>
        </is>
      </c>
    </row>
    <row r="1058" ht="34" customHeight="1">
      <c r="A1058" s="23" t="inlineStr">
        <is>
          <t>Cost &amp; Forecast Control Accounts</t>
        </is>
      </c>
      <c r="B1058" s="23" t="inlineStr">
        <is>
          <t>CST-04-026</t>
        </is>
      </c>
      <c r="C1058" s="23" t="inlineStr">
        <is>
          <t>Vehicles and Depot - workshop equipment - field package</t>
        </is>
      </c>
      <c r="D1058" s="23" t="inlineStr">
        <is>
          <t>Cost Account = CA-4026; WBS Code = 1.4.2</t>
        </is>
      </c>
      <c r="E1058" s="23" t="inlineStr">
        <is>
          <t>R1348-v2</t>
        </is>
      </c>
      <c r="F1058" s="23" t="inlineStr">
        <is>
          <t>1.4.2 Vehicles and Depot - Depot Buildings</t>
        </is>
      </c>
      <c r="G1058" s="23" t="inlineStr">
        <is>
          <t>ONE_TO_ONE</t>
        </is>
      </c>
      <c r="H1058" s="23" t="inlineStr">
        <is>
          <t>RETAINED</t>
        </is>
      </c>
      <c r="I1058" s="23" t="inlineStr">
        <is>
          <t>Carried forward</t>
        </is>
      </c>
      <c r="J1058" s="23" t="inlineStr">
        <is>
          <t>Source assignment -- not individually reviewed</t>
        </is>
      </c>
      <c r="K1058" s="23" t="inlineStr"/>
      <c r="L1058" s="23" t="inlineStr"/>
      <c r="M1058" s="23" t="inlineStr"/>
      <c r="N1058" s="14" t="inlineStr">
        <is>
          <t>10 EVIDENCE &amp; DECISIONS</t>
        </is>
      </c>
    </row>
    <row r="1059" ht="34" customHeight="1">
      <c r="A1059" s="23" t="inlineStr">
        <is>
          <t>Cost &amp; Forecast Control Accounts</t>
        </is>
      </c>
      <c r="B1059" s="23" t="inlineStr">
        <is>
          <t>CST-04-028</t>
        </is>
      </c>
      <c r="C1059" s="23" t="inlineStr">
        <is>
          <t>Vehicles and Depot - fleet supply - professional services</t>
        </is>
      </c>
      <c r="D1059" s="23" t="inlineStr">
        <is>
          <t>Cost Account = CA-4028; WBS Code = 1.4.2</t>
        </is>
      </c>
      <c r="E1059" s="23" t="inlineStr">
        <is>
          <t>R1350-v2</t>
        </is>
      </c>
      <c r="F1059" s="23" t="inlineStr">
        <is>
          <t>1.4.2 Vehicles and Depot - Depot Buildings</t>
        </is>
      </c>
      <c r="G1059" s="23" t="inlineStr">
        <is>
          <t>ONE_TO_ONE</t>
        </is>
      </c>
      <c r="H1059" s="23" t="inlineStr">
        <is>
          <t>RETAINED</t>
        </is>
      </c>
      <c r="I1059" s="23" t="inlineStr">
        <is>
          <t>Carried forward</t>
        </is>
      </c>
      <c r="J1059" s="23" t="inlineStr">
        <is>
          <t>Source assignment -- not individually reviewed</t>
        </is>
      </c>
      <c r="K1059" s="23" t="inlineStr"/>
      <c r="L1059" s="23" t="inlineStr"/>
      <c r="M1059" s="23" t="inlineStr"/>
      <c r="N1059" s="14" t="inlineStr">
        <is>
          <t>10 EVIDENCE &amp; DECISIONS</t>
        </is>
      </c>
    </row>
    <row r="1060" ht="34" customHeight="1">
      <c r="A1060" s="23" t="inlineStr">
        <is>
          <t>Cost &amp; Forecast Control Accounts</t>
        </is>
      </c>
      <c r="B1060" s="23" t="inlineStr">
        <is>
          <t>CST-04-030</t>
        </is>
      </c>
      <c r="C1060" s="23" t="inlineStr">
        <is>
          <t>Vehicles and Depot - spares - closeout</t>
        </is>
      </c>
      <c r="D1060" s="23" t="inlineStr">
        <is>
          <t>Cost Account = CA-4030; WBS Code = 1.4.2</t>
        </is>
      </c>
      <c r="E1060" s="23" t="inlineStr">
        <is>
          <t>R1352-v2</t>
        </is>
      </c>
      <c r="F1060" s="23" t="inlineStr">
        <is>
          <t>1.4.2 Vehicles and Depot - Depot Buildings</t>
        </is>
      </c>
      <c r="G1060" s="23" t="inlineStr">
        <is>
          <t>ONE_TO_ONE</t>
        </is>
      </c>
      <c r="H1060" s="23" t="inlineStr">
        <is>
          <t>RETAINED</t>
        </is>
      </c>
      <c r="I1060" s="23" t="inlineStr">
        <is>
          <t>Carried forward</t>
        </is>
      </c>
      <c r="J1060" s="23" t="inlineStr">
        <is>
          <t>Source assignment -- not individually reviewed</t>
        </is>
      </c>
      <c r="K1060" s="23" t="inlineStr"/>
      <c r="L1060" s="23" t="inlineStr"/>
      <c r="M1060" s="23" t="inlineStr"/>
      <c r="N1060" s="14" t="inlineStr">
        <is>
          <t>10 EVIDENCE &amp; DECISIONS</t>
        </is>
      </c>
    </row>
    <row r="1061" ht="34" customHeight="1">
      <c r="A1061" s="23" t="inlineStr">
        <is>
          <t>Cost &amp; Forecast Control Accounts</t>
        </is>
      </c>
      <c r="B1061" s="23" t="inlineStr">
        <is>
          <t>CST-04-032</t>
        </is>
      </c>
      <c r="C1061" s="23" t="inlineStr">
        <is>
          <t>Vehicles and Depot - workshop equipment - supply and install</t>
        </is>
      </c>
      <c r="D1061" s="23" t="inlineStr">
        <is>
          <t>Cost Account = CA-4032; WBS Code = 1.4.2</t>
        </is>
      </c>
      <c r="E1061" s="23" t="inlineStr">
        <is>
          <t>R1354-v2</t>
        </is>
      </c>
      <c r="F1061" s="23" t="inlineStr">
        <is>
          <t>1.4.2 Vehicles and Depot - Depot Buildings</t>
        </is>
      </c>
      <c r="G1061" s="23" t="inlineStr">
        <is>
          <t>ONE_TO_ONE</t>
        </is>
      </c>
      <c r="H1061" s="23" t="inlineStr">
        <is>
          <t>RETAINED</t>
        </is>
      </c>
      <c r="I1061" s="23" t="inlineStr">
        <is>
          <t>Carried forward</t>
        </is>
      </c>
      <c r="J1061" s="23" t="inlineStr">
        <is>
          <t>Source assignment -- not individually reviewed</t>
        </is>
      </c>
      <c r="K1061" s="23" t="inlineStr"/>
      <c r="L1061" s="23" t="inlineStr"/>
      <c r="M1061" s="23" t="inlineStr"/>
      <c r="N1061" s="14" t="inlineStr">
        <is>
          <t>10 EVIDENCE &amp; DECISIONS</t>
        </is>
      </c>
    </row>
    <row r="1062" ht="34" customHeight="1">
      <c r="A1062" s="23" t="inlineStr">
        <is>
          <t>Cost &amp; Forecast Control Accounts</t>
        </is>
      </c>
      <c r="B1062" s="23" t="inlineStr">
        <is>
          <t>CST-04-034</t>
        </is>
      </c>
      <c r="C1062" s="23" t="inlineStr">
        <is>
          <t>Vehicles and Depot - fleet supply - allowance</t>
        </is>
      </c>
      <c r="D1062" s="23" t="inlineStr">
        <is>
          <t>Cost Account = CA-4034; WBS Code = 1.4.2</t>
        </is>
      </c>
      <c r="E1062" s="23" t="inlineStr">
        <is>
          <t>R1356-v2</t>
        </is>
      </c>
      <c r="F1062" s="23" t="inlineStr">
        <is>
          <t>1.4.2 Vehicles and Depot - Depot Buildings</t>
        </is>
      </c>
      <c r="G1062" s="23" t="inlineStr">
        <is>
          <t>ONE_TO_ONE</t>
        </is>
      </c>
      <c r="H1062" s="23" t="inlineStr">
        <is>
          <t>RETAINED</t>
        </is>
      </c>
      <c r="I1062" s="23" t="inlineStr">
        <is>
          <t>Carried forward</t>
        </is>
      </c>
      <c r="J1062" s="23" t="inlineStr">
        <is>
          <t>Source assignment -- not individually reviewed</t>
        </is>
      </c>
      <c r="K1062" s="23" t="inlineStr"/>
      <c r="L1062" s="23" t="inlineStr"/>
      <c r="M1062" s="23" t="inlineStr"/>
      <c r="N1062" s="14" t="inlineStr">
        <is>
          <t>10 EVIDENCE &amp; DECISIONS</t>
        </is>
      </c>
    </row>
    <row r="1063" ht="34" customHeight="1">
      <c r="A1063" s="23" t="inlineStr">
        <is>
          <t>Cost &amp; Forecast Control Accounts</t>
        </is>
      </c>
      <c r="B1063" s="23" t="inlineStr">
        <is>
          <t>CST-04-036</t>
        </is>
      </c>
      <c r="C1063" s="23" t="inlineStr">
        <is>
          <t>Vehicles and Depot - spares - field package</t>
        </is>
      </c>
      <c r="D1063" s="23" t="inlineStr">
        <is>
          <t>Cost Account = CA-4036; WBS Code = 1.4.2</t>
        </is>
      </c>
      <c r="E1063" s="23" t="inlineStr">
        <is>
          <t>R1358-v2</t>
        </is>
      </c>
      <c r="F1063" s="23" t="inlineStr">
        <is>
          <t>1.4.2 Vehicles and Depot - Depot Buildings</t>
        </is>
      </c>
      <c r="G1063" s="23" t="inlineStr">
        <is>
          <t>ONE_TO_ONE</t>
        </is>
      </c>
      <c r="H1063" s="23" t="inlineStr">
        <is>
          <t>RETAINED</t>
        </is>
      </c>
      <c r="I1063" s="23" t="inlineStr">
        <is>
          <t>Carried forward</t>
        </is>
      </c>
      <c r="J1063" s="23" t="inlineStr">
        <is>
          <t>Source assignment -- not individually reviewed</t>
        </is>
      </c>
      <c r="K1063" s="23" t="inlineStr"/>
      <c r="L1063" s="23" t="inlineStr"/>
      <c r="M1063" s="23" t="inlineStr"/>
      <c r="N1063" s="14" t="inlineStr">
        <is>
          <t>10 EVIDENCE &amp; DECISIONS</t>
        </is>
      </c>
    </row>
    <row r="1064" ht="34" customHeight="1">
      <c r="A1064" s="23" t="inlineStr">
        <is>
          <t>Cost &amp; Forecast Control Accounts</t>
        </is>
      </c>
      <c r="B1064" s="23" t="inlineStr">
        <is>
          <t>CST-04-038</t>
        </is>
      </c>
      <c r="C1064" s="23" t="inlineStr">
        <is>
          <t>Vehicles and Depot - workshop equipment - professional services</t>
        </is>
      </c>
      <c r="D1064" s="23" t="inlineStr">
        <is>
          <t>Cost Account = CA-4038; WBS Code = 1.4.2</t>
        </is>
      </c>
      <c r="E1064" s="23" t="inlineStr">
        <is>
          <t>R1360-v2</t>
        </is>
      </c>
      <c r="F1064" s="23" t="inlineStr">
        <is>
          <t>1.4.2 Vehicles and Depot - Depot Buildings</t>
        </is>
      </c>
      <c r="G1064" s="23" t="inlineStr">
        <is>
          <t>ONE_TO_ONE</t>
        </is>
      </c>
      <c r="H1064" s="23" t="inlineStr">
        <is>
          <t>RETAINED</t>
        </is>
      </c>
      <c r="I1064" s="23" t="inlineStr">
        <is>
          <t>Carried forward</t>
        </is>
      </c>
      <c r="J1064" s="23" t="inlineStr">
        <is>
          <t>Source assignment -- not individually reviewed</t>
        </is>
      </c>
      <c r="K1064" s="23" t="inlineStr"/>
      <c r="L1064" s="23" t="inlineStr"/>
      <c r="M1064" s="23" t="inlineStr"/>
      <c r="N1064" s="14" t="inlineStr">
        <is>
          <t>10 EVIDENCE &amp; DECISIONS</t>
        </is>
      </c>
    </row>
    <row r="1065" ht="34" customHeight="1">
      <c r="A1065" s="23" t="inlineStr">
        <is>
          <t>Cost &amp; Forecast Control Accounts</t>
        </is>
      </c>
      <c r="B1065" s="23" t="inlineStr">
        <is>
          <t>CST-04-040</t>
        </is>
      </c>
      <c r="C1065" s="23" t="inlineStr">
        <is>
          <t>Vehicles and Depot - fleet supply - closeout</t>
        </is>
      </c>
      <c r="D1065" s="23" t="inlineStr">
        <is>
          <t>Cost Account = CA-4040; WBS Code = 1.4.2</t>
        </is>
      </c>
      <c r="E1065" s="23" t="inlineStr">
        <is>
          <t>R1362-v2</t>
        </is>
      </c>
      <c r="F1065" s="23" t="inlineStr">
        <is>
          <t>1.4.2 Vehicles and Depot - Depot Buildings</t>
        </is>
      </c>
      <c r="G1065" s="23" t="inlineStr">
        <is>
          <t>ONE_TO_ONE</t>
        </is>
      </c>
      <c r="H1065" s="23" t="inlineStr">
        <is>
          <t>RETAINED</t>
        </is>
      </c>
      <c r="I1065" s="23" t="inlineStr">
        <is>
          <t>Carried forward</t>
        </is>
      </c>
      <c r="J1065" s="23" t="inlineStr">
        <is>
          <t>Source assignment -- not individually reviewed</t>
        </is>
      </c>
      <c r="K1065" s="23" t="inlineStr"/>
      <c r="L1065" s="23" t="inlineStr"/>
      <c r="M1065" s="23" t="inlineStr"/>
      <c r="N1065" s="14" t="inlineStr">
        <is>
          <t>10 EVIDENCE &amp; DECISIONS</t>
        </is>
      </c>
    </row>
    <row r="1066" ht="34" customHeight="1">
      <c r="A1066" s="23" t="inlineStr">
        <is>
          <t>Cost &amp; Forecast Control Accounts</t>
        </is>
      </c>
      <c r="B1066" s="23" t="inlineStr">
        <is>
          <t>CST-04-042</t>
        </is>
      </c>
      <c r="C1066" s="23" t="inlineStr">
        <is>
          <t>Vehicles and Depot - spares - supply and install</t>
        </is>
      </c>
      <c r="D1066" s="23" t="inlineStr">
        <is>
          <t>Cost Account = CA-4042; WBS Code = 1.4.2</t>
        </is>
      </c>
      <c r="E1066" s="23" t="inlineStr">
        <is>
          <t>R1364-v2</t>
        </is>
      </c>
      <c r="F1066" s="23" t="inlineStr">
        <is>
          <t>1.4.2 Vehicles and Depot - Depot Buildings</t>
        </is>
      </c>
      <c r="G1066" s="23" t="inlineStr">
        <is>
          <t>ONE_TO_ONE</t>
        </is>
      </c>
      <c r="H1066" s="23" t="inlineStr">
        <is>
          <t>RETAINED</t>
        </is>
      </c>
      <c r="I1066" s="23" t="inlineStr">
        <is>
          <t>Carried forward</t>
        </is>
      </c>
      <c r="J1066" s="23" t="inlineStr">
        <is>
          <t>Source assignment -- not individually reviewed</t>
        </is>
      </c>
      <c r="K1066" s="23" t="inlineStr"/>
      <c r="L1066" s="23" t="inlineStr"/>
      <c r="M1066" s="23" t="inlineStr"/>
      <c r="N1066" s="14" t="inlineStr">
        <is>
          <t>10 EVIDENCE &amp; DECISIONS</t>
        </is>
      </c>
    </row>
    <row r="1067" ht="34" customHeight="1">
      <c r="A1067" s="23" t="inlineStr">
        <is>
          <t>Cost &amp; Forecast Control Accounts</t>
        </is>
      </c>
      <c r="B1067" s="23" t="inlineStr">
        <is>
          <t>CST-04-044</t>
        </is>
      </c>
      <c r="C1067" s="23" t="inlineStr">
        <is>
          <t>Vehicles and Depot - workshop equipment - allowance</t>
        </is>
      </c>
      <c r="D1067" s="23" t="inlineStr">
        <is>
          <t>Cost Account = CA-4044; WBS Code = 1.4.2</t>
        </is>
      </c>
      <c r="E1067" s="23" t="inlineStr">
        <is>
          <t>R1366-v2</t>
        </is>
      </c>
      <c r="F1067" s="23" t="inlineStr">
        <is>
          <t>1.4.2 Vehicles and Depot - Depot Buildings</t>
        </is>
      </c>
      <c r="G1067" s="23" t="inlineStr">
        <is>
          <t>ONE_TO_ONE</t>
        </is>
      </c>
      <c r="H1067" s="23" t="inlineStr">
        <is>
          <t>RETAINED</t>
        </is>
      </c>
      <c r="I1067" s="23" t="inlineStr">
        <is>
          <t>Carried forward</t>
        </is>
      </c>
      <c r="J1067" s="23" t="inlineStr">
        <is>
          <t>Source assignment -- not individually reviewed</t>
        </is>
      </c>
      <c r="K1067" s="23" t="inlineStr"/>
      <c r="L1067" s="23" t="inlineStr"/>
      <c r="M1067" s="23" t="inlineStr"/>
      <c r="N1067" s="14" t="inlineStr">
        <is>
          <t>10 EVIDENCE &amp; DECISIONS</t>
        </is>
      </c>
    </row>
    <row r="1068" ht="34" customHeight="1">
      <c r="A1068" s="23" t="inlineStr">
        <is>
          <t>Cost &amp; Forecast Control Accounts</t>
        </is>
      </c>
      <c r="B1068" s="23" t="inlineStr">
        <is>
          <t>CST-04-046</t>
        </is>
      </c>
      <c r="C1068" s="23" t="inlineStr">
        <is>
          <t>Vehicles and Depot - fleet supply - field package</t>
        </is>
      </c>
      <c r="D1068" s="23" t="inlineStr">
        <is>
          <t>Cost Account = CA-4046; WBS Code = 1.4.2</t>
        </is>
      </c>
      <c r="E1068" s="23" t="inlineStr">
        <is>
          <t>R1368-v2</t>
        </is>
      </c>
      <c r="F1068" s="23" t="inlineStr">
        <is>
          <t>1.4.2 Vehicles and Depot - Depot Buildings</t>
        </is>
      </c>
      <c r="G1068" s="23" t="inlineStr">
        <is>
          <t>ONE_TO_ONE</t>
        </is>
      </c>
      <c r="H1068" s="23" t="inlineStr">
        <is>
          <t>RETAINED</t>
        </is>
      </c>
      <c r="I1068" s="23" t="inlineStr">
        <is>
          <t>Carried forward</t>
        </is>
      </c>
      <c r="J1068" s="23" t="inlineStr">
        <is>
          <t>Source assignment -- not individually reviewed</t>
        </is>
      </c>
      <c r="K1068" s="23" t="inlineStr"/>
      <c r="L1068" s="23" t="inlineStr"/>
      <c r="M1068" s="23" t="inlineStr"/>
      <c r="N1068" s="14" t="inlineStr">
        <is>
          <t>10 EVIDENCE &amp; DECISIONS</t>
        </is>
      </c>
    </row>
    <row r="1069" ht="34" customHeight="1">
      <c r="A1069" s="23" t="inlineStr">
        <is>
          <t>Cost &amp; Forecast Control Accounts</t>
        </is>
      </c>
      <c r="B1069" s="23" t="inlineStr">
        <is>
          <t>CST-04-048</t>
        </is>
      </c>
      <c r="C1069" s="23" t="inlineStr">
        <is>
          <t>Vehicles and Depot - spares - professional services</t>
        </is>
      </c>
      <c r="D1069" s="23" t="inlineStr">
        <is>
          <t>Cost Account = CA-4048; WBS Code = 1.4.2</t>
        </is>
      </c>
      <c r="E1069" s="23" t="inlineStr">
        <is>
          <t>R1370-v2</t>
        </is>
      </c>
      <c r="F1069" s="23" t="inlineStr">
        <is>
          <t>1.4.2 Vehicles and Depot - Depot Buildings</t>
        </is>
      </c>
      <c r="G1069" s="23" t="inlineStr">
        <is>
          <t>ONE_TO_ONE</t>
        </is>
      </c>
      <c r="H1069" s="23" t="inlineStr">
        <is>
          <t>RETAINED</t>
        </is>
      </c>
      <c r="I1069" s="23" t="inlineStr">
        <is>
          <t>Carried forward</t>
        </is>
      </c>
      <c r="J1069" s="23" t="inlineStr">
        <is>
          <t>Source assignment -- not individually reviewed</t>
        </is>
      </c>
      <c r="K1069" s="23" t="inlineStr"/>
      <c r="L1069" s="23" t="inlineStr"/>
      <c r="M1069" s="23" t="inlineStr"/>
      <c r="N1069" s="14" t="inlineStr">
        <is>
          <t>10 EVIDENCE &amp; DECISIONS</t>
        </is>
      </c>
    </row>
    <row r="1070" ht="34" customHeight="1">
      <c r="A1070" s="23" t="inlineStr">
        <is>
          <t>Cost &amp; Forecast Control Accounts</t>
        </is>
      </c>
      <c r="B1070" s="23" t="inlineStr">
        <is>
          <t>CST-04-050</t>
        </is>
      </c>
      <c r="C1070" s="23" t="inlineStr">
        <is>
          <t>Vehicles and Depot - workshop equipment - closeout</t>
        </is>
      </c>
      <c r="D1070" s="23" t="inlineStr">
        <is>
          <t>Cost Account = CA-4050; WBS Code = 1.4.2</t>
        </is>
      </c>
      <c r="E1070" s="23" t="inlineStr">
        <is>
          <t>R1372-v2</t>
        </is>
      </c>
      <c r="F1070" s="23" t="inlineStr">
        <is>
          <t>1.4.2 Vehicles and Depot - Depot Buildings</t>
        </is>
      </c>
      <c r="G1070" s="23" t="inlineStr">
        <is>
          <t>ONE_TO_ONE</t>
        </is>
      </c>
      <c r="H1070" s="23" t="inlineStr">
        <is>
          <t>RETAINED</t>
        </is>
      </c>
      <c r="I1070" s="23" t="inlineStr">
        <is>
          <t>Carried forward</t>
        </is>
      </c>
      <c r="J1070" s="23" t="inlineStr">
        <is>
          <t>Source assignment -- not individually reviewed</t>
        </is>
      </c>
      <c r="K1070" s="23" t="inlineStr"/>
      <c r="L1070" s="23" t="inlineStr"/>
      <c r="M1070" s="23" t="inlineStr"/>
      <c r="N1070" s="14" t="inlineStr">
        <is>
          <t>10 EVIDENCE &amp; DECISIONS</t>
        </is>
      </c>
    </row>
    <row r="1071" ht="34" customHeight="1">
      <c r="A1071" s="23" t="inlineStr">
        <is>
          <t>Cost &amp; Forecast Control Accounts</t>
        </is>
      </c>
      <c r="B1071" s="23" t="inlineStr">
        <is>
          <t>CST-04-052</t>
        </is>
      </c>
      <c r="C1071" s="23" t="inlineStr">
        <is>
          <t>Vehicles and Depot - fleet supply - supply and install</t>
        </is>
      </c>
      <c r="D1071" s="23" t="inlineStr">
        <is>
          <t>Cost Account = CA-4052; WBS Code = 1.4.2</t>
        </is>
      </c>
      <c r="E1071" s="23" t="inlineStr">
        <is>
          <t>R1374-v2</t>
        </is>
      </c>
      <c r="F1071" s="23" t="inlineStr">
        <is>
          <t>1.4.2 Vehicles and Depot - Depot Buildings</t>
        </is>
      </c>
      <c r="G1071" s="23" t="inlineStr">
        <is>
          <t>ONE_TO_ONE</t>
        </is>
      </c>
      <c r="H1071" s="23" t="inlineStr">
        <is>
          <t>RETAINED</t>
        </is>
      </c>
      <c r="I1071" s="23" t="inlineStr">
        <is>
          <t>Carried forward</t>
        </is>
      </c>
      <c r="J1071" s="23" t="inlineStr">
        <is>
          <t>Source assignment -- not individually reviewed</t>
        </is>
      </c>
      <c r="K1071" s="23" t="inlineStr"/>
      <c r="L1071" s="23" t="inlineStr"/>
      <c r="M1071" s="23" t="inlineStr"/>
      <c r="N1071" s="14" t="inlineStr">
        <is>
          <t>10 EVIDENCE &amp; DECISIONS</t>
        </is>
      </c>
    </row>
    <row r="1072" ht="34" customHeight="1">
      <c r="A1072" s="23" t="inlineStr">
        <is>
          <t>Cost &amp; Forecast Control Accounts</t>
        </is>
      </c>
      <c r="B1072" s="23" t="inlineStr">
        <is>
          <t>CST-04-054</t>
        </is>
      </c>
      <c r="C1072" s="23" t="inlineStr">
        <is>
          <t>Vehicles and Depot - spares - allowance</t>
        </is>
      </c>
      <c r="D1072" s="23" t="inlineStr">
        <is>
          <t>Cost Account = CA-4054; WBS Code = 1.4.2</t>
        </is>
      </c>
      <c r="E1072" s="23" t="inlineStr">
        <is>
          <t>R1376-v2</t>
        </is>
      </c>
      <c r="F1072" s="23" t="inlineStr">
        <is>
          <t>1.4.2 Vehicles and Depot - Depot Buildings</t>
        </is>
      </c>
      <c r="G1072" s="23" t="inlineStr">
        <is>
          <t>ONE_TO_ONE</t>
        </is>
      </c>
      <c r="H1072" s="23" t="inlineStr">
        <is>
          <t>RETAINED</t>
        </is>
      </c>
      <c r="I1072" s="23" t="inlineStr">
        <is>
          <t>Carried forward</t>
        </is>
      </c>
      <c r="J1072" s="23" t="inlineStr">
        <is>
          <t>Source assignment -- not individually reviewed</t>
        </is>
      </c>
      <c r="K1072" s="23" t="inlineStr"/>
      <c r="L1072" s="23" t="inlineStr"/>
      <c r="M1072" s="23" t="inlineStr"/>
      <c r="N1072" s="14" t="inlineStr">
        <is>
          <t>10 EVIDENCE &amp; DECISIONS</t>
        </is>
      </c>
    </row>
    <row r="1073" ht="34" customHeight="1">
      <c r="A1073" s="23" t="inlineStr">
        <is>
          <t>Cost &amp; Forecast Control Accounts</t>
        </is>
      </c>
      <c r="B1073" s="23" t="inlineStr">
        <is>
          <t>CST-04-056</t>
        </is>
      </c>
      <c r="C1073" s="23" t="inlineStr">
        <is>
          <t>Vehicles and Depot - workshop equipment - field package</t>
        </is>
      </c>
      <c r="D1073" s="23" t="inlineStr">
        <is>
          <t>Cost Account = CA-4056; WBS Code = 1.4.2</t>
        </is>
      </c>
      <c r="E1073" s="23" t="inlineStr">
        <is>
          <t>R1378-v2</t>
        </is>
      </c>
      <c r="F1073" s="23" t="inlineStr">
        <is>
          <t>1.4.2 Vehicles and Depot - Depot Buildings</t>
        </is>
      </c>
      <c r="G1073" s="23" t="inlineStr">
        <is>
          <t>ONE_TO_ONE</t>
        </is>
      </c>
      <c r="H1073" s="23" t="inlineStr">
        <is>
          <t>RETAINED</t>
        </is>
      </c>
      <c r="I1073" s="23" t="inlineStr">
        <is>
          <t>Carried forward</t>
        </is>
      </c>
      <c r="J1073" s="23" t="inlineStr">
        <is>
          <t>Source assignment -- not individually reviewed</t>
        </is>
      </c>
      <c r="K1073" s="23" t="inlineStr"/>
      <c r="L1073" s="23" t="inlineStr"/>
      <c r="M1073" s="23" t="inlineStr"/>
      <c r="N1073" s="14" t="inlineStr">
        <is>
          <t>10 EVIDENCE &amp; DECISIONS</t>
        </is>
      </c>
    </row>
    <row r="1074" ht="34" customHeight="1">
      <c r="A1074" s="23" t="inlineStr">
        <is>
          <t>Cost &amp; Forecast Control Accounts</t>
        </is>
      </c>
      <c r="B1074" s="23" t="inlineStr">
        <is>
          <t>CST-04-058</t>
        </is>
      </c>
      <c r="C1074" s="23" t="inlineStr">
        <is>
          <t>Vehicles and Depot - fleet supply - professional services</t>
        </is>
      </c>
      <c r="D1074" s="23" t="inlineStr">
        <is>
          <t>Cost Account = CA-4058; WBS Code = 1.4.2</t>
        </is>
      </c>
      <c r="E1074" s="23" t="inlineStr">
        <is>
          <t>R1380-v2</t>
        </is>
      </c>
      <c r="F1074" s="23" t="inlineStr">
        <is>
          <t>1.4.2 Vehicles and Depot - Depot Buildings</t>
        </is>
      </c>
      <c r="G1074" s="23" t="inlineStr">
        <is>
          <t>ONE_TO_ONE</t>
        </is>
      </c>
      <c r="H1074" s="23" t="inlineStr">
        <is>
          <t>RETAINED</t>
        </is>
      </c>
      <c r="I1074" s="23" t="inlineStr">
        <is>
          <t>Carried forward</t>
        </is>
      </c>
      <c r="J1074" s="23" t="inlineStr">
        <is>
          <t>Source assignment -- not individually reviewed</t>
        </is>
      </c>
      <c r="K1074" s="23" t="inlineStr"/>
      <c r="L1074" s="23" t="inlineStr"/>
      <c r="M1074" s="23" t="inlineStr"/>
      <c r="N1074" s="14" t="inlineStr">
        <is>
          <t>10 EVIDENCE &amp; DECISIONS</t>
        </is>
      </c>
    </row>
    <row r="1075" ht="34" customHeight="1">
      <c r="A1075" s="23" t="inlineStr">
        <is>
          <t>Cost &amp; Forecast Control Accounts</t>
        </is>
      </c>
      <c r="B1075" s="23" t="inlineStr">
        <is>
          <t>CST-04-060</t>
        </is>
      </c>
      <c r="C1075" s="23" t="inlineStr">
        <is>
          <t>Vehicles and Depot - spares - closeout</t>
        </is>
      </c>
      <c r="D1075" s="23" t="inlineStr">
        <is>
          <t>Cost Account = CA-4060; WBS Code = 1.4.2</t>
        </is>
      </c>
      <c r="E1075" s="23" t="inlineStr">
        <is>
          <t>R1382-v2</t>
        </is>
      </c>
      <c r="F1075" s="23" t="inlineStr">
        <is>
          <t>1.4.2 Vehicles and Depot - Depot Buildings</t>
        </is>
      </c>
      <c r="G1075" s="23" t="inlineStr">
        <is>
          <t>ONE_TO_ONE</t>
        </is>
      </c>
      <c r="H1075" s="23" t="inlineStr">
        <is>
          <t>RETAINED</t>
        </is>
      </c>
      <c r="I1075" s="23" t="inlineStr">
        <is>
          <t>Carried forward</t>
        </is>
      </c>
      <c r="J1075" s="23" t="inlineStr">
        <is>
          <t>Source assignment -- not individually reviewed</t>
        </is>
      </c>
      <c r="K1075" s="23" t="inlineStr"/>
      <c r="L1075" s="23" t="inlineStr"/>
      <c r="M1075" s="23" t="inlineStr"/>
      <c r="N1075" s="14" t="inlineStr">
        <is>
          <t>10 EVIDENCE &amp; DECISIONS</t>
        </is>
      </c>
    </row>
    <row r="1076" ht="34" customHeight="1">
      <c r="A1076" s="23" t="inlineStr">
        <is>
          <t>Cost &amp; Forecast Control Accounts</t>
        </is>
      </c>
      <c r="B1076" s="23" t="inlineStr">
        <is>
          <t>CST-04-062</t>
        </is>
      </c>
      <c r="C1076" s="23" t="inlineStr">
        <is>
          <t>Vehicles and Depot - workshop equipment - supply and install</t>
        </is>
      </c>
      <c r="D1076" s="23" t="inlineStr">
        <is>
          <t>Cost Account = CA-4062; WBS Code = 1.4.2</t>
        </is>
      </c>
      <c r="E1076" s="23" t="inlineStr">
        <is>
          <t>R1384-v2</t>
        </is>
      </c>
      <c r="F1076" s="23" t="inlineStr">
        <is>
          <t>1.4.2 Vehicles and Depot - Depot Buildings</t>
        </is>
      </c>
      <c r="G1076" s="23" t="inlineStr">
        <is>
          <t>ONE_TO_ONE</t>
        </is>
      </c>
      <c r="H1076" s="23" t="inlineStr">
        <is>
          <t>RETAINED</t>
        </is>
      </c>
      <c r="I1076" s="23" t="inlineStr">
        <is>
          <t>Carried forward</t>
        </is>
      </c>
      <c r="J1076" s="23" t="inlineStr">
        <is>
          <t>Source assignment -- not individually reviewed</t>
        </is>
      </c>
      <c r="K1076" s="23" t="inlineStr"/>
      <c r="L1076" s="23" t="inlineStr"/>
      <c r="M1076" s="23" t="inlineStr"/>
      <c r="N1076" s="14" t="inlineStr">
        <is>
          <t>10 EVIDENCE &amp; DECISIONS</t>
        </is>
      </c>
    </row>
    <row r="1077" ht="34" customHeight="1">
      <c r="A1077" s="23" t="inlineStr">
        <is>
          <t>Cost &amp; Forecast Control Accounts</t>
        </is>
      </c>
      <c r="B1077" s="23" t="inlineStr">
        <is>
          <t>CST-04-064</t>
        </is>
      </c>
      <c r="C1077" s="23" t="inlineStr">
        <is>
          <t>Vehicles and Depot - fleet supply - allowance</t>
        </is>
      </c>
      <c r="D1077" s="23" t="inlineStr">
        <is>
          <t>Cost Account = CA-4064; WBS Code = 1.4.2</t>
        </is>
      </c>
      <c r="E1077" s="23" t="inlineStr">
        <is>
          <t>R1386-v2</t>
        </is>
      </c>
      <c r="F1077" s="23" t="inlineStr">
        <is>
          <t>1.4.2 Vehicles and Depot - Depot Buildings</t>
        </is>
      </c>
      <c r="G1077" s="23" t="inlineStr">
        <is>
          <t>ONE_TO_ONE</t>
        </is>
      </c>
      <c r="H1077" s="23" t="inlineStr">
        <is>
          <t>RETAINED</t>
        </is>
      </c>
      <c r="I1077" s="23" t="inlineStr">
        <is>
          <t>Carried forward</t>
        </is>
      </c>
      <c r="J1077" s="23" t="inlineStr">
        <is>
          <t>Source assignment -- not individually reviewed</t>
        </is>
      </c>
      <c r="K1077" s="23" t="inlineStr"/>
      <c r="L1077" s="23" t="inlineStr"/>
      <c r="M1077" s="23" t="inlineStr"/>
      <c r="N1077" s="14" t="inlineStr">
        <is>
          <t>10 EVIDENCE &amp; DECISIONS</t>
        </is>
      </c>
    </row>
    <row r="1078" ht="34" customHeight="1">
      <c r="A1078" s="23" t="inlineStr">
        <is>
          <t>Cost &amp; Forecast Control Accounts</t>
        </is>
      </c>
      <c r="B1078" s="23" t="inlineStr">
        <is>
          <t>CST-04-066</t>
        </is>
      </c>
      <c r="C1078" s="23" t="inlineStr">
        <is>
          <t>Vehicles and Depot - spares - field package</t>
        </is>
      </c>
      <c r="D1078" s="23" t="inlineStr">
        <is>
          <t>Cost Account = CA-4066; WBS Code = 1.4.2</t>
        </is>
      </c>
      <c r="E1078" s="23" t="inlineStr">
        <is>
          <t>R1388-v2</t>
        </is>
      </c>
      <c r="F1078" s="23" t="inlineStr">
        <is>
          <t>1.4.2 Vehicles and Depot - Depot Buildings</t>
        </is>
      </c>
      <c r="G1078" s="23" t="inlineStr">
        <is>
          <t>ONE_TO_ONE</t>
        </is>
      </c>
      <c r="H1078" s="23" t="inlineStr">
        <is>
          <t>RETAINED</t>
        </is>
      </c>
      <c r="I1078" s="23" t="inlineStr">
        <is>
          <t>Carried forward</t>
        </is>
      </c>
      <c r="J1078" s="23" t="inlineStr">
        <is>
          <t>Source assignment -- not individually reviewed</t>
        </is>
      </c>
      <c r="K1078" s="23" t="inlineStr"/>
      <c r="L1078" s="23" t="inlineStr"/>
      <c r="M1078" s="23" t="inlineStr"/>
      <c r="N1078" s="14" t="inlineStr">
        <is>
          <t>10 EVIDENCE &amp; DECISIONS</t>
        </is>
      </c>
    </row>
    <row r="1079" ht="34" customHeight="1">
      <c r="A1079" s="23" t="inlineStr">
        <is>
          <t>Cost &amp; Forecast Control Accounts</t>
        </is>
      </c>
      <c r="B1079" s="23" t="inlineStr">
        <is>
          <t>CST-04-068</t>
        </is>
      </c>
      <c r="C1079" s="23" t="inlineStr">
        <is>
          <t>Vehicles and Depot - workshop equipment - professional services</t>
        </is>
      </c>
      <c r="D1079" s="23" t="inlineStr">
        <is>
          <t>Cost Account = CA-4068; WBS Code = 1.4.2</t>
        </is>
      </c>
      <c r="E1079" s="23" t="inlineStr">
        <is>
          <t>R1390-v2</t>
        </is>
      </c>
      <c r="F1079" s="23" t="inlineStr">
        <is>
          <t>1.4.2 Vehicles and Depot - Depot Buildings</t>
        </is>
      </c>
      <c r="G1079" s="23" t="inlineStr">
        <is>
          <t>ONE_TO_ONE</t>
        </is>
      </c>
      <c r="H1079" s="23" t="inlineStr">
        <is>
          <t>RETAINED</t>
        </is>
      </c>
      <c r="I1079" s="23" t="inlineStr">
        <is>
          <t>Carried forward</t>
        </is>
      </c>
      <c r="J1079" s="23" t="inlineStr">
        <is>
          <t>Source assignment -- not individually reviewed</t>
        </is>
      </c>
      <c r="K1079" s="23" t="inlineStr"/>
      <c r="L1079" s="23" t="inlineStr"/>
      <c r="M1079" s="23" t="inlineStr"/>
      <c r="N1079" s="14" t="inlineStr">
        <is>
          <t>10 EVIDENCE &amp; DECISIONS</t>
        </is>
      </c>
    </row>
    <row r="1080" ht="34" customHeight="1">
      <c r="A1080" s="23" t="inlineStr">
        <is>
          <t>Cost &amp; Forecast Control Accounts</t>
        </is>
      </c>
      <c r="B1080" s="23" t="inlineStr">
        <is>
          <t>CST-04-070</t>
        </is>
      </c>
      <c r="C1080" s="23" t="inlineStr">
        <is>
          <t>Vehicles and Depot - fleet supply - closeout</t>
        </is>
      </c>
      <c r="D1080" s="23" t="inlineStr">
        <is>
          <t>Cost Account = CA-4070; WBS Code = 1.4.2</t>
        </is>
      </c>
      <c r="E1080" s="23" t="inlineStr">
        <is>
          <t>R1392-v2</t>
        </is>
      </c>
      <c r="F1080" s="23" t="inlineStr">
        <is>
          <t>1.4.2 Vehicles and Depot - Depot Buildings</t>
        </is>
      </c>
      <c r="G1080" s="23" t="inlineStr">
        <is>
          <t>ONE_TO_ONE</t>
        </is>
      </c>
      <c r="H1080" s="23" t="inlineStr">
        <is>
          <t>RETAINED</t>
        </is>
      </c>
      <c r="I1080" s="23" t="inlineStr">
        <is>
          <t>Carried forward</t>
        </is>
      </c>
      <c r="J1080" s="23" t="inlineStr">
        <is>
          <t>Source assignment -- not individually reviewed</t>
        </is>
      </c>
      <c r="K1080" s="23" t="inlineStr"/>
      <c r="L1080" s="23" t="inlineStr"/>
      <c r="M1080" s="23" t="inlineStr"/>
      <c r="N1080" s="14" t="inlineStr">
        <is>
          <t>10 EVIDENCE &amp; DECISIONS</t>
        </is>
      </c>
    </row>
    <row r="1081" ht="34" customHeight="1">
      <c r="A1081" s="23" t="inlineStr">
        <is>
          <t>Cost &amp; Forecast Control Accounts</t>
        </is>
      </c>
      <c r="B1081" s="23" t="inlineStr">
        <is>
          <t>CST-04-072</t>
        </is>
      </c>
      <c r="C1081" s="23" t="inlineStr">
        <is>
          <t>Vehicles and Depot - spares - supply and install</t>
        </is>
      </c>
      <c r="D1081" s="23" t="inlineStr">
        <is>
          <t>Cost Account = CA-4072; WBS Code = 1.4.2</t>
        </is>
      </c>
      <c r="E1081" s="23" t="inlineStr">
        <is>
          <t>R1394-v2</t>
        </is>
      </c>
      <c r="F1081" s="23" t="inlineStr">
        <is>
          <t>1.4.2 Vehicles and Depot - Depot Buildings</t>
        </is>
      </c>
      <c r="G1081" s="23" t="inlineStr">
        <is>
          <t>ONE_TO_ONE</t>
        </is>
      </c>
      <c r="H1081" s="23" t="inlineStr">
        <is>
          <t>RETAINED</t>
        </is>
      </c>
      <c r="I1081" s="23" t="inlineStr">
        <is>
          <t>Carried forward</t>
        </is>
      </c>
      <c r="J1081" s="23" t="inlineStr">
        <is>
          <t>Source assignment -- not individually reviewed</t>
        </is>
      </c>
      <c r="K1081" s="23" t="inlineStr"/>
      <c r="L1081" s="23" t="inlineStr"/>
      <c r="M1081" s="23" t="inlineStr"/>
      <c r="N1081" s="14" t="inlineStr">
        <is>
          <t>10 EVIDENCE &amp; DECISIONS</t>
        </is>
      </c>
    </row>
    <row r="1082" ht="34" customHeight="1">
      <c r="A1082" s="23" t="inlineStr">
        <is>
          <t>Cost &amp; Forecast Control Accounts</t>
        </is>
      </c>
      <c r="B1082" s="23" t="inlineStr">
        <is>
          <t>CST-04-074</t>
        </is>
      </c>
      <c r="C1082" s="23" t="inlineStr">
        <is>
          <t>Vehicles and Depot - workshop equipment - allowance</t>
        </is>
      </c>
      <c r="D1082" s="23" t="inlineStr">
        <is>
          <t>Cost Account = CA-4074; WBS Code = 1.4.2</t>
        </is>
      </c>
      <c r="E1082" s="23" t="inlineStr">
        <is>
          <t>R1396-v2</t>
        </is>
      </c>
      <c r="F1082" s="23" t="inlineStr">
        <is>
          <t>1.4.2 Vehicles and Depot - Depot Buildings</t>
        </is>
      </c>
      <c r="G1082" s="23" t="inlineStr">
        <is>
          <t>ONE_TO_ONE</t>
        </is>
      </c>
      <c r="H1082" s="23" t="inlineStr">
        <is>
          <t>RETAINED</t>
        </is>
      </c>
      <c r="I1082" s="23" t="inlineStr">
        <is>
          <t>Carried forward</t>
        </is>
      </c>
      <c r="J1082" s="23" t="inlineStr">
        <is>
          <t>Source assignment -- not individually reviewed</t>
        </is>
      </c>
      <c r="K1082" s="23" t="inlineStr"/>
      <c r="L1082" s="23" t="inlineStr"/>
      <c r="M1082" s="23" t="inlineStr"/>
      <c r="N1082" s="14" t="inlineStr">
        <is>
          <t>10 EVIDENCE &amp; DECISIONS</t>
        </is>
      </c>
    </row>
    <row r="1083" ht="34" customHeight="1">
      <c r="A1083" s="23" t="inlineStr">
        <is>
          <t>Cost &amp; Forecast Control Accounts</t>
        </is>
      </c>
      <c r="B1083" s="23" t="inlineStr">
        <is>
          <t>CST-04-076</t>
        </is>
      </c>
      <c r="C1083" s="23" t="inlineStr">
        <is>
          <t>Vehicles and Depot - fleet supply - field package</t>
        </is>
      </c>
      <c r="D1083" s="23" t="inlineStr">
        <is>
          <t>Cost Account = CA-4076; WBS Code = 1.4.2</t>
        </is>
      </c>
      <c r="E1083" s="23" t="inlineStr">
        <is>
          <t>R1398-v2</t>
        </is>
      </c>
      <c r="F1083" s="23" t="inlineStr">
        <is>
          <t>1.4.2 Vehicles and Depot - Depot Buildings</t>
        </is>
      </c>
      <c r="G1083" s="23" t="inlineStr">
        <is>
          <t>ONE_TO_ONE</t>
        </is>
      </c>
      <c r="H1083" s="23" t="inlineStr">
        <is>
          <t>RETAINED</t>
        </is>
      </c>
      <c r="I1083" s="23" t="inlineStr">
        <is>
          <t>Carried forward</t>
        </is>
      </c>
      <c r="J1083" s="23" t="inlineStr">
        <is>
          <t>Source assignment -- not individually reviewed</t>
        </is>
      </c>
      <c r="K1083" s="23" t="inlineStr"/>
      <c r="L1083" s="23" t="inlineStr"/>
      <c r="M1083" s="23" t="inlineStr"/>
      <c r="N1083" s="14" t="inlineStr">
        <is>
          <t>10 EVIDENCE &amp; DECISIONS</t>
        </is>
      </c>
    </row>
    <row r="1084" ht="34" customHeight="1">
      <c r="A1084" s="23" t="inlineStr">
        <is>
          <t>Cost &amp; Forecast Control Accounts</t>
        </is>
      </c>
      <c r="B1084" s="23" t="inlineStr">
        <is>
          <t>CST-04-078</t>
        </is>
      </c>
      <c r="C1084" s="23" t="inlineStr">
        <is>
          <t>Vehicles and Depot - spares - professional services</t>
        </is>
      </c>
      <c r="D1084" s="23" t="inlineStr">
        <is>
          <t>Cost Account = CA-4078; WBS Code = 1.4.2</t>
        </is>
      </c>
      <c r="E1084" s="23" t="inlineStr">
        <is>
          <t>R1400-v2</t>
        </is>
      </c>
      <c r="F1084" s="23" t="inlineStr">
        <is>
          <t>1.4.2 Vehicles and Depot - Depot Buildings</t>
        </is>
      </c>
      <c r="G1084" s="23" t="inlineStr">
        <is>
          <t>ONE_TO_ONE</t>
        </is>
      </c>
      <c r="H1084" s="23" t="inlineStr">
        <is>
          <t>RETAINED</t>
        </is>
      </c>
      <c r="I1084" s="23" t="inlineStr">
        <is>
          <t>Carried forward</t>
        </is>
      </c>
      <c r="J1084" s="23" t="inlineStr">
        <is>
          <t>Source assignment -- not individually reviewed</t>
        </is>
      </c>
      <c r="K1084" s="23" t="inlineStr"/>
      <c r="L1084" s="23" t="inlineStr"/>
      <c r="M1084" s="23" t="inlineStr"/>
      <c r="N1084" s="14" t="inlineStr">
        <is>
          <t>10 EVIDENCE &amp; DECISIONS</t>
        </is>
      </c>
    </row>
    <row r="1085" ht="34" customHeight="1">
      <c r="A1085" s="23" t="inlineStr">
        <is>
          <t>Cost &amp; Forecast Control Accounts</t>
        </is>
      </c>
      <c r="B1085" s="23" t="inlineStr">
        <is>
          <t>CST-04-080</t>
        </is>
      </c>
      <c r="C1085" s="23" t="inlineStr">
        <is>
          <t>Vehicles and Depot - workshop equipment - closeout</t>
        </is>
      </c>
      <c r="D1085" s="23" t="inlineStr">
        <is>
          <t>Cost Account = CA-4080; WBS Code = 1.4.2</t>
        </is>
      </c>
      <c r="E1085" s="23" t="inlineStr">
        <is>
          <t>R1402-v2</t>
        </is>
      </c>
      <c r="F1085" s="23" t="inlineStr">
        <is>
          <t>1.4.2 Vehicles and Depot - Depot Buildings</t>
        </is>
      </c>
      <c r="G1085" s="23" t="inlineStr">
        <is>
          <t>ONE_TO_ONE</t>
        </is>
      </c>
      <c r="H1085" s="23" t="inlineStr">
        <is>
          <t>RETAINED</t>
        </is>
      </c>
      <c r="I1085" s="23" t="inlineStr">
        <is>
          <t>Carried forward</t>
        </is>
      </c>
      <c r="J1085" s="23" t="inlineStr">
        <is>
          <t>Source assignment -- not individually reviewed</t>
        </is>
      </c>
      <c r="K1085" s="23" t="inlineStr"/>
      <c r="L1085" s="23" t="inlineStr"/>
      <c r="M1085" s="23" t="inlineStr"/>
      <c r="N1085" s="14" t="inlineStr">
        <is>
          <t>10 EVIDENCE &amp; DECISIONS</t>
        </is>
      </c>
    </row>
    <row r="1086" ht="34" customHeight="1">
      <c r="A1086" s="23" t="inlineStr">
        <is>
          <t>Commercial Package Register</t>
        </is>
      </c>
      <c r="B1086" s="23" t="inlineStr">
        <is>
          <t>PKG-041</t>
        </is>
      </c>
      <c r="C1086" s="23" t="inlineStr">
        <is>
          <t>Dynamic Testing</t>
        </is>
      </c>
      <c r="D1086" s="23" t="inlineStr">
        <is>
          <t>Package Code = PK-501; WBS Code = 1.5</t>
        </is>
      </c>
      <c r="E1086" s="23" t="inlineStr">
        <is>
          <t>R1603-v2</t>
        </is>
      </c>
      <c r="F1086" s="23" t="inlineStr">
        <is>
          <t>1.5 Testing and Commissioning</t>
        </is>
      </c>
      <c r="G1086" s="23" t="inlineStr">
        <is>
          <t>ONE_TO_ONE</t>
        </is>
      </c>
      <c r="H1086" s="23" t="inlineStr">
        <is>
          <t>RETAINED</t>
        </is>
      </c>
      <c r="I1086" s="23" t="inlineStr">
        <is>
          <t>Carried forward</t>
        </is>
      </c>
      <c r="J1086" s="23" t="inlineStr">
        <is>
          <t>Source assignment -- not individually reviewed</t>
        </is>
      </c>
      <c r="K1086" s="23" t="inlineStr"/>
      <c r="L1086" s="23" t="inlineStr"/>
      <c r="M1086" s="23" t="inlineStr"/>
      <c r="N1086" s="14" t="inlineStr">
        <is>
          <t>10 EVIDENCE &amp; DECISIONS</t>
        </is>
      </c>
    </row>
    <row r="1087" ht="34" customHeight="1">
      <c r="A1087" s="23" t="inlineStr">
        <is>
          <t>Commercial Package Register</t>
        </is>
      </c>
      <c r="B1087" s="23" t="inlineStr">
        <is>
          <t>PKG-042</t>
        </is>
      </c>
      <c r="C1087" s="23" t="inlineStr">
        <is>
          <t>Safety Certification</t>
        </is>
      </c>
      <c r="D1087" s="23" t="inlineStr">
        <is>
          <t>Package Code = PK-502; WBS Code = 1.5</t>
        </is>
      </c>
      <c r="E1087" s="23" t="inlineStr">
        <is>
          <t>R1604-v2</t>
        </is>
      </c>
      <c r="F1087" s="23" t="inlineStr">
        <is>
          <t>1.5 Testing and Commissioning</t>
        </is>
      </c>
      <c r="G1087" s="23" t="inlineStr">
        <is>
          <t>ONE_TO_ONE</t>
        </is>
      </c>
      <c r="H1087" s="23" t="inlineStr">
        <is>
          <t>RETAINED</t>
        </is>
      </c>
      <c r="I1087" s="23" t="inlineStr">
        <is>
          <t>Carried forward</t>
        </is>
      </c>
      <c r="J1087" s="23" t="inlineStr">
        <is>
          <t>Source assignment -- not individually reviewed</t>
        </is>
      </c>
      <c r="K1087" s="23" t="inlineStr"/>
      <c r="L1087" s="23" t="inlineStr"/>
      <c r="M1087" s="23" t="inlineStr"/>
      <c r="N1087" s="14" t="inlineStr">
        <is>
          <t>10 EVIDENCE &amp; DECISIONS</t>
        </is>
      </c>
    </row>
    <row r="1088" ht="34" customHeight="1">
      <c r="A1088" s="23" t="inlineStr">
        <is>
          <t>Commercial Package Register</t>
        </is>
      </c>
      <c r="B1088" s="23" t="inlineStr">
        <is>
          <t>PKG-043</t>
        </is>
      </c>
      <c r="C1088" s="23" t="inlineStr">
        <is>
          <t>Trial Running</t>
        </is>
      </c>
      <c r="D1088" s="23" t="inlineStr">
        <is>
          <t>Package Code = PK-503; WBS Code = 1.5</t>
        </is>
      </c>
      <c r="E1088" s="23" t="inlineStr">
        <is>
          <t>R1605-v2</t>
        </is>
      </c>
      <c r="F1088" s="23" t="inlineStr">
        <is>
          <t>1.5 Testing and Commissioning</t>
        </is>
      </c>
      <c r="G1088" s="23" t="inlineStr">
        <is>
          <t>ONE_TO_ONE</t>
        </is>
      </c>
      <c r="H1088" s="23" t="inlineStr">
        <is>
          <t>RETAINED</t>
        </is>
      </c>
      <c r="I1088" s="23" t="inlineStr">
        <is>
          <t>Carried forward</t>
        </is>
      </c>
      <c r="J1088" s="23" t="inlineStr">
        <is>
          <t>Source assignment -- not individually reviewed</t>
        </is>
      </c>
      <c r="K1088" s="23" t="inlineStr"/>
      <c r="L1088" s="23" t="inlineStr"/>
      <c r="M1088" s="23" t="inlineStr"/>
      <c r="N1088" s="14" t="inlineStr">
        <is>
          <t>10 EVIDENCE &amp; DECISIONS</t>
        </is>
      </c>
    </row>
    <row r="1089" ht="34" customHeight="1">
      <c r="A1089" s="23" t="inlineStr">
        <is>
          <t>Commercial Package Register</t>
        </is>
      </c>
      <c r="B1089" s="23" t="inlineStr">
        <is>
          <t>PKG-044</t>
        </is>
      </c>
      <c r="C1089" s="23" t="inlineStr">
        <is>
          <t>Readiness Support</t>
        </is>
      </c>
      <c r="D1089" s="23" t="inlineStr">
        <is>
          <t>Package Code = PK-504; WBS Code = 1.5</t>
        </is>
      </c>
      <c r="E1089" s="23" t="inlineStr">
        <is>
          <t>R1606-v2</t>
        </is>
      </c>
      <c r="F1089" s="23" t="inlineStr">
        <is>
          <t>1.5 Testing and Commissioning</t>
        </is>
      </c>
      <c r="G1089" s="23" t="inlineStr">
        <is>
          <t>ONE_TO_ONE</t>
        </is>
      </c>
      <c r="H1089" s="23" t="inlineStr">
        <is>
          <t>RETAINED</t>
        </is>
      </c>
      <c r="I1089" s="23" t="inlineStr">
        <is>
          <t>Carried forward</t>
        </is>
      </c>
      <c r="J1089" s="23" t="inlineStr">
        <is>
          <t>Source assignment -- not individually reviewed</t>
        </is>
      </c>
      <c r="K1089" s="23" t="inlineStr"/>
      <c r="L1089" s="23" t="inlineStr"/>
      <c r="M1089" s="23" t="inlineStr"/>
      <c r="N1089" s="14" t="inlineStr">
        <is>
          <t>10 EVIDENCE &amp; DECISIONS</t>
        </is>
      </c>
    </row>
    <row r="1090" ht="34" customHeight="1">
      <c r="A1090" s="23" t="inlineStr">
        <is>
          <t>Commercial Package Register</t>
        </is>
      </c>
      <c r="B1090" s="23" t="inlineStr">
        <is>
          <t>PKG-045</t>
        </is>
      </c>
      <c r="C1090" s="23" t="inlineStr">
        <is>
          <t>Dynamic Testing - Lot 2</t>
        </is>
      </c>
      <c r="D1090" s="23" t="inlineStr">
        <is>
          <t>Package Code = PK-505; WBS Code = 1.5</t>
        </is>
      </c>
      <c r="E1090" s="23" t="inlineStr">
        <is>
          <t>R1607-v2</t>
        </is>
      </c>
      <c r="F1090" s="23" t="inlineStr">
        <is>
          <t>1.5 Testing and Commissioning</t>
        </is>
      </c>
      <c r="G1090" s="23" t="inlineStr">
        <is>
          <t>ONE_TO_ONE</t>
        </is>
      </c>
      <c r="H1090" s="23" t="inlineStr">
        <is>
          <t>RETAINED</t>
        </is>
      </c>
      <c r="I1090" s="23" t="inlineStr">
        <is>
          <t>Carried forward</t>
        </is>
      </c>
      <c r="J1090" s="23" t="inlineStr">
        <is>
          <t>Source assignment -- not individually reviewed</t>
        </is>
      </c>
      <c r="K1090" s="23" t="inlineStr"/>
      <c r="L1090" s="23" t="inlineStr"/>
      <c r="M1090" s="23" t="inlineStr"/>
      <c r="N1090" s="14" t="inlineStr">
        <is>
          <t>10 EVIDENCE &amp; DECISIONS</t>
        </is>
      </c>
    </row>
    <row r="1091" ht="34" customHeight="1">
      <c r="A1091" s="23" t="inlineStr">
        <is>
          <t>Commercial Package Register</t>
        </is>
      </c>
      <c r="B1091" s="23" t="inlineStr">
        <is>
          <t>PKG-046</t>
        </is>
      </c>
      <c r="C1091" s="23" t="inlineStr">
        <is>
          <t>Safety Certification - Lot 2</t>
        </is>
      </c>
      <c r="D1091" s="23" t="inlineStr">
        <is>
          <t>Package Code = PK-506; WBS Code = 1.5</t>
        </is>
      </c>
      <c r="E1091" s="23" t="inlineStr">
        <is>
          <t>R1608-v2</t>
        </is>
      </c>
      <c r="F1091" s="23" t="inlineStr">
        <is>
          <t>1.5 Testing and Commissioning</t>
        </is>
      </c>
      <c r="G1091" s="23" t="inlineStr">
        <is>
          <t>ONE_TO_ONE</t>
        </is>
      </c>
      <c r="H1091" s="23" t="inlineStr">
        <is>
          <t>RETAINED</t>
        </is>
      </c>
      <c r="I1091" s="23" t="inlineStr">
        <is>
          <t>Carried forward</t>
        </is>
      </c>
      <c r="J1091" s="23" t="inlineStr">
        <is>
          <t>Source assignment -- not individually reviewed</t>
        </is>
      </c>
      <c r="K1091" s="23" t="inlineStr"/>
      <c r="L1091" s="23" t="inlineStr"/>
      <c r="M1091" s="23" t="inlineStr"/>
      <c r="N1091" s="14" t="inlineStr">
        <is>
          <t>10 EVIDENCE &amp; DECISIONS</t>
        </is>
      </c>
    </row>
    <row r="1092" ht="34" customHeight="1">
      <c r="A1092" s="23" t="inlineStr">
        <is>
          <t>Commercial Package Register</t>
        </is>
      </c>
      <c r="B1092" s="23" t="inlineStr">
        <is>
          <t>PKG-047</t>
        </is>
      </c>
      <c r="C1092" s="23" t="inlineStr">
        <is>
          <t>Trial Running - Lot 2</t>
        </is>
      </c>
      <c r="D1092" s="23" t="inlineStr">
        <is>
          <t>Package Code = PK-507; WBS Code = 1.5</t>
        </is>
      </c>
      <c r="E1092" s="23" t="inlineStr">
        <is>
          <t>R1609-v2</t>
        </is>
      </c>
      <c r="F1092" s="23" t="inlineStr">
        <is>
          <t>1.5 Testing and Commissioning</t>
        </is>
      </c>
      <c r="G1092" s="23" t="inlineStr">
        <is>
          <t>ONE_TO_ONE</t>
        </is>
      </c>
      <c r="H1092" s="23" t="inlineStr">
        <is>
          <t>RETAINED</t>
        </is>
      </c>
      <c r="I1092" s="23" t="inlineStr">
        <is>
          <t>Carried forward</t>
        </is>
      </c>
      <c r="J1092" s="23" t="inlineStr">
        <is>
          <t>Source assignment -- not individually reviewed</t>
        </is>
      </c>
      <c r="K1092" s="23" t="inlineStr"/>
      <c r="L1092" s="23" t="inlineStr"/>
      <c r="M1092" s="23" t="inlineStr"/>
      <c r="N1092" s="14" t="inlineStr">
        <is>
          <t>10 EVIDENCE &amp; DECISIONS</t>
        </is>
      </c>
    </row>
    <row r="1093" ht="34" customHeight="1">
      <c r="A1093" s="23" t="inlineStr">
        <is>
          <t>Commercial Package Register</t>
        </is>
      </c>
      <c r="B1093" s="23" t="inlineStr">
        <is>
          <t>PKG-048</t>
        </is>
      </c>
      <c r="C1093" s="23" t="inlineStr">
        <is>
          <t>Readiness Support - Lot 2</t>
        </is>
      </c>
      <c r="D1093" s="23" t="inlineStr">
        <is>
          <t>Package Code = PK-508; WBS Code = 1.5</t>
        </is>
      </c>
      <c r="E1093" s="23" t="inlineStr">
        <is>
          <t>R1610-v2</t>
        </is>
      </c>
      <c r="F1093" s="23" t="inlineStr">
        <is>
          <t>1.5 Testing and Commissioning</t>
        </is>
      </c>
      <c r="G1093" s="23" t="inlineStr">
        <is>
          <t>ONE_TO_ONE</t>
        </is>
      </c>
      <c r="H1093" s="23" t="inlineStr">
        <is>
          <t>RETAINED</t>
        </is>
      </c>
      <c r="I1093" s="23" t="inlineStr">
        <is>
          <t>Carried forward</t>
        </is>
      </c>
      <c r="J1093" s="23" t="inlineStr">
        <is>
          <t>Source assignment -- not individually reviewed</t>
        </is>
      </c>
      <c r="K1093" s="23" t="inlineStr"/>
      <c r="L1093" s="23" t="inlineStr"/>
      <c r="M1093" s="23" t="inlineStr"/>
      <c r="N1093" s="14" t="inlineStr">
        <is>
          <t>10 EVIDENCE &amp; DECISIONS</t>
        </is>
      </c>
    </row>
    <row r="1094" ht="34" customHeight="1">
      <c r="A1094" s="23" t="inlineStr">
        <is>
          <t>Commercial Package Register</t>
        </is>
      </c>
      <c r="B1094" s="23" t="inlineStr">
        <is>
          <t>PKG-049</t>
        </is>
      </c>
      <c r="C1094" s="23" t="inlineStr">
        <is>
          <t>Dynamic Testing - Lot 3</t>
        </is>
      </c>
      <c r="D1094" s="23" t="inlineStr">
        <is>
          <t>Package Code = PK-509; WBS Code = 1.5</t>
        </is>
      </c>
      <c r="E1094" s="23" t="inlineStr">
        <is>
          <t>R1611-v2</t>
        </is>
      </c>
      <c r="F1094" s="23" t="inlineStr">
        <is>
          <t>1.5 Testing and Commissioning</t>
        </is>
      </c>
      <c r="G1094" s="23" t="inlineStr">
        <is>
          <t>ONE_TO_ONE</t>
        </is>
      </c>
      <c r="H1094" s="23" t="inlineStr">
        <is>
          <t>RETAINED</t>
        </is>
      </c>
      <c r="I1094" s="23" t="inlineStr">
        <is>
          <t>Carried forward</t>
        </is>
      </c>
      <c r="J1094" s="23" t="inlineStr">
        <is>
          <t>Source assignment -- not individually reviewed</t>
        </is>
      </c>
      <c r="K1094" s="23" t="inlineStr"/>
      <c r="L1094" s="23" t="inlineStr"/>
      <c r="M1094" s="23" t="inlineStr"/>
      <c r="N1094" s="14" t="inlineStr">
        <is>
          <t>10 EVIDENCE &amp; DECISIONS</t>
        </is>
      </c>
    </row>
    <row r="1095" ht="34" customHeight="1">
      <c r="A1095" s="23" t="inlineStr">
        <is>
          <t>Commercial Package Register</t>
        </is>
      </c>
      <c r="B1095" s="23" t="inlineStr">
        <is>
          <t>PKG-050</t>
        </is>
      </c>
      <c r="C1095" s="23" t="inlineStr">
        <is>
          <t>Safety Certification - Lot 3</t>
        </is>
      </c>
      <c r="D1095" s="23" t="inlineStr">
        <is>
          <t>Package Code = PK-510; WBS Code = 1.5</t>
        </is>
      </c>
      <c r="E1095" s="23" t="inlineStr">
        <is>
          <t>R1612-v2</t>
        </is>
      </c>
      <c r="F1095" s="23" t="inlineStr">
        <is>
          <t>1.5 Testing and Commissioning</t>
        </is>
      </c>
      <c r="G1095" s="23" t="inlineStr">
        <is>
          <t>ONE_TO_ONE</t>
        </is>
      </c>
      <c r="H1095" s="23" t="inlineStr">
        <is>
          <t>RETAINED</t>
        </is>
      </c>
      <c r="I1095" s="23" t="inlineStr">
        <is>
          <t>Carried forward</t>
        </is>
      </c>
      <c r="J1095" s="23" t="inlineStr">
        <is>
          <t>Source assignment -- not individually reviewed</t>
        </is>
      </c>
      <c r="K1095" s="23" t="inlineStr"/>
      <c r="L1095" s="23" t="inlineStr"/>
      <c r="M1095" s="23" t="inlineStr"/>
      <c r="N1095" s="14" t="inlineStr">
        <is>
          <t>10 EVIDENCE &amp; DECISIONS</t>
        </is>
      </c>
    </row>
    <row r="1096" ht="34" customHeight="1">
      <c r="A1096" s="23" t="inlineStr">
        <is>
          <t>Contractor Programme</t>
        </is>
      </c>
      <c r="B1096" s="23" t="inlineStr">
        <is>
          <t>SCH-05-001</t>
        </is>
      </c>
      <c r="C1096" s="23" t="inlineStr">
        <is>
          <t>Central section: test procedure readiness review - field start</t>
        </is>
      </c>
      <c r="D1096" s="23" t="inlineStr">
        <is>
          <t>WBS Code = 1.5.1</t>
        </is>
      </c>
      <c r="E1096" s="23" t="inlineStr">
        <is>
          <t>R721-v2</t>
        </is>
      </c>
      <c r="F1096" s="23" t="inlineStr">
        <is>
          <t>1.5.1 Testing and Commissioning - Test Readiness</t>
        </is>
      </c>
      <c r="G1096" s="23" t="inlineStr">
        <is>
          <t>ONE_TO_ONE</t>
        </is>
      </c>
      <c r="H1096" s="23" t="inlineStr">
        <is>
          <t>RETAINED</t>
        </is>
      </c>
      <c r="I1096" s="23" t="inlineStr">
        <is>
          <t>Carried forward</t>
        </is>
      </c>
      <c r="J1096" s="23" t="inlineStr">
        <is>
          <t>Source assignment -- not individually reviewed</t>
        </is>
      </c>
      <c r="K1096" s="23" t="inlineStr"/>
      <c r="L1096" s="23" t="inlineStr"/>
      <c r="M1096" s="23" t="inlineStr"/>
      <c r="N1096" s="14" t="inlineStr">
        <is>
          <t>10 EVIDENCE &amp; DECISIONS</t>
        </is>
      </c>
    </row>
    <row r="1097" ht="34" customHeight="1">
      <c r="A1097" s="23" t="inlineStr">
        <is>
          <t>Contractor Programme</t>
        </is>
      </c>
      <c r="B1097" s="23" t="inlineStr">
        <is>
          <t>SCH-05-002</t>
        </is>
      </c>
      <c r="C1097" s="23" t="inlineStr">
        <is>
          <t>West terminal: emergency-response drill - installation</t>
        </is>
      </c>
      <c r="D1097" s="23" t="inlineStr">
        <is>
          <t>WBS Code = 1.5.1</t>
        </is>
      </c>
      <c r="E1097" s="23" t="inlineStr">
        <is>
          <t>R722-v2</t>
        </is>
      </c>
      <c r="F1097" s="23" t="inlineStr">
        <is>
          <t>1.5.1 Testing and Commissioning - Test Readiness</t>
        </is>
      </c>
      <c r="G1097" s="23" t="inlineStr">
        <is>
          <t>ONE_TO_ONE</t>
        </is>
      </c>
      <c r="H1097" s="23" t="inlineStr">
        <is>
          <t>RETAINED</t>
        </is>
      </c>
      <c r="I1097" s="23" t="inlineStr">
        <is>
          <t>Carried forward</t>
        </is>
      </c>
      <c r="J1097" s="23" t="inlineStr">
        <is>
          <t>Source assignment -- not individually reviewed</t>
        </is>
      </c>
      <c r="K1097" s="23" t="inlineStr"/>
      <c r="L1097" s="23" t="inlineStr"/>
      <c r="M1097" s="23" t="inlineStr"/>
      <c r="N1097" s="14" t="inlineStr">
        <is>
          <t>10 EVIDENCE &amp; DECISIONS</t>
        </is>
      </c>
    </row>
    <row r="1098" ht="34" customHeight="1">
      <c r="A1098" s="23" t="inlineStr">
        <is>
          <t>Contractor Programme</t>
        </is>
      </c>
      <c r="B1098" s="23" t="inlineStr">
        <is>
          <t>SCH-05-004</t>
        </is>
      </c>
      <c r="C1098" s="23" t="inlineStr">
        <is>
          <t>Control Centre: mainline dynamic test - turnover</t>
        </is>
      </c>
      <c r="D1098" s="23" t="inlineStr">
        <is>
          <t>WBS Code = 1.5.1</t>
        </is>
      </c>
      <c r="E1098" s="23" t="inlineStr">
        <is>
          <t>R724-v2</t>
        </is>
      </c>
      <c r="F1098" s="23" t="inlineStr">
        <is>
          <t>1.5.1 Testing and Commissioning - Test Readiness</t>
        </is>
      </c>
      <c r="G1098" s="23" t="inlineStr">
        <is>
          <t>ONE_TO_ONE</t>
        </is>
      </c>
      <c r="H1098" s="23" t="inlineStr">
        <is>
          <t>RETAINED</t>
        </is>
      </c>
      <c r="I1098" s="23" t="inlineStr">
        <is>
          <t>Carried forward</t>
        </is>
      </c>
      <c r="J1098" s="23" t="inlineStr">
        <is>
          <t>Source assignment -- not individually reviewed</t>
        </is>
      </c>
      <c r="K1098" s="23" t="inlineStr"/>
      <c r="L1098" s="23" t="inlineStr"/>
      <c r="M1098" s="23" t="inlineStr"/>
      <c r="N1098" s="14" t="inlineStr">
        <is>
          <t>10 EVIDENCE &amp; DECISIONS</t>
        </is>
      </c>
    </row>
    <row r="1099" ht="34" customHeight="1">
      <c r="A1099" s="23" t="inlineStr">
        <is>
          <t>Contractor Programme</t>
        </is>
      </c>
      <c r="B1099" s="23" t="inlineStr">
        <is>
          <t>SCH-05-005</t>
        </is>
      </c>
      <c r="C1099" s="23" t="inlineStr">
        <is>
          <t>Mainline east: safety certificate evidence closeout - release</t>
        </is>
      </c>
      <c r="D1099" s="23" t="inlineStr">
        <is>
          <t>WBS Code = 1.5.1</t>
        </is>
      </c>
      <c r="E1099" s="23" t="inlineStr">
        <is>
          <t>R725-v2</t>
        </is>
      </c>
      <c r="F1099" s="23" t="inlineStr">
        <is>
          <t>1.5.1 Testing and Commissioning - Test Readiness</t>
        </is>
      </c>
      <c r="G1099" s="23" t="inlineStr">
        <is>
          <t>ONE_TO_ONE</t>
        </is>
      </c>
      <c r="H1099" s="23" t="inlineStr">
        <is>
          <t>RETAINED</t>
        </is>
      </c>
      <c r="I1099" s="23" t="inlineStr">
        <is>
          <t>Carried forward</t>
        </is>
      </c>
      <c r="J1099" s="23" t="inlineStr">
        <is>
          <t>Source assignment -- not individually reviewed</t>
        </is>
      </c>
      <c r="K1099" s="23" t="inlineStr"/>
      <c r="L1099" s="23" t="inlineStr"/>
      <c r="M1099" s="23" t="inlineStr"/>
      <c r="N1099" s="14" t="inlineStr">
        <is>
          <t>10 EVIDENCE &amp; DECISIONS</t>
        </is>
      </c>
    </row>
    <row r="1100" ht="34" customHeight="1">
      <c r="A1100" s="23" t="inlineStr">
        <is>
          <t>Contractor Programme</t>
        </is>
      </c>
      <c r="B1100" s="23" t="inlineStr">
        <is>
          <t>SCH-05-007</t>
        </is>
      </c>
      <c r="C1100" s="23" t="inlineStr">
        <is>
          <t>West terminal: station integrated test - installation</t>
        </is>
      </c>
      <c r="D1100" s="23" t="inlineStr">
        <is>
          <t>WBS Code = 1.5.1</t>
        </is>
      </c>
      <c r="E1100" s="23" t="inlineStr">
        <is>
          <t>R727-v2</t>
        </is>
      </c>
      <c r="F1100" s="23" t="inlineStr">
        <is>
          <t>1.5.1 Testing and Commissioning - Test Readiness</t>
        </is>
      </c>
      <c r="G1100" s="23" t="inlineStr">
        <is>
          <t>ONE_TO_ONE</t>
        </is>
      </c>
      <c r="H1100" s="23" t="inlineStr">
        <is>
          <t>RETAINED</t>
        </is>
      </c>
      <c r="I1100" s="23" t="inlineStr">
        <is>
          <t>Carried forward</t>
        </is>
      </c>
      <c r="J1100" s="23" t="inlineStr">
        <is>
          <t>Source assignment -- not individually reviewed</t>
        </is>
      </c>
      <c r="K1100" s="23" t="inlineStr"/>
      <c r="L1100" s="23" t="inlineStr"/>
      <c r="M1100" s="23" t="inlineStr"/>
      <c r="N1100" s="14" t="inlineStr">
        <is>
          <t>10 EVIDENCE &amp; DECISIONS</t>
        </is>
      </c>
    </row>
    <row r="1101" ht="34" customHeight="1">
      <c r="A1101" s="23" t="inlineStr">
        <is>
          <t>Contractor Programme</t>
        </is>
      </c>
      <c r="B1101" s="23" t="inlineStr">
        <is>
          <t>SCH-05-008</t>
        </is>
      </c>
      <c r="C1101" s="23" t="inlineStr">
        <is>
          <t>Depot: trial-running shift - inspection</t>
        </is>
      </c>
      <c r="D1101" s="23" t="inlineStr">
        <is>
          <t>WBS Code = 1.5.1</t>
        </is>
      </c>
      <c r="E1101" s="23" t="inlineStr">
        <is>
          <t>R728-v2</t>
        </is>
      </c>
      <c r="F1101" s="23" t="inlineStr">
        <is>
          <t>1.5.1 Testing and Commissioning - Test Readiness</t>
        </is>
      </c>
      <c r="G1101" s="23" t="inlineStr">
        <is>
          <t>ONE_TO_ONE</t>
        </is>
      </c>
      <c r="H1101" s="23" t="inlineStr">
        <is>
          <t>RETAINED</t>
        </is>
      </c>
      <c r="I1101" s="23" t="inlineStr">
        <is>
          <t>Carried forward</t>
        </is>
      </c>
      <c r="J1101" s="23" t="inlineStr">
        <is>
          <t>Source assignment -- not individually reviewed</t>
        </is>
      </c>
      <c r="K1101" s="23" t="inlineStr"/>
      <c r="L1101" s="23" t="inlineStr"/>
      <c r="M1101" s="23" t="inlineStr"/>
      <c r="N1101" s="14" t="inlineStr">
        <is>
          <t>10 EVIDENCE &amp; DECISIONS</t>
        </is>
      </c>
    </row>
    <row r="1102" ht="34" customHeight="1">
      <c r="A1102" s="23" t="inlineStr">
        <is>
          <t>Contractor Programme</t>
        </is>
      </c>
      <c r="B1102" s="23" t="inlineStr">
        <is>
          <t>SCH-05-010</t>
        </is>
      </c>
      <c r="C1102" s="23" t="inlineStr">
        <is>
          <t>Mainline east: emergency-response drill - release</t>
        </is>
      </c>
      <c r="D1102" s="23" t="inlineStr">
        <is>
          <t>WBS Code = 1.5.1</t>
        </is>
      </c>
      <c r="E1102" s="23" t="inlineStr">
        <is>
          <t>R730-v2</t>
        </is>
      </c>
      <c r="F1102" s="23" t="inlineStr">
        <is>
          <t>1.5.1 Testing and Commissioning - Test Readiness</t>
        </is>
      </c>
      <c r="G1102" s="23" t="inlineStr">
        <is>
          <t>ONE_TO_ONE</t>
        </is>
      </c>
      <c r="H1102" s="23" t="inlineStr">
        <is>
          <t>RETAINED</t>
        </is>
      </c>
      <c r="I1102" s="23" t="inlineStr">
        <is>
          <t>Carried forward</t>
        </is>
      </c>
      <c r="J1102" s="23" t="inlineStr">
        <is>
          <t>Source assignment -- not individually reviewed</t>
        </is>
      </c>
      <c r="K1102" s="23" t="inlineStr"/>
      <c r="L1102" s="23" t="inlineStr"/>
      <c r="M1102" s="23" t="inlineStr"/>
      <c r="N1102" s="14" t="inlineStr">
        <is>
          <t>10 EVIDENCE &amp; DECISIONS</t>
        </is>
      </c>
    </row>
    <row r="1103" ht="34" customHeight="1">
      <c r="A1103" s="23" t="inlineStr">
        <is>
          <t>Contractor Programme</t>
        </is>
      </c>
      <c r="B1103" s="23" t="inlineStr">
        <is>
          <t>SCH-05-011</t>
        </is>
      </c>
      <c r="C1103" s="23" t="inlineStr">
        <is>
          <t>Central section: defect retest - field start</t>
        </is>
      </c>
      <c r="D1103" s="23" t="inlineStr">
        <is>
          <t>WBS Code = 1.5.1</t>
        </is>
      </c>
      <c r="E1103" s="23" t="inlineStr">
        <is>
          <t>R731-v2</t>
        </is>
      </c>
      <c r="F1103" s="23" t="inlineStr">
        <is>
          <t>1.5.1 Testing and Commissioning - Test Readiness</t>
        </is>
      </c>
      <c r="G1103" s="23" t="inlineStr">
        <is>
          <t>ONE_TO_ONE</t>
        </is>
      </c>
      <c r="H1103" s="23" t="inlineStr">
        <is>
          <t>RETAINED</t>
        </is>
      </c>
      <c r="I1103" s="23" t="inlineStr">
        <is>
          <t>Carried forward</t>
        </is>
      </c>
      <c r="J1103" s="23" t="inlineStr">
        <is>
          <t>Source assignment -- not individually reviewed</t>
        </is>
      </c>
      <c r="K1103" s="23" t="inlineStr"/>
      <c r="L1103" s="23" t="inlineStr"/>
      <c r="M1103" s="23" t="inlineStr"/>
      <c r="N1103" s="14" t="inlineStr">
        <is>
          <t>10 EVIDENCE &amp; DECISIONS</t>
        </is>
      </c>
    </row>
    <row r="1104" ht="34" customHeight="1">
      <c r="A1104" s="23" t="inlineStr">
        <is>
          <t>Contractor Programme</t>
        </is>
      </c>
      <c r="B1104" s="23" t="inlineStr">
        <is>
          <t>SCH-05-013</t>
        </is>
      </c>
      <c r="C1104" s="23" t="inlineStr">
        <is>
          <t>Depot: safety certificate evidence closeout - inspection</t>
        </is>
      </c>
      <c r="D1104" s="23" t="inlineStr">
        <is>
          <t>WBS Code = 1.5.1</t>
        </is>
      </c>
      <c r="E1104" s="23" t="inlineStr">
        <is>
          <t>R733-v2</t>
        </is>
      </c>
      <c r="F1104" s="23" t="inlineStr">
        <is>
          <t>1.5.1 Testing and Commissioning - Test Readiness</t>
        </is>
      </c>
      <c r="G1104" s="23" t="inlineStr">
        <is>
          <t>ONE_TO_ONE</t>
        </is>
      </c>
      <c r="H1104" s="23" t="inlineStr">
        <is>
          <t>RETAINED</t>
        </is>
      </c>
      <c r="I1104" s="23" t="inlineStr">
        <is>
          <t>Carried forward</t>
        </is>
      </c>
      <c r="J1104" s="23" t="inlineStr">
        <is>
          <t>Source assignment -- not individually reviewed</t>
        </is>
      </c>
      <c r="K1104" s="23" t="inlineStr"/>
      <c r="L1104" s="23" t="inlineStr"/>
      <c r="M1104" s="23" t="inlineStr"/>
      <c r="N1104" s="14" t="inlineStr">
        <is>
          <t>10 EVIDENCE &amp; DECISIONS</t>
        </is>
      </c>
    </row>
    <row r="1105" ht="34" customHeight="1">
      <c r="A1105" s="23" t="inlineStr">
        <is>
          <t>Contractor Programme</t>
        </is>
      </c>
      <c r="B1105" s="23" t="inlineStr">
        <is>
          <t>SCH-05-014</t>
        </is>
      </c>
      <c r="C1105" s="23" t="inlineStr">
        <is>
          <t>Control Centre: service-readiness review - turnover</t>
        </is>
      </c>
      <c r="D1105" s="23" t="inlineStr">
        <is>
          <t>WBS Code = 1.5.1</t>
        </is>
      </c>
      <c r="E1105" s="23" t="inlineStr">
        <is>
          <t>R734-v2</t>
        </is>
      </c>
      <c r="F1105" s="23" t="inlineStr">
        <is>
          <t>1.5.1 Testing and Commissioning - Test Readiness</t>
        </is>
      </c>
      <c r="G1105" s="23" t="inlineStr">
        <is>
          <t>ONE_TO_ONE</t>
        </is>
      </c>
      <c r="H1105" s="23" t="inlineStr">
        <is>
          <t>RETAINED</t>
        </is>
      </c>
      <c r="I1105" s="23" t="inlineStr">
        <is>
          <t>Carried forward</t>
        </is>
      </c>
      <c r="J1105" s="23" t="inlineStr">
        <is>
          <t>Source assignment -- not individually reviewed</t>
        </is>
      </c>
      <c r="K1105" s="23" t="inlineStr"/>
      <c r="L1105" s="23" t="inlineStr"/>
      <c r="M1105" s="23" t="inlineStr"/>
      <c r="N1105" s="14" t="inlineStr">
        <is>
          <t>10 EVIDENCE &amp; DECISIONS</t>
        </is>
      </c>
    </row>
    <row r="1106" ht="34" customHeight="1">
      <c r="A1106" s="23" t="inlineStr">
        <is>
          <t>Contractor Programme</t>
        </is>
      </c>
      <c r="B1106" s="23" t="inlineStr">
        <is>
          <t>SCH-05-016</t>
        </is>
      </c>
      <c r="C1106" s="23" t="inlineStr">
        <is>
          <t>Central section: trial-running shift - field start</t>
        </is>
      </c>
      <c r="D1106" s="23" t="inlineStr">
        <is>
          <t>WBS Code = 1.5.1</t>
        </is>
      </c>
      <c r="E1106" s="23" t="inlineStr">
        <is>
          <t>R736-v2</t>
        </is>
      </c>
      <c r="F1106" s="23" t="inlineStr">
        <is>
          <t>1.5.1 Testing and Commissioning - Test Readiness</t>
        </is>
      </c>
      <c r="G1106" s="23" t="inlineStr">
        <is>
          <t>ONE_TO_ONE</t>
        </is>
      </c>
      <c r="H1106" s="23" t="inlineStr">
        <is>
          <t>RETAINED</t>
        </is>
      </c>
      <c r="I1106" s="23" t="inlineStr">
        <is>
          <t>Carried forward</t>
        </is>
      </c>
      <c r="J1106" s="23" t="inlineStr">
        <is>
          <t>Source assignment -- not individually reviewed</t>
        </is>
      </c>
      <c r="K1106" s="23" t="inlineStr"/>
      <c r="L1106" s="23" t="inlineStr"/>
      <c r="M1106" s="23" t="inlineStr"/>
      <c r="N1106" s="14" t="inlineStr">
        <is>
          <t>10 EVIDENCE &amp; DECISIONS</t>
        </is>
      </c>
    </row>
    <row r="1107" ht="34" customHeight="1">
      <c r="A1107" s="23" t="inlineStr">
        <is>
          <t>Contractor Programme</t>
        </is>
      </c>
      <c r="B1107" s="23" t="inlineStr">
        <is>
          <t>SCH-05-017</t>
        </is>
      </c>
      <c r="C1107" s="23" t="inlineStr">
        <is>
          <t>West terminal: test procedure readiness review - installation</t>
        </is>
      </c>
      <c r="D1107" s="23" t="inlineStr">
        <is>
          <t>WBS Code = 1.5.1</t>
        </is>
      </c>
      <c r="E1107" s="23" t="inlineStr">
        <is>
          <t>R737-v2</t>
        </is>
      </c>
      <c r="F1107" s="23" t="inlineStr">
        <is>
          <t>1.5.1 Testing and Commissioning - Test Readiness</t>
        </is>
      </c>
      <c r="G1107" s="23" t="inlineStr">
        <is>
          <t>ONE_TO_ONE</t>
        </is>
      </c>
      <c r="H1107" s="23" t="inlineStr">
        <is>
          <t>RETAINED</t>
        </is>
      </c>
      <c r="I1107" s="23" t="inlineStr">
        <is>
          <t>Carried forward</t>
        </is>
      </c>
      <c r="J1107" s="23" t="inlineStr">
        <is>
          <t>Source assignment -- not individually reviewed</t>
        </is>
      </c>
      <c r="K1107" s="23" t="inlineStr"/>
      <c r="L1107" s="23" t="inlineStr"/>
      <c r="M1107" s="23" t="inlineStr"/>
      <c r="N1107" s="14" t="inlineStr">
        <is>
          <t>10 EVIDENCE &amp; DECISIONS</t>
        </is>
      </c>
    </row>
    <row r="1108" ht="34" customHeight="1">
      <c r="A1108" s="23" t="inlineStr">
        <is>
          <t>Contractor Programme</t>
        </is>
      </c>
      <c r="B1108" s="23" t="inlineStr">
        <is>
          <t>SCH-05-019</t>
        </is>
      </c>
      <c r="C1108" s="23" t="inlineStr">
        <is>
          <t>Control Centre: defect retest - turnover</t>
        </is>
      </c>
      <c r="D1108" s="23" t="inlineStr">
        <is>
          <t>WBS Code = 1.5.1</t>
        </is>
      </c>
      <c r="E1108" s="23" t="inlineStr">
        <is>
          <t>R739-v2</t>
        </is>
      </c>
      <c r="F1108" s="23" t="inlineStr">
        <is>
          <t>1.5.1 Testing and Commissioning - Test Readiness</t>
        </is>
      </c>
      <c r="G1108" s="23" t="inlineStr">
        <is>
          <t>ONE_TO_ONE</t>
        </is>
      </c>
      <c r="H1108" s="23" t="inlineStr">
        <is>
          <t>RETAINED</t>
        </is>
      </c>
      <c r="I1108" s="23" t="inlineStr">
        <is>
          <t>Carried forward</t>
        </is>
      </c>
      <c r="J1108" s="23" t="inlineStr">
        <is>
          <t>Source assignment -- not individually reviewed</t>
        </is>
      </c>
      <c r="K1108" s="23" t="inlineStr"/>
      <c r="L1108" s="23" t="inlineStr"/>
      <c r="M1108" s="23" t="inlineStr"/>
      <c r="N1108" s="14" t="inlineStr">
        <is>
          <t>10 EVIDENCE &amp; DECISIONS</t>
        </is>
      </c>
    </row>
    <row r="1109" ht="34" customHeight="1">
      <c r="A1109" s="23" t="inlineStr">
        <is>
          <t>Contractor Programme</t>
        </is>
      </c>
      <c r="B1109" s="23" t="inlineStr">
        <is>
          <t>SCH-05-020</t>
        </is>
      </c>
      <c r="C1109" s="23" t="inlineStr">
        <is>
          <t>Mainline east: mainline dynamic test - release</t>
        </is>
      </c>
      <c r="D1109" s="23" t="inlineStr">
        <is>
          <t>WBS Code = 1.5.1</t>
        </is>
      </c>
      <c r="E1109" s="23" t="inlineStr">
        <is>
          <t>R740-v2</t>
        </is>
      </c>
      <c r="F1109" s="23" t="inlineStr">
        <is>
          <t>1.5.1 Testing and Commissioning - Test Readiness</t>
        </is>
      </c>
      <c r="G1109" s="23" t="inlineStr">
        <is>
          <t>ONE_TO_ONE</t>
        </is>
      </c>
      <c r="H1109" s="23" t="inlineStr">
        <is>
          <t>RETAINED</t>
        </is>
      </c>
      <c r="I1109" s="23" t="inlineStr">
        <is>
          <t>Carried forward</t>
        </is>
      </c>
      <c r="J1109" s="23" t="inlineStr">
        <is>
          <t>Source assignment -- not individually reviewed</t>
        </is>
      </c>
      <c r="K1109" s="23" t="inlineStr"/>
      <c r="L1109" s="23" t="inlineStr"/>
      <c r="M1109" s="23" t="inlineStr"/>
      <c r="N1109" s="14" t="inlineStr">
        <is>
          <t>10 EVIDENCE &amp; DECISIONS</t>
        </is>
      </c>
    </row>
    <row r="1110" ht="34" customHeight="1">
      <c r="A1110" s="23" t="inlineStr">
        <is>
          <t>Contractor Programme</t>
        </is>
      </c>
      <c r="B1110" s="23" t="inlineStr">
        <is>
          <t>SCH-05-022</t>
        </is>
      </c>
      <c r="C1110" s="23" t="inlineStr">
        <is>
          <t>West terminal: service-readiness review - installation</t>
        </is>
      </c>
      <c r="D1110" s="23" t="inlineStr">
        <is>
          <t>WBS Code = 1.5.1</t>
        </is>
      </c>
      <c r="E1110" s="23" t="inlineStr">
        <is>
          <t>R742-v2</t>
        </is>
      </c>
      <c r="F1110" s="23" t="inlineStr">
        <is>
          <t>1.5.1 Testing and Commissioning - Test Readiness</t>
        </is>
      </c>
      <c r="G1110" s="23" t="inlineStr">
        <is>
          <t>ONE_TO_ONE</t>
        </is>
      </c>
      <c r="H1110" s="23" t="inlineStr">
        <is>
          <t>RETAINED</t>
        </is>
      </c>
      <c r="I1110" s="23" t="inlineStr">
        <is>
          <t>Carried forward</t>
        </is>
      </c>
      <c r="J1110" s="23" t="inlineStr">
        <is>
          <t>Source assignment -- not individually reviewed</t>
        </is>
      </c>
      <c r="K1110" s="23" t="inlineStr"/>
      <c r="L1110" s="23" t="inlineStr"/>
      <c r="M1110" s="23" t="inlineStr"/>
      <c r="N1110" s="14" t="inlineStr">
        <is>
          <t>10 EVIDENCE &amp; DECISIONS</t>
        </is>
      </c>
    </row>
    <row r="1111" ht="34" customHeight="1">
      <c r="A1111" s="23" t="inlineStr">
        <is>
          <t>Contractor Programme</t>
        </is>
      </c>
      <c r="B1111" s="23" t="inlineStr">
        <is>
          <t>SCH-05-023</t>
        </is>
      </c>
      <c r="C1111" s="23" t="inlineStr">
        <is>
          <t>Depot: station integrated test - inspection</t>
        </is>
      </c>
      <c r="D1111" s="23" t="inlineStr">
        <is>
          <t>WBS Code = 1.5.1</t>
        </is>
      </c>
      <c r="E1111" s="23" t="inlineStr">
        <is>
          <t>R743-v2</t>
        </is>
      </c>
      <c r="F1111" s="23" t="inlineStr">
        <is>
          <t>1.5.1 Testing and Commissioning - Test Readiness</t>
        </is>
      </c>
      <c r="G1111" s="23" t="inlineStr">
        <is>
          <t>ONE_TO_ONE</t>
        </is>
      </c>
      <c r="H1111" s="23" t="inlineStr">
        <is>
          <t>RETAINED</t>
        </is>
      </c>
      <c r="I1111" s="23" t="inlineStr">
        <is>
          <t>Carried forward</t>
        </is>
      </c>
      <c r="J1111" s="23" t="inlineStr">
        <is>
          <t>Source assignment -- not individually reviewed</t>
        </is>
      </c>
      <c r="K1111" s="23" t="inlineStr"/>
      <c r="L1111" s="23" t="inlineStr"/>
      <c r="M1111" s="23" t="inlineStr"/>
      <c r="N1111" s="14" t="inlineStr">
        <is>
          <t>10 EVIDENCE &amp; DECISIONS</t>
        </is>
      </c>
    </row>
    <row r="1112" ht="34" customHeight="1">
      <c r="A1112" s="23" t="inlineStr">
        <is>
          <t>Contractor Programme</t>
        </is>
      </c>
      <c r="B1112" s="23" t="inlineStr">
        <is>
          <t>SCH-05-025</t>
        </is>
      </c>
      <c r="C1112" s="23" t="inlineStr">
        <is>
          <t>Mainline east: test procedure readiness review - release</t>
        </is>
      </c>
      <c r="D1112" s="23" t="inlineStr">
        <is>
          <t>WBS Code = 1.5.1</t>
        </is>
      </c>
      <c r="E1112" s="23" t="inlineStr">
        <is>
          <t>R745-v2</t>
        </is>
      </c>
      <c r="F1112" s="23" t="inlineStr">
        <is>
          <t>1.5.1 Testing and Commissioning - Test Readiness</t>
        </is>
      </c>
      <c r="G1112" s="23" t="inlineStr">
        <is>
          <t>ONE_TO_ONE</t>
        </is>
      </c>
      <c r="H1112" s="23" t="inlineStr">
        <is>
          <t>RETAINED</t>
        </is>
      </c>
      <c r="I1112" s="23" t="inlineStr">
        <is>
          <t>Carried forward</t>
        </is>
      </c>
      <c r="J1112" s="23" t="inlineStr">
        <is>
          <t>Source assignment -- not individually reviewed</t>
        </is>
      </c>
      <c r="K1112" s="23" t="inlineStr"/>
      <c r="L1112" s="23" t="inlineStr"/>
      <c r="M1112" s="23" t="inlineStr"/>
      <c r="N1112" s="14" t="inlineStr">
        <is>
          <t>10 EVIDENCE &amp; DECISIONS</t>
        </is>
      </c>
    </row>
    <row r="1113" ht="34" customHeight="1">
      <c r="A1113" s="23" t="inlineStr">
        <is>
          <t>Contractor Programme</t>
        </is>
      </c>
      <c r="B1113" s="23" t="inlineStr">
        <is>
          <t>SCH-05-026</t>
        </is>
      </c>
      <c r="C1113" s="23" t="inlineStr">
        <is>
          <t>Central section: emergency-response drill - field start</t>
        </is>
      </c>
      <c r="D1113" s="23" t="inlineStr">
        <is>
          <t>WBS Code = 1.5.1</t>
        </is>
      </c>
      <c r="E1113" s="23" t="inlineStr">
        <is>
          <t>R746-v2</t>
        </is>
      </c>
      <c r="F1113" s="23" t="inlineStr">
        <is>
          <t>1.5.1 Testing and Commissioning - Test Readiness</t>
        </is>
      </c>
      <c r="G1113" s="23" t="inlineStr">
        <is>
          <t>ONE_TO_ONE</t>
        </is>
      </c>
      <c r="H1113" s="23" t="inlineStr">
        <is>
          <t>RETAINED</t>
        </is>
      </c>
      <c r="I1113" s="23" t="inlineStr">
        <is>
          <t>Carried forward</t>
        </is>
      </c>
      <c r="J1113" s="23" t="inlineStr">
        <is>
          <t>Source assignment -- not individually reviewed</t>
        </is>
      </c>
      <c r="K1113" s="23" t="inlineStr"/>
      <c r="L1113" s="23" t="inlineStr"/>
      <c r="M1113" s="23" t="inlineStr"/>
      <c r="N1113" s="14" t="inlineStr">
        <is>
          <t>10 EVIDENCE &amp; DECISIONS</t>
        </is>
      </c>
    </row>
    <row r="1114" ht="34" customHeight="1">
      <c r="A1114" s="23" t="inlineStr">
        <is>
          <t>Contractor Programme</t>
        </is>
      </c>
      <c r="B1114" s="23" t="inlineStr">
        <is>
          <t>SCH-05-028</t>
        </is>
      </c>
      <c r="C1114" s="23" t="inlineStr">
        <is>
          <t>Depot: mainline dynamic test - inspection</t>
        </is>
      </c>
      <c r="D1114" s="23" t="inlineStr">
        <is>
          <t>WBS Code = 1.5.1</t>
        </is>
      </c>
      <c r="E1114" s="23" t="inlineStr">
        <is>
          <t>R748-v2</t>
        </is>
      </c>
      <c r="F1114" s="23" t="inlineStr">
        <is>
          <t>1.5.1 Testing and Commissioning - Test Readiness</t>
        </is>
      </c>
      <c r="G1114" s="23" t="inlineStr">
        <is>
          <t>ONE_TO_ONE</t>
        </is>
      </c>
      <c r="H1114" s="23" t="inlineStr">
        <is>
          <t>RETAINED</t>
        </is>
      </c>
      <c r="I1114" s="23" t="inlineStr">
        <is>
          <t>Carried forward</t>
        </is>
      </c>
      <c r="J1114" s="23" t="inlineStr">
        <is>
          <t>Source assignment -- not individually reviewed</t>
        </is>
      </c>
      <c r="K1114" s="23" t="inlineStr"/>
      <c r="L1114" s="23" t="inlineStr"/>
      <c r="M1114" s="23" t="inlineStr"/>
      <c r="N1114" s="14" t="inlineStr">
        <is>
          <t>10 EVIDENCE &amp; DECISIONS</t>
        </is>
      </c>
    </row>
    <row r="1115" ht="34" customHeight="1">
      <c r="A1115" s="23" t="inlineStr">
        <is>
          <t>Contractor Programme</t>
        </is>
      </c>
      <c r="B1115" s="23" t="inlineStr">
        <is>
          <t>SCH-05-029</t>
        </is>
      </c>
      <c r="C1115" s="23" t="inlineStr">
        <is>
          <t>Control Centre: safety certificate evidence closeout - turnover</t>
        </is>
      </c>
      <c r="D1115" s="23" t="inlineStr">
        <is>
          <t>WBS Code = 1.5.1</t>
        </is>
      </c>
      <c r="E1115" s="23" t="inlineStr">
        <is>
          <t>R749-v2</t>
        </is>
      </c>
      <c r="F1115" s="23" t="inlineStr">
        <is>
          <t>1.5.1 Testing and Commissioning - Test Readiness</t>
        </is>
      </c>
      <c r="G1115" s="23" t="inlineStr">
        <is>
          <t>ONE_TO_ONE</t>
        </is>
      </c>
      <c r="H1115" s="23" t="inlineStr">
        <is>
          <t>RETAINED</t>
        </is>
      </c>
      <c r="I1115" s="23" t="inlineStr">
        <is>
          <t>Carried forward</t>
        </is>
      </c>
      <c r="J1115" s="23" t="inlineStr">
        <is>
          <t>Source assignment -- not individually reviewed</t>
        </is>
      </c>
      <c r="K1115" s="23" t="inlineStr"/>
      <c r="L1115" s="23" t="inlineStr"/>
      <c r="M1115" s="23" t="inlineStr"/>
      <c r="N1115" s="14" t="inlineStr">
        <is>
          <t>10 EVIDENCE &amp; DECISIONS</t>
        </is>
      </c>
    </row>
    <row r="1116" ht="34" customHeight="1">
      <c r="A1116" s="23" t="inlineStr">
        <is>
          <t>Contractor Programme</t>
        </is>
      </c>
      <c r="B1116" s="23" t="inlineStr">
        <is>
          <t>SCH-05-031</t>
        </is>
      </c>
      <c r="C1116" s="23" t="inlineStr">
        <is>
          <t>Central section: station integrated test - field start</t>
        </is>
      </c>
      <c r="D1116" s="23" t="inlineStr">
        <is>
          <t>WBS Code = 1.5.1</t>
        </is>
      </c>
      <c r="E1116" s="23" t="inlineStr">
        <is>
          <t>R751-v2</t>
        </is>
      </c>
      <c r="F1116" s="23" t="inlineStr">
        <is>
          <t>1.5.1 Testing and Commissioning - Test Readiness</t>
        </is>
      </c>
      <c r="G1116" s="23" t="inlineStr">
        <is>
          <t>ONE_TO_ONE</t>
        </is>
      </c>
      <c r="H1116" s="23" t="inlineStr">
        <is>
          <t>RETAINED</t>
        </is>
      </c>
      <c r="I1116" s="23" t="inlineStr">
        <is>
          <t>Carried forward</t>
        </is>
      </c>
      <c r="J1116" s="23" t="inlineStr">
        <is>
          <t>Source assignment -- not individually reviewed</t>
        </is>
      </c>
      <c r="K1116" s="23" t="inlineStr"/>
      <c r="L1116" s="23" t="inlineStr"/>
      <c r="M1116" s="23" t="inlineStr"/>
      <c r="N1116" s="14" t="inlineStr">
        <is>
          <t>10 EVIDENCE &amp; DECISIONS</t>
        </is>
      </c>
    </row>
    <row r="1117" ht="34" customHeight="1">
      <c r="A1117" s="23" t="inlineStr">
        <is>
          <t>Contractor Programme</t>
        </is>
      </c>
      <c r="B1117" s="23" t="inlineStr">
        <is>
          <t>SCH-05-032</t>
        </is>
      </c>
      <c r="C1117" s="23" t="inlineStr">
        <is>
          <t>West terminal: trial-running shift - installation</t>
        </is>
      </c>
      <c r="D1117" s="23" t="inlineStr">
        <is>
          <t>WBS Code = 1.5.1</t>
        </is>
      </c>
      <c r="E1117" s="23" t="inlineStr">
        <is>
          <t>R752-v2</t>
        </is>
      </c>
      <c r="F1117" s="23" t="inlineStr">
        <is>
          <t>1.5.1 Testing and Commissioning - Test Readiness</t>
        </is>
      </c>
      <c r="G1117" s="23" t="inlineStr">
        <is>
          <t>ONE_TO_ONE</t>
        </is>
      </c>
      <c r="H1117" s="23" t="inlineStr">
        <is>
          <t>RETAINED</t>
        </is>
      </c>
      <c r="I1117" s="23" t="inlineStr">
        <is>
          <t>Carried forward</t>
        </is>
      </c>
      <c r="J1117" s="23" t="inlineStr">
        <is>
          <t>Source assignment -- not individually reviewed</t>
        </is>
      </c>
      <c r="K1117" s="23" t="inlineStr"/>
      <c r="L1117" s="23" t="inlineStr"/>
      <c r="M1117" s="23" t="inlineStr"/>
      <c r="N1117" s="14" t="inlineStr">
        <is>
          <t>10 EVIDENCE &amp; DECISIONS</t>
        </is>
      </c>
    </row>
    <row r="1118" ht="34" customHeight="1">
      <c r="A1118" s="23" t="inlineStr">
        <is>
          <t>Contractor Programme</t>
        </is>
      </c>
      <c r="B1118" s="23" t="inlineStr">
        <is>
          <t>SCH-05-034</t>
        </is>
      </c>
      <c r="C1118" s="23" t="inlineStr">
        <is>
          <t>Control Centre: emergency-response drill - turnover</t>
        </is>
      </c>
      <c r="D1118" s="23" t="inlineStr">
        <is>
          <t>WBS Code = 1.5.1</t>
        </is>
      </c>
      <c r="E1118" s="23" t="inlineStr">
        <is>
          <t>R754-v2</t>
        </is>
      </c>
      <c r="F1118" s="23" t="inlineStr">
        <is>
          <t>1.5.1 Testing and Commissioning - Test Readiness</t>
        </is>
      </c>
      <c r="G1118" s="23" t="inlineStr">
        <is>
          <t>ONE_TO_ONE</t>
        </is>
      </c>
      <c r="H1118" s="23" t="inlineStr">
        <is>
          <t>RETAINED</t>
        </is>
      </c>
      <c r="I1118" s="23" t="inlineStr">
        <is>
          <t>Carried forward</t>
        </is>
      </c>
      <c r="J1118" s="23" t="inlineStr">
        <is>
          <t>Source assignment -- not individually reviewed</t>
        </is>
      </c>
      <c r="K1118" s="23" t="inlineStr"/>
      <c r="L1118" s="23" t="inlineStr"/>
      <c r="M1118" s="23" t="inlineStr"/>
      <c r="N1118" s="14" t="inlineStr">
        <is>
          <t>10 EVIDENCE &amp; DECISIONS</t>
        </is>
      </c>
    </row>
    <row r="1119" ht="34" customHeight="1">
      <c r="A1119" s="23" t="inlineStr">
        <is>
          <t>Contractor Programme</t>
        </is>
      </c>
      <c r="B1119" s="23" t="inlineStr">
        <is>
          <t>SCH-05-035</t>
        </is>
      </c>
      <c r="C1119" s="23" t="inlineStr">
        <is>
          <t>Mainline east: defect retest - release</t>
        </is>
      </c>
      <c r="D1119" s="23" t="inlineStr">
        <is>
          <t>WBS Code = 1.5.1</t>
        </is>
      </c>
      <c r="E1119" s="23" t="inlineStr">
        <is>
          <t>R755-v2</t>
        </is>
      </c>
      <c r="F1119" s="23" t="inlineStr">
        <is>
          <t>1.5.1 Testing and Commissioning - Test Readiness</t>
        </is>
      </c>
      <c r="G1119" s="23" t="inlineStr">
        <is>
          <t>ONE_TO_ONE</t>
        </is>
      </c>
      <c r="H1119" s="23" t="inlineStr">
        <is>
          <t>RETAINED</t>
        </is>
      </c>
      <c r="I1119" s="23" t="inlineStr">
        <is>
          <t>Carried forward</t>
        </is>
      </c>
      <c r="J1119" s="23" t="inlineStr">
        <is>
          <t>Source assignment -- not individually reviewed</t>
        </is>
      </c>
      <c r="K1119" s="23" t="inlineStr"/>
      <c r="L1119" s="23" t="inlineStr"/>
      <c r="M1119" s="23" t="inlineStr"/>
      <c r="N1119" s="14" t="inlineStr">
        <is>
          <t>10 EVIDENCE &amp; DECISIONS</t>
        </is>
      </c>
    </row>
    <row r="1120" ht="34" customHeight="1">
      <c r="A1120" s="23" t="inlineStr">
        <is>
          <t>Contractor Programme</t>
        </is>
      </c>
      <c r="B1120" s="23" t="inlineStr">
        <is>
          <t>SCH-05-037</t>
        </is>
      </c>
      <c r="C1120" s="23" t="inlineStr">
        <is>
          <t>West terminal: safety certificate evidence closeout - installation</t>
        </is>
      </c>
      <c r="D1120" s="23" t="inlineStr">
        <is>
          <t>WBS Code = 1.5.1</t>
        </is>
      </c>
      <c r="E1120" s="23" t="inlineStr">
        <is>
          <t>R757-v2</t>
        </is>
      </c>
      <c r="F1120" s="23" t="inlineStr">
        <is>
          <t>1.5.1 Testing and Commissioning - Test Readiness</t>
        </is>
      </c>
      <c r="G1120" s="23" t="inlineStr">
        <is>
          <t>ONE_TO_ONE</t>
        </is>
      </c>
      <c r="H1120" s="23" t="inlineStr">
        <is>
          <t>RETAINED</t>
        </is>
      </c>
      <c r="I1120" s="23" t="inlineStr">
        <is>
          <t>Carried forward</t>
        </is>
      </c>
      <c r="J1120" s="23" t="inlineStr">
        <is>
          <t>Source assignment -- not individually reviewed</t>
        </is>
      </c>
      <c r="K1120" s="23" t="inlineStr"/>
      <c r="L1120" s="23" t="inlineStr"/>
      <c r="M1120" s="23" t="inlineStr"/>
      <c r="N1120" s="14" t="inlineStr">
        <is>
          <t>10 EVIDENCE &amp; DECISIONS</t>
        </is>
      </c>
    </row>
    <row r="1121" ht="34" customHeight="1">
      <c r="A1121" s="23" t="inlineStr">
        <is>
          <t>Contractor Programme</t>
        </is>
      </c>
      <c r="B1121" s="23" t="inlineStr">
        <is>
          <t>SCH-05-038</t>
        </is>
      </c>
      <c r="C1121" s="23" t="inlineStr">
        <is>
          <t>Depot: service-readiness review - inspection</t>
        </is>
      </c>
      <c r="D1121" s="23" t="inlineStr">
        <is>
          <t>WBS Code = 1.5.1</t>
        </is>
      </c>
      <c r="E1121" s="23" t="inlineStr">
        <is>
          <t>R758-v2</t>
        </is>
      </c>
      <c r="F1121" s="23" t="inlineStr">
        <is>
          <t>1.5.1 Testing and Commissioning - Test Readiness</t>
        </is>
      </c>
      <c r="G1121" s="23" t="inlineStr">
        <is>
          <t>ONE_TO_ONE</t>
        </is>
      </c>
      <c r="H1121" s="23" t="inlineStr">
        <is>
          <t>RETAINED</t>
        </is>
      </c>
      <c r="I1121" s="23" t="inlineStr">
        <is>
          <t>Carried forward</t>
        </is>
      </c>
      <c r="J1121" s="23" t="inlineStr">
        <is>
          <t>Source assignment -- not individually reviewed</t>
        </is>
      </c>
      <c r="K1121" s="23" t="inlineStr"/>
      <c r="L1121" s="23" t="inlineStr"/>
      <c r="M1121" s="23" t="inlineStr"/>
      <c r="N1121" s="14" t="inlineStr">
        <is>
          <t>10 EVIDENCE &amp; DECISIONS</t>
        </is>
      </c>
    </row>
    <row r="1122" ht="34" customHeight="1">
      <c r="A1122" s="23" t="inlineStr">
        <is>
          <t>Contractor Programme</t>
        </is>
      </c>
      <c r="B1122" s="23" t="inlineStr">
        <is>
          <t>SCH-05-040</t>
        </is>
      </c>
      <c r="C1122" s="23" t="inlineStr">
        <is>
          <t>Mainline east: trial-running shift - release</t>
        </is>
      </c>
      <c r="D1122" s="23" t="inlineStr">
        <is>
          <t>WBS Code = 1.5.1</t>
        </is>
      </c>
      <c r="E1122" s="23" t="inlineStr">
        <is>
          <t>R760-v2</t>
        </is>
      </c>
      <c r="F1122" s="23" t="inlineStr">
        <is>
          <t>1.5.1 Testing and Commissioning - Test Readiness</t>
        </is>
      </c>
      <c r="G1122" s="23" t="inlineStr">
        <is>
          <t>ONE_TO_ONE</t>
        </is>
      </c>
      <c r="H1122" s="23" t="inlineStr">
        <is>
          <t>RETAINED</t>
        </is>
      </c>
      <c r="I1122" s="23" t="inlineStr">
        <is>
          <t>Carried forward</t>
        </is>
      </c>
      <c r="J1122" s="23" t="inlineStr">
        <is>
          <t>Source assignment -- not individually reviewed</t>
        </is>
      </c>
      <c r="K1122" s="23" t="inlineStr"/>
      <c r="L1122" s="23" t="inlineStr"/>
      <c r="M1122" s="23" t="inlineStr"/>
      <c r="N1122" s="14" t="inlineStr">
        <is>
          <t>10 EVIDENCE &amp; DECISIONS</t>
        </is>
      </c>
    </row>
    <row r="1123" ht="34" customHeight="1">
      <c r="A1123" s="23" t="inlineStr">
        <is>
          <t>Contractor Programme</t>
        </is>
      </c>
      <c r="B1123" s="23" t="inlineStr">
        <is>
          <t>SCH-05-041</t>
        </is>
      </c>
      <c r="C1123" s="23" t="inlineStr">
        <is>
          <t>Central section: test procedure readiness review - field start</t>
        </is>
      </c>
      <c r="D1123" s="23" t="inlineStr">
        <is>
          <t>WBS Code = 1.5.1</t>
        </is>
      </c>
      <c r="E1123" s="23" t="inlineStr">
        <is>
          <t>R761-v2</t>
        </is>
      </c>
      <c r="F1123" s="23" t="inlineStr">
        <is>
          <t>1.5.1 Testing and Commissioning - Test Readiness</t>
        </is>
      </c>
      <c r="G1123" s="23" t="inlineStr">
        <is>
          <t>ONE_TO_ONE</t>
        </is>
      </c>
      <c r="H1123" s="23" t="inlineStr">
        <is>
          <t>RETAINED</t>
        </is>
      </c>
      <c r="I1123" s="23" t="inlineStr">
        <is>
          <t>Carried forward</t>
        </is>
      </c>
      <c r="J1123" s="23" t="inlineStr">
        <is>
          <t>Source assignment -- not individually reviewed</t>
        </is>
      </c>
      <c r="K1123" s="23" t="inlineStr"/>
      <c r="L1123" s="23" t="inlineStr"/>
      <c r="M1123" s="23" t="inlineStr"/>
      <c r="N1123" s="14" t="inlineStr">
        <is>
          <t>10 EVIDENCE &amp; DECISIONS</t>
        </is>
      </c>
    </row>
    <row r="1124" ht="34" customHeight="1">
      <c r="A1124" s="23" t="inlineStr">
        <is>
          <t>Contractor Programme</t>
        </is>
      </c>
      <c r="B1124" s="23" t="inlineStr">
        <is>
          <t>SCH-05-043</t>
        </is>
      </c>
      <c r="C1124" s="23" t="inlineStr">
        <is>
          <t>Depot: defect retest - inspection</t>
        </is>
      </c>
      <c r="D1124" s="23" t="inlineStr">
        <is>
          <t>WBS Code = 1.5.1</t>
        </is>
      </c>
      <c r="E1124" s="23" t="inlineStr">
        <is>
          <t>R763-v2</t>
        </is>
      </c>
      <c r="F1124" s="23" t="inlineStr">
        <is>
          <t>1.5.1 Testing and Commissioning - Test Readiness</t>
        </is>
      </c>
      <c r="G1124" s="23" t="inlineStr">
        <is>
          <t>ONE_TO_ONE</t>
        </is>
      </c>
      <c r="H1124" s="23" t="inlineStr">
        <is>
          <t>RETAINED</t>
        </is>
      </c>
      <c r="I1124" s="23" t="inlineStr">
        <is>
          <t>Carried forward</t>
        </is>
      </c>
      <c r="J1124" s="23" t="inlineStr">
        <is>
          <t>Source assignment -- not individually reviewed</t>
        </is>
      </c>
      <c r="K1124" s="23" t="inlineStr"/>
      <c r="L1124" s="23" t="inlineStr"/>
      <c r="M1124" s="23" t="inlineStr"/>
      <c r="N1124" s="14" t="inlineStr">
        <is>
          <t>10 EVIDENCE &amp; DECISIONS</t>
        </is>
      </c>
    </row>
    <row r="1125" ht="34" customHeight="1">
      <c r="A1125" s="23" t="inlineStr">
        <is>
          <t>Contractor Programme</t>
        </is>
      </c>
      <c r="B1125" s="23" t="inlineStr">
        <is>
          <t>SCH-05-044</t>
        </is>
      </c>
      <c r="C1125" s="23" t="inlineStr">
        <is>
          <t>Control Centre: mainline dynamic test - turnover</t>
        </is>
      </c>
      <c r="D1125" s="23" t="inlineStr">
        <is>
          <t>WBS Code = 1.5.1</t>
        </is>
      </c>
      <c r="E1125" s="23" t="inlineStr">
        <is>
          <t>R764-v2</t>
        </is>
      </c>
      <c r="F1125" s="23" t="inlineStr">
        <is>
          <t>1.5.1 Testing and Commissioning - Test Readiness</t>
        </is>
      </c>
      <c r="G1125" s="23" t="inlineStr">
        <is>
          <t>ONE_TO_ONE</t>
        </is>
      </c>
      <c r="H1125" s="23" t="inlineStr">
        <is>
          <t>RETAINED</t>
        </is>
      </c>
      <c r="I1125" s="23" t="inlineStr">
        <is>
          <t>Carried forward</t>
        </is>
      </c>
      <c r="J1125" s="23" t="inlineStr">
        <is>
          <t>Source assignment -- not individually reviewed</t>
        </is>
      </c>
      <c r="K1125" s="23" t="inlineStr"/>
      <c r="L1125" s="23" t="inlineStr"/>
      <c r="M1125" s="23" t="inlineStr"/>
      <c r="N1125" s="14" t="inlineStr">
        <is>
          <t>10 EVIDENCE &amp; DECISIONS</t>
        </is>
      </c>
    </row>
    <row r="1126" ht="34" customHeight="1">
      <c r="A1126" s="23" t="inlineStr">
        <is>
          <t>Contractor Programme</t>
        </is>
      </c>
      <c r="B1126" s="23" t="inlineStr">
        <is>
          <t>SCH-05-046</t>
        </is>
      </c>
      <c r="C1126" s="23" t="inlineStr">
        <is>
          <t>Central section: service-readiness review - field start</t>
        </is>
      </c>
      <c r="D1126" s="23" t="inlineStr">
        <is>
          <t>WBS Code = 1.5.1</t>
        </is>
      </c>
      <c r="E1126" s="23" t="inlineStr">
        <is>
          <t>R766-v2</t>
        </is>
      </c>
      <c r="F1126" s="23" t="inlineStr">
        <is>
          <t>1.5.1 Testing and Commissioning - Test Readiness</t>
        </is>
      </c>
      <c r="G1126" s="23" t="inlineStr">
        <is>
          <t>ONE_TO_ONE</t>
        </is>
      </c>
      <c r="H1126" s="23" t="inlineStr">
        <is>
          <t>RETAINED</t>
        </is>
      </c>
      <c r="I1126" s="23" t="inlineStr">
        <is>
          <t>Carried forward</t>
        </is>
      </c>
      <c r="J1126" s="23" t="inlineStr">
        <is>
          <t>Source assignment -- not individually reviewed</t>
        </is>
      </c>
      <c r="K1126" s="23" t="inlineStr"/>
      <c r="L1126" s="23" t="inlineStr"/>
      <c r="M1126" s="23" t="inlineStr"/>
      <c r="N1126" s="14" t="inlineStr">
        <is>
          <t>10 EVIDENCE &amp; DECISIONS</t>
        </is>
      </c>
    </row>
    <row r="1127" ht="34" customHeight="1">
      <c r="A1127" s="23" t="inlineStr">
        <is>
          <t>Contractor Programme</t>
        </is>
      </c>
      <c r="B1127" s="23" t="inlineStr">
        <is>
          <t>SCH-05-047</t>
        </is>
      </c>
      <c r="C1127" s="23" t="inlineStr">
        <is>
          <t>West terminal: station integrated test - installation</t>
        </is>
      </c>
      <c r="D1127" s="23" t="inlineStr">
        <is>
          <t>WBS Code = 1.5.1</t>
        </is>
      </c>
      <c r="E1127" s="23" t="inlineStr">
        <is>
          <t>R767-v2</t>
        </is>
      </c>
      <c r="F1127" s="23" t="inlineStr">
        <is>
          <t>1.5.1 Testing and Commissioning - Test Readiness</t>
        </is>
      </c>
      <c r="G1127" s="23" t="inlineStr">
        <is>
          <t>ONE_TO_ONE</t>
        </is>
      </c>
      <c r="H1127" s="23" t="inlineStr">
        <is>
          <t>RETAINED</t>
        </is>
      </c>
      <c r="I1127" s="23" t="inlineStr">
        <is>
          <t>Carried forward</t>
        </is>
      </c>
      <c r="J1127" s="23" t="inlineStr">
        <is>
          <t>Source assignment -- not individually reviewed</t>
        </is>
      </c>
      <c r="K1127" s="23" t="inlineStr"/>
      <c r="L1127" s="23" t="inlineStr"/>
      <c r="M1127" s="23" t="inlineStr"/>
      <c r="N1127" s="14" t="inlineStr">
        <is>
          <t>10 EVIDENCE &amp; DECISIONS</t>
        </is>
      </c>
    </row>
    <row r="1128" ht="34" customHeight="1">
      <c r="A1128" s="23" t="inlineStr">
        <is>
          <t>Contractor Programme</t>
        </is>
      </c>
      <c r="B1128" s="23" t="inlineStr">
        <is>
          <t>SCH-05-049</t>
        </is>
      </c>
      <c r="C1128" s="23" t="inlineStr">
        <is>
          <t>Control Centre: test procedure readiness review - turnover</t>
        </is>
      </c>
      <c r="D1128" s="23" t="inlineStr">
        <is>
          <t>WBS Code = 1.5.1</t>
        </is>
      </c>
      <c r="E1128" s="23" t="inlineStr">
        <is>
          <t>R769-v2</t>
        </is>
      </c>
      <c r="F1128" s="23" t="inlineStr">
        <is>
          <t>1.5.1 Testing and Commissioning - Test Readiness</t>
        </is>
      </c>
      <c r="G1128" s="23" t="inlineStr">
        <is>
          <t>ONE_TO_ONE</t>
        </is>
      </c>
      <c r="H1128" s="23" t="inlineStr">
        <is>
          <t>RETAINED</t>
        </is>
      </c>
      <c r="I1128" s="23" t="inlineStr">
        <is>
          <t>Carried forward</t>
        </is>
      </c>
      <c r="J1128" s="23" t="inlineStr">
        <is>
          <t>Source assignment -- not individually reviewed</t>
        </is>
      </c>
      <c r="K1128" s="23" t="inlineStr"/>
      <c r="L1128" s="23" t="inlineStr"/>
      <c r="M1128" s="23" t="inlineStr"/>
      <c r="N1128" s="14" t="inlineStr">
        <is>
          <t>10 EVIDENCE &amp; DECISIONS</t>
        </is>
      </c>
    </row>
    <row r="1129" ht="34" customHeight="1">
      <c r="A1129" s="23" t="inlineStr">
        <is>
          <t>Contractor Programme</t>
        </is>
      </c>
      <c r="B1129" s="23" t="inlineStr">
        <is>
          <t>SCH-05-050</t>
        </is>
      </c>
      <c r="C1129" s="23" t="inlineStr">
        <is>
          <t>Mainline east: emergency-response drill - release</t>
        </is>
      </c>
      <c r="D1129" s="23" t="inlineStr">
        <is>
          <t>WBS Code = 1.5.1</t>
        </is>
      </c>
      <c r="E1129" s="23" t="inlineStr">
        <is>
          <t>R770-v2</t>
        </is>
      </c>
      <c r="F1129" s="23" t="inlineStr">
        <is>
          <t>1.5.1 Testing and Commissioning - Test Readiness</t>
        </is>
      </c>
      <c r="G1129" s="23" t="inlineStr">
        <is>
          <t>ONE_TO_ONE</t>
        </is>
      </c>
      <c r="H1129" s="23" t="inlineStr">
        <is>
          <t>RETAINED</t>
        </is>
      </c>
      <c r="I1129" s="23" t="inlineStr">
        <is>
          <t>Carried forward</t>
        </is>
      </c>
      <c r="J1129" s="23" t="inlineStr">
        <is>
          <t>Source assignment -- not individually reviewed</t>
        </is>
      </c>
      <c r="K1129" s="23" t="inlineStr"/>
      <c r="L1129" s="23" t="inlineStr"/>
      <c r="M1129" s="23" t="inlineStr"/>
      <c r="N1129" s="14" t="inlineStr">
        <is>
          <t>10 EVIDENCE &amp; DECISIONS</t>
        </is>
      </c>
    </row>
    <row r="1130" ht="34" customHeight="1">
      <c r="A1130" s="23" t="inlineStr">
        <is>
          <t>Contractor Programme</t>
        </is>
      </c>
      <c r="B1130" s="23" t="inlineStr">
        <is>
          <t>SCH-05-052</t>
        </is>
      </c>
      <c r="C1130" s="23" t="inlineStr">
        <is>
          <t>West terminal: mainline dynamic test - installation</t>
        </is>
      </c>
      <c r="D1130" s="23" t="inlineStr">
        <is>
          <t>WBS Code = 1.5.1</t>
        </is>
      </c>
      <c r="E1130" s="23" t="inlineStr">
        <is>
          <t>R772-v2</t>
        </is>
      </c>
      <c r="F1130" s="23" t="inlineStr">
        <is>
          <t>1.5.1 Testing and Commissioning - Test Readiness</t>
        </is>
      </c>
      <c r="G1130" s="23" t="inlineStr">
        <is>
          <t>ONE_TO_ONE</t>
        </is>
      </c>
      <c r="H1130" s="23" t="inlineStr">
        <is>
          <t>RETAINED</t>
        </is>
      </c>
      <c r="I1130" s="23" t="inlineStr">
        <is>
          <t>Carried forward</t>
        </is>
      </c>
      <c r="J1130" s="23" t="inlineStr">
        <is>
          <t>Source assignment -- not individually reviewed</t>
        </is>
      </c>
      <c r="K1130" s="23" t="inlineStr"/>
      <c r="L1130" s="23" t="inlineStr"/>
      <c r="M1130" s="23" t="inlineStr"/>
      <c r="N1130" s="14" t="inlineStr">
        <is>
          <t>10 EVIDENCE &amp; DECISIONS</t>
        </is>
      </c>
    </row>
    <row r="1131" ht="34" customHeight="1">
      <c r="A1131" s="23" t="inlineStr">
        <is>
          <t>Contractor Programme</t>
        </is>
      </c>
      <c r="B1131" s="23" t="inlineStr">
        <is>
          <t>SCH-05-053</t>
        </is>
      </c>
      <c r="C1131" s="23" t="inlineStr">
        <is>
          <t>Depot: safety certificate evidence closeout - inspection</t>
        </is>
      </c>
      <c r="D1131" s="23" t="inlineStr">
        <is>
          <t>WBS Code = 1.5.1</t>
        </is>
      </c>
      <c r="E1131" s="23" t="inlineStr">
        <is>
          <t>R773-v2</t>
        </is>
      </c>
      <c r="F1131" s="23" t="inlineStr">
        <is>
          <t>1.5.1 Testing and Commissioning - Test Readiness</t>
        </is>
      </c>
      <c r="G1131" s="23" t="inlineStr">
        <is>
          <t>ONE_TO_ONE</t>
        </is>
      </c>
      <c r="H1131" s="23" t="inlineStr">
        <is>
          <t>RETAINED</t>
        </is>
      </c>
      <c r="I1131" s="23" t="inlineStr">
        <is>
          <t>Carried forward</t>
        </is>
      </c>
      <c r="J1131" s="23" t="inlineStr">
        <is>
          <t>Source assignment -- not individually reviewed</t>
        </is>
      </c>
      <c r="K1131" s="23" t="inlineStr"/>
      <c r="L1131" s="23" t="inlineStr"/>
      <c r="M1131" s="23" t="inlineStr"/>
      <c r="N1131" s="14" t="inlineStr">
        <is>
          <t>10 EVIDENCE &amp; DECISIONS</t>
        </is>
      </c>
    </row>
    <row r="1132" ht="34" customHeight="1">
      <c r="A1132" s="23" t="inlineStr">
        <is>
          <t>Contractor Programme</t>
        </is>
      </c>
      <c r="B1132" s="23" t="inlineStr">
        <is>
          <t>SCH-05-055</t>
        </is>
      </c>
      <c r="C1132" s="23" t="inlineStr">
        <is>
          <t>Mainline east: station integrated test - release</t>
        </is>
      </c>
      <c r="D1132" s="23" t="inlineStr">
        <is>
          <t>WBS Code = 1.5.1</t>
        </is>
      </c>
      <c r="E1132" s="23" t="inlineStr">
        <is>
          <t>R775-v2</t>
        </is>
      </c>
      <c r="F1132" s="23" t="inlineStr">
        <is>
          <t>1.5.1 Testing and Commissioning - Test Readiness</t>
        </is>
      </c>
      <c r="G1132" s="23" t="inlineStr">
        <is>
          <t>ONE_TO_ONE</t>
        </is>
      </c>
      <c r="H1132" s="23" t="inlineStr">
        <is>
          <t>RETAINED</t>
        </is>
      </c>
      <c r="I1132" s="23" t="inlineStr">
        <is>
          <t>Carried forward</t>
        </is>
      </c>
      <c r="J1132" s="23" t="inlineStr">
        <is>
          <t>Source assignment -- not individually reviewed</t>
        </is>
      </c>
      <c r="K1132" s="23" t="inlineStr"/>
      <c r="L1132" s="23" t="inlineStr"/>
      <c r="M1132" s="23" t="inlineStr"/>
      <c r="N1132" s="14" t="inlineStr">
        <is>
          <t>10 EVIDENCE &amp; DECISIONS</t>
        </is>
      </c>
    </row>
    <row r="1133" ht="34" customHeight="1">
      <c r="A1133" s="23" t="inlineStr">
        <is>
          <t>Contractor Programme</t>
        </is>
      </c>
      <c r="B1133" s="23" t="inlineStr">
        <is>
          <t>SCH-05-056</t>
        </is>
      </c>
      <c r="C1133" s="23" t="inlineStr">
        <is>
          <t>Central section: trial-running shift - field start</t>
        </is>
      </c>
      <c r="D1133" s="23" t="inlineStr">
        <is>
          <t>WBS Code = 1.5.1</t>
        </is>
      </c>
      <c r="E1133" s="23" t="inlineStr">
        <is>
          <t>R776-v2</t>
        </is>
      </c>
      <c r="F1133" s="23" t="inlineStr">
        <is>
          <t>1.5.1 Testing and Commissioning - Test Readiness</t>
        </is>
      </c>
      <c r="G1133" s="23" t="inlineStr">
        <is>
          <t>ONE_TO_ONE</t>
        </is>
      </c>
      <c r="H1133" s="23" t="inlineStr">
        <is>
          <t>RETAINED</t>
        </is>
      </c>
      <c r="I1133" s="23" t="inlineStr">
        <is>
          <t>Carried forward</t>
        </is>
      </c>
      <c r="J1133" s="23" t="inlineStr">
        <is>
          <t>Source assignment -- not individually reviewed</t>
        </is>
      </c>
      <c r="K1133" s="23" t="inlineStr"/>
      <c r="L1133" s="23" t="inlineStr"/>
      <c r="M1133" s="23" t="inlineStr"/>
      <c r="N1133" s="14" t="inlineStr">
        <is>
          <t>10 EVIDENCE &amp; DECISIONS</t>
        </is>
      </c>
    </row>
    <row r="1134" ht="34" customHeight="1">
      <c r="A1134" s="23" t="inlineStr">
        <is>
          <t>Contractor Programme</t>
        </is>
      </c>
      <c r="B1134" s="23" t="inlineStr">
        <is>
          <t>SCH-05-058</t>
        </is>
      </c>
      <c r="C1134" s="23" t="inlineStr">
        <is>
          <t>Depot: emergency-response drill - inspection</t>
        </is>
      </c>
      <c r="D1134" s="23" t="inlineStr">
        <is>
          <t>WBS Code = 1.5.1</t>
        </is>
      </c>
      <c r="E1134" s="23" t="inlineStr">
        <is>
          <t>R778-v2</t>
        </is>
      </c>
      <c r="F1134" s="23" t="inlineStr">
        <is>
          <t>1.5.1 Testing and Commissioning - Test Readiness</t>
        </is>
      </c>
      <c r="G1134" s="23" t="inlineStr">
        <is>
          <t>ONE_TO_ONE</t>
        </is>
      </c>
      <c r="H1134" s="23" t="inlineStr">
        <is>
          <t>RETAINED</t>
        </is>
      </c>
      <c r="I1134" s="23" t="inlineStr">
        <is>
          <t>Carried forward</t>
        </is>
      </c>
      <c r="J1134" s="23" t="inlineStr">
        <is>
          <t>Source assignment -- not individually reviewed</t>
        </is>
      </c>
      <c r="K1134" s="23" t="inlineStr"/>
      <c r="L1134" s="23" t="inlineStr"/>
      <c r="M1134" s="23" t="inlineStr"/>
      <c r="N1134" s="14" t="inlineStr">
        <is>
          <t>10 EVIDENCE &amp; DECISIONS</t>
        </is>
      </c>
    </row>
    <row r="1135" ht="34" customHeight="1">
      <c r="A1135" s="23" t="inlineStr">
        <is>
          <t>Contractor Programme</t>
        </is>
      </c>
      <c r="B1135" s="23" t="inlineStr">
        <is>
          <t>SCH-05-059</t>
        </is>
      </c>
      <c r="C1135" s="23" t="inlineStr">
        <is>
          <t>Control Centre: defect retest - turnover</t>
        </is>
      </c>
      <c r="D1135" s="23" t="inlineStr">
        <is>
          <t>WBS Code = 1.5.1</t>
        </is>
      </c>
      <c r="E1135" s="23" t="inlineStr">
        <is>
          <t>R779-v2</t>
        </is>
      </c>
      <c r="F1135" s="23" t="inlineStr">
        <is>
          <t>1.5.1 Testing and Commissioning - Test Readiness</t>
        </is>
      </c>
      <c r="G1135" s="23" t="inlineStr">
        <is>
          <t>ONE_TO_ONE</t>
        </is>
      </c>
      <c r="H1135" s="23" t="inlineStr">
        <is>
          <t>RETAINED</t>
        </is>
      </c>
      <c r="I1135" s="23" t="inlineStr">
        <is>
          <t>Carried forward</t>
        </is>
      </c>
      <c r="J1135" s="23" t="inlineStr">
        <is>
          <t>Source assignment -- not individually reviewed</t>
        </is>
      </c>
      <c r="K1135" s="23" t="inlineStr"/>
      <c r="L1135" s="23" t="inlineStr"/>
      <c r="M1135" s="23" t="inlineStr"/>
      <c r="N1135" s="14" t="inlineStr">
        <is>
          <t>10 EVIDENCE &amp; DECISIONS</t>
        </is>
      </c>
    </row>
    <row r="1136" ht="34" customHeight="1">
      <c r="A1136" s="23" t="inlineStr">
        <is>
          <t>Contractor Programme</t>
        </is>
      </c>
      <c r="B1136" s="23" t="inlineStr">
        <is>
          <t>SCH-05-061</t>
        </is>
      </c>
      <c r="C1136" s="23" t="inlineStr">
        <is>
          <t>Central section: safety certificate evidence closeout - field start</t>
        </is>
      </c>
      <c r="D1136" s="23" t="inlineStr">
        <is>
          <t>WBS Code = 1.5.1</t>
        </is>
      </c>
      <c r="E1136" s="23" t="inlineStr">
        <is>
          <t>R781-v2</t>
        </is>
      </c>
      <c r="F1136" s="23" t="inlineStr">
        <is>
          <t>1.5.1 Testing and Commissioning - Test Readiness</t>
        </is>
      </c>
      <c r="G1136" s="23" t="inlineStr">
        <is>
          <t>ONE_TO_ONE</t>
        </is>
      </c>
      <c r="H1136" s="23" t="inlineStr">
        <is>
          <t>RETAINED</t>
        </is>
      </c>
      <c r="I1136" s="23" t="inlineStr">
        <is>
          <t>Carried forward</t>
        </is>
      </c>
      <c r="J1136" s="23" t="inlineStr">
        <is>
          <t>Source assignment -- not individually reviewed</t>
        </is>
      </c>
      <c r="K1136" s="23" t="inlineStr"/>
      <c r="L1136" s="23" t="inlineStr"/>
      <c r="M1136" s="23" t="inlineStr"/>
      <c r="N1136" s="14" t="inlineStr">
        <is>
          <t>10 EVIDENCE &amp; DECISIONS</t>
        </is>
      </c>
    </row>
    <row r="1137" ht="34" customHeight="1">
      <c r="A1137" s="23" t="inlineStr">
        <is>
          <t>Contractor Programme</t>
        </is>
      </c>
      <c r="B1137" s="23" t="inlineStr">
        <is>
          <t>SCH-05-062</t>
        </is>
      </c>
      <c r="C1137" s="23" t="inlineStr">
        <is>
          <t>West terminal: service-readiness review - installation</t>
        </is>
      </c>
      <c r="D1137" s="23" t="inlineStr">
        <is>
          <t>WBS Code = 1.5.1</t>
        </is>
      </c>
      <c r="E1137" s="23" t="inlineStr">
        <is>
          <t>R782-v2</t>
        </is>
      </c>
      <c r="F1137" s="23" t="inlineStr">
        <is>
          <t>1.5.1 Testing and Commissioning - Test Readiness</t>
        </is>
      </c>
      <c r="G1137" s="23" t="inlineStr">
        <is>
          <t>ONE_TO_ONE</t>
        </is>
      </c>
      <c r="H1137" s="23" t="inlineStr">
        <is>
          <t>RETAINED</t>
        </is>
      </c>
      <c r="I1137" s="23" t="inlineStr">
        <is>
          <t>Carried forward</t>
        </is>
      </c>
      <c r="J1137" s="23" t="inlineStr">
        <is>
          <t>Source assignment -- not individually reviewed</t>
        </is>
      </c>
      <c r="K1137" s="23" t="inlineStr"/>
      <c r="L1137" s="23" t="inlineStr"/>
      <c r="M1137" s="23" t="inlineStr"/>
      <c r="N1137" s="14" t="inlineStr">
        <is>
          <t>10 EVIDENCE &amp; DECISIONS</t>
        </is>
      </c>
    </row>
    <row r="1138" ht="34" customHeight="1">
      <c r="A1138" s="23" t="inlineStr">
        <is>
          <t>Contractor Programme</t>
        </is>
      </c>
      <c r="B1138" s="23" t="inlineStr">
        <is>
          <t>SCH-05-064</t>
        </is>
      </c>
      <c r="C1138" s="23" t="inlineStr">
        <is>
          <t>Control Centre: trial-running shift - turnover</t>
        </is>
      </c>
      <c r="D1138" s="23" t="inlineStr">
        <is>
          <t>WBS Code = 1.5.1</t>
        </is>
      </c>
      <c r="E1138" s="23" t="inlineStr">
        <is>
          <t>R784-v2</t>
        </is>
      </c>
      <c r="F1138" s="23" t="inlineStr">
        <is>
          <t>1.5.1 Testing and Commissioning - Test Readiness</t>
        </is>
      </c>
      <c r="G1138" s="23" t="inlineStr">
        <is>
          <t>ONE_TO_ONE</t>
        </is>
      </c>
      <c r="H1138" s="23" t="inlineStr">
        <is>
          <t>RETAINED</t>
        </is>
      </c>
      <c r="I1138" s="23" t="inlineStr">
        <is>
          <t>Carried forward</t>
        </is>
      </c>
      <c r="J1138" s="23" t="inlineStr">
        <is>
          <t>Source assignment -- not individually reviewed</t>
        </is>
      </c>
      <c r="K1138" s="23" t="inlineStr"/>
      <c r="L1138" s="23" t="inlineStr"/>
      <c r="M1138" s="23" t="inlineStr"/>
      <c r="N1138" s="14" t="inlineStr">
        <is>
          <t>10 EVIDENCE &amp; DECISIONS</t>
        </is>
      </c>
    </row>
    <row r="1139" ht="34" customHeight="1">
      <c r="A1139" s="23" t="inlineStr">
        <is>
          <t>Contractor Programme</t>
        </is>
      </c>
      <c r="B1139" s="23" t="inlineStr">
        <is>
          <t>SCH-05-065</t>
        </is>
      </c>
      <c r="C1139" s="23" t="inlineStr">
        <is>
          <t>Mainline east: test procedure readiness review - release</t>
        </is>
      </c>
      <c r="D1139" s="23" t="inlineStr">
        <is>
          <t>WBS Code = 1.5.1</t>
        </is>
      </c>
      <c r="E1139" s="23" t="inlineStr">
        <is>
          <t>R785-v2</t>
        </is>
      </c>
      <c r="F1139" s="23" t="inlineStr">
        <is>
          <t>1.5.1 Testing and Commissioning - Test Readiness</t>
        </is>
      </c>
      <c r="G1139" s="23" t="inlineStr">
        <is>
          <t>ONE_TO_ONE</t>
        </is>
      </c>
      <c r="H1139" s="23" t="inlineStr">
        <is>
          <t>RETAINED</t>
        </is>
      </c>
      <c r="I1139" s="23" t="inlineStr">
        <is>
          <t>Carried forward</t>
        </is>
      </c>
      <c r="J1139" s="23" t="inlineStr">
        <is>
          <t>Source assignment -- not individually reviewed</t>
        </is>
      </c>
      <c r="K1139" s="23" t="inlineStr"/>
      <c r="L1139" s="23" t="inlineStr"/>
      <c r="M1139" s="23" t="inlineStr"/>
      <c r="N1139" s="14" t="inlineStr">
        <is>
          <t>10 EVIDENCE &amp; DECISIONS</t>
        </is>
      </c>
    </row>
    <row r="1140" ht="34" customHeight="1">
      <c r="A1140" s="23" t="inlineStr">
        <is>
          <t>Contractor Programme</t>
        </is>
      </c>
      <c r="B1140" s="23" t="inlineStr">
        <is>
          <t>SCH-05-067</t>
        </is>
      </c>
      <c r="C1140" s="23" t="inlineStr">
        <is>
          <t>West terminal: defect retest - installation</t>
        </is>
      </c>
      <c r="D1140" s="23" t="inlineStr">
        <is>
          <t>WBS Code = 1.5.1</t>
        </is>
      </c>
      <c r="E1140" s="23" t="inlineStr">
        <is>
          <t>R787-v2</t>
        </is>
      </c>
      <c r="F1140" s="23" t="inlineStr">
        <is>
          <t>1.5.1 Testing and Commissioning - Test Readiness</t>
        </is>
      </c>
      <c r="G1140" s="23" t="inlineStr">
        <is>
          <t>ONE_TO_ONE</t>
        </is>
      </c>
      <c r="H1140" s="23" t="inlineStr">
        <is>
          <t>RETAINED</t>
        </is>
      </c>
      <c r="I1140" s="23" t="inlineStr">
        <is>
          <t>Carried forward</t>
        </is>
      </c>
      <c r="J1140" s="23" t="inlineStr">
        <is>
          <t>Source assignment -- not individually reviewed</t>
        </is>
      </c>
      <c r="K1140" s="23" t="inlineStr"/>
      <c r="L1140" s="23" t="inlineStr"/>
      <c r="M1140" s="23" t="inlineStr"/>
      <c r="N1140" s="14" t="inlineStr">
        <is>
          <t>10 EVIDENCE &amp; DECISIONS</t>
        </is>
      </c>
    </row>
    <row r="1141" ht="34" customHeight="1">
      <c r="A1141" s="23" t="inlineStr">
        <is>
          <t>Contractor Programme</t>
        </is>
      </c>
      <c r="B1141" s="23" t="inlineStr">
        <is>
          <t>SCH-05-068</t>
        </is>
      </c>
      <c r="C1141" s="23" t="inlineStr">
        <is>
          <t>Depot: mainline dynamic test - inspection</t>
        </is>
      </c>
      <c r="D1141" s="23" t="inlineStr">
        <is>
          <t>WBS Code = 1.5.1</t>
        </is>
      </c>
      <c r="E1141" s="23" t="inlineStr">
        <is>
          <t>R788-v2</t>
        </is>
      </c>
      <c r="F1141" s="23" t="inlineStr">
        <is>
          <t>1.5.1 Testing and Commissioning - Test Readiness</t>
        </is>
      </c>
      <c r="G1141" s="23" t="inlineStr">
        <is>
          <t>ONE_TO_ONE</t>
        </is>
      </c>
      <c r="H1141" s="23" t="inlineStr">
        <is>
          <t>RETAINED</t>
        </is>
      </c>
      <c r="I1141" s="23" t="inlineStr">
        <is>
          <t>Carried forward</t>
        </is>
      </c>
      <c r="J1141" s="23" t="inlineStr">
        <is>
          <t>Source assignment -- not individually reviewed</t>
        </is>
      </c>
      <c r="K1141" s="23" t="inlineStr"/>
      <c r="L1141" s="23" t="inlineStr"/>
      <c r="M1141" s="23" t="inlineStr"/>
      <c r="N1141" s="14" t="inlineStr">
        <is>
          <t>10 EVIDENCE &amp; DECISIONS</t>
        </is>
      </c>
    </row>
    <row r="1142" ht="34" customHeight="1">
      <c r="A1142" s="23" t="inlineStr">
        <is>
          <t>Contractor Programme</t>
        </is>
      </c>
      <c r="B1142" s="23" t="inlineStr">
        <is>
          <t>SCH-05-070</t>
        </is>
      </c>
      <c r="C1142" s="23" t="inlineStr">
        <is>
          <t>Mainline east: service-readiness review - release</t>
        </is>
      </c>
      <c r="D1142" s="23" t="inlineStr">
        <is>
          <t>WBS Code = 1.5.1</t>
        </is>
      </c>
      <c r="E1142" s="23" t="inlineStr">
        <is>
          <t>R790-v2</t>
        </is>
      </c>
      <c r="F1142" s="23" t="inlineStr">
        <is>
          <t>1.5.1 Testing and Commissioning - Test Readiness</t>
        </is>
      </c>
      <c r="G1142" s="23" t="inlineStr">
        <is>
          <t>ONE_TO_ONE</t>
        </is>
      </c>
      <c r="H1142" s="23" t="inlineStr">
        <is>
          <t>RETAINED</t>
        </is>
      </c>
      <c r="I1142" s="23" t="inlineStr">
        <is>
          <t>Carried forward</t>
        </is>
      </c>
      <c r="J1142" s="23" t="inlineStr">
        <is>
          <t>Source assignment -- not individually reviewed</t>
        </is>
      </c>
      <c r="K1142" s="23" t="inlineStr"/>
      <c r="L1142" s="23" t="inlineStr"/>
      <c r="M1142" s="23" t="inlineStr"/>
      <c r="N1142" s="14" t="inlineStr">
        <is>
          <t>10 EVIDENCE &amp; DECISIONS</t>
        </is>
      </c>
    </row>
    <row r="1143" ht="34" customHeight="1">
      <c r="A1143" s="23" t="inlineStr">
        <is>
          <t>Contractor Programme</t>
        </is>
      </c>
      <c r="B1143" s="23" t="inlineStr">
        <is>
          <t>SCH-05-071</t>
        </is>
      </c>
      <c r="C1143" s="23" t="inlineStr">
        <is>
          <t>Central section: station integrated test - field start</t>
        </is>
      </c>
      <c r="D1143" s="23" t="inlineStr">
        <is>
          <t>WBS Code = 1.5.1</t>
        </is>
      </c>
      <c r="E1143" s="23" t="inlineStr">
        <is>
          <t>R791-v2</t>
        </is>
      </c>
      <c r="F1143" s="23" t="inlineStr">
        <is>
          <t>1.5.1 Testing and Commissioning - Test Readiness</t>
        </is>
      </c>
      <c r="G1143" s="23" t="inlineStr">
        <is>
          <t>ONE_TO_ONE</t>
        </is>
      </c>
      <c r="H1143" s="23" t="inlineStr">
        <is>
          <t>RETAINED</t>
        </is>
      </c>
      <c r="I1143" s="23" t="inlineStr">
        <is>
          <t>Carried forward</t>
        </is>
      </c>
      <c r="J1143" s="23" t="inlineStr">
        <is>
          <t>Source assignment -- not individually reviewed</t>
        </is>
      </c>
      <c r="K1143" s="23" t="inlineStr"/>
      <c r="L1143" s="23" t="inlineStr"/>
      <c r="M1143" s="23" t="inlineStr"/>
      <c r="N1143" s="14" t="inlineStr">
        <is>
          <t>10 EVIDENCE &amp; DECISIONS</t>
        </is>
      </c>
    </row>
    <row r="1144" ht="34" customHeight="1">
      <c r="A1144" s="23" t="inlineStr">
        <is>
          <t>Contractor Programme</t>
        </is>
      </c>
      <c r="B1144" s="23" t="inlineStr">
        <is>
          <t>SCH-05-073</t>
        </is>
      </c>
      <c r="C1144" s="23" t="inlineStr">
        <is>
          <t>Depot: test procedure readiness review - inspection</t>
        </is>
      </c>
      <c r="D1144" s="23" t="inlineStr">
        <is>
          <t>WBS Code = 1.5.1</t>
        </is>
      </c>
      <c r="E1144" s="23" t="inlineStr">
        <is>
          <t>R793-v2</t>
        </is>
      </c>
      <c r="F1144" s="23" t="inlineStr">
        <is>
          <t>1.5.1 Testing and Commissioning - Test Readiness</t>
        </is>
      </c>
      <c r="G1144" s="23" t="inlineStr">
        <is>
          <t>ONE_TO_ONE</t>
        </is>
      </c>
      <c r="H1144" s="23" t="inlineStr">
        <is>
          <t>RETAINED</t>
        </is>
      </c>
      <c r="I1144" s="23" t="inlineStr">
        <is>
          <t>Carried forward</t>
        </is>
      </c>
      <c r="J1144" s="23" t="inlineStr">
        <is>
          <t>Source assignment -- not individually reviewed</t>
        </is>
      </c>
      <c r="K1144" s="23" t="inlineStr"/>
      <c r="L1144" s="23" t="inlineStr"/>
      <c r="M1144" s="23" t="inlineStr"/>
      <c r="N1144" s="14" t="inlineStr">
        <is>
          <t>10 EVIDENCE &amp; DECISIONS</t>
        </is>
      </c>
    </row>
    <row r="1145" ht="34" customHeight="1">
      <c r="A1145" s="23" t="inlineStr">
        <is>
          <t>Contractor Programme</t>
        </is>
      </c>
      <c r="B1145" s="23" t="inlineStr">
        <is>
          <t>SCH-05-074</t>
        </is>
      </c>
      <c r="C1145" s="23" t="inlineStr">
        <is>
          <t>Control Centre: emergency-response drill - turnover</t>
        </is>
      </c>
      <c r="D1145" s="23" t="inlineStr">
        <is>
          <t>WBS Code = 1.5.1</t>
        </is>
      </c>
      <c r="E1145" s="23" t="inlineStr">
        <is>
          <t>R794-v2</t>
        </is>
      </c>
      <c r="F1145" s="23" t="inlineStr">
        <is>
          <t>1.5.1 Testing and Commissioning - Test Readiness</t>
        </is>
      </c>
      <c r="G1145" s="23" t="inlineStr">
        <is>
          <t>ONE_TO_ONE</t>
        </is>
      </c>
      <c r="H1145" s="23" t="inlineStr">
        <is>
          <t>RETAINED</t>
        </is>
      </c>
      <c r="I1145" s="23" t="inlineStr">
        <is>
          <t>Carried forward</t>
        </is>
      </c>
      <c r="J1145" s="23" t="inlineStr">
        <is>
          <t>Source assignment -- not individually reviewed</t>
        </is>
      </c>
      <c r="K1145" s="23" t="inlineStr"/>
      <c r="L1145" s="23" t="inlineStr"/>
      <c r="M1145" s="23" t="inlineStr"/>
      <c r="N1145" s="14" t="inlineStr">
        <is>
          <t>10 EVIDENCE &amp; DECISIONS</t>
        </is>
      </c>
    </row>
    <row r="1146" ht="34" customHeight="1">
      <c r="A1146" s="23" t="inlineStr">
        <is>
          <t>Contractor Programme</t>
        </is>
      </c>
      <c r="B1146" s="23" t="inlineStr">
        <is>
          <t>SCH-05-076</t>
        </is>
      </c>
      <c r="C1146" s="23" t="inlineStr">
        <is>
          <t>Central section: mainline dynamic test - field start</t>
        </is>
      </c>
      <c r="D1146" s="23" t="inlineStr">
        <is>
          <t>WBS Code = 1.5.1</t>
        </is>
      </c>
      <c r="E1146" s="23" t="inlineStr">
        <is>
          <t>R796-v2</t>
        </is>
      </c>
      <c r="F1146" s="23" t="inlineStr">
        <is>
          <t>1.5.1 Testing and Commissioning - Test Readiness</t>
        </is>
      </c>
      <c r="G1146" s="23" t="inlineStr">
        <is>
          <t>ONE_TO_ONE</t>
        </is>
      </c>
      <c r="H1146" s="23" t="inlineStr">
        <is>
          <t>RETAINED</t>
        </is>
      </c>
      <c r="I1146" s="23" t="inlineStr">
        <is>
          <t>Carried forward</t>
        </is>
      </c>
      <c r="J1146" s="23" t="inlineStr">
        <is>
          <t>Source assignment -- not individually reviewed</t>
        </is>
      </c>
      <c r="K1146" s="23" t="inlineStr"/>
      <c r="L1146" s="23" t="inlineStr"/>
      <c r="M1146" s="23" t="inlineStr"/>
      <c r="N1146" s="14" t="inlineStr">
        <is>
          <t>10 EVIDENCE &amp; DECISIONS</t>
        </is>
      </c>
    </row>
    <row r="1147" ht="34" customHeight="1">
      <c r="A1147" s="23" t="inlineStr">
        <is>
          <t>Contractor Programme</t>
        </is>
      </c>
      <c r="B1147" s="23" t="inlineStr">
        <is>
          <t>SCH-05-077</t>
        </is>
      </c>
      <c r="C1147" s="23" t="inlineStr">
        <is>
          <t>West terminal: safety certificate evidence closeout - installation</t>
        </is>
      </c>
      <c r="D1147" s="23" t="inlineStr">
        <is>
          <t>WBS Code = 1.5.1</t>
        </is>
      </c>
      <c r="E1147" s="23" t="inlineStr">
        <is>
          <t>R797-v2</t>
        </is>
      </c>
      <c r="F1147" s="23" t="inlineStr">
        <is>
          <t>1.5.1 Testing and Commissioning - Test Readiness</t>
        </is>
      </c>
      <c r="G1147" s="23" t="inlineStr">
        <is>
          <t>ONE_TO_ONE</t>
        </is>
      </c>
      <c r="H1147" s="23" t="inlineStr">
        <is>
          <t>RETAINED</t>
        </is>
      </c>
      <c r="I1147" s="23" t="inlineStr">
        <is>
          <t>Carried forward</t>
        </is>
      </c>
      <c r="J1147" s="23" t="inlineStr">
        <is>
          <t>Source assignment -- not individually reviewed</t>
        </is>
      </c>
      <c r="K1147" s="23" t="inlineStr"/>
      <c r="L1147" s="23" t="inlineStr"/>
      <c r="M1147" s="23" t="inlineStr"/>
      <c r="N1147" s="14" t="inlineStr">
        <is>
          <t>10 EVIDENCE &amp; DECISIONS</t>
        </is>
      </c>
    </row>
    <row r="1148" ht="34" customHeight="1">
      <c r="A1148" s="23" t="inlineStr">
        <is>
          <t>Contractor Programme</t>
        </is>
      </c>
      <c r="B1148" s="23" t="inlineStr">
        <is>
          <t>SCH-05-079</t>
        </is>
      </c>
      <c r="C1148" s="23" t="inlineStr">
        <is>
          <t>Control Centre: station integrated test - turnover</t>
        </is>
      </c>
      <c r="D1148" s="23" t="inlineStr">
        <is>
          <t>WBS Code = 1.5.1</t>
        </is>
      </c>
      <c r="E1148" s="23" t="inlineStr">
        <is>
          <t>R799-v2</t>
        </is>
      </c>
      <c r="F1148" s="23" t="inlineStr">
        <is>
          <t>1.5.1 Testing and Commissioning - Test Readiness</t>
        </is>
      </c>
      <c r="G1148" s="23" t="inlineStr">
        <is>
          <t>ONE_TO_ONE</t>
        </is>
      </c>
      <c r="H1148" s="23" t="inlineStr">
        <is>
          <t>RETAINED</t>
        </is>
      </c>
      <c r="I1148" s="23" t="inlineStr">
        <is>
          <t>Carried forward</t>
        </is>
      </c>
      <c r="J1148" s="23" t="inlineStr">
        <is>
          <t>Source assignment -- not individually reviewed</t>
        </is>
      </c>
      <c r="K1148" s="23" t="inlineStr"/>
      <c r="L1148" s="23" t="inlineStr"/>
      <c r="M1148" s="23" t="inlineStr"/>
      <c r="N1148" s="14" t="inlineStr">
        <is>
          <t>10 EVIDENCE &amp; DECISIONS</t>
        </is>
      </c>
    </row>
    <row r="1149" ht="34" customHeight="1">
      <c r="A1149" s="23" t="inlineStr">
        <is>
          <t>Contractor Programme</t>
        </is>
      </c>
      <c r="B1149" s="23" t="inlineStr">
        <is>
          <t>SCH-05-080</t>
        </is>
      </c>
      <c r="C1149" s="23" t="inlineStr">
        <is>
          <t>Mainline east: trial-running shift - release</t>
        </is>
      </c>
      <c r="D1149" s="23" t="inlineStr">
        <is>
          <t>WBS Code = 1.5.1</t>
        </is>
      </c>
      <c r="E1149" s="23" t="inlineStr">
        <is>
          <t>R800-v2</t>
        </is>
      </c>
      <c r="F1149" s="23" t="inlineStr">
        <is>
          <t>1.5.1 Testing and Commissioning - Test Readiness</t>
        </is>
      </c>
      <c r="G1149" s="23" t="inlineStr">
        <is>
          <t>ONE_TO_ONE</t>
        </is>
      </c>
      <c r="H1149" s="23" t="inlineStr">
        <is>
          <t>RETAINED</t>
        </is>
      </c>
      <c r="I1149" s="23" t="inlineStr">
        <is>
          <t>Carried forward</t>
        </is>
      </c>
      <c r="J1149" s="23" t="inlineStr">
        <is>
          <t>Source assignment -- not individually reviewed</t>
        </is>
      </c>
      <c r="K1149" s="23" t="inlineStr"/>
      <c r="L1149" s="23" t="inlineStr"/>
      <c r="M1149" s="23" t="inlineStr"/>
      <c r="N1149" s="14" t="inlineStr">
        <is>
          <t>10 EVIDENCE &amp; DECISIONS</t>
        </is>
      </c>
    </row>
    <row r="1150" ht="34" customHeight="1">
      <c r="A1150" s="23" t="inlineStr">
        <is>
          <t>Contractor Programme</t>
        </is>
      </c>
      <c r="B1150" s="23" t="inlineStr">
        <is>
          <t>SCH-05-082</t>
        </is>
      </c>
      <c r="C1150" s="23" t="inlineStr">
        <is>
          <t>West terminal: emergency-response drill - installation</t>
        </is>
      </c>
      <c r="D1150" s="23" t="inlineStr">
        <is>
          <t>WBS Code = 1.5.1</t>
        </is>
      </c>
      <c r="E1150" s="23" t="inlineStr">
        <is>
          <t>R802-v2</t>
        </is>
      </c>
      <c r="F1150" s="23" t="inlineStr">
        <is>
          <t>1.5.1 Testing and Commissioning - Test Readiness</t>
        </is>
      </c>
      <c r="G1150" s="23" t="inlineStr">
        <is>
          <t>ONE_TO_ONE</t>
        </is>
      </c>
      <c r="H1150" s="23" t="inlineStr">
        <is>
          <t>RETAINED</t>
        </is>
      </c>
      <c r="I1150" s="23" t="inlineStr">
        <is>
          <t>Carried forward</t>
        </is>
      </c>
      <c r="J1150" s="23" t="inlineStr">
        <is>
          <t>Source assignment -- not individually reviewed</t>
        </is>
      </c>
      <c r="K1150" s="23" t="inlineStr"/>
      <c r="L1150" s="23" t="inlineStr"/>
      <c r="M1150" s="23" t="inlineStr"/>
      <c r="N1150" s="14" t="inlineStr">
        <is>
          <t>10 EVIDENCE &amp; DECISIONS</t>
        </is>
      </c>
    </row>
    <row r="1151" ht="34" customHeight="1">
      <c r="A1151" s="23" t="inlineStr">
        <is>
          <t>Contractor Programme</t>
        </is>
      </c>
      <c r="B1151" s="23" t="inlineStr">
        <is>
          <t>SCH-05-083</t>
        </is>
      </c>
      <c r="C1151" s="23" t="inlineStr">
        <is>
          <t>Depot: defect retest - inspection</t>
        </is>
      </c>
      <c r="D1151" s="23" t="inlineStr">
        <is>
          <t>WBS Code = 1.5.1</t>
        </is>
      </c>
      <c r="E1151" s="23" t="inlineStr">
        <is>
          <t>R803-v2</t>
        </is>
      </c>
      <c r="F1151" s="23" t="inlineStr">
        <is>
          <t>1.5.1 Testing and Commissioning - Test Readiness</t>
        </is>
      </c>
      <c r="G1151" s="23" t="inlineStr">
        <is>
          <t>ONE_TO_ONE</t>
        </is>
      </c>
      <c r="H1151" s="23" t="inlineStr">
        <is>
          <t>RETAINED</t>
        </is>
      </c>
      <c r="I1151" s="23" t="inlineStr">
        <is>
          <t>Carried forward</t>
        </is>
      </c>
      <c r="J1151" s="23" t="inlineStr">
        <is>
          <t>Source assignment -- not individually reviewed</t>
        </is>
      </c>
      <c r="K1151" s="23" t="inlineStr"/>
      <c r="L1151" s="23" t="inlineStr"/>
      <c r="M1151" s="23" t="inlineStr"/>
      <c r="N1151" s="14" t="inlineStr">
        <is>
          <t>10 EVIDENCE &amp; DECISIONS</t>
        </is>
      </c>
    </row>
    <row r="1152" ht="34" customHeight="1">
      <c r="A1152" s="23" t="inlineStr">
        <is>
          <t>Contractor Programme</t>
        </is>
      </c>
      <c r="B1152" s="23" t="inlineStr">
        <is>
          <t>SCH-05-085</t>
        </is>
      </c>
      <c r="C1152" s="23" t="inlineStr">
        <is>
          <t>Mainline east: safety certificate evidence closeout - release</t>
        </is>
      </c>
      <c r="D1152" s="23" t="inlineStr">
        <is>
          <t>WBS Code = 1.5.1</t>
        </is>
      </c>
      <c r="E1152" s="23" t="inlineStr">
        <is>
          <t>R805-v2</t>
        </is>
      </c>
      <c r="F1152" s="23" t="inlineStr">
        <is>
          <t>1.5.1 Testing and Commissioning - Test Readiness</t>
        </is>
      </c>
      <c r="G1152" s="23" t="inlineStr">
        <is>
          <t>ONE_TO_ONE</t>
        </is>
      </c>
      <c r="H1152" s="23" t="inlineStr">
        <is>
          <t>RETAINED</t>
        </is>
      </c>
      <c r="I1152" s="23" t="inlineStr">
        <is>
          <t>Carried forward</t>
        </is>
      </c>
      <c r="J1152" s="23" t="inlineStr">
        <is>
          <t>Source assignment -- not individually reviewed</t>
        </is>
      </c>
      <c r="K1152" s="23" t="inlineStr"/>
      <c r="L1152" s="23" t="inlineStr"/>
      <c r="M1152" s="23" t="inlineStr"/>
      <c r="N1152" s="14" t="inlineStr">
        <is>
          <t>10 EVIDENCE &amp; DECISIONS</t>
        </is>
      </c>
    </row>
    <row r="1153" ht="34" customHeight="1">
      <c r="A1153" s="23" t="inlineStr">
        <is>
          <t>Contractor Programme</t>
        </is>
      </c>
      <c r="B1153" s="23" t="inlineStr">
        <is>
          <t>SCH-05-086</t>
        </is>
      </c>
      <c r="C1153" s="23" t="inlineStr">
        <is>
          <t>Central section: service-readiness review - field start</t>
        </is>
      </c>
      <c r="D1153" s="23" t="inlineStr">
        <is>
          <t>WBS Code = 1.5.1</t>
        </is>
      </c>
      <c r="E1153" s="23" t="inlineStr">
        <is>
          <t>R806-v2</t>
        </is>
      </c>
      <c r="F1153" s="23" t="inlineStr">
        <is>
          <t>1.5.1 Testing and Commissioning - Test Readiness</t>
        </is>
      </c>
      <c r="G1153" s="23" t="inlineStr">
        <is>
          <t>ONE_TO_ONE</t>
        </is>
      </c>
      <c r="H1153" s="23" t="inlineStr">
        <is>
          <t>RETAINED</t>
        </is>
      </c>
      <c r="I1153" s="23" t="inlineStr">
        <is>
          <t>Carried forward</t>
        </is>
      </c>
      <c r="J1153" s="23" t="inlineStr">
        <is>
          <t>Source assignment -- not individually reviewed</t>
        </is>
      </c>
      <c r="K1153" s="23" t="inlineStr"/>
      <c r="L1153" s="23" t="inlineStr"/>
      <c r="M1153" s="23" t="inlineStr"/>
      <c r="N1153" s="14" t="inlineStr">
        <is>
          <t>10 EVIDENCE &amp; DECISIONS</t>
        </is>
      </c>
    </row>
    <row r="1154" ht="34" customHeight="1">
      <c r="A1154" s="23" t="inlineStr">
        <is>
          <t>Contractor Programme</t>
        </is>
      </c>
      <c r="B1154" s="23" t="inlineStr">
        <is>
          <t>SCH-05-088</t>
        </is>
      </c>
      <c r="C1154" s="23" t="inlineStr">
        <is>
          <t>Depot: trial-running shift - inspection</t>
        </is>
      </c>
      <c r="D1154" s="23" t="inlineStr">
        <is>
          <t>WBS Code = 1.5.1</t>
        </is>
      </c>
      <c r="E1154" s="23" t="inlineStr">
        <is>
          <t>R808-v2</t>
        </is>
      </c>
      <c r="F1154" s="23" t="inlineStr">
        <is>
          <t>1.5.1 Testing and Commissioning - Test Readiness</t>
        </is>
      </c>
      <c r="G1154" s="23" t="inlineStr">
        <is>
          <t>ONE_TO_ONE</t>
        </is>
      </c>
      <c r="H1154" s="23" t="inlineStr">
        <is>
          <t>RETAINED</t>
        </is>
      </c>
      <c r="I1154" s="23" t="inlineStr">
        <is>
          <t>Carried forward</t>
        </is>
      </c>
      <c r="J1154" s="23" t="inlineStr">
        <is>
          <t>Source assignment -- not individually reviewed</t>
        </is>
      </c>
      <c r="K1154" s="23" t="inlineStr"/>
      <c r="L1154" s="23" t="inlineStr"/>
      <c r="M1154" s="23" t="inlineStr"/>
      <c r="N1154" s="14" t="inlineStr">
        <is>
          <t>10 EVIDENCE &amp; DECISIONS</t>
        </is>
      </c>
    </row>
    <row r="1155" ht="34" customHeight="1">
      <c r="A1155" s="23" t="inlineStr">
        <is>
          <t>Contractor Programme</t>
        </is>
      </c>
      <c r="B1155" s="23" t="inlineStr">
        <is>
          <t>SCH-05-089</t>
        </is>
      </c>
      <c r="C1155" s="23" t="inlineStr">
        <is>
          <t>Control Centre: test procedure readiness review - turnover</t>
        </is>
      </c>
      <c r="D1155" s="23" t="inlineStr">
        <is>
          <t>WBS Code = 1.5.1</t>
        </is>
      </c>
      <c r="E1155" s="23" t="inlineStr">
        <is>
          <t>R809-v2</t>
        </is>
      </c>
      <c r="F1155" s="23" t="inlineStr">
        <is>
          <t>1.5.1 Testing and Commissioning - Test Readiness</t>
        </is>
      </c>
      <c r="G1155" s="23" t="inlineStr">
        <is>
          <t>ONE_TO_ONE</t>
        </is>
      </c>
      <c r="H1155" s="23" t="inlineStr">
        <is>
          <t>RETAINED</t>
        </is>
      </c>
      <c r="I1155" s="23" t="inlineStr">
        <is>
          <t>Carried forward</t>
        </is>
      </c>
      <c r="J1155" s="23" t="inlineStr">
        <is>
          <t>Source assignment -- not individually reviewed</t>
        </is>
      </c>
      <c r="K1155" s="23" t="inlineStr"/>
      <c r="L1155" s="23" t="inlineStr"/>
      <c r="M1155" s="23" t="inlineStr"/>
      <c r="N1155" s="14" t="inlineStr">
        <is>
          <t>10 EVIDENCE &amp; DECISIONS</t>
        </is>
      </c>
    </row>
    <row r="1156" ht="34" customHeight="1">
      <c r="A1156" s="23" t="inlineStr">
        <is>
          <t>Contractor Programme</t>
        </is>
      </c>
      <c r="B1156" s="23" t="inlineStr">
        <is>
          <t>SCH-05-091</t>
        </is>
      </c>
      <c r="C1156" s="23" t="inlineStr">
        <is>
          <t>Central section: defect retest - field start</t>
        </is>
      </c>
      <c r="D1156" s="23" t="inlineStr">
        <is>
          <t>WBS Code = 1.5.1</t>
        </is>
      </c>
      <c r="E1156" s="23" t="inlineStr">
        <is>
          <t>R811-v2</t>
        </is>
      </c>
      <c r="F1156" s="23" t="inlineStr">
        <is>
          <t>1.5.1 Testing and Commissioning - Test Readiness</t>
        </is>
      </c>
      <c r="G1156" s="23" t="inlineStr">
        <is>
          <t>ONE_TO_ONE</t>
        </is>
      </c>
      <c r="H1156" s="23" t="inlineStr">
        <is>
          <t>RETAINED</t>
        </is>
      </c>
      <c r="I1156" s="23" t="inlineStr">
        <is>
          <t>Carried forward</t>
        </is>
      </c>
      <c r="J1156" s="23" t="inlineStr">
        <is>
          <t>Source assignment -- not individually reviewed</t>
        </is>
      </c>
      <c r="K1156" s="23" t="inlineStr"/>
      <c r="L1156" s="23" t="inlineStr"/>
      <c r="M1156" s="23" t="inlineStr"/>
      <c r="N1156" s="14" t="inlineStr">
        <is>
          <t>10 EVIDENCE &amp; DECISIONS</t>
        </is>
      </c>
    </row>
    <row r="1157" ht="34" customHeight="1">
      <c r="A1157" s="23" t="inlineStr">
        <is>
          <t>Contractor Programme</t>
        </is>
      </c>
      <c r="B1157" s="23" t="inlineStr">
        <is>
          <t>SCH-05-092</t>
        </is>
      </c>
      <c r="C1157" s="23" t="inlineStr">
        <is>
          <t>West terminal: mainline dynamic test - installation</t>
        </is>
      </c>
      <c r="D1157" s="23" t="inlineStr">
        <is>
          <t>WBS Code = 1.5.1</t>
        </is>
      </c>
      <c r="E1157" s="23" t="inlineStr">
        <is>
          <t>R812-v2</t>
        </is>
      </c>
      <c r="F1157" s="23" t="inlineStr">
        <is>
          <t>1.5.1 Testing and Commissioning - Test Readiness</t>
        </is>
      </c>
      <c r="G1157" s="23" t="inlineStr">
        <is>
          <t>ONE_TO_ONE</t>
        </is>
      </c>
      <c r="H1157" s="23" t="inlineStr">
        <is>
          <t>RETAINED</t>
        </is>
      </c>
      <c r="I1157" s="23" t="inlineStr">
        <is>
          <t>Carried forward</t>
        </is>
      </c>
      <c r="J1157" s="23" t="inlineStr">
        <is>
          <t>Source assignment -- not individually reviewed</t>
        </is>
      </c>
      <c r="K1157" s="23" t="inlineStr"/>
      <c r="L1157" s="23" t="inlineStr"/>
      <c r="M1157" s="23" t="inlineStr"/>
      <c r="N1157" s="14" t="inlineStr">
        <is>
          <t>10 EVIDENCE &amp; DECISIONS</t>
        </is>
      </c>
    </row>
    <row r="1158" ht="34" customHeight="1">
      <c r="A1158" s="23" t="inlineStr">
        <is>
          <t>Contractor Programme</t>
        </is>
      </c>
      <c r="B1158" s="23" t="inlineStr">
        <is>
          <t>SCH-05-094</t>
        </is>
      </c>
      <c r="C1158" s="23" t="inlineStr">
        <is>
          <t>Control Centre: service-readiness review - turnover</t>
        </is>
      </c>
      <c r="D1158" s="23" t="inlineStr">
        <is>
          <t>WBS Code = 1.5.1</t>
        </is>
      </c>
      <c r="E1158" s="23" t="inlineStr">
        <is>
          <t>R814-v2</t>
        </is>
      </c>
      <c r="F1158" s="23" t="inlineStr">
        <is>
          <t>1.5.1 Testing and Commissioning - Test Readiness</t>
        </is>
      </c>
      <c r="G1158" s="23" t="inlineStr">
        <is>
          <t>ONE_TO_ONE</t>
        </is>
      </c>
      <c r="H1158" s="23" t="inlineStr">
        <is>
          <t>RETAINED</t>
        </is>
      </c>
      <c r="I1158" s="23" t="inlineStr">
        <is>
          <t>Carried forward</t>
        </is>
      </c>
      <c r="J1158" s="23" t="inlineStr">
        <is>
          <t>Source assignment -- not individually reviewed</t>
        </is>
      </c>
      <c r="K1158" s="23" t="inlineStr"/>
      <c r="L1158" s="23" t="inlineStr"/>
      <c r="M1158" s="23" t="inlineStr"/>
      <c r="N1158" s="14" t="inlineStr">
        <is>
          <t>10 EVIDENCE &amp; DECISIONS</t>
        </is>
      </c>
    </row>
    <row r="1159" ht="34" customHeight="1">
      <c r="A1159" s="23" t="inlineStr">
        <is>
          <t>Contractor Programme</t>
        </is>
      </c>
      <c r="B1159" s="23" t="inlineStr">
        <is>
          <t>SCH-05-095</t>
        </is>
      </c>
      <c r="C1159" s="23" t="inlineStr">
        <is>
          <t>Mainline east: station integrated test - release</t>
        </is>
      </c>
      <c r="D1159" s="23" t="inlineStr">
        <is>
          <t>WBS Code = 1.5.1</t>
        </is>
      </c>
      <c r="E1159" s="23" t="inlineStr">
        <is>
          <t>R815-v2</t>
        </is>
      </c>
      <c r="F1159" s="23" t="inlineStr">
        <is>
          <t>1.5.1 Testing and Commissioning - Test Readiness</t>
        </is>
      </c>
      <c r="G1159" s="23" t="inlineStr">
        <is>
          <t>ONE_TO_ONE</t>
        </is>
      </c>
      <c r="H1159" s="23" t="inlineStr">
        <is>
          <t>RETAINED</t>
        </is>
      </c>
      <c r="I1159" s="23" t="inlineStr">
        <is>
          <t>Carried forward</t>
        </is>
      </c>
      <c r="J1159" s="23" t="inlineStr">
        <is>
          <t>Source assignment -- not individually reviewed</t>
        </is>
      </c>
      <c r="K1159" s="23" t="inlineStr"/>
      <c r="L1159" s="23" t="inlineStr"/>
      <c r="M1159" s="23" t="inlineStr"/>
      <c r="N1159" s="14" t="inlineStr">
        <is>
          <t>10 EVIDENCE &amp; DECISIONS</t>
        </is>
      </c>
    </row>
    <row r="1160" ht="34" customHeight="1">
      <c r="A1160" s="23" t="inlineStr">
        <is>
          <t>Contractor Programme</t>
        </is>
      </c>
      <c r="B1160" s="23" t="inlineStr">
        <is>
          <t>SCH-05-097</t>
        </is>
      </c>
      <c r="C1160" s="23" t="inlineStr">
        <is>
          <t>West terminal: test procedure readiness review - installation</t>
        </is>
      </c>
      <c r="D1160" s="23" t="inlineStr">
        <is>
          <t>WBS Code = 1.5.1</t>
        </is>
      </c>
      <c r="E1160" s="23" t="inlineStr">
        <is>
          <t>R817-v2</t>
        </is>
      </c>
      <c r="F1160" s="23" t="inlineStr">
        <is>
          <t>1.5.1 Testing and Commissioning - Test Readiness</t>
        </is>
      </c>
      <c r="G1160" s="23" t="inlineStr">
        <is>
          <t>ONE_TO_ONE</t>
        </is>
      </c>
      <c r="H1160" s="23" t="inlineStr">
        <is>
          <t>RETAINED</t>
        </is>
      </c>
      <c r="I1160" s="23" t="inlineStr">
        <is>
          <t>Carried forward</t>
        </is>
      </c>
      <c r="J1160" s="23" t="inlineStr">
        <is>
          <t>Source assignment -- not individually reviewed</t>
        </is>
      </c>
      <c r="K1160" s="23" t="inlineStr"/>
      <c r="L1160" s="23" t="inlineStr"/>
      <c r="M1160" s="23" t="inlineStr"/>
      <c r="N1160" s="14" t="inlineStr">
        <is>
          <t>10 EVIDENCE &amp; DECISIONS</t>
        </is>
      </c>
    </row>
    <row r="1161" ht="34" customHeight="1">
      <c r="A1161" s="23" t="inlineStr">
        <is>
          <t>Contractor Programme</t>
        </is>
      </c>
      <c r="B1161" s="23" t="inlineStr">
        <is>
          <t>SCH-05-098</t>
        </is>
      </c>
      <c r="C1161" s="23" t="inlineStr">
        <is>
          <t>Depot: emergency-response drill - inspection</t>
        </is>
      </c>
      <c r="D1161" s="23" t="inlineStr">
        <is>
          <t>WBS Code = 1.5.1</t>
        </is>
      </c>
      <c r="E1161" s="23" t="inlineStr">
        <is>
          <t>R818-v2</t>
        </is>
      </c>
      <c r="F1161" s="23" t="inlineStr">
        <is>
          <t>1.5.1 Testing and Commissioning - Test Readiness</t>
        </is>
      </c>
      <c r="G1161" s="23" t="inlineStr">
        <is>
          <t>ONE_TO_ONE</t>
        </is>
      </c>
      <c r="H1161" s="23" t="inlineStr">
        <is>
          <t>RETAINED</t>
        </is>
      </c>
      <c r="I1161" s="23" t="inlineStr">
        <is>
          <t>Carried forward</t>
        </is>
      </c>
      <c r="J1161" s="23" t="inlineStr">
        <is>
          <t>Source assignment -- not individually reviewed</t>
        </is>
      </c>
      <c r="K1161" s="23" t="inlineStr"/>
      <c r="L1161" s="23" t="inlineStr"/>
      <c r="M1161" s="23" t="inlineStr"/>
      <c r="N1161" s="14" t="inlineStr">
        <is>
          <t>10 EVIDENCE &amp; DECISIONS</t>
        </is>
      </c>
    </row>
    <row r="1162" ht="34" customHeight="1">
      <c r="A1162" s="23" t="inlineStr">
        <is>
          <t>Contractor Programme</t>
        </is>
      </c>
      <c r="B1162" s="23" t="inlineStr">
        <is>
          <t>SCH-05-100</t>
        </is>
      </c>
      <c r="C1162" s="23" t="inlineStr">
        <is>
          <t>Mainline east: mainline dynamic test - release</t>
        </is>
      </c>
      <c r="D1162" s="23" t="inlineStr">
        <is>
          <t>WBS Code = 1.5.1</t>
        </is>
      </c>
      <c r="E1162" s="23" t="inlineStr">
        <is>
          <t>R820-v2</t>
        </is>
      </c>
      <c r="F1162" s="23" t="inlineStr">
        <is>
          <t>1.5.1 Testing and Commissioning - Test Readiness</t>
        </is>
      </c>
      <c r="G1162" s="23" t="inlineStr">
        <is>
          <t>ONE_TO_ONE</t>
        </is>
      </c>
      <c r="H1162" s="23" t="inlineStr">
        <is>
          <t>RETAINED</t>
        </is>
      </c>
      <c r="I1162" s="23" t="inlineStr">
        <is>
          <t>Carried forward</t>
        </is>
      </c>
      <c r="J1162" s="23" t="inlineStr">
        <is>
          <t>Source assignment -- not individually reviewed</t>
        </is>
      </c>
      <c r="K1162" s="23" t="inlineStr"/>
      <c r="L1162" s="23" t="inlineStr"/>
      <c r="M1162" s="23" t="inlineStr"/>
      <c r="N1162" s="14" t="inlineStr">
        <is>
          <t>10 EVIDENCE &amp; DECISIONS</t>
        </is>
      </c>
    </row>
    <row r="1163" ht="34" customHeight="1">
      <c r="A1163" s="23" t="inlineStr">
        <is>
          <t>Contractor Programme</t>
        </is>
      </c>
      <c r="B1163" s="23" t="inlineStr">
        <is>
          <t>SCH-05-101</t>
        </is>
      </c>
      <c r="C1163" s="23" t="inlineStr">
        <is>
          <t>Central section: safety certificate evidence closeout - field start</t>
        </is>
      </c>
      <c r="D1163" s="23" t="inlineStr">
        <is>
          <t>WBS Code = 1.5.1</t>
        </is>
      </c>
      <c r="E1163" s="23" t="inlineStr">
        <is>
          <t>R821-v2</t>
        </is>
      </c>
      <c r="F1163" s="23" t="inlineStr">
        <is>
          <t>1.5.1 Testing and Commissioning - Test Readiness</t>
        </is>
      </c>
      <c r="G1163" s="23" t="inlineStr">
        <is>
          <t>ONE_TO_ONE</t>
        </is>
      </c>
      <c r="H1163" s="23" t="inlineStr">
        <is>
          <t>RETAINED</t>
        </is>
      </c>
      <c r="I1163" s="23" t="inlineStr">
        <is>
          <t>Carried forward</t>
        </is>
      </c>
      <c r="J1163" s="23" t="inlineStr">
        <is>
          <t>Source assignment -- not individually reviewed</t>
        </is>
      </c>
      <c r="K1163" s="23" t="inlineStr"/>
      <c r="L1163" s="23" t="inlineStr"/>
      <c r="M1163" s="23" t="inlineStr"/>
      <c r="N1163" s="14" t="inlineStr">
        <is>
          <t>10 EVIDENCE &amp; DECISIONS</t>
        </is>
      </c>
    </row>
    <row r="1164" ht="34" customHeight="1">
      <c r="A1164" s="23" t="inlineStr">
        <is>
          <t>Contractor Programme</t>
        </is>
      </c>
      <c r="B1164" s="23" t="inlineStr">
        <is>
          <t>SCH-05-103</t>
        </is>
      </c>
      <c r="C1164" s="23" t="inlineStr">
        <is>
          <t>Depot: station integrated test - inspection</t>
        </is>
      </c>
      <c r="D1164" s="23" t="inlineStr">
        <is>
          <t>WBS Code = 1.5.1</t>
        </is>
      </c>
      <c r="E1164" s="23" t="inlineStr">
        <is>
          <t>R823-v2</t>
        </is>
      </c>
      <c r="F1164" s="23" t="inlineStr">
        <is>
          <t>1.5.1 Testing and Commissioning - Test Readiness</t>
        </is>
      </c>
      <c r="G1164" s="23" t="inlineStr">
        <is>
          <t>ONE_TO_ONE</t>
        </is>
      </c>
      <c r="H1164" s="23" t="inlineStr">
        <is>
          <t>RETAINED</t>
        </is>
      </c>
      <c r="I1164" s="23" t="inlineStr">
        <is>
          <t>Carried forward</t>
        </is>
      </c>
      <c r="J1164" s="23" t="inlineStr">
        <is>
          <t>Source assignment -- not individually reviewed</t>
        </is>
      </c>
      <c r="K1164" s="23" t="inlineStr"/>
      <c r="L1164" s="23" t="inlineStr"/>
      <c r="M1164" s="23" t="inlineStr"/>
      <c r="N1164" s="14" t="inlineStr">
        <is>
          <t>10 EVIDENCE &amp; DECISIONS</t>
        </is>
      </c>
    </row>
    <row r="1165" ht="34" customHeight="1">
      <c r="A1165" s="23" t="inlineStr">
        <is>
          <t>Contractor Programme</t>
        </is>
      </c>
      <c r="B1165" s="23" t="inlineStr">
        <is>
          <t>SCH-05-104</t>
        </is>
      </c>
      <c r="C1165" s="23" t="inlineStr">
        <is>
          <t>Control Centre: trial-running shift - turnover</t>
        </is>
      </c>
      <c r="D1165" s="23" t="inlineStr">
        <is>
          <t>WBS Code = 1.5.1</t>
        </is>
      </c>
      <c r="E1165" s="23" t="inlineStr">
        <is>
          <t>R824-v2</t>
        </is>
      </c>
      <c r="F1165" s="23" t="inlineStr">
        <is>
          <t>1.5.1 Testing and Commissioning - Test Readiness</t>
        </is>
      </c>
      <c r="G1165" s="23" t="inlineStr">
        <is>
          <t>ONE_TO_ONE</t>
        </is>
      </c>
      <c r="H1165" s="23" t="inlineStr">
        <is>
          <t>RETAINED</t>
        </is>
      </c>
      <c r="I1165" s="23" t="inlineStr">
        <is>
          <t>Carried forward</t>
        </is>
      </c>
      <c r="J1165" s="23" t="inlineStr">
        <is>
          <t>Source assignment -- not individually reviewed</t>
        </is>
      </c>
      <c r="K1165" s="23" t="inlineStr"/>
      <c r="L1165" s="23" t="inlineStr"/>
      <c r="M1165" s="23" t="inlineStr"/>
      <c r="N1165" s="14" t="inlineStr">
        <is>
          <t>10 EVIDENCE &amp; DECISIONS</t>
        </is>
      </c>
    </row>
    <row r="1166" ht="34" customHeight="1">
      <c r="A1166" s="23" t="inlineStr">
        <is>
          <t>Contractor Programme</t>
        </is>
      </c>
      <c r="B1166" s="23" t="inlineStr">
        <is>
          <t>SCH-05-106</t>
        </is>
      </c>
      <c r="C1166" s="23" t="inlineStr">
        <is>
          <t>Central section: emergency-response drill - field start</t>
        </is>
      </c>
      <c r="D1166" s="23" t="inlineStr">
        <is>
          <t>WBS Code = 1.5.1</t>
        </is>
      </c>
      <c r="E1166" s="23" t="inlineStr">
        <is>
          <t>R826-v2</t>
        </is>
      </c>
      <c r="F1166" s="23" t="inlineStr">
        <is>
          <t>1.5.1 Testing and Commissioning - Test Readiness</t>
        </is>
      </c>
      <c r="G1166" s="23" t="inlineStr">
        <is>
          <t>ONE_TO_ONE</t>
        </is>
      </c>
      <c r="H1166" s="23" t="inlineStr">
        <is>
          <t>RETAINED</t>
        </is>
      </c>
      <c r="I1166" s="23" t="inlineStr">
        <is>
          <t>Carried forward</t>
        </is>
      </c>
      <c r="J1166" s="23" t="inlineStr">
        <is>
          <t>Source assignment -- not individually reviewed</t>
        </is>
      </c>
      <c r="K1166" s="23" t="inlineStr"/>
      <c r="L1166" s="23" t="inlineStr"/>
      <c r="M1166" s="23" t="inlineStr"/>
      <c r="N1166" s="14" t="inlineStr">
        <is>
          <t>10 EVIDENCE &amp; DECISIONS</t>
        </is>
      </c>
    </row>
    <row r="1167" ht="34" customHeight="1">
      <c r="A1167" s="23" t="inlineStr">
        <is>
          <t>Contractor Programme</t>
        </is>
      </c>
      <c r="B1167" s="23" t="inlineStr">
        <is>
          <t>SCH-05-107</t>
        </is>
      </c>
      <c r="C1167" s="23" t="inlineStr">
        <is>
          <t>West terminal: defect retest - installation</t>
        </is>
      </c>
      <c r="D1167" s="23" t="inlineStr">
        <is>
          <t>WBS Code = 1.5.1</t>
        </is>
      </c>
      <c r="E1167" s="23" t="inlineStr">
        <is>
          <t>R827-v2</t>
        </is>
      </c>
      <c r="F1167" s="23" t="inlineStr">
        <is>
          <t>1.5.1 Testing and Commissioning - Test Readiness</t>
        </is>
      </c>
      <c r="G1167" s="23" t="inlineStr">
        <is>
          <t>ONE_TO_ONE</t>
        </is>
      </c>
      <c r="H1167" s="23" t="inlineStr">
        <is>
          <t>RETAINED</t>
        </is>
      </c>
      <c r="I1167" s="23" t="inlineStr">
        <is>
          <t>Carried forward</t>
        </is>
      </c>
      <c r="J1167" s="23" t="inlineStr">
        <is>
          <t>Source assignment -- not individually reviewed</t>
        </is>
      </c>
      <c r="K1167" s="23" t="inlineStr"/>
      <c r="L1167" s="23" t="inlineStr"/>
      <c r="M1167" s="23" t="inlineStr"/>
      <c r="N1167" s="14" t="inlineStr">
        <is>
          <t>10 EVIDENCE &amp; DECISIONS</t>
        </is>
      </c>
    </row>
    <row r="1168" ht="34" customHeight="1">
      <c r="A1168" s="23" t="inlineStr">
        <is>
          <t>Contractor Programme</t>
        </is>
      </c>
      <c r="B1168" s="23" t="inlineStr">
        <is>
          <t>SCH-05-109</t>
        </is>
      </c>
      <c r="C1168" s="23" t="inlineStr">
        <is>
          <t>Control Centre: safety certificate evidence closeout - turnover</t>
        </is>
      </c>
      <c r="D1168" s="23" t="inlineStr">
        <is>
          <t>WBS Code = 1.5.1</t>
        </is>
      </c>
      <c r="E1168" s="23" t="inlineStr">
        <is>
          <t>R829-v2</t>
        </is>
      </c>
      <c r="F1168" s="23" t="inlineStr">
        <is>
          <t>1.5.1 Testing and Commissioning - Test Readiness</t>
        </is>
      </c>
      <c r="G1168" s="23" t="inlineStr">
        <is>
          <t>ONE_TO_ONE</t>
        </is>
      </c>
      <c r="H1168" s="23" t="inlineStr">
        <is>
          <t>RETAINED</t>
        </is>
      </c>
      <c r="I1168" s="23" t="inlineStr">
        <is>
          <t>Carried forward</t>
        </is>
      </c>
      <c r="J1168" s="23" t="inlineStr">
        <is>
          <t>Source assignment -- not individually reviewed</t>
        </is>
      </c>
      <c r="K1168" s="23" t="inlineStr"/>
      <c r="L1168" s="23" t="inlineStr"/>
      <c r="M1168" s="23" t="inlineStr"/>
      <c r="N1168" s="14" t="inlineStr">
        <is>
          <t>10 EVIDENCE &amp; DECISIONS</t>
        </is>
      </c>
    </row>
    <row r="1169" ht="34" customHeight="1">
      <c r="A1169" s="23" t="inlineStr">
        <is>
          <t>Contractor Programme</t>
        </is>
      </c>
      <c r="B1169" s="23" t="inlineStr">
        <is>
          <t>SCH-05-110</t>
        </is>
      </c>
      <c r="C1169" s="23" t="inlineStr">
        <is>
          <t>Mainline east: service-readiness review - release</t>
        </is>
      </c>
      <c r="D1169" s="23" t="inlineStr">
        <is>
          <t>WBS Code = 1.5.1</t>
        </is>
      </c>
      <c r="E1169" s="23" t="inlineStr">
        <is>
          <t>R830-v2</t>
        </is>
      </c>
      <c r="F1169" s="23" t="inlineStr">
        <is>
          <t>1.5.1 Testing and Commissioning - Test Readiness</t>
        </is>
      </c>
      <c r="G1169" s="23" t="inlineStr">
        <is>
          <t>ONE_TO_ONE</t>
        </is>
      </c>
      <c r="H1169" s="23" t="inlineStr">
        <is>
          <t>RETAINED</t>
        </is>
      </c>
      <c r="I1169" s="23" t="inlineStr">
        <is>
          <t>Carried forward</t>
        </is>
      </c>
      <c r="J1169" s="23" t="inlineStr">
        <is>
          <t>Source assignment -- not individually reviewed</t>
        </is>
      </c>
      <c r="K1169" s="23" t="inlineStr"/>
      <c r="L1169" s="23" t="inlineStr"/>
      <c r="M1169" s="23" t="inlineStr"/>
      <c r="N1169" s="14" t="inlineStr">
        <is>
          <t>10 EVIDENCE &amp; DECISIONS</t>
        </is>
      </c>
    </row>
    <row r="1170" ht="34" customHeight="1">
      <c r="A1170" s="23" t="inlineStr">
        <is>
          <t>Contractor Programme</t>
        </is>
      </c>
      <c r="B1170" s="23" t="inlineStr">
        <is>
          <t>SCH-05-112</t>
        </is>
      </c>
      <c r="C1170" s="23" t="inlineStr">
        <is>
          <t>West terminal: trial-running shift - installation</t>
        </is>
      </c>
      <c r="D1170" s="23" t="inlineStr">
        <is>
          <t>WBS Code = 1.5.1</t>
        </is>
      </c>
      <c r="E1170" s="23" t="inlineStr">
        <is>
          <t>R832-v2</t>
        </is>
      </c>
      <c r="F1170" s="23" t="inlineStr">
        <is>
          <t>1.5.1 Testing and Commissioning - Test Readiness</t>
        </is>
      </c>
      <c r="G1170" s="23" t="inlineStr">
        <is>
          <t>ONE_TO_ONE</t>
        </is>
      </c>
      <c r="H1170" s="23" t="inlineStr">
        <is>
          <t>RETAINED</t>
        </is>
      </c>
      <c r="I1170" s="23" t="inlineStr">
        <is>
          <t>Carried forward</t>
        </is>
      </c>
      <c r="J1170" s="23" t="inlineStr">
        <is>
          <t>Source assignment -- not individually reviewed</t>
        </is>
      </c>
      <c r="K1170" s="23" t="inlineStr"/>
      <c r="L1170" s="23" t="inlineStr"/>
      <c r="M1170" s="23" t="inlineStr"/>
      <c r="N1170" s="14" t="inlineStr">
        <is>
          <t>10 EVIDENCE &amp; DECISIONS</t>
        </is>
      </c>
    </row>
    <row r="1171" ht="34" customHeight="1">
      <c r="A1171" s="23" t="inlineStr">
        <is>
          <t>Contractor Programme</t>
        </is>
      </c>
      <c r="B1171" s="23" t="inlineStr">
        <is>
          <t>SCH-05-113</t>
        </is>
      </c>
      <c r="C1171" s="23" t="inlineStr">
        <is>
          <t>Depot: test procedure readiness review - inspection</t>
        </is>
      </c>
      <c r="D1171" s="23" t="inlineStr">
        <is>
          <t>WBS Code = 1.5.1</t>
        </is>
      </c>
      <c r="E1171" s="23" t="inlineStr">
        <is>
          <t>R833-v2</t>
        </is>
      </c>
      <c r="F1171" s="23" t="inlineStr">
        <is>
          <t>1.5.1 Testing and Commissioning - Test Readiness</t>
        </is>
      </c>
      <c r="G1171" s="23" t="inlineStr">
        <is>
          <t>ONE_TO_ONE</t>
        </is>
      </c>
      <c r="H1171" s="23" t="inlineStr">
        <is>
          <t>RETAINED</t>
        </is>
      </c>
      <c r="I1171" s="23" t="inlineStr">
        <is>
          <t>Carried forward</t>
        </is>
      </c>
      <c r="J1171" s="23" t="inlineStr">
        <is>
          <t>Source assignment -- not individually reviewed</t>
        </is>
      </c>
      <c r="K1171" s="23" t="inlineStr"/>
      <c r="L1171" s="23" t="inlineStr"/>
      <c r="M1171" s="23" t="inlineStr"/>
      <c r="N1171" s="14" t="inlineStr">
        <is>
          <t>10 EVIDENCE &amp; DECISIONS</t>
        </is>
      </c>
    </row>
    <row r="1172" ht="34" customHeight="1">
      <c r="A1172" s="23" t="inlineStr">
        <is>
          <t>Contractor Programme</t>
        </is>
      </c>
      <c r="B1172" s="23" t="inlineStr">
        <is>
          <t>SCH-05-115</t>
        </is>
      </c>
      <c r="C1172" s="23" t="inlineStr">
        <is>
          <t>Mainline east: defect retest - release</t>
        </is>
      </c>
      <c r="D1172" s="23" t="inlineStr">
        <is>
          <t>WBS Code = 1.5.1</t>
        </is>
      </c>
      <c r="E1172" s="23" t="inlineStr">
        <is>
          <t>R835-v2</t>
        </is>
      </c>
      <c r="F1172" s="23" t="inlineStr">
        <is>
          <t>1.5.1 Testing and Commissioning - Test Readiness</t>
        </is>
      </c>
      <c r="G1172" s="23" t="inlineStr">
        <is>
          <t>ONE_TO_ONE</t>
        </is>
      </c>
      <c r="H1172" s="23" t="inlineStr">
        <is>
          <t>RETAINED</t>
        </is>
      </c>
      <c r="I1172" s="23" t="inlineStr">
        <is>
          <t>Carried forward</t>
        </is>
      </c>
      <c r="J1172" s="23" t="inlineStr">
        <is>
          <t>Source assignment -- not individually reviewed</t>
        </is>
      </c>
      <c r="K1172" s="23" t="inlineStr"/>
      <c r="L1172" s="23" t="inlineStr"/>
      <c r="M1172" s="23" t="inlineStr"/>
      <c r="N1172" s="14" t="inlineStr">
        <is>
          <t>10 EVIDENCE &amp; DECISIONS</t>
        </is>
      </c>
    </row>
    <row r="1173" ht="34" customHeight="1">
      <c r="A1173" s="23" t="inlineStr">
        <is>
          <t>Contractor Programme</t>
        </is>
      </c>
      <c r="B1173" s="23" t="inlineStr">
        <is>
          <t>SCH-05-116</t>
        </is>
      </c>
      <c r="C1173" s="23" t="inlineStr">
        <is>
          <t>Central section: mainline dynamic test - field start</t>
        </is>
      </c>
      <c r="D1173" s="23" t="inlineStr">
        <is>
          <t>WBS Code = 1.5.1</t>
        </is>
      </c>
      <c r="E1173" s="23" t="inlineStr">
        <is>
          <t>R836-v2</t>
        </is>
      </c>
      <c r="F1173" s="23" t="inlineStr">
        <is>
          <t>1.5.1 Testing and Commissioning - Test Readiness</t>
        </is>
      </c>
      <c r="G1173" s="23" t="inlineStr">
        <is>
          <t>ONE_TO_ONE</t>
        </is>
      </c>
      <c r="H1173" s="23" t="inlineStr">
        <is>
          <t>RETAINED</t>
        </is>
      </c>
      <c r="I1173" s="23" t="inlineStr">
        <is>
          <t>Carried forward</t>
        </is>
      </c>
      <c r="J1173" s="23" t="inlineStr">
        <is>
          <t>Source assignment -- not individually reviewed</t>
        </is>
      </c>
      <c r="K1173" s="23" t="inlineStr"/>
      <c r="L1173" s="23" t="inlineStr"/>
      <c r="M1173" s="23" t="inlineStr"/>
      <c r="N1173" s="14" t="inlineStr">
        <is>
          <t>10 EVIDENCE &amp; DECISIONS</t>
        </is>
      </c>
    </row>
    <row r="1174" ht="34" customHeight="1">
      <c r="A1174" s="23" t="inlineStr">
        <is>
          <t>Contractor Programme</t>
        </is>
      </c>
      <c r="B1174" s="23" t="inlineStr">
        <is>
          <t>SCH-05-118</t>
        </is>
      </c>
      <c r="C1174" s="23" t="inlineStr">
        <is>
          <t>Depot: service-readiness review - inspection</t>
        </is>
      </c>
      <c r="D1174" s="23" t="inlineStr">
        <is>
          <t>WBS Code = 1.5.1</t>
        </is>
      </c>
      <c r="E1174" s="23" t="inlineStr">
        <is>
          <t>R838-v2</t>
        </is>
      </c>
      <c r="F1174" s="23" t="inlineStr">
        <is>
          <t>1.5.1 Testing and Commissioning - Test Readiness</t>
        </is>
      </c>
      <c r="G1174" s="23" t="inlineStr">
        <is>
          <t>ONE_TO_ONE</t>
        </is>
      </c>
      <c r="H1174" s="23" t="inlineStr">
        <is>
          <t>RETAINED</t>
        </is>
      </c>
      <c r="I1174" s="23" t="inlineStr">
        <is>
          <t>Carried forward</t>
        </is>
      </c>
      <c r="J1174" s="23" t="inlineStr">
        <is>
          <t>Source assignment -- not individually reviewed</t>
        </is>
      </c>
      <c r="K1174" s="23" t="inlineStr"/>
      <c r="L1174" s="23" t="inlineStr"/>
      <c r="M1174" s="23" t="inlineStr"/>
      <c r="N1174" s="14" t="inlineStr">
        <is>
          <t>10 EVIDENCE &amp; DECISIONS</t>
        </is>
      </c>
    </row>
    <row r="1175" ht="34" customHeight="1">
      <c r="A1175" s="23" t="inlineStr">
        <is>
          <t>Contractor Programme</t>
        </is>
      </c>
      <c r="B1175" s="23" t="inlineStr">
        <is>
          <t>SCH-05-119</t>
        </is>
      </c>
      <c r="C1175" s="23" t="inlineStr">
        <is>
          <t>Control Centre: station integrated test - turnover</t>
        </is>
      </c>
      <c r="D1175" s="23" t="inlineStr">
        <is>
          <t>WBS Code = 1.5.1</t>
        </is>
      </c>
      <c r="E1175" s="23" t="inlineStr">
        <is>
          <t>R839-v2</t>
        </is>
      </c>
      <c r="F1175" s="23" t="inlineStr">
        <is>
          <t>1.5.1 Testing and Commissioning - Test Readiness</t>
        </is>
      </c>
      <c r="G1175" s="23" t="inlineStr">
        <is>
          <t>ONE_TO_ONE</t>
        </is>
      </c>
      <c r="H1175" s="23" t="inlineStr">
        <is>
          <t>RETAINED</t>
        </is>
      </c>
      <c r="I1175" s="23" t="inlineStr">
        <is>
          <t>Carried forward</t>
        </is>
      </c>
      <c r="J1175" s="23" t="inlineStr">
        <is>
          <t>Source assignment -- not individually reviewed</t>
        </is>
      </c>
      <c r="K1175" s="23" t="inlineStr"/>
      <c r="L1175" s="23" t="inlineStr"/>
      <c r="M1175" s="23" t="inlineStr"/>
      <c r="N1175" s="14" t="inlineStr">
        <is>
          <t>10 EVIDENCE &amp; DECISIONS</t>
        </is>
      </c>
    </row>
    <row r="1176" ht="34" customHeight="1">
      <c r="A1176" s="23" t="inlineStr">
        <is>
          <t>Contractor Programme</t>
        </is>
      </c>
      <c r="B1176" s="23" t="inlineStr">
        <is>
          <t>SCH-05-121</t>
        </is>
      </c>
      <c r="C1176" s="23" t="inlineStr">
        <is>
          <t>Central section: test procedure readiness review - field start</t>
        </is>
      </c>
      <c r="D1176" s="23" t="inlineStr">
        <is>
          <t>WBS Code = 1.5.1</t>
        </is>
      </c>
      <c r="E1176" s="23" t="inlineStr">
        <is>
          <t>R841-v2</t>
        </is>
      </c>
      <c r="F1176" s="23" t="inlineStr">
        <is>
          <t>1.5.1 Testing and Commissioning - Test Readiness</t>
        </is>
      </c>
      <c r="G1176" s="23" t="inlineStr">
        <is>
          <t>ONE_TO_ONE</t>
        </is>
      </c>
      <c r="H1176" s="23" t="inlineStr">
        <is>
          <t>RETAINED</t>
        </is>
      </c>
      <c r="I1176" s="23" t="inlineStr">
        <is>
          <t>Carried forward</t>
        </is>
      </c>
      <c r="J1176" s="23" t="inlineStr">
        <is>
          <t>Source assignment -- not individually reviewed</t>
        </is>
      </c>
      <c r="K1176" s="23" t="inlineStr"/>
      <c r="L1176" s="23" t="inlineStr"/>
      <c r="M1176" s="23" t="inlineStr"/>
      <c r="N1176" s="14" t="inlineStr">
        <is>
          <t>10 EVIDENCE &amp; DECISIONS</t>
        </is>
      </c>
    </row>
    <row r="1177" ht="34" customHeight="1">
      <c r="A1177" s="23" t="inlineStr">
        <is>
          <t>Contractor Programme</t>
        </is>
      </c>
      <c r="B1177" s="23" t="inlineStr">
        <is>
          <t>SCH-05-122</t>
        </is>
      </c>
      <c r="C1177" s="23" t="inlineStr">
        <is>
          <t>West terminal: emergency-response drill - installation</t>
        </is>
      </c>
      <c r="D1177" s="23" t="inlineStr">
        <is>
          <t>WBS Code = 1.5.1</t>
        </is>
      </c>
      <c r="E1177" s="23" t="inlineStr">
        <is>
          <t>R842-v2</t>
        </is>
      </c>
      <c r="F1177" s="23" t="inlineStr">
        <is>
          <t>1.5.1 Testing and Commissioning - Test Readiness</t>
        </is>
      </c>
      <c r="G1177" s="23" t="inlineStr">
        <is>
          <t>ONE_TO_ONE</t>
        </is>
      </c>
      <c r="H1177" s="23" t="inlineStr">
        <is>
          <t>RETAINED</t>
        </is>
      </c>
      <c r="I1177" s="23" t="inlineStr">
        <is>
          <t>Carried forward</t>
        </is>
      </c>
      <c r="J1177" s="23" t="inlineStr">
        <is>
          <t>Source assignment -- not individually reviewed</t>
        </is>
      </c>
      <c r="K1177" s="23" t="inlineStr"/>
      <c r="L1177" s="23" t="inlineStr"/>
      <c r="M1177" s="23" t="inlineStr"/>
      <c r="N1177" s="14" t="inlineStr">
        <is>
          <t>10 EVIDENCE &amp; DECISIONS</t>
        </is>
      </c>
    </row>
    <row r="1178" ht="34" customHeight="1">
      <c r="A1178" s="23" t="inlineStr">
        <is>
          <t>Contractor Programme</t>
        </is>
      </c>
      <c r="B1178" s="23" t="inlineStr">
        <is>
          <t>SCH-05-124</t>
        </is>
      </c>
      <c r="C1178" s="23" t="inlineStr">
        <is>
          <t>Control Centre: mainline dynamic test - turnover</t>
        </is>
      </c>
      <c r="D1178" s="23" t="inlineStr">
        <is>
          <t>WBS Code = 1.5.1</t>
        </is>
      </c>
      <c r="E1178" s="23" t="inlineStr">
        <is>
          <t>R844-v2</t>
        </is>
      </c>
      <c r="F1178" s="23" t="inlineStr">
        <is>
          <t>1.5.1 Testing and Commissioning - Test Readiness</t>
        </is>
      </c>
      <c r="G1178" s="23" t="inlineStr">
        <is>
          <t>ONE_TO_ONE</t>
        </is>
      </c>
      <c r="H1178" s="23" t="inlineStr">
        <is>
          <t>RETAINED</t>
        </is>
      </c>
      <c r="I1178" s="23" t="inlineStr">
        <is>
          <t>Carried forward</t>
        </is>
      </c>
      <c r="J1178" s="23" t="inlineStr">
        <is>
          <t>Source assignment -- not individually reviewed</t>
        </is>
      </c>
      <c r="K1178" s="23" t="inlineStr"/>
      <c r="L1178" s="23" t="inlineStr"/>
      <c r="M1178" s="23" t="inlineStr"/>
      <c r="N1178" s="14" t="inlineStr">
        <is>
          <t>10 EVIDENCE &amp; DECISIONS</t>
        </is>
      </c>
    </row>
    <row r="1179" ht="34" customHeight="1">
      <c r="A1179" s="23" t="inlineStr">
        <is>
          <t>Contractor Programme</t>
        </is>
      </c>
      <c r="B1179" s="23" t="inlineStr">
        <is>
          <t>SCH-05-125</t>
        </is>
      </c>
      <c r="C1179" s="23" t="inlineStr">
        <is>
          <t>Mainline east: safety certificate evidence closeout - release</t>
        </is>
      </c>
      <c r="D1179" s="23" t="inlineStr">
        <is>
          <t>WBS Code = 1.5.1</t>
        </is>
      </c>
      <c r="E1179" s="23" t="inlineStr">
        <is>
          <t>R845-v2</t>
        </is>
      </c>
      <c r="F1179" s="23" t="inlineStr">
        <is>
          <t>1.5.1 Testing and Commissioning - Test Readiness</t>
        </is>
      </c>
      <c r="G1179" s="23" t="inlineStr">
        <is>
          <t>ONE_TO_ONE</t>
        </is>
      </c>
      <c r="H1179" s="23" t="inlineStr">
        <is>
          <t>RETAINED</t>
        </is>
      </c>
      <c r="I1179" s="23" t="inlineStr">
        <is>
          <t>Carried forward</t>
        </is>
      </c>
      <c r="J1179" s="23" t="inlineStr">
        <is>
          <t>Source assignment -- not individually reviewed</t>
        </is>
      </c>
      <c r="K1179" s="23" t="inlineStr"/>
      <c r="L1179" s="23" t="inlineStr"/>
      <c r="M1179" s="23" t="inlineStr"/>
      <c r="N1179" s="14" t="inlineStr">
        <is>
          <t>10 EVIDENCE &amp; DECISIONS</t>
        </is>
      </c>
    </row>
    <row r="1180" ht="34" customHeight="1">
      <c r="A1180" s="23" t="inlineStr">
        <is>
          <t>Contractor Programme</t>
        </is>
      </c>
      <c r="B1180" s="23" t="inlineStr">
        <is>
          <t>SCH-05-127</t>
        </is>
      </c>
      <c r="C1180" s="23" t="inlineStr">
        <is>
          <t>West terminal: station integrated test - installation</t>
        </is>
      </c>
      <c r="D1180" s="23" t="inlineStr">
        <is>
          <t>WBS Code = 1.5.1</t>
        </is>
      </c>
      <c r="E1180" s="23" t="inlineStr">
        <is>
          <t>R847-v2</t>
        </is>
      </c>
      <c r="F1180" s="23" t="inlineStr">
        <is>
          <t>1.5.1 Testing and Commissioning - Test Readiness</t>
        </is>
      </c>
      <c r="G1180" s="23" t="inlineStr">
        <is>
          <t>ONE_TO_ONE</t>
        </is>
      </c>
      <c r="H1180" s="23" t="inlineStr">
        <is>
          <t>RETAINED</t>
        </is>
      </c>
      <c r="I1180" s="23" t="inlineStr">
        <is>
          <t>Carried forward</t>
        </is>
      </c>
      <c r="J1180" s="23" t="inlineStr">
        <is>
          <t>Source assignment -- not individually reviewed</t>
        </is>
      </c>
      <c r="K1180" s="23" t="inlineStr"/>
      <c r="L1180" s="23" t="inlineStr"/>
      <c r="M1180" s="23" t="inlineStr"/>
      <c r="N1180" s="14" t="inlineStr">
        <is>
          <t>10 EVIDENCE &amp; DECISIONS</t>
        </is>
      </c>
    </row>
    <row r="1181" ht="34" customHeight="1">
      <c r="A1181" s="23" t="inlineStr">
        <is>
          <t>Contractor Programme</t>
        </is>
      </c>
      <c r="B1181" s="23" t="inlineStr">
        <is>
          <t>SCH-05-128</t>
        </is>
      </c>
      <c r="C1181" s="23" t="inlineStr">
        <is>
          <t>Depot: trial-running shift - inspection</t>
        </is>
      </c>
      <c r="D1181" s="23" t="inlineStr">
        <is>
          <t>WBS Code = 1.5.1</t>
        </is>
      </c>
      <c r="E1181" s="23" t="inlineStr">
        <is>
          <t>R848-v2</t>
        </is>
      </c>
      <c r="F1181" s="23" t="inlineStr">
        <is>
          <t>1.5.1 Testing and Commissioning - Test Readiness</t>
        </is>
      </c>
      <c r="G1181" s="23" t="inlineStr">
        <is>
          <t>ONE_TO_ONE</t>
        </is>
      </c>
      <c r="H1181" s="23" t="inlineStr">
        <is>
          <t>RETAINED</t>
        </is>
      </c>
      <c r="I1181" s="23" t="inlineStr">
        <is>
          <t>Carried forward</t>
        </is>
      </c>
      <c r="J1181" s="23" t="inlineStr">
        <is>
          <t>Source assignment -- not individually reviewed</t>
        </is>
      </c>
      <c r="K1181" s="23" t="inlineStr"/>
      <c r="L1181" s="23" t="inlineStr"/>
      <c r="M1181" s="23" t="inlineStr"/>
      <c r="N1181" s="14" t="inlineStr">
        <is>
          <t>10 EVIDENCE &amp; DECISIONS</t>
        </is>
      </c>
    </row>
    <row r="1182" ht="34" customHeight="1">
      <c r="A1182" s="23" t="inlineStr">
        <is>
          <t>Contractor Programme</t>
        </is>
      </c>
      <c r="B1182" s="23" t="inlineStr">
        <is>
          <t>SCH-05-130</t>
        </is>
      </c>
      <c r="C1182" s="23" t="inlineStr">
        <is>
          <t>Mainline east: emergency-response drill - release</t>
        </is>
      </c>
      <c r="D1182" s="23" t="inlineStr">
        <is>
          <t>WBS Code = 1.5.1</t>
        </is>
      </c>
      <c r="E1182" s="23" t="inlineStr">
        <is>
          <t>R850-v2</t>
        </is>
      </c>
      <c r="F1182" s="23" t="inlineStr">
        <is>
          <t>1.5.1 Testing and Commissioning - Test Readiness</t>
        </is>
      </c>
      <c r="G1182" s="23" t="inlineStr">
        <is>
          <t>ONE_TO_ONE</t>
        </is>
      </c>
      <c r="H1182" s="23" t="inlineStr">
        <is>
          <t>RETAINED</t>
        </is>
      </c>
      <c r="I1182" s="23" t="inlineStr">
        <is>
          <t>Carried forward</t>
        </is>
      </c>
      <c r="J1182" s="23" t="inlineStr">
        <is>
          <t>Source assignment -- not individually reviewed</t>
        </is>
      </c>
      <c r="K1182" s="23" t="inlineStr"/>
      <c r="L1182" s="23" t="inlineStr"/>
      <c r="M1182" s="23" t="inlineStr"/>
      <c r="N1182" s="14" t="inlineStr">
        <is>
          <t>10 EVIDENCE &amp; DECISIONS</t>
        </is>
      </c>
    </row>
    <row r="1183" ht="34" customHeight="1">
      <c r="A1183" s="23" t="inlineStr">
        <is>
          <t>Contractor Programme</t>
        </is>
      </c>
      <c r="B1183" s="23" t="inlineStr">
        <is>
          <t>SCH-05-131</t>
        </is>
      </c>
      <c r="C1183" s="23" t="inlineStr">
        <is>
          <t>Central section: defect retest - field start</t>
        </is>
      </c>
      <c r="D1183" s="23" t="inlineStr">
        <is>
          <t>WBS Code = 1.5.1</t>
        </is>
      </c>
      <c r="E1183" s="23" t="inlineStr">
        <is>
          <t>R851-v2</t>
        </is>
      </c>
      <c r="F1183" s="23" t="inlineStr">
        <is>
          <t>1.5.1 Testing and Commissioning - Test Readiness</t>
        </is>
      </c>
      <c r="G1183" s="23" t="inlineStr">
        <is>
          <t>ONE_TO_ONE</t>
        </is>
      </c>
      <c r="H1183" s="23" t="inlineStr">
        <is>
          <t>RETAINED</t>
        </is>
      </c>
      <c r="I1183" s="23" t="inlineStr">
        <is>
          <t>Carried forward</t>
        </is>
      </c>
      <c r="J1183" s="23" t="inlineStr">
        <is>
          <t>Source assignment -- not individually reviewed</t>
        </is>
      </c>
      <c r="K1183" s="23" t="inlineStr"/>
      <c r="L1183" s="23" t="inlineStr"/>
      <c r="M1183" s="23" t="inlineStr"/>
      <c r="N1183" s="14" t="inlineStr">
        <is>
          <t>10 EVIDENCE &amp; DECISIONS</t>
        </is>
      </c>
    </row>
    <row r="1184" ht="34" customHeight="1">
      <c r="A1184" s="23" t="inlineStr">
        <is>
          <t>Contractor Programme</t>
        </is>
      </c>
      <c r="B1184" s="23" t="inlineStr">
        <is>
          <t>SCH-05-133</t>
        </is>
      </c>
      <c r="C1184" s="23" t="inlineStr">
        <is>
          <t>Depot: safety certificate evidence closeout - inspection</t>
        </is>
      </c>
      <c r="D1184" s="23" t="inlineStr">
        <is>
          <t>WBS Code = 1.5.1</t>
        </is>
      </c>
      <c r="E1184" s="23" t="inlineStr">
        <is>
          <t>R853-v2</t>
        </is>
      </c>
      <c r="F1184" s="23" t="inlineStr">
        <is>
          <t>1.5.1 Testing and Commissioning - Test Readiness</t>
        </is>
      </c>
      <c r="G1184" s="23" t="inlineStr">
        <is>
          <t>ONE_TO_ONE</t>
        </is>
      </c>
      <c r="H1184" s="23" t="inlineStr">
        <is>
          <t>RETAINED</t>
        </is>
      </c>
      <c r="I1184" s="23" t="inlineStr">
        <is>
          <t>Carried forward</t>
        </is>
      </c>
      <c r="J1184" s="23" t="inlineStr">
        <is>
          <t>Source assignment -- not individually reviewed</t>
        </is>
      </c>
      <c r="K1184" s="23" t="inlineStr"/>
      <c r="L1184" s="23" t="inlineStr"/>
      <c r="M1184" s="23" t="inlineStr"/>
      <c r="N1184" s="14" t="inlineStr">
        <is>
          <t>10 EVIDENCE &amp; DECISIONS</t>
        </is>
      </c>
    </row>
    <row r="1185" ht="34" customHeight="1">
      <c r="A1185" s="23" t="inlineStr">
        <is>
          <t>Contractor Programme</t>
        </is>
      </c>
      <c r="B1185" s="23" t="inlineStr">
        <is>
          <t>SCH-05-134</t>
        </is>
      </c>
      <c r="C1185" s="23" t="inlineStr">
        <is>
          <t>Control Centre: service-readiness review - turnover</t>
        </is>
      </c>
      <c r="D1185" s="23" t="inlineStr">
        <is>
          <t>WBS Code = 1.5.1</t>
        </is>
      </c>
      <c r="E1185" s="23" t="inlineStr">
        <is>
          <t>R854-v2</t>
        </is>
      </c>
      <c r="F1185" s="23" t="inlineStr">
        <is>
          <t>1.5.1 Testing and Commissioning - Test Readiness</t>
        </is>
      </c>
      <c r="G1185" s="23" t="inlineStr">
        <is>
          <t>ONE_TO_ONE</t>
        </is>
      </c>
      <c r="H1185" s="23" t="inlineStr">
        <is>
          <t>RETAINED</t>
        </is>
      </c>
      <c r="I1185" s="23" t="inlineStr">
        <is>
          <t>Carried forward</t>
        </is>
      </c>
      <c r="J1185" s="23" t="inlineStr">
        <is>
          <t>Source assignment -- not individually reviewed</t>
        </is>
      </c>
      <c r="K1185" s="23" t="inlineStr"/>
      <c r="L1185" s="23" t="inlineStr"/>
      <c r="M1185" s="23" t="inlineStr"/>
      <c r="N1185" s="14" t="inlineStr">
        <is>
          <t>10 EVIDENCE &amp; DECISIONS</t>
        </is>
      </c>
    </row>
    <row r="1186" ht="34" customHeight="1">
      <c r="A1186" s="23" t="inlineStr">
        <is>
          <t>Contractor Programme</t>
        </is>
      </c>
      <c r="B1186" s="23" t="inlineStr">
        <is>
          <t>SCH-05-136</t>
        </is>
      </c>
      <c r="C1186" s="23" t="inlineStr">
        <is>
          <t>Central section: trial-running shift - field start</t>
        </is>
      </c>
      <c r="D1186" s="23" t="inlineStr">
        <is>
          <t>WBS Code = 1.5.1</t>
        </is>
      </c>
      <c r="E1186" s="23" t="inlineStr">
        <is>
          <t>R856-v2</t>
        </is>
      </c>
      <c r="F1186" s="23" t="inlineStr">
        <is>
          <t>1.5.1 Testing and Commissioning - Test Readiness</t>
        </is>
      </c>
      <c r="G1186" s="23" t="inlineStr">
        <is>
          <t>ONE_TO_ONE</t>
        </is>
      </c>
      <c r="H1186" s="23" t="inlineStr">
        <is>
          <t>RETAINED</t>
        </is>
      </c>
      <c r="I1186" s="23" t="inlineStr">
        <is>
          <t>Carried forward</t>
        </is>
      </c>
      <c r="J1186" s="23" t="inlineStr">
        <is>
          <t>Source assignment -- not individually reviewed</t>
        </is>
      </c>
      <c r="K1186" s="23" t="inlineStr"/>
      <c r="L1186" s="23" t="inlineStr"/>
      <c r="M1186" s="23" t="inlineStr"/>
      <c r="N1186" s="14" t="inlineStr">
        <is>
          <t>10 EVIDENCE &amp; DECISIONS</t>
        </is>
      </c>
    </row>
    <row r="1187" ht="34" customHeight="1">
      <c r="A1187" s="23" t="inlineStr">
        <is>
          <t>Contractor Programme</t>
        </is>
      </c>
      <c r="B1187" s="23" t="inlineStr">
        <is>
          <t>SCH-05-137</t>
        </is>
      </c>
      <c r="C1187" s="23" t="inlineStr">
        <is>
          <t>West terminal: test procedure readiness review - installation</t>
        </is>
      </c>
      <c r="D1187" s="23" t="inlineStr">
        <is>
          <t>WBS Code = 1.5.1</t>
        </is>
      </c>
      <c r="E1187" s="23" t="inlineStr">
        <is>
          <t>R857-v2</t>
        </is>
      </c>
      <c r="F1187" s="23" t="inlineStr">
        <is>
          <t>1.5.1 Testing and Commissioning - Test Readiness</t>
        </is>
      </c>
      <c r="G1187" s="23" t="inlineStr">
        <is>
          <t>ONE_TO_ONE</t>
        </is>
      </c>
      <c r="H1187" s="23" t="inlineStr">
        <is>
          <t>RETAINED</t>
        </is>
      </c>
      <c r="I1187" s="23" t="inlineStr">
        <is>
          <t>Carried forward</t>
        </is>
      </c>
      <c r="J1187" s="23" t="inlineStr">
        <is>
          <t>Source assignment -- not individually reviewed</t>
        </is>
      </c>
      <c r="K1187" s="23" t="inlineStr"/>
      <c r="L1187" s="23" t="inlineStr"/>
      <c r="M1187" s="23" t="inlineStr"/>
      <c r="N1187" s="14" t="inlineStr">
        <is>
          <t>10 EVIDENCE &amp; DECISIONS</t>
        </is>
      </c>
    </row>
    <row r="1188" ht="34" customHeight="1">
      <c r="A1188" s="23" t="inlineStr">
        <is>
          <t>Contractor Programme</t>
        </is>
      </c>
      <c r="B1188" s="23" t="inlineStr">
        <is>
          <t>SCH-05-139</t>
        </is>
      </c>
      <c r="C1188" s="23" t="inlineStr">
        <is>
          <t>Control Centre: defect retest - turnover</t>
        </is>
      </c>
      <c r="D1188" s="23" t="inlineStr">
        <is>
          <t>WBS Code = 1.5.1</t>
        </is>
      </c>
      <c r="E1188" s="23" t="inlineStr">
        <is>
          <t>R859-v2</t>
        </is>
      </c>
      <c r="F1188" s="23" t="inlineStr">
        <is>
          <t>1.5.1 Testing and Commissioning - Test Readiness</t>
        </is>
      </c>
      <c r="G1188" s="23" t="inlineStr">
        <is>
          <t>ONE_TO_ONE</t>
        </is>
      </c>
      <c r="H1188" s="23" t="inlineStr">
        <is>
          <t>RETAINED</t>
        </is>
      </c>
      <c r="I1188" s="23" t="inlineStr">
        <is>
          <t>Carried forward</t>
        </is>
      </c>
      <c r="J1188" s="23" t="inlineStr">
        <is>
          <t>Source assignment -- not individually reviewed</t>
        </is>
      </c>
      <c r="K1188" s="23" t="inlineStr"/>
      <c r="L1188" s="23" t="inlineStr"/>
      <c r="M1188" s="23" t="inlineStr"/>
      <c r="N1188" s="14" t="inlineStr">
        <is>
          <t>10 EVIDENCE &amp; DECISIONS</t>
        </is>
      </c>
    </row>
    <row r="1189" ht="34" customHeight="1">
      <c r="A1189" s="23" t="inlineStr">
        <is>
          <t>Contractor Programme</t>
        </is>
      </c>
      <c r="B1189" s="23" t="inlineStr">
        <is>
          <t>SCH-05-140</t>
        </is>
      </c>
      <c r="C1189" s="23" t="inlineStr">
        <is>
          <t>Mainline east: mainline dynamic test - release</t>
        </is>
      </c>
      <c r="D1189" s="23" t="inlineStr">
        <is>
          <t>WBS Code = 1.5.1</t>
        </is>
      </c>
      <c r="E1189" s="23" t="inlineStr">
        <is>
          <t>R860-v2</t>
        </is>
      </c>
      <c r="F1189" s="23" t="inlineStr">
        <is>
          <t>1.5.1 Testing and Commissioning - Test Readiness</t>
        </is>
      </c>
      <c r="G1189" s="23" t="inlineStr">
        <is>
          <t>ONE_TO_ONE</t>
        </is>
      </c>
      <c r="H1189" s="23" t="inlineStr">
        <is>
          <t>RETAINED</t>
        </is>
      </c>
      <c r="I1189" s="23" t="inlineStr">
        <is>
          <t>Carried forward</t>
        </is>
      </c>
      <c r="J1189" s="23" t="inlineStr">
        <is>
          <t>Source assignment -- not individually reviewed</t>
        </is>
      </c>
      <c r="K1189" s="23" t="inlineStr"/>
      <c r="L1189" s="23" t="inlineStr"/>
      <c r="M1189" s="23" t="inlineStr"/>
      <c r="N1189" s="14" t="inlineStr">
        <is>
          <t>10 EVIDENCE &amp; DECISIONS</t>
        </is>
      </c>
    </row>
    <row r="1190" ht="34" customHeight="1">
      <c r="A1190" s="23" t="inlineStr">
        <is>
          <t>Contractor Programme</t>
        </is>
      </c>
      <c r="B1190" s="23" t="inlineStr">
        <is>
          <t>SCH-05-142</t>
        </is>
      </c>
      <c r="C1190" s="23" t="inlineStr">
        <is>
          <t>West terminal: service-readiness review - installation</t>
        </is>
      </c>
      <c r="D1190" s="23" t="inlineStr">
        <is>
          <t>WBS Code = 1.5.1</t>
        </is>
      </c>
      <c r="E1190" s="23" t="inlineStr">
        <is>
          <t>R862-v2</t>
        </is>
      </c>
      <c r="F1190" s="23" t="inlineStr">
        <is>
          <t>1.5.1 Testing and Commissioning - Test Readiness</t>
        </is>
      </c>
      <c r="G1190" s="23" t="inlineStr">
        <is>
          <t>ONE_TO_ONE</t>
        </is>
      </c>
      <c r="H1190" s="23" t="inlineStr">
        <is>
          <t>RETAINED</t>
        </is>
      </c>
      <c r="I1190" s="23" t="inlineStr">
        <is>
          <t>Carried forward</t>
        </is>
      </c>
      <c r="J1190" s="23" t="inlineStr">
        <is>
          <t>Source assignment -- not individually reviewed</t>
        </is>
      </c>
      <c r="K1190" s="23" t="inlineStr"/>
      <c r="L1190" s="23" t="inlineStr"/>
      <c r="M1190" s="23" t="inlineStr"/>
      <c r="N1190" s="14" t="inlineStr">
        <is>
          <t>10 EVIDENCE &amp; DECISIONS</t>
        </is>
      </c>
    </row>
    <row r="1191" ht="34" customHeight="1">
      <c r="A1191" s="23" t="inlineStr">
        <is>
          <t>Contractor Programme</t>
        </is>
      </c>
      <c r="B1191" s="23" t="inlineStr">
        <is>
          <t>SCH-05-143</t>
        </is>
      </c>
      <c r="C1191" s="23" t="inlineStr">
        <is>
          <t>Depot: station integrated test - inspection</t>
        </is>
      </c>
      <c r="D1191" s="23" t="inlineStr">
        <is>
          <t>WBS Code = 1.5.1</t>
        </is>
      </c>
      <c r="E1191" s="23" t="inlineStr">
        <is>
          <t>R863-v2</t>
        </is>
      </c>
      <c r="F1191" s="23" t="inlineStr">
        <is>
          <t>1.5.1 Testing and Commissioning - Test Readiness</t>
        </is>
      </c>
      <c r="G1191" s="23" t="inlineStr">
        <is>
          <t>ONE_TO_ONE</t>
        </is>
      </c>
      <c r="H1191" s="23" t="inlineStr">
        <is>
          <t>RETAINED</t>
        </is>
      </c>
      <c r="I1191" s="23" t="inlineStr">
        <is>
          <t>Carried forward</t>
        </is>
      </c>
      <c r="J1191" s="23" t="inlineStr">
        <is>
          <t>Source assignment -- not individually reviewed</t>
        </is>
      </c>
      <c r="K1191" s="23" t="inlineStr"/>
      <c r="L1191" s="23" t="inlineStr"/>
      <c r="M1191" s="23" t="inlineStr"/>
      <c r="N1191" s="14" t="inlineStr">
        <is>
          <t>10 EVIDENCE &amp; DECISIONS</t>
        </is>
      </c>
    </row>
    <row r="1192" ht="34" customHeight="1">
      <c r="A1192" s="23" t="inlineStr">
        <is>
          <t>Contractor Programme</t>
        </is>
      </c>
      <c r="B1192" s="23" t="inlineStr">
        <is>
          <t>SCH-05-145</t>
        </is>
      </c>
      <c r="C1192" s="23" t="inlineStr">
        <is>
          <t>Mainline east: test procedure readiness review - release</t>
        </is>
      </c>
      <c r="D1192" s="23" t="inlineStr">
        <is>
          <t>WBS Code = 1.5.1</t>
        </is>
      </c>
      <c r="E1192" s="23" t="inlineStr">
        <is>
          <t>R865-v2</t>
        </is>
      </c>
      <c r="F1192" s="23" t="inlineStr">
        <is>
          <t>1.5.1 Testing and Commissioning - Test Readiness</t>
        </is>
      </c>
      <c r="G1192" s="23" t="inlineStr">
        <is>
          <t>ONE_TO_ONE</t>
        </is>
      </c>
      <c r="H1192" s="23" t="inlineStr">
        <is>
          <t>RETAINED</t>
        </is>
      </c>
      <c r="I1192" s="23" t="inlineStr">
        <is>
          <t>Carried forward</t>
        </is>
      </c>
      <c r="J1192" s="23" t="inlineStr">
        <is>
          <t>Source assignment -- not individually reviewed</t>
        </is>
      </c>
      <c r="K1192" s="23" t="inlineStr"/>
      <c r="L1192" s="23" t="inlineStr"/>
      <c r="M1192" s="23" t="inlineStr"/>
      <c r="N1192" s="14" t="inlineStr">
        <is>
          <t>10 EVIDENCE &amp; DECISIONS</t>
        </is>
      </c>
    </row>
    <row r="1193" ht="34" customHeight="1">
      <c r="A1193" s="23" t="inlineStr">
        <is>
          <t>Contractor Programme</t>
        </is>
      </c>
      <c r="B1193" s="23" t="inlineStr">
        <is>
          <t>SCH-05-146</t>
        </is>
      </c>
      <c r="C1193" s="23" t="inlineStr">
        <is>
          <t>Central section: emergency-response drill - field start</t>
        </is>
      </c>
      <c r="D1193" s="23" t="inlineStr">
        <is>
          <t>WBS Code = 1.5.1</t>
        </is>
      </c>
      <c r="E1193" s="23" t="inlineStr">
        <is>
          <t>R866-v2</t>
        </is>
      </c>
      <c r="F1193" s="23" t="inlineStr">
        <is>
          <t>1.5.1 Testing and Commissioning - Test Readiness</t>
        </is>
      </c>
      <c r="G1193" s="23" t="inlineStr">
        <is>
          <t>ONE_TO_ONE</t>
        </is>
      </c>
      <c r="H1193" s="23" t="inlineStr">
        <is>
          <t>RETAINED</t>
        </is>
      </c>
      <c r="I1193" s="23" t="inlineStr">
        <is>
          <t>Carried forward</t>
        </is>
      </c>
      <c r="J1193" s="23" t="inlineStr">
        <is>
          <t>Source assignment -- not individually reviewed</t>
        </is>
      </c>
      <c r="K1193" s="23" t="inlineStr"/>
      <c r="L1193" s="23" t="inlineStr"/>
      <c r="M1193" s="23" t="inlineStr"/>
      <c r="N1193" s="14" t="inlineStr">
        <is>
          <t>10 EVIDENCE &amp; DECISIONS</t>
        </is>
      </c>
    </row>
    <row r="1194" ht="34" customHeight="1">
      <c r="A1194" s="23" t="inlineStr">
        <is>
          <t>Contractor Programme</t>
        </is>
      </c>
      <c r="B1194" s="23" t="inlineStr">
        <is>
          <t>SCH-05-148</t>
        </is>
      </c>
      <c r="C1194" s="23" t="inlineStr">
        <is>
          <t>Depot: mainline dynamic test - inspection</t>
        </is>
      </c>
      <c r="D1194" s="23" t="inlineStr">
        <is>
          <t>WBS Code = 1.5.1</t>
        </is>
      </c>
      <c r="E1194" s="23" t="inlineStr">
        <is>
          <t>R868-v2</t>
        </is>
      </c>
      <c r="F1194" s="23" t="inlineStr">
        <is>
          <t>1.5.1 Testing and Commissioning - Test Readiness</t>
        </is>
      </c>
      <c r="G1194" s="23" t="inlineStr">
        <is>
          <t>ONE_TO_ONE</t>
        </is>
      </c>
      <c r="H1194" s="23" t="inlineStr">
        <is>
          <t>RETAINED</t>
        </is>
      </c>
      <c r="I1194" s="23" t="inlineStr">
        <is>
          <t>Carried forward</t>
        </is>
      </c>
      <c r="J1194" s="23" t="inlineStr">
        <is>
          <t>Source assignment -- not individually reviewed</t>
        </is>
      </c>
      <c r="K1194" s="23" t="inlineStr"/>
      <c r="L1194" s="23" t="inlineStr"/>
      <c r="M1194" s="23" t="inlineStr"/>
      <c r="N1194" s="14" t="inlineStr">
        <is>
          <t>10 EVIDENCE &amp; DECISIONS</t>
        </is>
      </c>
    </row>
    <row r="1195" ht="34" customHeight="1">
      <c r="A1195" s="23" t="inlineStr">
        <is>
          <t>Contractor Programme</t>
        </is>
      </c>
      <c r="B1195" s="23" t="inlineStr">
        <is>
          <t>SCH-05-149</t>
        </is>
      </c>
      <c r="C1195" s="23" t="inlineStr">
        <is>
          <t>Control Centre: safety certificate evidence closeout - turnover</t>
        </is>
      </c>
      <c r="D1195" s="23" t="inlineStr">
        <is>
          <t>WBS Code = 1.5.1</t>
        </is>
      </c>
      <c r="E1195" s="23" t="inlineStr">
        <is>
          <t>R869-v2</t>
        </is>
      </c>
      <c r="F1195" s="23" t="inlineStr">
        <is>
          <t>1.5.1 Testing and Commissioning - Test Readiness</t>
        </is>
      </c>
      <c r="G1195" s="23" t="inlineStr">
        <is>
          <t>ONE_TO_ONE</t>
        </is>
      </c>
      <c r="H1195" s="23" t="inlineStr">
        <is>
          <t>RETAINED</t>
        </is>
      </c>
      <c r="I1195" s="23" t="inlineStr">
        <is>
          <t>Carried forward</t>
        </is>
      </c>
      <c r="J1195" s="23" t="inlineStr">
        <is>
          <t>Source assignment -- not individually reviewed</t>
        </is>
      </c>
      <c r="K1195" s="23" t="inlineStr"/>
      <c r="L1195" s="23" t="inlineStr"/>
      <c r="M1195" s="23" t="inlineStr"/>
      <c r="N1195" s="14" t="inlineStr">
        <is>
          <t>10 EVIDENCE &amp; DECISIONS</t>
        </is>
      </c>
    </row>
    <row r="1196" ht="34" customHeight="1">
      <c r="A1196" s="23" t="inlineStr">
        <is>
          <t>Contractor Programme</t>
        </is>
      </c>
      <c r="B1196" s="23" t="inlineStr">
        <is>
          <t>SCH-05-151</t>
        </is>
      </c>
      <c r="C1196" s="23" t="inlineStr">
        <is>
          <t>Central section: station integrated test - field start</t>
        </is>
      </c>
      <c r="D1196" s="23" t="inlineStr">
        <is>
          <t>WBS Code = 1.5.1</t>
        </is>
      </c>
      <c r="E1196" s="23" t="inlineStr">
        <is>
          <t>R871-v2</t>
        </is>
      </c>
      <c r="F1196" s="23" t="inlineStr">
        <is>
          <t>1.5.1 Testing and Commissioning - Test Readiness</t>
        </is>
      </c>
      <c r="G1196" s="23" t="inlineStr">
        <is>
          <t>ONE_TO_ONE</t>
        </is>
      </c>
      <c r="H1196" s="23" t="inlineStr">
        <is>
          <t>RETAINED</t>
        </is>
      </c>
      <c r="I1196" s="23" t="inlineStr">
        <is>
          <t>Carried forward</t>
        </is>
      </c>
      <c r="J1196" s="23" t="inlineStr">
        <is>
          <t>Source assignment -- not individually reviewed</t>
        </is>
      </c>
      <c r="K1196" s="23" t="inlineStr"/>
      <c r="L1196" s="23" t="inlineStr"/>
      <c r="M1196" s="23" t="inlineStr"/>
      <c r="N1196" s="14" t="inlineStr">
        <is>
          <t>10 EVIDENCE &amp; DECISIONS</t>
        </is>
      </c>
    </row>
    <row r="1197" ht="34" customHeight="1">
      <c r="A1197" s="23" t="inlineStr">
        <is>
          <t>Contractor Programme</t>
        </is>
      </c>
      <c r="B1197" s="23" t="inlineStr">
        <is>
          <t>SCH-05-152</t>
        </is>
      </c>
      <c r="C1197" s="23" t="inlineStr">
        <is>
          <t>West terminal: trial-running shift - installation</t>
        </is>
      </c>
      <c r="D1197" s="23" t="inlineStr">
        <is>
          <t>WBS Code = 1.5.1</t>
        </is>
      </c>
      <c r="E1197" s="23" t="inlineStr">
        <is>
          <t>R872-v2</t>
        </is>
      </c>
      <c r="F1197" s="23" t="inlineStr">
        <is>
          <t>1.5.1 Testing and Commissioning - Test Readiness</t>
        </is>
      </c>
      <c r="G1197" s="23" t="inlineStr">
        <is>
          <t>ONE_TO_ONE</t>
        </is>
      </c>
      <c r="H1197" s="23" t="inlineStr">
        <is>
          <t>RETAINED</t>
        </is>
      </c>
      <c r="I1197" s="23" t="inlineStr">
        <is>
          <t>Carried forward</t>
        </is>
      </c>
      <c r="J1197" s="23" t="inlineStr">
        <is>
          <t>Source assignment -- not individually reviewed</t>
        </is>
      </c>
      <c r="K1197" s="23" t="inlineStr"/>
      <c r="L1197" s="23" t="inlineStr"/>
      <c r="M1197" s="23" t="inlineStr"/>
      <c r="N1197" s="14" t="inlineStr">
        <is>
          <t>10 EVIDENCE &amp; DECISIONS</t>
        </is>
      </c>
    </row>
    <row r="1198" ht="34" customHeight="1">
      <c r="A1198" s="23" t="inlineStr">
        <is>
          <t>Contractor Programme</t>
        </is>
      </c>
      <c r="B1198" s="23" t="inlineStr">
        <is>
          <t>SCH-05-154</t>
        </is>
      </c>
      <c r="C1198" s="23" t="inlineStr">
        <is>
          <t>Control Centre: emergency-response drill - turnover</t>
        </is>
      </c>
      <c r="D1198" s="23" t="inlineStr">
        <is>
          <t>WBS Code = 1.5.1</t>
        </is>
      </c>
      <c r="E1198" s="23" t="inlineStr">
        <is>
          <t>R874-v2</t>
        </is>
      </c>
      <c r="F1198" s="23" t="inlineStr">
        <is>
          <t>1.5.1 Testing and Commissioning - Test Readiness</t>
        </is>
      </c>
      <c r="G1198" s="23" t="inlineStr">
        <is>
          <t>ONE_TO_ONE</t>
        </is>
      </c>
      <c r="H1198" s="23" t="inlineStr">
        <is>
          <t>RETAINED</t>
        </is>
      </c>
      <c r="I1198" s="23" t="inlineStr">
        <is>
          <t>Carried forward</t>
        </is>
      </c>
      <c r="J1198" s="23" t="inlineStr">
        <is>
          <t>Source assignment -- not individually reviewed</t>
        </is>
      </c>
      <c r="K1198" s="23" t="inlineStr"/>
      <c r="L1198" s="23" t="inlineStr"/>
      <c r="M1198" s="23" t="inlineStr"/>
      <c r="N1198" s="14" t="inlineStr">
        <is>
          <t>10 EVIDENCE &amp; DECISIONS</t>
        </is>
      </c>
    </row>
    <row r="1199" ht="34" customHeight="1">
      <c r="A1199" s="23" t="inlineStr">
        <is>
          <t>Contractor Programme</t>
        </is>
      </c>
      <c r="B1199" s="23" t="inlineStr">
        <is>
          <t>SCH-05-155</t>
        </is>
      </c>
      <c r="C1199" s="23" t="inlineStr">
        <is>
          <t>Mainline east: defect retest - release</t>
        </is>
      </c>
      <c r="D1199" s="23" t="inlineStr">
        <is>
          <t>WBS Code = 1.5.1</t>
        </is>
      </c>
      <c r="E1199" s="23" t="inlineStr">
        <is>
          <t>R875-v2</t>
        </is>
      </c>
      <c r="F1199" s="23" t="inlineStr">
        <is>
          <t>1.5.1 Testing and Commissioning - Test Readiness</t>
        </is>
      </c>
      <c r="G1199" s="23" t="inlineStr">
        <is>
          <t>ONE_TO_ONE</t>
        </is>
      </c>
      <c r="H1199" s="23" t="inlineStr">
        <is>
          <t>RETAINED</t>
        </is>
      </c>
      <c r="I1199" s="23" t="inlineStr">
        <is>
          <t>Carried forward</t>
        </is>
      </c>
      <c r="J1199" s="23" t="inlineStr">
        <is>
          <t>Source assignment -- not individually reviewed</t>
        </is>
      </c>
      <c r="K1199" s="23" t="inlineStr"/>
      <c r="L1199" s="23" t="inlineStr"/>
      <c r="M1199" s="23" t="inlineStr"/>
      <c r="N1199" s="14" t="inlineStr">
        <is>
          <t>10 EVIDENCE &amp; DECISIONS</t>
        </is>
      </c>
    </row>
    <row r="1200" ht="34" customHeight="1">
      <c r="A1200" s="23" t="inlineStr">
        <is>
          <t>Contractor Programme</t>
        </is>
      </c>
      <c r="B1200" s="23" t="inlineStr">
        <is>
          <t>SCH-05-157</t>
        </is>
      </c>
      <c r="C1200" s="23" t="inlineStr">
        <is>
          <t>West terminal: safety certificate evidence closeout - installation</t>
        </is>
      </c>
      <c r="D1200" s="23" t="inlineStr">
        <is>
          <t>WBS Code = 1.5.1</t>
        </is>
      </c>
      <c r="E1200" s="23" t="inlineStr">
        <is>
          <t>R877-v2</t>
        </is>
      </c>
      <c r="F1200" s="23" t="inlineStr">
        <is>
          <t>1.5.1 Testing and Commissioning - Test Readiness</t>
        </is>
      </c>
      <c r="G1200" s="23" t="inlineStr">
        <is>
          <t>ONE_TO_ONE</t>
        </is>
      </c>
      <c r="H1200" s="23" t="inlineStr">
        <is>
          <t>RETAINED</t>
        </is>
      </c>
      <c r="I1200" s="23" t="inlineStr">
        <is>
          <t>Carried forward</t>
        </is>
      </c>
      <c r="J1200" s="23" t="inlineStr">
        <is>
          <t>Source assignment -- not individually reviewed</t>
        </is>
      </c>
      <c r="K1200" s="23" t="inlineStr"/>
      <c r="L1200" s="23" t="inlineStr"/>
      <c r="M1200" s="23" t="inlineStr"/>
      <c r="N1200" s="14" t="inlineStr">
        <is>
          <t>10 EVIDENCE &amp; DECISIONS</t>
        </is>
      </c>
    </row>
    <row r="1201" ht="34" customHeight="1">
      <c r="A1201" s="23" t="inlineStr">
        <is>
          <t>Contractor Programme</t>
        </is>
      </c>
      <c r="B1201" s="23" t="inlineStr">
        <is>
          <t>SCH-05-158</t>
        </is>
      </c>
      <c r="C1201" s="23" t="inlineStr">
        <is>
          <t>Depot: service-readiness review - inspection</t>
        </is>
      </c>
      <c r="D1201" s="23" t="inlineStr">
        <is>
          <t>WBS Code = 1.5.1</t>
        </is>
      </c>
      <c r="E1201" s="23" t="inlineStr">
        <is>
          <t>R878-v2</t>
        </is>
      </c>
      <c r="F1201" s="23" t="inlineStr">
        <is>
          <t>1.5.1 Testing and Commissioning - Test Readiness</t>
        </is>
      </c>
      <c r="G1201" s="23" t="inlineStr">
        <is>
          <t>ONE_TO_ONE</t>
        </is>
      </c>
      <c r="H1201" s="23" t="inlineStr">
        <is>
          <t>RETAINED</t>
        </is>
      </c>
      <c r="I1201" s="23" t="inlineStr">
        <is>
          <t>Carried forward</t>
        </is>
      </c>
      <c r="J1201" s="23" t="inlineStr">
        <is>
          <t>Source assignment -- not individually reviewed</t>
        </is>
      </c>
      <c r="K1201" s="23" t="inlineStr"/>
      <c r="L1201" s="23" t="inlineStr"/>
      <c r="M1201" s="23" t="inlineStr"/>
      <c r="N1201" s="14" t="inlineStr">
        <is>
          <t>10 EVIDENCE &amp; DECISIONS</t>
        </is>
      </c>
    </row>
    <row r="1202" ht="34" customHeight="1">
      <c r="A1202" s="23" t="inlineStr">
        <is>
          <t>Contractor Programme</t>
        </is>
      </c>
      <c r="B1202" s="23" t="inlineStr">
        <is>
          <t>SCH-05-160</t>
        </is>
      </c>
      <c r="C1202" s="23" t="inlineStr">
        <is>
          <t>Mainline east: trial-running shift - release</t>
        </is>
      </c>
      <c r="D1202" s="23" t="inlineStr">
        <is>
          <t>WBS Code = 1.5.1</t>
        </is>
      </c>
      <c r="E1202" s="23" t="inlineStr">
        <is>
          <t>R880-v2</t>
        </is>
      </c>
      <c r="F1202" s="23" t="inlineStr">
        <is>
          <t>1.5.1 Testing and Commissioning - Test Readiness</t>
        </is>
      </c>
      <c r="G1202" s="23" t="inlineStr">
        <is>
          <t>ONE_TO_ONE</t>
        </is>
      </c>
      <c r="H1202" s="23" t="inlineStr">
        <is>
          <t>RETAINED</t>
        </is>
      </c>
      <c r="I1202" s="23" t="inlineStr">
        <is>
          <t>Carried forward</t>
        </is>
      </c>
      <c r="J1202" s="23" t="inlineStr">
        <is>
          <t>Source assignment -- not individually reviewed</t>
        </is>
      </c>
      <c r="K1202" s="23" t="inlineStr"/>
      <c r="L1202" s="23" t="inlineStr"/>
      <c r="M1202" s="23" t="inlineStr"/>
      <c r="N1202" s="14" t="inlineStr">
        <is>
          <t>10 EVIDENCE &amp; DECISIONS</t>
        </is>
      </c>
    </row>
    <row r="1203" ht="34" customHeight="1">
      <c r="A1203" s="23" t="inlineStr">
        <is>
          <t>Contractor Programme</t>
        </is>
      </c>
      <c r="B1203" s="23" t="inlineStr">
        <is>
          <t>SCH-05-161</t>
        </is>
      </c>
      <c r="C1203" s="23" t="inlineStr">
        <is>
          <t>Central section: test procedure readiness review - field start</t>
        </is>
      </c>
      <c r="D1203" s="23" t="inlineStr">
        <is>
          <t>WBS Code = 1.5.1</t>
        </is>
      </c>
      <c r="E1203" s="23" t="inlineStr">
        <is>
          <t>R881-v2</t>
        </is>
      </c>
      <c r="F1203" s="23" t="inlineStr">
        <is>
          <t>1.5.1 Testing and Commissioning - Test Readiness</t>
        </is>
      </c>
      <c r="G1203" s="23" t="inlineStr">
        <is>
          <t>ONE_TO_ONE</t>
        </is>
      </c>
      <c r="H1203" s="23" t="inlineStr">
        <is>
          <t>RETAINED</t>
        </is>
      </c>
      <c r="I1203" s="23" t="inlineStr">
        <is>
          <t>Carried forward</t>
        </is>
      </c>
      <c r="J1203" s="23" t="inlineStr">
        <is>
          <t>Source assignment -- not individually reviewed</t>
        </is>
      </c>
      <c r="K1203" s="23" t="inlineStr"/>
      <c r="L1203" s="23" t="inlineStr"/>
      <c r="M1203" s="23" t="inlineStr"/>
      <c r="N1203" s="14" t="inlineStr">
        <is>
          <t>10 EVIDENCE &amp; DECISIONS</t>
        </is>
      </c>
    </row>
    <row r="1204" ht="34" customHeight="1">
      <c r="A1204" s="23" t="inlineStr">
        <is>
          <t>Contractor Programme</t>
        </is>
      </c>
      <c r="B1204" s="23" t="inlineStr">
        <is>
          <t>SCH-05-163</t>
        </is>
      </c>
      <c r="C1204" s="23" t="inlineStr">
        <is>
          <t>Depot: defect retest - inspection</t>
        </is>
      </c>
      <c r="D1204" s="23" t="inlineStr">
        <is>
          <t>WBS Code = 1.5.1</t>
        </is>
      </c>
      <c r="E1204" s="23" t="inlineStr">
        <is>
          <t>R883-v2</t>
        </is>
      </c>
      <c r="F1204" s="23" t="inlineStr">
        <is>
          <t>1.5.1 Testing and Commissioning - Test Readiness</t>
        </is>
      </c>
      <c r="G1204" s="23" t="inlineStr">
        <is>
          <t>ONE_TO_ONE</t>
        </is>
      </c>
      <c r="H1204" s="23" t="inlineStr">
        <is>
          <t>RETAINED</t>
        </is>
      </c>
      <c r="I1204" s="23" t="inlineStr">
        <is>
          <t>Carried forward</t>
        </is>
      </c>
      <c r="J1204" s="23" t="inlineStr">
        <is>
          <t>Source assignment -- not individually reviewed</t>
        </is>
      </c>
      <c r="K1204" s="23" t="inlineStr"/>
      <c r="L1204" s="23" t="inlineStr"/>
      <c r="M1204" s="23" t="inlineStr"/>
      <c r="N1204" s="14" t="inlineStr">
        <is>
          <t>10 EVIDENCE &amp; DECISIONS</t>
        </is>
      </c>
    </row>
    <row r="1205" ht="34" customHeight="1">
      <c r="A1205" s="23" t="inlineStr">
        <is>
          <t>Contractor Programme</t>
        </is>
      </c>
      <c r="B1205" s="23" t="inlineStr">
        <is>
          <t>SCH-05-164</t>
        </is>
      </c>
      <c r="C1205" s="23" t="inlineStr">
        <is>
          <t>Control Centre: mainline dynamic test - turnover</t>
        </is>
      </c>
      <c r="D1205" s="23" t="inlineStr">
        <is>
          <t>WBS Code = 1.5.1</t>
        </is>
      </c>
      <c r="E1205" s="23" t="inlineStr">
        <is>
          <t>R884-v2</t>
        </is>
      </c>
      <c r="F1205" s="23" t="inlineStr">
        <is>
          <t>1.5.1 Testing and Commissioning - Test Readiness</t>
        </is>
      </c>
      <c r="G1205" s="23" t="inlineStr">
        <is>
          <t>ONE_TO_ONE</t>
        </is>
      </c>
      <c r="H1205" s="23" t="inlineStr">
        <is>
          <t>RETAINED</t>
        </is>
      </c>
      <c r="I1205" s="23" t="inlineStr">
        <is>
          <t>Carried forward</t>
        </is>
      </c>
      <c r="J1205" s="23" t="inlineStr">
        <is>
          <t>Source assignment -- not individually reviewed</t>
        </is>
      </c>
      <c r="K1205" s="23" t="inlineStr"/>
      <c r="L1205" s="23" t="inlineStr"/>
      <c r="M1205" s="23" t="inlineStr"/>
      <c r="N1205" s="14" t="inlineStr">
        <is>
          <t>10 EVIDENCE &amp; DECISIONS</t>
        </is>
      </c>
    </row>
    <row r="1206" ht="34" customHeight="1">
      <c r="A1206" s="23" t="inlineStr">
        <is>
          <t>Contractor Programme</t>
        </is>
      </c>
      <c r="B1206" s="23" t="inlineStr">
        <is>
          <t>SCH-05-166</t>
        </is>
      </c>
      <c r="C1206" s="23" t="inlineStr">
        <is>
          <t>Central section: service-readiness review - field start</t>
        </is>
      </c>
      <c r="D1206" s="23" t="inlineStr">
        <is>
          <t>WBS Code = 1.5.1</t>
        </is>
      </c>
      <c r="E1206" s="23" t="inlineStr">
        <is>
          <t>R886-v2</t>
        </is>
      </c>
      <c r="F1206" s="23" t="inlineStr">
        <is>
          <t>1.5.1 Testing and Commissioning - Test Readiness</t>
        </is>
      </c>
      <c r="G1206" s="23" t="inlineStr">
        <is>
          <t>ONE_TO_ONE</t>
        </is>
      </c>
      <c r="H1206" s="23" t="inlineStr">
        <is>
          <t>RETAINED</t>
        </is>
      </c>
      <c r="I1206" s="23" t="inlineStr">
        <is>
          <t>Carried forward</t>
        </is>
      </c>
      <c r="J1206" s="23" t="inlineStr">
        <is>
          <t>Source assignment -- not individually reviewed</t>
        </is>
      </c>
      <c r="K1206" s="23" t="inlineStr"/>
      <c r="L1206" s="23" t="inlineStr"/>
      <c r="M1206" s="23" t="inlineStr"/>
      <c r="N1206" s="14" t="inlineStr">
        <is>
          <t>10 EVIDENCE &amp; DECISIONS</t>
        </is>
      </c>
    </row>
    <row r="1207" ht="34" customHeight="1">
      <c r="A1207" s="23" t="inlineStr">
        <is>
          <t>Contractor Programme</t>
        </is>
      </c>
      <c r="B1207" s="23" t="inlineStr">
        <is>
          <t>SCH-05-167</t>
        </is>
      </c>
      <c r="C1207" s="23" t="inlineStr">
        <is>
          <t>West terminal: station integrated test - installation</t>
        </is>
      </c>
      <c r="D1207" s="23" t="inlineStr">
        <is>
          <t>WBS Code = 1.5.1</t>
        </is>
      </c>
      <c r="E1207" s="23" t="inlineStr">
        <is>
          <t>R887-v2</t>
        </is>
      </c>
      <c r="F1207" s="23" t="inlineStr">
        <is>
          <t>1.5.1 Testing and Commissioning - Test Readiness</t>
        </is>
      </c>
      <c r="G1207" s="23" t="inlineStr">
        <is>
          <t>ONE_TO_ONE</t>
        </is>
      </c>
      <c r="H1207" s="23" t="inlineStr">
        <is>
          <t>RETAINED</t>
        </is>
      </c>
      <c r="I1207" s="23" t="inlineStr">
        <is>
          <t>Carried forward</t>
        </is>
      </c>
      <c r="J1207" s="23" t="inlineStr">
        <is>
          <t>Source assignment -- not individually reviewed</t>
        </is>
      </c>
      <c r="K1207" s="23" t="inlineStr"/>
      <c r="L1207" s="23" t="inlineStr"/>
      <c r="M1207" s="23" t="inlineStr"/>
      <c r="N1207" s="14" t="inlineStr">
        <is>
          <t>10 EVIDENCE &amp; DECISIONS</t>
        </is>
      </c>
    </row>
    <row r="1208" ht="34" customHeight="1">
      <c r="A1208" s="23" t="inlineStr">
        <is>
          <t>Contractor Programme</t>
        </is>
      </c>
      <c r="B1208" s="23" t="inlineStr">
        <is>
          <t>SCH-05-169</t>
        </is>
      </c>
      <c r="C1208" s="23" t="inlineStr">
        <is>
          <t>Control Centre: test procedure readiness review - turnover</t>
        </is>
      </c>
      <c r="D1208" s="23" t="inlineStr">
        <is>
          <t>WBS Code = 1.5.1</t>
        </is>
      </c>
      <c r="E1208" s="23" t="inlineStr">
        <is>
          <t>R889-v2</t>
        </is>
      </c>
      <c r="F1208" s="23" t="inlineStr">
        <is>
          <t>1.5.1 Testing and Commissioning - Test Readiness</t>
        </is>
      </c>
      <c r="G1208" s="23" t="inlineStr">
        <is>
          <t>ONE_TO_ONE</t>
        </is>
      </c>
      <c r="H1208" s="23" t="inlineStr">
        <is>
          <t>RETAINED</t>
        </is>
      </c>
      <c r="I1208" s="23" t="inlineStr">
        <is>
          <t>Carried forward</t>
        </is>
      </c>
      <c r="J1208" s="23" t="inlineStr">
        <is>
          <t>Source assignment -- not individually reviewed</t>
        </is>
      </c>
      <c r="K1208" s="23" t="inlineStr"/>
      <c r="L1208" s="23" t="inlineStr"/>
      <c r="M1208" s="23" t="inlineStr"/>
      <c r="N1208" s="14" t="inlineStr">
        <is>
          <t>10 EVIDENCE &amp; DECISIONS</t>
        </is>
      </c>
    </row>
    <row r="1209" ht="34" customHeight="1">
      <c r="A1209" s="23" t="inlineStr">
        <is>
          <t>Contractor Programme</t>
        </is>
      </c>
      <c r="B1209" s="23" t="inlineStr">
        <is>
          <t>SCH-05-170</t>
        </is>
      </c>
      <c r="C1209" s="23" t="inlineStr">
        <is>
          <t>Mainline east: emergency-response drill - release</t>
        </is>
      </c>
      <c r="D1209" s="23" t="inlineStr">
        <is>
          <t>WBS Code = 1.5.1</t>
        </is>
      </c>
      <c r="E1209" s="23" t="inlineStr">
        <is>
          <t>R890-v2</t>
        </is>
      </c>
      <c r="F1209" s="23" t="inlineStr">
        <is>
          <t>1.5.1 Testing and Commissioning - Test Readiness</t>
        </is>
      </c>
      <c r="G1209" s="23" t="inlineStr">
        <is>
          <t>ONE_TO_ONE</t>
        </is>
      </c>
      <c r="H1209" s="23" t="inlineStr">
        <is>
          <t>RETAINED</t>
        </is>
      </c>
      <c r="I1209" s="23" t="inlineStr">
        <is>
          <t>Carried forward</t>
        </is>
      </c>
      <c r="J1209" s="23" t="inlineStr">
        <is>
          <t>Source assignment -- not individually reviewed</t>
        </is>
      </c>
      <c r="K1209" s="23" t="inlineStr"/>
      <c r="L1209" s="23" t="inlineStr"/>
      <c r="M1209" s="23" t="inlineStr"/>
      <c r="N1209" s="14" t="inlineStr">
        <is>
          <t>10 EVIDENCE &amp; DECISIONS</t>
        </is>
      </c>
    </row>
    <row r="1210" ht="34" customHeight="1">
      <c r="A1210" s="23" t="inlineStr">
        <is>
          <t>Contractor Programme</t>
        </is>
      </c>
      <c r="B1210" s="23" t="inlineStr">
        <is>
          <t>SCH-05-172</t>
        </is>
      </c>
      <c r="C1210" s="23" t="inlineStr">
        <is>
          <t>West terminal: mainline dynamic test - installation</t>
        </is>
      </c>
      <c r="D1210" s="23" t="inlineStr">
        <is>
          <t>WBS Code = 1.5.1</t>
        </is>
      </c>
      <c r="E1210" s="23" t="inlineStr">
        <is>
          <t>R892-v2</t>
        </is>
      </c>
      <c r="F1210" s="23" t="inlineStr">
        <is>
          <t>1.5.1 Testing and Commissioning - Test Readiness</t>
        </is>
      </c>
      <c r="G1210" s="23" t="inlineStr">
        <is>
          <t>ONE_TO_ONE</t>
        </is>
      </c>
      <c r="H1210" s="23" t="inlineStr">
        <is>
          <t>RETAINED</t>
        </is>
      </c>
      <c r="I1210" s="23" t="inlineStr">
        <is>
          <t>Carried forward</t>
        </is>
      </c>
      <c r="J1210" s="23" t="inlineStr">
        <is>
          <t>Source assignment -- not individually reviewed</t>
        </is>
      </c>
      <c r="K1210" s="23" t="inlineStr"/>
      <c r="L1210" s="23" t="inlineStr"/>
      <c r="M1210" s="23" t="inlineStr"/>
      <c r="N1210" s="14" t="inlineStr">
        <is>
          <t>10 EVIDENCE &amp; DECISIONS</t>
        </is>
      </c>
    </row>
    <row r="1211" ht="34" customHeight="1">
      <c r="A1211" s="23" t="inlineStr">
        <is>
          <t>Contractor Programme</t>
        </is>
      </c>
      <c r="B1211" s="23" t="inlineStr">
        <is>
          <t>SCH-05-173</t>
        </is>
      </c>
      <c r="C1211" s="23" t="inlineStr">
        <is>
          <t>Depot: safety certificate evidence closeout - inspection</t>
        </is>
      </c>
      <c r="D1211" s="23" t="inlineStr">
        <is>
          <t>WBS Code = 1.5.1</t>
        </is>
      </c>
      <c r="E1211" s="23" t="inlineStr">
        <is>
          <t>R893-v2</t>
        </is>
      </c>
      <c r="F1211" s="23" t="inlineStr">
        <is>
          <t>1.5.1 Testing and Commissioning - Test Readiness</t>
        </is>
      </c>
      <c r="G1211" s="23" t="inlineStr">
        <is>
          <t>ONE_TO_ONE</t>
        </is>
      </c>
      <c r="H1211" s="23" t="inlineStr">
        <is>
          <t>RETAINED</t>
        </is>
      </c>
      <c r="I1211" s="23" t="inlineStr">
        <is>
          <t>Carried forward</t>
        </is>
      </c>
      <c r="J1211" s="23" t="inlineStr">
        <is>
          <t>Source assignment -- not individually reviewed</t>
        </is>
      </c>
      <c r="K1211" s="23" t="inlineStr"/>
      <c r="L1211" s="23" t="inlineStr"/>
      <c r="M1211" s="23" t="inlineStr"/>
      <c r="N1211" s="14" t="inlineStr">
        <is>
          <t>10 EVIDENCE &amp; DECISIONS</t>
        </is>
      </c>
    </row>
    <row r="1212" ht="34" customHeight="1">
      <c r="A1212" s="23" t="inlineStr">
        <is>
          <t>Contractor Programme</t>
        </is>
      </c>
      <c r="B1212" s="23" t="inlineStr">
        <is>
          <t>SCH-05-175</t>
        </is>
      </c>
      <c r="C1212" s="23" t="inlineStr">
        <is>
          <t>Mainline east: station integrated test - release</t>
        </is>
      </c>
      <c r="D1212" s="23" t="inlineStr">
        <is>
          <t>WBS Code = 1.5.1</t>
        </is>
      </c>
      <c r="E1212" s="23" t="inlineStr">
        <is>
          <t>R895-v2</t>
        </is>
      </c>
      <c r="F1212" s="23" t="inlineStr">
        <is>
          <t>1.5.1 Testing and Commissioning - Test Readiness</t>
        </is>
      </c>
      <c r="G1212" s="23" t="inlineStr">
        <is>
          <t>ONE_TO_ONE</t>
        </is>
      </c>
      <c r="H1212" s="23" t="inlineStr">
        <is>
          <t>RETAINED</t>
        </is>
      </c>
      <c r="I1212" s="23" t="inlineStr">
        <is>
          <t>Carried forward</t>
        </is>
      </c>
      <c r="J1212" s="23" t="inlineStr">
        <is>
          <t>Source assignment -- not individually reviewed</t>
        </is>
      </c>
      <c r="K1212" s="23" t="inlineStr"/>
      <c r="L1212" s="23" t="inlineStr"/>
      <c r="M1212" s="23" t="inlineStr"/>
      <c r="N1212" s="14" t="inlineStr">
        <is>
          <t>10 EVIDENCE &amp; DECISIONS</t>
        </is>
      </c>
    </row>
    <row r="1213" ht="34" customHeight="1">
      <c r="A1213" s="23" t="inlineStr">
        <is>
          <t>Contractor Programme</t>
        </is>
      </c>
      <c r="B1213" s="23" t="inlineStr">
        <is>
          <t>SCH-05-176</t>
        </is>
      </c>
      <c r="C1213" s="23" t="inlineStr">
        <is>
          <t>Central section: trial-running shift - field start</t>
        </is>
      </c>
      <c r="D1213" s="23" t="inlineStr">
        <is>
          <t>WBS Code = 1.5.1</t>
        </is>
      </c>
      <c r="E1213" s="23" t="inlineStr">
        <is>
          <t>R896-v2</t>
        </is>
      </c>
      <c r="F1213" s="23" t="inlineStr">
        <is>
          <t>1.5.1 Testing and Commissioning - Test Readiness</t>
        </is>
      </c>
      <c r="G1213" s="23" t="inlineStr">
        <is>
          <t>ONE_TO_ONE</t>
        </is>
      </c>
      <c r="H1213" s="23" t="inlineStr">
        <is>
          <t>RETAINED</t>
        </is>
      </c>
      <c r="I1213" s="23" t="inlineStr">
        <is>
          <t>Carried forward</t>
        </is>
      </c>
      <c r="J1213" s="23" t="inlineStr">
        <is>
          <t>Source assignment -- not individually reviewed</t>
        </is>
      </c>
      <c r="K1213" s="23" t="inlineStr"/>
      <c r="L1213" s="23" t="inlineStr"/>
      <c r="M1213" s="23" t="inlineStr"/>
      <c r="N1213" s="14" t="inlineStr">
        <is>
          <t>10 EVIDENCE &amp; DECISIONS</t>
        </is>
      </c>
    </row>
    <row r="1214" ht="34" customHeight="1">
      <c r="A1214" s="23" t="inlineStr">
        <is>
          <t>Contractor Programme</t>
        </is>
      </c>
      <c r="B1214" s="23" t="inlineStr">
        <is>
          <t>SCH-05-178</t>
        </is>
      </c>
      <c r="C1214" s="23" t="inlineStr">
        <is>
          <t>Depot: emergency-response drill - inspection</t>
        </is>
      </c>
      <c r="D1214" s="23" t="inlineStr">
        <is>
          <t>WBS Code = 1.5.1</t>
        </is>
      </c>
      <c r="E1214" s="23" t="inlineStr">
        <is>
          <t>R898-v2</t>
        </is>
      </c>
      <c r="F1214" s="23" t="inlineStr">
        <is>
          <t>1.5.1 Testing and Commissioning - Test Readiness</t>
        </is>
      </c>
      <c r="G1214" s="23" t="inlineStr">
        <is>
          <t>ONE_TO_ONE</t>
        </is>
      </c>
      <c r="H1214" s="23" t="inlineStr">
        <is>
          <t>RETAINED</t>
        </is>
      </c>
      <c r="I1214" s="23" t="inlineStr">
        <is>
          <t>Carried forward</t>
        </is>
      </c>
      <c r="J1214" s="23" t="inlineStr">
        <is>
          <t>Source assignment -- not individually reviewed</t>
        </is>
      </c>
      <c r="K1214" s="23" t="inlineStr"/>
      <c r="L1214" s="23" t="inlineStr"/>
      <c r="M1214" s="23" t="inlineStr"/>
      <c r="N1214" s="14" t="inlineStr">
        <is>
          <t>10 EVIDENCE &amp; DECISIONS</t>
        </is>
      </c>
    </row>
    <row r="1215" ht="34" customHeight="1">
      <c r="A1215" s="23" t="inlineStr">
        <is>
          <t>Contractor Programme</t>
        </is>
      </c>
      <c r="B1215" s="23" t="inlineStr">
        <is>
          <t>SCH-05-179</t>
        </is>
      </c>
      <c r="C1215" s="23" t="inlineStr">
        <is>
          <t>Control Centre: defect retest - turnover</t>
        </is>
      </c>
      <c r="D1215" s="23" t="inlineStr">
        <is>
          <t>WBS Code = 1.5.1</t>
        </is>
      </c>
      <c r="E1215" s="23" t="inlineStr">
        <is>
          <t>R899-v2</t>
        </is>
      </c>
      <c r="F1215" s="23" t="inlineStr">
        <is>
          <t>1.5.1 Testing and Commissioning - Test Readiness</t>
        </is>
      </c>
      <c r="G1215" s="23" t="inlineStr">
        <is>
          <t>ONE_TO_ONE</t>
        </is>
      </c>
      <c r="H1215" s="23" t="inlineStr">
        <is>
          <t>RETAINED</t>
        </is>
      </c>
      <c r="I1215" s="23" t="inlineStr">
        <is>
          <t>Carried forward</t>
        </is>
      </c>
      <c r="J1215" s="23" t="inlineStr">
        <is>
          <t>Source assignment -- not individually reviewed</t>
        </is>
      </c>
      <c r="K1215" s="23" t="inlineStr"/>
      <c r="L1215" s="23" t="inlineStr"/>
      <c r="M1215" s="23" t="inlineStr"/>
      <c r="N1215" s="14" t="inlineStr">
        <is>
          <t>10 EVIDENCE &amp; DECISIONS</t>
        </is>
      </c>
    </row>
    <row r="1216" ht="34" customHeight="1">
      <c r="A1216" s="23" t="inlineStr">
        <is>
          <t>Contractor Programme</t>
        </is>
      </c>
      <c r="B1216" s="23" t="inlineStr">
        <is>
          <t>SCH-05-003</t>
        </is>
      </c>
      <c r="C1216" s="23" t="inlineStr">
        <is>
          <t>Interface works near testing and commissioning boundary</t>
        </is>
      </c>
      <c r="D1216" s="23" t="inlineStr">
        <is>
          <t>WBS Code = 1.5.2</t>
        </is>
      </c>
      <c r="E1216" s="23" t="inlineStr">
        <is>
          <t>R723-v2</t>
        </is>
      </c>
      <c r="F1216" s="23" t="inlineStr">
        <is>
          <t>1.5.2 Testing and Commissioning - Dynamic Testing</t>
        </is>
      </c>
      <c r="G1216" s="23" t="inlineStr">
        <is>
          <t>ONE_TO_ONE</t>
        </is>
      </c>
      <c r="H1216" s="23" t="inlineStr">
        <is>
          <t>RETAINED</t>
        </is>
      </c>
      <c r="I1216" s="23" t="inlineStr">
        <is>
          <t>Carried forward</t>
        </is>
      </c>
      <c r="J1216" s="23" t="inlineStr">
        <is>
          <t>Source assignment -- not individually reviewed</t>
        </is>
      </c>
      <c r="K1216" s="23" t="inlineStr"/>
      <c r="L1216" s="23" t="inlineStr"/>
      <c r="M1216" s="23" t="inlineStr"/>
      <c r="N1216" s="14" t="inlineStr">
        <is>
          <t>10 EVIDENCE &amp; DECISIONS</t>
        </is>
      </c>
    </row>
    <row r="1217" ht="34" customHeight="1">
      <c r="A1217" s="23" t="inlineStr">
        <is>
          <t>Contractor Programme</t>
        </is>
      </c>
      <c r="B1217" s="23" t="inlineStr">
        <is>
          <t>SCH-05-006</t>
        </is>
      </c>
      <c r="C1217" s="23" t="inlineStr">
        <is>
          <t>Central section: service-readiness review - field start</t>
        </is>
      </c>
      <c r="D1217" s="23" t="inlineStr">
        <is>
          <t>WBS Code = 1.5.2</t>
        </is>
      </c>
      <c r="E1217" s="23" t="inlineStr">
        <is>
          <t>R726-v2</t>
        </is>
      </c>
      <c r="F1217" s="23" t="inlineStr">
        <is>
          <t>1.5.2 Testing and Commissioning - Dynamic Testing</t>
        </is>
      </c>
      <c r="G1217" s="23" t="inlineStr">
        <is>
          <t>ONE_TO_ONE</t>
        </is>
      </c>
      <c r="H1217" s="23" t="inlineStr">
        <is>
          <t>RETAINED</t>
        </is>
      </c>
      <c r="I1217" s="23" t="inlineStr">
        <is>
          <t>Carried forward</t>
        </is>
      </c>
      <c r="J1217" s="23" t="inlineStr">
        <is>
          <t>Source assignment -- not individually reviewed</t>
        </is>
      </c>
      <c r="K1217" s="23" t="inlineStr"/>
      <c r="L1217" s="23" t="inlineStr"/>
      <c r="M1217" s="23" t="inlineStr"/>
      <c r="N1217" s="14" t="inlineStr">
        <is>
          <t>10 EVIDENCE &amp; DECISIONS</t>
        </is>
      </c>
    </row>
    <row r="1218" ht="34" customHeight="1">
      <c r="A1218" s="23" t="inlineStr">
        <is>
          <t>Contractor Programme</t>
        </is>
      </c>
      <c r="B1218" s="23" t="inlineStr">
        <is>
          <t>SCH-05-009</t>
        </is>
      </c>
      <c r="C1218" s="23" t="inlineStr">
        <is>
          <t>Control Centre: test procedure readiness review - turnover</t>
        </is>
      </c>
      <c r="D1218" s="23" t="inlineStr">
        <is>
          <t>WBS Code = 1.5.2</t>
        </is>
      </c>
      <c r="E1218" s="23" t="inlineStr">
        <is>
          <t>R729-v2</t>
        </is>
      </c>
      <c r="F1218" s="23" t="inlineStr">
        <is>
          <t>1.5.2 Testing and Commissioning - Dynamic Testing</t>
        </is>
      </c>
      <c r="G1218" s="23" t="inlineStr">
        <is>
          <t>ONE_TO_ONE</t>
        </is>
      </c>
      <c r="H1218" s="23" t="inlineStr">
        <is>
          <t>RETAINED</t>
        </is>
      </c>
      <c r="I1218" s="23" t="inlineStr">
        <is>
          <t>Carried forward</t>
        </is>
      </c>
      <c r="J1218" s="23" t="inlineStr">
        <is>
          <t>Source assignment -- not individually reviewed</t>
        </is>
      </c>
      <c r="K1218" s="23" t="inlineStr"/>
      <c r="L1218" s="23" t="inlineStr"/>
      <c r="M1218" s="23" t="inlineStr"/>
      <c r="N1218" s="14" t="inlineStr">
        <is>
          <t>10 EVIDENCE &amp; DECISIONS</t>
        </is>
      </c>
    </row>
    <row r="1219" ht="34" customHeight="1">
      <c r="A1219" s="23" t="inlineStr">
        <is>
          <t>Contractor Programme</t>
        </is>
      </c>
      <c r="B1219" s="23" t="inlineStr">
        <is>
          <t>SCH-05-012</t>
        </is>
      </c>
      <c r="C1219" s="23" t="inlineStr">
        <is>
          <t>West terminal: mainline dynamic test - installation</t>
        </is>
      </c>
      <c r="D1219" s="23" t="inlineStr">
        <is>
          <t>WBS Code = 1.5.2</t>
        </is>
      </c>
      <c r="E1219" s="23" t="inlineStr">
        <is>
          <t>R732-v2</t>
        </is>
      </c>
      <c r="F1219" s="23" t="inlineStr">
        <is>
          <t>1.5.2 Testing and Commissioning - Dynamic Testing</t>
        </is>
      </c>
      <c r="G1219" s="23" t="inlineStr">
        <is>
          <t>ONE_TO_ONE</t>
        </is>
      </c>
      <c r="H1219" s="23" t="inlineStr">
        <is>
          <t>RETAINED</t>
        </is>
      </c>
      <c r="I1219" s="23" t="inlineStr">
        <is>
          <t>Carried forward</t>
        </is>
      </c>
      <c r="J1219" s="23" t="inlineStr">
        <is>
          <t>Source assignment -- not individually reviewed</t>
        </is>
      </c>
      <c r="K1219" s="23" t="inlineStr"/>
      <c r="L1219" s="23" t="inlineStr"/>
      <c r="M1219" s="23" t="inlineStr"/>
      <c r="N1219" s="14" t="inlineStr">
        <is>
          <t>10 EVIDENCE &amp; DECISIONS</t>
        </is>
      </c>
    </row>
    <row r="1220" ht="34" customHeight="1">
      <c r="A1220" s="23" t="inlineStr">
        <is>
          <t>Contractor Programme</t>
        </is>
      </c>
      <c r="B1220" s="23" t="inlineStr">
        <is>
          <t>SCH-05-015</t>
        </is>
      </c>
      <c r="C1220" s="23" t="inlineStr">
        <is>
          <t>Mainline east: station integrated test - release</t>
        </is>
      </c>
      <c r="D1220" s="23" t="inlineStr">
        <is>
          <t>WBS Code = 1.5.2</t>
        </is>
      </c>
      <c r="E1220" s="23" t="inlineStr">
        <is>
          <t>R735-v2</t>
        </is>
      </c>
      <c r="F1220" s="23" t="inlineStr">
        <is>
          <t>1.5.2 Testing and Commissioning - Dynamic Testing</t>
        </is>
      </c>
      <c r="G1220" s="23" t="inlineStr">
        <is>
          <t>ONE_TO_ONE</t>
        </is>
      </c>
      <c r="H1220" s="23" t="inlineStr">
        <is>
          <t>RETAINED</t>
        </is>
      </c>
      <c r="I1220" s="23" t="inlineStr">
        <is>
          <t>Carried forward</t>
        </is>
      </c>
      <c r="J1220" s="23" t="inlineStr">
        <is>
          <t>Source assignment -- not individually reviewed</t>
        </is>
      </c>
      <c r="K1220" s="23" t="inlineStr"/>
      <c r="L1220" s="23" t="inlineStr"/>
      <c r="M1220" s="23" t="inlineStr"/>
      <c r="N1220" s="14" t="inlineStr">
        <is>
          <t>10 EVIDENCE &amp; DECISIONS</t>
        </is>
      </c>
    </row>
    <row r="1221" ht="34" customHeight="1">
      <c r="A1221" s="23" t="inlineStr">
        <is>
          <t>Contractor Programme</t>
        </is>
      </c>
      <c r="B1221" s="23" t="inlineStr">
        <is>
          <t>SCH-05-018</t>
        </is>
      </c>
      <c r="C1221" s="23" t="inlineStr">
        <is>
          <t>Depot: emergency-response drill - inspection</t>
        </is>
      </c>
      <c r="D1221" s="23" t="inlineStr">
        <is>
          <t>WBS Code = 1.5.2</t>
        </is>
      </c>
      <c r="E1221" s="23" t="inlineStr">
        <is>
          <t>R738-v2</t>
        </is>
      </c>
      <c r="F1221" s="23" t="inlineStr">
        <is>
          <t>1.5.2 Testing and Commissioning - Dynamic Testing</t>
        </is>
      </c>
      <c r="G1221" s="23" t="inlineStr">
        <is>
          <t>ONE_TO_ONE</t>
        </is>
      </c>
      <c r="H1221" s="23" t="inlineStr">
        <is>
          <t>RETAINED</t>
        </is>
      </c>
      <c r="I1221" s="23" t="inlineStr">
        <is>
          <t>Carried forward</t>
        </is>
      </c>
      <c r="J1221" s="23" t="inlineStr">
        <is>
          <t>Source assignment -- not individually reviewed</t>
        </is>
      </c>
      <c r="K1221" s="23" t="inlineStr"/>
      <c r="L1221" s="23" t="inlineStr"/>
      <c r="M1221" s="23" t="inlineStr"/>
      <c r="N1221" s="14" t="inlineStr">
        <is>
          <t>10 EVIDENCE &amp; DECISIONS</t>
        </is>
      </c>
    </row>
    <row r="1222" ht="34" customHeight="1">
      <c r="A1222" s="23" t="inlineStr">
        <is>
          <t>Contractor Programme</t>
        </is>
      </c>
      <c r="B1222" s="23" t="inlineStr">
        <is>
          <t>SCH-05-021</t>
        </is>
      </c>
      <c r="C1222" s="23" t="inlineStr">
        <is>
          <t>Central section: safety certificate evidence closeout - field start</t>
        </is>
      </c>
      <c r="D1222" s="23" t="inlineStr">
        <is>
          <t>WBS Code = 1.5.2</t>
        </is>
      </c>
      <c r="E1222" s="23" t="inlineStr">
        <is>
          <t>R741-v2</t>
        </is>
      </c>
      <c r="F1222" s="23" t="inlineStr">
        <is>
          <t>1.5.2 Testing and Commissioning - Dynamic Testing</t>
        </is>
      </c>
      <c r="G1222" s="23" t="inlineStr">
        <is>
          <t>ONE_TO_ONE</t>
        </is>
      </c>
      <c r="H1222" s="23" t="inlineStr">
        <is>
          <t>RETAINED</t>
        </is>
      </c>
      <c r="I1222" s="23" t="inlineStr">
        <is>
          <t>Carried forward</t>
        </is>
      </c>
      <c r="J1222" s="23" t="inlineStr">
        <is>
          <t>Source assignment -- not individually reviewed</t>
        </is>
      </c>
      <c r="K1222" s="23" t="inlineStr"/>
      <c r="L1222" s="23" t="inlineStr"/>
      <c r="M1222" s="23" t="inlineStr"/>
      <c r="N1222" s="14" t="inlineStr">
        <is>
          <t>10 EVIDENCE &amp; DECISIONS</t>
        </is>
      </c>
    </row>
    <row r="1223" ht="34" customHeight="1">
      <c r="A1223" s="23" t="inlineStr">
        <is>
          <t>Contractor Programme</t>
        </is>
      </c>
      <c r="B1223" s="23" t="inlineStr">
        <is>
          <t>SCH-05-024</t>
        </is>
      </c>
      <c r="C1223" s="23" t="inlineStr">
        <is>
          <t>Control Centre: trial-running shift - turnover</t>
        </is>
      </c>
      <c r="D1223" s="23" t="inlineStr">
        <is>
          <t>WBS Code = 1.5.2</t>
        </is>
      </c>
      <c r="E1223" s="23" t="inlineStr">
        <is>
          <t>R744-v2</t>
        </is>
      </c>
      <c r="F1223" s="23" t="inlineStr">
        <is>
          <t>1.5.2 Testing and Commissioning - Dynamic Testing</t>
        </is>
      </c>
      <c r="G1223" s="23" t="inlineStr">
        <is>
          <t>ONE_TO_ONE</t>
        </is>
      </c>
      <c r="H1223" s="23" t="inlineStr">
        <is>
          <t>RETAINED</t>
        </is>
      </c>
      <c r="I1223" s="23" t="inlineStr">
        <is>
          <t>Carried forward</t>
        </is>
      </c>
      <c r="J1223" s="23" t="inlineStr">
        <is>
          <t>Source assignment -- not individually reviewed</t>
        </is>
      </c>
      <c r="K1223" s="23" t="inlineStr"/>
      <c r="L1223" s="23" t="inlineStr"/>
      <c r="M1223" s="23" t="inlineStr"/>
      <c r="N1223" s="14" t="inlineStr">
        <is>
          <t>10 EVIDENCE &amp; DECISIONS</t>
        </is>
      </c>
    </row>
    <row r="1224" ht="34" customHeight="1">
      <c r="A1224" s="23" t="inlineStr">
        <is>
          <t>Contractor Programme</t>
        </is>
      </c>
      <c r="B1224" s="23" t="inlineStr">
        <is>
          <t>SCH-05-027</t>
        </is>
      </c>
      <c r="C1224" s="23" t="inlineStr">
        <is>
          <t>West terminal: defect retest - installation</t>
        </is>
      </c>
      <c r="D1224" s="23" t="inlineStr">
        <is>
          <t>WBS Code = 1.5.2</t>
        </is>
      </c>
      <c r="E1224" s="23" t="inlineStr">
        <is>
          <t>R747-v2</t>
        </is>
      </c>
      <c r="F1224" s="23" t="inlineStr">
        <is>
          <t>1.5.2 Testing and Commissioning - Dynamic Testing</t>
        </is>
      </c>
      <c r="G1224" s="23" t="inlineStr">
        <is>
          <t>ONE_TO_ONE</t>
        </is>
      </c>
      <c r="H1224" s="23" t="inlineStr">
        <is>
          <t>RETAINED</t>
        </is>
      </c>
      <c r="I1224" s="23" t="inlineStr">
        <is>
          <t>Carried forward</t>
        </is>
      </c>
      <c r="J1224" s="23" t="inlineStr">
        <is>
          <t>Source assignment -- not individually reviewed</t>
        </is>
      </c>
      <c r="K1224" s="23" t="inlineStr"/>
      <c r="L1224" s="23" t="inlineStr"/>
      <c r="M1224" s="23" t="inlineStr"/>
      <c r="N1224" s="14" t="inlineStr">
        <is>
          <t>10 EVIDENCE &amp; DECISIONS</t>
        </is>
      </c>
    </row>
    <row r="1225" ht="34" customHeight="1">
      <c r="A1225" s="23" t="inlineStr">
        <is>
          <t>Contractor Programme</t>
        </is>
      </c>
      <c r="B1225" s="23" t="inlineStr">
        <is>
          <t>SCH-05-030</t>
        </is>
      </c>
      <c r="C1225" s="23" t="inlineStr">
        <is>
          <t>Mainline east: service-readiness review - release</t>
        </is>
      </c>
      <c r="D1225" s="23" t="inlineStr">
        <is>
          <t>WBS Code = 1.5.2</t>
        </is>
      </c>
      <c r="E1225" s="23" t="inlineStr">
        <is>
          <t>R750-v2</t>
        </is>
      </c>
      <c r="F1225" s="23" t="inlineStr">
        <is>
          <t>1.5.2 Testing and Commissioning - Dynamic Testing</t>
        </is>
      </c>
      <c r="G1225" s="23" t="inlineStr">
        <is>
          <t>ONE_TO_ONE</t>
        </is>
      </c>
      <c r="H1225" s="23" t="inlineStr">
        <is>
          <t>RETAINED</t>
        </is>
      </c>
      <c r="I1225" s="23" t="inlineStr">
        <is>
          <t>Carried forward</t>
        </is>
      </c>
      <c r="J1225" s="23" t="inlineStr">
        <is>
          <t>Source assignment -- not individually reviewed</t>
        </is>
      </c>
      <c r="K1225" s="23" t="inlineStr"/>
      <c r="L1225" s="23" t="inlineStr"/>
      <c r="M1225" s="23" t="inlineStr"/>
      <c r="N1225" s="14" t="inlineStr">
        <is>
          <t>10 EVIDENCE &amp; DECISIONS</t>
        </is>
      </c>
    </row>
    <row r="1226" ht="34" customHeight="1">
      <c r="A1226" s="23" t="inlineStr">
        <is>
          <t>Contractor Programme</t>
        </is>
      </c>
      <c r="B1226" s="23" t="inlineStr">
        <is>
          <t>SCH-05-033</t>
        </is>
      </c>
      <c r="C1226" s="23" t="inlineStr">
        <is>
          <t>Depot: test procedure readiness review - inspection</t>
        </is>
      </c>
      <c r="D1226" s="23" t="inlineStr">
        <is>
          <t>WBS Code = 1.5.2</t>
        </is>
      </c>
      <c r="E1226" s="23" t="inlineStr">
        <is>
          <t>R753-v2</t>
        </is>
      </c>
      <c r="F1226" s="23" t="inlineStr">
        <is>
          <t>1.5.2 Testing and Commissioning - Dynamic Testing</t>
        </is>
      </c>
      <c r="G1226" s="23" t="inlineStr">
        <is>
          <t>ONE_TO_ONE</t>
        </is>
      </c>
      <c r="H1226" s="23" t="inlineStr">
        <is>
          <t>RETAINED</t>
        </is>
      </c>
      <c r="I1226" s="23" t="inlineStr">
        <is>
          <t>Carried forward</t>
        </is>
      </c>
      <c r="J1226" s="23" t="inlineStr">
        <is>
          <t>Source assignment -- not individually reviewed</t>
        </is>
      </c>
      <c r="K1226" s="23" t="inlineStr"/>
      <c r="L1226" s="23" t="inlineStr"/>
      <c r="M1226" s="23" t="inlineStr"/>
      <c r="N1226" s="14" t="inlineStr">
        <is>
          <t>10 EVIDENCE &amp; DECISIONS</t>
        </is>
      </c>
    </row>
    <row r="1227" ht="34" customHeight="1">
      <c r="A1227" s="23" t="inlineStr">
        <is>
          <t>Contractor Programme</t>
        </is>
      </c>
      <c r="B1227" s="23" t="inlineStr">
        <is>
          <t>SCH-05-036</t>
        </is>
      </c>
      <c r="C1227" s="23" t="inlineStr">
        <is>
          <t>Central section: mainline dynamic test - field start</t>
        </is>
      </c>
      <c r="D1227" s="23" t="inlineStr">
        <is>
          <t>WBS Code = 1.5.2</t>
        </is>
      </c>
      <c r="E1227" s="23" t="inlineStr">
        <is>
          <t>R756-v2</t>
        </is>
      </c>
      <c r="F1227" s="23" t="inlineStr">
        <is>
          <t>1.5.2 Testing and Commissioning - Dynamic Testing</t>
        </is>
      </c>
      <c r="G1227" s="23" t="inlineStr">
        <is>
          <t>ONE_TO_ONE</t>
        </is>
      </c>
      <c r="H1227" s="23" t="inlineStr">
        <is>
          <t>RETAINED</t>
        </is>
      </c>
      <c r="I1227" s="23" t="inlineStr">
        <is>
          <t>Carried forward</t>
        </is>
      </c>
      <c r="J1227" s="23" t="inlineStr">
        <is>
          <t>Source assignment -- not individually reviewed</t>
        </is>
      </c>
      <c r="K1227" s="23" t="inlineStr"/>
      <c r="L1227" s="23" t="inlineStr"/>
      <c r="M1227" s="23" t="inlineStr"/>
      <c r="N1227" s="14" t="inlineStr">
        <is>
          <t>10 EVIDENCE &amp; DECISIONS</t>
        </is>
      </c>
    </row>
    <row r="1228" ht="34" customHeight="1">
      <c r="A1228" s="23" t="inlineStr">
        <is>
          <t>Contractor Programme</t>
        </is>
      </c>
      <c r="B1228" s="23" t="inlineStr">
        <is>
          <t>SCH-05-039</t>
        </is>
      </c>
      <c r="C1228" s="23" t="inlineStr">
        <is>
          <t>Control Centre: station integrated test - turnover</t>
        </is>
      </c>
      <c r="D1228" s="23" t="inlineStr">
        <is>
          <t>WBS Code = 1.5.2</t>
        </is>
      </c>
      <c r="E1228" s="23" t="inlineStr">
        <is>
          <t>R759-v2</t>
        </is>
      </c>
      <c r="F1228" s="23" t="inlineStr">
        <is>
          <t>1.5.2 Testing and Commissioning - Dynamic Testing</t>
        </is>
      </c>
      <c r="G1228" s="23" t="inlineStr">
        <is>
          <t>ONE_TO_ONE</t>
        </is>
      </c>
      <c r="H1228" s="23" t="inlineStr">
        <is>
          <t>RETAINED</t>
        </is>
      </c>
      <c r="I1228" s="23" t="inlineStr">
        <is>
          <t>Carried forward</t>
        </is>
      </c>
      <c r="J1228" s="23" t="inlineStr">
        <is>
          <t>Source assignment -- not individually reviewed</t>
        </is>
      </c>
      <c r="K1228" s="23" t="inlineStr"/>
      <c r="L1228" s="23" t="inlineStr"/>
      <c r="M1228" s="23" t="inlineStr"/>
      <c r="N1228" s="14" t="inlineStr">
        <is>
          <t>10 EVIDENCE &amp; DECISIONS</t>
        </is>
      </c>
    </row>
    <row r="1229" ht="34" customHeight="1">
      <c r="A1229" s="23" t="inlineStr">
        <is>
          <t>Contractor Programme</t>
        </is>
      </c>
      <c r="B1229" s="23" t="inlineStr">
        <is>
          <t>SCH-05-042</t>
        </is>
      </c>
      <c r="C1229" s="23" t="inlineStr">
        <is>
          <t>West terminal: emergency-response drill - installation</t>
        </is>
      </c>
      <c r="D1229" s="23" t="inlineStr">
        <is>
          <t>WBS Code = 1.5.2</t>
        </is>
      </c>
      <c r="E1229" s="23" t="inlineStr">
        <is>
          <t>R762-v2</t>
        </is>
      </c>
      <c r="F1229" s="23" t="inlineStr">
        <is>
          <t>1.5.2 Testing and Commissioning - Dynamic Testing</t>
        </is>
      </c>
      <c r="G1229" s="23" t="inlineStr">
        <is>
          <t>ONE_TO_ONE</t>
        </is>
      </c>
      <c r="H1229" s="23" t="inlineStr">
        <is>
          <t>RETAINED</t>
        </is>
      </c>
      <c r="I1229" s="23" t="inlineStr">
        <is>
          <t>Carried forward</t>
        </is>
      </c>
      <c r="J1229" s="23" t="inlineStr">
        <is>
          <t>Source assignment -- not individually reviewed</t>
        </is>
      </c>
      <c r="K1229" s="23" t="inlineStr"/>
      <c r="L1229" s="23" t="inlineStr"/>
      <c r="M1229" s="23" t="inlineStr"/>
      <c r="N1229" s="14" t="inlineStr">
        <is>
          <t>10 EVIDENCE &amp; DECISIONS</t>
        </is>
      </c>
    </row>
    <row r="1230" ht="34" customHeight="1">
      <c r="A1230" s="23" t="inlineStr">
        <is>
          <t>Contractor Programme</t>
        </is>
      </c>
      <c r="B1230" s="23" t="inlineStr">
        <is>
          <t>SCH-05-045</t>
        </is>
      </c>
      <c r="C1230" s="23" t="inlineStr">
        <is>
          <t>Mainline east: safety certificate evidence closeout - release</t>
        </is>
      </c>
      <c r="D1230" s="23" t="inlineStr">
        <is>
          <t>WBS Code = 1.5.2</t>
        </is>
      </c>
      <c r="E1230" s="23" t="inlineStr">
        <is>
          <t>R765-v2</t>
        </is>
      </c>
      <c r="F1230" s="23" t="inlineStr">
        <is>
          <t>1.5.2 Testing and Commissioning - Dynamic Testing</t>
        </is>
      </c>
      <c r="G1230" s="23" t="inlineStr">
        <is>
          <t>ONE_TO_ONE</t>
        </is>
      </c>
      <c r="H1230" s="23" t="inlineStr">
        <is>
          <t>RETAINED</t>
        </is>
      </c>
      <c r="I1230" s="23" t="inlineStr">
        <is>
          <t>Carried forward</t>
        </is>
      </c>
      <c r="J1230" s="23" t="inlineStr">
        <is>
          <t>Source assignment -- not individually reviewed</t>
        </is>
      </c>
      <c r="K1230" s="23" t="inlineStr"/>
      <c r="L1230" s="23" t="inlineStr"/>
      <c r="M1230" s="23" t="inlineStr"/>
      <c r="N1230" s="14" t="inlineStr">
        <is>
          <t>10 EVIDENCE &amp; DECISIONS</t>
        </is>
      </c>
    </row>
    <row r="1231" ht="34" customHeight="1">
      <c r="A1231" s="23" t="inlineStr">
        <is>
          <t>Contractor Programme</t>
        </is>
      </c>
      <c r="B1231" s="23" t="inlineStr">
        <is>
          <t>SCH-05-048</t>
        </is>
      </c>
      <c r="C1231" s="23" t="inlineStr">
        <is>
          <t>Depot: trial-running shift - inspection</t>
        </is>
      </c>
      <c r="D1231" s="23" t="inlineStr">
        <is>
          <t>WBS Code = 1.5.2</t>
        </is>
      </c>
      <c r="E1231" s="23" t="inlineStr">
        <is>
          <t>R768-v2</t>
        </is>
      </c>
      <c r="F1231" s="23" t="inlineStr">
        <is>
          <t>1.5.2 Testing and Commissioning - Dynamic Testing</t>
        </is>
      </c>
      <c r="G1231" s="23" t="inlineStr">
        <is>
          <t>ONE_TO_ONE</t>
        </is>
      </c>
      <c r="H1231" s="23" t="inlineStr">
        <is>
          <t>RETAINED</t>
        </is>
      </c>
      <c r="I1231" s="23" t="inlineStr">
        <is>
          <t>Carried forward</t>
        </is>
      </c>
      <c r="J1231" s="23" t="inlineStr">
        <is>
          <t>Source assignment -- not individually reviewed</t>
        </is>
      </c>
      <c r="K1231" s="23" t="inlineStr"/>
      <c r="L1231" s="23" t="inlineStr"/>
      <c r="M1231" s="23" t="inlineStr"/>
      <c r="N1231" s="14" t="inlineStr">
        <is>
          <t>10 EVIDENCE &amp; DECISIONS</t>
        </is>
      </c>
    </row>
    <row r="1232" ht="34" customHeight="1">
      <c r="A1232" s="23" t="inlineStr">
        <is>
          <t>Contractor Programme</t>
        </is>
      </c>
      <c r="B1232" s="23" t="inlineStr">
        <is>
          <t>SCH-05-051</t>
        </is>
      </c>
      <c r="C1232" s="23" t="inlineStr">
        <is>
          <t>Central section: defect retest - field start</t>
        </is>
      </c>
      <c r="D1232" s="23" t="inlineStr">
        <is>
          <t>WBS Code = 1.5.2</t>
        </is>
      </c>
      <c r="E1232" s="23" t="inlineStr">
        <is>
          <t>R771-v2</t>
        </is>
      </c>
      <c r="F1232" s="23" t="inlineStr">
        <is>
          <t>1.5.2 Testing and Commissioning - Dynamic Testing</t>
        </is>
      </c>
      <c r="G1232" s="23" t="inlineStr">
        <is>
          <t>ONE_TO_ONE</t>
        </is>
      </c>
      <c r="H1232" s="23" t="inlineStr">
        <is>
          <t>RETAINED</t>
        </is>
      </c>
      <c r="I1232" s="23" t="inlineStr">
        <is>
          <t>Carried forward</t>
        </is>
      </c>
      <c r="J1232" s="23" t="inlineStr">
        <is>
          <t>Source assignment -- not individually reviewed</t>
        </is>
      </c>
      <c r="K1232" s="23" t="inlineStr"/>
      <c r="L1232" s="23" t="inlineStr"/>
      <c r="M1232" s="23" t="inlineStr"/>
      <c r="N1232" s="14" t="inlineStr">
        <is>
          <t>10 EVIDENCE &amp; DECISIONS</t>
        </is>
      </c>
    </row>
    <row r="1233" ht="34" customHeight="1">
      <c r="A1233" s="23" t="inlineStr">
        <is>
          <t>Contractor Programme</t>
        </is>
      </c>
      <c r="B1233" s="23" t="inlineStr">
        <is>
          <t>SCH-05-054</t>
        </is>
      </c>
      <c r="C1233" s="23" t="inlineStr">
        <is>
          <t>Control Centre: service-readiness review - turnover</t>
        </is>
      </c>
      <c r="D1233" s="23" t="inlineStr">
        <is>
          <t>WBS Code = 1.5.2</t>
        </is>
      </c>
      <c r="E1233" s="23" t="inlineStr">
        <is>
          <t>R774-v2</t>
        </is>
      </c>
      <c r="F1233" s="23" t="inlineStr">
        <is>
          <t>1.5.2 Testing and Commissioning - Dynamic Testing</t>
        </is>
      </c>
      <c r="G1233" s="23" t="inlineStr">
        <is>
          <t>ONE_TO_ONE</t>
        </is>
      </c>
      <c r="H1233" s="23" t="inlineStr">
        <is>
          <t>RETAINED</t>
        </is>
      </c>
      <c r="I1233" s="23" t="inlineStr">
        <is>
          <t>Carried forward</t>
        </is>
      </c>
      <c r="J1233" s="23" t="inlineStr">
        <is>
          <t>Source assignment -- not individually reviewed</t>
        </is>
      </c>
      <c r="K1233" s="23" t="inlineStr"/>
      <c r="L1233" s="23" t="inlineStr"/>
      <c r="M1233" s="23" t="inlineStr"/>
      <c r="N1233" s="14" t="inlineStr">
        <is>
          <t>10 EVIDENCE &amp; DECISIONS</t>
        </is>
      </c>
    </row>
    <row r="1234" ht="34" customHeight="1">
      <c r="A1234" s="23" t="inlineStr">
        <is>
          <t>Contractor Programme</t>
        </is>
      </c>
      <c r="B1234" s="23" t="inlineStr">
        <is>
          <t>SCH-05-057</t>
        </is>
      </c>
      <c r="C1234" s="23" t="inlineStr">
        <is>
          <t>West terminal: test procedure readiness review - installation</t>
        </is>
      </c>
      <c r="D1234" s="23" t="inlineStr">
        <is>
          <t>WBS Code = 1.5.2</t>
        </is>
      </c>
      <c r="E1234" s="23" t="inlineStr">
        <is>
          <t>R777-v2</t>
        </is>
      </c>
      <c r="F1234" s="23" t="inlineStr">
        <is>
          <t>1.5.2 Testing and Commissioning - Dynamic Testing</t>
        </is>
      </c>
      <c r="G1234" s="23" t="inlineStr">
        <is>
          <t>ONE_TO_ONE</t>
        </is>
      </c>
      <c r="H1234" s="23" t="inlineStr">
        <is>
          <t>RETAINED</t>
        </is>
      </c>
      <c r="I1234" s="23" t="inlineStr">
        <is>
          <t>Carried forward</t>
        </is>
      </c>
      <c r="J1234" s="23" t="inlineStr">
        <is>
          <t>Source assignment -- not individually reviewed</t>
        </is>
      </c>
      <c r="K1234" s="23" t="inlineStr"/>
      <c r="L1234" s="23" t="inlineStr"/>
      <c r="M1234" s="23" t="inlineStr"/>
      <c r="N1234" s="14" t="inlineStr">
        <is>
          <t>10 EVIDENCE &amp; DECISIONS</t>
        </is>
      </c>
    </row>
    <row r="1235" ht="34" customHeight="1">
      <c r="A1235" s="23" t="inlineStr">
        <is>
          <t>Contractor Programme</t>
        </is>
      </c>
      <c r="B1235" s="23" t="inlineStr">
        <is>
          <t>SCH-05-060</t>
        </is>
      </c>
      <c r="C1235" s="23" t="inlineStr">
        <is>
          <t>Mainline east: mainline dynamic test - release</t>
        </is>
      </c>
      <c r="D1235" s="23" t="inlineStr">
        <is>
          <t>WBS Code = 1.5.2</t>
        </is>
      </c>
      <c r="E1235" s="23" t="inlineStr">
        <is>
          <t>R780-v2</t>
        </is>
      </c>
      <c r="F1235" s="23" t="inlineStr">
        <is>
          <t>1.5.2 Testing and Commissioning - Dynamic Testing</t>
        </is>
      </c>
      <c r="G1235" s="23" t="inlineStr">
        <is>
          <t>ONE_TO_ONE</t>
        </is>
      </c>
      <c r="H1235" s="23" t="inlineStr">
        <is>
          <t>RETAINED</t>
        </is>
      </c>
      <c r="I1235" s="23" t="inlineStr">
        <is>
          <t>Carried forward</t>
        </is>
      </c>
      <c r="J1235" s="23" t="inlineStr">
        <is>
          <t>Source assignment -- not individually reviewed</t>
        </is>
      </c>
      <c r="K1235" s="23" t="inlineStr"/>
      <c r="L1235" s="23" t="inlineStr"/>
      <c r="M1235" s="23" t="inlineStr"/>
      <c r="N1235" s="14" t="inlineStr">
        <is>
          <t>10 EVIDENCE &amp; DECISIONS</t>
        </is>
      </c>
    </row>
    <row r="1236" ht="34" customHeight="1">
      <c r="A1236" s="23" t="inlineStr">
        <is>
          <t>Contractor Programme</t>
        </is>
      </c>
      <c r="B1236" s="23" t="inlineStr">
        <is>
          <t>SCH-05-063</t>
        </is>
      </c>
      <c r="C1236" s="23" t="inlineStr">
        <is>
          <t>Depot: station integrated test - inspection</t>
        </is>
      </c>
      <c r="D1236" s="23" t="inlineStr">
        <is>
          <t>WBS Code = 1.5.2</t>
        </is>
      </c>
      <c r="E1236" s="23" t="inlineStr">
        <is>
          <t>R783-v2</t>
        </is>
      </c>
      <c r="F1236" s="23" t="inlineStr">
        <is>
          <t>1.5.2 Testing and Commissioning - Dynamic Testing</t>
        </is>
      </c>
      <c r="G1236" s="23" t="inlineStr">
        <is>
          <t>ONE_TO_ONE</t>
        </is>
      </c>
      <c r="H1236" s="23" t="inlineStr">
        <is>
          <t>RETAINED</t>
        </is>
      </c>
      <c r="I1236" s="23" t="inlineStr">
        <is>
          <t>Carried forward</t>
        </is>
      </c>
      <c r="J1236" s="23" t="inlineStr">
        <is>
          <t>Source assignment -- not individually reviewed</t>
        </is>
      </c>
      <c r="K1236" s="23" t="inlineStr"/>
      <c r="L1236" s="23" t="inlineStr"/>
      <c r="M1236" s="23" t="inlineStr"/>
      <c r="N1236" s="14" t="inlineStr">
        <is>
          <t>10 EVIDENCE &amp; DECISIONS</t>
        </is>
      </c>
    </row>
    <row r="1237" ht="34" customHeight="1">
      <c r="A1237" s="23" t="inlineStr">
        <is>
          <t>Contractor Programme</t>
        </is>
      </c>
      <c r="B1237" s="23" t="inlineStr">
        <is>
          <t>SCH-05-066</t>
        </is>
      </c>
      <c r="C1237" s="23" t="inlineStr">
        <is>
          <t>Central section: emergency-response drill - field start</t>
        </is>
      </c>
      <c r="D1237" s="23" t="inlineStr">
        <is>
          <t>WBS Code = 1.5.2</t>
        </is>
      </c>
      <c r="E1237" s="23" t="inlineStr">
        <is>
          <t>R786-v2</t>
        </is>
      </c>
      <c r="F1237" s="23" t="inlineStr">
        <is>
          <t>1.5.2 Testing and Commissioning - Dynamic Testing</t>
        </is>
      </c>
      <c r="G1237" s="23" t="inlineStr">
        <is>
          <t>ONE_TO_ONE</t>
        </is>
      </c>
      <c r="H1237" s="23" t="inlineStr">
        <is>
          <t>RETAINED</t>
        </is>
      </c>
      <c r="I1237" s="23" t="inlineStr">
        <is>
          <t>Carried forward</t>
        </is>
      </c>
      <c r="J1237" s="23" t="inlineStr">
        <is>
          <t>Source assignment -- not individually reviewed</t>
        </is>
      </c>
      <c r="K1237" s="23" t="inlineStr"/>
      <c r="L1237" s="23" t="inlineStr"/>
      <c r="M1237" s="23" t="inlineStr"/>
      <c r="N1237" s="14" t="inlineStr">
        <is>
          <t>10 EVIDENCE &amp; DECISIONS</t>
        </is>
      </c>
    </row>
    <row r="1238" ht="34" customHeight="1">
      <c r="A1238" s="23" t="inlineStr">
        <is>
          <t>Contractor Programme</t>
        </is>
      </c>
      <c r="B1238" s="23" t="inlineStr">
        <is>
          <t>SCH-05-069</t>
        </is>
      </c>
      <c r="C1238" s="23" t="inlineStr">
        <is>
          <t>Control Centre: safety certificate evidence closeout - turnover</t>
        </is>
      </c>
      <c r="D1238" s="23" t="inlineStr">
        <is>
          <t>WBS Code = 1.5.2</t>
        </is>
      </c>
      <c r="E1238" s="23" t="inlineStr">
        <is>
          <t>R789-v2</t>
        </is>
      </c>
      <c r="F1238" s="23" t="inlineStr">
        <is>
          <t>1.5.2 Testing and Commissioning - Dynamic Testing</t>
        </is>
      </c>
      <c r="G1238" s="23" t="inlineStr">
        <is>
          <t>ONE_TO_ONE</t>
        </is>
      </c>
      <c r="H1238" s="23" t="inlineStr">
        <is>
          <t>RETAINED</t>
        </is>
      </c>
      <c r="I1238" s="23" t="inlineStr">
        <is>
          <t>Carried forward</t>
        </is>
      </c>
      <c r="J1238" s="23" t="inlineStr">
        <is>
          <t>Source assignment -- not individually reviewed</t>
        </is>
      </c>
      <c r="K1238" s="23" t="inlineStr"/>
      <c r="L1238" s="23" t="inlineStr"/>
      <c r="M1238" s="23" t="inlineStr"/>
      <c r="N1238" s="14" t="inlineStr">
        <is>
          <t>10 EVIDENCE &amp; DECISIONS</t>
        </is>
      </c>
    </row>
    <row r="1239" ht="34" customHeight="1">
      <c r="A1239" s="23" t="inlineStr">
        <is>
          <t>Contractor Programme</t>
        </is>
      </c>
      <c r="B1239" s="23" t="inlineStr">
        <is>
          <t>SCH-05-072</t>
        </is>
      </c>
      <c r="C1239" s="23" t="inlineStr">
        <is>
          <t>West terminal: trial-running shift - installation</t>
        </is>
      </c>
      <c r="D1239" s="23" t="inlineStr">
        <is>
          <t>WBS Code = 1.5.2</t>
        </is>
      </c>
      <c r="E1239" s="23" t="inlineStr">
        <is>
          <t>R792-v2</t>
        </is>
      </c>
      <c r="F1239" s="23" t="inlineStr">
        <is>
          <t>1.5.2 Testing and Commissioning - Dynamic Testing</t>
        </is>
      </c>
      <c r="G1239" s="23" t="inlineStr">
        <is>
          <t>ONE_TO_ONE</t>
        </is>
      </c>
      <c r="H1239" s="23" t="inlineStr">
        <is>
          <t>RETAINED</t>
        </is>
      </c>
      <c r="I1239" s="23" t="inlineStr">
        <is>
          <t>Carried forward</t>
        </is>
      </c>
      <c r="J1239" s="23" t="inlineStr">
        <is>
          <t>Source assignment -- not individually reviewed</t>
        </is>
      </c>
      <c r="K1239" s="23" t="inlineStr"/>
      <c r="L1239" s="23" t="inlineStr"/>
      <c r="M1239" s="23" t="inlineStr"/>
      <c r="N1239" s="14" t="inlineStr">
        <is>
          <t>10 EVIDENCE &amp; DECISIONS</t>
        </is>
      </c>
    </row>
    <row r="1240" ht="34" customHeight="1">
      <c r="A1240" s="23" t="inlineStr">
        <is>
          <t>Contractor Programme</t>
        </is>
      </c>
      <c r="B1240" s="23" t="inlineStr">
        <is>
          <t>SCH-05-075</t>
        </is>
      </c>
      <c r="C1240" s="23" t="inlineStr">
        <is>
          <t>Mainline east: defect retest - release</t>
        </is>
      </c>
      <c r="D1240" s="23" t="inlineStr">
        <is>
          <t>WBS Code = 1.5.2</t>
        </is>
      </c>
      <c r="E1240" s="23" t="inlineStr">
        <is>
          <t>R795-v2</t>
        </is>
      </c>
      <c r="F1240" s="23" t="inlineStr">
        <is>
          <t>1.5.2 Testing and Commissioning - Dynamic Testing</t>
        </is>
      </c>
      <c r="G1240" s="23" t="inlineStr">
        <is>
          <t>ONE_TO_ONE</t>
        </is>
      </c>
      <c r="H1240" s="23" t="inlineStr">
        <is>
          <t>RETAINED</t>
        </is>
      </c>
      <c r="I1240" s="23" t="inlineStr">
        <is>
          <t>Carried forward</t>
        </is>
      </c>
      <c r="J1240" s="23" t="inlineStr">
        <is>
          <t>Source assignment -- not individually reviewed</t>
        </is>
      </c>
      <c r="K1240" s="23" t="inlineStr"/>
      <c r="L1240" s="23" t="inlineStr"/>
      <c r="M1240" s="23" t="inlineStr"/>
      <c r="N1240" s="14" t="inlineStr">
        <is>
          <t>10 EVIDENCE &amp; DECISIONS</t>
        </is>
      </c>
    </row>
    <row r="1241" ht="34" customHeight="1">
      <c r="A1241" s="23" t="inlineStr">
        <is>
          <t>Contractor Programme</t>
        </is>
      </c>
      <c r="B1241" s="23" t="inlineStr">
        <is>
          <t>SCH-05-078</t>
        </is>
      </c>
      <c r="C1241" s="23" t="inlineStr">
        <is>
          <t>Depot: service-readiness review - inspection</t>
        </is>
      </c>
      <c r="D1241" s="23" t="inlineStr">
        <is>
          <t>WBS Code = 1.5.2</t>
        </is>
      </c>
      <c r="E1241" s="23" t="inlineStr">
        <is>
          <t>R798-v2</t>
        </is>
      </c>
      <c r="F1241" s="23" t="inlineStr">
        <is>
          <t>1.5.2 Testing and Commissioning - Dynamic Testing</t>
        </is>
      </c>
      <c r="G1241" s="23" t="inlineStr">
        <is>
          <t>ONE_TO_ONE</t>
        </is>
      </c>
      <c r="H1241" s="23" t="inlineStr">
        <is>
          <t>RETAINED</t>
        </is>
      </c>
      <c r="I1241" s="23" t="inlineStr">
        <is>
          <t>Carried forward</t>
        </is>
      </c>
      <c r="J1241" s="23" t="inlineStr">
        <is>
          <t>Source assignment -- not individually reviewed</t>
        </is>
      </c>
      <c r="K1241" s="23" t="inlineStr"/>
      <c r="L1241" s="23" t="inlineStr"/>
      <c r="M1241" s="23" t="inlineStr"/>
      <c r="N1241" s="14" t="inlineStr">
        <is>
          <t>10 EVIDENCE &amp; DECISIONS</t>
        </is>
      </c>
    </row>
    <row r="1242" ht="34" customHeight="1">
      <c r="A1242" s="23" t="inlineStr">
        <is>
          <t>Contractor Programme</t>
        </is>
      </c>
      <c r="B1242" s="23" t="inlineStr">
        <is>
          <t>SCH-05-081</t>
        </is>
      </c>
      <c r="C1242" s="23" t="inlineStr">
        <is>
          <t>Central section: test procedure readiness review - field start</t>
        </is>
      </c>
      <c r="D1242" s="23" t="inlineStr">
        <is>
          <t>WBS Code = 1.5.2</t>
        </is>
      </c>
      <c r="E1242" s="23" t="inlineStr">
        <is>
          <t>R801-v2</t>
        </is>
      </c>
      <c r="F1242" s="23" t="inlineStr">
        <is>
          <t>1.5.2 Testing and Commissioning - Dynamic Testing</t>
        </is>
      </c>
      <c r="G1242" s="23" t="inlineStr">
        <is>
          <t>ONE_TO_ONE</t>
        </is>
      </c>
      <c r="H1242" s="23" t="inlineStr">
        <is>
          <t>RETAINED</t>
        </is>
      </c>
      <c r="I1242" s="23" t="inlineStr">
        <is>
          <t>Carried forward</t>
        </is>
      </c>
      <c r="J1242" s="23" t="inlineStr">
        <is>
          <t>Source assignment -- not individually reviewed</t>
        </is>
      </c>
      <c r="K1242" s="23" t="inlineStr"/>
      <c r="L1242" s="23" t="inlineStr"/>
      <c r="M1242" s="23" t="inlineStr"/>
      <c r="N1242" s="14" t="inlineStr">
        <is>
          <t>10 EVIDENCE &amp; DECISIONS</t>
        </is>
      </c>
    </row>
    <row r="1243" ht="34" customHeight="1">
      <c r="A1243" s="23" t="inlineStr">
        <is>
          <t>Contractor Programme</t>
        </is>
      </c>
      <c r="B1243" s="23" t="inlineStr">
        <is>
          <t>SCH-05-084</t>
        </is>
      </c>
      <c r="C1243" s="23" t="inlineStr">
        <is>
          <t>Control Centre: mainline dynamic test - turnover</t>
        </is>
      </c>
      <c r="D1243" s="23" t="inlineStr">
        <is>
          <t>WBS Code = 1.5.2</t>
        </is>
      </c>
      <c r="E1243" s="23" t="inlineStr">
        <is>
          <t>R804-v2</t>
        </is>
      </c>
      <c r="F1243" s="23" t="inlineStr">
        <is>
          <t>1.5.2 Testing and Commissioning - Dynamic Testing</t>
        </is>
      </c>
      <c r="G1243" s="23" t="inlineStr">
        <is>
          <t>ONE_TO_ONE</t>
        </is>
      </c>
      <c r="H1243" s="23" t="inlineStr">
        <is>
          <t>RETAINED</t>
        </is>
      </c>
      <c r="I1243" s="23" t="inlineStr">
        <is>
          <t>Carried forward</t>
        </is>
      </c>
      <c r="J1243" s="23" t="inlineStr">
        <is>
          <t>Source assignment -- not individually reviewed</t>
        </is>
      </c>
      <c r="K1243" s="23" t="inlineStr"/>
      <c r="L1243" s="23" t="inlineStr"/>
      <c r="M1243" s="23" t="inlineStr"/>
      <c r="N1243" s="14" t="inlineStr">
        <is>
          <t>10 EVIDENCE &amp; DECISIONS</t>
        </is>
      </c>
    </row>
    <row r="1244" ht="34" customHeight="1">
      <c r="A1244" s="23" t="inlineStr">
        <is>
          <t>Contractor Programme</t>
        </is>
      </c>
      <c r="B1244" s="23" t="inlineStr">
        <is>
          <t>SCH-05-087</t>
        </is>
      </c>
      <c r="C1244" s="23" t="inlineStr">
        <is>
          <t>West terminal: station integrated test - installation</t>
        </is>
      </c>
      <c r="D1244" s="23" t="inlineStr">
        <is>
          <t>WBS Code = 1.5.2</t>
        </is>
      </c>
      <c r="E1244" s="23" t="inlineStr">
        <is>
          <t>R807-v2</t>
        </is>
      </c>
      <c r="F1244" s="23" t="inlineStr">
        <is>
          <t>1.5.2 Testing and Commissioning - Dynamic Testing</t>
        </is>
      </c>
      <c r="G1244" s="23" t="inlineStr">
        <is>
          <t>ONE_TO_ONE</t>
        </is>
      </c>
      <c r="H1244" s="23" t="inlineStr">
        <is>
          <t>RETAINED</t>
        </is>
      </c>
      <c r="I1244" s="23" t="inlineStr">
        <is>
          <t>Carried forward</t>
        </is>
      </c>
      <c r="J1244" s="23" t="inlineStr">
        <is>
          <t>Source assignment -- not individually reviewed</t>
        </is>
      </c>
      <c r="K1244" s="23" t="inlineStr"/>
      <c r="L1244" s="23" t="inlineStr"/>
      <c r="M1244" s="23" t="inlineStr"/>
      <c r="N1244" s="14" t="inlineStr">
        <is>
          <t>10 EVIDENCE &amp; DECISIONS</t>
        </is>
      </c>
    </row>
    <row r="1245" ht="34" customHeight="1">
      <c r="A1245" s="23" t="inlineStr">
        <is>
          <t>Contractor Programme</t>
        </is>
      </c>
      <c r="B1245" s="23" t="inlineStr">
        <is>
          <t>SCH-05-090</t>
        </is>
      </c>
      <c r="C1245" s="23" t="inlineStr">
        <is>
          <t>Mainline east: emergency-response drill - release</t>
        </is>
      </c>
      <c r="D1245" s="23" t="inlineStr">
        <is>
          <t>WBS Code = 1.5.2</t>
        </is>
      </c>
      <c r="E1245" s="23" t="inlineStr">
        <is>
          <t>R810-v2</t>
        </is>
      </c>
      <c r="F1245" s="23" t="inlineStr">
        <is>
          <t>1.5.2 Testing and Commissioning - Dynamic Testing</t>
        </is>
      </c>
      <c r="G1245" s="23" t="inlineStr">
        <is>
          <t>ONE_TO_ONE</t>
        </is>
      </c>
      <c r="H1245" s="23" t="inlineStr">
        <is>
          <t>RETAINED</t>
        </is>
      </c>
      <c r="I1245" s="23" t="inlineStr">
        <is>
          <t>Carried forward</t>
        </is>
      </c>
      <c r="J1245" s="23" t="inlineStr">
        <is>
          <t>Source assignment -- not individually reviewed</t>
        </is>
      </c>
      <c r="K1245" s="23" t="inlineStr"/>
      <c r="L1245" s="23" t="inlineStr"/>
      <c r="M1245" s="23" t="inlineStr"/>
      <c r="N1245" s="14" t="inlineStr">
        <is>
          <t>10 EVIDENCE &amp; DECISIONS</t>
        </is>
      </c>
    </row>
    <row r="1246" ht="34" customHeight="1">
      <c r="A1246" s="23" t="inlineStr">
        <is>
          <t>Contractor Programme</t>
        </is>
      </c>
      <c r="B1246" s="23" t="inlineStr">
        <is>
          <t>SCH-05-093</t>
        </is>
      </c>
      <c r="C1246" s="23" t="inlineStr">
        <is>
          <t>Depot: safety certificate evidence closeout - inspection</t>
        </is>
      </c>
      <c r="D1246" s="23" t="inlineStr">
        <is>
          <t>WBS Code = 1.5.2</t>
        </is>
      </c>
      <c r="E1246" s="23" t="inlineStr">
        <is>
          <t>R813-v2</t>
        </is>
      </c>
      <c r="F1246" s="23" t="inlineStr">
        <is>
          <t>1.5.2 Testing and Commissioning - Dynamic Testing</t>
        </is>
      </c>
      <c r="G1246" s="23" t="inlineStr">
        <is>
          <t>ONE_TO_ONE</t>
        </is>
      </c>
      <c r="H1246" s="23" t="inlineStr">
        <is>
          <t>RETAINED</t>
        </is>
      </c>
      <c r="I1246" s="23" t="inlineStr">
        <is>
          <t>Carried forward</t>
        </is>
      </c>
      <c r="J1246" s="23" t="inlineStr">
        <is>
          <t>Source assignment -- not individually reviewed</t>
        </is>
      </c>
      <c r="K1246" s="23" t="inlineStr"/>
      <c r="L1246" s="23" t="inlineStr"/>
      <c r="M1246" s="23" t="inlineStr"/>
      <c r="N1246" s="14" t="inlineStr">
        <is>
          <t>10 EVIDENCE &amp; DECISIONS</t>
        </is>
      </c>
    </row>
    <row r="1247" ht="34" customHeight="1">
      <c r="A1247" s="23" t="inlineStr">
        <is>
          <t>Contractor Programme</t>
        </is>
      </c>
      <c r="B1247" s="23" t="inlineStr">
        <is>
          <t>SCH-05-096</t>
        </is>
      </c>
      <c r="C1247" s="23" t="inlineStr">
        <is>
          <t>Central section: trial-running shift - field start</t>
        </is>
      </c>
      <c r="D1247" s="23" t="inlineStr">
        <is>
          <t>WBS Code = 1.5.2</t>
        </is>
      </c>
      <c r="E1247" s="23" t="inlineStr">
        <is>
          <t>R816-v2</t>
        </is>
      </c>
      <c r="F1247" s="23" t="inlineStr">
        <is>
          <t>1.5.2 Testing and Commissioning - Dynamic Testing</t>
        </is>
      </c>
      <c r="G1247" s="23" t="inlineStr">
        <is>
          <t>ONE_TO_ONE</t>
        </is>
      </c>
      <c r="H1247" s="23" t="inlineStr">
        <is>
          <t>RETAINED</t>
        </is>
      </c>
      <c r="I1247" s="23" t="inlineStr">
        <is>
          <t>Carried forward</t>
        </is>
      </c>
      <c r="J1247" s="23" t="inlineStr">
        <is>
          <t>Source assignment -- not individually reviewed</t>
        </is>
      </c>
      <c r="K1247" s="23" t="inlineStr"/>
      <c r="L1247" s="23" t="inlineStr"/>
      <c r="M1247" s="23" t="inlineStr"/>
      <c r="N1247" s="14" t="inlineStr">
        <is>
          <t>10 EVIDENCE &amp; DECISIONS</t>
        </is>
      </c>
    </row>
    <row r="1248" ht="34" customHeight="1">
      <c r="A1248" s="23" t="inlineStr">
        <is>
          <t>Contractor Programme</t>
        </is>
      </c>
      <c r="B1248" s="23" t="inlineStr">
        <is>
          <t>SCH-05-099</t>
        </is>
      </c>
      <c r="C1248" s="23" t="inlineStr">
        <is>
          <t>Control Centre: defect retest - turnover</t>
        </is>
      </c>
      <c r="D1248" s="23" t="inlineStr">
        <is>
          <t>WBS Code = 1.5.2</t>
        </is>
      </c>
      <c r="E1248" s="23" t="inlineStr">
        <is>
          <t>R819-v2</t>
        </is>
      </c>
      <c r="F1248" s="23" t="inlineStr">
        <is>
          <t>1.5.2 Testing and Commissioning - Dynamic Testing</t>
        </is>
      </c>
      <c r="G1248" s="23" t="inlineStr">
        <is>
          <t>ONE_TO_ONE</t>
        </is>
      </c>
      <c r="H1248" s="23" t="inlineStr">
        <is>
          <t>RETAINED</t>
        </is>
      </c>
      <c r="I1248" s="23" t="inlineStr">
        <is>
          <t>Carried forward</t>
        </is>
      </c>
      <c r="J1248" s="23" t="inlineStr">
        <is>
          <t>Source assignment -- not individually reviewed</t>
        </is>
      </c>
      <c r="K1248" s="23" t="inlineStr"/>
      <c r="L1248" s="23" t="inlineStr"/>
      <c r="M1248" s="23" t="inlineStr"/>
      <c r="N1248" s="14" t="inlineStr">
        <is>
          <t>10 EVIDENCE &amp; DECISIONS</t>
        </is>
      </c>
    </row>
    <row r="1249" ht="34" customHeight="1">
      <c r="A1249" s="23" t="inlineStr">
        <is>
          <t>Contractor Programme</t>
        </is>
      </c>
      <c r="B1249" s="23" t="inlineStr">
        <is>
          <t>SCH-05-102</t>
        </is>
      </c>
      <c r="C1249" s="23" t="inlineStr">
        <is>
          <t>West terminal: service-readiness review - installation</t>
        </is>
      </c>
      <c r="D1249" s="23" t="inlineStr">
        <is>
          <t>WBS Code = 1.5.2</t>
        </is>
      </c>
      <c r="E1249" s="23" t="inlineStr">
        <is>
          <t>R822-v2</t>
        </is>
      </c>
      <c r="F1249" s="23" t="inlineStr">
        <is>
          <t>1.5.2 Testing and Commissioning - Dynamic Testing</t>
        </is>
      </c>
      <c r="G1249" s="23" t="inlineStr">
        <is>
          <t>ONE_TO_ONE</t>
        </is>
      </c>
      <c r="H1249" s="23" t="inlineStr">
        <is>
          <t>RETAINED</t>
        </is>
      </c>
      <c r="I1249" s="23" t="inlineStr">
        <is>
          <t>Carried forward</t>
        </is>
      </c>
      <c r="J1249" s="23" t="inlineStr">
        <is>
          <t>Source assignment -- not individually reviewed</t>
        </is>
      </c>
      <c r="K1249" s="23" t="inlineStr"/>
      <c r="L1249" s="23" t="inlineStr"/>
      <c r="M1249" s="23" t="inlineStr"/>
      <c r="N1249" s="14" t="inlineStr">
        <is>
          <t>10 EVIDENCE &amp; DECISIONS</t>
        </is>
      </c>
    </row>
    <row r="1250" ht="34" customHeight="1">
      <c r="A1250" s="23" t="inlineStr">
        <is>
          <t>Contractor Programme</t>
        </is>
      </c>
      <c r="B1250" s="23" t="inlineStr">
        <is>
          <t>SCH-05-105</t>
        </is>
      </c>
      <c r="C1250" s="23" t="inlineStr">
        <is>
          <t>Mainline east: test procedure readiness review - release</t>
        </is>
      </c>
      <c r="D1250" s="23" t="inlineStr">
        <is>
          <t>WBS Code = 1.5.2</t>
        </is>
      </c>
      <c r="E1250" s="23" t="inlineStr">
        <is>
          <t>R825-v2</t>
        </is>
      </c>
      <c r="F1250" s="23" t="inlineStr">
        <is>
          <t>1.5.2 Testing and Commissioning - Dynamic Testing</t>
        </is>
      </c>
      <c r="G1250" s="23" t="inlineStr">
        <is>
          <t>ONE_TO_ONE</t>
        </is>
      </c>
      <c r="H1250" s="23" t="inlineStr">
        <is>
          <t>RETAINED</t>
        </is>
      </c>
      <c r="I1250" s="23" t="inlineStr">
        <is>
          <t>Carried forward</t>
        </is>
      </c>
      <c r="J1250" s="23" t="inlineStr">
        <is>
          <t>Source assignment -- not individually reviewed</t>
        </is>
      </c>
      <c r="K1250" s="23" t="inlineStr"/>
      <c r="L1250" s="23" t="inlineStr"/>
      <c r="M1250" s="23" t="inlineStr"/>
      <c r="N1250" s="14" t="inlineStr">
        <is>
          <t>10 EVIDENCE &amp; DECISIONS</t>
        </is>
      </c>
    </row>
    <row r="1251" ht="34" customHeight="1">
      <c r="A1251" s="23" t="inlineStr">
        <is>
          <t>Contractor Programme</t>
        </is>
      </c>
      <c r="B1251" s="23" t="inlineStr">
        <is>
          <t>SCH-05-108</t>
        </is>
      </c>
      <c r="C1251" s="23" t="inlineStr">
        <is>
          <t>Depot: mainline dynamic test - inspection</t>
        </is>
      </c>
      <c r="D1251" s="23" t="inlineStr">
        <is>
          <t>WBS Code = 1.5.2</t>
        </is>
      </c>
      <c r="E1251" s="23" t="inlineStr">
        <is>
          <t>R828-v2</t>
        </is>
      </c>
      <c r="F1251" s="23" t="inlineStr">
        <is>
          <t>1.5.2 Testing and Commissioning - Dynamic Testing</t>
        </is>
      </c>
      <c r="G1251" s="23" t="inlineStr">
        <is>
          <t>ONE_TO_ONE</t>
        </is>
      </c>
      <c r="H1251" s="23" t="inlineStr">
        <is>
          <t>RETAINED</t>
        </is>
      </c>
      <c r="I1251" s="23" t="inlineStr">
        <is>
          <t>Carried forward</t>
        </is>
      </c>
      <c r="J1251" s="23" t="inlineStr">
        <is>
          <t>Source assignment -- not individually reviewed</t>
        </is>
      </c>
      <c r="K1251" s="23" t="inlineStr"/>
      <c r="L1251" s="23" t="inlineStr"/>
      <c r="M1251" s="23" t="inlineStr"/>
      <c r="N1251" s="14" t="inlineStr">
        <is>
          <t>10 EVIDENCE &amp; DECISIONS</t>
        </is>
      </c>
    </row>
    <row r="1252" ht="34" customHeight="1">
      <c r="A1252" s="23" t="inlineStr">
        <is>
          <t>Contractor Programme</t>
        </is>
      </c>
      <c r="B1252" s="23" t="inlineStr">
        <is>
          <t>SCH-05-111</t>
        </is>
      </c>
      <c r="C1252" s="23" t="inlineStr">
        <is>
          <t>Central section: station integrated test - field start</t>
        </is>
      </c>
      <c r="D1252" s="23" t="inlineStr">
        <is>
          <t>WBS Code = 1.5.2</t>
        </is>
      </c>
      <c r="E1252" s="23" t="inlineStr">
        <is>
          <t>R831-v2</t>
        </is>
      </c>
      <c r="F1252" s="23" t="inlineStr">
        <is>
          <t>1.5.2 Testing and Commissioning - Dynamic Testing</t>
        </is>
      </c>
      <c r="G1252" s="23" t="inlineStr">
        <is>
          <t>ONE_TO_ONE</t>
        </is>
      </c>
      <c r="H1252" s="23" t="inlineStr">
        <is>
          <t>RETAINED</t>
        </is>
      </c>
      <c r="I1252" s="23" t="inlineStr">
        <is>
          <t>Carried forward</t>
        </is>
      </c>
      <c r="J1252" s="23" t="inlineStr">
        <is>
          <t>Source assignment -- not individually reviewed</t>
        </is>
      </c>
      <c r="K1252" s="23" t="inlineStr"/>
      <c r="L1252" s="23" t="inlineStr"/>
      <c r="M1252" s="23" t="inlineStr"/>
      <c r="N1252" s="14" t="inlineStr">
        <is>
          <t>10 EVIDENCE &amp; DECISIONS</t>
        </is>
      </c>
    </row>
    <row r="1253" ht="34" customHeight="1">
      <c r="A1253" s="23" t="inlineStr">
        <is>
          <t>Contractor Programme</t>
        </is>
      </c>
      <c r="B1253" s="23" t="inlineStr">
        <is>
          <t>SCH-05-114</t>
        </is>
      </c>
      <c r="C1253" s="23" t="inlineStr">
        <is>
          <t>Control Centre: emergency-response drill - turnover</t>
        </is>
      </c>
      <c r="D1253" s="23" t="inlineStr">
        <is>
          <t>WBS Code = 1.5.2</t>
        </is>
      </c>
      <c r="E1253" s="23" t="inlineStr">
        <is>
          <t>R834-v2</t>
        </is>
      </c>
      <c r="F1253" s="23" t="inlineStr">
        <is>
          <t>1.5.2 Testing and Commissioning - Dynamic Testing</t>
        </is>
      </c>
      <c r="G1253" s="23" t="inlineStr">
        <is>
          <t>ONE_TO_ONE</t>
        </is>
      </c>
      <c r="H1253" s="23" t="inlineStr">
        <is>
          <t>RETAINED</t>
        </is>
      </c>
      <c r="I1253" s="23" t="inlineStr">
        <is>
          <t>Carried forward</t>
        </is>
      </c>
      <c r="J1253" s="23" t="inlineStr">
        <is>
          <t>Source assignment -- not individually reviewed</t>
        </is>
      </c>
      <c r="K1253" s="23" t="inlineStr"/>
      <c r="L1253" s="23" t="inlineStr"/>
      <c r="M1253" s="23" t="inlineStr"/>
      <c r="N1253" s="14" t="inlineStr">
        <is>
          <t>10 EVIDENCE &amp; DECISIONS</t>
        </is>
      </c>
    </row>
    <row r="1254" ht="34" customHeight="1">
      <c r="A1254" s="23" t="inlineStr">
        <is>
          <t>Contractor Programme</t>
        </is>
      </c>
      <c r="B1254" s="23" t="inlineStr">
        <is>
          <t>SCH-05-117</t>
        </is>
      </c>
      <c r="C1254" s="23" t="inlineStr">
        <is>
          <t>West terminal: safety certificate evidence closeout - installation</t>
        </is>
      </c>
      <c r="D1254" s="23" t="inlineStr">
        <is>
          <t>WBS Code = 1.5.2</t>
        </is>
      </c>
      <c r="E1254" s="23" t="inlineStr">
        <is>
          <t>R837-v2</t>
        </is>
      </c>
      <c r="F1254" s="23" t="inlineStr">
        <is>
          <t>1.5.2 Testing and Commissioning - Dynamic Testing</t>
        </is>
      </c>
      <c r="G1254" s="23" t="inlineStr">
        <is>
          <t>ONE_TO_ONE</t>
        </is>
      </c>
      <c r="H1254" s="23" t="inlineStr">
        <is>
          <t>RETAINED</t>
        </is>
      </c>
      <c r="I1254" s="23" t="inlineStr">
        <is>
          <t>Carried forward</t>
        </is>
      </c>
      <c r="J1254" s="23" t="inlineStr">
        <is>
          <t>Source assignment -- not individually reviewed</t>
        </is>
      </c>
      <c r="K1254" s="23" t="inlineStr"/>
      <c r="L1254" s="23" t="inlineStr"/>
      <c r="M1254" s="23" t="inlineStr"/>
      <c r="N1254" s="14" t="inlineStr">
        <is>
          <t>10 EVIDENCE &amp; DECISIONS</t>
        </is>
      </c>
    </row>
    <row r="1255" ht="34" customHeight="1">
      <c r="A1255" s="23" t="inlineStr">
        <is>
          <t>Contractor Programme</t>
        </is>
      </c>
      <c r="B1255" s="23" t="inlineStr">
        <is>
          <t>SCH-05-120</t>
        </is>
      </c>
      <c r="C1255" s="23" t="inlineStr">
        <is>
          <t>Mainline east: trial-running shift - release</t>
        </is>
      </c>
      <c r="D1255" s="23" t="inlineStr">
        <is>
          <t>WBS Code = 1.5.2</t>
        </is>
      </c>
      <c r="E1255" s="23" t="inlineStr">
        <is>
          <t>R840-v2</t>
        </is>
      </c>
      <c r="F1255" s="23" t="inlineStr">
        <is>
          <t>1.5.2 Testing and Commissioning - Dynamic Testing</t>
        </is>
      </c>
      <c r="G1255" s="23" t="inlineStr">
        <is>
          <t>ONE_TO_ONE</t>
        </is>
      </c>
      <c r="H1255" s="23" t="inlineStr">
        <is>
          <t>RETAINED</t>
        </is>
      </c>
      <c r="I1255" s="23" t="inlineStr">
        <is>
          <t>Carried forward</t>
        </is>
      </c>
      <c r="J1255" s="23" t="inlineStr">
        <is>
          <t>Source assignment -- not individually reviewed</t>
        </is>
      </c>
      <c r="K1255" s="23" t="inlineStr"/>
      <c r="L1255" s="23" t="inlineStr"/>
      <c r="M1255" s="23" t="inlineStr"/>
      <c r="N1255" s="14" t="inlineStr">
        <is>
          <t>10 EVIDENCE &amp; DECISIONS</t>
        </is>
      </c>
    </row>
    <row r="1256" ht="34" customHeight="1">
      <c r="A1256" s="23" t="inlineStr">
        <is>
          <t>Contractor Programme</t>
        </is>
      </c>
      <c r="B1256" s="23" t="inlineStr">
        <is>
          <t>SCH-05-123</t>
        </is>
      </c>
      <c r="C1256" s="23" t="inlineStr">
        <is>
          <t>Depot: defect retest - inspection</t>
        </is>
      </c>
      <c r="D1256" s="23" t="inlineStr">
        <is>
          <t>WBS Code = 1.5.2</t>
        </is>
      </c>
      <c r="E1256" s="23" t="inlineStr">
        <is>
          <t>R843-v2</t>
        </is>
      </c>
      <c r="F1256" s="23" t="inlineStr">
        <is>
          <t>1.5.2 Testing and Commissioning - Dynamic Testing</t>
        </is>
      </c>
      <c r="G1256" s="23" t="inlineStr">
        <is>
          <t>ONE_TO_ONE</t>
        </is>
      </c>
      <c r="H1256" s="23" t="inlineStr">
        <is>
          <t>RETAINED</t>
        </is>
      </c>
      <c r="I1256" s="23" t="inlineStr">
        <is>
          <t>Carried forward</t>
        </is>
      </c>
      <c r="J1256" s="23" t="inlineStr">
        <is>
          <t>Source assignment -- not individually reviewed</t>
        </is>
      </c>
      <c r="K1256" s="23" t="inlineStr"/>
      <c r="L1256" s="23" t="inlineStr"/>
      <c r="M1256" s="23" t="inlineStr"/>
      <c r="N1256" s="14" t="inlineStr">
        <is>
          <t>10 EVIDENCE &amp; DECISIONS</t>
        </is>
      </c>
    </row>
    <row r="1257" ht="34" customHeight="1">
      <c r="A1257" s="23" t="inlineStr">
        <is>
          <t>Contractor Programme</t>
        </is>
      </c>
      <c r="B1257" s="23" t="inlineStr">
        <is>
          <t>SCH-05-126</t>
        </is>
      </c>
      <c r="C1257" s="23" t="inlineStr">
        <is>
          <t>Central section: service-readiness review - field start</t>
        </is>
      </c>
      <c r="D1257" s="23" t="inlineStr">
        <is>
          <t>WBS Code = 1.5.2</t>
        </is>
      </c>
      <c r="E1257" s="23" t="inlineStr">
        <is>
          <t>R846-v2</t>
        </is>
      </c>
      <c r="F1257" s="23" t="inlineStr">
        <is>
          <t>1.5.2 Testing and Commissioning - Dynamic Testing</t>
        </is>
      </c>
      <c r="G1257" s="23" t="inlineStr">
        <is>
          <t>ONE_TO_ONE</t>
        </is>
      </c>
      <c r="H1257" s="23" t="inlineStr">
        <is>
          <t>RETAINED</t>
        </is>
      </c>
      <c r="I1257" s="23" t="inlineStr">
        <is>
          <t>Carried forward</t>
        </is>
      </c>
      <c r="J1257" s="23" t="inlineStr">
        <is>
          <t>Source assignment -- not individually reviewed</t>
        </is>
      </c>
      <c r="K1257" s="23" t="inlineStr"/>
      <c r="L1257" s="23" t="inlineStr"/>
      <c r="M1257" s="23" t="inlineStr"/>
      <c r="N1257" s="14" t="inlineStr">
        <is>
          <t>10 EVIDENCE &amp; DECISIONS</t>
        </is>
      </c>
    </row>
    <row r="1258" ht="34" customHeight="1">
      <c r="A1258" s="23" t="inlineStr">
        <is>
          <t>Contractor Programme</t>
        </is>
      </c>
      <c r="B1258" s="23" t="inlineStr">
        <is>
          <t>SCH-05-129</t>
        </is>
      </c>
      <c r="C1258" s="23" t="inlineStr">
        <is>
          <t>Control Centre: test procedure readiness review - turnover</t>
        </is>
      </c>
      <c r="D1258" s="23" t="inlineStr">
        <is>
          <t>WBS Code = 1.5.2</t>
        </is>
      </c>
      <c r="E1258" s="23" t="inlineStr">
        <is>
          <t>R849-v2</t>
        </is>
      </c>
      <c r="F1258" s="23" t="inlineStr">
        <is>
          <t>1.5.2 Testing and Commissioning - Dynamic Testing</t>
        </is>
      </c>
      <c r="G1258" s="23" t="inlineStr">
        <is>
          <t>ONE_TO_ONE</t>
        </is>
      </c>
      <c r="H1258" s="23" t="inlineStr">
        <is>
          <t>RETAINED</t>
        </is>
      </c>
      <c r="I1258" s="23" t="inlineStr">
        <is>
          <t>Carried forward</t>
        </is>
      </c>
      <c r="J1258" s="23" t="inlineStr">
        <is>
          <t>Source assignment -- not individually reviewed</t>
        </is>
      </c>
      <c r="K1258" s="23" t="inlineStr"/>
      <c r="L1258" s="23" t="inlineStr"/>
      <c r="M1258" s="23" t="inlineStr"/>
      <c r="N1258" s="14" t="inlineStr">
        <is>
          <t>10 EVIDENCE &amp; DECISIONS</t>
        </is>
      </c>
    </row>
    <row r="1259" ht="34" customHeight="1">
      <c r="A1259" s="23" t="inlineStr">
        <is>
          <t>Contractor Programme</t>
        </is>
      </c>
      <c r="B1259" s="23" t="inlineStr">
        <is>
          <t>SCH-05-132</t>
        </is>
      </c>
      <c r="C1259" s="23" t="inlineStr">
        <is>
          <t>West terminal: mainline dynamic test - installation</t>
        </is>
      </c>
      <c r="D1259" s="23" t="inlineStr">
        <is>
          <t>WBS Code = 1.5.2</t>
        </is>
      </c>
      <c r="E1259" s="23" t="inlineStr">
        <is>
          <t>R852-v2</t>
        </is>
      </c>
      <c r="F1259" s="23" t="inlineStr">
        <is>
          <t>1.5.2 Testing and Commissioning - Dynamic Testing</t>
        </is>
      </c>
      <c r="G1259" s="23" t="inlineStr">
        <is>
          <t>ONE_TO_ONE</t>
        </is>
      </c>
      <c r="H1259" s="23" t="inlineStr">
        <is>
          <t>RETAINED</t>
        </is>
      </c>
      <c r="I1259" s="23" t="inlineStr">
        <is>
          <t>Carried forward</t>
        </is>
      </c>
      <c r="J1259" s="23" t="inlineStr">
        <is>
          <t>Source assignment -- not individually reviewed</t>
        </is>
      </c>
      <c r="K1259" s="23" t="inlineStr"/>
      <c r="L1259" s="23" t="inlineStr"/>
      <c r="M1259" s="23" t="inlineStr"/>
      <c r="N1259" s="14" t="inlineStr">
        <is>
          <t>10 EVIDENCE &amp; DECISIONS</t>
        </is>
      </c>
    </row>
    <row r="1260" ht="34" customHeight="1">
      <c r="A1260" s="23" t="inlineStr">
        <is>
          <t>Contractor Programme</t>
        </is>
      </c>
      <c r="B1260" s="23" t="inlineStr">
        <is>
          <t>SCH-05-135</t>
        </is>
      </c>
      <c r="C1260" s="23" t="inlineStr">
        <is>
          <t>Mainline east: station integrated test - release</t>
        </is>
      </c>
      <c r="D1260" s="23" t="inlineStr">
        <is>
          <t>WBS Code = 1.5.2</t>
        </is>
      </c>
      <c r="E1260" s="23" t="inlineStr">
        <is>
          <t>R855-v2</t>
        </is>
      </c>
      <c r="F1260" s="23" t="inlineStr">
        <is>
          <t>1.5.2 Testing and Commissioning - Dynamic Testing</t>
        </is>
      </c>
      <c r="G1260" s="23" t="inlineStr">
        <is>
          <t>ONE_TO_ONE</t>
        </is>
      </c>
      <c r="H1260" s="23" t="inlineStr">
        <is>
          <t>RETAINED</t>
        </is>
      </c>
      <c r="I1260" s="23" t="inlineStr">
        <is>
          <t>Carried forward</t>
        </is>
      </c>
      <c r="J1260" s="23" t="inlineStr">
        <is>
          <t>Source assignment -- not individually reviewed</t>
        </is>
      </c>
      <c r="K1260" s="23" t="inlineStr"/>
      <c r="L1260" s="23" t="inlineStr"/>
      <c r="M1260" s="23" t="inlineStr"/>
      <c r="N1260" s="14" t="inlineStr">
        <is>
          <t>10 EVIDENCE &amp; DECISIONS</t>
        </is>
      </c>
    </row>
    <row r="1261" ht="34" customHeight="1">
      <c r="A1261" s="23" t="inlineStr">
        <is>
          <t>Contractor Programme</t>
        </is>
      </c>
      <c r="B1261" s="23" t="inlineStr">
        <is>
          <t>SCH-05-138</t>
        </is>
      </c>
      <c r="C1261" s="23" t="inlineStr">
        <is>
          <t>Depot: emergency-response drill - inspection</t>
        </is>
      </c>
      <c r="D1261" s="23" t="inlineStr">
        <is>
          <t>WBS Code = 1.5.2</t>
        </is>
      </c>
      <c r="E1261" s="23" t="inlineStr">
        <is>
          <t>R858-v2</t>
        </is>
      </c>
      <c r="F1261" s="23" t="inlineStr">
        <is>
          <t>1.5.2 Testing and Commissioning - Dynamic Testing</t>
        </is>
      </c>
      <c r="G1261" s="23" t="inlineStr">
        <is>
          <t>ONE_TO_ONE</t>
        </is>
      </c>
      <c r="H1261" s="23" t="inlineStr">
        <is>
          <t>RETAINED</t>
        </is>
      </c>
      <c r="I1261" s="23" t="inlineStr">
        <is>
          <t>Carried forward</t>
        </is>
      </c>
      <c r="J1261" s="23" t="inlineStr">
        <is>
          <t>Source assignment -- not individually reviewed</t>
        </is>
      </c>
      <c r="K1261" s="23" t="inlineStr"/>
      <c r="L1261" s="23" t="inlineStr"/>
      <c r="M1261" s="23" t="inlineStr"/>
      <c r="N1261" s="14" t="inlineStr">
        <is>
          <t>10 EVIDENCE &amp; DECISIONS</t>
        </is>
      </c>
    </row>
    <row r="1262" ht="34" customHeight="1">
      <c r="A1262" s="23" t="inlineStr">
        <is>
          <t>Contractor Programme</t>
        </is>
      </c>
      <c r="B1262" s="23" t="inlineStr">
        <is>
          <t>SCH-05-141</t>
        </is>
      </c>
      <c r="C1262" s="23" t="inlineStr">
        <is>
          <t>Central section: safety certificate evidence closeout - field start</t>
        </is>
      </c>
      <c r="D1262" s="23" t="inlineStr">
        <is>
          <t>WBS Code = 1.5.2</t>
        </is>
      </c>
      <c r="E1262" s="23" t="inlineStr">
        <is>
          <t>R861-v2</t>
        </is>
      </c>
      <c r="F1262" s="23" t="inlineStr">
        <is>
          <t>1.5.2 Testing and Commissioning - Dynamic Testing</t>
        </is>
      </c>
      <c r="G1262" s="23" t="inlineStr">
        <is>
          <t>ONE_TO_ONE</t>
        </is>
      </c>
      <c r="H1262" s="23" t="inlineStr">
        <is>
          <t>RETAINED</t>
        </is>
      </c>
      <c r="I1262" s="23" t="inlineStr">
        <is>
          <t>Carried forward</t>
        </is>
      </c>
      <c r="J1262" s="23" t="inlineStr">
        <is>
          <t>Source assignment -- not individually reviewed</t>
        </is>
      </c>
      <c r="K1262" s="23" t="inlineStr"/>
      <c r="L1262" s="23" t="inlineStr"/>
      <c r="M1262" s="23" t="inlineStr"/>
      <c r="N1262" s="14" t="inlineStr">
        <is>
          <t>10 EVIDENCE &amp; DECISIONS</t>
        </is>
      </c>
    </row>
    <row r="1263" ht="34" customHeight="1">
      <c r="A1263" s="23" t="inlineStr">
        <is>
          <t>Contractor Programme</t>
        </is>
      </c>
      <c r="B1263" s="23" t="inlineStr">
        <is>
          <t>SCH-05-144</t>
        </is>
      </c>
      <c r="C1263" s="23" t="inlineStr">
        <is>
          <t>Control Centre: trial-running shift - turnover</t>
        </is>
      </c>
      <c r="D1263" s="23" t="inlineStr">
        <is>
          <t>WBS Code = 1.5.2</t>
        </is>
      </c>
      <c r="E1263" s="23" t="inlineStr">
        <is>
          <t>R864-v2</t>
        </is>
      </c>
      <c r="F1263" s="23" t="inlineStr">
        <is>
          <t>1.5.2 Testing and Commissioning - Dynamic Testing</t>
        </is>
      </c>
      <c r="G1263" s="23" t="inlineStr">
        <is>
          <t>ONE_TO_ONE</t>
        </is>
      </c>
      <c r="H1263" s="23" t="inlineStr">
        <is>
          <t>RETAINED</t>
        </is>
      </c>
      <c r="I1263" s="23" t="inlineStr">
        <is>
          <t>Carried forward</t>
        </is>
      </c>
      <c r="J1263" s="23" t="inlineStr">
        <is>
          <t>Source assignment -- not individually reviewed</t>
        </is>
      </c>
      <c r="K1263" s="23" t="inlineStr"/>
      <c r="L1263" s="23" t="inlineStr"/>
      <c r="M1263" s="23" t="inlineStr"/>
      <c r="N1263" s="14" t="inlineStr">
        <is>
          <t>10 EVIDENCE &amp; DECISIONS</t>
        </is>
      </c>
    </row>
    <row r="1264" ht="34" customHeight="1">
      <c r="A1264" s="23" t="inlineStr">
        <is>
          <t>Contractor Programme</t>
        </is>
      </c>
      <c r="B1264" s="23" t="inlineStr">
        <is>
          <t>SCH-05-147</t>
        </is>
      </c>
      <c r="C1264" s="23" t="inlineStr">
        <is>
          <t>West terminal: defect retest - installation</t>
        </is>
      </c>
      <c r="D1264" s="23" t="inlineStr">
        <is>
          <t>WBS Code = 1.5.2</t>
        </is>
      </c>
      <c r="E1264" s="23" t="inlineStr">
        <is>
          <t>R867-v2</t>
        </is>
      </c>
      <c r="F1264" s="23" t="inlineStr">
        <is>
          <t>1.5.2 Testing and Commissioning - Dynamic Testing</t>
        </is>
      </c>
      <c r="G1264" s="23" t="inlineStr">
        <is>
          <t>ONE_TO_ONE</t>
        </is>
      </c>
      <c r="H1264" s="23" t="inlineStr">
        <is>
          <t>RETAINED</t>
        </is>
      </c>
      <c r="I1264" s="23" t="inlineStr">
        <is>
          <t>Carried forward</t>
        </is>
      </c>
      <c r="J1264" s="23" t="inlineStr">
        <is>
          <t>Source assignment -- not individually reviewed</t>
        </is>
      </c>
      <c r="K1264" s="23" t="inlineStr"/>
      <c r="L1264" s="23" t="inlineStr"/>
      <c r="M1264" s="23" t="inlineStr"/>
      <c r="N1264" s="14" t="inlineStr">
        <is>
          <t>10 EVIDENCE &amp; DECISIONS</t>
        </is>
      </c>
    </row>
    <row r="1265" ht="34" customHeight="1">
      <c r="A1265" s="23" t="inlineStr">
        <is>
          <t>Contractor Programme</t>
        </is>
      </c>
      <c r="B1265" s="23" t="inlineStr">
        <is>
          <t>SCH-05-150</t>
        </is>
      </c>
      <c r="C1265" s="23" t="inlineStr">
        <is>
          <t>Mainline east: service-readiness review - release</t>
        </is>
      </c>
      <c r="D1265" s="23" t="inlineStr">
        <is>
          <t>WBS Code = 1.5.2</t>
        </is>
      </c>
      <c r="E1265" s="23" t="inlineStr">
        <is>
          <t>R870-v2</t>
        </is>
      </c>
      <c r="F1265" s="23" t="inlineStr">
        <is>
          <t>1.5.2 Testing and Commissioning - Dynamic Testing</t>
        </is>
      </c>
      <c r="G1265" s="23" t="inlineStr">
        <is>
          <t>ONE_TO_ONE</t>
        </is>
      </c>
      <c r="H1265" s="23" t="inlineStr">
        <is>
          <t>RETAINED</t>
        </is>
      </c>
      <c r="I1265" s="23" t="inlineStr">
        <is>
          <t>Carried forward</t>
        </is>
      </c>
      <c r="J1265" s="23" t="inlineStr">
        <is>
          <t>Source assignment -- not individually reviewed</t>
        </is>
      </c>
      <c r="K1265" s="23" t="inlineStr"/>
      <c r="L1265" s="23" t="inlineStr"/>
      <c r="M1265" s="23" t="inlineStr"/>
      <c r="N1265" s="14" t="inlineStr">
        <is>
          <t>10 EVIDENCE &amp; DECISIONS</t>
        </is>
      </c>
    </row>
    <row r="1266" ht="34" customHeight="1">
      <c r="A1266" s="23" t="inlineStr">
        <is>
          <t>Contractor Programme</t>
        </is>
      </c>
      <c r="B1266" s="23" t="inlineStr">
        <is>
          <t>SCH-05-153</t>
        </is>
      </c>
      <c r="C1266" s="23" t="inlineStr">
        <is>
          <t>Depot: test procedure readiness review - inspection</t>
        </is>
      </c>
      <c r="D1266" s="23" t="inlineStr">
        <is>
          <t>WBS Code = 1.5.2</t>
        </is>
      </c>
      <c r="E1266" s="23" t="inlineStr">
        <is>
          <t>R873-v2</t>
        </is>
      </c>
      <c r="F1266" s="23" t="inlineStr">
        <is>
          <t>1.5.2 Testing and Commissioning - Dynamic Testing</t>
        </is>
      </c>
      <c r="G1266" s="23" t="inlineStr">
        <is>
          <t>ONE_TO_ONE</t>
        </is>
      </c>
      <c r="H1266" s="23" t="inlineStr">
        <is>
          <t>RETAINED</t>
        </is>
      </c>
      <c r="I1266" s="23" t="inlineStr">
        <is>
          <t>Carried forward</t>
        </is>
      </c>
      <c r="J1266" s="23" t="inlineStr">
        <is>
          <t>Source assignment -- not individually reviewed</t>
        </is>
      </c>
      <c r="K1266" s="23" t="inlineStr"/>
      <c r="L1266" s="23" t="inlineStr"/>
      <c r="M1266" s="23" t="inlineStr"/>
      <c r="N1266" s="14" t="inlineStr">
        <is>
          <t>10 EVIDENCE &amp; DECISIONS</t>
        </is>
      </c>
    </row>
    <row r="1267" ht="34" customHeight="1">
      <c r="A1267" s="23" t="inlineStr">
        <is>
          <t>Contractor Programme</t>
        </is>
      </c>
      <c r="B1267" s="23" t="inlineStr">
        <is>
          <t>SCH-05-156</t>
        </is>
      </c>
      <c r="C1267" s="23" t="inlineStr">
        <is>
          <t>Central section: mainline dynamic test - field start</t>
        </is>
      </c>
      <c r="D1267" s="23" t="inlineStr">
        <is>
          <t>WBS Code = 1.5.2</t>
        </is>
      </c>
      <c r="E1267" s="23" t="inlineStr">
        <is>
          <t>R876-v2</t>
        </is>
      </c>
      <c r="F1267" s="23" t="inlineStr">
        <is>
          <t>1.5.2 Testing and Commissioning - Dynamic Testing</t>
        </is>
      </c>
      <c r="G1267" s="23" t="inlineStr">
        <is>
          <t>ONE_TO_ONE</t>
        </is>
      </c>
      <c r="H1267" s="23" t="inlineStr">
        <is>
          <t>RETAINED</t>
        </is>
      </c>
      <c r="I1267" s="23" t="inlineStr">
        <is>
          <t>Carried forward</t>
        </is>
      </c>
      <c r="J1267" s="23" t="inlineStr">
        <is>
          <t>Source assignment -- not individually reviewed</t>
        </is>
      </c>
      <c r="K1267" s="23" t="inlineStr"/>
      <c r="L1267" s="23" t="inlineStr"/>
      <c r="M1267" s="23" t="inlineStr"/>
      <c r="N1267" s="14" t="inlineStr">
        <is>
          <t>10 EVIDENCE &amp; DECISIONS</t>
        </is>
      </c>
    </row>
    <row r="1268" ht="34" customHeight="1">
      <c r="A1268" s="23" t="inlineStr">
        <is>
          <t>Contractor Programme</t>
        </is>
      </c>
      <c r="B1268" s="23" t="inlineStr">
        <is>
          <t>SCH-05-159</t>
        </is>
      </c>
      <c r="C1268" s="23" t="inlineStr">
        <is>
          <t>Control Centre: station integrated test - turnover</t>
        </is>
      </c>
      <c r="D1268" s="23" t="inlineStr">
        <is>
          <t>WBS Code = 1.5.2</t>
        </is>
      </c>
      <c r="E1268" s="23" t="inlineStr">
        <is>
          <t>R879-v2</t>
        </is>
      </c>
      <c r="F1268" s="23" t="inlineStr">
        <is>
          <t>1.5.2 Testing and Commissioning - Dynamic Testing</t>
        </is>
      </c>
      <c r="G1268" s="23" t="inlineStr">
        <is>
          <t>ONE_TO_ONE</t>
        </is>
      </c>
      <c r="H1268" s="23" t="inlineStr">
        <is>
          <t>RETAINED</t>
        </is>
      </c>
      <c r="I1268" s="23" t="inlineStr">
        <is>
          <t>Carried forward</t>
        </is>
      </c>
      <c r="J1268" s="23" t="inlineStr">
        <is>
          <t>Source assignment -- not individually reviewed</t>
        </is>
      </c>
      <c r="K1268" s="23" t="inlineStr"/>
      <c r="L1268" s="23" t="inlineStr"/>
      <c r="M1268" s="23" t="inlineStr"/>
      <c r="N1268" s="14" t="inlineStr">
        <is>
          <t>10 EVIDENCE &amp; DECISIONS</t>
        </is>
      </c>
    </row>
    <row r="1269" ht="34" customHeight="1">
      <c r="A1269" s="23" t="inlineStr">
        <is>
          <t>Contractor Programme</t>
        </is>
      </c>
      <c r="B1269" s="23" t="inlineStr">
        <is>
          <t>SCH-05-162</t>
        </is>
      </c>
      <c r="C1269" s="23" t="inlineStr">
        <is>
          <t>West terminal: emergency-response drill - installation</t>
        </is>
      </c>
      <c r="D1269" s="23" t="inlineStr">
        <is>
          <t>WBS Code = 1.5.2</t>
        </is>
      </c>
      <c r="E1269" s="23" t="inlineStr">
        <is>
          <t>R882-v2</t>
        </is>
      </c>
      <c r="F1269" s="23" t="inlineStr">
        <is>
          <t>1.5.2 Testing and Commissioning - Dynamic Testing</t>
        </is>
      </c>
      <c r="G1269" s="23" t="inlineStr">
        <is>
          <t>ONE_TO_ONE</t>
        </is>
      </c>
      <c r="H1269" s="23" t="inlineStr">
        <is>
          <t>RETAINED</t>
        </is>
      </c>
      <c r="I1269" s="23" t="inlineStr">
        <is>
          <t>Carried forward</t>
        </is>
      </c>
      <c r="J1269" s="23" t="inlineStr">
        <is>
          <t>Source assignment -- not individually reviewed</t>
        </is>
      </c>
      <c r="K1269" s="23" t="inlineStr"/>
      <c r="L1269" s="23" t="inlineStr"/>
      <c r="M1269" s="23" t="inlineStr"/>
      <c r="N1269" s="14" t="inlineStr">
        <is>
          <t>10 EVIDENCE &amp; DECISIONS</t>
        </is>
      </c>
    </row>
    <row r="1270" ht="34" customHeight="1">
      <c r="A1270" s="23" t="inlineStr">
        <is>
          <t>Contractor Programme</t>
        </is>
      </c>
      <c r="B1270" s="23" t="inlineStr">
        <is>
          <t>SCH-05-165</t>
        </is>
      </c>
      <c r="C1270" s="23" t="inlineStr">
        <is>
          <t>Mainline east: safety certificate evidence closeout - release</t>
        </is>
      </c>
      <c r="D1270" s="23" t="inlineStr">
        <is>
          <t>WBS Code = 1.5.2</t>
        </is>
      </c>
      <c r="E1270" s="23" t="inlineStr">
        <is>
          <t>R885-v2</t>
        </is>
      </c>
      <c r="F1270" s="23" t="inlineStr">
        <is>
          <t>1.5.2 Testing and Commissioning - Dynamic Testing</t>
        </is>
      </c>
      <c r="G1270" s="23" t="inlineStr">
        <is>
          <t>ONE_TO_ONE</t>
        </is>
      </c>
      <c r="H1270" s="23" t="inlineStr">
        <is>
          <t>RETAINED</t>
        </is>
      </c>
      <c r="I1270" s="23" t="inlineStr">
        <is>
          <t>Carried forward</t>
        </is>
      </c>
      <c r="J1270" s="23" t="inlineStr">
        <is>
          <t>Source assignment -- not individually reviewed</t>
        </is>
      </c>
      <c r="K1270" s="23" t="inlineStr"/>
      <c r="L1270" s="23" t="inlineStr"/>
      <c r="M1270" s="23" t="inlineStr"/>
      <c r="N1270" s="14" t="inlineStr">
        <is>
          <t>10 EVIDENCE &amp; DECISIONS</t>
        </is>
      </c>
    </row>
    <row r="1271" ht="34" customHeight="1">
      <c r="A1271" s="23" t="inlineStr">
        <is>
          <t>Contractor Programme</t>
        </is>
      </c>
      <c r="B1271" s="23" t="inlineStr">
        <is>
          <t>SCH-05-168</t>
        </is>
      </c>
      <c r="C1271" s="23" t="inlineStr">
        <is>
          <t>Depot: trial-running shift - inspection</t>
        </is>
      </c>
      <c r="D1271" s="23" t="inlineStr">
        <is>
          <t>WBS Code = 1.5.2</t>
        </is>
      </c>
      <c r="E1271" s="23" t="inlineStr">
        <is>
          <t>R888-v2</t>
        </is>
      </c>
      <c r="F1271" s="23" t="inlineStr">
        <is>
          <t>1.5.2 Testing and Commissioning - Dynamic Testing</t>
        </is>
      </c>
      <c r="G1271" s="23" t="inlineStr">
        <is>
          <t>ONE_TO_ONE</t>
        </is>
      </c>
      <c r="H1271" s="23" t="inlineStr">
        <is>
          <t>RETAINED</t>
        </is>
      </c>
      <c r="I1271" s="23" t="inlineStr">
        <is>
          <t>Carried forward</t>
        </is>
      </c>
      <c r="J1271" s="23" t="inlineStr">
        <is>
          <t>Source assignment -- not individually reviewed</t>
        </is>
      </c>
      <c r="K1271" s="23" t="inlineStr"/>
      <c r="L1271" s="23" t="inlineStr"/>
      <c r="M1271" s="23" t="inlineStr"/>
      <c r="N1271" s="14" t="inlineStr">
        <is>
          <t>10 EVIDENCE &amp; DECISIONS</t>
        </is>
      </c>
    </row>
    <row r="1272" ht="34" customHeight="1">
      <c r="A1272" s="23" t="inlineStr">
        <is>
          <t>Contractor Programme</t>
        </is>
      </c>
      <c r="B1272" s="23" t="inlineStr">
        <is>
          <t>SCH-05-171</t>
        </is>
      </c>
      <c r="C1272" s="23" t="inlineStr">
        <is>
          <t>Central section: defect retest - field start</t>
        </is>
      </c>
      <c r="D1272" s="23" t="inlineStr">
        <is>
          <t>WBS Code = 1.5.2</t>
        </is>
      </c>
      <c r="E1272" s="23" t="inlineStr">
        <is>
          <t>R891-v2</t>
        </is>
      </c>
      <c r="F1272" s="23" t="inlineStr">
        <is>
          <t>1.5.2 Testing and Commissioning - Dynamic Testing</t>
        </is>
      </c>
      <c r="G1272" s="23" t="inlineStr">
        <is>
          <t>ONE_TO_ONE</t>
        </is>
      </c>
      <c r="H1272" s="23" t="inlineStr">
        <is>
          <t>RETAINED</t>
        </is>
      </c>
      <c r="I1272" s="23" t="inlineStr">
        <is>
          <t>Carried forward</t>
        </is>
      </c>
      <c r="J1272" s="23" t="inlineStr">
        <is>
          <t>Source assignment -- not individually reviewed</t>
        </is>
      </c>
      <c r="K1272" s="23" t="inlineStr"/>
      <c r="L1272" s="23" t="inlineStr"/>
      <c r="M1272" s="23" t="inlineStr"/>
      <c r="N1272" s="14" t="inlineStr">
        <is>
          <t>10 EVIDENCE &amp; DECISIONS</t>
        </is>
      </c>
    </row>
    <row r="1273" ht="34" customHeight="1">
      <c r="A1273" s="23" t="inlineStr">
        <is>
          <t>Contractor Programme</t>
        </is>
      </c>
      <c r="B1273" s="23" t="inlineStr">
        <is>
          <t>SCH-05-174</t>
        </is>
      </c>
      <c r="C1273" s="23" t="inlineStr">
        <is>
          <t>Control Centre: service-readiness review - turnover</t>
        </is>
      </c>
      <c r="D1273" s="23" t="inlineStr">
        <is>
          <t>WBS Code = 1.5.2</t>
        </is>
      </c>
      <c r="E1273" s="23" t="inlineStr">
        <is>
          <t>R894-v2</t>
        </is>
      </c>
      <c r="F1273" s="23" t="inlineStr">
        <is>
          <t>1.5.2 Testing and Commissioning - Dynamic Testing</t>
        </is>
      </c>
      <c r="G1273" s="23" t="inlineStr">
        <is>
          <t>ONE_TO_ONE</t>
        </is>
      </c>
      <c r="H1273" s="23" t="inlineStr">
        <is>
          <t>RETAINED</t>
        </is>
      </c>
      <c r="I1273" s="23" t="inlineStr">
        <is>
          <t>Carried forward</t>
        </is>
      </c>
      <c r="J1273" s="23" t="inlineStr">
        <is>
          <t>Source assignment -- not individually reviewed</t>
        </is>
      </c>
      <c r="K1273" s="23" t="inlineStr"/>
      <c r="L1273" s="23" t="inlineStr"/>
      <c r="M1273" s="23" t="inlineStr"/>
      <c r="N1273" s="14" t="inlineStr">
        <is>
          <t>10 EVIDENCE &amp; DECISIONS</t>
        </is>
      </c>
    </row>
    <row r="1274" ht="34" customHeight="1">
      <c r="A1274" s="23" t="inlineStr">
        <is>
          <t>Contractor Programme</t>
        </is>
      </c>
      <c r="B1274" s="23" t="inlineStr">
        <is>
          <t>SCH-05-177</t>
        </is>
      </c>
      <c r="C1274" s="23" t="inlineStr">
        <is>
          <t>West terminal: test procedure readiness review - installation</t>
        </is>
      </c>
      <c r="D1274" s="23" t="inlineStr">
        <is>
          <t>WBS Code = 1.5.2</t>
        </is>
      </c>
      <c r="E1274" s="23" t="inlineStr">
        <is>
          <t>R897-v2</t>
        </is>
      </c>
      <c r="F1274" s="23" t="inlineStr">
        <is>
          <t>1.5.2 Testing and Commissioning - Dynamic Testing</t>
        </is>
      </c>
      <c r="G1274" s="23" t="inlineStr">
        <is>
          <t>ONE_TO_ONE</t>
        </is>
      </c>
      <c r="H1274" s="23" t="inlineStr">
        <is>
          <t>RETAINED</t>
        </is>
      </c>
      <c r="I1274" s="23" t="inlineStr">
        <is>
          <t>Carried forward</t>
        </is>
      </c>
      <c r="J1274" s="23" t="inlineStr">
        <is>
          <t>Source assignment -- not individually reviewed</t>
        </is>
      </c>
      <c r="K1274" s="23" t="inlineStr"/>
      <c r="L1274" s="23" t="inlineStr"/>
      <c r="M1274" s="23" t="inlineStr"/>
      <c r="N1274" s="14" t="inlineStr">
        <is>
          <t>10 EVIDENCE &amp; DECISIONS</t>
        </is>
      </c>
    </row>
    <row r="1275" ht="34" customHeight="1">
      <c r="A1275" s="23" t="inlineStr">
        <is>
          <t>Contractor Programme</t>
        </is>
      </c>
      <c r="B1275" s="23" t="inlineStr">
        <is>
          <t>SCH-05-180</t>
        </is>
      </c>
      <c r="C1275" s="23" t="inlineStr">
        <is>
          <t>Mainline east: mainline dynamic test - release</t>
        </is>
      </c>
      <c r="D1275" s="23" t="inlineStr">
        <is>
          <t>WBS Code = 1.5.2</t>
        </is>
      </c>
      <c r="E1275" s="23" t="inlineStr">
        <is>
          <t>R900-v2</t>
        </is>
      </c>
      <c r="F1275" s="23" t="inlineStr">
        <is>
          <t>1.5.2 Testing and Commissioning - Dynamic Testing</t>
        </is>
      </c>
      <c r="G1275" s="23" t="inlineStr">
        <is>
          <t>ONE_TO_ONE</t>
        </is>
      </c>
      <c r="H1275" s="23" t="inlineStr">
        <is>
          <t>RETAINED</t>
        </is>
      </c>
      <c r="I1275" s="23" t="inlineStr">
        <is>
          <t>Carried forward</t>
        </is>
      </c>
      <c r="J1275" s="23" t="inlineStr">
        <is>
          <t>Source assignment -- not individually reviewed</t>
        </is>
      </c>
      <c r="K1275" s="23" t="inlineStr"/>
      <c r="L1275" s="23" t="inlineStr"/>
      <c r="M1275" s="23" t="inlineStr"/>
      <c r="N1275" s="14" t="inlineStr">
        <is>
          <t>10 EVIDENCE &amp; DECISIONS</t>
        </is>
      </c>
    </row>
    <row r="1276" ht="34" customHeight="1">
      <c r="A1276" s="23" t="inlineStr">
        <is>
          <t>Commercial Package Register</t>
        </is>
      </c>
      <c r="B1276" s="23" t="inlineStr">
        <is>
          <t>PKG-051</t>
        </is>
      </c>
      <c r="C1276" s="23" t="inlineStr">
        <is>
          <t>Program Controls</t>
        </is>
      </c>
      <c r="D1276" s="23" t="inlineStr">
        <is>
          <t>Package Code = PK-601; WBS Code = 1.6</t>
        </is>
      </c>
      <c r="E1276" s="23" t="inlineStr">
        <is>
          <t>R1613-v2</t>
        </is>
      </c>
      <c r="F1276" s="23" t="inlineStr">
        <is>
          <t>1.6 Program Management</t>
        </is>
      </c>
      <c r="G1276" s="23" t="inlineStr">
        <is>
          <t>ONE_TO_ONE</t>
        </is>
      </c>
      <c r="H1276" s="23" t="inlineStr">
        <is>
          <t>RETAINED</t>
        </is>
      </c>
      <c r="I1276" s="23" t="inlineStr">
        <is>
          <t>Carried forward</t>
        </is>
      </c>
      <c r="J1276" s="23" t="inlineStr">
        <is>
          <t>Source assignment -- not individually reviewed</t>
        </is>
      </c>
      <c r="K1276" s="23" t="inlineStr"/>
      <c r="L1276" s="23" t="inlineStr"/>
      <c r="M1276" s="23" t="inlineStr"/>
      <c r="N1276" s="14" t="inlineStr">
        <is>
          <t>10 EVIDENCE &amp; DECISIONS</t>
        </is>
      </c>
    </row>
    <row r="1277" ht="34" customHeight="1">
      <c r="A1277" s="23" t="inlineStr">
        <is>
          <t>Commercial Package Register</t>
        </is>
      </c>
      <c r="B1277" s="23" t="inlineStr">
        <is>
          <t>PKG-052</t>
        </is>
      </c>
      <c r="C1277" s="23" t="inlineStr">
        <is>
          <t>Commercial Advisory</t>
        </is>
      </c>
      <c r="D1277" s="23" t="inlineStr">
        <is>
          <t>Package Code = PK-602; WBS Code = 1.6</t>
        </is>
      </c>
      <c r="E1277" s="23" t="inlineStr">
        <is>
          <t>R1614-v2</t>
        </is>
      </c>
      <c r="F1277" s="23" t="inlineStr">
        <is>
          <t>1.6 Program Management</t>
        </is>
      </c>
      <c r="G1277" s="23" t="inlineStr">
        <is>
          <t>ONE_TO_ONE</t>
        </is>
      </c>
      <c r="H1277" s="23" t="inlineStr">
        <is>
          <t>RETAINED</t>
        </is>
      </c>
      <c r="I1277" s="23" t="inlineStr">
        <is>
          <t>Carried forward</t>
        </is>
      </c>
      <c r="J1277" s="23" t="inlineStr">
        <is>
          <t>Source assignment -- not individually reviewed</t>
        </is>
      </c>
      <c r="K1277" s="23" t="inlineStr"/>
      <c r="L1277" s="23" t="inlineStr"/>
      <c r="M1277" s="23" t="inlineStr"/>
      <c r="N1277" s="14" t="inlineStr">
        <is>
          <t>10 EVIDENCE &amp; DECISIONS</t>
        </is>
      </c>
    </row>
    <row r="1278" ht="34" customHeight="1">
      <c r="A1278" s="23" t="inlineStr">
        <is>
          <t>Commercial Package Register</t>
        </is>
      </c>
      <c r="B1278" s="23" t="inlineStr">
        <is>
          <t>PKG-053</t>
        </is>
      </c>
      <c r="C1278" s="23" t="inlineStr">
        <is>
          <t>Permitting Support</t>
        </is>
      </c>
      <c r="D1278" s="23" t="inlineStr">
        <is>
          <t>Package Code = PK-603; WBS Code = 1.6</t>
        </is>
      </c>
      <c r="E1278" s="23" t="inlineStr">
        <is>
          <t>R1615-v2</t>
        </is>
      </c>
      <c r="F1278" s="23" t="inlineStr">
        <is>
          <t>1.6 Program Management</t>
        </is>
      </c>
      <c r="G1278" s="23" t="inlineStr">
        <is>
          <t>ONE_TO_ONE</t>
        </is>
      </c>
      <c r="H1278" s="23" t="inlineStr">
        <is>
          <t>RETAINED</t>
        </is>
      </c>
      <c r="I1278" s="23" t="inlineStr">
        <is>
          <t>Carried forward</t>
        </is>
      </c>
      <c r="J1278" s="23" t="inlineStr">
        <is>
          <t>Source assignment -- not individually reviewed</t>
        </is>
      </c>
      <c r="K1278" s="23" t="inlineStr"/>
      <c r="L1278" s="23" t="inlineStr"/>
      <c r="M1278" s="23" t="inlineStr"/>
      <c r="N1278" s="14" t="inlineStr">
        <is>
          <t>10 EVIDENCE &amp; DECISIONS</t>
        </is>
      </c>
    </row>
    <row r="1279" ht="34" customHeight="1">
      <c r="A1279" s="23" t="inlineStr">
        <is>
          <t>Commercial Package Register</t>
        </is>
      </c>
      <c r="B1279" s="23" t="inlineStr">
        <is>
          <t>PKG-054</t>
        </is>
      </c>
      <c r="C1279" s="23" t="inlineStr">
        <is>
          <t>Delivery Integration</t>
        </is>
      </c>
      <c r="D1279" s="23" t="inlineStr">
        <is>
          <t>Package Code = PK-604; WBS Code = 1.6</t>
        </is>
      </c>
      <c r="E1279" s="23" t="inlineStr">
        <is>
          <t>R1616-v2</t>
        </is>
      </c>
      <c r="F1279" s="23" t="inlineStr">
        <is>
          <t>1.6 Program Management</t>
        </is>
      </c>
      <c r="G1279" s="23" t="inlineStr">
        <is>
          <t>ONE_TO_ONE</t>
        </is>
      </c>
      <c r="H1279" s="23" t="inlineStr">
        <is>
          <t>RETAINED</t>
        </is>
      </c>
      <c r="I1279" s="23" t="inlineStr">
        <is>
          <t>Carried forward</t>
        </is>
      </c>
      <c r="J1279" s="23" t="inlineStr">
        <is>
          <t>Source assignment -- not individually reviewed</t>
        </is>
      </c>
      <c r="K1279" s="23" t="inlineStr"/>
      <c r="L1279" s="23" t="inlineStr"/>
      <c r="M1279" s="23" t="inlineStr"/>
      <c r="N1279" s="14" t="inlineStr">
        <is>
          <t>10 EVIDENCE &amp; DECISIONS</t>
        </is>
      </c>
    </row>
    <row r="1280" ht="34" customHeight="1">
      <c r="A1280" s="23" t="inlineStr">
        <is>
          <t>Commercial Package Register</t>
        </is>
      </c>
      <c r="B1280" s="23" t="inlineStr">
        <is>
          <t>PKG-055</t>
        </is>
      </c>
      <c r="C1280" s="23" t="inlineStr">
        <is>
          <t>Program Controls - Lot 2</t>
        </is>
      </c>
      <c r="D1280" s="23" t="inlineStr">
        <is>
          <t>Package Code = PK-605; WBS Code = 1.6</t>
        </is>
      </c>
      <c r="E1280" s="23" t="inlineStr">
        <is>
          <t>R1617-v2</t>
        </is>
      </c>
      <c r="F1280" s="23" t="inlineStr">
        <is>
          <t>1.6 Program Management</t>
        </is>
      </c>
      <c r="G1280" s="23" t="inlineStr">
        <is>
          <t>ONE_TO_ONE</t>
        </is>
      </c>
      <c r="H1280" s="23" t="inlineStr">
        <is>
          <t>RETAINED</t>
        </is>
      </c>
      <c r="I1280" s="23" t="inlineStr">
        <is>
          <t>Carried forward</t>
        </is>
      </c>
      <c r="J1280" s="23" t="inlineStr">
        <is>
          <t>Source assignment -- not individually reviewed</t>
        </is>
      </c>
      <c r="K1280" s="23" t="inlineStr"/>
      <c r="L1280" s="23" t="inlineStr"/>
      <c r="M1280" s="23" t="inlineStr"/>
      <c r="N1280" s="14" t="inlineStr">
        <is>
          <t>10 EVIDENCE &amp; DECISIONS</t>
        </is>
      </c>
    </row>
    <row r="1281" ht="34" customHeight="1">
      <c r="A1281" s="23" t="inlineStr">
        <is>
          <t>Commercial Package Register</t>
        </is>
      </c>
      <c r="B1281" s="23" t="inlineStr">
        <is>
          <t>PKG-056</t>
        </is>
      </c>
      <c r="C1281" s="23" t="inlineStr">
        <is>
          <t>Commercial Advisory - Lot 2</t>
        </is>
      </c>
      <c r="D1281" s="23" t="inlineStr">
        <is>
          <t>Package Code = PK-606; WBS Code = 1.6</t>
        </is>
      </c>
      <c r="E1281" s="23" t="inlineStr">
        <is>
          <t>R1618-v2</t>
        </is>
      </c>
      <c r="F1281" s="23" t="inlineStr">
        <is>
          <t>1.6 Program Management</t>
        </is>
      </c>
      <c r="G1281" s="23" t="inlineStr">
        <is>
          <t>ONE_TO_ONE</t>
        </is>
      </c>
      <c r="H1281" s="23" t="inlineStr">
        <is>
          <t>RETAINED</t>
        </is>
      </c>
      <c r="I1281" s="23" t="inlineStr">
        <is>
          <t>Carried forward</t>
        </is>
      </c>
      <c r="J1281" s="23" t="inlineStr">
        <is>
          <t>Source assignment -- not individually reviewed</t>
        </is>
      </c>
      <c r="K1281" s="23" t="inlineStr"/>
      <c r="L1281" s="23" t="inlineStr"/>
      <c r="M1281" s="23" t="inlineStr"/>
      <c r="N1281" s="14" t="inlineStr">
        <is>
          <t>10 EVIDENCE &amp; DECISIONS</t>
        </is>
      </c>
    </row>
    <row r="1282" ht="34" customHeight="1">
      <c r="A1282" s="23" t="inlineStr">
        <is>
          <t>Commercial Package Register</t>
        </is>
      </c>
      <c r="B1282" s="23" t="inlineStr">
        <is>
          <t>PKG-057</t>
        </is>
      </c>
      <c r="C1282" s="23" t="inlineStr">
        <is>
          <t>Permitting Support - Lot 2</t>
        </is>
      </c>
      <c r="D1282" s="23" t="inlineStr">
        <is>
          <t>Package Code = PK-607; WBS Code = 1.6</t>
        </is>
      </c>
      <c r="E1282" s="23" t="inlineStr">
        <is>
          <t>R1619-v2</t>
        </is>
      </c>
      <c r="F1282" s="23" t="inlineStr">
        <is>
          <t>1.6 Program Management</t>
        </is>
      </c>
      <c r="G1282" s="23" t="inlineStr">
        <is>
          <t>ONE_TO_ONE</t>
        </is>
      </c>
      <c r="H1282" s="23" t="inlineStr">
        <is>
          <t>RETAINED</t>
        </is>
      </c>
      <c r="I1282" s="23" t="inlineStr">
        <is>
          <t>Carried forward</t>
        </is>
      </c>
      <c r="J1282" s="23" t="inlineStr">
        <is>
          <t>Source assignment -- not individually reviewed</t>
        </is>
      </c>
      <c r="K1282" s="23" t="inlineStr"/>
      <c r="L1282" s="23" t="inlineStr"/>
      <c r="M1282" s="23" t="inlineStr"/>
      <c r="N1282" s="14" t="inlineStr">
        <is>
          <t>10 EVIDENCE &amp; DECISIONS</t>
        </is>
      </c>
    </row>
    <row r="1283" ht="34" customHeight="1">
      <c r="A1283" s="23" t="inlineStr">
        <is>
          <t>Commercial Package Register</t>
        </is>
      </c>
      <c r="B1283" s="23" t="inlineStr">
        <is>
          <t>PKG-058</t>
        </is>
      </c>
      <c r="C1283" s="23" t="inlineStr">
        <is>
          <t>Delivery Integration - Lot 2</t>
        </is>
      </c>
      <c r="D1283" s="23" t="inlineStr">
        <is>
          <t>Package Code = PK-608; WBS Code = 1.6</t>
        </is>
      </c>
      <c r="E1283" s="23" t="inlineStr">
        <is>
          <t>R1620-v2</t>
        </is>
      </c>
      <c r="F1283" s="23" t="inlineStr">
        <is>
          <t>1.6 Program Management</t>
        </is>
      </c>
      <c r="G1283" s="23" t="inlineStr">
        <is>
          <t>ONE_TO_ONE</t>
        </is>
      </c>
      <c r="H1283" s="23" t="inlineStr">
        <is>
          <t>RETAINED</t>
        </is>
      </c>
      <c r="I1283" s="23" t="inlineStr">
        <is>
          <t>Carried forward</t>
        </is>
      </c>
      <c r="J1283" s="23" t="inlineStr">
        <is>
          <t>Source assignment -- not individually reviewed</t>
        </is>
      </c>
      <c r="K1283" s="23" t="inlineStr"/>
      <c r="L1283" s="23" t="inlineStr"/>
      <c r="M1283" s="23" t="inlineStr"/>
      <c r="N1283" s="14" t="inlineStr">
        <is>
          <t>10 EVIDENCE &amp; DECISIONS</t>
        </is>
      </c>
    </row>
    <row r="1284" ht="34" customHeight="1">
      <c r="A1284" s="23" t="inlineStr">
        <is>
          <t>Commercial Package Register</t>
        </is>
      </c>
      <c r="B1284" s="23" t="inlineStr">
        <is>
          <t>PKG-060</t>
        </is>
      </c>
      <c r="C1284" s="23" t="inlineStr">
        <is>
          <t>Commercial Advisory - Lot 3</t>
        </is>
      </c>
      <c r="D1284" s="23" t="inlineStr">
        <is>
          <t>Package Code = PK-610; WBS Code = 1.6</t>
        </is>
      </c>
      <c r="E1284" s="23" t="inlineStr">
        <is>
          <t>R1622-v2</t>
        </is>
      </c>
      <c r="F1284" s="23" t="inlineStr">
        <is>
          <t>1.6 Program Management</t>
        </is>
      </c>
      <c r="G1284" s="23" t="inlineStr">
        <is>
          <t>ONE_TO_ONE</t>
        </is>
      </c>
      <c r="H1284" s="23" t="inlineStr">
        <is>
          <t>RETAINED</t>
        </is>
      </c>
      <c r="I1284" s="23" t="inlineStr">
        <is>
          <t>Carried forward</t>
        </is>
      </c>
      <c r="J1284" s="23" t="inlineStr">
        <is>
          <t>Source assignment -- not individually reviewed</t>
        </is>
      </c>
      <c r="K1284" s="23" t="inlineStr"/>
      <c r="L1284" s="23" t="inlineStr"/>
      <c r="M1284" s="23" t="inlineStr"/>
      <c r="N1284" s="14" t="inlineStr">
        <is>
          <t>10 EVIDENCE &amp; DECISIONS</t>
        </is>
      </c>
    </row>
    <row r="1285" ht="34" customHeight="1">
      <c r="A1285" s="23" t="inlineStr">
        <is>
          <t>Cost &amp; Forecast Control Accounts</t>
        </is>
      </c>
      <c r="B1285" s="23" t="inlineStr">
        <is>
          <t>CST-06-001</t>
        </is>
      </c>
      <c r="C1285" s="23" t="inlineStr">
        <is>
          <t>Program Management - design integration - professional services</t>
        </is>
      </c>
      <c r="D1285" s="23" t="inlineStr">
        <is>
          <t>Cost Account = CA-6001; WBS Code = 1.6.1</t>
        </is>
      </c>
      <c r="E1285" s="23" t="inlineStr">
        <is>
          <t>R1483-v2</t>
        </is>
      </c>
      <c r="F1285" s="23" t="inlineStr">
        <is>
          <t>1.6.1 Program Management - Program Controls</t>
        </is>
      </c>
      <c r="G1285" s="23" t="inlineStr">
        <is>
          <t>ONE_TO_ONE</t>
        </is>
      </c>
      <c r="H1285" s="23" t="inlineStr">
        <is>
          <t>RETAINED</t>
        </is>
      </c>
      <c r="I1285" s="23" t="inlineStr">
        <is>
          <t>Carried forward</t>
        </is>
      </c>
      <c r="J1285" s="23" t="inlineStr">
        <is>
          <t>Source assignment -- not individually reviewed</t>
        </is>
      </c>
      <c r="K1285" s="23" t="inlineStr"/>
      <c r="L1285" s="23" t="inlineStr"/>
      <c r="M1285" s="23" t="inlineStr"/>
      <c r="N1285" s="14" t="inlineStr">
        <is>
          <t>10 EVIDENCE &amp; DECISIONS</t>
        </is>
      </c>
    </row>
    <row r="1286" ht="34" customHeight="1">
      <c r="A1286" s="23" t="inlineStr">
        <is>
          <t>Cost &amp; Forecast Control Accounts</t>
        </is>
      </c>
      <c r="B1286" s="23" t="inlineStr">
        <is>
          <t>CST-06-003</t>
        </is>
      </c>
      <c r="C1286" s="23" t="inlineStr">
        <is>
          <t>Program Management - program controls - closeout</t>
        </is>
      </c>
      <c r="D1286" s="23" t="inlineStr">
        <is>
          <t>Cost Account = CA-6003; WBS Code = 1.6.1</t>
        </is>
      </c>
      <c r="E1286" s="23" t="inlineStr">
        <is>
          <t>R1485-v2</t>
        </is>
      </c>
      <c r="F1286" s="23" t="inlineStr">
        <is>
          <t>1.6.1 Program Management - Program Controls</t>
        </is>
      </c>
      <c r="G1286" s="23" t="inlineStr">
        <is>
          <t>ONE_TO_ONE</t>
        </is>
      </c>
      <c r="H1286" s="23" t="inlineStr">
        <is>
          <t>RETAINED</t>
        </is>
      </c>
      <c r="I1286" s="23" t="inlineStr">
        <is>
          <t>Carried forward</t>
        </is>
      </c>
      <c r="J1286" s="23" t="inlineStr">
        <is>
          <t>Source assignment -- not individually reviewed</t>
        </is>
      </c>
      <c r="K1286" s="23" t="inlineStr"/>
      <c r="L1286" s="23" t="inlineStr"/>
      <c r="M1286" s="23" t="inlineStr"/>
      <c r="N1286" s="14" t="inlineStr">
        <is>
          <t>10 EVIDENCE &amp; DECISIONS</t>
        </is>
      </c>
    </row>
    <row r="1287" ht="34" customHeight="1">
      <c r="A1287" s="23" t="inlineStr">
        <is>
          <t>Cost &amp; Forecast Control Accounts</t>
        </is>
      </c>
      <c r="B1287" s="23" t="inlineStr">
        <is>
          <t>CST-06-005</t>
        </is>
      </c>
      <c r="C1287" s="23" t="inlineStr">
        <is>
          <t>Program Management - stakeholder services - supply and install</t>
        </is>
      </c>
      <c r="D1287" s="23" t="inlineStr">
        <is>
          <t>Cost Account = CA-6005; WBS Code = 1.6.1</t>
        </is>
      </c>
      <c r="E1287" s="23" t="inlineStr">
        <is>
          <t>R1487-v2</t>
        </is>
      </c>
      <c r="F1287" s="23" t="inlineStr">
        <is>
          <t>1.6.1 Program Management - Program Controls</t>
        </is>
      </c>
      <c r="G1287" s="23" t="inlineStr">
        <is>
          <t>ONE_TO_ONE</t>
        </is>
      </c>
      <c r="H1287" s="23" t="inlineStr">
        <is>
          <t>RETAINED</t>
        </is>
      </c>
      <c r="I1287" s="23" t="inlineStr">
        <is>
          <t>Carried forward</t>
        </is>
      </c>
      <c r="J1287" s="23" t="inlineStr">
        <is>
          <t>Source assignment -- not individually reviewed</t>
        </is>
      </c>
      <c r="K1287" s="23" t="inlineStr"/>
      <c r="L1287" s="23" t="inlineStr"/>
      <c r="M1287" s="23" t="inlineStr"/>
      <c r="N1287" s="14" t="inlineStr">
        <is>
          <t>10 EVIDENCE &amp; DECISIONS</t>
        </is>
      </c>
    </row>
    <row r="1288" ht="34" customHeight="1">
      <c r="A1288" s="23" t="inlineStr">
        <is>
          <t>Cost &amp; Forecast Control Accounts</t>
        </is>
      </c>
      <c r="B1288" s="23" t="inlineStr">
        <is>
          <t>CST-06-007</t>
        </is>
      </c>
      <c r="C1288" s="23" t="inlineStr">
        <is>
          <t>Program Management - design integration - allowance</t>
        </is>
      </c>
      <c r="D1288" s="23" t="inlineStr">
        <is>
          <t>Cost Account = CA-6007; WBS Code = 1.6.1</t>
        </is>
      </c>
      <c r="E1288" s="23" t="inlineStr">
        <is>
          <t>R1489-v2</t>
        </is>
      </c>
      <c r="F1288" s="23" t="inlineStr">
        <is>
          <t>1.6.1 Program Management - Program Controls</t>
        </is>
      </c>
      <c r="G1288" s="23" t="inlineStr">
        <is>
          <t>ONE_TO_ONE</t>
        </is>
      </c>
      <c r="H1288" s="23" t="inlineStr">
        <is>
          <t>RETAINED</t>
        </is>
      </c>
      <c r="I1288" s="23" t="inlineStr">
        <is>
          <t>Carried forward</t>
        </is>
      </c>
      <c r="J1288" s="23" t="inlineStr">
        <is>
          <t>Source assignment -- not individually reviewed</t>
        </is>
      </c>
      <c r="K1288" s="23" t="inlineStr"/>
      <c r="L1288" s="23" t="inlineStr"/>
      <c r="M1288" s="23" t="inlineStr"/>
      <c r="N1288" s="14" t="inlineStr">
        <is>
          <t>10 EVIDENCE &amp; DECISIONS</t>
        </is>
      </c>
    </row>
    <row r="1289" ht="34" customHeight="1">
      <c r="A1289" s="23" t="inlineStr">
        <is>
          <t>Cost &amp; Forecast Control Accounts</t>
        </is>
      </c>
      <c r="B1289" s="23" t="inlineStr">
        <is>
          <t>CST-06-009</t>
        </is>
      </c>
      <c r="C1289" s="23" t="inlineStr">
        <is>
          <t>Program Management - program controls - field package</t>
        </is>
      </c>
      <c r="D1289" s="23" t="inlineStr">
        <is>
          <t>Cost Account = CA-6009; WBS Code = 1.6.1</t>
        </is>
      </c>
      <c r="E1289" s="23" t="inlineStr">
        <is>
          <t>R1491-v2</t>
        </is>
      </c>
      <c r="F1289" s="23" t="inlineStr">
        <is>
          <t>1.6.1 Program Management - Program Controls</t>
        </is>
      </c>
      <c r="G1289" s="23" t="inlineStr">
        <is>
          <t>ONE_TO_ONE</t>
        </is>
      </c>
      <c r="H1289" s="23" t="inlineStr">
        <is>
          <t>RETAINED</t>
        </is>
      </c>
      <c r="I1289" s="23" t="inlineStr">
        <is>
          <t>Carried forward</t>
        </is>
      </c>
      <c r="J1289" s="23" t="inlineStr">
        <is>
          <t>Source assignment -- not individually reviewed</t>
        </is>
      </c>
      <c r="K1289" s="23" t="inlineStr"/>
      <c r="L1289" s="23" t="inlineStr"/>
      <c r="M1289" s="23" t="inlineStr"/>
      <c r="N1289" s="14" t="inlineStr">
        <is>
          <t>10 EVIDENCE &amp; DECISIONS</t>
        </is>
      </c>
    </row>
    <row r="1290" ht="34" customHeight="1">
      <c r="A1290" s="23" t="inlineStr">
        <is>
          <t>Cost &amp; Forecast Control Accounts</t>
        </is>
      </c>
      <c r="B1290" s="23" t="inlineStr">
        <is>
          <t>CST-06-011</t>
        </is>
      </c>
      <c r="C1290" s="23" t="inlineStr">
        <is>
          <t>Program Management - stakeholder services - professional services</t>
        </is>
      </c>
      <c r="D1290" s="23" t="inlineStr">
        <is>
          <t>Cost Account = CA-6011; WBS Code = 1.6.1</t>
        </is>
      </c>
      <c r="E1290" s="23" t="inlineStr">
        <is>
          <t>R1493-v2</t>
        </is>
      </c>
      <c r="F1290" s="23" t="inlineStr">
        <is>
          <t>1.6.1 Program Management - Program Controls</t>
        </is>
      </c>
      <c r="G1290" s="23" t="inlineStr">
        <is>
          <t>ONE_TO_ONE</t>
        </is>
      </c>
      <c r="H1290" s="23" t="inlineStr">
        <is>
          <t>RETAINED</t>
        </is>
      </c>
      <c r="I1290" s="23" t="inlineStr">
        <is>
          <t>Carried forward</t>
        </is>
      </c>
      <c r="J1290" s="23" t="inlineStr">
        <is>
          <t>Source assignment -- not individually reviewed</t>
        </is>
      </c>
      <c r="K1290" s="23" t="inlineStr"/>
      <c r="L1290" s="23" t="inlineStr"/>
      <c r="M1290" s="23" t="inlineStr"/>
      <c r="N1290" s="14" t="inlineStr">
        <is>
          <t>10 EVIDENCE &amp; DECISIONS</t>
        </is>
      </c>
    </row>
    <row r="1291" ht="34" customHeight="1">
      <c r="A1291" s="23" t="inlineStr">
        <is>
          <t>Cost &amp; Forecast Control Accounts</t>
        </is>
      </c>
      <c r="B1291" s="23" t="inlineStr">
        <is>
          <t>CST-06-013</t>
        </is>
      </c>
      <c r="C1291" s="23" t="inlineStr">
        <is>
          <t>Program Management - design integration - closeout</t>
        </is>
      </c>
      <c r="D1291" s="23" t="inlineStr">
        <is>
          <t>Cost Account = CA-6013; WBS Code = 1.6.1</t>
        </is>
      </c>
      <c r="E1291" s="23" t="inlineStr">
        <is>
          <t>R1495-v2</t>
        </is>
      </c>
      <c r="F1291" s="23" t="inlineStr">
        <is>
          <t>1.6.1 Program Management - Program Controls</t>
        </is>
      </c>
      <c r="G1291" s="23" t="inlineStr">
        <is>
          <t>ONE_TO_ONE</t>
        </is>
      </c>
      <c r="H1291" s="23" t="inlineStr">
        <is>
          <t>RETAINED</t>
        </is>
      </c>
      <c r="I1291" s="23" t="inlineStr">
        <is>
          <t>Carried forward</t>
        </is>
      </c>
      <c r="J1291" s="23" t="inlineStr">
        <is>
          <t>Source assignment -- not individually reviewed</t>
        </is>
      </c>
      <c r="K1291" s="23" t="inlineStr"/>
      <c r="L1291" s="23" t="inlineStr"/>
      <c r="M1291" s="23" t="inlineStr"/>
      <c r="N1291" s="14" t="inlineStr">
        <is>
          <t>10 EVIDENCE &amp; DECISIONS</t>
        </is>
      </c>
    </row>
    <row r="1292" ht="34" customHeight="1">
      <c r="A1292" s="23" t="inlineStr">
        <is>
          <t>Cost &amp; Forecast Control Accounts</t>
        </is>
      </c>
      <c r="B1292" s="23" t="inlineStr">
        <is>
          <t>CST-06-015</t>
        </is>
      </c>
      <c r="C1292" s="23" t="inlineStr">
        <is>
          <t>Program Management - program controls - supply and install</t>
        </is>
      </c>
      <c r="D1292" s="23" t="inlineStr">
        <is>
          <t>Cost Account = CA-6015; WBS Code = 1.6.1</t>
        </is>
      </c>
      <c r="E1292" s="23" t="inlineStr">
        <is>
          <t>R1497-v2</t>
        </is>
      </c>
      <c r="F1292" s="23" t="inlineStr">
        <is>
          <t>1.6.1 Program Management - Program Controls</t>
        </is>
      </c>
      <c r="G1292" s="23" t="inlineStr">
        <is>
          <t>ONE_TO_ONE</t>
        </is>
      </c>
      <c r="H1292" s="23" t="inlineStr">
        <is>
          <t>RETAINED</t>
        </is>
      </c>
      <c r="I1292" s="23" t="inlineStr">
        <is>
          <t>Carried forward</t>
        </is>
      </c>
      <c r="J1292" s="23" t="inlineStr">
        <is>
          <t>Source assignment -- not individually reviewed</t>
        </is>
      </c>
      <c r="K1292" s="23" t="inlineStr"/>
      <c r="L1292" s="23" t="inlineStr"/>
      <c r="M1292" s="23" t="inlineStr"/>
      <c r="N1292" s="14" t="inlineStr">
        <is>
          <t>10 EVIDENCE &amp; DECISIONS</t>
        </is>
      </c>
    </row>
    <row r="1293" ht="34" customHeight="1">
      <c r="A1293" s="23" t="inlineStr">
        <is>
          <t>Cost &amp; Forecast Control Accounts</t>
        </is>
      </c>
      <c r="B1293" s="23" t="inlineStr">
        <is>
          <t>CST-06-017</t>
        </is>
      </c>
      <c r="C1293" s="23" t="inlineStr">
        <is>
          <t>Program Management - stakeholder services - allowance</t>
        </is>
      </c>
      <c r="D1293" s="23" t="inlineStr">
        <is>
          <t>Cost Account = CA-6017; WBS Code = 1.6.1</t>
        </is>
      </c>
      <c r="E1293" s="23" t="inlineStr">
        <is>
          <t>R1499-v2</t>
        </is>
      </c>
      <c r="F1293" s="23" t="inlineStr">
        <is>
          <t>1.6.1 Program Management - Program Controls</t>
        </is>
      </c>
      <c r="G1293" s="23" t="inlineStr">
        <is>
          <t>ONE_TO_ONE</t>
        </is>
      </c>
      <c r="H1293" s="23" t="inlineStr">
        <is>
          <t>RETAINED</t>
        </is>
      </c>
      <c r="I1293" s="23" t="inlineStr">
        <is>
          <t>Carried forward</t>
        </is>
      </c>
      <c r="J1293" s="23" t="inlineStr">
        <is>
          <t>Source assignment -- not individually reviewed</t>
        </is>
      </c>
      <c r="K1293" s="23" t="inlineStr"/>
      <c r="L1293" s="23" t="inlineStr"/>
      <c r="M1293" s="23" t="inlineStr"/>
      <c r="N1293" s="14" t="inlineStr">
        <is>
          <t>10 EVIDENCE &amp; DECISIONS</t>
        </is>
      </c>
    </row>
    <row r="1294" ht="34" customHeight="1">
      <c r="A1294" s="23" t="inlineStr">
        <is>
          <t>Cost &amp; Forecast Control Accounts</t>
        </is>
      </c>
      <c r="B1294" s="23" t="inlineStr">
        <is>
          <t>CST-06-019</t>
        </is>
      </c>
      <c r="C1294" s="23" t="inlineStr">
        <is>
          <t>Program Management - design integration - field package</t>
        </is>
      </c>
      <c r="D1294" s="23" t="inlineStr">
        <is>
          <t>Cost Account = CA-6019; WBS Code = 1.6.1</t>
        </is>
      </c>
      <c r="E1294" s="23" t="inlineStr">
        <is>
          <t>R1501-v2</t>
        </is>
      </c>
      <c r="F1294" s="23" t="inlineStr">
        <is>
          <t>1.6.1 Program Management - Program Controls</t>
        </is>
      </c>
      <c r="G1294" s="23" t="inlineStr">
        <is>
          <t>ONE_TO_ONE</t>
        </is>
      </c>
      <c r="H1294" s="23" t="inlineStr">
        <is>
          <t>RETAINED</t>
        </is>
      </c>
      <c r="I1294" s="23" t="inlineStr">
        <is>
          <t>Carried forward</t>
        </is>
      </c>
      <c r="J1294" s="23" t="inlineStr">
        <is>
          <t>Source assignment -- not individually reviewed</t>
        </is>
      </c>
      <c r="K1294" s="23" t="inlineStr"/>
      <c r="L1294" s="23" t="inlineStr"/>
      <c r="M1294" s="23" t="inlineStr"/>
      <c r="N1294" s="14" t="inlineStr">
        <is>
          <t>10 EVIDENCE &amp; DECISIONS</t>
        </is>
      </c>
    </row>
    <row r="1295" ht="34" customHeight="1">
      <c r="A1295" s="23" t="inlineStr">
        <is>
          <t>Cost &amp; Forecast Control Accounts</t>
        </is>
      </c>
      <c r="B1295" s="23" t="inlineStr">
        <is>
          <t>CST-06-021</t>
        </is>
      </c>
      <c r="C1295" s="23" t="inlineStr">
        <is>
          <t>Program Management - program controls - professional services</t>
        </is>
      </c>
      <c r="D1295" s="23" t="inlineStr">
        <is>
          <t>Cost Account = CA-6021; WBS Code = 1.6.1</t>
        </is>
      </c>
      <c r="E1295" s="23" t="inlineStr">
        <is>
          <t>R1503-v2</t>
        </is>
      </c>
      <c r="F1295" s="23" t="inlineStr">
        <is>
          <t>1.6.1 Program Management - Program Controls</t>
        </is>
      </c>
      <c r="G1295" s="23" t="inlineStr">
        <is>
          <t>ONE_TO_ONE</t>
        </is>
      </c>
      <c r="H1295" s="23" t="inlineStr">
        <is>
          <t>RETAINED</t>
        </is>
      </c>
      <c r="I1295" s="23" t="inlineStr">
        <is>
          <t>Carried forward</t>
        </is>
      </c>
      <c r="J1295" s="23" t="inlineStr">
        <is>
          <t>Source assignment -- not individually reviewed</t>
        </is>
      </c>
      <c r="K1295" s="23" t="inlineStr"/>
      <c r="L1295" s="23" t="inlineStr"/>
      <c r="M1295" s="23" t="inlineStr"/>
      <c r="N1295" s="14" t="inlineStr">
        <is>
          <t>10 EVIDENCE &amp; DECISIONS</t>
        </is>
      </c>
    </row>
    <row r="1296" ht="34" customHeight="1">
      <c r="A1296" s="23" t="inlineStr">
        <is>
          <t>Cost &amp; Forecast Control Accounts</t>
        </is>
      </c>
      <c r="B1296" s="23" t="inlineStr">
        <is>
          <t>CST-06-023</t>
        </is>
      </c>
      <c r="C1296" s="23" t="inlineStr">
        <is>
          <t>Program Management - stakeholder services - closeout</t>
        </is>
      </c>
      <c r="D1296" s="23" t="inlineStr">
        <is>
          <t>Cost Account = CA-6023; WBS Code = 1.6.1</t>
        </is>
      </c>
      <c r="E1296" s="23" t="inlineStr">
        <is>
          <t>R1505-v2</t>
        </is>
      </c>
      <c r="F1296" s="23" t="inlineStr">
        <is>
          <t>1.6.1 Program Management - Program Controls</t>
        </is>
      </c>
      <c r="G1296" s="23" t="inlineStr">
        <is>
          <t>ONE_TO_ONE</t>
        </is>
      </c>
      <c r="H1296" s="23" t="inlineStr">
        <is>
          <t>RETAINED</t>
        </is>
      </c>
      <c r="I1296" s="23" t="inlineStr">
        <is>
          <t>Carried forward</t>
        </is>
      </c>
      <c r="J1296" s="23" t="inlineStr">
        <is>
          <t>Source assignment -- not individually reviewed</t>
        </is>
      </c>
      <c r="K1296" s="23" t="inlineStr"/>
      <c r="L1296" s="23" t="inlineStr"/>
      <c r="M1296" s="23" t="inlineStr"/>
      <c r="N1296" s="14" t="inlineStr">
        <is>
          <t>10 EVIDENCE &amp; DECISIONS</t>
        </is>
      </c>
    </row>
    <row r="1297" ht="34" customHeight="1">
      <c r="A1297" s="23" t="inlineStr">
        <is>
          <t>Cost &amp; Forecast Control Accounts</t>
        </is>
      </c>
      <c r="B1297" s="23" t="inlineStr">
        <is>
          <t>CST-06-025</t>
        </is>
      </c>
      <c r="C1297" s="23" t="inlineStr">
        <is>
          <t>Program Management - design integration - supply and install</t>
        </is>
      </c>
      <c r="D1297" s="23" t="inlineStr">
        <is>
          <t>Cost Account = CA-6025; WBS Code = 1.6.1</t>
        </is>
      </c>
      <c r="E1297" s="23" t="inlineStr">
        <is>
          <t>R1507-v2</t>
        </is>
      </c>
      <c r="F1297" s="23" t="inlineStr">
        <is>
          <t>1.6.1 Program Management - Program Controls</t>
        </is>
      </c>
      <c r="G1297" s="23" t="inlineStr">
        <is>
          <t>ONE_TO_ONE</t>
        </is>
      </c>
      <c r="H1297" s="23" t="inlineStr">
        <is>
          <t>RETAINED</t>
        </is>
      </c>
      <c r="I1297" s="23" t="inlineStr">
        <is>
          <t>Carried forward</t>
        </is>
      </c>
      <c r="J1297" s="23" t="inlineStr">
        <is>
          <t>Source assignment -- not individually reviewed</t>
        </is>
      </c>
      <c r="K1297" s="23" t="inlineStr"/>
      <c r="L1297" s="23" t="inlineStr"/>
      <c r="M1297" s="23" t="inlineStr"/>
      <c r="N1297" s="14" t="inlineStr">
        <is>
          <t>10 EVIDENCE &amp; DECISIONS</t>
        </is>
      </c>
    </row>
    <row r="1298" ht="34" customHeight="1">
      <c r="A1298" s="23" t="inlineStr">
        <is>
          <t>Cost &amp; Forecast Control Accounts</t>
        </is>
      </c>
      <c r="B1298" s="23" t="inlineStr">
        <is>
          <t>CST-06-027</t>
        </is>
      </c>
      <c r="C1298" s="23" t="inlineStr">
        <is>
          <t>Program Management - program controls - allowance</t>
        </is>
      </c>
      <c r="D1298" s="23" t="inlineStr">
        <is>
          <t>Cost Account = CA-6027; WBS Code = 1.6.1</t>
        </is>
      </c>
      <c r="E1298" s="23" t="inlineStr">
        <is>
          <t>R1509-v2</t>
        </is>
      </c>
      <c r="F1298" s="23" t="inlineStr">
        <is>
          <t>1.6.1 Program Management - Program Controls</t>
        </is>
      </c>
      <c r="G1298" s="23" t="inlineStr">
        <is>
          <t>ONE_TO_ONE</t>
        </is>
      </c>
      <c r="H1298" s="23" t="inlineStr">
        <is>
          <t>RETAINED</t>
        </is>
      </c>
      <c r="I1298" s="23" t="inlineStr">
        <is>
          <t>Carried forward</t>
        </is>
      </c>
      <c r="J1298" s="23" t="inlineStr">
        <is>
          <t>Source assignment -- not individually reviewed</t>
        </is>
      </c>
      <c r="K1298" s="23" t="inlineStr"/>
      <c r="L1298" s="23" t="inlineStr"/>
      <c r="M1298" s="23" t="inlineStr"/>
      <c r="N1298" s="14" t="inlineStr">
        <is>
          <t>10 EVIDENCE &amp; DECISIONS</t>
        </is>
      </c>
    </row>
    <row r="1299" ht="34" customHeight="1">
      <c r="A1299" s="23" t="inlineStr">
        <is>
          <t>Cost &amp; Forecast Control Accounts</t>
        </is>
      </c>
      <c r="B1299" s="23" t="inlineStr">
        <is>
          <t>CST-06-029</t>
        </is>
      </c>
      <c r="C1299" s="23" t="inlineStr">
        <is>
          <t>Program Management - stakeholder services - field package</t>
        </is>
      </c>
      <c r="D1299" s="23" t="inlineStr">
        <is>
          <t>Cost Account = CA-6029; WBS Code = 1.6.1</t>
        </is>
      </c>
      <c r="E1299" s="23" t="inlineStr">
        <is>
          <t>R1511-v2</t>
        </is>
      </c>
      <c r="F1299" s="23" t="inlineStr">
        <is>
          <t>1.6.1 Program Management - Program Controls</t>
        </is>
      </c>
      <c r="G1299" s="23" t="inlineStr">
        <is>
          <t>ONE_TO_ONE</t>
        </is>
      </c>
      <c r="H1299" s="23" t="inlineStr">
        <is>
          <t>RETAINED</t>
        </is>
      </c>
      <c r="I1299" s="23" t="inlineStr">
        <is>
          <t>Carried forward</t>
        </is>
      </c>
      <c r="J1299" s="23" t="inlineStr">
        <is>
          <t>Source assignment -- not individually reviewed</t>
        </is>
      </c>
      <c r="K1299" s="23" t="inlineStr"/>
      <c r="L1299" s="23" t="inlineStr"/>
      <c r="M1299" s="23" t="inlineStr"/>
      <c r="N1299" s="14" t="inlineStr">
        <is>
          <t>10 EVIDENCE &amp; DECISIONS</t>
        </is>
      </c>
    </row>
    <row r="1300" ht="34" customHeight="1">
      <c r="A1300" s="23" t="inlineStr">
        <is>
          <t>Cost &amp; Forecast Control Accounts</t>
        </is>
      </c>
      <c r="B1300" s="23" t="inlineStr">
        <is>
          <t>CST-06-031</t>
        </is>
      </c>
      <c r="C1300" s="23" t="inlineStr">
        <is>
          <t>Program Management - design integration - professional services</t>
        </is>
      </c>
      <c r="D1300" s="23" t="inlineStr">
        <is>
          <t>Cost Account = CA-6031; WBS Code = 1.6.1</t>
        </is>
      </c>
      <c r="E1300" s="23" t="inlineStr">
        <is>
          <t>R1513-v2</t>
        </is>
      </c>
      <c r="F1300" s="23" t="inlineStr">
        <is>
          <t>1.6.1 Program Management - Program Controls</t>
        </is>
      </c>
      <c r="G1300" s="23" t="inlineStr">
        <is>
          <t>ONE_TO_ONE</t>
        </is>
      </c>
      <c r="H1300" s="23" t="inlineStr">
        <is>
          <t>RETAINED</t>
        </is>
      </c>
      <c r="I1300" s="23" t="inlineStr">
        <is>
          <t>Carried forward</t>
        </is>
      </c>
      <c r="J1300" s="23" t="inlineStr">
        <is>
          <t>Source assignment -- not individually reviewed</t>
        </is>
      </c>
      <c r="K1300" s="23" t="inlineStr"/>
      <c r="L1300" s="23" t="inlineStr"/>
      <c r="M1300" s="23" t="inlineStr"/>
      <c r="N1300" s="14" t="inlineStr">
        <is>
          <t>10 EVIDENCE &amp; DECISIONS</t>
        </is>
      </c>
    </row>
    <row r="1301" ht="34" customHeight="1">
      <c r="A1301" s="23" t="inlineStr">
        <is>
          <t>Cost &amp; Forecast Control Accounts</t>
        </is>
      </c>
      <c r="B1301" s="23" t="inlineStr">
        <is>
          <t>CST-06-033</t>
        </is>
      </c>
      <c r="C1301" s="23" t="inlineStr">
        <is>
          <t>Program Management - program controls - closeout</t>
        </is>
      </c>
      <c r="D1301" s="23" t="inlineStr">
        <is>
          <t>Cost Account = CA-6033; WBS Code = 1.6.1</t>
        </is>
      </c>
      <c r="E1301" s="23" t="inlineStr">
        <is>
          <t>R1515-v2</t>
        </is>
      </c>
      <c r="F1301" s="23" t="inlineStr">
        <is>
          <t>1.6.1 Program Management - Program Controls</t>
        </is>
      </c>
      <c r="G1301" s="23" t="inlineStr">
        <is>
          <t>ONE_TO_ONE</t>
        </is>
      </c>
      <c r="H1301" s="23" t="inlineStr">
        <is>
          <t>RETAINED</t>
        </is>
      </c>
      <c r="I1301" s="23" t="inlineStr">
        <is>
          <t>Carried forward</t>
        </is>
      </c>
      <c r="J1301" s="23" t="inlineStr">
        <is>
          <t>Source assignment -- not individually reviewed</t>
        </is>
      </c>
      <c r="K1301" s="23" t="inlineStr"/>
      <c r="L1301" s="23" t="inlineStr"/>
      <c r="M1301" s="23" t="inlineStr"/>
      <c r="N1301" s="14" t="inlineStr">
        <is>
          <t>10 EVIDENCE &amp; DECISIONS</t>
        </is>
      </c>
    </row>
    <row r="1302" ht="34" customHeight="1">
      <c r="A1302" s="23" t="inlineStr">
        <is>
          <t>Cost &amp; Forecast Control Accounts</t>
        </is>
      </c>
      <c r="B1302" s="23" t="inlineStr">
        <is>
          <t>CST-06-035</t>
        </is>
      </c>
      <c r="C1302" s="23" t="inlineStr">
        <is>
          <t>Program Management - stakeholder services - supply and install</t>
        </is>
      </c>
      <c r="D1302" s="23" t="inlineStr">
        <is>
          <t>Cost Account = CA-6035; WBS Code = 1.6.1</t>
        </is>
      </c>
      <c r="E1302" s="23" t="inlineStr">
        <is>
          <t>R1517-v2</t>
        </is>
      </c>
      <c r="F1302" s="23" t="inlineStr">
        <is>
          <t>1.6.1 Program Management - Program Controls</t>
        </is>
      </c>
      <c r="G1302" s="23" t="inlineStr">
        <is>
          <t>ONE_TO_ONE</t>
        </is>
      </c>
      <c r="H1302" s="23" t="inlineStr">
        <is>
          <t>RETAINED</t>
        </is>
      </c>
      <c r="I1302" s="23" t="inlineStr">
        <is>
          <t>Carried forward</t>
        </is>
      </c>
      <c r="J1302" s="23" t="inlineStr">
        <is>
          <t>Source assignment -- not individually reviewed</t>
        </is>
      </c>
      <c r="K1302" s="23" t="inlineStr"/>
      <c r="L1302" s="23" t="inlineStr"/>
      <c r="M1302" s="23" t="inlineStr"/>
      <c r="N1302" s="14" t="inlineStr">
        <is>
          <t>10 EVIDENCE &amp; DECISIONS</t>
        </is>
      </c>
    </row>
    <row r="1303" ht="34" customHeight="1">
      <c r="A1303" s="23" t="inlineStr">
        <is>
          <t>Cost &amp; Forecast Control Accounts</t>
        </is>
      </c>
      <c r="B1303" s="23" t="inlineStr">
        <is>
          <t>CST-06-037</t>
        </is>
      </c>
      <c r="C1303" s="23" t="inlineStr">
        <is>
          <t>Program Management - design integration - allowance</t>
        </is>
      </c>
      <c r="D1303" s="23" t="inlineStr">
        <is>
          <t>Cost Account = CA-6037; WBS Code = 1.6.1</t>
        </is>
      </c>
      <c r="E1303" s="23" t="inlineStr">
        <is>
          <t>R1519-v2</t>
        </is>
      </c>
      <c r="F1303" s="23" t="inlineStr">
        <is>
          <t>1.6.1 Program Management - Program Controls</t>
        </is>
      </c>
      <c r="G1303" s="23" t="inlineStr">
        <is>
          <t>ONE_TO_ONE</t>
        </is>
      </c>
      <c r="H1303" s="23" t="inlineStr">
        <is>
          <t>RETAINED</t>
        </is>
      </c>
      <c r="I1303" s="23" t="inlineStr">
        <is>
          <t>Carried forward</t>
        </is>
      </c>
      <c r="J1303" s="23" t="inlineStr">
        <is>
          <t>Source assignment -- not individually reviewed</t>
        </is>
      </c>
      <c r="K1303" s="23" t="inlineStr"/>
      <c r="L1303" s="23" t="inlineStr"/>
      <c r="M1303" s="23" t="inlineStr"/>
      <c r="N1303" s="14" t="inlineStr">
        <is>
          <t>10 EVIDENCE &amp; DECISIONS</t>
        </is>
      </c>
    </row>
    <row r="1304" ht="34" customHeight="1">
      <c r="A1304" s="23" t="inlineStr">
        <is>
          <t>Cost &amp; Forecast Control Accounts</t>
        </is>
      </c>
      <c r="B1304" s="23" t="inlineStr">
        <is>
          <t>CST-06-039</t>
        </is>
      </c>
      <c r="C1304" s="23" t="inlineStr">
        <is>
          <t>Program Management - program controls - field package</t>
        </is>
      </c>
      <c r="D1304" s="23" t="inlineStr">
        <is>
          <t>Cost Account = CA-6039; WBS Code = 1.6.1</t>
        </is>
      </c>
      <c r="E1304" s="23" t="inlineStr">
        <is>
          <t>R1521-v2</t>
        </is>
      </c>
      <c r="F1304" s="23" t="inlineStr">
        <is>
          <t>1.6.1 Program Management - Program Controls</t>
        </is>
      </c>
      <c r="G1304" s="23" t="inlineStr">
        <is>
          <t>ONE_TO_ONE</t>
        </is>
      </c>
      <c r="H1304" s="23" t="inlineStr">
        <is>
          <t>RETAINED</t>
        </is>
      </c>
      <c r="I1304" s="23" t="inlineStr">
        <is>
          <t>Carried forward</t>
        </is>
      </c>
      <c r="J1304" s="23" t="inlineStr">
        <is>
          <t>Source assignment -- not individually reviewed</t>
        </is>
      </c>
      <c r="K1304" s="23" t="inlineStr"/>
      <c r="L1304" s="23" t="inlineStr"/>
      <c r="M1304" s="23" t="inlineStr"/>
      <c r="N1304" s="14" t="inlineStr">
        <is>
          <t>10 EVIDENCE &amp; DECISIONS</t>
        </is>
      </c>
    </row>
    <row r="1305" ht="34" customHeight="1">
      <c r="A1305" s="23" t="inlineStr">
        <is>
          <t>Cost &amp; Forecast Control Accounts</t>
        </is>
      </c>
      <c r="B1305" s="23" t="inlineStr">
        <is>
          <t>CST-06-041</t>
        </is>
      </c>
      <c r="C1305" s="23" t="inlineStr">
        <is>
          <t>Program Management - stakeholder services - professional services</t>
        </is>
      </c>
      <c r="D1305" s="23" t="inlineStr">
        <is>
          <t>Cost Account = CA-6041; WBS Code = 1.6.1</t>
        </is>
      </c>
      <c r="E1305" s="23" t="inlineStr">
        <is>
          <t>R1523-v2</t>
        </is>
      </c>
      <c r="F1305" s="23" t="inlineStr">
        <is>
          <t>1.6.1 Program Management - Program Controls</t>
        </is>
      </c>
      <c r="G1305" s="23" t="inlineStr">
        <is>
          <t>ONE_TO_ONE</t>
        </is>
      </c>
      <c r="H1305" s="23" t="inlineStr">
        <is>
          <t>RETAINED</t>
        </is>
      </c>
      <c r="I1305" s="23" t="inlineStr">
        <is>
          <t>Carried forward</t>
        </is>
      </c>
      <c r="J1305" s="23" t="inlineStr">
        <is>
          <t>Source assignment -- not individually reviewed</t>
        </is>
      </c>
      <c r="K1305" s="23" t="inlineStr"/>
      <c r="L1305" s="23" t="inlineStr"/>
      <c r="M1305" s="23" t="inlineStr"/>
      <c r="N1305" s="14" t="inlineStr">
        <is>
          <t>10 EVIDENCE &amp; DECISIONS</t>
        </is>
      </c>
    </row>
    <row r="1306" ht="34" customHeight="1">
      <c r="A1306" s="23" t="inlineStr">
        <is>
          <t>Cost &amp; Forecast Control Accounts</t>
        </is>
      </c>
      <c r="B1306" s="23" t="inlineStr">
        <is>
          <t>CST-06-043</t>
        </is>
      </c>
      <c r="C1306" s="23" t="inlineStr">
        <is>
          <t>Program Management - design integration - closeout</t>
        </is>
      </c>
      <c r="D1306" s="23" t="inlineStr">
        <is>
          <t>Cost Account = CA-6043; WBS Code = 1.6.1</t>
        </is>
      </c>
      <c r="E1306" s="23" t="inlineStr">
        <is>
          <t>R1525-v2</t>
        </is>
      </c>
      <c r="F1306" s="23" t="inlineStr">
        <is>
          <t>1.6.1 Program Management - Program Controls</t>
        </is>
      </c>
      <c r="G1306" s="23" t="inlineStr">
        <is>
          <t>ONE_TO_ONE</t>
        </is>
      </c>
      <c r="H1306" s="23" t="inlineStr">
        <is>
          <t>RETAINED</t>
        </is>
      </c>
      <c r="I1306" s="23" t="inlineStr">
        <is>
          <t>Carried forward</t>
        </is>
      </c>
      <c r="J1306" s="23" t="inlineStr">
        <is>
          <t>Source assignment -- not individually reviewed</t>
        </is>
      </c>
      <c r="K1306" s="23" t="inlineStr"/>
      <c r="L1306" s="23" t="inlineStr"/>
      <c r="M1306" s="23" t="inlineStr"/>
      <c r="N1306" s="14" t="inlineStr">
        <is>
          <t>10 EVIDENCE &amp; DECISIONS</t>
        </is>
      </c>
    </row>
    <row r="1307" ht="34" customHeight="1">
      <c r="A1307" s="23" t="inlineStr">
        <is>
          <t>Cost &amp; Forecast Control Accounts</t>
        </is>
      </c>
      <c r="B1307" s="23" t="inlineStr">
        <is>
          <t>CST-06-045</t>
        </is>
      </c>
      <c r="C1307" s="23" t="inlineStr">
        <is>
          <t>Program Management - program controls - supply and install</t>
        </is>
      </c>
      <c r="D1307" s="23" t="inlineStr">
        <is>
          <t>Cost Account = CA-6045; WBS Code = 1.6.1</t>
        </is>
      </c>
      <c r="E1307" s="23" t="inlineStr">
        <is>
          <t>R1527-v2</t>
        </is>
      </c>
      <c r="F1307" s="23" t="inlineStr">
        <is>
          <t>1.6.1 Program Management - Program Controls</t>
        </is>
      </c>
      <c r="G1307" s="23" t="inlineStr">
        <is>
          <t>ONE_TO_ONE</t>
        </is>
      </c>
      <c r="H1307" s="23" t="inlineStr">
        <is>
          <t>RETAINED</t>
        </is>
      </c>
      <c r="I1307" s="23" t="inlineStr">
        <is>
          <t>Carried forward</t>
        </is>
      </c>
      <c r="J1307" s="23" t="inlineStr">
        <is>
          <t>Source assignment -- not individually reviewed</t>
        </is>
      </c>
      <c r="K1307" s="23" t="inlineStr"/>
      <c r="L1307" s="23" t="inlineStr"/>
      <c r="M1307" s="23" t="inlineStr"/>
      <c r="N1307" s="14" t="inlineStr">
        <is>
          <t>10 EVIDENCE &amp; DECISIONS</t>
        </is>
      </c>
    </row>
    <row r="1308" ht="34" customHeight="1">
      <c r="A1308" s="23" t="inlineStr">
        <is>
          <t>Cost &amp; Forecast Control Accounts</t>
        </is>
      </c>
      <c r="B1308" s="23" t="inlineStr">
        <is>
          <t>CST-06-047</t>
        </is>
      </c>
      <c r="C1308" s="23" t="inlineStr">
        <is>
          <t>Program Management - stakeholder services - allowance</t>
        </is>
      </c>
      <c r="D1308" s="23" t="inlineStr">
        <is>
          <t>Cost Account = CA-6047; WBS Code = 1.6.1</t>
        </is>
      </c>
      <c r="E1308" s="23" t="inlineStr">
        <is>
          <t>R1529-v2</t>
        </is>
      </c>
      <c r="F1308" s="23" t="inlineStr">
        <is>
          <t>1.6.1 Program Management - Program Controls</t>
        </is>
      </c>
      <c r="G1308" s="23" t="inlineStr">
        <is>
          <t>ONE_TO_ONE</t>
        </is>
      </c>
      <c r="H1308" s="23" t="inlineStr">
        <is>
          <t>RETAINED</t>
        </is>
      </c>
      <c r="I1308" s="23" t="inlineStr">
        <is>
          <t>Carried forward</t>
        </is>
      </c>
      <c r="J1308" s="23" t="inlineStr">
        <is>
          <t>Source assignment -- not individually reviewed</t>
        </is>
      </c>
      <c r="K1308" s="23" t="inlineStr"/>
      <c r="L1308" s="23" t="inlineStr"/>
      <c r="M1308" s="23" t="inlineStr"/>
      <c r="N1308" s="14" t="inlineStr">
        <is>
          <t>10 EVIDENCE &amp; DECISIONS</t>
        </is>
      </c>
    </row>
    <row r="1309" ht="34" customHeight="1">
      <c r="A1309" s="23" t="inlineStr">
        <is>
          <t>Cost &amp; Forecast Control Accounts</t>
        </is>
      </c>
      <c r="B1309" s="23" t="inlineStr">
        <is>
          <t>CST-06-049</t>
        </is>
      </c>
      <c r="C1309" s="23" t="inlineStr">
        <is>
          <t>Program Management - design integration - field package</t>
        </is>
      </c>
      <c r="D1309" s="23" t="inlineStr">
        <is>
          <t>Cost Account = CA-6049; WBS Code = 1.6.1</t>
        </is>
      </c>
      <c r="E1309" s="23" t="inlineStr">
        <is>
          <t>R1531-v2</t>
        </is>
      </c>
      <c r="F1309" s="23" t="inlineStr">
        <is>
          <t>1.6.1 Program Management - Program Controls</t>
        </is>
      </c>
      <c r="G1309" s="23" t="inlineStr">
        <is>
          <t>ONE_TO_ONE</t>
        </is>
      </c>
      <c r="H1309" s="23" t="inlineStr">
        <is>
          <t>RETAINED</t>
        </is>
      </c>
      <c r="I1309" s="23" t="inlineStr">
        <is>
          <t>Carried forward</t>
        </is>
      </c>
      <c r="J1309" s="23" t="inlineStr">
        <is>
          <t>Source assignment -- not individually reviewed</t>
        </is>
      </c>
      <c r="K1309" s="23" t="inlineStr"/>
      <c r="L1309" s="23" t="inlineStr"/>
      <c r="M1309" s="23" t="inlineStr"/>
      <c r="N1309" s="14" t="inlineStr">
        <is>
          <t>10 EVIDENCE &amp; DECISIONS</t>
        </is>
      </c>
    </row>
    <row r="1310" ht="34" customHeight="1">
      <c r="A1310" s="23" t="inlineStr">
        <is>
          <t>Cost &amp; Forecast Control Accounts</t>
        </is>
      </c>
      <c r="B1310" s="23" t="inlineStr">
        <is>
          <t>CST-06-051</t>
        </is>
      </c>
      <c r="C1310" s="23" t="inlineStr">
        <is>
          <t>Program Management - program controls - professional services</t>
        </is>
      </c>
      <c r="D1310" s="23" t="inlineStr">
        <is>
          <t>Cost Account = CA-6051; WBS Code = 1.6.1</t>
        </is>
      </c>
      <c r="E1310" s="23" t="inlineStr">
        <is>
          <t>R1533-v2</t>
        </is>
      </c>
      <c r="F1310" s="23" t="inlineStr">
        <is>
          <t>1.6.1 Program Management - Program Controls</t>
        </is>
      </c>
      <c r="G1310" s="23" t="inlineStr">
        <is>
          <t>ONE_TO_ONE</t>
        </is>
      </c>
      <c r="H1310" s="23" t="inlineStr">
        <is>
          <t>RETAINED</t>
        </is>
      </c>
      <c r="I1310" s="23" t="inlineStr">
        <is>
          <t>Carried forward</t>
        </is>
      </c>
      <c r="J1310" s="23" t="inlineStr">
        <is>
          <t>Source assignment -- not individually reviewed</t>
        </is>
      </c>
      <c r="K1310" s="23" t="inlineStr"/>
      <c r="L1310" s="23" t="inlineStr"/>
      <c r="M1310" s="23" t="inlineStr"/>
      <c r="N1310" s="14" t="inlineStr">
        <is>
          <t>10 EVIDENCE &amp; DECISIONS</t>
        </is>
      </c>
    </row>
    <row r="1311" ht="34" customHeight="1">
      <c r="A1311" s="23" t="inlineStr">
        <is>
          <t>Cost &amp; Forecast Control Accounts</t>
        </is>
      </c>
      <c r="B1311" s="23" t="inlineStr">
        <is>
          <t>CST-06-053</t>
        </is>
      </c>
      <c r="C1311" s="23" t="inlineStr">
        <is>
          <t>Program Management - stakeholder services - closeout</t>
        </is>
      </c>
      <c r="D1311" s="23" t="inlineStr">
        <is>
          <t>Cost Account = CA-6053; WBS Code = 1.6.1</t>
        </is>
      </c>
      <c r="E1311" s="23" t="inlineStr">
        <is>
          <t>R1535-v2</t>
        </is>
      </c>
      <c r="F1311" s="23" t="inlineStr">
        <is>
          <t>1.6.1 Program Management - Program Controls</t>
        </is>
      </c>
      <c r="G1311" s="23" t="inlineStr">
        <is>
          <t>ONE_TO_ONE</t>
        </is>
      </c>
      <c r="H1311" s="23" t="inlineStr">
        <is>
          <t>RETAINED</t>
        </is>
      </c>
      <c r="I1311" s="23" t="inlineStr">
        <is>
          <t>Carried forward</t>
        </is>
      </c>
      <c r="J1311" s="23" t="inlineStr">
        <is>
          <t>Source assignment -- not individually reviewed</t>
        </is>
      </c>
      <c r="K1311" s="23" t="inlineStr"/>
      <c r="L1311" s="23" t="inlineStr"/>
      <c r="M1311" s="23" t="inlineStr"/>
      <c r="N1311" s="14" t="inlineStr">
        <is>
          <t>10 EVIDENCE &amp; DECISIONS</t>
        </is>
      </c>
    </row>
    <row r="1312" ht="34" customHeight="1">
      <c r="A1312" s="23" t="inlineStr">
        <is>
          <t>Cost &amp; Forecast Control Accounts</t>
        </is>
      </c>
      <c r="B1312" s="23" t="inlineStr">
        <is>
          <t>CST-06-055</t>
        </is>
      </c>
      <c r="C1312" s="23" t="inlineStr">
        <is>
          <t>Program Management - design integration - supply and install</t>
        </is>
      </c>
      <c r="D1312" s="23" t="inlineStr">
        <is>
          <t>Cost Account = CA-6055; WBS Code = 1.6.1</t>
        </is>
      </c>
      <c r="E1312" s="23" t="inlineStr">
        <is>
          <t>R1537-v2</t>
        </is>
      </c>
      <c r="F1312" s="23" t="inlineStr">
        <is>
          <t>1.6.1 Program Management - Program Controls</t>
        </is>
      </c>
      <c r="G1312" s="23" t="inlineStr">
        <is>
          <t>ONE_TO_ONE</t>
        </is>
      </c>
      <c r="H1312" s="23" t="inlineStr">
        <is>
          <t>RETAINED</t>
        </is>
      </c>
      <c r="I1312" s="23" t="inlineStr">
        <is>
          <t>Carried forward</t>
        </is>
      </c>
      <c r="J1312" s="23" t="inlineStr">
        <is>
          <t>Source assignment -- not individually reviewed</t>
        </is>
      </c>
      <c r="K1312" s="23" t="inlineStr"/>
      <c r="L1312" s="23" t="inlineStr"/>
      <c r="M1312" s="23" t="inlineStr"/>
      <c r="N1312" s="14" t="inlineStr">
        <is>
          <t>10 EVIDENCE &amp; DECISIONS</t>
        </is>
      </c>
    </row>
    <row r="1313" ht="34" customHeight="1">
      <c r="A1313" s="23" t="inlineStr">
        <is>
          <t>Cost &amp; Forecast Control Accounts</t>
        </is>
      </c>
      <c r="B1313" s="23" t="inlineStr">
        <is>
          <t>CST-06-057</t>
        </is>
      </c>
      <c r="C1313" s="23" t="inlineStr">
        <is>
          <t>Program Management - program controls - allowance</t>
        </is>
      </c>
      <c r="D1313" s="23" t="inlineStr">
        <is>
          <t>Cost Account = CA-6057; WBS Code = 1.6.1</t>
        </is>
      </c>
      <c r="E1313" s="23" t="inlineStr">
        <is>
          <t>R1539-v2</t>
        </is>
      </c>
      <c r="F1313" s="23" t="inlineStr">
        <is>
          <t>1.6.1 Program Management - Program Controls</t>
        </is>
      </c>
      <c r="G1313" s="23" t="inlineStr">
        <is>
          <t>ONE_TO_ONE</t>
        </is>
      </c>
      <c r="H1313" s="23" t="inlineStr">
        <is>
          <t>RETAINED</t>
        </is>
      </c>
      <c r="I1313" s="23" t="inlineStr">
        <is>
          <t>Carried forward</t>
        </is>
      </c>
      <c r="J1313" s="23" t="inlineStr">
        <is>
          <t>Source assignment -- not individually reviewed</t>
        </is>
      </c>
      <c r="K1313" s="23" t="inlineStr"/>
      <c r="L1313" s="23" t="inlineStr"/>
      <c r="M1313" s="23" t="inlineStr"/>
      <c r="N1313" s="14" t="inlineStr">
        <is>
          <t>10 EVIDENCE &amp; DECISIONS</t>
        </is>
      </c>
    </row>
    <row r="1314" ht="34" customHeight="1">
      <c r="A1314" s="23" t="inlineStr">
        <is>
          <t>Cost &amp; Forecast Control Accounts</t>
        </is>
      </c>
      <c r="B1314" s="23" t="inlineStr">
        <is>
          <t>CST-06-059</t>
        </is>
      </c>
      <c r="C1314" s="23" t="inlineStr">
        <is>
          <t>Program Management - stakeholder services - field package</t>
        </is>
      </c>
      <c r="D1314" s="23" t="inlineStr">
        <is>
          <t>Cost Account = CA-6059; WBS Code = 1.6.1</t>
        </is>
      </c>
      <c r="E1314" s="23" t="inlineStr">
        <is>
          <t>R1541-v2</t>
        </is>
      </c>
      <c r="F1314" s="23" t="inlineStr">
        <is>
          <t>1.6.1 Program Management - Program Controls</t>
        </is>
      </c>
      <c r="G1314" s="23" t="inlineStr">
        <is>
          <t>ONE_TO_ONE</t>
        </is>
      </c>
      <c r="H1314" s="23" t="inlineStr">
        <is>
          <t>RETAINED</t>
        </is>
      </c>
      <c r="I1314" s="23" t="inlineStr">
        <is>
          <t>Carried forward</t>
        </is>
      </c>
      <c r="J1314" s="23" t="inlineStr">
        <is>
          <t>Source assignment -- not individually reviewed</t>
        </is>
      </c>
      <c r="K1314" s="23" t="inlineStr"/>
      <c r="L1314" s="23" t="inlineStr"/>
      <c r="M1314" s="23" t="inlineStr"/>
      <c r="N1314" s="14" t="inlineStr">
        <is>
          <t>10 EVIDENCE &amp; DECISIONS</t>
        </is>
      </c>
    </row>
    <row r="1315" ht="34" customHeight="1">
      <c r="A1315" s="23" t="inlineStr">
        <is>
          <t>Cost &amp; Forecast Control Accounts</t>
        </is>
      </c>
      <c r="B1315" s="23" t="inlineStr">
        <is>
          <t>CST-06-061</t>
        </is>
      </c>
      <c r="C1315" s="23" t="inlineStr">
        <is>
          <t>Program Management - design integration - professional services</t>
        </is>
      </c>
      <c r="D1315" s="23" t="inlineStr">
        <is>
          <t>Cost Account = CA-6061; WBS Code = 1.6.1</t>
        </is>
      </c>
      <c r="E1315" s="23" t="inlineStr">
        <is>
          <t>R1543-v2</t>
        </is>
      </c>
      <c r="F1315" s="23" t="inlineStr">
        <is>
          <t>1.6.1 Program Management - Program Controls</t>
        </is>
      </c>
      <c r="G1315" s="23" t="inlineStr">
        <is>
          <t>ONE_TO_ONE</t>
        </is>
      </c>
      <c r="H1315" s="23" t="inlineStr">
        <is>
          <t>RETAINED</t>
        </is>
      </c>
      <c r="I1315" s="23" t="inlineStr">
        <is>
          <t>Carried forward</t>
        </is>
      </c>
      <c r="J1315" s="23" t="inlineStr">
        <is>
          <t>Source assignment -- not individually reviewed</t>
        </is>
      </c>
      <c r="K1315" s="23" t="inlineStr"/>
      <c r="L1315" s="23" t="inlineStr"/>
      <c r="M1315" s="23" t="inlineStr"/>
      <c r="N1315" s="14" t="inlineStr">
        <is>
          <t>10 EVIDENCE &amp; DECISIONS</t>
        </is>
      </c>
    </row>
    <row r="1316" ht="34" customHeight="1">
      <c r="A1316" s="23" t="inlineStr">
        <is>
          <t>Cost &amp; Forecast Control Accounts</t>
        </is>
      </c>
      <c r="B1316" s="23" t="inlineStr">
        <is>
          <t>CST-06-063</t>
        </is>
      </c>
      <c r="C1316" s="23" t="inlineStr">
        <is>
          <t>Program Management - program controls - closeout</t>
        </is>
      </c>
      <c r="D1316" s="23" t="inlineStr">
        <is>
          <t>Cost Account = CA-6063; WBS Code = 1.6.1</t>
        </is>
      </c>
      <c r="E1316" s="23" t="inlineStr">
        <is>
          <t>R1545-v2</t>
        </is>
      </c>
      <c r="F1316" s="23" t="inlineStr">
        <is>
          <t>1.6.1 Program Management - Program Controls</t>
        </is>
      </c>
      <c r="G1316" s="23" t="inlineStr">
        <is>
          <t>ONE_TO_ONE</t>
        </is>
      </c>
      <c r="H1316" s="23" t="inlineStr">
        <is>
          <t>RETAINED</t>
        </is>
      </c>
      <c r="I1316" s="23" t="inlineStr">
        <is>
          <t>Carried forward</t>
        </is>
      </c>
      <c r="J1316" s="23" t="inlineStr">
        <is>
          <t>Source assignment -- not individually reviewed</t>
        </is>
      </c>
      <c r="K1316" s="23" t="inlineStr"/>
      <c r="L1316" s="23" t="inlineStr"/>
      <c r="M1316" s="23" t="inlineStr"/>
      <c r="N1316" s="14" t="inlineStr">
        <is>
          <t>10 EVIDENCE &amp; DECISIONS</t>
        </is>
      </c>
    </row>
    <row r="1317" ht="34" customHeight="1">
      <c r="A1317" s="23" t="inlineStr">
        <is>
          <t>Cost &amp; Forecast Control Accounts</t>
        </is>
      </c>
      <c r="B1317" s="23" t="inlineStr">
        <is>
          <t>CST-06-065</t>
        </is>
      </c>
      <c r="C1317" s="23" t="inlineStr">
        <is>
          <t>Program Management - stakeholder services - supply and install</t>
        </is>
      </c>
      <c r="D1317" s="23" t="inlineStr">
        <is>
          <t>Cost Account = CA-6065; WBS Code = 1.6.1</t>
        </is>
      </c>
      <c r="E1317" s="23" t="inlineStr">
        <is>
          <t>R1547-v2</t>
        </is>
      </c>
      <c r="F1317" s="23" t="inlineStr">
        <is>
          <t>1.6.1 Program Management - Program Controls</t>
        </is>
      </c>
      <c r="G1317" s="23" t="inlineStr">
        <is>
          <t>ONE_TO_ONE</t>
        </is>
      </c>
      <c r="H1317" s="23" t="inlineStr">
        <is>
          <t>RETAINED</t>
        </is>
      </c>
      <c r="I1317" s="23" t="inlineStr">
        <is>
          <t>Carried forward</t>
        </is>
      </c>
      <c r="J1317" s="23" t="inlineStr">
        <is>
          <t>Source assignment -- not individually reviewed</t>
        </is>
      </c>
      <c r="K1317" s="23" t="inlineStr"/>
      <c r="L1317" s="23" t="inlineStr"/>
      <c r="M1317" s="23" t="inlineStr"/>
      <c r="N1317" s="14" t="inlineStr">
        <is>
          <t>10 EVIDENCE &amp; DECISIONS</t>
        </is>
      </c>
    </row>
    <row r="1318" ht="34" customHeight="1">
      <c r="A1318" s="23" t="inlineStr">
        <is>
          <t>Cost &amp; Forecast Control Accounts</t>
        </is>
      </c>
      <c r="B1318" s="23" t="inlineStr">
        <is>
          <t>CST-06-067</t>
        </is>
      </c>
      <c r="C1318" s="23" t="inlineStr">
        <is>
          <t>Program Management - design integration - allowance</t>
        </is>
      </c>
      <c r="D1318" s="23" t="inlineStr">
        <is>
          <t>Cost Account = CA-6067; WBS Code = 1.6.1</t>
        </is>
      </c>
      <c r="E1318" s="23" t="inlineStr">
        <is>
          <t>R1549-v2</t>
        </is>
      </c>
      <c r="F1318" s="23" t="inlineStr">
        <is>
          <t>1.6.1 Program Management - Program Controls</t>
        </is>
      </c>
      <c r="G1318" s="23" t="inlineStr">
        <is>
          <t>ONE_TO_ONE</t>
        </is>
      </c>
      <c r="H1318" s="23" t="inlineStr">
        <is>
          <t>RETAINED</t>
        </is>
      </c>
      <c r="I1318" s="23" t="inlineStr">
        <is>
          <t>Carried forward</t>
        </is>
      </c>
      <c r="J1318" s="23" t="inlineStr">
        <is>
          <t>Source assignment -- not individually reviewed</t>
        </is>
      </c>
      <c r="K1318" s="23" t="inlineStr"/>
      <c r="L1318" s="23" t="inlineStr"/>
      <c r="M1318" s="23" t="inlineStr"/>
      <c r="N1318" s="14" t="inlineStr">
        <is>
          <t>10 EVIDENCE &amp; DECISIONS</t>
        </is>
      </c>
    </row>
    <row r="1319" ht="34" customHeight="1">
      <c r="A1319" s="23" t="inlineStr">
        <is>
          <t>Cost &amp; Forecast Control Accounts</t>
        </is>
      </c>
      <c r="B1319" s="23" t="inlineStr">
        <is>
          <t>CST-06-069</t>
        </is>
      </c>
      <c r="C1319" s="23" t="inlineStr">
        <is>
          <t>Program Management - program controls - field package</t>
        </is>
      </c>
      <c r="D1319" s="23" t="inlineStr">
        <is>
          <t>Cost Account = CA-6069; WBS Code = 1.6.1</t>
        </is>
      </c>
      <c r="E1319" s="23" t="inlineStr">
        <is>
          <t>R1551-v2</t>
        </is>
      </c>
      <c r="F1319" s="23" t="inlineStr">
        <is>
          <t>1.6.1 Program Management - Program Controls</t>
        </is>
      </c>
      <c r="G1319" s="23" t="inlineStr">
        <is>
          <t>ONE_TO_ONE</t>
        </is>
      </c>
      <c r="H1319" s="23" t="inlineStr">
        <is>
          <t>RETAINED</t>
        </is>
      </c>
      <c r="I1319" s="23" t="inlineStr">
        <is>
          <t>Carried forward</t>
        </is>
      </c>
      <c r="J1319" s="23" t="inlineStr">
        <is>
          <t>Source assignment -- not individually reviewed</t>
        </is>
      </c>
      <c r="K1319" s="23" t="inlineStr"/>
      <c r="L1319" s="23" t="inlineStr"/>
      <c r="M1319" s="23" t="inlineStr"/>
      <c r="N1319" s="14" t="inlineStr">
        <is>
          <t>10 EVIDENCE &amp; DECISIONS</t>
        </is>
      </c>
    </row>
    <row r="1320" ht="34" customHeight="1">
      <c r="A1320" s="23" t="inlineStr">
        <is>
          <t>Cost &amp; Forecast Control Accounts</t>
        </is>
      </c>
      <c r="B1320" s="23" t="inlineStr">
        <is>
          <t>CST-06-071</t>
        </is>
      </c>
      <c r="C1320" s="23" t="inlineStr">
        <is>
          <t>Program Management - stakeholder services - professional services</t>
        </is>
      </c>
      <c r="D1320" s="23" t="inlineStr">
        <is>
          <t>Cost Account = CA-6071; WBS Code = 1.6.1</t>
        </is>
      </c>
      <c r="E1320" s="23" t="inlineStr">
        <is>
          <t>R1553-v2</t>
        </is>
      </c>
      <c r="F1320" s="23" t="inlineStr">
        <is>
          <t>1.6.1 Program Management - Program Controls</t>
        </is>
      </c>
      <c r="G1320" s="23" t="inlineStr">
        <is>
          <t>ONE_TO_ONE</t>
        </is>
      </c>
      <c r="H1320" s="23" t="inlineStr">
        <is>
          <t>RETAINED</t>
        </is>
      </c>
      <c r="I1320" s="23" t="inlineStr">
        <is>
          <t>Carried forward</t>
        </is>
      </c>
      <c r="J1320" s="23" t="inlineStr">
        <is>
          <t>Source assignment -- not individually reviewed</t>
        </is>
      </c>
      <c r="K1320" s="23" t="inlineStr"/>
      <c r="L1320" s="23" t="inlineStr"/>
      <c r="M1320" s="23" t="inlineStr"/>
      <c r="N1320" s="14" t="inlineStr">
        <is>
          <t>10 EVIDENCE &amp; DECISIONS</t>
        </is>
      </c>
    </row>
    <row r="1321" ht="34" customHeight="1">
      <c r="A1321" s="23" t="inlineStr">
        <is>
          <t>Cost &amp; Forecast Control Accounts</t>
        </is>
      </c>
      <c r="B1321" s="23" t="inlineStr">
        <is>
          <t>CST-06-073</t>
        </is>
      </c>
      <c r="C1321" s="23" t="inlineStr">
        <is>
          <t>Program Management - design integration - closeout</t>
        </is>
      </c>
      <c r="D1321" s="23" t="inlineStr">
        <is>
          <t>Cost Account = CA-6073; WBS Code = 1.6.1</t>
        </is>
      </c>
      <c r="E1321" s="23" t="inlineStr">
        <is>
          <t>R1555-v2</t>
        </is>
      </c>
      <c r="F1321" s="23" t="inlineStr">
        <is>
          <t>1.6.1 Program Management - Program Controls</t>
        </is>
      </c>
      <c r="G1321" s="23" t="inlineStr">
        <is>
          <t>ONE_TO_ONE</t>
        </is>
      </c>
      <c r="H1321" s="23" t="inlineStr">
        <is>
          <t>RETAINED</t>
        </is>
      </c>
      <c r="I1321" s="23" t="inlineStr">
        <is>
          <t>Carried forward</t>
        </is>
      </c>
      <c r="J1321" s="23" t="inlineStr">
        <is>
          <t>Source assignment -- not individually reviewed</t>
        </is>
      </c>
      <c r="K1321" s="23" t="inlineStr"/>
      <c r="L1321" s="23" t="inlineStr"/>
      <c r="M1321" s="23" t="inlineStr"/>
      <c r="N1321" s="14" t="inlineStr">
        <is>
          <t>10 EVIDENCE &amp; DECISIONS</t>
        </is>
      </c>
    </row>
    <row r="1322" ht="34" customHeight="1">
      <c r="A1322" s="23" t="inlineStr">
        <is>
          <t>Cost &amp; Forecast Control Accounts</t>
        </is>
      </c>
      <c r="B1322" s="23" t="inlineStr">
        <is>
          <t>CST-06-075</t>
        </is>
      </c>
      <c r="C1322" s="23" t="inlineStr">
        <is>
          <t>Program Management - program controls - supply and install</t>
        </is>
      </c>
      <c r="D1322" s="23" t="inlineStr">
        <is>
          <t>Cost Account = CA-6075; WBS Code = 1.6.1</t>
        </is>
      </c>
      <c r="E1322" s="23" t="inlineStr">
        <is>
          <t>R1557-v2</t>
        </is>
      </c>
      <c r="F1322" s="23" t="inlineStr">
        <is>
          <t>1.6.1 Program Management - Program Controls</t>
        </is>
      </c>
      <c r="G1322" s="23" t="inlineStr">
        <is>
          <t>ONE_TO_ONE</t>
        </is>
      </c>
      <c r="H1322" s="23" t="inlineStr">
        <is>
          <t>RETAINED</t>
        </is>
      </c>
      <c r="I1322" s="23" t="inlineStr">
        <is>
          <t>Carried forward</t>
        </is>
      </c>
      <c r="J1322" s="23" t="inlineStr">
        <is>
          <t>Source assignment -- not individually reviewed</t>
        </is>
      </c>
      <c r="K1322" s="23" t="inlineStr"/>
      <c r="L1322" s="23" t="inlineStr"/>
      <c r="M1322" s="23" t="inlineStr"/>
      <c r="N1322" s="14" t="inlineStr">
        <is>
          <t>10 EVIDENCE &amp; DECISIONS</t>
        </is>
      </c>
    </row>
    <row r="1323" ht="34" customHeight="1">
      <c r="A1323" s="23" t="inlineStr">
        <is>
          <t>Cost &amp; Forecast Control Accounts</t>
        </is>
      </c>
      <c r="B1323" s="23" t="inlineStr">
        <is>
          <t>CST-06-077</t>
        </is>
      </c>
      <c r="C1323" s="23" t="inlineStr">
        <is>
          <t>Program Management - stakeholder services - allowance</t>
        </is>
      </c>
      <c r="D1323" s="23" t="inlineStr">
        <is>
          <t>Cost Account = CA-6077; WBS Code = 1.6.1</t>
        </is>
      </c>
      <c r="E1323" s="23" t="inlineStr">
        <is>
          <t>R1559-v2</t>
        </is>
      </c>
      <c r="F1323" s="23" t="inlineStr">
        <is>
          <t>1.6.1 Program Management - Program Controls</t>
        </is>
      </c>
      <c r="G1323" s="23" t="inlineStr">
        <is>
          <t>ONE_TO_ONE</t>
        </is>
      </c>
      <c r="H1323" s="23" t="inlineStr">
        <is>
          <t>RETAINED</t>
        </is>
      </c>
      <c r="I1323" s="23" t="inlineStr">
        <is>
          <t>Carried forward</t>
        </is>
      </c>
      <c r="J1323" s="23" t="inlineStr">
        <is>
          <t>Source assignment -- not individually reviewed</t>
        </is>
      </c>
      <c r="K1323" s="23" t="inlineStr"/>
      <c r="L1323" s="23" t="inlineStr"/>
      <c r="M1323" s="23" t="inlineStr"/>
      <c r="N1323" s="14" t="inlineStr">
        <is>
          <t>10 EVIDENCE &amp; DECISIONS</t>
        </is>
      </c>
    </row>
    <row r="1324" ht="34" customHeight="1">
      <c r="A1324" s="23" t="inlineStr">
        <is>
          <t>Cost &amp; Forecast Control Accounts</t>
        </is>
      </c>
      <c r="B1324" s="23" t="inlineStr">
        <is>
          <t>CST-06-002</t>
        </is>
      </c>
      <c r="C1324" s="23" t="inlineStr">
        <is>
          <t>Program Management - stakeholder services - allowance</t>
        </is>
      </c>
      <c r="D1324" s="23" t="inlineStr">
        <is>
          <t>Cost Account = CA-6002; WBS Code = 1.6.2</t>
        </is>
      </c>
      <c r="E1324" s="23" t="inlineStr">
        <is>
          <t>R1484-v2</t>
        </is>
      </c>
      <c r="F1324" s="23" t="inlineStr">
        <is>
          <t>1.6.2 Program Management - Commercial &amp; Procurement</t>
        </is>
      </c>
      <c r="G1324" s="23" t="inlineStr">
        <is>
          <t>ONE_TO_ONE</t>
        </is>
      </c>
      <c r="H1324" s="23" t="inlineStr">
        <is>
          <t>RETAINED</t>
        </is>
      </c>
      <c r="I1324" s="23" t="inlineStr">
        <is>
          <t>Carried forward</t>
        </is>
      </c>
      <c r="J1324" s="23" t="inlineStr">
        <is>
          <t>Source assignment -- not individually reviewed</t>
        </is>
      </c>
      <c r="K1324" s="23" t="inlineStr"/>
      <c r="L1324" s="23" t="inlineStr"/>
      <c r="M1324" s="23" t="inlineStr"/>
      <c r="N1324" s="14" t="inlineStr">
        <is>
          <t>10 EVIDENCE &amp; DECISIONS</t>
        </is>
      </c>
    </row>
    <row r="1325" ht="34" customHeight="1">
      <c r="A1325" s="23" t="inlineStr">
        <is>
          <t>Cost &amp; Forecast Control Accounts</t>
        </is>
      </c>
      <c r="B1325" s="23" t="inlineStr">
        <is>
          <t>CST-06-004</t>
        </is>
      </c>
      <c r="C1325" s="23" t="inlineStr">
        <is>
          <t>Program Management - design integration - field package</t>
        </is>
      </c>
      <c r="D1325" s="23" t="inlineStr">
        <is>
          <t>Cost Account = CA-6004; WBS Code = 1.6.2</t>
        </is>
      </c>
      <c r="E1325" s="23" t="inlineStr">
        <is>
          <t>R1486-v2</t>
        </is>
      </c>
      <c r="F1325" s="23" t="inlineStr">
        <is>
          <t>1.6.2 Program Management - Commercial &amp; Procurement</t>
        </is>
      </c>
      <c r="G1325" s="23" t="inlineStr">
        <is>
          <t>ONE_TO_ONE</t>
        </is>
      </c>
      <c r="H1325" s="23" t="inlineStr">
        <is>
          <t>RETAINED</t>
        </is>
      </c>
      <c r="I1325" s="23" t="inlineStr">
        <is>
          <t>Carried forward</t>
        </is>
      </c>
      <c r="J1325" s="23" t="inlineStr">
        <is>
          <t>Source assignment -- not individually reviewed</t>
        </is>
      </c>
      <c r="K1325" s="23" t="inlineStr"/>
      <c r="L1325" s="23" t="inlineStr"/>
      <c r="M1325" s="23" t="inlineStr"/>
      <c r="N1325" s="14" t="inlineStr">
        <is>
          <t>10 EVIDENCE &amp; DECISIONS</t>
        </is>
      </c>
    </row>
    <row r="1326" ht="34" customHeight="1">
      <c r="A1326" s="23" t="inlineStr">
        <is>
          <t>Cost &amp; Forecast Control Accounts</t>
        </is>
      </c>
      <c r="B1326" s="23" t="inlineStr">
        <is>
          <t>CST-06-006</t>
        </is>
      </c>
      <c r="C1326" s="23" t="inlineStr">
        <is>
          <t>Program Management - program controls - professional services</t>
        </is>
      </c>
      <c r="D1326" s="23" t="inlineStr">
        <is>
          <t>Cost Account = CA-6006; WBS Code = 1.6.2</t>
        </is>
      </c>
      <c r="E1326" s="23" t="inlineStr">
        <is>
          <t>R1488-v2</t>
        </is>
      </c>
      <c r="F1326" s="23" t="inlineStr">
        <is>
          <t>1.6.2 Program Management - Commercial &amp; Procurement</t>
        </is>
      </c>
      <c r="G1326" s="23" t="inlineStr">
        <is>
          <t>ONE_TO_ONE</t>
        </is>
      </c>
      <c r="H1326" s="23" t="inlineStr">
        <is>
          <t>RETAINED</t>
        </is>
      </c>
      <c r="I1326" s="23" t="inlineStr">
        <is>
          <t>Carried forward</t>
        </is>
      </c>
      <c r="J1326" s="23" t="inlineStr">
        <is>
          <t>Source assignment -- not individually reviewed</t>
        </is>
      </c>
      <c r="K1326" s="23" t="inlineStr"/>
      <c r="L1326" s="23" t="inlineStr"/>
      <c r="M1326" s="23" t="inlineStr"/>
      <c r="N1326" s="14" t="inlineStr">
        <is>
          <t>10 EVIDENCE &amp; DECISIONS</t>
        </is>
      </c>
    </row>
    <row r="1327" ht="34" customHeight="1">
      <c r="A1327" s="23" t="inlineStr">
        <is>
          <t>Cost &amp; Forecast Control Accounts</t>
        </is>
      </c>
      <c r="B1327" s="23" t="inlineStr">
        <is>
          <t>CST-06-008</t>
        </is>
      </c>
      <c r="C1327" s="23" t="inlineStr">
        <is>
          <t>Program Management - stakeholder services - closeout</t>
        </is>
      </c>
      <c r="D1327" s="23" t="inlineStr">
        <is>
          <t>Cost Account = CA-6008; WBS Code = 1.6.2</t>
        </is>
      </c>
      <c r="E1327" s="23" t="inlineStr">
        <is>
          <t>R1490-v2</t>
        </is>
      </c>
      <c r="F1327" s="23" t="inlineStr">
        <is>
          <t>1.6.2 Program Management - Commercial &amp; Procurement</t>
        </is>
      </c>
      <c r="G1327" s="23" t="inlineStr">
        <is>
          <t>ONE_TO_ONE</t>
        </is>
      </c>
      <c r="H1327" s="23" t="inlineStr">
        <is>
          <t>RETAINED</t>
        </is>
      </c>
      <c r="I1327" s="23" t="inlineStr">
        <is>
          <t>Carried forward</t>
        </is>
      </c>
      <c r="J1327" s="23" t="inlineStr">
        <is>
          <t>Source assignment -- not individually reviewed</t>
        </is>
      </c>
      <c r="K1327" s="23" t="inlineStr"/>
      <c r="L1327" s="23" t="inlineStr"/>
      <c r="M1327" s="23" t="inlineStr"/>
      <c r="N1327" s="14" t="inlineStr">
        <is>
          <t>10 EVIDENCE &amp; DECISIONS</t>
        </is>
      </c>
    </row>
    <row r="1328" ht="34" customHeight="1">
      <c r="A1328" s="23" t="inlineStr">
        <is>
          <t>Cost &amp; Forecast Control Accounts</t>
        </is>
      </c>
      <c r="B1328" s="23" t="inlineStr">
        <is>
          <t>CST-06-010</t>
        </is>
      </c>
      <c r="C1328" s="23" t="inlineStr">
        <is>
          <t>Program Management - design integration - supply and install</t>
        </is>
      </c>
      <c r="D1328" s="23" t="inlineStr">
        <is>
          <t>Cost Account = CA-6010; WBS Code = 1.6.2</t>
        </is>
      </c>
      <c r="E1328" s="23" t="inlineStr">
        <is>
          <t>R1492-v2</t>
        </is>
      </c>
      <c r="F1328" s="23" t="inlineStr">
        <is>
          <t>1.6.2 Program Management - Commercial &amp; Procurement</t>
        </is>
      </c>
      <c r="G1328" s="23" t="inlineStr">
        <is>
          <t>ONE_TO_ONE</t>
        </is>
      </c>
      <c r="H1328" s="23" t="inlineStr">
        <is>
          <t>RETAINED</t>
        </is>
      </c>
      <c r="I1328" s="23" t="inlineStr">
        <is>
          <t>Carried forward</t>
        </is>
      </c>
      <c r="J1328" s="23" t="inlineStr">
        <is>
          <t>Source assignment -- not individually reviewed</t>
        </is>
      </c>
      <c r="K1328" s="23" t="inlineStr"/>
      <c r="L1328" s="23" t="inlineStr"/>
      <c r="M1328" s="23" t="inlineStr"/>
      <c r="N1328" s="14" t="inlineStr">
        <is>
          <t>10 EVIDENCE &amp; DECISIONS</t>
        </is>
      </c>
    </row>
    <row r="1329" ht="34" customHeight="1">
      <c r="A1329" s="23" t="inlineStr">
        <is>
          <t>Cost &amp; Forecast Control Accounts</t>
        </is>
      </c>
      <c r="B1329" s="23" t="inlineStr">
        <is>
          <t>CST-06-012</t>
        </is>
      </c>
      <c r="C1329" s="23" t="inlineStr">
        <is>
          <t>Program Management - program controls - allowance</t>
        </is>
      </c>
      <c r="D1329" s="23" t="inlineStr">
        <is>
          <t>Cost Account = CA-6012; WBS Code = 1.6.2</t>
        </is>
      </c>
      <c r="E1329" s="23" t="inlineStr">
        <is>
          <t>R1494-v2</t>
        </is>
      </c>
      <c r="F1329" s="23" t="inlineStr">
        <is>
          <t>1.6.2 Program Management - Commercial &amp; Procurement</t>
        </is>
      </c>
      <c r="G1329" s="23" t="inlineStr">
        <is>
          <t>ONE_TO_ONE</t>
        </is>
      </c>
      <c r="H1329" s="23" t="inlineStr">
        <is>
          <t>RETAINED</t>
        </is>
      </c>
      <c r="I1329" s="23" t="inlineStr">
        <is>
          <t>Carried forward</t>
        </is>
      </c>
      <c r="J1329" s="23" t="inlineStr">
        <is>
          <t>Source assignment -- not individually reviewed</t>
        </is>
      </c>
      <c r="K1329" s="23" t="inlineStr"/>
      <c r="L1329" s="23" t="inlineStr"/>
      <c r="M1329" s="23" t="inlineStr"/>
      <c r="N1329" s="14" t="inlineStr">
        <is>
          <t>10 EVIDENCE &amp; DECISIONS</t>
        </is>
      </c>
    </row>
    <row r="1330" ht="34" customHeight="1">
      <c r="A1330" s="23" t="inlineStr">
        <is>
          <t>Cost &amp; Forecast Control Accounts</t>
        </is>
      </c>
      <c r="B1330" s="23" t="inlineStr">
        <is>
          <t>CST-06-014</t>
        </is>
      </c>
      <c r="C1330" s="23" t="inlineStr">
        <is>
          <t>Program Management - stakeholder services - field package</t>
        </is>
      </c>
      <c r="D1330" s="23" t="inlineStr">
        <is>
          <t>Cost Account = CA-6014; WBS Code = 1.6.2</t>
        </is>
      </c>
      <c r="E1330" s="23" t="inlineStr">
        <is>
          <t>R1496-v2</t>
        </is>
      </c>
      <c r="F1330" s="23" t="inlineStr">
        <is>
          <t>1.6.2 Program Management - Commercial &amp; Procurement</t>
        </is>
      </c>
      <c r="G1330" s="23" t="inlineStr">
        <is>
          <t>ONE_TO_ONE</t>
        </is>
      </c>
      <c r="H1330" s="23" t="inlineStr">
        <is>
          <t>RETAINED</t>
        </is>
      </c>
      <c r="I1330" s="23" t="inlineStr">
        <is>
          <t>Carried forward</t>
        </is>
      </c>
      <c r="J1330" s="23" t="inlineStr">
        <is>
          <t>Source assignment -- not individually reviewed</t>
        </is>
      </c>
      <c r="K1330" s="23" t="inlineStr"/>
      <c r="L1330" s="23" t="inlineStr"/>
      <c r="M1330" s="23" t="inlineStr"/>
      <c r="N1330" s="14" t="inlineStr">
        <is>
          <t>10 EVIDENCE &amp; DECISIONS</t>
        </is>
      </c>
    </row>
    <row r="1331" ht="34" customHeight="1">
      <c r="A1331" s="23" t="inlineStr">
        <is>
          <t>Cost &amp; Forecast Control Accounts</t>
        </is>
      </c>
      <c r="B1331" s="23" t="inlineStr">
        <is>
          <t>CST-06-016</t>
        </is>
      </c>
      <c r="C1331" s="23" t="inlineStr">
        <is>
          <t>Program Management - design integration - professional services</t>
        </is>
      </c>
      <c r="D1331" s="23" t="inlineStr">
        <is>
          <t>Cost Account = CA-6016; WBS Code = 1.6.2</t>
        </is>
      </c>
      <c r="E1331" s="23" t="inlineStr">
        <is>
          <t>R1498-v2</t>
        </is>
      </c>
      <c r="F1331" s="23" t="inlineStr">
        <is>
          <t>1.6.2 Program Management - Commercial &amp; Procurement</t>
        </is>
      </c>
      <c r="G1331" s="23" t="inlineStr">
        <is>
          <t>ONE_TO_ONE</t>
        </is>
      </c>
      <c r="H1331" s="23" t="inlineStr">
        <is>
          <t>RETAINED</t>
        </is>
      </c>
      <c r="I1331" s="23" t="inlineStr">
        <is>
          <t>Carried forward</t>
        </is>
      </c>
      <c r="J1331" s="23" t="inlineStr">
        <is>
          <t>Source assignment -- not individually reviewed</t>
        </is>
      </c>
      <c r="K1331" s="23" t="inlineStr"/>
      <c r="L1331" s="23" t="inlineStr"/>
      <c r="M1331" s="23" t="inlineStr"/>
      <c r="N1331" s="14" t="inlineStr">
        <is>
          <t>10 EVIDENCE &amp; DECISIONS</t>
        </is>
      </c>
    </row>
    <row r="1332" ht="34" customHeight="1">
      <c r="A1332" s="23" t="inlineStr">
        <is>
          <t>Cost &amp; Forecast Control Accounts</t>
        </is>
      </c>
      <c r="B1332" s="23" t="inlineStr">
        <is>
          <t>CST-06-018</t>
        </is>
      </c>
      <c r="C1332" s="23" t="inlineStr">
        <is>
          <t>Program Management - program controls - closeout</t>
        </is>
      </c>
      <c r="D1332" s="23" t="inlineStr">
        <is>
          <t>Cost Account = CA-6018; WBS Code = 1.6.2</t>
        </is>
      </c>
      <c r="E1332" s="23" t="inlineStr">
        <is>
          <t>R1500-v2</t>
        </is>
      </c>
      <c r="F1332" s="23" t="inlineStr">
        <is>
          <t>1.6.2 Program Management - Commercial &amp; Procurement</t>
        </is>
      </c>
      <c r="G1332" s="23" t="inlineStr">
        <is>
          <t>ONE_TO_ONE</t>
        </is>
      </c>
      <c r="H1332" s="23" t="inlineStr">
        <is>
          <t>RETAINED</t>
        </is>
      </c>
      <c r="I1332" s="23" t="inlineStr">
        <is>
          <t>Carried forward</t>
        </is>
      </c>
      <c r="J1332" s="23" t="inlineStr">
        <is>
          <t>Source assignment -- not individually reviewed</t>
        </is>
      </c>
      <c r="K1332" s="23" t="inlineStr"/>
      <c r="L1332" s="23" t="inlineStr"/>
      <c r="M1332" s="23" t="inlineStr"/>
      <c r="N1332" s="14" t="inlineStr">
        <is>
          <t>10 EVIDENCE &amp; DECISIONS</t>
        </is>
      </c>
    </row>
    <row r="1333" ht="34" customHeight="1">
      <c r="A1333" s="23" t="inlineStr">
        <is>
          <t>Cost &amp; Forecast Control Accounts</t>
        </is>
      </c>
      <c r="B1333" s="23" t="inlineStr">
        <is>
          <t>CST-06-020</t>
        </is>
      </c>
      <c r="C1333" s="23" t="inlineStr">
        <is>
          <t>Program Management - stakeholder services - supply and install</t>
        </is>
      </c>
      <c r="D1333" s="23" t="inlineStr">
        <is>
          <t>Cost Account = CA-6020; WBS Code = 1.6.2</t>
        </is>
      </c>
      <c r="E1333" s="23" t="inlineStr">
        <is>
          <t>R1502-v2</t>
        </is>
      </c>
      <c r="F1333" s="23" t="inlineStr">
        <is>
          <t>1.6.2 Program Management - Commercial &amp; Procurement</t>
        </is>
      </c>
      <c r="G1333" s="23" t="inlineStr">
        <is>
          <t>ONE_TO_ONE</t>
        </is>
      </c>
      <c r="H1333" s="23" t="inlineStr">
        <is>
          <t>RETAINED</t>
        </is>
      </c>
      <c r="I1333" s="23" t="inlineStr">
        <is>
          <t>Carried forward</t>
        </is>
      </c>
      <c r="J1333" s="23" t="inlineStr">
        <is>
          <t>Source assignment -- not individually reviewed</t>
        </is>
      </c>
      <c r="K1333" s="23" t="inlineStr"/>
      <c r="L1333" s="23" t="inlineStr"/>
      <c r="M1333" s="23" t="inlineStr"/>
      <c r="N1333" s="14" t="inlineStr">
        <is>
          <t>10 EVIDENCE &amp; DECISIONS</t>
        </is>
      </c>
    </row>
    <row r="1334" ht="34" customHeight="1">
      <c r="A1334" s="23" t="inlineStr">
        <is>
          <t>Cost &amp; Forecast Control Accounts</t>
        </is>
      </c>
      <c r="B1334" s="23" t="inlineStr">
        <is>
          <t>CST-06-022</t>
        </is>
      </c>
      <c r="C1334" s="23" t="inlineStr">
        <is>
          <t>Program Management - design integration - allowance</t>
        </is>
      </c>
      <c r="D1334" s="23" t="inlineStr">
        <is>
          <t>Cost Account = CA-6022; WBS Code = 1.6.2</t>
        </is>
      </c>
      <c r="E1334" s="23" t="inlineStr">
        <is>
          <t>R1504-v2</t>
        </is>
      </c>
      <c r="F1334" s="23" t="inlineStr">
        <is>
          <t>1.6.2 Program Management - Commercial &amp; Procurement</t>
        </is>
      </c>
      <c r="G1334" s="23" t="inlineStr">
        <is>
          <t>ONE_TO_ONE</t>
        </is>
      </c>
      <c r="H1334" s="23" t="inlineStr">
        <is>
          <t>RETAINED</t>
        </is>
      </c>
      <c r="I1334" s="23" t="inlineStr">
        <is>
          <t>Carried forward</t>
        </is>
      </c>
      <c r="J1334" s="23" t="inlineStr">
        <is>
          <t>Source assignment -- not individually reviewed</t>
        </is>
      </c>
      <c r="K1334" s="23" t="inlineStr"/>
      <c r="L1334" s="23" t="inlineStr"/>
      <c r="M1334" s="23" t="inlineStr"/>
      <c r="N1334" s="14" t="inlineStr">
        <is>
          <t>10 EVIDENCE &amp; DECISIONS</t>
        </is>
      </c>
    </row>
    <row r="1335" ht="34" customHeight="1">
      <c r="A1335" s="23" t="inlineStr">
        <is>
          <t>Cost &amp; Forecast Control Accounts</t>
        </is>
      </c>
      <c r="B1335" s="23" t="inlineStr">
        <is>
          <t>CST-06-024</t>
        </is>
      </c>
      <c r="C1335" s="23" t="inlineStr">
        <is>
          <t>Program Management - program controls - field package</t>
        </is>
      </c>
      <c r="D1335" s="23" t="inlineStr">
        <is>
          <t>Cost Account = CA-6024; WBS Code = 1.6.2</t>
        </is>
      </c>
      <c r="E1335" s="23" t="inlineStr">
        <is>
          <t>R1506-v2</t>
        </is>
      </c>
      <c r="F1335" s="23" t="inlineStr">
        <is>
          <t>1.6.2 Program Management - Commercial &amp; Procurement</t>
        </is>
      </c>
      <c r="G1335" s="23" t="inlineStr">
        <is>
          <t>ONE_TO_ONE</t>
        </is>
      </c>
      <c r="H1335" s="23" t="inlineStr">
        <is>
          <t>RETAINED</t>
        </is>
      </c>
      <c r="I1335" s="23" t="inlineStr">
        <is>
          <t>Carried forward</t>
        </is>
      </c>
      <c r="J1335" s="23" t="inlineStr">
        <is>
          <t>Source assignment -- not individually reviewed</t>
        </is>
      </c>
      <c r="K1335" s="23" t="inlineStr"/>
      <c r="L1335" s="23" t="inlineStr"/>
      <c r="M1335" s="23" t="inlineStr"/>
      <c r="N1335" s="14" t="inlineStr">
        <is>
          <t>10 EVIDENCE &amp; DECISIONS</t>
        </is>
      </c>
    </row>
    <row r="1336" ht="34" customHeight="1">
      <c r="A1336" s="23" t="inlineStr">
        <is>
          <t>Cost &amp; Forecast Control Accounts</t>
        </is>
      </c>
      <c r="B1336" s="23" t="inlineStr">
        <is>
          <t>CST-06-026</t>
        </is>
      </c>
      <c r="C1336" s="23" t="inlineStr">
        <is>
          <t>Program Management - stakeholder services - professional services</t>
        </is>
      </c>
      <c r="D1336" s="23" t="inlineStr">
        <is>
          <t>Cost Account = CA-6026; WBS Code = 1.6.2</t>
        </is>
      </c>
      <c r="E1336" s="23" t="inlineStr">
        <is>
          <t>R1508-v2</t>
        </is>
      </c>
      <c r="F1336" s="23" t="inlineStr">
        <is>
          <t>1.6.2 Program Management - Commercial &amp; Procurement</t>
        </is>
      </c>
      <c r="G1336" s="23" t="inlineStr">
        <is>
          <t>ONE_TO_ONE</t>
        </is>
      </c>
      <c r="H1336" s="23" t="inlineStr">
        <is>
          <t>RETAINED</t>
        </is>
      </c>
      <c r="I1336" s="23" t="inlineStr">
        <is>
          <t>Carried forward</t>
        </is>
      </c>
      <c r="J1336" s="23" t="inlineStr">
        <is>
          <t>Source assignment -- not individually reviewed</t>
        </is>
      </c>
      <c r="K1336" s="23" t="inlineStr"/>
      <c r="L1336" s="23" t="inlineStr"/>
      <c r="M1336" s="23" t="inlineStr"/>
      <c r="N1336" s="14" t="inlineStr">
        <is>
          <t>10 EVIDENCE &amp; DECISIONS</t>
        </is>
      </c>
    </row>
    <row r="1337" ht="34" customHeight="1">
      <c r="A1337" s="23" t="inlineStr">
        <is>
          <t>Cost &amp; Forecast Control Accounts</t>
        </is>
      </c>
      <c r="B1337" s="23" t="inlineStr">
        <is>
          <t>CST-06-028</t>
        </is>
      </c>
      <c r="C1337" s="23" t="inlineStr">
        <is>
          <t>Program Management - design integration - closeout</t>
        </is>
      </c>
      <c r="D1337" s="23" t="inlineStr">
        <is>
          <t>Cost Account = CA-6028; WBS Code = 1.6.2</t>
        </is>
      </c>
      <c r="E1337" s="23" t="inlineStr">
        <is>
          <t>R1510-v2</t>
        </is>
      </c>
      <c r="F1337" s="23" t="inlineStr">
        <is>
          <t>1.6.2 Program Management - Commercial &amp; Procurement</t>
        </is>
      </c>
      <c r="G1337" s="23" t="inlineStr">
        <is>
          <t>ONE_TO_ONE</t>
        </is>
      </c>
      <c r="H1337" s="23" t="inlineStr">
        <is>
          <t>RETAINED</t>
        </is>
      </c>
      <c r="I1337" s="23" t="inlineStr">
        <is>
          <t>Carried forward</t>
        </is>
      </c>
      <c r="J1337" s="23" t="inlineStr">
        <is>
          <t>Source assignment -- not individually reviewed</t>
        </is>
      </c>
      <c r="K1337" s="23" t="inlineStr"/>
      <c r="L1337" s="23" t="inlineStr"/>
      <c r="M1337" s="23" t="inlineStr"/>
      <c r="N1337" s="14" t="inlineStr">
        <is>
          <t>10 EVIDENCE &amp; DECISIONS</t>
        </is>
      </c>
    </row>
    <row r="1338" ht="34" customHeight="1">
      <c r="A1338" s="23" t="inlineStr">
        <is>
          <t>Cost &amp; Forecast Control Accounts</t>
        </is>
      </c>
      <c r="B1338" s="23" t="inlineStr">
        <is>
          <t>CST-06-030</t>
        </is>
      </c>
      <c r="C1338" s="23" t="inlineStr">
        <is>
          <t>Program Management - program controls - supply and install</t>
        </is>
      </c>
      <c r="D1338" s="23" t="inlineStr">
        <is>
          <t>Cost Account = CA-6030; WBS Code = 1.6.2</t>
        </is>
      </c>
      <c r="E1338" s="23" t="inlineStr">
        <is>
          <t>R1512-v2</t>
        </is>
      </c>
      <c r="F1338" s="23" t="inlineStr">
        <is>
          <t>1.6.2 Program Management - Commercial &amp; Procurement</t>
        </is>
      </c>
      <c r="G1338" s="23" t="inlineStr">
        <is>
          <t>ONE_TO_ONE</t>
        </is>
      </c>
      <c r="H1338" s="23" t="inlineStr">
        <is>
          <t>RETAINED</t>
        </is>
      </c>
      <c r="I1338" s="23" t="inlineStr">
        <is>
          <t>Carried forward</t>
        </is>
      </c>
      <c r="J1338" s="23" t="inlineStr">
        <is>
          <t>Source assignment -- not individually reviewed</t>
        </is>
      </c>
      <c r="K1338" s="23" t="inlineStr"/>
      <c r="L1338" s="23" t="inlineStr"/>
      <c r="M1338" s="23" t="inlineStr"/>
      <c r="N1338" s="14" t="inlineStr">
        <is>
          <t>10 EVIDENCE &amp; DECISIONS</t>
        </is>
      </c>
    </row>
    <row r="1339" ht="34" customHeight="1">
      <c r="A1339" s="23" t="inlineStr">
        <is>
          <t>Cost &amp; Forecast Control Accounts</t>
        </is>
      </c>
      <c r="B1339" s="23" t="inlineStr">
        <is>
          <t>CST-06-032</t>
        </is>
      </c>
      <c r="C1339" s="23" t="inlineStr">
        <is>
          <t>Program Management - stakeholder services - allowance</t>
        </is>
      </c>
      <c r="D1339" s="23" t="inlineStr">
        <is>
          <t>Cost Account = CA-6032; WBS Code = 1.6.2</t>
        </is>
      </c>
      <c r="E1339" s="23" t="inlineStr">
        <is>
          <t>R1514-v2</t>
        </is>
      </c>
      <c r="F1339" s="23" t="inlineStr">
        <is>
          <t>1.6.2 Program Management - Commercial &amp; Procurement</t>
        </is>
      </c>
      <c r="G1339" s="23" t="inlineStr">
        <is>
          <t>ONE_TO_ONE</t>
        </is>
      </c>
      <c r="H1339" s="23" t="inlineStr">
        <is>
          <t>RETAINED</t>
        </is>
      </c>
      <c r="I1339" s="23" t="inlineStr">
        <is>
          <t>Carried forward</t>
        </is>
      </c>
      <c r="J1339" s="23" t="inlineStr">
        <is>
          <t>Source assignment -- not individually reviewed</t>
        </is>
      </c>
      <c r="K1339" s="23" t="inlineStr"/>
      <c r="L1339" s="23" t="inlineStr"/>
      <c r="M1339" s="23" t="inlineStr"/>
      <c r="N1339" s="14" t="inlineStr">
        <is>
          <t>10 EVIDENCE &amp; DECISIONS</t>
        </is>
      </c>
    </row>
    <row r="1340" ht="34" customHeight="1">
      <c r="A1340" s="23" t="inlineStr">
        <is>
          <t>Cost &amp; Forecast Control Accounts</t>
        </is>
      </c>
      <c r="B1340" s="23" t="inlineStr">
        <is>
          <t>CST-06-034</t>
        </is>
      </c>
      <c r="C1340" s="23" t="inlineStr">
        <is>
          <t>Program Management - design integration - field package</t>
        </is>
      </c>
      <c r="D1340" s="23" t="inlineStr">
        <is>
          <t>Cost Account = CA-6034; WBS Code = 1.6.2</t>
        </is>
      </c>
      <c r="E1340" s="23" t="inlineStr">
        <is>
          <t>R1516-v2</t>
        </is>
      </c>
      <c r="F1340" s="23" t="inlineStr">
        <is>
          <t>1.6.2 Program Management - Commercial &amp; Procurement</t>
        </is>
      </c>
      <c r="G1340" s="23" t="inlineStr">
        <is>
          <t>ONE_TO_ONE</t>
        </is>
      </c>
      <c r="H1340" s="23" t="inlineStr">
        <is>
          <t>RETAINED</t>
        </is>
      </c>
      <c r="I1340" s="23" t="inlineStr">
        <is>
          <t>Carried forward</t>
        </is>
      </c>
      <c r="J1340" s="23" t="inlineStr">
        <is>
          <t>Source assignment -- not individually reviewed</t>
        </is>
      </c>
      <c r="K1340" s="23" t="inlineStr"/>
      <c r="L1340" s="23" t="inlineStr"/>
      <c r="M1340" s="23" t="inlineStr"/>
      <c r="N1340" s="14" t="inlineStr">
        <is>
          <t>10 EVIDENCE &amp; DECISIONS</t>
        </is>
      </c>
    </row>
    <row r="1341" ht="34" customHeight="1">
      <c r="A1341" s="23" t="inlineStr">
        <is>
          <t>Cost &amp; Forecast Control Accounts</t>
        </is>
      </c>
      <c r="B1341" s="23" t="inlineStr">
        <is>
          <t>CST-06-036</t>
        </is>
      </c>
      <c r="C1341" s="23" t="inlineStr">
        <is>
          <t>Program Management - program controls - professional services</t>
        </is>
      </c>
      <c r="D1341" s="23" t="inlineStr">
        <is>
          <t>Cost Account = CA-6036; WBS Code = 1.6.2</t>
        </is>
      </c>
      <c r="E1341" s="23" t="inlineStr">
        <is>
          <t>R1518-v2</t>
        </is>
      </c>
      <c r="F1341" s="23" t="inlineStr">
        <is>
          <t>1.6.2 Program Management - Commercial &amp; Procurement</t>
        </is>
      </c>
      <c r="G1341" s="23" t="inlineStr">
        <is>
          <t>ONE_TO_ONE</t>
        </is>
      </c>
      <c r="H1341" s="23" t="inlineStr">
        <is>
          <t>RETAINED</t>
        </is>
      </c>
      <c r="I1341" s="23" t="inlineStr">
        <is>
          <t>Carried forward</t>
        </is>
      </c>
      <c r="J1341" s="23" t="inlineStr">
        <is>
          <t>Source assignment -- not individually reviewed</t>
        </is>
      </c>
      <c r="K1341" s="23" t="inlineStr"/>
      <c r="L1341" s="23" t="inlineStr"/>
      <c r="M1341" s="23" t="inlineStr"/>
      <c r="N1341" s="14" t="inlineStr">
        <is>
          <t>10 EVIDENCE &amp; DECISIONS</t>
        </is>
      </c>
    </row>
    <row r="1342" ht="34" customHeight="1">
      <c r="A1342" s="23" t="inlineStr">
        <is>
          <t>Cost &amp; Forecast Control Accounts</t>
        </is>
      </c>
      <c r="B1342" s="23" t="inlineStr">
        <is>
          <t>CST-06-038</t>
        </is>
      </c>
      <c r="C1342" s="23" t="inlineStr">
        <is>
          <t>Program Management - stakeholder services - closeout</t>
        </is>
      </c>
      <c r="D1342" s="23" t="inlineStr">
        <is>
          <t>Cost Account = CA-6038; WBS Code = 1.6.2</t>
        </is>
      </c>
      <c r="E1342" s="23" t="inlineStr">
        <is>
          <t>R1520-v2</t>
        </is>
      </c>
      <c r="F1342" s="23" t="inlineStr">
        <is>
          <t>1.6.2 Program Management - Commercial &amp; Procurement</t>
        </is>
      </c>
      <c r="G1342" s="23" t="inlineStr">
        <is>
          <t>ONE_TO_ONE</t>
        </is>
      </c>
      <c r="H1342" s="23" t="inlineStr">
        <is>
          <t>RETAINED</t>
        </is>
      </c>
      <c r="I1342" s="23" t="inlineStr">
        <is>
          <t>Carried forward</t>
        </is>
      </c>
      <c r="J1342" s="23" t="inlineStr">
        <is>
          <t>Source assignment -- not individually reviewed</t>
        </is>
      </c>
      <c r="K1342" s="23" t="inlineStr"/>
      <c r="L1342" s="23" t="inlineStr"/>
      <c r="M1342" s="23" t="inlineStr"/>
      <c r="N1342" s="14" t="inlineStr">
        <is>
          <t>10 EVIDENCE &amp; DECISIONS</t>
        </is>
      </c>
    </row>
    <row r="1343" ht="34" customHeight="1">
      <c r="A1343" s="23" t="inlineStr">
        <is>
          <t>Cost &amp; Forecast Control Accounts</t>
        </is>
      </c>
      <c r="B1343" s="23" t="inlineStr">
        <is>
          <t>CST-06-040</t>
        </is>
      </c>
      <c r="C1343" s="23" t="inlineStr">
        <is>
          <t>Program Management - design integration - supply and install</t>
        </is>
      </c>
      <c r="D1343" s="23" t="inlineStr">
        <is>
          <t>Cost Account = CA-6040; WBS Code = 1.6.2</t>
        </is>
      </c>
      <c r="E1343" s="23" t="inlineStr">
        <is>
          <t>R1522-v2</t>
        </is>
      </c>
      <c r="F1343" s="23" t="inlineStr">
        <is>
          <t>1.6.2 Program Management - Commercial &amp; Procurement</t>
        </is>
      </c>
      <c r="G1343" s="23" t="inlineStr">
        <is>
          <t>ONE_TO_ONE</t>
        </is>
      </c>
      <c r="H1343" s="23" t="inlineStr">
        <is>
          <t>RETAINED</t>
        </is>
      </c>
      <c r="I1343" s="23" t="inlineStr">
        <is>
          <t>Carried forward</t>
        </is>
      </c>
      <c r="J1343" s="23" t="inlineStr">
        <is>
          <t>Source assignment -- not individually reviewed</t>
        </is>
      </c>
      <c r="K1343" s="23" t="inlineStr"/>
      <c r="L1343" s="23" t="inlineStr"/>
      <c r="M1343" s="23" t="inlineStr"/>
      <c r="N1343" s="14" t="inlineStr">
        <is>
          <t>10 EVIDENCE &amp; DECISIONS</t>
        </is>
      </c>
    </row>
    <row r="1344" ht="34" customHeight="1">
      <c r="A1344" s="23" t="inlineStr">
        <is>
          <t>Cost &amp; Forecast Control Accounts</t>
        </is>
      </c>
      <c r="B1344" s="23" t="inlineStr">
        <is>
          <t>CST-06-042</t>
        </is>
      </c>
      <c r="C1344" s="23" t="inlineStr">
        <is>
          <t>Program Management - program controls - allowance</t>
        </is>
      </c>
      <c r="D1344" s="23" t="inlineStr">
        <is>
          <t>Cost Account = CA-6042; WBS Code = 1.6.2</t>
        </is>
      </c>
      <c r="E1344" s="23" t="inlineStr">
        <is>
          <t>R1524-v2</t>
        </is>
      </c>
      <c r="F1344" s="23" t="inlineStr">
        <is>
          <t>1.6.2 Program Management - Commercial &amp; Procurement</t>
        </is>
      </c>
      <c r="G1344" s="23" t="inlineStr">
        <is>
          <t>ONE_TO_ONE</t>
        </is>
      </c>
      <c r="H1344" s="23" t="inlineStr">
        <is>
          <t>RETAINED</t>
        </is>
      </c>
      <c r="I1344" s="23" t="inlineStr">
        <is>
          <t>Carried forward</t>
        </is>
      </c>
      <c r="J1344" s="23" t="inlineStr">
        <is>
          <t>Source assignment -- not individually reviewed</t>
        </is>
      </c>
      <c r="K1344" s="23" t="inlineStr"/>
      <c r="L1344" s="23" t="inlineStr"/>
      <c r="M1344" s="23" t="inlineStr"/>
      <c r="N1344" s="14" t="inlineStr">
        <is>
          <t>10 EVIDENCE &amp; DECISIONS</t>
        </is>
      </c>
    </row>
    <row r="1345" ht="34" customHeight="1">
      <c r="A1345" s="23" t="inlineStr">
        <is>
          <t>Cost &amp; Forecast Control Accounts</t>
        </is>
      </c>
      <c r="B1345" s="23" t="inlineStr">
        <is>
          <t>CST-06-044</t>
        </is>
      </c>
      <c r="C1345" s="23" t="inlineStr">
        <is>
          <t>Program Management - stakeholder services - field package</t>
        </is>
      </c>
      <c r="D1345" s="23" t="inlineStr">
        <is>
          <t>Cost Account = CA-6044; WBS Code = 1.6.2</t>
        </is>
      </c>
      <c r="E1345" s="23" t="inlineStr">
        <is>
          <t>R1526-v2</t>
        </is>
      </c>
      <c r="F1345" s="23" t="inlineStr">
        <is>
          <t>1.6.2 Program Management - Commercial &amp; Procurement</t>
        </is>
      </c>
      <c r="G1345" s="23" t="inlineStr">
        <is>
          <t>ONE_TO_ONE</t>
        </is>
      </c>
      <c r="H1345" s="23" t="inlineStr">
        <is>
          <t>RETAINED</t>
        </is>
      </c>
      <c r="I1345" s="23" t="inlineStr">
        <is>
          <t>Carried forward</t>
        </is>
      </c>
      <c r="J1345" s="23" t="inlineStr">
        <is>
          <t>Source assignment -- not individually reviewed</t>
        </is>
      </c>
      <c r="K1345" s="23" t="inlineStr"/>
      <c r="L1345" s="23" t="inlineStr"/>
      <c r="M1345" s="23" t="inlineStr"/>
      <c r="N1345" s="14" t="inlineStr">
        <is>
          <t>10 EVIDENCE &amp; DECISIONS</t>
        </is>
      </c>
    </row>
    <row r="1346" ht="34" customHeight="1">
      <c r="A1346" s="23" t="inlineStr">
        <is>
          <t>Cost &amp; Forecast Control Accounts</t>
        </is>
      </c>
      <c r="B1346" s="23" t="inlineStr">
        <is>
          <t>CST-06-046</t>
        </is>
      </c>
      <c r="C1346" s="23" t="inlineStr">
        <is>
          <t>Program Management - design integration - professional services</t>
        </is>
      </c>
      <c r="D1346" s="23" t="inlineStr">
        <is>
          <t>Cost Account = CA-6046; WBS Code = 1.6.2</t>
        </is>
      </c>
      <c r="E1346" s="23" t="inlineStr">
        <is>
          <t>R1528-v2</t>
        </is>
      </c>
      <c r="F1346" s="23" t="inlineStr">
        <is>
          <t>1.6.2 Program Management - Commercial &amp; Procurement</t>
        </is>
      </c>
      <c r="G1346" s="23" t="inlineStr">
        <is>
          <t>ONE_TO_ONE</t>
        </is>
      </c>
      <c r="H1346" s="23" t="inlineStr">
        <is>
          <t>RETAINED</t>
        </is>
      </c>
      <c r="I1346" s="23" t="inlineStr">
        <is>
          <t>Carried forward</t>
        </is>
      </c>
      <c r="J1346" s="23" t="inlineStr">
        <is>
          <t>Source assignment -- not individually reviewed</t>
        </is>
      </c>
      <c r="K1346" s="23" t="inlineStr"/>
      <c r="L1346" s="23" t="inlineStr"/>
      <c r="M1346" s="23" t="inlineStr"/>
      <c r="N1346" s="14" t="inlineStr">
        <is>
          <t>10 EVIDENCE &amp; DECISIONS</t>
        </is>
      </c>
    </row>
    <row r="1347" ht="34" customHeight="1">
      <c r="A1347" s="23" t="inlineStr">
        <is>
          <t>Cost &amp; Forecast Control Accounts</t>
        </is>
      </c>
      <c r="B1347" s="23" t="inlineStr">
        <is>
          <t>CST-06-048</t>
        </is>
      </c>
      <c r="C1347" s="23" t="inlineStr">
        <is>
          <t>Program Management - program controls - closeout</t>
        </is>
      </c>
      <c r="D1347" s="23" t="inlineStr">
        <is>
          <t>Cost Account = CA-6048; WBS Code = 1.6.2</t>
        </is>
      </c>
      <c r="E1347" s="23" t="inlineStr">
        <is>
          <t>R1530-v2</t>
        </is>
      </c>
      <c r="F1347" s="23" t="inlineStr">
        <is>
          <t>1.6.2 Program Management - Commercial &amp; Procurement</t>
        </is>
      </c>
      <c r="G1347" s="23" t="inlineStr">
        <is>
          <t>ONE_TO_ONE</t>
        </is>
      </c>
      <c r="H1347" s="23" t="inlineStr">
        <is>
          <t>RETAINED</t>
        </is>
      </c>
      <c r="I1347" s="23" t="inlineStr">
        <is>
          <t>Carried forward</t>
        </is>
      </c>
      <c r="J1347" s="23" t="inlineStr">
        <is>
          <t>Source assignment -- not individually reviewed</t>
        </is>
      </c>
      <c r="K1347" s="23" t="inlineStr"/>
      <c r="L1347" s="23" t="inlineStr"/>
      <c r="M1347" s="23" t="inlineStr"/>
      <c r="N1347" s="14" t="inlineStr">
        <is>
          <t>10 EVIDENCE &amp; DECISIONS</t>
        </is>
      </c>
    </row>
    <row r="1348" ht="34" customHeight="1">
      <c r="A1348" s="23" t="inlineStr">
        <is>
          <t>Cost &amp; Forecast Control Accounts</t>
        </is>
      </c>
      <c r="B1348" s="23" t="inlineStr">
        <is>
          <t>CST-06-050</t>
        </is>
      </c>
      <c r="C1348" s="23" t="inlineStr">
        <is>
          <t>Program Management - stakeholder services - supply and install</t>
        </is>
      </c>
      <c r="D1348" s="23" t="inlineStr">
        <is>
          <t>Cost Account = CA-6050; WBS Code = 1.6.2</t>
        </is>
      </c>
      <c r="E1348" s="23" t="inlineStr">
        <is>
          <t>R1532-v2</t>
        </is>
      </c>
      <c r="F1348" s="23" t="inlineStr">
        <is>
          <t>1.6.2 Program Management - Commercial &amp; Procurement</t>
        </is>
      </c>
      <c r="G1348" s="23" t="inlineStr">
        <is>
          <t>ONE_TO_ONE</t>
        </is>
      </c>
      <c r="H1348" s="23" t="inlineStr">
        <is>
          <t>RETAINED</t>
        </is>
      </c>
      <c r="I1348" s="23" t="inlineStr">
        <is>
          <t>Carried forward</t>
        </is>
      </c>
      <c r="J1348" s="23" t="inlineStr">
        <is>
          <t>Source assignment -- not individually reviewed</t>
        </is>
      </c>
      <c r="K1348" s="23" t="inlineStr"/>
      <c r="L1348" s="23" t="inlineStr"/>
      <c r="M1348" s="23" t="inlineStr"/>
      <c r="N1348" s="14" t="inlineStr">
        <is>
          <t>10 EVIDENCE &amp; DECISIONS</t>
        </is>
      </c>
    </row>
    <row r="1349" ht="34" customHeight="1">
      <c r="A1349" s="23" t="inlineStr">
        <is>
          <t>Cost &amp; Forecast Control Accounts</t>
        </is>
      </c>
      <c r="B1349" s="23" t="inlineStr">
        <is>
          <t>CST-06-052</t>
        </is>
      </c>
      <c r="C1349" s="23" t="inlineStr">
        <is>
          <t>Program Management - design integration - allowance</t>
        </is>
      </c>
      <c r="D1349" s="23" t="inlineStr">
        <is>
          <t>Cost Account = CA-6052; WBS Code = 1.6.2</t>
        </is>
      </c>
      <c r="E1349" s="23" t="inlineStr">
        <is>
          <t>R1534-v2</t>
        </is>
      </c>
      <c r="F1349" s="23" t="inlineStr">
        <is>
          <t>1.6.2 Program Management - Commercial &amp; Procurement</t>
        </is>
      </c>
      <c r="G1349" s="23" t="inlineStr">
        <is>
          <t>ONE_TO_ONE</t>
        </is>
      </c>
      <c r="H1349" s="23" t="inlineStr">
        <is>
          <t>RETAINED</t>
        </is>
      </c>
      <c r="I1349" s="23" t="inlineStr">
        <is>
          <t>Carried forward</t>
        </is>
      </c>
      <c r="J1349" s="23" t="inlineStr">
        <is>
          <t>Source assignment -- not individually reviewed</t>
        </is>
      </c>
      <c r="K1349" s="23" t="inlineStr"/>
      <c r="L1349" s="23" t="inlineStr"/>
      <c r="M1349" s="23" t="inlineStr"/>
      <c r="N1349" s="14" t="inlineStr">
        <is>
          <t>10 EVIDENCE &amp; DECISIONS</t>
        </is>
      </c>
    </row>
    <row r="1350" ht="34" customHeight="1">
      <c r="A1350" s="23" t="inlineStr">
        <is>
          <t>Cost &amp; Forecast Control Accounts</t>
        </is>
      </c>
      <c r="B1350" s="23" t="inlineStr">
        <is>
          <t>CST-06-054</t>
        </is>
      </c>
      <c r="C1350" s="23" t="inlineStr">
        <is>
          <t>Program Management - program controls - field package</t>
        </is>
      </c>
      <c r="D1350" s="23" t="inlineStr">
        <is>
          <t>Cost Account = CA-6054; WBS Code = 1.6.2</t>
        </is>
      </c>
      <c r="E1350" s="23" t="inlineStr">
        <is>
          <t>R1536-v2</t>
        </is>
      </c>
      <c r="F1350" s="23" t="inlineStr">
        <is>
          <t>1.6.2 Program Management - Commercial &amp; Procurement</t>
        </is>
      </c>
      <c r="G1350" s="23" t="inlineStr">
        <is>
          <t>ONE_TO_ONE</t>
        </is>
      </c>
      <c r="H1350" s="23" t="inlineStr">
        <is>
          <t>RETAINED</t>
        </is>
      </c>
      <c r="I1350" s="23" t="inlineStr">
        <is>
          <t>Carried forward</t>
        </is>
      </c>
      <c r="J1350" s="23" t="inlineStr">
        <is>
          <t>Source assignment -- not individually reviewed</t>
        </is>
      </c>
      <c r="K1350" s="23" t="inlineStr"/>
      <c r="L1350" s="23" t="inlineStr"/>
      <c r="M1350" s="23" t="inlineStr"/>
      <c r="N1350" s="14" t="inlineStr">
        <is>
          <t>10 EVIDENCE &amp; DECISIONS</t>
        </is>
      </c>
    </row>
    <row r="1351" ht="34" customHeight="1">
      <c r="A1351" s="23" t="inlineStr">
        <is>
          <t>Cost &amp; Forecast Control Accounts</t>
        </is>
      </c>
      <c r="B1351" s="23" t="inlineStr">
        <is>
          <t>CST-06-056</t>
        </is>
      </c>
      <c r="C1351" s="23" t="inlineStr">
        <is>
          <t>Program Management - stakeholder services - professional services</t>
        </is>
      </c>
      <c r="D1351" s="23" t="inlineStr">
        <is>
          <t>Cost Account = CA-6056; WBS Code = 1.6.2</t>
        </is>
      </c>
      <c r="E1351" s="23" t="inlineStr">
        <is>
          <t>R1538-v2</t>
        </is>
      </c>
      <c r="F1351" s="23" t="inlineStr">
        <is>
          <t>1.6.2 Program Management - Commercial &amp; Procurement</t>
        </is>
      </c>
      <c r="G1351" s="23" t="inlineStr">
        <is>
          <t>ONE_TO_ONE</t>
        </is>
      </c>
      <c r="H1351" s="23" t="inlineStr">
        <is>
          <t>RETAINED</t>
        </is>
      </c>
      <c r="I1351" s="23" t="inlineStr">
        <is>
          <t>Carried forward</t>
        </is>
      </c>
      <c r="J1351" s="23" t="inlineStr">
        <is>
          <t>Source assignment -- not individually reviewed</t>
        </is>
      </c>
      <c r="K1351" s="23" t="inlineStr"/>
      <c r="L1351" s="23" t="inlineStr"/>
      <c r="M1351" s="23" t="inlineStr"/>
      <c r="N1351" s="14" t="inlineStr">
        <is>
          <t>10 EVIDENCE &amp; DECISIONS</t>
        </is>
      </c>
    </row>
    <row r="1352" ht="34" customHeight="1">
      <c r="A1352" s="23" t="inlineStr">
        <is>
          <t>Cost &amp; Forecast Control Accounts</t>
        </is>
      </c>
      <c r="B1352" s="23" t="inlineStr">
        <is>
          <t>CST-06-058</t>
        </is>
      </c>
      <c r="C1352" s="23" t="inlineStr">
        <is>
          <t>Program Management - design integration - closeout</t>
        </is>
      </c>
      <c r="D1352" s="23" t="inlineStr">
        <is>
          <t>Cost Account = CA-6058; WBS Code = 1.6.2</t>
        </is>
      </c>
      <c r="E1352" s="23" t="inlineStr">
        <is>
          <t>R1540-v2</t>
        </is>
      </c>
      <c r="F1352" s="23" t="inlineStr">
        <is>
          <t>1.6.2 Program Management - Commercial &amp; Procurement</t>
        </is>
      </c>
      <c r="G1352" s="23" t="inlineStr">
        <is>
          <t>ONE_TO_ONE</t>
        </is>
      </c>
      <c r="H1352" s="23" t="inlineStr">
        <is>
          <t>RETAINED</t>
        </is>
      </c>
      <c r="I1352" s="23" t="inlineStr">
        <is>
          <t>Carried forward</t>
        </is>
      </c>
      <c r="J1352" s="23" t="inlineStr">
        <is>
          <t>Source assignment -- not individually reviewed</t>
        </is>
      </c>
      <c r="K1352" s="23" t="inlineStr"/>
      <c r="L1352" s="23" t="inlineStr"/>
      <c r="M1352" s="23" t="inlineStr"/>
      <c r="N1352" s="14" t="inlineStr">
        <is>
          <t>10 EVIDENCE &amp; DECISIONS</t>
        </is>
      </c>
    </row>
    <row r="1353" ht="34" customHeight="1">
      <c r="A1353" s="23" t="inlineStr">
        <is>
          <t>Cost &amp; Forecast Control Accounts</t>
        </is>
      </c>
      <c r="B1353" s="23" t="inlineStr">
        <is>
          <t>CST-06-060</t>
        </is>
      </c>
      <c r="C1353" s="23" t="inlineStr">
        <is>
          <t>Program Management - program controls - supply and install</t>
        </is>
      </c>
      <c r="D1353" s="23" t="inlineStr">
        <is>
          <t>Cost Account = CA-6060; WBS Code = 1.6.2</t>
        </is>
      </c>
      <c r="E1353" s="23" t="inlineStr">
        <is>
          <t>R1542-v2</t>
        </is>
      </c>
      <c r="F1353" s="23" t="inlineStr">
        <is>
          <t>1.6.2 Program Management - Commercial &amp; Procurement</t>
        </is>
      </c>
      <c r="G1353" s="23" t="inlineStr">
        <is>
          <t>ONE_TO_ONE</t>
        </is>
      </c>
      <c r="H1353" s="23" t="inlineStr">
        <is>
          <t>RETAINED</t>
        </is>
      </c>
      <c r="I1353" s="23" t="inlineStr">
        <is>
          <t>Carried forward</t>
        </is>
      </c>
      <c r="J1353" s="23" t="inlineStr">
        <is>
          <t>Source assignment -- not individually reviewed</t>
        </is>
      </c>
      <c r="K1353" s="23" t="inlineStr"/>
      <c r="L1353" s="23" t="inlineStr"/>
      <c r="M1353" s="23" t="inlineStr"/>
      <c r="N1353" s="14" t="inlineStr">
        <is>
          <t>10 EVIDENCE &amp; DECISIONS</t>
        </is>
      </c>
    </row>
    <row r="1354" ht="34" customHeight="1">
      <c r="A1354" s="23" t="inlineStr">
        <is>
          <t>Cost &amp; Forecast Control Accounts</t>
        </is>
      </c>
      <c r="B1354" s="23" t="inlineStr">
        <is>
          <t>CST-06-062</t>
        </is>
      </c>
      <c r="C1354" s="23" t="inlineStr">
        <is>
          <t>Program Management - stakeholder services - allowance</t>
        </is>
      </c>
      <c r="D1354" s="23" t="inlineStr">
        <is>
          <t>Cost Account = CA-6062; WBS Code = 1.6.2</t>
        </is>
      </c>
      <c r="E1354" s="23" t="inlineStr">
        <is>
          <t>R1544-v2</t>
        </is>
      </c>
      <c r="F1354" s="23" t="inlineStr">
        <is>
          <t>1.6.2 Program Management - Commercial &amp; Procurement</t>
        </is>
      </c>
      <c r="G1354" s="23" t="inlineStr">
        <is>
          <t>ONE_TO_ONE</t>
        </is>
      </c>
      <c r="H1354" s="23" t="inlineStr">
        <is>
          <t>RETAINED</t>
        </is>
      </c>
      <c r="I1354" s="23" t="inlineStr">
        <is>
          <t>Carried forward</t>
        </is>
      </c>
      <c r="J1354" s="23" t="inlineStr">
        <is>
          <t>Source assignment -- not individually reviewed</t>
        </is>
      </c>
      <c r="K1354" s="23" t="inlineStr"/>
      <c r="L1354" s="23" t="inlineStr"/>
      <c r="M1354" s="23" t="inlineStr"/>
      <c r="N1354" s="14" t="inlineStr">
        <is>
          <t>10 EVIDENCE &amp; DECISIONS</t>
        </is>
      </c>
    </row>
    <row r="1355" ht="34" customHeight="1">
      <c r="A1355" s="23" t="inlineStr">
        <is>
          <t>Cost &amp; Forecast Control Accounts</t>
        </is>
      </c>
      <c r="B1355" s="23" t="inlineStr">
        <is>
          <t>CST-06-064</t>
        </is>
      </c>
      <c r="C1355" s="23" t="inlineStr">
        <is>
          <t>Program Management - design integration - field package</t>
        </is>
      </c>
      <c r="D1355" s="23" t="inlineStr">
        <is>
          <t>Cost Account = CA-6064; WBS Code = 1.6.2</t>
        </is>
      </c>
      <c r="E1355" s="23" t="inlineStr">
        <is>
          <t>R1546-v2</t>
        </is>
      </c>
      <c r="F1355" s="23" t="inlineStr">
        <is>
          <t>1.6.2 Program Management - Commercial &amp; Procurement</t>
        </is>
      </c>
      <c r="G1355" s="23" t="inlineStr">
        <is>
          <t>ONE_TO_ONE</t>
        </is>
      </c>
      <c r="H1355" s="23" t="inlineStr">
        <is>
          <t>RETAINED</t>
        </is>
      </c>
      <c r="I1355" s="23" t="inlineStr">
        <is>
          <t>Carried forward</t>
        </is>
      </c>
      <c r="J1355" s="23" t="inlineStr">
        <is>
          <t>Source assignment -- not individually reviewed</t>
        </is>
      </c>
      <c r="K1355" s="23" t="inlineStr"/>
      <c r="L1355" s="23" t="inlineStr"/>
      <c r="M1355" s="23" t="inlineStr"/>
      <c r="N1355" s="14" t="inlineStr">
        <is>
          <t>10 EVIDENCE &amp; DECISIONS</t>
        </is>
      </c>
    </row>
    <row r="1356" ht="34" customHeight="1">
      <c r="A1356" s="23" t="inlineStr">
        <is>
          <t>Cost &amp; Forecast Control Accounts</t>
        </is>
      </c>
      <c r="B1356" s="23" t="inlineStr">
        <is>
          <t>CST-06-066</t>
        </is>
      </c>
      <c r="C1356" s="23" t="inlineStr">
        <is>
          <t>Program Management - program controls - professional services</t>
        </is>
      </c>
      <c r="D1356" s="23" t="inlineStr">
        <is>
          <t>Cost Account = CA-6066; WBS Code = 1.6.2</t>
        </is>
      </c>
      <c r="E1356" s="23" t="inlineStr">
        <is>
          <t>R1548-v2</t>
        </is>
      </c>
      <c r="F1356" s="23" t="inlineStr">
        <is>
          <t>1.6.2 Program Management - Commercial &amp; Procurement</t>
        </is>
      </c>
      <c r="G1356" s="23" t="inlineStr">
        <is>
          <t>ONE_TO_ONE</t>
        </is>
      </c>
      <c r="H1356" s="23" t="inlineStr">
        <is>
          <t>RETAINED</t>
        </is>
      </c>
      <c r="I1356" s="23" t="inlineStr">
        <is>
          <t>Carried forward</t>
        </is>
      </c>
      <c r="J1356" s="23" t="inlineStr">
        <is>
          <t>Source assignment -- not individually reviewed</t>
        </is>
      </c>
      <c r="K1356" s="23" t="inlineStr"/>
      <c r="L1356" s="23" t="inlineStr"/>
      <c r="M1356" s="23" t="inlineStr"/>
      <c r="N1356" s="14" t="inlineStr">
        <is>
          <t>10 EVIDENCE &amp; DECISIONS</t>
        </is>
      </c>
    </row>
    <row r="1357" ht="34" customHeight="1">
      <c r="A1357" s="23" t="inlineStr">
        <is>
          <t>Cost &amp; Forecast Control Accounts</t>
        </is>
      </c>
      <c r="B1357" s="23" t="inlineStr">
        <is>
          <t>CST-06-068</t>
        </is>
      </c>
      <c r="C1357" s="23" t="inlineStr">
        <is>
          <t>Program Management - stakeholder services - closeout</t>
        </is>
      </c>
      <c r="D1357" s="23" t="inlineStr">
        <is>
          <t>Cost Account = CA-6068; WBS Code = 1.6.2</t>
        </is>
      </c>
      <c r="E1357" s="23" t="inlineStr">
        <is>
          <t>R1550-v2</t>
        </is>
      </c>
      <c r="F1357" s="23" t="inlineStr">
        <is>
          <t>1.6.2 Program Management - Commercial &amp; Procurement</t>
        </is>
      </c>
      <c r="G1357" s="23" t="inlineStr">
        <is>
          <t>ONE_TO_ONE</t>
        </is>
      </c>
      <c r="H1357" s="23" t="inlineStr">
        <is>
          <t>RETAINED</t>
        </is>
      </c>
      <c r="I1357" s="23" t="inlineStr">
        <is>
          <t>Carried forward</t>
        </is>
      </c>
      <c r="J1357" s="23" t="inlineStr">
        <is>
          <t>Source assignment -- not individually reviewed</t>
        </is>
      </c>
      <c r="K1357" s="23" t="inlineStr"/>
      <c r="L1357" s="23" t="inlineStr"/>
      <c r="M1357" s="23" t="inlineStr"/>
      <c r="N1357" s="14" t="inlineStr">
        <is>
          <t>10 EVIDENCE &amp; DECISIONS</t>
        </is>
      </c>
    </row>
    <row r="1358" ht="34" customHeight="1">
      <c r="A1358" s="23" t="inlineStr">
        <is>
          <t>Cost &amp; Forecast Control Accounts</t>
        </is>
      </c>
      <c r="B1358" s="23" t="inlineStr">
        <is>
          <t>CST-06-070</t>
        </is>
      </c>
      <c r="C1358" s="23" t="inlineStr">
        <is>
          <t>Program Management - design integration - supply and install</t>
        </is>
      </c>
      <c r="D1358" s="23" t="inlineStr">
        <is>
          <t>Cost Account = CA-6070; WBS Code = 1.6.2</t>
        </is>
      </c>
      <c r="E1358" s="23" t="inlineStr">
        <is>
          <t>R1552-v2</t>
        </is>
      </c>
      <c r="F1358" s="23" t="inlineStr">
        <is>
          <t>1.6.2 Program Management - Commercial &amp; Procurement</t>
        </is>
      </c>
      <c r="G1358" s="23" t="inlineStr">
        <is>
          <t>ONE_TO_ONE</t>
        </is>
      </c>
      <c r="H1358" s="23" t="inlineStr">
        <is>
          <t>RETAINED</t>
        </is>
      </c>
      <c r="I1358" s="23" t="inlineStr">
        <is>
          <t>Carried forward</t>
        </is>
      </c>
      <c r="J1358" s="23" t="inlineStr">
        <is>
          <t>Source assignment -- not individually reviewed</t>
        </is>
      </c>
      <c r="K1358" s="23" t="inlineStr"/>
      <c r="L1358" s="23" t="inlineStr"/>
      <c r="M1358" s="23" t="inlineStr"/>
      <c r="N1358" s="14" t="inlineStr">
        <is>
          <t>10 EVIDENCE &amp; DECISIONS</t>
        </is>
      </c>
    </row>
    <row r="1359" ht="34" customHeight="1">
      <c r="A1359" s="23" t="inlineStr">
        <is>
          <t>Cost &amp; Forecast Control Accounts</t>
        </is>
      </c>
      <c r="B1359" s="23" t="inlineStr">
        <is>
          <t>CST-06-072</t>
        </is>
      </c>
      <c r="C1359" s="23" t="inlineStr">
        <is>
          <t>Program Management - program controls - allowance</t>
        </is>
      </c>
      <c r="D1359" s="23" t="inlineStr">
        <is>
          <t>Cost Account = CA-6072; WBS Code = 1.6.2</t>
        </is>
      </c>
      <c r="E1359" s="23" t="inlineStr">
        <is>
          <t>R1554-v2</t>
        </is>
      </c>
      <c r="F1359" s="23" t="inlineStr">
        <is>
          <t>1.6.2 Program Management - Commercial &amp; Procurement</t>
        </is>
      </c>
      <c r="G1359" s="23" t="inlineStr">
        <is>
          <t>ONE_TO_ONE</t>
        </is>
      </c>
      <c r="H1359" s="23" t="inlineStr">
        <is>
          <t>RETAINED</t>
        </is>
      </c>
      <c r="I1359" s="23" t="inlineStr">
        <is>
          <t>Carried forward</t>
        </is>
      </c>
      <c r="J1359" s="23" t="inlineStr">
        <is>
          <t>Source assignment -- not individually reviewed</t>
        </is>
      </c>
      <c r="K1359" s="23" t="inlineStr"/>
      <c r="L1359" s="23" t="inlineStr"/>
      <c r="M1359" s="23" t="inlineStr"/>
      <c r="N1359" s="14" t="inlineStr">
        <is>
          <t>10 EVIDENCE &amp; DECISIONS</t>
        </is>
      </c>
    </row>
    <row r="1360" ht="34" customHeight="1">
      <c r="A1360" s="23" t="inlineStr">
        <is>
          <t>Cost &amp; Forecast Control Accounts</t>
        </is>
      </c>
      <c r="B1360" s="23" t="inlineStr">
        <is>
          <t>CST-06-074</t>
        </is>
      </c>
      <c r="C1360" s="23" t="inlineStr">
        <is>
          <t>Program Management - stakeholder services - field package</t>
        </is>
      </c>
      <c r="D1360" s="23" t="inlineStr">
        <is>
          <t>Cost Account = CA-6074; WBS Code = 1.6.2</t>
        </is>
      </c>
      <c r="E1360" s="23" t="inlineStr">
        <is>
          <t>R1556-v2</t>
        </is>
      </c>
      <c r="F1360" s="23" t="inlineStr">
        <is>
          <t>1.6.2 Program Management - Commercial &amp; Procurement</t>
        </is>
      </c>
      <c r="G1360" s="23" t="inlineStr">
        <is>
          <t>ONE_TO_ONE</t>
        </is>
      </c>
      <c r="H1360" s="23" t="inlineStr">
        <is>
          <t>RETAINED</t>
        </is>
      </c>
      <c r="I1360" s="23" t="inlineStr">
        <is>
          <t>Carried forward</t>
        </is>
      </c>
      <c r="J1360" s="23" t="inlineStr">
        <is>
          <t>Source assignment -- not individually reviewed</t>
        </is>
      </c>
      <c r="K1360" s="23" t="inlineStr"/>
      <c r="L1360" s="23" t="inlineStr"/>
      <c r="M1360" s="23" t="inlineStr"/>
      <c r="N1360" s="14" t="inlineStr">
        <is>
          <t>10 EVIDENCE &amp; DECISIONS</t>
        </is>
      </c>
    </row>
    <row r="1361" ht="34" customHeight="1">
      <c r="A1361" s="23" t="inlineStr">
        <is>
          <t>Cost &amp; Forecast Control Accounts</t>
        </is>
      </c>
      <c r="B1361" s="23" t="inlineStr">
        <is>
          <t>CST-06-076</t>
        </is>
      </c>
      <c r="C1361" s="23" t="inlineStr">
        <is>
          <t>Program Management - design integration - professional services</t>
        </is>
      </c>
      <c r="D1361" s="23" t="inlineStr">
        <is>
          <t>Cost Account = CA-6076; WBS Code = 1.6.2</t>
        </is>
      </c>
      <c r="E1361" s="23" t="inlineStr">
        <is>
          <t>R1558-v2</t>
        </is>
      </c>
      <c r="F1361" s="23" t="inlineStr">
        <is>
          <t>1.6.2 Program Management - Commercial &amp; Procurement</t>
        </is>
      </c>
      <c r="G1361" s="23" t="inlineStr">
        <is>
          <t>ONE_TO_ONE</t>
        </is>
      </c>
      <c r="H1361" s="23" t="inlineStr">
        <is>
          <t>RETAINED</t>
        </is>
      </c>
      <c r="I1361" s="23" t="inlineStr">
        <is>
          <t>Carried forward</t>
        </is>
      </c>
      <c r="J1361" s="23" t="inlineStr">
        <is>
          <t>Source assignment -- not individually reviewed</t>
        </is>
      </c>
      <c r="K1361" s="23" t="inlineStr"/>
      <c r="L1361" s="23" t="inlineStr"/>
      <c r="M1361" s="23" t="inlineStr"/>
      <c r="N1361" s="14" t="inlineStr">
        <is>
          <t>10 EVIDENCE &amp; DECISIONS</t>
        </is>
      </c>
    </row>
    <row r="1362" ht="34" customHeight="1">
      <c r="A1362" s="23" t="inlineStr">
        <is>
          <t>Cost &amp; Forecast Control Accounts</t>
        </is>
      </c>
      <c r="B1362" s="23" t="inlineStr">
        <is>
          <t>CST-06-078</t>
        </is>
      </c>
      <c r="C1362" s="23" t="inlineStr">
        <is>
          <t>Program Management - program controls - closeout</t>
        </is>
      </c>
      <c r="D1362" s="23" t="inlineStr">
        <is>
          <t>Cost Account = CA-6078; WBS Code = 1.6.2</t>
        </is>
      </c>
      <c r="E1362" s="23" t="inlineStr">
        <is>
          <t>R1560-v2</t>
        </is>
      </c>
      <c r="F1362" s="23" t="inlineStr">
        <is>
          <t>1.6.2 Program Management - Commercial &amp; Procurement</t>
        </is>
      </c>
      <c r="G1362" s="23" t="inlineStr">
        <is>
          <t>ONE_TO_ONE</t>
        </is>
      </c>
      <c r="H1362" s="23" t="inlineStr">
        <is>
          <t>RETAINED</t>
        </is>
      </c>
      <c r="I1362" s="23" t="inlineStr">
        <is>
          <t>Carried forward</t>
        </is>
      </c>
      <c r="J1362" s="23" t="inlineStr">
        <is>
          <t>Source assignment -- not individually reviewed</t>
        </is>
      </c>
      <c r="K1362" s="23" t="inlineStr"/>
      <c r="L1362" s="23" t="inlineStr"/>
      <c r="M1362" s="23" t="inlineStr"/>
      <c r="N1362" s="14" t="inlineStr">
        <is>
          <t>10 EVIDENCE &amp; DECISIONS</t>
        </is>
      </c>
    </row>
    <row r="1363" ht="34" customHeight="1">
      <c r="A1363" s="23" t="inlineStr">
        <is>
          <t>Cost &amp; Forecast Control Accounts</t>
        </is>
      </c>
      <c r="B1363" s="23" t="inlineStr">
        <is>
          <t>CST-06-080</t>
        </is>
      </c>
      <c r="C1363" s="23" t="inlineStr">
        <is>
          <t>Program Management - stakeholder services - supply and install</t>
        </is>
      </c>
      <c r="D1363" s="23" t="inlineStr">
        <is>
          <t>Cost Account = CA-6080; WBS Code = 1.6.2</t>
        </is>
      </c>
      <c r="E1363" s="23" t="inlineStr">
        <is>
          <t>R1562-v2</t>
        </is>
      </c>
      <c r="F1363" s="23" t="inlineStr">
        <is>
          <t>1.6.2 Program Management - Commercial &amp; Procurement</t>
        </is>
      </c>
      <c r="G1363" s="23" t="inlineStr">
        <is>
          <t>ONE_TO_ONE</t>
        </is>
      </c>
      <c r="H1363" s="23" t="inlineStr">
        <is>
          <t>RETAINED</t>
        </is>
      </c>
      <c r="I1363" s="23" t="inlineStr">
        <is>
          <t>Carried forward</t>
        </is>
      </c>
      <c r="J1363" s="23" t="inlineStr">
        <is>
          <t>Source assignment -- not individually reviewed</t>
        </is>
      </c>
      <c r="K1363" s="23" t="inlineStr"/>
      <c r="L1363" s="23" t="inlineStr"/>
      <c r="M1363" s="23" t="inlineStr"/>
      <c r="N1363" s="14" t="inlineStr">
        <is>
          <t>10 EVIDENCE &amp; DECISIONS</t>
        </is>
      </c>
    </row>
    <row r="1364" ht="34" customHeight="1">
      <c r="A1364" s="23" t="inlineStr">
        <is>
          <t>Contractor Programme</t>
        </is>
      </c>
      <c r="B1364" s="23" t="inlineStr">
        <is>
          <t>SCH-90-902</t>
        </is>
      </c>
      <c r="C1364" s="23" t="inlineStr">
        <is>
          <t>Corporate training unrelated to project delivery scope</t>
        </is>
      </c>
      <c r="D1364" s="23" t="inlineStr"/>
      <c r="E1364" s="23" t="inlineStr">
        <is>
          <t>R1082-v3</t>
        </is>
      </c>
      <c r="F1364" s="23" t="inlineStr">
        <is>
          <t>NO_WBS</t>
        </is>
      </c>
      <c r="G1364" s="23" t="inlineStr">
        <is>
          <t>NO_WBS</t>
        </is>
      </c>
      <c r="H1364" s="23" t="inlineStr">
        <is>
          <t>RETAINED</t>
        </is>
      </c>
      <c r="I1364" s="23" t="inlineStr">
        <is>
          <t>Carried forward</t>
        </is>
      </c>
      <c r="J1364" s="23" t="inlineStr">
        <is>
          <t>Earlier professional decision, carried forward</t>
        </is>
      </c>
      <c r="K1364" s="23" t="inlineStr">
        <is>
          <t>Maya Chen, Owner Project Controls</t>
        </is>
      </c>
      <c r="L1364" s="23" t="inlineStr"/>
      <c r="M1364" s="23" t="inlineStr"/>
      <c r="N1364" s="14" t="inlineStr">
        <is>
          <t>10 EVIDENCE &amp; DECISIONS</t>
        </is>
      </c>
    </row>
    <row r="1365" ht="34" customHeight="1">
      <c r="A1365" s="23" t="inlineStr">
        <is>
          <t>Commercial Package Register</t>
        </is>
      </c>
      <c r="B1365" s="23" t="inlineStr">
        <is>
          <t>PKG-903</t>
        </is>
      </c>
      <c r="C1365" s="23" t="inlineStr">
        <is>
          <t>Supplemental procurement package</t>
        </is>
      </c>
      <c r="D1365" s="23" t="inlineStr">
        <is>
          <t>Package Code = PK-101; WBS Code = 1.1;1.2</t>
        </is>
      </c>
      <c r="E1365" s="23" t="inlineStr">
        <is>
          <t>R1625-v2</t>
        </is>
      </c>
      <c r="F1365" s="23" t="inlineStr">
        <is>
          <t>UNSURE</t>
        </is>
      </c>
      <c r="G1365" s="23" t="inlineStr">
        <is>
          <t>UNSURE</t>
        </is>
      </c>
      <c r="H1365" s="23" t="inlineStr">
        <is>
          <t>APPROVED</t>
        </is>
      </c>
      <c r="I1365" s="23" t="inlineStr">
        <is>
          <t>New</t>
        </is>
      </c>
      <c r="J1365" s="23" t="inlineStr">
        <is>
          <t>Professional decision</t>
        </is>
      </c>
      <c r="K1365" s="23" t="inlineStr">
        <is>
          <t>Maya Chen, Owner Project Controls</t>
        </is>
      </c>
      <c r="L1365" s="23" t="inlineStr"/>
      <c r="M1365" s="23" t="inlineStr"/>
      <c r="N1365" s="14" t="inlineStr">
        <is>
          <t>10 EVIDENCE &amp; DECISIONS</t>
        </is>
      </c>
    </row>
    <row r="1366" ht="49" customHeight="1">
      <c r="A1366" s="23" t="inlineStr">
        <is>
          <t>Contractor Programme</t>
        </is>
      </c>
      <c r="B1366" s="23" t="inlineStr">
        <is>
          <t>SCH-03-007</t>
        </is>
      </c>
      <c r="C1366" s="23" t="inlineStr">
        <is>
          <t>Control Centre interface installation pending scope authorization; prior location reference withdrawn</t>
        </is>
      </c>
      <c r="D1366" s="23" t="inlineStr"/>
      <c r="E1366" s="23" t="inlineStr">
        <is>
          <t>R367-v3</t>
        </is>
      </c>
      <c r="F1366" s="23" t="inlineStr">
        <is>
          <t>UNSURE</t>
        </is>
      </c>
      <c r="G1366" s="23" t="inlineStr">
        <is>
          <t>UNSURE</t>
        </is>
      </c>
      <c r="H1366" s="23" t="inlineStr">
        <is>
          <t>APPROVED</t>
        </is>
      </c>
      <c r="I1366" s="23" t="inlineStr">
        <is>
          <t>Changed, re-decided</t>
        </is>
      </c>
      <c r="J1366" s="23" t="inlineStr">
        <is>
          <t>Professional decision</t>
        </is>
      </c>
      <c r="K1366" s="23" t="inlineStr">
        <is>
          <t>Maya Chen, Owner Project Controls</t>
        </is>
      </c>
      <c r="L1366" s="23" t="inlineStr"/>
      <c r="M1366" s="23" t="inlineStr"/>
      <c r="N1366" s="14" t="inlineStr">
        <is>
          <t>10 EVIDENCE &amp; DECISIONS</t>
        </is>
      </c>
    </row>
    <row r="1367" ht="34" customHeight="1">
      <c r="A1367" s="23" t="inlineStr">
        <is>
          <t>Contractor Programme</t>
        </is>
      </c>
      <c r="B1367" s="23" t="inlineStr">
        <is>
          <t>SCH-04-003</t>
        </is>
      </c>
      <c r="C1367" s="23" t="inlineStr">
        <is>
          <t>Interface works near vehicles and depot boundary</t>
        </is>
      </c>
      <c r="D1367" s="23" t="inlineStr"/>
      <c r="E1367" s="23" t="inlineStr">
        <is>
          <t>R543-v3</t>
        </is>
      </c>
      <c r="F1367" s="23" t="inlineStr">
        <is>
          <t>UNSURE</t>
        </is>
      </c>
      <c r="G1367" s="23" t="inlineStr">
        <is>
          <t>UNSURE</t>
        </is>
      </c>
      <c r="H1367" s="23" t="inlineStr">
        <is>
          <t>RETAINED</t>
        </is>
      </c>
      <c r="I1367" s="23" t="inlineStr">
        <is>
          <t>Carried forward</t>
        </is>
      </c>
      <c r="J1367" s="23" t="inlineStr">
        <is>
          <t>Earlier professional decision, carried forward</t>
        </is>
      </c>
      <c r="K1367" s="23" t="inlineStr">
        <is>
          <t>Maya Chen, Owner Project Controls</t>
        </is>
      </c>
      <c r="L1367" s="23" t="inlineStr"/>
      <c r="M1367" s="23" t="inlineStr"/>
      <c r="N1367" s="14" t="inlineStr">
        <is>
          <t>10 EVIDENCE &amp; DECISIONS</t>
        </is>
      </c>
    </row>
    <row r="1368" ht="34" customHeight="1">
      <c r="A1368" s="23" t="inlineStr">
        <is>
          <t>Contractor Programme</t>
        </is>
      </c>
      <c r="B1368" s="23" t="inlineStr">
        <is>
          <t>SCH-06-001</t>
        </is>
      </c>
      <c r="C1368" s="23" t="inlineStr">
        <is>
          <t>Systems package: commercial change review - installation</t>
        </is>
      </c>
      <c r="D1368" s="23" t="inlineStr"/>
      <c r="E1368" s="23" t="inlineStr">
        <is>
          <t>R901-v3</t>
        </is>
      </c>
      <c r="F1368" s="23" t="inlineStr">
        <is>
          <t>UNSURE</t>
        </is>
      </c>
      <c r="G1368" s="23" t="inlineStr">
        <is>
          <t>UNSURE</t>
        </is>
      </c>
      <c r="H1368" s="23" t="inlineStr">
        <is>
          <t>RETAINED</t>
        </is>
      </c>
      <c r="I1368" s="23" t="inlineStr">
        <is>
          <t>Carried forward</t>
        </is>
      </c>
      <c r="J1368" s="23" t="inlineStr">
        <is>
          <t>Earlier professional decision, carried forward</t>
        </is>
      </c>
      <c r="K1368" s="23" t="inlineStr">
        <is>
          <t>Maya Chen, Owner Project Controls</t>
        </is>
      </c>
      <c r="L1368" s="23" t="inlineStr"/>
      <c r="M1368" s="23" t="inlineStr"/>
      <c r="N1368" s="14" t="inlineStr">
        <is>
          <t>10 EVIDENCE &amp; DECISIONS</t>
        </is>
      </c>
    </row>
    <row r="1369" ht="34" customHeight="1">
      <c r="A1369" s="23" t="inlineStr">
        <is>
          <t>Contractor Programme</t>
        </is>
      </c>
      <c r="B1369" s="23" t="inlineStr">
        <is>
          <t>SCH-06-002</t>
        </is>
      </c>
      <c r="C1369" s="23" t="inlineStr">
        <is>
          <t>Fleet package: design-package integration review - inspection</t>
        </is>
      </c>
      <c r="D1369" s="23" t="inlineStr"/>
      <c r="E1369" s="23" t="inlineStr">
        <is>
          <t>R902-v3</t>
        </is>
      </c>
      <c r="F1369" s="23" t="inlineStr">
        <is>
          <t>UNSURE</t>
        </is>
      </c>
      <c r="G1369" s="23" t="inlineStr">
        <is>
          <t>UNSURE</t>
        </is>
      </c>
      <c r="H1369" s="23" t="inlineStr">
        <is>
          <t>RETAINED</t>
        </is>
      </c>
      <c r="I1369" s="23" t="inlineStr">
        <is>
          <t>Carried forward</t>
        </is>
      </c>
      <c r="J1369" s="23" t="inlineStr">
        <is>
          <t>Earlier professional decision, carried forward</t>
        </is>
      </c>
      <c r="K1369" s="23" t="inlineStr">
        <is>
          <t>Maya Chen, Owner Project Controls</t>
        </is>
      </c>
      <c r="L1369" s="23" t="inlineStr"/>
      <c r="M1369" s="23" t="inlineStr"/>
      <c r="N1369" s="14" t="inlineStr">
        <is>
          <t>10 EVIDENCE &amp; DECISIONS</t>
        </is>
      </c>
    </row>
    <row r="1370" ht="34" customHeight="1">
      <c r="A1370" s="23" t="inlineStr">
        <is>
          <t>Contractor Programme</t>
        </is>
      </c>
      <c r="B1370" s="23" t="inlineStr">
        <is>
          <t>SCH-06-003</t>
        </is>
      </c>
      <c r="C1370" s="23" t="inlineStr">
        <is>
          <t>Interface works near program management boundary</t>
        </is>
      </c>
      <c r="D1370" s="23" t="inlineStr"/>
      <c r="E1370" s="23" t="inlineStr">
        <is>
          <t>R903-v3</t>
        </is>
      </c>
      <c r="F1370" s="23" t="inlineStr">
        <is>
          <t>UNSURE</t>
        </is>
      </c>
      <c r="G1370" s="23" t="inlineStr">
        <is>
          <t>UNSURE</t>
        </is>
      </c>
      <c r="H1370" s="23" t="inlineStr">
        <is>
          <t>RETAINED</t>
        </is>
      </c>
      <c r="I1370" s="23" t="inlineStr">
        <is>
          <t>Carried forward</t>
        </is>
      </c>
      <c r="J1370" s="23" t="inlineStr">
        <is>
          <t>Earlier professional decision, carried forward</t>
        </is>
      </c>
      <c r="K1370" s="23" t="inlineStr">
        <is>
          <t>Maya Chen, Owner Project Controls</t>
        </is>
      </c>
      <c r="L1370" s="23" t="inlineStr"/>
      <c r="M1370" s="23" t="inlineStr"/>
      <c r="N1370" s="14" t="inlineStr">
        <is>
          <t>10 EVIDENCE &amp; DECISIONS</t>
        </is>
      </c>
    </row>
    <row r="1371" ht="34" customHeight="1">
      <c r="A1371" s="23" t="inlineStr">
        <is>
          <t>Contractor Programme</t>
        </is>
      </c>
      <c r="B1371" s="23" t="inlineStr">
        <is>
          <t>SCH-06-004</t>
        </is>
      </c>
      <c r="C1371" s="23" t="inlineStr">
        <is>
          <t>Civil package: permit coordination - release</t>
        </is>
      </c>
      <c r="D1371" s="23" t="inlineStr"/>
      <c r="E1371" s="23" t="inlineStr">
        <is>
          <t>R904-v3</t>
        </is>
      </c>
      <c r="F1371" s="23" t="inlineStr">
        <is>
          <t>UNSURE</t>
        </is>
      </c>
      <c r="G1371" s="23" t="inlineStr">
        <is>
          <t>UNSURE</t>
        </is>
      </c>
      <c r="H1371" s="23" t="inlineStr">
        <is>
          <t>RETAINED</t>
        </is>
      </c>
      <c r="I1371" s="23" t="inlineStr">
        <is>
          <t>Carried forward</t>
        </is>
      </c>
      <c r="J1371" s="23" t="inlineStr">
        <is>
          <t>Earlier professional decision, carried forward</t>
        </is>
      </c>
      <c r="K1371" s="23" t="inlineStr">
        <is>
          <t>Maya Chen, Owner Project Controls</t>
        </is>
      </c>
      <c r="L1371" s="23" t="inlineStr"/>
      <c r="M1371" s="23" t="inlineStr"/>
      <c r="N1371" s="14" t="inlineStr">
        <is>
          <t>10 EVIDENCE &amp; DECISIONS</t>
        </is>
      </c>
    </row>
    <row r="1372" ht="34" customHeight="1">
      <c r="A1372" s="23" t="inlineStr">
        <is>
          <t>Contractor Programme</t>
        </is>
      </c>
      <c r="B1372" s="23" t="inlineStr">
        <is>
          <t>SCH-06-005</t>
        </is>
      </c>
      <c r="C1372" s="23" t="inlineStr">
        <is>
          <t>Stations package: delivery risk workshop - field start</t>
        </is>
      </c>
      <c r="D1372" s="23" t="inlineStr"/>
      <c r="E1372" s="23" t="inlineStr">
        <is>
          <t>R905-v3</t>
        </is>
      </c>
      <c r="F1372" s="23" t="inlineStr">
        <is>
          <t>UNSURE</t>
        </is>
      </c>
      <c r="G1372" s="23" t="inlineStr">
        <is>
          <t>UNSURE</t>
        </is>
      </c>
      <c r="H1372" s="23" t="inlineStr">
        <is>
          <t>RETAINED</t>
        </is>
      </c>
      <c r="I1372" s="23" t="inlineStr">
        <is>
          <t>Carried forward</t>
        </is>
      </c>
      <c r="J1372" s="23" t="inlineStr">
        <is>
          <t>Earlier professional decision, carried forward</t>
        </is>
      </c>
      <c r="K1372" s="23" t="inlineStr">
        <is>
          <t>Maya Chen, Owner Project Controls</t>
        </is>
      </c>
      <c r="L1372" s="23" t="inlineStr"/>
      <c r="M1372" s="23" t="inlineStr"/>
      <c r="N1372" s="14" t="inlineStr">
        <is>
          <t>10 EVIDENCE &amp; DECISIONS</t>
        </is>
      </c>
    </row>
    <row r="1373" ht="34" customHeight="1">
      <c r="A1373" s="23" t="inlineStr">
        <is>
          <t>Contractor Programme</t>
        </is>
      </c>
      <c r="B1373" s="23" t="inlineStr">
        <is>
          <t>SCH-06-006</t>
        </is>
      </c>
      <c r="C1373" s="23" t="inlineStr">
        <is>
          <t>Systems package: monthly controls cut-off - installation</t>
        </is>
      </c>
      <c r="D1373" s="23" t="inlineStr"/>
      <c r="E1373" s="23" t="inlineStr">
        <is>
          <t>R906-v3</t>
        </is>
      </c>
      <c r="F1373" s="23" t="inlineStr">
        <is>
          <t>UNSURE</t>
        </is>
      </c>
      <c r="G1373" s="23" t="inlineStr">
        <is>
          <t>UNSURE</t>
        </is>
      </c>
      <c r="H1373" s="23" t="inlineStr">
        <is>
          <t>RETAINED</t>
        </is>
      </c>
      <c r="I1373" s="23" t="inlineStr">
        <is>
          <t>Carried forward</t>
        </is>
      </c>
      <c r="J1373" s="23" t="inlineStr">
        <is>
          <t>Earlier professional decision, carried forward</t>
        </is>
      </c>
      <c r="K1373" s="23" t="inlineStr">
        <is>
          <t>Maya Chen, Owner Project Controls</t>
        </is>
      </c>
      <c r="L1373" s="23" t="inlineStr"/>
      <c r="M1373" s="23" t="inlineStr"/>
      <c r="N1373" s="14" t="inlineStr">
        <is>
          <t>10 EVIDENCE &amp; DECISIONS</t>
        </is>
      </c>
    </row>
    <row r="1374" ht="34" customHeight="1">
      <c r="A1374" s="23" t="inlineStr">
        <is>
          <t>Contractor Programme</t>
        </is>
      </c>
      <c r="B1374" s="23" t="inlineStr">
        <is>
          <t>SCH-06-007</t>
        </is>
      </c>
      <c r="C1374" s="23" t="inlineStr">
        <is>
          <t>Fleet package: stakeholder interface meeting - inspection</t>
        </is>
      </c>
      <c r="D1374" s="23" t="inlineStr"/>
      <c r="E1374" s="23" t="inlineStr">
        <is>
          <t>R907-v3</t>
        </is>
      </c>
      <c r="F1374" s="23" t="inlineStr">
        <is>
          <t>UNSURE</t>
        </is>
      </c>
      <c r="G1374" s="23" t="inlineStr">
        <is>
          <t>UNSURE</t>
        </is>
      </c>
      <c r="H1374" s="23" t="inlineStr">
        <is>
          <t>RETAINED</t>
        </is>
      </c>
      <c r="I1374" s="23" t="inlineStr">
        <is>
          <t>Carried forward</t>
        </is>
      </c>
      <c r="J1374" s="23" t="inlineStr">
        <is>
          <t>Earlier professional decision, carried forward</t>
        </is>
      </c>
      <c r="K1374" s="23" t="inlineStr">
        <is>
          <t>Maya Chen, Owner Project Controls</t>
        </is>
      </c>
      <c r="L1374" s="23" t="inlineStr"/>
      <c r="M1374" s="23" t="inlineStr"/>
      <c r="N1374" s="14" t="inlineStr">
        <is>
          <t>10 EVIDENCE &amp; DECISIONS</t>
        </is>
      </c>
    </row>
    <row r="1375" ht="34" customHeight="1">
      <c r="A1375" s="23" t="inlineStr">
        <is>
          <t>Contractor Programme</t>
        </is>
      </c>
      <c r="B1375" s="23" t="inlineStr">
        <is>
          <t>SCH-06-008</t>
        </is>
      </c>
      <c r="C1375" s="23" t="inlineStr">
        <is>
          <t>Program office: baseline change control - turnover</t>
        </is>
      </c>
      <c r="D1375" s="23" t="inlineStr"/>
      <c r="E1375" s="23" t="inlineStr">
        <is>
          <t>R908-v3</t>
        </is>
      </c>
      <c r="F1375" s="23" t="inlineStr">
        <is>
          <t>UNSURE</t>
        </is>
      </c>
      <c r="G1375" s="23" t="inlineStr">
        <is>
          <t>UNSURE</t>
        </is>
      </c>
      <c r="H1375" s="23" t="inlineStr">
        <is>
          <t>RETAINED</t>
        </is>
      </c>
      <c r="I1375" s="23" t="inlineStr">
        <is>
          <t>Carried forward</t>
        </is>
      </c>
      <c r="J1375" s="23" t="inlineStr">
        <is>
          <t>Earlier professional decision, carried forward</t>
        </is>
      </c>
      <c r="K1375" s="23" t="inlineStr">
        <is>
          <t>Maya Chen, Owner Project Controls</t>
        </is>
      </c>
      <c r="L1375" s="23" t="inlineStr"/>
      <c r="M1375" s="23" t="inlineStr"/>
      <c r="N1375" s="14" t="inlineStr">
        <is>
          <t>10 EVIDENCE &amp; DECISIONS</t>
        </is>
      </c>
    </row>
    <row r="1376" ht="34" customHeight="1">
      <c r="A1376" s="23" t="inlineStr">
        <is>
          <t>Contractor Programme</t>
        </is>
      </c>
      <c r="B1376" s="23" t="inlineStr">
        <is>
          <t>SCH-06-009</t>
        </is>
      </c>
      <c r="C1376" s="23" t="inlineStr">
        <is>
          <t>Civil package: commercial change review - release</t>
        </is>
      </c>
      <c r="D1376" s="23" t="inlineStr"/>
      <c r="E1376" s="23" t="inlineStr">
        <is>
          <t>R909-v3</t>
        </is>
      </c>
      <c r="F1376" s="23" t="inlineStr">
        <is>
          <t>UNSURE</t>
        </is>
      </c>
      <c r="G1376" s="23" t="inlineStr">
        <is>
          <t>UNSURE</t>
        </is>
      </c>
      <c r="H1376" s="23" t="inlineStr">
        <is>
          <t>RETAINED</t>
        </is>
      </c>
      <c r="I1376" s="23" t="inlineStr">
        <is>
          <t>Carried forward</t>
        </is>
      </c>
      <c r="J1376" s="23" t="inlineStr">
        <is>
          <t>Earlier professional decision, carried forward</t>
        </is>
      </c>
      <c r="K1376" s="23" t="inlineStr">
        <is>
          <t>Maya Chen, Owner Project Controls</t>
        </is>
      </c>
      <c r="L1376" s="23" t="inlineStr"/>
      <c r="M1376" s="23" t="inlineStr"/>
      <c r="N1376" s="14" t="inlineStr">
        <is>
          <t>10 EVIDENCE &amp; DECISIONS</t>
        </is>
      </c>
    </row>
    <row r="1377" ht="34" customHeight="1">
      <c r="A1377" s="23" t="inlineStr">
        <is>
          <t>Contractor Programme</t>
        </is>
      </c>
      <c r="B1377" s="23" t="inlineStr">
        <is>
          <t>SCH-06-010</t>
        </is>
      </c>
      <c r="C1377" s="23" t="inlineStr">
        <is>
          <t>Stations package: design-package integration review - field start</t>
        </is>
      </c>
      <c r="D1377" s="23" t="inlineStr"/>
      <c r="E1377" s="23" t="inlineStr">
        <is>
          <t>R910-v3</t>
        </is>
      </c>
      <c r="F1377" s="23" t="inlineStr">
        <is>
          <t>UNSURE</t>
        </is>
      </c>
      <c r="G1377" s="23" t="inlineStr">
        <is>
          <t>UNSURE</t>
        </is>
      </c>
      <c r="H1377" s="23" t="inlineStr">
        <is>
          <t>RETAINED</t>
        </is>
      </c>
      <c r="I1377" s="23" t="inlineStr">
        <is>
          <t>Carried forward</t>
        </is>
      </c>
      <c r="J1377" s="23" t="inlineStr">
        <is>
          <t>Earlier professional decision, carried forward</t>
        </is>
      </c>
      <c r="K1377" s="23" t="inlineStr">
        <is>
          <t>Maya Chen, Owner Project Controls</t>
        </is>
      </c>
      <c r="L1377" s="23" t="inlineStr"/>
      <c r="M1377" s="23" t="inlineStr"/>
      <c r="N1377" s="14" t="inlineStr">
        <is>
          <t>10 EVIDENCE &amp; DECISIONS</t>
        </is>
      </c>
    </row>
    <row r="1378" ht="34" customHeight="1">
      <c r="A1378" s="23" t="inlineStr">
        <is>
          <t>Contractor Programme</t>
        </is>
      </c>
      <c r="B1378" s="23" t="inlineStr">
        <is>
          <t>SCH-06-011</t>
        </is>
      </c>
      <c r="C1378" s="23" t="inlineStr">
        <is>
          <t>Systems package: executive reporting close - installation</t>
        </is>
      </c>
      <c r="D1378" s="23" t="inlineStr"/>
      <c r="E1378" s="23" t="inlineStr">
        <is>
          <t>R911-v3</t>
        </is>
      </c>
      <c r="F1378" s="23" t="inlineStr">
        <is>
          <t>UNSURE</t>
        </is>
      </c>
      <c r="G1378" s="23" t="inlineStr">
        <is>
          <t>UNSURE</t>
        </is>
      </c>
      <c r="H1378" s="23" t="inlineStr">
        <is>
          <t>RETAINED</t>
        </is>
      </c>
      <c r="I1378" s="23" t="inlineStr">
        <is>
          <t>Carried forward</t>
        </is>
      </c>
      <c r="J1378" s="23" t="inlineStr">
        <is>
          <t>Earlier professional decision, carried forward</t>
        </is>
      </c>
      <c r="K1378" s="23" t="inlineStr">
        <is>
          <t>Maya Chen, Owner Project Controls</t>
        </is>
      </c>
      <c r="L1378" s="23" t="inlineStr"/>
      <c r="M1378" s="23" t="inlineStr"/>
      <c r="N1378" s="14" t="inlineStr">
        <is>
          <t>10 EVIDENCE &amp; DECISIONS</t>
        </is>
      </c>
    </row>
    <row r="1379" ht="34" customHeight="1">
      <c r="A1379" s="23" t="inlineStr">
        <is>
          <t>Contractor Programme</t>
        </is>
      </c>
      <c r="B1379" s="23" t="inlineStr">
        <is>
          <t>SCH-06-012</t>
        </is>
      </c>
      <c r="C1379" s="23" t="inlineStr">
        <is>
          <t>Fleet package: permit coordination - inspection</t>
        </is>
      </c>
      <c r="D1379" s="23" t="inlineStr"/>
      <c r="E1379" s="23" t="inlineStr">
        <is>
          <t>R912-v3</t>
        </is>
      </c>
      <c r="F1379" s="23" t="inlineStr">
        <is>
          <t>UNSURE</t>
        </is>
      </c>
      <c r="G1379" s="23" t="inlineStr">
        <is>
          <t>UNSURE</t>
        </is>
      </c>
      <c r="H1379" s="23" t="inlineStr">
        <is>
          <t>RETAINED</t>
        </is>
      </c>
      <c r="I1379" s="23" t="inlineStr">
        <is>
          <t>Carried forward</t>
        </is>
      </c>
      <c r="J1379" s="23" t="inlineStr">
        <is>
          <t>Earlier professional decision, carried forward</t>
        </is>
      </c>
      <c r="K1379" s="23" t="inlineStr">
        <is>
          <t>Maya Chen, Owner Project Controls</t>
        </is>
      </c>
      <c r="L1379" s="23" t="inlineStr"/>
      <c r="M1379" s="23" t="inlineStr"/>
      <c r="N1379" s="14" t="inlineStr">
        <is>
          <t>10 EVIDENCE &amp; DECISIONS</t>
        </is>
      </c>
    </row>
    <row r="1380" ht="34" customHeight="1">
      <c r="A1380" s="23" t="inlineStr">
        <is>
          <t>Contractor Programme</t>
        </is>
      </c>
      <c r="B1380" s="23" t="inlineStr">
        <is>
          <t>SCH-06-013</t>
        </is>
      </c>
      <c r="C1380" s="23" t="inlineStr">
        <is>
          <t>Program office: delivery risk workshop - turnover</t>
        </is>
      </c>
      <c r="D1380" s="23" t="inlineStr"/>
      <c r="E1380" s="23" t="inlineStr">
        <is>
          <t>R913-v3</t>
        </is>
      </c>
      <c r="F1380" s="23" t="inlineStr">
        <is>
          <t>UNSURE</t>
        </is>
      </c>
      <c r="G1380" s="23" t="inlineStr">
        <is>
          <t>UNSURE</t>
        </is>
      </c>
      <c r="H1380" s="23" t="inlineStr">
        <is>
          <t>RETAINED</t>
        </is>
      </c>
      <c r="I1380" s="23" t="inlineStr">
        <is>
          <t>Carried forward</t>
        </is>
      </c>
      <c r="J1380" s="23" t="inlineStr">
        <is>
          <t>Earlier professional decision, carried forward</t>
        </is>
      </c>
      <c r="K1380" s="23" t="inlineStr">
        <is>
          <t>Maya Chen, Owner Project Controls</t>
        </is>
      </c>
      <c r="L1380" s="23" t="inlineStr"/>
      <c r="M1380" s="23" t="inlineStr"/>
      <c r="N1380" s="14" t="inlineStr">
        <is>
          <t>10 EVIDENCE &amp; DECISIONS</t>
        </is>
      </c>
    </row>
    <row r="1381" ht="34" customHeight="1">
      <c r="A1381" s="23" t="inlineStr">
        <is>
          <t>Contractor Programme</t>
        </is>
      </c>
      <c r="B1381" s="23" t="inlineStr">
        <is>
          <t>SCH-06-014</t>
        </is>
      </c>
      <c r="C1381" s="23" t="inlineStr">
        <is>
          <t>Civil package: monthly controls cut-off - release</t>
        </is>
      </c>
      <c r="D1381" s="23" t="inlineStr"/>
      <c r="E1381" s="23" t="inlineStr">
        <is>
          <t>R914-v3</t>
        </is>
      </c>
      <c r="F1381" s="23" t="inlineStr">
        <is>
          <t>UNSURE</t>
        </is>
      </c>
      <c r="G1381" s="23" t="inlineStr">
        <is>
          <t>UNSURE</t>
        </is>
      </c>
      <c r="H1381" s="23" t="inlineStr">
        <is>
          <t>RETAINED</t>
        </is>
      </c>
      <c r="I1381" s="23" t="inlineStr">
        <is>
          <t>Carried forward</t>
        </is>
      </c>
      <c r="J1381" s="23" t="inlineStr">
        <is>
          <t>Earlier professional decision, carried forward</t>
        </is>
      </c>
      <c r="K1381" s="23" t="inlineStr">
        <is>
          <t>Maya Chen, Owner Project Controls</t>
        </is>
      </c>
      <c r="L1381" s="23" t="inlineStr"/>
      <c r="M1381" s="23" t="inlineStr"/>
      <c r="N1381" s="14" t="inlineStr">
        <is>
          <t>10 EVIDENCE &amp; DECISIONS</t>
        </is>
      </c>
    </row>
    <row r="1382" ht="34" customHeight="1">
      <c r="A1382" s="23" t="inlineStr">
        <is>
          <t>Contractor Programme</t>
        </is>
      </c>
      <c r="B1382" s="23" t="inlineStr">
        <is>
          <t>SCH-06-015</t>
        </is>
      </c>
      <c r="C1382" s="23" t="inlineStr">
        <is>
          <t>Stations package: stakeholder interface meeting - field start</t>
        </is>
      </c>
      <c r="D1382" s="23" t="inlineStr"/>
      <c r="E1382" s="23" t="inlineStr">
        <is>
          <t>R915-v3</t>
        </is>
      </c>
      <c r="F1382" s="23" t="inlineStr">
        <is>
          <t>UNSURE</t>
        </is>
      </c>
      <c r="G1382" s="23" t="inlineStr">
        <is>
          <t>UNSURE</t>
        </is>
      </c>
      <c r="H1382" s="23" t="inlineStr">
        <is>
          <t>RETAINED</t>
        </is>
      </c>
      <c r="I1382" s="23" t="inlineStr">
        <is>
          <t>Carried forward</t>
        </is>
      </c>
      <c r="J1382" s="23" t="inlineStr">
        <is>
          <t>Earlier professional decision, carried forward</t>
        </is>
      </c>
      <c r="K1382" s="23" t="inlineStr">
        <is>
          <t>Maya Chen, Owner Project Controls</t>
        </is>
      </c>
      <c r="L1382" s="23" t="inlineStr"/>
      <c r="M1382" s="23" t="inlineStr"/>
      <c r="N1382" s="14" t="inlineStr">
        <is>
          <t>10 EVIDENCE &amp; DECISIONS</t>
        </is>
      </c>
    </row>
    <row r="1383" ht="34" customHeight="1">
      <c r="A1383" s="23" t="inlineStr">
        <is>
          <t>Contractor Programme</t>
        </is>
      </c>
      <c r="B1383" s="23" t="inlineStr">
        <is>
          <t>SCH-06-016</t>
        </is>
      </c>
      <c r="C1383" s="23" t="inlineStr">
        <is>
          <t>Systems package: baseline change control - installation</t>
        </is>
      </c>
      <c r="D1383" s="23" t="inlineStr"/>
      <c r="E1383" s="23" t="inlineStr">
        <is>
          <t>R916-v3</t>
        </is>
      </c>
      <c r="F1383" s="23" t="inlineStr">
        <is>
          <t>UNSURE</t>
        </is>
      </c>
      <c r="G1383" s="23" t="inlineStr">
        <is>
          <t>UNSURE</t>
        </is>
      </c>
      <c r="H1383" s="23" t="inlineStr">
        <is>
          <t>RETAINED</t>
        </is>
      </c>
      <c r="I1383" s="23" t="inlineStr">
        <is>
          <t>Carried forward</t>
        </is>
      </c>
      <c r="J1383" s="23" t="inlineStr">
        <is>
          <t>Earlier professional decision, carried forward</t>
        </is>
      </c>
      <c r="K1383" s="23" t="inlineStr">
        <is>
          <t>Maya Chen, Owner Project Controls</t>
        </is>
      </c>
      <c r="L1383" s="23" t="inlineStr"/>
      <c r="M1383" s="23" t="inlineStr"/>
      <c r="N1383" s="14" t="inlineStr">
        <is>
          <t>10 EVIDENCE &amp; DECISIONS</t>
        </is>
      </c>
    </row>
    <row r="1384" ht="34" customHeight="1">
      <c r="A1384" s="23" t="inlineStr">
        <is>
          <t>Contractor Programme</t>
        </is>
      </c>
      <c r="B1384" s="23" t="inlineStr">
        <is>
          <t>SCH-06-017</t>
        </is>
      </c>
      <c r="C1384" s="23" t="inlineStr">
        <is>
          <t>Fleet package: commercial change review - inspection</t>
        </is>
      </c>
      <c r="D1384" s="23" t="inlineStr"/>
      <c r="E1384" s="23" t="inlineStr">
        <is>
          <t>R917-v3</t>
        </is>
      </c>
      <c r="F1384" s="23" t="inlineStr">
        <is>
          <t>UNSURE</t>
        </is>
      </c>
      <c r="G1384" s="23" t="inlineStr">
        <is>
          <t>UNSURE</t>
        </is>
      </c>
      <c r="H1384" s="23" t="inlineStr">
        <is>
          <t>RETAINED</t>
        </is>
      </c>
      <c r="I1384" s="23" t="inlineStr">
        <is>
          <t>Carried forward</t>
        </is>
      </c>
      <c r="J1384" s="23" t="inlineStr">
        <is>
          <t>Earlier professional decision, carried forward</t>
        </is>
      </c>
      <c r="K1384" s="23" t="inlineStr">
        <is>
          <t>Maya Chen, Owner Project Controls</t>
        </is>
      </c>
      <c r="L1384" s="23" t="inlineStr"/>
      <c r="M1384" s="23" t="inlineStr"/>
      <c r="N1384" s="14" t="inlineStr">
        <is>
          <t>10 EVIDENCE &amp; DECISIONS</t>
        </is>
      </c>
    </row>
    <row r="1385" ht="34" customHeight="1">
      <c r="A1385" s="23" t="inlineStr">
        <is>
          <t>Contractor Programme</t>
        </is>
      </c>
      <c r="B1385" s="23" t="inlineStr">
        <is>
          <t>SCH-06-018</t>
        </is>
      </c>
      <c r="C1385" s="23" t="inlineStr">
        <is>
          <t>Program office: design-package integration review - turnover</t>
        </is>
      </c>
      <c r="D1385" s="23" t="inlineStr"/>
      <c r="E1385" s="23" t="inlineStr">
        <is>
          <t>R918-v3</t>
        </is>
      </c>
      <c r="F1385" s="23" t="inlineStr">
        <is>
          <t>UNSURE</t>
        </is>
      </c>
      <c r="G1385" s="23" t="inlineStr">
        <is>
          <t>UNSURE</t>
        </is>
      </c>
      <c r="H1385" s="23" t="inlineStr">
        <is>
          <t>RETAINED</t>
        </is>
      </c>
      <c r="I1385" s="23" t="inlineStr">
        <is>
          <t>Carried forward</t>
        </is>
      </c>
      <c r="J1385" s="23" t="inlineStr">
        <is>
          <t>Earlier professional decision, carried forward</t>
        </is>
      </c>
      <c r="K1385" s="23" t="inlineStr">
        <is>
          <t>Maya Chen, Owner Project Controls</t>
        </is>
      </c>
      <c r="L1385" s="23" t="inlineStr"/>
      <c r="M1385" s="23" t="inlineStr"/>
      <c r="N1385" s="14" t="inlineStr">
        <is>
          <t>10 EVIDENCE &amp; DECISIONS</t>
        </is>
      </c>
    </row>
    <row r="1386" ht="34" customHeight="1">
      <c r="A1386" s="23" t="inlineStr">
        <is>
          <t>Contractor Programme</t>
        </is>
      </c>
      <c r="B1386" s="23" t="inlineStr">
        <is>
          <t>SCH-06-019</t>
        </is>
      </c>
      <c r="C1386" s="23" t="inlineStr">
        <is>
          <t>Civil package: executive reporting close - release</t>
        </is>
      </c>
      <c r="D1386" s="23" t="inlineStr"/>
      <c r="E1386" s="23" t="inlineStr">
        <is>
          <t>R919-v3</t>
        </is>
      </c>
      <c r="F1386" s="23" t="inlineStr">
        <is>
          <t>UNSURE</t>
        </is>
      </c>
      <c r="G1386" s="23" t="inlineStr">
        <is>
          <t>UNSURE</t>
        </is>
      </c>
      <c r="H1386" s="23" t="inlineStr">
        <is>
          <t>RETAINED</t>
        </is>
      </c>
      <c r="I1386" s="23" t="inlineStr">
        <is>
          <t>Carried forward</t>
        </is>
      </c>
      <c r="J1386" s="23" t="inlineStr">
        <is>
          <t>Earlier professional decision, carried forward</t>
        </is>
      </c>
      <c r="K1386" s="23" t="inlineStr">
        <is>
          <t>Maya Chen, Owner Project Controls</t>
        </is>
      </c>
      <c r="L1386" s="23" t="inlineStr"/>
      <c r="M1386" s="23" t="inlineStr"/>
      <c r="N1386" s="14" t="inlineStr">
        <is>
          <t>10 EVIDENCE &amp; DECISIONS</t>
        </is>
      </c>
    </row>
    <row r="1387" ht="34" customHeight="1">
      <c r="A1387" s="23" t="inlineStr">
        <is>
          <t>Contractor Programme</t>
        </is>
      </c>
      <c r="B1387" s="23" t="inlineStr">
        <is>
          <t>SCH-06-020</t>
        </is>
      </c>
      <c r="C1387" s="23" t="inlineStr">
        <is>
          <t>Stations package: permit coordination - field start</t>
        </is>
      </c>
      <c r="D1387" s="23" t="inlineStr"/>
      <c r="E1387" s="23" t="inlineStr">
        <is>
          <t>R920-v3</t>
        </is>
      </c>
      <c r="F1387" s="23" t="inlineStr">
        <is>
          <t>UNSURE</t>
        </is>
      </c>
      <c r="G1387" s="23" t="inlineStr">
        <is>
          <t>UNSURE</t>
        </is>
      </c>
      <c r="H1387" s="23" t="inlineStr">
        <is>
          <t>RETAINED</t>
        </is>
      </c>
      <c r="I1387" s="23" t="inlineStr">
        <is>
          <t>Carried forward</t>
        </is>
      </c>
      <c r="J1387" s="23" t="inlineStr">
        <is>
          <t>Earlier professional decision, carried forward</t>
        </is>
      </c>
      <c r="K1387" s="23" t="inlineStr">
        <is>
          <t>Maya Chen, Owner Project Controls</t>
        </is>
      </c>
      <c r="L1387" s="23" t="inlineStr"/>
      <c r="M1387" s="23" t="inlineStr"/>
      <c r="N1387" s="14" t="inlineStr">
        <is>
          <t>10 EVIDENCE &amp; DECISIONS</t>
        </is>
      </c>
    </row>
    <row r="1388" ht="34" customHeight="1">
      <c r="A1388" s="23" t="inlineStr">
        <is>
          <t>Contractor Programme</t>
        </is>
      </c>
      <c r="B1388" s="23" t="inlineStr">
        <is>
          <t>SCH-06-021</t>
        </is>
      </c>
      <c r="C1388" s="23" t="inlineStr">
        <is>
          <t>Systems package: delivery risk workshop - installation</t>
        </is>
      </c>
      <c r="D1388" s="23" t="inlineStr"/>
      <c r="E1388" s="23" t="inlineStr">
        <is>
          <t>R921-v3</t>
        </is>
      </c>
      <c r="F1388" s="23" t="inlineStr">
        <is>
          <t>UNSURE</t>
        </is>
      </c>
      <c r="G1388" s="23" t="inlineStr">
        <is>
          <t>UNSURE</t>
        </is>
      </c>
      <c r="H1388" s="23" t="inlineStr">
        <is>
          <t>RETAINED</t>
        </is>
      </c>
      <c r="I1388" s="23" t="inlineStr">
        <is>
          <t>Carried forward</t>
        </is>
      </c>
      <c r="J1388" s="23" t="inlineStr">
        <is>
          <t>Earlier professional decision, carried forward</t>
        </is>
      </c>
      <c r="K1388" s="23" t="inlineStr">
        <is>
          <t>Maya Chen, Owner Project Controls</t>
        </is>
      </c>
      <c r="L1388" s="23" t="inlineStr"/>
      <c r="M1388" s="23" t="inlineStr"/>
      <c r="N1388" s="14" t="inlineStr">
        <is>
          <t>10 EVIDENCE &amp; DECISIONS</t>
        </is>
      </c>
    </row>
    <row r="1389" ht="34" customHeight="1">
      <c r="A1389" s="23" t="inlineStr">
        <is>
          <t>Contractor Programme</t>
        </is>
      </c>
      <c r="B1389" s="23" t="inlineStr">
        <is>
          <t>SCH-06-022</t>
        </is>
      </c>
      <c r="C1389" s="23" t="inlineStr">
        <is>
          <t>Fleet package: monthly controls cut-off - inspection</t>
        </is>
      </c>
      <c r="D1389" s="23" t="inlineStr"/>
      <c r="E1389" s="23" t="inlineStr">
        <is>
          <t>R922-v3</t>
        </is>
      </c>
      <c r="F1389" s="23" t="inlineStr">
        <is>
          <t>UNSURE</t>
        </is>
      </c>
      <c r="G1389" s="23" t="inlineStr">
        <is>
          <t>UNSURE</t>
        </is>
      </c>
      <c r="H1389" s="23" t="inlineStr">
        <is>
          <t>RETAINED</t>
        </is>
      </c>
      <c r="I1389" s="23" t="inlineStr">
        <is>
          <t>Carried forward</t>
        </is>
      </c>
      <c r="J1389" s="23" t="inlineStr">
        <is>
          <t>Earlier professional decision, carried forward</t>
        </is>
      </c>
      <c r="K1389" s="23" t="inlineStr">
        <is>
          <t>Maya Chen, Owner Project Controls</t>
        </is>
      </c>
      <c r="L1389" s="23" t="inlineStr"/>
      <c r="M1389" s="23" t="inlineStr"/>
      <c r="N1389" s="14" t="inlineStr">
        <is>
          <t>10 EVIDENCE &amp; DECISIONS</t>
        </is>
      </c>
    </row>
    <row r="1390" ht="34" customHeight="1">
      <c r="A1390" s="23" t="inlineStr">
        <is>
          <t>Contractor Programme</t>
        </is>
      </c>
      <c r="B1390" s="23" t="inlineStr">
        <is>
          <t>SCH-06-023</t>
        </is>
      </c>
      <c r="C1390" s="23" t="inlineStr">
        <is>
          <t>Program office: stakeholder interface meeting - turnover</t>
        </is>
      </c>
      <c r="D1390" s="23" t="inlineStr"/>
      <c r="E1390" s="23" t="inlineStr">
        <is>
          <t>R923-v3</t>
        </is>
      </c>
      <c r="F1390" s="23" t="inlineStr">
        <is>
          <t>UNSURE</t>
        </is>
      </c>
      <c r="G1390" s="23" t="inlineStr">
        <is>
          <t>UNSURE</t>
        </is>
      </c>
      <c r="H1390" s="23" t="inlineStr">
        <is>
          <t>RETAINED</t>
        </is>
      </c>
      <c r="I1390" s="23" t="inlineStr">
        <is>
          <t>Carried forward</t>
        </is>
      </c>
      <c r="J1390" s="23" t="inlineStr">
        <is>
          <t>Earlier professional decision, carried forward</t>
        </is>
      </c>
      <c r="K1390" s="23" t="inlineStr">
        <is>
          <t>Maya Chen, Owner Project Controls</t>
        </is>
      </c>
      <c r="L1390" s="23" t="inlineStr"/>
      <c r="M1390" s="23" t="inlineStr"/>
      <c r="N1390" s="14" t="inlineStr">
        <is>
          <t>10 EVIDENCE &amp; DECISIONS</t>
        </is>
      </c>
    </row>
    <row r="1391" ht="34" customHeight="1">
      <c r="A1391" s="23" t="inlineStr">
        <is>
          <t>Contractor Programme</t>
        </is>
      </c>
      <c r="B1391" s="23" t="inlineStr">
        <is>
          <t>SCH-06-024</t>
        </is>
      </c>
      <c r="C1391" s="23" t="inlineStr">
        <is>
          <t>Civil package: baseline change control - release</t>
        </is>
      </c>
      <c r="D1391" s="23" t="inlineStr"/>
      <c r="E1391" s="23" t="inlineStr">
        <is>
          <t>R924-v3</t>
        </is>
      </c>
      <c r="F1391" s="23" t="inlineStr">
        <is>
          <t>UNSURE</t>
        </is>
      </c>
      <c r="G1391" s="23" t="inlineStr">
        <is>
          <t>UNSURE</t>
        </is>
      </c>
      <c r="H1391" s="23" t="inlineStr">
        <is>
          <t>RETAINED</t>
        </is>
      </c>
      <c r="I1391" s="23" t="inlineStr">
        <is>
          <t>Carried forward</t>
        </is>
      </c>
      <c r="J1391" s="23" t="inlineStr">
        <is>
          <t>Earlier professional decision, carried forward</t>
        </is>
      </c>
      <c r="K1391" s="23" t="inlineStr">
        <is>
          <t>Maya Chen, Owner Project Controls</t>
        </is>
      </c>
      <c r="L1391" s="23" t="inlineStr"/>
      <c r="M1391" s="23" t="inlineStr"/>
      <c r="N1391" s="14" t="inlineStr">
        <is>
          <t>10 EVIDENCE &amp; DECISIONS</t>
        </is>
      </c>
    </row>
    <row r="1392" ht="34" customHeight="1">
      <c r="A1392" s="23" t="inlineStr">
        <is>
          <t>Contractor Programme</t>
        </is>
      </c>
      <c r="B1392" s="23" t="inlineStr">
        <is>
          <t>SCH-06-025</t>
        </is>
      </c>
      <c r="C1392" s="23" t="inlineStr">
        <is>
          <t>Stations package: commercial change review - field start</t>
        </is>
      </c>
      <c r="D1392" s="23" t="inlineStr"/>
      <c r="E1392" s="23" t="inlineStr">
        <is>
          <t>R925-v3</t>
        </is>
      </c>
      <c r="F1392" s="23" t="inlineStr">
        <is>
          <t>UNSURE</t>
        </is>
      </c>
      <c r="G1392" s="23" t="inlineStr">
        <is>
          <t>UNSURE</t>
        </is>
      </c>
      <c r="H1392" s="23" t="inlineStr">
        <is>
          <t>RETAINED</t>
        </is>
      </c>
      <c r="I1392" s="23" t="inlineStr">
        <is>
          <t>Carried forward</t>
        </is>
      </c>
      <c r="J1392" s="23" t="inlineStr">
        <is>
          <t>Earlier professional decision, carried forward</t>
        </is>
      </c>
      <c r="K1392" s="23" t="inlineStr">
        <is>
          <t>Maya Chen, Owner Project Controls</t>
        </is>
      </c>
      <c r="L1392" s="23" t="inlineStr"/>
      <c r="M1392" s="23" t="inlineStr"/>
      <c r="N1392" s="14" t="inlineStr">
        <is>
          <t>10 EVIDENCE &amp; DECISIONS</t>
        </is>
      </c>
    </row>
    <row r="1393" ht="34" customHeight="1">
      <c r="A1393" s="23" t="inlineStr">
        <is>
          <t>Contractor Programme</t>
        </is>
      </c>
      <c r="B1393" s="23" t="inlineStr">
        <is>
          <t>SCH-06-026</t>
        </is>
      </c>
      <c r="C1393" s="23" t="inlineStr">
        <is>
          <t>Systems package: design-package integration review - installation</t>
        </is>
      </c>
      <c r="D1393" s="23" t="inlineStr"/>
      <c r="E1393" s="23" t="inlineStr">
        <is>
          <t>R926-v3</t>
        </is>
      </c>
      <c r="F1393" s="23" t="inlineStr">
        <is>
          <t>UNSURE</t>
        </is>
      </c>
      <c r="G1393" s="23" t="inlineStr">
        <is>
          <t>UNSURE</t>
        </is>
      </c>
      <c r="H1393" s="23" t="inlineStr">
        <is>
          <t>RETAINED</t>
        </is>
      </c>
      <c r="I1393" s="23" t="inlineStr">
        <is>
          <t>Carried forward</t>
        </is>
      </c>
      <c r="J1393" s="23" t="inlineStr">
        <is>
          <t>Earlier professional decision, carried forward</t>
        </is>
      </c>
      <c r="K1393" s="23" t="inlineStr">
        <is>
          <t>Maya Chen, Owner Project Controls</t>
        </is>
      </c>
      <c r="L1393" s="23" t="inlineStr"/>
      <c r="M1393" s="23" t="inlineStr"/>
      <c r="N1393" s="14" t="inlineStr">
        <is>
          <t>10 EVIDENCE &amp; DECISIONS</t>
        </is>
      </c>
    </row>
    <row r="1394" ht="34" customHeight="1">
      <c r="A1394" s="23" t="inlineStr">
        <is>
          <t>Contractor Programme</t>
        </is>
      </c>
      <c r="B1394" s="23" t="inlineStr">
        <is>
          <t>SCH-06-027</t>
        </is>
      </c>
      <c r="C1394" s="23" t="inlineStr">
        <is>
          <t>Fleet package: executive reporting close - inspection</t>
        </is>
      </c>
      <c r="D1394" s="23" t="inlineStr"/>
      <c r="E1394" s="23" t="inlineStr">
        <is>
          <t>R927-v3</t>
        </is>
      </c>
      <c r="F1394" s="23" t="inlineStr">
        <is>
          <t>UNSURE</t>
        </is>
      </c>
      <c r="G1394" s="23" t="inlineStr">
        <is>
          <t>UNSURE</t>
        </is>
      </c>
      <c r="H1394" s="23" t="inlineStr">
        <is>
          <t>RETAINED</t>
        </is>
      </c>
      <c r="I1394" s="23" t="inlineStr">
        <is>
          <t>Carried forward</t>
        </is>
      </c>
      <c r="J1394" s="23" t="inlineStr">
        <is>
          <t>Earlier professional decision, carried forward</t>
        </is>
      </c>
      <c r="K1394" s="23" t="inlineStr">
        <is>
          <t>Maya Chen, Owner Project Controls</t>
        </is>
      </c>
      <c r="L1394" s="23" t="inlineStr"/>
      <c r="M1394" s="23" t="inlineStr"/>
      <c r="N1394" s="14" t="inlineStr">
        <is>
          <t>10 EVIDENCE &amp; DECISIONS</t>
        </is>
      </c>
    </row>
    <row r="1395" ht="34" customHeight="1">
      <c r="A1395" s="23" t="inlineStr">
        <is>
          <t>Contractor Programme</t>
        </is>
      </c>
      <c r="B1395" s="23" t="inlineStr">
        <is>
          <t>SCH-06-028</t>
        </is>
      </c>
      <c r="C1395" s="23" t="inlineStr">
        <is>
          <t>Program office: permit coordination - turnover</t>
        </is>
      </c>
      <c r="D1395" s="23" t="inlineStr"/>
      <c r="E1395" s="23" t="inlineStr">
        <is>
          <t>R928-v3</t>
        </is>
      </c>
      <c r="F1395" s="23" t="inlineStr">
        <is>
          <t>UNSURE</t>
        </is>
      </c>
      <c r="G1395" s="23" t="inlineStr">
        <is>
          <t>UNSURE</t>
        </is>
      </c>
      <c r="H1395" s="23" t="inlineStr">
        <is>
          <t>RETAINED</t>
        </is>
      </c>
      <c r="I1395" s="23" t="inlineStr">
        <is>
          <t>Carried forward</t>
        </is>
      </c>
      <c r="J1395" s="23" t="inlineStr">
        <is>
          <t>Earlier professional decision, carried forward</t>
        </is>
      </c>
      <c r="K1395" s="23" t="inlineStr">
        <is>
          <t>Maya Chen, Owner Project Controls</t>
        </is>
      </c>
      <c r="L1395" s="23" t="inlineStr"/>
      <c r="M1395" s="23" t="inlineStr"/>
      <c r="N1395" s="14" t="inlineStr">
        <is>
          <t>10 EVIDENCE &amp; DECISIONS</t>
        </is>
      </c>
    </row>
    <row r="1396" ht="34" customHeight="1">
      <c r="A1396" s="23" t="inlineStr">
        <is>
          <t>Contractor Programme</t>
        </is>
      </c>
      <c r="B1396" s="23" t="inlineStr">
        <is>
          <t>SCH-06-029</t>
        </is>
      </c>
      <c r="C1396" s="23" t="inlineStr">
        <is>
          <t>Civil package: delivery risk workshop - release</t>
        </is>
      </c>
      <c r="D1396" s="23" t="inlineStr"/>
      <c r="E1396" s="23" t="inlineStr">
        <is>
          <t>R929-v3</t>
        </is>
      </c>
      <c r="F1396" s="23" t="inlineStr">
        <is>
          <t>UNSURE</t>
        </is>
      </c>
      <c r="G1396" s="23" t="inlineStr">
        <is>
          <t>UNSURE</t>
        </is>
      </c>
      <c r="H1396" s="23" t="inlineStr">
        <is>
          <t>RETAINED</t>
        </is>
      </c>
      <c r="I1396" s="23" t="inlineStr">
        <is>
          <t>Carried forward</t>
        </is>
      </c>
      <c r="J1396" s="23" t="inlineStr">
        <is>
          <t>Earlier professional decision, carried forward</t>
        </is>
      </c>
      <c r="K1396" s="23" t="inlineStr">
        <is>
          <t>Maya Chen, Owner Project Controls</t>
        </is>
      </c>
      <c r="L1396" s="23" t="inlineStr"/>
      <c r="M1396" s="23" t="inlineStr"/>
      <c r="N1396" s="14" t="inlineStr">
        <is>
          <t>10 EVIDENCE &amp; DECISIONS</t>
        </is>
      </c>
    </row>
    <row r="1397" ht="34" customHeight="1">
      <c r="A1397" s="23" t="inlineStr">
        <is>
          <t>Contractor Programme</t>
        </is>
      </c>
      <c r="B1397" s="23" t="inlineStr">
        <is>
          <t>SCH-06-030</t>
        </is>
      </c>
      <c r="C1397" s="23" t="inlineStr">
        <is>
          <t>Stations package: monthly controls cut-off - field start</t>
        </is>
      </c>
      <c r="D1397" s="23" t="inlineStr"/>
      <c r="E1397" s="23" t="inlineStr">
        <is>
          <t>R930-v3</t>
        </is>
      </c>
      <c r="F1397" s="23" t="inlineStr">
        <is>
          <t>UNSURE</t>
        </is>
      </c>
      <c r="G1397" s="23" t="inlineStr">
        <is>
          <t>UNSURE</t>
        </is>
      </c>
      <c r="H1397" s="23" t="inlineStr">
        <is>
          <t>RETAINED</t>
        </is>
      </c>
      <c r="I1397" s="23" t="inlineStr">
        <is>
          <t>Carried forward</t>
        </is>
      </c>
      <c r="J1397" s="23" t="inlineStr">
        <is>
          <t>Earlier professional decision, carried forward</t>
        </is>
      </c>
      <c r="K1397" s="23" t="inlineStr">
        <is>
          <t>Maya Chen, Owner Project Controls</t>
        </is>
      </c>
      <c r="L1397" s="23" t="inlineStr"/>
      <c r="M1397" s="23" t="inlineStr"/>
      <c r="N1397" s="14" t="inlineStr">
        <is>
          <t>10 EVIDENCE &amp; DECISIONS</t>
        </is>
      </c>
    </row>
    <row r="1398" ht="34" customHeight="1">
      <c r="A1398" s="23" t="inlineStr">
        <is>
          <t>Contractor Programme</t>
        </is>
      </c>
      <c r="B1398" s="23" t="inlineStr">
        <is>
          <t>SCH-06-031</t>
        </is>
      </c>
      <c r="C1398" s="23" t="inlineStr">
        <is>
          <t>Systems package: stakeholder interface meeting - installation</t>
        </is>
      </c>
      <c r="D1398" s="23" t="inlineStr"/>
      <c r="E1398" s="23" t="inlineStr">
        <is>
          <t>R931-v3</t>
        </is>
      </c>
      <c r="F1398" s="23" t="inlineStr">
        <is>
          <t>UNSURE</t>
        </is>
      </c>
      <c r="G1398" s="23" t="inlineStr">
        <is>
          <t>UNSURE</t>
        </is>
      </c>
      <c r="H1398" s="23" t="inlineStr">
        <is>
          <t>RETAINED</t>
        </is>
      </c>
      <c r="I1398" s="23" t="inlineStr">
        <is>
          <t>Carried forward</t>
        </is>
      </c>
      <c r="J1398" s="23" t="inlineStr">
        <is>
          <t>Earlier professional decision, carried forward</t>
        </is>
      </c>
      <c r="K1398" s="23" t="inlineStr">
        <is>
          <t>Maya Chen, Owner Project Controls</t>
        </is>
      </c>
      <c r="L1398" s="23" t="inlineStr"/>
      <c r="M1398" s="23" t="inlineStr"/>
      <c r="N1398" s="14" t="inlineStr">
        <is>
          <t>10 EVIDENCE &amp; DECISIONS</t>
        </is>
      </c>
    </row>
    <row r="1399" ht="34" customHeight="1">
      <c r="A1399" s="23" t="inlineStr">
        <is>
          <t>Contractor Programme</t>
        </is>
      </c>
      <c r="B1399" s="23" t="inlineStr">
        <is>
          <t>SCH-06-032</t>
        </is>
      </c>
      <c r="C1399" s="23" t="inlineStr">
        <is>
          <t>Fleet package: baseline change control - inspection</t>
        </is>
      </c>
      <c r="D1399" s="23" t="inlineStr"/>
      <c r="E1399" s="23" t="inlineStr">
        <is>
          <t>R932-v3</t>
        </is>
      </c>
      <c r="F1399" s="23" t="inlineStr">
        <is>
          <t>UNSURE</t>
        </is>
      </c>
      <c r="G1399" s="23" t="inlineStr">
        <is>
          <t>UNSURE</t>
        </is>
      </c>
      <c r="H1399" s="23" t="inlineStr">
        <is>
          <t>RETAINED</t>
        </is>
      </c>
      <c r="I1399" s="23" t="inlineStr">
        <is>
          <t>Carried forward</t>
        </is>
      </c>
      <c r="J1399" s="23" t="inlineStr">
        <is>
          <t>Earlier professional decision, carried forward</t>
        </is>
      </c>
      <c r="K1399" s="23" t="inlineStr">
        <is>
          <t>Maya Chen, Owner Project Controls</t>
        </is>
      </c>
      <c r="L1399" s="23" t="inlineStr"/>
      <c r="M1399" s="23" t="inlineStr"/>
      <c r="N1399" s="14" t="inlineStr">
        <is>
          <t>10 EVIDENCE &amp; DECISIONS</t>
        </is>
      </c>
    </row>
    <row r="1400" ht="34" customHeight="1">
      <c r="A1400" s="23" t="inlineStr">
        <is>
          <t>Contractor Programme</t>
        </is>
      </c>
      <c r="B1400" s="23" t="inlineStr">
        <is>
          <t>SCH-06-033</t>
        </is>
      </c>
      <c r="C1400" s="23" t="inlineStr">
        <is>
          <t>Program office: commercial change review - turnover</t>
        </is>
      </c>
      <c r="D1400" s="23" t="inlineStr"/>
      <c r="E1400" s="23" t="inlineStr">
        <is>
          <t>R933-v3</t>
        </is>
      </c>
      <c r="F1400" s="23" t="inlineStr">
        <is>
          <t>UNSURE</t>
        </is>
      </c>
      <c r="G1400" s="23" t="inlineStr">
        <is>
          <t>UNSURE</t>
        </is>
      </c>
      <c r="H1400" s="23" t="inlineStr">
        <is>
          <t>RETAINED</t>
        </is>
      </c>
      <c r="I1400" s="23" t="inlineStr">
        <is>
          <t>Carried forward</t>
        </is>
      </c>
      <c r="J1400" s="23" t="inlineStr">
        <is>
          <t>Earlier professional decision, carried forward</t>
        </is>
      </c>
      <c r="K1400" s="23" t="inlineStr">
        <is>
          <t>Maya Chen, Owner Project Controls</t>
        </is>
      </c>
      <c r="L1400" s="23" t="inlineStr"/>
      <c r="M1400" s="23" t="inlineStr"/>
      <c r="N1400" s="14" t="inlineStr">
        <is>
          <t>10 EVIDENCE &amp; DECISIONS</t>
        </is>
      </c>
    </row>
    <row r="1401" ht="34" customHeight="1">
      <c r="A1401" s="23" t="inlineStr">
        <is>
          <t>Contractor Programme</t>
        </is>
      </c>
      <c r="B1401" s="23" t="inlineStr">
        <is>
          <t>SCH-06-034</t>
        </is>
      </c>
      <c r="C1401" s="23" t="inlineStr">
        <is>
          <t>Civil package: design-package integration review - release</t>
        </is>
      </c>
      <c r="D1401" s="23" t="inlineStr"/>
      <c r="E1401" s="23" t="inlineStr">
        <is>
          <t>R934-v3</t>
        </is>
      </c>
      <c r="F1401" s="23" t="inlineStr">
        <is>
          <t>UNSURE</t>
        </is>
      </c>
      <c r="G1401" s="23" t="inlineStr">
        <is>
          <t>UNSURE</t>
        </is>
      </c>
      <c r="H1401" s="23" t="inlineStr">
        <is>
          <t>RETAINED</t>
        </is>
      </c>
      <c r="I1401" s="23" t="inlineStr">
        <is>
          <t>Carried forward</t>
        </is>
      </c>
      <c r="J1401" s="23" t="inlineStr">
        <is>
          <t>Earlier professional decision, carried forward</t>
        </is>
      </c>
      <c r="K1401" s="23" t="inlineStr">
        <is>
          <t>Maya Chen, Owner Project Controls</t>
        </is>
      </c>
      <c r="L1401" s="23" t="inlineStr"/>
      <c r="M1401" s="23" t="inlineStr"/>
      <c r="N1401" s="14" t="inlineStr">
        <is>
          <t>10 EVIDENCE &amp; DECISIONS</t>
        </is>
      </c>
    </row>
    <row r="1402" ht="34" customHeight="1">
      <c r="A1402" s="23" t="inlineStr">
        <is>
          <t>Contractor Programme</t>
        </is>
      </c>
      <c r="B1402" s="23" t="inlineStr">
        <is>
          <t>SCH-06-035</t>
        </is>
      </c>
      <c r="C1402" s="23" t="inlineStr">
        <is>
          <t>Stations package: executive reporting close - field start</t>
        </is>
      </c>
      <c r="D1402" s="23" t="inlineStr"/>
      <c r="E1402" s="23" t="inlineStr">
        <is>
          <t>R935-v3</t>
        </is>
      </c>
      <c r="F1402" s="23" t="inlineStr">
        <is>
          <t>UNSURE</t>
        </is>
      </c>
      <c r="G1402" s="23" t="inlineStr">
        <is>
          <t>UNSURE</t>
        </is>
      </c>
      <c r="H1402" s="23" t="inlineStr">
        <is>
          <t>RETAINED</t>
        </is>
      </c>
      <c r="I1402" s="23" t="inlineStr">
        <is>
          <t>Carried forward</t>
        </is>
      </c>
      <c r="J1402" s="23" t="inlineStr">
        <is>
          <t>Earlier professional decision, carried forward</t>
        </is>
      </c>
      <c r="K1402" s="23" t="inlineStr">
        <is>
          <t>Maya Chen, Owner Project Controls</t>
        </is>
      </c>
      <c r="L1402" s="23" t="inlineStr"/>
      <c r="M1402" s="23" t="inlineStr"/>
      <c r="N1402" s="14" t="inlineStr">
        <is>
          <t>10 EVIDENCE &amp; DECISIONS</t>
        </is>
      </c>
    </row>
    <row r="1403" ht="34" customHeight="1">
      <c r="A1403" s="23" t="inlineStr">
        <is>
          <t>Contractor Programme</t>
        </is>
      </c>
      <c r="B1403" s="23" t="inlineStr">
        <is>
          <t>SCH-06-036</t>
        </is>
      </c>
      <c r="C1403" s="23" t="inlineStr">
        <is>
          <t>Systems package: permit coordination - installation</t>
        </is>
      </c>
      <c r="D1403" s="23" t="inlineStr"/>
      <c r="E1403" s="23" t="inlineStr">
        <is>
          <t>R936-v3</t>
        </is>
      </c>
      <c r="F1403" s="23" t="inlineStr">
        <is>
          <t>UNSURE</t>
        </is>
      </c>
      <c r="G1403" s="23" t="inlineStr">
        <is>
          <t>UNSURE</t>
        </is>
      </c>
      <c r="H1403" s="23" t="inlineStr">
        <is>
          <t>RETAINED</t>
        </is>
      </c>
      <c r="I1403" s="23" t="inlineStr">
        <is>
          <t>Carried forward</t>
        </is>
      </c>
      <c r="J1403" s="23" t="inlineStr">
        <is>
          <t>Earlier professional decision, carried forward</t>
        </is>
      </c>
      <c r="K1403" s="23" t="inlineStr">
        <is>
          <t>Maya Chen, Owner Project Controls</t>
        </is>
      </c>
      <c r="L1403" s="23" t="inlineStr"/>
      <c r="M1403" s="23" t="inlineStr"/>
      <c r="N1403" s="14" t="inlineStr">
        <is>
          <t>10 EVIDENCE &amp; DECISIONS</t>
        </is>
      </c>
    </row>
    <row r="1404" ht="34" customHeight="1">
      <c r="A1404" s="23" t="inlineStr">
        <is>
          <t>Contractor Programme</t>
        </is>
      </c>
      <c r="B1404" s="23" t="inlineStr">
        <is>
          <t>SCH-06-037</t>
        </is>
      </c>
      <c r="C1404" s="23" t="inlineStr">
        <is>
          <t>Fleet package: delivery risk workshop - inspection</t>
        </is>
      </c>
      <c r="D1404" s="23" t="inlineStr"/>
      <c r="E1404" s="23" t="inlineStr">
        <is>
          <t>R937-v3</t>
        </is>
      </c>
      <c r="F1404" s="23" t="inlineStr">
        <is>
          <t>UNSURE</t>
        </is>
      </c>
      <c r="G1404" s="23" t="inlineStr">
        <is>
          <t>UNSURE</t>
        </is>
      </c>
      <c r="H1404" s="23" t="inlineStr">
        <is>
          <t>RETAINED</t>
        </is>
      </c>
      <c r="I1404" s="23" t="inlineStr">
        <is>
          <t>Carried forward</t>
        </is>
      </c>
      <c r="J1404" s="23" t="inlineStr">
        <is>
          <t>Earlier professional decision, carried forward</t>
        </is>
      </c>
      <c r="K1404" s="23" t="inlineStr">
        <is>
          <t>Maya Chen, Owner Project Controls</t>
        </is>
      </c>
      <c r="L1404" s="23" t="inlineStr"/>
      <c r="M1404" s="23" t="inlineStr"/>
      <c r="N1404" s="14" t="inlineStr">
        <is>
          <t>10 EVIDENCE &amp; DECISIONS</t>
        </is>
      </c>
    </row>
    <row r="1405" ht="34" customHeight="1">
      <c r="A1405" s="23" t="inlineStr">
        <is>
          <t>Contractor Programme</t>
        </is>
      </c>
      <c r="B1405" s="23" t="inlineStr">
        <is>
          <t>SCH-06-038</t>
        </is>
      </c>
      <c r="C1405" s="23" t="inlineStr">
        <is>
          <t>Program office: monthly controls cut-off - turnover</t>
        </is>
      </c>
      <c r="D1405" s="23" t="inlineStr"/>
      <c r="E1405" s="23" t="inlineStr">
        <is>
          <t>R938-v3</t>
        </is>
      </c>
      <c r="F1405" s="23" t="inlineStr">
        <is>
          <t>UNSURE</t>
        </is>
      </c>
      <c r="G1405" s="23" t="inlineStr">
        <is>
          <t>UNSURE</t>
        </is>
      </c>
      <c r="H1405" s="23" t="inlineStr">
        <is>
          <t>RETAINED</t>
        </is>
      </c>
      <c r="I1405" s="23" t="inlineStr">
        <is>
          <t>Carried forward</t>
        </is>
      </c>
      <c r="J1405" s="23" t="inlineStr">
        <is>
          <t>Earlier professional decision, carried forward</t>
        </is>
      </c>
      <c r="K1405" s="23" t="inlineStr">
        <is>
          <t>Maya Chen, Owner Project Controls</t>
        </is>
      </c>
      <c r="L1405" s="23" t="inlineStr"/>
      <c r="M1405" s="23" t="inlineStr"/>
      <c r="N1405" s="14" t="inlineStr">
        <is>
          <t>10 EVIDENCE &amp; DECISIONS</t>
        </is>
      </c>
    </row>
    <row r="1406" ht="34" customHeight="1">
      <c r="A1406" s="23" t="inlineStr">
        <is>
          <t>Contractor Programme</t>
        </is>
      </c>
      <c r="B1406" s="23" t="inlineStr">
        <is>
          <t>SCH-06-039</t>
        </is>
      </c>
      <c r="C1406" s="23" t="inlineStr">
        <is>
          <t>Civil package: stakeholder interface meeting - release</t>
        </is>
      </c>
      <c r="D1406" s="23" t="inlineStr"/>
      <c r="E1406" s="23" t="inlineStr">
        <is>
          <t>R939-v3</t>
        </is>
      </c>
      <c r="F1406" s="23" t="inlineStr">
        <is>
          <t>UNSURE</t>
        </is>
      </c>
      <c r="G1406" s="23" t="inlineStr">
        <is>
          <t>UNSURE</t>
        </is>
      </c>
      <c r="H1406" s="23" t="inlineStr">
        <is>
          <t>RETAINED</t>
        </is>
      </c>
      <c r="I1406" s="23" t="inlineStr">
        <is>
          <t>Carried forward</t>
        </is>
      </c>
      <c r="J1406" s="23" t="inlineStr">
        <is>
          <t>Earlier professional decision, carried forward</t>
        </is>
      </c>
      <c r="K1406" s="23" t="inlineStr">
        <is>
          <t>Maya Chen, Owner Project Controls</t>
        </is>
      </c>
      <c r="L1406" s="23" t="inlineStr"/>
      <c r="M1406" s="23" t="inlineStr"/>
      <c r="N1406" s="14" t="inlineStr">
        <is>
          <t>10 EVIDENCE &amp; DECISIONS</t>
        </is>
      </c>
    </row>
    <row r="1407" ht="34" customHeight="1">
      <c r="A1407" s="23" t="inlineStr">
        <is>
          <t>Contractor Programme</t>
        </is>
      </c>
      <c r="B1407" s="23" t="inlineStr">
        <is>
          <t>SCH-06-040</t>
        </is>
      </c>
      <c r="C1407" s="23" t="inlineStr">
        <is>
          <t>Stations package: baseline change control - field start</t>
        </is>
      </c>
      <c r="D1407" s="23" t="inlineStr"/>
      <c r="E1407" s="23" t="inlineStr">
        <is>
          <t>R940-v3</t>
        </is>
      </c>
      <c r="F1407" s="23" t="inlineStr">
        <is>
          <t>UNSURE</t>
        </is>
      </c>
      <c r="G1407" s="23" t="inlineStr">
        <is>
          <t>UNSURE</t>
        </is>
      </c>
      <c r="H1407" s="23" t="inlineStr">
        <is>
          <t>RETAINED</t>
        </is>
      </c>
      <c r="I1407" s="23" t="inlineStr">
        <is>
          <t>Carried forward</t>
        </is>
      </c>
      <c r="J1407" s="23" t="inlineStr">
        <is>
          <t>Earlier professional decision, carried forward</t>
        </is>
      </c>
      <c r="K1407" s="23" t="inlineStr">
        <is>
          <t>Maya Chen, Owner Project Controls</t>
        </is>
      </c>
      <c r="L1407" s="23" t="inlineStr"/>
      <c r="M1407" s="23" t="inlineStr"/>
      <c r="N1407" s="14" t="inlineStr">
        <is>
          <t>10 EVIDENCE &amp; DECISIONS</t>
        </is>
      </c>
    </row>
    <row r="1408" ht="34" customHeight="1">
      <c r="A1408" s="23" t="inlineStr">
        <is>
          <t>Contractor Programme</t>
        </is>
      </c>
      <c r="B1408" s="23" t="inlineStr">
        <is>
          <t>SCH-06-041</t>
        </is>
      </c>
      <c r="C1408" s="23" t="inlineStr">
        <is>
          <t>Systems package: commercial change review - installation</t>
        </is>
      </c>
      <c r="D1408" s="23" t="inlineStr"/>
      <c r="E1408" s="23" t="inlineStr">
        <is>
          <t>R941-v3</t>
        </is>
      </c>
      <c r="F1408" s="23" t="inlineStr">
        <is>
          <t>UNSURE</t>
        </is>
      </c>
      <c r="G1408" s="23" t="inlineStr">
        <is>
          <t>UNSURE</t>
        </is>
      </c>
      <c r="H1408" s="23" t="inlineStr">
        <is>
          <t>RETAINED</t>
        </is>
      </c>
      <c r="I1408" s="23" t="inlineStr">
        <is>
          <t>Carried forward</t>
        </is>
      </c>
      <c r="J1408" s="23" t="inlineStr">
        <is>
          <t>Earlier professional decision, carried forward</t>
        </is>
      </c>
      <c r="K1408" s="23" t="inlineStr">
        <is>
          <t>Maya Chen, Owner Project Controls</t>
        </is>
      </c>
      <c r="L1408" s="23" t="inlineStr"/>
      <c r="M1408" s="23" t="inlineStr"/>
      <c r="N1408" s="14" t="inlineStr">
        <is>
          <t>10 EVIDENCE &amp; DECISIONS</t>
        </is>
      </c>
    </row>
    <row r="1409" ht="34" customHeight="1">
      <c r="A1409" s="23" t="inlineStr">
        <is>
          <t>Contractor Programme</t>
        </is>
      </c>
      <c r="B1409" s="23" t="inlineStr">
        <is>
          <t>SCH-06-042</t>
        </is>
      </c>
      <c r="C1409" s="23" t="inlineStr">
        <is>
          <t>Fleet package: design-package integration review - inspection</t>
        </is>
      </c>
      <c r="D1409" s="23" t="inlineStr"/>
      <c r="E1409" s="23" t="inlineStr">
        <is>
          <t>R942-v3</t>
        </is>
      </c>
      <c r="F1409" s="23" t="inlineStr">
        <is>
          <t>UNSURE</t>
        </is>
      </c>
      <c r="G1409" s="23" t="inlineStr">
        <is>
          <t>UNSURE</t>
        </is>
      </c>
      <c r="H1409" s="23" t="inlineStr">
        <is>
          <t>RETAINED</t>
        </is>
      </c>
      <c r="I1409" s="23" t="inlineStr">
        <is>
          <t>Carried forward</t>
        </is>
      </c>
      <c r="J1409" s="23" t="inlineStr">
        <is>
          <t>Earlier professional decision, carried forward</t>
        </is>
      </c>
      <c r="K1409" s="23" t="inlineStr">
        <is>
          <t>Maya Chen, Owner Project Controls</t>
        </is>
      </c>
      <c r="L1409" s="23" t="inlineStr"/>
      <c r="M1409" s="23" t="inlineStr"/>
      <c r="N1409" s="14" t="inlineStr">
        <is>
          <t>10 EVIDENCE &amp; DECISIONS</t>
        </is>
      </c>
    </row>
    <row r="1410" ht="34" customHeight="1">
      <c r="A1410" s="23" t="inlineStr">
        <is>
          <t>Contractor Programme</t>
        </is>
      </c>
      <c r="B1410" s="23" t="inlineStr">
        <is>
          <t>SCH-06-043</t>
        </is>
      </c>
      <c r="C1410" s="23" t="inlineStr">
        <is>
          <t>Program office: executive reporting close - turnover</t>
        </is>
      </c>
      <c r="D1410" s="23" t="inlineStr"/>
      <c r="E1410" s="23" t="inlineStr">
        <is>
          <t>R943-v3</t>
        </is>
      </c>
      <c r="F1410" s="23" t="inlineStr">
        <is>
          <t>UNSURE</t>
        </is>
      </c>
      <c r="G1410" s="23" t="inlineStr">
        <is>
          <t>UNSURE</t>
        </is>
      </c>
      <c r="H1410" s="23" t="inlineStr">
        <is>
          <t>RETAINED</t>
        </is>
      </c>
      <c r="I1410" s="23" t="inlineStr">
        <is>
          <t>Carried forward</t>
        </is>
      </c>
      <c r="J1410" s="23" t="inlineStr">
        <is>
          <t>Earlier professional decision, carried forward</t>
        </is>
      </c>
      <c r="K1410" s="23" t="inlineStr">
        <is>
          <t>Maya Chen, Owner Project Controls</t>
        </is>
      </c>
      <c r="L1410" s="23" t="inlineStr"/>
      <c r="M1410" s="23" t="inlineStr"/>
      <c r="N1410" s="14" t="inlineStr">
        <is>
          <t>10 EVIDENCE &amp; DECISIONS</t>
        </is>
      </c>
    </row>
    <row r="1411" ht="34" customHeight="1">
      <c r="A1411" s="23" t="inlineStr">
        <is>
          <t>Contractor Programme</t>
        </is>
      </c>
      <c r="B1411" s="23" t="inlineStr">
        <is>
          <t>SCH-06-044</t>
        </is>
      </c>
      <c r="C1411" s="23" t="inlineStr">
        <is>
          <t>Civil package: permit coordination - release</t>
        </is>
      </c>
      <c r="D1411" s="23" t="inlineStr"/>
      <c r="E1411" s="23" t="inlineStr">
        <is>
          <t>R944-v3</t>
        </is>
      </c>
      <c r="F1411" s="23" t="inlineStr">
        <is>
          <t>UNSURE</t>
        </is>
      </c>
      <c r="G1411" s="23" t="inlineStr">
        <is>
          <t>UNSURE</t>
        </is>
      </c>
      <c r="H1411" s="23" t="inlineStr">
        <is>
          <t>RETAINED</t>
        </is>
      </c>
      <c r="I1411" s="23" t="inlineStr">
        <is>
          <t>Carried forward</t>
        </is>
      </c>
      <c r="J1411" s="23" t="inlineStr">
        <is>
          <t>Earlier professional decision, carried forward</t>
        </is>
      </c>
      <c r="K1411" s="23" t="inlineStr">
        <is>
          <t>Maya Chen, Owner Project Controls</t>
        </is>
      </c>
      <c r="L1411" s="23" t="inlineStr"/>
      <c r="M1411" s="23" t="inlineStr"/>
      <c r="N1411" s="14" t="inlineStr">
        <is>
          <t>10 EVIDENCE &amp; DECISIONS</t>
        </is>
      </c>
    </row>
    <row r="1412" ht="34" customHeight="1">
      <c r="A1412" s="23" t="inlineStr">
        <is>
          <t>Contractor Programme</t>
        </is>
      </c>
      <c r="B1412" s="23" t="inlineStr">
        <is>
          <t>SCH-06-045</t>
        </is>
      </c>
      <c r="C1412" s="23" t="inlineStr">
        <is>
          <t>Stations package: delivery risk workshop - field start</t>
        </is>
      </c>
      <c r="D1412" s="23" t="inlineStr"/>
      <c r="E1412" s="23" t="inlineStr">
        <is>
          <t>R945-v3</t>
        </is>
      </c>
      <c r="F1412" s="23" t="inlineStr">
        <is>
          <t>UNSURE</t>
        </is>
      </c>
      <c r="G1412" s="23" t="inlineStr">
        <is>
          <t>UNSURE</t>
        </is>
      </c>
      <c r="H1412" s="23" t="inlineStr">
        <is>
          <t>RETAINED</t>
        </is>
      </c>
      <c r="I1412" s="23" t="inlineStr">
        <is>
          <t>Carried forward</t>
        </is>
      </c>
      <c r="J1412" s="23" t="inlineStr">
        <is>
          <t>Earlier professional decision, carried forward</t>
        </is>
      </c>
      <c r="K1412" s="23" t="inlineStr">
        <is>
          <t>Maya Chen, Owner Project Controls</t>
        </is>
      </c>
      <c r="L1412" s="23" t="inlineStr"/>
      <c r="M1412" s="23" t="inlineStr"/>
      <c r="N1412" s="14" t="inlineStr">
        <is>
          <t>10 EVIDENCE &amp; DECISIONS</t>
        </is>
      </c>
    </row>
    <row r="1413" ht="34" customHeight="1">
      <c r="A1413" s="23" t="inlineStr">
        <is>
          <t>Contractor Programme</t>
        </is>
      </c>
      <c r="B1413" s="23" t="inlineStr">
        <is>
          <t>SCH-06-046</t>
        </is>
      </c>
      <c r="C1413" s="23" t="inlineStr">
        <is>
          <t>Systems package: monthly controls cut-off - installation</t>
        </is>
      </c>
      <c r="D1413" s="23" t="inlineStr"/>
      <c r="E1413" s="23" t="inlineStr">
        <is>
          <t>R946-v3</t>
        </is>
      </c>
      <c r="F1413" s="23" t="inlineStr">
        <is>
          <t>UNSURE</t>
        </is>
      </c>
      <c r="G1413" s="23" t="inlineStr">
        <is>
          <t>UNSURE</t>
        </is>
      </c>
      <c r="H1413" s="23" t="inlineStr">
        <is>
          <t>RETAINED</t>
        </is>
      </c>
      <c r="I1413" s="23" t="inlineStr">
        <is>
          <t>Carried forward</t>
        </is>
      </c>
      <c r="J1413" s="23" t="inlineStr">
        <is>
          <t>Earlier professional decision, carried forward</t>
        </is>
      </c>
      <c r="K1413" s="23" t="inlineStr">
        <is>
          <t>Maya Chen, Owner Project Controls</t>
        </is>
      </c>
      <c r="L1413" s="23" t="inlineStr"/>
      <c r="M1413" s="23" t="inlineStr"/>
      <c r="N1413" s="14" t="inlineStr">
        <is>
          <t>10 EVIDENCE &amp; DECISIONS</t>
        </is>
      </c>
    </row>
    <row r="1414" ht="34" customHeight="1">
      <c r="A1414" s="23" t="inlineStr">
        <is>
          <t>Contractor Programme</t>
        </is>
      </c>
      <c r="B1414" s="23" t="inlineStr">
        <is>
          <t>SCH-06-047</t>
        </is>
      </c>
      <c r="C1414" s="23" t="inlineStr">
        <is>
          <t>Fleet package: stakeholder interface meeting - inspection</t>
        </is>
      </c>
      <c r="D1414" s="23" t="inlineStr"/>
      <c r="E1414" s="23" t="inlineStr">
        <is>
          <t>R947-v3</t>
        </is>
      </c>
      <c r="F1414" s="23" t="inlineStr">
        <is>
          <t>UNSURE</t>
        </is>
      </c>
      <c r="G1414" s="23" t="inlineStr">
        <is>
          <t>UNSURE</t>
        </is>
      </c>
      <c r="H1414" s="23" t="inlineStr">
        <is>
          <t>RETAINED</t>
        </is>
      </c>
      <c r="I1414" s="23" t="inlineStr">
        <is>
          <t>Carried forward</t>
        </is>
      </c>
      <c r="J1414" s="23" t="inlineStr">
        <is>
          <t>Earlier professional decision, carried forward</t>
        </is>
      </c>
      <c r="K1414" s="23" t="inlineStr">
        <is>
          <t>Maya Chen, Owner Project Controls</t>
        </is>
      </c>
      <c r="L1414" s="23" t="inlineStr"/>
      <c r="M1414" s="23" t="inlineStr"/>
      <c r="N1414" s="14" t="inlineStr">
        <is>
          <t>10 EVIDENCE &amp; DECISIONS</t>
        </is>
      </c>
    </row>
    <row r="1415" ht="34" customHeight="1">
      <c r="A1415" s="23" t="inlineStr">
        <is>
          <t>Contractor Programme</t>
        </is>
      </c>
      <c r="B1415" s="23" t="inlineStr">
        <is>
          <t>SCH-06-048</t>
        </is>
      </c>
      <c r="C1415" s="23" t="inlineStr">
        <is>
          <t>Program office: baseline change control - turnover</t>
        </is>
      </c>
      <c r="D1415" s="23" t="inlineStr"/>
      <c r="E1415" s="23" t="inlineStr">
        <is>
          <t>R948-v3</t>
        </is>
      </c>
      <c r="F1415" s="23" t="inlineStr">
        <is>
          <t>UNSURE</t>
        </is>
      </c>
      <c r="G1415" s="23" t="inlineStr">
        <is>
          <t>UNSURE</t>
        </is>
      </c>
      <c r="H1415" s="23" t="inlineStr">
        <is>
          <t>RETAINED</t>
        </is>
      </c>
      <c r="I1415" s="23" t="inlineStr">
        <is>
          <t>Carried forward</t>
        </is>
      </c>
      <c r="J1415" s="23" t="inlineStr">
        <is>
          <t>Earlier professional decision, carried forward</t>
        </is>
      </c>
      <c r="K1415" s="23" t="inlineStr">
        <is>
          <t>Maya Chen, Owner Project Controls</t>
        </is>
      </c>
      <c r="L1415" s="23" t="inlineStr"/>
      <c r="M1415" s="23" t="inlineStr"/>
      <c r="N1415" s="14" t="inlineStr">
        <is>
          <t>10 EVIDENCE &amp; DECISIONS</t>
        </is>
      </c>
    </row>
    <row r="1416" ht="34" customHeight="1">
      <c r="A1416" s="23" t="inlineStr">
        <is>
          <t>Contractor Programme</t>
        </is>
      </c>
      <c r="B1416" s="23" t="inlineStr">
        <is>
          <t>SCH-06-049</t>
        </is>
      </c>
      <c r="C1416" s="23" t="inlineStr">
        <is>
          <t>Civil package: commercial change review - release</t>
        </is>
      </c>
      <c r="D1416" s="23" t="inlineStr"/>
      <c r="E1416" s="23" t="inlineStr">
        <is>
          <t>R949-v3</t>
        </is>
      </c>
      <c r="F1416" s="23" t="inlineStr">
        <is>
          <t>UNSURE</t>
        </is>
      </c>
      <c r="G1416" s="23" t="inlineStr">
        <is>
          <t>UNSURE</t>
        </is>
      </c>
      <c r="H1416" s="23" t="inlineStr">
        <is>
          <t>RETAINED</t>
        </is>
      </c>
      <c r="I1416" s="23" t="inlineStr">
        <is>
          <t>Carried forward</t>
        </is>
      </c>
      <c r="J1416" s="23" t="inlineStr">
        <is>
          <t>Earlier professional decision, carried forward</t>
        </is>
      </c>
      <c r="K1416" s="23" t="inlineStr">
        <is>
          <t>Maya Chen, Owner Project Controls</t>
        </is>
      </c>
      <c r="L1416" s="23" t="inlineStr"/>
      <c r="M1416" s="23" t="inlineStr"/>
      <c r="N1416" s="14" t="inlineStr">
        <is>
          <t>10 EVIDENCE &amp; DECISIONS</t>
        </is>
      </c>
    </row>
    <row r="1417" ht="34" customHeight="1">
      <c r="A1417" s="23" t="inlineStr">
        <is>
          <t>Contractor Programme</t>
        </is>
      </c>
      <c r="B1417" s="23" t="inlineStr">
        <is>
          <t>SCH-06-050</t>
        </is>
      </c>
      <c r="C1417" s="23" t="inlineStr">
        <is>
          <t>Stations package: design-package integration review - field start</t>
        </is>
      </c>
      <c r="D1417" s="23" t="inlineStr"/>
      <c r="E1417" s="23" t="inlineStr">
        <is>
          <t>R950-v3</t>
        </is>
      </c>
      <c r="F1417" s="23" t="inlineStr">
        <is>
          <t>UNSURE</t>
        </is>
      </c>
      <c r="G1417" s="23" t="inlineStr">
        <is>
          <t>UNSURE</t>
        </is>
      </c>
      <c r="H1417" s="23" t="inlineStr">
        <is>
          <t>RETAINED</t>
        </is>
      </c>
      <c r="I1417" s="23" t="inlineStr">
        <is>
          <t>Carried forward</t>
        </is>
      </c>
      <c r="J1417" s="23" t="inlineStr">
        <is>
          <t>Earlier professional decision, carried forward</t>
        </is>
      </c>
      <c r="K1417" s="23" t="inlineStr">
        <is>
          <t>Maya Chen, Owner Project Controls</t>
        </is>
      </c>
      <c r="L1417" s="23" t="inlineStr"/>
      <c r="M1417" s="23" t="inlineStr"/>
      <c r="N1417" s="14" t="inlineStr">
        <is>
          <t>10 EVIDENCE &amp; DECISIONS</t>
        </is>
      </c>
    </row>
    <row r="1418" ht="34" customHeight="1">
      <c r="A1418" s="23" t="inlineStr">
        <is>
          <t>Contractor Programme</t>
        </is>
      </c>
      <c r="B1418" s="23" t="inlineStr">
        <is>
          <t>SCH-06-051</t>
        </is>
      </c>
      <c r="C1418" s="23" t="inlineStr">
        <is>
          <t>Systems package: executive reporting close - installation</t>
        </is>
      </c>
      <c r="D1418" s="23" t="inlineStr"/>
      <c r="E1418" s="23" t="inlineStr">
        <is>
          <t>R951-v3</t>
        </is>
      </c>
      <c r="F1418" s="23" t="inlineStr">
        <is>
          <t>UNSURE</t>
        </is>
      </c>
      <c r="G1418" s="23" t="inlineStr">
        <is>
          <t>UNSURE</t>
        </is>
      </c>
      <c r="H1418" s="23" t="inlineStr">
        <is>
          <t>RETAINED</t>
        </is>
      </c>
      <c r="I1418" s="23" t="inlineStr">
        <is>
          <t>Carried forward</t>
        </is>
      </c>
      <c r="J1418" s="23" t="inlineStr">
        <is>
          <t>Earlier professional decision, carried forward</t>
        </is>
      </c>
      <c r="K1418" s="23" t="inlineStr">
        <is>
          <t>Maya Chen, Owner Project Controls</t>
        </is>
      </c>
      <c r="L1418" s="23" t="inlineStr"/>
      <c r="M1418" s="23" t="inlineStr"/>
      <c r="N1418" s="14" t="inlineStr">
        <is>
          <t>10 EVIDENCE &amp; DECISIONS</t>
        </is>
      </c>
    </row>
    <row r="1419" ht="34" customHeight="1">
      <c r="A1419" s="23" t="inlineStr">
        <is>
          <t>Contractor Programme</t>
        </is>
      </c>
      <c r="B1419" s="23" t="inlineStr">
        <is>
          <t>SCH-06-052</t>
        </is>
      </c>
      <c r="C1419" s="23" t="inlineStr">
        <is>
          <t>Fleet package: permit coordination - inspection</t>
        </is>
      </c>
      <c r="D1419" s="23" t="inlineStr"/>
      <c r="E1419" s="23" t="inlineStr">
        <is>
          <t>R952-v3</t>
        </is>
      </c>
      <c r="F1419" s="23" t="inlineStr">
        <is>
          <t>UNSURE</t>
        </is>
      </c>
      <c r="G1419" s="23" t="inlineStr">
        <is>
          <t>UNSURE</t>
        </is>
      </c>
      <c r="H1419" s="23" t="inlineStr">
        <is>
          <t>RETAINED</t>
        </is>
      </c>
      <c r="I1419" s="23" t="inlineStr">
        <is>
          <t>Carried forward</t>
        </is>
      </c>
      <c r="J1419" s="23" t="inlineStr">
        <is>
          <t>Earlier professional decision, carried forward</t>
        </is>
      </c>
      <c r="K1419" s="23" t="inlineStr">
        <is>
          <t>Maya Chen, Owner Project Controls</t>
        </is>
      </c>
      <c r="L1419" s="23" t="inlineStr"/>
      <c r="M1419" s="23" t="inlineStr"/>
      <c r="N1419" s="14" t="inlineStr">
        <is>
          <t>10 EVIDENCE &amp; DECISIONS</t>
        </is>
      </c>
    </row>
    <row r="1420" ht="34" customHeight="1">
      <c r="A1420" s="23" t="inlineStr">
        <is>
          <t>Contractor Programme</t>
        </is>
      </c>
      <c r="B1420" s="23" t="inlineStr">
        <is>
          <t>SCH-06-053</t>
        </is>
      </c>
      <c r="C1420" s="23" t="inlineStr">
        <is>
          <t>Program office: delivery risk workshop - turnover</t>
        </is>
      </c>
      <c r="D1420" s="23" t="inlineStr"/>
      <c r="E1420" s="23" t="inlineStr">
        <is>
          <t>R953-v3</t>
        </is>
      </c>
      <c r="F1420" s="23" t="inlineStr">
        <is>
          <t>UNSURE</t>
        </is>
      </c>
      <c r="G1420" s="23" t="inlineStr">
        <is>
          <t>UNSURE</t>
        </is>
      </c>
      <c r="H1420" s="23" t="inlineStr">
        <is>
          <t>RETAINED</t>
        </is>
      </c>
      <c r="I1420" s="23" t="inlineStr">
        <is>
          <t>Carried forward</t>
        </is>
      </c>
      <c r="J1420" s="23" t="inlineStr">
        <is>
          <t>Earlier professional decision, carried forward</t>
        </is>
      </c>
      <c r="K1420" s="23" t="inlineStr">
        <is>
          <t>Maya Chen, Owner Project Controls</t>
        </is>
      </c>
      <c r="L1420" s="23" t="inlineStr"/>
      <c r="M1420" s="23" t="inlineStr"/>
      <c r="N1420" s="14" t="inlineStr">
        <is>
          <t>10 EVIDENCE &amp; DECISIONS</t>
        </is>
      </c>
    </row>
    <row r="1421" ht="34" customHeight="1">
      <c r="A1421" s="23" t="inlineStr">
        <is>
          <t>Contractor Programme</t>
        </is>
      </c>
      <c r="B1421" s="23" t="inlineStr">
        <is>
          <t>SCH-06-054</t>
        </is>
      </c>
      <c r="C1421" s="23" t="inlineStr">
        <is>
          <t>Civil package: monthly controls cut-off - release</t>
        </is>
      </c>
      <c r="D1421" s="23" t="inlineStr"/>
      <c r="E1421" s="23" t="inlineStr">
        <is>
          <t>R954-v3</t>
        </is>
      </c>
      <c r="F1421" s="23" t="inlineStr">
        <is>
          <t>UNSURE</t>
        </is>
      </c>
      <c r="G1421" s="23" t="inlineStr">
        <is>
          <t>UNSURE</t>
        </is>
      </c>
      <c r="H1421" s="23" t="inlineStr">
        <is>
          <t>RETAINED</t>
        </is>
      </c>
      <c r="I1421" s="23" t="inlineStr">
        <is>
          <t>Carried forward</t>
        </is>
      </c>
      <c r="J1421" s="23" t="inlineStr">
        <is>
          <t>Earlier professional decision, carried forward</t>
        </is>
      </c>
      <c r="K1421" s="23" t="inlineStr">
        <is>
          <t>Maya Chen, Owner Project Controls</t>
        </is>
      </c>
      <c r="L1421" s="23" t="inlineStr"/>
      <c r="M1421" s="23" t="inlineStr"/>
      <c r="N1421" s="14" t="inlineStr">
        <is>
          <t>10 EVIDENCE &amp; DECISIONS</t>
        </is>
      </c>
    </row>
    <row r="1422" ht="34" customHeight="1">
      <c r="A1422" s="23" t="inlineStr">
        <is>
          <t>Contractor Programme</t>
        </is>
      </c>
      <c r="B1422" s="23" t="inlineStr">
        <is>
          <t>SCH-06-055</t>
        </is>
      </c>
      <c r="C1422" s="23" t="inlineStr">
        <is>
          <t>Stations package: stakeholder interface meeting - field start</t>
        </is>
      </c>
      <c r="D1422" s="23" t="inlineStr"/>
      <c r="E1422" s="23" t="inlineStr">
        <is>
          <t>R955-v3</t>
        </is>
      </c>
      <c r="F1422" s="23" t="inlineStr">
        <is>
          <t>UNSURE</t>
        </is>
      </c>
      <c r="G1422" s="23" t="inlineStr">
        <is>
          <t>UNSURE</t>
        </is>
      </c>
      <c r="H1422" s="23" t="inlineStr">
        <is>
          <t>RETAINED</t>
        </is>
      </c>
      <c r="I1422" s="23" t="inlineStr">
        <is>
          <t>Carried forward</t>
        </is>
      </c>
      <c r="J1422" s="23" t="inlineStr">
        <is>
          <t>Earlier professional decision, carried forward</t>
        </is>
      </c>
      <c r="K1422" s="23" t="inlineStr">
        <is>
          <t>Maya Chen, Owner Project Controls</t>
        </is>
      </c>
      <c r="L1422" s="23" t="inlineStr"/>
      <c r="M1422" s="23" t="inlineStr"/>
      <c r="N1422" s="14" t="inlineStr">
        <is>
          <t>10 EVIDENCE &amp; DECISIONS</t>
        </is>
      </c>
    </row>
    <row r="1423" ht="34" customHeight="1">
      <c r="A1423" s="23" t="inlineStr">
        <is>
          <t>Contractor Programme</t>
        </is>
      </c>
      <c r="B1423" s="23" t="inlineStr">
        <is>
          <t>SCH-06-056</t>
        </is>
      </c>
      <c r="C1423" s="23" t="inlineStr">
        <is>
          <t>Systems package: baseline change control - installation</t>
        </is>
      </c>
      <c r="D1423" s="23" t="inlineStr"/>
      <c r="E1423" s="23" t="inlineStr">
        <is>
          <t>R956-v3</t>
        </is>
      </c>
      <c r="F1423" s="23" t="inlineStr">
        <is>
          <t>UNSURE</t>
        </is>
      </c>
      <c r="G1423" s="23" t="inlineStr">
        <is>
          <t>UNSURE</t>
        </is>
      </c>
      <c r="H1423" s="23" t="inlineStr">
        <is>
          <t>RETAINED</t>
        </is>
      </c>
      <c r="I1423" s="23" t="inlineStr">
        <is>
          <t>Carried forward</t>
        </is>
      </c>
      <c r="J1423" s="23" t="inlineStr">
        <is>
          <t>Earlier professional decision, carried forward</t>
        </is>
      </c>
      <c r="K1423" s="23" t="inlineStr">
        <is>
          <t>Maya Chen, Owner Project Controls</t>
        </is>
      </c>
      <c r="L1423" s="23" t="inlineStr"/>
      <c r="M1423" s="23" t="inlineStr"/>
      <c r="N1423" s="14" t="inlineStr">
        <is>
          <t>10 EVIDENCE &amp; DECISIONS</t>
        </is>
      </c>
    </row>
    <row r="1424" ht="34" customHeight="1">
      <c r="A1424" s="23" t="inlineStr">
        <is>
          <t>Contractor Programme</t>
        </is>
      </c>
      <c r="B1424" s="23" t="inlineStr">
        <is>
          <t>SCH-06-057</t>
        </is>
      </c>
      <c r="C1424" s="23" t="inlineStr">
        <is>
          <t>Fleet package: commercial change review - inspection</t>
        </is>
      </c>
      <c r="D1424" s="23" t="inlineStr"/>
      <c r="E1424" s="23" t="inlineStr">
        <is>
          <t>R957-v3</t>
        </is>
      </c>
      <c r="F1424" s="23" t="inlineStr">
        <is>
          <t>UNSURE</t>
        </is>
      </c>
      <c r="G1424" s="23" t="inlineStr">
        <is>
          <t>UNSURE</t>
        </is>
      </c>
      <c r="H1424" s="23" t="inlineStr">
        <is>
          <t>RETAINED</t>
        </is>
      </c>
      <c r="I1424" s="23" t="inlineStr">
        <is>
          <t>Carried forward</t>
        </is>
      </c>
      <c r="J1424" s="23" t="inlineStr">
        <is>
          <t>Earlier professional decision, carried forward</t>
        </is>
      </c>
      <c r="K1424" s="23" t="inlineStr">
        <is>
          <t>Maya Chen, Owner Project Controls</t>
        </is>
      </c>
      <c r="L1424" s="23" t="inlineStr"/>
      <c r="M1424" s="23" t="inlineStr"/>
      <c r="N1424" s="14" t="inlineStr">
        <is>
          <t>10 EVIDENCE &amp; DECISIONS</t>
        </is>
      </c>
    </row>
    <row r="1425" ht="34" customHeight="1">
      <c r="A1425" s="23" t="inlineStr">
        <is>
          <t>Contractor Programme</t>
        </is>
      </c>
      <c r="B1425" s="23" t="inlineStr">
        <is>
          <t>SCH-06-058</t>
        </is>
      </c>
      <c r="C1425" s="23" t="inlineStr">
        <is>
          <t>Program office: design-package integration review - turnover</t>
        </is>
      </c>
      <c r="D1425" s="23" t="inlineStr"/>
      <c r="E1425" s="23" t="inlineStr">
        <is>
          <t>R958-v3</t>
        </is>
      </c>
      <c r="F1425" s="23" t="inlineStr">
        <is>
          <t>UNSURE</t>
        </is>
      </c>
      <c r="G1425" s="23" t="inlineStr">
        <is>
          <t>UNSURE</t>
        </is>
      </c>
      <c r="H1425" s="23" t="inlineStr">
        <is>
          <t>RETAINED</t>
        </is>
      </c>
      <c r="I1425" s="23" t="inlineStr">
        <is>
          <t>Carried forward</t>
        </is>
      </c>
      <c r="J1425" s="23" t="inlineStr">
        <is>
          <t>Earlier professional decision, carried forward</t>
        </is>
      </c>
      <c r="K1425" s="23" t="inlineStr">
        <is>
          <t>Maya Chen, Owner Project Controls</t>
        </is>
      </c>
      <c r="L1425" s="23" t="inlineStr"/>
      <c r="M1425" s="23" t="inlineStr"/>
      <c r="N1425" s="14" t="inlineStr">
        <is>
          <t>10 EVIDENCE &amp; DECISIONS</t>
        </is>
      </c>
    </row>
    <row r="1426" ht="34" customHeight="1">
      <c r="A1426" s="23" t="inlineStr">
        <is>
          <t>Contractor Programme</t>
        </is>
      </c>
      <c r="B1426" s="23" t="inlineStr">
        <is>
          <t>SCH-06-059</t>
        </is>
      </c>
      <c r="C1426" s="23" t="inlineStr">
        <is>
          <t>Civil package: executive reporting close - release</t>
        </is>
      </c>
      <c r="D1426" s="23" t="inlineStr"/>
      <c r="E1426" s="23" t="inlineStr">
        <is>
          <t>R959-v3</t>
        </is>
      </c>
      <c r="F1426" s="23" t="inlineStr">
        <is>
          <t>UNSURE</t>
        </is>
      </c>
      <c r="G1426" s="23" t="inlineStr">
        <is>
          <t>UNSURE</t>
        </is>
      </c>
      <c r="H1426" s="23" t="inlineStr">
        <is>
          <t>RETAINED</t>
        </is>
      </c>
      <c r="I1426" s="23" t="inlineStr">
        <is>
          <t>Carried forward</t>
        </is>
      </c>
      <c r="J1426" s="23" t="inlineStr">
        <is>
          <t>Earlier professional decision, carried forward</t>
        </is>
      </c>
      <c r="K1426" s="23" t="inlineStr">
        <is>
          <t>Maya Chen, Owner Project Controls</t>
        </is>
      </c>
      <c r="L1426" s="23" t="inlineStr"/>
      <c r="M1426" s="23" t="inlineStr"/>
      <c r="N1426" s="14" t="inlineStr">
        <is>
          <t>10 EVIDENCE &amp; DECISIONS</t>
        </is>
      </c>
    </row>
    <row r="1427" ht="34" customHeight="1">
      <c r="A1427" s="23" t="inlineStr">
        <is>
          <t>Contractor Programme</t>
        </is>
      </c>
      <c r="B1427" s="23" t="inlineStr">
        <is>
          <t>SCH-06-060</t>
        </is>
      </c>
      <c r="C1427" s="23" t="inlineStr">
        <is>
          <t>Stations package: permit coordination - field start</t>
        </is>
      </c>
      <c r="D1427" s="23" t="inlineStr"/>
      <c r="E1427" s="23" t="inlineStr">
        <is>
          <t>R960-v3</t>
        </is>
      </c>
      <c r="F1427" s="23" t="inlineStr">
        <is>
          <t>UNSURE</t>
        </is>
      </c>
      <c r="G1427" s="23" t="inlineStr">
        <is>
          <t>UNSURE</t>
        </is>
      </c>
      <c r="H1427" s="23" t="inlineStr">
        <is>
          <t>RETAINED</t>
        </is>
      </c>
      <c r="I1427" s="23" t="inlineStr">
        <is>
          <t>Carried forward</t>
        </is>
      </c>
      <c r="J1427" s="23" t="inlineStr">
        <is>
          <t>Earlier professional decision, carried forward</t>
        </is>
      </c>
      <c r="K1427" s="23" t="inlineStr">
        <is>
          <t>Maya Chen, Owner Project Controls</t>
        </is>
      </c>
      <c r="L1427" s="23" t="inlineStr"/>
      <c r="M1427" s="23" t="inlineStr"/>
      <c r="N1427" s="14" t="inlineStr">
        <is>
          <t>10 EVIDENCE &amp; DECISIONS</t>
        </is>
      </c>
    </row>
    <row r="1428" ht="34" customHeight="1">
      <c r="A1428" s="23" t="inlineStr">
        <is>
          <t>Contractor Programme</t>
        </is>
      </c>
      <c r="B1428" s="23" t="inlineStr">
        <is>
          <t>SCH-06-061</t>
        </is>
      </c>
      <c r="C1428" s="23" t="inlineStr">
        <is>
          <t>Systems package: delivery risk workshop - installation</t>
        </is>
      </c>
      <c r="D1428" s="23" t="inlineStr"/>
      <c r="E1428" s="23" t="inlineStr">
        <is>
          <t>R961-v3</t>
        </is>
      </c>
      <c r="F1428" s="23" t="inlineStr">
        <is>
          <t>UNSURE</t>
        </is>
      </c>
      <c r="G1428" s="23" t="inlineStr">
        <is>
          <t>UNSURE</t>
        </is>
      </c>
      <c r="H1428" s="23" t="inlineStr">
        <is>
          <t>RETAINED</t>
        </is>
      </c>
      <c r="I1428" s="23" t="inlineStr">
        <is>
          <t>Carried forward</t>
        </is>
      </c>
      <c r="J1428" s="23" t="inlineStr">
        <is>
          <t>Earlier professional decision, carried forward</t>
        </is>
      </c>
      <c r="K1428" s="23" t="inlineStr">
        <is>
          <t>Maya Chen, Owner Project Controls</t>
        </is>
      </c>
      <c r="L1428" s="23" t="inlineStr"/>
      <c r="M1428" s="23" t="inlineStr"/>
      <c r="N1428" s="14" t="inlineStr">
        <is>
          <t>10 EVIDENCE &amp; DECISIONS</t>
        </is>
      </c>
    </row>
    <row r="1429" ht="34" customHeight="1">
      <c r="A1429" s="23" t="inlineStr">
        <is>
          <t>Contractor Programme</t>
        </is>
      </c>
      <c r="B1429" s="23" t="inlineStr">
        <is>
          <t>SCH-06-062</t>
        </is>
      </c>
      <c r="C1429" s="23" t="inlineStr">
        <is>
          <t>Fleet package: monthly controls cut-off - inspection</t>
        </is>
      </c>
      <c r="D1429" s="23" t="inlineStr"/>
      <c r="E1429" s="23" t="inlineStr">
        <is>
          <t>R962-v3</t>
        </is>
      </c>
      <c r="F1429" s="23" t="inlineStr">
        <is>
          <t>UNSURE</t>
        </is>
      </c>
      <c r="G1429" s="23" t="inlineStr">
        <is>
          <t>UNSURE</t>
        </is>
      </c>
      <c r="H1429" s="23" t="inlineStr">
        <is>
          <t>RETAINED</t>
        </is>
      </c>
      <c r="I1429" s="23" t="inlineStr">
        <is>
          <t>Carried forward</t>
        </is>
      </c>
      <c r="J1429" s="23" t="inlineStr">
        <is>
          <t>Earlier professional decision, carried forward</t>
        </is>
      </c>
      <c r="K1429" s="23" t="inlineStr">
        <is>
          <t>Maya Chen, Owner Project Controls</t>
        </is>
      </c>
      <c r="L1429" s="23" t="inlineStr"/>
      <c r="M1429" s="23" t="inlineStr"/>
      <c r="N1429" s="14" t="inlineStr">
        <is>
          <t>10 EVIDENCE &amp; DECISIONS</t>
        </is>
      </c>
    </row>
    <row r="1430" ht="34" customHeight="1">
      <c r="A1430" s="23" t="inlineStr">
        <is>
          <t>Contractor Programme</t>
        </is>
      </c>
      <c r="B1430" s="23" t="inlineStr">
        <is>
          <t>SCH-06-063</t>
        </is>
      </c>
      <c r="C1430" s="23" t="inlineStr">
        <is>
          <t>Program office: stakeholder interface meeting - turnover</t>
        </is>
      </c>
      <c r="D1430" s="23" t="inlineStr"/>
      <c r="E1430" s="23" t="inlineStr">
        <is>
          <t>R963-v3</t>
        </is>
      </c>
      <c r="F1430" s="23" t="inlineStr">
        <is>
          <t>UNSURE</t>
        </is>
      </c>
      <c r="G1430" s="23" t="inlineStr">
        <is>
          <t>UNSURE</t>
        </is>
      </c>
      <c r="H1430" s="23" t="inlineStr">
        <is>
          <t>RETAINED</t>
        </is>
      </c>
      <c r="I1430" s="23" t="inlineStr">
        <is>
          <t>Carried forward</t>
        </is>
      </c>
      <c r="J1430" s="23" t="inlineStr">
        <is>
          <t>Earlier professional decision, carried forward</t>
        </is>
      </c>
      <c r="K1430" s="23" t="inlineStr">
        <is>
          <t>Maya Chen, Owner Project Controls</t>
        </is>
      </c>
      <c r="L1430" s="23" t="inlineStr"/>
      <c r="M1430" s="23" t="inlineStr"/>
      <c r="N1430" s="14" t="inlineStr">
        <is>
          <t>10 EVIDENCE &amp; DECISIONS</t>
        </is>
      </c>
    </row>
    <row r="1431" ht="34" customHeight="1">
      <c r="A1431" s="23" t="inlineStr">
        <is>
          <t>Contractor Programme</t>
        </is>
      </c>
      <c r="B1431" s="23" t="inlineStr">
        <is>
          <t>SCH-06-064</t>
        </is>
      </c>
      <c r="C1431" s="23" t="inlineStr">
        <is>
          <t>Civil package: baseline change control - release</t>
        </is>
      </c>
      <c r="D1431" s="23" t="inlineStr"/>
      <c r="E1431" s="23" t="inlineStr">
        <is>
          <t>R964-v3</t>
        </is>
      </c>
      <c r="F1431" s="23" t="inlineStr">
        <is>
          <t>UNSURE</t>
        </is>
      </c>
      <c r="G1431" s="23" t="inlineStr">
        <is>
          <t>UNSURE</t>
        </is>
      </c>
      <c r="H1431" s="23" t="inlineStr">
        <is>
          <t>RETAINED</t>
        </is>
      </c>
      <c r="I1431" s="23" t="inlineStr">
        <is>
          <t>Carried forward</t>
        </is>
      </c>
      <c r="J1431" s="23" t="inlineStr">
        <is>
          <t>Earlier professional decision, carried forward</t>
        </is>
      </c>
      <c r="K1431" s="23" t="inlineStr">
        <is>
          <t>Maya Chen, Owner Project Controls</t>
        </is>
      </c>
      <c r="L1431" s="23" t="inlineStr"/>
      <c r="M1431" s="23" t="inlineStr"/>
      <c r="N1431" s="14" t="inlineStr">
        <is>
          <t>10 EVIDENCE &amp; DECISIONS</t>
        </is>
      </c>
    </row>
    <row r="1432" ht="34" customHeight="1">
      <c r="A1432" s="23" t="inlineStr">
        <is>
          <t>Contractor Programme</t>
        </is>
      </c>
      <c r="B1432" s="23" t="inlineStr">
        <is>
          <t>SCH-06-065</t>
        </is>
      </c>
      <c r="C1432" s="23" t="inlineStr">
        <is>
          <t>Stations package: commercial change review - field start</t>
        </is>
      </c>
      <c r="D1432" s="23" t="inlineStr"/>
      <c r="E1432" s="23" t="inlineStr">
        <is>
          <t>R965-v3</t>
        </is>
      </c>
      <c r="F1432" s="23" t="inlineStr">
        <is>
          <t>UNSURE</t>
        </is>
      </c>
      <c r="G1432" s="23" t="inlineStr">
        <is>
          <t>UNSURE</t>
        </is>
      </c>
      <c r="H1432" s="23" t="inlineStr">
        <is>
          <t>RETAINED</t>
        </is>
      </c>
      <c r="I1432" s="23" t="inlineStr">
        <is>
          <t>Carried forward</t>
        </is>
      </c>
      <c r="J1432" s="23" t="inlineStr">
        <is>
          <t>Earlier professional decision, carried forward</t>
        </is>
      </c>
      <c r="K1432" s="23" t="inlineStr">
        <is>
          <t>Maya Chen, Owner Project Controls</t>
        </is>
      </c>
      <c r="L1432" s="23" t="inlineStr"/>
      <c r="M1432" s="23" t="inlineStr"/>
      <c r="N1432" s="14" t="inlineStr">
        <is>
          <t>10 EVIDENCE &amp; DECISIONS</t>
        </is>
      </c>
    </row>
    <row r="1433" ht="34" customHeight="1">
      <c r="A1433" s="23" t="inlineStr">
        <is>
          <t>Contractor Programme</t>
        </is>
      </c>
      <c r="B1433" s="23" t="inlineStr">
        <is>
          <t>SCH-06-066</t>
        </is>
      </c>
      <c r="C1433" s="23" t="inlineStr">
        <is>
          <t>Systems package: design-package integration review - installation</t>
        </is>
      </c>
      <c r="D1433" s="23" t="inlineStr"/>
      <c r="E1433" s="23" t="inlineStr">
        <is>
          <t>R966-v3</t>
        </is>
      </c>
      <c r="F1433" s="23" t="inlineStr">
        <is>
          <t>UNSURE</t>
        </is>
      </c>
      <c r="G1433" s="23" t="inlineStr">
        <is>
          <t>UNSURE</t>
        </is>
      </c>
      <c r="H1433" s="23" t="inlineStr">
        <is>
          <t>RETAINED</t>
        </is>
      </c>
      <c r="I1433" s="23" t="inlineStr">
        <is>
          <t>Carried forward</t>
        </is>
      </c>
      <c r="J1433" s="23" t="inlineStr">
        <is>
          <t>Earlier professional decision, carried forward</t>
        </is>
      </c>
      <c r="K1433" s="23" t="inlineStr">
        <is>
          <t>Maya Chen, Owner Project Controls</t>
        </is>
      </c>
      <c r="L1433" s="23" t="inlineStr"/>
      <c r="M1433" s="23" t="inlineStr"/>
      <c r="N1433" s="14" t="inlineStr">
        <is>
          <t>10 EVIDENCE &amp; DECISIONS</t>
        </is>
      </c>
    </row>
    <row r="1434" ht="34" customHeight="1">
      <c r="A1434" s="23" t="inlineStr">
        <is>
          <t>Contractor Programme</t>
        </is>
      </c>
      <c r="B1434" s="23" t="inlineStr">
        <is>
          <t>SCH-06-067</t>
        </is>
      </c>
      <c r="C1434" s="23" t="inlineStr">
        <is>
          <t>Fleet package: executive reporting close - inspection</t>
        </is>
      </c>
      <c r="D1434" s="23" t="inlineStr"/>
      <c r="E1434" s="23" t="inlineStr">
        <is>
          <t>R967-v3</t>
        </is>
      </c>
      <c r="F1434" s="23" t="inlineStr">
        <is>
          <t>UNSURE</t>
        </is>
      </c>
      <c r="G1434" s="23" t="inlineStr">
        <is>
          <t>UNSURE</t>
        </is>
      </c>
      <c r="H1434" s="23" t="inlineStr">
        <is>
          <t>RETAINED</t>
        </is>
      </c>
      <c r="I1434" s="23" t="inlineStr">
        <is>
          <t>Carried forward</t>
        </is>
      </c>
      <c r="J1434" s="23" t="inlineStr">
        <is>
          <t>Earlier professional decision, carried forward</t>
        </is>
      </c>
      <c r="K1434" s="23" t="inlineStr">
        <is>
          <t>Maya Chen, Owner Project Controls</t>
        </is>
      </c>
      <c r="L1434" s="23" t="inlineStr"/>
      <c r="M1434" s="23" t="inlineStr"/>
      <c r="N1434" s="14" t="inlineStr">
        <is>
          <t>10 EVIDENCE &amp; DECISIONS</t>
        </is>
      </c>
    </row>
    <row r="1435" ht="34" customHeight="1">
      <c r="A1435" s="23" t="inlineStr">
        <is>
          <t>Contractor Programme</t>
        </is>
      </c>
      <c r="B1435" s="23" t="inlineStr">
        <is>
          <t>SCH-06-068</t>
        </is>
      </c>
      <c r="C1435" s="23" t="inlineStr">
        <is>
          <t>Program office: permit coordination - turnover</t>
        </is>
      </c>
      <c r="D1435" s="23" t="inlineStr"/>
      <c r="E1435" s="23" t="inlineStr">
        <is>
          <t>R968-v3</t>
        </is>
      </c>
      <c r="F1435" s="23" t="inlineStr">
        <is>
          <t>UNSURE</t>
        </is>
      </c>
      <c r="G1435" s="23" t="inlineStr">
        <is>
          <t>UNSURE</t>
        </is>
      </c>
      <c r="H1435" s="23" t="inlineStr">
        <is>
          <t>RETAINED</t>
        </is>
      </c>
      <c r="I1435" s="23" t="inlineStr">
        <is>
          <t>Carried forward</t>
        </is>
      </c>
      <c r="J1435" s="23" t="inlineStr">
        <is>
          <t>Earlier professional decision, carried forward</t>
        </is>
      </c>
      <c r="K1435" s="23" t="inlineStr">
        <is>
          <t>Maya Chen, Owner Project Controls</t>
        </is>
      </c>
      <c r="L1435" s="23" t="inlineStr"/>
      <c r="M1435" s="23" t="inlineStr"/>
      <c r="N1435" s="14" t="inlineStr">
        <is>
          <t>10 EVIDENCE &amp; DECISIONS</t>
        </is>
      </c>
    </row>
    <row r="1436" ht="34" customHeight="1">
      <c r="A1436" s="23" t="inlineStr">
        <is>
          <t>Contractor Programme</t>
        </is>
      </c>
      <c r="B1436" s="23" t="inlineStr">
        <is>
          <t>SCH-06-069</t>
        </is>
      </c>
      <c r="C1436" s="23" t="inlineStr">
        <is>
          <t>Civil package: delivery risk workshop - release</t>
        </is>
      </c>
      <c r="D1436" s="23" t="inlineStr"/>
      <c r="E1436" s="23" t="inlineStr">
        <is>
          <t>R969-v3</t>
        </is>
      </c>
      <c r="F1436" s="23" t="inlineStr">
        <is>
          <t>UNSURE</t>
        </is>
      </c>
      <c r="G1436" s="23" t="inlineStr">
        <is>
          <t>UNSURE</t>
        </is>
      </c>
      <c r="H1436" s="23" t="inlineStr">
        <is>
          <t>RETAINED</t>
        </is>
      </c>
      <c r="I1436" s="23" t="inlineStr">
        <is>
          <t>Carried forward</t>
        </is>
      </c>
      <c r="J1436" s="23" t="inlineStr">
        <is>
          <t>Earlier professional decision, carried forward</t>
        </is>
      </c>
      <c r="K1436" s="23" t="inlineStr">
        <is>
          <t>Maya Chen, Owner Project Controls</t>
        </is>
      </c>
      <c r="L1436" s="23" t="inlineStr"/>
      <c r="M1436" s="23" t="inlineStr"/>
      <c r="N1436" s="14" t="inlineStr">
        <is>
          <t>10 EVIDENCE &amp; DECISIONS</t>
        </is>
      </c>
    </row>
    <row r="1437" ht="34" customHeight="1">
      <c r="A1437" s="23" t="inlineStr">
        <is>
          <t>Contractor Programme</t>
        </is>
      </c>
      <c r="B1437" s="23" t="inlineStr">
        <is>
          <t>SCH-06-070</t>
        </is>
      </c>
      <c r="C1437" s="23" t="inlineStr">
        <is>
          <t>Stations package: monthly controls cut-off - field start</t>
        </is>
      </c>
      <c r="D1437" s="23" t="inlineStr"/>
      <c r="E1437" s="23" t="inlineStr">
        <is>
          <t>R970-v3</t>
        </is>
      </c>
      <c r="F1437" s="23" t="inlineStr">
        <is>
          <t>UNSURE</t>
        </is>
      </c>
      <c r="G1437" s="23" t="inlineStr">
        <is>
          <t>UNSURE</t>
        </is>
      </c>
      <c r="H1437" s="23" t="inlineStr">
        <is>
          <t>RETAINED</t>
        </is>
      </c>
      <c r="I1437" s="23" t="inlineStr">
        <is>
          <t>Carried forward</t>
        </is>
      </c>
      <c r="J1437" s="23" t="inlineStr">
        <is>
          <t>Earlier professional decision, carried forward</t>
        </is>
      </c>
      <c r="K1437" s="23" t="inlineStr">
        <is>
          <t>Maya Chen, Owner Project Controls</t>
        </is>
      </c>
      <c r="L1437" s="23" t="inlineStr"/>
      <c r="M1437" s="23" t="inlineStr"/>
      <c r="N1437" s="14" t="inlineStr">
        <is>
          <t>10 EVIDENCE &amp; DECISIONS</t>
        </is>
      </c>
    </row>
    <row r="1438" ht="34" customHeight="1">
      <c r="A1438" s="23" t="inlineStr">
        <is>
          <t>Contractor Programme</t>
        </is>
      </c>
      <c r="B1438" s="23" t="inlineStr">
        <is>
          <t>SCH-06-071</t>
        </is>
      </c>
      <c r="C1438" s="23" t="inlineStr">
        <is>
          <t>Systems package: stakeholder interface meeting - installation</t>
        </is>
      </c>
      <c r="D1438" s="23" t="inlineStr"/>
      <c r="E1438" s="23" t="inlineStr">
        <is>
          <t>R971-v3</t>
        </is>
      </c>
      <c r="F1438" s="23" t="inlineStr">
        <is>
          <t>UNSURE</t>
        </is>
      </c>
      <c r="G1438" s="23" t="inlineStr">
        <is>
          <t>UNSURE</t>
        </is>
      </c>
      <c r="H1438" s="23" t="inlineStr">
        <is>
          <t>RETAINED</t>
        </is>
      </c>
      <c r="I1438" s="23" t="inlineStr">
        <is>
          <t>Carried forward</t>
        </is>
      </c>
      <c r="J1438" s="23" t="inlineStr">
        <is>
          <t>Earlier professional decision, carried forward</t>
        </is>
      </c>
      <c r="K1438" s="23" t="inlineStr">
        <is>
          <t>Maya Chen, Owner Project Controls</t>
        </is>
      </c>
      <c r="L1438" s="23" t="inlineStr"/>
      <c r="M1438" s="23" t="inlineStr"/>
      <c r="N1438" s="14" t="inlineStr">
        <is>
          <t>10 EVIDENCE &amp; DECISIONS</t>
        </is>
      </c>
    </row>
    <row r="1439" ht="34" customHeight="1">
      <c r="A1439" s="23" t="inlineStr">
        <is>
          <t>Contractor Programme</t>
        </is>
      </c>
      <c r="B1439" s="23" t="inlineStr">
        <is>
          <t>SCH-06-072</t>
        </is>
      </c>
      <c r="C1439" s="23" t="inlineStr">
        <is>
          <t>Fleet package: baseline change control - inspection</t>
        </is>
      </c>
      <c r="D1439" s="23" t="inlineStr"/>
      <c r="E1439" s="23" t="inlineStr">
        <is>
          <t>R972-v3</t>
        </is>
      </c>
      <c r="F1439" s="23" t="inlineStr">
        <is>
          <t>UNSURE</t>
        </is>
      </c>
      <c r="G1439" s="23" t="inlineStr">
        <is>
          <t>UNSURE</t>
        </is>
      </c>
      <c r="H1439" s="23" t="inlineStr">
        <is>
          <t>RETAINED</t>
        </is>
      </c>
      <c r="I1439" s="23" t="inlineStr">
        <is>
          <t>Carried forward</t>
        </is>
      </c>
      <c r="J1439" s="23" t="inlineStr">
        <is>
          <t>Earlier professional decision, carried forward</t>
        </is>
      </c>
      <c r="K1439" s="23" t="inlineStr">
        <is>
          <t>Maya Chen, Owner Project Controls</t>
        </is>
      </c>
      <c r="L1439" s="23" t="inlineStr"/>
      <c r="M1439" s="23" t="inlineStr"/>
      <c r="N1439" s="14" t="inlineStr">
        <is>
          <t>10 EVIDENCE &amp; DECISIONS</t>
        </is>
      </c>
    </row>
    <row r="1440" ht="34" customHeight="1">
      <c r="A1440" s="23" t="inlineStr">
        <is>
          <t>Contractor Programme</t>
        </is>
      </c>
      <c r="B1440" s="23" t="inlineStr">
        <is>
          <t>SCH-06-073</t>
        </is>
      </c>
      <c r="C1440" s="23" t="inlineStr">
        <is>
          <t>Program office: commercial change review - turnover</t>
        </is>
      </c>
      <c r="D1440" s="23" t="inlineStr"/>
      <c r="E1440" s="23" t="inlineStr">
        <is>
          <t>R973-v3</t>
        </is>
      </c>
      <c r="F1440" s="23" t="inlineStr">
        <is>
          <t>UNSURE</t>
        </is>
      </c>
      <c r="G1440" s="23" t="inlineStr">
        <is>
          <t>UNSURE</t>
        </is>
      </c>
      <c r="H1440" s="23" t="inlineStr">
        <is>
          <t>RETAINED</t>
        </is>
      </c>
      <c r="I1440" s="23" t="inlineStr">
        <is>
          <t>Carried forward</t>
        </is>
      </c>
      <c r="J1440" s="23" t="inlineStr">
        <is>
          <t>Earlier professional decision, carried forward</t>
        </is>
      </c>
      <c r="K1440" s="23" t="inlineStr">
        <is>
          <t>Maya Chen, Owner Project Controls</t>
        </is>
      </c>
      <c r="L1440" s="23" t="inlineStr"/>
      <c r="M1440" s="23" t="inlineStr"/>
      <c r="N1440" s="14" t="inlineStr">
        <is>
          <t>10 EVIDENCE &amp; DECISIONS</t>
        </is>
      </c>
    </row>
    <row r="1441" ht="34" customHeight="1">
      <c r="A1441" s="23" t="inlineStr">
        <is>
          <t>Contractor Programme</t>
        </is>
      </c>
      <c r="B1441" s="23" t="inlineStr">
        <is>
          <t>SCH-06-074</t>
        </is>
      </c>
      <c r="C1441" s="23" t="inlineStr">
        <is>
          <t>Civil package: design-package integration review - release</t>
        </is>
      </c>
      <c r="D1441" s="23" t="inlineStr"/>
      <c r="E1441" s="23" t="inlineStr">
        <is>
          <t>R974-v3</t>
        </is>
      </c>
      <c r="F1441" s="23" t="inlineStr">
        <is>
          <t>UNSURE</t>
        </is>
      </c>
      <c r="G1441" s="23" t="inlineStr">
        <is>
          <t>UNSURE</t>
        </is>
      </c>
      <c r="H1441" s="23" t="inlineStr">
        <is>
          <t>RETAINED</t>
        </is>
      </c>
      <c r="I1441" s="23" t="inlineStr">
        <is>
          <t>Carried forward</t>
        </is>
      </c>
      <c r="J1441" s="23" t="inlineStr">
        <is>
          <t>Earlier professional decision, carried forward</t>
        </is>
      </c>
      <c r="K1441" s="23" t="inlineStr">
        <is>
          <t>Maya Chen, Owner Project Controls</t>
        </is>
      </c>
      <c r="L1441" s="23" t="inlineStr"/>
      <c r="M1441" s="23" t="inlineStr"/>
      <c r="N1441" s="14" t="inlineStr">
        <is>
          <t>10 EVIDENCE &amp; DECISIONS</t>
        </is>
      </c>
    </row>
    <row r="1442" ht="34" customHeight="1">
      <c r="A1442" s="23" t="inlineStr">
        <is>
          <t>Contractor Programme</t>
        </is>
      </c>
      <c r="B1442" s="23" t="inlineStr">
        <is>
          <t>SCH-06-075</t>
        </is>
      </c>
      <c r="C1442" s="23" t="inlineStr">
        <is>
          <t>Stations package: executive reporting close - field start</t>
        </is>
      </c>
      <c r="D1442" s="23" t="inlineStr"/>
      <c r="E1442" s="23" t="inlineStr">
        <is>
          <t>R975-v3</t>
        </is>
      </c>
      <c r="F1442" s="23" t="inlineStr">
        <is>
          <t>UNSURE</t>
        </is>
      </c>
      <c r="G1442" s="23" t="inlineStr">
        <is>
          <t>UNSURE</t>
        </is>
      </c>
      <c r="H1442" s="23" t="inlineStr">
        <is>
          <t>RETAINED</t>
        </is>
      </c>
      <c r="I1442" s="23" t="inlineStr">
        <is>
          <t>Carried forward</t>
        </is>
      </c>
      <c r="J1442" s="23" t="inlineStr">
        <is>
          <t>Earlier professional decision, carried forward</t>
        </is>
      </c>
      <c r="K1442" s="23" t="inlineStr">
        <is>
          <t>Maya Chen, Owner Project Controls</t>
        </is>
      </c>
      <c r="L1442" s="23" t="inlineStr"/>
      <c r="M1442" s="23" t="inlineStr"/>
      <c r="N1442" s="14" t="inlineStr">
        <is>
          <t>10 EVIDENCE &amp; DECISIONS</t>
        </is>
      </c>
    </row>
    <row r="1443" ht="34" customHeight="1">
      <c r="A1443" s="23" t="inlineStr">
        <is>
          <t>Contractor Programme</t>
        </is>
      </c>
      <c r="B1443" s="23" t="inlineStr">
        <is>
          <t>SCH-06-076</t>
        </is>
      </c>
      <c r="C1443" s="23" t="inlineStr">
        <is>
          <t>Systems package: permit coordination - installation</t>
        </is>
      </c>
      <c r="D1443" s="23" t="inlineStr"/>
      <c r="E1443" s="23" t="inlineStr">
        <is>
          <t>R976-v3</t>
        </is>
      </c>
      <c r="F1443" s="23" t="inlineStr">
        <is>
          <t>UNSURE</t>
        </is>
      </c>
      <c r="G1443" s="23" t="inlineStr">
        <is>
          <t>UNSURE</t>
        </is>
      </c>
      <c r="H1443" s="23" t="inlineStr">
        <is>
          <t>RETAINED</t>
        </is>
      </c>
      <c r="I1443" s="23" t="inlineStr">
        <is>
          <t>Carried forward</t>
        </is>
      </c>
      <c r="J1443" s="23" t="inlineStr">
        <is>
          <t>Earlier professional decision, carried forward</t>
        </is>
      </c>
      <c r="K1443" s="23" t="inlineStr">
        <is>
          <t>Maya Chen, Owner Project Controls</t>
        </is>
      </c>
      <c r="L1443" s="23" t="inlineStr"/>
      <c r="M1443" s="23" t="inlineStr"/>
      <c r="N1443" s="14" t="inlineStr">
        <is>
          <t>10 EVIDENCE &amp; DECISIONS</t>
        </is>
      </c>
    </row>
    <row r="1444" ht="34" customHeight="1">
      <c r="A1444" s="23" t="inlineStr">
        <is>
          <t>Contractor Programme</t>
        </is>
      </c>
      <c r="B1444" s="23" t="inlineStr">
        <is>
          <t>SCH-06-077</t>
        </is>
      </c>
      <c r="C1444" s="23" t="inlineStr">
        <is>
          <t>Fleet package: delivery risk workshop - inspection</t>
        </is>
      </c>
      <c r="D1444" s="23" t="inlineStr"/>
      <c r="E1444" s="23" t="inlineStr">
        <is>
          <t>R977-v3</t>
        </is>
      </c>
      <c r="F1444" s="23" t="inlineStr">
        <is>
          <t>UNSURE</t>
        </is>
      </c>
      <c r="G1444" s="23" t="inlineStr">
        <is>
          <t>UNSURE</t>
        </is>
      </c>
      <c r="H1444" s="23" t="inlineStr">
        <is>
          <t>RETAINED</t>
        </is>
      </c>
      <c r="I1444" s="23" t="inlineStr">
        <is>
          <t>Carried forward</t>
        </is>
      </c>
      <c r="J1444" s="23" t="inlineStr">
        <is>
          <t>Earlier professional decision, carried forward</t>
        </is>
      </c>
      <c r="K1444" s="23" t="inlineStr">
        <is>
          <t>Maya Chen, Owner Project Controls</t>
        </is>
      </c>
      <c r="L1444" s="23" t="inlineStr"/>
      <c r="M1444" s="23" t="inlineStr"/>
      <c r="N1444" s="14" t="inlineStr">
        <is>
          <t>10 EVIDENCE &amp; DECISIONS</t>
        </is>
      </c>
    </row>
    <row r="1445" ht="34" customHeight="1">
      <c r="A1445" s="23" t="inlineStr">
        <is>
          <t>Contractor Programme</t>
        </is>
      </c>
      <c r="B1445" s="23" t="inlineStr">
        <is>
          <t>SCH-06-078</t>
        </is>
      </c>
      <c r="C1445" s="23" t="inlineStr">
        <is>
          <t>Program office: monthly controls cut-off - turnover</t>
        </is>
      </c>
      <c r="D1445" s="23" t="inlineStr"/>
      <c r="E1445" s="23" t="inlineStr">
        <is>
          <t>R978-v3</t>
        </is>
      </c>
      <c r="F1445" s="23" t="inlineStr">
        <is>
          <t>UNSURE</t>
        </is>
      </c>
      <c r="G1445" s="23" t="inlineStr">
        <is>
          <t>UNSURE</t>
        </is>
      </c>
      <c r="H1445" s="23" t="inlineStr">
        <is>
          <t>RETAINED</t>
        </is>
      </c>
      <c r="I1445" s="23" t="inlineStr">
        <is>
          <t>Carried forward</t>
        </is>
      </c>
      <c r="J1445" s="23" t="inlineStr">
        <is>
          <t>Earlier professional decision, carried forward</t>
        </is>
      </c>
      <c r="K1445" s="23" t="inlineStr">
        <is>
          <t>Maya Chen, Owner Project Controls</t>
        </is>
      </c>
      <c r="L1445" s="23" t="inlineStr"/>
      <c r="M1445" s="23" t="inlineStr"/>
      <c r="N1445" s="14" t="inlineStr">
        <is>
          <t>10 EVIDENCE &amp; DECISIONS</t>
        </is>
      </c>
    </row>
    <row r="1446" ht="34" customHeight="1">
      <c r="A1446" s="23" t="inlineStr">
        <is>
          <t>Contractor Programme</t>
        </is>
      </c>
      <c r="B1446" s="23" t="inlineStr">
        <is>
          <t>SCH-06-079</t>
        </is>
      </c>
      <c r="C1446" s="23" t="inlineStr">
        <is>
          <t>Civil package: stakeholder interface meeting - release</t>
        </is>
      </c>
      <c r="D1446" s="23" t="inlineStr"/>
      <c r="E1446" s="23" t="inlineStr">
        <is>
          <t>R979-v3</t>
        </is>
      </c>
      <c r="F1446" s="23" t="inlineStr">
        <is>
          <t>UNSURE</t>
        </is>
      </c>
      <c r="G1446" s="23" t="inlineStr">
        <is>
          <t>UNSURE</t>
        </is>
      </c>
      <c r="H1446" s="23" t="inlineStr">
        <is>
          <t>RETAINED</t>
        </is>
      </c>
      <c r="I1446" s="23" t="inlineStr">
        <is>
          <t>Carried forward</t>
        </is>
      </c>
      <c r="J1446" s="23" t="inlineStr">
        <is>
          <t>Earlier professional decision, carried forward</t>
        </is>
      </c>
      <c r="K1446" s="23" t="inlineStr">
        <is>
          <t>Maya Chen, Owner Project Controls</t>
        </is>
      </c>
      <c r="L1446" s="23" t="inlineStr"/>
      <c r="M1446" s="23" t="inlineStr"/>
      <c r="N1446" s="14" t="inlineStr">
        <is>
          <t>10 EVIDENCE &amp; DECISIONS</t>
        </is>
      </c>
    </row>
    <row r="1447" ht="34" customHeight="1">
      <c r="A1447" s="23" t="inlineStr">
        <is>
          <t>Contractor Programme</t>
        </is>
      </c>
      <c r="B1447" s="23" t="inlineStr">
        <is>
          <t>SCH-06-080</t>
        </is>
      </c>
      <c r="C1447" s="23" t="inlineStr">
        <is>
          <t>Stations package: baseline change control - field start</t>
        </is>
      </c>
      <c r="D1447" s="23" t="inlineStr"/>
      <c r="E1447" s="23" t="inlineStr">
        <is>
          <t>R980-v3</t>
        </is>
      </c>
      <c r="F1447" s="23" t="inlineStr">
        <is>
          <t>UNSURE</t>
        </is>
      </c>
      <c r="G1447" s="23" t="inlineStr">
        <is>
          <t>UNSURE</t>
        </is>
      </c>
      <c r="H1447" s="23" t="inlineStr">
        <is>
          <t>RETAINED</t>
        </is>
      </c>
      <c r="I1447" s="23" t="inlineStr">
        <is>
          <t>Carried forward</t>
        </is>
      </c>
      <c r="J1447" s="23" t="inlineStr">
        <is>
          <t>Earlier professional decision, carried forward</t>
        </is>
      </c>
      <c r="K1447" s="23" t="inlineStr">
        <is>
          <t>Maya Chen, Owner Project Controls</t>
        </is>
      </c>
      <c r="L1447" s="23" t="inlineStr"/>
      <c r="M1447" s="23" t="inlineStr"/>
      <c r="N1447" s="14" t="inlineStr">
        <is>
          <t>10 EVIDENCE &amp; DECISIONS</t>
        </is>
      </c>
    </row>
    <row r="1448" ht="34" customHeight="1">
      <c r="A1448" s="23" t="inlineStr">
        <is>
          <t>Contractor Programme</t>
        </is>
      </c>
      <c r="B1448" s="23" t="inlineStr">
        <is>
          <t>SCH-06-081</t>
        </is>
      </c>
      <c r="C1448" s="23" t="inlineStr">
        <is>
          <t>Systems package: commercial change review - installation</t>
        </is>
      </c>
      <c r="D1448" s="23" t="inlineStr"/>
      <c r="E1448" s="23" t="inlineStr">
        <is>
          <t>R981-v3</t>
        </is>
      </c>
      <c r="F1448" s="23" t="inlineStr">
        <is>
          <t>UNSURE</t>
        </is>
      </c>
      <c r="G1448" s="23" t="inlineStr">
        <is>
          <t>UNSURE</t>
        </is>
      </c>
      <c r="H1448" s="23" t="inlineStr">
        <is>
          <t>RETAINED</t>
        </is>
      </c>
      <c r="I1448" s="23" t="inlineStr">
        <is>
          <t>Carried forward</t>
        </is>
      </c>
      <c r="J1448" s="23" t="inlineStr">
        <is>
          <t>Earlier professional decision, carried forward</t>
        </is>
      </c>
      <c r="K1448" s="23" t="inlineStr">
        <is>
          <t>Maya Chen, Owner Project Controls</t>
        </is>
      </c>
      <c r="L1448" s="23" t="inlineStr"/>
      <c r="M1448" s="23" t="inlineStr"/>
      <c r="N1448" s="14" t="inlineStr">
        <is>
          <t>10 EVIDENCE &amp; DECISIONS</t>
        </is>
      </c>
    </row>
    <row r="1449" ht="34" customHeight="1">
      <c r="A1449" s="23" t="inlineStr">
        <is>
          <t>Contractor Programme</t>
        </is>
      </c>
      <c r="B1449" s="23" t="inlineStr">
        <is>
          <t>SCH-06-082</t>
        </is>
      </c>
      <c r="C1449" s="23" t="inlineStr">
        <is>
          <t>Fleet package: design-package integration review - inspection</t>
        </is>
      </c>
      <c r="D1449" s="23" t="inlineStr"/>
      <c r="E1449" s="23" t="inlineStr">
        <is>
          <t>R982-v3</t>
        </is>
      </c>
      <c r="F1449" s="23" t="inlineStr">
        <is>
          <t>UNSURE</t>
        </is>
      </c>
      <c r="G1449" s="23" t="inlineStr">
        <is>
          <t>UNSURE</t>
        </is>
      </c>
      <c r="H1449" s="23" t="inlineStr">
        <is>
          <t>RETAINED</t>
        </is>
      </c>
      <c r="I1449" s="23" t="inlineStr">
        <is>
          <t>Carried forward</t>
        </is>
      </c>
      <c r="J1449" s="23" t="inlineStr">
        <is>
          <t>Earlier professional decision, carried forward</t>
        </is>
      </c>
      <c r="K1449" s="23" t="inlineStr">
        <is>
          <t>Maya Chen, Owner Project Controls</t>
        </is>
      </c>
      <c r="L1449" s="23" t="inlineStr"/>
      <c r="M1449" s="23" t="inlineStr"/>
      <c r="N1449" s="14" t="inlineStr">
        <is>
          <t>10 EVIDENCE &amp; DECISIONS</t>
        </is>
      </c>
    </row>
    <row r="1450" ht="34" customHeight="1">
      <c r="A1450" s="23" t="inlineStr">
        <is>
          <t>Contractor Programme</t>
        </is>
      </c>
      <c r="B1450" s="23" t="inlineStr">
        <is>
          <t>SCH-06-083</t>
        </is>
      </c>
      <c r="C1450" s="23" t="inlineStr">
        <is>
          <t>Program office: executive reporting close - turnover</t>
        </is>
      </c>
      <c r="D1450" s="23" t="inlineStr"/>
      <c r="E1450" s="23" t="inlineStr">
        <is>
          <t>R983-v3</t>
        </is>
      </c>
      <c r="F1450" s="23" t="inlineStr">
        <is>
          <t>UNSURE</t>
        </is>
      </c>
      <c r="G1450" s="23" t="inlineStr">
        <is>
          <t>UNSURE</t>
        </is>
      </c>
      <c r="H1450" s="23" t="inlineStr">
        <is>
          <t>RETAINED</t>
        </is>
      </c>
      <c r="I1450" s="23" t="inlineStr">
        <is>
          <t>Carried forward</t>
        </is>
      </c>
      <c r="J1450" s="23" t="inlineStr">
        <is>
          <t>Earlier professional decision, carried forward</t>
        </is>
      </c>
      <c r="K1450" s="23" t="inlineStr">
        <is>
          <t>Maya Chen, Owner Project Controls</t>
        </is>
      </c>
      <c r="L1450" s="23" t="inlineStr"/>
      <c r="M1450" s="23" t="inlineStr"/>
      <c r="N1450" s="14" t="inlineStr">
        <is>
          <t>10 EVIDENCE &amp; DECISIONS</t>
        </is>
      </c>
    </row>
    <row r="1451" ht="34" customHeight="1">
      <c r="A1451" s="23" t="inlineStr">
        <is>
          <t>Contractor Programme</t>
        </is>
      </c>
      <c r="B1451" s="23" t="inlineStr">
        <is>
          <t>SCH-06-084</t>
        </is>
      </c>
      <c r="C1451" s="23" t="inlineStr">
        <is>
          <t>Civil package: permit coordination - release</t>
        </is>
      </c>
      <c r="D1451" s="23" t="inlineStr"/>
      <c r="E1451" s="23" t="inlineStr">
        <is>
          <t>R984-v3</t>
        </is>
      </c>
      <c r="F1451" s="23" t="inlineStr">
        <is>
          <t>UNSURE</t>
        </is>
      </c>
      <c r="G1451" s="23" t="inlineStr">
        <is>
          <t>UNSURE</t>
        </is>
      </c>
      <c r="H1451" s="23" t="inlineStr">
        <is>
          <t>RETAINED</t>
        </is>
      </c>
      <c r="I1451" s="23" t="inlineStr">
        <is>
          <t>Carried forward</t>
        </is>
      </c>
      <c r="J1451" s="23" t="inlineStr">
        <is>
          <t>Earlier professional decision, carried forward</t>
        </is>
      </c>
      <c r="K1451" s="23" t="inlineStr">
        <is>
          <t>Maya Chen, Owner Project Controls</t>
        </is>
      </c>
      <c r="L1451" s="23" t="inlineStr"/>
      <c r="M1451" s="23" t="inlineStr"/>
      <c r="N1451" s="14" t="inlineStr">
        <is>
          <t>10 EVIDENCE &amp; DECISIONS</t>
        </is>
      </c>
    </row>
    <row r="1452" ht="34" customHeight="1">
      <c r="A1452" s="23" t="inlineStr">
        <is>
          <t>Contractor Programme</t>
        </is>
      </c>
      <c r="B1452" s="23" t="inlineStr">
        <is>
          <t>SCH-06-085</t>
        </is>
      </c>
      <c r="C1452" s="23" t="inlineStr">
        <is>
          <t>Stations package: delivery risk workshop - field start</t>
        </is>
      </c>
      <c r="D1452" s="23" t="inlineStr"/>
      <c r="E1452" s="23" t="inlineStr">
        <is>
          <t>R985-v3</t>
        </is>
      </c>
      <c r="F1452" s="23" t="inlineStr">
        <is>
          <t>UNSURE</t>
        </is>
      </c>
      <c r="G1452" s="23" t="inlineStr">
        <is>
          <t>UNSURE</t>
        </is>
      </c>
      <c r="H1452" s="23" t="inlineStr">
        <is>
          <t>RETAINED</t>
        </is>
      </c>
      <c r="I1452" s="23" t="inlineStr">
        <is>
          <t>Carried forward</t>
        </is>
      </c>
      <c r="J1452" s="23" t="inlineStr">
        <is>
          <t>Earlier professional decision, carried forward</t>
        </is>
      </c>
      <c r="K1452" s="23" t="inlineStr">
        <is>
          <t>Maya Chen, Owner Project Controls</t>
        </is>
      </c>
      <c r="L1452" s="23" t="inlineStr"/>
      <c r="M1452" s="23" t="inlineStr"/>
      <c r="N1452" s="14" t="inlineStr">
        <is>
          <t>10 EVIDENCE &amp; DECISIONS</t>
        </is>
      </c>
    </row>
    <row r="1453" ht="34" customHeight="1">
      <c r="A1453" s="23" t="inlineStr">
        <is>
          <t>Contractor Programme</t>
        </is>
      </c>
      <c r="B1453" s="23" t="inlineStr">
        <is>
          <t>SCH-06-086</t>
        </is>
      </c>
      <c r="C1453" s="23" t="inlineStr">
        <is>
          <t>Systems package: monthly controls cut-off - installation</t>
        </is>
      </c>
      <c r="D1453" s="23" t="inlineStr"/>
      <c r="E1453" s="23" t="inlineStr">
        <is>
          <t>R986-v3</t>
        </is>
      </c>
      <c r="F1453" s="23" t="inlineStr">
        <is>
          <t>UNSURE</t>
        </is>
      </c>
      <c r="G1453" s="23" t="inlineStr">
        <is>
          <t>UNSURE</t>
        </is>
      </c>
      <c r="H1453" s="23" t="inlineStr">
        <is>
          <t>RETAINED</t>
        </is>
      </c>
      <c r="I1453" s="23" t="inlineStr">
        <is>
          <t>Carried forward</t>
        </is>
      </c>
      <c r="J1453" s="23" t="inlineStr">
        <is>
          <t>Earlier professional decision, carried forward</t>
        </is>
      </c>
      <c r="K1453" s="23" t="inlineStr">
        <is>
          <t>Maya Chen, Owner Project Controls</t>
        </is>
      </c>
      <c r="L1453" s="23" t="inlineStr"/>
      <c r="M1453" s="23" t="inlineStr"/>
      <c r="N1453" s="14" t="inlineStr">
        <is>
          <t>10 EVIDENCE &amp; DECISIONS</t>
        </is>
      </c>
    </row>
    <row r="1454" ht="34" customHeight="1">
      <c r="A1454" s="23" t="inlineStr">
        <is>
          <t>Contractor Programme</t>
        </is>
      </c>
      <c r="B1454" s="23" t="inlineStr">
        <is>
          <t>SCH-06-087</t>
        </is>
      </c>
      <c r="C1454" s="23" t="inlineStr">
        <is>
          <t>Fleet package: stakeholder interface meeting - inspection</t>
        </is>
      </c>
      <c r="D1454" s="23" t="inlineStr"/>
      <c r="E1454" s="23" t="inlineStr">
        <is>
          <t>R987-v3</t>
        </is>
      </c>
      <c r="F1454" s="23" t="inlineStr">
        <is>
          <t>UNSURE</t>
        </is>
      </c>
      <c r="G1454" s="23" t="inlineStr">
        <is>
          <t>UNSURE</t>
        </is>
      </c>
      <c r="H1454" s="23" t="inlineStr">
        <is>
          <t>RETAINED</t>
        </is>
      </c>
      <c r="I1454" s="23" t="inlineStr">
        <is>
          <t>Carried forward</t>
        </is>
      </c>
      <c r="J1454" s="23" t="inlineStr">
        <is>
          <t>Earlier professional decision, carried forward</t>
        </is>
      </c>
      <c r="K1454" s="23" t="inlineStr">
        <is>
          <t>Maya Chen, Owner Project Controls</t>
        </is>
      </c>
      <c r="L1454" s="23" t="inlineStr"/>
      <c r="M1454" s="23" t="inlineStr"/>
      <c r="N1454" s="14" t="inlineStr">
        <is>
          <t>10 EVIDENCE &amp; DECISIONS</t>
        </is>
      </c>
    </row>
    <row r="1455" ht="34" customHeight="1">
      <c r="A1455" s="23" t="inlineStr">
        <is>
          <t>Contractor Programme</t>
        </is>
      </c>
      <c r="B1455" s="23" t="inlineStr">
        <is>
          <t>SCH-06-088</t>
        </is>
      </c>
      <c r="C1455" s="23" t="inlineStr">
        <is>
          <t>Program office: baseline change control - turnover</t>
        </is>
      </c>
      <c r="D1455" s="23" t="inlineStr"/>
      <c r="E1455" s="23" t="inlineStr">
        <is>
          <t>R988-v3</t>
        </is>
      </c>
      <c r="F1455" s="23" t="inlineStr">
        <is>
          <t>UNSURE</t>
        </is>
      </c>
      <c r="G1455" s="23" t="inlineStr">
        <is>
          <t>UNSURE</t>
        </is>
      </c>
      <c r="H1455" s="23" t="inlineStr">
        <is>
          <t>RETAINED</t>
        </is>
      </c>
      <c r="I1455" s="23" t="inlineStr">
        <is>
          <t>Carried forward</t>
        </is>
      </c>
      <c r="J1455" s="23" t="inlineStr">
        <is>
          <t>Earlier professional decision, carried forward</t>
        </is>
      </c>
      <c r="K1455" s="23" t="inlineStr">
        <is>
          <t>Maya Chen, Owner Project Controls</t>
        </is>
      </c>
      <c r="L1455" s="23" t="inlineStr"/>
      <c r="M1455" s="23" t="inlineStr"/>
      <c r="N1455" s="14" t="inlineStr">
        <is>
          <t>10 EVIDENCE &amp; DECISIONS</t>
        </is>
      </c>
    </row>
    <row r="1456" ht="34" customHeight="1">
      <c r="A1456" s="23" t="inlineStr">
        <is>
          <t>Contractor Programme</t>
        </is>
      </c>
      <c r="B1456" s="23" t="inlineStr">
        <is>
          <t>SCH-06-089</t>
        </is>
      </c>
      <c r="C1456" s="23" t="inlineStr">
        <is>
          <t>Civil package: commercial change review - release</t>
        </is>
      </c>
      <c r="D1456" s="23" t="inlineStr"/>
      <c r="E1456" s="23" t="inlineStr">
        <is>
          <t>R989-v3</t>
        </is>
      </c>
      <c r="F1456" s="23" t="inlineStr">
        <is>
          <t>UNSURE</t>
        </is>
      </c>
      <c r="G1456" s="23" t="inlineStr">
        <is>
          <t>UNSURE</t>
        </is>
      </c>
      <c r="H1456" s="23" t="inlineStr">
        <is>
          <t>RETAINED</t>
        </is>
      </c>
      <c r="I1456" s="23" t="inlineStr">
        <is>
          <t>Carried forward</t>
        </is>
      </c>
      <c r="J1456" s="23" t="inlineStr">
        <is>
          <t>Earlier professional decision, carried forward</t>
        </is>
      </c>
      <c r="K1456" s="23" t="inlineStr">
        <is>
          <t>Maya Chen, Owner Project Controls</t>
        </is>
      </c>
      <c r="L1456" s="23" t="inlineStr"/>
      <c r="M1456" s="23" t="inlineStr"/>
      <c r="N1456" s="14" t="inlineStr">
        <is>
          <t>10 EVIDENCE &amp; DECISIONS</t>
        </is>
      </c>
    </row>
    <row r="1457" ht="34" customHeight="1">
      <c r="A1457" s="23" t="inlineStr">
        <is>
          <t>Contractor Programme</t>
        </is>
      </c>
      <c r="B1457" s="23" t="inlineStr">
        <is>
          <t>SCH-06-090</t>
        </is>
      </c>
      <c r="C1457" s="23" t="inlineStr">
        <is>
          <t>Stations package: design-package integration review - field start</t>
        </is>
      </c>
      <c r="D1457" s="23" t="inlineStr"/>
      <c r="E1457" s="23" t="inlineStr">
        <is>
          <t>R990-v3</t>
        </is>
      </c>
      <c r="F1457" s="23" t="inlineStr">
        <is>
          <t>UNSURE</t>
        </is>
      </c>
      <c r="G1457" s="23" t="inlineStr">
        <is>
          <t>UNSURE</t>
        </is>
      </c>
      <c r="H1457" s="23" t="inlineStr">
        <is>
          <t>RETAINED</t>
        </is>
      </c>
      <c r="I1457" s="23" t="inlineStr">
        <is>
          <t>Carried forward</t>
        </is>
      </c>
      <c r="J1457" s="23" t="inlineStr">
        <is>
          <t>Earlier professional decision, carried forward</t>
        </is>
      </c>
      <c r="K1457" s="23" t="inlineStr">
        <is>
          <t>Maya Chen, Owner Project Controls</t>
        </is>
      </c>
      <c r="L1457" s="23" t="inlineStr"/>
      <c r="M1457" s="23" t="inlineStr"/>
      <c r="N1457" s="14" t="inlineStr">
        <is>
          <t>10 EVIDENCE &amp; DECISIONS</t>
        </is>
      </c>
    </row>
    <row r="1458" ht="34" customHeight="1">
      <c r="A1458" s="23" t="inlineStr">
        <is>
          <t>Contractor Programme</t>
        </is>
      </c>
      <c r="B1458" s="23" t="inlineStr">
        <is>
          <t>SCH-06-091</t>
        </is>
      </c>
      <c r="C1458" s="23" t="inlineStr">
        <is>
          <t>Systems package: executive reporting close - installation</t>
        </is>
      </c>
      <c r="D1458" s="23" t="inlineStr"/>
      <c r="E1458" s="23" t="inlineStr">
        <is>
          <t>R991-v3</t>
        </is>
      </c>
      <c r="F1458" s="23" t="inlineStr">
        <is>
          <t>UNSURE</t>
        </is>
      </c>
      <c r="G1458" s="23" t="inlineStr">
        <is>
          <t>UNSURE</t>
        </is>
      </c>
      <c r="H1458" s="23" t="inlineStr">
        <is>
          <t>RETAINED</t>
        </is>
      </c>
      <c r="I1458" s="23" t="inlineStr">
        <is>
          <t>Carried forward</t>
        </is>
      </c>
      <c r="J1458" s="23" t="inlineStr">
        <is>
          <t>Earlier professional decision, carried forward</t>
        </is>
      </c>
      <c r="K1458" s="23" t="inlineStr">
        <is>
          <t>Maya Chen, Owner Project Controls</t>
        </is>
      </c>
      <c r="L1458" s="23" t="inlineStr"/>
      <c r="M1458" s="23" t="inlineStr"/>
      <c r="N1458" s="14" t="inlineStr">
        <is>
          <t>10 EVIDENCE &amp; DECISIONS</t>
        </is>
      </c>
    </row>
    <row r="1459" ht="34" customHeight="1">
      <c r="A1459" s="23" t="inlineStr">
        <is>
          <t>Contractor Programme</t>
        </is>
      </c>
      <c r="B1459" s="23" t="inlineStr">
        <is>
          <t>SCH-06-092</t>
        </is>
      </c>
      <c r="C1459" s="23" t="inlineStr">
        <is>
          <t>Fleet package: permit coordination - inspection</t>
        </is>
      </c>
      <c r="D1459" s="23" t="inlineStr"/>
      <c r="E1459" s="23" t="inlineStr">
        <is>
          <t>R992-v3</t>
        </is>
      </c>
      <c r="F1459" s="23" t="inlineStr">
        <is>
          <t>UNSURE</t>
        </is>
      </c>
      <c r="G1459" s="23" t="inlineStr">
        <is>
          <t>UNSURE</t>
        </is>
      </c>
      <c r="H1459" s="23" t="inlineStr">
        <is>
          <t>RETAINED</t>
        </is>
      </c>
      <c r="I1459" s="23" t="inlineStr">
        <is>
          <t>Carried forward</t>
        </is>
      </c>
      <c r="J1459" s="23" t="inlineStr">
        <is>
          <t>Earlier professional decision, carried forward</t>
        </is>
      </c>
      <c r="K1459" s="23" t="inlineStr">
        <is>
          <t>Maya Chen, Owner Project Controls</t>
        </is>
      </c>
      <c r="L1459" s="23" t="inlineStr"/>
      <c r="M1459" s="23" t="inlineStr"/>
      <c r="N1459" s="14" t="inlineStr">
        <is>
          <t>10 EVIDENCE &amp; DECISIONS</t>
        </is>
      </c>
    </row>
    <row r="1460" ht="34" customHeight="1">
      <c r="A1460" s="23" t="inlineStr">
        <is>
          <t>Contractor Programme</t>
        </is>
      </c>
      <c r="B1460" s="23" t="inlineStr">
        <is>
          <t>SCH-06-093</t>
        </is>
      </c>
      <c r="C1460" s="23" t="inlineStr">
        <is>
          <t>Program office: delivery risk workshop - turnover</t>
        </is>
      </c>
      <c r="D1460" s="23" t="inlineStr"/>
      <c r="E1460" s="23" t="inlineStr">
        <is>
          <t>R993-v3</t>
        </is>
      </c>
      <c r="F1460" s="23" t="inlineStr">
        <is>
          <t>UNSURE</t>
        </is>
      </c>
      <c r="G1460" s="23" t="inlineStr">
        <is>
          <t>UNSURE</t>
        </is>
      </c>
      <c r="H1460" s="23" t="inlineStr">
        <is>
          <t>RETAINED</t>
        </is>
      </c>
      <c r="I1460" s="23" t="inlineStr">
        <is>
          <t>Carried forward</t>
        </is>
      </c>
      <c r="J1460" s="23" t="inlineStr">
        <is>
          <t>Earlier professional decision, carried forward</t>
        </is>
      </c>
      <c r="K1460" s="23" t="inlineStr">
        <is>
          <t>Maya Chen, Owner Project Controls</t>
        </is>
      </c>
      <c r="L1460" s="23" t="inlineStr"/>
      <c r="M1460" s="23" t="inlineStr"/>
      <c r="N1460" s="14" t="inlineStr">
        <is>
          <t>10 EVIDENCE &amp; DECISIONS</t>
        </is>
      </c>
    </row>
    <row r="1461" ht="34" customHeight="1">
      <c r="A1461" s="23" t="inlineStr">
        <is>
          <t>Contractor Programme</t>
        </is>
      </c>
      <c r="B1461" s="23" t="inlineStr">
        <is>
          <t>SCH-06-094</t>
        </is>
      </c>
      <c r="C1461" s="23" t="inlineStr">
        <is>
          <t>Civil package: monthly controls cut-off - release</t>
        </is>
      </c>
      <c r="D1461" s="23" t="inlineStr"/>
      <c r="E1461" s="23" t="inlineStr">
        <is>
          <t>R994-v3</t>
        </is>
      </c>
      <c r="F1461" s="23" t="inlineStr">
        <is>
          <t>UNSURE</t>
        </is>
      </c>
      <c r="G1461" s="23" t="inlineStr">
        <is>
          <t>UNSURE</t>
        </is>
      </c>
      <c r="H1461" s="23" t="inlineStr">
        <is>
          <t>RETAINED</t>
        </is>
      </c>
      <c r="I1461" s="23" t="inlineStr">
        <is>
          <t>Carried forward</t>
        </is>
      </c>
      <c r="J1461" s="23" t="inlineStr">
        <is>
          <t>Earlier professional decision, carried forward</t>
        </is>
      </c>
      <c r="K1461" s="23" t="inlineStr">
        <is>
          <t>Maya Chen, Owner Project Controls</t>
        </is>
      </c>
      <c r="L1461" s="23" t="inlineStr"/>
      <c r="M1461" s="23" t="inlineStr"/>
      <c r="N1461" s="14" t="inlineStr">
        <is>
          <t>10 EVIDENCE &amp; DECISIONS</t>
        </is>
      </c>
    </row>
    <row r="1462" ht="34" customHeight="1">
      <c r="A1462" s="23" t="inlineStr">
        <is>
          <t>Contractor Programme</t>
        </is>
      </c>
      <c r="B1462" s="23" t="inlineStr">
        <is>
          <t>SCH-06-095</t>
        </is>
      </c>
      <c r="C1462" s="23" t="inlineStr">
        <is>
          <t>Stations package: stakeholder interface meeting - field start</t>
        </is>
      </c>
      <c r="D1462" s="23" t="inlineStr"/>
      <c r="E1462" s="23" t="inlineStr">
        <is>
          <t>R995-v3</t>
        </is>
      </c>
      <c r="F1462" s="23" t="inlineStr">
        <is>
          <t>UNSURE</t>
        </is>
      </c>
      <c r="G1462" s="23" t="inlineStr">
        <is>
          <t>UNSURE</t>
        </is>
      </c>
      <c r="H1462" s="23" t="inlineStr">
        <is>
          <t>RETAINED</t>
        </is>
      </c>
      <c r="I1462" s="23" t="inlineStr">
        <is>
          <t>Carried forward</t>
        </is>
      </c>
      <c r="J1462" s="23" t="inlineStr">
        <is>
          <t>Earlier professional decision, carried forward</t>
        </is>
      </c>
      <c r="K1462" s="23" t="inlineStr">
        <is>
          <t>Maya Chen, Owner Project Controls</t>
        </is>
      </c>
      <c r="L1462" s="23" t="inlineStr"/>
      <c r="M1462" s="23" t="inlineStr"/>
      <c r="N1462" s="14" t="inlineStr">
        <is>
          <t>10 EVIDENCE &amp; DECISIONS</t>
        </is>
      </c>
    </row>
    <row r="1463" ht="34" customHeight="1">
      <c r="A1463" s="23" t="inlineStr">
        <is>
          <t>Contractor Programme</t>
        </is>
      </c>
      <c r="B1463" s="23" t="inlineStr">
        <is>
          <t>SCH-06-096</t>
        </is>
      </c>
      <c r="C1463" s="23" t="inlineStr">
        <is>
          <t>Systems package: baseline change control - installation</t>
        </is>
      </c>
      <c r="D1463" s="23" t="inlineStr"/>
      <c r="E1463" s="23" t="inlineStr">
        <is>
          <t>R996-v3</t>
        </is>
      </c>
      <c r="F1463" s="23" t="inlineStr">
        <is>
          <t>UNSURE</t>
        </is>
      </c>
      <c r="G1463" s="23" t="inlineStr">
        <is>
          <t>UNSURE</t>
        </is>
      </c>
      <c r="H1463" s="23" t="inlineStr">
        <is>
          <t>RETAINED</t>
        </is>
      </c>
      <c r="I1463" s="23" t="inlineStr">
        <is>
          <t>Carried forward</t>
        </is>
      </c>
      <c r="J1463" s="23" t="inlineStr">
        <is>
          <t>Earlier professional decision, carried forward</t>
        </is>
      </c>
      <c r="K1463" s="23" t="inlineStr">
        <is>
          <t>Maya Chen, Owner Project Controls</t>
        </is>
      </c>
      <c r="L1463" s="23" t="inlineStr"/>
      <c r="M1463" s="23" t="inlineStr"/>
      <c r="N1463" s="14" t="inlineStr">
        <is>
          <t>10 EVIDENCE &amp; DECISIONS</t>
        </is>
      </c>
    </row>
    <row r="1464" ht="34" customHeight="1">
      <c r="A1464" s="23" t="inlineStr">
        <is>
          <t>Contractor Programme</t>
        </is>
      </c>
      <c r="B1464" s="23" t="inlineStr">
        <is>
          <t>SCH-06-097</t>
        </is>
      </c>
      <c r="C1464" s="23" t="inlineStr">
        <is>
          <t>Fleet package: commercial change review - inspection</t>
        </is>
      </c>
      <c r="D1464" s="23" t="inlineStr"/>
      <c r="E1464" s="23" t="inlineStr">
        <is>
          <t>R997-v3</t>
        </is>
      </c>
      <c r="F1464" s="23" t="inlineStr">
        <is>
          <t>UNSURE</t>
        </is>
      </c>
      <c r="G1464" s="23" t="inlineStr">
        <is>
          <t>UNSURE</t>
        </is>
      </c>
      <c r="H1464" s="23" t="inlineStr">
        <is>
          <t>RETAINED</t>
        </is>
      </c>
      <c r="I1464" s="23" t="inlineStr">
        <is>
          <t>Carried forward</t>
        </is>
      </c>
      <c r="J1464" s="23" t="inlineStr">
        <is>
          <t>Earlier professional decision, carried forward</t>
        </is>
      </c>
      <c r="K1464" s="23" t="inlineStr">
        <is>
          <t>Maya Chen, Owner Project Controls</t>
        </is>
      </c>
      <c r="L1464" s="23" t="inlineStr"/>
      <c r="M1464" s="23" t="inlineStr"/>
      <c r="N1464" s="14" t="inlineStr">
        <is>
          <t>10 EVIDENCE &amp; DECISIONS</t>
        </is>
      </c>
    </row>
    <row r="1465" ht="34" customHeight="1">
      <c r="A1465" s="23" t="inlineStr">
        <is>
          <t>Contractor Programme</t>
        </is>
      </c>
      <c r="B1465" s="23" t="inlineStr">
        <is>
          <t>SCH-06-098</t>
        </is>
      </c>
      <c r="C1465" s="23" t="inlineStr">
        <is>
          <t>Program office: design-package integration review - turnover</t>
        </is>
      </c>
      <c r="D1465" s="23" t="inlineStr"/>
      <c r="E1465" s="23" t="inlineStr">
        <is>
          <t>R998-v3</t>
        </is>
      </c>
      <c r="F1465" s="23" t="inlineStr">
        <is>
          <t>UNSURE</t>
        </is>
      </c>
      <c r="G1465" s="23" t="inlineStr">
        <is>
          <t>UNSURE</t>
        </is>
      </c>
      <c r="H1465" s="23" t="inlineStr">
        <is>
          <t>RETAINED</t>
        </is>
      </c>
      <c r="I1465" s="23" t="inlineStr">
        <is>
          <t>Carried forward</t>
        </is>
      </c>
      <c r="J1465" s="23" t="inlineStr">
        <is>
          <t>Earlier professional decision, carried forward</t>
        </is>
      </c>
      <c r="K1465" s="23" t="inlineStr">
        <is>
          <t>Maya Chen, Owner Project Controls</t>
        </is>
      </c>
      <c r="L1465" s="23" t="inlineStr"/>
      <c r="M1465" s="23" t="inlineStr"/>
      <c r="N1465" s="14" t="inlineStr">
        <is>
          <t>10 EVIDENCE &amp; DECISIONS</t>
        </is>
      </c>
    </row>
    <row r="1466" ht="34" customHeight="1">
      <c r="A1466" s="23" t="inlineStr">
        <is>
          <t>Contractor Programme</t>
        </is>
      </c>
      <c r="B1466" s="23" t="inlineStr">
        <is>
          <t>SCH-06-099</t>
        </is>
      </c>
      <c r="C1466" s="23" t="inlineStr">
        <is>
          <t>Civil package: executive reporting close - release</t>
        </is>
      </c>
      <c r="D1466" s="23" t="inlineStr"/>
      <c r="E1466" s="23" t="inlineStr">
        <is>
          <t>R999-v3</t>
        </is>
      </c>
      <c r="F1466" s="23" t="inlineStr">
        <is>
          <t>UNSURE</t>
        </is>
      </c>
      <c r="G1466" s="23" t="inlineStr">
        <is>
          <t>UNSURE</t>
        </is>
      </c>
      <c r="H1466" s="23" t="inlineStr">
        <is>
          <t>RETAINED</t>
        </is>
      </c>
      <c r="I1466" s="23" t="inlineStr">
        <is>
          <t>Carried forward</t>
        </is>
      </c>
      <c r="J1466" s="23" t="inlineStr">
        <is>
          <t>Earlier professional decision, carried forward</t>
        </is>
      </c>
      <c r="K1466" s="23" t="inlineStr">
        <is>
          <t>Maya Chen, Owner Project Controls</t>
        </is>
      </c>
      <c r="L1466" s="23" t="inlineStr"/>
      <c r="M1466" s="23" t="inlineStr"/>
      <c r="N1466" s="14" t="inlineStr">
        <is>
          <t>10 EVIDENCE &amp; DECISIONS</t>
        </is>
      </c>
    </row>
    <row r="1467" ht="34" customHeight="1">
      <c r="A1467" s="23" t="inlineStr">
        <is>
          <t>Contractor Programme</t>
        </is>
      </c>
      <c r="B1467" s="23" t="inlineStr">
        <is>
          <t>SCH-06-100</t>
        </is>
      </c>
      <c r="C1467" s="23" t="inlineStr">
        <is>
          <t>Stations package: permit coordination - field start</t>
        </is>
      </c>
      <c r="D1467" s="23" t="inlineStr"/>
      <c r="E1467" s="23" t="inlineStr">
        <is>
          <t>R1000-v3</t>
        </is>
      </c>
      <c r="F1467" s="23" t="inlineStr">
        <is>
          <t>UNSURE</t>
        </is>
      </c>
      <c r="G1467" s="23" t="inlineStr">
        <is>
          <t>UNSURE</t>
        </is>
      </c>
      <c r="H1467" s="23" t="inlineStr">
        <is>
          <t>RETAINED</t>
        </is>
      </c>
      <c r="I1467" s="23" t="inlineStr">
        <is>
          <t>Carried forward</t>
        </is>
      </c>
      <c r="J1467" s="23" t="inlineStr">
        <is>
          <t>Earlier professional decision, carried forward</t>
        </is>
      </c>
      <c r="K1467" s="23" t="inlineStr">
        <is>
          <t>Maya Chen, Owner Project Controls</t>
        </is>
      </c>
      <c r="L1467" s="23" t="inlineStr"/>
      <c r="M1467" s="23" t="inlineStr"/>
      <c r="N1467" s="14" t="inlineStr">
        <is>
          <t>10 EVIDENCE &amp; DECISIONS</t>
        </is>
      </c>
    </row>
    <row r="1468" ht="34" customHeight="1">
      <c r="A1468" s="23" t="inlineStr">
        <is>
          <t>Contractor Programme</t>
        </is>
      </c>
      <c r="B1468" s="23" t="inlineStr">
        <is>
          <t>SCH-06-101</t>
        </is>
      </c>
      <c r="C1468" s="23" t="inlineStr">
        <is>
          <t>Systems package: delivery risk workshop - installation</t>
        </is>
      </c>
      <c r="D1468" s="23" t="inlineStr"/>
      <c r="E1468" s="23" t="inlineStr">
        <is>
          <t>R1001-v3</t>
        </is>
      </c>
      <c r="F1468" s="23" t="inlineStr">
        <is>
          <t>UNSURE</t>
        </is>
      </c>
      <c r="G1468" s="23" t="inlineStr">
        <is>
          <t>UNSURE</t>
        </is>
      </c>
      <c r="H1468" s="23" t="inlineStr">
        <is>
          <t>RETAINED</t>
        </is>
      </c>
      <c r="I1468" s="23" t="inlineStr">
        <is>
          <t>Carried forward</t>
        </is>
      </c>
      <c r="J1468" s="23" t="inlineStr">
        <is>
          <t>Earlier professional decision, carried forward</t>
        </is>
      </c>
      <c r="K1468" s="23" t="inlineStr">
        <is>
          <t>Maya Chen, Owner Project Controls</t>
        </is>
      </c>
      <c r="L1468" s="23" t="inlineStr"/>
      <c r="M1468" s="23" t="inlineStr"/>
      <c r="N1468" s="14" t="inlineStr">
        <is>
          <t>10 EVIDENCE &amp; DECISIONS</t>
        </is>
      </c>
    </row>
    <row r="1469" ht="34" customHeight="1">
      <c r="A1469" s="23" t="inlineStr">
        <is>
          <t>Contractor Programme</t>
        </is>
      </c>
      <c r="B1469" s="23" t="inlineStr">
        <is>
          <t>SCH-06-102</t>
        </is>
      </c>
      <c r="C1469" s="23" t="inlineStr">
        <is>
          <t>Fleet package: monthly controls cut-off - inspection</t>
        </is>
      </c>
      <c r="D1469" s="23" t="inlineStr"/>
      <c r="E1469" s="23" t="inlineStr">
        <is>
          <t>R1002-v3</t>
        </is>
      </c>
      <c r="F1469" s="23" t="inlineStr">
        <is>
          <t>UNSURE</t>
        </is>
      </c>
      <c r="G1469" s="23" t="inlineStr">
        <is>
          <t>UNSURE</t>
        </is>
      </c>
      <c r="H1469" s="23" t="inlineStr">
        <is>
          <t>RETAINED</t>
        </is>
      </c>
      <c r="I1469" s="23" t="inlineStr">
        <is>
          <t>Carried forward</t>
        </is>
      </c>
      <c r="J1469" s="23" t="inlineStr">
        <is>
          <t>Earlier professional decision, carried forward</t>
        </is>
      </c>
      <c r="K1469" s="23" t="inlineStr">
        <is>
          <t>Maya Chen, Owner Project Controls</t>
        </is>
      </c>
      <c r="L1469" s="23" t="inlineStr"/>
      <c r="M1469" s="23" t="inlineStr"/>
      <c r="N1469" s="14" t="inlineStr">
        <is>
          <t>10 EVIDENCE &amp; DECISIONS</t>
        </is>
      </c>
    </row>
    <row r="1470" ht="34" customHeight="1">
      <c r="A1470" s="23" t="inlineStr">
        <is>
          <t>Contractor Programme</t>
        </is>
      </c>
      <c r="B1470" s="23" t="inlineStr">
        <is>
          <t>SCH-06-103</t>
        </is>
      </c>
      <c r="C1470" s="23" t="inlineStr">
        <is>
          <t>Program office: stakeholder interface meeting - turnover</t>
        </is>
      </c>
      <c r="D1470" s="23" t="inlineStr"/>
      <c r="E1470" s="23" t="inlineStr">
        <is>
          <t>R1003-v3</t>
        </is>
      </c>
      <c r="F1470" s="23" t="inlineStr">
        <is>
          <t>UNSURE</t>
        </is>
      </c>
      <c r="G1470" s="23" t="inlineStr">
        <is>
          <t>UNSURE</t>
        </is>
      </c>
      <c r="H1470" s="23" t="inlineStr">
        <is>
          <t>RETAINED</t>
        </is>
      </c>
      <c r="I1470" s="23" t="inlineStr">
        <is>
          <t>Carried forward</t>
        </is>
      </c>
      <c r="J1470" s="23" t="inlineStr">
        <is>
          <t>Earlier professional decision, carried forward</t>
        </is>
      </c>
      <c r="K1470" s="23" t="inlineStr">
        <is>
          <t>Maya Chen, Owner Project Controls</t>
        </is>
      </c>
      <c r="L1470" s="23" t="inlineStr"/>
      <c r="M1470" s="23" t="inlineStr"/>
      <c r="N1470" s="14" t="inlineStr">
        <is>
          <t>10 EVIDENCE &amp; DECISIONS</t>
        </is>
      </c>
    </row>
    <row r="1471" ht="34" customHeight="1">
      <c r="A1471" s="23" t="inlineStr">
        <is>
          <t>Contractor Programme</t>
        </is>
      </c>
      <c r="B1471" s="23" t="inlineStr">
        <is>
          <t>SCH-06-104</t>
        </is>
      </c>
      <c r="C1471" s="23" t="inlineStr">
        <is>
          <t>Civil package: baseline change control - release</t>
        </is>
      </c>
      <c r="D1471" s="23" t="inlineStr"/>
      <c r="E1471" s="23" t="inlineStr">
        <is>
          <t>R1004-v3</t>
        </is>
      </c>
      <c r="F1471" s="23" t="inlineStr">
        <is>
          <t>UNSURE</t>
        </is>
      </c>
      <c r="G1471" s="23" t="inlineStr">
        <is>
          <t>UNSURE</t>
        </is>
      </c>
      <c r="H1471" s="23" t="inlineStr">
        <is>
          <t>RETAINED</t>
        </is>
      </c>
      <c r="I1471" s="23" t="inlineStr">
        <is>
          <t>Carried forward</t>
        </is>
      </c>
      <c r="J1471" s="23" t="inlineStr">
        <is>
          <t>Earlier professional decision, carried forward</t>
        </is>
      </c>
      <c r="K1471" s="23" t="inlineStr">
        <is>
          <t>Maya Chen, Owner Project Controls</t>
        </is>
      </c>
      <c r="L1471" s="23" t="inlineStr"/>
      <c r="M1471" s="23" t="inlineStr"/>
      <c r="N1471" s="14" t="inlineStr">
        <is>
          <t>10 EVIDENCE &amp; DECISIONS</t>
        </is>
      </c>
    </row>
    <row r="1472" ht="34" customHeight="1">
      <c r="A1472" s="23" t="inlineStr">
        <is>
          <t>Contractor Programme</t>
        </is>
      </c>
      <c r="B1472" s="23" t="inlineStr">
        <is>
          <t>SCH-06-105</t>
        </is>
      </c>
      <c r="C1472" s="23" t="inlineStr">
        <is>
          <t>Stations package: commercial change review - field start</t>
        </is>
      </c>
      <c r="D1472" s="23" t="inlineStr"/>
      <c r="E1472" s="23" t="inlineStr">
        <is>
          <t>R1005-v3</t>
        </is>
      </c>
      <c r="F1472" s="23" t="inlineStr">
        <is>
          <t>UNSURE</t>
        </is>
      </c>
      <c r="G1472" s="23" t="inlineStr">
        <is>
          <t>UNSURE</t>
        </is>
      </c>
      <c r="H1472" s="23" t="inlineStr">
        <is>
          <t>RETAINED</t>
        </is>
      </c>
      <c r="I1472" s="23" t="inlineStr">
        <is>
          <t>Carried forward</t>
        </is>
      </c>
      <c r="J1472" s="23" t="inlineStr">
        <is>
          <t>Earlier professional decision, carried forward</t>
        </is>
      </c>
      <c r="K1472" s="23" t="inlineStr">
        <is>
          <t>Maya Chen, Owner Project Controls</t>
        </is>
      </c>
      <c r="L1472" s="23" t="inlineStr"/>
      <c r="M1472" s="23" t="inlineStr"/>
      <c r="N1472" s="14" t="inlineStr">
        <is>
          <t>10 EVIDENCE &amp; DECISIONS</t>
        </is>
      </c>
    </row>
    <row r="1473" ht="34" customHeight="1">
      <c r="A1473" s="23" t="inlineStr">
        <is>
          <t>Contractor Programme</t>
        </is>
      </c>
      <c r="B1473" s="23" t="inlineStr">
        <is>
          <t>SCH-06-106</t>
        </is>
      </c>
      <c r="C1473" s="23" t="inlineStr">
        <is>
          <t>Systems package: design-package integration review - installation</t>
        </is>
      </c>
      <c r="D1473" s="23" t="inlineStr"/>
      <c r="E1473" s="23" t="inlineStr">
        <is>
          <t>R1006-v3</t>
        </is>
      </c>
      <c r="F1473" s="23" t="inlineStr">
        <is>
          <t>UNSURE</t>
        </is>
      </c>
      <c r="G1473" s="23" t="inlineStr">
        <is>
          <t>UNSURE</t>
        </is>
      </c>
      <c r="H1473" s="23" t="inlineStr">
        <is>
          <t>RETAINED</t>
        </is>
      </c>
      <c r="I1473" s="23" t="inlineStr">
        <is>
          <t>Carried forward</t>
        </is>
      </c>
      <c r="J1473" s="23" t="inlineStr">
        <is>
          <t>Earlier professional decision, carried forward</t>
        </is>
      </c>
      <c r="K1473" s="23" t="inlineStr">
        <is>
          <t>Maya Chen, Owner Project Controls</t>
        </is>
      </c>
      <c r="L1473" s="23" t="inlineStr"/>
      <c r="M1473" s="23" t="inlineStr"/>
      <c r="N1473" s="14" t="inlineStr">
        <is>
          <t>10 EVIDENCE &amp; DECISIONS</t>
        </is>
      </c>
    </row>
    <row r="1474" ht="34" customHeight="1">
      <c r="A1474" s="23" t="inlineStr">
        <is>
          <t>Contractor Programme</t>
        </is>
      </c>
      <c r="B1474" s="23" t="inlineStr">
        <is>
          <t>SCH-06-107</t>
        </is>
      </c>
      <c r="C1474" s="23" t="inlineStr">
        <is>
          <t>Fleet package: executive reporting close - inspection</t>
        </is>
      </c>
      <c r="D1474" s="23" t="inlineStr"/>
      <c r="E1474" s="23" t="inlineStr">
        <is>
          <t>R1007-v3</t>
        </is>
      </c>
      <c r="F1474" s="23" t="inlineStr">
        <is>
          <t>UNSURE</t>
        </is>
      </c>
      <c r="G1474" s="23" t="inlineStr">
        <is>
          <t>UNSURE</t>
        </is>
      </c>
      <c r="H1474" s="23" t="inlineStr">
        <is>
          <t>RETAINED</t>
        </is>
      </c>
      <c r="I1474" s="23" t="inlineStr">
        <is>
          <t>Carried forward</t>
        </is>
      </c>
      <c r="J1474" s="23" t="inlineStr">
        <is>
          <t>Earlier professional decision, carried forward</t>
        </is>
      </c>
      <c r="K1474" s="23" t="inlineStr">
        <is>
          <t>Maya Chen, Owner Project Controls</t>
        </is>
      </c>
      <c r="L1474" s="23" t="inlineStr"/>
      <c r="M1474" s="23" t="inlineStr"/>
      <c r="N1474" s="14" t="inlineStr">
        <is>
          <t>10 EVIDENCE &amp; DECISIONS</t>
        </is>
      </c>
    </row>
    <row r="1475" ht="34" customHeight="1">
      <c r="A1475" s="23" t="inlineStr">
        <is>
          <t>Contractor Programme</t>
        </is>
      </c>
      <c r="B1475" s="23" t="inlineStr">
        <is>
          <t>SCH-06-108</t>
        </is>
      </c>
      <c r="C1475" s="23" t="inlineStr">
        <is>
          <t>Program office: permit coordination - turnover</t>
        </is>
      </c>
      <c r="D1475" s="23" t="inlineStr"/>
      <c r="E1475" s="23" t="inlineStr">
        <is>
          <t>R1008-v3</t>
        </is>
      </c>
      <c r="F1475" s="23" t="inlineStr">
        <is>
          <t>UNSURE</t>
        </is>
      </c>
      <c r="G1475" s="23" t="inlineStr">
        <is>
          <t>UNSURE</t>
        </is>
      </c>
      <c r="H1475" s="23" t="inlineStr">
        <is>
          <t>RETAINED</t>
        </is>
      </c>
      <c r="I1475" s="23" t="inlineStr">
        <is>
          <t>Carried forward</t>
        </is>
      </c>
      <c r="J1475" s="23" t="inlineStr">
        <is>
          <t>Earlier professional decision, carried forward</t>
        </is>
      </c>
      <c r="K1475" s="23" t="inlineStr">
        <is>
          <t>Maya Chen, Owner Project Controls</t>
        </is>
      </c>
      <c r="L1475" s="23" t="inlineStr"/>
      <c r="M1475" s="23" t="inlineStr"/>
      <c r="N1475" s="14" t="inlineStr">
        <is>
          <t>10 EVIDENCE &amp; DECISIONS</t>
        </is>
      </c>
    </row>
    <row r="1476" ht="34" customHeight="1">
      <c r="A1476" s="23" t="inlineStr">
        <is>
          <t>Contractor Programme</t>
        </is>
      </c>
      <c r="B1476" s="23" t="inlineStr">
        <is>
          <t>SCH-06-109</t>
        </is>
      </c>
      <c r="C1476" s="23" t="inlineStr">
        <is>
          <t>Civil package: delivery risk workshop - release</t>
        </is>
      </c>
      <c r="D1476" s="23" t="inlineStr"/>
      <c r="E1476" s="23" t="inlineStr">
        <is>
          <t>R1009-v3</t>
        </is>
      </c>
      <c r="F1476" s="23" t="inlineStr">
        <is>
          <t>UNSURE</t>
        </is>
      </c>
      <c r="G1476" s="23" t="inlineStr">
        <is>
          <t>UNSURE</t>
        </is>
      </c>
      <c r="H1476" s="23" t="inlineStr">
        <is>
          <t>RETAINED</t>
        </is>
      </c>
      <c r="I1476" s="23" t="inlineStr">
        <is>
          <t>Carried forward</t>
        </is>
      </c>
      <c r="J1476" s="23" t="inlineStr">
        <is>
          <t>Earlier professional decision, carried forward</t>
        </is>
      </c>
      <c r="K1476" s="23" t="inlineStr">
        <is>
          <t>Maya Chen, Owner Project Controls</t>
        </is>
      </c>
      <c r="L1476" s="23" t="inlineStr"/>
      <c r="M1476" s="23" t="inlineStr"/>
      <c r="N1476" s="14" t="inlineStr">
        <is>
          <t>10 EVIDENCE &amp; DECISIONS</t>
        </is>
      </c>
    </row>
    <row r="1477" ht="34" customHeight="1">
      <c r="A1477" s="23" t="inlineStr">
        <is>
          <t>Contractor Programme</t>
        </is>
      </c>
      <c r="B1477" s="23" t="inlineStr">
        <is>
          <t>SCH-06-110</t>
        </is>
      </c>
      <c r="C1477" s="23" t="inlineStr">
        <is>
          <t>Stations package: monthly controls cut-off - field start</t>
        </is>
      </c>
      <c r="D1477" s="23" t="inlineStr"/>
      <c r="E1477" s="23" t="inlineStr">
        <is>
          <t>R1010-v3</t>
        </is>
      </c>
      <c r="F1477" s="23" t="inlineStr">
        <is>
          <t>UNSURE</t>
        </is>
      </c>
      <c r="G1477" s="23" t="inlineStr">
        <is>
          <t>UNSURE</t>
        </is>
      </c>
      <c r="H1477" s="23" t="inlineStr">
        <is>
          <t>RETAINED</t>
        </is>
      </c>
      <c r="I1477" s="23" t="inlineStr">
        <is>
          <t>Carried forward</t>
        </is>
      </c>
      <c r="J1477" s="23" t="inlineStr">
        <is>
          <t>Earlier professional decision, carried forward</t>
        </is>
      </c>
      <c r="K1477" s="23" t="inlineStr">
        <is>
          <t>Maya Chen, Owner Project Controls</t>
        </is>
      </c>
      <c r="L1477" s="23" t="inlineStr"/>
      <c r="M1477" s="23" t="inlineStr"/>
      <c r="N1477" s="14" t="inlineStr">
        <is>
          <t>10 EVIDENCE &amp; DECISIONS</t>
        </is>
      </c>
    </row>
    <row r="1478" ht="34" customHeight="1">
      <c r="A1478" s="23" t="inlineStr">
        <is>
          <t>Contractor Programme</t>
        </is>
      </c>
      <c r="B1478" s="23" t="inlineStr">
        <is>
          <t>SCH-06-111</t>
        </is>
      </c>
      <c r="C1478" s="23" t="inlineStr">
        <is>
          <t>Systems package: stakeholder interface meeting - installation</t>
        </is>
      </c>
      <c r="D1478" s="23" t="inlineStr"/>
      <c r="E1478" s="23" t="inlineStr">
        <is>
          <t>R1011-v3</t>
        </is>
      </c>
      <c r="F1478" s="23" t="inlineStr">
        <is>
          <t>UNSURE</t>
        </is>
      </c>
      <c r="G1478" s="23" t="inlineStr">
        <is>
          <t>UNSURE</t>
        </is>
      </c>
      <c r="H1478" s="23" t="inlineStr">
        <is>
          <t>RETAINED</t>
        </is>
      </c>
      <c r="I1478" s="23" t="inlineStr">
        <is>
          <t>Carried forward</t>
        </is>
      </c>
      <c r="J1478" s="23" t="inlineStr">
        <is>
          <t>Earlier professional decision, carried forward</t>
        </is>
      </c>
      <c r="K1478" s="23" t="inlineStr">
        <is>
          <t>Maya Chen, Owner Project Controls</t>
        </is>
      </c>
      <c r="L1478" s="23" t="inlineStr"/>
      <c r="M1478" s="23" t="inlineStr"/>
      <c r="N1478" s="14" t="inlineStr">
        <is>
          <t>10 EVIDENCE &amp; DECISIONS</t>
        </is>
      </c>
    </row>
    <row r="1479" ht="34" customHeight="1">
      <c r="A1479" s="23" t="inlineStr">
        <is>
          <t>Contractor Programme</t>
        </is>
      </c>
      <c r="B1479" s="23" t="inlineStr">
        <is>
          <t>SCH-06-112</t>
        </is>
      </c>
      <c r="C1479" s="23" t="inlineStr">
        <is>
          <t>Fleet package: baseline change control - inspection</t>
        </is>
      </c>
      <c r="D1479" s="23" t="inlineStr"/>
      <c r="E1479" s="23" t="inlineStr">
        <is>
          <t>R1012-v3</t>
        </is>
      </c>
      <c r="F1479" s="23" t="inlineStr">
        <is>
          <t>UNSURE</t>
        </is>
      </c>
      <c r="G1479" s="23" t="inlineStr">
        <is>
          <t>UNSURE</t>
        </is>
      </c>
      <c r="H1479" s="23" t="inlineStr">
        <is>
          <t>RETAINED</t>
        </is>
      </c>
      <c r="I1479" s="23" t="inlineStr">
        <is>
          <t>Carried forward</t>
        </is>
      </c>
      <c r="J1479" s="23" t="inlineStr">
        <is>
          <t>Earlier professional decision, carried forward</t>
        </is>
      </c>
      <c r="K1479" s="23" t="inlineStr">
        <is>
          <t>Maya Chen, Owner Project Controls</t>
        </is>
      </c>
      <c r="L1479" s="23" t="inlineStr"/>
      <c r="M1479" s="23" t="inlineStr"/>
      <c r="N1479" s="14" t="inlineStr">
        <is>
          <t>10 EVIDENCE &amp; DECISIONS</t>
        </is>
      </c>
    </row>
    <row r="1480" ht="34" customHeight="1">
      <c r="A1480" s="23" t="inlineStr">
        <is>
          <t>Contractor Programme</t>
        </is>
      </c>
      <c r="B1480" s="23" t="inlineStr">
        <is>
          <t>SCH-06-113</t>
        </is>
      </c>
      <c r="C1480" s="23" t="inlineStr">
        <is>
          <t>Program office: commercial change review - turnover</t>
        </is>
      </c>
      <c r="D1480" s="23" t="inlineStr"/>
      <c r="E1480" s="23" t="inlineStr">
        <is>
          <t>R1013-v3</t>
        </is>
      </c>
      <c r="F1480" s="23" t="inlineStr">
        <is>
          <t>UNSURE</t>
        </is>
      </c>
      <c r="G1480" s="23" t="inlineStr">
        <is>
          <t>UNSURE</t>
        </is>
      </c>
      <c r="H1480" s="23" t="inlineStr">
        <is>
          <t>RETAINED</t>
        </is>
      </c>
      <c r="I1480" s="23" t="inlineStr">
        <is>
          <t>Carried forward</t>
        </is>
      </c>
      <c r="J1480" s="23" t="inlineStr">
        <is>
          <t>Earlier professional decision, carried forward</t>
        </is>
      </c>
      <c r="K1480" s="23" t="inlineStr">
        <is>
          <t>Maya Chen, Owner Project Controls</t>
        </is>
      </c>
      <c r="L1480" s="23" t="inlineStr"/>
      <c r="M1480" s="23" t="inlineStr"/>
      <c r="N1480" s="14" t="inlineStr">
        <is>
          <t>10 EVIDENCE &amp; DECISIONS</t>
        </is>
      </c>
    </row>
    <row r="1481" ht="34" customHeight="1">
      <c r="A1481" s="23" t="inlineStr">
        <is>
          <t>Contractor Programme</t>
        </is>
      </c>
      <c r="B1481" s="23" t="inlineStr">
        <is>
          <t>SCH-06-114</t>
        </is>
      </c>
      <c r="C1481" s="23" t="inlineStr">
        <is>
          <t>Civil package: design-package integration review - release</t>
        </is>
      </c>
      <c r="D1481" s="23" t="inlineStr"/>
      <c r="E1481" s="23" t="inlineStr">
        <is>
          <t>R1014-v3</t>
        </is>
      </c>
      <c r="F1481" s="23" t="inlineStr">
        <is>
          <t>UNSURE</t>
        </is>
      </c>
      <c r="G1481" s="23" t="inlineStr">
        <is>
          <t>UNSURE</t>
        </is>
      </c>
      <c r="H1481" s="23" t="inlineStr">
        <is>
          <t>RETAINED</t>
        </is>
      </c>
      <c r="I1481" s="23" t="inlineStr">
        <is>
          <t>Carried forward</t>
        </is>
      </c>
      <c r="J1481" s="23" t="inlineStr">
        <is>
          <t>Earlier professional decision, carried forward</t>
        </is>
      </c>
      <c r="K1481" s="23" t="inlineStr">
        <is>
          <t>Maya Chen, Owner Project Controls</t>
        </is>
      </c>
      <c r="L1481" s="23" t="inlineStr"/>
      <c r="M1481" s="23" t="inlineStr"/>
      <c r="N1481" s="14" t="inlineStr">
        <is>
          <t>10 EVIDENCE &amp; DECISIONS</t>
        </is>
      </c>
    </row>
    <row r="1482" ht="34" customHeight="1">
      <c r="A1482" s="23" t="inlineStr">
        <is>
          <t>Contractor Programme</t>
        </is>
      </c>
      <c r="B1482" s="23" t="inlineStr">
        <is>
          <t>SCH-06-115</t>
        </is>
      </c>
      <c r="C1482" s="23" t="inlineStr">
        <is>
          <t>Stations package: executive reporting close - field start</t>
        </is>
      </c>
      <c r="D1482" s="23" t="inlineStr"/>
      <c r="E1482" s="23" t="inlineStr">
        <is>
          <t>R1015-v3</t>
        </is>
      </c>
      <c r="F1482" s="23" t="inlineStr">
        <is>
          <t>UNSURE</t>
        </is>
      </c>
      <c r="G1482" s="23" t="inlineStr">
        <is>
          <t>UNSURE</t>
        </is>
      </c>
      <c r="H1482" s="23" t="inlineStr">
        <is>
          <t>RETAINED</t>
        </is>
      </c>
      <c r="I1482" s="23" t="inlineStr">
        <is>
          <t>Carried forward</t>
        </is>
      </c>
      <c r="J1482" s="23" t="inlineStr">
        <is>
          <t>Earlier professional decision, carried forward</t>
        </is>
      </c>
      <c r="K1482" s="23" t="inlineStr">
        <is>
          <t>Maya Chen, Owner Project Controls</t>
        </is>
      </c>
      <c r="L1482" s="23" t="inlineStr"/>
      <c r="M1482" s="23" t="inlineStr"/>
      <c r="N1482" s="14" t="inlineStr">
        <is>
          <t>10 EVIDENCE &amp; DECISIONS</t>
        </is>
      </c>
    </row>
    <row r="1483" ht="34" customHeight="1">
      <c r="A1483" s="23" t="inlineStr">
        <is>
          <t>Contractor Programme</t>
        </is>
      </c>
      <c r="B1483" s="23" t="inlineStr">
        <is>
          <t>SCH-06-116</t>
        </is>
      </c>
      <c r="C1483" s="23" t="inlineStr">
        <is>
          <t>Systems package: permit coordination - installation</t>
        </is>
      </c>
      <c r="D1483" s="23" t="inlineStr"/>
      <c r="E1483" s="23" t="inlineStr">
        <is>
          <t>R1016-v3</t>
        </is>
      </c>
      <c r="F1483" s="23" t="inlineStr">
        <is>
          <t>UNSURE</t>
        </is>
      </c>
      <c r="G1483" s="23" t="inlineStr">
        <is>
          <t>UNSURE</t>
        </is>
      </c>
      <c r="H1483" s="23" t="inlineStr">
        <is>
          <t>RETAINED</t>
        </is>
      </c>
      <c r="I1483" s="23" t="inlineStr">
        <is>
          <t>Carried forward</t>
        </is>
      </c>
      <c r="J1483" s="23" t="inlineStr">
        <is>
          <t>Earlier professional decision, carried forward</t>
        </is>
      </c>
      <c r="K1483" s="23" t="inlineStr">
        <is>
          <t>Maya Chen, Owner Project Controls</t>
        </is>
      </c>
      <c r="L1483" s="23" t="inlineStr"/>
      <c r="M1483" s="23" t="inlineStr"/>
      <c r="N1483" s="14" t="inlineStr">
        <is>
          <t>10 EVIDENCE &amp; DECISIONS</t>
        </is>
      </c>
    </row>
    <row r="1484" ht="34" customHeight="1">
      <c r="A1484" s="23" t="inlineStr">
        <is>
          <t>Contractor Programme</t>
        </is>
      </c>
      <c r="B1484" s="23" t="inlineStr">
        <is>
          <t>SCH-06-117</t>
        </is>
      </c>
      <c r="C1484" s="23" t="inlineStr">
        <is>
          <t>Fleet package: delivery risk workshop - inspection</t>
        </is>
      </c>
      <c r="D1484" s="23" t="inlineStr"/>
      <c r="E1484" s="23" t="inlineStr">
        <is>
          <t>R1017-v3</t>
        </is>
      </c>
      <c r="F1484" s="23" t="inlineStr">
        <is>
          <t>UNSURE</t>
        </is>
      </c>
      <c r="G1484" s="23" t="inlineStr">
        <is>
          <t>UNSURE</t>
        </is>
      </c>
      <c r="H1484" s="23" t="inlineStr">
        <is>
          <t>RETAINED</t>
        </is>
      </c>
      <c r="I1484" s="23" t="inlineStr">
        <is>
          <t>Carried forward</t>
        </is>
      </c>
      <c r="J1484" s="23" t="inlineStr">
        <is>
          <t>Earlier professional decision, carried forward</t>
        </is>
      </c>
      <c r="K1484" s="23" t="inlineStr">
        <is>
          <t>Maya Chen, Owner Project Controls</t>
        </is>
      </c>
      <c r="L1484" s="23" t="inlineStr"/>
      <c r="M1484" s="23" t="inlineStr"/>
      <c r="N1484" s="14" t="inlineStr">
        <is>
          <t>10 EVIDENCE &amp; DECISIONS</t>
        </is>
      </c>
    </row>
    <row r="1485" ht="34" customHeight="1">
      <c r="A1485" s="23" t="inlineStr">
        <is>
          <t>Contractor Programme</t>
        </is>
      </c>
      <c r="B1485" s="23" t="inlineStr">
        <is>
          <t>SCH-06-118</t>
        </is>
      </c>
      <c r="C1485" s="23" t="inlineStr">
        <is>
          <t>Program office: monthly controls cut-off - turnover</t>
        </is>
      </c>
      <c r="D1485" s="23" t="inlineStr"/>
      <c r="E1485" s="23" t="inlineStr">
        <is>
          <t>R1018-v3</t>
        </is>
      </c>
      <c r="F1485" s="23" t="inlineStr">
        <is>
          <t>UNSURE</t>
        </is>
      </c>
      <c r="G1485" s="23" t="inlineStr">
        <is>
          <t>UNSURE</t>
        </is>
      </c>
      <c r="H1485" s="23" t="inlineStr">
        <is>
          <t>RETAINED</t>
        </is>
      </c>
      <c r="I1485" s="23" t="inlineStr">
        <is>
          <t>Carried forward</t>
        </is>
      </c>
      <c r="J1485" s="23" t="inlineStr">
        <is>
          <t>Earlier professional decision, carried forward</t>
        </is>
      </c>
      <c r="K1485" s="23" t="inlineStr">
        <is>
          <t>Maya Chen, Owner Project Controls</t>
        </is>
      </c>
      <c r="L1485" s="23" t="inlineStr"/>
      <c r="M1485" s="23" t="inlineStr"/>
      <c r="N1485" s="14" t="inlineStr">
        <is>
          <t>10 EVIDENCE &amp; DECISIONS</t>
        </is>
      </c>
    </row>
    <row r="1486" ht="34" customHeight="1">
      <c r="A1486" s="23" t="inlineStr">
        <is>
          <t>Contractor Programme</t>
        </is>
      </c>
      <c r="B1486" s="23" t="inlineStr">
        <is>
          <t>SCH-06-119</t>
        </is>
      </c>
      <c r="C1486" s="23" t="inlineStr">
        <is>
          <t>Civil package: stakeholder interface meeting - release</t>
        </is>
      </c>
      <c r="D1486" s="23" t="inlineStr"/>
      <c r="E1486" s="23" t="inlineStr">
        <is>
          <t>R1019-v3</t>
        </is>
      </c>
      <c r="F1486" s="23" t="inlineStr">
        <is>
          <t>UNSURE</t>
        </is>
      </c>
      <c r="G1486" s="23" t="inlineStr">
        <is>
          <t>UNSURE</t>
        </is>
      </c>
      <c r="H1486" s="23" t="inlineStr">
        <is>
          <t>RETAINED</t>
        </is>
      </c>
      <c r="I1486" s="23" t="inlineStr">
        <is>
          <t>Carried forward</t>
        </is>
      </c>
      <c r="J1486" s="23" t="inlineStr">
        <is>
          <t>Earlier professional decision, carried forward</t>
        </is>
      </c>
      <c r="K1486" s="23" t="inlineStr">
        <is>
          <t>Maya Chen, Owner Project Controls</t>
        </is>
      </c>
      <c r="L1486" s="23" t="inlineStr"/>
      <c r="M1486" s="23" t="inlineStr"/>
      <c r="N1486" s="14" t="inlineStr">
        <is>
          <t>10 EVIDENCE &amp; DECISIONS</t>
        </is>
      </c>
    </row>
    <row r="1487" ht="34" customHeight="1">
      <c r="A1487" s="23" t="inlineStr">
        <is>
          <t>Contractor Programme</t>
        </is>
      </c>
      <c r="B1487" s="23" t="inlineStr">
        <is>
          <t>SCH-06-120</t>
        </is>
      </c>
      <c r="C1487" s="23" t="inlineStr">
        <is>
          <t>Stations package: baseline change control - field start</t>
        </is>
      </c>
      <c r="D1487" s="23" t="inlineStr"/>
      <c r="E1487" s="23" t="inlineStr">
        <is>
          <t>R1020-v3</t>
        </is>
      </c>
      <c r="F1487" s="23" t="inlineStr">
        <is>
          <t>UNSURE</t>
        </is>
      </c>
      <c r="G1487" s="23" t="inlineStr">
        <is>
          <t>UNSURE</t>
        </is>
      </c>
      <c r="H1487" s="23" t="inlineStr">
        <is>
          <t>RETAINED</t>
        </is>
      </c>
      <c r="I1487" s="23" t="inlineStr">
        <is>
          <t>Carried forward</t>
        </is>
      </c>
      <c r="J1487" s="23" t="inlineStr">
        <is>
          <t>Earlier professional decision, carried forward</t>
        </is>
      </c>
      <c r="K1487" s="23" t="inlineStr">
        <is>
          <t>Maya Chen, Owner Project Controls</t>
        </is>
      </c>
      <c r="L1487" s="23" t="inlineStr"/>
      <c r="M1487" s="23" t="inlineStr"/>
      <c r="N1487" s="14" t="inlineStr">
        <is>
          <t>10 EVIDENCE &amp; DECISIONS</t>
        </is>
      </c>
    </row>
    <row r="1488" ht="34" customHeight="1">
      <c r="A1488" s="23" t="inlineStr">
        <is>
          <t>Contractor Programme</t>
        </is>
      </c>
      <c r="B1488" s="23" t="inlineStr">
        <is>
          <t>SCH-06-121</t>
        </is>
      </c>
      <c r="C1488" s="23" t="inlineStr">
        <is>
          <t>Systems package: commercial change review - installation</t>
        </is>
      </c>
      <c r="D1488" s="23" t="inlineStr"/>
      <c r="E1488" s="23" t="inlineStr">
        <is>
          <t>R1021-v3</t>
        </is>
      </c>
      <c r="F1488" s="23" t="inlineStr">
        <is>
          <t>UNSURE</t>
        </is>
      </c>
      <c r="G1488" s="23" t="inlineStr">
        <is>
          <t>UNSURE</t>
        </is>
      </c>
      <c r="H1488" s="23" t="inlineStr">
        <is>
          <t>RETAINED</t>
        </is>
      </c>
      <c r="I1488" s="23" t="inlineStr">
        <is>
          <t>Carried forward</t>
        </is>
      </c>
      <c r="J1488" s="23" t="inlineStr">
        <is>
          <t>Earlier professional decision, carried forward</t>
        </is>
      </c>
      <c r="K1488" s="23" t="inlineStr">
        <is>
          <t>Maya Chen, Owner Project Controls</t>
        </is>
      </c>
      <c r="L1488" s="23" t="inlineStr"/>
      <c r="M1488" s="23" t="inlineStr"/>
      <c r="N1488" s="14" t="inlineStr">
        <is>
          <t>10 EVIDENCE &amp; DECISIONS</t>
        </is>
      </c>
    </row>
    <row r="1489" ht="34" customHeight="1">
      <c r="A1489" s="23" t="inlineStr">
        <is>
          <t>Contractor Programme</t>
        </is>
      </c>
      <c r="B1489" s="23" t="inlineStr">
        <is>
          <t>SCH-06-122</t>
        </is>
      </c>
      <c r="C1489" s="23" t="inlineStr">
        <is>
          <t>Fleet package: design-package integration review - inspection</t>
        </is>
      </c>
      <c r="D1489" s="23" t="inlineStr"/>
      <c r="E1489" s="23" t="inlineStr">
        <is>
          <t>R1022-v3</t>
        </is>
      </c>
      <c r="F1489" s="23" t="inlineStr">
        <is>
          <t>UNSURE</t>
        </is>
      </c>
      <c r="G1489" s="23" t="inlineStr">
        <is>
          <t>UNSURE</t>
        </is>
      </c>
      <c r="H1489" s="23" t="inlineStr">
        <is>
          <t>RETAINED</t>
        </is>
      </c>
      <c r="I1489" s="23" t="inlineStr">
        <is>
          <t>Carried forward</t>
        </is>
      </c>
      <c r="J1489" s="23" t="inlineStr">
        <is>
          <t>Earlier professional decision, carried forward</t>
        </is>
      </c>
      <c r="K1489" s="23" t="inlineStr">
        <is>
          <t>Maya Chen, Owner Project Controls</t>
        </is>
      </c>
      <c r="L1489" s="23" t="inlineStr"/>
      <c r="M1489" s="23" t="inlineStr"/>
      <c r="N1489" s="14" t="inlineStr">
        <is>
          <t>10 EVIDENCE &amp; DECISIONS</t>
        </is>
      </c>
    </row>
    <row r="1490" ht="34" customHeight="1">
      <c r="A1490" s="23" t="inlineStr">
        <is>
          <t>Contractor Programme</t>
        </is>
      </c>
      <c r="B1490" s="23" t="inlineStr">
        <is>
          <t>SCH-06-123</t>
        </is>
      </c>
      <c r="C1490" s="23" t="inlineStr">
        <is>
          <t>Program office: executive reporting close - turnover</t>
        </is>
      </c>
      <c r="D1490" s="23" t="inlineStr"/>
      <c r="E1490" s="23" t="inlineStr">
        <is>
          <t>R1023-v3</t>
        </is>
      </c>
      <c r="F1490" s="23" t="inlineStr">
        <is>
          <t>UNSURE</t>
        </is>
      </c>
      <c r="G1490" s="23" t="inlineStr">
        <is>
          <t>UNSURE</t>
        </is>
      </c>
      <c r="H1490" s="23" t="inlineStr">
        <is>
          <t>RETAINED</t>
        </is>
      </c>
      <c r="I1490" s="23" t="inlineStr">
        <is>
          <t>Carried forward</t>
        </is>
      </c>
      <c r="J1490" s="23" t="inlineStr">
        <is>
          <t>Earlier professional decision, carried forward</t>
        </is>
      </c>
      <c r="K1490" s="23" t="inlineStr">
        <is>
          <t>Maya Chen, Owner Project Controls</t>
        </is>
      </c>
      <c r="L1490" s="23" t="inlineStr"/>
      <c r="M1490" s="23" t="inlineStr"/>
      <c r="N1490" s="14" t="inlineStr">
        <is>
          <t>10 EVIDENCE &amp; DECISIONS</t>
        </is>
      </c>
    </row>
    <row r="1491" ht="34" customHeight="1">
      <c r="A1491" s="23" t="inlineStr">
        <is>
          <t>Contractor Programme</t>
        </is>
      </c>
      <c r="B1491" s="23" t="inlineStr">
        <is>
          <t>SCH-06-124</t>
        </is>
      </c>
      <c r="C1491" s="23" t="inlineStr">
        <is>
          <t>Civil package: permit coordination - release</t>
        </is>
      </c>
      <c r="D1491" s="23" t="inlineStr"/>
      <c r="E1491" s="23" t="inlineStr">
        <is>
          <t>R1024-v3</t>
        </is>
      </c>
      <c r="F1491" s="23" t="inlineStr">
        <is>
          <t>UNSURE</t>
        </is>
      </c>
      <c r="G1491" s="23" t="inlineStr">
        <is>
          <t>UNSURE</t>
        </is>
      </c>
      <c r="H1491" s="23" t="inlineStr">
        <is>
          <t>RETAINED</t>
        </is>
      </c>
      <c r="I1491" s="23" t="inlineStr">
        <is>
          <t>Carried forward</t>
        </is>
      </c>
      <c r="J1491" s="23" t="inlineStr">
        <is>
          <t>Earlier professional decision, carried forward</t>
        </is>
      </c>
      <c r="K1491" s="23" t="inlineStr">
        <is>
          <t>Maya Chen, Owner Project Controls</t>
        </is>
      </c>
      <c r="L1491" s="23" t="inlineStr"/>
      <c r="M1491" s="23" t="inlineStr"/>
      <c r="N1491" s="14" t="inlineStr">
        <is>
          <t>10 EVIDENCE &amp; DECISIONS</t>
        </is>
      </c>
    </row>
    <row r="1492" ht="34" customHeight="1">
      <c r="A1492" s="23" t="inlineStr">
        <is>
          <t>Contractor Programme</t>
        </is>
      </c>
      <c r="B1492" s="23" t="inlineStr">
        <is>
          <t>SCH-06-125</t>
        </is>
      </c>
      <c r="C1492" s="23" t="inlineStr">
        <is>
          <t>Stations package: delivery risk workshop - field start</t>
        </is>
      </c>
      <c r="D1492" s="23" t="inlineStr"/>
      <c r="E1492" s="23" t="inlineStr">
        <is>
          <t>R1025-v3</t>
        </is>
      </c>
      <c r="F1492" s="23" t="inlineStr">
        <is>
          <t>UNSURE</t>
        </is>
      </c>
      <c r="G1492" s="23" t="inlineStr">
        <is>
          <t>UNSURE</t>
        </is>
      </c>
      <c r="H1492" s="23" t="inlineStr">
        <is>
          <t>RETAINED</t>
        </is>
      </c>
      <c r="I1492" s="23" t="inlineStr">
        <is>
          <t>Carried forward</t>
        </is>
      </c>
      <c r="J1492" s="23" t="inlineStr">
        <is>
          <t>Earlier professional decision, carried forward</t>
        </is>
      </c>
      <c r="K1492" s="23" t="inlineStr">
        <is>
          <t>Maya Chen, Owner Project Controls</t>
        </is>
      </c>
      <c r="L1492" s="23" t="inlineStr"/>
      <c r="M1492" s="23" t="inlineStr"/>
      <c r="N1492" s="14" t="inlineStr">
        <is>
          <t>10 EVIDENCE &amp; DECISIONS</t>
        </is>
      </c>
    </row>
    <row r="1493" ht="34" customHeight="1">
      <c r="A1493" s="23" t="inlineStr">
        <is>
          <t>Contractor Programme</t>
        </is>
      </c>
      <c r="B1493" s="23" t="inlineStr">
        <is>
          <t>SCH-06-126</t>
        </is>
      </c>
      <c r="C1493" s="23" t="inlineStr">
        <is>
          <t>Systems package: monthly controls cut-off - installation</t>
        </is>
      </c>
      <c r="D1493" s="23" t="inlineStr"/>
      <c r="E1493" s="23" t="inlineStr">
        <is>
          <t>R1026-v3</t>
        </is>
      </c>
      <c r="F1493" s="23" t="inlineStr">
        <is>
          <t>UNSURE</t>
        </is>
      </c>
      <c r="G1493" s="23" t="inlineStr">
        <is>
          <t>UNSURE</t>
        </is>
      </c>
      <c r="H1493" s="23" t="inlineStr">
        <is>
          <t>RETAINED</t>
        </is>
      </c>
      <c r="I1493" s="23" t="inlineStr">
        <is>
          <t>Carried forward</t>
        </is>
      </c>
      <c r="J1493" s="23" t="inlineStr">
        <is>
          <t>Earlier professional decision, carried forward</t>
        </is>
      </c>
      <c r="K1493" s="23" t="inlineStr">
        <is>
          <t>Maya Chen, Owner Project Controls</t>
        </is>
      </c>
      <c r="L1493" s="23" t="inlineStr"/>
      <c r="M1493" s="23" t="inlineStr"/>
      <c r="N1493" s="14" t="inlineStr">
        <is>
          <t>10 EVIDENCE &amp; DECISIONS</t>
        </is>
      </c>
    </row>
    <row r="1494" ht="34" customHeight="1">
      <c r="A1494" s="23" t="inlineStr">
        <is>
          <t>Contractor Programme</t>
        </is>
      </c>
      <c r="B1494" s="23" t="inlineStr">
        <is>
          <t>SCH-06-127</t>
        </is>
      </c>
      <c r="C1494" s="23" t="inlineStr">
        <is>
          <t>Fleet package: stakeholder interface meeting - inspection</t>
        </is>
      </c>
      <c r="D1494" s="23" t="inlineStr"/>
      <c r="E1494" s="23" t="inlineStr">
        <is>
          <t>R1027-v3</t>
        </is>
      </c>
      <c r="F1494" s="23" t="inlineStr">
        <is>
          <t>UNSURE</t>
        </is>
      </c>
      <c r="G1494" s="23" t="inlineStr">
        <is>
          <t>UNSURE</t>
        </is>
      </c>
      <c r="H1494" s="23" t="inlineStr">
        <is>
          <t>RETAINED</t>
        </is>
      </c>
      <c r="I1494" s="23" t="inlineStr">
        <is>
          <t>Carried forward</t>
        </is>
      </c>
      <c r="J1494" s="23" t="inlineStr">
        <is>
          <t>Earlier professional decision, carried forward</t>
        </is>
      </c>
      <c r="K1494" s="23" t="inlineStr">
        <is>
          <t>Maya Chen, Owner Project Controls</t>
        </is>
      </c>
      <c r="L1494" s="23" t="inlineStr"/>
      <c r="M1494" s="23" t="inlineStr"/>
      <c r="N1494" s="14" t="inlineStr">
        <is>
          <t>10 EVIDENCE &amp; DECISIONS</t>
        </is>
      </c>
    </row>
    <row r="1495" ht="34" customHeight="1">
      <c r="A1495" s="23" t="inlineStr">
        <is>
          <t>Contractor Programme</t>
        </is>
      </c>
      <c r="B1495" s="23" t="inlineStr">
        <is>
          <t>SCH-06-128</t>
        </is>
      </c>
      <c r="C1495" s="23" t="inlineStr">
        <is>
          <t>Program office: baseline change control - turnover</t>
        </is>
      </c>
      <c r="D1495" s="23" t="inlineStr"/>
      <c r="E1495" s="23" t="inlineStr">
        <is>
          <t>R1028-v3</t>
        </is>
      </c>
      <c r="F1495" s="23" t="inlineStr">
        <is>
          <t>UNSURE</t>
        </is>
      </c>
      <c r="G1495" s="23" t="inlineStr">
        <is>
          <t>UNSURE</t>
        </is>
      </c>
      <c r="H1495" s="23" t="inlineStr">
        <is>
          <t>RETAINED</t>
        </is>
      </c>
      <c r="I1495" s="23" t="inlineStr">
        <is>
          <t>Carried forward</t>
        </is>
      </c>
      <c r="J1495" s="23" t="inlineStr">
        <is>
          <t>Earlier professional decision, carried forward</t>
        </is>
      </c>
      <c r="K1495" s="23" t="inlineStr">
        <is>
          <t>Maya Chen, Owner Project Controls</t>
        </is>
      </c>
      <c r="L1495" s="23" t="inlineStr"/>
      <c r="M1495" s="23" t="inlineStr"/>
      <c r="N1495" s="14" t="inlineStr">
        <is>
          <t>10 EVIDENCE &amp; DECISIONS</t>
        </is>
      </c>
    </row>
    <row r="1496" ht="34" customHeight="1">
      <c r="A1496" s="23" t="inlineStr">
        <is>
          <t>Contractor Programme</t>
        </is>
      </c>
      <c r="B1496" s="23" t="inlineStr">
        <is>
          <t>SCH-06-129</t>
        </is>
      </c>
      <c r="C1496" s="23" t="inlineStr">
        <is>
          <t>Civil package: commercial change review - release</t>
        </is>
      </c>
      <c r="D1496" s="23" t="inlineStr"/>
      <c r="E1496" s="23" t="inlineStr">
        <is>
          <t>R1029-v3</t>
        </is>
      </c>
      <c r="F1496" s="23" t="inlineStr">
        <is>
          <t>UNSURE</t>
        </is>
      </c>
      <c r="G1496" s="23" t="inlineStr">
        <is>
          <t>UNSURE</t>
        </is>
      </c>
      <c r="H1496" s="23" t="inlineStr">
        <is>
          <t>RETAINED</t>
        </is>
      </c>
      <c r="I1496" s="23" t="inlineStr">
        <is>
          <t>Carried forward</t>
        </is>
      </c>
      <c r="J1496" s="23" t="inlineStr">
        <is>
          <t>Earlier professional decision, carried forward</t>
        </is>
      </c>
      <c r="K1496" s="23" t="inlineStr">
        <is>
          <t>Maya Chen, Owner Project Controls</t>
        </is>
      </c>
      <c r="L1496" s="23" t="inlineStr"/>
      <c r="M1496" s="23" t="inlineStr"/>
      <c r="N1496" s="14" t="inlineStr">
        <is>
          <t>10 EVIDENCE &amp; DECISIONS</t>
        </is>
      </c>
    </row>
    <row r="1497" ht="34" customHeight="1">
      <c r="A1497" s="23" t="inlineStr">
        <is>
          <t>Contractor Programme</t>
        </is>
      </c>
      <c r="B1497" s="23" t="inlineStr">
        <is>
          <t>SCH-06-130</t>
        </is>
      </c>
      <c r="C1497" s="23" t="inlineStr">
        <is>
          <t>Stations package: design-package integration review - field start</t>
        </is>
      </c>
      <c r="D1497" s="23" t="inlineStr"/>
      <c r="E1497" s="23" t="inlineStr">
        <is>
          <t>R1030-v3</t>
        </is>
      </c>
      <c r="F1497" s="23" t="inlineStr">
        <is>
          <t>UNSURE</t>
        </is>
      </c>
      <c r="G1497" s="23" t="inlineStr">
        <is>
          <t>UNSURE</t>
        </is>
      </c>
      <c r="H1497" s="23" t="inlineStr">
        <is>
          <t>RETAINED</t>
        </is>
      </c>
      <c r="I1497" s="23" t="inlineStr">
        <is>
          <t>Carried forward</t>
        </is>
      </c>
      <c r="J1497" s="23" t="inlineStr">
        <is>
          <t>Earlier professional decision, carried forward</t>
        </is>
      </c>
      <c r="K1497" s="23" t="inlineStr">
        <is>
          <t>Maya Chen, Owner Project Controls</t>
        </is>
      </c>
      <c r="L1497" s="23" t="inlineStr"/>
      <c r="M1497" s="23" t="inlineStr"/>
      <c r="N1497" s="14" t="inlineStr">
        <is>
          <t>10 EVIDENCE &amp; DECISIONS</t>
        </is>
      </c>
    </row>
    <row r="1498" ht="34" customHeight="1">
      <c r="A1498" s="23" t="inlineStr">
        <is>
          <t>Contractor Programme</t>
        </is>
      </c>
      <c r="B1498" s="23" t="inlineStr">
        <is>
          <t>SCH-06-131</t>
        </is>
      </c>
      <c r="C1498" s="23" t="inlineStr">
        <is>
          <t>Systems package: executive reporting close - installation</t>
        </is>
      </c>
      <c r="D1498" s="23" t="inlineStr"/>
      <c r="E1498" s="23" t="inlineStr">
        <is>
          <t>R1031-v3</t>
        </is>
      </c>
      <c r="F1498" s="23" t="inlineStr">
        <is>
          <t>UNSURE</t>
        </is>
      </c>
      <c r="G1498" s="23" t="inlineStr">
        <is>
          <t>UNSURE</t>
        </is>
      </c>
      <c r="H1498" s="23" t="inlineStr">
        <is>
          <t>RETAINED</t>
        </is>
      </c>
      <c r="I1498" s="23" t="inlineStr">
        <is>
          <t>Carried forward</t>
        </is>
      </c>
      <c r="J1498" s="23" t="inlineStr">
        <is>
          <t>Earlier professional decision, carried forward</t>
        </is>
      </c>
      <c r="K1498" s="23" t="inlineStr">
        <is>
          <t>Maya Chen, Owner Project Controls</t>
        </is>
      </c>
      <c r="L1498" s="23" t="inlineStr"/>
      <c r="M1498" s="23" t="inlineStr"/>
      <c r="N1498" s="14" t="inlineStr">
        <is>
          <t>10 EVIDENCE &amp; DECISIONS</t>
        </is>
      </c>
    </row>
    <row r="1499" ht="34" customHeight="1">
      <c r="A1499" s="23" t="inlineStr">
        <is>
          <t>Contractor Programme</t>
        </is>
      </c>
      <c r="B1499" s="23" t="inlineStr">
        <is>
          <t>SCH-06-132</t>
        </is>
      </c>
      <c r="C1499" s="23" t="inlineStr">
        <is>
          <t>Fleet package: permit coordination - inspection</t>
        </is>
      </c>
      <c r="D1499" s="23" t="inlineStr"/>
      <c r="E1499" s="23" t="inlineStr">
        <is>
          <t>R1032-v3</t>
        </is>
      </c>
      <c r="F1499" s="23" t="inlineStr">
        <is>
          <t>UNSURE</t>
        </is>
      </c>
      <c r="G1499" s="23" t="inlineStr">
        <is>
          <t>UNSURE</t>
        </is>
      </c>
      <c r="H1499" s="23" t="inlineStr">
        <is>
          <t>RETAINED</t>
        </is>
      </c>
      <c r="I1499" s="23" t="inlineStr">
        <is>
          <t>Carried forward</t>
        </is>
      </c>
      <c r="J1499" s="23" t="inlineStr">
        <is>
          <t>Earlier professional decision, carried forward</t>
        </is>
      </c>
      <c r="K1499" s="23" t="inlineStr">
        <is>
          <t>Maya Chen, Owner Project Controls</t>
        </is>
      </c>
      <c r="L1499" s="23" t="inlineStr"/>
      <c r="M1499" s="23" t="inlineStr"/>
      <c r="N1499" s="14" t="inlineStr">
        <is>
          <t>10 EVIDENCE &amp; DECISIONS</t>
        </is>
      </c>
    </row>
    <row r="1500" ht="34" customHeight="1">
      <c r="A1500" s="23" t="inlineStr">
        <is>
          <t>Contractor Programme</t>
        </is>
      </c>
      <c r="B1500" s="23" t="inlineStr">
        <is>
          <t>SCH-06-133</t>
        </is>
      </c>
      <c r="C1500" s="23" t="inlineStr">
        <is>
          <t>Program office: delivery risk workshop - turnover</t>
        </is>
      </c>
      <c r="D1500" s="23" t="inlineStr"/>
      <c r="E1500" s="23" t="inlineStr">
        <is>
          <t>R1033-v3</t>
        </is>
      </c>
      <c r="F1500" s="23" t="inlineStr">
        <is>
          <t>UNSURE</t>
        </is>
      </c>
      <c r="G1500" s="23" t="inlineStr">
        <is>
          <t>UNSURE</t>
        </is>
      </c>
      <c r="H1500" s="23" t="inlineStr">
        <is>
          <t>RETAINED</t>
        </is>
      </c>
      <c r="I1500" s="23" t="inlineStr">
        <is>
          <t>Carried forward</t>
        </is>
      </c>
      <c r="J1500" s="23" t="inlineStr">
        <is>
          <t>Earlier professional decision, carried forward</t>
        </is>
      </c>
      <c r="K1500" s="23" t="inlineStr">
        <is>
          <t>Maya Chen, Owner Project Controls</t>
        </is>
      </c>
      <c r="L1500" s="23" t="inlineStr"/>
      <c r="M1500" s="23" t="inlineStr"/>
      <c r="N1500" s="14" t="inlineStr">
        <is>
          <t>10 EVIDENCE &amp; DECISIONS</t>
        </is>
      </c>
    </row>
    <row r="1501" ht="34" customHeight="1">
      <c r="A1501" s="23" t="inlineStr">
        <is>
          <t>Contractor Programme</t>
        </is>
      </c>
      <c r="B1501" s="23" t="inlineStr">
        <is>
          <t>SCH-06-134</t>
        </is>
      </c>
      <c r="C1501" s="23" t="inlineStr">
        <is>
          <t>Civil package: monthly controls cut-off - release</t>
        </is>
      </c>
      <c r="D1501" s="23" t="inlineStr"/>
      <c r="E1501" s="23" t="inlineStr">
        <is>
          <t>R1034-v3</t>
        </is>
      </c>
      <c r="F1501" s="23" t="inlineStr">
        <is>
          <t>UNSURE</t>
        </is>
      </c>
      <c r="G1501" s="23" t="inlineStr">
        <is>
          <t>UNSURE</t>
        </is>
      </c>
      <c r="H1501" s="23" t="inlineStr">
        <is>
          <t>RETAINED</t>
        </is>
      </c>
      <c r="I1501" s="23" t="inlineStr">
        <is>
          <t>Carried forward</t>
        </is>
      </c>
      <c r="J1501" s="23" t="inlineStr">
        <is>
          <t>Earlier professional decision, carried forward</t>
        </is>
      </c>
      <c r="K1501" s="23" t="inlineStr">
        <is>
          <t>Maya Chen, Owner Project Controls</t>
        </is>
      </c>
      <c r="L1501" s="23" t="inlineStr"/>
      <c r="M1501" s="23" t="inlineStr"/>
      <c r="N1501" s="14" t="inlineStr">
        <is>
          <t>10 EVIDENCE &amp; DECISIONS</t>
        </is>
      </c>
    </row>
    <row r="1502" ht="34" customHeight="1">
      <c r="A1502" s="23" t="inlineStr">
        <is>
          <t>Contractor Programme</t>
        </is>
      </c>
      <c r="B1502" s="23" t="inlineStr">
        <is>
          <t>SCH-06-135</t>
        </is>
      </c>
      <c r="C1502" s="23" t="inlineStr">
        <is>
          <t>Stations package: stakeholder interface meeting - field start</t>
        </is>
      </c>
      <c r="D1502" s="23" t="inlineStr"/>
      <c r="E1502" s="23" t="inlineStr">
        <is>
          <t>R1035-v3</t>
        </is>
      </c>
      <c r="F1502" s="23" t="inlineStr">
        <is>
          <t>UNSURE</t>
        </is>
      </c>
      <c r="G1502" s="23" t="inlineStr">
        <is>
          <t>UNSURE</t>
        </is>
      </c>
      <c r="H1502" s="23" t="inlineStr">
        <is>
          <t>RETAINED</t>
        </is>
      </c>
      <c r="I1502" s="23" t="inlineStr">
        <is>
          <t>Carried forward</t>
        </is>
      </c>
      <c r="J1502" s="23" t="inlineStr">
        <is>
          <t>Earlier professional decision, carried forward</t>
        </is>
      </c>
      <c r="K1502" s="23" t="inlineStr">
        <is>
          <t>Maya Chen, Owner Project Controls</t>
        </is>
      </c>
      <c r="L1502" s="23" t="inlineStr"/>
      <c r="M1502" s="23" t="inlineStr"/>
      <c r="N1502" s="14" t="inlineStr">
        <is>
          <t>10 EVIDENCE &amp; DECISIONS</t>
        </is>
      </c>
    </row>
    <row r="1503" ht="34" customHeight="1">
      <c r="A1503" s="23" t="inlineStr">
        <is>
          <t>Contractor Programme</t>
        </is>
      </c>
      <c r="B1503" s="23" t="inlineStr">
        <is>
          <t>SCH-06-136</t>
        </is>
      </c>
      <c r="C1503" s="23" t="inlineStr">
        <is>
          <t>Systems package: baseline change control - installation</t>
        </is>
      </c>
      <c r="D1503" s="23" t="inlineStr"/>
      <c r="E1503" s="23" t="inlineStr">
        <is>
          <t>R1036-v3</t>
        </is>
      </c>
      <c r="F1503" s="23" t="inlineStr">
        <is>
          <t>UNSURE</t>
        </is>
      </c>
      <c r="G1503" s="23" t="inlineStr">
        <is>
          <t>UNSURE</t>
        </is>
      </c>
      <c r="H1503" s="23" t="inlineStr">
        <is>
          <t>RETAINED</t>
        </is>
      </c>
      <c r="I1503" s="23" t="inlineStr">
        <is>
          <t>Carried forward</t>
        </is>
      </c>
      <c r="J1503" s="23" t="inlineStr">
        <is>
          <t>Earlier professional decision, carried forward</t>
        </is>
      </c>
      <c r="K1503" s="23" t="inlineStr">
        <is>
          <t>Maya Chen, Owner Project Controls</t>
        </is>
      </c>
      <c r="L1503" s="23" t="inlineStr"/>
      <c r="M1503" s="23" t="inlineStr"/>
      <c r="N1503" s="14" t="inlineStr">
        <is>
          <t>10 EVIDENCE &amp; DECISIONS</t>
        </is>
      </c>
    </row>
    <row r="1504" ht="34" customHeight="1">
      <c r="A1504" s="23" t="inlineStr">
        <is>
          <t>Contractor Programme</t>
        </is>
      </c>
      <c r="B1504" s="23" t="inlineStr">
        <is>
          <t>SCH-06-137</t>
        </is>
      </c>
      <c r="C1504" s="23" t="inlineStr">
        <is>
          <t>Fleet package: commercial change review - inspection</t>
        </is>
      </c>
      <c r="D1504" s="23" t="inlineStr"/>
      <c r="E1504" s="23" t="inlineStr">
        <is>
          <t>R1037-v3</t>
        </is>
      </c>
      <c r="F1504" s="23" t="inlineStr">
        <is>
          <t>UNSURE</t>
        </is>
      </c>
      <c r="G1504" s="23" t="inlineStr">
        <is>
          <t>UNSURE</t>
        </is>
      </c>
      <c r="H1504" s="23" t="inlineStr">
        <is>
          <t>RETAINED</t>
        </is>
      </c>
      <c r="I1504" s="23" t="inlineStr">
        <is>
          <t>Carried forward</t>
        </is>
      </c>
      <c r="J1504" s="23" t="inlineStr">
        <is>
          <t>Earlier professional decision, carried forward</t>
        </is>
      </c>
      <c r="K1504" s="23" t="inlineStr">
        <is>
          <t>Maya Chen, Owner Project Controls</t>
        </is>
      </c>
      <c r="L1504" s="23" t="inlineStr"/>
      <c r="M1504" s="23" t="inlineStr"/>
      <c r="N1504" s="14" t="inlineStr">
        <is>
          <t>10 EVIDENCE &amp; DECISIONS</t>
        </is>
      </c>
    </row>
    <row r="1505" ht="34" customHeight="1">
      <c r="A1505" s="23" t="inlineStr">
        <is>
          <t>Contractor Programme</t>
        </is>
      </c>
      <c r="B1505" s="23" t="inlineStr">
        <is>
          <t>SCH-06-138</t>
        </is>
      </c>
      <c r="C1505" s="23" t="inlineStr">
        <is>
          <t>Program office: design-package integration review - turnover</t>
        </is>
      </c>
      <c r="D1505" s="23" t="inlineStr"/>
      <c r="E1505" s="23" t="inlineStr">
        <is>
          <t>R1038-v3</t>
        </is>
      </c>
      <c r="F1505" s="23" t="inlineStr">
        <is>
          <t>UNSURE</t>
        </is>
      </c>
      <c r="G1505" s="23" t="inlineStr">
        <is>
          <t>UNSURE</t>
        </is>
      </c>
      <c r="H1505" s="23" t="inlineStr">
        <is>
          <t>RETAINED</t>
        </is>
      </c>
      <c r="I1505" s="23" t="inlineStr">
        <is>
          <t>Carried forward</t>
        </is>
      </c>
      <c r="J1505" s="23" t="inlineStr">
        <is>
          <t>Earlier professional decision, carried forward</t>
        </is>
      </c>
      <c r="K1505" s="23" t="inlineStr">
        <is>
          <t>Maya Chen, Owner Project Controls</t>
        </is>
      </c>
      <c r="L1505" s="23" t="inlineStr"/>
      <c r="M1505" s="23" t="inlineStr"/>
      <c r="N1505" s="14" t="inlineStr">
        <is>
          <t>10 EVIDENCE &amp; DECISIONS</t>
        </is>
      </c>
    </row>
    <row r="1506" ht="34" customHeight="1">
      <c r="A1506" s="23" t="inlineStr">
        <is>
          <t>Contractor Programme</t>
        </is>
      </c>
      <c r="B1506" s="23" t="inlineStr">
        <is>
          <t>SCH-06-139</t>
        </is>
      </c>
      <c r="C1506" s="23" t="inlineStr">
        <is>
          <t>Civil package: executive reporting close - release</t>
        </is>
      </c>
      <c r="D1506" s="23" t="inlineStr"/>
      <c r="E1506" s="23" t="inlineStr">
        <is>
          <t>R1039-v3</t>
        </is>
      </c>
      <c r="F1506" s="23" t="inlineStr">
        <is>
          <t>UNSURE</t>
        </is>
      </c>
      <c r="G1506" s="23" t="inlineStr">
        <is>
          <t>UNSURE</t>
        </is>
      </c>
      <c r="H1506" s="23" t="inlineStr">
        <is>
          <t>RETAINED</t>
        </is>
      </c>
      <c r="I1506" s="23" t="inlineStr">
        <is>
          <t>Carried forward</t>
        </is>
      </c>
      <c r="J1506" s="23" t="inlineStr">
        <is>
          <t>Earlier professional decision, carried forward</t>
        </is>
      </c>
      <c r="K1506" s="23" t="inlineStr">
        <is>
          <t>Maya Chen, Owner Project Controls</t>
        </is>
      </c>
      <c r="L1506" s="23" t="inlineStr"/>
      <c r="M1506" s="23" t="inlineStr"/>
      <c r="N1506" s="14" t="inlineStr">
        <is>
          <t>10 EVIDENCE &amp; DECISIONS</t>
        </is>
      </c>
    </row>
    <row r="1507" ht="34" customHeight="1">
      <c r="A1507" s="23" t="inlineStr">
        <is>
          <t>Contractor Programme</t>
        </is>
      </c>
      <c r="B1507" s="23" t="inlineStr">
        <is>
          <t>SCH-06-140</t>
        </is>
      </c>
      <c r="C1507" s="23" t="inlineStr">
        <is>
          <t>Stations package: permit coordination - field start</t>
        </is>
      </c>
      <c r="D1507" s="23" t="inlineStr"/>
      <c r="E1507" s="23" t="inlineStr">
        <is>
          <t>R1040-v3</t>
        </is>
      </c>
      <c r="F1507" s="23" t="inlineStr">
        <is>
          <t>UNSURE</t>
        </is>
      </c>
      <c r="G1507" s="23" t="inlineStr">
        <is>
          <t>UNSURE</t>
        </is>
      </c>
      <c r="H1507" s="23" t="inlineStr">
        <is>
          <t>RETAINED</t>
        </is>
      </c>
      <c r="I1507" s="23" t="inlineStr">
        <is>
          <t>Carried forward</t>
        </is>
      </c>
      <c r="J1507" s="23" t="inlineStr">
        <is>
          <t>Earlier professional decision, carried forward</t>
        </is>
      </c>
      <c r="K1507" s="23" t="inlineStr">
        <is>
          <t>Maya Chen, Owner Project Controls</t>
        </is>
      </c>
      <c r="L1507" s="23" t="inlineStr"/>
      <c r="M1507" s="23" t="inlineStr"/>
      <c r="N1507" s="14" t="inlineStr">
        <is>
          <t>10 EVIDENCE &amp; DECISIONS</t>
        </is>
      </c>
    </row>
    <row r="1508" ht="34" customHeight="1">
      <c r="A1508" s="23" t="inlineStr">
        <is>
          <t>Contractor Programme</t>
        </is>
      </c>
      <c r="B1508" s="23" t="inlineStr">
        <is>
          <t>SCH-06-141</t>
        </is>
      </c>
      <c r="C1508" s="23" t="inlineStr">
        <is>
          <t>Systems package: delivery risk workshop - installation</t>
        </is>
      </c>
      <c r="D1508" s="23" t="inlineStr"/>
      <c r="E1508" s="23" t="inlineStr">
        <is>
          <t>R1041-v3</t>
        </is>
      </c>
      <c r="F1508" s="23" t="inlineStr">
        <is>
          <t>UNSURE</t>
        </is>
      </c>
      <c r="G1508" s="23" t="inlineStr">
        <is>
          <t>UNSURE</t>
        </is>
      </c>
      <c r="H1508" s="23" t="inlineStr">
        <is>
          <t>RETAINED</t>
        </is>
      </c>
      <c r="I1508" s="23" t="inlineStr">
        <is>
          <t>Carried forward</t>
        </is>
      </c>
      <c r="J1508" s="23" t="inlineStr">
        <is>
          <t>Earlier professional decision, carried forward</t>
        </is>
      </c>
      <c r="K1508" s="23" t="inlineStr">
        <is>
          <t>Maya Chen, Owner Project Controls</t>
        </is>
      </c>
      <c r="L1508" s="23" t="inlineStr"/>
      <c r="M1508" s="23" t="inlineStr"/>
      <c r="N1508" s="14" t="inlineStr">
        <is>
          <t>10 EVIDENCE &amp; DECISIONS</t>
        </is>
      </c>
    </row>
    <row r="1509" ht="34" customHeight="1">
      <c r="A1509" s="23" t="inlineStr">
        <is>
          <t>Contractor Programme</t>
        </is>
      </c>
      <c r="B1509" s="23" t="inlineStr">
        <is>
          <t>SCH-06-142</t>
        </is>
      </c>
      <c r="C1509" s="23" t="inlineStr">
        <is>
          <t>Fleet package: monthly controls cut-off - inspection</t>
        </is>
      </c>
      <c r="D1509" s="23" t="inlineStr"/>
      <c r="E1509" s="23" t="inlineStr">
        <is>
          <t>R1042-v3</t>
        </is>
      </c>
      <c r="F1509" s="23" t="inlineStr">
        <is>
          <t>UNSURE</t>
        </is>
      </c>
      <c r="G1509" s="23" t="inlineStr">
        <is>
          <t>UNSURE</t>
        </is>
      </c>
      <c r="H1509" s="23" t="inlineStr">
        <is>
          <t>RETAINED</t>
        </is>
      </c>
      <c r="I1509" s="23" t="inlineStr">
        <is>
          <t>Carried forward</t>
        </is>
      </c>
      <c r="J1509" s="23" t="inlineStr">
        <is>
          <t>Earlier professional decision, carried forward</t>
        </is>
      </c>
      <c r="K1509" s="23" t="inlineStr">
        <is>
          <t>Maya Chen, Owner Project Controls</t>
        </is>
      </c>
      <c r="L1509" s="23" t="inlineStr"/>
      <c r="M1509" s="23" t="inlineStr"/>
      <c r="N1509" s="14" t="inlineStr">
        <is>
          <t>10 EVIDENCE &amp; DECISIONS</t>
        </is>
      </c>
    </row>
    <row r="1510" ht="34" customHeight="1">
      <c r="A1510" s="23" t="inlineStr">
        <is>
          <t>Contractor Programme</t>
        </is>
      </c>
      <c r="B1510" s="23" t="inlineStr">
        <is>
          <t>SCH-06-143</t>
        </is>
      </c>
      <c r="C1510" s="23" t="inlineStr">
        <is>
          <t>Program office: stakeholder interface meeting - turnover</t>
        </is>
      </c>
      <c r="D1510" s="23" t="inlineStr"/>
      <c r="E1510" s="23" t="inlineStr">
        <is>
          <t>R1043-v3</t>
        </is>
      </c>
      <c r="F1510" s="23" t="inlineStr">
        <is>
          <t>UNSURE</t>
        </is>
      </c>
      <c r="G1510" s="23" t="inlineStr">
        <is>
          <t>UNSURE</t>
        </is>
      </c>
      <c r="H1510" s="23" t="inlineStr">
        <is>
          <t>RETAINED</t>
        </is>
      </c>
      <c r="I1510" s="23" t="inlineStr">
        <is>
          <t>Carried forward</t>
        </is>
      </c>
      <c r="J1510" s="23" t="inlineStr">
        <is>
          <t>Earlier professional decision, carried forward</t>
        </is>
      </c>
      <c r="K1510" s="23" t="inlineStr">
        <is>
          <t>Maya Chen, Owner Project Controls</t>
        </is>
      </c>
      <c r="L1510" s="23" t="inlineStr"/>
      <c r="M1510" s="23" t="inlineStr"/>
      <c r="N1510" s="14" t="inlineStr">
        <is>
          <t>10 EVIDENCE &amp; DECISIONS</t>
        </is>
      </c>
    </row>
    <row r="1511" ht="34" customHeight="1">
      <c r="A1511" s="23" t="inlineStr">
        <is>
          <t>Contractor Programme</t>
        </is>
      </c>
      <c r="B1511" s="23" t="inlineStr">
        <is>
          <t>SCH-06-144</t>
        </is>
      </c>
      <c r="C1511" s="23" t="inlineStr">
        <is>
          <t>Civil package: baseline change control - release</t>
        </is>
      </c>
      <c r="D1511" s="23" t="inlineStr"/>
      <c r="E1511" s="23" t="inlineStr">
        <is>
          <t>R1044-v3</t>
        </is>
      </c>
      <c r="F1511" s="23" t="inlineStr">
        <is>
          <t>UNSURE</t>
        </is>
      </c>
      <c r="G1511" s="23" t="inlineStr">
        <is>
          <t>UNSURE</t>
        </is>
      </c>
      <c r="H1511" s="23" t="inlineStr">
        <is>
          <t>RETAINED</t>
        </is>
      </c>
      <c r="I1511" s="23" t="inlineStr">
        <is>
          <t>Carried forward</t>
        </is>
      </c>
      <c r="J1511" s="23" t="inlineStr">
        <is>
          <t>Earlier professional decision, carried forward</t>
        </is>
      </c>
      <c r="K1511" s="23" t="inlineStr">
        <is>
          <t>Maya Chen, Owner Project Controls</t>
        </is>
      </c>
      <c r="L1511" s="23" t="inlineStr"/>
      <c r="M1511" s="23" t="inlineStr"/>
      <c r="N1511" s="14" t="inlineStr">
        <is>
          <t>10 EVIDENCE &amp; DECISIONS</t>
        </is>
      </c>
    </row>
    <row r="1512" ht="34" customHeight="1">
      <c r="A1512" s="23" t="inlineStr">
        <is>
          <t>Contractor Programme</t>
        </is>
      </c>
      <c r="B1512" s="23" t="inlineStr">
        <is>
          <t>SCH-06-145</t>
        </is>
      </c>
      <c r="C1512" s="23" t="inlineStr">
        <is>
          <t>Stations package: commercial change review - field start</t>
        </is>
      </c>
      <c r="D1512" s="23" t="inlineStr"/>
      <c r="E1512" s="23" t="inlineStr">
        <is>
          <t>R1045-v3</t>
        </is>
      </c>
      <c r="F1512" s="23" t="inlineStr">
        <is>
          <t>UNSURE</t>
        </is>
      </c>
      <c r="G1512" s="23" t="inlineStr">
        <is>
          <t>UNSURE</t>
        </is>
      </c>
      <c r="H1512" s="23" t="inlineStr">
        <is>
          <t>RETAINED</t>
        </is>
      </c>
      <c r="I1512" s="23" t="inlineStr">
        <is>
          <t>Carried forward</t>
        </is>
      </c>
      <c r="J1512" s="23" t="inlineStr">
        <is>
          <t>Earlier professional decision, carried forward</t>
        </is>
      </c>
      <c r="K1512" s="23" t="inlineStr">
        <is>
          <t>Maya Chen, Owner Project Controls</t>
        </is>
      </c>
      <c r="L1512" s="23" t="inlineStr"/>
      <c r="M1512" s="23" t="inlineStr"/>
      <c r="N1512" s="14" t="inlineStr">
        <is>
          <t>10 EVIDENCE &amp; DECISIONS</t>
        </is>
      </c>
    </row>
    <row r="1513" ht="34" customHeight="1">
      <c r="A1513" s="23" t="inlineStr">
        <is>
          <t>Contractor Programme</t>
        </is>
      </c>
      <c r="B1513" s="23" t="inlineStr">
        <is>
          <t>SCH-06-146</t>
        </is>
      </c>
      <c r="C1513" s="23" t="inlineStr">
        <is>
          <t>Systems package: design-package integration review - installation</t>
        </is>
      </c>
      <c r="D1513" s="23" t="inlineStr"/>
      <c r="E1513" s="23" t="inlineStr">
        <is>
          <t>R1046-v3</t>
        </is>
      </c>
      <c r="F1513" s="23" t="inlineStr">
        <is>
          <t>UNSURE</t>
        </is>
      </c>
      <c r="G1513" s="23" t="inlineStr">
        <is>
          <t>UNSURE</t>
        </is>
      </c>
      <c r="H1513" s="23" t="inlineStr">
        <is>
          <t>RETAINED</t>
        </is>
      </c>
      <c r="I1513" s="23" t="inlineStr">
        <is>
          <t>Carried forward</t>
        </is>
      </c>
      <c r="J1513" s="23" t="inlineStr">
        <is>
          <t>Earlier professional decision, carried forward</t>
        </is>
      </c>
      <c r="K1513" s="23" t="inlineStr">
        <is>
          <t>Maya Chen, Owner Project Controls</t>
        </is>
      </c>
      <c r="L1513" s="23" t="inlineStr"/>
      <c r="M1513" s="23" t="inlineStr"/>
      <c r="N1513" s="14" t="inlineStr">
        <is>
          <t>10 EVIDENCE &amp; DECISIONS</t>
        </is>
      </c>
    </row>
    <row r="1514" ht="34" customHeight="1">
      <c r="A1514" s="23" t="inlineStr">
        <is>
          <t>Contractor Programme</t>
        </is>
      </c>
      <c r="B1514" s="23" t="inlineStr">
        <is>
          <t>SCH-06-147</t>
        </is>
      </c>
      <c r="C1514" s="23" t="inlineStr">
        <is>
          <t>Fleet package: executive reporting close - inspection</t>
        </is>
      </c>
      <c r="D1514" s="23" t="inlineStr"/>
      <c r="E1514" s="23" t="inlineStr">
        <is>
          <t>R1047-v3</t>
        </is>
      </c>
      <c r="F1514" s="23" t="inlineStr">
        <is>
          <t>UNSURE</t>
        </is>
      </c>
      <c r="G1514" s="23" t="inlineStr">
        <is>
          <t>UNSURE</t>
        </is>
      </c>
      <c r="H1514" s="23" t="inlineStr">
        <is>
          <t>RETAINED</t>
        </is>
      </c>
      <c r="I1514" s="23" t="inlineStr">
        <is>
          <t>Carried forward</t>
        </is>
      </c>
      <c r="J1514" s="23" t="inlineStr">
        <is>
          <t>Earlier professional decision, carried forward</t>
        </is>
      </c>
      <c r="K1514" s="23" t="inlineStr">
        <is>
          <t>Maya Chen, Owner Project Controls</t>
        </is>
      </c>
      <c r="L1514" s="23" t="inlineStr"/>
      <c r="M1514" s="23" t="inlineStr"/>
      <c r="N1514" s="14" t="inlineStr">
        <is>
          <t>10 EVIDENCE &amp; DECISIONS</t>
        </is>
      </c>
    </row>
    <row r="1515" ht="34" customHeight="1">
      <c r="A1515" s="23" t="inlineStr">
        <is>
          <t>Contractor Programme</t>
        </is>
      </c>
      <c r="B1515" s="23" t="inlineStr">
        <is>
          <t>SCH-06-148</t>
        </is>
      </c>
      <c r="C1515" s="23" t="inlineStr">
        <is>
          <t>Program office: permit coordination - turnover</t>
        </is>
      </c>
      <c r="D1515" s="23" t="inlineStr"/>
      <c r="E1515" s="23" t="inlineStr">
        <is>
          <t>R1048-v3</t>
        </is>
      </c>
      <c r="F1515" s="23" t="inlineStr">
        <is>
          <t>UNSURE</t>
        </is>
      </c>
      <c r="G1515" s="23" t="inlineStr">
        <is>
          <t>UNSURE</t>
        </is>
      </c>
      <c r="H1515" s="23" t="inlineStr">
        <is>
          <t>RETAINED</t>
        </is>
      </c>
      <c r="I1515" s="23" t="inlineStr">
        <is>
          <t>Carried forward</t>
        </is>
      </c>
      <c r="J1515" s="23" t="inlineStr">
        <is>
          <t>Earlier professional decision, carried forward</t>
        </is>
      </c>
      <c r="K1515" s="23" t="inlineStr">
        <is>
          <t>Maya Chen, Owner Project Controls</t>
        </is>
      </c>
      <c r="L1515" s="23" t="inlineStr"/>
      <c r="M1515" s="23" t="inlineStr"/>
      <c r="N1515" s="14" t="inlineStr">
        <is>
          <t>10 EVIDENCE &amp; DECISIONS</t>
        </is>
      </c>
    </row>
    <row r="1516" ht="34" customHeight="1">
      <c r="A1516" s="23" t="inlineStr">
        <is>
          <t>Contractor Programme</t>
        </is>
      </c>
      <c r="B1516" s="23" t="inlineStr">
        <is>
          <t>SCH-06-149</t>
        </is>
      </c>
      <c r="C1516" s="23" t="inlineStr">
        <is>
          <t>Civil package: delivery risk workshop - release</t>
        </is>
      </c>
      <c r="D1516" s="23" t="inlineStr"/>
      <c r="E1516" s="23" t="inlineStr">
        <is>
          <t>R1049-v3</t>
        </is>
      </c>
      <c r="F1516" s="23" t="inlineStr">
        <is>
          <t>UNSURE</t>
        </is>
      </c>
      <c r="G1516" s="23" t="inlineStr">
        <is>
          <t>UNSURE</t>
        </is>
      </c>
      <c r="H1516" s="23" t="inlineStr">
        <is>
          <t>RETAINED</t>
        </is>
      </c>
      <c r="I1516" s="23" t="inlineStr">
        <is>
          <t>Carried forward</t>
        </is>
      </c>
      <c r="J1516" s="23" t="inlineStr">
        <is>
          <t>Earlier professional decision, carried forward</t>
        </is>
      </c>
      <c r="K1516" s="23" t="inlineStr">
        <is>
          <t>Maya Chen, Owner Project Controls</t>
        </is>
      </c>
      <c r="L1516" s="23" t="inlineStr"/>
      <c r="M1516" s="23" t="inlineStr"/>
      <c r="N1516" s="14" t="inlineStr">
        <is>
          <t>10 EVIDENCE &amp; DECISIONS</t>
        </is>
      </c>
    </row>
    <row r="1517" ht="34" customHeight="1">
      <c r="A1517" s="23" t="inlineStr">
        <is>
          <t>Contractor Programme</t>
        </is>
      </c>
      <c r="B1517" s="23" t="inlineStr">
        <is>
          <t>SCH-06-150</t>
        </is>
      </c>
      <c r="C1517" s="23" t="inlineStr">
        <is>
          <t>Stations package: monthly controls cut-off - field start</t>
        </is>
      </c>
      <c r="D1517" s="23" t="inlineStr"/>
      <c r="E1517" s="23" t="inlineStr">
        <is>
          <t>R1050-v3</t>
        </is>
      </c>
      <c r="F1517" s="23" t="inlineStr">
        <is>
          <t>UNSURE</t>
        </is>
      </c>
      <c r="G1517" s="23" t="inlineStr">
        <is>
          <t>UNSURE</t>
        </is>
      </c>
      <c r="H1517" s="23" t="inlineStr">
        <is>
          <t>RETAINED</t>
        </is>
      </c>
      <c r="I1517" s="23" t="inlineStr">
        <is>
          <t>Carried forward</t>
        </is>
      </c>
      <c r="J1517" s="23" t="inlineStr">
        <is>
          <t>Earlier professional decision, carried forward</t>
        </is>
      </c>
      <c r="K1517" s="23" t="inlineStr">
        <is>
          <t>Maya Chen, Owner Project Controls</t>
        </is>
      </c>
      <c r="L1517" s="23" t="inlineStr"/>
      <c r="M1517" s="23" t="inlineStr"/>
      <c r="N1517" s="14" t="inlineStr">
        <is>
          <t>10 EVIDENCE &amp; DECISIONS</t>
        </is>
      </c>
    </row>
    <row r="1518" ht="34" customHeight="1">
      <c r="A1518" s="23" t="inlineStr">
        <is>
          <t>Contractor Programme</t>
        </is>
      </c>
      <c r="B1518" s="23" t="inlineStr">
        <is>
          <t>SCH-06-151</t>
        </is>
      </c>
      <c r="C1518" s="23" t="inlineStr">
        <is>
          <t>Systems package: stakeholder interface meeting - installation</t>
        </is>
      </c>
      <c r="D1518" s="23" t="inlineStr"/>
      <c r="E1518" s="23" t="inlineStr">
        <is>
          <t>R1051-v3</t>
        </is>
      </c>
      <c r="F1518" s="23" t="inlineStr">
        <is>
          <t>UNSURE</t>
        </is>
      </c>
      <c r="G1518" s="23" t="inlineStr">
        <is>
          <t>UNSURE</t>
        </is>
      </c>
      <c r="H1518" s="23" t="inlineStr">
        <is>
          <t>RETAINED</t>
        </is>
      </c>
      <c r="I1518" s="23" t="inlineStr">
        <is>
          <t>Carried forward</t>
        </is>
      </c>
      <c r="J1518" s="23" t="inlineStr">
        <is>
          <t>Earlier professional decision, carried forward</t>
        </is>
      </c>
      <c r="K1518" s="23" t="inlineStr">
        <is>
          <t>Maya Chen, Owner Project Controls</t>
        </is>
      </c>
      <c r="L1518" s="23" t="inlineStr"/>
      <c r="M1518" s="23" t="inlineStr"/>
      <c r="N1518" s="14" t="inlineStr">
        <is>
          <t>10 EVIDENCE &amp; DECISIONS</t>
        </is>
      </c>
    </row>
    <row r="1519" ht="34" customHeight="1">
      <c r="A1519" s="23" t="inlineStr">
        <is>
          <t>Contractor Programme</t>
        </is>
      </c>
      <c r="B1519" s="23" t="inlineStr">
        <is>
          <t>SCH-06-152</t>
        </is>
      </c>
      <c r="C1519" s="23" t="inlineStr">
        <is>
          <t>Fleet package: baseline change control - inspection</t>
        </is>
      </c>
      <c r="D1519" s="23" t="inlineStr"/>
      <c r="E1519" s="23" t="inlineStr">
        <is>
          <t>R1052-v3</t>
        </is>
      </c>
      <c r="F1519" s="23" t="inlineStr">
        <is>
          <t>UNSURE</t>
        </is>
      </c>
      <c r="G1519" s="23" t="inlineStr">
        <is>
          <t>UNSURE</t>
        </is>
      </c>
      <c r="H1519" s="23" t="inlineStr">
        <is>
          <t>RETAINED</t>
        </is>
      </c>
      <c r="I1519" s="23" t="inlineStr">
        <is>
          <t>Carried forward</t>
        </is>
      </c>
      <c r="J1519" s="23" t="inlineStr">
        <is>
          <t>Earlier professional decision, carried forward</t>
        </is>
      </c>
      <c r="K1519" s="23" t="inlineStr">
        <is>
          <t>Maya Chen, Owner Project Controls</t>
        </is>
      </c>
      <c r="L1519" s="23" t="inlineStr"/>
      <c r="M1519" s="23" t="inlineStr"/>
      <c r="N1519" s="14" t="inlineStr">
        <is>
          <t>10 EVIDENCE &amp; DECISIONS</t>
        </is>
      </c>
    </row>
    <row r="1520" ht="34" customHeight="1">
      <c r="A1520" s="23" t="inlineStr">
        <is>
          <t>Contractor Programme</t>
        </is>
      </c>
      <c r="B1520" s="23" t="inlineStr">
        <is>
          <t>SCH-06-153</t>
        </is>
      </c>
      <c r="C1520" s="23" t="inlineStr">
        <is>
          <t>Program office: commercial change review - turnover</t>
        </is>
      </c>
      <c r="D1520" s="23" t="inlineStr"/>
      <c r="E1520" s="23" t="inlineStr">
        <is>
          <t>R1053-v3</t>
        </is>
      </c>
      <c r="F1520" s="23" t="inlineStr">
        <is>
          <t>UNSURE</t>
        </is>
      </c>
      <c r="G1520" s="23" t="inlineStr">
        <is>
          <t>UNSURE</t>
        </is>
      </c>
      <c r="H1520" s="23" t="inlineStr">
        <is>
          <t>RETAINED</t>
        </is>
      </c>
      <c r="I1520" s="23" t="inlineStr">
        <is>
          <t>Carried forward</t>
        </is>
      </c>
      <c r="J1520" s="23" t="inlineStr">
        <is>
          <t>Earlier professional decision, carried forward</t>
        </is>
      </c>
      <c r="K1520" s="23" t="inlineStr">
        <is>
          <t>Maya Chen, Owner Project Controls</t>
        </is>
      </c>
      <c r="L1520" s="23" t="inlineStr"/>
      <c r="M1520" s="23" t="inlineStr"/>
      <c r="N1520" s="14" t="inlineStr">
        <is>
          <t>10 EVIDENCE &amp; DECISIONS</t>
        </is>
      </c>
    </row>
    <row r="1521" ht="34" customHeight="1">
      <c r="A1521" s="23" t="inlineStr">
        <is>
          <t>Contractor Programme</t>
        </is>
      </c>
      <c r="B1521" s="23" t="inlineStr">
        <is>
          <t>SCH-06-154</t>
        </is>
      </c>
      <c r="C1521" s="23" t="inlineStr">
        <is>
          <t>Civil package: design-package integration review - release</t>
        </is>
      </c>
      <c r="D1521" s="23" t="inlineStr"/>
      <c r="E1521" s="23" t="inlineStr">
        <is>
          <t>R1054-v3</t>
        </is>
      </c>
      <c r="F1521" s="23" t="inlineStr">
        <is>
          <t>UNSURE</t>
        </is>
      </c>
      <c r="G1521" s="23" t="inlineStr">
        <is>
          <t>UNSURE</t>
        </is>
      </c>
      <c r="H1521" s="23" t="inlineStr">
        <is>
          <t>RETAINED</t>
        </is>
      </c>
      <c r="I1521" s="23" t="inlineStr">
        <is>
          <t>Carried forward</t>
        </is>
      </c>
      <c r="J1521" s="23" t="inlineStr">
        <is>
          <t>Earlier professional decision, carried forward</t>
        </is>
      </c>
      <c r="K1521" s="23" t="inlineStr">
        <is>
          <t>Maya Chen, Owner Project Controls</t>
        </is>
      </c>
      <c r="L1521" s="23" t="inlineStr"/>
      <c r="M1521" s="23" t="inlineStr"/>
      <c r="N1521" s="14" t="inlineStr">
        <is>
          <t>10 EVIDENCE &amp; DECISIONS</t>
        </is>
      </c>
    </row>
    <row r="1522" ht="34" customHeight="1">
      <c r="A1522" s="23" t="inlineStr">
        <is>
          <t>Contractor Programme</t>
        </is>
      </c>
      <c r="B1522" s="23" t="inlineStr">
        <is>
          <t>SCH-06-155</t>
        </is>
      </c>
      <c r="C1522" s="23" t="inlineStr">
        <is>
          <t>Stations package: executive reporting close - field start</t>
        </is>
      </c>
      <c r="D1522" s="23" t="inlineStr"/>
      <c r="E1522" s="23" t="inlineStr">
        <is>
          <t>R1055-v3</t>
        </is>
      </c>
      <c r="F1522" s="23" t="inlineStr">
        <is>
          <t>UNSURE</t>
        </is>
      </c>
      <c r="G1522" s="23" t="inlineStr">
        <is>
          <t>UNSURE</t>
        </is>
      </c>
      <c r="H1522" s="23" t="inlineStr">
        <is>
          <t>RETAINED</t>
        </is>
      </c>
      <c r="I1522" s="23" t="inlineStr">
        <is>
          <t>Carried forward</t>
        </is>
      </c>
      <c r="J1522" s="23" t="inlineStr">
        <is>
          <t>Earlier professional decision, carried forward</t>
        </is>
      </c>
      <c r="K1522" s="23" t="inlineStr">
        <is>
          <t>Maya Chen, Owner Project Controls</t>
        </is>
      </c>
      <c r="L1522" s="23" t="inlineStr"/>
      <c r="M1522" s="23" t="inlineStr"/>
      <c r="N1522" s="14" t="inlineStr">
        <is>
          <t>10 EVIDENCE &amp; DECISIONS</t>
        </is>
      </c>
    </row>
    <row r="1523" ht="34" customHeight="1">
      <c r="A1523" s="23" t="inlineStr">
        <is>
          <t>Contractor Programme</t>
        </is>
      </c>
      <c r="B1523" s="23" t="inlineStr">
        <is>
          <t>SCH-06-156</t>
        </is>
      </c>
      <c r="C1523" s="23" t="inlineStr">
        <is>
          <t>Systems package: permit coordination - installation</t>
        </is>
      </c>
      <c r="D1523" s="23" t="inlineStr"/>
      <c r="E1523" s="23" t="inlineStr">
        <is>
          <t>R1056-v3</t>
        </is>
      </c>
      <c r="F1523" s="23" t="inlineStr">
        <is>
          <t>UNSURE</t>
        </is>
      </c>
      <c r="G1523" s="23" t="inlineStr">
        <is>
          <t>UNSURE</t>
        </is>
      </c>
      <c r="H1523" s="23" t="inlineStr">
        <is>
          <t>RETAINED</t>
        </is>
      </c>
      <c r="I1523" s="23" t="inlineStr">
        <is>
          <t>Carried forward</t>
        </is>
      </c>
      <c r="J1523" s="23" t="inlineStr">
        <is>
          <t>Earlier professional decision, carried forward</t>
        </is>
      </c>
      <c r="K1523" s="23" t="inlineStr">
        <is>
          <t>Maya Chen, Owner Project Controls</t>
        </is>
      </c>
      <c r="L1523" s="23" t="inlineStr"/>
      <c r="M1523" s="23" t="inlineStr"/>
      <c r="N1523" s="14" t="inlineStr">
        <is>
          <t>10 EVIDENCE &amp; DECISIONS</t>
        </is>
      </c>
    </row>
    <row r="1524" ht="34" customHeight="1">
      <c r="A1524" s="23" t="inlineStr">
        <is>
          <t>Contractor Programme</t>
        </is>
      </c>
      <c r="B1524" s="23" t="inlineStr">
        <is>
          <t>SCH-06-157</t>
        </is>
      </c>
      <c r="C1524" s="23" t="inlineStr">
        <is>
          <t>Fleet package: delivery risk workshop - inspection</t>
        </is>
      </c>
      <c r="D1524" s="23" t="inlineStr"/>
      <c r="E1524" s="23" t="inlineStr">
        <is>
          <t>R1057-v3</t>
        </is>
      </c>
      <c r="F1524" s="23" t="inlineStr">
        <is>
          <t>UNSURE</t>
        </is>
      </c>
      <c r="G1524" s="23" t="inlineStr">
        <is>
          <t>UNSURE</t>
        </is>
      </c>
      <c r="H1524" s="23" t="inlineStr">
        <is>
          <t>RETAINED</t>
        </is>
      </c>
      <c r="I1524" s="23" t="inlineStr">
        <is>
          <t>Carried forward</t>
        </is>
      </c>
      <c r="J1524" s="23" t="inlineStr">
        <is>
          <t>Earlier professional decision, carried forward</t>
        </is>
      </c>
      <c r="K1524" s="23" t="inlineStr">
        <is>
          <t>Maya Chen, Owner Project Controls</t>
        </is>
      </c>
      <c r="L1524" s="23" t="inlineStr"/>
      <c r="M1524" s="23" t="inlineStr"/>
      <c r="N1524" s="14" t="inlineStr">
        <is>
          <t>10 EVIDENCE &amp; DECISIONS</t>
        </is>
      </c>
    </row>
    <row r="1525" ht="34" customHeight="1">
      <c r="A1525" s="23" t="inlineStr">
        <is>
          <t>Contractor Programme</t>
        </is>
      </c>
      <c r="B1525" s="23" t="inlineStr">
        <is>
          <t>SCH-06-158</t>
        </is>
      </c>
      <c r="C1525" s="23" t="inlineStr">
        <is>
          <t>Program office: monthly controls cut-off - turnover</t>
        </is>
      </c>
      <c r="D1525" s="23" t="inlineStr"/>
      <c r="E1525" s="23" t="inlineStr">
        <is>
          <t>R1058-v3</t>
        </is>
      </c>
      <c r="F1525" s="23" t="inlineStr">
        <is>
          <t>UNSURE</t>
        </is>
      </c>
      <c r="G1525" s="23" t="inlineStr">
        <is>
          <t>UNSURE</t>
        </is>
      </c>
      <c r="H1525" s="23" t="inlineStr">
        <is>
          <t>RETAINED</t>
        </is>
      </c>
      <c r="I1525" s="23" t="inlineStr">
        <is>
          <t>Carried forward</t>
        </is>
      </c>
      <c r="J1525" s="23" t="inlineStr">
        <is>
          <t>Earlier professional decision, carried forward</t>
        </is>
      </c>
      <c r="K1525" s="23" t="inlineStr">
        <is>
          <t>Maya Chen, Owner Project Controls</t>
        </is>
      </c>
      <c r="L1525" s="23" t="inlineStr"/>
      <c r="M1525" s="23" t="inlineStr"/>
      <c r="N1525" s="14" t="inlineStr">
        <is>
          <t>10 EVIDENCE &amp; DECISIONS</t>
        </is>
      </c>
    </row>
    <row r="1526" ht="34" customHeight="1">
      <c r="A1526" s="23" t="inlineStr">
        <is>
          <t>Contractor Programme</t>
        </is>
      </c>
      <c r="B1526" s="23" t="inlineStr">
        <is>
          <t>SCH-06-159</t>
        </is>
      </c>
      <c r="C1526" s="23" t="inlineStr">
        <is>
          <t>Civil package: stakeholder interface meeting - release</t>
        </is>
      </c>
      <c r="D1526" s="23" t="inlineStr"/>
      <c r="E1526" s="23" t="inlineStr">
        <is>
          <t>R1059-v3</t>
        </is>
      </c>
      <c r="F1526" s="23" t="inlineStr">
        <is>
          <t>UNSURE</t>
        </is>
      </c>
      <c r="G1526" s="23" t="inlineStr">
        <is>
          <t>UNSURE</t>
        </is>
      </c>
      <c r="H1526" s="23" t="inlineStr">
        <is>
          <t>RETAINED</t>
        </is>
      </c>
      <c r="I1526" s="23" t="inlineStr">
        <is>
          <t>Carried forward</t>
        </is>
      </c>
      <c r="J1526" s="23" t="inlineStr">
        <is>
          <t>Earlier professional decision, carried forward</t>
        </is>
      </c>
      <c r="K1526" s="23" t="inlineStr">
        <is>
          <t>Maya Chen, Owner Project Controls</t>
        </is>
      </c>
      <c r="L1526" s="23" t="inlineStr"/>
      <c r="M1526" s="23" t="inlineStr"/>
      <c r="N1526" s="14" t="inlineStr">
        <is>
          <t>10 EVIDENCE &amp; DECISIONS</t>
        </is>
      </c>
    </row>
    <row r="1527" ht="34" customHeight="1">
      <c r="A1527" s="23" t="inlineStr">
        <is>
          <t>Contractor Programme</t>
        </is>
      </c>
      <c r="B1527" s="23" t="inlineStr">
        <is>
          <t>SCH-06-160</t>
        </is>
      </c>
      <c r="C1527" s="23" t="inlineStr">
        <is>
          <t>Stations package: baseline change control - field start</t>
        </is>
      </c>
      <c r="D1527" s="23" t="inlineStr"/>
      <c r="E1527" s="23" t="inlineStr">
        <is>
          <t>R1060-v3</t>
        </is>
      </c>
      <c r="F1527" s="23" t="inlineStr">
        <is>
          <t>UNSURE</t>
        </is>
      </c>
      <c r="G1527" s="23" t="inlineStr">
        <is>
          <t>UNSURE</t>
        </is>
      </c>
      <c r="H1527" s="23" t="inlineStr">
        <is>
          <t>RETAINED</t>
        </is>
      </c>
      <c r="I1527" s="23" t="inlineStr">
        <is>
          <t>Carried forward</t>
        </is>
      </c>
      <c r="J1527" s="23" t="inlineStr">
        <is>
          <t>Earlier professional decision, carried forward</t>
        </is>
      </c>
      <c r="K1527" s="23" t="inlineStr">
        <is>
          <t>Maya Chen, Owner Project Controls</t>
        </is>
      </c>
      <c r="L1527" s="23" t="inlineStr"/>
      <c r="M1527" s="23" t="inlineStr"/>
      <c r="N1527" s="14" t="inlineStr">
        <is>
          <t>10 EVIDENCE &amp; DECISIONS</t>
        </is>
      </c>
    </row>
    <row r="1528" ht="34" customHeight="1">
      <c r="A1528" s="23" t="inlineStr">
        <is>
          <t>Contractor Programme</t>
        </is>
      </c>
      <c r="B1528" s="23" t="inlineStr">
        <is>
          <t>SCH-06-161</t>
        </is>
      </c>
      <c r="C1528" s="23" t="inlineStr">
        <is>
          <t>Systems package: commercial change review - installation</t>
        </is>
      </c>
      <c r="D1528" s="23" t="inlineStr"/>
      <c r="E1528" s="23" t="inlineStr">
        <is>
          <t>R1061-v3</t>
        </is>
      </c>
      <c r="F1528" s="23" t="inlineStr">
        <is>
          <t>UNSURE</t>
        </is>
      </c>
      <c r="G1528" s="23" t="inlineStr">
        <is>
          <t>UNSURE</t>
        </is>
      </c>
      <c r="H1528" s="23" t="inlineStr">
        <is>
          <t>RETAINED</t>
        </is>
      </c>
      <c r="I1528" s="23" t="inlineStr">
        <is>
          <t>Carried forward</t>
        </is>
      </c>
      <c r="J1528" s="23" t="inlineStr">
        <is>
          <t>Earlier professional decision, carried forward</t>
        </is>
      </c>
      <c r="K1528" s="23" t="inlineStr">
        <is>
          <t>Maya Chen, Owner Project Controls</t>
        </is>
      </c>
      <c r="L1528" s="23" t="inlineStr"/>
      <c r="M1528" s="23" t="inlineStr"/>
      <c r="N1528" s="14" t="inlineStr">
        <is>
          <t>10 EVIDENCE &amp; DECISIONS</t>
        </is>
      </c>
    </row>
    <row r="1529" ht="34" customHeight="1">
      <c r="A1529" s="23" t="inlineStr">
        <is>
          <t>Contractor Programme</t>
        </is>
      </c>
      <c r="B1529" s="23" t="inlineStr">
        <is>
          <t>SCH-06-162</t>
        </is>
      </c>
      <c r="C1529" s="23" t="inlineStr">
        <is>
          <t>Fleet package: design-package integration review - inspection</t>
        </is>
      </c>
      <c r="D1529" s="23" t="inlineStr"/>
      <c r="E1529" s="23" t="inlineStr">
        <is>
          <t>R1062-v3</t>
        </is>
      </c>
      <c r="F1529" s="23" t="inlineStr">
        <is>
          <t>UNSURE</t>
        </is>
      </c>
      <c r="G1529" s="23" t="inlineStr">
        <is>
          <t>UNSURE</t>
        </is>
      </c>
      <c r="H1529" s="23" t="inlineStr">
        <is>
          <t>RETAINED</t>
        </is>
      </c>
      <c r="I1529" s="23" t="inlineStr">
        <is>
          <t>Carried forward</t>
        </is>
      </c>
      <c r="J1529" s="23" t="inlineStr">
        <is>
          <t>Earlier professional decision, carried forward</t>
        </is>
      </c>
      <c r="K1529" s="23" t="inlineStr">
        <is>
          <t>Maya Chen, Owner Project Controls</t>
        </is>
      </c>
      <c r="L1529" s="23" t="inlineStr"/>
      <c r="M1529" s="23" t="inlineStr"/>
      <c r="N1529" s="14" t="inlineStr">
        <is>
          <t>10 EVIDENCE &amp; DECISIONS</t>
        </is>
      </c>
    </row>
    <row r="1530" ht="34" customHeight="1">
      <c r="A1530" s="23" t="inlineStr">
        <is>
          <t>Contractor Programme</t>
        </is>
      </c>
      <c r="B1530" s="23" t="inlineStr">
        <is>
          <t>SCH-06-163</t>
        </is>
      </c>
      <c r="C1530" s="23" t="inlineStr">
        <is>
          <t>Program office: executive reporting close - turnover</t>
        </is>
      </c>
      <c r="D1530" s="23" t="inlineStr"/>
      <c r="E1530" s="23" t="inlineStr">
        <is>
          <t>R1063-v3</t>
        </is>
      </c>
      <c r="F1530" s="23" t="inlineStr">
        <is>
          <t>UNSURE</t>
        </is>
      </c>
      <c r="G1530" s="23" t="inlineStr">
        <is>
          <t>UNSURE</t>
        </is>
      </c>
      <c r="H1530" s="23" t="inlineStr">
        <is>
          <t>RETAINED</t>
        </is>
      </c>
      <c r="I1530" s="23" t="inlineStr">
        <is>
          <t>Carried forward</t>
        </is>
      </c>
      <c r="J1530" s="23" t="inlineStr">
        <is>
          <t>Earlier professional decision, carried forward</t>
        </is>
      </c>
      <c r="K1530" s="23" t="inlineStr">
        <is>
          <t>Maya Chen, Owner Project Controls</t>
        </is>
      </c>
      <c r="L1530" s="23" t="inlineStr"/>
      <c r="M1530" s="23" t="inlineStr"/>
      <c r="N1530" s="14" t="inlineStr">
        <is>
          <t>10 EVIDENCE &amp; DECISIONS</t>
        </is>
      </c>
    </row>
    <row r="1531" ht="34" customHeight="1">
      <c r="A1531" s="23" t="inlineStr">
        <is>
          <t>Contractor Programme</t>
        </is>
      </c>
      <c r="B1531" s="23" t="inlineStr">
        <is>
          <t>SCH-06-164</t>
        </is>
      </c>
      <c r="C1531" s="23" t="inlineStr">
        <is>
          <t>Civil package: permit coordination - release</t>
        </is>
      </c>
      <c r="D1531" s="23" t="inlineStr"/>
      <c r="E1531" s="23" t="inlineStr">
        <is>
          <t>R1064-v3</t>
        </is>
      </c>
      <c r="F1531" s="23" t="inlineStr">
        <is>
          <t>UNSURE</t>
        </is>
      </c>
      <c r="G1531" s="23" t="inlineStr">
        <is>
          <t>UNSURE</t>
        </is>
      </c>
      <c r="H1531" s="23" t="inlineStr">
        <is>
          <t>RETAINED</t>
        </is>
      </c>
      <c r="I1531" s="23" t="inlineStr">
        <is>
          <t>Carried forward</t>
        </is>
      </c>
      <c r="J1531" s="23" t="inlineStr">
        <is>
          <t>Earlier professional decision, carried forward</t>
        </is>
      </c>
      <c r="K1531" s="23" t="inlineStr">
        <is>
          <t>Maya Chen, Owner Project Controls</t>
        </is>
      </c>
      <c r="L1531" s="23" t="inlineStr"/>
      <c r="M1531" s="23" t="inlineStr"/>
      <c r="N1531" s="14" t="inlineStr">
        <is>
          <t>10 EVIDENCE &amp; DECISIONS</t>
        </is>
      </c>
    </row>
    <row r="1532" ht="34" customHeight="1">
      <c r="A1532" s="23" t="inlineStr">
        <is>
          <t>Contractor Programme</t>
        </is>
      </c>
      <c r="B1532" s="23" t="inlineStr">
        <is>
          <t>SCH-06-165</t>
        </is>
      </c>
      <c r="C1532" s="23" t="inlineStr">
        <is>
          <t>Stations package: delivery risk workshop - field start</t>
        </is>
      </c>
      <c r="D1532" s="23" t="inlineStr"/>
      <c r="E1532" s="23" t="inlineStr">
        <is>
          <t>R1065-v3</t>
        </is>
      </c>
      <c r="F1532" s="23" t="inlineStr">
        <is>
          <t>UNSURE</t>
        </is>
      </c>
      <c r="G1532" s="23" t="inlineStr">
        <is>
          <t>UNSURE</t>
        </is>
      </c>
      <c r="H1532" s="23" t="inlineStr">
        <is>
          <t>RETAINED</t>
        </is>
      </c>
      <c r="I1532" s="23" t="inlineStr">
        <is>
          <t>Carried forward</t>
        </is>
      </c>
      <c r="J1532" s="23" t="inlineStr">
        <is>
          <t>Earlier professional decision, carried forward</t>
        </is>
      </c>
      <c r="K1532" s="23" t="inlineStr">
        <is>
          <t>Maya Chen, Owner Project Controls</t>
        </is>
      </c>
      <c r="L1532" s="23" t="inlineStr"/>
      <c r="M1532" s="23" t="inlineStr"/>
      <c r="N1532" s="14" t="inlineStr">
        <is>
          <t>10 EVIDENCE &amp; DECISIONS</t>
        </is>
      </c>
    </row>
    <row r="1533" ht="34" customHeight="1">
      <c r="A1533" s="23" t="inlineStr">
        <is>
          <t>Contractor Programme</t>
        </is>
      </c>
      <c r="B1533" s="23" t="inlineStr">
        <is>
          <t>SCH-06-166</t>
        </is>
      </c>
      <c r="C1533" s="23" t="inlineStr">
        <is>
          <t>Systems package: monthly controls cut-off - installation</t>
        </is>
      </c>
      <c r="D1533" s="23" t="inlineStr"/>
      <c r="E1533" s="23" t="inlineStr">
        <is>
          <t>R1066-v3</t>
        </is>
      </c>
      <c r="F1533" s="23" t="inlineStr">
        <is>
          <t>UNSURE</t>
        </is>
      </c>
      <c r="G1533" s="23" t="inlineStr">
        <is>
          <t>UNSURE</t>
        </is>
      </c>
      <c r="H1533" s="23" t="inlineStr">
        <is>
          <t>RETAINED</t>
        </is>
      </c>
      <c r="I1533" s="23" t="inlineStr">
        <is>
          <t>Carried forward</t>
        </is>
      </c>
      <c r="J1533" s="23" t="inlineStr">
        <is>
          <t>Earlier professional decision, carried forward</t>
        </is>
      </c>
      <c r="K1533" s="23" t="inlineStr">
        <is>
          <t>Maya Chen, Owner Project Controls</t>
        </is>
      </c>
      <c r="L1533" s="23" t="inlineStr"/>
      <c r="M1533" s="23" t="inlineStr"/>
      <c r="N1533" s="14" t="inlineStr">
        <is>
          <t>10 EVIDENCE &amp; DECISIONS</t>
        </is>
      </c>
    </row>
    <row r="1534" ht="34" customHeight="1">
      <c r="A1534" s="23" t="inlineStr">
        <is>
          <t>Contractor Programme</t>
        </is>
      </c>
      <c r="B1534" s="23" t="inlineStr">
        <is>
          <t>SCH-06-167</t>
        </is>
      </c>
      <c r="C1534" s="23" t="inlineStr">
        <is>
          <t>Fleet package: stakeholder interface meeting - inspection</t>
        </is>
      </c>
      <c r="D1534" s="23" t="inlineStr"/>
      <c r="E1534" s="23" t="inlineStr">
        <is>
          <t>R1067-v3</t>
        </is>
      </c>
      <c r="F1534" s="23" t="inlineStr">
        <is>
          <t>UNSURE</t>
        </is>
      </c>
      <c r="G1534" s="23" t="inlineStr">
        <is>
          <t>UNSURE</t>
        </is>
      </c>
      <c r="H1534" s="23" t="inlineStr">
        <is>
          <t>RETAINED</t>
        </is>
      </c>
      <c r="I1534" s="23" t="inlineStr">
        <is>
          <t>Carried forward</t>
        </is>
      </c>
      <c r="J1534" s="23" t="inlineStr">
        <is>
          <t>Earlier professional decision, carried forward</t>
        </is>
      </c>
      <c r="K1534" s="23" t="inlineStr">
        <is>
          <t>Maya Chen, Owner Project Controls</t>
        </is>
      </c>
      <c r="L1534" s="23" t="inlineStr"/>
      <c r="M1534" s="23" t="inlineStr"/>
      <c r="N1534" s="14" t="inlineStr">
        <is>
          <t>10 EVIDENCE &amp; DECISIONS</t>
        </is>
      </c>
    </row>
    <row r="1535" ht="34" customHeight="1">
      <c r="A1535" s="23" t="inlineStr">
        <is>
          <t>Contractor Programme</t>
        </is>
      </c>
      <c r="B1535" s="23" t="inlineStr">
        <is>
          <t>SCH-06-168</t>
        </is>
      </c>
      <c r="C1535" s="23" t="inlineStr">
        <is>
          <t>Program office: baseline change control - turnover</t>
        </is>
      </c>
      <c r="D1535" s="23" t="inlineStr"/>
      <c r="E1535" s="23" t="inlineStr">
        <is>
          <t>R1068-v3</t>
        </is>
      </c>
      <c r="F1535" s="23" t="inlineStr">
        <is>
          <t>UNSURE</t>
        </is>
      </c>
      <c r="G1535" s="23" t="inlineStr">
        <is>
          <t>UNSURE</t>
        </is>
      </c>
      <c r="H1535" s="23" t="inlineStr">
        <is>
          <t>RETAINED</t>
        </is>
      </c>
      <c r="I1535" s="23" t="inlineStr">
        <is>
          <t>Carried forward</t>
        </is>
      </c>
      <c r="J1535" s="23" t="inlineStr">
        <is>
          <t>Earlier professional decision, carried forward</t>
        </is>
      </c>
      <c r="K1535" s="23" t="inlineStr">
        <is>
          <t>Maya Chen, Owner Project Controls</t>
        </is>
      </c>
      <c r="L1535" s="23" t="inlineStr"/>
      <c r="M1535" s="23" t="inlineStr"/>
      <c r="N1535" s="14" t="inlineStr">
        <is>
          <t>10 EVIDENCE &amp; DECISIONS</t>
        </is>
      </c>
    </row>
    <row r="1536" ht="34" customHeight="1">
      <c r="A1536" s="23" t="inlineStr">
        <is>
          <t>Contractor Programme</t>
        </is>
      </c>
      <c r="B1536" s="23" t="inlineStr">
        <is>
          <t>SCH-06-169</t>
        </is>
      </c>
      <c r="C1536" s="23" t="inlineStr">
        <is>
          <t>Civil package: commercial change review - release</t>
        </is>
      </c>
      <c r="D1536" s="23" t="inlineStr"/>
      <c r="E1536" s="23" t="inlineStr">
        <is>
          <t>R1069-v3</t>
        </is>
      </c>
      <c r="F1536" s="23" t="inlineStr">
        <is>
          <t>UNSURE</t>
        </is>
      </c>
      <c r="G1536" s="23" t="inlineStr">
        <is>
          <t>UNSURE</t>
        </is>
      </c>
      <c r="H1536" s="23" t="inlineStr">
        <is>
          <t>RETAINED</t>
        </is>
      </c>
      <c r="I1536" s="23" t="inlineStr">
        <is>
          <t>Carried forward</t>
        </is>
      </c>
      <c r="J1536" s="23" t="inlineStr">
        <is>
          <t>Earlier professional decision, carried forward</t>
        </is>
      </c>
      <c r="K1536" s="23" t="inlineStr">
        <is>
          <t>Maya Chen, Owner Project Controls</t>
        </is>
      </c>
      <c r="L1536" s="23" t="inlineStr"/>
      <c r="M1536" s="23" t="inlineStr"/>
      <c r="N1536" s="14" t="inlineStr">
        <is>
          <t>10 EVIDENCE &amp; DECISIONS</t>
        </is>
      </c>
    </row>
    <row r="1537" ht="34" customHeight="1">
      <c r="A1537" s="23" t="inlineStr">
        <is>
          <t>Contractor Programme</t>
        </is>
      </c>
      <c r="B1537" s="23" t="inlineStr">
        <is>
          <t>SCH-06-170</t>
        </is>
      </c>
      <c r="C1537" s="23" t="inlineStr">
        <is>
          <t>Stations package: design-package integration review - field start</t>
        </is>
      </c>
      <c r="D1537" s="23" t="inlineStr"/>
      <c r="E1537" s="23" t="inlineStr">
        <is>
          <t>R1070-v3</t>
        </is>
      </c>
      <c r="F1537" s="23" t="inlineStr">
        <is>
          <t>UNSURE</t>
        </is>
      </c>
      <c r="G1537" s="23" t="inlineStr">
        <is>
          <t>UNSURE</t>
        </is>
      </c>
      <c r="H1537" s="23" t="inlineStr">
        <is>
          <t>RETAINED</t>
        </is>
      </c>
      <c r="I1537" s="23" t="inlineStr">
        <is>
          <t>Carried forward</t>
        </is>
      </c>
      <c r="J1537" s="23" t="inlineStr">
        <is>
          <t>Earlier professional decision, carried forward</t>
        </is>
      </c>
      <c r="K1537" s="23" t="inlineStr">
        <is>
          <t>Maya Chen, Owner Project Controls</t>
        </is>
      </c>
      <c r="L1537" s="23" t="inlineStr"/>
      <c r="M1537" s="23" t="inlineStr"/>
      <c r="N1537" s="14" t="inlineStr">
        <is>
          <t>10 EVIDENCE &amp; DECISIONS</t>
        </is>
      </c>
    </row>
    <row r="1538" ht="34" customHeight="1">
      <c r="A1538" s="23" t="inlineStr">
        <is>
          <t>Contractor Programme</t>
        </is>
      </c>
      <c r="B1538" s="23" t="inlineStr">
        <is>
          <t>SCH-06-171</t>
        </is>
      </c>
      <c r="C1538" s="23" t="inlineStr">
        <is>
          <t>Systems package: executive reporting close - installation</t>
        </is>
      </c>
      <c r="D1538" s="23" t="inlineStr"/>
      <c r="E1538" s="23" t="inlineStr">
        <is>
          <t>R1071-v3</t>
        </is>
      </c>
      <c r="F1538" s="23" t="inlineStr">
        <is>
          <t>UNSURE</t>
        </is>
      </c>
      <c r="G1538" s="23" t="inlineStr">
        <is>
          <t>UNSURE</t>
        </is>
      </c>
      <c r="H1538" s="23" t="inlineStr">
        <is>
          <t>RETAINED</t>
        </is>
      </c>
      <c r="I1538" s="23" t="inlineStr">
        <is>
          <t>Carried forward</t>
        </is>
      </c>
      <c r="J1538" s="23" t="inlineStr">
        <is>
          <t>Earlier professional decision, carried forward</t>
        </is>
      </c>
      <c r="K1538" s="23" t="inlineStr">
        <is>
          <t>Maya Chen, Owner Project Controls</t>
        </is>
      </c>
      <c r="L1538" s="23" t="inlineStr"/>
      <c r="M1538" s="23" t="inlineStr"/>
      <c r="N1538" s="14" t="inlineStr">
        <is>
          <t>10 EVIDENCE &amp; DECISIONS</t>
        </is>
      </c>
    </row>
    <row r="1539" ht="34" customHeight="1">
      <c r="A1539" s="23" t="inlineStr">
        <is>
          <t>Contractor Programme</t>
        </is>
      </c>
      <c r="B1539" s="23" t="inlineStr">
        <is>
          <t>SCH-06-172</t>
        </is>
      </c>
      <c r="C1539" s="23" t="inlineStr">
        <is>
          <t>Fleet package: permit coordination - inspection</t>
        </is>
      </c>
      <c r="D1539" s="23" t="inlineStr"/>
      <c r="E1539" s="23" t="inlineStr">
        <is>
          <t>R1072-v3</t>
        </is>
      </c>
      <c r="F1539" s="23" t="inlineStr">
        <is>
          <t>UNSURE</t>
        </is>
      </c>
      <c r="G1539" s="23" t="inlineStr">
        <is>
          <t>UNSURE</t>
        </is>
      </c>
      <c r="H1539" s="23" t="inlineStr">
        <is>
          <t>RETAINED</t>
        </is>
      </c>
      <c r="I1539" s="23" t="inlineStr">
        <is>
          <t>Carried forward</t>
        </is>
      </c>
      <c r="J1539" s="23" t="inlineStr">
        <is>
          <t>Earlier professional decision, carried forward</t>
        </is>
      </c>
      <c r="K1539" s="23" t="inlineStr">
        <is>
          <t>Maya Chen, Owner Project Controls</t>
        </is>
      </c>
      <c r="L1539" s="23" t="inlineStr"/>
      <c r="M1539" s="23" t="inlineStr"/>
      <c r="N1539" s="14" t="inlineStr">
        <is>
          <t>10 EVIDENCE &amp; DECISIONS</t>
        </is>
      </c>
    </row>
    <row r="1540" ht="34" customHeight="1">
      <c r="A1540" s="23" t="inlineStr">
        <is>
          <t>Contractor Programme</t>
        </is>
      </c>
      <c r="B1540" s="23" t="inlineStr">
        <is>
          <t>SCH-06-173</t>
        </is>
      </c>
      <c r="C1540" s="23" t="inlineStr">
        <is>
          <t>Program office: delivery risk workshop - turnover</t>
        </is>
      </c>
      <c r="D1540" s="23" t="inlineStr"/>
      <c r="E1540" s="23" t="inlineStr">
        <is>
          <t>R1073-v3</t>
        </is>
      </c>
      <c r="F1540" s="23" t="inlineStr">
        <is>
          <t>UNSURE</t>
        </is>
      </c>
      <c r="G1540" s="23" t="inlineStr">
        <is>
          <t>UNSURE</t>
        </is>
      </c>
      <c r="H1540" s="23" t="inlineStr">
        <is>
          <t>RETAINED</t>
        </is>
      </c>
      <c r="I1540" s="23" t="inlineStr">
        <is>
          <t>Carried forward</t>
        </is>
      </c>
      <c r="J1540" s="23" t="inlineStr">
        <is>
          <t>Earlier professional decision, carried forward</t>
        </is>
      </c>
      <c r="K1540" s="23" t="inlineStr">
        <is>
          <t>Maya Chen, Owner Project Controls</t>
        </is>
      </c>
      <c r="L1540" s="23" t="inlineStr"/>
      <c r="M1540" s="23" t="inlineStr"/>
      <c r="N1540" s="14" t="inlineStr">
        <is>
          <t>10 EVIDENCE &amp; DECISIONS</t>
        </is>
      </c>
    </row>
    <row r="1541" ht="34" customHeight="1">
      <c r="A1541" s="23" t="inlineStr">
        <is>
          <t>Contractor Programme</t>
        </is>
      </c>
      <c r="B1541" s="23" t="inlineStr">
        <is>
          <t>SCH-06-174</t>
        </is>
      </c>
      <c r="C1541" s="23" t="inlineStr">
        <is>
          <t>Civil package: monthly controls cut-off - release</t>
        </is>
      </c>
      <c r="D1541" s="23" t="inlineStr"/>
      <c r="E1541" s="23" t="inlineStr">
        <is>
          <t>R1074-v3</t>
        </is>
      </c>
      <c r="F1541" s="23" t="inlineStr">
        <is>
          <t>UNSURE</t>
        </is>
      </c>
      <c r="G1541" s="23" t="inlineStr">
        <is>
          <t>UNSURE</t>
        </is>
      </c>
      <c r="H1541" s="23" t="inlineStr">
        <is>
          <t>RETAINED</t>
        </is>
      </c>
      <c r="I1541" s="23" t="inlineStr">
        <is>
          <t>Carried forward</t>
        </is>
      </c>
      <c r="J1541" s="23" t="inlineStr">
        <is>
          <t>Earlier professional decision, carried forward</t>
        </is>
      </c>
      <c r="K1541" s="23" t="inlineStr">
        <is>
          <t>Maya Chen, Owner Project Controls</t>
        </is>
      </c>
      <c r="L1541" s="23" t="inlineStr"/>
      <c r="M1541" s="23" t="inlineStr"/>
      <c r="N1541" s="14" t="inlineStr">
        <is>
          <t>10 EVIDENCE &amp; DECISIONS</t>
        </is>
      </c>
    </row>
    <row r="1542" ht="34" customHeight="1">
      <c r="A1542" s="23" t="inlineStr">
        <is>
          <t>Contractor Programme</t>
        </is>
      </c>
      <c r="B1542" s="23" t="inlineStr">
        <is>
          <t>SCH-06-175</t>
        </is>
      </c>
      <c r="C1542" s="23" t="inlineStr">
        <is>
          <t>Stations package: stakeholder interface meeting - field start</t>
        </is>
      </c>
      <c r="D1542" s="23" t="inlineStr"/>
      <c r="E1542" s="23" t="inlineStr">
        <is>
          <t>R1075-v3</t>
        </is>
      </c>
      <c r="F1542" s="23" t="inlineStr">
        <is>
          <t>UNSURE</t>
        </is>
      </c>
      <c r="G1542" s="23" t="inlineStr">
        <is>
          <t>UNSURE</t>
        </is>
      </c>
      <c r="H1542" s="23" t="inlineStr">
        <is>
          <t>RETAINED</t>
        </is>
      </c>
      <c r="I1542" s="23" t="inlineStr">
        <is>
          <t>Carried forward</t>
        </is>
      </c>
      <c r="J1542" s="23" t="inlineStr">
        <is>
          <t>Earlier professional decision, carried forward</t>
        </is>
      </c>
      <c r="K1542" s="23" t="inlineStr">
        <is>
          <t>Maya Chen, Owner Project Controls</t>
        </is>
      </c>
      <c r="L1542" s="23" t="inlineStr"/>
      <c r="M1542" s="23" t="inlineStr"/>
      <c r="N1542" s="14" t="inlineStr">
        <is>
          <t>10 EVIDENCE &amp; DECISIONS</t>
        </is>
      </c>
    </row>
    <row r="1543" ht="34" customHeight="1">
      <c r="A1543" s="23" t="inlineStr">
        <is>
          <t>Contractor Programme</t>
        </is>
      </c>
      <c r="B1543" s="23" t="inlineStr">
        <is>
          <t>SCH-06-176</t>
        </is>
      </c>
      <c r="C1543" s="23" t="inlineStr">
        <is>
          <t>Systems package: baseline change control - installation</t>
        </is>
      </c>
      <c r="D1543" s="23" t="inlineStr"/>
      <c r="E1543" s="23" t="inlineStr">
        <is>
          <t>R1076-v3</t>
        </is>
      </c>
      <c r="F1543" s="23" t="inlineStr">
        <is>
          <t>UNSURE</t>
        </is>
      </c>
      <c r="G1543" s="23" t="inlineStr">
        <is>
          <t>UNSURE</t>
        </is>
      </c>
      <c r="H1543" s="23" t="inlineStr">
        <is>
          <t>RETAINED</t>
        </is>
      </c>
      <c r="I1543" s="23" t="inlineStr">
        <is>
          <t>Carried forward</t>
        </is>
      </c>
      <c r="J1543" s="23" t="inlineStr">
        <is>
          <t>Earlier professional decision, carried forward</t>
        </is>
      </c>
      <c r="K1543" s="23" t="inlineStr">
        <is>
          <t>Maya Chen, Owner Project Controls</t>
        </is>
      </c>
      <c r="L1543" s="23" t="inlineStr"/>
      <c r="M1543" s="23" t="inlineStr"/>
      <c r="N1543" s="14" t="inlineStr">
        <is>
          <t>10 EVIDENCE &amp; DECISIONS</t>
        </is>
      </c>
    </row>
    <row r="1544" ht="34" customHeight="1">
      <c r="A1544" s="23" t="inlineStr">
        <is>
          <t>Contractor Programme</t>
        </is>
      </c>
      <c r="B1544" s="23" t="inlineStr">
        <is>
          <t>SCH-06-177</t>
        </is>
      </c>
      <c r="C1544" s="23" t="inlineStr">
        <is>
          <t>Fleet package: commercial change review - inspection</t>
        </is>
      </c>
      <c r="D1544" s="23" t="inlineStr"/>
      <c r="E1544" s="23" t="inlineStr">
        <is>
          <t>R1077-v3</t>
        </is>
      </c>
      <c r="F1544" s="23" t="inlineStr">
        <is>
          <t>UNSURE</t>
        </is>
      </c>
      <c r="G1544" s="23" t="inlineStr">
        <is>
          <t>UNSURE</t>
        </is>
      </c>
      <c r="H1544" s="23" t="inlineStr">
        <is>
          <t>RETAINED</t>
        </is>
      </c>
      <c r="I1544" s="23" t="inlineStr">
        <is>
          <t>Carried forward</t>
        </is>
      </c>
      <c r="J1544" s="23" t="inlineStr">
        <is>
          <t>Earlier professional decision, carried forward</t>
        </is>
      </c>
      <c r="K1544" s="23" t="inlineStr">
        <is>
          <t>Maya Chen, Owner Project Controls</t>
        </is>
      </c>
      <c r="L1544" s="23" t="inlineStr"/>
      <c r="M1544" s="23" t="inlineStr"/>
      <c r="N1544" s="14" t="inlineStr">
        <is>
          <t>10 EVIDENCE &amp; DECISIONS</t>
        </is>
      </c>
    </row>
    <row r="1545" ht="34" customHeight="1">
      <c r="A1545" s="23" t="inlineStr">
        <is>
          <t>Contractor Programme</t>
        </is>
      </c>
      <c r="B1545" s="23" t="inlineStr">
        <is>
          <t>SCH-06-178</t>
        </is>
      </c>
      <c r="C1545" s="23" t="inlineStr">
        <is>
          <t>Program office: design-package integration review - turnover</t>
        </is>
      </c>
      <c r="D1545" s="23" t="inlineStr"/>
      <c r="E1545" s="23" t="inlineStr">
        <is>
          <t>R1078-v3</t>
        </is>
      </c>
      <c r="F1545" s="23" t="inlineStr">
        <is>
          <t>UNSURE</t>
        </is>
      </c>
      <c r="G1545" s="23" t="inlineStr">
        <is>
          <t>UNSURE</t>
        </is>
      </c>
      <c r="H1545" s="23" t="inlineStr">
        <is>
          <t>RETAINED</t>
        </is>
      </c>
      <c r="I1545" s="23" t="inlineStr">
        <is>
          <t>Carried forward</t>
        </is>
      </c>
      <c r="J1545" s="23" t="inlineStr">
        <is>
          <t>Earlier professional decision, carried forward</t>
        </is>
      </c>
      <c r="K1545" s="23" t="inlineStr">
        <is>
          <t>Maya Chen, Owner Project Controls</t>
        </is>
      </c>
      <c r="L1545" s="23" t="inlineStr"/>
      <c r="M1545" s="23" t="inlineStr"/>
      <c r="N1545" s="14" t="inlineStr">
        <is>
          <t>10 EVIDENCE &amp; DECISIONS</t>
        </is>
      </c>
    </row>
    <row r="1546" ht="34" customHeight="1">
      <c r="A1546" s="23" t="inlineStr">
        <is>
          <t>Contractor Programme</t>
        </is>
      </c>
      <c r="B1546" s="23" t="inlineStr">
        <is>
          <t>SCH-06-179</t>
        </is>
      </c>
      <c r="C1546" s="23" t="inlineStr">
        <is>
          <t>Civil package: executive reporting close - release</t>
        </is>
      </c>
      <c r="D1546" s="23" t="inlineStr"/>
      <c r="E1546" s="23" t="inlineStr">
        <is>
          <t>R1079-v3</t>
        </is>
      </c>
      <c r="F1546" s="23" t="inlineStr">
        <is>
          <t>UNSURE</t>
        </is>
      </c>
      <c r="G1546" s="23" t="inlineStr">
        <is>
          <t>UNSURE</t>
        </is>
      </c>
      <c r="H1546" s="23" t="inlineStr">
        <is>
          <t>RETAINED</t>
        </is>
      </c>
      <c r="I1546" s="23" t="inlineStr">
        <is>
          <t>Carried forward</t>
        </is>
      </c>
      <c r="J1546" s="23" t="inlineStr">
        <is>
          <t>Earlier professional decision, carried forward</t>
        </is>
      </c>
      <c r="K1546" s="23" t="inlineStr">
        <is>
          <t>Maya Chen, Owner Project Controls</t>
        </is>
      </c>
      <c r="L1546" s="23" t="inlineStr"/>
      <c r="M1546" s="23" t="inlineStr"/>
      <c r="N1546" s="14" t="inlineStr">
        <is>
          <t>10 EVIDENCE &amp; DECISIONS</t>
        </is>
      </c>
    </row>
    <row r="1547" ht="34" customHeight="1">
      <c r="A1547" s="23" t="inlineStr">
        <is>
          <t>Contractor Programme</t>
        </is>
      </c>
      <c r="B1547" s="23" t="inlineStr">
        <is>
          <t>SCH-06-180</t>
        </is>
      </c>
      <c r="C1547" s="23" t="inlineStr">
        <is>
          <t>Stations package: permit coordination - field start</t>
        </is>
      </c>
      <c r="D1547" s="23" t="inlineStr"/>
      <c r="E1547" s="23" t="inlineStr">
        <is>
          <t>R1080-v3</t>
        </is>
      </c>
      <c r="F1547" s="23" t="inlineStr">
        <is>
          <t>UNSURE</t>
        </is>
      </c>
      <c r="G1547" s="23" t="inlineStr">
        <is>
          <t>UNSURE</t>
        </is>
      </c>
      <c r="H1547" s="23" t="inlineStr">
        <is>
          <t>RETAINED</t>
        </is>
      </c>
      <c r="I1547" s="23" t="inlineStr">
        <is>
          <t>Carried forward</t>
        </is>
      </c>
      <c r="J1547" s="23" t="inlineStr">
        <is>
          <t>Earlier professional decision, carried forward</t>
        </is>
      </c>
      <c r="K1547" s="23" t="inlineStr">
        <is>
          <t>Maya Chen, Owner Project Controls</t>
        </is>
      </c>
      <c r="L1547" s="23" t="inlineStr"/>
      <c r="M1547" s="23" t="inlineStr"/>
      <c r="N1547" s="14" t="inlineStr">
        <is>
          <t>10 EVIDENCE &amp; DECISIONS</t>
        </is>
      </c>
    </row>
    <row r="1548" ht="34" customHeight="1">
      <c r="A1548" s="23" t="inlineStr">
        <is>
          <t>Cost &amp; Forecast Control Accounts</t>
        </is>
      </c>
      <c r="B1548" s="23" t="inlineStr">
        <is>
          <t>CST-03-004</t>
        </is>
      </c>
      <c r="C1548" s="23" t="inlineStr">
        <is>
          <t>Systems - systems integration - professional services</t>
        </is>
      </c>
      <c r="D1548" s="23" t="inlineStr">
        <is>
          <t>Cost Account = CA-3004</t>
        </is>
      </c>
      <c r="E1548" s="23" t="inlineStr">
        <is>
          <t>R1246-v3</t>
        </is>
      </c>
      <c r="F1548" s="23" t="inlineStr">
        <is>
          <t>UNSURE</t>
        </is>
      </c>
      <c r="G1548" s="23" t="inlineStr">
        <is>
          <t>UNSURE</t>
        </is>
      </c>
      <c r="H1548" s="23" t="inlineStr">
        <is>
          <t>RETAINED</t>
        </is>
      </c>
      <c r="I1548" s="23" t="inlineStr">
        <is>
          <t>Carried forward</t>
        </is>
      </c>
      <c r="J1548" s="23" t="inlineStr">
        <is>
          <t>Earlier professional decision, carried forward</t>
        </is>
      </c>
      <c r="K1548" s="23" t="inlineStr">
        <is>
          <t>Maya Chen, Owner Project Controls</t>
        </is>
      </c>
      <c r="L1548" s="23" t="inlineStr"/>
      <c r="M1548" s="23" t="inlineStr"/>
      <c r="N1548" s="14" t="inlineStr">
        <is>
          <t>10 EVIDENCE &amp; DECISIONS</t>
        </is>
      </c>
    </row>
    <row r="1549" ht="34" customHeight="1">
      <c r="A1549" s="23" t="inlineStr">
        <is>
          <t>Cost &amp; Forecast Control Accounts</t>
        </is>
      </c>
      <c r="B1549" s="23" t="inlineStr">
        <is>
          <t>CST-05-001</t>
        </is>
      </c>
      <c r="C1549" s="23" t="inlineStr">
        <is>
          <t>Testing &amp; readiness - trial running - control account</t>
        </is>
      </c>
      <c r="D1549" s="23" t="inlineStr">
        <is>
          <t>Cost Account = CA-5001</t>
        </is>
      </c>
      <c r="E1549" s="23" t="inlineStr">
        <is>
          <t>R1403-v3</t>
        </is>
      </c>
      <c r="F1549" s="23" t="inlineStr">
        <is>
          <t>UNSURE</t>
        </is>
      </c>
      <c r="G1549" s="23" t="inlineStr">
        <is>
          <t>UNSURE</t>
        </is>
      </c>
      <c r="H1549" s="23" t="inlineStr">
        <is>
          <t>RETAINED</t>
        </is>
      </c>
      <c r="I1549" s="23" t="inlineStr">
        <is>
          <t>Carried forward</t>
        </is>
      </c>
      <c r="J1549" s="23" t="inlineStr">
        <is>
          <t>Earlier professional decision, carried forward</t>
        </is>
      </c>
      <c r="K1549" s="23" t="inlineStr">
        <is>
          <t>Maya Chen, Owner Project Controls</t>
        </is>
      </c>
      <c r="L1549" s="23" t="inlineStr"/>
      <c r="M1549" s="23" t="inlineStr"/>
      <c r="N1549" s="14" t="inlineStr">
        <is>
          <t>10 EVIDENCE &amp; DECISIONS</t>
        </is>
      </c>
    </row>
    <row r="1550" ht="34" customHeight="1">
      <c r="A1550" s="23" t="inlineStr">
        <is>
          <t>Cost &amp; Forecast Control Accounts</t>
        </is>
      </c>
      <c r="B1550" s="23" t="inlineStr">
        <is>
          <t>CST-05-002</t>
        </is>
      </c>
      <c r="C1550" s="23" t="inlineStr">
        <is>
          <t>Testing &amp; readiness - safety certification - control account</t>
        </is>
      </c>
      <c r="D1550" s="23" t="inlineStr">
        <is>
          <t>Cost Account = CA-5002</t>
        </is>
      </c>
      <c r="E1550" s="23" t="inlineStr">
        <is>
          <t>R1404-v3</t>
        </is>
      </c>
      <c r="F1550" s="23" t="inlineStr">
        <is>
          <t>UNSURE</t>
        </is>
      </c>
      <c r="G1550" s="23" t="inlineStr">
        <is>
          <t>UNSURE</t>
        </is>
      </c>
      <c r="H1550" s="23" t="inlineStr">
        <is>
          <t>RETAINED</t>
        </is>
      </c>
      <c r="I1550" s="23" t="inlineStr">
        <is>
          <t>Carried forward</t>
        </is>
      </c>
      <c r="J1550" s="23" t="inlineStr">
        <is>
          <t>Earlier professional decision, carried forward</t>
        </is>
      </c>
      <c r="K1550" s="23" t="inlineStr">
        <is>
          <t>Maya Chen, Owner Project Controls</t>
        </is>
      </c>
      <c r="L1550" s="23" t="inlineStr"/>
      <c r="M1550" s="23" t="inlineStr"/>
      <c r="N1550" s="14" t="inlineStr">
        <is>
          <t>10 EVIDENCE &amp; DECISIONS</t>
        </is>
      </c>
    </row>
    <row r="1551" ht="34" customHeight="1">
      <c r="A1551" s="23" t="inlineStr">
        <is>
          <t>Cost &amp; Forecast Control Accounts</t>
        </is>
      </c>
      <c r="B1551" s="23" t="inlineStr">
        <is>
          <t>CST-05-003</t>
        </is>
      </c>
      <c r="C1551" s="23" t="inlineStr">
        <is>
          <t>Testing &amp; readiness - defect closeout - control account</t>
        </is>
      </c>
      <c r="D1551" s="23" t="inlineStr">
        <is>
          <t>Cost Account = CA-5003</t>
        </is>
      </c>
      <c r="E1551" s="23" t="inlineStr">
        <is>
          <t>R1405-v3</t>
        </is>
      </c>
      <c r="F1551" s="23" t="inlineStr">
        <is>
          <t>UNSURE</t>
        </is>
      </c>
      <c r="G1551" s="23" t="inlineStr">
        <is>
          <t>UNSURE</t>
        </is>
      </c>
      <c r="H1551" s="23" t="inlineStr">
        <is>
          <t>RETAINED</t>
        </is>
      </c>
      <c r="I1551" s="23" t="inlineStr">
        <is>
          <t>Carried forward</t>
        </is>
      </c>
      <c r="J1551" s="23" t="inlineStr">
        <is>
          <t>Earlier professional decision, carried forward</t>
        </is>
      </c>
      <c r="K1551" s="23" t="inlineStr">
        <is>
          <t>Maya Chen, Owner Project Controls</t>
        </is>
      </c>
      <c r="L1551" s="23" t="inlineStr"/>
      <c r="M1551" s="23" t="inlineStr"/>
      <c r="N1551" s="14" t="inlineStr">
        <is>
          <t>10 EVIDENCE &amp; DECISIONS</t>
        </is>
      </c>
    </row>
    <row r="1552" ht="34" customHeight="1">
      <c r="A1552" s="23" t="inlineStr">
        <is>
          <t>Cost &amp; Forecast Control Accounts</t>
        </is>
      </c>
      <c r="B1552" s="23" t="inlineStr">
        <is>
          <t>CST-05-004</t>
        </is>
      </c>
      <c r="C1552" s="23" t="inlineStr">
        <is>
          <t>Testing &amp; readiness - test management - control account</t>
        </is>
      </c>
      <c r="D1552" s="23" t="inlineStr">
        <is>
          <t>Cost Account = CA-5004</t>
        </is>
      </c>
      <c r="E1552" s="23" t="inlineStr">
        <is>
          <t>R1406-v3</t>
        </is>
      </c>
      <c r="F1552" s="23" t="inlineStr">
        <is>
          <t>UNSURE</t>
        </is>
      </c>
      <c r="G1552" s="23" t="inlineStr">
        <is>
          <t>UNSURE</t>
        </is>
      </c>
      <c r="H1552" s="23" t="inlineStr">
        <is>
          <t>RETAINED</t>
        </is>
      </c>
      <c r="I1552" s="23" t="inlineStr">
        <is>
          <t>Carried forward</t>
        </is>
      </c>
      <c r="J1552" s="23" t="inlineStr">
        <is>
          <t>Earlier professional decision, carried forward</t>
        </is>
      </c>
      <c r="K1552" s="23" t="inlineStr">
        <is>
          <t>Maya Chen, Owner Project Controls</t>
        </is>
      </c>
      <c r="L1552" s="23" t="inlineStr"/>
      <c r="M1552" s="23" t="inlineStr"/>
      <c r="N1552" s="14" t="inlineStr">
        <is>
          <t>10 EVIDENCE &amp; DECISIONS</t>
        </is>
      </c>
    </row>
    <row r="1553" ht="34" customHeight="1">
      <c r="A1553" s="23" t="inlineStr">
        <is>
          <t>Cost &amp; Forecast Control Accounts</t>
        </is>
      </c>
      <c r="B1553" s="23" t="inlineStr">
        <is>
          <t>CST-05-005</t>
        </is>
      </c>
      <c r="C1553" s="23" t="inlineStr">
        <is>
          <t>Testing &amp; readiness - trial running - control account</t>
        </is>
      </c>
      <c r="D1553" s="23" t="inlineStr">
        <is>
          <t>Cost Account = CA-5005</t>
        </is>
      </c>
      <c r="E1553" s="23" t="inlineStr">
        <is>
          <t>R1407-v3</t>
        </is>
      </c>
      <c r="F1553" s="23" t="inlineStr">
        <is>
          <t>UNSURE</t>
        </is>
      </c>
      <c r="G1553" s="23" t="inlineStr">
        <is>
          <t>UNSURE</t>
        </is>
      </c>
      <c r="H1553" s="23" t="inlineStr">
        <is>
          <t>RETAINED</t>
        </is>
      </c>
      <c r="I1553" s="23" t="inlineStr">
        <is>
          <t>Carried forward</t>
        </is>
      </c>
      <c r="J1553" s="23" t="inlineStr">
        <is>
          <t>Earlier professional decision, carried forward</t>
        </is>
      </c>
      <c r="K1553" s="23" t="inlineStr">
        <is>
          <t>Maya Chen, Owner Project Controls</t>
        </is>
      </c>
      <c r="L1553" s="23" t="inlineStr"/>
      <c r="M1553" s="23" t="inlineStr"/>
      <c r="N1553" s="14" t="inlineStr">
        <is>
          <t>10 EVIDENCE &amp; DECISIONS</t>
        </is>
      </c>
    </row>
    <row r="1554" ht="34" customHeight="1">
      <c r="A1554" s="23" t="inlineStr">
        <is>
          <t>Cost &amp; Forecast Control Accounts</t>
        </is>
      </c>
      <c r="B1554" s="23" t="inlineStr">
        <is>
          <t>CST-05-006</t>
        </is>
      </c>
      <c r="C1554" s="23" t="inlineStr">
        <is>
          <t>Testing &amp; readiness - safety certification - control account</t>
        </is>
      </c>
      <c r="D1554" s="23" t="inlineStr">
        <is>
          <t>Cost Account = CA-5006</t>
        </is>
      </c>
      <c r="E1554" s="23" t="inlineStr">
        <is>
          <t>R1408-v3</t>
        </is>
      </c>
      <c r="F1554" s="23" t="inlineStr">
        <is>
          <t>UNSURE</t>
        </is>
      </c>
      <c r="G1554" s="23" t="inlineStr">
        <is>
          <t>UNSURE</t>
        </is>
      </c>
      <c r="H1554" s="23" t="inlineStr">
        <is>
          <t>RETAINED</t>
        </is>
      </c>
      <c r="I1554" s="23" t="inlineStr">
        <is>
          <t>Carried forward</t>
        </is>
      </c>
      <c r="J1554" s="23" t="inlineStr">
        <is>
          <t>Earlier professional decision, carried forward</t>
        </is>
      </c>
      <c r="K1554" s="23" t="inlineStr">
        <is>
          <t>Maya Chen, Owner Project Controls</t>
        </is>
      </c>
      <c r="L1554" s="23" t="inlineStr"/>
      <c r="M1554" s="23" t="inlineStr"/>
      <c r="N1554" s="14" t="inlineStr">
        <is>
          <t>10 EVIDENCE &amp; DECISIONS</t>
        </is>
      </c>
    </row>
    <row r="1555" ht="34" customHeight="1">
      <c r="A1555" s="23" t="inlineStr">
        <is>
          <t>Cost &amp; Forecast Control Accounts</t>
        </is>
      </c>
      <c r="B1555" s="23" t="inlineStr">
        <is>
          <t>CST-05-007</t>
        </is>
      </c>
      <c r="C1555" s="23" t="inlineStr">
        <is>
          <t>Testing &amp; readiness - defect closeout - control account</t>
        </is>
      </c>
      <c r="D1555" s="23" t="inlineStr">
        <is>
          <t>Cost Account = CA-5007</t>
        </is>
      </c>
      <c r="E1555" s="23" t="inlineStr">
        <is>
          <t>R1409-v3</t>
        </is>
      </c>
      <c r="F1555" s="23" t="inlineStr">
        <is>
          <t>UNSURE</t>
        </is>
      </c>
      <c r="G1555" s="23" t="inlineStr">
        <is>
          <t>UNSURE</t>
        </is>
      </c>
      <c r="H1555" s="23" t="inlineStr">
        <is>
          <t>RETAINED</t>
        </is>
      </c>
      <c r="I1555" s="23" t="inlineStr">
        <is>
          <t>Carried forward</t>
        </is>
      </c>
      <c r="J1555" s="23" t="inlineStr">
        <is>
          <t>Earlier professional decision, carried forward</t>
        </is>
      </c>
      <c r="K1555" s="23" t="inlineStr">
        <is>
          <t>Maya Chen, Owner Project Controls</t>
        </is>
      </c>
      <c r="L1555" s="23" t="inlineStr"/>
      <c r="M1555" s="23" t="inlineStr"/>
      <c r="N1555" s="14" t="inlineStr">
        <is>
          <t>10 EVIDENCE &amp; DECISIONS</t>
        </is>
      </c>
    </row>
    <row r="1556" ht="34" customHeight="1">
      <c r="A1556" s="23" t="inlineStr">
        <is>
          <t>Cost &amp; Forecast Control Accounts</t>
        </is>
      </c>
      <c r="B1556" s="23" t="inlineStr">
        <is>
          <t>CST-05-008</t>
        </is>
      </c>
      <c r="C1556" s="23" t="inlineStr">
        <is>
          <t>Testing &amp; readiness - test management - control account</t>
        </is>
      </c>
      <c r="D1556" s="23" t="inlineStr">
        <is>
          <t>Cost Account = CA-5008</t>
        </is>
      </c>
      <c r="E1556" s="23" t="inlineStr">
        <is>
          <t>R1410-v3</t>
        </is>
      </c>
      <c r="F1556" s="23" t="inlineStr">
        <is>
          <t>UNSURE</t>
        </is>
      </c>
      <c r="G1556" s="23" t="inlineStr">
        <is>
          <t>UNSURE</t>
        </is>
      </c>
      <c r="H1556" s="23" t="inlineStr">
        <is>
          <t>RETAINED</t>
        </is>
      </c>
      <c r="I1556" s="23" t="inlineStr">
        <is>
          <t>Carried forward</t>
        </is>
      </c>
      <c r="J1556" s="23" t="inlineStr">
        <is>
          <t>Earlier professional decision, carried forward</t>
        </is>
      </c>
      <c r="K1556" s="23" t="inlineStr">
        <is>
          <t>Maya Chen, Owner Project Controls</t>
        </is>
      </c>
      <c r="L1556" s="23" t="inlineStr"/>
      <c r="M1556" s="23" t="inlineStr"/>
      <c r="N1556" s="14" t="inlineStr">
        <is>
          <t>10 EVIDENCE &amp; DECISIONS</t>
        </is>
      </c>
    </row>
    <row r="1557" ht="34" customHeight="1">
      <c r="A1557" s="23" t="inlineStr">
        <is>
          <t>Cost &amp; Forecast Control Accounts</t>
        </is>
      </c>
      <c r="B1557" s="23" t="inlineStr">
        <is>
          <t>CST-05-009</t>
        </is>
      </c>
      <c r="C1557" s="23" t="inlineStr">
        <is>
          <t>Testing &amp; readiness - trial running - control account</t>
        </is>
      </c>
      <c r="D1557" s="23" t="inlineStr">
        <is>
          <t>Cost Account = CA-5009</t>
        </is>
      </c>
      <c r="E1557" s="23" t="inlineStr">
        <is>
          <t>R1411-v3</t>
        </is>
      </c>
      <c r="F1557" s="23" t="inlineStr">
        <is>
          <t>UNSURE</t>
        </is>
      </c>
      <c r="G1557" s="23" t="inlineStr">
        <is>
          <t>UNSURE</t>
        </is>
      </c>
      <c r="H1557" s="23" t="inlineStr">
        <is>
          <t>RETAINED</t>
        </is>
      </c>
      <c r="I1557" s="23" t="inlineStr">
        <is>
          <t>Carried forward</t>
        </is>
      </c>
      <c r="J1557" s="23" t="inlineStr">
        <is>
          <t>Earlier professional decision, carried forward</t>
        </is>
      </c>
      <c r="K1557" s="23" t="inlineStr">
        <is>
          <t>Maya Chen, Owner Project Controls</t>
        </is>
      </c>
      <c r="L1557" s="23" t="inlineStr"/>
      <c r="M1557" s="23" t="inlineStr"/>
      <c r="N1557" s="14" t="inlineStr">
        <is>
          <t>10 EVIDENCE &amp; DECISIONS</t>
        </is>
      </c>
    </row>
    <row r="1558" ht="34" customHeight="1">
      <c r="A1558" s="23" t="inlineStr">
        <is>
          <t>Cost &amp; Forecast Control Accounts</t>
        </is>
      </c>
      <c r="B1558" s="23" t="inlineStr">
        <is>
          <t>CST-05-010</t>
        </is>
      </c>
      <c r="C1558" s="23" t="inlineStr">
        <is>
          <t>Testing &amp; readiness - safety certification - control account</t>
        </is>
      </c>
      <c r="D1558" s="23" t="inlineStr">
        <is>
          <t>Cost Account = CA-5010</t>
        </is>
      </c>
      <c r="E1558" s="23" t="inlineStr">
        <is>
          <t>R1412-v3</t>
        </is>
      </c>
      <c r="F1558" s="23" t="inlineStr">
        <is>
          <t>UNSURE</t>
        </is>
      </c>
      <c r="G1558" s="23" t="inlineStr">
        <is>
          <t>UNSURE</t>
        </is>
      </c>
      <c r="H1558" s="23" t="inlineStr">
        <is>
          <t>RETAINED</t>
        </is>
      </c>
      <c r="I1558" s="23" t="inlineStr">
        <is>
          <t>Carried forward</t>
        </is>
      </c>
      <c r="J1558" s="23" t="inlineStr">
        <is>
          <t>Earlier professional decision, carried forward</t>
        </is>
      </c>
      <c r="K1558" s="23" t="inlineStr">
        <is>
          <t>Maya Chen, Owner Project Controls</t>
        </is>
      </c>
      <c r="L1558" s="23" t="inlineStr"/>
      <c r="M1558" s="23" t="inlineStr"/>
      <c r="N1558" s="14" t="inlineStr">
        <is>
          <t>10 EVIDENCE &amp; DECISIONS</t>
        </is>
      </c>
    </row>
    <row r="1559" ht="34" customHeight="1">
      <c r="A1559" s="23" t="inlineStr">
        <is>
          <t>Cost &amp; Forecast Control Accounts</t>
        </is>
      </c>
      <c r="B1559" s="23" t="inlineStr">
        <is>
          <t>CST-05-011</t>
        </is>
      </c>
      <c r="C1559" s="23" t="inlineStr">
        <is>
          <t>Testing &amp; readiness - defect closeout - control account</t>
        </is>
      </c>
      <c r="D1559" s="23" t="inlineStr">
        <is>
          <t>Cost Account = CA-5011</t>
        </is>
      </c>
      <c r="E1559" s="23" t="inlineStr">
        <is>
          <t>R1413-v3</t>
        </is>
      </c>
      <c r="F1559" s="23" t="inlineStr">
        <is>
          <t>UNSURE</t>
        </is>
      </c>
      <c r="G1559" s="23" t="inlineStr">
        <is>
          <t>UNSURE</t>
        </is>
      </c>
      <c r="H1559" s="23" t="inlineStr">
        <is>
          <t>RETAINED</t>
        </is>
      </c>
      <c r="I1559" s="23" t="inlineStr">
        <is>
          <t>Carried forward</t>
        </is>
      </c>
      <c r="J1559" s="23" t="inlineStr">
        <is>
          <t>Earlier professional decision, carried forward</t>
        </is>
      </c>
      <c r="K1559" s="23" t="inlineStr">
        <is>
          <t>Maya Chen, Owner Project Controls</t>
        </is>
      </c>
      <c r="L1559" s="23" t="inlineStr"/>
      <c r="M1559" s="23" t="inlineStr"/>
      <c r="N1559" s="14" t="inlineStr">
        <is>
          <t>10 EVIDENCE &amp; DECISIONS</t>
        </is>
      </c>
    </row>
    <row r="1560" ht="34" customHeight="1">
      <c r="A1560" s="23" t="inlineStr">
        <is>
          <t>Cost &amp; Forecast Control Accounts</t>
        </is>
      </c>
      <c r="B1560" s="23" t="inlineStr">
        <is>
          <t>CST-05-012</t>
        </is>
      </c>
      <c r="C1560" s="23" t="inlineStr">
        <is>
          <t>Testing &amp; readiness - test management - control account</t>
        </is>
      </c>
      <c r="D1560" s="23" t="inlineStr">
        <is>
          <t>Cost Account = CA-5012</t>
        </is>
      </c>
      <c r="E1560" s="23" t="inlineStr">
        <is>
          <t>R1414-v3</t>
        </is>
      </c>
      <c r="F1560" s="23" t="inlineStr">
        <is>
          <t>UNSURE</t>
        </is>
      </c>
      <c r="G1560" s="23" t="inlineStr">
        <is>
          <t>UNSURE</t>
        </is>
      </c>
      <c r="H1560" s="23" t="inlineStr">
        <is>
          <t>RETAINED</t>
        </is>
      </c>
      <c r="I1560" s="23" t="inlineStr">
        <is>
          <t>Carried forward</t>
        </is>
      </c>
      <c r="J1560" s="23" t="inlineStr">
        <is>
          <t>Earlier professional decision, carried forward</t>
        </is>
      </c>
      <c r="K1560" s="23" t="inlineStr">
        <is>
          <t>Maya Chen, Owner Project Controls</t>
        </is>
      </c>
      <c r="L1560" s="23" t="inlineStr"/>
      <c r="M1560" s="23" t="inlineStr"/>
      <c r="N1560" s="14" t="inlineStr">
        <is>
          <t>10 EVIDENCE &amp; DECISIONS</t>
        </is>
      </c>
    </row>
    <row r="1561" ht="34" customHeight="1">
      <c r="A1561" s="23" t="inlineStr">
        <is>
          <t>Cost &amp; Forecast Control Accounts</t>
        </is>
      </c>
      <c r="B1561" s="23" t="inlineStr">
        <is>
          <t>CST-05-013</t>
        </is>
      </c>
      <c r="C1561" s="23" t="inlineStr">
        <is>
          <t>Testing &amp; readiness - trial running - control account</t>
        </is>
      </c>
      <c r="D1561" s="23" t="inlineStr">
        <is>
          <t>Cost Account = CA-5013</t>
        </is>
      </c>
      <c r="E1561" s="23" t="inlineStr">
        <is>
          <t>R1415-v3</t>
        </is>
      </c>
      <c r="F1561" s="23" t="inlineStr">
        <is>
          <t>UNSURE</t>
        </is>
      </c>
      <c r="G1561" s="23" t="inlineStr">
        <is>
          <t>UNSURE</t>
        </is>
      </c>
      <c r="H1561" s="23" t="inlineStr">
        <is>
          <t>RETAINED</t>
        </is>
      </c>
      <c r="I1561" s="23" t="inlineStr">
        <is>
          <t>Carried forward</t>
        </is>
      </c>
      <c r="J1561" s="23" t="inlineStr">
        <is>
          <t>Earlier professional decision, carried forward</t>
        </is>
      </c>
      <c r="K1561" s="23" t="inlineStr">
        <is>
          <t>Maya Chen, Owner Project Controls</t>
        </is>
      </c>
      <c r="L1561" s="23" t="inlineStr"/>
      <c r="M1561" s="23" t="inlineStr"/>
      <c r="N1561" s="14" t="inlineStr">
        <is>
          <t>10 EVIDENCE &amp; DECISIONS</t>
        </is>
      </c>
    </row>
    <row r="1562" ht="34" customHeight="1">
      <c r="A1562" s="23" t="inlineStr">
        <is>
          <t>Cost &amp; Forecast Control Accounts</t>
        </is>
      </c>
      <c r="B1562" s="23" t="inlineStr">
        <is>
          <t>CST-05-014</t>
        </is>
      </c>
      <c r="C1562" s="23" t="inlineStr">
        <is>
          <t>Testing &amp; readiness - safety certification - control account</t>
        </is>
      </c>
      <c r="D1562" s="23" t="inlineStr">
        <is>
          <t>Cost Account = CA-5014</t>
        </is>
      </c>
      <c r="E1562" s="23" t="inlineStr">
        <is>
          <t>R1416-v3</t>
        </is>
      </c>
      <c r="F1562" s="23" t="inlineStr">
        <is>
          <t>UNSURE</t>
        </is>
      </c>
      <c r="G1562" s="23" t="inlineStr">
        <is>
          <t>UNSURE</t>
        </is>
      </c>
      <c r="H1562" s="23" t="inlineStr">
        <is>
          <t>RETAINED</t>
        </is>
      </c>
      <c r="I1562" s="23" t="inlineStr">
        <is>
          <t>Carried forward</t>
        </is>
      </c>
      <c r="J1562" s="23" t="inlineStr">
        <is>
          <t>Earlier professional decision, carried forward</t>
        </is>
      </c>
      <c r="K1562" s="23" t="inlineStr">
        <is>
          <t>Maya Chen, Owner Project Controls</t>
        </is>
      </c>
      <c r="L1562" s="23" t="inlineStr"/>
      <c r="M1562" s="23" t="inlineStr"/>
      <c r="N1562" s="14" t="inlineStr">
        <is>
          <t>10 EVIDENCE &amp; DECISIONS</t>
        </is>
      </c>
    </row>
    <row r="1563" ht="34" customHeight="1">
      <c r="A1563" s="23" t="inlineStr">
        <is>
          <t>Cost &amp; Forecast Control Accounts</t>
        </is>
      </c>
      <c r="B1563" s="23" t="inlineStr">
        <is>
          <t>CST-05-015</t>
        </is>
      </c>
      <c r="C1563" s="23" t="inlineStr">
        <is>
          <t>Testing &amp; readiness - defect closeout - control account</t>
        </is>
      </c>
      <c r="D1563" s="23" t="inlineStr">
        <is>
          <t>Cost Account = CA-5015</t>
        </is>
      </c>
      <c r="E1563" s="23" t="inlineStr">
        <is>
          <t>R1417-v3</t>
        </is>
      </c>
      <c r="F1563" s="23" t="inlineStr">
        <is>
          <t>UNSURE</t>
        </is>
      </c>
      <c r="G1563" s="23" t="inlineStr">
        <is>
          <t>UNSURE</t>
        </is>
      </c>
      <c r="H1563" s="23" t="inlineStr">
        <is>
          <t>RETAINED</t>
        </is>
      </c>
      <c r="I1563" s="23" t="inlineStr">
        <is>
          <t>Carried forward</t>
        </is>
      </c>
      <c r="J1563" s="23" t="inlineStr">
        <is>
          <t>Earlier professional decision, carried forward</t>
        </is>
      </c>
      <c r="K1563" s="23" t="inlineStr">
        <is>
          <t>Maya Chen, Owner Project Controls</t>
        </is>
      </c>
      <c r="L1563" s="23" t="inlineStr"/>
      <c r="M1563" s="23" t="inlineStr"/>
      <c r="N1563" s="14" t="inlineStr">
        <is>
          <t>10 EVIDENCE &amp; DECISIONS</t>
        </is>
      </c>
    </row>
    <row r="1564" ht="34" customHeight="1">
      <c r="A1564" s="23" t="inlineStr">
        <is>
          <t>Cost &amp; Forecast Control Accounts</t>
        </is>
      </c>
      <c r="B1564" s="23" t="inlineStr">
        <is>
          <t>CST-05-016</t>
        </is>
      </c>
      <c r="C1564" s="23" t="inlineStr">
        <is>
          <t>Testing &amp; readiness - test management - control account</t>
        </is>
      </c>
      <c r="D1564" s="23" t="inlineStr">
        <is>
          <t>Cost Account = CA-5016</t>
        </is>
      </c>
      <c r="E1564" s="23" t="inlineStr">
        <is>
          <t>R1418-v3</t>
        </is>
      </c>
      <c r="F1564" s="23" t="inlineStr">
        <is>
          <t>UNSURE</t>
        </is>
      </c>
      <c r="G1564" s="23" t="inlineStr">
        <is>
          <t>UNSURE</t>
        </is>
      </c>
      <c r="H1564" s="23" t="inlineStr">
        <is>
          <t>RETAINED</t>
        </is>
      </c>
      <c r="I1564" s="23" t="inlineStr">
        <is>
          <t>Carried forward</t>
        </is>
      </c>
      <c r="J1564" s="23" t="inlineStr">
        <is>
          <t>Earlier professional decision, carried forward</t>
        </is>
      </c>
      <c r="K1564" s="23" t="inlineStr">
        <is>
          <t>Maya Chen, Owner Project Controls</t>
        </is>
      </c>
      <c r="L1564" s="23" t="inlineStr"/>
      <c r="M1564" s="23" t="inlineStr"/>
      <c r="N1564" s="14" t="inlineStr">
        <is>
          <t>10 EVIDENCE &amp; DECISIONS</t>
        </is>
      </c>
    </row>
    <row r="1565" ht="34" customHeight="1">
      <c r="A1565" s="23" t="inlineStr">
        <is>
          <t>Cost &amp; Forecast Control Accounts</t>
        </is>
      </c>
      <c r="B1565" s="23" t="inlineStr">
        <is>
          <t>CST-05-017</t>
        </is>
      </c>
      <c r="C1565" s="23" t="inlineStr">
        <is>
          <t>Testing &amp; readiness - trial running - control account</t>
        </is>
      </c>
      <c r="D1565" s="23" t="inlineStr">
        <is>
          <t>Cost Account = CA-5017</t>
        </is>
      </c>
      <c r="E1565" s="23" t="inlineStr">
        <is>
          <t>R1419-v3</t>
        </is>
      </c>
      <c r="F1565" s="23" t="inlineStr">
        <is>
          <t>UNSURE</t>
        </is>
      </c>
      <c r="G1565" s="23" t="inlineStr">
        <is>
          <t>UNSURE</t>
        </is>
      </c>
      <c r="H1565" s="23" t="inlineStr">
        <is>
          <t>RETAINED</t>
        </is>
      </c>
      <c r="I1565" s="23" t="inlineStr">
        <is>
          <t>Carried forward</t>
        </is>
      </c>
      <c r="J1565" s="23" t="inlineStr">
        <is>
          <t>Earlier professional decision, carried forward</t>
        </is>
      </c>
      <c r="K1565" s="23" t="inlineStr">
        <is>
          <t>Maya Chen, Owner Project Controls</t>
        </is>
      </c>
      <c r="L1565" s="23" t="inlineStr"/>
      <c r="M1565" s="23" t="inlineStr"/>
      <c r="N1565" s="14" t="inlineStr">
        <is>
          <t>10 EVIDENCE &amp; DECISIONS</t>
        </is>
      </c>
    </row>
    <row r="1566" ht="34" customHeight="1">
      <c r="A1566" s="23" t="inlineStr">
        <is>
          <t>Cost &amp; Forecast Control Accounts</t>
        </is>
      </c>
      <c r="B1566" s="23" t="inlineStr">
        <is>
          <t>CST-05-018</t>
        </is>
      </c>
      <c r="C1566" s="23" t="inlineStr">
        <is>
          <t>Testing &amp; readiness - safety certification - control account</t>
        </is>
      </c>
      <c r="D1566" s="23" t="inlineStr">
        <is>
          <t>Cost Account = CA-5018</t>
        </is>
      </c>
      <c r="E1566" s="23" t="inlineStr">
        <is>
          <t>R1420-v3</t>
        </is>
      </c>
      <c r="F1566" s="23" t="inlineStr">
        <is>
          <t>UNSURE</t>
        </is>
      </c>
      <c r="G1566" s="23" t="inlineStr">
        <is>
          <t>UNSURE</t>
        </is>
      </c>
      <c r="H1566" s="23" t="inlineStr">
        <is>
          <t>RETAINED</t>
        </is>
      </c>
      <c r="I1566" s="23" t="inlineStr">
        <is>
          <t>Carried forward</t>
        </is>
      </c>
      <c r="J1566" s="23" t="inlineStr">
        <is>
          <t>Earlier professional decision, carried forward</t>
        </is>
      </c>
      <c r="K1566" s="23" t="inlineStr">
        <is>
          <t>Maya Chen, Owner Project Controls</t>
        </is>
      </c>
      <c r="L1566" s="23" t="inlineStr"/>
      <c r="M1566" s="23" t="inlineStr"/>
      <c r="N1566" s="14" t="inlineStr">
        <is>
          <t>10 EVIDENCE &amp; DECISIONS</t>
        </is>
      </c>
    </row>
    <row r="1567" ht="34" customHeight="1">
      <c r="A1567" s="23" t="inlineStr">
        <is>
          <t>Cost &amp; Forecast Control Accounts</t>
        </is>
      </c>
      <c r="B1567" s="23" t="inlineStr">
        <is>
          <t>CST-05-019</t>
        </is>
      </c>
      <c r="C1567" s="23" t="inlineStr">
        <is>
          <t>Testing &amp; readiness - defect closeout - control account</t>
        </is>
      </c>
      <c r="D1567" s="23" t="inlineStr">
        <is>
          <t>Cost Account = CA-5019</t>
        </is>
      </c>
      <c r="E1567" s="23" t="inlineStr">
        <is>
          <t>R1421-v3</t>
        </is>
      </c>
      <c r="F1567" s="23" t="inlineStr">
        <is>
          <t>UNSURE</t>
        </is>
      </c>
      <c r="G1567" s="23" t="inlineStr">
        <is>
          <t>UNSURE</t>
        </is>
      </c>
      <c r="H1567" s="23" t="inlineStr">
        <is>
          <t>RETAINED</t>
        </is>
      </c>
      <c r="I1567" s="23" t="inlineStr">
        <is>
          <t>Carried forward</t>
        </is>
      </c>
      <c r="J1567" s="23" t="inlineStr">
        <is>
          <t>Earlier professional decision, carried forward</t>
        </is>
      </c>
      <c r="K1567" s="23" t="inlineStr">
        <is>
          <t>Maya Chen, Owner Project Controls</t>
        </is>
      </c>
      <c r="L1567" s="23" t="inlineStr"/>
      <c r="M1567" s="23" t="inlineStr"/>
      <c r="N1567" s="14" t="inlineStr">
        <is>
          <t>10 EVIDENCE &amp; DECISIONS</t>
        </is>
      </c>
    </row>
    <row r="1568" ht="34" customHeight="1">
      <c r="A1568" s="23" t="inlineStr">
        <is>
          <t>Cost &amp; Forecast Control Accounts</t>
        </is>
      </c>
      <c r="B1568" s="23" t="inlineStr">
        <is>
          <t>CST-05-020</t>
        </is>
      </c>
      <c r="C1568" s="23" t="inlineStr">
        <is>
          <t>Testing &amp; readiness - test management - control account</t>
        </is>
      </c>
      <c r="D1568" s="23" t="inlineStr">
        <is>
          <t>Cost Account = CA-5020</t>
        </is>
      </c>
      <c r="E1568" s="23" t="inlineStr">
        <is>
          <t>R1422-v3</t>
        </is>
      </c>
      <c r="F1568" s="23" t="inlineStr">
        <is>
          <t>UNSURE</t>
        </is>
      </c>
      <c r="G1568" s="23" t="inlineStr">
        <is>
          <t>UNSURE</t>
        </is>
      </c>
      <c r="H1568" s="23" t="inlineStr">
        <is>
          <t>RETAINED</t>
        </is>
      </c>
      <c r="I1568" s="23" t="inlineStr">
        <is>
          <t>Carried forward</t>
        </is>
      </c>
      <c r="J1568" s="23" t="inlineStr">
        <is>
          <t>Earlier professional decision, carried forward</t>
        </is>
      </c>
      <c r="K1568" s="23" t="inlineStr">
        <is>
          <t>Maya Chen, Owner Project Controls</t>
        </is>
      </c>
      <c r="L1568" s="23" t="inlineStr"/>
      <c r="M1568" s="23" t="inlineStr"/>
      <c r="N1568" s="14" t="inlineStr">
        <is>
          <t>10 EVIDENCE &amp; DECISIONS</t>
        </is>
      </c>
    </row>
    <row r="1569" ht="34" customHeight="1">
      <c r="A1569" s="23" t="inlineStr">
        <is>
          <t>Cost &amp; Forecast Control Accounts</t>
        </is>
      </c>
      <c r="B1569" s="23" t="inlineStr">
        <is>
          <t>CST-05-021</t>
        </is>
      </c>
      <c r="C1569" s="23" t="inlineStr">
        <is>
          <t>Testing &amp; readiness - trial running - control account</t>
        </is>
      </c>
      <c r="D1569" s="23" t="inlineStr">
        <is>
          <t>Cost Account = CA-5021</t>
        </is>
      </c>
      <c r="E1569" s="23" t="inlineStr">
        <is>
          <t>R1423-v3</t>
        </is>
      </c>
      <c r="F1569" s="23" t="inlineStr">
        <is>
          <t>UNSURE</t>
        </is>
      </c>
      <c r="G1569" s="23" t="inlineStr">
        <is>
          <t>UNSURE</t>
        </is>
      </c>
      <c r="H1569" s="23" t="inlineStr">
        <is>
          <t>RETAINED</t>
        </is>
      </c>
      <c r="I1569" s="23" t="inlineStr">
        <is>
          <t>Carried forward</t>
        </is>
      </c>
      <c r="J1569" s="23" t="inlineStr">
        <is>
          <t>Earlier professional decision, carried forward</t>
        </is>
      </c>
      <c r="K1569" s="23" t="inlineStr">
        <is>
          <t>Maya Chen, Owner Project Controls</t>
        </is>
      </c>
      <c r="L1569" s="23" t="inlineStr"/>
      <c r="M1569" s="23" t="inlineStr"/>
      <c r="N1569" s="14" t="inlineStr">
        <is>
          <t>10 EVIDENCE &amp; DECISIONS</t>
        </is>
      </c>
    </row>
    <row r="1570" ht="34" customHeight="1">
      <c r="A1570" s="23" t="inlineStr">
        <is>
          <t>Cost &amp; Forecast Control Accounts</t>
        </is>
      </c>
      <c r="B1570" s="23" t="inlineStr">
        <is>
          <t>CST-05-022</t>
        </is>
      </c>
      <c r="C1570" s="23" t="inlineStr">
        <is>
          <t>Testing &amp; readiness - safety certification - control account</t>
        </is>
      </c>
      <c r="D1570" s="23" t="inlineStr">
        <is>
          <t>Cost Account = CA-5022</t>
        </is>
      </c>
      <c r="E1570" s="23" t="inlineStr">
        <is>
          <t>R1424-v3</t>
        </is>
      </c>
      <c r="F1570" s="23" t="inlineStr">
        <is>
          <t>UNSURE</t>
        </is>
      </c>
      <c r="G1570" s="23" t="inlineStr">
        <is>
          <t>UNSURE</t>
        </is>
      </c>
      <c r="H1570" s="23" t="inlineStr">
        <is>
          <t>RETAINED</t>
        </is>
      </c>
      <c r="I1570" s="23" t="inlineStr">
        <is>
          <t>Carried forward</t>
        </is>
      </c>
      <c r="J1570" s="23" t="inlineStr">
        <is>
          <t>Earlier professional decision, carried forward</t>
        </is>
      </c>
      <c r="K1570" s="23" t="inlineStr">
        <is>
          <t>Maya Chen, Owner Project Controls</t>
        </is>
      </c>
      <c r="L1570" s="23" t="inlineStr"/>
      <c r="M1570" s="23" t="inlineStr"/>
      <c r="N1570" s="14" t="inlineStr">
        <is>
          <t>10 EVIDENCE &amp; DECISIONS</t>
        </is>
      </c>
    </row>
    <row r="1571" ht="34" customHeight="1">
      <c r="A1571" s="23" t="inlineStr">
        <is>
          <t>Cost &amp; Forecast Control Accounts</t>
        </is>
      </c>
      <c r="B1571" s="23" t="inlineStr">
        <is>
          <t>CST-05-023</t>
        </is>
      </c>
      <c r="C1571" s="23" t="inlineStr">
        <is>
          <t>Testing &amp; readiness - defect closeout - control account</t>
        </is>
      </c>
      <c r="D1571" s="23" t="inlineStr">
        <is>
          <t>Cost Account = CA-5023</t>
        </is>
      </c>
      <c r="E1571" s="23" t="inlineStr">
        <is>
          <t>R1425-v3</t>
        </is>
      </c>
      <c r="F1571" s="23" t="inlineStr">
        <is>
          <t>UNSURE</t>
        </is>
      </c>
      <c r="G1571" s="23" t="inlineStr">
        <is>
          <t>UNSURE</t>
        </is>
      </c>
      <c r="H1571" s="23" t="inlineStr">
        <is>
          <t>RETAINED</t>
        </is>
      </c>
      <c r="I1571" s="23" t="inlineStr">
        <is>
          <t>Carried forward</t>
        </is>
      </c>
      <c r="J1571" s="23" t="inlineStr">
        <is>
          <t>Earlier professional decision, carried forward</t>
        </is>
      </c>
      <c r="K1571" s="23" t="inlineStr">
        <is>
          <t>Maya Chen, Owner Project Controls</t>
        </is>
      </c>
      <c r="L1571" s="23" t="inlineStr"/>
      <c r="M1571" s="23" t="inlineStr"/>
      <c r="N1571" s="14" t="inlineStr">
        <is>
          <t>10 EVIDENCE &amp; DECISIONS</t>
        </is>
      </c>
    </row>
    <row r="1572" ht="34" customHeight="1">
      <c r="A1572" s="23" t="inlineStr">
        <is>
          <t>Cost &amp; Forecast Control Accounts</t>
        </is>
      </c>
      <c r="B1572" s="23" t="inlineStr">
        <is>
          <t>CST-05-024</t>
        </is>
      </c>
      <c r="C1572" s="23" t="inlineStr">
        <is>
          <t>Testing &amp; readiness - test management - control account</t>
        </is>
      </c>
      <c r="D1572" s="23" t="inlineStr">
        <is>
          <t>Cost Account = CA-5024</t>
        </is>
      </c>
      <c r="E1572" s="23" t="inlineStr">
        <is>
          <t>R1426-v3</t>
        </is>
      </c>
      <c r="F1572" s="23" t="inlineStr">
        <is>
          <t>UNSURE</t>
        </is>
      </c>
      <c r="G1572" s="23" t="inlineStr">
        <is>
          <t>UNSURE</t>
        </is>
      </c>
      <c r="H1572" s="23" t="inlineStr">
        <is>
          <t>RETAINED</t>
        </is>
      </c>
      <c r="I1572" s="23" t="inlineStr">
        <is>
          <t>Carried forward</t>
        </is>
      </c>
      <c r="J1572" s="23" t="inlineStr">
        <is>
          <t>Earlier professional decision, carried forward</t>
        </is>
      </c>
      <c r="K1572" s="23" t="inlineStr">
        <is>
          <t>Maya Chen, Owner Project Controls</t>
        </is>
      </c>
      <c r="L1572" s="23" t="inlineStr"/>
      <c r="M1572" s="23" t="inlineStr"/>
      <c r="N1572" s="14" t="inlineStr">
        <is>
          <t>10 EVIDENCE &amp; DECISIONS</t>
        </is>
      </c>
    </row>
    <row r="1573" ht="34" customHeight="1">
      <c r="A1573" s="23" t="inlineStr">
        <is>
          <t>Cost &amp; Forecast Control Accounts</t>
        </is>
      </c>
      <c r="B1573" s="23" t="inlineStr">
        <is>
          <t>CST-05-025</t>
        </is>
      </c>
      <c r="C1573" s="23" t="inlineStr">
        <is>
          <t>Testing &amp; readiness - trial running - control account</t>
        </is>
      </c>
      <c r="D1573" s="23" t="inlineStr">
        <is>
          <t>Cost Account = CA-5025</t>
        </is>
      </c>
      <c r="E1573" s="23" t="inlineStr">
        <is>
          <t>R1427-v3</t>
        </is>
      </c>
      <c r="F1573" s="23" t="inlineStr">
        <is>
          <t>UNSURE</t>
        </is>
      </c>
      <c r="G1573" s="23" t="inlineStr">
        <is>
          <t>UNSURE</t>
        </is>
      </c>
      <c r="H1573" s="23" t="inlineStr">
        <is>
          <t>RETAINED</t>
        </is>
      </c>
      <c r="I1573" s="23" t="inlineStr">
        <is>
          <t>Carried forward</t>
        </is>
      </c>
      <c r="J1573" s="23" t="inlineStr">
        <is>
          <t>Earlier professional decision, carried forward</t>
        </is>
      </c>
      <c r="K1573" s="23" t="inlineStr">
        <is>
          <t>Maya Chen, Owner Project Controls</t>
        </is>
      </c>
      <c r="L1573" s="23" t="inlineStr"/>
      <c r="M1573" s="23" t="inlineStr"/>
      <c r="N1573" s="14" t="inlineStr">
        <is>
          <t>10 EVIDENCE &amp; DECISIONS</t>
        </is>
      </c>
    </row>
    <row r="1574" ht="34" customHeight="1">
      <c r="A1574" s="23" t="inlineStr">
        <is>
          <t>Cost &amp; Forecast Control Accounts</t>
        </is>
      </c>
      <c r="B1574" s="23" t="inlineStr">
        <is>
          <t>CST-05-026</t>
        </is>
      </c>
      <c r="C1574" s="23" t="inlineStr">
        <is>
          <t>Testing &amp; readiness - safety certification - control account</t>
        </is>
      </c>
      <c r="D1574" s="23" t="inlineStr">
        <is>
          <t>Cost Account = CA-5026</t>
        </is>
      </c>
      <c r="E1574" s="23" t="inlineStr">
        <is>
          <t>R1428-v3</t>
        </is>
      </c>
      <c r="F1574" s="23" t="inlineStr">
        <is>
          <t>UNSURE</t>
        </is>
      </c>
      <c r="G1574" s="23" t="inlineStr">
        <is>
          <t>UNSURE</t>
        </is>
      </c>
      <c r="H1574" s="23" t="inlineStr">
        <is>
          <t>RETAINED</t>
        </is>
      </c>
      <c r="I1574" s="23" t="inlineStr">
        <is>
          <t>Carried forward</t>
        </is>
      </c>
      <c r="J1574" s="23" t="inlineStr">
        <is>
          <t>Earlier professional decision, carried forward</t>
        </is>
      </c>
      <c r="K1574" s="23" t="inlineStr">
        <is>
          <t>Maya Chen, Owner Project Controls</t>
        </is>
      </c>
      <c r="L1574" s="23" t="inlineStr"/>
      <c r="M1574" s="23" t="inlineStr"/>
      <c r="N1574" s="14" t="inlineStr">
        <is>
          <t>10 EVIDENCE &amp; DECISIONS</t>
        </is>
      </c>
    </row>
    <row r="1575" ht="34" customHeight="1">
      <c r="A1575" s="23" t="inlineStr">
        <is>
          <t>Cost &amp; Forecast Control Accounts</t>
        </is>
      </c>
      <c r="B1575" s="23" t="inlineStr">
        <is>
          <t>CST-05-027</t>
        </is>
      </c>
      <c r="C1575" s="23" t="inlineStr">
        <is>
          <t>Testing &amp; readiness - defect closeout - control account</t>
        </is>
      </c>
      <c r="D1575" s="23" t="inlineStr">
        <is>
          <t>Cost Account = CA-5027</t>
        </is>
      </c>
      <c r="E1575" s="23" t="inlineStr">
        <is>
          <t>R1429-v3</t>
        </is>
      </c>
      <c r="F1575" s="23" t="inlineStr">
        <is>
          <t>UNSURE</t>
        </is>
      </c>
      <c r="G1575" s="23" t="inlineStr">
        <is>
          <t>UNSURE</t>
        </is>
      </c>
      <c r="H1575" s="23" t="inlineStr">
        <is>
          <t>RETAINED</t>
        </is>
      </c>
      <c r="I1575" s="23" t="inlineStr">
        <is>
          <t>Carried forward</t>
        </is>
      </c>
      <c r="J1575" s="23" t="inlineStr">
        <is>
          <t>Earlier professional decision, carried forward</t>
        </is>
      </c>
      <c r="K1575" s="23" t="inlineStr">
        <is>
          <t>Maya Chen, Owner Project Controls</t>
        </is>
      </c>
      <c r="L1575" s="23" t="inlineStr"/>
      <c r="M1575" s="23" t="inlineStr"/>
      <c r="N1575" s="14" t="inlineStr">
        <is>
          <t>10 EVIDENCE &amp; DECISIONS</t>
        </is>
      </c>
    </row>
    <row r="1576" ht="34" customHeight="1">
      <c r="A1576" s="23" t="inlineStr">
        <is>
          <t>Cost &amp; Forecast Control Accounts</t>
        </is>
      </c>
      <c r="B1576" s="23" t="inlineStr">
        <is>
          <t>CST-05-028</t>
        </is>
      </c>
      <c r="C1576" s="23" t="inlineStr">
        <is>
          <t>Testing &amp; readiness - test management - control account</t>
        </is>
      </c>
      <c r="D1576" s="23" t="inlineStr">
        <is>
          <t>Cost Account = CA-5028</t>
        </is>
      </c>
      <c r="E1576" s="23" t="inlineStr">
        <is>
          <t>R1430-v3</t>
        </is>
      </c>
      <c r="F1576" s="23" t="inlineStr">
        <is>
          <t>UNSURE</t>
        </is>
      </c>
      <c r="G1576" s="23" t="inlineStr">
        <is>
          <t>UNSURE</t>
        </is>
      </c>
      <c r="H1576" s="23" t="inlineStr">
        <is>
          <t>RETAINED</t>
        </is>
      </c>
      <c r="I1576" s="23" t="inlineStr">
        <is>
          <t>Carried forward</t>
        </is>
      </c>
      <c r="J1576" s="23" t="inlineStr">
        <is>
          <t>Earlier professional decision, carried forward</t>
        </is>
      </c>
      <c r="K1576" s="23" t="inlineStr">
        <is>
          <t>Maya Chen, Owner Project Controls</t>
        </is>
      </c>
      <c r="L1576" s="23" t="inlineStr"/>
      <c r="M1576" s="23" t="inlineStr"/>
      <c r="N1576" s="14" t="inlineStr">
        <is>
          <t>10 EVIDENCE &amp; DECISIONS</t>
        </is>
      </c>
    </row>
    <row r="1577" ht="34" customHeight="1">
      <c r="A1577" s="23" t="inlineStr">
        <is>
          <t>Cost &amp; Forecast Control Accounts</t>
        </is>
      </c>
      <c r="B1577" s="23" t="inlineStr">
        <is>
          <t>CST-05-029</t>
        </is>
      </c>
      <c r="C1577" s="23" t="inlineStr">
        <is>
          <t>Testing &amp; readiness - trial running - control account</t>
        </is>
      </c>
      <c r="D1577" s="23" t="inlineStr">
        <is>
          <t>Cost Account = CA-5029</t>
        </is>
      </c>
      <c r="E1577" s="23" t="inlineStr">
        <is>
          <t>R1431-v3</t>
        </is>
      </c>
      <c r="F1577" s="23" t="inlineStr">
        <is>
          <t>UNSURE</t>
        </is>
      </c>
      <c r="G1577" s="23" t="inlineStr">
        <is>
          <t>UNSURE</t>
        </is>
      </c>
      <c r="H1577" s="23" t="inlineStr">
        <is>
          <t>RETAINED</t>
        </is>
      </c>
      <c r="I1577" s="23" t="inlineStr">
        <is>
          <t>Carried forward</t>
        </is>
      </c>
      <c r="J1577" s="23" t="inlineStr">
        <is>
          <t>Earlier professional decision, carried forward</t>
        </is>
      </c>
      <c r="K1577" s="23" t="inlineStr">
        <is>
          <t>Maya Chen, Owner Project Controls</t>
        </is>
      </c>
      <c r="L1577" s="23" t="inlineStr"/>
      <c r="M1577" s="23" t="inlineStr"/>
      <c r="N1577" s="14" t="inlineStr">
        <is>
          <t>10 EVIDENCE &amp; DECISIONS</t>
        </is>
      </c>
    </row>
    <row r="1578" ht="34" customHeight="1">
      <c r="A1578" s="23" t="inlineStr">
        <is>
          <t>Cost &amp; Forecast Control Accounts</t>
        </is>
      </c>
      <c r="B1578" s="23" t="inlineStr">
        <is>
          <t>CST-05-030</t>
        </is>
      </c>
      <c r="C1578" s="23" t="inlineStr">
        <is>
          <t>Testing &amp; readiness - safety certification - control account</t>
        </is>
      </c>
      <c r="D1578" s="23" t="inlineStr">
        <is>
          <t>Cost Account = CA-5030</t>
        </is>
      </c>
      <c r="E1578" s="23" t="inlineStr">
        <is>
          <t>R1432-v3</t>
        </is>
      </c>
      <c r="F1578" s="23" t="inlineStr">
        <is>
          <t>UNSURE</t>
        </is>
      </c>
      <c r="G1578" s="23" t="inlineStr">
        <is>
          <t>UNSURE</t>
        </is>
      </c>
      <c r="H1578" s="23" t="inlineStr">
        <is>
          <t>RETAINED</t>
        </is>
      </c>
      <c r="I1578" s="23" t="inlineStr">
        <is>
          <t>Carried forward</t>
        </is>
      </c>
      <c r="J1578" s="23" t="inlineStr">
        <is>
          <t>Earlier professional decision, carried forward</t>
        </is>
      </c>
      <c r="K1578" s="23" t="inlineStr">
        <is>
          <t>Maya Chen, Owner Project Controls</t>
        </is>
      </c>
      <c r="L1578" s="23" t="inlineStr"/>
      <c r="M1578" s="23" t="inlineStr"/>
      <c r="N1578" s="14" t="inlineStr">
        <is>
          <t>10 EVIDENCE &amp; DECISIONS</t>
        </is>
      </c>
    </row>
    <row r="1579" ht="34" customHeight="1">
      <c r="A1579" s="23" t="inlineStr">
        <is>
          <t>Cost &amp; Forecast Control Accounts</t>
        </is>
      </c>
      <c r="B1579" s="23" t="inlineStr">
        <is>
          <t>CST-05-031</t>
        </is>
      </c>
      <c r="C1579" s="23" t="inlineStr">
        <is>
          <t>Testing &amp; readiness - defect closeout - control account</t>
        </is>
      </c>
      <c r="D1579" s="23" t="inlineStr">
        <is>
          <t>Cost Account = CA-5031</t>
        </is>
      </c>
      <c r="E1579" s="23" t="inlineStr">
        <is>
          <t>R1433-v3</t>
        </is>
      </c>
      <c r="F1579" s="23" t="inlineStr">
        <is>
          <t>UNSURE</t>
        </is>
      </c>
      <c r="G1579" s="23" t="inlineStr">
        <is>
          <t>UNSURE</t>
        </is>
      </c>
      <c r="H1579" s="23" t="inlineStr">
        <is>
          <t>RETAINED</t>
        </is>
      </c>
      <c r="I1579" s="23" t="inlineStr">
        <is>
          <t>Carried forward</t>
        </is>
      </c>
      <c r="J1579" s="23" t="inlineStr">
        <is>
          <t>Earlier professional decision, carried forward</t>
        </is>
      </c>
      <c r="K1579" s="23" t="inlineStr">
        <is>
          <t>Maya Chen, Owner Project Controls</t>
        </is>
      </c>
      <c r="L1579" s="23" t="inlineStr"/>
      <c r="M1579" s="23" t="inlineStr"/>
      <c r="N1579" s="14" t="inlineStr">
        <is>
          <t>10 EVIDENCE &amp; DECISIONS</t>
        </is>
      </c>
    </row>
    <row r="1580" ht="34" customHeight="1">
      <c r="A1580" s="23" t="inlineStr">
        <is>
          <t>Cost &amp; Forecast Control Accounts</t>
        </is>
      </c>
      <c r="B1580" s="23" t="inlineStr">
        <is>
          <t>CST-05-032</t>
        </is>
      </c>
      <c r="C1580" s="23" t="inlineStr">
        <is>
          <t>Testing &amp; readiness - test management - control account</t>
        </is>
      </c>
      <c r="D1580" s="23" t="inlineStr">
        <is>
          <t>Cost Account = CA-5032</t>
        </is>
      </c>
      <c r="E1580" s="23" t="inlineStr">
        <is>
          <t>R1434-v3</t>
        </is>
      </c>
      <c r="F1580" s="23" t="inlineStr">
        <is>
          <t>UNSURE</t>
        </is>
      </c>
      <c r="G1580" s="23" t="inlineStr">
        <is>
          <t>UNSURE</t>
        </is>
      </c>
      <c r="H1580" s="23" t="inlineStr">
        <is>
          <t>RETAINED</t>
        </is>
      </c>
      <c r="I1580" s="23" t="inlineStr">
        <is>
          <t>Carried forward</t>
        </is>
      </c>
      <c r="J1580" s="23" t="inlineStr">
        <is>
          <t>Earlier professional decision, carried forward</t>
        </is>
      </c>
      <c r="K1580" s="23" t="inlineStr">
        <is>
          <t>Maya Chen, Owner Project Controls</t>
        </is>
      </c>
      <c r="L1580" s="23" t="inlineStr"/>
      <c r="M1580" s="23" t="inlineStr"/>
      <c r="N1580" s="14" t="inlineStr">
        <is>
          <t>10 EVIDENCE &amp; DECISIONS</t>
        </is>
      </c>
    </row>
    <row r="1581" ht="34" customHeight="1">
      <c r="A1581" s="23" t="inlineStr">
        <is>
          <t>Cost &amp; Forecast Control Accounts</t>
        </is>
      </c>
      <c r="B1581" s="23" t="inlineStr">
        <is>
          <t>CST-05-033</t>
        </is>
      </c>
      <c r="C1581" s="23" t="inlineStr">
        <is>
          <t>Testing &amp; readiness - trial running - control account</t>
        </is>
      </c>
      <c r="D1581" s="23" t="inlineStr">
        <is>
          <t>Cost Account = CA-5033</t>
        </is>
      </c>
      <c r="E1581" s="23" t="inlineStr">
        <is>
          <t>R1435-v3</t>
        </is>
      </c>
      <c r="F1581" s="23" t="inlineStr">
        <is>
          <t>UNSURE</t>
        </is>
      </c>
      <c r="G1581" s="23" t="inlineStr">
        <is>
          <t>UNSURE</t>
        </is>
      </c>
      <c r="H1581" s="23" t="inlineStr">
        <is>
          <t>RETAINED</t>
        </is>
      </c>
      <c r="I1581" s="23" t="inlineStr">
        <is>
          <t>Carried forward</t>
        </is>
      </c>
      <c r="J1581" s="23" t="inlineStr">
        <is>
          <t>Earlier professional decision, carried forward</t>
        </is>
      </c>
      <c r="K1581" s="23" t="inlineStr">
        <is>
          <t>Maya Chen, Owner Project Controls</t>
        </is>
      </c>
      <c r="L1581" s="23" t="inlineStr"/>
      <c r="M1581" s="23" t="inlineStr"/>
      <c r="N1581" s="14" t="inlineStr">
        <is>
          <t>10 EVIDENCE &amp; DECISIONS</t>
        </is>
      </c>
    </row>
    <row r="1582" ht="34" customHeight="1">
      <c r="A1582" s="23" t="inlineStr">
        <is>
          <t>Cost &amp; Forecast Control Accounts</t>
        </is>
      </c>
      <c r="B1582" s="23" t="inlineStr">
        <is>
          <t>CST-05-034</t>
        </is>
      </c>
      <c r="C1582" s="23" t="inlineStr">
        <is>
          <t>Testing &amp; readiness - safety certification - control account</t>
        </is>
      </c>
      <c r="D1582" s="23" t="inlineStr">
        <is>
          <t>Cost Account = CA-5034</t>
        </is>
      </c>
      <c r="E1582" s="23" t="inlineStr">
        <is>
          <t>R1436-v3</t>
        </is>
      </c>
      <c r="F1582" s="23" t="inlineStr">
        <is>
          <t>UNSURE</t>
        </is>
      </c>
      <c r="G1582" s="23" t="inlineStr">
        <is>
          <t>UNSURE</t>
        </is>
      </c>
      <c r="H1582" s="23" t="inlineStr">
        <is>
          <t>RETAINED</t>
        </is>
      </c>
      <c r="I1582" s="23" t="inlineStr">
        <is>
          <t>Carried forward</t>
        </is>
      </c>
      <c r="J1582" s="23" t="inlineStr">
        <is>
          <t>Earlier professional decision, carried forward</t>
        </is>
      </c>
      <c r="K1582" s="23" t="inlineStr">
        <is>
          <t>Maya Chen, Owner Project Controls</t>
        </is>
      </c>
      <c r="L1582" s="23" t="inlineStr"/>
      <c r="M1582" s="23" t="inlineStr"/>
      <c r="N1582" s="14" t="inlineStr">
        <is>
          <t>10 EVIDENCE &amp; DECISIONS</t>
        </is>
      </c>
    </row>
    <row r="1583" ht="34" customHeight="1">
      <c r="A1583" s="23" t="inlineStr">
        <is>
          <t>Cost &amp; Forecast Control Accounts</t>
        </is>
      </c>
      <c r="B1583" s="23" t="inlineStr">
        <is>
          <t>CST-05-035</t>
        </is>
      </c>
      <c r="C1583" s="23" t="inlineStr">
        <is>
          <t>Testing &amp; readiness - defect closeout - control account</t>
        </is>
      </c>
      <c r="D1583" s="23" t="inlineStr">
        <is>
          <t>Cost Account = CA-5035</t>
        </is>
      </c>
      <c r="E1583" s="23" t="inlineStr">
        <is>
          <t>R1437-v3</t>
        </is>
      </c>
      <c r="F1583" s="23" t="inlineStr">
        <is>
          <t>UNSURE</t>
        </is>
      </c>
      <c r="G1583" s="23" t="inlineStr">
        <is>
          <t>UNSURE</t>
        </is>
      </c>
      <c r="H1583" s="23" t="inlineStr">
        <is>
          <t>RETAINED</t>
        </is>
      </c>
      <c r="I1583" s="23" t="inlineStr">
        <is>
          <t>Carried forward</t>
        </is>
      </c>
      <c r="J1583" s="23" t="inlineStr">
        <is>
          <t>Earlier professional decision, carried forward</t>
        </is>
      </c>
      <c r="K1583" s="23" t="inlineStr">
        <is>
          <t>Maya Chen, Owner Project Controls</t>
        </is>
      </c>
      <c r="L1583" s="23" t="inlineStr"/>
      <c r="M1583" s="23" t="inlineStr"/>
      <c r="N1583" s="14" t="inlineStr">
        <is>
          <t>10 EVIDENCE &amp; DECISIONS</t>
        </is>
      </c>
    </row>
    <row r="1584" ht="34" customHeight="1">
      <c r="A1584" s="23" t="inlineStr">
        <is>
          <t>Cost &amp; Forecast Control Accounts</t>
        </is>
      </c>
      <c r="B1584" s="23" t="inlineStr">
        <is>
          <t>CST-05-036</t>
        </is>
      </c>
      <c r="C1584" s="23" t="inlineStr">
        <is>
          <t>Testing &amp; readiness - test management - control account</t>
        </is>
      </c>
      <c r="D1584" s="23" t="inlineStr">
        <is>
          <t>Cost Account = CA-5036</t>
        </is>
      </c>
      <c r="E1584" s="23" t="inlineStr">
        <is>
          <t>R1438-v3</t>
        </is>
      </c>
      <c r="F1584" s="23" t="inlineStr">
        <is>
          <t>UNSURE</t>
        </is>
      </c>
      <c r="G1584" s="23" t="inlineStr">
        <is>
          <t>UNSURE</t>
        </is>
      </c>
      <c r="H1584" s="23" t="inlineStr">
        <is>
          <t>RETAINED</t>
        </is>
      </c>
      <c r="I1584" s="23" t="inlineStr">
        <is>
          <t>Carried forward</t>
        </is>
      </c>
      <c r="J1584" s="23" t="inlineStr">
        <is>
          <t>Earlier professional decision, carried forward</t>
        </is>
      </c>
      <c r="K1584" s="23" t="inlineStr">
        <is>
          <t>Maya Chen, Owner Project Controls</t>
        </is>
      </c>
      <c r="L1584" s="23" t="inlineStr"/>
      <c r="M1584" s="23" t="inlineStr"/>
      <c r="N1584" s="14" t="inlineStr">
        <is>
          <t>10 EVIDENCE &amp; DECISIONS</t>
        </is>
      </c>
    </row>
    <row r="1585" ht="34" customHeight="1">
      <c r="A1585" s="23" t="inlineStr">
        <is>
          <t>Cost &amp; Forecast Control Accounts</t>
        </is>
      </c>
      <c r="B1585" s="23" t="inlineStr">
        <is>
          <t>CST-05-037</t>
        </is>
      </c>
      <c r="C1585" s="23" t="inlineStr">
        <is>
          <t>Testing &amp; readiness - trial running - control account</t>
        </is>
      </c>
      <c r="D1585" s="23" t="inlineStr">
        <is>
          <t>Cost Account = CA-5037</t>
        </is>
      </c>
      <c r="E1585" s="23" t="inlineStr">
        <is>
          <t>R1439-v3</t>
        </is>
      </c>
      <c r="F1585" s="23" t="inlineStr">
        <is>
          <t>UNSURE</t>
        </is>
      </c>
      <c r="G1585" s="23" t="inlineStr">
        <is>
          <t>UNSURE</t>
        </is>
      </c>
      <c r="H1585" s="23" t="inlineStr">
        <is>
          <t>RETAINED</t>
        </is>
      </c>
      <c r="I1585" s="23" t="inlineStr">
        <is>
          <t>Carried forward</t>
        </is>
      </c>
      <c r="J1585" s="23" t="inlineStr">
        <is>
          <t>Earlier professional decision, carried forward</t>
        </is>
      </c>
      <c r="K1585" s="23" t="inlineStr">
        <is>
          <t>Maya Chen, Owner Project Controls</t>
        </is>
      </c>
      <c r="L1585" s="23" t="inlineStr"/>
      <c r="M1585" s="23" t="inlineStr"/>
      <c r="N1585" s="14" t="inlineStr">
        <is>
          <t>10 EVIDENCE &amp; DECISIONS</t>
        </is>
      </c>
    </row>
    <row r="1586" ht="34" customHeight="1">
      <c r="A1586" s="23" t="inlineStr">
        <is>
          <t>Cost &amp; Forecast Control Accounts</t>
        </is>
      </c>
      <c r="B1586" s="23" t="inlineStr">
        <is>
          <t>CST-05-038</t>
        </is>
      </c>
      <c r="C1586" s="23" t="inlineStr">
        <is>
          <t>Testing &amp; readiness - safety certification - control account</t>
        </is>
      </c>
      <c r="D1586" s="23" t="inlineStr">
        <is>
          <t>Cost Account = CA-5038</t>
        </is>
      </c>
      <c r="E1586" s="23" t="inlineStr">
        <is>
          <t>R1440-v3</t>
        </is>
      </c>
      <c r="F1586" s="23" t="inlineStr">
        <is>
          <t>UNSURE</t>
        </is>
      </c>
      <c r="G1586" s="23" t="inlineStr">
        <is>
          <t>UNSURE</t>
        </is>
      </c>
      <c r="H1586" s="23" t="inlineStr">
        <is>
          <t>RETAINED</t>
        </is>
      </c>
      <c r="I1586" s="23" t="inlineStr">
        <is>
          <t>Carried forward</t>
        </is>
      </c>
      <c r="J1586" s="23" t="inlineStr">
        <is>
          <t>Earlier professional decision, carried forward</t>
        </is>
      </c>
      <c r="K1586" s="23" t="inlineStr">
        <is>
          <t>Maya Chen, Owner Project Controls</t>
        </is>
      </c>
      <c r="L1586" s="23" t="inlineStr"/>
      <c r="M1586" s="23" t="inlineStr"/>
      <c r="N1586" s="14" t="inlineStr">
        <is>
          <t>10 EVIDENCE &amp; DECISIONS</t>
        </is>
      </c>
    </row>
    <row r="1587" ht="34" customHeight="1">
      <c r="A1587" s="23" t="inlineStr">
        <is>
          <t>Cost &amp; Forecast Control Accounts</t>
        </is>
      </c>
      <c r="B1587" s="23" t="inlineStr">
        <is>
          <t>CST-05-039</t>
        </is>
      </c>
      <c r="C1587" s="23" t="inlineStr">
        <is>
          <t>Testing &amp; readiness - defect closeout - control account</t>
        </is>
      </c>
      <c r="D1587" s="23" t="inlineStr">
        <is>
          <t>Cost Account = CA-5039</t>
        </is>
      </c>
      <c r="E1587" s="23" t="inlineStr">
        <is>
          <t>R1441-v3</t>
        </is>
      </c>
      <c r="F1587" s="23" t="inlineStr">
        <is>
          <t>UNSURE</t>
        </is>
      </c>
      <c r="G1587" s="23" t="inlineStr">
        <is>
          <t>UNSURE</t>
        </is>
      </c>
      <c r="H1587" s="23" t="inlineStr">
        <is>
          <t>RETAINED</t>
        </is>
      </c>
      <c r="I1587" s="23" t="inlineStr">
        <is>
          <t>Carried forward</t>
        </is>
      </c>
      <c r="J1587" s="23" t="inlineStr">
        <is>
          <t>Earlier professional decision, carried forward</t>
        </is>
      </c>
      <c r="K1587" s="23" t="inlineStr">
        <is>
          <t>Maya Chen, Owner Project Controls</t>
        </is>
      </c>
      <c r="L1587" s="23" t="inlineStr"/>
      <c r="M1587" s="23" t="inlineStr"/>
      <c r="N1587" s="14" t="inlineStr">
        <is>
          <t>10 EVIDENCE &amp; DECISIONS</t>
        </is>
      </c>
    </row>
    <row r="1588" ht="34" customHeight="1">
      <c r="A1588" s="23" t="inlineStr">
        <is>
          <t>Cost &amp; Forecast Control Accounts</t>
        </is>
      </c>
      <c r="B1588" s="23" t="inlineStr">
        <is>
          <t>CST-05-040</t>
        </is>
      </c>
      <c r="C1588" s="23" t="inlineStr">
        <is>
          <t>Testing &amp; readiness - test management - control account</t>
        </is>
      </c>
      <c r="D1588" s="23" t="inlineStr">
        <is>
          <t>Cost Account = CA-5040</t>
        </is>
      </c>
      <c r="E1588" s="23" t="inlineStr">
        <is>
          <t>R1442-v3</t>
        </is>
      </c>
      <c r="F1588" s="23" t="inlineStr">
        <is>
          <t>UNSURE</t>
        </is>
      </c>
      <c r="G1588" s="23" t="inlineStr">
        <is>
          <t>UNSURE</t>
        </is>
      </c>
      <c r="H1588" s="23" t="inlineStr">
        <is>
          <t>RETAINED</t>
        </is>
      </c>
      <c r="I1588" s="23" t="inlineStr">
        <is>
          <t>Carried forward</t>
        </is>
      </c>
      <c r="J1588" s="23" t="inlineStr">
        <is>
          <t>Earlier professional decision, carried forward</t>
        </is>
      </c>
      <c r="K1588" s="23" t="inlineStr">
        <is>
          <t>Maya Chen, Owner Project Controls</t>
        </is>
      </c>
      <c r="L1588" s="23" t="inlineStr"/>
      <c r="M1588" s="23" t="inlineStr"/>
      <c r="N1588" s="14" t="inlineStr">
        <is>
          <t>10 EVIDENCE &amp; DECISIONS</t>
        </is>
      </c>
    </row>
    <row r="1589" ht="34" customHeight="1">
      <c r="A1589" s="23" t="inlineStr">
        <is>
          <t>Cost &amp; Forecast Control Accounts</t>
        </is>
      </c>
      <c r="B1589" s="23" t="inlineStr">
        <is>
          <t>CST-05-041</t>
        </is>
      </c>
      <c r="C1589" s="23" t="inlineStr">
        <is>
          <t>Testing &amp; readiness - trial running - control account</t>
        </is>
      </c>
      <c r="D1589" s="23" t="inlineStr">
        <is>
          <t>Cost Account = CA-5041</t>
        </is>
      </c>
      <c r="E1589" s="23" t="inlineStr">
        <is>
          <t>R1443-v3</t>
        </is>
      </c>
      <c r="F1589" s="23" t="inlineStr">
        <is>
          <t>UNSURE</t>
        </is>
      </c>
      <c r="G1589" s="23" t="inlineStr">
        <is>
          <t>UNSURE</t>
        </is>
      </c>
      <c r="H1589" s="23" t="inlineStr">
        <is>
          <t>RETAINED</t>
        </is>
      </c>
      <c r="I1589" s="23" t="inlineStr">
        <is>
          <t>Carried forward</t>
        </is>
      </c>
      <c r="J1589" s="23" t="inlineStr">
        <is>
          <t>Earlier professional decision, carried forward</t>
        </is>
      </c>
      <c r="K1589" s="23" t="inlineStr">
        <is>
          <t>Maya Chen, Owner Project Controls</t>
        </is>
      </c>
      <c r="L1589" s="23" t="inlineStr"/>
      <c r="M1589" s="23" t="inlineStr"/>
      <c r="N1589" s="14" t="inlineStr">
        <is>
          <t>10 EVIDENCE &amp; DECISIONS</t>
        </is>
      </c>
    </row>
    <row r="1590" ht="34" customHeight="1">
      <c r="A1590" s="23" t="inlineStr">
        <is>
          <t>Cost &amp; Forecast Control Accounts</t>
        </is>
      </c>
      <c r="B1590" s="23" t="inlineStr">
        <is>
          <t>CST-05-042</t>
        </is>
      </c>
      <c r="C1590" s="23" t="inlineStr">
        <is>
          <t>Testing &amp; readiness - safety certification - control account</t>
        </is>
      </c>
      <c r="D1590" s="23" t="inlineStr">
        <is>
          <t>Cost Account = CA-5042</t>
        </is>
      </c>
      <c r="E1590" s="23" t="inlineStr">
        <is>
          <t>R1444-v3</t>
        </is>
      </c>
      <c r="F1590" s="23" t="inlineStr">
        <is>
          <t>UNSURE</t>
        </is>
      </c>
      <c r="G1590" s="23" t="inlineStr">
        <is>
          <t>UNSURE</t>
        </is>
      </c>
      <c r="H1590" s="23" t="inlineStr">
        <is>
          <t>RETAINED</t>
        </is>
      </c>
      <c r="I1590" s="23" t="inlineStr">
        <is>
          <t>Carried forward</t>
        </is>
      </c>
      <c r="J1590" s="23" t="inlineStr">
        <is>
          <t>Earlier professional decision, carried forward</t>
        </is>
      </c>
      <c r="K1590" s="23" t="inlineStr">
        <is>
          <t>Maya Chen, Owner Project Controls</t>
        </is>
      </c>
      <c r="L1590" s="23" t="inlineStr"/>
      <c r="M1590" s="23" t="inlineStr"/>
      <c r="N1590" s="14" t="inlineStr">
        <is>
          <t>10 EVIDENCE &amp; DECISIONS</t>
        </is>
      </c>
    </row>
    <row r="1591" ht="34" customHeight="1">
      <c r="A1591" s="23" t="inlineStr">
        <is>
          <t>Cost &amp; Forecast Control Accounts</t>
        </is>
      </c>
      <c r="B1591" s="23" t="inlineStr">
        <is>
          <t>CST-05-043</t>
        </is>
      </c>
      <c r="C1591" s="23" t="inlineStr">
        <is>
          <t>Testing &amp; readiness - defect closeout - control account</t>
        </is>
      </c>
      <c r="D1591" s="23" t="inlineStr">
        <is>
          <t>Cost Account = CA-5043</t>
        </is>
      </c>
      <c r="E1591" s="23" t="inlineStr">
        <is>
          <t>R1445-v3</t>
        </is>
      </c>
      <c r="F1591" s="23" t="inlineStr">
        <is>
          <t>UNSURE</t>
        </is>
      </c>
      <c r="G1591" s="23" t="inlineStr">
        <is>
          <t>UNSURE</t>
        </is>
      </c>
      <c r="H1591" s="23" t="inlineStr">
        <is>
          <t>RETAINED</t>
        </is>
      </c>
      <c r="I1591" s="23" t="inlineStr">
        <is>
          <t>Carried forward</t>
        </is>
      </c>
      <c r="J1591" s="23" t="inlineStr">
        <is>
          <t>Earlier professional decision, carried forward</t>
        </is>
      </c>
      <c r="K1591" s="23" t="inlineStr">
        <is>
          <t>Maya Chen, Owner Project Controls</t>
        </is>
      </c>
      <c r="L1591" s="23" t="inlineStr"/>
      <c r="M1591" s="23" t="inlineStr"/>
      <c r="N1591" s="14" t="inlineStr">
        <is>
          <t>10 EVIDENCE &amp; DECISIONS</t>
        </is>
      </c>
    </row>
    <row r="1592" ht="34" customHeight="1">
      <c r="A1592" s="23" t="inlineStr">
        <is>
          <t>Cost &amp; Forecast Control Accounts</t>
        </is>
      </c>
      <c r="B1592" s="23" t="inlineStr">
        <is>
          <t>CST-05-044</t>
        </is>
      </c>
      <c r="C1592" s="23" t="inlineStr">
        <is>
          <t>Testing &amp; readiness - test management - control account</t>
        </is>
      </c>
      <c r="D1592" s="23" t="inlineStr">
        <is>
          <t>Cost Account = CA-5044</t>
        </is>
      </c>
      <c r="E1592" s="23" t="inlineStr">
        <is>
          <t>R1446-v3</t>
        </is>
      </c>
      <c r="F1592" s="23" t="inlineStr">
        <is>
          <t>UNSURE</t>
        </is>
      </c>
      <c r="G1592" s="23" t="inlineStr">
        <is>
          <t>UNSURE</t>
        </is>
      </c>
      <c r="H1592" s="23" t="inlineStr">
        <is>
          <t>RETAINED</t>
        </is>
      </c>
      <c r="I1592" s="23" t="inlineStr">
        <is>
          <t>Carried forward</t>
        </is>
      </c>
      <c r="J1592" s="23" t="inlineStr">
        <is>
          <t>Earlier professional decision, carried forward</t>
        </is>
      </c>
      <c r="K1592" s="23" t="inlineStr">
        <is>
          <t>Maya Chen, Owner Project Controls</t>
        </is>
      </c>
      <c r="L1592" s="23" t="inlineStr"/>
      <c r="M1592" s="23" t="inlineStr"/>
      <c r="N1592" s="14" t="inlineStr">
        <is>
          <t>10 EVIDENCE &amp; DECISIONS</t>
        </is>
      </c>
    </row>
    <row r="1593" ht="34" customHeight="1">
      <c r="A1593" s="23" t="inlineStr">
        <is>
          <t>Cost &amp; Forecast Control Accounts</t>
        </is>
      </c>
      <c r="B1593" s="23" t="inlineStr">
        <is>
          <t>CST-05-045</t>
        </is>
      </c>
      <c r="C1593" s="23" t="inlineStr">
        <is>
          <t>Testing &amp; readiness - trial running - control account</t>
        </is>
      </c>
      <c r="D1593" s="23" t="inlineStr">
        <is>
          <t>Cost Account = CA-5045</t>
        </is>
      </c>
      <c r="E1593" s="23" t="inlineStr">
        <is>
          <t>R1447-v3</t>
        </is>
      </c>
      <c r="F1593" s="23" t="inlineStr">
        <is>
          <t>UNSURE</t>
        </is>
      </c>
      <c r="G1593" s="23" t="inlineStr">
        <is>
          <t>UNSURE</t>
        </is>
      </c>
      <c r="H1593" s="23" t="inlineStr">
        <is>
          <t>RETAINED</t>
        </is>
      </c>
      <c r="I1593" s="23" t="inlineStr">
        <is>
          <t>Carried forward</t>
        </is>
      </c>
      <c r="J1593" s="23" t="inlineStr">
        <is>
          <t>Earlier professional decision, carried forward</t>
        </is>
      </c>
      <c r="K1593" s="23" t="inlineStr">
        <is>
          <t>Maya Chen, Owner Project Controls</t>
        </is>
      </c>
      <c r="L1593" s="23" t="inlineStr"/>
      <c r="M1593" s="23" t="inlineStr"/>
      <c r="N1593" s="14" t="inlineStr">
        <is>
          <t>10 EVIDENCE &amp; DECISIONS</t>
        </is>
      </c>
    </row>
    <row r="1594" ht="34" customHeight="1">
      <c r="A1594" s="23" t="inlineStr">
        <is>
          <t>Cost &amp; Forecast Control Accounts</t>
        </is>
      </c>
      <c r="B1594" s="23" t="inlineStr">
        <is>
          <t>CST-05-046</t>
        </is>
      </c>
      <c r="C1594" s="23" t="inlineStr">
        <is>
          <t>Testing &amp; readiness - safety certification - control account</t>
        </is>
      </c>
      <c r="D1594" s="23" t="inlineStr">
        <is>
          <t>Cost Account = CA-5046</t>
        </is>
      </c>
      <c r="E1594" s="23" t="inlineStr">
        <is>
          <t>R1448-v3</t>
        </is>
      </c>
      <c r="F1594" s="23" t="inlineStr">
        <is>
          <t>UNSURE</t>
        </is>
      </c>
      <c r="G1594" s="23" t="inlineStr">
        <is>
          <t>UNSURE</t>
        </is>
      </c>
      <c r="H1594" s="23" t="inlineStr">
        <is>
          <t>RETAINED</t>
        </is>
      </c>
      <c r="I1594" s="23" t="inlineStr">
        <is>
          <t>Carried forward</t>
        </is>
      </c>
      <c r="J1594" s="23" t="inlineStr">
        <is>
          <t>Earlier professional decision, carried forward</t>
        </is>
      </c>
      <c r="K1594" s="23" t="inlineStr">
        <is>
          <t>Maya Chen, Owner Project Controls</t>
        </is>
      </c>
      <c r="L1594" s="23" t="inlineStr"/>
      <c r="M1594" s="23" t="inlineStr"/>
      <c r="N1594" s="14" t="inlineStr">
        <is>
          <t>10 EVIDENCE &amp; DECISIONS</t>
        </is>
      </c>
    </row>
    <row r="1595" ht="34" customHeight="1">
      <c r="A1595" s="23" t="inlineStr">
        <is>
          <t>Cost &amp; Forecast Control Accounts</t>
        </is>
      </c>
      <c r="B1595" s="23" t="inlineStr">
        <is>
          <t>CST-05-047</t>
        </is>
      </c>
      <c r="C1595" s="23" t="inlineStr">
        <is>
          <t>Testing &amp; readiness - defect closeout - control account</t>
        </is>
      </c>
      <c r="D1595" s="23" t="inlineStr">
        <is>
          <t>Cost Account = CA-5047</t>
        </is>
      </c>
      <c r="E1595" s="23" t="inlineStr">
        <is>
          <t>R1449-v3</t>
        </is>
      </c>
      <c r="F1595" s="23" t="inlineStr">
        <is>
          <t>UNSURE</t>
        </is>
      </c>
      <c r="G1595" s="23" t="inlineStr">
        <is>
          <t>UNSURE</t>
        </is>
      </c>
      <c r="H1595" s="23" t="inlineStr">
        <is>
          <t>RETAINED</t>
        </is>
      </c>
      <c r="I1595" s="23" t="inlineStr">
        <is>
          <t>Carried forward</t>
        </is>
      </c>
      <c r="J1595" s="23" t="inlineStr">
        <is>
          <t>Earlier professional decision, carried forward</t>
        </is>
      </c>
      <c r="K1595" s="23" t="inlineStr">
        <is>
          <t>Maya Chen, Owner Project Controls</t>
        </is>
      </c>
      <c r="L1595" s="23" t="inlineStr"/>
      <c r="M1595" s="23" t="inlineStr"/>
      <c r="N1595" s="14" t="inlineStr">
        <is>
          <t>10 EVIDENCE &amp; DECISIONS</t>
        </is>
      </c>
    </row>
    <row r="1596" ht="34" customHeight="1">
      <c r="A1596" s="23" t="inlineStr">
        <is>
          <t>Cost &amp; Forecast Control Accounts</t>
        </is>
      </c>
      <c r="B1596" s="23" t="inlineStr">
        <is>
          <t>CST-05-048</t>
        </is>
      </c>
      <c r="C1596" s="23" t="inlineStr">
        <is>
          <t>Testing &amp; readiness - test management - control account</t>
        </is>
      </c>
      <c r="D1596" s="23" t="inlineStr">
        <is>
          <t>Cost Account = CA-5048</t>
        </is>
      </c>
      <c r="E1596" s="23" t="inlineStr">
        <is>
          <t>R1450-v3</t>
        </is>
      </c>
      <c r="F1596" s="23" t="inlineStr">
        <is>
          <t>UNSURE</t>
        </is>
      </c>
      <c r="G1596" s="23" t="inlineStr">
        <is>
          <t>UNSURE</t>
        </is>
      </c>
      <c r="H1596" s="23" t="inlineStr">
        <is>
          <t>RETAINED</t>
        </is>
      </c>
      <c r="I1596" s="23" t="inlineStr">
        <is>
          <t>Carried forward</t>
        </is>
      </c>
      <c r="J1596" s="23" t="inlineStr">
        <is>
          <t>Earlier professional decision, carried forward</t>
        </is>
      </c>
      <c r="K1596" s="23" t="inlineStr">
        <is>
          <t>Maya Chen, Owner Project Controls</t>
        </is>
      </c>
      <c r="L1596" s="23" t="inlineStr"/>
      <c r="M1596" s="23" t="inlineStr"/>
      <c r="N1596" s="14" t="inlineStr">
        <is>
          <t>10 EVIDENCE &amp; DECISIONS</t>
        </is>
      </c>
    </row>
    <row r="1597" ht="34" customHeight="1">
      <c r="A1597" s="23" t="inlineStr">
        <is>
          <t>Cost &amp; Forecast Control Accounts</t>
        </is>
      </c>
      <c r="B1597" s="23" t="inlineStr">
        <is>
          <t>CST-05-049</t>
        </is>
      </c>
      <c r="C1597" s="23" t="inlineStr">
        <is>
          <t>Testing &amp; readiness - trial running - control account</t>
        </is>
      </c>
      <c r="D1597" s="23" t="inlineStr">
        <is>
          <t>Cost Account = CA-5049</t>
        </is>
      </c>
      <c r="E1597" s="23" t="inlineStr">
        <is>
          <t>R1451-v3</t>
        </is>
      </c>
      <c r="F1597" s="23" t="inlineStr">
        <is>
          <t>UNSURE</t>
        </is>
      </c>
      <c r="G1597" s="23" t="inlineStr">
        <is>
          <t>UNSURE</t>
        </is>
      </c>
      <c r="H1597" s="23" t="inlineStr">
        <is>
          <t>RETAINED</t>
        </is>
      </c>
      <c r="I1597" s="23" t="inlineStr">
        <is>
          <t>Carried forward</t>
        </is>
      </c>
      <c r="J1597" s="23" t="inlineStr">
        <is>
          <t>Earlier professional decision, carried forward</t>
        </is>
      </c>
      <c r="K1597" s="23" t="inlineStr">
        <is>
          <t>Maya Chen, Owner Project Controls</t>
        </is>
      </c>
      <c r="L1597" s="23" t="inlineStr"/>
      <c r="M1597" s="23" t="inlineStr"/>
      <c r="N1597" s="14" t="inlineStr">
        <is>
          <t>10 EVIDENCE &amp; DECISIONS</t>
        </is>
      </c>
    </row>
    <row r="1598" ht="34" customHeight="1">
      <c r="A1598" s="23" t="inlineStr">
        <is>
          <t>Cost &amp; Forecast Control Accounts</t>
        </is>
      </c>
      <c r="B1598" s="23" t="inlineStr">
        <is>
          <t>CST-05-050</t>
        </is>
      </c>
      <c r="C1598" s="23" t="inlineStr">
        <is>
          <t>Testing &amp; readiness - safety certification - control account</t>
        </is>
      </c>
      <c r="D1598" s="23" t="inlineStr">
        <is>
          <t>Cost Account = CA-5050</t>
        </is>
      </c>
      <c r="E1598" s="23" t="inlineStr">
        <is>
          <t>R1452-v3</t>
        </is>
      </c>
      <c r="F1598" s="23" t="inlineStr">
        <is>
          <t>UNSURE</t>
        </is>
      </c>
      <c r="G1598" s="23" t="inlineStr">
        <is>
          <t>UNSURE</t>
        </is>
      </c>
      <c r="H1598" s="23" t="inlineStr">
        <is>
          <t>RETAINED</t>
        </is>
      </c>
      <c r="I1598" s="23" t="inlineStr">
        <is>
          <t>Carried forward</t>
        </is>
      </c>
      <c r="J1598" s="23" t="inlineStr">
        <is>
          <t>Earlier professional decision, carried forward</t>
        </is>
      </c>
      <c r="K1598" s="23" t="inlineStr">
        <is>
          <t>Maya Chen, Owner Project Controls</t>
        </is>
      </c>
      <c r="L1598" s="23" t="inlineStr"/>
      <c r="M1598" s="23" t="inlineStr"/>
      <c r="N1598" s="14" t="inlineStr">
        <is>
          <t>10 EVIDENCE &amp; DECISIONS</t>
        </is>
      </c>
    </row>
    <row r="1599" ht="34" customHeight="1">
      <c r="A1599" s="23" t="inlineStr">
        <is>
          <t>Cost &amp; Forecast Control Accounts</t>
        </is>
      </c>
      <c r="B1599" s="23" t="inlineStr">
        <is>
          <t>CST-05-051</t>
        </is>
      </c>
      <c r="C1599" s="23" t="inlineStr">
        <is>
          <t>Testing &amp; readiness - defect closeout - control account</t>
        </is>
      </c>
      <c r="D1599" s="23" t="inlineStr">
        <is>
          <t>Cost Account = CA-5051</t>
        </is>
      </c>
      <c r="E1599" s="23" t="inlineStr">
        <is>
          <t>R1453-v3</t>
        </is>
      </c>
      <c r="F1599" s="23" t="inlineStr">
        <is>
          <t>UNSURE</t>
        </is>
      </c>
      <c r="G1599" s="23" t="inlineStr">
        <is>
          <t>UNSURE</t>
        </is>
      </c>
      <c r="H1599" s="23" t="inlineStr">
        <is>
          <t>RETAINED</t>
        </is>
      </c>
      <c r="I1599" s="23" t="inlineStr">
        <is>
          <t>Carried forward</t>
        </is>
      </c>
      <c r="J1599" s="23" t="inlineStr">
        <is>
          <t>Earlier professional decision, carried forward</t>
        </is>
      </c>
      <c r="K1599" s="23" t="inlineStr">
        <is>
          <t>Maya Chen, Owner Project Controls</t>
        </is>
      </c>
      <c r="L1599" s="23" t="inlineStr"/>
      <c r="M1599" s="23" t="inlineStr"/>
      <c r="N1599" s="14" t="inlineStr">
        <is>
          <t>10 EVIDENCE &amp; DECISIONS</t>
        </is>
      </c>
    </row>
    <row r="1600" ht="34" customHeight="1">
      <c r="A1600" s="23" t="inlineStr">
        <is>
          <t>Cost &amp; Forecast Control Accounts</t>
        </is>
      </c>
      <c r="B1600" s="23" t="inlineStr">
        <is>
          <t>CST-05-052</t>
        </is>
      </c>
      <c r="C1600" s="23" t="inlineStr">
        <is>
          <t>Testing &amp; readiness - test management - control account</t>
        </is>
      </c>
      <c r="D1600" s="23" t="inlineStr">
        <is>
          <t>Cost Account = CA-5052</t>
        </is>
      </c>
      <c r="E1600" s="23" t="inlineStr">
        <is>
          <t>R1454-v3</t>
        </is>
      </c>
      <c r="F1600" s="23" t="inlineStr">
        <is>
          <t>UNSURE</t>
        </is>
      </c>
      <c r="G1600" s="23" t="inlineStr">
        <is>
          <t>UNSURE</t>
        </is>
      </c>
      <c r="H1600" s="23" t="inlineStr">
        <is>
          <t>RETAINED</t>
        </is>
      </c>
      <c r="I1600" s="23" t="inlineStr">
        <is>
          <t>Carried forward</t>
        </is>
      </c>
      <c r="J1600" s="23" t="inlineStr">
        <is>
          <t>Earlier professional decision, carried forward</t>
        </is>
      </c>
      <c r="K1600" s="23" t="inlineStr">
        <is>
          <t>Maya Chen, Owner Project Controls</t>
        </is>
      </c>
      <c r="L1600" s="23" t="inlineStr"/>
      <c r="M1600" s="23" t="inlineStr"/>
      <c r="N1600" s="14" t="inlineStr">
        <is>
          <t>10 EVIDENCE &amp; DECISIONS</t>
        </is>
      </c>
    </row>
    <row r="1601" ht="34" customHeight="1">
      <c r="A1601" s="23" t="inlineStr">
        <is>
          <t>Cost &amp; Forecast Control Accounts</t>
        </is>
      </c>
      <c r="B1601" s="23" t="inlineStr">
        <is>
          <t>CST-05-053</t>
        </is>
      </c>
      <c r="C1601" s="23" t="inlineStr">
        <is>
          <t>Testing &amp; readiness - trial running - control account</t>
        </is>
      </c>
      <c r="D1601" s="23" t="inlineStr">
        <is>
          <t>Cost Account = CA-5053</t>
        </is>
      </c>
      <c r="E1601" s="23" t="inlineStr">
        <is>
          <t>R1455-v3</t>
        </is>
      </c>
      <c r="F1601" s="23" t="inlineStr">
        <is>
          <t>UNSURE</t>
        </is>
      </c>
      <c r="G1601" s="23" t="inlineStr">
        <is>
          <t>UNSURE</t>
        </is>
      </c>
      <c r="H1601" s="23" t="inlineStr">
        <is>
          <t>RETAINED</t>
        </is>
      </c>
      <c r="I1601" s="23" t="inlineStr">
        <is>
          <t>Carried forward</t>
        </is>
      </c>
      <c r="J1601" s="23" t="inlineStr">
        <is>
          <t>Earlier professional decision, carried forward</t>
        </is>
      </c>
      <c r="K1601" s="23" t="inlineStr">
        <is>
          <t>Maya Chen, Owner Project Controls</t>
        </is>
      </c>
      <c r="L1601" s="23" t="inlineStr"/>
      <c r="M1601" s="23" t="inlineStr"/>
      <c r="N1601" s="14" t="inlineStr">
        <is>
          <t>10 EVIDENCE &amp; DECISIONS</t>
        </is>
      </c>
    </row>
    <row r="1602" ht="34" customHeight="1">
      <c r="A1602" s="23" t="inlineStr">
        <is>
          <t>Cost &amp; Forecast Control Accounts</t>
        </is>
      </c>
      <c r="B1602" s="23" t="inlineStr">
        <is>
          <t>CST-05-054</t>
        </is>
      </c>
      <c r="C1602" s="23" t="inlineStr">
        <is>
          <t>Testing &amp; readiness - safety certification - control account</t>
        </is>
      </c>
      <c r="D1602" s="23" t="inlineStr">
        <is>
          <t>Cost Account = CA-5054</t>
        </is>
      </c>
      <c r="E1602" s="23" t="inlineStr">
        <is>
          <t>R1456-v3</t>
        </is>
      </c>
      <c r="F1602" s="23" t="inlineStr">
        <is>
          <t>UNSURE</t>
        </is>
      </c>
      <c r="G1602" s="23" t="inlineStr">
        <is>
          <t>UNSURE</t>
        </is>
      </c>
      <c r="H1602" s="23" t="inlineStr">
        <is>
          <t>RETAINED</t>
        </is>
      </c>
      <c r="I1602" s="23" t="inlineStr">
        <is>
          <t>Carried forward</t>
        </is>
      </c>
      <c r="J1602" s="23" t="inlineStr">
        <is>
          <t>Earlier professional decision, carried forward</t>
        </is>
      </c>
      <c r="K1602" s="23" t="inlineStr">
        <is>
          <t>Maya Chen, Owner Project Controls</t>
        </is>
      </c>
      <c r="L1602" s="23" t="inlineStr"/>
      <c r="M1602" s="23" t="inlineStr"/>
      <c r="N1602" s="14" t="inlineStr">
        <is>
          <t>10 EVIDENCE &amp; DECISIONS</t>
        </is>
      </c>
    </row>
    <row r="1603" ht="34" customHeight="1">
      <c r="A1603" s="23" t="inlineStr">
        <is>
          <t>Cost &amp; Forecast Control Accounts</t>
        </is>
      </c>
      <c r="B1603" s="23" t="inlineStr">
        <is>
          <t>CST-05-055</t>
        </is>
      </c>
      <c r="C1603" s="23" t="inlineStr">
        <is>
          <t>Testing &amp; readiness - defect closeout - control account</t>
        </is>
      </c>
      <c r="D1603" s="23" t="inlineStr">
        <is>
          <t>Cost Account = CA-5055</t>
        </is>
      </c>
      <c r="E1603" s="23" t="inlineStr">
        <is>
          <t>R1457-v3</t>
        </is>
      </c>
      <c r="F1603" s="23" t="inlineStr">
        <is>
          <t>UNSURE</t>
        </is>
      </c>
      <c r="G1603" s="23" t="inlineStr">
        <is>
          <t>UNSURE</t>
        </is>
      </c>
      <c r="H1603" s="23" t="inlineStr">
        <is>
          <t>RETAINED</t>
        </is>
      </c>
      <c r="I1603" s="23" t="inlineStr">
        <is>
          <t>Carried forward</t>
        </is>
      </c>
      <c r="J1603" s="23" t="inlineStr">
        <is>
          <t>Earlier professional decision, carried forward</t>
        </is>
      </c>
      <c r="K1603" s="23" t="inlineStr">
        <is>
          <t>Maya Chen, Owner Project Controls</t>
        </is>
      </c>
      <c r="L1603" s="23" t="inlineStr"/>
      <c r="M1603" s="23" t="inlineStr"/>
      <c r="N1603" s="14" t="inlineStr">
        <is>
          <t>10 EVIDENCE &amp; DECISIONS</t>
        </is>
      </c>
    </row>
    <row r="1604" ht="34" customHeight="1">
      <c r="A1604" s="23" t="inlineStr">
        <is>
          <t>Cost &amp; Forecast Control Accounts</t>
        </is>
      </c>
      <c r="B1604" s="23" t="inlineStr">
        <is>
          <t>CST-05-056</t>
        </is>
      </c>
      <c r="C1604" s="23" t="inlineStr">
        <is>
          <t>Testing &amp; readiness - test management - control account</t>
        </is>
      </c>
      <c r="D1604" s="23" t="inlineStr">
        <is>
          <t>Cost Account = CA-5056</t>
        </is>
      </c>
      <c r="E1604" s="23" t="inlineStr">
        <is>
          <t>R1458-v3</t>
        </is>
      </c>
      <c r="F1604" s="23" t="inlineStr">
        <is>
          <t>UNSURE</t>
        </is>
      </c>
      <c r="G1604" s="23" t="inlineStr">
        <is>
          <t>UNSURE</t>
        </is>
      </c>
      <c r="H1604" s="23" t="inlineStr">
        <is>
          <t>RETAINED</t>
        </is>
      </c>
      <c r="I1604" s="23" t="inlineStr">
        <is>
          <t>Carried forward</t>
        </is>
      </c>
      <c r="J1604" s="23" t="inlineStr">
        <is>
          <t>Earlier professional decision, carried forward</t>
        </is>
      </c>
      <c r="K1604" s="23" t="inlineStr">
        <is>
          <t>Maya Chen, Owner Project Controls</t>
        </is>
      </c>
      <c r="L1604" s="23" t="inlineStr"/>
      <c r="M1604" s="23" t="inlineStr"/>
      <c r="N1604" s="14" t="inlineStr">
        <is>
          <t>10 EVIDENCE &amp; DECISIONS</t>
        </is>
      </c>
    </row>
    <row r="1605" ht="34" customHeight="1">
      <c r="A1605" s="23" t="inlineStr">
        <is>
          <t>Cost &amp; Forecast Control Accounts</t>
        </is>
      </c>
      <c r="B1605" s="23" t="inlineStr">
        <is>
          <t>CST-05-057</t>
        </is>
      </c>
      <c r="C1605" s="23" t="inlineStr">
        <is>
          <t>Testing &amp; readiness - trial running - control account</t>
        </is>
      </c>
      <c r="D1605" s="23" t="inlineStr">
        <is>
          <t>Cost Account = CA-5057</t>
        </is>
      </c>
      <c r="E1605" s="23" t="inlineStr">
        <is>
          <t>R1459-v3</t>
        </is>
      </c>
      <c r="F1605" s="23" t="inlineStr">
        <is>
          <t>UNSURE</t>
        </is>
      </c>
      <c r="G1605" s="23" t="inlineStr">
        <is>
          <t>UNSURE</t>
        </is>
      </c>
      <c r="H1605" s="23" t="inlineStr">
        <is>
          <t>RETAINED</t>
        </is>
      </c>
      <c r="I1605" s="23" t="inlineStr">
        <is>
          <t>Carried forward</t>
        </is>
      </c>
      <c r="J1605" s="23" t="inlineStr">
        <is>
          <t>Earlier professional decision, carried forward</t>
        </is>
      </c>
      <c r="K1605" s="23" t="inlineStr">
        <is>
          <t>Maya Chen, Owner Project Controls</t>
        </is>
      </c>
      <c r="L1605" s="23" t="inlineStr"/>
      <c r="M1605" s="23" t="inlineStr"/>
      <c r="N1605" s="14" t="inlineStr">
        <is>
          <t>10 EVIDENCE &amp; DECISIONS</t>
        </is>
      </c>
    </row>
    <row r="1606" ht="34" customHeight="1">
      <c r="A1606" s="23" t="inlineStr">
        <is>
          <t>Cost &amp; Forecast Control Accounts</t>
        </is>
      </c>
      <c r="B1606" s="23" t="inlineStr">
        <is>
          <t>CST-05-058</t>
        </is>
      </c>
      <c r="C1606" s="23" t="inlineStr">
        <is>
          <t>Testing &amp; readiness - safety certification - control account</t>
        </is>
      </c>
      <c r="D1606" s="23" t="inlineStr">
        <is>
          <t>Cost Account = CA-5058</t>
        </is>
      </c>
      <c r="E1606" s="23" t="inlineStr">
        <is>
          <t>R1460-v3</t>
        </is>
      </c>
      <c r="F1606" s="23" t="inlineStr">
        <is>
          <t>UNSURE</t>
        </is>
      </c>
      <c r="G1606" s="23" t="inlineStr">
        <is>
          <t>UNSURE</t>
        </is>
      </c>
      <c r="H1606" s="23" t="inlineStr">
        <is>
          <t>RETAINED</t>
        </is>
      </c>
      <c r="I1606" s="23" t="inlineStr">
        <is>
          <t>Carried forward</t>
        </is>
      </c>
      <c r="J1606" s="23" t="inlineStr">
        <is>
          <t>Earlier professional decision, carried forward</t>
        </is>
      </c>
      <c r="K1606" s="23" t="inlineStr">
        <is>
          <t>Maya Chen, Owner Project Controls</t>
        </is>
      </c>
      <c r="L1606" s="23" t="inlineStr"/>
      <c r="M1606" s="23" t="inlineStr"/>
      <c r="N1606" s="14" t="inlineStr">
        <is>
          <t>10 EVIDENCE &amp; DECISIONS</t>
        </is>
      </c>
    </row>
    <row r="1607" ht="34" customHeight="1">
      <c r="A1607" s="23" t="inlineStr">
        <is>
          <t>Cost &amp; Forecast Control Accounts</t>
        </is>
      </c>
      <c r="B1607" s="23" t="inlineStr">
        <is>
          <t>CST-05-059</t>
        </is>
      </c>
      <c r="C1607" s="23" t="inlineStr">
        <is>
          <t>Testing &amp; readiness - defect closeout - control account</t>
        </is>
      </c>
      <c r="D1607" s="23" t="inlineStr">
        <is>
          <t>Cost Account = CA-5059</t>
        </is>
      </c>
      <c r="E1607" s="23" t="inlineStr">
        <is>
          <t>R1461-v3</t>
        </is>
      </c>
      <c r="F1607" s="23" t="inlineStr">
        <is>
          <t>UNSURE</t>
        </is>
      </c>
      <c r="G1607" s="23" t="inlineStr">
        <is>
          <t>UNSURE</t>
        </is>
      </c>
      <c r="H1607" s="23" t="inlineStr">
        <is>
          <t>RETAINED</t>
        </is>
      </c>
      <c r="I1607" s="23" t="inlineStr">
        <is>
          <t>Carried forward</t>
        </is>
      </c>
      <c r="J1607" s="23" t="inlineStr">
        <is>
          <t>Earlier professional decision, carried forward</t>
        </is>
      </c>
      <c r="K1607" s="23" t="inlineStr">
        <is>
          <t>Maya Chen, Owner Project Controls</t>
        </is>
      </c>
      <c r="L1607" s="23" t="inlineStr"/>
      <c r="M1607" s="23" t="inlineStr"/>
      <c r="N1607" s="14" t="inlineStr">
        <is>
          <t>10 EVIDENCE &amp; DECISIONS</t>
        </is>
      </c>
    </row>
    <row r="1608" ht="34" customHeight="1">
      <c r="A1608" s="23" t="inlineStr">
        <is>
          <t>Cost &amp; Forecast Control Accounts</t>
        </is>
      </c>
      <c r="B1608" s="23" t="inlineStr">
        <is>
          <t>CST-05-060</t>
        </is>
      </c>
      <c r="C1608" s="23" t="inlineStr">
        <is>
          <t>Testing &amp; readiness - test management - control account</t>
        </is>
      </c>
      <c r="D1608" s="23" t="inlineStr">
        <is>
          <t>Cost Account = CA-5060</t>
        </is>
      </c>
      <c r="E1608" s="23" t="inlineStr">
        <is>
          <t>R1462-v3</t>
        </is>
      </c>
      <c r="F1608" s="23" t="inlineStr">
        <is>
          <t>UNSURE</t>
        </is>
      </c>
      <c r="G1608" s="23" t="inlineStr">
        <is>
          <t>UNSURE</t>
        </is>
      </c>
      <c r="H1608" s="23" t="inlineStr">
        <is>
          <t>RETAINED</t>
        </is>
      </c>
      <c r="I1608" s="23" t="inlineStr">
        <is>
          <t>Carried forward</t>
        </is>
      </c>
      <c r="J1608" s="23" t="inlineStr">
        <is>
          <t>Earlier professional decision, carried forward</t>
        </is>
      </c>
      <c r="K1608" s="23" t="inlineStr">
        <is>
          <t>Maya Chen, Owner Project Controls</t>
        </is>
      </c>
      <c r="L1608" s="23" t="inlineStr"/>
      <c r="M1608" s="23" t="inlineStr"/>
      <c r="N1608" s="14" t="inlineStr">
        <is>
          <t>10 EVIDENCE &amp; DECISIONS</t>
        </is>
      </c>
    </row>
    <row r="1609" ht="34" customHeight="1">
      <c r="A1609" s="23" t="inlineStr">
        <is>
          <t>Cost &amp; Forecast Control Accounts</t>
        </is>
      </c>
      <c r="B1609" s="23" t="inlineStr">
        <is>
          <t>CST-05-061</t>
        </is>
      </c>
      <c r="C1609" s="23" t="inlineStr">
        <is>
          <t>Testing &amp; readiness - trial running - control account</t>
        </is>
      </c>
      <c r="D1609" s="23" t="inlineStr">
        <is>
          <t>Cost Account = CA-5061</t>
        </is>
      </c>
      <c r="E1609" s="23" t="inlineStr">
        <is>
          <t>R1463-v3</t>
        </is>
      </c>
      <c r="F1609" s="23" t="inlineStr">
        <is>
          <t>UNSURE</t>
        </is>
      </c>
      <c r="G1609" s="23" t="inlineStr">
        <is>
          <t>UNSURE</t>
        </is>
      </c>
      <c r="H1609" s="23" t="inlineStr">
        <is>
          <t>RETAINED</t>
        </is>
      </c>
      <c r="I1609" s="23" t="inlineStr">
        <is>
          <t>Carried forward</t>
        </is>
      </c>
      <c r="J1609" s="23" t="inlineStr">
        <is>
          <t>Earlier professional decision, carried forward</t>
        </is>
      </c>
      <c r="K1609" s="23" t="inlineStr">
        <is>
          <t>Maya Chen, Owner Project Controls</t>
        </is>
      </c>
      <c r="L1609" s="23" t="inlineStr"/>
      <c r="M1609" s="23" t="inlineStr"/>
      <c r="N1609" s="14" t="inlineStr">
        <is>
          <t>10 EVIDENCE &amp; DECISIONS</t>
        </is>
      </c>
    </row>
    <row r="1610" ht="34" customHeight="1">
      <c r="A1610" s="23" t="inlineStr">
        <is>
          <t>Cost &amp; Forecast Control Accounts</t>
        </is>
      </c>
      <c r="B1610" s="23" t="inlineStr">
        <is>
          <t>CST-05-062</t>
        </is>
      </c>
      <c r="C1610" s="23" t="inlineStr">
        <is>
          <t>Testing &amp; readiness - safety certification - control account</t>
        </is>
      </c>
      <c r="D1610" s="23" t="inlineStr">
        <is>
          <t>Cost Account = CA-5062</t>
        </is>
      </c>
      <c r="E1610" s="23" t="inlineStr">
        <is>
          <t>R1464-v3</t>
        </is>
      </c>
      <c r="F1610" s="23" t="inlineStr">
        <is>
          <t>UNSURE</t>
        </is>
      </c>
      <c r="G1610" s="23" t="inlineStr">
        <is>
          <t>UNSURE</t>
        </is>
      </c>
      <c r="H1610" s="23" t="inlineStr">
        <is>
          <t>RETAINED</t>
        </is>
      </c>
      <c r="I1610" s="23" t="inlineStr">
        <is>
          <t>Carried forward</t>
        </is>
      </c>
      <c r="J1610" s="23" t="inlineStr">
        <is>
          <t>Earlier professional decision, carried forward</t>
        </is>
      </c>
      <c r="K1610" s="23" t="inlineStr">
        <is>
          <t>Maya Chen, Owner Project Controls</t>
        </is>
      </c>
      <c r="L1610" s="23" t="inlineStr"/>
      <c r="M1610" s="23" t="inlineStr"/>
      <c r="N1610" s="14" t="inlineStr">
        <is>
          <t>10 EVIDENCE &amp; DECISIONS</t>
        </is>
      </c>
    </row>
    <row r="1611" ht="34" customHeight="1">
      <c r="A1611" s="23" t="inlineStr">
        <is>
          <t>Cost &amp; Forecast Control Accounts</t>
        </is>
      </c>
      <c r="B1611" s="23" t="inlineStr">
        <is>
          <t>CST-05-063</t>
        </is>
      </c>
      <c r="C1611" s="23" t="inlineStr">
        <is>
          <t>Testing &amp; readiness - defect closeout - control account</t>
        </is>
      </c>
      <c r="D1611" s="23" t="inlineStr">
        <is>
          <t>Cost Account = CA-5063</t>
        </is>
      </c>
      <c r="E1611" s="23" t="inlineStr">
        <is>
          <t>R1465-v3</t>
        </is>
      </c>
      <c r="F1611" s="23" t="inlineStr">
        <is>
          <t>UNSURE</t>
        </is>
      </c>
      <c r="G1611" s="23" t="inlineStr">
        <is>
          <t>UNSURE</t>
        </is>
      </c>
      <c r="H1611" s="23" t="inlineStr">
        <is>
          <t>RETAINED</t>
        </is>
      </c>
      <c r="I1611" s="23" t="inlineStr">
        <is>
          <t>Carried forward</t>
        </is>
      </c>
      <c r="J1611" s="23" t="inlineStr">
        <is>
          <t>Earlier professional decision, carried forward</t>
        </is>
      </c>
      <c r="K1611" s="23" t="inlineStr">
        <is>
          <t>Maya Chen, Owner Project Controls</t>
        </is>
      </c>
      <c r="L1611" s="23" t="inlineStr"/>
      <c r="M1611" s="23" t="inlineStr"/>
      <c r="N1611" s="14" t="inlineStr">
        <is>
          <t>10 EVIDENCE &amp; DECISIONS</t>
        </is>
      </c>
    </row>
    <row r="1612" ht="34" customHeight="1">
      <c r="A1612" s="23" t="inlineStr">
        <is>
          <t>Cost &amp; Forecast Control Accounts</t>
        </is>
      </c>
      <c r="B1612" s="23" t="inlineStr">
        <is>
          <t>CST-05-064</t>
        </is>
      </c>
      <c r="C1612" s="23" t="inlineStr">
        <is>
          <t>Testing &amp; readiness - test management - control account</t>
        </is>
      </c>
      <c r="D1612" s="23" t="inlineStr">
        <is>
          <t>Cost Account = CA-5064</t>
        </is>
      </c>
      <c r="E1612" s="23" t="inlineStr">
        <is>
          <t>R1466-v3</t>
        </is>
      </c>
      <c r="F1612" s="23" t="inlineStr">
        <is>
          <t>UNSURE</t>
        </is>
      </c>
      <c r="G1612" s="23" t="inlineStr">
        <is>
          <t>UNSURE</t>
        </is>
      </c>
      <c r="H1612" s="23" t="inlineStr">
        <is>
          <t>RETAINED</t>
        </is>
      </c>
      <c r="I1612" s="23" t="inlineStr">
        <is>
          <t>Carried forward</t>
        </is>
      </c>
      <c r="J1612" s="23" t="inlineStr">
        <is>
          <t>Earlier professional decision, carried forward</t>
        </is>
      </c>
      <c r="K1612" s="23" t="inlineStr">
        <is>
          <t>Maya Chen, Owner Project Controls</t>
        </is>
      </c>
      <c r="L1612" s="23" t="inlineStr"/>
      <c r="M1612" s="23" t="inlineStr"/>
      <c r="N1612" s="14" t="inlineStr">
        <is>
          <t>10 EVIDENCE &amp; DECISIONS</t>
        </is>
      </c>
    </row>
    <row r="1613" ht="34" customHeight="1">
      <c r="A1613" s="23" t="inlineStr">
        <is>
          <t>Cost &amp; Forecast Control Accounts</t>
        </is>
      </c>
      <c r="B1613" s="23" t="inlineStr">
        <is>
          <t>CST-05-065</t>
        </is>
      </c>
      <c r="C1613" s="23" t="inlineStr">
        <is>
          <t>Testing &amp; readiness - trial running - control account</t>
        </is>
      </c>
      <c r="D1613" s="23" t="inlineStr">
        <is>
          <t>Cost Account = CA-5065</t>
        </is>
      </c>
      <c r="E1613" s="23" t="inlineStr">
        <is>
          <t>R1467-v3</t>
        </is>
      </c>
      <c r="F1613" s="23" t="inlineStr">
        <is>
          <t>UNSURE</t>
        </is>
      </c>
      <c r="G1613" s="23" t="inlineStr">
        <is>
          <t>UNSURE</t>
        </is>
      </c>
      <c r="H1613" s="23" t="inlineStr">
        <is>
          <t>RETAINED</t>
        </is>
      </c>
      <c r="I1613" s="23" t="inlineStr">
        <is>
          <t>Carried forward</t>
        </is>
      </c>
      <c r="J1613" s="23" t="inlineStr">
        <is>
          <t>Earlier professional decision, carried forward</t>
        </is>
      </c>
      <c r="K1613" s="23" t="inlineStr">
        <is>
          <t>Maya Chen, Owner Project Controls</t>
        </is>
      </c>
      <c r="L1613" s="23" t="inlineStr"/>
      <c r="M1613" s="23" t="inlineStr"/>
      <c r="N1613" s="14" t="inlineStr">
        <is>
          <t>10 EVIDENCE &amp; DECISIONS</t>
        </is>
      </c>
    </row>
    <row r="1614" ht="34" customHeight="1">
      <c r="A1614" s="23" t="inlineStr">
        <is>
          <t>Cost &amp; Forecast Control Accounts</t>
        </is>
      </c>
      <c r="B1614" s="23" t="inlineStr">
        <is>
          <t>CST-05-066</t>
        </is>
      </c>
      <c r="C1614" s="23" t="inlineStr">
        <is>
          <t>Testing &amp; readiness - safety certification - control account</t>
        </is>
      </c>
      <c r="D1614" s="23" t="inlineStr">
        <is>
          <t>Cost Account = CA-5066</t>
        </is>
      </c>
      <c r="E1614" s="23" t="inlineStr">
        <is>
          <t>R1468-v3</t>
        </is>
      </c>
      <c r="F1614" s="23" t="inlineStr">
        <is>
          <t>UNSURE</t>
        </is>
      </c>
      <c r="G1614" s="23" t="inlineStr">
        <is>
          <t>UNSURE</t>
        </is>
      </c>
      <c r="H1614" s="23" t="inlineStr">
        <is>
          <t>RETAINED</t>
        </is>
      </c>
      <c r="I1614" s="23" t="inlineStr">
        <is>
          <t>Carried forward</t>
        </is>
      </c>
      <c r="J1614" s="23" t="inlineStr">
        <is>
          <t>Earlier professional decision, carried forward</t>
        </is>
      </c>
      <c r="K1614" s="23" t="inlineStr">
        <is>
          <t>Maya Chen, Owner Project Controls</t>
        </is>
      </c>
      <c r="L1614" s="23" t="inlineStr"/>
      <c r="M1614" s="23" t="inlineStr"/>
      <c r="N1614" s="14" t="inlineStr">
        <is>
          <t>10 EVIDENCE &amp; DECISIONS</t>
        </is>
      </c>
    </row>
    <row r="1615" ht="34" customHeight="1">
      <c r="A1615" s="23" t="inlineStr">
        <is>
          <t>Cost &amp; Forecast Control Accounts</t>
        </is>
      </c>
      <c r="B1615" s="23" t="inlineStr">
        <is>
          <t>CST-05-067</t>
        </is>
      </c>
      <c r="C1615" s="23" t="inlineStr">
        <is>
          <t>Testing &amp; readiness - defect closeout - control account</t>
        </is>
      </c>
      <c r="D1615" s="23" t="inlineStr">
        <is>
          <t>Cost Account = CA-5067</t>
        </is>
      </c>
      <c r="E1615" s="23" t="inlineStr">
        <is>
          <t>R1469-v3</t>
        </is>
      </c>
      <c r="F1615" s="23" t="inlineStr">
        <is>
          <t>UNSURE</t>
        </is>
      </c>
      <c r="G1615" s="23" t="inlineStr">
        <is>
          <t>UNSURE</t>
        </is>
      </c>
      <c r="H1615" s="23" t="inlineStr">
        <is>
          <t>RETAINED</t>
        </is>
      </c>
      <c r="I1615" s="23" t="inlineStr">
        <is>
          <t>Carried forward</t>
        </is>
      </c>
      <c r="J1615" s="23" t="inlineStr">
        <is>
          <t>Earlier professional decision, carried forward</t>
        </is>
      </c>
      <c r="K1615" s="23" t="inlineStr">
        <is>
          <t>Maya Chen, Owner Project Controls</t>
        </is>
      </c>
      <c r="L1615" s="23" t="inlineStr"/>
      <c r="M1615" s="23" t="inlineStr"/>
      <c r="N1615" s="14" t="inlineStr">
        <is>
          <t>10 EVIDENCE &amp; DECISIONS</t>
        </is>
      </c>
    </row>
    <row r="1616" ht="34" customHeight="1">
      <c r="A1616" s="23" t="inlineStr">
        <is>
          <t>Cost &amp; Forecast Control Accounts</t>
        </is>
      </c>
      <c r="B1616" s="23" t="inlineStr">
        <is>
          <t>CST-05-068</t>
        </is>
      </c>
      <c r="C1616" s="23" t="inlineStr">
        <is>
          <t>Testing &amp; readiness - test management - control account</t>
        </is>
      </c>
      <c r="D1616" s="23" t="inlineStr">
        <is>
          <t>Cost Account = CA-5068</t>
        </is>
      </c>
      <c r="E1616" s="23" t="inlineStr">
        <is>
          <t>R1470-v3</t>
        </is>
      </c>
      <c r="F1616" s="23" t="inlineStr">
        <is>
          <t>UNSURE</t>
        </is>
      </c>
      <c r="G1616" s="23" t="inlineStr">
        <is>
          <t>UNSURE</t>
        </is>
      </c>
      <c r="H1616" s="23" t="inlineStr">
        <is>
          <t>RETAINED</t>
        </is>
      </c>
      <c r="I1616" s="23" t="inlineStr">
        <is>
          <t>Carried forward</t>
        </is>
      </c>
      <c r="J1616" s="23" t="inlineStr">
        <is>
          <t>Earlier professional decision, carried forward</t>
        </is>
      </c>
      <c r="K1616" s="23" t="inlineStr">
        <is>
          <t>Maya Chen, Owner Project Controls</t>
        </is>
      </c>
      <c r="L1616" s="23" t="inlineStr"/>
      <c r="M1616" s="23" t="inlineStr"/>
      <c r="N1616" s="14" t="inlineStr">
        <is>
          <t>10 EVIDENCE &amp; DECISIONS</t>
        </is>
      </c>
    </row>
    <row r="1617" ht="34" customHeight="1">
      <c r="A1617" s="23" t="inlineStr">
        <is>
          <t>Cost &amp; Forecast Control Accounts</t>
        </is>
      </c>
      <c r="B1617" s="23" t="inlineStr">
        <is>
          <t>CST-05-069</t>
        </is>
      </c>
      <c r="C1617" s="23" t="inlineStr">
        <is>
          <t>Testing &amp; readiness - trial running - control account</t>
        </is>
      </c>
      <c r="D1617" s="23" t="inlineStr">
        <is>
          <t>Cost Account = CA-5069</t>
        </is>
      </c>
      <c r="E1617" s="23" t="inlineStr">
        <is>
          <t>R1471-v3</t>
        </is>
      </c>
      <c r="F1617" s="23" t="inlineStr">
        <is>
          <t>UNSURE</t>
        </is>
      </c>
      <c r="G1617" s="23" t="inlineStr">
        <is>
          <t>UNSURE</t>
        </is>
      </c>
      <c r="H1617" s="23" t="inlineStr">
        <is>
          <t>RETAINED</t>
        </is>
      </c>
      <c r="I1617" s="23" t="inlineStr">
        <is>
          <t>Carried forward</t>
        </is>
      </c>
      <c r="J1617" s="23" t="inlineStr">
        <is>
          <t>Earlier professional decision, carried forward</t>
        </is>
      </c>
      <c r="K1617" s="23" t="inlineStr">
        <is>
          <t>Maya Chen, Owner Project Controls</t>
        </is>
      </c>
      <c r="L1617" s="23" t="inlineStr"/>
      <c r="M1617" s="23" t="inlineStr"/>
      <c r="N1617" s="14" t="inlineStr">
        <is>
          <t>10 EVIDENCE &amp; DECISIONS</t>
        </is>
      </c>
    </row>
    <row r="1618" ht="34" customHeight="1">
      <c r="A1618" s="23" t="inlineStr">
        <is>
          <t>Cost &amp; Forecast Control Accounts</t>
        </is>
      </c>
      <c r="B1618" s="23" t="inlineStr">
        <is>
          <t>CST-05-070</t>
        </is>
      </c>
      <c r="C1618" s="23" t="inlineStr">
        <is>
          <t>Testing &amp; readiness - safety certification - control account</t>
        </is>
      </c>
      <c r="D1618" s="23" t="inlineStr">
        <is>
          <t>Cost Account = CA-5070</t>
        </is>
      </c>
      <c r="E1618" s="23" t="inlineStr">
        <is>
          <t>R1472-v3</t>
        </is>
      </c>
      <c r="F1618" s="23" t="inlineStr">
        <is>
          <t>UNSURE</t>
        </is>
      </c>
      <c r="G1618" s="23" t="inlineStr">
        <is>
          <t>UNSURE</t>
        </is>
      </c>
      <c r="H1618" s="23" t="inlineStr">
        <is>
          <t>RETAINED</t>
        </is>
      </c>
      <c r="I1618" s="23" t="inlineStr">
        <is>
          <t>Carried forward</t>
        </is>
      </c>
      <c r="J1618" s="23" t="inlineStr">
        <is>
          <t>Earlier professional decision, carried forward</t>
        </is>
      </c>
      <c r="K1618" s="23" t="inlineStr">
        <is>
          <t>Maya Chen, Owner Project Controls</t>
        </is>
      </c>
      <c r="L1618" s="23" t="inlineStr"/>
      <c r="M1618" s="23" t="inlineStr"/>
      <c r="N1618" s="14" t="inlineStr">
        <is>
          <t>10 EVIDENCE &amp; DECISIONS</t>
        </is>
      </c>
    </row>
    <row r="1619" ht="34" customHeight="1">
      <c r="A1619" s="23" t="inlineStr">
        <is>
          <t>Cost &amp; Forecast Control Accounts</t>
        </is>
      </c>
      <c r="B1619" s="23" t="inlineStr">
        <is>
          <t>CST-05-071</t>
        </is>
      </c>
      <c r="C1619" s="23" t="inlineStr">
        <is>
          <t>Testing &amp; readiness - defect closeout - control account</t>
        </is>
      </c>
      <c r="D1619" s="23" t="inlineStr">
        <is>
          <t>Cost Account = CA-5071</t>
        </is>
      </c>
      <c r="E1619" s="23" t="inlineStr">
        <is>
          <t>R1473-v3</t>
        </is>
      </c>
      <c r="F1619" s="23" t="inlineStr">
        <is>
          <t>UNSURE</t>
        </is>
      </c>
      <c r="G1619" s="23" t="inlineStr">
        <is>
          <t>UNSURE</t>
        </is>
      </c>
      <c r="H1619" s="23" t="inlineStr">
        <is>
          <t>RETAINED</t>
        </is>
      </c>
      <c r="I1619" s="23" t="inlineStr">
        <is>
          <t>Carried forward</t>
        </is>
      </c>
      <c r="J1619" s="23" t="inlineStr">
        <is>
          <t>Earlier professional decision, carried forward</t>
        </is>
      </c>
      <c r="K1619" s="23" t="inlineStr">
        <is>
          <t>Maya Chen, Owner Project Controls</t>
        </is>
      </c>
      <c r="L1619" s="23" t="inlineStr"/>
      <c r="M1619" s="23" t="inlineStr"/>
      <c r="N1619" s="14" t="inlineStr">
        <is>
          <t>10 EVIDENCE &amp; DECISIONS</t>
        </is>
      </c>
    </row>
    <row r="1620" ht="34" customHeight="1">
      <c r="A1620" s="23" t="inlineStr">
        <is>
          <t>Cost &amp; Forecast Control Accounts</t>
        </is>
      </c>
      <c r="B1620" s="23" t="inlineStr">
        <is>
          <t>CST-05-072</t>
        </is>
      </c>
      <c r="C1620" s="23" t="inlineStr">
        <is>
          <t>Testing &amp; readiness - test management - control account</t>
        </is>
      </c>
      <c r="D1620" s="23" t="inlineStr">
        <is>
          <t>Cost Account = CA-5072</t>
        </is>
      </c>
      <c r="E1620" s="23" t="inlineStr">
        <is>
          <t>R1474-v3</t>
        </is>
      </c>
      <c r="F1620" s="23" t="inlineStr">
        <is>
          <t>UNSURE</t>
        </is>
      </c>
      <c r="G1620" s="23" t="inlineStr">
        <is>
          <t>UNSURE</t>
        </is>
      </c>
      <c r="H1620" s="23" t="inlineStr">
        <is>
          <t>RETAINED</t>
        </is>
      </c>
      <c r="I1620" s="23" t="inlineStr">
        <is>
          <t>Carried forward</t>
        </is>
      </c>
      <c r="J1620" s="23" t="inlineStr">
        <is>
          <t>Earlier professional decision, carried forward</t>
        </is>
      </c>
      <c r="K1620" s="23" t="inlineStr">
        <is>
          <t>Maya Chen, Owner Project Controls</t>
        </is>
      </c>
      <c r="L1620" s="23" t="inlineStr"/>
      <c r="M1620" s="23" t="inlineStr"/>
      <c r="N1620" s="14" t="inlineStr">
        <is>
          <t>10 EVIDENCE &amp; DECISIONS</t>
        </is>
      </c>
    </row>
    <row r="1621" ht="34" customHeight="1">
      <c r="A1621" s="23" t="inlineStr">
        <is>
          <t>Cost &amp; Forecast Control Accounts</t>
        </is>
      </c>
      <c r="B1621" s="23" t="inlineStr">
        <is>
          <t>CST-05-073</t>
        </is>
      </c>
      <c r="C1621" s="23" t="inlineStr">
        <is>
          <t>Testing &amp; readiness - trial running - control account</t>
        </is>
      </c>
      <c r="D1621" s="23" t="inlineStr">
        <is>
          <t>Cost Account = CA-5073</t>
        </is>
      </c>
      <c r="E1621" s="23" t="inlineStr">
        <is>
          <t>R1475-v3</t>
        </is>
      </c>
      <c r="F1621" s="23" t="inlineStr">
        <is>
          <t>UNSURE</t>
        </is>
      </c>
      <c r="G1621" s="23" t="inlineStr">
        <is>
          <t>UNSURE</t>
        </is>
      </c>
      <c r="H1621" s="23" t="inlineStr">
        <is>
          <t>RETAINED</t>
        </is>
      </c>
      <c r="I1621" s="23" t="inlineStr">
        <is>
          <t>Carried forward</t>
        </is>
      </c>
      <c r="J1621" s="23" t="inlineStr">
        <is>
          <t>Earlier professional decision, carried forward</t>
        </is>
      </c>
      <c r="K1621" s="23" t="inlineStr">
        <is>
          <t>Maya Chen, Owner Project Controls</t>
        </is>
      </c>
      <c r="L1621" s="23" t="inlineStr"/>
      <c r="M1621" s="23" t="inlineStr"/>
      <c r="N1621" s="14" t="inlineStr">
        <is>
          <t>10 EVIDENCE &amp; DECISIONS</t>
        </is>
      </c>
    </row>
    <row r="1622" ht="34" customHeight="1">
      <c r="A1622" s="23" t="inlineStr">
        <is>
          <t>Cost &amp; Forecast Control Accounts</t>
        </is>
      </c>
      <c r="B1622" s="23" t="inlineStr">
        <is>
          <t>CST-05-074</t>
        </is>
      </c>
      <c r="C1622" s="23" t="inlineStr">
        <is>
          <t>Testing &amp; readiness - safety certification - control account</t>
        </is>
      </c>
      <c r="D1622" s="23" t="inlineStr">
        <is>
          <t>Cost Account = CA-5074</t>
        </is>
      </c>
      <c r="E1622" s="23" t="inlineStr">
        <is>
          <t>R1476-v3</t>
        </is>
      </c>
      <c r="F1622" s="23" t="inlineStr">
        <is>
          <t>UNSURE</t>
        </is>
      </c>
      <c r="G1622" s="23" t="inlineStr">
        <is>
          <t>UNSURE</t>
        </is>
      </c>
      <c r="H1622" s="23" t="inlineStr">
        <is>
          <t>RETAINED</t>
        </is>
      </c>
      <c r="I1622" s="23" t="inlineStr">
        <is>
          <t>Carried forward</t>
        </is>
      </c>
      <c r="J1622" s="23" t="inlineStr">
        <is>
          <t>Earlier professional decision, carried forward</t>
        </is>
      </c>
      <c r="K1622" s="23" t="inlineStr">
        <is>
          <t>Maya Chen, Owner Project Controls</t>
        </is>
      </c>
      <c r="L1622" s="23" t="inlineStr"/>
      <c r="M1622" s="23" t="inlineStr"/>
      <c r="N1622" s="14" t="inlineStr">
        <is>
          <t>10 EVIDENCE &amp; DECISIONS</t>
        </is>
      </c>
    </row>
    <row r="1623" ht="34" customHeight="1">
      <c r="A1623" s="23" t="inlineStr">
        <is>
          <t>Cost &amp; Forecast Control Accounts</t>
        </is>
      </c>
      <c r="B1623" s="23" t="inlineStr">
        <is>
          <t>CST-05-075</t>
        </is>
      </c>
      <c r="C1623" s="23" t="inlineStr">
        <is>
          <t>Testing &amp; readiness - defect closeout - control account</t>
        </is>
      </c>
      <c r="D1623" s="23" t="inlineStr">
        <is>
          <t>Cost Account = CA-5075</t>
        </is>
      </c>
      <c r="E1623" s="23" t="inlineStr">
        <is>
          <t>R1477-v3</t>
        </is>
      </c>
      <c r="F1623" s="23" t="inlineStr">
        <is>
          <t>UNSURE</t>
        </is>
      </c>
      <c r="G1623" s="23" t="inlineStr">
        <is>
          <t>UNSURE</t>
        </is>
      </c>
      <c r="H1623" s="23" t="inlineStr">
        <is>
          <t>RETAINED</t>
        </is>
      </c>
      <c r="I1623" s="23" t="inlineStr">
        <is>
          <t>Carried forward</t>
        </is>
      </c>
      <c r="J1623" s="23" t="inlineStr">
        <is>
          <t>Earlier professional decision, carried forward</t>
        </is>
      </c>
      <c r="K1623" s="23" t="inlineStr">
        <is>
          <t>Maya Chen, Owner Project Controls</t>
        </is>
      </c>
      <c r="L1623" s="23" t="inlineStr"/>
      <c r="M1623" s="23" t="inlineStr"/>
      <c r="N1623" s="14" t="inlineStr">
        <is>
          <t>10 EVIDENCE &amp; DECISIONS</t>
        </is>
      </c>
    </row>
    <row r="1624" ht="34" customHeight="1">
      <c r="A1624" s="23" t="inlineStr">
        <is>
          <t>Cost &amp; Forecast Control Accounts</t>
        </is>
      </c>
      <c r="B1624" s="23" t="inlineStr">
        <is>
          <t>CST-05-076</t>
        </is>
      </c>
      <c r="C1624" s="23" t="inlineStr">
        <is>
          <t>Testing &amp; readiness - test management - control account</t>
        </is>
      </c>
      <c r="D1624" s="23" t="inlineStr">
        <is>
          <t>Cost Account = CA-5076</t>
        </is>
      </c>
      <c r="E1624" s="23" t="inlineStr">
        <is>
          <t>R1478-v3</t>
        </is>
      </c>
      <c r="F1624" s="23" t="inlineStr">
        <is>
          <t>UNSURE</t>
        </is>
      </c>
      <c r="G1624" s="23" t="inlineStr">
        <is>
          <t>UNSURE</t>
        </is>
      </c>
      <c r="H1624" s="23" t="inlineStr">
        <is>
          <t>RETAINED</t>
        </is>
      </c>
      <c r="I1624" s="23" t="inlineStr">
        <is>
          <t>Carried forward</t>
        </is>
      </c>
      <c r="J1624" s="23" t="inlineStr">
        <is>
          <t>Earlier professional decision, carried forward</t>
        </is>
      </c>
      <c r="K1624" s="23" t="inlineStr">
        <is>
          <t>Maya Chen, Owner Project Controls</t>
        </is>
      </c>
      <c r="L1624" s="23" t="inlineStr"/>
      <c r="M1624" s="23" t="inlineStr"/>
      <c r="N1624" s="14" t="inlineStr">
        <is>
          <t>10 EVIDENCE &amp; DECISIONS</t>
        </is>
      </c>
    </row>
    <row r="1625" ht="34" customHeight="1">
      <c r="A1625" s="23" t="inlineStr">
        <is>
          <t>Cost &amp; Forecast Control Accounts</t>
        </is>
      </c>
      <c r="B1625" s="23" t="inlineStr">
        <is>
          <t>CST-05-077</t>
        </is>
      </c>
      <c r="C1625" s="23" t="inlineStr">
        <is>
          <t>Testing &amp; readiness - trial running - control account</t>
        </is>
      </c>
      <c r="D1625" s="23" t="inlineStr">
        <is>
          <t>Cost Account = CA-5077</t>
        </is>
      </c>
      <c r="E1625" s="23" t="inlineStr">
        <is>
          <t>R1479-v3</t>
        </is>
      </c>
      <c r="F1625" s="23" t="inlineStr">
        <is>
          <t>UNSURE</t>
        </is>
      </c>
      <c r="G1625" s="23" t="inlineStr">
        <is>
          <t>UNSURE</t>
        </is>
      </c>
      <c r="H1625" s="23" t="inlineStr">
        <is>
          <t>RETAINED</t>
        </is>
      </c>
      <c r="I1625" s="23" t="inlineStr">
        <is>
          <t>Carried forward</t>
        </is>
      </c>
      <c r="J1625" s="23" t="inlineStr">
        <is>
          <t>Earlier professional decision, carried forward</t>
        </is>
      </c>
      <c r="K1625" s="23" t="inlineStr">
        <is>
          <t>Maya Chen, Owner Project Controls</t>
        </is>
      </c>
      <c r="L1625" s="23" t="inlineStr"/>
      <c r="M1625" s="23" t="inlineStr"/>
      <c r="N1625" s="14" t="inlineStr">
        <is>
          <t>10 EVIDENCE &amp; DECISIONS</t>
        </is>
      </c>
    </row>
    <row r="1626" ht="34" customHeight="1">
      <c r="A1626" s="23" t="inlineStr">
        <is>
          <t>Cost &amp; Forecast Control Accounts</t>
        </is>
      </c>
      <c r="B1626" s="23" t="inlineStr">
        <is>
          <t>CST-05-078</t>
        </is>
      </c>
      <c r="C1626" s="23" t="inlineStr">
        <is>
          <t>Testing &amp; readiness - safety certification - control account</t>
        </is>
      </c>
      <c r="D1626" s="23" t="inlineStr">
        <is>
          <t>Cost Account = CA-5078</t>
        </is>
      </c>
      <c r="E1626" s="23" t="inlineStr">
        <is>
          <t>R1480-v3</t>
        </is>
      </c>
      <c r="F1626" s="23" t="inlineStr">
        <is>
          <t>UNSURE</t>
        </is>
      </c>
      <c r="G1626" s="23" t="inlineStr">
        <is>
          <t>UNSURE</t>
        </is>
      </c>
      <c r="H1626" s="23" t="inlineStr">
        <is>
          <t>RETAINED</t>
        </is>
      </c>
      <c r="I1626" s="23" t="inlineStr">
        <is>
          <t>Carried forward</t>
        </is>
      </c>
      <c r="J1626" s="23" t="inlineStr">
        <is>
          <t>Earlier professional decision, carried forward</t>
        </is>
      </c>
      <c r="K1626" s="23" t="inlineStr">
        <is>
          <t>Maya Chen, Owner Project Controls</t>
        </is>
      </c>
      <c r="L1626" s="23" t="inlineStr"/>
      <c r="M1626" s="23" t="inlineStr"/>
      <c r="N1626" s="14" t="inlineStr">
        <is>
          <t>10 EVIDENCE &amp; DECISIONS</t>
        </is>
      </c>
    </row>
    <row r="1627" ht="34" customHeight="1">
      <c r="A1627" s="23" t="inlineStr">
        <is>
          <t>Cost &amp; Forecast Control Accounts</t>
        </is>
      </c>
      <c r="B1627" s="23" t="inlineStr">
        <is>
          <t>CST-05-079</t>
        </is>
      </c>
      <c r="C1627" s="23" t="inlineStr">
        <is>
          <t>Testing &amp; readiness - defect closeout - control account</t>
        </is>
      </c>
      <c r="D1627" s="23" t="inlineStr">
        <is>
          <t>Cost Account = CA-5079</t>
        </is>
      </c>
      <c r="E1627" s="23" t="inlineStr">
        <is>
          <t>R1481-v3</t>
        </is>
      </c>
      <c r="F1627" s="23" t="inlineStr">
        <is>
          <t>UNSURE</t>
        </is>
      </c>
      <c r="G1627" s="23" t="inlineStr">
        <is>
          <t>UNSURE</t>
        </is>
      </c>
      <c r="H1627" s="23" t="inlineStr">
        <is>
          <t>RETAINED</t>
        </is>
      </c>
      <c r="I1627" s="23" t="inlineStr">
        <is>
          <t>Carried forward</t>
        </is>
      </c>
      <c r="J1627" s="23" t="inlineStr">
        <is>
          <t>Earlier professional decision, carried forward</t>
        </is>
      </c>
      <c r="K1627" s="23" t="inlineStr">
        <is>
          <t>Maya Chen, Owner Project Controls</t>
        </is>
      </c>
      <c r="L1627" s="23" t="inlineStr"/>
      <c r="M1627" s="23" t="inlineStr"/>
      <c r="N1627" s="14" t="inlineStr">
        <is>
          <t>10 EVIDENCE &amp; DECISIONS</t>
        </is>
      </c>
    </row>
    <row r="1628" ht="34" customHeight="1">
      <c r="A1628" s="23" t="inlineStr">
        <is>
          <t>Cost &amp; Forecast Control Accounts</t>
        </is>
      </c>
      <c r="B1628" s="23" t="inlineStr">
        <is>
          <t>CST-05-080</t>
        </is>
      </c>
      <c r="C1628" s="23" t="inlineStr">
        <is>
          <t>Testing &amp; readiness - test management - control account</t>
        </is>
      </c>
      <c r="D1628" s="23" t="inlineStr">
        <is>
          <t>Cost Account = CA-5080</t>
        </is>
      </c>
      <c r="E1628" s="23" t="inlineStr">
        <is>
          <t>R1482-v3</t>
        </is>
      </c>
      <c r="F1628" s="23" t="inlineStr">
        <is>
          <t>UNSURE</t>
        </is>
      </c>
      <c r="G1628" s="23" t="inlineStr">
        <is>
          <t>UNSURE</t>
        </is>
      </c>
      <c r="H1628" s="23" t="inlineStr">
        <is>
          <t>RETAINED</t>
        </is>
      </c>
      <c r="I1628" s="23" t="inlineStr">
        <is>
          <t>Carried forward</t>
        </is>
      </c>
      <c r="J1628" s="23" t="inlineStr">
        <is>
          <t>Earlier professional decision, carried forward</t>
        </is>
      </c>
      <c r="K1628" s="23" t="inlineStr">
        <is>
          <t>Maya Chen, Owner Project Controls</t>
        </is>
      </c>
      <c r="L1628" s="23" t="inlineStr"/>
      <c r="M1628" s="23" t="inlineStr"/>
      <c r="N1628" s="14" t="inlineStr">
        <is>
          <t>10 EVIDENCE &amp; DECISIONS</t>
        </is>
      </c>
    </row>
    <row r="1629" ht="34" customHeight="1">
      <c r="A1629" s="23" t="inlineStr">
        <is>
          <t>Commercial Package Register</t>
        </is>
      </c>
      <c r="B1629" s="23" t="inlineStr">
        <is>
          <t>PKG-059</t>
        </is>
      </c>
      <c r="C1629" s="23" t="inlineStr">
        <is>
          <t>Program Controls - Lot 3</t>
        </is>
      </c>
      <c r="D1629" s="23" t="inlineStr"/>
      <c r="E1629" s="23" t="inlineStr">
        <is>
          <t>R1621-v2</t>
        </is>
      </c>
      <c r="F1629" s="23" t="inlineStr">
        <is>
          <t>1.6 Program Management</t>
        </is>
      </c>
      <c r="G1629" s="23" t="inlineStr">
        <is>
          <t>ONE_TO_ONE</t>
        </is>
      </c>
      <c r="H1629" s="23" t="inlineStr">
        <is>
          <t>RETIRED</t>
        </is>
      </c>
      <c r="I1629" s="23" t="inlineStr">
        <is>
          <t>Retired</t>
        </is>
      </c>
      <c r="J1629" s="23" t="inlineStr">
        <is>
          <t>Retired -- no longer reported</t>
        </is>
      </c>
      <c r="K1629" s="23" t="inlineStr"/>
      <c r="L1629" s="23" t="inlineStr"/>
      <c r="M1629" s="23" t="inlineStr"/>
      <c r="N1629" s="14" t="inlineStr">
        <is>
          <t>10 EVIDENCE &amp; DECISIONS</t>
        </is>
      </c>
    </row>
    <row r="1630" ht="34" customHeight="1">
      <c r="A1630" s="23" t="inlineStr">
        <is>
          <t>Cost &amp; Forecast Control Accounts</t>
        </is>
      </c>
      <c r="B1630" s="23" t="inlineStr">
        <is>
          <t>CST-06-079</t>
        </is>
      </c>
      <c r="C1630" s="23" t="inlineStr">
        <is>
          <t>Program Management - design integration - field package</t>
        </is>
      </c>
      <c r="D1630" s="23" t="inlineStr"/>
      <c r="E1630" s="23" t="inlineStr">
        <is>
          <t>R1561-v2</t>
        </is>
      </c>
      <c r="F1630" s="23" t="inlineStr">
        <is>
          <t>1.6.1 Program Management - Program Controls</t>
        </is>
      </c>
      <c r="G1630" s="23" t="inlineStr">
        <is>
          <t>ONE_TO_ONE</t>
        </is>
      </c>
      <c r="H1630" s="23" t="inlineStr">
        <is>
          <t>RETIRED</t>
        </is>
      </c>
      <c r="I1630" s="23" t="inlineStr">
        <is>
          <t>Retired</t>
        </is>
      </c>
      <c r="J1630" s="23" t="inlineStr">
        <is>
          <t>Retired -- no longer reported</t>
        </is>
      </c>
      <c r="K1630" s="23" t="inlineStr"/>
      <c r="L1630" s="23" t="inlineStr"/>
      <c r="M1630" s="23" t="inlineStr"/>
      <c r="N1630" s="14" t="inlineStr">
        <is>
          <t>10 EVIDENCE &amp; DECISIONS</t>
        </is>
      </c>
    </row>
    <row r="1631" ht="34" customHeight="1">
      <c r="A1631" s="23" t="inlineStr">
        <is>
          <t>Contractor Programme</t>
        </is>
      </c>
      <c r="B1631" s="23" t="inlineStr">
        <is>
          <t>SCH-90-901</t>
        </is>
      </c>
      <c r="C1631" s="23" t="inlineStr">
        <is>
          <t>Temporary offsite logistics compound</t>
        </is>
      </c>
      <c r="D1631" s="23" t="inlineStr"/>
      <c r="E1631" s="23" t="inlineStr">
        <is>
          <t>R1081-v3</t>
        </is>
      </c>
      <c r="F1631" s="23" t="inlineStr">
        <is>
          <t>NEW_SCOPE</t>
        </is>
      </c>
      <c r="G1631" s="23" t="inlineStr">
        <is>
          <t>NEW_SCOPE</t>
        </is>
      </c>
      <c r="H1631" s="23" t="inlineStr">
        <is>
          <t>RETIRED</t>
        </is>
      </c>
      <c r="I1631" s="23" t="inlineStr">
        <is>
          <t>Retired</t>
        </is>
      </c>
      <c r="J1631" s="23" t="inlineStr">
        <is>
          <t>Retired -- no longer reported</t>
        </is>
      </c>
      <c r="K1631" s="23" t="inlineStr"/>
      <c r="L1631" s="23" t="inlineStr"/>
      <c r="M1631" s="23" t="inlineStr"/>
      <c r="N1631" s="14" t="inlineStr">
        <is>
          <t>10 EVIDENCE &amp; DECISIONS</t>
        </is>
      </c>
    </row>
  </sheetData>
  <autoFilter ref="A5:N1631"/>
  <mergeCells count="2">
    <mergeCell ref="A1:D1"/>
    <mergeCell ref="A2:D2"/>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 xmlns:r="http://schemas.openxmlformats.org/officeDocument/2006/relationships" ref="N6" r:id="rId9"/>
    <hyperlink xmlns:r="http://schemas.openxmlformats.org/officeDocument/2006/relationships" ref="N7" r:id="rId10"/>
    <hyperlink xmlns:r="http://schemas.openxmlformats.org/officeDocument/2006/relationships" ref="N8" r:id="rId11"/>
    <hyperlink xmlns:r="http://schemas.openxmlformats.org/officeDocument/2006/relationships" ref="N9" r:id="rId12"/>
    <hyperlink xmlns:r="http://schemas.openxmlformats.org/officeDocument/2006/relationships" ref="N10" r:id="rId13"/>
    <hyperlink xmlns:r="http://schemas.openxmlformats.org/officeDocument/2006/relationships" ref="N11" r:id="rId14"/>
    <hyperlink xmlns:r="http://schemas.openxmlformats.org/officeDocument/2006/relationships" ref="N12" r:id="rId15"/>
    <hyperlink xmlns:r="http://schemas.openxmlformats.org/officeDocument/2006/relationships" ref="N13" r:id="rId16"/>
    <hyperlink xmlns:r="http://schemas.openxmlformats.org/officeDocument/2006/relationships" ref="N14" r:id="rId17"/>
    <hyperlink xmlns:r="http://schemas.openxmlformats.org/officeDocument/2006/relationships" ref="N15" r:id="rId18"/>
    <hyperlink xmlns:r="http://schemas.openxmlformats.org/officeDocument/2006/relationships" ref="N16" r:id="rId19"/>
    <hyperlink xmlns:r="http://schemas.openxmlformats.org/officeDocument/2006/relationships" ref="N17" r:id="rId20"/>
    <hyperlink xmlns:r="http://schemas.openxmlformats.org/officeDocument/2006/relationships" ref="N18" r:id="rId21"/>
    <hyperlink xmlns:r="http://schemas.openxmlformats.org/officeDocument/2006/relationships" ref="N19" r:id="rId22"/>
    <hyperlink xmlns:r="http://schemas.openxmlformats.org/officeDocument/2006/relationships" ref="N20" r:id="rId23"/>
    <hyperlink xmlns:r="http://schemas.openxmlformats.org/officeDocument/2006/relationships" ref="N21" r:id="rId24"/>
    <hyperlink xmlns:r="http://schemas.openxmlformats.org/officeDocument/2006/relationships" ref="N22" r:id="rId25"/>
    <hyperlink xmlns:r="http://schemas.openxmlformats.org/officeDocument/2006/relationships" ref="N23" r:id="rId26"/>
    <hyperlink xmlns:r="http://schemas.openxmlformats.org/officeDocument/2006/relationships" ref="N24" r:id="rId27"/>
    <hyperlink xmlns:r="http://schemas.openxmlformats.org/officeDocument/2006/relationships" ref="N25" r:id="rId28"/>
    <hyperlink xmlns:r="http://schemas.openxmlformats.org/officeDocument/2006/relationships" ref="N26" r:id="rId29"/>
    <hyperlink xmlns:r="http://schemas.openxmlformats.org/officeDocument/2006/relationships" ref="N27" r:id="rId30"/>
    <hyperlink xmlns:r="http://schemas.openxmlformats.org/officeDocument/2006/relationships" ref="N28" r:id="rId31"/>
    <hyperlink xmlns:r="http://schemas.openxmlformats.org/officeDocument/2006/relationships" ref="N29" r:id="rId32"/>
    <hyperlink xmlns:r="http://schemas.openxmlformats.org/officeDocument/2006/relationships" ref="N30" r:id="rId33"/>
    <hyperlink xmlns:r="http://schemas.openxmlformats.org/officeDocument/2006/relationships" ref="N31" r:id="rId34"/>
    <hyperlink xmlns:r="http://schemas.openxmlformats.org/officeDocument/2006/relationships" ref="N32" r:id="rId35"/>
    <hyperlink xmlns:r="http://schemas.openxmlformats.org/officeDocument/2006/relationships" ref="N33" r:id="rId36"/>
    <hyperlink xmlns:r="http://schemas.openxmlformats.org/officeDocument/2006/relationships" ref="N34" r:id="rId37"/>
    <hyperlink xmlns:r="http://schemas.openxmlformats.org/officeDocument/2006/relationships" ref="N35" r:id="rId38"/>
    <hyperlink xmlns:r="http://schemas.openxmlformats.org/officeDocument/2006/relationships" ref="N36" r:id="rId39"/>
    <hyperlink xmlns:r="http://schemas.openxmlformats.org/officeDocument/2006/relationships" ref="N37" r:id="rId40"/>
    <hyperlink xmlns:r="http://schemas.openxmlformats.org/officeDocument/2006/relationships" ref="N38" r:id="rId41"/>
    <hyperlink xmlns:r="http://schemas.openxmlformats.org/officeDocument/2006/relationships" ref="N39" r:id="rId42"/>
    <hyperlink xmlns:r="http://schemas.openxmlformats.org/officeDocument/2006/relationships" ref="N40" r:id="rId43"/>
    <hyperlink xmlns:r="http://schemas.openxmlformats.org/officeDocument/2006/relationships" ref="N41" r:id="rId44"/>
    <hyperlink xmlns:r="http://schemas.openxmlformats.org/officeDocument/2006/relationships" ref="N42" r:id="rId45"/>
    <hyperlink xmlns:r="http://schemas.openxmlformats.org/officeDocument/2006/relationships" ref="N43" r:id="rId46"/>
    <hyperlink xmlns:r="http://schemas.openxmlformats.org/officeDocument/2006/relationships" ref="N44" r:id="rId47"/>
    <hyperlink xmlns:r="http://schemas.openxmlformats.org/officeDocument/2006/relationships" ref="N45" r:id="rId48"/>
    <hyperlink xmlns:r="http://schemas.openxmlformats.org/officeDocument/2006/relationships" ref="N46" r:id="rId49"/>
    <hyperlink xmlns:r="http://schemas.openxmlformats.org/officeDocument/2006/relationships" ref="N47" r:id="rId50"/>
    <hyperlink xmlns:r="http://schemas.openxmlformats.org/officeDocument/2006/relationships" ref="N48" r:id="rId51"/>
    <hyperlink xmlns:r="http://schemas.openxmlformats.org/officeDocument/2006/relationships" ref="N49" r:id="rId52"/>
    <hyperlink xmlns:r="http://schemas.openxmlformats.org/officeDocument/2006/relationships" ref="N50" r:id="rId53"/>
    <hyperlink xmlns:r="http://schemas.openxmlformats.org/officeDocument/2006/relationships" ref="N51" r:id="rId54"/>
    <hyperlink xmlns:r="http://schemas.openxmlformats.org/officeDocument/2006/relationships" ref="N52" r:id="rId55"/>
    <hyperlink xmlns:r="http://schemas.openxmlformats.org/officeDocument/2006/relationships" ref="N53" r:id="rId56"/>
    <hyperlink xmlns:r="http://schemas.openxmlformats.org/officeDocument/2006/relationships" ref="N54" r:id="rId57"/>
    <hyperlink xmlns:r="http://schemas.openxmlformats.org/officeDocument/2006/relationships" ref="N55" r:id="rId58"/>
    <hyperlink xmlns:r="http://schemas.openxmlformats.org/officeDocument/2006/relationships" ref="N56" r:id="rId59"/>
    <hyperlink xmlns:r="http://schemas.openxmlformats.org/officeDocument/2006/relationships" ref="N57" r:id="rId60"/>
    <hyperlink xmlns:r="http://schemas.openxmlformats.org/officeDocument/2006/relationships" ref="N58" r:id="rId61"/>
    <hyperlink xmlns:r="http://schemas.openxmlformats.org/officeDocument/2006/relationships" ref="N59" r:id="rId62"/>
    <hyperlink xmlns:r="http://schemas.openxmlformats.org/officeDocument/2006/relationships" ref="N60" r:id="rId63"/>
    <hyperlink xmlns:r="http://schemas.openxmlformats.org/officeDocument/2006/relationships" ref="N61" r:id="rId64"/>
    <hyperlink xmlns:r="http://schemas.openxmlformats.org/officeDocument/2006/relationships" ref="N62" r:id="rId65"/>
    <hyperlink xmlns:r="http://schemas.openxmlformats.org/officeDocument/2006/relationships" ref="N63" r:id="rId66"/>
    <hyperlink xmlns:r="http://schemas.openxmlformats.org/officeDocument/2006/relationships" ref="N64" r:id="rId67"/>
    <hyperlink xmlns:r="http://schemas.openxmlformats.org/officeDocument/2006/relationships" ref="N65" r:id="rId68"/>
    <hyperlink xmlns:r="http://schemas.openxmlformats.org/officeDocument/2006/relationships" ref="N66" r:id="rId69"/>
    <hyperlink xmlns:r="http://schemas.openxmlformats.org/officeDocument/2006/relationships" ref="N67" r:id="rId70"/>
    <hyperlink xmlns:r="http://schemas.openxmlformats.org/officeDocument/2006/relationships" ref="N68" r:id="rId71"/>
    <hyperlink xmlns:r="http://schemas.openxmlformats.org/officeDocument/2006/relationships" ref="N69" r:id="rId72"/>
    <hyperlink xmlns:r="http://schemas.openxmlformats.org/officeDocument/2006/relationships" ref="N70" r:id="rId73"/>
    <hyperlink xmlns:r="http://schemas.openxmlformats.org/officeDocument/2006/relationships" ref="N71" r:id="rId74"/>
    <hyperlink xmlns:r="http://schemas.openxmlformats.org/officeDocument/2006/relationships" ref="N72" r:id="rId75"/>
    <hyperlink xmlns:r="http://schemas.openxmlformats.org/officeDocument/2006/relationships" ref="N73" r:id="rId76"/>
    <hyperlink xmlns:r="http://schemas.openxmlformats.org/officeDocument/2006/relationships" ref="N74" r:id="rId77"/>
    <hyperlink xmlns:r="http://schemas.openxmlformats.org/officeDocument/2006/relationships" ref="N75" r:id="rId78"/>
    <hyperlink xmlns:r="http://schemas.openxmlformats.org/officeDocument/2006/relationships" ref="N76" r:id="rId79"/>
    <hyperlink xmlns:r="http://schemas.openxmlformats.org/officeDocument/2006/relationships" ref="N77" r:id="rId80"/>
    <hyperlink xmlns:r="http://schemas.openxmlformats.org/officeDocument/2006/relationships" ref="N78" r:id="rId81"/>
    <hyperlink xmlns:r="http://schemas.openxmlformats.org/officeDocument/2006/relationships" ref="N79" r:id="rId82"/>
    <hyperlink xmlns:r="http://schemas.openxmlformats.org/officeDocument/2006/relationships" ref="N80" r:id="rId83"/>
    <hyperlink xmlns:r="http://schemas.openxmlformats.org/officeDocument/2006/relationships" ref="N81" r:id="rId84"/>
    <hyperlink xmlns:r="http://schemas.openxmlformats.org/officeDocument/2006/relationships" ref="N82" r:id="rId85"/>
    <hyperlink xmlns:r="http://schemas.openxmlformats.org/officeDocument/2006/relationships" ref="N83" r:id="rId86"/>
    <hyperlink xmlns:r="http://schemas.openxmlformats.org/officeDocument/2006/relationships" ref="N84" r:id="rId87"/>
    <hyperlink xmlns:r="http://schemas.openxmlformats.org/officeDocument/2006/relationships" ref="N85" r:id="rId88"/>
    <hyperlink xmlns:r="http://schemas.openxmlformats.org/officeDocument/2006/relationships" ref="N86" r:id="rId89"/>
    <hyperlink xmlns:r="http://schemas.openxmlformats.org/officeDocument/2006/relationships" ref="N87" r:id="rId90"/>
    <hyperlink xmlns:r="http://schemas.openxmlformats.org/officeDocument/2006/relationships" ref="N88" r:id="rId91"/>
    <hyperlink xmlns:r="http://schemas.openxmlformats.org/officeDocument/2006/relationships" ref="N89" r:id="rId92"/>
    <hyperlink xmlns:r="http://schemas.openxmlformats.org/officeDocument/2006/relationships" ref="N90" r:id="rId93"/>
    <hyperlink xmlns:r="http://schemas.openxmlformats.org/officeDocument/2006/relationships" ref="N91" r:id="rId94"/>
    <hyperlink xmlns:r="http://schemas.openxmlformats.org/officeDocument/2006/relationships" ref="N92" r:id="rId95"/>
    <hyperlink xmlns:r="http://schemas.openxmlformats.org/officeDocument/2006/relationships" ref="N93" r:id="rId96"/>
    <hyperlink xmlns:r="http://schemas.openxmlformats.org/officeDocument/2006/relationships" ref="N94" r:id="rId97"/>
    <hyperlink xmlns:r="http://schemas.openxmlformats.org/officeDocument/2006/relationships" ref="N95" r:id="rId98"/>
    <hyperlink xmlns:r="http://schemas.openxmlformats.org/officeDocument/2006/relationships" ref="N96" r:id="rId99"/>
    <hyperlink xmlns:r="http://schemas.openxmlformats.org/officeDocument/2006/relationships" ref="N97" r:id="rId100"/>
    <hyperlink xmlns:r="http://schemas.openxmlformats.org/officeDocument/2006/relationships" ref="N98" r:id="rId101"/>
    <hyperlink xmlns:r="http://schemas.openxmlformats.org/officeDocument/2006/relationships" ref="N99" r:id="rId102"/>
    <hyperlink xmlns:r="http://schemas.openxmlformats.org/officeDocument/2006/relationships" ref="N100" r:id="rId103"/>
    <hyperlink xmlns:r="http://schemas.openxmlformats.org/officeDocument/2006/relationships" ref="N101" r:id="rId104"/>
    <hyperlink xmlns:r="http://schemas.openxmlformats.org/officeDocument/2006/relationships" ref="N102" r:id="rId105"/>
    <hyperlink xmlns:r="http://schemas.openxmlformats.org/officeDocument/2006/relationships" ref="N103" r:id="rId106"/>
    <hyperlink xmlns:r="http://schemas.openxmlformats.org/officeDocument/2006/relationships" ref="N104" r:id="rId107"/>
    <hyperlink xmlns:r="http://schemas.openxmlformats.org/officeDocument/2006/relationships" ref="N105" r:id="rId108"/>
    <hyperlink xmlns:r="http://schemas.openxmlformats.org/officeDocument/2006/relationships" ref="N106" r:id="rId109"/>
    <hyperlink xmlns:r="http://schemas.openxmlformats.org/officeDocument/2006/relationships" ref="N107" r:id="rId110"/>
    <hyperlink xmlns:r="http://schemas.openxmlformats.org/officeDocument/2006/relationships" ref="N108" r:id="rId111"/>
    <hyperlink xmlns:r="http://schemas.openxmlformats.org/officeDocument/2006/relationships" ref="N109" r:id="rId112"/>
    <hyperlink xmlns:r="http://schemas.openxmlformats.org/officeDocument/2006/relationships" ref="N110" r:id="rId113"/>
    <hyperlink xmlns:r="http://schemas.openxmlformats.org/officeDocument/2006/relationships" ref="N111" r:id="rId114"/>
    <hyperlink xmlns:r="http://schemas.openxmlformats.org/officeDocument/2006/relationships" ref="N112" r:id="rId115"/>
    <hyperlink xmlns:r="http://schemas.openxmlformats.org/officeDocument/2006/relationships" ref="N113" r:id="rId116"/>
    <hyperlink xmlns:r="http://schemas.openxmlformats.org/officeDocument/2006/relationships" ref="N114" r:id="rId117"/>
    <hyperlink xmlns:r="http://schemas.openxmlformats.org/officeDocument/2006/relationships" ref="N115" r:id="rId118"/>
    <hyperlink xmlns:r="http://schemas.openxmlformats.org/officeDocument/2006/relationships" ref="N116" r:id="rId119"/>
    <hyperlink xmlns:r="http://schemas.openxmlformats.org/officeDocument/2006/relationships" ref="N117" r:id="rId120"/>
    <hyperlink xmlns:r="http://schemas.openxmlformats.org/officeDocument/2006/relationships" ref="N118" r:id="rId121"/>
    <hyperlink xmlns:r="http://schemas.openxmlformats.org/officeDocument/2006/relationships" ref="N119" r:id="rId122"/>
    <hyperlink xmlns:r="http://schemas.openxmlformats.org/officeDocument/2006/relationships" ref="N120" r:id="rId123"/>
    <hyperlink xmlns:r="http://schemas.openxmlformats.org/officeDocument/2006/relationships" ref="N121" r:id="rId124"/>
    <hyperlink xmlns:r="http://schemas.openxmlformats.org/officeDocument/2006/relationships" ref="N122" r:id="rId125"/>
    <hyperlink xmlns:r="http://schemas.openxmlformats.org/officeDocument/2006/relationships" ref="N123" r:id="rId126"/>
    <hyperlink xmlns:r="http://schemas.openxmlformats.org/officeDocument/2006/relationships" ref="N124" r:id="rId127"/>
    <hyperlink xmlns:r="http://schemas.openxmlformats.org/officeDocument/2006/relationships" ref="N125" r:id="rId128"/>
    <hyperlink xmlns:r="http://schemas.openxmlformats.org/officeDocument/2006/relationships" ref="N126" r:id="rId129"/>
    <hyperlink xmlns:r="http://schemas.openxmlformats.org/officeDocument/2006/relationships" ref="N127" r:id="rId130"/>
    <hyperlink xmlns:r="http://schemas.openxmlformats.org/officeDocument/2006/relationships" ref="N128" r:id="rId131"/>
    <hyperlink xmlns:r="http://schemas.openxmlformats.org/officeDocument/2006/relationships" ref="N129" r:id="rId132"/>
    <hyperlink xmlns:r="http://schemas.openxmlformats.org/officeDocument/2006/relationships" ref="N130" r:id="rId133"/>
    <hyperlink xmlns:r="http://schemas.openxmlformats.org/officeDocument/2006/relationships" ref="N131" r:id="rId134"/>
    <hyperlink xmlns:r="http://schemas.openxmlformats.org/officeDocument/2006/relationships" ref="N132" r:id="rId135"/>
    <hyperlink xmlns:r="http://schemas.openxmlformats.org/officeDocument/2006/relationships" ref="N133" r:id="rId136"/>
    <hyperlink xmlns:r="http://schemas.openxmlformats.org/officeDocument/2006/relationships" ref="N134" r:id="rId137"/>
    <hyperlink xmlns:r="http://schemas.openxmlformats.org/officeDocument/2006/relationships" ref="N135" r:id="rId138"/>
    <hyperlink xmlns:r="http://schemas.openxmlformats.org/officeDocument/2006/relationships" ref="N136" r:id="rId139"/>
    <hyperlink xmlns:r="http://schemas.openxmlformats.org/officeDocument/2006/relationships" ref="N137" r:id="rId140"/>
    <hyperlink xmlns:r="http://schemas.openxmlformats.org/officeDocument/2006/relationships" ref="N138" r:id="rId141"/>
    <hyperlink xmlns:r="http://schemas.openxmlformats.org/officeDocument/2006/relationships" ref="N139" r:id="rId142"/>
    <hyperlink xmlns:r="http://schemas.openxmlformats.org/officeDocument/2006/relationships" ref="N140" r:id="rId143"/>
    <hyperlink xmlns:r="http://schemas.openxmlformats.org/officeDocument/2006/relationships" ref="N141" r:id="rId144"/>
    <hyperlink xmlns:r="http://schemas.openxmlformats.org/officeDocument/2006/relationships" ref="N142" r:id="rId145"/>
    <hyperlink xmlns:r="http://schemas.openxmlformats.org/officeDocument/2006/relationships" ref="N143" r:id="rId146"/>
    <hyperlink xmlns:r="http://schemas.openxmlformats.org/officeDocument/2006/relationships" ref="N144" r:id="rId147"/>
    <hyperlink xmlns:r="http://schemas.openxmlformats.org/officeDocument/2006/relationships" ref="N145" r:id="rId148"/>
    <hyperlink xmlns:r="http://schemas.openxmlformats.org/officeDocument/2006/relationships" ref="N146" r:id="rId149"/>
    <hyperlink xmlns:r="http://schemas.openxmlformats.org/officeDocument/2006/relationships" ref="N147" r:id="rId150"/>
    <hyperlink xmlns:r="http://schemas.openxmlformats.org/officeDocument/2006/relationships" ref="N148" r:id="rId151"/>
    <hyperlink xmlns:r="http://schemas.openxmlformats.org/officeDocument/2006/relationships" ref="N149" r:id="rId152"/>
    <hyperlink xmlns:r="http://schemas.openxmlformats.org/officeDocument/2006/relationships" ref="N150" r:id="rId153"/>
    <hyperlink xmlns:r="http://schemas.openxmlformats.org/officeDocument/2006/relationships" ref="N151" r:id="rId154"/>
    <hyperlink xmlns:r="http://schemas.openxmlformats.org/officeDocument/2006/relationships" ref="N152" r:id="rId155"/>
    <hyperlink xmlns:r="http://schemas.openxmlformats.org/officeDocument/2006/relationships" ref="N153" r:id="rId156"/>
    <hyperlink xmlns:r="http://schemas.openxmlformats.org/officeDocument/2006/relationships" ref="N154" r:id="rId157"/>
    <hyperlink xmlns:r="http://schemas.openxmlformats.org/officeDocument/2006/relationships" ref="N155" r:id="rId158"/>
    <hyperlink xmlns:r="http://schemas.openxmlformats.org/officeDocument/2006/relationships" ref="N156" r:id="rId159"/>
    <hyperlink xmlns:r="http://schemas.openxmlformats.org/officeDocument/2006/relationships" ref="N157" r:id="rId160"/>
    <hyperlink xmlns:r="http://schemas.openxmlformats.org/officeDocument/2006/relationships" ref="N158" r:id="rId161"/>
    <hyperlink xmlns:r="http://schemas.openxmlformats.org/officeDocument/2006/relationships" ref="N159" r:id="rId162"/>
    <hyperlink xmlns:r="http://schemas.openxmlformats.org/officeDocument/2006/relationships" ref="N160" r:id="rId163"/>
    <hyperlink xmlns:r="http://schemas.openxmlformats.org/officeDocument/2006/relationships" ref="N161" r:id="rId164"/>
    <hyperlink xmlns:r="http://schemas.openxmlformats.org/officeDocument/2006/relationships" ref="N162" r:id="rId165"/>
    <hyperlink xmlns:r="http://schemas.openxmlformats.org/officeDocument/2006/relationships" ref="N163" r:id="rId166"/>
    <hyperlink xmlns:r="http://schemas.openxmlformats.org/officeDocument/2006/relationships" ref="N164" r:id="rId167"/>
    <hyperlink xmlns:r="http://schemas.openxmlformats.org/officeDocument/2006/relationships" ref="N165" r:id="rId168"/>
    <hyperlink xmlns:r="http://schemas.openxmlformats.org/officeDocument/2006/relationships" ref="N166" r:id="rId169"/>
    <hyperlink xmlns:r="http://schemas.openxmlformats.org/officeDocument/2006/relationships" ref="N167" r:id="rId170"/>
    <hyperlink xmlns:r="http://schemas.openxmlformats.org/officeDocument/2006/relationships" ref="N168" r:id="rId171"/>
    <hyperlink xmlns:r="http://schemas.openxmlformats.org/officeDocument/2006/relationships" ref="N169" r:id="rId172"/>
    <hyperlink xmlns:r="http://schemas.openxmlformats.org/officeDocument/2006/relationships" ref="N170" r:id="rId173"/>
    <hyperlink xmlns:r="http://schemas.openxmlformats.org/officeDocument/2006/relationships" ref="N171" r:id="rId174"/>
    <hyperlink xmlns:r="http://schemas.openxmlformats.org/officeDocument/2006/relationships" ref="N172" r:id="rId175"/>
    <hyperlink xmlns:r="http://schemas.openxmlformats.org/officeDocument/2006/relationships" ref="N173" r:id="rId176"/>
    <hyperlink xmlns:r="http://schemas.openxmlformats.org/officeDocument/2006/relationships" ref="N174" r:id="rId177"/>
    <hyperlink xmlns:r="http://schemas.openxmlformats.org/officeDocument/2006/relationships" ref="N175" r:id="rId178"/>
    <hyperlink xmlns:r="http://schemas.openxmlformats.org/officeDocument/2006/relationships" ref="N176" r:id="rId179"/>
    <hyperlink xmlns:r="http://schemas.openxmlformats.org/officeDocument/2006/relationships" ref="N177" r:id="rId180"/>
    <hyperlink xmlns:r="http://schemas.openxmlformats.org/officeDocument/2006/relationships" ref="N178" r:id="rId181"/>
    <hyperlink xmlns:r="http://schemas.openxmlformats.org/officeDocument/2006/relationships" ref="N179" r:id="rId182"/>
    <hyperlink xmlns:r="http://schemas.openxmlformats.org/officeDocument/2006/relationships" ref="N180" r:id="rId183"/>
    <hyperlink xmlns:r="http://schemas.openxmlformats.org/officeDocument/2006/relationships" ref="N181" r:id="rId184"/>
    <hyperlink xmlns:r="http://schemas.openxmlformats.org/officeDocument/2006/relationships" ref="N182" r:id="rId185"/>
    <hyperlink xmlns:r="http://schemas.openxmlformats.org/officeDocument/2006/relationships" ref="N183" r:id="rId186"/>
    <hyperlink xmlns:r="http://schemas.openxmlformats.org/officeDocument/2006/relationships" ref="N184" r:id="rId187"/>
    <hyperlink xmlns:r="http://schemas.openxmlformats.org/officeDocument/2006/relationships" ref="N185" r:id="rId188"/>
    <hyperlink xmlns:r="http://schemas.openxmlformats.org/officeDocument/2006/relationships" ref="N186" r:id="rId189"/>
    <hyperlink xmlns:r="http://schemas.openxmlformats.org/officeDocument/2006/relationships" ref="N187" r:id="rId190"/>
    <hyperlink xmlns:r="http://schemas.openxmlformats.org/officeDocument/2006/relationships" ref="N188" r:id="rId191"/>
    <hyperlink xmlns:r="http://schemas.openxmlformats.org/officeDocument/2006/relationships" ref="N189" r:id="rId192"/>
    <hyperlink xmlns:r="http://schemas.openxmlformats.org/officeDocument/2006/relationships" ref="N190" r:id="rId193"/>
    <hyperlink xmlns:r="http://schemas.openxmlformats.org/officeDocument/2006/relationships" ref="N191" r:id="rId194"/>
    <hyperlink xmlns:r="http://schemas.openxmlformats.org/officeDocument/2006/relationships" ref="N192" r:id="rId195"/>
    <hyperlink xmlns:r="http://schemas.openxmlformats.org/officeDocument/2006/relationships" ref="N193" r:id="rId196"/>
    <hyperlink xmlns:r="http://schemas.openxmlformats.org/officeDocument/2006/relationships" ref="N194" r:id="rId197"/>
    <hyperlink xmlns:r="http://schemas.openxmlformats.org/officeDocument/2006/relationships" ref="N195" r:id="rId198"/>
    <hyperlink xmlns:r="http://schemas.openxmlformats.org/officeDocument/2006/relationships" ref="N196" r:id="rId199"/>
    <hyperlink xmlns:r="http://schemas.openxmlformats.org/officeDocument/2006/relationships" ref="N197" r:id="rId200"/>
    <hyperlink xmlns:r="http://schemas.openxmlformats.org/officeDocument/2006/relationships" ref="N198" r:id="rId201"/>
    <hyperlink xmlns:r="http://schemas.openxmlformats.org/officeDocument/2006/relationships" ref="N199" r:id="rId202"/>
    <hyperlink xmlns:r="http://schemas.openxmlformats.org/officeDocument/2006/relationships" ref="N200" r:id="rId203"/>
    <hyperlink xmlns:r="http://schemas.openxmlformats.org/officeDocument/2006/relationships" ref="N201" r:id="rId204"/>
    <hyperlink xmlns:r="http://schemas.openxmlformats.org/officeDocument/2006/relationships" ref="N202" r:id="rId205"/>
    <hyperlink xmlns:r="http://schemas.openxmlformats.org/officeDocument/2006/relationships" ref="N203" r:id="rId206"/>
    <hyperlink xmlns:r="http://schemas.openxmlformats.org/officeDocument/2006/relationships" ref="N204" r:id="rId207"/>
    <hyperlink xmlns:r="http://schemas.openxmlformats.org/officeDocument/2006/relationships" ref="N205" r:id="rId208"/>
    <hyperlink xmlns:r="http://schemas.openxmlformats.org/officeDocument/2006/relationships" ref="N206" r:id="rId209"/>
    <hyperlink xmlns:r="http://schemas.openxmlformats.org/officeDocument/2006/relationships" ref="N207" r:id="rId210"/>
    <hyperlink xmlns:r="http://schemas.openxmlformats.org/officeDocument/2006/relationships" ref="N208" r:id="rId211"/>
    <hyperlink xmlns:r="http://schemas.openxmlformats.org/officeDocument/2006/relationships" ref="N209" r:id="rId212"/>
    <hyperlink xmlns:r="http://schemas.openxmlformats.org/officeDocument/2006/relationships" ref="N210" r:id="rId213"/>
    <hyperlink xmlns:r="http://schemas.openxmlformats.org/officeDocument/2006/relationships" ref="N211" r:id="rId214"/>
    <hyperlink xmlns:r="http://schemas.openxmlformats.org/officeDocument/2006/relationships" ref="N212" r:id="rId215"/>
    <hyperlink xmlns:r="http://schemas.openxmlformats.org/officeDocument/2006/relationships" ref="N213" r:id="rId216"/>
    <hyperlink xmlns:r="http://schemas.openxmlformats.org/officeDocument/2006/relationships" ref="N214" r:id="rId217"/>
    <hyperlink xmlns:r="http://schemas.openxmlformats.org/officeDocument/2006/relationships" ref="N215" r:id="rId218"/>
    <hyperlink xmlns:r="http://schemas.openxmlformats.org/officeDocument/2006/relationships" ref="N216" r:id="rId219"/>
    <hyperlink xmlns:r="http://schemas.openxmlformats.org/officeDocument/2006/relationships" ref="N217" r:id="rId220"/>
    <hyperlink xmlns:r="http://schemas.openxmlformats.org/officeDocument/2006/relationships" ref="N218" r:id="rId221"/>
    <hyperlink xmlns:r="http://schemas.openxmlformats.org/officeDocument/2006/relationships" ref="N219" r:id="rId222"/>
    <hyperlink xmlns:r="http://schemas.openxmlformats.org/officeDocument/2006/relationships" ref="N220" r:id="rId223"/>
    <hyperlink xmlns:r="http://schemas.openxmlformats.org/officeDocument/2006/relationships" ref="N221" r:id="rId224"/>
    <hyperlink xmlns:r="http://schemas.openxmlformats.org/officeDocument/2006/relationships" ref="N222" r:id="rId225"/>
    <hyperlink xmlns:r="http://schemas.openxmlformats.org/officeDocument/2006/relationships" ref="N223" r:id="rId226"/>
    <hyperlink xmlns:r="http://schemas.openxmlformats.org/officeDocument/2006/relationships" ref="N224" r:id="rId227"/>
    <hyperlink xmlns:r="http://schemas.openxmlformats.org/officeDocument/2006/relationships" ref="N225" r:id="rId228"/>
    <hyperlink xmlns:r="http://schemas.openxmlformats.org/officeDocument/2006/relationships" ref="N226" r:id="rId229"/>
    <hyperlink xmlns:r="http://schemas.openxmlformats.org/officeDocument/2006/relationships" ref="N227" r:id="rId230"/>
    <hyperlink xmlns:r="http://schemas.openxmlformats.org/officeDocument/2006/relationships" ref="N228" r:id="rId231"/>
    <hyperlink xmlns:r="http://schemas.openxmlformats.org/officeDocument/2006/relationships" ref="N229" r:id="rId232"/>
    <hyperlink xmlns:r="http://schemas.openxmlformats.org/officeDocument/2006/relationships" ref="N230" r:id="rId233"/>
    <hyperlink xmlns:r="http://schemas.openxmlformats.org/officeDocument/2006/relationships" ref="N231" r:id="rId234"/>
    <hyperlink xmlns:r="http://schemas.openxmlformats.org/officeDocument/2006/relationships" ref="N232" r:id="rId235"/>
    <hyperlink xmlns:r="http://schemas.openxmlformats.org/officeDocument/2006/relationships" ref="N233" r:id="rId236"/>
    <hyperlink xmlns:r="http://schemas.openxmlformats.org/officeDocument/2006/relationships" ref="N234" r:id="rId237"/>
    <hyperlink xmlns:r="http://schemas.openxmlformats.org/officeDocument/2006/relationships" ref="N235" r:id="rId238"/>
    <hyperlink xmlns:r="http://schemas.openxmlformats.org/officeDocument/2006/relationships" ref="N236" r:id="rId239"/>
    <hyperlink xmlns:r="http://schemas.openxmlformats.org/officeDocument/2006/relationships" ref="N237" r:id="rId240"/>
    <hyperlink xmlns:r="http://schemas.openxmlformats.org/officeDocument/2006/relationships" ref="N238" r:id="rId241"/>
    <hyperlink xmlns:r="http://schemas.openxmlformats.org/officeDocument/2006/relationships" ref="N239" r:id="rId242"/>
    <hyperlink xmlns:r="http://schemas.openxmlformats.org/officeDocument/2006/relationships" ref="N240" r:id="rId243"/>
    <hyperlink xmlns:r="http://schemas.openxmlformats.org/officeDocument/2006/relationships" ref="N241" r:id="rId244"/>
    <hyperlink xmlns:r="http://schemas.openxmlformats.org/officeDocument/2006/relationships" ref="N242" r:id="rId245"/>
    <hyperlink xmlns:r="http://schemas.openxmlformats.org/officeDocument/2006/relationships" ref="N243" r:id="rId246"/>
    <hyperlink xmlns:r="http://schemas.openxmlformats.org/officeDocument/2006/relationships" ref="N244" r:id="rId247"/>
    <hyperlink xmlns:r="http://schemas.openxmlformats.org/officeDocument/2006/relationships" ref="N245" r:id="rId248"/>
    <hyperlink xmlns:r="http://schemas.openxmlformats.org/officeDocument/2006/relationships" ref="N246" r:id="rId249"/>
    <hyperlink xmlns:r="http://schemas.openxmlformats.org/officeDocument/2006/relationships" ref="N247" r:id="rId250"/>
    <hyperlink xmlns:r="http://schemas.openxmlformats.org/officeDocument/2006/relationships" ref="N248" r:id="rId251"/>
    <hyperlink xmlns:r="http://schemas.openxmlformats.org/officeDocument/2006/relationships" ref="N249" r:id="rId252"/>
    <hyperlink xmlns:r="http://schemas.openxmlformats.org/officeDocument/2006/relationships" ref="N250" r:id="rId253"/>
    <hyperlink xmlns:r="http://schemas.openxmlformats.org/officeDocument/2006/relationships" ref="N251" r:id="rId254"/>
    <hyperlink xmlns:r="http://schemas.openxmlformats.org/officeDocument/2006/relationships" ref="N252" r:id="rId255"/>
    <hyperlink xmlns:r="http://schemas.openxmlformats.org/officeDocument/2006/relationships" ref="N253" r:id="rId256"/>
    <hyperlink xmlns:r="http://schemas.openxmlformats.org/officeDocument/2006/relationships" ref="N254" r:id="rId257"/>
    <hyperlink xmlns:r="http://schemas.openxmlformats.org/officeDocument/2006/relationships" ref="N255" r:id="rId258"/>
    <hyperlink xmlns:r="http://schemas.openxmlformats.org/officeDocument/2006/relationships" ref="N256" r:id="rId259"/>
    <hyperlink xmlns:r="http://schemas.openxmlformats.org/officeDocument/2006/relationships" ref="N257" r:id="rId260"/>
    <hyperlink xmlns:r="http://schemas.openxmlformats.org/officeDocument/2006/relationships" ref="N258" r:id="rId261"/>
    <hyperlink xmlns:r="http://schemas.openxmlformats.org/officeDocument/2006/relationships" ref="N259" r:id="rId262"/>
    <hyperlink xmlns:r="http://schemas.openxmlformats.org/officeDocument/2006/relationships" ref="N260" r:id="rId263"/>
    <hyperlink xmlns:r="http://schemas.openxmlformats.org/officeDocument/2006/relationships" ref="N261" r:id="rId264"/>
    <hyperlink xmlns:r="http://schemas.openxmlformats.org/officeDocument/2006/relationships" ref="N262" r:id="rId265"/>
    <hyperlink xmlns:r="http://schemas.openxmlformats.org/officeDocument/2006/relationships" ref="N263" r:id="rId266"/>
    <hyperlink xmlns:r="http://schemas.openxmlformats.org/officeDocument/2006/relationships" ref="N264" r:id="rId267"/>
    <hyperlink xmlns:r="http://schemas.openxmlformats.org/officeDocument/2006/relationships" ref="N265" r:id="rId268"/>
    <hyperlink xmlns:r="http://schemas.openxmlformats.org/officeDocument/2006/relationships" ref="N266" r:id="rId269"/>
    <hyperlink xmlns:r="http://schemas.openxmlformats.org/officeDocument/2006/relationships" ref="N267" r:id="rId270"/>
    <hyperlink xmlns:r="http://schemas.openxmlformats.org/officeDocument/2006/relationships" ref="N268" r:id="rId271"/>
    <hyperlink xmlns:r="http://schemas.openxmlformats.org/officeDocument/2006/relationships" ref="N269" r:id="rId272"/>
    <hyperlink xmlns:r="http://schemas.openxmlformats.org/officeDocument/2006/relationships" ref="N270" r:id="rId273"/>
    <hyperlink xmlns:r="http://schemas.openxmlformats.org/officeDocument/2006/relationships" ref="N271" r:id="rId274"/>
    <hyperlink xmlns:r="http://schemas.openxmlformats.org/officeDocument/2006/relationships" ref="N272" r:id="rId275"/>
    <hyperlink xmlns:r="http://schemas.openxmlformats.org/officeDocument/2006/relationships" ref="N273" r:id="rId276"/>
    <hyperlink xmlns:r="http://schemas.openxmlformats.org/officeDocument/2006/relationships" ref="N274" r:id="rId277"/>
    <hyperlink xmlns:r="http://schemas.openxmlformats.org/officeDocument/2006/relationships" ref="N275" r:id="rId278"/>
    <hyperlink xmlns:r="http://schemas.openxmlformats.org/officeDocument/2006/relationships" ref="N276" r:id="rId279"/>
    <hyperlink xmlns:r="http://schemas.openxmlformats.org/officeDocument/2006/relationships" ref="N277" r:id="rId280"/>
    <hyperlink xmlns:r="http://schemas.openxmlformats.org/officeDocument/2006/relationships" ref="N278" r:id="rId281"/>
    <hyperlink xmlns:r="http://schemas.openxmlformats.org/officeDocument/2006/relationships" ref="N279" r:id="rId282"/>
    <hyperlink xmlns:r="http://schemas.openxmlformats.org/officeDocument/2006/relationships" ref="N280" r:id="rId283"/>
    <hyperlink xmlns:r="http://schemas.openxmlformats.org/officeDocument/2006/relationships" ref="N281" r:id="rId284"/>
    <hyperlink xmlns:r="http://schemas.openxmlformats.org/officeDocument/2006/relationships" ref="N282" r:id="rId285"/>
    <hyperlink xmlns:r="http://schemas.openxmlformats.org/officeDocument/2006/relationships" ref="N283" r:id="rId286"/>
    <hyperlink xmlns:r="http://schemas.openxmlformats.org/officeDocument/2006/relationships" ref="N284" r:id="rId287"/>
    <hyperlink xmlns:r="http://schemas.openxmlformats.org/officeDocument/2006/relationships" ref="N285" r:id="rId288"/>
    <hyperlink xmlns:r="http://schemas.openxmlformats.org/officeDocument/2006/relationships" ref="N286" r:id="rId289"/>
    <hyperlink xmlns:r="http://schemas.openxmlformats.org/officeDocument/2006/relationships" ref="N287" r:id="rId290"/>
    <hyperlink xmlns:r="http://schemas.openxmlformats.org/officeDocument/2006/relationships" ref="N288" r:id="rId291"/>
    <hyperlink xmlns:r="http://schemas.openxmlformats.org/officeDocument/2006/relationships" ref="N289" r:id="rId292"/>
    <hyperlink xmlns:r="http://schemas.openxmlformats.org/officeDocument/2006/relationships" ref="N290" r:id="rId293"/>
    <hyperlink xmlns:r="http://schemas.openxmlformats.org/officeDocument/2006/relationships" ref="N291" r:id="rId294"/>
    <hyperlink xmlns:r="http://schemas.openxmlformats.org/officeDocument/2006/relationships" ref="N292" r:id="rId295"/>
    <hyperlink xmlns:r="http://schemas.openxmlformats.org/officeDocument/2006/relationships" ref="N293" r:id="rId296"/>
    <hyperlink xmlns:r="http://schemas.openxmlformats.org/officeDocument/2006/relationships" ref="N294" r:id="rId297"/>
    <hyperlink xmlns:r="http://schemas.openxmlformats.org/officeDocument/2006/relationships" ref="N295" r:id="rId298"/>
    <hyperlink xmlns:r="http://schemas.openxmlformats.org/officeDocument/2006/relationships" ref="N296" r:id="rId299"/>
    <hyperlink xmlns:r="http://schemas.openxmlformats.org/officeDocument/2006/relationships" ref="N297" r:id="rId300"/>
    <hyperlink xmlns:r="http://schemas.openxmlformats.org/officeDocument/2006/relationships" ref="N298" r:id="rId301"/>
    <hyperlink xmlns:r="http://schemas.openxmlformats.org/officeDocument/2006/relationships" ref="N299" r:id="rId302"/>
    <hyperlink xmlns:r="http://schemas.openxmlformats.org/officeDocument/2006/relationships" ref="N300" r:id="rId303"/>
    <hyperlink xmlns:r="http://schemas.openxmlformats.org/officeDocument/2006/relationships" ref="N301" r:id="rId304"/>
    <hyperlink xmlns:r="http://schemas.openxmlformats.org/officeDocument/2006/relationships" ref="N302" r:id="rId305"/>
    <hyperlink xmlns:r="http://schemas.openxmlformats.org/officeDocument/2006/relationships" ref="N303" r:id="rId306"/>
    <hyperlink xmlns:r="http://schemas.openxmlformats.org/officeDocument/2006/relationships" ref="N304" r:id="rId307"/>
    <hyperlink xmlns:r="http://schemas.openxmlformats.org/officeDocument/2006/relationships" ref="N305" r:id="rId308"/>
    <hyperlink xmlns:r="http://schemas.openxmlformats.org/officeDocument/2006/relationships" ref="N306" r:id="rId309"/>
    <hyperlink xmlns:r="http://schemas.openxmlformats.org/officeDocument/2006/relationships" ref="N307" r:id="rId310"/>
    <hyperlink xmlns:r="http://schemas.openxmlformats.org/officeDocument/2006/relationships" ref="N308" r:id="rId311"/>
    <hyperlink xmlns:r="http://schemas.openxmlformats.org/officeDocument/2006/relationships" ref="N309" r:id="rId312"/>
    <hyperlink xmlns:r="http://schemas.openxmlformats.org/officeDocument/2006/relationships" ref="N310" r:id="rId313"/>
    <hyperlink xmlns:r="http://schemas.openxmlformats.org/officeDocument/2006/relationships" ref="N311" r:id="rId314"/>
    <hyperlink xmlns:r="http://schemas.openxmlformats.org/officeDocument/2006/relationships" ref="N312" r:id="rId315"/>
    <hyperlink xmlns:r="http://schemas.openxmlformats.org/officeDocument/2006/relationships" ref="N313" r:id="rId316"/>
    <hyperlink xmlns:r="http://schemas.openxmlformats.org/officeDocument/2006/relationships" ref="N314" r:id="rId317"/>
    <hyperlink xmlns:r="http://schemas.openxmlformats.org/officeDocument/2006/relationships" ref="N315" r:id="rId318"/>
    <hyperlink xmlns:r="http://schemas.openxmlformats.org/officeDocument/2006/relationships" ref="N316" r:id="rId319"/>
    <hyperlink xmlns:r="http://schemas.openxmlformats.org/officeDocument/2006/relationships" ref="N317" r:id="rId320"/>
    <hyperlink xmlns:r="http://schemas.openxmlformats.org/officeDocument/2006/relationships" ref="N318" r:id="rId321"/>
    <hyperlink xmlns:r="http://schemas.openxmlformats.org/officeDocument/2006/relationships" ref="N319" r:id="rId322"/>
    <hyperlink xmlns:r="http://schemas.openxmlformats.org/officeDocument/2006/relationships" ref="N320" r:id="rId323"/>
    <hyperlink xmlns:r="http://schemas.openxmlformats.org/officeDocument/2006/relationships" ref="N321" r:id="rId324"/>
    <hyperlink xmlns:r="http://schemas.openxmlformats.org/officeDocument/2006/relationships" ref="N322" r:id="rId325"/>
    <hyperlink xmlns:r="http://schemas.openxmlformats.org/officeDocument/2006/relationships" ref="N323" r:id="rId326"/>
    <hyperlink xmlns:r="http://schemas.openxmlformats.org/officeDocument/2006/relationships" ref="N324" r:id="rId327"/>
    <hyperlink xmlns:r="http://schemas.openxmlformats.org/officeDocument/2006/relationships" ref="N325" r:id="rId328"/>
    <hyperlink xmlns:r="http://schemas.openxmlformats.org/officeDocument/2006/relationships" ref="N326" r:id="rId329"/>
    <hyperlink xmlns:r="http://schemas.openxmlformats.org/officeDocument/2006/relationships" ref="N327" r:id="rId330"/>
    <hyperlink xmlns:r="http://schemas.openxmlformats.org/officeDocument/2006/relationships" ref="N328" r:id="rId331"/>
    <hyperlink xmlns:r="http://schemas.openxmlformats.org/officeDocument/2006/relationships" ref="N329" r:id="rId332"/>
    <hyperlink xmlns:r="http://schemas.openxmlformats.org/officeDocument/2006/relationships" ref="N330" r:id="rId333"/>
    <hyperlink xmlns:r="http://schemas.openxmlformats.org/officeDocument/2006/relationships" ref="N331" r:id="rId334"/>
    <hyperlink xmlns:r="http://schemas.openxmlformats.org/officeDocument/2006/relationships" ref="N332" r:id="rId335"/>
    <hyperlink xmlns:r="http://schemas.openxmlformats.org/officeDocument/2006/relationships" ref="N333" r:id="rId336"/>
    <hyperlink xmlns:r="http://schemas.openxmlformats.org/officeDocument/2006/relationships" ref="N334" r:id="rId337"/>
    <hyperlink xmlns:r="http://schemas.openxmlformats.org/officeDocument/2006/relationships" ref="N335" r:id="rId338"/>
    <hyperlink xmlns:r="http://schemas.openxmlformats.org/officeDocument/2006/relationships" ref="N336" r:id="rId339"/>
    <hyperlink xmlns:r="http://schemas.openxmlformats.org/officeDocument/2006/relationships" ref="N337" r:id="rId340"/>
    <hyperlink xmlns:r="http://schemas.openxmlformats.org/officeDocument/2006/relationships" ref="N338" r:id="rId341"/>
    <hyperlink xmlns:r="http://schemas.openxmlformats.org/officeDocument/2006/relationships" ref="N339" r:id="rId342"/>
    <hyperlink xmlns:r="http://schemas.openxmlformats.org/officeDocument/2006/relationships" ref="N340" r:id="rId343"/>
    <hyperlink xmlns:r="http://schemas.openxmlformats.org/officeDocument/2006/relationships" ref="N341" r:id="rId344"/>
    <hyperlink xmlns:r="http://schemas.openxmlformats.org/officeDocument/2006/relationships" ref="N342" r:id="rId345"/>
    <hyperlink xmlns:r="http://schemas.openxmlformats.org/officeDocument/2006/relationships" ref="N343" r:id="rId346"/>
    <hyperlink xmlns:r="http://schemas.openxmlformats.org/officeDocument/2006/relationships" ref="N344" r:id="rId347"/>
    <hyperlink xmlns:r="http://schemas.openxmlformats.org/officeDocument/2006/relationships" ref="N345" r:id="rId348"/>
    <hyperlink xmlns:r="http://schemas.openxmlformats.org/officeDocument/2006/relationships" ref="N346" r:id="rId349"/>
    <hyperlink xmlns:r="http://schemas.openxmlformats.org/officeDocument/2006/relationships" ref="N347" r:id="rId350"/>
    <hyperlink xmlns:r="http://schemas.openxmlformats.org/officeDocument/2006/relationships" ref="N348" r:id="rId351"/>
    <hyperlink xmlns:r="http://schemas.openxmlformats.org/officeDocument/2006/relationships" ref="N349" r:id="rId352"/>
    <hyperlink xmlns:r="http://schemas.openxmlformats.org/officeDocument/2006/relationships" ref="N350" r:id="rId353"/>
    <hyperlink xmlns:r="http://schemas.openxmlformats.org/officeDocument/2006/relationships" ref="N351" r:id="rId354"/>
    <hyperlink xmlns:r="http://schemas.openxmlformats.org/officeDocument/2006/relationships" ref="N352" r:id="rId355"/>
    <hyperlink xmlns:r="http://schemas.openxmlformats.org/officeDocument/2006/relationships" ref="N353" r:id="rId356"/>
    <hyperlink xmlns:r="http://schemas.openxmlformats.org/officeDocument/2006/relationships" ref="N354" r:id="rId357"/>
    <hyperlink xmlns:r="http://schemas.openxmlformats.org/officeDocument/2006/relationships" ref="N355" r:id="rId358"/>
    <hyperlink xmlns:r="http://schemas.openxmlformats.org/officeDocument/2006/relationships" ref="N356" r:id="rId359"/>
    <hyperlink xmlns:r="http://schemas.openxmlformats.org/officeDocument/2006/relationships" ref="N357" r:id="rId360"/>
    <hyperlink xmlns:r="http://schemas.openxmlformats.org/officeDocument/2006/relationships" ref="N358" r:id="rId361"/>
    <hyperlink xmlns:r="http://schemas.openxmlformats.org/officeDocument/2006/relationships" ref="N359" r:id="rId362"/>
    <hyperlink xmlns:r="http://schemas.openxmlformats.org/officeDocument/2006/relationships" ref="N360" r:id="rId363"/>
    <hyperlink xmlns:r="http://schemas.openxmlformats.org/officeDocument/2006/relationships" ref="N361" r:id="rId364"/>
    <hyperlink xmlns:r="http://schemas.openxmlformats.org/officeDocument/2006/relationships" ref="N362" r:id="rId365"/>
    <hyperlink xmlns:r="http://schemas.openxmlformats.org/officeDocument/2006/relationships" ref="N363" r:id="rId366"/>
    <hyperlink xmlns:r="http://schemas.openxmlformats.org/officeDocument/2006/relationships" ref="N364" r:id="rId367"/>
    <hyperlink xmlns:r="http://schemas.openxmlformats.org/officeDocument/2006/relationships" ref="N365" r:id="rId368"/>
    <hyperlink xmlns:r="http://schemas.openxmlformats.org/officeDocument/2006/relationships" ref="N366" r:id="rId369"/>
    <hyperlink xmlns:r="http://schemas.openxmlformats.org/officeDocument/2006/relationships" ref="N367" r:id="rId370"/>
    <hyperlink xmlns:r="http://schemas.openxmlformats.org/officeDocument/2006/relationships" ref="N368" r:id="rId371"/>
    <hyperlink xmlns:r="http://schemas.openxmlformats.org/officeDocument/2006/relationships" ref="N369" r:id="rId372"/>
    <hyperlink xmlns:r="http://schemas.openxmlformats.org/officeDocument/2006/relationships" ref="N370" r:id="rId373"/>
    <hyperlink xmlns:r="http://schemas.openxmlformats.org/officeDocument/2006/relationships" ref="N371" r:id="rId374"/>
    <hyperlink xmlns:r="http://schemas.openxmlformats.org/officeDocument/2006/relationships" ref="N372" r:id="rId375"/>
    <hyperlink xmlns:r="http://schemas.openxmlformats.org/officeDocument/2006/relationships" ref="N373" r:id="rId376"/>
    <hyperlink xmlns:r="http://schemas.openxmlformats.org/officeDocument/2006/relationships" ref="N374" r:id="rId377"/>
    <hyperlink xmlns:r="http://schemas.openxmlformats.org/officeDocument/2006/relationships" ref="N375" r:id="rId378"/>
    <hyperlink xmlns:r="http://schemas.openxmlformats.org/officeDocument/2006/relationships" ref="N376" r:id="rId379"/>
    <hyperlink xmlns:r="http://schemas.openxmlformats.org/officeDocument/2006/relationships" ref="N377" r:id="rId380"/>
    <hyperlink xmlns:r="http://schemas.openxmlformats.org/officeDocument/2006/relationships" ref="N378" r:id="rId381"/>
    <hyperlink xmlns:r="http://schemas.openxmlformats.org/officeDocument/2006/relationships" ref="N379" r:id="rId382"/>
    <hyperlink xmlns:r="http://schemas.openxmlformats.org/officeDocument/2006/relationships" ref="N380" r:id="rId383"/>
    <hyperlink xmlns:r="http://schemas.openxmlformats.org/officeDocument/2006/relationships" ref="N381" r:id="rId384"/>
    <hyperlink xmlns:r="http://schemas.openxmlformats.org/officeDocument/2006/relationships" ref="N382" r:id="rId385"/>
    <hyperlink xmlns:r="http://schemas.openxmlformats.org/officeDocument/2006/relationships" ref="N383" r:id="rId386"/>
    <hyperlink xmlns:r="http://schemas.openxmlformats.org/officeDocument/2006/relationships" ref="N384" r:id="rId387"/>
    <hyperlink xmlns:r="http://schemas.openxmlformats.org/officeDocument/2006/relationships" ref="N385" r:id="rId388"/>
    <hyperlink xmlns:r="http://schemas.openxmlformats.org/officeDocument/2006/relationships" ref="N386" r:id="rId389"/>
    <hyperlink xmlns:r="http://schemas.openxmlformats.org/officeDocument/2006/relationships" ref="N387" r:id="rId390"/>
    <hyperlink xmlns:r="http://schemas.openxmlformats.org/officeDocument/2006/relationships" ref="N388" r:id="rId391"/>
    <hyperlink xmlns:r="http://schemas.openxmlformats.org/officeDocument/2006/relationships" ref="N389" r:id="rId392"/>
    <hyperlink xmlns:r="http://schemas.openxmlformats.org/officeDocument/2006/relationships" ref="N390" r:id="rId393"/>
    <hyperlink xmlns:r="http://schemas.openxmlformats.org/officeDocument/2006/relationships" ref="N391" r:id="rId394"/>
    <hyperlink xmlns:r="http://schemas.openxmlformats.org/officeDocument/2006/relationships" ref="N392" r:id="rId395"/>
    <hyperlink xmlns:r="http://schemas.openxmlformats.org/officeDocument/2006/relationships" ref="N393" r:id="rId396"/>
    <hyperlink xmlns:r="http://schemas.openxmlformats.org/officeDocument/2006/relationships" ref="N394" r:id="rId397"/>
    <hyperlink xmlns:r="http://schemas.openxmlformats.org/officeDocument/2006/relationships" ref="N395" r:id="rId398"/>
    <hyperlink xmlns:r="http://schemas.openxmlformats.org/officeDocument/2006/relationships" ref="N396" r:id="rId399"/>
    <hyperlink xmlns:r="http://schemas.openxmlformats.org/officeDocument/2006/relationships" ref="N397" r:id="rId400"/>
    <hyperlink xmlns:r="http://schemas.openxmlformats.org/officeDocument/2006/relationships" ref="N398" r:id="rId401"/>
    <hyperlink xmlns:r="http://schemas.openxmlformats.org/officeDocument/2006/relationships" ref="N399" r:id="rId402"/>
    <hyperlink xmlns:r="http://schemas.openxmlformats.org/officeDocument/2006/relationships" ref="N400" r:id="rId403"/>
    <hyperlink xmlns:r="http://schemas.openxmlformats.org/officeDocument/2006/relationships" ref="N401" r:id="rId404"/>
    <hyperlink xmlns:r="http://schemas.openxmlformats.org/officeDocument/2006/relationships" ref="N402" r:id="rId405"/>
    <hyperlink xmlns:r="http://schemas.openxmlformats.org/officeDocument/2006/relationships" ref="N403" r:id="rId406"/>
    <hyperlink xmlns:r="http://schemas.openxmlformats.org/officeDocument/2006/relationships" ref="N404" r:id="rId407"/>
    <hyperlink xmlns:r="http://schemas.openxmlformats.org/officeDocument/2006/relationships" ref="N405" r:id="rId408"/>
    <hyperlink xmlns:r="http://schemas.openxmlformats.org/officeDocument/2006/relationships" ref="N406" r:id="rId409"/>
    <hyperlink xmlns:r="http://schemas.openxmlformats.org/officeDocument/2006/relationships" ref="N407" r:id="rId410"/>
    <hyperlink xmlns:r="http://schemas.openxmlformats.org/officeDocument/2006/relationships" ref="N408" r:id="rId411"/>
    <hyperlink xmlns:r="http://schemas.openxmlformats.org/officeDocument/2006/relationships" ref="N409" r:id="rId412"/>
    <hyperlink xmlns:r="http://schemas.openxmlformats.org/officeDocument/2006/relationships" ref="N410" r:id="rId413"/>
    <hyperlink xmlns:r="http://schemas.openxmlformats.org/officeDocument/2006/relationships" ref="N411" r:id="rId414"/>
    <hyperlink xmlns:r="http://schemas.openxmlformats.org/officeDocument/2006/relationships" ref="N412" r:id="rId415"/>
    <hyperlink xmlns:r="http://schemas.openxmlformats.org/officeDocument/2006/relationships" ref="N413" r:id="rId416"/>
    <hyperlink xmlns:r="http://schemas.openxmlformats.org/officeDocument/2006/relationships" ref="N414" r:id="rId417"/>
    <hyperlink xmlns:r="http://schemas.openxmlformats.org/officeDocument/2006/relationships" ref="N415" r:id="rId418"/>
    <hyperlink xmlns:r="http://schemas.openxmlformats.org/officeDocument/2006/relationships" ref="N416" r:id="rId419"/>
    <hyperlink xmlns:r="http://schemas.openxmlformats.org/officeDocument/2006/relationships" ref="N417" r:id="rId420"/>
    <hyperlink xmlns:r="http://schemas.openxmlformats.org/officeDocument/2006/relationships" ref="N418" r:id="rId421"/>
    <hyperlink xmlns:r="http://schemas.openxmlformats.org/officeDocument/2006/relationships" ref="N419" r:id="rId422"/>
    <hyperlink xmlns:r="http://schemas.openxmlformats.org/officeDocument/2006/relationships" ref="N420" r:id="rId423"/>
    <hyperlink xmlns:r="http://schemas.openxmlformats.org/officeDocument/2006/relationships" ref="N421" r:id="rId424"/>
    <hyperlink xmlns:r="http://schemas.openxmlformats.org/officeDocument/2006/relationships" ref="N422" r:id="rId425"/>
    <hyperlink xmlns:r="http://schemas.openxmlformats.org/officeDocument/2006/relationships" ref="N423" r:id="rId426"/>
    <hyperlink xmlns:r="http://schemas.openxmlformats.org/officeDocument/2006/relationships" ref="N424" r:id="rId427"/>
    <hyperlink xmlns:r="http://schemas.openxmlformats.org/officeDocument/2006/relationships" ref="N425" r:id="rId428"/>
    <hyperlink xmlns:r="http://schemas.openxmlformats.org/officeDocument/2006/relationships" ref="N426" r:id="rId429"/>
    <hyperlink xmlns:r="http://schemas.openxmlformats.org/officeDocument/2006/relationships" ref="N427" r:id="rId430"/>
    <hyperlink xmlns:r="http://schemas.openxmlformats.org/officeDocument/2006/relationships" ref="N428" r:id="rId431"/>
    <hyperlink xmlns:r="http://schemas.openxmlformats.org/officeDocument/2006/relationships" ref="N429" r:id="rId432"/>
    <hyperlink xmlns:r="http://schemas.openxmlformats.org/officeDocument/2006/relationships" ref="N430" r:id="rId433"/>
    <hyperlink xmlns:r="http://schemas.openxmlformats.org/officeDocument/2006/relationships" ref="N431" r:id="rId434"/>
    <hyperlink xmlns:r="http://schemas.openxmlformats.org/officeDocument/2006/relationships" ref="N432" r:id="rId435"/>
    <hyperlink xmlns:r="http://schemas.openxmlformats.org/officeDocument/2006/relationships" ref="N433" r:id="rId436"/>
    <hyperlink xmlns:r="http://schemas.openxmlformats.org/officeDocument/2006/relationships" ref="N434" r:id="rId437"/>
    <hyperlink xmlns:r="http://schemas.openxmlformats.org/officeDocument/2006/relationships" ref="N435" r:id="rId438"/>
    <hyperlink xmlns:r="http://schemas.openxmlformats.org/officeDocument/2006/relationships" ref="N436" r:id="rId439"/>
    <hyperlink xmlns:r="http://schemas.openxmlformats.org/officeDocument/2006/relationships" ref="N437" r:id="rId440"/>
    <hyperlink xmlns:r="http://schemas.openxmlformats.org/officeDocument/2006/relationships" ref="N438" r:id="rId441"/>
    <hyperlink xmlns:r="http://schemas.openxmlformats.org/officeDocument/2006/relationships" ref="N439" r:id="rId442"/>
    <hyperlink xmlns:r="http://schemas.openxmlformats.org/officeDocument/2006/relationships" ref="N440" r:id="rId443"/>
    <hyperlink xmlns:r="http://schemas.openxmlformats.org/officeDocument/2006/relationships" ref="N441" r:id="rId444"/>
    <hyperlink xmlns:r="http://schemas.openxmlformats.org/officeDocument/2006/relationships" ref="N442" r:id="rId445"/>
    <hyperlink xmlns:r="http://schemas.openxmlformats.org/officeDocument/2006/relationships" ref="N443" r:id="rId446"/>
    <hyperlink xmlns:r="http://schemas.openxmlformats.org/officeDocument/2006/relationships" ref="N444" r:id="rId447"/>
    <hyperlink xmlns:r="http://schemas.openxmlformats.org/officeDocument/2006/relationships" ref="N445" r:id="rId448"/>
    <hyperlink xmlns:r="http://schemas.openxmlformats.org/officeDocument/2006/relationships" ref="N446" r:id="rId449"/>
    <hyperlink xmlns:r="http://schemas.openxmlformats.org/officeDocument/2006/relationships" ref="N447" r:id="rId450"/>
    <hyperlink xmlns:r="http://schemas.openxmlformats.org/officeDocument/2006/relationships" ref="N448" r:id="rId451"/>
    <hyperlink xmlns:r="http://schemas.openxmlformats.org/officeDocument/2006/relationships" ref="N449" r:id="rId452"/>
    <hyperlink xmlns:r="http://schemas.openxmlformats.org/officeDocument/2006/relationships" ref="N450" r:id="rId453"/>
    <hyperlink xmlns:r="http://schemas.openxmlformats.org/officeDocument/2006/relationships" ref="N451" r:id="rId454"/>
    <hyperlink xmlns:r="http://schemas.openxmlformats.org/officeDocument/2006/relationships" ref="N452" r:id="rId455"/>
    <hyperlink xmlns:r="http://schemas.openxmlformats.org/officeDocument/2006/relationships" ref="N453" r:id="rId456"/>
    <hyperlink xmlns:r="http://schemas.openxmlformats.org/officeDocument/2006/relationships" ref="N454" r:id="rId457"/>
    <hyperlink xmlns:r="http://schemas.openxmlformats.org/officeDocument/2006/relationships" ref="N455" r:id="rId458"/>
    <hyperlink xmlns:r="http://schemas.openxmlformats.org/officeDocument/2006/relationships" ref="N456" r:id="rId459"/>
    <hyperlink xmlns:r="http://schemas.openxmlformats.org/officeDocument/2006/relationships" ref="N457" r:id="rId460"/>
    <hyperlink xmlns:r="http://schemas.openxmlformats.org/officeDocument/2006/relationships" ref="N458" r:id="rId461"/>
    <hyperlink xmlns:r="http://schemas.openxmlformats.org/officeDocument/2006/relationships" ref="N459" r:id="rId462"/>
    <hyperlink xmlns:r="http://schemas.openxmlformats.org/officeDocument/2006/relationships" ref="N460" r:id="rId463"/>
    <hyperlink xmlns:r="http://schemas.openxmlformats.org/officeDocument/2006/relationships" ref="N461" r:id="rId464"/>
    <hyperlink xmlns:r="http://schemas.openxmlformats.org/officeDocument/2006/relationships" ref="N462" r:id="rId465"/>
    <hyperlink xmlns:r="http://schemas.openxmlformats.org/officeDocument/2006/relationships" ref="N463" r:id="rId466"/>
    <hyperlink xmlns:r="http://schemas.openxmlformats.org/officeDocument/2006/relationships" ref="N464" r:id="rId467"/>
    <hyperlink xmlns:r="http://schemas.openxmlformats.org/officeDocument/2006/relationships" ref="N465" r:id="rId468"/>
    <hyperlink xmlns:r="http://schemas.openxmlformats.org/officeDocument/2006/relationships" ref="N466" r:id="rId469"/>
    <hyperlink xmlns:r="http://schemas.openxmlformats.org/officeDocument/2006/relationships" ref="N467" r:id="rId470"/>
    <hyperlink xmlns:r="http://schemas.openxmlformats.org/officeDocument/2006/relationships" ref="N468" r:id="rId471"/>
    <hyperlink xmlns:r="http://schemas.openxmlformats.org/officeDocument/2006/relationships" ref="N469" r:id="rId472"/>
    <hyperlink xmlns:r="http://schemas.openxmlformats.org/officeDocument/2006/relationships" ref="N470" r:id="rId473"/>
    <hyperlink xmlns:r="http://schemas.openxmlformats.org/officeDocument/2006/relationships" ref="N471" r:id="rId474"/>
    <hyperlink xmlns:r="http://schemas.openxmlformats.org/officeDocument/2006/relationships" ref="N472" r:id="rId475"/>
    <hyperlink xmlns:r="http://schemas.openxmlformats.org/officeDocument/2006/relationships" ref="N473" r:id="rId476"/>
    <hyperlink xmlns:r="http://schemas.openxmlformats.org/officeDocument/2006/relationships" ref="N474" r:id="rId477"/>
    <hyperlink xmlns:r="http://schemas.openxmlformats.org/officeDocument/2006/relationships" ref="N475" r:id="rId478"/>
    <hyperlink xmlns:r="http://schemas.openxmlformats.org/officeDocument/2006/relationships" ref="N476" r:id="rId479"/>
    <hyperlink xmlns:r="http://schemas.openxmlformats.org/officeDocument/2006/relationships" ref="N477" r:id="rId480"/>
    <hyperlink xmlns:r="http://schemas.openxmlformats.org/officeDocument/2006/relationships" ref="N478" r:id="rId481"/>
    <hyperlink xmlns:r="http://schemas.openxmlformats.org/officeDocument/2006/relationships" ref="N479" r:id="rId482"/>
    <hyperlink xmlns:r="http://schemas.openxmlformats.org/officeDocument/2006/relationships" ref="N480" r:id="rId483"/>
    <hyperlink xmlns:r="http://schemas.openxmlformats.org/officeDocument/2006/relationships" ref="N481" r:id="rId484"/>
    <hyperlink xmlns:r="http://schemas.openxmlformats.org/officeDocument/2006/relationships" ref="N482" r:id="rId485"/>
    <hyperlink xmlns:r="http://schemas.openxmlformats.org/officeDocument/2006/relationships" ref="N483" r:id="rId486"/>
    <hyperlink xmlns:r="http://schemas.openxmlformats.org/officeDocument/2006/relationships" ref="N484" r:id="rId487"/>
    <hyperlink xmlns:r="http://schemas.openxmlformats.org/officeDocument/2006/relationships" ref="N485" r:id="rId488"/>
    <hyperlink xmlns:r="http://schemas.openxmlformats.org/officeDocument/2006/relationships" ref="N486" r:id="rId489"/>
    <hyperlink xmlns:r="http://schemas.openxmlformats.org/officeDocument/2006/relationships" ref="N487" r:id="rId490"/>
    <hyperlink xmlns:r="http://schemas.openxmlformats.org/officeDocument/2006/relationships" ref="N488" r:id="rId491"/>
    <hyperlink xmlns:r="http://schemas.openxmlformats.org/officeDocument/2006/relationships" ref="N489" r:id="rId492"/>
    <hyperlink xmlns:r="http://schemas.openxmlformats.org/officeDocument/2006/relationships" ref="N490" r:id="rId493"/>
    <hyperlink xmlns:r="http://schemas.openxmlformats.org/officeDocument/2006/relationships" ref="N491" r:id="rId494"/>
    <hyperlink xmlns:r="http://schemas.openxmlformats.org/officeDocument/2006/relationships" ref="N492" r:id="rId495"/>
    <hyperlink xmlns:r="http://schemas.openxmlformats.org/officeDocument/2006/relationships" ref="N493" r:id="rId496"/>
    <hyperlink xmlns:r="http://schemas.openxmlformats.org/officeDocument/2006/relationships" ref="N494" r:id="rId497"/>
    <hyperlink xmlns:r="http://schemas.openxmlformats.org/officeDocument/2006/relationships" ref="N495" r:id="rId498"/>
    <hyperlink xmlns:r="http://schemas.openxmlformats.org/officeDocument/2006/relationships" ref="N496" r:id="rId499"/>
    <hyperlink xmlns:r="http://schemas.openxmlformats.org/officeDocument/2006/relationships" ref="N497" r:id="rId500"/>
    <hyperlink xmlns:r="http://schemas.openxmlformats.org/officeDocument/2006/relationships" ref="N498" r:id="rId501"/>
    <hyperlink xmlns:r="http://schemas.openxmlformats.org/officeDocument/2006/relationships" ref="N499" r:id="rId502"/>
    <hyperlink xmlns:r="http://schemas.openxmlformats.org/officeDocument/2006/relationships" ref="N500" r:id="rId503"/>
    <hyperlink xmlns:r="http://schemas.openxmlformats.org/officeDocument/2006/relationships" ref="N501" r:id="rId504"/>
    <hyperlink xmlns:r="http://schemas.openxmlformats.org/officeDocument/2006/relationships" ref="N502" r:id="rId505"/>
    <hyperlink xmlns:r="http://schemas.openxmlformats.org/officeDocument/2006/relationships" ref="N503" r:id="rId506"/>
    <hyperlink xmlns:r="http://schemas.openxmlformats.org/officeDocument/2006/relationships" ref="N504" r:id="rId507"/>
    <hyperlink xmlns:r="http://schemas.openxmlformats.org/officeDocument/2006/relationships" ref="N505" r:id="rId508"/>
    <hyperlink xmlns:r="http://schemas.openxmlformats.org/officeDocument/2006/relationships" ref="N506" r:id="rId509"/>
    <hyperlink xmlns:r="http://schemas.openxmlformats.org/officeDocument/2006/relationships" ref="N507" r:id="rId510"/>
    <hyperlink xmlns:r="http://schemas.openxmlformats.org/officeDocument/2006/relationships" ref="N508" r:id="rId511"/>
    <hyperlink xmlns:r="http://schemas.openxmlformats.org/officeDocument/2006/relationships" ref="N509" r:id="rId512"/>
    <hyperlink xmlns:r="http://schemas.openxmlformats.org/officeDocument/2006/relationships" ref="N510" r:id="rId513"/>
    <hyperlink xmlns:r="http://schemas.openxmlformats.org/officeDocument/2006/relationships" ref="N511" r:id="rId514"/>
    <hyperlink xmlns:r="http://schemas.openxmlformats.org/officeDocument/2006/relationships" ref="N512" r:id="rId515"/>
    <hyperlink xmlns:r="http://schemas.openxmlformats.org/officeDocument/2006/relationships" ref="N513" r:id="rId516"/>
    <hyperlink xmlns:r="http://schemas.openxmlformats.org/officeDocument/2006/relationships" ref="N514" r:id="rId517"/>
    <hyperlink xmlns:r="http://schemas.openxmlformats.org/officeDocument/2006/relationships" ref="N515" r:id="rId518"/>
    <hyperlink xmlns:r="http://schemas.openxmlformats.org/officeDocument/2006/relationships" ref="N516" r:id="rId519"/>
    <hyperlink xmlns:r="http://schemas.openxmlformats.org/officeDocument/2006/relationships" ref="N517" r:id="rId520"/>
    <hyperlink xmlns:r="http://schemas.openxmlformats.org/officeDocument/2006/relationships" ref="N518" r:id="rId521"/>
    <hyperlink xmlns:r="http://schemas.openxmlformats.org/officeDocument/2006/relationships" ref="N519" r:id="rId522"/>
    <hyperlink xmlns:r="http://schemas.openxmlformats.org/officeDocument/2006/relationships" ref="N520" r:id="rId523"/>
    <hyperlink xmlns:r="http://schemas.openxmlformats.org/officeDocument/2006/relationships" ref="N521" r:id="rId524"/>
    <hyperlink xmlns:r="http://schemas.openxmlformats.org/officeDocument/2006/relationships" ref="N522" r:id="rId525"/>
    <hyperlink xmlns:r="http://schemas.openxmlformats.org/officeDocument/2006/relationships" ref="N523" r:id="rId526"/>
    <hyperlink xmlns:r="http://schemas.openxmlformats.org/officeDocument/2006/relationships" ref="N524" r:id="rId527"/>
    <hyperlink xmlns:r="http://schemas.openxmlformats.org/officeDocument/2006/relationships" ref="N525" r:id="rId528"/>
    <hyperlink xmlns:r="http://schemas.openxmlformats.org/officeDocument/2006/relationships" ref="N526" r:id="rId529"/>
    <hyperlink xmlns:r="http://schemas.openxmlformats.org/officeDocument/2006/relationships" ref="N527" r:id="rId530"/>
    <hyperlink xmlns:r="http://schemas.openxmlformats.org/officeDocument/2006/relationships" ref="N528" r:id="rId531"/>
    <hyperlink xmlns:r="http://schemas.openxmlformats.org/officeDocument/2006/relationships" ref="N529" r:id="rId532"/>
    <hyperlink xmlns:r="http://schemas.openxmlformats.org/officeDocument/2006/relationships" ref="N530" r:id="rId533"/>
    <hyperlink xmlns:r="http://schemas.openxmlformats.org/officeDocument/2006/relationships" ref="N531" r:id="rId534"/>
    <hyperlink xmlns:r="http://schemas.openxmlformats.org/officeDocument/2006/relationships" ref="N532" r:id="rId535"/>
    <hyperlink xmlns:r="http://schemas.openxmlformats.org/officeDocument/2006/relationships" ref="N533" r:id="rId536"/>
    <hyperlink xmlns:r="http://schemas.openxmlformats.org/officeDocument/2006/relationships" ref="N534" r:id="rId537"/>
    <hyperlink xmlns:r="http://schemas.openxmlformats.org/officeDocument/2006/relationships" ref="N535" r:id="rId538"/>
    <hyperlink xmlns:r="http://schemas.openxmlformats.org/officeDocument/2006/relationships" ref="N536" r:id="rId539"/>
    <hyperlink xmlns:r="http://schemas.openxmlformats.org/officeDocument/2006/relationships" ref="N537" r:id="rId540"/>
    <hyperlink xmlns:r="http://schemas.openxmlformats.org/officeDocument/2006/relationships" ref="N538" r:id="rId541"/>
    <hyperlink xmlns:r="http://schemas.openxmlformats.org/officeDocument/2006/relationships" ref="N539" r:id="rId542"/>
    <hyperlink xmlns:r="http://schemas.openxmlformats.org/officeDocument/2006/relationships" ref="N540" r:id="rId543"/>
    <hyperlink xmlns:r="http://schemas.openxmlformats.org/officeDocument/2006/relationships" ref="N541" r:id="rId544"/>
    <hyperlink xmlns:r="http://schemas.openxmlformats.org/officeDocument/2006/relationships" ref="N542" r:id="rId545"/>
    <hyperlink xmlns:r="http://schemas.openxmlformats.org/officeDocument/2006/relationships" ref="N543" r:id="rId546"/>
    <hyperlink xmlns:r="http://schemas.openxmlformats.org/officeDocument/2006/relationships" ref="N544" r:id="rId547"/>
    <hyperlink xmlns:r="http://schemas.openxmlformats.org/officeDocument/2006/relationships" ref="N545" r:id="rId548"/>
    <hyperlink xmlns:r="http://schemas.openxmlformats.org/officeDocument/2006/relationships" ref="N546" r:id="rId549"/>
    <hyperlink xmlns:r="http://schemas.openxmlformats.org/officeDocument/2006/relationships" ref="N547" r:id="rId550"/>
    <hyperlink xmlns:r="http://schemas.openxmlformats.org/officeDocument/2006/relationships" ref="N548" r:id="rId551"/>
    <hyperlink xmlns:r="http://schemas.openxmlformats.org/officeDocument/2006/relationships" ref="N549" r:id="rId552"/>
    <hyperlink xmlns:r="http://schemas.openxmlformats.org/officeDocument/2006/relationships" ref="N550" r:id="rId553"/>
    <hyperlink xmlns:r="http://schemas.openxmlformats.org/officeDocument/2006/relationships" ref="N551" r:id="rId554"/>
    <hyperlink xmlns:r="http://schemas.openxmlformats.org/officeDocument/2006/relationships" ref="N552" r:id="rId555"/>
    <hyperlink xmlns:r="http://schemas.openxmlformats.org/officeDocument/2006/relationships" ref="N553" r:id="rId556"/>
    <hyperlink xmlns:r="http://schemas.openxmlformats.org/officeDocument/2006/relationships" ref="N554" r:id="rId557"/>
    <hyperlink xmlns:r="http://schemas.openxmlformats.org/officeDocument/2006/relationships" ref="N555" r:id="rId558"/>
    <hyperlink xmlns:r="http://schemas.openxmlformats.org/officeDocument/2006/relationships" ref="N556" r:id="rId559"/>
    <hyperlink xmlns:r="http://schemas.openxmlformats.org/officeDocument/2006/relationships" ref="N557" r:id="rId560"/>
    <hyperlink xmlns:r="http://schemas.openxmlformats.org/officeDocument/2006/relationships" ref="N558" r:id="rId561"/>
    <hyperlink xmlns:r="http://schemas.openxmlformats.org/officeDocument/2006/relationships" ref="N559" r:id="rId562"/>
    <hyperlink xmlns:r="http://schemas.openxmlformats.org/officeDocument/2006/relationships" ref="N560" r:id="rId563"/>
    <hyperlink xmlns:r="http://schemas.openxmlformats.org/officeDocument/2006/relationships" ref="N561" r:id="rId564"/>
    <hyperlink xmlns:r="http://schemas.openxmlformats.org/officeDocument/2006/relationships" ref="N562" r:id="rId565"/>
    <hyperlink xmlns:r="http://schemas.openxmlformats.org/officeDocument/2006/relationships" ref="N563" r:id="rId566"/>
    <hyperlink xmlns:r="http://schemas.openxmlformats.org/officeDocument/2006/relationships" ref="N564" r:id="rId567"/>
    <hyperlink xmlns:r="http://schemas.openxmlformats.org/officeDocument/2006/relationships" ref="N565" r:id="rId568"/>
    <hyperlink xmlns:r="http://schemas.openxmlformats.org/officeDocument/2006/relationships" ref="N566" r:id="rId569"/>
    <hyperlink xmlns:r="http://schemas.openxmlformats.org/officeDocument/2006/relationships" ref="N567" r:id="rId570"/>
    <hyperlink xmlns:r="http://schemas.openxmlformats.org/officeDocument/2006/relationships" ref="N568" r:id="rId571"/>
    <hyperlink xmlns:r="http://schemas.openxmlformats.org/officeDocument/2006/relationships" ref="N569" r:id="rId572"/>
    <hyperlink xmlns:r="http://schemas.openxmlformats.org/officeDocument/2006/relationships" ref="N570" r:id="rId573"/>
    <hyperlink xmlns:r="http://schemas.openxmlformats.org/officeDocument/2006/relationships" ref="N571" r:id="rId574"/>
    <hyperlink xmlns:r="http://schemas.openxmlformats.org/officeDocument/2006/relationships" ref="N572" r:id="rId575"/>
    <hyperlink xmlns:r="http://schemas.openxmlformats.org/officeDocument/2006/relationships" ref="N573" r:id="rId576"/>
    <hyperlink xmlns:r="http://schemas.openxmlformats.org/officeDocument/2006/relationships" ref="N574" r:id="rId577"/>
    <hyperlink xmlns:r="http://schemas.openxmlformats.org/officeDocument/2006/relationships" ref="N575" r:id="rId578"/>
    <hyperlink xmlns:r="http://schemas.openxmlformats.org/officeDocument/2006/relationships" ref="N576" r:id="rId579"/>
    <hyperlink xmlns:r="http://schemas.openxmlformats.org/officeDocument/2006/relationships" ref="N577" r:id="rId580"/>
    <hyperlink xmlns:r="http://schemas.openxmlformats.org/officeDocument/2006/relationships" ref="N578" r:id="rId581"/>
    <hyperlink xmlns:r="http://schemas.openxmlformats.org/officeDocument/2006/relationships" ref="N579" r:id="rId582"/>
    <hyperlink xmlns:r="http://schemas.openxmlformats.org/officeDocument/2006/relationships" ref="N580" r:id="rId583"/>
    <hyperlink xmlns:r="http://schemas.openxmlformats.org/officeDocument/2006/relationships" ref="N581" r:id="rId584"/>
    <hyperlink xmlns:r="http://schemas.openxmlformats.org/officeDocument/2006/relationships" ref="N582" r:id="rId585"/>
    <hyperlink xmlns:r="http://schemas.openxmlformats.org/officeDocument/2006/relationships" ref="N583" r:id="rId586"/>
    <hyperlink xmlns:r="http://schemas.openxmlformats.org/officeDocument/2006/relationships" ref="N584" r:id="rId587"/>
    <hyperlink xmlns:r="http://schemas.openxmlformats.org/officeDocument/2006/relationships" ref="N585" r:id="rId588"/>
    <hyperlink xmlns:r="http://schemas.openxmlformats.org/officeDocument/2006/relationships" ref="N586" r:id="rId589"/>
    <hyperlink xmlns:r="http://schemas.openxmlformats.org/officeDocument/2006/relationships" ref="N587" r:id="rId590"/>
    <hyperlink xmlns:r="http://schemas.openxmlformats.org/officeDocument/2006/relationships" ref="N588" r:id="rId591"/>
    <hyperlink xmlns:r="http://schemas.openxmlformats.org/officeDocument/2006/relationships" ref="N589" r:id="rId592"/>
    <hyperlink xmlns:r="http://schemas.openxmlformats.org/officeDocument/2006/relationships" ref="N590" r:id="rId593"/>
    <hyperlink xmlns:r="http://schemas.openxmlformats.org/officeDocument/2006/relationships" ref="N591" r:id="rId594"/>
    <hyperlink xmlns:r="http://schemas.openxmlformats.org/officeDocument/2006/relationships" ref="N592" r:id="rId595"/>
    <hyperlink xmlns:r="http://schemas.openxmlformats.org/officeDocument/2006/relationships" ref="N593" r:id="rId596"/>
    <hyperlink xmlns:r="http://schemas.openxmlformats.org/officeDocument/2006/relationships" ref="N594" r:id="rId597"/>
    <hyperlink xmlns:r="http://schemas.openxmlformats.org/officeDocument/2006/relationships" ref="N595" r:id="rId598"/>
    <hyperlink xmlns:r="http://schemas.openxmlformats.org/officeDocument/2006/relationships" ref="N596" r:id="rId599"/>
    <hyperlink xmlns:r="http://schemas.openxmlformats.org/officeDocument/2006/relationships" ref="N597" r:id="rId600"/>
    <hyperlink xmlns:r="http://schemas.openxmlformats.org/officeDocument/2006/relationships" ref="N598" r:id="rId601"/>
    <hyperlink xmlns:r="http://schemas.openxmlformats.org/officeDocument/2006/relationships" ref="N599" r:id="rId602"/>
    <hyperlink xmlns:r="http://schemas.openxmlformats.org/officeDocument/2006/relationships" ref="N600" r:id="rId603"/>
    <hyperlink xmlns:r="http://schemas.openxmlformats.org/officeDocument/2006/relationships" ref="N601" r:id="rId604"/>
    <hyperlink xmlns:r="http://schemas.openxmlformats.org/officeDocument/2006/relationships" ref="N602" r:id="rId605"/>
    <hyperlink xmlns:r="http://schemas.openxmlformats.org/officeDocument/2006/relationships" ref="N603" r:id="rId606"/>
    <hyperlink xmlns:r="http://schemas.openxmlformats.org/officeDocument/2006/relationships" ref="N604" r:id="rId607"/>
    <hyperlink xmlns:r="http://schemas.openxmlformats.org/officeDocument/2006/relationships" ref="N605" r:id="rId608"/>
    <hyperlink xmlns:r="http://schemas.openxmlformats.org/officeDocument/2006/relationships" ref="N606" r:id="rId609"/>
    <hyperlink xmlns:r="http://schemas.openxmlformats.org/officeDocument/2006/relationships" ref="N607" r:id="rId610"/>
    <hyperlink xmlns:r="http://schemas.openxmlformats.org/officeDocument/2006/relationships" ref="N608" r:id="rId611"/>
    <hyperlink xmlns:r="http://schemas.openxmlformats.org/officeDocument/2006/relationships" ref="N609" r:id="rId612"/>
    <hyperlink xmlns:r="http://schemas.openxmlformats.org/officeDocument/2006/relationships" ref="N610" r:id="rId613"/>
    <hyperlink xmlns:r="http://schemas.openxmlformats.org/officeDocument/2006/relationships" ref="N611" r:id="rId614"/>
    <hyperlink xmlns:r="http://schemas.openxmlformats.org/officeDocument/2006/relationships" ref="N612" r:id="rId615"/>
    <hyperlink xmlns:r="http://schemas.openxmlformats.org/officeDocument/2006/relationships" ref="N613" r:id="rId616"/>
    <hyperlink xmlns:r="http://schemas.openxmlformats.org/officeDocument/2006/relationships" ref="N614" r:id="rId617"/>
    <hyperlink xmlns:r="http://schemas.openxmlformats.org/officeDocument/2006/relationships" ref="N615" r:id="rId618"/>
    <hyperlink xmlns:r="http://schemas.openxmlformats.org/officeDocument/2006/relationships" ref="N616" r:id="rId619"/>
    <hyperlink xmlns:r="http://schemas.openxmlformats.org/officeDocument/2006/relationships" ref="N617" r:id="rId620"/>
    <hyperlink xmlns:r="http://schemas.openxmlformats.org/officeDocument/2006/relationships" ref="N618" r:id="rId621"/>
    <hyperlink xmlns:r="http://schemas.openxmlformats.org/officeDocument/2006/relationships" ref="N619" r:id="rId622"/>
    <hyperlink xmlns:r="http://schemas.openxmlformats.org/officeDocument/2006/relationships" ref="N620" r:id="rId623"/>
    <hyperlink xmlns:r="http://schemas.openxmlformats.org/officeDocument/2006/relationships" ref="N621" r:id="rId624"/>
    <hyperlink xmlns:r="http://schemas.openxmlformats.org/officeDocument/2006/relationships" ref="N622" r:id="rId625"/>
    <hyperlink xmlns:r="http://schemas.openxmlformats.org/officeDocument/2006/relationships" ref="N623" r:id="rId626"/>
    <hyperlink xmlns:r="http://schemas.openxmlformats.org/officeDocument/2006/relationships" ref="N624" r:id="rId627"/>
    <hyperlink xmlns:r="http://schemas.openxmlformats.org/officeDocument/2006/relationships" ref="N625" r:id="rId628"/>
    <hyperlink xmlns:r="http://schemas.openxmlformats.org/officeDocument/2006/relationships" ref="N626" r:id="rId629"/>
    <hyperlink xmlns:r="http://schemas.openxmlformats.org/officeDocument/2006/relationships" ref="N627" r:id="rId630"/>
    <hyperlink xmlns:r="http://schemas.openxmlformats.org/officeDocument/2006/relationships" ref="N628" r:id="rId631"/>
    <hyperlink xmlns:r="http://schemas.openxmlformats.org/officeDocument/2006/relationships" ref="N629" r:id="rId632"/>
    <hyperlink xmlns:r="http://schemas.openxmlformats.org/officeDocument/2006/relationships" ref="N630" r:id="rId633"/>
    <hyperlink xmlns:r="http://schemas.openxmlformats.org/officeDocument/2006/relationships" ref="N631" r:id="rId634"/>
    <hyperlink xmlns:r="http://schemas.openxmlformats.org/officeDocument/2006/relationships" ref="N632" r:id="rId635"/>
    <hyperlink xmlns:r="http://schemas.openxmlformats.org/officeDocument/2006/relationships" ref="N633" r:id="rId636"/>
    <hyperlink xmlns:r="http://schemas.openxmlformats.org/officeDocument/2006/relationships" ref="N634" r:id="rId637"/>
    <hyperlink xmlns:r="http://schemas.openxmlformats.org/officeDocument/2006/relationships" ref="N635" r:id="rId638"/>
    <hyperlink xmlns:r="http://schemas.openxmlformats.org/officeDocument/2006/relationships" ref="N636" r:id="rId639"/>
    <hyperlink xmlns:r="http://schemas.openxmlformats.org/officeDocument/2006/relationships" ref="N637" r:id="rId640"/>
    <hyperlink xmlns:r="http://schemas.openxmlformats.org/officeDocument/2006/relationships" ref="N638" r:id="rId641"/>
    <hyperlink xmlns:r="http://schemas.openxmlformats.org/officeDocument/2006/relationships" ref="N639" r:id="rId642"/>
    <hyperlink xmlns:r="http://schemas.openxmlformats.org/officeDocument/2006/relationships" ref="N640" r:id="rId643"/>
    <hyperlink xmlns:r="http://schemas.openxmlformats.org/officeDocument/2006/relationships" ref="N641" r:id="rId644"/>
    <hyperlink xmlns:r="http://schemas.openxmlformats.org/officeDocument/2006/relationships" ref="N642" r:id="rId645"/>
    <hyperlink xmlns:r="http://schemas.openxmlformats.org/officeDocument/2006/relationships" ref="N643" r:id="rId646"/>
    <hyperlink xmlns:r="http://schemas.openxmlformats.org/officeDocument/2006/relationships" ref="N644" r:id="rId647"/>
    <hyperlink xmlns:r="http://schemas.openxmlformats.org/officeDocument/2006/relationships" ref="N645" r:id="rId648"/>
    <hyperlink xmlns:r="http://schemas.openxmlformats.org/officeDocument/2006/relationships" ref="N646" r:id="rId649"/>
    <hyperlink xmlns:r="http://schemas.openxmlformats.org/officeDocument/2006/relationships" ref="N647" r:id="rId650"/>
    <hyperlink xmlns:r="http://schemas.openxmlformats.org/officeDocument/2006/relationships" ref="N648" r:id="rId651"/>
    <hyperlink xmlns:r="http://schemas.openxmlformats.org/officeDocument/2006/relationships" ref="N649" r:id="rId652"/>
    <hyperlink xmlns:r="http://schemas.openxmlformats.org/officeDocument/2006/relationships" ref="N650" r:id="rId653"/>
    <hyperlink xmlns:r="http://schemas.openxmlformats.org/officeDocument/2006/relationships" ref="N651" r:id="rId654"/>
    <hyperlink xmlns:r="http://schemas.openxmlformats.org/officeDocument/2006/relationships" ref="N652" r:id="rId655"/>
    <hyperlink xmlns:r="http://schemas.openxmlformats.org/officeDocument/2006/relationships" ref="N653" r:id="rId656"/>
    <hyperlink xmlns:r="http://schemas.openxmlformats.org/officeDocument/2006/relationships" ref="N654" r:id="rId657"/>
    <hyperlink xmlns:r="http://schemas.openxmlformats.org/officeDocument/2006/relationships" ref="N655" r:id="rId658"/>
    <hyperlink xmlns:r="http://schemas.openxmlformats.org/officeDocument/2006/relationships" ref="N656" r:id="rId659"/>
    <hyperlink xmlns:r="http://schemas.openxmlformats.org/officeDocument/2006/relationships" ref="N657" r:id="rId660"/>
    <hyperlink xmlns:r="http://schemas.openxmlformats.org/officeDocument/2006/relationships" ref="N658" r:id="rId661"/>
    <hyperlink xmlns:r="http://schemas.openxmlformats.org/officeDocument/2006/relationships" ref="N659" r:id="rId662"/>
    <hyperlink xmlns:r="http://schemas.openxmlformats.org/officeDocument/2006/relationships" ref="N660" r:id="rId663"/>
    <hyperlink xmlns:r="http://schemas.openxmlformats.org/officeDocument/2006/relationships" ref="N661" r:id="rId664"/>
    <hyperlink xmlns:r="http://schemas.openxmlformats.org/officeDocument/2006/relationships" ref="N662" r:id="rId665"/>
    <hyperlink xmlns:r="http://schemas.openxmlformats.org/officeDocument/2006/relationships" ref="N663" r:id="rId666"/>
    <hyperlink xmlns:r="http://schemas.openxmlformats.org/officeDocument/2006/relationships" ref="N664" r:id="rId667"/>
    <hyperlink xmlns:r="http://schemas.openxmlformats.org/officeDocument/2006/relationships" ref="N665" r:id="rId668"/>
    <hyperlink xmlns:r="http://schemas.openxmlformats.org/officeDocument/2006/relationships" ref="N666" r:id="rId669"/>
    <hyperlink xmlns:r="http://schemas.openxmlformats.org/officeDocument/2006/relationships" ref="N667" r:id="rId670"/>
    <hyperlink xmlns:r="http://schemas.openxmlformats.org/officeDocument/2006/relationships" ref="N668" r:id="rId671"/>
    <hyperlink xmlns:r="http://schemas.openxmlformats.org/officeDocument/2006/relationships" ref="N669" r:id="rId672"/>
    <hyperlink xmlns:r="http://schemas.openxmlformats.org/officeDocument/2006/relationships" ref="N670" r:id="rId673"/>
    <hyperlink xmlns:r="http://schemas.openxmlformats.org/officeDocument/2006/relationships" ref="N671" r:id="rId674"/>
    <hyperlink xmlns:r="http://schemas.openxmlformats.org/officeDocument/2006/relationships" ref="N672" r:id="rId675"/>
    <hyperlink xmlns:r="http://schemas.openxmlformats.org/officeDocument/2006/relationships" ref="N673" r:id="rId676"/>
    <hyperlink xmlns:r="http://schemas.openxmlformats.org/officeDocument/2006/relationships" ref="N674" r:id="rId677"/>
    <hyperlink xmlns:r="http://schemas.openxmlformats.org/officeDocument/2006/relationships" ref="N675" r:id="rId678"/>
    <hyperlink xmlns:r="http://schemas.openxmlformats.org/officeDocument/2006/relationships" ref="N676" r:id="rId679"/>
    <hyperlink xmlns:r="http://schemas.openxmlformats.org/officeDocument/2006/relationships" ref="N677" r:id="rId680"/>
    <hyperlink xmlns:r="http://schemas.openxmlformats.org/officeDocument/2006/relationships" ref="N678" r:id="rId681"/>
    <hyperlink xmlns:r="http://schemas.openxmlformats.org/officeDocument/2006/relationships" ref="N679" r:id="rId682"/>
    <hyperlink xmlns:r="http://schemas.openxmlformats.org/officeDocument/2006/relationships" ref="N680" r:id="rId683"/>
    <hyperlink xmlns:r="http://schemas.openxmlformats.org/officeDocument/2006/relationships" ref="N681" r:id="rId684"/>
    <hyperlink xmlns:r="http://schemas.openxmlformats.org/officeDocument/2006/relationships" ref="N682" r:id="rId685"/>
    <hyperlink xmlns:r="http://schemas.openxmlformats.org/officeDocument/2006/relationships" ref="N683" r:id="rId686"/>
    <hyperlink xmlns:r="http://schemas.openxmlformats.org/officeDocument/2006/relationships" ref="N684" r:id="rId687"/>
    <hyperlink xmlns:r="http://schemas.openxmlformats.org/officeDocument/2006/relationships" ref="N685" r:id="rId688"/>
    <hyperlink xmlns:r="http://schemas.openxmlformats.org/officeDocument/2006/relationships" ref="N686" r:id="rId689"/>
    <hyperlink xmlns:r="http://schemas.openxmlformats.org/officeDocument/2006/relationships" ref="N687" r:id="rId690"/>
    <hyperlink xmlns:r="http://schemas.openxmlformats.org/officeDocument/2006/relationships" ref="N688" r:id="rId691"/>
    <hyperlink xmlns:r="http://schemas.openxmlformats.org/officeDocument/2006/relationships" ref="N689" r:id="rId692"/>
    <hyperlink xmlns:r="http://schemas.openxmlformats.org/officeDocument/2006/relationships" ref="N690" r:id="rId693"/>
    <hyperlink xmlns:r="http://schemas.openxmlformats.org/officeDocument/2006/relationships" ref="N691" r:id="rId694"/>
    <hyperlink xmlns:r="http://schemas.openxmlformats.org/officeDocument/2006/relationships" ref="N692" r:id="rId695"/>
    <hyperlink xmlns:r="http://schemas.openxmlformats.org/officeDocument/2006/relationships" ref="N693" r:id="rId696"/>
    <hyperlink xmlns:r="http://schemas.openxmlformats.org/officeDocument/2006/relationships" ref="N694" r:id="rId697"/>
    <hyperlink xmlns:r="http://schemas.openxmlformats.org/officeDocument/2006/relationships" ref="N695" r:id="rId698"/>
    <hyperlink xmlns:r="http://schemas.openxmlformats.org/officeDocument/2006/relationships" ref="N696" r:id="rId699"/>
    <hyperlink xmlns:r="http://schemas.openxmlformats.org/officeDocument/2006/relationships" ref="N697" r:id="rId700"/>
    <hyperlink xmlns:r="http://schemas.openxmlformats.org/officeDocument/2006/relationships" ref="N698" r:id="rId701"/>
    <hyperlink xmlns:r="http://schemas.openxmlformats.org/officeDocument/2006/relationships" ref="N699" r:id="rId702"/>
    <hyperlink xmlns:r="http://schemas.openxmlformats.org/officeDocument/2006/relationships" ref="N700" r:id="rId703"/>
    <hyperlink xmlns:r="http://schemas.openxmlformats.org/officeDocument/2006/relationships" ref="N701" r:id="rId704"/>
    <hyperlink xmlns:r="http://schemas.openxmlformats.org/officeDocument/2006/relationships" ref="N702" r:id="rId705"/>
    <hyperlink xmlns:r="http://schemas.openxmlformats.org/officeDocument/2006/relationships" ref="N703" r:id="rId706"/>
    <hyperlink xmlns:r="http://schemas.openxmlformats.org/officeDocument/2006/relationships" ref="N704" r:id="rId707"/>
    <hyperlink xmlns:r="http://schemas.openxmlformats.org/officeDocument/2006/relationships" ref="N705" r:id="rId708"/>
    <hyperlink xmlns:r="http://schemas.openxmlformats.org/officeDocument/2006/relationships" ref="N706" r:id="rId709"/>
    <hyperlink xmlns:r="http://schemas.openxmlformats.org/officeDocument/2006/relationships" ref="N707" r:id="rId710"/>
    <hyperlink xmlns:r="http://schemas.openxmlformats.org/officeDocument/2006/relationships" ref="N708" r:id="rId711"/>
    <hyperlink xmlns:r="http://schemas.openxmlformats.org/officeDocument/2006/relationships" ref="N709" r:id="rId712"/>
    <hyperlink xmlns:r="http://schemas.openxmlformats.org/officeDocument/2006/relationships" ref="N710" r:id="rId713"/>
    <hyperlink xmlns:r="http://schemas.openxmlformats.org/officeDocument/2006/relationships" ref="N711" r:id="rId714"/>
    <hyperlink xmlns:r="http://schemas.openxmlformats.org/officeDocument/2006/relationships" ref="N712" r:id="rId715"/>
    <hyperlink xmlns:r="http://schemas.openxmlformats.org/officeDocument/2006/relationships" ref="N713" r:id="rId716"/>
    <hyperlink xmlns:r="http://schemas.openxmlformats.org/officeDocument/2006/relationships" ref="N714" r:id="rId717"/>
    <hyperlink xmlns:r="http://schemas.openxmlformats.org/officeDocument/2006/relationships" ref="N715" r:id="rId718"/>
    <hyperlink xmlns:r="http://schemas.openxmlformats.org/officeDocument/2006/relationships" ref="N716" r:id="rId719"/>
    <hyperlink xmlns:r="http://schemas.openxmlformats.org/officeDocument/2006/relationships" ref="N717" r:id="rId720"/>
    <hyperlink xmlns:r="http://schemas.openxmlformats.org/officeDocument/2006/relationships" ref="N718" r:id="rId721"/>
    <hyperlink xmlns:r="http://schemas.openxmlformats.org/officeDocument/2006/relationships" ref="N719" r:id="rId722"/>
    <hyperlink xmlns:r="http://schemas.openxmlformats.org/officeDocument/2006/relationships" ref="N720" r:id="rId723"/>
    <hyperlink xmlns:r="http://schemas.openxmlformats.org/officeDocument/2006/relationships" ref="N721" r:id="rId724"/>
    <hyperlink xmlns:r="http://schemas.openxmlformats.org/officeDocument/2006/relationships" ref="N722" r:id="rId725"/>
    <hyperlink xmlns:r="http://schemas.openxmlformats.org/officeDocument/2006/relationships" ref="N723" r:id="rId726"/>
    <hyperlink xmlns:r="http://schemas.openxmlformats.org/officeDocument/2006/relationships" ref="N724" r:id="rId727"/>
    <hyperlink xmlns:r="http://schemas.openxmlformats.org/officeDocument/2006/relationships" ref="N725" r:id="rId728"/>
    <hyperlink xmlns:r="http://schemas.openxmlformats.org/officeDocument/2006/relationships" ref="N726" r:id="rId729"/>
    <hyperlink xmlns:r="http://schemas.openxmlformats.org/officeDocument/2006/relationships" ref="N727" r:id="rId730"/>
    <hyperlink xmlns:r="http://schemas.openxmlformats.org/officeDocument/2006/relationships" ref="N728" r:id="rId731"/>
    <hyperlink xmlns:r="http://schemas.openxmlformats.org/officeDocument/2006/relationships" ref="N729" r:id="rId732"/>
    <hyperlink xmlns:r="http://schemas.openxmlformats.org/officeDocument/2006/relationships" ref="N730" r:id="rId733"/>
    <hyperlink xmlns:r="http://schemas.openxmlformats.org/officeDocument/2006/relationships" ref="N731" r:id="rId734"/>
    <hyperlink xmlns:r="http://schemas.openxmlformats.org/officeDocument/2006/relationships" ref="N732" r:id="rId735"/>
    <hyperlink xmlns:r="http://schemas.openxmlformats.org/officeDocument/2006/relationships" ref="N733" r:id="rId736"/>
    <hyperlink xmlns:r="http://schemas.openxmlformats.org/officeDocument/2006/relationships" ref="N734" r:id="rId737"/>
    <hyperlink xmlns:r="http://schemas.openxmlformats.org/officeDocument/2006/relationships" ref="N735" r:id="rId738"/>
    <hyperlink xmlns:r="http://schemas.openxmlformats.org/officeDocument/2006/relationships" ref="N736" r:id="rId739"/>
    <hyperlink xmlns:r="http://schemas.openxmlformats.org/officeDocument/2006/relationships" ref="N737" r:id="rId740"/>
    <hyperlink xmlns:r="http://schemas.openxmlformats.org/officeDocument/2006/relationships" ref="N738" r:id="rId741"/>
    <hyperlink xmlns:r="http://schemas.openxmlformats.org/officeDocument/2006/relationships" ref="N739" r:id="rId742"/>
    <hyperlink xmlns:r="http://schemas.openxmlformats.org/officeDocument/2006/relationships" ref="N740" r:id="rId743"/>
    <hyperlink xmlns:r="http://schemas.openxmlformats.org/officeDocument/2006/relationships" ref="N741" r:id="rId744"/>
    <hyperlink xmlns:r="http://schemas.openxmlformats.org/officeDocument/2006/relationships" ref="N742" r:id="rId745"/>
    <hyperlink xmlns:r="http://schemas.openxmlformats.org/officeDocument/2006/relationships" ref="N743" r:id="rId746"/>
    <hyperlink xmlns:r="http://schemas.openxmlformats.org/officeDocument/2006/relationships" ref="N744" r:id="rId747"/>
    <hyperlink xmlns:r="http://schemas.openxmlformats.org/officeDocument/2006/relationships" ref="N745" r:id="rId748"/>
    <hyperlink xmlns:r="http://schemas.openxmlformats.org/officeDocument/2006/relationships" ref="N746" r:id="rId749"/>
    <hyperlink xmlns:r="http://schemas.openxmlformats.org/officeDocument/2006/relationships" ref="N747" r:id="rId750"/>
    <hyperlink xmlns:r="http://schemas.openxmlformats.org/officeDocument/2006/relationships" ref="N748" r:id="rId751"/>
    <hyperlink xmlns:r="http://schemas.openxmlformats.org/officeDocument/2006/relationships" ref="N749" r:id="rId752"/>
    <hyperlink xmlns:r="http://schemas.openxmlformats.org/officeDocument/2006/relationships" ref="N750" r:id="rId753"/>
    <hyperlink xmlns:r="http://schemas.openxmlformats.org/officeDocument/2006/relationships" ref="N751" r:id="rId754"/>
    <hyperlink xmlns:r="http://schemas.openxmlformats.org/officeDocument/2006/relationships" ref="N752" r:id="rId755"/>
    <hyperlink xmlns:r="http://schemas.openxmlformats.org/officeDocument/2006/relationships" ref="N753" r:id="rId756"/>
    <hyperlink xmlns:r="http://schemas.openxmlformats.org/officeDocument/2006/relationships" ref="N754" r:id="rId757"/>
    <hyperlink xmlns:r="http://schemas.openxmlformats.org/officeDocument/2006/relationships" ref="N755" r:id="rId758"/>
    <hyperlink xmlns:r="http://schemas.openxmlformats.org/officeDocument/2006/relationships" ref="N756" r:id="rId759"/>
    <hyperlink xmlns:r="http://schemas.openxmlformats.org/officeDocument/2006/relationships" ref="N757" r:id="rId760"/>
    <hyperlink xmlns:r="http://schemas.openxmlformats.org/officeDocument/2006/relationships" ref="N758" r:id="rId761"/>
    <hyperlink xmlns:r="http://schemas.openxmlformats.org/officeDocument/2006/relationships" ref="N759" r:id="rId762"/>
    <hyperlink xmlns:r="http://schemas.openxmlformats.org/officeDocument/2006/relationships" ref="N760" r:id="rId763"/>
    <hyperlink xmlns:r="http://schemas.openxmlformats.org/officeDocument/2006/relationships" ref="N761" r:id="rId764"/>
    <hyperlink xmlns:r="http://schemas.openxmlformats.org/officeDocument/2006/relationships" ref="N762" r:id="rId765"/>
    <hyperlink xmlns:r="http://schemas.openxmlformats.org/officeDocument/2006/relationships" ref="N763" r:id="rId766"/>
    <hyperlink xmlns:r="http://schemas.openxmlformats.org/officeDocument/2006/relationships" ref="N764" r:id="rId767"/>
    <hyperlink xmlns:r="http://schemas.openxmlformats.org/officeDocument/2006/relationships" ref="N765" r:id="rId768"/>
    <hyperlink xmlns:r="http://schemas.openxmlformats.org/officeDocument/2006/relationships" ref="N766" r:id="rId769"/>
    <hyperlink xmlns:r="http://schemas.openxmlformats.org/officeDocument/2006/relationships" ref="N767" r:id="rId770"/>
    <hyperlink xmlns:r="http://schemas.openxmlformats.org/officeDocument/2006/relationships" ref="N768" r:id="rId771"/>
    <hyperlink xmlns:r="http://schemas.openxmlformats.org/officeDocument/2006/relationships" ref="N769" r:id="rId772"/>
    <hyperlink xmlns:r="http://schemas.openxmlformats.org/officeDocument/2006/relationships" ref="N770" r:id="rId773"/>
    <hyperlink xmlns:r="http://schemas.openxmlformats.org/officeDocument/2006/relationships" ref="N771" r:id="rId774"/>
    <hyperlink xmlns:r="http://schemas.openxmlformats.org/officeDocument/2006/relationships" ref="N772" r:id="rId775"/>
    <hyperlink xmlns:r="http://schemas.openxmlformats.org/officeDocument/2006/relationships" ref="N773" r:id="rId776"/>
    <hyperlink xmlns:r="http://schemas.openxmlformats.org/officeDocument/2006/relationships" ref="N774" r:id="rId777"/>
    <hyperlink xmlns:r="http://schemas.openxmlformats.org/officeDocument/2006/relationships" ref="N775" r:id="rId778"/>
    <hyperlink xmlns:r="http://schemas.openxmlformats.org/officeDocument/2006/relationships" ref="N776" r:id="rId779"/>
    <hyperlink xmlns:r="http://schemas.openxmlformats.org/officeDocument/2006/relationships" ref="N777" r:id="rId780"/>
    <hyperlink xmlns:r="http://schemas.openxmlformats.org/officeDocument/2006/relationships" ref="N778" r:id="rId781"/>
    <hyperlink xmlns:r="http://schemas.openxmlformats.org/officeDocument/2006/relationships" ref="N779" r:id="rId782"/>
    <hyperlink xmlns:r="http://schemas.openxmlformats.org/officeDocument/2006/relationships" ref="N780" r:id="rId783"/>
    <hyperlink xmlns:r="http://schemas.openxmlformats.org/officeDocument/2006/relationships" ref="N781" r:id="rId784"/>
    <hyperlink xmlns:r="http://schemas.openxmlformats.org/officeDocument/2006/relationships" ref="N782" r:id="rId785"/>
    <hyperlink xmlns:r="http://schemas.openxmlformats.org/officeDocument/2006/relationships" ref="N783" r:id="rId786"/>
    <hyperlink xmlns:r="http://schemas.openxmlformats.org/officeDocument/2006/relationships" ref="N784" r:id="rId787"/>
    <hyperlink xmlns:r="http://schemas.openxmlformats.org/officeDocument/2006/relationships" ref="N785" r:id="rId788"/>
    <hyperlink xmlns:r="http://schemas.openxmlformats.org/officeDocument/2006/relationships" ref="N786" r:id="rId789"/>
    <hyperlink xmlns:r="http://schemas.openxmlformats.org/officeDocument/2006/relationships" ref="N787" r:id="rId790"/>
    <hyperlink xmlns:r="http://schemas.openxmlformats.org/officeDocument/2006/relationships" ref="N788" r:id="rId791"/>
    <hyperlink xmlns:r="http://schemas.openxmlformats.org/officeDocument/2006/relationships" ref="N789" r:id="rId792"/>
    <hyperlink xmlns:r="http://schemas.openxmlformats.org/officeDocument/2006/relationships" ref="N790" r:id="rId793"/>
    <hyperlink xmlns:r="http://schemas.openxmlformats.org/officeDocument/2006/relationships" ref="N791" r:id="rId794"/>
    <hyperlink xmlns:r="http://schemas.openxmlformats.org/officeDocument/2006/relationships" ref="N792" r:id="rId795"/>
    <hyperlink xmlns:r="http://schemas.openxmlformats.org/officeDocument/2006/relationships" ref="N793" r:id="rId796"/>
    <hyperlink xmlns:r="http://schemas.openxmlformats.org/officeDocument/2006/relationships" ref="N794" r:id="rId797"/>
    <hyperlink xmlns:r="http://schemas.openxmlformats.org/officeDocument/2006/relationships" ref="N795" r:id="rId798"/>
    <hyperlink xmlns:r="http://schemas.openxmlformats.org/officeDocument/2006/relationships" ref="N796" r:id="rId799"/>
    <hyperlink xmlns:r="http://schemas.openxmlformats.org/officeDocument/2006/relationships" ref="N797" r:id="rId800"/>
    <hyperlink xmlns:r="http://schemas.openxmlformats.org/officeDocument/2006/relationships" ref="N798" r:id="rId801"/>
    <hyperlink xmlns:r="http://schemas.openxmlformats.org/officeDocument/2006/relationships" ref="N799" r:id="rId802"/>
    <hyperlink xmlns:r="http://schemas.openxmlformats.org/officeDocument/2006/relationships" ref="N800" r:id="rId803"/>
    <hyperlink xmlns:r="http://schemas.openxmlformats.org/officeDocument/2006/relationships" ref="N801" r:id="rId804"/>
    <hyperlink xmlns:r="http://schemas.openxmlformats.org/officeDocument/2006/relationships" ref="N802" r:id="rId805"/>
    <hyperlink xmlns:r="http://schemas.openxmlformats.org/officeDocument/2006/relationships" ref="N803" r:id="rId806"/>
    <hyperlink xmlns:r="http://schemas.openxmlformats.org/officeDocument/2006/relationships" ref="N804" r:id="rId807"/>
    <hyperlink xmlns:r="http://schemas.openxmlformats.org/officeDocument/2006/relationships" ref="N805" r:id="rId808"/>
    <hyperlink xmlns:r="http://schemas.openxmlformats.org/officeDocument/2006/relationships" ref="N806" r:id="rId809"/>
    <hyperlink xmlns:r="http://schemas.openxmlformats.org/officeDocument/2006/relationships" ref="N807" r:id="rId810"/>
    <hyperlink xmlns:r="http://schemas.openxmlformats.org/officeDocument/2006/relationships" ref="N808" r:id="rId811"/>
    <hyperlink xmlns:r="http://schemas.openxmlformats.org/officeDocument/2006/relationships" ref="N809" r:id="rId812"/>
    <hyperlink xmlns:r="http://schemas.openxmlformats.org/officeDocument/2006/relationships" ref="N810" r:id="rId813"/>
    <hyperlink xmlns:r="http://schemas.openxmlformats.org/officeDocument/2006/relationships" ref="N811" r:id="rId814"/>
    <hyperlink xmlns:r="http://schemas.openxmlformats.org/officeDocument/2006/relationships" ref="N812" r:id="rId815"/>
    <hyperlink xmlns:r="http://schemas.openxmlformats.org/officeDocument/2006/relationships" ref="N813" r:id="rId816"/>
    <hyperlink xmlns:r="http://schemas.openxmlformats.org/officeDocument/2006/relationships" ref="N814" r:id="rId817"/>
    <hyperlink xmlns:r="http://schemas.openxmlformats.org/officeDocument/2006/relationships" ref="N815" r:id="rId818"/>
    <hyperlink xmlns:r="http://schemas.openxmlformats.org/officeDocument/2006/relationships" ref="N816" r:id="rId819"/>
    <hyperlink xmlns:r="http://schemas.openxmlformats.org/officeDocument/2006/relationships" ref="N817" r:id="rId820"/>
    <hyperlink xmlns:r="http://schemas.openxmlformats.org/officeDocument/2006/relationships" ref="N818" r:id="rId821"/>
    <hyperlink xmlns:r="http://schemas.openxmlformats.org/officeDocument/2006/relationships" ref="N819" r:id="rId822"/>
    <hyperlink xmlns:r="http://schemas.openxmlformats.org/officeDocument/2006/relationships" ref="N820" r:id="rId823"/>
    <hyperlink xmlns:r="http://schemas.openxmlformats.org/officeDocument/2006/relationships" ref="N821" r:id="rId824"/>
    <hyperlink xmlns:r="http://schemas.openxmlformats.org/officeDocument/2006/relationships" ref="N822" r:id="rId825"/>
    <hyperlink xmlns:r="http://schemas.openxmlformats.org/officeDocument/2006/relationships" ref="N823" r:id="rId826"/>
    <hyperlink xmlns:r="http://schemas.openxmlformats.org/officeDocument/2006/relationships" ref="N824" r:id="rId827"/>
    <hyperlink xmlns:r="http://schemas.openxmlformats.org/officeDocument/2006/relationships" ref="N825" r:id="rId828"/>
    <hyperlink xmlns:r="http://schemas.openxmlformats.org/officeDocument/2006/relationships" ref="N826" r:id="rId829"/>
    <hyperlink xmlns:r="http://schemas.openxmlformats.org/officeDocument/2006/relationships" ref="N827" r:id="rId830"/>
    <hyperlink xmlns:r="http://schemas.openxmlformats.org/officeDocument/2006/relationships" ref="N828" r:id="rId831"/>
    <hyperlink xmlns:r="http://schemas.openxmlformats.org/officeDocument/2006/relationships" ref="N829" r:id="rId832"/>
    <hyperlink xmlns:r="http://schemas.openxmlformats.org/officeDocument/2006/relationships" ref="N830" r:id="rId833"/>
    <hyperlink xmlns:r="http://schemas.openxmlformats.org/officeDocument/2006/relationships" ref="N831" r:id="rId834"/>
    <hyperlink xmlns:r="http://schemas.openxmlformats.org/officeDocument/2006/relationships" ref="N832" r:id="rId835"/>
    <hyperlink xmlns:r="http://schemas.openxmlformats.org/officeDocument/2006/relationships" ref="N833" r:id="rId836"/>
    <hyperlink xmlns:r="http://schemas.openxmlformats.org/officeDocument/2006/relationships" ref="N834" r:id="rId837"/>
    <hyperlink xmlns:r="http://schemas.openxmlformats.org/officeDocument/2006/relationships" ref="N835" r:id="rId838"/>
    <hyperlink xmlns:r="http://schemas.openxmlformats.org/officeDocument/2006/relationships" ref="N836" r:id="rId839"/>
    <hyperlink xmlns:r="http://schemas.openxmlformats.org/officeDocument/2006/relationships" ref="N837" r:id="rId840"/>
    <hyperlink xmlns:r="http://schemas.openxmlformats.org/officeDocument/2006/relationships" ref="N838" r:id="rId841"/>
    <hyperlink xmlns:r="http://schemas.openxmlformats.org/officeDocument/2006/relationships" ref="N839" r:id="rId842"/>
    <hyperlink xmlns:r="http://schemas.openxmlformats.org/officeDocument/2006/relationships" ref="N840" r:id="rId843"/>
    <hyperlink xmlns:r="http://schemas.openxmlformats.org/officeDocument/2006/relationships" ref="N841" r:id="rId844"/>
    <hyperlink xmlns:r="http://schemas.openxmlformats.org/officeDocument/2006/relationships" ref="N842" r:id="rId845"/>
    <hyperlink xmlns:r="http://schemas.openxmlformats.org/officeDocument/2006/relationships" ref="N843" r:id="rId846"/>
    <hyperlink xmlns:r="http://schemas.openxmlformats.org/officeDocument/2006/relationships" ref="N844" r:id="rId847"/>
    <hyperlink xmlns:r="http://schemas.openxmlformats.org/officeDocument/2006/relationships" ref="N845" r:id="rId848"/>
    <hyperlink xmlns:r="http://schemas.openxmlformats.org/officeDocument/2006/relationships" ref="N846" r:id="rId849"/>
    <hyperlink xmlns:r="http://schemas.openxmlformats.org/officeDocument/2006/relationships" ref="N847" r:id="rId850"/>
    <hyperlink xmlns:r="http://schemas.openxmlformats.org/officeDocument/2006/relationships" ref="N848" r:id="rId851"/>
    <hyperlink xmlns:r="http://schemas.openxmlformats.org/officeDocument/2006/relationships" ref="N849" r:id="rId852"/>
    <hyperlink xmlns:r="http://schemas.openxmlformats.org/officeDocument/2006/relationships" ref="N850" r:id="rId853"/>
    <hyperlink xmlns:r="http://schemas.openxmlformats.org/officeDocument/2006/relationships" ref="N851" r:id="rId854"/>
    <hyperlink xmlns:r="http://schemas.openxmlformats.org/officeDocument/2006/relationships" ref="N852" r:id="rId855"/>
    <hyperlink xmlns:r="http://schemas.openxmlformats.org/officeDocument/2006/relationships" ref="N853" r:id="rId856"/>
    <hyperlink xmlns:r="http://schemas.openxmlformats.org/officeDocument/2006/relationships" ref="N854" r:id="rId857"/>
    <hyperlink xmlns:r="http://schemas.openxmlformats.org/officeDocument/2006/relationships" ref="N855" r:id="rId858"/>
    <hyperlink xmlns:r="http://schemas.openxmlformats.org/officeDocument/2006/relationships" ref="N856" r:id="rId859"/>
    <hyperlink xmlns:r="http://schemas.openxmlformats.org/officeDocument/2006/relationships" ref="N857" r:id="rId860"/>
    <hyperlink xmlns:r="http://schemas.openxmlformats.org/officeDocument/2006/relationships" ref="N858" r:id="rId861"/>
    <hyperlink xmlns:r="http://schemas.openxmlformats.org/officeDocument/2006/relationships" ref="N859" r:id="rId862"/>
    <hyperlink xmlns:r="http://schemas.openxmlformats.org/officeDocument/2006/relationships" ref="N860" r:id="rId863"/>
    <hyperlink xmlns:r="http://schemas.openxmlformats.org/officeDocument/2006/relationships" ref="N861" r:id="rId864"/>
    <hyperlink xmlns:r="http://schemas.openxmlformats.org/officeDocument/2006/relationships" ref="N862" r:id="rId865"/>
    <hyperlink xmlns:r="http://schemas.openxmlformats.org/officeDocument/2006/relationships" ref="N863" r:id="rId866"/>
    <hyperlink xmlns:r="http://schemas.openxmlformats.org/officeDocument/2006/relationships" ref="N864" r:id="rId867"/>
    <hyperlink xmlns:r="http://schemas.openxmlformats.org/officeDocument/2006/relationships" ref="N865" r:id="rId868"/>
    <hyperlink xmlns:r="http://schemas.openxmlformats.org/officeDocument/2006/relationships" ref="N866" r:id="rId869"/>
    <hyperlink xmlns:r="http://schemas.openxmlformats.org/officeDocument/2006/relationships" ref="N867" r:id="rId870"/>
    <hyperlink xmlns:r="http://schemas.openxmlformats.org/officeDocument/2006/relationships" ref="N868" r:id="rId871"/>
    <hyperlink xmlns:r="http://schemas.openxmlformats.org/officeDocument/2006/relationships" ref="N869" r:id="rId872"/>
    <hyperlink xmlns:r="http://schemas.openxmlformats.org/officeDocument/2006/relationships" ref="N870" r:id="rId873"/>
    <hyperlink xmlns:r="http://schemas.openxmlformats.org/officeDocument/2006/relationships" ref="N871" r:id="rId874"/>
    <hyperlink xmlns:r="http://schemas.openxmlformats.org/officeDocument/2006/relationships" ref="N872" r:id="rId875"/>
    <hyperlink xmlns:r="http://schemas.openxmlformats.org/officeDocument/2006/relationships" ref="N873" r:id="rId876"/>
    <hyperlink xmlns:r="http://schemas.openxmlformats.org/officeDocument/2006/relationships" ref="N874" r:id="rId877"/>
    <hyperlink xmlns:r="http://schemas.openxmlformats.org/officeDocument/2006/relationships" ref="N875" r:id="rId878"/>
    <hyperlink xmlns:r="http://schemas.openxmlformats.org/officeDocument/2006/relationships" ref="N876" r:id="rId879"/>
    <hyperlink xmlns:r="http://schemas.openxmlformats.org/officeDocument/2006/relationships" ref="N877" r:id="rId880"/>
    <hyperlink xmlns:r="http://schemas.openxmlformats.org/officeDocument/2006/relationships" ref="N878" r:id="rId881"/>
    <hyperlink xmlns:r="http://schemas.openxmlformats.org/officeDocument/2006/relationships" ref="N879" r:id="rId882"/>
    <hyperlink xmlns:r="http://schemas.openxmlformats.org/officeDocument/2006/relationships" ref="N880" r:id="rId883"/>
    <hyperlink xmlns:r="http://schemas.openxmlformats.org/officeDocument/2006/relationships" ref="N881" r:id="rId884"/>
    <hyperlink xmlns:r="http://schemas.openxmlformats.org/officeDocument/2006/relationships" ref="N882" r:id="rId885"/>
    <hyperlink xmlns:r="http://schemas.openxmlformats.org/officeDocument/2006/relationships" ref="N883" r:id="rId886"/>
    <hyperlink xmlns:r="http://schemas.openxmlformats.org/officeDocument/2006/relationships" ref="N884" r:id="rId887"/>
    <hyperlink xmlns:r="http://schemas.openxmlformats.org/officeDocument/2006/relationships" ref="N885" r:id="rId888"/>
    <hyperlink xmlns:r="http://schemas.openxmlformats.org/officeDocument/2006/relationships" ref="N886" r:id="rId889"/>
    <hyperlink xmlns:r="http://schemas.openxmlformats.org/officeDocument/2006/relationships" ref="N887" r:id="rId890"/>
    <hyperlink xmlns:r="http://schemas.openxmlformats.org/officeDocument/2006/relationships" ref="N888" r:id="rId891"/>
    <hyperlink xmlns:r="http://schemas.openxmlformats.org/officeDocument/2006/relationships" ref="N889" r:id="rId892"/>
    <hyperlink xmlns:r="http://schemas.openxmlformats.org/officeDocument/2006/relationships" ref="N890" r:id="rId893"/>
    <hyperlink xmlns:r="http://schemas.openxmlformats.org/officeDocument/2006/relationships" ref="N891" r:id="rId894"/>
    <hyperlink xmlns:r="http://schemas.openxmlformats.org/officeDocument/2006/relationships" ref="N892" r:id="rId895"/>
    <hyperlink xmlns:r="http://schemas.openxmlformats.org/officeDocument/2006/relationships" ref="N893" r:id="rId896"/>
    <hyperlink xmlns:r="http://schemas.openxmlformats.org/officeDocument/2006/relationships" ref="N894" r:id="rId897"/>
    <hyperlink xmlns:r="http://schemas.openxmlformats.org/officeDocument/2006/relationships" ref="N895" r:id="rId898"/>
    <hyperlink xmlns:r="http://schemas.openxmlformats.org/officeDocument/2006/relationships" ref="N896" r:id="rId899"/>
    <hyperlink xmlns:r="http://schemas.openxmlformats.org/officeDocument/2006/relationships" ref="N897" r:id="rId900"/>
    <hyperlink xmlns:r="http://schemas.openxmlformats.org/officeDocument/2006/relationships" ref="N898" r:id="rId901"/>
    <hyperlink xmlns:r="http://schemas.openxmlformats.org/officeDocument/2006/relationships" ref="N899" r:id="rId902"/>
    <hyperlink xmlns:r="http://schemas.openxmlformats.org/officeDocument/2006/relationships" ref="N900" r:id="rId903"/>
    <hyperlink xmlns:r="http://schemas.openxmlformats.org/officeDocument/2006/relationships" ref="N901" r:id="rId904"/>
    <hyperlink xmlns:r="http://schemas.openxmlformats.org/officeDocument/2006/relationships" ref="N902" r:id="rId905"/>
    <hyperlink xmlns:r="http://schemas.openxmlformats.org/officeDocument/2006/relationships" ref="N903" r:id="rId906"/>
    <hyperlink xmlns:r="http://schemas.openxmlformats.org/officeDocument/2006/relationships" ref="N904" r:id="rId907"/>
    <hyperlink xmlns:r="http://schemas.openxmlformats.org/officeDocument/2006/relationships" ref="N905" r:id="rId908"/>
    <hyperlink xmlns:r="http://schemas.openxmlformats.org/officeDocument/2006/relationships" ref="N906" r:id="rId909"/>
    <hyperlink xmlns:r="http://schemas.openxmlformats.org/officeDocument/2006/relationships" ref="N907" r:id="rId910"/>
    <hyperlink xmlns:r="http://schemas.openxmlformats.org/officeDocument/2006/relationships" ref="N908" r:id="rId911"/>
    <hyperlink xmlns:r="http://schemas.openxmlformats.org/officeDocument/2006/relationships" ref="N909" r:id="rId912"/>
    <hyperlink xmlns:r="http://schemas.openxmlformats.org/officeDocument/2006/relationships" ref="N910" r:id="rId913"/>
    <hyperlink xmlns:r="http://schemas.openxmlformats.org/officeDocument/2006/relationships" ref="N911" r:id="rId914"/>
    <hyperlink xmlns:r="http://schemas.openxmlformats.org/officeDocument/2006/relationships" ref="N912" r:id="rId915"/>
    <hyperlink xmlns:r="http://schemas.openxmlformats.org/officeDocument/2006/relationships" ref="N913" r:id="rId916"/>
    <hyperlink xmlns:r="http://schemas.openxmlformats.org/officeDocument/2006/relationships" ref="N914" r:id="rId917"/>
    <hyperlink xmlns:r="http://schemas.openxmlformats.org/officeDocument/2006/relationships" ref="N915" r:id="rId918"/>
    <hyperlink xmlns:r="http://schemas.openxmlformats.org/officeDocument/2006/relationships" ref="N916" r:id="rId919"/>
    <hyperlink xmlns:r="http://schemas.openxmlformats.org/officeDocument/2006/relationships" ref="N917" r:id="rId920"/>
    <hyperlink xmlns:r="http://schemas.openxmlformats.org/officeDocument/2006/relationships" ref="N918" r:id="rId921"/>
    <hyperlink xmlns:r="http://schemas.openxmlformats.org/officeDocument/2006/relationships" ref="N919" r:id="rId922"/>
    <hyperlink xmlns:r="http://schemas.openxmlformats.org/officeDocument/2006/relationships" ref="N920" r:id="rId923"/>
    <hyperlink xmlns:r="http://schemas.openxmlformats.org/officeDocument/2006/relationships" ref="N921" r:id="rId924"/>
    <hyperlink xmlns:r="http://schemas.openxmlformats.org/officeDocument/2006/relationships" ref="N922" r:id="rId925"/>
    <hyperlink xmlns:r="http://schemas.openxmlformats.org/officeDocument/2006/relationships" ref="N923" r:id="rId926"/>
    <hyperlink xmlns:r="http://schemas.openxmlformats.org/officeDocument/2006/relationships" ref="N924" r:id="rId927"/>
    <hyperlink xmlns:r="http://schemas.openxmlformats.org/officeDocument/2006/relationships" ref="N925" r:id="rId928"/>
    <hyperlink xmlns:r="http://schemas.openxmlformats.org/officeDocument/2006/relationships" ref="N926" r:id="rId929"/>
    <hyperlink xmlns:r="http://schemas.openxmlformats.org/officeDocument/2006/relationships" ref="N927" r:id="rId930"/>
    <hyperlink xmlns:r="http://schemas.openxmlformats.org/officeDocument/2006/relationships" ref="N928" r:id="rId931"/>
    <hyperlink xmlns:r="http://schemas.openxmlformats.org/officeDocument/2006/relationships" ref="N929" r:id="rId932"/>
    <hyperlink xmlns:r="http://schemas.openxmlformats.org/officeDocument/2006/relationships" ref="N930" r:id="rId933"/>
    <hyperlink xmlns:r="http://schemas.openxmlformats.org/officeDocument/2006/relationships" ref="N931" r:id="rId934"/>
    <hyperlink xmlns:r="http://schemas.openxmlformats.org/officeDocument/2006/relationships" ref="N932" r:id="rId935"/>
    <hyperlink xmlns:r="http://schemas.openxmlformats.org/officeDocument/2006/relationships" ref="N933" r:id="rId936"/>
    <hyperlink xmlns:r="http://schemas.openxmlformats.org/officeDocument/2006/relationships" ref="N934" r:id="rId937"/>
    <hyperlink xmlns:r="http://schemas.openxmlformats.org/officeDocument/2006/relationships" ref="N935" r:id="rId938"/>
    <hyperlink xmlns:r="http://schemas.openxmlformats.org/officeDocument/2006/relationships" ref="N936" r:id="rId939"/>
    <hyperlink xmlns:r="http://schemas.openxmlformats.org/officeDocument/2006/relationships" ref="N937" r:id="rId940"/>
    <hyperlink xmlns:r="http://schemas.openxmlformats.org/officeDocument/2006/relationships" ref="N938" r:id="rId941"/>
    <hyperlink xmlns:r="http://schemas.openxmlformats.org/officeDocument/2006/relationships" ref="N939" r:id="rId942"/>
    <hyperlink xmlns:r="http://schemas.openxmlformats.org/officeDocument/2006/relationships" ref="N940" r:id="rId943"/>
    <hyperlink xmlns:r="http://schemas.openxmlformats.org/officeDocument/2006/relationships" ref="N941" r:id="rId944"/>
    <hyperlink xmlns:r="http://schemas.openxmlformats.org/officeDocument/2006/relationships" ref="N942" r:id="rId945"/>
    <hyperlink xmlns:r="http://schemas.openxmlformats.org/officeDocument/2006/relationships" ref="N943" r:id="rId946"/>
    <hyperlink xmlns:r="http://schemas.openxmlformats.org/officeDocument/2006/relationships" ref="N944" r:id="rId947"/>
    <hyperlink xmlns:r="http://schemas.openxmlformats.org/officeDocument/2006/relationships" ref="N945" r:id="rId948"/>
    <hyperlink xmlns:r="http://schemas.openxmlformats.org/officeDocument/2006/relationships" ref="N946" r:id="rId949"/>
    <hyperlink xmlns:r="http://schemas.openxmlformats.org/officeDocument/2006/relationships" ref="N947" r:id="rId950"/>
    <hyperlink xmlns:r="http://schemas.openxmlformats.org/officeDocument/2006/relationships" ref="N948" r:id="rId951"/>
    <hyperlink xmlns:r="http://schemas.openxmlformats.org/officeDocument/2006/relationships" ref="N949" r:id="rId952"/>
    <hyperlink xmlns:r="http://schemas.openxmlformats.org/officeDocument/2006/relationships" ref="N950" r:id="rId953"/>
    <hyperlink xmlns:r="http://schemas.openxmlformats.org/officeDocument/2006/relationships" ref="N951" r:id="rId954"/>
    <hyperlink xmlns:r="http://schemas.openxmlformats.org/officeDocument/2006/relationships" ref="N952" r:id="rId955"/>
    <hyperlink xmlns:r="http://schemas.openxmlformats.org/officeDocument/2006/relationships" ref="N953" r:id="rId956"/>
    <hyperlink xmlns:r="http://schemas.openxmlformats.org/officeDocument/2006/relationships" ref="N954" r:id="rId957"/>
    <hyperlink xmlns:r="http://schemas.openxmlformats.org/officeDocument/2006/relationships" ref="N955" r:id="rId958"/>
    <hyperlink xmlns:r="http://schemas.openxmlformats.org/officeDocument/2006/relationships" ref="N956" r:id="rId959"/>
    <hyperlink xmlns:r="http://schemas.openxmlformats.org/officeDocument/2006/relationships" ref="N957" r:id="rId960"/>
    <hyperlink xmlns:r="http://schemas.openxmlformats.org/officeDocument/2006/relationships" ref="N958" r:id="rId961"/>
    <hyperlink xmlns:r="http://schemas.openxmlformats.org/officeDocument/2006/relationships" ref="N959" r:id="rId962"/>
    <hyperlink xmlns:r="http://schemas.openxmlformats.org/officeDocument/2006/relationships" ref="N960" r:id="rId963"/>
    <hyperlink xmlns:r="http://schemas.openxmlformats.org/officeDocument/2006/relationships" ref="N961" r:id="rId964"/>
    <hyperlink xmlns:r="http://schemas.openxmlformats.org/officeDocument/2006/relationships" ref="N962" r:id="rId965"/>
    <hyperlink xmlns:r="http://schemas.openxmlformats.org/officeDocument/2006/relationships" ref="N963" r:id="rId966"/>
    <hyperlink xmlns:r="http://schemas.openxmlformats.org/officeDocument/2006/relationships" ref="N964" r:id="rId967"/>
    <hyperlink xmlns:r="http://schemas.openxmlformats.org/officeDocument/2006/relationships" ref="N965" r:id="rId968"/>
    <hyperlink xmlns:r="http://schemas.openxmlformats.org/officeDocument/2006/relationships" ref="N966" r:id="rId969"/>
    <hyperlink xmlns:r="http://schemas.openxmlformats.org/officeDocument/2006/relationships" ref="N967" r:id="rId970"/>
    <hyperlink xmlns:r="http://schemas.openxmlformats.org/officeDocument/2006/relationships" ref="N968" r:id="rId971"/>
    <hyperlink xmlns:r="http://schemas.openxmlformats.org/officeDocument/2006/relationships" ref="N969" r:id="rId972"/>
    <hyperlink xmlns:r="http://schemas.openxmlformats.org/officeDocument/2006/relationships" ref="N970" r:id="rId973"/>
    <hyperlink xmlns:r="http://schemas.openxmlformats.org/officeDocument/2006/relationships" ref="N971" r:id="rId974"/>
    <hyperlink xmlns:r="http://schemas.openxmlformats.org/officeDocument/2006/relationships" ref="N972" r:id="rId975"/>
    <hyperlink xmlns:r="http://schemas.openxmlformats.org/officeDocument/2006/relationships" ref="N973" r:id="rId976"/>
    <hyperlink xmlns:r="http://schemas.openxmlformats.org/officeDocument/2006/relationships" ref="N974" r:id="rId977"/>
    <hyperlink xmlns:r="http://schemas.openxmlformats.org/officeDocument/2006/relationships" ref="N975" r:id="rId978"/>
    <hyperlink xmlns:r="http://schemas.openxmlformats.org/officeDocument/2006/relationships" ref="N976" r:id="rId979"/>
    <hyperlink xmlns:r="http://schemas.openxmlformats.org/officeDocument/2006/relationships" ref="N977" r:id="rId980"/>
    <hyperlink xmlns:r="http://schemas.openxmlformats.org/officeDocument/2006/relationships" ref="N978" r:id="rId981"/>
    <hyperlink xmlns:r="http://schemas.openxmlformats.org/officeDocument/2006/relationships" ref="N979" r:id="rId982"/>
    <hyperlink xmlns:r="http://schemas.openxmlformats.org/officeDocument/2006/relationships" ref="N980" r:id="rId983"/>
    <hyperlink xmlns:r="http://schemas.openxmlformats.org/officeDocument/2006/relationships" ref="N981" r:id="rId984"/>
    <hyperlink xmlns:r="http://schemas.openxmlformats.org/officeDocument/2006/relationships" ref="N982" r:id="rId985"/>
    <hyperlink xmlns:r="http://schemas.openxmlformats.org/officeDocument/2006/relationships" ref="N983" r:id="rId986"/>
    <hyperlink xmlns:r="http://schemas.openxmlformats.org/officeDocument/2006/relationships" ref="N984" r:id="rId987"/>
    <hyperlink xmlns:r="http://schemas.openxmlformats.org/officeDocument/2006/relationships" ref="N985" r:id="rId988"/>
    <hyperlink xmlns:r="http://schemas.openxmlformats.org/officeDocument/2006/relationships" ref="N986" r:id="rId989"/>
    <hyperlink xmlns:r="http://schemas.openxmlformats.org/officeDocument/2006/relationships" ref="N987" r:id="rId990"/>
    <hyperlink xmlns:r="http://schemas.openxmlformats.org/officeDocument/2006/relationships" ref="N988" r:id="rId991"/>
    <hyperlink xmlns:r="http://schemas.openxmlformats.org/officeDocument/2006/relationships" ref="N989" r:id="rId992"/>
    <hyperlink xmlns:r="http://schemas.openxmlformats.org/officeDocument/2006/relationships" ref="N990" r:id="rId993"/>
    <hyperlink xmlns:r="http://schemas.openxmlformats.org/officeDocument/2006/relationships" ref="N991" r:id="rId994"/>
    <hyperlink xmlns:r="http://schemas.openxmlformats.org/officeDocument/2006/relationships" ref="N992" r:id="rId995"/>
    <hyperlink xmlns:r="http://schemas.openxmlformats.org/officeDocument/2006/relationships" ref="N993" r:id="rId996"/>
    <hyperlink xmlns:r="http://schemas.openxmlformats.org/officeDocument/2006/relationships" ref="N994" r:id="rId997"/>
    <hyperlink xmlns:r="http://schemas.openxmlformats.org/officeDocument/2006/relationships" ref="N995" r:id="rId998"/>
    <hyperlink xmlns:r="http://schemas.openxmlformats.org/officeDocument/2006/relationships" ref="N996" r:id="rId999"/>
    <hyperlink xmlns:r="http://schemas.openxmlformats.org/officeDocument/2006/relationships" ref="N997" r:id="rId1000"/>
    <hyperlink xmlns:r="http://schemas.openxmlformats.org/officeDocument/2006/relationships" ref="N998" r:id="rId1001"/>
    <hyperlink xmlns:r="http://schemas.openxmlformats.org/officeDocument/2006/relationships" ref="N999" r:id="rId1002"/>
    <hyperlink xmlns:r="http://schemas.openxmlformats.org/officeDocument/2006/relationships" ref="N1000" r:id="rId1003"/>
    <hyperlink xmlns:r="http://schemas.openxmlformats.org/officeDocument/2006/relationships" ref="N1001" r:id="rId1004"/>
    <hyperlink xmlns:r="http://schemas.openxmlformats.org/officeDocument/2006/relationships" ref="N1002" r:id="rId1005"/>
    <hyperlink xmlns:r="http://schemas.openxmlformats.org/officeDocument/2006/relationships" ref="N1003" r:id="rId1006"/>
    <hyperlink xmlns:r="http://schemas.openxmlformats.org/officeDocument/2006/relationships" ref="N1004" r:id="rId1007"/>
    <hyperlink xmlns:r="http://schemas.openxmlformats.org/officeDocument/2006/relationships" ref="N1005" r:id="rId1008"/>
    <hyperlink xmlns:r="http://schemas.openxmlformats.org/officeDocument/2006/relationships" ref="N1006" r:id="rId1009"/>
    <hyperlink xmlns:r="http://schemas.openxmlformats.org/officeDocument/2006/relationships" ref="N1007" r:id="rId1010"/>
    <hyperlink xmlns:r="http://schemas.openxmlformats.org/officeDocument/2006/relationships" ref="N1008" r:id="rId1011"/>
    <hyperlink xmlns:r="http://schemas.openxmlformats.org/officeDocument/2006/relationships" ref="N1009" r:id="rId1012"/>
    <hyperlink xmlns:r="http://schemas.openxmlformats.org/officeDocument/2006/relationships" ref="N1010" r:id="rId1013"/>
    <hyperlink xmlns:r="http://schemas.openxmlformats.org/officeDocument/2006/relationships" ref="N1011" r:id="rId1014"/>
    <hyperlink xmlns:r="http://schemas.openxmlformats.org/officeDocument/2006/relationships" ref="N1012" r:id="rId1015"/>
    <hyperlink xmlns:r="http://schemas.openxmlformats.org/officeDocument/2006/relationships" ref="N1013" r:id="rId1016"/>
    <hyperlink xmlns:r="http://schemas.openxmlformats.org/officeDocument/2006/relationships" ref="N1014" r:id="rId1017"/>
    <hyperlink xmlns:r="http://schemas.openxmlformats.org/officeDocument/2006/relationships" ref="N1015" r:id="rId1018"/>
    <hyperlink xmlns:r="http://schemas.openxmlformats.org/officeDocument/2006/relationships" ref="N1016" r:id="rId1019"/>
    <hyperlink xmlns:r="http://schemas.openxmlformats.org/officeDocument/2006/relationships" ref="N1017" r:id="rId1020"/>
    <hyperlink xmlns:r="http://schemas.openxmlformats.org/officeDocument/2006/relationships" ref="N1018" r:id="rId1021"/>
    <hyperlink xmlns:r="http://schemas.openxmlformats.org/officeDocument/2006/relationships" ref="N1019" r:id="rId1022"/>
    <hyperlink xmlns:r="http://schemas.openxmlformats.org/officeDocument/2006/relationships" ref="N1020" r:id="rId1023"/>
    <hyperlink xmlns:r="http://schemas.openxmlformats.org/officeDocument/2006/relationships" ref="N1021" r:id="rId1024"/>
    <hyperlink xmlns:r="http://schemas.openxmlformats.org/officeDocument/2006/relationships" ref="N1022" r:id="rId1025"/>
    <hyperlink xmlns:r="http://schemas.openxmlformats.org/officeDocument/2006/relationships" ref="N1023" r:id="rId1026"/>
    <hyperlink xmlns:r="http://schemas.openxmlformats.org/officeDocument/2006/relationships" ref="N1024" r:id="rId1027"/>
    <hyperlink xmlns:r="http://schemas.openxmlformats.org/officeDocument/2006/relationships" ref="N1025" r:id="rId1028"/>
    <hyperlink xmlns:r="http://schemas.openxmlformats.org/officeDocument/2006/relationships" ref="N1026" r:id="rId1029"/>
    <hyperlink xmlns:r="http://schemas.openxmlformats.org/officeDocument/2006/relationships" ref="N1027" r:id="rId1030"/>
    <hyperlink xmlns:r="http://schemas.openxmlformats.org/officeDocument/2006/relationships" ref="N1028" r:id="rId1031"/>
    <hyperlink xmlns:r="http://schemas.openxmlformats.org/officeDocument/2006/relationships" ref="N1029" r:id="rId1032"/>
    <hyperlink xmlns:r="http://schemas.openxmlformats.org/officeDocument/2006/relationships" ref="N1030" r:id="rId1033"/>
    <hyperlink xmlns:r="http://schemas.openxmlformats.org/officeDocument/2006/relationships" ref="N1031" r:id="rId1034"/>
    <hyperlink xmlns:r="http://schemas.openxmlformats.org/officeDocument/2006/relationships" ref="N1032" r:id="rId1035"/>
    <hyperlink xmlns:r="http://schemas.openxmlformats.org/officeDocument/2006/relationships" ref="N1033" r:id="rId1036"/>
    <hyperlink xmlns:r="http://schemas.openxmlformats.org/officeDocument/2006/relationships" ref="N1034" r:id="rId1037"/>
    <hyperlink xmlns:r="http://schemas.openxmlformats.org/officeDocument/2006/relationships" ref="N1035" r:id="rId1038"/>
    <hyperlink xmlns:r="http://schemas.openxmlformats.org/officeDocument/2006/relationships" ref="N1036" r:id="rId1039"/>
    <hyperlink xmlns:r="http://schemas.openxmlformats.org/officeDocument/2006/relationships" ref="N1037" r:id="rId1040"/>
    <hyperlink xmlns:r="http://schemas.openxmlformats.org/officeDocument/2006/relationships" ref="N1038" r:id="rId1041"/>
    <hyperlink xmlns:r="http://schemas.openxmlformats.org/officeDocument/2006/relationships" ref="N1039" r:id="rId1042"/>
    <hyperlink xmlns:r="http://schemas.openxmlformats.org/officeDocument/2006/relationships" ref="N1040" r:id="rId1043"/>
    <hyperlink xmlns:r="http://schemas.openxmlformats.org/officeDocument/2006/relationships" ref="N1041" r:id="rId1044"/>
    <hyperlink xmlns:r="http://schemas.openxmlformats.org/officeDocument/2006/relationships" ref="N1042" r:id="rId1045"/>
    <hyperlink xmlns:r="http://schemas.openxmlformats.org/officeDocument/2006/relationships" ref="N1043" r:id="rId1046"/>
    <hyperlink xmlns:r="http://schemas.openxmlformats.org/officeDocument/2006/relationships" ref="N1044" r:id="rId1047"/>
    <hyperlink xmlns:r="http://schemas.openxmlformats.org/officeDocument/2006/relationships" ref="N1045" r:id="rId1048"/>
    <hyperlink xmlns:r="http://schemas.openxmlformats.org/officeDocument/2006/relationships" ref="N1046" r:id="rId1049"/>
    <hyperlink xmlns:r="http://schemas.openxmlformats.org/officeDocument/2006/relationships" ref="N1047" r:id="rId1050"/>
    <hyperlink xmlns:r="http://schemas.openxmlformats.org/officeDocument/2006/relationships" ref="N1048" r:id="rId1051"/>
    <hyperlink xmlns:r="http://schemas.openxmlformats.org/officeDocument/2006/relationships" ref="N1049" r:id="rId1052"/>
    <hyperlink xmlns:r="http://schemas.openxmlformats.org/officeDocument/2006/relationships" ref="N1050" r:id="rId1053"/>
    <hyperlink xmlns:r="http://schemas.openxmlformats.org/officeDocument/2006/relationships" ref="N1051" r:id="rId1054"/>
    <hyperlink xmlns:r="http://schemas.openxmlformats.org/officeDocument/2006/relationships" ref="N1052" r:id="rId1055"/>
    <hyperlink xmlns:r="http://schemas.openxmlformats.org/officeDocument/2006/relationships" ref="N1053" r:id="rId1056"/>
    <hyperlink xmlns:r="http://schemas.openxmlformats.org/officeDocument/2006/relationships" ref="N1054" r:id="rId1057"/>
    <hyperlink xmlns:r="http://schemas.openxmlformats.org/officeDocument/2006/relationships" ref="N1055" r:id="rId1058"/>
    <hyperlink xmlns:r="http://schemas.openxmlformats.org/officeDocument/2006/relationships" ref="N1056" r:id="rId1059"/>
    <hyperlink xmlns:r="http://schemas.openxmlformats.org/officeDocument/2006/relationships" ref="N1057" r:id="rId1060"/>
    <hyperlink xmlns:r="http://schemas.openxmlformats.org/officeDocument/2006/relationships" ref="N1058" r:id="rId1061"/>
    <hyperlink xmlns:r="http://schemas.openxmlformats.org/officeDocument/2006/relationships" ref="N1059" r:id="rId1062"/>
    <hyperlink xmlns:r="http://schemas.openxmlformats.org/officeDocument/2006/relationships" ref="N1060" r:id="rId1063"/>
    <hyperlink xmlns:r="http://schemas.openxmlformats.org/officeDocument/2006/relationships" ref="N1061" r:id="rId1064"/>
    <hyperlink xmlns:r="http://schemas.openxmlformats.org/officeDocument/2006/relationships" ref="N1062" r:id="rId1065"/>
    <hyperlink xmlns:r="http://schemas.openxmlformats.org/officeDocument/2006/relationships" ref="N1063" r:id="rId1066"/>
    <hyperlink xmlns:r="http://schemas.openxmlformats.org/officeDocument/2006/relationships" ref="N1064" r:id="rId1067"/>
    <hyperlink xmlns:r="http://schemas.openxmlformats.org/officeDocument/2006/relationships" ref="N1065" r:id="rId1068"/>
    <hyperlink xmlns:r="http://schemas.openxmlformats.org/officeDocument/2006/relationships" ref="N1066" r:id="rId1069"/>
    <hyperlink xmlns:r="http://schemas.openxmlformats.org/officeDocument/2006/relationships" ref="N1067" r:id="rId1070"/>
    <hyperlink xmlns:r="http://schemas.openxmlformats.org/officeDocument/2006/relationships" ref="N1068" r:id="rId1071"/>
    <hyperlink xmlns:r="http://schemas.openxmlformats.org/officeDocument/2006/relationships" ref="N1069" r:id="rId1072"/>
    <hyperlink xmlns:r="http://schemas.openxmlformats.org/officeDocument/2006/relationships" ref="N1070" r:id="rId1073"/>
    <hyperlink xmlns:r="http://schemas.openxmlformats.org/officeDocument/2006/relationships" ref="N1071" r:id="rId1074"/>
    <hyperlink xmlns:r="http://schemas.openxmlformats.org/officeDocument/2006/relationships" ref="N1072" r:id="rId1075"/>
    <hyperlink xmlns:r="http://schemas.openxmlformats.org/officeDocument/2006/relationships" ref="N1073" r:id="rId1076"/>
    <hyperlink xmlns:r="http://schemas.openxmlformats.org/officeDocument/2006/relationships" ref="N1074" r:id="rId1077"/>
    <hyperlink xmlns:r="http://schemas.openxmlformats.org/officeDocument/2006/relationships" ref="N1075" r:id="rId1078"/>
    <hyperlink xmlns:r="http://schemas.openxmlformats.org/officeDocument/2006/relationships" ref="N1076" r:id="rId1079"/>
    <hyperlink xmlns:r="http://schemas.openxmlformats.org/officeDocument/2006/relationships" ref="N1077" r:id="rId1080"/>
    <hyperlink xmlns:r="http://schemas.openxmlformats.org/officeDocument/2006/relationships" ref="N1078" r:id="rId1081"/>
    <hyperlink xmlns:r="http://schemas.openxmlformats.org/officeDocument/2006/relationships" ref="N1079" r:id="rId1082"/>
    <hyperlink xmlns:r="http://schemas.openxmlformats.org/officeDocument/2006/relationships" ref="N1080" r:id="rId1083"/>
    <hyperlink xmlns:r="http://schemas.openxmlformats.org/officeDocument/2006/relationships" ref="N1081" r:id="rId1084"/>
    <hyperlink xmlns:r="http://schemas.openxmlformats.org/officeDocument/2006/relationships" ref="N1082" r:id="rId1085"/>
    <hyperlink xmlns:r="http://schemas.openxmlformats.org/officeDocument/2006/relationships" ref="N1083" r:id="rId1086"/>
    <hyperlink xmlns:r="http://schemas.openxmlformats.org/officeDocument/2006/relationships" ref="N1084" r:id="rId1087"/>
    <hyperlink xmlns:r="http://schemas.openxmlformats.org/officeDocument/2006/relationships" ref="N1085" r:id="rId1088"/>
    <hyperlink xmlns:r="http://schemas.openxmlformats.org/officeDocument/2006/relationships" ref="N1086" r:id="rId1089"/>
    <hyperlink xmlns:r="http://schemas.openxmlformats.org/officeDocument/2006/relationships" ref="N1087" r:id="rId1090"/>
    <hyperlink xmlns:r="http://schemas.openxmlformats.org/officeDocument/2006/relationships" ref="N1088" r:id="rId1091"/>
    <hyperlink xmlns:r="http://schemas.openxmlformats.org/officeDocument/2006/relationships" ref="N1089" r:id="rId1092"/>
    <hyperlink xmlns:r="http://schemas.openxmlformats.org/officeDocument/2006/relationships" ref="N1090" r:id="rId1093"/>
    <hyperlink xmlns:r="http://schemas.openxmlformats.org/officeDocument/2006/relationships" ref="N1091" r:id="rId1094"/>
    <hyperlink xmlns:r="http://schemas.openxmlformats.org/officeDocument/2006/relationships" ref="N1092" r:id="rId1095"/>
    <hyperlink xmlns:r="http://schemas.openxmlformats.org/officeDocument/2006/relationships" ref="N1093" r:id="rId1096"/>
    <hyperlink xmlns:r="http://schemas.openxmlformats.org/officeDocument/2006/relationships" ref="N1094" r:id="rId1097"/>
    <hyperlink xmlns:r="http://schemas.openxmlformats.org/officeDocument/2006/relationships" ref="N1095" r:id="rId1098"/>
    <hyperlink xmlns:r="http://schemas.openxmlformats.org/officeDocument/2006/relationships" ref="N1096" r:id="rId1099"/>
    <hyperlink xmlns:r="http://schemas.openxmlformats.org/officeDocument/2006/relationships" ref="N1097" r:id="rId1100"/>
    <hyperlink xmlns:r="http://schemas.openxmlformats.org/officeDocument/2006/relationships" ref="N1098" r:id="rId1101"/>
    <hyperlink xmlns:r="http://schemas.openxmlformats.org/officeDocument/2006/relationships" ref="N1099" r:id="rId1102"/>
    <hyperlink xmlns:r="http://schemas.openxmlformats.org/officeDocument/2006/relationships" ref="N1100" r:id="rId1103"/>
    <hyperlink xmlns:r="http://schemas.openxmlformats.org/officeDocument/2006/relationships" ref="N1101" r:id="rId1104"/>
    <hyperlink xmlns:r="http://schemas.openxmlformats.org/officeDocument/2006/relationships" ref="N1102" r:id="rId1105"/>
    <hyperlink xmlns:r="http://schemas.openxmlformats.org/officeDocument/2006/relationships" ref="N1103" r:id="rId1106"/>
    <hyperlink xmlns:r="http://schemas.openxmlformats.org/officeDocument/2006/relationships" ref="N1104" r:id="rId1107"/>
    <hyperlink xmlns:r="http://schemas.openxmlformats.org/officeDocument/2006/relationships" ref="N1105" r:id="rId1108"/>
    <hyperlink xmlns:r="http://schemas.openxmlformats.org/officeDocument/2006/relationships" ref="N1106" r:id="rId1109"/>
    <hyperlink xmlns:r="http://schemas.openxmlformats.org/officeDocument/2006/relationships" ref="N1107" r:id="rId1110"/>
    <hyperlink xmlns:r="http://schemas.openxmlformats.org/officeDocument/2006/relationships" ref="N1108" r:id="rId1111"/>
    <hyperlink xmlns:r="http://schemas.openxmlformats.org/officeDocument/2006/relationships" ref="N1109" r:id="rId1112"/>
    <hyperlink xmlns:r="http://schemas.openxmlformats.org/officeDocument/2006/relationships" ref="N1110" r:id="rId1113"/>
    <hyperlink xmlns:r="http://schemas.openxmlformats.org/officeDocument/2006/relationships" ref="N1111" r:id="rId1114"/>
    <hyperlink xmlns:r="http://schemas.openxmlformats.org/officeDocument/2006/relationships" ref="N1112" r:id="rId1115"/>
    <hyperlink xmlns:r="http://schemas.openxmlformats.org/officeDocument/2006/relationships" ref="N1113" r:id="rId1116"/>
    <hyperlink xmlns:r="http://schemas.openxmlformats.org/officeDocument/2006/relationships" ref="N1114" r:id="rId1117"/>
    <hyperlink xmlns:r="http://schemas.openxmlformats.org/officeDocument/2006/relationships" ref="N1115" r:id="rId1118"/>
    <hyperlink xmlns:r="http://schemas.openxmlformats.org/officeDocument/2006/relationships" ref="N1116" r:id="rId1119"/>
    <hyperlink xmlns:r="http://schemas.openxmlformats.org/officeDocument/2006/relationships" ref="N1117" r:id="rId1120"/>
    <hyperlink xmlns:r="http://schemas.openxmlformats.org/officeDocument/2006/relationships" ref="N1118" r:id="rId1121"/>
    <hyperlink xmlns:r="http://schemas.openxmlformats.org/officeDocument/2006/relationships" ref="N1119" r:id="rId1122"/>
    <hyperlink xmlns:r="http://schemas.openxmlformats.org/officeDocument/2006/relationships" ref="N1120" r:id="rId1123"/>
    <hyperlink xmlns:r="http://schemas.openxmlformats.org/officeDocument/2006/relationships" ref="N1121" r:id="rId1124"/>
    <hyperlink xmlns:r="http://schemas.openxmlformats.org/officeDocument/2006/relationships" ref="N1122" r:id="rId1125"/>
    <hyperlink xmlns:r="http://schemas.openxmlformats.org/officeDocument/2006/relationships" ref="N1123" r:id="rId1126"/>
    <hyperlink xmlns:r="http://schemas.openxmlformats.org/officeDocument/2006/relationships" ref="N1124" r:id="rId1127"/>
    <hyperlink xmlns:r="http://schemas.openxmlformats.org/officeDocument/2006/relationships" ref="N1125" r:id="rId1128"/>
    <hyperlink xmlns:r="http://schemas.openxmlformats.org/officeDocument/2006/relationships" ref="N1126" r:id="rId1129"/>
    <hyperlink xmlns:r="http://schemas.openxmlformats.org/officeDocument/2006/relationships" ref="N1127" r:id="rId1130"/>
    <hyperlink xmlns:r="http://schemas.openxmlformats.org/officeDocument/2006/relationships" ref="N1128" r:id="rId1131"/>
    <hyperlink xmlns:r="http://schemas.openxmlformats.org/officeDocument/2006/relationships" ref="N1129" r:id="rId1132"/>
    <hyperlink xmlns:r="http://schemas.openxmlformats.org/officeDocument/2006/relationships" ref="N1130" r:id="rId1133"/>
    <hyperlink xmlns:r="http://schemas.openxmlformats.org/officeDocument/2006/relationships" ref="N1131" r:id="rId1134"/>
    <hyperlink xmlns:r="http://schemas.openxmlformats.org/officeDocument/2006/relationships" ref="N1132" r:id="rId1135"/>
    <hyperlink xmlns:r="http://schemas.openxmlformats.org/officeDocument/2006/relationships" ref="N1133" r:id="rId1136"/>
    <hyperlink xmlns:r="http://schemas.openxmlformats.org/officeDocument/2006/relationships" ref="N1134" r:id="rId1137"/>
    <hyperlink xmlns:r="http://schemas.openxmlformats.org/officeDocument/2006/relationships" ref="N1135" r:id="rId1138"/>
    <hyperlink xmlns:r="http://schemas.openxmlformats.org/officeDocument/2006/relationships" ref="N1136" r:id="rId1139"/>
    <hyperlink xmlns:r="http://schemas.openxmlformats.org/officeDocument/2006/relationships" ref="N1137" r:id="rId1140"/>
    <hyperlink xmlns:r="http://schemas.openxmlformats.org/officeDocument/2006/relationships" ref="N1138" r:id="rId1141"/>
    <hyperlink xmlns:r="http://schemas.openxmlformats.org/officeDocument/2006/relationships" ref="N1139" r:id="rId1142"/>
    <hyperlink xmlns:r="http://schemas.openxmlformats.org/officeDocument/2006/relationships" ref="N1140" r:id="rId1143"/>
    <hyperlink xmlns:r="http://schemas.openxmlformats.org/officeDocument/2006/relationships" ref="N1141" r:id="rId1144"/>
    <hyperlink xmlns:r="http://schemas.openxmlformats.org/officeDocument/2006/relationships" ref="N1142" r:id="rId1145"/>
    <hyperlink xmlns:r="http://schemas.openxmlformats.org/officeDocument/2006/relationships" ref="N1143" r:id="rId1146"/>
    <hyperlink xmlns:r="http://schemas.openxmlformats.org/officeDocument/2006/relationships" ref="N1144" r:id="rId1147"/>
    <hyperlink xmlns:r="http://schemas.openxmlformats.org/officeDocument/2006/relationships" ref="N1145" r:id="rId1148"/>
    <hyperlink xmlns:r="http://schemas.openxmlformats.org/officeDocument/2006/relationships" ref="N1146" r:id="rId1149"/>
    <hyperlink xmlns:r="http://schemas.openxmlformats.org/officeDocument/2006/relationships" ref="N1147" r:id="rId1150"/>
    <hyperlink xmlns:r="http://schemas.openxmlformats.org/officeDocument/2006/relationships" ref="N1148" r:id="rId1151"/>
    <hyperlink xmlns:r="http://schemas.openxmlformats.org/officeDocument/2006/relationships" ref="N1149" r:id="rId1152"/>
    <hyperlink xmlns:r="http://schemas.openxmlformats.org/officeDocument/2006/relationships" ref="N1150" r:id="rId1153"/>
    <hyperlink xmlns:r="http://schemas.openxmlformats.org/officeDocument/2006/relationships" ref="N1151" r:id="rId1154"/>
    <hyperlink xmlns:r="http://schemas.openxmlformats.org/officeDocument/2006/relationships" ref="N1152" r:id="rId1155"/>
    <hyperlink xmlns:r="http://schemas.openxmlformats.org/officeDocument/2006/relationships" ref="N1153" r:id="rId1156"/>
    <hyperlink xmlns:r="http://schemas.openxmlformats.org/officeDocument/2006/relationships" ref="N1154" r:id="rId1157"/>
    <hyperlink xmlns:r="http://schemas.openxmlformats.org/officeDocument/2006/relationships" ref="N1155" r:id="rId1158"/>
    <hyperlink xmlns:r="http://schemas.openxmlformats.org/officeDocument/2006/relationships" ref="N1156" r:id="rId1159"/>
    <hyperlink xmlns:r="http://schemas.openxmlformats.org/officeDocument/2006/relationships" ref="N1157" r:id="rId1160"/>
    <hyperlink xmlns:r="http://schemas.openxmlformats.org/officeDocument/2006/relationships" ref="N1158" r:id="rId1161"/>
    <hyperlink xmlns:r="http://schemas.openxmlformats.org/officeDocument/2006/relationships" ref="N1159" r:id="rId1162"/>
    <hyperlink xmlns:r="http://schemas.openxmlformats.org/officeDocument/2006/relationships" ref="N1160" r:id="rId1163"/>
    <hyperlink xmlns:r="http://schemas.openxmlformats.org/officeDocument/2006/relationships" ref="N1161" r:id="rId1164"/>
    <hyperlink xmlns:r="http://schemas.openxmlformats.org/officeDocument/2006/relationships" ref="N1162" r:id="rId1165"/>
    <hyperlink xmlns:r="http://schemas.openxmlformats.org/officeDocument/2006/relationships" ref="N1163" r:id="rId1166"/>
    <hyperlink xmlns:r="http://schemas.openxmlformats.org/officeDocument/2006/relationships" ref="N1164" r:id="rId1167"/>
    <hyperlink xmlns:r="http://schemas.openxmlformats.org/officeDocument/2006/relationships" ref="N1165" r:id="rId1168"/>
    <hyperlink xmlns:r="http://schemas.openxmlformats.org/officeDocument/2006/relationships" ref="N1166" r:id="rId1169"/>
    <hyperlink xmlns:r="http://schemas.openxmlformats.org/officeDocument/2006/relationships" ref="N1167" r:id="rId1170"/>
    <hyperlink xmlns:r="http://schemas.openxmlformats.org/officeDocument/2006/relationships" ref="N1168" r:id="rId1171"/>
    <hyperlink xmlns:r="http://schemas.openxmlformats.org/officeDocument/2006/relationships" ref="N1169" r:id="rId1172"/>
    <hyperlink xmlns:r="http://schemas.openxmlformats.org/officeDocument/2006/relationships" ref="N1170" r:id="rId1173"/>
    <hyperlink xmlns:r="http://schemas.openxmlformats.org/officeDocument/2006/relationships" ref="N1171" r:id="rId1174"/>
    <hyperlink xmlns:r="http://schemas.openxmlformats.org/officeDocument/2006/relationships" ref="N1172" r:id="rId1175"/>
    <hyperlink xmlns:r="http://schemas.openxmlformats.org/officeDocument/2006/relationships" ref="N1173" r:id="rId1176"/>
    <hyperlink xmlns:r="http://schemas.openxmlformats.org/officeDocument/2006/relationships" ref="N1174" r:id="rId1177"/>
    <hyperlink xmlns:r="http://schemas.openxmlformats.org/officeDocument/2006/relationships" ref="N1175" r:id="rId1178"/>
    <hyperlink xmlns:r="http://schemas.openxmlformats.org/officeDocument/2006/relationships" ref="N1176" r:id="rId1179"/>
    <hyperlink xmlns:r="http://schemas.openxmlformats.org/officeDocument/2006/relationships" ref="N1177" r:id="rId1180"/>
    <hyperlink xmlns:r="http://schemas.openxmlformats.org/officeDocument/2006/relationships" ref="N1178" r:id="rId1181"/>
    <hyperlink xmlns:r="http://schemas.openxmlformats.org/officeDocument/2006/relationships" ref="N1179" r:id="rId1182"/>
    <hyperlink xmlns:r="http://schemas.openxmlformats.org/officeDocument/2006/relationships" ref="N1180" r:id="rId1183"/>
    <hyperlink xmlns:r="http://schemas.openxmlformats.org/officeDocument/2006/relationships" ref="N1181" r:id="rId1184"/>
    <hyperlink xmlns:r="http://schemas.openxmlformats.org/officeDocument/2006/relationships" ref="N1182" r:id="rId1185"/>
    <hyperlink xmlns:r="http://schemas.openxmlformats.org/officeDocument/2006/relationships" ref="N1183" r:id="rId1186"/>
    <hyperlink xmlns:r="http://schemas.openxmlformats.org/officeDocument/2006/relationships" ref="N1184" r:id="rId1187"/>
    <hyperlink xmlns:r="http://schemas.openxmlformats.org/officeDocument/2006/relationships" ref="N1185" r:id="rId1188"/>
    <hyperlink xmlns:r="http://schemas.openxmlformats.org/officeDocument/2006/relationships" ref="N1186" r:id="rId1189"/>
    <hyperlink xmlns:r="http://schemas.openxmlformats.org/officeDocument/2006/relationships" ref="N1187" r:id="rId1190"/>
    <hyperlink xmlns:r="http://schemas.openxmlformats.org/officeDocument/2006/relationships" ref="N1188" r:id="rId1191"/>
    <hyperlink xmlns:r="http://schemas.openxmlformats.org/officeDocument/2006/relationships" ref="N1189" r:id="rId1192"/>
    <hyperlink xmlns:r="http://schemas.openxmlformats.org/officeDocument/2006/relationships" ref="N1190" r:id="rId1193"/>
    <hyperlink xmlns:r="http://schemas.openxmlformats.org/officeDocument/2006/relationships" ref="N1191" r:id="rId1194"/>
    <hyperlink xmlns:r="http://schemas.openxmlformats.org/officeDocument/2006/relationships" ref="N1192" r:id="rId1195"/>
    <hyperlink xmlns:r="http://schemas.openxmlformats.org/officeDocument/2006/relationships" ref="N1193" r:id="rId1196"/>
    <hyperlink xmlns:r="http://schemas.openxmlformats.org/officeDocument/2006/relationships" ref="N1194" r:id="rId1197"/>
    <hyperlink xmlns:r="http://schemas.openxmlformats.org/officeDocument/2006/relationships" ref="N1195" r:id="rId1198"/>
    <hyperlink xmlns:r="http://schemas.openxmlformats.org/officeDocument/2006/relationships" ref="N1196" r:id="rId1199"/>
    <hyperlink xmlns:r="http://schemas.openxmlformats.org/officeDocument/2006/relationships" ref="N1197" r:id="rId1200"/>
    <hyperlink xmlns:r="http://schemas.openxmlformats.org/officeDocument/2006/relationships" ref="N1198" r:id="rId1201"/>
    <hyperlink xmlns:r="http://schemas.openxmlformats.org/officeDocument/2006/relationships" ref="N1199" r:id="rId1202"/>
    <hyperlink xmlns:r="http://schemas.openxmlformats.org/officeDocument/2006/relationships" ref="N1200" r:id="rId1203"/>
    <hyperlink xmlns:r="http://schemas.openxmlformats.org/officeDocument/2006/relationships" ref="N1201" r:id="rId1204"/>
    <hyperlink xmlns:r="http://schemas.openxmlformats.org/officeDocument/2006/relationships" ref="N1202" r:id="rId1205"/>
    <hyperlink xmlns:r="http://schemas.openxmlformats.org/officeDocument/2006/relationships" ref="N1203" r:id="rId1206"/>
    <hyperlink xmlns:r="http://schemas.openxmlformats.org/officeDocument/2006/relationships" ref="N1204" r:id="rId1207"/>
    <hyperlink xmlns:r="http://schemas.openxmlformats.org/officeDocument/2006/relationships" ref="N1205" r:id="rId1208"/>
    <hyperlink xmlns:r="http://schemas.openxmlformats.org/officeDocument/2006/relationships" ref="N1206" r:id="rId1209"/>
    <hyperlink xmlns:r="http://schemas.openxmlformats.org/officeDocument/2006/relationships" ref="N1207" r:id="rId1210"/>
    <hyperlink xmlns:r="http://schemas.openxmlformats.org/officeDocument/2006/relationships" ref="N1208" r:id="rId1211"/>
    <hyperlink xmlns:r="http://schemas.openxmlformats.org/officeDocument/2006/relationships" ref="N1209" r:id="rId1212"/>
    <hyperlink xmlns:r="http://schemas.openxmlformats.org/officeDocument/2006/relationships" ref="N1210" r:id="rId1213"/>
    <hyperlink xmlns:r="http://schemas.openxmlformats.org/officeDocument/2006/relationships" ref="N1211" r:id="rId1214"/>
    <hyperlink xmlns:r="http://schemas.openxmlformats.org/officeDocument/2006/relationships" ref="N1212" r:id="rId1215"/>
    <hyperlink xmlns:r="http://schemas.openxmlformats.org/officeDocument/2006/relationships" ref="N1213" r:id="rId1216"/>
    <hyperlink xmlns:r="http://schemas.openxmlformats.org/officeDocument/2006/relationships" ref="N1214" r:id="rId1217"/>
    <hyperlink xmlns:r="http://schemas.openxmlformats.org/officeDocument/2006/relationships" ref="N1215" r:id="rId1218"/>
    <hyperlink xmlns:r="http://schemas.openxmlformats.org/officeDocument/2006/relationships" ref="N1216" r:id="rId1219"/>
    <hyperlink xmlns:r="http://schemas.openxmlformats.org/officeDocument/2006/relationships" ref="N1217" r:id="rId1220"/>
    <hyperlink xmlns:r="http://schemas.openxmlformats.org/officeDocument/2006/relationships" ref="N1218" r:id="rId1221"/>
    <hyperlink xmlns:r="http://schemas.openxmlformats.org/officeDocument/2006/relationships" ref="N1219" r:id="rId1222"/>
    <hyperlink xmlns:r="http://schemas.openxmlformats.org/officeDocument/2006/relationships" ref="N1220" r:id="rId1223"/>
    <hyperlink xmlns:r="http://schemas.openxmlformats.org/officeDocument/2006/relationships" ref="N1221" r:id="rId1224"/>
    <hyperlink xmlns:r="http://schemas.openxmlformats.org/officeDocument/2006/relationships" ref="N1222" r:id="rId1225"/>
    <hyperlink xmlns:r="http://schemas.openxmlformats.org/officeDocument/2006/relationships" ref="N1223" r:id="rId1226"/>
    <hyperlink xmlns:r="http://schemas.openxmlformats.org/officeDocument/2006/relationships" ref="N1224" r:id="rId1227"/>
    <hyperlink xmlns:r="http://schemas.openxmlformats.org/officeDocument/2006/relationships" ref="N1225" r:id="rId1228"/>
    <hyperlink xmlns:r="http://schemas.openxmlformats.org/officeDocument/2006/relationships" ref="N1226" r:id="rId1229"/>
    <hyperlink xmlns:r="http://schemas.openxmlformats.org/officeDocument/2006/relationships" ref="N1227" r:id="rId1230"/>
    <hyperlink xmlns:r="http://schemas.openxmlformats.org/officeDocument/2006/relationships" ref="N1228" r:id="rId1231"/>
    <hyperlink xmlns:r="http://schemas.openxmlformats.org/officeDocument/2006/relationships" ref="N1229" r:id="rId1232"/>
    <hyperlink xmlns:r="http://schemas.openxmlformats.org/officeDocument/2006/relationships" ref="N1230" r:id="rId1233"/>
    <hyperlink xmlns:r="http://schemas.openxmlformats.org/officeDocument/2006/relationships" ref="N1231" r:id="rId1234"/>
    <hyperlink xmlns:r="http://schemas.openxmlformats.org/officeDocument/2006/relationships" ref="N1232" r:id="rId1235"/>
    <hyperlink xmlns:r="http://schemas.openxmlformats.org/officeDocument/2006/relationships" ref="N1233" r:id="rId1236"/>
    <hyperlink xmlns:r="http://schemas.openxmlformats.org/officeDocument/2006/relationships" ref="N1234" r:id="rId1237"/>
    <hyperlink xmlns:r="http://schemas.openxmlformats.org/officeDocument/2006/relationships" ref="N1235" r:id="rId1238"/>
    <hyperlink xmlns:r="http://schemas.openxmlformats.org/officeDocument/2006/relationships" ref="N1236" r:id="rId1239"/>
    <hyperlink xmlns:r="http://schemas.openxmlformats.org/officeDocument/2006/relationships" ref="N1237" r:id="rId1240"/>
    <hyperlink xmlns:r="http://schemas.openxmlformats.org/officeDocument/2006/relationships" ref="N1238" r:id="rId1241"/>
    <hyperlink xmlns:r="http://schemas.openxmlformats.org/officeDocument/2006/relationships" ref="N1239" r:id="rId1242"/>
    <hyperlink xmlns:r="http://schemas.openxmlformats.org/officeDocument/2006/relationships" ref="N1240" r:id="rId1243"/>
    <hyperlink xmlns:r="http://schemas.openxmlformats.org/officeDocument/2006/relationships" ref="N1241" r:id="rId1244"/>
    <hyperlink xmlns:r="http://schemas.openxmlformats.org/officeDocument/2006/relationships" ref="N1242" r:id="rId1245"/>
    <hyperlink xmlns:r="http://schemas.openxmlformats.org/officeDocument/2006/relationships" ref="N1243" r:id="rId1246"/>
    <hyperlink xmlns:r="http://schemas.openxmlformats.org/officeDocument/2006/relationships" ref="N1244" r:id="rId1247"/>
    <hyperlink xmlns:r="http://schemas.openxmlformats.org/officeDocument/2006/relationships" ref="N1245" r:id="rId1248"/>
    <hyperlink xmlns:r="http://schemas.openxmlformats.org/officeDocument/2006/relationships" ref="N1246" r:id="rId1249"/>
    <hyperlink xmlns:r="http://schemas.openxmlformats.org/officeDocument/2006/relationships" ref="N1247" r:id="rId1250"/>
    <hyperlink xmlns:r="http://schemas.openxmlformats.org/officeDocument/2006/relationships" ref="N1248" r:id="rId1251"/>
    <hyperlink xmlns:r="http://schemas.openxmlformats.org/officeDocument/2006/relationships" ref="N1249" r:id="rId1252"/>
    <hyperlink xmlns:r="http://schemas.openxmlformats.org/officeDocument/2006/relationships" ref="N1250" r:id="rId1253"/>
    <hyperlink xmlns:r="http://schemas.openxmlformats.org/officeDocument/2006/relationships" ref="N1251" r:id="rId1254"/>
    <hyperlink xmlns:r="http://schemas.openxmlformats.org/officeDocument/2006/relationships" ref="N1252" r:id="rId1255"/>
    <hyperlink xmlns:r="http://schemas.openxmlformats.org/officeDocument/2006/relationships" ref="N1253" r:id="rId1256"/>
    <hyperlink xmlns:r="http://schemas.openxmlformats.org/officeDocument/2006/relationships" ref="N1254" r:id="rId1257"/>
    <hyperlink xmlns:r="http://schemas.openxmlformats.org/officeDocument/2006/relationships" ref="N1255" r:id="rId1258"/>
    <hyperlink xmlns:r="http://schemas.openxmlformats.org/officeDocument/2006/relationships" ref="N1256" r:id="rId1259"/>
    <hyperlink xmlns:r="http://schemas.openxmlformats.org/officeDocument/2006/relationships" ref="N1257" r:id="rId1260"/>
    <hyperlink xmlns:r="http://schemas.openxmlformats.org/officeDocument/2006/relationships" ref="N1258" r:id="rId1261"/>
    <hyperlink xmlns:r="http://schemas.openxmlformats.org/officeDocument/2006/relationships" ref="N1259" r:id="rId1262"/>
    <hyperlink xmlns:r="http://schemas.openxmlformats.org/officeDocument/2006/relationships" ref="N1260" r:id="rId1263"/>
    <hyperlink xmlns:r="http://schemas.openxmlformats.org/officeDocument/2006/relationships" ref="N1261" r:id="rId1264"/>
    <hyperlink xmlns:r="http://schemas.openxmlformats.org/officeDocument/2006/relationships" ref="N1262" r:id="rId1265"/>
    <hyperlink xmlns:r="http://schemas.openxmlformats.org/officeDocument/2006/relationships" ref="N1263" r:id="rId1266"/>
    <hyperlink xmlns:r="http://schemas.openxmlformats.org/officeDocument/2006/relationships" ref="N1264" r:id="rId1267"/>
    <hyperlink xmlns:r="http://schemas.openxmlformats.org/officeDocument/2006/relationships" ref="N1265" r:id="rId1268"/>
    <hyperlink xmlns:r="http://schemas.openxmlformats.org/officeDocument/2006/relationships" ref="N1266" r:id="rId1269"/>
    <hyperlink xmlns:r="http://schemas.openxmlformats.org/officeDocument/2006/relationships" ref="N1267" r:id="rId1270"/>
    <hyperlink xmlns:r="http://schemas.openxmlformats.org/officeDocument/2006/relationships" ref="N1268" r:id="rId1271"/>
    <hyperlink xmlns:r="http://schemas.openxmlformats.org/officeDocument/2006/relationships" ref="N1269" r:id="rId1272"/>
    <hyperlink xmlns:r="http://schemas.openxmlformats.org/officeDocument/2006/relationships" ref="N1270" r:id="rId1273"/>
    <hyperlink xmlns:r="http://schemas.openxmlformats.org/officeDocument/2006/relationships" ref="N1271" r:id="rId1274"/>
    <hyperlink xmlns:r="http://schemas.openxmlformats.org/officeDocument/2006/relationships" ref="N1272" r:id="rId1275"/>
    <hyperlink xmlns:r="http://schemas.openxmlformats.org/officeDocument/2006/relationships" ref="N1273" r:id="rId1276"/>
    <hyperlink xmlns:r="http://schemas.openxmlformats.org/officeDocument/2006/relationships" ref="N1274" r:id="rId1277"/>
    <hyperlink xmlns:r="http://schemas.openxmlformats.org/officeDocument/2006/relationships" ref="N1275" r:id="rId1278"/>
    <hyperlink xmlns:r="http://schemas.openxmlformats.org/officeDocument/2006/relationships" ref="N1276" r:id="rId1279"/>
    <hyperlink xmlns:r="http://schemas.openxmlformats.org/officeDocument/2006/relationships" ref="N1277" r:id="rId1280"/>
    <hyperlink xmlns:r="http://schemas.openxmlformats.org/officeDocument/2006/relationships" ref="N1278" r:id="rId1281"/>
    <hyperlink xmlns:r="http://schemas.openxmlformats.org/officeDocument/2006/relationships" ref="N1279" r:id="rId1282"/>
    <hyperlink xmlns:r="http://schemas.openxmlformats.org/officeDocument/2006/relationships" ref="N1280" r:id="rId1283"/>
    <hyperlink xmlns:r="http://schemas.openxmlformats.org/officeDocument/2006/relationships" ref="N1281" r:id="rId1284"/>
    <hyperlink xmlns:r="http://schemas.openxmlformats.org/officeDocument/2006/relationships" ref="N1282" r:id="rId1285"/>
    <hyperlink xmlns:r="http://schemas.openxmlformats.org/officeDocument/2006/relationships" ref="N1283" r:id="rId1286"/>
    <hyperlink xmlns:r="http://schemas.openxmlformats.org/officeDocument/2006/relationships" ref="N1284" r:id="rId1287"/>
    <hyperlink xmlns:r="http://schemas.openxmlformats.org/officeDocument/2006/relationships" ref="N1285" r:id="rId1288"/>
    <hyperlink xmlns:r="http://schemas.openxmlformats.org/officeDocument/2006/relationships" ref="N1286" r:id="rId1289"/>
    <hyperlink xmlns:r="http://schemas.openxmlformats.org/officeDocument/2006/relationships" ref="N1287" r:id="rId1290"/>
    <hyperlink xmlns:r="http://schemas.openxmlformats.org/officeDocument/2006/relationships" ref="N1288" r:id="rId1291"/>
    <hyperlink xmlns:r="http://schemas.openxmlformats.org/officeDocument/2006/relationships" ref="N1289" r:id="rId1292"/>
    <hyperlink xmlns:r="http://schemas.openxmlformats.org/officeDocument/2006/relationships" ref="N1290" r:id="rId1293"/>
    <hyperlink xmlns:r="http://schemas.openxmlformats.org/officeDocument/2006/relationships" ref="N1291" r:id="rId1294"/>
    <hyperlink xmlns:r="http://schemas.openxmlformats.org/officeDocument/2006/relationships" ref="N1292" r:id="rId1295"/>
    <hyperlink xmlns:r="http://schemas.openxmlformats.org/officeDocument/2006/relationships" ref="N1293" r:id="rId1296"/>
    <hyperlink xmlns:r="http://schemas.openxmlformats.org/officeDocument/2006/relationships" ref="N1294" r:id="rId1297"/>
    <hyperlink xmlns:r="http://schemas.openxmlformats.org/officeDocument/2006/relationships" ref="N1295" r:id="rId1298"/>
    <hyperlink xmlns:r="http://schemas.openxmlformats.org/officeDocument/2006/relationships" ref="N1296" r:id="rId1299"/>
    <hyperlink xmlns:r="http://schemas.openxmlformats.org/officeDocument/2006/relationships" ref="N1297" r:id="rId1300"/>
    <hyperlink xmlns:r="http://schemas.openxmlformats.org/officeDocument/2006/relationships" ref="N1298" r:id="rId1301"/>
    <hyperlink xmlns:r="http://schemas.openxmlformats.org/officeDocument/2006/relationships" ref="N1299" r:id="rId1302"/>
    <hyperlink xmlns:r="http://schemas.openxmlformats.org/officeDocument/2006/relationships" ref="N1300" r:id="rId1303"/>
    <hyperlink xmlns:r="http://schemas.openxmlformats.org/officeDocument/2006/relationships" ref="N1301" r:id="rId1304"/>
    <hyperlink xmlns:r="http://schemas.openxmlformats.org/officeDocument/2006/relationships" ref="N1302" r:id="rId1305"/>
    <hyperlink xmlns:r="http://schemas.openxmlformats.org/officeDocument/2006/relationships" ref="N1303" r:id="rId1306"/>
    <hyperlink xmlns:r="http://schemas.openxmlformats.org/officeDocument/2006/relationships" ref="N1304" r:id="rId1307"/>
    <hyperlink xmlns:r="http://schemas.openxmlformats.org/officeDocument/2006/relationships" ref="N1305" r:id="rId1308"/>
    <hyperlink xmlns:r="http://schemas.openxmlformats.org/officeDocument/2006/relationships" ref="N1306" r:id="rId1309"/>
    <hyperlink xmlns:r="http://schemas.openxmlformats.org/officeDocument/2006/relationships" ref="N1307" r:id="rId1310"/>
    <hyperlink xmlns:r="http://schemas.openxmlformats.org/officeDocument/2006/relationships" ref="N1308" r:id="rId1311"/>
    <hyperlink xmlns:r="http://schemas.openxmlformats.org/officeDocument/2006/relationships" ref="N1309" r:id="rId1312"/>
    <hyperlink xmlns:r="http://schemas.openxmlformats.org/officeDocument/2006/relationships" ref="N1310" r:id="rId1313"/>
    <hyperlink xmlns:r="http://schemas.openxmlformats.org/officeDocument/2006/relationships" ref="N1311" r:id="rId1314"/>
    <hyperlink xmlns:r="http://schemas.openxmlformats.org/officeDocument/2006/relationships" ref="N1312" r:id="rId1315"/>
    <hyperlink xmlns:r="http://schemas.openxmlformats.org/officeDocument/2006/relationships" ref="N1313" r:id="rId1316"/>
    <hyperlink xmlns:r="http://schemas.openxmlformats.org/officeDocument/2006/relationships" ref="N1314" r:id="rId1317"/>
    <hyperlink xmlns:r="http://schemas.openxmlformats.org/officeDocument/2006/relationships" ref="N1315" r:id="rId1318"/>
    <hyperlink xmlns:r="http://schemas.openxmlformats.org/officeDocument/2006/relationships" ref="N1316" r:id="rId1319"/>
    <hyperlink xmlns:r="http://schemas.openxmlformats.org/officeDocument/2006/relationships" ref="N1317" r:id="rId1320"/>
    <hyperlink xmlns:r="http://schemas.openxmlformats.org/officeDocument/2006/relationships" ref="N1318" r:id="rId1321"/>
    <hyperlink xmlns:r="http://schemas.openxmlformats.org/officeDocument/2006/relationships" ref="N1319" r:id="rId1322"/>
    <hyperlink xmlns:r="http://schemas.openxmlformats.org/officeDocument/2006/relationships" ref="N1320" r:id="rId1323"/>
    <hyperlink xmlns:r="http://schemas.openxmlformats.org/officeDocument/2006/relationships" ref="N1321" r:id="rId1324"/>
    <hyperlink xmlns:r="http://schemas.openxmlformats.org/officeDocument/2006/relationships" ref="N1322" r:id="rId1325"/>
    <hyperlink xmlns:r="http://schemas.openxmlformats.org/officeDocument/2006/relationships" ref="N1323" r:id="rId1326"/>
    <hyperlink xmlns:r="http://schemas.openxmlformats.org/officeDocument/2006/relationships" ref="N1324" r:id="rId1327"/>
    <hyperlink xmlns:r="http://schemas.openxmlformats.org/officeDocument/2006/relationships" ref="N1325" r:id="rId1328"/>
    <hyperlink xmlns:r="http://schemas.openxmlformats.org/officeDocument/2006/relationships" ref="N1326" r:id="rId1329"/>
    <hyperlink xmlns:r="http://schemas.openxmlformats.org/officeDocument/2006/relationships" ref="N1327" r:id="rId1330"/>
    <hyperlink xmlns:r="http://schemas.openxmlformats.org/officeDocument/2006/relationships" ref="N1328" r:id="rId1331"/>
    <hyperlink xmlns:r="http://schemas.openxmlformats.org/officeDocument/2006/relationships" ref="N1329" r:id="rId1332"/>
    <hyperlink xmlns:r="http://schemas.openxmlformats.org/officeDocument/2006/relationships" ref="N1330" r:id="rId1333"/>
    <hyperlink xmlns:r="http://schemas.openxmlformats.org/officeDocument/2006/relationships" ref="N1331" r:id="rId1334"/>
    <hyperlink xmlns:r="http://schemas.openxmlformats.org/officeDocument/2006/relationships" ref="N1332" r:id="rId1335"/>
    <hyperlink xmlns:r="http://schemas.openxmlformats.org/officeDocument/2006/relationships" ref="N1333" r:id="rId1336"/>
    <hyperlink xmlns:r="http://schemas.openxmlformats.org/officeDocument/2006/relationships" ref="N1334" r:id="rId1337"/>
    <hyperlink xmlns:r="http://schemas.openxmlformats.org/officeDocument/2006/relationships" ref="N1335" r:id="rId1338"/>
    <hyperlink xmlns:r="http://schemas.openxmlformats.org/officeDocument/2006/relationships" ref="N1336" r:id="rId1339"/>
    <hyperlink xmlns:r="http://schemas.openxmlformats.org/officeDocument/2006/relationships" ref="N1337" r:id="rId1340"/>
    <hyperlink xmlns:r="http://schemas.openxmlformats.org/officeDocument/2006/relationships" ref="N1338" r:id="rId1341"/>
    <hyperlink xmlns:r="http://schemas.openxmlformats.org/officeDocument/2006/relationships" ref="N1339" r:id="rId1342"/>
    <hyperlink xmlns:r="http://schemas.openxmlformats.org/officeDocument/2006/relationships" ref="N1340" r:id="rId1343"/>
    <hyperlink xmlns:r="http://schemas.openxmlformats.org/officeDocument/2006/relationships" ref="N1341" r:id="rId1344"/>
    <hyperlink xmlns:r="http://schemas.openxmlformats.org/officeDocument/2006/relationships" ref="N1342" r:id="rId1345"/>
    <hyperlink xmlns:r="http://schemas.openxmlformats.org/officeDocument/2006/relationships" ref="N1343" r:id="rId1346"/>
    <hyperlink xmlns:r="http://schemas.openxmlformats.org/officeDocument/2006/relationships" ref="N1344" r:id="rId1347"/>
    <hyperlink xmlns:r="http://schemas.openxmlformats.org/officeDocument/2006/relationships" ref="N1345" r:id="rId1348"/>
    <hyperlink xmlns:r="http://schemas.openxmlformats.org/officeDocument/2006/relationships" ref="N1346" r:id="rId1349"/>
    <hyperlink xmlns:r="http://schemas.openxmlformats.org/officeDocument/2006/relationships" ref="N1347" r:id="rId1350"/>
    <hyperlink xmlns:r="http://schemas.openxmlformats.org/officeDocument/2006/relationships" ref="N1348" r:id="rId1351"/>
    <hyperlink xmlns:r="http://schemas.openxmlformats.org/officeDocument/2006/relationships" ref="N1349" r:id="rId1352"/>
    <hyperlink xmlns:r="http://schemas.openxmlformats.org/officeDocument/2006/relationships" ref="N1350" r:id="rId1353"/>
    <hyperlink xmlns:r="http://schemas.openxmlformats.org/officeDocument/2006/relationships" ref="N1351" r:id="rId1354"/>
    <hyperlink xmlns:r="http://schemas.openxmlformats.org/officeDocument/2006/relationships" ref="N1352" r:id="rId1355"/>
    <hyperlink xmlns:r="http://schemas.openxmlformats.org/officeDocument/2006/relationships" ref="N1353" r:id="rId1356"/>
    <hyperlink xmlns:r="http://schemas.openxmlformats.org/officeDocument/2006/relationships" ref="N1354" r:id="rId1357"/>
    <hyperlink xmlns:r="http://schemas.openxmlformats.org/officeDocument/2006/relationships" ref="N1355" r:id="rId1358"/>
    <hyperlink xmlns:r="http://schemas.openxmlformats.org/officeDocument/2006/relationships" ref="N1356" r:id="rId1359"/>
    <hyperlink xmlns:r="http://schemas.openxmlformats.org/officeDocument/2006/relationships" ref="N1357" r:id="rId1360"/>
    <hyperlink xmlns:r="http://schemas.openxmlformats.org/officeDocument/2006/relationships" ref="N1358" r:id="rId1361"/>
    <hyperlink xmlns:r="http://schemas.openxmlformats.org/officeDocument/2006/relationships" ref="N1359" r:id="rId1362"/>
    <hyperlink xmlns:r="http://schemas.openxmlformats.org/officeDocument/2006/relationships" ref="N1360" r:id="rId1363"/>
    <hyperlink xmlns:r="http://schemas.openxmlformats.org/officeDocument/2006/relationships" ref="N1361" r:id="rId1364"/>
    <hyperlink xmlns:r="http://schemas.openxmlformats.org/officeDocument/2006/relationships" ref="N1362" r:id="rId1365"/>
    <hyperlink xmlns:r="http://schemas.openxmlformats.org/officeDocument/2006/relationships" ref="N1363" r:id="rId1366"/>
    <hyperlink xmlns:r="http://schemas.openxmlformats.org/officeDocument/2006/relationships" ref="N1364" r:id="rId1367"/>
    <hyperlink xmlns:r="http://schemas.openxmlformats.org/officeDocument/2006/relationships" ref="N1365" r:id="rId1368"/>
    <hyperlink xmlns:r="http://schemas.openxmlformats.org/officeDocument/2006/relationships" ref="N1366" r:id="rId1369"/>
    <hyperlink xmlns:r="http://schemas.openxmlformats.org/officeDocument/2006/relationships" ref="N1367" r:id="rId1370"/>
    <hyperlink xmlns:r="http://schemas.openxmlformats.org/officeDocument/2006/relationships" ref="N1368" r:id="rId1371"/>
    <hyperlink xmlns:r="http://schemas.openxmlformats.org/officeDocument/2006/relationships" ref="N1369" r:id="rId1372"/>
    <hyperlink xmlns:r="http://schemas.openxmlformats.org/officeDocument/2006/relationships" ref="N1370" r:id="rId1373"/>
    <hyperlink xmlns:r="http://schemas.openxmlformats.org/officeDocument/2006/relationships" ref="N1371" r:id="rId1374"/>
    <hyperlink xmlns:r="http://schemas.openxmlformats.org/officeDocument/2006/relationships" ref="N1372" r:id="rId1375"/>
    <hyperlink xmlns:r="http://schemas.openxmlformats.org/officeDocument/2006/relationships" ref="N1373" r:id="rId1376"/>
    <hyperlink xmlns:r="http://schemas.openxmlformats.org/officeDocument/2006/relationships" ref="N1374" r:id="rId1377"/>
    <hyperlink xmlns:r="http://schemas.openxmlformats.org/officeDocument/2006/relationships" ref="N1375" r:id="rId1378"/>
    <hyperlink xmlns:r="http://schemas.openxmlformats.org/officeDocument/2006/relationships" ref="N1376" r:id="rId1379"/>
    <hyperlink xmlns:r="http://schemas.openxmlformats.org/officeDocument/2006/relationships" ref="N1377" r:id="rId1380"/>
    <hyperlink xmlns:r="http://schemas.openxmlformats.org/officeDocument/2006/relationships" ref="N1378" r:id="rId1381"/>
    <hyperlink xmlns:r="http://schemas.openxmlformats.org/officeDocument/2006/relationships" ref="N1379" r:id="rId1382"/>
    <hyperlink xmlns:r="http://schemas.openxmlformats.org/officeDocument/2006/relationships" ref="N1380" r:id="rId1383"/>
    <hyperlink xmlns:r="http://schemas.openxmlformats.org/officeDocument/2006/relationships" ref="N1381" r:id="rId1384"/>
    <hyperlink xmlns:r="http://schemas.openxmlformats.org/officeDocument/2006/relationships" ref="N1382" r:id="rId1385"/>
    <hyperlink xmlns:r="http://schemas.openxmlformats.org/officeDocument/2006/relationships" ref="N1383" r:id="rId1386"/>
    <hyperlink xmlns:r="http://schemas.openxmlformats.org/officeDocument/2006/relationships" ref="N1384" r:id="rId1387"/>
    <hyperlink xmlns:r="http://schemas.openxmlformats.org/officeDocument/2006/relationships" ref="N1385" r:id="rId1388"/>
    <hyperlink xmlns:r="http://schemas.openxmlformats.org/officeDocument/2006/relationships" ref="N1386" r:id="rId1389"/>
    <hyperlink xmlns:r="http://schemas.openxmlformats.org/officeDocument/2006/relationships" ref="N1387" r:id="rId1390"/>
    <hyperlink xmlns:r="http://schemas.openxmlformats.org/officeDocument/2006/relationships" ref="N1388" r:id="rId1391"/>
    <hyperlink xmlns:r="http://schemas.openxmlformats.org/officeDocument/2006/relationships" ref="N1389" r:id="rId1392"/>
    <hyperlink xmlns:r="http://schemas.openxmlformats.org/officeDocument/2006/relationships" ref="N1390" r:id="rId1393"/>
    <hyperlink xmlns:r="http://schemas.openxmlformats.org/officeDocument/2006/relationships" ref="N1391" r:id="rId1394"/>
    <hyperlink xmlns:r="http://schemas.openxmlformats.org/officeDocument/2006/relationships" ref="N1392" r:id="rId1395"/>
    <hyperlink xmlns:r="http://schemas.openxmlformats.org/officeDocument/2006/relationships" ref="N1393" r:id="rId1396"/>
    <hyperlink xmlns:r="http://schemas.openxmlformats.org/officeDocument/2006/relationships" ref="N1394" r:id="rId1397"/>
    <hyperlink xmlns:r="http://schemas.openxmlformats.org/officeDocument/2006/relationships" ref="N1395" r:id="rId1398"/>
    <hyperlink xmlns:r="http://schemas.openxmlformats.org/officeDocument/2006/relationships" ref="N1396" r:id="rId1399"/>
    <hyperlink xmlns:r="http://schemas.openxmlformats.org/officeDocument/2006/relationships" ref="N1397" r:id="rId1400"/>
    <hyperlink xmlns:r="http://schemas.openxmlformats.org/officeDocument/2006/relationships" ref="N1398" r:id="rId1401"/>
    <hyperlink xmlns:r="http://schemas.openxmlformats.org/officeDocument/2006/relationships" ref="N1399" r:id="rId1402"/>
    <hyperlink xmlns:r="http://schemas.openxmlformats.org/officeDocument/2006/relationships" ref="N1400" r:id="rId1403"/>
    <hyperlink xmlns:r="http://schemas.openxmlformats.org/officeDocument/2006/relationships" ref="N1401" r:id="rId1404"/>
    <hyperlink xmlns:r="http://schemas.openxmlformats.org/officeDocument/2006/relationships" ref="N1402" r:id="rId1405"/>
    <hyperlink xmlns:r="http://schemas.openxmlformats.org/officeDocument/2006/relationships" ref="N1403" r:id="rId1406"/>
    <hyperlink xmlns:r="http://schemas.openxmlformats.org/officeDocument/2006/relationships" ref="N1404" r:id="rId1407"/>
    <hyperlink xmlns:r="http://schemas.openxmlformats.org/officeDocument/2006/relationships" ref="N1405" r:id="rId1408"/>
    <hyperlink xmlns:r="http://schemas.openxmlformats.org/officeDocument/2006/relationships" ref="N1406" r:id="rId1409"/>
    <hyperlink xmlns:r="http://schemas.openxmlformats.org/officeDocument/2006/relationships" ref="N1407" r:id="rId1410"/>
    <hyperlink xmlns:r="http://schemas.openxmlformats.org/officeDocument/2006/relationships" ref="N1408" r:id="rId1411"/>
    <hyperlink xmlns:r="http://schemas.openxmlformats.org/officeDocument/2006/relationships" ref="N1409" r:id="rId1412"/>
    <hyperlink xmlns:r="http://schemas.openxmlformats.org/officeDocument/2006/relationships" ref="N1410" r:id="rId1413"/>
    <hyperlink xmlns:r="http://schemas.openxmlformats.org/officeDocument/2006/relationships" ref="N1411" r:id="rId1414"/>
    <hyperlink xmlns:r="http://schemas.openxmlformats.org/officeDocument/2006/relationships" ref="N1412" r:id="rId1415"/>
    <hyperlink xmlns:r="http://schemas.openxmlformats.org/officeDocument/2006/relationships" ref="N1413" r:id="rId1416"/>
    <hyperlink xmlns:r="http://schemas.openxmlformats.org/officeDocument/2006/relationships" ref="N1414" r:id="rId1417"/>
    <hyperlink xmlns:r="http://schemas.openxmlformats.org/officeDocument/2006/relationships" ref="N1415" r:id="rId1418"/>
    <hyperlink xmlns:r="http://schemas.openxmlformats.org/officeDocument/2006/relationships" ref="N1416" r:id="rId1419"/>
    <hyperlink xmlns:r="http://schemas.openxmlformats.org/officeDocument/2006/relationships" ref="N1417" r:id="rId1420"/>
    <hyperlink xmlns:r="http://schemas.openxmlformats.org/officeDocument/2006/relationships" ref="N1418" r:id="rId1421"/>
    <hyperlink xmlns:r="http://schemas.openxmlformats.org/officeDocument/2006/relationships" ref="N1419" r:id="rId1422"/>
    <hyperlink xmlns:r="http://schemas.openxmlformats.org/officeDocument/2006/relationships" ref="N1420" r:id="rId1423"/>
    <hyperlink xmlns:r="http://schemas.openxmlformats.org/officeDocument/2006/relationships" ref="N1421" r:id="rId1424"/>
    <hyperlink xmlns:r="http://schemas.openxmlformats.org/officeDocument/2006/relationships" ref="N1422" r:id="rId1425"/>
    <hyperlink xmlns:r="http://schemas.openxmlformats.org/officeDocument/2006/relationships" ref="N1423" r:id="rId1426"/>
    <hyperlink xmlns:r="http://schemas.openxmlformats.org/officeDocument/2006/relationships" ref="N1424" r:id="rId1427"/>
    <hyperlink xmlns:r="http://schemas.openxmlformats.org/officeDocument/2006/relationships" ref="N1425" r:id="rId1428"/>
    <hyperlink xmlns:r="http://schemas.openxmlformats.org/officeDocument/2006/relationships" ref="N1426" r:id="rId1429"/>
    <hyperlink xmlns:r="http://schemas.openxmlformats.org/officeDocument/2006/relationships" ref="N1427" r:id="rId1430"/>
    <hyperlink xmlns:r="http://schemas.openxmlformats.org/officeDocument/2006/relationships" ref="N1428" r:id="rId1431"/>
    <hyperlink xmlns:r="http://schemas.openxmlformats.org/officeDocument/2006/relationships" ref="N1429" r:id="rId1432"/>
    <hyperlink xmlns:r="http://schemas.openxmlformats.org/officeDocument/2006/relationships" ref="N1430" r:id="rId1433"/>
    <hyperlink xmlns:r="http://schemas.openxmlformats.org/officeDocument/2006/relationships" ref="N1431" r:id="rId1434"/>
    <hyperlink xmlns:r="http://schemas.openxmlformats.org/officeDocument/2006/relationships" ref="N1432" r:id="rId1435"/>
    <hyperlink xmlns:r="http://schemas.openxmlformats.org/officeDocument/2006/relationships" ref="N1433" r:id="rId1436"/>
    <hyperlink xmlns:r="http://schemas.openxmlformats.org/officeDocument/2006/relationships" ref="N1434" r:id="rId1437"/>
    <hyperlink xmlns:r="http://schemas.openxmlformats.org/officeDocument/2006/relationships" ref="N1435" r:id="rId1438"/>
    <hyperlink xmlns:r="http://schemas.openxmlformats.org/officeDocument/2006/relationships" ref="N1436" r:id="rId1439"/>
    <hyperlink xmlns:r="http://schemas.openxmlformats.org/officeDocument/2006/relationships" ref="N1437" r:id="rId1440"/>
    <hyperlink xmlns:r="http://schemas.openxmlformats.org/officeDocument/2006/relationships" ref="N1438" r:id="rId1441"/>
    <hyperlink xmlns:r="http://schemas.openxmlformats.org/officeDocument/2006/relationships" ref="N1439" r:id="rId1442"/>
    <hyperlink xmlns:r="http://schemas.openxmlformats.org/officeDocument/2006/relationships" ref="N1440" r:id="rId1443"/>
    <hyperlink xmlns:r="http://schemas.openxmlformats.org/officeDocument/2006/relationships" ref="N1441" r:id="rId1444"/>
    <hyperlink xmlns:r="http://schemas.openxmlformats.org/officeDocument/2006/relationships" ref="N1442" r:id="rId1445"/>
    <hyperlink xmlns:r="http://schemas.openxmlformats.org/officeDocument/2006/relationships" ref="N1443" r:id="rId1446"/>
    <hyperlink xmlns:r="http://schemas.openxmlformats.org/officeDocument/2006/relationships" ref="N1444" r:id="rId1447"/>
    <hyperlink xmlns:r="http://schemas.openxmlformats.org/officeDocument/2006/relationships" ref="N1445" r:id="rId1448"/>
    <hyperlink xmlns:r="http://schemas.openxmlformats.org/officeDocument/2006/relationships" ref="N1446" r:id="rId1449"/>
    <hyperlink xmlns:r="http://schemas.openxmlformats.org/officeDocument/2006/relationships" ref="N1447" r:id="rId1450"/>
    <hyperlink xmlns:r="http://schemas.openxmlformats.org/officeDocument/2006/relationships" ref="N1448" r:id="rId1451"/>
    <hyperlink xmlns:r="http://schemas.openxmlformats.org/officeDocument/2006/relationships" ref="N1449" r:id="rId1452"/>
    <hyperlink xmlns:r="http://schemas.openxmlformats.org/officeDocument/2006/relationships" ref="N1450" r:id="rId1453"/>
    <hyperlink xmlns:r="http://schemas.openxmlformats.org/officeDocument/2006/relationships" ref="N1451" r:id="rId1454"/>
    <hyperlink xmlns:r="http://schemas.openxmlformats.org/officeDocument/2006/relationships" ref="N1452" r:id="rId1455"/>
    <hyperlink xmlns:r="http://schemas.openxmlformats.org/officeDocument/2006/relationships" ref="N1453" r:id="rId1456"/>
    <hyperlink xmlns:r="http://schemas.openxmlformats.org/officeDocument/2006/relationships" ref="N1454" r:id="rId1457"/>
    <hyperlink xmlns:r="http://schemas.openxmlformats.org/officeDocument/2006/relationships" ref="N1455" r:id="rId1458"/>
    <hyperlink xmlns:r="http://schemas.openxmlformats.org/officeDocument/2006/relationships" ref="N1456" r:id="rId1459"/>
    <hyperlink xmlns:r="http://schemas.openxmlformats.org/officeDocument/2006/relationships" ref="N1457" r:id="rId1460"/>
    <hyperlink xmlns:r="http://schemas.openxmlformats.org/officeDocument/2006/relationships" ref="N1458" r:id="rId1461"/>
    <hyperlink xmlns:r="http://schemas.openxmlformats.org/officeDocument/2006/relationships" ref="N1459" r:id="rId1462"/>
    <hyperlink xmlns:r="http://schemas.openxmlformats.org/officeDocument/2006/relationships" ref="N1460" r:id="rId1463"/>
    <hyperlink xmlns:r="http://schemas.openxmlformats.org/officeDocument/2006/relationships" ref="N1461" r:id="rId1464"/>
    <hyperlink xmlns:r="http://schemas.openxmlformats.org/officeDocument/2006/relationships" ref="N1462" r:id="rId1465"/>
    <hyperlink xmlns:r="http://schemas.openxmlformats.org/officeDocument/2006/relationships" ref="N1463" r:id="rId1466"/>
    <hyperlink xmlns:r="http://schemas.openxmlformats.org/officeDocument/2006/relationships" ref="N1464" r:id="rId1467"/>
    <hyperlink xmlns:r="http://schemas.openxmlformats.org/officeDocument/2006/relationships" ref="N1465" r:id="rId1468"/>
    <hyperlink xmlns:r="http://schemas.openxmlformats.org/officeDocument/2006/relationships" ref="N1466" r:id="rId1469"/>
    <hyperlink xmlns:r="http://schemas.openxmlformats.org/officeDocument/2006/relationships" ref="N1467" r:id="rId1470"/>
    <hyperlink xmlns:r="http://schemas.openxmlformats.org/officeDocument/2006/relationships" ref="N1468" r:id="rId1471"/>
    <hyperlink xmlns:r="http://schemas.openxmlformats.org/officeDocument/2006/relationships" ref="N1469" r:id="rId1472"/>
    <hyperlink xmlns:r="http://schemas.openxmlformats.org/officeDocument/2006/relationships" ref="N1470" r:id="rId1473"/>
    <hyperlink xmlns:r="http://schemas.openxmlformats.org/officeDocument/2006/relationships" ref="N1471" r:id="rId1474"/>
    <hyperlink xmlns:r="http://schemas.openxmlformats.org/officeDocument/2006/relationships" ref="N1472" r:id="rId1475"/>
    <hyperlink xmlns:r="http://schemas.openxmlformats.org/officeDocument/2006/relationships" ref="N1473" r:id="rId1476"/>
    <hyperlink xmlns:r="http://schemas.openxmlformats.org/officeDocument/2006/relationships" ref="N1474" r:id="rId1477"/>
    <hyperlink xmlns:r="http://schemas.openxmlformats.org/officeDocument/2006/relationships" ref="N1475" r:id="rId1478"/>
    <hyperlink xmlns:r="http://schemas.openxmlformats.org/officeDocument/2006/relationships" ref="N1476" r:id="rId1479"/>
    <hyperlink xmlns:r="http://schemas.openxmlformats.org/officeDocument/2006/relationships" ref="N1477" r:id="rId1480"/>
    <hyperlink xmlns:r="http://schemas.openxmlformats.org/officeDocument/2006/relationships" ref="N1478" r:id="rId1481"/>
    <hyperlink xmlns:r="http://schemas.openxmlformats.org/officeDocument/2006/relationships" ref="N1479" r:id="rId1482"/>
    <hyperlink xmlns:r="http://schemas.openxmlformats.org/officeDocument/2006/relationships" ref="N1480" r:id="rId1483"/>
    <hyperlink xmlns:r="http://schemas.openxmlformats.org/officeDocument/2006/relationships" ref="N1481" r:id="rId1484"/>
    <hyperlink xmlns:r="http://schemas.openxmlformats.org/officeDocument/2006/relationships" ref="N1482" r:id="rId1485"/>
    <hyperlink xmlns:r="http://schemas.openxmlformats.org/officeDocument/2006/relationships" ref="N1483" r:id="rId1486"/>
    <hyperlink xmlns:r="http://schemas.openxmlformats.org/officeDocument/2006/relationships" ref="N1484" r:id="rId1487"/>
    <hyperlink xmlns:r="http://schemas.openxmlformats.org/officeDocument/2006/relationships" ref="N1485" r:id="rId1488"/>
    <hyperlink xmlns:r="http://schemas.openxmlformats.org/officeDocument/2006/relationships" ref="N1486" r:id="rId1489"/>
    <hyperlink xmlns:r="http://schemas.openxmlformats.org/officeDocument/2006/relationships" ref="N1487" r:id="rId1490"/>
    <hyperlink xmlns:r="http://schemas.openxmlformats.org/officeDocument/2006/relationships" ref="N1488" r:id="rId1491"/>
    <hyperlink xmlns:r="http://schemas.openxmlformats.org/officeDocument/2006/relationships" ref="N1489" r:id="rId1492"/>
    <hyperlink xmlns:r="http://schemas.openxmlformats.org/officeDocument/2006/relationships" ref="N1490" r:id="rId1493"/>
    <hyperlink xmlns:r="http://schemas.openxmlformats.org/officeDocument/2006/relationships" ref="N1491" r:id="rId1494"/>
    <hyperlink xmlns:r="http://schemas.openxmlformats.org/officeDocument/2006/relationships" ref="N1492" r:id="rId1495"/>
    <hyperlink xmlns:r="http://schemas.openxmlformats.org/officeDocument/2006/relationships" ref="N1493" r:id="rId1496"/>
    <hyperlink xmlns:r="http://schemas.openxmlformats.org/officeDocument/2006/relationships" ref="N1494" r:id="rId1497"/>
    <hyperlink xmlns:r="http://schemas.openxmlformats.org/officeDocument/2006/relationships" ref="N1495" r:id="rId1498"/>
    <hyperlink xmlns:r="http://schemas.openxmlformats.org/officeDocument/2006/relationships" ref="N1496" r:id="rId1499"/>
    <hyperlink xmlns:r="http://schemas.openxmlformats.org/officeDocument/2006/relationships" ref="N1497" r:id="rId1500"/>
    <hyperlink xmlns:r="http://schemas.openxmlformats.org/officeDocument/2006/relationships" ref="N1498" r:id="rId1501"/>
    <hyperlink xmlns:r="http://schemas.openxmlformats.org/officeDocument/2006/relationships" ref="N1499" r:id="rId1502"/>
    <hyperlink xmlns:r="http://schemas.openxmlformats.org/officeDocument/2006/relationships" ref="N1500" r:id="rId1503"/>
    <hyperlink xmlns:r="http://schemas.openxmlformats.org/officeDocument/2006/relationships" ref="N1501" r:id="rId1504"/>
    <hyperlink xmlns:r="http://schemas.openxmlformats.org/officeDocument/2006/relationships" ref="N1502" r:id="rId1505"/>
    <hyperlink xmlns:r="http://schemas.openxmlformats.org/officeDocument/2006/relationships" ref="N1503" r:id="rId1506"/>
    <hyperlink xmlns:r="http://schemas.openxmlformats.org/officeDocument/2006/relationships" ref="N1504" r:id="rId1507"/>
    <hyperlink xmlns:r="http://schemas.openxmlformats.org/officeDocument/2006/relationships" ref="N1505" r:id="rId1508"/>
    <hyperlink xmlns:r="http://schemas.openxmlformats.org/officeDocument/2006/relationships" ref="N1506" r:id="rId1509"/>
    <hyperlink xmlns:r="http://schemas.openxmlformats.org/officeDocument/2006/relationships" ref="N1507" r:id="rId1510"/>
    <hyperlink xmlns:r="http://schemas.openxmlformats.org/officeDocument/2006/relationships" ref="N1508" r:id="rId1511"/>
    <hyperlink xmlns:r="http://schemas.openxmlformats.org/officeDocument/2006/relationships" ref="N1509" r:id="rId1512"/>
    <hyperlink xmlns:r="http://schemas.openxmlformats.org/officeDocument/2006/relationships" ref="N1510" r:id="rId1513"/>
    <hyperlink xmlns:r="http://schemas.openxmlformats.org/officeDocument/2006/relationships" ref="N1511" r:id="rId1514"/>
    <hyperlink xmlns:r="http://schemas.openxmlformats.org/officeDocument/2006/relationships" ref="N1512" r:id="rId1515"/>
    <hyperlink xmlns:r="http://schemas.openxmlformats.org/officeDocument/2006/relationships" ref="N1513" r:id="rId1516"/>
    <hyperlink xmlns:r="http://schemas.openxmlformats.org/officeDocument/2006/relationships" ref="N1514" r:id="rId1517"/>
    <hyperlink xmlns:r="http://schemas.openxmlformats.org/officeDocument/2006/relationships" ref="N1515" r:id="rId1518"/>
    <hyperlink xmlns:r="http://schemas.openxmlformats.org/officeDocument/2006/relationships" ref="N1516" r:id="rId1519"/>
    <hyperlink xmlns:r="http://schemas.openxmlformats.org/officeDocument/2006/relationships" ref="N1517" r:id="rId1520"/>
    <hyperlink xmlns:r="http://schemas.openxmlformats.org/officeDocument/2006/relationships" ref="N1518" r:id="rId1521"/>
    <hyperlink xmlns:r="http://schemas.openxmlformats.org/officeDocument/2006/relationships" ref="N1519" r:id="rId1522"/>
    <hyperlink xmlns:r="http://schemas.openxmlformats.org/officeDocument/2006/relationships" ref="N1520" r:id="rId1523"/>
    <hyperlink xmlns:r="http://schemas.openxmlformats.org/officeDocument/2006/relationships" ref="N1521" r:id="rId1524"/>
    <hyperlink xmlns:r="http://schemas.openxmlformats.org/officeDocument/2006/relationships" ref="N1522" r:id="rId1525"/>
    <hyperlink xmlns:r="http://schemas.openxmlformats.org/officeDocument/2006/relationships" ref="N1523" r:id="rId1526"/>
    <hyperlink xmlns:r="http://schemas.openxmlformats.org/officeDocument/2006/relationships" ref="N1524" r:id="rId1527"/>
    <hyperlink xmlns:r="http://schemas.openxmlformats.org/officeDocument/2006/relationships" ref="N1525" r:id="rId1528"/>
    <hyperlink xmlns:r="http://schemas.openxmlformats.org/officeDocument/2006/relationships" ref="N1526" r:id="rId1529"/>
    <hyperlink xmlns:r="http://schemas.openxmlformats.org/officeDocument/2006/relationships" ref="N1527" r:id="rId1530"/>
    <hyperlink xmlns:r="http://schemas.openxmlformats.org/officeDocument/2006/relationships" ref="N1528" r:id="rId1531"/>
    <hyperlink xmlns:r="http://schemas.openxmlformats.org/officeDocument/2006/relationships" ref="N1529" r:id="rId1532"/>
    <hyperlink xmlns:r="http://schemas.openxmlformats.org/officeDocument/2006/relationships" ref="N1530" r:id="rId1533"/>
    <hyperlink xmlns:r="http://schemas.openxmlformats.org/officeDocument/2006/relationships" ref="N1531" r:id="rId1534"/>
    <hyperlink xmlns:r="http://schemas.openxmlformats.org/officeDocument/2006/relationships" ref="N1532" r:id="rId1535"/>
    <hyperlink xmlns:r="http://schemas.openxmlformats.org/officeDocument/2006/relationships" ref="N1533" r:id="rId1536"/>
    <hyperlink xmlns:r="http://schemas.openxmlformats.org/officeDocument/2006/relationships" ref="N1534" r:id="rId1537"/>
    <hyperlink xmlns:r="http://schemas.openxmlformats.org/officeDocument/2006/relationships" ref="N1535" r:id="rId1538"/>
    <hyperlink xmlns:r="http://schemas.openxmlformats.org/officeDocument/2006/relationships" ref="N1536" r:id="rId1539"/>
    <hyperlink xmlns:r="http://schemas.openxmlformats.org/officeDocument/2006/relationships" ref="N1537" r:id="rId1540"/>
    <hyperlink xmlns:r="http://schemas.openxmlformats.org/officeDocument/2006/relationships" ref="N1538" r:id="rId1541"/>
    <hyperlink xmlns:r="http://schemas.openxmlformats.org/officeDocument/2006/relationships" ref="N1539" r:id="rId1542"/>
    <hyperlink xmlns:r="http://schemas.openxmlformats.org/officeDocument/2006/relationships" ref="N1540" r:id="rId1543"/>
    <hyperlink xmlns:r="http://schemas.openxmlformats.org/officeDocument/2006/relationships" ref="N1541" r:id="rId1544"/>
    <hyperlink xmlns:r="http://schemas.openxmlformats.org/officeDocument/2006/relationships" ref="N1542" r:id="rId1545"/>
    <hyperlink xmlns:r="http://schemas.openxmlformats.org/officeDocument/2006/relationships" ref="N1543" r:id="rId1546"/>
    <hyperlink xmlns:r="http://schemas.openxmlformats.org/officeDocument/2006/relationships" ref="N1544" r:id="rId1547"/>
    <hyperlink xmlns:r="http://schemas.openxmlformats.org/officeDocument/2006/relationships" ref="N1545" r:id="rId1548"/>
    <hyperlink xmlns:r="http://schemas.openxmlformats.org/officeDocument/2006/relationships" ref="N1546" r:id="rId1549"/>
    <hyperlink xmlns:r="http://schemas.openxmlformats.org/officeDocument/2006/relationships" ref="N1547" r:id="rId1550"/>
    <hyperlink xmlns:r="http://schemas.openxmlformats.org/officeDocument/2006/relationships" ref="N1548" r:id="rId1551"/>
    <hyperlink xmlns:r="http://schemas.openxmlformats.org/officeDocument/2006/relationships" ref="N1549" r:id="rId1552"/>
    <hyperlink xmlns:r="http://schemas.openxmlformats.org/officeDocument/2006/relationships" ref="N1550" r:id="rId1553"/>
    <hyperlink xmlns:r="http://schemas.openxmlformats.org/officeDocument/2006/relationships" ref="N1551" r:id="rId1554"/>
    <hyperlink xmlns:r="http://schemas.openxmlformats.org/officeDocument/2006/relationships" ref="N1552" r:id="rId1555"/>
    <hyperlink xmlns:r="http://schemas.openxmlformats.org/officeDocument/2006/relationships" ref="N1553" r:id="rId1556"/>
    <hyperlink xmlns:r="http://schemas.openxmlformats.org/officeDocument/2006/relationships" ref="N1554" r:id="rId1557"/>
    <hyperlink xmlns:r="http://schemas.openxmlformats.org/officeDocument/2006/relationships" ref="N1555" r:id="rId1558"/>
    <hyperlink xmlns:r="http://schemas.openxmlformats.org/officeDocument/2006/relationships" ref="N1556" r:id="rId1559"/>
    <hyperlink xmlns:r="http://schemas.openxmlformats.org/officeDocument/2006/relationships" ref="N1557" r:id="rId1560"/>
    <hyperlink xmlns:r="http://schemas.openxmlformats.org/officeDocument/2006/relationships" ref="N1558" r:id="rId1561"/>
    <hyperlink xmlns:r="http://schemas.openxmlformats.org/officeDocument/2006/relationships" ref="N1559" r:id="rId1562"/>
    <hyperlink xmlns:r="http://schemas.openxmlformats.org/officeDocument/2006/relationships" ref="N1560" r:id="rId1563"/>
    <hyperlink xmlns:r="http://schemas.openxmlformats.org/officeDocument/2006/relationships" ref="N1561" r:id="rId1564"/>
    <hyperlink xmlns:r="http://schemas.openxmlformats.org/officeDocument/2006/relationships" ref="N1562" r:id="rId1565"/>
    <hyperlink xmlns:r="http://schemas.openxmlformats.org/officeDocument/2006/relationships" ref="N1563" r:id="rId1566"/>
    <hyperlink xmlns:r="http://schemas.openxmlformats.org/officeDocument/2006/relationships" ref="N1564" r:id="rId1567"/>
    <hyperlink xmlns:r="http://schemas.openxmlformats.org/officeDocument/2006/relationships" ref="N1565" r:id="rId1568"/>
    <hyperlink xmlns:r="http://schemas.openxmlformats.org/officeDocument/2006/relationships" ref="N1566" r:id="rId1569"/>
    <hyperlink xmlns:r="http://schemas.openxmlformats.org/officeDocument/2006/relationships" ref="N1567" r:id="rId1570"/>
    <hyperlink xmlns:r="http://schemas.openxmlformats.org/officeDocument/2006/relationships" ref="N1568" r:id="rId1571"/>
    <hyperlink xmlns:r="http://schemas.openxmlformats.org/officeDocument/2006/relationships" ref="N1569" r:id="rId1572"/>
    <hyperlink xmlns:r="http://schemas.openxmlformats.org/officeDocument/2006/relationships" ref="N1570" r:id="rId1573"/>
    <hyperlink xmlns:r="http://schemas.openxmlformats.org/officeDocument/2006/relationships" ref="N1571" r:id="rId1574"/>
    <hyperlink xmlns:r="http://schemas.openxmlformats.org/officeDocument/2006/relationships" ref="N1572" r:id="rId1575"/>
    <hyperlink xmlns:r="http://schemas.openxmlformats.org/officeDocument/2006/relationships" ref="N1573" r:id="rId1576"/>
    <hyperlink xmlns:r="http://schemas.openxmlformats.org/officeDocument/2006/relationships" ref="N1574" r:id="rId1577"/>
    <hyperlink xmlns:r="http://schemas.openxmlformats.org/officeDocument/2006/relationships" ref="N1575" r:id="rId1578"/>
    <hyperlink xmlns:r="http://schemas.openxmlformats.org/officeDocument/2006/relationships" ref="N1576" r:id="rId1579"/>
    <hyperlink xmlns:r="http://schemas.openxmlformats.org/officeDocument/2006/relationships" ref="N1577" r:id="rId1580"/>
    <hyperlink xmlns:r="http://schemas.openxmlformats.org/officeDocument/2006/relationships" ref="N1578" r:id="rId1581"/>
    <hyperlink xmlns:r="http://schemas.openxmlformats.org/officeDocument/2006/relationships" ref="N1579" r:id="rId1582"/>
    <hyperlink xmlns:r="http://schemas.openxmlformats.org/officeDocument/2006/relationships" ref="N1580" r:id="rId1583"/>
    <hyperlink xmlns:r="http://schemas.openxmlformats.org/officeDocument/2006/relationships" ref="N1581" r:id="rId1584"/>
    <hyperlink xmlns:r="http://schemas.openxmlformats.org/officeDocument/2006/relationships" ref="N1582" r:id="rId1585"/>
    <hyperlink xmlns:r="http://schemas.openxmlformats.org/officeDocument/2006/relationships" ref="N1583" r:id="rId1586"/>
    <hyperlink xmlns:r="http://schemas.openxmlformats.org/officeDocument/2006/relationships" ref="N1584" r:id="rId1587"/>
    <hyperlink xmlns:r="http://schemas.openxmlformats.org/officeDocument/2006/relationships" ref="N1585" r:id="rId1588"/>
    <hyperlink xmlns:r="http://schemas.openxmlformats.org/officeDocument/2006/relationships" ref="N1586" r:id="rId1589"/>
    <hyperlink xmlns:r="http://schemas.openxmlformats.org/officeDocument/2006/relationships" ref="N1587" r:id="rId1590"/>
    <hyperlink xmlns:r="http://schemas.openxmlformats.org/officeDocument/2006/relationships" ref="N1588" r:id="rId1591"/>
    <hyperlink xmlns:r="http://schemas.openxmlformats.org/officeDocument/2006/relationships" ref="N1589" r:id="rId1592"/>
    <hyperlink xmlns:r="http://schemas.openxmlformats.org/officeDocument/2006/relationships" ref="N1590" r:id="rId1593"/>
    <hyperlink xmlns:r="http://schemas.openxmlformats.org/officeDocument/2006/relationships" ref="N1591" r:id="rId1594"/>
    <hyperlink xmlns:r="http://schemas.openxmlformats.org/officeDocument/2006/relationships" ref="N1592" r:id="rId1595"/>
    <hyperlink xmlns:r="http://schemas.openxmlformats.org/officeDocument/2006/relationships" ref="N1593" r:id="rId1596"/>
    <hyperlink xmlns:r="http://schemas.openxmlformats.org/officeDocument/2006/relationships" ref="N1594" r:id="rId1597"/>
    <hyperlink xmlns:r="http://schemas.openxmlformats.org/officeDocument/2006/relationships" ref="N1595" r:id="rId1598"/>
    <hyperlink xmlns:r="http://schemas.openxmlformats.org/officeDocument/2006/relationships" ref="N1596" r:id="rId1599"/>
    <hyperlink xmlns:r="http://schemas.openxmlformats.org/officeDocument/2006/relationships" ref="N1597" r:id="rId1600"/>
    <hyperlink xmlns:r="http://schemas.openxmlformats.org/officeDocument/2006/relationships" ref="N1598" r:id="rId1601"/>
    <hyperlink xmlns:r="http://schemas.openxmlformats.org/officeDocument/2006/relationships" ref="N1599" r:id="rId1602"/>
    <hyperlink xmlns:r="http://schemas.openxmlformats.org/officeDocument/2006/relationships" ref="N1600" r:id="rId1603"/>
    <hyperlink xmlns:r="http://schemas.openxmlformats.org/officeDocument/2006/relationships" ref="N1601" r:id="rId1604"/>
    <hyperlink xmlns:r="http://schemas.openxmlformats.org/officeDocument/2006/relationships" ref="N1602" r:id="rId1605"/>
    <hyperlink xmlns:r="http://schemas.openxmlformats.org/officeDocument/2006/relationships" ref="N1603" r:id="rId1606"/>
    <hyperlink xmlns:r="http://schemas.openxmlformats.org/officeDocument/2006/relationships" ref="N1604" r:id="rId1607"/>
    <hyperlink xmlns:r="http://schemas.openxmlformats.org/officeDocument/2006/relationships" ref="N1605" r:id="rId1608"/>
    <hyperlink xmlns:r="http://schemas.openxmlformats.org/officeDocument/2006/relationships" ref="N1606" r:id="rId1609"/>
    <hyperlink xmlns:r="http://schemas.openxmlformats.org/officeDocument/2006/relationships" ref="N1607" r:id="rId1610"/>
    <hyperlink xmlns:r="http://schemas.openxmlformats.org/officeDocument/2006/relationships" ref="N1608" r:id="rId1611"/>
    <hyperlink xmlns:r="http://schemas.openxmlformats.org/officeDocument/2006/relationships" ref="N1609" r:id="rId1612"/>
    <hyperlink xmlns:r="http://schemas.openxmlformats.org/officeDocument/2006/relationships" ref="N1610" r:id="rId1613"/>
    <hyperlink xmlns:r="http://schemas.openxmlformats.org/officeDocument/2006/relationships" ref="N1611" r:id="rId1614"/>
    <hyperlink xmlns:r="http://schemas.openxmlformats.org/officeDocument/2006/relationships" ref="N1612" r:id="rId1615"/>
    <hyperlink xmlns:r="http://schemas.openxmlformats.org/officeDocument/2006/relationships" ref="N1613" r:id="rId1616"/>
    <hyperlink xmlns:r="http://schemas.openxmlformats.org/officeDocument/2006/relationships" ref="N1614" r:id="rId1617"/>
    <hyperlink xmlns:r="http://schemas.openxmlformats.org/officeDocument/2006/relationships" ref="N1615" r:id="rId1618"/>
    <hyperlink xmlns:r="http://schemas.openxmlformats.org/officeDocument/2006/relationships" ref="N1616" r:id="rId1619"/>
    <hyperlink xmlns:r="http://schemas.openxmlformats.org/officeDocument/2006/relationships" ref="N1617" r:id="rId1620"/>
    <hyperlink xmlns:r="http://schemas.openxmlformats.org/officeDocument/2006/relationships" ref="N1618" r:id="rId1621"/>
    <hyperlink xmlns:r="http://schemas.openxmlformats.org/officeDocument/2006/relationships" ref="N1619" r:id="rId1622"/>
    <hyperlink xmlns:r="http://schemas.openxmlformats.org/officeDocument/2006/relationships" ref="N1620" r:id="rId1623"/>
    <hyperlink xmlns:r="http://schemas.openxmlformats.org/officeDocument/2006/relationships" ref="N1621" r:id="rId1624"/>
    <hyperlink xmlns:r="http://schemas.openxmlformats.org/officeDocument/2006/relationships" ref="N1622" r:id="rId1625"/>
    <hyperlink xmlns:r="http://schemas.openxmlformats.org/officeDocument/2006/relationships" ref="N1623" r:id="rId1626"/>
    <hyperlink xmlns:r="http://schemas.openxmlformats.org/officeDocument/2006/relationships" ref="N1624" r:id="rId1627"/>
    <hyperlink xmlns:r="http://schemas.openxmlformats.org/officeDocument/2006/relationships" ref="N1625" r:id="rId1628"/>
    <hyperlink xmlns:r="http://schemas.openxmlformats.org/officeDocument/2006/relationships" ref="N1626" r:id="rId1629"/>
    <hyperlink xmlns:r="http://schemas.openxmlformats.org/officeDocument/2006/relationships" ref="N1627" r:id="rId1630"/>
    <hyperlink xmlns:r="http://schemas.openxmlformats.org/officeDocument/2006/relationships" ref="N1628" r:id="rId1631"/>
    <hyperlink xmlns:r="http://schemas.openxmlformats.org/officeDocument/2006/relationships" ref="N1629" r:id="rId1632"/>
    <hyperlink xmlns:r="http://schemas.openxmlformats.org/officeDocument/2006/relationships" ref="N1630" r:id="rId1633"/>
    <hyperlink xmlns:r="http://schemas.openxmlformats.org/officeDocument/2006/relationships" ref="N1631" r:id="rId1634"/>
  </hyperlinks>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tabColor rgb="00243553"/>
    <outlinePr summaryBelow="0" summaryRight="0"/>
    <pageSetUpPr fitToPage="1"/>
  </sheetPr>
  <dimension ref="A1:K85"/>
  <sheetViews>
    <sheetView showGridLines="0" tabSelected="0" topLeftCell="A1" zoomScale="100" zoomScaleNormal="100" workbookViewId="0">
      <pane xSplit="1" ySplit="5" topLeftCell="B6"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3" customWidth="1" min="1" max="1"/>
    <col width="42" customWidth="1" min="2" max="2"/>
    <col width="8" customWidth="1" min="3" max="3"/>
    <col width="21" customWidth="1" min="4" max="4"/>
    <col width="21" customWidth="1" min="5" max="5"/>
    <col width="22" customWidth="1" min="6" max="6"/>
    <col width="18" customWidth="1" min="7" max="7"/>
    <col width="17" customWidth="1" min="8" max="8"/>
    <col width="12" customWidth="1" min="9" max="9"/>
    <col width="46" customWidth="1" min="10" max="10"/>
    <col width="18" customWidth="1" min="11" max="11"/>
  </cols>
  <sheetData>
    <row r="1" ht="33.2" customHeight="1">
      <c r="A1" s="9" t="inlineStr">
        <is>
          <t>WBS EXPLORER</t>
        </is>
      </c>
    </row>
    <row r="2" ht="35.92" customHeight="1">
      <c r="A2" s="10" t="inlineStr">
        <is>
          <t>The approved WBS as integration spine, with governed relationship populations beneath it.</t>
        </is>
      </c>
    </row>
    <row r="3" ht="34" customHeight="1">
      <c r="A3" s="11" t="inlineStr">
        <is>
          <t>Executive</t>
        </is>
      </c>
      <c r="B3" s="11" t="inlineStr">
        <is>
          <t>Issues</t>
        </is>
      </c>
      <c r="C3" s="11" t="inlineStr">
        <is>
          <t>Integration</t>
        </is>
      </c>
      <c r="D3" s="11" t="inlineStr">
        <is>
          <t>Project</t>
        </is>
      </c>
      <c r="E3" s="11" t="inlineStr">
        <is>
          <t>Changes</t>
        </is>
      </c>
      <c r="F3" s="11" t="inlineStr">
        <is>
          <t>Crosswalk</t>
        </is>
      </c>
      <c r="G3" s="11" t="inlineStr">
        <is>
          <t>Evidence</t>
        </is>
      </c>
      <c r="H3" s="11" t="inlineStr">
        <is>
          <t>Sources</t>
        </is>
      </c>
    </row>
    <row r="4" ht="35.92" customHeight="1">
      <c r="A4" s="29" t="inlineStr">
        <is>
          <t>Governed relationship coverage/status → advanced approved scope / relationship-row view</t>
        </is>
      </c>
    </row>
    <row r="5" ht="34" customHeight="1">
      <c r="A5" s="12" t="inlineStr">
        <is>
          <t>WBS</t>
        </is>
      </c>
      <c r="B5" s="12" t="inlineStr">
        <is>
          <t>Element</t>
        </is>
      </c>
      <c r="C5" s="12" t="inlineStr">
        <is>
          <t>Level</t>
        </is>
      </c>
      <c r="D5" s="12" t="inlineStr">
        <is>
          <t>Schedule</t>
        </is>
      </c>
      <c r="E5" s="12" t="inlineStr">
        <is>
          <t>Cost / forecast</t>
        </is>
      </c>
      <c r="F5" s="12" t="inlineStr">
        <is>
          <t>Package / contract</t>
        </is>
      </c>
      <c r="G5" s="12" t="inlineStr">
        <is>
          <t>Other</t>
        </is>
      </c>
      <c r="H5" s="12" t="inlineStr">
        <is>
          <t>Open / unresolved</t>
        </is>
      </c>
      <c r="I5" s="12" t="inlineStr">
        <is>
          <t>Changed</t>
        </is>
      </c>
      <c r="J5" s="12" t="inlineStr">
        <is>
          <t>Integration condition</t>
        </is>
      </c>
      <c r="K5" s="12" t="inlineStr">
        <is>
          <t>Crosswalk</t>
        </is>
      </c>
    </row>
    <row r="6" ht="64" customHeight="1">
      <c r="A6" s="54" t="inlineStr"/>
      <c r="B6" s="54" t="inlineStr">
        <is>
          <t>HarbourLink Urban Transit Expansion</t>
        </is>
      </c>
      <c r="C6" s="55" t="n">
        <v>0</v>
      </c>
      <c r="D6" s="54" t="inlineStr">
        <is>
          <t>899 governed relationships</t>
        </is>
      </c>
      <c r="E6" s="54" t="inlineStr">
        <is>
          <t>399 governed relationships</t>
        </is>
      </c>
      <c r="F6" s="54" t="inlineStr">
        <is>
          <t>59 governed relationships</t>
        </is>
      </c>
      <c r="G6" s="54" t="inlineStr">
        <is>
          <t>0 governed relationships</t>
        </is>
      </c>
      <c r="H6" s="55" t="n">
        <v>0</v>
      </c>
      <c r="I6" s="55" t="n">
        <v>7</v>
      </c>
      <c r="J6" s="54" t="inlineStr">
        <is>
          <t>Aligned: Schedule and cost both relate through this WBS branch. 59 package/contract relationships also project through this branch.</t>
        </is>
      </c>
      <c r="K6" s="14" t="inlineStr">
        <is>
          <t>08 CROSSWALK</t>
        </is>
      </c>
    </row>
    <row r="7" ht="64" customHeight="1">
      <c r="A7" s="54" t="inlineStr">
        <is>
          <t>1</t>
        </is>
      </c>
      <c r="B7" s="56" t="inlineStr">
        <is>
          <t>HarbourLink Urban Transit Expansion</t>
        </is>
      </c>
      <c r="C7" s="55" t="n">
        <v>1</v>
      </c>
      <c r="D7" s="54" t="inlineStr">
        <is>
          <t>899 governed relationships</t>
        </is>
      </c>
      <c r="E7" s="54" t="inlineStr">
        <is>
          <t>399 governed relationships</t>
        </is>
      </c>
      <c r="F7" s="54" t="inlineStr">
        <is>
          <t>59 governed relationships</t>
        </is>
      </c>
      <c r="G7" s="54" t="inlineStr">
        <is>
          <t>0 governed relationships</t>
        </is>
      </c>
      <c r="H7" s="55" t="n">
        <v>0</v>
      </c>
      <c r="I7" s="55" t="n">
        <v>7</v>
      </c>
      <c r="J7" s="54" t="inlineStr">
        <is>
          <t>Aligned: Schedule and cost both relate through this WBS branch. 59 package/contract relationships also project through this branch.</t>
        </is>
      </c>
      <c r="K7" s="14" t="inlineStr">
        <is>
          <t>08 CROSSWALK</t>
        </is>
      </c>
    </row>
    <row r="8" ht="64" customHeight="1">
      <c r="A8" s="23" t="inlineStr">
        <is>
          <t>1.1</t>
        </is>
      </c>
      <c r="B8" s="57" t="inlineStr">
        <is>
          <t>Guideway and Civil</t>
        </is>
      </c>
      <c r="C8" s="36" t="n">
        <v>2</v>
      </c>
      <c r="D8" s="23" t="inlineStr">
        <is>
          <t>181 governed relationships</t>
        </is>
      </c>
      <c r="E8" s="23" t="inlineStr">
        <is>
          <t>81 governed relationships</t>
        </is>
      </c>
      <c r="F8" s="23" t="inlineStr">
        <is>
          <t>9 governed relationships</t>
        </is>
      </c>
      <c r="G8" s="23" t="inlineStr">
        <is>
          <t>0 governed relationships</t>
        </is>
      </c>
      <c r="H8" s="36" t="n">
        <v>0</v>
      </c>
      <c r="I8" s="36" t="n">
        <v>5</v>
      </c>
      <c r="J8" s="23" t="inlineStr">
        <is>
          <t>Aligned: Schedule and cost both relate through this WBS branch. 9 package/contract relationships also project through this branch.</t>
        </is>
      </c>
      <c r="K8" s="14" t="inlineStr">
        <is>
          <t>08 CROSSWALK</t>
        </is>
      </c>
    </row>
    <row r="9" ht="34" customHeight="1">
      <c r="A9" s="23" t="inlineStr">
        <is>
          <t>1.1.1</t>
        </is>
      </c>
      <c r="B9" s="58" t="inlineStr">
        <is>
          <t>Guideway and Civil - Guideway Structures</t>
        </is>
      </c>
      <c r="C9" s="36" t="n">
        <v>3</v>
      </c>
      <c r="D9" s="23" t="inlineStr">
        <is>
          <t>120 governed relationships</t>
        </is>
      </c>
      <c r="E9" s="23" t="inlineStr">
        <is>
          <t>40 governed relationships</t>
        </is>
      </c>
      <c r="F9" s="23" t="inlineStr">
        <is>
          <t>0 governed relationships</t>
        </is>
      </c>
      <c r="G9" s="23" t="inlineStr">
        <is>
          <t>0 governed relationships</t>
        </is>
      </c>
      <c r="H9" s="36" t="n">
        <v>0</v>
      </c>
      <c r="I9" s="36" t="n">
        <v>3</v>
      </c>
      <c r="J9" s="23" t="inlineStr">
        <is>
          <t>Aligned: Schedule and cost both relate through this WBS branch.</t>
        </is>
      </c>
      <c r="K9" s="14" t="inlineStr">
        <is>
          <t>08 CROSSWALK</t>
        </is>
      </c>
    </row>
    <row r="10" ht="34" customHeight="1">
      <c r="A10" s="23" t="inlineStr">
        <is>
          <t>1.1.1.1</t>
        </is>
      </c>
      <c r="B10" s="59" t="inlineStr">
        <is>
          <t>Guideway Structures - East Segment</t>
        </is>
      </c>
      <c r="C10" s="36" t="n">
        <v>4</v>
      </c>
      <c r="D10" s="23" t="inlineStr">
        <is>
          <t>0 governed relationships</t>
        </is>
      </c>
      <c r="E10" s="23" t="inlineStr">
        <is>
          <t>0 governed relationships</t>
        </is>
      </c>
      <c r="F10" s="23" t="inlineStr">
        <is>
          <t>0 governed relationships</t>
        </is>
      </c>
      <c r="G10" s="23" t="inlineStr">
        <is>
          <t>0 governed relationships</t>
        </is>
      </c>
      <c r="H10" s="36" t="n">
        <v>0</v>
      </c>
      <c r="I10" s="36" t="n">
        <v>0</v>
      </c>
      <c r="J10" s="23" t="inlineStr">
        <is>
          <t>Partial: No governed schedule or cost relationships in this WBS branch.</t>
        </is>
      </c>
      <c r="K10" s="14" t="inlineStr">
        <is>
          <t>08 CROSSWALK</t>
        </is>
      </c>
    </row>
    <row r="11" ht="34" customHeight="1">
      <c r="A11" s="23" t="inlineStr">
        <is>
          <t>1.1.1.2</t>
        </is>
      </c>
      <c r="B11" s="59" t="inlineStr">
        <is>
          <t>Guideway Structures - West Segment</t>
        </is>
      </c>
      <c r="C11" s="36" t="n">
        <v>4</v>
      </c>
      <c r="D11" s="23" t="inlineStr">
        <is>
          <t>0 governed relationships</t>
        </is>
      </c>
      <c r="E11" s="23" t="inlineStr">
        <is>
          <t>0 governed relationships</t>
        </is>
      </c>
      <c r="F11" s="23" t="inlineStr">
        <is>
          <t>0 governed relationships</t>
        </is>
      </c>
      <c r="G11" s="23" t="inlineStr">
        <is>
          <t>0 governed relationships</t>
        </is>
      </c>
      <c r="H11" s="36" t="n">
        <v>0</v>
      </c>
      <c r="I11" s="36" t="n">
        <v>0</v>
      </c>
      <c r="J11" s="23" t="inlineStr">
        <is>
          <t>Partial: No governed schedule or cost relationships in this WBS branch.</t>
        </is>
      </c>
      <c r="K11" s="14" t="inlineStr">
        <is>
          <t>08 CROSSWALK</t>
        </is>
      </c>
    </row>
    <row r="12" ht="34" customHeight="1">
      <c r="A12" s="23" t="inlineStr">
        <is>
          <t>1.1.2</t>
        </is>
      </c>
      <c r="B12" s="58" t="inlineStr">
        <is>
          <t>Guideway and Civil - Utility &amp; Roadworks</t>
        </is>
      </c>
      <c r="C12" s="36" t="n">
        <v>3</v>
      </c>
      <c r="D12" s="23" t="inlineStr">
        <is>
          <t>61 governed relationships</t>
        </is>
      </c>
      <c r="E12" s="23" t="inlineStr">
        <is>
          <t>41 governed relationships</t>
        </is>
      </c>
      <c r="F12" s="23" t="inlineStr">
        <is>
          <t>0 governed relationships</t>
        </is>
      </c>
      <c r="G12" s="23" t="inlineStr">
        <is>
          <t>0 governed relationships</t>
        </is>
      </c>
      <c r="H12" s="36" t="n">
        <v>0</v>
      </c>
      <c r="I12" s="36" t="n">
        <v>2</v>
      </c>
      <c r="J12" s="23" t="inlineStr">
        <is>
          <t>Aligned: Schedule and cost both relate through this WBS branch.</t>
        </is>
      </c>
      <c r="K12" s="14" t="inlineStr">
        <is>
          <t>08 CROSSWALK</t>
        </is>
      </c>
    </row>
    <row r="13" ht="34" customHeight="1">
      <c r="A13" s="23" t="inlineStr">
        <is>
          <t>1.1.2.1</t>
        </is>
      </c>
      <c r="B13" s="59" t="inlineStr">
        <is>
          <t>Utility &amp; Roadworks - East Segment</t>
        </is>
      </c>
      <c r="C13" s="36" t="n">
        <v>4</v>
      </c>
      <c r="D13" s="23" t="inlineStr">
        <is>
          <t>0 governed relationships</t>
        </is>
      </c>
      <c r="E13" s="23" t="inlineStr">
        <is>
          <t>0 governed relationships</t>
        </is>
      </c>
      <c r="F13" s="23" t="inlineStr">
        <is>
          <t>0 governed relationships</t>
        </is>
      </c>
      <c r="G13" s="23" t="inlineStr">
        <is>
          <t>0 governed relationships</t>
        </is>
      </c>
      <c r="H13" s="36" t="n">
        <v>0</v>
      </c>
      <c r="I13" s="36" t="n">
        <v>0</v>
      </c>
      <c r="J13" s="23" t="inlineStr">
        <is>
          <t>Partial: No governed schedule or cost relationships in this WBS branch.</t>
        </is>
      </c>
      <c r="K13" s="14" t="inlineStr">
        <is>
          <t>08 CROSSWALK</t>
        </is>
      </c>
    </row>
    <row r="14" ht="34" customHeight="1">
      <c r="A14" s="23" t="inlineStr">
        <is>
          <t>1.1.2.2</t>
        </is>
      </c>
      <c r="B14" s="59" t="inlineStr">
        <is>
          <t>Utility &amp; Roadworks - West Segment</t>
        </is>
      </c>
      <c r="C14" s="36" t="n">
        <v>4</v>
      </c>
      <c r="D14" s="23" t="inlineStr">
        <is>
          <t>0 governed relationships</t>
        </is>
      </c>
      <c r="E14" s="23" t="inlineStr">
        <is>
          <t>0 governed relationships</t>
        </is>
      </c>
      <c r="F14" s="23" t="inlineStr">
        <is>
          <t>0 governed relationships</t>
        </is>
      </c>
      <c r="G14" s="23" t="inlineStr">
        <is>
          <t>0 governed relationships</t>
        </is>
      </c>
      <c r="H14" s="36" t="n">
        <v>0</v>
      </c>
      <c r="I14" s="36" t="n">
        <v>0</v>
      </c>
      <c r="J14" s="23" t="inlineStr">
        <is>
          <t>Partial: No governed schedule or cost relationships in this WBS branch.</t>
        </is>
      </c>
      <c r="K14" s="14" t="inlineStr">
        <is>
          <t>08 CROSSWALK</t>
        </is>
      </c>
    </row>
    <row r="15" ht="34" customHeight="1">
      <c r="A15" s="23" t="inlineStr">
        <is>
          <t>1.1.3</t>
        </is>
      </c>
      <c r="B15" s="58" t="inlineStr">
        <is>
          <t>Guideway and Civil - Track Support Works</t>
        </is>
      </c>
      <c r="C15" s="36" t="n">
        <v>3</v>
      </c>
      <c r="D15" s="23" t="inlineStr">
        <is>
          <t>0 governed relationships</t>
        </is>
      </c>
      <c r="E15" s="23" t="inlineStr">
        <is>
          <t>0 governed relationships</t>
        </is>
      </c>
      <c r="F15" s="23" t="inlineStr">
        <is>
          <t>0 governed relationships</t>
        </is>
      </c>
      <c r="G15" s="23" t="inlineStr">
        <is>
          <t>0 governed relationships</t>
        </is>
      </c>
      <c r="H15" s="36" t="n">
        <v>0</v>
      </c>
      <c r="I15" s="36" t="n">
        <v>0</v>
      </c>
      <c r="J15" s="23" t="inlineStr">
        <is>
          <t>Partial: No governed schedule or cost relationships in this WBS branch.</t>
        </is>
      </c>
      <c r="K15" s="14" t="inlineStr">
        <is>
          <t>08 CROSSWALK</t>
        </is>
      </c>
    </row>
    <row r="16" ht="34" customHeight="1">
      <c r="A16" s="23" t="inlineStr">
        <is>
          <t>1.1.3.1</t>
        </is>
      </c>
      <c r="B16" s="59" t="inlineStr">
        <is>
          <t>Track Support Works - East Segment</t>
        </is>
      </c>
      <c r="C16" s="36" t="n">
        <v>4</v>
      </c>
      <c r="D16" s="23" t="inlineStr">
        <is>
          <t>0 governed relationships</t>
        </is>
      </c>
      <c r="E16" s="23" t="inlineStr">
        <is>
          <t>0 governed relationships</t>
        </is>
      </c>
      <c r="F16" s="23" t="inlineStr">
        <is>
          <t>0 governed relationships</t>
        </is>
      </c>
      <c r="G16" s="23" t="inlineStr">
        <is>
          <t>0 governed relationships</t>
        </is>
      </c>
      <c r="H16" s="36" t="n">
        <v>0</v>
      </c>
      <c r="I16" s="36" t="n">
        <v>0</v>
      </c>
      <c r="J16" s="23" t="inlineStr">
        <is>
          <t>Partial: No governed schedule or cost relationships in this WBS branch.</t>
        </is>
      </c>
      <c r="K16" s="14" t="inlineStr">
        <is>
          <t>08 CROSSWALK</t>
        </is>
      </c>
    </row>
    <row r="17" ht="34" customHeight="1">
      <c r="A17" s="23" t="inlineStr">
        <is>
          <t>1.1.3.2</t>
        </is>
      </c>
      <c r="B17" s="59" t="inlineStr">
        <is>
          <t>Track Support Works - West Segment</t>
        </is>
      </c>
      <c r="C17" s="36" t="n">
        <v>4</v>
      </c>
      <c r="D17" s="23" t="inlineStr">
        <is>
          <t>0 governed relationships</t>
        </is>
      </c>
      <c r="E17" s="23" t="inlineStr">
        <is>
          <t>0 governed relationships</t>
        </is>
      </c>
      <c r="F17" s="23" t="inlineStr">
        <is>
          <t>0 governed relationships</t>
        </is>
      </c>
      <c r="G17" s="23" t="inlineStr">
        <is>
          <t>0 governed relationships</t>
        </is>
      </c>
      <c r="H17" s="36" t="n">
        <v>0</v>
      </c>
      <c r="I17" s="36" t="n">
        <v>0</v>
      </c>
      <c r="J17" s="23" t="inlineStr">
        <is>
          <t>Partial: No governed schedule or cost relationships in this WBS branch.</t>
        </is>
      </c>
      <c r="K17" s="14" t="inlineStr">
        <is>
          <t>08 CROSSWALK</t>
        </is>
      </c>
    </row>
    <row r="18" ht="34" customHeight="1">
      <c r="A18" s="23" t="inlineStr">
        <is>
          <t>1.1.4</t>
        </is>
      </c>
      <c r="B18" s="58" t="inlineStr">
        <is>
          <t>Guideway and Civil - Civil Interfaces</t>
        </is>
      </c>
      <c r="C18" s="36" t="n">
        <v>3</v>
      </c>
      <c r="D18" s="23" t="inlineStr">
        <is>
          <t>0 governed relationships</t>
        </is>
      </c>
      <c r="E18" s="23" t="inlineStr">
        <is>
          <t>0 governed relationships</t>
        </is>
      </c>
      <c r="F18" s="23" t="inlineStr">
        <is>
          <t>0 governed relationships</t>
        </is>
      </c>
      <c r="G18" s="23" t="inlineStr">
        <is>
          <t>0 governed relationships</t>
        </is>
      </c>
      <c r="H18" s="36" t="n">
        <v>0</v>
      </c>
      <c r="I18" s="36" t="n">
        <v>0</v>
      </c>
      <c r="J18" s="23" t="inlineStr">
        <is>
          <t>Partial: No governed schedule or cost relationships in this WBS branch.</t>
        </is>
      </c>
      <c r="K18" s="14" t="inlineStr">
        <is>
          <t>08 CROSSWALK</t>
        </is>
      </c>
    </row>
    <row r="19" ht="34" customHeight="1">
      <c r="A19" s="23" t="inlineStr">
        <is>
          <t>1.1.4.1</t>
        </is>
      </c>
      <c r="B19" s="59" t="inlineStr">
        <is>
          <t>Civil Interfaces - East Segment</t>
        </is>
      </c>
      <c r="C19" s="36" t="n">
        <v>4</v>
      </c>
      <c r="D19" s="23" t="inlineStr">
        <is>
          <t>0 governed relationships</t>
        </is>
      </c>
      <c r="E19" s="23" t="inlineStr">
        <is>
          <t>0 governed relationships</t>
        </is>
      </c>
      <c r="F19" s="23" t="inlineStr">
        <is>
          <t>0 governed relationships</t>
        </is>
      </c>
      <c r="G19" s="23" t="inlineStr">
        <is>
          <t>0 governed relationships</t>
        </is>
      </c>
      <c r="H19" s="36" t="n">
        <v>0</v>
      </c>
      <c r="I19" s="36" t="n">
        <v>0</v>
      </c>
      <c r="J19" s="23" t="inlineStr">
        <is>
          <t>Partial: No governed schedule or cost relationships in this WBS branch.</t>
        </is>
      </c>
      <c r="K19" s="14" t="inlineStr">
        <is>
          <t>08 CROSSWALK</t>
        </is>
      </c>
    </row>
    <row r="20" ht="34" customHeight="1">
      <c r="A20" s="23" t="inlineStr">
        <is>
          <t>1.1.4.2</t>
        </is>
      </c>
      <c r="B20" s="59" t="inlineStr">
        <is>
          <t>Civil Interfaces - West Segment</t>
        </is>
      </c>
      <c r="C20" s="36" t="n">
        <v>4</v>
      </c>
      <c r="D20" s="23" t="inlineStr">
        <is>
          <t>0 governed relationships</t>
        </is>
      </c>
      <c r="E20" s="23" t="inlineStr">
        <is>
          <t>0 governed relationships</t>
        </is>
      </c>
      <c r="F20" s="23" t="inlineStr">
        <is>
          <t>0 governed relationships</t>
        </is>
      </c>
      <c r="G20" s="23" t="inlineStr">
        <is>
          <t>0 governed relationships</t>
        </is>
      </c>
      <c r="H20" s="36" t="n">
        <v>0</v>
      </c>
      <c r="I20" s="36" t="n">
        <v>0</v>
      </c>
      <c r="J20" s="23" t="inlineStr">
        <is>
          <t>Partial: No governed schedule or cost relationships in this WBS branch.</t>
        </is>
      </c>
      <c r="K20" s="14" t="inlineStr">
        <is>
          <t>08 CROSSWALK</t>
        </is>
      </c>
    </row>
    <row r="21" ht="64" customHeight="1">
      <c r="A21" s="23" t="inlineStr">
        <is>
          <t>1.2</t>
        </is>
      </c>
      <c r="B21" s="57" t="inlineStr">
        <is>
          <t>Stations</t>
        </is>
      </c>
      <c r="C21" s="36" t="n">
        <v>2</v>
      </c>
      <c r="D21" s="23" t="inlineStr">
        <is>
          <t>180 governed relationships</t>
        </is>
      </c>
      <c r="E21" s="23" t="inlineStr">
        <is>
          <t>80 governed relationships</t>
        </is>
      </c>
      <c r="F21" s="23" t="inlineStr">
        <is>
          <t>12 governed relationships</t>
        </is>
      </c>
      <c r="G21" s="23" t="inlineStr">
        <is>
          <t>0 governed relationships</t>
        </is>
      </c>
      <c r="H21" s="36" t="n">
        <v>0</v>
      </c>
      <c r="I21" s="36" t="n">
        <v>2</v>
      </c>
      <c r="J21" s="23" t="inlineStr">
        <is>
          <t>Aligned: Schedule and cost both relate through this WBS branch. 12 package/contract relationships also project through this branch.</t>
        </is>
      </c>
      <c r="K21" s="14" t="inlineStr">
        <is>
          <t>08 CROSSWALK</t>
        </is>
      </c>
    </row>
    <row r="22" ht="34" customHeight="1">
      <c r="A22" s="23" t="inlineStr">
        <is>
          <t>1.2.1</t>
        </is>
      </c>
      <c r="B22" s="58" t="inlineStr">
        <is>
          <t>Stations - Station Structures</t>
        </is>
      </c>
      <c r="C22" s="36" t="n">
        <v>3</v>
      </c>
      <c r="D22" s="23" t="inlineStr">
        <is>
          <t>120 governed relationships</t>
        </is>
      </c>
      <c r="E22" s="23" t="inlineStr">
        <is>
          <t>40 governed relationships</t>
        </is>
      </c>
      <c r="F22" s="23" t="inlineStr">
        <is>
          <t>0 governed relationships</t>
        </is>
      </c>
      <c r="G22" s="23" t="inlineStr">
        <is>
          <t>0 governed relationships</t>
        </is>
      </c>
      <c r="H22" s="36" t="n">
        <v>0</v>
      </c>
      <c r="I22" s="36" t="n">
        <v>0</v>
      </c>
      <c r="J22" s="23" t="inlineStr">
        <is>
          <t>Aligned: Schedule and cost both relate through this WBS branch.</t>
        </is>
      </c>
      <c r="K22" s="14" t="inlineStr">
        <is>
          <t>08 CROSSWALK</t>
        </is>
      </c>
    </row>
    <row r="23" ht="34" customHeight="1">
      <c r="A23" s="23" t="inlineStr">
        <is>
          <t>1.2.1.1</t>
        </is>
      </c>
      <c r="B23" s="59" t="inlineStr">
        <is>
          <t>Station Structures - Concourse &amp; Entries</t>
        </is>
      </c>
      <c r="C23" s="36" t="n">
        <v>4</v>
      </c>
      <c r="D23" s="23" t="inlineStr">
        <is>
          <t>0 governed relationships</t>
        </is>
      </c>
      <c r="E23" s="23" t="inlineStr">
        <is>
          <t>0 governed relationships</t>
        </is>
      </c>
      <c r="F23" s="23" t="inlineStr">
        <is>
          <t>0 governed relationships</t>
        </is>
      </c>
      <c r="G23" s="23" t="inlineStr">
        <is>
          <t>0 governed relationships</t>
        </is>
      </c>
      <c r="H23" s="36" t="n">
        <v>0</v>
      </c>
      <c r="I23" s="36" t="n">
        <v>0</v>
      </c>
      <c r="J23" s="23" t="inlineStr">
        <is>
          <t>Partial: No governed schedule or cost relationships in this WBS branch.</t>
        </is>
      </c>
      <c r="K23" s="14" t="inlineStr">
        <is>
          <t>08 CROSSWALK</t>
        </is>
      </c>
    </row>
    <row r="24" ht="34" customHeight="1">
      <c r="A24" s="23" t="inlineStr">
        <is>
          <t>1.2.1.2</t>
        </is>
      </c>
      <c r="B24" s="59" t="inlineStr">
        <is>
          <t>Station Structures - Platforms &amp; Back-of-House</t>
        </is>
      </c>
      <c r="C24" s="36" t="n">
        <v>4</v>
      </c>
      <c r="D24" s="23" t="inlineStr">
        <is>
          <t>0 governed relationships</t>
        </is>
      </c>
      <c r="E24" s="23" t="inlineStr">
        <is>
          <t>0 governed relationships</t>
        </is>
      </c>
      <c r="F24" s="23" t="inlineStr">
        <is>
          <t>0 governed relationships</t>
        </is>
      </c>
      <c r="G24" s="23" t="inlineStr">
        <is>
          <t>0 governed relationships</t>
        </is>
      </c>
      <c r="H24" s="36" t="n">
        <v>0</v>
      </c>
      <c r="I24" s="36" t="n">
        <v>0</v>
      </c>
      <c r="J24" s="23" t="inlineStr">
        <is>
          <t>Partial: No governed schedule or cost relationships in this WBS branch.</t>
        </is>
      </c>
      <c r="K24" s="14" t="inlineStr">
        <is>
          <t>08 CROSSWALK</t>
        </is>
      </c>
    </row>
    <row r="25" ht="34" customHeight="1">
      <c r="A25" s="23" t="inlineStr">
        <is>
          <t>1.2.2</t>
        </is>
      </c>
      <c r="B25" s="58" t="inlineStr">
        <is>
          <t>Stations - Architectural Fit-Out</t>
        </is>
      </c>
      <c r="C25" s="36" t="n">
        <v>3</v>
      </c>
      <c r="D25" s="23" t="inlineStr">
        <is>
          <t>60 governed relationships</t>
        </is>
      </c>
      <c r="E25" s="23" t="inlineStr">
        <is>
          <t>40 governed relationships</t>
        </is>
      </c>
      <c r="F25" s="23" t="inlineStr">
        <is>
          <t>0 governed relationships</t>
        </is>
      </c>
      <c r="G25" s="23" t="inlineStr">
        <is>
          <t>0 governed relationships</t>
        </is>
      </c>
      <c r="H25" s="36" t="n">
        <v>0</v>
      </c>
      <c r="I25" s="36" t="n">
        <v>1</v>
      </c>
      <c r="J25" s="23" t="inlineStr">
        <is>
          <t>Aligned: Schedule and cost both relate through this WBS branch.</t>
        </is>
      </c>
      <c r="K25" s="14" t="inlineStr">
        <is>
          <t>08 CROSSWALK</t>
        </is>
      </c>
    </row>
    <row r="26" ht="34" customHeight="1">
      <c r="A26" s="23" t="inlineStr">
        <is>
          <t>1.2.2.1</t>
        </is>
      </c>
      <c r="B26" s="59" t="inlineStr">
        <is>
          <t>Architectural Fit-Out - Concourse &amp; Entries</t>
        </is>
      </c>
      <c r="C26" s="36" t="n">
        <v>4</v>
      </c>
      <c r="D26" s="23" t="inlineStr">
        <is>
          <t>0 governed relationships</t>
        </is>
      </c>
      <c r="E26" s="23" t="inlineStr">
        <is>
          <t>0 governed relationships</t>
        </is>
      </c>
      <c r="F26" s="23" t="inlineStr">
        <is>
          <t>0 governed relationships</t>
        </is>
      </c>
      <c r="G26" s="23" t="inlineStr">
        <is>
          <t>0 governed relationships</t>
        </is>
      </c>
      <c r="H26" s="36" t="n">
        <v>0</v>
      </c>
      <c r="I26" s="36" t="n">
        <v>0</v>
      </c>
      <c r="J26" s="23" t="inlineStr">
        <is>
          <t>Partial: No governed schedule or cost relationships in this WBS branch.</t>
        </is>
      </c>
      <c r="K26" s="14" t="inlineStr">
        <is>
          <t>08 CROSSWALK</t>
        </is>
      </c>
    </row>
    <row r="27" ht="34" customHeight="1">
      <c r="A27" s="23" t="inlineStr">
        <is>
          <t>1.2.2.2</t>
        </is>
      </c>
      <c r="B27" s="59" t="inlineStr">
        <is>
          <t>Architectural Fit-Out - Platforms &amp; Back-of-House</t>
        </is>
      </c>
      <c r="C27" s="36" t="n">
        <v>4</v>
      </c>
      <c r="D27" s="23" t="inlineStr">
        <is>
          <t>0 governed relationships</t>
        </is>
      </c>
      <c r="E27" s="23" t="inlineStr">
        <is>
          <t>0 governed relationships</t>
        </is>
      </c>
      <c r="F27" s="23" t="inlineStr">
        <is>
          <t>0 governed relationships</t>
        </is>
      </c>
      <c r="G27" s="23" t="inlineStr">
        <is>
          <t>0 governed relationships</t>
        </is>
      </c>
      <c r="H27" s="36" t="n">
        <v>0</v>
      </c>
      <c r="I27" s="36" t="n">
        <v>0</v>
      </c>
      <c r="J27" s="23" t="inlineStr">
        <is>
          <t>Partial: No governed schedule or cost relationships in this WBS branch.</t>
        </is>
      </c>
      <c r="K27" s="14" t="inlineStr">
        <is>
          <t>08 CROSSWALK</t>
        </is>
      </c>
    </row>
    <row r="28" ht="34" customHeight="1">
      <c r="A28" s="23" t="inlineStr">
        <is>
          <t>1.2.3</t>
        </is>
      </c>
      <c r="B28" s="58" t="inlineStr">
        <is>
          <t>Stations - Station Building Services</t>
        </is>
      </c>
      <c r="C28" s="36" t="n">
        <v>3</v>
      </c>
      <c r="D28" s="23" t="inlineStr">
        <is>
          <t>0 governed relationships</t>
        </is>
      </c>
      <c r="E28" s="23" t="inlineStr">
        <is>
          <t>0 governed relationships</t>
        </is>
      </c>
      <c r="F28" s="23" t="inlineStr">
        <is>
          <t>0 governed relationships</t>
        </is>
      </c>
      <c r="G28" s="23" t="inlineStr">
        <is>
          <t>0 governed relationships</t>
        </is>
      </c>
      <c r="H28" s="36" t="n">
        <v>0</v>
      </c>
      <c r="I28" s="36" t="n">
        <v>0</v>
      </c>
      <c r="J28" s="23" t="inlineStr">
        <is>
          <t>Partial: No governed schedule or cost relationships in this WBS branch.</t>
        </is>
      </c>
      <c r="K28" s="14" t="inlineStr">
        <is>
          <t>08 CROSSWALK</t>
        </is>
      </c>
    </row>
    <row r="29" ht="34" customHeight="1">
      <c r="A29" s="23" t="inlineStr">
        <is>
          <t>1.2.3.1</t>
        </is>
      </c>
      <c r="B29" s="59" t="inlineStr">
        <is>
          <t>Station Building Services - Concourse &amp; Entries</t>
        </is>
      </c>
      <c r="C29" s="36" t="n">
        <v>4</v>
      </c>
      <c r="D29" s="23" t="inlineStr">
        <is>
          <t>0 governed relationships</t>
        </is>
      </c>
      <c r="E29" s="23" t="inlineStr">
        <is>
          <t>0 governed relationships</t>
        </is>
      </c>
      <c r="F29" s="23" t="inlineStr">
        <is>
          <t>0 governed relationships</t>
        </is>
      </c>
      <c r="G29" s="23" t="inlineStr">
        <is>
          <t>0 governed relationships</t>
        </is>
      </c>
      <c r="H29" s="36" t="n">
        <v>0</v>
      </c>
      <c r="I29" s="36" t="n">
        <v>0</v>
      </c>
      <c r="J29" s="23" t="inlineStr">
        <is>
          <t>Partial: No governed schedule or cost relationships in this WBS branch.</t>
        </is>
      </c>
      <c r="K29" s="14" t="inlineStr">
        <is>
          <t>08 CROSSWALK</t>
        </is>
      </c>
    </row>
    <row r="30" ht="34" customHeight="1">
      <c r="A30" s="23" t="inlineStr">
        <is>
          <t>1.2.3.2</t>
        </is>
      </c>
      <c r="B30" s="59" t="inlineStr">
        <is>
          <t>Station Building Services - Platforms &amp; Back-of-House</t>
        </is>
      </c>
      <c r="C30" s="36" t="n">
        <v>4</v>
      </c>
      <c r="D30" s="23" t="inlineStr">
        <is>
          <t>0 governed relationships</t>
        </is>
      </c>
      <c r="E30" s="23" t="inlineStr">
        <is>
          <t>0 governed relationships</t>
        </is>
      </c>
      <c r="F30" s="23" t="inlineStr">
        <is>
          <t>0 governed relationships</t>
        </is>
      </c>
      <c r="G30" s="23" t="inlineStr">
        <is>
          <t>0 governed relationships</t>
        </is>
      </c>
      <c r="H30" s="36" t="n">
        <v>0</v>
      </c>
      <c r="I30" s="36" t="n">
        <v>0</v>
      </c>
      <c r="J30" s="23" t="inlineStr">
        <is>
          <t>Partial: No governed schedule or cost relationships in this WBS branch.</t>
        </is>
      </c>
      <c r="K30" s="14" t="inlineStr">
        <is>
          <t>08 CROSSWALK</t>
        </is>
      </c>
    </row>
    <row r="31" ht="34" customHeight="1">
      <c r="A31" s="23" t="inlineStr">
        <is>
          <t>1.2.4</t>
        </is>
      </c>
      <c r="B31" s="58" t="inlineStr">
        <is>
          <t>Stations - Public Realm</t>
        </is>
      </c>
      <c r="C31" s="36" t="n">
        <v>3</v>
      </c>
      <c r="D31" s="23" t="inlineStr">
        <is>
          <t>0 governed relationships</t>
        </is>
      </c>
      <c r="E31" s="23" t="inlineStr">
        <is>
          <t>0 governed relationships</t>
        </is>
      </c>
      <c r="F31" s="23" t="inlineStr">
        <is>
          <t>0 governed relationships</t>
        </is>
      </c>
      <c r="G31" s="23" t="inlineStr">
        <is>
          <t>0 governed relationships</t>
        </is>
      </c>
      <c r="H31" s="36" t="n">
        <v>0</v>
      </c>
      <c r="I31" s="36" t="n">
        <v>0</v>
      </c>
      <c r="J31" s="23" t="inlineStr">
        <is>
          <t>Partial: No governed schedule or cost relationships in this WBS branch.</t>
        </is>
      </c>
      <c r="K31" s="14" t="inlineStr">
        <is>
          <t>08 CROSSWALK</t>
        </is>
      </c>
    </row>
    <row r="32" ht="34" customHeight="1">
      <c r="A32" s="23" t="inlineStr">
        <is>
          <t>1.2.4.1</t>
        </is>
      </c>
      <c r="B32" s="59" t="inlineStr">
        <is>
          <t>Public Realm - Concourse &amp; Entries</t>
        </is>
      </c>
      <c r="C32" s="36" t="n">
        <v>4</v>
      </c>
      <c r="D32" s="23" t="inlineStr">
        <is>
          <t>0 governed relationships</t>
        </is>
      </c>
      <c r="E32" s="23" t="inlineStr">
        <is>
          <t>0 governed relationships</t>
        </is>
      </c>
      <c r="F32" s="23" t="inlineStr">
        <is>
          <t>0 governed relationships</t>
        </is>
      </c>
      <c r="G32" s="23" t="inlineStr">
        <is>
          <t>0 governed relationships</t>
        </is>
      </c>
      <c r="H32" s="36" t="n">
        <v>0</v>
      </c>
      <c r="I32" s="36" t="n">
        <v>0</v>
      </c>
      <c r="J32" s="23" t="inlineStr">
        <is>
          <t>Partial: No governed schedule or cost relationships in this WBS branch.</t>
        </is>
      </c>
      <c r="K32" s="14" t="inlineStr">
        <is>
          <t>08 CROSSWALK</t>
        </is>
      </c>
    </row>
    <row r="33" ht="34" customHeight="1">
      <c r="A33" s="23" t="inlineStr">
        <is>
          <t>1.2.4.2</t>
        </is>
      </c>
      <c r="B33" s="59" t="inlineStr">
        <is>
          <t>Public Realm - Platforms &amp; Back-of-House</t>
        </is>
      </c>
      <c r="C33" s="36" t="n">
        <v>4</v>
      </c>
      <c r="D33" s="23" t="inlineStr">
        <is>
          <t>0 governed relationships</t>
        </is>
      </c>
      <c r="E33" s="23" t="inlineStr">
        <is>
          <t>0 governed relationships</t>
        </is>
      </c>
      <c r="F33" s="23" t="inlineStr">
        <is>
          <t>0 governed relationships</t>
        </is>
      </c>
      <c r="G33" s="23" t="inlineStr">
        <is>
          <t>0 governed relationships</t>
        </is>
      </c>
      <c r="H33" s="36" t="n">
        <v>0</v>
      </c>
      <c r="I33" s="36" t="n">
        <v>0</v>
      </c>
      <c r="J33" s="23" t="inlineStr">
        <is>
          <t>Partial: No governed schedule or cost relationships in this WBS branch.</t>
        </is>
      </c>
      <c r="K33" s="14" t="inlineStr">
        <is>
          <t>08 CROSSWALK</t>
        </is>
      </c>
    </row>
    <row r="34" ht="64" customHeight="1">
      <c r="A34" s="23" t="inlineStr">
        <is>
          <t>1.3</t>
        </is>
      </c>
      <c r="B34" s="57" t="inlineStr">
        <is>
          <t>Systems</t>
        </is>
      </c>
      <c r="C34" s="36" t="n">
        <v>2</v>
      </c>
      <c r="D34" s="23" t="inlineStr">
        <is>
          <t>179 governed relationships</t>
        </is>
      </c>
      <c r="E34" s="23" t="inlineStr">
        <is>
          <t>79 governed relationships</t>
        </is>
      </c>
      <c r="F34" s="23" t="inlineStr">
        <is>
          <t>10 governed relationships</t>
        </is>
      </c>
      <c r="G34" s="23" t="inlineStr">
        <is>
          <t>0 governed relationships</t>
        </is>
      </c>
      <c r="H34" s="36" t="n">
        <v>0</v>
      </c>
      <c r="I34" s="36" t="n">
        <v>0</v>
      </c>
      <c r="J34" s="23" t="inlineStr">
        <is>
          <t>Aligned: Schedule and cost both relate through this WBS branch. 10 package/contract relationships also project through this branch.</t>
        </is>
      </c>
      <c r="K34" s="14" t="inlineStr">
        <is>
          <t>08 CROSSWALK</t>
        </is>
      </c>
    </row>
    <row r="35" ht="34" customHeight="1">
      <c r="A35" s="23" t="inlineStr">
        <is>
          <t>1.3.1</t>
        </is>
      </c>
      <c r="B35" s="58" t="inlineStr">
        <is>
          <t>Systems - Traction Power</t>
        </is>
      </c>
      <c r="C35" s="36" t="n">
        <v>3</v>
      </c>
      <c r="D35" s="23" t="inlineStr">
        <is>
          <t>119 governed relationships</t>
        </is>
      </c>
      <c r="E35" s="23" t="inlineStr">
        <is>
          <t>40 governed relationships</t>
        </is>
      </c>
      <c r="F35" s="23" t="inlineStr">
        <is>
          <t>0 governed relationships</t>
        </is>
      </c>
      <c r="G35" s="23" t="inlineStr">
        <is>
          <t>0 governed relationships</t>
        </is>
      </c>
      <c r="H35" s="36" t="n">
        <v>0</v>
      </c>
      <c r="I35" s="36" t="n">
        <v>0</v>
      </c>
      <c r="J35" s="23" t="inlineStr">
        <is>
          <t>Aligned: Schedule and cost both relate through this WBS branch.</t>
        </is>
      </c>
      <c r="K35" s="14" t="inlineStr">
        <is>
          <t>08 CROSSWALK</t>
        </is>
      </c>
    </row>
    <row r="36" ht="34" customHeight="1">
      <c r="A36" s="23" t="inlineStr">
        <is>
          <t>1.3.1.1</t>
        </is>
      </c>
      <c r="B36" s="59" t="inlineStr">
        <is>
          <t>Traction Power - Wayside</t>
        </is>
      </c>
      <c r="C36" s="36" t="n">
        <v>4</v>
      </c>
      <c r="D36" s="23" t="inlineStr">
        <is>
          <t>0 governed relationships</t>
        </is>
      </c>
      <c r="E36" s="23" t="inlineStr">
        <is>
          <t>0 governed relationships</t>
        </is>
      </c>
      <c r="F36" s="23" t="inlineStr">
        <is>
          <t>0 governed relationships</t>
        </is>
      </c>
      <c r="G36" s="23" t="inlineStr">
        <is>
          <t>0 governed relationships</t>
        </is>
      </c>
      <c r="H36" s="36" t="n">
        <v>0</v>
      </c>
      <c r="I36" s="36" t="n">
        <v>0</v>
      </c>
      <c r="J36" s="23" t="inlineStr">
        <is>
          <t>Partial: No governed schedule or cost relationships in this WBS branch.</t>
        </is>
      </c>
      <c r="K36" s="14" t="inlineStr">
        <is>
          <t>08 CROSSWALK</t>
        </is>
      </c>
    </row>
    <row r="37" ht="34" customHeight="1">
      <c r="A37" s="23" t="inlineStr">
        <is>
          <t>1.3.1.2</t>
        </is>
      </c>
      <c r="B37" s="59" t="inlineStr">
        <is>
          <t>Traction Power - Control Centre &amp; Stations</t>
        </is>
      </c>
      <c r="C37" s="36" t="n">
        <v>4</v>
      </c>
      <c r="D37" s="23" t="inlineStr">
        <is>
          <t>0 governed relationships</t>
        </is>
      </c>
      <c r="E37" s="23" t="inlineStr">
        <is>
          <t>0 governed relationships</t>
        </is>
      </c>
      <c r="F37" s="23" t="inlineStr">
        <is>
          <t>0 governed relationships</t>
        </is>
      </c>
      <c r="G37" s="23" t="inlineStr">
        <is>
          <t>0 governed relationships</t>
        </is>
      </c>
      <c r="H37" s="36" t="n">
        <v>0</v>
      </c>
      <c r="I37" s="36" t="n">
        <v>0</v>
      </c>
      <c r="J37" s="23" t="inlineStr">
        <is>
          <t>Partial: No governed schedule or cost relationships in this WBS branch.</t>
        </is>
      </c>
      <c r="K37" s="14" t="inlineStr">
        <is>
          <t>08 CROSSWALK</t>
        </is>
      </c>
    </row>
    <row r="38" ht="34" customHeight="1">
      <c r="A38" s="23" t="inlineStr">
        <is>
          <t>1.3.2</t>
        </is>
      </c>
      <c r="B38" s="58" t="inlineStr">
        <is>
          <t>Systems - Signalling &amp; Train Control</t>
        </is>
      </c>
      <c r="C38" s="36" t="n">
        <v>3</v>
      </c>
      <c r="D38" s="23" t="inlineStr">
        <is>
          <t>60 governed relationships</t>
        </is>
      </c>
      <c r="E38" s="23" t="inlineStr">
        <is>
          <t>39 governed relationships</t>
        </is>
      </c>
      <c r="F38" s="23" t="inlineStr">
        <is>
          <t>0 governed relationships</t>
        </is>
      </c>
      <c r="G38" s="23" t="inlineStr">
        <is>
          <t>0 governed relationships</t>
        </is>
      </c>
      <c r="H38" s="36" t="n">
        <v>0</v>
      </c>
      <c r="I38" s="36" t="n">
        <v>0</v>
      </c>
      <c r="J38" s="23" t="inlineStr">
        <is>
          <t>Aligned: Schedule and cost both relate through this WBS branch.</t>
        </is>
      </c>
      <c r="K38" s="14" t="inlineStr">
        <is>
          <t>08 CROSSWALK</t>
        </is>
      </c>
    </row>
    <row r="39" ht="34" customHeight="1">
      <c r="A39" s="23" t="inlineStr">
        <is>
          <t>1.3.2.1</t>
        </is>
      </c>
      <c r="B39" s="59" t="inlineStr">
        <is>
          <t>Signalling &amp; Train Control - Wayside</t>
        </is>
      </c>
      <c r="C39" s="36" t="n">
        <v>4</v>
      </c>
      <c r="D39" s="23" t="inlineStr">
        <is>
          <t>0 governed relationships</t>
        </is>
      </c>
      <c r="E39" s="23" t="inlineStr">
        <is>
          <t>0 governed relationships</t>
        </is>
      </c>
      <c r="F39" s="23" t="inlineStr">
        <is>
          <t>0 governed relationships</t>
        </is>
      </c>
      <c r="G39" s="23" t="inlineStr">
        <is>
          <t>0 governed relationships</t>
        </is>
      </c>
      <c r="H39" s="36" t="n">
        <v>0</v>
      </c>
      <c r="I39" s="36" t="n">
        <v>0</v>
      </c>
      <c r="J39" s="23" t="inlineStr">
        <is>
          <t>Partial: No governed schedule or cost relationships in this WBS branch.</t>
        </is>
      </c>
      <c r="K39" s="14" t="inlineStr">
        <is>
          <t>08 CROSSWALK</t>
        </is>
      </c>
    </row>
    <row r="40" ht="34" customHeight="1">
      <c r="A40" s="23" t="inlineStr">
        <is>
          <t>1.3.2.2</t>
        </is>
      </c>
      <c r="B40" s="59" t="inlineStr">
        <is>
          <t>Signalling &amp; Train Control - Control Centre &amp; Stations</t>
        </is>
      </c>
      <c r="C40" s="36" t="n">
        <v>4</v>
      </c>
      <c r="D40" s="23" t="inlineStr">
        <is>
          <t>0 governed relationships</t>
        </is>
      </c>
      <c r="E40" s="23" t="inlineStr">
        <is>
          <t>0 governed relationships</t>
        </is>
      </c>
      <c r="F40" s="23" t="inlineStr">
        <is>
          <t>0 governed relationships</t>
        </is>
      </c>
      <c r="G40" s="23" t="inlineStr">
        <is>
          <t>0 governed relationships</t>
        </is>
      </c>
      <c r="H40" s="36" t="n">
        <v>0</v>
      </c>
      <c r="I40" s="36" t="n">
        <v>0</v>
      </c>
      <c r="J40" s="23" t="inlineStr">
        <is>
          <t>Partial: No governed schedule or cost relationships in this WBS branch.</t>
        </is>
      </c>
      <c r="K40" s="14" t="inlineStr">
        <is>
          <t>08 CROSSWALK</t>
        </is>
      </c>
    </row>
    <row r="41" ht="34" customHeight="1">
      <c r="A41" s="23" t="inlineStr">
        <is>
          <t>1.3.3</t>
        </is>
      </c>
      <c r="B41" s="58" t="inlineStr">
        <is>
          <t>Systems - Communications</t>
        </is>
      </c>
      <c r="C41" s="36" t="n">
        <v>3</v>
      </c>
      <c r="D41" s="23" t="inlineStr">
        <is>
          <t>0 governed relationships</t>
        </is>
      </c>
      <c r="E41" s="23" t="inlineStr">
        <is>
          <t>0 governed relationships</t>
        </is>
      </c>
      <c r="F41" s="23" t="inlineStr">
        <is>
          <t>0 governed relationships</t>
        </is>
      </c>
      <c r="G41" s="23" t="inlineStr">
        <is>
          <t>0 governed relationships</t>
        </is>
      </c>
      <c r="H41" s="36" t="n">
        <v>0</v>
      </c>
      <c r="I41" s="36" t="n">
        <v>0</v>
      </c>
      <c r="J41" s="23" t="inlineStr">
        <is>
          <t>Partial: No governed schedule or cost relationships in this WBS branch.</t>
        </is>
      </c>
      <c r="K41" s="14" t="inlineStr">
        <is>
          <t>08 CROSSWALK</t>
        </is>
      </c>
    </row>
    <row r="42" ht="34" customHeight="1">
      <c r="A42" s="23" t="inlineStr">
        <is>
          <t>1.3.3.1</t>
        </is>
      </c>
      <c r="B42" s="59" t="inlineStr">
        <is>
          <t>Communications - Wayside</t>
        </is>
      </c>
      <c r="C42" s="36" t="n">
        <v>4</v>
      </c>
      <c r="D42" s="23" t="inlineStr">
        <is>
          <t>0 governed relationships</t>
        </is>
      </c>
      <c r="E42" s="23" t="inlineStr">
        <is>
          <t>0 governed relationships</t>
        </is>
      </c>
      <c r="F42" s="23" t="inlineStr">
        <is>
          <t>0 governed relationships</t>
        </is>
      </c>
      <c r="G42" s="23" t="inlineStr">
        <is>
          <t>0 governed relationships</t>
        </is>
      </c>
      <c r="H42" s="36" t="n">
        <v>0</v>
      </c>
      <c r="I42" s="36" t="n">
        <v>0</v>
      </c>
      <c r="J42" s="23" t="inlineStr">
        <is>
          <t>Partial: No governed schedule or cost relationships in this WBS branch.</t>
        </is>
      </c>
      <c r="K42" s="14" t="inlineStr">
        <is>
          <t>08 CROSSWALK</t>
        </is>
      </c>
    </row>
    <row r="43" ht="34" customHeight="1">
      <c r="A43" s="23" t="inlineStr">
        <is>
          <t>1.3.3.2</t>
        </is>
      </c>
      <c r="B43" s="59" t="inlineStr">
        <is>
          <t>Communications - Control Centre &amp; Stations</t>
        </is>
      </c>
      <c r="C43" s="36" t="n">
        <v>4</v>
      </c>
      <c r="D43" s="23" t="inlineStr">
        <is>
          <t>0 governed relationships</t>
        </is>
      </c>
      <c r="E43" s="23" t="inlineStr">
        <is>
          <t>0 governed relationships</t>
        </is>
      </c>
      <c r="F43" s="23" t="inlineStr">
        <is>
          <t>0 governed relationships</t>
        </is>
      </c>
      <c r="G43" s="23" t="inlineStr">
        <is>
          <t>0 governed relationships</t>
        </is>
      </c>
      <c r="H43" s="36" t="n">
        <v>0</v>
      </c>
      <c r="I43" s="36" t="n">
        <v>0</v>
      </c>
      <c r="J43" s="23" t="inlineStr">
        <is>
          <t>Partial: No governed schedule or cost relationships in this WBS branch.</t>
        </is>
      </c>
      <c r="K43" s="14" t="inlineStr">
        <is>
          <t>08 CROSSWALK</t>
        </is>
      </c>
    </row>
    <row r="44" ht="34" customHeight="1">
      <c r="A44" s="23" t="inlineStr">
        <is>
          <t>1.3.4</t>
        </is>
      </c>
      <c r="B44" s="58" t="inlineStr">
        <is>
          <t>Systems - Systems Integration</t>
        </is>
      </c>
      <c r="C44" s="36" t="n">
        <v>3</v>
      </c>
      <c r="D44" s="23" t="inlineStr">
        <is>
          <t>0 governed relationships</t>
        </is>
      </c>
      <c r="E44" s="23" t="inlineStr">
        <is>
          <t>0 governed relationships</t>
        </is>
      </c>
      <c r="F44" s="23" t="inlineStr">
        <is>
          <t>0 governed relationships</t>
        </is>
      </c>
      <c r="G44" s="23" t="inlineStr">
        <is>
          <t>0 governed relationships</t>
        </is>
      </c>
      <c r="H44" s="36" t="n">
        <v>0</v>
      </c>
      <c r="I44" s="36" t="n">
        <v>0</v>
      </c>
      <c r="J44" s="23" t="inlineStr">
        <is>
          <t>Partial: No governed schedule or cost relationships in this WBS branch.</t>
        </is>
      </c>
      <c r="K44" s="14" t="inlineStr">
        <is>
          <t>08 CROSSWALK</t>
        </is>
      </c>
    </row>
    <row r="45" ht="34" customHeight="1">
      <c r="A45" s="23" t="inlineStr">
        <is>
          <t>1.3.4.1</t>
        </is>
      </c>
      <c r="B45" s="59" t="inlineStr">
        <is>
          <t>Systems Integration - Wayside</t>
        </is>
      </c>
      <c r="C45" s="36" t="n">
        <v>4</v>
      </c>
      <c r="D45" s="23" t="inlineStr">
        <is>
          <t>0 governed relationships</t>
        </is>
      </c>
      <c r="E45" s="23" t="inlineStr">
        <is>
          <t>0 governed relationships</t>
        </is>
      </c>
      <c r="F45" s="23" t="inlineStr">
        <is>
          <t>0 governed relationships</t>
        </is>
      </c>
      <c r="G45" s="23" t="inlineStr">
        <is>
          <t>0 governed relationships</t>
        </is>
      </c>
      <c r="H45" s="36" t="n">
        <v>0</v>
      </c>
      <c r="I45" s="36" t="n">
        <v>0</v>
      </c>
      <c r="J45" s="23" t="inlineStr">
        <is>
          <t>Partial: No governed schedule or cost relationships in this WBS branch.</t>
        </is>
      </c>
      <c r="K45" s="14" t="inlineStr">
        <is>
          <t>08 CROSSWALK</t>
        </is>
      </c>
    </row>
    <row r="46" ht="34" customHeight="1">
      <c r="A46" s="23" t="inlineStr">
        <is>
          <t>1.3.4.2</t>
        </is>
      </c>
      <c r="B46" s="59" t="inlineStr">
        <is>
          <t>Systems Integration - Control Centre &amp; Stations</t>
        </is>
      </c>
      <c r="C46" s="36" t="n">
        <v>4</v>
      </c>
      <c r="D46" s="23" t="inlineStr">
        <is>
          <t>0 governed relationships</t>
        </is>
      </c>
      <c r="E46" s="23" t="inlineStr">
        <is>
          <t>0 governed relationships</t>
        </is>
      </c>
      <c r="F46" s="23" t="inlineStr">
        <is>
          <t>0 governed relationships</t>
        </is>
      </c>
      <c r="G46" s="23" t="inlineStr">
        <is>
          <t>0 governed relationships</t>
        </is>
      </c>
      <c r="H46" s="36" t="n">
        <v>0</v>
      </c>
      <c r="I46" s="36" t="n">
        <v>0</v>
      </c>
      <c r="J46" s="23" t="inlineStr">
        <is>
          <t>Partial: No governed schedule or cost relationships in this WBS branch.</t>
        </is>
      </c>
      <c r="K46" s="14" t="inlineStr">
        <is>
          <t>08 CROSSWALK</t>
        </is>
      </c>
    </row>
    <row r="47" ht="64" customHeight="1">
      <c r="A47" s="23" t="inlineStr">
        <is>
          <t>1.4</t>
        </is>
      </c>
      <c r="B47" s="57" t="inlineStr">
        <is>
          <t>Vehicles and Depot</t>
        </is>
      </c>
      <c r="C47" s="36" t="n">
        <v>2</v>
      </c>
      <c r="D47" s="23" t="inlineStr">
        <is>
          <t>179 governed relationships</t>
        </is>
      </c>
      <c r="E47" s="23" t="inlineStr">
        <is>
          <t>80 governed relationships</t>
        </is>
      </c>
      <c r="F47" s="23" t="inlineStr">
        <is>
          <t>10 governed relationships</t>
        </is>
      </c>
      <c r="G47" s="23" t="inlineStr">
        <is>
          <t>0 governed relationships</t>
        </is>
      </c>
      <c r="H47" s="36" t="n">
        <v>0</v>
      </c>
      <c r="I47" s="36" t="n">
        <v>0</v>
      </c>
      <c r="J47" s="23" t="inlineStr">
        <is>
          <t>Aligned: Schedule and cost both relate through this WBS branch. 10 package/contract relationships also project through this branch.</t>
        </is>
      </c>
      <c r="K47" s="14" t="inlineStr">
        <is>
          <t>08 CROSSWALK</t>
        </is>
      </c>
    </row>
    <row r="48" ht="34" customHeight="1">
      <c r="A48" s="23" t="inlineStr">
        <is>
          <t>1.4.1</t>
        </is>
      </c>
      <c r="B48" s="58" t="inlineStr">
        <is>
          <t>Vehicles and Depot - Fleet Supply</t>
        </is>
      </c>
      <c r="C48" s="36" t="n">
        <v>3</v>
      </c>
      <c r="D48" s="23" t="inlineStr">
        <is>
          <t>120 governed relationships</t>
        </is>
      </c>
      <c r="E48" s="23" t="inlineStr">
        <is>
          <t>40 governed relationships</t>
        </is>
      </c>
      <c r="F48" s="23" t="inlineStr">
        <is>
          <t>0 governed relationships</t>
        </is>
      </c>
      <c r="G48" s="23" t="inlineStr">
        <is>
          <t>0 governed relationships</t>
        </is>
      </c>
      <c r="H48" s="36" t="n">
        <v>0</v>
      </c>
      <c r="I48" s="36" t="n">
        <v>0</v>
      </c>
      <c r="J48" s="23" t="inlineStr">
        <is>
          <t>Aligned: Schedule and cost both relate through this WBS branch.</t>
        </is>
      </c>
      <c r="K48" s="14" t="inlineStr">
        <is>
          <t>08 CROSSWALK</t>
        </is>
      </c>
    </row>
    <row r="49" ht="34" customHeight="1">
      <c r="A49" s="23" t="inlineStr">
        <is>
          <t>1.4.1.1</t>
        </is>
      </c>
      <c r="B49" s="59" t="inlineStr">
        <is>
          <t>Fleet Supply - Maintenance Facility</t>
        </is>
      </c>
      <c r="C49" s="36" t="n">
        <v>4</v>
      </c>
      <c r="D49" s="23" t="inlineStr">
        <is>
          <t>0 governed relationships</t>
        </is>
      </c>
      <c r="E49" s="23" t="inlineStr">
        <is>
          <t>0 governed relationships</t>
        </is>
      </c>
      <c r="F49" s="23" t="inlineStr">
        <is>
          <t>0 governed relationships</t>
        </is>
      </c>
      <c r="G49" s="23" t="inlineStr">
        <is>
          <t>0 governed relationships</t>
        </is>
      </c>
      <c r="H49" s="36" t="n">
        <v>0</v>
      </c>
      <c r="I49" s="36" t="n">
        <v>0</v>
      </c>
      <c r="J49" s="23" t="inlineStr">
        <is>
          <t>Partial: No governed schedule or cost relationships in this WBS branch.</t>
        </is>
      </c>
      <c r="K49" s="14" t="inlineStr">
        <is>
          <t>08 CROSSWALK</t>
        </is>
      </c>
    </row>
    <row r="50" ht="34" customHeight="1">
      <c r="A50" s="23" t="inlineStr">
        <is>
          <t>1.4.1.2</t>
        </is>
      </c>
      <c r="B50" s="59" t="inlineStr">
        <is>
          <t>Fleet Supply - Storage &amp; Commissioning Yard</t>
        </is>
      </c>
      <c r="C50" s="36" t="n">
        <v>4</v>
      </c>
      <c r="D50" s="23" t="inlineStr">
        <is>
          <t>0 governed relationships</t>
        </is>
      </c>
      <c r="E50" s="23" t="inlineStr">
        <is>
          <t>0 governed relationships</t>
        </is>
      </c>
      <c r="F50" s="23" t="inlineStr">
        <is>
          <t>0 governed relationships</t>
        </is>
      </c>
      <c r="G50" s="23" t="inlineStr">
        <is>
          <t>0 governed relationships</t>
        </is>
      </c>
      <c r="H50" s="36" t="n">
        <v>0</v>
      </c>
      <c r="I50" s="36" t="n">
        <v>0</v>
      </c>
      <c r="J50" s="23" t="inlineStr">
        <is>
          <t>Partial: No governed schedule or cost relationships in this WBS branch.</t>
        </is>
      </c>
      <c r="K50" s="14" t="inlineStr">
        <is>
          <t>08 CROSSWALK</t>
        </is>
      </c>
    </row>
    <row r="51" ht="34" customHeight="1">
      <c r="A51" s="23" t="inlineStr">
        <is>
          <t>1.4.2</t>
        </is>
      </c>
      <c r="B51" s="58" t="inlineStr">
        <is>
          <t>Vehicles and Depot - Depot Buildings</t>
        </is>
      </c>
      <c r="C51" s="36" t="n">
        <v>3</v>
      </c>
      <c r="D51" s="23" t="inlineStr">
        <is>
          <t>59 governed relationships</t>
        </is>
      </c>
      <c r="E51" s="23" t="inlineStr">
        <is>
          <t>40 governed relationships</t>
        </is>
      </c>
      <c r="F51" s="23" t="inlineStr">
        <is>
          <t>0 governed relationships</t>
        </is>
      </c>
      <c r="G51" s="23" t="inlineStr">
        <is>
          <t>0 governed relationships</t>
        </is>
      </c>
      <c r="H51" s="36" t="n">
        <v>0</v>
      </c>
      <c r="I51" s="36" t="n">
        <v>0</v>
      </c>
      <c r="J51" s="23" t="inlineStr">
        <is>
          <t>Aligned: Schedule and cost both relate through this WBS branch.</t>
        </is>
      </c>
      <c r="K51" s="14" t="inlineStr">
        <is>
          <t>08 CROSSWALK</t>
        </is>
      </c>
    </row>
    <row r="52" ht="34" customHeight="1">
      <c r="A52" s="23" t="inlineStr">
        <is>
          <t>1.4.2.1</t>
        </is>
      </c>
      <c r="B52" s="59" t="inlineStr">
        <is>
          <t>Depot Buildings - Maintenance Facility</t>
        </is>
      </c>
      <c r="C52" s="36" t="n">
        <v>4</v>
      </c>
      <c r="D52" s="23" t="inlineStr">
        <is>
          <t>0 governed relationships</t>
        </is>
      </c>
      <c r="E52" s="23" t="inlineStr">
        <is>
          <t>0 governed relationships</t>
        </is>
      </c>
      <c r="F52" s="23" t="inlineStr">
        <is>
          <t>0 governed relationships</t>
        </is>
      </c>
      <c r="G52" s="23" t="inlineStr">
        <is>
          <t>0 governed relationships</t>
        </is>
      </c>
      <c r="H52" s="36" t="n">
        <v>0</v>
      </c>
      <c r="I52" s="36" t="n">
        <v>0</v>
      </c>
      <c r="J52" s="23" t="inlineStr">
        <is>
          <t>Partial: No governed schedule or cost relationships in this WBS branch.</t>
        </is>
      </c>
      <c r="K52" s="14" t="inlineStr">
        <is>
          <t>08 CROSSWALK</t>
        </is>
      </c>
    </row>
    <row r="53" ht="34" customHeight="1">
      <c r="A53" s="23" t="inlineStr">
        <is>
          <t>1.4.2.2</t>
        </is>
      </c>
      <c r="B53" s="59" t="inlineStr">
        <is>
          <t>Depot Buildings - Storage &amp; Commissioning Yard</t>
        </is>
      </c>
      <c r="C53" s="36" t="n">
        <v>4</v>
      </c>
      <c r="D53" s="23" t="inlineStr">
        <is>
          <t>0 governed relationships</t>
        </is>
      </c>
      <c r="E53" s="23" t="inlineStr">
        <is>
          <t>0 governed relationships</t>
        </is>
      </c>
      <c r="F53" s="23" t="inlineStr">
        <is>
          <t>0 governed relationships</t>
        </is>
      </c>
      <c r="G53" s="23" t="inlineStr">
        <is>
          <t>0 governed relationships</t>
        </is>
      </c>
      <c r="H53" s="36" t="n">
        <v>0</v>
      </c>
      <c r="I53" s="36" t="n">
        <v>0</v>
      </c>
      <c r="J53" s="23" t="inlineStr">
        <is>
          <t>Partial: No governed schedule or cost relationships in this WBS branch.</t>
        </is>
      </c>
      <c r="K53" s="14" t="inlineStr">
        <is>
          <t>08 CROSSWALK</t>
        </is>
      </c>
    </row>
    <row r="54" ht="34" customHeight="1">
      <c r="A54" s="23" t="inlineStr">
        <is>
          <t>1.4.3</t>
        </is>
      </c>
      <c r="B54" s="58" t="inlineStr">
        <is>
          <t>Vehicles and Depot - Workshop Equipment</t>
        </is>
      </c>
      <c r="C54" s="36" t="n">
        <v>3</v>
      </c>
      <c r="D54" s="23" t="inlineStr">
        <is>
          <t>0 governed relationships</t>
        </is>
      </c>
      <c r="E54" s="23" t="inlineStr">
        <is>
          <t>0 governed relationships</t>
        </is>
      </c>
      <c r="F54" s="23" t="inlineStr">
        <is>
          <t>0 governed relationships</t>
        </is>
      </c>
      <c r="G54" s="23" t="inlineStr">
        <is>
          <t>0 governed relationships</t>
        </is>
      </c>
      <c r="H54" s="36" t="n">
        <v>0</v>
      </c>
      <c r="I54" s="36" t="n">
        <v>0</v>
      </c>
      <c r="J54" s="23" t="inlineStr">
        <is>
          <t>Partial: No governed schedule or cost relationships in this WBS branch.</t>
        </is>
      </c>
      <c r="K54" s="14" t="inlineStr">
        <is>
          <t>08 CROSSWALK</t>
        </is>
      </c>
    </row>
    <row r="55" ht="34" customHeight="1">
      <c r="A55" s="23" t="inlineStr">
        <is>
          <t>1.4.3.1</t>
        </is>
      </c>
      <c r="B55" s="59" t="inlineStr">
        <is>
          <t>Workshop Equipment - Maintenance Facility</t>
        </is>
      </c>
      <c r="C55" s="36" t="n">
        <v>4</v>
      </c>
      <c r="D55" s="23" t="inlineStr">
        <is>
          <t>0 governed relationships</t>
        </is>
      </c>
      <c r="E55" s="23" t="inlineStr">
        <is>
          <t>0 governed relationships</t>
        </is>
      </c>
      <c r="F55" s="23" t="inlineStr">
        <is>
          <t>0 governed relationships</t>
        </is>
      </c>
      <c r="G55" s="23" t="inlineStr">
        <is>
          <t>0 governed relationships</t>
        </is>
      </c>
      <c r="H55" s="36" t="n">
        <v>0</v>
      </c>
      <c r="I55" s="36" t="n">
        <v>0</v>
      </c>
      <c r="J55" s="23" t="inlineStr">
        <is>
          <t>Partial: No governed schedule or cost relationships in this WBS branch.</t>
        </is>
      </c>
      <c r="K55" s="14" t="inlineStr">
        <is>
          <t>08 CROSSWALK</t>
        </is>
      </c>
    </row>
    <row r="56" ht="34" customHeight="1">
      <c r="A56" s="23" t="inlineStr">
        <is>
          <t>1.4.3.2</t>
        </is>
      </c>
      <c r="B56" s="59" t="inlineStr">
        <is>
          <t>Workshop Equipment - Storage &amp; Commissioning Yard</t>
        </is>
      </c>
      <c r="C56" s="36" t="n">
        <v>4</v>
      </c>
      <c r="D56" s="23" t="inlineStr">
        <is>
          <t>0 governed relationships</t>
        </is>
      </c>
      <c r="E56" s="23" t="inlineStr">
        <is>
          <t>0 governed relationships</t>
        </is>
      </c>
      <c r="F56" s="23" t="inlineStr">
        <is>
          <t>0 governed relationships</t>
        </is>
      </c>
      <c r="G56" s="23" t="inlineStr">
        <is>
          <t>0 governed relationships</t>
        </is>
      </c>
      <c r="H56" s="36" t="n">
        <v>0</v>
      </c>
      <c r="I56" s="36" t="n">
        <v>0</v>
      </c>
      <c r="J56" s="23" t="inlineStr">
        <is>
          <t>Partial: No governed schedule or cost relationships in this WBS branch.</t>
        </is>
      </c>
      <c r="K56" s="14" t="inlineStr">
        <is>
          <t>08 CROSSWALK</t>
        </is>
      </c>
    </row>
    <row r="57" ht="34" customHeight="1">
      <c r="A57" s="23" t="inlineStr">
        <is>
          <t>1.4.4</t>
        </is>
      </c>
      <c r="B57" s="58" t="inlineStr">
        <is>
          <t>Vehicles and Depot - Vehicle Integration</t>
        </is>
      </c>
      <c r="C57" s="36" t="n">
        <v>3</v>
      </c>
      <c r="D57" s="23" t="inlineStr">
        <is>
          <t>0 governed relationships</t>
        </is>
      </c>
      <c r="E57" s="23" t="inlineStr">
        <is>
          <t>0 governed relationships</t>
        </is>
      </c>
      <c r="F57" s="23" t="inlineStr">
        <is>
          <t>0 governed relationships</t>
        </is>
      </c>
      <c r="G57" s="23" t="inlineStr">
        <is>
          <t>0 governed relationships</t>
        </is>
      </c>
      <c r="H57" s="36" t="n">
        <v>0</v>
      </c>
      <c r="I57" s="36" t="n">
        <v>0</v>
      </c>
      <c r="J57" s="23" t="inlineStr">
        <is>
          <t>Partial: No governed schedule or cost relationships in this WBS branch.</t>
        </is>
      </c>
      <c r="K57" s="14" t="inlineStr">
        <is>
          <t>08 CROSSWALK</t>
        </is>
      </c>
    </row>
    <row r="58" ht="34" customHeight="1">
      <c r="A58" s="23" t="inlineStr">
        <is>
          <t>1.4.4.1</t>
        </is>
      </c>
      <c r="B58" s="59" t="inlineStr">
        <is>
          <t>Vehicle Integration - Maintenance Facility</t>
        </is>
      </c>
      <c r="C58" s="36" t="n">
        <v>4</v>
      </c>
      <c r="D58" s="23" t="inlineStr">
        <is>
          <t>0 governed relationships</t>
        </is>
      </c>
      <c r="E58" s="23" t="inlineStr">
        <is>
          <t>0 governed relationships</t>
        </is>
      </c>
      <c r="F58" s="23" t="inlineStr">
        <is>
          <t>0 governed relationships</t>
        </is>
      </c>
      <c r="G58" s="23" t="inlineStr">
        <is>
          <t>0 governed relationships</t>
        </is>
      </c>
      <c r="H58" s="36" t="n">
        <v>0</v>
      </c>
      <c r="I58" s="36" t="n">
        <v>0</v>
      </c>
      <c r="J58" s="23" t="inlineStr">
        <is>
          <t>Partial: No governed schedule or cost relationships in this WBS branch.</t>
        </is>
      </c>
      <c r="K58" s="14" t="inlineStr">
        <is>
          <t>08 CROSSWALK</t>
        </is>
      </c>
    </row>
    <row r="59" ht="34" customHeight="1">
      <c r="A59" s="23" t="inlineStr">
        <is>
          <t>1.4.4.2</t>
        </is>
      </c>
      <c r="B59" s="59" t="inlineStr">
        <is>
          <t>Vehicle Integration - Storage &amp; Commissioning Yard</t>
        </is>
      </c>
      <c r="C59" s="36" t="n">
        <v>4</v>
      </c>
      <c r="D59" s="23" t="inlineStr">
        <is>
          <t>0 governed relationships</t>
        </is>
      </c>
      <c r="E59" s="23" t="inlineStr">
        <is>
          <t>0 governed relationships</t>
        </is>
      </c>
      <c r="F59" s="23" t="inlineStr">
        <is>
          <t>0 governed relationships</t>
        </is>
      </c>
      <c r="G59" s="23" t="inlineStr">
        <is>
          <t>0 governed relationships</t>
        </is>
      </c>
      <c r="H59" s="36" t="n">
        <v>0</v>
      </c>
      <c r="I59" s="36" t="n">
        <v>0</v>
      </c>
      <c r="J59" s="23" t="inlineStr">
        <is>
          <t>Partial: No governed schedule or cost relationships in this WBS branch.</t>
        </is>
      </c>
      <c r="K59" s="14" t="inlineStr">
        <is>
          <t>08 CROSSWALK</t>
        </is>
      </c>
    </row>
    <row r="60" ht="64" customHeight="1">
      <c r="A60" s="23" t="inlineStr">
        <is>
          <t>1.5</t>
        </is>
      </c>
      <c r="B60" s="57" t="inlineStr">
        <is>
          <t>Testing and Commissioning</t>
        </is>
      </c>
      <c r="C60" s="36" t="n">
        <v>2</v>
      </c>
      <c r="D60" s="23" t="inlineStr">
        <is>
          <t>180 governed relationships</t>
        </is>
      </c>
      <c r="E60" s="23" t="inlineStr">
        <is>
          <t>0 governed relationships</t>
        </is>
      </c>
      <c r="F60" s="23" t="inlineStr">
        <is>
          <t>10 governed relationships</t>
        </is>
      </c>
      <c r="G60" s="23" t="inlineStr">
        <is>
          <t>0 governed relationships</t>
        </is>
      </c>
      <c r="H60" s="36" t="n">
        <v>0</v>
      </c>
      <c r="I60" s="36" t="n">
        <v>0</v>
      </c>
      <c r="J60" s="23" t="inlineStr">
        <is>
          <t>Attention: Schedule scope has no governed cost relationships in this WBS branch. 10 package/contract relationships also project through this branch.</t>
        </is>
      </c>
      <c r="K60" s="14" t="inlineStr">
        <is>
          <t>08 CROSSWALK</t>
        </is>
      </c>
    </row>
    <row r="61" ht="34" customHeight="1">
      <c r="A61" s="23" t="inlineStr">
        <is>
          <t>1.5.1</t>
        </is>
      </c>
      <c r="B61" s="58" t="inlineStr">
        <is>
          <t>Testing and Commissioning - Test Readiness</t>
        </is>
      </c>
      <c r="C61" s="36" t="n">
        <v>3</v>
      </c>
      <c r="D61" s="23" t="inlineStr">
        <is>
          <t>120 governed relationships</t>
        </is>
      </c>
      <c r="E61" s="23" t="inlineStr">
        <is>
          <t>0 governed relationships</t>
        </is>
      </c>
      <c r="F61" s="23" t="inlineStr">
        <is>
          <t>0 governed relationships</t>
        </is>
      </c>
      <c r="G61" s="23" t="inlineStr">
        <is>
          <t>0 governed relationships</t>
        </is>
      </c>
      <c r="H61" s="36" t="n">
        <v>0</v>
      </c>
      <c r="I61" s="36" t="n">
        <v>0</v>
      </c>
      <c r="J61" s="23" t="inlineStr">
        <is>
          <t>Attention: Schedule scope has no governed cost relationships in this WBS branch.</t>
        </is>
      </c>
      <c r="K61" s="14" t="inlineStr">
        <is>
          <t>08 CROSSWALK</t>
        </is>
      </c>
    </row>
    <row r="62" ht="34" customHeight="1">
      <c r="A62" s="23" t="inlineStr">
        <is>
          <t>1.5.1.1</t>
        </is>
      </c>
      <c r="B62" s="59" t="inlineStr">
        <is>
          <t>Test Readiness - Mainline</t>
        </is>
      </c>
      <c r="C62" s="36" t="n">
        <v>4</v>
      </c>
      <c r="D62" s="23" t="inlineStr">
        <is>
          <t>0 governed relationships</t>
        </is>
      </c>
      <c r="E62" s="23" t="inlineStr">
        <is>
          <t>0 governed relationships</t>
        </is>
      </c>
      <c r="F62" s="23" t="inlineStr">
        <is>
          <t>0 governed relationships</t>
        </is>
      </c>
      <c r="G62" s="23" t="inlineStr">
        <is>
          <t>0 governed relationships</t>
        </is>
      </c>
      <c r="H62" s="36" t="n">
        <v>0</v>
      </c>
      <c r="I62" s="36" t="n">
        <v>0</v>
      </c>
      <c r="J62" s="23" t="inlineStr">
        <is>
          <t>Partial: No governed schedule or cost relationships in this WBS branch.</t>
        </is>
      </c>
      <c r="K62" s="14" t="inlineStr">
        <is>
          <t>08 CROSSWALK</t>
        </is>
      </c>
    </row>
    <row r="63" ht="34" customHeight="1">
      <c r="A63" s="23" t="inlineStr">
        <is>
          <t>1.5.1.2</t>
        </is>
      </c>
      <c r="B63" s="59" t="inlineStr">
        <is>
          <t>Test Readiness - Depot &amp; Stations</t>
        </is>
      </c>
      <c r="C63" s="36" t="n">
        <v>4</v>
      </c>
      <c r="D63" s="23" t="inlineStr">
        <is>
          <t>0 governed relationships</t>
        </is>
      </c>
      <c r="E63" s="23" t="inlineStr">
        <is>
          <t>0 governed relationships</t>
        </is>
      </c>
      <c r="F63" s="23" t="inlineStr">
        <is>
          <t>0 governed relationships</t>
        </is>
      </c>
      <c r="G63" s="23" t="inlineStr">
        <is>
          <t>0 governed relationships</t>
        </is>
      </c>
      <c r="H63" s="36" t="n">
        <v>0</v>
      </c>
      <c r="I63" s="36" t="n">
        <v>0</v>
      </c>
      <c r="J63" s="23" t="inlineStr">
        <is>
          <t>Partial: No governed schedule or cost relationships in this WBS branch.</t>
        </is>
      </c>
      <c r="K63" s="14" t="inlineStr">
        <is>
          <t>08 CROSSWALK</t>
        </is>
      </c>
    </row>
    <row r="64" ht="34" customHeight="1">
      <c r="A64" s="23" t="inlineStr">
        <is>
          <t>1.5.2</t>
        </is>
      </c>
      <c r="B64" s="58" t="inlineStr">
        <is>
          <t>Testing and Commissioning - Dynamic Testing</t>
        </is>
      </c>
      <c r="C64" s="36" t="n">
        <v>3</v>
      </c>
      <c r="D64" s="23" t="inlineStr">
        <is>
          <t>60 governed relationships</t>
        </is>
      </c>
      <c r="E64" s="23" t="inlineStr">
        <is>
          <t>0 governed relationships</t>
        </is>
      </c>
      <c r="F64" s="23" t="inlineStr">
        <is>
          <t>0 governed relationships</t>
        </is>
      </c>
      <c r="G64" s="23" t="inlineStr">
        <is>
          <t>0 governed relationships</t>
        </is>
      </c>
      <c r="H64" s="36" t="n">
        <v>0</v>
      </c>
      <c r="I64" s="36" t="n">
        <v>0</v>
      </c>
      <c r="J64" s="23" t="inlineStr">
        <is>
          <t>Attention: Schedule scope has no governed cost relationships in this WBS branch.</t>
        </is>
      </c>
      <c r="K64" s="14" t="inlineStr">
        <is>
          <t>08 CROSSWALK</t>
        </is>
      </c>
    </row>
    <row r="65" ht="34" customHeight="1">
      <c r="A65" s="23" t="inlineStr">
        <is>
          <t>1.5.2.1</t>
        </is>
      </c>
      <c r="B65" s="59" t="inlineStr">
        <is>
          <t>Dynamic Testing - Mainline</t>
        </is>
      </c>
      <c r="C65" s="36" t="n">
        <v>4</v>
      </c>
      <c r="D65" s="23" t="inlineStr">
        <is>
          <t>0 governed relationships</t>
        </is>
      </c>
      <c r="E65" s="23" t="inlineStr">
        <is>
          <t>0 governed relationships</t>
        </is>
      </c>
      <c r="F65" s="23" t="inlineStr">
        <is>
          <t>0 governed relationships</t>
        </is>
      </c>
      <c r="G65" s="23" t="inlineStr">
        <is>
          <t>0 governed relationships</t>
        </is>
      </c>
      <c r="H65" s="36" t="n">
        <v>0</v>
      </c>
      <c r="I65" s="36" t="n">
        <v>0</v>
      </c>
      <c r="J65" s="23" t="inlineStr">
        <is>
          <t>Partial: No governed schedule or cost relationships in this WBS branch.</t>
        </is>
      </c>
      <c r="K65" s="14" t="inlineStr">
        <is>
          <t>08 CROSSWALK</t>
        </is>
      </c>
    </row>
    <row r="66" ht="34" customHeight="1">
      <c r="A66" s="23" t="inlineStr">
        <is>
          <t>1.5.2.2</t>
        </is>
      </c>
      <c r="B66" s="59" t="inlineStr">
        <is>
          <t>Dynamic Testing - Depot &amp; Stations</t>
        </is>
      </c>
      <c r="C66" s="36" t="n">
        <v>4</v>
      </c>
      <c r="D66" s="23" t="inlineStr">
        <is>
          <t>0 governed relationships</t>
        </is>
      </c>
      <c r="E66" s="23" t="inlineStr">
        <is>
          <t>0 governed relationships</t>
        </is>
      </c>
      <c r="F66" s="23" t="inlineStr">
        <is>
          <t>0 governed relationships</t>
        </is>
      </c>
      <c r="G66" s="23" t="inlineStr">
        <is>
          <t>0 governed relationships</t>
        </is>
      </c>
      <c r="H66" s="36" t="n">
        <v>0</v>
      </c>
      <c r="I66" s="36" t="n">
        <v>0</v>
      </c>
      <c r="J66" s="23" t="inlineStr">
        <is>
          <t>Partial: No governed schedule or cost relationships in this WBS branch.</t>
        </is>
      </c>
      <c r="K66" s="14" t="inlineStr">
        <is>
          <t>08 CROSSWALK</t>
        </is>
      </c>
    </row>
    <row r="67" ht="34" customHeight="1">
      <c r="A67" s="23" t="inlineStr">
        <is>
          <t>1.5.3</t>
        </is>
      </c>
      <c r="B67" s="58" t="inlineStr">
        <is>
          <t>Testing and Commissioning - Safety Certification</t>
        </is>
      </c>
      <c r="C67" s="36" t="n">
        <v>3</v>
      </c>
      <c r="D67" s="23" t="inlineStr">
        <is>
          <t>0 governed relationships</t>
        </is>
      </c>
      <c r="E67" s="23" t="inlineStr">
        <is>
          <t>0 governed relationships</t>
        </is>
      </c>
      <c r="F67" s="23" t="inlineStr">
        <is>
          <t>0 governed relationships</t>
        </is>
      </c>
      <c r="G67" s="23" t="inlineStr">
        <is>
          <t>0 governed relationships</t>
        </is>
      </c>
      <c r="H67" s="36" t="n">
        <v>0</v>
      </c>
      <c r="I67" s="36" t="n">
        <v>0</v>
      </c>
      <c r="J67" s="23" t="inlineStr">
        <is>
          <t>Partial: No governed schedule or cost relationships in this WBS branch.</t>
        </is>
      </c>
      <c r="K67" s="14" t="inlineStr">
        <is>
          <t>08 CROSSWALK</t>
        </is>
      </c>
    </row>
    <row r="68" ht="34" customHeight="1">
      <c r="A68" s="23" t="inlineStr">
        <is>
          <t>1.5.3.1</t>
        </is>
      </c>
      <c r="B68" s="59" t="inlineStr">
        <is>
          <t>Safety Certification - Mainline</t>
        </is>
      </c>
      <c r="C68" s="36" t="n">
        <v>4</v>
      </c>
      <c r="D68" s="23" t="inlineStr">
        <is>
          <t>0 governed relationships</t>
        </is>
      </c>
      <c r="E68" s="23" t="inlineStr">
        <is>
          <t>0 governed relationships</t>
        </is>
      </c>
      <c r="F68" s="23" t="inlineStr">
        <is>
          <t>0 governed relationships</t>
        </is>
      </c>
      <c r="G68" s="23" t="inlineStr">
        <is>
          <t>0 governed relationships</t>
        </is>
      </c>
      <c r="H68" s="36" t="n">
        <v>0</v>
      </c>
      <c r="I68" s="36" t="n">
        <v>0</v>
      </c>
      <c r="J68" s="23" t="inlineStr">
        <is>
          <t>Partial: No governed schedule or cost relationships in this WBS branch.</t>
        </is>
      </c>
      <c r="K68" s="14" t="inlineStr">
        <is>
          <t>08 CROSSWALK</t>
        </is>
      </c>
    </row>
    <row r="69" ht="34" customHeight="1">
      <c r="A69" s="23" t="inlineStr">
        <is>
          <t>1.5.3.2</t>
        </is>
      </c>
      <c r="B69" s="59" t="inlineStr">
        <is>
          <t>Safety Certification - Depot &amp; Stations</t>
        </is>
      </c>
      <c r="C69" s="36" t="n">
        <v>4</v>
      </c>
      <c r="D69" s="23" t="inlineStr">
        <is>
          <t>0 governed relationships</t>
        </is>
      </c>
      <c r="E69" s="23" t="inlineStr">
        <is>
          <t>0 governed relationships</t>
        </is>
      </c>
      <c r="F69" s="23" t="inlineStr">
        <is>
          <t>0 governed relationships</t>
        </is>
      </c>
      <c r="G69" s="23" t="inlineStr">
        <is>
          <t>0 governed relationships</t>
        </is>
      </c>
      <c r="H69" s="36" t="n">
        <v>0</v>
      </c>
      <c r="I69" s="36" t="n">
        <v>0</v>
      </c>
      <c r="J69" s="23" t="inlineStr">
        <is>
          <t>Partial: No governed schedule or cost relationships in this WBS branch.</t>
        </is>
      </c>
      <c r="K69" s="14" t="inlineStr">
        <is>
          <t>08 CROSSWALK</t>
        </is>
      </c>
    </row>
    <row r="70" ht="34" customHeight="1">
      <c r="A70" s="23" t="inlineStr">
        <is>
          <t>1.5.4</t>
        </is>
      </c>
      <c r="B70" s="58" t="inlineStr">
        <is>
          <t>Testing and Commissioning - Service Readiness</t>
        </is>
      </c>
      <c r="C70" s="36" t="n">
        <v>3</v>
      </c>
      <c r="D70" s="23" t="inlineStr">
        <is>
          <t>0 governed relationships</t>
        </is>
      </c>
      <c r="E70" s="23" t="inlineStr">
        <is>
          <t>0 governed relationships</t>
        </is>
      </c>
      <c r="F70" s="23" t="inlineStr">
        <is>
          <t>0 governed relationships</t>
        </is>
      </c>
      <c r="G70" s="23" t="inlineStr">
        <is>
          <t>0 governed relationships</t>
        </is>
      </c>
      <c r="H70" s="36" t="n">
        <v>0</v>
      </c>
      <c r="I70" s="36" t="n">
        <v>0</v>
      </c>
      <c r="J70" s="23" t="inlineStr">
        <is>
          <t>Partial: No governed schedule or cost relationships in this WBS branch.</t>
        </is>
      </c>
      <c r="K70" s="14" t="inlineStr">
        <is>
          <t>08 CROSSWALK</t>
        </is>
      </c>
    </row>
    <row r="71" ht="34" customHeight="1">
      <c r="A71" s="23" t="inlineStr">
        <is>
          <t>1.5.4.1</t>
        </is>
      </c>
      <c r="B71" s="59" t="inlineStr">
        <is>
          <t>Service Readiness - Mainline</t>
        </is>
      </c>
      <c r="C71" s="36" t="n">
        <v>4</v>
      </c>
      <c r="D71" s="23" t="inlineStr">
        <is>
          <t>0 governed relationships</t>
        </is>
      </c>
      <c r="E71" s="23" t="inlineStr">
        <is>
          <t>0 governed relationships</t>
        </is>
      </c>
      <c r="F71" s="23" t="inlineStr">
        <is>
          <t>0 governed relationships</t>
        </is>
      </c>
      <c r="G71" s="23" t="inlineStr">
        <is>
          <t>0 governed relationships</t>
        </is>
      </c>
      <c r="H71" s="36" t="n">
        <v>0</v>
      </c>
      <c r="I71" s="36" t="n">
        <v>0</v>
      </c>
      <c r="J71" s="23" t="inlineStr">
        <is>
          <t>Partial: No governed schedule or cost relationships in this WBS branch.</t>
        </is>
      </c>
      <c r="K71" s="14" t="inlineStr">
        <is>
          <t>08 CROSSWALK</t>
        </is>
      </c>
    </row>
    <row r="72" ht="34" customHeight="1">
      <c r="A72" s="23" t="inlineStr">
        <is>
          <t>1.5.4.2</t>
        </is>
      </c>
      <c r="B72" s="59" t="inlineStr">
        <is>
          <t>Service Readiness - Depot &amp; Stations</t>
        </is>
      </c>
      <c r="C72" s="36" t="n">
        <v>4</v>
      </c>
      <c r="D72" s="23" t="inlineStr">
        <is>
          <t>0 governed relationships</t>
        </is>
      </c>
      <c r="E72" s="23" t="inlineStr">
        <is>
          <t>0 governed relationships</t>
        </is>
      </c>
      <c r="F72" s="23" t="inlineStr">
        <is>
          <t>0 governed relationships</t>
        </is>
      </c>
      <c r="G72" s="23" t="inlineStr">
        <is>
          <t>0 governed relationships</t>
        </is>
      </c>
      <c r="H72" s="36" t="n">
        <v>0</v>
      </c>
      <c r="I72" s="36" t="n">
        <v>0</v>
      </c>
      <c r="J72" s="23" t="inlineStr">
        <is>
          <t>Partial: No governed schedule or cost relationships in this WBS branch.</t>
        </is>
      </c>
      <c r="K72" s="14" t="inlineStr">
        <is>
          <t>08 CROSSWALK</t>
        </is>
      </c>
    </row>
    <row r="73" ht="64" customHeight="1">
      <c r="A73" s="23" t="inlineStr">
        <is>
          <t>1.6</t>
        </is>
      </c>
      <c r="B73" s="57" t="inlineStr">
        <is>
          <t>Program Management</t>
        </is>
      </c>
      <c r="C73" s="36" t="n">
        <v>2</v>
      </c>
      <c r="D73" s="23" t="inlineStr">
        <is>
          <t>0 governed relationships</t>
        </is>
      </c>
      <c r="E73" s="23" t="inlineStr">
        <is>
          <t>79 governed relationships</t>
        </is>
      </c>
      <c r="F73" s="23" t="inlineStr">
        <is>
          <t>9 governed relationships</t>
        </is>
      </c>
      <c r="G73" s="23" t="inlineStr">
        <is>
          <t>0 governed relationships</t>
        </is>
      </c>
      <c r="H73" s="36" t="n">
        <v>0</v>
      </c>
      <c r="I73" s="36" t="n">
        <v>0</v>
      </c>
      <c r="J73" s="23" t="inlineStr">
        <is>
          <t>Attention: Cost scope has no governed schedule relationships in this WBS branch. 9 package/contract relationships also project through this branch.</t>
        </is>
      </c>
      <c r="K73" s="14" t="inlineStr">
        <is>
          <t>08 CROSSWALK</t>
        </is>
      </c>
    </row>
    <row r="74" ht="49" customHeight="1">
      <c r="A74" s="23" t="inlineStr">
        <is>
          <t>1.6.1</t>
        </is>
      </c>
      <c r="B74" s="58" t="inlineStr">
        <is>
          <t>Program Management - Program Controls</t>
        </is>
      </c>
      <c r="C74" s="36" t="n">
        <v>3</v>
      </c>
      <c r="D74" s="23" t="inlineStr">
        <is>
          <t>0 governed relationships</t>
        </is>
      </c>
      <c r="E74" s="23" t="inlineStr">
        <is>
          <t>39 governed relationships</t>
        </is>
      </c>
      <c r="F74" s="23" t="inlineStr">
        <is>
          <t>0 governed relationships</t>
        </is>
      </c>
      <c r="G74" s="23" t="inlineStr">
        <is>
          <t>0 governed relationships</t>
        </is>
      </c>
      <c r="H74" s="36" t="n">
        <v>0</v>
      </c>
      <c r="I74" s="36" t="n">
        <v>0</v>
      </c>
      <c r="J74" s="23" t="inlineStr">
        <is>
          <t>Attention: Cost scope has no governed schedule relationships in this WBS branch.</t>
        </is>
      </c>
      <c r="K74" s="14" t="inlineStr">
        <is>
          <t>08 CROSSWALK</t>
        </is>
      </c>
    </row>
    <row r="75" ht="34" customHeight="1">
      <c r="A75" s="23" t="inlineStr">
        <is>
          <t>1.6.1.1</t>
        </is>
      </c>
      <c r="B75" s="59" t="inlineStr">
        <is>
          <t>Program Controls - Owner Team</t>
        </is>
      </c>
      <c r="C75" s="36" t="n">
        <v>4</v>
      </c>
      <c r="D75" s="23" t="inlineStr">
        <is>
          <t>0 governed relationships</t>
        </is>
      </c>
      <c r="E75" s="23" t="inlineStr">
        <is>
          <t>0 governed relationships</t>
        </is>
      </c>
      <c r="F75" s="23" t="inlineStr">
        <is>
          <t>0 governed relationships</t>
        </is>
      </c>
      <c r="G75" s="23" t="inlineStr">
        <is>
          <t>0 governed relationships</t>
        </is>
      </c>
      <c r="H75" s="36" t="n">
        <v>0</v>
      </c>
      <c r="I75" s="36" t="n">
        <v>0</v>
      </c>
      <c r="J75" s="23" t="inlineStr">
        <is>
          <t>Partial: No governed schedule or cost relationships in this WBS branch.</t>
        </is>
      </c>
      <c r="K75" s="14" t="inlineStr">
        <is>
          <t>08 CROSSWALK</t>
        </is>
      </c>
    </row>
    <row r="76" ht="34" customHeight="1">
      <c r="A76" s="23" t="inlineStr">
        <is>
          <t>1.6.1.2</t>
        </is>
      </c>
      <c r="B76" s="59" t="inlineStr">
        <is>
          <t>Program Controls - Delivery Partners</t>
        </is>
      </c>
      <c r="C76" s="36" t="n">
        <v>4</v>
      </c>
      <c r="D76" s="23" t="inlineStr">
        <is>
          <t>0 governed relationships</t>
        </is>
      </c>
      <c r="E76" s="23" t="inlineStr">
        <is>
          <t>0 governed relationships</t>
        </is>
      </c>
      <c r="F76" s="23" t="inlineStr">
        <is>
          <t>0 governed relationships</t>
        </is>
      </c>
      <c r="G76" s="23" t="inlineStr">
        <is>
          <t>0 governed relationships</t>
        </is>
      </c>
      <c r="H76" s="36" t="n">
        <v>0</v>
      </c>
      <c r="I76" s="36" t="n">
        <v>0</v>
      </c>
      <c r="J76" s="23" t="inlineStr">
        <is>
          <t>Partial: No governed schedule or cost relationships in this WBS branch.</t>
        </is>
      </c>
      <c r="K76" s="14" t="inlineStr">
        <is>
          <t>08 CROSSWALK</t>
        </is>
      </c>
    </row>
    <row r="77" ht="49" customHeight="1">
      <c r="A77" s="23" t="inlineStr">
        <is>
          <t>1.6.2</t>
        </is>
      </c>
      <c r="B77" s="58" t="inlineStr">
        <is>
          <t>Program Management - Commercial &amp; Procurement</t>
        </is>
      </c>
      <c r="C77" s="36" t="n">
        <v>3</v>
      </c>
      <c r="D77" s="23" t="inlineStr">
        <is>
          <t>0 governed relationships</t>
        </is>
      </c>
      <c r="E77" s="23" t="inlineStr">
        <is>
          <t>40 governed relationships</t>
        </is>
      </c>
      <c r="F77" s="23" t="inlineStr">
        <is>
          <t>0 governed relationships</t>
        </is>
      </c>
      <c r="G77" s="23" t="inlineStr">
        <is>
          <t>0 governed relationships</t>
        </is>
      </c>
      <c r="H77" s="36" t="n">
        <v>0</v>
      </c>
      <c r="I77" s="36" t="n">
        <v>0</v>
      </c>
      <c r="J77" s="23" t="inlineStr">
        <is>
          <t>Attention: Cost scope has no governed schedule relationships in this WBS branch.</t>
        </is>
      </c>
      <c r="K77" s="14" t="inlineStr">
        <is>
          <t>08 CROSSWALK</t>
        </is>
      </c>
    </row>
    <row r="78" ht="34" customHeight="1">
      <c r="A78" s="23" t="inlineStr">
        <is>
          <t>1.6.2.1</t>
        </is>
      </c>
      <c r="B78" s="59" t="inlineStr">
        <is>
          <t>Commercial &amp; Procurement - Owner Team</t>
        </is>
      </c>
      <c r="C78" s="36" t="n">
        <v>4</v>
      </c>
      <c r="D78" s="23" t="inlineStr">
        <is>
          <t>0 governed relationships</t>
        </is>
      </c>
      <c r="E78" s="23" t="inlineStr">
        <is>
          <t>0 governed relationships</t>
        </is>
      </c>
      <c r="F78" s="23" t="inlineStr">
        <is>
          <t>0 governed relationships</t>
        </is>
      </c>
      <c r="G78" s="23" t="inlineStr">
        <is>
          <t>0 governed relationships</t>
        </is>
      </c>
      <c r="H78" s="36" t="n">
        <v>0</v>
      </c>
      <c r="I78" s="36" t="n">
        <v>0</v>
      </c>
      <c r="J78" s="23" t="inlineStr">
        <is>
          <t>Partial: No governed schedule or cost relationships in this WBS branch.</t>
        </is>
      </c>
      <c r="K78" s="14" t="inlineStr">
        <is>
          <t>08 CROSSWALK</t>
        </is>
      </c>
    </row>
    <row r="79" ht="34" customHeight="1">
      <c r="A79" s="23" t="inlineStr">
        <is>
          <t>1.6.2.2</t>
        </is>
      </c>
      <c r="B79" s="59" t="inlineStr">
        <is>
          <t>Commercial &amp; Procurement - Delivery Partners</t>
        </is>
      </c>
      <c r="C79" s="36" t="n">
        <v>4</v>
      </c>
      <c r="D79" s="23" t="inlineStr">
        <is>
          <t>0 governed relationships</t>
        </is>
      </c>
      <c r="E79" s="23" t="inlineStr">
        <is>
          <t>0 governed relationships</t>
        </is>
      </c>
      <c r="F79" s="23" t="inlineStr">
        <is>
          <t>0 governed relationships</t>
        </is>
      </c>
      <c r="G79" s="23" t="inlineStr">
        <is>
          <t>0 governed relationships</t>
        </is>
      </c>
      <c r="H79" s="36" t="n">
        <v>0</v>
      </c>
      <c r="I79" s="36" t="n">
        <v>0</v>
      </c>
      <c r="J79" s="23" t="inlineStr">
        <is>
          <t>Partial: No governed schedule or cost relationships in this WBS branch.</t>
        </is>
      </c>
      <c r="K79" s="14" t="inlineStr">
        <is>
          <t>08 CROSSWALK</t>
        </is>
      </c>
    </row>
    <row r="80" ht="34" customHeight="1">
      <c r="A80" s="23" t="inlineStr">
        <is>
          <t>1.6.3</t>
        </is>
      </c>
      <c r="B80" s="58" t="inlineStr">
        <is>
          <t>Program Management - Stakeholder &amp; Permits</t>
        </is>
      </c>
      <c r="C80" s="36" t="n">
        <v>3</v>
      </c>
      <c r="D80" s="23" t="inlineStr">
        <is>
          <t>0 governed relationships</t>
        </is>
      </c>
      <c r="E80" s="23" t="inlineStr">
        <is>
          <t>0 governed relationships</t>
        </is>
      </c>
      <c r="F80" s="23" t="inlineStr">
        <is>
          <t>0 governed relationships</t>
        </is>
      </c>
      <c r="G80" s="23" t="inlineStr">
        <is>
          <t>0 governed relationships</t>
        </is>
      </c>
      <c r="H80" s="36" t="n">
        <v>0</v>
      </c>
      <c r="I80" s="36" t="n">
        <v>0</v>
      </c>
      <c r="J80" s="23" t="inlineStr">
        <is>
          <t>Partial: No governed schedule or cost relationships in this WBS branch.</t>
        </is>
      </c>
      <c r="K80" s="14" t="inlineStr">
        <is>
          <t>08 CROSSWALK</t>
        </is>
      </c>
    </row>
    <row r="81" ht="34" customHeight="1">
      <c r="A81" s="23" t="inlineStr">
        <is>
          <t>1.6.3.1</t>
        </is>
      </c>
      <c r="B81" s="59" t="inlineStr">
        <is>
          <t>Stakeholder &amp; Permits - Owner Team</t>
        </is>
      </c>
      <c r="C81" s="36" t="n">
        <v>4</v>
      </c>
      <c r="D81" s="23" t="inlineStr">
        <is>
          <t>0 governed relationships</t>
        </is>
      </c>
      <c r="E81" s="23" t="inlineStr">
        <is>
          <t>0 governed relationships</t>
        </is>
      </c>
      <c r="F81" s="23" t="inlineStr">
        <is>
          <t>0 governed relationships</t>
        </is>
      </c>
      <c r="G81" s="23" t="inlineStr">
        <is>
          <t>0 governed relationships</t>
        </is>
      </c>
      <c r="H81" s="36" t="n">
        <v>0</v>
      </c>
      <c r="I81" s="36" t="n">
        <v>0</v>
      </c>
      <c r="J81" s="23" t="inlineStr">
        <is>
          <t>Partial: No governed schedule or cost relationships in this WBS branch.</t>
        </is>
      </c>
      <c r="K81" s="14" t="inlineStr">
        <is>
          <t>08 CROSSWALK</t>
        </is>
      </c>
    </row>
    <row r="82" ht="34" customHeight="1">
      <c r="A82" s="23" t="inlineStr">
        <is>
          <t>1.6.3.2</t>
        </is>
      </c>
      <c r="B82" s="59" t="inlineStr">
        <is>
          <t>Stakeholder &amp; Permits - Delivery Partners</t>
        </is>
      </c>
      <c r="C82" s="36" t="n">
        <v>4</v>
      </c>
      <c r="D82" s="23" t="inlineStr">
        <is>
          <t>0 governed relationships</t>
        </is>
      </c>
      <c r="E82" s="23" t="inlineStr">
        <is>
          <t>0 governed relationships</t>
        </is>
      </c>
      <c r="F82" s="23" t="inlineStr">
        <is>
          <t>0 governed relationships</t>
        </is>
      </c>
      <c r="G82" s="23" t="inlineStr">
        <is>
          <t>0 governed relationships</t>
        </is>
      </c>
      <c r="H82" s="36" t="n">
        <v>0</v>
      </c>
      <c r="I82" s="36" t="n">
        <v>0</v>
      </c>
      <c r="J82" s="23" t="inlineStr">
        <is>
          <t>Partial: No governed schedule or cost relationships in this WBS branch.</t>
        </is>
      </c>
      <c r="K82" s="14" t="inlineStr">
        <is>
          <t>08 CROSSWALK</t>
        </is>
      </c>
    </row>
    <row r="83" ht="34" customHeight="1">
      <c r="A83" s="23" t="inlineStr">
        <is>
          <t>1.6.4</t>
        </is>
      </c>
      <c r="B83" s="58" t="inlineStr">
        <is>
          <t>Program Management - Delivery Integration</t>
        </is>
      </c>
      <c r="C83" s="36" t="n">
        <v>3</v>
      </c>
      <c r="D83" s="23" t="inlineStr">
        <is>
          <t>0 governed relationships</t>
        </is>
      </c>
      <c r="E83" s="23" t="inlineStr">
        <is>
          <t>0 governed relationships</t>
        </is>
      </c>
      <c r="F83" s="23" t="inlineStr">
        <is>
          <t>0 governed relationships</t>
        </is>
      </c>
      <c r="G83" s="23" t="inlineStr">
        <is>
          <t>0 governed relationships</t>
        </is>
      </c>
      <c r="H83" s="36" t="n">
        <v>0</v>
      </c>
      <c r="I83" s="36" t="n">
        <v>0</v>
      </c>
      <c r="J83" s="23" t="inlineStr">
        <is>
          <t>Partial: No governed schedule or cost relationships in this WBS branch.</t>
        </is>
      </c>
      <c r="K83" s="14" t="inlineStr">
        <is>
          <t>08 CROSSWALK</t>
        </is>
      </c>
    </row>
    <row r="84" ht="34" customHeight="1">
      <c r="A84" s="23" t="inlineStr">
        <is>
          <t>1.6.4.1</t>
        </is>
      </c>
      <c r="B84" s="59" t="inlineStr">
        <is>
          <t>Delivery Integration - Owner Team</t>
        </is>
      </c>
      <c r="C84" s="36" t="n">
        <v>4</v>
      </c>
      <c r="D84" s="23" t="inlineStr">
        <is>
          <t>0 governed relationships</t>
        </is>
      </c>
      <c r="E84" s="23" t="inlineStr">
        <is>
          <t>0 governed relationships</t>
        </is>
      </c>
      <c r="F84" s="23" t="inlineStr">
        <is>
          <t>0 governed relationships</t>
        </is>
      </c>
      <c r="G84" s="23" t="inlineStr">
        <is>
          <t>0 governed relationships</t>
        </is>
      </c>
      <c r="H84" s="36" t="n">
        <v>0</v>
      </c>
      <c r="I84" s="36" t="n">
        <v>0</v>
      </c>
      <c r="J84" s="23" t="inlineStr">
        <is>
          <t>Partial: No governed schedule or cost relationships in this WBS branch.</t>
        </is>
      </c>
      <c r="K84" s="14" t="inlineStr">
        <is>
          <t>08 CROSSWALK</t>
        </is>
      </c>
    </row>
    <row r="85" ht="34" customHeight="1">
      <c r="A85" s="23" t="inlineStr">
        <is>
          <t>1.6.4.2</t>
        </is>
      </c>
      <c r="B85" s="59" t="inlineStr">
        <is>
          <t>Delivery Integration - Delivery Partners</t>
        </is>
      </c>
      <c r="C85" s="36" t="n">
        <v>4</v>
      </c>
      <c r="D85" s="23" t="inlineStr">
        <is>
          <t>0 governed relationships</t>
        </is>
      </c>
      <c r="E85" s="23" t="inlineStr">
        <is>
          <t>0 governed relationships</t>
        </is>
      </c>
      <c r="F85" s="23" t="inlineStr">
        <is>
          <t>0 governed relationships</t>
        </is>
      </c>
      <c r="G85" s="23" t="inlineStr">
        <is>
          <t>0 governed relationships</t>
        </is>
      </c>
      <c r="H85" s="36" t="n">
        <v>0</v>
      </c>
      <c r="I85" s="36" t="n">
        <v>0</v>
      </c>
      <c r="J85" s="23" t="inlineStr">
        <is>
          <t>Partial: No governed schedule or cost relationships in this WBS branch.</t>
        </is>
      </c>
      <c r="K85" s="14" t="inlineStr">
        <is>
          <t>08 CROSSWALK</t>
        </is>
      </c>
    </row>
  </sheetData>
  <autoFilter ref="A5:K85"/>
  <mergeCells count="3">
    <mergeCell ref="A1:D1"/>
    <mergeCell ref="A4:D4"/>
    <mergeCell ref="A2:D2"/>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 xmlns:r="http://schemas.openxmlformats.org/officeDocument/2006/relationships" ref="A4" r:id="rId9"/>
    <hyperlink xmlns:r="http://schemas.openxmlformats.org/officeDocument/2006/relationships" ref="K6" r:id="rId10"/>
    <hyperlink xmlns:r="http://schemas.openxmlformats.org/officeDocument/2006/relationships" ref="K7" tooltip="First relationship in this approved WBS branch; use the WBS Explorer hierarchy and Target WBS filter to inspect all descendant targets." r:id="rId11"/>
    <hyperlink xmlns:r="http://schemas.openxmlformats.org/officeDocument/2006/relationships" ref="K8" tooltip="First relationship in this approved WBS branch; use the WBS Explorer hierarchy and Target WBS filter to inspect all descendant targets." r:id="rId12"/>
    <hyperlink xmlns:r="http://schemas.openxmlformats.org/officeDocument/2006/relationships" ref="K9" tooltip="First relationship in this approved WBS branch; use the WBS Explorer hierarchy and Target WBS filter to inspect all descendant targets." r:id="rId13"/>
    <hyperlink xmlns:r="http://schemas.openxmlformats.org/officeDocument/2006/relationships" ref="K10" r:id="rId14"/>
    <hyperlink xmlns:r="http://schemas.openxmlformats.org/officeDocument/2006/relationships" ref="K11" r:id="rId15"/>
    <hyperlink xmlns:r="http://schemas.openxmlformats.org/officeDocument/2006/relationships" ref="K12" tooltip="First relationship in this approved WBS branch; use the WBS Explorer hierarchy and Target WBS filter to inspect all descendant targets." r:id="rId16"/>
    <hyperlink xmlns:r="http://schemas.openxmlformats.org/officeDocument/2006/relationships" ref="K13" r:id="rId17"/>
    <hyperlink xmlns:r="http://schemas.openxmlformats.org/officeDocument/2006/relationships" ref="K14" r:id="rId18"/>
    <hyperlink xmlns:r="http://schemas.openxmlformats.org/officeDocument/2006/relationships" ref="K15" r:id="rId19"/>
    <hyperlink xmlns:r="http://schemas.openxmlformats.org/officeDocument/2006/relationships" ref="K16" r:id="rId20"/>
    <hyperlink xmlns:r="http://schemas.openxmlformats.org/officeDocument/2006/relationships" ref="K17" r:id="rId21"/>
    <hyperlink xmlns:r="http://schemas.openxmlformats.org/officeDocument/2006/relationships" ref="K18" r:id="rId22"/>
    <hyperlink xmlns:r="http://schemas.openxmlformats.org/officeDocument/2006/relationships" ref="K19" r:id="rId23"/>
    <hyperlink xmlns:r="http://schemas.openxmlformats.org/officeDocument/2006/relationships" ref="K20" r:id="rId24"/>
    <hyperlink xmlns:r="http://schemas.openxmlformats.org/officeDocument/2006/relationships" ref="K21" tooltip="First relationship in this approved WBS branch; use the WBS Explorer hierarchy and Target WBS filter to inspect all descendant targets." r:id="rId25"/>
    <hyperlink xmlns:r="http://schemas.openxmlformats.org/officeDocument/2006/relationships" ref="K22" tooltip="First relationship in this approved WBS branch; use the WBS Explorer hierarchy and Target WBS filter to inspect all descendant targets." r:id="rId26"/>
    <hyperlink xmlns:r="http://schemas.openxmlformats.org/officeDocument/2006/relationships" ref="K23" r:id="rId27"/>
    <hyperlink xmlns:r="http://schemas.openxmlformats.org/officeDocument/2006/relationships" ref="K24" r:id="rId28"/>
    <hyperlink xmlns:r="http://schemas.openxmlformats.org/officeDocument/2006/relationships" ref="K25" tooltip="First relationship in this approved WBS branch; use the WBS Explorer hierarchy and Target WBS filter to inspect all descendant targets." r:id="rId29"/>
    <hyperlink xmlns:r="http://schemas.openxmlformats.org/officeDocument/2006/relationships" ref="K26" r:id="rId30"/>
    <hyperlink xmlns:r="http://schemas.openxmlformats.org/officeDocument/2006/relationships" ref="K27" r:id="rId31"/>
    <hyperlink xmlns:r="http://schemas.openxmlformats.org/officeDocument/2006/relationships" ref="K28" r:id="rId32"/>
    <hyperlink xmlns:r="http://schemas.openxmlformats.org/officeDocument/2006/relationships" ref="K29" r:id="rId33"/>
    <hyperlink xmlns:r="http://schemas.openxmlformats.org/officeDocument/2006/relationships" ref="K30" r:id="rId34"/>
    <hyperlink xmlns:r="http://schemas.openxmlformats.org/officeDocument/2006/relationships" ref="K31" r:id="rId35"/>
    <hyperlink xmlns:r="http://schemas.openxmlformats.org/officeDocument/2006/relationships" ref="K32" r:id="rId36"/>
    <hyperlink xmlns:r="http://schemas.openxmlformats.org/officeDocument/2006/relationships" ref="K33" r:id="rId37"/>
    <hyperlink xmlns:r="http://schemas.openxmlformats.org/officeDocument/2006/relationships" ref="K34" tooltip="First relationship in this approved WBS branch; use the WBS Explorer hierarchy and Target WBS filter to inspect all descendant targets." r:id="rId38"/>
    <hyperlink xmlns:r="http://schemas.openxmlformats.org/officeDocument/2006/relationships" ref="K35" tooltip="First relationship in this approved WBS branch; use the WBS Explorer hierarchy and Target WBS filter to inspect all descendant targets." r:id="rId39"/>
    <hyperlink xmlns:r="http://schemas.openxmlformats.org/officeDocument/2006/relationships" ref="K36" r:id="rId40"/>
    <hyperlink xmlns:r="http://schemas.openxmlformats.org/officeDocument/2006/relationships" ref="K37" r:id="rId41"/>
    <hyperlink xmlns:r="http://schemas.openxmlformats.org/officeDocument/2006/relationships" ref="K38" tooltip="First relationship in this approved WBS branch; use the WBS Explorer hierarchy and Target WBS filter to inspect all descendant targets." r:id="rId42"/>
    <hyperlink xmlns:r="http://schemas.openxmlformats.org/officeDocument/2006/relationships" ref="K39" r:id="rId43"/>
    <hyperlink xmlns:r="http://schemas.openxmlformats.org/officeDocument/2006/relationships" ref="K40" r:id="rId44"/>
    <hyperlink xmlns:r="http://schemas.openxmlformats.org/officeDocument/2006/relationships" ref="K41" r:id="rId45"/>
    <hyperlink xmlns:r="http://schemas.openxmlformats.org/officeDocument/2006/relationships" ref="K42" r:id="rId46"/>
    <hyperlink xmlns:r="http://schemas.openxmlformats.org/officeDocument/2006/relationships" ref="K43" r:id="rId47"/>
    <hyperlink xmlns:r="http://schemas.openxmlformats.org/officeDocument/2006/relationships" ref="K44" r:id="rId48"/>
    <hyperlink xmlns:r="http://schemas.openxmlformats.org/officeDocument/2006/relationships" ref="K45" r:id="rId49"/>
    <hyperlink xmlns:r="http://schemas.openxmlformats.org/officeDocument/2006/relationships" ref="K46" r:id="rId50"/>
    <hyperlink xmlns:r="http://schemas.openxmlformats.org/officeDocument/2006/relationships" ref="K47" tooltip="First relationship in this approved WBS branch; use the WBS Explorer hierarchy and Target WBS filter to inspect all descendant targets." r:id="rId51"/>
    <hyperlink xmlns:r="http://schemas.openxmlformats.org/officeDocument/2006/relationships" ref="K48" tooltip="First relationship in this approved WBS branch; use the WBS Explorer hierarchy and Target WBS filter to inspect all descendant targets." r:id="rId52"/>
    <hyperlink xmlns:r="http://schemas.openxmlformats.org/officeDocument/2006/relationships" ref="K49" r:id="rId53"/>
    <hyperlink xmlns:r="http://schemas.openxmlformats.org/officeDocument/2006/relationships" ref="K50" r:id="rId54"/>
    <hyperlink xmlns:r="http://schemas.openxmlformats.org/officeDocument/2006/relationships" ref="K51" tooltip="First relationship in this approved WBS branch; use the WBS Explorer hierarchy and Target WBS filter to inspect all descendant targets." r:id="rId55"/>
    <hyperlink xmlns:r="http://schemas.openxmlformats.org/officeDocument/2006/relationships" ref="K52" r:id="rId56"/>
    <hyperlink xmlns:r="http://schemas.openxmlformats.org/officeDocument/2006/relationships" ref="K53" r:id="rId57"/>
    <hyperlink xmlns:r="http://schemas.openxmlformats.org/officeDocument/2006/relationships" ref="K54" r:id="rId58"/>
    <hyperlink xmlns:r="http://schemas.openxmlformats.org/officeDocument/2006/relationships" ref="K55" r:id="rId59"/>
    <hyperlink xmlns:r="http://schemas.openxmlformats.org/officeDocument/2006/relationships" ref="K56" r:id="rId60"/>
    <hyperlink xmlns:r="http://schemas.openxmlformats.org/officeDocument/2006/relationships" ref="K57" r:id="rId61"/>
    <hyperlink xmlns:r="http://schemas.openxmlformats.org/officeDocument/2006/relationships" ref="K58" r:id="rId62"/>
    <hyperlink xmlns:r="http://schemas.openxmlformats.org/officeDocument/2006/relationships" ref="K59" r:id="rId63"/>
    <hyperlink xmlns:r="http://schemas.openxmlformats.org/officeDocument/2006/relationships" ref="K60" tooltip="First relationship in this approved WBS branch; use the WBS Explorer hierarchy and Target WBS filter to inspect all descendant targets." r:id="rId64"/>
    <hyperlink xmlns:r="http://schemas.openxmlformats.org/officeDocument/2006/relationships" ref="K61" tooltip="First relationship in this approved WBS branch; use the WBS Explorer hierarchy and Target WBS filter to inspect all descendant targets." r:id="rId65"/>
    <hyperlink xmlns:r="http://schemas.openxmlformats.org/officeDocument/2006/relationships" ref="K62" r:id="rId66"/>
    <hyperlink xmlns:r="http://schemas.openxmlformats.org/officeDocument/2006/relationships" ref="K63" r:id="rId67"/>
    <hyperlink xmlns:r="http://schemas.openxmlformats.org/officeDocument/2006/relationships" ref="K64" tooltip="First relationship in this approved WBS branch; use the WBS Explorer hierarchy and Target WBS filter to inspect all descendant targets." r:id="rId68"/>
    <hyperlink xmlns:r="http://schemas.openxmlformats.org/officeDocument/2006/relationships" ref="K65" r:id="rId69"/>
    <hyperlink xmlns:r="http://schemas.openxmlformats.org/officeDocument/2006/relationships" ref="K66" r:id="rId70"/>
    <hyperlink xmlns:r="http://schemas.openxmlformats.org/officeDocument/2006/relationships" ref="K67" r:id="rId71"/>
    <hyperlink xmlns:r="http://schemas.openxmlformats.org/officeDocument/2006/relationships" ref="K68" r:id="rId72"/>
    <hyperlink xmlns:r="http://schemas.openxmlformats.org/officeDocument/2006/relationships" ref="K69" r:id="rId73"/>
    <hyperlink xmlns:r="http://schemas.openxmlformats.org/officeDocument/2006/relationships" ref="K70" r:id="rId74"/>
    <hyperlink xmlns:r="http://schemas.openxmlformats.org/officeDocument/2006/relationships" ref="K71" r:id="rId75"/>
    <hyperlink xmlns:r="http://schemas.openxmlformats.org/officeDocument/2006/relationships" ref="K72" r:id="rId76"/>
    <hyperlink xmlns:r="http://schemas.openxmlformats.org/officeDocument/2006/relationships" ref="K73" tooltip="First relationship in this approved WBS branch; use the WBS Explorer hierarchy and Target WBS filter to inspect all descendant targets." r:id="rId77"/>
    <hyperlink xmlns:r="http://schemas.openxmlformats.org/officeDocument/2006/relationships" ref="K74" tooltip="First relationship in this approved WBS branch; use the WBS Explorer hierarchy and Target WBS filter to inspect all descendant targets." r:id="rId78"/>
    <hyperlink xmlns:r="http://schemas.openxmlformats.org/officeDocument/2006/relationships" ref="K75" r:id="rId79"/>
    <hyperlink xmlns:r="http://schemas.openxmlformats.org/officeDocument/2006/relationships" ref="K76" r:id="rId80"/>
    <hyperlink xmlns:r="http://schemas.openxmlformats.org/officeDocument/2006/relationships" ref="K77" tooltip="First relationship in this approved WBS branch; use the WBS Explorer hierarchy and Target WBS filter to inspect all descendant targets." r:id="rId81"/>
    <hyperlink xmlns:r="http://schemas.openxmlformats.org/officeDocument/2006/relationships" ref="K78" r:id="rId82"/>
    <hyperlink xmlns:r="http://schemas.openxmlformats.org/officeDocument/2006/relationships" ref="K79" r:id="rId83"/>
    <hyperlink xmlns:r="http://schemas.openxmlformats.org/officeDocument/2006/relationships" ref="K80" r:id="rId84"/>
    <hyperlink xmlns:r="http://schemas.openxmlformats.org/officeDocument/2006/relationships" ref="K81" r:id="rId85"/>
    <hyperlink xmlns:r="http://schemas.openxmlformats.org/officeDocument/2006/relationships" ref="K82" r:id="rId86"/>
    <hyperlink xmlns:r="http://schemas.openxmlformats.org/officeDocument/2006/relationships" ref="K83" r:id="rId87"/>
    <hyperlink xmlns:r="http://schemas.openxmlformats.org/officeDocument/2006/relationships" ref="K84" r:id="rId88"/>
    <hyperlink xmlns:r="http://schemas.openxmlformats.org/officeDocument/2006/relationships" ref="K85" r:id="rId89"/>
  </hyperlinks>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tabColor rgb="00565B64"/>
    <outlinePr summaryBelow="0" summaryRight="0"/>
    <pageSetUpPr fitToPage="1"/>
  </sheetPr>
  <dimension ref="A1:J1631"/>
  <sheetViews>
    <sheetView showGridLines="0" tabSelected="0" topLeftCell="A1" zoomScale="100" zoomScaleNormal="100" workbookViewId="0">
      <pane xSplit="1" ySplit="5" topLeftCell="B6"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8" customWidth="1" min="1" max="1"/>
    <col width="30" customWidth="1" min="2" max="2"/>
    <col width="45" customWidth="1" min="3" max="3"/>
    <col width="45" customWidth="1" min="4" max="4"/>
    <col width="46" customWidth="1" min="5" max="5"/>
    <col width="40" customWidth="1" min="6" max="6"/>
    <col width="30" customWidth="1" min="7" max="7"/>
    <col width="42" customWidth="1" min="8" max="8"/>
    <col width="40" customWidth="1" min="9" max="9"/>
    <col width="18" customWidth="1" min="10" max="10"/>
  </cols>
  <sheetData>
    <row r="1" ht="33.2" customHeight="1">
      <c r="A1" s="9" t="inlineStr">
        <is>
          <t>EVIDENCE &amp; DECISIONS</t>
        </is>
      </c>
    </row>
    <row r="2" ht="26" customHeight="1">
      <c r="A2" s="10" t="inlineStr">
        <is>
          <t>Source says → relationship / interpretation → professional decision → current governed state.</t>
        </is>
      </c>
    </row>
    <row r="3" ht="19" customHeight="1">
      <c r="A3" s="11" t="inlineStr">
        <is>
          <t>Executive</t>
        </is>
      </c>
      <c r="B3" s="11" t="inlineStr">
        <is>
          <t>Issues</t>
        </is>
      </c>
      <c r="C3" s="11" t="inlineStr">
        <is>
          <t>Integration</t>
        </is>
      </c>
      <c r="D3" s="11" t="inlineStr">
        <is>
          <t>Project</t>
        </is>
      </c>
      <c r="E3" s="11" t="inlineStr">
        <is>
          <t>Changes</t>
        </is>
      </c>
      <c r="F3" s="11" t="inlineStr">
        <is>
          <t>Crosswalk</t>
        </is>
      </c>
      <c r="G3" s="11" t="inlineStr">
        <is>
          <t>Evidence</t>
        </is>
      </c>
      <c r="H3" s="11" t="inlineStr">
        <is>
          <t>Sources</t>
        </is>
      </c>
    </row>
    <row r="4"/>
    <row r="5" ht="34" customHeight="1">
      <c r="A5" s="12" t="inlineStr">
        <is>
          <t>Relationship</t>
        </is>
      </c>
      <c r="B5" s="12" t="inlineStr">
        <is>
          <t>Source / record</t>
        </is>
      </c>
      <c r="C5" s="12" t="inlineStr">
        <is>
          <t>SOURCE SAYS</t>
        </is>
      </c>
      <c r="D5" s="12" t="inlineStr">
        <is>
          <t>RELATIONSHIP / INTERPRETATION</t>
        </is>
      </c>
      <c r="E5" s="12" t="inlineStr">
        <is>
          <t>Contrary / competing evidence</t>
        </is>
      </c>
      <c r="F5" s="12" t="inlineStr">
        <is>
          <t>PROFESSIONAL DECISION</t>
        </is>
      </c>
      <c r="G5" s="12" t="inlineStr">
        <is>
          <t>Decision scope</t>
        </is>
      </c>
      <c r="H5" s="12" t="inlineStr">
        <is>
          <t>CURRENT GOVERNED STATE</t>
        </is>
      </c>
      <c r="I5" s="12" t="inlineStr">
        <is>
          <t>Change / reopen</t>
        </is>
      </c>
      <c r="J5" s="12" t="inlineStr">
        <is>
          <t>Crosswalk</t>
        </is>
      </c>
    </row>
    <row r="6" ht="94" customHeight="1">
      <c r="A6" s="23" t="inlineStr">
        <is>
          <t>R1563-v3</t>
        </is>
      </c>
      <c r="B6" s="23" t="inlineStr">
        <is>
          <t>Commercial Package Register / PKG-001</t>
        </is>
      </c>
      <c r="C6" s="23" t="inlineStr">
        <is>
          <t>Package Code = PK-101; WBS Code = 1.1;1.2</t>
        </is>
      </c>
      <c r="D6" s="23" t="inlineStr">
        <is>
          <t>Proposed by Professional; target 1.1 Guideway and Civil</t>
        </is>
      </c>
      <c r="E6" s="23" t="inlineStr">
        <is>
          <t>Source states 'WBS Code' = '1.1;1.2' -- names no element of this WBS -- professional reason (Maya Chen, Owner Project Controls): Source package register explicitly states both Owner-WBS branches.</t>
        </is>
      </c>
      <c r="F6" s="23" t="inlineStr">
        <is>
          <t>Maya Chen, Owner Project Controls: Earlier professional decision, carried forward</t>
        </is>
      </c>
      <c r="G6" s="23" t="inlineStr">
        <is>
          <t>Individual, carried forward</t>
        </is>
      </c>
      <c r="H6" s="23" t="inlineStr">
        <is>
          <t xml:space="preserve">RETAINED / ONE_TO_MANY; </t>
        </is>
      </c>
      <c r="I6" s="23" t="inlineStr">
        <is>
          <t>Carried forward</t>
        </is>
      </c>
      <c r="J6" s="14" t="inlineStr">
        <is>
          <t>08 CROSSWALK</t>
        </is>
      </c>
    </row>
    <row r="7" ht="49" customHeight="1">
      <c r="A7" s="23" t="inlineStr">
        <is>
          <t>R1564-v2</t>
        </is>
      </c>
      <c r="B7" s="23" t="inlineStr">
        <is>
          <t>Commercial Package Register / PKG-002</t>
        </is>
      </c>
      <c r="C7" s="23" t="inlineStr">
        <is>
          <t>Package Code = PK-102; WBS Code = 1.1</t>
        </is>
      </c>
      <c r="D7" s="23" t="inlineStr">
        <is>
          <t>Proposed by Source assignment; target 1.1 Guideway and Civil</t>
        </is>
      </c>
      <c r="E7" s="23" t="inlineStr">
        <is>
          <t>None recorded</t>
        </is>
      </c>
      <c r="F7" s="23" t="inlineStr">
        <is>
          <t>No individual professional decision recorded; Source assignment -- not individually reviewed</t>
        </is>
      </c>
      <c r="G7" s="23" t="inlineStr">
        <is>
          <t>Not individually decided</t>
        </is>
      </c>
      <c r="H7" s="23" t="inlineStr">
        <is>
          <t xml:space="preserve">RETAINED / ONE_TO_ONE; </t>
        </is>
      </c>
      <c r="I7" s="23" t="inlineStr">
        <is>
          <t>Carried forward</t>
        </is>
      </c>
      <c r="J7" s="14" t="inlineStr">
        <is>
          <t>08 CROSSWALK</t>
        </is>
      </c>
    </row>
    <row r="8" ht="49" customHeight="1">
      <c r="A8" s="23" t="inlineStr">
        <is>
          <t>R1565-v2</t>
        </is>
      </c>
      <c r="B8" s="23" t="inlineStr">
        <is>
          <t>Commercial Package Register / PKG-003</t>
        </is>
      </c>
      <c r="C8" s="23" t="inlineStr">
        <is>
          <t>Package Code = PK-103; WBS Code = 1.1</t>
        </is>
      </c>
      <c r="D8" s="23" t="inlineStr">
        <is>
          <t>Proposed by Source assignment; target 1.1 Guideway and Civil</t>
        </is>
      </c>
      <c r="E8" s="23" t="inlineStr">
        <is>
          <t>None recorded</t>
        </is>
      </c>
      <c r="F8" s="23" t="inlineStr">
        <is>
          <t>No individual professional decision recorded; Source assignment -- not individually reviewed</t>
        </is>
      </c>
      <c r="G8" s="23" t="inlineStr">
        <is>
          <t>Not individually decided</t>
        </is>
      </c>
      <c r="H8" s="23" t="inlineStr">
        <is>
          <t xml:space="preserve">RETAINED / ONE_TO_ONE; </t>
        </is>
      </c>
      <c r="I8" s="23" t="inlineStr">
        <is>
          <t>Carried forward</t>
        </is>
      </c>
      <c r="J8" s="14" t="inlineStr">
        <is>
          <t>08 CROSSWALK</t>
        </is>
      </c>
    </row>
    <row r="9" ht="49" customHeight="1">
      <c r="A9" s="23" t="inlineStr">
        <is>
          <t>R1566-v2</t>
        </is>
      </c>
      <c r="B9" s="23" t="inlineStr">
        <is>
          <t>Commercial Package Register / PKG-004</t>
        </is>
      </c>
      <c r="C9" s="23" t="inlineStr">
        <is>
          <t>Package Code = PK-104; WBS Code = 1.1</t>
        </is>
      </c>
      <c r="D9" s="23" t="inlineStr">
        <is>
          <t>Proposed by Source assignment; target 1.1 Guideway and Civil</t>
        </is>
      </c>
      <c r="E9" s="23" t="inlineStr">
        <is>
          <t>None recorded</t>
        </is>
      </c>
      <c r="F9" s="23" t="inlineStr">
        <is>
          <t>No individual professional decision recorded; Source assignment -- not individually reviewed</t>
        </is>
      </c>
      <c r="G9" s="23" t="inlineStr">
        <is>
          <t>Not individually decided</t>
        </is>
      </c>
      <c r="H9" s="23" t="inlineStr">
        <is>
          <t xml:space="preserve">RETAINED / ONE_TO_ONE; </t>
        </is>
      </c>
      <c r="I9" s="23" t="inlineStr">
        <is>
          <t>Carried forward</t>
        </is>
      </c>
      <c r="J9" s="14" t="inlineStr">
        <is>
          <t>08 CROSSWALK</t>
        </is>
      </c>
    </row>
    <row r="10" ht="49" customHeight="1">
      <c r="A10" s="23" t="inlineStr">
        <is>
          <t>R1568-v2</t>
        </is>
      </c>
      <c r="B10" s="23" t="inlineStr">
        <is>
          <t>Commercial Package Register / PKG-006</t>
        </is>
      </c>
      <c r="C10" s="23" t="inlineStr">
        <is>
          <t>Package Code = PK-106; WBS Code = 1.1</t>
        </is>
      </c>
      <c r="D10" s="23" t="inlineStr">
        <is>
          <t>Proposed by Source assignment; target 1.1 Guideway and Civil</t>
        </is>
      </c>
      <c r="E10" s="23" t="inlineStr">
        <is>
          <t>None recorded</t>
        </is>
      </c>
      <c r="F10" s="23" t="inlineStr">
        <is>
          <t>No individual professional decision recorded; Source assignment -- not individually reviewed</t>
        </is>
      </c>
      <c r="G10" s="23" t="inlineStr">
        <is>
          <t>Not individually decided</t>
        </is>
      </c>
      <c r="H10" s="23" t="inlineStr">
        <is>
          <t xml:space="preserve">RETAINED / ONE_TO_ONE; </t>
        </is>
      </c>
      <c r="I10" s="23" t="inlineStr">
        <is>
          <t>Carried forward</t>
        </is>
      </c>
      <c r="J10" s="14" t="inlineStr">
        <is>
          <t>08 CROSSWALK</t>
        </is>
      </c>
    </row>
    <row r="11" ht="49" customHeight="1">
      <c r="A11" s="23" t="inlineStr">
        <is>
          <t>R1569-v2</t>
        </is>
      </c>
      <c r="B11" s="23" t="inlineStr">
        <is>
          <t>Commercial Package Register / PKG-007</t>
        </is>
      </c>
      <c r="C11" s="23" t="inlineStr">
        <is>
          <t>Package Code = PK-107; WBS Code = 1.1</t>
        </is>
      </c>
      <c r="D11" s="23" t="inlineStr">
        <is>
          <t>Proposed by Source assignment; target 1.1 Guideway and Civil</t>
        </is>
      </c>
      <c r="E11" s="23" t="inlineStr">
        <is>
          <t>None recorded</t>
        </is>
      </c>
      <c r="F11" s="23" t="inlineStr">
        <is>
          <t>No individual professional decision recorded; Source assignment -- not individually reviewed</t>
        </is>
      </c>
      <c r="G11" s="23" t="inlineStr">
        <is>
          <t>Not individually decided</t>
        </is>
      </c>
      <c r="H11" s="23" t="inlineStr">
        <is>
          <t xml:space="preserve">RETAINED / ONE_TO_ONE; </t>
        </is>
      </c>
      <c r="I11" s="23" t="inlineStr">
        <is>
          <t>Carried forward</t>
        </is>
      </c>
      <c r="J11" s="14" t="inlineStr">
        <is>
          <t>08 CROSSWALK</t>
        </is>
      </c>
    </row>
    <row r="12" ht="49" customHeight="1">
      <c r="A12" s="23" t="inlineStr">
        <is>
          <t>R1570-v2</t>
        </is>
      </c>
      <c r="B12" s="23" t="inlineStr">
        <is>
          <t>Commercial Package Register / PKG-008</t>
        </is>
      </c>
      <c r="C12" s="23" t="inlineStr">
        <is>
          <t>Package Code = PK-108; WBS Code = 1.1</t>
        </is>
      </c>
      <c r="D12" s="23" t="inlineStr">
        <is>
          <t>Proposed by Source assignment; target 1.1 Guideway and Civil</t>
        </is>
      </c>
      <c r="E12" s="23" t="inlineStr">
        <is>
          <t>None recorded</t>
        </is>
      </c>
      <c r="F12" s="23" t="inlineStr">
        <is>
          <t>No individual professional decision recorded; Source assignment -- not individually reviewed</t>
        </is>
      </c>
      <c r="G12" s="23" t="inlineStr">
        <is>
          <t>Not individually decided</t>
        </is>
      </c>
      <c r="H12" s="23" t="inlineStr">
        <is>
          <t xml:space="preserve">RETAINED / ONE_TO_ONE; </t>
        </is>
      </c>
      <c r="I12" s="23" t="inlineStr">
        <is>
          <t>Carried forward</t>
        </is>
      </c>
      <c r="J12" s="14" t="inlineStr">
        <is>
          <t>08 CROSSWALK</t>
        </is>
      </c>
    </row>
    <row r="13" ht="49" customHeight="1">
      <c r="A13" s="23" t="inlineStr">
        <is>
          <t>R1571-v2</t>
        </is>
      </c>
      <c r="B13" s="23" t="inlineStr">
        <is>
          <t>Commercial Package Register / PKG-009</t>
        </is>
      </c>
      <c r="C13" s="23" t="inlineStr">
        <is>
          <t>Package Code = PK-109; WBS Code = 1.1</t>
        </is>
      </c>
      <c r="D13" s="23" t="inlineStr">
        <is>
          <t>Proposed by Source assignment; target 1.1 Guideway and Civil</t>
        </is>
      </c>
      <c r="E13" s="23" t="inlineStr">
        <is>
          <t>None recorded</t>
        </is>
      </c>
      <c r="F13" s="23" t="inlineStr">
        <is>
          <t>No individual professional decision recorded; Source assignment -- not individually reviewed</t>
        </is>
      </c>
      <c r="G13" s="23" t="inlineStr">
        <is>
          <t>Not individually decided</t>
        </is>
      </c>
      <c r="H13" s="23" t="inlineStr">
        <is>
          <t xml:space="preserve">RETAINED / ONE_TO_ONE; </t>
        </is>
      </c>
      <c r="I13" s="23" t="inlineStr">
        <is>
          <t>Carried forward</t>
        </is>
      </c>
      <c r="J13" s="14" t="inlineStr">
        <is>
          <t>08 CROSSWALK</t>
        </is>
      </c>
    </row>
    <row r="14" ht="49" customHeight="1">
      <c r="A14" s="23" t="inlineStr">
        <is>
          <t>R1572-v2</t>
        </is>
      </c>
      <c r="B14" s="23" t="inlineStr">
        <is>
          <t>Commercial Package Register / PKG-010</t>
        </is>
      </c>
      <c r="C14" s="23" t="inlineStr">
        <is>
          <t>Package Code = PK-110; WBS Code = 1.1</t>
        </is>
      </c>
      <c r="D14" s="23" t="inlineStr">
        <is>
          <t>Proposed by Source assignment; target 1.1 Guideway and Civil</t>
        </is>
      </c>
      <c r="E14" s="23" t="inlineStr">
        <is>
          <t>None recorded</t>
        </is>
      </c>
      <c r="F14" s="23" t="inlineStr">
        <is>
          <t>No individual professional decision recorded; Source assignment -- not individually reviewed</t>
        </is>
      </c>
      <c r="G14" s="23" t="inlineStr">
        <is>
          <t>Not individually decided</t>
        </is>
      </c>
      <c r="H14" s="23" t="inlineStr">
        <is>
          <t xml:space="preserve">RETAINED / ONE_TO_ONE; </t>
        </is>
      </c>
      <c r="I14" s="23" t="inlineStr">
        <is>
          <t>Carried forward</t>
        </is>
      </c>
      <c r="J14" s="14" t="inlineStr">
        <is>
          <t>08 CROSSWALK</t>
        </is>
      </c>
    </row>
    <row r="15" ht="49" customHeight="1">
      <c r="A15" s="23" t="inlineStr">
        <is>
          <t>R1-v2</t>
        </is>
      </c>
      <c r="B15" s="23" t="inlineStr">
        <is>
          <t>Contractor Programme / SCH-01-001</t>
        </is>
      </c>
      <c r="C15" s="23" t="inlineStr">
        <is>
          <t>WBS Code = 1.1.1</t>
        </is>
      </c>
      <c r="D15" s="23" t="inlineStr">
        <is>
          <t>Proposed by Source assignment; target 1.1.1 Guideway and Civil - Guideway Structures</t>
        </is>
      </c>
      <c r="E15" s="23" t="inlineStr">
        <is>
          <t>None recorded</t>
        </is>
      </c>
      <c r="F15" s="23" t="inlineStr">
        <is>
          <t>No individual professional decision recorded; Source assignment -- not individually reviewed</t>
        </is>
      </c>
      <c r="G15" s="23" t="inlineStr">
        <is>
          <t>Not individually decided</t>
        </is>
      </c>
      <c r="H15" s="23" t="inlineStr">
        <is>
          <t xml:space="preserve">RETAINED / ONE_TO_ONE; </t>
        </is>
      </c>
      <c r="I15" s="23" t="inlineStr">
        <is>
          <t>Carried forward</t>
        </is>
      </c>
      <c r="J15" s="14" t="inlineStr">
        <is>
          <t>08 CROSSWALK</t>
        </is>
      </c>
    </row>
    <row r="16" ht="49" customHeight="1">
      <c r="A16" s="23" t="inlineStr">
        <is>
          <t>R2-v2</t>
        </is>
      </c>
      <c r="B16" s="23" t="inlineStr">
        <is>
          <t>Contractor Programme / SCH-01-002</t>
        </is>
      </c>
      <c r="C16" s="23" t="inlineStr">
        <is>
          <t>WBS Code = 1.1.1</t>
        </is>
      </c>
      <c r="D16" s="23" t="inlineStr">
        <is>
          <t>Proposed by Source assignment; target 1.1.1 Guideway and Civil - Guideway Structures</t>
        </is>
      </c>
      <c r="E16" s="23" t="inlineStr">
        <is>
          <t>None recorded</t>
        </is>
      </c>
      <c r="F16" s="23" t="inlineStr">
        <is>
          <t>No individual professional decision recorded; Source assignment -- not individually reviewed</t>
        </is>
      </c>
      <c r="G16" s="23" t="inlineStr">
        <is>
          <t>Not individually decided</t>
        </is>
      </c>
      <c r="H16" s="23" t="inlineStr">
        <is>
          <t xml:space="preserve">RETAINED / ONE_TO_ONE; </t>
        </is>
      </c>
      <c r="I16" s="23" t="inlineStr">
        <is>
          <t>Carried forward</t>
        </is>
      </c>
      <c r="J16" s="14" t="inlineStr">
        <is>
          <t>08 CROSSWALK</t>
        </is>
      </c>
    </row>
    <row r="17" ht="49" customHeight="1">
      <c r="A17" s="23" t="inlineStr">
        <is>
          <t>R4-v2</t>
        </is>
      </c>
      <c r="B17" s="23" t="inlineStr">
        <is>
          <t>Contractor Programme / SCH-01-004</t>
        </is>
      </c>
      <c r="C17" s="23" t="inlineStr">
        <is>
          <t>WBS Code = 1.1.1</t>
        </is>
      </c>
      <c r="D17" s="23" t="inlineStr">
        <is>
          <t>Proposed by Source assignment; target 1.1.1 Guideway and Civil - Guideway Structures</t>
        </is>
      </c>
      <c r="E17" s="23" t="inlineStr">
        <is>
          <t>None recorded</t>
        </is>
      </c>
      <c r="F17" s="23" t="inlineStr">
        <is>
          <t>No individual professional decision recorded; Source assignment -- not individually reviewed</t>
        </is>
      </c>
      <c r="G17" s="23" t="inlineStr">
        <is>
          <t>Not individually decided</t>
        </is>
      </c>
      <c r="H17" s="23" t="inlineStr">
        <is>
          <t xml:space="preserve">RETAINED / ONE_TO_ONE; </t>
        </is>
      </c>
      <c r="I17" s="23" t="inlineStr">
        <is>
          <t>Carried forward</t>
        </is>
      </c>
      <c r="J17" s="14" t="inlineStr">
        <is>
          <t>08 CROSSWALK</t>
        </is>
      </c>
    </row>
    <row r="18" ht="49" customHeight="1">
      <c r="A18" s="23" t="inlineStr">
        <is>
          <t>R7-v2</t>
        </is>
      </c>
      <c r="B18" s="23" t="inlineStr">
        <is>
          <t>Contractor Programme / SCH-01-007</t>
        </is>
      </c>
      <c r="C18" s="23" t="inlineStr">
        <is>
          <t>WBS Code = 1.1.1</t>
        </is>
      </c>
      <c r="D18" s="23" t="inlineStr">
        <is>
          <t>Proposed by Source assignment; target 1.1.1 Guideway and Civil - Guideway Structures</t>
        </is>
      </c>
      <c r="E18" s="23" t="inlineStr">
        <is>
          <t>None recorded</t>
        </is>
      </c>
      <c r="F18" s="23" t="inlineStr">
        <is>
          <t>No individual professional decision recorded; Source assignment -- not individually reviewed</t>
        </is>
      </c>
      <c r="G18" s="23" t="inlineStr">
        <is>
          <t>Not individually decided</t>
        </is>
      </c>
      <c r="H18" s="23" t="inlineStr">
        <is>
          <t xml:space="preserve">RETAINED / ONE_TO_ONE; </t>
        </is>
      </c>
      <c r="I18" s="23" t="inlineStr">
        <is>
          <t>Carried forward</t>
        </is>
      </c>
      <c r="J18" s="14" t="inlineStr">
        <is>
          <t>08 CROSSWALK</t>
        </is>
      </c>
    </row>
    <row r="19" ht="49" customHeight="1">
      <c r="A19" s="23" t="inlineStr">
        <is>
          <t>R8-v2</t>
        </is>
      </c>
      <c r="B19" s="23" t="inlineStr">
        <is>
          <t>Contractor Programme / SCH-01-008</t>
        </is>
      </c>
      <c r="C19" s="23" t="inlineStr">
        <is>
          <t>WBS Code = 1.1.1</t>
        </is>
      </c>
      <c r="D19" s="23" t="inlineStr">
        <is>
          <t>Proposed by Source assignment; target 1.1.1 Guideway and Civil - Guideway Structures</t>
        </is>
      </c>
      <c r="E19" s="23" t="inlineStr">
        <is>
          <t>None recorded</t>
        </is>
      </c>
      <c r="F19" s="23" t="inlineStr">
        <is>
          <t>No individual professional decision recorded; Source assignment -- not individually reviewed</t>
        </is>
      </c>
      <c r="G19" s="23" t="inlineStr">
        <is>
          <t>Not individually decided</t>
        </is>
      </c>
      <c r="H19" s="23" t="inlineStr">
        <is>
          <t xml:space="preserve">RETAINED / ONE_TO_ONE; </t>
        </is>
      </c>
      <c r="I19" s="23" t="inlineStr">
        <is>
          <t>Carried forward</t>
        </is>
      </c>
      <c r="J19" s="14" t="inlineStr">
        <is>
          <t>08 CROSSWALK</t>
        </is>
      </c>
    </row>
    <row r="20" ht="49" customHeight="1">
      <c r="A20" s="23" t="inlineStr">
        <is>
          <t>R10-v2</t>
        </is>
      </c>
      <c r="B20" s="23" t="inlineStr">
        <is>
          <t>Contractor Programme / SCH-01-010</t>
        </is>
      </c>
      <c r="C20" s="23" t="inlineStr">
        <is>
          <t>WBS Code = 1.1.1</t>
        </is>
      </c>
      <c r="D20" s="23" t="inlineStr">
        <is>
          <t>Proposed by Source assignment; target 1.1.1 Guideway and Civil - Guideway Structures</t>
        </is>
      </c>
      <c r="E20" s="23" t="inlineStr">
        <is>
          <t>None recorded</t>
        </is>
      </c>
      <c r="F20" s="23" t="inlineStr">
        <is>
          <t>No individual professional decision recorded; Source assignment -- not individually reviewed</t>
        </is>
      </c>
      <c r="G20" s="23" t="inlineStr">
        <is>
          <t>Not individually decided</t>
        </is>
      </c>
      <c r="H20" s="23" t="inlineStr">
        <is>
          <t xml:space="preserve">RETAINED / ONE_TO_ONE; </t>
        </is>
      </c>
      <c r="I20" s="23" t="inlineStr">
        <is>
          <t>Carried forward</t>
        </is>
      </c>
      <c r="J20" s="14" t="inlineStr">
        <is>
          <t>08 CROSSWALK</t>
        </is>
      </c>
    </row>
    <row r="21" ht="49" customHeight="1">
      <c r="A21" s="23" t="inlineStr">
        <is>
          <t>R11-v2</t>
        </is>
      </c>
      <c r="B21" s="23" t="inlineStr">
        <is>
          <t>Contractor Programme / SCH-01-011</t>
        </is>
      </c>
      <c r="C21" s="23" t="inlineStr">
        <is>
          <t>WBS Code = 1.1.1</t>
        </is>
      </c>
      <c r="D21" s="23" t="inlineStr">
        <is>
          <t>Proposed by Source assignment; target 1.1.1 Guideway and Civil - Guideway Structures</t>
        </is>
      </c>
      <c r="E21" s="23" t="inlineStr">
        <is>
          <t>None recorded</t>
        </is>
      </c>
      <c r="F21" s="23" t="inlineStr">
        <is>
          <t>No individual professional decision recorded; Source assignment -- not individually reviewed</t>
        </is>
      </c>
      <c r="G21" s="23" t="inlineStr">
        <is>
          <t>Not individually decided</t>
        </is>
      </c>
      <c r="H21" s="23" t="inlineStr">
        <is>
          <t xml:space="preserve">RETAINED / ONE_TO_ONE; </t>
        </is>
      </c>
      <c r="I21" s="23" t="inlineStr">
        <is>
          <t>Carried forward</t>
        </is>
      </c>
      <c r="J21" s="14" t="inlineStr">
        <is>
          <t>08 CROSSWALK</t>
        </is>
      </c>
    </row>
    <row r="22" ht="49" customHeight="1">
      <c r="A22" s="23" t="inlineStr">
        <is>
          <t>R13-v2</t>
        </is>
      </c>
      <c r="B22" s="23" t="inlineStr">
        <is>
          <t>Contractor Programme / SCH-01-013</t>
        </is>
      </c>
      <c r="C22" s="23" t="inlineStr">
        <is>
          <t>WBS Code = 1.1.1</t>
        </is>
      </c>
      <c r="D22" s="23" t="inlineStr">
        <is>
          <t>Proposed by Source assignment; target 1.1.1 Guideway and Civil - Guideway Structures</t>
        </is>
      </c>
      <c r="E22" s="23" t="inlineStr">
        <is>
          <t>None recorded</t>
        </is>
      </c>
      <c r="F22" s="23" t="inlineStr">
        <is>
          <t>No individual professional decision recorded; Source assignment -- not individually reviewed</t>
        </is>
      </c>
      <c r="G22" s="23" t="inlineStr">
        <is>
          <t>Not individually decided</t>
        </is>
      </c>
      <c r="H22" s="23" t="inlineStr">
        <is>
          <t xml:space="preserve">RETAINED / ONE_TO_ONE; </t>
        </is>
      </c>
      <c r="I22" s="23" t="inlineStr">
        <is>
          <t>Carried forward</t>
        </is>
      </c>
      <c r="J22" s="14" t="inlineStr">
        <is>
          <t>08 CROSSWALK</t>
        </is>
      </c>
    </row>
    <row r="23" ht="49" customHeight="1">
      <c r="A23" s="23" t="inlineStr">
        <is>
          <t>R14-v2</t>
        </is>
      </c>
      <c r="B23" s="23" t="inlineStr">
        <is>
          <t>Contractor Programme / SCH-01-014</t>
        </is>
      </c>
      <c r="C23" s="23" t="inlineStr">
        <is>
          <t>WBS Code = 1.1.1</t>
        </is>
      </c>
      <c r="D23" s="23" t="inlineStr">
        <is>
          <t>Proposed by Source assignment; target 1.1.1 Guideway and Civil - Guideway Structures</t>
        </is>
      </c>
      <c r="E23" s="23" t="inlineStr">
        <is>
          <t>None recorded</t>
        </is>
      </c>
      <c r="F23" s="23" t="inlineStr">
        <is>
          <t>No individual professional decision recorded; Source assignment -- not individually reviewed</t>
        </is>
      </c>
      <c r="G23" s="23" t="inlineStr">
        <is>
          <t>Not individually decided</t>
        </is>
      </c>
      <c r="H23" s="23" t="inlineStr">
        <is>
          <t xml:space="preserve">RETAINED / ONE_TO_ONE; </t>
        </is>
      </c>
      <c r="I23" s="23" t="inlineStr">
        <is>
          <t>Carried forward</t>
        </is>
      </c>
      <c r="J23" s="14" t="inlineStr">
        <is>
          <t>08 CROSSWALK</t>
        </is>
      </c>
    </row>
    <row r="24" ht="49" customHeight="1">
      <c r="A24" s="23" t="inlineStr">
        <is>
          <t>R16-v2</t>
        </is>
      </c>
      <c r="B24" s="23" t="inlineStr">
        <is>
          <t>Contractor Programme / SCH-01-016</t>
        </is>
      </c>
      <c r="C24" s="23" t="inlineStr">
        <is>
          <t>WBS Code = 1.1.1</t>
        </is>
      </c>
      <c r="D24" s="23" t="inlineStr">
        <is>
          <t>Proposed by Source assignment; target 1.1.1 Guideway and Civil - Guideway Structures</t>
        </is>
      </c>
      <c r="E24" s="23" t="inlineStr">
        <is>
          <t>None recorded</t>
        </is>
      </c>
      <c r="F24" s="23" t="inlineStr">
        <is>
          <t>No individual professional decision recorded; Source assignment -- not individually reviewed</t>
        </is>
      </c>
      <c r="G24" s="23" t="inlineStr">
        <is>
          <t>Not individually decided</t>
        </is>
      </c>
      <c r="H24" s="23" t="inlineStr">
        <is>
          <t xml:space="preserve">RETAINED / ONE_TO_ONE; </t>
        </is>
      </c>
      <c r="I24" s="23" t="inlineStr">
        <is>
          <t>Carried forward</t>
        </is>
      </c>
      <c r="J24" s="14" t="inlineStr">
        <is>
          <t>08 CROSSWALK</t>
        </is>
      </c>
    </row>
    <row r="25" ht="49" customHeight="1">
      <c r="A25" s="23" t="inlineStr">
        <is>
          <t>R17-v2</t>
        </is>
      </c>
      <c r="B25" s="23" t="inlineStr">
        <is>
          <t>Contractor Programme / SCH-01-017</t>
        </is>
      </c>
      <c r="C25" s="23" t="inlineStr">
        <is>
          <t>WBS Code = 1.1.1</t>
        </is>
      </c>
      <c r="D25" s="23" t="inlineStr">
        <is>
          <t>Proposed by Source assignment; target 1.1.1 Guideway and Civil - Guideway Structures</t>
        </is>
      </c>
      <c r="E25" s="23" t="inlineStr">
        <is>
          <t>None recorded</t>
        </is>
      </c>
      <c r="F25" s="23" t="inlineStr">
        <is>
          <t>No individual professional decision recorded; Source assignment -- not individually reviewed</t>
        </is>
      </c>
      <c r="G25" s="23" t="inlineStr">
        <is>
          <t>Not individually decided</t>
        </is>
      </c>
      <c r="H25" s="23" t="inlineStr">
        <is>
          <t xml:space="preserve">RETAINED / ONE_TO_ONE; </t>
        </is>
      </c>
      <c r="I25" s="23" t="inlineStr">
        <is>
          <t>Carried forward</t>
        </is>
      </c>
      <c r="J25" s="14" t="inlineStr">
        <is>
          <t>08 CROSSWALK</t>
        </is>
      </c>
    </row>
    <row r="26" ht="49" customHeight="1">
      <c r="A26" s="23" t="inlineStr">
        <is>
          <t>R19-v2</t>
        </is>
      </c>
      <c r="B26" s="23" t="inlineStr">
        <is>
          <t>Contractor Programme / SCH-01-019</t>
        </is>
      </c>
      <c r="C26" s="23" t="inlineStr">
        <is>
          <t>WBS Code = 1.1.1</t>
        </is>
      </c>
      <c r="D26" s="23" t="inlineStr">
        <is>
          <t>Proposed by Source assignment; target 1.1.1 Guideway and Civil - Guideway Structures</t>
        </is>
      </c>
      <c r="E26" s="23" t="inlineStr">
        <is>
          <t>None recorded</t>
        </is>
      </c>
      <c r="F26" s="23" t="inlineStr">
        <is>
          <t>No individual professional decision recorded; Source assignment -- not individually reviewed</t>
        </is>
      </c>
      <c r="G26" s="23" t="inlineStr">
        <is>
          <t>Not individually decided</t>
        </is>
      </c>
      <c r="H26" s="23" t="inlineStr">
        <is>
          <t xml:space="preserve">RETAINED / ONE_TO_ONE; </t>
        </is>
      </c>
      <c r="I26" s="23" t="inlineStr">
        <is>
          <t>Carried forward</t>
        </is>
      </c>
      <c r="J26" s="14" t="inlineStr">
        <is>
          <t>08 CROSSWALK</t>
        </is>
      </c>
    </row>
    <row r="27" ht="49" customHeight="1">
      <c r="A27" s="23" t="inlineStr">
        <is>
          <t>R20-v2</t>
        </is>
      </c>
      <c r="B27" s="23" t="inlineStr">
        <is>
          <t>Contractor Programme / SCH-01-020</t>
        </is>
      </c>
      <c r="C27" s="23" t="inlineStr">
        <is>
          <t>WBS Code = 1.1.1</t>
        </is>
      </c>
      <c r="D27" s="23" t="inlineStr">
        <is>
          <t>Proposed by Source assignment; target 1.1.1 Guideway and Civil - Guideway Structures</t>
        </is>
      </c>
      <c r="E27" s="23" t="inlineStr">
        <is>
          <t>None recorded</t>
        </is>
      </c>
      <c r="F27" s="23" t="inlineStr">
        <is>
          <t>No individual professional decision recorded; Source assignment -- not individually reviewed</t>
        </is>
      </c>
      <c r="G27" s="23" t="inlineStr">
        <is>
          <t>Not individually decided</t>
        </is>
      </c>
      <c r="H27" s="23" t="inlineStr">
        <is>
          <t xml:space="preserve">RETAINED / ONE_TO_ONE; </t>
        </is>
      </c>
      <c r="I27" s="23" t="inlineStr">
        <is>
          <t>Carried forward</t>
        </is>
      </c>
      <c r="J27" s="14" t="inlineStr">
        <is>
          <t>08 CROSSWALK</t>
        </is>
      </c>
    </row>
    <row r="28" ht="49" customHeight="1">
      <c r="A28" s="23" t="inlineStr">
        <is>
          <t>R22-v2</t>
        </is>
      </c>
      <c r="B28" s="23" t="inlineStr">
        <is>
          <t>Contractor Programme / SCH-01-022</t>
        </is>
      </c>
      <c r="C28" s="23" t="inlineStr">
        <is>
          <t>WBS Code = 1.1.1</t>
        </is>
      </c>
      <c r="D28" s="23" t="inlineStr">
        <is>
          <t>Proposed by Source assignment; target 1.1.1 Guideway and Civil - Guideway Structures</t>
        </is>
      </c>
      <c r="E28" s="23" t="inlineStr">
        <is>
          <t>None recorded</t>
        </is>
      </c>
      <c r="F28" s="23" t="inlineStr">
        <is>
          <t>No individual professional decision recorded; Source assignment -- not individually reviewed</t>
        </is>
      </c>
      <c r="G28" s="23" t="inlineStr">
        <is>
          <t>Not individually decided</t>
        </is>
      </c>
      <c r="H28" s="23" t="inlineStr">
        <is>
          <t xml:space="preserve">RETAINED / ONE_TO_ONE; </t>
        </is>
      </c>
      <c r="I28" s="23" t="inlineStr">
        <is>
          <t>Carried forward</t>
        </is>
      </c>
      <c r="J28" s="14" t="inlineStr">
        <is>
          <t>08 CROSSWALK</t>
        </is>
      </c>
    </row>
    <row r="29" ht="49" customHeight="1">
      <c r="A29" s="23" t="inlineStr">
        <is>
          <t>R23-v2</t>
        </is>
      </c>
      <c r="B29" s="23" t="inlineStr">
        <is>
          <t>Contractor Programme / SCH-01-023</t>
        </is>
      </c>
      <c r="C29" s="23" t="inlineStr">
        <is>
          <t>WBS Code = 1.1.1</t>
        </is>
      </c>
      <c r="D29" s="23" t="inlineStr">
        <is>
          <t>Proposed by Source assignment; target 1.1.1 Guideway and Civil - Guideway Structures</t>
        </is>
      </c>
      <c r="E29" s="23" t="inlineStr">
        <is>
          <t>None recorded</t>
        </is>
      </c>
      <c r="F29" s="23" t="inlineStr">
        <is>
          <t>No individual professional decision recorded; Source assignment -- not individually reviewed</t>
        </is>
      </c>
      <c r="G29" s="23" t="inlineStr">
        <is>
          <t>Not individually decided</t>
        </is>
      </c>
      <c r="H29" s="23" t="inlineStr">
        <is>
          <t xml:space="preserve">RETAINED / ONE_TO_ONE; </t>
        </is>
      </c>
      <c r="I29" s="23" t="inlineStr">
        <is>
          <t>Carried forward</t>
        </is>
      </c>
      <c r="J29" s="14" t="inlineStr">
        <is>
          <t>08 CROSSWALK</t>
        </is>
      </c>
    </row>
    <row r="30" ht="49" customHeight="1">
      <c r="A30" s="23" t="inlineStr">
        <is>
          <t>R25-v2</t>
        </is>
      </c>
      <c r="B30" s="23" t="inlineStr">
        <is>
          <t>Contractor Programme / SCH-01-025</t>
        </is>
      </c>
      <c r="C30" s="23" t="inlineStr">
        <is>
          <t>WBS Code = 1.1.1</t>
        </is>
      </c>
      <c r="D30" s="23" t="inlineStr">
        <is>
          <t>Proposed by Source assignment; target 1.1.1 Guideway and Civil - Guideway Structures</t>
        </is>
      </c>
      <c r="E30" s="23" t="inlineStr">
        <is>
          <t>None recorded</t>
        </is>
      </c>
      <c r="F30" s="23" t="inlineStr">
        <is>
          <t>No individual professional decision recorded; Source assignment -- not individually reviewed</t>
        </is>
      </c>
      <c r="G30" s="23" t="inlineStr">
        <is>
          <t>Not individually decided</t>
        </is>
      </c>
      <c r="H30" s="23" t="inlineStr">
        <is>
          <t xml:space="preserve">RETAINED / ONE_TO_ONE; </t>
        </is>
      </c>
      <c r="I30" s="23" t="inlineStr">
        <is>
          <t>Carried forward</t>
        </is>
      </c>
      <c r="J30" s="14" t="inlineStr">
        <is>
          <t>08 CROSSWALK</t>
        </is>
      </c>
    </row>
    <row r="31" ht="49" customHeight="1">
      <c r="A31" s="23" t="inlineStr">
        <is>
          <t>R26-v2</t>
        </is>
      </c>
      <c r="B31" s="23" t="inlineStr">
        <is>
          <t>Contractor Programme / SCH-01-026</t>
        </is>
      </c>
      <c r="C31" s="23" t="inlineStr">
        <is>
          <t>WBS Code = 1.1.1</t>
        </is>
      </c>
      <c r="D31" s="23" t="inlineStr">
        <is>
          <t>Proposed by Source assignment; target 1.1.1 Guideway and Civil - Guideway Structures</t>
        </is>
      </c>
      <c r="E31" s="23" t="inlineStr">
        <is>
          <t>None recorded</t>
        </is>
      </c>
      <c r="F31" s="23" t="inlineStr">
        <is>
          <t>No individual professional decision recorded; Source assignment -- not individually reviewed</t>
        </is>
      </c>
      <c r="G31" s="23" t="inlineStr">
        <is>
          <t>Not individually decided</t>
        </is>
      </c>
      <c r="H31" s="23" t="inlineStr">
        <is>
          <t xml:space="preserve">RETAINED / ONE_TO_ONE; </t>
        </is>
      </c>
      <c r="I31" s="23" t="inlineStr">
        <is>
          <t>Carried forward</t>
        </is>
      </c>
      <c r="J31" s="14" t="inlineStr">
        <is>
          <t>08 CROSSWALK</t>
        </is>
      </c>
    </row>
    <row r="32" ht="49" customHeight="1">
      <c r="A32" s="23" t="inlineStr">
        <is>
          <t>R28-v2</t>
        </is>
      </c>
      <c r="B32" s="23" t="inlineStr">
        <is>
          <t>Contractor Programme / SCH-01-028</t>
        </is>
      </c>
      <c r="C32" s="23" t="inlineStr">
        <is>
          <t>WBS Code = 1.1.1</t>
        </is>
      </c>
      <c r="D32" s="23" t="inlineStr">
        <is>
          <t>Proposed by Source assignment; target 1.1.1 Guideway and Civil - Guideway Structures</t>
        </is>
      </c>
      <c r="E32" s="23" t="inlineStr">
        <is>
          <t>None recorded</t>
        </is>
      </c>
      <c r="F32" s="23" t="inlineStr">
        <is>
          <t>No individual professional decision recorded; Source assignment -- not individually reviewed</t>
        </is>
      </c>
      <c r="G32" s="23" t="inlineStr">
        <is>
          <t>Not individually decided</t>
        </is>
      </c>
      <c r="H32" s="23" t="inlineStr">
        <is>
          <t xml:space="preserve">RETAINED / ONE_TO_ONE; </t>
        </is>
      </c>
      <c r="I32" s="23" t="inlineStr">
        <is>
          <t>Carried forward</t>
        </is>
      </c>
      <c r="J32" s="14" t="inlineStr">
        <is>
          <t>08 CROSSWALK</t>
        </is>
      </c>
    </row>
    <row r="33" ht="49" customHeight="1">
      <c r="A33" s="23" t="inlineStr">
        <is>
          <t>R29-v2</t>
        </is>
      </c>
      <c r="B33" s="23" t="inlineStr">
        <is>
          <t>Contractor Programme / SCH-01-029</t>
        </is>
      </c>
      <c r="C33" s="23" t="inlineStr">
        <is>
          <t>WBS Code = 1.1.1</t>
        </is>
      </c>
      <c r="D33" s="23" t="inlineStr">
        <is>
          <t>Proposed by Source assignment; target 1.1.1 Guideway and Civil - Guideway Structures</t>
        </is>
      </c>
      <c r="E33" s="23" t="inlineStr">
        <is>
          <t>None recorded</t>
        </is>
      </c>
      <c r="F33" s="23" t="inlineStr">
        <is>
          <t>No individual professional decision recorded; Source assignment -- not individually reviewed</t>
        </is>
      </c>
      <c r="G33" s="23" t="inlineStr">
        <is>
          <t>Not individually decided</t>
        </is>
      </c>
      <c r="H33" s="23" t="inlineStr">
        <is>
          <t xml:space="preserve">RETAINED / ONE_TO_ONE; </t>
        </is>
      </c>
      <c r="I33" s="23" t="inlineStr">
        <is>
          <t>Carried forward</t>
        </is>
      </c>
      <c r="J33" s="14" t="inlineStr">
        <is>
          <t>08 CROSSWALK</t>
        </is>
      </c>
    </row>
    <row r="34" ht="49" customHeight="1">
      <c r="A34" s="23" t="inlineStr">
        <is>
          <t>R31-v2</t>
        </is>
      </c>
      <c r="B34" s="23" t="inlineStr">
        <is>
          <t>Contractor Programme / SCH-01-031</t>
        </is>
      </c>
      <c r="C34" s="23" t="inlineStr">
        <is>
          <t>WBS Code = 1.1.1</t>
        </is>
      </c>
      <c r="D34" s="23" t="inlineStr">
        <is>
          <t>Proposed by Source assignment; target 1.1.1 Guideway and Civil - Guideway Structures</t>
        </is>
      </c>
      <c r="E34" s="23" t="inlineStr">
        <is>
          <t>None recorded</t>
        </is>
      </c>
      <c r="F34" s="23" t="inlineStr">
        <is>
          <t>No individual professional decision recorded; Source assignment -- not individually reviewed</t>
        </is>
      </c>
      <c r="G34" s="23" t="inlineStr">
        <is>
          <t>Not individually decided</t>
        </is>
      </c>
      <c r="H34" s="23" t="inlineStr">
        <is>
          <t xml:space="preserve">RETAINED / ONE_TO_ONE; </t>
        </is>
      </c>
      <c r="I34" s="23" t="inlineStr">
        <is>
          <t>Carried forward</t>
        </is>
      </c>
      <c r="J34" s="14" t="inlineStr">
        <is>
          <t>08 CROSSWALK</t>
        </is>
      </c>
    </row>
    <row r="35" ht="49" customHeight="1">
      <c r="A35" s="23" t="inlineStr">
        <is>
          <t>R32-v2</t>
        </is>
      </c>
      <c r="B35" s="23" t="inlineStr">
        <is>
          <t>Contractor Programme / SCH-01-032</t>
        </is>
      </c>
      <c r="C35" s="23" t="inlineStr">
        <is>
          <t>WBS Code = 1.1.1</t>
        </is>
      </c>
      <c r="D35" s="23" t="inlineStr">
        <is>
          <t>Proposed by Source assignment; target 1.1.1 Guideway and Civil - Guideway Structures</t>
        </is>
      </c>
      <c r="E35" s="23" t="inlineStr">
        <is>
          <t>None recorded</t>
        </is>
      </c>
      <c r="F35" s="23" t="inlineStr">
        <is>
          <t>No individual professional decision recorded; Source assignment -- not individually reviewed</t>
        </is>
      </c>
      <c r="G35" s="23" t="inlineStr">
        <is>
          <t>Not individually decided</t>
        </is>
      </c>
      <c r="H35" s="23" t="inlineStr">
        <is>
          <t xml:space="preserve">RETAINED / ONE_TO_ONE; </t>
        </is>
      </c>
      <c r="I35" s="23" t="inlineStr">
        <is>
          <t>Carried forward</t>
        </is>
      </c>
      <c r="J35" s="14" t="inlineStr">
        <is>
          <t>08 CROSSWALK</t>
        </is>
      </c>
    </row>
    <row r="36" ht="49" customHeight="1">
      <c r="A36" s="23" t="inlineStr">
        <is>
          <t>R34-v2</t>
        </is>
      </c>
      <c r="B36" s="23" t="inlineStr">
        <is>
          <t>Contractor Programme / SCH-01-034</t>
        </is>
      </c>
      <c r="C36" s="23" t="inlineStr">
        <is>
          <t>WBS Code = 1.1.1</t>
        </is>
      </c>
      <c r="D36" s="23" t="inlineStr">
        <is>
          <t>Proposed by Source assignment; target 1.1.1 Guideway and Civil - Guideway Structures</t>
        </is>
      </c>
      <c r="E36" s="23" t="inlineStr">
        <is>
          <t>None recorded</t>
        </is>
      </c>
      <c r="F36" s="23" t="inlineStr">
        <is>
          <t>No individual professional decision recorded; Source assignment -- not individually reviewed</t>
        </is>
      </c>
      <c r="G36" s="23" t="inlineStr">
        <is>
          <t>Not individually decided</t>
        </is>
      </c>
      <c r="H36" s="23" t="inlineStr">
        <is>
          <t xml:space="preserve">RETAINED / ONE_TO_ONE; </t>
        </is>
      </c>
      <c r="I36" s="23" t="inlineStr">
        <is>
          <t>Carried forward</t>
        </is>
      </c>
      <c r="J36" s="14" t="inlineStr">
        <is>
          <t>08 CROSSWALK</t>
        </is>
      </c>
    </row>
    <row r="37" ht="49" customHeight="1">
      <c r="A37" s="23" t="inlineStr">
        <is>
          <t>R35-v2</t>
        </is>
      </c>
      <c r="B37" s="23" t="inlineStr">
        <is>
          <t>Contractor Programme / SCH-01-035</t>
        </is>
      </c>
      <c r="C37" s="23" t="inlineStr">
        <is>
          <t>WBS Code = 1.1.1</t>
        </is>
      </c>
      <c r="D37" s="23" t="inlineStr">
        <is>
          <t>Proposed by Source assignment; target 1.1.1 Guideway and Civil - Guideway Structures</t>
        </is>
      </c>
      <c r="E37" s="23" t="inlineStr">
        <is>
          <t>None recorded</t>
        </is>
      </c>
      <c r="F37" s="23" t="inlineStr">
        <is>
          <t>No individual professional decision recorded; Source assignment -- not individually reviewed</t>
        </is>
      </c>
      <c r="G37" s="23" t="inlineStr">
        <is>
          <t>Not individually decided</t>
        </is>
      </c>
      <c r="H37" s="23" t="inlineStr">
        <is>
          <t xml:space="preserve">RETAINED / ONE_TO_ONE; </t>
        </is>
      </c>
      <c r="I37" s="23" t="inlineStr">
        <is>
          <t>Carried forward</t>
        </is>
      </c>
      <c r="J37" s="14" t="inlineStr">
        <is>
          <t>08 CROSSWALK</t>
        </is>
      </c>
    </row>
    <row r="38" ht="49" customHeight="1">
      <c r="A38" s="23" t="inlineStr">
        <is>
          <t>R37-v2</t>
        </is>
      </c>
      <c r="B38" s="23" t="inlineStr">
        <is>
          <t>Contractor Programme / SCH-01-037</t>
        </is>
      </c>
      <c r="C38" s="23" t="inlineStr">
        <is>
          <t>WBS Code = 1.1.1</t>
        </is>
      </c>
      <c r="D38" s="23" t="inlineStr">
        <is>
          <t>Proposed by Source assignment; target 1.1.1 Guideway and Civil - Guideway Structures</t>
        </is>
      </c>
      <c r="E38" s="23" t="inlineStr">
        <is>
          <t>None recorded</t>
        </is>
      </c>
      <c r="F38" s="23" t="inlineStr">
        <is>
          <t>No individual professional decision recorded; Source assignment -- not individually reviewed</t>
        </is>
      </c>
      <c r="G38" s="23" t="inlineStr">
        <is>
          <t>Not individually decided</t>
        </is>
      </c>
      <c r="H38" s="23" t="inlineStr">
        <is>
          <t xml:space="preserve">RETAINED / ONE_TO_ONE; </t>
        </is>
      </c>
      <c r="I38" s="23" t="inlineStr">
        <is>
          <t>Carried forward</t>
        </is>
      </c>
      <c r="J38" s="14" t="inlineStr">
        <is>
          <t>08 CROSSWALK</t>
        </is>
      </c>
    </row>
    <row r="39" ht="49" customHeight="1">
      <c r="A39" s="23" t="inlineStr">
        <is>
          <t>R38-v2</t>
        </is>
      </c>
      <c r="B39" s="23" t="inlineStr">
        <is>
          <t>Contractor Programme / SCH-01-038</t>
        </is>
      </c>
      <c r="C39" s="23" t="inlineStr">
        <is>
          <t>WBS Code = 1.1.1</t>
        </is>
      </c>
      <c r="D39" s="23" t="inlineStr">
        <is>
          <t>Proposed by Source assignment; target 1.1.1 Guideway and Civil - Guideway Structures</t>
        </is>
      </c>
      <c r="E39" s="23" t="inlineStr">
        <is>
          <t>None recorded</t>
        </is>
      </c>
      <c r="F39" s="23" t="inlineStr">
        <is>
          <t>No individual professional decision recorded; Source assignment -- not individually reviewed</t>
        </is>
      </c>
      <c r="G39" s="23" t="inlineStr">
        <is>
          <t>Not individually decided</t>
        </is>
      </c>
      <c r="H39" s="23" t="inlineStr">
        <is>
          <t xml:space="preserve">RETAINED / ONE_TO_ONE; </t>
        </is>
      </c>
      <c r="I39" s="23" t="inlineStr">
        <is>
          <t>Carried forward</t>
        </is>
      </c>
      <c r="J39" s="14" t="inlineStr">
        <is>
          <t>08 CROSSWALK</t>
        </is>
      </c>
    </row>
    <row r="40" ht="49" customHeight="1">
      <c r="A40" s="23" t="inlineStr">
        <is>
          <t>R40-v2</t>
        </is>
      </c>
      <c r="B40" s="23" t="inlineStr">
        <is>
          <t>Contractor Programme / SCH-01-040</t>
        </is>
      </c>
      <c r="C40" s="23" t="inlineStr">
        <is>
          <t>WBS Code = 1.1.1</t>
        </is>
      </c>
      <c r="D40" s="23" t="inlineStr">
        <is>
          <t>Proposed by Source assignment; target 1.1.1 Guideway and Civil - Guideway Structures</t>
        </is>
      </c>
      <c r="E40" s="23" t="inlineStr">
        <is>
          <t>None recorded</t>
        </is>
      </c>
      <c r="F40" s="23" t="inlineStr">
        <is>
          <t>No individual professional decision recorded; Source assignment -- not individually reviewed</t>
        </is>
      </c>
      <c r="G40" s="23" t="inlineStr">
        <is>
          <t>Not individually decided</t>
        </is>
      </c>
      <c r="H40" s="23" t="inlineStr">
        <is>
          <t xml:space="preserve">RETAINED / ONE_TO_ONE; </t>
        </is>
      </c>
      <c r="I40" s="23" t="inlineStr">
        <is>
          <t>Carried forward</t>
        </is>
      </c>
      <c r="J40" s="14" t="inlineStr">
        <is>
          <t>08 CROSSWALK</t>
        </is>
      </c>
    </row>
    <row r="41" ht="49" customHeight="1">
      <c r="A41" s="23" t="inlineStr">
        <is>
          <t>R41-v2</t>
        </is>
      </c>
      <c r="B41" s="23" t="inlineStr">
        <is>
          <t>Contractor Programme / SCH-01-041</t>
        </is>
      </c>
      <c r="C41" s="23" t="inlineStr">
        <is>
          <t>WBS Code = 1.1.1</t>
        </is>
      </c>
      <c r="D41" s="23" t="inlineStr">
        <is>
          <t>Proposed by Source assignment; target 1.1.1 Guideway and Civil - Guideway Structures</t>
        </is>
      </c>
      <c r="E41" s="23" t="inlineStr">
        <is>
          <t>None recorded</t>
        </is>
      </c>
      <c r="F41" s="23" t="inlineStr">
        <is>
          <t>No individual professional decision recorded; Source assignment -- not individually reviewed</t>
        </is>
      </c>
      <c r="G41" s="23" t="inlineStr">
        <is>
          <t>Not individually decided</t>
        </is>
      </c>
      <c r="H41" s="23" t="inlineStr">
        <is>
          <t xml:space="preserve">RETAINED / ONE_TO_ONE; </t>
        </is>
      </c>
      <c r="I41" s="23" t="inlineStr">
        <is>
          <t>Carried forward</t>
        </is>
      </c>
      <c r="J41" s="14" t="inlineStr">
        <is>
          <t>08 CROSSWALK</t>
        </is>
      </c>
    </row>
    <row r="42" ht="49" customHeight="1">
      <c r="A42" s="23" t="inlineStr">
        <is>
          <t>R43-v2</t>
        </is>
      </c>
      <c r="B42" s="23" t="inlineStr">
        <is>
          <t>Contractor Programme / SCH-01-043</t>
        </is>
      </c>
      <c r="C42" s="23" t="inlineStr">
        <is>
          <t>WBS Code = 1.1.1</t>
        </is>
      </c>
      <c r="D42" s="23" t="inlineStr">
        <is>
          <t>Proposed by Source assignment; target 1.1.1 Guideway and Civil - Guideway Structures</t>
        </is>
      </c>
      <c r="E42" s="23" t="inlineStr">
        <is>
          <t>None recorded</t>
        </is>
      </c>
      <c r="F42" s="23" t="inlineStr">
        <is>
          <t>No individual professional decision recorded; Source assignment -- not individually reviewed</t>
        </is>
      </c>
      <c r="G42" s="23" t="inlineStr">
        <is>
          <t>Not individually decided</t>
        </is>
      </c>
      <c r="H42" s="23" t="inlineStr">
        <is>
          <t xml:space="preserve">RETAINED / ONE_TO_ONE; </t>
        </is>
      </c>
      <c r="I42" s="23" t="inlineStr">
        <is>
          <t>Carried forward</t>
        </is>
      </c>
      <c r="J42" s="14" t="inlineStr">
        <is>
          <t>08 CROSSWALK</t>
        </is>
      </c>
    </row>
    <row r="43" ht="49" customHeight="1">
      <c r="A43" s="23" t="inlineStr">
        <is>
          <t>R44-v2</t>
        </is>
      </c>
      <c r="B43" s="23" t="inlineStr">
        <is>
          <t>Contractor Programme / SCH-01-044</t>
        </is>
      </c>
      <c r="C43" s="23" t="inlineStr">
        <is>
          <t>WBS Code = 1.1.1</t>
        </is>
      </c>
      <c r="D43" s="23" t="inlineStr">
        <is>
          <t>Proposed by Source assignment; target 1.1.1 Guideway and Civil - Guideway Structures</t>
        </is>
      </c>
      <c r="E43" s="23" t="inlineStr">
        <is>
          <t>None recorded</t>
        </is>
      </c>
      <c r="F43" s="23" t="inlineStr">
        <is>
          <t>No individual professional decision recorded; Source assignment -- not individually reviewed</t>
        </is>
      </c>
      <c r="G43" s="23" t="inlineStr">
        <is>
          <t>Not individually decided</t>
        </is>
      </c>
      <c r="H43" s="23" t="inlineStr">
        <is>
          <t xml:space="preserve">RETAINED / ONE_TO_ONE; </t>
        </is>
      </c>
      <c r="I43" s="23" t="inlineStr">
        <is>
          <t>Carried forward</t>
        </is>
      </c>
      <c r="J43" s="14" t="inlineStr">
        <is>
          <t>08 CROSSWALK</t>
        </is>
      </c>
    </row>
    <row r="44" ht="49" customHeight="1">
      <c r="A44" s="23" t="inlineStr">
        <is>
          <t>R46-v2</t>
        </is>
      </c>
      <c r="B44" s="23" t="inlineStr">
        <is>
          <t>Contractor Programme / SCH-01-046</t>
        </is>
      </c>
      <c r="C44" s="23" t="inlineStr">
        <is>
          <t>WBS Code = 1.1.1</t>
        </is>
      </c>
      <c r="D44" s="23" t="inlineStr">
        <is>
          <t>Proposed by Source assignment; target 1.1.1 Guideway and Civil - Guideway Structures</t>
        </is>
      </c>
      <c r="E44" s="23" t="inlineStr">
        <is>
          <t>None recorded</t>
        </is>
      </c>
      <c r="F44" s="23" t="inlineStr">
        <is>
          <t>No individual professional decision recorded; Source assignment -- not individually reviewed</t>
        </is>
      </c>
      <c r="G44" s="23" t="inlineStr">
        <is>
          <t>Not individually decided</t>
        </is>
      </c>
      <c r="H44" s="23" t="inlineStr">
        <is>
          <t xml:space="preserve">RETAINED / ONE_TO_ONE; </t>
        </is>
      </c>
      <c r="I44" s="23" t="inlineStr">
        <is>
          <t>Carried forward</t>
        </is>
      </c>
      <c r="J44" s="14" t="inlineStr">
        <is>
          <t>08 CROSSWALK</t>
        </is>
      </c>
    </row>
    <row r="45" ht="49" customHeight="1">
      <c r="A45" s="23" t="inlineStr">
        <is>
          <t>R47-v2</t>
        </is>
      </c>
      <c r="B45" s="23" t="inlineStr">
        <is>
          <t>Contractor Programme / SCH-01-047</t>
        </is>
      </c>
      <c r="C45" s="23" t="inlineStr">
        <is>
          <t>WBS Code = 1.1.1</t>
        </is>
      </c>
      <c r="D45" s="23" t="inlineStr">
        <is>
          <t>Proposed by Source assignment; target 1.1.1 Guideway and Civil - Guideway Structures</t>
        </is>
      </c>
      <c r="E45" s="23" t="inlineStr">
        <is>
          <t>None recorded</t>
        </is>
      </c>
      <c r="F45" s="23" t="inlineStr">
        <is>
          <t>No individual professional decision recorded; Source assignment -- not individually reviewed</t>
        </is>
      </c>
      <c r="G45" s="23" t="inlineStr">
        <is>
          <t>Not individually decided</t>
        </is>
      </c>
      <c r="H45" s="23" t="inlineStr">
        <is>
          <t xml:space="preserve">RETAINED / ONE_TO_ONE; </t>
        </is>
      </c>
      <c r="I45" s="23" t="inlineStr">
        <is>
          <t>Carried forward</t>
        </is>
      </c>
      <c r="J45" s="14" t="inlineStr">
        <is>
          <t>08 CROSSWALK</t>
        </is>
      </c>
    </row>
    <row r="46" ht="49" customHeight="1">
      <c r="A46" s="23" t="inlineStr">
        <is>
          <t>R49-v2</t>
        </is>
      </c>
      <c r="B46" s="23" t="inlineStr">
        <is>
          <t>Contractor Programme / SCH-01-049</t>
        </is>
      </c>
      <c r="C46" s="23" t="inlineStr">
        <is>
          <t>WBS Code = 1.1.1</t>
        </is>
      </c>
      <c r="D46" s="23" t="inlineStr">
        <is>
          <t>Proposed by Source assignment; target 1.1.1 Guideway and Civil - Guideway Structures</t>
        </is>
      </c>
      <c r="E46" s="23" t="inlineStr">
        <is>
          <t>None recorded</t>
        </is>
      </c>
      <c r="F46" s="23" t="inlineStr">
        <is>
          <t>No individual professional decision recorded; Source assignment -- not individually reviewed</t>
        </is>
      </c>
      <c r="G46" s="23" t="inlineStr">
        <is>
          <t>Not individually decided</t>
        </is>
      </c>
      <c r="H46" s="23" t="inlineStr">
        <is>
          <t xml:space="preserve">RETAINED / ONE_TO_ONE; </t>
        </is>
      </c>
      <c r="I46" s="23" t="inlineStr">
        <is>
          <t>Carried forward</t>
        </is>
      </c>
      <c r="J46" s="14" t="inlineStr">
        <is>
          <t>08 CROSSWALK</t>
        </is>
      </c>
    </row>
    <row r="47" ht="49" customHeight="1">
      <c r="A47" s="23" t="inlineStr">
        <is>
          <t>R50-v2</t>
        </is>
      </c>
      <c r="B47" s="23" t="inlineStr">
        <is>
          <t>Contractor Programme / SCH-01-050</t>
        </is>
      </c>
      <c r="C47" s="23" t="inlineStr">
        <is>
          <t>WBS Code = 1.1.1</t>
        </is>
      </c>
      <c r="D47" s="23" t="inlineStr">
        <is>
          <t>Proposed by Source assignment; target 1.1.1 Guideway and Civil - Guideway Structures</t>
        </is>
      </c>
      <c r="E47" s="23" t="inlineStr">
        <is>
          <t>None recorded</t>
        </is>
      </c>
      <c r="F47" s="23" t="inlineStr">
        <is>
          <t>No individual professional decision recorded; Source assignment -- not individually reviewed</t>
        </is>
      </c>
      <c r="G47" s="23" t="inlineStr">
        <is>
          <t>Not individually decided</t>
        </is>
      </c>
      <c r="H47" s="23" t="inlineStr">
        <is>
          <t xml:space="preserve">RETAINED / ONE_TO_ONE; </t>
        </is>
      </c>
      <c r="I47" s="23" t="inlineStr">
        <is>
          <t>Carried forward</t>
        </is>
      </c>
      <c r="J47" s="14" t="inlineStr">
        <is>
          <t>08 CROSSWALK</t>
        </is>
      </c>
    </row>
    <row r="48" ht="49" customHeight="1">
      <c r="A48" s="23" t="inlineStr">
        <is>
          <t>R52-v2</t>
        </is>
      </c>
      <c r="B48" s="23" t="inlineStr">
        <is>
          <t>Contractor Programme / SCH-01-052</t>
        </is>
      </c>
      <c r="C48" s="23" t="inlineStr">
        <is>
          <t>WBS Code = 1.1.1</t>
        </is>
      </c>
      <c r="D48" s="23" t="inlineStr">
        <is>
          <t>Proposed by Source assignment; target 1.1.1 Guideway and Civil - Guideway Structures</t>
        </is>
      </c>
      <c r="E48" s="23" t="inlineStr">
        <is>
          <t>None recorded</t>
        </is>
      </c>
      <c r="F48" s="23" t="inlineStr">
        <is>
          <t>No individual professional decision recorded; Source assignment -- not individually reviewed</t>
        </is>
      </c>
      <c r="G48" s="23" t="inlineStr">
        <is>
          <t>Not individually decided</t>
        </is>
      </c>
      <c r="H48" s="23" t="inlineStr">
        <is>
          <t xml:space="preserve">RETAINED / ONE_TO_ONE; </t>
        </is>
      </c>
      <c r="I48" s="23" t="inlineStr">
        <is>
          <t>Carried forward</t>
        </is>
      </c>
      <c r="J48" s="14" t="inlineStr">
        <is>
          <t>08 CROSSWALK</t>
        </is>
      </c>
    </row>
    <row r="49" ht="49" customHeight="1">
      <c r="A49" s="23" t="inlineStr">
        <is>
          <t>R53-v2</t>
        </is>
      </c>
      <c r="B49" s="23" t="inlineStr">
        <is>
          <t>Contractor Programme / SCH-01-053</t>
        </is>
      </c>
      <c r="C49" s="23" t="inlineStr">
        <is>
          <t>WBS Code = 1.1.1</t>
        </is>
      </c>
      <c r="D49" s="23" t="inlineStr">
        <is>
          <t>Proposed by Source assignment; target 1.1.1 Guideway and Civil - Guideway Structures</t>
        </is>
      </c>
      <c r="E49" s="23" t="inlineStr">
        <is>
          <t>None recorded</t>
        </is>
      </c>
      <c r="F49" s="23" t="inlineStr">
        <is>
          <t>No individual professional decision recorded; Source assignment -- not individually reviewed</t>
        </is>
      </c>
      <c r="G49" s="23" t="inlineStr">
        <is>
          <t>Not individually decided</t>
        </is>
      </c>
      <c r="H49" s="23" t="inlineStr">
        <is>
          <t xml:space="preserve">RETAINED / ONE_TO_ONE; </t>
        </is>
      </c>
      <c r="I49" s="23" t="inlineStr">
        <is>
          <t>Carried forward</t>
        </is>
      </c>
      <c r="J49" s="14" t="inlineStr">
        <is>
          <t>08 CROSSWALK</t>
        </is>
      </c>
    </row>
    <row r="50" ht="49" customHeight="1">
      <c r="A50" s="23" t="inlineStr">
        <is>
          <t>R55-v2</t>
        </is>
      </c>
      <c r="B50" s="23" t="inlineStr">
        <is>
          <t>Contractor Programme / SCH-01-055</t>
        </is>
      </c>
      <c r="C50" s="23" t="inlineStr">
        <is>
          <t>WBS Code = 1.1.1</t>
        </is>
      </c>
      <c r="D50" s="23" t="inlineStr">
        <is>
          <t>Proposed by Source assignment; target 1.1.1 Guideway and Civil - Guideway Structures</t>
        </is>
      </c>
      <c r="E50" s="23" t="inlineStr">
        <is>
          <t>None recorded</t>
        </is>
      </c>
      <c r="F50" s="23" t="inlineStr">
        <is>
          <t>No individual professional decision recorded; Source assignment -- not individually reviewed</t>
        </is>
      </c>
      <c r="G50" s="23" t="inlineStr">
        <is>
          <t>Not individually decided</t>
        </is>
      </c>
      <c r="H50" s="23" t="inlineStr">
        <is>
          <t xml:space="preserve">RETAINED / ONE_TO_ONE; </t>
        </is>
      </c>
      <c r="I50" s="23" t="inlineStr">
        <is>
          <t>Carried forward</t>
        </is>
      </c>
      <c r="J50" s="14" t="inlineStr">
        <is>
          <t>08 CROSSWALK</t>
        </is>
      </c>
    </row>
    <row r="51" ht="49" customHeight="1">
      <c r="A51" s="23" t="inlineStr">
        <is>
          <t>R56-v2</t>
        </is>
      </c>
      <c r="B51" s="23" t="inlineStr">
        <is>
          <t>Contractor Programme / SCH-01-056</t>
        </is>
      </c>
      <c r="C51" s="23" t="inlineStr">
        <is>
          <t>WBS Code = 1.1.1</t>
        </is>
      </c>
      <c r="D51" s="23" t="inlineStr">
        <is>
          <t>Proposed by Source assignment; target 1.1.1 Guideway and Civil - Guideway Structures</t>
        </is>
      </c>
      <c r="E51" s="23" t="inlineStr">
        <is>
          <t>None recorded</t>
        </is>
      </c>
      <c r="F51" s="23" t="inlineStr">
        <is>
          <t>No individual professional decision recorded; Source assignment -- not individually reviewed</t>
        </is>
      </c>
      <c r="G51" s="23" t="inlineStr">
        <is>
          <t>Not individually decided</t>
        </is>
      </c>
      <c r="H51" s="23" t="inlineStr">
        <is>
          <t xml:space="preserve">RETAINED / ONE_TO_ONE; </t>
        </is>
      </c>
      <c r="I51" s="23" t="inlineStr">
        <is>
          <t>Carried forward</t>
        </is>
      </c>
      <c r="J51" s="14" t="inlineStr">
        <is>
          <t>08 CROSSWALK</t>
        </is>
      </c>
    </row>
    <row r="52" ht="49" customHeight="1">
      <c r="A52" s="23" t="inlineStr">
        <is>
          <t>R58-v2</t>
        </is>
      </c>
      <c r="B52" s="23" t="inlineStr">
        <is>
          <t>Contractor Programme / SCH-01-058</t>
        </is>
      </c>
      <c r="C52" s="23" t="inlineStr">
        <is>
          <t>WBS Code = 1.1.1</t>
        </is>
      </c>
      <c r="D52" s="23" t="inlineStr">
        <is>
          <t>Proposed by Source assignment; target 1.1.1 Guideway and Civil - Guideway Structures</t>
        </is>
      </c>
      <c r="E52" s="23" t="inlineStr">
        <is>
          <t>None recorded</t>
        </is>
      </c>
      <c r="F52" s="23" t="inlineStr">
        <is>
          <t>No individual professional decision recorded; Source assignment -- not individually reviewed</t>
        </is>
      </c>
      <c r="G52" s="23" t="inlineStr">
        <is>
          <t>Not individually decided</t>
        </is>
      </c>
      <c r="H52" s="23" t="inlineStr">
        <is>
          <t xml:space="preserve">RETAINED / ONE_TO_ONE; </t>
        </is>
      </c>
      <c r="I52" s="23" t="inlineStr">
        <is>
          <t>Carried forward</t>
        </is>
      </c>
      <c r="J52" s="14" t="inlineStr">
        <is>
          <t>08 CROSSWALK</t>
        </is>
      </c>
    </row>
    <row r="53" ht="49" customHeight="1">
      <c r="A53" s="23" t="inlineStr">
        <is>
          <t>R59-v2</t>
        </is>
      </c>
      <c r="B53" s="23" t="inlineStr">
        <is>
          <t>Contractor Programme / SCH-01-059</t>
        </is>
      </c>
      <c r="C53" s="23" t="inlineStr">
        <is>
          <t>WBS Code = 1.1.1</t>
        </is>
      </c>
      <c r="D53" s="23" t="inlineStr">
        <is>
          <t>Proposed by Source assignment; target 1.1.1 Guideway and Civil - Guideway Structures</t>
        </is>
      </c>
      <c r="E53" s="23" t="inlineStr">
        <is>
          <t>None recorded</t>
        </is>
      </c>
      <c r="F53" s="23" t="inlineStr">
        <is>
          <t>No individual professional decision recorded; Source assignment -- not individually reviewed</t>
        </is>
      </c>
      <c r="G53" s="23" t="inlineStr">
        <is>
          <t>Not individually decided</t>
        </is>
      </c>
      <c r="H53" s="23" t="inlineStr">
        <is>
          <t xml:space="preserve">RETAINED / ONE_TO_ONE; </t>
        </is>
      </c>
      <c r="I53" s="23" t="inlineStr">
        <is>
          <t>Carried forward</t>
        </is>
      </c>
      <c r="J53" s="14" t="inlineStr">
        <is>
          <t>08 CROSSWALK</t>
        </is>
      </c>
    </row>
    <row r="54" ht="49" customHeight="1">
      <c r="A54" s="23" t="inlineStr">
        <is>
          <t>R61-v2</t>
        </is>
      </c>
      <c r="B54" s="23" t="inlineStr">
        <is>
          <t>Contractor Programme / SCH-01-061</t>
        </is>
      </c>
      <c r="C54" s="23" t="inlineStr">
        <is>
          <t>WBS Code = 1.1.1</t>
        </is>
      </c>
      <c r="D54" s="23" t="inlineStr">
        <is>
          <t>Proposed by Source assignment; target 1.1.1 Guideway and Civil - Guideway Structures</t>
        </is>
      </c>
      <c r="E54" s="23" t="inlineStr">
        <is>
          <t>None recorded</t>
        </is>
      </c>
      <c r="F54" s="23" t="inlineStr">
        <is>
          <t>No individual professional decision recorded; Source assignment -- not individually reviewed</t>
        </is>
      </c>
      <c r="G54" s="23" t="inlineStr">
        <is>
          <t>Not individually decided</t>
        </is>
      </c>
      <c r="H54" s="23" t="inlineStr">
        <is>
          <t xml:space="preserve">RETAINED / ONE_TO_ONE; </t>
        </is>
      </c>
      <c r="I54" s="23" t="inlineStr">
        <is>
          <t>Carried forward</t>
        </is>
      </c>
      <c r="J54" s="14" t="inlineStr">
        <is>
          <t>08 CROSSWALK</t>
        </is>
      </c>
    </row>
    <row r="55" ht="49" customHeight="1">
      <c r="A55" s="23" t="inlineStr">
        <is>
          <t>R62-v2</t>
        </is>
      </c>
      <c r="B55" s="23" t="inlineStr">
        <is>
          <t>Contractor Programme / SCH-01-062</t>
        </is>
      </c>
      <c r="C55" s="23" t="inlineStr">
        <is>
          <t>WBS Code = 1.1.1</t>
        </is>
      </c>
      <c r="D55" s="23" t="inlineStr">
        <is>
          <t>Proposed by Source assignment; target 1.1.1 Guideway and Civil - Guideway Structures</t>
        </is>
      </c>
      <c r="E55" s="23" t="inlineStr">
        <is>
          <t>None recorded</t>
        </is>
      </c>
      <c r="F55" s="23" t="inlineStr">
        <is>
          <t>No individual professional decision recorded; Source assignment -- not individually reviewed</t>
        </is>
      </c>
      <c r="G55" s="23" t="inlineStr">
        <is>
          <t>Not individually decided</t>
        </is>
      </c>
      <c r="H55" s="23" t="inlineStr">
        <is>
          <t xml:space="preserve">RETAINED / ONE_TO_ONE; </t>
        </is>
      </c>
      <c r="I55" s="23" t="inlineStr">
        <is>
          <t>Carried forward</t>
        </is>
      </c>
      <c r="J55" s="14" t="inlineStr">
        <is>
          <t>08 CROSSWALK</t>
        </is>
      </c>
    </row>
    <row r="56" ht="49" customHeight="1">
      <c r="A56" s="23" t="inlineStr">
        <is>
          <t>R64-v2</t>
        </is>
      </c>
      <c r="B56" s="23" t="inlineStr">
        <is>
          <t>Contractor Programme / SCH-01-064</t>
        </is>
      </c>
      <c r="C56" s="23" t="inlineStr">
        <is>
          <t>WBS Code = 1.1.1</t>
        </is>
      </c>
      <c r="D56" s="23" t="inlineStr">
        <is>
          <t>Proposed by Source assignment; target 1.1.1 Guideway and Civil - Guideway Structures</t>
        </is>
      </c>
      <c r="E56" s="23" t="inlineStr">
        <is>
          <t>None recorded</t>
        </is>
      </c>
      <c r="F56" s="23" t="inlineStr">
        <is>
          <t>No individual professional decision recorded; Source assignment -- not individually reviewed</t>
        </is>
      </c>
      <c r="G56" s="23" t="inlineStr">
        <is>
          <t>Not individually decided</t>
        </is>
      </c>
      <c r="H56" s="23" t="inlineStr">
        <is>
          <t xml:space="preserve">RETAINED / ONE_TO_ONE; </t>
        </is>
      </c>
      <c r="I56" s="23" t="inlineStr">
        <is>
          <t>Carried forward</t>
        </is>
      </c>
      <c r="J56" s="14" t="inlineStr">
        <is>
          <t>08 CROSSWALK</t>
        </is>
      </c>
    </row>
    <row r="57" ht="49" customHeight="1">
      <c r="A57" s="23" t="inlineStr">
        <is>
          <t>R65-v2</t>
        </is>
      </c>
      <c r="B57" s="23" t="inlineStr">
        <is>
          <t>Contractor Programme / SCH-01-065</t>
        </is>
      </c>
      <c r="C57" s="23" t="inlineStr">
        <is>
          <t>WBS Code = 1.1.1</t>
        </is>
      </c>
      <c r="D57" s="23" t="inlineStr">
        <is>
          <t>Proposed by Source assignment; target 1.1.1 Guideway and Civil - Guideway Structures</t>
        </is>
      </c>
      <c r="E57" s="23" t="inlineStr">
        <is>
          <t>None recorded</t>
        </is>
      </c>
      <c r="F57" s="23" t="inlineStr">
        <is>
          <t>No individual professional decision recorded; Source assignment -- not individually reviewed</t>
        </is>
      </c>
      <c r="G57" s="23" t="inlineStr">
        <is>
          <t>Not individually decided</t>
        </is>
      </c>
      <c r="H57" s="23" t="inlineStr">
        <is>
          <t xml:space="preserve">RETAINED / ONE_TO_ONE; </t>
        </is>
      </c>
      <c r="I57" s="23" t="inlineStr">
        <is>
          <t>Carried forward</t>
        </is>
      </c>
      <c r="J57" s="14" t="inlineStr">
        <is>
          <t>08 CROSSWALK</t>
        </is>
      </c>
    </row>
    <row r="58" ht="49" customHeight="1">
      <c r="A58" s="23" t="inlineStr">
        <is>
          <t>R67-v2</t>
        </is>
      </c>
      <c r="B58" s="23" t="inlineStr">
        <is>
          <t>Contractor Programme / SCH-01-067</t>
        </is>
      </c>
      <c r="C58" s="23" t="inlineStr">
        <is>
          <t>WBS Code = 1.1.1</t>
        </is>
      </c>
      <c r="D58" s="23" t="inlineStr">
        <is>
          <t>Proposed by Source assignment; target 1.1.1 Guideway and Civil - Guideway Structures</t>
        </is>
      </c>
      <c r="E58" s="23" t="inlineStr">
        <is>
          <t>None recorded</t>
        </is>
      </c>
      <c r="F58" s="23" t="inlineStr">
        <is>
          <t>No individual professional decision recorded; Source assignment -- not individually reviewed</t>
        </is>
      </c>
      <c r="G58" s="23" t="inlineStr">
        <is>
          <t>Not individually decided</t>
        </is>
      </c>
      <c r="H58" s="23" t="inlineStr">
        <is>
          <t xml:space="preserve">RETAINED / ONE_TO_ONE; </t>
        </is>
      </c>
      <c r="I58" s="23" t="inlineStr">
        <is>
          <t>Carried forward</t>
        </is>
      </c>
      <c r="J58" s="14" t="inlineStr">
        <is>
          <t>08 CROSSWALK</t>
        </is>
      </c>
    </row>
    <row r="59" ht="49" customHeight="1">
      <c r="A59" s="23" t="inlineStr">
        <is>
          <t>R68-v2</t>
        </is>
      </c>
      <c r="B59" s="23" t="inlineStr">
        <is>
          <t>Contractor Programme / SCH-01-068</t>
        </is>
      </c>
      <c r="C59" s="23" t="inlineStr">
        <is>
          <t>WBS Code = 1.1.1</t>
        </is>
      </c>
      <c r="D59" s="23" t="inlineStr">
        <is>
          <t>Proposed by Source assignment; target 1.1.1 Guideway and Civil - Guideway Structures</t>
        </is>
      </c>
      <c r="E59" s="23" t="inlineStr">
        <is>
          <t>None recorded</t>
        </is>
      </c>
      <c r="F59" s="23" t="inlineStr">
        <is>
          <t>No individual professional decision recorded; Source assignment -- not individually reviewed</t>
        </is>
      </c>
      <c r="G59" s="23" t="inlineStr">
        <is>
          <t>Not individually decided</t>
        </is>
      </c>
      <c r="H59" s="23" t="inlineStr">
        <is>
          <t xml:space="preserve">RETAINED / ONE_TO_ONE; </t>
        </is>
      </c>
      <c r="I59" s="23" t="inlineStr">
        <is>
          <t>Carried forward</t>
        </is>
      </c>
      <c r="J59" s="14" t="inlineStr">
        <is>
          <t>08 CROSSWALK</t>
        </is>
      </c>
    </row>
    <row r="60" ht="49" customHeight="1">
      <c r="A60" s="23" t="inlineStr">
        <is>
          <t>R70-v2</t>
        </is>
      </c>
      <c r="B60" s="23" t="inlineStr">
        <is>
          <t>Contractor Programme / SCH-01-070</t>
        </is>
      </c>
      <c r="C60" s="23" t="inlineStr">
        <is>
          <t>WBS Code = 1.1.1</t>
        </is>
      </c>
      <c r="D60" s="23" t="inlineStr">
        <is>
          <t>Proposed by Source assignment; target 1.1.1 Guideway and Civil - Guideway Structures</t>
        </is>
      </c>
      <c r="E60" s="23" t="inlineStr">
        <is>
          <t>None recorded</t>
        </is>
      </c>
      <c r="F60" s="23" t="inlineStr">
        <is>
          <t>No individual professional decision recorded; Source assignment -- not individually reviewed</t>
        </is>
      </c>
      <c r="G60" s="23" t="inlineStr">
        <is>
          <t>Not individually decided</t>
        </is>
      </c>
      <c r="H60" s="23" t="inlineStr">
        <is>
          <t xml:space="preserve">RETAINED / ONE_TO_ONE; </t>
        </is>
      </c>
      <c r="I60" s="23" t="inlineStr">
        <is>
          <t>Carried forward</t>
        </is>
      </c>
      <c r="J60" s="14" t="inlineStr">
        <is>
          <t>08 CROSSWALK</t>
        </is>
      </c>
    </row>
    <row r="61" ht="49" customHeight="1">
      <c r="A61" s="23" t="inlineStr">
        <is>
          <t>R71-v2</t>
        </is>
      </c>
      <c r="B61" s="23" t="inlineStr">
        <is>
          <t>Contractor Programme / SCH-01-071</t>
        </is>
      </c>
      <c r="C61" s="23" t="inlineStr">
        <is>
          <t>WBS Code = 1.1.1</t>
        </is>
      </c>
      <c r="D61" s="23" t="inlineStr">
        <is>
          <t>Proposed by Source assignment; target 1.1.1 Guideway and Civil - Guideway Structures</t>
        </is>
      </c>
      <c r="E61" s="23" t="inlineStr">
        <is>
          <t>None recorded</t>
        </is>
      </c>
      <c r="F61" s="23" t="inlineStr">
        <is>
          <t>No individual professional decision recorded; Source assignment -- not individually reviewed</t>
        </is>
      </c>
      <c r="G61" s="23" t="inlineStr">
        <is>
          <t>Not individually decided</t>
        </is>
      </c>
      <c r="H61" s="23" t="inlineStr">
        <is>
          <t xml:space="preserve">RETAINED / ONE_TO_ONE; </t>
        </is>
      </c>
      <c r="I61" s="23" t="inlineStr">
        <is>
          <t>Carried forward</t>
        </is>
      </c>
      <c r="J61" s="14" t="inlineStr">
        <is>
          <t>08 CROSSWALK</t>
        </is>
      </c>
    </row>
    <row r="62" ht="49" customHeight="1">
      <c r="A62" s="23" t="inlineStr">
        <is>
          <t>R73-v2</t>
        </is>
      </c>
      <c r="B62" s="23" t="inlineStr">
        <is>
          <t>Contractor Programme / SCH-01-073</t>
        </is>
      </c>
      <c r="C62" s="23" t="inlineStr">
        <is>
          <t>WBS Code = 1.1.1</t>
        </is>
      </c>
      <c r="D62" s="23" t="inlineStr">
        <is>
          <t>Proposed by Source assignment; target 1.1.1 Guideway and Civil - Guideway Structures</t>
        </is>
      </c>
      <c r="E62" s="23" t="inlineStr">
        <is>
          <t>None recorded</t>
        </is>
      </c>
      <c r="F62" s="23" t="inlineStr">
        <is>
          <t>No individual professional decision recorded; Source assignment -- not individually reviewed</t>
        </is>
      </c>
      <c r="G62" s="23" t="inlineStr">
        <is>
          <t>Not individually decided</t>
        </is>
      </c>
      <c r="H62" s="23" t="inlineStr">
        <is>
          <t xml:space="preserve">RETAINED / ONE_TO_ONE; </t>
        </is>
      </c>
      <c r="I62" s="23" t="inlineStr">
        <is>
          <t>Carried forward</t>
        </is>
      </c>
      <c r="J62" s="14" t="inlineStr">
        <is>
          <t>08 CROSSWALK</t>
        </is>
      </c>
    </row>
    <row r="63" ht="49" customHeight="1">
      <c r="A63" s="23" t="inlineStr">
        <is>
          <t>R74-v2</t>
        </is>
      </c>
      <c r="B63" s="23" t="inlineStr">
        <is>
          <t>Contractor Programme / SCH-01-074</t>
        </is>
      </c>
      <c r="C63" s="23" t="inlineStr">
        <is>
          <t>WBS Code = 1.1.1</t>
        </is>
      </c>
      <c r="D63" s="23" t="inlineStr">
        <is>
          <t>Proposed by Source assignment; target 1.1.1 Guideway and Civil - Guideway Structures</t>
        </is>
      </c>
      <c r="E63" s="23" t="inlineStr">
        <is>
          <t>None recorded</t>
        </is>
      </c>
      <c r="F63" s="23" t="inlineStr">
        <is>
          <t>No individual professional decision recorded; Source assignment -- not individually reviewed</t>
        </is>
      </c>
      <c r="G63" s="23" t="inlineStr">
        <is>
          <t>Not individually decided</t>
        </is>
      </c>
      <c r="H63" s="23" t="inlineStr">
        <is>
          <t xml:space="preserve">RETAINED / ONE_TO_ONE; </t>
        </is>
      </c>
      <c r="I63" s="23" t="inlineStr">
        <is>
          <t>Carried forward</t>
        </is>
      </c>
      <c r="J63" s="14" t="inlineStr">
        <is>
          <t>08 CROSSWALK</t>
        </is>
      </c>
    </row>
    <row r="64" ht="49" customHeight="1">
      <c r="A64" s="23" t="inlineStr">
        <is>
          <t>R76-v2</t>
        </is>
      </c>
      <c r="B64" s="23" t="inlineStr">
        <is>
          <t>Contractor Programme / SCH-01-076</t>
        </is>
      </c>
      <c r="C64" s="23" t="inlineStr">
        <is>
          <t>WBS Code = 1.1.1</t>
        </is>
      </c>
      <c r="D64" s="23" t="inlineStr">
        <is>
          <t>Proposed by Source assignment; target 1.1.1 Guideway and Civil - Guideway Structures</t>
        </is>
      </c>
      <c r="E64" s="23" t="inlineStr">
        <is>
          <t>None recorded</t>
        </is>
      </c>
      <c r="F64" s="23" t="inlineStr">
        <is>
          <t>No individual professional decision recorded; Source assignment -- not individually reviewed</t>
        </is>
      </c>
      <c r="G64" s="23" t="inlineStr">
        <is>
          <t>Not individually decided</t>
        </is>
      </c>
      <c r="H64" s="23" t="inlineStr">
        <is>
          <t xml:space="preserve">RETAINED / ONE_TO_ONE; </t>
        </is>
      </c>
      <c r="I64" s="23" t="inlineStr">
        <is>
          <t>Carried forward</t>
        </is>
      </c>
      <c r="J64" s="14" t="inlineStr">
        <is>
          <t>08 CROSSWALK</t>
        </is>
      </c>
    </row>
    <row r="65" ht="49" customHeight="1">
      <c r="A65" s="23" t="inlineStr">
        <is>
          <t>R77-v2</t>
        </is>
      </c>
      <c r="B65" s="23" t="inlineStr">
        <is>
          <t>Contractor Programme / SCH-01-077</t>
        </is>
      </c>
      <c r="C65" s="23" t="inlineStr">
        <is>
          <t>WBS Code = 1.1.1</t>
        </is>
      </c>
      <c r="D65" s="23" t="inlineStr">
        <is>
          <t>Proposed by Source assignment; target 1.1.1 Guideway and Civil - Guideway Structures</t>
        </is>
      </c>
      <c r="E65" s="23" t="inlineStr">
        <is>
          <t>None recorded</t>
        </is>
      </c>
      <c r="F65" s="23" t="inlineStr">
        <is>
          <t>No individual professional decision recorded; Source assignment -- not individually reviewed</t>
        </is>
      </c>
      <c r="G65" s="23" t="inlineStr">
        <is>
          <t>Not individually decided</t>
        </is>
      </c>
      <c r="H65" s="23" t="inlineStr">
        <is>
          <t xml:space="preserve">RETAINED / ONE_TO_ONE; </t>
        </is>
      </c>
      <c r="I65" s="23" t="inlineStr">
        <is>
          <t>Carried forward</t>
        </is>
      </c>
      <c r="J65" s="14" t="inlineStr">
        <is>
          <t>08 CROSSWALK</t>
        </is>
      </c>
    </row>
    <row r="66" ht="49" customHeight="1">
      <c r="A66" s="23" t="inlineStr">
        <is>
          <t>R79-v2</t>
        </is>
      </c>
      <c r="B66" s="23" t="inlineStr">
        <is>
          <t>Contractor Programme / SCH-01-079</t>
        </is>
      </c>
      <c r="C66" s="23" t="inlineStr">
        <is>
          <t>WBS Code = 1.1.1</t>
        </is>
      </c>
      <c r="D66" s="23" t="inlineStr">
        <is>
          <t>Proposed by Source assignment; target 1.1.1 Guideway and Civil - Guideway Structures</t>
        </is>
      </c>
      <c r="E66" s="23" t="inlineStr">
        <is>
          <t>None recorded</t>
        </is>
      </c>
      <c r="F66" s="23" t="inlineStr">
        <is>
          <t>No individual professional decision recorded; Source assignment -- not individually reviewed</t>
        </is>
      </c>
      <c r="G66" s="23" t="inlineStr">
        <is>
          <t>Not individually decided</t>
        </is>
      </c>
      <c r="H66" s="23" t="inlineStr">
        <is>
          <t xml:space="preserve">RETAINED / ONE_TO_ONE; </t>
        </is>
      </c>
      <c r="I66" s="23" t="inlineStr">
        <is>
          <t>Carried forward</t>
        </is>
      </c>
      <c r="J66" s="14" t="inlineStr">
        <is>
          <t>08 CROSSWALK</t>
        </is>
      </c>
    </row>
    <row r="67" ht="49" customHeight="1">
      <c r="A67" s="23" t="inlineStr">
        <is>
          <t>R80-v2</t>
        </is>
      </c>
      <c r="B67" s="23" t="inlineStr">
        <is>
          <t>Contractor Programme / SCH-01-080</t>
        </is>
      </c>
      <c r="C67" s="23" t="inlineStr">
        <is>
          <t>WBS Code = 1.1.1</t>
        </is>
      </c>
      <c r="D67" s="23" t="inlineStr">
        <is>
          <t>Proposed by Source assignment; target 1.1.1 Guideway and Civil - Guideway Structures</t>
        </is>
      </c>
      <c r="E67" s="23" t="inlineStr">
        <is>
          <t>None recorded</t>
        </is>
      </c>
      <c r="F67" s="23" t="inlineStr">
        <is>
          <t>No individual professional decision recorded; Source assignment -- not individually reviewed</t>
        </is>
      </c>
      <c r="G67" s="23" t="inlineStr">
        <is>
          <t>Not individually decided</t>
        </is>
      </c>
      <c r="H67" s="23" t="inlineStr">
        <is>
          <t xml:space="preserve">RETAINED / ONE_TO_ONE; </t>
        </is>
      </c>
      <c r="I67" s="23" t="inlineStr">
        <is>
          <t>Carried forward</t>
        </is>
      </c>
      <c r="J67" s="14" t="inlineStr">
        <is>
          <t>08 CROSSWALK</t>
        </is>
      </c>
    </row>
    <row r="68" ht="49" customHeight="1">
      <c r="A68" s="23" t="inlineStr">
        <is>
          <t>R82-v2</t>
        </is>
      </c>
      <c r="B68" s="23" t="inlineStr">
        <is>
          <t>Contractor Programme / SCH-01-082</t>
        </is>
      </c>
      <c r="C68" s="23" t="inlineStr">
        <is>
          <t>WBS Code = 1.1.1</t>
        </is>
      </c>
      <c r="D68" s="23" t="inlineStr">
        <is>
          <t>Proposed by Source assignment; target 1.1.1 Guideway and Civil - Guideway Structures</t>
        </is>
      </c>
      <c r="E68" s="23" t="inlineStr">
        <is>
          <t>None recorded</t>
        </is>
      </c>
      <c r="F68" s="23" t="inlineStr">
        <is>
          <t>No individual professional decision recorded; Source assignment -- not individually reviewed</t>
        </is>
      </c>
      <c r="G68" s="23" t="inlineStr">
        <is>
          <t>Not individually decided</t>
        </is>
      </c>
      <c r="H68" s="23" t="inlineStr">
        <is>
          <t xml:space="preserve">RETAINED / ONE_TO_ONE; </t>
        </is>
      </c>
      <c r="I68" s="23" t="inlineStr">
        <is>
          <t>Carried forward</t>
        </is>
      </c>
      <c r="J68" s="14" t="inlineStr">
        <is>
          <t>08 CROSSWALK</t>
        </is>
      </c>
    </row>
    <row r="69" ht="49" customHeight="1">
      <c r="A69" s="23" t="inlineStr">
        <is>
          <t>R83-v2</t>
        </is>
      </c>
      <c r="B69" s="23" t="inlineStr">
        <is>
          <t>Contractor Programme / SCH-01-083</t>
        </is>
      </c>
      <c r="C69" s="23" t="inlineStr">
        <is>
          <t>WBS Code = 1.1.1</t>
        </is>
      </c>
      <c r="D69" s="23" t="inlineStr">
        <is>
          <t>Proposed by Source assignment; target 1.1.1 Guideway and Civil - Guideway Structures</t>
        </is>
      </c>
      <c r="E69" s="23" t="inlineStr">
        <is>
          <t>None recorded</t>
        </is>
      </c>
      <c r="F69" s="23" t="inlineStr">
        <is>
          <t>No individual professional decision recorded; Source assignment -- not individually reviewed</t>
        </is>
      </c>
      <c r="G69" s="23" t="inlineStr">
        <is>
          <t>Not individually decided</t>
        </is>
      </c>
      <c r="H69" s="23" t="inlineStr">
        <is>
          <t xml:space="preserve">RETAINED / ONE_TO_ONE; </t>
        </is>
      </c>
      <c r="I69" s="23" t="inlineStr">
        <is>
          <t>Carried forward</t>
        </is>
      </c>
      <c r="J69" s="14" t="inlineStr">
        <is>
          <t>08 CROSSWALK</t>
        </is>
      </c>
    </row>
    <row r="70" ht="49" customHeight="1">
      <c r="A70" s="23" t="inlineStr">
        <is>
          <t>R85-v2</t>
        </is>
      </c>
      <c r="B70" s="23" t="inlineStr">
        <is>
          <t>Contractor Programme / SCH-01-085</t>
        </is>
      </c>
      <c r="C70" s="23" t="inlineStr">
        <is>
          <t>WBS Code = 1.1.1</t>
        </is>
      </c>
      <c r="D70" s="23" t="inlineStr">
        <is>
          <t>Proposed by Source assignment; target 1.1.1 Guideway and Civil - Guideway Structures</t>
        </is>
      </c>
      <c r="E70" s="23" t="inlineStr">
        <is>
          <t>None recorded</t>
        </is>
      </c>
      <c r="F70" s="23" t="inlineStr">
        <is>
          <t>No individual professional decision recorded; Source assignment -- not individually reviewed</t>
        </is>
      </c>
      <c r="G70" s="23" t="inlineStr">
        <is>
          <t>Not individually decided</t>
        </is>
      </c>
      <c r="H70" s="23" t="inlineStr">
        <is>
          <t xml:space="preserve">RETAINED / ONE_TO_ONE; </t>
        </is>
      </c>
      <c r="I70" s="23" t="inlineStr">
        <is>
          <t>Carried forward</t>
        </is>
      </c>
      <c r="J70" s="14" t="inlineStr">
        <is>
          <t>08 CROSSWALK</t>
        </is>
      </c>
    </row>
    <row r="71" ht="49" customHeight="1">
      <c r="A71" s="23" t="inlineStr">
        <is>
          <t>R86-v2</t>
        </is>
      </c>
      <c r="B71" s="23" t="inlineStr">
        <is>
          <t>Contractor Programme / SCH-01-086</t>
        </is>
      </c>
      <c r="C71" s="23" t="inlineStr">
        <is>
          <t>WBS Code = 1.1.1</t>
        </is>
      </c>
      <c r="D71" s="23" t="inlineStr">
        <is>
          <t>Proposed by Source assignment; target 1.1.1 Guideway and Civil - Guideway Structures</t>
        </is>
      </c>
      <c r="E71" s="23" t="inlineStr">
        <is>
          <t>None recorded</t>
        </is>
      </c>
      <c r="F71" s="23" t="inlineStr">
        <is>
          <t>No individual professional decision recorded; Source assignment -- not individually reviewed</t>
        </is>
      </c>
      <c r="G71" s="23" t="inlineStr">
        <is>
          <t>Not individually decided</t>
        </is>
      </c>
      <c r="H71" s="23" t="inlineStr">
        <is>
          <t xml:space="preserve">RETAINED / ONE_TO_ONE; </t>
        </is>
      </c>
      <c r="I71" s="23" t="inlineStr">
        <is>
          <t>Carried forward</t>
        </is>
      </c>
      <c r="J71" s="14" t="inlineStr">
        <is>
          <t>08 CROSSWALK</t>
        </is>
      </c>
    </row>
    <row r="72" ht="49" customHeight="1">
      <c r="A72" s="23" t="inlineStr">
        <is>
          <t>R88-v2</t>
        </is>
      </c>
      <c r="B72" s="23" t="inlineStr">
        <is>
          <t>Contractor Programme / SCH-01-088</t>
        </is>
      </c>
      <c r="C72" s="23" t="inlineStr">
        <is>
          <t>WBS Code = 1.1.1</t>
        </is>
      </c>
      <c r="D72" s="23" t="inlineStr">
        <is>
          <t>Proposed by Source assignment; target 1.1.1 Guideway and Civil - Guideway Structures</t>
        </is>
      </c>
      <c r="E72" s="23" t="inlineStr">
        <is>
          <t>None recorded</t>
        </is>
      </c>
      <c r="F72" s="23" t="inlineStr">
        <is>
          <t>No individual professional decision recorded; Source assignment -- not individually reviewed</t>
        </is>
      </c>
      <c r="G72" s="23" t="inlineStr">
        <is>
          <t>Not individually decided</t>
        </is>
      </c>
      <c r="H72" s="23" t="inlineStr">
        <is>
          <t xml:space="preserve">RETAINED / ONE_TO_ONE; </t>
        </is>
      </c>
      <c r="I72" s="23" t="inlineStr">
        <is>
          <t>Carried forward</t>
        </is>
      </c>
      <c r="J72" s="14" t="inlineStr">
        <is>
          <t>08 CROSSWALK</t>
        </is>
      </c>
    </row>
    <row r="73" ht="49" customHeight="1">
      <c r="A73" s="23" t="inlineStr">
        <is>
          <t>R89-v2</t>
        </is>
      </c>
      <c r="B73" s="23" t="inlineStr">
        <is>
          <t>Contractor Programme / SCH-01-089</t>
        </is>
      </c>
      <c r="C73" s="23" t="inlineStr">
        <is>
          <t>WBS Code = 1.1.1</t>
        </is>
      </c>
      <c r="D73" s="23" t="inlineStr">
        <is>
          <t>Proposed by Source assignment; target 1.1.1 Guideway and Civil - Guideway Structures</t>
        </is>
      </c>
      <c r="E73" s="23" t="inlineStr">
        <is>
          <t>None recorded</t>
        </is>
      </c>
      <c r="F73" s="23" t="inlineStr">
        <is>
          <t>No individual professional decision recorded; Source assignment -- not individually reviewed</t>
        </is>
      </c>
      <c r="G73" s="23" t="inlineStr">
        <is>
          <t>Not individually decided</t>
        </is>
      </c>
      <c r="H73" s="23" t="inlineStr">
        <is>
          <t xml:space="preserve">RETAINED / ONE_TO_ONE; </t>
        </is>
      </c>
      <c r="I73" s="23" t="inlineStr">
        <is>
          <t>Carried forward</t>
        </is>
      </c>
      <c r="J73" s="14" t="inlineStr">
        <is>
          <t>08 CROSSWALK</t>
        </is>
      </c>
    </row>
    <row r="74" ht="49" customHeight="1">
      <c r="A74" s="23" t="inlineStr">
        <is>
          <t>R91-v2</t>
        </is>
      </c>
      <c r="B74" s="23" t="inlineStr">
        <is>
          <t>Contractor Programme / SCH-01-091</t>
        </is>
      </c>
      <c r="C74" s="23" t="inlineStr">
        <is>
          <t>WBS Code = 1.1.1</t>
        </is>
      </c>
      <c r="D74" s="23" t="inlineStr">
        <is>
          <t>Proposed by Source assignment; target 1.1.1 Guideway and Civil - Guideway Structures</t>
        </is>
      </c>
      <c r="E74" s="23" t="inlineStr">
        <is>
          <t>None recorded</t>
        </is>
      </c>
      <c r="F74" s="23" t="inlineStr">
        <is>
          <t>No individual professional decision recorded; Source assignment -- not individually reviewed</t>
        </is>
      </c>
      <c r="G74" s="23" t="inlineStr">
        <is>
          <t>Not individually decided</t>
        </is>
      </c>
      <c r="H74" s="23" t="inlineStr">
        <is>
          <t xml:space="preserve">RETAINED / ONE_TO_ONE; </t>
        </is>
      </c>
      <c r="I74" s="23" t="inlineStr">
        <is>
          <t>Carried forward</t>
        </is>
      </c>
      <c r="J74" s="14" t="inlineStr">
        <is>
          <t>08 CROSSWALK</t>
        </is>
      </c>
    </row>
    <row r="75" ht="49" customHeight="1">
      <c r="A75" s="23" t="inlineStr">
        <is>
          <t>R92-v2</t>
        </is>
      </c>
      <c r="B75" s="23" t="inlineStr">
        <is>
          <t>Contractor Programme / SCH-01-092</t>
        </is>
      </c>
      <c r="C75" s="23" t="inlineStr">
        <is>
          <t>WBS Code = 1.1.1</t>
        </is>
      </c>
      <c r="D75" s="23" t="inlineStr">
        <is>
          <t>Proposed by Source assignment; target 1.1.1 Guideway and Civil - Guideway Structures</t>
        </is>
      </c>
      <c r="E75" s="23" t="inlineStr">
        <is>
          <t>None recorded</t>
        </is>
      </c>
      <c r="F75" s="23" t="inlineStr">
        <is>
          <t>No individual professional decision recorded; Source assignment -- not individually reviewed</t>
        </is>
      </c>
      <c r="G75" s="23" t="inlineStr">
        <is>
          <t>Not individually decided</t>
        </is>
      </c>
      <c r="H75" s="23" t="inlineStr">
        <is>
          <t xml:space="preserve">RETAINED / ONE_TO_ONE; </t>
        </is>
      </c>
      <c r="I75" s="23" t="inlineStr">
        <is>
          <t>Carried forward</t>
        </is>
      </c>
      <c r="J75" s="14" t="inlineStr">
        <is>
          <t>08 CROSSWALK</t>
        </is>
      </c>
    </row>
    <row r="76" ht="49" customHeight="1">
      <c r="A76" s="23" t="inlineStr">
        <is>
          <t>R94-v2</t>
        </is>
      </c>
      <c r="B76" s="23" t="inlineStr">
        <is>
          <t>Contractor Programme / SCH-01-094</t>
        </is>
      </c>
      <c r="C76" s="23" t="inlineStr">
        <is>
          <t>WBS Code = 1.1.1</t>
        </is>
      </c>
      <c r="D76" s="23" t="inlineStr">
        <is>
          <t>Proposed by Source assignment; target 1.1.1 Guideway and Civil - Guideway Structures</t>
        </is>
      </c>
      <c r="E76" s="23" t="inlineStr">
        <is>
          <t>None recorded</t>
        </is>
      </c>
      <c r="F76" s="23" t="inlineStr">
        <is>
          <t>No individual professional decision recorded; Source assignment -- not individually reviewed</t>
        </is>
      </c>
      <c r="G76" s="23" t="inlineStr">
        <is>
          <t>Not individually decided</t>
        </is>
      </c>
      <c r="H76" s="23" t="inlineStr">
        <is>
          <t xml:space="preserve">RETAINED / ONE_TO_ONE; </t>
        </is>
      </c>
      <c r="I76" s="23" t="inlineStr">
        <is>
          <t>Carried forward</t>
        </is>
      </c>
      <c r="J76" s="14" t="inlineStr">
        <is>
          <t>08 CROSSWALK</t>
        </is>
      </c>
    </row>
    <row r="77" ht="49" customHeight="1">
      <c r="A77" s="23" t="inlineStr">
        <is>
          <t>R95-v2</t>
        </is>
      </c>
      <c r="B77" s="23" t="inlineStr">
        <is>
          <t>Contractor Programme / SCH-01-095</t>
        </is>
      </c>
      <c r="C77" s="23" t="inlineStr">
        <is>
          <t>WBS Code = 1.1.1</t>
        </is>
      </c>
      <c r="D77" s="23" t="inlineStr">
        <is>
          <t>Proposed by Source assignment; target 1.1.1 Guideway and Civil - Guideway Structures</t>
        </is>
      </c>
      <c r="E77" s="23" t="inlineStr">
        <is>
          <t>None recorded</t>
        </is>
      </c>
      <c r="F77" s="23" t="inlineStr">
        <is>
          <t>No individual professional decision recorded; Source assignment -- not individually reviewed</t>
        </is>
      </c>
      <c r="G77" s="23" t="inlineStr">
        <is>
          <t>Not individually decided</t>
        </is>
      </c>
      <c r="H77" s="23" t="inlineStr">
        <is>
          <t xml:space="preserve">RETAINED / ONE_TO_ONE; </t>
        </is>
      </c>
      <c r="I77" s="23" t="inlineStr">
        <is>
          <t>Carried forward</t>
        </is>
      </c>
      <c r="J77" s="14" t="inlineStr">
        <is>
          <t>08 CROSSWALK</t>
        </is>
      </c>
    </row>
    <row r="78" ht="49" customHeight="1">
      <c r="A78" s="23" t="inlineStr">
        <is>
          <t>R97-v2</t>
        </is>
      </c>
      <c r="B78" s="23" t="inlineStr">
        <is>
          <t>Contractor Programme / SCH-01-097</t>
        </is>
      </c>
      <c r="C78" s="23" t="inlineStr">
        <is>
          <t>WBS Code = 1.1.1</t>
        </is>
      </c>
      <c r="D78" s="23" t="inlineStr">
        <is>
          <t>Proposed by Source assignment; target 1.1.1 Guideway and Civil - Guideway Structures</t>
        </is>
      </c>
      <c r="E78" s="23" t="inlineStr">
        <is>
          <t>None recorded</t>
        </is>
      </c>
      <c r="F78" s="23" t="inlineStr">
        <is>
          <t>No individual professional decision recorded; Source assignment -- not individually reviewed</t>
        </is>
      </c>
      <c r="G78" s="23" t="inlineStr">
        <is>
          <t>Not individually decided</t>
        </is>
      </c>
      <c r="H78" s="23" t="inlineStr">
        <is>
          <t xml:space="preserve">RETAINED / ONE_TO_ONE; </t>
        </is>
      </c>
      <c r="I78" s="23" t="inlineStr">
        <is>
          <t>Carried forward</t>
        </is>
      </c>
      <c r="J78" s="14" t="inlineStr">
        <is>
          <t>08 CROSSWALK</t>
        </is>
      </c>
    </row>
    <row r="79" ht="49" customHeight="1">
      <c r="A79" s="23" t="inlineStr">
        <is>
          <t>R98-v2</t>
        </is>
      </c>
      <c r="B79" s="23" t="inlineStr">
        <is>
          <t>Contractor Programme / SCH-01-098</t>
        </is>
      </c>
      <c r="C79" s="23" t="inlineStr">
        <is>
          <t>WBS Code = 1.1.1</t>
        </is>
      </c>
      <c r="D79" s="23" t="inlineStr">
        <is>
          <t>Proposed by Source assignment; target 1.1.1 Guideway and Civil - Guideway Structures</t>
        </is>
      </c>
      <c r="E79" s="23" t="inlineStr">
        <is>
          <t>None recorded</t>
        </is>
      </c>
      <c r="F79" s="23" t="inlineStr">
        <is>
          <t>No individual professional decision recorded; Source assignment -- not individually reviewed</t>
        </is>
      </c>
      <c r="G79" s="23" t="inlineStr">
        <is>
          <t>Not individually decided</t>
        </is>
      </c>
      <c r="H79" s="23" t="inlineStr">
        <is>
          <t xml:space="preserve">RETAINED / ONE_TO_ONE; </t>
        </is>
      </c>
      <c r="I79" s="23" t="inlineStr">
        <is>
          <t>Carried forward</t>
        </is>
      </c>
      <c r="J79" s="14" t="inlineStr">
        <is>
          <t>08 CROSSWALK</t>
        </is>
      </c>
    </row>
    <row r="80" ht="49" customHeight="1">
      <c r="A80" s="23" t="inlineStr">
        <is>
          <t>R100-v2</t>
        </is>
      </c>
      <c r="B80" s="23" t="inlineStr">
        <is>
          <t>Contractor Programme / SCH-01-100</t>
        </is>
      </c>
      <c r="C80" s="23" t="inlineStr">
        <is>
          <t>WBS Code = 1.1.1</t>
        </is>
      </c>
      <c r="D80" s="23" t="inlineStr">
        <is>
          <t>Proposed by Source assignment; target 1.1.1 Guideway and Civil - Guideway Structures</t>
        </is>
      </c>
      <c r="E80" s="23" t="inlineStr">
        <is>
          <t>None recorded</t>
        </is>
      </c>
      <c r="F80" s="23" t="inlineStr">
        <is>
          <t>No individual professional decision recorded; Source assignment -- not individually reviewed</t>
        </is>
      </c>
      <c r="G80" s="23" t="inlineStr">
        <is>
          <t>Not individually decided</t>
        </is>
      </c>
      <c r="H80" s="23" t="inlineStr">
        <is>
          <t xml:space="preserve">RETAINED / ONE_TO_ONE; </t>
        </is>
      </c>
      <c r="I80" s="23" t="inlineStr">
        <is>
          <t>Carried forward</t>
        </is>
      </c>
      <c r="J80" s="14" t="inlineStr">
        <is>
          <t>08 CROSSWALK</t>
        </is>
      </c>
    </row>
    <row r="81" ht="49" customHeight="1">
      <c r="A81" s="23" t="inlineStr">
        <is>
          <t>R101-v2</t>
        </is>
      </c>
      <c r="B81" s="23" t="inlineStr">
        <is>
          <t>Contractor Programme / SCH-01-101</t>
        </is>
      </c>
      <c r="C81" s="23" t="inlineStr">
        <is>
          <t>WBS Code = 1.1.1</t>
        </is>
      </c>
      <c r="D81" s="23" t="inlineStr">
        <is>
          <t>Proposed by Source assignment; target 1.1.1 Guideway and Civil - Guideway Structures</t>
        </is>
      </c>
      <c r="E81" s="23" t="inlineStr">
        <is>
          <t>None recorded</t>
        </is>
      </c>
      <c r="F81" s="23" t="inlineStr">
        <is>
          <t>No individual professional decision recorded; Source assignment -- not individually reviewed</t>
        </is>
      </c>
      <c r="G81" s="23" t="inlineStr">
        <is>
          <t>Not individually decided</t>
        </is>
      </c>
      <c r="H81" s="23" t="inlineStr">
        <is>
          <t xml:space="preserve">RETAINED / ONE_TO_ONE; </t>
        </is>
      </c>
      <c r="I81" s="23" t="inlineStr">
        <is>
          <t>Carried forward</t>
        </is>
      </c>
      <c r="J81" s="14" t="inlineStr">
        <is>
          <t>08 CROSSWALK</t>
        </is>
      </c>
    </row>
    <row r="82" ht="49" customHeight="1">
      <c r="A82" s="23" t="inlineStr">
        <is>
          <t>R103-v2</t>
        </is>
      </c>
      <c r="B82" s="23" t="inlineStr">
        <is>
          <t>Contractor Programme / SCH-01-103</t>
        </is>
      </c>
      <c r="C82" s="23" t="inlineStr">
        <is>
          <t>WBS Code = 1.1.1</t>
        </is>
      </c>
      <c r="D82" s="23" t="inlineStr">
        <is>
          <t>Proposed by Source assignment; target 1.1.1 Guideway and Civil - Guideway Structures</t>
        </is>
      </c>
      <c r="E82" s="23" t="inlineStr">
        <is>
          <t>None recorded</t>
        </is>
      </c>
      <c r="F82" s="23" t="inlineStr">
        <is>
          <t>No individual professional decision recorded; Source assignment -- not individually reviewed</t>
        </is>
      </c>
      <c r="G82" s="23" t="inlineStr">
        <is>
          <t>Not individually decided</t>
        </is>
      </c>
      <c r="H82" s="23" t="inlineStr">
        <is>
          <t xml:space="preserve">RETAINED / ONE_TO_ONE; </t>
        </is>
      </c>
      <c r="I82" s="23" t="inlineStr">
        <is>
          <t>Carried forward</t>
        </is>
      </c>
      <c r="J82" s="14" t="inlineStr">
        <is>
          <t>08 CROSSWALK</t>
        </is>
      </c>
    </row>
    <row r="83" ht="49" customHeight="1">
      <c r="A83" s="23" t="inlineStr">
        <is>
          <t>R104-v2</t>
        </is>
      </c>
      <c r="B83" s="23" t="inlineStr">
        <is>
          <t>Contractor Programme / SCH-01-104</t>
        </is>
      </c>
      <c r="C83" s="23" t="inlineStr">
        <is>
          <t>WBS Code = 1.1.1</t>
        </is>
      </c>
      <c r="D83" s="23" t="inlineStr">
        <is>
          <t>Proposed by Source assignment; target 1.1.1 Guideway and Civil - Guideway Structures</t>
        </is>
      </c>
      <c r="E83" s="23" t="inlineStr">
        <is>
          <t>None recorded</t>
        </is>
      </c>
      <c r="F83" s="23" t="inlineStr">
        <is>
          <t>No individual professional decision recorded; Source assignment -- not individually reviewed</t>
        </is>
      </c>
      <c r="G83" s="23" t="inlineStr">
        <is>
          <t>Not individually decided</t>
        </is>
      </c>
      <c r="H83" s="23" t="inlineStr">
        <is>
          <t xml:space="preserve">RETAINED / ONE_TO_ONE; </t>
        </is>
      </c>
      <c r="I83" s="23" t="inlineStr">
        <is>
          <t>Carried forward</t>
        </is>
      </c>
      <c r="J83" s="14" t="inlineStr">
        <is>
          <t>08 CROSSWALK</t>
        </is>
      </c>
    </row>
    <row r="84" ht="49" customHeight="1">
      <c r="A84" s="23" t="inlineStr">
        <is>
          <t>R106-v2</t>
        </is>
      </c>
      <c r="B84" s="23" t="inlineStr">
        <is>
          <t>Contractor Programme / SCH-01-106</t>
        </is>
      </c>
      <c r="C84" s="23" t="inlineStr">
        <is>
          <t>WBS Code = 1.1.1</t>
        </is>
      </c>
      <c r="D84" s="23" t="inlineStr">
        <is>
          <t>Proposed by Source assignment; target 1.1.1 Guideway and Civil - Guideway Structures</t>
        </is>
      </c>
      <c r="E84" s="23" t="inlineStr">
        <is>
          <t>None recorded</t>
        </is>
      </c>
      <c r="F84" s="23" t="inlineStr">
        <is>
          <t>No individual professional decision recorded; Source assignment -- not individually reviewed</t>
        </is>
      </c>
      <c r="G84" s="23" t="inlineStr">
        <is>
          <t>Not individually decided</t>
        </is>
      </c>
      <c r="H84" s="23" t="inlineStr">
        <is>
          <t xml:space="preserve">RETAINED / ONE_TO_ONE; </t>
        </is>
      </c>
      <c r="I84" s="23" t="inlineStr">
        <is>
          <t>Carried forward</t>
        </is>
      </c>
      <c r="J84" s="14" t="inlineStr">
        <is>
          <t>08 CROSSWALK</t>
        </is>
      </c>
    </row>
    <row r="85" ht="49" customHeight="1">
      <c r="A85" s="23" t="inlineStr">
        <is>
          <t>R107-v2</t>
        </is>
      </c>
      <c r="B85" s="23" t="inlineStr">
        <is>
          <t>Contractor Programme / SCH-01-107</t>
        </is>
      </c>
      <c r="C85" s="23" t="inlineStr">
        <is>
          <t>WBS Code = 1.1.1</t>
        </is>
      </c>
      <c r="D85" s="23" t="inlineStr">
        <is>
          <t>Proposed by Source assignment; target 1.1.1 Guideway and Civil - Guideway Structures</t>
        </is>
      </c>
      <c r="E85" s="23" t="inlineStr">
        <is>
          <t>None recorded</t>
        </is>
      </c>
      <c r="F85" s="23" t="inlineStr">
        <is>
          <t>No individual professional decision recorded; Source assignment -- not individually reviewed</t>
        </is>
      </c>
      <c r="G85" s="23" t="inlineStr">
        <is>
          <t>Not individually decided</t>
        </is>
      </c>
      <c r="H85" s="23" t="inlineStr">
        <is>
          <t xml:space="preserve">RETAINED / ONE_TO_ONE; </t>
        </is>
      </c>
      <c r="I85" s="23" t="inlineStr">
        <is>
          <t>Carried forward</t>
        </is>
      </c>
      <c r="J85" s="14" t="inlineStr">
        <is>
          <t>08 CROSSWALK</t>
        </is>
      </c>
    </row>
    <row r="86" ht="49" customHeight="1">
      <c r="A86" s="23" t="inlineStr">
        <is>
          <t>R109-v2</t>
        </is>
      </c>
      <c r="B86" s="23" t="inlineStr">
        <is>
          <t>Contractor Programme / SCH-01-109</t>
        </is>
      </c>
      <c r="C86" s="23" t="inlineStr">
        <is>
          <t>WBS Code = 1.1.1</t>
        </is>
      </c>
      <c r="D86" s="23" t="inlineStr">
        <is>
          <t>Proposed by Source assignment; target 1.1.1 Guideway and Civil - Guideway Structures</t>
        </is>
      </c>
      <c r="E86" s="23" t="inlineStr">
        <is>
          <t>None recorded</t>
        </is>
      </c>
      <c r="F86" s="23" t="inlineStr">
        <is>
          <t>No individual professional decision recorded; Source assignment -- not individually reviewed</t>
        </is>
      </c>
      <c r="G86" s="23" t="inlineStr">
        <is>
          <t>Not individually decided</t>
        </is>
      </c>
      <c r="H86" s="23" t="inlineStr">
        <is>
          <t xml:space="preserve">RETAINED / ONE_TO_ONE; </t>
        </is>
      </c>
      <c r="I86" s="23" t="inlineStr">
        <is>
          <t>Carried forward</t>
        </is>
      </c>
      <c r="J86" s="14" t="inlineStr">
        <is>
          <t>08 CROSSWALK</t>
        </is>
      </c>
    </row>
    <row r="87" ht="49" customHeight="1">
      <c r="A87" s="23" t="inlineStr">
        <is>
          <t>R110-v2</t>
        </is>
      </c>
      <c r="B87" s="23" t="inlineStr">
        <is>
          <t>Contractor Programme / SCH-01-110</t>
        </is>
      </c>
      <c r="C87" s="23" t="inlineStr">
        <is>
          <t>WBS Code = 1.1.1</t>
        </is>
      </c>
      <c r="D87" s="23" t="inlineStr">
        <is>
          <t>Proposed by Source assignment; target 1.1.1 Guideway and Civil - Guideway Structures</t>
        </is>
      </c>
      <c r="E87" s="23" t="inlineStr">
        <is>
          <t>None recorded</t>
        </is>
      </c>
      <c r="F87" s="23" t="inlineStr">
        <is>
          <t>No individual professional decision recorded; Source assignment -- not individually reviewed</t>
        </is>
      </c>
      <c r="G87" s="23" t="inlineStr">
        <is>
          <t>Not individually decided</t>
        </is>
      </c>
      <c r="H87" s="23" t="inlineStr">
        <is>
          <t xml:space="preserve">RETAINED / ONE_TO_ONE; </t>
        </is>
      </c>
      <c r="I87" s="23" t="inlineStr">
        <is>
          <t>Carried forward</t>
        </is>
      </c>
      <c r="J87" s="14" t="inlineStr">
        <is>
          <t>08 CROSSWALK</t>
        </is>
      </c>
    </row>
    <row r="88" ht="49" customHeight="1">
      <c r="A88" s="23" t="inlineStr">
        <is>
          <t>R112-v2</t>
        </is>
      </c>
      <c r="B88" s="23" t="inlineStr">
        <is>
          <t>Contractor Programme / SCH-01-112</t>
        </is>
      </c>
      <c r="C88" s="23" t="inlineStr">
        <is>
          <t>WBS Code = 1.1.1</t>
        </is>
      </c>
      <c r="D88" s="23" t="inlineStr">
        <is>
          <t>Proposed by Source assignment; target 1.1.1 Guideway and Civil - Guideway Structures</t>
        </is>
      </c>
      <c r="E88" s="23" t="inlineStr">
        <is>
          <t>None recorded</t>
        </is>
      </c>
      <c r="F88" s="23" t="inlineStr">
        <is>
          <t>No individual professional decision recorded; Source assignment -- not individually reviewed</t>
        </is>
      </c>
      <c r="G88" s="23" t="inlineStr">
        <is>
          <t>Not individually decided</t>
        </is>
      </c>
      <c r="H88" s="23" t="inlineStr">
        <is>
          <t xml:space="preserve">RETAINED / ONE_TO_ONE; </t>
        </is>
      </c>
      <c r="I88" s="23" t="inlineStr">
        <is>
          <t>Carried forward</t>
        </is>
      </c>
      <c r="J88" s="14" t="inlineStr">
        <is>
          <t>08 CROSSWALK</t>
        </is>
      </c>
    </row>
    <row r="89" ht="49" customHeight="1">
      <c r="A89" s="23" t="inlineStr">
        <is>
          <t>R113-v2</t>
        </is>
      </c>
      <c r="B89" s="23" t="inlineStr">
        <is>
          <t>Contractor Programme / SCH-01-113</t>
        </is>
      </c>
      <c r="C89" s="23" t="inlineStr">
        <is>
          <t>WBS Code = 1.1.1</t>
        </is>
      </c>
      <c r="D89" s="23" t="inlineStr">
        <is>
          <t>Proposed by Source assignment; target 1.1.1 Guideway and Civil - Guideway Structures</t>
        </is>
      </c>
      <c r="E89" s="23" t="inlineStr">
        <is>
          <t>None recorded</t>
        </is>
      </c>
      <c r="F89" s="23" t="inlineStr">
        <is>
          <t>No individual professional decision recorded; Source assignment -- not individually reviewed</t>
        </is>
      </c>
      <c r="G89" s="23" t="inlineStr">
        <is>
          <t>Not individually decided</t>
        </is>
      </c>
      <c r="H89" s="23" t="inlineStr">
        <is>
          <t xml:space="preserve">RETAINED / ONE_TO_ONE; </t>
        </is>
      </c>
      <c r="I89" s="23" t="inlineStr">
        <is>
          <t>Carried forward</t>
        </is>
      </c>
      <c r="J89" s="14" t="inlineStr">
        <is>
          <t>08 CROSSWALK</t>
        </is>
      </c>
    </row>
    <row r="90" ht="49" customHeight="1">
      <c r="A90" s="23" t="inlineStr">
        <is>
          <t>R115-v2</t>
        </is>
      </c>
      <c r="B90" s="23" t="inlineStr">
        <is>
          <t>Contractor Programme / SCH-01-115</t>
        </is>
      </c>
      <c r="C90" s="23" t="inlineStr">
        <is>
          <t>WBS Code = 1.1.1</t>
        </is>
      </c>
      <c r="D90" s="23" t="inlineStr">
        <is>
          <t>Proposed by Source assignment; target 1.1.1 Guideway and Civil - Guideway Structures</t>
        </is>
      </c>
      <c r="E90" s="23" t="inlineStr">
        <is>
          <t>None recorded</t>
        </is>
      </c>
      <c r="F90" s="23" t="inlineStr">
        <is>
          <t>No individual professional decision recorded; Source assignment -- not individually reviewed</t>
        </is>
      </c>
      <c r="G90" s="23" t="inlineStr">
        <is>
          <t>Not individually decided</t>
        </is>
      </c>
      <c r="H90" s="23" t="inlineStr">
        <is>
          <t xml:space="preserve">RETAINED / ONE_TO_ONE; </t>
        </is>
      </c>
      <c r="I90" s="23" t="inlineStr">
        <is>
          <t>Carried forward</t>
        </is>
      </c>
      <c r="J90" s="14" t="inlineStr">
        <is>
          <t>08 CROSSWALK</t>
        </is>
      </c>
    </row>
    <row r="91" ht="49" customHeight="1">
      <c r="A91" s="23" t="inlineStr">
        <is>
          <t>R116-v2</t>
        </is>
      </c>
      <c r="B91" s="23" t="inlineStr">
        <is>
          <t>Contractor Programme / SCH-01-116</t>
        </is>
      </c>
      <c r="C91" s="23" t="inlineStr">
        <is>
          <t>WBS Code = 1.1.1</t>
        </is>
      </c>
      <c r="D91" s="23" t="inlineStr">
        <is>
          <t>Proposed by Source assignment; target 1.1.1 Guideway and Civil - Guideway Structures</t>
        </is>
      </c>
      <c r="E91" s="23" t="inlineStr">
        <is>
          <t>None recorded</t>
        </is>
      </c>
      <c r="F91" s="23" t="inlineStr">
        <is>
          <t>No individual professional decision recorded; Source assignment -- not individually reviewed</t>
        </is>
      </c>
      <c r="G91" s="23" t="inlineStr">
        <is>
          <t>Not individually decided</t>
        </is>
      </c>
      <c r="H91" s="23" t="inlineStr">
        <is>
          <t xml:space="preserve">RETAINED / ONE_TO_ONE; </t>
        </is>
      </c>
      <c r="I91" s="23" t="inlineStr">
        <is>
          <t>Carried forward</t>
        </is>
      </c>
      <c r="J91" s="14" t="inlineStr">
        <is>
          <t>08 CROSSWALK</t>
        </is>
      </c>
    </row>
    <row r="92" ht="49" customHeight="1">
      <c r="A92" s="23" t="inlineStr">
        <is>
          <t>R118-v2</t>
        </is>
      </c>
      <c r="B92" s="23" t="inlineStr">
        <is>
          <t>Contractor Programme / SCH-01-118</t>
        </is>
      </c>
      <c r="C92" s="23" t="inlineStr">
        <is>
          <t>WBS Code = 1.1.1</t>
        </is>
      </c>
      <c r="D92" s="23" t="inlineStr">
        <is>
          <t>Proposed by Source assignment; target 1.1.1 Guideway and Civil - Guideway Structures</t>
        </is>
      </c>
      <c r="E92" s="23" t="inlineStr">
        <is>
          <t>None recorded</t>
        </is>
      </c>
      <c r="F92" s="23" t="inlineStr">
        <is>
          <t>No individual professional decision recorded; Source assignment -- not individually reviewed</t>
        </is>
      </c>
      <c r="G92" s="23" t="inlineStr">
        <is>
          <t>Not individually decided</t>
        </is>
      </c>
      <c r="H92" s="23" t="inlineStr">
        <is>
          <t xml:space="preserve">RETAINED / ONE_TO_ONE; </t>
        </is>
      </c>
      <c r="I92" s="23" t="inlineStr">
        <is>
          <t>Carried forward</t>
        </is>
      </c>
      <c r="J92" s="14" t="inlineStr">
        <is>
          <t>08 CROSSWALK</t>
        </is>
      </c>
    </row>
    <row r="93" ht="49" customHeight="1">
      <c r="A93" s="23" t="inlineStr">
        <is>
          <t>R119-v2</t>
        </is>
      </c>
      <c r="B93" s="23" t="inlineStr">
        <is>
          <t>Contractor Programme / SCH-01-119</t>
        </is>
      </c>
      <c r="C93" s="23" t="inlineStr">
        <is>
          <t>WBS Code = 1.1.1</t>
        </is>
      </c>
      <c r="D93" s="23" t="inlineStr">
        <is>
          <t>Proposed by Source assignment; target 1.1.1 Guideway and Civil - Guideway Structures</t>
        </is>
      </c>
      <c r="E93" s="23" t="inlineStr">
        <is>
          <t>None recorded</t>
        </is>
      </c>
      <c r="F93" s="23" t="inlineStr">
        <is>
          <t>No individual professional decision recorded; Source assignment -- not individually reviewed</t>
        </is>
      </c>
      <c r="G93" s="23" t="inlineStr">
        <is>
          <t>Not individually decided</t>
        </is>
      </c>
      <c r="H93" s="23" t="inlineStr">
        <is>
          <t xml:space="preserve">RETAINED / ONE_TO_ONE; </t>
        </is>
      </c>
      <c r="I93" s="23" t="inlineStr">
        <is>
          <t>Carried forward</t>
        </is>
      </c>
      <c r="J93" s="14" t="inlineStr">
        <is>
          <t>08 CROSSWALK</t>
        </is>
      </c>
    </row>
    <row r="94" ht="49" customHeight="1">
      <c r="A94" s="23" t="inlineStr">
        <is>
          <t>R121-v2</t>
        </is>
      </c>
      <c r="B94" s="23" t="inlineStr">
        <is>
          <t>Contractor Programme / SCH-01-121</t>
        </is>
      </c>
      <c r="C94" s="23" t="inlineStr">
        <is>
          <t>WBS Code = 1.1.1</t>
        </is>
      </c>
      <c r="D94" s="23" t="inlineStr">
        <is>
          <t>Proposed by Source assignment; target 1.1.1 Guideway and Civil - Guideway Structures</t>
        </is>
      </c>
      <c r="E94" s="23" t="inlineStr">
        <is>
          <t>None recorded</t>
        </is>
      </c>
      <c r="F94" s="23" t="inlineStr">
        <is>
          <t>No individual professional decision recorded; Source assignment -- not individually reviewed</t>
        </is>
      </c>
      <c r="G94" s="23" t="inlineStr">
        <is>
          <t>Not individually decided</t>
        </is>
      </c>
      <c r="H94" s="23" t="inlineStr">
        <is>
          <t xml:space="preserve">RETAINED / ONE_TO_ONE; </t>
        </is>
      </c>
      <c r="I94" s="23" t="inlineStr">
        <is>
          <t>Carried forward</t>
        </is>
      </c>
      <c r="J94" s="14" t="inlineStr">
        <is>
          <t>08 CROSSWALK</t>
        </is>
      </c>
    </row>
    <row r="95" ht="49" customHeight="1">
      <c r="A95" s="23" t="inlineStr">
        <is>
          <t>R122-v2</t>
        </is>
      </c>
      <c r="B95" s="23" t="inlineStr">
        <is>
          <t>Contractor Programme / SCH-01-122</t>
        </is>
      </c>
      <c r="C95" s="23" t="inlineStr">
        <is>
          <t>WBS Code = 1.1.1</t>
        </is>
      </c>
      <c r="D95" s="23" t="inlineStr">
        <is>
          <t>Proposed by Source assignment; target 1.1.1 Guideway and Civil - Guideway Structures</t>
        </is>
      </c>
      <c r="E95" s="23" t="inlineStr">
        <is>
          <t>None recorded</t>
        </is>
      </c>
      <c r="F95" s="23" t="inlineStr">
        <is>
          <t>No individual professional decision recorded; Source assignment -- not individually reviewed</t>
        </is>
      </c>
      <c r="G95" s="23" t="inlineStr">
        <is>
          <t>Not individually decided</t>
        </is>
      </c>
      <c r="H95" s="23" t="inlineStr">
        <is>
          <t xml:space="preserve">RETAINED / ONE_TO_ONE; </t>
        </is>
      </c>
      <c r="I95" s="23" t="inlineStr">
        <is>
          <t>Carried forward</t>
        </is>
      </c>
      <c r="J95" s="14" t="inlineStr">
        <is>
          <t>08 CROSSWALK</t>
        </is>
      </c>
    </row>
    <row r="96" ht="49" customHeight="1">
      <c r="A96" s="23" t="inlineStr">
        <is>
          <t>R124-v2</t>
        </is>
      </c>
      <c r="B96" s="23" t="inlineStr">
        <is>
          <t>Contractor Programme / SCH-01-124</t>
        </is>
      </c>
      <c r="C96" s="23" t="inlineStr">
        <is>
          <t>WBS Code = 1.1.1</t>
        </is>
      </c>
      <c r="D96" s="23" t="inlineStr">
        <is>
          <t>Proposed by Source assignment; target 1.1.1 Guideway and Civil - Guideway Structures</t>
        </is>
      </c>
      <c r="E96" s="23" t="inlineStr">
        <is>
          <t>None recorded</t>
        </is>
      </c>
      <c r="F96" s="23" t="inlineStr">
        <is>
          <t>No individual professional decision recorded; Source assignment -- not individually reviewed</t>
        </is>
      </c>
      <c r="G96" s="23" t="inlineStr">
        <is>
          <t>Not individually decided</t>
        </is>
      </c>
      <c r="H96" s="23" t="inlineStr">
        <is>
          <t xml:space="preserve">RETAINED / ONE_TO_ONE; </t>
        </is>
      </c>
      <c r="I96" s="23" t="inlineStr">
        <is>
          <t>Carried forward</t>
        </is>
      </c>
      <c r="J96" s="14" t="inlineStr">
        <is>
          <t>08 CROSSWALK</t>
        </is>
      </c>
    </row>
    <row r="97" ht="49" customHeight="1">
      <c r="A97" s="23" t="inlineStr">
        <is>
          <t>R125-v2</t>
        </is>
      </c>
      <c r="B97" s="23" t="inlineStr">
        <is>
          <t>Contractor Programme / SCH-01-125</t>
        </is>
      </c>
      <c r="C97" s="23" t="inlineStr">
        <is>
          <t>WBS Code = 1.1.1</t>
        </is>
      </c>
      <c r="D97" s="23" t="inlineStr">
        <is>
          <t>Proposed by Source assignment; target 1.1.1 Guideway and Civil - Guideway Structures</t>
        </is>
      </c>
      <c r="E97" s="23" t="inlineStr">
        <is>
          <t>None recorded</t>
        </is>
      </c>
      <c r="F97" s="23" t="inlineStr">
        <is>
          <t>No individual professional decision recorded; Source assignment -- not individually reviewed</t>
        </is>
      </c>
      <c r="G97" s="23" t="inlineStr">
        <is>
          <t>Not individually decided</t>
        </is>
      </c>
      <c r="H97" s="23" t="inlineStr">
        <is>
          <t xml:space="preserve">RETAINED / ONE_TO_ONE; </t>
        </is>
      </c>
      <c r="I97" s="23" t="inlineStr">
        <is>
          <t>Carried forward</t>
        </is>
      </c>
      <c r="J97" s="14" t="inlineStr">
        <is>
          <t>08 CROSSWALK</t>
        </is>
      </c>
    </row>
    <row r="98" ht="49" customHeight="1">
      <c r="A98" s="23" t="inlineStr">
        <is>
          <t>R127-v2</t>
        </is>
      </c>
      <c r="B98" s="23" t="inlineStr">
        <is>
          <t>Contractor Programme / SCH-01-127</t>
        </is>
      </c>
      <c r="C98" s="23" t="inlineStr">
        <is>
          <t>WBS Code = 1.1.1</t>
        </is>
      </c>
      <c r="D98" s="23" t="inlineStr">
        <is>
          <t>Proposed by Source assignment; target 1.1.1 Guideway and Civil - Guideway Structures</t>
        </is>
      </c>
      <c r="E98" s="23" t="inlineStr">
        <is>
          <t>None recorded</t>
        </is>
      </c>
      <c r="F98" s="23" t="inlineStr">
        <is>
          <t>No individual professional decision recorded; Source assignment -- not individually reviewed</t>
        </is>
      </c>
      <c r="G98" s="23" t="inlineStr">
        <is>
          <t>Not individually decided</t>
        </is>
      </c>
      <c r="H98" s="23" t="inlineStr">
        <is>
          <t xml:space="preserve">RETAINED / ONE_TO_ONE; </t>
        </is>
      </c>
      <c r="I98" s="23" t="inlineStr">
        <is>
          <t>Carried forward</t>
        </is>
      </c>
      <c r="J98" s="14" t="inlineStr">
        <is>
          <t>08 CROSSWALK</t>
        </is>
      </c>
    </row>
    <row r="99" ht="49" customHeight="1">
      <c r="A99" s="23" t="inlineStr">
        <is>
          <t>R128-v2</t>
        </is>
      </c>
      <c r="B99" s="23" t="inlineStr">
        <is>
          <t>Contractor Programme / SCH-01-128</t>
        </is>
      </c>
      <c r="C99" s="23" t="inlineStr">
        <is>
          <t>WBS Code = 1.1.1</t>
        </is>
      </c>
      <c r="D99" s="23" t="inlineStr">
        <is>
          <t>Proposed by Source assignment; target 1.1.1 Guideway and Civil - Guideway Structures</t>
        </is>
      </c>
      <c r="E99" s="23" t="inlineStr">
        <is>
          <t>None recorded</t>
        </is>
      </c>
      <c r="F99" s="23" t="inlineStr">
        <is>
          <t>No individual professional decision recorded; Source assignment -- not individually reviewed</t>
        </is>
      </c>
      <c r="G99" s="23" t="inlineStr">
        <is>
          <t>Not individually decided</t>
        </is>
      </c>
      <c r="H99" s="23" t="inlineStr">
        <is>
          <t xml:space="preserve">RETAINED / ONE_TO_ONE; </t>
        </is>
      </c>
      <c r="I99" s="23" t="inlineStr">
        <is>
          <t>Carried forward</t>
        </is>
      </c>
      <c r="J99" s="14" t="inlineStr">
        <is>
          <t>08 CROSSWALK</t>
        </is>
      </c>
    </row>
    <row r="100" ht="49" customHeight="1">
      <c r="A100" s="23" t="inlineStr">
        <is>
          <t>R130-v2</t>
        </is>
      </c>
      <c r="B100" s="23" t="inlineStr">
        <is>
          <t>Contractor Programme / SCH-01-130</t>
        </is>
      </c>
      <c r="C100" s="23" t="inlineStr">
        <is>
          <t>WBS Code = 1.1.1</t>
        </is>
      </c>
      <c r="D100" s="23" t="inlineStr">
        <is>
          <t>Proposed by Source assignment; target 1.1.1 Guideway and Civil - Guideway Structures</t>
        </is>
      </c>
      <c r="E100" s="23" t="inlineStr">
        <is>
          <t>None recorded</t>
        </is>
      </c>
      <c r="F100" s="23" t="inlineStr">
        <is>
          <t>No individual professional decision recorded; Source assignment -- not individually reviewed</t>
        </is>
      </c>
      <c r="G100" s="23" t="inlineStr">
        <is>
          <t>Not individually decided</t>
        </is>
      </c>
      <c r="H100" s="23" t="inlineStr">
        <is>
          <t xml:space="preserve">RETAINED / ONE_TO_ONE; </t>
        </is>
      </c>
      <c r="I100" s="23" t="inlineStr">
        <is>
          <t>Carried forward</t>
        </is>
      </c>
      <c r="J100" s="14" t="inlineStr">
        <is>
          <t>08 CROSSWALK</t>
        </is>
      </c>
    </row>
    <row r="101" ht="49" customHeight="1">
      <c r="A101" s="23" t="inlineStr">
        <is>
          <t>R131-v2</t>
        </is>
      </c>
      <c r="B101" s="23" t="inlineStr">
        <is>
          <t>Contractor Programme / SCH-01-131</t>
        </is>
      </c>
      <c r="C101" s="23" t="inlineStr">
        <is>
          <t>WBS Code = 1.1.1</t>
        </is>
      </c>
      <c r="D101" s="23" t="inlineStr">
        <is>
          <t>Proposed by Source assignment; target 1.1.1 Guideway and Civil - Guideway Structures</t>
        </is>
      </c>
      <c r="E101" s="23" t="inlineStr">
        <is>
          <t>None recorded</t>
        </is>
      </c>
      <c r="F101" s="23" t="inlineStr">
        <is>
          <t>No individual professional decision recorded; Source assignment -- not individually reviewed</t>
        </is>
      </c>
      <c r="G101" s="23" t="inlineStr">
        <is>
          <t>Not individually decided</t>
        </is>
      </c>
      <c r="H101" s="23" t="inlineStr">
        <is>
          <t xml:space="preserve">RETAINED / ONE_TO_ONE; </t>
        </is>
      </c>
      <c r="I101" s="23" t="inlineStr">
        <is>
          <t>Carried forward</t>
        </is>
      </c>
      <c r="J101" s="14" t="inlineStr">
        <is>
          <t>08 CROSSWALK</t>
        </is>
      </c>
    </row>
    <row r="102" ht="49" customHeight="1">
      <c r="A102" s="23" t="inlineStr">
        <is>
          <t>R133-v2</t>
        </is>
      </c>
      <c r="B102" s="23" t="inlineStr">
        <is>
          <t>Contractor Programme / SCH-01-133</t>
        </is>
      </c>
      <c r="C102" s="23" t="inlineStr">
        <is>
          <t>WBS Code = 1.1.1</t>
        </is>
      </c>
      <c r="D102" s="23" t="inlineStr">
        <is>
          <t>Proposed by Source assignment; target 1.1.1 Guideway and Civil - Guideway Structures</t>
        </is>
      </c>
      <c r="E102" s="23" t="inlineStr">
        <is>
          <t>None recorded</t>
        </is>
      </c>
      <c r="F102" s="23" t="inlineStr">
        <is>
          <t>No individual professional decision recorded; Source assignment -- not individually reviewed</t>
        </is>
      </c>
      <c r="G102" s="23" t="inlineStr">
        <is>
          <t>Not individually decided</t>
        </is>
      </c>
      <c r="H102" s="23" t="inlineStr">
        <is>
          <t xml:space="preserve">RETAINED / ONE_TO_ONE; </t>
        </is>
      </c>
      <c r="I102" s="23" t="inlineStr">
        <is>
          <t>Carried forward</t>
        </is>
      </c>
      <c r="J102" s="14" t="inlineStr">
        <is>
          <t>08 CROSSWALK</t>
        </is>
      </c>
    </row>
    <row r="103" ht="49" customHeight="1">
      <c r="A103" s="23" t="inlineStr">
        <is>
          <t>R134-v2</t>
        </is>
      </c>
      <c r="B103" s="23" t="inlineStr">
        <is>
          <t>Contractor Programme / SCH-01-134</t>
        </is>
      </c>
      <c r="C103" s="23" t="inlineStr">
        <is>
          <t>WBS Code = 1.1.1</t>
        </is>
      </c>
      <c r="D103" s="23" t="inlineStr">
        <is>
          <t>Proposed by Source assignment; target 1.1.1 Guideway and Civil - Guideway Structures</t>
        </is>
      </c>
      <c r="E103" s="23" t="inlineStr">
        <is>
          <t>None recorded</t>
        </is>
      </c>
      <c r="F103" s="23" t="inlineStr">
        <is>
          <t>No individual professional decision recorded; Source assignment -- not individually reviewed</t>
        </is>
      </c>
      <c r="G103" s="23" t="inlineStr">
        <is>
          <t>Not individually decided</t>
        </is>
      </c>
      <c r="H103" s="23" t="inlineStr">
        <is>
          <t xml:space="preserve">RETAINED / ONE_TO_ONE; </t>
        </is>
      </c>
      <c r="I103" s="23" t="inlineStr">
        <is>
          <t>Carried forward</t>
        </is>
      </c>
      <c r="J103" s="14" t="inlineStr">
        <is>
          <t>08 CROSSWALK</t>
        </is>
      </c>
    </row>
    <row r="104" ht="49" customHeight="1">
      <c r="A104" s="23" t="inlineStr">
        <is>
          <t>R136-v2</t>
        </is>
      </c>
      <c r="B104" s="23" t="inlineStr">
        <is>
          <t>Contractor Programme / SCH-01-136</t>
        </is>
      </c>
      <c r="C104" s="23" t="inlineStr">
        <is>
          <t>WBS Code = 1.1.1</t>
        </is>
      </c>
      <c r="D104" s="23" t="inlineStr">
        <is>
          <t>Proposed by Source assignment; target 1.1.1 Guideway and Civil - Guideway Structures</t>
        </is>
      </c>
      <c r="E104" s="23" t="inlineStr">
        <is>
          <t>None recorded</t>
        </is>
      </c>
      <c r="F104" s="23" t="inlineStr">
        <is>
          <t>No individual professional decision recorded; Source assignment -- not individually reviewed</t>
        </is>
      </c>
      <c r="G104" s="23" t="inlineStr">
        <is>
          <t>Not individually decided</t>
        </is>
      </c>
      <c r="H104" s="23" t="inlineStr">
        <is>
          <t xml:space="preserve">RETAINED / ONE_TO_ONE; </t>
        </is>
      </c>
      <c r="I104" s="23" t="inlineStr">
        <is>
          <t>Carried forward</t>
        </is>
      </c>
      <c r="J104" s="14" t="inlineStr">
        <is>
          <t>08 CROSSWALK</t>
        </is>
      </c>
    </row>
    <row r="105" ht="49" customHeight="1">
      <c r="A105" s="23" t="inlineStr">
        <is>
          <t>R137-v2</t>
        </is>
      </c>
      <c r="B105" s="23" t="inlineStr">
        <is>
          <t>Contractor Programme / SCH-01-137</t>
        </is>
      </c>
      <c r="C105" s="23" t="inlineStr">
        <is>
          <t>WBS Code = 1.1.1</t>
        </is>
      </c>
      <c r="D105" s="23" t="inlineStr">
        <is>
          <t>Proposed by Source assignment; target 1.1.1 Guideway and Civil - Guideway Structures</t>
        </is>
      </c>
      <c r="E105" s="23" t="inlineStr">
        <is>
          <t>None recorded</t>
        </is>
      </c>
      <c r="F105" s="23" t="inlineStr">
        <is>
          <t>No individual professional decision recorded; Source assignment -- not individually reviewed</t>
        </is>
      </c>
      <c r="G105" s="23" t="inlineStr">
        <is>
          <t>Not individually decided</t>
        </is>
      </c>
      <c r="H105" s="23" t="inlineStr">
        <is>
          <t xml:space="preserve">RETAINED / ONE_TO_ONE; </t>
        </is>
      </c>
      <c r="I105" s="23" t="inlineStr">
        <is>
          <t>Carried forward</t>
        </is>
      </c>
      <c r="J105" s="14" t="inlineStr">
        <is>
          <t>08 CROSSWALK</t>
        </is>
      </c>
    </row>
    <row r="106" ht="49" customHeight="1">
      <c r="A106" s="23" t="inlineStr">
        <is>
          <t>R139-v2</t>
        </is>
      </c>
      <c r="B106" s="23" t="inlineStr">
        <is>
          <t>Contractor Programme / SCH-01-139</t>
        </is>
      </c>
      <c r="C106" s="23" t="inlineStr">
        <is>
          <t>WBS Code = 1.1.1</t>
        </is>
      </c>
      <c r="D106" s="23" t="inlineStr">
        <is>
          <t>Proposed by Source assignment; target 1.1.1 Guideway and Civil - Guideway Structures</t>
        </is>
      </c>
      <c r="E106" s="23" t="inlineStr">
        <is>
          <t>None recorded</t>
        </is>
      </c>
      <c r="F106" s="23" t="inlineStr">
        <is>
          <t>No individual professional decision recorded; Source assignment -- not individually reviewed</t>
        </is>
      </c>
      <c r="G106" s="23" t="inlineStr">
        <is>
          <t>Not individually decided</t>
        </is>
      </c>
      <c r="H106" s="23" t="inlineStr">
        <is>
          <t xml:space="preserve">RETAINED / ONE_TO_ONE; </t>
        </is>
      </c>
      <c r="I106" s="23" t="inlineStr">
        <is>
          <t>Carried forward</t>
        </is>
      </c>
      <c r="J106" s="14" t="inlineStr">
        <is>
          <t>08 CROSSWALK</t>
        </is>
      </c>
    </row>
    <row r="107" ht="49" customHeight="1">
      <c r="A107" s="23" t="inlineStr">
        <is>
          <t>R140-v2</t>
        </is>
      </c>
      <c r="B107" s="23" t="inlineStr">
        <is>
          <t>Contractor Programme / SCH-01-140</t>
        </is>
      </c>
      <c r="C107" s="23" t="inlineStr">
        <is>
          <t>WBS Code = 1.1.1</t>
        </is>
      </c>
      <c r="D107" s="23" t="inlineStr">
        <is>
          <t>Proposed by Source assignment; target 1.1.1 Guideway and Civil - Guideway Structures</t>
        </is>
      </c>
      <c r="E107" s="23" t="inlineStr">
        <is>
          <t>None recorded</t>
        </is>
      </c>
      <c r="F107" s="23" t="inlineStr">
        <is>
          <t>No individual professional decision recorded; Source assignment -- not individually reviewed</t>
        </is>
      </c>
      <c r="G107" s="23" t="inlineStr">
        <is>
          <t>Not individually decided</t>
        </is>
      </c>
      <c r="H107" s="23" t="inlineStr">
        <is>
          <t xml:space="preserve">RETAINED / ONE_TO_ONE; </t>
        </is>
      </c>
      <c r="I107" s="23" t="inlineStr">
        <is>
          <t>Carried forward</t>
        </is>
      </c>
      <c r="J107" s="14" t="inlineStr">
        <is>
          <t>08 CROSSWALK</t>
        </is>
      </c>
    </row>
    <row r="108" ht="49" customHeight="1">
      <c r="A108" s="23" t="inlineStr">
        <is>
          <t>R142-v2</t>
        </is>
      </c>
      <c r="B108" s="23" t="inlineStr">
        <is>
          <t>Contractor Programme / SCH-01-142</t>
        </is>
      </c>
      <c r="C108" s="23" t="inlineStr">
        <is>
          <t>WBS Code = 1.1.1</t>
        </is>
      </c>
      <c r="D108" s="23" t="inlineStr">
        <is>
          <t>Proposed by Source assignment; target 1.1.1 Guideway and Civil - Guideway Structures</t>
        </is>
      </c>
      <c r="E108" s="23" t="inlineStr">
        <is>
          <t>None recorded</t>
        </is>
      </c>
      <c r="F108" s="23" t="inlineStr">
        <is>
          <t>No individual professional decision recorded; Source assignment -- not individually reviewed</t>
        </is>
      </c>
      <c r="G108" s="23" t="inlineStr">
        <is>
          <t>Not individually decided</t>
        </is>
      </c>
      <c r="H108" s="23" t="inlineStr">
        <is>
          <t xml:space="preserve">RETAINED / ONE_TO_ONE; </t>
        </is>
      </c>
      <c r="I108" s="23" t="inlineStr">
        <is>
          <t>Carried forward</t>
        </is>
      </c>
      <c r="J108" s="14" t="inlineStr">
        <is>
          <t>08 CROSSWALK</t>
        </is>
      </c>
    </row>
    <row r="109" ht="49" customHeight="1">
      <c r="A109" s="23" t="inlineStr">
        <is>
          <t>R143-v2</t>
        </is>
      </c>
      <c r="B109" s="23" t="inlineStr">
        <is>
          <t>Contractor Programme / SCH-01-143</t>
        </is>
      </c>
      <c r="C109" s="23" t="inlineStr">
        <is>
          <t>WBS Code = 1.1.1</t>
        </is>
      </c>
      <c r="D109" s="23" t="inlineStr">
        <is>
          <t>Proposed by Source assignment; target 1.1.1 Guideway and Civil - Guideway Structures</t>
        </is>
      </c>
      <c r="E109" s="23" t="inlineStr">
        <is>
          <t>None recorded</t>
        </is>
      </c>
      <c r="F109" s="23" t="inlineStr">
        <is>
          <t>No individual professional decision recorded; Source assignment -- not individually reviewed</t>
        </is>
      </c>
      <c r="G109" s="23" t="inlineStr">
        <is>
          <t>Not individually decided</t>
        </is>
      </c>
      <c r="H109" s="23" t="inlineStr">
        <is>
          <t xml:space="preserve">RETAINED / ONE_TO_ONE; </t>
        </is>
      </c>
      <c r="I109" s="23" t="inlineStr">
        <is>
          <t>Carried forward</t>
        </is>
      </c>
      <c r="J109" s="14" t="inlineStr">
        <is>
          <t>08 CROSSWALK</t>
        </is>
      </c>
    </row>
    <row r="110" ht="49" customHeight="1">
      <c r="A110" s="23" t="inlineStr">
        <is>
          <t>R145-v2</t>
        </is>
      </c>
      <c r="B110" s="23" t="inlineStr">
        <is>
          <t>Contractor Programme / SCH-01-145</t>
        </is>
      </c>
      <c r="C110" s="23" t="inlineStr">
        <is>
          <t>WBS Code = 1.1.1</t>
        </is>
      </c>
      <c r="D110" s="23" t="inlineStr">
        <is>
          <t>Proposed by Source assignment; target 1.1.1 Guideway and Civil - Guideway Structures</t>
        </is>
      </c>
      <c r="E110" s="23" t="inlineStr">
        <is>
          <t>None recorded</t>
        </is>
      </c>
      <c r="F110" s="23" t="inlineStr">
        <is>
          <t>No individual professional decision recorded; Source assignment -- not individually reviewed</t>
        </is>
      </c>
      <c r="G110" s="23" t="inlineStr">
        <is>
          <t>Not individually decided</t>
        </is>
      </c>
      <c r="H110" s="23" t="inlineStr">
        <is>
          <t xml:space="preserve">RETAINED / ONE_TO_ONE; </t>
        </is>
      </c>
      <c r="I110" s="23" t="inlineStr">
        <is>
          <t>Carried forward</t>
        </is>
      </c>
      <c r="J110" s="14" t="inlineStr">
        <is>
          <t>08 CROSSWALK</t>
        </is>
      </c>
    </row>
    <row r="111" ht="49" customHeight="1">
      <c r="A111" s="23" t="inlineStr">
        <is>
          <t>R146-v2</t>
        </is>
      </c>
      <c r="B111" s="23" t="inlineStr">
        <is>
          <t>Contractor Programme / SCH-01-146</t>
        </is>
      </c>
      <c r="C111" s="23" t="inlineStr">
        <is>
          <t>WBS Code = 1.1.1</t>
        </is>
      </c>
      <c r="D111" s="23" t="inlineStr">
        <is>
          <t>Proposed by Source assignment; target 1.1.1 Guideway and Civil - Guideway Structures</t>
        </is>
      </c>
      <c r="E111" s="23" t="inlineStr">
        <is>
          <t>None recorded</t>
        </is>
      </c>
      <c r="F111" s="23" t="inlineStr">
        <is>
          <t>No individual professional decision recorded; Source assignment -- not individually reviewed</t>
        </is>
      </c>
      <c r="G111" s="23" t="inlineStr">
        <is>
          <t>Not individually decided</t>
        </is>
      </c>
      <c r="H111" s="23" t="inlineStr">
        <is>
          <t xml:space="preserve">RETAINED / ONE_TO_ONE; </t>
        </is>
      </c>
      <c r="I111" s="23" t="inlineStr">
        <is>
          <t>Carried forward</t>
        </is>
      </c>
      <c r="J111" s="14" t="inlineStr">
        <is>
          <t>08 CROSSWALK</t>
        </is>
      </c>
    </row>
    <row r="112" ht="49" customHeight="1">
      <c r="A112" s="23" t="inlineStr">
        <is>
          <t>R148-v2</t>
        </is>
      </c>
      <c r="B112" s="23" t="inlineStr">
        <is>
          <t>Contractor Programme / SCH-01-148</t>
        </is>
      </c>
      <c r="C112" s="23" t="inlineStr">
        <is>
          <t>WBS Code = 1.1.1</t>
        </is>
      </c>
      <c r="D112" s="23" t="inlineStr">
        <is>
          <t>Proposed by Source assignment; target 1.1.1 Guideway and Civil - Guideway Structures</t>
        </is>
      </c>
      <c r="E112" s="23" t="inlineStr">
        <is>
          <t>None recorded</t>
        </is>
      </c>
      <c r="F112" s="23" t="inlineStr">
        <is>
          <t>No individual professional decision recorded; Source assignment -- not individually reviewed</t>
        </is>
      </c>
      <c r="G112" s="23" t="inlineStr">
        <is>
          <t>Not individually decided</t>
        </is>
      </c>
      <c r="H112" s="23" t="inlineStr">
        <is>
          <t xml:space="preserve">RETAINED / ONE_TO_ONE; </t>
        </is>
      </c>
      <c r="I112" s="23" t="inlineStr">
        <is>
          <t>Carried forward</t>
        </is>
      </c>
      <c r="J112" s="14" t="inlineStr">
        <is>
          <t>08 CROSSWALK</t>
        </is>
      </c>
    </row>
    <row r="113" ht="49" customHeight="1">
      <c r="A113" s="23" t="inlineStr">
        <is>
          <t>R149-v2</t>
        </is>
      </c>
      <c r="B113" s="23" t="inlineStr">
        <is>
          <t>Contractor Programme / SCH-01-149</t>
        </is>
      </c>
      <c r="C113" s="23" t="inlineStr">
        <is>
          <t>WBS Code = 1.1.1</t>
        </is>
      </c>
      <c r="D113" s="23" t="inlineStr">
        <is>
          <t>Proposed by Source assignment; target 1.1.1 Guideway and Civil - Guideway Structures</t>
        </is>
      </c>
      <c r="E113" s="23" t="inlineStr">
        <is>
          <t>None recorded</t>
        </is>
      </c>
      <c r="F113" s="23" t="inlineStr">
        <is>
          <t>No individual professional decision recorded; Source assignment -- not individually reviewed</t>
        </is>
      </c>
      <c r="G113" s="23" t="inlineStr">
        <is>
          <t>Not individually decided</t>
        </is>
      </c>
      <c r="H113" s="23" t="inlineStr">
        <is>
          <t xml:space="preserve">RETAINED / ONE_TO_ONE; </t>
        </is>
      </c>
      <c r="I113" s="23" t="inlineStr">
        <is>
          <t>Carried forward</t>
        </is>
      </c>
      <c r="J113" s="14" t="inlineStr">
        <is>
          <t>08 CROSSWALK</t>
        </is>
      </c>
    </row>
    <row r="114" ht="49" customHeight="1">
      <c r="A114" s="23" t="inlineStr">
        <is>
          <t>R151-v2</t>
        </is>
      </c>
      <c r="B114" s="23" t="inlineStr">
        <is>
          <t>Contractor Programme / SCH-01-151</t>
        </is>
      </c>
      <c r="C114" s="23" t="inlineStr">
        <is>
          <t>WBS Code = 1.1.1</t>
        </is>
      </c>
      <c r="D114" s="23" t="inlineStr">
        <is>
          <t>Proposed by Source assignment; target 1.1.1 Guideway and Civil - Guideway Structures</t>
        </is>
      </c>
      <c r="E114" s="23" t="inlineStr">
        <is>
          <t>None recorded</t>
        </is>
      </c>
      <c r="F114" s="23" t="inlineStr">
        <is>
          <t>No individual professional decision recorded; Source assignment -- not individually reviewed</t>
        </is>
      </c>
      <c r="G114" s="23" t="inlineStr">
        <is>
          <t>Not individually decided</t>
        </is>
      </c>
      <c r="H114" s="23" t="inlineStr">
        <is>
          <t xml:space="preserve">RETAINED / ONE_TO_ONE; </t>
        </is>
      </c>
      <c r="I114" s="23" t="inlineStr">
        <is>
          <t>Carried forward</t>
        </is>
      </c>
      <c r="J114" s="14" t="inlineStr">
        <is>
          <t>08 CROSSWALK</t>
        </is>
      </c>
    </row>
    <row r="115" ht="49" customHeight="1">
      <c r="A115" s="23" t="inlineStr">
        <is>
          <t>R152-v2</t>
        </is>
      </c>
      <c r="B115" s="23" t="inlineStr">
        <is>
          <t>Contractor Programme / SCH-01-152</t>
        </is>
      </c>
      <c r="C115" s="23" t="inlineStr">
        <is>
          <t>WBS Code = 1.1.1</t>
        </is>
      </c>
      <c r="D115" s="23" t="inlineStr">
        <is>
          <t>Proposed by Source assignment; target 1.1.1 Guideway and Civil - Guideway Structures</t>
        </is>
      </c>
      <c r="E115" s="23" t="inlineStr">
        <is>
          <t>None recorded</t>
        </is>
      </c>
      <c r="F115" s="23" t="inlineStr">
        <is>
          <t>No individual professional decision recorded; Source assignment -- not individually reviewed</t>
        </is>
      </c>
      <c r="G115" s="23" t="inlineStr">
        <is>
          <t>Not individually decided</t>
        </is>
      </c>
      <c r="H115" s="23" t="inlineStr">
        <is>
          <t xml:space="preserve">RETAINED / ONE_TO_ONE; </t>
        </is>
      </c>
      <c r="I115" s="23" t="inlineStr">
        <is>
          <t>Carried forward</t>
        </is>
      </c>
      <c r="J115" s="14" t="inlineStr">
        <is>
          <t>08 CROSSWALK</t>
        </is>
      </c>
    </row>
    <row r="116" ht="49" customHeight="1">
      <c r="A116" s="23" t="inlineStr">
        <is>
          <t>R154-v2</t>
        </is>
      </c>
      <c r="B116" s="23" t="inlineStr">
        <is>
          <t>Contractor Programme / SCH-01-154</t>
        </is>
      </c>
      <c r="C116" s="23" t="inlineStr">
        <is>
          <t>WBS Code = 1.1.1</t>
        </is>
      </c>
      <c r="D116" s="23" t="inlineStr">
        <is>
          <t>Proposed by Source assignment; target 1.1.1 Guideway and Civil - Guideway Structures</t>
        </is>
      </c>
      <c r="E116" s="23" t="inlineStr">
        <is>
          <t>None recorded</t>
        </is>
      </c>
      <c r="F116" s="23" t="inlineStr">
        <is>
          <t>No individual professional decision recorded; Source assignment -- not individually reviewed</t>
        </is>
      </c>
      <c r="G116" s="23" t="inlineStr">
        <is>
          <t>Not individually decided</t>
        </is>
      </c>
      <c r="H116" s="23" t="inlineStr">
        <is>
          <t xml:space="preserve">RETAINED / ONE_TO_ONE; </t>
        </is>
      </c>
      <c r="I116" s="23" t="inlineStr">
        <is>
          <t>Carried forward</t>
        </is>
      </c>
      <c r="J116" s="14" t="inlineStr">
        <is>
          <t>08 CROSSWALK</t>
        </is>
      </c>
    </row>
    <row r="117" ht="49" customHeight="1">
      <c r="A117" s="23" t="inlineStr">
        <is>
          <t>R155-v2</t>
        </is>
      </c>
      <c r="B117" s="23" t="inlineStr">
        <is>
          <t>Contractor Programme / SCH-01-155</t>
        </is>
      </c>
      <c r="C117" s="23" t="inlineStr">
        <is>
          <t>WBS Code = 1.1.1</t>
        </is>
      </c>
      <c r="D117" s="23" t="inlineStr">
        <is>
          <t>Proposed by Source assignment; target 1.1.1 Guideway and Civil - Guideway Structures</t>
        </is>
      </c>
      <c r="E117" s="23" t="inlineStr">
        <is>
          <t>None recorded</t>
        </is>
      </c>
      <c r="F117" s="23" t="inlineStr">
        <is>
          <t>No individual professional decision recorded; Source assignment -- not individually reviewed</t>
        </is>
      </c>
      <c r="G117" s="23" t="inlineStr">
        <is>
          <t>Not individually decided</t>
        </is>
      </c>
      <c r="H117" s="23" t="inlineStr">
        <is>
          <t xml:space="preserve">RETAINED / ONE_TO_ONE; </t>
        </is>
      </c>
      <c r="I117" s="23" t="inlineStr">
        <is>
          <t>Carried forward</t>
        </is>
      </c>
      <c r="J117" s="14" t="inlineStr">
        <is>
          <t>08 CROSSWALK</t>
        </is>
      </c>
    </row>
    <row r="118" ht="49" customHeight="1">
      <c r="A118" s="23" t="inlineStr">
        <is>
          <t>R157-v2</t>
        </is>
      </c>
      <c r="B118" s="23" t="inlineStr">
        <is>
          <t>Contractor Programme / SCH-01-157</t>
        </is>
      </c>
      <c r="C118" s="23" t="inlineStr">
        <is>
          <t>WBS Code = 1.1.1</t>
        </is>
      </c>
      <c r="D118" s="23" t="inlineStr">
        <is>
          <t>Proposed by Source assignment; target 1.1.1 Guideway and Civil - Guideway Structures</t>
        </is>
      </c>
      <c r="E118" s="23" t="inlineStr">
        <is>
          <t>None recorded</t>
        </is>
      </c>
      <c r="F118" s="23" t="inlineStr">
        <is>
          <t>No individual professional decision recorded; Source assignment -- not individually reviewed</t>
        </is>
      </c>
      <c r="G118" s="23" t="inlineStr">
        <is>
          <t>Not individually decided</t>
        </is>
      </c>
      <c r="H118" s="23" t="inlineStr">
        <is>
          <t xml:space="preserve">RETAINED / ONE_TO_ONE; </t>
        </is>
      </c>
      <c r="I118" s="23" t="inlineStr">
        <is>
          <t>Carried forward</t>
        </is>
      </c>
      <c r="J118" s="14" t="inlineStr">
        <is>
          <t>08 CROSSWALK</t>
        </is>
      </c>
    </row>
    <row r="119" ht="49" customHeight="1">
      <c r="A119" s="23" t="inlineStr">
        <is>
          <t>R158-v2</t>
        </is>
      </c>
      <c r="B119" s="23" t="inlineStr">
        <is>
          <t>Contractor Programme / SCH-01-158</t>
        </is>
      </c>
      <c r="C119" s="23" t="inlineStr">
        <is>
          <t>WBS Code = 1.1.1</t>
        </is>
      </c>
      <c r="D119" s="23" t="inlineStr">
        <is>
          <t>Proposed by Source assignment; target 1.1.1 Guideway and Civil - Guideway Structures</t>
        </is>
      </c>
      <c r="E119" s="23" t="inlineStr">
        <is>
          <t>None recorded</t>
        </is>
      </c>
      <c r="F119" s="23" t="inlineStr">
        <is>
          <t>No individual professional decision recorded; Source assignment -- not individually reviewed</t>
        </is>
      </c>
      <c r="G119" s="23" t="inlineStr">
        <is>
          <t>Not individually decided</t>
        </is>
      </c>
      <c r="H119" s="23" t="inlineStr">
        <is>
          <t xml:space="preserve">RETAINED / ONE_TO_ONE; </t>
        </is>
      </c>
      <c r="I119" s="23" t="inlineStr">
        <is>
          <t>Carried forward</t>
        </is>
      </c>
      <c r="J119" s="14" t="inlineStr">
        <is>
          <t>08 CROSSWALK</t>
        </is>
      </c>
    </row>
    <row r="120" ht="49" customHeight="1">
      <c r="A120" s="23" t="inlineStr">
        <is>
          <t>R160-v2</t>
        </is>
      </c>
      <c r="B120" s="23" t="inlineStr">
        <is>
          <t>Contractor Programme / SCH-01-160</t>
        </is>
      </c>
      <c r="C120" s="23" t="inlineStr">
        <is>
          <t>WBS Code = 1.1.1</t>
        </is>
      </c>
      <c r="D120" s="23" t="inlineStr">
        <is>
          <t>Proposed by Source assignment; target 1.1.1 Guideway and Civil - Guideway Structures</t>
        </is>
      </c>
      <c r="E120" s="23" t="inlineStr">
        <is>
          <t>None recorded</t>
        </is>
      </c>
      <c r="F120" s="23" t="inlineStr">
        <is>
          <t>No individual professional decision recorded; Source assignment -- not individually reviewed</t>
        </is>
      </c>
      <c r="G120" s="23" t="inlineStr">
        <is>
          <t>Not individually decided</t>
        </is>
      </c>
      <c r="H120" s="23" t="inlineStr">
        <is>
          <t xml:space="preserve">RETAINED / ONE_TO_ONE; </t>
        </is>
      </c>
      <c r="I120" s="23" t="inlineStr">
        <is>
          <t>Carried forward</t>
        </is>
      </c>
      <c r="J120" s="14" t="inlineStr">
        <is>
          <t>08 CROSSWALK</t>
        </is>
      </c>
    </row>
    <row r="121" ht="49" customHeight="1">
      <c r="A121" s="23" t="inlineStr">
        <is>
          <t>R161-v2</t>
        </is>
      </c>
      <c r="B121" s="23" t="inlineStr">
        <is>
          <t>Contractor Programme / SCH-01-161</t>
        </is>
      </c>
      <c r="C121" s="23" t="inlineStr">
        <is>
          <t>WBS Code = 1.1.1</t>
        </is>
      </c>
      <c r="D121" s="23" t="inlineStr">
        <is>
          <t>Proposed by Source assignment; target 1.1.1 Guideway and Civil - Guideway Structures</t>
        </is>
      </c>
      <c r="E121" s="23" t="inlineStr">
        <is>
          <t>None recorded</t>
        </is>
      </c>
      <c r="F121" s="23" t="inlineStr">
        <is>
          <t>No individual professional decision recorded; Source assignment -- not individually reviewed</t>
        </is>
      </c>
      <c r="G121" s="23" t="inlineStr">
        <is>
          <t>Not individually decided</t>
        </is>
      </c>
      <c r="H121" s="23" t="inlineStr">
        <is>
          <t xml:space="preserve">RETAINED / ONE_TO_ONE; </t>
        </is>
      </c>
      <c r="I121" s="23" t="inlineStr">
        <is>
          <t>Carried forward</t>
        </is>
      </c>
      <c r="J121" s="14" t="inlineStr">
        <is>
          <t>08 CROSSWALK</t>
        </is>
      </c>
    </row>
    <row r="122" ht="49" customHeight="1">
      <c r="A122" s="23" t="inlineStr">
        <is>
          <t>R163-v2</t>
        </is>
      </c>
      <c r="B122" s="23" t="inlineStr">
        <is>
          <t>Contractor Programme / SCH-01-163</t>
        </is>
      </c>
      <c r="C122" s="23" t="inlineStr">
        <is>
          <t>WBS Code = 1.1.1</t>
        </is>
      </c>
      <c r="D122" s="23" t="inlineStr">
        <is>
          <t>Proposed by Source assignment; target 1.1.1 Guideway and Civil - Guideway Structures</t>
        </is>
      </c>
      <c r="E122" s="23" t="inlineStr">
        <is>
          <t>None recorded</t>
        </is>
      </c>
      <c r="F122" s="23" t="inlineStr">
        <is>
          <t>No individual professional decision recorded; Source assignment -- not individually reviewed</t>
        </is>
      </c>
      <c r="G122" s="23" t="inlineStr">
        <is>
          <t>Not individually decided</t>
        </is>
      </c>
      <c r="H122" s="23" t="inlineStr">
        <is>
          <t xml:space="preserve">RETAINED / ONE_TO_ONE; </t>
        </is>
      </c>
      <c r="I122" s="23" t="inlineStr">
        <is>
          <t>Carried forward</t>
        </is>
      </c>
      <c r="J122" s="14" t="inlineStr">
        <is>
          <t>08 CROSSWALK</t>
        </is>
      </c>
    </row>
    <row r="123" ht="49" customHeight="1">
      <c r="A123" s="23" t="inlineStr">
        <is>
          <t>R164-v2</t>
        </is>
      </c>
      <c r="B123" s="23" t="inlineStr">
        <is>
          <t>Contractor Programme / SCH-01-164</t>
        </is>
      </c>
      <c r="C123" s="23" t="inlineStr">
        <is>
          <t>WBS Code = 1.1.1</t>
        </is>
      </c>
      <c r="D123" s="23" t="inlineStr">
        <is>
          <t>Proposed by Source assignment; target 1.1.1 Guideway and Civil - Guideway Structures</t>
        </is>
      </c>
      <c r="E123" s="23" t="inlineStr">
        <is>
          <t>None recorded</t>
        </is>
      </c>
      <c r="F123" s="23" t="inlineStr">
        <is>
          <t>No individual professional decision recorded; Source assignment -- not individually reviewed</t>
        </is>
      </c>
      <c r="G123" s="23" t="inlineStr">
        <is>
          <t>Not individually decided</t>
        </is>
      </c>
      <c r="H123" s="23" t="inlineStr">
        <is>
          <t xml:space="preserve">RETAINED / ONE_TO_ONE; </t>
        </is>
      </c>
      <c r="I123" s="23" t="inlineStr">
        <is>
          <t>Carried forward</t>
        </is>
      </c>
      <c r="J123" s="14" t="inlineStr">
        <is>
          <t>08 CROSSWALK</t>
        </is>
      </c>
    </row>
    <row r="124" ht="49" customHeight="1">
      <c r="A124" s="23" t="inlineStr">
        <is>
          <t>R166-v2</t>
        </is>
      </c>
      <c r="B124" s="23" t="inlineStr">
        <is>
          <t>Contractor Programme / SCH-01-166</t>
        </is>
      </c>
      <c r="C124" s="23" t="inlineStr">
        <is>
          <t>WBS Code = 1.1.1</t>
        </is>
      </c>
      <c r="D124" s="23" t="inlineStr">
        <is>
          <t>Proposed by Source assignment; target 1.1.1 Guideway and Civil - Guideway Structures</t>
        </is>
      </c>
      <c r="E124" s="23" t="inlineStr">
        <is>
          <t>None recorded</t>
        </is>
      </c>
      <c r="F124" s="23" t="inlineStr">
        <is>
          <t>No individual professional decision recorded; Source assignment -- not individually reviewed</t>
        </is>
      </c>
      <c r="G124" s="23" t="inlineStr">
        <is>
          <t>Not individually decided</t>
        </is>
      </c>
      <c r="H124" s="23" t="inlineStr">
        <is>
          <t xml:space="preserve">RETAINED / ONE_TO_ONE; </t>
        </is>
      </c>
      <c r="I124" s="23" t="inlineStr">
        <is>
          <t>Carried forward</t>
        </is>
      </c>
      <c r="J124" s="14" t="inlineStr">
        <is>
          <t>08 CROSSWALK</t>
        </is>
      </c>
    </row>
    <row r="125" ht="49" customHeight="1">
      <c r="A125" s="23" t="inlineStr">
        <is>
          <t>R167-v2</t>
        </is>
      </c>
      <c r="B125" s="23" t="inlineStr">
        <is>
          <t>Contractor Programme / SCH-01-167</t>
        </is>
      </c>
      <c r="C125" s="23" t="inlineStr">
        <is>
          <t>WBS Code = 1.1.1</t>
        </is>
      </c>
      <c r="D125" s="23" t="inlineStr">
        <is>
          <t>Proposed by Source assignment; target 1.1.1 Guideway and Civil - Guideway Structures</t>
        </is>
      </c>
      <c r="E125" s="23" t="inlineStr">
        <is>
          <t>None recorded</t>
        </is>
      </c>
      <c r="F125" s="23" t="inlineStr">
        <is>
          <t>No individual professional decision recorded; Source assignment -- not individually reviewed</t>
        </is>
      </c>
      <c r="G125" s="23" t="inlineStr">
        <is>
          <t>Not individually decided</t>
        </is>
      </c>
      <c r="H125" s="23" t="inlineStr">
        <is>
          <t xml:space="preserve">RETAINED / ONE_TO_ONE; </t>
        </is>
      </c>
      <c r="I125" s="23" t="inlineStr">
        <is>
          <t>Carried forward</t>
        </is>
      </c>
      <c r="J125" s="14" t="inlineStr">
        <is>
          <t>08 CROSSWALK</t>
        </is>
      </c>
    </row>
    <row r="126" ht="49" customHeight="1">
      <c r="A126" s="23" t="inlineStr">
        <is>
          <t>R169-v2</t>
        </is>
      </c>
      <c r="B126" s="23" t="inlineStr">
        <is>
          <t>Contractor Programme / SCH-01-169</t>
        </is>
      </c>
      <c r="C126" s="23" t="inlineStr">
        <is>
          <t>WBS Code = 1.1.1</t>
        </is>
      </c>
      <c r="D126" s="23" t="inlineStr">
        <is>
          <t>Proposed by Source assignment; target 1.1.1 Guideway and Civil - Guideway Structures</t>
        </is>
      </c>
      <c r="E126" s="23" t="inlineStr">
        <is>
          <t>None recorded</t>
        </is>
      </c>
      <c r="F126" s="23" t="inlineStr">
        <is>
          <t>No individual professional decision recorded; Source assignment -- not individually reviewed</t>
        </is>
      </c>
      <c r="G126" s="23" t="inlineStr">
        <is>
          <t>Not individually decided</t>
        </is>
      </c>
      <c r="H126" s="23" t="inlineStr">
        <is>
          <t xml:space="preserve">RETAINED / ONE_TO_ONE; </t>
        </is>
      </c>
      <c r="I126" s="23" t="inlineStr">
        <is>
          <t>Carried forward</t>
        </is>
      </c>
      <c r="J126" s="14" t="inlineStr">
        <is>
          <t>08 CROSSWALK</t>
        </is>
      </c>
    </row>
    <row r="127" ht="49" customHeight="1">
      <c r="A127" s="23" t="inlineStr">
        <is>
          <t>R170-v2</t>
        </is>
      </c>
      <c r="B127" s="23" t="inlineStr">
        <is>
          <t>Contractor Programme / SCH-01-170</t>
        </is>
      </c>
      <c r="C127" s="23" t="inlineStr">
        <is>
          <t>WBS Code = 1.1.1</t>
        </is>
      </c>
      <c r="D127" s="23" t="inlineStr">
        <is>
          <t>Proposed by Source assignment; target 1.1.1 Guideway and Civil - Guideway Structures</t>
        </is>
      </c>
      <c r="E127" s="23" t="inlineStr">
        <is>
          <t>None recorded</t>
        </is>
      </c>
      <c r="F127" s="23" t="inlineStr">
        <is>
          <t>No individual professional decision recorded; Source assignment -- not individually reviewed</t>
        </is>
      </c>
      <c r="G127" s="23" t="inlineStr">
        <is>
          <t>Not individually decided</t>
        </is>
      </c>
      <c r="H127" s="23" t="inlineStr">
        <is>
          <t xml:space="preserve">RETAINED / ONE_TO_ONE; </t>
        </is>
      </c>
      <c r="I127" s="23" t="inlineStr">
        <is>
          <t>Carried forward</t>
        </is>
      </c>
      <c r="J127" s="14" t="inlineStr">
        <is>
          <t>08 CROSSWALK</t>
        </is>
      </c>
    </row>
    <row r="128" ht="49" customHeight="1">
      <c r="A128" s="23" t="inlineStr">
        <is>
          <t>R172-v2</t>
        </is>
      </c>
      <c r="B128" s="23" t="inlineStr">
        <is>
          <t>Contractor Programme / SCH-01-172</t>
        </is>
      </c>
      <c r="C128" s="23" t="inlineStr">
        <is>
          <t>WBS Code = 1.1.1</t>
        </is>
      </c>
      <c r="D128" s="23" t="inlineStr">
        <is>
          <t>Proposed by Source assignment; target 1.1.1 Guideway and Civil - Guideway Structures</t>
        </is>
      </c>
      <c r="E128" s="23" t="inlineStr">
        <is>
          <t>None recorded</t>
        </is>
      </c>
      <c r="F128" s="23" t="inlineStr">
        <is>
          <t>No individual professional decision recorded; Source assignment -- not individually reviewed</t>
        </is>
      </c>
      <c r="G128" s="23" t="inlineStr">
        <is>
          <t>Not individually decided</t>
        </is>
      </c>
      <c r="H128" s="23" t="inlineStr">
        <is>
          <t xml:space="preserve">RETAINED / ONE_TO_ONE; </t>
        </is>
      </c>
      <c r="I128" s="23" t="inlineStr">
        <is>
          <t>Carried forward</t>
        </is>
      </c>
      <c r="J128" s="14" t="inlineStr">
        <is>
          <t>08 CROSSWALK</t>
        </is>
      </c>
    </row>
    <row r="129" ht="49" customHeight="1">
      <c r="A129" s="23" t="inlineStr">
        <is>
          <t>R173-v2</t>
        </is>
      </c>
      <c r="B129" s="23" t="inlineStr">
        <is>
          <t>Contractor Programme / SCH-01-173</t>
        </is>
      </c>
      <c r="C129" s="23" t="inlineStr">
        <is>
          <t>WBS Code = 1.1.1</t>
        </is>
      </c>
      <c r="D129" s="23" t="inlineStr">
        <is>
          <t>Proposed by Source assignment; target 1.1.1 Guideway and Civil - Guideway Structures</t>
        </is>
      </c>
      <c r="E129" s="23" t="inlineStr">
        <is>
          <t>None recorded</t>
        </is>
      </c>
      <c r="F129" s="23" t="inlineStr">
        <is>
          <t>No individual professional decision recorded; Source assignment -- not individually reviewed</t>
        </is>
      </c>
      <c r="G129" s="23" t="inlineStr">
        <is>
          <t>Not individually decided</t>
        </is>
      </c>
      <c r="H129" s="23" t="inlineStr">
        <is>
          <t xml:space="preserve">RETAINED / ONE_TO_ONE; </t>
        </is>
      </c>
      <c r="I129" s="23" t="inlineStr">
        <is>
          <t>Carried forward</t>
        </is>
      </c>
      <c r="J129" s="14" t="inlineStr">
        <is>
          <t>08 CROSSWALK</t>
        </is>
      </c>
    </row>
    <row r="130" ht="49" customHeight="1">
      <c r="A130" s="23" t="inlineStr">
        <is>
          <t>R175-v2</t>
        </is>
      </c>
      <c r="B130" s="23" t="inlineStr">
        <is>
          <t>Contractor Programme / SCH-01-175</t>
        </is>
      </c>
      <c r="C130" s="23" t="inlineStr">
        <is>
          <t>WBS Code = 1.1.1</t>
        </is>
      </c>
      <c r="D130" s="23" t="inlineStr">
        <is>
          <t>Proposed by Source assignment; target 1.1.1 Guideway and Civil - Guideway Structures</t>
        </is>
      </c>
      <c r="E130" s="23" t="inlineStr">
        <is>
          <t>None recorded</t>
        </is>
      </c>
      <c r="F130" s="23" t="inlineStr">
        <is>
          <t>No individual professional decision recorded; Source assignment -- not individually reviewed</t>
        </is>
      </c>
      <c r="G130" s="23" t="inlineStr">
        <is>
          <t>Not individually decided</t>
        </is>
      </c>
      <c r="H130" s="23" t="inlineStr">
        <is>
          <t xml:space="preserve">RETAINED / ONE_TO_ONE; </t>
        </is>
      </c>
      <c r="I130" s="23" t="inlineStr">
        <is>
          <t>Carried forward</t>
        </is>
      </c>
      <c r="J130" s="14" t="inlineStr">
        <is>
          <t>08 CROSSWALK</t>
        </is>
      </c>
    </row>
    <row r="131" ht="49" customHeight="1">
      <c r="A131" s="23" t="inlineStr">
        <is>
          <t>R176-v2</t>
        </is>
      </c>
      <c r="B131" s="23" t="inlineStr">
        <is>
          <t>Contractor Programme / SCH-01-176</t>
        </is>
      </c>
      <c r="C131" s="23" t="inlineStr">
        <is>
          <t>WBS Code = 1.1.1</t>
        </is>
      </c>
      <c r="D131" s="23" t="inlineStr">
        <is>
          <t>Proposed by Source assignment; target 1.1.1 Guideway and Civil - Guideway Structures</t>
        </is>
      </c>
      <c r="E131" s="23" t="inlineStr">
        <is>
          <t>None recorded</t>
        </is>
      </c>
      <c r="F131" s="23" t="inlineStr">
        <is>
          <t>No individual professional decision recorded; Source assignment -- not individually reviewed</t>
        </is>
      </c>
      <c r="G131" s="23" t="inlineStr">
        <is>
          <t>Not individually decided</t>
        </is>
      </c>
      <c r="H131" s="23" t="inlineStr">
        <is>
          <t xml:space="preserve">RETAINED / ONE_TO_ONE; </t>
        </is>
      </c>
      <c r="I131" s="23" t="inlineStr">
        <is>
          <t>Carried forward</t>
        </is>
      </c>
      <c r="J131" s="14" t="inlineStr">
        <is>
          <t>08 CROSSWALK</t>
        </is>
      </c>
    </row>
    <row r="132" ht="49" customHeight="1">
      <c r="A132" s="23" t="inlineStr">
        <is>
          <t>R178-v2</t>
        </is>
      </c>
      <c r="B132" s="23" t="inlineStr">
        <is>
          <t>Contractor Programme / SCH-01-178</t>
        </is>
      </c>
      <c r="C132" s="23" t="inlineStr">
        <is>
          <t>WBS Code = 1.1.1</t>
        </is>
      </c>
      <c r="D132" s="23" t="inlineStr">
        <is>
          <t>Proposed by Source assignment; target 1.1.1 Guideway and Civil - Guideway Structures</t>
        </is>
      </c>
      <c r="E132" s="23" t="inlineStr">
        <is>
          <t>None recorded</t>
        </is>
      </c>
      <c r="F132" s="23" t="inlineStr">
        <is>
          <t>No individual professional decision recorded; Source assignment -- not individually reviewed</t>
        </is>
      </c>
      <c r="G132" s="23" t="inlineStr">
        <is>
          <t>Not individually decided</t>
        </is>
      </c>
      <c r="H132" s="23" t="inlineStr">
        <is>
          <t xml:space="preserve">RETAINED / ONE_TO_ONE; </t>
        </is>
      </c>
      <c r="I132" s="23" t="inlineStr">
        <is>
          <t>Carried forward</t>
        </is>
      </c>
      <c r="J132" s="14" t="inlineStr">
        <is>
          <t>08 CROSSWALK</t>
        </is>
      </c>
    </row>
    <row r="133" ht="49" customHeight="1">
      <c r="A133" s="23" t="inlineStr">
        <is>
          <t>R179-v2</t>
        </is>
      </c>
      <c r="B133" s="23" t="inlineStr">
        <is>
          <t>Contractor Programme / SCH-01-179</t>
        </is>
      </c>
      <c r="C133" s="23" t="inlineStr">
        <is>
          <t>WBS Code = 1.1.1</t>
        </is>
      </c>
      <c r="D133" s="23" t="inlineStr">
        <is>
          <t>Proposed by Source assignment; target 1.1.1 Guideway and Civil - Guideway Structures</t>
        </is>
      </c>
      <c r="E133" s="23" t="inlineStr">
        <is>
          <t>None recorded</t>
        </is>
      </c>
      <c r="F133" s="23" t="inlineStr">
        <is>
          <t>No individual professional decision recorded; Source assignment -- not individually reviewed</t>
        </is>
      </c>
      <c r="G133" s="23" t="inlineStr">
        <is>
          <t>Not individually decided</t>
        </is>
      </c>
      <c r="H133" s="23" t="inlineStr">
        <is>
          <t xml:space="preserve">RETAINED / ONE_TO_ONE; </t>
        </is>
      </c>
      <c r="I133" s="23" t="inlineStr">
        <is>
          <t>Carried forward</t>
        </is>
      </c>
      <c r="J133" s="14" t="inlineStr">
        <is>
          <t>08 CROSSWALK</t>
        </is>
      </c>
    </row>
    <row r="134" ht="49" customHeight="1">
      <c r="A134" s="23" t="inlineStr">
        <is>
          <t>R1623-v1</t>
        </is>
      </c>
      <c r="B134" s="23" t="inlineStr">
        <is>
          <t>Contractor Programme / SCH-90-903</t>
        </is>
      </c>
      <c r="C134" s="23" t="inlineStr">
        <is>
          <t>WBS Code = 1.1.1</t>
        </is>
      </c>
      <c r="D134" s="23" t="inlineStr">
        <is>
          <t>Proposed by Source assignment; target 1.1.1 Guideway and Civil - Guideway Structures</t>
        </is>
      </c>
      <c r="E134" s="23" t="inlineStr">
        <is>
          <t>None recorded</t>
        </is>
      </c>
      <c r="F134" s="23" t="inlineStr">
        <is>
          <t>No individual professional decision recorded; Source assignment -- not individually reviewed</t>
        </is>
      </c>
      <c r="G134" s="23" t="inlineStr">
        <is>
          <t>Not individually decided</t>
        </is>
      </c>
      <c r="H134" s="23" t="inlineStr">
        <is>
          <t xml:space="preserve">APPROVED / ONE_TO_ONE; </t>
        </is>
      </c>
      <c r="I134" s="23" t="inlineStr">
        <is>
          <t>New</t>
        </is>
      </c>
      <c r="J134" s="14" t="inlineStr">
        <is>
          <t>08 CROSSWALK</t>
        </is>
      </c>
    </row>
    <row r="135" ht="49" customHeight="1">
      <c r="A135" s="23" t="inlineStr">
        <is>
          <t>R1083-v2</t>
        </is>
      </c>
      <c r="B135" s="23" t="inlineStr">
        <is>
          <t>Cost &amp; Forecast Control Accounts / CST-01-001</t>
        </is>
      </c>
      <c r="C135" s="23" t="inlineStr">
        <is>
          <t>Cost Account = CA-1001; WBS Code = 1.1.1</t>
        </is>
      </c>
      <c r="D135" s="23" t="inlineStr">
        <is>
          <t>Proposed by Source assignment; target 1.1.1 Guideway and Civil - Guideway Structures</t>
        </is>
      </c>
      <c r="E135" s="23" t="inlineStr">
        <is>
          <t>None recorded</t>
        </is>
      </c>
      <c r="F135" s="23" t="inlineStr">
        <is>
          <t>No individual professional decision recorded; Source assignment -- not individually reviewed</t>
        </is>
      </c>
      <c r="G135" s="23" t="inlineStr">
        <is>
          <t>Not individually decided</t>
        </is>
      </c>
      <c r="H135" s="23" t="inlineStr">
        <is>
          <t xml:space="preserve">RETAINED / ONE_TO_ONE; </t>
        </is>
      </c>
      <c r="I135" s="23" t="inlineStr">
        <is>
          <t>Carried forward</t>
        </is>
      </c>
      <c r="J135" s="14" t="inlineStr">
        <is>
          <t>08 CROSSWALK</t>
        </is>
      </c>
    </row>
    <row r="136" ht="49" customHeight="1">
      <c r="A136" s="23" t="inlineStr">
        <is>
          <t>R1085-v2</t>
        </is>
      </c>
      <c r="B136" s="23" t="inlineStr">
        <is>
          <t>Cost &amp; Forecast Control Accounts / CST-01-003R</t>
        </is>
      </c>
      <c r="C136" s="23" t="inlineStr">
        <is>
          <t>Cost Account = CA-1003; WBS Code = 1.1.1</t>
        </is>
      </c>
      <c r="D136" s="23" t="inlineStr">
        <is>
          <t>Proposed by Source assignment; target 1.1.1 Guideway and Civil - Guideway Structures</t>
        </is>
      </c>
      <c r="E136" s="23" t="inlineStr">
        <is>
          <t>None recorded</t>
        </is>
      </c>
      <c r="F136" s="23" t="inlineStr">
        <is>
          <t>No individual professional decision recorded; Source assignment -- not individually reviewed</t>
        </is>
      </c>
      <c r="G136" s="23" t="inlineStr">
        <is>
          <t>Not individually decided</t>
        </is>
      </c>
      <c r="H136" s="23" t="inlineStr">
        <is>
          <t xml:space="preserve">REVALIDATED / ONE_TO_ONE; </t>
        </is>
      </c>
      <c r="I136" s="23" t="inlineStr">
        <is>
          <t>Re-keyed, revalidated</t>
        </is>
      </c>
      <c r="J136" s="14" t="inlineStr">
        <is>
          <t>08 CROSSWALK</t>
        </is>
      </c>
    </row>
    <row r="137" ht="49" customHeight="1">
      <c r="A137" s="23" t="inlineStr">
        <is>
          <t>R1089-v2</t>
        </is>
      </c>
      <c r="B137" s="23" t="inlineStr">
        <is>
          <t>Cost &amp; Forecast Control Accounts / CST-01-007</t>
        </is>
      </c>
      <c r="C137" s="23" t="inlineStr">
        <is>
          <t>Cost Account = CA-1007; WBS Code = 1.1.1</t>
        </is>
      </c>
      <c r="D137" s="23" t="inlineStr">
        <is>
          <t>Proposed by Source assignment; target 1.1.1 Guideway and Civil - Guideway Structures</t>
        </is>
      </c>
      <c r="E137" s="23" t="inlineStr">
        <is>
          <t>None recorded</t>
        </is>
      </c>
      <c r="F137" s="23" t="inlineStr">
        <is>
          <t>No individual professional decision recorded; Source assignment -- not individually reviewed</t>
        </is>
      </c>
      <c r="G137" s="23" t="inlineStr">
        <is>
          <t>Not individually decided</t>
        </is>
      </c>
      <c r="H137" s="23" t="inlineStr">
        <is>
          <t xml:space="preserve">RETAINED / ONE_TO_ONE; </t>
        </is>
      </c>
      <c r="I137" s="23" t="inlineStr">
        <is>
          <t>Carried forward</t>
        </is>
      </c>
      <c r="J137" s="14" t="inlineStr">
        <is>
          <t>08 CROSSWALK</t>
        </is>
      </c>
    </row>
    <row r="138" ht="49" customHeight="1">
      <c r="A138" s="23" t="inlineStr">
        <is>
          <t>R1091-v2</t>
        </is>
      </c>
      <c r="B138" s="23" t="inlineStr">
        <is>
          <t>Cost &amp; Forecast Control Accounts / CST-01-009</t>
        </is>
      </c>
      <c r="C138" s="23" t="inlineStr">
        <is>
          <t>Cost Account = CA-1009; WBS Code = 1.1.1</t>
        </is>
      </c>
      <c r="D138" s="23" t="inlineStr">
        <is>
          <t>Proposed by Source assignment; target 1.1.1 Guideway and Civil - Guideway Structures</t>
        </is>
      </c>
      <c r="E138" s="23" t="inlineStr">
        <is>
          <t>None recorded</t>
        </is>
      </c>
      <c r="F138" s="23" t="inlineStr">
        <is>
          <t>No individual professional decision recorded; Source assignment -- not individually reviewed</t>
        </is>
      </c>
      <c r="G138" s="23" t="inlineStr">
        <is>
          <t>Not individually decided</t>
        </is>
      </c>
      <c r="H138" s="23" t="inlineStr">
        <is>
          <t xml:space="preserve">RETAINED / ONE_TO_ONE; </t>
        </is>
      </c>
      <c r="I138" s="23" t="inlineStr">
        <is>
          <t>Carried forward</t>
        </is>
      </c>
      <c r="J138" s="14" t="inlineStr">
        <is>
          <t>08 CROSSWALK</t>
        </is>
      </c>
    </row>
    <row r="139" ht="49" customHeight="1">
      <c r="A139" s="23" t="inlineStr">
        <is>
          <t>R1093-v2</t>
        </is>
      </c>
      <c r="B139" s="23" t="inlineStr">
        <is>
          <t>Cost &amp; Forecast Control Accounts / CST-01-011</t>
        </is>
      </c>
      <c r="C139" s="23" t="inlineStr">
        <is>
          <t>Cost Account = CA-1011; WBS Code = 1.1.1</t>
        </is>
      </c>
      <c r="D139" s="23" t="inlineStr">
        <is>
          <t>Proposed by Source assignment; target 1.1.1 Guideway and Civil - Guideway Structures</t>
        </is>
      </c>
      <c r="E139" s="23" t="inlineStr">
        <is>
          <t>None recorded</t>
        </is>
      </c>
      <c r="F139" s="23" t="inlineStr">
        <is>
          <t>No individual professional decision recorded; Source assignment -- not individually reviewed</t>
        </is>
      </c>
      <c r="G139" s="23" t="inlineStr">
        <is>
          <t>Not individually decided</t>
        </is>
      </c>
      <c r="H139" s="23" t="inlineStr">
        <is>
          <t xml:space="preserve">RETAINED / ONE_TO_ONE; </t>
        </is>
      </c>
      <c r="I139" s="23" t="inlineStr">
        <is>
          <t>Carried forward</t>
        </is>
      </c>
      <c r="J139" s="14" t="inlineStr">
        <is>
          <t>08 CROSSWALK</t>
        </is>
      </c>
    </row>
    <row r="140" ht="49" customHeight="1">
      <c r="A140" s="23" t="inlineStr">
        <is>
          <t>R1095-v2</t>
        </is>
      </c>
      <c r="B140" s="23" t="inlineStr">
        <is>
          <t>Cost &amp; Forecast Control Accounts / CST-01-013</t>
        </is>
      </c>
      <c r="C140" s="23" t="inlineStr">
        <is>
          <t>Cost Account = CA-1013; WBS Code = 1.1.1</t>
        </is>
      </c>
      <c r="D140" s="23" t="inlineStr">
        <is>
          <t>Proposed by Source assignment; target 1.1.1 Guideway and Civil - Guideway Structures</t>
        </is>
      </c>
      <c r="E140" s="23" t="inlineStr">
        <is>
          <t>None recorded</t>
        </is>
      </c>
      <c r="F140" s="23" t="inlineStr">
        <is>
          <t>No individual professional decision recorded; Source assignment -- not individually reviewed</t>
        </is>
      </c>
      <c r="G140" s="23" t="inlineStr">
        <is>
          <t>Not individually decided</t>
        </is>
      </c>
      <c r="H140" s="23" t="inlineStr">
        <is>
          <t xml:space="preserve">RETAINED / ONE_TO_ONE; </t>
        </is>
      </c>
      <c r="I140" s="23" t="inlineStr">
        <is>
          <t>Carried forward</t>
        </is>
      </c>
      <c r="J140" s="14" t="inlineStr">
        <is>
          <t>08 CROSSWALK</t>
        </is>
      </c>
    </row>
    <row r="141" ht="49" customHeight="1">
      <c r="A141" s="23" t="inlineStr">
        <is>
          <t>R1097-v2</t>
        </is>
      </c>
      <c r="B141" s="23" t="inlineStr">
        <is>
          <t>Cost &amp; Forecast Control Accounts / CST-01-015</t>
        </is>
      </c>
      <c r="C141" s="23" t="inlineStr">
        <is>
          <t>Cost Account = CA-1015; WBS Code = 1.1.1</t>
        </is>
      </c>
      <c r="D141" s="23" t="inlineStr">
        <is>
          <t>Proposed by Source assignment; target 1.1.1 Guideway and Civil - Guideway Structures</t>
        </is>
      </c>
      <c r="E141" s="23" t="inlineStr">
        <is>
          <t>None recorded</t>
        </is>
      </c>
      <c r="F141" s="23" t="inlineStr">
        <is>
          <t>No individual professional decision recorded; Source assignment -- not individually reviewed</t>
        </is>
      </c>
      <c r="G141" s="23" t="inlineStr">
        <is>
          <t>Not individually decided</t>
        </is>
      </c>
      <c r="H141" s="23" t="inlineStr">
        <is>
          <t xml:space="preserve">RETAINED / ONE_TO_ONE; </t>
        </is>
      </c>
      <c r="I141" s="23" t="inlineStr">
        <is>
          <t>Carried forward</t>
        </is>
      </c>
      <c r="J141" s="14" t="inlineStr">
        <is>
          <t>08 CROSSWALK</t>
        </is>
      </c>
    </row>
    <row r="142" ht="49" customHeight="1">
      <c r="A142" s="23" t="inlineStr">
        <is>
          <t>R1099-v2</t>
        </is>
      </c>
      <c r="B142" s="23" t="inlineStr">
        <is>
          <t>Cost &amp; Forecast Control Accounts / CST-01-017</t>
        </is>
      </c>
      <c r="C142" s="23" t="inlineStr">
        <is>
          <t>Cost Account = CA-1017; WBS Code = 1.1.1</t>
        </is>
      </c>
      <c r="D142" s="23" t="inlineStr">
        <is>
          <t>Proposed by Source assignment; target 1.1.1 Guideway and Civil - Guideway Structures</t>
        </is>
      </c>
      <c r="E142" s="23" t="inlineStr">
        <is>
          <t>None recorded</t>
        </is>
      </c>
      <c r="F142" s="23" t="inlineStr">
        <is>
          <t>No individual professional decision recorded; Source assignment -- not individually reviewed</t>
        </is>
      </c>
      <c r="G142" s="23" t="inlineStr">
        <is>
          <t>Not individually decided</t>
        </is>
      </c>
      <c r="H142" s="23" t="inlineStr">
        <is>
          <t xml:space="preserve">RETAINED / ONE_TO_ONE; </t>
        </is>
      </c>
      <c r="I142" s="23" t="inlineStr">
        <is>
          <t>Carried forward</t>
        </is>
      </c>
      <c r="J142" s="14" t="inlineStr">
        <is>
          <t>08 CROSSWALK</t>
        </is>
      </c>
    </row>
    <row r="143" ht="49" customHeight="1">
      <c r="A143" s="23" t="inlineStr">
        <is>
          <t>R1101-v2</t>
        </is>
      </c>
      <c r="B143" s="23" t="inlineStr">
        <is>
          <t>Cost &amp; Forecast Control Accounts / CST-01-019</t>
        </is>
      </c>
      <c r="C143" s="23" t="inlineStr">
        <is>
          <t>Cost Account = CA-1019; WBS Code = 1.1.1</t>
        </is>
      </c>
      <c r="D143" s="23" t="inlineStr">
        <is>
          <t>Proposed by Source assignment; target 1.1.1 Guideway and Civil - Guideway Structures</t>
        </is>
      </c>
      <c r="E143" s="23" t="inlineStr">
        <is>
          <t>None recorded</t>
        </is>
      </c>
      <c r="F143" s="23" t="inlineStr">
        <is>
          <t>No individual professional decision recorded; Source assignment -- not individually reviewed</t>
        </is>
      </c>
      <c r="G143" s="23" t="inlineStr">
        <is>
          <t>Not individually decided</t>
        </is>
      </c>
      <c r="H143" s="23" t="inlineStr">
        <is>
          <t xml:space="preserve">RETAINED / ONE_TO_ONE; </t>
        </is>
      </c>
      <c r="I143" s="23" t="inlineStr">
        <is>
          <t>Carried forward</t>
        </is>
      </c>
      <c r="J143" s="14" t="inlineStr">
        <is>
          <t>08 CROSSWALK</t>
        </is>
      </c>
    </row>
    <row r="144" ht="49" customHeight="1">
      <c r="A144" s="23" t="inlineStr">
        <is>
          <t>R1103-v2</t>
        </is>
      </c>
      <c r="B144" s="23" t="inlineStr">
        <is>
          <t>Cost &amp; Forecast Control Accounts / CST-01-021</t>
        </is>
      </c>
      <c r="C144" s="23" t="inlineStr">
        <is>
          <t>Cost Account = CA-1021; WBS Code = 1.1.1</t>
        </is>
      </c>
      <c r="D144" s="23" t="inlineStr">
        <is>
          <t>Proposed by Source assignment; target 1.1.1 Guideway and Civil - Guideway Structures</t>
        </is>
      </c>
      <c r="E144" s="23" t="inlineStr">
        <is>
          <t>None recorded</t>
        </is>
      </c>
      <c r="F144" s="23" t="inlineStr">
        <is>
          <t>No individual professional decision recorded; Source assignment -- not individually reviewed</t>
        </is>
      </c>
      <c r="G144" s="23" t="inlineStr">
        <is>
          <t>Not individually decided</t>
        </is>
      </c>
      <c r="H144" s="23" t="inlineStr">
        <is>
          <t xml:space="preserve">RETAINED / ONE_TO_ONE; </t>
        </is>
      </c>
      <c r="I144" s="23" t="inlineStr">
        <is>
          <t>Carried forward</t>
        </is>
      </c>
      <c r="J144" s="14" t="inlineStr">
        <is>
          <t>08 CROSSWALK</t>
        </is>
      </c>
    </row>
    <row r="145" ht="49" customHeight="1">
      <c r="A145" s="23" t="inlineStr">
        <is>
          <t>R1105-v2</t>
        </is>
      </c>
      <c r="B145" s="23" t="inlineStr">
        <is>
          <t>Cost &amp; Forecast Control Accounts / CST-01-023</t>
        </is>
      </c>
      <c r="C145" s="23" t="inlineStr">
        <is>
          <t>Cost Account = CA-1023; WBS Code = 1.1.1</t>
        </is>
      </c>
      <c r="D145" s="23" t="inlineStr">
        <is>
          <t>Proposed by Source assignment; target 1.1.1 Guideway and Civil - Guideway Structures</t>
        </is>
      </c>
      <c r="E145" s="23" t="inlineStr">
        <is>
          <t>None recorded</t>
        </is>
      </c>
      <c r="F145" s="23" t="inlineStr">
        <is>
          <t>No individual professional decision recorded; Source assignment -- not individually reviewed</t>
        </is>
      </c>
      <c r="G145" s="23" t="inlineStr">
        <is>
          <t>Not individually decided</t>
        </is>
      </c>
      <c r="H145" s="23" t="inlineStr">
        <is>
          <t xml:space="preserve">RETAINED / ONE_TO_ONE; </t>
        </is>
      </c>
      <c r="I145" s="23" t="inlineStr">
        <is>
          <t>Carried forward</t>
        </is>
      </c>
      <c r="J145" s="14" t="inlineStr">
        <is>
          <t>08 CROSSWALK</t>
        </is>
      </c>
    </row>
    <row r="146" ht="49" customHeight="1">
      <c r="A146" s="23" t="inlineStr">
        <is>
          <t>R1107-v2</t>
        </is>
      </c>
      <c r="B146" s="23" t="inlineStr">
        <is>
          <t>Cost &amp; Forecast Control Accounts / CST-01-025</t>
        </is>
      </c>
      <c r="C146" s="23" t="inlineStr">
        <is>
          <t>Cost Account = CA-1025; WBS Code = 1.1.1</t>
        </is>
      </c>
      <c r="D146" s="23" t="inlineStr">
        <is>
          <t>Proposed by Source assignment; target 1.1.1 Guideway and Civil - Guideway Structures</t>
        </is>
      </c>
      <c r="E146" s="23" t="inlineStr">
        <is>
          <t>None recorded</t>
        </is>
      </c>
      <c r="F146" s="23" t="inlineStr">
        <is>
          <t>No individual professional decision recorded; Source assignment -- not individually reviewed</t>
        </is>
      </c>
      <c r="G146" s="23" t="inlineStr">
        <is>
          <t>Not individually decided</t>
        </is>
      </c>
      <c r="H146" s="23" t="inlineStr">
        <is>
          <t xml:space="preserve">RETAINED / ONE_TO_ONE; </t>
        </is>
      </c>
      <c r="I146" s="23" t="inlineStr">
        <is>
          <t>Carried forward</t>
        </is>
      </c>
      <c r="J146" s="14" t="inlineStr">
        <is>
          <t>08 CROSSWALK</t>
        </is>
      </c>
    </row>
    <row r="147" ht="49" customHeight="1">
      <c r="A147" s="23" t="inlineStr">
        <is>
          <t>R1109-v2</t>
        </is>
      </c>
      <c r="B147" s="23" t="inlineStr">
        <is>
          <t>Cost &amp; Forecast Control Accounts / CST-01-027</t>
        </is>
      </c>
      <c r="C147" s="23" t="inlineStr">
        <is>
          <t>Cost Account = CA-1027; WBS Code = 1.1.1</t>
        </is>
      </c>
      <c r="D147" s="23" t="inlineStr">
        <is>
          <t>Proposed by Source assignment; target 1.1.1 Guideway and Civil - Guideway Structures</t>
        </is>
      </c>
      <c r="E147" s="23" t="inlineStr">
        <is>
          <t>None recorded</t>
        </is>
      </c>
      <c r="F147" s="23" t="inlineStr">
        <is>
          <t>No individual professional decision recorded; Source assignment -- not individually reviewed</t>
        </is>
      </c>
      <c r="G147" s="23" t="inlineStr">
        <is>
          <t>Not individually decided</t>
        </is>
      </c>
      <c r="H147" s="23" t="inlineStr">
        <is>
          <t xml:space="preserve">RETAINED / ONE_TO_ONE; </t>
        </is>
      </c>
      <c r="I147" s="23" t="inlineStr">
        <is>
          <t>Carried forward</t>
        </is>
      </c>
      <c r="J147" s="14" t="inlineStr">
        <is>
          <t>08 CROSSWALK</t>
        </is>
      </c>
    </row>
    <row r="148" ht="49" customHeight="1">
      <c r="A148" s="23" t="inlineStr">
        <is>
          <t>R1111-v2</t>
        </is>
      </c>
      <c r="B148" s="23" t="inlineStr">
        <is>
          <t>Cost &amp; Forecast Control Accounts / CST-01-029</t>
        </is>
      </c>
      <c r="C148" s="23" t="inlineStr">
        <is>
          <t>Cost Account = CA-1029; WBS Code = 1.1.1</t>
        </is>
      </c>
      <c r="D148" s="23" t="inlineStr">
        <is>
          <t>Proposed by Source assignment; target 1.1.1 Guideway and Civil - Guideway Structures</t>
        </is>
      </c>
      <c r="E148" s="23" t="inlineStr">
        <is>
          <t>None recorded</t>
        </is>
      </c>
      <c r="F148" s="23" t="inlineStr">
        <is>
          <t>No individual professional decision recorded; Source assignment -- not individually reviewed</t>
        </is>
      </c>
      <c r="G148" s="23" t="inlineStr">
        <is>
          <t>Not individually decided</t>
        </is>
      </c>
      <c r="H148" s="23" t="inlineStr">
        <is>
          <t xml:space="preserve">RETAINED / ONE_TO_ONE; </t>
        </is>
      </c>
      <c r="I148" s="23" t="inlineStr">
        <is>
          <t>Carried forward</t>
        </is>
      </c>
      <c r="J148" s="14" t="inlineStr">
        <is>
          <t>08 CROSSWALK</t>
        </is>
      </c>
    </row>
    <row r="149" ht="49" customHeight="1">
      <c r="A149" s="23" t="inlineStr">
        <is>
          <t>R1113-v2</t>
        </is>
      </c>
      <c r="B149" s="23" t="inlineStr">
        <is>
          <t>Cost &amp; Forecast Control Accounts / CST-01-031</t>
        </is>
      </c>
      <c r="C149" s="23" t="inlineStr">
        <is>
          <t>Cost Account = CA-1031; WBS Code = 1.1.1</t>
        </is>
      </c>
      <c r="D149" s="23" t="inlineStr">
        <is>
          <t>Proposed by Source assignment; target 1.1.1 Guideway and Civil - Guideway Structures</t>
        </is>
      </c>
      <c r="E149" s="23" t="inlineStr">
        <is>
          <t>None recorded</t>
        </is>
      </c>
      <c r="F149" s="23" t="inlineStr">
        <is>
          <t>No individual professional decision recorded; Source assignment -- not individually reviewed</t>
        </is>
      </c>
      <c r="G149" s="23" t="inlineStr">
        <is>
          <t>Not individually decided</t>
        </is>
      </c>
      <c r="H149" s="23" t="inlineStr">
        <is>
          <t xml:space="preserve">RETAINED / ONE_TO_ONE; </t>
        </is>
      </c>
      <c r="I149" s="23" t="inlineStr">
        <is>
          <t>Carried forward</t>
        </is>
      </c>
      <c r="J149" s="14" t="inlineStr">
        <is>
          <t>08 CROSSWALK</t>
        </is>
      </c>
    </row>
    <row r="150" ht="49" customHeight="1">
      <c r="A150" s="23" t="inlineStr">
        <is>
          <t>R1115-v2</t>
        </is>
      </c>
      <c r="B150" s="23" t="inlineStr">
        <is>
          <t>Cost &amp; Forecast Control Accounts / CST-01-033</t>
        </is>
      </c>
      <c r="C150" s="23" t="inlineStr">
        <is>
          <t>Cost Account = CA-1033; WBS Code = 1.1.1</t>
        </is>
      </c>
      <c r="D150" s="23" t="inlineStr">
        <is>
          <t>Proposed by Source assignment; target 1.1.1 Guideway and Civil - Guideway Structures</t>
        </is>
      </c>
      <c r="E150" s="23" t="inlineStr">
        <is>
          <t>None recorded</t>
        </is>
      </c>
      <c r="F150" s="23" t="inlineStr">
        <is>
          <t>No individual professional decision recorded; Source assignment -- not individually reviewed</t>
        </is>
      </c>
      <c r="G150" s="23" t="inlineStr">
        <is>
          <t>Not individually decided</t>
        </is>
      </c>
      <c r="H150" s="23" t="inlineStr">
        <is>
          <t xml:space="preserve">RETAINED / ONE_TO_ONE; </t>
        </is>
      </c>
      <c r="I150" s="23" t="inlineStr">
        <is>
          <t>Carried forward</t>
        </is>
      </c>
      <c r="J150" s="14" t="inlineStr">
        <is>
          <t>08 CROSSWALK</t>
        </is>
      </c>
    </row>
    <row r="151" ht="49" customHeight="1">
      <c r="A151" s="23" t="inlineStr">
        <is>
          <t>R1117-v2</t>
        </is>
      </c>
      <c r="B151" s="23" t="inlineStr">
        <is>
          <t>Cost &amp; Forecast Control Accounts / CST-01-035</t>
        </is>
      </c>
      <c r="C151" s="23" t="inlineStr">
        <is>
          <t>Cost Account = CA-1035; WBS Code = 1.1.1</t>
        </is>
      </c>
      <c r="D151" s="23" t="inlineStr">
        <is>
          <t>Proposed by Source assignment; target 1.1.1 Guideway and Civil - Guideway Structures</t>
        </is>
      </c>
      <c r="E151" s="23" t="inlineStr">
        <is>
          <t>None recorded</t>
        </is>
      </c>
      <c r="F151" s="23" t="inlineStr">
        <is>
          <t>No individual professional decision recorded; Source assignment -- not individually reviewed</t>
        </is>
      </c>
      <c r="G151" s="23" t="inlineStr">
        <is>
          <t>Not individually decided</t>
        </is>
      </c>
      <c r="H151" s="23" t="inlineStr">
        <is>
          <t xml:space="preserve">RETAINED / ONE_TO_ONE; </t>
        </is>
      </c>
      <c r="I151" s="23" t="inlineStr">
        <is>
          <t>Carried forward</t>
        </is>
      </c>
      <c r="J151" s="14" t="inlineStr">
        <is>
          <t>08 CROSSWALK</t>
        </is>
      </c>
    </row>
    <row r="152" ht="49" customHeight="1">
      <c r="A152" s="23" t="inlineStr">
        <is>
          <t>R1119-v2</t>
        </is>
      </c>
      <c r="B152" s="23" t="inlineStr">
        <is>
          <t>Cost &amp; Forecast Control Accounts / CST-01-037</t>
        </is>
      </c>
      <c r="C152" s="23" t="inlineStr">
        <is>
          <t>Cost Account = CA-1037; WBS Code = 1.1.1</t>
        </is>
      </c>
      <c r="D152" s="23" t="inlineStr">
        <is>
          <t>Proposed by Source assignment; target 1.1.1 Guideway and Civil - Guideway Structures</t>
        </is>
      </c>
      <c r="E152" s="23" t="inlineStr">
        <is>
          <t>None recorded</t>
        </is>
      </c>
      <c r="F152" s="23" t="inlineStr">
        <is>
          <t>No individual professional decision recorded; Source assignment -- not individually reviewed</t>
        </is>
      </c>
      <c r="G152" s="23" t="inlineStr">
        <is>
          <t>Not individually decided</t>
        </is>
      </c>
      <c r="H152" s="23" t="inlineStr">
        <is>
          <t xml:space="preserve">RETAINED / ONE_TO_ONE; </t>
        </is>
      </c>
      <c r="I152" s="23" t="inlineStr">
        <is>
          <t>Carried forward</t>
        </is>
      </c>
      <c r="J152" s="14" t="inlineStr">
        <is>
          <t>08 CROSSWALK</t>
        </is>
      </c>
    </row>
    <row r="153" ht="49" customHeight="1">
      <c r="A153" s="23" t="inlineStr">
        <is>
          <t>R1121-v2</t>
        </is>
      </c>
      <c r="B153" s="23" t="inlineStr">
        <is>
          <t>Cost &amp; Forecast Control Accounts / CST-01-039</t>
        </is>
      </c>
      <c r="C153" s="23" t="inlineStr">
        <is>
          <t>Cost Account = CA-1039; WBS Code = 1.1.1</t>
        </is>
      </c>
      <c r="D153" s="23" t="inlineStr">
        <is>
          <t>Proposed by Source assignment; target 1.1.1 Guideway and Civil - Guideway Structures</t>
        </is>
      </c>
      <c r="E153" s="23" t="inlineStr">
        <is>
          <t>None recorded</t>
        </is>
      </c>
      <c r="F153" s="23" t="inlineStr">
        <is>
          <t>No individual professional decision recorded; Source assignment -- not individually reviewed</t>
        </is>
      </c>
      <c r="G153" s="23" t="inlineStr">
        <is>
          <t>Not individually decided</t>
        </is>
      </c>
      <c r="H153" s="23" t="inlineStr">
        <is>
          <t xml:space="preserve">RETAINED / ONE_TO_ONE; </t>
        </is>
      </c>
      <c r="I153" s="23" t="inlineStr">
        <is>
          <t>Carried forward</t>
        </is>
      </c>
      <c r="J153" s="14" t="inlineStr">
        <is>
          <t>08 CROSSWALK</t>
        </is>
      </c>
    </row>
    <row r="154" ht="49" customHeight="1">
      <c r="A154" s="23" t="inlineStr">
        <is>
          <t>R1123-v2</t>
        </is>
      </c>
      <c r="B154" s="23" t="inlineStr">
        <is>
          <t>Cost &amp; Forecast Control Accounts / CST-01-041</t>
        </is>
      </c>
      <c r="C154" s="23" t="inlineStr">
        <is>
          <t>Cost Account = CA-1041; WBS Code = 1.1.1</t>
        </is>
      </c>
      <c r="D154" s="23" t="inlineStr">
        <is>
          <t>Proposed by Source assignment; target 1.1.1 Guideway and Civil - Guideway Structures</t>
        </is>
      </c>
      <c r="E154" s="23" t="inlineStr">
        <is>
          <t>None recorded</t>
        </is>
      </c>
      <c r="F154" s="23" t="inlineStr">
        <is>
          <t>No individual professional decision recorded; Source assignment -- not individually reviewed</t>
        </is>
      </c>
      <c r="G154" s="23" t="inlineStr">
        <is>
          <t>Not individually decided</t>
        </is>
      </c>
      <c r="H154" s="23" t="inlineStr">
        <is>
          <t xml:space="preserve">RETAINED / ONE_TO_ONE; </t>
        </is>
      </c>
      <c r="I154" s="23" t="inlineStr">
        <is>
          <t>Carried forward</t>
        </is>
      </c>
      <c r="J154" s="14" t="inlineStr">
        <is>
          <t>08 CROSSWALK</t>
        </is>
      </c>
    </row>
    <row r="155" ht="49" customHeight="1">
      <c r="A155" s="23" t="inlineStr">
        <is>
          <t>R1125-v2</t>
        </is>
      </c>
      <c r="B155" s="23" t="inlineStr">
        <is>
          <t>Cost &amp; Forecast Control Accounts / CST-01-043</t>
        </is>
      </c>
      <c r="C155" s="23" t="inlineStr">
        <is>
          <t>Cost Account = CA-1043; WBS Code = 1.1.1</t>
        </is>
      </c>
      <c r="D155" s="23" t="inlineStr">
        <is>
          <t>Proposed by Source assignment; target 1.1.1 Guideway and Civil - Guideway Structures</t>
        </is>
      </c>
      <c r="E155" s="23" t="inlineStr">
        <is>
          <t>None recorded</t>
        </is>
      </c>
      <c r="F155" s="23" t="inlineStr">
        <is>
          <t>No individual professional decision recorded; Source assignment -- not individually reviewed</t>
        </is>
      </c>
      <c r="G155" s="23" t="inlineStr">
        <is>
          <t>Not individually decided</t>
        </is>
      </c>
      <c r="H155" s="23" t="inlineStr">
        <is>
          <t xml:space="preserve">RETAINED / ONE_TO_ONE; </t>
        </is>
      </c>
      <c r="I155" s="23" t="inlineStr">
        <is>
          <t>Carried forward</t>
        </is>
      </c>
      <c r="J155" s="14" t="inlineStr">
        <is>
          <t>08 CROSSWALK</t>
        </is>
      </c>
    </row>
    <row r="156" ht="49" customHeight="1">
      <c r="A156" s="23" t="inlineStr">
        <is>
          <t>R1127-v2</t>
        </is>
      </c>
      <c r="B156" s="23" t="inlineStr">
        <is>
          <t>Cost &amp; Forecast Control Accounts / CST-01-045</t>
        </is>
      </c>
      <c r="C156" s="23" t="inlineStr">
        <is>
          <t>Cost Account = CA-1045; WBS Code = 1.1.1</t>
        </is>
      </c>
      <c r="D156" s="23" t="inlineStr">
        <is>
          <t>Proposed by Source assignment; target 1.1.1 Guideway and Civil - Guideway Structures</t>
        </is>
      </c>
      <c r="E156" s="23" t="inlineStr">
        <is>
          <t>None recorded</t>
        </is>
      </c>
      <c r="F156" s="23" t="inlineStr">
        <is>
          <t>No individual professional decision recorded; Source assignment -- not individually reviewed</t>
        </is>
      </c>
      <c r="G156" s="23" t="inlineStr">
        <is>
          <t>Not individually decided</t>
        </is>
      </c>
      <c r="H156" s="23" t="inlineStr">
        <is>
          <t xml:space="preserve">RETAINED / ONE_TO_ONE; </t>
        </is>
      </c>
      <c r="I156" s="23" t="inlineStr">
        <is>
          <t>Carried forward</t>
        </is>
      </c>
      <c r="J156" s="14" t="inlineStr">
        <is>
          <t>08 CROSSWALK</t>
        </is>
      </c>
    </row>
    <row r="157" ht="49" customHeight="1">
      <c r="A157" s="23" t="inlineStr">
        <is>
          <t>R1129-v2</t>
        </is>
      </c>
      <c r="B157" s="23" t="inlineStr">
        <is>
          <t>Cost &amp; Forecast Control Accounts / CST-01-047</t>
        </is>
      </c>
      <c r="C157" s="23" t="inlineStr">
        <is>
          <t>Cost Account = CA-1047; WBS Code = 1.1.1</t>
        </is>
      </c>
      <c r="D157" s="23" t="inlineStr">
        <is>
          <t>Proposed by Source assignment; target 1.1.1 Guideway and Civil - Guideway Structures</t>
        </is>
      </c>
      <c r="E157" s="23" t="inlineStr">
        <is>
          <t>None recorded</t>
        </is>
      </c>
      <c r="F157" s="23" t="inlineStr">
        <is>
          <t>No individual professional decision recorded; Source assignment -- not individually reviewed</t>
        </is>
      </c>
      <c r="G157" s="23" t="inlineStr">
        <is>
          <t>Not individually decided</t>
        </is>
      </c>
      <c r="H157" s="23" t="inlineStr">
        <is>
          <t xml:space="preserve">RETAINED / ONE_TO_ONE; </t>
        </is>
      </c>
      <c r="I157" s="23" t="inlineStr">
        <is>
          <t>Carried forward</t>
        </is>
      </c>
      <c r="J157" s="14" t="inlineStr">
        <is>
          <t>08 CROSSWALK</t>
        </is>
      </c>
    </row>
    <row r="158" ht="49" customHeight="1">
      <c r="A158" s="23" t="inlineStr">
        <is>
          <t>R1131-v2</t>
        </is>
      </c>
      <c r="B158" s="23" t="inlineStr">
        <is>
          <t>Cost &amp; Forecast Control Accounts / CST-01-049</t>
        </is>
      </c>
      <c r="C158" s="23" t="inlineStr">
        <is>
          <t>Cost Account = CA-1049; WBS Code = 1.1.1</t>
        </is>
      </c>
      <c r="D158" s="23" t="inlineStr">
        <is>
          <t>Proposed by Source assignment; target 1.1.1 Guideway and Civil - Guideway Structures</t>
        </is>
      </c>
      <c r="E158" s="23" t="inlineStr">
        <is>
          <t>None recorded</t>
        </is>
      </c>
      <c r="F158" s="23" t="inlineStr">
        <is>
          <t>No individual professional decision recorded; Source assignment -- not individually reviewed</t>
        </is>
      </c>
      <c r="G158" s="23" t="inlineStr">
        <is>
          <t>Not individually decided</t>
        </is>
      </c>
      <c r="H158" s="23" t="inlineStr">
        <is>
          <t xml:space="preserve">RETAINED / ONE_TO_ONE; </t>
        </is>
      </c>
      <c r="I158" s="23" t="inlineStr">
        <is>
          <t>Carried forward</t>
        </is>
      </c>
      <c r="J158" s="14" t="inlineStr">
        <is>
          <t>08 CROSSWALK</t>
        </is>
      </c>
    </row>
    <row r="159" ht="49" customHeight="1">
      <c r="A159" s="23" t="inlineStr">
        <is>
          <t>R1133-v2</t>
        </is>
      </c>
      <c r="B159" s="23" t="inlineStr">
        <is>
          <t>Cost &amp; Forecast Control Accounts / CST-01-051</t>
        </is>
      </c>
      <c r="C159" s="23" t="inlineStr">
        <is>
          <t>Cost Account = CA-1051; WBS Code = 1.1.1</t>
        </is>
      </c>
      <c r="D159" s="23" t="inlineStr">
        <is>
          <t>Proposed by Source assignment; target 1.1.1 Guideway and Civil - Guideway Structures</t>
        </is>
      </c>
      <c r="E159" s="23" t="inlineStr">
        <is>
          <t>None recorded</t>
        </is>
      </c>
      <c r="F159" s="23" t="inlineStr">
        <is>
          <t>No individual professional decision recorded; Source assignment -- not individually reviewed</t>
        </is>
      </c>
      <c r="G159" s="23" t="inlineStr">
        <is>
          <t>Not individually decided</t>
        </is>
      </c>
      <c r="H159" s="23" t="inlineStr">
        <is>
          <t xml:space="preserve">RETAINED / ONE_TO_ONE; </t>
        </is>
      </c>
      <c r="I159" s="23" t="inlineStr">
        <is>
          <t>Carried forward</t>
        </is>
      </c>
      <c r="J159" s="14" t="inlineStr">
        <is>
          <t>08 CROSSWALK</t>
        </is>
      </c>
    </row>
    <row r="160" ht="49" customHeight="1">
      <c r="A160" s="23" t="inlineStr">
        <is>
          <t>R1135-v2</t>
        </is>
      </c>
      <c r="B160" s="23" t="inlineStr">
        <is>
          <t>Cost &amp; Forecast Control Accounts / CST-01-053</t>
        </is>
      </c>
      <c r="C160" s="23" t="inlineStr">
        <is>
          <t>Cost Account = CA-1053; WBS Code = 1.1.1</t>
        </is>
      </c>
      <c r="D160" s="23" t="inlineStr">
        <is>
          <t>Proposed by Source assignment; target 1.1.1 Guideway and Civil - Guideway Structures</t>
        </is>
      </c>
      <c r="E160" s="23" t="inlineStr">
        <is>
          <t>None recorded</t>
        </is>
      </c>
      <c r="F160" s="23" t="inlineStr">
        <is>
          <t>No individual professional decision recorded; Source assignment -- not individually reviewed</t>
        </is>
      </c>
      <c r="G160" s="23" t="inlineStr">
        <is>
          <t>Not individually decided</t>
        </is>
      </c>
      <c r="H160" s="23" t="inlineStr">
        <is>
          <t xml:space="preserve">RETAINED / ONE_TO_ONE; </t>
        </is>
      </c>
      <c r="I160" s="23" t="inlineStr">
        <is>
          <t>Carried forward</t>
        </is>
      </c>
      <c r="J160" s="14" t="inlineStr">
        <is>
          <t>08 CROSSWALK</t>
        </is>
      </c>
    </row>
    <row r="161" ht="49" customHeight="1">
      <c r="A161" s="23" t="inlineStr">
        <is>
          <t>R1137-v2</t>
        </is>
      </c>
      <c r="B161" s="23" t="inlineStr">
        <is>
          <t>Cost &amp; Forecast Control Accounts / CST-01-055</t>
        </is>
      </c>
      <c r="C161" s="23" t="inlineStr">
        <is>
          <t>Cost Account = CA-1055; WBS Code = 1.1.1</t>
        </is>
      </c>
      <c r="D161" s="23" t="inlineStr">
        <is>
          <t>Proposed by Source assignment; target 1.1.1 Guideway and Civil - Guideway Structures</t>
        </is>
      </c>
      <c r="E161" s="23" t="inlineStr">
        <is>
          <t>None recorded</t>
        </is>
      </c>
      <c r="F161" s="23" t="inlineStr">
        <is>
          <t>No individual professional decision recorded; Source assignment -- not individually reviewed</t>
        </is>
      </c>
      <c r="G161" s="23" t="inlineStr">
        <is>
          <t>Not individually decided</t>
        </is>
      </c>
      <c r="H161" s="23" t="inlineStr">
        <is>
          <t xml:space="preserve">RETAINED / ONE_TO_ONE; </t>
        </is>
      </c>
      <c r="I161" s="23" t="inlineStr">
        <is>
          <t>Carried forward</t>
        </is>
      </c>
      <c r="J161" s="14" t="inlineStr">
        <is>
          <t>08 CROSSWALK</t>
        </is>
      </c>
    </row>
    <row r="162" ht="49" customHeight="1">
      <c r="A162" s="23" t="inlineStr">
        <is>
          <t>R1139-v2</t>
        </is>
      </c>
      <c r="B162" s="23" t="inlineStr">
        <is>
          <t>Cost &amp; Forecast Control Accounts / CST-01-057</t>
        </is>
      </c>
      <c r="C162" s="23" t="inlineStr">
        <is>
          <t>Cost Account = CA-1057; WBS Code = 1.1.1</t>
        </is>
      </c>
      <c r="D162" s="23" t="inlineStr">
        <is>
          <t>Proposed by Source assignment; target 1.1.1 Guideway and Civil - Guideway Structures</t>
        </is>
      </c>
      <c r="E162" s="23" t="inlineStr">
        <is>
          <t>None recorded</t>
        </is>
      </c>
      <c r="F162" s="23" t="inlineStr">
        <is>
          <t>No individual professional decision recorded; Source assignment -- not individually reviewed</t>
        </is>
      </c>
      <c r="G162" s="23" t="inlineStr">
        <is>
          <t>Not individually decided</t>
        </is>
      </c>
      <c r="H162" s="23" t="inlineStr">
        <is>
          <t xml:space="preserve">RETAINED / ONE_TO_ONE; </t>
        </is>
      </c>
      <c r="I162" s="23" t="inlineStr">
        <is>
          <t>Carried forward</t>
        </is>
      </c>
      <c r="J162" s="14" t="inlineStr">
        <is>
          <t>08 CROSSWALK</t>
        </is>
      </c>
    </row>
    <row r="163" ht="49" customHeight="1">
      <c r="A163" s="23" t="inlineStr">
        <is>
          <t>R1141-v2</t>
        </is>
      </c>
      <c r="B163" s="23" t="inlineStr">
        <is>
          <t>Cost &amp; Forecast Control Accounts / CST-01-059</t>
        </is>
      </c>
      <c r="C163" s="23" t="inlineStr">
        <is>
          <t>Cost Account = CA-1059; WBS Code = 1.1.1</t>
        </is>
      </c>
      <c r="D163" s="23" t="inlineStr">
        <is>
          <t>Proposed by Source assignment; target 1.1.1 Guideway and Civil - Guideway Structures</t>
        </is>
      </c>
      <c r="E163" s="23" t="inlineStr">
        <is>
          <t>None recorded</t>
        </is>
      </c>
      <c r="F163" s="23" t="inlineStr">
        <is>
          <t>No individual professional decision recorded; Source assignment -- not individually reviewed</t>
        </is>
      </c>
      <c r="G163" s="23" t="inlineStr">
        <is>
          <t>Not individually decided</t>
        </is>
      </c>
      <c r="H163" s="23" t="inlineStr">
        <is>
          <t xml:space="preserve">RETAINED / ONE_TO_ONE; </t>
        </is>
      </c>
      <c r="I163" s="23" t="inlineStr">
        <is>
          <t>Carried forward</t>
        </is>
      </c>
      <c r="J163" s="14" t="inlineStr">
        <is>
          <t>08 CROSSWALK</t>
        </is>
      </c>
    </row>
    <row r="164" ht="49" customHeight="1">
      <c r="A164" s="23" t="inlineStr">
        <is>
          <t>R1143-v2</t>
        </is>
      </c>
      <c r="B164" s="23" t="inlineStr">
        <is>
          <t>Cost &amp; Forecast Control Accounts / CST-01-061</t>
        </is>
      </c>
      <c r="C164" s="23" t="inlineStr">
        <is>
          <t>Cost Account = CA-1061; WBS Code = 1.1.1</t>
        </is>
      </c>
      <c r="D164" s="23" t="inlineStr">
        <is>
          <t>Proposed by Source assignment; target 1.1.1 Guideway and Civil - Guideway Structures</t>
        </is>
      </c>
      <c r="E164" s="23" t="inlineStr">
        <is>
          <t>None recorded</t>
        </is>
      </c>
      <c r="F164" s="23" t="inlineStr">
        <is>
          <t>No individual professional decision recorded; Source assignment -- not individually reviewed</t>
        </is>
      </c>
      <c r="G164" s="23" t="inlineStr">
        <is>
          <t>Not individually decided</t>
        </is>
      </c>
      <c r="H164" s="23" t="inlineStr">
        <is>
          <t xml:space="preserve">RETAINED / ONE_TO_ONE; </t>
        </is>
      </c>
      <c r="I164" s="23" t="inlineStr">
        <is>
          <t>Carried forward</t>
        </is>
      </c>
      <c r="J164" s="14" t="inlineStr">
        <is>
          <t>08 CROSSWALK</t>
        </is>
      </c>
    </row>
    <row r="165" ht="49" customHeight="1">
      <c r="A165" s="23" t="inlineStr">
        <is>
          <t>R1145-v2</t>
        </is>
      </c>
      <c r="B165" s="23" t="inlineStr">
        <is>
          <t>Cost &amp; Forecast Control Accounts / CST-01-063</t>
        </is>
      </c>
      <c r="C165" s="23" t="inlineStr">
        <is>
          <t>Cost Account = CA-1063; WBS Code = 1.1.1</t>
        </is>
      </c>
      <c r="D165" s="23" t="inlineStr">
        <is>
          <t>Proposed by Source assignment; target 1.1.1 Guideway and Civil - Guideway Structures</t>
        </is>
      </c>
      <c r="E165" s="23" t="inlineStr">
        <is>
          <t>None recorded</t>
        </is>
      </c>
      <c r="F165" s="23" t="inlineStr">
        <is>
          <t>No individual professional decision recorded; Source assignment -- not individually reviewed</t>
        </is>
      </c>
      <c r="G165" s="23" t="inlineStr">
        <is>
          <t>Not individually decided</t>
        </is>
      </c>
      <c r="H165" s="23" t="inlineStr">
        <is>
          <t xml:space="preserve">RETAINED / ONE_TO_ONE; </t>
        </is>
      </c>
      <c r="I165" s="23" t="inlineStr">
        <is>
          <t>Carried forward</t>
        </is>
      </c>
      <c r="J165" s="14" t="inlineStr">
        <is>
          <t>08 CROSSWALK</t>
        </is>
      </c>
    </row>
    <row r="166" ht="49" customHeight="1">
      <c r="A166" s="23" t="inlineStr">
        <is>
          <t>R1147-v2</t>
        </is>
      </c>
      <c r="B166" s="23" t="inlineStr">
        <is>
          <t>Cost &amp; Forecast Control Accounts / CST-01-065</t>
        </is>
      </c>
      <c r="C166" s="23" t="inlineStr">
        <is>
          <t>Cost Account = CA-1065; WBS Code = 1.1.1</t>
        </is>
      </c>
      <c r="D166" s="23" t="inlineStr">
        <is>
          <t>Proposed by Source assignment; target 1.1.1 Guideway and Civil - Guideway Structures</t>
        </is>
      </c>
      <c r="E166" s="23" t="inlineStr">
        <is>
          <t>None recorded</t>
        </is>
      </c>
      <c r="F166" s="23" t="inlineStr">
        <is>
          <t>No individual professional decision recorded; Source assignment -- not individually reviewed</t>
        </is>
      </c>
      <c r="G166" s="23" t="inlineStr">
        <is>
          <t>Not individually decided</t>
        </is>
      </c>
      <c r="H166" s="23" t="inlineStr">
        <is>
          <t xml:space="preserve">RETAINED / ONE_TO_ONE; </t>
        </is>
      </c>
      <c r="I166" s="23" t="inlineStr">
        <is>
          <t>Carried forward</t>
        </is>
      </c>
      <c r="J166" s="14" t="inlineStr">
        <is>
          <t>08 CROSSWALK</t>
        </is>
      </c>
    </row>
    <row r="167" ht="49" customHeight="1">
      <c r="A167" s="23" t="inlineStr">
        <is>
          <t>R1149-v2</t>
        </is>
      </c>
      <c r="B167" s="23" t="inlineStr">
        <is>
          <t>Cost &amp; Forecast Control Accounts / CST-01-067</t>
        </is>
      </c>
      <c r="C167" s="23" t="inlineStr">
        <is>
          <t>Cost Account = CA-1067; WBS Code = 1.1.1</t>
        </is>
      </c>
      <c r="D167" s="23" t="inlineStr">
        <is>
          <t>Proposed by Source assignment; target 1.1.1 Guideway and Civil - Guideway Structures</t>
        </is>
      </c>
      <c r="E167" s="23" t="inlineStr">
        <is>
          <t>None recorded</t>
        </is>
      </c>
      <c r="F167" s="23" t="inlineStr">
        <is>
          <t>No individual professional decision recorded; Source assignment -- not individually reviewed</t>
        </is>
      </c>
      <c r="G167" s="23" t="inlineStr">
        <is>
          <t>Not individually decided</t>
        </is>
      </c>
      <c r="H167" s="23" t="inlineStr">
        <is>
          <t xml:space="preserve">RETAINED / ONE_TO_ONE; </t>
        </is>
      </c>
      <c r="I167" s="23" t="inlineStr">
        <is>
          <t>Carried forward</t>
        </is>
      </c>
      <c r="J167" s="14" t="inlineStr">
        <is>
          <t>08 CROSSWALK</t>
        </is>
      </c>
    </row>
    <row r="168" ht="49" customHeight="1">
      <c r="A168" s="23" t="inlineStr">
        <is>
          <t>R1151-v2</t>
        </is>
      </c>
      <c r="B168" s="23" t="inlineStr">
        <is>
          <t>Cost &amp; Forecast Control Accounts / CST-01-069</t>
        </is>
      </c>
      <c r="C168" s="23" t="inlineStr">
        <is>
          <t>Cost Account = CA-1069; WBS Code = 1.1.1</t>
        </is>
      </c>
      <c r="D168" s="23" t="inlineStr">
        <is>
          <t>Proposed by Source assignment; target 1.1.1 Guideway and Civil - Guideway Structures</t>
        </is>
      </c>
      <c r="E168" s="23" t="inlineStr">
        <is>
          <t>None recorded</t>
        </is>
      </c>
      <c r="F168" s="23" t="inlineStr">
        <is>
          <t>No individual professional decision recorded; Source assignment -- not individually reviewed</t>
        </is>
      </c>
      <c r="G168" s="23" t="inlineStr">
        <is>
          <t>Not individually decided</t>
        </is>
      </c>
      <c r="H168" s="23" t="inlineStr">
        <is>
          <t xml:space="preserve">RETAINED / ONE_TO_ONE; </t>
        </is>
      </c>
      <c r="I168" s="23" t="inlineStr">
        <is>
          <t>Carried forward</t>
        </is>
      </c>
      <c r="J168" s="14" t="inlineStr">
        <is>
          <t>08 CROSSWALK</t>
        </is>
      </c>
    </row>
    <row r="169" ht="49" customHeight="1">
      <c r="A169" s="23" t="inlineStr">
        <is>
          <t>R1153-v2</t>
        </is>
      </c>
      <c r="B169" s="23" t="inlineStr">
        <is>
          <t>Cost &amp; Forecast Control Accounts / CST-01-071</t>
        </is>
      </c>
      <c r="C169" s="23" t="inlineStr">
        <is>
          <t>Cost Account = CA-1071; WBS Code = 1.1.1</t>
        </is>
      </c>
      <c r="D169" s="23" t="inlineStr">
        <is>
          <t>Proposed by Source assignment; target 1.1.1 Guideway and Civil - Guideway Structures</t>
        </is>
      </c>
      <c r="E169" s="23" t="inlineStr">
        <is>
          <t>None recorded</t>
        </is>
      </c>
      <c r="F169" s="23" t="inlineStr">
        <is>
          <t>No individual professional decision recorded; Source assignment -- not individually reviewed</t>
        </is>
      </c>
      <c r="G169" s="23" t="inlineStr">
        <is>
          <t>Not individually decided</t>
        </is>
      </c>
      <c r="H169" s="23" t="inlineStr">
        <is>
          <t xml:space="preserve">RETAINED / ONE_TO_ONE; </t>
        </is>
      </c>
      <c r="I169" s="23" t="inlineStr">
        <is>
          <t>Carried forward</t>
        </is>
      </c>
      <c r="J169" s="14" t="inlineStr">
        <is>
          <t>08 CROSSWALK</t>
        </is>
      </c>
    </row>
    <row r="170" ht="49" customHeight="1">
      <c r="A170" s="23" t="inlineStr">
        <is>
          <t>R1155-v2</t>
        </is>
      </c>
      <c r="B170" s="23" t="inlineStr">
        <is>
          <t>Cost &amp; Forecast Control Accounts / CST-01-073</t>
        </is>
      </c>
      <c r="C170" s="23" t="inlineStr">
        <is>
          <t>Cost Account = CA-1073; WBS Code = 1.1.1</t>
        </is>
      </c>
      <c r="D170" s="23" t="inlineStr">
        <is>
          <t>Proposed by Source assignment; target 1.1.1 Guideway and Civil - Guideway Structures</t>
        </is>
      </c>
      <c r="E170" s="23" t="inlineStr">
        <is>
          <t>None recorded</t>
        </is>
      </c>
      <c r="F170" s="23" t="inlineStr">
        <is>
          <t>No individual professional decision recorded; Source assignment -- not individually reviewed</t>
        </is>
      </c>
      <c r="G170" s="23" t="inlineStr">
        <is>
          <t>Not individually decided</t>
        </is>
      </c>
      <c r="H170" s="23" t="inlineStr">
        <is>
          <t xml:space="preserve">RETAINED / ONE_TO_ONE; </t>
        </is>
      </c>
      <c r="I170" s="23" t="inlineStr">
        <is>
          <t>Carried forward</t>
        </is>
      </c>
      <c r="J170" s="14" t="inlineStr">
        <is>
          <t>08 CROSSWALK</t>
        </is>
      </c>
    </row>
    <row r="171" ht="49" customHeight="1">
      <c r="A171" s="23" t="inlineStr">
        <is>
          <t>R1157-v2</t>
        </is>
      </c>
      <c r="B171" s="23" t="inlineStr">
        <is>
          <t>Cost &amp; Forecast Control Accounts / CST-01-075</t>
        </is>
      </c>
      <c r="C171" s="23" t="inlineStr">
        <is>
          <t>Cost Account = CA-1075; WBS Code = 1.1.1</t>
        </is>
      </c>
      <c r="D171" s="23" t="inlineStr">
        <is>
          <t>Proposed by Source assignment; target 1.1.1 Guideway and Civil - Guideway Structures</t>
        </is>
      </c>
      <c r="E171" s="23" t="inlineStr">
        <is>
          <t>None recorded</t>
        </is>
      </c>
      <c r="F171" s="23" t="inlineStr">
        <is>
          <t>No individual professional decision recorded; Source assignment -- not individually reviewed</t>
        </is>
      </c>
      <c r="G171" s="23" t="inlineStr">
        <is>
          <t>Not individually decided</t>
        </is>
      </c>
      <c r="H171" s="23" t="inlineStr">
        <is>
          <t xml:space="preserve">RETAINED / ONE_TO_ONE; </t>
        </is>
      </c>
      <c r="I171" s="23" t="inlineStr">
        <is>
          <t>Carried forward</t>
        </is>
      </c>
      <c r="J171" s="14" t="inlineStr">
        <is>
          <t>08 CROSSWALK</t>
        </is>
      </c>
    </row>
    <row r="172" ht="49" customHeight="1">
      <c r="A172" s="23" t="inlineStr">
        <is>
          <t>R1159-v2</t>
        </is>
      </c>
      <c r="B172" s="23" t="inlineStr">
        <is>
          <t>Cost &amp; Forecast Control Accounts / CST-01-077</t>
        </is>
      </c>
      <c r="C172" s="23" t="inlineStr">
        <is>
          <t>Cost Account = CA-1077; WBS Code = 1.1.1</t>
        </is>
      </c>
      <c r="D172" s="23" t="inlineStr">
        <is>
          <t>Proposed by Source assignment; target 1.1.1 Guideway and Civil - Guideway Structures</t>
        </is>
      </c>
      <c r="E172" s="23" t="inlineStr">
        <is>
          <t>None recorded</t>
        </is>
      </c>
      <c r="F172" s="23" t="inlineStr">
        <is>
          <t>No individual professional decision recorded; Source assignment -- not individually reviewed</t>
        </is>
      </c>
      <c r="G172" s="23" t="inlineStr">
        <is>
          <t>Not individually decided</t>
        </is>
      </c>
      <c r="H172" s="23" t="inlineStr">
        <is>
          <t xml:space="preserve">RETAINED / ONE_TO_ONE; </t>
        </is>
      </c>
      <c r="I172" s="23" t="inlineStr">
        <is>
          <t>Carried forward</t>
        </is>
      </c>
      <c r="J172" s="14" t="inlineStr">
        <is>
          <t>08 CROSSWALK</t>
        </is>
      </c>
    </row>
    <row r="173" ht="49" customHeight="1">
      <c r="A173" s="23" t="inlineStr">
        <is>
          <t>R1161-v2</t>
        </is>
      </c>
      <c r="B173" s="23" t="inlineStr">
        <is>
          <t>Cost &amp; Forecast Control Accounts / CST-01-079</t>
        </is>
      </c>
      <c r="C173" s="23" t="inlineStr">
        <is>
          <t>Cost Account = CA-1079; WBS Code = 1.1.1</t>
        </is>
      </c>
      <c r="D173" s="23" t="inlineStr">
        <is>
          <t>Proposed by Source assignment; target 1.1.1 Guideway and Civil - Guideway Structures</t>
        </is>
      </c>
      <c r="E173" s="23" t="inlineStr">
        <is>
          <t>None recorded</t>
        </is>
      </c>
      <c r="F173" s="23" t="inlineStr">
        <is>
          <t>No individual professional decision recorded; Source assignment -- not individually reviewed</t>
        </is>
      </c>
      <c r="G173" s="23" t="inlineStr">
        <is>
          <t>Not individually decided</t>
        </is>
      </c>
      <c r="H173" s="23" t="inlineStr">
        <is>
          <t xml:space="preserve">RETAINED / ONE_TO_ONE; </t>
        </is>
      </c>
      <c r="I173" s="23" t="inlineStr">
        <is>
          <t>Carried forward</t>
        </is>
      </c>
      <c r="J173" s="14" t="inlineStr">
        <is>
          <t>08 CROSSWALK</t>
        </is>
      </c>
    </row>
    <row r="174" ht="49" customHeight="1">
      <c r="A174" s="23" t="inlineStr">
        <is>
          <t>R1624-v1</t>
        </is>
      </c>
      <c r="B174" s="23" t="inlineStr">
        <is>
          <t>Cost &amp; Forecast Control Accounts / CST-90-903</t>
        </is>
      </c>
      <c r="C174" s="23" t="inlineStr">
        <is>
          <t>Cost Account = CA-1001; WBS Code = 1.1.1</t>
        </is>
      </c>
      <c r="D174" s="23" t="inlineStr">
        <is>
          <t>Proposed by Source assignment; target 1.1.1 Guideway and Civil - Guideway Structures</t>
        </is>
      </c>
      <c r="E174" s="23" t="inlineStr">
        <is>
          <t>None recorded</t>
        </is>
      </c>
      <c r="F174" s="23" t="inlineStr">
        <is>
          <t>No individual professional decision recorded; Source assignment -- not individually reviewed</t>
        </is>
      </c>
      <c r="G174" s="23" t="inlineStr">
        <is>
          <t>Not individually decided</t>
        </is>
      </c>
      <c r="H174" s="23" t="inlineStr">
        <is>
          <t xml:space="preserve">APPROVED / ONE_TO_ONE; </t>
        </is>
      </c>
      <c r="I174" s="23" t="inlineStr">
        <is>
          <t>New</t>
        </is>
      </c>
      <c r="J174" s="14" t="inlineStr">
        <is>
          <t>08 CROSSWALK</t>
        </is>
      </c>
    </row>
    <row r="175" ht="49" customHeight="1">
      <c r="A175" s="23" t="inlineStr">
        <is>
          <t>R3-v2</t>
        </is>
      </c>
      <c r="B175" s="23" t="inlineStr">
        <is>
          <t>Contractor Programme / SCH-01-003</t>
        </is>
      </c>
      <c r="C175" s="23" t="inlineStr">
        <is>
          <t>WBS Code = 1.1.2</t>
        </is>
      </c>
      <c r="D175" s="23" t="inlineStr">
        <is>
          <t>Proposed by Source assignment; target 1.1.2 Guideway and Civil - Utility &amp; Roadworks</t>
        </is>
      </c>
      <c r="E175" s="23" t="inlineStr">
        <is>
          <t>None recorded</t>
        </is>
      </c>
      <c r="F175" s="23" t="inlineStr">
        <is>
          <t>No individual professional decision recorded; Source assignment -- not individually reviewed</t>
        </is>
      </c>
      <c r="G175" s="23" t="inlineStr">
        <is>
          <t>Not individually decided</t>
        </is>
      </c>
      <c r="H175" s="23" t="inlineStr">
        <is>
          <t xml:space="preserve">RETAINED / ONE_TO_ONE; </t>
        </is>
      </c>
      <c r="I175" s="23" t="inlineStr">
        <is>
          <t>Carried forward</t>
        </is>
      </c>
      <c r="J175" s="14" t="inlineStr">
        <is>
          <t>08 CROSSWALK</t>
        </is>
      </c>
    </row>
    <row r="176" ht="79" customHeight="1">
      <c r="A176" s="23" t="inlineStr">
        <is>
          <t>R5-v3</t>
        </is>
      </c>
      <c r="B176" s="23" t="inlineStr">
        <is>
          <t>Contractor Programme / SCH-01-005</t>
        </is>
      </c>
      <c r="C176" s="23" t="inlineStr">
        <is>
          <t>WBS Code = 1.1.2</t>
        </is>
      </c>
      <c r="D176" s="23" t="inlineStr">
        <is>
          <t>Proposed by Source assignment; target 1.1.2 Guideway and Civil - Utility &amp; Roadworks</t>
        </is>
      </c>
      <c r="E176" s="23" t="inlineStr">
        <is>
          <t>None recorded</t>
        </is>
      </c>
      <c r="F176" s="23" t="inlineStr">
        <is>
          <t>Maya Chen, Owner Project Controls: Professional decision</t>
        </is>
      </c>
      <c r="G176" s="23" t="inlineStr">
        <is>
          <t>Individual</t>
        </is>
      </c>
      <c r="H176" s="23" t="inlineStr">
        <is>
          <t xml:space="preserve">APPROVED / ONE_TO_ONE; </t>
        </is>
      </c>
      <c r="I176" s="23" t="inlineStr">
        <is>
          <t>Changed, re-decided; 'WBS Code' changed from 1.1.1 to 1.1.2; 'WBS Code' changed from 1.1.1 to 1.1.2; 'WBS Code' changed from 1.1.1 to 1.1.2</t>
        </is>
      </c>
      <c r="J176" s="14" t="inlineStr">
        <is>
          <t>08 CROSSWALK</t>
        </is>
      </c>
    </row>
    <row r="177" ht="49" customHeight="1">
      <c r="A177" s="23" t="inlineStr">
        <is>
          <t>R6-v2</t>
        </is>
      </c>
      <c r="B177" s="23" t="inlineStr">
        <is>
          <t>Contractor Programme / SCH-01-006</t>
        </is>
      </c>
      <c r="C177" s="23" t="inlineStr">
        <is>
          <t>WBS Code = 1.1.2</t>
        </is>
      </c>
      <c r="D177" s="23" t="inlineStr">
        <is>
          <t>Proposed by Source assignment; target 1.1.2 Guideway and Civil - Utility &amp; Roadworks</t>
        </is>
      </c>
      <c r="E177" s="23" t="inlineStr">
        <is>
          <t>None recorded</t>
        </is>
      </c>
      <c r="F177" s="23" t="inlineStr">
        <is>
          <t>No individual professional decision recorded; Source assignment -- not individually reviewed</t>
        </is>
      </c>
      <c r="G177" s="23" t="inlineStr">
        <is>
          <t>Not individually decided</t>
        </is>
      </c>
      <c r="H177" s="23" t="inlineStr">
        <is>
          <t xml:space="preserve">RETAINED / ONE_TO_ONE; </t>
        </is>
      </c>
      <c r="I177" s="23" t="inlineStr">
        <is>
          <t>Carried forward</t>
        </is>
      </c>
      <c r="J177" s="14" t="inlineStr">
        <is>
          <t>08 CROSSWALK</t>
        </is>
      </c>
    </row>
    <row r="178" ht="49" customHeight="1">
      <c r="A178" s="23" t="inlineStr">
        <is>
          <t>R9-v2</t>
        </is>
      </c>
      <c r="B178" s="23" t="inlineStr">
        <is>
          <t>Contractor Programme / SCH-01-009</t>
        </is>
      </c>
      <c r="C178" s="23" t="inlineStr">
        <is>
          <t>WBS Code = 1.1.2</t>
        </is>
      </c>
      <c r="D178" s="23" t="inlineStr">
        <is>
          <t>Proposed by Source assignment; target 1.1.2 Guideway and Civil - Utility &amp; Roadworks</t>
        </is>
      </c>
      <c r="E178" s="23" t="inlineStr">
        <is>
          <t>None recorded</t>
        </is>
      </c>
      <c r="F178" s="23" t="inlineStr">
        <is>
          <t>No individual professional decision recorded; Source assignment -- not individually reviewed</t>
        </is>
      </c>
      <c r="G178" s="23" t="inlineStr">
        <is>
          <t>Not individually decided</t>
        </is>
      </c>
      <c r="H178" s="23" t="inlineStr">
        <is>
          <t xml:space="preserve">RETAINED / ONE_TO_ONE; </t>
        </is>
      </c>
      <c r="I178" s="23" t="inlineStr">
        <is>
          <t>Carried forward</t>
        </is>
      </c>
      <c r="J178" s="14" t="inlineStr">
        <is>
          <t>08 CROSSWALK</t>
        </is>
      </c>
    </row>
    <row r="179" ht="49" customHeight="1">
      <c r="A179" s="23" t="inlineStr">
        <is>
          <t>R12-v2</t>
        </is>
      </c>
      <c r="B179" s="23" t="inlineStr">
        <is>
          <t>Contractor Programme / SCH-01-012</t>
        </is>
      </c>
      <c r="C179" s="23" t="inlineStr">
        <is>
          <t>WBS Code = 1.1.2</t>
        </is>
      </c>
      <c r="D179" s="23" t="inlineStr">
        <is>
          <t>Proposed by Source assignment; target 1.1.2 Guideway and Civil - Utility &amp; Roadworks</t>
        </is>
      </c>
      <c r="E179" s="23" t="inlineStr">
        <is>
          <t>None recorded</t>
        </is>
      </c>
      <c r="F179" s="23" t="inlineStr">
        <is>
          <t>No individual professional decision recorded; Source assignment -- not individually reviewed</t>
        </is>
      </c>
      <c r="G179" s="23" t="inlineStr">
        <is>
          <t>Not individually decided</t>
        </is>
      </c>
      <c r="H179" s="23" t="inlineStr">
        <is>
          <t xml:space="preserve">RETAINED / ONE_TO_ONE; </t>
        </is>
      </c>
      <c r="I179" s="23" t="inlineStr">
        <is>
          <t>Carried forward</t>
        </is>
      </c>
      <c r="J179" s="14" t="inlineStr">
        <is>
          <t>08 CROSSWALK</t>
        </is>
      </c>
    </row>
    <row r="180" ht="49" customHeight="1">
      <c r="A180" s="23" t="inlineStr">
        <is>
          <t>R15-v2</t>
        </is>
      </c>
      <c r="B180" s="23" t="inlineStr">
        <is>
          <t>Contractor Programme / SCH-01-015</t>
        </is>
      </c>
      <c r="C180" s="23" t="inlineStr">
        <is>
          <t>WBS Code = 1.1.2</t>
        </is>
      </c>
      <c r="D180" s="23" t="inlineStr">
        <is>
          <t>Proposed by Source assignment; target 1.1.2 Guideway and Civil - Utility &amp; Roadworks</t>
        </is>
      </c>
      <c r="E180" s="23" t="inlineStr">
        <is>
          <t>None recorded</t>
        </is>
      </c>
      <c r="F180" s="23" t="inlineStr">
        <is>
          <t>No individual professional decision recorded; Source assignment -- not individually reviewed</t>
        </is>
      </c>
      <c r="G180" s="23" t="inlineStr">
        <is>
          <t>Not individually decided</t>
        </is>
      </c>
      <c r="H180" s="23" t="inlineStr">
        <is>
          <t xml:space="preserve">RETAINED / ONE_TO_ONE; </t>
        </is>
      </c>
      <c r="I180" s="23" t="inlineStr">
        <is>
          <t>Carried forward</t>
        </is>
      </c>
      <c r="J180" s="14" t="inlineStr">
        <is>
          <t>08 CROSSWALK</t>
        </is>
      </c>
    </row>
    <row r="181" ht="49" customHeight="1">
      <c r="A181" s="23" t="inlineStr">
        <is>
          <t>R18-v2</t>
        </is>
      </c>
      <c r="B181" s="23" t="inlineStr">
        <is>
          <t>Contractor Programme / SCH-01-018</t>
        </is>
      </c>
      <c r="C181" s="23" t="inlineStr">
        <is>
          <t>WBS Code = 1.1.2</t>
        </is>
      </c>
      <c r="D181" s="23" t="inlineStr">
        <is>
          <t>Proposed by Source assignment; target 1.1.2 Guideway and Civil - Utility &amp; Roadworks</t>
        </is>
      </c>
      <c r="E181" s="23" t="inlineStr">
        <is>
          <t>None recorded</t>
        </is>
      </c>
      <c r="F181" s="23" t="inlineStr">
        <is>
          <t>No individual professional decision recorded; Source assignment -- not individually reviewed</t>
        </is>
      </c>
      <c r="G181" s="23" t="inlineStr">
        <is>
          <t>Not individually decided</t>
        </is>
      </c>
      <c r="H181" s="23" t="inlineStr">
        <is>
          <t xml:space="preserve">RETAINED / ONE_TO_ONE; </t>
        </is>
      </c>
      <c r="I181" s="23" t="inlineStr">
        <is>
          <t>Carried forward</t>
        </is>
      </c>
      <c r="J181" s="14" t="inlineStr">
        <is>
          <t>08 CROSSWALK</t>
        </is>
      </c>
    </row>
    <row r="182" ht="49" customHeight="1">
      <c r="A182" s="23" t="inlineStr">
        <is>
          <t>R21-v2</t>
        </is>
      </c>
      <c r="B182" s="23" t="inlineStr">
        <is>
          <t>Contractor Programme / SCH-01-021</t>
        </is>
      </c>
      <c r="C182" s="23" t="inlineStr">
        <is>
          <t>WBS Code = 1.1.2</t>
        </is>
      </c>
      <c r="D182" s="23" t="inlineStr">
        <is>
          <t>Proposed by Source assignment; target 1.1.2 Guideway and Civil - Utility &amp; Roadworks</t>
        </is>
      </c>
      <c r="E182" s="23" t="inlineStr">
        <is>
          <t>None recorded</t>
        </is>
      </c>
      <c r="F182" s="23" t="inlineStr">
        <is>
          <t>No individual professional decision recorded; Source assignment -- not individually reviewed</t>
        </is>
      </c>
      <c r="G182" s="23" t="inlineStr">
        <is>
          <t>Not individually decided</t>
        </is>
      </c>
      <c r="H182" s="23" t="inlineStr">
        <is>
          <t xml:space="preserve">RETAINED / ONE_TO_ONE; </t>
        </is>
      </c>
      <c r="I182" s="23" t="inlineStr">
        <is>
          <t>Carried forward</t>
        </is>
      </c>
      <c r="J182" s="14" t="inlineStr">
        <is>
          <t>08 CROSSWALK</t>
        </is>
      </c>
    </row>
    <row r="183" ht="49" customHeight="1">
      <c r="A183" s="23" t="inlineStr">
        <is>
          <t>R24-v2</t>
        </is>
      </c>
      <c r="B183" s="23" t="inlineStr">
        <is>
          <t>Contractor Programme / SCH-01-024</t>
        </is>
      </c>
      <c r="C183" s="23" t="inlineStr">
        <is>
          <t>WBS Code = 1.1.2</t>
        </is>
      </c>
      <c r="D183" s="23" t="inlineStr">
        <is>
          <t>Proposed by Source assignment; target 1.1.2 Guideway and Civil - Utility &amp; Roadworks</t>
        </is>
      </c>
      <c r="E183" s="23" t="inlineStr">
        <is>
          <t>None recorded</t>
        </is>
      </c>
      <c r="F183" s="23" t="inlineStr">
        <is>
          <t>No individual professional decision recorded; Source assignment -- not individually reviewed</t>
        </is>
      </c>
      <c r="G183" s="23" t="inlineStr">
        <is>
          <t>Not individually decided</t>
        </is>
      </c>
      <c r="H183" s="23" t="inlineStr">
        <is>
          <t xml:space="preserve">RETAINED / ONE_TO_ONE; </t>
        </is>
      </c>
      <c r="I183" s="23" t="inlineStr">
        <is>
          <t>Carried forward</t>
        </is>
      </c>
      <c r="J183" s="14" t="inlineStr">
        <is>
          <t>08 CROSSWALK</t>
        </is>
      </c>
    </row>
    <row r="184" ht="49" customHeight="1">
      <c r="A184" s="23" t="inlineStr">
        <is>
          <t>R27-v2</t>
        </is>
      </c>
      <c r="B184" s="23" t="inlineStr">
        <is>
          <t>Contractor Programme / SCH-01-027</t>
        </is>
      </c>
      <c r="C184" s="23" t="inlineStr">
        <is>
          <t>WBS Code = 1.1.2</t>
        </is>
      </c>
      <c r="D184" s="23" t="inlineStr">
        <is>
          <t>Proposed by Source assignment; target 1.1.2 Guideway and Civil - Utility &amp; Roadworks</t>
        </is>
      </c>
      <c r="E184" s="23" t="inlineStr">
        <is>
          <t>None recorded</t>
        </is>
      </c>
      <c r="F184" s="23" t="inlineStr">
        <is>
          <t>No individual professional decision recorded; Source assignment -- not individually reviewed</t>
        </is>
      </c>
      <c r="G184" s="23" t="inlineStr">
        <is>
          <t>Not individually decided</t>
        </is>
      </c>
      <c r="H184" s="23" t="inlineStr">
        <is>
          <t xml:space="preserve">RETAINED / ONE_TO_ONE; </t>
        </is>
      </c>
      <c r="I184" s="23" t="inlineStr">
        <is>
          <t>Carried forward</t>
        </is>
      </c>
      <c r="J184" s="14" t="inlineStr">
        <is>
          <t>08 CROSSWALK</t>
        </is>
      </c>
    </row>
    <row r="185" ht="49" customHeight="1">
      <c r="A185" s="23" t="inlineStr">
        <is>
          <t>R30-v2</t>
        </is>
      </c>
      <c r="B185" s="23" t="inlineStr">
        <is>
          <t>Contractor Programme / SCH-01-030</t>
        </is>
      </c>
      <c r="C185" s="23" t="inlineStr">
        <is>
          <t>WBS Code = 1.1.2</t>
        </is>
      </c>
      <c r="D185" s="23" t="inlineStr">
        <is>
          <t>Proposed by Source assignment; target 1.1.2 Guideway and Civil - Utility &amp; Roadworks</t>
        </is>
      </c>
      <c r="E185" s="23" t="inlineStr">
        <is>
          <t>None recorded</t>
        </is>
      </c>
      <c r="F185" s="23" t="inlineStr">
        <is>
          <t>No individual professional decision recorded; Source assignment -- not individually reviewed</t>
        </is>
      </c>
      <c r="G185" s="23" t="inlineStr">
        <is>
          <t>Not individually decided</t>
        </is>
      </c>
      <c r="H185" s="23" t="inlineStr">
        <is>
          <t xml:space="preserve">RETAINED / ONE_TO_ONE; </t>
        </is>
      </c>
      <c r="I185" s="23" t="inlineStr">
        <is>
          <t>Carried forward</t>
        </is>
      </c>
      <c r="J185" s="14" t="inlineStr">
        <is>
          <t>08 CROSSWALK</t>
        </is>
      </c>
    </row>
    <row r="186" ht="49" customHeight="1">
      <c r="A186" s="23" t="inlineStr">
        <is>
          <t>R33-v2</t>
        </is>
      </c>
      <c r="B186" s="23" t="inlineStr">
        <is>
          <t>Contractor Programme / SCH-01-033</t>
        </is>
      </c>
      <c r="C186" s="23" t="inlineStr">
        <is>
          <t>WBS Code = 1.1.2</t>
        </is>
      </c>
      <c r="D186" s="23" t="inlineStr">
        <is>
          <t>Proposed by Source assignment; target 1.1.2 Guideway and Civil - Utility &amp; Roadworks</t>
        </is>
      </c>
      <c r="E186" s="23" t="inlineStr">
        <is>
          <t>None recorded</t>
        </is>
      </c>
      <c r="F186" s="23" t="inlineStr">
        <is>
          <t>No individual professional decision recorded; Source assignment -- not individually reviewed</t>
        </is>
      </c>
      <c r="G186" s="23" t="inlineStr">
        <is>
          <t>Not individually decided</t>
        </is>
      </c>
      <c r="H186" s="23" t="inlineStr">
        <is>
          <t xml:space="preserve">RETAINED / ONE_TO_ONE; </t>
        </is>
      </c>
      <c r="I186" s="23" t="inlineStr">
        <is>
          <t>Carried forward</t>
        </is>
      </c>
      <c r="J186" s="14" t="inlineStr">
        <is>
          <t>08 CROSSWALK</t>
        </is>
      </c>
    </row>
    <row r="187" ht="49" customHeight="1">
      <c r="A187" s="23" t="inlineStr">
        <is>
          <t>R36-v2</t>
        </is>
      </c>
      <c r="B187" s="23" t="inlineStr">
        <is>
          <t>Contractor Programme / SCH-01-036</t>
        </is>
      </c>
      <c r="C187" s="23" t="inlineStr">
        <is>
          <t>WBS Code = 1.1.2</t>
        </is>
      </c>
      <c r="D187" s="23" t="inlineStr">
        <is>
          <t>Proposed by Source assignment; target 1.1.2 Guideway and Civil - Utility &amp; Roadworks</t>
        </is>
      </c>
      <c r="E187" s="23" t="inlineStr">
        <is>
          <t>None recorded</t>
        </is>
      </c>
      <c r="F187" s="23" t="inlineStr">
        <is>
          <t>No individual professional decision recorded; Source assignment -- not individually reviewed</t>
        </is>
      </c>
      <c r="G187" s="23" t="inlineStr">
        <is>
          <t>Not individually decided</t>
        </is>
      </c>
      <c r="H187" s="23" t="inlineStr">
        <is>
          <t xml:space="preserve">RETAINED / ONE_TO_ONE; </t>
        </is>
      </c>
      <c r="I187" s="23" t="inlineStr">
        <is>
          <t>Carried forward</t>
        </is>
      </c>
      <c r="J187" s="14" t="inlineStr">
        <is>
          <t>08 CROSSWALK</t>
        </is>
      </c>
    </row>
    <row r="188" ht="49" customHeight="1">
      <c r="A188" s="23" t="inlineStr">
        <is>
          <t>R39-v2</t>
        </is>
      </c>
      <c r="B188" s="23" t="inlineStr">
        <is>
          <t>Contractor Programme / SCH-01-039</t>
        </is>
      </c>
      <c r="C188" s="23" t="inlineStr">
        <is>
          <t>WBS Code = 1.1.2</t>
        </is>
      </c>
      <c r="D188" s="23" t="inlineStr">
        <is>
          <t>Proposed by Source assignment; target 1.1.2 Guideway and Civil - Utility &amp; Roadworks</t>
        </is>
      </c>
      <c r="E188" s="23" t="inlineStr">
        <is>
          <t>None recorded</t>
        </is>
      </c>
      <c r="F188" s="23" t="inlineStr">
        <is>
          <t>No individual professional decision recorded; Source assignment -- not individually reviewed</t>
        </is>
      </c>
      <c r="G188" s="23" t="inlineStr">
        <is>
          <t>Not individually decided</t>
        </is>
      </c>
      <c r="H188" s="23" t="inlineStr">
        <is>
          <t xml:space="preserve">RETAINED / ONE_TO_ONE; </t>
        </is>
      </c>
      <c r="I188" s="23" t="inlineStr">
        <is>
          <t>Carried forward</t>
        </is>
      </c>
      <c r="J188" s="14" t="inlineStr">
        <is>
          <t>08 CROSSWALK</t>
        </is>
      </c>
    </row>
    <row r="189" ht="49" customHeight="1">
      <c r="A189" s="23" t="inlineStr">
        <is>
          <t>R42-v2</t>
        </is>
      </c>
      <c r="B189" s="23" t="inlineStr">
        <is>
          <t>Contractor Programme / SCH-01-042</t>
        </is>
      </c>
      <c r="C189" s="23" t="inlineStr">
        <is>
          <t>WBS Code = 1.1.2</t>
        </is>
      </c>
      <c r="D189" s="23" t="inlineStr">
        <is>
          <t>Proposed by Source assignment; target 1.1.2 Guideway and Civil - Utility &amp; Roadworks</t>
        </is>
      </c>
      <c r="E189" s="23" t="inlineStr">
        <is>
          <t>None recorded</t>
        </is>
      </c>
      <c r="F189" s="23" t="inlineStr">
        <is>
          <t>No individual professional decision recorded; Source assignment -- not individually reviewed</t>
        </is>
      </c>
      <c r="G189" s="23" t="inlineStr">
        <is>
          <t>Not individually decided</t>
        </is>
      </c>
      <c r="H189" s="23" t="inlineStr">
        <is>
          <t xml:space="preserve">RETAINED / ONE_TO_ONE; </t>
        </is>
      </c>
      <c r="I189" s="23" t="inlineStr">
        <is>
          <t>Carried forward</t>
        </is>
      </c>
      <c r="J189" s="14" t="inlineStr">
        <is>
          <t>08 CROSSWALK</t>
        </is>
      </c>
    </row>
    <row r="190" ht="49" customHeight="1">
      <c r="A190" s="23" t="inlineStr">
        <is>
          <t>R45-v2</t>
        </is>
      </c>
      <c r="B190" s="23" t="inlineStr">
        <is>
          <t>Contractor Programme / SCH-01-045</t>
        </is>
      </c>
      <c r="C190" s="23" t="inlineStr">
        <is>
          <t>WBS Code = 1.1.2</t>
        </is>
      </c>
      <c r="D190" s="23" t="inlineStr">
        <is>
          <t>Proposed by Source assignment; target 1.1.2 Guideway and Civil - Utility &amp; Roadworks</t>
        </is>
      </c>
      <c r="E190" s="23" t="inlineStr">
        <is>
          <t>None recorded</t>
        </is>
      </c>
      <c r="F190" s="23" t="inlineStr">
        <is>
          <t>No individual professional decision recorded; Source assignment -- not individually reviewed</t>
        </is>
      </c>
      <c r="G190" s="23" t="inlineStr">
        <is>
          <t>Not individually decided</t>
        </is>
      </c>
      <c r="H190" s="23" t="inlineStr">
        <is>
          <t xml:space="preserve">RETAINED / ONE_TO_ONE; </t>
        </is>
      </c>
      <c r="I190" s="23" t="inlineStr">
        <is>
          <t>Carried forward</t>
        </is>
      </c>
      <c r="J190" s="14" t="inlineStr">
        <is>
          <t>08 CROSSWALK</t>
        </is>
      </c>
    </row>
    <row r="191" ht="49" customHeight="1">
      <c r="A191" s="23" t="inlineStr">
        <is>
          <t>R48-v2</t>
        </is>
      </c>
      <c r="B191" s="23" t="inlineStr">
        <is>
          <t>Contractor Programme / SCH-01-048</t>
        </is>
      </c>
      <c r="C191" s="23" t="inlineStr">
        <is>
          <t>WBS Code = 1.1.2</t>
        </is>
      </c>
      <c r="D191" s="23" t="inlineStr">
        <is>
          <t>Proposed by Source assignment; target 1.1.2 Guideway and Civil - Utility &amp; Roadworks</t>
        </is>
      </c>
      <c r="E191" s="23" t="inlineStr">
        <is>
          <t>None recorded</t>
        </is>
      </c>
      <c r="F191" s="23" t="inlineStr">
        <is>
          <t>No individual professional decision recorded; Source assignment -- not individually reviewed</t>
        </is>
      </c>
      <c r="G191" s="23" t="inlineStr">
        <is>
          <t>Not individually decided</t>
        </is>
      </c>
      <c r="H191" s="23" t="inlineStr">
        <is>
          <t xml:space="preserve">RETAINED / ONE_TO_ONE; </t>
        </is>
      </c>
      <c r="I191" s="23" t="inlineStr">
        <is>
          <t>Carried forward</t>
        </is>
      </c>
      <c r="J191" s="14" t="inlineStr">
        <is>
          <t>08 CROSSWALK</t>
        </is>
      </c>
    </row>
    <row r="192" ht="49" customHeight="1">
      <c r="A192" s="23" t="inlineStr">
        <is>
          <t>R51-v2</t>
        </is>
      </c>
      <c r="B192" s="23" t="inlineStr">
        <is>
          <t>Contractor Programme / SCH-01-051</t>
        </is>
      </c>
      <c r="C192" s="23" t="inlineStr">
        <is>
          <t>WBS Code = 1.1.2</t>
        </is>
      </c>
      <c r="D192" s="23" t="inlineStr">
        <is>
          <t>Proposed by Source assignment; target 1.1.2 Guideway and Civil - Utility &amp; Roadworks</t>
        </is>
      </c>
      <c r="E192" s="23" t="inlineStr">
        <is>
          <t>None recorded</t>
        </is>
      </c>
      <c r="F192" s="23" t="inlineStr">
        <is>
          <t>No individual professional decision recorded; Source assignment -- not individually reviewed</t>
        </is>
      </c>
      <c r="G192" s="23" t="inlineStr">
        <is>
          <t>Not individually decided</t>
        </is>
      </c>
      <c r="H192" s="23" t="inlineStr">
        <is>
          <t xml:space="preserve">RETAINED / ONE_TO_ONE; </t>
        </is>
      </c>
      <c r="I192" s="23" t="inlineStr">
        <is>
          <t>Carried forward</t>
        </is>
      </c>
      <c r="J192" s="14" t="inlineStr">
        <is>
          <t>08 CROSSWALK</t>
        </is>
      </c>
    </row>
    <row r="193" ht="49" customHeight="1">
      <c r="A193" s="23" t="inlineStr">
        <is>
          <t>R54-v2</t>
        </is>
      </c>
      <c r="B193" s="23" t="inlineStr">
        <is>
          <t>Contractor Programme / SCH-01-054</t>
        </is>
      </c>
      <c r="C193" s="23" t="inlineStr">
        <is>
          <t>WBS Code = 1.1.2</t>
        </is>
      </c>
      <c r="D193" s="23" t="inlineStr">
        <is>
          <t>Proposed by Source assignment; target 1.1.2 Guideway and Civil - Utility &amp; Roadworks</t>
        </is>
      </c>
      <c r="E193" s="23" t="inlineStr">
        <is>
          <t>None recorded</t>
        </is>
      </c>
      <c r="F193" s="23" t="inlineStr">
        <is>
          <t>No individual professional decision recorded; Source assignment -- not individually reviewed</t>
        </is>
      </c>
      <c r="G193" s="23" t="inlineStr">
        <is>
          <t>Not individually decided</t>
        </is>
      </c>
      <c r="H193" s="23" t="inlineStr">
        <is>
          <t xml:space="preserve">RETAINED / ONE_TO_ONE; </t>
        </is>
      </c>
      <c r="I193" s="23" t="inlineStr">
        <is>
          <t>Carried forward</t>
        </is>
      </c>
      <c r="J193" s="14" t="inlineStr">
        <is>
          <t>08 CROSSWALK</t>
        </is>
      </c>
    </row>
    <row r="194" ht="49" customHeight="1">
      <c r="A194" s="23" t="inlineStr">
        <is>
          <t>R57-v2</t>
        </is>
      </c>
      <c r="B194" s="23" t="inlineStr">
        <is>
          <t>Contractor Programme / SCH-01-057</t>
        </is>
      </c>
      <c r="C194" s="23" t="inlineStr">
        <is>
          <t>WBS Code = 1.1.2</t>
        </is>
      </c>
      <c r="D194" s="23" t="inlineStr">
        <is>
          <t>Proposed by Source assignment; target 1.1.2 Guideway and Civil - Utility &amp; Roadworks</t>
        </is>
      </c>
      <c r="E194" s="23" t="inlineStr">
        <is>
          <t>None recorded</t>
        </is>
      </c>
      <c r="F194" s="23" t="inlineStr">
        <is>
          <t>No individual professional decision recorded; Source assignment -- not individually reviewed</t>
        </is>
      </c>
      <c r="G194" s="23" t="inlineStr">
        <is>
          <t>Not individually decided</t>
        </is>
      </c>
      <c r="H194" s="23" t="inlineStr">
        <is>
          <t xml:space="preserve">RETAINED / ONE_TO_ONE; </t>
        </is>
      </c>
      <c r="I194" s="23" t="inlineStr">
        <is>
          <t>Carried forward</t>
        </is>
      </c>
      <c r="J194" s="14" t="inlineStr">
        <is>
          <t>08 CROSSWALK</t>
        </is>
      </c>
    </row>
    <row r="195" ht="49" customHeight="1">
      <c r="A195" s="23" t="inlineStr">
        <is>
          <t>R60-v2</t>
        </is>
      </c>
      <c r="B195" s="23" t="inlineStr">
        <is>
          <t>Contractor Programme / SCH-01-060</t>
        </is>
      </c>
      <c r="C195" s="23" t="inlineStr">
        <is>
          <t>WBS Code = 1.1.2</t>
        </is>
      </c>
      <c r="D195" s="23" t="inlineStr">
        <is>
          <t>Proposed by Source assignment; target 1.1.2 Guideway and Civil - Utility &amp; Roadworks</t>
        </is>
      </c>
      <c r="E195" s="23" t="inlineStr">
        <is>
          <t>None recorded</t>
        </is>
      </c>
      <c r="F195" s="23" t="inlineStr">
        <is>
          <t>No individual professional decision recorded; Source assignment -- not individually reviewed</t>
        </is>
      </c>
      <c r="G195" s="23" t="inlineStr">
        <is>
          <t>Not individually decided</t>
        </is>
      </c>
      <c r="H195" s="23" t="inlineStr">
        <is>
          <t xml:space="preserve">RETAINED / ONE_TO_ONE; </t>
        </is>
      </c>
      <c r="I195" s="23" t="inlineStr">
        <is>
          <t>Carried forward</t>
        </is>
      </c>
      <c r="J195" s="14" t="inlineStr">
        <is>
          <t>08 CROSSWALK</t>
        </is>
      </c>
    </row>
    <row r="196" ht="49" customHeight="1">
      <c r="A196" s="23" t="inlineStr">
        <is>
          <t>R63-v2</t>
        </is>
      </c>
      <c r="B196" s="23" t="inlineStr">
        <is>
          <t>Contractor Programme / SCH-01-063</t>
        </is>
      </c>
      <c r="C196" s="23" t="inlineStr">
        <is>
          <t>WBS Code = 1.1.2</t>
        </is>
      </c>
      <c r="D196" s="23" t="inlineStr">
        <is>
          <t>Proposed by Source assignment; target 1.1.2 Guideway and Civil - Utility &amp; Roadworks</t>
        </is>
      </c>
      <c r="E196" s="23" t="inlineStr">
        <is>
          <t>None recorded</t>
        </is>
      </c>
      <c r="F196" s="23" t="inlineStr">
        <is>
          <t>No individual professional decision recorded; Source assignment -- not individually reviewed</t>
        </is>
      </c>
      <c r="G196" s="23" t="inlineStr">
        <is>
          <t>Not individually decided</t>
        </is>
      </c>
      <c r="H196" s="23" t="inlineStr">
        <is>
          <t xml:space="preserve">RETAINED / ONE_TO_ONE; </t>
        </is>
      </c>
      <c r="I196" s="23" t="inlineStr">
        <is>
          <t>Carried forward</t>
        </is>
      </c>
      <c r="J196" s="14" t="inlineStr">
        <is>
          <t>08 CROSSWALK</t>
        </is>
      </c>
    </row>
    <row r="197" ht="49" customHeight="1">
      <c r="A197" s="23" t="inlineStr">
        <is>
          <t>R66-v2</t>
        </is>
      </c>
      <c r="B197" s="23" t="inlineStr">
        <is>
          <t>Contractor Programme / SCH-01-066</t>
        </is>
      </c>
      <c r="C197" s="23" t="inlineStr">
        <is>
          <t>WBS Code = 1.1.2</t>
        </is>
      </c>
      <c r="D197" s="23" t="inlineStr">
        <is>
          <t>Proposed by Source assignment; target 1.1.2 Guideway and Civil - Utility &amp; Roadworks</t>
        </is>
      </c>
      <c r="E197" s="23" t="inlineStr">
        <is>
          <t>None recorded</t>
        </is>
      </c>
      <c r="F197" s="23" t="inlineStr">
        <is>
          <t>No individual professional decision recorded; Source assignment -- not individually reviewed</t>
        </is>
      </c>
      <c r="G197" s="23" t="inlineStr">
        <is>
          <t>Not individually decided</t>
        </is>
      </c>
      <c r="H197" s="23" t="inlineStr">
        <is>
          <t xml:space="preserve">RETAINED / ONE_TO_ONE; </t>
        </is>
      </c>
      <c r="I197" s="23" t="inlineStr">
        <is>
          <t>Carried forward</t>
        </is>
      </c>
      <c r="J197" s="14" t="inlineStr">
        <is>
          <t>08 CROSSWALK</t>
        </is>
      </c>
    </row>
    <row r="198" ht="49" customHeight="1">
      <c r="A198" s="23" t="inlineStr">
        <is>
          <t>R69-v2</t>
        </is>
      </c>
      <c r="B198" s="23" t="inlineStr">
        <is>
          <t>Contractor Programme / SCH-01-069</t>
        </is>
      </c>
      <c r="C198" s="23" t="inlineStr">
        <is>
          <t>WBS Code = 1.1.2</t>
        </is>
      </c>
      <c r="D198" s="23" t="inlineStr">
        <is>
          <t>Proposed by Source assignment; target 1.1.2 Guideway and Civil - Utility &amp; Roadworks</t>
        </is>
      </c>
      <c r="E198" s="23" t="inlineStr">
        <is>
          <t>None recorded</t>
        </is>
      </c>
      <c r="F198" s="23" t="inlineStr">
        <is>
          <t>No individual professional decision recorded; Source assignment -- not individually reviewed</t>
        </is>
      </c>
      <c r="G198" s="23" t="inlineStr">
        <is>
          <t>Not individually decided</t>
        </is>
      </c>
      <c r="H198" s="23" t="inlineStr">
        <is>
          <t xml:space="preserve">RETAINED / ONE_TO_ONE; </t>
        </is>
      </c>
      <c r="I198" s="23" t="inlineStr">
        <is>
          <t>Carried forward</t>
        </is>
      </c>
      <c r="J198" s="14" t="inlineStr">
        <is>
          <t>08 CROSSWALK</t>
        </is>
      </c>
    </row>
    <row r="199" ht="49" customHeight="1">
      <c r="A199" s="23" t="inlineStr">
        <is>
          <t>R72-v2</t>
        </is>
      </c>
      <c r="B199" s="23" t="inlineStr">
        <is>
          <t>Contractor Programme / SCH-01-072</t>
        </is>
      </c>
      <c r="C199" s="23" t="inlineStr">
        <is>
          <t>WBS Code = 1.1.2</t>
        </is>
      </c>
      <c r="D199" s="23" t="inlineStr">
        <is>
          <t>Proposed by Source assignment; target 1.1.2 Guideway and Civil - Utility &amp; Roadworks</t>
        </is>
      </c>
      <c r="E199" s="23" t="inlineStr">
        <is>
          <t>None recorded</t>
        </is>
      </c>
      <c r="F199" s="23" t="inlineStr">
        <is>
          <t>No individual professional decision recorded; Source assignment -- not individually reviewed</t>
        </is>
      </c>
      <c r="G199" s="23" t="inlineStr">
        <is>
          <t>Not individually decided</t>
        </is>
      </c>
      <c r="H199" s="23" t="inlineStr">
        <is>
          <t xml:space="preserve">RETAINED / ONE_TO_ONE; </t>
        </is>
      </c>
      <c r="I199" s="23" t="inlineStr">
        <is>
          <t>Carried forward</t>
        </is>
      </c>
      <c r="J199" s="14" t="inlineStr">
        <is>
          <t>08 CROSSWALK</t>
        </is>
      </c>
    </row>
    <row r="200" ht="49" customHeight="1">
      <c r="A200" s="23" t="inlineStr">
        <is>
          <t>R75-v2</t>
        </is>
      </c>
      <c r="B200" s="23" t="inlineStr">
        <is>
          <t>Contractor Programme / SCH-01-075</t>
        </is>
      </c>
      <c r="C200" s="23" t="inlineStr">
        <is>
          <t>WBS Code = 1.1.2</t>
        </is>
      </c>
      <c r="D200" s="23" t="inlineStr">
        <is>
          <t>Proposed by Source assignment; target 1.1.2 Guideway and Civil - Utility &amp; Roadworks</t>
        </is>
      </c>
      <c r="E200" s="23" t="inlineStr">
        <is>
          <t>None recorded</t>
        </is>
      </c>
      <c r="F200" s="23" t="inlineStr">
        <is>
          <t>No individual professional decision recorded; Source assignment -- not individually reviewed</t>
        </is>
      </c>
      <c r="G200" s="23" t="inlineStr">
        <is>
          <t>Not individually decided</t>
        </is>
      </c>
      <c r="H200" s="23" t="inlineStr">
        <is>
          <t xml:space="preserve">RETAINED / ONE_TO_ONE; </t>
        </is>
      </c>
      <c r="I200" s="23" t="inlineStr">
        <is>
          <t>Carried forward</t>
        </is>
      </c>
      <c r="J200" s="14" t="inlineStr">
        <is>
          <t>08 CROSSWALK</t>
        </is>
      </c>
    </row>
    <row r="201" ht="49" customHeight="1">
      <c r="A201" s="23" t="inlineStr">
        <is>
          <t>R78-v2</t>
        </is>
      </c>
      <c r="B201" s="23" t="inlineStr">
        <is>
          <t>Contractor Programme / SCH-01-078</t>
        </is>
      </c>
      <c r="C201" s="23" t="inlineStr">
        <is>
          <t>WBS Code = 1.1.2</t>
        </is>
      </c>
      <c r="D201" s="23" t="inlineStr">
        <is>
          <t>Proposed by Source assignment; target 1.1.2 Guideway and Civil - Utility &amp; Roadworks</t>
        </is>
      </c>
      <c r="E201" s="23" t="inlineStr">
        <is>
          <t>None recorded</t>
        </is>
      </c>
      <c r="F201" s="23" t="inlineStr">
        <is>
          <t>No individual professional decision recorded; Source assignment -- not individually reviewed</t>
        </is>
      </c>
      <c r="G201" s="23" t="inlineStr">
        <is>
          <t>Not individually decided</t>
        </is>
      </c>
      <c r="H201" s="23" t="inlineStr">
        <is>
          <t xml:space="preserve">RETAINED / ONE_TO_ONE; </t>
        </is>
      </c>
      <c r="I201" s="23" t="inlineStr">
        <is>
          <t>Carried forward</t>
        </is>
      </c>
      <c r="J201" s="14" t="inlineStr">
        <is>
          <t>08 CROSSWALK</t>
        </is>
      </c>
    </row>
    <row r="202" ht="49" customHeight="1">
      <c r="A202" s="23" t="inlineStr">
        <is>
          <t>R81-v2</t>
        </is>
      </c>
      <c r="B202" s="23" t="inlineStr">
        <is>
          <t>Contractor Programme / SCH-01-081</t>
        </is>
      </c>
      <c r="C202" s="23" t="inlineStr">
        <is>
          <t>WBS Code = 1.1.2</t>
        </is>
      </c>
      <c r="D202" s="23" t="inlineStr">
        <is>
          <t>Proposed by Source assignment; target 1.1.2 Guideway and Civil - Utility &amp; Roadworks</t>
        </is>
      </c>
      <c r="E202" s="23" t="inlineStr">
        <is>
          <t>None recorded</t>
        </is>
      </c>
      <c r="F202" s="23" t="inlineStr">
        <is>
          <t>No individual professional decision recorded; Source assignment -- not individually reviewed</t>
        </is>
      </c>
      <c r="G202" s="23" t="inlineStr">
        <is>
          <t>Not individually decided</t>
        </is>
      </c>
      <c r="H202" s="23" t="inlineStr">
        <is>
          <t xml:space="preserve">RETAINED / ONE_TO_ONE; </t>
        </is>
      </c>
      <c r="I202" s="23" t="inlineStr">
        <is>
          <t>Carried forward</t>
        </is>
      </c>
      <c r="J202" s="14" t="inlineStr">
        <is>
          <t>08 CROSSWALK</t>
        </is>
      </c>
    </row>
    <row r="203" ht="49" customHeight="1">
      <c r="A203" s="23" t="inlineStr">
        <is>
          <t>R84-v2</t>
        </is>
      </c>
      <c r="B203" s="23" t="inlineStr">
        <is>
          <t>Contractor Programme / SCH-01-084</t>
        </is>
      </c>
      <c r="C203" s="23" t="inlineStr">
        <is>
          <t>WBS Code = 1.1.2</t>
        </is>
      </c>
      <c r="D203" s="23" t="inlineStr">
        <is>
          <t>Proposed by Source assignment; target 1.1.2 Guideway and Civil - Utility &amp; Roadworks</t>
        </is>
      </c>
      <c r="E203" s="23" t="inlineStr">
        <is>
          <t>None recorded</t>
        </is>
      </c>
      <c r="F203" s="23" t="inlineStr">
        <is>
          <t>No individual professional decision recorded; Source assignment -- not individually reviewed</t>
        </is>
      </c>
      <c r="G203" s="23" t="inlineStr">
        <is>
          <t>Not individually decided</t>
        </is>
      </c>
      <c r="H203" s="23" t="inlineStr">
        <is>
          <t xml:space="preserve">RETAINED / ONE_TO_ONE; </t>
        </is>
      </c>
      <c r="I203" s="23" t="inlineStr">
        <is>
          <t>Carried forward</t>
        </is>
      </c>
      <c r="J203" s="14" t="inlineStr">
        <is>
          <t>08 CROSSWALK</t>
        </is>
      </c>
    </row>
    <row r="204" ht="49" customHeight="1">
      <c r="A204" s="23" t="inlineStr">
        <is>
          <t>R87-v2</t>
        </is>
      </c>
      <c r="B204" s="23" t="inlineStr">
        <is>
          <t>Contractor Programme / SCH-01-087</t>
        </is>
      </c>
      <c r="C204" s="23" t="inlineStr">
        <is>
          <t>WBS Code = 1.1.2</t>
        </is>
      </c>
      <c r="D204" s="23" t="inlineStr">
        <is>
          <t>Proposed by Source assignment; target 1.1.2 Guideway and Civil - Utility &amp; Roadworks</t>
        </is>
      </c>
      <c r="E204" s="23" t="inlineStr">
        <is>
          <t>None recorded</t>
        </is>
      </c>
      <c r="F204" s="23" t="inlineStr">
        <is>
          <t>No individual professional decision recorded; Source assignment -- not individually reviewed</t>
        </is>
      </c>
      <c r="G204" s="23" t="inlineStr">
        <is>
          <t>Not individually decided</t>
        </is>
      </c>
      <c r="H204" s="23" t="inlineStr">
        <is>
          <t xml:space="preserve">RETAINED / ONE_TO_ONE; </t>
        </is>
      </c>
      <c r="I204" s="23" t="inlineStr">
        <is>
          <t>Carried forward</t>
        </is>
      </c>
      <c r="J204" s="14" t="inlineStr">
        <is>
          <t>08 CROSSWALK</t>
        </is>
      </c>
    </row>
    <row r="205" ht="49" customHeight="1">
      <c r="A205" s="23" t="inlineStr">
        <is>
          <t>R90-v2</t>
        </is>
      </c>
      <c r="B205" s="23" t="inlineStr">
        <is>
          <t>Contractor Programme / SCH-01-090</t>
        </is>
      </c>
      <c r="C205" s="23" t="inlineStr">
        <is>
          <t>WBS Code = 1.1.2</t>
        </is>
      </c>
      <c r="D205" s="23" t="inlineStr">
        <is>
          <t>Proposed by Source assignment; target 1.1.2 Guideway and Civil - Utility &amp; Roadworks</t>
        </is>
      </c>
      <c r="E205" s="23" t="inlineStr">
        <is>
          <t>None recorded</t>
        </is>
      </c>
      <c r="F205" s="23" t="inlineStr">
        <is>
          <t>No individual professional decision recorded; Source assignment -- not individually reviewed</t>
        </is>
      </c>
      <c r="G205" s="23" t="inlineStr">
        <is>
          <t>Not individually decided</t>
        </is>
      </c>
      <c r="H205" s="23" t="inlineStr">
        <is>
          <t xml:space="preserve">RETAINED / ONE_TO_ONE; </t>
        </is>
      </c>
      <c r="I205" s="23" t="inlineStr">
        <is>
          <t>Carried forward</t>
        </is>
      </c>
      <c r="J205" s="14" t="inlineStr">
        <is>
          <t>08 CROSSWALK</t>
        </is>
      </c>
    </row>
    <row r="206" ht="49" customHeight="1">
      <c r="A206" s="23" t="inlineStr">
        <is>
          <t>R93-v2</t>
        </is>
      </c>
      <c r="B206" s="23" t="inlineStr">
        <is>
          <t>Contractor Programme / SCH-01-093</t>
        </is>
      </c>
      <c r="C206" s="23" t="inlineStr">
        <is>
          <t>WBS Code = 1.1.2</t>
        </is>
      </c>
      <c r="D206" s="23" t="inlineStr">
        <is>
          <t>Proposed by Source assignment; target 1.1.2 Guideway and Civil - Utility &amp; Roadworks</t>
        </is>
      </c>
      <c r="E206" s="23" t="inlineStr">
        <is>
          <t>None recorded</t>
        </is>
      </c>
      <c r="F206" s="23" t="inlineStr">
        <is>
          <t>No individual professional decision recorded; Source assignment -- not individually reviewed</t>
        </is>
      </c>
      <c r="G206" s="23" t="inlineStr">
        <is>
          <t>Not individually decided</t>
        </is>
      </c>
      <c r="H206" s="23" t="inlineStr">
        <is>
          <t xml:space="preserve">RETAINED / ONE_TO_ONE; </t>
        </is>
      </c>
      <c r="I206" s="23" t="inlineStr">
        <is>
          <t>Carried forward</t>
        </is>
      </c>
      <c r="J206" s="14" t="inlineStr">
        <is>
          <t>08 CROSSWALK</t>
        </is>
      </c>
    </row>
    <row r="207" ht="49" customHeight="1">
      <c r="A207" s="23" t="inlineStr">
        <is>
          <t>R96-v2</t>
        </is>
      </c>
      <c r="B207" s="23" t="inlineStr">
        <is>
          <t>Contractor Programme / SCH-01-096</t>
        </is>
      </c>
      <c r="C207" s="23" t="inlineStr">
        <is>
          <t>WBS Code = 1.1.2</t>
        </is>
      </c>
      <c r="D207" s="23" t="inlineStr">
        <is>
          <t>Proposed by Source assignment; target 1.1.2 Guideway and Civil - Utility &amp; Roadworks</t>
        </is>
      </c>
      <c r="E207" s="23" t="inlineStr">
        <is>
          <t>None recorded</t>
        </is>
      </c>
      <c r="F207" s="23" t="inlineStr">
        <is>
          <t>No individual professional decision recorded; Source assignment -- not individually reviewed</t>
        </is>
      </c>
      <c r="G207" s="23" t="inlineStr">
        <is>
          <t>Not individually decided</t>
        </is>
      </c>
      <c r="H207" s="23" t="inlineStr">
        <is>
          <t xml:space="preserve">RETAINED / ONE_TO_ONE; </t>
        </is>
      </c>
      <c r="I207" s="23" t="inlineStr">
        <is>
          <t>Carried forward</t>
        </is>
      </c>
      <c r="J207" s="14" t="inlineStr">
        <is>
          <t>08 CROSSWALK</t>
        </is>
      </c>
    </row>
    <row r="208" ht="49" customHeight="1">
      <c r="A208" s="23" t="inlineStr">
        <is>
          <t>R99-v2</t>
        </is>
      </c>
      <c r="B208" s="23" t="inlineStr">
        <is>
          <t>Contractor Programme / SCH-01-099</t>
        </is>
      </c>
      <c r="C208" s="23" t="inlineStr">
        <is>
          <t>WBS Code = 1.1.2</t>
        </is>
      </c>
      <c r="D208" s="23" t="inlineStr">
        <is>
          <t>Proposed by Source assignment; target 1.1.2 Guideway and Civil - Utility &amp; Roadworks</t>
        </is>
      </c>
      <c r="E208" s="23" t="inlineStr">
        <is>
          <t>None recorded</t>
        </is>
      </c>
      <c r="F208" s="23" t="inlineStr">
        <is>
          <t>No individual professional decision recorded; Source assignment -- not individually reviewed</t>
        </is>
      </c>
      <c r="G208" s="23" t="inlineStr">
        <is>
          <t>Not individually decided</t>
        </is>
      </c>
      <c r="H208" s="23" t="inlineStr">
        <is>
          <t xml:space="preserve">RETAINED / ONE_TO_ONE; </t>
        </is>
      </c>
      <c r="I208" s="23" t="inlineStr">
        <is>
          <t>Carried forward</t>
        </is>
      </c>
      <c r="J208" s="14" t="inlineStr">
        <is>
          <t>08 CROSSWALK</t>
        </is>
      </c>
    </row>
    <row r="209" ht="49" customHeight="1">
      <c r="A209" s="23" t="inlineStr">
        <is>
          <t>R102-v2</t>
        </is>
      </c>
      <c r="B209" s="23" t="inlineStr">
        <is>
          <t>Contractor Programme / SCH-01-102</t>
        </is>
      </c>
      <c r="C209" s="23" t="inlineStr">
        <is>
          <t>WBS Code = 1.1.2</t>
        </is>
      </c>
      <c r="D209" s="23" t="inlineStr">
        <is>
          <t>Proposed by Source assignment; target 1.1.2 Guideway and Civil - Utility &amp; Roadworks</t>
        </is>
      </c>
      <c r="E209" s="23" t="inlineStr">
        <is>
          <t>None recorded</t>
        </is>
      </c>
      <c r="F209" s="23" t="inlineStr">
        <is>
          <t>No individual professional decision recorded; Source assignment -- not individually reviewed</t>
        </is>
      </c>
      <c r="G209" s="23" t="inlineStr">
        <is>
          <t>Not individually decided</t>
        </is>
      </c>
      <c r="H209" s="23" t="inlineStr">
        <is>
          <t xml:space="preserve">RETAINED / ONE_TO_ONE; </t>
        </is>
      </c>
      <c r="I209" s="23" t="inlineStr">
        <is>
          <t>Carried forward</t>
        </is>
      </c>
      <c r="J209" s="14" t="inlineStr">
        <is>
          <t>08 CROSSWALK</t>
        </is>
      </c>
    </row>
    <row r="210" ht="49" customHeight="1">
      <c r="A210" s="23" t="inlineStr">
        <is>
          <t>R105-v2</t>
        </is>
      </c>
      <c r="B210" s="23" t="inlineStr">
        <is>
          <t>Contractor Programme / SCH-01-105</t>
        </is>
      </c>
      <c r="C210" s="23" t="inlineStr">
        <is>
          <t>WBS Code = 1.1.2</t>
        </is>
      </c>
      <c r="D210" s="23" t="inlineStr">
        <is>
          <t>Proposed by Source assignment; target 1.1.2 Guideway and Civil - Utility &amp; Roadworks</t>
        </is>
      </c>
      <c r="E210" s="23" t="inlineStr">
        <is>
          <t>None recorded</t>
        </is>
      </c>
      <c r="F210" s="23" t="inlineStr">
        <is>
          <t>No individual professional decision recorded; Source assignment -- not individually reviewed</t>
        </is>
      </c>
      <c r="G210" s="23" t="inlineStr">
        <is>
          <t>Not individually decided</t>
        </is>
      </c>
      <c r="H210" s="23" t="inlineStr">
        <is>
          <t xml:space="preserve">RETAINED / ONE_TO_ONE; </t>
        </is>
      </c>
      <c r="I210" s="23" t="inlineStr">
        <is>
          <t>Carried forward</t>
        </is>
      </c>
      <c r="J210" s="14" t="inlineStr">
        <is>
          <t>08 CROSSWALK</t>
        </is>
      </c>
    </row>
    <row r="211" ht="49" customHeight="1">
      <c r="A211" s="23" t="inlineStr">
        <is>
          <t>R108-v2</t>
        </is>
      </c>
      <c r="B211" s="23" t="inlineStr">
        <is>
          <t>Contractor Programme / SCH-01-108</t>
        </is>
      </c>
      <c r="C211" s="23" t="inlineStr">
        <is>
          <t>WBS Code = 1.1.2</t>
        </is>
      </c>
      <c r="D211" s="23" t="inlineStr">
        <is>
          <t>Proposed by Source assignment; target 1.1.2 Guideway and Civil - Utility &amp; Roadworks</t>
        </is>
      </c>
      <c r="E211" s="23" t="inlineStr">
        <is>
          <t>None recorded</t>
        </is>
      </c>
      <c r="F211" s="23" t="inlineStr">
        <is>
          <t>No individual professional decision recorded; Source assignment -- not individually reviewed</t>
        </is>
      </c>
      <c r="G211" s="23" t="inlineStr">
        <is>
          <t>Not individually decided</t>
        </is>
      </c>
      <c r="H211" s="23" t="inlineStr">
        <is>
          <t xml:space="preserve">RETAINED / ONE_TO_ONE; </t>
        </is>
      </c>
      <c r="I211" s="23" t="inlineStr">
        <is>
          <t>Carried forward</t>
        </is>
      </c>
      <c r="J211" s="14" t="inlineStr">
        <is>
          <t>08 CROSSWALK</t>
        </is>
      </c>
    </row>
    <row r="212" ht="49" customHeight="1">
      <c r="A212" s="23" t="inlineStr">
        <is>
          <t>R111-v2</t>
        </is>
      </c>
      <c r="B212" s="23" t="inlineStr">
        <is>
          <t>Contractor Programme / SCH-01-111</t>
        </is>
      </c>
      <c r="C212" s="23" t="inlineStr">
        <is>
          <t>WBS Code = 1.1.2</t>
        </is>
      </c>
      <c r="D212" s="23" t="inlineStr">
        <is>
          <t>Proposed by Source assignment; target 1.1.2 Guideway and Civil - Utility &amp; Roadworks</t>
        </is>
      </c>
      <c r="E212" s="23" t="inlineStr">
        <is>
          <t>None recorded</t>
        </is>
      </c>
      <c r="F212" s="23" t="inlineStr">
        <is>
          <t>No individual professional decision recorded; Source assignment -- not individually reviewed</t>
        </is>
      </c>
      <c r="G212" s="23" t="inlineStr">
        <is>
          <t>Not individually decided</t>
        </is>
      </c>
      <c r="H212" s="23" t="inlineStr">
        <is>
          <t xml:space="preserve">RETAINED / ONE_TO_ONE; </t>
        </is>
      </c>
      <c r="I212" s="23" t="inlineStr">
        <is>
          <t>Carried forward</t>
        </is>
      </c>
      <c r="J212" s="14" t="inlineStr">
        <is>
          <t>08 CROSSWALK</t>
        </is>
      </c>
    </row>
    <row r="213" ht="49" customHeight="1">
      <c r="A213" s="23" t="inlineStr">
        <is>
          <t>R114-v2</t>
        </is>
      </c>
      <c r="B213" s="23" t="inlineStr">
        <is>
          <t>Contractor Programme / SCH-01-114</t>
        </is>
      </c>
      <c r="C213" s="23" t="inlineStr">
        <is>
          <t>WBS Code = 1.1.2</t>
        </is>
      </c>
      <c r="D213" s="23" t="inlineStr">
        <is>
          <t>Proposed by Source assignment; target 1.1.2 Guideway and Civil - Utility &amp; Roadworks</t>
        </is>
      </c>
      <c r="E213" s="23" t="inlineStr">
        <is>
          <t>None recorded</t>
        </is>
      </c>
      <c r="F213" s="23" t="inlineStr">
        <is>
          <t>No individual professional decision recorded; Source assignment -- not individually reviewed</t>
        </is>
      </c>
      <c r="G213" s="23" t="inlineStr">
        <is>
          <t>Not individually decided</t>
        </is>
      </c>
      <c r="H213" s="23" t="inlineStr">
        <is>
          <t xml:space="preserve">RETAINED / ONE_TO_ONE; </t>
        </is>
      </c>
      <c r="I213" s="23" t="inlineStr">
        <is>
          <t>Carried forward</t>
        </is>
      </c>
      <c r="J213" s="14" t="inlineStr">
        <is>
          <t>08 CROSSWALK</t>
        </is>
      </c>
    </row>
    <row r="214" ht="49" customHeight="1">
      <c r="A214" s="23" t="inlineStr">
        <is>
          <t>R117-v2</t>
        </is>
      </c>
      <c r="B214" s="23" t="inlineStr">
        <is>
          <t>Contractor Programme / SCH-01-117</t>
        </is>
      </c>
      <c r="C214" s="23" t="inlineStr">
        <is>
          <t>WBS Code = 1.1.2</t>
        </is>
      </c>
      <c r="D214" s="23" t="inlineStr">
        <is>
          <t>Proposed by Source assignment; target 1.1.2 Guideway and Civil - Utility &amp; Roadworks</t>
        </is>
      </c>
      <c r="E214" s="23" t="inlineStr">
        <is>
          <t>None recorded</t>
        </is>
      </c>
      <c r="F214" s="23" t="inlineStr">
        <is>
          <t>No individual professional decision recorded; Source assignment -- not individually reviewed</t>
        </is>
      </c>
      <c r="G214" s="23" t="inlineStr">
        <is>
          <t>Not individually decided</t>
        </is>
      </c>
      <c r="H214" s="23" t="inlineStr">
        <is>
          <t xml:space="preserve">RETAINED / ONE_TO_ONE; </t>
        </is>
      </c>
      <c r="I214" s="23" t="inlineStr">
        <is>
          <t>Carried forward</t>
        </is>
      </c>
      <c r="J214" s="14" t="inlineStr">
        <is>
          <t>08 CROSSWALK</t>
        </is>
      </c>
    </row>
    <row r="215" ht="49" customHeight="1">
      <c r="A215" s="23" t="inlineStr">
        <is>
          <t>R120-v2</t>
        </is>
      </c>
      <c r="B215" s="23" t="inlineStr">
        <is>
          <t>Contractor Programme / SCH-01-120</t>
        </is>
      </c>
      <c r="C215" s="23" t="inlineStr">
        <is>
          <t>WBS Code = 1.1.2</t>
        </is>
      </c>
      <c r="D215" s="23" t="inlineStr">
        <is>
          <t>Proposed by Source assignment; target 1.1.2 Guideway and Civil - Utility &amp; Roadworks</t>
        </is>
      </c>
      <c r="E215" s="23" t="inlineStr">
        <is>
          <t>None recorded</t>
        </is>
      </c>
      <c r="F215" s="23" t="inlineStr">
        <is>
          <t>No individual professional decision recorded; Source assignment -- not individually reviewed</t>
        </is>
      </c>
      <c r="G215" s="23" t="inlineStr">
        <is>
          <t>Not individually decided</t>
        </is>
      </c>
      <c r="H215" s="23" t="inlineStr">
        <is>
          <t xml:space="preserve">RETAINED / ONE_TO_ONE; </t>
        </is>
      </c>
      <c r="I215" s="23" t="inlineStr">
        <is>
          <t>Carried forward</t>
        </is>
      </c>
      <c r="J215" s="14" t="inlineStr">
        <is>
          <t>08 CROSSWALK</t>
        </is>
      </c>
    </row>
    <row r="216" ht="49" customHeight="1">
      <c r="A216" s="23" t="inlineStr">
        <is>
          <t>R123-v2</t>
        </is>
      </c>
      <c r="B216" s="23" t="inlineStr">
        <is>
          <t>Contractor Programme / SCH-01-123</t>
        </is>
      </c>
      <c r="C216" s="23" t="inlineStr">
        <is>
          <t>WBS Code = 1.1.2</t>
        </is>
      </c>
      <c r="D216" s="23" t="inlineStr">
        <is>
          <t>Proposed by Source assignment; target 1.1.2 Guideway and Civil - Utility &amp; Roadworks</t>
        </is>
      </c>
      <c r="E216" s="23" t="inlineStr">
        <is>
          <t>None recorded</t>
        </is>
      </c>
      <c r="F216" s="23" t="inlineStr">
        <is>
          <t>No individual professional decision recorded; Source assignment -- not individually reviewed</t>
        </is>
      </c>
      <c r="G216" s="23" t="inlineStr">
        <is>
          <t>Not individually decided</t>
        </is>
      </c>
      <c r="H216" s="23" t="inlineStr">
        <is>
          <t xml:space="preserve">RETAINED / ONE_TO_ONE; </t>
        </is>
      </c>
      <c r="I216" s="23" t="inlineStr">
        <is>
          <t>Carried forward</t>
        </is>
      </c>
      <c r="J216" s="14" t="inlineStr">
        <is>
          <t>08 CROSSWALK</t>
        </is>
      </c>
    </row>
    <row r="217" ht="49" customHeight="1">
      <c r="A217" s="23" t="inlineStr">
        <is>
          <t>R126-v2</t>
        </is>
      </c>
      <c r="B217" s="23" t="inlineStr">
        <is>
          <t>Contractor Programme / SCH-01-126</t>
        </is>
      </c>
      <c r="C217" s="23" t="inlineStr">
        <is>
          <t>WBS Code = 1.1.2</t>
        </is>
      </c>
      <c r="D217" s="23" t="inlineStr">
        <is>
          <t>Proposed by Source assignment; target 1.1.2 Guideway and Civil - Utility &amp; Roadworks</t>
        </is>
      </c>
      <c r="E217" s="23" t="inlineStr">
        <is>
          <t>None recorded</t>
        </is>
      </c>
      <c r="F217" s="23" t="inlineStr">
        <is>
          <t>No individual professional decision recorded; Source assignment -- not individually reviewed</t>
        </is>
      </c>
      <c r="G217" s="23" t="inlineStr">
        <is>
          <t>Not individually decided</t>
        </is>
      </c>
      <c r="H217" s="23" t="inlineStr">
        <is>
          <t xml:space="preserve">RETAINED / ONE_TO_ONE; </t>
        </is>
      </c>
      <c r="I217" s="23" t="inlineStr">
        <is>
          <t>Carried forward</t>
        </is>
      </c>
      <c r="J217" s="14" t="inlineStr">
        <is>
          <t>08 CROSSWALK</t>
        </is>
      </c>
    </row>
    <row r="218" ht="49" customHeight="1">
      <c r="A218" s="23" t="inlineStr">
        <is>
          <t>R129-v2</t>
        </is>
      </c>
      <c r="B218" s="23" t="inlineStr">
        <is>
          <t>Contractor Programme / SCH-01-129</t>
        </is>
      </c>
      <c r="C218" s="23" t="inlineStr">
        <is>
          <t>WBS Code = 1.1.2</t>
        </is>
      </c>
      <c r="D218" s="23" t="inlineStr">
        <is>
          <t>Proposed by Source assignment; target 1.1.2 Guideway and Civil - Utility &amp; Roadworks</t>
        </is>
      </c>
      <c r="E218" s="23" t="inlineStr">
        <is>
          <t>None recorded</t>
        </is>
      </c>
      <c r="F218" s="23" t="inlineStr">
        <is>
          <t>No individual professional decision recorded; Source assignment -- not individually reviewed</t>
        </is>
      </c>
      <c r="G218" s="23" t="inlineStr">
        <is>
          <t>Not individually decided</t>
        </is>
      </c>
      <c r="H218" s="23" t="inlineStr">
        <is>
          <t xml:space="preserve">RETAINED / ONE_TO_ONE; </t>
        </is>
      </c>
      <c r="I218" s="23" t="inlineStr">
        <is>
          <t>Carried forward</t>
        </is>
      </c>
      <c r="J218" s="14" t="inlineStr">
        <is>
          <t>08 CROSSWALK</t>
        </is>
      </c>
    </row>
    <row r="219" ht="49" customHeight="1">
      <c r="A219" s="23" t="inlineStr">
        <is>
          <t>R132-v2</t>
        </is>
      </c>
      <c r="B219" s="23" t="inlineStr">
        <is>
          <t>Contractor Programme / SCH-01-132</t>
        </is>
      </c>
      <c r="C219" s="23" t="inlineStr">
        <is>
          <t>WBS Code = 1.1.2</t>
        </is>
      </c>
      <c r="D219" s="23" t="inlineStr">
        <is>
          <t>Proposed by Source assignment; target 1.1.2 Guideway and Civil - Utility &amp; Roadworks</t>
        </is>
      </c>
      <c r="E219" s="23" t="inlineStr">
        <is>
          <t>None recorded</t>
        </is>
      </c>
      <c r="F219" s="23" t="inlineStr">
        <is>
          <t>No individual professional decision recorded; Source assignment -- not individually reviewed</t>
        </is>
      </c>
      <c r="G219" s="23" t="inlineStr">
        <is>
          <t>Not individually decided</t>
        </is>
      </c>
      <c r="H219" s="23" t="inlineStr">
        <is>
          <t xml:space="preserve">RETAINED / ONE_TO_ONE; </t>
        </is>
      </c>
      <c r="I219" s="23" t="inlineStr">
        <is>
          <t>Carried forward</t>
        </is>
      </c>
      <c r="J219" s="14" t="inlineStr">
        <is>
          <t>08 CROSSWALK</t>
        </is>
      </c>
    </row>
    <row r="220" ht="49" customHeight="1">
      <c r="A220" s="23" t="inlineStr">
        <is>
          <t>R135-v2</t>
        </is>
      </c>
      <c r="B220" s="23" t="inlineStr">
        <is>
          <t>Contractor Programme / SCH-01-135</t>
        </is>
      </c>
      <c r="C220" s="23" t="inlineStr">
        <is>
          <t>WBS Code = 1.1.2</t>
        </is>
      </c>
      <c r="D220" s="23" t="inlineStr">
        <is>
          <t>Proposed by Source assignment; target 1.1.2 Guideway and Civil - Utility &amp; Roadworks</t>
        </is>
      </c>
      <c r="E220" s="23" t="inlineStr">
        <is>
          <t>None recorded</t>
        </is>
      </c>
      <c r="F220" s="23" t="inlineStr">
        <is>
          <t>No individual professional decision recorded; Source assignment -- not individually reviewed</t>
        </is>
      </c>
      <c r="G220" s="23" t="inlineStr">
        <is>
          <t>Not individually decided</t>
        </is>
      </c>
      <c r="H220" s="23" t="inlineStr">
        <is>
          <t xml:space="preserve">RETAINED / ONE_TO_ONE; </t>
        </is>
      </c>
      <c r="I220" s="23" t="inlineStr">
        <is>
          <t>Carried forward</t>
        </is>
      </c>
      <c r="J220" s="14" t="inlineStr">
        <is>
          <t>08 CROSSWALK</t>
        </is>
      </c>
    </row>
    <row r="221" ht="49" customHeight="1">
      <c r="A221" s="23" t="inlineStr">
        <is>
          <t>R138-v2</t>
        </is>
      </c>
      <c r="B221" s="23" t="inlineStr">
        <is>
          <t>Contractor Programme / SCH-01-138</t>
        </is>
      </c>
      <c r="C221" s="23" t="inlineStr">
        <is>
          <t>WBS Code = 1.1.2</t>
        </is>
      </c>
      <c r="D221" s="23" t="inlineStr">
        <is>
          <t>Proposed by Source assignment; target 1.1.2 Guideway and Civil - Utility &amp; Roadworks</t>
        </is>
      </c>
      <c r="E221" s="23" t="inlineStr">
        <is>
          <t>None recorded</t>
        </is>
      </c>
      <c r="F221" s="23" t="inlineStr">
        <is>
          <t>No individual professional decision recorded; Source assignment -- not individually reviewed</t>
        </is>
      </c>
      <c r="G221" s="23" t="inlineStr">
        <is>
          <t>Not individually decided</t>
        </is>
      </c>
      <c r="H221" s="23" t="inlineStr">
        <is>
          <t xml:space="preserve">RETAINED / ONE_TO_ONE; </t>
        </is>
      </c>
      <c r="I221" s="23" t="inlineStr">
        <is>
          <t>Carried forward</t>
        </is>
      </c>
      <c r="J221" s="14" t="inlineStr">
        <is>
          <t>08 CROSSWALK</t>
        </is>
      </c>
    </row>
    <row r="222" ht="49" customHeight="1">
      <c r="A222" s="23" t="inlineStr">
        <is>
          <t>R141-v2</t>
        </is>
      </c>
      <c r="B222" s="23" t="inlineStr">
        <is>
          <t>Contractor Programme / SCH-01-141</t>
        </is>
      </c>
      <c r="C222" s="23" t="inlineStr">
        <is>
          <t>WBS Code = 1.1.2</t>
        </is>
      </c>
      <c r="D222" s="23" t="inlineStr">
        <is>
          <t>Proposed by Source assignment; target 1.1.2 Guideway and Civil - Utility &amp; Roadworks</t>
        </is>
      </c>
      <c r="E222" s="23" t="inlineStr">
        <is>
          <t>None recorded</t>
        </is>
      </c>
      <c r="F222" s="23" t="inlineStr">
        <is>
          <t>No individual professional decision recorded; Source assignment -- not individually reviewed</t>
        </is>
      </c>
      <c r="G222" s="23" t="inlineStr">
        <is>
          <t>Not individually decided</t>
        </is>
      </c>
      <c r="H222" s="23" t="inlineStr">
        <is>
          <t xml:space="preserve">RETAINED / ONE_TO_ONE; </t>
        </is>
      </c>
      <c r="I222" s="23" t="inlineStr">
        <is>
          <t>Carried forward</t>
        </is>
      </c>
      <c r="J222" s="14" t="inlineStr">
        <is>
          <t>08 CROSSWALK</t>
        </is>
      </c>
    </row>
    <row r="223" ht="49" customHeight="1">
      <c r="A223" s="23" t="inlineStr">
        <is>
          <t>R144-v2</t>
        </is>
      </c>
      <c r="B223" s="23" t="inlineStr">
        <is>
          <t>Contractor Programme / SCH-01-144</t>
        </is>
      </c>
      <c r="C223" s="23" t="inlineStr">
        <is>
          <t>WBS Code = 1.1.2</t>
        </is>
      </c>
      <c r="D223" s="23" t="inlineStr">
        <is>
          <t>Proposed by Source assignment; target 1.1.2 Guideway and Civil - Utility &amp; Roadworks</t>
        </is>
      </c>
      <c r="E223" s="23" t="inlineStr">
        <is>
          <t>None recorded</t>
        </is>
      </c>
      <c r="F223" s="23" t="inlineStr">
        <is>
          <t>No individual professional decision recorded; Source assignment -- not individually reviewed</t>
        </is>
      </c>
      <c r="G223" s="23" t="inlineStr">
        <is>
          <t>Not individually decided</t>
        </is>
      </c>
      <c r="H223" s="23" t="inlineStr">
        <is>
          <t xml:space="preserve">RETAINED / ONE_TO_ONE; </t>
        </is>
      </c>
      <c r="I223" s="23" t="inlineStr">
        <is>
          <t>Carried forward</t>
        </is>
      </c>
      <c r="J223" s="14" t="inlineStr">
        <is>
          <t>08 CROSSWALK</t>
        </is>
      </c>
    </row>
    <row r="224" ht="49" customHeight="1">
      <c r="A224" s="23" t="inlineStr">
        <is>
          <t>R147-v2</t>
        </is>
      </c>
      <c r="B224" s="23" t="inlineStr">
        <is>
          <t>Contractor Programme / SCH-01-147</t>
        </is>
      </c>
      <c r="C224" s="23" t="inlineStr">
        <is>
          <t>WBS Code = 1.1.2</t>
        </is>
      </c>
      <c r="D224" s="23" t="inlineStr">
        <is>
          <t>Proposed by Source assignment; target 1.1.2 Guideway and Civil - Utility &amp; Roadworks</t>
        </is>
      </c>
      <c r="E224" s="23" t="inlineStr">
        <is>
          <t>None recorded</t>
        </is>
      </c>
      <c r="F224" s="23" t="inlineStr">
        <is>
          <t>No individual professional decision recorded; Source assignment -- not individually reviewed</t>
        </is>
      </c>
      <c r="G224" s="23" t="inlineStr">
        <is>
          <t>Not individually decided</t>
        </is>
      </c>
      <c r="H224" s="23" t="inlineStr">
        <is>
          <t xml:space="preserve">RETAINED / ONE_TO_ONE; </t>
        </is>
      </c>
      <c r="I224" s="23" t="inlineStr">
        <is>
          <t>Carried forward</t>
        </is>
      </c>
      <c r="J224" s="14" t="inlineStr">
        <is>
          <t>08 CROSSWALK</t>
        </is>
      </c>
    </row>
    <row r="225" ht="49" customHeight="1">
      <c r="A225" s="23" t="inlineStr">
        <is>
          <t>R150-v2</t>
        </is>
      </c>
      <c r="B225" s="23" t="inlineStr">
        <is>
          <t>Contractor Programme / SCH-01-150</t>
        </is>
      </c>
      <c r="C225" s="23" t="inlineStr">
        <is>
          <t>WBS Code = 1.1.2</t>
        </is>
      </c>
      <c r="D225" s="23" t="inlineStr">
        <is>
          <t>Proposed by Source assignment; target 1.1.2 Guideway and Civil - Utility &amp; Roadworks</t>
        </is>
      </c>
      <c r="E225" s="23" t="inlineStr">
        <is>
          <t>None recorded</t>
        </is>
      </c>
      <c r="F225" s="23" t="inlineStr">
        <is>
          <t>No individual professional decision recorded; Source assignment -- not individually reviewed</t>
        </is>
      </c>
      <c r="G225" s="23" t="inlineStr">
        <is>
          <t>Not individually decided</t>
        </is>
      </c>
      <c r="H225" s="23" t="inlineStr">
        <is>
          <t xml:space="preserve">RETAINED / ONE_TO_ONE; </t>
        </is>
      </c>
      <c r="I225" s="23" t="inlineStr">
        <is>
          <t>Carried forward</t>
        </is>
      </c>
      <c r="J225" s="14" t="inlineStr">
        <is>
          <t>08 CROSSWALK</t>
        </is>
      </c>
    </row>
    <row r="226" ht="49" customHeight="1">
      <c r="A226" s="23" t="inlineStr">
        <is>
          <t>R153-v2</t>
        </is>
      </c>
      <c r="B226" s="23" t="inlineStr">
        <is>
          <t>Contractor Programme / SCH-01-153</t>
        </is>
      </c>
      <c r="C226" s="23" t="inlineStr">
        <is>
          <t>WBS Code = 1.1.2</t>
        </is>
      </c>
      <c r="D226" s="23" t="inlineStr">
        <is>
          <t>Proposed by Source assignment; target 1.1.2 Guideway and Civil - Utility &amp; Roadworks</t>
        </is>
      </c>
      <c r="E226" s="23" t="inlineStr">
        <is>
          <t>None recorded</t>
        </is>
      </c>
      <c r="F226" s="23" t="inlineStr">
        <is>
          <t>No individual professional decision recorded; Source assignment -- not individually reviewed</t>
        </is>
      </c>
      <c r="G226" s="23" t="inlineStr">
        <is>
          <t>Not individually decided</t>
        </is>
      </c>
      <c r="H226" s="23" t="inlineStr">
        <is>
          <t xml:space="preserve">RETAINED / ONE_TO_ONE; </t>
        </is>
      </c>
      <c r="I226" s="23" t="inlineStr">
        <is>
          <t>Carried forward</t>
        </is>
      </c>
      <c r="J226" s="14" t="inlineStr">
        <is>
          <t>08 CROSSWALK</t>
        </is>
      </c>
    </row>
    <row r="227" ht="49" customHeight="1">
      <c r="A227" s="23" t="inlineStr">
        <is>
          <t>R156-v2</t>
        </is>
      </c>
      <c r="B227" s="23" t="inlineStr">
        <is>
          <t>Contractor Programme / SCH-01-156</t>
        </is>
      </c>
      <c r="C227" s="23" t="inlineStr">
        <is>
          <t>WBS Code = 1.1.2</t>
        </is>
      </c>
      <c r="D227" s="23" t="inlineStr">
        <is>
          <t>Proposed by Source assignment; target 1.1.2 Guideway and Civil - Utility &amp; Roadworks</t>
        </is>
      </c>
      <c r="E227" s="23" t="inlineStr">
        <is>
          <t>None recorded</t>
        </is>
      </c>
      <c r="F227" s="23" t="inlineStr">
        <is>
          <t>No individual professional decision recorded; Source assignment -- not individually reviewed</t>
        </is>
      </c>
      <c r="G227" s="23" t="inlineStr">
        <is>
          <t>Not individually decided</t>
        </is>
      </c>
      <c r="H227" s="23" t="inlineStr">
        <is>
          <t xml:space="preserve">RETAINED / ONE_TO_ONE; </t>
        </is>
      </c>
      <c r="I227" s="23" t="inlineStr">
        <is>
          <t>Carried forward</t>
        </is>
      </c>
      <c r="J227" s="14" t="inlineStr">
        <is>
          <t>08 CROSSWALK</t>
        </is>
      </c>
    </row>
    <row r="228" ht="49" customHeight="1">
      <c r="A228" s="23" t="inlineStr">
        <is>
          <t>R159-v2</t>
        </is>
      </c>
      <c r="B228" s="23" t="inlineStr">
        <is>
          <t>Contractor Programme / SCH-01-159</t>
        </is>
      </c>
      <c r="C228" s="23" t="inlineStr">
        <is>
          <t>WBS Code = 1.1.2</t>
        </is>
      </c>
      <c r="D228" s="23" t="inlineStr">
        <is>
          <t>Proposed by Source assignment; target 1.1.2 Guideway and Civil - Utility &amp; Roadworks</t>
        </is>
      </c>
      <c r="E228" s="23" t="inlineStr">
        <is>
          <t>None recorded</t>
        </is>
      </c>
      <c r="F228" s="23" t="inlineStr">
        <is>
          <t>No individual professional decision recorded; Source assignment -- not individually reviewed</t>
        </is>
      </c>
      <c r="G228" s="23" t="inlineStr">
        <is>
          <t>Not individually decided</t>
        </is>
      </c>
      <c r="H228" s="23" t="inlineStr">
        <is>
          <t xml:space="preserve">RETAINED / ONE_TO_ONE; </t>
        </is>
      </c>
      <c r="I228" s="23" t="inlineStr">
        <is>
          <t>Carried forward</t>
        </is>
      </c>
      <c r="J228" s="14" t="inlineStr">
        <is>
          <t>08 CROSSWALK</t>
        </is>
      </c>
    </row>
    <row r="229" ht="49" customHeight="1">
      <c r="A229" s="23" t="inlineStr">
        <is>
          <t>R162-v2</t>
        </is>
      </c>
      <c r="B229" s="23" t="inlineStr">
        <is>
          <t>Contractor Programme / SCH-01-162</t>
        </is>
      </c>
      <c r="C229" s="23" t="inlineStr">
        <is>
          <t>WBS Code = 1.1.2</t>
        </is>
      </c>
      <c r="D229" s="23" t="inlineStr">
        <is>
          <t>Proposed by Source assignment; target 1.1.2 Guideway and Civil - Utility &amp; Roadworks</t>
        </is>
      </c>
      <c r="E229" s="23" t="inlineStr">
        <is>
          <t>None recorded</t>
        </is>
      </c>
      <c r="F229" s="23" t="inlineStr">
        <is>
          <t>No individual professional decision recorded; Source assignment -- not individually reviewed</t>
        </is>
      </c>
      <c r="G229" s="23" t="inlineStr">
        <is>
          <t>Not individually decided</t>
        </is>
      </c>
      <c r="H229" s="23" t="inlineStr">
        <is>
          <t xml:space="preserve">RETAINED / ONE_TO_ONE; </t>
        </is>
      </c>
      <c r="I229" s="23" t="inlineStr">
        <is>
          <t>Carried forward</t>
        </is>
      </c>
      <c r="J229" s="14" t="inlineStr">
        <is>
          <t>08 CROSSWALK</t>
        </is>
      </c>
    </row>
    <row r="230" ht="49" customHeight="1">
      <c r="A230" s="23" t="inlineStr">
        <is>
          <t>R165-v2</t>
        </is>
      </c>
      <c r="B230" s="23" t="inlineStr">
        <is>
          <t>Contractor Programme / SCH-01-165</t>
        </is>
      </c>
      <c r="C230" s="23" t="inlineStr">
        <is>
          <t>WBS Code = 1.1.2</t>
        </is>
      </c>
      <c r="D230" s="23" t="inlineStr">
        <is>
          <t>Proposed by Source assignment; target 1.1.2 Guideway and Civil - Utility &amp; Roadworks</t>
        </is>
      </c>
      <c r="E230" s="23" t="inlineStr">
        <is>
          <t>None recorded</t>
        </is>
      </c>
      <c r="F230" s="23" t="inlineStr">
        <is>
          <t>No individual professional decision recorded; Source assignment -- not individually reviewed</t>
        </is>
      </c>
      <c r="G230" s="23" t="inlineStr">
        <is>
          <t>Not individually decided</t>
        </is>
      </c>
      <c r="H230" s="23" t="inlineStr">
        <is>
          <t xml:space="preserve">RETAINED / ONE_TO_ONE; </t>
        </is>
      </c>
      <c r="I230" s="23" t="inlineStr">
        <is>
          <t>Carried forward</t>
        </is>
      </c>
      <c r="J230" s="14" t="inlineStr">
        <is>
          <t>08 CROSSWALK</t>
        </is>
      </c>
    </row>
    <row r="231" ht="49" customHeight="1">
      <c r="A231" s="23" t="inlineStr">
        <is>
          <t>R168-v2</t>
        </is>
      </c>
      <c r="B231" s="23" t="inlineStr">
        <is>
          <t>Contractor Programme / SCH-01-168</t>
        </is>
      </c>
      <c r="C231" s="23" t="inlineStr">
        <is>
          <t>WBS Code = 1.1.2</t>
        </is>
      </c>
      <c r="D231" s="23" t="inlineStr">
        <is>
          <t>Proposed by Source assignment; target 1.1.2 Guideway and Civil - Utility &amp; Roadworks</t>
        </is>
      </c>
      <c r="E231" s="23" t="inlineStr">
        <is>
          <t>None recorded</t>
        </is>
      </c>
      <c r="F231" s="23" t="inlineStr">
        <is>
          <t>No individual professional decision recorded; Source assignment -- not individually reviewed</t>
        </is>
      </c>
      <c r="G231" s="23" t="inlineStr">
        <is>
          <t>Not individually decided</t>
        </is>
      </c>
      <c r="H231" s="23" t="inlineStr">
        <is>
          <t xml:space="preserve">RETAINED / ONE_TO_ONE; </t>
        </is>
      </c>
      <c r="I231" s="23" t="inlineStr">
        <is>
          <t>Carried forward</t>
        </is>
      </c>
      <c r="J231" s="14" t="inlineStr">
        <is>
          <t>08 CROSSWALK</t>
        </is>
      </c>
    </row>
    <row r="232" ht="49" customHeight="1">
      <c r="A232" s="23" t="inlineStr">
        <is>
          <t>R171-v2</t>
        </is>
      </c>
      <c r="B232" s="23" t="inlineStr">
        <is>
          <t>Contractor Programme / SCH-01-171</t>
        </is>
      </c>
      <c r="C232" s="23" t="inlineStr">
        <is>
          <t>WBS Code = 1.1.2</t>
        </is>
      </c>
      <c r="D232" s="23" t="inlineStr">
        <is>
          <t>Proposed by Source assignment; target 1.1.2 Guideway and Civil - Utility &amp; Roadworks</t>
        </is>
      </c>
      <c r="E232" s="23" t="inlineStr">
        <is>
          <t>None recorded</t>
        </is>
      </c>
      <c r="F232" s="23" t="inlineStr">
        <is>
          <t>No individual professional decision recorded; Source assignment -- not individually reviewed</t>
        </is>
      </c>
      <c r="G232" s="23" t="inlineStr">
        <is>
          <t>Not individually decided</t>
        </is>
      </c>
      <c r="H232" s="23" t="inlineStr">
        <is>
          <t xml:space="preserve">RETAINED / ONE_TO_ONE; </t>
        </is>
      </c>
      <c r="I232" s="23" t="inlineStr">
        <is>
          <t>Carried forward</t>
        </is>
      </c>
      <c r="J232" s="14" t="inlineStr">
        <is>
          <t>08 CROSSWALK</t>
        </is>
      </c>
    </row>
    <row r="233" ht="49" customHeight="1">
      <c r="A233" s="23" t="inlineStr">
        <is>
          <t>R174-v2</t>
        </is>
      </c>
      <c r="B233" s="23" t="inlineStr">
        <is>
          <t>Contractor Programme / SCH-01-174</t>
        </is>
      </c>
      <c r="C233" s="23" t="inlineStr">
        <is>
          <t>WBS Code = 1.1.2</t>
        </is>
      </c>
      <c r="D233" s="23" t="inlineStr">
        <is>
          <t>Proposed by Source assignment; target 1.1.2 Guideway and Civil - Utility &amp; Roadworks</t>
        </is>
      </c>
      <c r="E233" s="23" t="inlineStr">
        <is>
          <t>None recorded</t>
        </is>
      </c>
      <c r="F233" s="23" t="inlineStr">
        <is>
          <t>No individual professional decision recorded; Source assignment -- not individually reviewed</t>
        </is>
      </c>
      <c r="G233" s="23" t="inlineStr">
        <is>
          <t>Not individually decided</t>
        </is>
      </c>
      <c r="H233" s="23" t="inlineStr">
        <is>
          <t xml:space="preserve">RETAINED / ONE_TO_ONE; </t>
        </is>
      </c>
      <c r="I233" s="23" t="inlineStr">
        <is>
          <t>Carried forward</t>
        </is>
      </c>
      <c r="J233" s="14" t="inlineStr">
        <is>
          <t>08 CROSSWALK</t>
        </is>
      </c>
    </row>
    <row r="234" ht="49" customHeight="1">
      <c r="A234" s="23" t="inlineStr">
        <is>
          <t>R177-v2</t>
        </is>
      </c>
      <c r="B234" s="23" t="inlineStr">
        <is>
          <t>Contractor Programme / SCH-01-177</t>
        </is>
      </c>
      <c r="C234" s="23" t="inlineStr">
        <is>
          <t>WBS Code = 1.1.2</t>
        </is>
      </c>
      <c r="D234" s="23" t="inlineStr">
        <is>
          <t>Proposed by Source assignment; target 1.1.2 Guideway and Civil - Utility &amp; Roadworks</t>
        </is>
      </c>
      <c r="E234" s="23" t="inlineStr">
        <is>
          <t>None recorded</t>
        </is>
      </c>
      <c r="F234" s="23" t="inlineStr">
        <is>
          <t>No individual professional decision recorded; Source assignment -- not individually reviewed</t>
        </is>
      </c>
      <c r="G234" s="23" t="inlineStr">
        <is>
          <t>Not individually decided</t>
        </is>
      </c>
      <c r="H234" s="23" t="inlineStr">
        <is>
          <t xml:space="preserve">RETAINED / ONE_TO_ONE; </t>
        </is>
      </c>
      <c r="I234" s="23" t="inlineStr">
        <is>
          <t>Carried forward</t>
        </is>
      </c>
      <c r="J234" s="14" t="inlineStr">
        <is>
          <t>08 CROSSWALK</t>
        </is>
      </c>
    </row>
    <row r="235" ht="49" customHeight="1">
      <c r="A235" s="23" t="inlineStr">
        <is>
          <t>R180-v2</t>
        </is>
      </c>
      <c r="B235" s="23" t="inlineStr">
        <is>
          <t>Contractor Programme / SCH-01-180</t>
        </is>
      </c>
      <c r="C235" s="23" t="inlineStr">
        <is>
          <t>WBS Code = 1.1.2</t>
        </is>
      </c>
      <c r="D235" s="23" t="inlineStr">
        <is>
          <t>Proposed by Source assignment; target 1.1.2 Guideway and Civil - Utility &amp; Roadworks</t>
        </is>
      </c>
      <c r="E235" s="23" t="inlineStr">
        <is>
          <t>None recorded</t>
        </is>
      </c>
      <c r="F235" s="23" t="inlineStr">
        <is>
          <t>No individual professional decision recorded; Source assignment -- not individually reviewed</t>
        </is>
      </c>
      <c r="G235" s="23" t="inlineStr">
        <is>
          <t>Not individually decided</t>
        </is>
      </c>
      <c r="H235" s="23" t="inlineStr">
        <is>
          <t xml:space="preserve">RETAINED / ONE_TO_ONE; </t>
        </is>
      </c>
      <c r="I235" s="23" t="inlineStr">
        <is>
          <t>Carried forward</t>
        </is>
      </c>
      <c r="J235" s="14" t="inlineStr">
        <is>
          <t>08 CROSSWALK</t>
        </is>
      </c>
    </row>
    <row r="236" ht="49" customHeight="1">
      <c r="A236" s="23" t="inlineStr">
        <is>
          <t>R1084-v2</t>
        </is>
      </c>
      <c r="B236" s="23" t="inlineStr">
        <is>
          <t>Cost &amp; Forecast Control Accounts / CST-01-002</t>
        </is>
      </c>
      <c r="C236" s="23" t="inlineStr">
        <is>
          <t>Cost Account = CA-1002; WBS Code = 1.1.2</t>
        </is>
      </c>
      <c r="D236" s="23" t="inlineStr">
        <is>
          <t>Proposed by Source assignment; target 1.1.2 Guideway and Civil - Utility &amp; Roadworks</t>
        </is>
      </c>
      <c r="E236" s="23" t="inlineStr">
        <is>
          <t>None recorded</t>
        </is>
      </c>
      <c r="F236" s="23" t="inlineStr">
        <is>
          <t>No individual professional decision recorded; Source assignment -- not individually reviewed</t>
        </is>
      </c>
      <c r="G236" s="23" t="inlineStr">
        <is>
          <t>Not individually decided</t>
        </is>
      </c>
      <c r="H236" s="23" t="inlineStr">
        <is>
          <t xml:space="preserve">RETAINED / ONE_TO_ONE; </t>
        </is>
      </c>
      <c r="I236" s="23" t="inlineStr">
        <is>
          <t>Carried forward</t>
        </is>
      </c>
      <c r="J236" s="14" t="inlineStr">
        <is>
          <t>08 CROSSWALK</t>
        </is>
      </c>
    </row>
    <row r="237" ht="49" customHeight="1">
      <c r="A237" s="23" t="inlineStr">
        <is>
          <t>R1086-v2</t>
        </is>
      </c>
      <c r="B237" s="23" t="inlineStr">
        <is>
          <t>Cost &amp; Forecast Control Accounts / CST-01-004</t>
        </is>
      </c>
      <c r="C237" s="23" t="inlineStr">
        <is>
          <t>Cost Account = CA-1004; WBS Code = 1.1.2</t>
        </is>
      </c>
      <c r="D237" s="23" t="inlineStr">
        <is>
          <t>Proposed by Source assignment; target 1.1.2 Guideway and Civil - Utility &amp; Roadworks</t>
        </is>
      </c>
      <c r="E237" s="23" t="inlineStr">
        <is>
          <t>None recorded</t>
        </is>
      </c>
      <c r="F237" s="23" t="inlineStr">
        <is>
          <t>No individual professional decision recorded; Source assignment -- not individually reviewed</t>
        </is>
      </c>
      <c r="G237" s="23" t="inlineStr">
        <is>
          <t>Not individually decided</t>
        </is>
      </c>
      <c r="H237" s="23" t="inlineStr">
        <is>
          <t xml:space="preserve">RETAINED / ONE_TO_ONE; </t>
        </is>
      </c>
      <c r="I237" s="23" t="inlineStr">
        <is>
          <t>Carried forward</t>
        </is>
      </c>
      <c r="J237" s="14" t="inlineStr">
        <is>
          <t>08 CROSSWALK</t>
        </is>
      </c>
    </row>
    <row r="238" ht="79" customHeight="1">
      <c r="A238" s="23" t="inlineStr">
        <is>
          <t>R1087-v3</t>
        </is>
      </c>
      <c r="B238" s="23" t="inlineStr">
        <is>
          <t>Cost &amp; Forecast Control Accounts / CST-01-005</t>
        </is>
      </c>
      <c r="C238" s="23" t="inlineStr">
        <is>
          <t>Cost Account = CA-1005; WBS Code = 1.1.2</t>
        </is>
      </c>
      <c r="D238" s="23" t="inlineStr">
        <is>
          <t>Proposed by Source assignment; target 1.1.2 Guideway and Civil - Utility &amp; Roadworks</t>
        </is>
      </c>
      <c r="E238" s="23" t="inlineStr">
        <is>
          <t>None recorded</t>
        </is>
      </c>
      <c r="F238" s="23" t="inlineStr">
        <is>
          <t>Maya Chen, Owner Project Controls: Professional decision</t>
        </is>
      </c>
      <c r="G238" s="23" t="inlineStr">
        <is>
          <t>Individual</t>
        </is>
      </c>
      <c r="H238" s="23" t="inlineStr">
        <is>
          <t xml:space="preserve">APPROVED / ONE_TO_ONE; </t>
        </is>
      </c>
      <c r="I238" s="23" t="inlineStr">
        <is>
          <t>Changed, re-decided; 'WBS Code' changed from 1.1.1 to 1.1.2; 'WBS Code' changed from 1.1.1 to 1.1.2; 'WBS Code' changed from 1.1.1 to 1.1.2</t>
        </is>
      </c>
      <c r="J238" s="14" t="inlineStr">
        <is>
          <t>08 CROSSWALK</t>
        </is>
      </c>
    </row>
    <row r="239" ht="49" customHeight="1">
      <c r="A239" s="23" t="inlineStr">
        <is>
          <t>R1088-v2</t>
        </is>
      </c>
      <c r="B239" s="23" t="inlineStr">
        <is>
          <t>Cost &amp; Forecast Control Accounts / CST-01-006</t>
        </is>
      </c>
      <c r="C239" s="23" t="inlineStr">
        <is>
          <t>Cost Account = CA-1006; WBS Code = 1.1.2</t>
        </is>
      </c>
      <c r="D239" s="23" t="inlineStr">
        <is>
          <t>Proposed by Source assignment; target 1.1.2 Guideway and Civil - Utility &amp; Roadworks</t>
        </is>
      </c>
      <c r="E239" s="23" t="inlineStr">
        <is>
          <t>None recorded</t>
        </is>
      </c>
      <c r="F239" s="23" t="inlineStr">
        <is>
          <t>No individual professional decision recorded; Source assignment -- not individually reviewed</t>
        </is>
      </c>
      <c r="G239" s="23" t="inlineStr">
        <is>
          <t>Not individually decided</t>
        </is>
      </c>
      <c r="H239" s="23" t="inlineStr">
        <is>
          <t xml:space="preserve">RETAINED / ONE_TO_ONE; </t>
        </is>
      </c>
      <c r="I239" s="23" t="inlineStr">
        <is>
          <t>Carried forward</t>
        </is>
      </c>
      <c r="J239" s="14" t="inlineStr">
        <is>
          <t>08 CROSSWALK</t>
        </is>
      </c>
    </row>
    <row r="240" ht="49" customHeight="1">
      <c r="A240" s="23" t="inlineStr">
        <is>
          <t>R1090-v2</t>
        </is>
      </c>
      <c r="B240" s="23" t="inlineStr">
        <is>
          <t>Cost &amp; Forecast Control Accounts / CST-01-008</t>
        </is>
      </c>
      <c r="C240" s="23" t="inlineStr">
        <is>
          <t>Cost Account = CA-1008; WBS Code = 1.1.2</t>
        </is>
      </c>
      <c r="D240" s="23" t="inlineStr">
        <is>
          <t>Proposed by Source assignment; target 1.1.2 Guideway and Civil - Utility &amp; Roadworks</t>
        </is>
      </c>
      <c r="E240" s="23" t="inlineStr">
        <is>
          <t>None recorded</t>
        </is>
      </c>
      <c r="F240" s="23" t="inlineStr">
        <is>
          <t>No individual professional decision recorded; Source assignment -- not individually reviewed</t>
        </is>
      </c>
      <c r="G240" s="23" t="inlineStr">
        <is>
          <t>Not individually decided</t>
        </is>
      </c>
      <c r="H240" s="23" t="inlineStr">
        <is>
          <t xml:space="preserve">RETAINED / ONE_TO_ONE; </t>
        </is>
      </c>
      <c r="I240" s="23" t="inlineStr">
        <is>
          <t>Carried forward</t>
        </is>
      </c>
      <c r="J240" s="14" t="inlineStr">
        <is>
          <t>08 CROSSWALK</t>
        </is>
      </c>
    </row>
    <row r="241" ht="49" customHeight="1">
      <c r="A241" s="23" t="inlineStr">
        <is>
          <t>R1092-v2</t>
        </is>
      </c>
      <c r="B241" s="23" t="inlineStr">
        <is>
          <t>Cost &amp; Forecast Control Accounts / CST-01-010</t>
        </is>
      </c>
      <c r="C241" s="23" t="inlineStr">
        <is>
          <t>Cost Account = CA-1010; WBS Code = 1.1.2</t>
        </is>
      </c>
      <c r="D241" s="23" t="inlineStr">
        <is>
          <t>Proposed by Source assignment; target 1.1.2 Guideway and Civil - Utility &amp; Roadworks</t>
        </is>
      </c>
      <c r="E241" s="23" t="inlineStr">
        <is>
          <t>None recorded</t>
        </is>
      </c>
      <c r="F241" s="23" t="inlineStr">
        <is>
          <t>No individual professional decision recorded; Source assignment -- not individually reviewed</t>
        </is>
      </c>
      <c r="G241" s="23" t="inlineStr">
        <is>
          <t>Not individually decided</t>
        </is>
      </c>
      <c r="H241" s="23" t="inlineStr">
        <is>
          <t xml:space="preserve">RETAINED / ONE_TO_ONE; </t>
        </is>
      </c>
      <c r="I241" s="23" t="inlineStr">
        <is>
          <t>Carried forward</t>
        </is>
      </c>
      <c r="J241" s="14" t="inlineStr">
        <is>
          <t>08 CROSSWALK</t>
        </is>
      </c>
    </row>
    <row r="242" ht="49" customHeight="1">
      <c r="A242" s="23" t="inlineStr">
        <is>
          <t>R1094-v2</t>
        </is>
      </c>
      <c r="B242" s="23" t="inlineStr">
        <is>
          <t>Cost &amp; Forecast Control Accounts / CST-01-012</t>
        </is>
      </c>
      <c r="C242" s="23" t="inlineStr">
        <is>
          <t>Cost Account = CA-1012; WBS Code = 1.1.2</t>
        </is>
      </c>
      <c r="D242" s="23" t="inlineStr">
        <is>
          <t>Proposed by Source assignment; target 1.1.2 Guideway and Civil - Utility &amp; Roadworks</t>
        </is>
      </c>
      <c r="E242" s="23" t="inlineStr">
        <is>
          <t>None recorded</t>
        </is>
      </c>
      <c r="F242" s="23" t="inlineStr">
        <is>
          <t>No individual professional decision recorded; Source assignment -- not individually reviewed</t>
        </is>
      </c>
      <c r="G242" s="23" t="inlineStr">
        <is>
          <t>Not individually decided</t>
        </is>
      </c>
      <c r="H242" s="23" t="inlineStr">
        <is>
          <t xml:space="preserve">RETAINED / ONE_TO_ONE; </t>
        </is>
      </c>
      <c r="I242" s="23" t="inlineStr">
        <is>
          <t>Carried forward</t>
        </is>
      </c>
      <c r="J242" s="14" t="inlineStr">
        <is>
          <t>08 CROSSWALK</t>
        </is>
      </c>
    </row>
    <row r="243" ht="49" customHeight="1">
      <c r="A243" s="23" t="inlineStr">
        <is>
          <t>R1096-v2</t>
        </is>
      </c>
      <c r="B243" s="23" t="inlineStr">
        <is>
          <t>Cost &amp; Forecast Control Accounts / CST-01-014</t>
        </is>
      </c>
      <c r="C243" s="23" t="inlineStr">
        <is>
          <t>Cost Account = CA-1014; WBS Code = 1.1.2</t>
        </is>
      </c>
      <c r="D243" s="23" t="inlineStr">
        <is>
          <t>Proposed by Source assignment; target 1.1.2 Guideway and Civil - Utility &amp; Roadworks</t>
        </is>
      </c>
      <c r="E243" s="23" t="inlineStr">
        <is>
          <t>None recorded</t>
        </is>
      </c>
      <c r="F243" s="23" t="inlineStr">
        <is>
          <t>No individual professional decision recorded; Source assignment -- not individually reviewed</t>
        </is>
      </c>
      <c r="G243" s="23" t="inlineStr">
        <is>
          <t>Not individually decided</t>
        </is>
      </c>
      <c r="H243" s="23" t="inlineStr">
        <is>
          <t xml:space="preserve">RETAINED / ONE_TO_ONE; </t>
        </is>
      </c>
      <c r="I243" s="23" t="inlineStr">
        <is>
          <t>Carried forward</t>
        </is>
      </c>
      <c r="J243" s="14" t="inlineStr">
        <is>
          <t>08 CROSSWALK</t>
        </is>
      </c>
    </row>
    <row r="244" ht="49" customHeight="1">
      <c r="A244" s="23" t="inlineStr">
        <is>
          <t>R1098-v2</t>
        </is>
      </c>
      <c r="B244" s="23" t="inlineStr">
        <is>
          <t>Cost &amp; Forecast Control Accounts / CST-01-016</t>
        </is>
      </c>
      <c r="C244" s="23" t="inlineStr">
        <is>
          <t>Cost Account = CA-1016; WBS Code = 1.1.2</t>
        </is>
      </c>
      <c r="D244" s="23" t="inlineStr">
        <is>
          <t>Proposed by Source assignment; target 1.1.2 Guideway and Civil - Utility &amp; Roadworks</t>
        </is>
      </c>
      <c r="E244" s="23" t="inlineStr">
        <is>
          <t>None recorded</t>
        </is>
      </c>
      <c r="F244" s="23" t="inlineStr">
        <is>
          <t>No individual professional decision recorded; Source assignment -- not individually reviewed</t>
        </is>
      </c>
      <c r="G244" s="23" t="inlineStr">
        <is>
          <t>Not individually decided</t>
        </is>
      </c>
      <c r="H244" s="23" t="inlineStr">
        <is>
          <t xml:space="preserve">RETAINED / ONE_TO_ONE; </t>
        </is>
      </c>
      <c r="I244" s="23" t="inlineStr">
        <is>
          <t>Carried forward</t>
        </is>
      </c>
      <c r="J244" s="14" t="inlineStr">
        <is>
          <t>08 CROSSWALK</t>
        </is>
      </c>
    </row>
    <row r="245" ht="49" customHeight="1">
      <c r="A245" s="23" t="inlineStr">
        <is>
          <t>R1100-v2</t>
        </is>
      </c>
      <c r="B245" s="23" t="inlineStr">
        <is>
          <t>Cost &amp; Forecast Control Accounts / CST-01-018</t>
        </is>
      </c>
      <c r="C245" s="23" t="inlineStr">
        <is>
          <t>Cost Account = CA-1018; WBS Code = 1.1.2</t>
        </is>
      </c>
      <c r="D245" s="23" t="inlineStr">
        <is>
          <t>Proposed by Source assignment; target 1.1.2 Guideway and Civil - Utility &amp; Roadworks</t>
        </is>
      </c>
      <c r="E245" s="23" t="inlineStr">
        <is>
          <t>None recorded</t>
        </is>
      </c>
      <c r="F245" s="23" t="inlineStr">
        <is>
          <t>No individual professional decision recorded; Source assignment -- not individually reviewed</t>
        </is>
      </c>
      <c r="G245" s="23" t="inlineStr">
        <is>
          <t>Not individually decided</t>
        </is>
      </c>
      <c r="H245" s="23" t="inlineStr">
        <is>
          <t xml:space="preserve">RETAINED / ONE_TO_ONE; </t>
        </is>
      </c>
      <c r="I245" s="23" t="inlineStr">
        <is>
          <t>Carried forward</t>
        </is>
      </c>
      <c r="J245" s="14" t="inlineStr">
        <is>
          <t>08 CROSSWALK</t>
        </is>
      </c>
    </row>
    <row r="246" ht="49" customHeight="1">
      <c r="A246" s="23" t="inlineStr">
        <is>
          <t>R1102-v2</t>
        </is>
      </c>
      <c r="B246" s="23" t="inlineStr">
        <is>
          <t>Cost &amp; Forecast Control Accounts / CST-01-020</t>
        </is>
      </c>
      <c r="C246" s="23" t="inlineStr">
        <is>
          <t>Cost Account = CA-1020; WBS Code = 1.1.2</t>
        </is>
      </c>
      <c r="D246" s="23" t="inlineStr">
        <is>
          <t>Proposed by Source assignment; target 1.1.2 Guideway and Civil - Utility &amp; Roadworks</t>
        </is>
      </c>
      <c r="E246" s="23" t="inlineStr">
        <is>
          <t>None recorded</t>
        </is>
      </c>
      <c r="F246" s="23" t="inlineStr">
        <is>
          <t>No individual professional decision recorded; Source assignment -- not individually reviewed</t>
        </is>
      </c>
      <c r="G246" s="23" t="inlineStr">
        <is>
          <t>Not individually decided</t>
        </is>
      </c>
      <c r="H246" s="23" t="inlineStr">
        <is>
          <t xml:space="preserve">RETAINED / ONE_TO_ONE; </t>
        </is>
      </c>
      <c r="I246" s="23" t="inlineStr">
        <is>
          <t>Carried forward</t>
        </is>
      </c>
      <c r="J246" s="14" t="inlineStr">
        <is>
          <t>08 CROSSWALK</t>
        </is>
      </c>
    </row>
    <row r="247" ht="49" customHeight="1">
      <c r="A247" s="23" t="inlineStr">
        <is>
          <t>R1104-v2</t>
        </is>
      </c>
      <c r="B247" s="23" t="inlineStr">
        <is>
          <t>Cost &amp; Forecast Control Accounts / CST-01-022</t>
        </is>
      </c>
      <c r="C247" s="23" t="inlineStr">
        <is>
          <t>Cost Account = CA-1022; WBS Code = 1.1.2</t>
        </is>
      </c>
      <c r="D247" s="23" t="inlineStr">
        <is>
          <t>Proposed by Source assignment; target 1.1.2 Guideway and Civil - Utility &amp; Roadworks</t>
        </is>
      </c>
      <c r="E247" s="23" t="inlineStr">
        <is>
          <t>None recorded</t>
        </is>
      </c>
      <c r="F247" s="23" t="inlineStr">
        <is>
          <t>No individual professional decision recorded; Source assignment -- not individually reviewed</t>
        </is>
      </c>
      <c r="G247" s="23" t="inlineStr">
        <is>
          <t>Not individually decided</t>
        </is>
      </c>
      <c r="H247" s="23" t="inlineStr">
        <is>
          <t xml:space="preserve">RETAINED / ONE_TO_ONE; </t>
        </is>
      </c>
      <c r="I247" s="23" t="inlineStr">
        <is>
          <t>Carried forward</t>
        </is>
      </c>
      <c r="J247" s="14" t="inlineStr">
        <is>
          <t>08 CROSSWALK</t>
        </is>
      </c>
    </row>
    <row r="248" ht="49" customHeight="1">
      <c r="A248" s="23" t="inlineStr">
        <is>
          <t>R1106-v2</t>
        </is>
      </c>
      <c r="B248" s="23" t="inlineStr">
        <is>
          <t>Cost &amp; Forecast Control Accounts / CST-01-024</t>
        </is>
      </c>
      <c r="C248" s="23" t="inlineStr">
        <is>
          <t>Cost Account = CA-1024; WBS Code = 1.1.2</t>
        </is>
      </c>
      <c r="D248" s="23" t="inlineStr">
        <is>
          <t>Proposed by Source assignment; target 1.1.2 Guideway and Civil - Utility &amp; Roadworks</t>
        </is>
      </c>
      <c r="E248" s="23" t="inlineStr">
        <is>
          <t>None recorded</t>
        </is>
      </c>
      <c r="F248" s="23" t="inlineStr">
        <is>
          <t>No individual professional decision recorded; Source assignment -- not individually reviewed</t>
        </is>
      </c>
      <c r="G248" s="23" t="inlineStr">
        <is>
          <t>Not individually decided</t>
        </is>
      </c>
      <c r="H248" s="23" t="inlineStr">
        <is>
          <t xml:space="preserve">RETAINED / ONE_TO_ONE; </t>
        </is>
      </c>
      <c r="I248" s="23" t="inlineStr">
        <is>
          <t>Carried forward</t>
        </is>
      </c>
      <c r="J248" s="14" t="inlineStr">
        <is>
          <t>08 CROSSWALK</t>
        </is>
      </c>
    </row>
    <row r="249" ht="49" customHeight="1">
      <c r="A249" s="23" t="inlineStr">
        <is>
          <t>R1108-v2</t>
        </is>
      </c>
      <c r="B249" s="23" t="inlineStr">
        <is>
          <t>Cost &amp; Forecast Control Accounts / CST-01-026</t>
        </is>
      </c>
      <c r="C249" s="23" t="inlineStr">
        <is>
          <t>Cost Account = CA-1026; WBS Code = 1.1.2</t>
        </is>
      </c>
      <c r="D249" s="23" t="inlineStr">
        <is>
          <t>Proposed by Source assignment; target 1.1.2 Guideway and Civil - Utility &amp; Roadworks</t>
        </is>
      </c>
      <c r="E249" s="23" t="inlineStr">
        <is>
          <t>None recorded</t>
        </is>
      </c>
      <c r="F249" s="23" t="inlineStr">
        <is>
          <t>No individual professional decision recorded; Source assignment -- not individually reviewed</t>
        </is>
      </c>
      <c r="G249" s="23" t="inlineStr">
        <is>
          <t>Not individually decided</t>
        </is>
      </c>
      <c r="H249" s="23" t="inlineStr">
        <is>
          <t xml:space="preserve">RETAINED / ONE_TO_ONE; </t>
        </is>
      </c>
      <c r="I249" s="23" t="inlineStr">
        <is>
          <t>Carried forward</t>
        </is>
      </c>
      <c r="J249" s="14" t="inlineStr">
        <is>
          <t>08 CROSSWALK</t>
        </is>
      </c>
    </row>
    <row r="250" ht="49" customHeight="1">
      <c r="A250" s="23" t="inlineStr">
        <is>
          <t>R1110-v2</t>
        </is>
      </c>
      <c r="B250" s="23" t="inlineStr">
        <is>
          <t>Cost &amp; Forecast Control Accounts / CST-01-028</t>
        </is>
      </c>
      <c r="C250" s="23" t="inlineStr">
        <is>
          <t>Cost Account = CA-1028; WBS Code = 1.1.2</t>
        </is>
      </c>
      <c r="D250" s="23" t="inlineStr">
        <is>
          <t>Proposed by Source assignment; target 1.1.2 Guideway and Civil - Utility &amp; Roadworks</t>
        </is>
      </c>
      <c r="E250" s="23" t="inlineStr">
        <is>
          <t>None recorded</t>
        </is>
      </c>
      <c r="F250" s="23" t="inlineStr">
        <is>
          <t>No individual professional decision recorded; Source assignment -- not individually reviewed</t>
        </is>
      </c>
      <c r="G250" s="23" t="inlineStr">
        <is>
          <t>Not individually decided</t>
        </is>
      </c>
      <c r="H250" s="23" t="inlineStr">
        <is>
          <t xml:space="preserve">RETAINED / ONE_TO_ONE; </t>
        </is>
      </c>
      <c r="I250" s="23" t="inlineStr">
        <is>
          <t>Carried forward</t>
        </is>
      </c>
      <c r="J250" s="14" t="inlineStr">
        <is>
          <t>08 CROSSWALK</t>
        </is>
      </c>
    </row>
    <row r="251" ht="49" customHeight="1">
      <c r="A251" s="23" t="inlineStr">
        <is>
          <t>R1112-v2</t>
        </is>
      </c>
      <c r="B251" s="23" t="inlineStr">
        <is>
          <t>Cost &amp; Forecast Control Accounts / CST-01-030</t>
        </is>
      </c>
      <c r="C251" s="23" t="inlineStr">
        <is>
          <t>Cost Account = CA-1030; WBS Code = 1.1.2</t>
        </is>
      </c>
      <c r="D251" s="23" t="inlineStr">
        <is>
          <t>Proposed by Source assignment; target 1.1.2 Guideway and Civil - Utility &amp; Roadworks</t>
        </is>
      </c>
      <c r="E251" s="23" t="inlineStr">
        <is>
          <t>None recorded</t>
        </is>
      </c>
      <c r="F251" s="23" t="inlineStr">
        <is>
          <t>No individual professional decision recorded; Source assignment -- not individually reviewed</t>
        </is>
      </c>
      <c r="G251" s="23" t="inlineStr">
        <is>
          <t>Not individually decided</t>
        </is>
      </c>
      <c r="H251" s="23" t="inlineStr">
        <is>
          <t xml:space="preserve">RETAINED / ONE_TO_ONE; </t>
        </is>
      </c>
      <c r="I251" s="23" t="inlineStr">
        <is>
          <t>Carried forward</t>
        </is>
      </c>
      <c r="J251" s="14" t="inlineStr">
        <is>
          <t>08 CROSSWALK</t>
        </is>
      </c>
    </row>
    <row r="252" ht="49" customHeight="1">
      <c r="A252" s="23" t="inlineStr">
        <is>
          <t>R1114-v2</t>
        </is>
      </c>
      <c r="B252" s="23" t="inlineStr">
        <is>
          <t>Cost &amp; Forecast Control Accounts / CST-01-032</t>
        </is>
      </c>
      <c r="C252" s="23" t="inlineStr">
        <is>
          <t>Cost Account = CA-1032; WBS Code = 1.1.2</t>
        </is>
      </c>
      <c r="D252" s="23" t="inlineStr">
        <is>
          <t>Proposed by Source assignment; target 1.1.2 Guideway and Civil - Utility &amp; Roadworks</t>
        </is>
      </c>
      <c r="E252" s="23" t="inlineStr">
        <is>
          <t>None recorded</t>
        </is>
      </c>
      <c r="F252" s="23" t="inlineStr">
        <is>
          <t>No individual professional decision recorded; Source assignment -- not individually reviewed</t>
        </is>
      </c>
      <c r="G252" s="23" t="inlineStr">
        <is>
          <t>Not individually decided</t>
        </is>
      </c>
      <c r="H252" s="23" t="inlineStr">
        <is>
          <t xml:space="preserve">RETAINED / ONE_TO_ONE; </t>
        </is>
      </c>
      <c r="I252" s="23" t="inlineStr">
        <is>
          <t>Carried forward</t>
        </is>
      </c>
      <c r="J252" s="14" t="inlineStr">
        <is>
          <t>08 CROSSWALK</t>
        </is>
      </c>
    </row>
    <row r="253" ht="49" customHeight="1">
      <c r="A253" s="23" t="inlineStr">
        <is>
          <t>R1116-v2</t>
        </is>
      </c>
      <c r="B253" s="23" t="inlineStr">
        <is>
          <t>Cost &amp; Forecast Control Accounts / CST-01-034</t>
        </is>
      </c>
      <c r="C253" s="23" t="inlineStr">
        <is>
          <t>Cost Account = CA-1034; WBS Code = 1.1.2</t>
        </is>
      </c>
      <c r="D253" s="23" t="inlineStr">
        <is>
          <t>Proposed by Source assignment; target 1.1.2 Guideway and Civil - Utility &amp; Roadworks</t>
        </is>
      </c>
      <c r="E253" s="23" t="inlineStr">
        <is>
          <t>None recorded</t>
        </is>
      </c>
      <c r="F253" s="23" t="inlineStr">
        <is>
          <t>No individual professional decision recorded; Source assignment -- not individually reviewed</t>
        </is>
      </c>
      <c r="G253" s="23" t="inlineStr">
        <is>
          <t>Not individually decided</t>
        </is>
      </c>
      <c r="H253" s="23" t="inlineStr">
        <is>
          <t xml:space="preserve">RETAINED / ONE_TO_ONE; </t>
        </is>
      </c>
      <c r="I253" s="23" t="inlineStr">
        <is>
          <t>Carried forward</t>
        </is>
      </c>
      <c r="J253" s="14" t="inlineStr">
        <is>
          <t>08 CROSSWALK</t>
        </is>
      </c>
    </row>
    <row r="254" ht="49" customHeight="1">
      <c r="A254" s="23" t="inlineStr">
        <is>
          <t>R1118-v2</t>
        </is>
      </c>
      <c r="B254" s="23" t="inlineStr">
        <is>
          <t>Cost &amp; Forecast Control Accounts / CST-01-036</t>
        </is>
      </c>
      <c r="C254" s="23" t="inlineStr">
        <is>
          <t>Cost Account = CA-1036; WBS Code = 1.1.2</t>
        </is>
      </c>
      <c r="D254" s="23" t="inlineStr">
        <is>
          <t>Proposed by Source assignment; target 1.1.2 Guideway and Civil - Utility &amp; Roadworks</t>
        </is>
      </c>
      <c r="E254" s="23" t="inlineStr">
        <is>
          <t>None recorded</t>
        </is>
      </c>
      <c r="F254" s="23" t="inlineStr">
        <is>
          <t>No individual professional decision recorded; Source assignment -- not individually reviewed</t>
        </is>
      </c>
      <c r="G254" s="23" t="inlineStr">
        <is>
          <t>Not individually decided</t>
        </is>
      </c>
      <c r="H254" s="23" t="inlineStr">
        <is>
          <t xml:space="preserve">RETAINED / ONE_TO_ONE; </t>
        </is>
      </c>
      <c r="I254" s="23" t="inlineStr">
        <is>
          <t>Carried forward</t>
        </is>
      </c>
      <c r="J254" s="14" t="inlineStr">
        <is>
          <t>08 CROSSWALK</t>
        </is>
      </c>
    </row>
    <row r="255" ht="49" customHeight="1">
      <c r="A255" s="23" t="inlineStr">
        <is>
          <t>R1120-v2</t>
        </is>
      </c>
      <c r="B255" s="23" t="inlineStr">
        <is>
          <t>Cost &amp; Forecast Control Accounts / CST-01-038</t>
        </is>
      </c>
      <c r="C255" s="23" t="inlineStr">
        <is>
          <t>Cost Account = CA-1038; WBS Code = 1.1.2</t>
        </is>
      </c>
      <c r="D255" s="23" t="inlineStr">
        <is>
          <t>Proposed by Source assignment; target 1.1.2 Guideway and Civil - Utility &amp; Roadworks</t>
        </is>
      </c>
      <c r="E255" s="23" t="inlineStr">
        <is>
          <t>None recorded</t>
        </is>
      </c>
      <c r="F255" s="23" t="inlineStr">
        <is>
          <t>No individual professional decision recorded; Source assignment -- not individually reviewed</t>
        </is>
      </c>
      <c r="G255" s="23" t="inlineStr">
        <is>
          <t>Not individually decided</t>
        </is>
      </c>
      <c r="H255" s="23" t="inlineStr">
        <is>
          <t xml:space="preserve">RETAINED / ONE_TO_ONE; </t>
        </is>
      </c>
      <c r="I255" s="23" t="inlineStr">
        <is>
          <t>Carried forward</t>
        </is>
      </c>
      <c r="J255" s="14" t="inlineStr">
        <is>
          <t>08 CROSSWALK</t>
        </is>
      </c>
    </row>
    <row r="256" ht="49" customHeight="1">
      <c r="A256" s="23" t="inlineStr">
        <is>
          <t>R1122-v2</t>
        </is>
      </c>
      <c r="B256" s="23" t="inlineStr">
        <is>
          <t>Cost &amp; Forecast Control Accounts / CST-01-040</t>
        </is>
      </c>
      <c r="C256" s="23" t="inlineStr">
        <is>
          <t>Cost Account = CA-1040; WBS Code = 1.1.2</t>
        </is>
      </c>
      <c r="D256" s="23" t="inlineStr">
        <is>
          <t>Proposed by Source assignment; target 1.1.2 Guideway and Civil - Utility &amp; Roadworks</t>
        </is>
      </c>
      <c r="E256" s="23" t="inlineStr">
        <is>
          <t>None recorded</t>
        </is>
      </c>
      <c r="F256" s="23" t="inlineStr">
        <is>
          <t>No individual professional decision recorded; Source assignment -- not individually reviewed</t>
        </is>
      </c>
      <c r="G256" s="23" t="inlineStr">
        <is>
          <t>Not individually decided</t>
        </is>
      </c>
      <c r="H256" s="23" t="inlineStr">
        <is>
          <t xml:space="preserve">RETAINED / ONE_TO_ONE; </t>
        </is>
      </c>
      <c r="I256" s="23" t="inlineStr">
        <is>
          <t>Carried forward</t>
        </is>
      </c>
      <c r="J256" s="14" t="inlineStr">
        <is>
          <t>08 CROSSWALK</t>
        </is>
      </c>
    </row>
    <row r="257" ht="49" customHeight="1">
      <c r="A257" s="23" t="inlineStr">
        <is>
          <t>R1124-v2</t>
        </is>
      </c>
      <c r="B257" s="23" t="inlineStr">
        <is>
          <t>Cost &amp; Forecast Control Accounts / CST-01-042</t>
        </is>
      </c>
      <c r="C257" s="23" t="inlineStr">
        <is>
          <t>Cost Account = CA-1042; WBS Code = 1.1.2</t>
        </is>
      </c>
      <c r="D257" s="23" t="inlineStr">
        <is>
          <t>Proposed by Source assignment; target 1.1.2 Guideway and Civil - Utility &amp; Roadworks</t>
        </is>
      </c>
      <c r="E257" s="23" t="inlineStr">
        <is>
          <t>None recorded</t>
        </is>
      </c>
      <c r="F257" s="23" t="inlineStr">
        <is>
          <t>No individual professional decision recorded; Source assignment -- not individually reviewed</t>
        </is>
      </c>
      <c r="G257" s="23" t="inlineStr">
        <is>
          <t>Not individually decided</t>
        </is>
      </c>
      <c r="H257" s="23" t="inlineStr">
        <is>
          <t xml:space="preserve">RETAINED / ONE_TO_ONE; </t>
        </is>
      </c>
      <c r="I257" s="23" t="inlineStr">
        <is>
          <t>Carried forward</t>
        </is>
      </c>
      <c r="J257" s="14" t="inlineStr">
        <is>
          <t>08 CROSSWALK</t>
        </is>
      </c>
    </row>
    <row r="258" ht="49" customHeight="1">
      <c r="A258" s="23" t="inlineStr">
        <is>
          <t>R1126-v2</t>
        </is>
      </c>
      <c r="B258" s="23" t="inlineStr">
        <is>
          <t>Cost &amp; Forecast Control Accounts / CST-01-044</t>
        </is>
      </c>
      <c r="C258" s="23" t="inlineStr">
        <is>
          <t>Cost Account = CA-1044; WBS Code = 1.1.2</t>
        </is>
      </c>
      <c r="D258" s="23" t="inlineStr">
        <is>
          <t>Proposed by Source assignment; target 1.1.2 Guideway and Civil - Utility &amp; Roadworks</t>
        </is>
      </c>
      <c r="E258" s="23" t="inlineStr">
        <is>
          <t>None recorded</t>
        </is>
      </c>
      <c r="F258" s="23" t="inlineStr">
        <is>
          <t>No individual professional decision recorded; Source assignment -- not individually reviewed</t>
        </is>
      </c>
      <c r="G258" s="23" t="inlineStr">
        <is>
          <t>Not individually decided</t>
        </is>
      </c>
      <c r="H258" s="23" t="inlineStr">
        <is>
          <t xml:space="preserve">RETAINED / ONE_TO_ONE; </t>
        </is>
      </c>
      <c r="I258" s="23" t="inlineStr">
        <is>
          <t>Carried forward</t>
        </is>
      </c>
      <c r="J258" s="14" t="inlineStr">
        <is>
          <t>08 CROSSWALK</t>
        </is>
      </c>
    </row>
    <row r="259" ht="49" customHeight="1">
      <c r="A259" s="23" t="inlineStr">
        <is>
          <t>R1128-v2</t>
        </is>
      </c>
      <c r="B259" s="23" t="inlineStr">
        <is>
          <t>Cost &amp; Forecast Control Accounts / CST-01-046</t>
        </is>
      </c>
      <c r="C259" s="23" t="inlineStr">
        <is>
          <t>Cost Account = CA-1046; WBS Code = 1.1.2</t>
        </is>
      </c>
      <c r="D259" s="23" t="inlineStr">
        <is>
          <t>Proposed by Source assignment; target 1.1.2 Guideway and Civil - Utility &amp; Roadworks</t>
        </is>
      </c>
      <c r="E259" s="23" t="inlineStr">
        <is>
          <t>None recorded</t>
        </is>
      </c>
      <c r="F259" s="23" t="inlineStr">
        <is>
          <t>No individual professional decision recorded; Source assignment -- not individually reviewed</t>
        </is>
      </c>
      <c r="G259" s="23" t="inlineStr">
        <is>
          <t>Not individually decided</t>
        </is>
      </c>
      <c r="H259" s="23" t="inlineStr">
        <is>
          <t xml:space="preserve">RETAINED / ONE_TO_ONE; </t>
        </is>
      </c>
      <c r="I259" s="23" t="inlineStr">
        <is>
          <t>Carried forward</t>
        </is>
      </c>
      <c r="J259" s="14" t="inlineStr">
        <is>
          <t>08 CROSSWALK</t>
        </is>
      </c>
    </row>
    <row r="260" ht="49" customHeight="1">
      <c r="A260" s="23" t="inlineStr">
        <is>
          <t>R1130-v2</t>
        </is>
      </c>
      <c r="B260" s="23" t="inlineStr">
        <is>
          <t>Cost &amp; Forecast Control Accounts / CST-01-048</t>
        </is>
      </c>
      <c r="C260" s="23" t="inlineStr">
        <is>
          <t>Cost Account = CA-1048; WBS Code = 1.1.2</t>
        </is>
      </c>
      <c r="D260" s="23" t="inlineStr">
        <is>
          <t>Proposed by Source assignment; target 1.1.2 Guideway and Civil - Utility &amp; Roadworks</t>
        </is>
      </c>
      <c r="E260" s="23" t="inlineStr">
        <is>
          <t>None recorded</t>
        </is>
      </c>
      <c r="F260" s="23" t="inlineStr">
        <is>
          <t>No individual professional decision recorded; Source assignment -- not individually reviewed</t>
        </is>
      </c>
      <c r="G260" s="23" t="inlineStr">
        <is>
          <t>Not individually decided</t>
        </is>
      </c>
      <c r="H260" s="23" t="inlineStr">
        <is>
          <t xml:space="preserve">RETAINED / ONE_TO_ONE; </t>
        </is>
      </c>
      <c r="I260" s="23" t="inlineStr">
        <is>
          <t>Carried forward</t>
        </is>
      </c>
      <c r="J260" s="14" t="inlineStr">
        <is>
          <t>08 CROSSWALK</t>
        </is>
      </c>
    </row>
    <row r="261" ht="49" customHeight="1">
      <c r="A261" s="23" t="inlineStr">
        <is>
          <t>R1132-v2</t>
        </is>
      </c>
      <c r="B261" s="23" t="inlineStr">
        <is>
          <t>Cost &amp; Forecast Control Accounts / CST-01-050</t>
        </is>
      </c>
      <c r="C261" s="23" t="inlineStr">
        <is>
          <t>Cost Account = CA-1050; WBS Code = 1.1.2</t>
        </is>
      </c>
      <c r="D261" s="23" t="inlineStr">
        <is>
          <t>Proposed by Source assignment; target 1.1.2 Guideway and Civil - Utility &amp; Roadworks</t>
        </is>
      </c>
      <c r="E261" s="23" t="inlineStr">
        <is>
          <t>None recorded</t>
        </is>
      </c>
      <c r="F261" s="23" t="inlineStr">
        <is>
          <t>No individual professional decision recorded; Source assignment -- not individually reviewed</t>
        </is>
      </c>
      <c r="G261" s="23" t="inlineStr">
        <is>
          <t>Not individually decided</t>
        </is>
      </c>
      <c r="H261" s="23" t="inlineStr">
        <is>
          <t xml:space="preserve">RETAINED / ONE_TO_ONE; </t>
        </is>
      </c>
      <c r="I261" s="23" t="inlineStr">
        <is>
          <t>Carried forward</t>
        </is>
      </c>
      <c r="J261" s="14" t="inlineStr">
        <is>
          <t>08 CROSSWALK</t>
        </is>
      </c>
    </row>
    <row r="262" ht="49" customHeight="1">
      <c r="A262" s="23" t="inlineStr">
        <is>
          <t>R1134-v2</t>
        </is>
      </c>
      <c r="B262" s="23" t="inlineStr">
        <is>
          <t>Cost &amp; Forecast Control Accounts / CST-01-052</t>
        </is>
      </c>
      <c r="C262" s="23" t="inlineStr">
        <is>
          <t>Cost Account = CA-1052; WBS Code = 1.1.2</t>
        </is>
      </c>
      <c r="D262" s="23" t="inlineStr">
        <is>
          <t>Proposed by Source assignment; target 1.1.2 Guideway and Civil - Utility &amp; Roadworks</t>
        </is>
      </c>
      <c r="E262" s="23" t="inlineStr">
        <is>
          <t>None recorded</t>
        </is>
      </c>
      <c r="F262" s="23" t="inlineStr">
        <is>
          <t>No individual professional decision recorded; Source assignment -- not individually reviewed</t>
        </is>
      </c>
      <c r="G262" s="23" t="inlineStr">
        <is>
          <t>Not individually decided</t>
        </is>
      </c>
      <c r="H262" s="23" t="inlineStr">
        <is>
          <t xml:space="preserve">RETAINED / ONE_TO_ONE; </t>
        </is>
      </c>
      <c r="I262" s="23" t="inlineStr">
        <is>
          <t>Carried forward</t>
        </is>
      </c>
      <c r="J262" s="14" t="inlineStr">
        <is>
          <t>08 CROSSWALK</t>
        </is>
      </c>
    </row>
    <row r="263" ht="49" customHeight="1">
      <c r="A263" s="23" t="inlineStr">
        <is>
          <t>R1136-v2</t>
        </is>
      </c>
      <c r="B263" s="23" t="inlineStr">
        <is>
          <t>Cost &amp; Forecast Control Accounts / CST-01-054</t>
        </is>
      </c>
      <c r="C263" s="23" t="inlineStr">
        <is>
          <t>Cost Account = CA-1054; WBS Code = 1.1.2</t>
        </is>
      </c>
      <c r="D263" s="23" t="inlineStr">
        <is>
          <t>Proposed by Source assignment; target 1.1.2 Guideway and Civil - Utility &amp; Roadworks</t>
        </is>
      </c>
      <c r="E263" s="23" t="inlineStr">
        <is>
          <t>None recorded</t>
        </is>
      </c>
      <c r="F263" s="23" t="inlineStr">
        <is>
          <t>No individual professional decision recorded; Source assignment -- not individually reviewed</t>
        </is>
      </c>
      <c r="G263" s="23" t="inlineStr">
        <is>
          <t>Not individually decided</t>
        </is>
      </c>
      <c r="H263" s="23" t="inlineStr">
        <is>
          <t xml:space="preserve">RETAINED / ONE_TO_ONE; </t>
        </is>
      </c>
      <c r="I263" s="23" t="inlineStr">
        <is>
          <t>Carried forward</t>
        </is>
      </c>
      <c r="J263" s="14" t="inlineStr">
        <is>
          <t>08 CROSSWALK</t>
        </is>
      </c>
    </row>
    <row r="264" ht="49" customHeight="1">
      <c r="A264" s="23" t="inlineStr">
        <is>
          <t>R1138-v2</t>
        </is>
      </c>
      <c r="B264" s="23" t="inlineStr">
        <is>
          <t>Cost &amp; Forecast Control Accounts / CST-01-056</t>
        </is>
      </c>
      <c r="C264" s="23" t="inlineStr">
        <is>
          <t>Cost Account = CA-1056; WBS Code = 1.1.2</t>
        </is>
      </c>
      <c r="D264" s="23" t="inlineStr">
        <is>
          <t>Proposed by Source assignment; target 1.1.2 Guideway and Civil - Utility &amp; Roadworks</t>
        </is>
      </c>
      <c r="E264" s="23" t="inlineStr">
        <is>
          <t>None recorded</t>
        </is>
      </c>
      <c r="F264" s="23" t="inlineStr">
        <is>
          <t>No individual professional decision recorded; Source assignment -- not individually reviewed</t>
        </is>
      </c>
      <c r="G264" s="23" t="inlineStr">
        <is>
          <t>Not individually decided</t>
        </is>
      </c>
      <c r="H264" s="23" t="inlineStr">
        <is>
          <t xml:space="preserve">RETAINED / ONE_TO_ONE; </t>
        </is>
      </c>
      <c r="I264" s="23" t="inlineStr">
        <is>
          <t>Carried forward</t>
        </is>
      </c>
      <c r="J264" s="14" t="inlineStr">
        <is>
          <t>08 CROSSWALK</t>
        </is>
      </c>
    </row>
    <row r="265" ht="49" customHeight="1">
      <c r="A265" s="23" t="inlineStr">
        <is>
          <t>R1140-v2</t>
        </is>
      </c>
      <c r="B265" s="23" t="inlineStr">
        <is>
          <t>Cost &amp; Forecast Control Accounts / CST-01-058</t>
        </is>
      </c>
      <c r="C265" s="23" t="inlineStr">
        <is>
          <t>Cost Account = CA-1058; WBS Code = 1.1.2</t>
        </is>
      </c>
      <c r="D265" s="23" t="inlineStr">
        <is>
          <t>Proposed by Source assignment; target 1.1.2 Guideway and Civil - Utility &amp; Roadworks</t>
        </is>
      </c>
      <c r="E265" s="23" t="inlineStr">
        <is>
          <t>None recorded</t>
        </is>
      </c>
      <c r="F265" s="23" t="inlineStr">
        <is>
          <t>No individual professional decision recorded; Source assignment -- not individually reviewed</t>
        </is>
      </c>
      <c r="G265" s="23" t="inlineStr">
        <is>
          <t>Not individually decided</t>
        </is>
      </c>
      <c r="H265" s="23" t="inlineStr">
        <is>
          <t xml:space="preserve">RETAINED / ONE_TO_ONE; </t>
        </is>
      </c>
      <c r="I265" s="23" t="inlineStr">
        <is>
          <t>Carried forward</t>
        </is>
      </c>
      <c r="J265" s="14" t="inlineStr">
        <is>
          <t>08 CROSSWALK</t>
        </is>
      </c>
    </row>
    <row r="266" ht="49" customHeight="1">
      <c r="A266" s="23" t="inlineStr">
        <is>
          <t>R1142-v2</t>
        </is>
      </c>
      <c r="B266" s="23" t="inlineStr">
        <is>
          <t>Cost &amp; Forecast Control Accounts / CST-01-060</t>
        </is>
      </c>
      <c r="C266" s="23" t="inlineStr">
        <is>
          <t>Cost Account = CA-1060; WBS Code = 1.1.2</t>
        </is>
      </c>
      <c r="D266" s="23" t="inlineStr">
        <is>
          <t>Proposed by Source assignment; target 1.1.2 Guideway and Civil - Utility &amp; Roadworks</t>
        </is>
      </c>
      <c r="E266" s="23" t="inlineStr">
        <is>
          <t>None recorded</t>
        </is>
      </c>
      <c r="F266" s="23" t="inlineStr">
        <is>
          <t>No individual professional decision recorded; Source assignment -- not individually reviewed</t>
        </is>
      </c>
      <c r="G266" s="23" t="inlineStr">
        <is>
          <t>Not individually decided</t>
        </is>
      </c>
      <c r="H266" s="23" t="inlineStr">
        <is>
          <t xml:space="preserve">RETAINED / ONE_TO_ONE; </t>
        </is>
      </c>
      <c r="I266" s="23" t="inlineStr">
        <is>
          <t>Carried forward</t>
        </is>
      </c>
      <c r="J266" s="14" t="inlineStr">
        <is>
          <t>08 CROSSWALK</t>
        </is>
      </c>
    </row>
    <row r="267" ht="49" customHeight="1">
      <c r="A267" s="23" t="inlineStr">
        <is>
          <t>R1144-v2</t>
        </is>
      </c>
      <c r="B267" s="23" t="inlineStr">
        <is>
          <t>Cost &amp; Forecast Control Accounts / CST-01-062</t>
        </is>
      </c>
      <c r="C267" s="23" t="inlineStr">
        <is>
          <t>Cost Account = CA-1062; WBS Code = 1.1.2</t>
        </is>
      </c>
      <c r="D267" s="23" t="inlineStr">
        <is>
          <t>Proposed by Source assignment; target 1.1.2 Guideway and Civil - Utility &amp; Roadworks</t>
        </is>
      </c>
      <c r="E267" s="23" t="inlineStr">
        <is>
          <t>None recorded</t>
        </is>
      </c>
      <c r="F267" s="23" t="inlineStr">
        <is>
          <t>No individual professional decision recorded; Source assignment -- not individually reviewed</t>
        </is>
      </c>
      <c r="G267" s="23" t="inlineStr">
        <is>
          <t>Not individually decided</t>
        </is>
      </c>
      <c r="H267" s="23" t="inlineStr">
        <is>
          <t xml:space="preserve">RETAINED / ONE_TO_ONE; </t>
        </is>
      </c>
      <c r="I267" s="23" t="inlineStr">
        <is>
          <t>Carried forward</t>
        </is>
      </c>
      <c r="J267" s="14" t="inlineStr">
        <is>
          <t>08 CROSSWALK</t>
        </is>
      </c>
    </row>
    <row r="268" ht="49" customHeight="1">
      <c r="A268" s="23" t="inlineStr">
        <is>
          <t>R1146-v2</t>
        </is>
      </c>
      <c r="B268" s="23" t="inlineStr">
        <is>
          <t>Cost &amp; Forecast Control Accounts / CST-01-064</t>
        </is>
      </c>
      <c r="C268" s="23" t="inlineStr">
        <is>
          <t>Cost Account = CA-1064; WBS Code = 1.1.2</t>
        </is>
      </c>
      <c r="D268" s="23" t="inlineStr">
        <is>
          <t>Proposed by Source assignment; target 1.1.2 Guideway and Civil - Utility &amp; Roadworks</t>
        </is>
      </c>
      <c r="E268" s="23" t="inlineStr">
        <is>
          <t>None recorded</t>
        </is>
      </c>
      <c r="F268" s="23" t="inlineStr">
        <is>
          <t>No individual professional decision recorded; Source assignment -- not individually reviewed</t>
        </is>
      </c>
      <c r="G268" s="23" t="inlineStr">
        <is>
          <t>Not individually decided</t>
        </is>
      </c>
      <c r="H268" s="23" t="inlineStr">
        <is>
          <t xml:space="preserve">RETAINED / ONE_TO_ONE; </t>
        </is>
      </c>
      <c r="I268" s="23" t="inlineStr">
        <is>
          <t>Carried forward</t>
        </is>
      </c>
      <c r="J268" s="14" t="inlineStr">
        <is>
          <t>08 CROSSWALK</t>
        </is>
      </c>
    </row>
    <row r="269" ht="49" customHeight="1">
      <c r="A269" s="23" t="inlineStr">
        <is>
          <t>R1148-v2</t>
        </is>
      </c>
      <c r="B269" s="23" t="inlineStr">
        <is>
          <t>Cost &amp; Forecast Control Accounts / CST-01-066</t>
        </is>
      </c>
      <c r="C269" s="23" t="inlineStr">
        <is>
          <t>Cost Account = CA-1066; WBS Code = 1.1.2</t>
        </is>
      </c>
      <c r="D269" s="23" t="inlineStr">
        <is>
          <t>Proposed by Source assignment; target 1.1.2 Guideway and Civil - Utility &amp; Roadworks</t>
        </is>
      </c>
      <c r="E269" s="23" t="inlineStr">
        <is>
          <t>None recorded</t>
        </is>
      </c>
      <c r="F269" s="23" t="inlineStr">
        <is>
          <t>No individual professional decision recorded; Source assignment -- not individually reviewed</t>
        </is>
      </c>
      <c r="G269" s="23" t="inlineStr">
        <is>
          <t>Not individually decided</t>
        </is>
      </c>
      <c r="H269" s="23" t="inlineStr">
        <is>
          <t xml:space="preserve">RETAINED / ONE_TO_ONE; </t>
        </is>
      </c>
      <c r="I269" s="23" t="inlineStr">
        <is>
          <t>Carried forward</t>
        </is>
      </c>
      <c r="J269" s="14" t="inlineStr">
        <is>
          <t>08 CROSSWALK</t>
        </is>
      </c>
    </row>
    <row r="270" ht="49" customHeight="1">
      <c r="A270" s="23" t="inlineStr">
        <is>
          <t>R1150-v2</t>
        </is>
      </c>
      <c r="B270" s="23" t="inlineStr">
        <is>
          <t>Cost &amp; Forecast Control Accounts / CST-01-068</t>
        </is>
      </c>
      <c r="C270" s="23" t="inlineStr">
        <is>
          <t>Cost Account = CA-1068; WBS Code = 1.1.2</t>
        </is>
      </c>
      <c r="D270" s="23" t="inlineStr">
        <is>
          <t>Proposed by Source assignment; target 1.1.2 Guideway and Civil - Utility &amp; Roadworks</t>
        </is>
      </c>
      <c r="E270" s="23" t="inlineStr">
        <is>
          <t>None recorded</t>
        </is>
      </c>
      <c r="F270" s="23" t="inlineStr">
        <is>
          <t>No individual professional decision recorded; Source assignment -- not individually reviewed</t>
        </is>
      </c>
      <c r="G270" s="23" t="inlineStr">
        <is>
          <t>Not individually decided</t>
        </is>
      </c>
      <c r="H270" s="23" t="inlineStr">
        <is>
          <t xml:space="preserve">RETAINED / ONE_TO_ONE; </t>
        </is>
      </c>
      <c r="I270" s="23" t="inlineStr">
        <is>
          <t>Carried forward</t>
        </is>
      </c>
      <c r="J270" s="14" t="inlineStr">
        <is>
          <t>08 CROSSWALK</t>
        </is>
      </c>
    </row>
    <row r="271" ht="49" customHeight="1">
      <c r="A271" s="23" t="inlineStr">
        <is>
          <t>R1152-v2</t>
        </is>
      </c>
      <c r="B271" s="23" t="inlineStr">
        <is>
          <t>Cost &amp; Forecast Control Accounts / CST-01-070</t>
        </is>
      </c>
      <c r="C271" s="23" t="inlineStr">
        <is>
          <t>Cost Account = CA-1070; WBS Code = 1.1.2</t>
        </is>
      </c>
      <c r="D271" s="23" t="inlineStr">
        <is>
          <t>Proposed by Source assignment; target 1.1.2 Guideway and Civil - Utility &amp; Roadworks</t>
        </is>
      </c>
      <c r="E271" s="23" t="inlineStr">
        <is>
          <t>None recorded</t>
        </is>
      </c>
      <c r="F271" s="23" t="inlineStr">
        <is>
          <t>No individual professional decision recorded; Source assignment -- not individually reviewed</t>
        </is>
      </c>
      <c r="G271" s="23" t="inlineStr">
        <is>
          <t>Not individually decided</t>
        </is>
      </c>
      <c r="H271" s="23" t="inlineStr">
        <is>
          <t xml:space="preserve">RETAINED / ONE_TO_ONE; </t>
        </is>
      </c>
      <c r="I271" s="23" t="inlineStr">
        <is>
          <t>Carried forward</t>
        </is>
      </c>
      <c r="J271" s="14" t="inlineStr">
        <is>
          <t>08 CROSSWALK</t>
        </is>
      </c>
    </row>
    <row r="272" ht="49" customHeight="1">
      <c r="A272" s="23" t="inlineStr">
        <is>
          <t>R1154-v2</t>
        </is>
      </c>
      <c r="B272" s="23" t="inlineStr">
        <is>
          <t>Cost &amp; Forecast Control Accounts / CST-01-072</t>
        </is>
      </c>
      <c r="C272" s="23" t="inlineStr">
        <is>
          <t>Cost Account = CA-1072; WBS Code = 1.1.2</t>
        </is>
      </c>
      <c r="D272" s="23" t="inlineStr">
        <is>
          <t>Proposed by Source assignment; target 1.1.2 Guideway and Civil - Utility &amp; Roadworks</t>
        </is>
      </c>
      <c r="E272" s="23" t="inlineStr">
        <is>
          <t>None recorded</t>
        </is>
      </c>
      <c r="F272" s="23" t="inlineStr">
        <is>
          <t>No individual professional decision recorded; Source assignment -- not individually reviewed</t>
        </is>
      </c>
      <c r="G272" s="23" t="inlineStr">
        <is>
          <t>Not individually decided</t>
        </is>
      </c>
      <c r="H272" s="23" t="inlineStr">
        <is>
          <t xml:space="preserve">RETAINED / ONE_TO_ONE; </t>
        </is>
      </c>
      <c r="I272" s="23" t="inlineStr">
        <is>
          <t>Carried forward</t>
        </is>
      </c>
      <c r="J272" s="14" t="inlineStr">
        <is>
          <t>08 CROSSWALK</t>
        </is>
      </c>
    </row>
    <row r="273" ht="49" customHeight="1">
      <c r="A273" s="23" t="inlineStr">
        <is>
          <t>R1156-v2</t>
        </is>
      </c>
      <c r="B273" s="23" t="inlineStr">
        <is>
          <t>Cost &amp; Forecast Control Accounts / CST-01-074</t>
        </is>
      </c>
      <c r="C273" s="23" t="inlineStr">
        <is>
          <t>Cost Account = CA-1074; WBS Code = 1.1.2</t>
        </is>
      </c>
      <c r="D273" s="23" t="inlineStr">
        <is>
          <t>Proposed by Source assignment; target 1.1.2 Guideway and Civil - Utility &amp; Roadworks</t>
        </is>
      </c>
      <c r="E273" s="23" t="inlineStr">
        <is>
          <t>None recorded</t>
        </is>
      </c>
      <c r="F273" s="23" t="inlineStr">
        <is>
          <t>No individual professional decision recorded; Source assignment -- not individually reviewed</t>
        </is>
      </c>
      <c r="G273" s="23" t="inlineStr">
        <is>
          <t>Not individually decided</t>
        </is>
      </c>
      <c r="H273" s="23" t="inlineStr">
        <is>
          <t xml:space="preserve">RETAINED / ONE_TO_ONE; </t>
        </is>
      </c>
      <c r="I273" s="23" t="inlineStr">
        <is>
          <t>Carried forward</t>
        </is>
      </c>
      <c r="J273" s="14" t="inlineStr">
        <is>
          <t>08 CROSSWALK</t>
        </is>
      </c>
    </row>
    <row r="274" ht="49" customHeight="1">
      <c r="A274" s="23" t="inlineStr">
        <is>
          <t>R1158-v2</t>
        </is>
      </c>
      <c r="B274" s="23" t="inlineStr">
        <is>
          <t>Cost &amp; Forecast Control Accounts / CST-01-076</t>
        </is>
      </c>
      <c r="C274" s="23" t="inlineStr">
        <is>
          <t>Cost Account = CA-1076; WBS Code = 1.1.2</t>
        </is>
      </c>
      <c r="D274" s="23" t="inlineStr">
        <is>
          <t>Proposed by Source assignment; target 1.1.2 Guideway and Civil - Utility &amp; Roadworks</t>
        </is>
      </c>
      <c r="E274" s="23" t="inlineStr">
        <is>
          <t>None recorded</t>
        </is>
      </c>
      <c r="F274" s="23" t="inlineStr">
        <is>
          <t>No individual professional decision recorded; Source assignment -- not individually reviewed</t>
        </is>
      </c>
      <c r="G274" s="23" t="inlineStr">
        <is>
          <t>Not individually decided</t>
        </is>
      </c>
      <c r="H274" s="23" t="inlineStr">
        <is>
          <t xml:space="preserve">RETAINED / ONE_TO_ONE; </t>
        </is>
      </c>
      <c r="I274" s="23" t="inlineStr">
        <is>
          <t>Carried forward</t>
        </is>
      </c>
      <c r="J274" s="14" t="inlineStr">
        <is>
          <t>08 CROSSWALK</t>
        </is>
      </c>
    </row>
    <row r="275" ht="49" customHeight="1">
      <c r="A275" s="23" t="inlineStr">
        <is>
          <t>R1160-v2</t>
        </is>
      </c>
      <c r="B275" s="23" t="inlineStr">
        <is>
          <t>Cost &amp; Forecast Control Accounts / CST-01-078</t>
        </is>
      </c>
      <c r="C275" s="23" t="inlineStr">
        <is>
          <t>Cost Account = CA-1078; WBS Code = 1.1.2</t>
        </is>
      </c>
      <c r="D275" s="23" t="inlineStr">
        <is>
          <t>Proposed by Source assignment; target 1.1.2 Guideway and Civil - Utility &amp; Roadworks</t>
        </is>
      </c>
      <c r="E275" s="23" t="inlineStr">
        <is>
          <t>None recorded</t>
        </is>
      </c>
      <c r="F275" s="23" t="inlineStr">
        <is>
          <t>No individual professional decision recorded; Source assignment -- not individually reviewed</t>
        </is>
      </c>
      <c r="G275" s="23" t="inlineStr">
        <is>
          <t>Not individually decided</t>
        </is>
      </c>
      <c r="H275" s="23" t="inlineStr">
        <is>
          <t xml:space="preserve">RETAINED / ONE_TO_ONE; </t>
        </is>
      </c>
      <c r="I275" s="23" t="inlineStr">
        <is>
          <t>Carried forward</t>
        </is>
      </c>
      <c r="J275" s="14" t="inlineStr">
        <is>
          <t>08 CROSSWALK</t>
        </is>
      </c>
    </row>
    <row r="276" ht="49" customHeight="1">
      <c r="A276" s="23" t="inlineStr">
        <is>
          <t>R1162-v2</t>
        </is>
      </c>
      <c r="B276" s="23" t="inlineStr">
        <is>
          <t>Cost &amp; Forecast Control Accounts / CST-01-080</t>
        </is>
      </c>
      <c r="C276" s="23" t="inlineStr">
        <is>
          <t>Cost Account = CA-1080; WBS Code = 1.1.2</t>
        </is>
      </c>
      <c r="D276" s="23" t="inlineStr">
        <is>
          <t>Proposed by Source assignment; target 1.1.2 Guideway and Civil - Utility &amp; Roadworks</t>
        </is>
      </c>
      <c r="E276" s="23" t="inlineStr">
        <is>
          <t>None recorded</t>
        </is>
      </c>
      <c r="F276" s="23" t="inlineStr">
        <is>
          <t>No individual professional decision recorded; Source assignment -- not individually reviewed</t>
        </is>
      </c>
      <c r="G276" s="23" t="inlineStr">
        <is>
          <t>Not individually decided</t>
        </is>
      </c>
      <c r="H276" s="23" t="inlineStr">
        <is>
          <t xml:space="preserve">RETAINED / ONE_TO_ONE; </t>
        </is>
      </c>
      <c r="I276" s="23" t="inlineStr">
        <is>
          <t>Carried forward</t>
        </is>
      </c>
      <c r="J276" s="14" t="inlineStr">
        <is>
          <t>08 CROSSWALK</t>
        </is>
      </c>
    </row>
    <row r="277" ht="94" customHeight="1">
      <c r="A277" s="23" t="inlineStr">
        <is>
          <t>R1563-v3</t>
        </is>
      </c>
      <c r="B277" s="23" t="inlineStr">
        <is>
          <t>Commercial Package Register / PKG-001</t>
        </is>
      </c>
      <c r="C277" s="23" t="inlineStr">
        <is>
          <t>Package Code = PK-101; WBS Code = 1.1;1.2</t>
        </is>
      </c>
      <c r="D277" s="23" t="inlineStr">
        <is>
          <t>Proposed by Professional; target 1.2 Stations</t>
        </is>
      </c>
      <c r="E277" s="23" t="inlineStr">
        <is>
          <t>Source states 'WBS Code' = '1.1;1.2' -- names no element of this WBS -- professional reason (Maya Chen, Owner Project Controls): Source package register explicitly states both Owner-WBS branches.</t>
        </is>
      </c>
      <c r="F277" s="23" t="inlineStr">
        <is>
          <t>Maya Chen, Owner Project Controls: Earlier professional decision, carried forward</t>
        </is>
      </c>
      <c r="G277" s="23" t="inlineStr">
        <is>
          <t>Individual, carried forward</t>
        </is>
      </c>
      <c r="H277" s="23" t="inlineStr">
        <is>
          <t xml:space="preserve">RETAINED / ONE_TO_MANY; </t>
        </is>
      </c>
      <c r="I277" s="23" t="inlineStr">
        <is>
          <t>Carried forward</t>
        </is>
      </c>
      <c r="J277" s="14" t="inlineStr">
        <is>
          <t>08 CROSSWALK</t>
        </is>
      </c>
    </row>
    <row r="278" ht="64" customHeight="1">
      <c r="A278" s="23" t="inlineStr">
        <is>
          <t>R1567-v3</t>
        </is>
      </c>
      <c r="B278" s="23" t="inlineStr">
        <is>
          <t>Commercial Package Register / PKG-005</t>
        </is>
      </c>
      <c r="C278" s="23" t="inlineStr">
        <is>
          <t>Package Code = PK-105; WBS Code = 1.2</t>
        </is>
      </c>
      <c r="D278" s="23" t="inlineStr">
        <is>
          <t>Proposed by Source assignment; target 1.2 Stations</t>
        </is>
      </c>
      <c r="E278" s="23" t="inlineStr">
        <is>
          <t>None recorded</t>
        </is>
      </c>
      <c r="F278" s="23" t="inlineStr">
        <is>
          <t>Maya Chen, Owner Project Controls: Professional decision</t>
        </is>
      </c>
      <c r="G278" s="23" t="inlineStr">
        <is>
          <t>Individual</t>
        </is>
      </c>
      <c r="H278" s="23" t="inlineStr">
        <is>
          <t xml:space="preserve">APPROVED / ONE_TO_ONE; </t>
        </is>
      </c>
      <c r="I278" s="23" t="inlineStr">
        <is>
          <t>Changed, re-decided; 'WBS Code' changed from 1.1 to 1.2; 'WBS Code' changed from 1.1 to 1.2; 'WBS Code' changed from 1.1 to 1.2</t>
        </is>
      </c>
      <c r="J278" s="14" t="inlineStr">
        <is>
          <t>08 CROSSWALK</t>
        </is>
      </c>
    </row>
    <row r="279" ht="49" customHeight="1">
      <c r="A279" s="23" t="inlineStr">
        <is>
          <t>R1573-v2</t>
        </is>
      </c>
      <c r="B279" s="23" t="inlineStr">
        <is>
          <t>Commercial Package Register / PKG-011</t>
        </is>
      </c>
      <c r="C279" s="23" t="inlineStr">
        <is>
          <t>Package Code = PK-201; WBS Code = 1.2</t>
        </is>
      </c>
      <c r="D279" s="23" t="inlineStr">
        <is>
          <t>Proposed by Source assignment; target 1.2 Stations</t>
        </is>
      </c>
      <c r="E279" s="23" t="inlineStr">
        <is>
          <t>None recorded</t>
        </is>
      </c>
      <c r="F279" s="23" t="inlineStr">
        <is>
          <t>No individual professional decision recorded; Source assignment -- not individually reviewed</t>
        </is>
      </c>
      <c r="G279" s="23" t="inlineStr">
        <is>
          <t>Not individually decided</t>
        </is>
      </c>
      <c r="H279" s="23" t="inlineStr">
        <is>
          <t xml:space="preserve">RETAINED / ONE_TO_ONE; </t>
        </is>
      </c>
      <c r="I279" s="23" t="inlineStr">
        <is>
          <t>Carried forward</t>
        </is>
      </c>
      <c r="J279" s="14" t="inlineStr">
        <is>
          <t>08 CROSSWALK</t>
        </is>
      </c>
    </row>
    <row r="280" ht="49" customHeight="1">
      <c r="A280" s="23" t="inlineStr">
        <is>
          <t>R1574-v2</t>
        </is>
      </c>
      <c r="B280" s="23" t="inlineStr">
        <is>
          <t>Commercial Package Register / PKG-012</t>
        </is>
      </c>
      <c r="C280" s="23" t="inlineStr">
        <is>
          <t>Package Code = PK-202; WBS Code = 1.2</t>
        </is>
      </c>
      <c r="D280" s="23" t="inlineStr">
        <is>
          <t>Proposed by Source assignment; target 1.2 Stations</t>
        </is>
      </c>
      <c r="E280" s="23" t="inlineStr">
        <is>
          <t>None recorded</t>
        </is>
      </c>
      <c r="F280" s="23" t="inlineStr">
        <is>
          <t>No individual professional decision recorded; Source assignment -- not individually reviewed</t>
        </is>
      </c>
      <c r="G280" s="23" t="inlineStr">
        <is>
          <t>Not individually decided</t>
        </is>
      </c>
      <c r="H280" s="23" t="inlineStr">
        <is>
          <t xml:space="preserve">RETAINED / ONE_TO_ONE; </t>
        </is>
      </c>
      <c r="I280" s="23" t="inlineStr">
        <is>
          <t>Carried forward</t>
        </is>
      </c>
      <c r="J280" s="14" t="inlineStr">
        <is>
          <t>08 CROSSWALK</t>
        </is>
      </c>
    </row>
    <row r="281" ht="49" customHeight="1">
      <c r="A281" s="23" t="inlineStr">
        <is>
          <t>R1575-v2</t>
        </is>
      </c>
      <c r="B281" s="23" t="inlineStr">
        <is>
          <t>Commercial Package Register / PKG-013</t>
        </is>
      </c>
      <c r="C281" s="23" t="inlineStr">
        <is>
          <t>Package Code = PK-203; WBS Code = 1.2</t>
        </is>
      </c>
      <c r="D281" s="23" t="inlineStr">
        <is>
          <t>Proposed by Source assignment; target 1.2 Stations</t>
        </is>
      </c>
      <c r="E281" s="23" t="inlineStr">
        <is>
          <t>None recorded</t>
        </is>
      </c>
      <c r="F281" s="23" t="inlineStr">
        <is>
          <t>No individual professional decision recorded; Source assignment -- not individually reviewed</t>
        </is>
      </c>
      <c r="G281" s="23" t="inlineStr">
        <is>
          <t>Not individually decided</t>
        </is>
      </c>
      <c r="H281" s="23" t="inlineStr">
        <is>
          <t xml:space="preserve">RETAINED / ONE_TO_ONE; </t>
        </is>
      </c>
      <c r="I281" s="23" t="inlineStr">
        <is>
          <t>Carried forward</t>
        </is>
      </c>
      <c r="J281" s="14" t="inlineStr">
        <is>
          <t>08 CROSSWALK</t>
        </is>
      </c>
    </row>
    <row r="282" ht="49" customHeight="1">
      <c r="A282" s="23" t="inlineStr">
        <is>
          <t>R1576-v2</t>
        </is>
      </c>
      <c r="B282" s="23" t="inlineStr">
        <is>
          <t>Commercial Package Register / PKG-014</t>
        </is>
      </c>
      <c r="C282" s="23" t="inlineStr">
        <is>
          <t>Package Code = PK-204; WBS Code = 1.2</t>
        </is>
      </c>
      <c r="D282" s="23" t="inlineStr">
        <is>
          <t>Proposed by Source assignment; target 1.2 Stations</t>
        </is>
      </c>
      <c r="E282" s="23" t="inlineStr">
        <is>
          <t>None recorded</t>
        </is>
      </c>
      <c r="F282" s="23" t="inlineStr">
        <is>
          <t>No individual professional decision recorded; Source assignment -- not individually reviewed</t>
        </is>
      </c>
      <c r="G282" s="23" t="inlineStr">
        <is>
          <t>Not individually decided</t>
        </is>
      </c>
      <c r="H282" s="23" t="inlineStr">
        <is>
          <t xml:space="preserve">RETAINED / ONE_TO_ONE; </t>
        </is>
      </c>
      <c r="I282" s="23" t="inlineStr">
        <is>
          <t>Carried forward</t>
        </is>
      </c>
      <c r="J282" s="14" t="inlineStr">
        <is>
          <t>08 CROSSWALK</t>
        </is>
      </c>
    </row>
    <row r="283" ht="49" customHeight="1">
      <c r="A283" s="23" t="inlineStr">
        <is>
          <t>R1577-v2</t>
        </is>
      </c>
      <c r="B283" s="23" t="inlineStr">
        <is>
          <t>Commercial Package Register / PKG-015</t>
        </is>
      </c>
      <c r="C283" s="23" t="inlineStr">
        <is>
          <t>Package Code = PK-205; WBS Code = 1.2</t>
        </is>
      </c>
      <c r="D283" s="23" t="inlineStr">
        <is>
          <t>Proposed by Source assignment; target 1.2 Stations</t>
        </is>
      </c>
      <c r="E283" s="23" t="inlineStr">
        <is>
          <t>None recorded</t>
        </is>
      </c>
      <c r="F283" s="23" t="inlineStr">
        <is>
          <t>No individual professional decision recorded; Source assignment -- not individually reviewed</t>
        </is>
      </c>
      <c r="G283" s="23" t="inlineStr">
        <is>
          <t>Not individually decided</t>
        </is>
      </c>
      <c r="H283" s="23" t="inlineStr">
        <is>
          <t xml:space="preserve">RETAINED / ONE_TO_ONE; </t>
        </is>
      </c>
      <c r="I283" s="23" t="inlineStr">
        <is>
          <t>Carried forward</t>
        </is>
      </c>
      <c r="J283" s="14" t="inlineStr">
        <is>
          <t>08 CROSSWALK</t>
        </is>
      </c>
    </row>
    <row r="284" ht="49" customHeight="1">
      <c r="A284" s="23" t="inlineStr">
        <is>
          <t>R1578-v2</t>
        </is>
      </c>
      <c r="B284" s="23" t="inlineStr">
        <is>
          <t>Commercial Package Register / PKG-016</t>
        </is>
      </c>
      <c r="C284" s="23" t="inlineStr">
        <is>
          <t>Package Code = PK-206; WBS Code = 1.2</t>
        </is>
      </c>
      <c r="D284" s="23" t="inlineStr">
        <is>
          <t>Proposed by Source assignment; target 1.2 Stations</t>
        </is>
      </c>
      <c r="E284" s="23" t="inlineStr">
        <is>
          <t>None recorded</t>
        </is>
      </c>
      <c r="F284" s="23" t="inlineStr">
        <is>
          <t>No individual professional decision recorded; Source assignment -- not individually reviewed</t>
        </is>
      </c>
      <c r="G284" s="23" t="inlineStr">
        <is>
          <t>Not individually decided</t>
        </is>
      </c>
      <c r="H284" s="23" t="inlineStr">
        <is>
          <t xml:space="preserve">RETAINED / ONE_TO_ONE; </t>
        </is>
      </c>
      <c r="I284" s="23" t="inlineStr">
        <is>
          <t>Carried forward</t>
        </is>
      </c>
      <c r="J284" s="14" t="inlineStr">
        <is>
          <t>08 CROSSWALK</t>
        </is>
      </c>
    </row>
    <row r="285" ht="49" customHeight="1">
      <c r="A285" s="23" t="inlineStr">
        <is>
          <t>R1579-v2</t>
        </is>
      </c>
      <c r="B285" s="23" t="inlineStr">
        <is>
          <t>Commercial Package Register / PKG-017</t>
        </is>
      </c>
      <c r="C285" s="23" t="inlineStr">
        <is>
          <t>Package Code = PK-207; WBS Code = 1.2</t>
        </is>
      </c>
      <c r="D285" s="23" t="inlineStr">
        <is>
          <t>Proposed by Source assignment; target 1.2 Stations</t>
        </is>
      </c>
      <c r="E285" s="23" t="inlineStr">
        <is>
          <t>None recorded</t>
        </is>
      </c>
      <c r="F285" s="23" t="inlineStr">
        <is>
          <t>No individual professional decision recorded; Source assignment -- not individually reviewed</t>
        </is>
      </c>
      <c r="G285" s="23" t="inlineStr">
        <is>
          <t>Not individually decided</t>
        </is>
      </c>
      <c r="H285" s="23" t="inlineStr">
        <is>
          <t xml:space="preserve">RETAINED / ONE_TO_ONE; </t>
        </is>
      </c>
      <c r="I285" s="23" t="inlineStr">
        <is>
          <t>Carried forward</t>
        </is>
      </c>
      <c r="J285" s="14" t="inlineStr">
        <is>
          <t>08 CROSSWALK</t>
        </is>
      </c>
    </row>
    <row r="286" ht="49" customHeight="1">
      <c r="A286" s="23" t="inlineStr">
        <is>
          <t>R1580-v2</t>
        </is>
      </c>
      <c r="B286" s="23" t="inlineStr">
        <is>
          <t>Commercial Package Register / PKG-018</t>
        </is>
      </c>
      <c r="C286" s="23" t="inlineStr">
        <is>
          <t>Package Code = PK-208; WBS Code = 1.2</t>
        </is>
      </c>
      <c r="D286" s="23" t="inlineStr">
        <is>
          <t>Proposed by Source assignment; target 1.2 Stations</t>
        </is>
      </c>
      <c r="E286" s="23" t="inlineStr">
        <is>
          <t>None recorded</t>
        </is>
      </c>
      <c r="F286" s="23" t="inlineStr">
        <is>
          <t>No individual professional decision recorded; Source assignment -- not individually reviewed</t>
        </is>
      </c>
      <c r="G286" s="23" t="inlineStr">
        <is>
          <t>Not individually decided</t>
        </is>
      </c>
      <c r="H286" s="23" t="inlineStr">
        <is>
          <t xml:space="preserve">RETAINED / ONE_TO_ONE; </t>
        </is>
      </c>
      <c r="I286" s="23" t="inlineStr">
        <is>
          <t>Carried forward</t>
        </is>
      </c>
      <c r="J286" s="14" t="inlineStr">
        <is>
          <t>08 CROSSWALK</t>
        </is>
      </c>
    </row>
    <row r="287" ht="49" customHeight="1">
      <c r="A287" s="23" t="inlineStr">
        <is>
          <t>R1581-v2</t>
        </is>
      </c>
      <c r="B287" s="23" t="inlineStr">
        <is>
          <t>Commercial Package Register / PKG-019</t>
        </is>
      </c>
      <c r="C287" s="23" t="inlineStr">
        <is>
          <t>Package Code = PK-209; WBS Code = 1.2</t>
        </is>
      </c>
      <c r="D287" s="23" t="inlineStr">
        <is>
          <t>Proposed by Source assignment; target 1.2 Stations</t>
        </is>
      </c>
      <c r="E287" s="23" t="inlineStr">
        <is>
          <t>None recorded</t>
        </is>
      </c>
      <c r="F287" s="23" t="inlineStr">
        <is>
          <t>No individual professional decision recorded; Source assignment -- not individually reviewed</t>
        </is>
      </c>
      <c r="G287" s="23" t="inlineStr">
        <is>
          <t>Not individually decided</t>
        </is>
      </c>
      <c r="H287" s="23" t="inlineStr">
        <is>
          <t xml:space="preserve">RETAINED / ONE_TO_ONE; </t>
        </is>
      </c>
      <c r="I287" s="23" t="inlineStr">
        <is>
          <t>Carried forward</t>
        </is>
      </c>
      <c r="J287" s="14" t="inlineStr">
        <is>
          <t>08 CROSSWALK</t>
        </is>
      </c>
    </row>
    <row r="288" ht="49" customHeight="1">
      <c r="A288" s="23" t="inlineStr">
        <is>
          <t>R1582-v2</t>
        </is>
      </c>
      <c r="B288" s="23" t="inlineStr">
        <is>
          <t>Commercial Package Register / PKG-020</t>
        </is>
      </c>
      <c r="C288" s="23" t="inlineStr">
        <is>
          <t>Package Code = PK-210; WBS Code = 1.2</t>
        </is>
      </c>
      <c r="D288" s="23" t="inlineStr">
        <is>
          <t>Proposed by Source assignment; target 1.2 Stations</t>
        </is>
      </c>
      <c r="E288" s="23" t="inlineStr">
        <is>
          <t>None recorded</t>
        </is>
      </c>
      <c r="F288" s="23" t="inlineStr">
        <is>
          <t>No individual professional decision recorded; Source assignment -- not individually reviewed</t>
        </is>
      </c>
      <c r="G288" s="23" t="inlineStr">
        <is>
          <t>Not individually decided</t>
        </is>
      </c>
      <c r="H288" s="23" t="inlineStr">
        <is>
          <t xml:space="preserve">RETAINED / ONE_TO_ONE; </t>
        </is>
      </c>
      <c r="I288" s="23" t="inlineStr">
        <is>
          <t>Carried forward</t>
        </is>
      </c>
      <c r="J288" s="14" t="inlineStr">
        <is>
          <t>08 CROSSWALK</t>
        </is>
      </c>
    </row>
    <row r="289" ht="49" customHeight="1">
      <c r="A289" s="23" t="inlineStr">
        <is>
          <t>R181-v2</t>
        </is>
      </c>
      <c r="B289" s="23" t="inlineStr">
        <is>
          <t>Contractor Programme / SCH-02-001</t>
        </is>
      </c>
      <c r="C289" s="23" t="inlineStr">
        <is>
          <t>WBS Code = 1.2.1</t>
        </is>
      </c>
      <c r="D289" s="23" t="inlineStr">
        <is>
          <t>Proposed by Source assignment; target 1.2.1 Stations - Station Structures</t>
        </is>
      </c>
      <c r="E289" s="23" t="inlineStr">
        <is>
          <t>None recorded</t>
        </is>
      </c>
      <c r="F289" s="23" t="inlineStr">
        <is>
          <t>No individual professional decision recorded; Source assignment -- not individually reviewed</t>
        </is>
      </c>
      <c r="G289" s="23" t="inlineStr">
        <is>
          <t>Not individually decided</t>
        </is>
      </c>
      <c r="H289" s="23" t="inlineStr">
        <is>
          <t xml:space="preserve">RETAINED / ONE_TO_ONE; </t>
        </is>
      </c>
      <c r="I289" s="23" t="inlineStr">
        <is>
          <t>Carried forward</t>
        </is>
      </c>
      <c r="J289" s="14" t="inlineStr">
        <is>
          <t>08 CROSSWALK</t>
        </is>
      </c>
    </row>
    <row r="290" ht="49" customHeight="1">
      <c r="A290" s="23" t="inlineStr">
        <is>
          <t>R182-v2</t>
        </is>
      </c>
      <c r="B290" s="23" t="inlineStr">
        <is>
          <t>Contractor Programme / SCH-02-002</t>
        </is>
      </c>
      <c r="C290" s="23" t="inlineStr">
        <is>
          <t>WBS Code = 1.2.1</t>
        </is>
      </c>
      <c r="D290" s="23" t="inlineStr">
        <is>
          <t>Proposed by Source assignment; target 1.2.1 Stations - Station Structures</t>
        </is>
      </c>
      <c r="E290" s="23" t="inlineStr">
        <is>
          <t>None recorded</t>
        </is>
      </c>
      <c r="F290" s="23" t="inlineStr">
        <is>
          <t>No individual professional decision recorded; Source assignment -- not individually reviewed</t>
        </is>
      </c>
      <c r="G290" s="23" t="inlineStr">
        <is>
          <t>Not individually decided</t>
        </is>
      </c>
      <c r="H290" s="23" t="inlineStr">
        <is>
          <t xml:space="preserve">RETAINED / ONE_TO_ONE; </t>
        </is>
      </c>
      <c r="I290" s="23" t="inlineStr">
        <is>
          <t>Carried forward</t>
        </is>
      </c>
      <c r="J290" s="14" t="inlineStr">
        <is>
          <t>08 CROSSWALK</t>
        </is>
      </c>
    </row>
    <row r="291" ht="49" customHeight="1">
      <c r="A291" s="23" t="inlineStr">
        <is>
          <t>R184-v2</t>
        </is>
      </c>
      <c r="B291" s="23" t="inlineStr">
        <is>
          <t>Contractor Programme / SCH-02-004</t>
        </is>
      </c>
      <c r="C291" s="23" t="inlineStr">
        <is>
          <t>WBS Code = 1.2.1</t>
        </is>
      </c>
      <c r="D291" s="23" t="inlineStr">
        <is>
          <t>Proposed by Source assignment; target 1.2.1 Stations - Station Structures</t>
        </is>
      </c>
      <c r="E291" s="23" t="inlineStr">
        <is>
          <t>None recorded</t>
        </is>
      </c>
      <c r="F291" s="23" t="inlineStr">
        <is>
          <t>No individual professional decision recorded; Source assignment -- not individually reviewed</t>
        </is>
      </c>
      <c r="G291" s="23" t="inlineStr">
        <is>
          <t>Not individually decided</t>
        </is>
      </c>
      <c r="H291" s="23" t="inlineStr">
        <is>
          <t xml:space="preserve">RETAINED / ONE_TO_ONE; </t>
        </is>
      </c>
      <c r="I291" s="23" t="inlineStr">
        <is>
          <t>Carried forward</t>
        </is>
      </c>
      <c r="J291" s="14" t="inlineStr">
        <is>
          <t>08 CROSSWALK</t>
        </is>
      </c>
    </row>
    <row r="292" ht="49" customHeight="1">
      <c r="A292" s="23" t="inlineStr">
        <is>
          <t>R185-v2</t>
        </is>
      </c>
      <c r="B292" s="23" t="inlineStr">
        <is>
          <t>Contractor Programme / SCH-02-005</t>
        </is>
      </c>
      <c r="C292" s="23" t="inlineStr">
        <is>
          <t>WBS Code = 1.2.1</t>
        </is>
      </c>
      <c r="D292" s="23" t="inlineStr">
        <is>
          <t>Proposed by Source assignment; target 1.2.1 Stations - Station Structures</t>
        </is>
      </c>
      <c r="E292" s="23" t="inlineStr">
        <is>
          <t>None recorded</t>
        </is>
      </c>
      <c r="F292" s="23" t="inlineStr">
        <is>
          <t>No individual professional decision recorded; Source assignment -- not individually reviewed</t>
        </is>
      </c>
      <c r="G292" s="23" t="inlineStr">
        <is>
          <t>Not individually decided</t>
        </is>
      </c>
      <c r="H292" s="23" t="inlineStr">
        <is>
          <t xml:space="preserve">RETAINED / ONE_TO_ONE; </t>
        </is>
      </c>
      <c r="I292" s="23" t="inlineStr">
        <is>
          <t>Carried forward</t>
        </is>
      </c>
      <c r="J292" s="14" t="inlineStr">
        <is>
          <t>08 CROSSWALK</t>
        </is>
      </c>
    </row>
    <row r="293" ht="49" customHeight="1">
      <c r="A293" s="23" t="inlineStr">
        <is>
          <t>R187-v2</t>
        </is>
      </c>
      <c r="B293" s="23" t="inlineStr">
        <is>
          <t>Contractor Programme / SCH-02-007</t>
        </is>
      </c>
      <c r="C293" s="23" t="inlineStr">
        <is>
          <t>WBS Code = 1.2.1</t>
        </is>
      </c>
      <c r="D293" s="23" t="inlineStr">
        <is>
          <t>Proposed by Source assignment; target 1.2.1 Stations - Station Structures</t>
        </is>
      </c>
      <c r="E293" s="23" t="inlineStr">
        <is>
          <t>None recorded</t>
        </is>
      </c>
      <c r="F293" s="23" t="inlineStr">
        <is>
          <t>No individual professional decision recorded; Source assignment -- not individually reviewed</t>
        </is>
      </c>
      <c r="G293" s="23" t="inlineStr">
        <is>
          <t>Not individually decided</t>
        </is>
      </c>
      <c r="H293" s="23" t="inlineStr">
        <is>
          <t xml:space="preserve">RETAINED / ONE_TO_ONE; </t>
        </is>
      </c>
      <c r="I293" s="23" t="inlineStr">
        <is>
          <t>Carried forward</t>
        </is>
      </c>
      <c r="J293" s="14" t="inlineStr">
        <is>
          <t>08 CROSSWALK</t>
        </is>
      </c>
    </row>
    <row r="294" ht="49" customHeight="1">
      <c r="A294" s="23" t="inlineStr">
        <is>
          <t>R188-v2</t>
        </is>
      </c>
      <c r="B294" s="23" t="inlineStr">
        <is>
          <t>Contractor Programme / SCH-02-008</t>
        </is>
      </c>
      <c r="C294" s="23" t="inlineStr">
        <is>
          <t>WBS Code = 1.2.1</t>
        </is>
      </c>
      <c r="D294" s="23" t="inlineStr">
        <is>
          <t>Proposed by Source assignment; target 1.2.1 Stations - Station Structures</t>
        </is>
      </c>
      <c r="E294" s="23" t="inlineStr">
        <is>
          <t>None recorded</t>
        </is>
      </c>
      <c r="F294" s="23" t="inlineStr">
        <is>
          <t>No individual professional decision recorded; Source assignment -- not individually reviewed</t>
        </is>
      </c>
      <c r="G294" s="23" t="inlineStr">
        <is>
          <t>Not individually decided</t>
        </is>
      </c>
      <c r="H294" s="23" t="inlineStr">
        <is>
          <t xml:space="preserve">RETAINED / ONE_TO_ONE; </t>
        </is>
      </c>
      <c r="I294" s="23" t="inlineStr">
        <is>
          <t>Carried forward</t>
        </is>
      </c>
      <c r="J294" s="14" t="inlineStr">
        <is>
          <t>08 CROSSWALK</t>
        </is>
      </c>
    </row>
    <row r="295" ht="49" customHeight="1">
      <c r="A295" s="23" t="inlineStr">
        <is>
          <t>R190-v2</t>
        </is>
      </c>
      <c r="B295" s="23" t="inlineStr">
        <is>
          <t>Contractor Programme / SCH-02-010</t>
        </is>
      </c>
      <c r="C295" s="23" t="inlineStr">
        <is>
          <t>WBS Code = 1.2.1</t>
        </is>
      </c>
      <c r="D295" s="23" t="inlineStr">
        <is>
          <t>Proposed by Source assignment; target 1.2.1 Stations - Station Structures</t>
        </is>
      </c>
      <c r="E295" s="23" t="inlineStr">
        <is>
          <t>None recorded</t>
        </is>
      </c>
      <c r="F295" s="23" t="inlineStr">
        <is>
          <t>No individual professional decision recorded; Source assignment -- not individually reviewed</t>
        </is>
      </c>
      <c r="G295" s="23" t="inlineStr">
        <is>
          <t>Not individually decided</t>
        </is>
      </c>
      <c r="H295" s="23" t="inlineStr">
        <is>
          <t xml:space="preserve">RETAINED / ONE_TO_ONE; </t>
        </is>
      </c>
      <c r="I295" s="23" t="inlineStr">
        <is>
          <t>Carried forward</t>
        </is>
      </c>
      <c r="J295" s="14" t="inlineStr">
        <is>
          <t>08 CROSSWALK</t>
        </is>
      </c>
    </row>
    <row r="296" ht="49" customHeight="1">
      <c r="A296" s="23" t="inlineStr">
        <is>
          <t>R191-v2</t>
        </is>
      </c>
      <c r="B296" s="23" t="inlineStr">
        <is>
          <t>Contractor Programme / SCH-02-011</t>
        </is>
      </c>
      <c r="C296" s="23" t="inlineStr">
        <is>
          <t>WBS Code = 1.2.1</t>
        </is>
      </c>
      <c r="D296" s="23" t="inlineStr">
        <is>
          <t>Proposed by Source assignment; target 1.2.1 Stations - Station Structures</t>
        </is>
      </c>
      <c r="E296" s="23" t="inlineStr">
        <is>
          <t>None recorded</t>
        </is>
      </c>
      <c r="F296" s="23" t="inlineStr">
        <is>
          <t>No individual professional decision recorded; Source assignment -- not individually reviewed</t>
        </is>
      </c>
      <c r="G296" s="23" t="inlineStr">
        <is>
          <t>Not individually decided</t>
        </is>
      </c>
      <c r="H296" s="23" t="inlineStr">
        <is>
          <t xml:space="preserve">RETAINED / ONE_TO_ONE; </t>
        </is>
      </c>
      <c r="I296" s="23" t="inlineStr">
        <is>
          <t>Carried forward</t>
        </is>
      </c>
      <c r="J296" s="14" t="inlineStr">
        <is>
          <t>08 CROSSWALK</t>
        </is>
      </c>
    </row>
    <row r="297" ht="49" customHeight="1">
      <c r="A297" s="23" t="inlineStr">
        <is>
          <t>R193-v2</t>
        </is>
      </c>
      <c r="B297" s="23" t="inlineStr">
        <is>
          <t>Contractor Programme / SCH-02-013</t>
        </is>
      </c>
      <c r="C297" s="23" t="inlineStr">
        <is>
          <t>WBS Code = 1.2.1</t>
        </is>
      </c>
      <c r="D297" s="23" t="inlineStr">
        <is>
          <t>Proposed by Source assignment; target 1.2.1 Stations - Station Structures</t>
        </is>
      </c>
      <c r="E297" s="23" t="inlineStr">
        <is>
          <t>None recorded</t>
        </is>
      </c>
      <c r="F297" s="23" t="inlineStr">
        <is>
          <t>No individual professional decision recorded; Source assignment -- not individually reviewed</t>
        </is>
      </c>
      <c r="G297" s="23" t="inlineStr">
        <is>
          <t>Not individually decided</t>
        </is>
      </c>
      <c r="H297" s="23" t="inlineStr">
        <is>
          <t xml:space="preserve">RETAINED / ONE_TO_ONE; </t>
        </is>
      </c>
      <c r="I297" s="23" t="inlineStr">
        <is>
          <t>Carried forward</t>
        </is>
      </c>
      <c r="J297" s="14" t="inlineStr">
        <is>
          <t>08 CROSSWALK</t>
        </is>
      </c>
    </row>
    <row r="298" ht="49" customHeight="1">
      <c r="A298" s="23" t="inlineStr">
        <is>
          <t>R194-v2</t>
        </is>
      </c>
      <c r="B298" s="23" t="inlineStr">
        <is>
          <t>Contractor Programme / SCH-02-014</t>
        </is>
      </c>
      <c r="C298" s="23" t="inlineStr">
        <is>
          <t>WBS Code = 1.2.1</t>
        </is>
      </c>
      <c r="D298" s="23" t="inlineStr">
        <is>
          <t>Proposed by Source assignment; target 1.2.1 Stations - Station Structures</t>
        </is>
      </c>
      <c r="E298" s="23" t="inlineStr">
        <is>
          <t>None recorded</t>
        </is>
      </c>
      <c r="F298" s="23" t="inlineStr">
        <is>
          <t>No individual professional decision recorded; Source assignment -- not individually reviewed</t>
        </is>
      </c>
      <c r="G298" s="23" t="inlineStr">
        <is>
          <t>Not individually decided</t>
        </is>
      </c>
      <c r="H298" s="23" t="inlineStr">
        <is>
          <t xml:space="preserve">RETAINED / ONE_TO_ONE; </t>
        </is>
      </c>
      <c r="I298" s="23" t="inlineStr">
        <is>
          <t>Carried forward</t>
        </is>
      </c>
      <c r="J298" s="14" t="inlineStr">
        <is>
          <t>08 CROSSWALK</t>
        </is>
      </c>
    </row>
    <row r="299" ht="49" customHeight="1">
      <c r="A299" s="23" t="inlineStr">
        <is>
          <t>R196-v2</t>
        </is>
      </c>
      <c r="B299" s="23" t="inlineStr">
        <is>
          <t>Contractor Programme / SCH-02-016</t>
        </is>
      </c>
      <c r="C299" s="23" t="inlineStr">
        <is>
          <t>WBS Code = 1.2.1</t>
        </is>
      </c>
      <c r="D299" s="23" t="inlineStr">
        <is>
          <t>Proposed by Source assignment; target 1.2.1 Stations - Station Structures</t>
        </is>
      </c>
      <c r="E299" s="23" t="inlineStr">
        <is>
          <t>None recorded</t>
        </is>
      </c>
      <c r="F299" s="23" t="inlineStr">
        <is>
          <t>No individual professional decision recorded; Source assignment -- not individually reviewed</t>
        </is>
      </c>
      <c r="G299" s="23" t="inlineStr">
        <is>
          <t>Not individually decided</t>
        </is>
      </c>
      <c r="H299" s="23" t="inlineStr">
        <is>
          <t xml:space="preserve">RETAINED / ONE_TO_ONE; </t>
        </is>
      </c>
      <c r="I299" s="23" t="inlineStr">
        <is>
          <t>Carried forward</t>
        </is>
      </c>
      <c r="J299" s="14" t="inlineStr">
        <is>
          <t>08 CROSSWALK</t>
        </is>
      </c>
    </row>
    <row r="300" ht="49" customHeight="1">
      <c r="A300" s="23" t="inlineStr">
        <is>
          <t>R197-v2</t>
        </is>
      </c>
      <c r="B300" s="23" t="inlineStr">
        <is>
          <t>Contractor Programme / SCH-02-017</t>
        </is>
      </c>
      <c r="C300" s="23" t="inlineStr">
        <is>
          <t>WBS Code = 1.2.1</t>
        </is>
      </c>
      <c r="D300" s="23" t="inlineStr">
        <is>
          <t>Proposed by Source assignment; target 1.2.1 Stations - Station Structures</t>
        </is>
      </c>
      <c r="E300" s="23" t="inlineStr">
        <is>
          <t>None recorded</t>
        </is>
      </c>
      <c r="F300" s="23" t="inlineStr">
        <is>
          <t>No individual professional decision recorded; Source assignment -- not individually reviewed</t>
        </is>
      </c>
      <c r="G300" s="23" t="inlineStr">
        <is>
          <t>Not individually decided</t>
        </is>
      </c>
      <c r="H300" s="23" t="inlineStr">
        <is>
          <t xml:space="preserve">RETAINED / ONE_TO_ONE; </t>
        </is>
      </c>
      <c r="I300" s="23" t="inlineStr">
        <is>
          <t>Carried forward</t>
        </is>
      </c>
      <c r="J300" s="14" t="inlineStr">
        <is>
          <t>08 CROSSWALK</t>
        </is>
      </c>
    </row>
    <row r="301" ht="49" customHeight="1">
      <c r="A301" s="23" t="inlineStr">
        <is>
          <t>R199-v2</t>
        </is>
      </c>
      <c r="B301" s="23" t="inlineStr">
        <is>
          <t>Contractor Programme / SCH-02-019</t>
        </is>
      </c>
      <c r="C301" s="23" t="inlineStr">
        <is>
          <t>WBS Code = 1.2.1</t>
        </is>
      </c>
      <c r="D301" s="23" t="inlineStr">
        <is>
          <t>Proposed by Source assignment; target 1.2.1 Stations - Station Structures</t>
        </is>
      </c>
      <c r="E301" s="23" t="inlineStr">
        <is>
          <t>None recorded</t>
        </is>
      </c>
      <c r="F301" s="23" t="inlineStr">
        <is>
          <t>No individual professional decision recorded; Source assignment -- not individually reviewed</t>
        </is>
      </c>
      <c r="G301" s="23" t="inlineStr">
        <is>
          <t>Not individually decided</t>
        </is>
      </c>
      <c r="H301" s="23" t="inlineStr">
        <is>
          <t xml:space="preserve">RETAINED / ONE_TO_ONE; </t>
        </is>
      </c>
      <c r="I301" s="23" t="inlineStr">
        <is>
          <t>Carried forward</t>
        </is>
      </c>
      <c r="J301" s="14" t="inlineStr">
        <is>
          <t>08 CROSSWALK</t>
        </is>
      </c>
    </row>
    <row r="302" ht="49" customHeight="1">
      <c r="A302" s="23" t="inlineStr">
        <is>
          <t>R200-v2</t>
        </is>
      </c>
      <c r="B302" s="23" t="inlineStr">
        <is>
          <t>Contractor Programme / SCH-02-020</t>
        </is>
      </c>
      <c r="C302" s="23" t="inlineStr">
        <is>
          <t>WBS Code = 1.2.1</t>
        </is>
      </c>
      <c r="D302" s="23" t="inlineStr">
        <is>
          <t>Proposed by Source assignment; target 1.2.1 Stations - Station Structures</t>
        </is>
      </c>
      <c r="E302" s="23" t="inlineStr">
        <is>
          <t>None recorded</t>
        </is>
      </c>
      <c r="F302" s="23" t="inlineStr">
        <is>
          <t>No individual professional decision recorded; Source assignment -- not individually reviewed</t>
        </is>
      </c>
      <c r="G302" s="23" t="inlineStr">
        <is>
          <t>Not individually decided</t>
        </is>
      </c>
      <c r="H302" s="23" t="inlineStr">
        <is>
          <t xml:space="preserve">RETAINED / ONE_TO_ONE; </t>
        </is>
      </c>
      <c r="I302" s="23" t="inlineStr">
        <is>
          <t>Carried forward</t>
        </is>
      </c>
      <c r="J302" s="14" t="inlineStr">
        <is>
          <t>08 CROSSWALK</t>
        </is>
      </c>
    </row>
    <row r="303" ht="49" customHeight="1">
      <c r="A303" s="23" t="inlineStr">
        <is>
          <t>R202-v2</t>
        </is>
      </c>
      <c r="B303" s="23" t="inlineStr">
        <is>
          <t>Contractor Programme / SCH-02-022</t>
        </is>
      </c>
      <c r="C303" s="23" t="inlineStr">
        <is>
          <t>WBS Code = 1.2.1</t>
        </is>
      </c>
      <c r="D303" s="23" t="inlineStr">
        <is>
          <t>Proposed by Source assignment; target 1.2.1 Stations - Station Structures</t>
        </is>
      </c>
      <c r="E303" s="23" t="inlineStr">
        <is>
          <t>None recorded</t>
        </is>
      </c>
      <c r="F303" s="23" t="inlineStr">
        <is>
          <t>No individual professional decision recorded; Source assignment -- not individually reviewed</t>
        </is>
      </c>
      <c r="G303" s="23" t="inlineStr">
        <is>
          <t>Not individually decided</t>
        </is>
      </c>
      <c r="H303" s="23" t="inlineStr">
        <is>
          <t xml:space="preserve">RETAINED / ONE_TO_ONE; </t>
        </is>
      </c>
      <c r="I303" s="23" t="inlineStr">
        <is>
          <t>Carried forward</t>
        </is>
      </c>
      <c r="J303" s="14" t="inlineStr">
        <is>
          <t>08 CROSSWALK</t>
        </is>
      </c>
    </row>
    <row r="304" ht="49" customHeight="1">
      <c r="A304" s="23" t="inlineStr">
        <is>
          <t>R203-v2</t>
        </is>
      </c>
      <c r="B304" s="23" t="inlineStr">
        <is>
          <t>Contractor Programme / SCH-02-023</t>
        </is>
      </c>
      <c r="C304" s="23" t="inlineStr">
        <is>
          <t>WBS Code = 1.2.1</t>
        </is>
      </c>
      <c r="D304" s="23" t="inlineStr">
        <is>
          <t>Proposed by Source assignment; target 1.2.1 Stations - Station Structures</t>
        </is>
      </c>
      <c r="E304" s="23" t="inlineStr">
        <is>
          <t>None recorded</t>
        </is>
      </c>
      <c r="F304" s="23" t="inlineStr">
        <is>
          <t>No individual professional decision recorded; Source assignment -- not individually reviewed</t>
        </is>
      </c>
      <c r="G304" s="23" t="inlineStr">
        <is>
          <t>Not individually decided</t>
        </is>
      </c>
      <c r="H304" s="23" t="inlineStr">
        <is>
          <t xml:space="preserve">RETAINED / ONE_TO_ONE; </t>
        </is>
      </c>
      <c r="I304" s="23" t="inlineStr">
        <is>
          <t>Carried forward</t>
        </is>
      </c>
      <c r="J304" s="14" t="inlineStr">
        <is>
          <t>08 CROSSWALK</t>
        </is>
      </c>
    </row>
    <row r="305" ht="49" customHeight="1">
      <c r="A305" s="23" t="inlineStr">
        <is>
          <t>R205-v2</t>
        </is>
      </c>
      <c r="B305" s="23" t="inlineStr">
        <is>
          <t>Contractor Programme / SCH-02-025</t>
        </is>
      </c>
      <c r="C305" s="23" t="inlineStr">
        <is>
          <t>WBS Code = 1.2.1</t>
        </is>
      </c>
      <c r="D305" s="23" t="inlineStr">
        <is>
          <t>Proposed by Source assignment; target 1.2.1 Stations - Station Structures</t>
        </is>
      </c>
      <c r="E305" s="23" t="inlineStr">
        <is>
          <t>None recorded</t>
        </is>
      </c>
      <c r="F305" s="23" t="inlineStr">
        <is>
          <t>No individual professional decision recorded; Source assignment -- not individually reviewed</t>
        </is>
      </c>
      <c r="G305" s="23" t="inlineStr">
        <is>
          <t>Not individually decided</t>
        </is>
      </c>
      <c r="H305" s="23" t="inlineStr">
        <is>
          <t xml:space="preserve">RETAINED / ONE_TO_ONE; </t>
        </is>
      </c>
      <c r="I305" s="23" t="inlineStr">
        <is>
          <t>Carried forward</t>
        </is>
      </c>
      <c r="J305" s="14" t="inlineStr">
        <is>
          <t>08 CROSSWALK</t>
        </is>
      </c>
    </row>
    <row r="306" ht="49" customHeight="1">
      <c r="A306" s="23" t="inlineStr">
        <is>
          <t>R206-v2</t>
        </is>
      </c>
      <c r="B306" s="23" t="inlineStr">
        <is>
          <t>Contractor Programme / SCH-02-026</t>
        </is>
      </c>
      <c r="C306" s="23" t="inlineStr">
        <is>
          <t>WBS Code = 1.2.1</t>
        </is>
      </c>
      <c r="D306" s="23" t="inlineStr">
        <is>
          <t>Proposed by Source assignment; target 1.2.1 Stations - Station Structures</t>
        </is>
      </c>
      <c r="E306" s="23" t="inlineStr">
        <is>
          <t>None recorded</t>
        </is>
      </c>
      <c r="F306" s="23" t="inlineStr">
        <is>
          <t>No individual professional decision recorded; Source assignment -- not individually reviewed</t>
        </is>
      </c>
      <c r="G306" s="23" t="inlineStr">
        <is>
          <t>Not individually decided</t>
        </is>
      </c>
      <c r="H306" s="23" t="inlineStr">
        <is>
          <t xml:space="preserve">RETAINED / ONE_TO_ONE; </t>
        </is>
      </c>
      <c r="I306" s="23" t="inlineStr">
        <is>
          <t>Carried forward</t>
        </is>
      </c>
      <c r="J306" s="14" t="inlineStr">
        <is>
          <t>08 CROSSWALK</t>
        </is>
      </c>
    </row>
    <row r="307" ht="49" customHeight="1">
      <c r="A307" s="23" t="inlineStr">
        <is>
          <t>R208-v2</t>
        </is>
      </c>
      <c r="B307" s="23" t="inlineStr">
        <is>
          <t>Contractor Programme / SCH-02-028</t>
        </is>
      </c>
      <c r="C307" s="23" t="inlineStr">
        <is>
          <t>WBS Code = 1.2.1</t>
        </is>
      </c>
      <c r="D307" s="23" t="inlineStr">
        <is>
          <t>Proposed by Source assignment; target 1.2.1 Stations - Station Structures</t>
        </is>
      </c>
      <c r="E307" s="23" t="inlineStr">
        <is>
          <t>None recorded</t>
        </is>
      </c>
      <c r="F307" s="23" t="inlineStr">
        <is>
          <t>No individual professional decision recorded; Source assignment -- not individually reviewed</t>
        </is>
      </c>
      <c r="G307" s="23" t="inlineStr">
        <is>
          <t>Not individually decided</t>
        </is>
      </c>
      <c r="H307" s="23" t="inlineStr">
        <is>
          <t xml:space="preserve">RETAINED / ONE_TO_ONE; </t>
        </is>
      </c>
      <c r="I307" s="23" t="inlineStr">
        <is>
          <t>Carried forward</t>
        </is>
      </c>
      <c r="J307" s="14" t="inlineStr">
        <is>
          <t>08 CROSSWALK</t>
        </is>
      </c>
    </row>
    <row r="308" ht="49" customHeight="1">
      <c r="A308" s="23" t="inlineStr">
        <is>
          <t>R209-v2</t>
        </is>
      </c>
      <c r="B308" s="23" t="inlineStr">
        <is>
          <t>Contractor Programme / SCH-02-029</t>
        </is>
      </c>
      <c r="C308" s="23" t="inlineStr">
        <is>
          <t>WBS Code = 1.2.1</t>
        </is>
      </c>
      <c r="D308" s="23" t="inlineStr">
        <is>
          <t>Proposed by Source assignment; target 1.2.1 Stations - Station Structures</t>
        </is>
      </c>
      <c r="E308" s="23" t="inlineStr">
        <is>
          <t>None recorded</t>
        </is>
      </c>
      <c r="F308" s="23" t="inlineStr">
        <is>
          <t>No individual professional decision recorded; Source assignment -- not individually reviewed</t>
        </is>
      </c>
      <c r="G308" s="23" t="inlineStr">
        <is>
          <t>Not individually decided</t>
        </is>
      </c>
      <c r="H308" s="23" t="inlineStr">
        <is>
          <t xml:space="preserve">RETAINED / ONE_TO_ONE; </t>
        </is>
      </c>
      <c r="I308" s="23" t="inlineStr">
        <is>
          <t>Carried forward</t>
        </is>
      </c>
      <c r="J308" s="14" t="inlineStr">
        <is>
          <t>08 CROSSWALK</t>
        </is>
      </c>
    </row>
    <row r="309" ht="49" customHeight="1">
      <c r="A309" s="23" t="inlineStr">
        <is>
          <t>R211-v2</t>
        </is>
      </c>
      <c r="B309" s="23" t="inlineStr">
        <is>
          <t>Contractor Programme / SCH-02-031</t>
        </is>
      </c>
      <c r="C309" s="23" t="inlineStr">
        <is>
          <t>WBS Code = 1.2.1</t>
        </is>
      </c>
      <c r="D309" s="23" t="inlineStr">
        <is>
          <t>Proposed by Source assignment; target 1.2.1 Stations - Station Structures</t>
        </is>
      </c>
      <c r="E309" s="23" t="inlineStr">
        <is>
          <t>None recorded</t>
        </is>
      </c>
      <c r="F309" s="23" t="inlineStr">
        <is>
          <t>No individual professional decision recorded; Source assignment -- not individually reviewed</t>
        </is>
      </c>
      <c r="G309" s="23" t="inlineStr">
        <is>
          <t>Not individually decided</t>
        </is>
      </c>
      <c r="H309" s="23" t="inlineStr">
        <is>
          <t xml:space="preserve">RETAINED / ONE_TO_ONE; </t>
        </is>
      </c>
      <c r="I309" s="23" t="inlineStr">
        <is>
          <t>Carried forward</t>
        </is>
      </c>
      <c r="J309" s="14" t="inlineStr">
        <is>
          <t>08 CROSSWALK</t>
        </is>
      </c>
    </row>
    <row r="310" ht="49" customHeight="1">
      <c r="A310" s="23" t="inlineStr">
        <is>
          <t>R212-v2</t>
        </is>
      </c>
      <c r="B310" s="23" t="inlineStr">
        <is>
          <t>Contractor Programme / SCH-02-032</t>
        </is>
      </c>
      <c r="C310" s="23" t="inlineStr">
        <is>
          <t>WBS Code = 1.2.1</t>
        </is>
      </c>
      <c r="D310" s="23" t="inlineStr">
        <is>
          <t>Proposed by Source assignment; target 1.2.1 Stations - Station Structures</t>
        </is>
      </c>
      <c r="E310" s="23" t="inlineStr">
        <is>
          <t>None recorded</t>
        </is>
      </c>
      <c r="F310" s="23" t="inlineStr">
        <is>
          <t>No individual professional decision recorded; Source assignment -- not individually reviewed</t>
        </is>
      </c>
      <c r="G310" s="23" t="inlineStr">
        <is>
          <t>Not individually decided</t>
        </is>
      </c>
      <c r="H310" s="23" t="inlineStr">
        <is>
          <t xml:space="preserve">RETAINED / ONE_TO_ONE; </t>
        </is>
      </c>
      <c r="I310" s="23" t="inlineStr">
        <is>
          <t>Carried forward</t>
        </is>
      </c>
      <c r="J310" s="14" t="inlineStr">
        <is>
          <t>08 CROSSWALK</t>
        </is>
      </c>
    </row>
    <row r="311" ht="49" customHeight="1">
      <c r="A311" s="23" t="inlineStr">
        <is>
          <t>R214-v2</t>
        </is>
      </c>
      <c r="B311" s="23" t="inlineStr">
        <is>
          <t>Contractor Programme / SCH-02-034</t>
        </is>
      </c>
      <c r="C311" s="23" t="inlineStr">
        <is>
          <t>WBS Code = 1.2.1</t>
        </is>
      </c>
      <c r="D311" s="23" t="inlineStr">
        <is>
          <t>Proposed by Source assignment; target 1.2.1 Stations - Station Structures</t>
        </is>
      </c>
      <c r="E311" s="23" t="inlineStr">
        <is>
          <t>None recorded</t>
        </is>
      </c>
      <c r="F311" s="23" t="inlineStr">
        <is>
          <t>No individual professional decision recorded; Source assignment -- not individually reviewed</t>
        </is>
      </c>
      <c r="G311" s="23" t="inlineStr">
        <is>
          <t>Not individually decided</t>
        </is>
      </c>
      <c r="H311" s="23" t="inlineStr">
        <is>
          <t xml:space="preserve">RETAINED / ONE_TO_ONE; </t>
        </is>
      </c>
      <c r="I311" s="23" t="inlineStr">
        <is>
          <t>Carried forward</t>
        </is>
      </c>
      <c r="J311" s="14" t="inlineStr">
        <is>
          <t>08 CROSSWALK</t>
        </is>
      </c>
    </row>
    <row r="312" ht="49" customHeight="1">
      <c r="A312" s="23" t="inlineStr">
        <is>
          <t>R215-v2</t>
        </is>
      </c>
      <c r="B312" s="23" t="inlineStr">
        <is>
          <t>Contractor Programme / SCH-02-035</t>
        </is>
      </c>
      <c r="C312" s="23" t="inlineStr">
        <is>
          <t>WBS Code = 1.2.1</t>
        </is>
      </c>
      <c r="D312" s="23" t="inlineStr">
        <is>
          <t>Proposed by Source assignment; target 1.2.1 Stations - Station Structures</t>
        </is>
      </c>
      <c r="E312" s="23" t="inlineStr">
        <is>
          <t>None recorded</t>
        </is>
      </c>
      <c r="F312" s="23" t="inlineStr">
        <is>
          <t>No individual professional decision recorded; Source assignment -- not individually reviewed</t>
        </is>
      </c>
      <c r="G312" s="23" t="inlineStr">
        <is>
          <t>Not individually decided</t>
        </is>
      </c>
      <c r="H312" s="23" t="inlineStr">
        <is>
          <t xml:space="preserve">RETAINED / ONE_TO_ONE; </t>
        </is>
      </c>
      <c r="I312" s="23" t="inlineStr">
        <is>
          <t>Carried forward</t>
        </is>
      </c>
      <c r="J312" s="14" t="inlineStr">
        <is>
          <t>08 CROSSWALK</t>
        </is>
      </c>
    </row>
    <row r="313" ht="49" customHeight="1">
      <c r="A313" s="23" t="inlineStr">
        <is>
          <t>R217-v2</t>
        </is>
      </c>
      <c r="B313" s="23" t="inlineStr">
        <is>
          <t>Contractor Programme / SCH-02-037</t>
        </is>
      </c>
      <c r="C313" s="23" t="inlineStr">
        <is>
          <t>WBS Code = 1.2.1</t>
        </is>
      </c>
      <c r="D313" s="23" t="inlineStr">
        <is>
          <t>Proposed by Source assignment; target 1.2.1 Stations - Station Structures</t>
        </is>
      </c>
      <c r="E313" s="23" t="inlineStr">
        <is>
          <t>None recorded</t>
        </is>
      </c>
      <c r="F313" s="23" t="inlineStr">
        <is>
          <t>No individual professional decision recorded; Source assignment -- not individually reviewed</t>
        </is>
      </c>
      <c r="G313" s="23" t="inlineStr">
        <is>
          <t>Not individually decided</t>
        </is>
      </c>
      <c r="H313" s="23" t="inlineStr">
        <is>
          <t xml:space="preserve">RETAINED / ONE_TO_ONE; </t>
        </is>
      </c>
      <c r="I313" s="23" t="inlineStr">
        <is>
          <t>Carried forward</t>
        </is>
      </c>
      <c r="J313" s="14" t="inlineStr">
        <is>
          <t>08 CROSSWALK</t>
        </is>
      </c>
    </row>
    <row r="314" ht="49" customHeight="1">
      <c r="A314" s="23" t="inlineStr">
        <is>
          <t>R218-v2</t>
        </is>
      </c>
      <c r="B314" s="23" t="inlineStr">
        <is>
          <t>Contractor Programme / SCH-02-038</t>
        </is>
      </c>
      <c r="C314" s="23" t="inlineStr">
        <is>
          <t>WBS Code = 1.2.1</t>
        </is>
      </c>
      <c r="D314" s="23" t="inlineStr">
        <is>
          <t>Proposed by Source assignment; target 1.2.1 Stations - Station Structures</t>
        </is>
      </c>
      <c r="E314" s="23" t="inlineStr">
        <is>
          <t>None recorded</t>
        </is>
      </c>
      <c r="F314" s="23" t="inlineStr">
        <is>
          <t>No individual professional decision recorded; Source assignment -- not individually reviewed</t>
        </is>
      </c>
      <c r="G314" s="23" t="inlineStr">
        <is>
          <t>Not individually decided</t>
        </is>
      </c>
      <c r="H314" s="23" t="inlineStr">
        <is>
          <t xml:space="preserve">RETAINED / ONE_TO_ONE; </t>
        </is>
      </c>
      <c r="I314" s="23" t="inlineStr">
        <is>
          <t>Carried forward</t>
        </is>
      </c>
      <c r="J314" s="14" t="inlineStr">
        <is>
          <t>08 CROSSWALK</t>
        </is>
      </c>
    </row>
    <row r="315" ht="49" customHeight="1">
      <c r="A315" s="23" t="inlineStr">
        <is>
          <t>R220-v2</t>
        </is>
      </c>
      <c r="B315" s="23" t="inlineStr">
        <is>
          <t>Contractor Programme / SCH-02-040</t>
        </is>
      </c>
      <c r="C315" s="23" t="inlineStr">
        <is>
          <t>WBS Code = 1.2.1</t>
        </is>
      </c>
      <c r="D315" s="23" t="inlineStr">
        <is>
          <t>Proposed by Source assignment; target 1.2.1 Stations - Station Structures</t>
        </is>
      </c>
      <c r="E315" s="23" t="inlineStr">
        <is>
          <t>None recorded</t>
        </is>
      </c>
      <c r="F315" s="23" t="inlineStr">
        <is>
          <t>No individual professional decision recorded; Source assignment -- not individually reviewed</t>
        </is>
      </c>
      <c r="G315" s="23" t="inlineStr">
        <is>
          <t>Not individually decided</t>
        </is>
      </c>
      <c r="H315" s="23" t="inlineStr">
        <is>
          <t xml:space="preserve">RETAINED / ONE_TO_ONE; </t>
        </is>
      </c>
      <c r="I315" s="23" t="inlineStr">
        <is>
          <t>Carried forward</t>
        </is>
      </c>
      <c r="J315" s="14" t="inlineStr">
        <is>
          <t>08 CROSSWALK</t>
        </is>
      </c>
    </row>
    <row r="316" ht="49" customHeight="1">
      <c r="A316" s="23" t="inlineStr">
        <is>
          <t>R221-v2</t>
        </is>
      </c>
      <c r="B316" s="23" t="inlineStr">
        <is>
          <t>Contractor Programme / SCH-02-041</t>
        </is>
      </c>
      <c r="C316" s="23" t="inlineStr">
        <is>
          <t>WBS Code = 1.2.1</t>
        </is>
      </c>
      <c r="D316" s="23" t="inlineStr">
        <is>
          <t>Proposed by Source assignment; target 1.2.1 Stations - Station Structures</t>
        </is>
      </c>
      <c r="E316" s="23" t="inlineStr">
        <is>
          <t>None recorded</t>
        </is>
      </c>
      <c r="F316" s="23" t="inlineStr">
        <is>
          <t>No individual professional decision recorded; Source assignment -- not individually reviewed</t>
        </is>
      </c>
      <c r="G316" s="23" t="inlineStr">
        <is>
          <t>Not individually decided</t>
        </is>
      </c>
      <c r="H316" s="23" t="inlineStr">
        <is>
          <t xml:space="preserve">RETAINED / ONE_TO_ONE; </t>
        </is>
      </c>
      <c r="I316" s="23" t="inlineStr">
        <is>
          <t>Carried forward</t>
        </is>
      </c>
      <c r="J316" s="14" t="inlineStr">
        <is>
          <t>08 CROSSWALK</t>
        </is>
      </c>
    </row>
    <row r="317" ht="49" customHeight="1">
      <c r="A317" s="23" t="inlineStr">
        <is>
          <t>R223-v2</t>
        </is>
      </c>
      <c r="B317" s="23" t="inlineStr">
        <is>
          <t>Contractor Programme / SCH-02-043</t>
        </is>
      </c>
      <c r="C317" s="23" t="inlineStr">
        <is>
          <t>WBS Code = 1.2.1</t>
        </is>
      </c>
      <c r="D317" s="23" t="inlineStr">
        <is>
          <t>Proposed by Source assignment; target 1.2.1 Stations - Station Structures</t>
        </is>
      </c>
      <c r="E317" s="23" t="inlineStr">
        <is>
          <t>None recorded</t>
        </is>
      </c>
      <c r="F317" s="23" t="inlineStr">
        <is>
          <t>No individual professional decision recorded; Source assignment -- not individually reviewed</t>
        </is>
      </c>
      <c r="G317" s="23" t="inlineStr">
        <is>
          <t>Not individually decided</t>
        </is>
      </c>
      <c r="H317" s="23" t="inlineStr">
        <is>
          <t xml:space="preserve">RETAINED / ONE_TO_ONE; </t>
        </is>
      </c>
      <c r="I317" s="23" t="inlineStr">
        <is>
          <t>Carried forward</t>
        </is>
      </c>
      <c r="J317" s="14" t="inlineStr">
        <is>
          <t>08 CROSSWALK</t>
        </is>
      </c>
    </row>
    <row r="318" ht="49" customHeight="1">
      <c r="A318" s="23" t="inlineStr">
        <is>
          <t>R224-v2</t>
        </is>
      </c>
      <c r="B318" s="23" t="inlineStr">
        <is>
          <t>Contractor Programme / SCH-02-044</t>
        </is>
      </c>
      <c r="C318" s="23" t="inlineStr">
        <is>
          <t>WBS Code = 1.2.1</t>
        </is>
      </c>
      <c r="D318" s="23" t="inlineStr">
        <is>
          <t>Proposed by Source assignment; target 1.2.1 Stations - Station Structures</t>
        </is>
      </c>
      <c r="E318" s="23" t="inlineStr">
        <is>
          <t>None recorded</t>
        </is>
      </c>
      <c r="F318" s="23" t="inlineStr">
        <is>
          <t>No individual professional decision recorded; Source assignment -- not individually reviewed</t>
        </is>
      </c>
      <c r="G318" s="23" t="inlineStr">
        <is>
          <t>Not individually decided</t>
        </is>
      </c>
      <c r="H318" s="23" t="inlineStr">
        <is>
          <t xml:space="preserve">RETAINED / ONE_TO_ONE; </t>
        </is>
      </c>
      <c r="I318" s="23" t="inlineStr">
        <is>
          <t>Carried forward</t>
        </is>
      </c>
      <c r="J318" s="14" t="inlineStr">
        <is>
          <t>08 CROSSWALK</t>
        </is>
      </c>
    </row>
    <row r="319" ht="49" customHeight="1">
      <c r="A319" s="23" t="inlineStr">
        <is>
          <t>R226-v2</t>
        </is>
      </c>
      <c r="B319" s="23" t="inlineStr">
        <is>
          <t>Contractor Programme / SCH-02-046</t>
        </is>
      </c>
      <c r="C319" s="23" t="inlineStr">
        <is>
          <t>WBS Code = 1.2.1</t>
        </is>
      </c>
      <c r="D319" s="23" t="inlineStr">
        <is>
          <t>Proposed by Source assignment; target 1.2.1 Stations - Station Structures</t>
        </is>
      </c>
      <c r="E319" s="23" t="inlineStr">
        <is>
          <t>None recorded</t>
        </is>
      </c>
      <c r="F319" s="23" t="inlineStr">
        <is>
          <t>No individual professional decision recorded; Source assignment -- not individually reviewed</t>
        </is>
      </c>
      <c r="G319" s="23" t="inlineStr">
        <is>
          <t>Not individually decided</t>
        </is>
      </c>
      <c r="H319" s="23" t="inlineStr">
        <is>
          <t xml:space="preserve">RETAINED / ONE_TO_ONE; </t>
        </is>
      </c>
      <c r="I319" s="23" t="inlineStr">
        <is>
          <t>Carried forward</t>
        </is>
      </c>
      <c r="J319" s="14" t="inlineStr">
        <is>
          <t>08 CROSSWALK</t>
        </is>
      </c>
    </row>
    <row r="320" ht="49" customHeight="1">
      <c r="A320" s="23" t="inlineStr">
        <is>
          <t>R227-v2</t>
        </is>
      </c>
      <c r="B320" s="23" t="inlineStr">
        <is>
          <t>Contractor Programme / SCH-02-047</t>
        </is>
      </c>
      <c r="C320" s="23" t="inlineStr">
        <is>
          <t>WBS Code = 1.2.1</t>
        </is>
      </c>
      <c r="D320" s="23" t="inlineStr">
        <is>
          <t>Proposed by Source assignment; target 1.2.1 Stations - Station Structures</t>
        </is>
      </c>
      <c r="E320" s="23" t="inlineStr">
        <is>
          <t>None recorded</t>
        </is>
      </c>
      <c r="F320" s="23" t="inlineStr">
        <is>
          <t>No individual professional decision recorded; Source assignment -- not individually reviewed</t>
        </is>
      </c>
      <c r="G320" s="23" t="inlineStr">
        <is>
          <t>Not individually decided</t>
        </is>
      </c>
      <c r="H320" s="23" t="inlineStr">
        <is>
          <t xml:space="preserve">RETAINED / ONE_TO_ONE; </t>
        </is>
      </c>
      <c r="I320" s="23" t="inlineStr">
        <is>
          <t>Carried forward</t>
        </is>
      </c>
      <c r="J320" s="14" t="inlineStr">
        <is>
          <t>08 CROSSWALK</t>
        </is>
      </c>
    </row>
    <row r="321" ht="49" customHeight="1">
      <c r="A321" s="23" t="inlineStr">
        <is>
          <t>R229-v2</t>
        </is>
      </c>
      <c r="B321" s="23" t="inlineStr">
        <is>
          <t>Contractor Programme / SCH-02-049</t>
        </is>
      </c>
      <c r="C321" s="23" t="inlineStr">
        <is>
          <t>WBS Code = 1.2.1</t>
        </is>
      </c>
      <c r="D321" s="23" t="inlineStr">
        <is>
          <t>Proposed by Source assignment; target 1.2.1 Stations - Station Structures</t>
        </is>
      </c>
      <c r="E321" s="23" t="inlineStr">
        <is>
          <t>None recorded</t>
        </is>
      </c>
      <c r="F321" s="23" t="inlineStr">
        <is>
          <t>No individual professional decision recorded; Source assignment -- not individually reviewed</t>
        </is>
      </c>
      <c r="G321" s="23" t="inlineStr">
        <is>
          <t>Not individually decided</t>
        </is>
      </c>
      <c r="H321" s="23" t="inlineStr">
        <is>
          <t xml:space="preserve">RETAINED / ONE_TO_ONE; </t>
        </is>
      </c>
      <c r="I321" s="23" t="inlineStr">
        <is>
          <t>Carried forward</t>
        </is>
      </c>
      <c r="J321" s="14" t="inlineStr">
        <is>
          <t>08 CROSSWALK</t>
        </is>
      </c>
    </row>
    <row r="322" ht="49" customHeight="1">
      <c r="A322" s="23" t="inlineStr">
        <is>
          <t>R230-v2</t>
        </is>
      </c>
      <c r="B322" s="23" t="inlineStr">
        <is>
          <t>Contractor Programme / SCH-02-050</t>
        </is>
      </c>
      <c r="C322" s="23" t="inlineStr">
        <is>
          <t>WBS Code = 1.2.1</t>
        </is>
      </c>
      <c r="D322" s="23" t="inlineStr">
        <is>
          <t>Proposed by Source assignment; target 1.2.1 Stations - Station Structures</t>
        </is>
      </c>
      <c r="E322" s="23" t="inlineStr">
        <is>
          <t>None recorded</t>
        </is>
      </c>
      <c r="F322" s="23" t="inlineStr">
        <is>
          <t>No individual professional decision recorded; Source assignment -- not individually reviewed</t>
        </is>
      </c>
      <c r="G322" s="23" t="inlineStr">
        <is>
          <t>Not individually decided</t>
        </is>
      </c>
      <c r="H322" s="23" t="inlineStr">
        <is>
          <t xml:space="preserve">RETAINED / ONE_TO_ONE; </t>
        </is>
      </c>
      <c r="I322" s="23" t="inlineStr">
        <is>
          <t>Carried forward</t>
        </is>
      </c>
      <c r="J322" s="14" t="inlineStr">
        <is>
          <t>08 CROSSWALK</t>
        </is>
      </c>
    </row>
    <row r="323" ht="49" customHeight="1">
      <c r="A323" s="23" t="inlineStr">
        <is>
          <t>R232-v2</t>
        </is>
      </c>
      <c r="B323" s="23" t="inlineStr">
        <is>
          <t>Contractor Programme / SCH-02-052</t>
        </is>
      </c>
      <c r="C323" s="23" t="inlineStr">
        <is>
          <t>WBS Code = 1.2.1</t>
        </is>
      </c>
      <c r="D323" s="23" t="inlineStr">
        <is>
          <t>Proposed by Source assignment; target 1.2.1 Stations - Station Structures</t>
        </is>
      </c>
      <c r="E323" s="23" t="inlineStr">
        <is>
          <t>None recorded</t>
        </is>
      </c>
      <c r="F323" s="23" t="inlineStr">
        <is>
          <t>No individual professional decision recorded; Source assignment -- not individually reviewed</t>
        </is>
      </c>
      <c r="G323" s="23" t="inlineStr">
        <is>
          <t>Not individually decided</t>
        </is>
      </c>
      <c r="H323" s="23" t="inlineStr">
        <is>
          <t xml:space="preserve">RETAINED / ONE_TO_ONE; </t>
        </is>
      </c>
      <c r="I323" s="23" t="inlineStr">
        <is>
          <t>Carried forward</t>
        </is>
      </c>
      <c r="J323" s="14" t="inlineStr">
        <is>
          <t>08 CROSSWALK</t>
        </is>
      </c>
    </row>
    <row r="324" ht="49" customHeight="1">
      <c r="A324" s="23" t="inlineStr">
        <is>
          <t>R233-v2</t>
        </is>
      </c>
      <c r="B324" s="23" t="inlineStr">
        <is>
          <t>Contractor Programme / SCH-02-053</t>
        </is>
      </c>
      <c r="C324" s="23" t="inlineStr">
        <is>
          <t>WBS Code = 1.2.1</t>
        </is>
      </c>
      <c r="D324" s="23" t="inlineStr">
        <is>
          <t>Proposed by Source assignment; target 1.2.1 Stations - Station Structures</t>
        </is>
      </c>
      <c r="E324" s="23" t="inlineStr">
        <is>
          <t>None recorded</t>
        </is>
      </c>
      <c r="F324" s="23" t="inlineStr">
        <is>
          <t>No individual professional decision recorded; Source assignment -- not individually reviewed</t>
        </is>
      </c>
      <c r="G324" s="23" t="inlineStr">
        <is>
          <t>Not individually decided</t>
        </is>
      </c>
      <c r="H324" s="23" t="inlineStr">
        <is>
          <t xml:space="preserve">RETAINED / ONE_TO_ONE; </t>
        </is>
      </c>
      <c r="I324" s="23" t="inlineStr">
        <is>
          <t>Carried forward</t>
        </is>
      </c>
      <c r="J324" s="14" t="inlineStr">
        <is>
          <t>08 CROSSWALK</t>
        </is>
      </c>
    </row>
    <row r="325" ht="49" customHeight="1">
      <c r="A325" s="23" t="inlineStr">
        <is>
          <t>R235-v2</t>
        </is>
      </c>
      <c r="B325" s="23" t="inlineStr">
        <is>
          <t>Contractor Programme / SCH-02-055</t>
        </is>
      </c>
      <c r="C325" s="23" t="inlineStr">
        <is>
          <t>WBS Code = 1.2.1</t>
        </is>
      </c>
      <c r="D325" s="23" t="inlineStr">
        <is>
          <t>Proposed by Source assignment; target 1.2.1 Stations - Station Structures</t>
        </is>
      </c>
      <c r="E325" s="23" t="inlineStr">
        <is>
          <t>None recorded</t>
        </is>
      </c>
      <c r="F325" s="23" t="inlineStr">
        <is>
          <t>No individual professional decision recorded; Source assignment -- not individually reviewed</t>
        </is>
      </c>
      <c r="G325" s="23" t="inlineStr">
        <is>
          <t>Not individually decided</t>
        </is>
      </c>
      <c r="H325" s="23" t="inlineStr">
        <is>
          <t xml:space="preserve">RETAINED / ONE_TO_ONE; </t>
        </is>
      </c>
      <c r="I325" s="23" t="inlineStr">
        <is>
          <t>Carried forward</t>
        </is>
      </c>
      <c r="J325" s="14" t="inlineStr">
        <is>
          <t>08 CROSSWALK</t>
        </is>
      </c>
    </row>
    <row r="326" ht="49" customHeight="1">
      <c r="A326" s="23" t="inlineStr">
        <is>
          <t>R236-v2</t>
        </is>
      </c>
      <c r="B326" s="23" t="inlineStr">
        <is>
          <t>Contractor Programme / SCH-02-056</t>
        </is>
      </c>
      <c r="C326" s="23" t="inlineStr">
        <is>
          <t>WBS Code = 1.2.1</t>
        </is>
      </c>
      <c r="D326" s="23" t="inlineStr">
        <is>
          <t>Proposed by Source assignment; target 1.2.1 Stations - Station Structures</t>
        </is>
      </c>
      <c r="E326" s="23" t="inlineStr">
        <is>
          <t>None recorded</t>
        </is>
      </c>
      <c r="F326" s="23" t="inlineStr">
        <is>
          <t>No individual professional decision recorded; Source assignment -- not individually reviewed</t>
        </is>
      </c>
      <c r="G326" s="23" t="inlineStr">
        <is>
          <t>Not individually decided</t>
        </is>
      </c>
      <c r="H326" s="23" t="inlineStr">
        <is>
          <t xml:space="preserve">RETAINED / ONE_TO_ONE; </t>
        </is>
      </c>
      <c r="I326" s="23" t="inlineStr">
        <is>
          <t>Carried forward</t>
        </is>
      </c>
      <c r="J326" s="14" t="inlineStr">
        <is>
          <t>08 CROSSWALK</t>
        </is>
      </c>
    </row>
    <row r="327" ht="49" customHeight="1">
      <c r="A327" s="23" t="inlineStr">
        <is>
          <t>R238-v2</t>
        </is>
      </c>
      <c r="B327" s="23" t="inlineStr">
        <is>
          <t>Contractor Programme / SCH-02-058</t>
        </is>
      </c>
      <c r="C327" s="23" t="inlineStr">
        <is>
          <t>WBS Code = 1.2.1</t>
        </is>
      </c>
      <c r="D327" s="23" t="inlineStr">
        <is>
          <t>Proposed by Source assignment; target 1.2.1 Stations - Station Structures</t>
        </is>
      </c>
      <c r="E327" s="23" t="inlineStr">
        <is>
          <t>None recorded</t>
        </is>
      </c>
      <c r="F327" s="23" t="inlineStr">
        <is>
          <t>No individual professional decision recorded; Source assignment -- not individually reviewed</t>
        </is>
      </c>
      <c r="G327" s="23" t="inlineStr">
        <is>
          <t>Not individually decided</t>
        </is>
      </c>
      <c r="H327" s="23" t="inlineStr">
        <is>
          <t xml:space="preserve">RETAINED / ONE_TO_ONE; </t>
        </is>
      </c>
      <c r="I327" s="23" t="inlineStr">
        <is>
          <t>Carried forward</t>
        </is>
      </c>
      <c r="J327" s="14" t="inlineStr">
        <is>
          <t>08 CROSSWALK</t>
        </is>
      </c>
    </row>
    <row r="328" ht="49" customHeight="1">
      <c r="A328" s="23" t="inlineStr">
        <is>
          <t>R239-v2</t>
        </is>
      </c>
      <c r="B328" s="23" t="inlineStr">
        <is>
          <t>Contractor Programme / SCH-02-059</t>
        </is>
      </c>
      <c r="C328" s="23" t="inlineStr">
        <is>
          <t>WBS Code = 1.2.1</t>
        </is>
      </c>
      <c r="D328" s="23" t="inlineStr">
        <is>
          <t>Proposed by Source assignment; target 1.2.1 Stations - Station Structures</t>
        </is>
      </c>
      <c r="E328" s="23" t="inlineStr">
        <is>
          <t>None recorded</t>
        </is>
      </c>
      <c r="F328" s="23" t="inlineStr">
        <is>
          <t>No individual professional decision recorded; Source assignment -- not individually reviewed</t>
        </is>
      </c>
      <c r="G328" s="23" t="inlineStr">
        <is>
          <t>Not individually decided</t>
        </is>
      </c>
      <c r="H328" s="23" t="inlineStr">
        <is>
          <t xml:space="preserve">RETAINED / ONE_TO_ONE; </t>
        </is>
      </c>
      <c r="I328" s="23" t="inlineStr">
        <is>
          <t>Carried forward</t>
        </is>
      </c>
      <c r="J328" s="14" t="inlineStr">
        <is>
          <t>08 CROSSWALK</t>
        </is>
      </c>
    </row>
    <row r="329" ht="49" customHeight="1">
      <c r="A329" s="23" t="inlineStr">
        <is>
          <t>R241-v2</t>
        </is>
      </c>
      <c r="B329" s="23" t="inlineStr">
        <is>
          <t>Contractor Programme / SCH-02-061</t>
        </is>
      </c>
      <c r="C329" s="23" t="inlineStr">
        <is>
          <t>WBS Code = 1.2.1</t>
        </is>
      </c>
      <c r="D329" s="23" t="inlineStr">
        <is>
          <t>Proposed by Source assignment; target 1.2.1 Stations - Station Structures</t>
        </is>
      </c>
      <c r="E329" s="23" t="inlineStr">
        <is>
          <t>None recorded</t>
        </is>
      </c>
      <c r="F329" s="23" t="inlineStr">
        <is>
          <t>No individual professional decision recorded; Source assignment -- not individually reviewed</t>
        </is>
      </c>
      <c r="G329" s="23" t="inlineStr">
        <is>
          <t>Not individually decided</t>
        </is>
      </c>
      <c r="H329" s="23" t="inlineStr">
        <is>
          <t xml:space="preserve">RETAINED / ONE_TO_ONE; </t>
        </is>
      </c>
      <c r="I329" s="23" t="inlineStr">
        <is>
          <t>Carried forward</t>
        </is>
      </c>
      <c r="J329" s="14" t="inlineStr">
        <is>
          <t>08 CROSSWALK</t>
        </is>
      </c>
    </row>
    <row r="330" ht="49" customHeight="1">
      <c r="A330" s="23" t="inlineStr">
        <is>
          <t>R242-v2</t>
        </is>
      </c>
      <c r="B330" s="23" t="inlineStr">
        <is>
          <t>Contractor Programme / SCH-02-062</t>
        </is>
      </c>
      <c r="C330" s="23" t="inlineStr">
        <is>
          <t>WBS Code = 1.2.1</t>
        </is>
      </c>
      <c r="D330" s="23" t="inlineStr">
        <is>
          <t>Proposed by Source assignment; target 1.2.1 Stations - Station Structures</t>
        </is>
      </c>
      <c r="E330" s="23" t="inlineStr">
        <is>
          <t>None recorded</t>
        </is>
      </c>
      <c r="F330" s="23" t="inlineStr">
        <is>
          <t>No individual professional decision recorded; Source assignment -- not individually reviewed</t>
        </is>
      </c>
      <c r="G330" s="23" t="inlineStr">
        <is>
          <t>Not individually decided</t>
        </is>
      </c>
      <c r="H330" s="23" t="inlineStr">
        <is>
          <t xml:space="preserve">RETAINED / ONE_TO_ONE; </t>
        </is>
      </c>
      <c r="I330" s="23" t="inlineStr">
        <is>
          <t>Carried forward</t>
        </is>
      </c>
      <c r="J330" s="14" t="inlineStr">
        <is>
          <t>08 CROSSWALK</t>
        </is>
      </c>
    </row>
    <row r="331" ht="49" customHeight="1">
      <c r="A331" s="23" t="inlineStr">
        <is>
          <t>R244-v2</t>
        </is>
      </c>
      <c r="B331" s="23" t="inlineStr">
        <is>
          <t>Contractor Programme / SCH-02-064</t>
        </is>
      </c>
      <c r="C331" s="23" t="inlineStr">
        <is>
          <t>WBS Code = 1.2.1</t>
        </is>
      </c>
      <c r="D331" s="23" t="inlineStr">
        <is>
          <t>Proposed by Source assignment; target 1.2.1 Stations - Station Structures</t>
        </is>
      </c>
      <c r="E331" s="23" t="inlineStr">
        <is>
          <t>None recorded</t>
        </is>
      </c>
      <c r="F331" s="23" t="inlineStr">
        <is>
          <t>No individual professional decision recorded; Source assignment -- not individually reviewed</t>
        </is>
      </c>
      <c r="G331" s="23" t="inlineStr">
        <is>
          <t>Not individually decided</t>
        </is>
      </c>
      <c r="H331" s="23" t="inlineStr">
        <is>
          <t xml:space="preserve">RETAINED / ONE_TO_ONE; </t>
        </is>
      </c>
      <c r="I331" s="23" t="inlineStr">
        <is>
          <t>Carried forward</t>
        </is>
      </c>
      <c r="J331" s="14" t="inlineStr">
        <is>
          <t>08 CROSSWALK</t>
        </is>
      </c>
    </row>
    <row r="332" ht="49" customHeight="1">
      <c r="A332" s="23" t="inlineStr">
        <is>
          <t>R245-v2</t>
        </is>
      </c>
      <c r="B332" s="23" t="inlineStr">
        <is>
          <t>Contractor Programme / SCH-02-065</t>
        </is>
      </c>
      <c r="C332" s="23" t="inlineStr">
        <is>
          <t>WBS Code = 1.2.1</t>
        </is>
      </c>
      <c r="D332" s="23" t="inlineStr">
        <is>
          <t>Proposed by Source assignment; target 1.2.1 Stations - Station Structures</t>
        </is>
      </c>
      <c r="E332" s="23" t="inlineStr">
        <is>
          <t>None recorded</t>
        </is>
      </c>
      <c r="F332" s="23" t="inlineStr">
        <is>
          <t>No individual professional decision recorded; Source assignment -- not individually reviewed</t>
        </is>
      </c>
      <c r="G332" s="23" t="inlineStr">
        <is>
          <t>Not individually decided</t>
        </is>
      </c>
      <c r="H332" s="23" t="inlineStr">
        <is>
          <t xml:space="preserve">RETAINED / ONE_TO_ONE; </t>
        </is>
      </c>
      <c r="I332" s="23" t="inlineStr">
        <is>
          <t>Carried forward</t>
        </is>
      </c>
      <c r="J332" s="14" t="inlineStr">
        <is>
          <t>08 CROSSWALK</t>
        </is>
      </c>
    </row>
    <row r="333" ht="49" customHeight="1">
      <c r="A333" s="23" t="inlineStr">
        <is>
          <t>R247-v2</t>
        </is>
      </c>
      <c r="B333" s="23" t="inlineStr">
        <is>
          <t>Contractor Programme / SCH-02-067</t>
        </is>
      </c>
      <c r="C333" s="23" t="inlineStr">
        <is>
          <t>WBS Code = 1.2.1</t>
        </is>
      </c>
      <c r="D333" s="23" t="inlineStr">
        <is>
          <t>Proposed by Source assignment; target 1.2.1 Stations - Station Structures</t>
        </is>
      </c>
      <c r="E333" s="23" t="inlineStr">
        <is>
          <t>None recorded</t>
        </is>
      </c>
      <c r="F333" s="23" t="inlineStr">
        <is>
          <t>No individual professional decision recorded; Source assignment -- not individually reviewed</t>
        </is>
      </c>
      <c r="G333" s="23" t="inlineStr">
        <is>
          <t>Not individually decided</t>
        </is>
      </c>
      <c r="H333" s="23" t="inlineStr">
        <is>
          <t xml:space="preserve">RETAINED / ONE_TO_ONE; </t>
        </is>
      </c>
      <c r="I333" s="23" t="inlineStr">
        <is>
          <t>Carried forward</t>
        </is>
      </c>
      <c r="J333" s="14" t="inlineStr">
        <is>
          <t>08 CROSSWALK</t>
        </is>
      </c>
    </row>
    <row r="334" ht="49" customHeight="1">
      <c r="A334" s="23" t="inlineStr">
        <is>
          <t>R248-v2</t>
        </is>
      </c>
      <c r="B334" s="23" t="inlineStr">
        <is>
          <t>Contractor Programme / SCH-02-068</t>
        </is>
      </c>
      <c r="C334" s="23" t="inlineStr">
        <is>
          <t>WBS Code = 1.2.1</t>
        </is>
      </c>
      <c r="D334" s="23" t="inlineStr">
        <is>
          <t>Proposed by Source assignment; target 1.2.1 Stations - Station Structures</t>
        </is>
      </c>
      <c r="E334" s="23" t="inlineStr">
        <is>
          <t>None recorded</t>
        </is>
      </c>
      <c r="F334" s="23" t="inlineStr">
        <is>
          <t>No individual professional decision recorded; Source assignment -- not individually reviewed</t>
        </is>
      </c>
      <c r="G334" s="23" t="inlineStr">
        <is>
          <t>Not individually decided</t>
        </is>
      </c>
      <c r="H334" s="23" t="inlineStr">
        <is>
          <t xml:space="preserve">RETAINED / ONE_TO_ONE; </t>
        </is>
      </c>
      <c r="I334" s="23" t="inlineStr">
        <is>
          <t>Carried forward</t>
        </is>
      </c>
      <c r="J334" s="14" t="inlineStr">
        <is>
          <t>08 CROSSWALK</t>
        </is>
      </c>
    </row>
    <row r="335" ht="49" customHeight="1">
      <c r="A335" s="23" t="inlineStr">
        <is>
          <t>R250-v2</t>
        </is>
      </c>
      <c r="B335" s="23" t="inlineStr">
        <is>
          <t>Contractor Programme / SCH-02-070</t>
        </is>
      </c>
      <c r="C335" s="23" t="inlineStr">
        <is>
          <t>WBS Code = 1.2.1</t>
        </is>
      </c>
      <c r="D335" s="23" t="inlineStr">
        <is>
          <t>Proposed by Source assignment; target 1.2.1 Stations - Station Structures</t>
        </is>
      </c>
      <c r="E335" s="23" t="inlineStr">
        <is>
          <t>None recorded</t>
        </is>
      </c>
      <c r="F335" s="23" t="inlineStr">
        <is>
          <t>No individual professional decision recorded; Source assignment -- not individually reviewed</t>
        </is>
      </c>
      <c r="G335" s="23" t="inlineStr">
        <is>
          <t>Not individually decided</t>
        </is>
      </c>
      <c r="H335" s="23" t="inlineStr">
        <is>
          <t xml:space="preserve">RETAINED / ONE_TO_ONE; </t>
        </is>
      </c>
      <c r="I335" s="23" t="inlineStr">
        <is>
          <t>Carried forward</t>
        </is>
      </c>
      <c r="J335" s="14" t="inlineStr">
        <is>
          <t>08 CROSSWALK</t>
        </is>
      </c>
    </row>
    <row r="336" ht="49" customHeight="1">
      <c r="A336" s="23" t="inlineStr">
        <is>
          <t>R251-v2</t>
        </is>
      </c>
      <c r="B336" s="23" t="inlineStr">
        <is>
          <t>Contractor Programme / SCH-02-071</t>
        </is>
      </c>
      <c r="C336" s="23" t="inlineStr">
        <is>
          <t>WBS Code = 1.2.1</t>
        </is>
      </c>
      <c r="D336" s="23" t="inlineStr">
        <is>
          <t>Proposed by Source assignment; target 1.2.1 Stations - Station Structures</t>
        </is>
      </c>
      <c r="E336" s="23" t="inlineStr">
        <is>
          <t>None recorded</t>
        </is>
      </c>
      <c r="F336" s="23" t="inlineStr">
        <is>
          <t>No individual professional decision recorded; Source assignment -- not individually reviewed</t>
        </is>
      </c>
      <c r="G336" s="23" t="inlineStr">
        <is>
          <t>Not individually decided</t>
        </is>
      </c>
      <c r="H336" s="23" t="inlineStr">
        <is>
          <t xml:space="preserve">RETAINED / ONE_TO_ONE; </t>
        </is>
      </c>
      <c r="I336" s="23" t="inlineStr">
        <is>
          <t>Carried forward</t>
        </is>
      </c>
      <c r="J336" s="14" t="inlineStr">
        <is>
          <t>08 CROSSWALK</t>
        </is>
      </c>
    </row>
    <row r="337" ht="49" customHeight="1">
      <c r="A337" s="23" t="inlineStr">
        <is>
          <t>R253-v2</t>
        </is>
      </c>
      <c r="B337" s="23" t="inlineStr">
        <is>
          <t>Contractor Programme / SCH-02-073</t>
        </is>
      </c>
      <c r="C337" s="23" t="inlineStr">
        <is>
          <t>WBS Code = 1.2.1</t>
        </is>
      </c>
      <c r="D337" s="23" t="inlineStr">
        <is>
          <t>Proposed by Source assignment; target 1.2.1 Stations - Station Structures</t>
        </is>
      </c>
      <c r="E337" s="23" t="inlineStr">
        <is>
          <t>None recorded</t>
        </is>
      </c>
      <c r="F337" s="23" t="inlineStr">
        <is>
          <t>No individual professional decision recorded; Source assignment -- not individually reviewed</t>
        </is>
      </c>
      <c r="G337" s="23" t="inlineStr">
        <is>
          <t>Not individually decided</t>
        </is>
      </c>
      <c r="H337" s="23" t="inlineStr">
        <is>
          <t xml:space="preserve">RETAINED / ONE_TO_ONE; </t>
        </is>
      </c>
      <c r="I337" s="23" t="inlineStr">
        <is>
          <t>Carried forward</t>
        </is>
      </c>
      <c r="J337" s="14" t="inlineStr">
        <is>
          <t>08 CROSSWALK</t>
        </is>
      </c>
    </row>
    <row r="338" ht="49" customHeight="1">
      <c r="A338" s="23" t="inlineStr">
        <is>
          <t>R254-v2</t>
        </is>
      </c>
      <c r="B338" s="23" t="inlineStr">
        <is>
          <t>Contractor Programme / SCH-02-074</t>
        </is>
      </c>
      <c r="C338" s="23" t="inlineStr">
        <is>
          <t>WBS Code = 1.2.1</t>
        </is>
      </c>
      <c r="D338" s="23" t="inlineStr">
        <is>
          <t>Proposed by Source assignment; target 1.2.1 Stations - Station Structures</t>
        </is>
      </c>
      <c r="E338" s="23" t="inlineStr">
        <is>
          <t>None recorded</t>
        </is>
      </c>
      <c r="F338" s="23" t="inlineStr">
        <is>
          <t>No individual professional decision recorded; Source assignment -- not individually reviewed</t>
        </is>
      </c>
      <c r="G338" s="23" t="inlineStr">
        <is>
          <t>Not individually decided</t>
        </is>
      </c>
      <c r="H338" s="23" t="inlineStr">
        <is>
          <t xml:space="preserve">RETAINED / ONE_TO_ONE; </t>
        </is>
      </c>
      <c r="I338" s="23" t="inlineStr">
        <is>
          <t>Carried forward</t>
        </is>
      </c>
      <c r="J338" s="14" t="inlineStr">
        <is>
          <t>08 CROSSWALK</t>
        </is>
      </c>
    </row>
    <row r="339" ht="49" customHeight="1">
      <c r="A339" s="23" t="inlineStr">
        <is>
          <t>R256-v2</t>
        </is>
      </c>
      <c r="B339" s="23" t="inlineStr">
        <is>
          <t>Contractor Programme / SCH-02-076</t>
        </is>
      </c>
      <c r="C339" s="23" t="inlineStr">
        <is>
          <t>WBS Code = 1.2.1</t>
        </is>
      </c>
      <c r="D339" s="23" t="inlineStr">
        <is>
          <t>Proposed by Source assignment; target 1.2.1 Stations - Station Structures</t>
        </is>
      </c>
      <c r="E339" s="23" t="inlineStr">
        <is>
          <t>None recorded</t>
        </is>
      </c>
      <c r="F339" s="23" t="inlineStr">
        <is>
          <t>No individual professional decision recorded; Source assignment -- not individually reviewed</t>
        </is>
      </c>
      <c r="G339" s="23" t="inlineStr">
        <is>
          <t>Not individually decided</t>
        </is>
      </c>
      <c r="H339" s="23" t="inlineStr">
        <is>
          <t xml:space="preserve">RETAINED / ONE_TO_ONE; </t>
        </is>
      </c>
      <c r="I339" s="23" t="inlineStr">
        <is>
          <t>Carried forward</t>
        </is>
      </c>
      <c r="J339" s="14" t="inlineStr">
        <is>
          <t>08 CROSSWALK</t>
        </is>
      </c>
    </row>
    <row r="340" ht="49" customHeight="1">
      <c r="A340" s="23" t="inlineStr">
        <is>
          <t>R257-v2</t>
        </is>
      </c>
      <c r="B340" s="23" t="inlineStr">
        <is>
          <t>Contractor Programme / SCH-02-077</t>
        </is>
      </c>
      <c r="C340" s="23" t="inlineStr">
        <is>
          <t>WBS Code = 1.2.1</t>
        </is>
      </c>
      <c r="D340" s="23" t="inlineStr">
        <is>
          <t>Proposed by Source assignment; target 1.2.1 Stations - Station Structures</t>
        </is>
      </c>
      <c r="E340" s="23" t="inlineStr">
        <is>
          <t>None recorded</t>
        </is>
      </c>
      <c r="F340" s="23" t="inlineStr">
        <is>
          <t>No individual professional decision recorded; Source assignment -- not individually reviewed</t>
        </is>
      </c>
      <c r="G340" s="23" t="inlineStr">
        <is>
          <t>Not individually decided</t>
        </is>
      </c>
      <c r="H340" s="23" t="inlineStr">
        <is>
          <t xml:space="preserve">RETAINED / ONE_TO_ONE; </t>
        </is>
      </c>
      <c r="I340" s="23" t="inlineStr">
        <is>
          <t>Carried forward</t>
        </is>
      </c>
      <c r="J340" s="14" t="inlineStr">
        <is>
          <t>08 CROSSWALK</t>
        </is>
      </c>
    </row>
    <row r="341" ht="49" customHeight="1">
      <c r="A341" s="23" t="inlineStr">
        <is>
          <t>R259-v2</t>
        </is>
      </c>
      <c r="B341" s="23" t="inlineStr">
        <is>
          <t>Contractor Programme / SCH-02-079</t>
        </is>
      </c>
      <c r="C341" s="23" t="inlineStr">
        <is>
          <t>WBS Code = 1.2.1</t>
        </is>
      </c>
      <c r="D341" s="23" t="inlineStr">
        <is>
          <t>Proposed by Source assignment; target 1.2.1 Stations - Station Structures</t>
        </is>
      </c>
      <c r="E341" s="23" t="inlineStr">
        <is>
          <t>None recorded</t>
        </is>
      </c>
      <c r="F341" s="23" t="inlineStr">
        <is>
          <t>No individual professional decision recorded; Source assignment -- not individually reviewed</t>
        </is>
      </c>
      <c r="G341" s="23" t="inlineStr">
        <is>
          <t>Not individually decided</t>
        </is>
      </c>
      <c r="H341" s="23" t="inlineStr">
        <is>
          <t xml:space="preserve">RETAINED / ONE_TO_ONE; </t>
        </is>
      </c>
      <c r="I341" s="23" t="inlineStr">
        <is>
          <t>Carried forward</t>
        </is>
      </c>
      <c r="J341" s="14" t="inlineStr">
        <is>
          <t>08 CROSSWALK</t>
        </is>
      </c>
    </row>
    <row r="342" ht="49" customHeight="1">
      <c r="A342" s="23" t="inlineStr">
        <is>
          <t>R260-v2</t>
        </is>
      </c>
      <c r="B342" s="23" t="inlineStr">
        <is>
          <t>Contractor Programme / SCH-02-080</t>
        </is>
      </c>
      <c r="C342" s="23" t="inlineStr">
        <is>
          <t>WBS Code = 1.2.1</t>
        </is>
      </c>
      <c r="D342" s="23" t="inlineStr">
        <is>
          <t>Proposed by Source assignment; target 1.2.1 Stations - Station Structures</t>
        </is>
      </c>
      <c r="E342" s="23" t="inlineStr">
        <is>
          <t>None recorded</t>
        </is>
      </c>
      <c r="F342" s="23" t="inlineStr">
        <is>
          <t>No individual professional decision recorded; Source assignment -- not individually reviewed</t>
        </is>
      </c>
      <c r="G342" s="23" t="inlineStr">
        <is>
          <t>Not individually decided</t>
        </is>
      </c>
      <c r="H342" s="23" t="inlineStr">
        <is>
          <t xml:space="preserve">RETAINED / ONE_TO_ONE; </t>
        </is>
      </c>
      <c r="I342" s="23" t="inlineStr">
        <is>
          <t>Carried forward</t>
        </is>
      </c>
      <c r="J342" s="14" t="inlineStr">
        <is>
          <t>08 CROSSWALK</t>
        </is>
      </c>
    </row>
    <row r="343" ht="49" customHeight="1">
      <c r="A343" s="23" t="inlineStr">
        <is>
          <t>R262-v2</t>
        </is>
      </c>
      <c r="B343" s="23" t="inlineStr">
        <is>
          <t>Contractor Programme / SCH-02-082</t>
        </is>
      </c>
      <c r="C343" s="23" t="inlineStr">
        <is>
          <t>WBS Code = 1.2.1</t>
        </is>
      </c>
      <c r="D343" s="23" t="inlineStr">
        <is>
          <t>Proposed by Source assignment; target 1.2.1 Stations - Station Structures</t>
        </is>
      </c>
      <c r="E343" s="23" t="inlineStr">
        <is>
          <t>None recorded</t>
        </is>
      </c>
      <c r="F343" s="23" t="inlineStr">
        <is>
          <t>No individual professional decision recorded; Source assignment -- not individually reviewed</t>
        </is>
      </c>
      <c r="G343" s="23" t="inlineStr">
        <is>
          <t>Not individually decided</t>
        </is>
      </c>
      <c r="H343" s="23" t="inlineStr">
        <is>
          <t xml:space="preserve">RETAINED / ONE_TO_ONE; </t>
        </is>
      </c>
      <c r="I343" s="23" t="inlineStr">
        <is>
          <t>Carried forward</t>
        </is>
      </c>
      <c r="J343" s="14" t="inlineStr">
        <is>
          <t>08 CROSSWALK</t>
        </is>
      </c>
    </row>
    <row r="344" ht="49" customHeight="1">
      <c r="A344" s="23" t="inlineStr">
        <is>
          <t>R263-v2</t>
        </is>
      </c>
      <c r="B344" s="23" t="inlineStr">
        <is>
          <t>Contractor Programme / SCH-02-083</t>
        </is>
      </c>
      <c r="C344" s="23" t="inlineStr">
        <is>
          <t>WBS Code = 1.2.1</t>
        </is>
      </c>
      <c r="D344" s="23" t="inlineStr">
        <is>
          <t>Proposed by Source assignment; target 1.2.1 Stations - Station Structures</t>
        </is>
      </c>
      <c r="E344" s="23" t="inlineStr">
        <is>
          <t>None recorded</t>
        </is>
      </c>
      <c r="F344" s="23" t="inlineStr">
        <is>
          <t>No individual professional decision recorded; Source assignment -- not individually reviewed</t>
        </is>
      </c>
      <c r="G344" s="23" t="inlineStr">
        <is>
          <t>Not individually decided</t>
        </is>
      </c>
      <c r="H344" s="23" t="inlineStr">
        <is>
          <t xml:space="preserve">RETAINED / ONE_TO_ONE; </t>
        </is>
      </c>
      <c r="I344" s="23" t="inlineStr">
        <is>
          <t>Carried forward</t>
        </is>
      </c>
      <c r="J344" s="14" t="inlineStr">
        <is>
          <t>08 CROSSWALK</t>
        </is>
      </c>
    </row>
    <row r="345" ht="49" customHeight="1">
      <c r="A345" s="23" t="inlineStr">
        <is>
          <t>R265-v2</t>
        </is>
      </c>
      <c r="B345" s="23" t="inlineStr">
        <is>
          <t>Contractor Programme / SCH-02-085</t>
        </is>
      </c>
      <c r="C345" s="23" t="inlineStr">
        <is>
          <t>WBS Code = 1.2.1</t>
        </is>
      </c>
      <c r="D345" s="23" t="inlineStr">
        <is>
          <t>Proposed by Source assignment; target 1.2.1 Stations - Station Structures</t>
        </is>
      </c>
      <c r="E345" s="23" t="inlineStr">
        <is>
          <t>None recorded</t>
        </is>
      </c>
      <c r="F345" s="23" t="inlineStr">
        <is>
          <t>No individual professional decision recorded; Source assignment -- not individually reviewed</t>
        </is>
      </c>
      <c r="G345" s="23" t="inlineStr">
        <is>
          <t>Not individually decided</t>
        </is>
      </c>
      <c r="H345" s="23" t="inlineStr">
        <is>
          <t xml:space="preserve">RETAINED / ONE_TO_ONE; </t>
        </is>
      </c>
      <c r="I345" s="23" t="inlineStr">
        <is>
          <t>Carried forward</t>
        </is>
      </c>
      <c r="J345" s="14" t="inlineStr">
        <is>
          <t>08 CROSSWALK</t>
        </is>
      </c>
    </row>
    <row r="346" ht="49" customHeight="1">
      <c r="A346" s="23" t="inlineStr">
        <is>
          <t>R266-v2</t>
        </is>
      </c>
      <c r="B346" s="23" t="inlineStr">
        <is>
          <t>Contractor Programme / SCH-02-086</t>
        </is>
      </c>
      <c r="C346" s="23" t="inlineStr">
        <is>
          <t>WBS Code = 1.2.1</t>
        </is>
      </c>
      <c r="D346" s="23" t="inlineStr">
        <is>
          <t>Proposed by Source assignment; target 1.2.1 Stations - Station Structures</t>
        </is>
      </c>
      <c r="E346" s="23" t="inlineStr">
        <is>
          <t>None recorded</t>
        </is>
      </c>
      <c r="F346" s="23" t="inlineStr">
        <is>
          <t>No individual professional decision recorded; Source assignment -- not individually reviewed</t>
        </is>
      </c>
      <c r="G346" s="23" t="inlineStr">
        <is>
          <t>Not individually decided</t>
        </is>
      </c>
      <c r="H346" s="23" t="inlineStr">
        <is>
          <t xml:space="preserve">RETAINED / ONE_TO_ONE; </t>
        </is>
      </c>
      <c r="I346" s="23" t="inlineStr">
        <is>
          <t>Carried forward</t>
        </is>
      </c>
      <c r="J346" s="14" t="inlineStr">
        <is>
          <t>08 CROSSWALK</t>
        </is>
      </c>
    </row>
    <row r="347" ht="49" customHeight="1">
      <c r="A347" s="23" t="inlineStr">
        <is>
          <t>R268-v2</t>
        </is>
      </c>
      <c r="B347" s="23" t="inlineStr">
        <is>
          <t>Contractor Programme / SCH-02-088</t>
        </is>
      </c>
      <c r="C347" s="23" t="inlineStr">
        <is>
          <t>WBS Code = 1.2.1</t>
        </is>
      </c>
      <c r="D347" s="23" t="inlineStr">
        <is>
          <t>Proposed by Source assignment; target 1.2.1 Stations - Station Structures</t>
        </is>
      </c>
      <c r="E347" s="23" t="inlineStr">
        <is>
          <t>None recorded</t>
        </is>
      </c>
      <c r="F347" s="23" t="inlineStr">
        <is>
          <t>No individual professional decision recorded; Source assignment -- not individually reviewed</t>
        </is>
      </c>
      <c r="G347" s="23" t="inlineStr">
        <is>
          <t>Not individually decided</t>
        </is>
      </c>
      <c r="H347" s="23" t="inlineStr">
        <is>
          <t xml:space="preserve">RETAINED / ONE_TO_ONE; </t>
        </is>
      </c>
      <c r="I347" s="23" t="inlineStr">
        <is>
          <t>Carried forward</t>
        </is>
      </c>
      <c r="J347" s="14" t="inlineStr">
        <is>
          <t>08 CROSSWALK</t>
        </is>
      </c>
    </row>
    <row r="348" ht="49" customHeight="1">
      <c r="A348" s="23" t="inlineStr">
        <is>
          <t>R269-v2</t>
        </is>
      </c>
      <c r="B348" s="23" t="inlineStr">
        <is>
          <t>Contractor Programme / SCH-02-089</t>
        </is>
      </c>
      <c r="C348" s="23" t="inlineStr">
        <is>
          <t>WBS Code = 1.2.1</t>
        </is>
      </c>
      <c r="D348" s="23" t="inlineStr">
        <is>
          <t>Proposed by Source assignment; target 1.2.1 Stations - Station Structures</t>
        </is>
      </c>
      <c r="E348" s="23" t="inlineStr">
        <is>
          <t>None recorded</t>
        </is>
      </c>
      <c r="F348" s="23" t="inlineStr">
        <is>
          <t>No individual professional decision recorded; Source assignment -- not individually reviewed</t>
        </is>
      </c>
      <c r="G348" s="23" t="inlineStr">
        <is>
          <t>Not individually decided</t>
        </is>
      </c>
      <c r="H348" s="23" t="inlineStr">
        <is>
          <t xml:space="preserve">RETAINED / ONE_TO_ONE; </t>
        </is>
      </c>
      <c r="I348" s="23" t="inlineStr">
        <is>
          <t>Carried forward</t>
        </is>
      </c>
      <c r="J348" s="14" t="inlineStr">
        <is>
          <t>08 CROSSWALK</t>
        </is>
      </c>
    </row>
    <row r="349" ht="49" customHeight="1">
      <c r="A349" s="23" t="inlineStr">
        <is>
          <t>R271-v2</t>
        </is>
      </c>
      <c r="B349" s="23" t="inlineStr">
        <is>
          <t>Contractor Programme / SCH-02-091</t>
        </is>
      </c>
      <c r="C349" s="23" t="inlineStr">
        <is>
          <t>WBS Code = 1.2.1</t>
        </is>
      </c>
      <c r="D349" s="23" t="inlineStr">
        <is>
          <t>Proposed by Source assignment; target 1.2.1 Stations - Station Structures</t>
        </is>
      </c>
      <c r="E349" s="23" t="inlineStr">
        <is>
          <t>None recorded</t>
        </is>
      </c>
      <c r="F349" s="23" t="inlineStr">
        <is>
          <t>No individual professional decision recorded; Source assignment -- not individually reviewed</t>
        </is>
      </c>
      <c r="G349" s="23" t="inlineStr">
        <is>
          <t>Not individually decided</t>
        </is>
      </c>
      <c r="H349" s="23" t="inlineStr">
        <is>
          <t xml:space="preserve">RETAINED / ONE_TO_ONE; </t>
        </is>
      </c>
      <c r="I349" s="23" t="inlineStr">
        <is>
          <t>Carried forward</t>
        </is>
      </c>
      <c r="J349" s="14" t="inlineStr">
        <is>
          <t>08 CROSSWALK</t>
        </is>
      </c>
    </row>
    <row r="350" ht="49" customHeight="1">
      <c r="A350" s="23" t="inlineStr">
        <is>
          <t>R272-v2</t>
        </is>
      </c>
      <c r="B350" s="23" t="inlineStr">
        <is>
          <t>Contractor Programme / SCH-02-092</t>
        </is>
      </c>
      <c r="C350" s="23" t="inlineStr">
        <is>
          <t>WBS Code = 1.2.1</t>
        </is>
      </c>
      <c r="D350" s="23" t="inlineStr">
        <is>
          <t>Proposed by Source assignment; target 1.2.1 Stations - Station Structures</t>
        </is>
      </c>
      <c r="E350" s="23" t="inlineStr">
        <is>
          <t>None recorded</t>
        </is>
      </c>
      <c r="F350" s="23" t="inlineStr">
        <is>
          <t>No individual professional decision recorded; Source assignment -- not individually reviewed</t>
        </is>
      </c>
      <c r="G350" s="23" t="inlineStr">
        <is>
          <t>Not individually decided</t>
        </is>
      </c>
      <c r="H350" s="23" t="inlineStr">
        <is>
          <t xml:space="preserve">RETAINED / ONE_TO_ONE; </t>
        </is>
      </c>
      <c r="I350" s="23" t="inlineStr">
        <is>
          <t>Carried forward</t>
        </is>
      </c>
      <c r="J350" s="14" t="inlineStr">
        <is>
          <t>08 CROSSWALK</t>
        </is>
      </c>
    </row>
    <row r="351" ht="49" customHeight="1">
      <c r="A351" s="23" t="inlineStr">
        <is>
          <t>R274-v2</t>
        </is>
      </c>
      <c r="B351" s="23" t="inlineStr">
        <is>
          <t>Contractor Programme / SCH-02-094</t>
        </is>
      </c>
      <c r="C351" s="23" t="inlineStr">
        <is>
          <t>WBS Code = 1.2.1</t>
        </is>
      </c>
      <c r="D351" s="23" t="inlineStr">
        <is>
          <t>Proposed by Source assignment; target 1.2.1 Stations - Station Structures</t>
        </is>
      </c>
      <c r="E351" s="23" t="inlineStr">
        <is>
          <t>None recorded</t>
        </is>
      </c>
      <c r="F351" s="23" t="inlineStr">
        <is>
          <t>No individual professional decision recorded; Source assignment -- not individually reviewed</t>
        </is>
      </c>
      <c r="G351" s="23" t="inlineStr">
        <is>
          <t>Not individually decided</t>
        </is>
      </c>
      <c r="H351" s="23" t="inlineStr">
        <is>
          <t xml:space="preserve">RETAINED / ONE_TO_ONE; </t>
        </is>
      </c>
      <c r="I351" s="23" t="inlineStr">
        <is>
          <t>Carried forward</t>
        </is>
      </c>
      <c r="J351" s="14" t="inlineStr">
        <is>
          <t>08 CROSSWALK</t>
        </is>
      </c>
    </row>
    <row r="352" ht="49" customHeight="1">
      <c r="A352" s="23" t="inlineStr">
        <is>
          <t>R275-v2</t>
        </is>
      </c>
      <c r="B352" s="23" t="inlineStr">
        <is>
          <t>Contractor Programme / SCH-02-095</t>
        </is>
      </c>
      <c r="C352" s="23" t="inlineStr">
        <is>
          <t>WBS Code = 1.2.1</t>
        </is>
      </c>
      <c r="D352" s="23" t="inlineStr">
        <is>
          <t>Proposed by Source assignment; target 1.2.1 Stations - Station Structures</t>
        </is>
      </c>
      <c r="E352" s="23" t="inlineStr">
        <is>
          <t>None recorded</t>
        </is>
      </c>
      <c r="F352" s="23" t="inlineStr">
        <is>
          <t>No individual professional decision recorded; Source assignment -- not individually reviewed</t>
        </is>
      </c>
      <c r="G352" s="23" t="inlineStr">
        <is>
          <t>Not individually decided</t>
        </is>
      </c>
      <c r="H352" s="23" t="inlineStr">
        <is>
          <t xml:space="preserve">RETAINED / ONE_TO_ONE; </t>
        </is>
      </c>
      <c r="I352" s="23" t="inlineStr">
        <is>
          <t>Carried forward</t>
        </is>
      </c>
      <c r="J352" s="14" t="inlineStr">
        <is>
          <t>08 CROSSWALK</t>
        </is>
      </c>
    </row>
    <row r="353" ht="49" customHeight="1">
      <c r="A353" s="23" t="inlineStr">
        <is>
          <t>R277-v2</t>
        </is>
      </c>
      <c r="B353" s="23" t="inlineStr">
        <is>
          <t>Contractor Programme / SCH-02-097</t>
        </is>
      </c>
      <c r="C353" s="23" t="inlineStr">
        <is>
          <t>WBS Code = 1.2.1</t>
        </is>
      </c>
      <c r="D353" s="23" t="inlineStr">
        <is>
          <t>Proposed by Source assignment; target 1.2.1 Stations - Station Structures</t>
        </is>
      </c>
      <c r="E353" s="23" t="inlineStr">
        <is>
          <t>None recorded</t>
        </is>
      </c>
      <c r="F353" s="23" t="inlineStr">
        <is>
          <t>No individual professional decision recorded; Source assignment -- not individually reviewed</t>
        </is>
      </c>
      <c r="G353" s="23" t="inlineStr">
        <is>
          <t>Not individually decided</t>
        </is>
      </c>
      <c r="H353" s="23" t="inlineStr">
        <is>
          <t xml:space="preserve">RETAINED / ONE_TO_ONE; </t>
        </is>
      </c>
      <c r="I353" s="23" t="inlineStr">
        <is>
          <t>Carried forward</t>
        </is>
      </c>
      <c r="J353" s="14" t="inlineStr">
        <is>
          <t>08 CROSSWALK</t>
        </is>
      </c>
    </row>
    <row r="354" ht="49" customHeight="1">
      <c r="A354" s="23" t="inlineStr">
        <is>
          <t>R278-v2</t>
        </is>
      </c>
      <c r="B354" s="23" t="inlineStr">
        <is>
          <t>Contractor Programme / SCH-02-098</t>
        </is>
      </c>
      <c r="C354" s="23" t="inlineStr">
        <is>
          <t>WBS Code = 1.2.1</t>
        </is>
      </c>
      <c r="D354" s="23" t="inlineStr">
        <is>
          <t>Proposed by Source assignment; target 1.2.1 Stations - Station Structures</t>
        </is>
      </c>
      <c r="E354" s="23" t="inlineStr">
        <is>
          <t>None recorded</t>
        </is>
      </c>
      <c r="F354" s="23" t="inlineStr">
        <is>
          <t>No individual professional decision recorded; Source assignment -- not individually reviewed</t>
        </is>
      </c>
      <c r="G354" s="23" t="inlineStr">
        <is>
          <t>Not individually decided</t>
        </is>
      </c>
      <c r="H354" s="23" t="inlineStr">
        <is>
          <t xml:space="preserve">RETAINED / ONE_TO_ONE; </t>
        </is>
      </c>
      <c r="I354" s="23" t="inlineStr">
        <is>
          <t>Carried forward</t>
        </is>
      </c>
      <c r="J354" s="14" t="inlineStr">
        <is>
          <t>08 CROSSWALK</t>
        </is>
      </c>
    </row>
    <row r="355" ht="49" customHeight="1">
      <c r="A355" s="23" t="inlineStr">
        <is>
          <t>R280-v2</t>
        </is>
      </c>
      <c r="B355" s="23" t="inlineStr">
        <is>
          <t>Contractor Programme / SCH-02-100</t>
        </is>
      </c>
      <c r="C355" s="23" t="inlineStr">
        <is>
          <t>WBS Code = 1.2.1</t>
        </is>
      </c>
      <c r="D355" s="23" t="inlineStr">
        <is>
          <t>Proposed by Source assignment; target 1.2.1 Stations - Station Structures</t>
        </is>
      </c>
      <c r="E355" s="23" t="inlineStr">
        <is>
          <t>None recorded</t>
        </is>
      </c>
      <c r="F355" s="23" t="inlineStr">
        <is>
          <t>No individual professional decision recorded; Source assignment -- not individually reviewed</t>
        </is>
      </c>
      <c r="G355" s="23" t="inlineStr">
        <is>
          <t>Not individually decided</t>
        </is>
      </c>
      <c r="H355" s="23" t="inlineStr">
        <is>
          <t xml:space="preserve">RETAINED / ONE_TO_ONE; </t>
        </is>
      </c>
      <c r="I355" s="23" t="inlineStr">
        <is>
          <t>Carried forward</t>
        </is>
      </c>
      <c r="J355" s="14" t="inlineStr">
        <is>
          <t>08 CROSSWALK</t>
        </is>
      </c>
    </row>
    <row r="356" ht="49" customHeight="1">
      <c r="A356" s="23" t="inlineStr">
        <is>
          <t>R281-v2</t>
        </is>
      </c>
      <c r="B356" s="23" t="inlineStr">
        <is>
          <t>Contractor Programme / SCH-02-101</t>
        </is>
      </c>
      <c r="C356" s="23" t="inlineStr">
        <is>
          <t>WBS Code = 1.2.1</t>
        </is>
      </c>
      <c r="D356" s="23" t="inlineStr">
        <is>
          <t>Proposed by Source assignment; target 1.2.1 Stations - Station Structures</t>
        </is>
      </c>
      <c r="E356" s="23" t="inlineStr">
        <is>
          <t>None recorded</t>
        </is>
      </c>
      <c r="F356" s="23" t="inlineStr">
        <is>
          <t>No individual professional decision recorded; Source assignment -- not individually reviewed</t>
        </is>
      </c>
      <c r="G356" s="23" t="inlineStr">
        <is>
          <t>Not individually decided</t>
        </is>
      </c>
      <c r="H356" s="23" t="inlineStr">
        <is>
          <t xml:space="preserve">RETAINED / ONE_TO_ONE; </t>
        </is>
      </c>
      <c r="I356" s="23" t="inlineStr">
        <is>
          <t>Carried forward</t>
        </is>
      </c>
      <c r="J356" s="14" t="inlineStr">
        <is>
          <t>08 CROSSWALK</t>
        </is>
      </c>
    </row>
    <row r="357" ht="49" customHeight="1">
      <c r="A357" s="23" t="inlineStr">
        <is>
          <t>R283-v2</t>
        </is>
      </c>
      <c r="B357" s="23" t="inlineStr">
        <is>
          <t>Contractor Programme / SCH-02-103</t>
        </is>
      </c>
      <c r="C357" s="23" t="inlineStr">
        <is>
          <t>WBS Code = 1.2.1</t>
        </is>
      </c>
      <c r="D357" s="23" t="inlineStr">
        <is>
          <t>Proposed by Source assignment; target 1.2.1 Stations - Station Structures</t>
        </is>
      </c>
      <c r="E357" s="23" t="inlineStr">
        <is>
          <t>None recorded</t>
        </is>
      </c>
      <c r="F357" s="23" t="inlineStr">
        <is>
          <t>No individual professional decision recorded; Source assignment -- not individually reviewed</t>
        </is>
      </c>
      <c r="G357" s="23" t="inlineStr">
        <is>
          <t>Not individually decided</t>
        </is>
      </c>
      <c r="H357" s="23" t="inlineStr">
        <is>
          <t xml:space="preserve">RETAINED / ONE_TO_ONE; </t>
        </is>
      </c>
      <c r="I357" s="23" t="inlineStr">
        <is>
          <t>Carried forward</t>
        </is>
      </c>
      <c r="J357" s="14" t="inlineStr">
        <is>
          <t>08 CROSSWALK</t>
        </is>
      </c>
    </row>
    <row r="358" ht="49" customHeight="1">
      <c r="A358" s="23" t="inlineStr">
        <is>
          <t>R284-v2</t>
        </is>
      </c>
      <c r="B358" s="23" t="inlineStr">
        <is>
          <t>Contractor Programme / SCH-02-104</t>
        </is>
      </c>
      <c r="C358" s="23" t="inlineStr">
        <is>
          <t>WBS Code = 1.2.1</t>
        </is>
      </c>
      <c r="D358" s="23" t="inlineStr">
        <is>
          <t>Proposed by Source assignment; target 1.2.1 Stations - Station Structures</t>
        </is>
      </c>
      <c r="E358" s="23" t="inlineStr">
        <is>
          <t>None recorded</t>
        </is>
      </c>
      <c r="F358" s="23" t="inlineStr">
        <is>
          <t>No individual professional decision recorded; Source assignment -- not individually reviewed</t>
        </is>
      </c>
      <c r="G358" s="23" t="inlineStr">
        <is>
          <t>Not individually decided</t>
        </is>
      </c>
      <c r="H358" s="23" t="inlineStr">
        <is>
          <t xml:space="preserve">RETAINED / ONE_TO_ONE; </t>
        </is>
      </c>
      <c r="I358" s="23" t="inlineStr">
        <is>
          <t>Carried forward</t>
        </is>
      </c>
      <c r="J358" s="14" t="inlineStr">
        <is>
          <t>08 CROSSWALK</t>
        </is>
      </c>
    </row>
    <row r="359" ht="49" customHeight="1">
      <c r="A359" s="23" t="inlineStr">
        <is>
          <t>R286-v2</t>
        </is>
      </c>
      <c r="B359" s="23" t="inlineStr">
        <is>
          <t>Contractor Programme / SCH-02-106</t>
        </is>
      </c>
      <c r="C359" s="23" t="inlineStr">
        <is>
          <t>WBS Code = 1.2.1</t>
        </is>
      </c>
      <c r="D359" s="23" t="inlineStr">
        <is>
          <t>Proposed by Source assignment; target 1.2.1 Stations - Station Structures</t>
        </is>
      </c>
      <c r="E359" s="23" t="inlineStr">
        <is>
          <t>None recorded</t>
        </is>
      </c>
      <c r="F359" s="23" t="inlineStr">
        <is>
          <t>No individual professional decision recorded; Source assignment -- not individually reviewed</t>
        </is>
      </c>
      <c r="G359" s="23" t="inlineStr">
        <is>
          <t>Not individually decided</t>
        </is>
      </c>
      <c r="H359" s="23" t="inlineStr">
        <is>
          <t xml:space="preserve">RETAINED / ONE_TO_ONE; </t>
        </is>
      </c>
      <c r="I359" s="23" t="inlineStr">
        <is>
          <t>Carried forward</t>
        </is>
      </c>
      <c r="J359" s="14" t="inlineStr">
        <is>
          <t>08 CROSSWALK</t>
        </is>
      </c>
    </row>
    <row r="360" ht="49" customHeight="1">
      <c r="A360" s="23" t="inlineStr">
        <is>
          <t>R287-v2</t>
        </is>
      </c>
      <c r="B360" s="23" t="inlineStr">
        <is>
          <t>Contractor Programme / SCH-02-107</t>
        </is>
      </c>
      <c r="C360" s="23" t="inlineStr">
        <is>
          <t>WBS Code = 1.2.1</t>
        </is>
      </c>
      <c r="D360" s="23" t="inlineStr">
        <is>
          <t>Proposed by Source assignment; target 1.2.1 Stations - Station Structures</t>
        </is>
      </c>
      <c r="E360" s="23" t="inlineStr">
        <is>
          <t>None recorded</t>
        </is>
      </c>
      <c r="F360" s="23" t="inlineStr">
        <is>
          <t>No individual professional decision recorded; Source assignment -- not individually reviewed</t>
        </is>
      </c>
      <c r="G360" s="23" t="inlineStr">
        <is>
          <t>Not individually decided</t>
        </is>
      </c>
      <c r="H360" s="23" t="inlineStr">
        <is>
          <t xml:space="preserve">RETAINED / ONE_TO_ONE; </t>
        </is>
      </c>
      <c r="I360" s="23" t="inlineStr">
        <is>
          <t>Carried forward</t>
        </is>
      </c>
      <c r="J360" s="14" t="inlineStr">
        <is>
          <t>08 CROSSWALK</t>
        </is>
      </c>
    </row>
    <row r="361" ht="49" customHeight="1">
      <c r="A361" s="23" t="inlineStr">
        <is>
          <t>R289-v2</t>
        </is>
      </c>
      <c r="B361" s="23" t="inlineStr">
        <is>
          <t>Contractor Programme / SCH-02-109</t>
        </is>
      </c>
      <c r="C361" s="23" t="inlineStr">
        <is>
          <t>WBS Code = 1.2.1</t>
        </is>
      </c>
      <c r="D361" s="23" t="inlineStr">
        <is>
          <t>Proposed by Source assignment; target 1.2.1 Stations - Station Structures</t>
        </is>
      </c>
      <c r="E361" s="23" t="inlineStr">
        <is>
          <t>None recorded</t>
        </is>
      </c>
      <c r="F361" s="23" t="inlineStr">
        <is>
          <t>No individual professional decision recorded; Source assignment -- not individually reviewed</t>
        </is>
      </c>
      <c r="G361" s="23" t="inlineStr">
        <is>
          <t>Not individually decided</t>
        </is>
      </c>
      <c r="H361" s="23" t="inlineStr">
        <is>
          <t xml:space="preserve">RETAINED / ONE_TO_ONE; </t>
        </is>
      </c>
      <c r="I361" s="23" t="inlineStr">
        <is>
          <t>Carried forward</t>
        </is>
      </c>
      <c r="J361" s="14" t="inlineStr">
        <is>
          <t>08 CROSSWALK</t>
        </is>
      </c>
    </row>
    <row r="362" ht="49" customHeight="1">
      <c r="A362" s="23" t="inlineStr">
        <is>
          <t>R290-v2</t>
        </is>
      </c>
      <c r="B362" s="23" t="inlineStr">
        <is>
          <t>Contractor Programme / SCH-02-110</t>
        </is>
      </c>
      <c r="C362" s="23" t="inlineStr">
        <is>
          <t>WBS Code = 1.2.1</t>
        </is>
      </c>
      <c r="D362" s="23" t="inlineStr">
        <is>
          <t>Proposed by Source assignment; target 1.2.1 Stations - Station Structures</t>
        </is>
      </c>
      <c r="E362" s="23" t="inlineStr">
        <is>
          <t>None recorded</t>
        </is>
      </c>
      <c r="F362" s="23" t="inlineStr">
        <is>
          <t>No individual professional decision recorded; Source assignment -- not individually reviewed</t>
        </is>
      </c>
      <c r="G362" s="23" t="inlineStr">
        <is>
          <t>Not individually decided</t>
        </is>
      </c>
      <c r="H362" s="23" t="inlineStr">
        <is>
          <t xml:space="preserve">RETAINED / ONE_TO_ONE; </t>
        </is>
      </c>
      <c r="I362" s="23" t="inlineStr">
        <is>
          <t>Carried forward</t>
        </is>
      </c>
      <c r="J362" s="14" t="inlineStr">
        <is>
          <t>08 CROSSWALK</t>
        </is>
      </c>
    </row>
    <row r="363" ht="49" customHeight="1">
      <c r="A363" s="23" t="inlineStr">
        <is>
          <t>R292-v2</t>
        </is>
      </c>
      <c r="B363" s="23" t="inlineStr">
        <is>
          <t>Contractor Programme / SCH-02-112</t>
        </is>
      </c>
      <c r="C363" s="23" t="inlineStr">
        <is>
          <t>WBS Code = 1.2.1</t>
        </is>
      </c>
      <c r="D363" s="23" t="inlineStr">
        <is>
          <t>Proposed by Source assignment; target 1.2.1 Stations - Station Structures</t>
        </is>
      </c>
      <c r="E363" s="23" t="inlineStr">
        <is>
          <t>None recorded</t>
        </is>
      </c>
      <c r="F363" s="23" t="inlineStr">
        <is>
          <t>No individual professional decision recorded; Source assignment -- not individually reviewed</t>
        </is>
      </c>
      <c r="G363" s="23" t="inlineStr">
        <is>
          <t>Not individually decided</t>
        </is>
      </c>
      <c r="H363" s="23" t="inlineStr">
        <is>
          <t xml:space="preserve">RETAINED / ONE_TO_ONE; </t>
        </is>
      </c>
      <c r="I363" s="23" t="inlineStr">
        <is>
          <t>Carried forward</t>
        </is>
      </c>
      <c r="J363" s="14" t="inlineStr">
        <is>
          <t>08 CROSSWALK</t>
        </is>
      </c>
    </row>
    <row r="364" ht="49" customHeight="1">
      <c r="A364" s="23" t="inlineStr">
        <is>
          <t>R293-v2</t>
        </is>
      </c>
      <c r="B364" s="23" t="inlineStr">
        <is>
          <t>Contractor Programme / SCH-02-113</t>
        </is>
      </c>
      <c r="C364" s="23" t="inlineStr">
        <is>
          <t>WBS Code = 1.2.1</t>
        </is>
      </c>
      <c r="D364" s="23" t="inlineStr">
        <is>
          <t>Proposed by Source assignment; target 1.2.1 Stations - Station Structures</t>
        </is>
      </c>
      <c r="E364" s="23" t="inlineStr">
        <is>
          <t>None recorded</t>
        </is>
      </c>
      <c r="F364" s="23" t="inlineStr">
        <is>
          <t>No individual professional decision recorded; Source assignment -- not individually reviewed</t>
        </is>
      </c>
      <c r="G364" s="23" t="inlineStr">
        <is>
          <t>Not individually decided</t>
        </is>
      </c>
      <c r="H364" s="23" t="inlineStr">
        <is>
          <t xml:space="preserve">RETAINED / ONE_TO_ONE; </t>
        </is>
      </c>
      <c r="I364" s="23" t="inlineStr">
        <is>
          <t>Carried forward</t>
        </is>
      </c>
      <c r="J364" s="14" t="inlineStr">
        <is>
          <t>08 CROSSWALK</t>
        </is>
      </c>
    </row>
    <row r="365" ht="49" customHeight="1">
      <c r="A365" s="23" t="inlineStr">
        <is>
          <t>R295-v2</t>
        </is>
      </c>
      <c r="B365" s="23" t="inlineStr">
        <is>
          <t>Contractor Programme / SCH-02-115</t>
        </is>
      </c>
      <c r="C365" s="23" t="inlineStr">
        <is>
          <t>WBS Code = 1.2.1</t>
        </is>
      </c>
      <c r="D365" s="23" t="inlineStr">
        <is>
          <t>Proposed by Source assignment; target 1.2.1 Stations - Station Structures</t>
        </is>
      </c>
      <c r="E365" s="23" t="inlineStr">
        <is>
          <t>None recorded</t>
        </is>
      </c>
      <c r="F365" s="23" t="inlineStr">
        <is>
          <t>No individual professional decision recorded; Source assignment -- not individually reviewed</t>
        </is>
      </c>
      <c r="G365" s="23" t="inlineStr">
        <is>
          <t>Not individually decided</t>
        </is>
      </c>
      <c r="H365" s="23" t="inlineStr">
        <is>
          <t xml:space="preserve">RETAINED / ONE_TO_ONE; </t>
        </is>
      </c>
      <c r="I365" s="23" t="inlineStr">
        <is>
          <t>Carried forward</t>
        </is>
      </c>
      <c r="J365" s="14" t="inlineStr">
        <is>
          <t>08 CROSSWALK</t>
        </is>
      </c>
    </row>
    <row r="366" ht="49" customHeight="1">
      <c r="A366" s="23" t="inlineStr">
        <is>
          <t>R296-v2</t>
        </is>
      </c>
      <c r="B366" s="23" t="inlineStr">
        <is>
          <t>Contractor Programme / SCH-02-116</t>
        </is>
      </c>
      <c r="C366" s="23" t="inlineStr">
        <is>
          <t>WBS Code = 1.2.1</t>
        </is>
      </c>
      <c r="D366" s="23" t="inlineStr">
        <is>
          <t>Proposed by Source assignment; target 1.2.1 Stations - Station Structures</t>
        </is>
      </c>
      <c r="E366" s="23" t="inlineStr">
        <is>
          <t>None recorded</t>
        </is>
      </c>
      <c r="F366" s="23" t="inlineStr">
        <is>
          <t>No individual professional decision recorded; Source assignment -- not individually reviewed</t>
        </is>
      </c>
      <c r="G366" s="23" t="inlineStr">
        <is>
          <t>Not individually decided</t>
        </is>
      </c>
      <c r="H366" s="23" t="inlineStr">
        <is>
          <t xml:space="preserve">RETAINED / ONE_TO_ONE; </t>
        </is>
      </c>
      <c r="I366" s="23" t="inlineStr">
        <is>
          <t>Carried forward</t>
        </is>
      </c>
      <c r="J366" s="14" t="inlineStr">
        <is>
          <t>08 CROSSWALK</t>
        </is>
      </c>
    </row>
    <row r="367" ht="49" customHeight="1">
      <c r="A367" s="23" t="inlineStr">
        <is>
          <t>R298-v2</t>
        </is>
      </c>
      <c r="B367" s="23" t="inlineStr">
        <is>
          <t>Contractor Programme / SCH-02-118</t>
        </is>
      </c>
      <c r="C367" s="23" t="inlineStr">
        <is>
          <t>WBS Code = 1.2.1</t>
        </is>
      </c>
      <c r="D367" s="23" t="inlineStr">
        <is>
          <t>Proposed by Source assignment; target 1.2.1 Stations - Station Structures</t>
        </is>
      </c>
      <c r="E367" s="23" t="inlineStr">
        <is>
          <t>None recorded</t>
        </is>
      </c>
      <c r="F367" s="23" t="inlineStr">
        <is>
          <t>No individual professional decision recorded; Source assignment -- not individually reviewed</t>
        </is>
      </c>
      <c r="G367" s="23" t="inlineStr">
        <is>
          <t>Not individually decided</t>
        </is>
      </c>
      <c r="H367" s="23" t="inlineStr">
        <is>
          <t xml:space="preserve">RETAINED / ONE_TO_ONE; </t>
        </is>
      </c>
      <c r="I367" s="23" t="inlineStr">
        <is>
          <t>Carried forward</t>
        </is>
      </c>
      <c r="J367" s="14" t="inlineStr">
        <is>
          <t>08 CROSSWALK</t>
        </is>
      </c>
    </row>
    <row r="368" ht="49" customHeight="1">
      <c r="A368" s="23" t="inlineStr">
        <is>
          <t>R299-v2</t>
        </is>
      </c>
      <c r="B368" s="23" t="inlineStr">
        <is>
          <t>Contractor Programme / SCH-02-119</t>
        </is>
      </c>
      <c r="C368" s="23" t="inlineStr">
        <is>
          <t>WBS Code = 1.2.1</t>
        </is>
      </c>
      <c r="D368" s="23" t="inlineStr">
        <is>
          <t>Proposed by Source assignment; target 1.2.1 Stations - Station Structures</t>
        </is>
      </c>
      <c r="E368" s="23" t="inlineStr">
        <is>
          <t>None recorded</t>
        </is>
      </c>
      <c r="F368" s="23" t="inlineStr">
        <is>
          <t>No individual professional decision recorded; Source assignment -- not individually reviewed</t>
        </is>
      </c>
      <c r="G368" s="23" t="inlineStr">
        <is>
          <t>Not individually decided</t>
        </is>
      </c>
      <c r="H368" s="23" t="inlineStr">
        <is>
          <t xml:space="preserve">RETAINED / ONE_TO_ONE; </t>
        </is>
      </c>
      <c r="I368" s="23" t="inlineStr">
        <is>
          <t>Carried forward</t>
        </is>
      </c>
      <c r="J368" s="14" t="inlineStr">
        <is>
          <t>08 CROSSWALK</t>
        </is>
      </c>
    </row>
    <row r="369" ht="49" customHeight="1">
      <c r="A369" s="23" t="inlineStr">
        <is>
          <t>R301-v2</t>
        </is>
      </c>
      <c r="B369" s="23" t="inlineStr">
        <is>
          <t>Contractor Programme / SCH-02-121</t>
        </is>
      </c>
      <c r="C369" s="23" t="inlineStr">
        <is>
          <t>WBS Code = 1.2.1</t>
        </is>
      </c>
      <c r="D369" s="23" t="inlineStr">
        <is>
          <t>Proposed by Source assignment; target 1.2.1 Stations - Station Structures</t>
        </is>
      </c>
      <c r="E369" s="23" t="inlineStr">
        <is>
          <t>None recorded</t>
        </is>
      </c>
      <c r="F369" s="23" t="inlineStr">
        <is>
          <t>No individual professional decision recorded; Source assignment -- not individually reviewed</t>
        </is>
      </c>
      <c r="G369" s="23" t="inlineStr">
        <is>
          <t>Not individually decided</t>
        </is>
      </c>
      <c r="H369" s="23" t="inlineStr">
        <is>
          <t xml:space="preserve">RETAINED / ONE_TO_ONE; </t>
        </is>
      </c>
      <c r="I369" s="23" t="inlineStr">
        <is>
          <t>Carried forward</t>
        </is>
      </c>
      <c r="J369" s="14" t="inlineStr">
        <is>
          <t>08 CROSSWALK</t>
        </is>
      </c>
    </row>
    <row r="370" ht="49" customHeight="1">
      <c r="A370" s="23" t="inlineStr">
        <is>
          <t>R302-v2</t>
        </is>
      </c>
      <c r="B370" s="23" t="inlineStr">
        <is>
          <t>Contractor Programme / SCH-02-122</t>
        </is>
      </c>
      <c r="C370" s="23" t="inlineStr">
        <is>
          <t>WBS Code = 1.2.1</t>
        </is>
      </c>
      <c r="D370" s="23" t="inlineStr">
        <is>
          <t>Proposed by Source assignment; target 1.2.1 Stations - Station Structures</t>
        </is>
      </c>
      <c r="E370" s="23" t="inlineStr">
        <is>
          <t>None recorded</t>
        </is>
      </c>
      <c r="F370" s="23" t="inlineStr">
        <is>
          <t>No individual professional decision recorded; Source assignment -- not individually reviewed</t>
        </is>
      </c>
      <c r="G370" s="23" t="inlineStr">
        <is>
          <t>Not individually decided</t>
        </is>
      </c>
      <c r="H370" s="23" t="inlineStr">
        <is>
          <t xml:space="preserve">RETAINED / ONE_TO_ONE; </t>
        </is>
      </c>
      <c r="I370" s="23" t="inlineStr">
        <is>
          <t>Carried forward</t>
        </is>
      </c>
      <c r="J370" s="14" t="inlineStr">
        <is>
          <t>08 CROSSWALK</t>
        </is>
      </c>
    </row>
    <row r="371" ht="49" customHeight="1">
      <c r="A371" s="23" t="inlineStr">
        <is>
          <t>R304-v2</t>
        </is>
      </c>
      <c r="B371" s="23" t="inlineStr">
        <is>
          <t>Contractor Programme / SCH-02-124</t>
        </is>
      </c>
      <c r="C371" s="23" t="inlineStr">
        <is>
          <t>WBS Code = 1.2.1</t>
        </is>
      </c>
      <c r="D371" s="23" t="inlineStr">
        <is>
          <t>Proposed by Source assignment; target 1.2.1 Stations - Station Structures</t>
        </is>
      </c>
      <c r="E371" s="23" t="inlineStr">
        <is>
          <t>None recorded</t>
        </is>
      </c>
      <c r="F371" s="23" t="inlineStr">
        <is>
          <t>No individual professional decision recorded; Source assignment -- not individually reviewed</t>
        </is>
      </c>
      <c r="G371" s="23" t="inlineStr">
        <is>
          <t>Not individually decided</t>
        </is>
      </c>
      <c r="H371" s="23" t="inlineStr">
        <is>
          <t xml:space="preserve">RETAINED / ONE_TO_ONE; </t>
        </is>
      </c>
      <c r="I371" s="23" t="inlineStr">
        <is>
          <t>Carried forward</t>
        </is>
      </c>
      <c r="J371" s="14" t="inlineStr">
        <is>
          <t>08 CROSSWALK</t>
        </is>
      </c>
    </row>
    <row r="372" ht="49" customHeight="1">
      <c r="A372" s="23" t="inlineStr">
        <is>
          <t>R305-v2</t>
        </is>
      </c>
      <c r="B372" s="23" t="inlineStr">
        <is>
          <t>Contractor Programme / SCH-02-125</t>
        </is>
      </c>
      <c r="C372" s="23" t="inlineStr">
        <is>
          <t>WBS Code = 1.2.1</t>
        </is>
      </c>
      <c r="D372" s="23" t="inlineStr">
        <is>
          <t>Proposed by Source assignment; target 1.2.1 Stations - Station Structures</t>
        </is>
      </c>
      <c r="E372" s="23" t="inlineStr">
        <is>
          <t>None recorded</t>
        </is>
      </c>
      <c r="F372" s="23" t="inlineStr">
        <is>
          <t>No individual professional decision recorded; Source assignment -- not individually reviewed</t>
        </is>
      </c>
      <c r="G372" s="23" t="inlineStr">
        <is>
          <t>Not individually decided</t>
        </is>
      </c>
      <c r="H372" s="23" t="inlineStr">
        <is>
          <t xml:space="preserve">RETAINED / ONE_TO_ONE; </t>
        </is>
      </c>
      <c r="I372" s="23" t="inlineStr">
        <is>
          <t>Carried forward</t>
        </is>
      </c>
      <c r="J372" s="14" t="inlineStr">
        <is>
          <t>08 CROSSWALK</t>
        </is>
      </c>
    </row>
    <row r="373" ht="49" customHeight="1">
      <c r="A373" s="23" t="inlineStr">
        <is>
          <t>R307-v2</t>
        </is>
      </c>
      <c r="B373" s="23" t="inlineStr">
        <is>
          <t>Contractor Programme / SCH-02-127</t>
        </is>
      </c>
      <c r="C373" s="23" t="inlineStr">
        <is>
          <t>WBS Code = 1.2.1</t>
        </is>
      </c>
      <c r="D373" s="23" t="inlineStr">
        <is>
          <t>Proposed by Source assignment; target 1.2.1 Stations - Station Structures</t>
        </is>
      </c>
      <c r="E373" s="23" t="inlineStr">
        <is>
          <t>None recorded</t>
        </is>
      </c>
      <c r="F373" s="23" t="inlineStr">
        <is>
          <t>No individual professional decision recorded; Source assignment -- not individually reviewed</t>
        </is>
      </c>
      <c r="G373" s="23" t="inlineStr">
        <is>
          <t>Not individually decided</t>
        </is>
      </c>
      <c r="H373" s="23" t="inlineStr">
        <is>
          <t xml:space="preserve">RETAINED / ONE_TO_ONE; </t>
        </is>
      </c>
      <c r="I373" s="23" t="inlineStr">
        <is>
          <t>Carried forward</t>
        </is>
      </c>
      <c r="J373" s="14" t="inlineStr">
        <is>
          <t>08 CROSSWALK</t>
        </is>
      </c>
    </row>
    <row r="374" ht="49" customHeight="1">
      <c r="A374" s="23" t="inlineStr">
        <is>
          <t>R308-v2</t>
        </is>
      </c>
      <c r="B374" s="23" t="inlineStr">
        <is>
          <t>Contractor Programme / SCH-02-128</t>
        </is>
      </c>
      <c r="C374" s="23" t="inlineStr">
        <is>
          <t>WBS Code = 1.2.1</t>
        </is>
      </c>
      <c r="D374" s="23" t="inlineStr">
        <is>
          <t>Proposed by Source assignment; target 1.2.1 Stations - Station Structures</t>
        </is>
      </c>
      <c r="E374" s="23" t="inlineStr">
        <is>
          <t>None recorded</t>
        </is>
      </c>
      <c r="F374" s="23" t="inlineStr">
        <is>
          <t>No individual professional decision recorded; Source assignment -- not individually reviewed</t>
        </is>
      </c>
      <c r="G374" s="23" t="inlineStr">
        <is>
          <t>Not individually decided</t>
        </is>
      </c>
      <c r="H374" s="23" t="inlineStr">
        <is>
          <t xml:space="preserve">RETAINED / ONE_TO_ONE; </t>
        </is>
      </c>
      <c r="I374" s="23" t="inlineStr">
        <is>
          <t>Carried forward</t>
        </is>
      </c>
      <c r="J374" s="14" t="inlineStr">
        <is>
          <t>08 CROSSWALK</t>
        </is>
      </c>
    </row>
    <row r="375" ht="49" customHeight="1">
      <c r="A375" s="23" t="inlineStr">
        <is>
          <t>R310-v2</t>
        </is>
      </c>
      <c r="B375" s="23" t="inlineStr">
        <is>
          <t>Contractor Programme / SCH-02-130</t>
        </is>
      </c>
      <c r="C375" s="23" t="inlineStr">
        <is>
          <t>WBS Code = 1.2.1</t>
        </is>
      </c>
      <c r="D375" s="23" t="inlineStr">
        <is>
          <t>Proposed by Source assignment; target 1.2.1 Stations - Station Structures</t>
        </is>
      </c>
      <c r="E375" s="23" t="inlineStr">
        <is>
          <t>None recorded</t>
        </is>
      </c>
      <c r="F375" s="23" t="inlineStr">
        <is>
          <t>No individual professional decision recorded; Source assignment -- not individually reviewed</t>
        </is>
      </c>
      <c r="G375" s="23" t="inlineStr">
        <is>
          <t>Not individually decided</t>
        </is>
      </c>
      <c r="H375" s="23" t="inlineStr">
        <is>
          <t xml:space="preserve">RETAINED / ONE_TO_ONE; </t>
        </is>
      </c>
      <c r="I375" s="23" t="inlineStr">
        <is>
          <t>Carried forward</t>
        </is>
      </c>
      <c r="J375" s="14" t="inlineStr">
        <is>
          <t>08 CROSSWALK</t>
        </is>
      </c>
    </row>
    <row r="376" ht="49" customHeight="1">
      <c r="A376" s="23" t="inlineStr">
        <is>
          <t>R311-v2</t>
        </is>
      </c>
      <c r="B376" s="23" t="inlineStr">
        <is>
          <t>Contractor Programme / SCH-02-131</t>
        </is>
      </c>
      <c r="C376" s="23" t="inlineStr">
        <is>
          <t>WBS Code = 1.2.1</t>
        </is>
      </c>
      <c r="D376" s="23" t="inlineStr">
        <is>
          <t>Proposed by Source assignment; target 1.2.1 Stations - Station Structures</t>
        </is>
      </c>
      <c r="E376" s="23" t="inlineStr">
        <is>
          <t>None recorded</t>
        </is>
      </c>
      <c r="F376" s="23" t="inlineStr">
        <is>
          <t>No individual professional decision recorded; Source assignment -- not individually reviewed</t>
        </is>
      </c>
      <c r="G376" s="23" t="inlineStr">
        <is>
          <t>Not individually decided</t>
        </is>
      </c>
      <c r="H376" s="23" t="inlineStr">
        <is>
          <t xml:space="preserve">RETAINED / ONE_TO_ONE; </t>
        </is>
      </c>
      <c r="I376" s="23" t="inlineStr">
        <is>
          <t>Carried forward</t>
        </is>
      </c>
      <c r="J376" s="14" t="inlineStr">
        <is>
          <t>08 CROSSWALK</t>
        </is>
      </c>
    </row>
    <row r="377" ht="49" customHeight="1">
      <c r="A377" s="23" t="inlineStr">
        <is>
          <t>R313-v2</t>
        </is>
      </c>
      <c r="B377" s="23" t="inlineStr">
        <is>
          <t>Contractor Programme / SCH-02-133</t>
        </is>
      </c>
      <c r="C377" s="23" t="inlineStr">
        <is>
          <t>WBS Code = 1.2.1</t>
        </is>
      </c>
      <c r="D377" s="23" t="inlineStr">
        <is>
          <t>Proposed by Source assignment; target 1.2.1 Stations - Station Structures</t>
        </is>
      </c>
      <c r="E377" s="23" t="inlineStr">
        <is>
          <t>None recorded</t>
        </is>
      </c>
      <c r="F377" s="23" t="inlineStr">
        <is>
          <t>No individual professional decision recorded; Source assignment -- not individually reviewed</t>
        </is>
      </c>
      <c r="G377" s="23" t="inlineStr">
        <is>
          <t>Not individually decided</t>
        </is>
      </c>
      <c r="H377" s="23" t="inlineStr">
        <is>
          <t xml:space="preserve">RETAINED / ONE_TO_ONE; </t>
        </is>
      </c>
      <c r="I377" s="23" t="inlineStr">
        <is>
          <t>Carried forward</t>
        </is>
      </c>
      <c r="J377" s="14" t="inlineStr">
        <is>
          <t>08 CROSSWALK</t>
        </is>
      </c>
    </row>
    <row r="378" ht="49" customHeight="1">
      <c r="A378" s="23" t="inlineStr">
        <is>
          <t>R314-v2</t>
        </is>
      </c>
      <c r="B378" s="23" t="inlineStr">
        <is>
          <t>Contractor Programme / SCH-02-134</t>
        </is>
      </c>
      <c r="C378" s="23" t="inlineStr">
        <is>
          <t>WBS Code = 1.2.1</t>
        </is>
      </c>
      <c r="D378" s="23" t="inlineStr">
        <is>
          <t>Proposed by Source assignment; target 1.2.1 Stations - Station Structures</t>
        </is>
      </c>
      <c r="E378" s="23" t="inlineStr">
        <is>
          <t>None recorded</t>
        </is>
      </c>
      <c r="F378" s="23" t="inlineStr">
        <is>
          <t>No individual professional decision recorded; Source assignment -- not individually reviewed</t>
        </is>
      </c>
      <c r="G378" s="23" t="inlineStr">
        <is>
          <t>Not individually decided</t>
        </is>
      </c>
      <c r="H378" s="23" t="inlineStr">
        <is>
          <t xml:space="preserve">RETAINED / ONE_TO_ONE; </t>
        </is>
      </c>
      <c r="I378" s="23" t="inlineStr">
        <is>
          <t>Carried forward</t>
        </is>
      </c>
      <c r="J378" s="14" t="inlineStr">
        <is>
          <t>08 CROSSWALK</t>
        </is>
      </c>
    </row>
    <row r="379" ht="49" customHeight="1">
      <c r="A379" s="23" t="inlineStr">
        <is>
          <t>R316-v2</t>
        </is>
      </c>
      <c r="B379" s="23" t="inlineStr">
        <is>
          <t>Contractor Programme / SCH-02-136</t>
        </is>
      </c>
      <c r="C379" s="23" t="inlineStr">
        <is>
          <t>WBS Code = 1.2.1</t>
        </is>
      </c>
      <c r="D379" s="23" t="inlineStr">
        <is>
          <t>Proposed by Source assignment; target 1.2.1 Stations - Station Structures</t>
        </is>
      </c>
      <c r="E379" s="23" t="inlineStr">
        <is>
          <t>None recorded</t>
        </is>
      </c>
      <c r="F379" s="23" t="inlineStr">
        <is>
          <t>No individual professional decision recorded; Source assignment -- not individually reviewed</t>
        </is>
      </c>
      <c r="G379" s="23" t="inlineStr">
        <is>
          <t>Not individually decided</t>
        </is>
      </c>
      <c r="H379" s="23" t="inlineStr">
        <is>
          <t xml:space="preserve">RETAINED / ONE_TO_ONE; </t>
        </is>
      </c>
      <c r="I379" s="23" t="inlineStr">
        <is>
          <t>Carried forward</t>
        </is>
      </c>
      <c r="J379" s="14" t="inlineStr">
        <is>
          <t>08 CROSSWALK</t>
        </is>
      </c>
    </row>
    <row r="380" ht="49" customHeight="1">
      <c r="A380" s="23" t="inlineStr">
        <is>
          <t>R317-v2</t>
        </is>
      </c>
      <c r="B380" s="23" t="inlineStr">
        <is>
          <t>Contractor Programme / SCH-02-137</t>
        </is>
      </c>
      <c r="C380" s="23" t="inlineStr">
        <is>
          <t>WBS Code = 1.2.1</t>
        </is>
      </c>
      <c r="D380" s="23" t="inlineStr">
        <is>
          <t>Proposed by Source assignment; target 1.2.1 Stations - Station Structures</t>
        </is>
      </c>
      <c r="E380" s="23" t="inlineStr">
        <is>
          <t>None recorded</t>
        </is>
      </c>
      <c r="F380" s="23" t="inlineStr">
        <is>
          <t>No individual professional decision recorded; Source assignment -- not individually reviewed</t>
        </is>
      </c>
      <c r="G380" s="23" t="inlineStr">
        <is>
          <t>Not individually decided</t>
        </is>
      </c>
      <c r="H380" s="23" t="inlineStr">
        <is>
          <t xml:space="preserve">RETAINED / ONE_TO_ONE; </t>
        </is>
      </c>
      <c r="I380" s="23" t="inlineStr">
        <is>
          <t>Carried forward</t>
        </is>
      </c>
      <c r="J380" s="14" t="inlineStr">
        <is>
          <t>08 CROSSWALK</t>
        </is>
      </c>
    </row>
    <row r="381" ht="49" customHeight="1">
      <c r="A381" s="23" t="inlineStr">
        <is>
          <t>R319-v2</t>
        </is>
      </c>
      <c r="B381" s="23" t="inlineStr">
        <is>
          <t>Contractor Programme / SCH-02-139</t>
        </is>
      </c>
      <c r="C381" s="23" t="inlineStr">
        <is>
          <t>WBS Code = 1.2.1</t>
        </is>
      </c>
      <c r="D381" s="23" t="inlineStr">
        <is>
          <t>Proposed by Source assignment; target 1.2.1 Stations - Station Structures</t>
        </is>
      </c>
      <c r="E381" s="23" t="inlineStr">
        <is>
          <t>None recorded</t>
        </is>
      </c>
      <c r="F381" s="23" t="inlineStr">
        <is>
          <t>No individual professional decision recorded; Source assignment -- not individually reviewed</t>
        </is>
      </c>
      <c r="G381" s="23" t="inlineStr">
        <is>
          <t>Not individually decided</t>
        </is>
      </c>
      <c r="H381" s="23" t="inlineStr">
        <is>
          <t xml:space="preserve">RETAINED / ONE_TO_ONE; </t>
        </is>
      </c>
      <c r="I381" s="23" t="inlineStr">
        <is>
          <t>Carried forward</t>
        </is>
      </c>
      <c r="J381" s="14" t="inlineStr">
        <is>
          <t>08 CROSSWALK</t>
        </is>
      </c>
    </row>
    <row r="382" ht="49" customHeight="1">
      <c r="A382" s="23" t="inlineStr">
        <is>
          <t>R320-v2</t>
        </is>
      </c>
      <c r="B382" s="23" t="inlineStr">
        <is>
          <t>Contractor Programme / SCH-02-140</t>
        </is>
      </c>
      <c r="C382" s="23" t="inlineStr">
        <is>
          <t>WBS Code = 1.2.1</t>
        </is>
      </c>
      <c r="D382" s="23" t="inlineStr">
        <is>
          <t>Proposed by Source assignment; target 1.2.1 Stations - Station Structures</t>
        </is>
      </c>
      <c r="E382" s="23" t="inlineStr">
        <is>
          <t>None recorded</t>
        </is>
      </c>
      <c r="F382" s="23" t="inlineStr">
        <is>
          <t>No individual professional decision recorded; Source assignment -- not individually reviewed</t>
        </is>
      </c>
      <c r="G382" s="23" t="inlineStr">
        <is>
          <t>Not individually decided</t>
        </is>
      </c>
      <c r="H382" s="23" t="inlineStr">
        <is>
          <t xml:space="preserve">RETAINED / ONE_TO_ONE; </t>
        </is>
      </c>
      <c r="I382" s="23" t="inlineStr">
        <is>
          <t>Carried forward</t>
        </is>
      </c>
      <c r="J382" s="14" t="inlineStr">
        <is>
          <t>08 CROSSWALK</t>
        </is>
      </c>
    </row>
    <row r="383" ht="49" customHeight="1">
      <c r="A383" s="23" t="inlineStr">
        <is>
          <t>R322-v2</t>
        </is>
      </c>
      <c r="B383" s="23" t="inlineStr">
        <is>
          <t>Contractor Programme / SCH-02-142</t>
        </is>
      </c>
      <c r="C383" s="23" t="inlineStr">
        <is>
          <t>WBS Code = 1.2.1</t>
        </is>
      </c>
      <c r="D383" s="23" t="inlineStr">
        <is>
          <t>Proposed by Source assignment; target 1.2.1 Stations - Station Structures</t>
        </is>
      </c>
      <c r="E383" s="23" t="inlineStr">
        <is>
          <t>None recorded</t>
        </is>
      </c>
      <c r="F383" s="23" t="inlineStr">
        <is>
          <t>No individual professional decision recorded; Source assignment -- not individually reviewed</t>
        </is>
      </c>
      <c r="G383" s="23" t="inlineStr">
        <is>
          <t>Not individually decided</t>
        </is>
      </c>
      <c r="H383" s="23" t="inlineStr">
        <is>
          <t xml:space="preserve">RETAINED / ONE_TO_ONE; </t>
        </is>
      </c>
      <c r="I383" s="23" t="inlineStr">
        <is>
          <t>Carried forward</t>
        </is>
      </c>
      <c r="J383" s="14" t="inlineStr">
        <is>
          <t>08 CROSSWALK</t>
        </is>
      </c>
    </row>
    <row r="384" ht="49" customHeight="1">
      <c r="A384" s="23" t="inlineStr">
        <is>
          <t>R323-v2</t>
        </is>
      </c>
      <c r="B384" s="23" t="inlineStr">
        <is>
          <t>Contractor Programme / SCH-02-143</t>
        </is>
      </c>
      <c r="C384" s="23" t="inlineStr">
        <is>
          <t>WBS Code = 1.2.1</t>
        </is>
      </c>
      <c r="D384" s="23" t="inlineStr">
        <is>
          <t>Proposed by Source assignment; target 1.2.1 Stations - Station Structures</t>
        </is>
      </c>
      <c r="E384" s="23" t="inlineStr">
        <is>
          <t>None recorded</t>
        </is>
      </c>
      <c r="F384" s="23" t="inlineStr">
        <is>
          <t>No individual professional decision recorded; Source assignment -- not individually reviewed</t>
        </is>
      </c>
      <c r="G384" s="23" t="inlineStr">
        <is>
          <t>Not individually decided</t>
        </is>
      </c>
      <c r="H384" s="23" t="inlineStr">
        <is>
          <t xml:space="preserve">RETAINED / ONE_TO_ONE; </t>
        </is>
      </c>
      <c r="I384" s="23" t="inlineStr">
        <is>
          <t>Carried forward</t>
        </is>
      </c>
      <c r="J384" s="14" t="inlineStr">
        <is>
          <t>08 CROSSWALK</t>
        </is>
      </c>
    </row>
    <row r="385" ht="49" customHeight="1">
      <c r="A385" s="23" t="inlineStr">
        <is>
          <t>R325-v2</t>
        </is>
      </c>
      <c r="B385" s="23" t="inlineStr">
        <is>
          <t>Contractor Programme / SCH-02-145</t>
        </is>
      </c>
      <c r="C385" s="23" t="inlineStr">
        <is>
          <t>WBS Code = 1.2.1</t>
        </is>
      </c>
      <c r="D385" s="23" t="inlineStr">
        <is>
          <t>Proposed by Source assignment; target 1.2.1 Stations - Station Structures</t>
        </is>
      </c>
      <c r="E385" s="23" t="inlineStr">
        <is>
          <t>None recorded</t>
        </is>
      </c>
      <c r="F385" s="23" t="inlineStr">
        <is>
          <t>No individual professional decision recorded; Source assignment -- not individually reviewed</t>
        </is>
      </c>
      <c r="G385" s="23" t="inlineStr">
        <is>
          <t>Not individually decided</t>
        </is>
      </c>
      <c r="H385" s="23" t="inlineStr">
        <is>
          <t xml:space="preserve">RETAINED / ONE_TO_ONE; </t>
        </is>
      </c>
      <c r="I385" s="23" t="inlineStr">
        <is>
          <t>Carried forward</t>
        </is>
      </c>
      <c r="J385" s="14" t="inlineStr">
        <is>
          <t>08 CROSSWALK</t>
        </is>
      </c>
    </row>
    <row r="386" ht="49" customHeight="1">
      <c r="A386" s="23" t="inlineStr">
        <is>
          <t>R326-v2</t>
        </is>
      </c>
      <c r="B386" s="23" t="inlineStr">
        <is>
          <t>Contractor Programme / SCH-02-146</t>
        </is>
      </c>
      <c r="C386" s="23" t="inlineStr">
        <is>
          <t>WBS Code = 1.2.1</t>
        </is>
      </c>
      <c r="D386" s="23" t="inlineStr">
        <is>
          <t>Proposed by Source assignment; target 1.2.1 Stations - Station Structures</t>
        </is>
      </c>
      <c r="E386" s="23" t="inlineStr">
        <is>
          <t>None recorded</t>
        </is>
      </c>
      <c r="F386" s="23" t="inlineStr">
        <is>
          <t>No individual professional decision recorded; Source assignment -- not individually reviewed</t>
        </is>
      </c>
      <c r="G386" s="23" t="inlineStr">
        <is>
          <t>Not individually decided</t>
        </is>
      </c>
      <c r="H386" s="23" t="inlineStr">
        <is>
          <t xml:space="preserve">RETAINED / ONE_TO_ONE; </t>
        </is>
      </c>
      <c r="I386" s="23" t="inlineStr">
        <is>
          <t>Carried forward</t>
        </is>
      </c>
      <c r="J386" s="14" t="inlineStr">
        <is>
          <t>08 CROSSWALK</t>
        </is>
      </c>
    </row>
    <row r="387" ht="49" customHeight="1">
      <c r="A387" s="23" t="inlineStr">
        <is>
          <t>R328-v2</t>
        </is>
      </c>
      <c r="B387" s="23" t="inlineStr">
        <is>
          <t>Contractor Programme / SCH-02-148</t>
        </is>
      </c>
      <c r="C387" s="23" t="inlineStr">
        <is>
          <t>WBS Code = 1.2.1</t>
        </is>
      </c>
      <c r="D387" s="23" t="inlineStr">
        <is>
          <t>Proposed by Source assignment; target 1.2.1 Stations - Station Structures</t>
        </is>
      </c>
      <c r="E387" s="23" t="inlineStr">
        <is>
          <t>None recorded</t>
        </is>
      </c>
      <c r="F387" s="23" t="inlineStr">
        <is>
          <t>No individual professional decision recorded; Source assignment -- not individually reviewed</t>
        </is>
      </c>
      <c r="G387" s="23" t="inlineStr">
        <is>
          <t>Not individually decided</t>
        </is>
      </c>
      <c r="H387" s="23" t="inlineStr">
        <is>
          <t xml:space="preserve">RETAINED / ONE_TO_ONE; </t>
        </is>
      </c>
      <c r="I387" s="23" t="inlineStr">
        <is>
          <t>Carried forward</t>
        </is>
      </c>
      <c r="J387" s="14" t="inlineStr">
        <is>
          <t>08 CROSSWALK</t>
        </is>
      </c>
    </row>
    <row r="388" ht="49" customHeight="1">
      <c r="A388" s="23" t="inlineStr">
        <is>
          <t>R329-v2</t>
        </is>
      </c>
      <c r="B388" s="23" t="inlineStr">
        <is>
          <t>Contractor Programme / SCH-02-149</t>
        </is>
      </c>
      <c r="C388" s="23" t="inlineStr">
        <is>
          <t>WBS Code = 1.2.1</t>
        </is>
      </c>
      <c r="D388" s="23" t="inlineStr">
        <is>
          <t>Proposed by Source assignment; target 1.2.1 Stations - Station Structures</t>
        </is>
      </c>
      <c r="E388" s="23" t="inlineStr">
        <is>
          <t>None recorded</t>
        </is>
      </c>
      <c r="F388" s="23" t="inlineStr">
        <is>
          <t>No individual professional decision recorded; Source assignment -- not individually reviewed</t>
        </is>
      </c>
      <c r="G388" s="23" t="inlineStr">
        <is>
          <t>Not individually decided</t>
        </is>
      </c>
      <c r="H388" s="23" t="inlineStr">
        <is>
          <t xml:space="preserve">RETAINED / ONE_TO_ONE; </t>
        </is>
      </c>
      <c r="I388" s="23" t="inlineStr">
        <is>
          <t>Carried forward</t>
        </is>
      </c>
      <c r="J388" s="14" t="inlineStr">
        <is>
          <t>08 CROSSWALK</t>
        </is>
      </c>
    </row>
    <row r="389" ht="49" customHeight="1">
      <c r="A389" s="23" t="inlineStr">
        <is>
          <t>R331-v2</t>
        </is>
      </c>
      <c r="B389" s="23" t="inlineStr">
        <is>
          <t>Contractor Programme / SCH-02-151</t>
        </is>
      </c>
      <c r="C389" s="23" t="inlineStr">
        <is>
          <t>WBS Code = 1.2.1</t>
        </is>
      </c>
      <c r="D389" s="23" t="inlineStr">
        <is>
          <t>Proposed by Source assignment; target 1.2.1 Stations - Station Structures</t>
        </is>
      </c>
      <c r="E389" s="23" t="inlineStr">
        <is>
          <t>None recorded</t>
        </is>
      </c>
      <c r="F389" s="23" t="inlineStr">
        <is>
          <t>No individual professional decision recorded; Source assignment -- not individually reviewed</t>
        </is>
      </c>
      <c r="G389" s="23" t="inlineStr">
        <is>
          <t>Not individually decided</t>
        </is>
      </c>
      <c r="H389" s="23" t="inlineStr">
        <is>
          <t xml:space="preserve">RETAINED / ONE_TO_ONE; </t>
        </is>
      </c>
      <c r="I389" s="23" t="inlineStr">
        <is>
          <t>Carried forward</t>
        </is>
      </c>
      <c r="J389" s="14" t="inlineStr">
        <is>
          <t>08 CROSSWALK</t>
        </is>
      </c>
    </row>
    <row r="390" ht="49" customHeight="1">
      <c r="A390" s="23" t="inlineStr">
        <is>
          <t>R332-v2</t>
        </is>
      </c>
      <c r="B390" s="23" t="inlineStr">
        <is>
          <t>Contractor Programme / SCH-02-152</t>
        </is>
      </c>
      <c r="C390" s="23" t="inlineStr">
        <is>
          <t>WBS Code = 1.2.1</t>
        </is>
      </c>
      <c r="D390" s="23" t="inlineStr">
        <is>
          <t>Proposed by Source assignment; target 1.2.1 Stations - Station Structures</t>
        </is>
      </c>
      <c r="E390" s="23" t="inlineStr">
        <is>
          <t>None recorded</t>
        </is>
      </c>
      <c r="F390" s="23" t="inlineStr">
        <is>
          <t>No individual professional decision recorded; Source assignment -- not individually reviewed</t>
        </is>
      </c>
      <c r="G390" s="23" t="inlineStr">
        <is>
          <t>Not individually decided</t>
        </is>
      </c>
      <c r="H390" s="23" t="inlineStr">
        <is>
          <t xml:space="preserve">RETAINED / ONE_TO_ONE; </t>
        </is>
      </c>
      <c r="I390" s="23" t="inlineStr">
        <is>
          <t>Carried forward</t>
        </is>
      </c>
      <c r="J390" s="14" t="inlineStr">
        <is>
          <t>08 CROSSWALK</t>
        </is>
      </c>
    </row>
    <row r="391" ht="49" customHeight="1">
      <c r="A391" s="23" t="inlineStr">
        <is>
          <t>R334-v2</t>
        </is>
      </c>
      <c r="B391" s="23" t="inlineStr">
        <is>
          <t>Contractor Programme / SCH-02-154</t>
        </is>
      </c>
      <c r="C391" s="23" t="inlineStr">
        <is>
          <t>WBS Code = 1.2.1</t>
        </is>
      </c>
      <c r="D391" s="23" t="inlineStr">
        <is>
          <t>Proposed by Source assignment; target 1.2.1 Stations - Station Structures</t>
        </is>
      </c>
      <c r="E391" s="23" t="inlineStr">
        <is>
          <t>None recorded</t>
        </is>
      </c>
      <c r="F391" s="23" t="inlineStr">
        <is>
          <t>No individual professional decision recorded; Source assignment -- not individually reviewed</t>
        </is>
      </c>
      <c r="G391" s="23" t="inlineStr">
        <is>
          <t>Not individually decided</t>
        </is>
      </c>
      <c r="H391" s="23" t="inlineStr">
        <is>
          <t xml:space="preserve">RETAINED / ONE_TO_ONE; </t>
        </is>
      </c>
      <c r="I391" s="23" t="inlineStr">
        <is>
          <t>Carried forward</t>
        </is>
      </c>
      <c r="J391" s="14" t="inlineStr">
        <is>
          <t>08 CROSSWALK</t>
        </is>
      </c>
    </row>
    <row r="392" ht="49" customHeight="1">
      <c r="A392" s="23" t="inlineStr">
        <is>
          <t>R335-v2</t>
        </is>
      </c>
      <c r="B392" s="23" t="inlineStr">
        <is>
          <t>Contractor Programme / SCH-02-155</t>
        </is>
      </c>
      <c r="C392" s="23" t="inlineStr">
        <is>
          <t>WBS Code = 1.2.1</t>
        </is>
      </c>
      <c r="D392" s="23" t="inlineStr">
        <is>
          <t>Proposed by Source assignment; target 1.2.1 Stations - Station Structures</t>
        </is>
      </c>
      <c r="E392" s="23" t="inlineStr">
        <is>
          <t>None recorded</t>
        </is>
      </c>
      <c r="F392" s="23" t="inlineStr">
        <is>
          <t>No individual professional decision recorded; Source assignment -- not individually reviewed</t>
        </is>
      </c>
      <c r="G392" s="23" t="inlineStr">
        <is>
          <t>Not individually decided</t>
        </is>
      </c>
      <c r="H392" s="23" t="inlineStr">
        <is>
          <t xml:space="preserve">RETAINED / ONE_TO_ONE; </t>
        </is>
      </c>
      <c r="I392" s="23" t="inlineStr">
        <is>
          <t>Carried forward</t>
        </is>
      </c>
      <c r="J392" s="14" t="inlineStr">
        <is>
          <t>08 CROSSWALK</t>
        </is>
      </c>
    </row>
    <row r="393" ht="49" customHeight="1">
      <c r="A393" s="23" t="inlineStr">
        <is>
          <t>R337-v2</t>
        </is>
      </c>
      <c r="B393" s="23" t="inlineStr">
        <is>
          <t>Contractor Programme / SCH-02-157</t>
        </is>
      </c>
      <c r="C393" s="23" t="inlineStr">
        <is>
          <t>WBS Code = 1.2.1</t>
        </is>
      </c>
      <c r="D393" s="23" t="inlineStr">
        <is>
          <t>Proposed by Source assignment; target 1.2.1 Stations - Station Structures</t>
        </is>
      </c>
      <c r="E393" s="23" t="inlineStr">
        <is>
          <t>None recorded</t>
        </is>
      </c>
      <c r="F393" s="23" t="inlineStr">
        <is>
          <t>No individual professional decision recorded; Source assignment -- not individually reviewed</t>
        </is>
      </c>
      <c r="G393" s="23" t="inlineStr">
        <is>
          <t>Not individually decided</t>
        </is>
      </c>
      <c r="H393" s="23" t="inlineStr">
        <is>
          <t xml:space="preserve">RETAINED / ONE_TO_ONE; </t>
        </is>
      </c>
      <c r="I393" s="23" t="inlineStr">
        <is>
          <t>Carried forward</t>
        </is>
      </c>
      <c r="J393" s="14" t="inlineStr">
        <is>
          <t>08 CROSSWALK</t>
        </is>
      </c>
    </row>
    <row r="394" ht="49" customHeight="1">
      <c r="A394" s="23" t="inlineStr">
        <is>
          <t>R338-v2</t>
        </is>
      </c>
      <c r="B394" s="23" t="inlineStr">
        <is>
          <t>Contractor Programme / SCH-02-158</t>
        </is>
      </c>
      <c r="C394" s="23" t="inlineStr">
        <is>
          <t>WBS Code = 1.2.1</t>
        </is>
      </c>
      <c r="D394" s="23" t="inlineStr">
        <is>
          <t>Proposed by Source assignment; target 1.2.1 Stations - Station Structures</t>
        </is>
      </c>
      <c r="E394" s="23" t="inlineStr">
        <is>
          <t>None recorded</t>
        </is>
      </c>
      <c r="F394" s="23" t="inlineStr">
        <is>
          <t>No individual professional decision recorded; Source assignment -- not individually reviewed</t>
        </is>
      </c>
      <c r="G394" s="23" t="inlineStr">
        <is>
          <t>Not individually decided</t>
        </is>
      </c>
      <c r="H394" s="23" t="inlineStr">
        <is>
          <t xml:space="preserve">RETAINED / ONE_TO_ONE; </t>
        </is>
      </c>
      <c r="I394" s="23" t="inlineStr">
        <is>
          <t>Carried forward</t>
        </is>
      </c>
      <c r="J394" s="14" t="inlineStr">
        <is>
          <t>08 CROSSWALK</t>
        </is>
      </c>
    </row>
    <row r="395" ht="49" customHeight="1">
      <c r="A395" s="23" t="inlineStr">
        <is>
          <t>R340-v2</t>
        </is>
      </c>
      <c r="B395" s="23" t="inlineStr">
        <is>
          <t>Contractor Programme / SCH-02-160</t>
        </is>
      </c>
      <c r="C395" s="23" t="inlineStr">
        <is>
          <t>WBS Code = 1.2.1</t>
        </is>
      </c>
      <c r="D395" s="23" t="inlineStr">
        <is>
          <t>Proposed by Source assignment; target 1.2.1 Stations - Station Structures</t>
        </is>
      </c>
      <c r="E395" s="23" t="inlineStr">
        <is>
          <t>None recorded</t>
        </is>
      </c>
      <c r="F395" s="23" t="inlineStr">
        <is>
          <t>No individual professional decision recorded; Source assignment -- not individually reviewed</t>
        </is>
      </c>
      <c r="G395" s="23" t="inlineStr">
        <is>
          <t>Not individually decided</t>
        </is>
      </c>
      <c r="H395" s="23" t="inlineStr">
        <is>
          <t xml:space="preserve">RETAINED / ONE_TO_ONE; </t>
        </is>
      </c>
      <c r="I395" s="23" t="inlineStr">
        <is>
          <t>Carried forward</t>
        </is>
      </c>
      <c r="J395" s="14" t="inlineStr">
        <is>
          <t>08 CROSSWALK</t>
        </is>
      </c>
    </row>
    <row r="396" ht="49" customHeight="1">
      <c r="A396" s="23" t="inlineStr">
        <is>
          <t>R341-v2</t>
        </is>
      </c>
      <c r="B396" s="23" t="inlineStr">
        <is>
          <t>Contractor Programme / SCH-02-161</t>
        </is>
      </c>
      <c r="C396" s="23" t="inlineStr">
        <is>
          <t>WBS Code = 1.2.1</t>
        </is>
      </c>
      <c r="D396" s="23" t="inlineStr">
        <is>
          <t>Proposed by Source assignment; target 1.2.1 Stations - Station Structures</t>
        </is>
      </c>
      <c r="E396" s="23" t="inlineStr">
        <is>
          <t>None recorded</t>
        </is>
      </c>
      <c r="F396" s="23" t="inlineStr">
        <is>
          <t>No individual professional decision recorded; Source assignment -- not individually reviewed</t>
        </is>
      </c>
      <c r="G396" s="23" t="inlineStr">
        <is>
          <t>Not individually decided</t>
        </is>
      </c>
      <c r="H396" s="23" t="inlineStr">
        <is>
          <t xml:space="preserve">RETAINED / ONE_TO_ONE; </t>
        </is>
      </c>
      <c r="I396" s="23" t="inlineStr">
        <is>
          <t>Carried forward</t>
        </is>
      </c>
      <c r="J396" s="14" t="inlineStr">
        <is>
          <t>08 CROSSWALK</t>
        </is>
      </c>
    </row>
    <row r="397" ht="49" customHeight="1">
      <c r="A397" s="23" t="inlineStr">
        <is>
          <t>R343-v2</t>
        </is>
      </c>
      <c r="B397" s="23" t="inlineStr">
        <is>
          <t>Contractor Programme / SCH-02-163</t>
        </is>
      </c>
      <c r="C397" s="23" t="inlineStr">
        <is>
          <t>WBS Code = 1.2.1</t>
        </is>
      </c>
      <c r="D397" s="23" t="inlineStr">
        <is>
          <t>Proposed by Source assignment; target 1.2.1 Stations - Station Structures</t>
        </is>
      </c>
      <c r="E397" s="23" t="inlineStr">
        <is>
          <t>None recorded</t>
        </is>
      </c>
      <c r="F397" s="23" t="inlineStr">
        <is>
          <t>No individual professional decision recorded; Source assignment -- not individually reviewed</t>
        </is>
      </c>
      <c r="G397" s="23" t="inlineStr">
        <is>
          <t>Not individually decided</t>
        </is>
      </c>
      <c r="H397" s="23" t="inlineStr">
        <is>
          <t xml:space="preserve">RETAINED / ONE_TO_ONE; </t>
        </is>
      </c>
      <c r="I397" s="23" t="inlineStr">
        <is>
          <t>Carried forward</t>
        </is>
      </c>
      <c r="J397" s="14" t="inlineStr">
        <is>
          <t>08 CROSSWALK</t>
        </is>
      </c>
    </row>
    <row r="398" ht="49" customHeight="1">
      <c r="A398" s="23" t="inlineStr">
        <is>
          <t>R344-v2</t>
        </is>
      </c>
      <c r="B398" s="23" t="inlineStr">
        <is>
          <t>Contractor Programme / SCH-02-164</t>
        </is>
      </c>
      <c r="C398" s="23" t="inlineStr">
        <is>
          <t>WBS Code = 1.2.1</t>
        </is>
      </c>
      <c r="D398" s="23" t="inlineStr">
        <is>
          <t>Proposed by Source assignment; target 1.2.1 Stations - Station Structures</t>
        </is>
      </c>
      <c r="E398" s="23" t="inlineStr">
        <is>
          <t>None recorded</t>
        </is>
      </c>
      <c r="F398" s="23" t="inlineStr">
        <is>
          <t>No individual professional decision recorded; Source assignment -- not individually reviewed</t>
        </is>
      </c>
      <c r="G398" s="23" t="inlineStr">
        <is>
          <t>Not individually decided</t>
        </is>
      </c>
      <c r="H398" s="23" t="inlineStr">
        <is>
          <t xml:space="preserve">RETAINED / ONE_TO_ONE; </t>
        </is>
      </c>
      <c r="I398" s="23" t="inlineStr">
        <is>
          <t>Carried forward</t>
        </is>
      </c>
      <c r="J398" s="14" t="inlineStr">
        <is>
          <t>08 CROSSWALK</t>
        </is>
      </c>
    </row>
    <row r="399" ht="49" customHeight="1">
      <c r="A399" s="23" t="inlineStr">
        <is>
          <t>R346-v2</t>
        </is>
      </c>
      <c r="B399" s="23" t="inlineStr">
        <is>
          <t>Contractor Programme / SCH-02-166</t>
        </is>
      </c>
      <c r="C399" s="23" t="inlineStr">
        <is>
          <t>WBS Code = 1.2.1</t>
        </is>
      </c>
      <c r="D399" s="23" t="inlineStr">
        <is>
          <t>Proposed by Source assignment; target 1.2.1 Stations - Station Structures</t>
        </is>
      </c>
      <c r="E399" s="23" t="inlineStr">
        <is>
          <t>None recorded</t>
        </is>
      </c>
      <c r="F399" s="23" t="inlineStr">
        <is>
          <t>No individual professional decision recorded; Source assignment -- not individually reviewed</t>
        </is>
      </c>
      <c r="G399" s="23" t="inlineStr">
        <is>
          <t>Not individually decided</t>
        </is>
      </c>
      <c r="H399" s="23" t="inlineStr">
        <is>
          <t xml:space="preserve">RETAINED / ONE_TO_ONE; </t>
        </is>
      </c>
      <c r="I399" s="23" t="inlineStr">
        <is>
          <t>Carried forward</t>
        </is>
      </c>
      <c r="J399" s="14" t="inlineStr">
        <is>
          <t>08 CROSSWALK</t>
        </is>
      </c>
    </row>
    <row r="400" ht="49" customHeight="1">
      <c r="A400" s="23" t="inlineStr">
        <is>
          <t>R347-v2</t>
        </is>
      </c>
      <c r="B400" s="23" t="inlineStr">
        <is>
          <t>Contractor Programme / SCH-02-167</t>
        </is>
      </c>
      <c r="C400" s="23" t="inlineStr">
        <is>
          <t>WBS Code = 1.2.1</t>
        </is>
      </c>
      <c r="D400" s="23" t="inlineStr">
        <is>
          <t>Proposed by Source assignment; target 1.2.1 Stations - Station Structures</t>
        </is>
      </c>
      <c r="E400" s="23" t="inlineStr">
        <is>
          <t>None recorded</t>
        </is>
      </c>
      <c r="F400" s="23" t="inlineStr">
        <is>
          <t>No individual professional decision recorded; Source assignment -- not individually reviewed</t>
        </is>
      </c>
      <c r="G400" s="23" t="inlineStr">
        <is>
          <t>Not individually decided</t>
        </is>
      </c>
      <c r="H400" s="23" t="inlineStr">
        <is>
          <t xml:space="preserve">RETAINED / ONE_TO_ONE; </t>
        </is>
      </c>
      <c r="I400" s="23" t="inlineStr">
        <is>
          <t>Carried forward</t>
        </is>
      </c>
      <c r="J400" s="14" t="inlineStr">
        <is>
          <t>08 CROSSWALK</t>
        </is>
      </c>
    </row>
    <row r="401" ht="49" customHeight="1">
      <c r="A401" s="23" t="inlineStr">
        <is>
          <t>R349-v2</t>
        </is>
      </c>
      <c r="B401" s="23" t="inlineStr">
        <is>
          <t>Contractor Programme / SCH-02-169</t>
        </is>
      </c>
      <c r="C401" s="23" t="inlineStr">
        <is>
          <t>WBS Code = 1.2.1</t>
        </is>
      </c>
      <c r="D401" s="23" t="inlineStr">
        <is>
          <t>Proposed by Source assignment; target 1.2.1 Stations - Station Structures</t>
        </is>
      </c>
      <c r="E401" s="23" t="inlineStr">
        <is>
          <t>None recorded</t>
        </is>
      </c>
      <c r="F401" s="23" t="inlineStr">
        <is>
          <t>No individual professional decision recorded; Source assignment -- not individually reviewed</t>
        </is>
      </c>
      <c r="G401" s="23" t="inlineStr">
        <is>
          <t>Not individually decided</t>
        </is>
      </c>
      <c r="H401" s="23" t="inlineStr">
        <is>
          <t xml:space="preserve">RETAINED / ONE_TO_ONE; </t>
        </is>
      </c>
      <c r="I401" s="23" t="inlineStr">
        <is>
          <t>Carried forward</t>
        </is>
      </c>
      <c r="J401" s="14" t="inlineStr">
        <is>
          <t>08 CROSSWALK</t>
        </is>
      </c>
    </row>
    <row r="402" ht="49" customHeight="1">
      <c r="A402" s="23" t="inlineStr">
        <is>
          <t>R350-v2</t>
        </is>
      </c>
      <c r="B402" s="23" t="inlineStr">
        <is>
          <t>Contractor Programme / SCH-02-170</t>
        </is>
      </c>
      <c r="C402" s="23" t="inlineStr">
        <is>
          <t>WBS Code = 1.2.1</t>
        </is>
      </c>
      <c r="D402" s="23" t="inlineStr">
        <is>
          <t>Proposed by Source assignment; target 1.2.1 Stations - Station Structures</t>
        </is>
      </c>
      <c r="E402" s="23" t="inlineStr">
        <is>
          <t>None recorded</t>
        </is>
      </c>
      <c r="F402" s="23" t="inlineStr">
        <is>
          <t>No individual professional decision recorded; Source assignment -- not individually reviewed</t>
        </is>
      </c>
      <c r="G402" s="23" t="inlineStr">
        <is>
          <t>Not individually decided</t>
        </is>
      </c>
      <c r="H402" s="23" t="inlineStr">
        <is>
          <t xml:space="preserve">RETAINED / ONE_TO_ONE; </t>
        </is>
      </c>
      <c r="I402" s="23" t="inlineStr">
        <is>
          <t>Carried forward</t>
        </is>
      </c>
      <c r="J402" s="14" t="inlineStr">
        <is>
          <t>08 CROSSWALK</t>
        </is>
      </c>
    </row>
    <row r="403" ht="49" customHeight="1">
      <c r="A403" s="23" t="inlineStr">
        <is>
          <t>R352-v2</t>
        </is>
      </c>
      <c r="B403" s="23" t="inlineStr">
        <is>
          <t>Contractor Programme / SCH-02-172</t>
        </is>
      </c>
      <c r="C403" s="23" t="inlineStr">
        <is>
          <t>WBS Code = 1.2.1</t>
        </is>
      </c>
      <c r="D403" s="23" t="inlineStr">
        <is>
          <t>Proposed by Source assignment; target 1.2.1 Stations - Station Structures</t>
        </is>
      </c>
      <c r="E403" s="23" t="inlineStr">
        <is>
          <t>None recorded</t>
        </is>
      </c>
      <c r="F403" s="23" t="inlineStr">
        <is>
          <t>No individual professional decision recorded; Source assignment -- not individually reviewed</t>
        </is>
      </c>
      <c r="G403" s="23" t="inlineStr">
        <is>
          <t>Not individually decided</t>
        </is>
      </c>
      <c r="H403" s="23" t="inlineStr">
        <is>
          <t xml:space="preserve">RETAINED / ONE_TO_ONE; </t>
        </is>
      </c>
      <c r="I403" s="23" t="inlineStr">
        <is>
          <t>Carried forward</t>
        </is>
      </c>
      <c r="J403" s="14" t="inlineStr">
        <is>
          <t>08 CROSSWALK</t>
        </is>
      </c>
    </row>
    <row r="404" ht="49" customHeight="1">
      <c r="A404" s="23" t="inlineStr">
        <is>
          <t>R353-v2</t>
        </is>
      </c>
      <c r="B404" s="23" t="inlineStr">
        <is>
          <t>Contractor Programme / SCH-02-173</t>
        </is>
      </c>
      <c r="C404" s="23" t="inlineStr">
        <is>
          <t>WBS Code = 1.2.1</t>
        </is>
      </c>
      <c r="D404" s="23" t="inlineStr">
        <is>
          <t>Proposed by Source assignment; target 1.2.1 Stations - Station Structures</t>
        </is>
      </c>
      <c r="E404" s="23" t="inlineStr">
        <is>
          <t>None recorded</t>
        </is>
      </c>
      <c r="F404" s="23" t="inlineStr">
        <is>
          <t>No individual professional decision recorded; Source assignment -- not individually reviewed</t>
        </is>
      </c>
      <c r="G404" s="23" t="inlineStr">
        <is>
          <t>Not individually decided</t>
        </is>
      </c>
      <c r="H404" s="23" t="inlineStr">
        <is>
          <t xml:space="preserve">RETAINED / ONE_TO_ONE; </t>
        </is>
      </c>
      <c r="I404" s="23" t="inlineStr">
        <is>
          <t>Carried forward</t>
        </is>
      </c>
      <c r="J404" s="14" t="inlineStr">
        <is>
          <t>08 CROSSWALK</t>
        </is>
      </c>
    </row>
    <row r="405" ht="49" customHeight="1">
      <c r="A405" s="23" t="inlineStr">
        <is>
          <t>R355-v2</t>
        </is>
      </c>
      <c r="B405" s="23" t="inlineStr">
        <is>
          <t>Contractor Programme / SCH-02-175</t>
        </is>
      </c>
      <c r="C405" s="23" t="inlineStr">
        <is>
          <t>WBS Code = 1.2.1</t>
        </is>
      </c>
      <c r="D405" s="23" t="inlineStr">
        <is>
          <t>Proposed by Source assignment; target 1.2.1 Stations - Station Structures</t>
        </is>
      </c>
      <c r="E405" s="23" t="inlineStr">
        <is>
          <t>None recorded</t>
        </is>
      </c>
      <c r="F405" s="23" t="inlineStr">
        <is>
          <t>No individual professional decision recorded; Source assignment -- not individually reviewed</t>
        </is>
      </c>
      <c r="G405" s="23" t="inlineStr">
        <is>
          <t>Not individually decided</t>
        </is>
      </c>
      <c r="H405" s="23" t="inlineStr">
        <is>
          <t xml:space="preserve">RETAINED / ONE_TO_ONE; </t>
        </is>
      </c>
      <c r="I405" s="23" t="inlineStr">
        <is>
          <t>Carried forward</t>
        </is>
      </c>
      <c r="J405" s="14" t="inlineStr">
        <is>
          <t>08 CROSSWALK</t>
        </is>
      </c>
    </row>
    <row r="406" ht="49" customHeight="1">
      <c r="A406" s="23" t="inlineStr">
        <is>
          <t>R356-v2</t>
        </is>
      </c>
      <c r="B406" s="23" t="inlineStr">
        <is>
          <t>Contractor Programme / SCH-02-176</t>
        </is>
      </c>
      <c r="C406" s="23" t="inlineStr">
        <is>
          <t>WBS Code = 1.2.1</t>
        </is>
      </c>
      <c r="D406" s="23" t="inlineStr">
        <is>
          <t>Proposed by Source assignment; target 1.2.1 Stations - Station Structures</t>
        </is>
      </c>
      <c r="E406" s="23" t="inlineStr">
        <is>
          <t>None recorded</t>
        </is>
      </c>
      <c r="F406" s="23" t="inlineStr">
        <is>
          <t>No individual professional decision recorded; Source assignment -- not individually reviewed</t>
        </is>
      </c>
      <c r="G406" s="23" t="inlineStr">
        <is>
          <t>Not individually decided</t>
        </is>
      </c>
      <c r="H406" s="23" t="inlineStr">
        <is>
          <t xml:space="preserve">RETAINED / ONE_TO_ONE; </t>
        </is>
      </c>
      <c r="I406" s="23" t="inlineStr">
        <is>
          <t>Carried forward</t>
        </is>
      </c>
      <c r="J406" s="14" t="inlineStr">
        <is>
          <t>08 CROSSWALK</t>
        </is>
      </c>
    </row>
    <row r="407" ht="49" customHeight="1">
      <c r="A407" s="23" t="inlineStr">
        <is>
          <t>R358-v2</t>
        </is>
      </c>
      <c r="B407" s="23" t="inlineStr">
        <is>
          <t>Contractor Programme / SCH-02-178</t>
        </is>
      </c>
      <c r="C407" s="23" t="inlineStr">
        <is>
          <t>WBS Code = 1.2.1</t>
        </is>
      </c>
      <c r="D407" s="23" t="inlineStr">
        <is>
          <t>Proposed by Source assignment; target 1.2.1 Stations - Station Structures</t>
        </is>
      </c>
      <c r="E407" s="23" t="inlineStr">
        <is>
          <t>None recorded</t>
        </is>
      </c>
      <c r="F407" s="23" t="inlineStr">
        <is>
          <t>No individual professional decision recorded; Source assignment -- not individually reviewed</t>
        </is>
      </c>
      <c r="G407" s="23" t="inlineStr">
        <is>
          <t>Not individually decided</t>
        </is>
      </c>
      <c r="H407" s="23" t="inlineStr">
        <is>
          <t xml:space="preserve">RETAINED / ONE_TO_ONE; </t>
        </is>
      </c>
      <c r="I407" s="23" t="inlineStr">
        <is>
          <t>Carried forward</t>
        </is>
      </c>
      <c r="J407" s="14" t="inlineStr">
        <is>
          <t>08 CROSSWALK</t>
        </is>
      </c>
    </row>
    <row r="408" ht="49" customHeight="1">
      <c r="A408" s="23" t="inlineStr">
        <is>
          <t>R359-v2</t>
        </is>
      </c>
      <c r="B408" s="23" t="inlineStr">
        <is>
          <t>Contractor Programme / SCH-02-179</t>
        </is>
      </c>
      <c r="C408" s="23" t="inlineStr">
        <is>
          <t>WBS Code = 1.2.1</t>
        </is>
      </c>
      <c r="D408" s="23" t="inlineStr">
        <is>
          <t>Proposed by Source assignment; target 1.2.1 Stations - Station Structures</t>
        </is>
      </c>
      <c r="E408" s="23" t="inlineStr">
        <is>
          <t>None recorded</t>
        </is>
      </c>
      <c r="F408" s="23" t="inlineStr">
        <is>
          <t>No individual professional decision recorded; Source assignment -- not individually reviewed</t>
        </is>
      </c>
      <c r="G408" s="23" t="inlineStr">
        <is>
          <t>Not individually decided</t>
        </is>
      </c>
      <c r="H408" s="23" t="inlineStr">
        <is>
          <t xml:space="preserve">RETAINED / ONE_TO_ONE; </t>
        </is>
      </c>
      <c r="I408" s="23" t="inlineStr">
        <is>
          <t>Carried forward</t>
        </is>
      </c>
      <c r="J408" s="14" t="inlineStr">
        <is>
          <t>08 CROSSWALK</t>
        </is>
      </c>
    </row>
    <row r="409" ht="49" customHeight="1">
      <c r="A409" s="23" t="inlineStr">
        <is>
          <t>R1163-v2</t>
        </is>
      </c>
      <c r="B409" s="23" t="inlineStr">
        <is>
          <t>Cost &amp; Forecast Control Accounts / CST-02-001</t>
        </is>
      </c>
      <c r="C409" s="23" t="inlineStr">
        <is>
          <t>Cost Account = CA-2001; WBS Code = 1.2.1</t>
        </is>
      </c>
      <c r="D409" s="23" t="inlineStr">
        <is>
          <t>Proposed by Source assignment; target 1.2.1 Stations - Station Structures</t>
        </is>
      </c>
      <c r="E409" s="23" t="inlineStr">
        <is>
          <t>None recorded</t>
        </is>
      </c>
      <c r="F409" s="23" t="inlineStr">
        <is>
          <t>No individual professional decision recorded; Source assignment -- not individually reviewed</t>
        </is>
      </c>
      <c r="G409" s="23" t="inlineStr">
        <is>
          <t>Not individually decided</t>
        </is>
      </c>
      <c r="H409" s="23" t="inlineStr">
        <is>
          <t xml:space="preserve">RETAINED / ONE_TO_ONE; </t>
        </is>
      </c>
      <c r="I409" s="23" t="inlineStr">
        <is>
          <t>Carried forward</t>
        </is>
      </c>
      <c r="J409" s="14" t="inlineStr">
        <is>
          <t>08 CROSSWALK</t>
        </is>
      </c>
    </row>
    <row r="410" ht="49" customHeight="1">
      <c r="A410" s="23" t="inlineStr">
        <is>
          <t>R1165-v2</t>
        </is>
      </c>
      <c r="B410" s="23" t="inlineStr">
        <is>
          <t>Cost &amp; Forecast Control Accounts / CST-02-003</t>
        </is>
      </c>
      <c r="C410" s="23" t="inlineStr">
        <is>
          <t>Cost Account = CA-2003; WBS Code = 1.2.1</t>
        </is>
      </c>
      <c r="D410" s="23" t="inlineStr">
        <is>
          <t>Proposed by Source assignment; target 1.2.1 Stations - Station Structures</t>
        </is>
      </c>
      <c r="E410" s="23" t="inlineStr">
        <is>
          <t>None recorded</t>
        </is>
      </c>
      <c r="F410" s="23" t="inlineStr">
        <is>
          <t>No individual professional decision recorded; Source assignment -- not individually reviewed</t>
        </is>
      </c>
      <c r="G410" s="23" t="inlineStr">
        <is>
          <t>Not individually decided</t>
        </is>
      </c>
      <c r="H410" s="23" t="inlineStr">
        <is>
          <t xml:space="preserve">RETAINED / ONE_TO_ONE; </t>
        </is>
      </c>
      <c r="I410" s="23" t="inlineStr">
        <is>
          <t>Carried forward</t>
        </is>
      </c>
      <c r="J410" s="14" t="inlineStr">
        <is>
          <t>08 CROSSWALK</t>
        </is>
      </c>
    </row>
    <row r="411" ht="49" customHeight="1">
      <c r="A411" s="23" t="inlineStr">
        <is>
          <t>R1167-v2</t>
        </is>
      </c>
      <c r="B411" s="23" t="inlineStr">
        <is>
          <t>Cost &amp; Forecast Control Accounts / CST-02-005</t>
        </is>
      </c>
      <c r="C411" s="23" t="inlineStr">
        <is>
          <t>Cost Account = CA-2005; WBS Code = 1.2.1</t>
        </is>
      </c>
      <c r="D411" s="23" t="inlineStr">
        <is>
          <t>Proposed by Source assignment; target 1.2.1 Stations - Station Structures</t>
        </is>
      </c>
      <c r="E411" s="23" t="inlineStr">
        <is>
          <t>None recorded</t>
        </is>
      </c>
      <c r="F411" s="23" t="inlineStr">
        <is>
          <t>No individual professional decision recorded; Source assignment -- not individually reviewed</t>
        </is>
      </c>
      <c r="G411" s="23" t="inlineStr">
        <is>
          <t>Not individually decided</t>
        </is>
      </c>
      <c r="H411" s="23" t="inlineStr">
        <is>
          <t xml:space="preserve">RETAINED / ONE_TO_ONE; </t>
        </is>
      </c>
      <c r="I411" s="23" t="inlineStr">
        <is>
          <t>Carried forward</t>
        </is>
      </c>
      <c r="J411" s="14" t="inlineStr">
        <is>
          <t>08 CROSSWALK</t>
        </is>
      </c>
    </row>
    <row r="412" ht="49" customHeight="1">
      <c r="A412" s="23" t="inlineStr">
        <is>
          <t>R1169-v2</t>
        </is>
      </c>
      <c r="B412" s="23" t="inlineStr">
        <is>
          <t>Cost &amp; Forecast Control Accounts / CST-02-007</t>
        </is>
      </c>
      <c r="C412" s="23" t="inlineStr">
        <is>
          <t>Cost Account = CA-2007; WBS Code = 1.2.1</t>
        </is>
      </c>
      <c r="D412" s="23" t="inlineStr">
        <is>
          <t>Proposed by Source assignment; target 1.2.1 Stations - Station Structures</t>
        </is>
      </c>
      <c r="E412" s="23" t="inlineStr">
        <is>
          <t>None recorded</t>
        </is>
      </c>
      <c r="F412" s="23" t="inlineStr">
        <is>
          <t>No individual professional decision recorded; Source assignment -- not individually reviewed</t>
        </is>
      </c>
      <c r="G412" s="23" t="inlineStr">
        <is>
          <t>Not individually decided</t>
        </is>
      </c>
      <c r="H412" s="23" t="inlineStr">
        <is>
          <t xml:space="preserve">RETAINED / ONE_TO_ONE; </t>
        </is>
      </c>
      <c r="I412" s="23" t="inlineStr">
        <is>
          <t>Carried forward</t>
        </is>
      </c>
      <c r="J412" s="14" t="inlineStr">
        <is>
          <t>08 CROSSWALK</t>
        </is>
      </c>
    </row>
    <row r="413" ht="49" customHeight="1">
      <c r="A413" s="23" t="inlineStr">
        <is>
          <t>R1171-v2</t>
        </is>
      </c>
      <c r="B413" s="23" t="inlineStr">
        <is>
          <t>Cost &amp; Forecast Control Accounts / CST-02-009</t>
        </is>
      </c>
      <c r="C413" s="23" t="inlineStr">
        <is>
          <t>Cost Account = CA-2009; WBS Code = 1.2.1</t>
        </is>
      </c>
      <c r="D413" s="23" t="inlineStr">
        <is>
          <t>Proposed by Source assignment; target 1.2.1 Stations - Station Structures</t>
        </is>
      </c>
      <c r="E413" s="23" t="inlineStr">
        <is>
          <t>None recorded</t>
        </is>
      </c>
      <c r="F413" s="23" t="inlineStr">
        <is>
          <t>No individual professional decision recorded; Source assignment -- not individually reviewed</t>
        </is>
      </c>
      <c r="G413" s="23" t="inlineStr">
        <is>
          <t>Not individually decided</t>
        </is>
      </c>
      <c r="H413" s="23" t="inlineStr">
        <is>
          <t xml:space="preserve">RETAINED / ONE_TO_ONE; </t>
        </is>
      </c>
      <c r="I413" s="23" t="inlineStr">
        <is>
          <t>Carried forward</t>
        </is>
      </c>
      <c r="J413" s="14" t="inlineStr">
        <is>
          <t>08 CROSSWALK</t>
        </is>
      </c>
    </row>
    <row r="414" ht="49" customHeight="1">
      <c r="A414" s="23" t="inlineStr">
        <is>
          <t>R1173-v2</t>
        </is>
      </c>
      <c r="B414" s="23" t="inlineStr">
        <is>
          <t>Cost &amp; Forecast Control Accounts / CST-02-011</t>
        </is>
      </c>
      <c r="C414" s="23" t="inlineStr">
        <is>
          <t>Cost Account = CA-2011; WBS Code = 1.2.1</t>
        </is>
      </c>
      <c r="D414" s="23" t="inlineStr">
        <is>
          <t>Proposed by Source assignment; target 1.2.1 Stations - Station Structures</t>
        </is>
      </c>
      <c r="E414" s="23" t="inlineStr">
        <is>
          <t>None recorded</t>
        </is>
      </c>
      <c r="F414" s="23" t="inlineStr">
        <is>
          <t>No individual professional decision recorded; Source assignment -- not individually reviewed</t>
        </is>
      </c>
      <c r="G414" s="23" t="inlineStr">
        <is>
          <t>Not individually decided</t>
        </is>
      </c>
      <c r="H414" s="23" t="inlineStr">
        <is>
          <t xml:space="preserve">RETAINED / ONE_TO_ONE; </t>
        </is>
      </c>
      <c r="I414" s="23" t="inlineStr">
        <is>
          <t>Carried forward</t>
        </is>
      </c>
      <c r="J414" s="14" t="inlineStr">
        <is>
          <t>08 CROSSWALK</t>
        </is>
      </c>
    </row>
    <row r="415" ht="49" customHeight="1">
      <c r="A415" s="23" t="inlineStr">
        <is>
          <t>R1175-v2</t>
        </is>
      </c>
      <c r="B415" s="23" t="inlineStr">
        <is>
          <t>Cost &amp; Forecast Control Accounts / CST-02-013</t>
        </is>
      </c>
      <c r="C415" s="23" t="inlineStr">
        <is>
          <t>Cost Account = CA-2013; WBS Code = 1.2.1</t>
        </is>
      </c>
      <c r="D415" s="23" t="inlineStr">
        <is>
          <t>Proposed by Source assignment; target 1.2.1 Stations - Station Structures</t>
        </is>
      </c>
      <c r="E415" s="23" t="inlineStr">
        <is>
          <t>None recorded</t>
        </is>
      </c>
      <c r="F415" s="23" t="inlineStr">
        <is>
          <t>No individual professional decision recorded; Source assignment -- not individually reviewed</t>
        </is>
      </c>
      <c r="G415" s="23" t="inlineStr">
        <is>
          <t>Not individually decided</t>
        </is>
      </c>
      <c r="H415" s="23" t="inlineStr">
        <is>
          <t xml:space="preserve">RETAINED / ONE_TO_ONE; </t>
        </is>
      </c>
      <c r="I415" s="23" t="inlineStr">
        <is>
          <t>Carried forward</t>
        </is>
      </c>
      <c r="J415" s="14" t="inlineStr">
        <is>
          <t>08 CROSSWALK</t>
        </is>
      </c>
    </row>
    <row r="416" ht="49" customHeight="1">
      <c r="A416" s="23" t="inlineStr">
        <is>
          <t>R1177-v2</t>
        </is>
      </c>
      <c r="B416" s="23" t="inlineStr">
        <is>
          <t>Cost &amp; Forecast Control Accounts / CST-02-015</t>
        </is>
      </c>
      <c r="C416" s="23" t="inlineStr">
        <is>
          <t>Cost Account = CA-2015; WBS Code = 1.2.1</t>
        </is>
      </c>
      <c r="D416" s="23" t="inlineStr">
        <is>
          <t>Proposed by Source assignment; target 1.2.1 Stations - Station Structures</t>
        </is>
      </c>
      <c r="E416" s="23" t="inlineStr">
        <is>
          <t>None recorded</t>
        </is>
      </c>
      <c r="F416" s="23" t="inlineStr">
        <is>
          <t>No individual professional decision recorded; Source assignment -- not individually reviewed</t>
        </is>
      </c>
      <c r="G416" s="23" t="inlineStr">
        <is>
          <t>Not individually decided</t>
        </is>
      </c>
      <c r="H416" s="23" t="inlineStr">
        <is>
          <t xml:space="preserve">RETAINED / ONE_TO_ONE; </t>
        </is>
      </c>
      <c r="I416" s="23" t="inlineStr">
        <is>
          <t>Carried forward</t>
        </is>
      </c>
      <c r="J416" s="14" t="inlineStr">
        <is>
          <t>08 CROSSWALK</t>
        </is>
      </c>
    </row>
    <row r="417" ht="49" customHeight="1">
      <c r="A417" s="23" t="inlineStr">
        <is>
          <t>R1179-v2</t>
        </is>
      </c>
      <c r="B417" s="23" t="inlineStr">
        <is>
          <t>Cost &amp; Forecast Control Accounts / CST-02-017</t>
        </is>
      </c>
      <c r="C417" s="23" t="inlineStr">
        <is>
          <t>Cost Account = CA-2017; WBS Code = 1.2.1</t>
        </is>
      </c>
      <c r="D417" s="23" t="inlineStr">
        <is>
          <t>Proposed by Source assignment; target 1.2.1 Stations - Station Structures</t>
        </is>
      </c>
      <c r="E417" s="23" t="inlineStr">
        <is>
          <t>None recorded</t>
        </is>
      </c>
      <c r="F417" s="23" t="inlineStr">
        <is>
          <t>No individual professional decision recorded; Source assignment -- not individually reviewed</t>
        </is>
      </c>
      <c r="G417" s="23" t="inlineStr">
        <is>
          <t>Not individually decided</t>
        </is>
      </c>
      <c r="H417" s="23" t="inlineStr">
        <is>
          <t xml:space="preserve">RETAINED / ONE_TO_ONE; </t>
        </is>
      </c>
      <c r="I417" s="23" t="inlineStr">
        <is>
          <t>Carried forward</t>
        </is>
      </c>
      <c r="J417" s="14" t="inlineStr">
        <is>
          <t>08 CROSSWALK</t>
        </is>
      </c>
    </row>
    <row r="418" ht="49" customHeight="1">
      <c r="A418" s="23" t="inlineStr">
        <is>
          <t>R1181-v2</t>
        </is>
      </c>
      <c r="B418" s="23" t="inlineStr">
        <is>
          <t>Cost &amp; Forecast Control Accounts / CST-02-019</t>
        </is>
      </c>
      <c r="C418" s="23" t="inlineStr">
        <is>
          <t>Cost Account = CA-2019; WBS Code = 1.2.1</t>
        </is>
      </c>
      <c r="D418" s="23" t="inlineStr">
        <is>
          <t>Proposed by Source assignment; target 1.2.1 Stations - Station Structures</t>
        </is>
      </c>
      <c r="E418" s="23" t="inlineStr">
        <is>
          <t>None recorded</t>
        </is>
      </c>
      <c r="F418" s="23" t="inlineStr">
        <is>
          <t>No individual professional decision recorded; Source assignment -- not individually reviewed</t>
        </is>
      </c>
      <c r="G418" s="23" t="inlineStr">
        <is>
          <t>Not individually decided</t>
        </is>
      </c>
      <c r="H418" s="23" t="inlineStr">
        <is>
          <t xml:space="preserve">RETAINED / ONE_TO_ONE; </t>
        </is>
      </c>
      <c r="I418" s="23" t="inlineStr">
        <is>
          <t>Carried forward</t>
        </is>
      </c>
      <c r="J418" s="14" t="inlineStr">
        <is>
          <t>08 CROSSWALK</t>
        </is>
      </c>
    </row>
    <row r="419" ht="49" customHeight="1">
      <c r="A419" s="23" t="inlineStr">
        <is>
          <t>R1183-v2</t>
        </is>
      </c>
      <c r="B419" s="23" t="inlineStr">
        <is>
          <t>Cost &amp; Forecast Control Accounts / CST-02-021</t>
        </is>
      </c>
      <c r="C419" s="23" t="inlineStr">
        <is>
          <t>Cost Account = CA-2021; WBS Code = 1.2.1</t>
        </is>
      </c>
      <c r="D419" s="23" t="inlineStr">
        <is>
          <t>Proposed by Source assignment; target 1.2.1 Stations - Station Structures</t>
        </is>
      </c>
      <c r="E419" s="23" t="inlineStr">
        <is>
          <t>None recorded</t>
        </is>
      </c>
      <c r="F419" s="23" t="inlineStr">
        <is>
          <t>No individual professional decision recorded; Source assignment -- not individually reviewed</t>
        </is>
      </c>
      <c r="G419" s="23" t="inlineStr">
        <is>
          <t>Not individually decided</t>
        </is>
      </c>
      <c r="H419" s="23" t="inlineStr">
        <is>
          <t xml:space="preserve">RETAINED / ONE_TO_ONE; </t>
        </is>
      </c>
      <c r="I419" s="23" t="inlineStr">
        <is>
          <t>Carried forward</t>
        </is>
      </c>
      <c r="J419" s="14" t="inlineStr">
        <is>
          <t>08 CROSSWALK</t>
        </is>
      </c>
    </row>
    <row r="420" ht="49" customHeight="1">
      <c r="A420" s="23" t="inlineStr">
        <is>
          <t>R1185-v2</t>
        </is>
      </c>
      <c r="B420" s="23" t="inlineStr">
        <is>
          <t>Cost &amp; Forecast Control Accounts / CST-02-023</t>
        </is>
      </c>
      <c r="C420" s="23" t="inlineStr">
        <is>
          <t>Cost Account = CA-2023; WBS Code = 1.2.1</t>
        </is>
      </c>
      <c r="D420" s="23" t="inlineStr">
        <is>
          <t>Proposed by Source assignment; target 1.2.1 Stations - Station Structures</t>
        </is>
      </c>
      <c r="E420" s="23" t="inlineStr">
        <is>
          <t>None recorded</t>
        </is>
      </c>
      <c r="F420" s="23" t="inlineStr">
        <is>
          <t>No individual professional decision recorded; Source assignment -- not individually reviewed</t>
        </is>
      </c>
      <c r="G420" s="23" t="inlineStr">
        <is>
          <t>Not individually decided</t>
        </is>
      </c>
      <c r="H420" s="23" t="inlineStr">
        <is>
          <t xml:space="preserve">RETAINED / ONE_TO_ONE; </t>
        </is>
      </c>
      <c r="I420" s="23" t="inlineStr">
        <is>
          <t>Carried forward</t>
        </is>
      </c>
      <c r="J420" s="14" t="inlineStr">
        <is>
          <t>08 CROSSWALK</t>
        </is>
      </c>
    </row>
    <row r="421" ht="49" customHeight="1">
      <c r="A421" s="23" t="inlineStr">
        <is>
          <t>R1187-v2</t>
        </is>
      </c>
      <c r="B421" s="23" t="inlineStr">
        <is>
          <t>Cost &amp; Forecast Control Accounts / CST-02-025</t>
        </is>
      </c>
      <c r="C421" s="23" t="inlineStr">
        <is>
          <t>Cost Account = CA-2025; WBS Code = 1.2.1</t>
        </is>
      </c>
      <c r="D421" s="23" t="inlineStr">
        <is>
          <t>Proposed by Source assignment; target 1.2.1 Stations - Station Structures</t>
        </is>
      </c>
      <c r="E421" s="23" t="inlineStr">
        <is>
          <t>None recorded</t>
        </is>
      </c>
      <c r="F421" s="23" t="inlineStr">
        <is>
          <t>No individual professional decision recorded; Source assignment -- not individually reviewed</t>
        </is>
      </c>
      <c r="G421" s="23" t="inlineStr">
        <is>
          <t>Not individually decided</t>
        </is>
      </c>
      <c r="H421" s="23" t="inlineStr">
        <is>
          <t xml:space="preserve">RETAINED / ONE_TO_ONE; </t>
        </is>
      </c>
      <c r="I421" s="23" t="inlineStr">
        <is>
          <t>Carried forward</t>
        </is>
      </c>
      <c r="J421" s="14" t="inlineStr">
        <is>
          <t>08 CROSSWALK</t>
        </is>
      </c>
    </row>
    <row r="422" ht="49" customHeight="1">
      <c r="A422" s="23" t="inlineStr">
        <is>
          <t>R1189-v2</t>
        </is>
      </c>
      <c r="B422" s="23" t="inlineStr">
        <is>
          <t>Cost &amp; Forecast Control Accounts / CST-02-027</t>
        </is>
      </c>
      <c r="C422" s="23" t="inlineStr">
        <is>
          <t>Cost Account = CA-2027; WBS Code = 1.2.1</t>
        </is>
      </c>
      <c r="D422" s="23" t="inlineStr">
        <is>
          <t>Proposed by Source assignment; target 1.2.1 Stations - Station Structures</t>
        </is>
      </c>
      <c r="E422" s="23" t="inlineStr">
        <is>
          <t>None recorded</t>
        </is>
      </c>
      <c r="F422" s="23" t="inlineStr">
        <is>
          <t>No individual professional decision recorded; Source assignment -- not individually reviewed</t>
        </is>
      </c>
      <c r="G422" s="23" t="inlineStr">
        <is>
          <t>Not individually decided</t>
        </is>
      </c>
      <c r="H422" s="23" t="inlineStr">
        <is>
          <t xml:space="preserve">RETAINED / ONE_TO_ONE; </t>
        </is>
      </c>
      <c r="I422" s="23" t="inlineStr">
        <is>
          <t>Carried forward</t>
        </is>
      </c>
      <c r="J422" s="14" t="inlineStr">
        <is>
          <t>08 CROSSWALK</t>
        </is>
      </c>
    </row>
    <row r="423" ht="49" customHeight="1">
      <c r="A423" s="23" t="inlineStr">
        <is>
          <t>R1191-v2</t>
        </is>
      </c>
      <c r="B423" s="23" t="inlineStr">
        <is>
          <t>Cost &amp; Forecast Control Accounts / CST-02-029</t>
        </is>
      </c>
      <c r="C423" s="23" t="inlineStr">
        <is>
          <t>Cost Account = CA-2029; WBS Code = 1.2.1</t>
        </is>
      </c>
      <c r="D423" s="23" t="inlineStr">
        <is>
          <t>Proposed by Source assignment; target 1.2.1 Stations - Station Structures</t>
        </is>
      </c>
      <c r="E423" s="23" t="inlineStr">
        <is>
          <t>None recorded</t>
        </is>
      </c>
      <c r="F423" s="23" t="inlineStr">
        <is>
          <t>No individual professional decision recorded; Source assignment -- not individually reviewed</t>
        </is>
      </c>
      <c r="G423" s="23" t="inlineStr">
        <is>
          <t>Not individually decided</t>
        </is>
      </c>
      <c r="H423" s="23" t="inlineStr">
        <is>
          <t xml:space="preserve">RETAINED / ONE_TO_ONE; </t>
        </is>
      </c>
      <c r="I423" s="23" t="inlineStr">
        <is>
          <t>Carried forward</t>
        </is>
      </c>
      <c r="J423" s="14" t="inlineStr">
        <is>
          <t>08 CROSSWALK</t>
        </is>
      </c>
    </row>
    <row r="424" ht="49" customHeight="1">
      <c r="A424" s="23" t="inlineStr">
        <is>
          <t>R1193-v2</t>
        </is>
      </c>
      <c r="B424" s="23" t="inlineStr">
        <is>
          <t>Cost &amp; Forecast Control Accounts / CST-02-031</t>
        </is>
      </c>
      <c r="C424" s="23" t="inlineStr">
        <is>
          <t>Cost Account = CA-2031; WBS Code = 1.2.1</t>
        </is>
      </c>
      <c r="D424" s="23" t="inlineStr">
        <is>
          <t>Proposed by Source assignment; target 1.2.1 Stations - Station Structures</t>
        </is>
      </c>
      <c r="E424" s="23" t="inlineStr">
        <is>
          <t>None recorded</t>
        </is>
      </c>
      <c r="F424" s="23" t="inlineStr">
        <is>
          <t>No individual professional decision recorded; Source assignment -- not individually reviewed</t>
        </is>
      </c>
      <c r="G424" s="23" t="inlineStr">
        <is>
          <t>Not individually decided</t>
        </is>
      </c>
      <c r="H424" s="23" t="inlineStr">
        <is>
          <t xml:space="preserve">RETAINED / ONE_TO_ONE; </t>
        </is>
      </c>
      <c r="I424" s="23" t="inlineStr">
        <is>
          <t>Carried forward</t>
        </is>
      </c>
      <c r="J424" s="14" t="inlineStr">
        <is>
          <t>08 CROSSWALK</t>
        </is>
      </c>
    </row>
    <row r="425" ht="49" customHeight="1">
      <c r="A425" s="23" t="inlineStr">
        <is>
          <t>R1195-v2</t>
        </is>
      </c>
      <c r="B425" s="23" t="inlineStr">
        <is>
          <t>Cost &amp; Forecast Control Accounts / CST-02-033</t>
        </is>
      </c>
      <c r="C425" s="23" t="inlineStr">
        <is>
          <t>Cost Account = CA-2033; WBS Code = 1.2.1</t>
        </is>
      </c>
      <c r="D425" s="23" t="inlineStr">
        <is>
          <t>Proposed by Source assignment; target 1.2.1 Stations - Station Structures</t>
        </is>
      </c>
      <c r="E425" s="23" t="inlineStr">
        <is>
          <t>None recorded</t>
        </is>
      </c>
      <c r="F425" s="23" t="inlineStr">
        <is>
          <t>No individual professional decision recorded; Source assignment -- not individually reviewed</t>
        </is>
      </c>
      <c r="G425" s="23" t="inlineStr">
        <is>
          <t>Not individually decided</t>
        </is>
      </c>
      <c r="H425" s="23" t="inlineStr">
        <is>
          <t xml:space="preserve">RETAINED / ONE_TO_ONE; </t>
        </is>
      </c>
      <c r="I425" s="23" t="inlineStr">
        <is>
          <t>Carried forward</t>
        </is>
      </c>
      <c r="J425" s="14" t="inlineStr">
        <is>
          <t>08 CROSSWALK</t>
        </is>
      </c>
    </row>
    <row r="426" ht="49" customHeight="1">
      <c r="A426" s="23" t="inlineStr">
        <is>
          <t>R1197-v2</t>
        </is>
      </c>
      <c r="B426" s="23" t="inlineStr">
        <is>
          <t>Cost &amp; Forecast Control Accounts / CST-02-035</t>
        </is>
      </c>
      <c r="C426" s="23" t="inlineStr">
        <is>
          <t>Cost Account = CA-2035; WBS Code = 1.2.1</t>
        </is>
      </c>
      <c r="D426" s="23" t="inlineStr">
        <is>
          <t>Proposed by Source assignment; target 1.2.1 Stations - Station Structures</t>
        </is>
      </c>
      <c r="E426" s="23" t="inlineStr">
        <is>
          <t>None recorded</t>
        </is>
      </c>
      <c r="F426" s="23" t="inlineStr">
        <is>
          <t>No individual professional decision recorded; Source assignment -- not individually reviewed</t>
        </is>
      </c>
      <c r="G426" s="23" t="inlineStr">
        <is>
          <t>Not individually decided</t>
        </is>
      </c>
      <c r="H426" s="23" t="inlineStr">
        <is>
          <t xml:space="preserve">RETAINED / ONE_TO_ONE; </t>
        </is>
      </c>
      <c r="I426" s="23" t="inlineStr">
        <is>
          <t>Carried forward</t>
        </is>
      </c>
      <c r="J426" s="14" t="inlineStr">
        <is>
          <t>08 CROSSWALK</t>
        </is>
      </c>
    </row>
    <row r="427" ht="49" customHeight="1">
      <c r="A427" s="23" t="inlineStr">
        <is>
          <t>R1199-v2</t>
        </is>
      </c>
      <c r="B427" s="23" t="inlineStr">
        <is>
          <t>Cost &amp; Forecast Control Accounts / CST-02-037</t>
        </is>
      </c>
      <c r="C427" s="23" t="inlineStr">
        <is>
          <t>Cost Account = CA-2037; WBS Code = 1.2.1</t>
        </is>
      </c>
      <c r="D427" s="23" t="inlineStr">
        <is>
          <t>Proposed by Source assignment; target 1.2.1 Stations - Station Structures</t>
        </is>
      </c>
      <c r="E427" s="23" t="inlineStr">
        <is>
          <t>None recorded</t>
        </is>
      </c>
      <c r="F427" s="23" t="inlineStr">
        <is>
          <t>No individual professional decision recorded; Source assignment -- not individually reviewed</t>
        </is>
      </c>
      <c r="G427" s="23" t="inlineStr">
        <is>
          <t>Not individually decided</t>
        </is>
      </c>
      <c r="H427" s="23" t="inlineStr">
        <is>
          <t xml:space="preserve">RETAINED / ONE_TO_ONE; </t>
        </is>
      </c>
      <c r="I427" s="23" t="inlineStr">
        <is>
          <t>Carried forward</t>
        </is>
      </c>
      <c r="J427" s="14" t="inlineStr">
        <is>
          <t>08 CROSSWALK</t>
        </is>
      </c>
    </row>
    <row r="428" ht="49" customHeight="1">
      <c r="A428" s="23" t="inlineStr">
        <is>
          <t>R1201-v2</t>
        </is>
      </c>
      <c r="B428" s="23" t="inlineStr">
        <is>
          <t>Cost &amp; Forecast Control Accounts / CST-02-039</t>
        </is>
      </c>
      <c r="C428" s="23" t="inlineStr">
        <is>
          <t>Cost Account = CA-2039; WBS Code = 1.2.1</t>
        </is>
      </c>
      <c r="D428" s="23" t="inlineStr">
        <is>
          <t>Proposed by Source assignment; target 1.2.1 Stations - Station Structures</t>
        </is>
      </c>
      <c r="E428" s="23" t="inlineStr">
        <is>
          <t>None recorded</t>
        </is>
      </c>
      <c r="F428" s="23" t="inlineStr">
        <is>
          <t>No individual professional decision recorded; Source assignment -- not individually reviewed</t>
        </is>
      </c>
      <c r="G428" s="23" t="inlineStr">
        <is>
          <t>Not individually decided</t>
        </is>
      </c>
      <c r="H428" s="23" t="inlineStr">
        <is>
          <t xml:space="preserve">RETAINED / ONE_TO_ONE; </t>
        </is>
      </c>
      <c r="I428" s="23" t="inlineStr">
        <is>
          <t>Carried forward</t>
        </is>
      </c>
      <c r="J428" s="14" t="inlineStr">
        <is>
          <t>08 CROSSWALK</t>
        </is>
      </c>
    </row>
    <row r="429" ht="49" customHeight="1">
      <c r="A429" s="23" t="inlineStr">
        <is>
          <t>R1203-v2</t>
        </is>
      </c>
      <c r="B429" s="23" t="inlineStr">
        <is>
          <t>Cost &amp; Forecast Control Accounts / CST-02-041</t>
        </is>
      </c>
      <c r="C429" s="23" t="inlineStr">
        <is>
          <t>Cost Account = CA-2041; WBS Code = 1.2.1</t>
        </is>
      </c>
      <c r="D429" s="23" t="inlineStr">
        <is>
          <t>Proposed by Source assignment; target 1.2.1 Stations - Station Structures</t>
        </is>
      </c>
      <c r="E429" s="23" t="inlineStr">
        <is>
          <t>None recorded</t>
        </is>
      </c>
      <c r="F429" s="23" t="inlineStr">
        <is>
          <t>No individual professional decision recorded; Source assignment -- not individually reviewed</t>
        </is>
      </c>
      <c r="G429" s="23" t="inlineStr">
        <is>
          <t>Not individually decided</t>
        </is>
      </c>
      <c r="H429" s="23" t="inlineStr">
        <is>
          <t xml:space="preserve">RETAINED / ONE_TO_ONE; </t>
        </is>
      </c>
      <c r="I429" s="23" t="inlineStr">
        <is>
          <t>Carried forward</t>
        </is>
      </c>
      <c r="J429" s="14" t="inlineStr">
        <is>
          <t>08 CROSSWALK</t>
        </is>
      </c>
    </row>
    <row r="430" ht="49" customHeight="1">
      <c r="A430" s="23" t="inlineStr">
        <is>
          <t>R1205-v2</t>
        </is>
      </c>
      <c r="B430" s="23" t="inlineStr">
        <is>
          <t>Cost &amp; Forecast Control Accounts / CST-02-043</t>
        </is>
      </c>
      <c r="C430" s="23" t="inlineStr">
        <is>
          <t>Cost Account = CA-2043; WBS Code = 1.2.1</t>
        </is>
      </c>
      <c r="D430" s="23" t="inlineStr">
        <is>
          <t>Proposed by Source assignment; target 1.2.1 Stations - Station Structures</t>
        </is>
      </c>
      <c r="E430" s="23" t="inlineStr">
        <is>
          <t>None recorded</t>
        </is>
      </c>
      <c r="F430" s="23" t="inlineStr">
        <is>
          <t>No individual professional decision recorded; Source assignment -- not individually reviewed</t>
        </is>
      </c>
      <c r="G430" s="23" t="inlineStr">
        <is>
          <t>Not individually decided</t>
        </is>
      </c>
      <c r="H430" s="23" t="inlineStr">
        <is>
          <t xml:space="preserve">RETAINED / ONE_TO_ONE; </t>
        </is>
      </c>
      <c r="I430" s="23" t="inlineStr">
        <is>
          <t>Carried forward</t>
        </is>
      </c>
      <c r="J430" s="14" t="inlineStr">
        <is>
          <t>08 CROSSWALK</t>
        </is>
      </c>
    </row>
    <row r="431" ht="49" customHeight="1">
      <c r="A431" s="23" t="inlineStr">
        <is>
          <t>R1207-v2</t>
        </is>
      </c>
      <c r="B431" s="23" t="inlineStr">
        <is>
          <t>Cost &amp; Forecast Control Accounts / CST-02-045</t>
        </is>
      </c>
      <c r="C431" s="23" t="inlineStr">
        <is>
          <t>Cost Account = CA-2045; WBS Code = 1.2.1</t>
        </is>
      </c>
      <c r="D431" s="23" t="inlineStr">
        <is>
          <t>Proposed by Source assignment; target 1.2.1 Stations - Station Structures</t>
        </is>
      </c>
      <c r="E431" s="23" t="inlineStr">
        <is>
          <t>None recorded</t>
        </is>
      </c>
      <c r="F431" s="23" t="inlineStr">
        <is>
          <t>No individual professional decision recorded; Source assignment -- not individually reviewed</t>
        </is>
      </c>
      <c r="G431" s="23" t="inlineStr">
        <is>
          <t>Not individually decided</t>
        </is>
      </c>
      <c r="H431" s="23" t="inlineStr">
        <is>
          <t xml:space="preserve">RETAINED / ONE_TO_ONE; </t>
        </is>
      </c>
      <c r="I431" s="23" t="inlineStr">
        <is>
          <t>Carried forward</t>
        </is>
      </c>
      <c r="J431" s="14" t="inlineStr">
        <is>
          <t>08 CROSSWALK</t>
        </is>
      </c>
    </row>
    <row r="432" ht="49" customHeight="1">
      <c r="A432" s="23" t="inlineStr">
        <is>
          <t>R1209-v2</t>
        </is>
      </c>
      <c r="B432" s="23" t="inlineStr">
        <is>
          <t>Cost &amp; Forecast Control Accounts / CST-02-047</t>
        </is>
      </c>
      <c r="C432" s="23" t="inlineStr">
        <is>
          <t>Cost Account = CA-2047; WBS Code = 1.2.1</t>
        </is>
      </c>
      <c r="D432" s="23" t="inlineStr">
        <is>
          <t>Proposed by Source assignment; target 1.2.1 Stations - Station Structures</t>
        </is>
      </c>
      <c r="E432" s="23" t="inlineStr">
        <is>
          <t>None recorded</t>
        </is>
      </c>
      <c r="F432" s="23" t="inlineStr">
        <is>
          <t>No individual professional decision recorded; Source assignment -- not individually reviewed</t>
        </is>
      </c>
      <c r="G432" s="23" t="inlineStr">
        <is>
          <t>Not individually decided</t>
        </is>
      </c>
      <c r="H432" s="23" t="inlineStr">
        <is>
          <t xml:space="preserve">RETAINED / ONE_TO_ONE; </t>
        </is>
      </c>
      <c r="I432" s="23" t="inlineStr">
        <is>
          <t>Carried forward</t>
        </is>
      </c>
      <c r="J432" s="14" t="inlineStr">
        <is>
          <t>08 CROSSWALK</t>
        </is>
      </c>
    </row>
    <row r="433" ht="49" customHeight="1">
      <c r="A433" s="23" t="inlineStr">
        <is>
          <t>R1211-v2</t>
        </is>
      </c>
      <c r="B433" s="23" t="inlineStr">
        <is>
          <t>Cost &amp; Forecast Control Accounts / CST-02-049</t>
        </is>
      </c>
      <c r="C433" s="23" t="inlineStr">
        <is>
          <t>Cost Account = CA-2049; WBS Code = 1.2.1</t>
        </is>
      </c>
      <c r="D433" s="23" t="inlineStr">
        <is>
          <t>Proposed by Source assignment; target 1.2.1 Stations - Station Structures</t>
        </is>
      </c>
      <c r="E433" s="23" t="inlineStr">
        <is>
          <t>None recorded</t>
        </is>
      </c>
      <c r="F433" s="23" t="inlineStr">
        <is>
          <t>No individual professional decision recorded; Source assignment -- not individually reviewed</t>
        </is>
      </c>
      <c r="G433" s="23" t="inlineStr">
        <is>
          <t>Not individually decided</t>
        </is>
      </c>
      <c r="H433" s="23" t="inlineStr">
        <is>
          <t xml:space="preserve">RETAINED / ONE_TO_ONE; </t>
        </is>
      </c>
      <c r="I433" s="23" t="inlineStr">
        <is>
          <t>Carried forward</t>
        </is>
      </c>
      <c r="J433" s="14" t="inlineStr">
        <is>
          <t>08 CROSSWALK</t>
        </is>
      </c>
    </row>
    <row r="434" ht="49" customHeight="1">
      <c r="A434" s="23" t="inlineStr">
        <is>
          <t>R1213-v2</t>
        </is>
      </c>
      <c r="B434" s="23" t="inlineStr">
        <is>
          <t>Cost &amp; Forecast Control Accounts / CST-02-051</t>
        </is>
      </c>
      <c r="C434" s="23" t="inlineStr">
        <is>
          <t>Cost Account = CA-2051; WBS Code = 1.2.1</t>
        </is>
      </c>
      <c r="D434" s="23" t="inlineStr">
        <is>
          <t>Proposed by Source assignment; target 1.2.1 Stations - Station Structures</t>
        </is>
      </c>
      <c r="E434" s="23" t="inlineStr">
        <is>
          <t>None recorded</t>
        </is>
      </c>
      <c r="F434" s="23" t="inlineStr">
        <is>
          <t>No individual professional decision recorded; Source assignment -- not individually reviewed</t>
        </is>
      </c>
      <c r="G434" s="23" t="inlineStr">
        <is>
          <t>Not individually decided</t>
        </is>
      </c>
      <c r="H434" s="23" t="inlineStr">
        <is>
          <t xml:space="preserve">RETAINED / ONE_TO_ONE; </t>
        </is>
      </c>
      <c r="I434" s="23" t="inlineStr">
        <is>
          <t>Carried forward</t>
        </is>
      </c>
      <c r="J434" s="14" t="inlineStr">
        <is>
          <t>08 CROSSWALK</t>
        </is>
      </c>
    </row>
    <row r="435" ht="49" customHeight="1">
      <c r="A435" s="23" t="inlineStr">
        <is>
          <t>R1215-v2</t>
        </is>
      </c>
      <c r="B435" s="23" t="inlineStr">
        <is>
          <t>Cost &amp; Forecast Control Accounts / CST-02-053</t>
        </is>
      </c>
      <c r="C435" s="23" t="inlineStr">
        <is>
          <t>Cost Account = CA-2053; WBS Code = 1.2.1</t>
        </is>
      </c>
      <c r="D435" s="23" t="inlineStr">
        <is>
          <t>Proposed by Source assignment; target 1.2.1 Stations - Station Structures</t>
        </is>
      </c>
      <c r="E435" s="23" t="inlineStr">
        <is>
          <t>None recorded</t>
        </is>
      </c>
      <c r="F435" s="23" t="inlineStr">
        <is>
          <t>No individual professional decision recorded; Source assignment -- not individually reviewed</t>
        </is>
      </c>
      <c r="G435" s="23" t="inlineStr">
        <is>
          <t>Not individually decided</t>
        </is>
      </c>
      <c r="H435" s="23" t="inlineStr">
        <is>
          <t xml:space="preserve">RETAINED / ONE_TO_ONE; </t>
        </is>
      </c>
      <c r="I435" s="23" t="inlineStr">
        <is>
          <t>Carried forward</t>
        </is>
      </c>
      <c r="J435" s="14" t="inlineStr">
        <is>
          <t>08 CROSSWALK</t>
        </is>
      </c>
    </row>
    <row r="436" ht="49" customHeight="1">
      <c r="A436" s="23" t="inlineStr">
        <is>
          <t>R1217-v2</t>
        </is>
      </c>
      <c r="B436" s="23" t="inlineStr">
        <is>
          <t>Cost &amp; Forecast Control Accounts / CST-02-055</t>
        </is>
      </c>
      <c r="C436" s="23" t="inlineStr">
        <is>
          <t>Cost Account = CA-2055; WBS Code = 1.2.1</t>
        </is>
      </c>
      <c r="D436" s="23" t="inlineStr">
        <is>
          <t>Proposed by Source assignment; target 1.2.1 Stations - Station Structures</t>
        </is>
      </c>
      <c r="E436" s="23" t="inlineStr">
        <is>
          <t>None recorded</t>
        </is>
      </c>
      <c r="F436" s="23" t="inlineStr">
        <is>
          <t>No individual professional decision recorded; Source assignment -- not individually reviewed</t>
        </is>
      </c>
      <c r="G436" s="23" t="inlineStr">
        <is>
          <t>Not individually decided</t>
        </is>
      </c>
      <c r="H436" s="23" t="inlineStr">
        <is>
          <t xml:space="preserve">RETAINED / ONE_TO_ONE; </t>
        </is>
      </c>
      <c r="I436" s="23" t="inlineStr">
        <is>
          <t>Carried forward</t>
        </is>
      </c>
      <c r="J436" s="14" t="inlineStr">
        <is>
          <t>08 CROSSWALK</t>
        </is>
      </c>
    </row>
    <row r="437" ht="49" customHeight="1">
      <c r="A437" s="23" t="inlineStr">
        <is>
          <t>R1219-v2</t>
        </is>
      </c>
      <c r="B437" s="23" t="inlineStr">
        <is>
          <t>Cost &amp; Forecast Control Accounts / CST-02-057</t>
        </is>
      </c>
      <c r="C437" s="23" t="inlineStr">
        <is>
          <t>Cost Account = CA-2057; WBS Code = 1.2.1</t>
        </is>
      </c>
      <c r="D437" s="23" t="inlineStr">
        <is>
          <t>Proposed by Source assignment; target 1.2.1 Stations - Station Structures</t>
        </is>
      </c>
      <c r="E437" s="23" t="inlineStr">
        <is>
          <t>None recorded</t>
        </is>
      </c>
      <c r="F437" s="23" t="inlineStr">
        <is>
          <t>No individual professional decision recorded; Source assignment -- not individually reviewed</t>
        </is>
      </c>
      <c r="G437" s="23" t="inlineStr">
        <is>
          <t>Not individually decided</t>
        </is>
      </c>
      <c r="H437" s="23" t="inlineStr">
        <is>
          <t xml:space="preserve">RETAINED / ONE_TO_ONE; </t>
        </is>
      </c>
      <c r="I437" s="23" t="inlineStr">
        <is>
          <t>Carried forward</t>
        </is>
      </c>
      <c r="J437" s="14" t="inlineStr">
        <is>
          <t>08 CROSSWALK</t>
        </is>
      </c>
    </row>
    <row r="438" ht="49" customHeight="1">
      <c r="A438" s="23" t="inlineStr">
        <is>
          <t>R1221-v2</t>
        </is>
      </c>
      <c r="B438" s="23" t="inlineStr">
        <is>
          <t>Cost &amp; Forecast Control Accounts / CST-02-059</t>
        </is>
      </c>
      <c r="C438" s="23" t="inlineStr">
        <is>
          <t>Cost Account = CA-2059; WBS Code = 1.2.1</t>
        </is>
      </c>
      <c r="D438" s="23" t="inlineStr">
        <is>
          <t>Proposed by Source assignment; target 1.2.1 Stations - Station Structures</t>
        </is>
      </c>
      <c r="E438" s="23" t="inlineStr">
        <is>
          <t>None recorded</t>
        </is>
      </c>
      <c r="F438" s="23" t="inlineStr">
        <is>
          <t>No individual professional decision recorded; Source assignment -- not individually reviewed</t>
        </is>
      </c>
      <c r="G438" s="23" t="inlineStr">
        <is>
          <t>Not individually decided</t>
        </is>
      </c>
      <c r="H438" s="23" t="inlineStr">
        <is>
          <t xml:space="preserve">RETAINED / ONE_TO_ONE; </t>
        </is>
      </c>
      <c r="I438" s="23" t="inlineStr">
        <is>
          <t>Carried forward</t>
        </is>
      </c>
      <c r="J438" s="14" t="inlineStr">
        <is>
          <t>08 CROSSWALK</t>
        </is>
      </c>
    </row>
    <row r="439" ht="49" customHeight="1">
      <c r="A439" s="23" t="inlineStr">
        <is>
          <t>R1223-v2</t>
        </is>
      </c>
      <c r="B439" s="23" t="inlineStr">
        <is>
          <t>Cost &amp; Forecast Control Accounts / CST-02-061</t>
        </is>
      </c>
      <c r="C439" s="23" t="inlineStr">
        <is>
          <t>Cost Account = CA-2061; WBS Code = 1.2.1</t>
        </is>
      </c>
      <c r="D439" s="23" t="inlineStr">
        <is>
          <t>Proposed by Source assignment; target 1.2.1 Stations - Station Structures</t>
        </is>
      </c>
      <c r="E439" s="23" t="inlineStr">
        <is>
          <t>None recorded</t>
        </is>
      </c>
      <c r="F439" s="23" t="inlineStr">
        <is>
          <t>No individual professional decision recorded; Source assignment -- not individually reviewed</t>
        </is>
      </c>
      <c r="G439" s="23" t="inlineStr">
        <is>
          <t>Not individually decided</t>
        </is>
      </c>
      <c r="H439" s="23" t="inlineStr">
        <is>
          <t xml:space="preserve">RETAINED / ONE_TO_ONE; </t>
        </is>
      </c>
      <c r="I439" s="23" t="inlineStr">
        <is>
          <t>Carried forward</t>
        </is>
      </c>
      <c r="J439" s="14" t="inlineStr">
        <is>
          <t>08 CROSSWALK</t>
        </is>
      </c>
    </row>
    <row r="440" ht="49" customHeight="1">
      <c r="A440" s="23" t="inlineStr">
        <is>
          <t>R1225-v2</t>
        </is>
      </c>
      <c r="B440" s="23" t="inlineStr">
        <is>
          <t>Cost &amp; Forecast Control Accounts / CST-02-063</t>
        </is>
      </c>
      <c r="C440" s="23" t="inlineStr">
        <is>
          <t>Cost Account = CA-2063; WBS Code = 1.2.1</t>
        </is>
      </c>
      <c r="D440" s="23" t="inlineStr">
        <is>
          <t>Proposed by Source assignment; target 1.2.1 Stations - Station Structures</t>
        </is>
      </c>
      <c r="E440" s="23" t="inlineStr">
        <is>
          <t>None recorded</t>
        </is>
      </c>
      <c r="F440" s="23" t="inlineStr">
        <is>
          <t>No individual professional decision recorded; Source assignment -- not individually reviewed</t>
        </is>
      </c>
      <c r="G440" s="23" t="inlineStr">
        <is>
          <t>Not individually decided</t>
        </is>
      </c>
      <c r="H440" s="23" t="inlineStr">
        <is>
          <t xml:space="preserve">RETAINED / ONE_TO_ONE; </t>
        </is>
      </c>
      <c r="I440" s="23" t="inlineStr">
        <is>
          <t>Carried forward</t>
        </is>
      </c>
      <c r="J440" s="14" t="inlineStr">
        <is>
          <t>08 CROSSWALK</t>
        </is>
      </c>
    </row>
    <row r="441" ht="49" customHeight="1">
      <c r="A441" s="23" t="inlineStr">
        <is>
          <t>R1227-v2</t>
        </is>
      </c>
      <c r="B441" s="23" t="inlineStr">
        <is>
          <t>Cost &amp; Forecast Control Accounts / CST-02-065</t>
        </is>
      </c>
      <c r="C441" s="23" t="inlineStr">
        <is>
          <t>Cost Account = CA-2065; WBS Code = 1.2.1</t>
        </is>
      </c>
      <c r="D441" s="23" t="inlineStr">
        <is>
          <t>Proposed by Source assignment; target 1.2.1 Stations - Station Structures</t>
        </is>
      </c>
      <c r="E441" s="23" t="inlineStr">
        <is>
          <t>None recorded</t>
        </is>
      </c>
      <c r="F441" s="23" t="inlineStr">
        <is>
          <t>No individual professional decision recorded; Source assignment -- not individually reviewed</t>
        </is>
      </c>
      <c r="G441" s="23" t="inlineStr">
        <is>
          <t>Not individually decided</t>
        </is>
      </c>
      <c r="H441" s="23" t="inlineStr">
        <is>
          <t xml:space="preserve">RETAINED / ONE_TO_ONE; </t>
        </is>
      </c>
      <c r="I441" s="23" t="inlineStr">
        <is>
          <t>Carried forward</t>
        </is>
      </c>
      <c r="J441" s="14" t="inlineStr">
        <is>
          <t>08 CROSSWALK</t>
        </is>
      </c>
    </row>
    <row r="442" ht="49" customHeight="1">
      <c r="A442" s="23" t="inlineStr">
        <is>
          <t>R1229-v2</t>
        </is>
      </c>
      <c r="B442" s="23" t="inlineStr">
        <is>
          <t>Cost &amp; Forecast Control Accounts / CST-02-067</t>
        </is>
      </c>
      <c r="C442" s="23" t="inlineStr">
        <is>
          <t>Cost Account = CA-2067; WBS Code = 1.2.1</t>
        </is>
      </c>
      <c r="D442" s="23" t="inlineStr">
        <is>
          <t>Proposed by Source assignment; target 1.2.1 Stations - Station Structures</t>
        </is>
      </c>
      <c r="E442" s="23" t="inlineStr">
        <is>
          <t>None recorded</t>
        </is>
      </c>
      <c r="F442" s="23" t="inlineStr">
        <is>
          <t>No individual professional decision recorded; Source assignment -- not individually reviewed</t>
        </is>
      </c>
      <c r="G442" s="23" t="inlineStr">
        <is>
          <t>Not individually decided</t>
        </is>
      </c>
      <c r="H442" s="23" t="inlineStr">
        <is>
          <t xml:space="preserve">RETAINED / ONE_TO_ONE; </t>
        </is>
      </c>
      <c r="I442" s="23" t="inlineStr">
        <is>
          <t>Carried forward</t>
        </is>
      </c>
      <c r="J442" s="14" t="inlineStr">
        <is>
          <t>08 CROSSWALK</t>
        </is>
      </c>
    </row>
    <row r="443" ht="49" customHeight="1">
      <c r="A443" s="23" t="inlineStr">
        <is>
          <t>R1231-v2</t>
        </is>
      </c>
      <c r="B443" s="23" t="inlineStr">
        <is>
          <t>Cost &amp; Forecast Control Accounts / CST-02-069</t>
        </is>
      </c>
      <c r="C443" s="23" t="inlineStr">
        <is>
          <t>Cost Account = CA-2069; WBS Code = 1.2.1</t>
        </is>
      </c>
      <c r="D443" s="23" t="inlineStr">
        <is>
          <t>Proposed by Source assignment; target 1.2.1 Stations - Station Structures</t>
        </is>
      </c>
      <c r="E443" s="23" t="inlineStr">
        <is>
          <t>None recorded</t>
        </is>
      </c>
      <c r="F443" s="23" t="inlineStr">
        <is>
          <t>No individual professional decision recorded; Source assignment -- not individually reviewed</t>
        </is>
      </c>
      <c r="G443" s="23" t="inlineStr">
        <is>
          <t>Not individually decided</t>
        </is>
      </c>
      <c r="H443" s="23" t="inlineStr">
        <is>
          <t xml:space="preserve">RETAINED / ONE_TO_ONE; </t>
        </is>
      </c>
      <c r="I443" s="23" t="inlineStr">
        <is>
          <t>Carried forward</t>
        </is>
      </c>
      <c r="J443" s="14" t="inlineStr">
        <is>
          <t>08 CROSSWALK</t>
        </is>
      </c>
    </row>
    <row r="444" ht="49" customHeight="1">
      <c r="A444" s="23" t="inlineStr">
        <is>
          <t>R1233-v2</t>
        </is>
      </c>
      <c r="B444" s="23" t="inlineStr">
        <is>
          <t>Cost &amp; Forecast Control Accounts / CST-02-071</t>
        </is>
      </c>
      <c r="C444" s="23" t="inlineStr">
        <is>
          <t>Cost Account = CA-2071; WBS Code = 1.2.1</t>
        </is>
      </c>
      <c r="D444" s="23" t="inlineStr">
        <is>
          <t>Proposed by Source assignment; target 1.2.1 Stations - Station Structures</t>
        </is>
      </c>
      <c r="E444" s="23" t="inlineStr">
        <is>
          <t>None recorded</t>
        </is>
      </c>
      <c r="F444" s="23" t="inlineStr">
        <is>
          <t>No individual professional decision recorded; Source assignment -- not individually reviewed</t>
        </is>
      </c>
      <c r="G444" s="23" t="inlineStr">
        <is>
          <t>Not individually decided</t>
        </is>
      </c>
      <c r="H444" s="23" t="inlineStr">
        <is>
          <t xml:space="preserve">RETAINED / ONE_TO_ONE; </t>
        </is>
      </c>
      <c r="I444" s="23" t="inlineStr">
        <is>
          <t>Carried forward</t>
        </is>
      </c>
      <c r="J444" s="14" t="inlineStr">
        <is>
          <t>08 CROSSWALK</t>
        </is>
      </c>
    </row>
    <row r="445" ht="49" customHeight="1">
      <c r="A445" s="23" t="inlineStr">
        <is>
          <t>R1235-v2</t>
        </is>
      </c>
      <c r="B445" s="23" t="inlineStr">
        <is>
          <t>Cost &amp; Forecast Control Accounts / CST-02-073</t>
        </is>
      </c>
      <c r="C445" s="23" t="inlineStr">
        <is>
          <t>Cost Account = CA-2073; WBS Code = 1.2.1</t>
        </is>
      </c>
      <c r="D445" s="23" t="inlineStr">
        <is>
          <t>Proposed by Source assignment; target 1.2.1 Stations - Station Structures</t>
        </is>
      </c>
      <c r="E445" s="23" t="inlineStr">
        <is>
          <t>None recorded</t>
        </is>
      </c>
      <c r="F445" s="23" t="inlineStr">
        <is>
          <t>No individual professional decision recorded; Source assignment -- not individually reviewed</t>
        </is>
      </c>
      <c r="G445" s="23" t="inlineStr">
        <is>
          <t>Not individually decided</t>
        </is>
      </c>
      <c r="H445" s="23" t="inlineStr">
        <is>
          <t xml:space="preserve">RETAINED / ONE_TO_ONE; </t>
        </is>
      </c>
      <c r="I445" s="23" t="inlineStr">
        <is>
          <t>Carried forward</t>
        </is>
      </c>
      <c r="J445" s="14" t="inlineStr">
        <is>
          <t>08 CROSSWALK</t>
        </is>
      </c>
    </row>
    <row r="446" ht="49" customHeight="1">
      <c r="A446" s="23" t="inlineStr">
        <is>
          <t>R1237-v2</t>
        </is>
      </c>
      <c r="B446" s="23" t="inlineStr">
        <is>
          <t>Cost &amp; Forecast Control Accounts / CST-02-075</t>
        </is>
      </c>
      <c r="C446" s="23" t="inlineStr">
        <is>
          <t>Cost Account = CA-2075; WBS Code = 1.2.1</t>
        </is>
      </c>
      <c r="D446" s="23" t="inlineStr">
        <is>
          <t>Proposed by Source assignment; target 1.2.1 Stations - Station Structures</t>
        </is>
      </c>
      <c r="E446" s="23" t="inlineStr">
        <is>
          <t>None recorded</t>
        </is>
      </c>
      <c r="F446" s="23" t="inlineStr">
        <is>
          <t>No individual professional decision recorded; Source assignment -- not individually reviewed</t>
        </is>
      </c>
      <c r="G446" s="23" t="inlineStr">
        <is>
          <t>Not individually decided</t>
        </is>
      </c>
      <c r="H446" s="23" t="inlineStr">
        <is>
          <t xml:space="preserve">RETAINED / ONE_TO_ONE; </t>
        </is>
      </c>
      <c r="I446" s="23" t="inlineStr">
        <is>
          <t>Carried forward</t>
        </is>
      </c>
      <c r="J446" s="14" t="inlineStr">
        <is>
          <t>08 CROSSWALK</t>
        </is>
      </c>
    </row>
    <row r="447" ht="49" customHeight="1">
      <c r="A447" s="23" t="inlineStr">
        <is>
          <t>R1239-v2</t>
        </is>
      </c>
      <c r="B447" s="23" t="inlineStr">
        <is>
          <t>Cost &amp; Forecast Control Accounts / CST-02-077</t>
        </is>
      </c>
      <c r="C447" s="23" t="inlineStr">
        <is>
          <t>Cost Account = CA-2077; WBS Code = 1.2.1</t>
        </is>
      </c>
      <c r="D447" s="23" t="inlineStr">
        <is>
          <t>Proposed by Source assignment; target 1.2.1 Stations - Station Structures</t>
        </is>
      </c>
      <c r="E447" s="23" t="inlineStr">
        <is>
          <t>None recorded</t>
        </is>
      </c>
      <c r="F447" s="23" t="inlineStr">
        <is>
          <t>No individual professional decision recorded; Source assignment -- not individually reviewed</t>
        </is>
      </c>
      <c r="G447" s="23" t="inlineStr">
        <is>
          <t>Not individually decided</t>
        </is>
      </c>
      <c r="H447" s="23" t="inlineStr">
        <is>
          <t xml:space="preserve">RETAINED / ONE_TO_ONE; </t>
        </is>
      </c>
      <c r="I447" s="23" t="inlineStr">
        <is>
          <t>Carried forward</t>
        </is>
      </c>
      <c r="J447" s="14" t="inlineStr">
        <is>
          <t>08 CROSSWALK</t>
        </is>
      </c>
    </row>
    <row r="448" ht="49" customHeight="1">
      <c r="A448" s="23" t="inlineStr">
        <is>
          <t>R1241-v2</t>
        </is>
      </c>
      <c r="B448" s="23" t="inlineStr">
        <is>
          <t>Cost &amp; Forecast Control Accounts / CST-02-079</t>
        </is>
      </c>
      <c r="C448" s="23" t="inlineStr">
        <is>
          <t>Cost Account = CA-2079; WBS Code = 1.2.1</t>
        </is>
      </c>
      <c r="D448" s="23" t="inlineStr">
        <is>
          <t>Proposed by Source assignment; target 1.2.1 Stations - Station Structures</t>
        </is>
      </c>
      <c r="E448" s="23" t="inlineStr">
        <is>
          <t>None recorded</t>
        </is>
      </c>
      <c r="F448" s="23" t="inlineStr">
        <is>
          <t>No individual professional decision recorded; Source assignment -- not individually reviewed</t>
        </is>
      </c>
      <c r="G448" s="23" t="inlineStr">
        <is>
          <t>Not individually decided</t>
        </is>
      </c>
      <c r="H448" s="23" t="inlineStr">
        <is>
          <t xml:space="preserve">RETAINED / ONE_TO_ONE; </t>
        </is>
      </c>
      <c r="I448" s="23" t="inlineStr">
        <is>
          <t>Carried forward</t>
        </is>
      </c>
      <c r="J448" s="14" t="inlineStr">
        <is>
          <t>08 CROSSWALK</t>
        </is>
      </c>
    </row>
    <row r="449" ht="64" customHeight="1">
      <c r="A449" s="23" t="inlineStr">
        <is>
          <t>R183-v4</t>
        </is>
      </c>
      <c r="B449" s="23" t="inlineStr">
        <is>
          <t>Contractor Programme / SCH-02-003</t>
        </is>
      </c>
      <c r="C449" s="23" t="inlineStr">
        <is>
          <t>WBS Code = 1.2.2</t>
        </is>
      </c>
      <c r="D449" s="23" t="inlineStr">
        <is>
          <t>Proposed by Source assignment; target 1.2.2 Stations - Architectural Fit-Out</t>
        </is>
      </c>
      <c r="E449" s="23" t="inlineStr">
        <is>
          <t>None recorded</t>
        </is>
      </c>
      <c r="F449" s="23" t="inlineStr">
        <is>
          <t>Maya Chen, Owner Project Controls: Professional decision</t>
        </is>
      </c>
      <c r="G449" s="23" t="inlineStr">
        <is>
          <t>Individual</t>
        </is>
      </c>
      <c r="H449" s="23" t="inlineStr">
        <is>
          <t xml:space="preserve">APPROVED / ONE_TO_ONE; </t>
        </is>
      </c>
      <c r="I449" s="23" t="inlineStr">
        <is>
          <t>New; 'WBS Code' changed from (blank) to 1.2.2; 'WBS Code' changed from (blank) to 1.2.2; 'WBS Code' changed from (blank) to 1.2.2</t>
        </is>
      </c>
      <c r="J449" s="14" t="inlineStr">
        <is>
          <t>08 CROSSWALK</t>
        </is>
      </c>
    </row>
    <row r="450" ht="49" customHeight="1">
      <c r="A450" s="23" t="inlineStr">
        <is>
          <t>R186-v2</t>
        </is>
      </c>
      <c r="B450" s="23" t="inlineStr">
        <is>
          <t>Contractor Programme / SCH-02-006</t>
        </is>
      </c>
      <c r="C450" s="23" t="inlineStr">
        <is>
          <t>WBS Code = 1.2.2</t>
        </is>
      </c>
      <c r="D450" s="23" t="inlineStr">
        <is>
          <t>Proposed by Source assignment; target 1.2.2 Stations - Architectural Fit-Out</t>
        </is>
      </c>
      <c r="E450" s="23" t="inlineStr">
        <is>
          <t>None recorded</t>
        </is>
      </c>
      <c r="F450" s="23" t="inlineStr">
        <is>
          <t>No individual professional decision recorded; Source assignment -- not individually reviewed</t>
        </is>
      </c>
      <c r="G450" s="23" t="inlineStr">
        <is>
          <t>Not individually decided</t>
        </is>
      </c>
      <c r="H450" s="23" t="inlineStr">
        <is>
          <t xml:space="preserve">RETAINED / ONE_TO_ONE; </t>
        </is>
      </c>
      <c r="I450" s="23" t="inlineStr">
        <is>
          <t>Carried forward</t>
        </is>
      </c>
      <c r="J450" s="14" t="inlineStr">
        <is>
          <t>08 CROSSWALK</t>
        </is>
      </c>
    </row>
    <row r="451" ht="49" customHeight="1">
      <c r="A451" s="23" t="inlineStr">
        <is>
          <t>R189-v2</t>
        </is>
      </c>
      <c r="B451" s="23" t="inlineStr">
        <is>
          <t>Contractor Programme / SCH-02-009</t>
        </is>
      </c>
      <c r="C451" s="23" t="inlineStr">
        <is>
          <t>WBS Code = 1.2.2</t>
        </is>
      </c>
      <c r="D451" s="23" t="inlineStr">
        <is>
          <t>Proposed by Source assignment; target 1.2.2 Stations - Architectural Fit-Out</t>
        </is>
      </c>
      <c r="E451" s="23" t="inlineStr">
        <is>
          <t>None recorded</t>
        </is>
      </c>
      <c r="F451" s="23" t="inlineStr">
        <is>
          <t>No individual professional decision recorded; Source assignment -- not individually reviewed</t>
        </is>
      </c>
      <c r="G451" s="23" t="inlineStr">
        <is>
          <t>Not individually decided</t>
        </is>
      </c>
      <c r="H451" s="23" t="inlineStr">
        <is>
          <t xml:space="preserve">RETAINED / ONE_TO_ONE; </t>
        </is>
      </c>
      <c r="I451" s="23" t="inlineStr">
        <is>
          <t>Carried forward</t>
        </is>
      </c>
      <c r="J451" s="14" t="inlineStr">
        <is>
          <t>08 CROSSWALK</t>
        </is>
      </c>
    </row>
    <row r="452" ht="49" customHeight="1">
      <c r="A452" s="23" t="inlineStr">
        <is>
          <t>R192-v2</t>
        </is>
      </c>
      <c r="B452" s="23" t="inlineStr">
        <is>
          <t>Contractor Programme / SCH-02-012</t>
        </is>
      </c>
      <c r="C452" s="23" t="inlineStr">
        <is>
          <t>WBS Code = 1.2.2</t>
        </is>
      </c>
      <c r="D452" s="23" t="inlineStr">
        <is>
          <t>Proposed by Source assignment; target 1.2.2 Stations - Architectural Fit-Out</t>
        </is>
      </c>
      <c r="E452" s="23" t="inlineStr">
        <is>
          <t>None recorded</t>
        </is>
      </c>
      <c r="F452" s="23" t="inlineStr">
        <is>
          <t>No individual professional decision recorded; Source assignment -- not individually reviewed</t>
        </is>
      </c>
      <c r="G452" s="23" t="inlineStr">
        <is>
          <t>Not individually decided</t>
        </is>
      </c>
      <c r="H452" s="23" t="inlineStr">
        <is>
          <t xml:space="preserve">RETAINED / ONE_TO_ONE; </t>
        </is>
      </c>
      <c r="I452" s="23" t="inlineStr">
        <is>
          <t>Carried forward</t>
        </is>
      </c>
      <c r="J452" s="14" t="inlineStr">
        <is>
          <t>08 CROSSWALK</t>
        </is>
      </c>
    </row>
    <row r="453" ht="49" customHeight="1">
      <c r="A453" s="23" t="inlineStr">
        <is>
          <t>R195-v2</t>
        </is>
      </c>
      <c r="B453" s="23" t="inlineStr">
        <is>
          <t>Contractor Programme / SCH-02-015</t>
        </is>
      </c>
      <c r="C453" s="23" t="inlineStr">
        <is>
          <t>WBS Code = 1.2.2</t>
        </is>
      </c>
      <c r="D453" s="23" t="inlineStr">
        <is>
          <t>Proposed by Source assignment; target 1.2.2 Stations - Architectural Fit-Out</t>
        </is>
      </c>
      <c r="E453" s="23" t="inlineStr">
        <is>
          <t>None recorded</t>
        </is>
      </c>
      <c r="F453" s="23" t="inlineStr">
        <is>
          <t>No individual professional decision recorded; Source assignment -- not individually reviewed</t>
        </is>
      </c>
      <c r="G453" s="23" t="inlineStr">
        <is>
          <t>Not individually decided</t>
        </is>
      </c>
      <c r="H453" s="23" t="inlineStr">
        <is>
          <t xml:space="preserve">RETAINED / ONE_TO_ONE; </t>
        </is>
      </c>
      <c r="I453" s="23" t="inlineStr">
        <is>
          <t>Carried forward</t>
        </is>
      </c>
      <c r="J453" s="14" t="inlineStr">
        <is>
          <t>08 CROSSWALK</t>
        </is>
      </c>
    </row>
    <row r="454" ht="49" customHeight="1">
      <c r="A454" s="23" t="inlineStr">
        <is>
          <t>R198-v2</t>
        </is>
      </c>
      <c r="B454" s="23" t="inlineStr">
        <is>
          <t>Contractor Programme / SCH-02-018</t>
        </is>
      </c>
      <c r="C454" s="23" t="inlineStr">
        <is>
          <t>WBS Code = 1.2.2</t>
        </is>
      </c>
      <c r="D454" s="23" t="inlineStr">
        <is>
          <t>Proposed by Source assignment; target 1.2.2 Stations - Architectural Fit-Out</t>
        </is>
      </c>
      <c r="E454" s="23" t="inlineStr">
        <is>
          <t>None recorded</t>
        </is>
      </c>
      <c r="F454" s="23" t="inlineStr">
        <is>
          <t>No individual professional decision recorded; Source assignment -- not individually reviewed</t>
        </is>
      </c>
      <c r="G454" s="23" t="inlineStr">
        <is>
          <t>Not individually decided</t>
        </is>
      </c>
      <c r="H454" s="23" t="inlineStr">
        <is>
          <t xml:space="preserve">RETAINED / ONE_TO_ONE; </t>
        </is>
      </c>
      <c r="I454" s="23" t="inlineStr">
        <is>
          <t>Carried forward</t>
        </is>
      </c>
      <c r="J454" s="14" t="inlineStr">
        <is>
          <t>08 CROSSWALK</t>
        </is>
      </c>
    </row>
    <row r="455" ht="49" customHeight="1">
      <c r="A455" s="23" t="inlineStr">
        <is>
          <t>R201-v2</t>
        </is>
      </c>
      <c r="B455" s="23" t="inlineStr">
        <is>
          <t>Contractor Programme / SCH-02-021</t>
        </is>
      </c>
      <c r="C455" s="23" t="inlineStr">
        <is>
          <t>WBS Code = 1.2.2</t>
        </is>
      </c>
      <c r="D455" s="23" t="inlineStr">
        <is>
          <t>Proposed by Source assignment; target 1.2.2 Stations - Architectural Fit-Out</t>
        </is>
      </c>
      <c r="E455" s="23" t="inlineStr">
        <is>
          <t>None recorded</t>
        </is>
      </c>
      <c r="F455" s="23" t="inlineStr">
        <is>
          <t>No individual professional decision recorded; Source assignment -- not individually reviewed</t>
        </is>
      </c>
      <c r="G455" s="23" t="inlineStr">
        <is>
          <t>Not individually decided</t>
        </is>
      </c>
      <c r="H455" s="23" t="inlineStr">
        <is>
          <t xml:space="preserve">RETAINED / ONE_TO_ONE; </t>
        </is>
      </c>
      <c r="I455" s="23" t="inlineStr">
        <is>
          <t>Carried forward</t>
        </is>
      </c>
      <c r="J455" s="14" t="inlineStr">
        <is>
          <t>08 CROSSWALK</t>
        </is>
      </c>
    </row>
    <row r="456" ht="49" customHeight="1">
      <c r="A456" s="23" t="inlineStr">
        <is>
          <t>R204-v2</t>
        </is>
      </c>
      <c r="B456" s="23" t="inlineStr">
        <is>
          <t>Contractor Programme / SCH-02-024</t>
        </is>
      </c>
      <c r="C456" s="23" t="inlineStr">
        <is>
          <t>WBS Code = 1.2.2</t>
        </is>
      </c>
      <c r="D456" s="23" t="inlineStr">
        <is>
          <t>Proposed by Source assignment; target 1.2.2 Stations - Architectural Fit-Out</t>
        </is>
      </c>
      <c r="E456" s="23" t="inlineStr">
        <is>
          <t>None recorded</t>
        </is>
      </c>
      <c r="F456" s="23" t="inlineStr">
        <is>
          <t>No individual professional decision recorded; Source assignment -- not individually reviewed</t>
        </is>
      </c>
      <c r="G456" s="23" t="inlineStr">
        <is>
          <t>Not individually decided</t>
        </is>
      </c>
      <c r="H456" s="23" t="inlineStr">
        <is>
          <t xml:space="preserve">RETAINED / ONE_TO_ONE; </t>
        </is>
      </c>
      <c r="I456" s="23" t="inlineStr">
        <is>
          <t>Carried forward</t>
        </is>
      </c>
      <c r="J456" s="14" t="inlineStr">
        <is>
          <t>08 CROSSWALK</t>
        </is>
      </c>
    </row>
    <row r="457" ht="49" customHeight="1">
      <c r="A457" s="23" t="inlineStr">
        <is>
          <t>R207-v2</t>
        </is>
      </c>
      <c r="B457" s="23" t="inlineStr">
        <is>
          <t>Contractor Programme / SCH-02-027</t>
        </is>
      </c>
      <c r="C457" s="23" t="inlineStr">
        <is>
          <t>WBS Code = 1.2.2</t>
        </is>
      </c>
      <c r="D457" s="23" t="inlineStr">
        <is>
          <t>Proposed by Source assignment; target 1.2.2 Stations - Architectural Fit-Out</t>
        </is>
      </c>
      <c r="E457" s="23" t="inlineStr">
        <is>
          <t>None recorded</t>
        </is>
      </c>
      <c r="F457" s="23" t="inlineStr">
        <is>
          <t>No individual professional decision recorded; Source assignment -- not individually reviewed</t>
        </is>
      </c>
      <c r="G457" s="23" t="inlineStr">
        <is>
          <t>Not individually decided</t>
        </is>
      </c>
      <c r="H457" s="23" t="inlineStr">
        <is>
          <t xml:space="preserve">RETAINED / ONE_TO_ONE; </t>
        </is>
      </c>
      <c r="I457" s="23" t="inlineStr">
        <is>
          <t>Carried forward</t>
        </is>
      </c>
      <c r="J457" s="14" t="inlineStr">
        <is>
          <t>08 CROSSWALK</t>
        </is>
      </c>
    </row>
    <row r="458" ht="49" customHeight="1">
      <c r="A458" s="23" t="inlineStr">
        <is>
          <t>R210-v2</t>
        </is>
      </c>
      <c r="B458" s="23" t="inlineStr">
        <is>
          <t>Contractor Programme / SCH-02-030</t>
        </is>
      </c>
      <c r="C458" s="23" t="inlineStr">
        <is>
          <t>WBS Code = 1.2.2</t>
        </is>
      </c>
      <c r="D458" s="23" t="inlineStr">
        <is>
          <t>Proposed by Source assignment; target 1.2.2 Stations - Architectural Fit-Out</t>
        </is>
      </c>
      <c r="E458" s="23" t="inlineStr">
        <is>
          <t>None recorded</t>
        </is>
      </c>
      <c r="F458" s="23" t="inlineStr">
        <is>
          <t>No individual professional decision recorded; Source assignment -- not individually reviewed</t>
        </is>
      </c>
      <c r="G458" s="23" t="inlineStr">
        <is>
          <t>Not individually decided</t>
        </is>
      </c>
      <c r="H458" s="23" t="inlineStr">
        <is>
          <t xml:space="preserve">RETAINED / ONE_TO_ONE; </t>
        </is>
      </c>
      <c r="I458" s="23" t="inlineStr">
        <is>
          <t>Carried forward</t>
        </is>
      </c>
      <c r="J458" s="14" t="inlineStr">
        <is>
          <t>08 CROSSWALK</t>
        </is>
      </c>
    </row>
    <row r="459" ht="49" customHeight="1">
      <c r="A459" s="23" t="inlineStr">
        <is>
          <t>R213-v2</t>
        </is>
      </c>
      <c r="B459" s="23" t="inlineStr">
        <is>
          <t>Contractor Programme / SCH-02-033</t>
        </is>
      </c>
      <c r="C459" s="23" t="inlineStr">
        <is>
          <t>WBS Code = 1.2.2</t>
        </is>
      </c>
      <c r="D459" s="23" t="inlineStr">
        <is>
          <t>Proposed by Source assignment; target 1.2.2 Stations - Architectural Fit-Out</t>
        </is>
      </c>
      <c r="E459" s="23" t="inlineStr">
        <is>
          <t>None recorded</t>
        </is>
      </c>
      <c r="F459" s="23" t="inlineStr">
        <is>
          <t>No individual professional decision recorded; Source assignment -- not individually reviewed</t>
        </is>
      </c>
      <c r="G459" s="23" t="inlineStr">
        <is>
          <t>Not individually decided</t>
        </is>
      </c>
      <c r="H459" s="23" t="inlineStr">
        <is>
          <t xml:space="preserve">RETAINED / ONE_TO_ONE; </t>
        </is>
      </c>
      <c r="I459" s="23" t="inlineStr">
        <is>
          <t>Carried forward</t>
        </is>
      </c>
      <c r="J459" s="14" t="inlineStr">
        <is>
          <t>08 CROSSWALK</t>
        </is>
      </c>
    </row>
    <row r="460" ht="49" customHeight="1">
      <c r="A460" s="23" t="inlineStr">
        <is>
          <t>R216-v2</t>
        </is>
      </c>
      <c r="B460" s="23" t="inlineStr">
        <is>
          <t>Contractor Programme / SCH-02-036</t>
        </is>
      </c>
      <c r="C460" s="23" t="inlineStr">
        <is>
          <t>WBS Code = 1.2.2</t>
        </is>
      </c>
      <c r="D460" s="23" t="inlineStr">
        <is>
          <t>Proposed by Source assignment; target 1.2.2 Stations - Architectural Fit-Out</t>
        </is>
      </c>
      <c r="E460" s="23" t="inlineStr">
        <is>
          <t>None recorded</t>
        </is>
      </c>
      <c r="F460" s="23" t="inlineStr">
        <is>
          <t>No individual professional decision recorded; Source assignment -- not individually reviewed</t>
        </is>
      </c>
      <c r="G460" s="23" t="inlineStr">
        <is>
          <t>Not individually decided</t>
        </is>
      </c>
      <c r="H460" s="23" t="inlineStr">
        <is>
          <t xml:space="preserve">RETAINED / ONE_TO_ONE; </t>
        </is>
      </c>
      <c r="I460" s="23" t="inlineStr">
        <is>
          <t>Carried forward</t>
        </is>
      </c>
      <c r="J460" s="14" t="inlineStr">
        <is>
          <t>08 CROSSWALK</t>
        </is>
      </c>
    </row>
    <row r="461" ht="49" customHeight="1">
      <c r="A461" s="23" t="inlineStr">
        <is>
          <t>R219-v2</t>
        </is>
      </c>
      <c r="B461" s="23" t="inlineStr">
        <is>
          <t>Contractor Programme / SCH-02-039</t>
        </is>
      </c>
      <c r="C461" s="23" t="inlineStr">
        <is>
          <t>WBS Code = 1.2.2</t>
        </is>
      </c>
      <c r="D461" s="23" t="inlineStr">
        <is>
          <t>Proposed by Source assignment; target 1.2.2 Stations - Architectural Fit-Out</t>
        </is>
      </c>
      <c r="E461" s="23" t="inlineStr">
        <is>
          <t>None recorded</t>
        </is>
      </c>
      <c r="F461" s="23" t="inlineStr">
        <is>
          <t>No individual professional decision recorded; Source assignment -- not individually reviewed</t>
        </is>
      </c>
      <c r="G461" s="23" t="inlineStr">
        <is>
          <t>Not individually decided</t>
        </is>
      </c>
      <c r="H461" s="23" t="inlineStr">
        <is>
          <t xml:space="preserve">RETAINED / ONE_TO_ONE; </t>
        </is>
      </c>
      <c r="I461" s="23" t="inlineStr">
        <is>
          <t>Carried forward</t>
        </is>
      </c>
      <c r="J461" s="14" t="inlineStr">
        <is>
          <t>08 CROSSWALK</t>
        </is>
      </c>
    </row>
    <row r="462" ht="49" customHeight="1">
      <c r="A462" s="23" t="inlineStr">
        <is>
          <t>R222-v2</t>
        </is>
      </c>
      <c r="B462" s="23" t="inlineStr">
        <is>
          <t>Contractor Programme / SCH-02-042</t>
        </is>
      </c>
      <c r="C462" s="23" t="inlineStr">
        <is>
          <t>WBS Code = 1.2.2</t>
        </is>
      </c>
      <c r="D462" s="23" t="inlineStr">
        <is>
          <t>Proposed by Source assignment; target 1.2.2 Stations - Architectural Fit-Out</t>
        </is>
      </c>
      <c r="E462" s="23" t="inlineStr">
        <is>
          <t>None recorded</t>
        </is>
      </c>
      <c r="F462" s="23" t="inlineStr">
        <is>
          <t>No individual professional decision recorded; Source assignment -- not individually reviewed</t>
        </is>
      </c>
      <c r="G462" s="23" t="inlineStr">
        <is>
          <t>Not individually decided</t>
        </is>
      </c>
      <c r="H462" s="23" t="inlineStr">
        <is>
          <t xml:space="preserve">RETAINED / ONE_TO_ONE; </t>
        </is>
      </c>
      <c r="I462" s="23" t="inlineStr">
        <is>
          <t>Carried forward</t>
        </is>
      </c>
      <c r="J462" s="14" t="inlineStr">
        <is>
          <t>08 CROSSWALK</t>
        </is>
      </c>
    </row>
    <row r="463" ht="49" customHeight="1">
      <c r="A463" s="23" t="inlineStr">
        <is>
          <t>R225-v2</t>
        </is>
      </c>
      <c r="B463" s="23" t="inlineStr">
        <is>
          <t>Contractor Programme / SCH-02-045</t>
        </is>
      </c>
      <c r="C463" s="23" t="inlineStr">
        <is>
          <t>WBS Code = 1.2.2</t>
        </is>
      </c>
      <c r="D463" s="23" t="inlineStr">
        <is>
          <t>Proposed by Source assignment; target 1.2.2 Stations - Architectural Fit-Out</t>
        </is>
      </c>
      <c r="E463" s="23" t="inlineStr">
        <is>
          <t>None recorded</t>
        </is>
      </c>
      <c r="F463" s="23" t="inlineStr">
        <is>
          <t>No individual professional decision recorded; Source assignment -- not individually reviewed</t>
        </is>
      </c>
      <c r="G463" s="23" t="inlineStr">
        <is>
          <t>Not individually decided</t>
        </is>
      </c>
      <c r="H463" s="23" t="inlineStr">
        <is>
          <t xml:space="preserve">RETAINED / ONE_TO_ONE; </t>
        </is>
      </c>
      <c r="I463" s="23" t="inlineStr">
        <is>
          <t>Carried forward</t>
        </is>
      </c>
      <c r="J463" s="14" t="inlineStr">
        <is>
          <t>08 CROSSWALK</t>
        </is>
      </c>
    </row>
    <row r="464" ht="49" customHeight="1">
      <c r="A464" s="23" t="inlineStr">
        <is>
          <t>R228-v2</t>
        </is>
      </c>
      <c r="B464" s="23" t="inlineStr">
        <is>
          <t>Contractor Programme / SCH-02-048</t>
        </is>
      </c>
      <c r="C464" s="23" t="inlineStr">
        <is>
          <t>WBS Code = 1.2.2</t>
        </is>
      </c>
      <c r="D464" s="23" t="inlineStr">
        <is>
          <t>Proposed by Source assignment; target 1.2.2 Stations - Architectural Fit-Out</t>
        </is>
      </c>
      <c r="E464" s="23" t="inlineStr">
        <is>
          <t>None recorded</t>
        </is>
      </c>
      <c r="F464" s="23" t="inlineStr">
        <is>
          <t>No individual professional decision recorded; Source assignment -- not individually reviewed</t>
        </is>
      </c>
      <c r="G464" s="23" t="inlineStr">
        <is>
          <t>Not individually decided</t>
        </is>
      </c>
      <c r="H464" s="23" t="inlineStr">
        <is>
          <t xml:space="preserve">RETAINED / ONE_TO_ONE; </t>
        </is>
      </c>
      <c r="I464" s="23" t="inlineStr">
        <is>
          <t>Carried forward</t>
        </is>
      </c>
      <c r="J464" s="14" t="inlineStr">
        <is>
          <t>08 CROSSWALK</t>
        </is>
      </c>
    </row>
    <row r="465" ht="49" customHeight="1">
      <c r="A465" s="23" t="inlineStr">
        <is>
          <t>R231-v2</t>
        </is>
      </c>
      <c r="B465" s="23" t="inlineStr">
        <is>
          <t>Contractor Programme / SCH-02-051</t>
        </is>
      </c>
      <c r="C465" s="23" t="inlineStr">
        <is>
          <t>WBS Code = 1.2.2</t>
        </is>
      </c>
      <c r="D465" s="23" t="inlineStr">
        <is>
          <t>Proposed by Source assignment; target 1.2.2 Stations - Architectural Fit-Out</t>
        </is>
      </c>
      <c r="E465" s="23" t="inlineStr">
        <is>
          <t>None recorded</t>
        </is>
      </c>
      <c r="F465" s="23" t="inlineStr">
        <is>
          <t>No individual professional decision recorded; Source assignment -- not individually reviewed</t>
        </is>
      </c>
      <c r="G465" s="23" t="inlineStr">
        <is>
          <t>Not individually decided</t>
        </is>
      </c>
      <c r="H465" s="23" t="inlineStr">
        <is>
          <t xml:space="preserve">RETAINED / ONE_TO_ONE; </t>
        </is>
      </c>
      <c r="I465" s="23" t="inlineStr">
        <is>
          <t>Carried forward</t>
        </is>
      </c>
      <c r="J465" s="14" t="inlineStr">
        <is>
          <t>08 CROSSWALK</t>
        </is>
      </c>
    </row>
    <row r="466" ht="49" customHeight="1">
      <c r="A466" s="23" t="inlineStr">
        <is>
          <t>R234-v2</t>
        </is>
      </c>
      <c r="B466" s="23" t="inlineStr">
        <is>
          <t>Contractor Programme / SCH-02-054</t>
        </is>
      </c>
      <c r="C466" s="23" t="inlineStr">
        <is>
          <t>WBS Code = 1.2.2</t>
        </is>
      </c>
      <c r="D466" s="23" t="inlineStr">
        <is>
          <t>Proposed by Source assignment; target 1.2.2 Stations - Architectural Fit-Out</t>
        </is>
      </c>
      <c r="E466" s="23" t="inlineStr">
        <is>
          <t>None recorded</t>
        </is>
      </c>
      <c r="F466" s="23" t="inlineStr">
        <is>
          <t>No individual professional decision recorded; Source assignment -- not individually reviewed</t>
        </is>
      </c>
      <c r="G466" s="23" t="inlineStr">
        <is>
          <t>Not individually decided</t>
        </is>
      </c>
      <c r="H466" s="23" t="inlineStr">
        <is>
          <t xml:space="preserve">RETAINED / ONE_TO_ONE; </t>
        </is>
      </c>
      <c r="I466" s="23" t="inlineStr">
        <is>
          <t>Carried forward</t>
        </is>
      </c>
      <c r="J466" s="14" t="inlineStr">
        <is>
          <t>08 CROSSWALK</t>
        </is>
      </c>
    </row>
    <row r="467" ht="49" customHeight="1">
      <c r="A467" s="23" t="inlineStr">
        <is>
          <t>R237-v2</t>
        </is>
      </c>
      <c r="B467" s="23" t="inlineStr">
        <is>
          <t>Contractor Programme / SCH-02-057</t>
        </is>
      </c>
      <c r="C467" s="23" t="inlineStr">
        <is>
          <t>WBS Code = 1.2.2</t>
        </is>
      </c>
      <c r="D467" s="23" t="inlineStr">
        <is>
          <t>Proposed by Source assignment; target 1.2.2 Stations - Architectural Fit-Out</t>
        </is>
      </c>
      <c r="E467" s="23" t="inlineStr">
        <is>
          <t>None recorded</t>
        </is>
      </c>
      <c r="F467" s="23" t="inlineStr">
        <is>
          <t>No individual professional decision recorded; Source assignment -- not individually reviewed</t>
        </is>
      </c>
      <c r="G467" s="23" t="inlineStr">
        <is>
          <t>Not individually decided</t>
        </is>
      </c>
      <c r="H467" s="23" t="inlineStr">
        <is>
          <t xml:space="preserve">RETAINED / ONE_TO_ONE; </t>
        </is>
      </c>
      <c r="I467" s="23" t="inlineStr">
        <is>
          <t>Carried forward</t>
        </is>
      </c>
      <c r="J467" s="14" t="inlineStr">
        <is>
          <t>08 CROSSWALK</t>
        </is>
      </c>
    </row>
    <row r="468" ht="49" customHeight="1">
      <c r="A468" s="23" t="inlineStr">
        <is>
          <t>R240-v2</t>
        </is>
      </c>
      <c r="B468" s="23" t="inlineStr">
        <is>
          <t>Contractor Programme / SCH-02-060</t>
        </is>
      </c>
      <c r="C468" s="23" t="inlineStr">
        <is>
          <t>WBS Code = 1.2.2</t>
        </is>
      </c>
      <c r="D468" s="23" t="inlineStr">
        <is>
          <t>Proposed by Source assignment; target 1.2.2 Stations - Architectural Fit-Out</t>
        </is>
      </c>
      <c r="E468" s="23" t="inlineStr">
        <is>
          <t>None recorded</t>
        </is>
      </c>
      <c r="F468" s="23" t="inlineStr">
        <is>
          <t>No individual professional decision recorded; Source assignment -- not individually reviewed</t>
        </is>
      </c>
      <c r="G468" s="23" t="inlineStr">
        <is>
          <t>Not individually decided</t>
        </is>
      </c>
      <c r="H468" s="23" t="inlineStr">
        <is>
          <t xml:space="preserve">RETAINED / ONE_TO_ONE; </t>
        </is>
      </c>
      <c r="I468" s="23" t="inlineStr">
        <is>
          <t>Carried forward</t>
        </is>
      </c>
      <c r="J468" s="14" t="inlineStr">
        <is>
          <t>08 CROSSWALK</t>
        </is>
      </c>
    </row>
    <row r="469" ht="49" customHeight="1">
      <c r="A469" s="23" t="inlineStr">
        <is>
          <t>R243-v2</t>
        </is>
      </c>
      <c r="B469" s="23" t="inlineStr">
        <is>
          <t>Contractor Programme / SCH-02-063</t>
        </is>
      </c>
      <c r="C469" s="23" t="inlineStr">
        <is>
          <t>WBS Code = 1.2.2</t>
        </is>
      </c>
      <c r="D469" s="23" t="inlineStr">
        <is>
          <t>Proposed by Source assignment; target 1.2.2 Stations - Architectural Fit-Out</t>
        </is>
      </c>
      <c r="E469" s="23" t="inlineStr">
        <is>
          <t>None recorded</t>
        </is>
      </c>
      <c r="F469" s="23" t="inlineStr">
        <is>
          <t>No individual professional decision recorded; Source assignment -- not individually reviewed</t>
        </is>
      </c>
      <c r="G469" s="23" t="inlineStr">
        <is>
          <t>Not individually decided</t>
        </is>
      </c>
      <c r="H469" s="23" t="inlineStr">
        <is>
          <t xml:space="preserve">RETAINED / ONE_TO_ONE; </t>
        </is>
      </c>
      <c r="I469" s="23" t="inlineStr">
        <is>
          <t>Carried forward</t>
        </is>
      </c>
      <c r="J469" s="14" t="inlineStr">
        <is>
          <t>08 CROSSWALK</t>
        </is>
      </c>
    </row>
    <row r="470" ht="49" customHeight="1">
      <c r="A470" s="23" t="inlineStr">
        <is>
          <t>R246-v2</t>
        </is>
      </c>
      <c r="B470" s="23" t="inlineStr">
        <is>
          <t>Contractor Programme / SCH-02-066</t>
        </is>
      </c>
      <c r="C470" s="23" t="inlineStr">
        <is>
          <t>WBS Code = 1.2.2</t>
        </is>
      </c>
      <c r="D470" s="23" t="inlineStr">
        <is>
          <t>Proposed by Source assignment; target 1.2.2 Stations - Architectural Fit-Out</t>
        </is>
      </c>
      <c r="E470" s="23" t="inlineStr">
        <is>
          <t>None recorded</t>
        </is>
      </c>
      <c r="F470" s="23" t="inlineStr">
        <is>
          <t>No individual professional decision recorded; Source assignment -- not individually reviewed</t>
        </is>
      </c>
      <c r="G470" s="23" t="inlineStr">
        <is>
          <t>Not individually decided</t>
        </is>
      </c>
      <c r="H470" s="23" t="inlineStr">
        <is>
          <t xml:space="preserve">RETAINED / ONE_TO_ONE; </t>
        </is>
      </c>
      <c r="I470" s="23" t="inlineStr">
        <is>
          <t>Carried forward</t>
        </is>
      </c>
      <c r="J470" s="14" t="inlineStr">
        <is>
          <t>08 CROSSWALK</t>
        </is>
      </c>
    </row>
    <row r="471" ht="49" customHeight="1">
      <c r="A471" s="23" t="inlineStr">
        <is>
          <t>R249-v2</t>
        </is>
      </c>
      <c r="B471" s="23" t="inlineStr">
        <is>
          <t>Contractor Programme / SCH-02-069</t>
        </is>
      </c>
      <c r="C471" s="23" t="inlineStr">
        <is>
          <t>WBS Code = 1.2.2</t>
        </is>
      </c>
      <c r="D471" s="23" t="inlineStr">
        <is>
          <t>Proposed by Source assignment; target 1.2.2 Stations - Architectural Fit-Out</t>
        </is>
      </c>
      <c r="E471" s="23" t="inlineStr">
        <is>
          <t>None recorded</t>
        </is>
      </c>
      <c r="F471" s="23" t="inlineStr">
        <is>
          <t>No individual professional decision recorded; Source assignment -- not individually reviewed</t>
        </is>
      </c>
      <c r="G471" s="23" t="inlineStr">
        <is>
          <t>Not individually decided</t>
        </is>
      </c>
      <c r="H471" s="23" t="inlineStr">
        <is>
          <t xml:space="preserve">RETAINED / ONE_TO_ONE; </t>
        </is>
      </c>
      <c r="I471" s="23" t="inlineStr">
        <is>
          <t>Carried forward</t>
        </is>
      </c>
      <c r="J471" s="14" t="inlineStr">
        <is>
          <t>08 CROSSWALK</t>
        </is>
      </c>
    </row>
    <row r="472" ht="49" customHeight="1">
      <c r="A472" s="23" t="inlineStr">
        <is>
          <t>R252-v2</t>
        </is>
      </c>
      <c r="B472" s="23" t="inlineStr">
        <is>
          <t>Contractor Programme / SCH-02-072</t>
        </is>
      </c>
      <c r="C472" s="23" t="inlineStr">
        <is>
          <t>WBS Code = 1.2.2</t>
        </is>
      </c>
      <c r="D472" s="23" t="inlineStr">
        <is>
          <t>Proposed by Source assignment; target 1.2.2 Stations - Architectural Fit-Out</t>
        </is>
      </c>
      <c r="E472" s="23" t="inlineStr">
        <is>
          <t>None recorded</t>
        </is>
      </c>
      <c r="F472" s="23" t="inlineStr">
        <is>
          <t>No individual professional decision recorded; Source assignment -- not individually reviewed</t>
        </is>
      </c>
      <c r="G472" s="23" t="inlineStr">
        <is>
          <t>Not individually decided</t>
        </is>
      </c>
      <c r="H472" s="23" t="inlineStr">
        <is>
          <t xml:space="preserve">RETAINED / ONE_TO_ONE; </t>
        </is>
      </c>
      <c r="I472" s="23" t="inlineStr">
        <is>
          <t>Carried forward</t>
        </is>
      </c>
      <c r="J472" s="14" t="inlineStr">
        <is>
          <t>08 CROSSWALK</t>
        </is>
      </c>
    </row>
    <row r="473" ht="49" customHeight="1">
      <c r="A473" s="23" t="inlineStr">
        <is>
          <t>R255-v2</t>
        </is>
      </c>
      <c r="B473" s="23" t="inlineStr">
        <is>
          <t>Contractor Programme / SCH-02-075</t>
        </is>
      </c>
      <c r="C473" s="23" t="inlineStr">
        <is>
          <t>WBS Code = 1.2.2</t>
        </is>
      </c>
      <c r="D473" s="23" t="inlineStr">
        <is>
          <t>Proposed by Source assignment; target 1.2.2 Stations - Architectural Fit-Out</t>
        </is>
      </c>
      <c r="E473" s="23" t="inlineStr">
        <is>
          <t>None recorded</t>
        </is>
      </c>
      <c r="F473" s="23" t="inlineStr">
        <is>
          <t>No individual professional decision recorded; Source assignment -- not individually reviewed</t>
        </is>
      </c>
      <c r="G473" s="23" t="inlineStr">
        <is>
          <t>Not individually decided</t>
        </is>
      </c>
      <c r="H473" s="23" t="inlineStr">
        <is>
          <t xml:space="preserve">RETAINED / ONE_TO_ONE; </t>
        </is>
      </c>
      <c r="I473" s="23" t="inlineStr">
        <is>
          <t>Carried forward</t>
        </is>
      </c>
      <c r="J473" s="14" t="inlineStr">
        <is>
          <t>08 CROSSWALK</t>
        </is>
      </c>
    </row>
    <row r="474" ht="49" customHeight="1">
      <c r="A474" s="23" t="inlineStr">
        <is>
          <t>R258-v2</t>
        </is>
      </c>
      <c r="B474" s="23" t="inlineStr">
        <is>
          <t>Contractor Programme / SCH-02-078</t>
        </is>
      </c>
      <c r="C474" s="23" t="inlineStr">
        <is>
          <t>WBS Code = 1.2.2</t>
        </is>
      </c>
      <c r="D474" s="23" t="inlineStr">
        <is>
          <t>Proposed by Source assignment; target 1.2.2 Stations - Architectural Fit-Out</t>
        </is>
      </c>
      <c r="E474" s="23" t="inlineStr">
        <is>
          <t>None recorded</t>
        </is>
      </c>
      <c r="F474" s="23" t="inlineStr">
        <is>
          <t>No individual professional decision recorded; Source assignment -- not individually reviewed</t>
        </is>
      </c>
      <c r="G474" s="23" t="inlineStr">
        <is>
          <t>Not individually decided</t>
        </is>
      </c>
      <c r="H474" s="23" t="inlineStr">
        <is>
          <t xml:space="preserve">RETAINED / ONE_TO_ONE; </t>
        </is>
      </c>
      <c r="I474" s="23" t="inlineStr">
        <is>
          <t>Carried forward</t>
        </is>
      </c>
      <c r="J474" s="14" t="inlineStr">
        <is>
          <t>08 CROSSWALK</t>
        </is>
      </c>
    </row>
    <row r="475" ht="49" customHeight="1">
      <c r="A475" s="23" t="inlineStr">
        <is>
          <t>R261-v2</t>
        </is>
      </c>
      <c r="B475" s="23" t="inlineStr">
        <is>
          <t>Contractor Programme / SCH-02-081</t>
        </is>
      </c>
      <c r="C475" s="23" t="inlineStr">
        <is>
          <t>WBS Code = 1.2.2</t>
        </is>
      </c>
      <c r="D475" s="23" t="inlineStr">
        <is>
          <t>Proposed by Source assignment; target 1.2.2 Stations - Architectural Fit-Out</t>
        </is>
      </c>
      <c r="E475" s="23" t="inlineStr">
        <is>
          <t>None recorded</t>
        </is>
      </c>
      <c r="F475" s="23" t="inlineStr">
        <is>
          <t>No individual professional decision recorded; Source assignment -- not individually reviewed</t>
        </is>
      </c>
      <c r="G475" s="23" t="inlineStr">
        <is>
          <t>Not individually decided</t>
        </is>
      </c>
      <c r="H475" s="23" t="inlineStr">
        <is>
          <t xml:space="preserve">RETAINED / ONE_TO_ONE; </t>
        </is>
      </c>
      <c r="I475" s="23" t="inlineStr">
        <is>
          <t>Carried forward</t>
        </is>
      </c>
      <c r="J475" s="14" t="inlineStr">
        <is>
          <t>08 CROSSWALK</t>
        </is>
      </c>
    </row>
    <row r="476" ht="49" customHeight="1">
      <c r="A476" s="23" t="inlineStr">
        <is>
          <t>R264-v2</t>
        </is>
      </c>
      <c r="B476" s="23" t="inlineStr">
        <is>
          <t>Contractor Programme / SCH-02-084</t>
        </is>
      </c>
      <c r="C476" s="23" t="inlineStr">
        <is>
          <t>WBS Code = 1.2.2</t>
        </is>
      </c>
      <c r="D476" s="23" t="inlineStr">
        <is>
          <t>Proposed by Source assignment; target 1.2.2 Stations - Architectural Fit-Out</t>
        </is>
      </c>
      <c r="E476" s="23" t="inlineStr">
        <is>
          <t>None recorded</t>
        </is>
      </c>
      <c r="F476" s="23" t="inlineStr">
        <is>
          <t>No individual professional decision recorded; Source assignment -- not individually reviewed</t>
        </is>
      </c>
      <c r="G476" s="23" t="inlineStr">
        <is>
          <t>Not individually decided</t>
        </is>
      </c>
      <c r="H476" s="23" t="inlineStr">
        <is>
          <t xml:space="preserve">RETAINED / ONE_TO_ONE; </t>
        </is>
      </c>
      <c r="I476" s="23" t="inlineStr">
        <is>
          <t>Carried forward</t>
        </is>
      </c>
      <c r="J476" s="14" t="inlineStr">
        <is>
          <t>08 CROSSWALK</t>
        </is>
      </c>
    </row>
    <row r="477" ht="49" customHeight="1">
      <c r="A477" s="23" t="inlineStr">
        <is>
          <t>R267-v2</t>
        </is>
      </c>
      <c r="B477" s="23" t="inlineStr">
        <is>
          <t>Contractor Programme / SCH-02-087</t>
        </is>
      </c>
      <c r="C477" s="23" t="inlineStr">
        <is>
          <t>WBS Code = 1.2.2</t>
        </is>
      </c>
      <c r="D477" s="23" t="inlineStr">
        <is>
          <t>Proposed by Source assignment; target 1.2.2 Stations - Architectural Fit-Out</t>
        </is>
      </c>
      <c r="E477" s="23" t="inlineStr">
        <is>
          <t>None recorded</t>
        </is>
      </c>
      <c r="F477" s="23" t="inlineStr">
        <is>
          <t>No individual professional decision recorded; Source assignment -- not individually reviewed</t>
        </is>
      </c>
      <c r="G477" s="23" t="inlineStr">
        <is>
          <t>Not individually decided</t>
        </is>
      </c>
      <c r="H477" s="23" t="inlineStr">
        <is>
          <t xml:space="preserve">RETAINED / ONE_TO_ONE; </t>
        </is>
      </c>
      <c r="I477" s="23" t="inlineStr">
        <is>
          <t>Carried forward</t>
        </is>
      </c>
      <c r="J477" s="14" t="inlineStr">
        <is>
          <t>08 CROSSWALK</t>
        </is>
      </c>
    </row>
    <row r="478" ht="49" customHeight="1">
      <c r="A478" s="23" t="inlineStr">
        <is>
          <t>R270-v2</t>
        </is>
      </c>
      <c r="B478" s="23" t="inlineStr">
        <is>
          <t>Contractor Programme / SCH-02-090</t>
        </is>
      </c>
      <c r="C478" s="23" t="inlineStr">
        <is>
          <t>WBS Code = 1.2.2</t>
        </is>
      </c>
      <c r="D478" s="23" t="inlineStr">
        <is>
          <t>Proposed by Source assignment; target 1.2.2 Stations - Architectural Fit-Out</t>
        </is>
      </c>
      <c r="E478" s="23" t="inlineStr">
        <is>
          <t>None recorded</t>
        </is>
      </c>
      <c r="F478" s="23" t="inlineStr">
        <is>
          <t>No individual professional decision recorded; Source assignment -- not individually reviewed</t>
        </is>
      </c>
      <c r="G478" s="23" t="inlineStr">
        <is>
          <t>Not individually decided</t>
        </is>
      </c>
      <c r="H478" s="23" t="inlineStr">
        <is>
          <t xml:space="preserve">RETAINED / ONE_TO_ONE; </t>
        </is>
      </c>
      <c r="I478" s="23" t="inlineStr">
        <is>
          <t>Carried forward</t>
        </is>
      </c>
      <c r="J478" s="14" t="inlineStr">
        <is>
          <t>08 CROSSWALK</t>
        </is>
      </c>
    </row>
    <row r="479" ht="49" customHeight="1">
      <c r="A479" s="23" t="inlineStr">
        <is>
          <t>R273-v2</t>
        </is>
      </c>
      <c r="B479" s="23" t="inlineStr">
        <is>
          <t>Contractor Programme / SCH-02-093</t>
        </is>
      </c>
      <c r="C479" s="23" t="inlineStr">
        <is>
          <t>WBS Code = 1.2.2</t>
        </is>
      </c>
      <c r="D479" s="23" t="inlineStr">
        <is>
          <t>Proposed by Source assignment; target 1.2.2 Stations - Architectural Fit-Out</t>
        </is>
      </c>
      <c r="E479" s="23" t="inlineStr">
        <is>
          <t>None recorded</t>
        </is>
      </c>
      <c r="F479" s="23" t="inlineStr">
        <is>
          <t>No individual professional decision recorded; Source assignment -- not individually reviewed</t>
        </is>
      </c>
      <c r="G479" s="23" t="inlineStr">
        <is>
          <t>Not individually decided</t>
        </is>
      </c>
      <c r="H479" s="23" t="inlineStr">
        <is>
          <t xml:space="preserve">RETAINED / ONE_TO_ONE; </t>
        </is>
      </c>
      <c r="I479" s="23" t="inlineStr">
        <is>
          <t>Carried forward</t>
        </is>
      </c>
      <c r="J479" s="14" t="inlineStr">
        <is>
          <t>08 CROSSWALK</t>
        </is>
      </c>
    </row>
    <row r="480" ht="49" customHeight="1">
      <c r="A480" s="23" t="inlineStr">
        <is>
          <t>R276-v2</t>
        </is>
      </c>
      <c r="B480" s="23" t="inlineStr">
        <is>
          <t>Contractor Programme / SCH-02-096</t>
        </is>
      </c>
      <c r="C480" s="23" t="inlineStr">
        <is>
          <t>WBS Code = 1.2.2</t>
        </is>
      </c>
      <c r="D480" s="23" t="inlineStr">
        <is>
          <t>Proposed by Source assignment; target 1.2.2 Stations - Architectural Fit-Out</t>
        </is>
      </c>
      <c r="E480" s="23" t="inlineStr">
        <is>
          <t>None recorded</t>
        </is>
      </c>
      <c r="F480" s="23" t="inlineStr">
        <is>
          <t>No individual professional decision recorded; Source assignment -- not individually reviewed</t>
        </is>
      </c>
      <c r="G480" s="23" t="inlineStr">
        <is>
          <t>Not individually decided</t>
        </is>
      </c>
      <c r="H480" s="23" t="inlineStr">
        <is>
          <t xml:space="preserve">RETAINED / ONE_TO_ONE; </t>
        </is>
      </c>
      <c r="I480" s="23" t="inlineStr">
        <is>
          <t>Carried forward</t>
        </is>
      </c>
      <c r="J480" s="14" t="inlineStr">
        <is>
          <t>08 CROSSWALK</t>
        </is>
      </c>
    </row>
    <row r="481" ht="49" customHeight="1">
      <c r="A481" s="23" t="inlineStr">
        <is>
          <t>R279-v2</t>
        </is>
      </c>
      <c r="B481" s="23" t="inlineStr">
        <is>
          <t>Contractor Programme / SCH-02-099</t>
        </is>
      </c>
      <c r="C481" s="23" t="inlineStr">
        <is>
          <t>WBS Code = 1.2.2</t>
        </is>
      </c>
      <c r="D481" s="23" t="inlineStr">
        <is>
          <t>Proposed by Source assignment; target 1.2.2 Stations - Architectural Fit-Out</t>
        </is>
      </c>
      <c r="E481" s="23" t="inlineStr">
        <is>
          <t>None recorded</t>
        </is>
      </c>
      <c r="F481" s="23" t="inlineStr">
        <is>
          <t>No individual professional decision recorded; Source assignment -- not individually reviewed</t>
        </is>
      </c>
      <c r="G481" s="23" t="inlineStr">
        <is>
          <t>Not individually decided</t>
        </is>
      </c>
      <c r="H481" s="23" t="inlineStr">
        <is>
          <t xml:space="preserve">RETAINED / ONE_TO_ONE; </t>
        </is>
      </c>
      <c r="I481" s="23" t="inlineStr">
        <is>
          <t>Carried forward</t>
        </is>
      </c>
      <c r="J481" s="14" t="inlineStr">
        <is>
          <t>08 CROSSWALK</t>
        </is>
      </c>
    </row>
    <row r="482" ht="49" customHeight="1">
      <c r="A482" s="23" t="inlineStr">
        <is>
          <t>R282-v2</t>
        </is>
      </c>
      <c r="B482" s="23" t="inlineStr">
        <is>
          <t>Contractor Programme / SCH-02-102</t>
        </is>
      </c>
      <c r="C482" s="23" t="inlineStr">
        <is>
          <t>WBS Code = 1.2.2</t>
        </is>
      </c>
      <c r="D482" s="23" t="inlineStr">
        <is>
          <t>Proposed by Source assignment; target 1.2.2 Stations - Architectural Fit-Out</t>
        </is>
      </c>
      <c r="E482" s="23" t="inlineStr">
        <is>
          <t>None recorded</t>
        </is>
      </c>
      <c r="F482" s="23" t="inlineStr">
        <is>
          <t>No individual professional decision recorded; Source assignment -- not individually reviewed</t>
        </is>
      </c>
      <c r="G482" s="23" t="inlineStr">
        <is>
          <t>Not individually decided</t>
        </is>
      </c>
      <c r="H482" s="23" t="inlineStr">
        <is>
          <t xml:space="preserve">RETAINED / ONE_TO_ONE; </t>
        </is>
      </c>
      <c r="I482" s="23" t="inlineStr">
        <is>
          <t>Carried forward</t>
        </is>
      </c>
      <c r="J482" s="14" t="inlineStr">
        <is>
          <t>08 CROSSWALK</t>
        </is>
      </c>
    </row>
    <row r="483" ht="49" customHeight="1">
      <c r="A483" s="23" t="inlineStr">
        <is>
          <t>R285-v2</t>
        </is>
      </c>
      <c r="B483" s="23" t="inlineStr">
        <is>
          <t>Contractor Programme / SCH-02-105</t>
        </is>
      </c>
      <c r="C483" s="23" t="inlineStr">
        <is>
          <t>WBS Code = 1.2.2</t>
        </is>
      </c>
      <c r="D483" s="23" t="inlineStr">
        <is>
          <t>Proposed by Source assignment; target 1.2.2 Stations - Architectural Fit-Out</t>
        </is>
      </c>
      <c r="E483" s="23" t="inlineStr">
        <is>
          <t>None recorded</t>
        </is>
      </c>
      <c r="F483" s="23" t="inlineStr">
        <is>
          <t>No individual professional decision recorded; Source assignment -- not individually reviewed</t>
        </is>
      </c>
      <c r="G483" s="23" t="inlineStr">
        <is>
          <t>Not individually decided</t>
        </is>
      </c>
      <c r="H483" s="23" t="inlineStr">
        <is>
          <t xml:space="preserve">RETAINED / ONE_TO_ONE; </t>
        </is>
      </c>
      <c r="I483" s="23" t="inlineStr">
        <is>
          <t>Carried forward</t>
        </is>
      </c>
      <c r="J483" s="14" t="inlineStr">
        <is>
          <t>08 CROSSWALK</t>
        </is>
      </c>
    </row>
    <row r="484" ht="49" customHeight="1">
      <c r="A484" s="23" t="inlineStr">
        <is>
          <t>R288-v2</t>
        </is>
      </c>
      <c r="B484" s="23" t="inlineStr">
        <is>
          <t>Contractor Programme / SCH-02-108</t>
        </is>
      </c>
      <c r="C484" s="23" t="inlineStr">
        <is>
          <t>WBS Code = 1.2.2</t>
        </is>
      </c>
      <c r="D484" s="23" t="inlineStr">
        <is>
          <t>Proposed by Source assignment; target 1.2.2 Stations - Architectural Fit-Out</t>
        </is>
      </c>
      <c r="E484" s="23" t="inlineStr">
        <is>
          <t>None recorded</t>
        </is>
      </c>
      <c r="F484" s="23" t="inlineStr">
        <is>
          <t>No individual professional decision recorded; Source assignment -- not individually reviewed</t>
        </is>
      </c>
      <c r="G484" s="23" t="inlineStr">
        <is>
          <t>Not individually decided</t>
        </is>
      </c>
      <c r="H484" s="23" t="inlineStr">
        <is>
          <t xml:space="preserve">RETAINED / ONE_TO_ONE; </t>
        </is>
      </c>
      <c r="I484" s="23" t="inlineStr">
        <is>
          <t>Carried forward</t>
        </is>
      </c>
      <c r="J484" s="14" t="inlineStr">
        <is>
          <t>08 CROSSWALK</t>
        </is>
      </c>
    </row>
    <row r="485" ht="49" customHeight="1">
      <c r="A485" s="23" t="inlineStr">
        <is>
          <t>R291-v2</t>
        </is>
      </c>
      <c r="B485" s="23" t="inlineStr">
        <is>
          <t>Contractor Programme / SCH-02-111</t>
        </is>
      </c>
      <c r="C485" s="23" t="inlineStr">
        <is>
          <t>WBS Code = 1.2.2</t>
        </is>
      </c>
      <c r="D485" s="23" t="inlineStr">
        <is>
          <t>Proposed by Source assignment; target 1.2.2 Stations - Architectural Fit-Out</t>
        </is>
      </c>
      <c r="E485" s="23" t="inlineStr">
        <is>
          <t>None recorded</t>
        </is>
      </c>
      <c r="F485" s="23" t="inlineStr">
        <is>
          <t>No individual professional decision recorded; Source assignment -- not individually reviewed</t>
        </is>
      </c>
      <c r="G485" s="23" t="inlineStr">
        <is>
          <t>Not individually decided</t>
        </is>
      </c>
      <c r="H485" s="23" t="inlineStr">
        <is>
          <t xml:space="preserve">RETAINED / ONE_TO_ONE; </t>
        </is>
      </c>
      <c r="I485" s="23" t="inlineStr">
        <is>
          <t>Carried forward</t>
        </is>
      </c>
      <c r="J485" s="14" t="inlineStr">
        <is>
          <t>08 CROSSWALK</t>
        </is>
      </c>
    </row>
    <row r="486" ht="49" customHeight="1">
      <c r="A486" s="23" t="inlineStr">
        <is>
          <t>R294-v2</t>
        </is>
      </c>
      <c r="B486" s="23" t="inlineStr">
        <is>
          <t>Contractor Programme / SCH-02-114</t>
        </is>
      </c>
      <c r="C486" s="23" t="inlineStr">
        <is>
          <t>WBS Code = 1.2.2</t>
        </is>
      </c>
      <c r="D486" s="23" t="inlineStr">
        <is>
          <t>Proposed by Source assignment; target 1.2.2 Stations - Architectural Fit-Out</t>
        </is>
      </c>
      <c r="E486" s="23" t="inlineStr">
        <is>
          <t>None recorded</t>
        </is>
      </c>
      <c r="F486" s="23" t="inlineStr">
        <is>
          <t>No individual professional decision recorded; Source assignment -- not individually reviewed</t>
        </is>
      </c>
      <c r="G486" s="23" t="inlineStr">
        <is>
          <t>Not individually decided</t>
        </is>
      </c>
      <c r="H486" s="23" t="inlineStr">
        <is>
          <t xml:space="preserve">RETAINED / ONE_TO_ONE; </t>
        </is>
      </c>
      <c r="I486" s="23" t="inlineStr">
        <is>
          <t>Carried forward</t>
        </is>
      </c>
      <c r="J486" s="14" t="inlineStr">
        <is>
          <t>08 CROSSWALK</t>
        </is>
      </c>
    </row>
    <row r="487" ht="49" customHeight="1">
      <c r="A487" s="23" t="inlineStr">
        <is>
          <t>R297-v2</t>
        </is>
      </c>
      <c r="B487" s="23" t="inlineStr">
        <is>
          <t>Contractor Programme / SCH-02-117</t>
        </is>
      </c>
      <c r="C487" s="23" t="inlineStr">
        <is>
          <t>WBS Code = 1.2.2</t>
        </is>
      </c>
      <c r="D487" s="23" t="inlineStr">
        <is>
          <t>Proposed by Source assignment; target 1.2.2 Stations - Architectural Fit-Out</t>
        </is>
      </c>
      <c r="E487" s="23" t="inlineStr">
        <is>
          <t>None recorded</t>
        </is>
      </c>
      <c r="F487" s="23" t="inlineStr">
        <is>
          <t>No individual professional decision recorded; Source assignment -- not individually reviewed</t>
        </is>
      </c>
      <c r="G487" s="23" t="inlineStr">
        <is>
          <t>Not individually decided</t>
        </is>
      </c>
      <c r="H487" s="23" t="inlineStr">
        <is>
          <t xml:space="preserve">RETAINED / ONE_TO_ONE; </t>
        </is>
      </c>
      <c r="I487" s="23" t="inlineStr">
        <is>
          <t>Carried forward</t>
        </is>
      </c>
      <c r="J487" s="14" t="inlineStr">
        <is>
          <t>08 CROSSWALK</t>
        </is>
      </c>
    </row>
    <row r="488" ht="49" customHeight="1">
      <c r="A488" s="23" t="inlineStr">
        <is>
          <t>R300-v2</t>
        </is>
      </c>
      <c r="B488" s="23" t="inlineStr">
        <is>
          <t>Contractor Programme / SCH-02-120</t>
        </is>
      </c>
      <c r="C488" s="23" t="inlineStr">
        <is>
          <t>WBS Code = 1.2.2</t>
        </is>
      </c>
      <c r="D488" s="23" t="inlineStr">
        <is>
          <t>Proposed by Source assignment; target 1.2.2 Stations - Architectural Fit-Out</t>
        </is>
      </c>
      <c r="E488" s="23" t="inlineStr">
        <is>
          <t>None recorded</t>
        </is>
      </c>
      <c r="F488" s="23" t="inlineStr">
        <is>
          <t>No individual professional decision recorded; Source assignment -- not individually reviewed</t>
        </is>
      </c>
      <c r="G488" s="23" t="inlineStr">
        <is>
          <t>Not individually decided</t>
        </is>
      </c>
      <c r="H488" s="23" t="inlineStr">
        <is>
          <t xml:space="preserve">RETAINED / ONE_TO_ONE; </t>
        </is>
      </c>
      <c r="I488" s="23" t="inlineStr">
        <is>
          <t>Carried forward</t>
        </is>
      </c>
      <c r="J488" s="14" t="inlineStr">
        <is>
          <t>08 CROSSWALK</t>
        </is>
      </c>
    </row>
    <row r="489" ht="49" customHeight="1">
      <c r="A489" s="23" t="inlineStr">
        <is>
          <t>R303-v2</t>
        </is>
      </c>
      <c r="B489" s="23" t="inlineStr">
        <is>
          <t>Contractor Programme / SCH-02-123</t>
        </is>
      </c>
      <c r="C489" s="23" t="inlineStr">
        <is>
          <t>WBS Code = 1.2.2</t>
        </is>
      </c>
      <c r="D489" s="23" t="inlineStr">
        <is>
          <t>Proposed by Source assignment; target 1.2.2 Stations - Architectural Fit-Out</t>
        </is>
      </c>
      <c r="E489" s="23" t="inlineStr">
        <is>
          <t>None recorded</t>
        </is>
      </c>
      <c r="F489" s="23" t="inlineStr">
        <is>
          <t>No individual professional decision recorded; Source assignment -- not individually reviewed</t>
        </is>
      </c>
      <c r="G489" s="23" t="inlineStr">
        <is>
          <t>Not individually decided</t>
        </is>
      </c>
      <c r="H489" s="23" t="inlineStr">
        <is>
          <t xml:space="preserve">RETAINED / ONE_TO_ONE; </t>
        </is>
      </c>
      <c r="I489" s="23" t="inlineStr">
        <is>
          <t>Carried forward</t>
        </is>
      </c>
      <c r="J489" s="14" t="inlineStr">
        <is>
          <t>08 CROSSWALK</t>
        </is>
      </c>
    </row>
    <row r="490" ht="49" customHeight="1">
      <c r="A490" s="23" t="inlineStr">
        <is>
          <t>R306-v2</t>
        </is>
      </c>
      <c r="B490" s="23" t="inlineStr">
        <is>
          <t>Contractor Programme / SCH-02-126</t>
        </is>
      </c>
      <c r="C490" s="23" t="inlineStr">
        <is>
          <t>WBS Code = 1.2.2</t>
        </is>
      </c>
      <c r="D490" s="23" t="inlineStr">
        <is>
          <t>Proposed by Source assignment; target 1.2.2 Stations - Architectural Fit-Out</t>
        </is>
      </c>
      <c r="E490" s="23" t="inlineStr">
        <is>
          <t>None recorded</t>
        </is>
      </c>
      <c r="F490" s="23" t="inlineStr">
        <is>
          <t>No individual professional decision recorded; Source assignment -- not individually reviewed</t>
        </is>
      </c>
      <c r="G490" s="23" t="inlineStr">
        <is>
          <t>Not individually decided</t>
        </is>
      </c>
      <c r="H490" s="23" t="inlineStr">
        <is>
          <t xml:space="preserve">RETAINED / ONE_TO_ONE; </t>
        </is>
      </c>
      <c r="I490" s="23" t="inlineStr">
        <is>
          <t>Carried forward</t>
        </is>
      </c>
      <c r="J490" s="14" t="inlineStr">
        <is>
          <t>08 CROSSWALK</t>
        </is>
      </c>
    </row>
    <row r="491" ht="49" customHeight="1">
      <c r="A491" s="23" t="inlineStr">
        <is>
          <t>R309-v2</t>
        </is>
      </c>
      <c r="B491" s="23" t="inlineStr">
        <is>
          <t>Contractor Programme / SCH-02-129</t>
        </is>
      </c>
      <c r="C491" s="23" t="inlineStr">
        <is>
          <t>WBS Code = 1.2.2</t>
        </is>
      </c>
      <c r="D491" s="23" t="inlineStr">
        <is>
          <t>Proposed by Source assignment; target 1.2.2 Stations - Architectural Fit-Out</t>
        </is>
      </c>
      <c r="E491" s="23" t="inlineStr">
        <is>
          <t>None recorded</t>
        </is>
      </c>
      <c r="F491" s="23" t="inlineStr">
        <is>
          <t>No individual professional decision recorded; Source assignment -- not individually reviewed</t>
        </is>
      </c>
      <c r="G491" s="23" t="inlineStr">
        <is>
          <t>Not individually decided</t>
        </is>
      </c>
      <c r="H491" s="23" t="inlineStr">
        <is>
          <t xml:space="preserve">RETAINED / ONE_TO_ONE; </t>
        </is>
      </c>
      <c r="I491" s="23" t="inlineStr">
        <is>
          <t>Carried forward</t>
        </is>
      </c>
      <c r="J491" s="14" t="inlineStr">
        <is>
          <t>08 CROSSWALK</t>
        </is>
      </c>
    </row>
    <row r="492" ht="49" customHeight="1">
      <c r="A492" s="23" t="inlineStr">
        <is>
          <t>R312-v2</t>
        </is>
      </c>
      <c r="B492" s="23" t="inlineStr">
        <is>
          <t>Contractor Programme / SCH-02-132</t>
        </is>
      </c>
      <c r="C492" s="23" t="inlineStr">
        <is>
          <t>WBS Code = 1.2.2</t>
        </is>
      </c>
      <c r="D492" s="23" t="inlineStr">
        <is>
          <t>Proposed by Source assignment; target 1.2.2 Stations - Architectural Fit-Out</t>
        </is>
      </c>
      <c r="E492" s="23" t="inlineStr">
        <is>
          <t>None recorded</t>
        </is>
      </c>
      <c r="F492" s="23" t="inlineStr">
        <is>
          <t>No individual professional decision recorded; Source assignment -- not individually reviewed</t>
        </is>
      </c>
      <c r="G492" s="23" t="inlineStr">
        <is>
          <t>Not individually decided</t>
        </is>
      </c>
      <c r="H492" s="23" t="inlineStr">
        <is>
          <t xml:space="preserve">RETAINED / ONE_TO_ONE; </t>
        </is>
      </c>
      <c r="I492" s="23" t="inlineStr">
        <is>
          <t>Carried forward</t>
        </is>
      </c>
      <c r="J492" s="14" t="inlineStr">
        <is>
          <t>08 CROSSWALK</t>
        </is>
      </c>
    </row>
    <row r="493" ht="49" customHeight="1">
      <c r="A493" s="23" t="inlineStr">
        <is>
          <t>R315-v2</t>
        </is>
      </c>
      <c r="B493" s="23" t="inlineStr">
        <is>
          <t>Contractor Programme / SCH-02-135</t>
        </is>
      </c>
      <c r="C493" s="23" t="inlineStr">
        <is>
          <t>WBS Code = 1.2.2</t>
        </is>
      </c>
      <c r="D493" s="23" t="inlineStr">
        <is>
          <t>Proposed by Source assignment; target 1.2.2 Stations - Architectural Fit-Out</t>
        </is>
      </c>
      <c r="E493" s="23" t="inlineStr">
        <is>
          <t>None recorded</t>
        </is>
      </c>
      <c r="F493" s="23" t="inlineStr">
        <is>
          <t>No individual professional decision recorded; Source assignment -- not individually reviewed</t>
        </is>
      </c>
      <c r="G493" s="23" t="inlineStr">
        <is>
          <t>Not individually decided</t>
        </is>
      </c>
      <c r="H493" s="23" t="inlineStr">
        <is>
          <t xml:space="preserve">RETAINED / ONE_TO_ONE; </t>
        </is>
      </c>
      <c r="I493" s="23" t="inlineStr">
        <is>
          <t>Carried forward</t>
        </is>
      </c>
      <c r="J493" s="14" t="inlineStr">
        <is>
          <t>08 CROSSWALK</t>
        </is>
      </c>
    </row>
    <row r="494" ht="49" customHeight="1">
      <c r="A494" s="23" t="inlineStr">
        <is>
          <t>R318-v2</t>
        </is>
      </c>
      <c r="B494" s="23" t="inlineStr">
        <is>
          <t>Contractor Programme / SCH-02-138</t>
        </is>
      </c>
      <c r="C494" s="23" t="inlineStr">
        <is>
          <t>WBS Code = 1.2.2</t>
        </is>
      </c>
      <c r="D494" s="23" t="inlineStr">
        <is>
          <t>Proposed by Source assignment; target 1.2.2 Stations - Architectural Fit-Out</t>
        </is>
      </c>
      <c r="E494" s="23" t="inlineStr">
        <is>
          <t>None recorded</t>
        </is>
      </c>
      <c r="F494" s="23" t="inlineStr">
        <is>
          <t>No individual professional decision recorded; Source assignment -- not individually reviewed</t>
        </is>
      </c>
      <c r="G494" s="23" t="inlineStr">
        <is>
          <t>Not individually decided</t>
        </is>
      </c>
      <c r="H494" s="23" t="inlineStr">
        <is>
          <t xml:space="preserve">RETAINED / ONE_TO_ONE; </t>
        </is>
      </c>
      <c r="I494" s="23" t="inlineStr">
        <is>
          <t>Carried forward</t>
        </is>
      </c>
      <c r="J494" s="14" t="inlineStr">
        <is>
          <t>08 CROSSWALK</t>
        </is>
      </c>
    </row>
    <row r="495" ht="49" customHeight="1">
      <c r="A495" s="23" t="inlineStr">
        <is>
          <t>R321-v2</t>
        </is>
      </c>
      <c r="B495" s="23" t="inlineStr">
        <is>
          <t>Contractor Programme / SCH-02-141</t>
        </is>
      </c>
      <c r="C495" s="23" t="inlineStr">
        <is>
          <t>WBS Code = 1.2.2</t>
        </is>
      </c>
      <c r="D495" s="23" t="inlineStr">
        <is>
          <t>Proposed by Source assignment; target 1.2.2 Stations - Architectural Fit-Out</t>
        </is>
      </c>
      <c r="E495" s="23" t="inlineStr">
        <is>
          <t>None recorded</t>
        </is>
      </c>
      <c r="F495" s="23" t="inlineStr">
        <is>
          <t>No individual professional decision recorded; Source assignment -- not individually reviewed</t>
        </is>
      </c>
      <c r="G495" s="23" t="inlineStr">
        <is>
          <t>Not individually decided</t>
        </is>
      </c>
      <c r="H495" s="23" t="inlineStr">
        <is>
          <t xml:space="preserve">RETAINED / ONE_TO_ONE; </t>
        </is>
      </c>
      <c r="I495" s="23" t="inlineStr">
        <is>
          <t>Carried forward</t>
        </is>
      </c>
      <c r="J495" s="14" t="inlineStr">
        <is>
          <t>08 CROSSWALK</t>
        </is>
      </c>
    </row>
    <row r="496" ht="49" customHeight="1">
      <c r="A496" s="23" t="inlineStr">
        <is>
          <t>R324-v2</t>
        </is>
      </c>
      <c r="B496" s="23" t="inlineStr">
        <is>
          <t>Contractor Programme / SCH-02-144</t>
        </is>
      </c>
      <c r="C496" s="23" t="inlineStr">
        <is>
          <t>WBS Code = 1.2.2</t>
        </is>
      </c>
      <c r="D496" s="23" t="inlineStr">
        <is>
          <t>Proposed by Source assignment; target 1.2.2 Stations - Architectural Fit-Out</t>
        </is>
      </c>
      <c r="E496" s="23" t="inlineStr">
        <is>
          <t>None recorded</t>
        </is>
      </c>
      <c r="F496" s="23" t="inlineStr">
        <is>
          <t>No individual professional decision recorded; Source assignment -- not individually reviewed</t>
        </is>
      </c>
      <c r="G496" s="23" t="inlineStr">
        <is>
          <t>Not individually decided</t>
        </is>
      </c>
      <c r="H496" s="23" t="inlineStr">
        <is>
          <t xml:space="preserve">RETAINED / ONE_TO_ONE; </t>
        </is>
      </c>
      <c r="I496" s="23" t="inlineStr">
        <is>
          <t>Carried forward</t>
        </is>
      </c>
      <c r="J496" s="14" t="inlineStr">
        <is>
          <t>08 CROSSWALK</t>
        </is>
      </c>
    </row>
    <row r="497" ht="49" customHeight="1">
      <c r="A497" s="23" t="inlineStr">
        <is>
          <t>R327-v2</t>
        </is>
      </c>
      <c r="B497" s="23" t="inlineStr">
        <is>
          <t>Contractor Programme / SCH-02-147</t>
        </is>
      </c>
      <c r="C497" s="23" t="inlineStr">
        <is>
          <t>WBS Code = 1.2.2</t>
        </is>
      </c>
      <c r="D497" s="23" t="inlineStr">
        <is>
          <t>Proposed by Source assignment; target 1.2.2 Stations - Architectural Fit-Out</t>
        </is>
      </c>
      <c r="E497" s="23" t="inlineStr">
        <is>
          <t>None recorded</t>
        </is>
      </c>
      <c r="F497" s="23" t="inlineStr">
        <is>
          <t>No individual professional decision recorded; Source assignment -- not individually reviewed</t>
        </is>
      </c>
      <c r="G497" s="23" t="inlineStr">
        <is>
          <t>Not individually decided</t>
        </is>
      </c>
      <c r="H497" s="23" t="inlineStr">
        <is>
          <t xml:space="preserve">RETAINED / ONE_TO_ONE; </t>
        </is>
      </c>
      <c r="I497" s="23" t="inlineStr">
        <is>
          <t>Carried forward</t>
        </is>
      </c>
      <c r="J497" s="14" t="inlineStr">
        <is>
          <t>08 CROSSWALK</t>
        </is>
      </c>
    </row>
    <row r="498" ht="49" customHeight="1">
      <c r="A498" s="23" t="inlineStr">
        <is>
          <t>R330-v2</t>
        </is>
      </c>
      <c r="B498" s="23" t="inlineStr">
        <is>
          <t>Contractor Programme / SCH-02-150</t>
        </is>
      </c>
      <c r="C498" s="23" t="inlineStr">
        <is>
          <t>WBS Code = 1.2.2</t>
        </is>
      </c>
      <c r="D498" s="23" t="inlineStr">
        <is>
          <t>Proposed by Source assignment; target 1.2.2 Stations - Architectural Fit-Out</t>
        </is>
      </c>
      <c r="E498" s="23" t="inlineStr">
        <is>
          <t>None recorded</t>
        </is>
      </c>
      <c r="F498" s="23" t="inlineStr">
        <is>
          <t>No individual professional decision recorded; Source assignment -- not individually reviewed</t>
        </is>
      </c>
      <c r="G498" s="23" t="inlineStr">
        <is>
          <t>Not individually decided</t>
        </is>
      </c>
      <c r="H498" s="23" t="inlineStr">
        <is>
          <t xml:space="preserve">RETAINED / ONE_TO_ONE; </t>
        </is>
      </c>
      <c r="I498" s="23" t="inlineStr">
        <is>
          <t>Carried forward</t>
        </is>
      </c>
      <c r="J498" s="14" t="inlineStr">
        <is>
          <t>08 CROSSWALK</t>
        </is>
      </c>
    </row>
    <row r="499" ht="49" customHeight="1">
      <c r="A499" s="23" t="inlineStr">
        <is>
          <t>R333-v2</t>
        </is>
      </c>
      <c r="B499" s="23" t="inlineStr">
        <is>
          <t>Contractor Programme / SCH-02-153</t>
        </is>
      </c>
      <c r="C499" s="23" t="inlineStr">
        <is>
          <t>WBS Code = 1.2.2</t>
        </is>
      </c>
      <c r="D499" s="23" t="inlineStr">
        <is>
          <t>Proposed by Source assignment; target 1.2.2 Stations - Architectural Fit-Out</t>
        </is>
      </c>
      <c r="E499" s="23" t="inlineStr">
        <is>
          <t>None recorded</t>
        </is>
      </c>
      <c r="F499" s="23" t="inlineStr">
        <is>
          <t>No individual professional decision recorded; Source assignment -- not individually reviewed</t>
        </is>
      </c>
      <c r="G499" s="23" t="inlineStr">
        <is>
          <t>Not individually decided</t>
        </is>
      </c>
      <c r="H499" s="23" t="inlineStr">
        <is>
          <t xml:space="preserve">RETAINED / ONE_TO_ONE; </t>
        </is>
      </c>
      <c r="I499" s="23" t="inlineStr">
        <is>
          <t>Carried forward</t>
        </is>
      </c>
      <c r="J499" s="14" t="inlineStr">
        <is>
          <t>08 CROSSWALK</t>
        </is>
      </c>
    </row>
    <row r="500" ht="49" customHeight="1">
      <c r="A500" s="23" t="inlineStr">
        <is>
          <t>R336-v2</t>
        </is>
      </c>
      <c r="B500" s="23" t="inlineStr">
        <is>
          <t>Contractor Programme / SCH-02-156</t>
        </is>
      </c>
      <c r="C500" s="23" t="inlineStr">
        <is>
          <t>WBS Code = 1.2.2</t>
        </is>
      </c>
      <c r="D500" s="23" t="inlineStr">
        <is>
          <t>Proposed by Source assignment; target 1.2.2 Stations - Architectural Fit-Out</t>
        </is>
      </c>
      <c r="E500" s="23" t="inlineStr">
        <is>
          <t>None recorded</t>
        </is>
      </c>
      <c r="F500" s="23" t="inlineStr">
        <is>
          <t>No individual professional decision recorded; Source assignment -- not individually reviewed</t>
        </is>
      </c>
      <c r="G500" s="23" t="inlineStr">
        <is>
          <t>Not individually decided</t>
        </is>
      </c>
      <c r="H500" s="23" t="inlineStr">
        <is>
          <t xml:space="preserve">RETAINED / ONE_TO_ONE; </t>
        </is>
      </c>
      <c r="I500" s="23" t="inlineStr">
        <is>
          <t>Carried forward</t>
        </is>
      </c>
      <c r="J500" s="14" t="inlineStr">
        <is>
          <t>08 CROSSWALK</t>
        </is>
      </c>
    </row>
    <row r="501" ht="49" customHeight="1">
      <c r="A501" s="23" t="inlineStr">
        <is>
          <t>R339-v2</t>
        </is>
      </c>
      <c r="B501" s="23" t="inlineStr">
        <is>
          <t>Contractor Programme / SCH-02-159</t>
        </is>
      </c>
      <c r="C501" s="23" t="inlineStr">
        <is>
          <t>WBS Code = 1.2.2</t>
        </is>
      </c>
      <c r="D501" s="23" t="inlineStr">
        <is>
          <t>Proposed by Source assignment; target 1.2.2 Stations - Architectural Fit-Out</t>
        </is>
      </c>
      <c r="E501" s="23" t="inlineStr">
        <is>
          <t>None recorded</t>
        </is>
      </c>
      <c r="F501" s="23" t="inlineStr">
        <is>
          <t>No individual professional decision recorded; Source assignment -- not individually reviewed</t>
        </is>
      </c>
      <c r="G501" s="23" t="inlineStr">
        <is>
          <t>Not individually decided</t>
        </is>
      </c>
      <c r="H501" s="23" t="inlineStr">
        <is>
          <t xml:space="preserve">RETAINED / ONE_TO_ONE; </t>
        </is>
      </c>
      <c r="I501" s="23" t="inlineStr">
        <is>
          <t>Carried forward</t>
        </is>
      </c>
      <c r="J501" s="14" t="inlineStr">
        <is>
          <t>08 CROSSWALK</t>
        </is>
      </c>
    </row>
    <row r="502" ht="49" customHeight="1">
      <c r="A502" s="23" t="inlineStr">
        <is>
          <t>R342-v2</t>
        </is>
      </c>
      <c r="B502" s="23" t="inlineStr">
        <is>
          <t>Contractor Programme / SCH-02-162</t>
        </is>
      </c>
      <c r="C502" s="23" t="inlineStr">
        <is>
          <t>WBS Code = 1.2.2</t>
        </is>
      </c>
      <c r="D502" s="23" t="inlineStr">
        <is>
          <t>Proposed by Source assignment; target 1.2.2 Stations - Architectural Fit-Out</t>
        </is>
      </c>
      <c r="E502" s="23" t="inlineStr">
        <is>
          <t>None recorded</t>
        </is>
      </c>
      <c r="F502" s="23" t="inlineStr">
        <is>
          <t>No individual professional decision recorded; Source assignment -- not individually reviewed</t>
        </is>
      </c>
      <c r="G502" s="23" t="inlineStr">
        <is>
          <t>Not individually decided</t>
        </is>
      </c>
      <c r="H502" s="23" t="inlineStr">
        <is>
          <t xml:space="preserve">RETAINED / ONE_TO_ONE; </t>
        </is>
      </c>
      <c r="I502" s="23" t="inlineStr">
        <is>
          <t>Carried forward</t>
        </is>
      </c>
      <c r="J502" s="14" t="inlineStr">
        <is>
          <t>08 CROSSWALK</t>
        </is>
      </c>
    </row>
    <row r="503" ht="49" customHeight="1">
      <c r="A503" s="23" t="inlineStr">
        <is>
          <t>R345-v2</t>
        </is>
      </c>
      <c r="B503" s="23" t="inlineStr">
        <is>
          <t>Contractor Programme / SCH-02-165</t>
        </is>
      </c>
      <c r="C503" s="23" t="inlineStr">
        <is>
          <t>WBS Code = 1.2.2</t>
        </is>
      </c>
      <c r="D503" s="23" t="inlineStr">
        <is>
          <t>Proposed by Source assignment; target 1.2.2 Stations - Architectural Fit-Out</t>
        </is>
      </c>
      <c r="E503" s="23" t="inlineStr">
        <is>
          <t>None recorded</t>
        </is>
      </c>
      <c r="F503" s="23" t="inlineStr">
        <is>
          <t>No individual professional decision recorded; Source assignment -- not individually reviewed</t>
        </is>
      </c>
      <c r="G503" s="23" t="inlineStr">
        <is>
          <t>Not individually decided</t>
        </is>
      </c>
      <c r="H503" s="23" t="inlineStr">
        <is>
          <t xml:space="preserve">RETAINED / ONE_TO_ONE; </t>
        </is>
      </c>
      <c r="I503" s="23" t="inlineStr">
        <is>
          <t>Carried forward</t>
        </is>
      </c>
      <c r="J503" s="14" t="inlineStr">
        <is>
          <t>08 CROSSWALK</t>
        </is>
      </c>
    </row>
    <row r="504" ht="49" customHeight="1">
      <c r="A504" s="23" t="inlineStr">
        <is>
          <t>R348-v2</t>
        </is>
      </c>
      <c r="B504" s="23" t="inlineStr">
        <is>
          <t>Contractor Programme / SCH-02-168</t>
        </is>
      </c>
      <c r="C504" s="23" t="inlineStr">
        <is>
          <t>WBS Code = 1.2.2</t>
        </is>
      </c>
      <c r="D504" s="23" t="inlineStr">
        <is>
          <t>Proposed by Source assignment; target 1.2.2 Stations - Architectural Fit-Out</t>
        </is>
      </c>
      <c r="E504" s="23" t="inlineStr">
        <is>
          <t>None recorded</t>
        </is>
      </c>
      <c r="F504" s="23" t="inlineStr">
        <is>
          <t>No individual professional decision recorded; Source assignment -- not individually reviewed</t>
        </is>
      </c>
      <c r="G504" s="23" t="inlineStr">
        <is>
          <t>Not individually decided</t>
        </is>
      </c>
      <c r="H504" s="23" t="inlineStr">
        <is>
          <t xml:space="preserve">RETAINED / ONE_TO_ONE; </t>
        </is>
      </c>
      <c r="I504" s="23" t="inlineStr">
        <is>
          <t>Carried forward</t>
        </is>
      </c>
      <c r="J504" s="14" t="inlineStr">
        <is>
          <t>08 CROSSWALK</t>
        </is>
      </c>
    </row>
    <row r="505" ht="49" customHeight="1">
      <c r="A505" s="23" t="inlineStr">
        <is>
          <t>R351-v2</t>
        </is>
      </c>
      <c r="B505" s="23" t="inlineStr">
        <is>
          <t>Contractor Programme / SCH-02-171</t>
        </is>
      </c>
      <c r="C505" s="23" t="inlineStr">
        <is>
          <t>WBS Code = 1.2.2</t>
        </is>
      </c>
      <c r="D505" s="23" t="inlineStr">
        <is>
          <t>Proposed by Source assignment; target 1.2.2 Stations - Architectural Fit-Out</t>
        </is>
      </c>
      <c r="E505" s="23" t="inlineStr">
        <is>
          <t>None recorded</t>
        </is>
      </c>
      <c r="F505" s="23" t="inlineStr">
        <is>
          <t>No individual professional decision recorded; Source assignment -- not individually reviewed</t>
        </is>
      </c>
      <c r="G505" s="23" t="inlineStr">
        <is>
          <t>Not individually decided</t>
        </is>
      </c>
      <c r="H505" s="23" t="inlineStr">
        <is>
          <t xml:space="preserve">RETAINED / ONE_TO_ONE; </t>
        </is>
      </c>
      <c r="I505" s="23" t="inlineStr">
        <is>
          <t>Carried forward</t>
        </is>
      </c>
      <c r="J505" s="14" t="inlineStr">
        <is>
          <t>08 CROSSWALK</t>
        </is>
      </c>
    </row>
    <row r="506" ht="49" customHeight="1">
      <c r="A506" s="23" t="inlineStr">
        <is>
          <t>R354-v2</t>
        </is>
      </c>
      <c r="B506" s="23" t="inlineStr">
        <is>
          <t>Contractor Programme / SCH-02-174</t>
        </is>
      </c>
      <c r="C506" s="23" t="inlineStr">
        <is>
          <t>WBS Code = 1.2.2</t>
        </is>
      </c>
      <c r="D506" s="23" t="inlineStr">
        <is>
          <t>Proposed by Source assignment; target 1.2.2 Stations - Architectural Fit-Out</t>
        </is>
      </c>
      <c r="E506" s="23" t="inlineStr">
        <is>
          <t>None recorded</t>
        </is>
      </c>
      <c r="F506" s="23" t="inlineStr">
        <is>
          <t>No individual professional decision recorded; Source assignment -- not individually reviewed</t>
        </is>
      </c>
      <c r="G506" s="23" t="inlineStr">
        <is>
          <t>Not individually decided</t>
        </is>
      </c>
      <c r="H506" s="23" t="inlineStr">
        <is>
          <t xml:space="preserve">RETAINED / ONE_TO_ONE; </t>
        </is>
      </c>
      <c r="I506" s="23" t="inlineStr">
        <is>
          <t>Carried forward</t>
        </is>
      </c>
      <c r="J506" s="14" t="inlineStr">
        <is>
          <t>08 CROSSWALK</t>
        </is>
      </c>
    </row>
    <row r="507" ht="49" customHeight="1">
      <c r="A507" s="23" t="inlineStr">
        <is>
          <t>R357-v2</t>
        </is>
      </c>
      <c r="B507" s="23" t="inlineStr">
        <is>
          <t>Contractor Programme / SCH-02-177</t>
        </is>
      </c>
      <c r="C507" s="23" t="inlineStr">
        <is>
          <t>WBS Code = 1.2.2</t>
        </is>
      </c>
      <c r="D507" s="23" t="inlineStr">
        <is>
          <t>Proposed by Source assignment; target 1.2.2 Stations - Architectural Fit-Out</t>
        </is>
      </c>
      <c r="E507" s="23" t="inlineStr">
        <is>
          <t>None recorded</t>
        </is>
      </c>
      <c r="F507" s="23" t="inlineStr">
        <is>
          <t>No individual professional decision recorded; Source assignment -- not individually reviewed</t>
        </is>
      </c>
      <c r="G507" s="23" t="inlineStr">
        <is>
          <t>Not individually decided</t>
        </is>
      </c>
      <c r="H507" s="23" t="inlineStr">
        <is>
          <t xml:space="preserve">RETAINED / ONE_TO_ONE; </t>
        </is>
      </c>
      <c r="I507" s="23" t="inlineStr">
        <is>
          <t>Carried forward</t>
        </is>
      </c>
      <c r="J507" s="14" t="inlineStr">
        <is>
          <t>08 CROSSWALK</t>
        </is>
      </c>
    </row>
    <row r="508" ht="49" customHeight="1">
      <c r="A508" s="23" t="inlineStr">
        <is>
          <t>R360-v2</t>
        </is>
      </c>
      <c r="B508" s="23" t="inlineStr">
        <is>
          <t>Contractor Programme / SCH-02-180</t>
        </is>
      </c>
      <c r="C508" s="23" t="inlineStr">
        <is>
          <t>WBS Code = 1.2.2</t>
        </is>
      </c>
      <c r="D508" s="23" t="inlineStr">
        <is>
          <t>Proposed by Source assignment; target 1.2.2 Stations - Architectural Fit-Out</t>
        </is>
      </c>
      <c r="E508" s="23" t="inlineStr">
        <is>
          <t>None recorded</t>
        </is>
      </c>
      <c r="F508" s="23" t="inlineStr">
        <is>
          <t>No individual professional decision recorded; Source assignment -- not individually reviewed</t>
        </is>
      </c>
      <c r="G508" s="23" t="inlineStr">
        <is>
          <t>Not individually decided</t>
        </is>
      </c>
      <c r="H508" s="23" t="inlineStr">
        <is>
          <t xml:space="preserve">RETAINED / ONE_TO_ONE; </t>
        </is>
      </c>
      <c r="I508" s="23" t="inlineStr">
        <is>
          <t>Carried forward</t>
        </is>
      </c>
      <c r="J508" s="14" t="inlineStr">
        <is>
          <t>08 CROSSWALK</t>
        </is>
      </c>
    </row>
    <row r="509" ht="49" customHeight="1">
      <c r="A509" s="23" t="inlineStr">
        <is>
          <t>R1164-v2</t>
        </is>
      </c>
      <c r="B509" s="23" t="inlineStr">
        <is>
          <t>Cost &amp; Forecast Control Accounts / CST-02-002</t>
        </is>
      </c>
      <c r="C509" s="23" t="inlineStr">
        <is>
          <t>Cost Account = CA-2002; WBS Code = 1.2.2</t>
        </is>
      </c>
      <c r="D509" s="23" t="inlineStr">
        <is>
          <t>Proposed by Source assignment; target 1.2.2 Stations - Architectural Fit-Out</t>
        </is>
      </c>
      <c r="E509" s="23" t="inlineStr">
        <is>
          <t>None recorded</t>
        </is>
      </c>
      <c r="F509" s="23" t="inlineStr">
        <is>
          <t>No individual professional decision recorded; Source assignment -- not individually reviewed</t>
        </is>
      </c>
      <c r="G509" s="23" t="inlineStr">
        <is>
          <t>Not individually decided</t>
        </is>
      </c>
      <c r="H509" s="23" t="inlineStr">
        <is>
          <t xml:space="preserve">RETAINED / ONE_TO_ONE; </t>
        </is>
      </c>
      <c r="I509" s="23" t="inlineStr">
        <is>
          <t>Carried forward</t>
        </is>
      </c>
      <c r="J509" s="14" t="inlineStr">
        <is>
          <t>08 CROSSWALK</t>
        </is>
      </c>
    </row>
    <row r="510" ht="49" customHeight="1">
      <c r="A510" s="23" t="inlineStr">
        <is>
          <t>R1166-v2</t>
        </is>
      </c>
      <c r="B510" s="23" t="inlineStr">
        <is>
          <t>Cost &amp; Forecast Control Accounts / CST-02-004</t>
        </is>
      </c>
      <c r="C510" s="23" t="inlineStr">
        <is>
          <t>Cost Account = CA-2004; WBS Code = 1.2.2</t>
        </is>
      </c>
      <c r="D510" s="23" t="inlineStr">
        <is>
          <t>Proposed by Source assignment; target 1.2.2 Stations - Architectural Fit-Out</t>
        </is>
      </c>
      <c r="E510" s="23" t="inlineStr">
        <is>
          <t>None recorded</t>
        </is>
      </c>
      <c r="F510" s="23" t="inlineStr">
        <is>
          <t>No individual professional decision recorded; Source assignment -- not individually reviewed</t>
        </is>
      </c>
      <c r="G510" s="23" t="inlineStr">
        <is>
          <t>Not individually decided</t>
        </is>
      </c>
      <c r="H510" s="23" t="inlineStr">
        <is>
          <t xml:space="preserve">RETAINED / ONE_TO_ONE; </t>
        </is>
      </c>
      <c r="I510" s="23" t="inlineStr">
        <is>
          <t>Carried forward</t>
        </is>
      </c>
      <c r="J510" s="14" t="inlineStr">
        <is>
          <t>08 CROSSWALK</t>
        </is>
      </c>
    </row>
    <row r="511" ht="49" customHeight="1">
      <c r="A511" s="23" t="inlineStr">
        <is>
          <t>R1168-v2</t>
        </is>
      </c>
      <c r="B511" s="23" t="inlineStr">
        <is>
          <t>Cost &amp; Forecast Control Accounts / CST-02-006</t>
        </is>
      </c>
      <c r="C511" s="23" t="inlineStr">
        <is>
          <t>Cost Account = CA-2006; WBS Code = 1.2.2</t>
        </is>
      </c>
      <c r="D511" s="23" t="inlineStr">
        <is>
          <t>Proposed by Source assignment; target 1.2.2 Stations - Architectural Fit-Out</t>
        </is>
      </c>
      <c r="E511" s="23" t="inlineStr">
        <is>
          <t>None recorded</t>
        </is>
      </c>
      <c r="F511" s="23" t="inlineStr">
        <is>
          <t>No individual professional decision recorded; Source assignment -- not individually reviewed</t>
        </is>
      </c>
      <c r="G511" s="23" t="inlineStr">
        <is>
          <t>Not individually decided</t>
        </is>
      </c>
      <c r="H511" s="23" t="inlineStr">
        <is>
          <t xml:space="preserve">RETAINED / ONE_TO_ONE; </t>
        </is>
      </c>
      <c r="I511" s="23" t="inlineStr">
        <is>
          <t>Carried forward</t>
        </is>
      </c>
      <c r="J511" s="14" t="inlineStr">
        <is>
          <t>08 CROSSWALK</t>
        </is>
      </c>
    </row>
    <row r="512" ht="49" customHeight="1">
      <c r="A512" s="23" t="inlineStr">
        <is>
          <t>R1170-v2</t>
        </is>
      </c>
      <c r="B512" s="23" t="inlineStr">
        <is>
          <t>Cost &amp; Forecast Control Accounts / CST-02-008</t>
        </is>
      </c>
      <c r="C512" s="23" t="inlineStr">
        <is>
          <t>Cost Account = CA-2008; WBS Code = 1.2.2</t>
        </is>
      </c>
      <c r="D512" s="23" t="inlineStr">
        <is>
          <t>Proposed by Source assignment; target 1.2.2 Stations - Architectural Fit-Out</t>
        </is>
      </c>
      <c r="E512" s="23" t="inlineStr">
        <is>
          <t>None recorded</t>
        </is>
      </c>
      <c r="F512" s="23" t="inlineStr">
        <is>
          <t>No individual professional decision recorded; Source assignment -- not individually reviewed</t>
        </is>
      </c>
      <c r="G512" s="23" t="inlineStr">
        <is>
          <t>Not individually decided</t>
        </is>
      </c>
      <c r="H512" s="23" t="inlineStr">
        <is>
          <t xml:space="preserve">RETAINED / ONE_TO_ONE; </t>
        </is>
      </c>
      <c r="I512" s="23" t="inlineStr">
        <is>
          <t>Carried forward</t>
        </is>
      </c>
      <c r="J512" s="14" t="inlineStr">
        <is>
          <t>08 CROSSWALK</t>
        </is>
      </c>
    </row>
    <row r="513" ht="49" customHeight="1">
      <c r="A513" s="23" t="inlineStr">
        <is>
          <t>R1172-v2</t>
        </is>
      </c>
      <c r="B513" s="23" t="inlineStr">
        <is>
          <t>Cost &amp; Forecast Control Accounts / CST-02-010</t>
        </is>
      </c>
      <c r="C513" s="23" t="inlineStr">
        <is>
          <t>Cost Account = CA-2010; WBS Code = 1.2.2</t>
        </is>
      </c>
      <c r="D513" s="23" t="inlineStr">
        <is>
          <t>Proposed by Source assignment; target 1.2.2 Stations - Architectural Fit-Out</t>
        </is>
      </c>
      <c r="E513" s="23" t="inlineStr">
        <is>
          <t>None recorded</t>
        </is>
      </c>
      <c r="F513" s="23" t="inlineStr">
        <is>
          <t>No individual professional decision recorded; Source assignment -- not individually reviewed</t>
        </is>
      </c>
      <c r="G513" s="23" t="inlineStr">
        <is>
          <t>Not individually decided</t>
        </is>
      </c>
      <c r="H513" s="23" t="inlineStr">
        <is>
          <t xml:space="preserve">RETAINED / ONE_TO_ONE; </t>
        </is>
      </c>
      <c r="I513" s="23" t="inlineStr">
        <is>
          <t>Carried forward</t>
        </is>
      </c>
      <c r="J513" s="14" t="inlineStr">
        <is>
          <t>08 CROSSWALK</t>
        </is>
      </c>
    </row>
    <row r="514" ht="49" customHeight="1">
      <c r="A514" s="23" t="inlineStr">
        <is>
          <t>R1174-v2</t>
        </is>
      </c>
      <c r="B514" s="23" t="inlineStr">
        <is>
          <t>Cost &amp; Forecast Control Accounts / CST-02-012</t>
        </is>
      </c>
      <c r="C514" s="23" t="inlineStr">
        <is>
          <t>Cost Account = CA-2012; WBS Code = 1.2.2</t>
        </is>
      </c>
      <c r="D514" s="23" t="inlineStr">
        <is>
          <t>Proposed by Source assignment; target 1.2.2 Stations - Architectural Fit-Out</t>
        </is>
      </c>
      <c r="E514" s="23" t="inlineStr">
        <is>
          <t>None recorded</t>
        </is>
      </c>
      <c r="F514" s="23" t="inlineStr">
        <is>
          <t>No individual professional decision recorded; Source assignment -- not individually reviewed</t>
        </is>
      </c>
      <c r="G514" s="23" t="inlineStr">
        <is>
          <t>Not individually decided</t>
        </is>
      </c>
      <c r="H514" s="23" t="inlineStr">
        <is>
          <t xml:space="preserve">RETAINED / ONE_TO_ONE; </t>
        </is>
      </c>
      <c r="I514" s="23" t="inlineStr">
        <is>
          <t>Carried forward</t>
        </is>
      </c>
      <c r="J514" s="14" t="inlineStr">
        <is>
          <t>08 CROSSWALK</t>
        </is>
      </c>
    </row>
    <row r="515" ht="49" customHeight="1">
      <c r="A515" s="23" t="inlineStr">
        <is>
          <t>R1176-v2</t>
        </is>
      </c>
      <c r="B515" s="23" t="inlineStr">
        <is>
          <t>Cost &amp; Forecast Control Accounts / CST-02-014</t>
        </is>
      </c>
      <c r="C515" s="23" t="inlineStr">
        <is>
          <t>Cost Account = CA-2014; WBS Code = 1.2.2</t>
        </is>
      </c>
      <c r="D515" s="23" t="inlineStr">
        <is>
          <t>Proposed by Source assignment; target 1.2.2 Stations - Architectural Fit-Out</t>
        </is>
      </c>
      <c r="E515" s="23" t="inlineStr">
        <is>
          <t>None recorded</t>
        </is>
      </c>
      <c r="F515" s="23" t="inlineStr">
        <is>
          <t>No individual professional decision recorded; Source assignment -- not individually reviewed</t>
        </is>
      </c>
      <c r="G515" s="23" t="inlineStr">
        <is>
          <t>Not individually decided</t>
        </is>
      </c>
      <c r="H515" s="23" t="inlineStr">
        <is>
          <t xml:space="preserve">RETAINED / ONE_TO_ONE; </t>
        </is>
      </c>
      <c r="I515" s="23" t="inlineStr">
        <is>
          <t>Carried forward</t>
        </is>
      </c>
      <c r="J515" s="14" t="inlineStr">
        <is>
          <t>08 CROSSWALK</t>
        </is>
      </c>
    </row>
    <row r="516" ht="49" customHeight="1">
      <c r="A516" s="23" t="inlineStr">
        <is>
          <t>R1178-v2</t>
        </is>
      </c>
      <c r="B516" s="23" t="inlineStr">
        <is>
          <t>Cost &amp; Forecast Control Accounts / CST-02-016</t>
        </is>
      </c>
      <c r="C516" s="23" t="inlineStr">
        <is>
          <t>Cost Account = CA-2016; WBS Code = 1.2.2</t>
        </is>
      </c>
      <c r="D516" s="23" t="inlineStr">
        <is>
          <t>Proposed by Source assignment; target 1.2.2 Stations - Architectural Fit-Out</t>
        </is>
      </c>
      <c r="E516" s="23" t="inlineStr">
        <is>
          <t>None recorded</t>
        </is>
      </c>
      <c r="F516" s="23" t="inlineStr">
        <is>
          <t>No individual professional decision recorded; Source assignment -- not individually reviewed</t>
        </is>
      </c>
      <c r="G516" s="23" t="inlineStr">
        <is>
          <t>Not individually decided</t>
        </is>
      </c>
      <c r="H516" s="23" t="inlineStr">
        <is>
          <t xml:space="preserve">RETAINED / ONE_TO_ONE; </t>
        </is>
      </c>
      <c r="I516" s="23" t="inlineStr">
        <is>
          <t>Carried forward</t>
        </is>
      </c>
      <c r="J516" s="14" t="inlineStr">
        <is>
          <t>08 CROSSWALK</t>
        </is>
      </c>
    </row>
    <row r="517" ht="49" customHeight="1">
      <c r="A517" s="23" t="inlineStr">
        <is>
          <t>R1180-v2</t>
        </is>
      </c>
      <c r="B517" s="23" t="inlineStr">
        <is>
          <t>Cost &amp; Forecast Control Accounts / CST-02-018</t>
        </is>
      </c>
      <c r="C517" s="23" t="inlineStr">
        <is>
          <t>Cost Account = CA-2018; WBS Code = 1.2.2</t>
        </is>
      </c>
      <c r="D517" s="23" t="inlineStr">
        <is>
          <t>Proposed by Source assignment; target 1.2.2 Stations - Architectural Fit-Out</t>
        </is>
      </c>
      <c r="E517" s="23" t="inlineStr">
        <is>
          <t>None recorded</t>
        </is>
      </c>
      <c r="F517" s="23" t="inlineStr">
        <is>
          <t>No individual professional decision recorded; Source assignment -- not individually reviewed</t>
        </is>
      </c>
      <c r="G517" s="23" t="inlineStr">
        <is>
          <t>Not individually decided</t>
        </is>
      </c>
      <c r="H517" s="23" t="inlineStr">
        <is>
          <t xml:space="preserve">RETAINED / ONE_TO_ONE; </t>
        </is>
      </c>
      <c r="I517" s="23" t="inlineStr">
        <is>
          <t>Carried forward</t>
        </is>
      </c>
      <c r="J517" s="14" t="inlineStr">
        <is>
          <t>08 CROSSWALK</t>
        </is>
      </c>
    </row>
    <row r="518" ht="49" customHeight="1">
      <c r="A518" s="23" t="inlineStr">
        <is>
          <t>R1182-v2</t>
        </is>
      </c>
      <c r="B518" s="23" t="inlineStr">
        <is>
          <t>Cost &amp; Forecast Control Accounts / CST-02-020</t>
        </is>
      </c>
      <c r="C518" s="23" t="inlineStr">
        <is>
          <t>Cost Account = CA-2020; WBS Code = 1.2.2</t>
        </is>
      </c>
      <c r="D518" s="23" t="inlineStr">
        <is>
          <t>Proposed by Source assignment; target 1.2.2 Stations - Architectural Fit-Out</t>
        </is>
      </c>
      <c r="E518" s="23" t="inlineStr">
        <is>
          <t>None recorded</t>
        </is>
      </c>
      <c r="F518" s="23" t="inlineStr">
        <is>
          <t>No individual professional decision recorded; Source assignment -- not individually reviewed</t>
        </is>
      </c>
      <c r="G518" s="23" t="inlineStr">
        <is>
          <t>Not individually decided</t>
        </is>
      </c>
      <c r="H518" s="23" t="inlineStr">
        <is>
          <t xml:space="preserve">RETAINED / ONE_TO_ONE; </t>
        </is>
      </c>
      <c r="I518" s="23" t="inlineStr">
        <is>
          <t>Carried forward</t>
        </is>
      </c>
      <c r="J518" s="14" t="inlineStr">
        <is>
          <t>08 CROSSWALK</t>
        </is>
      </c>
    </row>
    <row r="519" ht="49" customHeight="1">
      <c r="A519" s="23" t="inlineStr">
        <is>
          <t>R1184-v2</t>
        </is>
      </c>
      <c r="B519" s="23" t="inlineStr">
        <is>
          <t>Cost &amp; Forecast Control Accounts / CST-02-022</t>
        </is>
      </c>
      <c r="C519" s="23" t="inlineStr">
        <is>
          <t>Cost Account = CA-2022; WBS Code = 1.2.2</t>
        </is>
      </c>
      <c r="D519" s="23" t="inlineStr">
        <is>
          <t>Proposed by Source assignment; target 1.2.2 Stations - Architectural Fit-Out</t>
        </is>
      </c>
      <c r="E519" s="23" t="inlineStr">
        <is>
          <t>None recorded</t>
        </is>
      </c>
      <c r="F519" s="23" t="inlineStr">
        <is>
          <t>No individual professional decision recorded; Source assignment -- not individually reviewed</t>
        </is>
      </c>
      <c r="G519" s="23" t="inlineStr">
        <is>
          <t>Not individually decided</t>
        </is>
      </c>
      <c r="H519" s="23" t="inlineStr">
        <is>
          <t xml:space="preserve">RETAINED / ONE_TO_ONE; </t>
        </is>
      </c>
      <c r="I519" s="23" t="inlineStr">
        <is>
          <t>Carried forward</t>
        </is>
      </c>
      <c r="J519" s="14" t="inlineStr">
        <is>
          <t>08 CROSSWALK</t>
        </is>
      </c>
    </row>
    <row r="520" ht="49" customHeight="1">
      <c r="A520" s="23" t="inlineStr">
        <is>
          <t>R1186-v2</t>
        </is>
      </c>
      <c r="B520" s="23" t="inlineStr">
        <is>
          <t>Cost &amp; Forecast Control Accounts / CST-02-024</t>
        </is>
      </c>
      <c r="C520" s="23" t="inlineStr">
        <is>
          <t>Cost Account = CA-2024; WBS Code = 1.2.2</t>
        </is>
      </c>
      <c r="D520" s="23" t="inlineStr">
        <is>
          <t>Proposed by Source assignment; target 1.2.2 Stations - Architectural Fit-Out</t>
        </is>
      </c>
      <c r="E520" s="23" t="inlineStr">
        <is>
          <t>None recorded</t>
        </is>
      </c>
      <c r="F520" s="23" t="inlineStr">
        <is>
          <t>No individual professional decision recorded; Source assignment -- not individually reviewed</t>
        </is>
      </c>
      <c r="G520" s="23" t="inlineStr">
        <is>
          <t>Not individually decided</t>
        </is>
      </c>
      <c r="H520" s="23" t="inlineStr">
        <is>
          <t xml:space="preserve">RETAINED / ONE_TO_ONE; </t>
        </is>
      </c>
      <c r="I520" s="23" t="inlineStr">
        <is>
          <t>Carried forward</t>
        </is>
      </c>
      <c r="J520" s="14" t="inlineStr">
        <is>
          <t>08 CROSSWALK</t>
        </is>
      </c>
    </row>
    <row r="521" ht="49" customHeight="1">
      <c r="A521" s="23" t="inlineStr">
        <is>
          <t>R1188-v2</t>
        </is>
      </c>
      <c r="B521" s="23" t="inlineStr">
        <is>
          <t>Cost &amp; Forecast Control Accounts / CST-02-026</t>
        </is>
      </c>
      <c r="C521" s="23" t="inlineStr">
        <is>
          <t>Cost Account = CA-2026; WBS Code = 1.2.2</t>
        </is>
      </c>
      <c r="D521" s="23" t="inlineStr">
        <is>
          <t>Proposed by Source assignment; target 1.2.2 Stations - Architectural Fit-Out</t>
        </is>
      </c>
      <c r="E521" s="23" t="inlineStr">
        <is>
          <t>None recorded</t>
        </is>
      </c>
      <c r="F521" s="23" t="inlineStr">
        <is>
          <t>No individual professional decision recorded; Source assignment -- not individually reviewed</t>
        </is>
      </c>
      <c r="G521" s="23" t="inlineStr">
        <is>
          <t>Not individually decided</t>
        </is>
      </c>
      <c r="H521" s="23" t="inlineStr">
        <is>
          <t xml:space="preserve">RETAINED / ONE_TO_ONE; </t>
        </is>
      </c>
      <c r="I521" s="23" t="inlineStr">
        <is>
          <t>Carried forward</t>
        </is>
      </c>
      <c r="J521" s="14" t="inlineStr">
        <is>
          <t>08 CROSSWALK</t>
        </is>
      </c>
    </row>
    <row r="522" ht="49" customHeight="1">
      <c r="A522" s="23" t="inlineStr">
        <is>
          <t>R1190-v2</t>
        </is>
      </c>
      <c r="B522" s="23" t="inlineStr">
        <is>
          <t>Cost &amp; Forecast Control Accounts / CST-02-028</t>
        </is>
      </c>
      <c r="C522" s="23" t="inlineStr">
        <is>
          <t>Cost Account = CA-2028; WBS Code = 1.2.2</t>
        </is>
      </c>
      <c r="D522" s="23" t="inlineStr">
        <is>
          <t>Proposed by Source assignment; target 1.2.2 Stations - Architectural Fit-Out</t>
        </is>
      </c>
      <c r="E522" s="23" t="inlineStr">
        <is>
          <t>None recorded</t>
        </is>
      </c>
      <c r="F522" s="23" t="inlineStr">
        <is>
          <t>No individual professional decision recorded; Source assignment -- not individually reviewed</t>
        </is>
      </c>
      <c r="G522" s="23" t="inlineStr">
        <is>
          <t>Not individually decided</t>
        </is>
      </c>
      <c r="H522" s="23" t="inlineStr">
        <is>
          <t xml:space="preserve">RETAINED / ONE_TO_ONE; </t>
        </is>
      </c>
      <c r="I522" s="23" t="inlineStr">
        <is>
          <t>Carried forward</t>
        </is>
      </c>
      <c r="J522" s="14" t="inlineStr">
        <is>
          <t>08 CROSSWALK</t>
        </is>
      </c>
    </row>
    <row r="523" ht="49" customHeight="1">
      <c r="A523" s="23" t="inlineStr">
        <is>
          <t>R1192-v2</t>
        </is>
      </c>
      <c r="B523" s="23" t="inlineStr">
        <is>
          <t>Cost &amp; Forecast Control Accounts / CST-02-030</t>
        </is>
      </c>
      <c r="C523" s="23" t="inlineStr">
        <is>
          <t>Cost Account = CA-2030; WBS Code = 1.2.2</t>
        </is>
      </c>
      <c r="D523" s="23" t="inlineStr">
        <is>
          <t>Proposed by Source assignment; target 1.2.2 Stations - Architectural Fit-Out</t>
        </is>
      </c>
      <c r="E523" s="23" t="inlineStr">
        <is>
          <t>None recorded</t>
        </is>
      </c>
      <c r="F523" s="23" t="inlineStr">
        <is>
          <t>No individual professional decision recorded; Source assignment -- not individually reviewed</t>
        </is>
      </c>
      <c r="G523" s="23" t="inlineStr">
        <is>
          <t>Not individually decided</t>
        </is>
      </c>
      <c r="H523" s="23" t="inlineStr">
        <is>
          <t xml:space="preserve">RETAINED / ONE_TO_ONE; </t>
        </is>
      </c>
      <c r="I523" s="23" t="inlineStr">
        <is>
          <t>Carried forward</t>
        </is>
      </c>
      <c r="J523" s="14" t="inlineStr">
        <is>
          <t>08 CROSSWALK</t>
        </is>
      </c>
    </row>
    <row r="524" ht="49" customHeight="1">
      <c r="A524" s="23" t="inlineStr">
        <is>
          <t>R1194-v2</t>
        </is>
      </c>
      <c r="B524" s="23" t="inlineStr">
        <is>
          <t>Cost &amp; Forecast Control Accounts / CST-02-032</t>
        </is>
      </c>
      <c r="C524" s="23" t="inlineStr">
        <is>
          <t>Cost Account = CA-2032; WBS Code = 1.2.2</t>
        </is>
      </c>
      <c r="D524" s="23" t="inlineStr">
        <is>
          <t>Proposed by Source assignment; target 1.2.2 Stations - Architectural Fit-Out</t>
        </is>
      </c>
      <c r="E524" s="23" t="inlineStr">
        <is>
          <t>None recorded</t>
        </is>
      </c>
      <c r="F524" s="23" t="inlineStr">
        <is>
          <t>No individual professional decision recorded; Source assignment -- not individually reviewed</t>
        </is>
      </c>
      <c r="G524" s="23" t="inlineStr">
        <is>
          <t>Not individually decided</t>
        </is>
      </c>
      <c r="H524" s="23" t="inlineStr">
        <is>
          <t xml:space="preserve">RETAINED / ONE_TO_ONE; </t>
        </is>
      </c>
      <c r="I524" s="23" t="inlineStr">
        <is>
          <t>Carried forward</t>
        </is>
      </c>
      <c r="J524" s="14" t="inlineStr">
        <is>
          <t>08 CROSSWALK</t>
        </is>
      </c>
    </row>
    <row r="525" ht="49" customHeight="1">
      <c r="A525" s="23" t="inlineStr">
        <is>
          <t>R1196-v2</t>
        </is>
      </c>
      <c r="B525" s="23" t="inlineStr">
        <is>
          <t>Cost &amp; Forecast Control Accounts / CST-02-034</t>
        </is>
      </c>
      <c r="C525" s="23" t="inlineStr">
        <is>
          <t>Cost Account = CA-2034; WBS Code = 1.2.2</t>
        </is>
      </c>
      <c r="D525" s="23" t="inlineStr">
        <is>
          <t>Proposed by Source assignment; target 1.2.2 Stations - Architectural Fit-Out</t>
        </is>
      </c>
      <c r="E525" s="23" t="inlineStr">
        <is>
          <t>None recorded</t>
        </is>
      </c>
      <c r="F525" s="23" t="inlineStr">
        <is>
          <t>No individual professional decision recorded; Source assignment -- not individually reviewed</t>
        </is>
      </c>
      <c r="G525" s="23" t="inlineStr">
        <is>
          <t>Not individually decided</t>
        </is>
      </c>
      <c r="H525" s="23" t="inlineStr">
        <is>
          <t xml:space="preserve">RETAINED / ONE_TO_ONE; </t>
        </is>
      </c>
      <c r="I525" s="23" t="inlineStr">
        <is>
          <t>Carried forward</t>
        </is>
      </c>
      <c r="J525" s="14" t="inlineStr">
        <is>
          <t>08 CROSSWALK</t>
        </is>
      </c>
    </row>
    <row r="526" ht="49" customHeight="1">
      <c r="A526" s="23" t="inlineStr">
        <is>
          <t>R1198-v2</t>
        </is>
      </c>
      <c r="B526" s="23" t="inlineStr">
        <is>
          <t>Cost &amp; Forecast Control Accounts / CST-02-036</t>
        </is>
      </c>
      <c r="C526" s="23" t="inlineStr">
        <is>
          <t>Cost Account = CA-2036; WBS Code = 1.2.2</t>
        </is>
      </c>
      <c r="D526" s="23" t="inlineStr">
        <is>
          <t>Proposed by Source assignment; target 1.2.2 Stations - Architectural Fit-Out</t>
        </is>
      </c>
      <c r="E526" s="23" t="inlineStr">
        <is>
          <t>None recorded</t>
        </is>
      </c>
      <c r="F526" s="23" t="inlineStr">
        <is>
          <t>No individual professional decision recorded; Source assignment -- not individually reviewed</t>
        </is>
      </c>
      <c r="G526" s="23" t="inlineStr">
        <is>
          <t>Not individually decided</t>
        </is>
      </c>
      <c r="H526" s="23" t="inlineStr">
        <is>
          <t xml:space="preserve">RETAINED / ONE_TO_ONE; </t>
        </is>
      </c>
      <c r="I526" s="23" t="inlineStr">
        <is>
          <t>Carried forward</t>
        </is>
      </c>
      <c r="J526" s="14" t="inlineStr">
        <is>
          <t>08 CROSSWALK</t>
        </is>
      </c>
    </row>
    <row r="527" ht="49" customHeight="1">
      <c r="A527" s="23" t="inlineStr">
        <is>
          <t>R1200-v2</t>
        </is>
      </c>
      <c r="B527" s="23" t="inlineStr">
        <is>
          <t>Cost &amp; Forecast Control Accounts / CST-02-038</t>
        </is>
      </c>
      <c r="C527" s="23" t="inlineStr">
        <is>
          <t>Cost Account = CA-2038; WBS Code = 1.2.2</t>
        </is>
      </c>
      <c r="D527" s="23" t="inlineStr">
        <is>
          <t>Proposed by Source assignment; target 1.2.2 Stations - Architectural Fit-Out</t>
        </is>
      </c>
      <c r="E527" s="23" t="inlineStr">
        <is>
          <t>None recorded</t>
        </is>
      </c>
      <c r="F527" s="23" t="inlineStr">
        <is>
          <t>No individual professional decision recorded; Source assignment -- not individually reviewed</t>
        </is>
      </c>
      <c r="G527" s="23" t="inlineStr">
        <is>
          <t>Not individually decided</t>
        </is>
      </c>
      <c r="H527" s="23" t="inlineStr">
        <is>
          <t xml:space="preserve">RETAINED / ONE_TO_ONE; </t>
        </is>
      </c>
      <c r="I527" s="23" t="inlineStr">
        <is>
          <t>Carried forward</t>
        </is>
      </c>
      <c r="J527" s="14" t="inlineStr">
        <is>
          <t>08 CROSSWALK</t>
        </is>
      </c>
    </row>
    <row r="528" ht="49" customHeight="1">
      <c r="A528" s="23" t="inlineStr">
        <is>
          <t>R1202-v2</t>
        </is>
      </c>
      <c r="B528" s="23" t="inlineStr">
        <is>
          <t>Cost &amp; Forecast Control Accounts / CST-02-040</t>
        </is>
      </c>
      <c r="C528" s="23" t="inlineStr">
        <is>
          <t>Cost Account = CA-2040; WBS Code = 1.2.2</t>
        </is>
      </c>
      <c r="D528" s="23" t="inlineStr">
        <is>
          <t>Proposed by Source assignment; target 1.2.2 Stations - Architectural Fit-Out</t>
        </is>
      </c>
      <c r="E528" s="23" t="inlineStr">
        <is>
          <t>None recorded</t>
        </is>
      </c>
      <c r="F528" s="23" t="inlineStr">
        <is>
          <t>No individual professional decision recorded; Source assignment -- not individually reviewed</t>
        </is>
      </c>
      <c r="G528" s="23" t="inlineStr">
        <is>
          <t>Not individually decided</t>
        </is>
      </c>
      <c r="H528" s="23" t="inlineStr">
        <is>
          <t xml:space="preserve">RETAINED / ONE_TO_ONE; </t>
        </is>
      </c>
      <c r="I528" s="23" t="inlineStr">
        <is>
          <t>Carried forward</t>
        </is>
      </c>
      <c r="J528" s="14" t="inlineStr">
        <is>
          <t>08 CROSSWALK</t>
        </is>
      </c>
    </row>
    <row r="529" ht="49" customHeight="1">
      <c r="A529" s="23" t="inlineStr">
        <is>
          <t>R1204-v2</t>
        </is>
      </c>
      <c r="B529" s="23" t="inlineStr">
        <is>
          <t>Cost &amp; Forecast Control Accounts / CST-02-042</t>
        </is>
      </c>
      <c r="C529" s="23" t="inlineStr">
        <is>
          <t>Cost Account = CA-2042; WBS Code = 1.2.2</t>
        </is>
      </c>
      <c r="D529" s="23" t="inlineStr">
        <is>
          <t>Proposed by Source assignment; target 1.2.2 Stations - Architectural Fit-Out</t>
        </is>
      </c>
      <c r="E529" s="23" t="inlineStr">
        <is>
          <t>None recorded</t>
        </is>
      </c>
      <c r="F529" s="23" t="inlineStr">
        <is>
          <t>No individual professional decision recorded; Source assignment -- not individually reviewed</t>
        </is>
      </c>
      <c r="G529" s="23" t="inlineStr">
        <is>
          <t>Not individually decided</t>
        </is>
      </c>
      <c r="H529" s="23" t="inlineStr">
        <is>
          <t xml:space="preserve">RETAINED / ONE_TO_ONE; </t>
        </is>
      </c>
      <c r="I529" s="23" t="inlineStr">
        <is>
          <t>Carried forward</t>
        </is>
      </c>
      <c r="J529" s="14" t="inlineStr">
        <is>
          <t>08 CROSSWALK</t>
        </is>
      </c>
    </row>
    <row r="530" ht="49" customHeight="1">
      <c r="A530" s="23" t="inlineStr">
        <is>
          <t>R1206-v2</t>
        </is>
      </c>
      <c r="B530" s="23" t="inlineStr">
        <is>
          <t>Cost &amp; Forecast Control Accounts / CST-02-044</t>
        </is>
      </c>
      <c r="C530" s="23" t="inlineStr">
        <is>
          <t>Cost Account = CA-2044; WBS Code = 1.2.2</t>
        </is>
      </c>
      <c r="D530" s="23" t="inlineStr">
        <is>
          <t>Proposed by Source assignment; target 1.2.2 Stations - Architectural Fit-Out</t>
        </is>
      </c>
      <c r="E530" s="23" t="inlineStr">
        <is>
          <t>None recorded</t>
        </is>
      </c>
      <c r="F530" s="23" t="inlineStr">
        <is>
          <t>No individual professional decision recorded; Source assignment -- not individually reviewed</t>
        </is>
      </c>
      <c r="G530" s="23" t="inlineStr">
        <is>
          <t>Not individually decided</t>
        </is>
      </c>
      <c r="H530" s="23" t="inlineStr">
        <is>
          <t xml:space="preserve">RETAINED / ONE_TO_ONE; </t>
        </is>
      </c>
      <c r="I530" s="23" t="inlineStr">
        <is>
          <t>Carried forward</t>
        </is>
      </c>
      <c r="J530" s="14" t="inlineStr">
        <is>
          <t>08 CROSSWALK</t>
        </is>
      </c>
    </row>
    <row r="531" ht="49" customHeight="1">
      <c r="A531" s="23" t="inlineStr">
        <is>
          <t>R1208-v2</t>
        </is>
      </c>
      <c r="B531" s="23" t="inlineStr">
        <is>
          <t>Cost &amp; Forecast Control Accounts / CST-02-046</t>
        </is>
      </c>
      <c r="C531" s="23" t="inlineStr">
        <is>
          <t>Cost Account = CA-2046; WBS Code = 1.2.2</t>
        </is>
      </c>
      <c r="D531" s="23" t="inlineStr">
        <is>
          <t>Proposed by Source assignment; target 1.2.2 Stations - Architectural Fit-Out</t>
        </is>
      </c>
      <c r="E531" s="23" t="inlineStr">
        <is>
          <t>None recorded</t>
        </is>
      </c>
      <c r="F531" s="23" t="inlineStr">
        <is>
          <t>No individual professional decision recorded; Source assignment -- not individually reviewed</t>
        </is>
      </c>
      <c r="G531" s="23" t="inlineStr">
        <is>
          <t>Not individually decided</t>
        </is>
      </c>
      <c r="H531" s="23" t="inlineStr">
        <is>
          <t xml:space="preserve">RETAINED / ONE_TO_ONE; </t>
        </is>
      </c>
      <c r="I531" s="23" t="inlineStr">
        <is>
          <t>Carried forward</t>
        </is>
      </c>
      <c r="J531" s="14" t="inlineStr">
        <is>
          <t>08 CROSSWALK</t>
        </is>
      </c>
    </row>
    <row r="532" ht="49" customHeight="1">
      <c r="A532" s="23" t="inlineStr">
        <is>
          <t>R1210-v2</t>
        </is>
      </c>
      <c r="B532" s="23" t="inlineStr">
        <is>
          <t>Cost &amp; Forecast Control Accounts / CST-02-048</t>
        </is>
      </c>
      <c r="C532" s="23" t="inlineStr">
        <is>
          <t>Cost Account = CA-2048; WBS Code = 1.2.2</t>
        </is>
      </c>
      <c r="D532" s="23" t="inlineStr">
        <is>
          <t>Proposed by Source assignment; target 1.2.2 Stations - Architectural Fit-Out</t>
        </is>
      </c>
      <c r="E532" s="23" t="inlineStr">
        <is>
          <t>None recorded</t>
        </is>
      </c>
      <c r="F532" s="23" t="inlineStr">
        <is>
          <t>No individual professional decision recorded; Source assignment -- not individually reviewed</t>
        </is>
      </c>
      <c r="G532" s="23" t="inlineStr">
        <is>
          <t>Not individually decided</t>
        </is>
      </c>
      <c r="H532" s="23" t="inlineStr">
        <is>
          <t xml:space="preserve">RETAINED / ONE_TO_ONE; </t>
        </is>
      </c>
      <c r="I532" s="23" t="inlineStr">
        <is>
          <t>Carried forward</t>
        </is>
      </c>
      <c r="J532" s="14" t="inlineStr">
        <is>
          <t>08 CROSSWALK</t>
        </is>
      </c>
    </row>
    <row r="533" ht="49" customHeight="1">
      <c r="A533" s="23" t="inlineStr">
        <is>
          <t>R1212-v2</t>
        </is>
      </c>
      <c r="B533" s="23" t="inlineStr">
        <is>
          <t>Cost &amp; Forecast Control Accounts / CST-02-050</t>
        </is>
      </c>
      <c r="C533" s="23" t="inlineStr">
        <is>
          <t>Cost Account = CA-2050; WBS Code = 1.2.2</t>
        </is>
      </c>
      <c r="D533" s="23" t="inlineStr">
        <is>
          <t>Proposed by Source assignment; target 1.2.2 Stations - Architectural Fit-Out</t>
        </is>
      </c>
      <c r="E533" s="23" t="inlineStr">
        <is>
          <t>None recorded</t>
        </is>
      </c>
      <c r="F533" s="23" t="inlineStr">
        <is>
          <t>No individual professional decision recorded; Source assignment -- not individually reviewed</t>
        </is>
      </c>
      <c r="G533" s="23" t="inlineStr">
        <is>
          <t>Not individually decided</t>
        </is>
      </c>
      <c r="H533" s="23" t="inlineStr">
        <is>
          <t xml:space="preserve">RETAINED / ONE_TO_ONE; </t>
        </is>
      </c>
      <c r="I533" s="23" t="inlineStr">
        <is>
          <t>Carried forward</t>
        </is>
      </c>
      <c r="J533" s="14" t="inlineStr">
        <is>
          <t>08 CROSSWALK</t>
        </is>
      </c>
    </row>
    <row r="534" ht="49" customHeight="1">
      <c r="A534" s="23" t="inlineStr">
        <is>
          <t>R1214-v2</t>
        </is>
      </c>
      <c r="B534" s="23" t="inlineStr">
        <is>
          <t>Cost &amp; Forecast Control Accounts / CST-02-052</t>
        </is>
      </c>
      <c r="C534" s="23" t="inlineStr">
        <is>
          <t>Cost Account = CA-2052; WBS Code = 1.2.2</t>
        </is>
      </c>
      <c r="D534" s="23" t="inlineStr">
        <is>
          <t>Proposed by Source assignment; target 1.2.2 Stations - Architectural Fit-Out</t>
        </is>
      </c>
      <c r="E534" s="23" t="inlineStr">
        <is>
          <t>None recorded</t>
        </is>
      </c>
      <c r="F534" s="23" t="inlineStr">
        <is>
          <t>No individual professional decision recorded; Source assignment -- not individually reviewed</t>
        </is>
      </c>
      <c r="G534" s="23" t="inlineStr">
        <is>
          <t>Not individually decided</t>
        </is>
      </c>
      <c r="H534" s="23" t="inlineStr">
        <is>
          <t xml:space="preserve">RETAINED / ONE_TO_ONE; </t>
        </is>
      </c>
      <c r="I534" s="23" t="inlineStr">
        <is>
          <t>Carried forward</t>
        </is>
      </c>
      <c r="J534" s="14" t="inlineStr">
        <is>
          <t>08 CROSSWALK</t>
        </is>
      </c>
    </row>
    <row r="535" ht="49" customHeight="1">
      <c r="A535" s="23" t="inlineStr">
        <is>
          <t>R1216-v2</t>
        </is>
      </c>
      <c r="B535" s="23" t="inlineStr">
        <is>
          <t>Cost &amp; Forecast Control Accounts / CST-02-054</t>
        </is>
      </c>
      <c r="C535" s="23" t="inlineStr">
        <is>
          <t>Cost Account = CA-2054; WBS Code = 1.2.2</t>
        </is>
      </c>
      <c r="D535" s="23" t="inlineStr">
        <is>
          <t>Proposed by Source assignment; target 1.2.2 Stations - Architectural Fit-Out</t>
        </is>
      </c>
      <c r="E535" s="23" t="inlineStr">
        <is>
          <t>None recorded</t>
        </is>
      </c>
      <c r="F535" s="23" t="inlineStr">
        <is>
          <t>No individual professional decision recorded; Source assignment -- not individually reviewed</t>
        </is>
      </c>
      <c r="G535" s="23" t="inlineStr">
        <is>
          <t>Not individually decided</t>
        </is>
      </c>
      <c r="H535" s="23" t="inlineStr">
        <is>
          <t xml:space="preserve">RETAINED / ONE_TO_ONE; </t>
        </is>
      </c>
      <c r="I535" s="23" t="inlineStr">
        <is>
          <t>Carried forward</t>
        </is>
      </c>
      <c r="J535" s="14" t="inlineStr">
        <is>
          <t>08 CROSSWALK</t>
        </is>
      </c>
    </row>
    <row r="536" ht="49" customHeight="1">
      <c r="A536" s="23" t="inlineStr">
        <is>
          <t>R1218-v2</t>
        </is>
      </c>
      <c r="B536" s="23" t="inlineStr">
        <is>
          <t>Cost &amp; Forecast Control Accounts / CST-02-056</t>
        </is>
      </c>
      <c r="C536" s="23" t="inlineStr">
        <is>
          <t>Cost Account = CA-2056; WBS Code = 1.2.2</t>
        </is>
      </c>
      <c r="D536" s="23" t="inlineStr">
        <is>
          <t>Proposed by Source assignment; target 1.2.2 Stations - Architectural Fit-Out</t>
        </is>
      </c>
      <c r="E536" s="23" t="inlineStr">
        <is>
          <t>None recorded</t>
        </is>
      </c>
      <c r="F536" s="23" t="inlineStr">
        <is>
          <t>No individual professional decision recorded; Source assignment -- not individually reviewed</t>
        </is>
      </c>
      <c r="G536" s="23" t="inlineStr">
        <is>
          <t>Not individually decided</t>
        </is>
      </c>
      <c r="H536" s="23" t="inlineStr">
        <is>
          <t xml:space="preserve">RETAINED / ONE_TO_ONE; </t>
        </is>
      </c>
      <c r="I536" s="23" t="inlineStr">
        <is>
          <t>Carried forward</t>
        </is>
      </c>
      <c r="J536" s="14" t="inlineStr">
        <is>
          <t>08 CROSSWALK</t>
        </is>
      </c>
    </row>
    <row r="537" ht="49" customHeight="1">
      <c r="A537" s="23" t="inlineStr">
        <is>
          <t>R1220-v2</t>
        </is>
      </c>
      <c r="B537" s="23" t="inlineStr">
        <is>
          <t>Cost &amp; Forecast Control Accounts / CST-02-058</t>
        </is>
      </c>
      <c r="C537" s="23" t="inlineStr">
        <is>
          <t>Cost Account = CA-2058; WBS Code = 1.2.2</t>
        </is>
      </c>
      <c r="D537" s="23" t="inlineStr">
        <is>
          <t>Proposed by Source assignment; target 1.2.2 Stations - Architectural Fit-Out</t>
        </is>
      </c>
      <c r="E537" s="23" t="inlineStr">
        <is>
          <t>None recorded</t>
        </is>
      </c>
      <c r="F537" s="23" t="inlineStr">
        <is>
          <t>No individual professional decision recorded; Source assignment -- not individually reviewed</t>
        </is>
      </c>
      <c r="G537" s="23" t="inlineStr">
        <is>
          <t>Not individually decided</t>
        </is>
      </c>
      <c r="H537" s="23" t="inlineStr">
        <is>
          <t xml:space="preserve">RETAINED / ONE_TO_ONE; </t>
        </is>
      </c>
      <c r="I537" s="23" t="inlineStr">
        <is>
          <t>Carried forward</t>
        </is>
      </c>
      <c r="J537" s="14" t="inlineStr">
        <is>
          <t>08 CROSSWALK</t>
        </is>
      </c>
    </row>
    <row r="538" ht="49" customHeight="1">
      <c r="A538" s="23" t="inlineStr">
        <is>
          <t>R1222-v2</t>
        </is>
      </c>
      <c r="B538" s="23" t="inlineStr">
        <is>
          <t>Cost &amp; Forecast Control Accounts / CST-02-060</t>
        </is>
      </c>
      <c r="C538" s="23" t="inlineStr">
        <is>
          <t>Cost Account = CA-2060; WBS Code = 1.2.2</t>
        </is>
      </c>
      <c r="D538" s="23" t="inlineStr">
        <is>
          <t>Proposed by Source assignment; target 1.2.2 Stations - Architectural Fit-Out</t>
        </is>
      </c>
      <c r="E538" s="23" t="inlineStr">
        <is>
          <t>None recorded</t>
        </is>
      </c>
      <c r="F538" s="23" t="inlineStr">
        <is>
          <t>No individual professional decision recorded; Source assignment -- not individually reviewed</t>
        </is>
      </c>
      <c r="G538" s="23" t="inlineStr">
        <is>
          <t>Not individually decided</t>
        </is>
      </c>
      <c r="H538" s="23" t="inlineStr">
        <is>
          <t xml:space="preserve">RETAINED / ONE_TO_ONE; </t>
        </is>
      </c>
      <c r="I538" s="23" t="inlineStr">
        <is>
          <t>Carried forward</t>
        </is>
      </c>
      <c r="J538" s="14" t="inlineStr">
        <is>
          <t>08 CROSSWALK</t>
        </is>
      </c>
    </row>
    <row r="539" ht="49" customHeight="1">
      <c r="A539" s="23" t="inlineStr">
        <is>
          <t>R1224-v2</t>
        </is>
      </c>
      <c r="B539" s="23" t="inlineStr">
        <is>
          <t>Cost &amp; Forecast Control Accounts / CST-02-062</t>
        </is>
      </c>
      <c r="C539" s="23" t="inlineStr">
        <is>
          <t>Cost Account = CA-2062; WBS Code = 1.2.2</t>
        </is>
      </c>
      <c r="D539" s="23" t="inlineStr">
        <is>
          <t>Proposed by Source assignment; target 1.2.2 Stations - Architectural Fit-Out</t>
        </is>
      </c>
      <c r="E539" s="23" t="inlineStr">
        <is>
          <t>None recorded</t>
        </is>
      </c>
      <c r="F539" s="23" t="inlineStr">
        <is>
          <t>No individual professional decision recorded; Source assignment -- not individually reviewed</t>
        </is>
      </c>
      <c r="G539" s="23" t="inlineStr">
        <is>
          <t>Not individually decided</t>
        </is>
      </c>
      <c r="H539" s="23" t="inlineStr">
        <is>
          <t xml:space="preserve">RETAINED / ONE_TO_ONE; </t>
        </is>
      </c>
      <c r="I539" s="23" t="inlineStr">
        <is>
          <t>Carried forward</t>
        </is>
      </c>
      <c r="J539" s="14" t="inlineStr">
        <is>
          <t>08 CROSSWALK</t>
        </is>
      </c>
    </row>
    <row r="540" ht="49" customHeight="1">
      <c r="A540" s="23" t="inlineStr">
        <is>
          <t>R1226-v2</t>
        </is>
      </c>
      <c r="B540" s="23" t="inlineStr">
        <is>
          <t>Cost &amp; Forecast Control Accounts / CST-02-064</t>
        </is>
      </c>
      <c r="C540" s="23" t="inlineStr">
        <is>
          <t>Cost Account = CA-2064; WBS Code = 1.2.2</t>
        </is>
      </c>
      <c r="D540" s="23" t="inlineStr">
        <is>
          <t>Proposed by Source assignment; target 1.2.2 Stations - Architectural Fit-Out</t>
        </is>
      </c>
      <c r="E540" s="23" t="inlineStr">
        <is>
          <t>None recorded</t>
        </is>
      </c>
      <c r="F540" s="23" t="inlineStr">
        <is>
          <t>No individual professional decision recorded; Source assignment -- not individually reviewed</t>
        </is>
      </c>
      <c r="G540" s="23" t="inlineStr">
        <is>
          <t>Not individually decided</t>
        </is>
      </c>
      <c r="H540" s="23" t="inlineStr">
        <is>
          <t xml:space="preserve">RETAINED / ONE_TO_ONE; </t>
        </is>
      </c>
      <c r="I540" s="23" t="inlineStr">
        <is>
          <t>Carried forward</t>
        </is>
      </c>
      <c r="J540" s="14" t="inlineStr">
        <is>
          <t>08 CROSSWALK</t>
        </is>
      </c>
    </row>
    <row r="541" ht="49" customHeight="1">
      <c r="A541" s="23" t="inlineStr">
        <is>
          <t>R1228-v2</t>
        </is>
      </c>
      <c r="B541" s="23" t="inlineStr">
        <is>
          <t>Cost &amp; Forecast Control Accounts / CST-02-066</t>
        </is>
      </c>
      <c r="C541" s="23" t="inlineStr">
        <is>
          <t>Cost Account = CA-2066; WBS Code = 1.2.2</t>
        </is>
      </c>
      <c r="D541" s="23" t="inlineStr">
        <is>
          <t>Proposed by Source assignment; target 1.2.2 Stations - Architectural Fit-Out</t>
        </is>
      </c>
      <c r="E541" s="23" t="inlineStr">
        <is>
          <t>None recorded</t>
        </is>
      </c>
      <c r="F541" s="23" t="inlineStr">
        <is>
          <t>No individual professional decision recorded; Source assignment -- not individually reviewed</t>
        </is>
      </c>
      <c r="G541" s="23" t="inlineStr">
        <is>
          <t>Not individually decided</t>
        </is>
      </c>
      <c r="H541" s="23" t="inlineStr">
        <is>
          <t xml:space="preserve">RETAINED / ONE_TO_ONE; </t>
        </is>
      </c>
      <c r="I541" s="23" t="inlineStr">
        <is>
          <t>Carried forward</t>
        </is>
      </c>
      <c r="J541" s="14" t="inlineStr">
        <is>
          <t>08 CROSSWALK</t>
        </is>
      </c>
    </row>
    <row r="542" ht="49" customHeight="1">
      <c r="A542" s="23" t="inlineStr">
        <is>
          <t>R1230-v2</t>
        </is>
      </c>
      <c r="B542" s="23" t="inlineStr">
        <is>
          <t>Cost &amp; Forecast Control Accounts / CST-02-068</t>
        </is>
      </c>
      <c r="C542" s="23" t="inlineStr">
        <is>
          <t>Cost Account = CA-2068; WBS Code = 1.2.2</t>
        </is>
      </c>
      <c r="D542" s="23" t="inlineStr">
        <is>
          <t>Proposed by Source assignment; target 1.2.2 Stations - Architectural Fit-Out</t>
        </is>
      </c>
      <c r="E542" s="23" t="inlineStr">
        <is>
          <t>None recorded</t>
        </is>
      </c>
      <c r="F542" s="23" t="inlineStr">
        <is>
          <t>No individual professional decision recorded; Source assignment -- not individually reviewed</t>
        </is>
      </c>
      <c r="G542" s="23" t="inlineStr">
        <is>
          <t>Not individually decided</t>
        </is>
      </c>
      <c r="H542" s="23" t="inlineStr">
        <is>
          <t xml:space="preserve">RETAINED / ONE_TO_ONE; </t>
        </is>
      </c>
      <c r="I542" s="23" t="inlineStr">
        <is>
          <t>Carried forward</t>
        </is>
      </c>
      <c r="J542" s="14" t="inlineStr">
        <is>
          <t>08 CROSSWALK</t>
        </is>
      </c>
    </row>
    <row r="543" ht="49" customHeight="1">
      <c r="A543" s="23" t="inlineStr">
        <is>
          <t>R1232-v2</t>
        </is>
      </c>
      <c r="B543" s="23" t="inlineStr">
        <is>
          <t>Cost &amp; Forecast Control Accounts / CST-02-070</t>
        </is>
      </c>
      <c r="C543" s="23" t="inlineStr">
        <is>
          <t>Cost Account = CA-2070; WBS Code = 1.2.2</t>
        </is>
      </c>
      <c r="D543" s="23" t="inlineStr">
        <is>
          <t>Proposed by Source assignment; target 1.2.2 Stations - Architectural Fit-Out</t>
        </is>
      </c>
      <c r="E543" s="23" t="inlineStr">
        <is>
          <t>None recorded</t>
        </is>
      </c>
      <c r="F543" s="23" t="inlineStr">
        <is>
          <t>No individual professional decision recorded; Source assignment -- not individually reviewed</t>
        </is>
      </c>
      <c r="G543" s="23" t="inlineStr">
        <is>
          <t>Not individually decided</t>
        </is>
      </c>
      <c r="H543" s="23" t="inlineStr">
        <is>
          <t xml:space="preserve">RETAINED / ONE_TO_ONE; </t>
        </is>
      </c>
      <c r="I543" s="23" t="inlineStr">
        <is>
          <t>Carried forward</t>
        </is>
      </c>
      <c r="J543" s="14" t="inlineStr">
        <is>
          <t>08 CROSSWALK</t>
        </is>
      </c>
    </row>
    <row r="544" ht="49" customHeight="1">
      <c r="A544" s="23" t="inlineStr">
        <is>
          <t>R1234-v2</t>
        </is>
      </c>
      <c r="B544" s="23" t="inlineStr">
        <is>
          <t>Cost &amp; Forecast Control Accounts / CST-02-072</t>
        </is>
      </c>
      <c r="C544" s="23" t="inlineStr">
        <is>
          <t>Cost Account = CA-2072; WBS Code = 1.2.2</t>
        </is>
      </c>
      <c r="D544" s="23" t="inlineStr">
        <is>
          <t>Proposed by Source assignment; target 1.2.2 Stations - Architectural Fit-Out</t>
        </is>
      </c>
      <c r="E544" s="23" t="inlineStr">
        <is>
          <t>None recorded</t>
        </is>
      </c>
      <c r="F544" s="23" t="inlineStr">
        <is>
          <t>No individual professional decision recorded; Source assignment -- not individually reviewed</t>
        </is>
      </c>
      <c r="G544" s="23" t="inlineStr">
        <is>
          <t>Not individually decided</t>
        </is>
      </c>
      <c r="H544" s="23" t="inlineStr">
        <is>
          <t xml:space="preserve">RETAINED / ONE_TO_ONE; </t>
        </is>
      </c>
      <c r="I544" s="23" t="inlineStr">
        <is>
          <t>Carried forward</t>
        </is>
      </c>
      <c r="J544" s="14" t="inlineStr">
        <is>
          <t>08 CROSSWALK</t>
        </is>
      </c>
    </row>
    <row r="545" ht="49" customHeight="1">
      <c r="A545" s="23" t="inlineStr">
        <is>
          <t>R1236-v2</t>
        </is>
      </c>
      <c r="B545" s="23" t="inlineStr">
        <is>
          <t>Cost &amp; Forecast Control Accounts / CST-02-074</t>
        </is>
      </c>
      <c r="C545" s="23" t="inlineStr">
        <is>
          <t>Cost Account = CA-2074; WBS Code = 1.2.2</t>
        </is>
      </c>
      <c r="D545" s="23" t="inlineStr">
        <is>
          <t>Proposed by Source assignment; target 1.2.2 Stations - Architectural Fit-Out</t>
        </is>
      </c>
      <c r="E545" s="23" t="inlineStr">
        <is>
          <t>None recorded</t>
        </is>
      </c>
      <c r="F545" s="23" t="inlineStr">
        <is>
          <t>No individual professional decision recorded; Source assignment -- not individually reviewed</t>
        </is>
      </c>
      <c r="G545" s="23" t="inlineStr">
        <is>
          <t>Not individually decided</t>
        </is>
      </c>
      <c r="H545" s="23" t="inlineStr">
        <is>
          <t xml:space="preserve">RETAINED / ONE_TO_ONE; </t>
        </is>
      </c>
      <c r="I545" s="23" t="inlineStr">
        <is>
          <t>Carried forward</t>
        </is>
      </c>
      <c r="J545" s="14" t="inlineStr">
        <is>
          <t>08 CROSSWALK</t>
        </is>
      </c>
    </row>
    <row r="546" ht="49" customHeight="1">
      <c r="A546" s="23" t="inlineStr">
        <is>
          <t>R1238-v2</t>
        </is>
      </c>
      <c r="B546" s="23" t="inlineStr">
        <is>
          <t>Cost &amp; Forecast Control Accounts / CST-02-076</t>
        </is>
      </c>
      <c r="C546" s="23" t="inlineStr">
        <is>
          <t>Cost Account = CA-2076; WBS Code = 1.2.2</t>
        </is>
      </c>
      <c r="D546" s="23" t="inlineStr">
        <is>
          <t>Proposed by Source assignment; target 1.2.2 Stations - Architectural Fit-Out</t>
        </is>
      </c>
      <c r="E546" s="23" t="inlineStr">
        <is>
          <t>None recorded</t>
        </is>
      </c>
      <c r="F546" s="23" t="inlineStr">
        <is>
          <t>No individual professional decision recorded; Source assignment -- not individually reviewed</t>
        </is>
      </c>
      <c r="G546" s="23" t="inlineStr">
        <is>
          <t>Not individually decided</t>
        </is>
      </c>
      <c r="H546" s="23" t="inlineStr">
        <is>
          <t xml:space="preserve">RETAINED / ONE_TO_ONE; </t>
        </is>
      </c>
      <c r="I546" s="23" t="inlineStr">
        <is>
          <t>Carried forward</t>
        </is>
      </c>
      <c r="J546" s="14" t="inlineStr">
        <is>
          <t>08 CROSSWALK</t>
        </is>
      </c>
    </row>
    <row r="547" ht="49" customHeight="1">
      <c r="A547" s="23" t="inlineStr">
        <is>
          <t>R1240-v2</t>
        </is>
      </c>
      <c r="B547" s="23" t="inlineStr">
        <is>
          <t>Cost &amp; Forecast Control Accounts / CST-02-078</t>
        </is>
      </c>
      <c r="C547" s="23" t="inlineStr">
        <is>
          <t>Cost Account = CA-2078; WBS Code = 1.2.2</t>
        </is>
      </c>
      <c r="D547" s="23" t="inlineStr">
        <is>
          <t>Proposed by Source assignment; target 1.2.2 Stations - Architectural Fit-Out</t>
        </is>
      </c>
      <c r="E547" s="23" t="inlineStr">
        <is>
          <t>None recorded</t>
        </is>
      </c>
      <c r="F547" s="23" t="inlineStr">
        <is>
          <t>No individual professional decision recorded; Source assignment -- not individually reviewed</t>
        </is>
      </c>
      <c r="G547" s="23" t="inlineStr">
        <is>
          <t>Not individually decided</t>
        </is>
      </c>
      <c r="H547" s="23" t="inlineStr">
        <is>
          <t xml:space="preserve">RETAINED / ONE_TO_ONE; </t>
        </is>
      </c>
      <c r="I547" s="23" t="inlineStr">
        <is>
          <t>Carried forward</t>
        </is>
      </c>
      <c r="J547" s="14" t="inlineStr">
        <is>
          <t>08 CROSSWALK</t>
        </is>
      </c>
    </row>
    <row r="548" ht="49" customHeight="1">
      <c r="A548" s="23" t="inlineStr">
        <is>
          <t>R1242-v2</t>
        </is>
      </c>
      <c r="B548" s="23" t="inlineStr">
        <is>
          <t>Cost &amp; Forecast Control Accounts / CST-02-080</t>
        </is>
      </c>
      <c r="C548" s="23" t="inlineStr">
        <is>
          <t>Cost Account = CA-2080; WBS Code = 1.2.2</t>
        </is>
      </c>
      <c r="D548" s="23" t="inlineStr">
        <is>
          <t>Proposed by Source assignment; target 1.2.2 Stations - Architectural Fit-Out</t>
        </is>
      </c>
      <c r="E548" s="23" t="inlineStr">
        <is>
          <t>None recorded</t>
        </is>
      </c>
      <c r="F548" s="23" t="inlineStr">
        <is>
          <t>No individual professional decision recorded; Source assignment -- not individually reviewed</t>
        </is>
      </c>
      <c r="G548" s="23" t="inlineStr">
        <is>
          <t>Not individually decided</t>
        </is>
      </c>
      <c r="H548" s="23" t="inlineStr">
        <is>
          <t xml:space="preserve">RETAINED / ONE_TO_ONE; </t>
        </is>
      </c>
      <c r="I548" s="23" t="inlineStr">
        <is>
          <t>Carried forward</t>
        </is>
      </c>
      <c r="J548" s="14" t="inlineStr">
        <is>
          <t>08 CROSSWALK</t>
        </is>
      </c>
    </row>
    <row r="549" ht="49" customHeight="1">
      <c r="A549" s="23" t="inlineStr">
        <is>
          <t>R1583-v2</t>
        </is>
      </c>
      <c r="B549" s="23" t="inlineStr">
        <is>
          <t>Commercial Package Register / PKG-021</t>
        </is>
      </c>
      <c r="C549" s="23" t="inlineStr">
        <is>
          <t>Package Code = PK-301; WBS Code = 1.3</t>
        </is>
      </c>
      <c r="D549" s="23" t="inlineStr">
        <is>
          <t>Proposed by Source assignment; target 1.3 Systems</t>
        </is>
      </c>
      <c r="E549" s="23" t="inlineStr">
        <is>
          <t>None recorded</t>
        </is>
      </c>
      <c r="F549" s="23" t="inlineStr">
        <is>
          <t>No individual professional decision recorded; Source assignment -- not individually reviewed</t>
        </is>
      </c>
      <c r="G549" s="23" t="inlineStr">
        <is>
          <t>Not individually decided</t>
        </is>
      </c>
      <c r="H549" s="23" t="inlineStr">
        <is>
          <t xml:space="preserve">RETAINED / ONE_TO_ONE; </t>
        </is>
      </c>
      <c r="I549" s="23" t="inlineStr">
        <is>
          <t>Carried forward</t>
        </is>
      </c>
      <c r="J549" s="14" t="inlineStr">
        <is>
          <t>08 CROSSWALK</t>
        </is>
      </c>
    </row>
    <row r="550" ht="49" customHeight="1">
      <c r="A550" s="23" t="inlineStr">
        <is>
          <t>R1584-v2</t>
        </is>
      </c>
      <c r="B550" s="23" t="inlineStr">
        <is>
          <t>Commercial Package Register / PKG-022</t>
        </is>
      </c>
      <c r="C550" s="23" t="inlineStr">
        <is>
          <t>Package Code = PK-302; WBS Code = 1.3</t>
        </is>
      </c>
      <c r="D550" s="23" t="inlineStr">
        <is>
          <t>Proposed by Source assignment; target 1.3 Systems</t>
        </is>
      </c>
      <c r="E550" s="23" t="inlineStr">
        <is>
          <t>None recorded</t>
        </is>
      </c>
      <c r="F550" s="23" t="inlineStr">
        <is>
          <t>No individual professional decision recorded; Source assignment -- not individually reviewed</t>
        </is>
      </c>
      <c r="G550" s="23" t="inlineStr">
        <is>
          <t>Not individually decided</t>
        </is>
      </c>
      <c r="H550" s="23" t="inlineStr">
        <is>
          <t xml:space="preserve">RETAINED / ONE_TO_ONE; </t>
        </is>
      </c>
      <c r="I550" s="23" t="inlineStr">
        <is>
          <t>Carried forward</t>
        </is>
      </c>
      <c r="J550" s="14" t="inlineStr">
        <is>
          <t>08 CROSSWALK</t>
        </is>
      </c>
    </row>
    <row r="551" ht="49" customHeight="1">
      <c r="A551" s="23" t="inlineStr">
        <is>
          <t>R1585-v2</t>
        </is>
      </c>
      <c r="B551" s="23" t="inlineStr">
        <is>
          <t>Commercial Package Register / PKG-023</t>
        </is>
      </c>
      <c r="C551" s="23" t="inlineStr">
        <is>
          <t>Package Code = PK-303; WBS Code = 1.3</t>
        </is>
      </c>
      <c r="D551" s="23" t="inlineStr">
        <is>
          <t>Proposed by Source assignment; target 1.3 Systems</t>
        </is>
      </c>
      <c r="E551" s="23" t="inlineStr">
        <is>
          <t>None recorded</t>
        </is>
      </c>
      <c r="F551" s="23" t="inlineStr">
        <is>
          <t>No individual professional decision recorded; Source assignment -- not individually reviewed</t>
        </is>
      </c>
      <c r="G551" s="23" t="inlineStr">
        <is>
          <t>Not individually decided</t>
        </is>
      </c>
      <c r="H551" s="23" t="inlineStr">
        <is>
          <t xml:space="preserve">RETAINED / ONE_TO_ONE; </t>
        </is>
      </c>
      <c r="I551" s="23" t="inlineStr">
        <is>
          <t>Carried forward</t>
        </is>
      </c>
      <c r="J551" s="14" t="inlineStr">
        <is>
          <t>08 CROSSWALK</t>
        </is>
      </c>
    </row>
    <row r="552" ht="49" customHeight="1">
      <c r="A552" s="23" t="inlineStr">
        <is>
          <t>R1586-v2</t>
        </is>
      </c>
      <c r="B552" s="23" t="inlineStr">
        <is>
          <t>Commercial Package Register / PKG-024</t>
        </is>
      </c>
      <c r="C552" s="23" t="inlineStr">
        <is>
          <t>Package Code = PK-304; WBS Code = 1.3</t>
        </is>
      </c>
      <c r="D552" s="23" t="inlineStr">
        <is>
          <t>Proposed by Source assignment; target 1.3 Systems</t>
        </is>
      </c>
      <c r="E552" s="23" t="inlineStr">
        <is>
          <t>None recorded</t>
        </is>
      </c>
      <c r="F552" s="23" t="inlineStr">
        <is>
          <t>No individual professional decision recorded; Source assignment -- not individually reviewed</t>
        </is>
      </c>
      <c r="G552" s="23" t="inlineStr">
        <is>
          <t>Not individually decided</t>
        </is>
      </c>
      <c r="H552" s="23" t="inlineStr">
        <is>
          <t xml:space="preserve">RETAINED / ONE_TO_ONE; </t>
        </is>
      </c>
      <c r="I552" s="23" t="inlineStr">
        <is>
          <t>Carried forward</t>
        </is>
      </c>
      <c r="J552" s="14" t="inlineStr">
        <is>
          <t>08 CROSSWALK</t>
        </is>
      </c>
    </row>
    <row r="553" ht="49" customHeight="1">
      <c r="A553" s="23" t="inlineStr">
        <is>
          <t>R1587-v2</t>
        </is>
      </c>
      <c r="B553" s="23" t="inlineStr">
        <is>
          <t>Commercial Package Register / PKG-025</t>
        </is>
      </c>
      <c r="C553" s="23" t="inlineStr">
        <is>
          <t>Package Code = PK-305; WBS Code = 1.3</t>
        </is>
      </c>
      <c r="D553" s="23" t="inlineStr">
        <is>
          <t>Proposed by Source assignment; target 1.3 Systems</t>
        </is>
      </c>
      <c r="E553" s="23" t="inlineStr">
        <is>
          <t>None recorded</t>
        </is>
      </c>
      <c r="F553" s="23" t="inlineStr">
        <is>
          <t>No individual professional decision recorded; Source assignment -- not individually reviewed</t>
        </is>
      </c>
      <c r="G553" s="23" t="inlineStr">
        <is>
          <t>Not individually decided</t>
        </is>
      </c>
      <c r="H553" s="23" t="inlineStr">
        <is>
          <t xml:space="preserve">RETAINED / ONE_TO_ONE; </t>
        </is>
      </c>
      <c r="I553" s="23" t="inlineStr">
        <is>
          <t>Carried forward</t>
        </is>
      </c>
      <c r="J553" s="14" t="inlineStr">
        <is>
          <t>08 CROSSWALK</t>
        </is>
      </c>
    </row>
    <row r="554" ht="49" customHeight="1">
      <c r="A554" s="23" t="inlineStr">
        <is>
          <t>R1588-v2</t>
        </is>
      </c>
      <c r="B554" s="23" t="inlineStr">
        <is>
          <t>Commercial Package Register / PKG-026</t>
        </is>
      </c>
      <c r="C554" s="23" t="inlineStr">
        <is>
          <t>Package Code = PK-306; WBS Code = 1.3</t>
        </is>
      </c>
      <c r="D554" s="23" t="inlineStr">
        <is>
          <t>Proposed by Source assignment; target 1.3 Systems</t>
        </is>
      </c>
      <c r="E554" s="23" t="inlineStr">
        <is>
          <t>None recorded</t>
        </is>
      </c>
      <c r="F554" s="23" t="inlineStr">
        <is>
          <t>No individual professional decision recorded; Source assignment -- not individually reviewed</t>
        </is>
      </c>
      <c r="G554" s="23" t="inlineStr">
        <is>
          <t>Not individually decided</t>
        </is>
      </c>
      <c r="H554" s="23" t="inlineStr">
        <is>
          <t xml:space="preserve">RETAINED / ONE_TO_ONE; </t>
        </is>
      </c>
      <c r="I554" s="23" t="inlineStr">
        <is>
          <t>Carried forward</t>
        </is>
      </c>
      <c r="J554" s="14" t="inlineStr">
        <is>
          <t>08 CROSSWALK</t>
        </is>
      </c>
    </row>
    <row r="555" ht="49" customHeight="1">
      <c r="A555" s="23" t="inlineStr">
        <is>
          <t>R1589-v2</t>
        </is>
      </c>
      <c r="B555" s="23" t="inlineStr">
        <is>
          <t>Commercial Package Register / PKG-027</t>
        </is>
      </c>
      <c r="C555" s="23" t="inlineStr">
        <is>
          <t>Package Code = PK-307; WBS Code = 1.3</t>
        </is>
      </c>
      <c r="D555" s="23" t="inlineStr">
        <is>
          <t>Proposed by Source assignment; target 1.3 Systems</t>
        </is>
      </c>
      <c r="E555" s="23" t="inlineStr">
        <is>
          <t>None recorded</t>
        </is>
      </c>
      <c r="F555" s="23" t="inlineStr">
        <is>
          <t>No individual professional decision recorded; Source assignment -- not individually reviewed</t>
        </is>
      </c>
      <c r="G555" s="23" t="inlineStr">
        <is>
          <t>Not individually decided</t>
        </is>
      </c>
      <c r="H555" s="23" t="inlineStr">
        <is>
          <t xml:space="preserve">RETAINED / ONE_TO_ONE; </t>
        </is>
      </c>
      <c r="I555" s="23" t="inlineStr">
        <is>
          <t>Carried forward</t>
        </is>
      </c>
      <c r="J555" s="14" t="inlineStr">
        <is>
          <t>08 CROSSWALK</t>
        </is>
      </c>
    </row>
    <row r="556" ht="49" customHeight="1">
      <c r="A556" s="23" t="inlineStr">
        <is>
          <t>R1590-v2</t>
        </is>
      </c>
      <c r="B556" s="23" t="inlineStr">
        <is>
          <t>Commercial Package Register / PKG-028</t>
        </is>
      </c>
      <c r="C556" s="23" t="inlineStr">
        <is>
          <t>Package Code = PK-308; WBS Code = 1.3</t>
        </is>
      </c>
      <c r="D556" s="23" t="inlineStr">
        <is>
          <t>Proposed by Source assignment; target 1.3 Systems</t>
        </is>
      </c>
      <c r="E556" s="23" t="inlineStr">
        <is>
          <t>None recorded</t>
        </is>
      </c>
      <c r="F556" s="23" t="inlineStr">
        <is>
          <t>No individual professional decision recorded; Source assignment -- not individually reviewed</t>
        </is>
      </c>
      <c r="G556" s="23" t="inlineStr">
        <is>
          <t>Not individually decided</t>
        </is>
      </c>
      <c r="H556" s="23" t="inlineStr">
        <is>
          <t xml:space="preserve">RETAINED / ONE_TO_ONE; </t>
        </is>
      </c>
      <c r="I556" s="23" t="inlineStr">
        <is>
          <t>Carried forward</t>
        </is>
      </c>
      <c r="J556" s="14" t="inlineStr">
        <is>
          <t>08 CROSSWALK</t>
        </is>
      </c>
    </row>
    <row r="557" ht="49" customHeight="1">
      <c r="A557" s="23" t="inlineStr">
        <is>
          <t>R1591-v2</t>
        </is>
      </c>
      <c r="B557" s="23" t="inlineStr">
        <is>
          <t>Commercial Package Register / PKG-029</t>
        </is>
      </c>
      <c r="C557" s="23" t="inlineStr">
        <is>
          <t>Package Code = PK-309; WBS Code = 1.3</t>
        </is>
      </c>
      <c r="D557" s="23" t="inlineStr">
        <is>
          <t>Proposed by Source assignment; target 1.3 Systems</t>
        </is>
      </c>
      <c r="E557" s="23" t="inlineStr">
        <is>
          <t>None recorded</t>
        </is>
      </c>
      <c r="F557" s="23" t="inlineStr">
        <is>
          <t>No individual professional decision recorded; Source assignment -- not individually reviewed</t>
        </is>
      </c>
      <c r="G557" s="23" t="inlineStr">
        <is>
          <t>Not individually decided</t>
        </is>
      </c>
      <c r="H557" s="23" t="inlineStr">
        <is>
          <t xml:space="preserve">RETAINED / ONE_TO_ONE; </t>
        </is>
      </c>
      <c r="I557" s="23" t="inlineStr">
        <is>
          <t>Carried forward</t>
        </is>
      </c>
      <c r="J557" s="14" t="inlineStr">
        <is>
          <t>08 CROSSWALK</t>
        </is>
      </c>
    </row>
    <row r="558" ht="49" customHeight="1">
      <c r="A558" s="23" t="inlineStr">
        <is>
          <t>R1592-v2</t>
        </is>
      </c>
      <c r="B558" s="23" t="inlineStr">
        <is>
          <t>Commercial Package Register / PKG-030</t>
        </is>
      </c>
      <c r="C558" s="23" t="inlineStr">
        <is>
          <t>Package Code = PK-310; WBS Code = 1.3</t>
        </is>
      </c>
      <c r="D558" s="23" t="inlineStr">
        <is>
          <t>Proposed by Source assignment; target 1.3 Systems</t>
        </is>
      </c>
      <c r="E558" s="23" t="inlineStr">
        <is>
          <t>None recorded</t>
        </is>
      </c>
      <c r="F558" s="23" t="inlineStr">
        <is>
          <t>No individual professional decision recorded; Source assignment -- not individually reviewed</t>
        </is>
      </c>
      <c r="G558" s="23" t="inlineStr">
        <is>
          <t>Not individually decided</t>
        </is>
      </c>
      <c r="H558" s="23" t="inlineStr">
        <is>
          <t xml:space="preserve">RETAINED / ONE_TO_ONE; </t>
        </is>
      </c>
      <c r="I558" s="23" t="inlineStr">
        <is>
          <t>Carried forward</t>
        </is>
      </c>
      <c r="J558" s="14" t="inlineStr">
        <is>
          <t>08 CROSSWALK</t>
        </is>
      </c>
    </row>
    <row r="559" ht="49" customHeight="1">
      <c r="A559" s="23" t="inlineStr">
        <is>
          <t>R361-v2</t>
        </is>
      </c>
      <c r="B559" s="23" t="inlineStr">
        <is>
          <t>Contractor Programme / SCH-03-001</t>
        </is>
      </c>
      <c r="C559" s="23" t="inlineStr">
        <is>
          <t>WBS Code = 1.3.1</t>
        </is>
      </c>
      <c r="D559" s="23" t="inlineStr">
        <is>
          <t>Proposed by Source assignment; target 1.3.1 Systems - Traction Power</t>
        </is>
      </c>
      <c r="E559" s="23" t="inlineStr">
        <is>
          <t>None recorded</t>
        </is>
      </c>
      <c r="F559" s="23" t="inlineStr">
        <is>
          <t>No individual professional decision recorded; Source assignment -- not individually reviewed</t>
        </is>
      </c>
      <c r="G559" s="23" t="inlineStr">
        <is>
          <t>Not individually decided</t>
        </is>
      </c>
      <c r="H559" s="23" t="inlineStr">
        <is>
          <t xml:space="preserve">RETAINED / ONE_TO_ONE; </t>
        </is>
      </c>
      <c r="I559" s="23" t="inlineStr">
        <is>
          <t>Carried forward</t>
        </is>
      </c>
      <c r="J559" s="14" t="inlineStr">
        <is>
          <t>08 CROSSWALK</t>
        </is>
      </c>
    </row>
    <row r="560" ht="49" customHeight="1">
      <c r="A560" s="23" t="inlineStr">
        <is>
          <t>R362-v2</t>
        </is>
      </c>
      <c r="B560" s="23" t="inlineStr">
        <is>
          <t>Contractor Programme / SCH-03-002</t>
        </is>
      </c>
      <c r="C560" s="23" t="inlineStr">
        <is>
          <t>WBS Code = 1.3.1</t>
        </is>
      </c>
      <c r="D560" s="23" t="inlineStr">
        <is>
          <t>Proposed by Source assignment; target 1.3.1 Systems - Traction Power</t>
        </is>
      </c>
      <c r="E560" s="23" t="inlineStr">
        <is>
          <t>None recorded</t>
        </is>
      </c>
      <c r="F560" s="23" t="inlineStr">
        <is>
          <t>No individual professional decision recorded; Source assignment -- not individually reviewed</t>
        </is>
      </c>
      <c r="G560" s="23" t="inlineStr">
        <is>
          <t>Not individually decided</t>
        </is>
      </c>
      <c r="H560" s="23" t="inlineStr">
        <is>
          <t xml:space="preserve">RETAINED / ONE_TO_ONE; </t>
        </is>
      </c>
      <c r="I560" s="23" t="inlineStr">
        <is>
          <t>Carried forward</t>
        </is>
      </c>
      <c r="J560" s="14" t="inlineStr">
        <is>
          <t>08 CROSSWALK</t>
        </is>
      </c>
    </row>
    <row r="561" ht="49" customHeight="1">
      <c r="A561" s="23" t="inlineStr">
        <is>
          <t>R364-v2</t>
        </is>
      </c>
      <c r="B561" s="23" t="inlineStr">
        <is>
          <t>Contractor Programme / SCH-03-004</t>
        </is>
      </c>
      <c r="C561" s="23" t="inlineStr">
        <is>
          <t>WBS Code = 1.3.1</t>
        </is>
      </c>
      <c r="D561" s="23" t="inlineStr">
        <is>
          <t>Proposed by Source assignment; target 1.3.1 Systems - Traction Power</t>
        </is>
      </c>
      <c r="E561" s="23" t="inlineStr">
        <is>
          <t>None recorded</t>
        </is>
      </c>
      <c r="F561" s="23" t="inlineStr">
        <is>
          <t>No individual professional decision recorded; Source assignment -- not individually reviewed</t>
        </is>
      </c>
      <c r="G561" s="23" t="inlineStr">
        <is>
          <t>Not individually decided</t>
        </is>
      </c>
      <c r="H561" s="23" t="inlineStr">
        <is>
          <t xml:space="preserve">RETAINED / ONE_TO_ONE; </t>
        </is>
      </c>
      <c r="I561" s="23" t="inlineStr">
        <is>
          <t>Carried forward</t>
        </is>
      </c>
      <c r="J561" s="14" t="inlineStr">
        <is>
          <t>08 CROSSWALK</t>
        </is>
      </c>
    </row>
    <row r="562" ht="49" customHeight="1">
      <c r="A562" s="23" t="inlineStr">
        <is>
          <t>R365-v2</t>
        </is>
      </c>
      <c r="B562" s="23" t="inlineStr">
        <is>
          <t>Contractor Programme / SCH-03-005</t>
        </is>
      </c>
      <c r="C562" s="23" t="inlineStr">
        <is>
          <t>WBS Code = 1.3.1</t>
        </is>
      </c>
      <c r="D562" s="23" t="inlineStr">
        <is>
          <t>Proposed by Source assignment; target 1.3.1 Systems - Traction Power</t>
        </is>
      </c>
      <c r="E562" s="23" t="inlineStr">
        <is>
          <t>None recorded</t>
        </is>
      </c>
      <c r="F562" s="23" t="inlineStr">
        <is>
          <t>No individual professional decision recorded; Source assignment -- not individually reviewed</t>
        </is>
      </c>
      <c r="G562" s="23" t="inlineStr">
        <is>
          <t>Not individually decided</t>
        </is>
      </c>
      <c r="H562" s="23" t="inlineStr">
        <is>
          <t xml:space="preserve">RETAINED / ONE_TO_ONE; </t>
        </is>
      </c>
      <c r="I562" s="23" t="inlineStr">
        <is>
          <t>Carried forward</t>
        </is>
      </c>
      <c r="J562" s="14" t="inlineStr">
        <is>
          <t>08 CROSSWALK</t>
        </is>
      </c>
    </row>
    <row r="563" ht="49" customHeight="1">
      <c r="A563" s="23" t="inlineStr">
        <is>
          <t>R368-v2</t>
        </is>
      </c>
      <c r="B563" s="23" t="inlineStr">
        <is>
          <t>Contractor Programme / SCH-03-008</t>
        </is>
      </c>
      <c r="C563" s="23" t="inlineStr">
        <is>
          <t>WBS Code = 1.3.1</t>
        </is>
      </c>
      <c r="D563" s="23" t="inlineStr">
        <is>
          <t>Proposed by Source assignment; target 1.3.1 Systems - Traction Power</t>
        </is>
      </c>
      <c r="E563" s="23" t="inlineStr">
        <is>
          <t>None recorded</t>
        </is>
      </c>
      <c r="F563" s="23" t="inlineStr">
        <is>
          <t>No individual professional decision recorded; Source assignment -- not individually reviewed</t>
        </is>
      </c>
      <c r="G563" s="23" t="inlineStr">
        <is>
          <t>Not individually decided</t>
        </is>
      </c>
      <c r="H563" s="23" t="inlineStr">
        <is>
          <t xml:space="preserve">RETAINED / ONE_TO_ONE; </t>
        </is>
      </c>
      <c r="I563" s="23" t="inlineStr">
        <is>
          <t>Carried forward</t>
        </is>
      </c>
      <c r="J563" s="14" t="inlineStr">
        <is>
          <t>08 CROSSWALK</t>
        </is>
      </c>
    </row>
    <row r="564" ht="49" customHeight="1">
      <c r="A564" s="23" t="inlineStr">
        <is>
          <t>R370-v2</t>
        </is>
      </c>
      <c r="B564" s="23" t="inlineStr">
        <is>
          <t>Contractor Programme / SCH-03-010</t>
        </is>
      </c>
      <c r="C564" s="23" t="inlineStr">
        <is>
          <t>WBS Code = 1.3.1</t>
        </is>
      </c>
      <c r="D564" s="23" t="inlineStr">
        <is>
          <t>Proposed by Source assignment; target 1.3.1 Systems - Traction Power</t>
        </is>
      </c>
      <c r="E564" s="23" t="inlineStr">
        <is>
          <t>None recorded</t>
        </is>
      </c>
      <c r="F564" s="23" t="inlineStr">
        <is>
          <t>No individual professional decision recorded; Source assignment -- not individually reviewed</t>
        </is>
      </c>
      <c r="G564" s="23" t="inlineStr">
        <is>
          <t>Not individually decided</t>
        </is>
      </c>
      <c r="H564" s="23" t="inlineStr">
        <is>
          <t xml:space="preserve">RETAINED / ONE_TO_ONE; </t>
        </is>
      </c>
      <c r="I564" s="23" t="inlineStr">
        <is>
          <t>Carried forward</t>
        </is>
      </c>
      <c r="J564" s="14" t="inlineStr">
        <is>
          <t>08 CROSSWALK</t>
        </is>
      </c>
    </row>
    <row r="565" ht="49" customHeight="1">
      <c r="A565" s="23" t="inlineStr">
        <is>
          <t>R371-v2</t>
        </is>
      </c>
      <c r="B565" s="23" t="inlineStr">
        <is>
          <t>Contractor Programme / SCH-03-011</t>
        </is>
      </c>
      <c r="C565" s="23" t="inlineStr">
        <is>
          <t>WBS Code = 1.3.1</t>
        </is>
      </c>
      <c r="D565" s="23" t="inlineStr">
        <is>
          <t>Proposed by Source assignment; target 1.3.1 Systems - Traction Power</t>
        </is>
      </c>
      <c r="E565" s="23" t="inlineStr">
        <is>
          <t>None recorded</t>
        </is>
      </c>
      <c r="F565" s="23" t="inlineStr">
        <is>
          <t>No individual professional decision recorded; Source assignment -- not individually reviewed</t>
        </is>
      </c>
      <c r="G565" s="23" t="inlineStr">
        <is>
          <t>Not individually decided</t>
        </is>
      </c>
      <c r="H565" s="23" t="inlineStr">
        <is>
          <t xml:space="preserve">RETAINED / ONE_TO_ONE; </t>
        </is>
      </c>
      <c r="I565" s="23" t="inlineStr">
        <is>
          <t>Carried forward</t>
        </is>
      </c>
      <c r="J565" s="14" t="inlineStr">
        <is>
          <t>08 CROSSWALK</t>
        </is>
      </c>
    </row>
    <row r="566" ht="49" customHeight="1">
      <c r="A566" s="23" t="inlineStr">
        <is>
          <t>R373-v2</t>
        </is>
      </c>
      <c r="B566" s="23" t="inlineStr">
        <is>
          <t>Contractor Programme / SCH-03-013</t>
        </is>
      </c>
      <c r="C566" s="23" t="inlineStr">
        <is>
          <t>WBS Code = 1.3.1</t>
        </is>
      </c>
      <c r="D566" s="23" t="inlineStr">
        <is>
          <t>Proposed by Source assignment; target 1.3.1 Systems - Traction Power</t>
        </is>
      </c>
      <c r="E566" s="23" t="inlineStr">
        <is>
          <t>None recorded</t>
        </is>
      </c>
      <c r="F566" s="23" t="inlineStr">
        <is>
          <t>No individual professional decision recorded; Source assignment -- not individually reviewed</t>
        </is>
      </c>
      <c r="G566" s="23" t="inlineStr">
        <is>
          <t>Not individually decided</t>
        </is>
      </c>
      <c r="H566" s="23" t="inlineStr">
        <is>
          <t xml:space="preserve">RETAINED / ONE_TO_ONE; </t>
        </is>
      </c>
      <c r="I566" s="23" t="inlineStr">
        <is>
          <t>Carried forward</t>
        </is>
      </c>
      <c r="J566" s="14" t="inlineStr">
        <is>
          <t>08 CROSSWALK</t>
        </is>
      </c>
    </row>
    <row r="567" ht="49" customHeight="1">
      <c r="A567" s="23" t="inlineStr">
        <is>
          <t>R374-v2</t>
        </is>
      </c>
      <c r="B567" s="23" t="inlineStr">
        <is>
          <t>Contractor Programme / SCH-03-014</t>
        </is>
      </c>
      <c r="C567" s="23" t="inlineStr">
        <is>
          <t>WBS Code = 1.3.1</t>
        </is>
      </c>
      <c r="D567" s="23" t="inlineStr">
        <is>
          <t>Proposed by Source assignment; target 1.3.1 Systems - Traction Power</t>
        </is>
      </c>
      <c r="E567" s="23" t="inlineStr">
        <is>
          <t>None recorded</t>
        </is>
      </c>
      <c r="F567" s="23" t="inlineStr">
        <is>
          <t>No individual professional decision recorded; Source assignment -- not individually reviewed</t>
        </is>
      </c>
      <c r="G567" s="23" t="inlineStr">
        <is>
          <t>Not individually decided</t>
        </is>
      </c>
      <c r="H567" s="23" t="inlineStr">
        <is>
          <t xml:space="preserve">RETAINED / ONE_TO_ONE; </t>
        </is>
      </c>
      <c r="I567" s="23" t="inlineStr">
        <is>
          <t>Carried forward</t>
        </is>
      </c>
      <c r="J567" s="14" t="inlineStr">
        <is>
          <t>08 CROSSWALK</t>
        </is>
      </c>
    </row>
    <row r="568" ht="49" customHeight="1">
      <c r="A568" s="23" t="inlineStr">
        <is>
          <t>R376-v2</t>
        </is>
      </c>
      <c r="B568" s="23" t="inlineStr">
        <is>
          <t>Contractor Programme / SCH-03-016</t>
        </is>
      </c>
      <c r="C568" s="23" t="inlineStr">
        <is>
          <t>WBS Code = 1.3.1</t>
        </is>
      </c>
      <c r="D568" s="23" t="inlineStr">
        <is>
          <t>Proposed by Source assignment; target 1.3.1 Systems - Traction Power</t>
        </is>
      </c>
      <c r="E568" s="23" t="inlineStr">
        <is>
          <t>None recorded</t>
        </is>
      </c>
      <c r="F568" s="23" t="inlineStr">
        <is>
          <t>No individual professional decision recorded; Source assignment -- not individually reviewed</t>
        </is>
      </c>
      <c r="G568" s="23" t="inlineStr">
        <is>
          <t>Not individually decided</t>
        </is>
      </c>
      <c r="H568" s="23" t="inlineStr">
        <is>
          <t xml:space="preserve">RETAINED / ONE_TO_ONE; </t>
        </is>
      </c>
      <c r="I568" s="23" t="inlineStr">
        <is>
          <t>Carried forward</t>
        </is>
      </c>
      <c r="J568" s="14" t="inlineStr">
        <is>
          <t>08 CROSSWALK</t>
        </is>
      </c>
    </row>
    <row r="569" ht="49" customHeight="1">
      <c r="A569" s="23" t="inlineStr">
        <is>
          <t>R377-v2</t>
        </is>
      </c>
      <c r="B569" s="23" t="inlineStr">
        <is>
          <t>Contractor Programme / SCH-03-017</t>
        </is>
      </c>
      <c r="C569" s="23" t="inlineStr">
        <is>
          <t>WBS Code = 1.3.1</t>
        </is>
      </c>
      <c r="D569" s="23" t="inlineStr">
        <is>
          <t>Proposed by Source assignment; target 1.3.1 Systems - Traction Power</t>
        </is>
      </c>
      <c r="E569" s="23" t="inlineStr">
        <is>
          <t>None recorded</t>
        </is>
      </c>
      <c r="F569" s="23" t="inlineStr">
        <is>
          <t>No individual professional decision recorded; Source assignment -- not individually reviewed</t>
        </is>
      </c>
      <c r="G569" s="23" t="inlineStr">
        <is>
          <t>Not individually decided</t>
        </is>
      </c>
      <c r="H569" s="23" t="inlineStr">
        <is>
          <t xml:space="preserve">RETAINED / ONE_TO_ONE; </t>
        </is>
      </c>
      <c r="I569" s="23" t="inlineStr">
        <is>
          <t>Carried forward</t>
        </is>
      </c>
      <c r="J569" s="14" t="inlineStr">
        <is>
          <t>08 CROSSWALK</t>
        </is>
      </c>
    </row>
    <row r="570" ht="49" customHeight="1">
      <c r="A570" s="23" t="inlineStr">
        <is>
          <t>R379-v2</t>
        </is>
      </c>
      <c r="B570" s="23" t="inlineStr">
        <is>
          <t>Contractor Programme / SCH-03-019</t>
        </is>
      </c>
      <c r="C570" s="23" t="inlineStr">
        <is>
          <t>WBS Code = 1.3.1</t>
        </is>
      </c>
      <c r="D570" s="23" t="inlineStr">
        <is>
          <t>Proposed by Source assignment; target 1.3.1 Systems - Traction Power</t>
        </is>
      </c>
      <c r="E570" s="23" t="inlineStr">
        <is>
          <t>None recorded</t>
        </is>
      </c>
      <c r="F570" s="23" t="inlineStr">
        <is>
          <t>No individual professional decision recorded; Source assignment -- not individually reviewed</t>
        </is>
      </c>
      <c r="G570" s="23" t="inlineStr">
        <is>
          <t>Not individually decided</t>
        </is>
      </c>
      <c r="H570" s="23" t="inlineStr">
        <is>
          <t xml:space="preserve">RETAINED / ONE_TO_ONE; </t>
        </is>
      </c>
      <c r="I570" s="23" t="inlineStr">
        <is>
          <t>Carried forward</t>
        </is>
      </c>
      <c r="J570" s="14" t="inlineStr">
        <is>
          <t>08 CROSSWALK</t>
        </is>
      </c>
    </row>
    <row r="571" ht="49" customHeight="1">
      <c r="A571" s="23" t="inlineStr">
        <is>
          <t>R380-v2</t>
        </is>
      </c>
      <c r="B571" s="23" t="inlineStr">
        <is>
          <t>Contractor Programme / SCH-03-020</t>
        </is>
      </c>
      <c r="C571" s="23" t="inlineStr">
        <is>
          <t>WBS Code = 1.3.1</t>
        </is>
      </c>
      <c r="D571" s="23" t="inlineStr">
        <is>
          <t>Proposed by Source assignment; target 1.3.1 Systems - Traction Power</t>
        </is>
      </c>
      <c r="E571" s="23" t="inlineStr">
        <is>
          <t>None recorded</t>
        </is>
      </c>
      <c r="F571" s="23" t="inlineStr">
        <is>
          <t>No individual professional decision recorded; Source assignment -- not individually reviewed</t>
        </is>
      </c>
      <c r="G571" s="23" t="inlineStr">
        <is>
          <t>Not individually decided</t>
        </is>
      </c>
      <c r="H571" s="23" t="inlineStr">
        <is>
          <t xml:space="preserve">RETAINED / ONE_TO_ONE; </t>
        </is>
      </c>
      <c r="I571" s="23" t="inlineStr">
        <is>
          <t>Carried forward</t>
        </is>
      </c>
      <c r="J571" s="14" t="inlineStr">
        <is>
          <t>08 CROSSWALK</t>
        </is>
      </c>
    </row>
    <row r="572" ht="49" customHeight="1">
      <c r="A572" s="23" t="inlineStr">
        <is>
          <t>R382-v2</t>
        </is>
      </c>
      <c r="B572" s="23" t="inlineStr">
        <is>
          <t>Contractor Programme / SCH-03-022</t>
        </is>
      </c>
      <c r="C572" s="23" t="inlineStr">
        <is>
          <t>WBS Code = 1.3.1</t>
        </is>
      </c>
      <c r="D572" s="23" t="inlineStr">
        <is>
          <t>Proposed by Source assignment; target 1.3.1 Systems - Traction Power</t>
        </is>
      </c>
      <c r="E572" s="23" t="inlineStr">
        <is>
          <t>None recorded</t>
        </is>
      </c>
      <c r="F572" s="23" t="inlineStr">
        <is>
          <t>No individual professional decision recorded; Source assignment -- not individually reviewed</t>
        </is>
      </c>
      <c r="G572" s="23" t="inlineStr">
        <is>
          <t>Not individually decided</t>
        </is>
      </c>
      <c r="H572" s="23" t="inlineStr">
        <is>
          <t xml:space="preserve">RETAINED / ONE_TO_ONE; </t>
        </is>
      </c>
      <c r="I572" s="23" t="inlineStr">
        <is>
          <t>Carried forward</t>
        </is>
      </c>
      <c r="J572" s="14" t="inlineStr">
        <is>
          <t>08 CROSSWALK</t>
        </is>
      </c>
    </row>
    <row r="573" ht="49" customHeight="1">
      <c r="A573" s="23" t="inlineStr">
        <is>
          <t>R383-v2</t>
        </is>
      </c>
      <c r="B573" s="23" t="inlineStr">
        <is>
          <t>Contractor Programme / SCH-03-023</t>
        </is>
      </c>
      <c r="C573" s="23" t="inlineStr">
        <is>
          <t>WBS Code = 1.3.1</t>
        </is>
      </c>
      <c r="D573" s="23" t="inlineStr">
        <is>
          <t>Proposed by Source assignment; target 1.3.1 Systems - Traction Power</t>
        </is>
      </c>
      <c r="E573" s="23" t="inlineStr">
        <is>
          <t>None recorded</t>
        </is>
      </c>
      <c r="F573" s="23" t="inlineStr">
        <is>
          <t>No individual professional decision recorded; Source assignment -- not individually reviewed</t>
        </is>
      </c>
      <c r="G573" s="23" t="inlineStr">
        <is>
          <t>Not individually decided</t>
        </is>
      </c>
      <c r="H573" s="23" t="inlineStr">
        <is>
          <t xml:space="preserve">RETAINED / ONE_TO_ONE; </t>
        </is>
      </c>
      <c r="I573" s="23" t="inlineStr">
        <is>
          <t>Carried forward</t>
        </is>
      </c>
      <c r="J573" s="14" t="inlineStr">
        <is>
          <t>08 CROSSWALK</t>
        </is>
      </c>
    </row>
    <row r="574" ht="49" customHeight="1">
      <c r="A574" s="23" t="inlineStr">
        <is>
          <t>R385-v2</t>
        </is>
      </c>
      <c r="B574" s="23" t="inlineStr">
        <is>
          <t>Contractor Programme / SCH-03-025</t>
        </is>
      </c>
      <c r="C574" s="23" t="inlineStr">
        <is>
          <t>WBS Code = 1.3.1</t>
        </is>
      </c>
      <c r="D574" s="23" t="inlineStr">
        <is>
          <t>Proposed by Source assignment; target 1.3.1 Systems - Traction Power</t>
        </is>
      </c>
      <c r="E574" s="23" t="inlineStr">
        <is>
          <t>None recorded</t>
        </is>
      </c>
      <c r="F574" s="23" t="inlineStr">
        <is>
          <t>No individual professional decision recorded; Source assignment -- not individually reviewed</t>
        </is>
      </c>
      <c r="G574" s="23" t="inlineStr">
        <is>
          <t>Not individually decided</t>
        </is>
      </c>
      <c r="H574" s="23" t="inlineStr">
        <is>
          <t xml:space="preserve">RETAINED / ONE_TO_ONE; </t>
        </is>
      </c>
      <c r="I574" s="23" t="inlineStr">
        <is>
          <t>Carried forward</t>
        </is>
      </c>
      <c r="J574" s="14" t="inlineStr">
        <is>
          <t>08 CROSSWALK</t>
        </is>
      </c>
    </row>
    <row r="575" ht="49" customHeight="1">
      <c r="A575" s="23" t="inlineStr">
        <is>
          <t>R386-v2</t>
        </is>
      </c>
      <c r="B575" s="23" t="inlineStr">
        <is>
          <t>Contractor Programme / SCH-03-026</t>
        </is>
      </c>
      <c r="C575" s="23" t="inlineStr">
        <is>
          <t>WBS Code = 1.3.1</t>
        </is>
      </c>
      <c r="D575" s="23" t="inlineStr">
        <is>
          <t>Proposed by Source assignment; target 1.3.1 Systems - Traction Power</t>
        </is>
      </c>
      <c r="E575" s="23" t="inlineStr">
        <is>
          <t>None recorded</t>
        </is>
      </c>
      <c r="F575" s="23" t="inlineStr">
        <is>
          <t>No individual professional decision recorded; Source assignment -- not individually reviewed</t>
        </is>
      </c>
      <c r="G575" s="23" t="inlineStr">
        <is>
          <t>Not individually decided</t>
        </is>
      </c>
      <c r="H575" s="23" t="inlineStr">
        <is>
          <t xml:space="preserve">RETAINED / ONE_TO_ONE; </t>
        </is>
      </c>
      <c r="I575" s="23" t="inlineStr">
        <is>
          <t>Carried forward</t>
        </is>
      </c>
      <c r="J575" s="14" t="inlineStr">
        <is>
          <t>08 CROSSWALK</t>
        </is>
      </c>
    </row>
    <row r="576" ht="49" customHeight="1">
      <c r="A576" s="23" t="inlineStr">
        <is>
          <t>R388-v2</t>
        </is>
      </c>
      <c r="B576" s="23" t="inlineStr">
        <is>
          <t>Contractor Programme / SCH-03-028</t>
        </is>
      </c>
      <c r="C576" s="23" t="inlineStr">
        <is>
          <t>WBS Code = 1.3.1</t>
        </is>
      </c>
      <c r="D576" s="23" t="inlineStr">
        <is>
          <t>Proposed by Source assignment; target 1.3.1 Systems - Traction Power</t>
        </is>
      </c>
      <c r="E576" s="23" t="inlineStr">
        <is>
          <t>None recorded</t>
        </is>
      </c>
      <c r="F576" s="23" t="inlineStr">
        <is>
          <t>No individual professional decision recorded; Source assignment -- not individually reviewed</t>
        </is>
      </c>
      <c r="G576" s="23" t="inlineStr">
        <is>
          <t>Not individually decided</t>
        </is>
      </c>
      <c r="H576" s="23" t="inlineStr">
        <is>
          <t xml:space="preserve">RETAINED / ONE_TO_ONE; </t>
        </is>
      </c>
      <c r="I576" s="23" t="inlineStr">
        <is>
          <t>Carried forward</t>
        </is>
      </c>
      <c r="J576" s="14" t="inlineStr">
        <is>
          <t>08 CROSSWALK</t>
        </is>
      </c>
    </row>
    <row r="577" ht="49" customHeight="1">
      <c r="A577" s="23" t="inlineStr">
        <is>
          <t>R389-v2</t>
        </is>
      </c>
      <c r="B577" s="23" t="inlineStr">
        <is>
          <t>Contractor Programme / SCH-03-029</t>
        </is>
      </c>
      <c r="C577" s="23" t="inlineStr">
        <is>
          <t>WBS Code = 1.3.1</t>
        </is>
      </c>
      <c r="D577" s="23" t="inlineStr">
        <is>
          <t>Proposed by Source assignment; target 1.3.1 Systems - Traction Power</t>
        </is>
      </c>
      <c r="E577" s="23" t="inlineStr">
        <is>
          <t>None recorded</t>
        </is>
      </c>
      <c r="F577" s="23" t="inlineStr">
        <is>
          <t>No individual professional decision recorded; Source assignment -- not individually reviewed</t>
        </is>
      </c>
      <c r="G577" s="23" t="inlineStr">
        <is>
          <t>Not individually decided</t>
        </is>
      </c>
      <c r="H577" s="23" t="inlineStr">
        <is>
          <t xml:space="preserve">RETAINED / ONE_TO_ONE; </t>
        </is>
      </c>
      <c r="I577" s="23" t="inlineStr">
        <is>
          <t>Carried forward</t>
        </is>
      </c>
      <c r="J577" s="14" t="inlineStr">
        <is>
          <t>08 CROSSWALK</t>
        </is>
      </c>
    </row>
    <row r="578" ht="49" customHeight="1">
      <c r="A578" s="23" t="inlineStr">
        <is>
          <t>R391-v2</t>
        </is>
      </c>
      <c r="B578" s="23" t="inlineStr">
        <is>
          <t>Contractor Programme / SCH-03-031</t>
        </is>
      </c>
      <c r="C578" s="23" t="inlineStr">
        <is>
          <t>WBS Code = 1.3.1</t>
        </is>
      </c>
      <c r="D578" s="23" t="inlineStr">
        <is>
          <t>Proposed by Source assignment; target 1.3.1 Systems - Traction Power</t>
        </is>
      </c>
      <c r="E578" s="23" t="inlineStr">
        <is>
          <t>None recorded</t>
        </is>
      </c>
      <c r="F578" s="23" t="inlineStr">
        <is>
          <t>No individual professional decision recorded; Source assignment -- not individually reviewed</t>
        </is>
      </c>
      <c r="G578" s="23" t="inlineStr">
        <is>
          <t>Not individually decided</t>
        </is>
      </c>
      <c r="H578" s="23" t="inlineStr">
        <is>
          <t xml:space="preserve">RETAINED / ONE_TO_ONE; </t>
        </is>
      </c>
      <c r="I578" s="23" t="inlineStr">
        <is>
          <t>Carried forward</t>
        </is>
      </c>
      <c r="J578" s="14" t="inlineStr">
        <is>
          <t>08 CROSSWALK</t>
        </is>
      </c>
    </row>
    <row r="579" ht="49" customHeight="1">
      <c r="A579" s="23" t="inlineStr">
        <is>
          <t>R392-v2</t>
        </is>
      </c>
      <c r="B579" s="23" t="inlineStr">
        <is>
          <t>Contractor Programme / SCH-03-032</t>
        </is>
      </c>
      <c r="C579" s="23" t="inlineStr">
        <is>
          <t>WBS Code = 1.3.1</t>
        </is>
      </c>
      <c r="D579" s="23" t="inlineStr">
        <is>
          <t>Proposed by Source assignment; target 1.3.1 Systems - Traction Power</t>
        </is>
      </c>
      <c r="E579" s="23" t="inlineStr">
        <is>
          <t>None recorded</t>
        </is>
      </c>
      <c r="F579" s="23" t="inlineStr">
        <is>
          <t>No individual professional decision recorded; Source assignment -- not individually reviewed</t>
        </is>
      </c>
      <c r="G579" s="23" t="inlineStr">
        <is>
          <t>Not individually decided</t>
        </is>
      </c>
      <c r="H579" s="23" t="inlineStr">
        <is>
          <t xml:space="preserve">RETAINED / ONE_TO_ONE; </t>
        </is>
      </c>
      <c r="I579" s="23" t="inlineStr">
        <is>
          <t>Carried forward</t>
        </is>
      </c>
      <c r="J579" s="14" t="inlineStr">
        <is>
          <t>08 CROSSWALK</t>
        </is>
      </c>
    </row>
    <row r="580" ht="49" customHeight="1">
      <c r="A580" s="23" t="inlineStr">
        <is>
          <t>R394-v2</t>
        </is>
      </c>
      <c r="B580" s="23" t="inlineStr">
        <is>
          <t>Contractor Programme / SCH-03-034</t>
        </is>
      </c>
      <c r="C580" s="23" t="inlineStr">
        <is>
          <t>WBS Code = 1.3.1</t>
        </is>
      </c>
      <c r="D580" s="23" t="inlineStr">
        <is>
          <t>Proposed by Source assignment; target 1.3.1 Systems - Traction Power</t>
        </is>
      </c>
      <c r="E580" s="23" t="inlineStr">
        <is>
          <t>None recorded</t>
        </is>
      </c>
      <c r="F580" s="23" t="inlineStr">
        <is>
          <t>No individual professional decision recorded; Source assignment -- not individually reviewed</t>
        </is>
      </c>
      <c r="G580" s="23" t="inlineStr">
        <is>
          <t>Not individually decided</t>
        </is>
      </c>
      <c r="H580" s="23" t="inlineStr">
        <is>
          <t xml:space="preserve">RETAINED / ONE_TO_ONE; </t>
        </is>
      </c>
      <c r="I580" s="23" t="inlineStr">
        <is>
          <t>Carried forward</t>
        </is>
      </c>
      <c r="J580" s="14" t="inlineStr">
        <is>
          <t>08 CROSSWALK</t>
        </is>
      </c>
    </row>
    <row r="581" ht="49" customHeight="1">
      <c r="A581" s="23" t="inlineStr">
        <is>
          <t>R395-v2</t>
        </is>
      </c>
      <c r="B581" s="23" t="inlineStr">
        <is>
          <t>Contractor Programme / SCH-03-035</t>
        </is>
      </c>
      <c r="C581" s="23" t="inlineStr">
        <is>
          <t>WBS Code = 1.3.1</t>
        </is>
      </c>
      <c r="D581" s="23" t="inlineStr">
        <is>
          <t>Proposed by Source assignment; target 1.3.1 Systems - Traction Power</t>
        </is>
      </c>
      <c r="E581" s="23" t="inlineStr">
        <is>
          <t>None recorded</t>
        </is>
      </c>
      <c r="F581" s="23" t="inlineStr">
        <is>
          <t>No individual professional decision recorded; Source assignment -- not individually reviewed</t>
        </is>
      </c>
      <c r="G581" s="23" t="inlineStr">
        <is>
          <t>Not individually decided</t>
        </is>
      </c>
      <c r="H581" s="23" t="inlineStr">
        <is>
          <t xml:space="preserve">RETAINED / ONE_TO_ONE; </t>
        </is>
      </c>
      <c r="I581" s="23" t="inlineStr">
        <is>
          <t>Carried forward</t>
        </is>
      </c>
      <c r="J581" s="14" t="inlineStr">
        <is>
          <t>08 CROSSWALK</t>
        </is>
      </c>
    </row>
    <row r="582" ht="49" customHeight="1">
      <c r="A582" s="23" t="inlineStr">
        <is>
          <t>R397-v2</t>
        </is>
      </c>
      <c r="B582" s="23" t="inlineStr">
        <is>
          <t>Contractor Programme / SCH-03-037</t>
        </is>
      </c>
      <c r="C582" s="23" t="inlineStr">
        <is>
          <t>WBS Code = 1.3.1</t>
        </is>
      </c>
      <c r="D582" s="23" t="inlineStr">
        <is>
          <t>Proposed by Source assignment; target 1.3.1 Systems - Traction Power</t>
        </is>
      </c>
      <c r="E582" s="23" t="inlineStr">
        <is>
          <t>None recorded</t>
        </is>
      </c>
      <c r="F582" s="23" t="inlineStr">
        <is>
          <t>No individual professional decision recorded; Source assignment -- not individually reviewed</t>
        </is>
      </c>
      <c r="G582" s="23" t="inlineStr">
        <is>
          <t>Not individually decided</t>
        </is>
      </c>
      <c r="H582" s="23" t="inlineStr">
        <is>
          <t xml:space="preserve">RETAINED / ONE_TO_ONE; </t>
        </is>
      </c>
      <c r="I582" s="23" t="inlineStr">
        <is>
          <t>Carried forward</t>
        </is>
      </c>
      <c r="J582" s="14" t="inlineStr">
        <is>
          <t>08 CROSSWALK</t>
        </is>
      </c>
    </row>
    <row r="583" ht="49" customHeight="1">
      <c r="A583" s="23" t="inlineStr">
        <is>
          <t>R398-v2</t>
        </is>
      </c>
      <c r="B583" s="23" t="inlineStr">
        <is>
          <t>Contractor Programme / SCH-03-038</t>
        </is>
      </c>
      <c r="C583" s="23" t="inlineStr">
        <is>
          <t>WBS Code = 1.3.1</t>
        </is>
      </c>
      <c r="D583" s="23" t="inlineStr">
        <is>
          <t>Proposed by Source assignment; target 1.3.1 Systems - Traction Power</t>
        </is>
      </c>
      <c r="E583" s="23" t="inlineStr">
        <is>
          <t>None recorded</t>
        </is>
      </c>
      <c r="F583" s="23" t="inlineStr">
        <is>
          <t>No individual professional decision recorded; Source assignment -- not individually reviewed</t>
        </is>
      </c>
      <c r="G583" s="23" t="inlineStr">
        <is>
          <t>Not individually decided</t>
        </is>
      </c>
      <c r="H583" s="23" t="inlineStr">
        <is>
          <t xml:space="preserve">RETAINED / ONE_TO_ONE; </t>
        </is>
      </c>
      <c r="I583" s="23" t="inlineStr">
        <is>
          <t>Carried forward</t>
        </is>
      </c>
      <c r="J583" s="14" t="inlineStr">
        <is>
          <t>08 CROSSWALK</t>
        </is>
      </c>
    </row>
    <row r="584" ht="49" customHeight="1">
      <c r="A584" s="23" t="inlineStr">
        <is>
          <t>R400-v2</t>
        </is>
      </c>
      <c r="B584" s="23" t="inlineStr">
        <is>
          <t>Contractor Programme / SCH-03-040</t>
        </is>
      </c>
      <c r="C584" s="23" t="inlineStr">
        <is>
          <t>WBS Code = 1.3.1</t>
        </is>
      </c>
      <c r="D584" s="23" t="inlineStr">
        <is>
          <t>Proposed by Source assignment; target 1.3.1 Systems - Traction Power</t>
        </is>
      </c>
      <c r="E584" s="23" t="inlineStr">
        <is>
          <t>None recorded</t>
        </is>
      </c>
      <c r="F584" s="23" t="inlineStr">
        <is>
          <t>No individual professional decision recorded; Source assignment -- not individually reviewed</t>
        </is>
      </c>
      <c r="G584" s="23" t="inlineStr">
        <is>
          <t>Not individually decided</t>
        </is>
      </c>
      <c r="H584" s="23" t="inlineStr">
        <is>
          <t xml:space="preserve">RETAINED / ONE_TO_ONE; </t>
        </is>
      </c>
      <c r="I584" s="23" t="inlineStr">
        <is>
          <t>Carried forward</t>
        </is>
      </c>
      <c r="J584" s="14" t="inlineStr">
        <is>
          <t>08 CROSSWALK</t>
        </is>
      </c>
    </row>
    <row r="585" ht="49" customHeight="1">
      <c r="A585" s="23" t="inlineStr">
        <is>
          <t>R401-v2</t>
        </is>
      </c>
      <c r="B585" s="23" t="inlineStr">
        <is>
          <t>Contractor Programme / SCH-03-041</t>
        </is>
      </c>
      <c r="C585" s="23" t="inlineStr">
        <is>
          <t>WBS Code = 1.3.1</t>
        </is>
      </c>
      <c r="D585" s="23" t="inlineStr">
        <is>
          <t>Proposed by Source assignment; target 1.3.1 Systems - Traction Power</t>
        </is>
      </c>
      <c r="E585" s="23" t="inlineStr">
        <is>
          <t>None recorded</t>
        </is>
      </c>
      <c r="F585" s="23" t="inlineStr">
        <is>
          <t>No individual professional decision recorded; Source assignment -- not individually reviewed</t>
        </is>
      </c>
      <c r="G585" s="23" t="inlineStr">
        <is>
          <t>Not individually decided</t>
        </is>
      </c>
      <c r="H585" s="23" t="inlineStr">
        <is>
          <t xml:space="preserve">RETAINED / ONE_TO_ONE; </t>
        </is>
      </c>
      <c r="I585" s="23" t="inlineStr">
        <is>
          <t>Carried forward</t>
        </is>
      </c>
      <c r="J585" s="14" t="inlineStr">
        <is>
          <t>08 CROSSWALK</t>
        </is>
      </c>
    </row>
    <row r="586" ht="49" customHeight="1">
      <c r="A586" s="23" t="inlineStr">
        <is>
          <t>R403-v2</t>
        </is>
      </c>
      <c r="B586" s="23" t="inlineStr">
        <is>
          <t>Contractor Programme / SCH-03-043</t>
        </is>
      </c>
      <c r="C586" s="23" t="inlineStr">
        <is>
          <t>WBS Code = 1.3.1</t>
        </is>
      </c>
      <c r="D586" s="23" t="inlineStr">
        <is>
          <t>Proposed by Source assignment; target 1.3.1 Systems - Traction Power</t>
        </is>
      </c>
      <c r="E586" s="23" t="inlineStr">
        <is>
          <t>None recorded</t>
        </is>
      </c>
      <c r="F586" s="23" t="inlineStr">
        <is>
          <t>No individual professional decision recorded; Source assignment -- not individually reviewed</t>
        </is>
      </c>
      <c r="G586" s="23" t="inlineStr">
        <is>
          <t>Not individually decided</t>
        </is>
      </c>
      <c r="H586" s="23" t="inlineStr">
        <is>
          <t xml:space="preserve">RETAINED / ONE_TO_ONE; </t>
        </is>
      </c>
      <c r="I586" s="23" t="inlineStr">
        <is>
          <t>Carried forward</t>
        </is>
      </c>
      <c r="J586" s="14" t="inlineStr">
        <is>
          <t>08 CROSSWALK</t>
        </is>
      </c>
    </row>
    <row r="587" ht="49" customHeight="1">
      <c r="A587" s="23" t="inlineStr">
        <is>
          <t>R404-v2</t>
        </is>
      </c>
      <c r="B587" s="23" t="inlineStr">
        <is>
          <t>Contractor Programme / SCH-03-044</t>
        </is>
      </c>
      <c r="C587" s="23" t="inlineStr">
        <is>
          <t>WBS Code = 1.3.1</t>
        </is>
      </c>
      <c r="D587" s="23" t="inlineStr">
        <is>
          <t>Proposed by Source assignment; target 1.3.1 Systems - Traction Power</t>
        </is>
      </c>
      <c r="E587" s="23" t="inlineStr">
        <is>
          <t>None recorded</t>
        </is>
      </c>
      <c r="F587" s="23" t="inlineStr">
        <is>
          <t>No individual professional decision recorded; Source assignment -- not individually reviewed</t>
        </is>
      </c>
      <c r="G587" s="23" t="inlineStr">
        <is>
          <t>Not individually decided</t>
        </is>
      </c>
      <c r="H587" s="23" t="inlineStr">
        <is>
          <t xml:space="preserve">RETAINED / ONE_TO_ONE; </t>
        </is>
      </c>
      <c r="I587" s="23" t="inlineStr">
        <is>
          <t>Carried forward</t>
        </is>
      </c>
      <c r="J587" s="14" t="inlineStr">
        <is>
          <t>08 CROSSWALK</t>
        </is>
      </c>
    </row>
    <row r="588" ht="49" customHeight="1">
      <c r="A588" s="23" t="inlineStr">
        <is>
          <t>R406-v2</t>
        </is>
      </c>
      <c r="B588" s="23" t="inlineStr">
        <is>
          <t>Contractor Programme / SCH-03-046</t>
        </is>
      </c>
      <c r="C588" s="23" t="inlineStr">
        <is>
          <t>WBS Code = 1.3.1</t>
        </is>
      </c>
      <c r="D588" s="23" t="inlineStr">
        <is>
          <t>Proposed by Source assignment; target 1.3.1 Systems - Traction Power</t>
        </is>
      </c>
      <c r="E588" s="23" t="inlineStr">
        <is>
          <t>None recorded</t>
        </is>
      </c>
      <c r="F588" s="23" t="inlineStr">
        <is>
          <t>No individual professional decision recorded; Source assignment -- not individually reviewed</t>
        </is>
      </c>
      <c r="G588" s="23" t="inlineStr">
        <is>
          <t>Not individually decided</t>
        </is>
      </c>
      <c r="H588" s="23" t="inlineStr">
        <is>
          <t xml:space="preserve">RETAINED / ONE_TO_ONE; </t>
        </is>
      </c>
      <c r="I588" s="23" t="inlineStr">
        <is>
          <t>Carried forward</t>
        </is>
      </c>
      <c r="J588" s="14" t="inlineStr">
        <is>
          <t>08 CROSSWALK</t>
        </is>
      </c>
    </row>
    <row r="589" ht="49" customHeight="1">
      <c r="A589" s="23" t="inlineStr">
        <is>
          <t>R407-v2</t>
        </is>
      </c>
      <c r="B589" s="23" t="inlineStr">
        <is>
          <t>Contractor Programme / SCH-03-047</t>
        </is>
      </c>
      <c r="C589" s="23" t="inlineStr">
        <is>
          <t>WBS Code = 1.3.1</t>
        </is>
      </c>
      <c r="D589" s="23" t="inlineStr">
        <is>
          <t>Proposed by Source assignment; target 1.3.1 Systems - Traction Power</t>
        </is>
      </c>
      <c r="E589" s="23" t="inlineStr">
        <is>
          <t>None recorded</t>
        </is>
      </c>
      <c r="F589" s="23" t="inlineStr">
        <is>
          <t>No individual professional decision recorded; Source assignment -- not individually reviewed</t>
        </is>
      </c>
      <c r="G589" s="23" t="inlineStr">
        <is>
          <t>Not individually decided</t>
        </is>
      </c>
      <c r="H589" s="23" t="inlineStr">
        <is>
          <t xml:space="preserve">RETAINED / ONE_TO_ONE; </t>
        </is>
      </c>
      <c r="I589" s="23" t="inlineStr">
        <is>
          <t>Carried forward</t>
        </is>
      </c>
      <c r="J589" s="14" t="inlineStr">
        <is>
          <t>08 CROSSWALK</t>
        </is>
      </c>
    </row>
    <row r="590" ht="49" customHeight="1">
      <c r="A590" s="23" t="inlineStr">
        <is>
          <t>R409-v2</t>
        </is>
      </c>
      <c r="B590" s="23" t="inlineStr">
        <is>
          <t>Contractor Programme / SCH-03-049</t>
        </is>
      </c>
      <c r="C590" s="23" t="inlineStr">
        <is>
          <t>WBS Code = 1.3.1</t>
        </is>
      </c>
      <c r="D590" s="23" t="inlineStr">
        <is>
          <t>Proposed by Source assignment; target 1.3.1 Systems - Traction Power</t>
        </is>
      </c>
      <c r="E590" s="23" t="inlineStr">
        <is>
          <t>None recorded</t>
        </is>
      </c>
      <c r="F590" s="23" t="inlineStr">
        <is>
          <t>No individual professional decision recorded; Source assignment -- not individually reviewed</t>
        </is>
      </c>
      <c r="G590" s="23" t="inlineStr">
        <is>
          <t>Not individually decided</t>
        </is>
      </c>
      <c r="H590" s="23" t="inlineStr">
        <is>
          <t xml:space="preserve">RETAINED / ONE_TO_ONE; </t>
        </is>
      </c>
      <c r="I590" s="23" t="inlineStr">
        <is>
          <t>Carried forward</t>
        </is>
      </c>
      <c r="J590" s="14" t="inlineStr">
        <is>
          <t>08 CROSSWALK</t>
        </is>
      </c>
    </row>
    <row r="591" ht="49" customHeight="1">
      <c r="A591" s="23" t="inlineStr">
        <is>
          <t>R410-v2</t>
        </is>
      </c>
      <c r="B591" s="23" t="inlineStr">
        <is>
          <t>Contractor Programme / SCH-03-050</t>
        </is>
      </c>
      <c r="C591" s="23" t="inlineStr">
        <is>
          <t>WBS Code = 1.3.1</t>
        </is>
      </c>
      <c r="D591" s="23" t="inlineStr">
        <is>
          <t>Proposed by Source assignment; target 1.3.1 Systems - Traction Power</t>
        </is>
      </c>
      <c r="E591" s="23" t="inlineStr">
        <is>
          <t>None recorded</t>
        </is>
      </c>
      <c r="F591" s="23" t="inlineStr">
        <is>
          <t>No individual professional decision recorded; Source assignment -- not individually reviewed</t>
        </is>
      </c>
      <c r="G591" s="23" t="inlineStr">
        <is>
          <t>Not individually decided</t>
        </is>
      </c>
      <c r="H591" s="23" t="inlineStr">
        <is>
          <t xml:space="preserve">RETAINED / ONE_TO_ONE; </t>
        </is>
      </c>
      <c r="I591" s="23" t="inlineStr">
        <is>
          <t>Carried forward</t>
        </is>
      </c>
      <c r="J591" s="14" t="inlineStr">
        <is>
          <t>08 CROSSWALK</t>
        </is>
      </c>
    </row>
    <row r="592" ht="49" customHeight="1">
      <c r="A592" s="23" t="inlineStr">
        <is>
          <t>R412-v2</t>
        </is>
      </c>
      <c r="B592" s="23" t="inlineStr">
        <is>
          <t>Contractor Programme / SCH-03-052</t>
        </is>
      </c>
      <c r="C592" s="23" t="inlineStr">
        <is>
          <t>WBS Code = 1.3.1</t>
        </is>
      </c>
      <c r="D592" s="23" t="inlineStr">
        <is>
          <t>Proposed by Source assignment; target 1.3.1 Systems - Traction Power</t>
        </is>
      </c>
      <c r="E592" s="23" t="inlineStr">
        <is>
          <t>None recorded</t>
        </is>
      </c>
      <c r="F592" s="23" t="inlineStr">
        <is>
          <t>No individual professional decision recorded; Source assignment -- not individually reviewed</t>
        </is>
      </c>
      <c r="G592" s="23" t="inlineStr">
        <is>
          <t>Not individually decided</t>
        </is>
      </c>
      <c r="H592" s="23" t="inlineStr">
        <is>
          <t xml:space="preserve">RETAINED / ONE_TO_ONE; </t>
        </is>
      </c>
      <c r="I592" s="23" t="inlineStr">
        <is>
          <t>Carried forward</t>
        </is>
      </c>
      <c r="J592" s="14" t="inlineStr">
        <is>
          <t>08 CROSSWALK</t>
        </is>
      </c>
    </row>
    <row r="593" ht="49" customHeight="1">
      <c r="A593" s="23" t="inlineStr">
        <is>
          <t>R413-v2</t>
        </is>
      </c>
      <c r="B593" s="23" t="inlineStr">
        <is>
          <t>Contractor Programme / SCH-03-053</t>
        </is>
      </c>
      <c r="C593" s="23" t="inlineStr">
        <is>
          <t>WBS Code = 1.3.1</t>
        </is>
      </c>
      <c r="D593" s="23" t="inlineStr">
        <is>
          <t>Proposed by Source assignment; target 1.3.1 Systems - Traction Power</t>
        </is>
      </c>
      <c r="E593" s="23" t="inlineStr">
        <is>
          <t>None recorded</t>
        </is>
      </c>
      <c r="F593" s="23" t="inlineStr">
        <is>
          <t>No individual professional decision recorded; Source assignment -- not individually reviewed</t>
        </is>
      </c>
      <c r="G593" s="23" t="inlineStr">
        <is>
          <t>Not individually decided</t>
        </is>
      </c>
      <c r="H593" s="23" t="inlineStr">
        <is>
          <t xml:space="preserve">RETAINED / ONE_TO_ONE; </t>
        </is>
      </c>
      <c r="I593" s="23" t="inlineStr">
        <is>
          <t>Carried forward</t>
        </is>
      </c>
      <c r="J593" s="14" t="inlineStr">
        <is>
          <t>08 CROSSWALK</t>
        </is>
      </c>
    </row>
    <row r="594" ht="49" customHeight="1">
      <c r="A594" s="23" t="inlineStr">
        <is>
          <t>R415-v2</t>
        </is>
      </c>
      <c r="B594" s="23" t="inlineStr">
        <is>
          <t>Contractor Programme / SCH-03-055</t>
        </is>
      </c>
      <c r="C594" s="23" t="inlineStr">
        <is>
          <t>WBS Code = 1.3.1</t>
        </is>
      </c>
      <c r="D594" s="23" t="inlineStr">
        <is>
          <t>Proposed by Source assignment; target 1.3.1 Systems - Traction Power</t>
        </is>
      </c>
      <c r="E594" s="23" t="inlineStr">
        <is>
          <t>None recorded</t>
        </is>
      </c>
      <c r="F594" s="23" t="inlineStr">
        <is>
          <t>No individual professional decision recorded; Source assignment -- not individually reviewed</t>
        </is>
      </c>
      <c r="G594" s="23" t="inlineStr">
        <is>
          <t>Not individually decided</t>
        </is>
      </c>
      <c r="H594" s="23" t="inlineStr">
        <is>
          <t xml:space="preserve">RETAINED / ONE_TO_ONE; </t>
        </is>
      </c>
      <c r="I594" s="23" t="inlineStr">
        <is>
          <t>Carried forward</t>
        </is>
      </c>
      <c r="J594" s="14" t="inlineStr">
        <is>
          <t>08 CROSSWALK</t>
        </is>
      </c>
    </row>
    <row r="595" ht="49" customHeight="1">
      <c r="A595" s="23" t="inlineStr">
        <is>
          <t>R416-v2</t>
        </is>
      </c>
      <c r="B595" s="23" t="inlineStr">
        <is>
          <t>Contractor Programme / SCH-03-056</t>
        </is>
      </c>
      <c r="C595" s="23" t="inlineStr">
        <is>
          <t>WBS Code = 1.3.1</t>
        </is>
      </c>
      <c r="D595" s="23" t="inlineStr">
        <is>
          <t>Proposed by Source assignment; target 1.3.1 Systems - Traction Power</t>
        </is>
      </c>
      <c r="E595" s="23" t="inlineStr">
        <is>
          <t>None recorded</t>
        </is>
      </c>
      <c r="F595" s="23" t="inlineStr">
        <is>
          <t>No individual professional decision recorded; Source assignment -- not individually reviewed</t>
        </is>
      </c>
      <c r="G595" s="23" t="inlineStr">
        <is>
          <t>Not individually decided</t>
        </is>
      </c>
      <c r="H595" s="23" t="inlineStr">
        <is>
          <t xml:space="preserve">RETAINED / ONE_TO_ONE; </t>
        </is>
      </c>
      <c r="I595" s="23" t="inlineStr">
        <is>
          <t>Carried forward</t>
        </is>
      </c>
      <c r="J595" s="14" t="inlineStr">
        <is>
          <t>08 CROSSWALK</t>
        </is>
      </c>
    </row>
    <row r="596" ht="49" customHeight="1">
      <c r="A596" s="23" t="inlineStr">
        <is>
          <t>R418-v2</t>
        </is>
      </c>
      <c r="B596" s="23" t="inlineStr">
        <is>
          <t>Contractor Programme / SCH-03-058</t>
        </is>
      </c>
      <c r="C596" s="23" t="inlineStr">
        <is>
          <t>WBS Code = 1.3.1</t>
        </is>
      </c>
      <c r="D596" s="23" t="inlineStr">
        <is>
          <t>Proposed by Source assignment; target 1.3.1 Systems - Traction Power</t>
        </is>
      </c>
      <c r="E596" s="23" t="inlineStr">
        <is>
          <t>None recorded</t>
        </is>
      </c>
      <c r="F596" s="23" t="inlineStr">
        <is>
          <t>No individual professional decision recorded; Source assignment -- not individually reviewed</t>
        </is>
      </c>
      <c r="G596" s="23" t="inlineStr">
        <is>
          <t>Not individually decided</t>
        </is>
      </c>
      <c r="H596" s="23" t="inlineStr">
        <is>
          <t xml:space="preserve">RETAINED / ONE_TO_ONE; </t>
        </is>
      </c>
      <c r="I596" s="23" t="inlineStr">
        <is>
          <t>Carried forward</t>
        </is>
      </c>
      <c r="J596" s="14" t="inlineStr">
        <is>
          <t>08 CROSSWALK</t>
        </is>
      </c>
    </row>
    <row r="597" ht="49" customHeight="1">
      <c r="A597" s="23" t="inlineStr">
        <is>
          <t>R419-v2</t>
        </is>
      </c>
      <c r="B597" s="23" t="inlineStr">
        <is>
          <t>Contractor Programme / SCH-03-059</t>
        </is>
      </c>
      <c r="C597" s="23" t="inlineStr">
        <is>
          <t>WBS Code = 1.3.1</t>
        </is>
      </c>
      <c r="D597" s="23" t="inlineStr">
        <is>
          <t>Proposed by Source assignment; target 1.3.1 Systems - Traction Power</t>
        </is>
      </c>
      <c r="E597" s="23" t="inlineStr">
        <is>
          <t>None recorded</t>
        </is>
      </c>
      <c r="F597" s="23" t="inlineStr">
        <is>
          <t>No individual professional decision recorded; Source assignment -- not individually reviewed</t>
        </is>
      </c>
      <c r="G597" s="23" t="inlineStr">
        <is>
          <t>Not individually decided</t>
        </is>
      </c>
      <c r="H597" s="23" t="inlineStr">
        <is>
          <t xml:space="preserve">RETAINED / ONE_TO_ONE; </t>
        </is>
      </c>
      <c r="I597" s="23" t="inlineStr">
        <is>
          <t>Carried forward</t>
        </is>
      </c>
      <c r="J597" s="14" t="inlineStr">
        <is>
          <t>08 CROSSWALK</t>
        </is>
      </c>
    </row>
    <row r="598" ht="49" customHeight="1">
      <c r="A598" s="23" t="inlineStr">
        <is>
          <t>R421-v2</t>
        </is>
      </c>
      <c r="B598" s="23" t="inlineStr">
        <is>
          <t>Contractor Programme / SCH-03-061</t>
        </is>
      </c>
      <c r="C598" s="23" t="inlineStr">
        <is>
          <t>WBS Code = 1.3.1</t>
        </is>
      </c>
      <c r="D598" s="23" t="inlineStr">
        <is>
          <t>Proposed by Source assignment; target 1.3.1 Systems - Traction Power</t>
        </is>
      </c>
      <c r="E598" s="23" t="inlineStr">
        <is>
          <t>None recorded</t>
        </is>
      </c>
      <c r="F598" s="23" t="inlineStr">
        <is>
          <t>No individual professional decision recorded; Source assignment -- not individually reviewed</t>
        </is>
      </c>
      <c r="G598" s="23" t="inlineStr">
        <is>
          <t>Not individually decided</t>
        </is>
      </c>
      <c r="H598" s="23" t="inlineStr">
        <is>
          <t xml:space="preserve">RETAINED / ONE_TO_ONE; </t>
        </is>
      </c>
      <c r="I598" s="23" t="inlineStr">
        <is>
          <t>Carried forward</t>
        </is>
      </c>
      <c r="J598" s="14" t="inlineStr">
        <is>
          <t>08 CROSSWALK</t>
        </is>
      </c>
    </row>
    <row r="599" ht="49" customHeight="1">
      <c r="A599" s="23" t="inlineStr">
        <is>
          <t>R422-v2</t>
        </is>
      </c>
      <c r="B599" s="23" t="inlineStr">
        <is>
          <t>Contractor Programme / SCH-03-062</t>
        </is>
      </c>
      <c r="C599" s="23" t="inlineStr">
        <is>
          <t>WBS Code = 1.3.1</t>
        </is>
      </c>
      <c r="D599" s="23" t="inlineStr">
        <is>
          <t>Proposed by Source assignment; target 1.3.1 Systems - Traction Power</t>
        </is>
      </c>
      <c r="E599" s="23" t="inlineStr">
        <is>
          <t>None recorded</t>
        </is>
      </c>
      <c r="F599" s="23" t="inlineStr">
        <is>
          <t>No individual professional decision recorded; Source assignment -- not individually reviewed</t>
        </is>
      </c>
      <c r="G599" s="23" t="inlineStr">
        <is>
          <t>Not individually decided</t>
        </is>
      </c>
      <c r="H599" s="23" t="inlineStr">
        <is>
          <t xml:space="preserve">RETAINED / ONE_TO_ONE; </t>
        </is>
      </c>
      <c r="I599" s="23" t="inlineStr">
        <is>
          <t>Carried forward</t>
        </is>
      </c>
      <c r="J599" s="14" t="inlineStr">
        <is>
          <t>08 CROSSWALK</t>
        </is>
      </c>
    </row>
    <row r="600" ht="49" customHeight="1">
      <c r="A600" s="23" t="inlineStr">
        <is>
          <t>R424-v2</t>
        </is>
      </c>
      <c r="B600" s="23" t="inlineStr">
        <is>
          <t>Contractor Programme / SCH-03-064</t>
        </is>
      </c>
      <c r="C600" s="23" t="inlineStr">
        <is>
          <t>WBS Code = 1.3.1</t>
        </is>
      </c>
      <c r="D600" s="23" t="inlineStr">
        <is>
          <t>Proposed by Source assignment; target 1.3.1 Systems - Traction Power</t>
        </is>
      </c>
      <c r="E600" s="23" t="inlineStr">
        <is>
          <t>None recorded</t>
        </is>
      </c>
      <c r="F600" s="23" t="inlineStr">
        <is>
          <t>No individual professional decision recorded; Source assignment -- not individually reviewed</t>
        </is>
      </c>
      <c r="G600" s="23" t="inlineStr">
        <is>
          <t>Not individually decided</t>
        </is>
      </c>
      <c r="H600" s="23" t="inlineStr">
        <is>
          <t xml:space="preserve">RETAINED / ONE_TO_ONE; </t>
        </is>
      </c>
      <c r="I600" s="23" t="inlineStr">
        <is>
          <t>Carried forward</t>
        </is>
      </c>
      <c r="J600" s="14" t="inlineStr">
        <is>
          <t>08 CROSSWALK</t>
        </is>
      </c>
    </row>
    <row r="601" ht="49" customHeight="1">
      <c r="A601" s="23" t="inlineStr">
        <is>
          <t>R425-v2</t>
        </is>
      </c>
      <c r="B601" s="23" t="inlineStr">
        <is>
          <t>Contractor Programme / SCH-03-065</t>
        </is>
      </c>
      <c r="C601" s="23" t="inlineStr">
        <is>
          <t>WBS Code = 1.3.1</t>
        </is>
      </c>
      <c r="D601" s="23" t="inlineStr">
        <is>
          <t>Proposed by Source assignment; target 1.3.1 Systems - Traction Power</t>
        </is>
      </c>
      <c r="E601" s="23" t="inlineStr">
        <is>
          <t>None recorded</t>
        </is>
      </c>
      <c r="F601" s="23" t="inlineStr">
        <is>
          <t>No individual professional decision recorded; Source assignment -- not individually reviewed</t>
        </is>
      </c>
      <c r="G601" s="23" t="inlineStr">
        <is>
          <t>Not individually decided</t>
        </is>
      </c>
      <c r="H601" s="23" t="inlineStr">
        <is>
          <t xml:space="preserve">RETAINED / ONE_TO_ONE; </t>
        </is>
      </c>
      <c r="I601" s="23" t="inlineStr">
        <is>
          <t>Carried forward</t>
        </is>
      </c>
      <c r="J601" s="14" t="inlineStr">
        <is>
          <t>08 CROSSWALK</t>
        </is>
      </c>
    </row>
    <row r="602" ht="49" customHeight="1">
      <c r="A602" s="23" t="inlineStr">
        <is>
          <t>R427-v2</t>
        </is>
      </c>
      <c r="B602" s="23" t="inlineStr">
        <is>
          <t>Contractor Programme / SCH-03-067</t>
        </is>
      </c>
      <c r="C602" s="23" t="inlineStr">
        <is>
          <t>WBS Code = 1.3.1</t>
        </is>
      </c>
      <c r="D602" s="23" t="inlineStr">
        <is>
          <t>Proposed by Source assignment; target 1.3.1 Systems - Traction Power</t>
        </is>
      </c>
      <c r="E602" s="23" t="inlineStr">
        <is>
          <t>None recorded</t>
        </is>
      </c>
      <c r="F602" s="23" t="inlineStr">
        <is>
          <t>No individual professional decision recorded; Source assignment -- not individually reviewed</t>
        </is>
      </c>
      <c r="G602" s="23" t="inlineStr">
        <is>
          <t>Not individually decided</t>
        </is>
      </c>
      <c r="H602" s="23" t="inlineStr">
        <is>
          <t xml:space="preserve">RETAINED / ONE_TO_ONE; </t>
        </is>
      </c>
      <c r="I602" s="23" t="inlineStr">
        <is>
          <t>Carried forward</t>
        </is>
      </c>
      <c r="J602" s="14" t="inlineStr">
        <is>
          <t>08 CROSSWALK</t>
        </is>
      </c>
    </row>
    <row r="603" ht="49" customHeight="1">
      <c r="A603" s="23" t="inlineStr">
        <is>
          <t>R428-v2</t>
        </is>
      </c>
      <c r="B603" s="23" t="inlineStr">
        <is>
          <t>Contractor Programme / SCH-03-068</t>
        </is>
      </c>
      <c r="C603" s="23" t="inlineStr">
        <is>
          <t>WBS Code = 1.3.1</t>
        </is>
      </c>
      <c r="D603" s="23" t="inlineStr">
        <is>
          <t>Proposed by Source assignment; target 1.3.1 Systems - Traction Power</t>
        </is>
      </c>
      <c r="E603" s="23" t="inlineStr">
        <is>
          <t>None recorded</t>
        </is>
      </c>
      <c r="F603" s="23" t="inlineStr">
        <is>
          <t>No individual professional decision recorded; Source assignment -- not individually reviewed</t>
        </is>
      </c>
      <c r="G603" s="23" t="inlineStr">
        <is>
          <t>Not individually decided</t>
        </is>
      </c>
      <c r="H603" s="23" t="inlineStr">
        <is>
          <t xml:space="preserve">RETAINED / ONE_TO_ONE; </t>
        </is>
      </c>
      <c r="I603" s="23" t="inlineStr">
        <is>
          <t>Carried forward</t>
        </is>
      </c>
      <c r="J603" s="14" t="inlineStr">
        <is>
          <t>08 CROSSWALK</t>
        </is>
      </c>
    </row>
    <row r="604" ht="49" customHeight="1">
      <c r="A604" s="23" t="inlineStr">
        <is>
          <t>R430-v2</t>
        </is>
      </c>
      <c r="B604" s="23" t="inlineStr">
        <is>
          <t>Contractor Programme / SCH-03-070</t>
        </is>
      </c>
      <c r="C604" s="23" t="inlineStr">
        <is>
          <t>WBS Code = 1.3.1</t>
        </is>
      </c>
      <c r="D604" s="23" t="inlineStr">
        <is>
          <t>Proposed by Source assignment; target 1.3.1 Systems - Traction Power</t>
        </is>
      </c>
      <c r="E604" s="23" t="inlineStr">
        <is>
          <t>None recorded</t>
        </is>
      </c>
      <c r="F604" s="23" t="inlineStr">
        <is>
          <t>No individual professional decision recorded; Source assignment -- not individually reviewed</t>
        </is>
      </c>
      <c r="G604" s="23" t="inlineStr">
        <is>
          <t>Not individually decided</t>
        </is>
      </c>
      <c r="H604" s="23" t="inlineStr">
        <is>
          <t xml:space="preserve">RETAINED / ONE_TO_ONE; </t>
        </is>
      </c>
      <c r="I604" s="23" t="inlineStr">
        <is>
          <t>Carried forward</t>
        </is>
      </c>
      <c r="J604" s="14" t="inlineStr">
        <is>
          <t>08 CROSSWALK</t>
        </is>
      </c>
    </row>
    <row r="605" ht="49" customHeight="1">
      <c r="A605" s="23" t="inlineStr">
        <is>
          <t>R431-v2</t>
        </is>
      </c>
      <c r="B605" s="23" t="inlineStr">
        <is>
          <t>Contractor Programme / SCH-03-071</t>
        </is>
      </c>
      <c r="C605" s="23" t="inlineStr">
        <is>
          <t>WBS Code = 1.3.1</t>
        </is>
      </c>
      <c r="D605" s="23" t="inlineStr">
        <is>
          <t>Proposed by Source assignment; target 1.3.1 Systems - Traction Power</t>
        </is>
      </c>
      <c r="E605" s="23" t="inlineStr">
        <is>
          <t>None recorded</t>
        </is>
      </c>
      <c r="F605" s="23" t="inlineStr">
        <is>
          <t>No individual professional decision recorded; Source assignment -- not individually reviewed</t>
        </is>
      </c>
      <c r="G605" s="23" t="inlineStr">
        <is>
          <t>Not individually decided</t>
        </is>
      </c>
      <c r="H605" s="23" t="inlineStr">
        <is>
          <t xml:space="preserve">RETAINED / ONE_TO_ONE; </t>
        </is>
      </c>
      <c r="I605" s="23" t="inlineStr">
        <is>
          <t>Carried forward</t>
        </is>
      </c>
      <c r="J605" s="14" t="inlineStr">
        <is>
          <t>08 CROSSWALK</t>
        </is>
      </c>
    </row>
    <row r="606" ht="49" customHeight="1">
      <c r="A606" s="23" t="inlineStr">
        <is>
          <t>R433-v2</t>
        </is>
      </c>
      <c r="B606" s="23" t="inlineStr">
        <is>
          <t>Contractor Programme / SCH-03-073</t>
        </is>
      </c>
      <c r="C606" s="23" t="inlineStr">
        <is>
          <t>WBS Code = 1.3.1</t>
        </is>
      </c>
      <c r="D606" s="23" t="inlineStr">
        <is>
          <t>Proposed by Source assignment; target 1.3.1 Systems - Traction Power</t>
        </is>
      </c>
      <c r="E606" s="23" t="inlineStr">
        <is>
          <t>None recorded</t>
        </is>
      </c>
      <c r="F606" s="23" t="inlineStr">
        <is>
          <t>No individual professional decision recorded; Source assignment -- not individually reviewed</t>
        </is>
      </c>
      <c r="G606" s="23" t="inlineStr">
        <is>
          <t>Not individually decided</t>
        </is>
      </c>
      <c r="H606" s="23" t="inlineStr">
        <is>
          <t xml:space="preserve">RETAINED / ONE_TO_ONE; </t>
        </is>
      </c>
      <c r="I606" s="23" t="inlineStr">
        <is>
          <t>Carried forward</t>
        </is>
      </c>
      <c r="J606" s="14" t="inlineStr">
        <is>
          <t>08 CROSSWALK</t>
        </is>
      </c>
    </row>
    <row r="607" ht="49" customHeight="1">
      <c r="A607" s="23" t="inlineStr">
        <is>
          <t>R434-v2</t>
        </is>
      </c>
      <c r="B607" s="23" t="inlineStr">
        <is>
          <t>Contractor Programme / SCH-03-074</t>
        </is>
      </c>
      <c r="C607" s="23" t="inlineStr">
        <is>
          <t>WBS Code = 1.3.1</t>
        </is>
      </c>
      <c r="D607" s="23" t="inlineStr">
        <is>
          <t>Proposed by Source assignment; target 1.3.1 Systems - Traction Power</t>
        </is>
      </c>
      <c r="E607" s="23" t="inlineStr">
        <is>
          <t>None recorded</t>
        </is>
      </c>
      <c r="F607" s="23" t="inlineStr">
        <is>
          <t>No individual professional decision recorded; Source assignment -- not individually reviewed</t>
        </is>
      </c>
      <c r="G607" s="23" t="inlineStr">
        <is>
          <t>Not individually decided</t>
        </is>
      </c>
      <c r="H607" s="23" t="inlineStr">
        <is>
          <t xml:space="preserve">RETAINED / ONE_TO_ONE; </t>
        </is>
      </c>
      <c r="I607" s="23" t="inlineStr">
        <is>
          <t>Carried forward</t>
        </is>
      </c>
      <c r="J607" s="14" t="inlineStr">
        <is>
          <t>08 CROSSWALK</t>
        </is>
      </c>
    </row>
    <row r="608" ht="49" customHeight="1">
      <c r="A608" s="23" t="inlineStr">
        <is>
          <t>R436-v2</t>
        </is>
      </c>
      <c r="B608" s="23" t="inlineStr">
        <is>
          <t>Contractor Programme / SCH-03-076</t>
        </is>
      </c>
      <c r="C608" s="23" t="inlineStr">
        <is>
          <t>WBS Code = 1.3.1</t>
        </is>
      </c>
      <c r="D608" s="23" t="inlineStr">
        <is>
          <t>Proposed by Source assignment; target 1.3.1 Systems - Traction Power</t>
        </is>
      </c>
      <c r="E608" s="23" t="inlineStr">
        <is>
          <t>None recorded</t>
        </is>
      </c>
      <c r="F608" s="23" t="inlineStr">
        <is>
          <t>No individual professional decision recorded; Source assignment -- not individually reviewed</t>
        </is>
      </c>
      <c r="G608" s="23" t="inlineStr">
        <is>
          <t>Not individually decided</t>
        </is>
      </c>
      <c r="H608" s="23" t="inlineStr">
        <is>
          <t xml:space="preserve">RETAINED / ONE_TO_ONE; </t>
        </is>
      </c>
      <c r="I608" s="23" t="inlineStr">
        <is>
          <t>Carried forward</t>
        </is>
      </c>
      <c r="J608" s="14" t="inlineStr">
        <is>
          <t>08 CROSSWALK</t>
        </is>
      </c>
    </row>
    <row r="609" ht="49" customHeight="1">
      <c r="A609" s="23" t="inlineStr">
        <is>
          <t>R437-v2</t>
        </is>
      </c>
      <c r="B609" s="23" t="inlineStr">
        <is>
          <t>Contractor Programme / SCH-03-077</t>
        </is>
      </c>
      <c r="C609" s="23" t="inlineStr">
        <is>
          <t>WBS Code = 1.3.1</t>
        </is>
      </c>
      <c r="D609" s="23" t="inlineStr">
        <is>
          <t>Proposed by Source assignment; target 1.3.1 Systems - Traction Power</t>
        </is>
      </c>
      <c r="E609" s="23" t="inlineStr">
        <is>
          <t>None recorded</t>
        </is>
      </c>
      <c r="F609" s="23" t="inlineStr">
        <is>
          <t>No individual professional decision recorded; Source assignment -- not individually reviewed</t>
        </is>
      </c>
      <c r="G609" s="23" t="inlineStr">
        <is>
          <t>Not individually decided</t>
        </is>
      </c>
      <c r="H609" s="23" t="inlineStr">
        <is>
          <t xml:space="preserve">RETAINED / ONE_TO_ONE; </t>
        </is>
      </c>
      <c r="I609" s="23" t="inlineStr">
        <is>
          <t>Carried forward</t>
        </is>
      </c>
      <c r="J609" s="14" t="inlineStr">
        <is>
          <t>08 CROSSWALK</t>
        </is>
      </c>
    </row>
    <row r="610" ht="49" customHeight="1">
      <c r="A610" s="23" t="inlineStr">
        <is>
          <t>R439-v2</t>
        </is>
      </c>
      <c r="B610" s="23" t="inlineStr">
        <is>
          <t>Contractor Programme / SCH-03-079</t>
        </is>
      </c>
      <c r="C610" s="23" t="inlineStr">
        <is>
          <t>WBS Code = 1.3.1</t>
        </is>
      </c>
      <c r="D610" s="23" t="inlineStr">
        <is>
          <t>Proposed by Source assignment; target 1.3.1 Systems - Traction Power</t>
        </is>
      </c>
      <c r="E610" s="23" t="inlineStr">
        <is>
          <t>None recorded</t>
        </is>
      </c>
      <c r="F610" s="23" t="inlineStr">
        <is>
          <t>No individual professional decision recorded; Source assignment -- not individually reviewed</t>
        </is>
      </c>
      <c r="G610" s="23" t="inlineStr">
        <is>
          <t>Not individually decided</t>
        </is>
      </c>
      <c r="H610" s="23" t="inlineStr">
        <is>
          <t xml:space="preserve">RETAINED / ONE_TO_ONE; </t>
        </is>
      </c>
      <c r="I610" s="23" t="inlineStr">
        <is>
          <t>Carried forward</t>
        </is>
      </c>
      <c r="J610" s="14" t="inlineStr">
        <is>
          <t>08 CROSSWALK</t>
        </is>
      </c>
    </row>
    <row r="611" ht="49" customHeight="1">
      <c r="A611" s="23" t="inlineStr">
        <is>
          <t>R440-v2</t>
        </is>
      </c>
      <c r="B611" s="23" t="inlineStr">
        <is>
          <t>Contractor Programme / SCH-03-080</t>
        </is>
      </c>
      <c r="C611" s="23" t="inlineStr">
        <is>
          <t>WBS Code = 1.3.1</t>
        </is>
      </c>
      <c r="D611" s="23" t="inlineStr">
        <is>
          <t>Proposed by Source assignment; target 1.3.1 Systems - Traction Power</t>
        </is>
      </c>
      <c r="E611" s="23" t="inlineStr">
        <is>
          <t>None recorded</t>
        </is>
      </c>
      <c r="F611" s="23" t="inlineStr">
        <is>
          <t>No individual professional decision recorded; Source assignment -- not individually reviewed</t>
        </is>
      </c>
      <c r="G611" s="23" t="inlineStr">
        <is>
          <t>Not individually decided</t>
        </is>
      </c>
      <c r="H611" s="23" t="inlineStr">
        <is>
          <t xml:space="preserve">RETAINED / ONE_TO_ONE; </t>
        </is>
      </c>
      <c r="I611" s="23" t="inlineStr">
        <is>
          <t>Carried forward</t>
        </is>
      </c>
      <c r="J611" s="14" t="inlineStr">
        <is>
          <t>08 CROSSWALK</t>
        </is>
      </c>
    </row>
    <row r="612" ht="49" customHeight="1">
      <c r="A612" s="23" t="inlineStr">
        <is>
          <t>R442-v2</t>
        </is>
      </c>
      <c r="B612" s="23" t="inlineStr">
        <is>
          <t>Contractor Programme / SCH-03-082</t>
        </is>
      </c>
      <c r="C612" s="23" t="inlineStr">
        <is>
          <t>WBS Code = 1.3.1</t>
        </is>
      </c>
      <c r="D612" s="23" t="inlineStr">
        <is>
          <t>Proposed by Source assignment; target 1.3.1 Systems - Traction Power</t>
        </is>
      </c>
      <c r="E612" s="23" t="inlineStr">
        <is>
          <t>None recorded</t>
        </is>
      </c>
      <c r="F612" s="23" t="inlineStr">
        <is>
          <t>No individual professional decision recorded; Source assignment -- not individually reviewed</t>
        </is>
      </c>
      <c r="G612" s="23" t="inlineStr">
        <is>
          <t>Not individually decided</t>
        </is>
      </c>
      <c r="H612" s="23" t="inlineStr">
        <is>
          <t xml:space="preserve">RETAINED / ONE_TO_ONE; </t>
        </is>
      </c>
      <c r="I612" s="23" t="inlineStr">
        <is>
          <t>Carried forward</t>
        </is>
      </c>
      <c r="J612" s="14" t="inlineStr">
        <is>
          <t>08 CROSSWALK</t>
        </is>
      </c>
    </row>
    <row r="613" ht="49" customHeight="1">
      <c r="A613" s="23" t="inlineStr">
        <is>
          <t>R443-v2</t>
        </is>
      </c>
      <c r="B613" s="23" t="inlineStr">
        <is>
          <t>Contractor Programme / SCH-03-083</t>
        </is>
      </c>
      <c r="C613" s="23" t="inlineStr">
        <is>
          <t>WBS Code = 1.3.1</t>
        </is>
      </c>
      <c r="D613" s="23" t="inlineStr">
        <is>
          <t>Proposed by Source assignment; target 1.3.1 Systems - Traction Power</t>
        </is>
      </c>
      <c r="E613" s="23" t="inlineStr">
        <is>
          <t>None recorded</t>
        </is>
      </c>
      <c r="F613" s="23" t="inlineStr">
        <is>
          <t>No individual professional decision recorded; Source assignment -- not individually reviewed</t>
        </is>
      </c>
      <c r="G613" s="23" t="inlineStr">
        <is>
          <t>Not individually decided</t>
        </is>
      </c>
      <c r="H613" s="23" t="inlineStr">
        <is>
          <t xml:space="preserve">RETAINED / ONE_TO_ONE; </t>
        </is>
      </c>
      <c r="I613" s="23" t="inlineStr">
        <is>
          <t>Carried forward</t>
        </is>
      </c>
      <c r="J613" s="14" t="inlineStr">
        <is>
          <t>08 CROSSWALK</t>
        </is>
      </c>
    </row>
    <row r="614" ht="49" customHeight="1">
      <c r="A614" s="23" t="inlineStr">
        <is>
          <t>R445-v2</t>
        </is>
      </c>
      <c r="B614" s="23" t="inlineStr">
        <is>
          <t>Contractor Programme / SCH-03-085</t>
        </is>
      </c>
      <c r="C614" s="23" t="inlineStr">
        <is>
          <t>WBS Code = 1.3.1</t>
        </is>
      </c>
      <c r="D614" s="23" t="inlineStr">
        <is>
          <t>Proposed by Source assignment; target 1.3.1 Systems - Traction Power</t>
        </is>
      </c>
      <c r="E614" s="23" t="inlineStr">
        <is>
          <t>None recorded</t>
        </is>
      </c>
      <c r="F614" s="23" t="inlineStr">
        <is>
          <t>No individual professional decision recorded; Source assignment -- not individually reviewed</t>
        </is>
      </c>
      <c r="G614" s="23" t="inlineStr">
        <is>
          <t>Not individually decided</t>
        </is>
      </c>
      <c r="H614" s="23" t="inlineStr">
        <is>
          <t xml:space="preserve">RETAINED / ONE_TO_ONE; </t>
        </is>
      </c>
      <c r="I614" s="23" t="inlineStr">
        <is>
          <t>Carried forward</t>
        </is>
      </c>
      <c r="J614" s="14" t="inlineStr">
        <is>
          <t>08 CROSSWALK</t>
        </is>
      </c>
    </row>
    <row r="615" ht="49" customHeight="1">
      <c r="A615" s="23" t="inlineStr">
        <is>
          <t>R446-v2</t>
        </is>
      </c>
      <c r="B615" s="23" t="inlineStr">
        <is>
          <t>Contractor Programme / SCH-03-086</t>
        </is>
      </c>
      <c r="C615" s="23" t="inlineStr">
        <is>
          <t>WBS Code = 1.3.1</t>
        </is>
      </c>
      <c r="D615" s="23" t="inlineStr">
        <is>
          <t>Proposed by Source assignment; target 1.3.1 Systems - Traction Power</t>
        </is>
      </c>
      <c r="E615" s="23" t="inlineStr">
        <is>
          <t>None recorded</t>
        </is>
      </c>
      <c r="F615" s="23" t="inlineStr">
        <is>
          <t>No individual professional decision recorded; Source assignment -- not individually reviewed</t>
        </is>
      </c>
      <c r="G615" s="23" t="inlineStr">
        <is>
          <t>Not individually decided</t>
        </is>
      </c>
      <c r="H615" s="23" t="inlineStr">
        <is>
          <t xml:space="preserve">RETAINED / ONE_TO_ONE; </t>
        </is>
      </c>
      <c r="I615" s="23" t="inlineStr">
        <is>
          <t>Carried forward</t>
        </is>
      </c>
      <c r="J615" s="14" t="inlineStr">
        <is>
          <t>08 CROSSWALK</t>
        </is>
      </c>
    </row>
    <row r="616" ht="49" customHeight="1">
      <c r="A616" s="23" t="inlineStr">
        <is>
          <t>R448-v2</t>
        </is>
      </c>
      <c r="B616" s="23" t="inlineStr">
        <is>
          <t>Contractor Programme / SCH-03-088</t>
        </is>
      </c>
      <c r="C616" s="23" t="inlineStr">
        <is>
          <t>WBS Code = 1.3.1</t>
        </is>
      </c>
      <c r="D616" s="23" t="inlineStr">
        <is>
          <t>Proposed by Source assignment; target 1.3.1 Systems - Traction Power</t>
        </is>
      </c>
      <c r="E616" s="23" t="inlineStr">
        <is>
          <t>None recorded</t>
        </is>
      </c>
      <c r="F616" s="23" t="inlineStr">
        <is>
          <t>No individual professional decision recorded; Source assignment -- not individually reviewed</t>
        </is>
      </c>
      <c r="G616" s="23" t="inlineStr">
        <is>
          <t>Not individually decided</t>
        </is>
      </c>
      <c r="H616" s="23" t="inlineStr">
        <is>
          <t xml:space="preserve">RETAINED / ONE_TO_ONE; </t>
        </is>
      </c>
      <c r="I616" s="23" t="inlineStr">
        <is>
          <t>Carried forward</t>
        </is>
      </c>
      <c r="J616" s="14" t="inlineStr">
        <is>
          <t>08 CROSSWALK</t>
        </is>
      </c>
    </row>
    <row r="617" ht="49" customHeight="1">
      <c r="A617" s="23" t="inlineStr">
        <is>
          <t>R449-v2</t>
        </is>
      </c>
      <c r="B617" s="23" t="inlineStr">
        <is>
          <t>Contractor Programme / SCH-03-089</t>
        </is>
      </c>
      <c r="C617" s="23" t="inlineStr">
        <is>
          <t>WBS Code = 1.3.1</t>
        </is>
      </c>
      <c r="D617" s="23" t="inlineStr">
        <is>
          <t>Proposed by Source assignment; target 1.3.1 Systems - Traction Power</t>
        </is>
      </c>
      <c r="E617" s="23" t="inlineStr">
        <is>
          <t>None recorded</t>
        </is>
      </c>
      <c r="F617" s="23" t="inlineStr">
        <is>
          <t>No individual professional decision recorded; Source assignment -- not individually reviewed</t>
        </is>
      </c>
      <c r="G617" s="23" t="inlineStr">
        <is>
          <t>Not individually decided</t>
        </is>
      </c>
      <c r="H617" s="23" t="inlineStr">
        <is>
          <t xml:space="preserve">RETAINED / ONE_TO_ONE; </t>
        </is>
      </c>
      <c r="I617" s="23" t="inlineStr">
        <is>
          <t>Carried forward</t>
        </is>
      </c>
      <c r="J617" s="14" t="inlineStr">
        <is>
          <t>08 CROSSWALK</t>
        </is>
      </c>
    </row>
    <row r="618" ht="49" customHeight="1">
      <c r="A618" s="23" t="inlineStr">
        <is>
          <t>R451-v2</t>
        </is>
      </c>
      <c r="B618" s="23" t="inlineStr">
        <is>
          <t>Contractor Programme / SCH-03-091</t>
        </is>
      </c>
      <c r="C618" s="23" t="inlineStr">
        <is>
          <t>WBS Code = 1.3.1</t>
        </is>
      </c>
      <c r="D618" s="23" t="inlineStr">
        <is>
          <t>Proposed by Source assignment; target 1.3.1 Systems - Traction Power</t>
        </is>
      </c>
      <c r="E618" s="23" t="inlineStr">
        <is>
          <t>None recorded</t>
        </is>
      </c>
      <c r="F618" s="23" t="inlineStr">
        <is>
          <t>No individual professional decision recorded; Source assignment -- not individually reviewed</t>
        </is>
      </c>
      <c r="G618" s="23" t="inlineStr">
        <is>
          <t>Not individually decided</t>
        </is>
      </c>
      <c r="H618" s="23" t="inlineStr">
        <is>
          <t xml:space="preserve">RETAINED / ONE_TO_ONE; </t>
        </is>
      </c>
      <c r="I618" s="23" t="inlineStr">
        <is>
          <t>Carried forward</t>
        </is>
      </c>
      <c r="J618" s="14" t="inlineStr">
        <is>
          <t>08 CROSSWALK</t>
        </is>
      </c>
    </row>
    <row r="619" ht="49" customHeight="1">
      <c r="A619" s="23" t="inlineStr">
        <is>
          <t>R452-v2</t>
        </is>
      </c>
      <c r="B619" s="23" t="inlineStr">
        <is>
          <t>Contractor Programme / SCH-03-092</t>
        </is>
      </c>
      <c r="C619" s="23" t="inlineStr">
        <is>
          <t>WBS Code = 1.3.1</t>
        </is>
      </c>
      <c r="D619" s="23" t="inlineStr">
        <is>
          <t>Proposed by Source assignment; target 1.3.1 Systems - Traction Power</t>
        </is>
      </c>
      <c r="E619" s="23" t="inlineStr">
        <is>
          <t>None recorded</t>
        </is>
      </c>
      <c r="F619" s="23" t="inlineStr">
        <is>
          <t>No individual professional decision recorded; Source assignment -- not individually reviewed</t>
        </is>
      </c>
      <c r="G619" s="23" t="inlineStr">
        <is>
          <t>Not individually decided</t>
        </is>
      </c>
      <c r="H619" s="23" t="inlineStr">
        <is>
          <t xml:space="preserve">RETAINED / ONE_TO_ONE; </t>
        </is>
      </c>
      <c r="I619" s="23" t="inlineStr">
        <is>
          <t>Carried forward</t>
        </is>
      </c>
      <c r="J619" s="14" t="inlineStr">
        <is>
          <t>08 CROSSWALK</t>
        </is>
      </c>
    </row>
    <row r="620" ht="49" customHeight="1">
      <c r="A620" s="23" t="inlineStr">
        <is>
          <t>R454-v2</t>
        </is>
      </c>
      <c r="B620" s="23" t="inlineStr">
        <is>
          <t>Contractor Programme / SCH-03-094</t>
        </is>
      </c>
      <c r="C620" s="23" t="inlineStr">
        <is>
          <t>WBS Code = 1.3.1</t>
        </is>
      </c>
      <c r="D620" s="23" t="inlineStr">
        <is>
          <t>Proposed by Source assignment; target 1.3.1 Systems - Traction Power</t>
        </is>
      </c>
      <c r="E620" s="23" t="inlineStr">
        <is>
          <t>None recorded</t>
        </is>
      </c>
      <c r="F620" s="23" t="inlineStr">
        <is>
          <t>No individual professional decision recorded; Source assignment -- not individually reviewed</t>
        </is>
      </c>
      <c r="G620" s="23" t="inlineStr">
        <is>
          <t>Not individually decided</t>
        </is>
      </c>
      <c r="H620" s="23" t="inlineStr">
        <is>
          <t xml:space="preserve">RETAINED / ONE_TO_ONE; </t>
        </is>
      </c>
      <c r="I620" s="23" t="inlineStr">
        <is>
          <t>Carried forward</t>
        </is>
      </c>
      <c r="J620" s="14" t="inlineStr">
        <is>
          <t>08 CROSSWALK</t>
        </is>
      </c>
    </row>
    <row r="621" ht="49" customHeight="1">
      <c r="A621" s="23" t="inlineStr">
        <is>
          <t>R455-v2</t>
        </is>
      </c>
      <c r="B621" s="23" t="inlineStr">
        <is>
          <t>Contractor Programme / SCH-03-095</t>
        </is>
      </c>
      <c r="C621" s="23" t="inlineStr">
        <is>
          <t>WBS Code = 1.3.1</t>
        </is>
      </c>
      <c r="D621" s="23" t="inlineStr">
        <is>
          <t>Proposed by Source assignment; target 1.3.1 Systems - Traction Power</t>
        </is>
      </c>
      <c r="E621" s="23" t="inlineStr">
        <is>
          <t>None recorded</t>
        </is>
      </c>
      <c r="F621" s="23" t="inlineStr">
        <is>
          <t>No individual professional decision recorded; Source assignment -- not individually reviewed</t>
        </is>
      </c>
      <c r="G621" s="23" t="inlineStr">
        <is>
          <t>Not individually decided</t>
        </is>
      </c>
      <c r="H621" s="23" t="inlineStr">
        <is>
          <t xml:space="preserve">RETAINED / ONE_TO_ONE; </t>
        </is>
      </c>
      <c r="I621" s="23" t="inlineStr">
        <is>
          <t>Carried forward</t>
        </is>
      </c>
      <c r="J621" s="14" t="inlineStr">
        <is>
          <t>08 CROSSWALK</t>
        </is>
      </c>
    </row>
    <row r="622" ht="49" customHeight="1">
      <c r="A622" s="23" t="inlineStr">
        <is>
          <t>R457-v2</t>
        </is>
      </c>
      <c r="B622" s="23" t="inlineStr">
        <is>
          <t>Contractor Programme / SCH-03-097</t>
        </is>
      </c>
      <c r="C622" s="23" t="inlineStr">
        <is>
          <t>WBS Code = 1.3.1</t>
        </is>
      </c>
      <c r="D622" s="23" t="inlineStr">
        <is>
          <t>Proposed by Source assignment; target 1.3.1 Systems - Traction Power</t>
        </is>
      </c>
      <c r="E622" s="23" t="inlineStr">
        <is>
          <t>None recorded</t>
        </is>
      </c>
      <c r="F622" s="23" t="inlineStr">
        <is>
          <t>No individual professional decision recorded; Source assignment -- not individually reviewed</t>
        </is>
      </c>
      <c r="G622" s="23" t="inlineStr">
        <is>
          <t>Not individually decided</t>
        </is>
      </c>
      <c r="H622" s="23" t="inlineStr">
        <is>
          <t xml:space="preserve">RETAINED / ONE_TO_ONE; </t>
        </is>
      </c>
      <c r="I622" s="23" t="inlineStr">
        <is>
          <t>Carried forward</t>
        </is>
      </c>
      <c r="J622" s="14" t="inlineStr">
        <is>
          <t>08 CROSSWALK</t>
        </is>
      </c>
    </row>
    <row r="623" ht="49" customHeight="1">
      <c r="A623" s="23" t="inlineStr">
        <is>
          <t>R458-v2</t>
        </is>
      </c>
      <c r="B623" s="23" t="inlineStr">
        <is>
          <t>Contractor Programme / SCH-03-098</t>
        </is>
      </c>
      <c r="C623" s="23" t="inlineStr">
        <is>
          <t>WBS Code = 1.3.1</t>
        </is>
      </c>
      <c r="D623" s="23" t="inlineStr">
        <is>
          <t>Proposed by Source assignment; target 1.3.1 Systems - Traction Power</t>
        </is>
      </c>
      <c r="E623" s="23" t="inlineStr">
        <is>
          <t>None recorded</t>
        </is>
      </c>
      <c r="F623" s="23" t="inlineStr">
        <is>
          <t>No individual professional decision recorded; Source assignment -- not individually reviewed</t>
        </is>
      </c>
      <c r="G623" s="23" t="inlineStr">
        <is>
          <t>Not individually decided</t>
        </is>
      </c>
      <c r="H623" s="23" t="inlineStr">
        <is>
          <t xml:space="preserve">RETAINED / ONE_TO_ONE; </t>
        </is>
      </c>
      <c r="I623" s="23" t="inlineStr">
        <is>
          <t>Carried forward</t>
        </is>
      </c>
      <c r="J623" s="14" t="inlineStr">
        <is>
          <t>08 CROSSWALK</t>
        </is>
      </c>
    </row>
    <row r="624" ht="49" customHeight="1">
      <c r="A624" s="23" t="inlineStr">
        <is>
          <t>R460-v2</t>
        </is>
      </c>
      <c r="B624" s="23" t="inlineStr">
        <is>
          <t>Contractor Programme / SCH-03-100</t>
        </is>
      </c>
      <c r="C624" s="23" t="inlineStr">
        <is>
          <t>WBS Code = 1.3.1</t>
        </is>
      </c>
      <c r="D624" s="23" t="inlineStr">
        <is>
          <t>Proposed by Source assignment; target 1.3.1 Systems - Traction Power</t>
        </is>
      </c>
      <c r="E624" s="23" t="inlineStr">
        <is>
          <t>None recorded</t>
        </is>
      </c>
      <c r="F624" s="23" t="inlineStr">
        <is>
          <t>No individual professional decision recorded; Source assignment -- not individually reviewed</t>
        </is>
      </c>
      <c r="G624" s="23" t="inlineStr">
        <is>
          <t>Not individually decided</t>
        </is>
      </c>
      <c r="H624" s="23" t="inlineStr">
        <is>
          <t xml:space="preserve">RETAINED / ONE_TO_ONE; </t>
        </is>
      </c>
      <c r="I624" s="23" t="inlineStr">
        <is>
          <t>Carried forward</t>
        </is>
      </c>
      <c r="J624" s="14" t="inlineStr">
        <is>
          <t>08 CROSSWALK</t>
        </is>
      </c>
    </row>
    <row r="625" ht="49" customHeight="1">
      <c r="A625" s="23" t="inlineStr">
        <is>
          <t>R461-v2</t>
        </is>
      </c>
      <c r="B625" s="23" t="inlineStr">
        <is>
          <t>Contractor Programme / SCH-03-101</t>
        </is>
      </c>
      <c r="C625" s="23" t="inlineStr">
        <is>
          <t>WBS Code = 1.3.1</t>
        </is>
      </c>
      <c r="D625" s="23" t="inlineStr">
        <is>
          <t>Proposed by Source assignment; target 1.3.1 Systems - Traction Power</t>
        </is>
      </c>
      <c r="E625" s="23" t="inlineStr">
        <is>
          <t>None recorded</t>
        </is>
      </c>
      <c r="F625" s="23" t="inlineStr">
        <is>
          <t>No individual professional decision recorded; Source assignment -- not individually reviewed</t>
        </is>
      </c>
      <c r="G625" s="23" t="inlineStr">
        <is>
          <t>Not individually decided</t>
        </is>
      </c>
      <c r="H625" s="23" t="inlineStr">
        <is>
          <t xml:space="preserve">RETAINED / ONE_TO_ONE; </t>
        </is>
      </c>
      <c r="I625" s="23" t="inlineStr">
        <is>
          <t>Carried forward</t>
        </is>
      </c>
      <c r="J625" s="14" t="inlineStr">
        <is>
          <t>08 CROSSWALK</t>
        </is>
      </c>
    </row>
    <row r="626" ht="49" customHeight="1">
      <c r="A626" s="23" t="inlineStr">
        <is>
          <t>R463-v2</t>
        </is>
      </c>
      <c r="B626" s="23" t="inlineStr">
        <is>
          <t>Contractor Programme / SCH-03-103</t>
        </is>
      </c>
      <c r="C626" s="23" t="inlineStr">
        <is>
          <t>WBS Code = 1.3.1</t>
        </is>
      </c>
      <c r="D626" s="23" t="inlineStr">
        <is>
          <t>Proposed by Source assignment; target 1.3.1 Systems - Traction Power</t>
        </is>
      </c>
      <c r="E626" s="23" t="inlineStr">
        <is>
          <t>None recorded</t>
        </is>
      </c>
      <c r="F626" s="23" t="inlineStr">
        <is>
          <t>No individual professional decision recorded; Source assignment -- not individually reviewed</t>
        </is>
      </c>
      <c r="G626" s="23" t="inlineStr">
        <is>
          <t>Not individually decided</t>
        </is>
      </c>
      <c r="H626" s="23" t="inlineStr">
        <is>
          <t xml:space="preserve">RETAINED / ONE_TO_ONE; </t>
        </is>
      </c>
      <c r="I626" s="23" t="inlineStr">
        <is>
          <t>Carried forward</t>
        </is>
      </c>
      <c r="J626" s="14" t="inlineStr">
        <is>
          <t>08 CROSSWALK</t>
        </is>
      </c>
    </row>
    <row r="627" ht="49" customHeight="1">
      <c r="A627" s="23" t="inlineStr">
        <is>
          <t>R464-v2</t>
        </is>
      </c>
      <c r="B627" s="23" t="inlineStr">
        <is>
          <t>Contractor Programme / SCH-03-104</t>
        </is>
      </c>
      <c r="C627" s="23" t="inlineStr">
        <is>
          <t>WBS Code = 1.3.1</t>
        </is>
      </c>
      <c r="D627" s="23" t="inlineStr">
        <is>
          <t>Proposed by Source assignment; target 1.3.1 Systems - Traction Power</t>
        </is>
      </c>
      <c r="E627" s="23" t="inlineStr">
        <is>
          <t>None recorded</t>
        </is>
      </c>
      <c r="F627" s="23" t="inlineStr">
        <is>
          <t>No individual professional decision recorded; Source assignment -- not individually reviewed</t>
        </is>
      </c>
      <c r="G627" s="23" t="inlineStr">
        <is>
          <t>Not individually decided</t>
        </is>
      </c>
      <c r="H627" s="23" t="inlineStr">
        <is>
          <t xml:space="preserve">RETAINED / ONE_TO_ONE; </t>
        </is>
      </c>
      <c r="I627" s="23" t="inlineStr">
        <is>
          <t>Carried forward</t>
        </is>
      </c>
      <c r="J627" s="14" t="inlineStr">
        <is>
          <t>08 CROSSWALK</t>
        </is>
      </c>
    </row>
    <row r="628" ht="49" customHeight="1">
      <c r="A628" s="23" t="inlineStr">
        <is>
          <t>R466-v2</t>
        </is>
      </c>
      <c r="B628" s="23" t="inlineStr">
        <is>
          <t>Contractor Programme / SCH-03-106</t>
        </is>
      </c>
      <c r="C628" s="23" t="inlineStr">
        <is>
          <t>WBS Code = 1.3.1</t>
        </is>
      </c>
      <c r="D628" s="23" t="inlineStr">
        <is>
          <t>Proposed by Source assignment; target 1.3.1 Systems - Traction Power</t>
        </is>
      </c>
      <c r="E628" s="23" t="inlineStr">
        <is>
          <t>None recorded</t>
        </is>
      </c>
      <c r="F628" s="23" t="inlineStr">
        <is>
          <t>No individual professional decision recorded; Source assignment -- not individually reviewed</t>
        </is>
      </c>
      <c r="G628" s="23" t="inlineStr">
        <is>
          <t>Not individually decided</t>
        </is>
      </c>
      <c r="H628" s="23" t="inlineStr">
        <is>
          <t xml:space="preserve">RETAINED / ONE_TO_ONE; </t>
        </is>
      </c>
      <c r="I628" s="23" t="inlineStr">
        <is>
          <t>Carried forward</t>
        </is>
      </c>
      <c r="J628" s="14" t="inlineStr">
        <is>
          <t>08 CROSSWALK</t>
        </is>
      </c>
    </row>
    <row r="629" ht="49" customHeight="1">
      <c r="A629" s="23" t="inlineStr">
        <is>
          <t>R467-v2</t>
        </is>
      </c>
      <c r="B629" s="23" t="inlineStr">
        <is>
          <t>Contractor Programme / SCH-03-107</t>
        </is>
      </c>
      <c r="C629" s="23" t="inlineStr">
        <is>
          <t>WBS Code = 1.3.1</t>
        </is>
      </c>
      <c r="D629" s="23" t="inlineStr">
        <is>
          <t>Proposed by Source assignment; target 1.3.1 Systems - Traction Power</t>
        </is>
      </c>
      <c r="E629" s="23" t="inlineStr">
        <is>
          <t>None recorded</t>
        </is>
      </c>
      <c r="F629" s="23" t="inlineStr">
        <is>
          <t>No individual professional decision recorded; Source assignment -- not individually reviewed</t>
        </is>
      </c>
      <c r="G629" s="23" t="inlineStr">
        <is>
          <t>Not individually decided</t>
        </is>
      </c>
      <c r="H629" s="23" t="inlineStr">
        <is>
          <t xml:space="preserve">RETAINED / ONE_TO_ONE; </t>
        </is>
      </c>
      <c r="I629" s="23" t="inlineStr">
        <is>
          <t>Carried forward</t>
        </is>
      </c>
      <c r="J629" s="14" t="inlineStr">
        <is>
          <t>08 CROSSWALK</t>
        </is>
      </c>
    </row>
    <row r="630" ht="49" customHeight="1">
      <c r="A630" s="23" t="inlineStr">
        <is>
          <t>R469-v2</t>
        </is>
      </c>
      <c r="B630" s="23" t="inlineStr">
        <is>
          <t>Contractor Programme / SCH-03-109</t>
        </is>
      </c>
      <c r="C630" s="23" t="inlineStr">
        <is>
          <t>WBS Code = 1.3.1</t>
        </is>
      </c>
      <c r="D630" s="23" t="inlineStr">
        <is>
          <t>Proposed by Source assignment; target 1.3.1 Systems - Traction Power</t>
        </is>
      </c>
      <c r="E630" s="23" t="inlineStr">
        <is>
          <t>None recorded</t>
        </is>
      </c>
      <c r="F630" s="23" t="inlineStr">
        <is>
          <t>No individual professional decision recorded; Source assignment -- not individually reviewed</t>
        </is>
      </c>
      <c r="G630" s="23" t="inlineStr">
        <is>
          <t>Not individually decided</t>
        </is>
      </c>
      <c r="H630" s="23" t="inlineStr">
        <is>
          <t xml:space="preserve">RETAINED / ONE_TO_ONE; </t>
        </is>
      </c>
      <c r="I630" s="23" t="inlineStr">
        <is>
          <t>Carried forward</t>
        </is>
      </c>
      <c r="J630" s="14" t="inlineStr">
        <is>
          <t>08 CROSSWALK</t>
        </is>
      </c>
    </row>
    <row r="631" ht="49" customHeight="1">
      <c r="A631" s="23" t="inlineStr">
        <is>
          <t>R470-v2</t>
        </is>
      </c>
      <c r="B631" s="23" t="inlineStr">
        <is>
          <t>Contractor Programme / SCH-03-110</t>
        </is>
      </c>
      <c r="C631" s="23" t="inlineStr">
        <is>
          <t>WBS Code = 1.3.1</t>
        </is>
      </c>
      <c r="D631" s="23" t="inlineStr">
        <is>
          <t>Proposed by Source assignment; target 1.3.1 Systems - Traction Power</t>
        </is>
      </c>
      <c r="E631" s="23" t="inlineStr">
        <is>
          <t>None recorded</t>
        </is>
      </c>
      <c r="F631" s="23" t="inlineStr">
        <is>
          <t>No individual professional decision recorded; Source assignment -- not individually reviewed</t>
        </is>
      </c>
      <c r="G631" s="23" t="inlineStr">
        <is>
          <t>Not individually decided</t>
        </is>
      </c>
      <c r="H631" s="23" t="inlineStr">
        <is>
          <t xml:space="preserve">RETAINED / ONE_TO_ONE; </t>
        </is>
      </c>
      <c r="I631" s="23" t="inlineStr">
        <is>
          <t>Carried forward</t>
        </is>
      </c>
      <c r="J631" s="14" t="inlineStr">
        <is>
          <t>08 CROSSWALK</t>
        </is>
      </c>
    </row>
    <row r="632" ht="49" customHeight="1">
      <c r="A632" s="23" t="inlineStr">
        <is>
          <t>R472-v2</t>
        </is>
      </c>
      <c r="B632" s="23" t="inlineStr">
        <is>
          <t>Contractor Programme / SCH-03-112</t>
        </is>
      </c>
      <c r="C632" s="23" t="inlineStr">
        <is>
          <t>WBS Code = 1.3.1</t>
        </is>
      </c>
      <c r="D632" s="23" t="inlineStr">
        <is>
          <t>Proposed by Source assignment; target 1.3.1 Systems - Traction Power</t>
        </is>
      </c>
      <c r="E632" s="23" t="inlineStr">
        <is>
          <t>None recorded</t>
        </is>
      </c>
      <c r="F632" s="23" t="inlineStr">
        <is>
          <t>No individual professional decision recorded; Source assignment -- not individually reviewed</t>
        </is>
      </c>
      <c r="G632" s="23" t="inlineStr">
        <is>
          <t>Not individually decided</t>
        </is>
      </c>
      <c r="H632" s="23" t="inlineStr">
        <is>
          <t xml:space="preserve">RETAINED / ONE_TO_ONE; </t>
        </is>
      </c>
      <c r="I632" s="23" t="inlineStr">
        <is>
          <t>Carried forward</t>
        </is>
      </c>
      <c r="J632" s="14" t="inlineStr">
        <is>
          <t>08 CROSSWALK</t>
        </is>
      </c>
    </row>
    <row r="633" ht="49" customHeight="1">
      <c r="A633" s="23" t="inlineStr">
        <is>
          <t>R473-v2</t>
        </is>
      </c>
      <c r="B633" s="23" t="inlineStr">
        <is>
          <t>Contractor Programme / SCH-03-113</t>
        </is>
      </c>
      <c r="C633" s="23" t="inlineStr">
        <is>
          <t>WBS Code = 1.3.1</t>
        </is>
      </c>
      <c r="D633" s="23" t="inlineStr">
        <is>
          <t>Proposed by Source assignment; target 1.3.1 Systems - Traction Power</t>
        </is>
      </c>
      <c r="E633" s="23" t="inlineStr">
        <is>
          <t>None recorded</t>
        </is>
      </c>
      <c r="F633" s="23" t="inlineStr">
        <is>
          <t>No individual professional decision recorded; Source assignment -- not individually reviewed</t>
        </is>
      </c>
      <c r="G633" s="23" t="inlineStr">
        <is>
          <t>Not individually decided</t>
        </is>
      </c>
      <c r="H633" s="23" t="inlineStr">
        <is>
          <t xml:space="preserve">RETAINED / ONE_TO_ONE; </t>
        </is>
      </c>
      <c r="I633" s="23" t="inlineStr">
        <is>
          <t>Carried forward</t>
        </is>
      </c>
      <c r="J633" s="14" t="inlineStr">
        <is>
          <t>08 CROSSWALK</t>
        </is>
      </c>
    </row>
    <row r="634" ht="49" customHeight="1">
      <c r="A634" s="23" t="inlineStr">
        <is>
          <t>R475-v2</t>
        </is>
      </c>
      <c r="B634" s="23" t="inlineStr">
        <is>
          <t>Contractor Programme / SCH-03-115</t>
        </is>
      </c>
      <c r="C634" s="23" t="inlineStr">
        <is>
          <t>WBS Code = 1.3.1</t>
        </is>
      </c>
      <c r="D634" s="23" t="inlineStr">
        <is>
          <t>Proposed by Source assignment; target 1.3.1 Systems - Traction Power</t>
        </is>
      </c>
      <c r="E634" s="23" t="inlineStr">
        <is>
          <t>None recorded</t>
        </is>
      </c>
      <c r="F634" s="23" t="inlineStr">
        <is>
          <t>No individual professional decision recorded; Source assignment -- not individually reviewed</t>
        </is>
      </c>
      <c r="G634" s="23" t="inlineStr">
        <is>
          <t>Not individually decided</t>
        </is>
      </c>
      <c r="H634" s="23" t="inlineStr">
        <is>
          <t xml:space="preserve">RETAINED / ONE_TO_ONE; </t>
        </is>
      </c>
      <c r="I634" s="23" t="inlineStr">
        <is>
          <t>Carried forward</t>
        </is>
      </c>
      <c r="J634" s="14" t="inlineStr">
        <is>
          <t>08 CROSSWALK</t>
        </is>
      </c>
    </row>
    <row r="635" ht="49" customHeight="1">
      <c r="A635" s="23" t="inlineStr">
        <is>
          <t>R476-v2</t>
        </is>
      </c>
      <c r="B635" s="23" t="inlineStr">
        <is>
          <t>Contractor Programme / SCH-03-116</t>
        </is>
      </c>
      <c r="C635" s="23" t="inlineStr">
        <is>
          <t>WBS Code = 1.3.1</t>
        </is>
      </c>
      <c r="D635" s="23" t="inlineStr">
        <is>
          <t>Proposed by Source assignment; target 1.3.1 Systems - Traction Power</t>
        </is>
      </c>
      <c r="E635" s="23" t="inlineStr">
        <is>
          <t>None recorded</t>
        </is>
      </c>
      <c r="F635" s="23" t="inlineStr">
        <is>
          <t>No individual professional decision recorded; Source assignment -- not individually reviewed</t>
        </is>
      </c>
      <c r="G635" s="23" t="inlineStr">
        <is>
          <t>Not individually decided</t>
        </is>
      </c>
      <c r="H635" s="23" t="inlineStr">
        <is>
          <t xml:space="preserve">RETAINED / ONE_TO_ONE; </t>
        </is>
      </c>
      <c r="I635" s="23" t="inlineStr">
        <is>
          <t>Carried forward</t>
        </is>
      </c>
      <c r="J635" s="14" t="inlineStr">
        <is>
          <t>08 CROSSWALK</t>
        </is>
      </c>
    </row>
    <row r="636" ht="49" customHeight="1">
      <c r="A636" s="23" t="inlineStr">
        <is>
          <t>R478-v2</t>
        </is>
      </c>
      <c r="B636" s="23" t="inlineStr">
        <is>
          <t>Contractor Programme / SCH-03-118</t>
        </is>
      </c>
      <c r="C636" s="23" t="inlineStr">
        <is>
          <t>WBS Code = 1.3.1</t>
        </is>
      </c>
      <c r="D636" s="23" t="inlineStr">
        <is>
          <t>Proposed by Source assignment; target 1.3.1 Systems - Traction Power</t>
        </is>
      </c>
      <c r="E636" s="23" t="inlineStr">
        <is>
          <t>None recorded</t>
        </is>
      </c>
      <c r="F636" s="23" t="inlineStr">
        <is>
          <t>No individual professional decision recorded; Source assignment -- not individually reviewed</t>
        </is>
      </c>
      <c r="G636" s="23" t="inlineStr">
        <is>
          <t>Not individually decided</t>
        </is>
      </c>
      <c r="H636" s="23" t="inlineStr">
        <is>
          <t xml:space="preserve">RETAINED / ONE_TO_ONE; </t>
        </is>
      </c>
      <c r="I636" s="23" t="inlineStr">
        <is>
          <t>Carried forward</t>
        </is>
      </c>
      <c r="J636" s="14" t="inlineStr">
        <is>
          <t>08 CROSSWALK</t>
        </is>
      </c>
    </row>
    <row r="637" ht="49" customHeight="1">
      <c r="A637" s="23" t="inlineStr">
        <is>
          <t>R479-v2</t>
        </is>
      </c>
      <c r="B637" s="23" t="inlineStr">
        <is>
          <t>Contractor Programme / SCH-03-119</t>
        </is>
      </c>
      <c r="C637" s="23" t="inlineStr">
        <is>
          <t>WBS Code = 1.3.1</t>
        </is>
      </c>
      <c r="D637" s="23" t="inlineStr">
        <is>
          <t>Proposed by Source assignment; target 1.3.1 Systems - Traction Power</t>
        </is>
      </c>
      <c r="E637" s="23" t="inlineStr">
        <is>
          <t>None recorded</t>
        </is>
      </c>
      <c r="F637" s="23" t="inlineStr">
        <is>
          <t>No individual professional decision recorded; Source assignment -- not individually reviewed</t>
        </is>
      </c>
      <c r="G637" s="23" t="inlineStr">
        <is>
          <t>Not individually decided</t>
        </is>
      </c>
      <c r="H637" s="23" t="inlineStr">
        <is>
          <t xml:space="preserve">RETAINED / ONE_TO_ONE; </t>
        </is>
      </c>
      <c r="I637" s="23" t="inlineStr">
        <is>
          <t>Carried forward</t>
        </is>
      </c>
      <c r="J637" s="14" t="inlineStr">
        <is>
          <t>08 CROSSWALK</t>
        </is>
      </c>
    </row>
    <row r="638" ht="49" customHeight="1">
      <c r="A638" s="23" t="inlineStr">
        <is>
          <t>R481-v2</t>
        </is>
      </c>
      <c r="B638" s="23" t="inlineStr">
        <is>
          <t>Contractor Programme / SCH-03-121</t>
        </is>
      </c>
      <c r="C638" s="23" t="inlineStr">
        <is>
          <t>WBS Code = 1.3.1</t>
        </is>
      </c>
      <c r="D638" s="23" t="inlineStr">
        <is>
          <t>Proposed by Source assignment; target 1.3.1 Systems - Traction Power</t>
        </is>
      </c>
      <c r="E638" s="23" t="inlineStr">
        <is>
          <t>None recorded</t>
        </is>
      </c>
      <c r="F638" s="23" t="inlineStr">
        <is>
          <t>No individual professional decision recorded; Source assignment -- not individually reviewed</t>
        </is>
      </c>
      <c r="G638" s="23" t="inlineStr">
        <is>
          <t>Not individually decided</t>
        </is>
      </c>
      <c r="H638" s="23" t="inlineStr">
        <is>
          <t xml:space="preserve">RETAINED / ONE_TO_ONE; </t>
        </is>
      </c>
      <c r="I638" s="23" t="inlineStr">
        <is>
          <t>Carried forward</t>
        </is>
      </c>
      <c r="J638" s="14" t="inlineStr">
        <is>
          <t>08 CROSSWALK</t>
        </is>
      </c>
    </row>
    <row r="639" ht="49" customHeight="1">
      <c r="A639" s="23" t="inlineStr">
        <is>
          <t>R482-v2</t>
        </is>
      </c>
      <c r="B639" s="23" t="inlineStr">
        <is>
          <t>Contractor Programme / SCH-03-122</t>
        </is>
      </c>
      <c r="C639" s="23" t="inlineStr">
        <is>
          <t>WBS Code = 1.3.1</t>
        </is>
      </c>
      <c r="D639" s="23" t="inlineStr">
        <is>
          <t>Proposed by Source assignment; target 1.3.1 Systems - Traction Power</t>
        </is>
      </c>
      <c r="E639" s="23" t="inlineStr">
        <is>
          <t>None recorded</t>
        </is>
      </c>
      <c r="F639" s="23" t="inlineStr">
        <is>
          <t>No individual professional decision recorded; Source assignment -- not individually reviewed</t>
        </is>
      </c>
      <c r="G639" s="23" t="inlineStr">
        <is>
          <t>Not individually decided</t>
        </is>
      </c>
      <c r="H639" s="23" t="inlineStr">
        <is>
          <t xml:space="preserve">RETAINED / ONE_TO_ONE; </t>
        </is>
      </c>
      <c r="I639" s="23" t="inlineStr">
        <is>
          <t>Carried forward</t>
        </is>
      </c>
      <c r="J639" s="14" t="inlineStr">
        <is>
          <t>08 CROSSWALK</t>
        </is>
      </c>
    </row>
    <row r="640" ht="49" customHeight="1">
      <c r="A640" s="23" t="inlineStr">
        <is>
          <t>R484-v2</t>
        </is>
      </c>
      <c r="B640" s="23" t="inlineStr">
        <is>
          <t>Contractor Programme / SCH-03-124</t>
        </is>
      </c>
      <c r="C640" s="23" t="inlineStr">
        <is>
          <t>WBS Code = 1.3.1</t>
        </is>
      </c>
      <c r="D640" s="23" t="inlineStr">
        <is>
          <t>Proposed by Source assignment; target 1.3.1 Systems - Traction Power</t>
        </is>
      </c>
      <c r="E640" s="23" t="inlineStr">
        <is>
          <t>None recorded</t>
        </is>
      </c>
      <c r="F640" s="23" t="inlineStr">
        <is>
          <t>No individual professional decision recorded; Source assignment -- not individually reviewed</t>
        </is>
      </c>
      <c r="G640" s="23" t="inlineStr">
        <is>
          <t>Not individually decided</t>
        </is>
      </c>
      <c r="H640" s="23" t="inlineStr">
        <is>
          <t xml:space="preserve">RETAINED / ONE_TO_ONE; </t>
        </is>
      </c>
      <c r="I640" s="23" t="inlineStr">
        <is>
          <t>Carried forward</t>
        </is>
      </c>
      <c r="J640" s="14" t="inlineStr">
        <is>
          <t>08 CROSSWALK</t>
        </is>
      </c>
    </row>
    <row r="641" ht="49" customHeight="1">
      <c r="A641" s="23" t="inlineStr">
        <is>
          <t>R485-v2</t>
        </is>
      </c>
      <c r="B641" s="23" t="inlineStr">
        <is>
          <t>Contractor Programme / SCH-03-125</t>
        </is>
      </c>
      <c r="C641" s="23" t="inlineStr">
        <is>
          <t>WBS Code = 1.3.1</t>
        </is>
      </c>
      <c r="D641" s="23" t="inlineStr">
        <is>
          <t>Proposed by Source assignment; target 1.3.1 Systems - Traction Power</t>
        </is>
      </c>
      <c r="E641" s="23" t="inlineStr">
        <is>
          <t>None recorded</t>
        </is>
      </c>
      <c r="F641" s="23" t="inlineStr">
        <is>
          <t>No individual professional decision recorded; Source assignment -- not individually reviewed</t>
        </is>
      </c>
      <c r="G641" s="23" t="inlineStr">
        <is>
          <t>Not individually decided</t>
        </is>
      </c>
      <c r="H641" s="23" t="inlineStr">
        <is>
          <t xml:space="preserve">RETAINED / ONE_TO_ONE; </t>
        </is>
      </c>
      <c r="I641" s="23" t="inlineStr">
        <is>
          <t>Carried forward</t>
        </is>
      </c>
      <c r="J641" s="14" t="inlineStr">
        <is>
          <t>08 CROSSWALK</t>
        </is>
      </c>
    </row>
    <row r="642" ht="49" customHeight="1">
      <c r="A642" s="23" t="inlineStr">
        <is>
          <t>R487-v2</t>
        </is>
      </c>
      <c r="B642" s="23" t="inlineStr">
        <is>
          <t>Contractor Programme / SCH-03-127</t>
        </is>
      </c>
      <c r="C642" s="23" t="inlineStr">
        <is>
          <t>WBS Code = 1.3.1</t>
        </is>
      </c>
      <c r="D642" s="23" t="inlineStr">
        <is>
          <t>Proposed by Source assignment; target 1.3.1 Systems - Traction Power</t>
        </is>
      </c>
      <c r="E642" s="23" t="inlineStr">
        <is>
          <t>None recorded</t>
        </is>
      </c>
      <c r="F642" s="23" t="inlineStr">
        <is>
          <t>No individual professional decision recorded; Source assignment -- not individually reviewed</t>
        </is>
      </c>
      <c r="G642" s="23" t="inlineStr">
        <is>
          <t>Not individually decided</t>
        </is>
      </c>
      <c r="H642" s="23" t="inlineStr">
        <is>
          <t xml:space="preserve">RETAINED / ONE_TO_ONE; </t>
        </is>
      </c>
      <c r="I642" s="23" t="inlineStr">
        <is>
          <t>Carried forward</t>
        </is>
      </c>
      <c r="J642" s="14" t="inlineStr">
        <is>
          <t>08 CROSSWALK</t>
        </is>
      </c>
    </row>
    <row r="643" ht="49" customHeight="1">
      <c r="A643" s="23" t="inlineStr">
        <is>
          <t>R488-v2</t>
        </is>
      </c>
      <c r="B643" s="23" t="inlineStr">
        <is>
          <t>Contractor Programme / SCH-03-128</t>
        </is>
      </c>
      <c r="C643" s="23" t="inlineStr">
        <is>
          <t>WBS Code = 1.3.1</t>
        </is>
      </c>
      <c r="D643" s="23" t="inlineStr">
        <is>
          <t>Proposed by Source assignment; target 1.3.1 Systems - Traction Power</t>
        </is>
      </c>
      <c r="E643" s="23" t="inlineStr">
        <is>
          <t>None recorded</t>
        </is>
      </c>
      <c r="F643" s="23" t="inlineStr">
        <is>
          <t>No individual professional decision recorded; Source assignment -- not individually reviewed</t>
        </is>
      </c>
      <c r="G643" s="23" t="inlineStr">
        <is>
          <t>Not individually decided</t>
        </is>
      </c>
      <c r="H643" s="23" t="inlineStr">
        <is>
          <t xml:space="preserve">RETAINED / ONE_TO_ONE; </t>
        </is>
      </c>
      <c r="I643" s="23" t="inlineStr">
        <is>
          <t>Carried forward</t>
        </is>
      </c>
      <c r="J643" s="14" t="inlineStr">
        <is>
          <t>08 CROSSWALK</t>
        </is>
      </c>
    </row>
    <row r="644" ht="49" customHeight="1">
      <c r="A644" s="23" t="inlineStr">
        <is>
          <t>R490-v2</t>
        </is>
      </c>
      <c r="B644" s="23" t="inlineStr">
        <is>
          <t>Contractor Programme / SCH-03-130</t>
        </is>
      </c>
      <c r="C644" s="23" t="inlineStr">
        <is>
          <t>WBS Code = 1.3.1</t>
        </is>
      </c>
      <c r="D644" s="23" t="inlineStr">
        <is>
          <t>Proposed by Source assignment; target 1.3.1 Systems - Traction Power</t>
        </is>
      </c>
      <c r="E644" s="23" t="inlineStr">
        <is>
          <t>None recorded</t>
        </is>
      </c>
      <c r="F644" s="23" t="inlineStr">
        <is>
          <t>No individual professional decision recorded; Source assignment -- not individually reviewed</t>
        </is>
      </c>
      <c r="G644" s="23" t="inlineStr">
        <is>
          <t>Not individually decided</t>
        </is>
      </c>
      <c r="H644" s="23" t="inlineStr">
        <is>
          <t xml:space="preserve">RETAINED / ONE_TO_ONE; </t>
        </is>
      </c>
      <c r="I644" s="23" t="inlineStr">
        <is>
          <t>Carried forward</t>
        </is>
      </c>
      <c r="J644" s="14" t="inlineStr">
        <is>
          <t>08 CROSSWALK</t>
        </is>
      </c>
    </row>
    <row r="645" ht="49" customHeight="1">
      <c r="A645" s="23" t="inlineStr">
        <is>
          <t>R491-v2</t>
        </is>
      </c>
      <c r="B645" s="23" t="inlineStr">
        <is>
          <t>Contractor Programme / SCH-03-131</t>
        </is>
      </c>
      <c r="C645" s="23" t="inlineStr">
        <is>
          <t>WBS Code = 1.3.1</t>
        </is>
      </c>
      <c r="D645" s="23" t="inlineStr">
        <is>
          <t>Proposed by Source assignment; target 1.3.1 Systems - Traction Power</t>
        </is>
      </c>
      <c r="E645" s="23" t="inlineStr">
        <is>
          <t>None recorded</t>
        </is>
      </c>
      <c r="F645" s="23" t="inlineStr">
        <is>
          <t>No individual professional decision recorded; Source assignment -- not individually reviewed</t>
        </is>
      </c>
      <c r="G645" s="23" t="inlineStr">
        <is>
          <t>Not individually decided</t>
        </is>
      </c>
      <c r="H645" s="23" t="inlineStr">
        <is>
          <t xml:space="preserve">RETAINED / ONE_TO_ONE; </t>
        </is>
      </c>
      <c r="I645" s="23" t="inlineStr">
        <is>
          <t>Carried forward</t>
        </is>
      </c>
      <c r="J645" s="14" t="inlineStr">
        <is>
          <t>08 CROSSWALK</t>
        </is>
      </c>
    </row>
    <row r="646" ht="49" customHeight="1">
      <c r="A646" s="23" t="inlineStr">
        <is>
          <t>R493-v2</t>
        </is>
      </c>
      <c r="B646" s="23" t="inlineStr">
        <is>
          <t>Contractor Programme / SCH-03-133</t>
        </is>
      </c>
      <c r="C646" s="23" t="inlineStr">
        <is>
          <t>WBS Code = 1.3.1</t>
        </is>
      </c>
      <c r="D646" s="23" t="inlineStr">
        <is>
          <t>Proposed by Source assignment; target 1.3.1 Systems - Traction Power</t>
        </is>
      </c>
      <c r="E646" s="23" t="inlineStr">
        <is>
          <t>None recorded</t>
        </is>
      </c>
      <c r="F646" s="23" t="inlineStr">
        <is>
          <t>No individual professional decision recorded; Source assignment -- not individually reviewed</t>
        </is>
      </c>
      <c r="G646" s="23" t="inlineStr">
        <is>
          <t>Not individually decided</t>
        </is>
      </c>
      <c r="H646" s="23" t="inlineStr">
        <is>
          <t xml:space="preserve">RETAINED / ONE_TO_ONE; </t>
        </is>
      </c>
      <c r="I646" s="23" t="inlineStr">
        <is>
          <t>Carried forward</t>
        </is>
      </c>
      <c r="J646" s="14" t="inlineStr">
        <is>
          <t>08 CROSSWALK</t>
        </is>
      </c>
    </row>
    <row r="647" ht="49" customHeight="1">
      <c r="A647" s="23" t="inlineStr">
        <is>
          <t>R494-v2</t>
        </is>
      </c>
      <c r="B647" s="23" t="inlineStr">
        <is>
          <t>Contractor Programme / SCH-03-134</t>
        </is>
      </c>
      <c r="C647" s="23" t="inlineStr">
        <is>
          <t>WBS Code = 1.3.1</t>
        </is>
      </c>
      <c r="D647" s="23" t="inlineStr">
        <is>
          <t>Proposed by Source assignment; target 1.3.1 Systems - Traction Power</t>
        </is>
      </c>
      <c r="E647" s="23" t="inlineStr">
        <is>
          <t>None recorded</t>
        </is>
      </c>
      <c r="F647" s="23" t="inlineStr">
        <is>
          <t>No individual professional decision recorded; Source assignment -- not individually reviewed</t>
        </is>
      </c>
      <c r="G647" s="23" t="inlineStr">
        <is>
          <t>Not individually decided</t>
        </is>
      </c>
      <c r="H647" s="23" t="inlineStr">
        <is>
          <t xml:space="preserve">RETAINED / ONE_TO_ONE; </t>
        </is>
      </c>
      <c r="I647" s="23" t="inlineStr">
        <is>
          <t>Carried forward</t>
        </is>
      </c>
      <c r="J647" s="14" t="inlineStr">
        <is>
          <t>08 CROSSWALK</t>
        </is>
      </c>
    </row>
    <row r="648" ht="49" customHeight="1">
      <c r="A648" s="23" t="inlineStr">
        <is>
          <t>R496-v2</t>
        </is>
      </c>
      <c r="B648" s="23" t="inlineStr">
        <is>
          <t>Contractor Programme / SCH-03-136</t>
        </is>
      </c>
      <c r="C648" s="23" t="inlineStr">
        <is>
          <t>WBS Code = 1.3.1</t>
        </is>
      </c>
      <c r="D648" s="23" t="inlineStr">
        <is>
          <t>Proposed by Source assignment; target 1.3.1 Systems - Traction Power</t>
        </is>
      </c>
      <c r="E648" s="23" t="inlineStr">
        <is>
          <t>None recorded</t>
        </is>
      </c>
      <c r="F648" s="23" t="inlineStr">
        <is>
          <t>No individual professional decision recorded; Source assignment -- not individually reviewed</t>
        </is>
      </c>
      <c r="G648" s="23" t="inlineStr">
        <is>
          <t>Not individually decided</t>
        </is>
      </c>
      <c r="H648" s="23" t="inlineStr">
        <is>
          <t xml:space="preserve">RETAINED / ONE_TO_ONE; </t>
        </is>
      </c>
      <c r="I648" s="23" t="inlineStr">
        <is>
          <t>Carried forward</t>
        </is>
      </c>
      <c r="J648" s="14" t="inlineStr">
        <is>
          <t>08 CROSSWALK</t>
        </is>
      </c>
    </row>
    <row r="649" ht="49" customHeight="1">
      <c r="A649" s="23" t="inlineStr">
        <is>
          <t>R497-v2</t>
        </is>
      </c>
      <c r="B649" s="23" t="inlineStr">
        <is>
          <t>Contractor Programme / SCH-03-137</t>
        </is>
      </c>
      <c r="C649" s="23" t="inlineStr">
        <is>
          <t>WBS Code = 1.3.1</t>
        </is>
      </c>
      <c r="D649" s="23" t="inlineStr">
        <is>
          <t>Proposed by Source assignment; target 1.3.1 Systems - Traction Power</t>
        </is>
      </c>
      <c r="E649" s="23" t="inlineStr">
        <is>
          <t>None recorded</t>
        </is>
      </c>
      <c r="F649" s="23" t="inlineStr">
        <is>
          <t>No individual professional decision recorded; Source assignment -- not individually reviewed</t>
        </is>
      </c>
      <c r="G649" s="23" t="inlineStr">
        <is>
          <t>Not individually decided</t>
        </is>
      </c>
      <c r="H649" s="23" t="inlineStr">
        <is>
          <t xml:space="preserve">RETAINED / ONE_TO_ONE; </t>
        </is>
      </c>
      <c r="I649" s="23" t="inlineStr">
        <is>
          <t>Carried forward</t>
        </is>
      </c>
      <c r="J649" s="14" t="inlineStr">
        <is>
          <t>08 CROSSWALK</t>
        </is>
      </c>
    </row>
    <row r="650" ht="49" customHeight="1">
      <c r="A650" s="23" t="inlineStr">
        <is>
          <t>R499-v2</t>
        </is>
      </c>
      <c r="B650" s="23" t="inlineStr">
        <is>
          <t>Contractor Programme / SCH-03-139</t>
        </is>
      </c>
      <c r="C650" s="23" t="inlineStr">
        <is>
          <t>WBS Code = 1.3.1</t>
        </is>
      </c>
      <c r="D650" s="23" t="inlineStr">
        <is>
          <t>Proposed by Source assignment; target 1.3.1 Systems - Traction Power</t>
        </is>
      </c>
      <c r="E650" s="23" t="inlineStr">
        <is>
          <t>None recorded</t>
        </is>
      </c>
      <c r="F650" s="23" t="inlineStr">
        <is>
          <t>No individual professional decision recorded; Source assignment -- not individually reviewed</t>
        </is>
      </c>
      <c r="G650" s="23" t="inlineStr">
        <is>
          <t>Not individually decided</t>
        </is>
      </c>
      <c r="H650" s="23" t="inlineStr">
        <is>
          <t xml:space="preserve">RETAINED / ONE_TO_ONE; </t>
        </is>
      </c>
      <c r="I650" s="23" t="inlineStr">
        <is>
          <t>Carried forward</t>
        </is>
      </c>
      <c r="J650" s="14" t="inlineStr">
        <is>
          <t>08 CROSSWALK</t>
        </is>
      </c>
    </row>
    <row r="651" ht="49" customHeight="1">
      <c r="A651" s="23" t="inlineStr">
        <is>
          <t>R500-v2</t>
        </is>
      </c>
      <c r="B651" s="23" t="inlineStr">
        <is>
          <t>Contractor Programme / SCH-03-140</t>
        </is>
      </c>
      <c r="C651" s="23" t="inlineStr">
        <is>
          <t>WBS Code = 1.3.1</t>
        </is>
      </c>
      <c r="D651" s="23" t="inlineStr">
        <is>
          <t>Proposed by Source assignment; target 1.3.1 Systems - Traction Power</t>
        </is>
      </c>
      <c r="E651" s="23" t="inlineStr">
        <is>
          <t>None recorded</t>
        </is>
      </c>
      <c r="F651" s="23" t="inlineStr">
        <is>
          <t>No individual professional decision recorded; Source assignment -- not individually reviewed</t>
        </is>
      </c>
      <c r="G651" s="23" t="inlineStr">
        <is>
          <t>Not individually decided</t>
        </is>
      </c>
      <c r="H651" s="23" t="inlineStr">
        <is>
          <t xml:space="preserve">RETAINED / ONE_TO_ONE; </t>
        </is>
      </c>
      <c r="I651" s="23" t="inlineStr">
        <is>
          <t>Carried forward</t>
        </is>
      </c>
      <c r="J651" s="14" t="inlineStr">
        <is>
          <t>08 CROSSWALK</t>
        </is>
      </c>
    </row>
    <row r="652" ht="49" customHeight="1">
      <c r="A652" s="23" t="inlineStr">
        <is>
          <t>R502-v2</t>
        </is>
      </c>
      <c r="B652" s="23" t="inlineStr">
        <is>
          <t>Contractor Programme / SCH-03-142</t>
        </is>
      </c>
      <c r="C652" s="23" t="inlineStr">
        <is>
          <t>WBS Code = 1.3.1</t>
        </is>
      </c>
      <c r="D652" s="23" t="inlineStr">
        <is>
          <t>Proposed by Source assignment; target 1.3.1 Systems - Traction Power</t>
        </is>
      </c>
      <c r="E652" s="23" t="inlineStr">
        <is>
          <t>None recorded</t>
        </is>
      </c>
      <c r="F652" s="23" t="inlineStr">
        <is>
          <t>No individual professional decision recorded; Source assignment -- not individually reviewed</t>
        </is>
      </c>
      <c r="G652" s="23" t="inlineStr">
        <is>
          <t>Not individually decided</t>
        </is>
      </c>
      <c r="H652" s="23" t="inlineStr">
        <is>
          <t xml:space="preserve">RETAINED / ONE_TO_ONE; </t>
        </is>
      </c>
      <c r="I652" s="23" t="inlineStr">
        <is>
          <t>Carried forward</t>
        </is>
      </c>
      <c r="J652" s="14" t="inlineStr">
        <is>
          <t>08 CROSSWALK</t>
        </is>
      </c>
    </row>
    <row r="653" ht="49" customHeight="1">
      <c r="A653" s="23" t="inlineStr">
        <is>
          <t>R503-v2</t>
        </is>
      </c>
      <c r="B653" s="23" t="inlineStr">
        <is>
          <t>Contractor Programme / SCH-03-143</t>
        </is>
      </c>
      <c r="C653" s="23" t="inlineStr">
        <is>
          <t>WBS Code = 1.3.1</t>
        </is>
      </c>
      <c r="D653" s="23" t="inlineStr">
        <is>
          <t>Proposed by Source assignment; target 1.3.1 Systems - Traction Power</t>
        </is>
      </c>
      <c r="E653" s="23" t="inlineStr">
        <is>
          <t>None recorded</t>
        </is>
      </c>
      <c r="F653" s="23" t="inlineStr">
        <is>
          <t>No individual professional decision recorded; Source assignment -- not individually reviewed</t>
        </is>
      </c>
      <c r="G653" s="23" t="inlineStr">
        <is>
          <t>Not individually decided</t>
        </is>
      </c>
      <c r="H653" s="23" t="inlineStr">
        <is>
          <t xml:space="preserve">RETAINED / ONE_TO_ONE; </t>
        </is>
      </c>
      <c r="I653" s="23" t="inlineStr">
        <is>
          <t>Carried forward</t>
        </is>
      </c>
      <c r="J653" s="14" t="inlineStr">
        <is>
          <t>08 CROSSWALK</t>
        </is>
      </c>
    </row>
    <row r="654" ht="49" customHeight="1">
      <c r="A654" s="23" t="inlineStr">
        <is>
          <t>R505-v2</t>
        </is>
      </c>
      <c r="B654" s="23" t="inlineStr">
        <is>
          <t>Contractor Programme / SCH-03-145</t>
        </is>
      </c>
      <c r="C654" s="23" t="inlineStr">
        <is>
          <t>WBS Code = 1.3.1</t>
        </is>
      </c>
      <c r="D654" s="23" t="inlineStr">
        <is>
          <t>Proposed by Source assignment; target 1.3.1 Systems - Traction Power</t>
        </is>
      </c>
      <c r="E654" s="23" t="inlineStr">
        <is>
          <t>None recorded</t>
        </is>
      </c>
      <c r="F654" s="23" t="inlineStr">
        <is>
          <t>No individual professional decision recorded; Source assignment -- not individually reviewed</t>
        </is>
      </c>
      <c r="G654" s="23" t="inlineStr">
        <is>
          <t>Not individually decided</t>
        </is>
      </c>
      <c r="H654" s="23" t="inlineStr">
        <is>
          <t xml:space="preserve">RETAINED / ONE_TO_ONE; </t>
        </is>
      </c>
      <c r="I654" s="23" t="inlineStr">
        <is>
          <t>Carried forward</t>
        </is>
      </c>
      <c r="J654" s="14" t="inlineStr">
        <is>
          <t>08 CROSSWALK</t>
        </is>
      </c>
    </row>
    <row r="655" ht="49" customHeight="1">
      <c r="A655" s="23" t="inlineStr">
        <is>
          <t>R506-v2</t>
        </is>
      </c>
      <c r="B655" s="23" t="inlineStr">
        <is>
          <t>Contractor Programme / SCH-03-146</t>
        </is>
      </c>
      <c r="C655" s="23" t="inlineStr">
        <is>
          <t>WBS Code = 1.3.1</t>
        </is>
      </c>
      <c r="D655" s="23" t="inlineStr">
        <is>
          <t>Proposed by Source assignment; target 1.3.1 Systems - Traction Power</t>
        </is>
      </c>
      <c r="E655" s="23" t="inlineStr">
        <is>
          <t>None recorded</t>
        </is>
      </c>
      <c r="F655" s="23" t="inlineStr">
        <is>
          <t>No individual professional decision recorded; Source assignment -- not individually reviewed</t>
        </is>
      </c>
      <c r="G655" s="23" t="inlineStr">
        <is>
          <t>Not individually decided</t>
        </is>
      </c>
      <c r="H655" s="23" t="inlineStr">
        <is>
          <t xml:space="preserve">RETAINED / ONE_TO_ONE; </t>
        </is>
      </c>
      <c r="I655" s="23" t="inlineStr">
        <is>
          <t>Carried forward</t>
        </is>
      </c>
      <c r="J655" s="14" t="inlineStr">
        <is>
          <t>08 CROSSWALK</t>
        </is>
      </c>
    </row>
    <row r="656" ht="49" customHeight="1">
      <c r="A656" s="23" t="inlineStr">
        <is>
          <t>R508-v2</t>
        </is>
      </c>
      <c r="B656" s="23" t="inlineStr">
        <is>
          <t>Contractor Programme / SCH-03-148</t>
        </is>
      </c>
      <c r="C656" s="23" t="inlineStr">
        <is>
          <t>WBS Code = 1.3.1</t>
        </is>
      </c>
      <c r="D656" s="23" t="inlineStr">
        <is>
          <t>Proposed by Source assignment; target 1.3.1 Systems - Traction Power</t>
        </is>
      </c>
      <c r="E656" s="23" t="inlineStr">
        <is>
          <t>None recorded</t>
        </is>
      </c>
      <c r="F656" s="23" t="inlineStr">
        <is>
          <t>No individual professional decision recorded; Source assignment -- not individually reviewed</t>
        </is>
      </c>
      <c r="G656" s="23" t="inlineStr">
        <is>
          <t>Not individually decided</t>
        </is>
      </c>
      <c r="H656" s="23" t="inlineStr">
        <is>
          <t xml:space="preserve">RETAINED / ONE_TO_ONE; </t>
        </is>
      </c>
      <c r="I656" s="23" t="inlineStr">
        <is>
          <t>Carried forward</t>
        </is>
      </c>
      <c r="J656" s="14" t="inlineStr">
        <is>
          <t>08 CROSSWALK</t>
        </is>
      </c>
    </row>
    <row r="657" ht="49" customHeight="1">
      <c r="A657" s="23" t="inlineStr">
        <is>
          <t>R509-v2</t>
        </is>
      </c>
      <c r="B657" s="23" t="inlineStr">
        <is>
          <t>Contractor Programme / SCH-03-149</t>
        </is>
      </c>
      <c r="C657" s="23" t="inlineStr">
        <is>
          <t>WBS Code = 1.3.1</t>
        </is>
      </c>
      <c r="D657" s="23" t="inlineStr">
        <is>
          <t>Proposed by Source assignment; target 1.3.1 Systems - Traction Power</t>
        </is>
      </c>
      <c r="E657" s="23" t="inlineStr">
        <is>
          <t>None recorded</t>
        </is>
      </c>
      <c r="F657" s="23" t="inlineStr">
        <is>
          <t>No individual professional decision recorded; Source assignment -- not individually reviewed</t>
        </is>
      </c>
      <c r="G657" s="23" t="inlineStr">
        <is>
          <t>Not individually decided</t>
        </is>
      </c>
      <c r="H657" s="23" t="inlineStr">
        <is>
          <t xml:space="preserve">RETAINED / ONE_TO_ONE; </t>
        </is>
      </c>
      <c r="I657" s="23" t="inlineStr">
        <is>
          <t>Carried forward</t>
        </is>
      </c>
      <c r="J657" s="14" t="inlineStr">
        <is>
          <t>08 CROSSWALK</t>
        </is>
      </c>
    </row>
    <row r="658" ht="49" customHeight="1">
      <c r="A658" s="23" t="inlineStr">
        <is>
          <t>R511-v2</t>
        </is>
      </c>
      <c r="B658" s="23" t="inlineStr">
        <is>
          <t>Contractor Programme / SCH-03-151</t>
        </is>
      </c>
      <c r="C658" s="23" t="inlineStr">
        <is>
          <t>WBS Code = 1.3.1</t>
        </is>
      </c>
      <c r="D658" s="23" t="inlineStr">
        <is>
          <t>Proposed by Source assignment; target 1.3.1 Systems - Traction Power</t>
        </is>
      </c>
      <c r="E658" s="23" t="inlineStr">
        <is>
          <t>None recorded</t>
        </is>
      </c>
      <c r="F658" s="23" t="inlineStr">
        <is>
          <t>No individual professional decision recorded; Source assignment -- not individually reviewed</t>
        </is>
      </c>
      <c r="G658" s="23" t="inlineStr">
        <is>
          <t>Not individually decided</t>
        </is>
      </c>
      <c r="H658" s="23" t="inlineStr">
        <is>
          <t xml:space="preserve">RETAINED / ONE_TO_ONE; </t>
        </is>
      </c>
      <c r="I658" s="23" t="inlineStr">
        <is>
          <t>Carried forward</t>
        </is>
      </c>
      <c r="J658" s="14" t="inlineStr">
        <is>
          <t>08 CROSSWALK</t>
        </is>
      </c>
    </row>
    <row r="659" ht="49" customHeight="1">
      <c r="A659" s="23" t="inlineStr">
        <is>
          <t>R512-v2</t>
        </is>
      </c>
      <c r="B659" s="23" t="inlineStr">
        <is>
          <t>Contractor Programme / SCH-03-152</t>
        </is>
      </c>
      <c r="C659" s="23" t="inlineStr">
        <is>
          <t>WBS Code = 1.3.1</t>
        </is>
      </c>
      <c r="D659" s="23" t="inlineStr">
        <is>
          <t>Proposed by Source assignment; target 1.3.1 Systems - Traction Power</t>
        </is>
      </c>
      <c r="E659" s="23" t="inlineStr">
        <is>
          <t>None recorded</t>
        </is>
      </c>
      <c r="F659" s="23" t="inlineStr">
        <is>
          <t>No individual professional decision recorded; Source assignment -- not individually reviewed</t>
        </is>
      </c>
      <c r="G659" s="23" t="inlineStr">
        <is>
          <t>Not individually decided</t>
        </is>
      </c>
      <c r="H659" s="23" t="inlineStr">
        <is>
          <t xml:space="preserve">RETAINED / ONE_TO_ONE; </t>
        </is>
      </c>
      <c r="I659" s="23" t="inlineStr">
        <is>
          <t>Carried forward</t>
        </is>
      </c>
      <c r="J659" s="14" t="inlineStr">
        <is>
          <t>08 CROSSWALK</t>
        </is>
      </c>
    </row>
    <row r="660" ht="49" customHeight="1">
      <c r="A660" s="23" t="inlineStr">
        <is>
          <t>R514-v2</t>
        </is>
      </c>
      <c r="B660" s="23" t="inlineStr">
        <is>
          <t>Contractor Programme / SCH-03-154</t>
        </is>
      </c>
      <c r="C660" s="23" t="inlineStr">
        <is>
          <t>WBS Code = 1.3.1</t>
        </is>
      </c>
      <c r="D660" s="23" t="inlineStr">
        <is>
          <t>Proposed by Source assignment; target 1.3.1 Systems - Traction Power</t>
        </is>
      </c>
      <c r="E660" s="23" t="inlineStr">
        <is>
          <t>None recorded</t>
        </is>
      </c>
      <c r="F660" s="23" t="inlineStr">
        <is>
          <t>No individual professional decision recorded; Source assignment -- not individually reviewed</t>
        </is>
      </c>
      <c r="G660" s="23" t="inlineStr">
        <is>
          <t>Not individually decided</t>
        </is>
      </c>
      <c r="H660" s="23" t="inlineStr">
        <is>
          <t xml:space="preserve">RETAINED / ONE_TO_ONE; </t>
        </is>
      </c>
      <c r="I660" s="23" t="inlineStr">
        <is>
          <t>Carried forward</t>
        </is>
      </c>
      <c r="J660" s="14" t="inlineStr">
        <is>
          <t>08 CROSSWALK</t>
        </is>
      </c>
    </row>
    <row r="661" ht="49" customHeight="1">
      <c r="A661" s="23" t="inlineStr">
        <is>
          <t>R515-v2</t>
        </is>
      </c>
      <c r="B661" s="23" t="inlineStr">
        <is>
          <t>Contractor Programme / SCH-03-155</t>
        </is>
      </c>
      <c r="C661" s="23" t="inlineStr">
        <is>
          <t>WBS Code = 1.3.1</t>
        </is>
      </c>
      <c r="D661" s="23" t="inlineStr">
        <is>
          <t>Proposed by Source assignment; target 1.3.1 Systems - Traction Power</t>
        </is>
      </c>
      <c r="E661" s="23" t="inlineStr">
        <is>
          <t>None recorded</t>
        </is>
      </c>
      <c r="F661" s="23" t="inlineStr">
        <is>
          <t>No individual professional decision recorded; Source assignment -- not individually reviewed</t>
        </is>
      </c>
      <c r="G661" s="23" t="inlineStr">
        <is>
          <t>Not individually decided</t>
        </is>
      </c>
      <c r="H661" s="23" t="inlineStr">
        <is>
          <t xml:space="preserve">RETAINED / ONE_TO_ONE; </t>
        </is>
      </c>
      <c r="I661" s="23" t="inlineStr">
        <is>
          <t>Carried forward</t>
        </is>
      </c>
      <c r="J661" s="14" t="inlineStr">
        <is>
          <t>08 CROSSWALK</t>
        </is>
      </c>
    </row>
    <row r="662" ht="49" customHeight="1">
      <c r="A662" s="23" t="inlineStr">
        <is>
          <t>R517-v2</t>
        </is>
      </c>
      <c r="B662" s="23" t="inlineStr">
        <is>
          <t>Contractor Programme / SCH-03-157</t>
        </is>
      </c>
      <c r="C662" s="23" t="inlineStr">
        <is>
          <t>WBS Code = 1.3.1</t>
        </is>
      </c>
      <c r="D662" s="23" t="inlineStr">
        <is>
          <t>Proposed by Source assignment; target 1.3.1 Systems - Traction Power</t>
        </is>
      </c>
      <c r="E662" s="23" t="inlineStr">
        <is>
          <t>None recorded</t>
        </is>
      </c>
      <c r="F662" s="23" t="inlineStr">
        <is>
          <t>No individual professional decision recorded; Source assignment -- not individually reviewed</t>
        </is>
      </c>
      <c r="G662" s="23" t="inlineStr">
        <is>
          <t>Not individually decided</t>
        </is>
      </c>
      <c r="H662" s="23" t="inlineStr">
        <is>
          <t xml:space="preserve">RETAINED / ONE_TO_ONE; </t>
        </is>
      </c>
      <c r="I662" s="23" t="inlineStr">
        <is>
          <t>Carried forward</t>
        </is>
      </c>
      <c r="J662" s="14" t="inlineStr">
        <is>
          <t>08 CROSSWALK</t>
        </is>
      </c>
    </row>
    <row r="663" ht="49" customHeight="1">
      <c r="A663" s="23" t="inlineStr">
        <is>
          <t>R518-v2</t>
        </is>
      </c>
      <c r="B663" s="23" t="inlineStr">
        <is>
          <t>Contractor Programme / SCH-03-158</t>
        </is>
      </c>
      <c r="C663" s="23" t="inlineStr">
        <is>
          <t>WBS Code = 1.3.1</t>
        </is>
      </c>
      <c r="D663" s="23" t="inlineStr">
        <is>
          <t>Proposed by Source assignment; target 1.3.1 Systems - Traction Power</t>
        </is>
      </c>
      <c r="E663" s="23" t="inlineStr">
        <is>
          <t>None recorded</t>
        </is>
      </c>
      <c r="F663" s="23" t="inlineStr">
        <is>
          <t>No individual professional decision recorded; Source assignment -- not individually reviewed</t>
        </is>
      </c>
      <c r="G663" s="23" t="inlineStr">
        <is>
          <t>Not individually decided</t>
        </is>
      </c>
      <c r="H663" s="23" t="inlineStr">
        <is>
          <t xml:space="preserve">RETAINED / ONE_TO_ONE; </t>
        </is>
      </c>
      <c r="I663" s="23" t="inlineStr">
        <is>
          <t>Carried forward</t>
        </is>
      </c>
      <c r="J663" s="14" t="inlineStr">
        <is>
          <t>08 CROSSWALK</t>
        </is>
      </c>
    </row>
    <row r="664" ht="49" customHeight="1">
      <c r="A664" s="23" t="inlineStr">
        <is>
          <t>R520-v2</t>
        </is>
      </c>
      <c r="B664" s="23" t="inlineStr">
        <is>
          <t>Contractor Programme / SCH-03-160</t>
        </is>
      </c>
      <c r="C664" s="23" t="inlineStr">
        <is>
          <t>WBS Code = 1.3.1</t>
        </is>
      </c>
      <c r="D664" s="23" t="inlineStr">
        <is>
          <t>Proposed by Source assignment; target 1.3.1 Systems - Traction Power</t>
        </is>
      </c>
      <c r="E664" s="23" t="inlineStr">
        <is>
          <t>None recorded</t>
        </is>
      </c>
      <c r="F664" s="23" t="inlineStr">
        <is>
          <t>No individual professional decision recorded; Source assignment -- not individually reviewed</t>
        </is>
      </c>
      <c r="G664" s="23" t="inlineStr">
        <is>
          <t>Not individually decided</t>
        </is>
      </c>
      <c r="H664" s="23" t="inlineStr">
        <is>
          <t xml:space="preserve">RETAINED / ONE_TO_ONE; </t>
        </is>
      </c>
      <c r="I664" s="23" t="inlineStr">
        <is>
          <t>Carried forward</t>
        </is>
      </c>
      <c r="J664" s="14" t="inlineStr">
        <is>
          <t>08 CROSSWALK</t>
        </is>
      </c>
    </row>
    <row r="665" ht="49" customHeight="1">
      <c r="A665" s="23" t="inlineStr">
        <is>
          <t>R521-v2</t>
        </is>
      </c>
      <c r="B665" s="23" t="inlineStr">
        <is>
          <t>Contractor Programme / SCH-03-161</t>
        </is>
      </c>
      <c r="C665" s="23" t="inlineStr">
        <is>
          <t>WBS Code = 1.3.1</t>
        </is>
      </c>
      <c r="D665" s="23" t="inlineStr">
        <is>
          <t>Proposed by Source assignment; target 1.3.1 Systems - Traction Power</t>
        </is>
      </c>
      <c r="E665" s="23" t="inlineStr">
        <is>
          <t>None recorded</t>
        </is>
      </c>
      <c r="F665" s="23" t="inlineStr">
        <is>
          <t>No individual professional decision recorded; Source assignment -- not individually reviewed</t>
        </is>
      </c>
      <c r="G665" s="23" t="inlineStr">
        <is>
          <t>Not individually decided</t>
        </is>
      </c>
      <c r="H665" s="23" t="inlineStr">
        <is>
          <t xml:space="preserve">RETAINED / ONE_TO_ONE; </t>
        </is>
      </c>
      <c r="I665" s="23" t="inlineStr">
        <is>
          <t>Carried forward</t>
        </is>
      </c>
      <c r="J665" s="14" t="inlineStr">
        <is>
          <t>08 CROSSWALK</t>
        </is>
      </c>
    </row>
    <row r="666" ht="49" customHeight="1">
      <c r="A666" s="23" t="inlineStr">
        <is>
          <t>R523-v2</t>
        </is>
      </c>
      <c r="B666" s="23" t="inlineStr">
        <is>
          <t>Contractor Programme / SCH-03-163</t>
        </is>
      </c>
      <c r="C666" s="23" t="inlineStr">
        <is>
          <t>WBS Code = 1.3.1</t>
        </is>
      </c>
      <c r="D666" s="23" t="inlineStr">
        <is>
          <t>Proposed by Source assignment; target 1.3.1 Systems - Traction Power</t>
        </is>
      </c>
      <c r="E666" s="23" t="inlineStr">
        <is>
          <t>None recorded</t>
        </is>
      </c>
      <c r="F666" s="23" t="inlineStr">
        <is>
          <t>No individual professional decision recorded; Source assignment -- not individually reviewed</t>
        </is>
      </c>
      <c r="G666" s="23" t="inlineStr">
        <is>
          <t>Not individually decided</t>
        </is>
      </c>
      <c r="H666" s="23" t="inlineStr">
        <is>
          <t xml:space="preserve">RETAINED / ONE_TO_ONE; </t>
        </is>
      </c>
      <c r="I666" s="23" t="inlineStr">
        <is>
          <t>Carried forward</t>
        </is>
      </c>
      <c r="J666" s="14" t="inlineStr">
        <is>
          <t>08 CROSSWALK</t>
        </is>
      </c>
    </row>
    <row r="667" ht="49" customHeight="1">
      <c r="A667" s="23" t="inlineStr">
        <is>
          <t>R524-v2</t>
        </is>
      </c>
      <c r="B667" s="23" t="inlineStr">
        <is>
          <t>Contractor Programme / SCH-03-164</t>
        </is>
      </c>
      <c r="C667" s="23" t="inlineStr">
        <is>
          <t>WBS Code = 1.3.1</t>
        </is>
      </c>
      <c r="D667" s="23" t="inlineStr">
        <is>
          <t>Proposed by Source assignment; target 1.3.1 Systems - Traction Power</t>
        </is>
      </c>
      <c r="E667" s="23" t="inlineStr">
        <is>
          <t>None recorded</t>
        </is>
      </c>
      <c r="F667" s="23" t="inlineStr">
        <is>
          <t>No individual professional decision recorded; Source assignment -- not individually reviewed</t>
        </is>
      </c>
      <c r="G667" s="23" t="inlineStr">
        <is>
          <t>Not individually decided</t>
        </is>
      </c>
      <c r="H667" s="23" t="inlineStr">
        <is>
          <t xml:space="preserve">RETAINED / ONE_TO_ONE; </t>
        </is>
      </c>
      <c r="I667" s="23" t="inlineStr">
        <is>
          <t>Carried forward</t>
        </is>
      </c>
      <c r="J667" s="14" t="inlineStr">
        <is>
          <t>08 CROSSWALK</t>
        </is>
      </c>
    </row>
    <row r="668" ht="49" customHeight="1">
      <c r="A668" s="23" t="inlineStr">
        <is>
          <t>R526-v2</t>
        </is>
      </c>
      <c r="B668" s="23" t="inlineStr">
        <is>
          <t>Contractor Programme / SCH-03-166</t>
        </is>
      </c>
      <c r="C668" s="23" t="inlineStr">
        <is>
          <t>WBS Code = 1.3.1</t>
        </is>
      </c>
      <c r="D668" s="23" t="inlineStr">
        <is>
          <t>Proposed by Source assignment; target 1.3.1 Systems - Traction Power</t>
        </is>
      </c>
      <c r="E668" s="23" t="inlineStr">
        <is>
          <t>None recorded</t>
        </is>
      </c>
      <c r="F668" s="23" t="inlineStr">
        <is>
          <t>No individual professional decision recorded; Source assignment -- not individually reviewed</t>
        </is>
      </c>
      <c r="G668" s="23" t="inlineStr">
        <is>
          <t>Not individually decided</t>
        </is>
      </c>
      <c r="H668" s="23" t="inlineStr">
        <is>
          <t xml:space="preserve">RETAINED / ONE_TO_ONE; </t>
        </is>
      </c>
      <c r="I668" s="23" t="inlineStr">
        <is>
          <t>Carried forward</t>
        </is>
      </c>
      <c r="J668" s="14" t="inlineStr">
        <is>
          <t>08 CROSSWALK</t>
        </is>
      </c>
    </row>
    <row r="669" ht="49" customHeight="1">
      <c r="A669" s="23" t="inlineStr">
        <is>
          <t>R527-v2</t>
        </is>
      </c>
      <c r="B669" s="23" t="inlineStr">
        <is>
          <t>Contractor Programme / SCH-03-167</t>
        </is>
      </c>
      <c r="C669" s="23" t="inlineStr">
        <is>
          <t>WBS Code = 1.3.1</t>
        </is>
      </c>
      <c r="D669" s="23" t="inlineStr">
        <is>
          <t>Proposed by Source assignment; target 1.3.1 Systems - Traction Power</t>
        </is>
      </c>
      <c r="E669" s="23" t="inlineStr">
        <is>
          <t>None recorded</t>
        </is>
      </c>
      <c r="F669" s="23" t="inlineStr">
        <is>
          <t>No individual professional decision recorded; Source assignment -- not individually reviewed</t>
        </is>
      </c>
      <c r="G669" s="23" t="inlineStr">
        <is>
          <t>Not individually decided</t>
        </is>
      </c>
      <c r="H669" s="23" t="inlineStr">
        <is>
          <t xml:space="preserve">RETAINED / ONE_TO_ONE; </t>
        </is>
      </c>
      <c r="I669" s="23" t="inlineStr">
        <is>
          <t>Carried forward</t>
        </is>
      </c>
      <c r="J669" s="14" t="inlineStr">
        <is>
          <t>08 CROSSWALK</t>
        </is>
      </c>
    </row>
    <row r="670" ht="49" customHeight="1">
      <c r="A670" s="23" t="inlineStr">
        <is>
          <t>R529-v2</t>
        </is>
      </c>
      <c r="B670" s="23" t="inlineStr">
        <is>
          <t>Contractor Programme / SCH-03-169</t>
        </is>
      </c>
      <c r="C670" s="23" t="inlineStr">
        <is>
          <t>WBS Code = 1.3.1</t>
        </is>
      </c>
      <c r="D670" s="23" t="inlineStr">
        <is>
          <t>Proposed by Source assignment; target 1.3.1 Systems - Traction Power</t>
        </is>
      </c>
      <c r="E670" s="23" t="inlineStr">
        <is>
          <t>None recorded</t>
        </is>
      </c>
      <c r="F670" s="23" t="inlineStr">
        <is>
          <t>No individual professional decision recorded; Source assignment -- not individually reviewed</t>
        </is>
      </c>
      <c r="G670" s="23" t="inlineStr">
        <is>
          <t>Not individually decided</t>
        </is>
      </c>
      <c r="H670" s="23" t="inlineStr">
        <is>
          <t xml:space="preserve">RETAINED / ONE_TO_ONE; </t>
        </is>
      </c>
      <c r="I670" s="23" t="inlineStr">
        <is>
          <t>Carried forward</t>
        </is>
      </c>
      <c r="J670" s="14" t="inlineStr">
        <is>
          <t>08 CROSSWALK</t>
        </is>
      </c>
    </row>
    <row r="671" ht="49" customHeight="1">
      <c r="A671" s="23" t="inlineStr">
        <is>
          <t>R530-v2</t>
        </is>
      </c>
      <c r="B671" s="23" t="inlineStr">
        <is>
          <t>Contractor Programme / SCH-03-170</t>
        </is>
      </c>
      <c r="C671" s="23" t="inlineStr">
        <is>
          <t>WBS Code = 1.3.1</t>
        </is>
      </c>
      <c r="D671" s="23" t="inlineStr">
        <is>
          <t>Proposed by Source assignment; target 1.3.1 Systems - Traction Power</t>
        </is>
      </c>
      <c r="E671" s="23" t="inlineStr">
        <is>
          <t>None recorded</t>
        </is>
      </c>
      <c r="F671" s="23" t="inlineStr">
        <is>
          <t>No individual professional decision recorded; Source assignment -- not individually reviewed</t>
        </is>
      </c>
      <c r="G671" s="23" t="inlineStr">
        <is>
          <t>Not individually decided</t>
        </is>
      </c>
      <c r="H671" s="23" t="inlineStr">
        <is>
          <t xml:space="preserve">RETAINED / ONE_TO_ONE; </t>
        </is>
      </c>
      <c r="I671" s="23" t="inlineStr">
        <is>
          <t>Carried forward</t>
        </is>
      </c>
      <c r="J671" s="14" t="inlineStr">
        <is>
          <t>08 CROSSWALK</t>
        </is>
      </c>
    </row>
    <row r="672" ht="49" customHeight="1">
      <c r="A672" s="23" t="inlineStr">
        <is>
          <t>R532-v2</t>
        </is>
      </c>
      <c r="B672" s="23" t="inlineStr">
        <is>
          <t>Contractor Programme / SCH-03-172</t>
        </is>
      </c>
      <c r="C672" s="23" t="inlineStr">
        <is>
          <t>WBS Code = 1.3.1</t>
        </is>
      </c>
      <c r="D672" s="23" t="inlineStr">
        <is>
          <t>Proposed by Source assignment; target 1.3.1 Systems - Traction Power</t>
        </is>
      </c>
      <c r="E672" s="23" t="inlineStr">
        <is>
          <t>None recorded</t>
        </is>
      </c>
      <c r="F672" s="23" t="inlineStr">
        <is>
          <t>No individual professional decision recorded; Source assignment -- not individually reviewed</t>
        </is>
      </c>
      <c r="G672" s="23" t="inlineStr">
        <is>
          <t>Not individually decided</t>
        </is>
      </c>
      <c r="H672" s="23" t="inlineStr">
        <is>
          <t xml:space="preserve">RETAINED / ONE_TO_ONE; </t>
        </is>
      </c>
      <c r="I672" s="23" t="inlineStr">
        <is>
          <t>Carried forward</t>
        </is>
      </c>
      <c r="J672" s="14" t="inlineStr">
        <is>
          <t>08 CROSSWALK</t>
        </is>
      </c>
    </row>
    <row r="673" ht="49" customHeight="1">
      <c r="A673" s="23" t="inlineStr">
        <is>
          <t>R533-v2</t>
        </is>
      </c>
      <c r="B673" s="23" t="inlineStr">
        <is>
          <t>Contractor Programme / SCH-03-173</t>
        </is>
      </c>
      <c r="C673" s="23" t="inlineStr">
        <is>
          <t>WBS Code = 1.3.1</t>
        </is>
      </c>
      <c r="D673" s="23" t="inlineStr">
        <is>
          <t>Proposed by Source assignment; target 1.3.1 Systems - Traction Power</t>
        </is>
      </c>
      <c r="E673" s="23" t="inlineStr">
        <is>
          <t>None recorded</t>
        </is>
      </c>
      <c r="F673" s="23" t="inlineStr">
        <is>
          <t>No individual professional decision recorded; Source assignment -- not individually reviewed</t>
        </is>
      </c>
      <c r="G673" s="23" t="inlineStr">
        <is>
          <t>Not individually decided</t>
        </is>
      </c>
      <c r="H673" s="23" t="inlineStr">
        <is>
          <t xml:space="preserve">RETAINED / ONE_TO_ONE; </t>
        </is>
      </c>
      <c r="I673" s="23" t="inlineStr">
        <is>
          <t>Carried forward</t>
        </is>
      </c>
      <c r="J673" s="14" t="inlineStr">
        <is>
          <t>08 CROSSWALK</t>
        </is>
      </c>
    </row>
    <row r="674" ht="49" customHeight="1">
      <c r="A674" s="23" t="inlineStr">
        <is>
          <t>R535-v2</t>
        </is>
      </c>
      <c r="B674" s="23" t="inlineStr">
        <is>
          <t>Contractor Programme / SCH-03-175</t>
        </is>
      </c>
      <c r="C674" s="23" t="inlineStr">
        <is>
          <t>WBS Code = 1.3.1</t>
        </is>
      </c>
      <c r="D674" s="23" t="inlineStr">
        <is>
          <t>Proposed by Source assignment; target 1.3.1 Systems - Traction Power</t>
        </is>
      </c>
      <c r="E674" s="23" t="inlineStr">
        <is>
          <t>None recorded</t>
        </is>
      </c>
      <c r="F674" s="23" t="inlineStr">
        <is>
          <t>No individual professional decision recorded; Source assignment -- not individually reviewed</t>
        </is>
      </c>
      <c r="G674" s="23" t="inlineStr">
        <is>
          <t>Not individually decided</t>
        </is>
      </c>
      <c r="H674" s="23" t="inlineStr">
        <is>
          <t xml:space="preserve">RETAINED / ONE_TO_ONE; </t>
        </is>
      </c>
      <c r="I674" s="23" t="inlineStr">
        <is>
          <t>Carried forward</t>
        </is>
      </c>
      <c r="J674" s="14" t="inlineStr">
        <is>
          <t>08 CROSSWALK</t>
        </is>
      </c>
    </row>
    <row r="675" ht="49" customHeight="1">
      <c r="A675" s="23" t="inlineStr">
        <is>
          <t>R536-v2</t>
        </is>
      </c>
      <c r="B675" s="23" t="inlineStr">
        <is>
          <t>Contractor Programme / SCH-03-176</t>
        </is>
      </c>
      <c r="C675" s="23" t="inlineStr">
        <is>
          <t>WBS Code = 1.3.1</t>
        </is>
      </c>
      <c r="D675" s="23" t="inlineStr">
        <is>
          <t>Proposed by Source assignment; target 1.3.1 Systems - Traction Power</t>
        </is>
      </c>
      <c r="E675" s="23" t="inlineStr">
        <is>
          <t>None recorded</t>
        </is>
      </c>
      <c r="F675" s="23" t="inlineStr">
        <is>
          <t>No individual professional decision recorded; Source assignment -- not individually reviewed</t>
        </is>
      </c>
      <c r="G675" s="23" t="inlineStr">
        <is>
          <t>Not individually decided</t>
        </is>
      </c>
      <c r="H675" s="23" t="inlineStr">
        <is>
          <t xml:space="preserve">RETAINED / ONE_TO_ONE; </t>
        </is>
      </c>
      <c r="I675" s="23" t="inlineStr">
        <is>
          <t>Carried forward</t>
        </is>
      </c>
      <c r="J675" s="14" t="inlineStr">
        <is>
          <t>08 CROSSWALK</t>
        </is>
      </c>
    </row>
    <row r="676" ht="49" customHeight="1">
      <c r="A676" s="23" t="inlineStr">
        <is>
          <t>R538-v2</t>
        </is>
      </c>
      <c r="B676" s="23" t="inlineStr">
        <is>
          <t>Contractor Programme / SCH-03-178</t>
        </is>
      </c>
      <c r="C676" s="23" t="inlineStr">
        <is>
          <t>WBS Code = 1.3.1</t>
        </is>
      </c>
      <c r="D676" s="23" t="inlineStr">
        <is>
          <t>Proposed by Source assignment; target 1.3.1 Systems - Traction Power</t>
        </is>
      </c>
      <c r="E676" s="23" t="inlineStr">
        <is>
          <t>None recorded</t>
        </is>
      </c>
      <c r="F676" s="23" t="inlineStr">
        <is>
          <t>No individual professional decision recorded; Source assignment -- not individually reviewed</t>
        </is>
      </c>
      <c r="G676" s="23" t="inlineStr">
        <is>
          <t>Not individually decided</t>
        </is>
      </c>
      <c r="H676" s="23" t="inlineStr">
        <is>
          <t xml:space="preserve">RETAINED / ONE_TO_ONE; </t>
        </is>
      </c>
      <c r="I676" s="23" t="inlineStr">
        <is>
          <t>Carried forward</t>
        </is>
      </c>
      <c r="J676" s="14" t="inlineStr">
        <is>
          <t>08 CROSSWALK</t>
        </is>
      </c>
    </row>
    <row r="677" ht="49" customHeight="1">
      <c r="A677" s="23" t="inlineStr">
        <is>
          <t>R539-v2</t>
        </is>
      </c>
      <c r="B677" s="23" t="inlineStr">
        <is>
          <t>Contractor Programme / SCH-03-179</t>
        </is>
      </c>
      <c r="C677" s="23" t="inlineStr">
        <is>
          <t>WBS Code = 1.3.1</t>
        </is>
      </c>
      <c r="D677" s="23" t="inlineStr">
        <is>
          <t>Proposed by Source assignment; target 1.3.1 Systems - Traction Power</t>
        </is>
      </c>
      <c r="E677" s="23" t="inlineStr">
        <is>
          <t>None recorded</t>
        </is>
      </c>
      <c r="F677" s="23" t="inlineStr">
        <is>
          <t>No individual professional decision recorded; Source assignment -- not individually reviewed</t>
        </is>
      </c>
      <c r="G677" s="23" t="inlineStr">
        <is>
          <t>Not individually decided</t>
        </is>
      </c>
      <c r="H677" s="23" t="inlineStr">
        <is>
          <t xml:space="preserve">RETAINED / ONE_TO_ONE; </t>
        </is>
      </c>
      <c r="I677" s="23" t="inlineStr">
        <is>
          <t>Carried forward</t>
        </is>
      </c>
      <c r="J677" s="14" t="inlineStr">
        <is>
          <t>08 CROSSWALK</t>
        </is>
      </c>
    </row>
    <row r="678" ht="49" customHeight="1">
      <c r="A678" s="23" t="inlineStr">
        <is>
          <t>R1243-v2</t>
        </is>
      </c>
      <c r="B678" s="23" t="inlineStr">
        <is>
          <t>Cost &amp; Forecast Control Accounts / CST-03-001</t>
        </is>
      </c>
      <c r="C678" s="23" t="inlineStr">
        <is>
          <t>Cost Account = CA-3001; WBS Code = 1.3.1</t>
        </is>
      </c>
      <c r="D678" s="23" t="inlineStr">
        <is>
          <t>Proposed by Source assignment; target 1.3.1 Systems - Traction Power</t>
        </is>
      </c>
      <c r="E678" s="23" t="inlineStr">
        <is>
          <t>None recorded</t>
        </is>
      </c>
      <c r="F678" s="23" t="inlineStr">
        <is>
          <t>No individual professional decision recorded; Source assignment -- not individually reviewed</t>
        </is>
      </c>
      <c r="G678" s="23" t="inlineStr">
        <is>
          <t>Not individually decided</t>
        </is>
      </c>
      <c r="H678" s="23" t="inlineStr">
        <is>
          <t xml:space="preserve">RETAINED / ONE_TO_ONE; </t>
        </is>
      </c>
      <c r="I678" s="23" t="inlineStr">
        <is>
          <t>Carried forward</t>
        </is>
      </c>
      <c r="J678" s="14" t="inlineStr">
        <is>
          <t>08 CROSSWALK</t>
        </is>
      </c>
    </row>
    <row r="679" ht="49" customHeight="1">
      <c r="A679" s="23" t="inlineStr">
        <is>
          <t>R1245-v2</t>
        </is>
      </c>
      <c r="B679" s="23" t="inlineStr">
        <is>
          <t>Cost &amp; Forecast Control Accounts / CST-03-003</t>
        </is>
      </c>
      <c r="C679" s="23" t="inlineStr">
        <is>
          <t>Cost Account = CA-3003; WBS Code = 1.3.1</t>
        </is>
      </c>
      <c r="D679" s="23" t="inlineStr">
        <is>
          <t>Proposed by Source assignment; target 1.3.1 Systems - Traction Power</t>
        </is>
      </c>
      <c r="E679" s="23" t="inlineStr">
        <is>
          <t>None recorded</t>
        </is>
      </c>
      <c r="F679" s="23" t="inlineStr">
        <is>
          <t>No individual professional decision recorded; Source assignment -- not individually reviewed</t>
        </is>
      </c>
      <c r="G679" s="23" t="inlineStr">
        <is>
          <t>Not individually decided</t>
        </is>
      </c>
      <c r="H679" s="23" t="inlineStr">
        <is>
          <t xml:space="preserve">RETAINED / ONE_TO_ONE; </t>
        </is>
      </c>
      <c r="I679" s="23" t="inlineStr">
        <is>
          <t>Carried forward</t>
        </is>
      </c>
      <c r="J679" s="14" t="inlineStr">
        <is>
          <t>08 CROSSWALK</t>
        </is>
      </c>
    </row>
    <row r="680" ht="49" customHeight="1">
      <c r="A680" s="23" t="inlineStr">
        <is>
          <t>R1247-v2</t>
        </is>
      </c>
      <c r="B680" s="23" t="inlineStr">
        <is>
          <t>Cost &amp; Forecast Control Accounts / CST-03-005</t>
        </is>
      </c>
      <c r="C680" s="23" t="inlineStr">
        <is>
          <t>Cost Account = CA-3005; WBS Code = 1.3.1</t>
        </is>
      </c>
      <c r="D680" s="23" t="inlineStr">
        <is>
          <t>Proposed by Source assignment; target 1.3.1 Systems - Traction Power</t>
        </is>
      </c>
      <c r="E680" s="23" t="inlineStr">
        <is>
          <t>None recorded</t>
        </is>
      </c>
      <c r="F680" s="23" t="inlineStr">
        <is>
          <t>No individual professional decision recorded; Source assignment -- not individually reviewed</t>
        </is>
      </c>
      <c r="G680" s="23" t="inlineStr">
        <is>
          <t>Not individually decided</t>
        </is>
      </c>
      <c r="H680" s="23" t="inlineStr">
        <is>
          <t xml:space="preserve">RETAINED / ONE_TO_ONE; </t>
        </is>
      </c>
      <c r="I680" s="23" t="inlineStr">
        <is>
          <t>Carried forward</t>
        </is>
      </c>
      <c r="J680" s="14" t="inlineStr">
        <is>
          <t>08 CROSSWALK</t>
        </is>
      </c>
    </row>
    <row r="681" ht="49" customHeight="1">
      <c r="A681" s="23" t="inlineStr">
        <is>
          <t>R1249-v2</t>
        </is>
      </c>
      <c r="B681" s="23" t="inlineStr">
        <is>
          <t>Cost &amp; Forecast Control Accounts / CST-03-007</t>
        </is>
      </c>
      <c r="C681" s="23" t="inlineStr">
        <is>
          <t>Cost Account = CA-3007; WBS Code = 1.3.1</t>
        </is>
      </c>
      <c r="D681" s="23" t="inlineStr">
        <is>
          <t>Proposed by Source assignment; target 1.3.1 Systems - Traction Power</t>
        </is>
      </c>
      <c r="E681" s="23" t="inlineStr">
        <is>
          <t>None recorded</t>
        </is>
      </c>
      <c r="F681" s="23" t="inlineStr">
        <is>
          <t>No individual professional decision recorded; Source assignment -- not individually reviewed</t>
        </is>
      </c>
      <c r="G681" s="23" t="inlineStr">
        <is>
          <t>Not individually decided</t>
        </is>
      </c>
      <c r="H681" s="23" t="inlineStr">
        <is>
          <t xml:space="preserve">RETAINED / ONE_TO_ONE; </t>
        </is>
      </c>
      <c r="I681" s="23" t="inlineStr">
        <is>
          <t>Carried forward</t>
        </is>
      </c>
      <c r="J681" s="14" t="inlineStr">
        <is>
          <t>08 CROSSWALK</t>
        </is>
      </c>
    </row>
    <row r="682" ht="49" customHeight="1">
      <c r="A682" s="23" t="inlineStr">
        <is>
          <t>R1251-v2</t>
        </is>
      </c>
      <c r="B682" s="23" t="inlineStr">
        <is>
          <t>Cost &amp; Forecast Control Accounts / CST-03-009</t>
        </is>
      </c>
      <c r="C682" s="23" t="inlineStr">
        <is>
          <t>Cost Account = CA-3009; WBS Code = 1.3.1</t>
        </is>
      </c>
      <c r="D682" s="23" t="inlineStr">
        <is>
          <t>Proposed by Source assignment; target 1.3.1 Systems - Traction Power</t>
        </is>
      </c>
      <c r="E682" s="23" t="inlineStr">
        <is>
          <t>None recorded</t>
        </is>
      </c>
      <c r="F682" s="23" t="inlineStr">
        <is>
          <t>No individual professional decision recorded; Source assignment -- not individually reviewed</t>
        </is>
      </c>
      <c r="G682" s="23" t="inlineStr">
        <is>
          <t>Not individually decided</t>
        </is>
      </c>
      <c r="H682" s="23" t="inlineStr">
        <is>
          <t xml:space="preserve">RETAINED / ONE_TO_ONE; </t>
        </is>
      </c>
      <c r="I682" s="23" t="inlineStr">
        <is>
          <t>Carried forward</t>
        </is>
      </c>
      <c r="J682" s="14" t="inlineStr">
        <is>
          <t>08 CROSSWALK</t>
        </is>
      </c>
    </row>
    <row r="683" ht="49" customHeight="1">
      <c r="A683" s="23" t="inlineStr">
        <is>
          <t>R1253-v2</t>
        </is>
      </c>
      <c r="B683" s="23" t="inlineStr">
        <is>
          <t>Cost &amp; Forecast Control Accounts / CST-03-011</t>
        </is>
      </c>
      <c r="C683" s="23" t="inlineStr">
        <is>
          <t>Cost Account = CA-3011; WBS Code = 1.3.1</t>
        </is>
      </c>
      <c r="D683" s="23" t="inlineStr">
        <is>
          <t>Proposed by Source assignment; target 1.3.1 Systems - Traction Power</t>
        </is>
      </c>
      <c r="E683" s="23" t="inlineStr">
        <is>
          <t>None recorded</t>
        </is>
      </c>
      <c r="F683" s="23" t="inlineStr">
        <is>
          <t>No individual professional decision recorded; Source assignment -- not individually reviewed</t>
        </is>
      </c>
      <c r="G683" s="23" t="inlineStr">
        <is>
          <t>Not individually decided</t>
        </is>
      </c>
      <c r="H683" s="23" t="inlineStr">
        <is>
          <t xml:space="preserve">RETAINED / ONE_TO_ONE; </t>
        </is>
      </c>
      <c r="I683" s="23" t="inlineStr">
        <is>
          <t>Carried forward</t>
        </is>
      </c>
      <c r="J683" s="14" t="inlineStr">
        <is>
          <t>08 CROSSWALK</t>
        </is>
      </c>
    </row>
    <row r="684" ht="49" customHeight="1">
      <c r="A684" s="23" t="inlineStr">
        <is>
          <t>R1255-v2</t>
        </is>
      </c>
      <c r="B684" s="23" t="inlineStr">
        <is>
          <t>Cost &amp; Forecast Control Accounts / CST-03-013</t>
        </is>
      </c>
      <c r="C684" s="23" t="inlineStr">
        <is>
          <t>Cost Account = CA-3013; WBS Code = 1.3.1</t>
        </is>
      </c>
      <c r="D684" s="23" t="inlineStr">
        <is>
          <t>Proposed by Source assignment; target 1.3.1 Systems - Traction Power</t>
        </is>
      </c>
      <c r="E684" s="23" t="inlineStr">
        <is>
          <t>None recorded</t>
        </is>
      </c>
      <c r="F684" s="23" t="inlineStr">
        <is>
          <t>No individual professional decision recorded; Source assignment -- not individually reviewed</t>
        </is>
      </c>
      <c r="G684" s="23" t="inlineStr">
        <is>
          <t>Not individually decided</t>
        </is>
      </c>
      <c r="H684" s="23" t="inlineStr">
        <is>
          <t xml:space="preserve">RETAINED / ONE_TO_ONE; </t>
        </is>
      </c>
      <c r="I684" s="23" t="inlineStr">
        <is>
          <t>Carried forward</t>
        </is>
      </c>
      <c r="J684" s="14" t="inlineStr">
        <is>
          <t>08 CROSSWALK</t>
        </is>
      </c>
    </row>
    <row r="685" ht="49" customHeight="1">
      <c r="A685" s="23" t="inlineStr">
        <is>
          <t>R1257-v2</t>
        </is>
      </c>
      <c r="B685" s="23" t="inlineStr">
        <is>
          <t>Cost &amp; Forecast Control Accounts / CST-03-015</t>
        </is>
      </c>
      <c r="C685" s="23" t="inlineStr">
        <is>
          <t>Cost Account = CA-3015; WBS Code = 1.3.1</t>
        </is>
      </c>
      <c r="D685" s="23" t="inlineStr">
        <is>
          <t>Proposed by Source assignment; target 1.3.1 Systems - Traction Power</t>
        </is>
      </c>
      <c r="E685" s="23" t="inlineStr">
        <is>
          <t>None recorded</t>
        </is>
      </c>
      <c r="F685" s="23" t="inlineStr">
        <is>
          <t>No individual professional decision recorded; Source assignment -- not individually reviewed</t>
        </is>
      </c>
      <c r="G685" s="23" t="inlineStr">
        <is>
          <t>Not individually decided</t>
        </is>
      </c>
      <c r="H685" s="23" t="inlineStr">
        <is>
          <t xml:space="preserve">RETAINED / ONE_TO_ONE; </t>
        </is>
      </c>
      <c r="I685" s="23" t="inlineStr">
        <is>
          <t>Carried forward</t>
        </is>
      </c>
      <c r="J685" s="14" t="inlineStr">
        <is>
          <t>08 CROSSWALK</t>
        </is>
      </c>
    </row>
    <row r="686" ht="49" customHeight="1">
      <c r="A686" s="23" t="inlineStr">
        <is>
          <t>R1259-v2</t>
        </is>
      </c>
      <c r="B686" s="23" t="inlineStr">
        <is>
          <t>Cost &amp; Forecast Control Accounts / CST-03-017</t>
        </is>
      </c>
      <c r="C686" s="23" t="inlineStr">
        <is>
          <t>Cost Account = CA-3017; WBS Code = 1.3.1</t>
        </is>
      </c>
      <c r="D686" s="23" t="inlineStr">
        <is>
          <t>Proposed by Source assignment; target 1.3.1 Systems - Traction Power</t>
        </is>
      </c>
      <c r="E686" s="23" t="inlineStr">
        <is>
          <t>None recorded</t>
        </is>
      </c>
      <c r="F686" s="23" t="inlineStr">
        <is>
          <t>No individual professional decision recorded; Source assignment -- not individually reviewed</t>
        </is>
      </c>
      <c r="G686" s="23" t="inlineStr">
        <is>
          <t>Not individually decided</t>
        </is>
      </c>
      <c r="H686" s="23" t="inlineStr">
        <is>
          <t xml:space="preserve">RETAINED / ONE_TO_ONE; </t>
        </is>
      </c>
      <c r="I686" s="23" t="inlineStr">
        <is>
          <t>Carried forward</t>
        </is>
      </c>
      <c r="J686" s="14" t="inlineStr">
        <is>
          <t>08 CROSSWALK</t>
        </is>
      </c>
    </row>
    <row r="687" ht="49" customHeight="1">
      <c r="A687" s="23" t="inlineStr">
        <is>
          <t>R1261-v2</t>
        </is>
      </c>
      <c r="B687" s="23" t="inlineStr">
        <is>
          <t>Cost &amp; Forecast Control Accounts / CST-03-019</t>
        </is>
      </c>
      <c r="C687" s="23" t="inlineStr">
        <is>
          <t>Cost Account = CA-3019; WBS Code = 1.3.1</t>
        </is>
      </c>
      <c r="D687" s="23" t="inlineStr">
        <is>
          <t>Proposed by Source assignment; target 1.3.1 Systems - Traction Power</t>
        </is>
      </c>
      <c r="E687" s="23" t="inlineStr">
        <is>
          <t>None recorded</t>
        </is>
      </c>
      <c r="F687" s="23" t="inlineStr">
        <is>
          <t>No individual professional decision recorded; Source assignment -- not individually reviewed</t>
        </is>
      </c>
      <c r="G687" s="23" t="inlineStr">
        <is>
          <t>Not individually decided</t>
        </is>
      </c>
      <c r="H687" s="23" t="inlineStr">
        <is>
          <t xml:space="preserve">RETAINED / ONE_TO_ONE; </t>
        </is>
      </c>
      <c r="I687" s="23" t="inlineStr">
        <is>
          <t>Carried forward</t>
        </is>
      </c>
      <c r="J687" s="14" t="inlineStr">
        <is>
          <t>08 CROSSWALK</t>
        </is>
      </c>
    </row>
    <row r="688" ht="49" customHeight="1">
      <c r="A688" s="23" t="inlineStr">
        <is>
          <t>R1263-v2</t>
        </is>
      </c>
      <c r="B688" s="23" t="inlineStr">
        <is>
          <t>Cost &amp; Forecast Control Accounts / CST-03-021</t>
        </is>
      </c>
      <c r="C688" s="23" t="inlineStr">
        <is>
          <t>Cost Account = CA-3021; WBS Code = 1.3.1</t>
        </is>
      </c>
      <c r="D688" s="23" t="inlineStr">
        <is>
          <t>Proposed by Source assignment; target 1.3.1 Systems - Traction Power</t>
        </is>
      </c>
      <c r="E688" s="23" t="inlineStr">
        <is>
          <t>None recorded</t>
        </is>
      </c>
      <c r="F688" s="23" t="inlineStr">
        <is>
          <t>No individual professional decision recorded; Source assignment -- not individually reviewed</t>
        </is>
      </c>
      <c r="G688" s="23" t="inlineStr">
        <is>
          <t>Not individually decided</t>
        </is>
      </c>
      <c r="H688" s="23" t="inlineStr">
        <is>
          <t xml:space="preserve">RETAINED / ONE_TO_ONE; </t>
        </is>
      </c>
      <c r="I688" s="23" t="inlineStr">
        <is>
          <t>Carried forward</t>
        </is>
      </c>
      <c r="J688" s="14" t="inlineStr">
        <is>
          <t>08 CROSSWALK</t>
        </is>
      </c>
    </row>
    <row r="689" ht="49" customHeight="1">
      <c r="A689" s="23" t="inlineStr">
        <is>
          <t>R1265-v2</t>
        </is>
      </c>
      <c r="B689" s="23" t="inlineStr">
        <is>
          <t>Cost &amp; Forecast Control Accounts / CST-03-023</t>
        </is>
      </c>
      <c r="C689" s="23" t="inlineStr">
        <is>
          <t>Cost Account = CA-3023; WBS Code = 1.3.1</t>
        </is>
      </c>
      <c r="D689" s="23" t="inlineStr">
        <is>
          <t>Proposed by Source assignment; target 1.3.1 Systems - Traction Power</t>
        </is>
      </c>
      <c r="E689" s="23" t="inlineStr">
        <is>
          <t>None recorded</t>
        </is>
      </c>
      <c r="F689" s="23" t="inlineStr">
        <is>
          <t>No individual professional decision recorded; Source assignment -- not individually reviewed</t>
        </is>
      </c>
      <c r="G689" s="23" t="inlineStr">
        <is>
          <t>Not individually decided</t>
        </is>
      </c>
      <c r="H689" s="23" t="inlineStr">
        <is>
          <t xml:space="preserve">RETAINED / ONE_TO_ONE; </t>
        </is>
      </c>
      <c r="I689" s="23" t="inlineStr">
        <is>
          <t>Carried forward</t>
        </is>
      </c>
      <c r="J689" s="14" t="inlineStr">
        <is>
          <t>08 CROSSWALK</t>
        </is>
      </c>
    </row>
    <row r="690" ht="49" customHeight="1">
      <c r="A690" s="23" t="inlineStr">
        <is>
          <t>R1267-v2</t>
        </is>
      </c>
      <c r="B690" s="23" t="inlineStr">
        <is>
          <t>Cost &amp; Forecast Control Accounts / CST-03-025</t>
        </is>
      </c>
      <c r="C690" s="23" t="inlineStr">
        <is>
          <t>Cost Account = CA-3025; WBS Code = 1.3.1</t>
        </is>
      </c>
      <c r="D690" s="23" t="inlineStr">
        <is>
          <t>Proposed by Source assignment; target 1.3.1 Systems - Traction Power</t>
        </is>
      </c>
      <c r="E690" s="23" t="inlineStr">
        <is>
          <t>None recorded</t>
        </is>
      </c>
      <c r="F690" s="23" t="inlineStr">
        <is>
          <t>No individual professional decision recorded; Source assignment -- not individually reviewed</t>
        </is>
      </c>
      <c r="G690" s="23" t="inlineStr">
        <is>
          <t>Not individually decided</t>
        </is>
      </c>
      <c r="H690" s="23" t="inlineStr">
        <is>
          <t xml:space="preserve">RETAINED / ONE_TO_ONE; </t>
        </is>
      </c>
      <c r="I690" s="23" t="inlineStr">
        <is>
          <t>Carried forward</t>
        </is>
      </c>
      <c r="J690" s="14" t="inlineStr">
        <is>
          <t>08 CROSSWALK</t>
        </is>
      </c>
    </row>
    <row r="691" ht="49" customHeight="1">
      <c r="A691" s="23" t="inlineStr">
        <is>
          <t>R1269-v2</t>
        </is>
      </c>
      <c r="B691" s="23" t="inlineStr">
        <is>
          <t>Cost &amp; Forecast Control Accounts / CST-03-027</t>
        </is>
      </c>
      <c r="C691" s="23" t="inlineStr">
        <is>
          <t>Cost Account = CA-3027; WBS Code = 1.3.1</t>
        </is>
      </c>
      <c r="D691" s="23" t="inlineStr">
        <is>
          <t>Proposed by Source assignment; target 1.3.1 Systems - Traction Power</t>
        </is>
      </c>
      <c r="E691" s="23" t="inlineStr">
        <is>
          <t>None recorded</t>
        </is>
      </c>
      <c r="F691" s="23" t="inlineStr">
        <is>
          <t>No individual professional decision recorded; Source assignment -- not individually reviewed</t>
        </is>
      </c>
      <c r="G691" s="23" t="inlineStr">
        <is>
          <t>Not individually decided</t>
        </is>
      </c>
      <c r="H691" s="23" t="inlineStr">
        <is>
          <t xml:space="preserve">RETAINED / ONE_TO_ONE; </t>
        </is>
      </c>
      <c r="I691" s="23" t="inlineStr">
        <is>
          <t>Carried forward</t>
        </is>
      </c>
      <c r="J691" s="14" t="inlineStr">
        <is>
          <t>08 CROSSWALK</t>
        </is>
      </c>
    </row>
    <row r="692" ht="49" customHeight="1">
      <c r="A692" s="23" t="inlineStr">
        <is>
          <t>R1271-v2</t>
        </is>
      </c>
      <c r="B692" s="23" t="inlineStr">
        <is>
          <t>Cost &amp; Forecast Control Accounts / CST-03-029</t>
        </is>
      </c>
      <c r="C692" s="23" t="inlineStr">
        <is>
          <t>Cost Account = CA-3029; WBS Code = 1.3.1</t>
        </is>
      </c>
      <c r="D692" s="23" t="inlineStr">
        <is>
          <t>Proposed by Source assignment; target 1.3.1 Systems - Traction Power</t>
        </is>
      </c>
      <c r="E692" s="23" t="inlineStr">
        <is>
          <t>None recorded</t>
        </is>
      </c>
      <c r="F692" s="23" t="inlineStr">
        <is>
          <t>No individual professional decision recorded; Source assignment -- not individually reviewed</t>
        </is>
      </c>
      <c r="G692" s="23" t="inlineStr">
        <is>
          <t>Not individually decided</t>
        </is>
      </c>
      <c r="H692" s="23" t="inlineStr">
        <is>
          <t xml:space="preserve">RETAINED / ONE_TO_ONE; </t>
        </is>
      </c>
      <c r="I692" s="23" t="inlineStr">
        <is>
          <t>Carried forward</t>
        </is>
      </c>
      <c r="J692" s="14" t="inlineStr">
        <is>
          <t>08 CROSSWALK</t>
        </is>
      </c>
    </row>
    <row r="693" ht="49" customHeight="1">
      <c r="A693" s="23" t="inlineStr">
        <is>
          <t>R1273-v2</t>
        </is>
      </c>
      <c r="B693" s="23" t="inlineStr">
        <is>
          <t>Cost &amp; Forecast Control Accounts / CST-03-031</t>
        </is>
      </c>
      <c r="C693" s="23" t="inlineStr">
        <is>
          <t>Cost Account = CA-3031; WBS Code = 1.3.1</t>
        </is>
      </c>
      <c r="D693" s="23" t="inlineStr">
        <is>
          <t>Proposed by Source assignment; target 1.3.1 Systems - Traction Power</t>
        </is>
      </c>
      <c r="E693" s="23" t="inlineStr">
        <is>
          <t>None recorded</t>
        </is>
      </c>
      <c r="F693" s="23" t="inlineStr">
        <is>
          <t>No individual professional decision recorded; Source assignment -- not individually reviewed</t>
        </is>
      </c>
      <c r="G693" s="23" t="inlineStr">
        <is>
          <t>Not individually decided</t>
        </is>
      </c>
      <c r="H693" s="23" t="inlineStr">
        <is>
          <t xml:space="preserve">RETAINED / ONE_TO_ONE; </t>
        </is>
      </c>
      <c r="I693" s="23" t="inlineStr">
        <is>
          <t>Carried forward</t>
        </is>
      </c>
      <c r="J693" s="14" t="inlineStr">
        <is>
          <t>08 CROSSWALK</t>
        </is>
      </c>
    </row>
    <row r="694" ht="49" customHeight="1">
      <c r="A694" s="23" t="inlineStr">
        <is>
          <t>R1275-v2</t>
        </is>
      </c>
      <c r="B694" s="23" t="inlineStr">
        <is>
          <t>Cost &amp; Forecast Control Accounts / CST-03-033</t>
        </is>
      </c>
      <c r="C694" s="23" t="inlineStr">
        <is>
          <t>Cost Account = CA-3033; WBS Code = 1.3.1</t>
        </is>
      </c>
      <c r="D694" s="23" t="inlineStr">
        <is>
          <t>Proposed by Source assignment; target 1.3.1 Systems - Traction Power</t>
        </is>
      </c>
      <c r="E694" s="23" t="inlineStr">
        <is>
          <t>None recorded</t>
        </is>
      </c>
      <c r="F694" s="23" t="inlineStr">
        <is>
          <t>No individual professional decision recorded; Source assignment -- not individually reviewed</t>
        </is>
      </c>
      <c r="G694" s="23" t="inlineStr">
        <is>
          <t>Not individually decided</t>
        </is>
      </c>
      <c r="H694" s="23" t="inlineStr">
        <is>
          <t xml:space="preserve">RETAINED / ONE_TO_ONE; </t>
        </is>
      </c>
      <c r="I694" s="23" t="inlineStr">
        <is>
          <t>Carried forward</t>
        </is>
      </c>
      <c r="J694" s="14" t="inlineStr">
        <is>
          <t>08 CROSSWALK</t>
        </is>
      </c>
    </row>
    <row r="695" ht="49" customHeight="1">
      <c r="A695" s="23" t="inlineStr">
        <is>
          <t>R1277-v2</t>
        </is>
      </c>
      <c r="B695" s="23" t="inlineStr">
        <is>
          <t>Cost &amp; Forecast Control Accounts / CST-03-035</t>
        </is>
      </c>
      <c r="C695" s="23" t="inlineStr">
        <is>
          <t>Cost Account = CA-3035; WBS Code = 1.3.1</t>
        </is>
      </c>
      <c r="D695" s="23" t="inlineStr">
        <is>
          <t>Proposed by Source assignment; target 1.3.1 Systems - Traction Power</t>
        </is>
      </c>
      <c r="E695" s="23" t="inlineStr">
        <is>
          <t>None recorded</t>
        </is>
      </c>
      <c r="F695" s="23" t="inlineStr">
        <is>
          <t>No individual professional decision recorded; Source assignment -- not individually reviewed</t>
        </is>
      </c>
      <c r="G695" s="23" t="inlineStr">
        <is>
          <t>Not individually decided</t>
        </is>
      </c>
      <c r="H695" s="23" t="inlineStr">
        <is>
          <t xml:space="preserve">RETAINED / ONE_TO_ONE; </t>
        </is>
      </c>
      <c r="I695" s="23" t="inlineStr">
        <is>
          <t>Carried forward</t>
        </is>
      </c>
      <c r="J695" s="14" t="inlineStr">
        <is>
          <t>08 CROSSWALK</t>
        </is>
      </c>
    </row>
    <row r="696" ht="49" customHeight="1">
      <c r="A696" s="23" t="inlineStr">
        <is>
          <t>R1279-v2</t>
        </is>
      </c>
      <c r="B696" s="23" t="inlineStr">
        <is>
          <t>Cost &amp; Forecast Control Accounts / CST-03-037</t>
        </is>
      </c>
      <c r="C696" s="23" t="inlineStr">
        <is>
          <t>Cost Account = CA-3037; WBS Code = 1.3.1</t>
        </is>
      </c>
      <c r="D696" s="23" t="inlineStr">
        <is>
          <t>Proposed by Source assignment; target 1.3.1 Systems - Traction Power</t>
        </is>
      </c>
      <c r="E696" s="23" t="inlineStr">
        <is>
          <t>None recorded</t>
        </is>
      </c>
      <c r="F696" s="23" t="inlineStr">
        <is>
          <t>No individual professional decision recorded; Source assignment -- not individually reviewed</t>
        </is>
      </c>
      <c r="G696" s="23" t="inlineStr">
        <is>
          <t>Not individually decided</t>
        </is>
      </c>
      <c r="H696" s="23" t="inlineStr">
        <is>
          <t xml:space="preserve">RETAINED / ONE_TO_ONE; </t>
        </is>
      </c>
      <c r="I696" s="23" t="inlineStr">
        <is>
          <t>Carried forward</t>
        </is>
      </c>
      <c r="J696" s="14" t="inlineStr">
        <is>
          <t>08 CROSSWALK</t>
        </is>
      </c>
    </row>
    <row r="697" ht="49" customHeight="1">
      <c r="A697" s="23" t="inlineStr">
        <is>
          <t>R1281-v2</t>
        </is>
      </c>
      <c r="B697" s="23" t="inlineStr">
        <is>
          <t>Cost &amp; Forecast Control Accounts / CST-03-039</t>
        </is>
      </c>
      <c r="C697" s="23" t="inlineStr">
        <is>
          <t>Cost Account = CA-3039; WBS Code = 1.3.1</t>
        </is>
      </c>
      <c r="D697" s="23" t="inlineStr">
        <is>
          <t>Proposed by Source assignment; target 1.3.1 Systems - Traction Power</t>
        </is>
      </c>
      <c r="E697" s="23" t="inlineStr">
        <is>
          <t>None recorded</t>
        </is>
      </c>
      <c r="F697" s="23" t="inlineStr">
        <is>
          <t>No individual professional decision recorded; Source assignment -- not individually reviewed</t>
        </is>
      </c>
      <c r="G697" s="23" t="inlineStr">
        <is>
          <t>Not individually decided</t>
        </is>
      </c>
      <c r="H697" s="23" t="inlineStr">
        <is>
          <t xml:space="preserve">RETAINED / ONE_TO_ONE; </t>
        </is>
      </c>
      <c r="I697" s="23" t="inlineStr">
        <is>
          <t>Carried forward</t>
        </is>
      </c>
      <c r="J697" s="14" t="inlineStr">
        <is>
          <t>08 CROSSWALK</t>
        </is>
      </c>
    </row>
    <row r="698" ht="49" customHeight="1">
      <c r="A698" s="23" t="inlineStr">
        <is>
          <t>R1283-v2</t>
        </is>
      </c>
      <c r="B698" s="23" t="inlineStr">
        <is>
          <t>Cost &amp; Forecast Control Accounts / CST-03-041</t>
        </is>
      </c>
      <c r="C698" s="23" t="inlineStr">
        <is>
          <t>Cost Account = CA-3041; WBS Code = 1.3.1</t>
        </is>
      </c>
      <c r="D698" s="23" t="inlineStr">
        <is>
          <t>Proposed by Source assignment; target 1.3.1 Systems - Traction Power</t>
        </is>
      </c>
      <c r="E698" s="23" t="inlineStr">
        <is>
          <t>None recorded</t>
        </is>
      </c>
      <c r="F698" s="23" t="inlineStr">
        <is>
          <t>No individual professional decision recorded; Source assignment -- not individually reviewed</t>
        </is>
      </c>
      <c r="G698" s="23" t="inlineStr">
        <is>
          <t>Not individually decided</t>
        </is>
      </c>
      <c r="H698" s="23" t="inlineStr">
        <is>
          <t xml:space="preserve">RETAINED / ONE_TO_ONE; </t>
        </is>
      </c>
      <c r="I698" s="23" t="inlineStr">
        <is>
          <t>Carried forward</t>
        </is>
      </c>
      <c r="J698" s="14" t="inlineStr">
        <is>
          <t>08 CROSSWALK</t>
        </is>
      </c>
    </row>
    <row r="699" ht="49" customHeight="1">
      <c r="A699" s="23" t="inlineStr">
        <is>
          <t>R1285-v2</t>
        </is>
      </c>
      <c r="B699" s="23" t="inlineStr">
        <is>
          <t>Cost &amp; Forecast Control Accounts / CST-03-043</t>
        </is>
      </c>
      <c r="C699" s="23" t="inlineStr">
        <is>
          <t>Cost Account = CA-3043; WBS Code = 1.3.1</t>
        </is>
      </c>
      <c r="D699" s="23" t="inlineStr">
        <is>
          <t>Proposed by Source assignment; target 1.3.1 Systems - Traction Power</t>
        </is>
      </c>
      <c r="E699" s="23" t="inlineStr">
        <is>
          <t>None recorded</t>
        </is>
      </c>
      <c r="F699" s="23" t="inlineStr">
        <is>
          <t>No individual professional decision recorded; Source assignment -- not individually reviewed</t>
        </is>
      </c>
      <c r="G699" s="23" t="inlineStr">
        <is>
          <t>Not individually decided</t>
        </is>
      </c>
      <c r="H699" s="23" t="inlineStr">
        <is>
          <t xml:space="preserve">RETAINED / ONE_TO_ONE; </t>
        </is>
      </c>
      <c r="I699" s="23" t="inlineStr">
        <is>
          <t>Carried forward</t>
        </is>
      </c>
      <c r="J699" s="14" t="inlineStr">
        <is>
          <t>08 CROSSWALK</t>
        </is>
      </c>
    </row>
    <row r="700" ht="49" customHeight="1">
      <c r="A700" s="23" t="inlineStr">
        <is>
          <t>R1287-v2</t>
        </is>
      </c>
      <c r="B700" s="23" t="inlineStr">
        <is>
          <t>Cost &amp; Forecast Control Accounts / CST-03-045</t>
        </is>
      </c>
      <c r="C700" s="23" t="inlineStr">
        <is>
          <t>Cost Account = CA-3045; WBS Code = 1.3.1</t>
        </is>
      </c>
      <c r="D700" s="23" t="inlineStr">
        <is>
          <t>Proposed by Source assignment; target 1.3.1 Systems - Traction Power</t>
        </is>
      </c>
      <c r="E700" s="23" t="inlineStr">
        <is>
          <t>None recorded</t>
        </is>
      </c>
      <c r="F700" s="23" t="inlineStr">
        <is>
          <t>No individual professional decision recorded; Source assignment -- not individually reviewed</t>
        </is>
      </c>
      <c r="G700" s="23" t="inlineStr">
        <is>
          <t>Not individually decided</t>
        </is>
      </c>
      <c r="H700" s="23" t="inlineStr">
        <is>
          <t xml:space="preserve">RETAINED / ONE_TO_ONE; </t>
        </is>
      </c>
      <c r="I700" s="23" t="inlineStr">
        <is>
          <t>Carried forward</t>
        </is>
      </c>
      <c r="J700" s="14" t="inlineStr">
        <is>
          <t>08 CROSSWALK</t>
        </is>
      </c>
    </row>
    <row r="701" ht="49" customHeight="1">
      <c r="A701" s="23" t="inlineStr">
        <is>
          <t>R1289-v2</t>
        </is>
      </c>
      <c r="B701" s="23" t="inlineStr">
        <is>
          <t>Cost &amp; Forecast Control Accounts / CST-03-047</t>
        </is>
      </c>
      <c r="C701" s="23" t="inlineStr">
        <is>
          <t>Cost Account = CA-3047; WBS Code = 1.3.1</t>
        </is>
      </c>
      <c r="D701" s="23" t="inlineStr">
        <is>
          <t>Proposed by Source assignment; target 1.3.1 Systems - Traction Power</t>
        </is>
      </c>
      <c r="E701" s="23" t="inlineStr">
        <is>
          <t>None recorded</t>
        </is>
      </c>
      <c r="F701" s="23" t="inlineStr">
        <is>
          <t>No individual professional decision recorded; Source assignment -- not individually reviewed</t>
        </is>
      </c>
      <c r="G701" s="23" t="inlineStr">
        <is>
          <t>Not individually decided</t>
        </is>
      </c>
      <c r="H701" s="23" t="inlineStr">
        <is>
          <t xml:space="preserve">RETAINED / ONE_TO_ONE; </t>
        </is>
      </c>
      <c r="I701" s="23" t="inlineStr">
        <is>
          <t>Carried forward</t>
        </is>
      </c>
      <c r="J701" s="14" t="inlineStr">
        <is>
          <t>08 CROSSWALK</t>
        </is>
      </c>
    </row>
    <row r="702" ht="49" customHeight="1">
      <c r="A702" s="23" t="inlineStr">
        <is>
          <t>R1291-v2</t>
        </is>
      </c>
      <c r="B702" s="23" t="inlineStr">
        <is>
          <t>Cost &amp; Forecast Control Accounts / CST-03-049</t>
        </is>
      </c>
      <c r="C702" s="23" t="inlineStr">
        <is>
          <t>Cost Account = CA-3049; WBS Code = 1.3.1</t>
        </is>
      </c>
      <c r="D702" s="23" t="inlineStr">
        <is>
          <t>Proposed by Source assignment; target 1.3.1 Systems - Traction Power</t>
        </is>
      </c>
      <c r="E702" s="23" t="inlineStr">
        <is>
          <t>None recorded</t>
        </is>
      </c>
      <c r="F702" s="23" t="inlineStr">
        <is>
          <t>No individual professional decision recorded; Source assignment -- not individually reviewed</t>
        </is>
      </c>
      <c r="G702" s="23" t="inlineStr">
        <is>
          <t>Not individually decided</t>
        </is>
      </c>
      <c r="H702" s="23" t="inlineStr">
        <is>
          <t xml:space="preserve">RETAINED / ONE_TO_ONE; </t>
        </is>
      </c>
      <c r="I702" s="23" t="inlineStr">
        <is>
          <t>Carried forward</t>
        </is>
      </c>
      <c r="J702" s="14" t="inlineStr">
        <is>
          <t>08 CROSSWALK</t>
        </is>
      </c>
    </row>
    <row r="703" ht="49" customHeight="1">
      <c r="A703" s="23" t="inlineStr">
        <is>
          <t>R1293-v2</t>
        </is>
      </c>
      <c r="B703" s="23" t="inlineStr">
        <is>
          <t>Cost &amp; Forecast Control Accounts / CST-03-051</t>
        </is>
      </c>
      <c r="C703" s="23" t="inlineStr">
        <is>
          <t>Cost Account = CA-3051; WBS Code = 1.3.1</t>
        </is>
      </c>
      <c r="D703" s="23" t="inlineStr">
        <is>
          <t>Proposed by Source assignment; target 1.3.1 Systems - Traction Power</t>
        </is>
      </c>
      <c r="E703" s="23" t="inlineStr">
        <is>
          <t>None recorded</t>
        </is>
      </c>
      <c r="F703" s="23" t="inlineStr">
        <is>
          <t>No individual professional decision recorded; Source assignment -- not individually reviewed</t>
        </is>
      </c>
      <c r="G703" s="23" t="inlineStr">
        <is>
          <t>Not individually decided</t>
        </is>
      </c>
      <c r="H703" s="23" t="inlineStr">
        <is>
          <t xml:space="preserve">RETAINED / ONE_TO_ONE; </t>
        </is>
      </c>
      <c r="I703" s="23" t="inlineStr">
        <is>
          <t>Carried forward</t>
        </is>
      </c>
      <c r="J703" s="14" t="inlineStr">
        <is>
          <t>08 CROSSWALK</t>
        </is>
      </c>
    </row>
    <row r="704" ht="49" customHeight="1">
      <c r="A704" s="23" t="inlineStr">
        <is>
          <t>R1295-v2</t>
        </is>
      </c>
      <c r="B704" s="23" t="inlineStr">
        <is>
          <t>Cost &amp; Forecast Control Accounts / CST-03-053</t>
        </is>
      </c>
      <c r="C704" s="23" t="inlineStr">
        <is>
          <t>Cost Account = CA-3053; WBS Code = 1.3.1</t>
        </is>
      </c>
      <c r="D704" s="23" t="inlineStr">
        <is>
          <t>Proposed by Source assignment; target 1.3.1 Systems - Traction Power</t>
        </is>
      </c>
      <c r="E704" s="23" t="inlineStr">
        <is>
          <t>None recorded</t>
        </is>
      </c>
      <c r="F704" s="23" t="inlineStr">
        <is>
          <t>No individual professional decision recorded; Source assignment -- not individually reviewed</t>
        </is>
      </c>
      <c r="G704" s="23" t="inlineStr">
        <is>
          <t>Not individually decided</t>
        </is>
      </c>
      <c r="H704" s="23" t="inlineStr">
        <is>
          <t xml:space="preserve">RETAINED / ONE_TO_ONE; </t>
        </is>
      </c>
      <c r="I704" s="23" t="inlineStr">
        <is>
          <t>Carried forward</t>
        </is>
      </c>
      <c r="J704" s="14" t="inlineStr">
        <is>
          <t>08 CROSSWALK</t>
        </is>
      </c>
    </row>
    <row r="705" ht="49" customHeight="1">
      <c r="A705" s="23" t="inlineStr">
        <is>
          <t>R1297-v2</t>
        </is>
      </c>
      <c r="B705" s="23" t="inlineStr">
        <is>
          <t>Cost &amp; Forecast Control Accounts / CST-03-055</t>
        </is>
      </c>
      <c r="C705" s="23" t="inlineStr">
        <is>
          <t>Cost Account = CA-3055; WBS Code = 1.3.1</t>
        </is>
      </c>
      <c r="D705" s="23" t="inlineStr">
        <is>
          <t>Proposed by Source assignment; target 1.3.1 Systems - Traction Power</t>
        </is>
      </c>
      <c r="E705" s="23" t="inlineStr">
        <is>
          <t>None recorded</t>
        </is>
      </c>
      <c r="F705" s="23" t="inlineStr">
        <is>
          <t>No individual professional decision recorded; Source assignment -- not individually reviewed</t>
        </is>
      </c>
      <c r="G705" s="23" t="inlineStr">
        <is>
          <t>Not individually decided</t>
        </is>
      </c>
      <c r="H705" s="23" t="inlineStr">
        <is>
          <t xml:space="preserve">RETAINED / ONE_TO_ONE; </t>
        </is>
      </c>
      <c r="I705" s="23" t="inlineStr">
        <is>
          <t>Carried forward</t>
        </is>
      </c>
      <c r="J705" s="14" t="inlineStr">
        <is>
          <t>08 CROSSWALK</t>
        </is>
      </c>
    </row>
    <row r="706" ht="49" customHeight="1">
      <c r="A706" s="23" t="inlineStr">
        <is>
          <t>R1299-v2</t>
        </is>
      </c>
      <c r="B706" s="23" t="inlineStr">
        <is>
          <t>Cost &amp; Forecast Control Accounts / CST-03-057</t>
        </is>
      </c>
      <c r="C706" s="23" t="inlineStr">
        <is>
          <t>Cost Account = CA-3057; WBS Code = 1.3.1</t>
        </is>
      </c>
      <c r="D706" s="23" t="inlineStr">
        <is>
          <t>Proposed by Source assignment; target 1.3.1 Systems - Traction Power</t>
        </is>
      </c>
      <c r="E706" s="23" t="inlineStr">
        <is>
          <t>None recorded</t>
        </is>
      </c>
      <c r="F706" s="23" t="inlineStr">
        <is>
          <t>No individual professional decision recorded; Source assignment -- not individually reviewed</t>
        </is>
      </c>
      <c r="G706" s="23" t="inlineStr">
        <is>
          <t>Not individually decided</t>
        </is>
      </c>
      <c r="H706" s="23" t="inlineStr">
        <is>
          <t xml:space="preserve">RETAINED / ONE_TO_ONE; </t>
        </is>
      </c>
      <c r="I706" s="23" t="inlineStr">
        <is>
          <t>Carried forward</t>
        </is>
      </c>
      <c r="J706" s="14" t="inlineStr">
        <is>
          <t>08 CROSSWALK</t>
        </is>
      </c>
    </row>
    <row r="707" ht="49" customHeight="1">
      <c r="A707" s="23" t="inlineStr">
        <is>
          <t>R1301-v2</t>
        </is>
      </c>
      <c r="B707" s="23" t="inlineStr">
        <is>
          <t>Cost &amp; Forecast Control Accounts / CST-03-059</t>
        </is>
      </c>
      <c r="C707" s="23" t="inlineStr">
        <is>
          <t>Cost Account = CA-3059; WBS Code = 1.3.1</t>
        </is>
      </c>
      <c r="D707" s="23" t="inlineStr">
        <is>
          <t>Proposed by Source assignment; target 1.3.1 Systems - Traction Power</t>
        </is>
      </c>
      <c r="E707" s="23" t="inlineStr">
        <is>
          <t>None recorded</t>
        </is>
      </c>
      <c r="F707" s="23" t="inlineStr">
        <is>
          <t>No individual professional decision recorded; Source assignment -- not individually reviewed</t>
        </is>
      </c>
      <c r="G707" s="23" t="inlineStr">
        <is>
          <t>Not individually decided</t>
        </is>
      </c>
      <c r="H707" s="23" t="inlineStr">
        <is>
          <t xml:space="preserve">RETAINED / ONE_TO_ONE; </t>
        </is>
      </c>
      <c r="I707" s="23" t="inlineStr">
        <is>
          <t>Carried forward</t>
        </is>
      </c>
      <c r="J707" s="14" t="inlineStr">
        <is>
          <t>08 CROSSWALK</t>
        </is>
      </c>
    </row>
    <row r="708" ht="49" customHeight="1">
      <c r="A708" s="23" t="inlineStr">
        <is>
          <t>R1303-v2</t>
        </is>
      </c>
      <c r="B708" s="23" t="inlineStr">
        <is>
          <t>Cost &amp; Forecast Control Accounts / CST-03-061</t>
        </is>
      </c>
      <c r="C708" s="23" t="inlineStr">
        <is>
          <t>Cost Account = CA-3061; WBS Code = 1.3.1</t>
        </is>
      </c>
      <c r="D708" s="23" t="inlineStr">
        <is>
          <t>Proposed by Source assignment; target 1.3.1 Systems - Traction Power</t>
        </is>
      </c>
      <c r="E708" s="23" t="inlineStr">
        <is>
          <t>None recorded</t>
        </is>
      </c>
      <c r="F708" s="23" t="inlineStr">
        <is>
          <t>No individual professional decision recorded; Source assignment -- not individually reviewed</t>
        </is>
      </c>
      <c r="G708" s="23" t="inlineStr">
        <is>
          <t>Not individually decided</t>
        </is>
      </c>
      <c r="H708" s="23" t="inlineStr">
        <is>
          <t xml:space="preserve">RETAINED / ONE_TO_ONE; </t>
        </is>
      </c>
      <c r="I708" s="23" t="inlineStr">
        <is>
          <t>Carried forward</t>
        </is>
      </c>
      <c r="J708" s="14" t="inlineStr">
        <is>
          <t>08 CROSSWALK</t>
        </is>
      </c>
    </row>
    <row r="709" ht="49" customHeight="1">
      <c r="A709" s="23" t="inlineStr">
        <is>
          <t>R1305-v2</t>
        </is>
      </c>
      <c r="B709" s="23" t="inlineStr">
        <is>
          <t>Cost &amp; Forecast Control Accounts / CST-03-063</t>
        </is>
      </c>
      <c r="C709" s="23" t="inlineStr">
        <is>
          <t>Cost Account = CA-3063; WBS Code = 1.3.1</t>
        </is>
      </c>
      <c r="D709" s="23" t="inlineStr">
        <is>
          <t>Proposed by Source assignment; target 1.3.1 Systems - Traction Power</t>
        </is>
      </c>
      <c r="E709" s="23" t="inlineStr">
        <is>
          <t>None recorded</t>
        </is>
      </c>
      <c r="F709" s="23" t="inlineStr">
        <is>
          <t>No individual professional decision recorded; Source assignment -- not individually reviewed</t>
        </is>
      </c>
      <c r="G709" s="23" t="inlineStr">
        <is>
          <t>Not individually decided</t>
        </is>
      </c>
      <c r="H709" s="23" t="inlineStr">
        <is>
          <t xml:space="preserve">RETAINED / ONE_TO_ONE; </t>
        </is>
      </c>
      <c r="I709" s="23" t="inlineStr">
        <is>
          <t>Carried forward</t>
        </is>
      </c>
      <c r="J709" s="14" t="inlineStr">
        <is>
          <t>08 CROSSWALK</t>
        </is>
      </c>
    </row>
    <row r="710" ht="49" customHeight="1">
      <c r="A710" s="23" t="inlineStr">
        <is>
          <t>R1307-v2</t>
        </is>
      </c>
      <c r="B710" s="23" t="inlineStr">
        <is>
          <t>Cost &amp; Forecast Control Accounts / CST-03-065</t>
        </is>
      </c>
      <c r="C710" s="23" t="inlineStr">
        <is>
          <t>Cost Account = CA-3065; WBS Code = 1.3.1</t>
        </is>
      </c>
      <c r="D710" s="23" t="inlineStr">
        <is>
          <t>Proposed by Source assignment; target 1.3.1 Systems - Traction Power</t>
        </is>
      </c>
      <c r="E710" s="23" t="inlineStr">
        <is>
          <t>None recorded</t>
        </is>
      </c>
      <c r="F710" s="23" t="inlineStr">
        <is>
          <t>No individual professional decision recorded; Source assignment -- not individually reviewed</t>
        </is>
      </c>
      <c r="G710" s="23" t="inlineStr">
        <is>
          <t>Not individually decided</t>
        </is>
      </c>
      <c r="H710" s="23" t="inlineStr">
        <is>
          <t xml:space="preserve">RETAINED / ONE_TO_ONE; </t>
        </is>
      </c>
      <c r="I710" s="23" t="inlineStr">
        <is>
          <t>Carried forward</t>
        </is>
      </c>
      <c r="J710" s="14" t="inlineStr">
        <is>
          <t>08 CROSSWALK</t>
        </is>
      </c>
    </row>
    <row r="711" ht="49" customHeight="1">
      <c r="A711" s="23" t="inlineStr">
        <is>
          <t>R1309-v2</t>
        </is>
      </c>
      <c r="B711" s="23" t="inlineStr">
        <is>
          <t>Cost &amp; Forecast Control Accounts / CST-03-067</t>
        </is>
      </c>
      <c r="C711" s="23" t="inlineStr">
        <is>
          <t>Cost Account = CA-3067; WBS Code = 1.3.1</t>
        </is>
      </c>
      <c r="D711" s="23" t="inlineStr">
        <is>
          <t>Proposed by Source assignment; target 1.3.1 Systems - Traction Power</t>
        </is>
      </c>
      <c r="E711" s="23" t="inlineStr">
        <is>
          <t>None recorded</t>
        </is>
      </c>
      <c r="F711" s="23" t="inlineStr">
        <is>
          <t>No individual professional decision recorded; Source assignment -- not individually reviewed</t>
        </is>
      </c>
      <c r="G711" s="23" t="inlineStr">
        <is>
          <t>Not individually decided</t>
        </is>
      </c>
      <c r="H711" s="23" t="inlineStr">
        <is>
          <t xml:space="preserve">RETAINED / ONE_TO_ONE; </t>
        </is>
      </c>
      <c r="I711" s="23" t="inlineStr">
        <is>
          <t>Carried forward</t>
        </is>
      </c>
      <c r="J711" s="14" t="inlineStr">
        <is>
          <t>08 CROSSWALK</t>
        </is>
      </c>
    </row>
    <row r="712" ht="49" customHeight="1">
      <c r="A712" s="23" t="inlineStr">
        <is>
          <t>R1311-v2</t>
        </is>
      </c>
      <c r="B712" s="23" t="inlineStr">
        <is>
          <t>Cost &amp; Forecast Control Accounts / CST-03-069</t>
        </is>
      </c>
      <c r="C712" s="23" t="inlineStr">
        <is>
          <t>Cost Account = CA-3069; WBS Code = 1.3.1</t>
        </is>
      </c>
      <c r="D712" s="23" t="inlineStr">
        <is>
          <t>Proposed by Source assignment; target 1.3.1 Systems - Traction Power</t>
        </is>
      </c>
      <c r="E712" s="23" t="inlineStr">
        <is>
          <t>None recorded</t>
        </is>
      </c>
      <c r="F712" s="23" t="inlineStr">
        <is>
          <t>No individual professional decision recorded; Source assignment -- not individually reviewed</t>
        </is>
      </c>
      <c r="G712" s="23" t="inlineStr">
        <is>
          <t>Not individually decided</t>
        </is>
      </c>
      <c r="H712" s="23" t="inlineStr">
        <is>
          <t xml:space="preserve">RETAINED / ONE_TO_ONE; </t>
        </is>
      </c>
      <c r="I712" s="23" t="inlineStr">
        <is>
          <t>Carried forward</t>
        </is>
      </c>
      <c r="J712" s="14" t="inlineStr">
        <is>
          <t>08 CROSSWALK</t>
        </is>
      </c>
    </row>
    <row r="713" ht="49" customHeight="1">
      <c r="A713" s="23" t="inlineStr">
        <is>
          <t>R1313-v2</t>
        </is>
      </c>
      <c r="B713" s="23" t="inlineStr">
        <is>
          <t>Cost &amp; Forecast Control Accounts / CST-03-071</t>
        </is>
      </c>
      <c r="C713" s="23" t="inlineStr">
        <is>
          <t>Cost Account = CA-3071; WBS Code = 1.3.1</t>
        </is>
      </c>
      <c r="D713" s="23" t="inlineStr">
        <is>
          <t>Proposed by Source assignment; target 1.3.1 Systems - Traction Power</t>
        </is>
      </c>
      <c r="E713" s="23" t="inlineStr">
        <is>
          <t>None recorded</t>
        </is>
      </c>
      <c r="F713" s="23" t="inlineStr">
        <is>
          <t>No individual professional decision recorded; Source assignment -- not individually reviewed</t>
        </is>
      </c>
      <c r="G713" s="23" t="inlineStr">
        <is>
          <t>Not individually decided</t>
        </is>
      </c>
      <c r="H713" s="23" t="inlineStr">
        <is>
          <t xml:space="preserve">RETAINED / ONE_TO_ONE; </t>
        </is>
      </c>
      <c r="I713" s="23" t="inlineStr">
        <is>
          <t>Carried forward</t>
        </is>
      </c>
      <c r="J713" s="14" t="inlineStr">
        <is>
          <t>08 CROSSWALK</t>
        </is>
      </c>
    </row>
    <row r="714" ht="49" customHeight="1">
      <c r="A714" s="23" t="inlineStr">
        <is>
          <t>R1315-v2</t>
        </is>
      </c>
      <c r="B714" s="23" t="inlineStr">
        <is>
          <t>Cost &amp; Forecast Control Accounts / CST-03-073</t>
        </is>
      </c>
      <c r="C714" s="23" t="inlineStr">
        <is>
          <t>Cost Account = CA-3073; WBS Code = 1.3.1</t>
        </is>
      </c>
      <c r="D714" s="23" t="inlineStr">
        <is>
          <t>Proposed by Source assignment; target 1.3.1 Systems - Traction Power</t>
        </is>
      </c>
      <c r="E714" s="23" t="inlineStr">
        <is>
          <t>None recorded</t>
        </is>
      </c>
      <c r="F714" s="23" t="inlineStr">
        <is>
          <t>No individual professional decision recorded; Source assignment -- not individually reviewed</t>
        </is>
      </c>
      <c r="G714" s="23" t="inlineStr">
        <is>
          <t>Not individually decided</t>
        </is>
      </c>
      <c r="H714" s="23" t="inlineStr">
        <is>
          <t xml:space="preserve">RETAINED / ONE_TO_ONE; </t>
        </is>
      </c>
      <c r="I714" s="23" t="inlineStr">
        <is>
          <t>Carried forward</t>
        </is>
      </c>
      <c r="J714" s="14" t="inlineStr">
        <is>
          <t>08 CROSSWALK</t>
        </is>
      </c>
    </row>
    <row r="715" ht="49" customHeight="1">
      <c r="A715" s="23" t="inlineStr">
        <is>
          <t>R1317-v2</t>
        </is>
      </c>
      <c r="B715" s="23" t="inlineStr">
        <is>
          <t>Cost &amp; Forecast Control Accounts / CST-03-075</t>
        </is>
      </c>
      <c r="C715" s="23" t="inlineStr">
        <is>
          <t>Cost Account = CA-3075; WBS Code = 1.3.1</t>
        </is>
      </c>
      <c r="D715" s="23" t="inlineStr">
        <is>
          <t>Proposed by Source assignment; target 1.3.1 Systems - Traction Power</t>
        </is>
      </c>
      <c r="E715" s="23" t="inlineStr">
        <is>
          <t>None recorded</t>
        </is>
      </c>
      <c r="F715" s="23" t="inlineStr">
        <is>
          <t>No individual professional decision recorded; Source assignment -- not individually reviewed</t>
        </is>
      </c>
      <c r="G715" s="23" t="inlineStr">
        <is>
          <t>Not individually decided</t>
        </is>
      </c>
      <c r="H715" s="23" t="inlineStr">
        <is>
          <t xml:space="preserve">RETAINED / ONE_TO_ONE; </t>
        </is>
      </c>
      <c r="I715" s="23" t="inlineStr">
        <is>
          <t>Carried forward</t>
        </is>
      </c>
      <c r="J715" s="14" t="inlineStr">
        <is>
          <t>08 CROSSWALK</t>
        </is>
      </c>
    </row>
    <row r="716" ht="49" customHeight="1">
      <c r="A716" s="23" t="inlineStr">
        <is>
          <t>R1319-v2</t>
        </is>
      </c>
      <c r="B716" s="23" t="inlineStr">
        <is>
          <t>Cost &amp; Forecast Control Accounts / CST-03-077</t>
        </is>
      </c>
      <c r="C716" s="23" t="inlineStr">
        <is>
          <t>Cost Account = CA-3077; WBS Code = 1.3.1</t>
        </is>
      </c>
      <c r="D716" s="23" t="inlineStr">
        <is>
          <t>Proposed by Source assignment; target 1.3.1 Systems - Traction Power</t>
        </is>
      </c>
      <c r="E716" s="23" t="inlineStr">
        <is>
          <t>None recorded</t>
        </is>
      </c>
      <c r="F716" s="23" t="inlineStr">
        <is>
          <t>No individual professional decision recorded; Source assignment -- not individually reviewed</t>
        </is>
      </c>
      <c r="G716" s="23" t="inlineStr">
        <is>
          <t>Not individually decided</t>
        </is>
      </c>
      <c r="H716" s="23" t="inlineStr">
        <is>
          <t xml:space="preserve">RETAINED / ONE_TO_ONE; </t>
        </is>
      </c>
      <c r="I716" s="23" t="inlineStr">
        <is>
          <t>Carried forward</t>
        </is>
      </c>
      <c r="J716" s="14" t="inlineStr">
        <is>
          <t>08 CROSSWALK</t>
        </is>
      </c>
    </row>
    <row r="717" ht="49" customHeight="1">
      <c r="A717" s="23" t="inlineStr">
        <is>
          <t>R1321-v2</t>
        </is>
      </c>
      <c r="B717" s="23" t="inlineStr">
        <is>
          <t>Cost &amp; Forecast Control Accounts / CST-03-079</t>
        </is>
      </c>
      <c r="C717" s="23" t="inlineStr">
        <is>
          <t>Cost Account = CA-3079; WBS Code = 1.3.1</t>
        </is>
      </c>
      <c r="D717" s="23" t="inlineStr">
        <is>
          <t>Proposed by Source assignment; target 1.3.1 Systems - Traction Power</t>
        </is>
      </c>
      <c r="E717" s="23" t="inlineStr">
        <is>
          <t>None recorded</t>
        </is>
      </c>
      <c r="F717" s="23" t="inlineStr">
        <is>
          <t>No individual professional decision recorded; Source assignment -- not individually reviewed</t>
        </is>
      </c>
      <c r="G717" s="23" t="inlineStr">
        <is>
          <t>Not individually decided</t>
        </is>
      </c>
      <c r="H717" s="23" t="inlineStr">
        <is>
          <t xml:space="preserve">RETAINED / ONE_TO_ONE; </t>
        </is>
      </c>
      <c r="I717" s="23" t="inlineStr">
        <is>
          <t>Carried forward</t>
        </is>
      </c>
      <c r="J717" s="14" t="inlineStr">
        <is>
          <t>08 CROSSWALK</t>
        </is>
      </c>
    </row>
    <row r="718" ht="49" customHeight="1">
      <c r="A718" s="23" t="inlineStr">
        <is>
          <t>R363-v2</t>
        </is>
      </c>
      <c r="B718" s="23" t="inlineStr">
        <is>
          <t>Contractor Programme / SCH-03-003</t>
        </is>
      </c>
      <c r="C718" s="23" t="inlineStr">
        <is>
          <t>WBS Code = 1.3.2</t>
        </is>
      </c>
      <c r="D718" s="23" t="inlineStr">
        <is>
          <t>Proposed by Source assignment; target 1.3.2 Systems - Signalling &amp; Train Control</t>
        </is>
      </c>
      <c r="E718" s="23" t="inlineStr">
        <is>
          <t>None recorded</t>
        </is>
      </c>
      <c r="F718" s="23" t="inlineStr">
        <is>
          <t>No individual professional decision recorded; Source assignment -- not individually reviewed</t>
        </is>
      </c>
      <c r="G718" s="23" t="inlineStr">
        <is>
          <t>Not individually decided</t>
        </is>
      </c>
      <c r="H718" s="23" t="inlineStr">
        <is>
          <t xml:space="preserve">RETAINED / ONE_TO_ONE; </t>
        </is>
      </c>
      <c r="I718" s="23" t="inlineStr">
        <is>
          <t>Carried forward</t>
        </is>
      </c>
      <c r="J718" s="14" t="inlineStr">
        <is>
          <t>08 CROSSWALK</t>
        </is>
      </c>
    </row>
    <row r="719" ht="49" customHeight="1">
      <c r="A719" s="23" t="inlineStr">
        <is>
          <t>R366-v2</t>
        </is>
      </c>
      <c r="B719" s="23" t="inlineStr">
        <is>
          <t>Contractor Programme / SCH-03-006</t>
        </is>
      </c>
      <c r="C719" s="23" t="inlineStr">
        <is>
          <t>WBS Code = 1.3.2</t>
        </is>
      </c>
      <c r="D719" s="23" t="inlineStr">
        <is>
          <t>Proposed by Source assignment; target 1.3.2 Systems - Signalling &amp; Train Control</t>
        </is>
      </c>
      <c r="E719" s="23" t="inlineStr">
        <is>
          <t>None recorded</t>
        </is>
      </c>
      <c r="F719" s="23" t="inlineStr">
        <is>
          <t>No individual professional decision recorded; Source assignment -- not individually reviewed</t>
        </is>
      </c>
      <c r="G719" s="23" t="inlineStr">
        <is>
          <t>Not individually decided</t>
        </is>
      </c>
      <c r="H719" s="23" t="inlineStr">
        <is>
          <t xml:space="preserve">RETAINED / ONE_TO_ONE; </t>
        </is>
      </c>
      <c r="I719" s="23" t="inlineStr">
        <is>
          <t>Carried forward</t>
        </is>
      </c>
      <c r="J719" s="14" t="inlineStr">
        <is>
          <t>08 CROSSWALK</t>
        </is>
      </c>
    </row>
    <row r="720" ht="49" customHeight="1">
      <c r="A720" s="23" t="inlineStr">
        <is>
          <t>R369-v2</t>
        </is>
      </c>
      <c r="B720" s="23" t="inlineStr">
        <is>
          <t>Contractor Programme / SCH-03-009</t>
        </is>
      </c>
      <c r="C720" s="23" t="inlineStr">
        <is>
          <t>WBS Code = 1.3.2</t>
        </is>
      </c>
      <c r="D720" s="23" t="inlineStr">
        <is>
          <t>Proposed by Source assignment; target 1.3.2 Systems - Signalling &amp; Train Control</t>
        </is>
      </c>
      <c r="E720" s="23" t="inlineStr">
        <is>
          <t>None recorded</t>
        </is>
      </c>
      <c r="F720" s="23" t="inlineStr">
        <is>
          <t>No individual professional decision recorded; Source assignment -- not individually reviewed</t>
        </is>
      </c>
      <c r="G720" s="23" t="inlineStr">
        <is>
          <t>Not individually decided</t>
        </is>
      </c>
      <c r="H720" s="23" t="inlineStr">
        <is>
          <t xml:space="preserve">RETAINED / ONE_TO_ONE; </t>
        </is>
      </c>
      <c r="I720" s="23" t="inlineStr">
        <is>
          <t>Carried forward</t>
        </is>
      </c>
      <c r="J720" s="14" t="inlineStr">
        <is>
          <t>08 CROSSWALK</t>
        </is>
      </c>
    </row>
    <row r="721" ht="49" customHeight="1">
      <c r="A721" s="23" t="inlineStr">
        <is>
          <t>R372-v2</t>
        </is>
      </c>
      <c r="B721" s="23" t="inlineStr">
        <is>
          <t>Contractor Programme / SCH-03-012</t>
        </is>
      </c>
      <c r="C721" s="23" t="inlineStr">
        <is>
          <t>WBS Code = 1.3.2</t>
        </is>
      </c>
      <c r="D721" s="23" t="inlineStr">
        <is>
          <t>Proposed by Source assignment; target 1.3.2 Systems - Signalling &amp; Train Control</t>
        </is>
      </c>
      <c r="E721" s="23" t="inlineStr">
        <is>
          <t>None recorded</t>
        </is>
      </c>
      <c r="F721" s="23" t="inlineStr">
        <is>
          <t>No individual professional decision recorded; Source assignment -- not individually reviewed</t>
        </is>
      </c>
      <c r="G721" s="23" t="inlineStr">
        <is>
          <t>Not individually decided</t>
        </is>
      </c>
      <c r="H721" s="23" t="inlineStr">
        <is>
          <t xml:space="preserve">RETAINED / ONE_TO_ONE; </t>
        </is>
      </c>
      <c r="I721" s="23" t="inlineStr">
        <is>
          <t>Carried forward</t>
        </is>
      </c>
      <c r="J721" s="14" t="inlineStr">
        <is>
          <t>08 CROSSWALK</t>
        </is>
      </c>
    </row>
    <row r="722" ht="49" customHeight="1">
      <c r="A722" s="23" t="inlineStr">
        <is>
          <t>R375-v2</t>
        </is>
      </c>
      <c r="B722" s="23" t="inlineStr">
        <is>
          <t>Contractor Programme / SCH-03-015</t>
        </is>
      </c>
      <c r="C722" s="23" t="inlineStr">
        <is>
          <t>WBS Code = 1.3.2</t>
        </is>
      </c>
      <c r="D722" s="23" t="inlineStr">
        <is>
          <t>Proposed by Source assignment; target 1.3.2 Systems - Signalling &amp; Train Control</t>
        </is>
      </c>
      <c r="E722" s="23" t="inlineStr">
        <is>
          <t>None recorded</t>
        </is>
      </c>
      <c r="F722" s="23" t="inlineStr">
        <is>
          <t>No individual professional decision recorded; Source assignment -- not individually reviewed</t>
        </is>
      </c>
      <c r="G722" s="23" t="inlineStr">
        <is>
          <t>Not individually decided</t>
        </is>
      </c>
      <c r="H722" s="23" t="inlineStr">
        <is>
          <t xml:space="preserve">RETAINED / ONE_TO_ONE; </t>
        </is>
      </c>
      <c r="I722" s="23" t="inlineStr">
        <is>
          <t>Carried forward</t>
        </is>
      </c>
      <c r="J722" s="14" t="inlineStr">
        <is>
          <t>08 CROSSWALK</t>
        </is>
      </c>
    </row>
    <row r="723" ht="49" customHeight="1">
      <c r="A723" s="23" t="inlineStr">
        <is>
          <t>R378-v2</t>
        </is>
      </c>
      <c r="B723" s="23" t="inlineStr">
        <is>
          <t>Contractor Programme / SCH-03-018</t>
        </is>
      </c>
      <c r="C723" s="23" t="inlineStr">
        <is>
          <t>WBS Code = 1.3.2</t>
        </is>
      </c>
      <c r="D723" s="23" t="inlineStr">
        <is>
          <t>Proposed by Source assignment; target 1.3.2 Systems - Signalling &amp; Train Control</t>
        </is>
      </c>
      <c r="E723" s="23" t="inlineStr">
        <is>
          <t>None recorded</t>
        </is>
      </c>
      <c r="F723" s="23" t="inlineStr">
        <is>
          <t>No individual professional decision recorded; Source assignment -- not individually reviewed</t>
        </is>
      </c>
      <c r="G723" s="23" t="inlineStr">
        <is>
          <t>Not individually decided</t>
        </is>
      </c>
      <c r="H723" s="23" t="inlineStr">
        <is>
          <t xml:space="preserve">RETAINED / ONE_TO_ONE; </t>
        </is>
      </c>
      <c r="I723" s="23" t="inlineStr">
        <is>
          <t>Carried forward</t>
        </is>
      </c>
      <c r="J723" s="14" t="inlineStr">
        <is>
          <t>08 CROSSWALK</t>
        </is>
      </c>
    </row>
    <row r="724" ht="49" customHeight="1">
      <c r="A724" s="23" t="inlineStr">
        <is>
          <t>R381-v2</t>
        </is>
      </c>
      <c r="B724" s="23" t="inlineStr">
        <is>
          <t>Contractor Programme / SCH-03-021</t>
        </is>
      </c>
      <c r="C724" s="23" t="inlineStr">
        <is>
          <t>WBS Code = 1.3.2</t>
        </is>
      </c>
      <c r="D724" s="23" t="inlineStr">
        <is>
          <t>Proposed by Source assignment; target 1.3.2 Systems - Signalling &amp; Train Control</t>
        </is>
      </c>
      <c r="E724" s="23" t="inlineStr">
        <is>
          <t>None recorded</t>
        </is>
      </c>
      <c r="F724" s="23" t="inlineStr">
        <is>
          <t>No individual professional decision recorded; Source assignment -- not individually reviewed</t>
        </is>
      </c>
      <c r="G724" s="23" t="inlineStr">
        <is>
          <t>Not individually decided</t>
        </is>
      </c>
      <c r="H724" s="23" t="inlineStr">
        <is>
          <t xml:space="preserve">RETAINED / ONE_TO_ONE; </t>
        </is>
      </c>
      <c r="I724" s="23" t="inlineStr">
        <is>
          <t>Carried forward</t>
        </is>
      </c>
      <c r="J724" s="14" t="inlineStr">
        <is>
          <t>08 CROSSWALK</t>
        </is>
      </c>
    </row>
    <row r="725" ht="49" customHeight="1">
      <c r="A725" s="23" t="inlineStr">
        <is>
          <t>R384-v2</t>
        </is>
      </c>
      <c r="B725" s="23" t="inlineStr">
        <is>
          <t>Contractor Programme / SCH-03-024</t>
        </is>
      </c>
      <c r="C725" s="23" t="inlineStr">
        <is>
          <t>WBS Code = 1.3.2</t>
        </is>
      </c>
      <c r="D725" s="23" t="inlineStr">
        <is>
          <t>Proposed by Source assignment; target 1.3.2 Systems - Signalling &amp; Train Control</t>
        </is>
      </c>
      <c r="E725" s="23" t="inlineStr">
        <is>
          <t>None recorded</t>
        </is>
      </c>
      <c r="F725" s="23" t="inlineStr">
        <is>
          <t>No individual professional decision recorded; Source assignment -- not individually reviewed</t>
        </is>
      </c>
      <c r="G725" s="23" t="inlineStr">
        <is>
          <t>Not individually decided</t>
        </is>
      </c>
      <c r="H725" s="23" t="inlineStr">
        <is>
          <t xml:space="preserve">RETAINED / ONE_TO_ONE; </t>
        </is>
      </c>
      <c r="I725" s="23" t="inlineStr">
        <is>
          <t>Carried forward</t>
        </is>
      </c>
      <c r="J725" s="14" t="inlineStr">
        <is>
          <t>08 CROSSWALK</t>
        </is>
      </c>
    </row>
    <row r="726" ht="49" customHeight="1">
      <c r="A726" s="23" t="inlineStr">
        <is>
          <t>R387-v2</t>
        </is>
      </c>
      <c r="B726" s="23" t="inlineStr">
        <is>
          <t>Contractor Programme / SCH-03-027</t>
        </is>
      </c>
      <c r="C726" s="23" t="inlineStr">
        <is>
          <t>WBS Code = 1.3.2</t>
        </is>
      </c>
      <c r="D726" s="23" t="inlineStr">
        <is>
          <t>Proposed by Source assignment; target 1.3.2 Systems - Signalling &amp; Train Control</t>
        </is>
      </c>
      <c r="E726" s="23" t="inlineStr">
        <is>
          <t>None recorded</t>
        </is>
      </c>
      <c r="F726" s="23" t="inlineStr">
        <is>
          <t>No individual professional decision recorded; Source assignment -- not individually reviewed</t>
        </is>
      </c>
      <c r="G726" s="23" t="inlineStr">
        <is>
          <t>Not individually decided</t>
        </is>
      </c>
      <c r="H726" s="23" t="inlineStr">
        <is>
          <t xml:space="preserve">RETAINED / ONE_TO_ONE; </t>
        </is>
      </c>
      <c r="I726" s="23" t="inlineStr">
        <is>
          <t>Carried forward</t>
        </is>
      </c>
      <c r="J726" s="14" t="inlineStr">
        <is>
          <t>08 CROSSWALK</t>
        </is>
      </c>
    </row>
    <row r="727" ht="49" customHeight="1">
      <c r="A727" s="23" t="inlineStr">
        <is>
          <t>R390-v2</t>
        </is>
      </c>
      <c r="B727" s="23" t="inlineStr">
        <is>
          <t>Contractor Programme / SCH-03-030</t>
        </is>
      </c>
      <c r="C727" s="23" t="inlineStr">
        <is>
          <t>WBS Code = 1.3.2</t>
        </is>
      </c>
      <c r="D727" s="23" t="inlineStr">
        <is>
          <t>Proposed by Source assignment; target 1.3.2 Systems - Signalling &amp; Train Control</t>
        </is>
      </c>
      <c r="E727" s="23" t="inlineStr">
        <is>
          <t>None recorded</t>
        </is>
      </c>
      <c r="F727" s="23" t="inlineStr">
        <is>
          <t>No individual professional decision recorded; Source assignment -- not individually reviewed</t>
        </is>
      </c>
      <c r="G727" s="23" t="inlineStr">
        <is>
          <t>Not individually decided</t>
        </is>
      </c>
      <c r="H727" s="23" t="inlineStr">
        <is>
          <t xml:space="preserve">RETAINED / ONE_TO_ONE; </t>
        </is>
      </c>
      <c r="I727" s="23" t="inlineStr">
        <is>
          <t>Carried forward</t>
        </is>
      </c>
      <c r="J727" s="14" t="inlineStr">
        <is>
          <t>08 CROSSWALK</t>
        </is>
      </c>
    </row>
    <row r="728" ht="49" customHeight="1">
      <c r="A728" s="23" t="inlineStr">
        <is>
          <t>R393-v2</t>
        </is>
      </c>
      <c r="B728" s="23" t="inlineStr">
        <is>
          <t>Contractor Programme / SCH-03-033</t>
        </is>
      </c>
      <c r="C728" s="23" t="inlineStr">
        <is>
          <t>WBS Code = 1.3.2</t>
        </is>
      </c>
      <c r="D728" s="23" t="inlineStr">
        <is>
          <t>Proposed by Source assignment; target 1.3.2 Systems - Signalling &amp; Train Control</t>
        </is>
      </c>
      <c r="E728" s="23" t="inlineStr">
        <is>
          <t>None recorded</t>
        </is>
      </c>
      <c r="F728" s="23" t="inlineStr">
        <is>
          <t>No individual professional decision recorded; Source assignment -- not individually reviewed</t>
        </is>
      </c>
      <c r="G728" s="23" t="inlineStr">
        <is>
          <t>Not individually decided</t>
        </is>
      </c>
      <c r="H728" s="23" t="inlineStr">
        <is>
          <t xml:space="preserve">RETAINED / ONE_TO_ONE; </t>
        </is>
      </c>
      <c r="I728" s="23" t="inlineStr">
        <is>
          <t>Carried forward</t>
        </is>
      </c>
      <c r="J728" s="14" t="inlineStr">
        <is>
          <t>08 CROSSWALK</t>
        </is>
      </c>
    </row>
    <row r="729" ht="49" customHeight="1">
      <c r="A729" s="23" t="inlineStr">
        <is>
          <t>R396-v2</t>
        </is>
      </c>
      <c r="B729" s="23" t="inlineStr">
        <is>
          <t>Contractor Programme / SCH-03-036</t>
        </is>
      </c>
      <c r="C729" s="23" t="inlineStr">
        <is>
          <t>WBS Code = 1.3.2</t>
        </is>
      </c>
      <c r="D729" s="23" t="inlineStr">
        <is>
          <t>Proposed by Source assignment; target 1.3.2 Systems - Signalling &amp; Train Control</t>
        </is>
      </c>
      <c r="E729" s="23" t="inlineStr">
        <is>
          <t>None recorded</t>
        </is>
      </c>
      <c r="F729" s="23" t="inlineStr">
        <is>
          <t>No individual professional decision recorded; Source assignment -- not individually reviewed</t>
        </is>
      </c>
      <c r="G729" s="23" t="inlineStr">
        <is>
          <t>Not individually decided</t>
        </is>
      </c>
      <c r="H729" s="23" t="inlineStr">
        <is>
          <t xml:space="preserve">RETAINED / ONE_TO_ONE; </t>
        </is>
      </c>
      <c r="I729" s="23" t="inlineStr">
        <is>
          <t>Carried forward</t>
        </is>
      </c>
      <c r="J729" s="14" t="inlineStr">
        <is>
          <t>08 CROSSWALK</t>
        </is>
      </c>
    </row>
    <row r="730" ht="49" customHeight="1">
      <c r="A730" s="23" t="inlineStr">
        <is>
          <t>R399-v2</t>
        </is>
      </c>
      <c r="B730" s="23" t="inlineStr">
        <is>
          <t>Contractor Programme / SCH-03-039</t>
        </is>
      </c>
      <c r="C730" s="23" t="inlineStr">
        <is>
          <t>WBS Code = 1.3.2</t>
        </is>
      </c>
      <c r="D730" s="23" t="inlineStr">
        <is>
          <t>Proposed by Source assignment; target 1.3.2 Systems - Signalling &amp; Train Control</t>
        </is>
      </c>
      <c r="E730" s="23" t="inlineStr">
        <is>
          <t>None recorded</t>
        </is>
      </c>
      <c r="F730" s="23" t="inlineStr">
        <is>
          <t>No individual professional decision recorded; Source assignment -- not individually reviewed</t>
        </is>
      </c>
      <c r="G730" s="23" t="inlineStr">
        <is>
          <t>Not individually decided</t>
        </is>
      </c>
      <c r="H730" s="23" t="inlineStr">
        <is>
          <t xml:space="preserve">RETAINED / ONE_TO_ONE; </t>
        </is>
      </c>
      <c r="I730" s="23" t="inlineStr">
        <is>
          <t>Carried forward</t>
        </is>
      </c>
      <c r="J730" s="14" t="inlineStr">
        <is>
          <t>08 CROSSWALK</t>
        </is>
      </c>
    </row>
    <row r="731" ht="49" customHeight="1">
      <c r="A731" s="23" t="inlineStr">
        <is>
          <t>R402-v2</t>
        </is>
      </c>
      <c r="B731" s="23" t="inlineStr">
        <is>
          <t>Contractor Programme / SCH-03-042</t>
        </is>
      </c>
      <c r="C731" s="23" t="inlineStr">
        <is>
          <t>WBS Code = 1.3.2</t>
        </is>
      </c>
      <c r="D731" s="23" t="inlineStr">
        <is>
          <t>Proposed by Source assignment; target 1.3.2 Systems - Signalling &amp; Train Control</t>
        </is>
      </c>
      <c r="E731" s="23" t="inlineStr">
        <is>
          <t>None recorded</t>
        </is>
      </c>
      <c r="F731" s="23" t="inlineStr">
        <is>
          <t>No individual professional decision recorded; Source assignment -- not individually reviewed</t>
        </is>
      </c>
      <c r="G731" s="23" t="inlineStr">
        <is>
          <t>Not individually decided</t>
        </is>
      </c>
      <c r="H731" s="23" t="inlineStr">
        <is>
          <t xml:space="preserve">RETAINED / ONE_TO_ONE; </t>
        </is>
      </c>
      <c r="I731" s="23" t="inlineStr">
        <is>
          <t>Carried forward</t>
        </is>
      </c>
      <c r="J731" s="14" t="inlineStr">
        <is>
          <t>08 CROSSWALK</t>
        </is>
      </c>
    </row>
    <row r="732" ht="49" customHeight="1">
      <c r="A732" s="23" t="inlineStr">
        <is>
          <t>R405-v2</t>
        </is>
      </c>
      <c r="B732" s="23" t="inlineStr">
        <is>
          <t>Contractor Programme / SCH-03-045</t>
        </is>
      </c>
      <c r="C732" s="23" t="inlineStr">
        <is>
          <t>WBS Code = 1.3.2</t>
        </is>
      </c>
      <c r="D732" s="23" t="inlineStr">
        <is>
          <t>Proposed by Source assignment; target 1.3.2 Systems - Signalling &amp; Train Control</t>
        </is>
      </c>
      <c r="E732" s="23" t="inlineStr">
        <is>
          <t>None recorded</t>
        </is>
      </c>
      <c r="F732" s="23" t="inlineStr">
        <is>
          <t>No individual professional decision recorded; Source assignment -- not individually reviewed</t>
        </is>
      </c>
      <c r="G732" s="23" t="inlineStr">
        <is>
          <t>Not individually decided</t>
        </is>
      </c>
      <c r="H732" s="23" t="inlineStr">
        <is>
          <t xml:space="preserve">RETAINED / ONE_TO_ONE; </t>
        </is>
      </c>
      <c r="I732" s="23" t="inlineStr">
        <is>
          <t>Carried forward</t>
        </is>
      </c>
      <c r="J732" s="14" t="inlineStr">
        <is>
          <t>08 CROSSWALK</t>
        </is>
      </c>
    </row>
    <row r="733" ht="49" customHeight="1">
      <c r="A733" s="23" t="inlineStr">
        <is>
          <t>R408-v2</t>
        </is>
      </c>
      <c r="B733" s="23" t="inlineStr">
        <is>
          <t>Contractor Programme / SCH-03-048</t>
        </is>
      </c>
      <c r="C733" s="23" t="inlineStr">
        <is>
          <t>WBS Code = 1.3.2</t>
        </is>
      </c>
      <c r="D733" s="23" t="inlineStr">
        <is>
          <t>Proposed by Source assignment; target 1.3.2 Systems - Signalling &amp; Train Control</t>
        </is>
      </c>
      <c r="E733" s="23" t="inlineStr">
        <is>
          <t>None recorded</t>
        </is>
      </c>
      <c r="F733" s="23" t="inlineStr">
        <is>
          <t>No individual professional decision recorded; Source assignment -- not individually reviewed</t>
        </is>
      </c>
      <c r="G733" s="23" t="inlineStr">
        <is>
          <t>Not individually decided</t>
        </is>
      </c>
      <c r="H733" s="23" t="inlineStr">
        <is>
          <t xml:space="preserve">RETAINED / ONE_TO_ONE; </t>
        </is>
      </c>
      <c r="I733" s="23" t="inlineStr">
        <is>
          <t>Carried forward</t>
        </is>
      </c>
      <c r="J733" s="14" t="inlineStr">
        <is>
          <t>08 CROSSWALK</t>
        </is>
      </c>
    </row>
    <row r="734" ht="49" customHeight="1">
      <c r="A734" s="23" t="inlineStr">
        <is>
          <t>R411-v2</t>
        </is>
      </c>
      <c r="B734" s="23" t="inlineStr">
        <is>
          <t>Contractor Programme / SCH-03-051</t>
        </is>
      </c>
      <c r="C734" s="23" t="inlineStr">
        <is>
          <t>WBS Code = 1.3.2</t>
        </is>
      </c>
      <c r="D734" s="23" t="inlineStr">
        <is>
          <t>Proposed by Source assignment; target 1.3.2 Systems - Signalling &amp; Train Control</t>
        </is>
      </c>
      <c r="E734" s="23" t="inlineStr">
        <is>
          <t>None recorded</t>
        </is>
      </c>
      <c r="F734" s="23" t="inlineStr">
        <is>
          <t>No individual professional decision recorded; Source assignment -- not individually reviewed</t>
        </is>
      </c>
      <c r="G734" s="23" t="inlineStr">
        <is>
          <t>Not individually decided</t>
        </is>
      </c>
      <c r="H734" s="23" t="inlineStr">
        <is>
          <t xml:space="preserve">RETAINED / ONE_TO_ONE; </t>
        </is>
      </c>
      <c r="I734" s="23" t="inlineStr">
        <is>
          <t>Carried forward</t>
        </is>
      </c>
      <c r="J734" s="14" t="inlineStr">
        <is>
          <t>08 CROSSWALK</t>
        </is>
      </c>
    </row>
    <row r="735" ht="49" customHeight="1">
      <c r="A735" s="23" t="inlineStr">
        <is>
          <t>R414-v2</t>
        </is>
      </c>
      <c r="B735" s="23" t="inlineStr">
        <is>
          <t>Contractor Programme / SCH-03-054</t>
        </is>
      </c>
      <c r="C735" s="23" t="inlineStr">
        <is>
          <t>WBS Code = 1.3.2</t>
        </is>
      </c>
      <c r="D735" s="23" t="inlineStr">
        <is>
          <t>Proposed by Source assignment; target 1.3.2 Systems - Signalling &amp; Train Control</t>
        </is>
      </c>
      <c r="E735" s="23" t="inlineStr">
        <is>
          <t>None recorded</t>
        </is>
      </c>
      <c r="F735" s="23" t="inlineStr">
        <is>
          <t>No individual professional decision recorded; Source assignment -- not individually reviewed</t>
        </is>
      </c>
      <c r="G735" s="23" t="inlineStr">
        <is>
          <t>Not individually decided</t>
        </is>
      </c>
      <c r="H735" s="23" t="inlineStr">
        <is>
          <t xml:space="preserve">RETAINED / ONE_TO_ONE; </t>
        </is>
      </c>
      <c r="I735" s="23" t="inlineStr">
        <is>
          <t>Carried forward</t>
        </is>
      </c>
      <c r="J735" s="14" t="inlineStr">
        <is>
          <t>08 CROSSWALK</t>
        </is>
      </c>
    </row>
    <row r="736" ht="49" customHeight="1">
      <c r="A736" s="23" t="inlineStr">
        <is>
          <t>R417-v2</t>
        </is>
      </c>
      <c r="B736" s="23" t="inlineStr">
        <is>
          <t>Contractor Programme / SCH-03-057</t>
        </is>
      </c>
      <c r="C736" s="23" t="inlineStr">
        <is>
          <t>WBS Code = 1.3.2</t>
        </is>
      </c>
      <c r="D736" s="23" t="inlineStr">
        <is>
          <t>Proposed by Source assignment; target 1.3.2 Systems - Signalling &amp; Train Control</t>
        </is>
      </c>
      <c r="E736" s="23" t="inlineStr">
        <is>
          <t>None recorded</t>
        </is>
      </c>
      <c r="F736" s="23" t="inlineStr">
        <is>
          <t>No individual professional decision recorded; Source assignment -- not individually reviewed</t>
        </is>
      </c>
      <c r="G736" s="23" t="inlineStr">
        <is>
          <t>Not individually decided</t>
        </is>
      </c>
      <c r="H736" s="23" t="inlineStr">
        <is>
          <t xml:space="preserve">RETAINED / ONE_TO_ONE; </t>
        </is>
      </c>
      <c r="I736" s="23" t="inlineStr">
        <is>
          <t>Carried forward</t>
        </is>
      </c>
      <c r="J736" s="14" t="inlineStr">
        <is>
          <t>08 CROSSWALK</t>
        </is>
      </c>
    </row>
    <row r="737" ht="49" customHeight="1">
      <c r="A737" s="23" t="inlineStr">
        <is>
          <t>R420-v2</t>
        </is>
      </c>
      <c r="B737" s="23" t="inlineStr">
        <is>
          <t>Contractor Programme / SCH-03-060</t>
        </is>
      </c>
      <c r="C737" s="23" t="inlineStr">
        <is>
          <t>WBS Code = 1.3.2</t>
        </is>
      </c>
      <c r="D737" s="23" t="inlineStr">
        <is>
          <t>Proposed by Source assignment; target 1.3.2 Systems - Signalling &amp; Train Control</t>
        </is>
      </c>
      <c r="E737" s="23" t="inlineStr">
        <is>
          <t>None recorded</t>
        </is>
      </c>
      <c r="F737" s="23" t="inlineStr">
        <is>
          <t>No individual professional decision recorded; Source assignment -- not individually reviewed</t>
        </is>
      </c>
      <c r="G737" s="23" t="inlineStr">
        <is>
          <t>Not individually decided</t>
        </is>
      </c>
      <c r="H737" s="23" t="inlineStr">
        <is>
          <t xml:space="preserve">RETAINED / ONE_TO_ONE; </t>
        </is>
      </c>
      <c r="I737" s="23" t="inlineStr">
        <is>
          <t>Carried forward</t>
        </is>
      </c>
      <c r="J737" s="14" t="inlineStr">
        <is>
          <t>08 CROSSWALK</t>
        </is>
      </c>
    </row>
    <row r="738" ht="49" customHeight="1">
      <c r="A738" s="23" t="inlineStr">
        <is>
          <t>R423-v2</t>
        </is>
      </c>
      <c r="B738" s="23" t="inlineStr">
        <is>
          <t>Contractor Programme / SCH-03-063</t>
        </is>
      </c>
      <c r="C738" s="23" t="inlineStr">
        <is>
          <t>WBS Code = 1.3.2</t>
        </is>
      </c>
      <c r="D738" s="23" t="inlineStr">
        <is>
          <t>Proposed by Source assignment; target 1.3.2 Systems - Signalling &amp; Train Control</t>
        </is>
      </c>
      <c r="E738" s="23" t="inlineStr">
        <is>
          <t>None recorded</t>
        </is>
      </c>
      <c r="F738" s="23" t="inlineStr">
        <is>
          <t>No individual professional decision recorded; Source assignment -- not individually reviewed</t>
        </is>
      </c>
      <c r="G738" s="23" t="inlineStr">
        <is>
          <t>Not individually decided</t>
        </is>
      </c>
      <c r="H738" s="23" t="inlineStr">
        <is>
          <t xml:space="preserve">RETAINED / ONE_TO_ONE; </t>
        </is>
      </c>
      <c r="I738" s="23" t="inlineStr">
        <is>
          <t>Carried forward</t>
        </is>
      </c>
      <c r="J738" s="14" t="inlineStr">
        <is>
          <t>08 CROSSWALK</t>
        </is>
      </c>
    </row>
    <row r="739" ht="49" customHeight="1">
      <c r="A739" s="23" t="inlineStr">
        <is>
          <t>R426-v2</t>
        </is>
      </c>
      <c r="B739" s="23" t="inlineStr">
        <is>
          <t>Contractor Programme / SCH-03-066</t>
        </is>
      </c>
      <c r="C739" s="23" t="inlineStr">
        <is>
          <t>WBS Code = 1.3.2</t>
        </is>
      </c>
      <c r="D739" s="23" t="inlineStr">
        <is>
          <t>Proposed by Source assignment; target 1.3.2 Systems - Signalling &amp; Train Control</t>
        </is>
      </c>
      <c r="E739" s="23" t="inlineStr">
        <is>
          <t>None recorded</t>
        </is>
      </c>
      <c r="F739" s="23" t="inlineStr">
        <is>
          <t>No individual professional decision recorded; Source assignment -- not individually reviewed</t>
        </is>
      </c>
      <c r="G739" s="23" t="inlineStr">
        <is>
          <t>Not individually decided</t>
        </is>
      </c>
      <c r="H739" s="23" t="inlineStr">
        <is>
          <t xml:space="preserve">RETAINED / ONE_TO_ONE; </t>
        </is>
      </c>
      <c r="I739" s="23" t="inlineStr">
        <is>
          <t>Carried forward</t>
        </is>
      </c>
      <c r="J739" s="14" t="inlineStr">
        <is>
          <t>08 CROSSWALK</t>
        </is>
      </c>
    </row>
    <row r="740" ht="49" customHeight="1">
      <c r="A740" s="23" t="inlineStr">
        <is>
          <t>R429-v2</t>
        </is>
      </c>
      <c r="B740" s="23" t="inlineStr">
        <is>
          <t>Contractor Programme / SCH-03-069</t>
        </is>
      </c>
      <c r="C740" s="23" t="inlineStr">
        <is>
          <t>WBS Code = 1.3.2</t>
        </is>
      </c>
      <c r="D740" s="23" t="inlineStr">
        <is>
          <t>Proposed by Source assignment; target 1.3.2 Systems - Signalling &amp; Train Control</t>
        </is>
      </c>
      <c r="E740" s="23" t="inlineStr">
        <is>
          <t>None recorded</t>
        </is>
      </c>
      <c r="F740" s="23" t="inlineStr">
        <is>
          <t>No individual professional decision recorded; Source assignment -- not individually reviewed</t>
        </is>
      </c>
      <c r="G740" s="23" t="inlineStr">
        <is>
          <t>Not individually decided</t>
        </is>
      </c>
      <c r="H740" s="23" t="inlineStr">
        <is>
          <t xml:space="preserve">RETAINED / ONE_TO_ONE; </t>
        </is>
      </c>
      <c r="I740" s="23" t="inlineStr">
        <is>
          <t>Carried forward</t>
        </is>
      </c>
      <c r="J740" s="14" t="inlineStr">
        <is>
          <t>08 CROSSWALK</t>
        </is>
      </c>
    </row>
    <row r="741" ht="49" customHeight="1">
      <c r="A741" s="23" t="inlineStr">
        <is>
          <t>R432-v2</t>
        </is>
      </c>
      <c r="B741" s="23" t="inlineStr">
        <is>
          <t>Contractor Programme / SCH-03-072</t>
        </is>
      </c>
      <c r="C741" s="23" t="inlineStr">
        <is>
          <t>WBS Code = 1.3.2</t>
        </is>
      </c>
      <c r="D741" s="23" t="inlineStr">
        <is>
          <t>Proposed by Source assignment; target 1.3.2 Systems - Signalling &amp; Train Control</t>
        </is>
      </c>
      <c r="E741" s="23" t="inlineStr">
        <is>
          <t>None recorded</t>
        </is>
      </c>
      <c r="F741" s="23" t="inlineStr">
        <is>
          <t>No individual professional decision recorded; Source assignment -- not individually reviewed</t>
        </is>
      </c>
      <c r="G741" s="23" t="inlineStr">
        <is>
          <t>Not individually decided</t>
        </is>
      </c>
      <c r="H741" s="23" t="inlineStr">
        <is>
          <t xml:space="preserve">RETAINED / ONE_TO_ONE; </t>
        </is>
      </c>
      <c r="I741" s="23" t="inlineStr">
        <is>
          <t>Carried forward</t>
        </is>
      </c>
      <c r="J741" s="14" t="inlineStr">
        <is>
          <t>08 CROSSWALK</t>
        </is>
      </c>
    </row>
    <row r="742" ht="49" customHeight="1">
      <c r="A742" s="23" t="inlineStr">
        <is>
          <t>R435-v2</t>
        </is>
      </c>
      <c r="B742" s="23" t="inlineStr">
        <is>
          <t>Contractor Programme / SCH-03-075</t>
        </is>
      </c>
      <c r="C742" s="23" t="inlineStr">
        <is>
          <t>WBS Code = 1.3.2</t>
        </is>
      </c>
      <c r="D742" s="23" t="inlineStr">
        <is>
          <t>Proposed by Source assignment; target 1.3.2 Systems - Signalling &amp; Train Control</t>
        </is>
      </c>
      <c r="E742" s="23" t="inlineStr">
        <is>
          <t>None recorded</t>
        </is>
      </c>
      <c r="F742" s="23" t="inlineStr">
        <is>
          <t>No individual professional decision recorded; Source assignment -- not individually reviewed</t>
        </is>
      </c>
      <c r="G742" s="23" t="inlineStr">
        <is>
          <t>Not individually decided</t>
        </is>
      </c>
      <c r="H742" s="23" t="inlineStr">
        <is>
          <t xml:space="preserve">RETAINED / ONE_TO_ONE; </t>
        </is>
      </c>
      <c r="I742" s="23" t="inlineStr">
        <is>
          <t>Carried forward</t>
        </is>
      </c>
      <c r="J742" s="14" t="inlineStr">
        <is>
          <t>08 CROSSWALK</t>
        </is>
      </c>
    </row>
    <row r="743" ht="49" customHeight="1">
      <c r="A743" s="23" t="inlineStr">
        <is>
          <t>R438-v2</t>
        </is>
      </c>
      <c r="B743" s="23" t="inlineStr">
        <is>
          <t>Contractor Programme / SCH-03-078</t>
        </is>
      </c>
      <c r="C743" s="23" t="inlineStr">
        <is>
          <t>WBS Code = 1.3.2</t>
        </is>
      </c>
      <c r="D743" s="23" t="inlineStr">
        <is>
          <t>Proposed by Source assignment; target 1.3.2 Systems - Signalling &amp; Train Control</t>
        </is>
      </c>
      <c r="E743" s="23" t="inlineStr">
        <is>
          <t>None recorded</t>
        </is>
      </c>
      <c r="F743" s="23" t="inlineStr">
        <is>
          <t>No individual professional decision recorded; Source assignment -- not individually reviewed</t>
        </is>
      </c>
      <c r="G743" s="23" t="inlineStr">
        <is>
          <t>Not individually decided</t>
        </is>
      </c>
      <c r="H743" s="23" t="inlineStr">
        <is>
          <t xml:space="preserve">RETAINED / ONE_TO_ONE; </t>
        </is>
      </c>
      <c r="I743" s="23" t="inlineStr">
        <is>
          <t>Carried forward</t>
        </is>
      </c>
      <c r="J743" s="14" t="inlineStr">
        <is>
          <t>08 CROSSWALK</t>
        </is>
      </c>
    </row>
    <row r="744" ht="49" customHeight="1">
      <c r="A744" s="23" t="inlineStr">
        <is>
          <t>R441-v2</t>
        </is>
      </c>
      <c r="B744" s="23" t="inlineStr">
        <is>
          <t>Contractor Programme / SCH-03-081</t>
        </is>
      </c>
      <c r="C744" s="23" t="inlineStr">
        <is>
          <t>WBS Code = 1.3.2</t>
        </is>
      </c>
      <c r="D744" s="23" t="inlineStr">
        <is>
          <t>Proposed by Source assignment; target 1.3.2 Systems - Signalling &amp; Train Control</t>
        </is>
      </c>
      <c r="E744" s="23" t="inlineStr">
        <is>
          <t>None recorded</t>
        </is>
      </c>
      <c r="F744" s="23" t="inlineStr">
        <is>
          <t>No individual professional decision recorded; Source assignment -- not individually reviewed</t>
        </is>
      </c>
      <c r="G744" s="23" t="inlineStr">
        <is>
          <t>Not individually decided</t>
        </is>
      </c>
      <c r="H744" s="23" t="inlineStr">
        <is>
          <t xml:space="preserve">RETAINED / ONE_TO_ONE; </t>
        </is>
      </c>
      <c r="I744" s="23" t="inlineStr">
        <is>
          <t>Carried forward</t>
        </is>
      </c>
      <c r="J744" s="14" t="inlineStr">
        <is>
          <t>08 CROSSWALK</t>
        </is>
      </c>
    </row>
    <row r="745" ht="49" customHeight="1">
      <c r="A745" s="23" t="inlineStr">
        <is>
          <t>R444-v2</t>
        </is>
      </c>
      <c r="B745" s="23" t="inlineStr">
        <is>
          <t>Contractor Programme / SCH-03-084</t>
        </is>
      </c>
      <c r="C745" s="23" t="inlineStr">
        <is>
          <t>WBS Code = 1.3.2</t>
        </is>
      </c>
      <c r="D745" s="23" t="inlineStr">
        <is>
          <t>Proposed by Source assignment; target 1.3.2 Systems - Signalling &amp; Train Control</t>
        </is>
      </c>
      <c r="E745" s="23" t="inlineStr">
        <is>
          <t>None recorded</t>
        </is>
      </c>
      <c r="F745" s="23" t="inlineStr">
        <is>
          <t>No individual professional decision recorded; Source assignment -- not individually reviewed</t>
        </is>
      </c>
      <c r="G745" s="23" t="inlineStr">
        <is>
          <t>Not individually decided</t>
        </is>
      </c>
      <c r="H745" s="23" t="inlineStr">
        <is>
          <t xml:space="preserve">RETAINED / ONE_TO_ONE; </t>
        </is>
      </c>
      <c r="I745" s="23" t="inlineStr">
        <is>
          <t>Carried forward</t>
        </is>
      </c>
      <c r="J745" s="14" t="inlineStr">
        <is>
          <t>08 CROSSWALK</t>
        </is>
      </c>
    </row>
    <row r="746" ht="49" customHeight="1">
      <c r="A746" s="23" t="inlineStr">
        <is>
          <t>R447-v2</t>
        </is>
      </c>
      <c r="B746" s="23" t="inlineStr">
        <is>
          <t>Contractor Programme / SCH-03-087</t>
        </is>
      </c>
      <c r="C746" s="23" t="inlineStr">
        <is>
          <t>WBS Code = 1.3.2</t>
        </is>
      </c>
      <c r="D746" s="23" t="inlineStr">
        <is>
          <t>Proposed by Source assignment; target 1.3.2 Systems - Signalling &amp; Train Control</t>
        </is>
      </c>
      <c r="E746" s="23" t="inlineStr">
        <is>
          <t>None recorded</t>
        </is>
      </c>
      <c r="F746" s="23" t="inlineStr">
        <is>
          <t>No individual professional decision recorded; Source assignment -- not individually reviewed</t>
        </is>
      </c>
      <c r="G746" s="23" t="inlineStr">
        <is>
          <t>Not individually decided</t>
        </is>
      </c>
      <c r="H746" s="23" t="inlineStr">
        <is>
          <t xml:space="preserve">RETAINED / ONE_TO_ONE; </t>
        </is>
      </c>
      <c r="I746" s="23" t="inlineStr">
        <is>
          <t>Carried forward</t>
        </is>
      </c>
      <c r="J746" s="14" t="inlineStr">
        <is>
          <t>08 CROSSWALK</t>
        </is>
      </c>
    </row>
    <row r="747" ht="49" customHeight="1">
      <c r="A747" s="23" t="inlineStr">
        <is>
          <t>R450-v2</t>
        </is>
      </c>
      <c r="B747" s="23" t="inlineStr">
        <is>
          <t>Contractor Programme / SCH-03-090</t>
        </is>
      </c>
      <c r="C747" s="23" t="inlineStr">
        <is>
          <t>WBS Code = 1.3.2</t>
        </is>
      </c>
      <c r="D747" s="23" t="inlineStr">
        <is>
          <t>Proposed by Source assignment; target 1.3.2 Systems - Signalling &amp; Train Control</t>
        </is>
      </c>
      <c r="E747" s="23" t="inlineStr">
        <is>
          <t>None recorded</t>
        </is>
      </c>
      <c r="F747" s="23" t="inlineStr">
        <is>
          <t>No individual professional decision recorded; Source assignment -- not individually reviewed</t>
        </is>
      </c>
      <c r="G747" s="23" t="inlineStr">
        <is>
          <t>Not individually decided</t>
        </is>
      </c>
      <c r="H747" s="23" t="inlineStr">
        <is>
          <t xml:space="preserve">RETAINED / ONE_TO_ONE; </t>
        </is>
      </c>
      <c r="I747" s="23" t="inlineStr">
        <is>
          <t>Carried forward</t>
        </is>
      </c>
      <c r="J747" s="14" t="inlineStr">
        <is>
          <t>08 CROSSWALK</t>
        </is>
      </c>
    </row>
    <row r="748" ht="49" customHeight="1">
      <c r="A748" s="23" t="inlineStr">
        <is>
          <t>R453-v2</t>
        </is>
      </c>
      <c r="B748" s="23" t="inlineStr">
        <is>
          <t>Contractor Programme / SCH-03-093</t>
        </is>
      </c>
      <c r="C748" s="23" t="inlineStr">
        <is>
          <t>WBS Code = 1.3.2</t>
        </is>
      </c>
      <c r="D748" s="23" t="inlineStr">
        <is>
          <t>Proposed by Source assignment; target 1.3.2 Systems - Signalling &amp; Train Control</t>
        </is>
      </c>
      <c r="E748" s="23" t="inlineStr">
        <is>
          <t>None recorded</t>
        </is>
      </c>
      <c r="F748" s="23" t="inlineStr">
        <is>
          <t>No individual professional decision recorded; Source assignment -- not individually reviewed</t>
        </is>
      </c>
      <c r="G748" s="23" t="inlineStr">
        <is>
          <t>Not individually decided</t>
        </is>
      </c>
      <c r="H748" s="23" t="inlineStr">
        <is>
          <t xml:space="preserve">RETAINED / ONE_TO_ONE; </t>
        </is>
      </c>
      <c r="I748" s="23" t="inlineStr">
        <is>
          <t>Carried forward</t>
        </is>
      </c>
      <c r="J748" s="14" t="inlineStr">
        <is>
          <t>08 CROSSWALK</t>
        </is>
      </c>
    </row>
    <row r="749" ht="49" customHeight="1">
      <c r="A749" s="23" t="inlineStr">
        <is>
          <t>R456-v2</t>
        </is>
      </c>
      <c r="B749" s="23" t="inlineStr">
        <is>
          <t>Contractor Programme / SCH-03-096</t>
        </is>
      </c>
      <c r="C749" s="23" t="inlineStr">
        <is>
          <t>WBS Code = 1.3.2</t>
        </is>
      </c>
      <c r="D749" s="23" t="inlineStr">
        <is>
          <t>Proposed by Source assignment; target 1.3.2 Systems - Signalling &amp; Train Control</t>
        </is>
      </c>
      <c r="E749" s="23" t="inlineStr">
        <is>
          <t>None recorded</t>
        </is>
      </c>
      <c r="F749" s="23" t="inlineStr">
        <is>
          <t>No individual professional decision recorded; Source assignment -- not individually reviewed</t>
        </is>
      </c>
      <c r="G749" s="23" t="inlineStr">
        <is>
          <t>Not individually decided</t>
        </is>
      </c>
      <c r="H749" s="23" t="inlineStr">
        <is>
          <t xml:space="preserve">RETAINED / ONE_TO_ONE; </t>
        </is>
      </c>
      <c r="I749" s="23" t="inlineStr">
        <is>
          <t>Carried forward</t>
        </is>
      </c>
      <c r="J749" s="14" t="inlineStr">
        <is>
          <t>08 CROSSWALK</t>
        </is>
      </c>
    </row>
    <row r="750" ht="49" customHeight="1">
      <c r="A750" s="23" t="inlineStr">
        <is>
          <t>R459-v2</t>
        </is>
      </c>
      <c r="B750" s="23" t="inlineStr">
        <is>
          <t>Contractor Programme / SCH-03-099</t>
        </is>
      </c>
      <c r="C750" s="23" t="inlineStr">
        <is>
          <t>WBS Code = 1.3.2</t>
        </is>
      </c>
      <c r="D750" s="23" t="inlineStr">
        <is>
          <t>Proposed by Source assignment; target 1.3.2 Systems - Signalling &amp; Train Control</t>
        </is>
      </c>
      <c r="E750" s="23" t="inlineStr">
        <is>
          <t>None recorded</t>
        </is>
      </c>
      <c r="F750" s="23" t="inlineStr">
        <is>
          <t>No individual professional decision recorded; Source assignment -- not individually reviewed</t>
        </is>
      </c>
      <c r="G750" s="23" t="inlineStr">
        <is>
          <t>Not individually decided</t>
        </is>
      </c>
      <c r="H750" s="23" t="inlineStr">
        <is>
          <t xml:space="preserve">RETAINED / ONE_TO_ONE; </t>
        </is>
      </c>
      <c r="I750" s="23" t="inlineStr">
        <is>
          <t>Carried forward</t>
        </is>
      </c>
      <c r="J750" s="14" t="inlineStr">
        <is>
          <t>08 CROSSWALK</t>
        </is>
      </c>
    </row>
    <row r="751" ht="49" customHeight="1">
      <c r="A751" s="23" t="inlineStr">
        <is>
          <t>R462-v2</t>
        </is>
      </c>
      <c r="B751" s="23" t="inlineStr">
        <is>
          <t>Contractor Programme / SCH-03-102</t>
        </is>
      </c>
      <c r="C751" s="23" t="inlineStr">
        <is>
          <t>WBS Code = 1.3.2</t>
        </is>
      </c>
      <c r="D751" s="23" t="inlineStr">
        <is>
          <t>Proposed by Source assignment; target 1.3.2 Systems - Signalling &amp; Train Control</t>
        </is>
      </c>
      <c r="E751" s="23" t="inlineStr">
        <is>
          <t>None recorded</t>
        </is>
      </c>
      <c r="F751" s="23" t="inlineStr">
        <is>
          <t>No individual professional decision recorded; Source assignment -- not individually reviewed</t>
        </is>
      </c>
      <c r="G751" s="23" t="inlineStr">
        <is>
          <t>Not individually decided</t>
        </is>
      </c>
      <c r="H751" s="23" t="inlineStr">
        <is>
          <t xml:space="preserve">RETAINED / ONE_TO_ONE; </t>
        </is>
      </c>
      <c r="I751" s="23" t="inlineStr">
        <is>
          <t>Carried forward</t>
        </is>
      </c>
      <c r="J751" s="14" t="inlineStr">
        <is>
          <t>08 CROSSWALK</t>
        </is>
      </c>
    </row>
    <row r="752" ht="49" customHeight="1">
      <c r="A752" s="23" t="inlineStr">
        <is>
          <t>R465-v2</t>
        </is>
      </c>
      <c r="B752" s="23" t="inlineStr">
        <is>
          <t>Contractor Programme / SCH-03-105</t>
        </is>
      </c>
      <c r="C752" s="23" t="inlineStr">
        <is>
          <t>WBS Code = 1.3.2</t>
        </is>
      </c>
      <c r="D752" s="23" t="inlineStr">
        <is>
          <t>Proposed by Source assignment; target 1.3.2 Systems - Signalling &amp; Train Control</t>
        </is>
      </c>
      <c r="E752" s="23" t="inlineStr">
        <is>
          <t>None recorded</t>
        </is>
      </c>
      <c r="F752" s="23" t="inlineStr">
        <is>
          <t>No individual professional decision recorded; Source assignment -- not individually reviewed</t>
        </is>
      </c>
      <c r="G752" s="23" t="inlineStr">
        <is>
          <t>Not individually decided</t>
        </is>
      </c>
      <c r="H752" s="23" t="inlineStr">
        <is>
          <t xml:space="preserve">RETAINED / ONE_TO_ONE; </t>
        </is>
      </c>
      <c r="I752" s="23" t="inlineStr">
        <is>
          <t>Carried forward</t>
        </is>
      </c>
      <c r="J752" s="14" t="inlineStr">
        <is>
          <t>08 CROSSWALK</t>
        </is>
      </c>
    </row>
    <row r="753" ht="49" customHeight="1">
      <c r="A753" s="23" t="inlineStr">
        <is>
          <t>R468-v2</t>
        </is>
      </c>
      <c r="B753" s="23" t="inlineStr">
        <is>
          <t>Contractor Programme / SCH-03-108</t>
        </is>
      </c>
      <c r="C753" s="23" t="inlineStr">
        <is>
          <t>WBS Code = 1.3.2</t>
        </is>
      </c>
      <c r="D753" s="23" t="inlineStr">
        <is>
          <t>Proposed by Source assignment; target 1.3.2 Systems - Signalling &amp; Train Control</t>
        </is>
      </c>
      <c r="E753" s="23" t="inlineStr">
        <is>
          <t>None recorded</t>
        </is>
      </c>
      <c r="F753" s="23" t="inlineStr">
        <is>
          <t>No individual professional decision recorded; Source assignment -- not individually reviewed</t>
        </is>
      </c>
      <c r="G753" s="23" t="inlineStr">
        <is>
          <t>Not individually decided</t>
        </is>
      </c>
      <c r="H753" s="23" t="inlineStr">
        <is>
          <t xml:space="preserve">RETAINED / ONE_TO_ONE; </t>
        </is>
      </c>
      <c r="I753" s="23" t="inlineStr">
        <is>
          <t>Carried forward</t>
        </is>
      </c>
      <c r="J753" s="14" t="inlineStr">
        <is>
          <t>08 CROSSWALK</t>
        </is>
      </c>
    </row>
    <row r="754" ht="49" customHeight="1">
      <c r="A754" s="23" t="inlineStr">
        <is>
          <t>R471-v2</t>
        </is>
      </c>
      <c r="B754" s="23" t="inlineStr">
        <is>
          <t>Contractor Programme / SCH-03-111</t>
        </is>
      </c>
      <c r="C754" s="23" t="inlineStr">
        <is>
          <t>WBS Code = 1.3.2</t>
        </is>
      </c>
      <c r="D754" s="23" t="inlineStr">
        <is>
          <t>Proposed by Source assignment; target 1.3.2 Systems - Signalling &amp; Train Control</t>
        </is>
      </c>
      <c r="E754" s="23" t="inlineStr">
        <is>
          <t>None recorded</t>
        </is>
      </c>
      <c r="F754" s="23" t="inlineStr">
        <is>
          <t>No individual professional decision recorded; Source assignment -- not individually reviewed</t>
        </is>
      </c>
      <c r="G754" s="23" t="inlineStr">
        <is>
          <t>Not individually decided</t>
        </is>
      </c>
      <c r="H754" s="23" t="inlineStr">
        <is>
          <t xml:space="preserve">RETAINED / ONE_TO_ONE; </t>
        </is>
      </c>
      <c r="I754" s="23" t="inlineStr">
        <is>
          <t>Carried forward</t>
        </is>
      </c>
      <c r="J754" s="14" t="inlineStr">
        <is>
          <t>08 CROSSWALK</t>
        </is>
      </c>
    </row>
    <row r="755" ht="49" customHeight="1">
      <c r="A755" s="23" t="inlineStr">
        <is>
          <t>R474-v2</t>
        </is>
      </c>
      <c r="B755" s="23" t="inlineStr">
        <is>
          <t>Contractor Programme / SCH-03-114</t>
        </is>
      </c>
      <c r="C755" s="23" t="inlineStr">
        <is>
          <t>WBS Code = 1.3.2</t>
        </is>
      </c>
      <c r="D755" s="23" t="inlineStr">
        <is>
          <t>Proposed by Source assignment; target 1.3.2 Systems - Signalling &amp; Train Control</t>
        </is>
      </c>
      <c r="E755" s="23" t="inlineStr">
        <is>
          <t>None recorded</t>
        </is>
      </c>
      <c r="F755" s="23" t="inlineStr">
        <is>
          <t>No individual professional decision recorded; Source assignment -- not individually reviewed</t>
        </is>
      </c>
      <c r="G755" s="23" t="inlineStr">
        <is>
          <t>Not individually decided</t>
        </is>
      </c>
      <c r="H755" s="23" t="inlineStr">
        <is>
          <t xml:space="preserve">RETAINED / ONE_TO_ONE; </t>
        </is>
      </c>
      <c r="I755" s="23" t="inlineStr">
        <is>
          <t>Carried forward</t>
        </is>
      </c>
      <c r="J755" s="14" t="inlineStr">
        <is>
          <t>08 CROSSWALK</t>
        </is>
      </c>
    </row>
    <row r="756" ht="49" customHeight="1">
      <c r="A756" s="23" t="inlineStr">
        <is>
          <t>R477-v2</t>
        </is>
      </c>
      <c r="B756" s="23" t="inlineStr">
        <is>
          <t>Contractor Programme / SCH-03-117</t>
        </is>
      </c>
      <c r="C756" s="23" t="inlineStr">
        <is>
          <t>WBS Code = 1.3.2</t>
        </is>
      </c>
      <c r="D756" s="23" t="inlineStr">
        <is>
          <t>Proposed by Source assignment; target 1.3.2 Systems - Signalling &amp; Train Control</t>
        </is>
      </c>
      <c r="E756" s="23" t="inlineStr">
        <is>
          <t>None recorded</t>
        </is>
      </c>
      <c r="F756" s="23" t="inlineStr">
        <is>
          <t>No individual professional decision recorded; Source assignment -- not individually reviewed</t>
        </is>
      </c>
      <c r="G756" s="23" t="inlineStr">
        <is>
          <t>Not individually decided</t>
        </is>
      </c>
      <c r="H756" s="23" t="inlineStr">
        <is>
          <t xml:space="preserve">RETAINED / ONE_TO_ONE; </t>
        </is>
      </c>
      <c r="I756" s="23" t="inlineStr">
        <is>
          <t>Carried forward</t>
        </is>
      </c>
      <c r="J756" s="14" t="inlineStr">
        <is>
          <t>08 CROSSWALK</t>
        </is>
      </c>
    </row>
    <row r="757" ht="49" customHeight="1">
      <c r="A757" s="23" t="inlineStr">
        <is>
          <t>R480-v2</t>
        </is>
      </c>
      <c r="B757" s="23" t="inlineStr">
        <is>
          <t>Contractor Programme / SCH-03-120</t>
        </is>
      </c>
      <c r="C757" s="23" t="inlineStr">
        <is>
          <t>WBS Code = 1.3.2</t>
        </is>
      </c>
      <c r="D757" s="23" t="inlineStr">
        <is>
          <t>Proposed by Source assignment; target 1.3.2 Systems - Signalling &amp; Train Control</t>
        </is>
      </c>
      <c r="E757" s="23" t="inlineStr">
        <is>
          <t>None recorded</t>
        </is>
      </c>
      <c r="F757" s="23" t="inlineStr">
        <is>
          <t>No individual professional decision recorded; Source assignment -- not individually reviewed</t>
        </is>
      </c>
      <c r="G757" s="23" t="inlineStr">
        <is>
          <t>Not individually decided</t>
        </is>
      </c>
      <c r="H757" s="23" t="inlineStr">
        <is>
          <t xml:space="preserve">RETAINED / ONE_TO_ONE; </t>
        </is>
      </c>
      <c r="I757" s="23" t="inlineStr">
        <is>
          <t>Carried forward</t>
        </is>
      </c>
      <c r="J757" s="14" t="inlineStr">
        <is>
          <t>08 CROSSWALK</t>
        </is>
      </c>
    </row>
    <row r="758" ht="49" customHeight="1">
      <c r="A758" s="23" t="inlineStr">
        <is>
          <t>R483-v2</t>
        </is>
      </c>
      <c r="B758" s="23" t="inlineStr">
        <is>
          <t>Contractor Programme / SCH-03-123</t>
        </is>
      </c>
      <c r="C758" s="23" t="inlineStr">
        <is>
          <t>WBS Code = 1.3.2</t>
        </is>
      </c>
      <c r="D758" s="23" t="inlineStr">
        <is>
          <t>Proposed by Source assignment; target 1.3.2 Systems - Signalling &amp; Train Control</t>
        </is>
      </c>
      <c r="E758" s="23" t="inlineStr">
        <is>
          <t>None recorded</t>
        </is>
      </c>
      <c r="F758" s="23" t="inlineStr">
        <is>
          <t>No individual professional decision recorded; Source assignment -- not individually reviewed</t>
        </is>
      </c>
      <c r="G758" s="23" t="inlineStr">
        <is>
          <t>Not individually decided</t>
        </is>
      </c>
      <c r="H758" s="23" t="inlineStr">
        <is>
          <t xml:space="preserve">RETAINED / ONE_TO_ONE; </t>
        </is>
      </c>
      <c r="I758" s="23" t="inlineStr">
        <is>
          <t>Carried forward</t>
        </is>
      </c>
      <c r="J758" s="14" t="inlineStr">
        <is>
          <t>08 CROSSWALK</t>
        </is>
      </c>
    </row>
    <row r="759" ht="49" customHeight="1">
      <c r="A759" s="23" t="inlineStr">
        <is>
          <t>R486-v2</t>
        </is>
      </c>
      <c r="B759" s="23" t="inlineStr">
        <is>
          <t>Contractor Programme / SCH-03-126</t>
        </is>
      </c>
      <c r="C759" s="23" t="inlineStr">
        <is>
          <t>WBS Code = 1.3.2</t>
        </is>
      </c>
      <c r="D759" s="23" t="inlineStr">
        <is>
          <t>Proposed by Source assignment; target 1.3.2 Systems - Signalling &amp; Train Control</t>
        </is>
      </c>
      <c r="E759" s="23" t="inlineStr">
        <is>
          <t>None recorded</t>
        </is>
      </c>
      <c r="F759" s="23" t="inlineStr">
        <is>
          <t>No individual professional decision recorded; Source assignment -- not individually reviewed</t>
        </is>
      </c>
      <c r="G759" s="23" t="inlineStr">
        <is>
          <t>Not individually decided</t>
        </is>
      </c>
      <c r="H759" s="23" t="inlineStr">
        <is>
          <t xml:space="preserve">RETAINED / ONE_TO_ONE; </t>
        </is>
      </c>
      <c r="I759" s="23" t="inlineStr">
        <is>
          <t>Carried forward</t>
        </is>
      </c>
      <c r="J759" s="14" t="inlineStr">
        <is>
          <t>08 CROSSWALK</t>
        </is>
      </c>
    </row>
    <row r="760" ht="49" customHeight="1">
      <c r="A760" s="23" t="inlineStr">
        <is>
          <t>R489-v2</t>
        </is>
      </c>
      <c r="B760" s="23" t="inlineStr">
        <is>
          <t>Contractor Programme / SCH-03-129</t>
        </is>
      </c>
      <c r="C760" s="23" t="inlineStr">
        <is>
          <t>WBS Code = 1.3.2</t>
        </is>
      </c>
      <c r="D760" s="23" t="inlineStr">
        <is>
          <t>Proposed by Source assignment; target 1.3.2 Systems - Signalling &amp; Train Control</t>
        </is>
      </c>
      <c r="E760" s="23" t="inlineStr">
        <is>
          <t>None recorded</t>
        </is>
      </c>
      <c r="F760" s="23" t="inlineStr">
        <is>
          <t>No individual professional decision recorded; Source assignment -- not individually reviewed</t>
        </is>
      </c>
      <c r="G760" s="23" t="inlineStr">
        <is>
          <t>Not individually decided</t>
        </is>
      </c>
      <c r="H760" s="23" t="inlineStr">
        <is>
          <t xml:space="preserve">RETAINED / ONE_TO_ONE; </t>
        </is>
      </c>
      <c r="I760" s="23" t="inlineStr">
        <is>
          <t>Carried forward</t>
        </is>
      </c>
      <c r="J760" s="14" t="inlineStr">
        <is>
          <t>08 CROSSWALK</t>
        </is>
      </c>
    </row>
    <row r="761" ht="49" customHeight="1">
      <c r="A761" s="23" t="inlineStr">
        <is>
          <t>R492-v2</t>
        </is>
      </c>
      <c r="B761" s="23" t="inlineStr">
        <is>
          <t>Contractor Programme / SCH-03-132</t>
        </is>
      </c>
      <c r="C761" s="23" t="inlineStr">
        <is>
          <t>WBS Code = 1.3.2</t>
        </is>
      </c>
      <c r="D761" s="23" t="inlineStr">
        <is>
          <t>Proposed by Source assignment; target 1.3.2 Systems - Signalling &amp; Train Control</t>
        </is>
      </c>
      <c r="E761" s="23" t="inlineStr">
        <is>
          <t>None recorded</t>
        </is>
      </c>
      <c r="F761" s="23" t="inlineStr">
        <is>
          <t>No individual professional decision recorded; Source assignment -- not individually reviewed</t>
        </is>
      </c>
      <c r="G761" s="23" t="inlineStr">
        <is>
          <t>Not individually decided</t>
        </is>
      </c>
      <c r="H761" s="23" t="inlineStr">
        <is>
          <t xml:space="preserve">RETAINED / ONE_TO_ONE; </t>
        </is>
      </c>
      <c r="I761" s="23" t="inlineStr">
        <is>
          <t>Carried forward</t>
        </is>
      </c>
      <c r="J761" s="14" t="inlineStr">
        <is>
          <t>08 CROSSWALK</t>
        </is>
      </c>
    </row>
    <row r="762" ht="49" customHeight="1">
      <c r="A762" s="23" t="inlineStr">
        <is>
          <t>R495-v2</t>
        </is>
      </c>
      <c r="B762" s="23" t="inlineStr">
        <is>
          <t>Contractor Programme / SCH-03-135</t>
        </is>
      </c>
      <c r="C762" s="23" t="inlineStr">
        <is>
          <t>WBS Code = 1.3.2</t>
        </is>
      </c>
      <c r="D762" s="23" t="inlineStr">
        <is>
          <t>Proposed by Source assignment; target 1.3.2 Systems - Signalling &amp; Train Control</t>
        </is>
      </c>
      <c r="E762" s="23" t="inlineStr">
        <is>
          <t>None recorded</t>
        </is>
      </c>
      <c r="F762" s="23" t="inlineStr">
        <is>
          <t>No individual professional decision recorded; Source assignment -- not individually reviewed</t>
        </is>
      </c>
      <c r="G762" s="23" t="inlineStr">
        <is>
          <t>Not individually decided</t>
        </is>
      </c>
      <c r="H762" s="23" t="inlineStr">
        <is>
          <t xml:space="preserve">RETAINED / ONE_TO_ONE; </t>
        </is>
      </c>
      <c r="I762" s="23" t="inlineStr">
        <is>
          <t>Carried forward</t>
        </is>
      </c>
      <c r="J762" s="14" t="inlineStr">
        <is>
          <t>08 CROSSWALK</t>
        </is>
      </c>
    </row>
    <row r="763" ht="49" customHeight="1">
      <c r="A763" s="23" t="inlineStr">
        <is>
          <t>R498-v2</t>
        </is>
      </c>
      <c r="B763" s="23" t="inlineStr">
        <is>
          <t>Contractor Programme / SCH-03-138</t>
        </is>
      </c>
      <c r="C763" s="23" t="inlineStr">
        <is>
          <t>WBS Code = 1.3.2</t>
        </is>
      </c>
      <c r="D763" s="23" t="inlineStr">
        <is>
          <t>Proposed by Source assignment; target 1.3.2 Systems - Signalling &amp; Train Control</t>
        </is>
      </c>
      <c r="E763" s="23" t="inlineStr">
        <is>
          <t>None recorded</t>
        </is>
      </c>
      <c r="F763" s="23" t="inlineStr">
        <is>
          <t>No individual professional decision recorded; Source assignment -- not individually reviewed</t>
        </is>
      </c>
      <c r="G763" s="23" t="inlineStr">
        <is>
          <t>Not individually decided</t>
        </is>
      </c>
      <c r="H763" s="23" t="inlineStr">
        <is>
          <t xml:space="preserve">RETAINED / ONE_TO_ONE; </t>
        </is>
      </c>
      <c r="I763" s="23" t="inlineStr">
        <is>
          <t>Carried forward</t>
        </is>
      </c>
      <c r="J763" s="14" t="inlineStr">
        <is>
          <t>08 CROSSWALK</t>
        </is>
      </c>
    </row>
    <row r="764" ht="49" customHeight="1">
      <c r="A764" s="23" t="inlineStr">
        <is>
          <t>R501-v2</t>
        </is>
      </c>
      <c r="B764" s="23" t="inlineStr">
        <is>
          <t>Contractor Programme / SCH-03-141</t>
        </is>
      </c>
      <c r="C764" s="23" t="inlineStr">
        <is>
          <t>WBS Code = 1.3.2</t>
        </is>
      </c>
      <c r="D764" s="23" t="inlineStr">
        <is>
          <t>Proposed by Source assignment; target 1.3.2 Systems - Signalling &amp; Train Control</t>
        </is>
      </c>
      <c r="E764" s="23" t="inlineStr">
        <is>
          <t>None recorded</t>
        </is>
      </c>
      <c r="F764" s="23" t="inlineStr">
        <is>
          <t>No individual professional decision recorded; Source assignment -- not individually reviewed</t>
        </is>
      </c>
      <c r="G764" s="23" t="inlineStr">
        <is>
          <t>Not individually decided</t>
        </is>
      </c>
      <c r="H764" s="23" t="inlineStr">
        <is>
          <t xml:space="preserve">RETAINED / ONE_TO_ONE; </t>
        </is>
      </c>
      <c r="I764" s="23" t="inlineStr">
        <is>
          <t>Carried forward</t>
        </is>
      </c>
      <c r="J764" s="14" t="inlineStr">
        <is>
          <t>08 CROSSWALK</t>
        </is>
      </c>
    </row>
    <row r="765" ht="49" customHeight="1">
      <c r="A765" s="23" t="inlineStr">
        <is>
          <t>R504-v2</t>
        </is>
      </c>
      <c r="B765" s="23" t="inlineStr">
        <is>
          <t>Contractor Programme / SCH-03-144</t>
        </is>
      </c>
      <c r="C765" s="23" t="inlineStr">
        <is>
          <t>WBS Code = 1.3.2</t>
        </is>
      </c>
      <c r="D765" s="23" t="inlineStr">
        <is>
          <t>Proposed by Source assignment; target 1.3.2 Systems - Signalling &amp; Train Control</t>
        </is>
      </c>
      <c r="E765" s="23" t="inlineStr">
        <is>
          <t>None recorded</t>
        </is>
      </c>
      <c r="F765" s="23" t="inlineStr">
        <is>
          <t>No individual professional decision recorded; Source assignment -- not individually reviewed</t>
        </is>
      </c>
      <c r="G765" s="23" t="inlineStr">
        <is>
          <t>Not individually decided</t>
        </is>
      </c>
      <c r="H765" s="23" t="inlineStr">
        <is>
          <t xml:space="preserve">RETAINED / ONE_TO_ONE; </t>
        </is>
      </c>
      <c r="I765" s="23" t="inlineStr">
        <is>
          <t>Carried forward</t>
        </is>
      </c>
      <c r="J765" s="14" t="inlineStr">
        <is>
          <t>08 CROSSWALK</t>
        </is>
      </c>
    </row>
    <row r="766" ht="49" customHeight="1">
      <c r="A766" s="23" t="inlineStr">
        <is>
          <t>R507-v2</t>
        </is>
      </c>
      <c r="B766" s="23" t="inlineStr">
        <is>
          <t>Contractor Programme / SCH-03-147</t>
        </is>
      </c>
      <c r="C766" s="23" t="inlineStr">
        <is>
          <t>WBS Code = 1.3.2</t>
        </is>
      </c>
      <c r="D766" s="23" t="inlineStr">
        <is>
          <t>Proposed by Source assignment; target 1.3.2 Systems - Signalling &amp; Train Control</t>
        </is>
      </c>
      <c r="E766" s="23" t="inlineStr">
        <is>
          <t>None recorded</t>
        </is>
      </c>
      <c r="F766" s="23" t="inlineStr">
        <is>
          <t>No individual professional decision recorded; Source assignment -- not individually reviewed</t>
        </is>
      </c>
      <c r="G766" s="23" t="inlineStr">
        <is>
          <t>Not individually decided</t>
        </is>
      </c>
      <c r="H766" s="23" t="inlineStr">
        <is>
          <t xml:space="preserve">RETAINED / ONE_TO_ONE; </t>
        </is>
      </c>
      <c r="I766" s="23" t="inlineStr">
        <is>
          <t>Carried forward</t>
        </is>
      </c>
      <c r="J766" s="14" t="inlineStr">
        <is>
          <t>08 CROSSWALK</t>
        </is>
      </c>
    </row>
    <row r="767" ht="49" customHeight="1">
      <c r="A767" s="23" t="inlineStr">
        <is>
          <t>R510-v2</t>
        </is>
      </c>
      <c r="B767" s="23" t="inlineStr">
        <is>
          <t>Contractor Programme / SCH-03-150</t>
        </is>
      </c>
      <c r="C767" s="23" t="inlineStr">
        <is>
          <t>WBS Code = 1.3.2</t>
        </is>
      </c>
      <c r="D767" s="23" t="inlineStr">
        <is>
          <t>Proposed by Source assignment; target 1.3.2 Systems - Signalling &amp; Train Control</t>
        </is>
      </c>
      <c r="E767" s="23" t="inlineStr">
        <is>
          <t>None recorded</t>
        </is>
      </c>
      <c r="F767" s="23" t="inlineStr">
        <is>
          <t>No individual professional decision recorded; Source assignment -- not individually reviewed</t>
        </is>
      </c>
      <c r="G767" s="23" t="inlineStr">
        <is>
          <t>Not individually decided</t>
        </is>
      </c>
      <c r="H767" s="23" t="inlineStr">
        <is>
          <t xml:space="preserve">RETAINED / ONE_TO_ONE; </t>
        </is>
      </c>
      <c r="I767" s="23" t="inlineStr">
        <is>
          <t>Carried forward</t>
        </is>
      </c>
      <c r="J767" s="14" t="inlineStr">
        <is>
          <t>08 CROSSWALK</t>
        </is>
      </c>
    </row>
    <row r="768" ht="49" customHeight="1">
      <c r="A768" s="23" t="inlineStr">
        <is>
          <t>R513-v2</t>
        </is>
      </c>
      <c r="B768" s="23" t="inlineStr">
        <is>
          <t>Contractor Programme / SCH-03-153</t>
        </is>
      </c>
      <c r="C768" s="23" t="inlineStr">
        <is>
          <t>WBS Code = 1.3.2</t>
        </is>
      </c>
      <c r="D768" s="23" t="inlineStr">
        <is>
          <t>Proposed by Source assignment; target 1.3.2 Systems - Signalling &amp; Train Control</t>
        </is>
      </c>
      <c r="E768" s="23" t="inlineStr">
        <is>
          <t>None recorded</t>
        </is>
      </c>
      <c r="F768" s="23" t="inlineStr">
        <is>
          <t>No individual professional decision recorded; Source assignment -- not individually reviewed</t>
        </is>
      </c>
      <c r="G768" s="23" t="inlineStr">
        <is>
          <t>Not individually decided</t>
        </is>
      </c>
      <c r="H768" s="23" t="inlineStr">
        <is>
          <t xml:space="preserve">RETAINED / ONE_TO_ONE; </t>
        </is>
      </c>
      <c r="I768" s="23" t="inlineStr">
        <is>
          <t>Carried forward</t>
        </is>
      </c>
      <c r="J768" s="14" t="inlineStr">
        <is>
          <t>08 CROSSWALK</t>
        </is>
      </c>
    </row>
    <row r="769" ht="49" customHeight="1">
      <c r="A769" s="23" t="inlineStr">
        <is>
          <t>R516-v2</t>
        </is>
      </c>
      <c r="B769" s="23" t="inlineStr">
        <is>
          <t>Contractor Programme / SCH-03-156</t>
        </is>
      </c>
      <c r="C769" s="23" t="inlineStr">
        <is>
          <t>WBS Code = 1.3.2</t>
        </is>
      </c>
      <c r="D769" s="23" t="inlineStr">
        <is>
          <t>Proposed by Source assignment; target 1.3.2 Systems - Signalling &amp; Train Control</t>
        </is>
      </c>
      <c r="E769" s="23" t="inlineStr">
        <is>
          <t>None recorded</t>
        </is>
      </c>
      <c r="F769" s="23" t="inlineStr">
        <is>
          <t>No individual professional decision recorded; Source assignment -- not individually reviewed</t>
        </is>
      </c>
      <c r="G769" s="23" t="inlineStr">
        <is>
          <t>Not individually decided</t>
        </is>
      </c>
      <c r="H769" s="23" t="inlineStr">
        <is>
          <t xml:space="preserve">RETAINED / ONE_TO_ONE; </t>
        </is>
      </c>
      <c r="I769" s="23" t="inlineStr">
        <is>
          <t>Carried forward</t>
        </is>
      </c>
      <c r="J769" s="14" t="inlineStr">
        <is>
          <t>08 CROSSWALK</t>
        </is>
      </c>
    </row>
    <row r="770" ht="49" customHeight="1">
      <c r="A770" s="23" t="inlineStr">
        <is>
          <t>R519-v2</t>
        </is>
      </c>
      <c r="B770" s="23" t="inlineStr">
        <is>
          <t>Contractor Programme / SCH-03-159</t>
        </is>
      </c>
      <c r="C770" s="23" t="inlineStr">
        <is>
          <t>WBS Code = 1.3.2</t>
        </is>
      </c>
      <c r="D770" s="23" t="inlineStr">
        <is>
          <t>Proposed by Source assignment; target 1.3.2 Systems - Signalling &amp; Train Control</t>
        </is>
      </c>
      <c r="E770" s="23" t="inlineStr">
        <is>
          <t>None recorded</t>
        </is>
      </c>
      <c r="F770" s="23" t="inlineStr">
        <is>
          <t>No individual professional decision recorded; Source assignment -- not individually reviewed</t>
        </is>
      </c>
      <c r="G770" s="23" t="inlineStr">
        <is>
          <t>Not individually decided</t>
        </is>
      </c>
      <c r="H770" s="23" t="inlineStr">
        <is>
          <t xml:space="preserve">RETAINED / ONE_TO_ONE; </t>
        </is>
      </c>
      <c r="I770" s="23" t="inlineStr">
        <is>
          <t>Carried forward</t>
        </is>
      </c>
      <c r="J770" s="14" t="inlineStr">
        <is>
          <t>08 CROSSWALK</t>
        </is>
      </c>
    </row>
    <row r="771" ht="49" customHeight="1">
      <c r="A771" s="23" t="inlineStr">
        <is>
          <t>R522-v2</t>
        </is>
      </c>
      <c r="B771" s="23" t="inlineStr">
        <is>
          <t>Contractor Programme / SCH-03-162</t>
        </is>
      </c>
      <c r="C771" s="23" t="inlineStr">
        <is>
          <t>WBS Code = 1.3.2</t>
        </is>
      </c>
      <c r="D771" s="23" t="inlineStr">
        <is>
          <t>Proposed by Source assignment; target 1.3.2 Systems - Signalling &amp; Train Control</t>
        </is>
      </c>
      <c r="E771" s="23" t="inlineStr">
        <is>
          <t>None recorded</t>
        </is>
      </c>
      <c r="F771" s="23" t="inlineStr">
        <is>
          <t>No individual professional decision recorded; Source assignment -- not individually reviewed</t>
        </is>
      </c>
      <c r="G771" s="23" t="inlineStr">
        <is>
          <t>Not individually decided</t>
        </is>
      </c>
      <c r="H771" s="23" t="inlineStr">
        <is>
          <t xml:space="preserve">RETAINED / ONE_TO_ONE; </t>
        </is>
      </c>
      <c r="I771" s="23" t="inlineStr">
        <is>
          <t>Carried forward</t>
        </is>
      </c>
      <c r="J771" s="14" t="inlineStr">
        <is>
          <t>08 CROSSWALK</t>
        </is>
      </c>
    </row>
    <row r="772" ht="49" customHeight="1">
      <c r="A772" s="23" t="inlineStr">
        <is>
          <t>R525-v2</t>
        </is>
      </c>
      <c r="B772" s="23" t="inlineStr">
        <is>
          <t>Contractor Programme / SCH-03-165</t>
        </is>
      </c>
      <c r="C772" s="23" t="inlineStr">
        <is>
          <t>WBS Code = 1.3.2</t>
        </is>
      </c>
      <c r="D772" s="23" t="inlineStr">
        <is>
          <t>Proposed by Source assignment; target 1.3.2 Systems - Signalling &amp; Train Control</t>
        </is>
      </c>
      <c r="E772" s="23" t="inlineStr">
        <is>
          <t>None recorded</t>
        </is>
      </c>
      <c r="F772" s="23" t="inlineStr">
        <is>
          <t>No individual professional decision recorded; Source assignment -- not individually reviewed</t>
        </is>
      </c>
      <c r="G772" s="23" t="inlineStr">
        <is>
          <t>Not individually decided</t>
        </is>
      </c>
      <c r="H772" s="23" t="inlineStr">
        <is>
          <t xml:space="preserve">RETAINED / ONE_TO_ONE; </t>
        </is>
      </c>
      <c r="I772" s="23" t="inlineStr">
        <is>
          <t>Carried forward</t>
        </is>
      </c>
      <c r="J772" s="14" t="inlineStr">
        <is>
          <t>08 CROSSWALK</t>
        </is>
      </c>
    </row>
    <row r="773" ht="49" customHeight="1">
      <c r="A773" s="23" t="inlineStr">
        <is>
          <t>R528-v2</t>
        </is>
      </c>
      <c r="B773" s="23" t="inlineStr">
        <is>
          <t>Contractor Programme / SCH-03-168</t>
        </is>
      </c>
      <c r="C773" s="23" t="inlineStr">
        <is>
          <t>WBS Code = 1.3.2</t>
        </is>
      </c>
      <c r="D773" s="23" t="inlineStr">
        <is>
          <t>Proposed by Source assignment; target 1.3.2 Systems - Signalling &amp; Train Control</t>
        </is>
      </c>
      <c r="E773" s="23" t="inlineStr">
        <is>
          <t>None recorded</t>
        </is>
      </c>
      <c r="F773" s="23" t="inlineStr">
        <is>
          <t>No individual professional decision recorded; Source assignment -- not individually reviewed</t>
        </is>
      </c>
      <c r="G773" s="23" t="inlineStr">
        <is>
          <t>Not individually decided</t>
        </is>
      </c>
      <c r="H773" s="23" t="inlineStr">
        <is>
          <t xml:space="preserve">RETAINED / ONE_TO_ONE; </t>
        </is>
      </c>
      <c r="I773" s="23" t="inlineStr">
        <is>
          <t>Carried forward</t>
        </is>
      </c>
      <c r="J773" s="14" t="inlineStr">
        <is>
          <t>08 CROSSWALK</t>
        </is>
      </c>
    </row>
    <row r="774" ht="49" customHeight="1">
      <c r="A774" s="23" t="inlineStr">
        <is>
          <t>R531-v2</t>
        </is>
      </c>
      <c r="B774" s="23" t="inlineStr">
        <is>
          <t>Contractor Programme / SCH-03-171</t>
        </is>
      </c>
      <c r="C774" s="23" t="inlineStr">
        <is>
          <t>WBS Code = 1.3.2</t>
        </is>
      </c>
      <c r="D774" s="23" t="inlineStr">
        <is>
          <t>Proposed by Source assignment; target 1.3.2 Systems - Signalling &amp; Train Control</t>
        </is>
      </c>
      <c r="E774" s="23" t="inlineStr">
        <is>
          <t>None recorded</t>
        </is>
      </c>
      <c r="F774" s="23" t="inlineStr">
        <is>
          <t>No individual professional decision recorded; Source assignment -- not individually reviewed</t>
        </is>
      </c>
      <c r="G774" s="23" t="inlineStr">
        <is>
          <t>Not individually decided</t>
        </is>
      </c>
      <c r="H774" s="23" t="inlineStr">
        <is>
          <t xml:space="preserve">RETAINED / ONE_TO_ONE; </t>
        </is>
      </c>
      <c r="I774" s="23" t="inlineStr">
        <is>
          <t>Carried forward</t>
        </is>
      </c>
      <c r="J774" s="14" t="inlineStr">
        <is>
          <t>08 CROSSWALK</t>
        </is>
      </c>
    </row>
    <row r="775" ht="49" customHeight="1">
      <c r="A775" s="23" t="inlineStr">
        <is>
          <t>R534-v2</t>
        </is>
      </c>
      <c r="B775" s="23" t="inlineStr">
        <is>
          <t>Contractor Programme / SCH-03-174</t>
        </is>
      </c>
      <c r="C775" s="23" t="inlineStr">
        <is>
          <t>WBS Code = 1.3.2</t>
        </is>
      </c>
      <c r="D775" s="23" t="inlineStr">
        <is>
          <t>Proposed by Source assignment; target 1.3.2 Systems - Signalling &amp; Train Control</t>
        </is>
      </c>
      <c r="E775" s="23" t="inlineStr">
        <is>
          <t>None recorded</t>
        </is>
      </c>
      <c r="F775" s="23" t="inlineStr">
        <is>
          <t>No individual professional decision recorded; Source assignment -- not individually reviewed</t>
        </is>
      </c>
      <c r="G775" s="23" t="inlineStr">
        <is>
          <t>Not individually decided</t>
        </is>
      </c>
      <c r="H775" s="23" t="inlineStr">
        <is>
          <t xml:space="preserve">RETAINED / ONE_TO_ONE; </t>
        </is>
      </c>
      <c r="I775" s="23" t="inlineStr">
        <is>
          <t>Carried forward</t>
        </is>
      </c>
      <c r="J775" s="14" t="inlineStr">
        <is>
          <t>08 CROSSWALK</t>
        </is>
      </c>
    </row>
    <row r="776" ht="49" customHeight="1">
      <c r="A776" s="23" t="inlineStr">
        <is>
          <t>R537-v2</t>
        </is>
      </c>
      <c r="B776" s="23" t="inlineStr">
        <is>
          <t>Contractor Programme / SCH-03-177</t>
        </is>
      </c>
      <c r="C776" s="23" t="inlineStr">
        <is>
          <t>WBS Code = 1.3.2</t>
        </is>
      </c>
      <c r="D776" s="23" t="inlineStr">
        <is>
          <t>Proposed by Source assignment; target 1.3.2 Systems - Signalling &amp; Train Control</t>
        </is>
      </c>
      <c r="E776" s="23" t="inlineStr">
        <is>
          <t>None recorded</t>
        </is>
      </c>
      <c r="F776" s="23" t="inlineStr">
        <is>
          <t>No individual professional decision recorded; Source assignment -- not individually reviewed</t>
        </is>
      </c>
      <c r="G776" s="23" t="inlineStr">
        <is>
          <t>Not individually decided</t>
        </is>
      </c>
      <c r="H776" s="23" t="inlineStr">
        <is>
          <t xml:space="preserve">RETAINED / ONE_TO_ONE; </t>
        </is>
      </c>
      <c r="I776" s="23" t="inlineStr">
        <is>
          <t>Carried forward</t>
        </is>
      </c>
      <c r="J776" s="14" t="inlineStr">
        <is>
          <t>08 CROSSWALK</t>
        </is>
      </c>
    </row>
    <row r="777" ht="49" customHeight="1">
      <c r="A777" s="23" t="inlineStr">
        <is>
          <t>R540-v2</t>
        </is>
      </c>
      <c r="B777" s="23" t="inlineStr">
        <is>
          <t>Contractor Programme / SCH-03-180</t>
        </is>
      </c>
      <c r="C777" s="23" t="inlineStr">
        <is>
          <t>WBS Code = 1.3.2</t>
        </is>
      </c>
      <c r="D777" s="23" t="inlineStr">
        <is>
          <t>Proposed by Source assignment; target 1.3.2 Systems - Signalling &amp; Train Control</t>
        </is>
      </c>
      <c r="E777" s="23" t="inlineStr">
        <is>
          <t>None recorded</t>
        </is>
      </c>
      <c r="F777" s="23" t="inlineStr">
        <is>
          <t>No individual professional decision recorded; Source assignment -- not individually reviewed</t>
        </is>
      </c>
      <c r="G777" s="23" t="inlineStr">
        <is>
          <t>Not individually decided</t>
        </is>
      </c>
      <c r="H777" s="23" t="inlineStr">
        <is>
          <t xml:space="preserve">RETAINED / ONE_TO_ONE; </t>
        </is>
      </c>
      <c r="I777" s="23" t="inlineStr">
        <is>
          <t>Carried forward</t>
        </is>
      </c>
      <c r="J777" s="14" t="inlineStr">
        <is>
          <t>08 CROSSWALK</t>
        </is>
      </c>
    </row>
    <row r="778" ht="49" customHeight="1">
      <c r="A778" s="23" t="inlineStr">
        <is>
          <t>R1244-v2</t>
        </is>
      </c>
      <c r="B778" s="23" t="inlineStr">
        <is>
          <t>Cost &amp; Forecast Control Accounts / CST-03-002</t>
        </is>
      </c>
      <c r="C778" s="23" t="inlineStr">
        <is>
          <t>Cost Account = CA-3002; WBS Code = 1.3.2</t>
        </is>
      </c>
      <c r="D778" s="23" t="inlineStr">
        <is>
          <t>Proposed by Source assignment; target 1.3.2 Systems - Signalling &amp; Train Control</t>
        </is>
      </c>
      <c r="E778" s="23" t="inlineStr">
        <is>
          <t>None recorded</t>
        </is>
      </c>
      <c r="F778" s="23" t="inlineStr">
        <is>
          <t>No individual professional decision recorded; Source assignment -- not individually reviewed</t>
        </is>
      </c>
      <c r="G778" s="23" t="inlineStr">
        <is>
          <t>Not individually decided</t>
        </is>
      </c>
      <c r="H778" s="23" t="inlineStr">
        <is>
          <t xml:space="preserve">RETAINED / ONE_TO_ONE; </t>
        </is>
      </c>
      <c r="I778" s="23" t="inlineStr">
        <is>
          <t>Carried forward</t>
        </is>
      </c>
      <c r="J778" s="14" t="inlineStr">
        <is>
          <t>08 CROSSWALK</t>
        </is>
      </c>
    </row>
    <row r="779" ht="49" customHeight="1">
      <c r="A779" s="23" t="inlineStr">
        <is>
          <t>R1248-v2</t>
        </is>
      </c>
      <c r="B779" s="23" t="inlineStr">
        <is>
          <t>Cost &amp; Forecast Control Accounts / CST-03-006</t>
        </is>
      </c>
      <c r="C779" s="23" t="inlineStr">
        <is>
          <t>Cost Account = CA-3006; WBS Code = 1.3.2</t>
        </is>
      </c>
      <c r="D779" s="23" t="inlineStr">
        <is>
          <t>Proposed by Source assignment; target 1.3.2 Systems - Signalling &amp; Train Control</t>
        </is>
      </c>
      <c r="E779" s="23" t="inlineStr">
        <is>
          <t>None recorded</t>
        </is>
      </c>
      <c r="F779" s="23" t="inlineStr">
        <is>
          <t>No individual professional decision recorded; Source assignment -- not individually reviewed</t>
        </is>
      </c>
      <c r="G779" s="23" t="inlineStr">
        <is>
          <t>Not individually decided</t>
        </is>
      </c>
      <c r="H779" s="23" t="inlineStr">
        <is>
          <t xml:space="preserve">RETAINED / ONE_TO_ONE; </t>
        </is>
      </c>
      <c r="I779" s="23" t="inlineStr">
        <is>
          <t>Carried forward</t>
        </is>
      </c>
      <c r="J779" s="14" t="inlineStr">
        <is>
          <t>08 CROSSWALK</t>
        </is>
      </c>
    </row>
    <row r="780" ht="49" customHeight="1">
      <c r="A780" s="23" t="inlineStr">
        <is>
          <t>R1250-v2</t>
        </is>
      </c>
      <c r="B780" s="23" t="inlineStr">
        <is>
          <t>Cost &amp; Forecast Control Accounts / CST-03-008</t>
        </is>
      </c>
      <c r="C780" s="23" t="inlineStr">
        <is>
          <t>Cost Account = CA-3008; WBS Code = 1.3.2</t>
        </is>
      </c>
      <c r="D780" s="23" t="inlineStr">
        <is>
          <t>Proposed by Source assignment; target 1.3.2 Systems - Signalling &amp; Train Control</t>
        </is>
      </c>
      <c r="E780" s="23" t="inlineStr">
        <is>
          <t>None recorded</t>
        </is>
      </c>
      <c r="F780" s="23" t="inlineStr">
        <is>
          <t>No individual professional decision recorded; Source assignment -- not individually reviewed</t>
        </is>
      </c>
      <c r="G780" s="23" t="inlineStr">
        <is>
          <t>Not individually decided</t>
        </is>
      </c>
      <c r="H780" s="23" t="inlineStr">
        <is>
          <t xml:space="preserve">RETAINED / ONE_TO_ONE; </t>
        </is>
      </c>
      <c r="I780" s="23" t="inlineStr">
        <is>
          <t>Carried forward</t>
        </is>
      </c>
      <c r="J780" s="14" t="inlineStr">
        <is>
          <t>08 CROSSWALK</t>
        </is>
      </c>
    </row>
    <row r="781" ht="49" customHeight="1">
      <c r="A781" s="23" t="inlineStr">
        <is>
          <t>R1252-v2</t>
        </is>
      </c>
      <c r="B781" s="23" t="inlineStr">
        <is>
          <t>Cost &amp; Forecast Control Accounts / CST-03-010</t>
        </is>
      </c>
      <c r="C781" s="23" t="inlineStr">
        <is>
          <t>Cost Account = CA-3010; WBS Code = 1.3.2</t>
        </is>
      </c>
      <c r="D781" s="23" t="inlineStr">
        <is>
          <t>Proposed by Source assignment; target 1.3.2 Systems - Signalling &amp; Train Control</t>
        </is>
      </c>
      <c r="E781" s="23" t="inlineStr">
        <is>
          <t>None recorded</t>
        </is>
      </c>
      <c r="F781" s="23" t="inlineStr">
        <is>
          <t>No individual professional decision recorded; Source assignment -- not individually reviewed</t>
        </is>
      </c>
      <c r="G781" s="23" t="inlineStr">
        <is>
          <t>Not individually decided</t>
        </is>
      </c>
      <c r="H781" s="23" t="inlineStr">
        <is>
          <t xml:space="preserve">RETAINED / ONE_TO_ONE; </t>
        </is>
      </c>
      <c r="I781" s="23" t="inlineStr">
        <is>
          <t>Carried forward</t>
        </is>
      </c>
      <c r="J781" s="14" t="inlineStr">
        <is>
          <t>08 CROSSWALK</t>
        </is>
      </c>
    </row>
    <row r="782" ht="49" customHeight="1">
      <c r="A782" s="23" t="inlineStr">
        <is>
          <t>R1254-v2</t>
        </is>
      </c>
      <c r="B782" s="23" t="inlineStr">
        <is>
          <t>Cost &amp; Forecast Control Accounts / CST-03-012</t>
        </is>
      </c>
      <c r="C782" s="23" t="inlineStr">
        <is>
          <t>Cost Account = CA-3012; WBS Code = 1.3.2</t>
        </is>
      </c>
      <c r="D782" s="23" t="inlineStr">
        <is>
          <t>Proposed by Source assignment; target 1.3.2 Systems - Signalling &amp; Train Control</t>
        </is>
      </c>
      <c r="E782" s="23" t="inlineStr">
        <is>
          <t>None recorded</t>
        </is>
      </c>
      <c r="F782" s="23" t="inlineStr">
        <is>
          <t>No individual professional decision recorded; Source assignment -- not individually reviewed</t>
        </is>
      </c>
      <c r="G782" s="23" t="inlineStr">
        <is>
          <t>Not individually decided</t>
        </is>
      </c>
      <c r="H782" s="23" t="inlineStr">
        <is>
          <t xml:space="preserve">RETAINED / ONE_TO_ONE; </t>
        </is>
      </c>
      <c r="I782" s="23" t="inlineStr">
        <is>
          <t>Carried forward</t>
        </is>
      </c>
      <c r="J782" s="14" t="inlineStr">
        <is>
          <t>08 CROSSWALK</t>
        </is>
      </c>
    </row>
    <row r="783" ht="49" customHeight="1">
      <c r="A783" s="23" t="inlineStr">
        <is>
          <t>R1256-v2</t>
        </is>
      </c>
      <c r="B783" s="23" t="inlineStr">
        <is>
          <t>Cost &amp; Forecast Control Accounts / CST-03-014</t>
        </is>
      </c>
      <c r="C783" s="23" t="inlineStr">
        <is>
          <t>Cost Account = CA-3014; WBS Code = 1.3.2</t>
        </is>
      </c>
      <c r="D783" s="23" t="inlineStr">
        <is>
          <t>Proposed by Source assignment; target 1.3.2 Systems - Signalling &amp; Train Control</t>
        </is>
      </c>
      <c r="E783" s="23" t="inlineStr">
        <is>
          <t>None recorded</t>
        </is>
      </c>
      <c r="F783" s="23" t="inlineStr">
        <is>
          <t>No individual professional decision recorded; Source assignment -- not individually reviewed</t>
        </is>
      </c>
      <c r="G783" s="23" t="inlineStr">
        <is>
          <t>Not individually decided</t>
        </is>
      </c>
      <c r="H783" s="23" t="inlineStr">
        <is>
          <t xml:space="preserve">RETAINED / ONE_TO_ONE; </t>
        </is>
      </c>
      <c r="I783" s="23" t="inlineStr">
        <is>
          <t>Carried forward</t>
        </is>
      </c>
      <c r="J783" s="14" t="inlineStr">
        <is>
          <t>08 CROSSWALK</t>
        </is>
      </c>
    </row>
    <row r="784" ht="49" customHeight="1">
      <c r="A784" s="23" t="inlineStr">
        <is>
          <t>R1258-v2</t>
        </is>
      </c>
      <c r="B784" s="23" t="inlineStr">
        <is>
          <t>Cost &amp; Forecast Control Accounts / CST-03-016</t>
        </is>
      </c>
      <c r="C784" s="23" t="inlineStr">
        <is>
          <t>Cost Account = CA-3016; WBS Code = 1.3.2</t>
        </is>
      </c>
      <c r="D784" s="23" t="inlineStr">
        <is>
          <t>Proposed by Source assignment; target 1.3.2 Systems - Signalling &amp; Train Control</t>
        </is>
      </c>
      <c r="E784" s="23" t="inlineStr">
        <is>
          <t>None recorded</t>
        </is>
      </c>
      <c r="F784" s="23" t="inlineStr">
        <is>
          <t>No individual professional decision recorded; Source assignment -- not individually reviewed</t>
        </is>
      </c>
      <c r="G784" s="23" t="inlineStr">
        <is>
          <t>Not individually decided</t>
        </is>
      </c>
      <c r="H784" s="23" t="inlineStr">
        <is>
          <t xml:space="preserve">RETAINED / ONE_TO_ONE; </t>
        </is>
      </c>
      <c r="I784" s="23" t="inlineStr">
        <is>
          <t>Carried forward</t>
        </is>
      </c>
      <c r="J784" s="14" t="inlineStr">
        <is>
          <t>08 CROSSWALK</t>
        </is>
      </c>
    </row>
    <row r="785" ht="49" customHeight="1">
      <c r="A785" s="23" t="inlineStr">
        <is>
          <t>R1260-v2</t>
        </is>
      </c>
      <c r="B785" s="23" t="inlineStr">
        <is>
          <t>Cost &amp; Forecast Control Accounts / CST-03-018</t>
        </is>
      </c>
      <c r="C785" s="23" t="inlineStr">
        <is>
          <t>Cost Account = CA-3018; WBS Code = 1.3.2</t>
        </is>
      </c>
      <c r="D785" s="23" t="inlineStr">
        <is>
          <t>Proposed by Source assignment; target 1.3.2 Systems - Signalling &amp; Train Control</t>
        </is>
      </c>
      <c r="E785" s="23" t="inlineStr">
        <is>
          <t>None recorded</t>
        </is>
      </c>
      <c r="F785" s="23" t="inlineStr">
        <is>
          <t>No individual professional decision recorded; Source assignment -- not individually reviewed</t>
        </is>
      </c>
      <c r="G785" s="23" t="inlineStr">
        <is>
          <t>Not individually decided</t>
        </is>
      </c>
      <c r="H785" s="23" t="inlineStr">
        <is>
          <t xml:space="preserve">RETAINED / ONE_TO_ONE; </t>
        </is>
      </c>
      <c r="I785" s="23" t="inlineStr">
        <is>
          <t>Carried forward</t>
        </is>
      </c>
      <c r="J785" s="14" t="inlineStr">
        <is>
          <t>08 CROSSWALK</t>
        </is>
      </c>
    </row>
    <row r="786" ht="49" customHeight="1">
      <c r="A786" s="23" t="inlineStr">
        <is>
          <t>R1262-v2</t>
        </is>
      </c>
      <c r="B786" s="23" t="inlineStr">
        <is>
          <t>Cost &amp; Forecast Control Accounts / CST-03-020</t>
        </is>
      </c>
      <c r="C786" s="23" t="inlineStr">
        <is>
          <t>Cost Account = CA-3020; WBS Code = 1.3.2</t>
        </is>
      </c>
      <c r="D786" s="23" t="inlineStr">
        <is>
          <t>Proposed by Source assignment; target 1.3.2 Systems - Signalling &amp; Train Control</t>
        </is>
      </c>
      <c r="E786" s="23" t="inlineStr">
        <is>
          <t>None recorded</t>
        </is>
      </c>
      <c r="F786" s="23" t="inlineStr">
        <is>
          <t>No individual professional decision recorded; Source assignment -- not individually reviewed</t>
        </is>
      </c>
      <c r="G786" s="23" t="inlineStr">
        <is>
          <t>Not individually decided</t>
        </is>
      </c>
      <c r="H786" s="23" t="inlineStr">
        <is>
          <t xml:space="preserve">RETAINED / ONE_TO_ONE; </t>
        </is>
      </c>
      <c r="I786" s="23" t="inlineStr">
        <is>
          <t>Carried forward</t>
        </is>
      </c>
      <c r="J786" s="14" t="inlineStr">
        <is>
          <t>08 CROSSWALK</t>
        </is>
      </c>
    </row>
    <row r="787" ht="49" customHeight="1">
      <c r="A787" s="23" t="inlineStr">
        <is>
          <t>R1264-v2</t>
        </is>
      </c>
      <c r="B787" s="23" t="inlineStr">
        <is>
          <t>Cost &amp; Forecast Control Accounts / CST-03-022</t>
        </is>
      </c>
      <c r="C787" s="23" t="inlineStr">
        <is>
          <t>Cost Account = CA-3022; WBS Code = 1.3.2</t>
        </is>
      </c>
      <c r="D787" s="23" t="inlineStr">
        <is>
          <t>Proposed by Source assignment; target 1.3.2 Systems - Signalling &amp; Train Control</t>
        </is>
      </c>
      <c r="E787" s="23" t="inlineStr">
        <is>
          <t>None recorded</t>
        </is>
      </c>
      <c r="F787" s="23" t="inlineStr">
        <is>
          <t>No individual professional decision recorded; Source assignment -- not individually reviewed</t>
        </is>
      </c>
      <c r="G787" s="23" t="inlineStr">
        <is>
          <t>Not individually decided</t>
        </is>
      </c>
      <c r="H787" s="23" t="inlineStr">
        <is>
          <t xml:space="preserve">RETAINED / ONE_TO_ONE; </t>
        </is>
      </c>
      <c r="I787" s="23" t="inlineStr">
        <is>
          <t>Carried forward</t>
        </is>
      </c>
      <c r="J787" s="14" t="inlineStr">
        <is>
          <t>08 CROSSWALK</t>
        </is>
      </c>
    </row>
    <row r="788" ht="49" customHeight="1">
      <c r="A788" s="23" t="inlineStr">
        <is>
          <t>R1266-v2</t>
        </is>
      </c>
      <c r="B788" s="23" t="inlineStr">
        <is>
          <t>Cost &amp; Forecast Control Accounts / CST-03-024</t>
        </is>
      </c>
      <c r="C788" s="23" t="inlineStr">
        <is>
          <t>Cost Account = CA-3024; WBS Code = 1.3.2</t>
        </is>
      </c>
      <c r="D788" s="23" t="inlineStr">
        <is>
          <t>Proposed by Source assignment; target 1.3.2 Systems - Signalling &amp; Train Control</t>
        </is>
      </c>
      <c r="E788" s="23" t="inlineStr">
        <is>
          <t>None recorded</t>
        </is>
      </c>
      <c r="F788" s="23" t="inlineStr">
        <is>
          <t>No individual professional decision recorded; Source assignment -- not individually reviewed</t>
        </is>
      </c>
      <c r="G788" s="23" t="inlineStr">
        <is>
          <t>Not individually decided</t>
        </is>
      </c>
      <c r="H788" s="23" t="inlineStr">
        <is>
          <t xml:space="preserve">RETAINED / ONE_TO_ONE; </t>
        </is>
      </c>
      <c r="I788" s="23" t="inlineStr">
        <is>
          <t>Carried forward</t>
        </is>
      </c>
      <c r="J788" s="14" t="inlineStr">
        <is>
          <t>08 CROSSWALK</t>
        </is>
      </c>
    </row>
    <row r="789" ht="49" customHeight="1">
      <c r="A789" s="23" t="inlineStr">
        <is>
          <t>R1268-v2</t>
        </is>
      </c>
      <c r="B789" s="23" t="inlineStr">
        <is>
          <t>Cost &amp; Forecast Control Accounts / CST-03-026</t>
        </is>
      </c>
      <c r="C789" s="23" t="inlineStr">
        <is>
          <t>Cost Account = CA-3026; WBS Code = 1.3.2</t>
        </is>
      </c>
      <c r="D789" s="23" t="inlineStr">
        <is>
          <t>Proposed by Source assignment; target 1.3.2 Systems - Signalling &amp; Train Control</t>
        </is>
      </c>
      <c r="E789" s="23" t="inlineStr">
        <is>
          <t>None recorded</t>
        </is>
      </c>
      <c r="F789" s="23" t="inlineStr">
        <is>
          <t>No individual professional decision recorded; Source assignment -- not individually reviewed</t>
        </is>
      </c>
      <c r="G789" s="23" t="inlineStr">
        <is>
          <t>Not individually decided</t>
        </is>
      </c>
      <c r="H789" s="23" t="inlineStr">
        <is>
          <t xml:space="preserve">RETAINED / ONE_TO_ONE; </t>
        </is>
      </c>
      <c r="I789" s="23" t="inlineStr">
        <is>
          <t>Carried forward</t>
        </is>
      </c>
      <c r="J789" s="14" t="inlineStr">
        <is>
          <t>08 CROSSWALK</t>
        </is>
      </c>
    </row>
    <row r="790" ht="49" customHeight="1">
      <c r="A790" s="23" t="inlineStr">
        <is>
          <t>R1270-v2</t>
        </is>
      </c>
      <c r="B790" s="23" t="inlineStr">
        <is>
          <t>Cost &amp; Forecast Control Accounts / CST-03-028</t>
        </is>
      </c>
      <c r="C790" s="23" t="inlineStr">
        <is>
          <t>Cost Account = CA-3028; WBS Code = 1.3.2</t>
        </is>
      </c>
      <c r="D790" s="23" t="inlineStr">
        <is>
          <t>Proposed by Source assignment; target 1.3.2 Systems - Signalling &amp; Train Control</t>
        </is>
      </c>
      <c r="E790" s="23" t="inlineStr">
        <is>
          <t>None recorded</t>
        </is>
      </c>
      <c r="F790" s="23" t="inlineStr">
        <is>
          <t>No individual professional decision recorded; Source assignment -- not individually reviewed</t>
        </is>
      </c>
      <c r="G790" s="23" t="inlineStr">
        <is>
          <t>Not individually decided</t>
        </is>
      </c>
      <c r="H790" s="23" t="inlineStr">
        <is>
          <t xml:space="preserve">RETAINED / ONE_TO_ONE; </t>
        </is>
      </c>
      <c r="I790" s="23" t="inlineStr">
        <is>
          <t>Carried forward</t>
        </is>
      </c>
      <c r="J790" s="14" t="inlineStr">
        <is>
          <t>08 CROSSWALK</t>
        </is>
      </c>
    </row>
    <row r="791" ht="49" customHeight="1">
      <c r="A791" s="23" t="inlineStr">
        <is>
          <t>R1272-v2</t>
        </is>
      </c>
      <c r="B791" s="23" t="inlineStr">
        <is>
          <t>Cost &amp; Forecast Control Accounts / CST-03-030</t>
        </is>
      </c>
      <c r="C791" s="23" t="inlineStr">
        <is>
          <t>Cost Account = CA-3030; WBS Code = 1.3.2</t>
        </is>
      </c>
      <c r="D791" s="23" t="inlineStr">
        <is>
          <t>Proposed by Source assignment; target 1.3.2 Systems - Signalling &amp; Train Control</t>
        </is>
      </c>
      <c r="E791" s="23" t="inlineStr">
        <is>
          <t>None recorded</t>
        </is>
      </c>
      <c r="F791" s="23" t="inlineStr">
        <is>
          <t>No individual professional decision recorded; Source assignment -- not individually reviewed</t>
        </is>
      </c>
      <c r="G791" s="23" t="inlineStr">
        <is>
          <t>Not individually decided</t>
        </is>
      </c>
      <c r="H791" s="23" t="inlineStr">
        <is>
          <t xml:space="preserve">RETAINED / ONE_TO_ONE; </t>
        </is>
      </c>
      <c r="I791" s="23" t="inlineStr">
        <is>
          <t>Carried forward</t>
        </is>
      </c>
      <c r="J791" s="14" t="inlineStr">
        <is>
          <t>08 CROSSWALK</t>
        </is>
      </c>
    </row>
    <row r="792" ht="49" customHeight="1">
      <c r="A792" s="23" t="inlineStr">
        <is>
          <t>R1274-v2</t>
        </is>
      </c>
      <c r="B792" s="23" t="inlineStr">
        <is>
          <t>Cost &amp; Forecast Control Accounts / CST-03-032</t>
        </is>
      </c>
      <c r="C792" s="23" t="inlineStr">
        <is>
          <t>Cost Account = CA-3032; WBS Code = 1.3.2</t>
        </is>
      </c>
      <c r="D792" s="23" t="inlineStr">
        <is>
          <t>Proposed by Source assignment; target 1.3.2 Systems - Signalling &amp; Train Control</t>
        </is>
      </c>
      <c r="E792" s="23" t="inlineStr">
        <is>
          <t>None recorded</t>
        </is>
      </c>
      <c r="F792" s="23" t="inlineStr">
        <is>
          <t>No individual professional decision recorded; Source assignment -- not individually reviewed</t>
        </is>
      </c>
      <c r="G792" s="23" t="inlineStr">
        <is>
          <t>Not individually decided</t>
        </is>
      </c>
      <c r="H792" s="23" t="inlineStr">
        <is>
          <t xml:space="preserve">RETAINED / ONE_TO_ONE; </t>
        </is>
      </c>
      <c r="I792" s="23" t="inlineStr">
        <is>
          <t>Carried forward</t>
        </is>
      </c>
      <c r="J792" s="14" t="inlineStr">
        <is>
          <t>08 CROSSWALK</t>
        </is>
      </c>
    </row>
    <row r="793" ht="49" customHeight="1">
      <c r="A793" s="23" t="inlineStr">
        <is>
          <t>R1276-v2</t>
        </is>
      </c>
      <c r="B793" s="23" t="inlineStr">
        <is>
          <t>Cost &amp; Forecast Control Accounts / CST-03-034</t>
        </is>
      </c>
      <c r="C793" s="23" t="inlineStr">
        <is>
          <t>Cost Account = CA-3034; WBS Code = 1.3.2</t>
        </is>
      </c>
      <c r="D793" s="23" t="inlineStr">
        <is>
          <t>Proposed by Source assignment; target 1.3.2 Systems - Signalling &amp; Train Control</t>
        </is>
      </c>
      <c r="E793" s="23" t="inlineStr">
        <is>
          <t>None recorded</t>
        </is>
      </c>
      <c r="F793" s="23" t="inlineStr">
        <is>
          <t>No individual professional decision recorded; Source assignment -- not individually reviewed</t>
        </is>
      </c>
      <c r="G793" s="23" t="inlineStr">
        <is>
          <t>Not individually decided</t>
        </is>
      </c>
      <c r="H793" s="23" t="inlineStr">
        <is>
          <t xml:space="preserve">RETAINED / ONE_TO_ONE; </t>
        </is>
      </c>
      <c r="I793" s="23" t="inlineStr">
        <is>
          <t>Carried forward</t>
        </is>
      </c>
      <c r="J793" s="14" t="inlineStr">
        <is>
          <t>08 CROSSWALK</t>
        </is>
      </c>
    </row>
    <row r="794" ht="49" customHeight="1">
      <c r="A794" s="23" t="inlineStr">
        <is>
          <t>R1278-v2</t>
        </is>
      </c>
      <c r="B794" s="23" t="inlineStr">
        <is>
          <t>Cost &amp; Forecast Control Accounts / CST-03-036</t>
        </is>
      </c>
      <c r="C794" s="23" t="inlineStr">
        <is>
          <t>Cost Account = CA-3036; WBS Code = 1.3.2</t>
        </is>
      </c>
      <c r="D794" s="23" t="inlineStr">
        <is>
          <t>Proposed by Source assignment; target 1.3.2 Systems - Signalling &amp; Train Control</t>
        </is>
      </c>
      <c r="E794" s="23" t="inlineStr">
        <is>
          <t>None recorded</t>
        </is>
      </c>
      <c r="F794" s="23" t="inlineStr">
        <is>
          <t>No individual professional decision recorded; Source assignment -- not individually reviewed</t>
        </is>
      </c>
      <c r="G794" s="23" t="inlineStr">
        <is>
          <t>Not individually decided</t>
        </is>
      </c>
      <c r="H794" s="23" t="inlineStr">
        <is>
          <t xml:space="preserve">RETAINED / ONE_TO_ONE; </t>
        </is>
      </c>
      <c r="I794" s="23" t="inlineStr">
        <is>
          <t>Carried forward</t>
        </is>
      </c>
      <c r="J794" s="14" t="inlineStr">
        <is>
          <t>08 CROSSWALK</t>
        </is>
      </c>
    </row>
    <row r="795" ht="49" customHeight="1">
      <c r="A795" s="23" t="inlineStr">
        <is>
          <t>R1280-v2</t>
        </is>
      </c>
      <c r="B795" s="23" t="inlineStr">
        <is>
          <t>Cost &amp; Forecast Control Accounts / CST-03-038</t>
        </is>
      </c>
      <c r="C795" s="23" t="inlineStr">
        <is>
          <t>Cost Account = CA-3038; WBS Code = 1.3.2</t>
        </is>
      </c>
      <c r="D795" s="23" t="inlineStr">
        <is>
          <t>Proposed by Source assignment; target 1.3.2 Systems - Signalling &amp; Train Control</t>
        </is>
      </c>
      <c r="E795" s="23" t="inlineStr">
        <is>
          <t>None recorded</t>
        </is>
      </c>
      <c r="F795" s="23" t="inlineStr">
        <is>
          <t>No individual professional decision recorded; Source assignment -- not individually reviewed</t>
        </is>
      </c>
      <c r="G795" s="23" t="inlineStr">
        <is>
          <t>Not individually decided</t>
        </is>
      </c>
      <c r="H795" s="23" t="inlineStr">
        <is>
          <t xml:space="preserve">RETAINED / ONE_TO_ONE; </t>
        </is>
      </c>
      <c r="I795" s="23" t="inlineStr">
        <is>
          <t>Carried forward</t>
        </is>
      </c>
      <c r="J795" s="14" t="inlineStr">
        <is>
          <t>08 CROSSWALK</t>
        </is>
      </c>
    </row>
    <row r="796" ht="49" customHeight="1">
      <c r="A796" s="23" t="inlineStr">
        <is>
          <t>R1282-v2</t>
        </is>
      </c>
      <c r="B796" s="23" t="inlineStr">
        <is>
          <t>Cost &amp; Forecast Control Accounts / CST-03-040</t>
        </is>
      </c>
      <c r="C796" s="23" t="inlineStr">
        <is>
          <t>Cost Account = CA-3040; WBS Code = 1.3.2</t>
        </is>
      </c>
      <c r="D796" s="23" t="inlineStr">
        <is>
          <t>Proposed by Source assignment; target 1.3.2 Systems - Signalling &amp; Train Control</t>
        </is>
      </c>
      <c r="E796" s="23" t="inlineStr">
        <is>
          <t>None recorded</t>
        </is>
      </c>
      <c r="F796" s="23" t="inlineStr">
        <is>
          <t>No individual professional decision recorded; Source assignment -- not individually reviewed</t>
        </is>
      </c>
      <c r="G796" s="23" t="inlineStr">
        <is>
          <t>Not individually decided</t>
        </is>
      </c>
      <c r="H796" s="23" t="inlineStr">
        <is>
          <t xml:space="preserve">RETAINED / ONE_TO_ONE; </t>
        </is>
      </c>
      <c r="I796" s="23" t="inlineStr">
        <is>
          <t>Carried forward</t>
        </is>
      </c>
      <c r="J796" s="14" t="inlineStr">
        <is>
          <t>08 CROSSWALK</t>
        </is>
      </c>
    </row>
    <row r="797" ht="49" customHeight="1">
      <c r="A797" s="23" t="inlineStr">
        <is>
          <t>R1284-v2</t>
        </is>
      </c>
      <c r="B797" s="23" t="inlineStr">
        <is>
          <t>Cost &amp; Forecast Control Accounts / CST-03-042</t>
        </is>
      </c>
      <c r="C797" s="23" t="inlineStr">
        <is>
          <t>Cost Account = CA-3042; WBS Code = 1.3.2</t>
        </is>
      </c>
      <c r="D797" s="23" t="inlineStr">
        <is>
          <t>Proposed by Source assignment; target 1.3.2 Systems - Signalling &amp; Train Control</t>
        </is>
      </c>
      <c r="E797" s="23" t="inlineStr">
        <is>
          <t>None recorded</t>
        </is>
      </c>
      <c r="F797" s="23" t="inlineStr">
        <is>
          <t>No individual professional decision recorded; Source assignment -- not individually reviewed</t>
        </is>
      </c>
      <c r="G797" s="23" t="inlineStr">
        <is>
          <t>Not individually decided</t>
        </is>
      </c>
      <c r="H797" s="23" t="inlineStr">
        <is>
          <t xml:space="preserve">RETAINED / ONE_TO_ONE; </t>
        </is>
      </c>
      <c r="I797" s="23" t="inlineStr">
        <is>
          <t>Carried forward</t>
        </is>
      </c>
      <c r="J797" s="14" t="inlineStr">
        <is>
          <t>08 CROSSWALK</t>
        </is>
      </c>
    </row>
    <row r="798" ht="49" customHeight="1">
      <c r="A798" s="23" t="inlineStr">
        <is>
          <t>R1286-v2</t>
        </is>
      </c>
      <c r="B798" s="23" t="inlineStr">
        <is>
          <t>Cost &amp; Forecast Control Accounts / CST-03-044</t>
        </is>
      </c>
      <c r="C798" s="23" t="inlineStr">
        <is>
          <t>Cost Account = CA-3044; WBS Code = 1.3.2</t>
        </is>
      </c>
      <c r="D798" s="23" t="inlineStr">
        <is>
          <t>Proposed by Source assignment; target 1.3.2 Systems - Signalling &amp; Train Control</t>
        </is>
      </c>
      <c r="E798" s="23" t="inlineStr">
        <is>
          <t>None recorded</t>
        </is>
      </c>
      <c r="F798" s="23" t="inlineStr">
        <is>
          <t>No individual professional decision recorded; Source assignment -- not individually reviewed</t>
        </is>
      </c>
      <c r="G798" s="23" t="inlineStr">
        <is>
          <t>Not individually decided</t>
        </is>
      </c>
      <c r="H798" s="23" t="inlineStr">
        <is>
          <t xml:space="preserve">RETAINED / ONE_TO_ONE; </t>
        </is>
      </c>
      <c r="I798" s="23" t="inlineStr">
        <is>
          <t>Carried forward</t>
        </is>
      </c>
      <c r="J798" s="14" t="inlineStr">
        <is>
          <t>08 CROSSWALK</t>
        </is>
      </c>
    </row>
    <row r="799" ht="49" customHeight="1">
      <c r="A799" s="23" t="inlineStr">
        <is>
          <t>R1288-v2</t>
        </is>
      </c>
      <c r="B799" s="23" t="inlineStr">
        <is>
          <t>Cost &amp; Forecast Control Accounts / CST-03-046</t>
        </is>
      </c>
      <c r="C799" s="23" t="inlineStr">
        <is>
          <t>Cost Account = CA-3046; WBS Code = 1.3.2</t>
        </is>
      </c>
      <c r="D799" s="23" t="inlineStr">
        <is>
          <t>Proposed by Source assignment; target 1.3.2 Systems - Signalling &amp; Train Control</t>
        </is>
      </c>
      <c r="E799" s="23" t="inlineStr">
        <is>
          <t>None recorded</t>
        </is>
      </c>
      <c r="F799" s="23" t="inlineStr">
        <is>
          <t>No individual professional decision recorded; Source assignment -- not individually reviewed</t>
        </is>
      </c>
      <c r="G799" s="23" t="inlineStr">
        <is>
          <t>Not individually decided</t>
        </is>
      </c>
      <c r="H799" s="23" t="inlineStr">
        <is>
          <t xml:space="preserve">RETAINED / ONE_TO_ONE; </t>
        </is>
      </c>
      <c r="I799" s="23" t="inlineStr">
        <is>
          <t>Carried forward</t>
        </is>
      </c>
      <c r="J799" s="14" t="inlineStr">
        <is>
          <t>08 CROSSWALK</t>
        </is>
      </c>
    </row>
    <row r="800" ht="49" customHeight="1">
      <c r="A800" s="23" t="inlineStr">
        <is>
          <t>R1290-v2</t>
        </is>
      </c>
      <c r="B800" s="23" t="inlineStr">
        <is>
          <t>Cost &amp; Forecast Control Accounts / CST-03-048</t>
        </is>
      </c>
      <c r="C800" s="23" t="inlineStr">
        <is>
          <t>Cost Account = CA-3048; WBS Code = 1.3.2</t>
        </is>
      </c>
      <c r="D800" s="23" t="inlineStr">
        <is>
          <t>Proposed by Source assignment; target 1.3.2 Systems - Signalling &amp; Train Control</t>
        </is>
      </c>
      <c r="E800" s="23" t="inlineStr">
        <is>
          <t>None recorded</t>
        </is>
      </c>
      <c r="F800" s="23" t="inlineStr">
        <is>
          <t>No individual professional decision recorded; Source assignment -- not individually reviewed</t>
        </is>
      </c>
      <c r="G800" s="23" t="inlineStr">
        <is>
          <t>Not individually decided</t>
        </is>
      </c>
      <c r="H800" s="23" t="inlineStr">
        <is>
          <t xml:space="preserve">RETAINED / ONE_TO_ONE; </t>
        </is>
      </c>
      <c r="I800" s="23" t="inlineStr">
        <is>
          <t>Carried forward</t>
        </is>
      </c>
      <c r="J800" s="14" t="inlineStr">
        <is>
          <t>08 CROSSWALK</t>
        </is>
      </c>
    </row>
    <row r="801" ht="49" customHeight="1">
      <c r="A801" s="23" t="inlineStr">
        <is>
          <t>R1292-v2</t>
        </is>
      </c>
      <c r="B801" s="23" t="inlineStr">
        <is>
          <t>Cost &amp; Forecast Control Accounts / CST-03-050</t>
        </is>
      </c>
      <c r="C801" s="23" t="inlineStr">
        <is>
          <t>Cost Account = CA-3050; WBS Code = 1.3.2</t>
        </is>
      </c>
      <c r="D801" s="23" t="inlineStr">
        <is>
          <t>Proposed by Source assignment; target 1.3.2 Systems - Signalling &amp; Train Control</t>
        </is>
      </c>
      <c r="E801" s="23" t="inlineStr">
        <is>
          <t>None recorded</t>
        </is>
      </c>
      <c r="F801" s="23" t="inlineStr">
        <is>
          <t>No individual professional decision recorded; Source assignment -- not individually reviewed</t>
        </is>
      </c>
      <c r="G801" s="23" t="inlineStr">
        <is>
          <t>Not individually decided</t>
        </is>
      </c>
      <c r="H801" s="23" t="inlineStr">
        <is>
          <t xml:space="preserve">RETAINED / ONE_TO_ONE; </t>
        </is>
      </c>
      <c r="I801" s="23" t="inlineStr">
        <is>
          <t>Carried forward</t>
        </is>
      </c>
      <c r="J801" s="14" t="inlineStr">
        <is>
          <t>08 CROSSWALK</t>
        </is>
      </c>
    </row>
    <row r="802" ht="49" customHeight="1">
      <c r="A802" s="23" t="inlineStr">
        <is>
          <t>R1294-v2</t>
        </is>
      </c>
      <c r="B802" s="23" t="inlineStr">
        <is>
          <t>Cost &amp; Forecast Control Accounts / CST-03-052</t>
        </is>
      </c>
      <c r="C802" s="23" t="inlineStr">
        <is>
          <t>Cost Account = CA-3052; WBS Code = 1.3.2</t>
        </is>
      </c>
      <c r="D802" s="23" t="inlineStr">
        <is>
          <t>Proposed by Source assignment; target 1.3.2 Systems - Signalling &amp; Train Control</t>
        </is>
      </c>
      <c r="E802" s="23" t="inlineStr">
        <is>
          <t>None recorded</t>
        </is>
      </c>
      <c r="F802" s="23" t="inlineStr">
        <is>
          <t>No individual professional decision recorded; Source assignment -- not individually reviewed</t>
        </is>
      </c>
      <c r="G802" s="23" t="inlineStr">
        <is>
          <t>Not individually decided</t>
        </is>
      </c>
      <c r="H802" s="23" t="inlineStr">
        <is>
          <t xml:space="preserve">RETAINED / ONE_TO_ONE; </t>
        </is>
      </c>
      <c r="I802" s="23" t="inlineStr">
        <is>
          <t>Carried forward</t>
        </is>
      </c>
      <c r="J802" s="14" t="inlineStr">
        <is>
          <t>08 CROSSWALK</t>
        </is>
      </c>
    </row>
    <row r="803" ht="49" customHeight="1">
      <c r="A803" s="23" t="inlineStr">
        <is>
          <t>R1296-v2</t>
        </is>
      </c>
      <c r="B803" s="23" t="inlineStr">
        <is>
          <t>Cost &amp; Forecast Control Accounts / CST-03-054</t>
        </is>
      </c>
      <c r="C803" s="23" t="inlineStr">
        <is>
          <t>Cost Account = CA-3054; WBS Code = 1.3.2</t>
        </is>
      </c>
      <c r="D803" s="23" t="inlineStr">
        <is>
          <t>Proposed by Source assignment; target 1.3.2 Systems - Signalling &amp; Train Control</t>
        </is>
      </c>
      <c r="E803" s="23" t="inlineStr">
        <is>
          <t>None recorded</t>
        </is>
      </c>
      <c r="F803" s="23" t="inlineStr">
        <is>
          <t>No individual professional decision recorded; Source assignment -- not individually reviewed</t>
        </is>
      </c>
      <c r="G803" s="23" t="inlineStr">
        <is>
          <t>Not individually decided</t>
        </is>
      </c>
      <c r="H803" s="23" t="inlineStr">
        <is>
          <t xml:space="preserve">RETAINED / ONE_TO_ONE; </t>
        </is>
      </c>
      <c r="I803" s="23" t="inlineStr">
        <is>
          <t>Carried forward</t>
        </is>
      </c>
      <c r="J803" s="14" t="inlineStr">
        <is>
          <t>08 CROSSWALK</t>
        </is>
      </c>
    </row>
    <row r="804" ht="49" customHeight="1">
      <c r="A804" s="23" t="inlineStr">
        <is>
          <t>R1298-v2</t>
        </is>
      </c>
      <c r="B804" s="23" t="inlineStr">
        <is>
          <t>Cost &amp; Forecast Control Accounts / CST-03-056</t>
        </is>
      </c>
      <c r="C804" s="23" t="inlineStr">
        <is>
          <t>Cost Account = CA-3056; WBS Code = 1.3.2</t>
        </is>
      </c>
      <c r="D804" s="23" t="inlineStr">
        <is>
          <t>Proposed by Source assignment; target 1.3.2 Systems - Signalling &amp; Train Control</t>
        </is>
      </c>
      <c r="E804" s="23" t="inlineStr">
        <is>
          <t>None recorded</t>
        </is>
      </c>
      <c r="F804" s="23" t="inlineStr">
        <is>
          <t>No individual professional decision recorded; Source assignment -- not individually reviewed</t>
        </is>
      </c>
      <c r="G804" s="23" t="inlineStr">
        <is>
          <t>Not individually decided</t>
        </is>
      </c>
      <c r="H804" s="23" t="inlineStr">
        <is>
          <t xml:space="preserve">RETAINED / ONE_TO_ONE; </t>
        </is>
      </c>
      <c r="I804" s="23" t="inlineStr">
        <is>
          <t>Carried forward</t>
        </is>
      </c>
      <c r="J804" s="14" t="inlineStr">
        <is>
          <t>08 CROSSWALK</t>
        </is>
      </c>
    </row>
    <row r="805" ht="49" customHeight="1">
      <c r="A805" s="23" t="inlineStr">
        <is>
          <t>R1300-v2</t>
        </is>
      </c>
      <c r="B805" s="23" t="inlineStr">
        <is>
          <t>Cost &amp; Forecast Control Accounts / CST-03-058</t>
        </is>
      </c>
      <c r="C805" s="23" t="inlineStr">
        <is>
          <t>Cost Account = CA-3058; WBS Code = 1.3.2</t>
        </is>
      </c>
      <c r="D805" s="23" t="inlineStr">
        <is>
          <t>Proposed by Source assignment; target 1.3.2 Systems - Signalling &amp; Train Control</t>
        </is>
      </c>
      <c r="E805" s="23" t="inlineStr">
        <is>
          <t>None recorded</t>
        </is>
      </c>
      <c r="F805" s="23" t="inlineStr">
        <is>
          <t>No individual professional decision recorded; Source assignment -- not individually reviewed</t>
        </is>
      </c>
      <c r="G805" s="23" t="inlineStr">
        <is>
          <t>Not individually decided</t>
        </is>
      </c>
      <c r="H805" s="23" t="inlineStr">
        <is>
          <t xml:space="preserve">RETAINED / ONE_TO_ONE; </t>
        </is>
      </c>
      <c r="I805" s="23" t="inlineStr">
        <is>
          <t>Carried forward</t>
        </is>
      </c>
      <c r="J805" s="14" t="inlineStr">
        <is>
          <t>08 CROSSWALK</t>
        </is>
      </c>
    </row>
    <row r="806" ht="49" customHeight="1">
      <c r="A806" s="23" t="inlineStr">
        <is>
          <t>R1302-v2</t>
        </is>
      </c>
      <c r="B806" s="23" t="inlineStr">
        <is>
          <t>Cost &amp; Forecast Control Accounts / CST-03-060</t>
        </is>
      </c>
      <c r="C806" s="23" t="inlineStr">
        <is>
          <t>Cost Account = CA-3060; WBS Code = 1.3.2</t>
        </is>
      </c>
      <c r="D806" s="23" t="inlineStr">
        <is>
          <t>Proposed by Source assignment; target 1.3.2 Systems - Signalling &amp; Train Control</t>
        </is>
      </c>
      <c r="E806" s="23" t="inlineStr">
        <is>
          <t>None recorded</t>
        </is>
      </c>
      <c r="F806" s="23" t="inlineStr">
        <is>
          <t>No individual professional decision recorded; Source assignment -- not individually reviewed</t>
        </is>
      </c>
      <c r="G806" s="23" t="inlineStr">
        <is>
          <t>Not individually decided</t>
        </is>
      </c>
      <c r="H806" s="23" t="inlineStr">
        <is>
          <t xml:space="preserve">RETAINED / ONE_TO_ONE; </t>
        </is>
      </c>
      <c r="I806" s="23" t="inlineStr">
        <is>
          <t>Carried forward</t>
        </is>
      </c>
      <c r="J806" s="14" t="inlineStr">
        <is>
          <t>08 CROSSWALK</t>
        </is>
      </c>
    </row>
    <row r="807" ht="49" customHeight="1">
      <c r="A807" s="23" t="inlineStr">
        <is>
          <t>R1304-v2</t>
        </is>
      </c>
      <c r="B807" s="23" t="inlineStr">
        <is>
          <t>Cost &amp; Forecast Control Accounts / CST-03-062</t>
        </is>
      </c>
      <c r="C807" s="23" t="inlineStr">
        <is>
          <t>Cost Account = CA-3062; WBS Code = 1.3.2</t>
        </is>
      </c>
      <c r="D807" s="23" t="inlineStr">
        <is>
          <t>Proposed by Source assignment; target 1.3.2 Systems - Signalling &amp; Train Control</t>
        </is>
      </c>
      <c r="E807" s="23" t="inlineStr">
        <is>
          <t>None recorded</t>
        </is>
      </c>
      <c r="F807" s="23" t="inlineStr">
        <is>
          <t>No individual professional decision recorded; Source assignment -- not individually reviewed</t>
        </is>
      </c>
      <c r="G807" s="23" t="inlineStr">
        <is>
          <t>Not individually decided</t>
        </is>
      </c>
      <c r="H807" s="23" t="inlineStr">
        <is>
          <t xml:space="preserve">RETAINED / ONE_TO_ONE; </t>
        </is>
      </c>
      <c r="I807" s="23" t="inlineStr">
        <is>
          <t>Carried forward</t>
        </is>
      </c>
      <c r="J807" s="14" t="inlineStr">
        <is>
          <t>08 CROSSWALK</t>
        </is>
      </c>
    </row>
    <row r="808" ht="49" customHeight="1">
      <c r="A808" s="23" t="inlineStr">
        <is>
          <t>R1306-v2</t>
        </is>
      </c>
      <c r="B808" s="23" t="inlineStr">
        <is>
          <t>Cost &amp; Forecast Control Accounts / CST-03-064</t>
        </is>
      </c>
      <c r="C808" s="23" t="inlineStr">
        <is>
          <t>Cost Account = CA-3064; WBS Code = 1.3.2</t>
        </is>
      </c>
      <c r="D808" s="23" t="inlineStr">
        <is>
          <t>Proposed by Source assignment; target 1.3.2 Systems - Signalling &amp; Train Control</t>
        </is>
      </c>
      <c r="E808" s="23" t="inlineStr">
        <is>
          <t>None recorded</t>
        </is>
      </c>
      <c r="F808" s="23" t="inlineStr">
        <is>
          <t>No individual professional decision recorded; Source assignment -- not individually reviewed</t>
        </is>
      </c>
      <c r="G808" s="23" t="inlineStr">
        <is>
          <t>Not individually decided</t>
        </is>
      </c>
      <c r="H808" s="23" t="inlineStr">
        <is>
          <t xml:space="preserve">RETAINED / ONE_TO_ONE; </t>
        </is>
      </c>
      <c r="I808" s="23" t="inlineStr">
        <is>
          <t>Carried forward</t>
        </is>
      </c>
      <c r="J808" s="14" t="inlineStr">
        <is>
          <t>08 CROSSWALK</t>
        </is>
      </c>
    </row>
    <row r="809" ht="49" customHeight="1">
      <c r="A809" s="23" t="inlineStr">
        <is>
          <t>R1308-v2</t>
        </is>
      </c>
      <c r="B809" s="23" t="inlineStr">
        <is>
          <t>Cost &amp; Forecast Control Accounts / CST-03-066</t>
        </is>
      </c>
      <c r="C809" s="23" t="inlineStr">
        <is>
          <t>Cost Account = CA-3066; WBS Code = 1.3.2</t>
        </is>
      </c>
      <c r="D809" s="23" t="inlineStr">
        <is>
          <t>Proposed by Source assignment; target 1.3.2 Systems - Signalling &amp; Train Control</t>
        </is>
      </c>
      <c r="E809" s="23" t="inlineStr">
        <is>
          <t>None recorded</t>
        </is>
      </c>
      <c r="F809" s="23" t="inlineStr">
        <is>
          <t>No individual professional decision recorded; Source assignment -- not individually reviewed</t>
        </is>
      </c>
      <c r="G809" s="23" t="inlineStr">
        <is>
          <t>Not individually decided</t>
        </is>
      </c>
      <c r="H809" s="23" t="inlineStr">
        <is>
          <t xml:space="preserve">RETAINED / ONE_TO_ONE; </t>
        </is>
      </c>
      <c r="I809" s="23" t="inlineStr">
        <is>
          <t>Carried forward</t>
        </is>
      </c>
      <c r="J809" s="14" t="inlineStr">
        <is>
          <t>08 CROSSWALK</t>
        </is>
      </c>
    </row>
    <row r="810" ht="49" customHeight="1">
      <c r="A810" s="23" t="inlineStr">
        <is>
          <t>R1310-v2</t>
        </is>
      </c>
      <c r="B810" s="23" t="inlineStr">
        <is>
          <t>Cost &amp; Forecast Control Accounts / CST-03-068</t>
        </is>
      </c>
      <c r="C810" s="23" t="inlineStr">
        <is>
          <t>Cost Account = CA-3068; WBS Code = 1.3.2</t>
        </is>
      </c>
      <c r="D810" s="23" t="inlineStr">
        <is>
          <t>Proposed by Source assignment; target 1.3.2 Systems - Signalling &amp; Train Control</t>
        </is>
      </c>
      <c r="E810" s="23" t="inlineStr">
        <is>
          <t>None recorded</t>
        </is>
      </c>
      <c r="F810" s="23" t="inlineStr">
        <is>
          <t>No individual professional decision recorded; Source assignment -- not individually reviewed</t>
        </is>
      </c>
      <c r="G810" s="23" t="inlineStr">
        <is>
          <t>Not individually decided</t>
        </is>
      </c>
      <c r="H810" s="23" t="inlineStr">
        <is>
          <t xml:space="preserve">RETAINED / ONE_TO_ONE; </t>
        </is>
      </c>
      <c r="I810" s="23" t="inlineStr">
        <is>
          <t>Carried forward</t>
        </is>
      </c>
      <c r="J810" s="14" t="inlineStr">
        <is>
          <t>08 CROSSWALK</t>
        </is>
      </c>
    </row>
    <row r="811" ht="49" customHeight="1">
      <c r="A811" s="23" t="inlineStr">
        <is>
          <t>R1312-v2</t>
        </is>
      </c>
      <c r="B811" s="23" t="inlineStr">
        <is>
          <t>Cost &amp; Forecast Control Accounts / CST-03-070</t>
        </is>
      </c>
      <c r="C811" s="23" t="inlineStr">
        <is>
          <t>Cost Account = CA-3070; WBS Code = 1.3.2</t>
        </is>
      </c>
      <c r="D811" s="23" t="inlineStr">
        <is>
          <t>Proposed by Source assignment; target 1.3.2 Systems - Signalling &amp; Train Control</t>
        </is>
      </c>
      <c r="E811" s="23" t="inlineStr">
        <is>
          <t>None recorded</t>
        </is>
      </c>
      <c r="F811" s="23" t="inlineStr">
        <is>
          <t>No individual professional decision recorded; Source assignment -- not individually reviewed</t>
        </is>
      </c>
      <c r="G811" s="23" t="inlineStr">
        <is>
          <t>Not individually decided</t>
        </is>
      </c>
      <c r="H811" s="23" t="inlineStr">
        <is>
          <t xml:space="preserve">RETAINED / ONE_TO_ONE; </t>
        </is>
      </c>
      <c r="I811" s="23" t="inlineStr">
        <is>
          <t>Carried forward</t>
        </is>
      </c>
      <c r="J811" s="14" t="inlineStr">
        <is>
          <t>08 CROSSWALK</t>
        </is>
      </c>
    </row>
    <row r="812" ht="49" customHeight="1">
      <c r="A812" s="23" t="inlineStr">
        <is>
          <t>R1314-v2</t>
        </is>
      </c>
      <c r="B812" s="23" t="inlineStr">
        <is>
          <t>Cost &amp; Forecast Control Accounts / CST-03-072</t>
        </is>
      </c>
      <c r="C812" s="23" t="inlineStr">
        <is>
          <t>Cost Account = CA-3072; WBS Code = 1.3.2</t>
        </is>
      </c>
      <c r="D812" s="23" t="inlineStr">
        <is>
          <t>Proposed by Source assignment; target 1.3.2 Systems - Signalling &amp; Train Control</t>
        </is>
      </c>
      <c r="E812" s="23" t="inlineStr">
        <is>
          <t>None recorded</t>
        </is>
      </c>
      <c r="F812" s="23" t="inlineStr">
        <is>
          <t>No individual professional decision recorded; Source assignment -- not individually reviewed</t>
        </is>
      </c>
      <c r="G812" s="23" t="inlineStr">
        <is>
          <t>Not individually decided</t>
        </is>
      </c>
      <c r="H812" s="23" t="inlineStr">
        <is>
          <t xml:space="preserve">RETAINED / ONE_TO_ONE; </t>
        </is>
      </c>
      <c r="I812" s="23" t="inlineStr">
        <is>
          <t>Carried forward</t>
        </is>
      </c>
      <c r="J812" s="14" t="inlineStr">
        <is>
          <t>08 CROSSWALK</t>
        </is>
      </c>
    </row>
    <row r="813" ht="49" customHeight="1">
      <c r="A813" s="23" t="inlineStr">
        <is>
          <t>R1316-v2</t>
        </is>
      </c>
      <c r="B813" s="23" t="inlineStr">
        <is>
          <t>Cost &amp; Forecast Control Accounts / CST-03-074</t>
        </is>
      </c>
      <c r="C813" s="23" t="inlineStr">
        <is>
          <t>Cost Account = CA-3074; WBS Code = 1.3.2</t>
        </is>
      </c>
      <c r="D813" s="23" t="inlineStr">
        <is>
          <t>Proposed by Source assignment; target 1.3.2 Systems - Signalling &amp; Train Control</t>
        </is>
      </c>
      <c r="E813" s="23" t="inlineStr">
        <is>
          <t>None recorded</t>
        </is>
      </c>
      <c r="F813" s="23" t="inlineStr">
        <is>
          <t>No individual professional decision recorded; Source assignment -- not individually reviewed</t>
        </is>
      </c>
      <c r="G813" s="23" t="inlineStr">
        <is>
          <t>Not individually decided</t>
        </is>
      </c>
      <c r="H813" s="23" t="inlineStr">
        <is>
          <t xml:space="preserve">RETAINED / ONE_TO_ONE; </t>
        </is>
      </c>
      <c r="I813" s="23" t="inlineStr">
        <is>
          <t>Carried forward</t>
        </is>
      </c>
      <c r="J813" s="14" t="inlineStr">
        <is>
          <t>08 CROSSWALK</t>
        </is>
      </c>
    </row>
    <row r="814" ht="49" customHeight="1">
      <c r="A814" s="23" t="inlineStr">
        <is>
          <t>R1318-v2</t>
        </is>
      </c>
      <c r="B814" s="23" t="inlineStr">
        <is>
          <t>Cost &amp; Forecast Control Accounts / CST-03-076</t>
        </is>
      </c>
      <c r="C814" s="23" t="inlineStr">
        <is>
          <t>Cost Account = CA-3076; WBS Code = 1.3.2</t>
        </is>
      </c>
      <c r="D814" s="23" t="inlineStr">
        <is>
          <t>Proposed by Source assignment; target 1.3.2 Systems - Signalling &amp; Train Control</t>
        </is>
      </c>
      <c r="E814" s="23" t="inlineStr">
        <is>
          <t>None recorded</t>
        </is>
      </c>
      <c r="F814" s="23" t="inlineStr">
        <is>
          <t>No individual professional decision recorded; Source assignment -- not individually reviewed</t>
        </is>
      </c>
      <c r="G814" s="23" t="inlineStr">
        <is>
          <t>Not individually decided</t>
        </is>
      </c>
      <c r="H814" s="23" t="inlineStr">
        <is>
          <t xml:space="preserve">RETAINED / ONE_TO_ONE; </t>
        </is>
      </c>
      <c r="I814" s="23" t="inlineStr">
        <is>
          <t>Carried forward</t>
        </is>
      </c>
      <c r="J814" s="14" t="inlineStr">
        <is>
          <t>08 CROSSWALK</t>
        </is>
      </c>
    </row>
    <row r="815" ht="49" customHeight="1">
      <c r="A815" s="23" t="inlineStr">
        <is>
          <t>R1320-v2</t>
        </is>
      </c>
      <c r="B815" s="23" t="inlineStr">
        <is>
          <t>Cost &amp; Forecast Control Accounts / CST-03-078</t>
        </is>
      </c>
      <c r="C815" s="23" t="inlineStr">
        <is>
          <t>Cost Account = CA-3078; WBS Code = 1.3.2</t>
        </is>
      </c>
      <c r="D815" s="23" t="inlineStr">
        <is>
          <t>Proposed by Source assignment; target 1.3.2 Systems - Signalling &amp; Train Control</t>
        </is>
      </c>
      <c r="E815" s="23" t="inlineStr">
        <is>
          <t>None recorded</t>
        </is>
      </c>
      <c r="F815" s="23" t="inlineStr">
        <is>
          <t>No individual professional decision recorded; Source assignment -- not individually reviewed</t>
        </is>
      </c>
      <c r="G815" s="23" t="inlineStr">
        <is>
          <t>Not individually decided</t>
        </is>
      </c>
      <c r="H815" s="23" t="inlineStr">
        <is>
          <t xml:space="preserve">RETAINED / ONE_TO_ONE; </t>
        </is>
      </c>
      <c r="I815" s="23" t="inlineStr">
        <is>
          <t>Carried forward</t>
        </is>
      </c>
      <c r="J815" s="14" t="inlineStr">
        <is>
          <t>08 CROSSWALK</t>
        </is>
      </c>
    </row>
    <row r="816" ht="49" customHeight="1">
      <c r="A816" s="23" t="inlineStr">
        <is>
          <t>R1322-v2</t>
        </is>
      </c>
      <c r="B816" s="23" t="inlineStr">
        <is>
          <t>Cost &amp; Forecast Control Accounts / CST-03-080</t>
        </is>
      </c>
      <c r="C816" s="23" t="inlineStr">
        <is>
          <t>Cost Account = CA-3080; WBS Code = 1.3.2</t>
        </is>
      </c>
      <c r="D816" s="23" t="inlineStr">
        <is>
          <t>Proposed by Source assignment; target 1.3.2 Systems - Signalling &amp; Train Control</t>
        </is>
      </c>
      <c r="E816" s="23" t="inlineStr">
        <is>
          <t>None recorded</t>
        </is>
      </c>
      <c r="F816" s="23" t="inlineStr">
        <is>
          <t>No individual professional decision recorded; Source assignment -- not individually reviewed</t>
        </is>
      </c>
      <c r="G816" s="23" t="inlineStr">
        <is>
          <t>Not individually decided</t>
        </is>
      </c>
      <c r="H816" s="23" t="inlineStr">
        <is>
          <t xml:space="preserve">RETAINED / ONE_TO_ONE; </t>
        </is>
      </c>
      <c r="I816" s="23" t="inlineStr">
        <is>
          <t>Carried forward</t>
        </is>
      </c>
      <c r="J816" s="14" t="inlineStr">
        <is>
          <t>08 CROSSWALK</t>
        </is>
      </c>
    </row>
    <row r="817" ht="49" customHeight="1">
      <c r="A817" s="23" t="inlineStr">
        <is>
          <t>R1593-v2</t>
        </is>
      </c>
      <c r="B817" s="23" t="inlineStr">
        <is>
          <t>Commercial Package Register / PKG-031</t>
        </is>
      </c>
      <c r="C817" s="23" t="inlineStr">
        <is>
          <t>Package Code = PK-401; WBS Code = 1.4</t>
        </is>
      </c>
      <c r="D817" s="23" t="inlineStr">
        <is>
          <t>Proposed by Source assignment; target 1.4 Vehicles and Depot</t>
        </is>
      </c>
      <c r="E817" s="23" t="inlineStr">
        <is>
          <t>None recorded</t>
        </is>
      </c>
      <c r="F817" s="23" t="inlineStr">
        <is>
          <t>No individual professional decision recorded; Source assignment -- not individually reviewed</t>
        </is>
      </c>
      <c r="G817" s="23" t="inlineStr">
        <is>
          <t>Not individually decided</t>
        </is>
      </c>
      <c r="H817" s="23" t="inlineStr">
        <is>
          <t xml:space="preserve">RETAINED / ONE_TO_ONE; </t>
        </is>
      </c>
      <c r="I817" s="23" t="inlineStr">
        <is>
          <t>Carried forward</t>
        </is>
      </c>
      <c r="J817" s="14" t="inlineStr">
        <is>
          <t>08 CROSSWALK</t>
        </is>
      </c>
    </row>
    <row r="818" ht="49" customHeight="1">
      <c r="A818" s="23" t="inlineStr">
        <is>
          <t>R1594-v2</t>
        </is>
      </c>
      <c r="B818" s="23" t="inlineStr">
        <is>
          <t>Commercial Package Register / PKG-032</t>
        </is>
      </c>
      <c r="C818" s="23" t="inlineStr">
        <is>
          <t>Package Code = PK-402; WBS Code = 1.4</t>
        </is>
      </c>
      <c r="D818" s="23" t="inlineStr">
        <is>
          <t>Proposed by Source assignment; target 1.4 Vehicles and Depot</t>
        </is>
      </c>
      <c r="E818" s="23" t="inlineStr">
        <is>
          <t>None recorded</t>
        </is>
      </c>
      <c r="F818" s="23" t="inlineStr">
        <is>
          <t>No individual professional decision recorded; Source assignment -- not individually reviewed</t>
        </is>
      </c>
      <c r="G818" s="23" t="inlineStr">
        <is>
          <t>Not individually decided</t>
        </is>
      </c>
      <c r="H818" s="23" t="inlineStr">
        <is>
          <t xml:space="preserve">RETAINED / ONE_TO_ONE; </t>
        </is>
      </c>
      <c r="I818" s="23" t="inlineStr">
        <is>
          <t>Carried forward</t>
        </is>
      </c>
      <c r="J818" s="14" t="inlineStr">
        <is>
          <t>08 CROSSWALK</t>
        </is>
      </c>
    </row>
    <row r="819" ht="49" customHeight="1">
      <c r="A819" s="23" t="inlineStr">
        <is>
          <t>R1595-v2</t>
        </is>
      </c>
      <c r="B819" s="23" t="inlineStr">
        <is>
          <t>Commercial Package Register / PKG-033</t>
        </is>
      </c>
      <c r="C819" s="23" t="inlineStr">
        <is>
          <t>Package Code = PK-403; WBS Code = 1.4</t>
        </is>
      </c>
      <c r="D819" s="23" t="inlineStr">
        <is>
          <t>Proposed by Source assignment; target 1.4 Vehicles and Depot</t>
        </is>
      </c>
      <c r="E819" s="23" t="inlineStr">
        <is>
          <t>None recorded</t>
        </is>
      </c>
      <c r="F819" s="23" t="inlineStr">
        <is>
          <t>No individual professional decision recorded; Source assignment -- not individually reviewed</t>
        </is>
      </c>
      <c r="G819" s="23" t="inlineStr">
        <is>
          <t>Not individually decided</t>
        </is>
      </c>
      <c r="H819" s="23" t="inlineStr">
        <is>
          <t xml:space="preserve">RETAINED / ONE_TO_ONE; </t>
        </is>
      </c>
      <c r="I819" s="23" t="inlineStr">
        <is>
          <t>Carried forward</t>
        </is>
      </c>
      <c r="J819" s="14" t="inlineStr">
        <is>
          <t>08 CROSSWALK</t>
        </is>
      </c>
    </row>
    <row r="820" ht="49" customHeight="1">
      <c r="A820" s="23" t="inlineStr">
        <is>
          <t>R1596-v2</t>
        </is>
      </c>
      <c r="B820" s="23" t="inlineStr">
        <is>
          <t>Commercial Package Register / PKG-034</t>
        </is>
      </c>
      <c r="C820" s="23" t="inlineStr">
        <is>
          <t>Package Code = PK-404; WBS Code = 1.4</t>
        </is>
      </c>
      <c r="D820" s="23" t="inlineStr">
        <is>
          <t>Proposed by Source assignment; target 1.4 Vehicles and Depot</t>
        </is>
      </c>
      <c r="E820" s="23" t="inlineStr">
        <is>
          <t>None recorded</t>
        </is>
      </c>
      <c r="F820" s="23" t="inlineStr">
        <is>
          <t>No individual professional decision recorded; Source assignment -- not individually reviewed</t>
        </is>
      </c>
      <c r="G820" s="23" t="inlineStr">
        <is>
          <t>Not individually decided</t>
        </is>
      </c>
      <c r="H820" s="23" t="inlineStr">
        <is>
          <t xml:space="preserve">RETAINED / ONE_TO_ONE; </t>
        </is>
      </c>
      <c r="I820" s="23" t="inlineStr">
        <is>
          <t>Carried forward</t>
        </is>
      </c>
      <c r="J820" s="14" t="inlineStr">
        <is>
          <t>08 CROSSWALK</t>
        </is>
      </c>
    </row>
    <row r="821" ht="49" customHeight="1">
      <c r="A821" s="23" t="inlineStr">
        <is>
          <t>R1597-v2</t>
        </is>
      </c>
      <c r="B821" s="23" t="inlineStr">
        <is>
          <t>Commercial Package Register / PKG-035</t>
        </is>
      </c>
      <c r="C821" s="23" t="inlineStr">
        <is>
          <t>Package Code = PK-405; WBS Code = 1.4</t>
        </is>
      </c>
      <c r="D821" s="23" t="inlineStr">
        <is>
          <t>Proposed by Source assignment; target 1.4 Vehicles and Depot</t>
        </is>
      </c>
      <c r="E821" s="23" t="inlineStr">
        <is>
          <t>None recorded</t>
        </is>
      </c>
      <c r="F821" s="23" t="inlineStr">
        <is>
          <t>No individual professional decision recorded; Source assignment -- not individually reviewed</t>
        </is>
      </c>
      <c r="G821" s="23" t="inlineStr">
        <is>
          <t>Not individually decided</t>
        </is>
      </c>
      <c r="H821" s="23" t="inlineStr">
        <is>
          <t xml:space="preserve">RETAINED / ONE_TO_ONE; </t>
        </is>
      </c>
      <c r="I821" s="23" t="inlineStr">
        <is>
          <t>Carried forward</t>
        </is>
      </c>
      <c r="J821" s="14" t="inlineStr">
        <is>
          <t>08 CROSSWALK</t>
        </is>
      </c>
    </row>
    <row r="822" ht="49" customHeight="1">
      <c r="A822" s="23" t="inlineStr">
        <is>
          <t>R1598-v2</t>
        </is>
      </c>
      <c r="B822" s="23" t="inlineStr">
        <is>
          <t>Commercial Package Register / PKG-036</t>
        </is>
      </c>
      <c r="C822" s="23" t="inlineStr">
        <is>
          <t>Package Code = PK-406; WBS Code = 1.4</t>
        </is>
      </c>
      <c r="D822" s="23" t="inlineStr">
        <is>
          <t>Proposed by Source assignment; target 1.4 Vehicles and Depot</t>
        </is>
      </c>
      <c r="E822" s="23" t="inlineStr">
        <is>
          <t>None recorded</t>
        </is>
      </c>
      <c r="F822" s="23" t="inlineStr">
        <is>
          <t>No individual professional decision recorded; Source assignment -- not individually reviewed</t>
        </is>
      </c>
      <c r="G822" s="23" t="inlineStr">
        <is>
          <t>Not individually decided</t>
        </is>
      </c>
      <c r="H822" s="23" t="inlineStr">
        <is>
          <t xml:space="preserve">RETAINED / ONE_TO_ONE; </t>
        </is>
      </c>
      <c r="I822" s="23" t="inlineStr">
        <is>
          <t>Carried forward</t>
        </is>
      </c>
      <c r="J822" s="14" t="inlineStr">
        <is>
          <t>08 CROSSWALK</t>
        </is>
      </c>
    </row>
    <row r="823" ht="49" customHeight="1">
      <c r="A823" s="23" t="inlineStr">
        <is>
          <t>R1599-v2</t>
        </is>
      </c>
      <c r="B823" s="23" t="inlineStr">
        <is>
          <t>Commercial Package Register / PKG-037</t>
        </is>
      </c>
      <c r="C823" s="23" t="inlineStr">
        <is>
          <t>Package Code = PK-407; WBS Code = 1.4</t>
        </is>
      </c>
      <c r="D823" s="23" t="inlineStr">
        <is>
          <t>Proposed by Source assignment; target 1.4 Vehicles and Depot</t>
        </is>
      </c>
      <c r="E823" s="23" t="inlineStr">
        <is>
          <t>None recorded</t>
        </is>
      </c>
      <c r="F823" s="23" t="inlineStr">
        <is>
          <t>No individual professional decision recorded; Source assignment -- not individually reviewed</t>
        </is>
      </c>
      <c r="G823" s="23" t="inlineStr">
        <is>
          <t>Not individually decided</t>
        </is>
      </c>
      <c r="H823" s="23" t="inlineStr">
        <is>
          <t xml:space="preserve">RETAINED / ONE_TO_ONE; </t>
        </is>
      </c>
      <c r="I823" s="23" t="inlineStr">
        <is>
          <t>Carried forward</t>
        </is>
      </c>
      <c r="J823" s="14" t="inlineStr">
        <is>
          <t>08 CROSSWALK</t>
        </is>
      </c>
    </row>
    <row r="824" ht="49" customHeight="1">
      <c r="A824" s="23" t="inlineStr">
        <is>
          <t>R1600-v2</t>
        </is>
      </c>
      <c r="B824" s="23" t="inlineStr">
        <is>
          <t>Commercial Package Register / PKG-038</t>
        </is>
      </c>
      <c r="C824" s="23" t="inlineStr">
        <is>
          <t>Package Code = PK-408; WBS Code = 1.4</t>
        </is>
      </c>
      <c r="D824" s="23" t="inlineStr">
        <is>
          <t>Proposed by Source assignment; target 1.4 Vehicles and Depot</t>
        </is>
      </c>
      <c r="E824" s="23" t="inlineStr">
        <is>
          <t>None recorded</t>
        </is>
      </c>
      <c r="F824" s="23" t="inlineStr">
        <is>
          <t>No individual professional decision recorded; Source assignment -- not individually reviewed</t>
        </is>
      </c>
      <c r="G824" s="23" t="inlineStr">
        <is>
          <t>Not individually decided</t>
        </is>
      </c>
      <c r="H824" s="23" t="inlineStr">
        <is>
          <t xml:space="preserve">RETAINED / ONE_TO_ONE; </t>
        </is>
      </c>
      <c r="I824" s="23" t="inlineStr">
        <is>
          <t>Carried forward</t>
        </is>
      </c>
      <c r="J824" s="14" t="inlineStr">
        <is>
          <t>08 CROSSWALK</t>
        </is>
      </c>
    </row>
    <row r="825" ht="49" customHeight="1">
      <c r="A825" s="23" t="inlineStr">
        <is>
          <t>R1601-v2</t>
        </is>
      </c>
      <c r="B825" s="23" t="inlineStr">
        <is>
          <t>Commercial Package Register / PKG-039</t>
        </is>
      </c>
      <c r="C825" s="23" t="inlineStr">
        <is>
          <t>Package Code = PK-409; WBS Code = 1.4</t>
        </is>
      </c>
      <c r="D825" s="23" t="inlineStr">
        <is>
          <t>Proposed by Source assignment; target 1.4 Vehicles and Depot</t>
        </is>
      </c>
      <c r="E825" s="23" t="inlineStr">
        <is>
          <t>None recorded</t>
        </is>
      </c>
      <c r="F825" s="23" t="inlineStr">
        <is>
          <t>No individual professional decision recorded; Source assignment -- not individually reviewed</t>
        </is>
      </c>
      <c r="G825" s="23" t="inlineStr">
        <is>
          <t>Not individually decided</t>
        </is>
      </c>
      <c r="H825" s="23" t="inlineStr">
        <is>
          <t xml:space="preserve">RETAINED / ONE_TO_ONE; </t>
        </is>
      </c>
      <c r="I825" s="23" t="inlineStr">
        <is>
          <t>Carried forward</t>
        </is>
      </c>
      <c r="J825" s="14" t="inlineStr">
        <is>
          <t>08 CROSSWALK</t>
        </is>
      </c>
    </row>
    <row r="826" ht="49" customHeight="1">
      <c r="A826" s="23" t="inlineStr">
        <is>
          <t>R1602-v2</t>
        </is>
      </c>
      <c r="B826" s="23" t="inlineStr">
        <is>
          <t>Commercial Package Register / PKG-040</t>
        </is>
      </c>
      <c r="C826" s="23" t="inlineStr">
        <is>
          <t>Package Code = PK-410; WBS Code = 1.4</t>
        </is>
      </c>
      <c r="D826" s="23" t="inlineStr">
        <is>
          <t>Proposed by Source assignment; target 1.4 Vehicles and Depot</t>
        </is>
      </c>
      <c r="E826" s="23" t="inlineStr">
        <is>
          <t>None recorded</t>
        </is>
      </c>
      <c r="F826" s="23" t="inlineStr">
        <is>
          <t>No individual professional decision recorded; Source assignment -- not individually reviewed</t>
        </is>
      </c>
      <c r="G826" s="23" t="inlineStr">
        <is>
          <t>Not individually decided</t>
        </is>
      </c>
      <c r="H826" s="23" t="inlineStr">
        <is>
          <t xml:space="preserve">RETAINED / ONE_TO_ONE; </t>
        </is>
      </c>
      <c r="I826" s="23" t="inlineStr">
        <is>
          <t>Carried forward</t>
        </is>
      </c>
      <c r="J826" s="14" t="inlineStr">
        <is>
          <t>08 CROSSWALK</t>
        </is>
      </c>
    </row>
    <row r="827" ht="49" customHeight="1">
      <c r="A827" s="23" t="inlineStr">
        <is>
          <t>R541-v2</t>
        </is>
      </c>
      <c r="B827" s="23" t="inlineStr">
        <is>
          <t>Contractor Programme / SCH-04-001</t>
        </is>
      </c>
      <c r="C827" s="23" t="inlineStr">
        <is>
          <t>WBS Code = 1.4.1</t>
        </is>
      </c>
      <c r="D827" s="23" t="inlineStr">
        <is>
          <t>Proposed by Source assignment; target 1.4.1 Vehicles and Depot - Fleet Supply</t>
        </is>
      </c>
      <c r="E827" s="23" t="inlineStr">
        <is>
          <t>None recorded</t>
        </is>
      </c>
      <c r="F827" s="23" t="inlineStr">
        <is>
          <t>No individual professional decision recorded; Source assignment -- not individually reviewed</t>
        </is>
      </c>
      <c r="G827" s="23" t="inlineStr">
        <is>
          <t>Not individually decided</t>
        </is>
      </c>
      <c r="H827" s="23" t="inlineStr">
        <is>
          <t xml:space="preserve">RETAINED / ONE_TO_ONE; </t>
        </is>
      </c>
      <c r="I827" s="23" t="inlineStr">
        <is>
          <t>Carried forward</t>
        </is>
      </c>
      <c r="J827" s="14" t="inlineStr">
        <is>
          <t>08 CROSSWALK</t>
        </is>
      </c>
    </row>
    <row r="828" ht="49" customHeight="1">
      <c r="A828" s="23" t="inlineStr">
        <is>
          <t>R542-v2</t>
        </is>
      </c>
      <c r="B828" s="23" t="inlineStr">
        <is>
          <t>Contractor Programme / SCH-04-002</t>
        </is>
      </c>
      <c r="C828" s="23" t="inlineStr">
        <is>
          <t>WBS Code = 1.4.1</t>
        </is>
      </c>
      <c r="D828" s="23" t="inlineStr">
        <is>
          <t>Proposed by Source assignment; target 1.4.1 Vehicles and Depot - Fleet Supply</t>
        </is>
      </c>
      <c r="E828" s="23" t="inlineStr">
        <is>
          <t>None recorded</t>
        </is>
      </c>
      <c r="F828" s="23" t="inlineStr">
        <is>
          <t>No individual professional decision recorded; Source assignment -- not individually reviewed</t>
        </is>
      </c>
      <c r="G828" s="23" t="inlineStr">
        <is>
          <t>Not individually decided</t>
        </is>
      </c>
      <c r="H828" s="23" t="inlineStr">
        <is>
          <t xml:space="preserve">RETAINED / ONE_TO_ONE; </t>
        </is>
      </c>
      <c r="I828" s="23" t="inlineStr">
        <is>
          <t>Carried forward</t>
        </is>
      </c>
      <c r="J828" s="14" t="inlineStr">
        <is>
          <t>08 CROSSWALK</t>
        </is>
      </c>
    </row>
    <row r="829" ht="49" customHeight="1">
      <c r="A829" s="23" t="inlineStr">
        <is>
          <t>R544-v2</t>
        </is>
      </c>
      <c r="B829" s="23" t="inlineStr">
        <is>
          <t>Contractor Programme / SCH-04-004</t>
        </is>
      </c>
      <c r="C829" s="23" t="inlineStr">
        <is>
          <t>WBS Code = 1.4.1</t>
        </is>
      </c>
      <c r="D829" s="23" t="inlineStr">
        <is>
          <t>Proposed by Source assignment; target 1.4.1 Vehicles and Depot - Fleet Supply</t>
        </is>
      </c>
      <c r="E829" s="23" t="inlineStr">
        <is>
          <t>None recorded</t>
        </is>
      </c>
      <c r="F829" s="23" t="inlineStr">
        <is>
          <t>No individual professional decision recorded; Source assignment -- not individually reviewed</t>
        </is>
      </c>
      <c r="G829" s="23" t="inlineStr">
        <is>
          <t>Not individually decided</t>
        </is>
      </c>
      <c r="H829" s="23" t="inlineStr">
        <is>
          <t xml:space="preserve">RETAINED / ONE_TO_ONE; </t>
        </is>
      </c>
      <c r="I829" s="23" t="inlineStr">
        <is>
          <t>Carried forward</t>
        </is>
      </c>
      <c r="J829" s="14" t="inlineStr">
        <is>
          <t>08 CROSSWALK</t>
        </is>
      </c>
    </row>
    <row r="830" ht="49" customHeight="1">
      <c r="A830" s="23" t="inlineStr">
        <is>
          <t>R545-v2</t>
        </is>
      </c>
      <c r="B830" s="23" t="inlineStr">
        <is>
          <t>Contractor Programme / SCH-04-005</t>
        </is>
      </c>
      <c r="C830" s="23" t="inlineStr">
        <is>
          <t>WBS Code = 1.4.1</t>
        </is>
      </c>
      <c r="D830" s="23" t="inlineStr">
        <is>
          <t>Proposed by Source assignment; target 1.4.1 Vehicles and Depot - Fleet Supply</t>
        </is>
      </c>
      <c r="E830" s="23" t="inlineStr">
        <is>
          <t>None recorded</t>
        </is>
      </c>
      <c r="F830" s="23" t="inlineStr">
        <is>
          <t>No individual professional decision recorded; Source assignment -- not individually reviewed</t>
        </is>
      </c>
      <c r="G830" s="23" t="inlineStr">
        <is>
          <t>Not individually decided</t>
        </is>
      </c>
      <c r="H830" s="23" t="inlineStr">
        <is>
          <t xml:space="preserve">RETAINED / ONE_TO_ONE; </t>
        </is>
      </c>
      <c r="I830" s="23" t="inlineStr">
        <is>
          <t>Carried forward</t>
        </is>
      </c>
      <c r="J830" s="14" t="inlineStr">
        <is>
          <t>08 CROSSWALK</t>
        </is>
      </c>
    </row>
    <row r="831" ht="49" customHeight="1">
      <c r="A831" s="23" t="inlineStr">
        <is>
          <t>R547-v2</t>
        </is>
      </c>
      <c r="B831" s="23" t="inlineStr">
        <is>
          <t>Contractor Programme / SCH-04-007</t>
        </is>
      </c>
      <c r="C831" s="23" t="inlineStr">
        <is>
          <t>WBS Code = 1.4.1</t>
        </is>
      </c>
      <c r="D831" s="23" t="inlineStr">
        <is>
          <t>Proposed by Source assignment; target 1.4.1 Vehicles and Depot - Fleet Supply</t>
        </is>
      </c>
      <c r="E831" s="23" t="inlineStr">
        <is>
          <t>None recorded</t>
        </is>
      </c>
      <c r="F831" s="23" t="inlineStr">
        <is>
          <t>No individual professional decision recorded; Source assignment -- not individually reviewed</t>
        </is>
      </c>
      <c r="G831" s="23" t="inlineStr">
        <is>
          <t>Not individually decided</t>
        </is>
      </c>
      <c r="H831" s="23" t="inlineStr">
        <is>
          <t xml:space="preserve">RETAINED / ONE_TO_ONE; </t>
        </is>
      </c>
      <c r="I831" s="23" t="inlineStr">
        <is>
          <t>Carried forward</t>
        </is>
      </c>
      <c r="J831" s="14" t="inlineStr">
        <is>
          <t>08 CROSSWALK</t>
        </is>
      </c>
    </row>
    <row r="832" ht="49" customHeight="1">
      <c r="A832" s="23" t="inlineStr">
        <is>
          <t>R548-v2</t>
        </is>
      </c>
      <c r="B832" s="23" t="inlineStr">
        <is>
          <t>Contractor Programme / SCH-04-008</t>
        </is>
      </c>
      <c r="C832" s="23" t="inlineStr">
        <is>
          <t>WBS Code = 1.4.1</t>
        </is>
      </c>
      <c r="D832" s="23" t="inlineStr">
        <is>
          <t>Proposed by Source assignment; target 1.4.1 Vehicles and Depot - Fleet Supply</t>
        </is>
      </c>
      <c r="E832" s="23" t="inlineStr">
        <is>
          <t>None recorded</t>
        </is>
      </c>
      <c r="F832" s="23" t="inlineStr">
        <is>
          <t>No individual professional decision recorded; Source assignment -- not individually reviewed</t>
        </is>
      </c>
      <c r="G832" s="23" t="inlineStr">
        <is>
          <t>Not individually decided</t>
        </is>
      </c>
      <c r="H832" s="23" t="inlineStr">
        <is>
          <t xml:space="preserve">RETAINED / ONE_TO_ONE; </t>
        </is>
      </c>
      <c r="I832" s="23" t="inlineStr">
        <is>
          <t>Carried forward</t>
        </is>
      </c>
      <c r="J832" s="14" t="inlineStr">
        <is>
          <t>08 CROSSWALK</t>
        </is>
      </c>
    </row>
    <row r="833" ht="49" customHeight="1">
      <c r="A833" s="23" t="inlineStr">
        <is>
          <t>R550-v2</t>
        </is>
      </c>
      <c r="B833" s="23" t="inlineStr">
        <is>
          <t>Contractor Programme / SCH-04-010</t>
        </is>
      </c>
      <c r="C833" s="23" t="inlineStr">
        <is>
          <t>WBS Code = 1.4.1</t>
        </is>
      </c>
      <c r="D833" s="23" t="inlineStr">
        <is>
          <t>Proposed by Source assignment; target 1.4.1 Vehicles and Depot - Fleet Supply</t>
        </is>
      </c>
      <c r="E833" s="23" t="inlineStr">
        <is>
          <t>None recorded</t>
        </is>
      </c>
      <c r="F833" s="23" t="inlineStr">
        <is>
          <t>No individual professional decision recorded; Source assignment -- not individually reviewed</t>
        </is>
      </c>
      <c r="G833" s="23" t="inlineStr">
        <is>
          <t>Not individually decided</t>
        </is>
      </c>
      <c r="H833" s="23" t="inlineStr">
        <is>
          <t xml:space="preserve">RETAINED / ONE_TO_ONE; </t>
        </is>
      </c>
      <c r="I833" s="23" t="inlineStr">
        <is>
          <t>Carried forward</t>
        </is>
      </c>
      <c r="J833" s="14" t="inlineStr">
        <is>
          <t>08 CROSSWALK</t>
        </is>
      </c>
    </row>
    <row r="834" ht="49" customHeight="1">
      <c r="A834" s="23" t="inlineStr">
        <is>
          <t>R551-v2</t>
        </is>
      </c>
      <c r="B834" s="23" t="inlineStr">
        <is>
          <t>Contractor Programme / SCH-04-011</t>
        </is>
      </c>
      <c r="C834" s="23" t="inlineStr">
        <is>
          <t>WBS Code = 1.4.1</t>
        </is>
      </c>
      <c r="D834" s="23" t="inlineStr">
        <is>
          <t>Proposed by Source assignment; target 1.4.1 Vehicles and Depot - Fleet Supply</t>
        </is>
      </c>
      <c r="E834" s="23" t="inlineStr">
        <is>
          <t>None recorded</t>
        </is>
      </c>
      <c r="F834" s="23" t="inlineStr">
        <is>
          <t>No individual professional decision recorded; Source assignment -- not individually reviewed</t>
        </is>
      </c>
      <c r="G834" s="23" t="inlineStr">
        <is>
          <t>Not individually decided</t>
        </is>
      </c>
      <c r="H834" s="23" t="inlineStr">
        <is>
          <t xml:space="preserve">RETAINED / ONE_TO_ONE; </t>
        </is>
      </c>
      <c r="I834" s="23" t="inlineStr">
        <is>
          <t>Carried forward</t>
        </is>
      </c>
      <c r="J834" s="14" t="inlineStr">
        <is>
          <t>08 CROSSWALK</t>
        </is>
      </c>
    </row>
    <row r="835" ht="49" customHeight="1">
      <c r="A835" s="23" t="inlineStr">
        <is>
          <t>R553-v2</t>
        </is>
      </c>
      <c r="B835" s="23" t="inlineStr">
        <is>
          <t>Contractor Programme / SCH-04-013</t>
        </is>
      </c>
      <c r="C835" s="23" t="inlineStr">
        <is>
          <t>WBS Code = 1.4.1</t>
        </is>
      </c>
      <c r="D835" s="23" t="inlineStr">
        <is>
          <t>Proposed by Source assignment; target 1.4.1 Vehicles and Depot - Fleet Supply</t>
        </is>
      </c>
      <c r="E835" s="23" t="inlineStr">
        <is>
          <t>None recorded</t>
        </is>
      </c>
      <c r="F835" s="23" t="inlineStr">
        <is>
          <t>No individual professional decision recorded; Source assignment -- not individually reviewed</t>
        </is>
      </c>
      <c r="G835" s="23" t="inlineStr">
        <is>
          <t>Not individually decided</t>
        </is>
      </c>
      <c r="H835" s="23" t="inlineStr">
        <is>
          <t xml:space="preserve">RETAINED / ONE_TO_ONE; </t>
        </is>
      </c>
      <c r="I835" s="23" t="inlineStr">
        <is>
          <t>Carried forward</t>
        </is>
      </c>
      <c r="J835" s="14" t="inlineStr">
        <is>
          <t>08 CROSSWALK</t>
        </is>
      </c>
    </row>
    <row r="836" ht="49" customHeight="1">
      <c r="A836" s="23" t="inlineStr">
        <is>
          <t>R554-v2</t>
        </is>
      </c>
      <c r="B836" s="23" t="inlineStr">
        <is>
          <t>Contractor Programme / SCH-04-014</t>
        </is>
      </c>
      <c r="C836" s="23" t="inlineStr">
        <is>
          <t>WBS Code = 1.4.1</t>
        </is>
      </c>
      <c r="D836" s="23" t="inlineStr">
        <is>
          <t>Proposed by Source assignment; target 1.4.1 Vehicles and Depot - Fleet Supply</t>
        </is>
      </c>
      <c r="E836" s="23" t="inlineStr">
        <is>
          <t>None recorded</t>
        </is>
      </c>
      <c r="F836" s="23" t="inlineStr">
        <is>
          <t>No individual professional decision recorded; Source assignment -- not individually reviewed</t>
        </is>
      </c>
      <c r="G836" s="23" t="inlineStr">
        <is>
          <t>Not individually decided</t>
        </is>
      </c>
      <c r="H836" s="23" t="inlineStr">
        <is>
          <t xml:space="preserve">RETAINED / ONE_TO_ONE; </t>
        </is>
      </c>
      <c r="I836" s="23" t="inlineStr">
        <is>
          <t>Carried forward</t>
        </is>
      </c>
      <c r="J836" s="14" t="inlineStr">
        <is>
          <t>08 CROSSWALK</t>
        </is>
      </c>
    </row>
    <row r="837" ht="49" customHeight="1">
      <c r="A837" s="23" t="inlineStr">
        <is>
          <t>R556-v2</t>
        </is>
      </c>
      <c r="B837" s="23" t="inlineStr">
        <is>
          <t>Contractor Programme / SCH-04-016</t>
        </is>
      </c>
      <c r="C837" s="23" t="inlineStr">
        <is>
          <t>WBS Code = 1.4.1</t>
        </is>
      </c>
      <c r="D837" s="23" t="inlineStr">
        <is>
          <t>Proposed by Source assignment; target 1.4.1 Vehicles and Depot - Fleet Supply</t>
        </is>
      </c>
      <c r="E837" s="23" t="inlineStr">
        <is>
          <t>None recorded</t>
        </is>
      </c>
      <c r="F837" s="23" t="inlineStr">
        <is>
          <t>No individual professional decision recorded; Source assignment -- not individually reviewed</t>
        </is>
      </c>
      <c r="G837" s="23" t="inlineStr">
        <is>
          <t>Not individually decided</t>
        </is>
      </c>
      <c r="H837" s="23" t="inlineStr">
        <is>
          <t xml:space="preserve">RETAINED / ONE_TO_ONE; </t>
        </is>
      </c>
      <c r="I837" s="23" t="inlineStr">
        <is>
          <t>Carried forward</t>
        </is>
      </c>
      <c r="J837" s="14" t="inlineStr">
        <is>
          <t>08 CROSSWALK</t>
        </is>
      </c>
    </row>
    <row r="838" ht="49" customHeight="1">
      <c r="A838" s="23" t="inlineStr">
        <is>
          <t>R557-v2</t>
        </is>
      </c>
      <c r="B838" s="23" t="inlineStr">
        <is>
          <t>Contractor Programme / SCH-04-017</t>
        </is>
      </c>
      <c r="C838" s="23" t="inlineStr">
        <is>
          <t>WBS Code = 1.4.1</t>
        </is>
      </c>
      <c r="D838" s="23" t="inlineStr">
        <is>
          <t>Proposed by Source assignment; target 1.4.1 Vehicles and Depot - Fleet Supply</t>
        </is>
      </c>
      <c r="E838" s="23" t="inlineStr">
        <is>
          <t>None recorded</t>
        </is>
      </c>
      <c r="F838" s="23" t="inlineStr">
        <is>
          <t>No individual professional decision recorded; Source assignment -- not individually reviewed</t>
        </is>
      </c>
      <c r="G838" s="23" t="inlineStr">
        <is>
          <t>Not individually decided</t>
        </is>
      </c>
      <c r="H838" s="23" t="inlineStr">
        <is>
          <t xml:space="preserve">RETAINED / ONE_TO_ONE; </t>
        </is>
      </c>
      <c r="I838" s="23" t="inlineStr">
        <is>
          <t>Carried forward</t>
        </is>
      </c>
      <c r="J838" s="14" t="inlineStr">
        <is>
          <t>08 CROSSWALK</t>
        </is>
      </c>
    </row>
    <row r="839" ht="49" customHeight="1">
      <c r="A839" s="23" t="inlineStr">
        <is>
          <t>R559-v2</t>
        </is>
      </c>
      <c r="B839" s="23" t="inlineStr">
        <is>
          <t>Contractor Programme / SCH-04-019</t>
        </is>
      </c>
      <c r="C839" s="23" t="inlineStr">
        <is>
          <t>WBS Code = 1.4.1</t>
        </is>
      </c>
      <c r="D839" s="23" t="inlineStr">
        <is>
          <t>Proposed by Source assignment; target 1.4.1 Vehicles and Depot - Fleet Supply</t>
        </is>
      </c>
      <c r="E839" s="23" t="inlineStr">
        <is>
          <t>None recorded</t>
        </is>
      </c>
      <c r="F839" s="23" t="inlineStr">
        <is>
          <t>No individual professional decision recorded; Source assignment -- not individually reviewed</t>
        </is>
      </c>
      <c r="G839" s="23" t="inlineStr">
        <is>
          <t>Not individually decided</t>
        </is>
      </c>
      <c r="H839" s="23" t="inlineStr">
        <is>
          <t xml:space="preserve">RETAINED / ONE_TO_ONE; </t>
        </is>
      </c>
      <c r="I839" s="23" t="inlineStr">
        <is>
          <t>Carried forward</t>
        </is>
      </c>
      <c r="J839" s="14" t="inlineStr">
        <is>
          <t>08 CROSSWALK</t>
        </is>
      </c>
    </row>
    <row r="840" ht="49" customHeight="1">
      <c r="A840" s="23" t="inlineStr">
        <is>
          <t>R560-v2</t>
        </is>
      </c>
      <c r="B840" s="23" t="inlineStr">
        <is>
          <t>Contractor Programme / SCH-04-020</t>
        </is>
      </c>
      <c r="C840" s="23" t="inlineStr">
        <is>
          <t>WBS Code = 1.4.1</t>
        </is>
      </c>
      <c r="D840" s="23" t="inlineStr">
        <is>
          <t>Proposed by Source assignment; target 1.4.1 Vehicles and Depot - Fleet Supply</t>
        </is>
      </c>
      <c r="E840" s="23" t="inlineStr">
        <is>
          <t>None recorded</t>
        </is>
      </c>
      <c r="F840" s="23" t="inlineStr">
        <is>
          <t>No individual professional decision recorded; Source assignment -- not individually reviewed</t>
        </is>
      </c>
      <c r="G840" s="23" t="inlineStr">
        <is>
          <t>Not individually decided</t>
        </is>
      </c>
      <c r="H840" s="23" t="inlineStr">
        <is>
          <t xml:space="preserve">RETAINED / ONE_TO_ONE; </t>
        </is>
      </c>
      <c r="I840" s="23" t="inlineStr">
        <is>
          <t>Carried forward</t>
        </is>
      </c>
      <c r="J840" s="14" t="inlineStr">
        <is>
          <t>08 CROSSWALK</t>
        </is>
      </c>
    </row>
    <row r="841" ht="49" customHeight="1">
      <c r="A841" s="23" t="inlineStr">
        <is>
          <t>R562-v2</t>
        </is>
      </c>
      <c r="B841" s="23" t="inlineStr">
        <is>
          <t>Contractor Programme / SCH-04-022</t>
        </is>
      </c>
      <c r="C841" s="23" t="inlineStr">
        <is>
          <t>WBS Code = 1.4.1</t>
        </is>
      </c>
      <c r="D841" s="23" t="inlineStr">
        <is>
          <t>Proposed by Source assignment; target 1.4.1 Vehicles and Depot - Fleet Supply</t>
        </is>
      </c>
      <c r="E841" s="23" t="inlineStr">
        <is>
          <t>None recorded</t>
        </is>
      </c>
      <c r="F841" s="23" t="inlineStr">
        <is>
          <t>No individual professional decision recorded; Source assignment -- not individually reviewed</t>
        </is>
      </c>
      <c r="G841" s="23" t="inlineStr">
        <is>
          <t>Not individually decided</t>
        </is>
      </c>
      <c r="H841" s="23" t="inlineStr">
        <is>
          <t xml:space="preserve">RETAINED / ONE_TO_ONE; </t>
        </is>
      </c>
      <c r="I841" s="23" t="inlineStr">
        <is>
          <t>Carried forward</t>
        </is>
      </c>
      <c r="J841" s="14" t="inlineStr">
        <is>
          <t>08 CROSSWALK</t>
        </is>
      </c>
    </row>
    <row r="842" ht="49" customHeight="1">
      <c r="A842" s="23" t="inlineStr">
        <is>
          <t>R563-v2</t>
        </is>
      </c>
      <c r="B842" s="23" t="inlineStr">
        <is>
          <t>Contractor Programme / SCH-04-023</t>
        </is>
      </c>
      <c r="C842" s="23" t="inlineStr">
        <is>
          <t>WBS Code = 1.4.1</t>
        </is>
      </c>
      <c r="D842" s="23" t="inlineStr">
        <is>
          <t>Proposed by Source assignment; target 1.4.1 Vehicles and Depot - Fleet Supply</t>
        </is>
      </c>
      <c r="E842" s="23" t="inlineStr">
        <is>
          <t>None recorded</t>
        </is>
      </c>
      <c r="F842" s="23" t="inlineStr">
        <is>
          <t>No individual professional decision recorded; Source assignment -- not individually reviewed</t>
        </is>
      </c>
      <c r="G842" s="23" t="inlineStr">
        <is>
          <t>Not individually decided</t>
        </is>
      </c>
      <c r="H842" s="23" t="inlineStr">
        <is>
          <t xml:space="preserve">RETAINED / ONE_TO_ONE; </t>
        </is>
      </c>
      <c r="I842" s="23" t="inlineStr">
        <is>
          <t>Carried forward</t>
        </is>
      </c>
      <c r="J842" s="14" t="inlineStr">
        <is>
          <t>08 CROSSWALK</t>
        </is>
      </c>
    </row>
    <row r="843" ht="49" customHeight="1">
      <c r="A843" s="23" t="inlineStr">
        <is>
          <t>R565-v2</t>
        </is>
      </c>
      <c r="B843" s="23" t="inlineStr">
        <is>
          <t>Contractor Programme / SCH-04-025</t>
        </is>
      </c>
      <c r="C843" s="23" t="inlineStr">
        <is>
          <t>WBS Code = 1.4.1</t>
        </is>
      </c>
      <c r="D843" s="23" t="inlineStr">
        <is>
          <t>Proposed by Source assignment; target 1.4.1 Vehicles and Depot - Fleet Supply</t>
        </is>
      </c>
      <c r="E843" s="23" t="inlineStr">
        <is>
          <t>None recorded</t>
        </is>
      </c>
      <c r="F843" s="23" t="inlineStr">
        <is>
          <t>No individual professional decision recorded; Source assignment -- not individually reviewed</t>
        </is>
      </c>
      <c r="G843" s="23" t="inlineStr">
        <is>
          <t>Not individually decided</t>
        </is>
      </c>
      <c r="H843" s="23" t="inlineStr">
        <is>
          <t xml:space="preserve">RETAINED / ONE_TO_ONE; </t>
        </is>
      </c>
      <c r="I843" s="23" t="inlineStr">
        <is>
          <t>Carried forward</t>
        </is>
      </c>
      <c r="J843" s="14" t="inlineStr">
        <is>
          <t>08 CROSSWALK</t>
        </is>
      </c>
    </row>
    <row r="844" ht="49" customHeight="1">
      <c r="A844" s="23" t="inlineStr">
        <is>
          <t>R566-v2</t>
        </is>
      </c>
      <c r="B844" s="23" t="inlineStr">
        <is>
          <t>Contractor Programme / SCH-04-026</t>
        </is>
      </c>
      <c r="C844" s="23" t="inlineStr">
        <is>
          <t>WBS Code = 1.4.1</t>
        </is>
      </c>
      <c r="D844" s="23" t="inlineStr">
        <is>
          <t>Proposed by Source assignment; target 1.4.1 Vehicles and Depot - Fleet Supply</t>
        </is>
      </c>
      <c r="E844" s="23" t="inlineStr">
        <is>
          <t>None recorded</t>
        </is>
      </c>
      <c r="F844" s="23" t="inlineStr">
        <is>
          <t>No individual professional decision recorded; Source assignment -- not individually reviewed</t>
        </is>
      </c>
      <c r="G844" s="23" t="inlineStr">
        <is>
          <t>Not individually decided</t>
        </is>
      </c>
      <c r="H844" s="23" t="inlineStr">
        <is>
          <t xml:space="preserve">RETAINED / ONE_TO_ONE; </t>
        </is>
      </c>
      <c r="I844" s="23" t="inlineStr">
        <is>
          <t>Carried forward</t>
        </is>
      </c>
      <c r="J844" s="14" t="inlineStr">
        <is>
          <t>08 CROSSWALK</t>
        </is>
      </c>
    </row>
    <row r="845" ht="49" customHeight="1">
      <c r="A845" s="23" t="inlineStr">
        <is>
          <t>R568-v2</t>
        </is>
      </c>
      <c r="B845" s="23" t="inlineStr">
        <is>
          <t>Contractor Programme / SCH-04-028</t>
        </is>
      </c>
      <c r="C845" s="23" t="inlineStr">
        <is>
          <t>WBS Code = 1.4.1</t>
        </is>
      </c>
      <c r="D845" s="23" t="inlineStr">
        <is>
          <t>Proposed by Source assignment; target 1.4.1 Vehicles and Depot - Fleet Supply</t>
        </is>
      </c>
      <c r="E845" s="23" t="inlineStr">
        <is>
          <t>None recorded</t>
        </is>
      </c>
      <c r="F845" s="23" t="inlineStr">
        <is>
          <t>No individual professional decision recorded; Source assignment -- not individually reviewed</t>
        </is>
      </c>
      <c r="G845" s="23" t="inlineStr">
        <is>
          <t>Not individually decided</t>
        </is>
      </c>
      <c r="H845" s="23" t="inlineStr">
        <is>
          <t xml:space="preserve">RETAINED / ONE_TO_ONE; </t>
        </is>
      </c>
      <c r="I845" s="23" t="inlineStr">
        <is>
          <t>Carried forward</t>
        </is>
      </c>
      <c r="J845" s="14" t="inlineStr">
        <is>
          <t>08 CROSSWALK</t>
        </is>
      </c>
    </row>
    <row r="846" ht="49" customHeight="1">
      <c r="A846" s="23" t="inlineStr">
        <is>
          <t>R569-v2</t>
        </is>
      </c>
      <c r="B846" s="23" t="inlineStr">
        <is>
          <t>Contractor Programme / SCH-04-029</t>
        </is>
      </c>
      <c r="C846" s="23" t="inlineStr">
        <is>
          <t>WBS Code = 1.4.1</t>
        </is>
      </c>
      <c r="D846" s="23" t="inlineStr">
        <is>
          <t>Proposed by Source assignment; target 1.4.1 Vehicles and Depot - Fleet Supply</t>
        </is>
      </c>
      <c r="E846" s="23" t="inlineStr">
        <is>
          <t>None recorded</t>
        </is>
      </c>
      <c r="F846" s="23" t="inlineStr">
        <is>
          <t>No individual professional decision recorded; Source assignment -- not individually reviewed</t>
        </is>
      </c>
      <c r="G846" s="23" t="inlineStr">
        <is>
          <t>Not individually decided</t>
        </is>
      </c>
      <c r="H846" s="23" t="inlineStr">
        <is>
          <t xml:space="preserve">RETAINED / ONE_TO_ONE; </t>
        </is>
      </c>
      <c r="I846" s="23" t="inlineStr">
        <is>
          <t>Carried forward</t>
        </is>
      </c>
      <c r="J846" s="14" t="inlineStr">
        <is>
          <t>08 CROSSWALK</t>
        </is>
      </c>
    </row>
    <row r="847" ht="49" customHeight="1">
      <c r="A847" s="23" t="inlineStr">
        <is>
          <t>R571-v2</t>
        </is>
      </c>
      <c r="B847" s="23" t="inlineStr">
        <is>
          <t>Contractor Programme / SCH-04-031</t>
        </is>
      </c>
      <c r="C847" s="23" t="inlineStr">
        <is>
          <t>WBS Code = 1.4.1</t>
        </is>
      </c>
      <c r="D847" s="23" t="inlineStr">
        <is>
          <t>Proposed by Source assignment; target 1.4.1 Vehicles and Depot - Fleet Supply</t>
        </is>
      </c>
      <c r="E847" s="23" t="inlineStr">
        <is>
          <t>None recorded</t>
        </is>
      </c>
      <c r="F847" s="23" t="inlineStr">
        <is>
          <t>No individual professional decision recorded; Source assignment -- not individually reviewed</t>
        </is>
      </c>
      <c r="G847" s="23" t="inlineStr">
        <is>
          <t>Not individually decided</t>
        </is>
      </c>
      <c r="H847" s="23" t="inlineStr">
        <is>
          <t xml:space="preserve">RETAINED / ONE_TO_ONE; </t>
        </is>
      </c>
      <c r="I847" s="23" t="inlineStr">
        <is>
          <t>Carried forward</t>
        </is>
      </c>
      <c r="J847" s="14" t="inlineStr">
        <is>
          <t>08 CROSSWALK</t>
        </is>
      </c>
    </row>
    <row r="848" ht="49" customHeight="1">
      <c r="A848" s="23" t="inlineStr">
        <is>
          <t>R572-v2</t>
        </is>
      </c>
      <c r="B848" s="23" t="inlineStr">
        <is>
          <t>Contractor Programme / SCH-04-032</t>
        </is>
      </c>
      <c r="C848" s="23" t="inlineStr">
        <is>
          <t>WBS Code = 1.4.1</t>
        </is>
      </c>
      <c r="D848" s="23" t="inlineStr">
        <is>
          <t>Proposed by Source assignment; target 1.4.1 Vehicles and Depot - Fleet Supply</t>
        </is>
      </c>
      <c r="E848" s="23" t="inlineStr">
        <is>
          <t>None recorded</t>
        </is>
      </c>
      <c r="F848" s="23" t="inlineStr">
        <is>
          <t>No individual professional decision recorded; Source assignment -- not individually reviewed</t>
        </is>
      </c>
      <c r="G848" s="23" t="inlineStr">
        <is>
          <t>Not individually decided</t>
        </is>
      </c>
      <c r="H848" s="23" t="inlineStr">
        <is>
          <t xml:space="preserve">RETAINED / ONE_TO_ONE; </t>
        </is>
      </c>
      <c r="I848" s="23" t="inlineStr">
        <is>
          <t>Carried forward</t>
        </is>
      </c>
      <c r="J848" s="14" t="inlineStr">
        <is>
          <t>08 CROSSWALK</t>
        </is>
      </c>
    </row>
    <row r="849" ht="49" customHeight="1">
      <c r="A849" s="23" t="inlineStr">
        <is>
          <t>R574-v2</t>
        </is>
      </c>
      <c r="B849" s="23" t="inlineStr">
        <is>
          <t>Contractor Programme / SCH-04-034</t>
        </is>
      </c>
      <c r="C849" s="23" t="inlineStr">
        <is>
          <t>WBS Code = 1.4.1</t>
        </is>
      </c>
      <c r="D849" s="23" t="inlineStr">
        <is>
          <t>Proposed by Source assignment; target 1.4.1 Vehicles and Depot - Fleet Supply</t>
        </is>
      </c>
      <c r="E849" s="23" t="inlineStr">
        <is>
          <t>None recorded</t>
        </is>
      </c>
      <c r="F849" s="23" t="inlineStr">
        <is>
          <t>No individual professional decision recorded; Source assignment -- not individually reviewed</t>
        </is>
      </c>
      <c r="G849" s="23" t="inlineStr">
        <is>
          <t>Not individually decided</t>
        </is>
      </c>
      <c r="H849" s="23" t="inlineStr">
        <is>
          <t xml:space="preserve">RETAINED / ONE_TO_ONE; </t>
        </is>
      </c>
      <c r="I849" s="23" t="inlineStr">
        <is>
          <t>Carried forward</t>
        </is>
      </c>
      <c r="J849" s="14" t="inlineStr">
        <is>
          <t>08 CROSSWALK</t>
        </is>
      </c>
    </row>
    <row r="850" ht="49" customHeight="1">
      <c r="A850" s="23" t="inlineStr">
        <is>
          <t>R575-v2</t>
        </is>
      </c>
      <c r="B850" s="23" t="inlineStr">
        <is>
          <t>Contractor Programme / SCH-04-035</t>
        </is>
      </c>
      <c r="C850" s="23" t="inlineStr">
        <is>
          <t>WBS Code = 1.4.1</t>
        </is>
      </c>
      <c r="D850" s="23" t="inlineStr">
        <is>
          <t>Proposed by Source assignment; target 1.4.1 Vehicles and Depot - Fleet Supply</t>
        </is>
      </c>
      <c r="E850" s="23" t="inlineStr">
        <is>
          <t>None recorded</t>
        </is>
      </c>
      <c r="F850" s="23" t="inlineStr">
        <is>
          <t>No individual professional decision recorded; Source assignment -- not individually reviewed</t>
        </is>
      </c>
      <c r="G850" s="23" t="inlineStr">
        <is>
          <t>Not individually decided</t>
        </is>
      </c>
      <c r="H850" s="23" t="inlineStr">
        <is>
          <t xml:space="preserve">RETAINED / ONE_TO_ONE; </t>
        </is>
      </c>
      <c r="I850" s="23" t="inlineStr">
        <is>
          <t>Carried forward</t>
        </is>
      </c>
      <c r="J850" s="14" t="inlineStr">
        <is>
          <t>08 CROSSWALK</t>
        </is>
      </c>
    </row>
    <row r="851" ht="49" customHeight="1">
      <c r="A851" s="23" t="inlineStr">
        <is>
          <t>R577-v2</t>
        </is>
      </c>
      <c r="B851" s="23" t="inlineStr">
        <is>
          <t>Contractor Programme / SCH-04-037</t>
        </is>
      </c>
      <c r="C851" s="23" t="inlineStr">
        <is>
          <t>WBS Code = 1.4.1</t>
        </is>
      </c>
      <c r="D851" s="23" t="inlineStr">
        <is>
          <t>Proposed by Source assignment; target 1.4.1 Vehicles and Depot - Fleet Supply</t>
        </is>
      </c>
      <c r="E851" s="23" t="inlineStr">
        <is>
          <t>None recorded</t>
        </is>
      </c>
      <c r="F851" s="23" t="inlineStr">
        <is>
          <t>No individual professional decision recorded; Source assignment -- not individually reviewed</t>
        </is>
      </c>
      <c r="G851" s="23" t="inlineStr">
        <is>
          <t>Not individually decided</t>
        </is>
      </c>
      <c r="H851" s="23" t="inlineStr">
        <is>
          <t xml:space="preserve">RETAINED / ONE_TO_ONE; </t>
        </is>
      </c>
      <c r="I851" s="23" t="inlineStr">
        <is>
          <t>Carried forward</t>
        </is>
      </c>
      <c r="J851" s="14" t="inlineStr">
        <is>
          <t>08 CROSSWALK</t>
        </is>
      </c>
    </row>
    <row r="852" ht="49" customHeight="1">
      <c r="A852" s="23" t="inlineStr">
        <is>
          <t>R578-v2</t>
        </is>
      </c>
      <c r="B852" s="23" t="inlineStr">
        <is>
          <t>Contractor Programme / SCH-04-038</t>
        </is>
      </c>
      <c r="C852" s="23" t="inlineStr">
        <is>
          <t>WBS Code = 1.4.1</t>
        </is>
      </c>
      <c r="D852" s="23" t="inlineStr">
        <is>
          <t>Proposed by Source assignment; target 1.4.1 Vehicles and Depot - Fleet Supply</t>
        </is>
      </c>
      <c r="E852" s="23" t="inlineStr">
        <is>
          <t>None recorded</t>
        </is>
      </c>
      <c r="F852" s="23" t="inlineStr">
        <is>
          <t>No individual professional decision recorded; Source assignment -- not individually reviewed</t>
        </is>
      </c>
      <c r="G852" s="23" t="inlineStr">
        <is>
          <t>Not individually decided</t>
        </is>
      </c>
      <c r="H852" s="23" t="inlineStr">
        <is>
          <t xml:space="preserve">RETAINED / ONE_TO_ONE; </t>
        </is>
      </c>
      <c r="I852" s="23" t="inlineStr">
        <is>
          <t>Carried forward</t>
        </is>
      </c>
      <c r="J852" s="14" t="inlineStr">
        <is>
          <t>08 CROSSWALK</t>
        </is>
      </c>
    </row>
    <row r="853" ht="49" customHeight="1">
      <c r="A853" s="23" t="inlineStr">
        <is>
          <t>R580-v2</t>
        </is>
      </c>
      <c r="B853" s="23" t="inlineStr">
        <is>
          <t>Contractor Programme / SCH-04-040</t>
        </is>
      </c>
      <c r="C853" s="23" t="inlineStr">
        <is>
          <t>WBS Code = 1.4.1</t>
        </is>
      </c>
      <c r="D853" s="23" t="inlineStr">
        <is>
          <t>Proposed by Source assignment; target 1.4.1 Vehicles and Depot - Fleet Supply</t>
        </is>
      </c>
      <c r="E853" s="23" t="inlineStr">
        <is>
          <t>None recorded</t>
        </is>
      </c>
      <c r="F853" s="23" t="inlineStr">
        <is>
          <t>No individual professional decision recorded; Source assignment -- not individually reviewed</t>
        </is>
      </c>
      <c r="G853" s="23" t="inlineStr">
        <is>
          <t>Not individually decided</t>
        </is>
      </c>
      <c r="H853" s="23" t="inlineStr">
        <is>
          <t xml:space="preserve">RETAINED / ONE_TO_ONE; </t>
        </is>
      </c>
      <c r="I853" s="23" t="inlineStr">
        <is>
          <t>Carried forward</t>
        </is>
      </c>
      <c r="J853" s="14" t="inlineStr">
        <is>
          <t>08 CROSSWALK</t>
        </is>
      </c>
    </row>
    <row r="854" ht="49" customHeight="1">
      <c r="A854" s="23" t="inlineStr">
        <is>
          <t>R581-v2</t>
        </is>
      </c>
      <c r="B854" s="23" t="inlineStr">
        <is>
          <t>Contractor Programme / SCH-04-041</t>
        </is>
      </c>
      <c r="C854" s="23" t="inlineStr">
        <is>
          <t>WBS Code = 1.4.1</t>
        </is>
      </c>
      <c r="D854" s="23" t="inlineStr">
        <is>
          <t>Proposed by Source assignment; target 1.4.1 Vehicles and Depot - Fleet Supply</t>
        </is>
      </c>
      <c r="E854" s="23" t="inlineStr">
        <is>
          <t>None recorded</t>
        </is>
      </c>
      <c r="F854" s="23" t="inlineStr">
        <is>
          <t>No individual professional decision recorded; Source assignment -- not individually reviewed</t>
        </is>
      </c>
      <c r="G854" s="23" t="inlineStr">
        <is>
          <t>Not individually decided</t>
        </is>
      </c>
      <c r="H854" s="23" t="inlineStr">
        <is>
          <t xml:space="preserve">RETAINED / ONE_TO_ONE; </t>
        </is>
      </c>
      <c r="I854" s="23" t="inlineStr">
        <is>
          <t>Carried forward</t>
        </is>
      </c>
      <c r="J854" s="14" t="inlineStr">
        <is>
          <t>08 CROSSWALK</t>
        </is>
      </c>
    </row>
    <row r="855" ht="49" customHeight="1">
      <c r="A855" s="23" t="inlineStr">
        <is>
          <t>R583-v2</t>
        </is>
      </c>
      <c r="B855" s="23" t="inlineStr">
        <is>
          <t>Contractor Programme / SCH-04-043</t>
        </is>
      </c>
      <c r="C855" s="23" t="inlineStr">
        <is>
          <t>WBS Code = 1.4.1</t>
        </is>
      </c>
      <c r="D855" s="23" t="inlineStr">
        <is>
          <t>Proposed by Source assignment; target 1.4.1 Vehicles and Depot - Fleet Supply</t>
        </is>
      </c>
      <c r="E855" s="23" t="inlineStr">
        <is>
          <t>None recorded</t>
        </is>
      </c>
      <c r="F855" s="23" t="inlineStr">
        <is>
          <t>No individual professional decision recorded; Source assignment -- not individually reviewed</t>
        </is>
      </c>
      <c r="G855" s="23" t="inlineStr">
        <is>
          <t>Not individually decided</t>
        </is>
      </c>
      <c r="H855" s="23" t="inlineStr">
        <is>
          <t xml:space="preserve">RETAINED / ONE_TO_ONE; </t>
        </is>
      </c>
      <c r="I855" s="23" t="inlineStr">
        <is>
          <t>Carried forward</t>
        </is>
      </c>
      <c r="J855" s="14" t="inlineStr">
        <is>
          <t>08 CROSSWALK</t>
        </is>
      </c>
    </row>
    <row r="856" ht="49" customHeight="1">
      <c r="A856" s="23" t="inlineStr">
        <is>
          <t>R584-v2</t>
        </is>
      </c>
      <c r="B856" s="23" t="inlineStr">
        <is>
          <t>Contractor Programme / SCH-04-044</t>
        </is>
      </c>
      <c r="C856" s="23" t="inlineStr">
        <is>
          <t>WBS Code = 1.4.1</t>
        </is>
      </c>
      <c r="D856" s="23" t="inlineStr">
        <is>
          <t>Proposed by Source assignment; target 1.4.1 Vehicles and Depot - Fleet Supply</t>
        </is>
      </c>
      <c r="E856" s="23" t="inlineStr">
        <is>
          <t>None recorded</t>
        </is>
      </c>
      <c r="F856" s="23" t="inlineStr">
        <is>
          <t>No individual professional decision recorded; Source assignment -- not individually reviewed</t>
        </is>
      </c>
      <c r="G856" s="23" t="inlineStr">
        <is>
          <t>Not individually decided</t>
        </is>
      </c>
      <c r="H856" s="23" t="inlineStr">
        <is>
          <t xml:space="preserve">RETAINED / ONE_TO_ONE; </t>
        </is>
      </c>
      <c r="I856" s="23" t="inlineStr">
        <is>
          <t>Carried forward</t>
        </is>
      </c>
      <c r="J856" s="14" t="inlineStr">
        <is>
          <t>08 CROSSWALK</t>
        </is>
      </c>
    </row>
    <row r="857" ht="49" customHeight="1">
      <c r="A857" s="23" t="inlineStr">
        <is>
          <t>R586-v2</t>
        </is>
      </c>
      <c r="B857" s="23" t="inlineStr">
        <is>
          <t>Contractor Programme / SCH-04-046</t>
        </is>
      </c>
      <c r="C857" s="23" t="inlineStr">
        <is>
          <t>WBS Code = 1.4.1</t>
        </is>
      </c>
      <c r="D857" s="23" t="inlineStr">
        <is>
          <t>Proposed by Source assignment; target 1.4.1 Vehicles and Depot - Fleet Supply</t>
        </is>
      </c>
      <c r="E857" s="23" t="inlineStr">
        <is>
          <t>None recorded</t>
        </is>
      </c>
      <c r="F857" s="23" t="inlineStr">
        <is>
          <t>No individual professional decision recorded; Source assignment -- not individually reviewed</t>
        </is>
      </c>
      <c r="G857" s="23" t="inlineStr">
        <is>
          <t>Not individually decided</t>
        </is>
      </c>
      <c r="H857" s="23" t="inlineStr">
        <is>
          <t xml:space="preserve">RETAINED / ONE_TO_ONE; </t>
        </is>
      </c>
      <c r="I857" s="23" t="inlineStr">
        <is>
          <t>Carried forward</t>
        </is>
      </c>
      <c r="J857" s="14" t="inlineStr">
        <is>
          <t>08 CROSSWALK</t>
        </is>
      </c>
    </row>
    <row r="858" ht="49" customHeight="1">
      <c r="A858" s="23" t="inlineStr">
        <is>
          <t>R587-v2</t>
        </is>
      </c>
      <c r="B858" s="23" t="inlineStr">
        <is>
          <t>Contractor Programme / SCH-04-047</t>
        </is>
      </c>
      <c r="C858" s="23" t="inlineStr">
        <is>
          <t>WBS Code = 1.4.1</t>
        </is>
      </c>
      <c r="D858" s="23" t="inlineStr">
        <is>
          <t>Proposed by Source assignment; target 1.4.1 Vehicles and Depot - Fleet Supply</t>
        </is>
      </c>
      <c r="E858" s="23" t="inlineStr">
        <is>
          <t>None recorded</t>
        </is>
      </c>
      <c r="F858" s="23" t="inlineStr">
        <is>
          <t>No individual professional decision recorded; Source assignment -- not individually reviewed</t>
        </is>
      </c>
      <c r="G858" s="23" t="inlineStr">
        <is>
          <t>Not individually decided</t>
        </is>
      </c>
      <c r="H858" s="23" t="inlineStr">
        <is>
          <t xml:space="preserve">RETAINED / ONE_TO_ONE; </t>
        </is>
      </c>
      <c r="I858" s="23" t="inlineStr">
        <is>
          <t>Carried forward</t>
        </is>
      </c>
      <c r="J858" s="14" t="inlineStr">
        <is>
          <t>08 CROSSWALK</t>
        </is>
      </c>
    </row>
    <row r="859" ht="49" customHeight="1">
      <c r="A859" s="23" t="inlineStr">
        <is>
          <t>R589-v2</t>
        </is>
      </c>
      <c r="B859" s="23" t="inlineStr">
        <is>
          <t>Contractor Programme / SCH-04-049</t>
        </is>
      </c>
      <c r="C859" s="23" t="inlineStr">
        <is>
          <t>WBS Code = 1.4.1</t>
        </is>
      </c>
      <c r="D859" s="23" t="inlineStr">
        <is>
          <t>Proposed by Source assignment; target 1.4.1 Vehicles and Depot - Fleet Supply</t>
        </is>
      </c>
      <c r="E859" s="23" t="inlineStr">
        <is>
          <t>None recorded</t>
        </is>
      </c>
      <c r="F859" s="23" t="inlineStr">
        <is>
          <t>No individual professional decision recorded; Source assignment -- not individually reviewed</t>
        </is>
      </c>
      <c r="G859" s="23" t="inlineStr">
        <is>
          <t>Not individually decided</t>
        </is>
      </c>
      <c r="H859" s="23" t="inlineStr">
        <is>
          <t xml:space="preserve">RETAINED / ONE_TO_ONE; </t>
        </is>
      </c>
      <c r="I859" s="23" t="inlineStr">
        <is>
          <t>Carried forward</t>
        </is>
      </c>
      <c r="J859" s="14" t="inlineStr">
        <is>
          <t>08 CROSSWALK</t>
        </is>
      </c>
    </row>
    <row r="860" ht="49" customHeight="1">
      <c r="A860" s="23" t="inlineStr">
        <is>
          <t>R590-v2</t>
        </is>
      </c>
      <c r="B860" s="23" t="inlineStr">
        <is>
          <t>Contractor Programme / SCH-04-050</t>
        </is>
      </c>
      <c r="C860" s="23" t="inlineStr">
        <is>
          <t>WBS Code = 1.4.1</t>
        </is>
      </c>
      <c r="D860" s="23" t="inlineStr">
        <is>
          <t>Proposed by Source assignment; target 1.4.1 Vehicles and Depot - Fleet Supply</t>
        </is>
      </c>
      <c r="E860" s="23" t="inlineStr">
        <is>
          <t>None recorded</t>
        </is>
      </c>
      <c r="F860" s="23" t="inlineStr">
        <is>
          <t>No individual professional decision recorded; Source assignment -- not individually reviewed</t>
        </is>
      </c>
      <c r="G860" s="23" t="inlineStr">
        <is>
          <t>Not individually decided</t>
        </is>
      </c>
      <c r="H860" s="23" t="inlineStr">
        <is>
          <t xml:space="preserve">RETAINED / ONE_TO_ONE; </t>
        </is>
      </c>
      <c r="I860" s="23" t="inlineStr">
        <is>
          <t>Carried forward</t>
        </is>
      </c>
      <c r="J860" s="14" t="inlineStr">
        <is>
          <t>08 CROSSWALK</t>
        </is>
      </c>
    </row>
    <row r="861" ht="49" customHeight="1">
      <c r="A861" s="23" t="inlineStr">
        <is>
          <t>R592-v2</t>
        </is>
      </c>
      <c r="B861" s="23" t="inlineStr">
        <is>
          <t>Contractor Programme / SCH-04-052</t>
        </is>
      </c>
      <c r="C861" s="23" t="inlineStr">
        <is>
          <t>WBS Code = 1.4.1</t>
        </is>
      </c>
      <c r="D861" s="23" t="inlineStr">
        <is>
          <t>Proposed by Source assignment; target 1.4.1 Vehicles and Depot - Fleet Supply</t>
        </is>
      </c>
      <c r="E861" s="23" t="inlineStr">
        <is>
          <t>None recorded</t>
        </is>
      </c>
      <c r="F861" s="23" t="inlineStr">
        <is>
          <t>No individual professional decision recorded; Source assignment -- not individually reviewed</t>
        </is>
      </c>
      <c r="G861" s="23" t="inlineStr">
        <is>
          <t>Not individually decided</t>
        </is>
      </c>
      <c r="H861" s="23" t="inlineStr">
        <is>
          <t xml:space="preserve">RETAINED / ONE_TO_ONE; </t>
        </is>
      </c>
      <c r="I861" s="23" t="inlineStr">
        <is>
          <t>Carried forward</t>
        </is>
      </c>
      <c r="J861" s="14" t="inlineStr">
        <is>
          <t>08 CROSSWALK</t>
        </is>
      </c>
    </row>
    <row r="862" ht="49" customHeight="1">
      <c r="A862" s="23" t="inlineStr">
        <is>
          <t>R593-v2</t>
        </is>
      </c>
      <c r="B862" s="23" t="inlineStr">
        <is>
          <t>Contractor Programme / SCH-04-053</t>
        </is>
      </c>
      <c r="C862" s="23" t="inlineStr">
        <is>
          <t>WBS Code = 1.4.1</t>
        </is>
      </c>
      <c r="D862" s="23" t="inlineStr">
        <is>
          <t>Proposed by Source assignment; target 1.4.1 Vehicles and Depot - Fleet Supply</t>
        </is>
      </c>
      <c r="E862" s="23" t="inlineStr">
        <is>
          <t>None recorded</t>
        </is>
      </c>
      <c r="F862" s="23" t="inlineStr">
        <is>
          <t>No individual professional decision recorded; Source assignment -- not individually reviewed</t>
        </is>
      </c>
      <c r="G862" s="23" t="inlineStr">
        <is>
          <t>Not individually decided</t>
        </is>
      </c>
      <c r="H862" s="23" t="inlineStr">
        <is>
          <t xml:space="preserve">RETAINED / ONE_TO_ONE; </t>
        </is>
      </c>
      <c r="I862" s="23" t="inlineStr">
        <is>
          <t>Carried forward</t>
        </is>
      </c>
      <c r="J862" s="14" t="inlineStr">
        <is>
          <t>08 CROSSWALK</t>
        </is>
      </c>
    </row>
    <row r="863" ht="49" customHeight="1">
      <c r="A863" s="23" t="inlineStr">
        <is>
          <t>R595-v2</t>
        </is>
      </c>
      <c r="B863" s="23" t="inlineStr">
        <is>
          <t>Contractor Programme / SCH-04-055</t>
        </is>
      </c>
      <c r="C863" s="23" t="inlineStr">
        <is>
          <t>WBS Code = 1.4.1</t>
        </is>
      </c>
      <c r="D863" s="23" t="inlineStr">
        <is>
          <t>Proposed by Source assignment; target 1.4.1 Vehicles and Depot - Fleet Supply</t>
        </is>
      </c>
      <c r="E863" s="23" t="inlineStr">
        <is>
          <t>None recorded</t>
        </is>
      </c>
      <c r="F863" s="23" t="inlineStr">
        <is>
          <t>No individual professional decision recorded; Source assignment -- not individually reviewed</t>
        </is>
      </c>
      <c r="G863" s="23" t="inlineStr">
        <is>
          <t>Not individually decided</t>
        </is>
      </c>
      <c r="H863" s="23" t="inlineStr">
        <is>
          <t xml:space="preserve">RETAINED / ONE_TO_ONE; </t>
        </is>
      </c>
      <c r="I863" s="23" t="inlineStr">
        <is>
          <t>Carried forward</t>
        </is>
      </c>
      <c r="J863" s="14" t="inlineStr">
        <is>
          <t>08 CROSSWALK</t>
        </is>
      </c>
    </row>
    <row r="864" ht="49" customHeight="1">
      <c r="A864" s="23" t="inlineStr">
        <is>
          <t>R596-v2</t>
        </is>
      </c>
      <c r="B864" s="23" t="inlineStr">
        <is>
          <t>Contractor Programme / SCH-04-056</t>
        </is>
      </c>
      <c r="C864" s="23" t="inlineStr">
        <is>
          <t>WBS Code = 1.4.1</t>
        </is>
      </c>
      <c r="D864" s="23" t="inlineStr">
        <is>
          <t>Proposed by Source assignment; target 1.4.1 Vehicles and Depot - Fleet Supply</t>
        </is>
      </c>
      <c r="E864" s="23" t="inlineStr">
        <is>
          <t>None recorded</t>
        </is>
      </c>
      <c r="F864" s="23" t="inlineStr">
        <is>
          <t>No individual professional decision recorded; Source assignment -- not individually reviewed</t>
        </is>
      </c>
      <c r="G864" s="23" t="inlineStr">
        <is>
          <t>Not individually decided</t>
        </is>
      </c>
      <c r="H864" s="23" t="inlineStr">
        <is>
          <t xml:space="preserve">RETAINED / ONE_TO_ONE; </t>
        </is>
      </c>
      <c r="I864" s="23" t="inlineStr">
        <is>
          <t>Carried forward</t>
        </is>
      </c>
      <c r="J864" s="14" t="inlineStr">
        <is>
          <t>08 CROSSWALK</t>
        </is>
      </c>
    </row>
    <row r="865" ht="49" customHeight="1">
      <c r="A865" s="23" t="inlineStr">
        <is>
          <t>R598-v2</t>
        </is>
      </c>
      <c r="B865" s="23" t="inlineStr">
        <is>
          <t>Contractor Programme / SCH-04-058</t>
        </is>
      </c>
      <c r="C865" s="23" t="inlineStr">
        <is>
          <t>WBS Code = 1.4.1</t>
        </is>
      </c>
      <c r="D865" s="23" t="inlineStr">
        <is>
          <t>Proposed by Source assignment; target 1.4.1 Vehicles and Depot - Fleet Supply</t>
        </is>
      </c>
      <c r="E865" s="23" t="inlineStr">
        <is>
          <t>None recorded</t>
        </is>
      </c>
      <c r="F865" s="23" t="inlineStr">
        <is>
          <t>No individual professional decision recorded; Source assignment -- not individually reviewed</t>
        </is>
      </c>
      <c r="G865" s="23" t="inlineStr">
        <is>
          <t>Not individually decided</t>
        </is>
      </c>
      <c r="H865" s="23" t="inlineStr">
        <is>
          <t xml:space="preserve">RETAINED / ONE_TO_ONE; </t>
        </is>
      </c>
      <c r="I865" s="23" t="inlineStr">
        <is>
          <t>Carried forward</t>
        </is>
      </c>
      <c r="J865" s="14" t="inlineStr">
        <is>
          <t>08 CROSSWALK</t>
        </is>
      </c>
    </row>
    <row r="866" ht="49" customHeight="1">
      <c r="A866" s="23" t="inlineStr">
        <is>
          <t>R599-v2</t>
        </is>
      </c>
      <c r="B866" s="23" t="inlineStr">
        <is>
          <t>Contractor Programme / SCH-04-059</t>
        </is>
      </c>
      <c r="C866" s="23" t="inlineStr">
        <is>
          <t>WBS Code = 1.4.1</t>
        </is>
      </c>
      <c r="D866" s="23" t="inlineStr">
        <is>
          <t>Proposed by Source assignment; target 1.4.1 Vehicles and Depot - Fleet Supply</t>
        </is>
      </c>
      <c r="E866" s="23" t="inlineStr">
        <is>
          <t>None recorded</t>
        </is>
      </c>
      <c r="F866" s="23" t="inlineStr">
        <is>
          <t>No individual professional decision recorded; Source assignment -- not individually reviewed</t>
        </is>
      </c>
      <c r="G866" s="23" t="inlineStr">
        <is>
          <t>Not individually decided</t>
        </is>
      </c>
      <c r="H866" s="23" t="inlineStr">
        <is>
          <t xml:space="preserve">RETAINED / ONE_TO_ONE; </t>
        </is>
      </c>
      <c r="I866" s="23" t="inlineStr">
        <is>
          <t>Carried forward</t>
        </is>
      </c>
      <c r="J866" s="14" t="inlineStr">
        <is>
          <t>08 CROSSWALK</t>
        </is>
      </c>
    </row>
    <row r="867" ht="49" customHeight="1">
      <c r="A867" s="23" t="inlineStr">
        <is>
          <t>R601-v2</t>
        </is>
      </c>
      <c r="B867" s="23" t="inlineStr">
        <is>
          <t>Contractor Programme / SCH-04-061</t>
        </is>
      </c>
      <c r="C867" s="23" t="inlineStr">
        <is>
          <t>WBS Code = 1.4.1</t>
        </is>
      </c>
      <c r="D867" s="23" t="inlineStr">
        <is>
          <t>Proposed by Source assignment; target 1.4.1 Vehicles and Depot - Fleet Supply</t>
        </is>
      </c>
      <c r="E867" s="23" t="inlineStr">
        <is>
          <t>None recorded</t>
        </is>
      </c>
      <c r="F867" s="23" t="inlineStr">
        <is>
          <t>No individual professional decision recorded; Source assignment -- not individually reviewed</t>
        </is>
      </c>
      <c r="G867" s="23" t="inlineStr">
        <is>
          <t>Not individually decided</t>
        </is>
      </c>
      <c r="H867" s="23" t="inlineStr">
        <is>
          <t xml:space="preserve">RETAINED / ONE_TO_ONE; </t>
        </is>
      </c>
      <c r="I867" s="23" t="inlineStr">
        <is>
          <t>Carried forward</t>
        </is>
      </c>
      <c r="J867" s="14" t="inlineStr">
        <is>
          <t>08 CROSSWALK</t>
        </is>
      </c>
    </row>
    <row r="868" ht="49" customHeight="1">
      <c r="A868" s="23" t="inlineStr">
        <is>
          <t>R602-v2</t>
        </is>
      </c>
      <c r="B868" s="23" t="inlineStr">
        <is>
          <t>Contractor Programme / SCH-04-062</t>
        </is>
      </c>
      <c r="C868" s="23" t="inlineStr">
        <is>
          <t>WBS Code = 1.4.1</t>
        </is>
      </c>
      <c r="D868" s="23" t="inlineStr">
        <is>
          <t>Proposed by Source assignment; target 1.4.1 Vehicles and Depot - Fleet Supply</t>
        </is>
      </c>
      <c r="E868" s="23" t="inlineStr">
        <is>
          <t>None recorded</t>
        </is>
      </c>
      <c r="F868" s="23" t="inlineStr">
        <is>
          <t>No individual professional decision recorded; Source assignment -- not individually reviewed</t>
        </is>
      </c>
      <c r="G868" s="23" t="inlineStr">
        <is>
          <t>Not individually decided</t>
        </is>
      </c>
      <c r="H868" s="23" t="inlineStr">
        <is>
          <t xml:space="preserve">RETAINED / ONE_TO_ONE; </t>
        </is>
      </c>
      <c r="I868" s="23" t="inlineStr">
        <is>
          <t>Carried forward</t>
        </is>
      </c>
      <c r="J868" s="14" t="inlineStr">
        <is>
          <t>08 CROSSWALK</t>
        </is>
      </c>
    </row>
    <row r="869" ht="49" customHeight="1">
      <c r="A869" s="23" t="inlineStr">
        <is>
          <t>R604-v2</t>
        </is>
      </c>
      <c r="B869" s="23" t="inlineStr">
        <is>
          <t>Contractor Programme / SCH-04-064</t>
        </is>
      </c>
      <c r="C869" s="23" t="inlineStr">
        <is>
          <t>WBS Code = 1.4.1</t>
        </is>
      </c>
      <c r="D869" s="23" t="inlineStr">
        <is>
          <t>Proposed by Source assignment; target 1.4.1 Vehicles and Depot - Fleet Supply</t>
        </is>
      </c>
      <c r="E869" s="23" t="inlineStr">
        <is>
          <t>None recorded</t>
        </is>
      </c>
      <c r="F869" s="23" t="inlineStr">
        <is>
          <t>No individual professional decision recorded; Source assignment -- not individually reviewed</t>
        </is>
      </c>
      <c r="G869" s="23" t="inlineStr">
        <is>
          <t>Not individually decided</t>
        </is>
      </c>
      <c r="H869" s="23" t="inlineStr">
        <is>
          <t xml:space="preserve">RETAINED / ONE_TO_ONE; </t>
        </is>
      </c>
      <c r="I869" s="23" t="inlineStr">
        <is>
          <t>Carried forward</t>
        </is>
      </c>
      <c r="J869" s="14" t="inlineStr">
        <is>
          <t>08 CROSSWALK</t>
        </is>
      </c>
    </row>
    <row r="870" ht="49" customHeight="1">
      <c r="A870" s="23" t="inlineStr">
        <is>
          <t>R605-v2</t>
        </is>
      </c>
      <c r="B870" s="23" t="inlineStr">
        <is>
          <t>Contractor Programme / SCH-04-065</t>
        </is>
      </c>
      <c r="C870" s="23" t="inlineStr">
        <is>
          <t>WBS Code = 1.4.1</t>
        </is>
      </c>
      <c r="D870" s="23" t="inlineStr">
        <is>
          <t>Proposed by Source assignment; target 1.4.1 Vehicles and Depot - Fleet Supply</t>
        </is>
      </c>
      <c r="E870" s="23" t="inlineStr">
        <is>
          <t>None recorded</t>
        </is>
      </c>
      <c r="F870" s="23" t="inlineStr">
        <is>
          <t>No individual professional decision recorded; Source assignment -- not individually reviewed</t>
        </is>
      </c>
      <c r="G870" s="23" t="inlineStr">
        <is>
          <t>Not individually decided</t>
        </is>
      </c>
      <c r="H870" s="23" t="inlineStr">
        <is>
          <t xml:space="preserve">RETAINED / ONE_TO_ONE; </t>
        </is>
      </c>
      <c r="I870" s="23" t="inlineStr">
        <is>
          <t>Carried forward</t>
        </is>
      </c>
      <c r="J870" s="14" t="inlineStr">
        <is>
          <t>08 CROSSWALK</t>
        </is>
      </c>
    </row>
    <row r="871" ht="49" customHeight="1">
      <c r="A871" s="23" t="inlineStr">
        <is>
          <t>R607-v2</t>
        </is>
      </c>
      <c r="B871" s="23" t="inlineStr">
        <is>
          <t>Contractor Programme / SCH-04-067</t>
        </is>
      </c>
      <c r="C871" s="23" t="inlineStr">
        <is>
          <t>WBS Code = 1.4.1</t>
        </is>
      </c>
      <c r="D871" s="23" t="inlineStr">
        <is>
          <t>Proposed by Source assignment; target 1.4.1 Vehicles and Depot - Fleet Supply</t>
        </is>
      </c>
      <c r="E871" s="23" t="inlineStr">
        <is>
          <t>None recorded</t>
        </is>
      </c>
      <c r="F871" s="23" t="inlineStr">
        <is>
          <t>No individual professional decision recorded; Source assignment -- not individually reviewed</t>
        </is>
      </c>
      <c r="G871" s="23" t="inlineStr">
        <is>
          <t>Not individually decided</t>
        </is>
      </c>
      <c r="H871" s="23" t="inlineStr">
        <is>
          <t xml:space="preserve">RETAINED / ONE_TO_ONE; </t>
        </is>
      </c>
      <c r="I871" s="23" t="inlineStr">
        <is>
          <t>Carried forward</t>
        </is>
      </c>
      <c r="J871" s="14" t="inlineStr">
        <is>
          <t>08 CROSSWALK</t>
        </is>
      </c>
    </row>
    <row r="872" ht="49" customHeight="1">
      <c r="A872" s="23" t="inlineStr">
        <is>
          <t>R608-v2</t>
        </is>
      </c>
      <c r="B872" s="23" t="inlineStr">
        <is>
          <t>Contractor Programme / SCH-04-068</t>
        </is>
      </c>
      <c r="C872" s="23" t="inlineStr">
        <is>
          <t>WBS Code = 1.4.1</t>
        </is>
      </c>
      <c r="D872" s="23" t="inlineStr">
        <is>
          <t>Proposed by Source assignment; target 1.4.1 Vehicles and Depot - Fleet Supply</t>
        </is>
      </c>
      <c r="E872" s="23" t="inlineStr">
        <is>
          <t>None recorded</t>
        </is>
      </c>
      <c r="F872" s="23" t="inlineStr">
        <is>
          <t>No individual professional decision recorded; Source assignment -- not individually reviewed</t>
        </is>
      </c>
      <c r="G872" s="23" t="inlineStr">
        <is>
          <t>Not individually decided</t>
        </is>
      </c>
      <c r="H872" s="23" t="inlineStr">
        <is>
          <t xml:space="preserve">RETAINED / ONE_TO_ONE; </t>
        </is>
      </c>
      <c r="I872" s="23" t="inlineStr">
        <is>
          <t>Carried forward</t>
        </is>
      </c>
      <c r="J872" s="14" t="inlineStr">
        <is>
          <t>08 CROSSWALK</t>
        </is>
      </c>
    </row>
    <row r="873" ht="49" customHeight="1">
      <c r="A873" s="23" t="inlineStr">
        <is>
          <t>R610-v2</t>
        </is>
      </c>
      <c r="B873" s="23" t="inlineStr">
        <is>
          <t>Contractor Programme / SCH-04-070</t>
        </is>
      </c>
      <c r="C873" s="23" t="inlineStr">
        <is>
          <t>WBS Code = 1.4.1</t>
        </is>
      </c>
      <c r="D873" s="23" t="inlineStr">
        <is>
          <t>Proposed by Source assignment; target 1.4.1 Vehicles and Depot - Fleet Supply</t>
        </is>
      </c>
      <c r="E873" s="23" t="inlineStr">
        <is>
          <t>None recorded</t>
        </is>
      </c>
      <c r="F873" s="23" t="inlineStr">
        <is>
          <t>No individual professional decision recorded; Source assignment -- not individually reviewed</t>
        </is>
      </c>
      <c r="G873" s="23" t="inlineStr">
        <is>
          <t>Not individually decided</t>
        </is>
      </c>
      <c r="H873" s="23" t="inlineStr">
        <is>
          <t xml:space="preserve">RETAINED / ONE_TO_ONE; </t>
        </is>
      </c>
      <c r="I873" s="23" t="inlineStr">
        <is>
          <t>Carried forward</t>
        </is>
      </c>
      <c r="J873" s="14" t="inlineStr">
        <is>
          <t>08 CROSSWALK</t>
        </is>
      </c>
    </row>
    <row r="874" ht="49" customHeight="1">
      <c r="A874" s="23" t="inlineStr">
        <is>
          <t>R611-v2</t>
        </is>
      </c>
      <c r="B874" s="23" t="inlineStr">
        <is>
          <t>Contractor Programme / SCH-04-071</t>
        </is>
      </c>
      <c r="C874" s="23" t="inlineStr">
        <is>
          <t>WBS Code = 1.4.1</t>
        </is>
      </c>
      <c r="D874" s="23" t="inlineStr">
        <is>
          <t>Proposed by Source assignment; target 1.4.1 Vehicles and Depot - Fleet Supply</t>
        </is>
      </c>
      <c r="E874" s="23" t="inlineStr">
        <is>
          <t>None recorded</t>
        </is>
      </c>
      <c r="F874" s="23" t="inlineStr">
        <is>
          <t>No individual professional decision recorded; Source assignment -- not individually reviewed</t>
        </is>
      </c>
      <c r="G874" s="23" t="inlineStr">
        <is>
          <t>Not individually decided</t>
        </is>
      </c>
      <c r="H874" s="23" t="inlineStr">
        <is>
          <t xml:space="preserve">RETAINED / ONE_TO_ONE; </t>
        </is>
      </c>
      <c r="I874" s="23" t="inlineStr">
        <is>
          <t>Carried forward</t>
        </is>
      </c>
      <c r="J874" s="14" t="inlineStr">
        <is>
          <t>08 CROSSWALK</t>
        </is>
      </c>
    </row>
    <row r="875" ht="49" customHeight="1">
      <c r="A875" s="23" t="inlineStr">
        <is>
          <t>R613-v2</t>
        </is>
      </c>
      <c r="B875" s="23" t="inlineStr">
        <is>
          <t>Contractor Programme / SCH-04-073</t>
        </is>
      </c>
      <c r="C875" s="23" t="inlineStr">
        <is>
          <t>WBS Code = 1.4.1</t>
        </is>
      </c>
      <c r="D875" s="23" t="inlineStr">
        <is>
          <t>Proposed by Source assignment; target 1.4.1 Vehicles and Depot - Fleet Supply</t>
        </is>
      </c>
      <c r="E875" s="23" t="inlineStr">
        <is>
          <t>None recorded</t>
        </is>
      </c>
      <c r="F875" s="23" t="inlineStr">
        <is>
          <t>No individual professional decision recorded; Source assignment -- not individually reviewed</t>
        </is>
      </c>
      <c r="G875" s="23" t="inlineStr">
        <is>
          <t>Not individually decided</t>
        </is>
      </c>
      <c r="H875" s="23" t="inlineStr">
        <is>
          <t xml:space="preserve">RETAINED / ONE_TO_ONE; </t>
        </is>
      </c>
      <c r="I875" s="23" t="inlineStr">
        <is>
          <t>Carried forward</t>
        </is>
      </c>
      <c r="J875" s="14" t="inlineStr">
        <is>
          <t>08 CROSSWALK</t>
        </is>
      </c>
    </row>
    <row r="876" ht="49" customHeight="1">
      <c r="A876" s="23" t="inlineStr">
        <is>
          <t>R614-v2</t>
        </is>
      </c>
      <c r="B876" s="23" t="inlineStr">
        <is>
          <t>Contractor Programme / SCH-04-074</t>
        </is>
      </c>
      <c r="C876" s="23" t="inlineStr">
        <is>
          <t>WBS Code = 1.4.1</t>
        </is>
      </c>
      <c r="D876" s="23" t="inlineStr">
        <is>
          <t>Proposed by Source assignment; target 1.4.1 Vehicles and Depot - Fleet Supply</t>
        </is>
      </c>
      <c r="E876" s="23" t="inlineStr">
        <is>
          <t>None recorded</t>
        </is>
      </c>
      <c r="F876" s="23" t="inlineStr">
        <is>
          <t>No individual professional decision recorded; Source assignment -- not individually reviewed</t>
        </is>
      </c>
      <c r="G876" s="23" t="inlineStr">
        <is>
          <t>Not individually decided</t>
        </is>
      </c>
      <c r="H876" s="23" t="inlineStr">
        <is>
          <t xml:space="preserve">RETAINED / ONE_TO_ONE; </t>
        </is>
      </c>
      <c r="I876" s="23" t="inlineStr">
        <is>
          <t>Carried forward</t>
        </is>
      </c>
      <c r="J876" s="14" t="inlineStr">
        <is>
          <t>08 CROSSWALK</t>
        </is>
      </c>
    </row>
    <row r="877" ht="49" customHeight="1">
      <c r="A877" s="23" t="inlineStr">
        <is>
          <t>R616-v2</t>
        </is>
      </c>
      <c r="B877" s="23" t="inlineStr">
        <is>
          <t>Contractor Programme / SCH-04-076</t>
        </is>
      </c>
      <c r="C877" s="23" t="inlineStr">
        <is>
          <t>WBS Code = 1.4.1</t>
        </is>
      </c>
      <c r="D877" s="23" t="inlineStr">
        <is>
          <t>Proposed by Source assignment; target 1.4.1 Vehicles and Depot - Fleet Supply</t>
        </is>
      </c>
      <c r="E877" s="23" t="inlineStr">
        <is>
          <t>None recorded</t>
        </is>
      </c>
      <c r="F877" s="23" t="inlineStr">
        <is>
          <t>No individual professional decision recorded; Source assignment -- not individually reviewed</t>
        </is>
      </c>
      <c r="G877" s="23" t="inlineStr">
        <is>
          <t>Not individually decided</t>
        </is>
      </c>
      <c r="H877" s="23" t="inlineStr">
        <is>
          <t xml:space="preserve">RETAINED / ONE_TO_ONE; </t>
        </is>
      </c>
      <c r="I877" s="23" t="inlineStr">
        <is>
          <t>Carried forward</t>
        </is>
      </c>
      <c r="J877" s="14" t="inlineStr">
        <is>
          <t>08 CROSSWALK</t>
        </is>
      </c>
    </row>
    <row r="878" ht="49" customHeight="1">
      <c r="A878" s="23" t="inlineStr">
        <is>
          <t>R617-v2</t>
        </is>
      </c>
      <c r="B878" s="23" t="inlineStr">
        <is>
          <t>Contractor Programme / SCH-04-077</t>
        </is>
      </c>
      <c r="C878" s="23" t="inlineStr">
        <is>
          <t>WBS Code = 1.4.1</t>
        </is>
      </c>
      <c r="D878" s="23" t="inlineStr">
        <is>
          <t>Proposed by Source assignment; target 1.4.1 Vehicles and Depot - Fleet Supply</t>
        </is>
      </c>
      <c r="E878" s="23" t="inlineStr">
        <is>
          <t>None recorded</t>
        </is>
      </c>
      <c r="F878" s="23" t="inlineStr">
        <is>
          <t>No individual professional decision recorded; Source assignment -- not individually reviewed</t>
        </is>
      </c>
      <c r="G878" s="23" t="inlineStr">
        <is>
          <t>Not individually decided</t>
        </is>
      </c>
      <c r="H878" s="23" t="inlineStr">
        <is>
          <t xml:space="preserve">RETAINED / ONE_TO_ONE; </t>
        </is>
      </c>
      <c r="I878" s="23" t="inlineStr">
        <is>
          <t>Carried forward</t>
        </is>
      </c>
      <c r="J878" s="14" t="inlineStr">
        <is>
          <t>08 CROSSWALK</t>
        </is>
      </c>
    </row>
    <row r="879" ht="49" customHeight="1">
      <c r="A879" s="23" t="inlineStr">
        <is>
          <t>R619-v2</t>
        </is>
      </c>
      <c r="B879" s="23" t="inlineStr">
        <is>
          <t>Contractor Programme / SCH-04-079</t>
        </is>
      </c>
      <c r="C879" s="23" t="inlineStr">
        <is>
          <t>WBS Code = 1.4.1</t>
        </is>
      </c>
      <c r="D879" s="23" t="inlineStr">
        <is>
          <t>Proposed by Source assignment; target 1.4.1 Vehicles and Depot - Fleet Supply</t>
        </is>
      </c>
      <c r="E879" s="23" t="inlineStr">
        <is>
          <t>None recorded</t>
        </is>
      </c>
      <c r="F879" s="23" t="inlineStr">
        <is>
          <t>No individual professional decision recorded; Source assignment -- not individually reviewed</t>
        </is>
      </c>
      <c r="G879" s="23" t="inlineStr">
        <is>
          <t>Not individually decided</t>
        </is>
      </c>
      <c r="H879" s="23" t="inlineStr">
        <is>
          <t xml:space="preserve">RETAINED / ONE_TO_ONE; </t>
        </is>
      </c>
      <c r="I879" s="23" t="inlineStr">
        <is>
          <t>Carried forward</t>
        </is>
      </c>
      <c r="J879" s="14" t="inlineStr">
        <is>
          <t>08 CROSSWALK</t>
        </is>
      </c>
    </row>
    <row r="880" ht="49" customHeight="1">
      <c r="A880" s="23" t="inlineStr">
        <is>
          <t>R620-v2</t>
        </is>
      </c>
      <c r="B880" s="23" t="inlineStr">
        <is>
          <t>Contractor Programme / SCH-04-080</t>
        </is>
      </c>
      <c r="C880" s="23" t="inlineStr">
        <is>
          <t>WBS Code = 1.4.1</t>
        </is>
      </c>
      <c r="D880" s="23" t="inlineStr">
        <is>
          <t>Proposed by Source assignment; target 1.4.1 Vehicles and Depot - Fleet Supply</t>
        </is>
      </c>
      <c r="E880" s="23" t="inlineStr">
        <is>
          <t>None recorded</t>
        </is>
      </c>
      <c r="F880" s="23" t="inlineStr">
        <is>
          <t>No individual professional decision recorded; Source assignment -- not individually reviewed</t>
        </is>
      </c>
      <c r="G880" s="23" t="inlineStr">
        <is>
          <t>Not individually decided</t>
        </is>
      </c>
      <c r="H880" s="23" t="inlineStr">
        <is>
          <t xml:space="preserve">RETAINED / ONE_TO_ONE; </t>
        </is>
      </c>
      <c r="I880" s="23" t="inlineStr">
        <is>
          <t>Carried forward</t>
        </is>
      </c>
      <c r="J880" s="14" t="inlineStr">
        <is>
          <t>08 CROSSWALK</t>
        </is>
      </c>
    </row>
    <row r="881" ht="49" customHeight="1">
      <c r="A881" s="23" t="inlineStr">
        <is>
          <t>R622-v2</t>
        </is>
      </c>
      <c r="B881" s="23" t="inlineStr">
        <is>
          <t>Contractor Programme / SCH-04-082</t>
        </is>
      </c>
      <c r="C881" s="23" t="inlineStr">
        <is>
          <t>WBS Code = 1.4.1</t>
        </is>
      </c>
      <c r="D881" s="23" t="inlineStr">
        <is>
          <t>Proposed by Source assignment; target 1.4.1 Vehicles and Depot - Fleet Supply</t>
        </is>
      </c>
      <c r="E881" s="23" t="inlineStr">
        <is>
          <t>None recorded</t>
        </is>
      </c>
      <c r="F881" s="23" t="inlineStr">
        <is>
          <t>No individual professional decision recorded; Source assignment -- not individually reviewed</t>
        </is>
      </c>
      <c r="G881" s="23" t="inlineStr">
        <is>
          <t>Not individually decided</t>
        </is>
      </c>
      <c r="H881" s="23" t="inlineStr">
        <is>
          <t xml:space="preserve">RETAINED / ONE_TO_ONE; </t>
        </is>
      </c>
      <c r="I881" s="23" t="inlineStr">
        <is>
          <t>Carried forward</t>
        </is>
      </c>
      <c r="J881" s="14" t="inlineStr">
        <is>
          <t>08 CROSSWALK</t>
        </is>
      </c>
    </row>
    <row r="882" ht="49" customHeight="1">
      <c r="A882" s="23" t="inlineStr">
        <is>
          <t>R623-v2</t>
        </is>
      </c>
      <c r="B882" s="23" t="inlineStr">
        <is>
          <t>Contractor Programme / SCH-04-083</t>
        </is>
      </c>
      <c r="C882" s="23" t="inlineStr">
        <is>
          <t>WBS Code = 1.4.1</t>
        </is>
      </c>
      <c r="D882" s="23" t="inlineStr">
        <is>
          <t>Proposed by Source assignment; target 1.4.1 Vehicles and Depot - Fleet Supply</t>
        </is>
      </c>
      <c r="E882" s="23" t="inlineStr">
        <is>
          <t>None recorded</t>
        </is>
      </c>
      <c r="F882" s="23" t="inlineStr">
        <is>
          <t>No individual professional decision recorded; Source assignment -- not individually reviewed</t>
        </is>
      </c>
      <c r="G882" s="23" t="inlineStr">
        <is>
          <t>Not individually decided</t>
        </is>
      </c>
      <c r="H882" s="23" t="inlineStr">
        <is>
          <t xml:space="preserve">RETAINED / ONE_TO_ONE; </t>
        </is>
      </c>
      <c r="I882" s="23" t="inlineStr">
        <is>
          <t>Carried forward</t>
        </is>
      </c>
      <c r="J882" s="14" t="inlineStr">
        <is>
          <t>08 CROSSWALK</t>
        </is>
      </c>
    </row>
    <row r="883" ht="49" customHeight="1">
      <c r="A883" s="23" t="inlineStr">
        <is>
          <t>R625-v2</t>
        </is>
      </c>
      <c r="B883" s="23" t="inlineStr">
        <is>
          <t>Contractor Programme / SCH-04-085</t>
        </is>
      </c>
      <c r="C883" s="23" t="inlineStr">
        <is>
          <t>WBS Code = 1.4.1</t>
        </is>
      </c>
      <c r="D883" s="23" t="inlineStr">
        <is>
          <t>Proposed by Source assignment; target 1.4.1 Vehicles and Depot - Fleet Supply</t>
        </is>
      </c>
      <c r="E883" s="23" t="inlineStr">
        <is>
          <t>None recorded</t>
        </is>
      </c>
      <c r="F883" s="23" t="inlineStr">
        <is>
          <t>No individual professional decision recorded; Source assignment -- not individually reviewed</t>
        </is>
      </c>
      <c r="G883" s="23" t="inlineStr">
        <is>
          <t>Not individually decided</t>
        </is>
      </c>
      <c r="H883" s="23" t="inlineStr">
        <is>
          <t xml:space="preserve">RETAINED / ONE_TO_ONE; </t>
        </is>
      </c>
      <c r="I883" s="23" t="inlineStr">
        <is>
          <t>Carried forward</t>
        </is>
      </c>
      <c r="J883" s="14" t="inlineStr">
        <is>
          <t>08 CROSSWALK</t>
        </is>
      </c>
    </row>
    <row r="884" ht="49" customHeight="1">
      <c r="A884" s="23" t="inlineStr">
        <is>
          <t>R626-v2</t>
        </is>
      </c>
      <c r="B884" s="23" t="inlineStr">
        <is>
          <t>Contractor Programme / SCH-04-086</t>
        </is>
      </c>
      <c r="C884" s="23" t="inlineStr">
        <is>
          <t>WBS Code = 1.4.1</t>
        </is>
      </c>
      <c r="D884" s="23" t="inlineStr">
        <is>
          <t>Proposed by Source assignment; target 1.4.1 Vehicles and Depot - Fleet Supply</t>
        </is>
      </c>
      <c r="E884" s="23" t="inlineStr">
        <is>
          <t>None recorded</t>
        </is>
      </c>
      <c r="F884" s="23" t="inlineStr">
        <is>
          <t>No individual professional decision recorded; Source assignment -- not individually reviewed</t>
        </is>
      </c>
      <c r="G884" s="23" t="inlineStr">
        <is>
          <t>Not individually decided</t>
        </is>
      </c>
      <c r="H884" s="23" t="inlineStr">
        <is>
          <t xml:space="preserve">RETAINED / ONE_TO_ONE; </t>
        </is>
      </c>
      <c r="I884" s="23" t="inlineStr">
        <is>
          <t>Carried forward</t>
        </is>
      </c>
      <c r="J884" s="14" t="inlineStr">
        <is>
          <t>08 CROSSWALK</t>
        </is>
      </c>
    </row>
    <row r="885" ht="49" customHeight="1">
      <c r="A885" s="23" t="inlineStr">
        <is>
          <t>R628-v2</t>
        </is>
      </c>
      <c r="B885" s="23" t="inlineStr">
        <is>
          <t>Contractor Programme / SCH-04-088</t>
        </is>
      </c>
      <c r="C885" s="23" t="inlineStr">
        <is>
          <t>WBS Code = 1.4.1</t>
        </is>
      </c>
      <c r="D885" s="23" t="inlineStr">
        <is>
          <t>Proposed by Source assignment; target 1.4.1 Vehicles and Depot - Fleet Supply</t>
        </is>
      </c>
      <c r="E885" s="23" t="inlineStr">
        <is>
          <t>None recorded</t>
        </is>
      </c>
      <c r="F885" s="23" t="inlineStr">
        <is>
          <t>No individual professional decision recorded; Source assignment -- not individually reviewed</t>
        </is>
      </c>
      <c r="G885" s="23" t="inlineStr">
        <is>
          <t>Not individually decided</t>
        </is>
      </c>
      <c r="H885" s="23" t="inlineStr">
        <is>
          <t xml:space="preserve">RETAINED / ONE_TO_ONE; </t>
        </is>
      </c>
      <c r="I885" s="23" t="inlineStr">
        <is>
          <t>Carried forward</t>
        </is>
      </c>
      <c r="J885" s="14" t="inlineStr">
        <is>
          <t>08 CROSSWALK</t>
        </is>
      </c>
    </row>
    <row r="886" ht="49" customHeight="1">
      <c r="A886" s="23" t="inlineStr">
        <is>
          <t>R629-v2</t>
        </is>
      </c>
      <c r="B886" s="23" t="inlineStr">
        <is>
          <t>Contractor Programme / SCH-04-089</t>
        </is>
      </c>
      <c r="C886" s="23" t="inlineStr">
        <is>
          <t>WBS Code = 1.4.1</t>
        </is>
      </c>
      <c r="D886" s="23" t="inlineStr">
        <is>
          <t>Proposed by Source assignment; target 1.4.1 Vehicles and Depot - Fleet Supply</t>
        </is>
      </c>
      <c r="E886" s="23" t="inlineStr">
        <is>
          <t>None recorded</t>
        </is>
      </c>
      <c r="F886" s="23" t="inlineStr">
        <is>
          <t>No individual professional decision recorded; Source assignment -- not individually reviewed</t>
        </is>
      </c>
      <c r="G886" s="23" t="inlineStr">
        <is>
          <t>Not individually decided</t>
        </is>
      </c>
      <c r="H886" s="23" t="inlineStr">
        <is>
          <t xml:space="preserve">RETAINED / ONE_TO_ONE; </t>
        </is>
      </c>
      <c r="I886" s="23" t="inlineStr">
        <is>
          <t>Carried forward</t>
        </is>
      </c>
      <c r="J886" s="14" t="inlineStr">
        <is>
          <t>08 CROSSWALK</t>
        </is>
      </c>
    </row>
    <row r="887" ht="49" customHeight="1">
      <c r="A887" s="23" t="inlineStr">
        <is>
          <t>R631-v2</t>
        </is>
      </c>
      <c r="B887" s="23" t="inlineStr">
        <is>
          <t>Contractor Programme / SCH-04-091</t>
        </is>
      </c>
      <c r="C887" s="23" t="inlineStr">
        <is>
          <t>WBS Code = 1.4.1</t>
        </is>
      </c>
      <c r="D887" s="23" t="inlineStr">
        <is>
          <t>Proposed by Source assignment; target 1.4.1 Vehicles and Depot - Fleet Supply</t>
        </is>
      </c>
      <c r="E887" s="23" t="inlineStr">
        <is>
          <t>None recorded</t>
        </is>
      </c>
      <c r="F887" s="23" t="inlineStr">
        <is>
          <t>No individual professional decision recorded; Source assignment -- not individually reviewed</t>
        </is>
      </c>
      <c r="G887" s="23" t="inlineStr">
        <is>
          <t>Not individually decided</t>
        </is>
      </c>
      <c r="H887" s="23" t="inlineStr">
        <is>
          <t xml:space="preserve">RETAINED / ONE_TO_ONE; </t>
        </is>
      </c>
      <c r="I887" s="23" t="inlineStr">
        <is>
          <t>Carried forward</t>
        </is>
      </c>
      <c r="J887" s="14" t="inlineStr">
        <is>
          <t>08 CROSSWALK</t>
        </is>
      </c>
    </row>
    <row r="888" ht="49" customHeight="1">
      <c r="A888" s="23" t="inlineStr">
        <is>
          <t>R632-v2</t>
        </is>
      </c>
      <c r="B888" s="23" t="inlineStr">
        <is>
          <t>Contractor Programme / SCH-04-092</t>
        </is>
      </c>
      <c r="C888" s="23" t="inlineStr">
        <is>
          <t>WBS Code = 1.4.1</t>
        </is>
      </c>
      <c r="D888" s="23" t="inlineStr">
        <is>
          <t>Proposed by Source assignment; target 1.4.1 Vehicles and Depot - Fleet Supply</t>
        </is>
      </c>
      <c r="E888" s="23" t="inlineStr">
        <is>
          <t>None recorded</t>
        </is>
      </c>
      <c r="F888" s="23" t="inlineStr">
        <is>
          <t>No individual professional decision recorded; Source assignment -- not individually reviewed</t>
        </is>
      </c>
      <c r="G888" s="23" t="inlineStr">
        <is>
          <t>Not individually decided</t>
        </is>
      </c>
      <c r="H888" s="23" t="inlineStr">
        <is>
          <t xml:space="preserve">RETAINED / ONE_TO_ONE; </t>
        </is>
      </c>
      <c r="I888" s="23" t="inlineStr">
        <is>
          <t>Carried forward</t>
        </is>
      </c>
      <c r="J888" s="14" t="inlineStr">
        <is>
          <t>08 CROSSWALK</t>
        </is>
      </c>
    </row>
    <row r="889" ht="49" customHeight="1">
      <c r="A889" s="23" t="inlineStr">
        <is>
          <t>R634-v2</t>
        </is>
      </c>
      <c r="B889" s="23" t="inlineStr">
        <is>
          <t>Contractor Programme / SCH-04-094</t>
        </is>
      </c>
      <c r="C889" s="23" t="inlineStr">
        <is>
          <t>WBS Code = 1.4.1</t>
        </is>
      </c>
      <c r="D889" s="23" t="inlineStr">
        <is>
          <t>Proposed by Source assignment; target 1.4.1 Vehicles and Depot - Fleet Supply</t>
        </is>
      </c>
      <c r="E889" s="23" t="inlineStr">
        <is>
          <t>None recorded</t>
        </is>
      </c>
      <c r="F889" s="23" t="inlineStr">
        <is>
          <t>No individual professional decision recorded; Source assignment -- not individually reviewed</t>
        </is>
      </c>
      <c r="G889" s="23" t="inlineStr">
        <is>
          <t>Not individually decided</t>
        </is>
      </c>
      <c r="H889" s="23" t="inlineStr">
        <is>
          <t xml:space="preserve">RETAINED / ONE_TO_ONE; </t>
        </is>
      </c>
      <c r="I889" s="23" t="inlineStr">
        <is>
          <t>Carried forward</t>
        </is>
      </c>
      <c r="J889" s="14" t="inlineStr">
        <is>
          <t>08 CROSSWALK</t>
        </is>
      </c>
    </row>
    <row r="890" ht="49" customHeight="1">
      <c r="A890" s="23" t="inlineStr">
        <is>
          <t>R635-v2</t>
        </is>
      </c>
      <c r="B890" s="23" t="inlineStr">
        <is>
          <t>Contractor Programme / SCH-04-095</t>
        </is>
      </c>
      <c r="C890" s="23" t="inlineStr">
        <is>
          <t>WBS Code = 1.4.1</t>
        </is>
      </c>
      <c r="D890" s="23" t="inlineStr">
        <is>
          <t>Proposed by Source assignment; target 1.4.1 Vehicles and Depot - Fleet Supply</t>
        </is>
      </c>
      <c r="E890" s="23" t="inlineStr">
        <is>
          <t>None recorded</t>
        </is>
      </c>
      <c r="F890" s="23" t="inlineStr">
        <is>
          <t>No individual professional decision recorded; Source assignment -- not individually reviewed</t>
        </is>
      </c>
      <c r="G890" s="23" t="inlineStr">
        <is>
          <t>Not individually decided</t>
        </is>
      </c>
      <c r="H890" s="23" t="inlineStr">
        <is>
          <t xml:space="preserve">RETAINED / ONE_TO_ONE; </t>
        </is>
      </c>
      <c r="I890" s="23" t="inlineStr">
        <is>
          <t>Carried forward</t>
        </is>
      </c>
      <c r="J890" s="14" t="inlineStr">
        <is>
          <t>08 CROSSWALK</t>
        </is>
      </c>
    </row>
    <row r="891" ht="49" customHeight="1">
      <c r="A891" s="23" t="inlineStr">
        <is>
          <t>R637-v2</t>
        </is>
      </c>
      <c r="B891" s="23" t="inlineStr">
        <is>
          <t>Contractor Programme / SCH-04-097</t>
        </is>
      </c>
      <c r="C891" s="23" t="inlineStr">
        <is>
          <t>WBS Code = 1.4.1</t>
        </is>
      </c>
      <c r="D891" s="23" t="inlineStr">
        <is>
          <t>Proposed by Source assignment; target 1.4.1 Vehicles and Depot - Fleet Supply</t>
        </is>
      </c>
      <c r="E891" s="23" t="inlineStr">
        <is>
          <t>None recorded</t>
        </is>
      </c>
      <c r="F891" s="23" t="inlineStr">
        <is>
          <t>No individual professional decision recorded; Source assignment -- not individually reviewed</t>
        </is>
      </c>
      <c r="G891" s="23" t="inlineStr">
        <is>
          <t>Not individually decided</t>
        </is>
      </c>
      <c r="H891" s="23" t="inlineStr">
        <is>
          <t xml:space="preserve">RETAINED / ONE_TO_ONE; </t>
        </is>
      </c>
      <c r="I891" s="23" t="inlineStr">
        <is>
          <t>Carried forward</t>
        </is>
      </c>
      <c r="J891" s="14" t="inlineStr">
        <is>
          <t>08 CROSSWALK</t>
        </is>
      </c>
    </row>
    <row r="892" ht="49" customHeight="1">
      <c r="A892" s="23" t="inlineStr">
        <is>
          <t>R638-v2</t>
        </is>
      </c>
      <c r="B892" s="23" t="inlineStr">
        <is>
          <t>Contractor Programme / SCH-04-098</t>
        </is>
      </c>
      <c r="C892" s="23" t="inlineStr">
        <is>
          <t>WBS Code = 1.4.1</t>
        </is>
      </c>
      <c r="D892" s="23" t="inlineStr">
        <is>
          <t>Proposed by Source assignment; target 1.4.1 Vehicles and Depot - Fleet Supply</t>
        </is>
      </c>
      <c r="E892" s="23" t="inlineStr">
        <is>
          <t>None recorded</t>
        </is>
      </c>
      <c r="F892" s="23" t="inlineStr">
        <is>
          <t>No individual professional decision recorded; Source assignment -- not individually reviewed</t>
        </is>
      </c>
      <c r="G892" s="23" t="inlineStr">
        <is>
          <t>Not individually decided</t>
        </is>
      </c>
      <c r="H892" s="23" t="inlineStr">
        <is>
          <t xml:space="preserve">RETAINED / ONE_TO_ONE; </t>
        </is>
      </c>
      <c r="I892" s="23" t="inlineStr">
        <is>
          <t>Carried forward</t>
        </is>
      </c>
      <c r="J892" s="14" t="inlineStr">
        <is>
          <t>08 CROSSWALK</t>
        </is>
      </c>
    </row>
    <row r="893" ht="49" customHeight="1">
      <c r="A893" s="23" t="inlineStr">
        <is>
          <t>R640-v2</t>
        </is>
      </c>
      <c r="B893" s="23" t="inlineStr">
        <is>
          <t>Contractor Programme / SCH-04-100</t>
        </is>
      </c>
      <c r="C893" s="23" t="inlineStr">
        <is>
          <t>WBS Code = 1.4.1</t>
        </is>
      </c>
      <c r="D893" s="23" t="inlineStr">
        <is>
          <t>Proposed by Source assignment; target 1.4.1 Vehicles and Depot - Fleet Supply</t>
        </is>
      </c>
      <c r="E893" s="23" t="inlineStr">
        <is>
          <t>None recorded</t>
        </is>
      </c>
      <c r="F893" s="23" t="inlineStr">
        <is>
          <t>No individual professional decision recorded; Source assignment -- not individually reviewed</t>
        </is>
      </c>
      <c r="G893" s="23" t="inlineStr">
        <is>
          <t>Not individually decided</t>
        </is>
      </c>
      <c r="H893" s="23" t="inlineStr">
        <is>
          <t xml:space="preserve">RETAINED / ONE_TO_ONE; </t>
        </is>
      </c>
      <c r="I893" s="23" t="inlineStr">
        <is>
          <t>Carried forward</t>
        </is>
      </c>
      <c r="J893" s="14" t="inlineStr">
        <is>
          <t>08 CROSSWALK</t>
        </is>
      </c>
    </row>
    <row r="894" ht="49" customHeight="1">
      <c r="A894" s="23" t="inlineStr">
        <is>
          <t>R641-v2</t>
        </is>
      </c>
      <c r="B894" s="23" t="inlineStr">
        <is>
          <t>Contractor Programme / SCH-04-101</t>
        </is>
      </c>
      <c r="C894" s="23" t="inlineStr">
        <is>
          <t>WBS Code = 1.4.1</t>
        </is>
      </c>
      <c r="D894" s="23" t="inlineStr">
        <is>
          <t>Proposed by Source assignment; target 1.4.1 Vehicles and Depot - Fleet Supply</t>
        </is>
      </c>
      <c r="E894" s="23" t="inlineStr">
        <is>
          <t>None recorded</t>
        </is>
      </c>
      <c r="F894" s="23" t="inlineStr">
        <is>
          <t>No individual professional decision recorded; Source assignment -- not individually reviewed</t>
        </is>
      </c>
      <c r="G894" s="23" t="inlineStr">
        <is>
          <t>Not individually decided</t>
        </is>
      </c>
      <c r="H894" s="23" t="inlineStr">
        <is>
          <t xml:space="preserve">RETAINED / ONE_TO_ONE; </t>
        </is>
      </c>
      <c r="I894" s="23" t="inlineStr">
        <is>
          <t>Carried forward</t>
        </is>
      </c>
      <c r="J894" s="14" t="inlineStr">
        <is>
          <t>08 CROSSWALK</t>
        </is>
      </c>
    </row>
    <row r="895" ht="49" customHeight="1">
      <c r="A895" s="23" t="inlineStr">
        <is>
          <t>R643-v2</t>
        </is>
      </c>
      <c r="B895" s="23" t="inlineStr">
        <is>
          <t>Contractor Programme / SCH-04-103</t>
        </is>
      </c>
      <c r="C895" s="23" t="inlineStr">
        <is>
          <t>WBS Code = 1.4.1</t>
        </is>
      </c>
      <c r="D895" s="23" t="inlineStr">
        <is>
          <t>Proposed by Source assignment; target 1.4.1 Vehicles and Depot - Fleet Supply</t>
        </is>
      </c>
      <c r="E895" s="23" t="inlineStr">
        <is>
          <t>None recorded</t>
        </is>
      </c>
      <c r="F895" s="23" t="inlineStr">
        <is>
          <t>No individual professional decision recorded; Source assignment -- not individually reviewed</t>
        </is>
      </c>
      <c r="G895" s="23" t="inlineStr">
        <is>
          <t>Not individually decided</t>
        </is>
      </c>
      <c r="H895" s="23" t="inlineStr">
        <is>
          <t xml:space="preserve">RETAINED / ONE_TO_ONE; </t>
        </is>
      </c>
      <c r="I895" s="23" t="inlineStr">
        <is>
          <t>Carried forward</t>
        </is>
      </c>
      <c r="J895" s="14" t="inlineStr">
        <is>
          <t>08 CROSSWALK</t>
        </is>
      </c>
    </row>
    <row r="896" ht="49" customHeight="1">
      <c r="A896" s="23" t="inlineStr">
        <is>
          <t>R644-v2</t>
        </is>
      </c>
      <c r="B896" s="23" t="inlineStr">
        <is>
          <t>Contractor Programme / SCH-04-104</t>
        </is>
      </c>
      <c r="C896" s="23" t="inlineStr">
        <is>
          <t>WBS Code = 1.4.1</t>
        </is>
      </c>
      <c r="D896" s="23" t="inlineStr">
        <is>
          <t>Proposed by Source assignment; target 1.4.1 Vehicles and Depot - Fleet Supply</t>
        </is>
      </c>
      <c r="E896" s="23" t="inlineStr">
        <is>
          <t>None recorded</t>
        </is>
      </c>
      <c r="F896" s="23" t="inlineStr">
        <is>
          <t>No individual professional decision recorded; Source assignment -- not individually reviewed</t>
        </is>
      </c>
      <c r="G896" s="23" t="inlineStr">
        <is>
          <t>Not individually decided</t>
        </is>
      </c>
      <c r="H896" s="23" t="inlineStr">
        <is>
          <t xml:space="preserve">RETAINED / ONE_TO_ONE; </t>
        </is>
      </c>
      <c r="I896" s="23" t="inlineStr">
        <is>
          <t>Carried forward</t>
        </is>
      </c>
      <c r="J896" s="14" t="inlineStr">
        <is>
          <t>08 CROSSWALK</t>
        </is>
      </c>
    </row>
    <row r="897" ht="49" customHeight="1">
      <c r="A897" s="23" t="inlineStr">
        <is>
          <t>R646-v2</t>
        </is>
      </c>
      <c r="B897" s="23" t="inlineStr">
        <is>
          <t>Contractor Programme / SCH-04-106</t>
        </is>
      </c>
      <c r="C897" s="23" t="inlineStr">
        <is>
          <t>WBS Code = 1.4.1</t>
        </is>
      </c>
      <c r="D897" s="23" t="inlineStr">
        <is>
          <t>Proposed by Source assignment; target 1.4.1 Vehicles and Depot - Fleet Supply</t>
        </is>
      </c>
      <c r="E897" s="23" t="inlineStr">
        <is>
          <t>None recorded</t>
        </is>
      </c>
      <c r="F897" s="23" t="inlineStr">
        <is>
          <t>No individual professional decision recorded; Source assignment -- not individually reviewed</t>
        </is>
      </c>
      <c r="G897" s="23" t="inlineStr">
        <is>
          <t>Not individually decided</t>
        </is>
      </c>
      <c r="H897" s="23" t="inlineStr">
        <is>
          <t xml:space="preserve">RETAINED / ONE_TO_ONE; </t>
        </is>
      </c>
      <c r="I897" s="23" t="inlineStr">
        <is>
          <t>Carried forward</t>
        </is>
      </c>
      <c r="J897" s="14" t="inlineStr">
        <is>
          <t>08 CROSSWALK</t>
        </is>
      </c>
    </row>
    <row r="898" ht="49" customHeight="1">
      <c r="A898" s="23" t="inlineStr">
        <is>
          <t>R647-v2</t>
        </is>
      </c>
      <c r="B898" s="23" t="inlineStr">
        <is>
          <t>Contractor Programme / SCH-04-107</t>
        </is>
      </c>
      <c r="C898" s="23" t="inlineStr">
        <is>
          <t>WBS Code = 1.4.1</t>
        </is>
      </c>
      <c r="D898" s="23" t="inlineStr">
        <is>
          <t>Proposed by Source assignment; target 1.4.1 Vehicles and Depot - Fleet Supply</t>
        </is>
      </c>
      <c r="E898" s="23" t="inlineStr">
        <is>
          <t>None recorded</t>
        </is>
      </c>
      <c r="F898" s="23" t="inlineStr">
        <is>
          <t>No individual professional decision recorded; Source assignment -- not individually reviewed</t>
        </is>
      </c>
      <c r="G898" s="23" t="inlineStr">
        <is>
          <t>Not individually decided</t>
        </is>
      </c>
      <c r="H898" s="23" t="inlineStr">
        <is>
          <t xml:space="preserve">RETAINED / ONE_TO_ONE; </t>
        </is>
      </c>
      <c r="I898" s="23" t="inlineStr">
        <is>
          <t>Carried forward</t>
        </is>
      </c>
      <c r="J898" s="14" t="inlineStr">
        <is>
          <t>08 CROSSWALK</t>
        </is>
      </c>
    </row>
    <row r="899" ht="49" customHeight="1">
      <c r="A899" s="23" t="inlineStr">
        <is>
          <t>R649-v2</t>
        </is>
      </c>
      <c r="B899" s="23" t="inlineStr">
        <is>
          <t>Contractor Programme / SCH-04-109</t>
        </is>
      </c>
      <c r="C899" s="23" t="inlineStr">
        <is>
          <t>WBS Code = 1.4.1</t>
        </is>
      </c>
      <c r="D899" s="23" t="inlineStr">
        <is>
          <t>Proposed by Source assignment; target 1.4.1 Vehicles and Depot - Fleet Supply</t>
        </is>
      </c>
      <c r="E899" s="23" t="inlineStr">
        <is>
          <t>None recorded</t>
        </is>
      </c>
      <c r="F899" s="23" t="inlineStr">
        <is>
          <t>No individual professional decision recorded; Source assignment -- not individually reviewed</t>
        </is>
      </c>
      <c r="G899" s="23" t="inlineStr">
        <is>
          <t>Not individually decided</t>
        </is>
      </c>
      <c r="H899" s="23" t="inlineStr">
        <is>
          <t xml:space="preserve">RETAINED / ONE_TO_ONE; </t>
        </is>
      </c>
      <c r="I899" s="23" t="inlineStr">
        <is>
          <t>Carried forward</t>
        </is>
      </c>
      <c r="J899" s="14" t="inlineStr">
        <is>
          <t>08 CROSSWALK</t>
        </is>
      </c>
    </row>
    <row r="900" ht="49" customHeight="1">
      <c r="A900" s="23" t="inlineStr">
        <is>
          <t>R650-v2</t>
        </is>
      </c>
      <c r="B900" s="23" t="inlineStr">
        <is>
          <t>Contractor Programme / SCH-04-110</t>
        </is>
      </c>
      <c r="C900" s="23" t="inlineStr">
        <is>
          <t>WBS Code = 1.4.1</t>
        </is>
      </c>
      <c r="D900" s="23" t="inlineStr">
        <is>
          <t>Proposed by Source assignment; target 1.4.1 Vehicles and Depot - Fleet Supply</t>
        </is>
      </c>
      <c r="E900" s="23" t="inlineStr">
        <is>
          <t>None recorded</t>
        </is>
      </c>
      <c r="F900" s="23" t="inlineStr">
        <is>
          <t>No individual professional decision recorded; Source assignment -- not individually reviewed</t>
        </is>
      </c>
      <c r="G900" s="23" t="inlineStr">
        <is>
          <t>Not individually decided</t>
        </is>
      </c>
      <c r="H900" s="23" t="inlineStr">
        <is>
          <t xml:space="preserve">RETAINED / ONE_TO_ONE; </t>
        </is>
      </c>
      <c r="I900" s="23" t="inlineStr">
        <is>
          <t>Carried forward</t>
        </is>
      </c>
      <c r="J900" s="14" t="inlineStr">
        <is>
          <t>08 CROSSWALK</t>
        </is>
      </c>
    </row>
    <row r="901" ht="49" customHeight="1">
      <c r="A901" s="23" t="inlineStr">
        <is>
          <t>R652-v2</t>
        </is>
      </c>
      <c r="B901" s="23" t="inlineStr">
        <is>
          <t>Contractor Programme / SCH-04-112</t>
        </is>
      </c>
      <c r="C901" s="23" t="inlineStr">
        <is>
          <t>WBS Code = 1.4.1</t>
        </is>
      </c>
      <c r="D901" s="23" t="inlineStr">
        <is>
          <t>Proposed by Source assignment; target 1.4.1 Vehicles and Depot - Fleet Supply</t>
        </is>
      </c>
      <c r="E901" s="23" t="inlineStr">
        <is>
          <t>None recorded</t>
        </is>
      </c>
      <c r="F901" s="23" t="inlineStr">
        <is>
          <t>No individual professional decision recorded; Source assignment -- not individually reviewed</t>
        </is>
      </c>
      <c r="G901" s="23" t="inlineStr">
        <is>
          <t>Not individually decided</t>
        </is>
      </c>
      <c r="H901" s="23" t="inlineStr">
        <is>
          <t xml:space="preserve">RETAINED / ONE_TO_ONE; </t>
        </is>
      </c>
      <c r="I901" s="23" t="inlineStr">
        <is>
          <t>Carried forward</t>
        </is>
      </c>
      <c r="J901" s="14" t="inlineStr">
        <is>
          <t>08 CROSSWALK</t>
        </is>
      </c>
    </row>
    <row r="902" ht="49" customHeight="1">
      <c r="A902" s="23" t="inlineStr">
        <is>
          <t>R653-v2</t>
        </is>
      </c>
      <c r="B902" s="23" t="inlineStr">
        <is>
          <t>Contractor Programme / SCH-04-113</t>
        </is>
      </c>
      <c r="C902" s="23" t="inlineStr">
        <is>
          <t>WBS Code = 1.4.1</t>
        </is>
      </c>
      <c r="D902" s="23" t="inlineStr">
        <is>
          <t>Proposed by Source assignment; target 1.4.1 Vehicles and Depot - Fleet Supply</t>
        </is>
      </c>
      <c r="E902" s="23" t="inlineStr">
        <is>
          <t>None recorded</t>
        </is>
      </c>
      <c r="F902" s="23" t="inlineStr">
        <is>
          <t>No individual professional decision recorded; Source assignment -- not individually reviewed</t>
        </is>
      </c>
      <c r="G902" s="23" t="inlineStr">
        <is>
          <t>Not individually decided</t>
        </is>
      </c>
      <c r="H902" s="23" t="inlineStr">
        <is>
          <t xml:space="preserve">RETAINED / ONE_TO_ONE; </t>
        </is>
      </c>
      <c r="I902" s="23" t="inlineStr">
        <is>
          <t>Carried forward</t>
        </is>
      </c>
      <c r="J902" s="14" t="inlineStr">
        <is>
          <t>08 CROSSWALK</t>
        </is>
      </c>
    </row>
    <row r="903" ht="49" customHeight="1">
      <c r="A903" s="23" t="inlineStr">
        <is>
          <t>R655-v2</t>
        </is>
      </c>
      <c r="B903" s="23" t="inlineStr">
        <is>
          <t>Contractor Programme / SCH-04-115</t>
        </is>
      </c>
      <c r="C903" s="23" t="inlineStr">
        <is>
          <t>WBS Code = 1.4.1</t>
        </is>
      </c>
      <c r="D903" s="23" t="inlineStr">
        <is>
          <t>Proposed by Source assignment; target 1.4.1 Vehicles and Depot - Fleet Supply</t>
        </is>
      </c>
      <c r="E903" s="23" t="inlineStr">
        <is>
          <t>None recorded</t>
        </is>
      </c>
      <c r="F903" s="23" t="inlineStr">
        <is>
          <t>No individual professional decision recorded; Source assignment -- not individually reviewed</t>
        </is>
      </c>
      <c r="G903" s="23" t="inlineStr">
        <is>
          <t>Not individually decided</t>
        </is>
      </c>
      <c r="H903" s="23" t="inlineStr">
        <is>
          <t xml:space="preserve">RETAINED / ONE_TO_ONE; </t>
        </is>
      </c>
      <c r="I903" s="23" t="inlineStr">
        <is>
          <t>Carried forward</t>
        </is>
      </c>
      <c r="J903" s="14" t="inlineStr">
        <is>
          <t>08 CROSSWALK</t>
        </is>
      </c>
    </row>
    <row r="904" ht="49" customHeight="1">
      <c r="A904" s="23" t="inlineStr">
        <is>
          <t>R656-v2</t>
        </is>
      </c>
      <c r="B904" s="23" t="inlineStr">
        <is>
          <t>Contractor Programme / SCH-04-116</t>
        </is>
      </c>
      <c r="C904" s="23" t="inlineStr">
        <is>
          <t>WBS Code = 1.4.1</t>
        </is>
      </c>
      <c r="D904" s="23" t="inlineStr">
        <is>
          <t>Proposed by Source assignment; target 1.4.1 Vehicles and Depot - Fleet Supply</t>
        </is>
      </c>
      <c r="E904" s="23" t="inlineStr">
        <is>
          <t>None recorded</t>
        </is>
      </c>
      <c r="F904" s="23" t="inlineStr">
        <is>
          <t>No individual professional decision recorded; Source assignment -- not individually reviewed</t>
        </is>
      </c>
      <c r="G904" s="23" t="inlineStr">
        <is>
          <t>Not individually decided</t>
        </is>
      </c>
      <c r="H904" s="23" t="inlineStr">
        <is>
          <t xml:space="preserve">RETAINED / ONE_TO_ONE; </t>
        </is>
      </c>
      <c r="I904" s="23" t="inlineStr">
        <is>
          <t>Carried forward</t>
        </is>
      </c>
      <c r="J904" s="14" t="inlineStr">
        <is>
          <t>08 CROSSWALK</t>
        </is>
      </c>
    </row>
    <row r="905" ht="49" customHeight="1">
      <c r="A905" s="23" t="inlineStr">
        <is>
          <t>R658-v2</t>
        </is>
      </c>
      <c r="B905" s="23" t="inlineStr">
        <is>
          <t>Contractor Programme / SCH-04-118</t>
        </is>
      </c>
      <c r="C905" s="23" t="inlineStr">
        <is>
          <t>WBS Code = 1.4.1</t>
        </is>
      </c>
      <c r="D905" s="23" t="inlineStr">
        <is>
          <t>Proposed by Source assignment; target 1.4.1 Vehicles and Depot - Fleet Supply</t>
        </is>
      </c>
      <c r="E905" s="23" t="inlineStr">
        <is>
          <t>None recorded</t>
        </is>
      </c>
      <c r="F905" s="23" t="inlineStr">
        <is>
          <t>No individual professional decision recorded; Source assignment -- not individually reviewed</t>
        </is>
      </c>
      <c r="G905" s="23" t="inlineStr">
        <is>
          <t>Not individually decided</t>
        </is>
      </c>
      <c r="H905" s="23" t="inlineStr">
        <is>
          <t xml:space="preserve">RETAINED / ONE_TO_ONE; </t>
        </is>
      </c>
      <c r="I905" s="23" t="inlineStr">
        <is>
          <t>Carried forward</t>
        </is>
      </c>
      <c r="J905" s="14" t="inlineStr">
        <is>
          <t>08 CROSSWALK</t>
        </is>
      </c>
    </row>
    <row r="906" ht="49" customHeight="1">
      <c r="A906" s="23" t="inlineStr">
        <is>
          <t>R659-v2</t>
        </is>
      </c>
      <c r="B906" s="23" t="inlineStr">
        <is>
          <t>Contractor Programme / SCH-04-119</t>
        </is>
      </c>
      <c r="C906" s="23" t="inlineStr">
        <is>
          <t>WBS Code = 1.4.1</t>
        </is>
      </c>
      <c r="D906" s="23" t="inlineStr">
        <is>
          <t>Proposed by Source assignment; target 1.4.1 Vehicles and Depot - Fleet Supply</t>
        </is>
      </c>
      <c r="E906" s="23" t="inlineStr">
        <is>
          <t>None recorded</t>
        </is>
      </c>
      <c r="F906" s="23" t="inlineStr">
        <is>
          <t>No individual professional decision recorded; Source assignment -- not individually reviewed</t>
        </is>
      </c>
      <c r="G906" s="23" t="inlineStr">
        <is>
          <t>Not individually decided</t>
        </is>
      </c>
      <c r="H906" s="23" t="inlineStr">
        <is>
          <t xml:space="preserve">RETAINED / ONE_TO_ONE; </t>
        </is>
      </c>
      <c r="I906" s="23" t="inlineStr">
        <is>
          <t>Carried forward</t>
        </is>
      </c>
      <c r="J906" s="14" t="inlineStr">
        <is>
          <t>08 CROSSWALK</t>
        </is>
      </c>
    </row>
    <row r="907" ht="49" customHeight="1">
      <c r="A907" s="23" t="inlineStr">
        <is>
          <t>R661-v2</t>
        </is>
      </c>
      <c r="B907" s="23" t="inlineStr">
        <is>
          <t>Contractor Programme / SCH-04-121</t>
        </is>
      </c>
      <c r="C907" s="23" t="inlineStr">
        <is>
          <t>WBS Code = 1.4.1</t>
        </is>
      </c>
      <c r="D907" s="23" t="inlineStr">
        <is>
          <t>Proposed by Source assignment; target 1.4.1 Vehicles and Depot - Fleet Supply</t>
        </is>
      </c>
      <c r="E907" s="23" t="inlineStr">
        <is>
          <t>None recorded</t>
        </is>
      </c>
      <c r="F907" s="23" t="inlineStr">
        <is>
          <t>No individual professional decision recorded; Source assignment -- not individually reviewed</t>
        </is>
      </c>
      <c r="G907" s="23" t="inlineStr">
        <is>
          <t>Not individually decided</t>
        </is>
      </c>
      <c r="H907" s="23" t="inlineStr">
        <is>
          <t xml:space="preserve">RETAINED / ONE_TO_ONE; </t>
        </is>
      </c>
      <c r="I907" s="23" t="inlineStr">
        <is>
          <t>Carried forward</t>
        </is>
      </c>
      <c r="J907" s="14" t="inlineStr">
        <is>
          <t>08 CROSSWALK</t>
        </is>
      </c>
    </row>
    <row r="908" ht="49" customHeight="1">
      <c r="A908" s="23" t="inlineStr">
        <is>
          <t>R662-v2</t>
        </is>
      </c>
      <c r="B908" s="23" t="inlineStr">
        <is>
          <t>Contractor Programme / SCH-04-122</t>
        </is>
      </c>
      <c r="C908" s="23" t="inlineStr">
        <is>
          <t>WBS Code = 1.4.1</t>
        </is>
      </c>
      <c r="D908" s="23" t="inlineStr">
        <is>
          <t>Proposed by Source assignment; target 1.4.1 Vehicles and Depot - Fleet Supply</t>
        </is>
      </c>
      <c r="E908" s="23" t="inlineStr">
        <is>
          <t>None recorded</t>
        </is>
      </c>
      <c r="F908" s="23" t="inlineStr">
        <is>
          <t>No individual professional decision recorded; Source assignment -- not individually reviewed</t>
        </is>
      </c>
      <c r="G908" s="23" t="inlineStr">
        <is>
          <t>Not individually decided</t>
        </is>
      </c>
      <c r="H908" s="23" t="inlineStr">
        <is>
          <t xml:space="preserve">RETAINED / ONE_TO_ONE; </t>
        </is>
      </c>
      <c r="I908" s="23" t="inlineStr">
        <is>
          <t>Carried forward</t>
        </is>
      </c>
      <c r="J908" s="14" t="inlineStr">
        <is>
          <t>08 CROSSWALK</t>
        </is>
      </c>
    </row>
    <row r="909" ht="49" customHeight="1">
      <c r="A909" s="23" t="inlineStr">
        <is>
          <t>R664-v2</t>
        </is>
      </c>
      <c r="B909" s="23" t="inlineStr">
        <is>
          <t>Contractor Programme / SCH-04-124</t>
        </is>
      </c>
      <c r="C909" s="23" t="inlineStr">
        <is>
          <t>WBS Code = 1.4.1</t>
        </is>
      </c>
      <c r="D909" s="23" t="inlineStr">
        <is>
          <t>Proposed by Source assignment; target 1.4.1 Vehicles and Depot - Fleet Supply</t>
        </is>
      </c>
      <c r="E909" s="23" t="inlineStr">
        <is>
          <t>None recorded</t>
        </is>
      </c>
      <c r="F909" s="23" t="inlineStr">
        <is>
          <t>No individual professional decision recorded; Source assignment -- not individually reviewed</t>
        </is>
      </c>
      <c r="G909" s="23" t="inlineStr">
        <is>
          <t>Not individually decided</t>
        </is>
      </c>
      <c r="H909" s="23" t="inlineStr">
        <is>
          <t xml:space="preserve">RETAINED / ONE_TO_ONE; </t>
        </is>
      </c>
      <c r="I909" s="23" t="inlineStr">
        <is>
          <t>Carried forward</t>
        </is>
      </c>
      <c r="J909" s="14" t="inlineStr">
        <is>
          <t>08 CROSSWALK</t>
        </is>
      </c>
    </row>
    <row r="910" ht="49" customHeight="1">
      <c r="A910" s="23" t="inlineStr">
        <is>
          <t>R665-v2</t>
        </is>
      </c>
      <c r="B910" s="23" t="inlineStr">
        <is>
          <t>Contractor Programme / SCH-04-125</t>
        </is>
      </c>
      <c r="C910" s="23" t="inlineStr">
        <is>
          <t>WBS Code = 1.4.1</t>
        </is>
      </c>
      <c r="D910" s="23" t="inlineStr">
        <is>
          <t>Proposed by Source assignment; target 1.4.1 Vehicles and Depot - Fleet Supply</t>
        </is>
      </c>
      <c r="E910" s="23" t="inlineStr">
        <is>
          <t>None recorded</t>
        </is>
      </c>
      <c r="F910" s="23" t="inlineStr">
        <is>
          <t>No individual professional decision recorded; Source assignment -- not individually reviewed</t>
        </is>
      </c>
      <c r="G910" s="23" t="inlineStr">
        <is>
          <t>Not individually decided</t>
        </is>
      </c>
      <c r="H910" s="23" t="inlineStr">
        <is>
          <t xml:space="preserve">RETAINED / ONE_TO_ONE; </t>
        </is>
      </c>
      <c r="I910" s="23" t="inlineStr">
        <is>
          <t>Carried forward</t>
        </is>
      </c>
      <c r="J910" s="14" t="inlineStr">
        <is>
          <t>08 CROSSWALK</t>
        </is>
      </c>
    </row>
    <row r="911" ht="49" customHeight="1">
      <c r="A911" s="23" t="inlineStr">
        <is>
          <t>R667-v2</t>
        </is>
      </c>
      <c r="B911" s="23" t="inlineStr">
        <is>
          <t>Contractor Programme / SCH-04-127</t>
        </is>
      </c>
      <c r="C911" s="23" t="inlineStr">
        <is>
          <t>WBS Code = 1.4.1</t>
        </is>
      </c>
      <c r="D911" s="23" t="inlineStr">
        <is>
          <t>Proposed by Source assignment; target 1.4.1 Vehicles and Depot - Fleet Supply</t>
        </is>
      </c>
      <c r="E911" s="23" t="inlineStr">
        <is>
          <t>None recorded</t>
        </is>
      </c>
      <c r="F911" s="23" t="inlineStr">
        <is>
          <t>No individual professional decision recorded; Source assignment -- not individually reviewed</t>
        </is>
      </c>
      <c r="G911" s="23" t="inlineStr">
        <is>
          <t>Not individually decided</t>
        </is>
      </c>
      <c r="H911" s="23" t="inlineStr">
        <is>
          <t xml:space="preserve">RETAINED / ONE_TO_ONE; </t>
        </is>
      </c>
      <c r="I911" s="23" t="inlineStr">
        <is>
          <t>Carried forward</t>
        </is>
      </c>
      <c r="J911" s="14" t="inlineStr">
        <is>
          <t>08 CROSSWALK</t>
        </is>
      </c>
    </row>
    <row r="912" ht="49" customHeight="1">
      <c r="A912" s="23" t="inlineStr">
        <is>
          <t>R668-v2</t>
        </is>
      </c>
      <c r="B912" s="23" t="inlineStr">
        <is>
          <t>Contractor Programme / SCH-04-128</t>
        </is>
      </c>
      <c r="C912" s="23" t="inlineStr">
        <is>
          <t>WBS Code = 1.4.1</t>
        </is>
      </c>
      <c r="D912" s="23" t="inlineStr">
        <is>
          <t>Proposed by Source assignment; target 1.4.1 Vehicles and Depot - Fleet Supply</t>
        </is>
      </c>
      <c r="E912" s="23" t="inlineStr">
        <is>
          <t>None recorded</t>
        </is>
      </c>
      <c r="F912" s="23" t="inlineStr">
        <is>
          <t>No individual professional decision recorded; Source assignment -- not individually reviewed</t>
        </is>
      </c>
      <c r="G912" s="23" t="inlineStr">
        <is>
          <t>Not individually decided</t>
        </is>
      </c>
      <c r="H912" s="23" t="inlineStr">
        <is>
          <t xml:space="preserve">RETAINED / ONE_TO_ONE; </t>
        </is>
      </c>
      <c r="I912" s="23" t="inlineStr">
        <is>
          <t>Carried forward</t>
        </is>
      </c>
      <c r="J912" s="14" t="inlineStr">
        <is>
          <t>08 CROSSWALK</t>
        </is>
      </c>
    </row>
    <row r="913" ht="49" customHeight="1">
      <c r="A913" s="23" t="inlineStr">
        <is>
          <t>R670-v2</t>
        </is>
      </c>
      <c r="B913" s="23" t="inlineStr">
        <is>
          <t>Contractor Programme / SCH-04-130</t>
        </is>
      </c>
      <c r="C913" s="23" t="inlineStr">
        <is>
          <t>WBS Code = 1.4.1</t>
        </is>
      </c>
      <c r="D913" s="23" t="inlineStr">
        <is>
          <t>Proposed by Source assignment; target 1.4.1 Vehicles and Depot - Fleet Supply</t>
        </is>
      </c>
      <c r="E913" s="23" t="inlineStr">
        <is>
          <t>None recorded</t>
        </is>
      </c>
      <c r="F913" s="23" t="inlineStr">
        <is>
          <t>No individual professional decision recorded; Source assignment -- not individually reviewed</t>
        </is>
      </c>
      <c r="G913" s="23" t="inlineStr">
        <is>
          <t>Not individually decided</t>
        </is>
      </c>
      <c r="H913" s="23" t="inlineStr">
        <is>
          <t xml:space="preserve">RETAINED / ONE_TO_ONE; </t>
        </is>
      </c>
      <c r="I913" s="23" t="inlineStr">
        <is>
          <t>Carried forward</t>
        </is>
      </c>
      <c r="J913" s="14" t="inlineStr">
        <is>
          <t>08 CROSSWALK</t>
        </is>
      </c>
    </row>
    <row r="914" ht="49" customHeight="1">
      <c r="A914" s="23" t="inlineStr">
        <is>
          <t>R671-v2</t>
        </is>
      </c>
      <c r="B914" s="23" t="inlineStr">
        <is>
          <t>Contractor Programme / SCH-04-131</t>
        </is>
      </c>
      <c r="C914" s="23" t="inlineStr">
        <is>
          <t>WBS Code = 1.4.1</t>
        </is>
      </c>
      <c r="D914" s="23" t="inlineStr">
        <is>
          <t>Proposed by Source assignment; target 1.4.1 Vehicles and Depot - Fleet Supply</t>
        </is>
      </c>
      <c r="E914" s="23" t="inlineStr">
        <is>
          <t>None recorded</t>
        </is>
      </c>
      <c r="F914" s="23" t="inlineStr">
        <is>
          <t>No individual professional decision recorded; Source assignment -- not individually reviewed</t>
        </is>
      </c>
      <c r="G914" s="23" t="inlineStr">
        <is>
          <t>Not individually decided</t>
        </is>
      </c>
      <c r="H914" s="23" t="inlineStr">
        <is>
          <t xml:space="preserve">RETAINED / ONE_TO_ONE; </t>
        </is>
      </c>
      <c r="I914" s="23" t="inlineStr">
        <is>
          <t>Carried forward</t>
        </is>
      </c>
      <c r="J914" s="14" t="inlineStr">
        <is>
          <t>08 CROSSWALK</t>
        </is>
      </c>
    </row>
    <row r="915" ht="49" customHeight="1">
      <c r="A915" s="23" t="inlineStr">
        <is>
          <t>R673-v2</t>
        </is>
      </c>
      <c r="B915" s="23" t="inlineStr">
        <is>
          <t>Contractor Programme / SCH-04-133</t>
        </is>
      </c>
      <c r="C915" s="23" t="inlineStr">
        <is>
          <t>WBS Code = 1.4.1</t>
        </is>
      </c>
      <c r="D915" s="23" t="inlineStr">
        <is>
          <t>Proposed by Source assignment; target 1.4.1 Vehicles and Depot - Fleet Supply</t>
        </is>
      </c>
      <c r="E915" s="23" t="inlineStr">
        <is>
          <t>None recorded</t>
        </is>
      </c>
      <c r="F915" s="23" t="inlineStr">
        <is>
          <t>No individual professional decision recorded; Source assignment -- not individually reviewed</t>
        </is>
      </c>
      <c r="G915" s="23" t="inlineStr">
        <is>
          <t>Not individually decided</t>
        </is>
      </c>
      <c r="H915" s="23" t="inlineStr">
        <is>
          <t xml:space="preserve">RETAINED / ONE_TO_ONE; </t>
        </is>
      </c>
      <c r="I915" s="23" t="inlineStr">
        <is>
          <t>Carried forward</t>
        </is>
      </c>
      <c r="J915" s="14" t="inlineStr">
        <is>
          <t>08 CROSSWALK</t>
        </is>
      </c>
    </row>
    <row r="916" ht="49" customHeight="1">
      <c r="A916" s="23" t="inlineStr">
        <is>
          <t>R674-v2</t>
        </is>
      </c>
      <c r="B916" s="23" t="inlineStr">
        <is>
          <t>Contractor Programme / SCH-04-134</t>
        </is>
      </c>
      <c r="C916" s="23" t="inlineStr">
        <is>
          <t>WBS Code = 1.4.1</t>
        </is>
      </c>
      <c r="D916" s="23" t="inlineStr">
        <is>
          <t>Proposed by Source assignment; target 1.4.1 Vehicles and Depot - Fleet Supply</t>
        </is>
      </c>
      <c r="E916" s="23" t="inlineStr">
        <is>
          <t>None recorded</t>
        </is>
      </c>
      <c r="F916" s="23" t="inlineStr">
        <is>
          <t>No individual professional decision recorded; Source assignment -- not individually reviewed</t>
        </is>
      </c>
      <c r="G916" s="23" t="inlineStr">
        <is>
          <t>Not individually decided</t>
        </is>
      </c>
      <c r="H916" s="23" t="inlineStr">
        <is>
          <t xml:space="preserve">RETAINED / ONE_TO_ONE; </t>
        </is>
      </c>
      <c r="I916" s="23" t="inlineStr">
        <is>
          <t>Carried forward</t>
        </is>
      </c>
      <c r="J916" s="14" t="inlineStr">
        <is>
          <t>08 CROSSWALK</t>
        </is>
      </c>
    </row>
    <row r="917" ht="49" customHeight="1">
      <c r="A917" s="23" t="inlineStr">
        <is>
          <t>R676-v2</t>
        </is>
      </c>
      <c r="B917" s="23" t="inlineStr">
        <is>
          <t>Contractor Programme / SCH-04-136</t>
        </is>
      </c>
      <c r="C917" s="23" t="inlineStr">
        <is>
          <t>WBS Code = 1.4.1</t>
        </is>
      </c>
      <c r="D917" s="23" t="inlineStr">
        <is>
          <t>Proposed by Source assignment; target 1.4.1 Vehicles and Depot - Fleet Supply</t>
        </is>
      </c>
      <c r="E917" s="23" t="inlineStr">
        <is>
          <t>None recorded</t>
        </is>
      </c>
      <c r="F917" s="23" t="inlineStr">
        <is>
          <t>No individual professional decision recorded; Source assignment -- not individually reviewed</t>
        </is>
      </c>
      <c r="G917" s="23" t="inlineStr">
        <is>
          <t>Not individually decided</t>
        </is>
      </c>
      <c r="H917" s="23" t="inlineStr">
        <is>
          <t xml:space="preserve">RETAINED / ONE_TO_ONE; </t>
        </is>
      </c>
      <c r="I917" s="23" t="inlineStr">
        <is>
          <t>Carried forward</t>
        </is>
      </c>
      <c r="J917" s="14" t="inlineStr">
        <is>
          <t>08 CROSSWALK</t>
        </is>
      </c>
    </row>
    <row r="918" ht="49" customHeight="1">
      <c r="A918" s="23" t="inlineStr">
        <is>
          <t>R677-v2</t>
        </is>
      </c>
      <c r="B918" s="23" t="inlineStr">
        <is>
          <t>Contractor Programme / SCH-04-137</t>
        </is>
      </c>
      <c r="C918" s="23" t="inlineStr">
        <is>
          <t>WBS Code = 1.4.1</t>
        </is>
      </c>
      <c r="D918" s="23" t="inlineStr">
        <is>
          <t>Proposed by Source assignment; target 1.4.1 Vehicles and Depot - Fleet Supply</t>
        </is>
      </c>
      <c r="E918" s="23" t="inlineStr">
        <is>
          <t>None recorded</t>
        </is>
      </c>
      <c r="F918" s="23" t="inlineStr">
        <is>
          <t>No individual professional decision recorded; Source assignment -- not individually reviewed</t>
        </is>
      </c>
      <c r="G918" s="23" t="inlineStr">
        <is>
          <t>Not individually decided</t>
        </is>
      </c>
      <c r="H918" s="23" t="inlineStr">
        <is>
          <t xml:space="preserve">RETAINED / ONE_TO_ONE; </t>
        </is>
      </c>
      <c r="I918" s="23" t="inlineStr">
        <is>
          <t>Carried forward</t>
        </is>
      </c>
      <c r="J918" s="14" t="inlineStr">
        <is>
          <t>08 CROSSWALK</t>
        </is>
      </c>
    </row>
    <row r="919" ht="49" customHeight="1">
      <c r="A919" s="23" t="inlineStr">
        <is>
          <t>R679-v2</t>
        </is>
      </c>
      <c r="B919" s="23" t="inlineStr">
        <is>
          <t>Contractor Programme / SCH-04-139</t>
        </is>
      </c>
      <c r="C919" s="23" t="inlineStr">
        <is>
          <t>WBS Code = 1.4.1</t>
        </is>
      </c>
      <c r="D919" s="23" t="inlineStr">
        <is>
          <t>Proposed by Source assignment; target 1.4.1 Vehicles and Depot - Fleet Supply</t>
        </is>
      </c>
      <c r="E919" s="23" t="inlineStr">
        <is>
          <t>None recorded</t>
        </is>
      </c>
      <c r="F919" s="23" t="inlineStr">
        <is>
          <t>No individual professional decision recorded; Source assignment -- not individually reviewed</t>
        </is>
      </c>
      <c r="G919" s="23" t="inlineStr">
        <is>
          <t>Not individually decided</t>
        </is>
      </c>
      <c r="H919" s="23" t="inlineStr">
        <is>
          <t xml:space="preserve">RETAINED / ONE_TO_ONE; </t>
        </is>
      </c>
      <c r="I919" s="23" t="inlineStr">
        <is>
          <t>Carried forward</t>
        </is>
      </c>
      <c r="J919" s="14" t="inlineStr">
        <is>
          <t>08 CROSSWALK</t>
        </is>
      </c>
    </row>
    <row r="920" ht="49" customHeight="1">
      <c r="A920" s="23" t="inlineStr">
        <is>
          <t>R680-v2</t>
        </is>
      </c>
      <c r="B920" s="23" t="inlineStr">
        <is>
          <t>Contractor Programme / SCH-04-140</t>
        </is>
      </c>
      <c r="C920" s="23" t="inlineStr">
        <is>
          <t>WBS Code = 1.4.1</t>
        </is>
      </c>
      <c r="D920" s="23" t="inlineStr">
        <is>
          <t>Proposed by Source assignment; target 1.4.1 Vehicles and Depot - Fleet Supply</t>
        </is>
      </c>
      <c r="E920" s="23" t="inlineStr">
        <is>
          <t>None recorded</t>
        </is>
      </c>
      <c r="F920" s="23" t="inlineStr">
        <is>
          <t>No individual professional decision recorded; Source assignment -- not individually reviewed</t>
        </is>
      </c>
      <c r="G920" s="23" t="inlineStr">
        <is>
          <t>Not individually decided</t>
        </is>
      </c>
      <c r="H920" s="23" t="inlineStr">
        <is>
          <t xml:space="preserve">RETAINED / ONE_TO_ONE; </t>
        </is>
      </c>
      <c r="I920" s="23" t="inlineStr">
        <is>
          <t>Carried forward</t>
        </is>
      </c>
      <c r="J920" s="14" t="inlineStr">
        <is>
          <t>08 CROSSWALK</t>
        </is>
      </c>
    </row>
    <row r="921" ht="49" customHeight="1">
      <c r="A921" s="23" t="inlineStr">
        <is>
          <t>R682-v2</t>
        </is>
      </c>
      <c r="B921" s="23" t="inlineStr">
        <is>
          <t>Contractor Programme / SCH-04-142</t>
        </is>
      </c>
      <c r="C921" s="23" t="inlineStr">
        <is>
          <t>WBS Code = 1.4.1</t>
        </is>
      </c>
      <c r="D921" s="23" t="inlineStr">
        <is>
          <t>Proposed by Source assignment; target 1.4.1 Vehicles and Depot - Fleet Supply</t>
        </is>
      </c>
      <c r="E921" s="23" t="inlineStr">
        <is>
          <t>None recorded</t>
        </is>
      </c>
      <c r="F921" s="23" t="inlineStr">
        <is>
          <t>No individual professional decision recorded; Source assignment -- not individually reviewed</t>
        </is>
      </c>
      <c r="G921" s="23" t="inlineStr">
        <is>
          <t>Not individually decided</t>
        </is>
      </c>
      <c r="H921" s="23" t="inlineStr">
        <is>
          <t xml:space="preserve">RETAINED / ONE_TO_ONE; </t>
        </is>
      </c>
      <c r="I921" s="23" t="inlineStr">
        <is>
          <t>Carried forward</t>
        </is>
      </c>
      <c r="J921" s="14" t="inlineStr">
        <is>
          <t>08 CROSSWALK</t>
        </is>
      </c>
    </row>
    <row r="922" ht="49" customHeight="1">
      <c r="A922" s="23" t="inlineStr">
        <is>
          <t>R683-v2</t>
        </is>
      </c>
      <c r="B922" s="23" t="inlineStr">
        <is>
          <t>Contractor Programme / SCH-04-143</t>
        </is>
      </c>
      <c r="C922" s="23" t="inlineStr">
        <is>
          <t>WBS Code = 1.4.1</t>
        </is>
      </c>
      <c r="D922" s="23" t="inlineStr">
        <is>
          <t>Proposed by Source assignment; target 1.4.1 Vehicles and Depot - Fleet Supply</t>
        </is>
      </c>
      <c r="E922" s="23" t="inlineStr">
        <is>
          <t>None recorded</t>
        </is>
      </c>
      <c r="F922" s="23" t="inlineStr">
        <is>
          <t>No individual professional decision recorded; Source assignment -- not individually reviewed</t>
        </is>
      </c>
      <c r="G922" s="23" t="inlineStr">
        <is>
          <t>Not individually decided</t>
        </is>
      </c>
      <c r="H922" s="23" t="inlineStr">
        <is>
          <t xml:space="preserve">RETAINED / ONE_TO_ONE; </t>
        </is>
      </c>
      <c r="I922" s="23" t="inlineStr">
        <is>
          <t>Carried forward</t>
        </is>
      </c>
      <c r="J922" s="14" t="inlineStr">
        <is>
          <t>08 CROSSWALK</t>
        </is>
      </c>
    </row>
    <row r="923" ht="49" customHeight="1">
      <c r="A923" s="23" t="inlineStr">
        <is>
          <t>R685-v2</t>
        </is>
      </c>
      <c r="B923" s="23" t="inlineStr">
        <is>
          <t>Contractor Programme / SCH-04-145</t>
        </is>
      </c>
      <c r="C923" s="23" t="inlineStr">
        <is>
          <t>WBS Code = 1.4.1</t>
        </is>
      </c>
      <c r="D923" s="23" t="inlineStr">
        <is>
          <t>Proposed by Source assignment; target 1.4.1 Vehicles and Depot - Fleet Supply</t>
        </is>
      </c>
      <c r="E923" s="23" t="inlineStr">
        <is>
          <t>None recorded</t>
        </is>
      </c>
      <c r="F923" s="23" t="inlineStr">
        <is>
          <t>No individual professional decision recorded; Source assignment -- not individually reviewed</t>
        </is>
      </c>
      <c r="G923" s="23" t="inlineStr">
        <is>
          <t>Not individually decided</t>
        </is>
      </c>
      <c r="H923" s="23" t="inlineStr">
        <is>
          <t xml:space="preserve">RETAINED / ONE_TO_ONE; </t>
        </is>
      </c>
      <c r="I923" s="23" t="inlineStr">
        <is>
          <t>Carried forward</t>
        </is>
      </c>
      <c r="J923" s="14" t="inlineStr">
        <is>
          <t>08 CROSSWALK</t>
        </is>
      </c>
    </row>
    <row r="924" ht="49" customHeight="1">
      <c r="A924" s="23" t="inlineStr">
        <is>
          <t>R686-v2</t>
        </is>
      </c>
      <c r="B924" s="23" t="inlineStr">
        <is>
          <t>Contractor Programme / SCH-04-146</t>
        </is>
      </c>
      <c r="C924" s="23" t="inlineStr">
        <is>
          <t>WBS Code = 1.4.1</t>
        </is>
      </c>
      <c r="D924" s="23" t="inlineStr">
        <is>
          <t>Proposed by Source assignment; target 1.4.1 Vehicles and Depot - Fleet Supply</t>
        </is>
      </c>
      <c r="E924" s="23" t="inlineStr">
        <is>
          <t>None recorded</t>
        </is>
      </c>
      <c r="F924" s="23" t="inlineStr">
        <is>
          <t>No individual professional decision recorded; Source assignment -- not individually reviewed</t>
        </is>
      </c>
      <c r="G924" s="23" t="inlineStr">
        <is>
          <t>Not individually decided</t>
        </is>
      </c>
      <c r="H924" s="23" t="inlineStr">
        <is>
          <t xml:space="preserve">RETAINED / ONE_TO_ONE; </t>
        </is>
      </c>
      <c r="I924" s="23" t="inlineStr">
        <is>
          <t>Carried forward</t>
        </is>
      </c>
      <c r="J924" s="14" t="inlineStr">
        <is>
          <t>08 CROSSWALK</t>
        </is>
      </c>
    </row>
    <row r="925" ht="49" customHeight="1">
      <c r="A925" s="23" t="inlineStr">
        <is>
          <t>R688-v2</t>
        </is>
      </c>
      <c r="B925" s="23" t="inlineStr">
        <is>
          <t>Contractor Programme / SCH-04-148</t>
        </is>
      </c>
      <c r="C925" s="23" t="inlineStr">
        <is>
          <t>WBS Code = 1.4.1</t>
        </is>
      </c>
      <c r="D925" s="23" t="inlineStr">
        <is>
          <t>Proposed by Source assignment; target 1.4.1 Vehicles and Depot - Fleet Supply</t>
        </is>
      </c>
      <c r="E925" s="23" t="inlineStr">
        <is>
          <t>None recorded</t>
        </is>
      </c>
      <c r="F925" s="23" t="inlineStr">
        <is>
          <t>No individual professional decision recorded; Source assignment -- not individually reviewed</t>
        </is>
      </c>
      <c r="G925" s="23" t="inlineStr">
        <is>
          <t>Not individually decided</t>
        </is>
      </c>
      <c r="H925" s="23" t="inlineStr">
        <is>
          <t xml:space="preserve">RETAINED / ONE_TO_ONE; </t>
        </is>
      </c>
      <c r="I925" s="23" t="inlineStr">
        <is>
          <t>Carried forward</t>
        </is>
      </c>
      <c r="J925" s="14" t="inlineStr">
        <is>
          <t>08 CROSSWALK</t>
        </is>
      </c>
    </row>
    <row r="926" ht="49" customHeight="1">
      <c r="A926" s="23" t="inlineStr">
        <is>
          <t>R689-v2</t>
        </is>
      </c>
      <c r="B926" s="23" t="inlineStr">
        <is>
          <t>Contractor Programme / SCH-04-149</t>
        </is>
      </c>
      <c r="C926" s="23" t="inlineStr">
        <is>
          <t>WBS Code = 1.4.1</t>
        </is>
      </c>
      <c r="D926" s="23" t="inlineStr">
        <is>
          <t>Proposed by Source assignment; target 1.4.1 Vehicles and Depot - Fleet Supply</t>
        </is>
      </c>
      <c r="E926" s="23" t="inlineStr">
        <is>
          <t>None recorded</t>
        </is>
      </c>
      <c r="F926" s="23" t="inlineStr">
        <is>
          <t>No individual professional decision recorded; Source assignment -- not individually reviewed</t>
        </is>
      </c>
      <c r="G926" s="23" t="inlineStr">
        <is>
          <t>Not individually decided</t>
        </is>
      </c>
      <c r="H926" s="23" t="inlineStr">
        <is>
          <t xml:space="preserve">RETAINED / ONE_TO_ONE; </t>
        </is>
      </c>
      <c r="I926" s="23" t="inlineStr">
        <is>
          <t>Carried forward</t>
        </is>
      </c>
      <c r="J926" s="14" t="inlineStr">
        <is>
          <t>08 CROSSWALK</t>
        </is>
      </c>
    </row>
    <row r="927" ht="49" customHeight="1">
      <c r="A927" s="23" t="inlineStr">
        <is>
          <t>R691-v2</t>
        </is>
      </c>
      <c r="B927" s="23" t="inlineStr">
        <is>
          <t>Contractor Programme / SCH-04-151</t>
        </is>
      </c>
      <c r="C927" s="23" t="inlineStr">
        <is>
          <t>WBS Code = 1.4.1</t>
        </is>
      </c>
      <c r="D927" s="23" t="inlineStr">
        <is>
          <t>Proposed by Source assignment; target 1.4.1 Vehicles and Depot - Fleet Supply</t>
        </is>
      </c>
      <c r="E927" s="23" t="inlineStr">
        <is>
          <t>None recorded</t>
        </is>
      </c>
      <c r="F927" s="23" t="inlineStr">
        <is>
          <t>No individual professional decision recorded; Source assignment -- not individually reviewed</t>
        </is>
      </c>
      <c r="G927" s="23" t="inlineStr">
        <is>
          <t>Not individually decided</t>
        </is>
      </c>
      <c r="H927" s="23" t="inlineStr">
        <is>
          <t xml:space="preserve">RETAINED / ONE_TO_ONE; </t>
        </is>
      </c>
      <c r="I927" s="23" t="inlineStr">
        <is>
          <t>Carried forward</t>
        </is>
      </c>
      <c r="J927" s="14" t="inlineStr">
        <is>
          <t>08 CROSSWALK</t>
        </is>
      </c>
    </row>
    <row r="928" ht="49" customHeight="1">
      <c r="A928" s="23" t="inlineStr">
        <is>
          <t>R692-v2</t>
        </is>
      </c>
      <c r="B928" s="23" t="inlineStr">
        <is>
          <t>Contractor Programme / SCH-04-152</t>
        </is>
      </c>
      <c r="C928" s="23" t="inlineStr">
        <is>
          <t>WBS Code = 1.4.1</t>
        </is>
      </c>
      <c r="D928" s="23" t="inlineStr">
        <is>
          <t>Proposed by Source assignment; target 1.4.1 Vehicles and Depot - Fleet Supply</t>
        </is>
      </c>
      <c r="E928" s="23" t="inlineStr">
        <is>
          <t>None recorded</t>
        </is>
      </c>
      <c r="F928" s="23" t="inlineStr">
        <is>
          <t>No individual professional decision recorded; Source assignment -- not individually reviewed</t>
        </is>
      </c>
      <c r="G928" s="23" t="inlineStr">
        <is>
          <t>Not individually decided</t>
        </is>
      </c>
      <c r="H928" s="23" t="inlineStr">
        <is>
          <t xml:space="preserve">RETAINED / ONE_TO_ONE; </t>
        </is>
      </c>
      <c r="I928" s="23" t="inlineStr">
        <is>
          <t>Carried forward</t>
        </is>
      </c>
      <c r="J928" s="14" t="inlineStr">
        <is>
          <t>08 CROSSWALK</t>
        </is>
      </c>
    </row>
    <row r="929" ht="49" customHeight="1">
      <c r="A929" s="23" t="inlineStr">
        <is>
          <t>R694-v2</t>
        </is>
      </c>
      <c r="B929" s="23" t="inlineStr">
        <is>
          <t>Contractor Programme / SCH-04-154</t>
        </is>
      </c>
      <c r="C929" s="23" t="inlineStr">
        <is>
          <t>WBS Code = 1.4.1</t>
        </is>
      </c>
      <c r="D929" s="23" t="inlineStr">
        <is>
          <t>Proposed by Source assignment; target 1.4.1 Vehicles and Depot - Fleet Supply</t>
        </is>
      </c>
      <c r="E929" s="23" t="inlineStr">
        <is>
          <t>None recorded</t>
        </is>
      </c>
      <c r="F929" s="23" t="inlineStr">
        <is>
          <t>No individual professional decision recorded; Source assignment -- not individually reviewed</t>
        </is>
      </c>
      <c r="G929" s="23" t="inlineStr">
        <is>
          <t>Not individually decided</t>
        </is>
      </c>
      <c r="H929" s="23" t="inlineStr">
        <is>
          <t xml:space="preserve">RETAINED / ONE_TO_ONE; </t>
        </is>
      </c>
      <c r="I929" s="23" t="inlineStr">
        <is>
          <t>Carried forward</t>
        </is>
      </c>
      <c r="J929" s="14" t="inlineStr">
        <is>
          <t>08 CROSSWALK</t>
        </is>
      </c>
    </row>
    <row r="930" ht="49" customHeight="1">
      <c r="A930" s="23" t="inlineStr">
        <is>
          <t>R695-v2</t>
        </is>
      </c>
      <c r="B930" s="23" t="inlineStr">
        <is>
          <t>Contractor Programme / SCH-04-155</t>
        </is>
      </c>
      <c r="C930" s="23" t="inlineStr">
        <is>
          <t>WBS Code = 1.4.1</t>
        </is>
      </c>
      <c r="D930" s="23" t="inlineStr">
        <is>
          <t>Proposed by Source assignment; target 1.4.1 Vehicles and Depot - Fleet Supply</t>
        </is>
      </c>
      <c r="E930" s="23" t="inlineStr">
        <is>
          <t>None recorded</t>
        </is>
      </c>
      <c r="F930" s="23" t="inlineStr">
        <is>
          <t>No individual professional decision recorded; Source assignment -- not individually reviewed</t>
        </is>
      </c>
      <c r="G930" s="23" t="inlineStr">
        <is>
          <t>Not individually decided</t>
        </is>
      </c>
      <c r="H930" s="23" t="inlineStr">
        <is>
          <t xml:space="preserve">RETAINED / ONE_TO_ONE; </t>
        </is>
      </c>
      <c r="I930" s="23" t="inlineStr">
        <is>
          <t>Carried forward</t>
        </is>
      </c>
      <c r="J930" s="14" t="inlineStr">
        <is>
          <t>08 CROSSWALK</t>
        </is>
      </c>
    </row>
    <row r="931" ht="49" customHeight="1">
      <c r="A931" s="23" t="inlineStr">
        <is>
          <t>R697-v2</t>
        </is>
      </c>
      <c r="B931" s="23" t="inlineStr">
        <is>
          <t>Contractor Programme / SCH-04-157</t>
        </is>
      </c>
      <c r="C931" s="23" t="inlineStr">
        <is>
          <t>WBS Code = 1.4.1</t>
        </is>
      </c>
      <c r="D931" s="23" t="inlineStr">
        <is>
          <t>Proposed by Source assignment; target 1.4.1 Vehicles and Depot - Fleet Supply</t>
        </is>
      </c>
      <c r="E931" s="23" t="inlineStr">
        <is>
          <t>None recorded</t>
        </is>
      </c>
      <c r="F931" s="23" t="inlineStr">
        <is>
          <t>No individual professional decision recorded; Source assignment -- not individually reviewed</t>
        </is>
      </c>
      <c r="G931" s="23" t="inlineStr">
        <is>
          <t>Not individually decided</t>
        </is>
      </c>
      <c r="H931" s="23" t="inlineStr">
        <is>
          <t xml:space="preserve">RETAINED / ONE_TO_ONE; </t>
        </is>
      </c>
      <c r="I931" s="23" t="inlineStr">
        <is>
          <t>Carried forward</t>
        </is>
      </c>
      <c r="J931" s="14" t="inlineStr">
        <is>
          <t>08 CROSSWALK</t>
        </is>
      </c>
    </row>
    <row r="932" ht="49" customHeight="1">
      <c r="A932" s="23" t="inlineStr">
        <is>
          <t>R698-v2</t>
        </is>
      </c>
      <c r="B932" s="23" t="inlineStr">
        <is>
          <t>Contractor Programme / SCH-04-158</t>
        </is>
      </c>
      <c r="C932" s="23" t="inlineStr">
        <is>
          <t>WBS Code = 1.4.1</t>
        </is>
      </c>
      <c r="D932" s="23" t="inlineStr">
        <is>
          <t>Proposed by Source assignment; target 1.4.1 Vehicles and Depot - Fleet Supply</t>
        </is>
      </c>
      <c r="E932" s="23" t="inlineStr">
        <is>
          <t>None recorded</t>
        </is>
      </c>
      <c r="F932" s="23" t="inlineStr">
        <is>
          <t>No individual professional decision recorded; Source assignment -- not individually reviewed</t>
        </is>
      </c>
      <c r="G932" s="23" t="inlineStr">
        <is>
          <t>Not individually decided</t>
        </is>
      </c>
      <c r="H932" s="23" t="inlineStr">
        <is>
          <t xml:space="preserve">RETAINED / ONE_TO_ONE; </t>
        </is>
      </c>
      <c r="I932" s="23" t="inlineStr">
        <is>
          <t>Carried forward</t>
        </is>
      </c>
      <c r="J932" s="14" t="inlineStr">
        <is>
          <t>08 CROSSWALK</t>
        </is>
      </c>
    </row>
    <row r="933" ht="49" customHeight="1">
      <c r="A933" s="23" t="inlineStr">
        <is>
          <t>R700-v2</t>
        </is>
      </c>
      <c r="B933" s="23" t="inlineStr">
        <is>
          <t>Contractor Programme / SCH-04-160</t>
        </is>
      </c>
      <c r="C933" s="23" t="inlineStr">
        <is>
          <t>WBS Code = 1.4.1</t>
        </is>
      </c>
      <c r="D933" s="23" t="inlineStr">
        <is>
          <t>Proposed by Source assignment; target 1.4.1 Vehicles and Depot - Fleet Supply</t>
        </is>
      </c>
      <c r="E933" s="23" t="inlineStr">
        <is>
          <t>None recorded</t>
        </is>
      </c>
      <c r="F933" s="23" t="inlineStr">
        <is>
          <t>No individual professional decision recorded; Source assignment -- not individually reviewed</t>
        </is>
      </c>
      <c r="G933" s="23" t="inlineStr">
        <is>
          <t>Not individually decided</t>
        </is>
      </c>
      <c r="H933" s="23" t="inlineStr">
        <is>
          <t xml:space="preserve">RETAINED / ONE_TO_ONE; </t>
        </is>
      </c>
      <c r="I933" s="23" t="inlineStr">
        <is>
          <t>Carried forward</t>
        </is>
      </c>
      <c r="J933" s="14" t="inlineStr">
        <is>
          <t>08 CROSSWALK</t>
        </is>
      </c>
    </row>
    <row r="934" ht="49" customHeight="1">
      <c r="A934" s="23" t="inlineStr">
        <is>
          <t>R701-v2</t>
        </is>
      </c>
      <c r="B934" s="23" t="inlineStr">
        <is>
          <t>Contractor Programme / SCH-04-161</t>
        </is>
      </c>
      <c r="C934" s="23" t="inlineStr">
        <is>
          <t>WBS Code = 1.4.1</t>
        </is>
      </c>
      <c r="D934" s="23" t="inlineStr">
        <is>
          <t>Proposed by Source assignment; target 1.4.1 Vehicles and Depot - Fleet Supply</t>
        </is>
      </c>
      <c r="E934" s="23" t="inlineStr">
        <is>
          <t>None recorded</t>
        </is>
      </c>
      <c r="F934" s="23" t="inlineStr">
        <is>
          <t>No individual professional decision recorded; Source assignment -- not individually reviewed</t>
        </is>
      </c>
      <c r="G934" s="23" t="inlineStr">
        <is>
          <t>Not individually decided</t>
        </is>
      </c>
      <c r="H934" s="23" t="inlineStr">
        <is>
          <t xml:space="preserve">RETAINED / ONE_TO_ONE; </t>
        </is>
      </c>
      <c r="I934" s="23" t="inlineStr">
        <is>
          <t>Carried forward</t>
        </is>
      </c>
      <c r="J934" s="14" t="inlineStr">
        <is>
          <t>08 CROSSWALK</t>
        </is>
      </c>
    </row>
    <row r="935" ht="49" customHeight="1">
      <c r="A935" s="23" t="inlineStr">
        <is>
          <t>R703-v2</t>
        </is>
      </c>
      <c r="B935" s="23" t="inlineStr">
        <is>
          <t>Contractor Programme / SCH-04-163</t>
        </is>
      </c>
      <c r="C935" s="23" t="inlineStr">
        <is>
          <t>WBS Code = 1.4.1</t>
        </is>
      </c>
      <c r="D935" s="23" t="inlineStr">
        <is>
          <t>Proposed by Source assignment; target 1.4.1 Vehicles and Depot - Fleet Supply</t>
        </is>
      </c>
      <c r="E935" s="23" t="inlineStr">
        <is>
          <t>None recorded</t>
        </is>
      </c>
      <c r="F935" s="23" t="inlineStr">
        <is>
          <t>No individual professional decision recorded; Source assignment -- not individually reviewed</t>
        </is>
      </c>
      <c r="G935" s="23" t="inlineStr">
        <is>
          <t>Not individually decided</t>
        </is>
      </c>
      <c r="H935" s="23" t="inlineStr">
        <is>
          <t xml:space="preserve">RETAINED / ONE_TO_ONE; </t>
        </is>
      </c>
      <c r="I935" s="23" t="inlineStr">
        <is>
          <t>Carried forward</t>
        </is>
      </c>
      <c r="J935" s="14" t="inlineStr">
        <is>
          <t>08 CROSSWALK</t>
        </is>
      </c>
    </row>
    <row r="936" ht="49" customHeight="1">
      <c r="A936" s="23" t="inlineStr">
        <is>
          <t>R704-v2</t>
        </is>
      </c>
      <c r="B936" s="23" t="inlineStr">
        <is>
          <t>Contractor Programme / SCH-04-164</t>
        </is>
      </c>
      <c r="C936" s="23" t="inlineStr">
        <is>
          <t>WBS Code = 1.4.1</t>
        </is>
      </c>
      <c r="D936" s="23" t="inlineStr">
        <is>
          <t>Proposed by Source assignment; target 1.4.1 Vehicles and Depot - Fleet Supply</t>
        </is>
      </c>
      <c r="E936" s="23" t="inlineStr">
        <is>
          <t>None recorded</t>
        </is>
      </c>
      <c r="F936" s="23" t="inlineStr">
        <is>
          <t>No individual professional decision recorded; Source assignment -- not individually reviewed</t>
        </is>
      </c>
      <c r="G936" s="23" t="inlineStr">
        <is>
          <t>Not individually decided</t>
        </is>
      </c>
      <c r="H936" s="23" t="inlineStr">
        <is>
          <t xml:space="preserve">RETAINED / ONE_TO_ONE; </t>
        </is>
      </c>
      <c r="I936" s="23" t="inlineStr">
        <is>
          <t>Carried forward</t>
        </is>
      </c>
      <c r="J936" s="14" t="inlineStr">
        <is>
          <t>08 CROSSWALK</t>
        </is>
      </c>
    </row>
    <row r="937" ht="49" customHeight="1">
      <c r="A937" s="23" t="inlineStr">
        <is>
          <t>R706-v2</t>
        </is>
      </c>
      <c r="B937" s="23" t="inlineStr">
        <is>
          <t>Contractor Programme / SCH-04-166</t>
        </is>
      </c>
      <c r="C937" s="23" t="inlineStr">
        <is>
          <t>WBS Code = 1.4.1</t>
        </is>
      </c>
      <c r="D937" s="23" t="inlineStr">
        <is>
          <t>Proposed by Source assignment; target 1.4.1 Vehicles and Depot - Fleet Supply</t>
        </is>
      </c>
      <c r="E937" s="23" t="inlineStr">
        <is>
          <t>None recorded</t>
        </is>
      </c>
      <c r="F937" s="23" t="inlineStr">
        <is>
          <t>No individual professional decision recorded; Source assignment -- not individually reviewed</t>
        </is>
      </c>
      <c r="G937" s="23" t="inlineStr">
        <is>
          <t>Not individually decided</t>
        </is>
      </c>
      <c r="H937" s="23" t="inlineStr">
        <is>
          <t xml:space="preserve">RETAINED / ONE_TO_ONE; </t>
        </is>
      </c>
      <c r="I937" s="23" t="inlineStr">
        <is>
          <t>Carried forward</t>
        </is>
      </c>
      <c r="J937" s="14" t="inlineStr">
        <is>
          <t>08 CROSSWALK</t>
        </is>
      </c>
    </row>
    <row r="938" ht="49" customHeight="1">
      <c r="A938" s="23" t="inlineStr">
        <is>
          <t>R707-v2</t>
        </is>
      </c>
      <c r="B938" s="23" t="inlineStr">
        <is>
          <t>Contractor Programme / SCH-04-167</t>
        </is>
      </c>
      <c r="C938" s="23" t="inlineStr">
        <is>
          <t>WBS Code = 1.4.1</t>
        </is>
      </c>
      <c r="D938" s="23" t="inlineStr">
        <is>
          <t>Proposed by Source assignment; target 1.4.1 Vehicles and Depot - Fleet Supply</t>
        </is>
      </c>
      <c r="E938" s="23" t="inlineStr">
        <is>
          <t>None recorded</t>
        </is>
      </c>
      <c r="F938" s="23" t="inlineStr">
        <is>
          <t>No individual professional decision recorded; Source assignment -- not individually reviewed</t>
        </is>
      </c>
      <c r="G938" s="23" t="inlineStr">
        <is>
          <t>Not individually decided</t>
        </is>
      </c>
      <c r="H938" s="23" t="inlineStr">
        <is>
          <t xml:space="preserve">RETAINED / ONE_TO_ONE; </t>
        </is>
      </c>
      <c r="I938" s="23" t="inlineStr">
        <is>
          <t>Carried forward</t>
        </is>
      </c>
      <c r="J938" s="14" t="inlineStr">
        <is>
          <t>08 CROSSWALK</t>
        </is>
      </c>
    </row>
    <row r="939" ht="49" customHeight="1">
      <c r="A939" s="23" t="inlineStr">
        <is>
          <t>R709-v2</t>
        </is>
      </c>
      <c r="B939" s="23" t="inlineStr">
        <is>
          <t>Contractor Programme / SCH-04-169</t>
        </is>
      </c>
      <c r="C939" s="23" t="inlineStr">
        <is>
          <t>WBS Code = 1.4.1</t>
        </is>
      </c>
      <c r="D939" s="23" t="inlineStr">
        <is>
          <t>Proposed by Source assignment; target 1.4.1 Vehicles and Depot - Fleet Supply</t>
        </is>
      </c>
      <c r="E939" s="23" t="inlineStr">
        <is>
          <t>None recorded</t>
        </is>
      </c>
      <c r="F939" s="23" t="inlineStr">
        <is>
          <t>No individual professional decision recorded; Source assignment -- not individually reviewed</t>
        </is>
      </c>
      <c r="G939" s="23" t="inlineStr">
        <is>
          <t>Not individually decided</t>
        </is>
      </c>
      <c r="H939" s="23" t="inlineStr">
        <is>
          <t xml:space="preserve">RETAINED / ONE_TO_ONE; </t>
        </is>
      </c>
      <c r="I939" s="23" t="inlineStr">
        <is>
          <t>Carried forward</t>
        </is>
      </c>
      <c r="J939" s="14" t="inlineStr">
        <is>
          <t>08 CROSSWALK</t>
        </is>
      </c>
    </row>
    <row r="940" ht="49" customHeight="1">
      <c r="A940" s="23" t="inlineStr">
        <is>
          <t>R710-v2</t>
        </is>
      </c>
      <c r="B940" s="23" t="inlineStr">
        <is>
          <t>Contractor Programme / SCH-04-170</t>
        </is>
      </c>
      <c r="C940" s="23" t="inlineStr">
        <is>
          <t>WBS Code = 1.4.1</t>
        </is>
      </c>
      <c r="D940" s="23" t="inlineStr">
        <is>
          <t>Proposed by Source assignment; target 1.4.1 Vehicles and Depot - Fleet Supply</t>
        </is>
      </c>
      <c r="E940" s="23" t="inlineStr">
        <is>
          <t>None recorded</t>
        </is>
      </c>
      <c r="F940" s="23" t="inlineStr">
        <is>
          <t>No individual professional decision recorded; Source assignment -- not individually reviewed</t>
        </is>
      </c>
      <c r="G940" s="23" t="inlineStr">
        <is>
          <t>Not individually decided</t>
        </is>
      </c>
      <c r="H940" s="23" t="inlineStr">
        <is>
          <t xml:space="preserve">RETAINED / ONE_TO_ONE; </t>
        </is>
      </c>
      <c r="I940" s="23" t="inlineStr">
        <is>
          <t>Carried forward</t>
        </is>
      </c>
      <c r="J940" s="14" t="inlineStr">
        <is>
          <t>08 CROSSWALK</t>
        </is>
      </c>
    </row>
    <row r="941" ht="49" customHeight="1">
      <c r="A941" s="23" t="inlineStr">
        <is>
          <t>R712-v2</t>
        </is>
      </c>
      <c r="B941" s="23" t="inlineStr">
        <is>
          <t>Contractor Programme / SCH-04-172</t>
        </is>
      </c>
      <c r="C941" s="23" t="inlineStr">
        <is>
          <t>WBS Code = 1.4.1</t>
        </is>
      </c>
      <c r="D941" s="23" t="inlineStr">
        <is>
          <t>Proposed by Source assignment; target 1.4.1 Vehicles and Depot - Fleet Supply</t>
        </is>
      </c>
      <c r="E941" s="23" t="inlineStr">
        <is>
          <t>None recorded</t>
        </is>
      </c>
      <c r="F941" s="23" t="inlineStr">
        <is>
          <t>No individual professional decision recorded; Source assignment -- not individually reviewed</t>
        </is>
      </c>
      <c r="G941" s="23" t="inlineStr">
        <is>
          <t>Not individually decided</t>
        </is>
      </c>
      <c r="H941" s="23" t="inlineStr">
        <is>
          <t xml:space="preserve">RETAINED / ONE_TO_ONE; </t>
        </is>
      </c>
      <c r="I941" s="23" t="inlineStr">
        <is>
          <t>Carried forward</t>
        </is>
      </c>
      <c r="J941" s="14" t="inlineStr">
        <is>
          <t>08 CROSSWALK</t>
        </is>
      </c>
    </row>
    <row r="942" ht="49" customHeight="1">
      <c r="A942" s="23" t="inlineStr">
        <is>
          <t>R713-v2</t>
        </is>
      </c>
      <c r="B942" s="23" t="inlineStr">
        <is>
          <t>Contractor Programme / SCH-04-173</t>
        </is>
      </c>
      <c r="C942" s="23" t="inlineStr">
        <is>
          <t>WBS Code = 1.4.1</t>
        </is>
      </c>
      <c r="D942" s="23" t="inlineStr">
        <is>
          <t>Proposed by Source assignment; target 1.4.1 Vehicles and Depot - Fleet Supply</t>
        </is>
      </c>
      <c r="E942" s="23" t="inlineStr">
        <is>
          <t>None recorded</t>
        </is>
      </c>
      <c r="F942" s="23" t="inlineStr">
        <is>
          <t>No individual professional decision recorded; Source assignment -- not individually reviewed</t>
        </is>
      </c>
      <c r="G942" s="23" t="inlineStr">
        <is>
          <t>Not individually decided</t>
        </is>
      </c>
      <c r="H942" s="23" t="inlineStr">
        <is>
          <t xml:space="preserve">RETAINED / ONE_TO_ONE; </t>
        </is>
      </c>
      <c r="I942" s="23" t="inlineStr">
        <is>
          <t>Carried forward</t>
        </is>
      </c>
      <c r="J942" s="14" t="inlineStr">
        <is>
          <t>08 CROSSWALK</t>
        </is>
      </c>
    </row>
    <row r="943" ht="49" customHeight="1">
      <c r="A943" s="23" t="inlineStr">
        <is>
          <t>R715-v2</t>
        </is>
      </c>
      <c r="B943" s="23" t="inlineStr">
        <is>
          <t>Contractor Programme / SCH-04-175</t>
        </is>
      </c>
      <c r="C943" s="23" t="inlineStr">
        <is>
          <t>WBS Code = 1.4.1</t>
        </is>
      </c>
      <c r="D943" s="23" t="inlineStr">
        <is>
          <t>Proposed by Source assignment; target 1.4.1 Vehicles and Depot - Fleet Supply</t>
        </is>
      </c>
      <c r="E943" s="23" t="inlineStr">
        <is>
          <t>None recorded</t>
        </is>
      </c>
      <c r="F943" s="23" t="inlineStr">
        <is>
          <t>No individual professional decision recorded; Source assignment -- not individually reviewed</t>
        </is>
      </c>
      <c r="G943" s="23" t="inlineStr">
        <is>
          <t>Not individually decided</t>
        </is>
      </c>
      <c r="H943" s="23" t="inlineStr">
        <is>
          <t xml:space="preserve">RETAINED / ONE_TO_ONE; </t>
        </is>
      </c>
      <c r="I943" s="23" t="inlineStr">
        <is>
          <t>Carried forward</t>
        </is>
      </c>
      <c r="J943" s="14" t="inlineStr">
        <is>
          <t>08 CROSSWALK</t>
        </is>
      </c>
    </row>
    <row r="944" ht="49" customHeight="1">
      <c r="A944" s="23" t="inlineStr">
        <is>
          <t>R716-v2</t>
        </is>
      </c>
      <c r="B944" s="23" t="inlineStr">
        <is>
          <t>Contractor Programme / SCH-04-176</t>
        </is>
      </c>
      <c r="C944" s="23" t="inlineStr">
        <is>
          <t>WBS Code = 1.4.1</t>
        </is>
      </c>
      <c r="D944" s="23" t="inlineStr">
        <is>
          <t>Proposed by Source assignment; target 1.4.1 Vehicles and Depot - Fleet Supply</t>
        </is>
      </c>
      <c r="E944" s="23" t="inlineStr">
        <is>
          <t>None recorded</t>
        </is>
      </c>
      <c r="F944" s="23" t="inlineStr">
        <is>
          <t>No individual professional decision recorded; Source assignment -- not individually reviewed</t>
        </is>
      </c>
      <c r="G944" s="23" t="inlineStr">
        <is>
          <t>Not individually decided</t>
        </is>
      </c>
      <c r="H944" s="23" t="inlineStr">
        <is>
          <t xml:space="preserve">RETAINED / ONE_TO_ONE; </t>
        </is>
      </c>
      <c r="I944" s="23" t="inlineStr">
        <is>
          <t>Carried forward</t>
        </is>
      </c>
      <c r="J944" s="14" t="inlineStr">
        <is>
          <t>08 CROSSWALK</t>
        </is>
      </c>
    </row>
    <row r="945" ht="49" customHeight="1">
      <c r="A945" s="23" t="inlineStr">
        <is>
          <t>R718-v2</t>
        </is>
      </c>
      <c r="B945" s="23" t="inlineStr">
        <is>
          <t>Contractor Programme / SCH-04-178</t>
        </is>
      </c>
      <c r="C945" s="23" t="inlineStr">
        <is>
          <t>WBS Code = 1.4.1</t>
        </is>
      </c>
      <c r="D945" s="23" t="inlineStr">
        <is>
          <t>Proposed by Source assignment; target 1.4.1 Vehicles and Depot - Fleet Supply</t>
        </is>
      </c>
      <c r="E945" s="23" t="inlineStr">
        <is>
          <t>None recorded</t>
        </is>
      </c>
      <c r="F945" s="23" t="inlineStr">
        <is>
          <t>No individual professional decision recorded; Source assignment -- not individually reviewed</t>
        </is>
      </c>
      <c r="G945" s="23" t="inlineStr">
        <is>
          <t>Not individually decided</t>
        </is>
      </c>
      <c r="H945" s="23" t="inlineStr">
        <is>
          <t xml:space="preserve">RETAINED / ONE_TO_ONE; </t>
        </is>
      </c>
      <c r="I945" s="23" t="inlineStr">
        <is>
          <t>Carried forward</t>
        </is>
      </c>
      <c r="J945" s="14" t="inlineStr">
        <is>
          <t>08 CROSSWALK</t>
        </is>
      </c>
    </row>
    <row r="946" ht="49" customHeight="1">
      <c r="A946" s="23" t="inlineStr">
        <is>
          <t>R719-v2</t>
        </is>
      </c>
      <c r="B946" s="23" t="inlineStr">
        <is>
          <t>Contractor Programme / SCH-04-179</t>
        </is>
      </c>
      <c r="C946" s="23" t="inlineStr">
        <is>
          <t>WBS Code = 1.4.1</t>
        </is>
      </c>
      <c r="D946" s="23" t="inlineStr">
        <is>
          <t>Proposed by Source assignment; target 1.4.1 Vehicles and Depot - Fleet Supply</t>
        </is>
      </c>
      <c r="E946" s="23" t="inlineStr">
        <is>
          <t>None recorded</t>
        </is>
      </c>
      <c r="F946" s="23" t="inlineStr">
        <is>
          <t>No individual professional decision recorded; Source assignment -- not individually reviewed</t>
        </is>
      </c>
      <c r="G946" s="23" t="inlineStr">
        <is>
          <t>Not individually decided</t>
        </is>
      </c>
      <c r="H946" s="23" t="inlineStr">
        <is>
          <t xml:space="preserve">RETAINED / ONE_TO_ONE; </t>
        </is>
      </c>
      <c r="I946" s="23" t="inlineStr">
        <is>
          <t>Carried forward</t>
        </is>
      </c>
      <c r="J946" s="14" t="inlineStr">
        <is>
          <t>08 CROSSWALK</t>
        </is>
      </c>
    </row>
    <row r="947" ht="49" customHeight="1">
      <c r="A947" s="23" t="inlineStr">
        <is>
          <t>R1323-v2</t>
        </is>
      </c>
      <c r="B947" s="23" t="inlineStr">
        <is>
          <t>Cost &amp; Forecast Control Accounts / CST-04-001</t>
        </is>
      </c>
      <c r="C947" s="23" t="inlineStr">
        <is>
          <t>Cost Account = CA-4001; WBS Code = 1.4.1</t>
        </is>
      </c>
      <c r="D947" s="23" t="inlineStr">
        <is>
          <t>Proposed by Source assignment; target 1.4.1 Vehicles and Depot - Fleet Supply</t>
        </is>
      </c>
      <c r="E947" s="23" t="inlineStr">
        <is>
          <t>None recorded</t>
        </is>
      </c>
      <c r="F947" s="23" t="inlineStr">
        <is>
          <t>No individual professional decision recorded; Source assignment -- not individually reviewed</t>
        </is>
      </c>
      <c r="G947" s="23" t="inlineStr">
        <is>
          <t>Not individually decided</t>
        </is>
      </c>
      <c r="H947" s="23" t="inlineStr">
        <is>
          <t xml:space="preserve">RETAINED / ONE_TO_ONE; </t>
        </is>
      </c>
      <c r="I947" s="23" t="inlineStr">
        <is>
          <t>Carried forward</t>
        </is>
      </c>
      <c r="J947" s="14" t="inlineStr">
        <is>
          <t>08 CROSSWALK</t>
        </is>
      </c>
    </row>
    <row r="948" ht="49" customHeight="1">
      <c r="A948" s="23" t="inlineStr">
        <is>
          <t>R1325-v2</t>
        </is>
      </c>
      <c r="B948" s="23" t="inlineStr">
        <is>
          <t>Cost &amp; Forecast Control Accounts / CST-04-003</t>
        </is>
      </c>
      <c r="C948" s="23" t="inlineStr">
        <is>
          <t>Cost Account = CA-4003; WBS Code = 1.4.1</t>
        </is>
      </c>
      <c r="D948" s="23" t="inlineStr">
        <is>
          <t>Proposed by Source assignment; target 1.4.1 Vehicles and Depot - Fleet Supply</t>
        </is>
      </c>
      <c r="E948" s="23" t="inlineStr">
        <is>
          <t>None recorded</t>
        </is>
      </c>
      <c r="F948" s="23" t="inlineStr">
        <is>
          <t>No individual professional decision recorded; Source assignment -- not individually reviewed</t>
        </is>
      </c>
      <c r="G948" s="23" t="inlineStr">
        <is>
          <t>Not individually decided</t>
        </is>
      </c>
      <c r="H948" s="23" t="inlineStr">
        <is>
          <t xml:space="preserve">RETAINED / ONE_TO_ONE; </t>
        </is>
      </c>
      <c r="I948" s="23" t="inlineStr">
        <is>
          <t>Carried forward</t>
        </is>
      </c>
      <c r="J948" s="14" t="inlineStr">
        <is>
          <t>08 CROSSWALK</t>
        </is>
      </c>
    </row>
    <row r="949" ht="49" customHeight="1">
      <c r="A949" s="23" t="inlineStr">
        <is>
          <t>R1327-v2</t>
        </is>
      </c>
      <c r="B949" s="23" t="inlineStr">
        <is>
          <t>Cost &amp; Forecast Control Accounts / CST-04-005</t>
        </is>
      </c>
      <c r="C949" s="23" t="inlineStr">
        <is>
          <t>Cost Account = CA-4005; WBS Code = 1.4.1</t>
        </is>
      </c>
      <c r="D949" s="23" t="inlineStr">
        <is>
          <t>Proposed by Source assignment; target 1.4.1 Vehicles and Depot - Fleet Supply</t>
        </is>
      </c>
      <c r="E949" s="23" t="inlineStr">
        <is>
          <t>None recorded</t>
        </is>
      </c>
      <c r="F949" s="23" t="inlineStr">
        <is>
          <t>No individual professional decision recorded; Source assignment -- not individually reviewed</t>
        </is>
      </c>
      <c r="G949" s="23" t="inlineStr">
        <is>
          <t>Not individually decided</t>
        </is>
      </c>
      <c r="H949" s="23" t="inlineStr">
        <is>
          <t xml:space="preserve">RETAINED / ONE_TO_ONE; </t>
        </is>
      </c>
      <c r="I949" s="23" t="inlineStr">
        <is>
          <t>Carried forward</t>
        </is>
      </c>
      <c r="J949" s="14" t="inlineStr">
        <is>
          <t>08 CROSSWALK</t>
        </is>
      </c>
    </row>
    <row r="950" ht="49" customHeight="1">
      <c r="A950" s="23" t="inlineStr">
        <is>
          <t>R1329-v2</t>
        </is>
      </c>
      <c r="B950" s="23" t="inlineStr">
        <is>
          <t>Cost &amp; Forecast Control Accounts / CST-04-007</t>
        </is>
      </c>
      <c r="C950" s="23" t="inlineStr">
        <is>
          <t>Cost Account = CA-4007; WBS Code = 1.4.1</t>
        </is>
      </c>
      <c r="D950" s="23" t="inlineStr">
        <is>
          <t>Proposed by Source assignment; target 1.4.1 Vehicles and Depot - Fleet Supply</t>
        </is>
      </c>
      <c r="E950" s="23" t="inlineStr">
        <is>
          <t>None recorded</t>
        </is>
      </c>
      <c r="F950" s="23" t="inlineStr">
        <is>
          <t>No individual professional decision recorded; Source assignment -- not individually reviewed</t>
        </is>
      </c>
      <c r="G950" s="23" t="inlineStr">
        <is>
          <t>Not individually decided</t>
        </is>
      </c>
      <c r="H950" s="23" t="inlineStr">
        <is>
          <t xml:space="preserve">RETAINED / ONE_TO_ONE; </t>
        </is>
      </c>
      <c r="I950" s="23" t="inlineStr">
        <is>
          <t>Carried forward</t>
        </is>
      </c>
      <c r="J950" s="14" t="inlineStr">
        <is>
          <t>08 CROSSWALK</t>
        </is>
      </c>
    </row>
    <row r="951" ht="49" customHeight="1">
      <c r="A951" s="23" t="inlineStr">
        <is>
          <t>R1331-v2</t>
        </is>
      </c>
      <c r="B951" s="23" t="inlineStr">
        <is>
          <t>Cost &amp; Forecast Control Accounts / CST-04-009</t>
        </is>
      </c>
      <c r="C951" s="23" t="inlineStr">
        <is>
          <t>Cost Account = CA-4009; WBS Code = 1.4.1</t>
        </is>
      </c>
      <c r="D951" s="23" t="inlineStr">
        <is>
          <t>Proposed by Source assignment; target 1.4.1 Vehicles and Depot - Fleet Supply</t>
        </is>
      </c>
      <c r="E951" s="23" t="inlineStr">
        <is>
          <t>None recorded</t>
        </is>
      </c>
      <c r="F951" s="23" t="inlineStr">
        <is>
          <t>No individual professional decision recorded; Source assignment -- not individually reviewed</t>
        </is>
      </c>
      <c r="G951" s="23" t="inlineStr">
        <is>
          <t>Not individually decided</t>
        </is>
      </c>
      <c r="H951" s="23" t="inlineStr">
        <is>
          <t xml:space="preserve">RETAINED / ONE_TO_ONE; </t>
        </is>
      </c>
      <c r="I951" s="23" t="inlineStr">
        <is>
          <t>Carried forward</t>
        </is>
      </c>
      <c r="J951" s="14" t="inlineStr">
        <is>
          <t>08 CROSSWALK</t>
        </is>
      </c>
    </row>
    <row r="952" ht="49" customHeight="1">
      <c r="A952" s="23" t="inlineStr">
        <is>
          <t>R1333-v2</t>
        </is>
      </c>
      <c r="B952" s="23" t="inlineStr">
        <is>
          <t>Cost &amp; Forecast Control Accounts / CST-04-011</t>
        </is>
      </c>
      <c r="C952" s="23" t="inlineStr">
        <is>
          <t>Cost Account = CA-4011; WBS Code = 1.4.1</t>
        </is>
      </c>
      <c r="D952" s="23" t="inlineStr">
        <is>
          <t>Proposed by Source assignment; target 1.4.1 Vehicles and Depot - Fleet Supply</t>
        </is>
      </c>
      <c r="E952" s="23" t="inlineStr">
        <is>
          <t>None recorded</t>
        </is>
      </c>
      <c r="F952" s="23" t="inlineStr">
        <is>
          <t>No individual professional decision recorded; Source assignment -- not individually reviewed</t>
        </is>
      </c>
      <c r="G952" s="23" t="inlineStr">
        <is>
          <t>Not individually decided</t>
        </is>
      </c>
      <c r="H952" s="23" t="inlineStr">
        <is>
          <t xml:space="preserve">RETAINED / ONE_TO_ONE; </t>
        </is>
      </c>
      <c r="I952" s="23" t="inlineStr">
        <is>
          <t>Carried forward</t>
        </is>
      </c>
      <c r="J952" s="14" t="inlineStr">
        <is>
          <t>08 CROSSWALK</t>
        </is>
      </c>
    </row>
    <row r="953" ht="49" customHeight="1">
      <c r="A953" s="23" t="inlineStr">
        <is>
          <t>R1335-v2</t>
        </is>
      </c>
      <c r="B953" s="23" t="inlineStr">
        <is>
          <t>Cost &amp; Forecast Control Accounts / CST-04-013</t>
        </is>
      </c>
      <c r="C953" s="23" t="inlineStr">
        <is>
          <t>Cost Account = CA-4013; WBS Code = 1.4.1</t>
        </is>
      </c>
      <c r="D953" s="23" t="inlineStr">
        <is>
          <t>Proposed by Source assignment; target 1.4.1 Vehicles and Depot - Fleet Supply</t>
        </is>
      </c>
      <c r="E953" s="23" t="inlineStr">
        <is>
          <t>None recorded</t>
        </is>
      </c>
      <c r="F953" s="23" t="inlineStr">
        <is>
          <t>No individual professional decision recorded; Source assignment -- not individually reviewed</t>
        </is>
      </c>
      <c r="G953" s="23" t="inlineStr">
        <is>
          <t>Not individually decided</t>
        </is>
      </c>
      <c r="H953" s="23" t="inlineStr">
        <is>
          <t xml:space="preserve">RETAINED / ONE_TO_ONE; </t>
        </is>
      </c>
      <c r="I953" s="23" t="inlineStr">
        <is>
          <t>Carried forward</t>
        </is>
      </c>
      <c r="J953" s="14" t="inlineStr">
        <is>
          <t>08 CROSSWALK</t>
        </is>
      </c>
    </row>
    <row r="954" ht="49" customHeight="1">
      <c r="A954" s="23" t="inlineStr">
        <is>
          <t>R1337-v2</t>
        </is>
      </c>
      <c r="B954" s="23" t="inlineStr">
        <is>
          <t>Cost &amp; Forecast Control Accounts / CST-04-015</t>
        </is>
      </c>
      <c r="C954" s="23" t="inlineStr">
        <is>
          <t>Cost Account = CA-4015; WBS Code = 1.4.1</t>
        </is>
      </c>
      <c r="D954" s="23" t="inlineStr">
        <is>
          <t>Proposed by Source assignment; target 1.4.1 Vehicles and Depot - Fleet Supply</t>
        </is>
      </c>
      <c r="E954" s="23" t="inlineStr">
        <is>
          <t>None recorded</t>
        </is>
      </c>
      <c r="F954" s="23" t="inlineStr">
        <is>
          <t>No individual professional decision recorded; Source assignment -- not individually reviewed</t>
        </is>
      </c>
      <c r="G954" s="23" t="inlineStr">
        <is>
          <t>Not individually decided</t>
        </is>
      </c>
      <c r="H954" s="23" t="inlineStr">
        <is>
          <t xml:space="preserve">RETAINED / ONE_TO_ONE; </t>
        </is>
      </c>
      <c r="I954" s="23" t="inlineStr">
        <is>
          <t>Carried forward</t>
        </is>
      </c>
      <c r="J954" s="14" t="inlineStr">
        <is>
          <t>08 CROSSWALK</t>
        </is>
      </c>
    </row>
    <row r="955" ht="49" customHeight="1">
      <c r="A955" s="23" t="inlineStr">
        <is>
          <t>R1339-v2</t>
        </is>
      </c>
      <c r="B955" s="23" t="inlineStr">
        <is>
          <t>Cost &amp; Forecast Control Accounts / CST-04-017</t>
        </is>
      </c>
      <c r="C955" s="23" t="inlineStr">
        <is>
          <t>Cost Account = CA-4017; WBS Code = 1.4.1</t>
        </is>
      </c>
      <c r="D955" s="23" t="inlineStr">
        <is>
          <t>Proposed by Source assignment; target 1.4.1 Vehicles and Depot - Fleet Supply</t>
        </is>
      </c>
      <c r="E955" s="23" t="inlineStr">
        <is>
          <t>None recorded</t>
        </is>
      </c>
      <c r="F955" s="23" t="inlineStr">
        <is>
          <t>No individual professional decision recorded; Source assignment -- not individually reviewed</t>
        </is>
      </c>
      <c r="G955" s="23" t="inlineStr">
        <is>
          <t>Not individually decided</t>
        </is>
      </c>
      <c r="H955" s="23" t="inlineStr">
        <is>
          <t xml:space="preserve">RETAINED / ONE_TO_ONE; </t>
        </is>
      </c>
      <c r="I955" s="23" t="inlineStr">
        <is>
          <t>Carried forward</t>
        </is>
      </c>
      <c r="J955" s="14" t="inlineStr">
        <is>
          <t>08 CROSSWALK</t>
        </is>
      </c>
    </row>
    <row r="956" ht="49" customHeight="1">
      <c r="A956" s="23" t="inlineStr">
        <is>
          <t>R1341-v2</t>
        </is>
      </c>
      <c r="B956" s="23" t="inlineStr">
        <is>
          <t>Cost &amp; Forecast Control Accounts / CST-04-019</t>
        </is>
      </c>
      <c r="C956" s="23" t="inlineStr">
        <is>
          <t>Cost Account = CA-4019; WBS Code = 1.4.1</t>
        </is>
      </c>
      <c r="D956" s="23" t="inlineStr">
        <is>
          <t>Proposed by Source assignment; target 1.4.1 Vehicles and Depot - Fleet Supply</t>
        </is>
      </c>
      <c r="E956" s="23" t="inlineStr">
        <is>
          <t>None recorded</t>
        </is>
      </c>
      <c r="F956" s="23" t="inlineStr">
        <is>
          <t>No individual professional decision recorded; Source assignment -- not individually reviewed</t>
        </is>
      </c>
      <c r="G956" s="23" t="inlineStr">
        <is>
          <t>Not individually decided</t>
        </is>
      </c>
      <c r="H956" s="23" t="inlineStr">
        <is>
          <t xml:space="preserve">RETAINED / ONE_TO_ONE; </t>
        </is>
      </c>
      <c r="I956" s="23" t="inlineStr">
        <is>
          <t>Carried forward</t>
        </is>
      </c>
      <c r="J956" s="14" t="inlineStr">
        <is>
          <t>08 CROSSWALK</t>
        </is>
      </c>
    </row>
    <row r="957" ht="49" customHeight="1">
      <c r="A957" s="23" t="inlineStr">
        <is>
          <t>R1343-v2</t>
        </is>
      </c>
      <c r="B957" s="23" t="inlineStr">
        <is>
          <t>Cost &amp; Forecast Control Accounts / CST-04-021</t>
        </is>
      </c>
      <c r="C957" s="23" t="inlineStr">
        <is>
          <t>Cost Account = CA-4021; WBS Code = 1.4.1</t>
        </is>
      </c>
      <c r="D957" s="23" t="inlineStr">
        <is>
          <t>Proposed by Source assignment; target 1.4.1 Vehicles and Depot - Fleet Supply</t>
        </is>
      </c>
      <c r="E957" s="23" t="inlineStr">
        <is>
          <t>None recorded</t>
        </is>
      </c>
      <c r="F957" s="23" t="inlineStr">
        <is>
          <t>No individual professional decision recorded; Source assignment -- not individually reviewed</t>
        </is>
      </c>
      <c r="G957" s="23" t="inlineStr">
        <is>
          <t>Not individually decided</t>
        </is>
      </c>
      <c r="H957" s="23" t="inlineStr">
        <is>
          <t xml:space="preserve">RETAINED / ONE_TO_ONE; </t>
        </is>
      </c>
      <c r="I957" s="23" t="inlineStr">
        <is>
          <t>Carried forward</t>
        </is>
      </c>
      <c r="J957" s="14" t="inlineStr">
        <is>
          <t>08 CROSSWALK</t>
        </is>
      </c>
    </row>
    <row r="958" ht="49" customHeight="1">
      <c r="A958" s="23" t="inlineStr">
        <is>
          <t>R1345-v2</t>
        </is>
      </c>
      <c r="B958" s="23" t="inlineStr">
        <is>
          <t>Cost &amp; Forecast Control Accounts / CST-04-023</t>
        </is>
      </c>
      <c r="C958" s="23" t="inlineStr">
        <is>
          <t>Cost Account = CA-4023; WBS Code = 1.4.1</t>
        </is>
      </c>
      <c r="D958" s="23" t="inlineStr">
        <is>
          <t>Proposed by Source assignment; target 1.4.1 Vehicles and Depot - Fleet Supply</t>
        </is>
      </c>
      <c r="E958" s="23" t="inlineStr">
        <is>
          <t>None recorded</t>
        </is>
      </c>
      <c r="F958" s="23" t="inlineStr">
        <is>
          <t>No individual professional decision recorded; Source assignment -- not individually reviewed</t>
        </is>
      </c>
      <c r="G958" s="23" t="inlineStr">
        <is>
          <t>Not individually decided</t>
        </is>
      </c>
      <c r="H958" s="23" t="inlineStr">
        <is>
          <t xml:space="preserve">RETAINED / ONE_TO_ONE; </t>
        </is>
      </c>
      <c r="I958" s="23" t="inlineStr">
        <is>
          <t>Carried forward</t>
        </is>
      </c>
      <c r="J958" s="14" t="inlineStr">
        <is>
          <t>08 CROSSWALK</t>
        </is>
      </c>
    </row>
    <row r="959" ht="49" customHeight="1">
      <c r="A959" s="23" t="inlineStr">
        <is>
          <t>R1347-v2</t>
        </is>
      </c>
      <c r="B959" s="23" t="inlineStr">
        <is>
          <t>Cost &amp; Forecast Control Accounts / CST-04-025</t>
        </is>
      </c>
      <c r="C959" s="23" t="inlineStr">
        <is>
          <t>Cost Account = CA-4025; WBS Code = 1.4.1</t>
        </is>
      </c>
      <c r="D959" s="23" t="inlineStr">
        <is>
          <t>Proposed by Source assignment; target 1.4.1 Vehicles and Depot - Fleet Supply</t>
        </is>
      </c>
      <c r="E959" s="23" t="inlineStr">
        <is>
          <t>None recorded</t>
        </is>
      </c>
      <c r="F959" s="23" t="inlineStr">
        <is>
          <t>No individual professional decision recorded; Source assignment -- not individually reviewed</t>
        </is>
      </c>
      <c r="G959" s="23" t="inlineStr">
        <is>
          <t>Not individually decided</t>
        </is>
      </c>
      <c r="H959" s="23" t="inlineStr">
        <is>
          <t xml:space="preserve">RETAINED / ONE_TO_ONE; </t>
        </is>
      </c>
      <c r="I959" s="23" t="inlineStr">
        <is>
          <t>Carried forward</t>
        </is>
      </c>
      <c r="J959" s="14" t="inlineStr">
        <is>
          <t>08 CROSSWALK</t>
        </is>
      </c>
    </row>
    <row r="960" ht="49" customHeight="1">
      <c r="A960" s="23" t="inlineStr">
        <is>
          <t>R1349-v2</t>
        </is>
      </c>
      <c r="B960" s="23" t="inlineStr">
        <is>
          <t>Cost &amp; Forecast Control Accounts / CST-04-027</t>
        </is>
      </c>
      <c r="C960" s="23" t="inlineStr">
        <is>
          <t>Cost Account = CA-4027; WBS Code = 1.4.1</t>
        </is>
      </c>
      <c r="D960" s="23" t="inlineStr">
        <is>
          <t>Proposed by Source assignment; target 1.4.1 Vehicles and Depot - Fleet Supply</t>
        </is>
      </c>
      <c r="E960" s="23" t="inlineStr">
        <is>
          <t>None recorded</t>
        </is>
      </c>
      <c r="F960" s="23" t="inlineStr">
        <is>
          <t>No individual professional decision recorded; Source assignment -- not individually reviewed</t>
        </is>
      </c>
      <c r="G960" s="23" t="inlineStr">
        <is>
          <t>Not individually decided</t>
        </is>
      </c>
      <c r="H960" s="23" t="inlineStr">
        <is>
          <t xml:space="preserve">RETAINED / ONE_TO_ONE; </t>
        </is>
      </c>
      <c r="I960" s="23" t="inlineStr">
        <is>
          <t>Carried forward</t>
        </is>
      </c>
      <c r="J960" s="14" t="inlineStr">
        <is>
          <t>08 CROSSWALK</t>
        </is>
      </c>
    </row>
    <row r="961" ht="49" customHeight="1">
      <c r="A961" s="23" t="inlineStr">
        <is>
          <t>R1351-v2</t>
        </is>
      </c>
      <c r="B961" s="23" t="inlineStr">
        <is>
          <t>Cost &amp; Forecast Control Accounts / CST-04-029</t>
        </is>
      </c>
      <c r="C961" s="23" t="inlineStr">
        <is>
          <t>Cost Account = CA-4029; WBS Code = 1.4.1</t>
        </is>
      </c>
      <c r="D961" s="23" t="inlineStr">
        <is>
          <t>Proposed by Source assignment; target 1.4.1 Vehicles and Depot - Fleet Supply</t>
        </is>
      </c>
      <c r="E961" s="23" t="inlineStr">
        <is>
          <t>None recorded</t>
        </is>
      </c>
      <c r="F961" s="23" t="inlineStr">
        <is>
          <t>No individual professional decision recorded; Source assignment -- not individually reviewed</t>
        </is>
      </c>
      <c r="G961" s="23" t="inlineStr">
        <is>
          <t>Not individually decided</t>
        </is>
      </c>
      <c r="H961" s="23" t="inlineStr">
        <is>
          <t xml:space="preserve">RETAINED / ONE_TO_ONE; </t>
        </is>
      </c>
      <c r="I961" s="23" t="inlineStr">
        <is>
          <t>Carried forward</t>
        </is>
      </c>
      <c r="J961" s="14" t="inlineStr">
        <is>
          <t>08 CROSSWALK</t>
        </is>
      </c>
    </row>
    <row r="962" ht="49" customHeight="1">
      <c r="A962" s="23" t="inlineStr">
        <is>
          <t>R1353-v2</t>
        </is>
      </c>
      <c r="B962" s="23" t="inlineStr">
        <is>
          <t>Cost &amp; Forecast Control Accounts / CST-04-031</t>
        </is>
      </c>
      <c r="C962" s="23" t="inlineStr">
        <is>
          <t>Cost Account = CA-4031; WBS Code = 1.4.1</t>
        </is>
      </c>
      <c r="D962" s="23" t="inlineStr">
        <is>
          <t>Proposed by Source assignment; target 1.4.1 Vehicles and Depot - Fleet Supply</t>
        </is>
      </c>
      <c r="E962" s="23" t="inlineStr">
        <is>
          <t>None recorded</t>
        </is>
      </c>
      <c r="F962" s="23" t="inlineStr">
        <is>
          <t>No individual professional decision recorded; Source assignment -- not individually reviewed</t>
        </is>
      </c>
      <c r="G962" s="23" t="inlineStr">
        <is>
          <t>Not individually decided</t>
        </is>
      </c>
      <c r="H962" s="23" t="inlineStr">
        <is>
          <t xml:space="preserve">RETAINED / ONE_TO_ONE; </t>
        </is>
      </c>
      <c r="I962" s="23" t="inlineStr">
        <is>
          <t>Carried forward</t>
        </is>
      </c>
      <c r="J962" s="14" t="inlineStr">
        <is>
          <t>08 CROSSWALK</t>
        </is>
      </c>
    </row>
    <row r="963" ht="49" customHeight="1">
      <c r="A963" s="23" t="inlineStr">
        <is>
          <t>R1355-v2</t>
        </is>
      </c>
      <c r="B963" s="23" t="inlineStr">
        <is>
          <t>Cost &amp; Forecast Control Accounts / CST-04-033</t>
        </is>
      </c>
      <c r="C963" s="23" t="inlineStr">
        <is>
          <t>Cost Account = CA-4033; WBS Code = 1.4.1</t>
        </is>
      </c>
      <c r="D963" s="23" t="inlineStr">
        <is>
          <t>Proposed by Source assignment; target 1.4.1 Vehicles and Depot - Fleet Supply</t>
        </is>
      </c>
      <c r="E963" s="23" t="inlineStr">
        <is>
          <t>None recorded</t>
        </is>
      </c>
      <c r="F963" s="23" t="inlineStr">
        <is>
          <t>No individual professional decision recorded; Source assignment -- not individually reviewed</t>
        </is>
      </c>
      <c r="G963" s="23" t="inlineStr">
        <is>
          <t>Not individually decided</t>
        </is>
      </c>
      <c r="H963" s="23" t="inlineStr">
        <is>
          <t xml:space="preserve">RETAINED / ONE_TO_ONE; </t>
        </is>
      </c>
      <c r="I963" s="23" t="inlineStr">
        <is>
          <t>Carried forward</t>
        </is>
      </c>
      <c r="J963" s="14" t="inlineStr">
        <is>
          <t>08 CROSSWALK</t>
        </is>
      </c>
    </row>
    <row r="964" ht="49" customHeight="1">
      <c r="A964" s="23" t="inlineStr">
        <is>
          <t>R1357-v2</t>
        </is>
      </c>
      <c r="B964" s="23" t="inlineStr">
        <is>
          <t>Cost &amp; Forecast Control Accounts / CST-04-035</t>
        </is>
      </c>
      <c r="C964" s="23" t="inlineStr">
        <is>
          <t>Cost Account = CA-4035; WBS Code = 1.4.1</t>
        </is>
      </c>
      <c r="D964" s="23" t="inlineStr">
        <is>
          <t>Proposed by Source assignment; target 1.4.1 Vehicles and Depot - Fleet Supply</t>
        </is>
      </c>
      <c r="E964" s="23" t="inlineStr">
        <is>
          <t>None recorded</t>
        </is>
      </c>
      <c r="F964" s="23" t="inlineStr">
        <is>
          <t>No individual professional decision recorded; Source assignment -- not individually reviewed</t>
        </is>
      </c>
      <c r="G964" s="23" t="inlineStr">
        <is>
          <t>Not individually decided</t>
        </is>
      </c>
      <c r="H964" s="23" t="inlineStr">
        <is>
          <t xml:space="preserve">RETAINED / ONE_TO_ONE; </t>
        </is>
      </c>
      <c r="I964" s="23" t="inlineStr">
        <is>
          <t>Carried forward</t>
        </is>
      </c>
      <c r="J964" s="14" t="inlineStr">
        <is>
          <t>08 CROSSWALK</t>
        </is>
      </c>
    </row>
    <row r="965" ht="49" customHeight="1">
      <c r="A965" s="23" t="inlineStr">
        <is>
          <t>R1359-v2</t>
        </is>
      </c>
      <c r="B965" s="23" t="inlineStr">
        <is>
          <t>Cost &amp; Forecast Control Accounts / CST-04-037</t>
        </is>
      </c>
      <c r="C965" s="23" t="inlineStr">
        <is>
          <t>Cost Account = CA-4037; WBS Code = 1.4.1</t>
        </is>
      </c>
      <c r="D965" s="23" t="inlineStr">
        <is>
          <t>Proposed by Source assignment; target 1.4.1 Vehicles and Depot - Fleet Supply</t>
        </is>
      </c>
      <c r="E965" s="23" t="inlineStr">
        <is>
          <t>None recorded</t>
        </is>
      </c>
      <c r="F965" s="23" t="inlineStr">
        <is>
          <t>No individual professional decision recorded; Source assignment -- not individually reviewed</t>
        </is>
      </c>
      <c r="G965" s="23" t="inlineStr">
        <is>
          <t>Not individually decided</t>
        </is>
      </c>
      <c r="H965" s="23" t="inlineStr">
        <is>
          <t xml:space="preserve">RETAINED / ONE_TO_ONE; </t>
        </is>
      </c>
      <c r="I965" s="23" t="inlineStr">
        <is>
          <t>Carried forward</t>
        </is>
      </c>
      <c r="J965" s="14" t="inlineStr">
        <is>
          <t>08 CROSSWALK</t>
        </is>
      </c>
    </row>
    <row r="966" ht="49" customHeight="1">
      <c r="A966" s="23" t="inlineStr">
        <is>
          <t>R1361-v2</t>
        </is>
      </c>
      <c r="B966" s="23" t="inlineStr">
        <is>
          <t>Cost &amp; Forecast Control Accounts / CST-04-039</t>
        </is>
      </c>
      <c r="C966" s="23" t="inlineStr">
        <is>
          <t>Cost Account = CA-4039; WBS Code = 1.4.1</t>
        </is>
      </c>
      <c r="D966" s="23" t="inlineStr">
        <is>
          <t>Proposed by Source assignment; target 1.4.1 Vehicles and Depot - Fleet Supply</t>
        </is>
      </c>
      <c r="E966" s="23" t="inlineStr">
        <is>
          <t>None recorded</t>
        </is>
      </c>
      <c r="F966" s="23" t="inlineStr">
        <is>
          <t>No individual professional decision recorded; Source assignment -- not individually reviewed</t>
        </is>
      </c>
      <c r="G966" s="23" t="inlineStr">
        <is>
          <t>Not individually decided</t>
        </is>
      </c>
      <c r="H966" s="23" t="inlineStr">
        <is>
          <t xml:space="preserve">RETAINED / ONE_TO_ONE; </t>
        </is>
      </c>
      <c r="I966" s="23" t="inlineStr">
        <is>
          <t>Carried forward</t>
        </is>
      </c>
      <c r="J966" s="14" t="inlineStr">
        <is>
          <t>08 CROSSWALK</t>
        </is>
      </c>
    </row>
    <row r="967" ht="49" customHeight="1">
      <c r="A967" s="23" t="inlineStr">
        <is>
          <t>R1363-v2</t>
        </is>
      </c>
      <c r="B967" s="23" t="inlineStr">
        <is>
          <t>Cost &amp; Forecast Control Accounts / CST-04-041</t>
        </is>
      </c>
      <c r="C967" s="23" t="inlineStr">
        <is>
          <t>Cost Account = CA-4041; WBS Code = 1.4.1</t>
        </is>
      </c>
      <c r="D967" s="23" t="inlineStr">
        <is>
          <t>Proposed by Source assignment; target 1.4.1 Vehicles and Depot - Fleet Supply</t>
        </is>
      </c>
      <c r="E967" s="23" t="inlineStr">
        <is>
          <t>None recorded</t>
        </is>
      </c>
      <c r="F967" s="23" t="inlineStr">
        <is>
          <t>No individual professional decision recorded; Source assignment -- not individually reviewed</t>
        </is>
      </c>
      <c r="G967" s="23" t="inlineStr">
        <is>
          <t>Not individually decided</t>
        </is>
      </c>
      <c r="H967" s="23" t="inlineStr">
        <is>
          <t xml:space="preserve">RETAINED / ONE_TO_ONE; </t>
        </is>
      </c>
      <c r="I967" s="23" t="inlineStr">
        <is>
          <t>Carried forward</t>
        </is>
      </c>
      <c r="J967" s="14" t="inlineStr">
        <is>
          <t>08 CROSSWALK</t>
        </is>
      </c>
    </row>
    <row r="968" ht="49" customHeight="1">
      <c r="A968" s="23" t="inlineStr">
        <is>
          <t>R1365-v2</t>
        </is>
      </c>
      <c r="B968" s="23" t="inlineStr">
        <is>
          <t>Cost &amp; Forecast Control Accounts / CST-04-043</t>
        </is>
      </c>
      <c r="C968" s="23" t="inlineStr">
        <is>
          <t>Cost Account = CA-4043; WBS Code = 1.4.1</t>
        </is>
      </c>
      <c r="D968" s="23" t="inlineStr">
        <is>
          <t>Proposed by Source assignment; target 1.4.1 Vehicles and Depot - Fleet Supply</t>
        </is>
      </c>
      <c r="E968" s="23" t="inlineStr">
        <is>
          <t>None recorded</t>
        </is>
      </c>
      <c r="F968" s="23" t="inlineStr">
        <is>
          <t>No individual professional decision recorded; Source assignment -- not individually reviewed</t>
        </is>
      </c>
      <c r="G968" s="23" t="inlineStr">
        <is>
          <t>Not individually decided</t>
        </is>
      </c>
      <c r="H968" s="23" t="inlineStr">
        <is>
          <t xml:space="preserve">RETAINED / ONE_TO_ONE; </t>
        </is>
      </c>
      <c r="I968" s="23" t="inlineStr">
        <is>
          <t>Carried forward</t>
        </is>
      </c>
      <c r="J968" s="14" t="inlineStr">
        <is>
          <t>08 CROSSWALK</t>
        </is>
      </c>
    </row>
    <row r="969" ht="49" customHeight="1">
      <c r="A969" s="23" t="inlineStr">
        <is>
          <t>R1367-v2</t>
        </is>
      </c>
      <c r="B969" s="23" t="inlineStr">
        <is>
          <t>Cost &amp; Forecast Control Accounts / CST-04-045</t>
        </is>
      </c>
      <c r="C969" s="23" t="inlineStr">
        <is>
          <t>Cost Account = CA-4045; WBS Code = 1.4.1</t>
        </is>
      </c>
      <c r="D969" s="23" t="inlineStr">
        <is>
          <t>Proposed by Source assignment; target 1.4.1 Vehicles and Depot - Fleet Supply</t>
        </is>
      </c>
      <c r="E969" s="23" t="inlineStr">
        <is>
          <t>None recorded</t>
        </is>
      </c>
      <c r="F969" s="23" t="inlineStr">
        <is>
          <t>No individual professional decision recorded; Source assignment -- not individually reviewed</t>
        </is>
      </c>
      <c r="G969" s="23" t="inlineStr">
        <is>
          <t>Not individually decided</t>
        </is>
      </c>
      <c r="H969" s="23" t="inlineStr">
        <is>
          <t xml:space="preserve">RETAINED / ONE_TO_ONE; </t>
        </is>
      </c>
      <c r="I969" s="23" t="inlineStr">
        <is>
          <t>Carried forward</t>
        </is>
      </c>
      <c r="J969" s="14" t="inlineStr">
        <is>
          <t>08 CROSSWALK</t>
        </is>
      </c>
    </row>
    <row r="970" ht="49" customHeight="1">
      <c r="A970" s="23" t="inlineStr">
        <is>
          <t>R1369-v2</t>
        </is>
      </c>
      <c r="B970" s="23" t="inlineStr">
        <is>
          <t>Cost &amp; Forecast Control Accounts / CST-04-047</t>
        </is>
      </c>
      <c r="C970" s="23" t="inlineStr">
        <is>
          <t>Cost Account = CA-4047; WBS Code = 1.4.1</t>
        </is>
      </c>
      <c r="D970" s="23" t="inlineStr">
        <is>
          <t>Proposed by Source assignment; target 1.4.1 Vehicles and Depot - Fleet Supply</t>
        </is>
      </c>
      <c r="E970" s="23" t="inlineStr">
        <is>
          <t>None recorded</t>
        </is>
      </c>
      <c r="F970" s="23" t="inlineStr">
        <is>
          <t>No individual professional decision recorded; Source assignment -- not individually reviewed</t>
        </is>
      </c>
      <c r="G970" s="23" t="inlineStr">
        <is>
          <t>Not individually decided</t>
        </is>
      </c>
      <c r="H970" s="23" t="inlineStr">
        <is>
          <t xml:space="preserve">RETAINED / ONE_TO_ONE; </t>
        </is>
      </c>
      <c r="I970" s="23" t="inlineStr">
        <is>
          <t>Carried forward</t>
        </is>
      </c>
      <c r="J970" s="14" t="inlineStr">
        <is>
          <t>08 CROSSWALK</t>
        </is>
      </c>
    </row>
    <row r="971" ht="49" customHeight="1">
      <c r="A971" s="23" t="inlineStr">
        <is>
          <t>R1371-v2</t>
        </is>
      </c>
      <c r="B971" s="23" t="inlineStr">
        <is>
          <t>Cost &amp; Forecast Control Accounts / CST-04-049</t>
        </is>
      </c>
      <c r="C971" s="23" t="inlineStr">
        <is>
          <t>Cost Account = CA-4049; WBS Code = 1.4.1</t>
        </is>
      </c>
      <c r="D971" s="23" t="inlineStr">
        <is>
          <t>Proposed by Source assignment; target 1.4.1 Vehicles and Depot - Fleet Supply</t>
        </is>
      </c>
      <c r="E971" s="23" t="inlineStr">
        <is>
          <t>None recorded</t>
        </is>
      </c>
      <c r="F971" s="23" t="inlineStr">
        <is>
          <t>No individual professional decision recorded; Source assignment -- not individually reviewed</t>
        </is>
      </c>
      <c r="G971" s="23" t="inlineStr">
        <is>
          <t>Not individually decided</t>
        </is>
      </c>
      <c r="H971" s="23" t="inlineStr">
        <is>
          <t xml:space="preserve">RETAINED / ONE_TO_ONE; </t>
        </is>
      </c>
      <c r="I971" s="23" t="inlineStr">
        <is>
          <t>Carried forward</t>
        </is>
      </c>
      <c r="J971" s="14" t="inlineStr">
        <is>
          <t>08 CROSSWALK</t>
        </is>
      </c>
    </row>
    <row r="972" ht="49" customHeight="1">
      <c r="A972" s="23" t="inlineStr">
        <is>
          <t>R1373-v2</t>
        </is>
      </c>
      <c r="B972" s="23" t="inlineStr">
        <is>
          <t>Cost &amp; Forecast Control Accounts / CST-04-051</t>
        </is>
      </c>
      <c r="C972" s="23" t="inlineStr">
        <is>
          <t>Cost Account = CA-4051; WBS Code = 1.4.1</t>
        </is>
      </c>
      <c r="D972" s="23" t="inlineStr">
        <is>
          <t>Proposed by Source assignment; target 1.4.1 Vehicles and Depot - Fleet Supply</t>
        </is>
      </c>
      <c r="E972" s="23" t="inlineStr">
        <is>
          <t>None recorded</t>
        </is>
      </c>
      <c r="F972" s="23" t="inlineStr">
        <is>
          <t>No individual professional decision recorded; Source assignment -- not individually reviewed</t>
        </is>
      </c>
      <c r="G972" s="23" t="inlineStr">
        <is>
          <t>Not individually decided</t>
        </is>
      </c>
      <c r="H972" s="23" t="inlineStr">
        <is>
          <t xml:space="preserve">RETAINED / ONE_TO_ONE; </t>
        </is>
      </c>
      <c r="I972" s="23" t="inlineStr">
        <is>
          <t>Carried forward</t>
        </is>
      </c>
      <c r="J972" s="14" t="inlineStr">
        <is>
          <t>08 CROSSWALK</t>
        </is>
      </c>
    </row>
    <row r="973" ht="49" customHeight="1">
      <c r="A973" s="23" t="inlineStr">
        <is>
          <t>R1375-v2</t>
        </is>
      </c>
      <c r="B973" s="23" t="inlineStr">
        <is>
          <t>Cost &amp; Forecast Control Accounts / CST-04-053</t>
        </is>
      </c>
      <c r="C973" s="23" t="inlineStr">
        <is>
          <t>Cost Account = CA-4053; WBS Code = 1.4.1</t>
        </is>
      </c>
      <c r="D973" s="23" t="inlineStr">
        <is>
          <t>Proposed by Source assignment; target 1.4.1 Vehicles and Depot - Fleet Supply</t>
        </is>
      </c>
      <c r="E973" s="23" t="inlineStr">
        <is>
          <t>None recorded</t>
        </is>
      </c>
      <c r="F973" s="23" t="inlineStr">
        <is>
          <t>No individual professional decision recorded; Source assignment -- not individually reviewed</t>
        </is>
      </c>
      <c r="G973" s="23" t="inlineStr">
        <is>
          <t>Not individually decided</t>
        </is>
      </c>
      <c r="H973" s="23" t="inlineStr">
        <is>
          <t xml:space="preserve">RETAINED / ONE_TO_ONE; </t>
        </is>
      </c>
      <c r="I973" s="23" t="inlineStr">
        <is>
          <t>Carried forward</t>
        </is>
      </c>
      <c r="J973" s="14" t="inlineStr">
        <is>
          <t>08 CROSSWALK</t>
        </is>
      </c>
    </row>
    <row r="974" ht="49" customHeight="1">
      <c r="A974" s="23" t="inlineStr">
        <is>
          <t>R1377-v2</t>
        </is>
      </c>
      <c r="B974" s="23" t="inlineStr">
        <is>
          <t>Cost &amp; Forecast Control Accounts / CST-04-055</t>
        </is>
      </c>
      <c r="C974" s="23" t="inlineStr">
        <is>
          <t>Cost Account = CA-4055; WBS Code = 1.4.1</t>
        </is>
      </c>
      <c r="D974" s="23" t="inlineStr">
        <is>
          <t>Proposed by Source assignment; target 1.4.1 Vehicles and Depot - Fleet Supply</t>
        </is>
      </c>
      <c r="E974" s="23" t="inlineStr">
        <is>
          <t>None recorded</t>
        </is>
      </c>
      <c r="F974" s="23" t="inlineStr">
        <is>
          <t>No individual professional decision recorded; Source assignment -- not individually reviewed</t>
        </is>
      </c>
      <c r="G974" s="23" t="inlineStr">
        <is>
          <t>Not individually decided</t>
        </is>
      </c>
      <c r="H974" s="23" t="inlineStr">
        <is>
          <t xml:space="preserve">RETAINED / ONE_TO_ONE; </t>
        </is>
      </c>
      <c r="I974" s="23" t="inlineStr">
        <is>
          <t>Carried forward</t>
        </is>
      </c>
      <c r="J974" s="14" t="inlineStr">
        <is>
          <t>08 CROSSWALK</t>
        </is>
      </c>
    </row>
    <row r="975" ht="49" customHeight="1">
      <c r="A975" s="23" t="inlineStr">
        <is>
          <t>R1379-v2</t>
        </is>
      </c>
      <c r="B975" s="23" t="inlineStr">
        <is>
          <t>Cost &amp; Forecast Control Accounts / CST-04-057</t>
        </is>
      </c>
      <c r="C975" s="23" t="inlineStr">
        <is>
          <t>Cost Account = CA-4057; WBS Code = 1.4.1</t>
        </is>
      </c>
      <c r="D975" s="23" t="inlineStr">
        <is>
          <t>Proposed by Source assignment; target 1.4.1 Vehicles and Depot - Fleet Supply</t>
        </is>
      </c>
      <c r="E975" s="23" t="inlineStr">
        <is>
          <t>None recorded</t>
        </is>
      </c>
      <c r="F975" s="23" t="inlineStr">
        <is>
          <t>No individual professional decision recorded; Source assignment -- not individually reviewed</t>
        </is>
      </c>
      <c r="G975" s="23" t="inlineStr">
        <is>
          <t>Not individually decided</t>
        </is>
      </c>
      <c r="H975" s="23" t="inlineStr">
        <is>
          <t xml:space="preserve">RETAINED / ONE_TO_ONE; </t>
        </is>
      </c>
      <c r="I975" s="23" t="inlineStr">
        <is>
          <t>Carried forward</t>
        </is>
      </c>
      <c r="J975" s="14" t="inlineStr">
        <is>
          <t>08 CROSSWALK</t>
        </is>
      </c>
    </row>
    <row r="976" ht="49" customHeight="1">
      <c r="A976" s="23" t="inlineStr">
        <is>
          <t>R1381-v2</t>
        </is>
      </c>
      <c r="B976" s="23" t="inlineStr">
        <is>
          <t>Cost &amp; Forecast Control Accounts / CST-04-059</t>
        </is>
      </c>
      <c r="C976" s="23" t="inlineStr">
        <is>
          <t>Cost Account = CA-4059; WBS Code = 1.4.1</t>
        </is>
      </c>
      <c r="D976" s="23" t="inlineStr">
        <is>
          <t>Proposed by Source assignment; target 1.4.1 Vehicles and Depot - Fleet Supply</t>
        </is>
      </c>
      <c r="E976" s="23" t="inlineStr">
        <is>
          <t>None recorded</t>
        </is>
      </c>
      <c r="F976" s="23" t="inlineStr">
        <is>
          <t>No individual professional decision recorded; Source assignment -- not individually reviewed</t>
        </is>
      </c>
      <c r="G976" s="23" t="inlineStr">
        <is>
          <t>Not individually decided</t>
        </is>
      </c>
      <c r="H976" s="23" t="inlineStr">
        <is>
          <t xml:space="preserve">RETAINED / ONE_TO_ONE; </t>
        </is>
      </c>
      <c r="I976" s="23" t="inlineStr">
        <is>
          <t>Carried forward</t>
        </is>
      </c>
      <c r="J976" s="14" t="inlineStr">
        <is>
          <t>08 CROSSWALK</t>
        </is>
      </c>
    </row>
    <row r="977" ht="49" customHeight="1">
      <c r="A977" s="23" t="inlineStr">
        <is>
          <t>R1383-v2</t>
        </is>
      </c>
      <c r="B977" s="23" t="inlineStr">
        <is>
          <t>Cost &amp; Forecast Control Accounts / CST-04-061</t>
        </is>
      </c>
      <c r="C977" s="23" t="inlineStr">
        <is>
          <t>Cost Account = CA-4061; WBS Code = 1.4.1</t>
        </is>
      </c>
      <c r="D977" s="23" t="inlineStr">
        <is>
          <t>Proposed by Source assignment; target 1.4.1 Vehicles and Depot - Fleet Supply</t>
        </is>
      </c>
      <c r="E977" s="23" t="inlineStr">
        <is>
          <t>None recorded</t>
        </is>
      </c>
      <c r="F977" s="23" t="inlineStr">
        <is>
          <t>No individual professional decision recorded; Source assignment -- not individually reviewed</t>
        </is>
      </c>
      <c r="G977" s="23" t="inlineStr">
        <is>
          <t>Not individually decided</t>
        </is>
      </c>
      <c r="H977" s="23" t="inlineStr">
        <is>
          <t xml:space="preserve">RETAINED / ONE_TO_ONE; </t>
        </is>
      </c>
      <c r="I977" s="23" t="inlineStr">
        <is>
          <t>Carried forward</t>
        </is>
      </c>
      <c r="J977" s="14" t="inlineStr">
        <is>
          <t>08 CROSSWALK</t>
        </is>
      </c>
    </row>
    <row r="978" ht="49" customHeight="1">
      <c r="A978" s="23" t="inlineStr">
        <is>
          <t>R1385-v2</t>
        </is>
      </c>
      <c r="B978" s="23" t="inlineStr">
        <is>
          <t>Cost &amp; Forecast Control Accounts / CST-04-063</t>
        </is>
      </c>
      <c r="C978" s="23" t="inlineStr">
        <is>
          <t>Cost Account = CA-4063; WBS Code = 1.4.1</t>
        </is>
      </c>
      <c r="D978" s="23" t="inlineStr">
        <is>
          <t>Proposed by Source assignment; target 1.4.1 Vehicles and Depot - Fleet Supply</t>
        </is>
      </c>
      <c r="E978" s="23" t="inlineStr">
        <is>
          <t>None recorded</t>
        </is>
      </c>
      <c r="F978" s="23" t="inlineStr">
        <is>
          <t>No individual professional decision recorded; Source assignment -- not individually reviewed</t>
        </is>
      </c>
      <c r="G978" s="23" t="inlineStr">
        <is>
          <t>Not individually decided</t>
        </is>
      </c>
      <c r="H978" s="23" t="inlineStr">
        <is>
          <t xml:space="preserve">RETAINED / ONE_TO_ONE; </t>
        </is>
      </c>
      <c r="I978" s="23" t="inlineStr">
        <is>
          <t>Carried forward</t>
        </is>
      </c>
      <c r="J978" s="14" t="inlineStr">
        <is>
          <t>08 CROSSWALK</t>
        </is>
      </c>
    </row>
    <row r="979" ht="49" customHeight="1">
      <c r="A979" s="23" t="inlineStr">
        <is>
          <t>R1387-v2</t>
        </is>
      </c>
      <c r="B979" s="23" t="inlineStr">
        <is>
          <t>Cost &amp; Forecast Control Accounts / CST-04-065</t>
        </is>
      </c>
      <c r="C979" s="23" t="inlineStr">
        <is>
          <t>Cost Account = CA-4065; WBS Code = 1.4.1</t>
        </is>
      </c>
      <c r="D979" s="23" t="inlineStr">
        <is>
          <t>Proposed by Source assignment; target 1.4.1 Vehicles and Depot - Fleet Supply</t>
        </is>
      </c>
      <c r="E979" s="23" t="inlineStr">
        <is>
          <t>None recorded</t>
        </is>
      </c>
      <c r="F979" s="23" t="inlineStr">
        <is>
          <t>No individual professional decision recorded; Source assignment -- not individually reviewed</t>
        </is>
      </c>
      <c r="G979" s="23" t="inlineStr">
        <is>
          <t>Not individually decided</t>
        </is>
      </c>
      <c r="H979" s="23" t="inlineStr">
        <is>
          <t xml:space="preserve">RETAINED / ONE_TO_ONE; </t>
        </is>
      </c>
      <c r="I979" s="23" t="inlineStr">
        <is>
          <t>Carried forward</t>
        </is>
      </c>
      <c r="J979" s="14" t="inlineStr">
        <is>
          <t>08 CROSSWALK</t>
        </is>
      </c>
    </row>
    <row r="980" ht="49" customHeight="1">
      <c r="A980" s="23" t="inlineStr">
        <is>
          <t>R1389-v2</t>
        </is>
      </c>
      <c r="B980" s="23" t="inlineStr">
        <is>
          <t>Cost &amp; Forecast Control Accounts / CST-04-067</t>
        </is>
      </c>
      <c r="C980" s="23" t="inlineStr">
        <is>
          <t>Cost Account = CA-4067; WBS Code = 1.4.1</t>
        </is>
      </c>
      <c r="D980" s="23" t="inlineStr">
        <is>
          <t>Proposed by Source assignment; target 1.4.1 Vehicles and Depot - Fleet Supply</t>
        </is>
      </c>
      <c r="E980" s="23" t="inlineStr">
        <is>
          <t>None recorded</t>
        </is>
      </c>
      <c r="F980" s="23" t="inlineStr">
        <is>
          <t>No individual professional decision recorded; Source assignment -- not individually reviewed</t>
        </is>
      </c>
      <c r="G980" s="23" t="inlineStr">
        <is>
          <t>Not individually decided</t>
        </is>
      </c>
      <c r="H980" s="23" t="inlineStr">
        <is>
          <t xml:space="preserve">RETAINED / ONE_TO_ONE; </t>
        </is>
      </c>
      <c r="I980" s="23" t="inlineStr">
        <is>
          <t>Carried forward</t>
        </is>
      </c>
      <c r="J980" s="14" t="inlineStr">
        <is>
          <t>08 CROSSWALK</t>
        </is>
      </c>
    </row>
    <row r="981" ht="49" customHeight="1">
      <c r="A981" s="23" t="inlineStr">
        <is>
          <t>R1391-v2</t>
        </is>
      </c>
      <c r="B981" s="23" t="inlineStr">
        <is>
          <t>Cost &amp; Forecast Control Accounts / CST-04-069</t>
        </is>
      </c>
      <c r="C981" s="23" t="inlineStr">
        <is>
          <t>Cost Account = CA-4069; WBS Code = 1.4.1</t>
        </is>
      </c>
      <c r="D981" s="23" t="inlineStr">
        <is>
          <t>Proposed by Source assignment; target 1.4.1 Vehicles and Depot - Fleet Supply</t>
        </is>
      </c>
      <c r="E981" s="23" t="inlineStr">
        <is>
          <t>None recorded</t>
        </is>
      </c>
      <c r="F981" s="23" t="inlineStr">
        <is>
          <t>No individual professional decision recorded; Source assignment -- not individually reviewed</t>
        </is>
      </c>
      <c r="G981" s="23" t="inlineStr">
        <is>
          <t>Not individually decided</t>
        </is>
      </c>
      <c r="H981" s="23" t="inlineStr">
        <is>
          <t xml:space="preserve">RETAINED / ONE_TO_ONE; </t>
        </is>
      </c>
      <c r="I981" s="23" t="inlineStr">
        <is>
          <t>Carried forward</t>
        </is>
      </c>
      <c r="J981" s="14" t="inlineStr">
        <is>
          <t>08 CROSSWALK</t>
        </is>
      </c>
    </row>
    <row r="982" ht="49" customHeight="1">
      <c r="A982" s="23" t="inlineStr">
        <is>
          <t>R1393-v2</t>
        </is>
      </c>
      <c r="B982" s="23" t="inlineStr">
        <is>
          <t>Cost &amp; Forecast Control Accounts / CST-04-071</t>
        </is>
      </c>
      <c r="C982" s="23" t="inlineStr">
        <is>
          <t>Cost Account = CA-4071; WBS Code = 1.4.1</t>
        </is>
      </c>
      <c r="D982" s="23" t="inlineStr">
        <is>
          <t>Proposed by Source assignment; target 1.4.1 Vehicles and Depot - Fleet Supply</t>
        </is>
      </c>
      <c r="E982" s="23" t="inlineStr">
        <is>
          <t>None recorded</t>
        </is>
      </c>
      <c r="F982" s="23" t="inlineStr">
        <is>
          <t>No individual professional decision recorded; Source assignment -- not individually reviewed</t>
        </is>
      </c>
      <c r="G982" s="23" t="inlineStr">
        <is>
          <t>Not individually decided</t>
        </is>
      </c>
      <c r="H982" s="23" t="inlineStr">
        <is>
          <t xml:space="preserve">RETAINED / ONE_TO_ONE; </t>
        </is>
      </c>
      <c r="I982" s="23" t="inlineStr">
        <is>
          <t>Carried forward</t>
        </is>
      </c>
      <c r="J982" s="14" t="inlineStr">
        <is>
          <t>08 CROSSWALK</t>
        </is>
      </c>
    </row>
    <row r="983" ht="49" customHeight="1">
      <c r="A983" s="23" t="inlineStr">
        <is>
          <t>R1395-v2</t>
        </is>
      </c>
      <c r="B983" s="23" t="inlineStr">
        <is>
          <t>Cost &amp; Forecast Control Accounts / CST-04-073</t>
        </is>
      </c>
      <c r="C983" s="23" t="inlineStr">
        <is>
          <t>Cost Account = CA-4073; WBS Code = 1.4.1</t>
        </is>
      </c>
      <c r="D983" s="23" t="inlineStr">
        <is>
          <t>Proposed by Source assignment; target 1.4.1 Vehicles and Depot - Fleet Supply</t>
        </is>
      </c>
      <c r="E983" s="23" t="inlineStr">
        <is>
          <t>None recorded</t>
        </is>
      </c>
      <c r="F983" s="23" t="inlineStr">
        <is>
          <t>No individual professional decision recorded; Source assignment -- not individually reviewed</t>
        </is>
      </c>
      <c r="G983" s="23" t="inlineStr">
        <is>
          <t>Not individually decided</t>
        </is>
      </c>
      <c r="H983" s="23" t="inlineStr">
        <is>
          <t xml:space="preserve">RETAINED / ONE_TO_ONE; </t>
        </is>
      </c>
      <c r="I983" s="23" t="inlineStr">
        <is>
          <t>Carried forward</t>
        </is>
      </c>
      <c r="J983" s="14" t="inlineStr">
        <is>
          <t>08 CROSSWALK</t>
        </is>
      </c>
    </row>
    <row r="984" ht="49" customHeight="1">
      <c r="A984" s="23" t="inlineStr">
        <is>
          <t>R1397-v2</t>
        </is>
      </c>
      <c r="B984" s="23" t="inlineStr">
        <is>
          <t>Cost &amp; Forecast Control Accounts / CST-04-075</t>
        </is>
      </c>
      <c r="C984" s="23" t="inlineStr">
        <is>
          <t>Cost Account = CA-4075; WBS Code = 1.4.1</t>
        </is>
      </c>
      <c r="D984" s="23" t="inlineStr">
        <is>
          <t>Proposed by Source assignment; target 1.4.1 Vehicles and Depot - Fleet Supply</t>
        </is>
      </c>
      <c r="E984" s="23" t="inlineStr">
        <is>
          <t>None recorded</t>
        </is>
      </c>
      <c r="F984" s="23" t="inlineStr">
        <is>
          <t>No individual professional decision recorded; Source assignment -- not individually reviewed</t>
        </is>
      </c>
      <c r="G984" s="23" t="inlineStr">
        <is>
          <t>Not individually decided</t>
        </is>
      </c>
      <c r="H984" s="23" t="inlineStr">
        <is>
          <t xml:space="preserve">RETAINED / ONE_TO_ONE; </t>
        </is>
      </c>
      <c r="I984" s="23" t="inlineStr">
        <is>
          <t>Carried forward</t>
        </is>
      </c>
      <c r="J984" s="14" t="inlineStr">
        <is>
          <t>08 CROSSWALK</t>
        </is>
      </c>
    </row>
    <row r="985" ht="49" customHeight="1">
      <c r="A985" s="23" t="inlineStr">
        <is>
          <t>R1399-v2</t>
        </is>
      </c>
      <c r="B985" s="23" t="inlineStr">
        <is>
          <t>Cost &amp; Forecast Control Accounts / CST-04-077</t>
        </is>
      </c>
      <c r="C985" s="23" t="inlineStr">
        <is>
          <t>Cost Account = CA-4077; WBS Code = 1.4.1</t>
        </is>
      </c>
      <c r="D985" s="23" t="inlineStr">
        <is>
          <t>Proposed by Source assignment; target 1.4.1 Vehicles and Depot - Fleet Supply</t>
        </is>
      </c>
      <c r="E985" s="23" t="inlineStr">
        <is>
          <t>None recorded</t>
        </is>
      </c>
      <c r="F985" s="23" t="inlineStr">
        <is>
          <t>No individual professional decision recorded; Source assignment -- not individually reviewed</t>
        </is>
      </c>
      <c r="G985" s="23" t="inlineStr">
        <is>
          <t>Not individually decided</t>
        </is>
      </c>
      <c r="H985" s="23" t="inlineStr">
        <is>
          <t xml:space="preserve">RETAINED / ONE_TO_ONE; </t>
        </is>
      </c>
      <c r="I985" s="23" t="inlineStr">
        <is>
          <t>Carried forward</t>
        </is>
      </c>
      <c r="J985" s="14" t="inlineStr">
        <is>
          <t>08 CROSSWALK</t>
        </is>
      </c>
    </row>
    <row r="986" ht="49" customHeight="1">
      <c r="A986" s="23" t="inlineStr">
        <is>
          <t>R1401-v2</t>
        </is>
      </c>
      <c r="B986" s="23" t="inlineStr">
        <is>
          <t>Cost &amp; Forecast Control Accounts / CST-04-079</t>
        </is>
      </c>
      <c r="C986" s="23" t="inlineStr">
        <is>
          <t>Cost Account = CA-4079; WBS Code = 1.4.1</t>
        </is>
      </c>
      <c r="D986" s="23" t="inlineStr">
        <is>
          <t>Proposed by Source assignment; target 1.4.1 Vehicles and Depot - Fleet Supply</t>
        </is>
      </c>
      <c r="E986" s="23" t="inlineStr">
        <is>
          <t>None recorded</t>
        </is>
      </c>
      <c r="F986" s="23" t="inlineStr">
        <is>
          <t>No individual professional decision recorded; Source assignment -- not individually reviewed</t>
        </is>
      </c>
      <c r="G986" s="23" t="inlineStr">
        <is>
          <t>Not individually decided</t>
        </is>
      </c>
      <c r="H986" s="23" t="inlineStr">
        <is>
          <t xml:space="preserve">RETAINED / ONE_TO_ONE; </t>
        </is>
      </c>
      <c r="I986" s="23" t="inlineStr">
        <is>
          <t>Carried forward</t>
        </is>
      </c>
      <c r="J986" s="14" t="inlineStr">
        <is>
          <t>08 CROSSWALK</t>
        </is>
      </c>
    </row>
    <row r="987" ht="49" customHeight="1">
      <c r="A987" s="23" t="inlineStr">
        <is>
          <t>R546-v2</t>
        </is>
      </c>
      <c r="B987" s="23" t="inlineStr">
        <is>
          <t>Contractor Programme / SCH-04-006</t>
        </is>
      </c>
      <c r="C987" s="23" t="inlineStr">
        <is>
          <t>WBS Code = 1.4.2</t>
        </is>
      </c>
      <c r="D987" s="23" t="inlineStr">
        <is>
          <t>Proposed by Source assignment; target 1.4.2 Vehicles and Depot - Depot Buildings</t>
        </is>
      </c>
      <c r="E987" s="23" t="inlineStr">
        <is>
          <t>None recorded</t>
        </is>
      </c>
      <c r="F987" s="23" t="inlineStr">
        <is>
          <t>No individual professional decision recorded; Source assignment -- not individually reviewed</t>
        </is>
      </c>
      <c r="G987" s="23" t="inlineStr">
        <is>
          <t>Not individually decided</t>
        </is>
      </c>
      <c r="H987" s="23" t="inlineStr">
        <is>
          <t xml:space="preserve">RETAINED / ONE_TO_ONE; </t>
        </is>
      </c>
      <c r="I987" s="23" t="inlineStr">
        <is>
          <t>Carried forward</t>
        </is>
      </c>
      <c r="J987" s="14" t="inlineStr">
        <is>
          <t>08 CROSSWALK</t>
        </is>
      </c>
    </row>
    <row r="988" ht="49" customHeight="1">
      <c r="A988" s="23" t="inlineStr">
        <is>
          <t>R549-v2</t>
        </is>
      </c>
      <c r="B988" s="23" t="inlineStr">
        <is>
          <t>Contractor Programme / SCH-04-009</t>
        </is>
      </c>
      <c r="C988" s="23" t="inlineStr">
        <is>
          <t>WBS Code = 1.4.2</t>
        </is>
      </c>
      <c r="D988" s="23" t="inlineStr">
        <is>
          <t>Proposed by Source assignment; target 1.4.2 Vehicles and Depot - Depot Buildings</t>
        </is>
      </c>
      <c r="E988" s="23" t="inlineStr">
        <is>
          <t>None recorded</t>
        </is>
      </c>
      <c r="F988" s="23" t="inlineStr">
        <is>
          <t>No individual professional decision recorded; Source assignment -- not individually reviewed</t>
        </is>
      </c>
      <c r="G988" s="23" t="inlineStr">
        <is>
          <t>Not individually decided</t>
        </is>
      </c>
      <c r="H988" s="23" t="inlineStr">
        <is>
          <t xml:space="preserve">RETAINED / ONE_TO_ONE; </t>
        </is>
      </c>
      <c r="I988" s="23" t="inlineStr">
        <is>
          <t>Carried forward</t>
        </is>
      </c>
      <c r="J988" s="14" t="inlineStr">
        <is>
          <t>08 CROSSWALK</t>
        </is>
      </c>
    </row>
    <row r="989" ht="49" customHeight="1">
      <c r="A989" s="23" t="inlineStr">
        <is>
          <t>R552-v2</t>
        </is>
      </c>
      <c r="B989" s="23" t="inlineStr">
        <is>
          <t>Contractor Programme / SCH-04-012</t>
        </is>
      </c>
      <c r="C989" s="23" t="inlineStr">
        <is>
          <t>WBS Code = 1.4.2</t>
        </is>
      </c>
      <c r="D989" s="23" t="inlineStr">
        <is>
          <t>Proposed by Source assignment; target 1.4.2 Vehicles and Depot - Depot Buildings</t>
        </is>
      </c>
      <c r="E989" s="23" t="inlineStr">
        <is>
          <t>None recorded</t>
        </is>
      </c>
      <c r="F989" s="23" t="inlineStr">
        <is>
          <t>No individual professional decision recorded; Source assignment -- not individually reviewed</t>
        </is>
      </c>
      <c r="G989" s="23" t="inlineStr">
        <is>
          <t>Not individually decided</t>
        </is>
      </c>
      <c r="H989" s="23" t="inlineStr">
        <is>
          <t xml:space="preserve">RETAINED / ONE_TO_ONE; </t>
        </is>
      </c>
      <c r="I989" s="23" t="inlineStr">
        <is>
          <t>Carried forward</t>
        </is>
      </c>
      <c r="J989" s="14" t="inlineStr">
        <is>
          <t>08 CROSSWALK</t>
        </is>
      </c>
    </row>
    <row r="990" ht="49" customHeight="1">
      <c r="A990" s="23" t="inlineStr">
        <is>
          <t>R555-v2</t>
        </is>
      </c>
      <c r="B990" s="23" t="inlineStr">
        <is>
          <t>Contractor Programme / SCH-04-015</t>
        </is>
      </c>
      <c r="C990" s="23" t="inlineStr">
        <is>
          <t>WBS Code = 1.4.2</t>
        </is>
      </c>
      <c r="D990" s="23" t="inlineStr">
        <is>
          <t>Proposed by Source assignment; target 1.4.2 Vehicles and Depot - Depot Buildings</t>
        </is>
      </c>
      <c r="E990" s="23" t="inlineStr">
        <is>
          <t>None recorded</t>
        </is>
      </c>
      <c r="F990" s="23" t="inlineStr">
        <is>
          <t>No individual professional decision recorded; Source assignment -- not individually reviewed</t>
        </is>
      </c>
      <c r="G990" s="23" t="inlineStr">
        <is>
          <t>Not individually decided</t>
        </is>
      </c>
      <c r="H990" s="23" t="inlineStr">
        <is>
          <t xml:space="preserve">RETAINED / ONE_TO_ONE; </t>
        </is>
      </c>
      <c r="I990" s="23" t="inlineStr">
        <is>
          <t>Carried forward</t>
        </is>
      </c>
      <c r="J990" s="14" t="inlineStr">
        <is>
          <t>08 CROSSWALK</t>
        </is>
      </c>
    </row>
    <row r="991" ht="49" customHeight="1">
      <c r="A991" s="23" t="inlineStr">
        <is>
          <t>R558-v2</t>
        </is>
      </c>
      <c r="B991" s="23" t="inlineStr">
        <is>
          <t>Contractor Programme / SCH-04-018</t>
        </is>
      </c>
      <c r="C991" s="23" t="inlineStr">
        <is>
          <t>WBS Code = 1.4.2</t>
        </is>
      </c>
      <c r="D991" s="23" t="inlineStr">
        <is>
          <t>Proposed by Source assignment; target 1.4.2 Vehicles and Depot - Depot Buildings</t>
        </is>
      </c>
      <c r="E991" s="23" t="inlineStr">
        <is>
          <t>None recorded</t>
        </is>
      </c>
      <c r="F991" s="23" t="inlineStr">
        <is>
          <t>No individual professional decision recorded; Source assignment -- not individually reviewed</t>
        </is>
      </c>
      <c r="G991" s="23" t="inlineStr">
        <is>
          <t>Not individually decided</t>
        </is>
      </c>
      <c r="H991" s="23" t="inlineStr">
        <is>
          <t xml:space="preserve">RETAINED / ONE_TO_ONE; </t>
        </is>
      </c>
      <c r="I991" s="23" t="inlineStr">
        <is>
          <t>Carried forward</t>
        </is>
      </c>
      <c r="J991" s="14" t="inlineStr">
        <is>
          <t>08 CROSSWALK</t>
        </is>
      </c>
    </row>
    <row r="992" ht="49" customHeight="1">
      <c r="A992" s="23" t="inlineStr">
        <is>
          <t>R561-v2</t>
        </is>
      </c>
      <c r="B992" s="23" t="inlineStr">
        <is>
          <t>Contractor Programme / SCH-04-021</t>
        </is>
      </c>
      <c r="C992" s="23" t="inlineStr">
        <is>
          <t>WBS Code = 1.4.2</t>
        </is>
      </c>
      <c r="D992" s="23" t="inlineStr">
        <is>
          <t>Proposed by Source assignment; target 1.4.2 Vehicles and Depot - Depot Buildings</t>
        </is>
      </c>
      <c r="E992" s="23" t="inlineStr">
        <is>
          <t>None recorded</t>
        </is>
      </c>
      <c r="F992" s="23" t="inlineStr">
        <is>
          <t>No individual professional decision recorded; Source assignment -- not individually reviewed</t>
        </is>
      </c>
      <c r="G992" s="23" t="inlineStr">
        <is>
          <t>Not individually decided</t>
        </is>
      </c>
      <c r="H992" s="23" t="inlineStr">
        <is>
          <t xml:space="preserve">RETAINED / ONE_TO_ONE; </t>
        </is>
      </c>
      <c r="I992" s="23" t="inlineStr">
        <is>
          <t>Carried forward</t>
        </is>
      </c>
      <c r="J992" s="14" t="inlineStr">
        <is>
          <t>08 CROSSWALK</t>
        </is>
      </c>
    </row>
    <row r="993" ht="49" customHeight="1">
      <c r="A993" s="23" t="inlineStr">
        <is>
          <t>R564-v2</t>
        </is>
      </c>
      <c r="B993" s="23" t="inlineStr">
        <is>
          <t>Contractor Programme / SCH-04-024</t>
        </is>
      </c>
      <c r="C993" s="23" t="inlineStr">
        <is>
          <t>WBS Code = 1.4.2</t>
        </is>
      </c>
      <c r="D993" s="23" t="inlineStr">
        <is>
          <t>Proposed by Source assignment; target 1.4.2 Vehicles and Depot - Depot Buildings</t>
        </is>
      </c>
      <c r="E993" s="23" t="inlineStr">
        <is>
          <t>None recorded</t>
        </is>
      </c>
      <c r="F993" s="23" t="inlineStr">
        <is>
          <t>No individual professional decision recorded; Source assignment -- not individually reviewed</t>
        </is>
      </c>
      <c r="G993" s="23" t="inlineStr">
        <is>
          <t>Not individually decided</t>
        </is>
      </c>
      <c r="H993" s="23" t="inlineStr">
        <is>
          <t xml:space="preserve">RETAINED / ONE_TO_ONE; </t>
        </is>
      </c>
      <c r="I993" s="23" t="inlineStr">
        <is>
          <t>Carried forward</t>
        </is>
      </c>
      <c r="J993" s="14" t="inlineStr">
        <is>
          <t>08 CROSSWALK</t>
        </is>
      </c>
    </row>
    <row r="994" ht="49" customHeight="1">
      <c r="A994" s="23" t="inlineStr">
        <is>
          <t>R567-v2</t>
        </is>
      </c>
      <c r="B994" s="23" t="inlineStr">
        <is>
          <t>Contractor Programme / SCH-04-027</t>
        </is>
      </c>
      <c r="C994" s="23" t="inlineStr">
        <is>
          <t>WBS Code = 1.4.2</t>
        </is>
      </c>
      <c r="D994" s="23" t="inlineStr">
        <is>
          <t>Proposed by Source assignment; target 1.4.2 Vehicles and Depot - Depot Buildings</t>
        </is>
      </c>
      <c r="E994" s="23" t="inlineStr">
        <is>
          <t>None recorded</t>
        </is>
      </c>
      <c r="F994" s="23" t="inlineStr">
        <is>
          <t>No individual professional decision recorded; Source assignment -- not individually reviewed</t>
        </is>
      </c>
      <c r="G994" s="23" t="inlineStr">
        <is>
          <t>Not individually decided</t>
        </is>
      </c>
      <c r="H994" s="23" t="inlineStr">
        <is>
          <t xml:space="preserve">RETAINED / ONE_TO_ONE; </t>
        </is>
      </c>
      <c r="I994" s="23" t="inlineStr">
        <is>
          <t>Carried forward</t>
        </is>
      </c>
      <c r="J994" s="14" t="inlineStr">
        <is>
          <t>08 CROSSWALK</t>
        </is>
      </c>
    </row>
    <row r="995" ht="49" customHeight="1">
      <c r="A995" s="23" t="inlineStr">
        <is>
          <t>R570-v2</t>
        </is>
      </c>
      <c r="B995" s="23" t="inlineStr">
        <is>
          <t>Contractor Programme / SCH-04-030</t>
        </is>
      </c>
      <c r="C995" s="23" t="inlineStr">
        <is>
          <t>WBS Code = 1.4.2</t>
        </is>
      </c>
      <c r="D995" s="23" t="inlineStr">
        <is>
          <t>Proposed by Source assignment; target 1.4.2 Vehicles and Depot - Depot Buildings</t>
        </is>
      </c>
      <c r="E995" s="23" t="inlineStr">
        <is>
          <t>None recorded</t>
        </is>
      </c>
      <c r="F995" s="23" t="inlineStr">
        <is>
          <t>No individual professional decision recorded; Source assignment -- not individually reviewed</t>
        </is>
      </c>
      <c r="G995" s="23" t="inlineStr">
        <is>
          <t>Not individually decided</t>
        </is>
      </c>
      <c r="H995" s="23" t="inlineStr">
        <is>
          <t xml:space="preserve">RETAINED / ONE_TO_ONE; </t>
        </is>
      </c>
      <c r="I995" s="23" t="inlineStr">
        <is>
          <t>Carried forward</t>
        </is>
      </c>
      <c r="J995" s="14" t="inlineStr">
        <is>
          <t>08 CROSSWALK</t>
        </is>
      </c>
    </row>
    <row r="996" ht="49" customHeight="1">
      <c r="A996" s="23" t="inlineStr">
        <is>
          <t>R573-v2</t>
        </is>
      </c>
      <c r="B996" s="23" t="inlineStr">
        <is>
          <t>Contractor Programme / SCH-04-033</t>
        </is>
      </c>
      <c r="C996" s="23" t="inlineStr">
        <is>
          <t>WBS Code = 1.4.2</t>
        </is>
      </c>
      <c r="D996" s="23" t="inlineStr">
        <is>
          <t>Proposed by Source assignment; target 1.4.2 Vehicles and Depot - Depot Buildings</t>
        </is>
      </c>
      <c r="E996" s="23" t="inlineStr">
        <is>
          <t>None recorded</t>
        </is>
      </c>
      <c r="F996" s="23" t="inlineStr">
        <is>
          <t>No individual professional decision recorded; Source assignment -- not individually reviewed</t>
        </is>
      </c>
      <c r="G996" s="23" t="inlineStr">
        <is>
          <t>Not individually decided</t>
        </is>
      </c>
      <c r="H996" s="23" t="inlineStr">
        <is>
          <t xml:space="preserve">RETAINED / ONE_TO_ONE; </t>
        </is>
      </c>
      <c r="I996" s="23" t="inlineStr">
        <is>
          <t>Carried forward</t>
        </is>
      </c>
      <c r="J996" s="14" t="inlineStr">
        <is>
          <t>08 CROSSWALK</t>
        </is>
      </c>
    </row>
    <row r="997" ht="49" customHeight="1">
      <c r="A997" s="23" t="inlineStr">
        <is>
          <t>R576-v2</t>
        </is>
      </c>
      <c r="B997" s="23" t="inlineStr">
        <is>
          <t>Contractor Programme / SCH-04-036</t>
        </is>
      </c>
      <c r="C997" s="23" t="inlineStr">
        <is>
          <t>WBS Code = 1.4.2</t>
        </is>
      </c>
      <c r="D997" s="23" t="inlineStr">
        <is>
          <t>Proposed by Source assignment; target 1.4.2 Vehicles and Depot - Depot Buildings</t>
        </is>
      </c>
      <c r="E997" s="23" t="inlineStr">
        <is>
          <t>None recorded</t>
        </is>
      </c>
      <c r="F997" s="23" t="inlineStr">
        <is>
          <t>No individual professional decision recorded; Source assignment -- not individually reviewed</t>
        </is>
      </c>
      <c r="G997" s="23" t="inlineStr">
        <is>
          <t>Not individually decided</t>
        </is>
      </c>
      <c r="H997" s="23" t="inlineStr">
        <is>
          <t xml:space="preserve">RETAINED / ONE_TO_ONE; </t>
        </is>
      </c>
      <c r="I997" s="23" t="inlineStr">
        <is>
          <t>Carried forward</t>
        </is>
      </c>
      <c r="J997" s="14" t="inlineStr">
        <is>
          <t>08 CROSSWALK</t>
        </is>
      </c>
    </row>
    <row r="998" ht="49" customHeight="1">
      <c r="A998" s="23" t="inlineStr">
        <is>
          <t>R579-v2</t>
        </is>
      </c>
      <c r="B998" s="23" t="inlineStr">
        <is>
          <t>Contractor Programme / SCH-04-039</t>
        </is>
      </c>
      <c r="C998" s="23" t="inlineStr">
        <is>
          <t>WBS Code = 1.4.2</t>
        </is>
      </c>
      <c r="D998" s="23" t="inlineStr">
        <is>
          <t>Proposed by Source assignment; target 1.4.2 Vehicles and Depot - Depot Buildings</t>
        </is>
      </c>
      <c r="E998" s="23" t="inlineStr">
        <is>
          <t>None recorded</t>
        </is>
      </c>
      <c r="F998" s="23" t="inlineStr">
        <is>
          <t>No individual professional decision recorded; Source assignment -- not individually reviewed</t>
        </is>
      </c>
      <c r="G998" s="23" t="inlineStr">
        <is>
          <t>Not individually decided</t>
        </is>
      </c>
      <c r="H998" s="23" t="inlineStr">
        <is>
          <t xml:space="preserve">RETAINED / ONE_TO_ONE; </t>
        </is>
      </c>
      <c r="I998" s="23" t="inlineStr">
        <is>
          <t>Carried forward</t>
        </is>
      </c>
      <c r="J998" s="14" t="inlineStr">
        <is>
          <t>08 CROSSWALK</t>
        </is>
      </c>
    </row>
    <row r="999" ht="49" customHeight="1">
      <c r="A999" s="23" t="inlineStr">
        <is>
          <t>R582-v2</t>
        </is>
      </c>
      <c r="B999" s="23" t="inlineStr">
        <is>
          <t>Contractor Programme / SCH-04-042</t>
        </is>
      </c>
      <c r="C999" s="23" t="inlineStr">
        <is>
          <t>WBS Code = 1.4.2</t>
        </is>
      </c>
      <c r="D999" s="23" t="inlineStr">
        <is>
          <t>Proposed by Source assignment; target 1.4.2 Vehicles and Depot - Depot Buildings</t>
        </is>
      </c>
      <c r="E999" s="23" t="inlineStr">
        <is>
          <t>None recorded</t>
        </is>
      </c>
      <c r="F999" s="23" t="inlineStr">
        <is>
          <t>No individual professional decision recorded; Source assignment -- not individually reviewed</t>
        </is>
      </c>
      <c r="G999" s="23" t="inlineStr">
        <is>
          <t>Not individually decided</t>
        </is>
      </c>
      <c r="H999" s="23" t="inlineStr">
        <is>
          <t xml:space="preserve">RETAINED / ONE_TO_ONE; </t>
        </is>
      </c>
      <c r="I999" s="23" t="inlineStr">
        <is>
          <t>Carried forward</t>
        </is>
      </c>
      <c r="J999" s="14" t="inlineStr">
        <is>
          <t>08 CROSSWALK</t>
        </is>
      </c>
    </row>
    <row r="1000" ht="49" customHeight="1">
      <c r="A1000" s="23" t="inlineStr">
        <is>
          <t>R585-v2</t>
        </is>
      </c>
      <c r="B1000" s="23" t="inlineStr">
        <is>
          <t>Contractor Programme / SCH-04-045</t>
        </is>
      </c>
      <c r="C1000" s="23" t="inlineStr">
        <is>
          <t>WBS Code = 1.4.2</t>
        </is>
      </c>
      <c r="D1000" s="23" t="inlineStr">
        <is>
          <t>Proposed by Source assignment; target 1.4.2 Vehicles and Depot - Depot Buildings</t>
        </is>
      </c>
      <c r="E1000" s="23" t="inlineStr">
        <is>
          <t>None recorded</t>
        </is>
      </c>
      <c r="F1000" s="23" t="inlineStr">
        <is>
          <t>No individual professional decision recorded; Source assignment -- not individually reviewed</t>
        </is>
      </c>
      <c r="G1000" s="23" t="inlineStr">
        <is>
          <t>Not individually decided</t>
        </is>
      </c>
      <c r="H1000" s="23" t="inlineStr">
        <is>
          <t xml:space="preserve">RETAINED / ONE_TO_ONE; </t>
        </is>
      </c>
      <c r="I1000" s="23" t="inlineStr">
        <is>
          <t>Carried forward</t>
        </is>
      </c>
      <c r="J1000" s="14" t="inlineStr">
        <is>
          <t>08 CROSSWALK</t>
        </is>
      </c>
    </row>
    <row r="1001" ht="49" customHeight="1">
      <c r="A1001" s="23" t="inlineStr">
        <is>
          <t>R588-v2</t>
        </is>
      </c>
      <c r="B1001" s="23" t="inlineStr">
        <is>
          <t>Contractor Programme / SCH-04-048</t>
        </is>
      </c>
      <c r="C1001" s="23" t="inlineStr">
        <is>
          <t>WBS Code = 1.4.2</t>
        </is>
      </c>
      <c r="D1001" s="23" t="inlineStr">
        <is>
          <t>Proposed by Source assignment; target 1.4.2 Vehicles and Depot - Depot Buildings</t>
        </is>
      </c>
      <c r="E1001" s="23" t="inlineStr">
        <is>
          <t>None recorded</t>
        </is>
      </c>
      <c r="F1001" s="23" t="inlineStr">
        <is>
          <t>No individual professional decision recorded; Source assignment -- not individually reviewed</t>
        </is>
      </c>
      <c r="G1001" s="23" t="inlineStr">
        <is>
          <t>Not individually decided</t>
        </is>
      </c>
      <c r="H1001" s="23" t="inlineStr">
        <is>
          <t xml:space="preserve">RETAINED / ONE_TO_ONE; </t>
        </is>
      </c>
      <c r="I1001" s="23" t="inlineStr">
        <is>
          <t>Carried forward</t>
        </is>
      </c>
      <c r="J1001" s="14" t="inlineStr">
        <is>
          <t>08 CROSSWALK</t>
        </is>
      </c>
    </row>
    <row r="1002" ht="49" customHeight="1">
      <c r="A1002" s="23" t="inlineStr">
        <is>
          <t>R591-v2</t>
        </is>
      </c>
      <c r="B1002" s="23" t="inlineStr">
        <is>
          <t>Contractor Programme / SCH-04-051</t>
        </is>
      </c>
      <c r="C1002" s="23" t="inlineStr">
        <is>
          <t>WBS Code = 1.4.2</t>
        </is>
      </c>
      <c r="D1002" s="23" t="inlineStr">
        <is>
          <t>Proposed by Source assignment; target 1.4.2 Vehicles and Depot - Depot Buildings</t>
        </is>
      </c>
      <c r="E1002" s="23" t="inlineStr">
        <is>
          <t>None recorded</t>
        </is>
      </c>
      <c r="F1002" s="23" t="inlineStr">
        <is>
          <t>No individual professional decision recorded; Source assignment -- not individually reviewed</t>
        </is>
      </c>
      <c r="G1002" s="23" t="inlineStr">
        <is>
          <t>Not individually decided</t>
        </is>
      </c>
      <c r="H1002" s="23" t="inlineStr">
        <is>
          <t xml:space="preserve">RETAINED / ONE_TO_ONE; </t>
        </is>
      </c>
      <c r="I1002" s="23" t="inlineStr">
        <is>
          <t>Carried forward</t>
        </is>
      </c>
      <c r="J1002" s="14" t="inlineStr">
        <is>
          <t>08 CROSSWALK</t>
        </is>
      </c>
    </row>
    <row r="1003" ht="49" customHeight="1">
      <c r="A1003" s="23" t="inlineStr">
        <is>
          <t>R594-v2</t>
        </is>
      </c>
      <c r="B1003" s="23" t="inlineStr">
        <is>
          <t>Contractor Programme / SCH-04-054</t>
        </is>
      </c>
      <c r="C1003" s="23" t="inlineStr">
        <is>
          <t>WBS Code = 1.4.2</t>
        </is>
      </c>
      <c r="D1003" s="23" t="inlineStr">
        <is>
          <t>Proposed by Source assignment; target 1.4.2 Vehicles and Depot - Depot Buildings</t>
        </is>
      </c>
      <c r="E1003" s="23" t="inlineStr">
        <is>
          <t>None recorded</t>
        </is>
      </c>
      <c r="F1003" s="23" t="inlineStr">
        <is>
          <t>No individual professional decision recorded; Source assignment -- not individually reviewed</t>
        </is>
      </c>
      <c r="G1003" s="23" t="inlineStr">
        <is>
          <t>Not individually decided</t>
        </is>
      </c>
      <c r="H1003" s="23" t="inlineStr">
        <is>
          <t xml:space="preserve">RETAINED / ONE_TO_ONE; </t>
        </is>
      </c>
      <c r="I1003" s="23" t="inlineStr">
        <is>
          <t>Carried forward</t>
        </is>
      </c>
      <c r="J1003" s="14" t="inlineStr">
        <is>
          <t>08 CROSSWALK</t>
        </is>
      </c>
    </row>
    <row r="1004" ht="49" customHeight="1">
      <c r="A1004" s="23" t="inlineStr">
        <is>
          <t>R597-v2</t>
        </is>
      </c>
      <c r="B1004" s="23" t="inlineStr">
        <is>
          <t>Contractor Programme / SCH-04-057</t>
        </is>
      </c>
      <c r="C1004" s="23" t="inlineStr">
        <is>
          <t>WBS Code = 1.4.2</t>
        </is>
      </c>
      <c r="D1004" s="23" t="inlineStr">
        <is>
          <t>Proposed by Source assignment; target 1.4.2 Vehicles and Depot - Depot Buildings</t>
        </is>
      </c>
      <c r="E1004" s="23" t="inlineStr">
        <is>
          <t>None recorded</t>
        </is>
      </c>
      <c r="F1004" s="23" t="inlineStr">
        <is>
          <t>No individual professional decision recorded; Source assignment -- not individually reviewed</t>
        </is>
      </c>
      <c r="G1004" s="23" t="inlineStr">
        <is>
          <t>Not individually decided</t>
        </is>
      </c>
      <c r="H1004" s="23" t="inlineStr">
        <is>
          <t xml:space="preserve">RETAINED / ONE_TO_ONE; </t>
        </is>
      </c>
      <c r="I1004" s="23" t="inlineStr">
        <is>
          <t>Carried forward</t>
        </is>
      </c>
      <c r="J1004" s="14" t="inlineStr">
        <is>
          <t>08 CROSSWALK</t>
        </is>
      </c>
    </row>
    <row r="1005" ht="49" customHeight="1">
      <c r="A1005" s="23" t="inlineStr">
        <is>
          <t>R600-v2</t>
        </is>
      </c>
      <c r="B1005" s="23" t="inlineStr">
        <is>
          <t>Contractor Programme / SCH-04-060</t>
        </is>
      </c>
      <c r="C1005" s="23" t="inlineStr">
        <is>
          <t>WBS Code = 1.4.2</t>
        </is>
      </c>
      <c r="D1005" s="23" t="inlineStr">
        <is>
          <t>Proposed by Source assignment; target 1.4.2 Vehicles and Depot - Depot Buildings</t>
        </is>
      </c>
      <c r="E1005" s="23" t="inlineStr">
        <is>
          <t>None recorded</t>
        </is>
      </c>
      <c r="F1005" s="23" t="inlineStr">
        <is>
          <t>No individual professional decision recorded; Source assignment -- not individually reviewed</t>
        </is>
      </c>
      <c r="G1005" s="23" t="inlineStr">
        <is>
          <t>Not individually decided</t>
        </is>
      </c>
      <c r="H1005" s="23" t="inlineStr">
        <is>
          <t xml:space="preserve">RETAINED / ONE_TO_ONE; </t>
        </is>
      </c>
      <c r="I1005" s="23" t="inlineStr">
        <is>
          <t>Carried forward</t>
        </is>
      </c>
      <c r="J1005" s="14" t="inlineStr">
        <is>
          <t>08 CROSSWALK</t>
        </is>
      </c>
    </row>
    <row r="1006" ht="49" customHeight="1">
      <c r="A1006" s="23" t="inlineStr">
        <is>
          <t>R603-v2</t>
        </is>
      </c>
      <c r="B1006" s="23" t="inlineStr">
        <is>
          <t>Contractor Programme / SCH-04-063</t>
        </is>
      </c>
      <c r="C1006" s="23" t="inlineStr">
        <is>
          <t>WBS Code = 1.4.2</t>
        </is>
      </c>
      <c r="D1006" s="23" t="inlineStr">
        <is>
          <t>Proposed by Source assignment; target 1.4.2 Vehicles and Depot - Depot Buildings</t>
        </is>
      </c>
      <c r="E1006" s="23" t="inlineStr">
        <is>
          <t>None recorded</t>
        </is>
      </c>
      <c r="F1006" s="23" t="inlineStr">
        <is>
          <t>No individual professional decision recorded; Source assignment -- not individually reviewed</t>
        </is>
      </c>
      <c r="G1006" s="23" t="inlineStr">
        <is>
          <t>Not individually decided</t>
        </is>
      </c>
      <c r="H1006" s="23" t="inlineStr">
        <is>
          <t xml:space="preserve">RETAINED / ONE_TO_ONE; </t>
        </is>
      </c>
      <c r="I1006" s="23" t="inlineStr">
        <is>
          <t>Carried forward</t>
        </is>
      </c>
      <c r="J1006" s="14" t="inlineStr">
        <is>
          <t>08 CROSSWALK</t>
        </is>
      </c>
    </row>
    <row r="1007" ht="49" customHeight="1">
      <c r="A1007" s="23" t="inlineStr">
        <is>
          <t>R606-v2</t>
        </is>
      </c>
      <c r="B1007" s="23" t="inlineStr">
        <is>
          <t>Contractor Programme / SCH-04-066</t>
        </is>
      </c>
      <c r="C1007" s="23" t="inlineStr">
        <is>
          <t>WBS Code = 1.4.2</t>
        </is>
      </c>
      <c r="D1007" s="23" t="inlineStr">
        <is>
          <t>Proposed by Source assignment; target 1.4.2 Vehicles and Depot - Depot Buildings</t>
        </is>
      </c>
      <c r="E1007" s="23" t="inlineStr">
        <is>
          <t>None recorded</t>
        </is>
      </c>
      <c r="F1007" s="23" t="inlineStr">
        <is>
          <t>No individual professional decision recorded; Source assignment -- not individually reviewed</t>
        </is>
      </c>
      <c r="G1007" s="23" t="inlineStr">
        <is>
          <t>Not individually decided</t>
        </is>
      </c>
      <c r="H1007" s="23" t="inlineStr">
        <is>
          <t xml:space="preserve">RETAINED / ONE_TO_ONE; </t>
        </is>
      </c>
      <c r="I1007" s="23" t="inlineStr">
        <is>
          <t>Carried forward</t>
        </is>
      </c>
      <c r="J1007" s="14" t="inlineStr">
        <is>
          <t>08 CROSSWALK</t>
        </is>
      </c>
    </row>
    <row r="1008" ht="49" customHeight="1">
      <c r="A1008" s="23" t="inlineStr">
        <is>
          <t>R609-v2</t>
        </is>
      </c>
      <c r="B1008" s="23" t="inlineStr">
        <is>
          <t>Contractor Programme / SCH-04-069</t>
        </is>
      </c>
      <c r="C1008" s="23" t="inlineStr">
        <is>
          <t>WBS Code = 1.4.2</t>
        </is>
      </c>
      <c r="D1008" s="23" t="inlineStr">
        <is>
          <t>Proposed by Source assignment; target 1.4.2 Vehicles and Depot - Depot Buildings</t>
        </is>
      </c>
      <c r="E1008" s="23" t="inlineStr">
        <is>
          <t>None recorded</t>
        </is>
      </c>
      <c r="F1008" s="23" t="inlineStr">
        <is>
          <t>No individual professional decision recorded; Source assignment -- not individually reviewed</t>
        </is>
      </c>
      <c r="G1008" s="23" t="inlineStr">
        <is>
          <t>Not individually decided</t>
        </is>
      </c>
      <c r="H1008" s="23" t="inlineStr">
        <is>
          <t xml:space="preserve">RETAINED / ONE_TO_ONE; </t>
        </is>
      </c>
      <c r="I1008" s="23" t="inlineStr">
        <is>
          <t>Carried forward</t>
        </is>
      </c>
      <c r="J1008" s="14" t="inlineStr">
        <is>
          <t>08 CROSSWALK</t>
        </is>
      </c>
    </row>
    <row r="1009" ht="49" customHeight="1">
      <c r="A1009" s="23" t="inlineStr">
        <is>
          <t>R612-v2</t>
        </is>
      </c>
      <c r="B1009" s="23" t="inlineStr">
        <is>
          <t>Contractor Programme / SCH-04-072</t>
        </is>
      </c>
      <c r="C1009" s="23" t="inlineStr">
        <is>
          <t>WBS Code = 1.4.2</t>
        </is>
      </c>
      <c r="D1009" s="23" t="inlineStr">
        <is>
          <t>Proposed by Source assignment; target 1.4.2 Vehicles and Depot - Depot Buildings</t>
        </is>
      </c>
      <c r="E1009" s="23" t="inlineStr">
        <is>
          <t>None recorded</t>
        </is>
      </c>
      <c r="F1009" s="23" t="inlineStr">
        <is>
          <t>No individual professional decision recorded; Source assignment -- not individually reviewed</t>
        </is>
      </c>
      <c r="G1009" s="23" t="inlineStr">
        <is>
          <t>Not individually decided</t>
        </is>
      </c>
      <c r="H1009" s="23" t="inlineStr">
        <is>
          <t xml:space="preserve">RETAINED / ONE_TO_ONE; </t>
        </is>
      </c>
      <c r="I1009" s="23" t="inlineStr">
        <is>
          <t>Carried forward</t>
        </is>
      </c>
      <c r="J1009" s="14" t="inlineStr">
        <is>
          <t>08 CROSSWALK</t>
        </is>
      </c>
    </row>
    <row r="1010" ht="49" customHeight="1">
      <c r="A1010" s="23" t="inlineStr">
        <is>
          <t>R615-v2</t>
        </is>
      </c>
      <c r="B1010" s="23" t="inlineStr">
        <is>
          <t>Contractor Programme / SCH-04-075</t>
        </is>
      </c>
      <c r="C1010" s="23" t="inlineStr">
        <is>
          <t>WBS Code = 1.4.2</t>
        </is>
      </c>
      <c r="D1010" s="23" t="inlineStr">
        <is>
          <t>Proposed by Source assignment; target 1.4.2 Vehicles and Depot - Depot Buildings</t>
        </is>
      </c>
      <c r="E1010" s="23" t="inlineStr">
        <is>
          <t>None recorded</t>
        </is>
      </c>
      <c r="F1010" s="23" t="inlineStr">
        <is>
          <t>No individual professional decision recorded; Source assignment -- not individually reviewed</t>
        </is>
      </c>
      <c r="G1010" s="23" t="inlineStr">
        <is>
          <t>Not individually decided</t>
        </is>
      </c>
      <c r="H1010" s="23" t="inlineStr">
        <is>
          <t xml:space="preserve">RETAINED / ONE_TO_ONE; </t>
        </is>
      </c>
      <c r="I1010" s="23" t="inlineStr">
        <is>
          <t>Carried forward</t>
        </is>
      </c>
      <c r="J1010" s="14" t="inlineStr">
        <is>
          <t>08 CROSSWALK</t>
        </is>
      </c>
    </row>
    <row r="1011" ht="49" customHeight="1">
      <c r="A1011" s="23" t="inlineStr">
        <is>
          <t>R618-v2</t>
        </is>
      </c>
      <c r="B1011" s="23" t="inlineStr">
        <is>
          <t>Contractor Programme / SCH-04-078</t>
        </is>
      </c>
      <c r="C1011" s="23" t="inlineStr">
        <is>
          <t>WBS Code = 1.4.2</t>
        </is>
      </c>
      <c r="D1011" s="23" t="inlineStr">
        <is>
          <t>Proposed by Source assignment; target 1.4.2 Vehicles and Depot - Depot Buildings</t>
        </is>
      </c>
      <c r="E1011" s="23" t="inlineStr">
        <is>
          <t>None recorded</t>
        </is>
      </c>
      <c r="F1011" s="23" t="inlineStr">
        <is>
          <t>No individual professional decision recorded; Source assignment -- not individually reviewed</t>
        </is>
      </c>
      <c r="G1011" s="23" t="inlineStr">
        <is>
          <t>Not individually decided</t>
        </is>
      </c>
      <c r="H1011" s="23" t="inlineStr">
        <is>
          <t xml:space="preserve">RETAINED / ONE_TO_ONE; </t>
        </is>
      </c>
      <c r="I1011" s="23" t="inlineStr">
        <is>
          <t>Carried forward</t>
        </is>
      </c>
      <c r="J1011" s="14" t="inlineStr">
        <is>
          <t>08 CROSSWALK</t>
        </is>
      </c>
    </row>
    <row r="1012" ht="49" customHeight="1">
      <c r="A1012" s="23" t="inlineStr">
        <is>
          <t>R621-v2</t>
        </is>
      </c>
      <c r="B1012" s="23" t="inlineStr">
        <is>
          <t>Contractor Programme / SCH-04-081</t>
        </is>
      </c>
      <c r="C1012" s="23" t="inlineStr">
        <is>
          <t>WBS Code = 1.4.2</t>
        </is>
      </c>
      <c r="D1012" s="23" t="inlineStr">
        <is>
          <t>Proposed by Source assignment; target 1.4.2 Vehicles and Depot - Depot Buildings</t>
        </is>
      </c>
      <c r="E1012" s="23" t="inlineStr">
        <is>
          <t>None recorded</t>
        </is>
      </c>
      <c r="F1012" s="23" t="inlineStr">
        <is>
          <t>No individual professional decision recorded; Source assignment -- not individually reviewed</t>
        </is>
      </c>
      <c r="G1012" s="23" t="inlineStr">
        <is>
          <t>Not individually decided</t>
        </is>
      </c>
      <c r="H1012" s="23" t="inlineStr">
        <is>
          <t xml:space="preserve">RETAINED / ONE_TO_ONE; </t>
        </is>
      </c>
      <c r="I1012" s="23" t="inlineStr">
        <is>
          <t>Carried forward</t>
        </is>
      </c>
      <c r="J1012" s="14" t="inlineStr">
        <is>
          <t>08 CROSSWALK</t>
        </is>
      </c>
    </row>
    <row r="1013" ht="49" customHeight="1">
      <c r="A1013" s="23" t="inlineStr">
        <is>
          <t>R624-v2</t>
        </is>
      </c>
      <c r="B1013" s="23" t="inlineStr">
        <is>
          <t>Contractor Programme / SCH-04-084</t>
        </is>
      </c>
      <c r="C1013" s="23" t="inlineStr">
        <is>
          <t>WBS Code = 1.4.2</t>
        </is>
      </c>
      <c r="D1013" s="23" t="inlineStr">
        <is>
          <t>Proposed by Source assignment; target 1.4.2 Vehicles and Depot - Depot Buildings</t>
        </is>
      </c>
      <c r="E1013" s="23" t="inlineStr">
        <is>
          <t>None recorded</t>
        </is>
      </c>
      <c r="F1013" s="23" t="inlineStr">
        <is>
          <t>No individual professional decision recorded; Source assignment -- not individually reviewed</t>
        </is>
      </c>
      <c r="G1013" s="23" t="inlineStr">
        <is>
          <t>Not individually decided</t>
        </is>
      </c>
      <c r="H1013" s="23" t="inlineStr">
        <is>
          <t xml:space="preserve">RETAINED / ONE_TO_ONE; </t>
        </is>
      </c>
      <c r="I1013" s="23" t="inlineStr">
        <is>
          <t>Carried forward</t>
        </is>
      </c>
      <c r="J1013" s="14" t="inlineStr">
        <is>
          <t>08 CROSSWALK</t>
        </is>
      </c>
    </row>
    <row r="1014" ht="49" customHeight="1">
      <c r="A1014" s="23" t="inlineStr">
        <is>
          <t>R627-v2</t>
        </is>
      </c>
      <c r="B1014" s="23" t="inlineStr">
        <is>
          <t>Contractor Programme / SCH-04-087</t>
        </is>
      </c>
      <c r="C1014" s="23" t="inlineStr">
        <is>
          <t>WBS Code = 1.4.2</t>
        </is>
      </c>
      <c r="D1014" s="23" t="inlineStr">
        <is>
          <t>Proposed by Source assignment; target 1.4.2 Vehicles and Depot - Depot Buildings</t>
        </is>
      </c>
      <c r="E1014" s="23" t="inlineStr">
        <is>
          <t>None recorded</t>
        </is>
      </c>
      <c r="F1014" s="23" t="inlineStr">
        <is>
          <t>No individual professional decision recorded; Source assignment -- not individually reviewed</t>
        </is>
      </c>
      <c r="G1014" s="23" t="inlineStr">
        <is>
          <t>Not individually decided</t>
        </is>
      </c>
      <c r="H1014" s="23" t="inlineStr">
        <is>
          <t xml:space="preserve">RETAINED / ONE_TO_ONE; </t>
        </is>
      </c>
      <c r="I1014" s="23" t="inlineStr">
        <is>
          <t>Carried forward</t>
        </is>
      </c>
      <c r="J1014" s="14" t="inlineStr">
        <is>
          <t>08 CROSSWALK</t>
        </is>
      </c>
    </row>
    <row r="1015" ht="49" customHeight="1">
      <c r="A1015" s="23" t="inlineStr">
        <is>
          <t>R630-v2</t>
        </is>
      </c>
      <c r="B1015" s="23" t="inlineStr">
        <is>
          <t>Contractor Programme / SCH-04-090</t>
        </is>
      </c>
      <c r="C1015" s="23" t="inlineStr">
        <is>
          <t>WBS Code = 1.4.2</t>
        </is>
      </c>
      <c r="D1015" s="23" t="inlineStr">
        <is>
          <t>Proposed by Source assignment; target 1.4.2 Vehicles and Depot - Depot Buildings</t>
        </is>
      </c>
      <c r="E1015" s="23" t="inlineStr">
        <is>
          <t>None recorded</t>
        </is>
      </c>
      <c r="F1015" s="23" t="inlineStr">
        <is>
          <t>No individual professional decision recorded; Source assignment -- not individually reviewed</t>
        </is>
      </c>
      <c r="G1015" s="23" t="inlineStr">
        <is>
          <t>Not individually decided</t>
        </is>
      </c>
      <c r="H1015" s="23" t="inlineStr">
        <is>
          <t xml:space="preserve">RETAINED / ONE_TO_ONE; </t>
        </is>
      </c>
      <c r="I1015" s="23" t="inlineStr">
        <is>
          <t>Carried forward</t>
        </is>
      </c>
      <c r="J1015" s="14" t="inlineStr">
        <is>
          <t>08 CROSSWALK</t>
        </is>
      </c>
    </row>
    <row r="1016" ht="49" customHeight="1">
      <c r="A1016" s="23" t="inlineStr">
        <is>
          <t>R633-v2</t>
        </is>
      </c>
      <c r="B1016" s="23" t="inlineStr">
        <is>
          <t>Contractor Programme / SCH-04-093</t>
        </is>
      </c>
      <c r="C1016" s="23" t="inlineStr">
        <is>
          <t>WBS Code = 1.4.2</t>
        </is>
      </c>
      <c r="D1016" s="23" t="inlineStr">
        <is>
          <t>Proposed by Source assignment; target 1.4.2 Vehicles and Depot - Depot Buildings</t>
        </is>
      </c>
      <c r="E1016" s="23" t="inlineStr">
        <is>
          <t>None recorded</t>
        </is>
      </c>
      <c r="F1016" s="23" t="inlineStr">
        <is>
          <t>No individual professional decision recorded; Source assignment -- not individually reviewed</t>
        </is>
      </c>
      <c r="G1016" s="23" t="inlineStr">
        <is>
          <t>Not individually decided</t>
        </is>
      </c>
      <c r="H1016" s="23" t="inlineStr">
        <is>
          <t xml:space="preserve">RETAINED / ONE_TO_ONE; </t>
        </is>
      </c>
      <c r="I1016" s="23" t="inlineStr">
        <is>
          <t>Carried forward</t>
        </is>
      </c>
      <c r="J1016" s="14" t="inlineStr">
        <is>
          <t>08 CROSSWALK</t>
        </is>
      </c>
    </row>
    <row r="1017" ht="49" customHeight="1">
      <c r="A1017" s="23" t="inlineStr">
        <is>
          <t>R636-v2</t>
        </is>
      </c>
      <c r="B1017" s="23" t="inlineStr">
        <is>
          <t>Contractor Programme / SCH-04-096</t>
        </is>
      </c>
      <c r="C1017" s="23" t="inlineStr">
        <is>
          <t>WBS Code = 1.4.2</t>
        </is>
      </c>
      <c r="D1017" s="23" t="inlineStr">
        <is>
          <t>Proposed by Source assignment; target 1.4.2 Vehicles and Depot - Depot Buildings</t>
        </is>
      </c>
      <c r="E1017" s="23" t="inlineStr">
        <is>
          <t>None recorded</t>
        </is>
      </c>
      <c r="F1017" s="23" t="inlineStr">
        <is>
          <t>No individual professional decision recorded; Source assignment -- not individually reviewed</t>
        </is>
      </c>
      <c r="G1017" s="23" t="inlineStr">
        <is>
          <t>Not individually decided</t>
        </is>
      </c>
      <c r="H1017" s="23" t="inlineStr">
        <is>
          <t xml:space="preserve">RETAINED / ONE_TO_ONE; </t>
        </is>
      </c>
      <c r="I1017" s="23" t="inlineStr">
        <is>
          <t>Carried forward</t>
        </is>
      </c>
      <c r="J1017" s="14" t="inlineStr">
        <is>
          <t>08 CROSSWALK</t>
        </is>
      </c>
    </row>
    <row r="1018" ht="49" customHeight="1">
      <c r="A1018" s="23" t="inlineStr">
        <is>
          <t>R639-v2</t>
        </is>
      </c>
      <c r="B1018" s="23" t="inlineStr">
        <is>
          <t>Contractor Programme / SCH-04-099</t>
        </is>
      </c>
      <c r="C1018" s="23" t="inlineStr">
        <is>
          <t>WBS Code = 1.4.2</t>
        </is>
      </c>
      <c r="D1018" s="23" t="inlineStr">
        <is>
          <t>Proposed by Source assignment; target 1.4.2 Vehicles and Depot - Depot Buildings</t>
        </is>
      </c>
      <c r="E1018" s="23" t="inlineStr">
        <is>
          <t>None recorded</t>
        </is>
      </c>
      <c r="F1018" s="23" t="inlineStr">
        <is>
          <t>No individual professional decision recorded; Source assignment -- not individually reviewed</t>
        </is>
      </c>
      <c r="G1018" s="23" t="inlineStr">
        <is>
          <t>Not individually decided</t>
        </is>
      </c>
      <c r="H1018" s="23" t="inlineStr">
        <is>
          <t xml:space="preserve">RETAINED / ONE_TO_ONE; </t>
        </is>
      </c>
      <c r="I1018" s="23" t="inlineStr">
        <is>
          <t>Carried forward</t>
        </is>
      </c>
      <c r="J1018" s="14" t="inlineStr">
        <is>
          <t>08 CROSSWALK</t>
        </is>
      </c>
    </row>
    <row r="1019" ht="49" customHeight="1">
      <c r="A1019" s="23" t="inlineStr">
        <is>
          <t>R642-v2</t>
        </is>
      </c>
      <c r="B1019" s="23" t="inlineStr">
        <is>
          <t>Contractor Programme / SCH-04-102</t>
        </is>
      </c>
      <c r="C1019" s="23" t="inlineStr">
        <is>
          <t>WBS Code = 1.4.2</t>
        </is>
      </c>
      <c r="D1019" s="23" t="inlineStr">
        <is>
          <t>Proposed by Source assignment; target 1.4.2 Vehicles and Depot - Depot Buildings</t>
        </is>
      </c>
      <c r="E1019" s="23" t="inlineStr">
        <is>
          <t>None recorded</t>
        </is>
      </c>
      <c r="F1019" s="23" t="inlineStr">
        <is>
          <t>No individual professional decision recorded; Source assignment -- not individually reviewed</t>
        </is>
      </c>
      <c r="G1019" s="23" t="inlineStr">
        <is>
          <t>Not individually decided</t>
        </is>
      </c>
      <c r="H1019" s="23" t="inlineStr">
        <is>
          <t xml:space="preserve">RETAINED / ONE_TO_ONE; </t>
        </is>
      </c>
      <c r="I1019" s="23" t="inlineStr">
        <is>
          <t>Carried forward</t>
        </is>
      </c>
      <c r="J1019" s="14" t="inlineStr">
        <is>
          <t>08 CROSSWALK</t>
        </is>
      </c>
    </row>
    <row r="1020" ht="49" customHeight="1">
      <c r="A1020" s="23" t="inlineStr">
        <is>
          <t>R645-v2</t>
        </is>
      </c>
      <c r="B1020" s="23" t="inlineStr">
        <is>
          <t>Contractor Programme / SCH-04-105</t>
        </is>
      </c>
      <c r="C1020" s="23" t="inlineStr">
        <is>
          <t>WBS Code = 1.4.2</t>
        </is>
      </c>
      <c r="D1020" s="23" t="inlineStr">
        <is>
          <t>Proposed by Source assignment; target 1.4.2 Vehicles and Depot - Depot Buildings</t>
        </is>
      </c>
      <c r="E1020" s="23" t="inlineStr">
        <is>
          <t>None recorded</t>
        </is>
      </c>
      <c r="F1020" s="23" t="inlineStr">
        <is>
          <t>No individual professional decision recorded; Source assignment -- not individually reviewed</t>
        </is>
      </c>
      <c r="G1020" s="23" t="inlineStr">
        <is>
          <t>Not individually decided</t>
        </is>
      </c>
      <c r="H1020" s="23" t="inlineStr">
        <is>
          <t xml:space="preserve">RETAINED / ONE_TO_ONE; </t>
        </is>
      </c>
      <c r="I1020" s="23" t="inlineStr">
        <is>
          <t>Carried forward</t>
        </is>
      </c>
      <c r="J1020" s="14" t="inlineStr">
        <is>
          <t>08 CROSSWALK</t>
        </is>
      </c>
    </row>
    <row r="1021" ht="49" customHeight="1">
      <c r="A1021" s="23" t="inlineStr">
        <is>
          <t>R648-v2</t>
        </is>
      </c>
      <c r="B1021" s="23" t="inlineStr">
        <is>
          <t>Contractor Programme / SCH-04-108</t>
        </is>
      </c>
      <c r="C1021" s="23" t="inlineStr">
        <is>
          <t>WBS Code = 1.4.2</t>
        </is>
      </c>
      <c r="D1021" s="23" t="inlineStr">
        <is>
          <t>Proposed by Source assignment; target 1.4.2 Vehicles and Depot - Depot Buildings</t>
        </is>
      </c>
      <c r="E1021" s="23" t="inlineStr">
        <is>
          <t>None recorded</t>
        </is>
      </c>
      <c r="F1021" s="23" t="inlineStr">
        <is>
          <t>No individual professional decision recorded; Source assignment -- not individually reviewed</t>
        </is>
      </c>
      <c r="G1021" s="23" t="inlineStr">
        <is>
          <t>Not individually decided</t>
        </is>
      </c>
      <c r="H1021" s="23" t="inlineStr">
        <is>
          <t xml:space="preserve">RETAINED / ONE_TO_ONE; </t>
        </is>
      </c>
      <c r="I1021" s="23" t="inlineStr">
        <is>
          <t>Carried forward</t>
        </is>
      </c>
      <c r="J1021" s="14" t="inlineStr">
        <is>
          <t>08 CROSSWALK</t>
        </is>
      </c>
    </row>
    <row r="1022" ht="49" customHeight="1">
      <c r="A1022" s="23" t="inlineStr">
        <is>
          <t>R651-v2</t>
        </is>
      </c>
      <c r="B1022" s="23" t="inlineStr">
        <is>
          <t>Contractor Programme / SCH-04-111</t>
        </is>
      </c>
      <c r="C1022" s="23" t="inlineStr">
        <is>
          <t>WBS Code = 1.4.2</t>
        </is>
      </c>
      <c r="D1022" s="23" t="inlineStr">
        <is>
          <t>Proposed by Source assignment; target 1.4.2 Vehicles and Depot - Depot Buildings</t>
        </is>
      </c>
      <c r="E1022" s="23" t="inlineStr">
        <is>
          <t>None recorded</t>
        </is>
      </c>
      <c r="F1022" s="23" t="inlineStr">
        <is>
          <t>No individual professional decision recorded; Source assignment -- not individually reviewed</t>
        </is>
      </c>
      <c r="G1022" s="23" t="inlineStr">
        <is>
          <t>Not individually decided</t>
        </is>
      </c>
      <c r="H1022" s="23" t="inlineStr">
        <is>
          <t xml:space="preserve">RETAINED / ONE_TO_ONE; </t>
        </is>
      </c>
      <c r="I1022" s="23" t="inlineStr">
        <is>
          <t>Carried forward</t>
        </is>
      </c>
      <c r="J1022" s="14" t="inlineStr">
        <is>
          <t>08 CROSSWALK</t>
        </is>
      </c>
    </row>
    <row r="1023" ht="49" customHeight="1">
      <c r="A1023" s="23" t="inlineStr">
        <is>
          <t>R654-v2</t>
        </is>
      </c>
      <c r="B1023" s="23" t="inlineStr">
        <is>
          <t>Contractor Programme / SCH-04-114</t>
        </is>
      </c>
      <c r="C1023" s="23" t="inlineStr">
        <is>
          <t>WBS Code = 1.4.2</t>
        </is>
      </c>
      <c r="D1023" s="23" t="inlineStr">
        <is>
          <t>Proposed by Source assignment; target 1.4.2 Vehicles and Depot - Depot Buildings</t>
        </is>
      </c>
      <c r="E1023" s="23" t="inlineStr">
        <is>
          <t>None recorded</t>
        </is>
      </c>
      <c r="F1023" s="23" t="inlineStr">
        <is>
          <t>No individual professional decision recorded; Source assignment -- not individually reviewed</t>
        </is>
      </c>
      <c r="G1023" s="23" t="inlineStr">
        <is>
          <t>Not individually decided</t>
        </is>
      </c>
      <c r="H1023" s="23" t="inlineStr">
        <is>
          <t xml:space="preserve">RETAINED / ONE_TO_ONE; </t>
        </is>
      </c>
      <c r="I1023" s="23" t="inlineStr">
        <is>
          <t>Carried forward</t>
        </is>
      </c>
      <c r="J1023" s="14" t="inlineStr">
        <is>
          <t>08 CROSSWALK</t>
        </is>
      </c>
    </row>
    <row r="1024" ht="49" customHeight="1">
      <c r="A1024" s="23" t="inlineStr">
        <is>
          <t>R657-v2</t>
        </is>
      </c>
      <c r="B1024" s="23" t="inlineStr">
        <is>
          <t>Contractor Programme / SCH-04-117</t>
        </is>
      </c>
      <c r="C1024" s="23" t="inlineStr">
        <is>
          <t>WBS Code = 1.4.2</t>
        </is>
      </c>
      <c r="D1024" s="23" t="inlineStr">
        <is>
          <t>Proposed by Source assignment; target 1.4.2 Vehicles and Depot - Depot Buildings</t>
        </is>
      </c>
      <c r="E1024" s="23" t="inlineStr">
        <is>
          <t>None recorded</t>
        </is>
      </c>
      <c r="F1024" s="23" t="inlineStr">
        <is>
          <t>No individual professional decision recorded; Source assignment -- not individually reviewed</t>
        </is>
      </c>
      <c r="G1024" s="23" t="inlineStr">
        <is>
          <t>Not individually decided</t>
        </is>
      </c>
      <c r="H1024" s="23" t="inlineStr">
        <is>
          <t xml:space="preserve">RETAINED / ONE_TO_ONE; </t>
        </is>
      </c>
      <c r="I1024" s="23" t="inlineStr">
        <is>
          <t>Carried forward</t>
        </is>
      </c>
      <c r="J1024" s="14" t="inlineStr">
        <is>
          <t>08 CROSSWALK</t>
        </is>
      </c>
    </row>
    <row r="1025" ht="49" customHeight="1">
      <c r="A1025" s="23" t="inlineStr">
        <is>
          <t>R660-v2</t>
        </is>
      </c>
      <c r="B1025" s="23" t="inlineStr">
        <is>
          <t>Contractor Programme / SCH-04-120</t>
        </is>
      </c>
      <c r="C1025" s="23" t="inlineStr">
        <is>
          <t>WBS Code = 1.4.2</t>
        </is>
      </c>
      <c r="D1025" s="23" t="inlineStr">
        <is>
          <t>Proposed by Source assignment; target 1.4.2 Vehicles and Depot - Depot Buildings</t>
        </is>
      </c>
      <c r="E1025" s="23" t="inlineStr">
        <is>
          <t>None recorded</t>
        </is>
      </c>
      <c r="F1025" s="23" t="inlineStr">
        <is>
          <t>No individual professional decision recorded; Source assignment -- not individually reviewed</t>
        </is>
      </c>
      <c r="G1025" s="23" t="inlineStr">
        <is>
          <t>Not individually decided</t>
        </is>
      </c>
      <c r="H1025" s="23" t="inlineStr">
        <is>
          <t xml:space="preserve">RETAINED / ONE_TO_ONE; </t>
        </is>
      </c>
      <c r="I1025" s="23" t="inlineStr">
        <is>
          <t>Carried forward</t>
        </is>
      </c>
      <c r="J1025" s="14" t="inlineStr">
        <is>
          <t>08 CROSSWALK</t>
        </is>
      </c>
    </row>
    <row r="1026" ht="49" customHeight="1">
      <c r="A1026" s="23" t="inlineStr">
        <is>
          <t>R663-v2</t>
        </is>
      </c>
      <c r="B1026" s="23" t="inlineStr">
        <is>
          <t>Contractor Programme / SCH-04-123</t>
        </is>
      </c>
      <c r="C1026" s="23" t="inlineStr">
        <is>
          <t>WBS Code = 1.4.2</t>
        </is>
      </c>
      <c r="D1026" s="23" t="inlineStr">
        <is>
          <t>Proposed by Source assignment; target 1.4.2 Vehicles and Depot - Depot Buildings</t>
        </is>
      </c>
      <c r="E1026" s="23" t="inlineStr">
        <is>
          <t>None recorded</t>
        </is>
      </c>
      <c r="F1026" s="23" t="inlineStr">
        <is>
          <t>No individual professional decision recorded; Source assignment -- not individually reviewed</t>
        </is>
      </c>
      <c r="G1026" s="23" t="inlineStr">
        <is>
          <t>Not individually decided</t>
        </is>
      </c>
      <c r="H1026" s="23" t="inlineStr">
        <is>
          <t xml:space="preserve">RETAINED / ONE_TO_ONE; </t>
        </is>
      </c>
      <c r="I1026" s="23" t="inlineStr">
        <is>
          <t>Carried forward</t>
        </is>
      </c>
      <c r="J1026" s="14" t="inlineStr">
        <is>
          <t>08 CROSSWALK</t>
        </is>
      </c>
    </row>
    <row r="1027" ht="49" customHeight="1">
      <c r="A1027" s="23" t="inlineStr">
        <is>
          <t>R666-v2</t>
        </is>
      </c>
      <c r="B1027" s="23" t="inlineStr">
        <is>
          <t>Contractor Programme / SCH-04-126</t>
        </is>
      </c>
      <c r="C1027" s="23" t="inlineStr">
        <is>
          <t>WBS Code = 1.4.2</t>
        </is>
      </c>
      <c r="D1027" s="23" t="inlineStr">
        <is>
          <t>Proposed by Source assignment; target 1.4.2 Vehicles and Depot - Depot Buildings</t>
        </is>
      </c>
      <c r="E1027" s="23" t="inlineStr">
        <is>
          <t>None recorded</t>
        </is>
      </c>
      <c r="F1027" s="23" t="inlineStr">
        <is>
          <t>No individual professional decision recorded; Source assignment -- not individually reviewed</t>
        </is>
      </c>
      <c r="G1027" s="23" t="inlineStr">
        <is>
          <t>Not individually decided</t>
        </is>
      </c>
      <c r="H1027" s="23" t="inlineStr">
        <is>
          <t xml:space="preserve">RETAINED / ONE_TO_ONE; </t>
        </is>
      </c>
      <c r="I1027" s="23" t="inlineStr">
        <is>
          <t>Carried forward</t>
        </is>
      </c>
      <c r="J1027" s="14" t="inlineStr">
        <is>
          <t>08 CROSSWALK</t>
        </is>
      </c>
    </row>
    <row r="1028" ht="49" customHeight="1">
      <c r="A1028" s="23" t="inlineStr">
        <is>
          <t>R669-v2</t>
        </is>
      </c>
      <c r="B1028" s="23" t="inlineStr">
        <is>
          <t>Contractor Programme / SCH-04-129</t>
        </is>
      </c>
      <c r="C1028" s="23" t="inlineStr">
        <is>
          <t>WBS Code = 1.4.2</t>
        </is>
      </c>
      <c r="D1028" s="23" t="inlineStr">
        <is>
          <t>Proposed by Source assignment; target 1.4.2 Vehicles and Depot - Depot Buildings</t>
        </is>
      </c>
      <c r="E1028" s="23" t="inlineStr">
        <is>
          <t>None recorded</t>
        </is>
      </c>
      <c r="F1028" s="23" t="inlineStr">
        <is>
          <t>No individual professional decision recorded; Source assignment -- not individually reviewed</t>
        </is>
      </c>
      <c r="G1028" s="23" t="inlineStr">
        <is>
          <t>Not individually decided</t>
        </is>
      </c>
      <c r="H1028" s="23" t="inlineStr">
        <is>
          <t xml:space="preserve">RETAINED / ONE_TO_ONE; </t>
        </is>
      </c>
      <c r="I1028" s="23" t="inlineStr">
        <is>
          <t>Carried forward</t>
        </is>
      </c>
      <c r="J1028" s="14" t="inlineStr">
        <is>
          <t>08 CROSSWALK</t>
        </is>
      </c>
    </row>
    <row r="1029" ht="49" customHeight="1">
      <c r="A1029" s="23" t="inlineStr">
        <is>
          <t>R672-v2</t>
        </is>
      </c>
      <c r="B1029" s="23" t="inlineStr">
        <is>
          <t>Contractor Programme / SCH-04-132</t>
        </is>
      </c>
      <c r="C1029" s="23" t="inlineStr">
        <is>
          <t>WBS Code = 1.4.2</t>
        </is>
      </c>
      <c r="D1029" s="23" t="inlineStr">
        <is>
          <t>Proposed by Source assignment; target 1.4.2 Vehicles and Depot - Depot Buildings</t>
        </is>
      </c>
      <c r="E1029" s="23" t="inlineStr">
        <is>
          <t>None recorded</t>
        </is>
      </c>
      <c r="F1029" s="23" t="inlineStr">
        <is>
          <t>No individual professional decision recorded; Source assignment -- not individually reviewed</t>
        </is>
      </c>
      <c r="G1029" s="23" t="inlineStr">
        <is>
          <t>Not individually decided</t>
        </is>
      </c>
      <c r="H1029" s="23" t="inlineStr">
        <is>
          <t xml:space="preserve">RETAINED / ONE_TO_ONE; </t>
        </is>
      </c>
      <c r="I1029" s="23" t="inlineStr">
        <is>
          <t>Carried forward</t>
        </is>
      </c>
      <c r="J1029" s="14" t="inlineStr">
        <is>
          <t>08 CROSSWALK</t>
        </is>
      </c>
    </row>
    <row r="1030" ht="49" customHeight="1">
      <c r="A1030" s="23" t="inlineStr">
        <is>
          <t>R675-v2</t>
        </is>
      </c>
      <c r="B1030" s="23" t="inlineStr">
        <is>
          <t>Contractor Programme / SCH-04-135</t>
        </is>
      </c>
      <c r="C1030" s="23" t="inlineStr">
        <is>
          <t>WBS Code = 1.4.2</t>
        </is>
      </c>
      <c r="D1030" s="23" t="inlineStr">
        <is>
          <t>Proposed by Source assignment; target 1.4.2 Vehicles and Depot - Depot Buildings</t>
        </is>
      </c>
      <c r="E1030" s="23" t="inlineStr">
        <is>
          <t>None recorded</t>
        </is>
      </c>
      <c r="F1030" s="23" t="inlineStr">
        <is>
          <t>No individual professional decision recorded; Source assignment -- not individually reviewed</t>
        </is>
      </c>
      <c r="G1030" s="23" t="inlineStr">
        <is>
          <t>Not individually decided</t>
        </is>
      </c>
      <c r="H1030" s="23" t="inlineStr">
        <is>
          <t xml:space="preserve">RETAINED / ONE_TO_ONE; </t>
        </is>
      </c>
      <c r="I1030" s="23" t="inlineStr">
        <is>
          <t>Carried forward</t>
        </is>
      </c>
      <c r="J1030" s="14" t="inlineStr">
        <is>
          <t>08 CROSSWALK</t>
        </is>
      </c>
    </row>
    <row r="1031" ht="49" customHeight="1">
      <c r="A1031" s="23" t="inlineStr">
        <is>
          <t>R678-v2</t>
        </is>
      </c>
      <c r="B1031" s="23" t="inlineStr">
        <is>
          <t>Contractor Programme / SCH-04-138</t>
        </is>
      </c>
      <c r="C1031" s="23" t="inlineStr">
        <is>
          <t>WBS Code = 1.4.2</t>
        </is>
      </c>
      <c r="D1031" s="23" t="inlineStr">
        <is>
          <t>Proposed by Source assignment; target 1.4.2 Vehicles and Depot - Depot Buildings</t>
        </is>
      </c>
      <c r="E1031" s="23" t="inlineStr">
        <is>
          <t>None recorded</t>
        </is>
      </c>
      <c r="F1031" s="23" t="inlineStr">
        <is>
          <t>No individual professional decision recorded; Source assignment -- not individually reviewed</t>
        </is>
      </c>
      <c r="G1031" s="23" t="inlineStr">
        <is>
          <t>Not individually decided</t>
        </is>
      </c>
      <c r="H1031" s="23" t="inlineStr">
        <is>
          <t xml:space="preserve">RETAINED / ONE_TO_ONE; </t>
        </is>
      </c>
      <c r="I1031" s="23" t="inlineStr">
        <is>
          <t>Carried forward</t>
        </is>
      </c>
      <c r="J1031" s="14" t="inlineStr">
        <is>
          <t>08 CROSSWALK</t>
        </is>
      </c>
    </row>
    <row r="1032" ht="49" customHeight="1">
      <c r="A1032" s="23" t="inlineStr">
        <is>
          <t>R681-v2</t>
        </is>
      </c>
      <c r="B1032" s="23" t="inlineStr">
        <is>
          <t>Contractor Programme / SCH-04-141</t>
        </is>
      </c>
      <c r="C1032" s="23" t="inlineStr">
        <is>
          <t>WBS Code = 1.4.2</t>
        </is>
      </c>
      <c r="D1032" s="23" t="inlineStr">
        <is>
          <t>Proposed by Source assignment; target 1.4.2 Vehicles and Depot - Depot Buildings</t>
        </is>
      </c>
      <c r="E1032" s="23" t="inlineStr">
        <is>
          <t>None recorded</t>
        </is>
      </c>
      <c r="F1032" s="23" t="inlineStr">
        <is>
          <t>No individual professional decision recorded; Source assignment -- not individually reviewed</t>
        </is>
      </c>
      <c r="G1032" s="23" t="inlineStr">
        <is>
          <t>Not individually decided</t>
        </is>
      </c>
      <c r="H1032" s="23" t="inlineStr">
        <is>
          <t xml:space="preserve">RETAINED / ONE_TO_ONE; </t>
        </is>
      </c>
      <c r="I1032" s="23" t="inlineStr">
        <is>
          <t>Carried forward</t>
        </is>
      </c>
      <c r="J1032" s="14" t="inlineStr">
        <is>
          <t>08 CROSSWALK</t>
        </is>
      </c>
    </row>
    <row r="1033" ht="49" customHeight="1">
      <c r="A1033" s="23" t="inlineStr">
        <is>
          <t>R684-v2</t>
        </is>
      </c>
      <c r="B1033" s="23" t="inlineStr">
        <is>
          <t>Contractor Programme / SCH-04-144</t>
        </is>
      </c>
      <c r="C1033" s="23" t="inlineStr">
        <is>
          <t>WBS Code = 1.4.2</t>
        </is>
      </c>
      <c r="D1033" s="23" t="inlineStr">
        <is>
          <t>Proposed by Source assignment; target 1.4.2 Vehicles and Depot - Depot Buildings</t>
        </is>
      </c>
      <c r="E1033" s="23" t="inlineStr">
        <is>
          <t>None recorded</t>
        </is>
      </c>
      <c r="F1033" s="23" t="inlineStr">
        <is>
          <t>No individual professional decision recorded; Source assignment -- not individually reviewed</t>
        </is>
      </c>
      <c r="G1033" s="23" t="inlineStr">
        <is>
          <t>Not individually decided</t>
        </is>
      </c>
      <c r="H1033" s="23" t="inlineStr">
        <is>
          <t xml:space="preserve">RETAINED / ONE_TO_ONE; </t>
        </is>
      </c>
      <c r="I1033" s="23" t="inlineStr">
        <is>
          <t>Carried forward</t>
        </is>
      </c>
      <c r="J1033" s="14" t="inlineStr">
        <is>
          <t>08 CROSSWALK</t>
        </is>
      </c>
    </row>
    <row r="1034" ht="49" customHeight="1">
      <c r="A1034" s="23" t="inlineStr">
        <is>
          <t>R687-v2</t>
        </is>
      </c>
      <c r="B1034" s="23" t="inlineStr">
        <is>
          <t>Contractor Programme / SCH-04-147</t>
        </is>
      </c>
      <c r="C1034" s="23" t="inlineStr">
        <is>
          <t>WBS Code = 1.4.2</t>
        </is>
      </c>
      <c r="D1034" s="23" t="inlineStr">
        <is>
          <t>Proposed by Source assignment; target 1.4.2 Vehicles and Depot - Depot Buildings</t>
        </is>
      </c>
      <c r="E1034" s="23" t="inlineStr">
        <is>
          <t>None recorded</t>
        </is>
      </c>
      <c r="F1034" s="23" t="inlineStr">
        <is>
          <t>No individual professional decision recorded; Source assignment -- not individually reviewed</t>
        </is>
      </c>
      <c r="G1034" s="23" t="inlineStr">
        <is>
          <t>Not individually decided</t>
        </is>
      </c>
      <c r="H1034" s="23" t="inlineStr">
        <is>
          <t xml:space="preserve">RETAINED / ONE_TO_ONE; </t>
        </is>
      </c>
      <c r="I1034" s="23" t="inlineStr">
        <is>
          <t>Carried forward</t>
        </is>
      </c>
      <c r="J1034" s="14" t="inlineStr">
        <is>
          <t>08 CROSSWALK</t>
        </is>
      </c>
    </row>
    <row r="1035" ht="49" customHeight="1">
      <c r="A1035" s="23" t="inlineStr">
        <is>
          <t>R690-v2</t>
        </is>
      </c>
      <c r="B1035" s="23" t="inlineStr">
        <is>
          <t>Contractor Programme / SCH-04-150</t>
        </is>
      </c>
      <c r="C1035" s="23" t="inlineStr">
        <is>
          <t>WBS Code = 1.4.2</t>
        </is>
      </c>
      <c r="D1035" s="23" t="inlineStr">
        <is>
          <t>Proposed by Source assignment; target 1.4.2 Vehicles and Depot - Depot Buildings</t>
        </is>
      </c>
      <c r="E1035" s="23" t="inlineStr">
        <is>
          <t>None recorded</t>
        </is>
      </c>
      <c r="F1035" s="23" t="inlineStr">
        <is>
          <t>No individual professional decision recorded; Source assignment -- not individually reviewed</t>
        </is>
      </c>
      <c r="G1035" s="23" t="inlineStr">
        <is>
          <t>Not individually decided</t>
        </is>
      </c>
      <c r="H1035" s="23" t="inlineStr">
        <is>
          <t xml:space="preserve">RETAINED / ONE_TO_ONE; </t>
        </is>
      </c>
      <c r="I1035" s="23" t="inlineStr">
        <is>
          <t>Carried forward</t>
        </is>
      </c>
      <c r="J1035" s="14" t="inlineStr">
        <is>
          <t>08 CROSSWALK</t>
        </is>
      </c>
    </row>
    <row r="1036" ht="49" customHeight="1">
      <c r="A1036" s="23" t="inlineStr">
        <is>
          <t>R693-v2</t>
        </is>
      </c>
      <c r="B1036" s="23" t="inlineStr">
        <is>
          <t>Contractor Programme / SCH-04-153</t>
        </is>
      </c>
      <c r="C1036" s="23" t="inlineStr">
        <is>
          <t>WBS Code = 1.4.2</t>
        </is>
      </c>
      <c r="D1036" s="23" t="inlineStr">
        <is>
          <t>Proposed by Source assignment; target 1.4.2 Vehicles and Depot - Depot Buildings</t>
        </is>
      </c>
      <c r="E1036" s="23" t="inlineStr">
        <is>
          <t>None recorded</t>
        </is>
      </c>
      <c r="F1036" s="23" t="inlineStr">
        <is>
          <t>No individual professional decision recorded; Source assignment -- not individually reviewed</t>
        </is>
      </c>
      <c r="G1036" s="23" t="inlineStr">
        <is>
          <t>Not individually decided</t>
        </is>
      </c>
      <c r="H1036" s="23" t="inlineStr">
        <is>
          <t xml:space="preserve">RETAINED / ONE_TO_ONE; </t>
        </is>
      </c>
      <c r="I1036" s="23" t="inlineStr">
        <is>
          <t>Carried forward</t>
        </is>
      </c>
      <c r="J1036" s="14" t="inlineStr">
        <is>
          <t>08 CROSSWALK</t>
        </is>
      </c>
    </row>
    <row r="1037" ht="49" customHeight="1">
      <c r="A1037" s="23" t="inlineStr">
        <is>
          <t>R696-v2</t>
        </is>
      </c>
      <c r="B1037" s="23" t="inlineStr">
        <is>
          <t>Contractor Programme / SCH-04-156</t>
        </is>
      </c>
      <c r="C1037" s="23" t="inlineStr">
        <is>
          <t>WBS Code = 1.4.2</t>
        </is>
      </c>
      <c r="D1037" s="23" t="inlineStr">
        <is>
          <t>Proposed by Source assignment; target 1.4.2 Vehicles and Depot - Depot Buildings</t>
        </is>
      </c>
      <c r="E1037" s="23" t="inlineStr">
        <is>
          <t>None recorded</t>
        </is>
      </c>
      <c r="F1037" s="23" t="inlineStr">
        <is>
          <t>No individual professional decision recorded; Source assignment -- not individually reviewed</t>
        </is>
      </c>
      <c r="G1037" s="23" t="inlineStr">
        <is>
          <t>Not individually decided</t>
        </is>
      </c>
      <c r="H1037" s="23" t="inlineStr">
        <is>
          <t xml:space="preserve">RETAINED / ONE_TO_ONE; </t>
        </is>
      </c>
      <c r="I1037" s="23" t="inlineStr">
        <is>
          <t>Carried forward</t>
        </is>
      </c>
      <c r="J1037" s="14" t="inlineStr">
        <is>
          <t>08 CROSSWALK</t>
        </is>
      </c>
    </row>
    <row r="1038" ht="49" customHeight="1">
      <c r="A1038" s="23" t="inlineStr">
        <is>
          <t>R699-v2</t>
        </is>
      </c>
      <c r="B1038" s="23" t="inlineStr">
        <is>
          <t>Contractor Programme / SCH-04-159</t>
        </is>
      </c>
      <c r="C1038" s="23" t="inlineStr">
        <is>
          <t>WBS Code = 1.4.2</t>
        </is>
      </c>
      <c r="D1038" s="23" t="inlineStr">
        <is>
          <t>Proposed by Source assignment; target 1.4.2 Vehicles and Depot - Depot Buildings</t>
        </is>
      </c>
      <c r="E1038" s="23" t="inlineStr">
        <is>
          <t>None recorded</t>
        </is>
      </c>
      <c r="F1038" s="23" t="inlineStr">
        <is>
          <t>No individual professional decision recorded; Source assignment -- not individually reviewed</t>
        </is>
      </c>
      <c r="G1038" s="23" t="inlineStr">
        <is>
          <t>Not individually decided</t>
        </is>
      </c>
      <c r="H1038" s="23" t="inlineStr">
        <is>
          <t xml:space="preserve">RETAINED / ONE_TO_ONE; </t>
        </is>
      </c>
      <c r="I1038" s="23" t="inlineStr">
        <is>
          <t>Carried forward</t>
        </is>
      </c>
      <c r="J1038" s="14" t="inlineStr">
        <is>
          <t>08 CROSSWALK</t>
        </is>
      </c>
    </row>
    <row r="1039" ht="49" customHeight="1">
      <c r="A1039" s="23" t="inlineStr">
        <is>
          <t>R702-v2</t>
        </is>
      </c>
      <c r="B1039" s="23" t="inlineStr">
        <is>
          <t>Contractor Programme / SCH-04-162</t>
        </is>
      </c>
      <c r="C1039" s="23" t="inlineStr">
        <is>
          <t>WBS Code = 1.4.2</t>
        </is>
      </c>
      <c r="D1039" s="23" t="inlineStr">
        <is>
          <t>Proposed by Source assignment; target 1.4.2 Vehicles and Depot - Depot Buildings</t>
        </is>
      </c>
      <c r="E1039" s="23" t="inlineStr">
        <is>
          <t>None recorded</t>
        </is>
      </c>
      <c r="F1039" s="23" t="inlineStr">
        <is>
          <t>No individual professional decision recorded; Source assignment -- not individually reviewed</t>
        </is>
      </c>
      <c r="G1039" s="23" t="inlineStr">
        <is>
          <t>Not individually decided</t>
        </is>
      </c>
      <c r="H1039" s="23" t="inlineStr">
        <is>
          <t xml:space="preserve">RETAINED / ONE_TO_ONE; </t>
        </is>
      </c>
      <c r="I1039" s="23" t="inlineStr">
        <is>
          <t>Carried forward</t>
        </is>
      </c>
      <c r="J1039" s="14" t="inlineStr">
        <is>
          <t>08 CROSSWALK</t>
        </is>
      </c>
    </row>
    <row r="1040" ht="49" customHeight="1">
      <c r="A1040" s="23" t="inlineStr">
        <is>
          <t>R705-v2</t>
        </is>
      </c>
      <c r="B1040" s="23" t="inlineStr">
        <is>
          <t>Contractor Programme / SCH-04-165</t>
        </is>
      </c>
      <c r="C1040" s="23" t="inlineStr">
        <is>
          <t>WBS Code = 1.4.2</t>
        </is>
      </c>
      <c r="D1040" s="23" t="inlineStr">
        <is>
          <t>Proposed by Source assignment; target 1.4.2 Vehicles and Depot - Depot Buildings</t>
        </is>
      </c>
      <c r="E1040" s="23" t="inlineStr">
        <is>
          <t>None recorded</t>
        </is>
      </c>
      <c r="F1040" s="23" t="inlineStr">
        <is>
          <t>No individual professional decision recorded; Source assignment -- not individually reviewed</t>
        </is>
      </c>
      <c r="G1040" s="23" t="inlineStr">
        <is>
          <t>Not individually decided</t>
        </is>
      </c>
      <c r="H1040" s="23" t="inlineStr">
        <is>
          <t xml:space="preserve">RETAINED / ONE_TO_ONE; </t>
        </is>
      </c>
      <c r="I1040" s="23" t="inlineStr">
        <is>
          <t>Carried forward</t>
        </is>
      </c>
      <c r="J1040" s="14" t="inlineStr">
        <is>
          <t>08 CROSSWALK</t>
        </is>
      </c>
    </row>
    <row r="1041" ht="49" customHeight="1">
      <c r="A1041" s="23" t="inlineStr">
        <is>
          <t>R708-v2</t>
        </is>
      </c>
      <c r="B1041" s="23" t="inlineStr">
        <is>
          <t>Contractor Programme / SCH-04-168</t>
        </is>
      </c>
      <c r="C1041" s="23" t="inlineStr">
        <is>
          <t>WBS Code = 1.4.2</t>
        </is>
      </c>
      <c r="D1041" s="23" t="inlineStr">
        <is>
          <t>Proposed by Source assignment; target 1.4.2 Vehicles and Depot - Depot Buildings</t>
        </is>
      </c>
      <c r="E1041" s="23" t="inlineStr">
        <is>
          <t>None recorded</t>
        </is>
      </c>
      <c r="F1041" s="23" t="inlineStr">
        <is>
          <t>No individual professional decision recorded; Source assignment -- not individually reviewed</t>
        </is>
      </c>
      <c r="G1041" s="23" t="inlineStr">
        <is>
          <t>Not individually decided</t>
        </is>
      </c>
      <c r="H1041" s="23" t="inlineStr">
        <is>
          <t xml:space="preserve">RETAINED / ONE_TO_ONE; </t>
        </is>
      </c>
      <c r="I1041" s="23" t="inlineStr">
        <is>
          <t>Carried forward</t>
        </is>
      </c>
      <c r="J1041" s="14" t="inlineStr">
        <is>
          <t>08 CROSSWALK</t>
        </is>
      </c>
    </row>
    <row r="1042" ht="49" customHeight="1">
      <c r="A1042" s="23" t="inlineStr">
        <is>
          <t>R711-v2</t>
        </is>
      </c>
      <c r="B1042" s="23" t="inlineStr">
        <is>
          <t>Contractor Programme / SCH-04-171</t>
        </is>
      </c>
      <c r="C1042" s="23" t="inlineStr">
        <is>
          <t>WBS Code = 1.4.2</t>
        </is>
      </c>
      <c r="D1042" s="23" t="inlineStr">
        <is>
          <t>Proposed by Source assignment; target 1.4.2 Vehicles and Depot - Depot Buildings</t>
        </is>
      </c>
      <c r="E1042" s="23" t="inlineStr">
        <is>
          <t>None recorded</t>
        </is>
      </c>
      <c r="F1042" s="23" t="inlineStr">
        <is>
          <t>No individual professional decision recorded; Source assignment -- not individually reviewed</t>
        </is>
      </c>
      <c r="G1042" s="23" t="inlineStr">
        <is>
          <t>Not individually decided</t>
        </is>
      </c>
      <c r="H1042" s="23" t="inlineStr">
        <is>
          <t xml:space="preserve">RETAINED / ONE_TO_ONE; </t>
        </is>
      </c>
      <c r="I1042" s="23" t="inlineStr">
        <is>
          <t>Carried forward</t>
        </is>
      </c>
      <c r="J1042" s="14" t="inlineStr">
        <is>
          <t>08 CROSSWALK</t>
        </is>
      </c>
    </row>
    <row r="1043" ht="49" customHeight="1">
      <c r="A1043" s="23" t="inlineStr">
        <is>
          <t>R714-v2</t>
        </is>
      </c>
      <c r="B1043" s="23" t="inlineStr">
        <is>
          <t>Contractor Programme / SCH-04-174</t>
        </is>
      </c>
      <c r="C1043" s="23" t="inlineStr">
        <is>
          <t>WBS Code = 1.4.2</t>
        </is>
      </c>
      <c r="D1043" s="23" t="inlineStr">
        <is>
          <t>Proposed by Source assignment; target 1.4.2 Vehicles and Depot - Depot Buildings</t>
        </is>
      </c>
      <c r="E1043" s="23" t="inlineStr">
        <is>
          <t>None recorded</t>
        </is>
      </c>
      <c r="F1043" s="23" t="inlineStr">
        <is>
          <t>No individual professional decision recorded; Source assignment -- not individually reviewed</t>
        </is>
      </c>
      <c r="G1043" s="23" t="inlineStr">
        <is>
          <t>Not individually decided</t>
        </is>
      </c>
      <c r="H1043" s="23" t="inlineStr">
        <is>
          <t xml:space="preserve">RETAINED / ONE_TO_ONE; </t>
        </is>
      </c>
      <c r="I1043" s="23" t="inlineStr">
        <is>
          <t>Carried forward</t>
        </is>
      </c>
      <c r="J1043" s="14" t="inlineStr">
        <is>
          <t>08 CROSSWALK</t>
        </is>
      </c>
    </row>
    <row r="1044" ht="49" customHeight="1">
      <c r="A1044" s="23" t="inlineStr">
        <is>
          <t>R717-v2</t>
        </is>
      </c>
      <c r="B1044" s="23" t="inlineStr">
        <is>
          <t>Contractor Programme / SCH-04-177</t>
        </is>
      </c>
      <c r="C1044" s="23" t="inlineStr">
        <is>
          <t>WBS Code = 1.4.2</t>
        </is>
      </c>
      <c r="D1044" s="23" t="inlineStr">
        <is>
          <t>Proposed by Source assignment; target 1.4.2 Vehicles and Depot - Depot Buildings</t>
        </is>
      </c>
      <c r="E1044" s="23" t="inlineStr">
        <is>
          <t>None recorded</t>
        </is>
      </c>
      <c r="F1044" s="23" t="inlineStr">
        <is>
          <t>No individual professional decision recorded; Source assignment -- not individually reviewed</t>
        </is>
      </c>
      <c r="G1044" s="23" t="inlineStr">
        <is>
          <t>Not individually decided</t>
        </is>
      </c>
      <c r="H1044" s="23" t="inlineStr">
        <is>
          <t xml:space="preserve">RETAINED / ONE_TO_ONE; </t>
        </is>
      </c>
      <c r="I1044" s="23" t="inlineStr">
        <is>
          <t>Carried forward</t>
        </is>
      </c>
      <c r="J1044" s="14" t="inlineStr">
        <is>
          <t>08 CROSSWALK</t>
        </is>
      </c>
    </row>
    <row r="1045" ht="49" customHeight="1">
      <c r="A1045" s="23" t="inlineStr">
        <is>
          <t>R720-v2</t>
        </is>
      </c>
      <c r="B1045" s="23" t="inlineStr">
        <is>
          <t>Contractor Programme / SCH-04-180</t>
        </is>
      </c>
      <c r="C1045" s="23" t="inlineStr">
        <is>
          <t>WBS Code = 1.4.2</t>
        </is>
      </c>
      <c r="D1045" s="23" t="inlineStr">
        <is>
          <t>Proposed by Source assignment; target 1.4.2 Vehicles and Depot - Depot Buildings</t>
        </is>
      </c>
      <c r="E1045" s="23" t="inlineStr">
        <is>
          <t>None recorded</t>
        </is>
      </c>
      <c r="F1045" s="23" t="inlineStr">
        <is>
          <t>No individual professional decision recorded; Source assignment -- not individually reviewed</t>
        </is>
      </c>
      <c r="G1045" s="23" t="inlineStr">
        <is>
          <t>Not individually decided</t>
        </is>
      </c>
      <c r="H1045" s="23" t="inlineStr">
        <is>
          <t xml:space="preserve">RETAINED / ONE_TO_ONE; </t>
        </is>
      </c>
      <c r="I1045" s="23" t="inlineStr">
        <is>
          <t>Carried forward</t>
        </is>
      </c>
      <c r="J1045" s="14" t="inlineStr">
        <is>
          <t>08 CROSSWALK</t>
        </is>
      </c>
    </row>
    <row r="1046" ht="49" customHeight="1">
      <c r="A1046" s="23" t="inlineStr">
        <is>
          <t>R1324-v2</t>
        </is>
      </c>
      <c r="B1046" s="23" t="inlineStr">
        <is>
          <t>Cost &amp; Forecast Control Accounts / CST-04-002</t>
        </is>
      </c>
      <c r="C1046" s="23" t="inlineStr">
        <is>
          <t>Cost Account = CA-4002; WBS Code = 1.4.2</t>
        </is>
      </c>
      <c r="D1046" s="23" t="inlineStr">
        <is>
          <t>Proposed by Source assignment; target 1.4.2 Vehicles and Depot - Depot Buildings</t>
        </is>
      </c>
      <c r="E1046" s="23" t="inlineStr">
        <is>
          <t>None recorded</t>
        </is>
      </c>
      <c r="F1046" s="23" t="inlineStr">
        <is>
          <t>No individual professional decision recorded; Source assignment -- not individually reviewed</t>
        </is>
      </c>
      <c r="G1046" s="23" t="inlineStr">
        <is>
          <t>Not individually decided</t>
        </is>
      </c>
      <c r="H1046" s="23" t="inlineStr">
        <is>
          <t xml:space="preserve">RETAINED / ONE_TO_ONE; </t>
        </is>
      </c>
      <c r="I1046" s="23" t="inlineStr">
        <is>
          <t>Carried forward</t>
        </is>
      </c>
      <c r="J1046" s="14" t="inlineStr">
        <is>
          <t>08 CROSSWALK</t>
        </is>
      </c>
    </row>
    <row r="1047" ht="49" customHeight="1">
      <c r="A1047" s="23" t="inlineStr">
        <is>
          <t>R1326-v2</t>
        </is>
      </c>
      <c r="B1047" s="23" t="inlineStr">
        <is>
          <t>Cost &amp; Forecast Control Accounts / CST-04-004</t>
        </is>
      </c>
      <c r="C1047" s="23" t="inlineStr">
        <is>
          <t>Cost Account = CA-4004; WBS Code = 1.4.2</t>
        </is>
      </c>
      <c r="D1047" s="23" t="inlineStr">
        <is>
          <t>Proposed by Source assignment; target 1.4.2 Vehicles and Depot - Depot Buildings</t>
        </is>
      </c>
      <c r="E1047" s="23" t="inlineStr">
        <is>
          <t>None recorded</t>
        </is>
      </c>
      <c r="F1047" s="23" t="inlineStr">
        <is>
          <t>No individual professional decision recorded; Source assignment -- not individually reviewed</t>
        </is>
      </c>
      <c r="G1047" s="23" t="inlineStr">
        <is>
          <t>Not individually decided</t>
        </is>
      </c>
      <c r="H1047" s="23" t="inlineStr">
        <is>
          <t xml:space="preserve">RETAINED / ONE_TO_ONE; </t>
        </is>
      </c>
      <c r="I1047" s="23" t="inlineStr">
        <is>
          <t>Carried forward</t>
        </is>
      </c>
      <c r="J1047" s="14" t="inlineStr">
        <is>
          <t>08 CROSSWALK</t>
        </is>
      </c>
    </row>
    <row r="1048" ht="49" customHeight="1">
      <c r="A1048" s="23" t="inlineStr">
        <is>
          <t>R1328-v2</t>
        </is>
      </c>
      <c r="B1048" s="23" t="inlineStr">
        <is>
          <t>Cost &amp; Forecast Control Accounts / CST-04-006</t>
        </is>
      </c>
      <c r="C1048" s="23" t="inlineStr">
        <is>
          <t>Cost Account = CA-4006; WBS Code = 1.4.2</t>
        </is>
      </c>
      <c r="D1048" s="23" t="inlineStr">
        <is>
          <t>Proposed by Source assignment; target 1.4.2 Vehicles and Depot - Depot Buildings</t>
        </is>
      </c>
      <c r="E1048" s="23" t="inlineStr">
        <is>
          <t>None recorded</t>
        </is>
      </c>
      <c r="F1048" s="23" t="inlineStr">
        <is>
          <t>No individual professional decision recorded; Source assignment -- not individually reviewed</t>
        </is>
      </c>
      <c r="G1048" s="23" t="inlineStr">
        <is>
          <t>Not individually decided</t>
        </is>
      </c>
      <c r="H1048" s="23" t="inlineStr">
        <is>
          <t xml:space="preserve">RETAINED / ONE_TO_ONE; </t>
        </is>
      </c>
      <c r="I1048" s="23" t="inlineStr">
        <is>
          <t>Carried forward</t>
        </is>
      </c>
      <c r="J1048" s="14" t="inlineStr">
        <is>
          <t>08 CROSSWALK</t>
        </is>
      </c>
    </row>
    <row r="1049" ht="49" customHeight="1">
      <c r="A1049" s="23" t="inlineStr">
        <is>
          <t>R1330-v2</t>
        </is>
      </c>
      <c r="B1049" s="23" t="inlineStr">
        <is>
          <t>Cost &amp; Forecast Control Accounts / CST-04-008</t>
        </is>
      </c>
      <c r="C1049" s="23" t="inlineStr">
        <is>
          <t>Cost Account = CA-4008; WBS Code = 1.4.2</t>
        </is>
      </c>
      <c r="D1049" s="23" t="inlineStr">
        <is>
          <t>Proposed by Source assignment; target 1.4.2 Vehicles and Depot - Depot Buildings</t>
        </is>
      </c>
      <c r="E1049" s="23" t="inlineStr">
        <is>
          <t>None recorded</t>
        </is>
      </c>
      <c r="F1049" s="23" t="inlineStr">
        <is>
          <t>No individual professional decision recorded; Source assignment -- not individually reviewed</t>
        </is>
      </c>
      <c r="G1049" s="23" t="inlineStr">
        <is>
          <t>Not individually decided</t>
        </is>
      </c>
      <c r="H1049" s="23" t="inlineStr">
        <is>
          <t xml:space="preserve">RETAINED / ONE_TO_ONE; </t>
        </is>
      </c>
      <c r="I1049" s="23" t="inlineStr">
        <is>
          <t>Carried forward</t>
        </is>
      </c>
      <c r="J1049" s="14" t="inlineStr">
        <is>
          <t>08 CROSSWALK</t>
        </is>
      </c>
    </row>
    <row r="1050" ht="49" customHeight="1">
      <c r="A1050" s="23" t="inlineStr">
        <is>
          <t>R1332-v2</t>
        </is>
      </c>
      <c r="B1050" s="23" t="inlineStr">
        <is>
          <t>Cost &amp; Forecast Control Accounts / CST-04-010</t>
        </is>
      </c>
      <c r="C1050" s="23" t="inlineStr">
        <is>
          <t>Cost Account = CA-4010; WBS Code = 1.4.2</t>
        </is>
      </c>
      <c r="D1050" s="23" t="inlineStr">
        <is>
          <t>Proposed by Source assignment; target 1.4.2 Vehicles and Depot - Depot Buildings</t>
        </is>
      </c>
      <c r="E1050" s="23" t="inlineStr">
        <is>
          <t>None recorded</t>
        </is>
      </c>
      <c r="F1050" s="23" t="inlineStr">
        <is>
          <t>No individual professional decision recorded; Source assignment -- not individually reviewed</t>
        </is>
      </c>
      <c r="G1050" s="23" t="inlineStr">
        <is>
          <t>Not individually decided</t>
        </is>
      </c>
      <c r="H1050" s="23" t="inlineStr">
        <is>
          <t xml:space="preserve">RETAINED / ONE_TO_ONE; </t>
        </is>
      </c>
      <c r="I1050" s="23" t="inlineStr">
        <is>
          <t>Carried forward</t>
        </is>
      </c>
      <c r="J1050" s="14" t="inlineStr">
        <is>
          <t>08 CROSSWALK</t>
        </is>
      </c>
    </row>
    <row r="1051" ht="49" customHeight="1">
      <c r="A1051" s="23" t="inlineStr">
        <is>
          <t>R1334-v2</t>
        </is>
      </c>
      <c r="B1051" s="23" t="inlineStr">
        <is>
          <t>Cost &amp; Forecast Control Accounts / CST-04-012</t>
        </is>
      </c>
      <c r="C1051" s="23" t="inlineStr">
        <is>
          <t>Cost Account = CA-4012; WBS Code = 1.4.2</t>
        </is>
      </c>
      <c r="D1051" s="23" t="inlineStr">
        <is>
          <t>Proposed by Source assignment; target 1.4.2 Vehicles and Depot - Depot Buildings</t>
        </is>
      </c>
      <c r="E1051" s="23" t="inlineStr">
        <is>
          <t>None recorded</t>
        </is>
      </c>
      <c r="F1051" s="23" t="inlineStr">
        <is>
          <t>No individual professional decision recorded; Source assignment -- not individually reviewed</t>
        </is>
      </c>
      <c r="G1051" s="23" t="inlineStr">
        <is>
          <t>Not individually decided</t>
        </is>
      </c>
      <c r="H1051" s="23" t="inlineStr">
        <is>
          <t xml:space="preserve">RETAINED / ONE_TO_ONE; </t>
        </is>
      </c>
      <c r="I1051" s="23" t="inlineStr">
        <is>
          <t>Carried forward</t>
        </is>
      </c>
      <c r="J1051" s="14" t="inlineStr">
        <is>
          <t>08 CROSSWALK</t>
        </is>
      </c>
    </row>
    <row r="1052" ht="49" customHeight="1">
      <c r="A1052" s="23" t="inlineStr">
        <is>
          <t>R1336-v2</t>
        </is>
      </c>
      <c r="B1052" s="23" t="inlineStr">
        <is>
          <t>Cost &amp; Forecast Control Accounts / CST-04-014</t>
        </is>
      </c>
      <c r="C1052" s="23" t="inlineStr">
        <is>
          <t>Cost Account = CA-4014; WBS Code = 1.4.2</t>
        </is>
      </c>
      <c r="D1052" s="23" t="inlineStr">
        <is>
          <t>Proposed by Source assignment; target 1.4.2 Vehicles and Depot - Depot Buildings</t>
        </is>
      </c>
      <c r="E1052" s="23" t="inlineStr">
        <is>
          <t>None recorded</t>
        </is>
      </c>
      <c r="F1052" s="23" t="inlineStr">
        <is>
          <t>No individual professional decision recorded; Source assignment -- not individually reviewed</t>
        </is>
      </c>
      <c r="G1052" s="23" t="inlineStr">
        <is>
          <t>Not individually decided</t>
        </is>
      </c>
      <c r="H1052" s="23" t="inlineStr">
        <is>
          <t xml:space="preserve">RETAINED / ONE_TO_ONE; </t>
        </is>
      </c>
      <c r="I1052" s="23" t="inlineStr">
        <is>
          <t>Carried forward</t>
        </is>
      </c>
      <c r="J1052" s="14" t="inlineStr">
        <is>
          <t>08 CROSSWALK</t>
        </is>
      </c>
    </row>
    <row r="1053" ht="49" customHeight="1">
      <c r="A1053" s="23" t="inlineStr">
        <is>
          <t>R1338-v2</t>
        </is>
      </c>
      <c r="B1053" s="23" t="inlineStr">
        <is>
          <t>Cost &amp; Forecast Control Accounts / CST-04-016</t>
        </is>
      </c>
      <c r="C1053" s="23" t="inlineStr">
        <is>
          <t>Cost Account = CA-4016; WBS Code = 1.4.2</t>
        </is>
      </c>
      <c r="D1053" s="23" t="inlineStr">
        <is>
          <t>Proposed by Source assignment; target 1.4.2 Vehicles and Depot - Depot Buildings</t>
        </is>
      </c>
      <c r="E1053" s="23" t="inlineStr">
        <is>
          <t>None recorded</t>
        </is>
      </c>
      <c r="F1053" s="23" t="inlineStr">
        <is>
          <t>No individual professional decision recorded; Source assignment -- not individually reviewed</t>
        </is>
      </c>
      <c r="G1053" s="23" t="inlineStr">
        <is>
          <t>Not individually decided</t>
        </is>
      </c>
      <c r="H1053" s="23" t="inlineStr">
        <is>
          <t xml:space="preserve">RETAINED / ONE_TO_ONE; </t>
        </is>
      </c>
      <c r="I1053" s="23" t="inlineStr">
        <is>
          <t>Carried forward</t>
        </is>
      </c>
      <c r="J1053" s="14" t="inlineStr">
        <is>
          <t>08 CROSSWALK</t>
        </is>
      </c>
    </row>
    <row r="1054" ht="49" customHeight="1">
      <c r="A1054" s="23" t="inlineStr">
        <is>
          <t>R1340-v2</t>
        </is>
      </c>
      <c r="B1054" s="23" t="inlineStr">
        <is>
          <t>Cost &amp; Forecast Control Accounts / CST-04-018</t>
        </is>
      </c>
      <c r="C1054" s="23" t="inlineStr">
        <is>
          <t>Cost Account = CA-4018; WBS Code = 1.4.2</t>
        </is>
      </c>
      <c r="D1054" s="23" t="inlineStr">
        <is>
          <t>Proposed by Source assignment; target 1.4.2 Vehicles and Depot - Depot Buildings</t>
        </is>
      </c>
      <c r="E1054" s="23" t="inlineStr">
        <is>
          <t>None recorded</t>
        </is>
      </c>
      <c r="F1054" s="23" t="inlineStr">
        <is>
          <t>No individual professional decision recorded; Source assignment -- not individually reviewed</t>
        </is>
      </c>
      <c r="G1054" s="23" t="inlineStr">
        <is>
          <t>Not individually decided</t>
        </is>
      </c>
      <c r="H1054" s="23" t="inlineStr">
        <is>
          <t xml:space="preserve">RETAINED / ONE_TO_ONE; </t>
        </is>
      </c>
      <c r="I1054" s="23" t="inlineStr">
        <is>
          <t>Carried forward</t>
        </is>
      </c>
      <c r="J1054" s="14" t="inlineStr">
        <is>
          <t>08 CROSSWALK</t>
        </is>
      </c>
    </row>
    <row r="1055" ht="49" customHeight="1">
      <c r="A1055" s="23" t="inlineStr">
        <is>
          <t>R1342-v2</t>
        </is>
      </c>
      <c r="B1055" s="23" t="inlineStr">
        <is>
          <t>Cost &amp; Forecast Control Accounts / CST-04-020</t>
        </is>
      </c>
      <c r="C1055" s="23" t="inlineStr">
        <is>
          <t>Cost Account = CA-4020; WBS Code = 1.4.2</t>
        </is>
      </c>
      <c r="D1055" s="23" t="inlineStr">
        <is>
          <t>Proposed by Source assignment; target 1.4.2 Vehicles and Depot - Depot Buildings</t>
        </is>
      </c>
      <c r="E1055" s="23" t="inlineStr">
        <is>
          <t>None recorded</t>
        </is>
      </c>
      <c r="F1055" s="23" t="inlineStr">
        <is>
          <t>No individual professional decision recorded; Source assignment -- not individually reviewed</t>
        </is>
      </c>
      <c r="G1055" s="23" t="inlineStr">
        <is>
          <t>Not individually decided</t>
        </is>
      </c>
      <c r="H1055" s="23" t="inlineStr">
        <is>
          <t xml:space="preserve">RETAINED / ONE_TO_ONE; </t>
        </is>
      </c>
      <c r="I1055" s="23" t="inlineStr">
        <is>
          <t>Carried forward</t>
        </is>
      </c>
      <c r="J1055" s="14" t="inlineStr">
        <is>
          <t>08 CROSSWALK</t>
        </is>
      </c>
    </row>
    <row r="1056" ht="49" customHeight="1">
      <c r="A1056" s="23" t="inlineStr">
        <is>
          <t>R1344-v2</t>
        </is>
      </c>
      <c r="B1056" s="23" t="inlineStr">
        <is>
          <t>Cost &amp; Forecast Control Accounts / CST-04-022</t>
        </is>
      </c>
      <c r="C1056" s="23" t="inlineStr">
        <is>
          <t>Cost Account = CA-4022; WBS Code = 1.4.2</t>
        </is>
      </c>
      <c r="D1056" s="23" t="inlineStr">
        <is>
          <t>Proposed by Source assignment; target 1.4.2 Vehicles and Depot - Depot Buildings</t>
        </is>
      </c>
      <c r="E1056" s="23" t="inlineStr">
        <is>
          <t>None recorded</t>
        </is>
      </c>
      <c r="F1056" s="23" t="inlineStr">
        <is>
          <t>No individual professional decision recorded; Source assignment -- not individually reviewed</t>
        </is>
      </c>
      <c r="G1056" s="23" t="inlineStr">
        <is>
          <t>Not individually decided</t>
        </is>
      </c>
      <c r="H1056" s="23" t="inlineStr">
        <is>
          <t xml:space="preserve">RETAINED / ONE_TO_ONE; </t>
        </is>
      </c>
      <c r="I1056" s="23" t="inlineStr">
        <is>
          <t>Carried forward</t>
        </is>
      </c>
      <c r="J1056" s="14" t="inlineStr">
        <is>
          <t>08 CROSSWALK</t>
        </is>
      </c>
    </row>
    <row r="1057" ht="49" customHeight="1">
      <c r="A1057" s="23" t="inlineStr">
        <is>
          <t>R1346-v2</t>
        </is>
      </c>
      <c r="B1057" s="23" t="inlineStr">
        <is>
          <t>Cost &amp; Forecast Control Accounts / CST-04-024</t>
        </is>
      </c>
      <c r="C1057" s="23" t="inlineStr">
        <is>
          <t>Cost Account = CA-4024; WBS Code = 1.4.2</t>
        </is>
      </c>
      <c r="D1057" s="23" t="inlineStr">
        <is>
          <t>Proposed by Source assignment; target 1.4.2 Vehicles and Depot - Depot Buildings</t>
        </is>
      </c>
      <c r="E1057" s="23" t="inlineStr">
        <is>
          <t>None recorded</t>
        </is>
      </c>
      <c r="F1057" s="23" t="inlineStr">
        <is>
          <t>No individual professional decision recorded; Source assignment -- not individually reviewed</t>
        </is>
      </c>
      <c r="G1057" s="23" t="inlineStr">
        <is>
          <t>Not individually decided</t>
        </is>
      </c>
      <c r="H1057" s="23" t="inlineStr">
        <is>
          <t xml:space="preserve">RETAINED / ONE_TO_ONE; </t>
        </is>
      </c>
      <c r="I1057" s="23" t="inlineStr">
        <is>
          <t>Carried forward</t>
        </is>
      </c>
      <c r="J1057" s="14" t="inlineStr">
        <is>
          <t>08 CROSSWALK</t>
        </is>
      </c>
    </row>
    <row r="1058" ht="49" customHeight="1">
      <c r="A1058" s="23" t="inlineStr">
        <is>
          <t>R1348-v2</t>
        </is>
      </c>
      <c r="B1058" s="23" t="inlineStr">
        <is>
          <t>Cost &amp; Forecast Control Accounts / CST-04-026</t>
        </is>
      </c>
      <c r="C1058" s="23" t="inlineStr">
        <is>
          <t>Cost Account = CA-4026; WBS Code = 1.4.2</t>
        </is>
      </c>
      <c r="D1058" s="23" t="inlineStr">
        <is>
          <t>Proposed by Source assignment; target 1.4.2 Vehicles and Depot - Depot Buildings</t>
        </is>
      </c>
      <c r="E1058" s="23" t="inlineStr">
        <is>
          <t>None recorded</t>
        </is>
      </c>
      <c r="F1058" s="23" t="inlineStr">
        <is>
          <t>No individual professional decision recorded; Source assignment -- not individually reviewed</t>
        </is>
      </c>
      <c r="G1058" s="23" t="inlineStr">
        <is>
          <t>Not individually decided</t>
        </is>
      </c>
      <c r="H1058" s="23" t="inlineStr">
        <is>
          <t xml:space="preserve">RETAINED / ONE_TO_ONE; </t>
        </is>
      </c>
      <c r="I1058" s="23" t="inlineStr">
        <is>
          <t>Carried forward</t>
        </is>
      </c>
      <c r="J1058" s="14" t="inlineStr">
        <is>
          <t>08 CROSSWALK</t>
        </is>
      </c>
    </row>
    <row r="1059" ht="49" customHeight="1">
      <c r="A1059" s="23" t="inlineStr">
        <is>
          <t>R1350-v2</t>
        </is>
      </c>
      <c r="B1059" s="23" t="inlineStr">
        <is>
          <t>Cost &amp; Forecast Control Accounts / CST-04-028</t>
        </is>
      </c>
      <c r="C1059" s="23" t="inlineStr">
        <is>
          <t>Cost Account = CA-4028; WBS Code = 1.4.2</t>
        </is>
      </c>
      <c r="D1059" s="23" t="inlineStr">
        <is>
          <t>Proposed by Source assignment; target 1.4.2 Vehicles and Depot - Depot Buildings</t>
        </is>
      </c>
      <c r="E1059" s="23" t="inlineStr">
        <is>
          <t>None recorded</t>
        </is>
      </c>
      <c r="F1059" s="23" t="inlineStr">
        <is>
          <t>No individual professional decision recorded; Source assignment -- not individually reviewed</t>
        </is>
      </c>
      <c r="G1059" s="23" t="inlineStr">
        <is>
          <t>Not individually decided</t>
        </is>
      </c>
      <c r="H1059" s="23" t="inlineStr">
        <is>
          <t xml:space="preserve">RETAINED / ONE_TO_ONE; </t>
        </is>
      </c>
      <c r="I1059" s="23" t="inlineStr">
        <is>
          <t>Carried forward</t>
        </is>
      </c>
      <c r="J1059" s="14" t="inlineStr">
        <is>
          <t>08 CROSSWALK</t>
        </is>
      </c>
    </row>
    <row r="1060" ht="49" customHeight="1">
      <c r="A1060" s="23" t="inlineStr">
        <is>
          <t>R1352-v2</t>
        </is>
      </c>
      <c r="B1060" s="23" t="inlineStr">
        <is>
          <t>Cost &amp; Forecast Control Accounts / CST-04-030</t>
        </is>
      </c>
      <c r="C1060" s="23" t="inlineStr">
        <is>
          <t>Cost Account = CA-4030; WBS Code = 1.4.2</t>
        </is>
      </c>
      <c r="D1060" s="23" t="inlineStr">
        <is>
          <t>Proposed by Source assignment; target 1.4.2 Vehicles and Depot - Depot Buildings</t>
        </is>
      </c>
      <c r="E1060" s="23" t="inlineStr">
        <is>
          <t>None recorded</t>
        </is>
      </c>
      <c r="F1060" s="23" t="inlineStr">
        <is>
          <t>No individual professional decision recorded; Source assignment -- not individually reviewed</t>
        </is>
      </c>
      <c r="G1060" s="23" t="inlineStr">
        <is>
          <t>Not individually decided</t>
        </is>
      </c>
      <c r="H1060" s="23" t="inlineStr">
        <is>
          <t xml:space="preserve">RETAINED / ONE_TO_ONE; </t>
        </is>
      </c>
      <c r="I1060" s="23" t="inlineStr">
        <is>
          <t>Carried forward</t>
        </is>
      </c>
      <c r="J1060" s="14" t="inlineStr">
        <is>
          <t>08 CROSSWALK</t>
        </is>
      </c>
    </row>
    <row r="1061" ht="49" customHeight="1">
      <c r="A1061" s="23" t="inlineStr">
        <is>
          <t>R1354-v2</t>
        </is>
      </c>
      <c r="B1061" s="23" t="inlineStr">
        <is>
          <t>Cost &amp; Forecast Control Accounts / CST-04-032</t>
        </is>
      </c>
      <c r="C1061" s="23" t="inlineStr">
        <is>
          <t>Cost Account = CA-4032; WBS Code = 1.4.2</t>
        </is>
      </c>
      <c r="D1061" s="23" t="inlineStr">
        <is>
          <t>Proposed by Source assignment; target 1.4.2 Vehicles and Depot - Depot Buildings</t>
        </is>
      </c>
      <c r="E1061" s="23" t="inlineStr">
        <is>
          <t>None recorded</t>
        </is>
      </c>
      <c r="F1061" s="23" t="inlineStr">
        <is>
          <t>No individual professional decision recorded; Source assignment -- not individually reviewed</t>
        </is>
      </c>
      <c r="G1061" s="23" t="inlineStr">
        <is>
          <t>Not individually decided</t>
        </is>
      </c>
      <c r="H1061" s="23" t="inlineStr">
        <is>
          <t xml:space="preserve">RETAINED / ONE_TO_ONE; </t>
        </is>
      </c>
      <c r="I1061" s="23" t="inlineStr">
        <is>
          <t>Carried forward</t>
        </is>
      </c>
      <c r="J1061" s="14" t="inlineStr">
        <is>
          <t>08 CROSSWALK</t>
        </is>
      </c>
    </row>
    <row r="1062" ht="49" customHeight="1">
      <c r="A1062" s="23" t="inlineStr">
        <is>
          <t>R1356-v2</t>
        </is>
      </c>
      <c r="B1062" s="23" t="inlineStr">
        <is>
          <t>Cost &amp; Forecast Control Accounts / CST-04-034</t>
        </is>
      </c>
      <c r="C1062" s="23" t="inlineStr">
        <is>
          <t>Cost Account = CA-4034; WBS Code = 1.4.2</t>
        </is>
      </c>
      <c r="D1062" s="23" t="inlineStr">
        <is>
          <t>Proposed by Source assignment; target 1.4.2 Vehicles and Depot - Depot Buildings</t>
        </is>
      </c>
      <c r="E1062" s="23" t="inlineStr">
        <is>
          <t>None recorded</t>
        </is>
      </c>
      <c r="F1062" s="23" t="inlineStr">
        <is>
          <t>No individual professional decision recorded; Source assignment -- not individually reviewed</t>
        </is>
      </c>
      <c r="G1062" s="23" t="inlineStr">
        <is>
          <t>Not individually decided</t>
        </is>
      </c>
      <c r="H1062" s="23" t="inlineStr">
        <is>
          <t xml:space="preserve">RETAINED / ONE_TO_ONE; </t>
        </is>
      </c>
      <c r="I1062" s="23" t="inlineStr">
        <is>
          <t>Carried forward</t>
        </is>
      </c>
      <c r="J1062" s="14" t="inlineStr">
        <is>
          <t>08 CROSSWALK</t>
        </is>
      </c>
    </row>
    <row r="1063" ht="49" customHeight="1">
      <c r="A1063" s="23" t="inlineStr">
        <is>
          <t>R1358-v2</t>
        </is>
      </c>
      <c r="B1063" s="23" t="inlineStr">
        <is>
          <t>Cost &amp; Forecast Control Accounts / CST-04-036</t>
        </is>
      </c>
      <c r="C1063" s="23" t="inlineStr">
        <is>
          <t>Cost Account = CA-4036; WBS Code = 1.4.2</t>
        </is>
      </c>
      <c r="D1063" s="23" t="inlineStr">
        <is>
          <t>Proposed by Source assignment; target 1.4.2 Vehicles and Depot - Depot Buildings</t>
        </is>
      </c>
      <c r="E1063" s="23" t="inlineStr">
        <is>
          <t>None recorded</t>
        </is>
      </c>
      <c r="F1063" s="23" t="inlineStr">
        <is>
          <t>No individual professional decision recorded; Source assignment -- not individually reviewed</t>
        </is>
      </c>
      <c r="G1063" s="23" t="inlineStr">
        <is>
          <t>Not individually decided</t>
        </is>
      </c>
      <c r="H1063" s="23" t="inlineStr">
        <is>
          <t xml:space="preserve">RETAINED / ONE_TO_ONE; </t>
        </is>
      </c>
      <c r="I1063" s="23" t="inlineStr">
        <is>
          <t>Carried forward</t>
        </is>
      </c>
      <c r="J1063" s="14" t="inlineStr">
        <is>
          <t>08 CROSSWALK</t>
        </is>
      </c>
    </row>
    <row r="1064" ht="49" customHeight="1">
      <c r="A1064" s="23" t="inlineStr">
        <is>
          <t>R1360-v2</t>
        </is>
      </c>
      <c r="B1064" s="23" t="inlineStr">
        <is>
          <t>Cost &amp; Forecast Control Accounts / CST-04-038</t>
        </is>
      </c>
      <c r="C1064" s="23" t="inlineStr">
        <is>
          <t>Cost Account = CA-4038; WBS Code = 1.4.2</t>
        </is>
      </c>
      <c r="D1064" s="23" t="inlineStr">
        <is>
          <t>Proposed by Source assignment; target 1.4.2 Vehicles and Depot - Depot Buildings</t>
        </is>
      </c>
      <c r="E1064" s="23" t="inlineStr">
        <is>
          <t>None recorded</t>
        </is>
      </c>
      <c r="F1064" s="23" t="inlineStr">
        <is>
          <t>No individual professional decision recorded; Source assignment -- not individually reviewed</t>
        </is>
      </c>
      <c r="G1064" s="23" t="inlineStr">
        <is>
          <t>Not individually decided</t>
        </is>
      </c>
      <c r="H1064" s="23" t="inlineStr">
        <is>
          <t xml:space="preserve">RETAINED / ONE_TO_ONE; </t>
        </is>
      </c>
      <c r="I1064" s="23" t="inlineStr">
        <is>
          <t>Carried forward</t>
        </is>
      </c>
      <c r="J1064" s="14" t="inlineStr">
        <is>
          <t>08 CROSSWALK</t>
        </is>
      </c>
    </row>
    <row r="1065" ht="49" customHeight="1">
      <c r="A1065" s="23" t="inlineStr">
        <is>
          <t>R1362-v2</t>
        </is>
      </c>
      <c r="B1065" s="23" t="inlineStr">
        <is>
          <t>Cost &amp; Forecast Control Accounts / CST-04-040</t>
        </is>
      </c>
      <c r="C1065" s="23" t="inlineStr">
        <is>
          <t>Cost Account = CA-4040; WBS Code = 1.4.2</t>
        </is>
      </c>
      <c r="D1065" s="23" t="inlineStr">
        <is>
          <t>Proposed by Source assignment; target 1.4.2 Vehicles and Depot - Depot Buildings</t>
        </is>
      </c>
      <c r="E1065" s="23" t="inlineStr">
        <is>
          <t>None recorded</t>
        </is>
      </c>
      <c r="F1065" s="23" t="inlineStr">
        <is>
          <t>No individual professional decision recorded; Source assignment -- not individually reviewed</t>
        </is>
      </c>
      <c r="G1065" s="23" t="inlineStr">
        <is>
          <t>Not individually decided</t>
        </is>
      </c>
      <c r="H1065" s="23" t="inlineStr">
        <is>
          <t xml:space="preserve">RETAINED / ONE_TO_ONE; </t>
        </is>
      </c>
      <c r="I1065" s="23" t="inlineStr">
        <is>
          <t>Carried forward</t>
        </is>
      </c>
      <c r="J1065" s="14" t="inlineStr">
        <is>
          <t>08 CROSSWALK</t>
        </is>
      </c>
    </row>
    <row r="1066" ht="49" customHeight="1">
      <c r="A1066" s="23" t="inlineStr">
        <is>
          <t>R1364-v2</t>
        </is>
      </c>
      <c r="B1066" s="23" t="inlineStr">
        <is>
          <t>Cost &amp; Forecast Control Accounts / CST-04-042</t>
        </is>
      </c>
      <c r="C1066" s="23" t="inlineStr">
        <is>
          <t>Cost Account = CA-4042; WBS Code = 1.4.2</t>
        </is>
      </c>
      <c r="D1066" s="23" t="inlineStr">
        <is>
          <t>Proposed by Source assignment; target 1.4.2 Vehicles and Depot - Depot Buildings</t>
        </is>
      </c>
      <c r="E1066" s="23" t="inlineStr">
        <is>
          <t>None recorded</t>
        </is>
      </c>
      <c r="F1066" s="23" t="inlineStr">
        <is>
          <t>No individual professional decision recorded; Source assignment -- not individually reviewed</t>
        </is>
      </c>
      <c r="G1066" s="23" t="inlineStr">
        <is>
          <t>Not individually decided</t>
        </is>
      </c>
      <c r="H1066" s="23" t="inlineStr">
        <is>
          <t xml:space="preserve">RETAINED / ONE_TO_ONE; </t>
        </is>
      </c>
      <c r="I1066" s="23" t="inlineStr">
        <is>
          <t>Carried forward</t>
        </is>
      </c>
      <c r="J1066" s="14" t="inlineStr">
        <is>
          <t>08 CROSSWALK</t>
        </is>
      </c>
    </row>
    <row r="1067" ht="49" customHeight="1">
      <c r="A1067" s="23" t="inlineStr">
        <is>
          <t>R1366-v2</t>
        </is>
      </c>
      <c r="B1067" s="23" t="inlineStr">
        <is>
          <t>Cost &amp; Forecast Control Accounts / CST-04-044</t>
        </is>
      </c>
      <c r="C1067" s="23" t="inlineStr">
        <is>
          <t>Cost Account = CA-4044; WBS Code = 1.4.2</t>
        </is>
      </c>
      <c r="D1067" s="23" t="inlineStr">
        <is>
          <t>Proposed by Source assignment; target 1.4.2 Vehicles and Depot - Depot Buildings</t>
        </is>
      </c>
      <c r="E1067" s="23" t="inlineStr">
        <is>
          <t>None recorded</t>
        </is>
      </c>
      <c r="F1067" s="23" t="inlineStr">
        <is>
          <t>No individual professional decision recorded; Source assignment -- not individually reviewed</t>
        </is>
      </c>
      <c r="G1067" s="23" t="inlineStr">
        <is>
          <t>Not individually decided</t>
        </is>
      </c>
      <c r="H1067" s="23" t="inlineStr">
        <is>
          <t xml:space="preserve">RETAINED / ONE_TO_ONE; </t>
        </is>
      </c>
      <c r="I1067" s="23" t="inlineStr">
        <is>
          <t>Carried forward</t>
        </is>
      </c>
      <c r="J1067" s="14" t="inlineStr">
        <is>
          <t>08 CROSSWALK</t>
        </is>
      </c>
    </row>
    <row r="1068" ht="49" customHeight="1">
      <c r="A1068" s="23" t="inlineStr">
        <is>
          <t>R1368-v2</t>
        </is>
      </c>
      <c r="B1068" s="23" t="inlineStr">
        <is>
          <t>Cost &amp; Forecast Control Accounts / CST-04-046</t>
        </is>
      </c>
      <c r="C1068" s="23" t="inlineStr">
        <is>
          <t>Cost Account = CA-4046; WBS Code = 1.4.2</t>
        </is>
      </c>
      <c r="D1068" s="23" t="inlineStr">
        <is>
          <t>Proposed by Source assignment; target 1.4.2 Vehicles and Depot - Depot Buildings</t>
        </is>
      </c>
      <c r="E1068" s="23" t="inlineStr">
        <is>
          <t>None recorded</t>
        </is>
      </c>
      <c r="F1068" s="23" t="inlineStr">
        <is>
          <t>No individual professional decision recorded; Source assignment -- not individually reviewed</t>
        </is>
      </c>
      <c r="G1068" s="23" t="inlineStr">
        <is>
          <t>Not individually decided</t>
        </is>
      </c>
      <c r="H1068" s="23" t="inlineStr">
        <is>
          <t xml:space="preserve">RETAINED / ONE_TO_ONE; </t>
        </is>
      </c>
      <c r="I1068" s="23" t="inlineStr">
        <is>
          <t>Carried forward</t>
        </is>
      </c>
      <c r="J1068" s="14" t="inlineStr">
        <is>
          <t>08 CROSSWALK</t>
        </is>
      </c>
    </row>
    <row r="1069" ht="49" customHeight="1">
      <c r="A1069" s="23" t="inlineStr">
        <is>
          <t>R1370-v2</t>
        </is>
      </c>
      <c r="B1069" s="23" t="inlineStr">
        <is>
          <t>Cost &amp; Forecast Control Accounts / CST-04-048</t>
        </is>
      </c>
      <c r="C1069" s="23" t="inlineStr">
        <is>
          <t>Cost Account = CA-4048; WBS Code = 1.4.2</t>
        </is>
      </c>
      <c r="D1069" s="23" t="inlineStr">
        <is>
          <t>Proposed by Source assignment; target 1.4.2 Vehicles and Depot - Depot Buildings</t>
        </is>
      </c>
      <c r="E1069" s="23" t="inlineStr">
        <is>
          <t>None recorded</t>
        </is>
      </c>
      <c r="F1069" s="23" t="inlineStr">
        <is>
          <t>No individual professional decision recorded; Source assignment -- not individually reviewed</t>
        </is>
      </c>
      <c r="G1069" s="23" t="inlineStr">
        <is>
          <t>Not individually decided</t>
        </is>
      </c>
      <c r="H1069" s="23" t="inlineStr">
        <is>
          <t xml:space="preserve">RETAINED / ONE_TO_ONE; </t>
        </is>
      </c>
      <c r="I1069" s="23" t="inlineStr">
        <is>
          <t>Carried forward</t>
        </is>
      </c>
      <c r="J1069" s="14" t="inlineStr">
        <is>
          <t>08 CROSSWALK</t>
        </is>
      </c>
    </row>
    <row r="1070" ht="49" customHeight="1">
      <c r="A1070" s="23" t="inlineStr">
        <is>
          <t>R1372-v2</t>
        </is>
      </c>
      <c r="B1070" s="23" t="inlineStr">
        <is>
          <t>Cost &amp; Forecast Control Accounts / CST-04-050</t>
        </is>
      </c>
      <c r="C1070" s="23" t="inlineStr">
        <is>
          <t>Cost Account = CA-4050; WBS Code = 1.4.2</t>
        </is>
      </c>
      <c r="D1070" s="23" t="inlineStr">
        <is>
          <t>Proposed by Source assignment; target 1.4.2 Vehicles and Depot - Depot Buildings</t>
        </is>
      </c>
      <c r="E1070" s="23" t="inlineStr">
        <is>
          <t>None recorded</t>
        </is>
      </c>
      <c r="F1070" s="23" t="inlineStr">
        <is>
          <t>No individual professional decision recorded; Source assignment -- not individually reviewed</t>
        </is>
      </c>
      <c r="G1070" s="23" t="inlineStr">
        <is>
          <t>Not individually decided</t>
        </is>
      </c>
      <c r="H1070" s="23" t="inlineStr">
        <is>
          <t xml:space="preserve">RETAINED / ONE_TO_ONE; </t>
        </is>
      </c>
      <c r="I1070" s="23" t="inlineStr">
        <is>
          <t>Carried forward</t>
        </is>
      </c>
      <c r="J1070" s="14" t="inlineStr">
        <is>
          <t>08 CROSSWALK</t>
        </is>
      </c>
    </row>
    <row r="1071" ht="49" customHeight="1">
      <c r="A1071" s="23" t="inlineStr">
        <is>
          <t>R1374-v2</t>
        </is>
      </c>
      <c r="B1071" s="23" t="inlineStr">
        <is>
          <t>Cost &amp; Forecast Control Accounts / CST-04-052</t>
        </is>
      </c>
      <c r="C1071" s="23" t="inlineStr">
        <is>
          <t>Cost Account = CA-4052; WBS Code = 1.4.2</t>
        </is>
      </c>
      <c r="D1071" s="23" t="inlineStr">
        <is>
          <t>Proposed by Source assignment; target 1.4.2 Vehicles and Depot - Depot Buildings</t>
        </is>
      </c>
      <c r="E1071" s="23" t="inlineStr">
        <is>
          <t>None recorded</t>
        </is>
      </c>
      <c r="F1071" s="23" t="inlineStr">
        <is>
          <t>No individual professional decision recorded; Source assignment -- not individually reviewed</t>
        </is>
      </c>
      <c r="G1071" s="23" t="inlineStr">
        <is>
          <t>Not individually decided</t>
        </is>
      </c>
      <c r="H1071" s="23" t="inlineStr">
        <is>
          <t xml:space="preserve">RETAINED / ONE_TO_ONE; </t>
        </is>
      </c>
      <c r="I1071" s="23" t="inlineStr">
        <is>
          <t>Carried forward</t>
        </is>
      </c>
      <c r="J1071" s="14" t="inlineStr">
        <is>
          <t>08 CROSSWALK</t>
        </is>
      </c>
    </row>
    <row r="1072" ht="49" customHeight="1">
      <c r="A1072" s="23" t="inlineStr">
        <is>
          <t>R1376-v2</t>
        </is>
      </c>
      <c r="B1072" s="23" t="inlineStr">
        <is>
          <t>Cost &amp; Forecast Control Accounts / CST-04-054</t>
        </is>
      </c>
      <c r="C1072" s="23" t="inlineStr">
        <is>
          <t>Cost Account = CA-4054; WBS Code = 1.4.2</t>
        </is>
      </c>
      <c r="D1072" s="23" t="inlineStr">
        <is>
          <t>Proposed by Source assignment; target 1.4.2 Vehicles and Depot - Depot Buildings</t>
        </is>
      </c>
      <c r="E1072" s="23" t="inlineStr">
        <is>
          <t>None recorded</t>
        </is>
      </c>
      <c r="F1072" s="23" t="inlineStr">
        <is>
          <t>No individual professional decision recorded; Source assignment -- not individually reviewed</t>
        </is>
      </c>
      <c r="G1072" s="23" t="inlineStr">
        <is>
          <t>Not individually decided</t>
        </is>
      </c>
      <c r="H1072" s="23" t="inlineStr">
        <is>
          <t xml:space="preserve">RETAINED / ONE_TO_ONE; </t>
        </is>
      </c>
      <c r="I1072" s="23" t="inlineStr">
        <is>
          <t>Carried forward</t>
        </is>
      </c>
      <c r="J1072" s="14" t="inlineStr">
        <is>
          <t>08 CROSSWALK</t>
        </is>
      </c>
    </row>
    <row r="1073" ht="49" customHeight="1">
      <c r="A1073" s="23" t="inlineStr">
        <is>
          <t>R1378-v2</t>
        </is>
      </c>
      <c r="B1073" s="23" t="inlineStr">
        <is>
          <t>Cost &amp; Forecast Control Accounts / CST-04-056</t>
        </is>
      </c>
      <c r="C1073" s="23" t="inlineStr">
        <is>
          <t>Cost Account = CA-4056; WBS Code = 1.4.2</t>
        </is>
      </c>
      <c r="D1073" s="23" t="inlineStr">
        <is>
          <t>Proposed by Source assignment; target 1.4.2 Vehicles and Depot - Depot Buildings</t>
        </is>
      </c>
      <c r="E1073" s="23" t="inlineStr">
        <is>
          <t>None recorded</t>
        </is>
      </c>
      <c r="F1073" s="23" t="inlineStr">
        <is>
          <t>No individual professional decision recorded; Source assignment -- not individually reviewed</t>
        </is>
      </c>
      <c r="G1073" s="23" t="inlineStr">
        <is>
          <t>Not individually decided</t>
        </is>
      </c>
      <c r="H1073" s="23" t="inlineStr">
        <is>
          <t xml:space="preserve">RETAINED / ONE_TO_ONE; </t>
        </is>
      </c>
      <c r="I1073" s="23" t="inlineStr">
        <is>
          <t>Carried forward</t>
        </is>
      </c>
      <c r="J1073" s="14" t="inlineStr">
        <is>
          <t>08 CROSSWALK</t>
        </is>
      </c>
    </row>
    <row r="1074" ht="49" customHeight="1">
      <c r="A1074" s="23" t="inlineStr">
        <is>
          <t>R1380-v2</t>
        </is>
      </c>
      <c r="B1074" s="23" t="inlineStr">
        <is>
          <t>Cost &amp; Forecast Control Accounts / CST-04-058</t>
        </is>
      </c>
      <c r="C1074" s="23" t="inlineStr">
        <is>
          <t>Cost Account = CA-4058; WBS Code = 1.4.2</t>
        </is>
      </c>
      <c r="D1074" s="23" t="inlineStr">
        <is>
          <t>Proposed by Source assignment; target 1.4.2 Vehicles and Depot - Depot Buildings</t>
        </is>
      </c>
      <c r="E1074" s="23" t="inlineStr">
        <is>
          <t>None recorded</t>
        </is>
      </c>
      <c r="F1074" s="23" t="inlineStr">
        <is>
          <t>No individual professional decision recorded; Source assignment -- not individually reviewed</t>
        </is>
      </c>
      <c r="G1074" s="23" t="inlineStr">
        <is>
          <t>Not individually decided</t>
        </is>
      </c>
      <c r="H1074" s="23" t="inlineStr">
        <is>
          <t xml:space="preserve">RETAINED / ONE_TO_ONE; </t>
        </is>
      </c>
      <c r="I1074" s="23" t="inlineStr">
        <is>
          <t>Carried forward</t>
        </is>
      </c>
      <c r="J1074" s="14" t="inlineStr">
        <is>
          <t>08 CROSSWALK</t>
        </is>
      </c>
    </row>
    <row r="1075" ht="49" customHeight="1">
      <c r="A1075" s="23" t="inlineStr">
        <is>
          <t>R1382-v2</t>
        </is>
      </c>
      <c r="B1075" s="23" t="inlineStr">
        <is>
          <t>Cost &amp; Forecast Control Accounts / CST-04-060</t>
        </is>
      </c>
      <c r="C1075" s="23" t="inlineStr">
        <is>
          <t>Cost Account = CA-4060; WBS Code = 1.4.2</t>
        </is>
      </c>
      <c r="D1075" s="23" t="inlineStr">
        <is>
          <t>Proposed by Source assignment; target 1.4.2 Vehicles and Depot - Depot Buildings</t>
        </is>
      </c>
      <c r="E1075" s="23" t="inlineStr">
        <is>
          <t>None recorded</t>
        </is>
      </c>
      <c r="F1075" s="23" t="inlineStr">
        <is>
          <t>No individual professional decision recorded; Source assignment -- not individually reviewed</t>
        </is>
      </c>
      <c r="G1075" s="23" t="inlineStr">
        <is>
          <t>Not individually decided</t>
        </is>
      </c>
      <c r="H1075" s="23" t="inlineStr">
        <is>
          <t xml:space="preserve">RETAINED / ONE_TO_ONE; </t>
        </is>
      </c>
      <c r="I1075" s="23" t="inlineStr">
        <is>
          <t>Carried forward</t>
        </is>
      </c>
      <c r="J1075" s="14" t="inlineStr">
        <is>
          <t>08 CROSSWALK</t>
        </is>
      </c>
    </row>
    <row r="1076" ht="49" customHeight="1">
      <c r="A1076" s="23" t="inlineStr">
        <is>
          <t>R1384-v2</t>
        </is>
      </c>
      <c r="B1076" s="23" t="inlineStr">
        <is>
          <t>Cost &amp; Forecast Control Accounts / CST-04-062</t>
        </is>
      </c>
      <c r="C1076" s="23" t="inlineStr">
        <is>
          <t>Cost Account = CA-4062; WBS Code = 1.4.2</t>
        </is>
      </c>
      <c r="D1076" s="23" t="inlineStr">
        <is>
          <t>Proposed by Source assignment; target 1.4.2 Vehicles and Depot - Depot Buildings</t>
        </is>
      </c>
      <c r="E1076" s="23" t="inlineStr">
        <is>
          <t>None recorded</t>
        </is>
      </c>
      <c r="F1076" s="23" t="inlineStr">
        <is>
          <t>No individual professional decision recorded; Source assignment -- not individually reviewed</t>
        </is>
      </c>
      <c r="G1076" s="23" t="inlineStr">
        <is>
          <t>Not individually decided</t>
        </is>
      </c>
      <c r="H1076" s="23" t="inlineStr">
        <is>
          <t xml:space="preserve">RETAINED / ONE_TO_ONE; </t>
        </is>
      </c>
      <c r="I1076" s="23" t="inlineStr">
        <is>
          <t>Carried forward</t>
        </is>
      </c>
      <c r="J1076" s="14" t="inlineStr">
        <is>
          <t>08 CROSSWALK</t>
        </is>
      </c>
    </row>
    <row r="1077" ht="49" customHeight="1">
      <c r="A1077" s="23" t="inlineStr">
        <is>
          <t>R1386-v2</t>
        </is>
      </c>
      <c r="B1077" s="23" t="inlineStr">
        <is>
          <t>Cost &amp; Forecast Control Accounts / CST-04-064</t>
        </is>
      </c>
      <c r="C1077" s="23" t="inlineStr">
        <is>
          <t>Cost Account = CA-4064; WBS Code = 1.4.2</t>
        </is>
      </c>
      <c r="D1077" s="23" t="inlineStr">
        <is>
          <t>Proposed by Source assignment; target 1.4.2 Vehicles and Depot - Depot Buildings</t>
        </is>
      </c>
      <c r="E1077" s="23" t="inlineStr">
        <is>
          <t>None recorded</t>
        </is>
      </c>
      <c r="F1077" s="23" t="inlineStr">
        <is>
          <t>No individual professional decision recorded; Source assignment -- not individually reviewed</t>
        </is>
      </c>
      <c r="G1077" s="23" t="inlineStr">
        <is>
          <t>Not individually decided</t>
        </is>
      </c>
      <c r="H1077" s="23" t="inlineStr">
        <is>
          <t xml:space="preserve">RETAINED / ONE_TO_ONE; </t>
        </is>
      </c>
      <c r="I1077" s="23" t="inlineStr">
        <is>
          <t>Carried forward</t>
        </is>
      </c>
      <c r="J1077" s="14" t="inlineStr">
        <is>
          <t>08 CROSSWALK</t>
        </is>
      </c>
    </row>
    <row r="1078" ht="49" customHeight="1">
      <c r="A1078" s="23" t="inlineStr">
        <is>
          <t>R1388-v2</t>
        </is>
      </c>
      <c r="B1078" s="23" t="inlineStr">
        <is>
          <t>Cost &amp; Forecast Control Accounts / CST-04-066</t>
        </is>
      </c>
      <c r="C1078" s="23" t="inlineStr">
        <is>
          <t>Cost Account = CA-4066; WBS Code = 1.4.2</t>
        </is>
      </c>
      <c r="D1078" s="23" t="inlineStr">
        <is>
          <t>Proposed by Source assignment; target 1.4.2 Vehicles and Depot - Depot Buildings</t>
        </is>
      </c>
      <c r="E1078" s="23" t="inlineStr">
        <is>
          <t>None recorded</t>
        </is>
      </c>
      <c r="F1078" s="23" t="inlineStr">
        <is>
          <t>No individual professional decision recorded; Source assignment -- not individually reviewed</t>
        </is>
      </c>
      <c r="G1078" s="23" t="inlineStr">
        <is>
          <t>Not individually decided</t>
        </is>
      </c>
      <c r="H1078" s="23" t="inlineStr">
        <is>
          <t xml:space="preserve">RETAINED / ONE_TO_ONE; </t>
        </is>
      </c>
      <c r="I1078" s="23" t="inlineStr">
        <is>
          <t>Carried forward</t>
        </is>
      </c>
      <c r="J1078" s="14" t="inlineStr">
        <is>
          <t>08 CROSSWALK</t>
        </is>
      </c>
    </row>
    <row r="1079" ht="49" customHeight="1">
      <c r="A1079" s="23" t="inlineStr">
        <is>
          <t>R1390-v2</t>
        </is>
      </c>
      <c r="B1079" s="23" t="inlineStr">
        <is>
          <t>Cost &amp; Forecast Control Accounts / CST-04-068</t>
        </is>
      </c>
      <c r="C1079" s="23" t="inlineStr">
        <is>
          <t>Cost Account = CA-4068; WBS Code = 1.4.2</t>
        </is>
      </c>
      <c r="D1079" s="23" t="inlineStr">
        <is>
          <t>Proposed by Source assignment; target 1.4.2 Vehicles and Depot - Depot Buildings</t>
        </is>
      </c>
      <c r="E1079" s="23" t="inlineStr">
        <is>
          <t>None recorded</t>
        </is>
      </c>
      <c r="F1079" s="23" t="inlineStr">
        <is>
          <t>No individual professional decision recorded; Source assignment -- not individually reviewed</t>
        </is>
      </c>
      <c r="G1079" s="23" t="inlineStr">
        <is>
          <t>Not individually decided</t>
        </is>
      </c>
      <c r="H1079" s="23" t="inlineStr">
        <is>
          <t xml:space="preserve">RETAINED / ONE_TO_ONE; </t>
        </is>
      </c>
      <c r="I1079" s="23" t="inlineStr">
        <is>
          <t>Carried forward</t>
        </is>
      </c>
      <c r="J1079" s="14" t="inlineStr">
        <is>
          <t>08 CROSSWALK</t>
        </is>
      </c>
    </row>
    <row r="1080" ht="49" customHeight="1">
      <c r="A1080" s="23" t="inlineStr">
        <is>
          <t>R1392-v2</t>
        </is>
      </c>
      <c r="B1080" s="23" t="inlineStr">
        <is>
          <t>Cost &amp; Forecast Control Accounts / CST-04-070</t>
        </is>
      </c>
      <c r="C1080" s="23" t="inlineStr">
        <is>
          <t>Cost Account = CA-4070; WBS Code = 1.4.2</t>
        </is>
      </c>
      <c r="D1080" s="23" t="inlineStr">
        <is>
          <t>Proposed by Source assignment; target 1.4.2 Vehicles and Depot - Depot Buildings</t>
        </is>
      </c>
      <c r="E1080" s="23" t="inlineStr">
        <is>
          <t>None recorded</t>
        </is>
      </c>
      <c r="F1080" s="23" t="inlineStr">
        <is>
          <t>No individual professional decision recorded; Source assignment -- not individually reviewed</t>
        </is>
      </c>
      <c r="G1080" s="23" t="inlineStr">
        <is>
          <t>Not individually decided</t>
        </is>
      </c>
      <c r="H1080" s="23" t="inlineStr">
        <is>
          <t xml:space="preserve">RETAINED / ONE_TO_ONE; </t>
        </is>
      </c>
      <c r="I1080" s="23" t="inlineStr">
        <is>
          <t>Carried forward</t>
        </is>
      </c>
      <c r="J1080" s="14" t="inlineStr">
        <is>
          <t>08 CROSSWALK</t>
        </is>
      </c>
    </row>
    <row r="1081" ht="49" customHeight="1">
      <c r="A1081" s="23" t="inlineStr">
        <is>
          <t>R1394-v2</t>
        </is>
      </c>
      <c r="B1081" s="23" t="inlineStr">
        <is>
          <t>Cost &amp; Forecast Control Accounts / CST-04-072</t>
        </is>
      </c>
      <c r="C1081" s="23" t="inlineStr">
        <is>
          <t>Cost Account = CA-4072; WBS Code = 1.4.2</t>
        </is>
      </c>
      <c r="D1081" s="23" t="inlineStr">
        <is>
          <t>Proposed by Source assignment; target 1.4.2 Vehicles and Depot - Depot Buildings</t>
        </is>
      </c>
      <c r="E1081" s="23" t="inlineStr">
        <is>
          <t>None recorded</t>
        </is>
      </c>
      <c r="F1081" s="23" t="inlineStr">
        <is>
          <t>No individual professional decision recorded; Source assignment -- not individually reviewed</t>
        </is>
      </c>
      <c r="G1081" s="23" t="inlineStr">
        <is>
          <t>Not individually decided</t>
        </is>
      </c>
      <c r="H1081" s="23" t="inlineStr">
        <is>
          <t xml:space="preserve">RETAINED / ONE_TO_ONE; </t>
        </is>
      </c>
      <c r="I1081" s="23" t="inlineStr">
        <is>
          <t>Carried forward</t>
        </is>
      </c>
      <c r="J1081" s="14" t="inlineStr">
        <is>
          <t>08 CROSSWALK</t>
        </is>
      </c>
    </row>
    <row r="1082" ht="49" customHeight="1">
      <c r="A1082" s="23" t="inlineStr">
        <is>
          <t>R1396-v2</t>
        </is>
      </c>
      <c r="B1082" s="23" t="inlineStr">
        <is>
          <t>Cost &amp; Forecast Control Accounts / CST-04-074</t>
        </is>
      </c>
      <c r="C1082" s="23" t="inlineStr">
        <is>
          <t>Cost Account = CA-4074; WBS Code = 1.4.2</t>
        </is>
      </c>
      <c r="D1082" s="23" t="inlineStr">
        <is>
          <t>Proposed by Source assignment; target 1.4.2 Vehicles and Depot - Depot Buildings</t>
        </is>
      </c>
      <c r="E1082" s="23" t="inlineStr">
        <is>
          <t>None recorded</t>
        </is>
      </c>
      <c r="F1082" s="23" t="inlineStr">
        <is>
          <t>No individual professional decision recorded; Source assignment -- not individually reviewed</t>
        </is>
      </c>
      <c r="G1082" s="23" t="inlineStr">
        <is>
          <t>Not individually decided</t>
        </is>
      </c>
      <c r="H1082" s="23" t="inlineStr">
        <is>
          <t xml:space="preserve">RETAINED / ONE_TO_ONE; </t>
        </is>
      </c>
      <c r="I1082" s="23" t="inlineStr">
        <is>
          <t>Carried forward</t>
        </is>
      </c>
      <c r="J1082" s="14" t="inlineStr">
        <is>
          <t>08 CROSSWALK</t>
        </is>
      </c>
    </row>
    <row r="1083" ht="49" customHeight="1">
      <c r="A1083" s="23" t="inlineStr">
        <is>
          <t>R1398-v2</t>
        </is>
      </c>
      <c r="B1083" s="23" t="inlineStr">
        <is>
          <t>Cost &amp; Forecast Control Accounts / CST-04-076</t>
        </is>
      </c>
      <c r="C1083" s="23" t="inlineStr">
        <is>
          <t>Cost Account = CA-4076; WBS Code = 1.4.2</t>
        </is>
      </c>
      <c r="D1083" s="23" t="inlineStr">
        <is>
          <t>Proposed by Source assignment; target 1.4.2 Vehicles and Depot - Depot Buildings</t>
        </is>
      </c>
      <c r="E1083" s="23" t="inlineStr">
        <is>
          <t>None recorded</t>
        </is>
      </c>
      <c r="F1083" s="23" t="inlineStr">
        <is>
          <t>No individual professional decision recorded; Source assignment -- not individually reviewed</t>
        </is>
      </c>
      <c r="G1083" s="23" t="inlineStr">
        <is>
          <t>Not individually decided</t>
        </is>
      </c>
      <c r="H1083" s="23" t="inlineStr">
        <is>
          <t xml:space="preserve">RETAINED / ONE_TO_ONE; </t>
        </is>
      </c>
      <c r="I1083" s="23" t="inlineStr">
        <is>
          <t>Carried forward</t>
        </is>
      </c>
      <c r="J1083" s="14" t="inlineStr">
        <is>
          <t>08 CROSSWALK</t>
        </is>
      </c>
    </row>
    <row r="1084" ht="49" customHeight="1">
      <c r="A1084" s="23" t="inlineStr">
        <is>
          <t>R1400-v2</t>
        </is>
      </c>
      <c r="B1084" s="23" t="inlineStr">
        <is>
          <t>Cost &amp; Forecast Control Accounts / CST-04-078</t>
        </is>
      </c>
      <c r="C1084" s="23" t="inlineStr">
        <is>
          <t>Cost Account = CA-4078; WBS Code = 1.4.2</t>
        </is>
      </c>
      <c r="D1084" s="23" t="inlineStr">
        <is>
          <t>Proposed by Source assignment; target 1.4.2 Vehicles and Depot - Depot Buildings</t>
        </is>
      </c>
      <c r="E1084" s="23" t="inlineStr">
        <is>
          <t>None recorded</t>
        </is>
      </c>
      <c r="F1084" s="23" t="inlineStr">
        <is>
          <t>No individual professional decision recorded; Source assignment -- not individually reviewed</t>
        </is>
      </c>
      <c r="G1084" s="23" t="inlineStr">
        <is>
          <t>Not individually decided</t>
        </is>
      </c>
      <c r="H1084" s="23" t="inlineStr">
        <is>
          <t xml:space="preserve">RETAINED / ONE_TO_ONE; </t>
        </is>
      </c>
      <c r="I1084" s="23" t="inlineStr">
        <is>
          <t>Carried forward</t>
        </is>
      </c>
      <c r="J1084" s="14" t="inlineStr">
        <is>
          <t>08 CROSSWALK</t>
        </is>
      </c>
    </row>
    <row r="1085" ht="49" customHeight="1">
      <c r="A1085" s="23" t="inlineStr">
        <is>
          <t>R1402-v2</t>
        </is>
      </c>
      <c r="B1085" s="23" t="inlineStr">
        <is>
          <t>Cost &amp; Forecast Control Accounts / CST-04-080</t>
        </is>
      </c>
      <c r="C1085" s="23" t="inlineStr">
        <is>
          <t>Cost Account = CA-4080; WBS Code = 1.4.2</t>
        </is>
      </c>
      <c r="D1085" s="23" t="inlineStr">
        <is>
          <t>Proposed by Source assignment; target 1.4.2 Vehicles and Depot - Depot Buildings</t>
        </is>
      </c>
      <c r="E1085" s="23" t="inlineStr">
        <is>
          <t>None recorded</t>
        </is>
      </c>
      <c r="F1085" s="23" t="inlineStr">
        <is>
          <t>No individual professional decision recorded; Source assignment -- not individually reviewed</t>
        </is>
      </c>
      <c r="G1085" s="23" t="inlineStr">
        <is>
          <t>Not individually decided</t>
        </is>
      </c>
      <c r="H1085" s="23" t="inlineStr">
        <is>
          <t xml:space="preserve">RETAINED / ONE_TO_ONE; </t>
        </is>
      </c>
      <c r="I1085" s="23" t="inlineStr">
        <is>
          <t>Carried forward</t>
        </is>
      </c>
      <c r="J1085" s="14" t="inlineStr">
        <is>
          <t>08 CROSSWALK</t>
        </is>
      </c>
    </row>
    <row r="1086" ht="49" customHeight="1">
      <c r="A1086" s="23" t="inlineStr">
        <is>
          <t>R1603-v2</t>
        </is>
      </c>
      <c r="B1086" s="23" t="inlineStr">
        <is>
          <t>Commercial Package Register / PKG-041</t>
        </is>
      </c>
      <c r="C1086" s="23" t="inlineStr">
        <is>
          <t>Package Code = PK-501; WBS Code = 1.5</t>
        </is>
      </c>
      <c r="D1086" s="23" t="inlineStr">
        <is>
          <t>Proposed by Source assignment; target 1.5 Testing and Commissioning</t>
        </is>
      </c>
      <c r="E1086" s="23" t="inlineStr">
        <is>
          <t>None recorded</t>
        </is>
      </c>
      <c r="F1086" s="23" t="inlineStr">
        <is>
          <t>No individual professional decision recorded; Source assignment -- not individually reviewed</t>
        </is>
      </c>
      <c r="G1086" s="23" t="inlineStr">
        <is>
          <t>Not individually decided</t>
        </is>
      </c>
      <c r="H1086" s="23" t="inlineStr">
        <is>
          <t xml:space="preserve">RETAINED / ONE_TO_ONE; </t>
        </is>
      </c>
      <c r="I1086" s="23" t="inlineStr">
        <is>
          <t>Carried forward</t>
        </is>
      </c>
      <c r="J1086" s="14" t="inlineStr">
        <is>
          <t>08 CROSSWALK</t>
        </is>
      </c>
    </row>
    <row r="1087" ht="49" customHeight="1">
      <c r="A1087" s="23" t="inlineStr">
        <is>
          <t>R1604-v2</t>
        </is>
      </c>
      <c r="B1087" s="23" t="inlineStr">
        <is>
          <t>Commercial Package Register / PKG-042</t>
        </is>
      </c>
      <c r="C1087" s="23" t="inlineStr">
        <is>
          <t>Package Code = PK-502; WBS Code = 1.5</t>
        </is>
      </c>
      <c r="D1087" s="23" t="inlineStr">
        <is>
          <t>Proposed by Source assignment; target 1.5 Testing and Commissioning</t>
        </is>
      </c>
      <c r="E1087" s="23" t="inlineStr">
        <is>
          <t>None recorded</t>
        </is>
      </c>
      <c r="F1087" s="23" t="inlineStr">
        <is>
          <t>No individual professional decision recorded; Source assignment -- not individually reviewed</t>
        </is>
      </c>
      <c r="G1087" s="23" t="inlineStr">
        <is>
          <t>Not individually decided</t>
        </is>
      </c>
      <c r="H1087" s="23" t="inlineStr">
        <is>
          <t xml:space="preserve">RETAINED / ONE_TO_ONE; </t>
        </is>
      </c>
      <c r="I1087" s="23" t="inlineStr">
        <is>
          <t>Carried forward</t>
        </is>
      </c>
      <c r="J1087" s="14" t="inlineStr">
        <is>
          <t>08 CROSSWALK</t>
        </is>
      </c>
    </row>
    <row r="1088" ht="49" customHeight="1">
      <c r="A1088" s="23" t="inlineStr">
        <is>
          <t>R1605-v2</t>
        </is>
      </c>
      <c r="B1088" s="23" t="inlineStr">
        <is>
          <t>Commercial Package Register / PKG-043</t>
        </is>
      </c>
      <c r="C1088" s="23" t="inlineStr">
        <is>
          <t>Package Code = PK-503; WBS Code = 1.5</t>
        </is>
      </c>
      <c r="D1088" s="23" t="inlineStr">
        <is>
          <t>Proposed by Source assignment; target 1.5 Testing and Commissioning</t>
        </is>
      </c>
      <c r="E1088" s="23" t="inlineStr">
        <is>
          <t>None recorded</t>
        </is>
      </c>
      <c r="F1088" s="23" t="inlineStr">
        <is>
          <t>No individual professional decision recorded; Source assignment -- not individually reviewed</t>
        </is>
      </c>
      <c r="G1088" s="23" t="inlineStr">
        <is>
          <t>Not individually decided</t>
        </is>
      </c>
      <c r="H1088" s="23" t="inlineStr">
        <is>
          <t xml:space="preserve">RETAINED / ONE_TO_ONE; </t>
        </is>
      </c>
      <c r="I1088" s="23" t="inlineStr">
        <is>
          <t>Carried forward</t>
        </is>
      </c>
      <c r="J1088" s="14" t="inlineStr">
        <is>
          <t>08 CROSSWALK</t>
        </is>
      </c>
    </row>
    <row r="1089" ht="49" customHeight="1">
      <c r="A1089" s="23" t="inlineStr">
        <is>
          <t>R1606-v2</t>
        </is>
      </c>
      <c r="B1089" s="23" t="inlineStr">
        <is>
          <t>Commercial Package Register / PKG-044</t>
        </is>
      </c>
      <c r="C1089" s="23" t="inlineStr">
        <is>
          <t>Package Code = PK-504; WBS Code = 1.5</t>
        </is>
      </c>
      <c r="D1089" s="23" t="inlineStr">
        <is>
          <t>Proposed by Source assignment; target 1.5 Testing and Commissioning</t>
        </is>
      </c>
      <c r="E1089" s="23" t="inlineStr">
        <is>
          <t>None recorded</t>
        </is>
      </c>
      <c r="F1089" s="23" t="inlineStr">
        <is>
          <t>No individual professional decision recorded; Source assignment -- not individually reviewed</t>
        </is>
      </c>
      <c r="G1089" s="23" t="inlineStr">
        <is>
          <t>Not individually decided</t>
        </is>
      </c>
      <c r="H1089" s="23" t="inlineStr">
        <is>
          <t xml:space="preserve">RETAINED / ONE_TO_ONE; </t>
        </is>
      </c>
      <c r="I1089" s="23" t="inlineStr">
        <is>
          <t>Carried forward</t>
        </is>
      </c>
      <c r="J1089" s="14" t="inlineStr">
        <is>
          <t>08 CROSSWALK</t>
        </is>
      </c>
    </row>
    <row r="1090" ht="49" customHeight="1">
      <c r="A1090" s="23" t="inlineStr">
        <is>
          <t>R1607-v2</t>
        </is>
      </c>
      <c r="B1090" s="23" t="inlineStr">
        <is>
          <t>Commercial Package Register / PKG-045</t>
        </is>
      </c>
      <c r="C1090" s="23" t="inlineStr">
        <is>
          <t>Package Code = PK-505; WBS Code = 1.5</t>
        </is>
      </c>
      <c r="D1090" s="23" t="inlineStr">
        <is>
          <t>Proposed by Source assignment; target 1.5 Testing and Commissioning</t>
        </is>
      </c>
      <c r="E1090" s="23" t="inlineStr">
        <is>
          <t>None recorded</t>
        </is>
      </c>
      <c r="F1090" s="23" t="inlineStr">
        <is>
          <t>No individual professional decision recorded; Source assignment -- not individually reviewed</t>
        </is>
      </c>
      <c r="G1090" s="23" t="inlineStr">
        <is>
          <t>Not individually decided</t>
        </is>
      </c>
      <c r="H1090" s="23" t="inlineStr">
        <is>
          <t xml:space="preserve">RETAINED / ONE_TO_ONE; </t>
        </is>
      </c>
      <c r="I1090" s="23" t="inlineStr">
        <is>
          <t>Carried forward</t>
        </is>
      </c>
      <c r="J1090" s="14" t="inlineStr">
        <is>
          <t>08 CROSSWALK</t>
        </is>
      </c>
    </row>
    <row r="1091" ht="49" customHeight="1">
      <c r="A1091" s="23" t="inlineStr">
        <is>
          <t>R1608-v2</t>
        </is>
      </c>
      <c r="B1091" s="23" t="inlineStr">
        <is>
          <t>Commercial Package Register / PKG-046</t>
        </is>
      </c>
      <c r="C1091" s="23" t="inlineStr">
        <is>
          <t>Package Code = PK-506; WBS Code = 1.5</t>
        </is>
      </c>
      <c r="D1091" s="23" t="inlineStr">
        <is>
          <t>Proposed by Source assignment; target 1.5 Testing and Commissioning</t>
        </is>
      </c>
      <c r="E1091" s="23" t="inlineStr">
        <is>
          <t>None recorded</t>
        </is>
      </c>
      <c r="F1091" s="23" t="inlineStr">
        <is>
          <t>No individual professional decision recorded; Source assignment -- not individually reviewed</t>
        </is>
      </c>
      <c r="G1091" s="23" t="inlineStr">
        <is>
          <t>Not individually decided</t>
        </is>
      </c>
      <c r="H1091" s="23" t="inlineStr">
        <is>
          <t xml:space="preserve">RETAINED / ONE_TO_ONE; </t>
        </is>
      </c>
      <c r="I1091" s="23" t="inlineStr">
        <is>
          <t>Carried forward</t>
        </is>
      </c>
      <c r="J1091" s="14" t="inlineStr">
        <is>
          <t>08 CROSSWALK</t>
        </is>
      </c>
    </row>
    <row r="1092" ht="49" customHeight="1">
      <c r="A1092" s="23" t="inlineStr">
        <is>
          <t>R1609-v2</t>
        </is>
      </c>
      <c r="B1092" s="23" t="inlineStr">
        <is>
          <t>Commercial Package Register / PKG-047</t>
        </is>
      </c>
      <c r="C1092" s="23" t="inlineStr">
        <is>
          <t>Package Code = PK-507; WBS Code = 1.5</t>
        </is>
      </c>
      <c r="D1092" s="23" t="inlineStr">
        <is>
          <t>Proposed by Source assignment; target 1.5 Testing and Commissioning</t>
        </is>
      </c>
      <c r="E1092" s="23" t="inlineStr">
        <is>
          <t>None recorded</t>
        </is>
      </c>
      <c r="F1092" s="23" t="inlineStr">
        <is>
          <t>No individual professional decision recorded; Source assignment -- not individually reviewed</t>
        </is>
      </c>
      <c r="G1092" s="23" t="inlineStr">
        <is>
          <t>Not individually decided</t>
        </is>
      </c>
      <c r="H1092" s="23" t="inlineStr">
        <is>
          <t xml:space="preserve">RETAINED / ONE_TO_ONE; </t>
        </is>
      </c>
      <c r="I1092" s="23" t="inlineStr">
        <is>
          <t>Carried forward</t>
        </is>
      </c>
      <c r="J1092" s="14" t="inlineStr">
        <is>
          <t>08 CROSSWALK</t>
        </is>
      </c>
    </row>
    <row r="1093" ht="49" customHeight="1">
      <c r="A1093" s="23" t="inlineStr">
        <is>
          <t>R1610-v2</t>
        </is>
      </c>
      <c r="B1093" s="23" t="inlineStr">
        <is>
          <t>Commercial Package Register / PKG-048</t>
        </is>
      </c>
      <c r="C1093" s="23" t="inlineStr">
        <is>
          <t>Package Code = PK-508; WBS Code = 1.5</t>
        </is>
      </c>
      <c r="D1093" s="23" t="inlineStr">
        <is>
          <t>Proposed by Source assignment; target 1.5 Testing and Commissioning</t>
        </is>
      </c>
      <c r="E1093" s="23" t="inlineStr">
        <is>
          <t>None recorded</t>
        </is>
      </c>
      <c r="F1093" s="23" t="inlineStr">
        <is>
          <t>No individual professional decision recorded; Source assignment -- not individually reviewed</t>
        </is>
      </c>
      <c r="G1093" s="23" t="inlineStr">
        <is>
          <t>Not individually decided</t>
        </is>
      </c>
      <c r="H1093" s="23" t="inlineStr">
        <is>
          <t xml:space="preserve">RETAINED / ONE_TO_ONE; </t>
        </is>
      </c>
      <c r="I1093" s="23" t="inlineStr">
        <is>
          <t>Carried forward</t>
        </is>
      </c>
      <c r="J1093" s="14" t="inlineStr">
        <is>
          <t>08 CROSSWALK</t>
        </is>
      </c>
    </row>
    <row r="1094" ht="49" customHeight="1">
      <c r="A1094" s="23" t="inlineStr">
        <is>
          <t>R1611-v2</t>
        </is>
      </c>
      <c r="B1094" s="23" t="inlineStr">
        <is>
          <t>Commercial Package Register / PKG-049</t>
        </is>
      </c>
      <c r="C1094" s="23" t="inlineStr">
        <is>
          <t>Package Code = PK-509; WBS Code = 1.5</t>
        </is>
      </c>
      <c r="D1094" s="23" t="inlineStr">
        <is>
          <t>Proposed by Source assignment; target 1.5 Testing and Commissioning</t>
        </is>
      </c>
      <c r="E1094" s="23" t="inlineStr">
        <is>
          <t>None recorded</t>
        </is>
      </c>
      <c r="F1094" s="23" t="inlineStr">
        <is>
          <t>No individual professional decision recorded; Source assignment -- not individually reviewed</t>
        </is>
      </c>
      <c r="G1094" s="23" t="inlineStr">
        <is>
          <t>Not individually decided</t>
        </is>
      </c>
      <c r="H1094" s="23" t="inlineStr">
        <is>
          <t xml:space="preserve">RETAINED / ONE_TO_ONE; </t>
        </is>
      </c>
      <c r="I1094" s="23" t="inlineStr">
        <is>
          <t>Carried forward</t>
        </is>
      </c>
      <c r="J1094" s="14" t="inlineStr">
        <is>
          <t>08 CROSSWALK</t>
        </is>
      </c>
    </row>
    <row r="1095" ht="49" customHeight="1">
      <c r="A1095" s="23" t="inlineStr">
        <is>
          <t>R1612-v2</t>
        </is>
      </c>
      <c r="B1095" s="23" t="inlineStr">
        <is>
          <t>Commercial Package Register / PKG-050</t>
        </is>
      </c>
      <c r="C1095" s="23" t="inlineStr">
        <is>
          <t>Package Code = PK-510; WBS Code = 1.5</t>
        </is>
      </c>
      <c r="D1095" s="23" t="inlineStr">
        <is>
          <t>Proposed by Source assignment; target 1.5 Testing and Commissioning</t>
        </is>
      </c>
      <c r="E1095" s="23" t="inlineStr">
        <is>
          <t>None recorded</t>
        </is>
      </c>
      <c r="F1095" s="23" t="inlineStr">
        <is>
          <t>No individual professional decision recorded; Source assignment -- not individually reviewed</t>
        </is>
      </c>
      <c r="G1095" s="23" t="inlineStr">
        <is>
          <t>Not individually decided</t>
        </is>
      </c>
      <c r="H1095" s="23" t="inlineStr">
        <is>
          <t xml:space="preserve">RETAINED / ONE_TO_ONE; </t>
        </is>
      </c>
      <c r="I1095" s="23" t="inlineStr">
        <is>
          <t>Carried forward</t>
        </is>
      </c>
      <c r="J1095" s="14" t="inlineStr">
        <is>
          <t>08 CROSSWALK</t>
        </is>
      </c>
    </row>
    <row r="1096" ht="49" customHeight="1">
      <c r="A1096" s="23" t="inlineStr">
        <is>
          <t>R721-v2</t>
        </is>
      </c>
      <c r="B1096" s="23" t="inlineStr">
        <is>
          <t>Contractor Programme / SCH-05-001</t>
        </is>
      </c>
      <c r="C1096" s="23" t="inlineStr">
        <is>
          <t>WBS Code = 1.5.1</t>
        </is>
      </c>
      <c r="D1096" s="23" t="inlineStr">
        <is>
          <t>Proposed by Source assignment; target 1.5.1 Testing and Commissioning - Test Readiness</t>
        </is>
      </c>
      <c r="E1096" s="23" t="inlineStr">
        <is>
          <t>None recorded</t>
        </is>
      </c>
      <c r="F1096" s="23" t="inlineStr">
        <is>
          <t>No individual professional decision recorded; Source assignment -- not individually reviewed</t>
        </is>
      </c>
      <c r="G1096" s="23" t="inlineStr">
        <is>
          <t>Not individually decided</t>
        </is>
      </c>
      <c r="H1096" s="23" t="inlineStr">
        <is>
          <t xml:space="preserve">RETAINED / ONE_TO_ONE; </t>
        </is>
      </c>
      <c r="I1096" s="23" t="inlineStr">
        <is>
          <t>Carried forward</t>
        </is>
      </c>
      <c r="J1096" s="14" t="inlineStr">
        <is>
          <t>08 CROSSWALK</t>
        </is>
      </c>
    </row>
    <row r="1097" ht="49" customHeight="1">
      <c r="A1097" s="23" t="inlineStr">
        <is>
          <t>R722-v2</t>
        </is>
      </c>
      <c r="B1097" s="23" t="inlineStr">
        <is>
          <t>Contractor Programme / SCH-05-002</t>
        </is>
      </c>
      <c r="C1097" s="23" t="inlineStr">
        <is>
          <t>WBS Code = 1.5.1</t>
        </is>
      </c>
      <c r="D1097" s="23" t="inlineStr">
        <is>
          <t>Proposed by Source assignment; target 1.5.1 Testing and Commissioning - Test Readiness</t>
        </is>
      </c>
      <c r="E1097" s="23" t="inlineStr">
        <is>
          <t>None recorded</t>
        </is>
      </c>
      <c r="F1097" s="23" t="inlineStr">
        <is>
          <t>No individual professional decision recorded; Source assignment -- not individually reviewed</t>
        </is>
      </c>
      <c r="G1097" s="23" t="inlineStr">
        <is>
          <t>Not individually decided</t>
        </is>
      </c>
      <c r="H1097" s="23" t="inlineStr">
        <is>
          <t xml:space="preserve">RETAINED / ONE_TO_ONE; </t>
        </is>
      </c>
      <c r="I1097" s="23" t="inlineStr">
        <is>
          <t>Carried forward</t>
        </is>
      </c>
      <c r="J1097" s="14" t="inlineStr">
        <is>
          <t>08 CROSSWALK</t>
        </is>
      </c>
    </row>
    <row r="1098" ht="49" customHeight="1">
      <c r="A1098" s="23" t="inlineStr">
        <is>
          <t>R724-v2</t>
        </is>
      </c>
      <c r="B1098" s="23" t="inlineStr">
        <is>
          <t>Contractor Programme / SCH-05-004</t>
        </is>
      </c>
      <c r="C1098" s="23" t="inlineStr">
        <is>
          <t>WBS Code = 1.5.1</t>
        </is>
      </c>
      <c r="D1098" s="23" t="inlineStr">
        <is>
          <t>Proposed by Source assignment; target 1.5.1 Testing and Commissioning - Test Readiness</t>
        </is>
      </c>
      <c r="E1098" s="23" t="inlineStr">
        <is>
          <t>None recorded</t>
        </is>
      </c>
      <c r="F1098" s="23" t="inlineStr">
        <is>
          <t>No individual professional decision recorded; Source assignment -- not individually reviewed</t>
        </is>
      </c>
      <c r="G1098" s="23" t="inlineStr">
        <is>
          <t>Not individually decided</t>
        </is>
      </c>
      <c r="H1098" s="23" t="inlineStr">
        <is>
          <t xml:space="preserve">RETAINED / ONE_TO_ONE; </t>
        </is>
      </c>
      <c r="I1098" s="23" t="inlineStr">
        <is>
          <t>Carried forward</t>
        </is>
      </c>
      <c r="J1098" s="14" t="inlineStr">
        <is>
          <t>08 CROSSWALK</t>
        </is>
      </c>
    </row>
    <row r="1099" ht="49" customHeight="1">
      <c r="A1099" s="23" t="inlineStr">
        <is>
          <t>R725-v2</t>
        </is>
      </c>
      <c r="B1099" s="23" t="inlineStr">
        <is>
          <t>Contractor Programme / SCH-05-005</t>
        </is>
      </c>
      <c r="C1099" s="23" t="inlineStr">
        <is>
          <t>WBS Code = 1.5.1</t>
        </is>
      </c>
      <c r="D1099" s="23" t="inlineStr">
        <is>
          <t>Proposed by Source assignment; target 1.5.1 Testing and Commissioning - Test Readiness</t>
        </is>
      </c>
      <c r="E1099" s="23" t="inlineStr">
        <is>
          <t>None recorded</t>
        </is>
      </c>
      <c r="F1099" s="23" t="inlineStr">
        <is>
          <t>No individual professional decision recorded; Source assignment -- not individually reviewed</t>
        </is>
      </c>
      <c r="G1099" s="23" t="inlineStr">
        <is>
          <t>Not individually decided</t>
        </is>
      </c>
      <c r="H1099" s="23" t="inlineStr">
        <is>
          <t xml:space="preserve">RETAINED / ONE_TO_ONE; </t>
        </is>
      </c>
      <c r="I1099" s="23" t="inlineStr">
        <is>
          <t>Carried forward</t>
        </is>
      </c>
      <c r="J1099" s="14" t="inlineStr">
        <is>
          <t>08 CROSSWALK</t>
        </is>
      </c>
    </row>
    <row r="1100" ht="49" customHeight="1">
      <c r="A1100" s="23" t="inlineStr">
        <is>
          <t>R727-v2</t>
        </is>
      </c>
      <c r="B1100" s="23" t="inlineStr">
        <is>
          <t>Contractor Programme / SCH-05-007</t>
        </is>
      </c>
      <c r="C1100" s="23" t="inlineStr">
        <is>
          <t>WBS Code = 1.5.1</t>
        </is>
      </c>
      <c r="D1100" s="23" t="inlineStr">
        <is>
          <t>Proposed by Source assignment; target 1.5.1 Testing and Commissioning - Test Readiness</t>
        </is>
      </c>
      <c r="E1100" s="23" t="inlineStr">
        <is>
          <t>None recorded</t>
        </is>
      </c>
      <c r="F1100" s="23" t="inlineStr">
        <is>
          <t>No individual professional decision recorded; Source assignment -- not individually reviewed</t>
        </is>
      </c>
      <c r="G1100" s="23" t="inlineStr">
        <is>
          <t>Not individually decided</t>
        </is>
      </c>
      <c r="H1100" s="23" t="inlineStr">
        <is>
          <t xml:space="preserve">RETAINED / ONE_TO_ONE; </t>
        </is>
      </c>
      <c r="I1100" s="23" t="inlineStr">
        <is>
          <t>Carried forward</t>
        </is>
      </c>
      <c r="J1100" s="14" t="inlineStr">
        <is>
          <t>08 CROSSWALK</t>
        </is>
      </c>
    </row>
    <row r="1101" ht="49" customHeight="1">
      <c r="A1101" s="23" t="inlineStr">
        <is>
          <t>R728-v2</t>
        </is>
      </c>
      <c r="B1101" s="23" t="inlineStr">
        <is>
          <t>Contractor Programme / SCH-05-008</t>
        </is>
      </c>
      <c r="C1101" s="23" t="inlineStr">
        <is>
          <t>WBS Code = 1.5.1</t>
        </is>
      </c>
      <c r="D1101" s="23" t="inlineStr">
        <is>
          <t>Proposed by Source assignment; target 1.5.1 Testing and Commissioning - Test Readiness</t>
        </is>
      </c>
      <c r="E1101" s="23" t="inlineStr">
        <is>
          <t>None recorded</t>
        </is>
      </c>
      <c r="F1101" s="23" t="inlineStr">
        <is>
          <t>No individual professional decision recorded; Source assignment -- not individually reviewed</t>
        </is>
      </c>
      <c r="G1101" s="23" t="inlineStr">
        <is>
          <t>Not individually decided</t>
        </is>
      </c>
      <c r="H1101" s="23" t="inlineStr">
        <is>
          <t xml:space="preserve">RETAINED / ONE_TO_ONE; </t>
        </is>
      </c>
      <c r="I1101" s="23" t="inlineStr">
        <is>
          <t>Carried forward</t>
        </is>
      </c>
      <c r="J1101" s="14" t="inlineStr">
        <is>
          <t>08 CROSSWALK</t>
        </is>
      </c>
    </row>
    <row r="1102" ht="49" customHeight="1">
      <c r="A1102" s="23" t="inlineStr">
        <is>
          <t>R730-v2</t>
        </is>
      </c>
      <c r="B1102" s="23" t="inlineStr">
        <is>
          <t>Contractor Programme / SCH-05-010</t>
        </is>
      </c>
      <c r="C1102" s="23" t="inlineStr">
        <is>
          <t>WBS Code = 1.5.1</t>
        </is>
      </c>
      <c r="D1102" s="23" t="inlineStr">
        <is>
          <t>Proposed by Source assignment; target 1.5.1 Testing and Commissioning - Test Readiness</t>
        </is>
      </c>
      <c r="E1102" s="23" t="inlineStr">
        <is>
          <t>None recorded</t>
        </is>
      </c>
      <c r="F1102" s="23" t="inlineStr">
        <is>
          <t>No individual professional decision recorded; Source assignment -- not individually reviewed</t>
        </is>
      </c>
      <c r="G1102" s="23" t="inlineStr">
        <is>
          <t>Not individually decided</t>
        </is>
      </c>
      <c r="H1102" s="23" t="inlineStr">
        <is>
          <t xml:space="preserve">RETAINED / ONE_TO_ONE; </t>
        </is>
      </c>
      <c r="I1102" s="23" t="inlineStr">
        <is>
          <t>Carried forward</t>
        </is>
      </c>
      <c r="J1102" s="14" t="inlineStr">
        <is>
          <t>08 CROSSWALK</t>
        </is>
      </c>
    </row>
    <row r="1103" ht="49" customHeight="1">
      <c r="A1103" s="23" t="inlineStr">
        <is>
          <t>R731-v2</t>
        </is>
      </c>
      <c r="B1103" s="23" t="inlineStr">
        <is>
          <t>Contractor Programme / SCH-05-011</t>
        </is>
      </c>
      <c r="C1103" s="23" t="inlineStr">
        <is>
          <t>WBS Code = 1.5.1</t>
        </is>
      </c>
      <c r="D1103" s="23" t="inlineStr">
        <is>
          <t>Proposed by Source assignment; target 1.5.1 Testing and Commissioning - Test Readiness</t>
        </is>
      </c>
      <c r="E1103" s="23" t="inlineStr">
        <is>
          <t>None recorded</t>
        </is>
      </c>
      <c r="F1103" s="23" t="inlineStr">
        <is>
          <t>No individual professional decision recorded; Source assignment -- not individually reviewed</t>
        </is>
      </c>
      <c r="G1103" s="23" t="inlineStr">
        <is>
          <t>Not individually decided</t>
        </is>
      </c>
      <c r="H1103" s="23" t="inlineStr">
        <is>
          <t xml:space="preserve">RETAINED / ONE_TO_ONE; </t>
        </is>
      </c>
      <c r="I1103" s="23" t="inlineStr">
        <is>
          <t>Carried forward</t>
        </is>
      </c>
      <c r="J1103" s="14" t="inlineStr">
        <is>
          <t>08 CROSSWALK</t>
        </is>
      </c>
    </row>
    <row r="1104" ht="49" customHeight="1">
      <c r="A1104" s="23" t="inlineStr">
        <is>
          <t>R733-v2</t>
        </is>
      </c>
      <c r="B1104" s="23" t="inlineStr">
        <is>
          <t>Contractor Programme / SCH-05-013</t>
        </is>
      </c>
      <c r="C1104" s="23" t="inlineStr">
        <is>
          <t>WBS Code = 1.5.1</t>
        </is>
      </c>
      <c r="D1104" s="23" t="inlineStr">
        <is>
          <t>Proposed by Source assignment; target 1.5.1 Testing and Commissioning - Test Readiness</t>
        </is>
      </c>
      <c r="E1104" s="23" t="inlineStr">
        <is>
          <t>None recorded</t>
        </is>
      </c>
      <c r="F1104" s="23" t="inlineStr">
        <is>
          <t>No individual professional decision recorded; Source assignment -- not individually reviewed</t>
        </is>
      </c>
      <c r="G1104" s="23" t="inlineStr">
        <is>
          <t>Not individually decided</t>
        </is>
      </c>
      <c r="H1104" s="23" t="inlineStr">
        <is>
          <t xml:space="preserve">RETAINED / ONE_TO_ONE; </t>
        </is>
      </c>
      <c r="I1104" s="23" t="inlineStr">
        <is>
          <t>Carried forward</t>
        </is>
      </c>
      <c r="J1104" s="14" t="inlineStr">
        <is>
          <t>08 CROSSWALK</t>
        </is>
      </c>
    </row>
    <row r="1105" ht="49" customHeight="1">
      <c r="A1105" s="23" t="inlineStr">
        <is>
          <t>R734-v2</t>
        </is>
      </c>
      <c r="B1105" s="23" t="inlineStr">
        <is>
          <t>Contractor Programme / SCH-05-014</t>
        </is>
      </c>
      <c r="C1105" s="23" t="inlineStr">
        <is>
          <t>WBS Code = 1.5.1</t>
        </is>
      </c>
      <c r="D1105" s="23" t="inlineStr">
        <is>
          <t>Proposed by Source assignment; target 1.5.1 Testing and Commissioning - Test Readiness</t>
        </is>
      </c>
      <c r="E1105" s="23" t="inlineStr">
        <is>
          <t>None recorded</t>
        </is>
      </c>
      <c r="F1105" s="23" t="inlineStr">
        <is>
          <t>No individual professional decision recorded; Source assignment -- not individually reviewed</t>
        </is>
      </c>
      <c r="G1105" s="23" t="inlineStr">
        <is>
          <t>Not individually decided</t>
        </is>
      </c>
      <c r="H1105" s="23" t="inlineStr">
        <is>
          <t xml:space="preserve">RETAINED / ONE_TO_ONE; </t>
        </is>
      </c>
      <c r="I1105" s="23" t="inlineStr">
        <is>
          <t>Carried forward</t>
        </is>
      </c>
      <c r="J1105" s="14" t="inlineStr">
        <is>
          <t>08 CROSSWALK</t>
        </is>
      </c>
    </row>
    <row r="1106" ht="49" customHeight="1">
      <c r="A1106" s="23" t="inlineStr">
        <is>
          <t>R736-v2</t>
        </is>
      </c>
      <c r="B1106" s="23" t="inlineStr">
        <is>
          <t>Contractor Programme / SCH-05-016</t>
        </is>
      </c>
      <c r="C1106" s="23" t="inlineStr">
        <is>
          <t>WBS Code = 1.5.1</t>
        </is>
      </c>
      <c r="D1106" s="23" t="inlineStr">
        <is>
          <t>Proposed by Source assignment; target 1.5.1 Testing and Commissioning - Test Readiness</t>
        </is>
      </c>
      <c r="E1106" s="23" t="inlineStr">
        <is>
          <t>None recorded</t>
        </is>
      </c>
      <c r="F1106" s="23" t="inlineStr">
        <is>
          <t>No individual professional decision recorded; Source assignment -- not individually reviewed</t>
        </is>
      </c>
      <c r="G1106" s="23" t="inlineStr">
        <is>
          <t>Not individually decided</t>
        </is>
      </c>
      <c r="H1106" s="23" t="inlineStr">
        <is>
          <t xml:space="preserve">RETAINED / ONE_TO_ONE; </t>
        </is>
      </c>
      <c r="I1106" s="23" t="inlineStr">
        <is>
          <t>Carried forward</t>
        </is>
      </c>
      <c r="J1106" s="14" t="inlineStr">
        <is>
          <t>08 CROSSWALK</t>
        </is>
      </c>
    </row>
    <row r="1107" ht="49" customHeight="1">
      <c r="A1107" s="23" t="inlineStr">
        <is>
          <t>R737-v2</t>
        </is>
      </c>
      <c r="B1107" s="23" t="inlineStr">
        <is>
          <t>Contractor Programme / SCH-05-017</t>
        </is>
      </c>
      <c r="C1107" s="23" t="inlineStr">
        <is>
          <t>WBS Code = 1.5.1</t>
        </is>
      </c>
      <c r="D1107" s="23" t="inlineStr">
        <is>
          <t>Proposed by Source assignment; target 1.5.1 Testing and Commissioning - Test Readiness</t>
        </is>
      </c>
      <c r="E1107" s="23" t="inlineStr">
        <is>
          <t>None recorded</t>
        </is>
      </c>
      <c r="F1107" s="23" t="inlineStr">
        <is>
          <t>No individual professional decision recorded; Source assignment -- not individually reviewed</t>
        </is>
      </c>
      <c r="G1107" s="23" t="inlineStr">
        <is>
          <t>Not individually decided</t>
        </is>
      </c>
      <c r="H1107" s="23" t="inlineStr">
        <is>
          <t xml:space="preserve">RETAINED / ONE_TO_ONE; </t>
        </is>
      </c>
      <c r="I1107" s="23" t="inlineStr">
        <is>
          <t>Carried forward</t>
        </is>
      </c>
      <c r="J1107" s="14" t="inlineStr">
        <is>
          <t>08 CROSSWALK</t>
        </is>
      </c>
    </row>
    <row r="1108" ht="49" customHeight="1">
      <c r="A1108" s="23" t="inlineStr">
        <is>
          <t>R739-v2</t>
        </is>
      </c>
      <c r="B1108" s="23" t="inlineStr">
        <is>
          <t>Contractor Programme / SCH-05-019</t>
        </is>
      </c>
      <c r="C1108" s="23" t="inlineStr">
        <is>
          <t>WBS Code = 1.5.1</t>
        </is>
      </c>
      <c r="D1108" s="23" t="inlineStr">
        <is>
          <t>Proposed by Source assignment; target 1.5.1 Testing and Commissioning - Test Readiness</t>
        </is>
      </c>
      <c r="E1108" s="23" t="inlineStr">
        <is>
          <t>None recorded</t>
        </is>
      </c>
      <c r="F1108" s="23" t="inlineStr">
        <is>
          <t>No individual professional decision recorded; Source assignment -- not individually reviewed</t>
        </is>
      </c>
      <c r="G1108" s="23" t="inlineStr">
        <is>
          <t>Not individually decided</t>
        </is>
      </c>
      <c r="H1108" s="23" t="inlineStr">
        <is>
          <t xml:space="preserve">RETAINED / ONE_TO_ONE; </t>
        </is>
      </c>
      <c r="I1108" s="23" t="inlineStr">
        <is>
          <t>Carried forward</t>
        </is>
      </c>
      <c r="J1108" s="14" t="inlineStr">
        <is>
          <t>08 CROSSWALK</t>
        </is>
      </c>
    </row>
    <row r="1109" ht="49" customHeight="1">
      <c r="A1109" s="23" t="inlineStr">
        <is>
          <t>R740-v2</t>
        </is>
      </c>
      <c r="B1109" s="23" t="inlineStr">
        <is>
          <t>Contractor Programme / SCH-05-020</t>
        </is>
      </c>
      <c r="C1109" s="23" t="inlineStr">
        <is>
          <t>WBS Code = 1.5.1</t>
        </is>
      </c>
      <c r="D1109" s="23" t="inlineStr">
        <is>
          <t>Proposed by Source assignment; target 1.5.1 Testing and Commissioning - Test Readiness</t>
        </is>
      </c>
      <c r="E1109" s="23" t="inlineStr">
        <is>
          <t>None recorded</t>
        </is>
      </c>
      <c r="F1109" s="23" t="inlineStr">
        <is>
          <t>No individual professional decision recorded; Source assignment -- not individually reviewed</t>
        </is>
      </c>
      <c r="G1109" s="23" t="inlineStr">
        <is>
          <t>Not individually decided</t>
        </is>
      </c>
      <c r="H1109" s="23" t="inlineStr">
        <is>
          <t xml:space="preserve">RETAINED / ONE_TO_ONE; </t>
        </is>
      </c>
      <c r="I1109" s="23" t="inlineStr">
        <is>
          <t>Carried forward</t>
        </is>
      </c>
      <c r="J1109" s="14" t="inlineStr">
        <is>
          <t>08 CROSSWALK</t>
        </is>
      </c>
    </row>
    <row r="1110" ht="49" customHeight="1">
      <c r="A1110" s="23" t="inlineStr">
        <is>
          <t>R742-v2</t>
        </is>
      </c>
      <c r="B1110" s="23" t="inlineStr">
        <is>
          <t>Contractor Programme / SCH-05-022</t>
        </is>
      </c>
      <c r="C1110" s="23" t="inlineStr">
        <is>
          <t>WBS Code = 1.5.1</t>
        </is>
      </c>
      <c r="D1110" s="23" t="inlineStr">
        <is>
          <t>Proposed by Source assignment; target 1.5.1 Testing and Commissioning - Test Readiness</t>
        </is>
      </c>
      <c r="E1110" s="23" t="inlineStr">
        <is>
          <t>None recorded</t>
        </is>
      </c>
      <c r="F1110" s="23" t="inlineStr">
        <is>
          <t>No individual professional decision recorded; Source assignment -- not individually reviewed</t>
        </is>
      </c>
      <c r="G1110" s="23" t="inlineStr">
        <is>
          <t>Not individually decided</t>
        </is>
      </c>
      <c r="H1110" s="23" t="inlineStr">
        <is>
          <t xml:space="preserve">RETAINED / ONE_TO_ONE; </t>
        </is>
      </c>
      <c r="I1110" s="23" t="inlineStr">
        <is>
          <t>Carried forward</t>
        </is>
      </c>
      <c r="J1110" s="14" t="inlineStr">
        <is>
          <t>08 CROSSWALK</t>
        </is>
      </c>
    </row>
    <row r="1111" ht="49" customHeight="1">
      <c r="A1111" s="23" t="inlineStr">
        <is>
          <t>R743-v2</t>
        </is>
      </c>
      <c r="B1111" s="23" t="inlineStr">
        <is>
          <t>Contractor Programme / SCH-05-023</t>
        </is>
      </c>
      <c r="C1111" s="23" t="inlineStr">
        <is>
          <t>WBS Code = 1.5.1</t>
        </is>
      </c>
      <c r="D1111" s="23" t="inlineStr">
        <is>
          <t>Proposed by Source assignment; target 1.5.1 Testing and Commissioning - Test Readiness</t>
        </is>
      </c>
      <c r="E1111" s="23" t="inlineStr">
        <is>
          <t>None recorded</t>
        </is>
      </c>
      <c r="F1111" s="23" t="inlineStr">
        <is>
          <t>No individual professional decision recorded; Source assignment -- not individually reviewed</t>
        </is>
      </c>
      <c r="G1111" s="23" t="inlineStr">
        <is>
          <t>Not individually decided</t>
        </is>
      </c>
      <c r="H1111" s="23" t="inlineStr">
        <is>
          <t xml:space="preserve">RETAINED / ONE_TO_ONE; </t>
        </is>
      </c>
      <c r="I1111" s="23" t="inlineStr">
        <is>
          <t>Carried forward</t>
        </is>
      </c>
      <c r="J1111" s="14" t="inlineStr">
        <is>
          <t>08 CROSSWALK</t>
        </is>
      </c>
    </row>
    <row r="1112" ht="49" customHeight="1">
      <c r="A1112" s="23" t="inlineStr">
        <is>
          <t>R745-v2</t>
        </is>
      </c>
      <c r="B1112" s="23" t="inlineStr">
        <is>
          <t>Contractor Programme / SCH-05-025</t>
        </is>
      </c>
      <c r="C1112" s="23" t="inlineStr">
        <is>
          <t>WBS Code = 1.5.1</t>
        </is>
      </c>
      <c r="D1112" s="23" t="inlineStr">
        <is>
          <t>Proposed by Source assignment; target 1.5.1 Testing and Commissioning - Test Readiness</t>
        </is>
      </c>
      <c r="E1112" s="23" t="inlineStr">
        <is>
          <t>None recorded</t>
        </is>
      </c>
      <c r="F1112" s="23" t="inlineStr">
        <is>
          <t>No individual professional decision recorded; Source assignment -- not individually reviewed</t>
        </is>
      </c>
      <c r="G1112" s="23" t="inlineStr">
        <is>
          <t>Not individually decided</t>
        </is>
      </c>
      <c r="H1112" s="23" t="inlineStr">
        <is>
          <t xml:space="preserve">RETAINED / ONE_TO_ONE; </t>
        </is>
      </c>
      <c r="I1112" s="23" t="inlineStr">
        <is>
          <t>Carried forward</t>
        </is>
      </c>
      <c r="J1112" s="14" t="inlineStr">
        <is>
          <t>08 CROSSWALK</t>
        </is>
      </c>
    </row>
    <row r="1113" ht="49" customHeight="1">
      <c r="A1113" s="23" t="inlineStr">
        <is>
          <t>R746-v2</t>
        </is>
      </c>
      <c r="B1113" s="23" t="inlineStr">
        <is>
          <t>Contractor Programme / SCH-05-026</t>
        </is>
      </c>
      <c r="C1113" s="23" t="inlineStr">
        <is>
          <t>WBS Code = 1.5.1</t>
        </is>
      </c>
      <c r="D1113" s="23" t="inlineStr">
        <is>
          <t>Proposed by Source assignment; target 1.5.1 Testing and Commissioning - Test Readiness</t>
        </is>
      </c>
      <c r="E1113" s="23" t="inlineStr">
        <is>
          <t>None recorded</t>
        </is>
      </c>
      <c r="F1113" s="23" t="inlineStr">
        <is>
          <t>No individual professional decision recorded; Source assignment -- not individually reviewed</t>
        </is>
      </c>
      <c r="G1113" s="23" t="inlineStr">
        <is>
          <t>Not individually decided</t>
        </is>
      </c>
      <c r="H1113" s="23" t="inlineStr">
        <is>
          <t xml:space="preserve">RETAINED / ONE_TO_ONE; </t>
        </is>
      </c>
      <c r="I1113" s="23" t="inlineStr">
        <is>
          <t>Carried forward</t>
        </is>
      </c>
      <c r="J1113" s="14" t="inlineStr">
        <is>
          <t>08 CROSSWALK</t>
        </is>
      </c>
    </row>
    <row r="1114" ht="49" customHeight="1">
      <c r="A1114" s="23" t="inlineStr">
        <is>
          <t>R748-v2</t>
        </is>
      </c>
      <c r="B1114" s="23" t="inlineStr">
        <is>
          <t>Contractor Programme / SCH-05-028</t>
        </is>
      </c>
      <c r="C1114" s="23" t="inlineStr">
        <is>
          <t>WBS Code = 1.5.1</t>
        </is>
      </c>
      <c r="D1114" s="23" t="inlineStr">
        <is>
          <t>Proposed by Source assignment; target 1.5.1 Testing and Commissioning - Test Readiness</t>
        </is>
      </c>
      <c r="E1114" s="23" t="inlineStr">
        <is>
          <t>None recorded</t>
        </is>
      </c>
      <c r="F1114" s="23" t="inlineStr">
        <is>
          <t>No individual professional decision recorded; Source assignment -- not individually reviewed</t>
        </is>
      </c>
      <c r="G1114" s="23" t="inlineStr">
        <is>
          <t>Not individually decided</t>
        </is>
      </c>
      <c r="H1114" s="23" t="inlineStr">
        <is>
          <t xml:space="preserve">RETAINED / ONE_TO_ONE; </t>
        </is>
      </c>
      <c r="I1114" s="23" t="inlineStr">
        <is>
          <t>Carried forward</t>
        </is>
      </c>
      <c r="J1114" s="14" t="inlineStr">
        <is>
          <t>08 CROSSWALK</t>
        </is>
      </c>
    </row>
    <row r="1115" ht="49" customHeight="1">
      <c r="A1115" s="23" t="inlineStr">
        <is>
          <t>R749-v2</t>
        </is>
      </c>
      <c r="B1115" s="23" t="inlineStr">
        <is>
          <t>Contractor Programme / SCH-05-029</t>
        </is>
      </c>
      <c r="C1115" s="23" t="inlineStr">
        <is>
          <t>WBS Code = 1.5.1</t>
        </is>
      </c>
      <c r="D1115" s="23" t="inlineStr">
        <is>
          <t>Proposed by Source assignment; target 1.5.1 Testing and Commissioning - Test Readiness</t>
        </is>
      </c>
      <c r="E1115" s="23" t="inlineStr">
        <is>
          <t>None recorded</t>
        </is>
      </c>
      <c r="F1115" s="23" t="inlineStr">
        <is>
          <t>No individual professional decision recorded; Source assignment -- not individually reviewed</t>
        </is>
      </c>
      <c r="G1115" s="23" t="inlineStr">
        <is>
          <t>Not individually decided</t>
        </is>
      </c>
      <c r="H1115" s="23" t="inlineStr">
        <is>
          <t xml:space="preserve">RETAINED / ONE_TO_ONE; </t>
        </is>
      </c>
      <c r="I1115" s="23" t="inlineStr">
        <is>
          <t>Carried forward</t>
        </is>
      </c>
      <c r="J1115" s="14" t="inlineStr">
        <is>
          <t>08 CROSSWALK</t>
        </is>
      </c>
    </row>
    <row r="1116" ht="49" customHeight="1">
      <c r="A1116" s="23" t="inlineStr">
        <is>
          <t>R751-v2</t>
        </is>
      </c>
      <c r="B1116" s="23" t="inlineStr">
        <is>
          <t>Contractor Programme / SCH-05-031</t>
        </is>
      </c>
      <c r="C1116" s="23" t="inlineStr">
        <is>
          <t>WBS Code = 1.5.1</t>
        </is>
      </c>
      <c r="D1116" s="23" t="inlineStr">
        <is>
          <t>Proposed by Source assignment; target 1.5.1 Testing and Commissioning - Test Readiness</t>
        </is>
      </c>
      <c r="E1116" s="23" t="inlineStr">
        <is>
          <t>None recorded</t>
        </is>
      </c>
      <c r="F1116" s="23" t="inlineStr">
        <is>
          <t>No individual professional decision recorded; Source assignment -- not individually reviewed</t>
        </is>
      </c>
      <c r="G1116" s="23" t="inlineStr">
        <is>
          <t>Not individually decided</t>
        </is>
      </c>
      <c r="H1116" s="23" t="inlineStr">
        <is>
          <t xml:space="preserve">RETAINED / ONE_TO_ONE; </t>
        </is>
      </c>
      <c r="I1116" s="23" t="inlineStr">
        <is>
          <t>Carried forward</t>
        </is>
      </c>
      <c r="J1116" s="14" t="inlineStr">
        <is>
          <t>08 CROSSWALK</t>
        </is>
      </c>
    </row>
    <row r="1117" ht="49" customHeight="1">
      <c r="A1117" s="23" t="inlineStr">
        <is>
          <t>R752-v2</t>
        </is>
      </c>
      <c r="B1117" s="23" t="inlineStr">
        <is>
          <t>Contractor Programme / SCH-05-032</t>
        </is>
      </c>
      <c r="C1117" s="23" t="inlineStr">
        <is>
          <t>WBS Code = 1.5.1</t>
        </is>
      </c>
      <c r="D1117" s="23" t="inlineStr">
        <is>
          <t>Proposed by Source assignment; target 1.5.1 Testing and Commissioning - Test Readiness</t>
        </is>
      </c>
      <c r="E1117" s="23" t="inlineStr">
        <is>
          <t>None recorded</t>
        </is>
      </c>
      <c r="F1117" s="23" t="inlineStr">
        <is>
          <t>No individual professional decision recorded; Source assignment -- not individually reviewed</t>
        </is>
      </c>
      <c r="G1117" s="23" t="inlineStr">
        <is>
          <t>Not individually decided</t>
        </is>
      </c>
      <c r="H1117" s="23" t="inlineStr">
        <is>
          <t xml:space="preserve">RETAINED / ONE_TO_ONE; </t>
        </is>
      </c>
      <c r="I1117" s="23" t="inlineStr">
        <is>
          <t>Carried forward</t>
        </is>
      </c>
      <c r="J1117" s="14" t="inlineStr">
        <is>
          <t>08 CROSSWALK</t>
        </is>
      </c>
    </row>
    <row r="1118" ht="49" customHeight="1">
      <c r="A1118" s="23" t="inlineStr">
        <is>
          <t>R754-v2</t>
        </is>
      </c>
      <c r="B1118" s="23" t="inlineStr">
        <is>
          <t>Contractor Programme / SCH-05-034</t>
        </is>
      </c>
      <c r="C1118" s="23" t="inlineStr">
        <is>
          <t>WBS Code = 1.5.1</t>
        </is>
      </c>
      <c r="D1118" s="23" t="inlineStr">
        <is>
          <t>Proposed by Source assignment; target 1.5.1 Testing and Commissioning - Test Readiness</t>
        </is>
      </c>
      <c r="E1118" s="23" t="inlineStr">
        <is>
          <t>None recorded</t>
        </is>
      </c>
      <c r="F1118" s="23" t="inlineStr">
        <is>
          <t>No individual professional decision recorded; Source assignment -- not individually reviewed</t>
        </is>
      </c>
      <c r="G1118" s="23" t="inlineStr">
        <is>
          <t>Not individually decided</t>
        </is>
      </c>
      <c r="H1118" s="23" t="inlineStr">
        <is>
          <t xml:space="preserve">RETAINED / ONE_TO_ONE; </t>
        </is>
      </c>
      <c r="I1118" s="23" t="inlineStr">
        <is>
          <t>Carried forward</t>
        </is>
      </c>
      <c r="J1118" s="14" t="inlineStr">
        <is>
          <t>08 CROSSWALK</t>
        </is>
      </c>
    </row>
    <row r="1119" ht="49" customHeight="1">
      <c r="A1119" s="23" t="inlineStr">
        <is>
          <t>R755-v2</t>
        </is>
      </c>
      <c r="B1119" s="23" t="inlineStr">
        <is>
          <t>Contractor Programme / SCH-05-035</t>
        </is>
      </c>
      <c r="C1119" s="23" t="inlineStr">
        <is>
          <t>WBS Code = 1.5.1</t>
        </is>
      </c>
      <c r="D1119" s="23" t="inlineStr">
        <is>
          <t>Proposed by Source assignment; target 1.5.1 Testing and Commissioning - Test Readiness</t>
        </is>
      </c>
      <c r="E1119" s="23" t="inlineStr">
        <is>
          <t>None recorded</t>
        </is>
      </c>
      <c r="F1119" s="23" t="inlineStr">
        <is>
          <t>No individual professional decision recorded; Source assignment -- not individually reviewed</t>
        </is>
      </c>
      <c r="G1119" s="23" t="inlineStr">
        <is>
          <t>Not individually decided</t>
        </is>
      </c>
      <c r="H1119" s="23" t="inlineStr">
        <is>
          <t xml:space="preserve">RETAINED / ONE_TO_ONE; </t>
        </is>
      </c>
      <c r="I1119" s="23" t="inlineStr">
        <is>
          <t>Carried forward</t>
        </is>
      </c>
      <c r="J1119" s="14" t="inlineStr">
        <is>
          <t>08 CROSSWALK</t>
        </is>
      </c>
    </row>
    <row r="1120" ht="49" customHeight="1">
      <c r="A1120" s="23" t="inlineStr">
        <is>
          <t>R757-v2</t>
        </is>
      </c>
      <c r="B1120" s="23" t="inlineStr">
        <is>
          <t>Contractor Programme / SCH-05-037</t>
        </is>
      </c>
      <c r="C1120" s="23" t="inlineStr">
        <is>
          <t>WBS Code = 1.5.1</t>
        </is>
      </c>
      <c r="D1120" s="23" t="inlineStr">
        <is>
          <t>Proposed by Source assignment; target 1.5.1 Testing and Commissioning - Test Readiness</t>
        </is>
      </c>
      <c r="E1120" s="23" t="inlineStr">
        <is>
          <t>None recorded</t>
        </is>
      </c>
      <c r="F1120" s="23" t="inlineStr">
        <is>
          <t>No individual professional decision recorded; Source assignment -- not individually reviewed</t>
        </is>
      </c>
      <c r="G1120" s="23" t="inlineStr">
        <is>
          <t>Not individually decided</t>
        </is>
      </c>
      <c r="H1120" s="23" t="inlineStr">
        <is>
          <t xml:space="preserve">RETAINED / ONE_TO_ONE; </t>
        </is>
      </c>
      <c r="I1120" s="23" t="inlineStr">
        <is>
          <t>Carried forward</t>
        </is>
      </c>
      <c r="J1120" s="14" t="inlineStr">
        <is>
          <t>08 CROSSWALK</t>
        </is>
      </c>
    </row>
    <row r="1121" ht="49" customHeight="1">
      <c r="A1121" s="23" t="inlineStr">
        <is>
          <t>R758-v2</t>
        </is>
      </c>
      <c r="B1121" s="23" t="inlineStr">
        <is>
          <t>Contractor Programme / SCH-05-038</t>
        </is>
      </c>
      <c r="C1121" s="23" t="inlineStr">
        <is>
          <t>WBS Code = 1.5.1</t>
        </is>
      </c>
      <c r="D1121" s="23" t="inlineStr">
        <is>
          <t>Proposed by Source assignment; target 1.5.1 Testing and Commissioning - Test Readiness</t>
        </is>
      </c>
      <c r="E1121" s="23" t="inlineStr">
        <is>
          <t>None recorded</t>
        </is>
      </c>
      <c r="F1121" s="23" t="inlineStr">
        <is>
          <t>No individual professional decision recorded; Source assignment -- not individually reviewed</t>
        </is>
      </c>
      <c r="G1121" s="23" t="inlineStr">
        <is>
          <t>Not individually decided</t>
        </is>
      </c>
      <c r="H1121" s="23" t="inlineStr">
        <is>
          <t xml:space="preserve">RETAINED / ONE_TO_ONE; </t>
        </is>
      </c>
      <c r="I1121" s="23" t="inlineStr">
        <is>
          <t>Carried forward</t>
        </is>
      </c>
      <c r="J1121" s="14" t="inlineStr">
        <is>
          <t>08 CROSSWALK</t>
        </is>
      </c>
    </row>
    <row r="1122" ht="49" customHeight="1">
      <c r="A1122" s="23" t="inlineStr">
        <is>
          <t>R760-v2</t>
        </is>
      </c>
      <c r="B1122" s="23" t="inlineStr">
        <is>
          <t>Contractor Programme / SCH-05-040</t>
        </is>
      </c>
      <c r="C1122" s="23" t="inlineStr">
        <is>
          <t>WBS Code = 1.5.1</t>
        </is>
      </c>
      <c r="D1122" s="23" t="inlineStr">
        <is>
          <t>Proposed by Source assignment; target 1.5.1 Testing and Commissioning - Test Readiness</t>
        </is>
      </c>
      <c r="E1122" s="23" t="inlineStr">
        <is>
          <t>None recorded</t>
        </is>
      </c>
      <c r="F1122" s="23" t="inlineStr">
        <is>
          <t>No individual professional decision recorded; Source assignment -- not individually reviewed</t>
        </is>
      </c>
      <c r="G1122" s="23" t="inlineStr">
        <is>
          <t>Not individually decided</t>
        </is>
      </c>
      <c r="H1122" s="23" t="inlineStr">
        <is>
          <t xml:space="preserve">RETAINED / ONE_TO_ONE; </t>
        </is>
      </c>
      <c r="I1122" s="23" t="inlineStr">
        <is>
          <t>Carried forward</t>
        </is>
      </c>
      <c r="J1122" s="14" t="inlineStr">
        <is>
          <t>08 CROSSWALK</t>
        </is>
      </c>
    </row>
    <row r="1123" ht="49" customHeight="1">
      <c r="A1123" s="23" t="inlineStr">
        <is>
          <t>R761-v2</t>
        </is>
      </c>
      <c r="B1123" s="23" t="inlineStr">
        <is>
          <t>Contractor Programme / SCH-05-041</t>
        </is>
      </c>
      <c r="C1123" s="23" t="inlineStr">
        <is>
          <t>WBS Code = 1.5.1</t>
        </is>
      </c>
      <c r="D1123" s="23" t="inlineStr">
        <is>
          <t>Proposed by Source assignment; target 1.5.1 Testing and Commissioning - Test Readiness</t>
        </is>
      </c>
      <c r="E1123" s="23" t="inlineStr">
        <is>
          <t>None recorded</t>
        </is>
      </c>
      <c r="F1123" s="23" t="inlineStr">
        <is>
          <t>No individual professional decision recorded; Source assignment -- not individually reviewed</t>
        </is>
      </c>
      <c r="G1123" s="23" t="inlineStr">
        <is>
          <t>Not individually decided</t>
        </is>
      </c>
      <c r="H1123" s="23" t="inlineStr">
        <is>
          <t xml:space="preserve">RETAINED / ONE_TO_ONE; </t>
        </is>
      </c>
      <c r="I1123" s="23" t="inlineStr">
        <is>
          <t>Carried forward</t>
        </is>
      </c>
      <c r="J1123" s="14" t="inlineStr">
        <is>
          <t>08 CROSSWALK</t>
        </is>
      </c>
    </row>
    <row r="1124" ht="49" customHeight="1">
      <c r="A1124" s="23" t="inlineStr">
        <is>
          <t>R763-v2</t>
        </is>
      </c>
      <c r="B1124" s="23" t="inlineStr">
        <is>
          <t>Contractor Programme / SCH-05-043</t>
        </is>
      </c>
      <c r="C1124" s="23" t="inlineStr">
        <is>
          <t>WBS Code = 1.5.1</t>
        </is>
      </c>
      <c r="D1124" s="23" t="inlineStr">
        <is>
          <t>Proposed by Source assignment; target 1.5.1 Testing and Commissioning - Test Readiness</t>
        </is>
      </c>
      <c r="E1124" s="23" t="inlineStr">
        <is>
          <t>None recorded</t>
        </is>
      </c>
      <c r="F1124" s="23" t="inlineStr">
        <is>
          <t>No individual professional decision recorded; Source assignment -- not individually reviewed</t>
        </is>
      </c>
      <c r="G1124" s="23" t="inlineStr">
        <is>
          <t>Not individually decided</t>
        </is>
      </c>
      <c r="H1124" s="23" t="inlineStr">
        <is>
          <t xml:space="preserve">RETAINED / ONE_TO_ONE; </t>
        </is>
      </c>
      <c r="I1124" s="23" t="inlineStr">
        <is>
          <t>Carried forward</t>
        </is>
      </c>
      <c r="J1124" s="14" t="inlineStr">
        <is>
          <t>08 CROSSWALK</t>
        </is>
      </c>
    </row>
    <row r="1125" ht="49" customHeight="1">
      <c r="A1125" s="23" t="inlineStr">
        <is>
          <t>R764-v2</t>
        </is>
      </c>
      <c r="B1125" s="23" t="inlineStr">
        <is>
          <t>Contractor Programme / SCH-05-044</t>
        </is>
      </c>
      <c r="C1125" s="23" t="inlineStr">
        <is>
          <t>WBS Code = 1.5.1</t>
        </is>
      </c>
      <c r="D1125" s="23" t="inlineStr">
        <is>
          <t>Proposed by Source assignment; target 1.5.1 Testing and Commissioning - Test Readiness</t>
        </is>
      </c>
      <c r="E1125" s="23" t="inlineStr">
        <is>
          <t>None recorded</t>
        </is>
      </c>
      <c r="F1125" s="23" t="inlineStr">
        <is>
          <t>No individual professional decision recorded; Source assignment -- not individually reviewed</t>
        </is>
      </c>
      <c r="G1125" s="23" t="inlineStr">
        <is>
          <t>Not individually decided</t>
        </is>
      </c>
      <c r="H1125" s="23" t="inlineStr">
        <is>
          <t xml:space="preserve">RETAINED / ONE_TO_ONE; </t>
        </is>
      </c>
      <c r="I1125" s="23" t="inlineStr">
        <is>
          <t>Carried forward</t>
        </is>
      </c>
      <c r="J1125" s="14" t="inlineStr">
        <is>
          <t>08 CROSSWALK</t>
        </is>
      </c>
    </row>
    <row r="1126" ht="49" customHeight="1">
      <c r="A1126" s="23" t="inlineStr">
        <is>
          <t>R766-v2</t>
        </is>
      </c>
      <c r="B1126" s="23" t="inlineStr">
        <is>
          <t>Contractor Programme / SCH-05-046</t>
        </is>
      </c>
      <c r="C1126" s="23" t="inlineStr">
        <is>
          <t>WBS Code = 1.5.1</t>
        </is>
      </c>
      <c r="D1126" s="23" t="inlineStr">
        <is>
          <t>Proposed by Source assignment; target 1.5.1 Testing and Commissioning - Test Readiness</t>
        </is>
      </c>
      <c r="E1126" s="23" t="inlineStr">
        <is>
          <t>None recorded</t>
        </is>
      </c>
      <c r="F1126" s="23" t="inlineStr">
        <is>
          <t>No individual professional decision recorded; Source assignment -- not individually reviewed</t>
        </is>
      </c>
      <c r="G1126" s="23" t="inlineStr">
        <is>
          <t>Not individually decided</t>
        </is>
      </c>
      <c r="H1126" s="23" t="inlineStr">
        <is>
          <t xml:space="preserve">RETAINED / ONE_TO_ONE; </t>
        </is>
      </c>
      <c r="I1126" s="23" t="inlineStr">
        <is>
          <t>Carried forward</t>
        </is>
      </c>
      <c r="J1126" s="14" t="inlineStr">
        <is>
          <t>08 CROSSWALK</t>
        </is>
      </c>
    </row>
    <row r="1127" ht="49" customHeight="1">
      <c r="A1127" s="23" t="inlineStr">
        <is>
          <t>R767-v2</t>
        </is>
      </c>
      <c r="B1127" s="23" t="inlineStr">
        <is>
          <t>Contractor Programme / SCH-05-047</t>
        </is>
      </c>
      <c r="C1127" s="23" t="inlineStr">
        <is>
          <t>WBS Code = 1.5.1</t>
        </is>
      </c>
      <c r="D1127" s="23" t="inlineStr">
        <is>
          <t>Proposed by Source assignment; target 1.5.1 Testing and Commissioning - Test Readiness</t>
        </is>
      </c>
      <c r="E1127" s="23" t="inlineStr">
        <is>
          <t>None recorded</t>
        </is>
      </c>
      <c r="F1127" s="23" t="inlineStr">
        <is>
          <t>No individual professional decision recorded; Source assignment -- not individually reviewed</t>
        </is>
      </c>
      <c r="G1127" s="23" t="inlineStr">
        <is>
          <t>Not individually decided</t>
        </is>
      </c>
      <c r="H1127" s="23" t="inlineStr">
        <is>
          <t xml:space="preserve">RETAINED / ONE_TO_ONE; </t>
        </is>
      </c>
      <c r="I1127" s="23" t="inlineStr">
        <is>
          <t>Carried forward</t>
        </is>
      </c>
      <c r="J1127" s="14" t="inlineStr">
        <is>
          <t>08 CROSSWALK</t>
        </is>
      </c>
    </row>
    <row r="1128" ht="49" customHeight="1">
      <c r="A1128" s="23" t="inlineStr">
        <is>
          <t>R769-v2</t>
        </is>
      </c>
      <c r="B1128" s="23" t="inlineStr">
        <is>
          <t>Contractor Programme / SCH-05-049</t>
        </is>
      </c>
      <c r="C1128" s="23" t="inlineStr">
        <is>
          <t>WBS Code = 1.5.1</t>
        </is>
      </c>
      <c r="D1128" s="23" t="inlineStr">
        <is>
          <t>Proposed by Source assignment; target 1.5.1 Testing and Commissioning - Test Readiness</t>
        </is>
      </c>
      <c r="E1128" s="23" t="inlineStr">
        <is>
          <t>None recorded</t>
        </is>
      </c>
      <c r="F1128" s="23" t="inlineStr">
        <is>
          <t>No individual professional decision recorded; Source assignment -- not individually reviewed</t>
        </is>
      </c>
      <c r="G1128" s="23" t="inlineStr">
        <is>
          <t>Not individually decided</t>
        </is>
      </c>
      <c r="H1128" s="23" t="inlineStr">
        <is>
          <t xml:space="preserve">RETAINED / ONE_TO_ONE; </t>
        </is>
      </c>
      <c r="I1128" s="23" t="inlineStr">
        <is>
          <t>Carried forward</t>
        </is>
      </c>
      <c r="J1128" s="14" t="inlineStr">
        <is>
          <t>08 CROSSWALK</t>
        </is>
      </c>
    </row>
    <row r="1129" ht="49" customHeight="1">
      <c r="A1129" s="23" t="inlineStr">
        <is>
          <t>R770-v2</t>
        </is>
      </c>
      <c r="B1129" s="23" t="inlineStr">
        <is>
          <t>Contractor Programme / SCH-05-050</t>
        </is>
      </c>
      <c r="C1129" s="23" t="inlineStr">
        <is>
          <t>WBS Code = 1.5.1</t>
        </is>
      </c>
      <c r="D1129" s="23" t="inlineStr">
        <is>
          <t>Proposed by Source assignment; target 1.5.1 Testing and Commissioning - Test Readiness</t>
        </is>
      </c>
      <c r="E1129" s="23" t="inlineStr">
        <is>
          <t>None recorded</t>
        </is>
      </c>
      <c r="F1129" s="23" t="inlineStr">
        <is>
          <t>No individual professional decision recorded; Source assignment -- not individually reviewed</t>
        </is>
      </c>
      <c r="G1129" s="23" t="inlineStr">
        <is>
          <t>Not individually decided</t>
        </is>
      </c>
      <c r="H1129" s="23" t="inlineStr">
        <is>
          <t xml:space="preserve">RETAINED / ONE_TO_ONE; </t>
        </is>
      </c>
      <c r="I1129" s="23" t="inlineStr">
        <is>
          <t>Carried forward</t>
        </is>
      </c>
      <c r="J1129" s="14" t="inlineStr">
        <is>
          <t>08 CROSSWALK</t>
        </is>
      </c>
    </row>
    <row r="1130" ht="49" customHeight="1">
      <c r="A1130" s="23" t="inlineStr">
        <is>
          <t>R772-v2</t>
        </is>
      </c>
      <c r="B1130" s="23" t="inlineStr">
        <is>
          <t>Contractor Programme / SCH-05-052</t>
        </is>
      </c>
      <c r="C1130" s="23" t="inlineStr">
        <is>
          <t>WBS Code = 1.5.1</t>
        </is>
      </c>
      <c r="D1130" s="23" t="inlineStr">
        <is>
          <t>Proposed by Source assignment; target 1.5.1 Testing and Commissioning - Test Readiness</t>
        </is>
      </c>
      <c r="E1130" s="23" t="inlineStr">
        <is>
          <t>None recorded</t>
        </is>
      </c>
      <c r="F1130" s="23" t="inlineStr">
        <is>
          <t>No individual professional decision recorded; Source assignment -- not individually reviewed</t>
        </is>
      </c>
      <c r="G1130" s="23" t="inlineStr">
        <is>
          <t>Not individually decided</t>
        </is>
      </c>
      <c r="H1130" s="23" t="inlineStr">
        <is>
          <t xml:space="preserve">RETAINED / ONE_TO_ONE; </t>
        </is>
      </c>
      <c r="I1130" s="23" t="inlineStr">
        <is>
          <t>Carried forward</t>
        </is>
      </c>
      <c r="J1130" s="14" t="inlineStr">
        <is>
          <t>08 CROSSWALK</t>
        </is>
      </c>
    </row>
    <row r="1131" ht="49" customHeight="1">
      <c r="A1131" s="23" t="inlineStr">
        <is>
          <t>R773-v2</t>
        </is>
      </c>
      <c r="B1131" s="23" t="inlineStr">
        <is>
          <t>Contractor Programme / SCH-05-053</t>
        </is>
      </c>
      <c r="C1131" s="23" t="inlineStr">
        <is>
          <t>WBS Code = 1.5.1</t>
        </is>
      </c>
      <c r="D1131" s="23" t="inlineStr">
        <is>
          <t>Proposed by Source assignment; target 1.5.1 Testing and Commissioning - Test Readiness</t>
        </is>
      </c>
      <c r="E1131" s="23" t="inlineStr">
        <is>
          <t>None recorded</t>
        </is>
      </c>
      <c r="F1131" s="23" t="inlineStr">
        <is>
          <t>No individual professional decision recorded; Source assignment -- not individually reviewed</t>
        </is>
      </c>
      <c r="G1131" s="23" t="inlineStr">
        <is>
          <t>Not individually decided</t>
        </is>
      </c>
      <c r="H1131" s="23" t="inlineStr">
        <is>
          <t xml:space="preserve">RETAINED / ONE_TO_ONE; </t>
        </is>
      </c>
      <c r="I1131" s="23" t="inlineStr">
        <is>
          <t>Carried forward</t>
        </is>
      </c>
      <c r="J1131" s="14" t="inlineStr">
        <is>
          <t>08 CROSSWALK</t>
        </is>
      </c>
    </row>
    <row r="1132" ht="49" customHeight="1">
      <c r="A1132" s="23" t="inlineStr">
        <is>
          <t>R775-v2</t>
        </is>
      </c>
      <c r="B1132" s="23" t="inlineStr">
        <is>
          <t>Contractor Programme / SCH-05-055</t>
        </is>
      </c>
      <c r="C1132" s="23" t="inlineStr">
        <is>
          <t>WBS Code = 1.5.1</t>
        </is>
      </c>
      <c r="D1132" s="23" t="inlineStr">
        <is>
          <t>Proposed by Source assignment; target 1.5.1 Testing and Commissioning - Test Readiness</t>
        </is>
      </c>
      <c r="E1132" s="23" t="inlineStr">
        <is>
          <t>None recorded</t>
        </is>
      </c>
      <c r="F1132" s="23" t="inlineStr">
        <is>
          <t>No individual professional decision recorded; Source assignment -- not individually reviewed</t>
        </is>
      </c>
      <c r="G1132" s="23" t="inlineStr">
        <is>
          <t>Not individually decided</t>
        </is>
      </c>
      <c r="H1132" s="23" t="inlineStr">
        <is>
          <t xml:space="preserve">RETAINED / ONE_TO_ONE; </t>
        </is>
      </c>
      <c r="I1132" s="23" t="inlineStr">
        <is>
          <t>Carried forward</t>
        </is>
      </c>
      <c r="J1132" s="14" t="inlineStr">
        <is>
          <t>08 CROSSWALK</t>
        </is>
      </c>
    </row>
    <row r="1133" ht="49" customHeight="1">
      <c r="A1133" s="23" t="inlineStr">
        <is>
          <t>R776-v2</t>
        </is>
      </c>
      <c r="B1133" s="23" t="inlineStr">
        <is>
          <t>Contractor Programme / SCH-05-056</t>
        </is>
      </c>
      <c r="C1133" s="23" t="inlineStr">
        <is>
          <t>WBS Code = 1.5.1</t>
        </is>
      </c>
      <c r="D1133" s="23" t="inlineStr">
        <is>
          <t>Proposed by Source assignment; target 1.5.1 Testing and Commissioning - Test Readiness</t>
        </is>
      </c>
      <c r="E1133" s="23" t="inlineStr">
        <is>
          <t>None recorded</t>
        </is>
      </c>
      <c r="F1133" s="23" t="inlineStr">
        <is>
          <t>No individual professional decision recorded; Source assignment -- not individually reviewed</t>
        </is>
      </c>
      <c r="G1133" s="23" t="inlineStr">
        <is>
          <t>Not individually decided</t>
        </is>
      </c>
      <c r="H1133" s="23" t="inlineStr">
        <is>
          <t xml:space="preserve">RETAINED / ONE_TO_ONE; </t>
        </is>
      </c>
      <c r="I1133" s="23" t="inlineStr">
        <is>
          <t>Carried forward</t>
        </is>
      </c>
      <c r="J1133" s="14" t="inlineStr">
        <is>
          <t>08 CROSSWALK</t>
        </is>
      </c>
    </row>
    <row r="1134" ht="49" customHeight="1">
      <c r="A1134" s="23" t="inlineStr">
        <is>
          <t>R778-v2</t>
        </is>
      </c>
      <c r="B1134" s="23" t="inlineStr">
        <is>
          <t>Contractor Programme / SCH-05-058</t>
        </is>
      </c>
      <c r="C1134" s="23" t="inlineStr">
        <is>
          <t>WBS Code = 1.5.1</t>
        </is>
      </c>
      <c r="D1134" s="23" t="inlineStr">
        <is>
          <t>Proposed by Source assignment; target 1.5.1 Testing and Commissioning - Test Readiness</t>
        </is>
      </c>
      <c r="E1134" s="23" t="inlineStr">
        <is>
          <t>None recorded</t>
        </is>
      </c>
      <c r="F1134" s="23" t="inlineStr">
        <is>
          <t>No individual professional decision recorded; Source assignment -- not individually reviewed</t>
        </is>
      </c>
      <c r="G1134" s="23" t="inlineStr">
        <is>
          <t>Not individually decided</t>
        </is>
      </c>
      <c r="H1134" s="23" t="inlineStr">
        <is>
          <t xml:space="preserve">RETAINED / ONE_TO_ONE; </t>
        </is>
      </c>
      <c r="I1134" s="23" t="inlineStr">
        <is>
          <t>Carried forward</t>
        </is>
      </c>
      <c r="J1134" s="14" t="inlineStr">
        <is>
          <t>08 CROSSWALK</t>
        </is>
      </c>
    </row>
    <row r="1135" ht="49" customHeight="1">
      <c r="A1135" s="23" t="inlineStr">
        <is>
          <t>R779-v2</t>
        </is>
      </c>
      <c r="B1135" s="23" t="inlineStr">
        <is>
          <t>Contractor Programme / SCH-05-059</t>
        </is>
      </c>
      <c r="C1135" s="23" t="inlineStr">
        <is>
          <t>WBS Code = 1.5.1</t>
        </is>
      </c>
      <c r="D1135" s="23" t="inlineStr">
        <is>
          <t>Proposed by Source assignment; target 1.5.1 Testing and Commissioning - Test Readiness</t>
        </is>
      </c>
      <c r="E1135" s="23" t="inlineStr">
        <is>
          <t>None recorded</t>
        </is>
      </c>
      <c r="F1135" s="23" t="inlineStr">
        <is>
          <t>No individual professional decision recorded; Source assignment -- not individually reviewed</t>
        </is>
      </c>
      <c r="G1135" s="23" t="inlineStr">
        <is>
          <t>Not individually decided</t>
        </is>
      </c>
      <c r="H1135" s="23" t="inlineStr">
        <is>
          <t xml:space="preserve">RETAINED / ONE_TO_ONE; </t>
        </is>
      </c>
      <c r="I1135" s="23" t="inlineStr">
        <is>
          <t>Carried forward</t>
        </is>
      </c>
      <c r="J1135" s="14" t="inlineStr">
        <is>
          <t>08 CROSSWALK</t>
        </is>
      </c>
    </row>
    <row r="1136" ht="49" customHeight="1">
      <c r="A1136" s="23" t="inlineStr">
        <is>
          <t>R781-v2</t>
        </is>
      </c>
      <c r="B1136" s="23" t="inlineStr">
        <is>
          <t>Contractor Programme / SCH-05-061</t>
        </is>
      </c>
      <c r="C1136" s="23" t="inlineStr">
        <is>
          <t>WBS Code = 1.5.1</t>
        </is>
      </c>
      <c r="D1136" s="23" t="inlineStr">
        <is>
          <t>Proposed by Source assignment; target 1.5.1 Testing and Commissioning - Test Readiness</t>
        </is>
      </c>
      <c r="E1136" s="23" t="inlineStr">
        <is>
          <t>None recorded</t>
        </is>
      </c>
      <c r="F1136" s="23" t="inlineStr">
        <is>
          <t>No individual professional decision recorded; Source assignment -- not individually reviewed</t>
        </is>
      </c>
      <c r="G1136" s="23" t="inlineStr">
        <is>
          <t>Not individually decided</t>
        </is>
      </c>
      <c r="H1136" s="23" t="inlineStr">
        <is>
          <t xml:space="preserve">RETAINED / ONE_TO_ONE; </t>
        </is>
      </c>
      <c r="I1136" s="23" t="inlineStr">
        <is>
          <t>Carried forward</t>
        </is>
      </c>
      <c r="J1136" s="14" t="inlineStr">
        <is>
          <t>08 CROSSWALK</t>
        </is>
      </c>
    </row>
    <row r="1137" ht="49" customHeight="1">
      <c r="A1137" s="23" t="inlineStr">
        <is>
          <t>R782-v2</t>
        </is>
      </c>
      <c r="B1137" s="23" t="inlineStr">
        <is>
          <t>Contractor Programme / SCH-05-062</t>
        </is>
      </c>
      <c r="C1137" s="23" t="inlineStr">
        <is>
          <t>WBS Code = 1.5.1</t>
        </is>
      </c>
      <c r="D1137" s="23" t="inlineStr">
        <is>
          <t>Proposed by Source assignment; target 1.5.1 Testing and Commissioning - Test Readiness</t>
        </is>
      </c>
      <c r="E1137" s="23" t="inlineStr">
        <is>
          <t>None recorded</t>
        </is>
      </c>
      <c r="F1137" s="23" t="inlineStr">
        <is>
          <t>No individual professional decision recorded; Source assignment -- not individually reviewed</t>
        </is>
      </c>
      <c r="G1137" s="23" t="inlineStr">
        <is>
          <t>Not individually decided</t>
        </is>
      </c>
      <c r="H1137" s="23" t="inlineStr">
        <is>
          <t xml:space="preserve">RETAINED / ONE_TO_ONE; </t>
        </is>
      </c>
      <c r="I1137" s="23" t="inlineStr">
        <is>
          <t>Carried forward</t>
        </is>
      </c>
      <c r="J1137" s="14" t="inlineStr">
        <is>
          <t>08 CROSSWALK</t>
        </is>
      </c>
    </row>
    <row r="1138" ht="49" customHeight="1">
      <c r="A1138" s="23" t="inlineStr">
        <is>
          <t>R784-v2</t>
        </is>
      </c>
      <c r="B1138" s="23" t="inlineStr">
        <is>
          <t>Contractor Programme / SCH-05-064</t>
        </is>
      </c>
      <c r="C1138" s="23" t="inlineStr">
        <is>
          <t>WBS Code = 1.5.1</t>
        </is>
      </c>
      <c r="D1138" s="23" t="inlineStr">
        <is>
          <t>Proposed by Source assignment; target 1.5.1 Testing and Commissioning - Test Readiness</t>
        </is>
      </c>
      <c r="E1138" s="23" t="inlineStr">
        <is>
          <t>None recorded</t>
        </is>
      </c>
      <c r="F1138" s="23" t="inlineStr">
        <is>
          <t>No individual professional decision recorded; Source assignment -- not individually reviewed</t>
        </is>
      </c>
      <c r="G1138" s="23" t="inlineStr">
        <is>
          <t>Not individually decided</t>
        </is>
      </c>
      <c r="H1138" s="23" t="inlineStr">
        <is>
          <t xml:space="preserve">RETAINED / ONE_TO_ONE; </t>
        </is>
      </c>
      <c r="I1138" s="23" t="inlineStr">
        <is>
          <t>Carried forward</t>
        </is>
      </c>
      <c r="J1138" s="14" t="inlineStr">
        <is>
          <t>08 CROSSWALK</t>
        </is>
      </c>
    </row>
    <row r="1139" ht="49" customHeight="1">
      <c r="A1139" s="23" t="inlineStr">
        <is>
          <t>R785-v2</t>
        </is>
      </c>
      <c r="B1139" s="23" t="inlineStr">
        <is>
          <t>Contractor Programme / SCH-05-065</t>
        </is>
      </c>
      <c r="C1139" s="23" t="inlineStr">
        <is>
          <t>WBS Code = 1.5.1</t>
        </is>
      </c>
      <c r="D1139" s="23" t="inlineStr">
        <is>
          <t>Proposed by Source assignment; target 1.5.1 Testing and Commissioning - Test Readiness</t>
        </is>
      </c>
      <c r="E1139" s="23" t="inlineStr">
        <is>
          <t>None recorded</t>
        </is>
      </c>
      <c r="F1139" s="23" t="inlineStr">
        <is>
          <t>No individual professional decision recorded; Source assignment -- not individually reviewed</t>
        </is>
      </c>
      <c r="G1139" s="23" t="inlineStr">
        <is>
          <t>Not individually decided</t>
        </is>
      </c>
      <c r="H1139" s="23" t="inlineStr">
        <is>
          <t xml:space="preserve">RETAINED / ONE_TO_ONE; </t>
        </is>
      </c>
      <c r="I1139" s="23" t="inlineStr">
        <is>
          <t>Carried forward</t>
        </is>
      </c>
      <c r="J1139" s="14" t="inlineStr">
        <is>
          <t>08 CROSSWALK</t>
        </is>
      </c>
    </row>
    <row r="1140" ht="49" customHeight="1">
      <c r="A1140" s="23" t="inlineStr">
        <is>
          <t>R787-v2</t>
        </is>
      </c>
      <c r="B1140" s="23" t="inlineStr">
        <is>
          <t>Contractor Programme / SCH-05-067</t>
        </is>
      </c>
      <c r="C1140" s="23" t="inlineStr">
        <is>
          <t>WBS Code = 1.5.1</t>
        </is>
      </c>
      <c r="D1140" s="23" t="inlineStr">
        <is>
          <t>Proposed by Source assignment; target 1.5.1 Testing and Commissioning - Test Readiness</t>
        </is>
      </c>
      <c r="E1140" s="23" t="inlineStr">
        <is>
          <t>None recorded</t>
        </is>
      </c>
      <c r="F1140" s="23" t="inlineStr">
        <is>
          <t>No individual professional decision recorded; Source assignment -- not individually reviewed</t>
        </is>
      </c>
      <c r="G1140" s="23" t="inlineStr">
        <is>
          <t>Not individually decided</t>
        </is>
      </c>
      <c r="H1140" s="23" t="inlineStr">
        <is>
          <t xml:space="preserve">RETAINED / ONE_TO_ONE; </t>
        </is>
      </c>
      <c r="I1140" s="23" t="inlineStr">
        <is>
          <t>Carried forward</t>
        </is>
      </c>
      <c r="J1140" s="14" t="inlineStr">
        <is>
          <t>08 CROSSWALK</t>
        </is>
      </c>
    </row>
    <row r="1141" ht="49" customHeight="1">
      <c r="A1141" s="23" t="inlineStr">
        <is>
          <t>R788-v2</t>
        </is>
      </c>
      <c r="B1141" s="23" t="inlineStr">
        <is>
          <t>Contractor Programme / SCH-05-068</t>
        </is>
      </c>
      <c r="C1141" s="23" t="inlineStr">
        <is>
          <t>WBS Code = 1.5.1</t>
        </is>
      </c>
      <c r="D1141" s="23" t="inlineStr">
        <is>
          <t>Proposed by Source assignment; target 1.5.1 Testing and Commissioning - Test Readiness</t>
        </is>
      </c>
      <c r="E1141" s="23" t="inlineStr">
        <is>
          <t>None recorded</t>
        </is>
      </c>
      <c r="F1141" s="23" t="inlineStr">
        <is>
          <t>No individual professional decision recorded; Source assignment -- not individually reviewed</t>
        </is>
      </c>
      <c r="G1141" s="23" t="inlineStr">
        <is>
          <t>Not individually decided</t>
        </is>
      </c>
      <c r="H1141" s="23" t="inlineStr">
        <is>
          <t xml:space="preserve">RETAINED / ONE_TO_ONE; </t>
        </is>
      </c>
      <c r="I1141" s="23" t="inlineStr">
        <is>
          <t>Carried forward</t>
        </is>
      </c>
      <c r="J1141" s="14" t="inlineStr">
        <is>
          <t>08 CROSSWALK</t>
        </is>
      </c>
    </row>
    <row r="1142" ht="49" customHeight="1">
      <c r="A1142" s="23" t="inlineStr">
        <is>
          <t>R790-v2</t>
        </is>
      </c>
      <c r="B1142" s="23" t="inlineStr">
        <is>
          <t>Contractor Programme / SCH-05-070</t>
        </is>
      </c>
      <c r="C1142" s="23" t="inlineStr">
        <is>
          <t>WBS Code = 1.5.1</t>
        </is>
      </c>
      <c r="D1142" s="23" t="inlineStr">
        <is>
          <t>Proposed by Source assignment; target 1.5.1 Testing and Commissioning - Test Readiness</t>
        </is>
      </c>
      <c r="E1142" s="23" t="inlineStr">
        <is>
          <t>None recorded</t>
        </is>
      </c>
      <c r="F1142" s="23" t="inlineStr">
        <is>
          <t>No individual professional decision recorded; Source assignment -- not individually reviewed</t>
        </is>
      </c>
      <c r="G1142" s="23" t="inlineStr">
        <is>
          <t>Not individually decided</t>
        </is>
      </c>
      <c r="H1142" s="23" t="inlineStr">
        <is>
          <t xml:space="preserve">RETAINED / ONE_TO_ONE; </t>
        </is>
      </c>
      <c r="I1142" s="23" t="inlineStr">
        <is>
          <t>Carried forward</t>
        </is>
      </c>
      <c r="J1142" s="14" t="inlineStr">
        <is>
          <t>08 CROSSWALK</t>
        </is>
      </c>
    </row>
    <row r="1143" ht="49" customHeight="1">
      <c r="A1143" s="23" t="inlineStr">
        <is>
          <t>R791-v2</t>
        </is>
      </c>
      <c r="B1143" s="23" t="inlineStr">
        <is>
          <t>Contractor Programme / SCH-05-071</t>
        </is>
      </c>
      <c r="C1143" s="23" t="inlineStr">
        <is>
          <t>WBS Code = 1.5.1</t>
        </is>
      </c>
      <c r="D1143" s="23" t="inlineStr">
        <is>
          <t>Proposed by Source assignment; target 1.5.1 Testing and Commissioning - Test Readiness</t>
        </is>
      </c>
      <c r="E1143" s="23" t="inlineStr">
        <is>
          <t>None recorded</t>
        </is>
      </c>
      <c r="F1143" s="23" t="inlineStr">
        <is>
          <t>No individual professional decision recorded; Source assignment -- not individually reviewed</t>
        </is>
      </c>
      <c r="G1143" s="23" t="inlineStr">
        <is>
          <t>Not individually decided</t>
        </is>
      </c>
      <c r="H1143" s="23" t="inlineStr">
        <is>
          <t xml:space="preserve">RETAINED / ONE_TO_ONE; </t>
        </is>
      </c>
      <c r="I1143" s="23" t="inlineStr">
        <is>
          <t>Carried forward</t>
        </is>
      </c>
      <c r="J1143" s="14" t="inlineStr">
        <is>
          <t>08 CROSSWALK</t>
        </is>
      </c>
    </row>
    <row r="1144" ht="49" customHeight="1">
      <c r="A1144" s="23" t="inlineStr">
        <is>
          <t>R793-v2</t>
        </is>
      </c>
      <c r="B1144" s="23" t="inlineStr">
        <is>
          <t>Contractor Programme / SCH-05-073</t>
        </is>
      </c>
      <c r="C1144" s="23" t="inlineStr">
        <is>
          <t>WBS Code = 1.5.1</t>
        </is>
      </c>
      <c r="D1144" s="23" t="inlineStr">
        <is>
          <t>Proposed by Source assignment; target 1.5.1 Testing and Commissioning - Test Readiness</t>
        </is>
      </c>
      <c r="E1144" s="23" t="inlineStr">
        <is>
          <t>None recorded</t>
        </is>
      </c>
      <c r="F1144" s="23" t="inlineStr">
        <is>
          <t>No individual professional decision recorded; Source assignment -- not individually reviewed</t>
        </is>
      </c>
      <c r="G1144" s="23" t="inlineStr">
        <is>
          <t>Not individually decided</t>
        </is>
      </c>
      <c r="H1144" s="23" t="inlineStr">
        <is>
          <t xml:space="preserve">RETAINED / ONE_TO_ONE; </t>
        </is>
      </c>
      <c r="I1144" s="23" t="inlineStr">
        <is>
          <t>Carried forward</t>
        </is>
      </c>
      <c r="J1144" s="14" t="inlineStr">
        <is>
          <t>08 CROSSWALK</t>
        </is>
      </c>
    </row>
    <row r="1145" ht="49" customHeight="1">
      <c r="A1145" s="23" t="inlineStr">
        <is>
          <t>R794-v2</t>
        </is>
      </c>
      <c r="B1145" s="23" t="inlineStr">
        <is>
          <t>Contractor Programme / SCH-05-074</t>
        </is>
      </c>
      <c r="C1145" s="23" t="inlineStr">
        <is>
          <t>WBS Code = 1.5.1</t>
        </is>
      </c>
      <c r="D1145" s="23" t="inlineStr">
        <is>
          <t>Proposed by Source assignment; target 1.5.1 Testing and Commissioning - Test Readiness</t>
        </is>
      </c>
      <c r="E1145" s="23" t="inlineStr">
        <is>
          <t>None recorded</t>
        </is>
      </c>
      <c r="F1145" s="23" t="inlineStr">
        <is>
          <t>No individual professional decision recorded; Source assignment -- not individually reviewed</t>
        </is>
      </c>
      <c r="G1145" s="23" t="inlineStr">
        <is>
          <t>Not individually decided</t>
        </is>
      </c>
      <c r="H1145" s="23" t="inlineStr">
        <is>
          <t xml:space="preserve">RETAINED / ONE_TO_ONE; </t>
        </is>
      </c>
      <c r="I1145" s="23" t="inlineStr">
        <is>
          <t>Carried forward</t>
        </is>
      </c>
      <c r="J1145" s="14" t="inlineStr">
        <is>
          <t>08 CROSSWALK</t>
        </is>
      </c>
    </row>
    <row r="1146" ht="49" customHeight="1">
      <c r="A1146" s="23" t="inlineStr">
        <is>
          <t>R796-v2</t>
        </is>
      </c>
      <c r="B1146" s="23" t="inlineStr">
        <is>
          <t>Contractor Programme / SCH-05-076</t>
        </is>
      </c>
      <c r="C1146" s="23" t="inlineStr">
        <is>
          <t>WBS Code = 1.5.1</t>
        </is>
      </c>
      <c r="D1146" s="23" t="inlineStr">
        <is>
          <t>Proposed by Source assignment; target 1.5.1 Testing and Commissioning - Test Readiness</t>
        </is>
      </c>
      <c r="E1146" s="23" t="inlineStr">
        <is>
          <t>None recorded</t>
        </is>
      </c>
      <c r="F1146" s="23" t="inlineStr">
        <is>
          <t>No individual professional decision recorded; Source assignment -- not individually reviewed</t>
        </is>
      </c>
      <c r="G1146" s="23" t="inlineStr">
        <is>
          <t>Not individually decided</t>
        </is>
      </c>
      <c r="H1146" s="23" t="inlineStr">
        <is>
          <t xml:space="preserve">RETAINED / ONE_TO_ONE; </t>
        </is>
      </c>
      <c r="I1146" s="23" t="inlineStr">
        <is>
          <t>Carried forward</t>
        </is>
      </c>
      <c r="J1146" s="14" t="inlineStr">
        <is>
          <t>08 CROSSWALK</t>
        </is>
      </c>
    </row>
    <row r="1147" ht="49" customHeight="1">
      <c r="A1147" s="23" t="inlineStr">
        <is>
          <t>R797-v2</t>
        </is>
      </c>
      <c r="B1147" s="23" t="inlineStr">
        <is>
          <t>Contractor Programme / SCH-05-077</t>
        </is>
      </c>
      <c r="C1147" s="23" t="inlineStr">
        <is>
          <t>WBS Code = 1.5.1</t>
        </is>
      </c>
      <c r="D1147" s="23" t="inlineStr">
        <is>
          <t>Proposed by Source assignment; target 1.5.1 Testing and Commissioning - Test Readiness</t>
        </is>
      </c>
      <c r="E1147" s="23" t="inlineStr">
        <is>
          <t>None recorded</t>
        </is>
      </c>
      <c r="F1147" s="23" t="inlineStr">
        <is>
          <t>No individual professional decision recorded; Source assignment -- not individually reviewed</t>
        </is>
      </c>
      <c r="G1147" s="23" t="inlineStr">
        <is>
          <t>Not individually decided</t>
        </is>
      </c>
      <c r="H1147" s="23" t="inlineStr">
        <is>
          <t xml:space="preserve">RETAINED / ONE_TO_ONE; </t>
        </is>
      </c>
      <c r="I1147" s="23" t="inlineStr">
        <is>
          <t>Carried forward</t>
        </is>
      </c>
      <c r="J1147" s="14" t="inlineStr">
        <is>
          <t>08 CROSSWALK</t>
        </is>
      </c>
    </row>
    <row r="1148" ht="49" customHeight="1">
      <c r="A1148" s="23" t="inlineStr">
        <is>
          <t>R799-v2</t>
        </is>
      </c>
      <c r="B1148" s="23" t="inlineStr">
        <is>
          <t>Contractor Programme / SCH-05-079</t>
        </is>
      </c>
      <c r="C1148" s="23" t="inlineStr">
        <is>
          <t>WBS Code = 1.5.1</t>
        </is>
      </c>
      <c r="D1148" s="23" t="inlineStr">
        <is>
          <t>Proposed by Source assignment; target 1.5.1 Testing and Commissioning - Test Readiness</t>
        </is>
      </c>
      <c r="E1148" s="23" t="inlineStr">
        <is>
          <t>None recorded</t>
        </is>
      </c>
      <c r="F1148" s="23" t="inlineStr">
        <is>
          <t>No individual professional decision recorded; Source assignment -- not individually reviewed</t>
        </is>
      </c>
      <c r="G1148" s="23" t="inlineStr">
        <is>
          <t>Not individually decided</t>
        </is>
      </c>
      <c r="H1148" s="23" t="inlineStr">
        <is>
          <t xml:space="preserve">RETAINED / ONE_TO_ONE; </t>
        </is>
      </c>
      <c r="I1148" s="23" t="inlineStr">
        <is>
          <t>Carried forward</t>
        </is>
      </c>
      <c r="J1148" s="14" t="inlineStr">
        <is>
          <t>08 CROSSWALK</t>
        </is>
      </c>
    </row>
    <row r="1149" ht="49" customHeight="1">
      <c r="A1149" s="23" t="inlineStr">
        <is>
          <t>R800-v2</t>
        </is>
      </c>
      <c r="B1149" s="23" t="inlineStr">
        <is>
          <t>Contractor Programme / SCH-05-080</t>
        </is>
      </c>
      <c r="C1149" s="23" t="inlineStr">
        <is>
          <t>WBS Code = 1.5.1</t>
        </is>
      </c>
      <c r="D1149" s="23" t="inlineStr">
        <is>
          <t>Proposed by Source assignment; target 1.5.1 Testing and Commissioning - Test Readiness</t>
        </is>
      </c>
      <c r="E1149" s="23" t="inlineStr">
        <is>
          <t>None recorded</t>
        </is>
      </c>
      <c r="F1149" s="23" t="inlineStr">
        <is>
          <t>No individual professional decision recorded; Source assignment -- not individually reviewed</t>
        </is>
      </c>
      <c r="G1149" s="23" t="inlineStr">
        <is>
          <t>Not individually decided</t>
        </is>
      </c>
      <c r="H1149" s="23" t="inlineStr">
        <is>
          <t xml:space="preserve">RETAINED / ONE_TO_ONE; </t>
        </is>
      </c>
      <c r="I1149" s="23" t="inlineStr">
        <is>
          <t>Carried forward</t>
        </is>
      </c>
      <c r="J1149" s="14" t="inlineStr">
        <is>
          <t>08 CROSSWALK</t>
        </is>
      </c>
    </row>
    <row r="1150" ht="49" customHeight="1">
      <c r="A1150" s="23" t="inlineStr">
        <is>
          <t>R802-v2</t>
        </is>
      </c>
      <c r="B1150" s="23" t="inlineStr">
        <is>
          <t>Contractor Programme / SCH-05-082</t>
        </is>
      </c>
      <c r="C1150" s="23" t="inlineStr">
        <is>
          <t>WBS Code = 1.5.1</t>
        </is>
      </c>
      <c r="D1150" s="23" t="inlineStr">
        <is>
          <t>Proposed by Source assignment; target 1.5.1 Testing and Commissioning - Test Readiness</t>
        </is>
      </c>
      <c r="E1150" s="23" t="inlineStr">
        <is>
          <t>None recorded</t>
        </is>
      </c>
      <c r="F1150" s="23" t="inlineStr">
        <is>
          <t>No individual professional decision recorded; Source assignment -- not individually reviewed</t>
        </is>
      </c>
      <c r="G1150" s="23" t="inlineStr">
        <is>
          <t>Not individually decided</t>
        </is>
      </c>
      <c r="H1150" s="23" t="inlineStr">
        <is>
          <t xml:space="preserve">RETAINED / ONE_TO_ONE; </t>
        </is>
      </c>
      <c r="I1150" s="23" t="inlineStr">
        <is>
          <t>Carried forward</t>
        </is>
      </c>
      <c r="J1150" s="14" t="inlineStr">
        <is>
          <t>08 CROSSWALK</t>
        </is>
      </c>
    </row>
    <row r="1151" ht="49" customHeight="1">
      <c r="A1151" s="23" t="inlineStr">
        <is>
          <t>R803-v2</t>
        </is>
      </c>
      <c r="B1151" s="23" t="inlineStr">
        <is>
          <t>Contractor Programme / SCH-05-083</t>
        </is>
      </c>
      <c r="C1151" s="23" t="inlineStr">
        <is>
          <t>WBS Code = 1.5.1</t>
        </is>
      </c>
      <c r="D1151" s="23" t="inlineStr">
        <is>
          <t>Proposed by Source assignment; target 1.5.1 Testing and Commissioning - Test Readiness</t>
        </is>
      </c>
      <c r="E1151" s="23" t="inlineStr">
        <is>
          <t>None recorded</t>
        </is>
      </c>
      <c r="F1151" s="23" t="inlineStr">
        <is>
          <t>No individual professional decision recorded; Source assignment -- not individually reviewed</t>
        </is>
      </c>
      <c r="G1151" s="23" t="inlineStr">
        <is>
          <t>Not individually decided</t>
        </is>
      </c>
      <c r="H1151" s="23" t="inlineStr">
        <is>
          <t xml:space="preserve">RETAINED / ONE_TO_ONE; </t>
        </is>
      </c>
      <c r="I1151" s="23" t="inlineStr">
        <is>
          <t>Carried forward</t>
        </is>
      </c>
      <c r="J1151" s="14" t="inlineStr">
        <is>
          <t>08 CROSSWALK</t>
        </is>
      </c>
    </row>
    <row r="1152" ht="49" customHeight="1">
      <c r="A1152" s="23" t="inlineStr">
        <is>
          <t>R805-v2</t>
        </is>
      </c>
      <c r="B1152" s="23" t="inlineStr">
        <is>
          <t>Contractor Programme / SCH-05-085</t>
        </is>
      </c>
      <c r="C1152" s="23" t="inlineStr">
        <is>
          <t>WBS Code = 1.5.1</t>
        </is>
      </c>
      <c r="D1152" s="23" t="inlineStr">
        <is>
          <t>Proposed by Source assignment; target 1.5.1 Testing and Commissioning - Test Readiness</t>
        </is>
      </c>
      <c r="E1152" s="23" t="inlineStr">
        <is>
          <t>None recorded</t>
        </is>
      </c>
      <c r="F1152" s="23" t="inlineStr">
        <is>
          <t>No individual professional decision recorded; Source assignment -- not individually reviewed</t>
        </is>
      </c>
      <c r="G1152" s="23" t="inlineStr">
        <is>
          <t>Not individually decided</t>
        </is>
      </c>
      <c r="H1152" s="23" t="inlineStr">
        <is>
          <t xml:space="preserve">RETAINED / ONE_TO_ONE; </t>
        </is>
      </c>
      <c r="I1152" s="23" t="inlineStr">
        <is>
          <t>Carried forward</t>
        </is>
      </c>
      <c r="J1152" s="14" t="inlineStr">
        <is>
          <t>08 CROSSWALK</t>
        </is>
      </c>
    </row>
    <row r="1153" ht="49" customHeight="1">
      <c r="A1153" s="23" t="inlineStr">
        <is>
          <t>R806-v2</t>
        </is>
      </c>
      <c r="B1153" s="23" t="inlineStr">
        <is>
          <t>Contractor Programme / SCH-05-086</t>
        </is>
      </c>
      <c r="C1153" s="23" t="inlineStr">
        <is>
          <t>WBS Code = 1.5.1</t>
        </is>
      </c>
      <c r="D1153" s="23" t="inlineStr">
        <is>
          <t>Proposed by Source assignment; target 1.5.1 Testing and Commissioning - Test Readiness</t>
        </is>
      </c>
      <c r="E1153" s="23" t="inlineStr">
        <is>
          <t>None recorded</t>
        </is>
      </c>
      <c r="F1153" s="23" t="inlineStr">
        <is>
          <t>No individual professional decision recorded; Source assignment -- not individually reviewed</t>
        </is>
      </c>
      <c r="G1153" s="23" t="inlineStr">
        <is>
          <t>Not individually decided</t>
        </is>
      </c>
      <c r="H1153" s="23" t="inlineStr">
        <is>
          <t xml:space="preserve">RETAINED / ONE_TO_ONE; </t>
        </is>
      </c>
      <c r="I1153" s="23" t="inlineStr">
        <is>
          <t>Carried forward</t>
        </is>
      </c>
      <c r="J1153" s="14" t="inlineStr">
        <is>
          <t>08 CROSSWALK</t>
        </is>
      </c>
    </row>
    <row r="1154" ht="49" customHeight="1">
      <c r="A1154" s="23" t="inlineStr">
        <is>
          <t>R808-v2</t>
        </is>
      </c>
      <c r="B1154" s="23" t="inlineStr">
        <is>
          <t>Contractor Programme / SCH-05-088</t>
        </is>
      </c>
      <c r="C1154" s="23" t="inlineStr">
        <is>
          <t>WBS Code = 1.5.1</t>
        </is>
      </c>
      <c r="D1154" s="23" t="inlineStr">
        <is>
          <t>Proposed by Source assignment; target 1.5.1 Testing and Commissioning - Test Readiness</t>
        </is>
      </c>
      <c r="E1154" s="23" t="inlineStr">
        <is>
          <t>None recorded</t>
        </is>
      </c>
      <c r="F1154" s="23" t="inlineStr">
        <is>
          <t>No individual professional decision recorded; Source assignment -- not individually reviewed</t>
        </is>
      </c>
      <c r="G1154" s="23" t="inlineStr">
        <is>
          <t>Not individually decided</t>
        </is>
      </c>
      <c r="H1154" s="23" t="inlineStr">
        <is>
          <t xml:space="preserve">RETAINED / ONE_TO_ONE; </t>
        </is>
      </c>
      <c r="I1154" s="23" t="inlineStr">
        <is>
          <t>Carried forward</t>
        </is>
      </c>
      <c r="J1154" s="14" t="inlineStr">
        <is>
          <t>08 CROSSWALK</t>
        </is>
      </c>
    </row>
    <row r="1155" ht="49" customHeight="1">
      <c r="A1155" s="23" t="inlineStr">
        <is>
          <t>R809-v2</t>
        </is>
      </c>
      <c r="B1155" s="23" t="inlineStr">
        <is>
          <t>Contractor Programme / SCH-05-089</t>
        </is>
      </c>
      <c r="C1155" s="23" t="inlineStr">
        <is>
          <t>WBS Code = 1.5.1</t>
        </is>
      </c>
      <c r="D1155" s="23" t="inlineStr">
        <is>
          <t>Proposed by Source assignment; target 1.5.1 Testing and Commissioning - Test Readiness</t>
        </is>
      </c>
      <c r="E1155" s="23" t="inlineStr">
        <is>
          <t>None recorded</t>
        </is>
      </c>
      <c r="F1155" s="23" t="inlineStr">
        <is>
          <t>No individual professional decision recorded; Source assignment -- not individually reviewed</t>
        </is>
      </c>
      <c r="G1155" s="23" t="inlineStr">
        <is>
          <t>Not individually decided</t>
        </is>
      </c>
      <c r="H1155" s="23" t="inlineStr">
        <is>
          <t xml:space="preserve">RETAINED / ONE_TO_ONE; </t>
        </is>
      </c>
      <c r="I1155" s="23" t="inlineStr">
        <is>
          <t>Carried forward</t>
        </is>
      </c>
      <c r="J1155" s="14" t="inlineStr">
        <is>
          <t>08 CROSSWALK</t>
        </is>
      </c>
    </row>
    <row r="1156" ht="49" customHeight="1">
      <c r="A1156" s="23" t="inlineStr">
        <is>
          <t>R811-v2</t>
        </is>
      </c>
      <c r="B1156" s="23" t="inlineStr">
        <is>
          <t>Contractor Programme / SCH-05-091</t>
        </is>
      </c>
      <c r="C1156" s="23" t="inlineStr">
        <is>
          <t>WBS Code = 1.5.1</t>
        </is>
      </c>
      <c r="D1156" s="23" t="inlineStr">
        <is>
          <t>Proposed by Source assignment; target 1.5.1 Testing and Commissioning - Test Readiness</t>
        </is>
      </c>
      <c r="E1156" s="23" t="inlineStr">
        <is>
          <t>None recorded</t>
        </is>
      </c>
      <c r="F1156" s="23" t="inlineStr">
        <is>
          <t>No individual professional decision recorded; Source assignment -- not individually reviewed</t>
        </is>
      </c>
      <c r="G1156" s="23" t="inlineStr">
        <is>
          <t>Not individually decided</t>
        </is>
      </c>
      <c r="H1156" s="23" t="inlineStr">
        <is>
          <t xml:space="preserve">RETAINED / ONE_TO_ONE; </t>
        </is>
      </c>
      <c r="I1156" s="23" t="inlineStr">
        <is>
          <t>Carried forward</t>
        </is>
      </c>
      <c r="J1156" s="14" t="inlineStr">
        <is>
          <t>08 CROSSWALK</t>
        </is>
      </c>
    </row>
    <row r="1157" ht="49" customHeight="1">
      <c r="A1157" s="23" t="inlineStr">
        <is>
          <t>R812-v2</t>
        </is>
      </c>
      <c r="B1157" s="23" t="inlineStr">
        <is>
          <t>Contractor Programme / SCH-05-092</t>
        </is>
      </c>
      <c r="C1157" s="23" t="inlineStr">
        <is>
          <t>WBS Code = 1.5.1</t>
        </is>
      </c>
      <c r="D1157" s="23" t="inlineStr">
        <is>
          <t>Proposed by Source assignment; target 1.5.1 Testing and Commissioning - Test Readiness</t>
        </is>
      </c>
      <c r="E1157" s="23" t="inlineStr">
        <is>
          <t>None recorded</t>
        </is>
      </c>
      <c r="F1157" s="23" t="inlineStr">
        <is>
          <t>No individual professional decision recorded; Source assignment -- not individually reviewed</t>
        </is>
      </c>
      <c r="G1157" s="23" t="inlineStr">
        <is>
          <t>Not individually decided</t>
        </is>
      </c>
      <c r="H1157" s="23" t="inlineStr">
        <is>
          <t xml:space="preserve">RETAINED / ONE_TO_ONE; </t>
        </is>
      </c>
      <c r="I1157" s="23" t="inlineStr">
        <is>
          <t>Carried forward</t>
        </is>
      </c>
      <c r="J1157" s="14" t="inlineStr">
        <is>
          <t>08 CROSSWALK</t>
        </is>
      </c>
    </row>
    <row r="1158" ht="49" customHeight="1">
      <c r="A1158" s="23" t="inlineStr">
        <is>
          <t>R814-v2</t>
        </is>
      </c>
      <c r="B1158" s="23" t="inlineStr">
        <is>
          <t>Contractor Programme / SCH-05-094</t>
        </is>
      </c>
      <c r="C1158" s="23" t="inlineStr">
        <is>
          <t>WBS Code = 1.5.1</t>
        </is>
      </c>
      <c r="D1158" s="23" t="inlineStr">
        <is>
          <t>Proposed by Source assignment; target 1.5.1 Testing and Commissioning - Test Readiness</t>
        </is>
      </c>
      <c r="E1158" s="23" t="inlineStr">
        <is>
          <t>None recorded</t>
        </is>
      </c>
      <c r="F1158" s="23" t="inlineStr">
        <is>
          <t>No individual professional decision recorded; Source assignment -- not individually reviewed</t>
        </is>
      </c>
      <c r="G1158" s="23" t="inlineStr">
        <is>
          <t>Not individually decided</t>
        </is>
      </c>
      <c r="H1158" s="23" t="inlineStr">
        <is>
          <t xml:space="preserve">RETAINED / ONE_TO_ONE; </t>
        </is>
      </c>
      <c r="I1158" s="23" t="inlineStr">
        <is>
          <t>Carried forward</t>
        </is>
      </c>
      <c r="J1158" s="14" t="inlineStr">
        <is>
          <t>08 CROSSWALK</t>
        </is>
      </c>
    </row>
    <row r="1159" ht="49" customHeight="1">
      <c r="A1159" s="23" t="inlineStr">
        <is>
          <t>R815-v2</t>
        </is>
      </c>
      <c r="B1159" s="23" t="inlineStr">
        <is>
          <t>Contractor Programme / SCH-05-095</t>
        </is>
      </c>
      <c r="C1159" s="23" t="inlineStr">
        <is>
          <t>WBS Code = 1.5.1</t>
        </is>
      </c>
      <c r="D1159" s="23" t="inlineStr">
        <is>
          <t>Proposed by Source assignment; target 1.5.1 Testing and Commissioning - Test Readiness</t>
        </is>
      </c>
      <c r="E1159" s="23" t="inlineStr">
        <is>
          <t>None recorded</t>
        </is>
      </c>
      <c r="F1159" s="23" t="inlineStr">
        <is>
          <t>No individual professional decision recorded; Source assignment -- not individually reviewed</t>
        </is>
      </c>
      <c r="G1159" s="23" t="inlineStr">
        <is>
          <t>Not individually decided</t>
        </is>
      </c>
      <c r="H1159" s="23" t="inlineStr">
        <is>
          <t xml:space="preserve">RETAINED / ONE_TO_ONE; </t>
        </is>
      </c>
      <c r="I1159" s="23" t="inlineStr">
        <is>
          <t>Carried forward</t>
        </is>
      </c>
      <c r="J1159" s="14" t="inlineStr">
        <is>
          <t>08 CROSSWALK</t>
        </is>
      </c>
    </row>
    <row r="1160" ht="49" customHeight="1">
      <c r="A1160" s="23" t="inlineStr">
        <is>
          <t>R817-v2</t>
        </is>
      </c>
      <c r="B1160" s="23" t="inlineStr">
        <is>
          <t>Contractor Programme / SCH-05-097</t>
        </is>
      </c>
      <c r="C1160" s="23" t="inlineStr">
        <is>
          <t>WBS Code = 1.5.1</t>
        </is>
      </c>
      <c r="D1160" s="23" t="inlineStr">
        <is>
          <t>Proposed by Source assignment; target 1.5.1 Testing and Commissioning - Test Readiness</t>
        </is>
      </c>
      <c r="E1160" s="23" t="inlineStr">
        <is>
          <t>None recorded</t>
        </is>
      </c>
      <c r="F1160" s="23" t="inlineStr">
        <is>
          <t>No individual professional decision recorded; Source assignment -- not individually reviewed</t>
        </is>
      </c>
      <c r="G1160" s="23" t="inlineStr">
        <is>
          <t>Not individually decided</t>
        </is>
      </c>
      <c r="H1160" s="23" t="inlineStr">
        <is>
          <t xml:space="preserve">RETAINED / ONE_TO_ONE; </t>
        </is>
      </c>
      <c r="I1160" s="23" t="inlineStr">
        <is>
          <t>Carried forward</t>
        </is>
      </c>
      <c r="J1160" s="14" t="inlineStr">
        <is>
          <t>08 CROSSWALK</t>
        </is>
      </c>
    </row>
    <row r="1161" ht="49" customHeight="1">
      <c r="A1161" s="23" t="inlineStr">
        <is>
          <t>R818-v2</t>
        </is>
      </c>
      <c r="B1161" s="23" t="inlineStr">
        <is>
          <t>Contractor Programme / SCH-05-098</t>
        </is>
      </c>
      <c r="C1161" s="23" t="inlineStr">
        <is>
          <t>WBS Code = 1.5.1</t>
        </is>
      </c>
      <c r="D1161" s="23" t="inlineStr">
        <is>
          <t>Proposed by Source assignment; target 1.5.1 Testing and Commissioning - Test Readiness</t>
        </is>
      </c>
      <c r="E1161" s="23" t="inlineStr">
        <is>
          <t>None recorded</t>
        </is>
      </c>
      <c r="F1161" s="23" t="inlineStr">
        <is>
          <t>No individual professional decision recorded; Source assignment -- not individually reviewed</t>
        </is>
      </c>
      <c r="G1161" s="23" t="inlineStr">
        <is>
          <t>Not individually decided</t>
        </is>
      </c>
      <c r="H1161" s="23" t="inlineStr">
        <is>
          <t xml:space="preserve">RETAINED / ONE_TO_ONE; </t>
        </is>
      </c>
      <c r="I1161" s="23" t="inlineStr">
        <is>
          <t>Carried forward</t>
        </is>
      </c>
      <c r="J1161" s="14" t="inlineStr">
        <is>
          <t>08 CROSSWALK</t>
        </is>
      </c>
    </row>
    <row r="1162" ht="49" customHeight="1">
      <c r="A1162" s="23" t="inlineStr">
        <is>
          <t>R820-v2</t>
        </is>
      </c>
      <c r="B1162" s="23" t="inlineStr">
        <is>
          <t>Contractor Programme / SCH-05-100</t>
        </is>
      </c>
      <c r="C1162" s="23" t="inlineStr">
        <is>
          <t>WBS Code = 1.5.1</t>
        </is>
      </c>
      <c r="D1162" s="23" t="inlineStr">
        <is>
          <t>Proposed by Source assignment; target 1.5.1 Testing and Commissioning - Test Readiness</t>
        </is>
      </c>
      <c r="E1162" s="23" t="inlineStr">
        <is>
          <t>None recorded</t>
        </is>
      </c>
      <c r="F1162" s="23" t="inlineStr">
        <is>
          <t>No individual professional decision recorded; Source assignment -- not individually reviewed</t>
        </is>
      </c>
      <c r="G1162" s="23" t="inlineStr">
        <is>
          <t>Not individually decided</t>
        </is>
      </c>
      <c r="H1162" s="23" t="inlineStr">
        <is>
          <t xml:space="preserve">RETAINED / ONE_TO_ONE; </t>
        </is>
      </c>
      <c r="I1162" s="23" t="inlineStr">
        <is>
          <t>Carried forward</t>
        </is>
      </c>
      <c r="J1162" s="14" t="inlineStr">
        <is>
          <t>08 CROSSWALK</t>
        </is>
      </c>
    </row>
    <row r="1163" ht="49" customHeight="1">
      <c r="A1163" s="23" t="inlineStr">
        <is>
          <t>R821-v2</t>
        </is>
      </c>
      <c r="B1163" s="23" t="inlineStr">
        <is>
          <t>Contractor Programme / SCH-05-101</t>
        </is>
      </c>
      <c r="C1163" s="23" t="inlineStr">
        <is>
          <t>WBS Code = 1.5.1</t>
        </is>
      </c>
      <c r="D1163" s="23" t="inlineStr">
        <is>
          <t>Proposed by Source assignment; target 1.5.1 Testing and Commissioning - Test Readiness</t>
        </is>
      </c>
      <c r="E1163" s="23" t="inlineStr">
        <is>
          <t>None recorded</t>
        </is>
      </c>
      <c r="F1163" s="23" t="inlineStr">
        <is>
          <t>No individual professional decision recorded; Source assignment -- not individually reviewed</t>
        </is>
      </c>
      <c r="G1163" s="23" t="inlineStr">
        <is>
          <t>Not individually decided</t>
        </is>
      </c>
      <c r="H1163" s="23" t="inlineStr">
        <is>
          <t xml:space="preserve">RETAINED / ONE_TO_ONE; </t>
        </is>
      </c>
      <c r="I1163" s="23" t="inlineStr">
        <is>
          <t>Carried forward</t>
        </is>
      </c>
      <c r="J1163" s="14" t="inlineStr">
        <is>
          <t>08 CROSSWALK</t>
        </is>
      </c>
    </row>
    <row r="1164" ht="49" customHeight="1">
      <c r="A1164" s="23" t="inlineStr">
        <is>
          <t>R823-v2</t>
        </is>
      </c>
      <c r="B1164" s="23" t="inlineStr">
        <is>
          <t>Contractor Programme / SCH-05-103</t>
        </is>
      </c>
      <c r="C1164" s="23" t="inlineStr">
        <is>
          <t>WBS Code = 1.5.1</t>
        </is>
      </c>
      <c r="D1164" s="23" t="inlineStr">
        <is>
          <t>Proposed by Source assignment; target 1.5.1 Testing and Commissioning - Test Readiness</t>
        </is>
      </c>
      <c r="E1164" s="23" t="inlineStr">
        <is>
          <t>None recorded</t>
        </is>
      </c>
      <c r="F1164" s="23" t="inlineStr">
        <is>
          <t>No individual professional decision recorded; Source assignment -- not individually reviewed</t>
        </is>
      </c>
      <c r="G1164" s="23" t="inlineStr">
        <is>
          <t>Not individually decided</t>
        </is>
      </c>
      <c r="H1164" s="23" t="inlineStr">
        <is>
          <t xml:space="preserve">RETAINED / ONE_TO_ONE; </t>
        </is>
      </c>
      <c r="I1164" s="23" t="inlineStr">
        <is>
          <t>Carried forward</t>
        </is>
      </c>
      <c r="J1164" s="14" t="inlineStr">
        <is>
          <t>08 CROSSWALK</t>
        </is>
      </c>
    </row>
    <row r="1165" ht="49" customHeight="1">
      <c r="A1165" s="23" t="inlineStr">
        <is>
          <t>R824-v2</t>
        </is>
      </c>
      <c r="B1165" s="23" t="inlineStr">
        <is>
          <t>Contractor Programme / SCH-05-104</t>
        </is>
      </c>
      <c r="C1165" s="23" t="inlineStr">
        <is>
          <t>WBS Code = 1.5.1</t>
        </is>
      </c>
      <c r="D1165" s="23" t="inlineStr">
        <is>
          <t>Proposed by Source assignment; target 1.5.1 Testing and Commissioning - Test Readiness</t>
        </is>
      </c>
      <c r="E1165" s="23" t="inlineStr">
        <is>
          <t>None recorded</t>
        </is>
      </c>
      <c r="F1165" s="23" t="inlineStr">
        <is>
          <t>No individual professional decision recorded; Source assignment -- not individually reviewed</t>
        </is>
      </c>
      <c r="G1165" s="23" t="inlineStr">
        <is>
          <t>Not individually decided</t>
        </is>
      </c>
      <c r="H1165" s="23" t="inlineStr">
        <is>
          <t xml:space="preserve">RETAINED / ONE_TO_ONE; </t>
        </is>
      </c>
      <c r="I1165" s="23" t="inlineStr">
        <is>
          <t>Carried forward</t>
        </is>
      </c>
      <c r="J1165" s="14" t="inlineStr">
        <is>
          <t>08 CROSSWALK</t>
        </is>
      </c>
    </row>
    <row r="1166" ht="49" customHeight="1">
      <c r="A1166" s="23" t="inlineStr">
        <is>
          <t>R826-v2</t>
        </is>
      </c>
      <c r="B1166" s="23" t="inlineStr">
        <is>
          <t>Contractor Programme / SCH-05-106</t>
        </is>
      </c>
      <c r="C1166" s="23" t="inlineStr">
        <is>
          <t>WBS Code = 1.5.1</t>
        </is>
      </c>
      <c r="D1166" s="23" t="inlineStr">
        <is>
          <t>Proposed by Source assignment; target 1.5.1 Testing and Commissioning - Test Readiness</t>
        </is>
      </c>
      <c r="E1166" s="23" t="inlineStr">
        <is>
          <t>None recorded</t>
        </is>
      </c>
      <c r="F1166" s="23" t="inlineStr">
        <is>
          <t>No individual professional decision recorded; Source assignment -- not individually reviewed</t>
        </is>
      </c>
      <c r="G1166" s="23" t="inlineStr">
        <is>
          <t>Not individually decided</t>
        </is>
      </c>
      <c r="H1166" s="23" t="inlineStr">
        <is>
          <t xml:space="preserve">RETAINED / ONE_TO_ONE; </t>
        </is>
      </c>
      <c r="I1166" s="23" t="inlineStr">
        <is>
          <t>Carried forward</t>
        </is>
      </c>
      <c r="J1166" s="14" t="inlineStr">
        <is>
          <t>08 CROSSWALK</t>
        </is>
      </c>
    </row>
    <row r="1167" ht="49" customHeight="1">
      <c r="A1167" s="23" t="inlineStr">
        <is>
          <t>R827-v2</t>
        </is>
      </c>
      <c r="B1167" s="23" t="inlineStr">
        <is>
          <t>Contractor Programme / SCH-05-107</t>
        </is>
      </c>
      <c r="C1167" s="23" t="inlineStr">
        <is>
          <t>WBS Code = 1.5.1</t>
        </is>
      </c>
      <c r="D1167" s="23" t="inlineStr">
        <is>
          <t>Proposed by Source assignment; target 1.5.1 Testing and Commissioning - Test Readiness</t>
        </is>
      </c>
      <c r="E1167" s="23" t="inlineStr">
        <is>
          <t>None recorded</t>
        </is>
      </c>
      <c r="F1167" s="23" t="inlineStr">
        <is>
          <t>No individual professional decision recorded; Source assignment -- not individually reviewed</t>
        </is>
      </c>
      <c r="G1167" s="23" t="inlineStr">
        <is>
          <t>Not individually decided</t>
        </is>
      </c>
      <c r="H1167" s="23" t="inlineStr">
        <is>
          <t xml:space="preserve">RETAINED / ONE_TO_ONE; </t>
        </is>
      </c>
      <c r="I1167" s="23" t="inlineStr">
        <is>
          <t>Carried forward</t>
        </is>
      </c>
      <c r="J1167" s="14" t="inlineStr">
        <is>
          <t>08 CROSSWALK</t>
        </is>
      </c>
    </row>
    <row r="1168" ht="49" customHeight="1">
      <c r="A1168" s="23" t="inlineStr">
        <is>
          <t>R829-v2</t>
        </is>
      </c>
      <c r="B1168" s="23" t="inlineStr">
        <is>
          <t>Contractor Programme / SCH-05-109</t>
        </is>
      </c>
      <c r="C1168" s="23" t="inlineStr">
        <is>
          <t>WBS Code = 1.5.1</t>
        </is>
      </c>
      <c r="D1168" s="23" t="inlineStr">
        <is>
          <t>Proposed by Source assignment; target 1.5.1 Testing and Commissioning - Test Readiness</t>
        </is>
      </c>
      <c r="E1168" s="23" t="inlineStr">
        <is>
          <t>None recorded</t>
        </is>
      </c>
      <c r="F1168" s="23" t="inlineStr">
        <is>
          <t>No individual professional decision recorded; Source assignment -- not individually reviewed</t>
        </is>
      </c>
      <c r="G1168" s="23" t="inlineStr">
        <is>
          <t>Not individually decided</t>
        </is>
      </c>
      <c r="H1168" s="23" t="inlineStr">
        <is>
          <t xml:space="preserve">RETAINED / ONE_TO_ONE; </t>
        </is>
      </c>
      <c r="I1168" s="23" t="inlineStr">
        <is>
          <t>Carried forward</t>
        </is>
      </c>
      <c r="J1168" s="14" t="inlineStr">
        <is>
          <t>08 CROSSWALK</t>
        </is>
      </c>
    </row>
    <row r="1169" ht="49" customHeight="1">
      <c r="A1169" s="23" t="inlineStr">
        <is>
          <t>R830-v2</t>
        </is>
      </c>
      <c r="B1169" s="23" t="inlineStr">
        <is>
          <t>Contractor Programme / SCH-05-110</t>
        </is>
      </c>
      <c r="C1169" s="23" t="inlineStr">
        <is>
          <t>WBS Code = 1.5.1</t>
        </is>
      </c>
      <c r="D1169" s="23" t="inlineStr">
        <is>
          <t>Proposed by Source assignment; target 1.5.1 Testing and Commissioning - Test Readiness</t>
        </is>
      </c>
      <c r="E1169" s="23" t="inlineStr">
        <is>
          <t>None recorded</t>
        </is>
      </c>
      <c r="F1169" s="23" t="inlineStr">
        <is>
          <t>No individual professional decision recorded; Source assignment -- not individually reviewed</t>
        </is>
      </c>
      <c r="G1169" s="23" t="inlineStr">
        <is>
          <t>Not individually decided</t>
        </is>
      </c>
      <c r="H1169" s="23" t="inlineStr">
        <is>
          <t xml:space="preserve">RETAINED / ONE_TO_ONE; </t>
        </is>
      </c>
      <c r="I1169" s="23" t="inlineStr">
        <is>
          <t>Carried forward</t>
        </is>
      </c>
      <c r="J1169" s="14" t="inlineStr">
        <is>
          <t>08 CROSSWALK</t>
        </is>
      </c>
    </row>
    <row r="1170" ht="49" customHeight="1">
      <c r="A1170" s="23" t="inlineStr">
        <is>
          <t>R832-v2</t>
        </is>
      </c>
      <c r="B1170" s="23" t="inlineStr">
        <is>
          <t>Contractor Programme / SCH-05-112</t>
        </is>
      </c>
      <c r="C1170" s="23" t="inlineStr">
        <is>
          <t>WBS Code = 1.5.1</t>
        </is>
      </c>
      <c r="D1170" s="23" t="inlineStr">
        <is>
          <t>Proposed by Source assignment; target 1.5.1 Testing and Commissioning - Test Readiness</t>
        </is>
      </c>
      <c r="E1170" s="23" t="inlineStr">
        <is>
          <t>None recorded</t>
        </is>
      </c>
      <c r="F1170" s="23" t="inlineStr">
        <is>
          <t>No individual professional decision recorded; Source assignment -- not individually reviewed</t>
        </is>
      </c>
      <c r="G1170" s="23" t="inlineStr">
        <is>
          <t>Not individually decided</t>
        </is>
      </c>
      <c r="H1170" s="23" t="inlineStr">
        <is>
          <t xml:space="preserve">RETAINED / ONE_TO_ONE; </t>
        </is>
      </c>
      <c r="I1170" s="23" t="inlineStr">
        <is>
          <t>Carried forward</t>
        </is>
      </c>
      <c r="J1170" s="14" t="inlineStr">
        <is>
          <t>08 CROSSWALK</t>
        </is>
      </c>
    </row>
    <row r="1171" ht="49" customHeight="1">
      <c r="A1171" s="23" t="inlineStr">
        <is>
          <t>R833-v2</t>
        </is>
      </c>
      <c r="B1171" s="23" t="inlineStr">
        <is>
          <t>Contractor Programme / SCH-05-113</t>
        </is>
      </c>
      <c r="C1171" s="23" t="inlineStr">
        <is>
          <t>WBS Code = 1.5.1</t>
        </is>
      </c>
      <c r="D1171" s="23" t="inlineStr">
        <is>
          <t>Proposed by Source assignment; target 1.5.1 Testing and Commissioning - Test Readiness</t>
        </is>
      </c>
      <c r="E1171" s="23" t="inlineStr">
        <is>
          <t>None recorded</t>
        </is>
      </c>
      <c r="F1171" s="23" t="inlineStr">
        <is>
          <t>No individual professional decision recorded; Source assignment -- not individually reviewed</t>
        </is>
      </c>
      <c r="G1171" s="23" t="inlineStr">
        <is>
          <t>Not individually decided</t>
        </is>
      </c>
      <c r="H1171" s="23" t="inlineStr">
        <is>
          <t xml:space="preserve">RETAINED / ONE_TO_ONE; </t>
        </is>
      </c>
      <c r="I1171" s="23" t="inlineStr">
        <is>
          <t>Carried forward</t>
        </is>
      </c>
      <c r="J1171" s="14" t="inlineStr">
        <is>
          <t>08 CROSSWALK</t>
        </is>
      </c>
    </row>
    <row r="1172" ht="49" customHeight="1">
      <c r="A1172" s="23" t="inlineStr">
        <is>
          <t>R835-v2</t>
        </is>
      </c>
      <c r="B1172" s="23" t="inlineStr">
        <is>
          <t>Contractor Programme / SCH-05-115</t>
        </is>
      </c>
      <c r="C1172" s="23" t="inlineStr">
        <is>
          <t>WBS Code = 1.5.1</t>
        </is>
      </c>
      <c r="D1172" s="23" t="inlineStr">
        <is>
          <t>Proposed by Source assignment; target 1.5.1 Testing and Commissioning - Test Readiness</t>
        </is>
      </c>
      <c r="E1172" s="23" t="inlineStr">
        <is>
          <t>None recorded</t>
        </is>
      </c>
      <c r="F1172" s="23" t="inlineStr">
        <is>
          <t>No individual professional decision recorded; Source assignment -- not individually reviewed</t>
        </is>
      </c>
      <c r="G1172" s="23" t="inlineStr">
        <is>
          <t>Not individually decided</t>
        </is>
      </c>
      <c r="H1172" s="23" t="inlineStr">
        <is>
          <t xml:space="preserve">RETAINED / ONE_TO_ONE; </t>
        </is>
      </c>
      <c r="I1172" s="23" t="inlineStr">
        <is>
          <t>Carried forward</t>
        </is>
      </c>
      <c r="J1172" s="14" t="inlineStr">
        <is>
          <t>08 CROSSWALK</t>
        </is>
      </c>
    </row>
    <row r="1173" ht="49" customHeight="1">
      <c r="A1173" s="23" t="inlineStr">
        <is>
          <t>R836-v2</t>
        </is>
      </c>
      <c r="B1173" s="23" t="inlineStr">
        <is>
          <t>Contractor Programme / SCH-05-116</t>
        </is>
      </c>
      <c r="C1173" s="23" t="inlineStr">
        <is>
          <t>WBS Code = 1.5.1</t>
        </is>
      </c>
      <c r="D1173" s="23" t="inlineStr">
        <is>
          <t>Proposed by Source assignment; target 1.5.1 Testing and Commissioning - Test Readiness</t>
        </is>
      </c>
      <c r="E1173" s="23" t="inlineStr">
        <is>
          <t>None recorded</t>
        </is>
      </c>
      <c r="F1173" s="23" t="inlineStr">
        <is>
          <t>No individual professional decision recorded; Source assignment -- not individually reviewed</t>
        </is>
      </c>
      <c r="G1173" s="23" t="inlineStr">
        <is>
          <t>Not individually decided</t>
        </is>
      </c>
      <c r="H1173" s="23" t="inlineStr">
        <is>
          <t xml:space="preserve">RETAINED / ONE_TO_ONE; </t>
        </is>
      </c>
      <c r="I1173" s="23" t="inlineStr">
        <is>
          <t>Carried forward</t>
        </is>
      </c>
      <c r="J1173" s="14" t="inlineStr">
        <is>
          <t>08 CROSSWALK</t>
        </is>
      </c>
    </row>
    <row r="1174" ht="49" customHeight="1">
      <c r="A1174" s="23" t="inlineStr">
        <is>
          <t>R838-v2</t>
        </is>
      </c>
      <c r="B1174" s="23" t="inlineStr">
        <is>
          <t>Contractor Programme / SCH-05-118</t>
        </is>
      </c>
      <c r="C1174" s="23" t="inlineStr">
        <is>
          <t>WBS Code = 1.5.1</t>
        </is>
      </c>
      <c r="D1174" s="23" t="inlineStr">
        <is>
          <t>Proposed by Source assignment; target 1.5.1 Testing and Commissioning - Test Readiness</t>
        </is>
      </c>
      <c r="E1174" s="23" t="inlineStr">
        <is>
          <t>None recorded</t>
        </is>
      </c>
      <c r="F1174" s="23" t="inlineStr">
        <is>
          <t>No individual professional decision recorded; Source assignment -- not individually reviewed</t>
        </is>
      </c>
      <c r="G1174" s="23" t="inlineStr">
        <is>
          <t>Not individually decided</t>
        </is>
      </c>
      <c r="H1174" s="23" t="inlineStr">
        <is>
          <t xml:space="preserve">RETAINED / ONE_TO_ONE; </t>
        </is>
      </c>
      <c r="I1174" s="23" t="inlineStr">
        <is>
          <t>Carried forward</t>
        </is>
      </c>
      <c r="J1174" s="14" t="inlineStr">
        <is>
          <t>08 CROSSWALK</t>
        </is>
      </c>
    </row>
    <row r="1175" ht="49" customHeight="1">
      <c r="A1175" s="23" t="inlineStr">
        <is>
          <t>R839-v2</t>
        </is>
      </c>
      <c r="B1175" s="23" t="inlineStr">
        <is>
          <t>Contractor Programme / SCH-05-119</t>
        </is>
      </c>
      <c r="C1175" s="23" t="inlineStr">
        <is>
          <t>WBS Code = 1.5.1</t>
        </is>
      </c>
      <c r="D1175" s="23" t="inlineStr">
        <is>
          <t>Proposed by Source assignment; target 1.5.1 Testing and Commissioning - Test Readiness</t>
        </is>
      </c>
      <c r="E1175" s="23" t="inlineStr">
        <is>
          <t>None recorded</t>
        </is>
      </c>
      <c r="F1175" s="23" t="inlineStr">
        <is>
          <t>No individual professional decision recorded; Source assignment -- not individually reviewed</t>
        </is>
      </c>
      <c r="G1175" s="23" t="inlineStr">
        <is>
          <t>Not individually decided</t>
        </is>
      </c>
      <c r="H1175" s="23" t="inlineStr">
        <is>
          <t xml:space="preserve">RETAINED / ONE_TO_ONE; </t>
        </is>
      </c>
      <c r="I1175" s="23" t="inlineStr">
        <is>
          <t>Carried forward</t>
        </is>
      </c>
      <c r="J1175" s="14" t="inlineStr">
        <is>
          <t>08 CROSSWALK</t>
        </is>
      </c>
    </row>
    <row r="1176" ht="49" customHeight="1">
      <c r="A1176" s="23" t="inlineStr">
        <is>
          <t>R841-v2</t>
        </is>
      </c>
      <c r="B1176" s="23" t="inlineStr">
        <is>
          <t>Contractor Programme / SCH-05-121</t>
        </is>
      </c>
      <c r="C1176" s="23" t="inlineStr">
        <is>
          <t>WBS Code = 1.5.1</t>
        </is>
      </c>
      <c r="D1176" s="23" t="inlineStr">
        <is>
          <t>Proposed by Source assignment; target 1.5.1 Testing and Commissioning - Test Readiness</t>
        </is>
      </c>
      <c r="E1176" s="23" t="inlineStr">
        <is>
          <t>None recorded</t>
        </is>
      </c>
      <c r="F1176" s="23" t="inlineStr">
        <is>
          <t>No individual professional decision recorded; Source assignment -- not individually reviewed</t>
        </is>
      </c>
      <c r="G1176" s="23" t="inlineStr">
        <is>
          <t>Not individually decided</t>
        </is>
      </c>
      <c r="H1176" s="23" t="inlineStr">
        <is>
          <t xml:space="preserve">RETAINED / ONE_TO_ONE; </t>
        </is>
      </c>
      <c r="I1176" s="23" t="inlineStr">
        <is>
          <t>Carried forward</t>
        </is>
      </c>
      <c r="J1176" s="14" t="inlineStr">
        <is>
          <t>08 CROSSWALK</t>
        </is>
      </c>
    </row>
    <row r="1177" ht="49" customHeight="1">
      <c r="A1177" s="23" t="inlineStr">
        <is>
          <t>R842-v2</t>
        </is>
      </c>
      <c r="B1177" s="23" t="inlineStr">
        <is>
          <t>Contractor Programme / SCH-05-122</t>
        </is>
      </c>
      <c r="C1177" s="23" t="inlineStr">
        <is>
          <t>WBS Code = 1.5.1</t>
        </is>
      </c>
      <c r="D1177" s="23" t="inlineStr">
        <is>
          <t>Proposed by Source assignment; target 1.5.1 Testing and Commissioning - Test Readiness</t>
        </is>
      </c>
      <c r="E1177" s="23" t="inlineStr">
        <is>
          <t>None recorded</t>
        </is>
      </c>
      <c r="F1177" s="23" t="inlineStr">
        <is>
          <t>No individual professional decision recorded; Source assignment -- not individually reviewed</t>
        </is>
      </c>
      <c r="G1177" s="23" t="inlineStr">
        <is>
          <t>Not individually decided</t>
        </is>
      </c>
      <c r="H1177" s="23" t="inlineStr">
        <is>
          <t xml:space="preserve">RETAINED / ONE_TO_ONE; </t>
        </is>
      </c>
      <c r="I1177" s="23" t="inlineStr">
        <is>
          <t>Carried forward</t>
        </is>
      </c>
      <c r="J1177" s="14" t="inlineStr">
        <is>
          <t>08 CROSSWALK</t>
        </is>
      </c>
    </row>
    <row r="1178" ht="49" customHeight="1">
      <c r="A1178" s="23" t="inlineStr">
        <is>
          <t>R844-v2</t>
        </is>
      </c>
      <c r="B1178" s="23" t="inlineStr">
        <is>
          <t>Contractor Programme / SCH-05-124</t>
        </is>
      </c>
      <c r="C1178" s="23" t="inlineStr">
        <is>
          <t>WBS Code = 1.5.1</t>
        </is>
      </c>
      <c r="D1178" s="23" t="inlineStr">
        <is>
          <t>Proposed by Source assignment; target 1.5.1 Testing and Commissioning - Test Readiness</t>
        </is>
      </c>
      <c r="E1178" s="23" t="inlineStr">
        <is>
          <t>None recorded</t>
        </is>
      </c>
      <c r="F1178" s="23" t="inlineStr">
        <is>
          <t>No individual professional decision recorded; Source assignment -- not individually reviewed</t>
        </is>
      </c>
      <c r="G1178" s="23" t="inlineStr">
        <is>
          <t>Not individually decided</t>
        </is>
      </c>
      <c r="H1178" s="23" t="inlineStr">
        <is>
          <t xml:space="preserve">RETAINED / ONE_TO_ONE; </t>
        </is>
      </c>
      <c r="I1178" s="23" t="inlineStr">
        <is>
          <t>Carried forward</t>
        </is>
      </c>
      <c r="J1178" s="14" t="inlineStr">
        <is>
          <t>08 CROSSWALK</t>
        </is>
      </c>
    </row>
    <row r="1179" ht="49" customHeight="1">
      <c r="A1179" s="23" t="inlineStr">
        <is>
          <t>R845-v2</t>
        </is>
      </c>
      <c r="B1179" s="23" t="inlineStr">
        <is>
          <t>Contractor Programme / SCH-05-125</t>
        </is>
      </c>
      <c r="C1179" s="23" t="inlineStr">
        <is>
          <t>WBS Code = 1.5.1</t>
        </is>
      </c>
      <c r="D1179" s="23" t="inlineStr">
        <is>
          <t>Proposed by Source assignment; target 1.5.1 Testing and Commissioning - Test Readiness</t>
        </is>
      </c>
      <c r="E1179" s="23" t="inlineStr">
        <is>
          <t>None recorded</t>
        </is>
      </c>
      <c r="F1179" s="23" t="inlineStr">
        <is>
          <t>No individual professional decision recorded; Source assignment -- not individually reviewed</t>
        </is>
      </c>
      <c r="G1179" s="23" t="inlineStr">
        <is>
          <t>Not individually decided</t>
        </is>
      </c>
      <c r="H1179" s="23" t="inlineStr">
        <is>
          <t xml:space="preserve">RETAINED / ONE_TO_ONE; </t>
        </is>
      </c>
      <c r="I1179" s="23" t="inlineStr">
        <is>
          <t>Carried forward</t>
        </is>
      </c>
      <c r="J1179" s="14" t="inlineStr">
        <is>
          <t>08 CROSSWALK</t>
        </is>
      </c>
    </row>
    <row r="1180" ht="49" customHeight="1">
      <c r="A1180" s="23" t="inlineStr">
        <is>
          <t>R847-v2</t>
        </is>
      </c>
      <c r="B1180" s="23" t="inlineStr">
        <is>
          <t>Contractor Programme / SCH-05-127</t>
        </is>
      </c>
      <c r="C1180" s="23" t="inlineStr">
        <is>
          <t>WBS Code = 1.5.1</t>
        </is>
      </c>
      <c r="D1180" s="23" t="inlineStr">
        <is>
          <t>Proposed by Source assignment; target 1.5.1 Testing and Commissioning - Test Readiness</t>
        </is>
      </c>
      <c r="E1180" s="23" t="inlineStr">
        <is>
          <t>None recorded</t>
        </is>
      </c>
      <c r="F1180" s="23" t="inlineStr">
        <is>
          <t>No individual professional decision recorded; Source assignment -- not individually reviewed</t>
        </is>
      </c>
      <c r="G1180" s="23" t="inlineStr">
        <is>
          <t>Not individually decided</t>
        </is>
      </c>
      <c r="H1180" s="23" t="inlineStr">
        <is>
          <t xml:space="preserve">RETAINED / ONE_TO_ONE; </t>
        </is>
      </c>
      <c r="I1180" s="23" t="inlineStr">
        <is>
          <t>Carried forward</t>
        </is>
      </c>
      <c r="J1180" s="14" t="inlineStr">
        <is>
          <t>08 CROSSWALK</t>
        </is>
      </c>
    </row>
    <row r="1181" ht="49" customHeight="1">
      <c r="A1181" s="23" t="inlineStr">
        <is>
          <t>R848-v2</t>
        </is>
      </c>
      <c r="B1181" s="23" t="inlineStr">
        <is>
          <t>Contractor Programme / SCH-05-128</t>
        </is>
      </c>
      <c r="C1181" s="23" t="inlineStr">
        <is>
          <t>WBS Code = 1.5.1</t>
        </is>
      </c>
      <c r="D1181" s="23" t="inlineStr">
        <is>
          <t>Proposed by Source assignment; target 1.5.1 Testing and Commissioning - Test Readiness</t>
        </is>
      </c>
      <c r="E1181" s="23" t="inlineStr">
        <is>
          <t>None recorded</t>
        </is>
      </c>
      <c r="F1181" s="23" t="inlineStr">
        <is>
          <t>No individual professional decision recorded; Source assignment -- not individually reviewed</t>
        </is>
      </c>
      <c r="G1181" s="23" t="inlineStr">
        <is>
          <t>Not individually decided</t>
        </is>
      </c>
      <c r="H1181" s="23" t="inlineStr">
        <is>
          <t xml:space="preserve">RETAINED / ONE_TO_ONE; </t>
        </is>
      </c>
      <c r="I1181" s="23" t="inlineStr">
        <is>
          <t>Carried forward</t>
        </is>
      </c>
      <c r="J1181" s="14" t="inlineStr">
        <is>
          <t>08 CROSSWALK</t>
        </is>
      </c>
    </row>
    <row r="1182" ht="49" customHeight="1">
      <c r="A1182" s="23" t="inlineStr">
        <is>
          <t>R850-v2</t>
        </is>
      </c>
      <c r="B1182" s="23" t="inlineStr">
        <is>
          <t>Contractor Programme / SCH-05-130</t>
        </is>
      </c>
      <c r="C1182" s="23" t="inlineStr">
        <is>
          <t>WBS Code = 1.5.1</t>
        </is>
      </c>
      <c r="D1182" s="23" t="inlineStr">
        <is>
          <t>Proposed by Source assignment; target 1.5.1 Testing and Commissioning - Test Readiness</t>
        </is>
      </c>
      <c r="E1182" s="23" t="inlineStr">
        <is>
          <t>None recorded</t>
        </is>
      </c>
      <c r="F1182" s="23" t="inlineStr">
        <is>
          <t>No individual professional decision recorded; Source assignment -- not individually reviewed</t>
        </is>
      </c>
      <c r="G1182" s="23" t="inlineStr">
        <is>
          <t>Not individually decided</t>
        </is>
      </c>
      <c r="H1182" s="23" t="inlineStr">
        <is>
          <t xml:space="preserve">RETAINED / ONE_TO_ONE; </t>
        </is>
      </c>
      <c r="I1182" s="23" t="inlineStr">
        <is>
          <t>Carried forward</t>
        </is>
      </c>
      <c r="J1182" s="14" t="inlineStr">
        <is>
          <t>08 CROSSWALK</t>
        </is>
      </c>
    </row>
    <row r="1183" ht="49" customHeight="1">
      <c r="A1183" s="23" t="inlineStr">
        <is>
          <t>R851-v2</t>
        </is>
      </c>
      <c r="B1183" s="23" t="inlineStr">
        <is>
          <t>Contractor Programme / SCH-05-131</t>
        </is>
      </c>
      <c r="C1183" s="23" t="inlineStr">
        <is>
          <t>WBS Code = 1.5.1</t>
        </is>
      </c>
      <c r="D1183" s="23" t="inlineStr">
        <is>
          <t>Proposed by Source assignment; target 1.5.1 Testing and Commissioning - Test Readiness</t>
        </is>
      </c>
      <c r="E1183" s="23" t="inlineStr">
        <is>
          <t>None recorded</t>
        </is>
      </c>
      <c r="F1183" s="23" t="inlineStr">
        <is>
          <t>No individual professional decision recorded; Source assignment -- not individually reviewed</t>
        </is>
      </c>
      <c r="G1183" s="23" t="inlineStr">
        <is>
          <t>Not individually decided</t>
        </is>
      </c>
      <c r="H1183" s="23" t="inlineStr">
        <is>
          <t xml:space="preserve">RETAINED / ONE_TO_ONE; </t>
        </is>
      </c>
      <c r="I1183" s="23" t="inlineStr">
        <is>
          <t>Carried forward</t>
        </is>
      </c>
      <c r="J1183" s="14" t="inlineStr">
        <is>
          <t>08 CROSSWALK</t>
        </is>
      </c>
    </row>
    <row r="1184" ht="49" customHeight="1">
      <c r="A1184" s="23" t="inlineStr">
        <is>
          <t>R853-v2</t>
        </is>
      </c>
      <c r="B1184" s="23" t="inlineStr">
        <is>
          <t>Contractor Programme / SCH-05-133</t>
        </is>
      </c>
      <c r="C1184" s="23" t="inlineStr">
        <is>
          <t>WBS Code = 1.5.1</t>
        </is>
      </c>
      <c r="D1184" s="23" t="inlineStr">
        <is>
          <t>Proposed by Source assignment; target 1.5.1 Testing and Commissioning - Test Readiness</t>
        </is>
      </c>
      <c r="E1184" s="23" t="inlineStr">
        <is>
          <t>None recorded</t>
        </is>
      </c>
      <c r="F1184" s="23" t="inlineStr">
        <is>
          <t>No individual professional decision recorded; Source assignment -- not individually reviewed</t>
        </is>
      </c>
      <c r="G1184" s="23" t="inlineStr">
        <is>
          <t>Not individually decided</t>
        </is>
      </c>
      <c r="H1184" s="23" t="inlineStr">
        <is>
          <t xml:space="preserve">RETAINED / ONE_TO_ONE; </t>
        </is>
      </c>
      <c r="I1184" s="23" t="inlineStr">
        <is>
          <t>Carried forward</t>
        </is>
      </c>
      <c r="J1184" s="14" t="inlineStr">
        <is>
          <t>08 CROSSWALK</t>
        </is>
      </c>
    </row>
    <row r="1185" ht="49" customHeight="1">
      <c r="A1185" s="23" t="inlineStr">
        <is>
          <t>R854-v2</t>
        </is>
      </c>
      <c r="B1185" s="23" t="inlineStr">
        <is>
          <t>Contractor Programme / SCH-05-134</t>
        </is>
      </c>
      <c r="C1185" s="23" t="inlineStr">
        <is>
          <t>WBS Code = 1.5.1</t>
        </is>
      </c>
      <c r="D1185" s="23" t="inlineStr">
        <is>
          <t>Proposed by Source assignment; target 1.5.1 Testing and Commissioning - Test Readiness</t>
        </is>
      </c>
      <c r="E1185" s="23" t="inlineStr">
        <is>
          <t>None recorded</t>
        </is>
      </c>
      <c r="F1185" s="23" t="inlineStr">
        <is>
          <t>No individual professional decision recorded; Source assignment -- not individually reviewed</t>
        </is>
      </c>
      <c r="G1185" s="23" t="inlineStr">
        <is>
          <t>Not individually decided</t>
        </is>
      </c>
      <c r="H1185" s="23" t="inlineStr">
        <is>
          <t xml:space="preserve">RETAINED / ONE_TO_ONE; </t>
        </is>
      </c>
      <c r="I1185" s="23" t="inlineStr">
        <is>
          <t>Carried forward</t>
        </is>
      </c>
      <c r="J1185" s="14" t="inlineStr">
        <is>
          <t>08 CROSSWALK</t>
        </is>
      </c>
    </row>
    <row r="1186" ht="49" customHeight="1">
      <c r="A1186" s="23" t="inlineStr">
        <is>
          <t>R856-v2</t>
        </is>
      </c>
      <c r="B1186" s="23" t="inlineStr">
        <is>
          <t>Contractor Programme / SCH-05-136</t>
        </is>
      </c>
      <c r="C1186" s="23" t="inlineStr">
        <is>
          <t>WBS Code = 1.5.1</t>
        </is>
      </c>
      <c r="D1186" s="23" t="inlineStr">
        <is>
          <t>Proposed by Source assignment; target 1.5.1 Testing and Commissioning - Test Readiness</t>
        </is>
      </c>
      <c r="E1186" s="23" t="inlineStr">
        <is>
          <t>None recorded</t>
        </is>
      </c>
      <c r="F1186" s="23" t="inlineStr">
        <is>
          <t>No individual professional decision recorded; Source assignment -- not individually reviewed</t>
        </is>
      </c>
      <c r="G1186" s="23" t="inlineStr">
        <is>
          <t>Not individually decided</t>
        </is>
      </c>
      <c r="H1186" s="23" t="inlineStr">
        <is>
          <t xml:space="preserve">RETAINED / ONE_TO_ONE; </t>
        </is>
      </c>
      <c r="I1186" s="23" t="inlineStr">
        <is>
          <t>Carried forward</t>
        </is>
      </c>
      <c r="J1186" s="14" t="inlineStr">
        <is>
          <t>08 CROSSWALK</t>
        </is>
      </c>
    </row>
    <row r="1187" ht="49" customHeight="1">
      <c r="A1187" s="23" t="inlineStr">
        <is>
          <t>R857-v2</t>
        </is>
      </c>
      <c r="B1187" s="23" t="inlineStr">
        <is>
          <t>Contractor Programme / SCH-05-137</t>
        </is>
      </c>
      <c r="C1187" s="23" t="inlineStr">
        <is>
          <t>WBS Code = 1.5.1</t>
        </is>
      </c>
      <c r="D1187" s="23" t="inlineStr">
        <is>
          <t>Proposed by Source assignment; target 1.5.1 Testing and Commissioning - Test Readiness</t>
        </is>
      </c>
      <c r="E1187" s="23" t="inlineStr">
        <is>
          <t>None recorded</t>
        </is>
      </c>
      <c r="F1187" s="23" t="inlineStr">
        <is>
          <t>No individual professional decision recorded; Source assignment -- not individually reviewed</t>
        </is>
      </c>
      <c r="G1187" s="23" t="inlineStr">
        <is>
          <t>Not individually decided</t>
        </is>
      </c>
      <c r="H1187" s="23" t="inlineStr">
        <is>
          <t xml:space="preserve">RETAINED / ONE_TO_ONE; </t>
        </is>
      </c>
      <c r="I1187" s="23" t="inlineStr">
        <is>
          <t>Carried forward</t>
        </is>
      </c>
      <c r="J1187" s="14" t="inlineStr">
        <is>
          <t>08 CROSSWALK</t>
        </is>
      </c>
    </row>
    <row r="1188" ht="49" customHeight="1">
      <c r="A1188" s="23" t="inlineStr">
        <is>
          <t>R859-v2</t>
        </is>
      </c>
      <c r="B1188" s="23" t="inlineStr">
        <is>
          <t>Contractor Programme / SCH-05-139</t>
        </is>
      </c>
      <c r="C1188" s="23" t="inlineStr">
        <is>
          <t>WBS Code = 1.5.1</t>
        </is>
      </c>
      <c r="D1188" s="23" t="inlineStr">
        <is>
          <t>Proposed by Source assignment; target 1.5.1 Testing and Commissioning - Test Readiness</t>
        </is>
      </c>
      <c r="E1188" s="23" t="inlineStr">
        <is>
          <t>None recorded</t>
        </is>
      </c>
      <c r="F1188" s="23" t="inlineStr">
        <is>
          <t>No individual professional decision recorded; Source assignment -- not individually reviewed</t>
        </is>
      </c>
      <c r="G1188" s="23" t="inlineStr">
        <is>
          <t>Not individually decided</t>
        </is>
      </c>
      <c r="H1188" s="23" t="inlineStr">
        <is>
          <t xml:space="preserve">RETAINED / ONE_TO_ONE; </t>
        </is>
      </c>
      <c r="I1188" s="23" t="inlineStr">
        <is>
          <t>Carried forward</t>
        </is>
      </c>
      <c r="J1188" s="14" t="inlineStr">
        <is>
          <t>08 CROSSWALK</t>
        </is>
      </c>
    </row>
    <row r="1189" ht="49" customHeight="1">
      <c r="A1189" s="23" t="inlineStr">
        <is>
          <t>R860-v2</t>
        </is>
      </c>
      <c r="B1189" s="23" t="inlineStr">
        <is>
          <t>Contractor Programme / SCH-05-140</t>
        </is>
      </c>
      <c r="C1189" s="23" t="inlineStr">
        <is>
          <t>WBS Code = 1.5.1</t>
        </is>
      </c>
      <c r="D1189" s="23" t="inlineStr">
        <is>
          <t>Proposed by Source assignment; target 1.5.1 Testing and Commissioning - Test Readiness</t>
        </is>
      </c>
      <c r="E1189" s="23" t="inlineStr">
        <is>
          <t>None recorded</t>
        </is>
      </c>
      <c r="F1189" s="23" t="inlineStr">
        <is>
          <t>No individual professional decision recorded; Source assignment -- not individually reviewed</t>
        </is>
      </c>
      <c r="G1189" s="23" t="inlineStr">
        <is>
          <t>Not individually decided</t>
        </is>
      </c>
      <c r="H1189" s="23" t="inlineStr">
        <is>
          <t xml:space="preserve">RETAINED / ONE_TO_ONE; </t>
        </is>
      </c>
      <c r="I1189" s="23" t="inlineStr">
        <is>
          <t>Carried forward</t>
        </is>
      </c>
      <c r="J1189" s="14" t="inlineStr">
        <is>
          <t>08 CROSSWALK</t>
        </is>
      </c>
    </row>
    <row r="1190" ht="49" customHeight="1">
      <c r="A1190" s="23" t="inlineStr">
        <is>
          <t>R862-v2</t>
        </is>
      </c>
      <c r="B1190" s="23" t="inlineStr">
        <is>
          <t>Contractor Programme / SCH-05-142</t>
        </is>
      </c>
      <c r="C1190" s="23" t="inlineStr">
        <is>
          <t>WBS Code = 1.5.1</t>
        </is>
      </c>
      <c r="D1190" s="23" t="inlineStr">
        <is>
          <t>Proposed by Source assignment; target 1.5.1 Testing and Commissioning - Test Readiness</t>
        </is>
      </c>
      <c r="E1190" s="23" t="inlineStr">
        <is>
          <t>None recorded</t>
        </is>
      </c>
      <c r="F1190" s="23" t="inlineStr">
        <is>
          <t>No individual professional decision recorded; Source assignment -- not individually reviewed</t>
        </is>
      </c>
      <c r="G1190" s="23" t="inlineStr">
        <is>
          <t>Not individually decided</t>
        </is>
      </c>
      <c r="H1190" s="23" t="inlineStr">
        <is>
          <t xml:space="preserve">RETAINED / ONE_TO_ONE; </t>
        </is>
      </c>
      <c r="I1190" s="23" t="inlineStr">
        <is>
          <t>Carried forward</t>
        </is>
      </c>
      <c r="J1190" s="14" t="inlineStr">
        <is>
          <t>08 CROSSWALK</t>
        </is>
      </c>
    </row>
    <row r="1191" ht="49" customHeight="1">
      <c r="A1191" s="23" t="inlineStr">
        <is>
          <t>R863-v2</t>
        </is>
      </c>
      <c r="B1191" s="23" t="inlineStr">
        <is>
          <t>Contractor Programme / SCH-05-143</t>
        </is>
      </c>
      <c r="C1191" s="23" t="inlineStr">
        <is>
          <t>WBS Code = 1.5.1</t>
        </is>
      </c>
      <c r="D1191" s="23" t="inlineStr">
        <is>
          <t>Proposed by Source assignment; target 1.5.1 Testing and Commissioning - Test Readiness</t>
        </is>
      </c>
      <c r="E1191" s="23" t="inlineStr">
        <is>
          <t>None recorded</t>
        </is>
      </c>
      <c r="F1191" s="23" t="inlineStr">
        <is>
          <t>No individual professional decision recorded; Source assignment -- not individually reviewed</t>
        </is>
      </c>
      <c r="G1191" s="23" t="inlineStr">
        <is>
          <t>Not individually decided</t>
        </is>
      </c>
      <c r="H1191" s="23" t="inlineStr">
        <is>
          <t xml:space="preserve">RETAINED / ONE_TO_ONE; </t>
        </is>
      </c>
      <c r="I1191" s="23" t="inlineStr">
        <is>
          <t>Carried forward</t>
        </is>
      </c>
      <c r="J1191" s="14" t="inlineStr">
        <is>
          <t>08 CROSSWALK</t>
        </is>
      </c>
    </row>
    <row r="1192" ht="49" customHeight="1">
      <c r="A1192" s="23" t="inlineStr">
        <is>
          <t>R865-v2</t>
        </is>
      </c>
      <c r="B1192" s="23" t="inlineStr">
        <is>
          <t>Contractor Programme / SCH-05-145</t>
        </is>
      </c>
      <c r="C1192" s="23" t="inlineStr">
        <is>
          <t>WBS Code = 1.5.1</t>
        </is>
      </c>
      <c r="D1192" s="23" t="inlineStr">
        <is>
          <t>Proposed by Source assignment; target 1.5.1 Testing and Commissioning - Test Readiness</t>
        </is>
      </c>
      <c r="E1192" s="23" t="inlineStr">
        <is>
          <t>None recorded</t>
        </is>
      </c>
      <c r="F1192" s="23" t="inlineStr">
        <is>
          <t>No individual professional decision recorded; Source assignment -- not individually reviewed</t>
        </is>
      </c>
      <c r="G1192" s="23" t="inlineStr">
        <is>
          <t>Not individually decided</t>
        </is>
      </c>
      <c r="H1192" s="23" t="inlineStr">
        <is>
          <t xml:space="preserve">RETAINED / ONE_TO_ONE; </t>
        </is>
      </c>
      <c r="I1192" s="23" t="inlineStr">
        <is>
          <t>Carried forward</t>
        </is>
      </c>
      <c r="J1192" s="14" t="inlineStr">
        <is>
          <t>08 CROSSWALK</t>
        </is>
      </c>
    </row>
    <row r="1193" ht="49" customHeight="1">
      <c r="A1193" s="23" t="inlineStr">
        <is>
          <t>R866-v2</t>
        </is>
      </c>
      <c r="B1193" s="23" t="inlineStr">
        <is>
          <t>Contractor Programme / SCH-05-146</t>
        </is>
      </c>
      <c r="C1193" s="23" t="inlineStr">
        <is>
          <t>WBS Code = 1.5.1</t>
        </is>
      </c>
      <c r="D1193" s="23" t="inlineStr">
        <is>
          <t>Proposed by Source assignment; target 1.5.1 Testing and Commissioning - Test Readiness</t>
        </is>
      </c>
      <c r="E1193" s="23" t="inlineStr">
        <is>
          <t>None recorded</t>
        </is>
      </c>
      <c r="F1193" s="23" t="inlineStr">
        <is>
          <t>No individual professional decision recorded; Source assignment -- not individually reviewed</t>
        </is>
      </c>
      <c r="G1193" s="23" t="inlineStr">
        <is>
          <t>Not individually decided</t>
        </is>
      </c>
      <c r="H1193" s="23" t="inlineStr">
        <is>
          <t xml:space="preserve">RETAINED / ONE_TO_ONE; </t>
        </is>
      </c>
      <c r="I1193" s="23" t="inlineStr">
        <is>
          <t>Carried forward</t>
        </is>
      </c>
      <c r="J1193" s="14" t="inlineStr">
        <is>
          <t>08 CROSSWALK</t>
        </is>
      </c>
    </row>
    <row r="1194" ht="49" customHeight="1">
      <c r="A1194" s="23" t="inlineStr">
        <is>
          <t>R868-v2</t>
        </is>
      </c>
      <c r="B1194" s="23" t="inlineStr">
        <is>
          <t>Contractor Programme / SCH-05-148</t>
        </is>
      </c>
      <c r="C1194" s="23" t="inlineStr">
        <is>
          <t>WBS Code = 1.5.1</t>
        </is>
      </c>
      <c r="D1194" s="23" t="inlineStr">
        <is>
          <t>Proposed by Source assignment; target 1.5.1 Testing and Commissioning - Test Readiness</t>
        </is>
      </c>
      <c r="E1194" s="23" t="inlineStr">
        <is>
          <t>None recorded</t>
        </is>
      </c>
      <c r="F1194" s="23" t="inlineStr">
        <is>
          <t>No individual professional decision recorded; Source assignment -- not individually reviewed</t>
        </is>
      </c>
      <c r="G1194" s="23" t="inlineStr">
        <is>
          <t>Not individually decided</t>
        </is>
      </c>
      <c r="H1194" s="23" t="inlineStr">
        <is>
          <t xml:space="preserve">RETAINED / ONE_TO_ONE; </t>
        </is>
      </c>
      <c r="I1194" s="23" t="inlineStr">
        <is>
          <t>Carried forward</t>
        </is>
      </c>
      <c r="J1194" s="14" t="inlineStr">
        <is>
          <t>08 CROSSWALK</t>
        </is>
      </c>
    </row>
    <row r="1195" ht="49" customHeight="1">
      <c r="A1195" s="23" t="inlineStr">
        <is>
          <t>R869-v2</t>
        </is>
      </c>
      <c r="B1195" s="23" t="inlineStr">
        <is>
          <t>Contractor Programme / SCH-05-149</t>
        </is>
      </c>
      <c r="C1195" s="23" t="inlineStr">
        <is>
          <t>WBS Code = 1.5.1</t>
        </is>
      </c>
      <c r="D1195" s="23" t="inlineStr">
        <is>
          <t>Proposed by Source assignment; target 1.5.1 Testing and Commissioning - Test Readiness</t>
        </is>
      </c>
      <c r="E1195" s="23" t="inlineStr">
        <is>
          <t>None recorded</t>
        </is>
      </c>
      <c r="F1195" s="23" t="inlineStr">
        <is>
          <t>No individual professional decision recorded; Source assignment -- not individually reviewed</t>
        </is>
      </c>
      <c r="G1195" s="23" t="inlineStr">
        <is>
          <t>Not individually decided</t>
        </is>
      </c>
      <c r="H1195" s="23" t="inlineStr">
        <is>
          <t xml:space="preserve">RETAINED / ONE_TO_ONE; </t>
        </is>
      </c>
      <c r="I1195" s="23" t="inlineStr">
        <is>
          <t>Carried forward</t>
        </is>
      </c>
      <c r="J1195" s="14" t="inlineStr">
        <is>
          <t>08 CROSSWALK</t>
        </is>
      </c>
    </row>
    <row r="1196" ht="49" customHeight="1">
      <c r="A1196" s="23" t="inlineStr">
        <is>
          <t>R871-v2</t>
        </is>
      </c>
      <c r="B1196" s="23" t="inlineStr">
        <is>
          <t>Contractor Programme / SCH-05-151</t>
        </is>
      </c>
      <c r="C1196" s="23" t="inlineStr">
        <is>
          <t>WBS Code = 1.5.1</t>
        </is>
      </c>
      <c r="D1196" s="23" t="inlineStr">
        <is>
          <t>Proposed by Source assignment; target 1.5.1 Testing and Commissioning - Test Readiness</t>
        </is>
      </c>
      <c r="E1196" s="23" t="inlineStr">
        <is>
          <t>None recorded</t>
        </is>
      </c>
      <c r="F1196" s="23" t="inlineStr">
        <is>
          <t>No individual professional decision recorded; Source assignment -- not individually reviewed</t>
        </is>
      </c>
      <c r="G1196" s="23" t="inlineStr">
        <is>
          <t>Not individually decided</t>
        </is>
      </c>
      <c r="H1196" s="23" t="inlineStr">
        <is>
          <t xml:space="preserve">RETAINED / ONE_TO_ONE; </t>
        </is>
      </c>
      <c r="I1196" s="23" t="inlineStr">
        <is>
          <t>Carried forward</t>
        </is>
      </c>
      <c r="J1196" s="14" t="inlineStr">
        <is>
          <t>08 CROSSWALK</t>
        </is>
      </c>
    </row>
    <row r="1197" ht="49" customHeight="1">
      <c r="A1197" s="23" t="inlineStr">
        <is>
          <t>R872-v2</t>
        </is>
      </c>
      <c r="B1197" s="23" t="inlineStr">
        <is>
          <t>Contractor Programme / SCH-05-152</t>
        </is>
      </c>
      <c r="C1197" s="23" t="inlineStr">
        <is>
          <t>WBS Code = 1.5.1</t>
        </is>
      </c>
      <c r="D1197" s="23" t="inlineStr">
        <is>
          <t>Proposed by Source assignment; target 1.5.1 Testing and Commissioning - Test Readiness</t>
        </is>
      </c>
      <c r="E1197" s="23" t="inlineStr">
        <is>
          <t>None recorded</t>
        </is>
      </c>
      <c r="F1197" s="23" t="inlineStr">
        <is>
          <t>No individual professional decision recorded; Source assignment -- not individually reviewed</t>
        </is>
      </c>
      <c r="G1197" s="23" t="inlineStr">
        <is>
          <t>Not individually decided</t>
        </is>
      </c>
      <c r="H1197" s="23" t="inlineStr">
        <is>
          <t xml:space="preserve">RETAINED / ONE_TO_ONE; </t>
        </is>
      </c>
      <c r="I1197" s="23" t="inlineStr">
        <is>
          <t>Carried forward</t>
        </is>
      </c>
      <c r="J1197" s="14" t="inlineStr">
        <is>
          <t>08 CROSSWALK</t>
        </is>
      </c>
    </row>
    <row r="1198" ht="49" customHeight="1">
      <c r="A1198" s="23" t="inlineStr">
        <is>
          <t>R874-v2</t>
        </is>
      </c>
      <c r="B1198" s="23" t="inlineStr">
        <is>
          <t>Contractor Programme / SCH-05-154</t>
        </is>
      </c>
      <c r="C1198" s="23" t="inlineStr">
        <is>
          <t>WBS Code = 1.5.1</t>
        </is>
      </c>
      <c r="D1198" s="23" t="inlineStr">
        <is>
          <t>Proposed by Source assignment; target 1.5.1 Testing and Commissioning - Test Readiness</t>
        </is>
      </c>
      <c r="E1198" s="23" t="inlineStr">
        <is>
          <t>None recorded</t>
        </is>
      </c>
      <c r="F1198" s="23" t="inlineStr">
        <is>
          <t>No individual professional decision recorded; Source assignment -- not individually reviewed</t>
        </is>
      </c>
      <c r="G1198" s="23" t="inlineStr">
        <is>
          <t>Not individually decided</t>
        </is>
      </c>
      <c r="H1198" s="23" t="inlineStr">
        <is>
          <t xml:space="preserve">RETAINED / ONE_TO_ONE; </t>
        </is>
      </c>
      <c r="I1198" s="23" t="inlineStr">
        <is>
          <t>Carried forward</t>
        </is>
      </c>
      <c r="J1198" s="14" t="inlineStr">
        <is>
          <t>08 CROSSWALK</t>
        </is>
      </c>
    </row>
    <row r="1199" ht="49" customHeight="1">
      <c r="A1199" s="23" t="inlineStr">
        <is>
          <t>R875-v2</t>
        </is>
      </c>
      <c r="B1199" s="23" t="inlineStr">
        <is>
          <t>Contractor Programme / SCH-05-155</t>
        </is>
      </c>
      <c r="C1199" s="23" t="inlineStr">
        <is>
          <t>WBS Code = 1.5.1</t>
        </is>
      </c>
      <c r="D1199" s="23" t="inlineStr">
        <is>
          <t>Proposed by Source assignment; target 1.5.1 Testing and Commissioning - Test Readiness</t>
        </is>
      </c>
      <c r="E1199" s="23" t="inlineStr">
        <is>
          <t>None recorded</t>
        </is>
      </c>
      <c r="F1199" s="23" t="inlineStr">
        <is>
          <t>No individual professional decision recorded; Source assignment -- not individually reviewed</t>
        </is>
      </c>
      <c r="G1199" s="23" t="inlineStr">
        <is>
          <t>Not individually decided</t>
        </is>
      </c>
      <c r="H1199" s="23" t="inlineStr">
        <is>
          <t xml:space="preserve">RETAINED / ONE_TO_ONE; </t>
        </is>
      </c>
      <c r="I1199" s="23" t="inlineStr">
        <is>
          <t>Carried forward</t>
        </is>
      </c>
      <c r="J1199" s="14" t="inlineStr">
        <is>
          <t>08 CROSSWALK</t>
        </is>
      </c>
    </row>
    <row r="1200" ht="49" customHeight="1">
      <c r="A1200" s="23" t="inlineStr">
        <is>
          <t>R877-v2</t>
        </is>
      </c>
      <c r="B1200" s="23" t="inlineStr">
        <is>
          <t>Contractor Programme / SCH-05-157</t>
        </is>
      </c>
      <c r="C1200" s="23" t="inlineStr">
        <is>
          <t>WBS Code = 1.5.1</t>
        </is>
      </c>
      <c r="D1200" s="23" t="inlineStr">
        <is>
          <t>Proposed by Source assignment; target 1.5.1 Testing and Commissioning - Test Readiness</t>
        </is>
      </c>
      <c r="E1200" s="23" t="inlineStr">
        <is>
          <t>None recorded</t>
        </is>
      </c>
      <c r="F1200" s="23" t="inlineStr">
        <is>
          <t>No individual professional decision recorded; Source assignment -- not individually reviewed</t>
        </is>
      </c>
      <c r="G1200" s="23" t="inlineStr">
        <is>
          <t>Not individually decided</t>
        </is>
      </c>
      <c r="H1200" s="23" t="inlineStr">
        <is>
          <t xml:space="preserve">RETAINED / ONE_TO_ONE; </t>
        </is>
      </c>
      <c r="I1200" s="23" t="inlineStr">
        <is>
          <t>Carried forward</t>
        </is>
      </c>
      <c r="J1200" s="14" t="inlineStr">
        <is>
          <t>08 CROSSWALK</t>
        </is>
      </c>
    </row>
    <row r="1201" ht="49" customHeight="1">
      <c r="A1201" s="23" t="inlineStr">
        <is>
          <t>R878-v2</t>
        </is>
      </c>
      <c r="B1201" s="23" t="inlineStr">
        <is>
          <t>Contractor Programme / SCH-05-158</t>
        </is>
      </c>
      <c r="C1201" s="23" t="inlineStr">
        <is>
          <t>WBS Code = 1.5.1</t>
        </is>
      </c>
      <c r="D1201" s="23" t="inlineStr">
        <is>
          <t>Proposed by Source assignment; target 1.5.1 Testing and Commissioning - Test Readiness</t>
        </is>
      </c>
      <c r="E1201" s="23" t="inlineStr">
        <is>
          <t>None recorded</t>
        </is>
      </c>
      <c r="F1201" s="23" t="inlineStr">
        <is>
          <t>No individual professional decision recorded; Source assignment -- not individually reviewed</t>
        </is>
      </c>
      <c r="G1201" s="23" t="inlineStr">
        <is>
          <t>Not individually decided</t>
        </is>
      </c>
      <c r="H1201" s="23" t="inlineStr">
        <is>
          <t xml:space="preserve">RETAINED / ONE_TO_ONE; </t>
        </is>
      </c>
      <c r="I1201" s="23" t="inlineStr">
        <is>
          <t>Carried forward</t>
        </is>
      </c>
      <c r="J1201" s="14" t="inlineStr">
        <is>
          <t>08 CROSSWALK</t>
        </is>
      </c>
    </row>
    <row r="1202" ht="49" customHeight="1">
      <c r="A1202" s="23" t="inlineStr">
        <is>
          <t>R880-v2</t>
        </is>
      </c>
      <c r="B1202" s="23" t="inlineStr">
        <is>
          <t>Contractor Programme / SCH-05-160</t>
        </is>
      </c>
      <c r="C1202" s="23" t="inlineStr">
        <is>
          <t>WBS Code = 1.5.1</t>
        </is>
      </c>
      <c r="D1202" s="23" t="inlineStr">
        <is>
          <t>Proposed by Source assignment; target 1.5.1 Testing and Commissioning - Test Readiness</t>
        </is>
      </c>
      <c r="E1202" s="23" t="inlineStr">
        <is>
          <t>None recorded</t>
        </is>
      </c>
      <c r="F1202" s="23" t="inlineStr">
        <is>
          <t>No individual professional decision recorded; Source assignment -- not individually reviewed</t>
        </is>
      </c>
      <c r="G1202" s="23" t="inlineStr">
        <is>
          <t>Not individually decided</t>
        </is>
      </c>
      <c r="H1202" s="23" t="inlineStr">
        <is>
          <t xml:space="preserve">RETAINED / ONE_TO_ONE; </t>
        </is>
      </c>
      <c r="I1202" s="23" t="inlineStr">
        <is>
          <t>Carried forward</t>
        </is>
      </c>
      <c r="J1202" s="14" t="inlineStr">
        <is>
          <t>08 CROSSWALK</t>
        </is>
      </c>
    </row>
    <row r="1203" ht="49" customHeight="1">
      <c r="A1203" s="23" t="inlineStr">
        <is>
          <t>R881-v2</t>
        </is>
      </c>
      <c r="B1203" s="23" t="inlineStr">
        <is>
          <t>Contractor Programme / SCH-05-161</t>
        </is>
      </c>
      <c r="C1203" s="23" t="inlineStr">
        <is>
          <t>WBS Code = 1.5.1</t>
        </is>
      </c>
      <c r="D1203" s="23" t="inlineStr">
        <is>
          <t>Proposed by Source assignment; target 1.5.1 Testing and Commissioning - Test Readiness</t>
        </is>
      </c>
      <c r="E1203" s="23" t="inlineStr">
        <is>
          <t>None recorded</t>
        </is>
      </c>
      <c r="F1203" s="23" t="inlineStr">
        <is>
          <t>No individual professional decision recorded; Source assignment -- not individually reviewed</t>
        </is>
      </c>
      <c r="G1203" s="23" t="inlineStr">
        <is>
          <t>Not individually decided</t>
        </is>
      </c>
      <c r="H1203" s="23" t="inlineStr">
        <is>
          <t xml:space="preserve">RETAINED / ONE_TO_ONE; </t>
        </is>
      </c>
      <c r="I1203" s="23" t="inlineStr">
        <is>
          <t>Carried forward</t>
        </is>
      </c>
      <c r="J1203" s="14" t="inlineStr">
        <is>
          <t>08 CROSSWALK</t>
        </is>
      </c>
    </row>
    <row r="1204" ht="49" customHeight="1">
      <c r="A1204" s="23" t="inlineStr">
        <is>
          <t>R883-v2</t>
        </is>
      </c>
      <c r="B1204" s="23" t="inlineStr">
        <is>
          <t>Contractor Programme / SCH-05-163</t>
        </is>
      </c>
      <c r="C1204" s="23" t="inlineStr">
        <is>
          <t>WBS Code = 1.5.1</t>
        </is>
      </c>
      <c r="D1204" s="23" t="inlineStr">
        <is>
          <t>Proposed by Source assignment; target 1.5.1 Testing and Commissioning - Test Readiness</t>
        </is>
      </c>
      <c r="E1204" s="23" t="inlineStr">
        <is>
          <t>None recorded</t>
        </is>
      </c>
      <c r="F1204" s="23" t="inlineStr">
        <is>
          <t>No individual professional decision recorded; Source assignment -- not individually reviewed</t>
        </is>
      </c>
      <c r="G1204" s="23" t="inlineStr">
        <is>
          <t>Not individually decided</t>
        </is>
      </c>
      <c r="H1204" s="23" t="inlineStr">
        <is>
          <t xml:space="preserve">RETAINED / ONE_TO_ONE; </t>
        </is>
      </c>
      <c r="I1204" s="23" t="inlineStr">
        <is>
          <t>Carried forward</t>
        </is>
      </c>
      <c r="J1204" s="14" t="inlineStr">
        <is>
          <t>08 CROSSWALK</t>
        </is>
      </c>
    </row>
    <row r="1205" ht="49" customHeight="1">
      <c r="A1205" s="23" t="inlineStr">
        <is>
          <t>R884-v2</t>
        </is>
      </c>
      <c r="B1205" s="23" t="inlineStr">
        <is>
          <t>Contractor Programme / SCH-05-164</t>
        </is>
      </c>
      <c r="C1205" s="23" t="inlineStr">
        <is>
          <t>WBS Code = 1.5.1</t>
        </is>
      </c>
      <c r="D1205" s="23" t="inlineStr">
        <is>
          <t>Proposed by Source assignment; target 1.5.1 Testing and Commissioning - Test Readiness</t>
        </is>
      </c>
      <c r="E1205" s="23" t="inlineStr">
        <is>
          <t>None recorded</t>
        </is>
      </c>
      <c r="F1205" s="23" t="inlineStr">
        <is>
          <t>No individual professional decision recorded; Source assignment -- not individually reviewed</t>
        </is>
      </c>
      <c r="G1205" s="23" t="inlineStr">
        <is>
          <t>Not individually decided</t>
        </is>
      </c>
      <c r="H1205" s="23" t="inlineStr">
        <is>
          <t xml:space="preserve">RETAINED / ONE_TO_ONE; </t>
        </is>
      </c>
      <c r="I1205" s="23" t="inlineStr">
        <is>
          <t>Carried forward</t>
        </is>
      </c>
      <c r="J1205" s="14" t="inlineStr">
        <is>
          <t>08 CROSSWALK</t>
        </is>
      </c>
    </row>
    <row r="1206" ht="49" customHeight="1">
      <c r="A1206" s="23" t="inlineStr">
        <is>
          <t>R886-v2</t>
        </is>
      </c>
      <c r="B1206" s="23" t="inlineStr">
        <is>
          <t>Contractor Programme / SCH-05-166</t>
        </is>
      </c>
      <c r="C1206" s="23" t="inlineStr">
        <is>
          <t>WBS Code = 1.5.1</t>
        </is>
      </c>
      <c r="D1206" s="23" t="inlineStr">
        <is>
          <t>Proposed by Source assignment; target 1.5.1 Testing and Commissioning - Test Readiness</t>
        </is>
      </c>
      <c r="E1206" s="23" t="inlineStr">
        <is>
          <t>None recorded</t>
        </is>
      </c>
      <c r="F1206" s="23" t="inlineStr">
        <is>
          <t>No individual professional decision recorded; Source assignment -- not individually reviewed</t>
        </is>
      </c>
      <c r="G1206" s="23" t="inlineStr">
        <is>
          <t>Not individually decided</t>
        </is>
      </c>
      <c r="H1206" s="23" t="inlineStr">
        <is>
          <t xml:space="preserve">RETAINED / ONE_TO_ONE; </t>
        </is>
      </c>
      <c r="I1206" s="23" t="inlineStr">
        <is>
          <t>Carried forward</t>
        </is>
      </c>
      <c r="J1206" s="14" t="inlineStr">
        <is>
          <t>08 CROSSWALK</t>
        </is>
      </c>
    </row>
    <row r="1207" ht="49" customHeight="1">
      <c r="A1207" s="23" t="inlineStr">
        <is>
          <t>R887-v2</t>
        </is>
      </c>
      <c r="B1207" s="23" t="inlineStr">
        <is>
          <t>Contractor Programme / SCH-05-167</t>
        </is>
      </c>
      <c r="C1207" s="23" t="inlineStr">
        <is>
          <t>WBS Code = 1.5.1</t>
        </is>
      </c>
      <c r="D1207" s="23" t="inlineStr">
        <is>
          <t>Proposed by Source assignment; target 1.5.1 Testing and Commissioning - Test Readiness</t>
        </is>
      </c>
      <c r="E1207" s="23" t="inlineStr">
        <is>
          <t>None recorded</t>
        </is>
      </c>
      <c r="F1207" s="23" t="inlineStr">
        <is>
          <t>No individual professional decision recorded; Source assignment -- not individually reviewed</t>
        </is>
      </c>
      <c r="G1207" s="23" t="inlineStr">
        <is>
          <t>Not individually decided</t>
        </is>
      </c>
      <c r="H1207" s="23" t="inlineStr">
        <is>
          <t xml:space="preserve">RETAINED / ONE_TO_ONE; </t>
        </is>
      </c>
      <c r="I1207" s="23" t="inlineStr">
        <is>
          <t>Carried forward</t>
        </is>
      </c>
      <c r="J1207" s="14" t="inlineStr">
        <is>
          <t>08 CROSSWALK</t>
        </is>
      </c>
    </row>
    <row r="1208" ht="49" customHeight="1">
      <c r="A1208" s="23" t="inlineStr">
        <is>
          <t>R889-v2</t>
        </is>
      </c>
      <c r="B1208" s="23" t="inlineStr">
        <is>
          <t>Contractor Programme / SCH-05-169</t>
        </is>
      </c>
      <c r="C1208" s="23" t="inlineStr">
        <is>
          <t>WBS Code = 1.5.1</t>
        </is>
      </c>
      <c r="D1208" s="23" t="inlineStr">
        <is>
          <t>Proposed by Source assignment; target 1.5.1 Testing and Commissioning - Test Readiness</t>
        </is>
      </c>
      <c r="E1208" s="23" t="inlineStr">
        <is>
          <t>None recorded</t>
        </is>
      </c>
      <c r="F1208" s="23" t="inlineStr">
        <is>
          <t>No individual professional decision recorded; Source assignment -- not individually reviewed</t>
        </is>
      </c>
      <c r="G1208" s="23" t="inlineStr">
        <is>
          <t>Not individually decided</t>
        </is>
      </c>
      <c r="H1208" s="23" t="inlineStr">
        <is>
          <t xml:space="preserve">RETAINED / ONE_TO_ONE; </t>
        </is>
      </c>
      <c r="I1208" s="23" t="inlineStr">
        <is>
          <t>Carried forward</t>
        </is>
      </c>
      <c r="J1208" s="14" t="inlineStr">
        <is>
          <t>08 CROSSWALK</t>
        </is>
      </c>
    </row>
    <row r="1209" ht="49" customHeight="1">
      <c r="A1209" s="23" t="inlineStr">
        <is>
          <t>R890-v2</t>
        </is>
      </c>
      <c r="B1209" s="23" t="inlineStr">
        <is>
          <t>Contractor Programme / SCH-05-170</t>
        </is>
      </c>
      <c r="C1209" s="23" t="inlineStr">
        <is>
          <t>WBS Code = 1.5.1</t>
        </is>
      </c>
      <c r="D1209" s="23" t="inlineStr">
        <is>
          <t>Proposed by Source assignment; target 1.5.1 Testing and Commissioning - Test Readiness</t>
        </is>
      </c>
      <c r="E1209" s="23" t="inlineStr">
        <is>
          <t>None recorded</t>
        </is>
      </c>
      <c r="F1209" s="23" t="inlineStr">
        <is>
          <t>No individual professional decision recorded; Source assignment -- not individually reviewed</t>
        </is>
      </c>
      <c r="G1209" s="23" t="inlineStr">
        <is>
          <t>Not individually decided</t>
        </is>
      </c>
      <c r="H1209" s="23" t="inlineStr">
        <is>
          <t xml:space="preserve">RETAINED / ONE_TO_ONE; </t>
        </is>
      </c>
      <c r="I1209" s="23" t="inlineStr">
        <is>
          <t>Carried forward</t>
        </is>
      </c>
      <c r="J1209" s="14" t="inlineStr">
        <is>
          <t>08 CROSSWALK</t>
        </is>
      </c>
    </row>
    <row r="1210" ht="49" customHeight="1">
      <c r="A1210" s="23" t="inlineStr">
        <is>
          <t>R892-v2</t>
        </is>
      </c>
      <c r="B1210" s="23" t="inlineStr">
        <is>
          <t>Contractor Programme / SCH-05-172</t>
        </is>
      </c>
      <c r="C1210" s="23" t="inlineStr">
        <is>
          <t>WBS Code = 1.5.1</t>
        </is>
      </c>
      <c r="D1210" s="23" t="inlineStr">
        <is>
          <t>Proposed by Source assignment; target 1.5.1 Testing and Commissioning - Test Readiness</t>
        </is>
      </c>
      <c r="E1210" s="23" t="inlineStr">
        <is>
          <t>None recorded</t>
        </is>
      </c>
      <c r="F1210" s="23" t="inlineStr">
        <is>
          <t>No individual professional decision recorded; Source assignment -- not individually reviewed</t>
        </is>
      </c>
      <c r="G1210" s="23" t="inlineStr">
        <is>
          <t>Not individually decided</t>
        </is>
      </c>
      <c r="H1210" s="23" t="inlineStr">
        <is>
          <t xml:space="preserve">RETAINED / ONE_TO_ONE; </t>
        </is>
      </c>
      <c r="I1210" s="23" t="inlineStr">
        <is>
          <t>Carried forward</t>
        </is>
      </c>
      <c r="J1210" s="14" t="inlineStr">
        <is>
          <t>08 CROSSWALK</t>
        </is>
      </c>
    </row>
    <row r="1211" ht="49" customHeight="1">
      <c r="A1211" s="23" t="inlineStr">
        <is>
          <t>R893-v2</t>
        </is>
      </c>
      <c r="B1211" s="23" t="inlineStr">
        <is>
          <t>Contractor Programme / SCH-05-173</t>
        </is>
      </c>
      <c r="C1211" s="23" t="inlineStr">
        <is>
          <t>WBS Code = 1.5.1</t>
        </is>
      </c>
      <c r="D1211" s="23" t="inlineStr">
        <is>
          <t>Proposed by Source assignment; target 1.5.1 Testing and Commissioning - Test Readiness</t>
        </is>
      </c>
      <c r="E1211" s="23" t="inlineStr">
        <is>
          <t>None recorded</t>
        </is>
      </c>
      <c r="F1211" s="23" t="inlineStr">
        <is>
          <t>No individual professional decision recorded; Source assignment -- not individually reviewed</t>
        </is>
      </c>
      <c r="G1211" s="23" t="inlineStr">
        <is>
          <t>Not individually decided</t>
        </is>
      </c>
      <c r="H1211" s="23" t="inlineStr">
        <is>
          <t xml:space="preserve">RETAINED / ONE_TO_ONE; </t>
        </is>
      </c>
      <c r="I1211" s="23" t="inlineStr">
        <is>
          <t>Carried forward</t>
        </is>
      </c>
      <c r="J1211" s="14" t="inlineStr">
        <is>
          <t>08 CROSSWALK</t>
        </is>
      </c>
    </row>
    <row r="1212" ht="49" customHeight="1">
      <c r="A1212" s="23" t="inlineStr">
        <is>
          <t>R895-v2</t>
        </is>
      </c>
      <c r="B1212" s="23" t="inlineStr">
        <is>
          <t>Contractor Programme / SCH-05-175</t>
        </is>
      </c>
      <c r="C1212" s="23" t="inlineStr">
        <is>
          <t>WBS Code = 1.5.1</t>
        </is>
      </c>
      <c r="D1212" s="23" t="inlineStr">
        <is>
          <t>Proposed by Source assignment; target 1.5.1 Testing and Commissioning - Test Readiness</t>
        </is>
      </c>
      <c r="E1212" s="23" t="inlineStr">
        <is>
          <t>None recorded</t>
        </is>
      </c>
      <c r="F1212" s="23" t="inlineStr">
        <is>
          <t>No individual professional decision recorded; Source assignment -- not individually reviewed</t>
        </is>
      </c>
      <c r="G1212" s="23" t="inlineStr">
        <is>
          <t>Not individually decided</t>
        </is>
      </c>
      <c r="H1212" s="23" t="inlineStr">
        <is>
          <t xml:space="preserve">RETAINED / ONE_TO_ONE; </t>
        </is>
      </c>
      <c r="I1212" s="23" t="inlineStr">
        <is>
          <t>Carried forward</t>
        </is>
      </c>
      <c r="J1212" s="14" t="inlineStr">
        <is>
          <t>08 CROSSWALK</t>
        </is>
      </c>
    </row>
    <row r="1213" ht="49" customHeight="1">
      <c r="A1213" s="23" t="inlineStr">
        <is>
          <t>R896-v2</t>
        </is>
      </c>
      <c r="B1213" s="23" t="inlineStr">
        <is>
          <t>Contractor Programme / SCH-05-176</t>
        </is>
      </c>
      <c r="C1213" s="23" t="inlineStr">
        <is>
          <t>WBS Code = 1.5.1</t>
        </is>
      </c>
      <c r="D1213" s="23" t="inlineStr">
        <is>
          <t>Proposed by Source assignment; target 1.5.1 Testing and Commissioning - Test Readiness</t>
        </is>
      </c>
      <c r="E1213" s="23" t="inlineStr">
        <is>
          <t>None recorded</t>
        </is>
      </c>
      <c r="F1213" s="23" t="inlineStr">
        <is>
          <t>No individual professional decision recorded; Source assignment -- not individually reviewed</t>
        </is>
      </c>
      <c r="G1213" s="23" t="inlineStr">
        <is>
          <t>Not individually decided</t>
        </is>
      </c>
      <c r="H1213" s="23" t="inlineStr">
        <is>
          <t xml:space="preserve">RETAINED / ONE_TO_ONE; </t>
        </is>
      </c>
      <c r="I1213" s="23" t="inlineStr">
        <is>
          <t>Carried forward</t>
        </is>
      </c>
      <c r="J1213" s="14" t="inlineStr">
        <is>
          <t>08 CROSSWALK</t>
        </is>
      </c>
    </row>
    <row r="1214" ht="49" customHeight="1">
      <c r="A1214" s="23" t="inlineStr">
        <is>
          <t>R898-v2</t>
        </is>
      </c>
      <c r="B1214" s="23" t="inlineStr">
        <is>
          <t>Contractor Programme / SCH-05-178</t>
        </is>
      </c>
      <c r="C1214" s="23" t="inlineStr">
        <is>
          <t>WBS Code = 1.5.1</t>
        </is>
      </c>
      <c r="D1214" s="23" t="inlineStr">
        <is>
          <t>Proposed by Source assignment; target 1.5.1 Testing and Commissioning - Test Readiness</t>
        </is>
      </c>
      <c r="E1214" s="23" t="inlineStr">
        <is>
          <t>None recorded</t>
        </is>
      </c>
      <c r="F1214" s="23" t="inlineStr">
        <is>
          <t>No individual professional decision recorded; Source assignment -- not individually reviewed</t>
        </is>
      </c>
      <c r="G1214" s="23" t="inlineStr">
        <is>
          <t>Not individually decided</t>
        </is>
      </c>
      <c r="H1214" s="23" t="inlineStr">
        <is>
          <t xml:space="preserve">RETAINED / ONE_TO_ONE; </t>
        </is>
      </c>
      <c r="I1214" s="23" t="inlineStr">
        <is>
          <t>Carried forward</t>
        </is>
      </c>
      <c r="J1214" s="14" t="inlineStr">
        <is>
          <t>08 CROSSWALK</t>
        </is>
      </c>
    </row>
    <row r="1215" ht="49" customHeight="1">
      <c r="A1215" s="23" t="inlineStr">
        <is>
          <t>R899-v2</t>
        </is>
      </c>
      <c r="B1215" s="23" t="inlineStr">
        <is>
          <t>Contractor Programme / SCH-05-179</t>
        </is>
      </c>
      <c r="C1215" s="23" t="inlineStr">
        <is>
          <t>WBS Code = 1.5.1</t>
        </is>
      </c>
      <c r="D1215" s="23" t="inlineStr">
        <is>
          <t>Proposed by Source assignment; target 1.5.1 Testing and Commissioning - Test Readiness</t>
        </is>
      </c>
      <c r="E1215" s="23" t="inlineStr">
        <is>
          <t>None recorded</t>
        </is>
      </c>
      <c r="F1215" s="23" t="inlineStr">
        <is>
          <t>No individual professional decision recorded; Source assignment -- not individually reviewed</t>
        </is>
      </c>
      <c r="G1215" s="23" t="inlineStr">
        <is>
          <t>Not individually decided</t>
        </is>
      </c>
      <c r="H1215" s="23" t="inlineStr">
        <is>
          <t xml:space="preserve">RETAINED / ONE_TO_ONE; </t>
        </is>
      </c>
      <c r="I1215" s="23" t="inlineStr">
        <is>
          <t>Carried forward</t>
        </is>
      </c>
      <c r="J1215" s="14" t="inlineStr">
        <is>
          <t>08 CROSSWALK</t>
        </is>
      </c>
    </row>
    <row r="1216" ht="49" customHeight="1">
      <c r="A1216" s="23" t="inlineStr">
        <is>
          <t>R723-v2</t>
        </is>
      </c>
      <c r="B1216" s="23" t="inlineStr">
        <is>
          <t>Contractor Programme / SCH-05-003</t>
        </is>
      </c>
      <c r="C1216" s="23" t="inlineStr">
        <is>
          <t>WBS Code = 1.5.2</t>
        </is>
      </c>
      <c r="D1216" s="23" t="inlineStr">
        <is>
          <t>Proposed by Source assignment; target 1.5.2 Testing and Commissioning - Dynamic Testing</t>
        </is>
      </c>
      <c r="E1216" s="23" t="inlineStr">
        <is>
          <t>None recorded</t>
        </is>
      </c>
      <c r="F1216" s="23" t="inlineStr">
        <is>
          <t>No individual professional decision recorded; Source assignment -- not individually reviewed</t>
        </is>
      </c>
      <c r="G1216" s="23" t="inlineStr">
        <is>
          <t>Not individually decided</t>
        </is>
      </c>
      <c r="H1216" s="23" t="inlineStr">
        <is>
          <t xml:space="preserve">RETAINED / ONE_TO_ONE; </t>
        </is>
      </c>
      <c r="I1216" s="23" t="inlineStr">
        <is>
          <t>Carried forward</t>
        </is>
      </c>
      <c r="J1216" s="14" t="inlineStr">
        <is>
          <t>08 CROSSWALK</t>
        </is>
      </c>
    </row>
    <row r="1217" ht="49" customHeight="1">
      <c r="A1217" s="23" t="inlineStr">
        <is>
          <t>R726-v2</t>
        </is>
      </c>
      <c r="B1217" s="23" t="inlineStr">
        <is>
          <t>Contractor Programme / SCH-05-006</t>
        </is>
      </c>
      <c r="C1217" s="23" t="inlineStr">
        <is>
          <t>WBS Code = 1.5.2</t>
        </is>
      </c>
      <c r="D1217" s="23" t="inlineStr">
        <is>
          <t>Proposed by Source assignment; target 1.5.2 Testing and Commissioning - Dynamic Testing</t>
        </is>
      </c>
      <c r="E1217" s="23" t="inlineStr">
        <is>
          <t>None recorded</t>
        </is>
      </c>
      <c r="F1217" s="23" t="inlineStr">
        <is>
          <t>No individual professional decision recorded; Source assignment -- not individually reviewed</t>
        </is>
      </c>
      <c r="G1217" s="23" t="inlineStr">
        <is>
          <t>Not individually decided</t>
        </is>
      </c>
      <c r="H1217" s="23" t="inlineStr">
        <is>
          <t xml:space="preserve">RETAINED / ONE_TO_ONE; </t>
        </is>
      </c>
      <c r="I1217" s="23" t="inlineStr">
        <is>
          <t>Carried forward</t>
        </is>
      </c>
      <c r="J1217" s="14" t="inlineStr">
        <is>
          <t>08 CROSSWALK</t>
        </is>
      </c>
    </row>
    <row r="1218" ht="49" customHeight="1">
      <c r="A1218" s="23" t="inlineStr">
        <is>
          <t>R729-v2</t>
        </is>
      </c>
      <c r="B1218" s="23" t="inlineStr">
        <is>
          <t>Contractor Programme / SCH-05-009</t>
        </is>
      </c>
      <c r="C1218" s="23" t="inlineStr">
        <is>
          <t>WBS Code = 1.5.2</t>
        </is>
      </c>
      <c r="D1218" s="23" t="inlineStr">
        <is>
          <t>Proposed by Source assignment; target 1.5.2 Testing and Commissioning - Dynamic Testing</t>
        </is>
      </c>
      <c r="E1218" s="23" t="inlineStr">
        <is>
          <t>None recorded</t>
        </is>
      </c>
      <c r="F1218" s="23" t="inlineStr">
        <is>
          <t>No individual professional decision recorded; Source assignment -- not individually reviewed</t>
        </is>
      </c>
      <c r="G1218" s="23" t="inlineStr">
        <is>
          <t>Not individually decided</t>
        </is>
      </c>
      <c r="H1218" s="23" t="inlineStr">
        <is>
          <t xml:space="preserve">RETAINED / ONE_TO_ONE; </t>
        </is>
      </c>
      <c r="I1218" s="23" t="inlineStr">
        <is>
          <t>Carried forward</t>
        </is>
      </c>
      <c r="J1218" s="14" t="inlineStr">
        <is>
          <t>08 CROSSWALK</t>
        </is>
      </c>
    </row>
    <row r="1219" ht="49" customHeight="1">
      <c r="A1219" s="23" t="inlineStr">
        <is>
          <t>R732-v2</t>
        </is>
      </c>
      <c r="B1219" s="23" t="inlineStr">
        <is>
          <t>Contractor Programme / SCH-05-012</t>
        </is>
      </c>
      <c r="C1219" s="23" t="inlineStr">
        <is>
          <t>WBS Code = 1.5.2</t>
        </is>
      </c>
      <c r="D1219" s="23" t="inlineStr">
        <is>
          <t>Proposed by Source assignment; target 1.5.2 Testing and Commissioning - Dynamic Testing</t>
        </is>
      </c>
      <c r="E1219" s="23" t="inlineStr">
        <is>
          <t>None recorded</t>
        </is>
      </c>
      <c r="F1219" s="23" t="inlineStr">
        <is>
          <t>No individual professional decision recorded; Source assignment -- not individually reviewed</t>
        </is>
      </c>
      <c r="G1219" s="23" t="inlineStr">
        <is>
          <t>Not individually decided</t>
        </is>
      </c>
      <c r="H1219" s="23" t="inlineStr">
        <is>
          <t xml:space="preserve">RETAINED / ONE_TO_ONE; </t>
        </is>
      </c>
      <c r="I1219" s="23" t="inlineStr">
        <is>
          <t>Carried forward</t>
        </is>
      </c>
      <c r="J1219" s="14" t="inlineStr">
        <is>
          <t>08 CROSSWALK</t>
        </is>
      </c>
    </row>
    <row r="1220" ht="49" customHeight="1">
      <c r="A1220" s="23" t="inlineStr">
        <is>
          <t>R735-v2</t>
        </is>
      </c>
      <c r="B1220" s="23" t="inlineStr">
        <is>
          <t>Contractor Programme / SCH-05-015</t>
        </is>
      </c>
      <c r="C1220" s="23" t="inlineStr">
        <is>
          <t>WBS Code = 1.5.2</t>
        </is>
      </c>
      <c r="D1220" s="23" t="inlineStr">
        <is>
          <t>Proposed by Source assignment; target 1.5.2 Testing and Commissioning - Dynamic Testing</t>
        </is>
      </c>
      <c r="E1220" s="23" t="inlineStr">
        <is>
          <t>None recorded</t>
        </is>
      </c>
      <c r="F1220" s="23" t="inlineStr">
        <is>
          <t>No individual professional decision recorded; Source assignment -- not individually reviewed</t>
        </is>
      </c>
      <c r="G1220" s="23" t="inlineStr">
        <is>
          <t>Not individually decided</t>
        </is>
      </c>
      <c r="H1220" s="23" t="inlineStr">
        <is>
          <t xml:space="preserve">RETAINED / ONE_TO_ONE; </t>
        </is>
      </c>
      <c r="I1220" s="23" t="inlineStr">
        <is>
          <t>Carried forward</t>
        </is>
      </c>
      <c r="J1220" s="14" t="inlineStr">
        <is>
          <t>08 CROSSWALK</t>
        </is>
      </c>
    </row>
    <row r="1221" ht="49" customHeight="1">
      <c r="A1221" s="23" t="inlineStr">
        <is>
          <t>R738-v2</t>
        </is>
      </c>
      <c r="B1221" s="23" t="inlineStr">
        <is>
          <t>Contractor Programme / SCH-05-018</t>
        </is>
      </c>
      <c r="C1221" s="23" t="inlineStr">
        <is>
          <t>WBS Code = 1.5.2</t>
        </is>
      </c>
      <c r="D1221" s="23" t="inlineStr">
        <is>
          <t>Proposed by Source assignment; target 1.5.2 Testing and Commissioning - Dynamic Testing</t>
        </is>
      </c>
      <c r="E1221" s="23" t="inlineStr">
        <is>
          <t>None recorded</t>
        </is>
      </c>
      <c r="F1221" s="23" t="inlineStr">
        <is>
          <t>No individual professional decision recorded; Source assignment -- not individually reviewed</t>
        </is>
      </c>
      <c r="G1221" s="23" t="inlineStr">
        <is>
          <t>Not individually decided</t>
        </is>
      </c>
      <c r="H1221" s="23" t="inlineStr">
        <is>
          <t xml:space="preserve">RETAINED / ONE_TO_ONE; </t>
        </is>
      </c>
      <c r="I1221" s="23" t="inlineStr">
        <is>
          <t>Carried forward</t>
        </is>
      </c>
      <c r="J1221" s="14" t="inlineStr">
        <is>
          <t>08 CROSSWALK</t>
        </is>
      </c>
    </row>
    <row r="1222" ht="49" customHeight="1">
      <c r="A1222" s="23" t="inlineStr">
        <is>
          <t>R741-v2</t>
        </is>
      </c>
      <c r="B1222" s="23" t="inlineStr">
        <is>
          <t>Contractor Programme / SCH-05-021</t>
        </is>
      </c>
      <c r="C1222" s="23" t="inlineStr">
        <is>
          <t>WBS Code = 1.5.2</t>
        </is>
      </c>
      <c r="D1222" s="23" t="inlineStr">
        <is>
          <t>Proposed by Source assignment; target 1.5.2 Testing and Commissioning - Dynamic Testing</t>
        </is>
      </c>
      <c r="E1222" s="23" t="inlineStr">
        <is>
          <t>None recorded</t>
        </is>
      </c>
      <c r="F1222" s="23" t="inlineStr">
        <is>
          <t>No individual professional decision recorded; Source assignment -- not individually reviewed</t>
        </is>
      </c>
      <c r="G1222" s="23" t="inlineStr">
        <is>
          <t>Not individually decided</t>
        </is>
      </c>
      <c r="H1222" s="23" t="inlineStr">
        <is>
          <t xml:space="preserve">RETAINED / ONE_TO_ONE; </t>
        </is>
      </c>
      <c r="I1222" s="23" t="inlineStr">
        <is>
          <t>Carried forward</t>
        </is>
      </c>
      <c r="J1222" s="14" t="inlineStr">
        <is>
          <t>08 CROSSWALK</t>
        </is>
      </c>
    </row>
    <row r="1223" ht="49" customHeight="1">
      <c r="A1223" s="23" t="inlineStr">
        <is>
          <t>R744-v2</t>
        </is>
      </c>
      <c r="B1223" s="23" t="inlineStr">
        <is>
          <t>Contractor Programme / SCH-05-024</t>
        </is>
      </c>
      <c r="C1223" s="23" t="inlineStr">
        <is>
          <t>WBS Code = 1.5.2</t>
        </is>
      </c>
      <c r="D1223" s="23" t="inlineStr">
        <is>
          <t>Proposed by Source assignment; target 1.5.2 Testing and Commissioning - Dynamic Testing</t>
        </is>
      </c>
      <c r="E1223" s="23" t="inlineStr">
        <is>
          <t>None recorded</t>
        </is>
      </c>
      <c r="F1223" s="23" t="inlineStr">
        <is>
          <t>No individual professional decision recorded; Source assignment -- not individually reviewed</t>
        </is>
      </c>
      <c r="G1223" s="23" t="inlineStr">
        <is>
          <t>Not individually decided</t>
        </is>
      </c>
      <c r="H1223" s="23" t="inlineStr">
        <is>
          <t xml:space="preserve">RETAINED / ONE_TO_ONE; </t>
        </is>
      </c>
      <c r="I1223" s="23" t="inlineStr">
        <is>
          <t>Carried forward</t>
        </is>
      </c>
      <c r="J1223" s="14" t="inlineStr">
        <is>
          <t>08 CROSSWALK</t>
        </is>
      </c>
    </row>
    <row r="1224" ht="49" customHeight="1">
      <c r="A1224" s="23" t="inlineStr">
        <is>
          <t>R747-v2</t>
        </is>
      </c>
      <c r="B1224" s="23" t="inlineStr">
        <is>
          <t>Contractor Programme / SCH-05-027</t>
        </is>
      </c>
      <c r="C1224" s="23" t="inlineStr">
        <is>
          <t>WBS Code = 1.5.2</t>
        </is>
      </c>
      <c r="D1224" s="23" t="inlineStr">
        <is>
          <t>Proposed by Source assignment; target 1.5.2 Testing and Commissioning - Dynamic Testing</t>
        </is>
      </c>
      <c r="E1224" s="23" t="inlineStr">
        <is>
          <t>None recorded</t>
        </is>
      </c>
      <c r="F1224" s="23" t="inlineStr">
        <is>
          <t>No individual professional decision recorded; Source assignment -- not individually reviewed</t>
        </is>
      </c>
      <c r="G1224" s="23" t="inlineStr">
        <is>
          <t>Not individually decided</t>
        </is>
      </c>
      <c r="H1224" s="23" t="inlineStr">
        <is>
          <t xml:space="preserve">RETAINED / ONE_TO_ONE; </t>
        </is>
      </c>
      <c r="I1224" s="23" t="inlineStr">
        <is>
          <t>Carried forward</t>
        </is>
      </c>
      <c r="J1224" s="14" t="inlineStr">
        <is>
          <t>08 CROSSWALK</t>
        </is>
      </c>
    </row>
    <row r="1225" ht="49" customHeight="1">
      <c r="A1225" s="23" t="inlineStr">
        <is>
          <t>R750-v2</t>
        </is>
      </c>
      <c r="B1225" s="23" t="inlineStr">
        <is>
          <t>Contractor Programme / SCH-05-030</t>
        </is>
      </c>
      <c r="C1225" s="23" t="inlineStr">
        <is>
          <t>WBS Code = 1.5.2</t>
        </is>
      </c>
      <c r="D1225" s="23" t="inlineStr">
        <is>
          <t>Proposed by Source assignment; target 1.5.2 Testing and Commissioning - Dynamic Testing</t>
        </is>
      </c>
      <c r="E1225" s="23" t="inlineStr">
        <is>
          <t>None recorded</t>
        </is>
      </c>
      <c r="F1225" s="23" t="inlineStr">
        <is>
          <t>No individual professional decision recorded; Source assignment -- not individually reviewed</t>
        </is>
      </c>
      <c r="G1225" s="23" t="inlineStr">
        <is>
          <t>Not individually decided</t>
        </is>
      </c>
      <c r="H1225" s="23" t="inlineStr">
        <is>
          <t xml:space="preserve">RETAINED / ONE_TO_ONE; </t>
        </is>
      </c>
      <c r="I1225" s="23" t="inlineStr">
        <is>
          <t>Carried forward</t>
        </is>
      </c>
      <c r="J1225" s="14" t="inlineStr">
        <is>
          <t>08 CROSSWALK</t>
        </is>
      </c>
    </row>
    <row r="1226" ht="49" customHeight="1">
      <c r="A1226" s="23" t="inlineStr">
        <is>
          <t>R753-v2</t>
        </is>
      </c>
      <c r="B1226" s="23" t="inlineStr">
        <is>
          <t>Contractor Programme / SCH-05-033</t>
        </is>
      </c>
      <c r="C1226" s="23" t="inlineStr">
        <is>
          <t>WBS Code = 1.5.2</t>
        </is>
      </c>
      <c r="D1226" s="23" t="inlineStr">
        <is>
          <t>Proposed by Source assignment; target 1.5.2 Testing and Commissioning - Dynamic Testing</t>
        </is>
      </c>
      <c r="E1226" s="23" t="inlineStr">
        <is>
          <t>None recorded</t>
        </is>
      </c>
      <c r="F1226" s="23" t="inlineStr">
        <is>
          <t>No individual professional decision recorded; Source assignment -- not individually reviewed</t>
        </is>
      </c>
      <c r="G1226" s="23" t="inlineStr">
        <is>
          <t>Not individually decided</t>
        </is>
      </c>
      <c r="H1226" s="23" t="inlineStr">
        <is>
          <t xml:space="preserve">RETAINED / ONE_TO_ONE; </t>
        </is>
      </c>
      <c r="I1226" s="23" t="inlineStr">
        <is>
          <t>Carried forward</t>
        </is>
      </c>
      <c r="J1226" s="14" t="inlineStr">
        <is>
          <t>08 CROSSWALK</t>
        </is>
      </c>
    </row>
    <row r="1227" ht="49" customHeight="1">
      <c r="A1227" s="23" t="inlineStr">
        <is>
          <t>R756-v2</t>
        </is>
      </c>
      <c r="B1227" s="23" t="inlineStr">
        <is>
          <t>Contractor Programme / SCH-05-036</t>
        </is>
      </c>
      <c r="C1227" s="23" t="inlineStr">
        <is>
          <t>WBS Code = 1.5.2</t>
        </is>
      </c>
      <c r="D1227" s="23" t="inlineStr">
        <is>
          <t>Proposed by Source assignment; target 1.5.2 Testing and Commissioning - Dynamic Testing</t>
        </is>
      </c>
      <c r="E1227" s="23" t="inlineStr">
        <is>
          <t>None recorded</t>
        </is>
      </c>
      <c r="F1227" s="23" t="inlineStr">
        <is>
          <t>No individual professional decision recorded; Source assignment -- not individually reviewed</t>
        </is>
      </c>
      <c r="G1227" s="23" t="inlineStr">
        <is>
          <t>Not individually decided</t>
        </is>
      </c>
      <c r="H1227" s="23" t="inlineStr">
        <is>
          <t xml:space="preserve">RETAINED / ONE_TO_ONE; </t>
        </is>
      </c>
      <c r="I1227" s="23" t="inlineStr">
        <is>
          <t>Carried forward</t>
        </is>
      </c>
      <c r="J1227" s="14" t="inlineStr">
        <is>
          <t>08 CROSSWALK</t>
        </is>
      </c>
    </row>
    <row r="1228" ht="49" customHeight="1">
      <c r="A1228" s="23" t="inlineStr">
        <is>
          <t>R759-v2</t>
        </is>
      </c>
      <c r="B1228" s="23" t="inlineStr">
        <is>
          <t>Contractor Programme / SCH-05-039</t>
        </is>
      </c>
      <c r="C1228" s="23" t="inlineStr">
        <is>
          <t>WBS Code = 1.5.2</t>
        </is>
      </c>
      <c r="D1228" s="23" t="inlineStr">
        <is>
          <t>Proposed by Source assignment; target 1.5.2 Testing and Commissioning - Dynamic Testing</t>
        </is>
      </c>
      <c r="E1228" s="23" t="inlineStr">
        <is>
          <t>None recorded</t>
        </is>
      </c>
      <c r="F1228" s="23" t="inlineStr">
        <is>
          <t>No individual professional decision recorded; Source assignment -- not individually reviewed</t>
        </is>
      </c>
      <c r="G1228" s="23" t="inlineStr">
        <is>
          <t>Not individually decided</t>
        </is>
      </c>
      <c r="H1228" s="23" t="inlineStr">
        <is>
          <t xml:space="preserve">RETAINED / ONE_TO_ONE; </t>
        </is>
      </c>
      <c r="I1228" s="23" t="inlineStr">
        <is>
          <t>Carried forward</t>
        </is>
      </c>
      <c r="J1228" s="14" t="inlineStr">
        <is>
          <t>08 CROSSWALK</t>
        </is>
      </c>
    </row>
    <row r="1229" ht="49" customHeight="1">
      <c r="A1229" s="23" t="inlineStr">
        <is>
          <t>R762-v2</t>
        </is>
      </c>
      <c r="B1229" s="23" t="inlineStr">
        <is>
          <t>Contractor Programme / SCH-05-042</t>
        </is>
      </c>
      <c r="C1229" s="23" t="inlineStr">
        <is>
          <t>WBS Code = 1.5.2</t>
        </is>
      </c>
      <c r="D1229" s="23" t="inlineStr">
        <is>
          <t>Proposed by Source assignment; target 1.5.2 Testing and Commissioning - Dynamic Testing</t>
        </is>
      </c>
      <c r="E1229" s="23" t="inlineStr">
        <is>
          <t>None recorded</t>
        </is>
      </c>
      <c r="F1229" s="23" t="inlineStr">
        <is>
          <t>No individual professional decision recorded; Source assignment -- not individually reviewed</t>
        </is>
      </c>
      <c r="G1229" s="23" t="inlineStr">
        <is>
          <t>Not individually decided</t>
        </is>
      </c>
      <c r="H1229" s="23" t="inlineStr">
        <is>
          <t xml:space="preserve">RETAINED / ONE_TO_ONE; </t>
        </is>
      </c>
      <c r="I1229" s="23" t="inlineStr">
        <is>
          <t>Carried forward</t>
        </is>
      </c>
      <c r="J1229" s="14" t="inlineStr">
        <is>
          <t>08 CROSSWALK</t>
        </is>
      </c>
    </row>
    <row r="1230" ht="49" customHeight="1">
      <c r="A1230" s="23" t="inlineStr">
        <is>
          <t>R765-v2</t>
        </is>
      </c>
      <c r="B1230" s="23" t="inlineStr">
        <is>
          <t>Contractor Programme / SCH-05-045</t>
        </is>
      </c>
      <c r="C1230" s="23" t="inlineStr">
        <is>
          <t>WBS Code = 1.5.2</t>
        </is>
      </c>
      <c r="D1230" s="23" t="inlineStr">
        <is>
          <t>Proposed by Source assignment; target 1.5.2 Testing and Commissioning - Dynamic Testing</t>
        </is>
      </c>
      <c r="E1230" s="23" t="inlineStr">
        <is>
          <t>None recorded</t>
        </is>
      </c>
      <c r="F1230" s="23" t="inlineStr">
        <is>
          <t>No individual professional decision recorded; Source assignment -- not individually reviewed</t>
        </is>
      </c>
      <c r="G1230" s="23" t="inlineStr">
        <is>
          <t>Not individually decided</t>
        </is>
      </c>
      <c r="H1230" s="23" t="inlineStr">
        <is>
          <t xml:space="preserve">RETAINED / ONE_TO_ONE; </t>
        </is>
      </c>
      <c r="I1230" s="23" t="inlineStr">
        <is>
          <t>Carried forward</t>
        </is>
      </c>
      <c r="J1230" s="14" t="inlineStr">
        <is>
          <t>08 CROSSWALK</t>
        </is>
      </c>
    </row>
    <row r="1231" ht="49" customHeight="1">
      <c r="A1231" s="23" t="inlineStr">
        <is>
          <t>R768-v2</t>
        </is>
      </c>
      <c r="B1231" s="23" t="inlineStr">
        <is>
          <t>Contractor Programme / SCH-05-048</t>
        </is>
      </c>
      <c r="C1231" s="23" t="inlineStr">
        <is>
          <t>WBS Code = 1.5.2</t>
        </is>
      </c>
      <c r="D1231" s="23" t="inlineStr">
        <is>
          <t>Proposed by Source assignment; target 1.5.2 Testing and Commissioning - Dynamic Testing</t>
        </is>
      </c>
      <c r="E1231" s="23" t="inlineStr">
        <is>
          <t>None recorded</t>
        </is>
      </c>
      <c r="F1231" s="23" t="inlineStr">
        <is>
          <t>No individual professional decision recorded; Source assignment -- not individually reviewed</t>
        </is>
      </c>
      <c r="G1231" s="23" t="inlineStr">
        <is>
          <t>Not individually decided</t>
        </is>
      </c>
      <c r="H1231" s="23" t="inlineStr">
        <is>
          <t xml:space="preserve">RETAINED / ONE_TO_ONE; </t>
        </is>
      </c>
      <c r="I1231" s="23" t="inlineStr">
        <is>
          <t>Carried forward</t>
        </is>
      </c>
      <c r="J1231" s="14" t="inlineStr">
        <is>
          <t>08 CROSSWALK</t>
        </is>
      </c>
    </row>
    <row r="1232" ht="49" customHeight="1">
      <c r="A1232" s="23" t="inlineStr">
        <is>
          <t>R771-v2</t>
        </is>
      </c>
      <c r="B1232" s="23" t="inlineStr">
        <is>
          <t>Contractor Programme / SCH-05-051</t>
        </is>
      </c>
      <c r="C1232" s="23" t="inlineStr">
        <is>
          <t>WBS Code = 1.5.2</t>
        </is>
      </c>
      <c r="D1232" s="23" t="inlineStr">
        <is>
          <t>Proposed by Source assignment; target 1.5.2 Testing and Commissioning - Dynamic Testing</t>
        </is>
      </c>
      <c r="E1232" s="23" t="inlineStr">
        <is>
          <t>None recorded</t>
        </is>
      </c>
      <c r="F1232" s="23" t="inlineStr">
        <is>
          <t>No individual professional decision recorded; Source assignment -- not individually reviewed</t>
        </is>
      </c>
      <c r="G1232" s="23" t="inlineStr">
        <is>
          <t>Not individually decided</t>
        </is>
      </c>
      <c r="H1232" s="23" t="inlineStr">
        <is>
          <t xml:space="preserve">RETAINED / ONE_TO_ONE; </t>
        </is>
      </c>
      <c r="I1232" s="23" t="inlineStr">
        <is>
          <t>Carried forward</t>
        </is>
      </c>
      <c r="J1232" s="14" t="inlineStr">
        <is>
          <t>08 CROSSWALK</t>
        </is>
      </c>
    </row>
    <row r="1233" ht="49" customHeight="1">
      <c r="A1233" s="23" t="inlineStr">
        <is>
          <t>R774-v2</t>
        </is>
      </c>
      <c r="B1233" s="23" t="inlineStr">
        <is>
          <t>Contractor Programme / SCH-05-054</t>
        </is>
      </c>
      <c r="C1233" s="23" t="inlineStr">
        <is>
          <t>WBS Code = 1.5.2</t>
        </is>
      </c>
      <c r="D1233" s="23" t="inlineStr">
        <is>
          <t>Proposed by Source assignment; target 1.5.2 Testing and Commissioning - Dynamic Testing</t>
        </is>
      </c>
      <c r="E1233" s="23" t="inlineStr">
        <is>
          <t>None recorded</t>
        </is>
      </c>
      <c r="F1233" s="23" t="inlineStr">
        <is>
          <t>No individual professional decision recorded; Source assignment -- not individually reviewed</t>
        </is>
      </c>
      <c r="G1233" s="23" t="inlineStr">
        <is>
          <t>Not individually decided</t>
        </is>
      </c>
      <c r="H1233" s="23" t="inlineStr">
        <is>
          <t xml:space="preserve">RETAINED / ONE_TO_ONE; </t>
        </is>
      </c>
      <c r="I1233" s="23" t="inlineStr">
        <is>
          <t>Carried forward</t>
        </is>
      </c>
      <c r="J1233" s="14" t="inlineStr">
        <is>
          <t>08 CROSSWALK</t>
        </is>
      </c>
    </row>
    <row r="1234" ht="49" customHeight="1">
      <c r="A1234" s="23" t="inlineStr">
        <is>
          <t>R777-v2</t>
        </is>
      </c>
      <c r="B1234" s="23" t="inlineStr">
        <is>
          <t>Contractor Programme / SCH-05-057</t>
        </is>
      </c>
      <c r="C1234" s="23" t="inlineStr">
        <is>
          <t>WBS Code = 1.5.2</t>
        </is>
      </c>
      <c r="D1234" s="23" t="inlineStr">
        <is>
          <t>Proposed by Source assignment; target 1.5.2 Testing and Commissioning - Dynamic Testing</t>
        </is>
      </c>
      <c r="E1234" s="23" t="inlineStr">
        <is>
          <t>None recorded</t>
        </is>
      </c>
      <c r="F1234" s="23" t="inlineStr">
        <is>
          <t>No individual professional decision recorded; Source assignment -- not individually reviewed</t>
        </is>
      </c>
      <c r="G1234" s="23" t="inlineStr">
        <is>
          <t>Not individually decided</t>
        </is>
      </c>
      <c r="H1234" s="23" t="inlineStr">
        <is>
          <t xml:space="preserve">RETAINED / ONE_TO_ONE; </t>
        </is>
      </c>
      <c r="I1234" s="23" t="inlineStr">
        <is>
          <t>Carried forward</t>
        </is>
      </c>
      <c r="J1234" s="14" t="inlineStr">
        <is>
          <t>08 CROSSWALK</t>
        </is>
      </c>
    </row>
    <row r="1235" ht="49" customHeight="1">
      <c r="A1235" s="23" t="inlineStr">
        <is>
          <t>R780-v2</t>
        </is>
      </c>
      <c r="B1235" s="23" t="inlineStr">
        <is>
          <t>Contractor Programme / SCH-05-060</t>
        </is>
      </c>
      <c r="C1235" s="23" t="inlineStr">
        <is>
          <t>WBS Code = 1.5.2</t>
        </is>
      </c>
      <c r="D1235" s="23" t="inlineStr">
        <is>
          <t>Proposed by Source assignment; target 1.5.2 Testing and Commissioning - Dynamic Testing</t>
        </is>
      </c>
      <c r="E1235" s="23" t="inlineStr">
        <is>
          <t>None recorded</t>
        </is>
      </c>
      <c r="F1235" s="23" t="inlineStr">
        <is>
          <t>No individual professional decision recorded; Source assignment -- not individually reviewed</t>
        </is>
      </c>
      <c r="G1235" s="23" t="inlineStr">
        <is>
          <t>Not individually decided</t>
        </is>
      </c>
      <c r="H1235" s="23" t="inlineStr">
        <is>
          <t xml:space="preserve">RETAINED / ONE_TO_ONE; </t>
        </is>
      </c>
      <c r="I1235" s="23" t="inlineStr">
        <is>
          <t>Carried forward</t>
        </is>
      </c>
      <c r="J1235" s="14" t="inlineStr">
        <is>
          <t>08 CROSSWALK</t>
        </is>
      </c>
    </row>
    <row r="1236" ht="49" customHeight="1">
      <c r="A1236" s="23" t="inlineStr">
        <is>
          <t>R783-v2</t>
        </is>
      </c>
      <c r="B1236" s="23" t="inlineStr">
        <is>
          <t>Contractor Programme / SCH-05-063</t>
        </is>
      </c>
      <c r="C1236" s="23" t="inlineStr">
        <is>
          <t>WBS Code = 1.5.2</t>
        </is>
      </c>
      <c r="D1236" s="23" t="inlineStr">
        <is>
          <t>Proposed by Source assignment; target 1.5.2 Testing and Commissioning - Dynamic Testing</t>
        </is>
      </c>
      <c r="E1236" s="23" t="inlineStr">
        <is>
          <t>None recorded</t>
        </is>
      </c>
      <c r="F1236" s="23" t="inlineStr">
        <is>
          <t>No individual professional decision recorded; Source assignment -- not individually reviewed</t>
        </is>
      </c>
      <c r="G1236" s="23" t="inlineStr">
        <is>
          <t>Not individually decided</t>
        </is>
      </c>
      <c r="H1236" s="23" t="inlineStr">
        <is>
          <t xml:space="preserve">RETAINED / ONE_TO_ONE; </t>
        </is>
      </c>
      <c r="I1236" s="23" t="inlineStr">
        <is>
          <t>Carried forward</t>
        </is>
      </c>
      <c r="J1236" s="14" t="inlineStr">
        <is>
          <t>08 CROSSWALK</t>
        </is>
      </c>
    </row>
    <row r="1237" ht="49" customHeight="1">
      <c r="A1237" s="23" t="inlineStr">
        <is>
          <t>R786-v2</t>
        </is>
      </c>
      <c r="B1237" s="23" t="inlineStr">
        <is>
          <t>Contractor Programme / SCH-05-066</t>
        </is>
      </c>
      <c r="C1237" s="23" t="inlineStr">
        <is>
          <t>WBS Code = 1.5.2</t>
        </is>
      </c>
      <c r="D1237" s="23" t="inlineStr">
        <is>
          <t>Proposed by Source assignment; target 1.5.2 Testing and Commissioning - Dynamic Testing</t>
        </is>
      </c>
      <c r="E1237" s="23" t="inlineStr">
        <is>
          <t>None recorded</t>
        </is>
      </c>
      <c r="F1237" s="23" t="inlineStr">
        <is>
          <t>No individual professional decision recorded; Source assignment -- not individually reviewed</t>
        </is>
      </c>
      <c r="G1237" s="23" t="inlineStr">
        <is>
          <t>Not individually decided</t>
        </is>
      </c>
      <c r="H1237" s="23" t="inlineStr">
        <is>
          <t xml:space="preserve">RETAINED / ONE_TO_ONE; </t>
        </is>
      </c>
      <c r="I1237" s="23" t="inlineStr">
        <is>
          <t>Carried forward</t>
        </is>
      </c>
      <c r="J1237" s="14" t="inlineStr">
        <is>
          <t>08 CROSSWALK</t>
        </is>
      </c>
    </row>
    <row r="1238" ht="49" customHeight="1">
      <c r="A1238" s="23" t="inlineStr">
        <is>
          <t>R789-v2</t>
        </is>
      </c>
      <c r="B1238" s="23" t="inlineStr">
        <is>
          <t>Contractor Programme / SCH-05-069</t>
        </is>
      </c>
      <c r="C1238" s="23" t="inlineStr">
        <is>
          <t>WBS Code = 1.5.2</t>
        </is>
      </c>
      <c r="D1238" s="23" t="inlineStr">
        <is>
          <t>Proposed by Source assignment; target 1.5.2 Testing and Commissioning - Dynamic Testing</t>
        </is>
      </c>
      <c r="E1238" s="23" t="inlineStr">
        <is>
          <t>None recorded</t>
        </is>
      </c>
      <c r="F1238" s="23" t="inlineStr">
        <is>
          <t>No individual professional decision recorded; Source assignment -- not individually reviewed</t>
        </is>
      </c>
      <c r="G1238" s="23" t="inlineStr">
        <is>
          <t>Not individually decided</t>
        </is>
      </c>
      <c r="H1238" s="23" t="inlineStr">
        <is>
          <t xml:space="preserve">RETAINED / ONE_TO_ONE; </t>
        </is>
      </c>
      <c r="I1238" s="23" t="inlineStr">
        <is>
          <t>Carried forward</t>
        </is>
      </c>
      <c r="J1238" s="14" t="inlineStr">
        <is>
          <t>08 CROSSWALK</t>
        </is>
      </c>
    </row>
    <row r="1239" ht="49" customHeight="1">
      <c r="A1239" s="23" t="inlineStr">
        <is>
          <t>R792-v2</t>
        </is>
      </c>
      <c r="B1239" s="23" t="inlineStr">
        <is>
          <t>Contractor Programme / SCH-05-072</t>
        </is>
      </c>
      <c r="C1239" s="23" t="inlineStr">
        <is>
          <t>WBS Code = 1.5.2</t>
        </is>
      </c>
      <c r="D1239" s="23" t="inlineStr">
        <is>
          <t>Proposed by Source assignment; target 1.5.2 Testing and Commissioning - Dynamic Testing</t>
        </is>
      </c>
      <c r="E1239" s="23" t="inlineStr">
        <is>
          <t>None recorded</t>
        </is>
      </c>
      <c r="F1239" s="23" t="inlineStr">
        <is>
          <t>No individual professional decision recorded; Source assignment -- not individually reviewed</t>
        </is>
      </c>
      <c r="G1239" s="23" t="inlineStr">
        <is>
          <t>Not individually decided</t>
        </is>
      </c>
      <c r="H1239" s="23" t="inlineStr">
        <is>
          <t xml:space="preserve">RETAINED / ONE_TO_ONE; </t>
        </is>
      </c>
      <c r="I1239" s="23" t="inlineStr">
        <is>
          <t>Carried forward</t>
        </is>
      </c>
      <c r="J1239" s="14" t="inlineStr">
        <is>
          <t>08 CROSSWALK</t>
        </is>
      </c>
    </row>
    <row r="1240" ht="49" customHeight="1">
      <c r="A1240" s="23" t="inlineStr">
        <is>
          <t>R795-v2</t>
        </is>
      </c>
      <c r="B1240" s="23" t="inlineStr">
        <is>
          <t>Contractor Programme / SCH-05-075</t>
        </is>
      </c>
      <c r="C1240" s="23" t="inlineStr">
        <is>
          <t>WBS Code = 1.5.2</t>
        </is>
      </c>
      <c r="D1240" s="23" t="inlineStr">
        <is>
          <t>Proposed by Source assignment; target 1.5.2 Testing and Commissioning - Dynamic Testing</t>
        </is>
      </c>
      <c r="E1240" s="23" t="inlineStr">
        <is>
          <t>None recorded</t>
        </is>
      </c>
      <c r="F1240" s="23" t="inlineStr">
        <is>
          <t>No individual professional decision recorded; Source assignment -- not individually reviewed</t>
        </is>
      </c>
      <c r="G1240" s="23" t="inlineStr">
        <is>
          <t>Not individually decided</t>
        </is>
      </c>
      <c r="H1240" s="23" t="inlineStr">
        <is>
          <t xml:space="preserve">RETAINED / ONE_TO_ONE; </t>
        </is>
      </c>
      <c r="I1240" s="23" t="inlineStr">
        <is>
          <t>Carried forward</t>
        </is>
      </c>
      <c r="J1240" s="14" t="inlineStr">
        <is>
          <t>08 CROSSWALK</t>
        </is>
      </c>
    </row>
    <row r="1241" ht="49" customHeight="1">
      <c r="A1241" s="23" t="inlineStr">
        <is>
          <t>R798-v2</t>
        </is>
      </c>
      <c r="B1241" s="23" t="inlineStr">
        <is>
          <t>Contractor Programme / SCH-05-078</t>
        </is>
      </c>
      <c r="C1241" s="23" t="inlineStr">
        <is>
          <t>WBS Code = 1.5.2</t>
        </is>
      </c>
      <c r="D1241" s="23" t="inlineStr">
        <is>
          <t>Proposed by Source assignment; target 1.5.2 Testing and Commissioning - Dynamic Testing</t>
        </is>
      </c>
      <c r="E1241" s="23" t="inlineStr">
        <is>
          <t>None recorded</t>
        </is>
      </c>
      <c r="F1241" s="23" t="inlineStr">
        <is>
          <t>No individual professional decision recorded; Source assignment -- not individually reviewed</t>
        </is>
      </c>
      <c r="G1241" s="23" t="inlineStr">
        <is>
          <t>Not individually decided</t>
        </is>
      </c>
      <c r="H1241" s="23" t="inlineStr">
        <is>
          <t xml:space="preserve">RETAINED / ONE_TO_ONE; </t>
        </is>
      </c>
      <c r="I1241" s="23" t="inlineStr">
        <is>
          <t>Carried forward</t>
        </is>
      </c>
      <c r="J1241" s="14" t="inlineStr">
        <is>
          <t>08 CROSSWALK</t>
        </is>
      </c>
    </row>
    <row r="1242" ht="49" customHeight="1">
      <c r="A1242" s="23" t="inlineStr">
        <is>
          <t>R801-v2</t>
        </is>
      </c>
      <c r="B1242" s="23" t="inlineStr">
        <is>
          <t>Contractor Programme / SCH-05-081</t>
        </is>
      </c>
      <c r="C1242" s="23" t="inlineStr">
        <is>
          <t>WBS Code = 1.5.2</t>
        </is>
      </c>
      <c r="D1242" s="23" t="inlineStr">
        <is>
          <t>Proposed by Source assignment; target 1.5.2 Testing and Commissioning - Dynamic Testing</t>
        </is>
      </c>
      <c r="E1242" s="23" t="inlineStr">
        <is>
          <t>None recorded</t>
        </is>
      </c>
      <c r="F1242" s="23" t="inlineStr">
        <is>
          <t>No individual professional decision recorded; Source assignment -- not individually reviewed</t>
        </is>
      </c>
      <c r="G1242" s="23" t="inlineStr">
        <is>
          <t>Not individually decided</t>
        </is>
      </c>
      <c r="H1242" s="23" t="inlineStr">
        <is>
          <t xml:space="preserve">RETAINED / ONE_TO_ONE; </t>
        </is>
      </c>
      <c r="I1242" s="23" t="inlineStr">
        <is>
          <t>Carried forward</t>
        </is>
      </c>
      <c r="J1242" s="14" t="inlineStr">
        <is>
          <t>08 CROSSWALK</t>
        </is>
      </c>
    </row>
    <row r="1243" ht="49" customHeight="1">
      <c r="A1243" s="23" t="inlineStr">
        <is>
          <t>R804-v2</t>
        </is>
      </c>
      <c r="B1243" s="23" t="inlineStr">
        <is>
          <t>Contractor Programme / SCH-05-084</t>
        </is>
      </c>
      <c r="C1243" s="23" t="inlineStr">
        <is>
          <t>WBS Code = 1.5.2</t>
        </is>
      </c>
      <c r="D1243" s="23" t="inlineStr">
        <is>
          <t>Proposed by Source assignment; target 1.5.2 Testing and Commissioning - Dynamic Testing</t>
        </is>
      </c>
      <c r="E1243" s="23" t="inlineStr">
        <is>
          <t>None recorded</t>
        </is>
      </c>
      <c r="F1243" s="23" t="inlineStr">
        <is>
          <t>No individual professional decision recorded; Source assignment -- not individually reviewed</t>
        </is>
      </c>
      <c r="G1243" s="23" t="inlineStr">
        <is>
          <t>Not individually decided</t>
        </is>
      </c>
      <c r="H1243" s="23" t="inlineStr">
        <is>
          <t xml:space="preserve">RETAINED / ONE_TO_ONE; </t>
        </is>
      </c>
      <c r="I1243" s="23" t="inlineStr">
        <is>
          <t>Carried forward</t>
        </is>
      </c>
      <c r="J1243" s="14" t="inlineStr">
        <is>
          <t>08 CROSSWALK</t>
        </is>
      </c>
    </row>
    <row r="1244" ht="49" customHeight="1">
      <c r="A1244" s="23" t="inlineStr">
        <is>
          <t>R807-v2</t>
        </is>
      </c>
      <c r="B1244" s="23" t="inlineStr">
        <is>
          <t>Contractor Programme / SCH-05-087</t>
        </is>
      </c>
      <c r="C1244" s="23" t="inlineStr">
        <is>
          <t>WBS Code = 1.5.2</t>
        </is>
      </c>
      <c r="D1244" s="23" t="inlineStr">
        <is>
          <t>Proposed by Source assignment; target 1.5.2 Testing and Commissioning - Dynamic Testing</t>
        </is>
      </c>
      <c r="E1244" s="23" t="inlineStr">
        <is>
          <t>None recorded</t>
        </is>
      </c>
      <c r="F1244" s="23" t="inlineStr">
        <is>
          <t>No individual professional decision recorded; Source assignment -- not individually reviewed</t>
        </is>
      </c>
      <c r="G1244" s="23" t="inlineStr">
        <is>
          <t>Not individually decided</t>
        </is>
      </c>
      <c r="H1244" s="23" t="inlineStr">
        <is>
          <t xml:space="preserve">RETAINED / ONE_TO_ONE; </t>
        </is>
      </c>
      <c r="I1244" s="23" t="inlineStr">
        <is>
          <t>Carried forward</t>
        </is>
      </c>
      <c r="J1244" s="14" t="inlineStr">
        <is>
          <t>08 CROSSWALK</t>
        </is>
      </c>
    </row>
    <row r="1245" ht="49" customHeight="1">
      <c r="A1245" s="23" t="inlineStr">
        <is>
          <t>R810-v2</t>
        </is>
      </c>
      <c r="B1245" s="23" t="inlineStr">
        <is>
          <t>Contractor Programme / SCH-05-090</t>
        </is>
      </c>
      <c r="C1245" s="23" t="inlineStr">
        <is>
          <t>WBS Code = 1.5.2</t>
        </is>
      </c>
      <c r="D1245" s="23" t="inlineStr">
        <is>
          <t>Proposed by Source assignment; target 1.5.2 Testing and Commissioning - Dynamic Testing</t>
        </is>
      </c>
      <c r="E1245" s="23" t="inlineStr">
        <is>
          <t>None recorded</t>
        </is>
      </c>
      <c r="F1245" s="23" t="inlineStr">
        <is>
          <t>No individual professional decision recorded; Source assignment -- not individually reviewed</t>
        </is>
      </c>
      <c r="G1245" s="23" t="inlineStr">
        <is>
          <t>Not individually decided</t>
        </is>
      </c>
      <c r="H1245" s="23" t="inlineStr">
        <is>
          <t xml:space="preserve">RETAINED / ONE_TO_ONE; </t>
        </is>
      </c>
      <c r="I1245" s="23" t="inlineStr">
        <is>
          <t>Carried forward</t>
        </is>
      </c>
      <c r="J1245" s="14" t="inlineStr">
        <is>
          <t>08 CROSSWALK</t>
        </is>
      </c>
    </row>
    <row r="1246" ht="49" customHeight="1">
      <c r="A1246" s="23" t="inlineStr">
        <is>
          <t>R813-v2</t>
        </is>
      </c>
      <c r="B1246" s="23" t="inlineStr">
        <is>
          <t>Contractor Programme / SCH-05-093</t>
        </is>
      </c>
      <c r="C1246" s="23" t="inlineStr">
        <is>
          <t>WBS Code = 1.5.2</t>
        </is>
      </c>
      <c r="D1246" s="23" t="inlineStr">
        <is>
          <t>Proposed by Source assignment; target 1.5.2 Testing and Commissioning - Dynamic Testing</t>
        </is>
      </c>
      <c r="E1246" s="23" t="inlineStr">
        <is>
          <t>None recorded</t>
        </is>
      </c>
      <c r="F1246" s="23" t="inlineStr">
        <is>
          <t>No individual professional decision recorded; Source assignment -- not individually reviewed</t>
        </is>
      </c>
      <c r="G1246" s="23" t="inlineStr">
        <is>
          <t>Not individually decided</t>
        </is>
      </c>
      <c r="H1246" s="23" t="inlineStr">
        <is>
          <t xml:space="preserve">RETAINED / ONE_TO_ONE; </t>
        </is>
      </c>
      <c r="I1246" s="23" t="inlineStr">
        <is>
          <t>Carried forward</t>
        </is>
      </c>
      <c r="J1246" s="14" t="inlineStr">
        <is>
          <t>08 CROSSWALK</t>
        </is>
      </c>
    </row>
    <row r="1247" ht="49" customHeight="1">
      <c r="A1247" s="23" t="inlineStr">
        <is>
          <t>R816-v2</t>
        </is>
      </c>
      <c r="B1247" s="23" t="inlineStr">
        <is>
          <t>Contractor Programme / SCH-05-096</t>
        </is>
      </c>
      <c r="C1247" s="23" t="inlineStr">
        <is>
          <t>WBS Code = 1.5.2</t>
        </is>
      </c>
      <c r="D1247" s="23" t="inlineStr">
        <is>
          <t>Proposed by Source assignment; target 1.5.2 Testing and Commissioning - Dynamic Testing</t>
        </is>
      </c>
      <c r="E1247" s="23" t="inlineStr">
        <is>
          <t>None recorded</t>
        </is>
      </c>
      <c r="F1247" s="23" t="inlineStr">
        <is>
          <t>No individual professional decision recorded; Source assignment -- not individually reviewed</t>
        </is>
      </c>
      <c r="G1247" s="23" t="inlineStr">
        <is>
          <t>Not individually decided</t>
        </is>
      </c>
      <c r="H1247" s="23" t="inlineStr">
        <is>
          <t xml:space="preserve">RETAINED / ONE_TO_ONE; </t>
        </is>
      </c>
      <c r="I1247" s="23" t="inlineStr">
        <is>
          <t>Carried forward</t>
        </is>
      </c>
      <c r="J1247" s="14" t="inlineStr">
        <is>
          <t>08 CROSSWALK</t>
        </is>
      </c>
    </row>
    <row r="1248" ht="49" customHeight="1">
      <c r="A1248" s="23" t="inlineStr">
        <is>
          <t>R819-v2</t>
        </is>
      </c>
      <c r="B1248" s="23" t="inlineStr">
        <is>
          <t>Contractor Programme / SCH-05-099</t>
        </is>
      </c>
      <c r="C1248" s="23" t="inlineStr">
        <is>
          <t>WBS Code = 1.5.2</t>
        </is>
      </c>
      <c r="D1248" s="23" t="inlineStr">
        <is>
          <t>Proposed by Source assignment; target 1.5.2 Testing and Commissioning - Dynamic Testing</t>
        </is>
      </c>
      <c r="E1248" s="23" t="inlineStr">
        <is>
          <t>None recorded</t>
        </is>
      </c>
      <c r="F1248" s="23" t="inlineStr">
        <is>
          <t>No individual professional decision recorded; Source assignment -- not individually reviewed</t>
        </is>
      </c>
      <c r="G1248" s="23" t="inlineStr">
        <is>
          <t>Not individually decided</t>
        </is>
      </c>
      <c r="H1248" s="23" t="inlineStr">
        <is>
          <t xml:space="preserve">RETAINED / ONE_TO_ONE; </t>
        </is>
      </c>
      <c r="I1248" s="23" t="inlineStr">
        <is>
          <t>Carried forward</t>
        </is>
      </c>
      <c r="J1248" s="14" t="inlineStr">
        <is>
          <t>08 CROSSWALK</t>
        </is>
      </c>
    </row>
    <row r="1249" ht="49" customHeight="1">
      <c r="A1249" s="23" t="inlineStr">
        <is>
          <t>R822-v2</t>
        </is>
      </c>
      <c r="B1249" s="23" t="inlineStr">
        <is>
          <t>Contractor Programme / SCH-05-102</t>
        </is>
      </c>
      <c r="C1249" s="23" t="inlineStr">
        <is>
          <t>WBS Code = 1.5.2</t>
        </is>
      </c>
      <c r="D1249" s="23" t="inlineStr">
        <is>
          <t>Proposed by Source assignment; target 1.5.2 Testing and Commissioning - Dynamic Testing</t>
        </is>
      </c>
      <c r="E1249" s="23" t="inlineStr">
        <is>
          <t>None recorded</t>
        </is>
      </c>
      <c r="F1249" s="23" t="inlineStr">
        <is>
          <t>No individual professional decision recorded; Source assignment -- not individually reviewed</t>
        </is>
      </c>
      <c r="G1249" s="23" t="inlineStr">
        <is>
          <t>Not individually decided</t>
        </is>
      </c>
      <c r="H1249" s="23" t="inlineStr">
        <is>
          <t xml:space="preserve">RETAINED / ONE_TO_ONE; </t>
        </is>
      </c>
      <c r="I1249" s="23" t="inlineStr">
        <is>
          <t>Carried forward</t>
        </is>
      </c>
      <c r="J1249" s="14" t="inlineStr">
        <is>
          <t>08 CROSSWALK</t>
        </is>
      </c>
    </row>
    <row r="1250" ht="49" customHeight="1">
      <c r="A1250" s="23" t="inlineStr">
        <is>
          <t>R825-v2</t>
        </is>
      </c>
      <c r="B1250" s="23" t="inlineStr">
        <is>
          <t>Contractor Programme / SCH-05-105</t>
        </is>
      </c>
      <c r="C1250" s="23" t="inlineStr">
        <is>
          <t>WBS Code = 1.5.2</t>
        </is>
      </c>
      <c r="D1250" s="23" t="inlineStr">
        <is>
          <t>Proposed by Source assignment; target 1.5.2 Testing and Commissioning - Dynamic Testing</t>
        </is>
      </c>
      <c r="E1250" s="23" t="inlineStr">
        <is>
          <t>None recorded</t>
        </is>
      </c>
      <c r="F1250" s="23" t="inlineStr">
        <is>
          <t>No individual professional decision recorded; Source assignment -- not individually reviewed</t>
        </is>
      </c>
      <c r="G1250" s="23" t="inlineStr">
        <is>
          <t>Not individually decided</t>
        </is>
      </c>
      <c r="H1250" s="23" t="inlineStr">
        <is>
          <t xml:space="preserve">RETAINED / ONE_TO_ONE; </t>
        </is>
      </c>
      <c r="I1250" s="23" t="inlineStr">
        <is>
          <t>Carried forward</t>
        </is>
      </c>
      <c r="J1250" s="14" t="inlineStr">
        <is>
          <t>08 CROSSWALK</t>
        </is>
      </c>
    </row>
    <row r="1251" ht="49" customHeight="1">
      <c r="A1251" s="23" t="inlineStr">
        <is>
          <t>R828-v2</t>
        </is>
      </c>
      <c r="B1251" s="23" t="inlineStr">
        <is>
          <t>Contractor Programme / SCH-05-108</t>
        </is>
      </c>
      <c r="C1251" s="23" t="inlineStr">
        <is>
          <t>WBS Code = 1.5.2</t>
        </is>
      </c>
      <c r="D1251" s="23" t="inlineStr">
        <is>
          <t>Proposed by Source assignment; target 1.5.2 Testing and Commissioning - Dynamic Testing</t>
        </is>
      </c>
      <c r="E1251" s="23" t="inlineStr">
        <is>
          <t>None recorded</t>
        </is>
      </c>
      <c r="F1251" s="23" t="inlineStr">
        <is>
          <t>No individual professional decision recorded; Source assignment -- not individually reviewed</t>
        </is>
      </c>
      <c r="G1251" s="23" t="inlineStr">
        <is>
          <t>Not individually decided</t>
        </is>
      </c>
      <c r="H1251" s="23" t="inlineStr">
        <is>
          <t xml:space="preserve">RETAINED / ONE_TO_ONE; </t>
        </is>
      </c>
      <c r="I1251" s="23" t="inlineStr">
        <is>
          <t>Carried forward</t>
        </is>
      </c>
      <c r="J1251" s="14" t="inlineStr">
        <is>
          <t>08 CROSSWALK</t>
        </is>
      </c>
    </row>
    <row r="1252" ht="49" customHeight="1">
      <c r="A1252" s="23" t="inlineStr">
        <is>
          <t>R831-v2</t>
        </is>
      </c>
      <c r="B1252" s="23" t="inlineStr">
        <is>
          <t>Contractor Programme / SCH-05-111</t>
        </is>
      </c>
      <c r="C1252" s="23" t="inlineStr">
        <is>
          <t>WBS Code = 1.5.2</t>
        </is>
      </c>
      <c r="D1252" s="23" t="inlineStr">
        <is>
          <t>Proposed by Source assignment; target 1.5.2 Testing and Commissioning - Dynamic Testing</t>
        </is>
      </c>
      <c r="E1252" s="23" t="inlineStr">
        <is>
          <t>None recorded</t>
        </is>
      </c>
      <c r="F1252" s="23" t="inlineStr">
        <is>
          <t>No individual professional decision recorded; Source assignment -- not individually reviewed</t>
        </is>
      </c>
      <c r="G1252" s="23" t="inlineStr">
        <is>
          <t>Not individually decided</t>
        </is>
      </c>
      <c r="H1252" s="23" t="inlineStr">
        <is>
          <t xml:space="preserve">RETAINED / ONE_TO_ONE; </t>
        </is>
      </c>
      <c r="I1252" s="23" t="inlineStr">
        <is>
          <t>Carried forward</t>
        </is>
      </c>
      <c r="J1252" s="14" t="inlineStr">
        <is>
          <t>08 CROSSWALK</t>
        </is>
      </c>
    </row>
    <row r="1253" ht="49" customHeight="1">
      <c r="A1253" s="23" t="inlineStr">
        <is>
          <t>R834-v2</t>
        </is>
      </c>
      <c r="B1253" s="23" t="inlineStr">
        <is>
          <t>Contractor Programme / SCH-05-114</t>
        </is>
      </c>
      <c r="C1253" s="23" t="inlineStr">
        <is>
          <t>WBS Code = 1.5.2</t>
        </is>
      </c>
      <c r="D1253" s="23" t="inlineStr">
        <is>
          <t>Proposed by Source assignment; target 1.5.2 Testing and Commissioning - Dynamic Testing</t>
        </is>
      </c>
      <c r="E1253" s="23" t="inlineStr">
        <is>
          <t>None recorded</t>
        </is>
      </c>
      <c r="F1253" s="23" t="inlineStr">
        <is>
          <t>No individual professional decision recorded; Source assignment -- not individually reviewed</t>
        </is>
      </c>
      <c r="G1253" s="23" t="inlineStr">
        <is>
          <t>Not individually decided</t>
        </is>
      </c>
      <c r="H1253" s="23" t="inlineStr">
        <is>
          <t xml:space="preserve">RETAINED / ONE_TO_ONE; </t>
        </is>
      </c>
      <c r="I1253" s="23" t="inlineStr">
        <is>
          <t>Carried forward</t>
        </is>
      </c>
      <c r="J1253" s="14" t="inlineStr">
        <is>
          <t>08 CROSSWALK</t>
        </is>
      </c>
    </row>
    <row r="1254" ht="49" customHeight="1">
      <c r="A1254" s="23" t="inlineStr">
        <is>
          <t>R837-v2</t>
        </is>
      </c>
      <c r="B1254" s="23" t="inlineStr">
        <is>
          <t>Contractor Programme / SCH-05-117</t>
        </is>
      </c>
      <c r="C1254" s="23" t="inlineStr">
        <is>
          <t>WBS Code = 1.5.2</t>
        </is>
      </c>
      <c r="D1254" s="23" t="inlineStr">
        <is>
          <t>Proposed by Source assignment; target 1.5.2 Testing and Commissioning - Dynamic Testing</t>
        </is>
      </c>
      <c r="E1254" s="23" t="inlineStr">
        <is>
          <t>None recorded</t>
        </is>
      </c>
      <c r="F1254" s="23" t="inlineStr">
        <is>
          <t>No individual professional decision recorded; Source assignment -- not individually reviewed</t>
        </is>
      </c>
      <c r="G1254" s="23" t="inlineStr">
        <is>
          <t>Not individually decided</t>
        </is>
      </c>
      <c r="H1254" s="23" t="inlineStr">
        <is>
          <t xml:space="preserve">RETAINED / ONE_TO_ONE; </t>
        </is>
      </c>
      <c r="I1254" s="23" t="inlineStr">
        <is>
          <t>Carried forward</t>
        </is>
      </c>
      <c r="J1254" s="14" t="inlineStr">
        <is>
          <t>08 CROSSWALK</t>
        </is>
      </c>
    </row>
    <row r="1255" ht="49" customHeight="1">
      <c r="A1255" s="23" t="inlineStr">
        <is>
          <t>R840-v2</t>
        </is>
      </c>
      <c r="B1255" s="23" t="inlineStr">
        <is>
          <t>Contractor Programme / SCH-05-120</t>
        </is>
      </c>
      <c r="C1255" s="23" t="inlineStr">
        <is>
          <t>WBS Code = 1.5.2</t>
        </is>
      </c>
      <c r="D1255" s="23" t="inlineStr">
        <is>
          <t>Proposed by Source assignment; target 1.5.2 Testing and Commissioning - Dynamic Testing</t>
        </is>
      </c>
      <c r="E1255" s="23" t="inlineStr">
        <is>
          <t>None recorded</t>
        </is>
      </c>
      <c r="F1255" s="23" t="inlineStr">
        <is>
          <t>No individual professional decision recorded; Source assignment -- not individually reviewed</t>
        </is>
      </c>
      <c r="G1255" s="23" t="inlineStr">
        <is>
          <t>Not individually decided</t>
        </is>
      </c>
      <c r="H1255" s="23" t="inlineStr">
        <is>
          <t xml:space="preserve">RETAINED / ONE_TO_ONE; </t>
        </is>
      </c>
      <c r="I1255" s="23" t="inlineStr">
        <is>
          <t>Carried forward</t>
        </is>
      </c>
      <c r="J1255" s="14" t="inlineStr">
        <is>
          <t>08 CROSSWALK</t>
        </is>
      </c>
    </row>
    <row r="1256" ht="49" customHeight="1">
      <c r="A1256" s="23" t="inlineStr">
        <is>
          <t>R843-v2</t>
        </is>
      </c>
      <c r="B1256" s="23" t="inlineStr">
        <is>
          <t>Contractor Programme / SCH-05-123</t>
        </is>
      </c>
      <c r="C1256" s="23" t="inlineStr">
        <is>
          <t>WBS Code = 1.5.2</t>
        </is>
      </c>
      <c r="D1256" s="23" t="inlineStr">
        <is>
          <t>Proposed by Source assignment; target 1.5.2 Testing and Commissioning - Dynamic Testing</t>
        </is>
      </c>
      <c r="E1256" s="23" t="inlineStr">
        <is>
          <t>None recorded</t>
        </is>
      </c>
      <c r="F1256" s="23" t="inlineStr">
        <is>
          <t>No individual professional decision recorded; Source assignment -- not individually reviewed</t>
        </is>
      </c>
      <c r="G1256" s="23" t="inlineStr">
        <is>
          <t>Not individually decided</t>
        </is>
      </c>
      <c r="H1256" s="23" t="inlineStr">
        <is>
          <t xml:space="preserve">RETAINED / ONE_TO_ONE; </t>
        </is>
      </c>
      <c r="I1256" s="23" t="inlineStr">
        <is>
          <t>Carried forward</t>
        </is>
      </c>
      <c r="J1256" s="14" t="inlineStr">
        <is>
          <t>08 CROSSWALK</t>
        </is>
      </c>
    </row>
    <row r="1257" ht="49" customHeight="1">
      <c r="A1257" s="23" t="inlineStr">
        <is>
          <t>R846-v2</t>
        </is>
      </c>
      <c r="B1257" s="23" t="inlineStr">
        <is>
          <t>Contractor Programme / SCH-05-126</t>
        </is>
      </c>
      <c r="C1257" s="23" t="inlineStr">
        <is>
          <t>WBS Code = 1.5.2</t>
        </is>
      </c>
      <c r="D1257" s="23" t="inlineStr">
        <is>
          <t>Proposed by Source assignment; target 1.5.2 Testing and Commissioning - Dynamic Testing</t>
        </is>
      </c>
      <c r="E1257" s="23" t="inlineStr">
        <is>
          <t>None recorded</t>
        </is>
      </c>
      <c r="F1257" s="23" t="inlineStr">
        <is>
          <t>No individual professional decision recorded; Source assignment -- not individually reviewed</t>
        </is>
      </c>
      <c r="G1257" s="23" t="inlineStr">
        <is>
          <t>Not individually decided</t>
        </is>
      </c>
      <c r="H1257" s="23" t="inlineStr">
        <is>
          <t xml:space="preserve">RETAINED / ONE_TO_ONE; </t>
        </is>
      </c>
      <c r="I1257" s="23" t="inlineStr">
        <is>
          <t>Carried forward</t>
        </is>
      </c>
      <c r="J1257" s="14" t="inlineStr">
        <is>
          <t>08 CROSSWALK</t>
        </is>
      </c>
    </row>
    <row r="1258" ht="49" customHeight="1">
      <c r="A1258" s="23" t="inlineStr">
        <is>
          <t>R849-v2</t>
        </is>
      </c>
      <c r="B1258" s="23" t="inlineStr">
        <is>
          <t>Contractor Programme / SCH-05-129</t>
        </is>
      </c>
      <c r="C1258" s="23" t="inlineStr">
        <is>
          <t>WBS Code = 1.5.2</t>
        </is>
      </c>
      <c r="D1258" s="23" t="inlineStr">
        <is>
          <t>Proposed by Source assignment; target 1.5.2 Testing and Commissioning - Dynamic Testing</t>
        </is>
      </c>
      <c r="E1258" s="23" t="inlineStr">
        <is>
          <t>None recorded</t>
        </is>
      </c>
      <c r="F1258" s="23" t="inlineStr">
        <is>
          <t>No individual professional decision recorded; Source assignment -- not individually reviewed</t>
        </is>
      </c>
      <c r="G1258" s="23" t="inlineStr">
        <is>
          <t>Not individually decided</t>
        </is>
      </c>
      <c r="H1258" s="23" t="inlineStr">
        <is>
          <t xml:space="preserve">RETAINED / ONE_TO_ONE; </t>
        </is>
      </c>
      <c r="I1258" s="23" t="inlineStr">
        <is>
          <t>Carried forward</t>
        </is>
      </c>
      <c r="J1258" s="14" t="inlineStr">
        <is>
          <t>08 CROSSWALK</t>
        </is>
      </c>
    </row>
    <row r="1259" ht="49" customHeight="1">
      <c r="A1259" s="23" t="inlineStr">
        <is>
          <t>R852-v2</t>
        </is>
      </c>
      <c r="B1259" s="23" t="inlineStr">
        <is>
          <t>Contractor Programme / SCH-05-132</t>
        </is>
      </c>
      <c r="C1259" s="23" t="inlineStr">
        <is>
          <t>WBS Code = 1.5.2</t>
        </is>
      </c>
      <c r="D1259" s="23" t="inlineStr">
        <is>
          <t>Proposed by Source assignment; target 1.5.2 Testing and Commissioning - Dynamic Testing</t>
        </is>
      </c>
      <c r="E1259" s="23" t="inlineStr">
        <is>
          <t>None recorded</t>
        </is>
      </c>
      <c r="F1259" s="23" t="inlineStr">
        <is>
          <t>No individual professional decision recorded; Source assignment -- not individually reviewed</t>
        </is>
      </c>
      <c r="G1259" s="23" t="inlineStr">
        <is>
          <t>Not individually decided</t>
        </is>
      </c>
      <c r="H1259" s="23" t="inlineStr">
        <is>
          <t xml:space="preserve">RETAINED / ONE_TO_ONE; </t>
        </is>
      </c>
      <c r="I1259" s="23" t="inlineStr">
        <is>
          <t>Carried forward</t>
        </is>
      </c>
      <c r="J1259" s="14" t="inlineStr">
        <is>
          <t>08 CROSSWALK</t>
        </is>
      </c>
    </row>
    <row r="1260" ht="49" customHeight="1">
      <c r="A1260" s="23" t="inlineStr">
        <is>
          <t>R855-v2</t>
        </is>
      </c>
      <c r="B1260" s="23" t="inlineStr">
        <is>
          <t>Contractor Programme / SCH-05-135</t>
        </is>
      </c>
      <c r="C1260" s="23" t="inlineStr">
        <is>
          <t>WBS Code = 1.5.2</t>
        </is>
      </c>
      <c r="D1260" s="23" t="inlineStr">
        <is>
          <t>Proposed by Source assignment; target 1.5.2 Testing and Commissioning - Dynamic Testing</t>
        </is>
      </c>
      <c r="E1260" s="23" t="inlineStr">
        <is>
          <t>None recorded</t>
        </is>
      </c>
      <c r="F1260" s="23" t="inlineStr">
        <is>
          <t>No individual professional decision recorded; Source assignment -- not individually reviewed</t>
        </is>
      </c>
      <c r="G1260" s="23" t="inlineStr">
        <is>
          <t>Not individually decided</t>
        </is>
      </c>
      <c r="H1260" s="23" t="inlineStr">
        <is>
          <t xml:space="preserve">RETAINED / ONE_TO_ONE; </t>
        </is>
      </c>
      <c r="I1260" s="23" t="inlineStr">
        <is>
          <t>Carried forward</t>
        </is>
      </c>
      <c r="J1260" s="14" t="inlineStr">
        <is>
          <t>08 CROSSWALK</t>
        </is>
      </c>
    </row>
    <row r="1261" ht="49" customHeight="1">
      <c r="A1261" s="23" t="inlineStr">
        <is>
          <t>R858-v2</t>
        </is>
      </c>
      <c r="B1261" s="23" t="inlineStr">
        <is>
          <t>Contractor Programme / SCH-05-138</t>
        </is>
      </c>
      <c r="C1261" s="23" t="inlineStr">
        <is>
          <t>WBS Code = 1.5.2</t>
        </is>
      </c>
      <c r="D1261" s="23" t="inlineStr">
        <is>
          <t>Proposed by Source assignment; target 1.5.2 Testing and Commissioning - Dynamic Testing</t>
        </is>
      </c>
      <c r="E1261" s="23" t="inlineStr">
        <is>
          <t>None recorded</t>
        </is>
      </c>
      <c r="F1261" s="23" t="inlineStr">
        <is>
          <t>No individual professional decision recorded; Source assignment -- not individually reviewed</t>
        </is>
      </c>
      <c r="G1261" s="23" t="inlineStr">
        <is>
          <t>Not individually decided</t>
        </is>
      </c>
      <c r="H1261" s="23" t="inlineStr">
        <is>
          <t xml:space="preserve">RETAINED / ONE_TO_ONE; </t>
        </is>
      </c>
      <c r="I1261" s="23" t="inlineStr">
        <is>
          <t>Carried forward</t>
        </is>
      </c>
      <c r="J1261" s="14" t="inlineStr">
        <is>
          <t>08 CROSSWALK</t>
        </is>
      </c>
    </row>
    <row r="1262" ht="49" customHeight="1">
      <c r="A1262" s="23" t="inlineStr">
        <is>
          <t>R861-v2</t>
        </is>
      </c>
      <c r="B1262" s="23" t="inlineStr">
        <is>
          <t>Contractor Programme / SCH-05-141</t>
        </is>
      </c>
      <c r="C1262" s="23" t="inlineStr">
        <is>
          <t>WBS Code = 1.5.2</t>
        </is>
      </c>
      <c r="D1262" s="23" t="inlineStr">
        <is>
          <t>Proposed by Source assignment; target 1.5.2 Testing and Commissioning - Dynamic Testing</t>
        </is>
      </c>
      <c r="E1262" s="23" t="inlineStr">
        <is>
          <t>None recorded</t>
        </is>
      </c>
      <c r="F1262" s="23" t="inlineStr">
        <is>
          <t>No individual professional decision recorded; Source assignment -- not individually reviewed</t>
        </is>
      </c>
      <c r="G1262" s="23" t="inlineStr">
        <is>
          <t>Not individually decided</t>
        </is>
      </c>
      <c r="H1262" s="23" t="inlineStr">
        <is>
          <t xml:space="preserve">RETAINED / ONE_TO_ONE; </t>
        </is>
      </c>
      <c r="I1262" s="23" t="inlineStr">
        <is>
          <t>Carried forward</t>
        </is>
      </c>
      <c r="J1262" s="14" t="inlineStr">
        <is>
          <t>08 CROSSWALK</t>
        </is>
      </c>
    </row>
    <row r="1263" ht="49" customHeight="1">
      <c r="A1263" s="23" t="inlineStr">
        <is>
          <t>R864-v2</t>
        </is>
      </c>
      <c r="B1263" s="23" t="inlineStr">
        <is>
          <t>Contractor Programme / SCH-05-144</t>
        </is>
      </c>
      <c r="C1263" s="23" t="inlineStr">
        <is>
          <t>WBS Code = 1.5.2</t>
        </is>
      </c>
      <c r="D1263" s="23" t="inlineStr">
        <is>
          <t>Proposed by Source assignment; target 1.5.2 Testing and Commissioning - Dynamic Testing</t>
        </is>
      </c>
      <c r="E1263" s="23" t="inlineStr">
        <is>
          <t>None recorded</t>
        </is>
      </c>
      <c r="F1263" s="23" t="inlineStr">
        <is>
          <t>No individual professional decision recorded; Source assignment -- not individually reviewed</t>
        </is>
      </c>
      <c r="G1263" s="23" t="inlineStr">
        <is>
          <t>Not individually decided</t>
        </is>
      </c>
      <c r="H1263" s="23" t="inlineStr">
        <is>
          <t xml:space="preserve">RETAINED / ONE_TO_ONE; </t>
        </is>
      </c>
      <c r="I1263" s="23" t="inlineStr">
        <is>
          <t>Carried forward</t>
        </is>
      </c>
      <c r="J1263" s="14" t="inlineStr">
        <is>
          <t>08 CROSSWALK</t>
        </is>
      </c>
    </row>
    <row r="1264" ht="49" customHeight="1">
      <c r="A1264" s="23" t="inlineStr">
        <is>
          <t>R867-v2</t>
        </is>
      </c>
      <c r="B1264" s="23" t="inlineStr">
        <is>
          <t>Contractor Programme / SCH-05-147</t>
        </is>
      </c>
      <c r="C1264" s="23" t="inlineStr">
        <is>
          <t>WBS Code = 1.5.2</t>
        </is>
      </c>
      <c r="D1264" s="23" t="inlineStr">
        <is>
          <t>Proposed by Source assignment; target 1.5.2 Testing and Commissioning - Dynamic Testing</t>
        </is>
      </c>
      <c r="E1264" s="23" t="inlineStr">
        <is>
          <t>None recorded</t>
        </is>
      </c>
      <c r="F1264" s="23" t="inlineStr">
        <is>
          <t>No individual professional decision recorded; Source assignment -- not individually reviewed</t>
        </is>
      </c>
      <c r="G1264" s="23" t="inlineStr">
        <is>
          <t>Not individually decided</t>
        </is>
      </c>
      <c r="H1264" s="23" t="inlineStr">
        <is>
          <t xml:space="preserve">RETAINED / ONE_TO_ONE; </t>
        </is>
      </c>
      <c r="I1264" s="23" t="inlineStr">
        <is>
          <t>Carried forward</t>
        </is>
      </c>
      <c r="J1264" s="14" t="inlineStr">
        <is>
          <t>08 CROSSWALK</t>
        </is>
      </c>
    </row>
    <row r="1265" ht="49" customHeight="1">
      <c r="A1265" s="23" t="inlineStr">
        <is>
          <t>R870-v2</t>
        </is>
      </c>
      <c r="B1265" s="23" t="inlineStr">
        <is>
          <t>Contractor Programme / SCH-05-150</t>
        </is>
      </c>
      <c r="C1265" s="23" t="inlineStr">
        <is>
          <t>WBS Code = 1.5.2</t>
        </is>
      </c>
      <c r="D1265" s="23" t="inlineStr">
        <is>
          <t>Proposed by Source assignment; target 1.5.2 Testing and Commissioning - Dynamic Testing</t>
        </is>
      </c>
      <c r="E1265" s="23" t="inlineStr">
        <is>
          <t>None recorded</t>
        </is>
      </c>
      <c r="F1265" s="23" t="inlineStr">
        <is>
          <t>No individual professional decision recorded; Source assignment -- not individually reviewed</t>
        </is>
      </c>
      <c r="G1265" s="23" t="inlineStr">
        <is>
          <t>Not individually decided</t>
        </is>
      </c>
      <c r="H1265" s="23" t="inlineStr">
        <is>
          <t xml:space="preserve">RETAINED / ONE_TO_ONE; </t>
        </is>
      </c>
      <c r="I1265" s="23" t="inlineStr">
        <is>
          <t>Carried forward</t>
        </is>
      </c>
      <c r="J1265" s="14" t="inlineStr">
        <is>
          <t>08 CROSSWALK</t>
        </is>
      </c>
    </row>
    <row r="1266" ht="49" customHeight="1">
      <c r="A1266" s="23" t="inlineStr">
        <is>
          <t>R873-v2</t>
        </is>
      </c>
      <c r="B1266" s="23" t="inlineStr">
        <is>
          <t>Contractor Programme / SCH-05-153</t>
        </is>
      </c>
      <c r="C1266" s="23" t="inlineStr">
        <is>
          <t>WBS Code = 1.5.2</t>
        </is>
      </c>
      <c r="D1266" s="23" t="inlineStr">
        <is>
          <t>Proposed by Source assignment; target 1.5.2 Testing and Commissioning - Dynamic Testing</t>
        </is>
      </c>
      <c r="E1266" s="23" t="inlineStr">
        <is>
          <t>None recorded</t>
        </is>
      </c>
      <c r="F1266" s="23" t="inlineStr">
        <is>
          <t>No individual professional decision recorded; Source assignment -- not individually reviewed</t>
        </is>
      </c>
      <c r="G1266" s="23" t="inlineStr">
        <is>
          <t>Not individually decided</t>
        </is>
      </c>
      <c r="H1266" s="23" t="inlineStr">
        <is>
          <t xml:space="preserve">RETAINED / ONE_TO_ONE; </t>
        </is>
      </c>
      <c r="I1266" s="23" t="inlineStr">
        <is>
          <t>Carried forward</t>
        </is>
      </c>
      <c r="J1266" s="14" t="inlineStr">
        <is>
          <t>08 CROSSWALK</t>
        </is>
      </c>
    </row>
    <row r="1267" ht="49" customHeight="1">
      <c r="A1267" s="23" t="inlineStr">
        <is>
          <t>R876-v2</t>
        </is>
      </c>
      <c r="B1267" s="23" t="inlineStr">
        <is>
          <t>Contractor Programme / SCH-05-156</t>
        </is>
      </c>
      <c r="C1267" s="23" t="inlineStr">
        <is>
          <t>WBS Code = 1.5.2</t>
        </is>
      </c>
      <c r="D1267" s="23" t="inlineStr">
        <is>
          <t>Proposed by Source assignment; target 1.5.2 Testing and Commissioning - Dynamic Testing</t>
        </is>
      </c>
      <c r="E1267" s="23" t="inlineStr">
        <is>
          <t>None recorded</t>
        </is>
      </c>
      <c r="F1267" s="23" t="inlineStr">
        <is>
          <t>No individual professional decision recorded; Source assignment -- not individually reviewed</t>
        </is>
      </c>
      <c r="G1267" s="23" t="inlineStr">
        <is>
          <t>Not individually decided</t>
        </is>
      </c>
      <c r="H1267" s="23" t="inlineStr">
        <is>
          <t xml:space="preserve">RETAINED / ONE_TO_ONE; </t>
        </is>
      </c>
      <c r="I1267" s="23" t="inlineStr">
        <is>
          <t>Carried forward</t>
        </is>
      </c>
      <c r="J1267" s="14" t="inlineStr">
        <is>
          <t>08 CROSSWALK</t>
        </is>
      </c>
    </row>
    <row r="1268" ht="49" customHeight="1">
      <c r="A1268" s="23" t="inlineStr">
        <is>
          <t>R879-v2</t>
        </is>
      </c>
      <c r="B1268" s="23" t="inlineStr">
        <is>
          <t>Contractor Programme / SCH-05-159</t>
        </is>
      </c>
      <c r="C1268" s="23" t="inlineStr">
        <is>
          <t>WBS Code = 1.5.2</t>
        </is>
      </c>
      <c r="D1268" s="23" t="inlineStr">
        <is>
          <t>Proposed by Source assignment; target 1.5.2 Testing and Commissioning - Dynamic Testing</t>
        </is>
      </c>
      <c r="E1268" s="23" t="inlineStr">
        <is>
          <t>None recorded</t>
        </is>
      </c>
      <c r="F1268" s="23" t="inlineStr">
        <is>
          <t>No individual professional decision recorded; Source assignment -- not individually reviewed</t>
        </is>
      </c>
      <c r="G1268" s="23" t="inlineStr">
        <is>
          <t>Not individually decided</t>
        </is>
      </c>
      <c r="H1268" s="23" t="inlineStr">
        <is>
          <t xml:space="preserve">RETAINED / ONE_TO_ONE; </t>
        </is>
      </c>
      <c r="I1268" s="23" t="inlineStr">
        <is>
          <t>Carried forward</t>
        </is>
      </c>
      <c r="J1268" s="14" t="inlineStr">
        <is>
          <t>08 CROSSWALK</t>
        </is>
      </c>
    </row>
    <row r="1269" ht="49" customHeight="1">
      <c r="A1269" s="23" t="inlineStr">
        <is>
          <t>R882-v2</t>
        </is>
      </c>
      <c r="B1269" s="23" t="inlineStr">
        <is>
          <t>Contractor Programme / SCH-05-162</t>
        </is>
      </c>
      <c r="C1269" s="23" t="inlineStr">
        <is>
          <t>WBS Code = 1.5.2</t>
        </is>
      </c>
      <c r="D1269" s="23" t="inlineStr">
        <is>
          <t>Proposed by Source assignment; target 1.5.2 Testing and Commissioning - Dynamic Testing</t>
        </is>
      </c>
      <c r="E1269" s="23" t="inlineStr">
        <is>
          <t>None recorded</t>
        </is>
      </c>
      <c r="F1269" s="23" t="inlineStr">
        <is>
          <t>No individual professional decision recorded; Source assignment -- not individually reviewed</t>
        </is>
      </c>
      <c r="G1269" s="23" t="inlineStr">
        <is>
          <t>Not individually decided</t>
        </is>
      </c>
      <c r="H1269" s="23" t="inlineStr">
        <is>
          <t xml:space="preserve">RETAINED / ONE_TO_ONE; </t>
        </is>
      </c>
      <c r="I1269" s="23" t="inlineStr">
        <is>
          <t>Carried forward</t>
        </is>
      </c>
      <c r="J1269" s="14" t="inlineStr">
        <is>
          <t>08 CROSSWALK</t>
        </is>
      </c>
    </row>
    <row r="1270" ht="49" customHeight="1">
      <c r="A1270" s="23" t="inlineStr">
        <is>
          <t>R885-v2</t>
        </is>
      </c>
      <c r="B1270" s="23" t="inlineStr">
        <is>
          <t>Contractor Programme / SCH-05-165</t>
        </is>
      </c>
      <c r="C1270" s="23" t="inlineStr">
        <is>
          <t>WBS Code = 1.5.2</t>
        </is>
      </c>
      <c r="D1270" s="23" t="inlineStr">
        <is>
          <t>Proposed by Source assignment; target 1.5.2 Testing and Commissioning - Dynamic Testing</t>
        </is>
      </c>
      <c r="E1270" s="23" t="inlineStr">
        <is>
          <t>None recorded</t>
        </is>
      </c>
      <c r="F1270" s="23" t="inlineStr">
        <is>
          <t>No individual professional decision recorded; Source assignment -- not individually reviewed</t>
        </is>
      </c>
      <c r="G1270" s="23" t="inlineStr">
        <is>
          <t>Not individually decided</t>
        </is>
      </c>
      <c r="H1270" s="23" t="inlineStr">
        <is>
          <t xml:space="preserve">RETAINED / ONE_TO_ONE; </t>
        </is>
      </c>
      <c r="I1270" s="23" t="inlineStr">
        <is>
          <t>Carried forward</t>
        </is>
      </c>
      <c r="J1270" s="14" t="inlineStr">
        <is>
          <t>08 CROSSWALK</t>
        </is>
      </c>
    </row>
    <row r="1271" ht="49" customHeight="1">
      <c r="A1271" s="23" t="inlineStr">
        <is>
          <t>R888-v2</t>
        </is>
      </c>
      <c r="B1271" s="23" t="inlineStr">
        <is>
          <t>Contractor Programme / SCH-05-168</t>
        </is>
      </c>
      <c r="C1271" s="23" t="inlineStr">
        <is>
          <t>WBS Code = 1.5.2</t>
        </is>
      </c>
      <c r="D1271" s="23" t="inlineStr">
        <is>
          <t>Proposed by Source assignment; target 1.5.2 Testing and Commissioning - Dynamic Testing</t>
        </is>
      </c>
      <c r="E1271" s="23" t="inlineStr">
        <is>
          <t>None recorded</t>
        </is>
      </c>
      <c r="F1271" s="23" t="inlineStr">
        <is>
          <t>No individual professional decision recorded; Source assignment -- not individually reviewed</t>
        </is>
      </c>
      <c r="G1271" s="23" t="inlineStr">
        <is>
          <t>Not individually decided</t>
        </is>
      </c>
      <c r="H1271" s="23" t="inlineStr">
        <is>
          <t xml:space="preserve">RETAINED / ONE_TO_ONE; </t>
        </is>
      </c>
      <c r="I1271" s="23" t="inlineStr">
        <is>
          <t>Carried forward</t>
        </is>
      </c>
      <c r="J1271" s="14" t="inlineStr">
        <is>
          <t>08 CROSSWALK</t>
        </is>
      </c>
    </row>
    <row r="1272" ht="49" customHeight="1">
      <c r="A1272" s="23" t="inlineStr">
        <is>
          <t>R891-v2</t>
        </is>
      </c>
      <c r="B1272" s="23" t="inlineStr">
        <is>
          <t>Contractor Programme / SCH-05-171</t>
        </is>
      </c>
      <c r="C1272" s="23" t="inlineStr">
        <is>
          <t>WBS Code = 1.5.2</t>
        </is>
      </c>
      <c r="D1272" s="23" t="inlineStr">
        <is>
          <t>Proposed by Source assignment; target 1.5.2 Testing and Commissioning - Dynamic Testing</t>
        </is>
      </c>
      <c r="E1272" s="23" t="inlineStr">
        <is>
          <t>None recorded</t>
        </is>
      </c>
      <c r="F1272" s="23" t="inlineStr">
        <is>
          <t>No individual professional decision recorded; Source assignment -- not individually reviewed</t>
        </is>
      </c>
      <c r="G1272" s="23" t="inlineStr">
        <is>
          <t>Not individually decided</t>
        </is>
      </c>
      <c r="H1272" s="23" t="inlineStr">
        <is>
          <t xml:space="preserve">RETAINED / ONE_TO_ONE; </t>
        </is>
      </c>
      <c r="I1272" s="23" t="inlineStr">
        <is>
          <t>Carried forward</t>
        </is>
      </c>
      <c r="J1272" s="14" t="inlineStr">
        <is>
          <t>08 CROSSWALK</t>
        </is>
      </c>
    </row>
    <row r="1273" ht="49" customHeight="1">
      <c r="A1273" s="23" t="inlineStr">
        <is>
          <t>R894-v2</t>
        </is>
      </c>
      <c r="B1273" s="23" t="inlineStr">
        <is>
          <t>Contractor Programme / SCH-05-174</t>
        </is>
      </c>
      <c r="C1273" s="23" t="inlineStr">
        <is>
          <t>WBS Code = 1.5.2</t>
        </is>
      </c>
      <c r="D1273" s="23" t="inlineStr">
        <is>
          <t>Proposed by Source assignment; target 1.5.2 Testing and Commissioning - Dynamic Testing</t>
        </is>
      </c>
      <c r="E1273" s="23" t="inlineStr">
        <is>
          <t>None recorded</t>
        </is>
      </c>
      <c r="F1273" s="23" t="inlineStr">
        <is>
          <t>No individual professional decision recorded; Source assignment -- not individually reviewed</t>
        </is>
      </c>
      <c r="G1273" s="23" t="inlineStr">
        <is>
          <t>Not individually decided</t>
        </is>
      </c>
      <c r="H1273" s="23" t="inlineStr">
        <is>
          <t xml:space="preserve">RETAINED / ONE_TO_ONE; </t>
        </is>
      </c>
      <c r="I1273" s="23" t="inlineStr">
        <is>
          <t>Carried forward</t>
        </is>
      </c>
      <c r="J1273" s="14" t="inlineStr">
        <is>
          <t>08 CROSSWALK</t>
        </is>
      </c>
    </row>
    <row r="1274" ht="49" customHeight="1">
      <c r="A1274" s="23" t="inlineStr">
        <is>
          <t>R897-v2</t>
        </is>
      </c>
      <c r="B1274" s="23" t="inlineStr">
        <is>
          <t>Contractor Programme / SCH-05-177</t>
        </is>
      </c>
      <c r="C1274" s="23" t="inlineStr">
        <is>
          <t>WBS Code = 1.5.2</t>
        </is>
      </c>
      <c r="D1274" s="23" t="inlineStr">
        <is>
          <t>Proposed by Source assignment; target 1.5.2 Testing and Commissioning - Dynamic Testing</t>
        </is>
      </c>
      <c r="E1274" s="23" t="inlineStr">
        <is>
          <t>None recorded</t>
        </is>
      </c>
      <c r="F1274" s="23" t="inlineStr">
        <is>
          <t>No individual professional decision recorded; Source assignment -- not individually reviewed</t>
        </is>
      </c>
      <c r="G1274" s="23" t="inlineStr">
        <is>
          <t>Not individually decided</t>
        </is>
      </c>
      <c r="H1274" s="23" t="inlineStr">
        <is>
          <t xml:space="preserve">RETAINED / ONE_TO_ONE; </t>
        </is>
      </c>
      <c r="I1274" s="23" t="inlineStr">
        <is>
          <t>Carried forward</t>
        </is>
      </c>
      <c r="J1274" s="14" t="inlineStr">
        <is>
          <t>08 CROSSWALK</t>
        </is>
      </c>
    </row>
    <row r="1275" ht="49" customHeight="1">
      <c r="A1275" s="23" t="inlineStr">
        <is>
          <t>R900-v2</t>
        </is>
      </c>
      <c r="B1275" s="23" t="inlineStr">
        <is>
          <t>Contractor Programme / SCH-05-180</t>
        </is>
      </c>
      <c r="C1275" s="23" t="inlineStr">
        <is>
          <t>WBS Code = 1.5.2</t>
        </is>
      </c>
      <c r="D1275" s="23" t="inlineStr">
        <is>
          <t>Proposed by Source assignment; target 1.5.2 Testing and Commissioning - Dynamic Testing</t>
        </is>
      </c>
      <c r="E1275" s="23" t="inlineStr">
        <is>
          <t>None recorded</t>
        </is>
      </c>
      <c r="F1275" s="23" t="inlineStr">
        <is>
          <t>No individual professional decision recorded; Source assignment -- not individually reviewed</t>
        </is>
      </c>
      <c r="G1275" s="23" t="inlineStr">
        <is>
          <t>Not individually decided</t>
        </is>
      </c>
      <c r="H1275" s="23" t="inlineStr">
        <is>
          <t xml:space="preserve">RETAINED / ONE_TO_ONE; </t>
        </is>
      </c>
      <c r="I1275" s="23" t="inlineStr">
        <is>
          <t>Carried forward</t>
        </is>
      </c>
      <c r="J1275" s="14" t="inlineStr">
        <is>
          <t>08 CROSSWALK</t>
        </is>
      </c>
    </row>
    <row r="1276" ht="49" customHeight="1">
      <c r="A1276" s="23" t="inlineStr">
        <is>
          <t>R1613-v2</t>
        </is>
      </c>
      <c r="B1276" s="23" t="inlineStr">
        <is>
          <t>Commercial Package Register / PKG-051</t>
        </is>
      </c>
      <c r="C1276" s="23" t="inlineStr">
        <is>
          <t>Package Code = PK-601; WBS Code = 1.6</t>
        </is>
      </c>
      <c r="D1276" s="23" t="inlineStr">
        <is>
          <t>Proposed by Source assignment; target 1.6 Program Management</t>
        </is>
      </c>
      <c r="E1276" s="23" t="inlineStr">
        <is>
          <t>None recorded</t>
        </is>
      </c>
      <c r="F1276" s="23" t="inlineStr">
        <is>
          <t>No individual professional decision recorded; Source assignment -- not individually reviewed</t>
        </is>
      </c>
      <c r="G1276" s="23" t="inlineStr">
        <is>
          <t>Not individually decided</t>
        </is>
      </c>
      <c r="H1276" s="23" t="inlineStr">
        <is>
          <t xml:space="preserve">RETAINED / ONE_TO_ONE; </t>
        </is>
      </c>
      <c r="I1276" s="23" t="inlineStr">
        <is>
          <t>Carried forward</t>
        </is>
      </c>
      <c r="J1276" s="14" t="inlineStr">
        <is>
          <t>08 CROSSWALK</t>
        </is>
      </c>
    </row>
    <row r="1277" ht="49" customHeight="1">
      <c r="A1277" s="23" t="inlineStr">
        <is>
          <t>R1614-v2</t>
        </is>
      </c>
      <c r="B1277" s="23" t="inlineStr">
        <is>
          <t>Commercial Package Register / PKG-052</t>
        </is>
      </c>
      <c r="C1277" s="23" t="inlineStr">
        <is>
          <t>Package Code = PK-602; WBS Code = 1.6</t>
        </is>
      </c>
      <c r="D1277" s="23" t="inlineStr">
        <is>
          <t>Proposed by Source assignment; target 1.6 Program Management</t>
        </is>
      </c>
      <c r="E1277" s="23" t="inlineStr">
        <is>
          <t>None recorded</t>
        </is>
      </c>
      <c r="F1277" s="23" t="inlineStr">
        <is>
          <t>No individual professional decision recorded; Source assignment -- not individually reviewed</t>
        </is>
      </c>
      <c r="G1277" s="23" t="inlineStr">
        <is>
          <t>Not individually decided</t>
        </is>
      </c>
      <c r="H1277" s="23" t="inlineStr">
        <is>
          <t xml:space="preserve">RETAINED / ONE_TO_ONE; </t>
        </is>
      </c>
      <c r="I1277" s="23" t="inlineStr">
        <is>
          <t>Carried forward</t>
        </is>
      </c>
      <c r="J1277" s="14" t="inlineStr">
        <is>
          <t>08 CROSSWALK</t>
        </is>
      </c>
    </row>
    <row r="1278" ht="49" customHeight="1">
      <c r="A1278" s="23" t="inlineStr">
        <is>
          <t>R1615-v2</t>
        </is>
      </c>
      <c r="B1278" s="23" t="inlineStr">
        <is>
          <t>Commercial Package Register / PKG-053</t>
        </is>
      </c>
      <c r="C1278" s="23" t="inlineStr">
        <is>
          <t>Package Code = PK-603; WBS Code = 1.6</t>
        </is>
      </c>
      <c r="D1278" s="23" t="inlineStr">
        <is>
          <t>Proposed by Source assignment; target 1.6 Program Management</t>
        </is>
      </c>
      <c r="E1278" s="23" t="inlineStr">
        <is>
          <t>None recorded</t>
        </is>
      </c>
      <c r="F1278" s="23" t="inlineStr">
        <is>
          <t>No individual professional decision recorded; Source assignment -- not individually reviewed</t>
        </is>
      </c>
      <c r="G1278" s="23" t="inlineStr">
        <is>
          <t>Not individually decided</t>
        </is>
      </c>
      <c r="H1278" s="23" t="inlineStr">
        <is>
          <t xml:space="preserve">RETAINED / ONE_TO_ONE; </t>
        </is>
      </c>
      <c r="I1278" s="23" t="inlineStr">
        <is>
          <t>Carried forward</t>
        </is>
      </c>
      <c r="J1278" s="14" t="inlineStr">
        <is>
          <t>08 CROSSWALK</t>
        </is>
      </c>
    </row>
    <row r="1279" ht="49" customHeight="1">
      <c r="A1279" s="23" t="inlineStr">
        <is>
          <t>R1616-v2</t>
        </is>
      </c>
      <c r="B1279" s="23" t="inlineStr">
        <is>
          <t>Commercial Package Register / PKG-054</t>
        </is>
      </c>
      <c r="C1279" s="23" t="inlineStr">
        <is>
          <t>Package Code = PK-604; WBS Code = 1.6</t>
        </is>
      </c>
      <c r="D1279" s="23" t="inlineStr">
        <is>
          <t>Proposed by Source assignment; target 1.6 Program Management</t>
        </is>
      </c>
      <c r="E1279" s="23" t="inlineStr">
        <is>
          <t>None recorded</t>
        </is>
      </c>
      <c r="F1279" s="23" t="inlineStr">
        <is>
          <t>No individual professional decision recorded; Source assignment -- not individually reviewed</t>
        </is>
      </c>
      <c r="G1279" s="23" t="inlineStr">
        <is>
          <t>Not individually decided</t>
        </is>
      </c>
      <c r="H1279" s="23" t="inlineStr">
        <is>
          <t xml:space="preserve">RETAINED / ONE_TO_ONE; </t>
        </is>
      </c>
      <c r="I1279" s="23" t="inlineStr">
        <is>
          <t>Carried forward</t>
        </is>
      </c>
      <c r="J1279" s="14" t="inlineStr">
        <is>
          <t>08 CROSSWALK</t>
        </is>
      </c>
    </row>
    <row r="1280" ht="49" customHeight="1">
      <c r="A1280" s="23" t="inlineStr">
        <is>
          <t>R1617-v2</t>
        </is>
      </c>
      <c r="B1280" s="23" t="inlineStr">
        <is>
          <t>Commercial Package Register / PKG-055</t>
        </is>
      </c>
      <c r="C1280" s="23" t="inlineStr">
        <is>
          <t>Package Code = PK-605; WBS Code = 1.6</t>
        </is>
      </c>
      <c r="D1280" s="23" t="inlineStr">
        <is>
          <t>Proposed by Source assignment; target 1.6 Program Management</t>
        </is>
      </c>
      <c r="E1280" s="23" t="inlineStr">
        <is>
          <t>None recorded</t>
        </is>
      </c>
      <c r="F1280" s="23" t="inlineStr">
        <is>
          <t>No individual professional decision recorded; Source assignment -- not individually reviewed</t>
        </is>
      </c>
      <c r="G1280" s="23" t="inlineStr">
        <is>
          <t>Not individually decided</t>
        </is>
      </c>
      <c r="H1280" s="23" t="inlineStr">
        <is>
          <t xml:space="preserve">RETAINED / ONE_TO_ONE; </t>
        </is>
      </c>
      <c r="I1280" s="23" t="inlineStr">
        <is>
          <t>Carried forward</t>
        </is>
      </c>
      <c r="J1280" s="14" t="inlineStr">
        <is>
          <t>08 CROSSWALK</t>
        </is>
      </c>
    </row>
    <row r="1281" ht="49" customHeight="1">
      <c r="A1281" s="23" t="inlineStr">
        <is>
          <t>R1618-v2</t>
        </is>
      </c>
      <c r="B1281" s="23" t="inlineStr">
        <is>
          <t>Commercial Package Register / PKG-056</t>
        </is>
      </c>
      <c r="C1281" s="23" t="inlineStr">
        <is>
          <t>Package Code = PK-606; WBS Code = 1.6</t>
        </is>
      </c>
      <c r="D1281" s="23" t="inlineStr">
        <is>
          <t>Proposed by Source assignment; target 1.6 Program Management</t>
        </is>
      </c>
      <c r="E1281" s="23" t="inlineStr">
        <is>
          <t>None recorded</t>
        </is>
      </c>
      <c r="F1281" s="23" t="inlineStr">
        <is>
          <t>No individual professional decision recorded; Source assignment -- not individually reviewed</t>
        </is>
      </c>
      <c r="G1281" s="23" t="inlineStr">
        <is>
          <t>Not individually decided</t>
        </is>
      </c>
      <c r="H1281" s="23" t="inlineStr">
        <is>
          <t xml:space="preserve">RETAINED / ONE_TO_ONE; </t>
        </is>
      </c>
      <c r="I1281" s="23" t="inlineStr">
        <is>
          <t>Carried forward</t>
        </is>
      </c>
      <c r="J1281" s="14" t="inlineStr">
        <is>
          <t>08 CROSSWALK</t>
        </is>
      </c>
    </row>
    <row r="1282" ht="49" customHeight="1">
      <c r="A1282" s="23" t="inlineStr">
        <is>
          <t>R1619-v2</t>
        </is>
      </c>
      <c r="B1282" s="23" t="inlineStr">
        <is>
          <t>Commercial Package Register / PKG-057</t>
        </is>
      </c>
      <c r="C1282" s="23" t="inlineStr">
        <is>
          <t>Package Code = PK-607; WBS Code = 1.6</t>
        </is>
      </c>
      <c r="D1282" s="23" t="inlineStr">
        <is>
          <t>Proposed by Source assignment; target 1.6 Program Management</t>
        </is>
      </c>
      <c r="E1282" s="23" t="inlineStr">
        <is>
          <t>None recorded</t>
        </is>
      </c>
      <c r="F1282" s="23" t="inlineStr">
        <is>
          <t>No individual professional decision recorded; Source assignment -- not individually reviewed</t>
        </is>
      </c>
      <c r="G1282" s="23" t="inlineStr">
        <is>
          <t>Not individually decided</t>
        </is>
      </c>
      <c r="H1282" s="23" t="inlineStr">
        <is>
          <t xml:space="preserve">RETAINED / ONE_TO_ONE; </t>
        </is>
      </c>
      <c r="I1282" s="23" t="inlineStr">
        <is>
          <t>Carried forward</t>
        </is>
      </c>
      <c r="J1282" s="14" t="inlineStr">
        <is>
          <t>08 CROSSWALK</t>
        </is>
      </c>
    </row>
    <row r="1283" ht="49" customHeight="1">
      <c r="A1283" s="23" t="inlineStr">
        <is>
          <t>R1620-v2</t>
        </is>
      </c>
      <c r="B1283" s="23" t="inlineStr">
        <is>
          <t>Commercial Package Register / PKG-058</t>
        </is>
      </c>
      <c r="C1283" s="23" t="inlineStr">
        <is>
          <t>Package Code = PK-608; WBS Code = 1.6</t>
        </is>
      </c>
      <c r="D1283" s="23" t="inlineStr">
        <is>
          <t>Proposed by Source assignment; target 1.6 Program Management</t>
        </is>
      </c>
      <c r="E1283" s="23" t="inlineStr">
        <is>
          <t>None recorded</t>
        </is>
      </c>
      <c r="F1283" s="23" t="inlineStr">
        <is>
          <t>No individual professional decision recorded; Source assignment -- not individually reviewed</t>
        </is>
      </c>
      <c r="G1283" s="23" t="inlineStr">
        <is>
          <t>Not individually decided</t>
        </is>
      </c>
      <c r="H1283" s="23" t="inlineStr">
        <is>
          <t xml:space="preserve">RETAINED / ONE_TO_ONE; </t>
        </is>
      </c>
      <c r="I1283" s="23" t="inlineStr">
        <is>
          <t>Carried forward</t>
        </is>
      </c>
      <c r="J1283" s="14" t="inlineStr">
        <is>
          <t>08 CROSSWALK</t>
        </is>
      </c>
    </row>
    <row r="1284" ht="49" customHeight="1">
      <c r="A1284" s="23" t="inlineStr">
        <is>
          <t>R1622-v2</t>
        </is>
      </c>
      <c r="B1284" s="23" t="inlineStr">
        <is>
          <t>Commercial Package Register / PKG-060</t>
        </is>
      </c>
      <c r="C1284" s="23" t="inlineStr">
        <is>
          <t>Package Code = PK-610; WBS Code = 1.6</t>
        </is>
      </c>
      <c r="D1284" s="23" t="inlineStr">
        <is>
          <t>Proposed by Source assignment; target 1.6 Program Management</t>
        </is>
      </c>
      <c r="E1284" s="23" t="inlineStr">
        <is>
          <t>None recorded</t>
        </is>
      </c>
      <c r="F1284" s="23" t="inlineStr">
        <is>
          <t>No individual professional decision recorded; Source assignment -- not individually reviewed</t>
        </is>
      </c>
      <c r="G1284" s="23" t="inlineStr">
        <is>
          <t>Not individually decided</t>
        </is>
      </c>
      <c r="H1284" s="23" t="inlineStr">
        <is>
          <t xml:space="preserve">RETAINED / ONE_TO_ONE; </t>
        </is>
      </c>
      <c r="I1284" s="23" t="inlineStr">
        <is>
          <t>Carried forward</t>
        </is>
      </c>
      <c r="J1284" s="14" t="inlineStr">
        <is>
          <t>08 CROSSWALK</t>
        </is>
      </c>
    </row>
    <row r="1285" ht="49" customHeight="1">
      <c r="A1285" s="23" t="inlineStr">
        <is>
          <t>R1483-v2</t>
        </is>
      </c>
      <c r="B1285" s="23" t="inlineStr">
        <is>
          <t>Cost &amp; Forecast Control Accounts / CST-06-001</t>
        </is>
      </c>
      <c r="C1285" s="23" t="inlineStr">
        <is>
          <t>Cost Account = CA-6001; WBS Code = 1.6.1</t>
        </is>
      </c>
      <c r="D1285" s="23" t="inlineStr">
        <is>
          <t>Proposed by Source assignment; target 1.6.1 Program Management - Program Controls</t>
        </is>
      </c>
      <c r="E1285" s="23" t="inlineStr">
        <is>
          <t>None recorded</t>
        </is>
      </c>
      <c r="F1285" s="23" t="inlineStr">
        <is>
          <t>No individual professional decision recorded; Source assignment -- not individually reviewed</t>
        </is>
      </c>
      <c r="G1285" s="23" t="inlineStr">
        <is>
          <t>Not individually decided</t>
        </is>
      </c>
      <c r="H1285" s="23" t="inlineStr">
        <is>
          <t xml:space="preserve">RETAINED / ONE_TO_ONE; </t>
        </is>
      </c>
      <c r="I1285" s="23" t="inlineStr">
        <is>
          <t>Carried forward</t>
        </is>
      </c>
      <c r="J1285" s="14" t="inlineStr">
        <is>
          <t>08 CROSSWALK</t>
        </is>
      </c>
    </row>
    <row r="1286" ht="49" customHeight="1">
      <c r="A1286" s="23" t="inlineStr">
        <is>
          <t>R1485-v2</t>
        </is>
      </c>
      <c r="B1286" s="23" t="inlineStr">
        <is>
          <t>Cost &amp; Forecast Control Accounts / CST-06-003</t>
        </is>
      </c>
      <c r="C1286" s="23" t="inlineStr">
        <is>
          <t>Cost Account = CA-6003; WBS Code = 1.6.1</t>
        </is>
      </c>
      <c r="D1286" s="23" t="inlineStr">
        <is>
          <t>Proposed by Source assignment; target 1.6.1 Program Management - Program Controls</t>
        </is>
      </c>
      <c r="E1286" s="23" t="inlineStr">
        <is>
          <t>None recorded</t>
        </is>
      </c>
      <c r="F1286" s="23" t="inlineStr">
        <is>
          <t>No individual professional decision recorded; Source assignment -- not individually reviewed</t>
        </is>
      </c>
      <c r="G1286" s="23" t="inlineStr">
        <is>
          <t>Not individually decided</t>
        </is>
      </c>
      <c r="H1286" s="23" t="inlineStr">
        <is>
          <t xml:space="preserve">RETAINED / ONE_TO_ONE; </t>
        </is>
      </c>
      <c r="I1286" s="23" t="inlineStr">
        <is>
          <t>Carried forward</t>
        </is>
      </c>
      <c r="J1286" s="14" t="inlineStr">
        <is>
          <t>08 CROSSWALK</t>
        </is>
      </c>
    </row>
    <row r="1287" ht="49" customHeight="1">
      <c r="A1287" s="23" t="inlineStr">
        <is>
          <t>R1487-v2</t>
        </is>
      </c>
      <c r="B1287" s="23" t="inlineStr">
        <is>
          <t>Cost &amp; Forecast Control Accounts / CST-06-005</t>
        </is>
      </c>
      <c r="C1287" s="23" t="inlineStr">
        <is>
          <t>Cost Account = CA-6005; WBS Code = 1.6.1</t>
        </is>
      </c>
      <c r="D1287" s="23" t="inlineStr">
        <is>
          <t>Proposed by Source assignment; target 1.6.1 Program Management - Program Controls</t>
        </is>
      </c>
      <c r="E1287" s="23" t="inlineStr">
        <is>
          <t>None recorded</t>
        </is>
      </c>
      <c r="F1287" s="23" t="inlineStr">
        <is>
          <t>No individual professional decision recorded; Source assignment -- not individually reviewed</t>
        </is>
      </c>
      <c r="G1287" s="23" t="inlineStr">
        <is>
          <t>Not individually decided</t>
        </is>
      </c>
      <c r="H1287" s="23" t="inlineStr">
        <is>
          <t xml:space="preserve">RETAINED / ONE_TO_ONE; </t>
        </is>
      </c>
      <c r="I1287" s="23" t="inlineStr">
        <is>
          <t>Carried forward</t>
        </is>
      </c>
      <c r="J1287" s="14" t="inlineStr">
        <is>
          <t>08 CROSSWALK</t>
        </is>
      </c>
    </row>
    <row r="1288" ht="49" customHeight="1">
      <c r="A1288" s="23" t="inlineStr">
        <is>
          <t>R1489-v2</t>
        </is>
      </c>
      <c r="B1288" s="23" t="inlineStr">
        <is>
          <t>Cost &amp; Forecast Control Accounts / CST-06-007</t>
        </is>
      </c>
      <c r="C1288" s="23" t="inlineStr">
        <is>
          <t>Cost Account = CA-6007; WBS Code = 1.6.1</t>
        </is>
      </c>
      <c r="D1288" s="23" t="inlineStr">
        <is>
          <t>Proposed by Source assignment; target 1.6.1 Program Management - Program Controls</t>
        </is>
      </c>
      <c r="E1288" s="23" t="inlineStr">
        <is>
          <t>None recorded</t>
        </is>
      </c>
      <c r="F1288" s="23" t="inlineStr">
        <is>
          <t>No individual professional decision recorded; Source assignment -- not individually reviewed</t>
        </is>
      </c>
      <c r="G1288" s="23" t="inlineStr">
        <is>
          <t>Not individually decided</t>
        </is>
      </c>
      <c r="H1288" s="23" t="inlineStr">
        <is>
          <t xml:space="preserve">RETAINED / ONE_TO_ONE; </t>
        </is>
      </c>
      <c r="I1288" s="23" t="inlineStr">
        <is>
          <t>Carried forward</t>
        </is>
      </c>
      <c r="J1288" s="14" t="inlineStr">
        <is>
          <t>08 CROSSWALK</t>
        </is>
      </c>
    </row>
    <row r="1289" ht="49" customHeight="1">
      <c r="A1289" s="23" t="inlineStr">
        <is>
          <t>R1491-v2</t>
        </is>
      </c>
      <c r="B1289" s="23" t="inlineStr">
        <is>
          <t>Cost &amp; Forecast Control Accounts / CST-06-009</t>
        </is>
      </c>
      <c r="C1289" s="23" t="inlineStr">
        <is>
          <t>Cost Account = CA-6009; WBS Code = 1.6.1</t>
        </is>
      </c>
      <c r="D1289" s="23" t="inlineStr">
        <is>
          <t>Proposed by Source assignment; target 1.6.1 Program Management - Program Controls</t>
        </is>
      </c>
      <c r="E1289" s="23" t="inlineStr">
        <is>
          <t>None recorded</t>
        </is>
      </c>
      <c r="F1289" s="23" t="inlineStr">
        <is>
          <t>No individual professional decision recorded; Source assignment -- not individually reviewed</t>
        </is>
      </c>
      <c r="G1289" s="23" t="inlineStr">
        <is>
          <t>Not individually decided</t>
        </is>
      </c>
      <c r="H1289" s="23" t="inlineStr">
        <is>
          <t xml:space="preserve">RETAINED / ONE_TO_ONE; </t>
        </is>
      </c>
      <c r="I1289" s="23" t="inlineStr">
        <is>
          <t>Carried forward</t>
        </is>
      </c>
      <c r="J1289" s="14" t="inlineStr">
        <is>
          <t>08 CROSSWALK</t>
        </is>
      </c>
    </row>
    <row r="1290" ht="49" customHeight="1">
      <c r="A1290" s="23" t="inlineStr">
        <is>
          <t>R1493-v2</t>
        </is>
      </c>
      <c r="B1290" s="23" t="inlineStr">
        <is>
          <t>Cost &amp; Forecast Control Accounts / CST-06-011</t>
        </is>
      </c>
      <c r="C1290" s="23" t="inlineStr">
        <is>
          <t>Cost Account = CA-6011; WBS Code = 1.6.1</t>
        </is>
      </c>
      <c r="D1290" s="23" t="inlineStr">
        <is>
          <t>Proposed by Source assignment; target 1.6.1 Program Management - Program Controls</t>
        </is>
      </c>
      <c r="E1290" s="23" t="inlineStr">
        <is>
          <t>None recorded</t>
        </is>
      </c>
      <c r="F1290" s="23" t="inlineStr">
        <is>
          <t>No individual professional decision recorded; Source assignment -- not individually reviewed</t>
        </is>
      </c>
      <c r="G1290" s="23" t="inlineStr">
        <is>
          <t>Not individually decided</t>
        </is>
      </c>
      <c r="H1290" s="23" t="inlineStr">
        <is>
          <t xml:space="preserve">RETAINED / ONE_TO_ONE; </t>
        </is>
      </c>
      <c r="I1290" s="23" t="inlineStr">
        <is>
          <t>Carried forward</t>
        </is>
      </c>
      <c r="J1290" s="14" t="inlineStr">
        <is>
          <t>08 CROSSWALK</t>
        </is>
      </c>
    </row>
    <row r="1291" ht="49" customHeight="1">
      <c r="A1291" s="23" t="inlineStr">
        <is>
          <t>R1495-v2</t>
        </is>
      </c>
      <c r="B1291" s="23" t="inlineStr">
        <is>
          <t>Cost &amp; Forecast Control Accounts / CST-06-013</t>
        </is>
      </c>
      <c r="C1291" s="23" t="inlineStr">
        <is>
          <t>Cost Account = CA-6013; WBS Code = 1.6.1</t>
        </is>
      </c>
      <c r="D1291" s="23" t="inlineStr">
        <is>
          <t>Proposed by Source assignment; target 1.6.1 Program Management - Program Controls</t>
        </is>
      </c>
      <c r="E1291" s="23" t="inlineStr">
        <is>
          <t>None recorded</t>
        </is>
      </c>
      <c r="F1291" s="23" t="inlineStr">
        <is>
          <t>No individual professional decision recorded; Source assignment -- not individually reviewed</t>
        </is>
      </c>
      <c r="G1291" s="23" t="inlineStr">
        <is>
          <t>Not individually decided</t>
        </is>
      </c>
      <c r="H1291" s="23" t="inlineStr">
        <is>
          <t xml:space="preserve">RETAINED / ONE_TO_ONE; </t>
        </is>
      </c>
      <c r="I1291" s="23" t="inlineStr">
        <is>
          <t>Carried forward</t>
        </is>
      </c>
      <c r="J1291" s="14" t="inlineStr">
        <is>
          <t>08 CROSSWALK</t>
        </is>
      </c>
    </row>
    <row r="1292" ht="49" customHeight="1">
      <c r="A1292" s="23" t="inlineStr">
        <is>
          <t>R1497-v2</t>
        </is>
      </c>
      <c r="B1292" s="23" t="inlineStr">
        <is>
          <t>Cost &amp; Forecast Control Accounts / CST-06-015</t>
        </is>
      </c>
      <c r="C1292" s="23" t="inlineStr">
        <is>
          <t>Cost Account = CA-6015; WBS Code = 1.6.1</t>
        </is>
      </c>
      <c r="D1292" s="23" t="inlineStr">
        <is>
          <t>Proposed by Source assignment; target 1.6.1 Program Management - Program Controls</t>
        </is>
      </c>
      <c r="E1292" s="23" t="inlineStr">
        <is>
          <t>None recorded</t>
        </is>
      </c>
      <c r="F1292" s="23" t="inlineStr">
        <is>
          <t>No individual professional decision recorded; Source assignment -- not individually reviewed</t>
        </is>
      </c>
      <c r="G1292" s="23" t="inlineStr">
        <is>
          <t>Not individually decided</t>
        </is>
      </c>
      <c r="H1292" s="23" t="inlineStr">
        <is>
          <t xml:space="preserve">RETAINED / ONE_TO_ONE; </t>
        </is>
      </c>
      <c r="I1292" s="23" t="inlineStr">
        <is>
          <t>Carried forward</t>
        </is>
      </c>
      <c r="J1292" s="14" t="inlineStr">
        <is>
          <t>08 CROSSWALK</t>
        </is>
      </c>
    </row>
    <row r="1293" ht="49" customHeight="1">
      <c r="A1293" s="23" t="inlineStr">
        <is>
          <t>R1499-v2</t>
        </is>
      </c>
      <c r="B1293" s="23" t="inlineStr">
        <is>
          <t>Cost &amp; Forecast Control Accounts / CST-06-017</t>
        </is>
      </c>
      <c r="C1293" s="23" t="inlineStr">
        <is>
          <t>Cost Account = CA-6017; WBS Code = 1.6.1</t>
        </is>
      </c>
      <c r="D1293" s="23" t="inlineStr">
        <is>
          <t>Proposed by Source assignment; target 1.6.1 Program Management - Program Controls</t>
        </is>
      </c>
      <c r="E1293" s="23" t="inlineStr">
        <is>
          <t>None recorded</t>
        </is>
      </c>
      <c r="F1293" s="23" t="inlineStr">
        <is>
          <t>No individual professional decision recorded; Source assignment -- not individually reviewed</t>
        </is>
      </c>
      <c r="G1293" s="23" t="inlineStr">
        <is>
          <t>Not individually decided</t>
        </is>
      </c>
      <c r="H1293" s="23" t="inlineStr">
        <is>
          <t xml:space="preserve">RETAINED / ONE_TO_ONE; </t>
        </is>
      </c>
      <c r="I1293" s="23" t="inlineStr">
        <is>
          <t>Carried forward</t>
        </is>
      </c>
      <c r="J1293" s="14" t="inlineStr">
        <is>
          <t>08 CROSSWALK</t>
        </is>
      </c>
    </row>
    <row r="1294" ht="49" customHeight="1">
      <c r="A1294" s="23" t="inlineStr">
        <is>
          <t>R1501-v2</t>
        </is>
      </c>
      <c r="B1294" s="23" t="inlineStr">
        <is>
          <t>Cost &amp; Forecast Control Accounts / CST-06-019</t>
        </is>
      </c>
      <c r="C1294" s="23" t="inlineStr">
        <is>
          <t>Cost Account = CA-6019; WBS Code = 1.6.1</t>
        </is>
      </c>
      <c r="D1294" s="23" t="inlineStr">
        <is>
          <t>Proposed by Source assignment; target 1.6.1 Program Management - Program Controls</t>
        </is>
      </c>
      <c r="E1294" s="23" t="inlineStr">
        <is>
          <t>None recorded</t>
        </is>
      </c>
      <c r="F1294" s="23" t="inlineStr">
        <is>
          <t>No individual professional decision recorded; Source assignment -- not individually reviewed</t>
        </is>
      </c>
      <c r="G1294" s="23" t="inlineStr">
        <is>
          <t>Not individually decided</t>
        </is>
      </c>
      <c r="H1294" s="23" t="inlineStr">
        <is>
          <t xml:space="preserve">RETAINED / ONE_TO_ONE; </t>
        </is>
      </c>
      <c r="I1294" s="23" t="inlineStr">
        <is>
          <t>Carried forward</t>
        </is>
      </c>
      <c r="J1294" s="14" t="inlineStr">
        <is>
          <t>08 CROSSWALK</t>
        </is>
      </c>
    </row>
    <row r="1295" ht="49" customHeight="1">
      <c r="A1295" s="23" t="inlineStr">
        <is>
          <t>R1503-v2</t>
        </is>
      </c>
      <c r="B1295" s="23" t="inlineStr">
        <is>
          <t>Cost &amp; Forecast Control Accounts / CST-06-021</t>
        </is>
      </c>
      <c r="C1295" s="23" t="inlineStr">
        <is>
          <t>Cost Account = CA-6021; WBS Code = 1.6.1</t>
        </is>
      </c>
      <c r="D1295" s="23" t="inlineStr">
        <is>
          <t>Proposed by Source assignment; target 1.6.1 Program Management - Program Controls</t>
        </is>
      </c>
      <c r="E1295" s="23" t="inlineStr">
        <is>
          <t>None recorded</t>
        </is>
      </c>
      <c r="F1295" s="23" t="inlineStr">
        <is>
          <t>No individual professional decision recorded; Source assignment -- not individually reviewed</t>
        </is>
      </c>
      <c r="G1295" s="23" t="inlineStr">
        <is>
          <t>Not individually decided</t>
        </is>
      </c>
      <c r="H1295" s="23" t="inlineStr">
        <is>
          <t xml:space="preserve">RETAINED / ONE_TO_ONE; </t>
        </is>
      </c>
      <c r="I1295" s="23" t="inlineStr">
        <is>
          <t>Carried forward</t>
        </is>
      </c>
      <c r="J1295" s="14" t="inlineStr">
        <is>
          <t>08 CROSSWALK</t>
        </is>
      </c>
    </row>
    <row r="1296" ht="49" customHeight="1">
      <c r="A1296" s="23" t="inlineStr">
        <is>
          <t>R1505-v2</t>
        </is>
      </c>
      <c r="B1296" s="23" t="inlineStr">
        <is>
          <t>Cost &amp; Forecast Control Accounts / CST-06-023</t>
        </is>
      </c>
      <c r="C1296" s="23" t="inlineStr">
        <is>
          <t>Cost Account = CA-6023; WBS Code = 1.6.1</t>
        </is>
      </c>
      <c r="D1296" s="23" t="inlineStr">
        <is>
          <t>Proposed by Source assignment; target 1.6.1 Program Management - Program Controls</t>
        </is>
      </c>
      <c r="E1296" s="23" t="inlineStr">
        <is>
          <t>None recorded</t>
        </is>
      </c>
      <c r="F1296" s="23" t="inlineStr">
        <is>
          <t>No individual professional decision recorded; Source assignment -- not individually reviewed</t>
        </is>
      </c>
      <c r="G1296" s="23" t="inlineStr">
        <is>
          <t>Not individually decided</t>
        </is>
      </c>
      <c r="H1296" s="23" t="inlineStr">
        <is>
          <t xml:space="preserve">RETAINED / ONE_TO_ONE; </t>
        </is>
      </c>
      <c r="I1296" s="23" t="inlineStr">
        <is>
          <t>Carried forward</t>
        </is>
      </c>
      <c r="J1296" s="14" t="inlineStr">
        <is>
          <t>08 CROSSWALK</t>
        </is>
      </c>
    </row>
    <row r="1297" ht="49" customHeight="1">
      <c r="A1297" s="23" t="inlineStr">
        <is>
          <t>R1507-v2</t>
        </is>
      </c>
      <c r="B1297" s="23" t="inlineStr">
        <is>
          <t>Cost &amp; Forecast Control Accounts / CST-06-025</t>
        </is>
      </c>
      <c r="C1297" s="23" t="inlineStr">
        <is>
          <t>Cost Account = CA-6025; WBS Code = 1.6.1</t>
        </is>
      </c>
      <c r="D1297" s="23" t="inlineStr">
        <is>
          <t>Proposed by Source assignment; target 1.6.1 Program Management - Program Controls</t>
        </is>
      </c>
      <c r="E1297" s="23" t="inlineStr">
        <is>
          <t>None recorded</t>
        </is>
      </c>
      <c r="F1297" s="23" t="inlineStr">
        <is>
          <t>No individual professional decision recorded; Source assignment -- not individually reviewed</t>
        </is>
      </c>
      <c r="G1297" s="23" t="inlineStr">
        <is>
          <t>Not individually decided</t>
        </is>
      </c>
      <c r="H1297" s="23" t="inlineStr">
        <is>
          <t xml:space="preserve">RETAINED / ONE_TO_ONE; </t>
        </is>
      </c>
      <c r="I1297" s="23" t="inlineStr">
        <is>
          <t>Carried forward</t>
        </is>
      </c>
      <c r="J1297" s="14" t="inlineStr">
        <is>
          <t>08 CROSSWALK</t>
        </is>
      </c>
    </row>
    <row r="1298" ht="49" customHeight="1">
      <c r="A1298" s="23" t="inlineStr">
        <is>
          <t>R1509-v2</t>
        </is>
      </c>
      <c r="B1298" s="23" t="inlineStr">
        <is>
          <t>Cost &amp; Forecast Control Accounts / CST-06-027</t>
        </is>
      </c>
      <c r="C1298" s="23" t="inlineStr">
        <is>
          <t>Cost Account = CA-6027; WBS Code = 1.6.1</t>
        </is>
      </c>
      <c r="D1298" s="23" t="inlineStr">
        <is>
          <t>Proposed by Source assignment; target 1.6.1 Program Management - Program Controls</t>
        </is>
      </c>
      <c r="E1298" s="23" t="inlineStr">
        <is>
          <t>None recorded</t>
        </is>
      </c>
      <c r="F1298" s="23" t="inlineStr">
        <is>
          <t>No individual professional decision recorded; Source assignment -- not individually reviewed</t>
        </is>
      </c>
      <c r="G1298" s="23" t="inlineStr">
        <is>
          <t>Not individually decided</t>
        </is>
      </c>
      <c r="H1298" s="23" t="inlineStr">
        <is>
          <t xml:space="preserve">RETAINED / ONE_TO_ONE; </t>
        </is>
      </c>
      <c r="I1298" s="23" t="inlineStr">
        <is>
          <t>Carried forward</t>
        </is>
      </c>
      <c r="J1298" s="14" t="inlineStr">
        <is>
          <t>08 CROSSWALK</t>
        </is>
      </c>
    </row>
    <row r="1299" ht="49" customHeight="1">
      <c r="A1299" s="23" t="inlineStr">
        <is>
          <t>R1511-v2</t>
        </is>
      </c>
      <c r="B1299" s="23" t="inlineStr">
        <is>
          <t>Cost &amp; Forecast Control Accounts / CST-06-029</t>
        </is>
      </c>
      <c r="C1299" s="23" t="inlineStr">
        <is>
          <t>Cost Account = CA-6029; WBS Code = 1.6.1</t>
        </is>
      </c>
      <c r="D1299" s="23" t="inlineStr">
        <is>
          <t>Proposed by Source assignment; target 1.6.1 Program Management - Program Controls</t>
        </is>
      </c>
      <c r="E1299" s="23" t="inlineStr">
        <is>
          <t>None recorded</t>
        </is>
      </c>
      <c r="F1299" s="23" t="inlineStr">
        <is>
          <t>No individual professional decision recorded; Source assignment -- not individually reviewed</t>
        </is>
      </c>
      <c r="G1299" s="23" t="inlineStr">
        <is>
          <t>Not individually decided</t>
        </is>
      </c>
      <c r="H1299" s="23" t="inlineStr">
        <is>
          <t xml:space="preserve">RETAINED / ONE_TO_ONE; </t>
        </is>
      </c>
      <c r="I1299" s="23" t="inlineStr">
        <is>
          <t>Carried forward</t>
        </is>
      </c>
      <c r="J1299" s="14" t="inlineStr">
        <is>
          <t>08 CROSSWALK</t>
        </is>
      </c>
    </row>
    <row r="1300" ht="49" customHeight="1">
      <c r="A1300" s="23" t="inlineStr">
        <is>
          <t>R1513-v2</t>
        </is>
      </c>
      <c r="B1300" s="23" t="inlineStr">
        <is>
          <t>Cost &amp; Forecast Control Accounts / CST-06-031</t>
        </is>
      </c>
      <c r="C1300" s="23" t="inlineStr">
        <is>
          <t>Cost Account = CA-6031; WBS Code = 1.6.1</t>
        </is>
      </c>
      <c r="D1300" s="23" t="inlineStr">
        <is>
          <t>Proposed by Source assignment; target 1.6.1 Program Management - Program Controls</t>
        </is>
      </c>
      <c r="E1300" s="23" t="inlineStr">
        <is>
          <t>None recorded</t>
        </is>
      </c>
      <c r="F1300" s="23" t="inlineStr">
        <is>
          <t>No individual professional decision recorded; Source assignment -- not individually reviewed</t>
        </is>
      </c>
      <c r="G1300" s="23" t="inlineStr">
        <is>
          <t>Not individually decided</t>
        </is>
      </c>
      <c r="H1300" s="23" t="inlineStr">
        <is>
          <t xml:space="preserve">RETAINED / ONE_TO_ONE; </t>
        </is>
      </c>
      <c r="I1300" s="23" t="inlineStr">
        <is>
          <t>Carried forward</t>
        </is>
      </c>
      <c r="J1300" s="14" t="inlineStr">
        <is>
          <t>08 CROSSWALK</t>
        </is>
      </c>
    </row>
    <row r="1301" ht="49" customHeight="1">
      <c r="A1301" s="23" t="inlineStr">
        <is>
          <t>R1515-v2</t>
        </is>
      </c>
      <c r="B1301" s="23" t="inlineStr">
        <is>
          <t>Cost &amp; Forecast Control Accounts / CST-06-033</t>
        </is>
      </c>
      <c r="C1301" s="23" t="inlineStr">
        <is>
          <t>Cost Account = CA-6033; WBS Code = 1.6.1</t>
        </is>
      </c>
      <c r="D1301" s="23" t="inlineStr">
        <is>
          <t>Proposed by Source assignment; target 1.6.1 Program Management - Program Controls</t>
        </is>
      </c>
      <c r="E1301" s="23" t="inlineStr">
        <is>
          <t>None recorded</t>
        </is>
      </c>
      <c r="F1301" s="23" t="inlineStr">
        <is>
          <t>No individual professional decision recorded; Source assignment -- not individually reviewed</t>
        </is>
      </c>
      <c r="G1301" s="23" t="inlineStr">
        <is>
          <t>Not individually decided</t>
        </is>
      </c>
      <c r="H1301" s="23" t="inlineStr">
        <is>
          <t xml:space="preserve">RETAINED / ONE_TO_ONE; </t>
        </is>
      </c>
      <c r="I1301" s="23" t="inlineStr">
        <is>
          <t>Carried forward</t>
        </is>
      </c>
      <c r="J1301" s="14" t="inlineStr">
        <is>
          <t>08 CROSSWALK</t>
        </is>
      </c>
    </row>
    <row r="1302" ht="49" customHeight="1">
      <c r="A1302" s="23" t="inlineStr">
        <is>
          <t>R1517-v2</t>
        </is>
      </c>
      <c r="B1302" s="23" t="inlineStr">
        <is>
          <t>Cost &amp; Forecast Control Accounts / CST-06-035</t>
        </is>
      </c>
      <c r="C1302" s="23" t="inlineStr">
        <is>
          <t>Cost Account = CA-6035; WBS Code = 1.6.1</t>
        </is>
      </c>
      <c r="D1302" s="23" t="inlineStr">
        <is>
          <t>Proposed by Source assignment; target 1.6.1 Program Management - Program Controls</t>
        </is>
      </c>
      <c r="E1302" s="23" t="inlineStr">
        <is>
          <t>None recorded</t>
        </is>
      </c>
      <c r="F1302" s="23" t="inlineStr">
        <is>
          <t>No individual professional decision recorded; Source assignment -- not individually reviewed</t>
        </is>
      </c>
      <c r="G1302" s="23" t="inlineStr">
        <is>
          <t>Not individually decided</t>
        </is>
      </c>
      <c r="H1302" s="23" t="inlineStr">
        <is>
          <t xml:space="preserve">RETAINED / ONE_TO_ONE; </t>
        </is>
      </c>
      <c r="I1302" s="23" t="inlineStr">
        <is>
          <t>Carried forward</t>
        </is>
      </c>
      <c r="J1302" s="14" t="inlineStr">
        <is>
          <t>08 CROSSWALK</t>
        </is>
      </c>
    </row>
    <row r="1303" ht="49" customHeight="1">
      <c r="A1303" s="23" t="inlineStr">
        <is>
          <t>R1519-v2</t>
        </is>
      </c>
      <c r="B1303" s="23" t="inlineStr">
        <is>
          <t>Cost &amp; Forecast Control Accounts / CST-06-037</t>
        </is>
      </c>
      <c r="C1303" s="23" t="inlineStr">
        <is>
          <t>Cost Account = CA-6037; WBS Code = 1.6.1</t>
        </is>
      </c>
      <c r="D1303" s="23" t="inlineStr">
        <is>
          <t>Proposed by Source assignment; target 1.6.1 Program Management - Program Controls</t>
        </is>
      </c>
      <c r="E1303" s="23" t="inlineStr">
        <is>
          <t>None recorded</t>
        </is>
      </c>
      <c r="F1303" s="23" t="inlineStr">
        <is>
          <t>No individual professional decision recorded; Source assignment -- not individually reviewed</t>
        </is>
      </c>
      <c r="G1303" s="23" t="inlineStr">
        <is>
          <t>Not individually decided</t>
        </is>
      </c>
      <c r="H1303" s="23" t="inlineStr">
        <is>
          <t xml:space="preserve">RETAINED / ONE_TO_ONE; </t>
        </is>
      </c>
      <c r="I1303" s="23" t="inlineStr">
        <is>
          <t>Carried forward</t>
        </is>
      </c>
      <c r="J1303" s="14" t="inlineStr">
        <is>
          <t>08 CROSSWALK</t>
        </is>
      </c>
    </row>
    <row r="1304" ht="49" customHeight="1">
      <c r="A1304" s="23" t="inlineStr">
        <is>
          <t>R1521-v2</t>
        </is>
      </c>
      <c r="B1304" s="23" t="inlineStr">
        <is>
          <t>Cost &amp; Forecast Control Accounts / CST-06-039</t>
        </is>
      </c>
      <c r="C1304" s="23" t="inlineStr">
        <is>
          <t>Cost Account = CA-6039; WBS Code = 1.6.1</t>
        </is>
      </c>
      <c r="D1304" s="23" t="inlineStr">
        <is>
          <t>Proposed by Source assignment; target 1.6.1 Program Management - Program Controls</t>
        </is>
      </c>
      <c r="E1304" s="23" t="inlineStr">
        <is>
          <t>None recorded</t>
        </is>
      </c>
      <c r="F1304" s="23" t="inlineStr">
        <is>
          <t>No individual professional decision recorded; Source assignment -- not individually reviewed</t>
        </is>
      </c>
      <c r="G1304" s="23" t="inlineStr">
        <is>
          <t>Not individually decided</t>
        </is>
      </c>
      <c r="H1304" s="23" t="inlineStr">
        <is>
          <t xml:space="preserve">RETAINED / ONE_TO_ONE; </t>
        </is>
      </c>
      <c r="I1304" s="23" t="inlineStr">
        <is>
          <t>Carried forward</t>
        </is>
      </c>
      <c r="J1304" s="14" t="inlineStr">
        <is>
          <t>08 CROSSWALK</t>
        </is>
      </c>
    </row>
    <row r="1305" ht="49" customHeight="1">
      <c r="A1305" s="23" t="inlineStr">
        <is>
          <t>R1523-v2</t>
        </is>
      </c>
      <c r="B1305" s="23" t="inlineStr">
        <is>
          <t>Cost &amp; Forecast Control Accounts / CST-06-041</t>
        </is>
      </c>
      <c r="C1305" s="23" t="inlineStr">
        <is>
          <t>Cost Account = CA-6041; WBS Code = 1.6.1</t>
        </is>
      </c>
      <c r="D1305" s="23" t="inlineStr">
        <is>
          <t>Proposed by Source assignment; target 1.6.1 Program Management - Program Controls</t>
        </is>
      </c>
      <c r="E1305" s="23" t="inlineStr">
        <is>
          <t>None recorded</t>
        </is>
      </c>
      <c r="F1305" s="23" t="inlineStr">
        <is>
          <t>No individual professional decision recorded; Source assignment -- not individually reviewed</t>
        </is>
      </c>
      <c r="G1305" s="23" t="inlineStr">
        <is>
          <t>Not individually decided</t>
        </is>
      </c>
      <c r="H1305" s="23" t="inlineStr">
        <is>
          <t xml:space="preserve">RETAINED / ONE_TO_ONE; </t>
        </is>
      </c>
      <c r="I1305" s="23" t="inlineStr">
        <is>
          <t>Carried forward</t>
        </is>
      </c>
      <c r="J1305" s="14" t="inlineStr">
        <is>
          <t>08 CROSSWALK</t>
        </is>
      </c>
    </row>
    <row r="1306" ht="49" customHeight="1">
      <c r="A1306" s="23" t="inlineStr">
        <is>
          <t>R1525-v2</t>
        </is>
      </c>
      <c r="B1306" s="23" t="inlineStr">
        <is>
          <t>Cost &amp; Forecast Control Accounts / CST-06-043</t>
        </is>
      </c>
      <c r="C1306" s="23" t="inlineStr">
        <is>
          <t>Cost Account = CA-6043; WBS Code = 1.6.1</t>
        </is>
      </c>
      <c r="D1306" s="23" t="inlineStr">
        <is>
          <t>Proposed by Source assignment; target 1.6.1 Program Management - Program Controls</t>
        </is>
      </c>
      <c r="E1306" s="23" t="inlineStr">
        <is>
          <t>None recorded</t>
        </is>
      </c>
      <c r="F1306" s="23" t="inlineStr">
        <is>
          <t>No individual professional decision recorded; Source assignment -- not individually reviewed</t>
        </is>
      </c>
      <c r="G1306" s="23" t="inlineStr">
        <is>
          <t>Not individually decided</t>
        </is>
      </c>
      <c r="H1306" s="23" t="inlineStr">
        <is>
          <t xml:space="preserve">RETAINED / ONE_TO_ONE; </t>
        </is>
      </c>
      <c r="I1306" s="23" t="inlineStr">
        <is>
          <t>Carried forward</t>
        </is>
      </c>
      <c r="J1306" s="14" t="inlineStr">
        <is>
          <t>08 CROSSWALK</t>
        </is>
      </c>
    </row>
    <row r="1307" ht="49" customHeight="1">
      <c r="A1307" s="23" t="inlineStr">
        <is>
          <t>R1527-v2</t>
        </is>
      </c>
      <c r="B1307" s="23" t="inlineStr">
        <is>
          <t>Cost &amp; Forecast Control Accounts / CST-06-045</t>
        </is>
      </c>
      <c r="C1307" s="23" t="inlineStr">
        <is>
          <t>Cost Account = CA-6045; WBS Code = 1.6.1</t>
        </is>
      </c>
      <c r="D1307" s="23" t="inlineStr">
        <is>
          <t>Proposed by Source assignment; target 1.6.1 Program Management - Program Controls</t>
        </is>
      </c>
      <c r="E1307" s="23" t="inlineStr">
        <is>
          <t>None recorded</t>
        </is>
      </c>
      <c r="F1307" s="23" t="inlineStr">
        <is>
          <t>No individual professional decision recorded; Source assignment -- not individually reviewed</t>
        </is>
      </c>
      <c r="G1307" s="23" t="inlineStr">
        <is>
          <t>Not individually decided</t>
        </is>
      </c>
      <c r="H1307" s="23" t="inlineStr">
        <is>
          <t xml:space="preserve">RETAINED / ONE_TO_ONE; </t>
        </is>
      </c>
      <c r="I1307" s="23" t="inlineStr">
        <is>
          <t>Carried forward</t>
        </is>
      </c>
      <c r="J1307" s="14" t="inlineStr">
        <is>
          <t>08 CROSSWALK</t>
        </is>
      </c>
    </row>
    <row r="1308" ht="49" customHeight="1">
      <c r="A1308" s="23" t="inlineStr">
        <is>
          <t>R1529-v2</t>
        </is>
      </c>
      <c r="B1308" s="23" t="inlineStr">
        <is>
          <t>Cost &amp; Forecast Control Accounts / CST-06-047</t>
        </is>
      </c>
      <c r="C1308" s="23" t="inlineStr">
        <is>
          <t>Cost Account = CA-6047; WBS Code = 1.6.1</t>
        </is>
      </c>
      <c r="D1308" s="23" t="inlineStr">
        <is>
          <t>Proposed by Source assignment; target 1.6.1 Program Management - Program Controls</t>
        </is>
      </c>
      <c r="E1308" s="23" t="inlineStr">
        <is>
          <t>None recorded</t>
        </is>
      </c>
      <c r="F1308" s="23" t="inlineStr">
        <is>
          <t>No individual professional decision recorded; Source assignment -- not individually reviewed</t>
        </is>
      </c>
      <c r="G1308" s="23" t="inlineStr">
        <is>
          <t>Not individually decided</t>
        </is>
      </c>
      <c r="H1308" s="23" t="inlineStr">
        <is>
          <t xml:space="preserve">RETAINED / ONE_TO_ONE; </t>
        </is>
      </c>
      <c r="I1308" s="23" t="inlineStr">
        <is>
          <t>Carried forward</t>
        </is>
      </c>
      <c r="J1308" s="14" t="inlineStr">
        <is>
          <t>08 CROSSWALK</t>
        </is>
      </c>
    </row>
    <row r="1309" ht="49" customHeight="1">
      <c r="A1309" s="23" t="inlineStr">
        <is>
          <t>R1531-v2</t>
        </is>
      </c>
      <c r="B1309" s="23" t="inlineStr">
        <is>
          <t>Cost &amp; Forecast Control Accounts / CST-06-049</t>
        </is>
      </c>
      <c r="C1309" s="23" t="inlineStr">
        <is>
          <t>Cost Account = CA-6049; WBS Code = 1.6.1</t>
        </is>
      </c>
      <c r="D1309" s="23" t="inlineStr">
        <is>
          <t>Proposed by Source assignment; target 1.6.1 Program Management - Program Controls</t>
        </is>
      </c>
      <c r="E1309" s="23" t="inlineStr">
        <is>
          <t>None recorded</t>
        </is>
      </c>
      <c r="F1309" s="23" t="inlineStr">
        <is>
          <t>No individual professional decision recorded; Source assignment -- not individually reviewed</t>
        </is>
      </c>
      <c r="G1309" s="23" t="inlineStr">
        <is>
          <t>Not individually decided</t>
        </is>
      </c>
      <c r="H1309" s="23" t="inlineStr">
        <is>
          <t xml:space="preserve">RETAINED / ONE_TO_ONE; </t>
        </is>
      </c>
      <c r="I1309" s="23" t="inlineStr">
        <is>
          <t>Carried forward</t>
        </is>
      </c>
      <c r="J1309" s="14" t="inlineStr">
        <is>
          <t>08 CROSSWALK</t>
        </is>
      </c>
    </row>
    <row r="1310" ht="49" customHeight="1">
      <c r="A1310" s="23" t="inlineStr">
        <is>
          <t>R1533-v2</t>
        </is>
      </c>
      <c r="B1310" s="23" t="inlineStr">
        <is>
          <t>Cost &amp; Forecast Control Accounts / CST-06-051</t>
        </is>
      </c>
      <c r="C1310" s="23" t="inlineStr">
        <is>
          <t>Cost Account = CA-6051; WBS Code = 1.6.1</t>
        </is>
      </c>
      <c r="D1310" s="23" t="inlineStr">
        <is>
          <t>Proposed by Source assignment; target 1.6.1 Program Management - Program Controls</t>
        </is>
      </c>
      <c r="E1310" s="23" t="inlineStr">
        <is>
          <t>None recorded</t>
        </is>
      </c>
      <c r="F1310" s="23" t="inlineStr">
        <is>
          <t>No individual professional decision recorded; Source assignment -- not individually reviewed</t>
        </is>
      </c>
      <c r="G1310" s="23" t="inlineStr">
        <is>
          <t>Not individually decided</t>
        </is>
      </c>
      <c r="H1310" s="23" t="inlineStr">
        <is>
          <t xml:space="preserve">RETAINED / ONE_TO_ONE; </t>
        </is>
      </c>
      <c r="I1310" s="23" t="inlineStr">
        <is>
          <t>Carried forward</t>
        </is>
      </c>
      <c r="J1310" s="14" t="inlineStr">
        <is>
          <t>08 CROSSWALK</t>
        </is>
      </c>
    </row>
    <row r="1311" ht="49" customHeight="1">
      <c r="A1311" s="23" t="inlineStr">
        <is>
          <t>R1535-v2</t>
        </is>
      </c>
      <c r="B1311" s="23" t="inlineStr">
        <is>
          <t>Cost &amp; Forecast Control Accounts / CST-06-053</t>
        </is>
      </c>
      <c r="C1311" s="23" t="inlineStr">
        <is>
          <t>Cost Account = CA-6053; WBS Code = 1.6.1</t>
        </is>
      </c>
      <c r="D1311" s="23" t="inlineStr">
        <is>
          <t>Proposed by Source assignment; target 1.6.1 Program Management - Program Controls</t>
        </is>
      </c>
      <c r="E1311" s="23" t="inlineStr">
        <is>
          <t>None recorded</t>
        </is>
      </c>
      <c r="F1311" s="23" t="inlineStr">
        <is>
          <t>No individual professional decision recorded; Source assignment -- not individually reviewed</t>
        </is>
      </c>
      <c r="G1311" s="23" t="inlineStr">
        <is>
          <t>Not individually decided</t>
        </is>
      </c>
      <c r="H1311" s="23" t="inlineStr">
        <is>
          <t xml:space="preserve">RETAINED / ONE_TO_ONE; </t>
        </is>
      </c>
      <c r="I1311" s="23" t="inlineStr">
        <is>
          <t>Carried forward</t>
        </is>
      </c>
      <c r="J1311" s="14" t="inlineStr">
        <is>
          <t>08 CROSSWALK</t>
        </is>
      </c>
    </row>
    <row r="1312" ht="49" customHeight="1">
      <c r="A1312" s="23" t="inlineStr">
        <is>
          <t>R1537-v2</t>
        </is>
      </c>
      <c r="B1312" s="23" t="inlineStr">
        <is>
          <t>Cost &amp; Forecast Control Accounts / CST-06-055</t>
        </is>
      </c>
      <c r="C1312" s="23" t="inlineStr">
        <is>
          <t>Cost Account = CA-6055; WBS Code = 1.6.1</t>
        </is>
      </c>
      <c r="D1312" s="23" t="inlineStr">
        <is>
          <t>Proposed by Source assignment; target 1.6.1 Program Management - Program Controls</t>
        </is>
      </c>
      <c r="E1312" s="23" t="inlineStr">
        <is>
          <t>None recorded</t>
        </is>
      </c>
      <c r="F1312" s="23" t="inlineStr">
        <is>
          <t>No individual professional decision recorded; Source assignment -- not individually reviewed</t>
        </is>
      </c>
      <c r="G1312" s="23" t="inlineStr">
        <is>
          <t>Not individually decided</t>
        </is>
      </c>
      <c r="H1312" s="23" t="inlineStr">
        <is>
          <t xml:space="preserve">RETAINED / ONE_TO_ONE; </t>
        </is>
      </c>
      <c r="I1312" s="23" t="inlineStr">
        <is>
          <t>Carried forward</t>
        </is>
      </c>
      <c r="J1312" s="14" t="inlineStr">
        <is>
          <t>08 CROSSWALK</t>
        </is>
      </c>
    </row>
    <row r="1313" ht="49" customHeight="1">
      <c r="A1313" s="23" t="inlineStr">
        <is>
          <t>R1539-v2</t>
        </is>
      </c>
      <c r="B1313" s="23" t="inlineStr">
        <is>
          <t>Cost &amp; Forecast Control Accounts / CST-06-057</t>
        </is>
      </c>
      <c r="C1313" s="23" t="inlineStr">
        <is>
          <t>Cost Account = CA-6057; WBS Code = 1.6.1</t>
        </is>
      </c>
      <c r="D1313" s="23" t="inlineStr">
        <is>
          <t>Proposed by Source assignment; target 1.6.1 Program Management - Program Controls</t>
        </is>
      </c>
      <c r="E1313" s="23" t="inlineStr">
        <is>
          <t>None recorded</t>
        </is>
      </c>
      <c r="F1313" s="23" t="inlineStr">
        <is>
          <t>No individual professional decision recorded; Source assignment -- not individually reviewed</t>
        </is>
      </c>
      <c r="G1313" s="23" t="inlineStr">
        <is>
          <t>Not individually decided</t>
        </is>
      </c>
      <c r="H1313" s="23" t="inlineStr">
        <is>
          <t xml:space="preserve">RETAINED / ONE_TO_ONE; </t>
        </is>
      </c>
      <c r="I1313" s="23" t="inlineStr">
        <is>
          <t>Carried forward</t>
        </is>
      </c>
      <c r="J1313" s="14" t="inlineStr">
        <is>
          <t>08 CROSSWALK</t>
        </is>
      </c>
    </row>
    <row r="1314" ht="49" customHeight="1">
      <c r="A1314" s="23" t="inlineStr">
        <is>
          <t>R1541-v2</t>
        </is>
      </c>
      <c r="B1314" s="23" t="inlineStr">
        <is>
          <t>Cost &amp; Forecast Control Accounts / CST-06-059</t>
        </is>
      </c>
      <c r="C1314" s="23" t="inlineStr">
        <is>
          <t>Cost Account = CA-6059; WBS Code = 1.6.1</t>
        </is>
      </c>
      <c r="D1314" s="23" t="inlineStr">
        <is>
          <t>Proposed by Source assignment; target 1.6.1 Program Management - Program Controls</t>
        </is>
      </c>
      <c r="E1314" s="23" t="inlineStr">
        <is>
          <t>None recorded</t>
        </is>
      </c>
      <c r="F1314" s="23" t="inlineStr">
        <is>
          <t>No individual professional decision recorded; Source assignment -- not individually reviewed</t>
        </is>
      </c>
      <c r="G1314" s="23" t="inlineStr">
        <is>
          <t>Not individually decided</t>
        </is>
      </c>
      <c r="H1314" s="23" t="inlineStr">
        <is>
          <t xml:space="preserve">RETAINED / ONE_TO_ONE; </t>
        </is>
      </c>
      <c r="I1314" s="23" t="inlineStr">
        <is>
          <t>Carried forward</t>
        </is>
      </c>
      <c r="J1314" s="14" t="inlineStr">
        <is>
          <t>08 CROSSWALK</t>
        </is>
      </c>
    </row>
    <row r="1315" ht="49" customHeight="1">
      <c r="A1315" s="23" t="inlineStr">
        <is>
          <t>R1543-v2</t>
        </is>
      </c>
      <c r="B1315" s="23" t="inlineStr">
        <is>
          <t>Cost &amp; Forecast Control Accounts / CST-06-061</t>
        </is>
      </c>
      <c r="C1315" s="23" t="inlineStr">
        <is>
          <t>Cost Account = CA-6061; WBS Code = 1.6.1</t>
        </is>
      </c>
      <c r="D1315" s="23" t="inlineStr">
        <is>
          <t>Proposed by Source assignment; target 1.6.1 Program Management - Program Controls</t>
        </is>
      </c>
      <c r="E1315" s="23" t="inlineStr">
        <is>
          <t>None recorded</t>
        </is>
      </c>
      <c r="F1315" s="23" t="inlineStr">
        <is>
          <t>No individual professional decision recorded; Source assignment -- not individually reviewed</t>
        </is>
      </c>
      <c r="G1315" s="23" t="inlineStr">
        <is>
          <t>Not individually decided</t>
        </is>
      </c>
      <c r="H1315" s="23" t="inlineStr">
        <is>
          <t xml:space="preserve">RETAINED / ONE_TO_ONE; </t>
        </is>
      </c>
      <c r="I1315" s="23" t="inlineStr">
        <is>
          <t>Carried forward</t>
        </is>
      </c>
      <c r="J1315" s="14" t="inlineStr">
        <is>
          <t>08 CROSSWALK</t>
        </is>
      </c>
    </row>
    <row r="1316" ht="49" customHeight="1">
      <c r="A1316" s="23" t="inlineStr">
        <is>
          <t>R1545-v2</t>
        </is>
      </c>
      <c r="B1316" s="23" t="inlineStr">
        <is>
          <t>Cost &amp; Forecast Control Accounts / CST-06-063</t>
        </is>
      </c>
      <c r="C1316" s="23" t="inlineStr">
        <is>
          <t>Cost Account = CA-6063; WBS Code = 1.6.1</t>
        </is>
      </c>
      <c r="D1316" s="23" t="inlineStr">
        <is>
          <t>Proposed by Source assignment; target 1.6.1 Program Management - Program Controls</t>
        </is>
      </c>
      <c r="E1316" s="23" t="inlineStr">
        <is>
          <t>None recorded</t>
        </is>
      </c>
      <c r="F1316" s="23" t="inlineStr">
        <is>
          <t>No individual professional decision recorded; Source assignment -- not individually reviewed</t>
        </is>
      </c>
      <c r="G1316" s="23" t="inlineStr">
        <is>
          <t>Not individually decided</t>
        </is>
      </c>
      <c r="H1316" s="23" t="inlineStr">
        <is>
          <t xml:space="preserve">RETAINED / ONE_TO_ONE; </t>
        </is>
      </c>
      <c r="I1316" s="23" t="inlineStr">
        <is>
          <t>Carried forward</t>
        </is>
      </c>
      <c r="J1316" s="14" t="inlineStr">
        <is>
          <t>08 CROSSWALK</t>
        </is>
      </c>
    </row>
    <row r="1317" ht="49" customHeight="1">
      <c r="A1317" s="23" t="inlineStr">
        <is>
          <t>R1547-v2</t>
        </is>
      </c>
      <c r="B1317" s="23" t="inlineStr">
        <is>
          <t>Cost &amp; Forecast Control Accounts / CST-06-065</t>
        </is>
      </c>
      <c r="C1317" s="23" t="inlineStr">
        <is>
          <t>Cost Account = CA-6065; WBS Code = 1.6.1</t>
        </is>
      </c>
      <c r="D1317" s="23" t="inlineStr">
        <is>
          <t>Proposed by Source assignment; target 1.6.1 Program Management - Program Controls</t>
        </is>
      </c>
      <c r="E1317" s="23" t="inlineStr">
        <is>
          <t>None recorded</t>
        </is>
      </c>
      <c r="F1317" s="23" t="inlineStr">
        <is>
          <t>No individual professional decision recorded; Source assignment -- not individually reviewed</t>
        </is>
      </c>
      <c r="G1317" s="23" t="inlineStr">
        <is>
          <t>Not individually decided</t>
        </is>
      </c>
      <c r="H1317" s="23" t="inlineStr">
        <is>
          <t xml:space="preserve">RETAINED / ONE_TO_ONE; </t>
        </is>
      </c>
      <c r="I1317" s="23" t="inlineStr">
        <is>
          <t>Carried forward</t>
        </is>
      </c>
      <c r="J1317" s="14" t="inlineStr">
        <is>
          <t>08 CROSSWALK</t>
        </is>
      </c>
    </row>
    <row r="1318" ht="49" customHeight="1">
      <c r="A1318" s="23" t="inlineStr">
        <is>
          <t>R1549-v2</t>
        </is>
      </c>
      <c r="B1318" s="23" t="inlineStr">
        <is>
          <t>Cost &amp; Forecast Control Accounts / CST-06-067</t>
        </is>
      </c>
      <c r="C1318" s="23" t="inlineStr">
        <is>
          <t>Cost Account = CA-6067; WBS Code = 1.6.1</t>
        </is>
      </c>
      <c r="D1318" s="23" t="inlineStr">
        <is>
          <t>Proposed by Source assignment; target 1.6.1 Program Management - Program Controls</t>
        </is>
      </c>
      <c r="E1318" s="23" t="inlineStr">
        <is>
          <t>None recorded</t>
        </is>
      </c>
      <c r="F1318" s="23" t="inlineStr">
        <is>
          <t>No individual professional decision recorded; Source assignment -- not individually reviewed</t>
        </is>
      </c>
      <c r="G1318" s="23" t="inlineStr">
        <is>
          <t>Not individually decided</t>
        </is>
      </c>
      <c r="H1318" s="23" t="inlineStr">
        <is>
          <t xml:space="preserve">RETAINED / ONE_TO_ONE; </t>
        </is>
      </c>
      <c r="I1318" s="23" t="inlineStr">
        <is>
          <t>Carried forward</t>
        </is>
      </c>
      <c r="J1318" s="14" t="inlineStr">
        <is>
          <t>08 CROSSWALK</t>
        </is>
      </c>
    </row>
    <row r="1319" ht="49" customHeight="1">
      <c r="A1319" s="23" t="inlineStr">
        <is>
          <t>R1551-v2</t>
        </is>
      </c>
      <c r="B1319" s="23" t="inlineStr">
        <is>
          <t>Cost &amp; Forecast Control Accounts / CST-06-069</t>
        </is>
      </c>
      <c r="C1319" s="23" t="inlineStr">
        <is>
          <t>Cost Account = CA-6069; WBS Code = 1.6.1</t>
        </is>
      </c>
      <c r="D1319" s="23" t="inlineStr">
        <is>
          <t>Proposed by Source assignment; target 1.6.1 Program Management - Program Controls</t>
        </is>
      </c>
      <c r="E1319" s="23" t="inlineStr">
        <is>
          <t>None recorded</t>
        </is>
      </c>
      <c r="F1319" s="23" t="inlineStr">
        <is>
          <t>No individual professional decision recorded; Source assignment -- not individually reviewed</t>
        </is>
      </c>
      <c r="G1319" s="23" t="inlineStr">
        <is>
          <t>Not individually decided</t>
        </is>
      </c>
      <c r="H1319" s="23" t="inlineStr">
        <is>
          <t xml:space="preserve">RETAINED / ONE_TO_ONE; </t>
        </is>
      </c>
      <c r="I1319" s="23" t="inlineStr">
        <is>
          <t>Carried forward</t>
        </is>
      </c>
      <c r="J1319" s="14" t="inlineStr">
        <is>
          <t>08 CROSSWALK</t>
        </is>
      </c>
    </row>
    <row r="1320" ht="49" customHeight="1">
      <c r="A1320" s="23" t="inlineStr">
        <is>
          <t>R1553-v2</t>
        </is>
      </c>
      <c r="B1320" s="23" t="inlineStr">
        <is>
          <t>Cost &amp; Forecast Control Accounts / CST-06-071</t>
        </is>
      </c>
      <c r="C1320" s="23" t="inlineStr">
        <is>
          <t>Cost Account = CA-6071; WBS Code = 1.6.1</t>
        </is>
      </c>
      <c r="D1320" s="23" t="inlineStr">
        <is>
          <t>Proposed by Source assignment; target 1.6.1 Program Management - Program Controls</t>
        </is>
      </c>
      <c r="E1320" s="23" t="inlineStr">
        <is>
          <t>None recorded</t>
        </is>
      </c>
      <c r="F1320" s="23" t="inlineStr">
        <is>
          <t>No individual professional decision recorded; Source assignment -- not individually reviewed</t>
        </is>
      </c>
      <c r="G1320" s="23" t="inlineStr">
        <is>
          <t>Not individually decided</t>
        </is>
      </c>
      <c r="H1320" s="23" t="inlineStr">
        <is>
          <t xml:space="preserve">RETAINED / ONE_TO_ONE; </t>
        </is>
      </c>
      <c r="I1320" s="23" t="inlineStr">
        <is>
          <t>Carried forward</t>
        </is>
      </c>
      <c r="J1320" s="14" t="inlineStr">
        <is>
          <t>08 CROSSWALK</t>
        </is>
      </c>
    </row>
    <row r="1321" ht="49" customHeight="1">
      <c r="A1321" s="23" t="inlineStr">
        <is>
          <t>R1555-v2</t>
        </is>
      </c>
      <c r="B1321" s="23" t="inlineStr">
        <is>
          <t>Cost &amp; Forecast Control Accounts / CST-06-073</t>
        </is>
      </c>
      <c r="C1321" s="23" t="inlineStr">
        <is>
          <t>Cost Account = CA-6073; WBS Code = 1.6.1</t>
        </is>
      </c>
      <c r="D1321" s="23" t="inlineStr">
        <is>
          <t>Proposed by Source assignment; target 1.6.1 Program Management - Program Controls</t>
        </is>
      </c>
      <c r="E1321" s="23" t="inlineStr">
        <is>
          <t>None recorded</t>
        </is>
      </c>
      <c r="F1321" s="23" t="inlineStr">
        <is>
          <t>No individual professional decision recorded; Source assignment -- not individually reviewed</t>
        </is>
      </c>
      <c r="G1321" s="23" t="inlineStr">
        <is>
          <t>Not individually decided</t>
        </is>
      </c>
      <c r="H1321" s="23" t="inlineStr">
        <is>
          <t xml:space="preserve">RETAINED / ONE_TO_ONE; </t>
        </is>
      </c>
      <c r="I1321" s="23" t="inlineStr">
        <is>
          <t>Carried forward</t>
        </is>
      </c>
      <c r="J1321" s="14" t="inlineStr">
        <is>
          <t>08 CROSSWALK</t>
        </is>
      </c>
    </row>
    <row r="1322" ht="49" customHeight="1">
      <c r="A1322" s="23" t="inlineStr">
        <is>
          <t>R1557-v2</t>
        </is>
      </c>
      <c r="B1322" s="23" t="inlineStr">
        <is>
          <t>Cost &amp; Forecast Control Accounts / CST-06-075</t>
        </is>
      </c>
      <c r="C1322" s="23" t="inlineStr">
        <is>
          <t>Cost Account = CA-6075; WBS Code = 1.6.1</t>
        </is>
      </c>
      <c r="D1322" s="23" t="inlineStr">
        <is>
          <t>Proposed by Source assignment; target 1.6.1 Program Management - Program Controls</t>
        </is>
      </c>
      <c r="E1322" s="23" t="inlineStr">
        <is>
          <t>None recorded</t>
        </is>
      </c>
      <c r="F1322" s="23" t="inlineStr">
        <is>
          <t>No individual professional decision recorded; Source assignment -- not individually reviewed</t>
        </is>
      </c>
      <c r="G1322" s="23" t="inlineStr">
        <is>
          <t>Not individually decided</t>
        </is>
      </c>
      <c r="H1322" s="23" t="inlineStr">
        <is>
          <t xml:space="preserve">RETAINED / ONE_TO_ONE; </t>
        </is>
      </c>
      <c r="I1322" s="23" t="inlineStr">
        <is>
          <t>Carried forward</t>
        </is>
      </c>
      <c r="J1322" s="14" t="inlineStr">
        <is>
          <t>08 CROSSWALK</t>
        </is>
      </c>
    </row>
    <row r="1323" ht="49" customHeight="1">
      <c r="A1323" s="23" t="inlineStr">
        <is>
          <t>R1559-v2</t>
        </is>
      </c>
      <c r="B1323" s="23" t="inlineStr">
        <is>
          <t>Cost &amp; Forecast Control Accounts / CST-06-077</t>
        </is>
      </c>
      <c r="C1323" s="23" t="inlineStr">
        <is>
          <t>Cost Account = CA-6077; WBS Code = 1.6.1</t>
        </is>
      </c>
      <c r="D1323" s="23" t="inlineStr">
        <is>
          <t>Proposed by Source assignment; target 1.6.1 Program Management - Program Controls</t>
        </is>
      </c>
      <c r="E1323" s="23" t="inlineStr">
        <is>
          <t>None recorded</t>
        </is>
      </c>
      <c r="F1323" s="23" t="inlineStr">
        <is>
          <t>No individual professional decision recorded; Source assignment -- not individually reviewed</t>
        </is>
      </c>
      <c r="G1323" s="23" t="inlineStr">
        <is>
          <t>Not individually decided</t>
        </is>
      </c>
      <c r="H1323" s="23" t="inlineStr">
        <is>
          <t xml:space="preserve">RETAINED / ONE_TO_ONE; </t>
        </is>
      </c>
      <c r="I1323" s="23" t="inlineStr">
        <is>
          <t>Carried forward</t>
        </is>
      </c>
      <c r="J1323" s="14" t="inlineStr">
        <is>
          <t>08 CROSSWALK</t>
        </is>
      </c>
    </row>
    <row r="1324" ht="49" customHeight="1">
      <c r="A1324" s="23" t="inlineStr">
        <is>
          <t>R1484-v2</t>
        </is>
      </c>
      <c r="B1324" s="23" t="inlineStr">
        <is>
          <t>Cost &amp; Forecast Control Accounts / CST-06-002</t>
        </is>
      </c>
      <c r="C1324" s="23" t="inlineStr">
        <is>
          <t>Cost Account = CA-6002; WBS Code = 1.6.2</t>
        </is>
      </c>
      <c r="D1324" s="23" t="inlineStr">
        <is>
          <t>Proposed by Source assignment; target 1.6.2 Program Management - Commercial &amp; Procurement</t>
        </is>
      </c>
      <c r="E1324" s="23" t="inlineStr">
        <is>
          <t>None recorded</t>
        </is>
      </c>
      <c r="F1324" s="23" t="inlineStr">
        <is>
          <t>No individual professional decision recorded; Source assignment -- not individually reviewed</t>
        </is>
      </c>
      <c r="G1324" s="23" t="inlineStr">
        <is>
          <t>Not individually decided</t>
        </is>
      </c>
      <c r="H1324" s="23" t="inlineStr">
        <is>
          <t xml:space="preserve">RETAINED / ONE_TO_ONE; </t>
        </is>
      </c>
      <c r="I1324" s="23" t="inlineStr">
        <is>
          <t>Carried forward</t>
        </is>
      </c>
      <c r="J1324" s="14" t="inlineStr">
        <is>
          <t>08 CROSSWALK</t>
        </is>
      </c>
    </row>
    <row r="1325" ht="49" customHeight="1">
      <c r="A1325" s="23" t="inlineStr">
        <is>
          <t>R1486-v2</t>
        </is>
      </c>
      <c r="B1325" s="23" t="inlineStr">
        <is>
          <t>Cost &amp; Forecast Control Accounts / CST-06-004</t>
        </is>
      </c>
      <c r="C1325" s="23" t="inlineStr">
        <is>
          <t>Cost Account = CA-6004; WBS Code = 1.6.2</t>
        </is>
      </c>
      <c r="D1325" s="23" t="inlineStr">
        <is>
          <t>Proposed by Source assignment; target 1.6.2 Program Management - Commercial &amp; Procurement</t>
        </is>
      </c>
      <c r="E1325" s="23" t="inlineStr">
        <is>
          <t>None recorded</t>
        </is>
      </c>
      <c r="F1325" s="23" t="inlineStr">
        <is>
          <t>No individual professional decision recorded; Source assignment -- not individually reviewed</t>
        </is>
      </c>
      <c r="G1325" s="23" t="inlineStr">
        <is>
          <t>Not individually decided</t>
        </is>
      </c>
      <c r="H1325" s="23" t="inlineStr">
        <is>
          <t xml:space="preserve">RETAINED / ONE_TO_ONE; </t>
        </is>
      </c>
      <c r="I1325" s="23" t="inlineStr">
        <is>
          <t>Carried forward</t>
        </is>
      </c>
      <c r="J1325" s="14" t="inlineStr">
        <is>
          <t>08 CROSSWALK</t>
        </is>
      </c>
    </row>
    <row r="1326" ht="49" customHeight="1">
      <c r="A1326" s="23" t="inlineStr">
        <is>
          <t>R1488-v2</t>
        </is>
      </c>
      <c r="B1326" s="23" t="inlineStr">
        <is>
          <t>Cost &amp; Forecast Control Accounts / CST-06-006</t>
        </is>
      </c>
      <c r="C1326" s="23" t="inlineStr">
        <is>
          <t>Cost Account = CA-6006; WBS Code = 1.6.2</t>
        </is>
      </c>
      <c r="D1326" s="23" t="inlineStr">
        <is>
          <t>Proposed by Source assignment; target 1.6.2 Program Management - Commercial &amp; Procurement</t>
        </is>
      </c>
      <c r="E1326" s="23" t="inlineStr">
        <is>
          <t>None recorded</t>
        </is>
      </c>
      <c r="F1326" s="23" t="inlineStr">
        <is>
          <t>No individual professional decision recorded; Source assignment -- not individually reviewed</t>
        </is>
      </c>
      <c r="G1326" s="23" t="inlineStr">
        <is>
          <t>Not individually decided</t>
        </is>
      </c>
      <c r="H1326" s="23" t="inlineStr">
        <is>
          <t xml:space="preserve">RETAINED / ONE_TO_ONE; </t>
        </is>
      </c>
      <c r="I1326" s="23" t="inlineStr">
        <is>
          <t>Carried forward</t>
        </is>
      </c>
      <c r="J1326" s="14" t="inlineStr">
        <is>
          <t>08 CROSSWALK</t>
        </is>
      </c>
    </row>
    <row r="1327" ht="49" customHeight="1">
      <c r="A1327" s="23" t="inlineStr">
        <is>
          <t>R1490-v2</t>
        </is>
      </c>
      <c r="B1327" s="23" t="inlineStr">
        <is>
          <t>Cost &amp; Forecast Control Accounts / CST-06-008</t>
        </is>
      </c>
      <c r="C1327" s="23" t="inlineStr">
        <is>
          <t>Cost Account = CA-6008; WBS Code = 1.6.2</t>
        </is>
      </c>
      <c r="D1327" s="23" t="inlineStr">
        <is>
          <t>Proposed by Source assignment; target 1.6.2 Program Management - Commercial &amp; Procurement</t>
        </is>
      </c>
      <c r="E1327" s="23" t="inlineStr">
        <is>
          <t>None recorded</t>
        </is>
      </c>
      <c r="F1327" s="23" t="inlineStr">
        <is>
          <t>No individual professional decision recorded; Source assignment -- not individually reviewed</t>
        </is>
      </c>
      <c r="G1327" s="23" t="inlineStr">
        <is>
          <t>Not individually decided</t>
        </is>
      </c>
      <c r="H1327" s="23" t="inlineStr">
        <is>
          <t xml:space="preserve">RETAINED / ONE_TO_ONE; </t>
        </is>
      </c>
      <c r="I1327" s="23" t="inlineStr">
        <is>
          <t>Carried forward</t>
        </is>
      </c>
      <c r="J1327" s="14" t="inlineStr">
        <is>
          <t>08 CROSSWALK</t>
        </is>
      </c>
    </row>
    <row r="1328" ht="49" customHeight="1">
      <c r="A1328" s="23" t="inlineStr">
        <is>
          <t>R1492-v2</t>
        </is>
      </c>
      <c r="B1328" s="23" t="inlineStr">
        <is>
          <t>Cost &amp; Forecast Control Accounts / CST-06-010</t>
        </is>
      </c>
      <c r="C1328" s="23" t="inlineStr">
        <is>
          <t>Cost Account = CA-6010; WBS Code = 1.6.2</t>
        </is>
      </c>
      <c r="D1328" s="23" t="inlineStr">
        <is>
          <t>Proposed by Source assignment; target 1.6.2 Program Management - Commercial &amp; Procurement</t>
        </is>
      </c>
      <c r="E1328" s="23" t="inlineStr">
        <is>
          <t>None recorded</t>
        </is>
      </c>
      <c r="F1328" s="23" t="inlineStr">
        <is>
          <t>No individual professional decision recorded; Source assignment -- not individually reviewed</t>
        </is>
      </c>
      <c r="G1328" s="23" t="inlineStr">
        <is>
          <t>Not individually decided</t>
        </is>
      </c>
      <c r="H1328" s="23" t="inlineStr">
        <is>
          <t xml:space="preserve">RETAINED / ONE_TO_ONE; </t>
        </is>
      </c>
      <c r="I1328" s="23" t="inlineStr">
        <is>
          <t>Carried forward</t>
        </is>
      </c>
      <c r="J1328" s="14" t="inlineStr">
        <is>
          <t>08 CROSSWALK</t>
        </is>
      </c>
    </row>
    <row r="1329" ht="49" customHeight="1">
      <c r="A1329" s="23" t="inlineStr">
        <is>
          <t>R1494-v2</t>
        </is>
      </c>
      <c r="B1329" s="23" t="inlineStr">
        <is>
          <t>Cost &amp; Forecast Control Accounts / CST-06-012</t>
        </is>
      </c>
      <c r="C1329" s="23" t="inlineStr">
        <is>
          <t>Cost Account = CA-6012; WBS Code = 1.6.2</t>
        </is>
      </c>
      <c r="D1329" s="23" t="inlineStr">
        <is>
          <t>Proposed by Source assignment; target 1.6.2 Program Management - Commercial &amp; Procurement</t>
        </is>
      </c>
      <c r="E1329" s="23" t="inlineStr">
        <is>
          <t>None recorded</t>
        </is>
      </c>
      <c r="F1329" s="23" t="inlineStr">
        <is>
          <t>No individual professional decision recorded; Source assignment -- not individually reviewed</t>
        </is>
      </c>
      <c r="G1329" s="23" t="inlineStr">
        <is>
          <t>Not individually decided</t>
        </is>
      </c>
      <c r="H1329" s="23" t="inlineStr">
        <is>
          <t xml:space="preserve">RETAINED / ONE_TO_ONE; </t>
        </is>
      </c>
      <c r="I1329" s="23" t="inlineStr">
        <is>
          <t>Carried forward</t>
        </is>
      </c>
      <c r="J1329" s="14" t="inlineStr">
        <is>
          <t>08 CROSSWALK</t>
        </is>
      </c>
    </row>
    <row r="1330" ht="49" customHeight="1">
      <c r="A1330" s="23" t="inlineStr">
        <is>
          <t>R1496-v2</t>
        </is>
      </c>
      <c r="B1330" s="23" t="inlineStr">
        <is>
          <t>Cost &amp; Forecast Control Accounts / CST-06-014</t>
        </is>
      </c>
      <c r="C1330" s="23" t="inlineStr">
        <is>
          <t>Cost Account = CA-6014; WBS Code = 1.6.2</t>
        </is>
      </c>
      <c r="D1330" s="23" t="inlineStr">
        <is>
          <t>Proposed by Source assignment; target 1.6.2 Program Management - Commercial &amp; Procurement</t>
        </is>
      </c>
      <c r="E1330" s="23" t="inlineStr">
        <is>
          <t>None recorded</t>
        </is>
      </c>
      <c r="F1330" s="23" t="inlineStr">
        <is>
          <t>No individual professional decision recorded; Source assignment -- not individually reviewed</t>
        </is>
      </c>
      <c r="G1330" s="23" t="inlineStr">
        <is>
          <t>Not individually decided</t>
        </is>
      </c>
      <c r="H1330" s="23" t="inlineStr">
        <is>
          <t xml:space="preserve">RETAINED / ONE_TO_ONE; </t>
        </is>
      </c>
      <c r="I1330" s="23" t="inlineStr">
        <is>
          <t>Carried forward</t>
        </is>
      </c>
      <c r="J1330" s="14" t="inlineStr">
        <is>
          <t>08 CROSSWALK</t>
        </is>
      </c>
    </row>
    <row r="1331" ht="49" customHeight="1">
      <c r="A1331" s="23" t="inlineStr">
        <is>
          <t>R1498-v2</t>
        </is>
      </c>
      <c r="B1331" s="23" t="inlineStr">
        <is>
          <t>Cost &amp; Forecast Control Accounts / CST-06-016</t>
        </is>
      </c>
      <c r="C1331" s="23" t="inlineStr">
        <is>
          <t>Cost Account = CA-6016; WBS Code = 1.6.2</t>
        </is>
      </c>
      <c r="D1331" s="23" t="inlineStr">
        <is>
          <t>Proposed by Source assignment; target 1.6.2 Program Management - Commercial &amp; Procurement</t>
        </is>
      </c>
      <c r="E1331" s="23" t="inlineStr">
        <is>
          <t>None recorded</t>
        </is>
      </c>
      <c r="F1331" s="23" t="inlineStr">
        <is>
          <t>No individual professional decision recorded; Source assignment -- not individually reviewed</t>
        </is>
      </c>
      <c r="G1331" s="23" t="inlineStr">
        <is>
          <t>Not individually decided</t>
        </is>
      </c>
      <c r="H1331" s="23" t="inlineStr">
        <is>
          <t xml:space="preserve">RETAINED / ONE_TO_ONE; </t>
        </is>
      </c>
      <c r="I1331" s="23" t="inlineStr">
        <is>
          <t>Carried forward</t>
        </is>
      </c>
      <c r="J1331" s="14" t="inlineStr">
        <is>
          <t>08 CROSSWALK</t>
        </is>
      </c>
    </row>
    <row r="1332" ht="49" customHeight="1">
      <c r="A1332" s="23" t="inlineStr">
        <is>
          <t>R1500-v2</t>
        </is>
      </c>
      <c r="B1332" s="23" t="inlineStr">
        <is>
          <t>Cost &amp; Forecast Control Accounts / CST-06-018</t>
        </is>
      </c>
      <c r="C1332" s="23" t="inlineStr">
        <is>
          <t>Cost Account = CA-6018; WBS Code = 1.6.2</t>
        </is>
      </c>
      <c r="D1332" s="23" t="inlineStr">
        <is>
          <t>Proposed by Source assignment; target 1.6.2 Program Management - Commercial &amp; Procurement</t>
        </is>
      </c>
      <c r="E1332" s="23" t="inlineStr">
        <is>
          <t>None recorded</t>
        </is>
      </c>
      <c r="F1332" s="23" t="inlineStr">
        <is>
          <t>No individual professional decision recorded; Source assignment -- not individually reviewed</t>
        </is>
      </c>
      <c r="G1332" s="23" t="inlineStr">
        <is>
          <t>Not individually decided</t>
        </is>
      </c>
      <c r="H1332" s="23" t="inlineStr">
        <is>
          <t xml:space="preserve">RETAINED / ONE_TO_ONE; </t>
        </is>
      </c>
      <c r="I1332" s="23" t="inlineStr">
        <is>
          <t>Carried forward</t>
        </is>
      </c>
      <c r="J1332" s="14" t="inlineStr">
        <is>
          <t>08 CROSSWALK</t>
        </is>
      </c>
    </row>
    <row r="1333" ht="49" customHeight="1">
      <c r="A1333" s="23" t="inlineStr">
        <is>
          <t>R1502-v2</t>
        </is>
      </c>
      <c r="B1333" s="23" t="inlineStr">
        <is>
          <t>Cost &amp; Forecast Control Accounts / CST-06-020</t>
        </is>
      </c>
      <c r="C1333" s="23" t="inlineStr">
        <is>
          <t>Cost Account = CA-6020; WBS Code = 1.6.2</t>
        </is>
      </c>
      <c r="D1333" s="23" t="inlineStr">
        <is>
          <t>Proposed by Source assignment; target 1.6.2 Program Management - Commercial &amp; Procurement</t>
        </is>
      </c>
      <c r="E1333" s="23" t="inlineStr">
        <is>
          <t>None recorded</t>
        </is>
      </c>
      <c r="F1333" s="23" t="inlineStr">
        <is>
          <t>No individual professional decision recorded; Source assignment -- not individually reviewed</t>
        </is>
      </c>
      <c r="G1333" s="23" t="inlineStr">
        <is>
          <t>Not individually decided</t>
        </is>
      </c>
      <c r="H1333" s="23" t="inlineStr">
        <is>
          <t xml:space="preserve">RETAINED / ONE_TO_ONE; </t>
        </is>
      </c>
      <c r="I1333" s="23" t="inlineStr">
        <is>
          <t>Carried forward</t>
        </is>
      </c>
      <c r="J1333" s="14" t="inlineStr">
        <is>
          <t>08 CROSSWALK</t>
        </is>
      </c>
    </row>
    <row r="1334" ht="49" customHeight="1">
      <c r="A1334" s="23" t="inlineStr">
        <is>
          <t>R1504-v2</t>
        </is>
      </c>
      <c r="B1334" s="23" t="inlineStr">
        <is>
          <t>Cost &amp; Forecast Control Accounts / CST-06-022</t>
        </is>
      </c>
      <c r="C1334" s="23" t="inlineStr">
        <is>
          <t>Cost Account = CA-6022; WBS Code = 1.6.2</t>
        </is>
      </c>
      <c r="D1334" s="23" t="inlineStr">
        <is>
          <t>Proposed by Source assignment; target 1.6.2 Program Management - Commercial &amp; Procurement</t>
        </is>
      </c>
      <c r="E1334" s="23" t="inlineStr">
        <is>
          <t>None recorded</t>
        </is>
      </c>
      <c r="F1334" s="23" t="inlineStr">
        <is>
          <t>No individual professional decision recorded; Source assignment -- not individually reviewed</t>
        </is>
      </c>
      <c r="G1334" s="23" t="inlineStr">
        <is>
          <t>Not individually decided</t>
        </is>
      </c>
      <c r="H1334" s="23" t="inlineStr">
        <is>
          <t xml:space="preserve">RETAINED / ONE_TO_ONE; </t>
        </is>
      </c>
      <c r="I1334" s="23" t="inlineStr">
        <is>
          <t>Carried forward</t>
        </is>
      </c>
      <c r="J1334" s="14" t="inlineStr">
        <is>
          <t>08 CROSSWALK</t>
        </is>
      </c>
    </row>
    <row r="1335" ht="49" customHeight="1">
      <c r="A1335" s="23" t="inlineStr">
        <is>
          <t>R1506-v2</t>
        </is>
      </c>
      <c r="B1335" s="23" t="inlineStr">
        <is>
          <t>Cost &amp; Forecast Control Accounts / CST-06-024</t>
        </is>
      </c>
      <c r="C1335" s="23" t="inlineStr">
        <is>
          <t>Cost Account = CA-6024; WBS Code = 1.6.2</t>
        </is>
      </c>
      <c r="D1335" s="23" t="inlineStr">
        <is>
          <t>Proposed by Source assignment; target 1.6.2 Program Management - Commercial &amp; Procurement</t>
        </is>
      </c>
      <c r="E1335" s="23" t="inlineStr">
        <is>
          <t>None recorded</t>
        </is>
      </c>
      <c r="F1335" s="23" t="inlineStr">
        <is>
          <t>No individual professional decision recorded; Source assignment -- not individually reviewed</t>
        </is>
      </c>
      <c r="G1335" s="23" t="inlineStr">
        <is>
          <t>Not individually decided</t>
        </is>
      </c>
      <c r="H1335" s="23" t="inlineStr">
        <is>
          <t xml:space="preserve">RETAINED / ONE_TO_ONE; </t>
        </is>
      </c>
      <c r="I1335" s="23" t="inlineStr">
        <is>
          <t>Carried forward</t>
        </is>
      </c>
      <c r="J1335" s="14" t="inlineStr">
        <is>
          <t>08 CROSSWALK</t>
        </is>
      </c>
    </row>
    <row r="1336" ht="49" customHeight="1">
      <c r="A1336" s="23" t="inlineStr">
        <is>
          <t>R1508-v2</t>
        </is>
      </c>
      <c r="B1336" s="23" t="inlineStr">
        <is>
          <t>Cost &amp; Forecast Control Accounts / CST-06-026</t>
        </is>
      </c>
      <c r="C1336" s="23" t="inlineStr">
        <is>
          <t>Cost Account = CA-6026; WBS Code = 1.6.2</t>
        </is>
      </c>
      <c r="D1336" s="23" t="inlineStr">
        <is>
          <t>Proposed by Source assignment; target 1.6.2 Program Management - Commercial &amp; Procurement</t>
        </is>
      </c>
      <c r="E1336" s="23" t="inlineStr">
        <is>
          <t>None recorded</t>
        </is>
      </c>
      <c r="F1336" s="23" t="inlineStr">
        <is>
          <t>No individual professional decision recorded; Source assignment -- not individually reviewed</t>
        </is>
      </c>
      <c r="G1336" s="23" t="inlineStr">
        <is>
          <t>Not individually decided</t>
        </is>
      </c>
      <c r="H1336" s="23" t="inlineStr">
        <is>
          <t xml:space="preserve">RETAINED / ONE_TO_ONE; </t>
        </is>
      </c>
      <c r="I1336" s="23" t="inlineStr">
        <is>
          <t>Carried forward</t>
        </is>
      </c>
      <c r="J1336" s="14" t="inlineStr">
        <is>
          <t>08 CROSSWALK</t>
        </is>
      </c>
    </row>
    <row r="1337" ht="49" customHeight="1">
      <c r="A1337" s="23" t="inlineStr">
        <is>
          <t>R1510-v2</t>
        </is>
      </c>
      <c r="B1337" s="23" t="inlineStr">
        <is>
          <t>Cost &amp; Forecast Control Accounts / CST-06-028</t>
        </is>
      </c>
      <c r="C1337" s="23" t="inlineStr">
        <is>
          <t>Cost Account = CA-6028; WBS Code = 1.6.2</t>
        </is>
      </c>
      <c r="D1337" s="23" t="inlineStr">
        <is>
          <t>Proposed by Source assignment; target 1.6.2 Program Management - Commercial &amp; Procurement</t>
        </is>
      </c>
      <c r="E1337" s="23" t="inlineStr">
        <is>
          <t>None recorded</t>
        </is>
      </c>
      <c r="F1337" s="23" t="inlineStr">
        <is>
          <t>No individual professional decision recorded; Source assignment -- not individually reviewed</t>
        </is>
      </c>
      <c r="G1337" s="23" t="inlineStr">
        <is>
          <t>Not individually decided</t>
        </is>
      </c>
      <c r="H1337" s="23" t="inlineStr">
        <is>
          <t xml:space="preserve">RETAINED / ONE_TO_ONE; </t>
        </is>
      </c>
      <c r="I1337" s="23" t="inlineStr">
        <is>
          <t>Carried forward</t>
        </is>
      </c>
      <c r="J1337" s="14" t="inlineStr">
        <is>
          <t>08 CROSSWALK</t>
        </is>
      </c>
    </row>
    <row r="1338" ht="49" customHeight="1">
      <c r="A1338" s="23" t="inlineStr">
        <is>
          <t>R1512-v2</t>
        </is>
      </c>
      <c r="B1338" s="23" t="inlineStr">
        <is>
          <t>Cost &amp; Forecast Control Accounts / CST-06-030</t>
        </is>
      </c>
      <c r="C1338" s="23" t="inlineStr">
        <is>
          <t>Cost Account = CA-6030; WBS Code = 1.6.2</t>
        </is>
      </c>
      <c r="D1338" s="23" t="inlineStr">
        <is>
          <t>Proposed by Source assignment; target 1.6.2 Program Management - Commercial &amp; Procurement</t>
        </is>
      </c>
      <c r="E1338" s="23" t="inlineStr">
        <is>
          <t>None recorded</t>
        </is>
      </c>
      <c r="F1338" s="23" t="inlineStr">
        <is>
          <t>No individual professional decision recorded; Source assignment -- not individually reviewed</t>
        </is>
      </c>
      <c r="G1338" s="23" t="inlineStr">
        <is>
          <t>Not individually decided</t>
        </is>
      </c>
      <c r="H1338" s="23" t="inlineStr">
        <is>
          <t xml:space="preserve">RETAINED / ONE_TO_ONE; </t>
        </is>
      </c>
      <c r="I1338" s="23" t="inlineStr">
        <is>
          <t>Carried forward</t>
        </is>
      </c>
      <c r="J1338" s="14" t="inlineStr">
        <is>
          <t>08 CROSSWALK</t>
        </is>
      </c>
    </row>
    <row r="1339" ht="49" customHeight="1">
      <c r="A1339" s="23" t="inlineStr">
        <is>
          <t>R1514-v2</t>
        </is>
      </c>
      <c r="B1339" s="23" t="inlineStr">
        <is>
          <t>Cost &amp; Forecast Control Accounts / CST-06-032</t>
        </is>
      </c>
      <c r="C1339" s="23" t="inlineStr">
        <is>
          <t>Cost Account = CA-6032; WBS Code = 1.6.2</t>
        </is>
      </c>
      <c r="D1339" s="23" t="inlineStr">
        <is>
          <t>Proposed by Source assignment; target 1.6.2 Program Management - Commercial &amp; Procurement</t>
        </is>
      </c>
      <c r="E1339" s="23" t="inlineStr">
        <is>
          <t>None recorded</t>
        </is>
      </c>
      <c r="F1339" s="23" t="inlineStr">
        <is>
          <t>No individual professional decision recorded; Source assignment -- not individually reviewed</t>
        </is>
      </c>
      <c r="G1339" s="23" t="inlineStr">
        <is>
          <t>Not individually decided</t>
        </is>
      </c>
      <c r="H1339" s="23" t="inlineStr">
        <is>
          <t xml:space="preserve">RETAINED / ONE_TO_ONE; </t>
        </is>
      </c>
      <c r="I1339" s="23" t="inlineStr">
        <is>
          <t>Carried forward</t>
        </is>
      </c>
      <c r="J1339" s="14" t="inlineStr">
        <is>
          <t>08 CROSSWALK</t>
        </is>
      </c>
    </row>
    <row r="1340" ht="49" customHeight="1">
      <c r="A1340" s="23" t="inlineStr">
        <is>
          <t>R1516-v2</t>
        </is>
      </c>
      <c r="B1340" s="23" t="inlineStr">
        <is>
          <t>Cost &amp; Forecast Control Accounts / CST-06-034</t>
        </is>
      </c>
      <c r="C1340" s="23" t="inlineStr">
        <is>
          <t>Cost Account = CA-6034; WBS Code = 1.6.2</t>
        </is>
      </c>
      <c r="D1340" s="23" t="inlineStr">
        <is>
          <t>Proposed by Source assignment; target 1.6.2 Program Management - Commercial &amp; Procurement</t>
        </is>
      </c>
      <c r="E1340" s="23" t="inlineStr">
        <is>
          <t>None recorded</t>
        </is>
      </c>
      <c r="F1340" s="23" t="inlineStr">
        <is>
          <t>No individual professional decision recorded; Source assignment -- not individually reviewed</t>
        </is>
      </c>
      <c r="G1340" s="23" t="inlineStr">
        <is>
          <t>Not individually decided</t>
        </is>
      </c>
      <c r="H1340" s="23" t="inlineStr">
        <is>
          <t xml:space="preserve">RETAINED / ONE_TO_ONE; </t>
        </is>
      </c>
      <c r="I1340" s="23" t="inlineStr">
        <is>
          <t>Carried forward</t>
        </is>
      </c>
      <c r="J1340" s="14" t="inlineStr">
        <is>
          <t>08 CROSSWALK</t>
        </is>
      </c>
    </row>
    <row r="1341" ht="49" customHeight="1">
      <c r="A1341" s="23" t="inlineStr">
        <is>
          <t>R1518-v2</t>
        </is>
      </c>
      <c r="B1341" s="23" t="inlineStr">
        <is>
          <t>Cost &amp; Forecast Control Accounts / CST-06-036</t>
        </is>
      </c>
      <c r="C1341" s="23" t="inlineStr">
        <is>
          <t>Cost Account = CA-6036; WBS Code = 1.6.2</t>
        </is>
      </c>
      <c r="D1341" s="23" t="inlineStr">
        <is>
          <t>Proposed by Source assignment; target 1.6.2 Program Management - Commercial &amp; Procurement</t>
        </is>
      </c>
      <c r="E1341" s="23" t="inlineStr">
        <is>
          <t>None recorded</t>
        </is>
      </c>
      <c r="F1341" s="23" t="inlineStr">
        <is>
          <t>No individual professional decision recorded; Source assignment -- not individually reviewed</t>
        </is>
      </c>
      <c r="G1341" s="23" t="inlineStr">
        <is>
          <t>Not individually decided</t>
        </is>
      </c>
      <c r="H1341" s="23" t="inlineStr">
        <is>
          <t xml:space="preserve">RETAINED / ONE_TO_ONE; </t>
        </is>
      </c>
      <c r="I1341" s="23" t="inlineStr">
        <is>
          <t>Carried forward</t>
        </is>
      </c>
      <c r="J1341" s="14" t="inlineStr">
        <is>
          <t>08 CROSSWALK</t>
        </is>
      </c>
    </row>
    <row r="1342" ht="49" customHeight="1">
      <c r="A1342" s="23" t="inlineStr">
        <is>
          <t>R1520-v2</t>
        </is>
      </c>
      <c r="B1342" s="23" t="inlineStr">
        <is>
          <t>Cost &amp; Forecast Control Accounts / CST-06-038</t>
        </is>
      </c>
      <c r="C1342" s="23" t="inlineStr">
        <is>
          <t>Cost Account = CA-6038; WBS Code = 1.6.2</t>
        </is>
      </c>
      <c r="D1342" s="23" t="inlineStr">
        <is>
          <t>Proposed by Source assignment; target 1.6.2 Program Management - Commercial &amp; Procurement</t>
        </is>
      </c>
      <c r="E1342" s="23" t="inlineStr">
        <is>
          <t>None recorded</t>
        </is>
      </c>
      <c r="F1342" s="23" t="inlineStr">
        <is>
          <t>No individual professional decision recorded; Source assignment -- not individually reviewed</t>
        </is>
      </c>
      <c r="G1342" s="23" t="inlineStr">
        <is>
          <t>Not individually decided</t>
        </is>
      </c>
      <c r="H1342" s="23" t="inlineStr">
        <is>
          <t xml:space="preserve">RETAINED / ONE_TO_ONE; </t>
        </is>
      </c>
      <c r="I1342" s="23" t="inlineStr">
        <is>
          <t>Carried forward</t>
        </is>
      </c>
      <c r="J1342" s="14" t="inlineStr">
        <is>
          <t>08 CROSSWALK</t>
        </is>
      </c>
    </row>
    <row r="1343" ht="49" customHeight="1">
      <c r="A1343" s="23" t="inlineStr">
        <is>
          <t>R1522-v2</t>
        </is>
      </c>
      <c r="B1343" s="23" t="inlineStr">
        <is>
          <t>Cost &amp; Forecast Control Accounts / CST-06-040</t>
        </is>
      </c>
      <c r="C1343" s="23" t="inlineStr">
        <is>
          <t>Cost Account = CA-6040; WBS Code = 1.6.2</t>
        </is>
      </c>
      <c r="D1343" s="23" t="inlineStr">
        <is>
          <t>Proposed by Source assignment; target 1.6.2 Program Management - Commercial &amp; Procurement</t>
        </is>
      </c>
      <c r="E1343" s="23" t="inlineStr">
        <is>
          <t>None recorded</t>
        </is>
      </c>
      <c r="F1343" s="23" t="inlineStr">
        <is>
          <t>No individual professional decision recorded; Source assignment -- not individually reviewed</t>
        </is>
      </c>
      <c r="G1343" s="23" t="inlineStr">
        <is>
          <t>Not individually decided</t>
        </is>
      </c>
      <c r="H1343" s="23" t="inlineStr">
        <is>
          <t xml:space="preserve">RETAINED / ONE_TO_ONE; </t>
        </is>
      </c>
      <c r="I1343" s="23" t="inlineStr">
        <is>
          <t>Carried forward</t>
        </is>
      </c>
      <c r="J1343" s="14" t="inlineStr">
        <is>
          <t>08 CROSSWALK</t>
        </is>
      </c>
    </row>
    <row r="1344" ht="49" customHeight="1">
      <c r="A1344" s="23" t="inlineStr">
        <is>
          <t>R1524-v2</t>
        </is>
      </c>
      <c r="B1344" s="23" t="inlineStr">
        <is>
          <t>Cost &amp; Forecast Control Accounts / CST-06-042</t>
        </is>
      </c>
      <c r="C1344" s="23" t="inlineStr">
        <is>
          <t>Cost Account = CA-6042; WBS Code = 1.6.2</t>
        </is>
      </c>
      <c r="D1344" s="23" t="inlineStr">
        <is>
          <t>Proposed by Source assignment; target 1.6.2 Program Management - Commercial &amp; Procurement</t>
        </is>
      </c>
      <c r="E1344" s="23" t="inlineStr">
        <is>
          <t>None recorded</t>
        </is>
      </c>
      <c r="F1344" s="23" t="inlineStr">
        <is>
          <t>No individual professional decision recorded; Source assignment -- not individually reviewed</t>
        </is>
      </c>
      <c r="G1344" s="23" t="inlineStr">
        <is>
          <t>Not individually decided</t>
        </is>
      </c>
      <c r="H1344" s="23" t="inlineStr">
        <is>
          <t xml:space="preserve">RETAINED / ONE_TO_ONE; </t>
        </is>
      </c>
      <c r="I1344" s="23" t="inlineStr">
        <is>
          <t>Carried forward</t>
        </is>
      </c>
      <c r="J1344" s="14" t="inlineStr">
        <is>
          <t>08 CROSSWALK</t>
        </is>
      </c>
    </row>
    <row r="1345" ht="49" customHeight="1">
      <c r="A1345" s="23" t="inlineStr">
        <is>
          <t>R1526-v2</t>
        </is>
      </c>
      <c r="B1345" s="23" t="inlineStr">
        <is>
          <t>Cost &amp; Forecast Control Accounts / CST-06-044</t>
        </is>
      </c>
      <c r="C1345" s="23" t="inlineStr">
        <is>
          <t>Cost Account = CA-6044; WBS Code = 1.6.2</t>
        </is>
      </c>
      <c r="D1345" s="23" t="inlineStr">
        <is>
          <t>Proposed by Source assignment; target 1.6.2 Program Management - Commercial &amp; Procurement</t>
        </is>
      </c>
      <c r="E1345" s="23" t="inlineStr">
        <is>
          <t>None recorded</t>
        </is>
      </c>
      <c r="F1345" s="23" t="inlineStr">
        <is>
          <t>No individual professional decision recorded; Source assignment -- not individually reviewed</t>
        </is>
      </c>
      <c r="G1345" s="23" t="inlineStr">
        <is>
          <t>Not individually decided</t>
        </is>
      </c>
      <c r="H1345" s="23" t="inlineStr">
        <is>
          <t xml:space="preserve">RETAINED / ONE_TO_ONE; </t>
        </is>
      </c>
      <c r="I1345" s="23" t="inlineStr">
        <is>
          <t>Carried forward</t>
        </is>
      </c>
      <c r="J1345" s="14" t="inlineStr">
        <is>
          <t>08 CROSSWALK</t>
        </is>
      </c>
    </row>
    <row r="1346" ht="49" customHeight="1">
      <c r="A1346" s="23" t="inlineStr">
        <is>
          <t>R1528-v2</t>
        </is>
      </c>
      <c r="B1346" s="23" t="inlineStr">
        <is>
          <t>Cost &amp; Forecast Control Accounts / CST-06-046</t>
        </is>
      </c>
      <c r="C1346" s="23" t="inlineStr">
        <is>
          <t>Cost Account = CA-6046; WBS Code = 1.6.2</t>
        </is>
      </c>
      <c r="D1346" s="23" t="inlineStr">
        <is>
          <t>Proposed by Source assignment; target 1.6.2 Program Management - Commercial &amp; Procurement</t>
        </is>
      </c>
      <c r="E1346" s="23" t="inlineStr">
        <is>
          <t>None recorded</t>
        </is>
      </c>
      <c r="F1346" s="23" t="inlineStr">
        <is>
          <t>No individual professional decision recorded; Source assignment -- not individually reviewed</t>
        </is>
      </c>
      <c r="G1346" s="23" t="inlineStr">
        <is>
          <t>Not individually decided</t>
        </is>
      </c>
      <c r="H1346" s="23" t="inlineStr">
        <is>
          <t xml:space="preserve">RETAINED / ONE_TO_ONE; </t>
        </is>
      </c>
      <c r="I1346" s="23" t="inlineStr">
        <is>
          <t>Carried forward</t>
        </is>
      </c>
      <c r="J1346" s="14" t="inlineStr">
        <is>
          <t>08 CROSSWALK</t>
        </is>
      </c>
    </row>
    <row r="1347" ht="49" customHeight="1">
      <c r="A1347" s="23" t="inlineStr">
        <is>
          <t>R1530-v2</t>
        </is>
      </c>
      <c r="B1347" s="23" t="inlineStr">
        <is>
          <t>Cost &amp; Forecast Control Accounts / CST-06-048</t>
        </is>
      </c>
      <c r="C1347" s="23" t="inlineStr">
        <is>
          <t>Cost Account = CA-6048; WBS Code = 1.6.2</t>
        </is>
      </c>
      <c r="D1347" s="23" t="inlineStr">
        <is>
          <t>Proposed by Source assignment; target 1.6.2 Program Management - Commercial &amp; Procurement</t>
        </is>
      </c>
      <c r="E1347" s="23" t="inlineStr">
        <is>
          <t>None recorded</t>
        </is>
      </c>
      <c r="F1347" s="23" t="inlineStr">
        <is>
          <t>No individual professional decision recorded; Source assignment -- not individually reviewed</t>
        </is>
      </c>
      <c r="G1347" s="23" t="inlineStr">
        <is>
          <t>Not individually decided</t>
        </is>
      </c>
      <c r="H1347" s="23" t="inlineStr">
        <is>
          <t xml:space="preserve">RETAINED / ONE_TO_ONE; </t>
        </is>
      </c>
      <c r="I1347" s="23" t="inlineStr">
        <is>
          <t>Carried forward</t>
        </is>
      </c>
      <c r="J1347" s="14" t="inlineStr">
        <is>
          <t>08 CROSSWALK</t>
        </is>
      </c>
    </row>
    <row r="1348" ht="49" customHeight="1">
      <c r="A1348" s="23" t="inlineStr">
        <is>
          <t>R1532-v2</t>
        </is>
      </c>
      <c r="B1348" s="23" t="inlineStr">
        <is>
          <t>Cost &amp; Forecast Control Accounts / CST-06-050</t>
        </is>
      </c>
      <c r="C1348" s="23" t="inlineStr">
        <is>
          <t>Cost Account = CA-6050; WBS Code = 1.6.2</t>
        </is>
      </c>
      <c r="D1348" s="23" t="inlineStr">
        <is>
          <t>Proposed by Source assignment; target 1.6.2 Program Management - Commercial &amp; Procurement</t>
        </is>
      </c>
      <c r="E1348" s="23" t="inlineStr">
        <is>
          <t>None recorded</t>
        </is>
      </c>
      <c r="F1348" s="23" t="inlineStr">
        <is>
          <t>No individual professional decision recorded; Source assignment -- not individually reviewed</t>
        </is>
      </c>
      <c r="G1348" s="23" t="inlineStr">
        <is>
          <t>Not individually decided</t>
        </is>
      </c>
      <c r="H1348" s="23" t="inlineStr">
        <is>
          <t xml:space="preserve">RETAINED / ONE_TO_ONE; </t>
        </is>
      </c>
      <c r="I1348" s="23" t="inlineStr">
        <is>
          <t>Carried forward</t>
        </is>
      </c>
      <c r="J1348" s="14" t="inlineStr">
        <is>
          <t>08 CROSSWALK</t>
        </is>
      </c>
    </row>
    <row r="1349" ht="49" customHeight="1">
      <c r="A1349" s="23" t="inlineStr">
        <is>
          <t>R1534-v2</t>
        </is>
      </c>
      <c r="B1349" s="23" t="inlineStr">
        <is>
          <t>Cost &amp; Forecast Control Accounts / CST-06-052</t>
        </is>
      </c>
      <c r="C1349" s="23" t="inlineStr">
        <is>
          <t>Cost Account = CA-6052; WBS Code = 1.6.2</t>
        </is>
      </c>
      <c r="D1349" s="23" t="inlineStr">
        <is>
          <t>Proposed by Source assignment; target 1.6.2 Program Management - Commercial &amp; Procurement</t>
        </is>
      </c>
      <c r="E1349" s="23" t="inlineStr">
        <is>
          <t>None recorded</t>
        </is>
      </c>
      <c r="F1349" s="23" t="inlineStr">
        <is>
          <t>No individual professional decision recorded; Source assignment -- not individually reviewed</t>
        </is>
      </c>
      <c r="G1349" s="23" t="inlineStr">
        <is>
          <t>Not individually decided</t>
        </is>
      </c>
      <c r="H1349" s="23" t="inlineStr">
        <is>
          <t xml:space="preserve">RETAINED / ONE_TO_ONE; </t>
        </is>
      </c>
      <c r="I1349" s="23" t="inlineStr">
        <is>
          <t>Carried forward</t>
        </is>
      </c>
      <c r="J1349" s="14" t="inlineStr">
        <is>
          <t>08 CROSSWALK</t>
        </is>
      </c>
    </row>
    <row r="1350" ht="49" customHeight="1">
      <c r="A1350" s="23" t="inlineStr">
        <is>
          <t>R1536-v2</t>
        </is>
      </c>
      <c r="B1350" s="23" t="inlineStr">
        <is>
          <t>Cost &amp; Forecast Control Accounts / CST-06-054</t>
        </is>
      </c>
      <c r="C1350" s="23" t="inlineStr">
        <is>
          <t>Cost Account = CA-6054; WBS Code = 1.6.2</t>
        </is>
      </c>
      <c r="D1350" s="23" t="inlineStr">
        <is>
          <t>Proposed by Source assignment; target 1.6.2 Program Management - Commercial &amp; Procurement</t>
        </is>
      </c>
      <c r="E1350" s="23" t="inlineStr">
        <is>
          <t>None recorded</t>
        </is>
      </c>
      <c r="F1350" s="23" t="inlineStr">
        <is>
          <t>No individual professional decision recorded; Source assignment -- not individually reviewed</t>
        </is>
      </c>
      <c r="G1350" s="23" t="inlineStr">
        <is>
          <t>Not individually decided</t>
        </is>
      </c>
      <c r="H1350" s="23" t="inlineStr">
        <is>
          <t xml:space="preserve">RETAINED / ONE_TO_ONE; </t>
        </is>
      </c>
      <c r="I1350" s="23" t="inlineStr">
        <is>
          <t>Carried forward</t>
        </is>
      </c>
      <c r="J1350" s="14" t="inlineStr">
        <is>
          <t>08 CROSSWALK</t>
        </is>
      </c>
    </row>
    <row r="1351" ht="49" customHeight="1">
      <c r="A1351" s="23" t="inlineStr">
        <is>
          <t>R1538-v2</t>
        </is>
      </c>
      <c r="B1351" s="23" t="inlineStr">
        <is>
          <t>Cost &amp; Forecast Control Accounts / CST-06-056</t>
        </is>
      </c>
      <c r="C1351" s="23" t="inlineStr">
        <is>
          <t>Cost Account = CA-6056; WBS Code = 1.6.2</t>
        </is>
      </c>
      <c r="D1351" s="23" t="inlineStr">
        <is>
          <t>Proposed by Source assignment; target 1.6.2 Program Management - Commercial &amp; Procurement</t>
        </is>
      </c>
      <c r="E1351" s="23" t="inlineStr">
        <is>
          <t>None recorded</t>
        </is>
      </c>
      <c r="F1351" s="23" t="inlineStr">
        <is>
          <t>No individual professional decision recorded; Source assignment -- not individually reviewed</t>
        </is>
      </c>
      <c r="G1351" s="23" t="inlineStr">
        <is>
          <t>Not individually decided</t>
        </is>
      </c>
      <c r="H1351" s="23" t="inlineStr">
        <is>
          <t xml:space="preserve">RETAINED / ONE_TO_ONE; </t>
        </is>
      </c>
      <c r="I1351" s="23" t="inlineStr">
        <is>
          <t>Carried forward</t>
        </is>
      </c>
      <c r="J1351" s="14" t="inlineStr">
        <is>
          <t>08 CROSSWALK</t>
        </is>
      </c>
    </row>
    <row r="1352" ht="49" customHeight="1">
      <c r="A1352" s="23" t="inlineStr">
        <is>
          <t>R1540-v2</t>
        </is>
      </c>
      <c r="B1352" s="23" t="inlineStr">
        <is>
          <t>Cost &amp; Forecast Control Accounts / CST-06-058</t>
        </is>
      </c>
      <c r="C1352" s="23" t="inlineStr">
        <is>
          <t>Cost Account = CA-6058; WBS Code = 1.6.2</t>
        </is>
      </c>
      <c r="D1352" s="23" t="inlineStr">
        <is>
          <t>Proposed by Source assignment; target 1.6.2 Program Management - Commercial &amp; Procurement</t>
        </is>
      </c>
      <c r="E1352" s="23" t="inlineStr">
        <is>
          <t>None recorded</t>
        </is>
      </c>
      <c r="F1352" s="23" t="inlineStr">
        <is>
          <t>No individual professional decision recorded; Source assignment -- not individually reviewed</t>
        </is>
      </c>
      <c r="G1352" s="23" t="inlineStr">
        <is>
          <t>Not individually decided</t>
        </is>
      </c>
      <c r="H1352" s="23" t="inlineStr">
        <is>
          <t xml:space="preserve">RETAINED / ONE_TO_ONE; </t>
        </is>
      </c>
      <c r="I1352" s="23" t="inlineStr">
        <is>
          <t>Carried forward</t>
        </is>
      </c>
      <c r="J1352" s="14" t="inlineStr">
        <is>
          <t>08 CROSSWALK</t>
        </is>
      </c>
    </row>
    <row r="1353" ht="49" customHeight="1">
      <c r="A1353" s="23" t="inlineStr">
        <is>
          <t>R1542-v2</t>
        </is>
      </c>
      <c r="B1353" s="23" t="inlineStr">
        <is>
          <t>Cost &amp; Forecast Control Accounts / CST-06-060</t>
        </is>
      </c>
      <c r="C1353" s="23" t="inlineStr">
        <is>
          <t>Cost Account = CA-6060; WBS Code = 1.6.2</t>
        </is>
      </c>
      <c r="D1353" s="23" t="inlineStr">
        <is>
          <t>Proposed by Source assignment; target 1.6.2 Program Management - Commercial &amp; Procurement</t>
        </is>
      </c>
      <c r="E1353" s="23" t="inlineStr">
        <is>
          <t>None recorded</t>
        </is>
      </c>
      <c r="F1353" s="23" t="inlineStr">
        <is>
          <t>No individual professional decision recorded; Source assignment -- not individually reviewed</t>
        </is>
      </c>
      <c r="G1353" s="23" t="inlineStr">
        <is>
          <t>Not individually decided</t>
        </is>
      </c>
      <c r="H1353" s="23" t="inlineStr">
        <is>
          <t xml:space="preserve">RETAINED / ONE_TO_ONE; </t>
        </is>
      </c>
      <c r="I1353" s="23" t="inlineStr">
        <is>
          <t>Carried forward</t>
        </is>
      </c>
      <c r="J1353" s="14" t="inlineStr">
        <is>
          <t>08 CROSSWALK</t>
        </is>
      </c>
    </row>
    <row r="1354" ht="49" customHeight="1">
      <c r="A1354" s="23" t="inlineStr">
        <is>
          <t>R1544-v2</t>
        </is>
      </c>
      <c r="B1354" s="23" t="inlineStr">
        <is>
          <t>Cost &amp; Forecast Control Accounts / CST-06-062</t>
        </is>
      </c>
      <c r="C1354" s="23" t="inlineStr">
        <is>
          <t>Cost Account = CA-6062; WBS Code = 1.6.2</t>
        </is>
      </c>
      <c r="D1354" s="23" t="inlineStr">
        <is>
          <t>Proposed by Source assignment; target 1.6.2 Program Management - Commercial &amp; Procurement</t>
        </is>
      </c>
      <c r="E1354" s="23" t="inlineStr">
        <is>
          <t>None recorded</t>
        </is>
      </c>
      <c r="F1354" s="23" t="inlineStr">
        <is>
          <t>No individual professional decision recorded; Source assignment -- not individually reviewed</t>
        </is>
      </c>
      <c r="G1354" s="23" t="inlineStr">
        <is>
          <t>Not individually decided</t>
        </is>
      </c>
      <c r="H1354" s="23" t="inlineStr">
        <is>
          <t xml:space="preserve">RETAINED / ONE_TO_ONE; </t>
        </is>
      </c>
      <c r="I1354" s="23" t="inlineStr">
        <is>
          <t>Carried forward</t>
        </is>
      </c>
      <c r="J1354" s="14" t="inlineStr">
        <is>
          <t>08 CROSSWALK</t>
        </is>
      </c>
    </row>
    <row r="1355" ht="49" customHeight="1">
      <c r="A1355" s="23" t="inlineStr">
        <is>
          <t>R1546-v2</t>
        </is>
      </c>
      <c r="B1355" s="23" t="inlineStr">
        <is>
          <t>Cost &amp; Forecast Control Accounts / CST-06-064</t>
        </is>
      </c>
      <c r="C1355" s="23" t="inlineStr">
        <is>
          <t>Cost Account = CA-6064; WBS Code = 1.6.2</t>
        </is>
      </c>
      <c r="D1355" s="23" t="inlineStr">
        <is>
          <t>Proposed by Source assignment; target 1.6.2 Program Management - Commercial &amp; Procurement</t>
        </is>
      </c>
      <c r="E1355" s="23" t="inlineStr">
        <is>
          <t>None recorded</t>
        </is>
      </c>
      <c r="F1355" s="23" t="inlineStr">
        <is>
          <t>No individual professional decision recorded; Source assignment -- not individually reviewed</t>
        </is>
      </c>
      <c r="G1355" s="23" t="inlineStr">
        <is>
          <t>Not individually decided</t>
        </is>
      </c>
      <c r="H1355" s="23" t="inlineStr">
        <is>
          <t xml:space="preserve">RETAINED / ONE_TO_ONE; </t>
        </is>
      </c>
      <c r="I1355" s="23" t="inlineStr">
        <is>
          <t>Carried forward</t>
        </is>
      </c>
      <c r="J1355" s="14" t="inlineStr">
        <is>
          <t>08 CROSSWALK</t>
        </is>
      </c>
    </row>
    <row r="1356" ht="49" customHeight="1">
      <c r="A1356" s="23" t="inlineStr">
        <is>
          <t>R1548-v2</t>
        </is>
      </c>
      <c r="B1356" s="23" t="inlineStr">
        <is>
          <t>Cost &amp; Forecast Control Accounts / CST-06-066</t>
        </is>
      </c>
      <c r="C1356" s="23" t="inlineStr">
        <is>
          <t>Cost Account = CA-6066; WBS Code = 1.6.2</t>
        </is>
      </c>
      <c r="D1356" s="23" t="inlineStr">
        <is>
          <t>Proposed by Source assignment; target 1.6.2 Program Management - Commercial &amp; Procurement</t>
        </is>
      </c>
      <c r="E1356" s="23" t="inlineStr">
        <is>
          <t>None recorded</t>
        </is>
      </c>
      <c r="F1356" s="23" t="inlineStr">
        <is>
          <t>No individual professional decision recorded; Source assignment -- not individually reviewed</t>
        </is>
      </c>
      <c r="G1356" s="23" t="inlineStr">
        <is>
          <t>Not individually decided</t>
        </is>
      </c>
      <c r="H1356" s="23" t="inlineStr">
        <is>
          <t xml:space="preserve">RETAINED / ONE_TO_ONE; </t>
        </is>
      </c>
      <c r="I1356" s="23" t="inlineStr">
        <is>
          <t>Carried forward</t>
        </is>
      </c>
      <c r="J1356" s="14" t="inlineStr">
        <is>
          <t>08 CROSSWALK</t>
        </is>
      </c>
    </row>
    <row r="1357" ht="49" customHeight="1">
      <c r="A1357" s="23" t="inlineStr">
        <is>
          <t>R1550-v2</t>
        </is>
      </c>
      <c r="B1357" s="23" t="inlineStr">
        <is>
          <t>Cost &amp; Forecast Control Accounts / CST-06-068</t>
        </is>
      </c>
      <c r="C1357" s="23" t="inlineStr">
        <is>
          <t>Cost Account = CA-6068; WBS Code = 1.6.2</t>
        </is>
      </c>
      <c r="D1357" s="23" t="inlineStr">
        <is>
          <t>Proposed by Source assignment; target 1.6.2 Program Management - Commercial &amp; Procurement</t>
        </is>
      </c>
      <c r="E1357" s="23" t="inlineStr">
        <is>
          <t>None recorded</t>
        </is>
      </c>
      <c r="F1357" s="23" t="inlineStr">
        <is>
          <t>No individual professional decision recorded; Source assignment -- not individually reviewed</t>
        </is>
      </c>
      <c r="G1357" s="23" t="inlineStr">
        <is>
          <t>Not individually decided</t>
        </is>
      </c>
      <c r="H1357" s="23" t="inlineStr">
        <is>
          <t xml:space="preserve">RETAINED / ONE_TO_ONE; </t>
        </is>
      </c>
      <c r="I1357" s="23" t="inlineStr">
        <is>
          <t>Carried forward</t>
        </is>
      </c>
      <c r="J1357" s="14" t="inlineStr">
        <is>
          <t>08 CROSSWALK</t>
        </is>
      </c>
    </row>
    <row r="1358" ht="49" customHeight="1">
      <c r="A1358" s="23" t="inlineStr">
        <is>
          <t>R1552-v2</t>
        </is>
      </c>
      <c r="B1358" s="23" t="inlineStr">
        <is>
          <t>Cost &amp; Forecast Control Accounts / CST-06-070</t>
        </is>
      </c>
      <c r="C1358" s="23" t="inlineStr">
        <is>
          <t>Cost Account = CA-6070; WBS Code = 1.6.2</t>
        </is>
      </c>
      <c r="D1358" s="23" t="inlineStr">
        <is>
          <t>Proposed by Source assignment; target 1.6.2 Program Management - Commercial &amp; Procurement</t>
        </is>
      </c>
      <c r="E1358" s="23" t="inlineStr">
        <is>
          <t>None recorded</t>
        </is>
      </c>
      <c r="F1358" s="23" t="inlineStr">
        <is>
          <t>No individual professional decision recorded; Source assignment -- not individually reviewed</t>
        </is>
      </c>
      <c r="G1358" s="23" t="inlineStr">
        <is>
          <t>Not individually decided</t>
        </is>
      </c>
      <c r="H1358" s="23" t="inlineStr">
        <is>
          <t xml:space="preserve">RETAINED / ONE_TO_ONE; </t>
        </is>
      </c>
      <c r="I1358" s="23" t="inlineStr">
        <is>
          <t>Carried forward</t>
        </is>
      </c>
      <c r="J1358" s="14" t="inlineStr">
        <is>
          <t>08 CROSSWALK</t>
        </is>
      </c>
    </row>
    <row r="1359" ht="49" customHeight="1">
      <c r="A1359" s="23" t="inlineStr">
        <is>
          <t>R1554-v2</t>
        </is>
      </c>
      <c r="B1359" s="23" t="inlineStr">
        <is>
          <t>Cost &amp; Forecast Control Accounts / CST-06-072</t>
        </is>
      </c>
      <c r="C1359" s="23" t="inlineStr">
        <is>
          <t>Cost Account = CA-6072; WBS Code = 1.6.2</t>
        </is>
      </c>
      <c r="D1359" s="23" t="inlineStr">
        <is>
          <t>Proposed by Source assignment; target 1.6.2 Program Management - Commercial &amp; Procurement</t>
        </is>
      </c>
      <c r="E1359" s="23" t="inlineStr">
        <is>
          <t>None recorded</t>
        </is>
      </c>
      <c r="F1359" s="23" t="inlineStr">
        <is>
          <t>No individual professional decision recorded; Source assignment -- not individually reviewed</t>
        </is>
      </c>
      <c r="G1359" s="23" t="inlineStr">
        <is>
          <t>Not individually decided</t>
        </is>
      </c>
      <c r="H1359" s="23" t="inlineStr">
        <is>
          <t xml:space="preserve">RETAINED / ONE_TO_ONE; </t>
        </is>
      </c>
      <c r="I1359" s="23" t="inlineStr">
        <is>
          <t>Carried forward</t>
        </is>
      </c>
      <c r="J1359" s="14" t="inlineStr">
        <is>
          <t>08 CROSSWALK</t>
        </is>
      </c>
    </row>
    <row r="1360" ht="49" customHeight="1">
      <c r="A1360" s="23" t="inlineStr">
        <is>
          <t>R1556-v2</t>
        </is>
      </c>
      <c r="B1360" s="23" t="inlineStr">
        <is>
          <t>Cost &amp; Forecast Control Accounts / CST-06-074</t>
        </is>
      </c>
      <c r="C1360" s="23" t="inlineStr">
        <is>
          <t>Cost Account = CA-6074; WBS Code = 1.6.2</t>
        </is>
      </c>
      <c r="D1360" s="23" t="inlineStr">
        <is>
          <t>Proposed by Source assignment; target 1.6.2 Program Management - Commercial &amp; Procurement</t>
        </is>
      </c>
      <c r="E1360" s="23" t="inlineStr">
        <is>
          <t>None recorded</t>
        </is>
      </c>
      <c r="F1360" s="23" t="inlineStr">
        <is>
          <t>No individual professional decision recorded; Source assignment -- not individually reviewed</t>
        </is>
      </c>
      <c r="G1360" s="23" t="inlineStr">
        <is>
          <t>Not individually decided</t>
        </is>
      </c>
      <c r="H1360" s="23" t="inlineStr">
        <is>
          <t xml:space="preserve">RETAINED / ONE_TO_ONE; </t>
        </is>
      </c>
      <c r="I1360" s="23" t="inlineStr">
        <is>
          <t>Carried forward</t>
        </is>
      </c>
      <c r="J1360" s="14" t="inlineStr">
        <is>
          <t>08 CROSSWALK</t>
        </is>
      </c>
    </row>
    <row r="1361" ht="49" customHeight="1">
      <c r="A1361" s="23" t="inlineStr">
        <is>
          <t>R1558-v2</t>
        </is>
      </c>
      <c r="B1361" s="23" t="inlineStr">
        <is>
          <t>Cost &amp; Forecast Control Accounts / CST-06-076</t>
        </is>
      </c>
      <c r="C1361" s="23" t="inlineStr">
        <is>
          <t>Cost Account = CA-6076; WBS Code = 1.6.2</t>
        </is>
      </c>
      <c r="D1361" s="23" t="inlineStr">
        <is>
          <t>Proposed by Source assignment; target 1.6.2 Program Management - Commercial &amp; Procurement</t>
        </is>
      </c>
      <c r="E1361" s="23" t="inlineStr">
        <is>
          <t>None recorded</t>
        </is>
      </c>
      <c r="F1361" s="23" t="inlineStr">
        <is>
          <t>No individual professional decision recorded; Source assignment -- not individually reviewed</t>
        </is>
      </c>
      <c r="G1361" s="23" t="inlineStr">
        <is>
          <t>Not individually decided</t>
        </is>
      </c>
      <c r="H1361" s="23" t="inlineStr">
        <is>
          <t xml:space="preserve">RETAINED / ONE_TO_ONE; </t>
        </is>
      </c>
      <c r="I1361" s="23" t="inlineStr">
        <is>
          <t>Carried forward</t>
        </is>
      </c>
      <c r="J1361" s="14" t="inlineStr">
        <is>
          <t>08 CROSSWALK</t>
        </is>
      </c>
    </row>
    <row r="1362" ht="49" customHeight="1">
      <c r="A1362" s="23" t="inlineStr">
        <is>
          <t>R1560-v2</t>
        </is>
      </c>
      <c r="B1362" s="23" t="inlineStr">
        <is>
          <t>Cost &amp; Forecast Control Accounts / CST-06-078</t>
        </is>
      </c>
      <c r="C1362" s="23" t="inlineStr">
        <is>
          <t>Cost Account = CA-6078; WBS Code = 1.6.2</t>
        </is>
      </c>
      <c r="D1362" s="23" t="inlineStr">
        <is>
          <t>Proposed by Source assignment; target 1.6.2 Program Management - Commercial &amp; Procurement</t>
        </is>
      </c>
      <c r="E1362" s="23" t="inlineStr">
        <is>
          <t>None recorded</t>
        </is>
      </c>
      <c r="F1362" s="23" t="inlineStr">
        <is>
          <t>No individual professional decision recorded; Source assignment -- not individually reviewed</t>
        </is>
      </c>
      <c r="G1362" s="23" t="inlineStr">
        <is>
          <t>Not individually decided</t>
        </is>
      </c>
      <c r="H1362" s="23" t="inlineStr">
        <is>
          <t xml:space="preserve">RETAINED / ONE_TO_ONE; </t>
        </is>
      </c>
      <c r="I1362" s="23" t="inlineStr">
        <is>
          <t>Carried forward</t>
        </is>
      </c>
      <c r="J1362" s="14" t="inlineStr">
        <is>
          <t>08 CROSSWALK</t>
        </is>
      </c>
    </row>
    <row r="1363" ht="49" customHeight="1">
      <c r="A1363" s="23" t="inlineStr">
        <is>
          <t>R1562-v2</t>
        </is>
      </c>
      <c r="B1363" s="23" t="inlineStr">
        <is>
          <t>Cost &amp; Forecast Control Accounts / CST-06-080</t>
        </is>
      </c>
      <c r="C1363" s="23" t="inlineStr">
        <is>
          <t>Cost Account = CA-6080; WBS Code = 1.6.2</t>
        </is>
      </c>
      <c r="D1363" s="23" t="inlineStr">
        <is>
          <t>Proposed by Source assignment; target 1.6.2 Program Management - Commercial &amp; Procurement</t>
        </is>
      </c>
      <c r="E1363" s="23" t="inlineStr">
        <is>
          <t>None recorded</t>
        </is>
      </c>
      <c r="F1363" s="23" t="inlineStr">
        <is>
          <t>No individual professional decision recorded; Source assignment -- not individually reviewed</t>
        </is>
      </c>
      <c r="G1363" s="23" t="inlineStr">
        <is>
          <t>Not individually decided</t>
        </is>
      </c>
      <c r="H1363" s="23" t="inlineStr">
        <is>
          <t xml:space="preserve">RETAINED / ONE_TO_ONE; </t>
        </is>
      </c>
      <c r="I1363" s="23" t="inlineStr">
        <is>
          <t>Carried forward</t>
        </is>
      </c>
      <c r="J1363" s="14" t="inlineStr">
        <is>
          <t>08 CROSSWALK</t>
        </is>
      </c>
    </row>
    <row r="1364" ht="49" customHeight="1">
      <c r="A1364" s="23" t="inlineStr">
        <is>
          <t>R1082-v3</t>
        </is>
      </c>
      <c r="B1364" s="23" t="inlineStr">
        <is>
          <t>Contractor Programme / SCH-90-902</t>
        </is>
      </c>
      <c r="C1364" s="23" t="inlineStr">
        <is>
          <t>No explicit source assertion recorded</t>
        </is>
      </c>
      <c r="D1364" s="23" t="inlineStr">
        <is>
          <t>Proposed by Professional; target NO_WBS</t>
        </is>
      </c>
      <c r="E1364" s="23" t="inlineStr">
        <is>
          <t>None recorded</t>
        </is>
      </c>
      <c r="F1364" s="23" t="inlineStr">
        <is>
          <t>Maya Chen, Owner Project Controls: Earlier professional decision, carried forward</t>
        </is>
      </c>
      <c r="G1364" s="23" t="inlineStr">
        <is>
          <t>Individual, carried forward</t>
        </is>
      </c>
      <c r="H1364" s="23" t="inlineStr">
        <is>
          <t xml:space="preserve">RETAINED / NO_WBS; </t>
        </is>
      </c>
      <c r="I1364" s="23" t="inlineStr">
        <is>
          <t>Carried forward</t>
        </is>
      </c>
      <c r="J1364" s="14" t="inlineStr">
        <is>
          <t>08 CROSSWALK</t>
        </is>
      </c>
    </row>
    <row r="1365" ht="34" customHeight="1">
      <c r="A1365" s="23" t="inlineStr">
        <is>
          <t>R1625-v2</t>
        </is>
      </c>
      <c r="B1365" s="23" t="inlineStr">
        <is>
          <t>Commercial Package Register / PKG-903</t>
        </is>
      </c>
      <c r="C1365" s="23" t="inlineStr">
        <is>
          <t>Package Code = PK-101; WBS Code = 1.1;1.2</t>
        </is>
      </c>
      <c r="D1365" s="23" t="inlineStr">
        <is>
          <t>Proposed by Professional; target UNSURE</t>
        </is>
      </c>
      <c r="E1365" s="23" t="inlineStr">
        <is>
          <t>None recorded</t>
        </is>
      </c>
      <c r="F1365" s="23" t="inlineStr">
        <is>
          <t>Maya Chen, Owner Project Controls: Professional decision</t>
        </is>
      </c>
      <c r="G1365" s="23" t="inlineStr">
        <is>
          <t>Individual</t>
        </is>
      </c>
      <c r="H1365" s="23" t="inlineStr">
        <is>
          <t xml:space="preserve">APPROVED / UNSURE; </t>
        </is>
      </c>
      <c r="I1365" s="23" t="inlineStr">
        <is>
          <t>New</t>
        </is>
      </c>
      <c r="J1365" s="14" t="inlineStr">
        <is>
          <t>08 CROSSWALK</t>
        </is>
      </c>
    </row>
    <row r="1366" ht="79" customHeight="1">
      <c r="A1366" s="23" t="inlineStr">
        <is>
          <t>R367-v3</t>
        </is>
      </c>
      <c r="B1366" s="23" t="inlineStr">
        <is>
          <t>Contractor Programme / SCH-03-007</t>
        </is>
      </c>
      <c r="C1366" s="23" t="inlineStr">
        <is>
          <t>No explicit source assertion recorded</t>
        </is>
      </c>
      <c r="D1366" s="23" t="inlineStr">
        <is>
          <t>Proposed by Professional; target UNSURE</t>
        </is>
      </c>
      <c r="E1366" s="23" t="inlineStr">
        <is>
          <t>None recorded</t>
        </is>
      </c>
      <c r="F1366" s="23" t="inlineStr">
        <is>
          <t>Maya Chen, Owner Project Controls: Professional decision</t>
        </is>
      </c>
      <c r="G1366" s="23" t="inlineStr">
        <is>
          <t>Individual</t>
        </is>
      </c>
      <c r="H1366" s="23" t="inlineStr">
        <is>
          <t xml:space="preserve">APPROVED / UNSURE; </t>
        </is>
      </c>
      <c r="I1366" s="23" t="inlineStr">
        <is>
          <t>Changed, re-decided; 'WBS Code' changed from 1.3.1 to (blank); 'WBS Code' changed from 1.3.1 to (blank); 'WBS Code' changed from 1.3.1 to (blank)</t>
        </is>
      </c>
      <c r="J1366" s="14" t="inlineStr">
        <is>
          <t>08 CROSSWALK</t>
        </is>
      </c>
    </row>
    <row r="1367" ht="64" customHeight="1">
      <c r="A1367" s="23" t="inlineStr">
        <is>
          <t>R543-v3</t>
        </is>
      </c>
      <c r="B1367" s="23" t="inlineStr">
        <is>
          <t>Contractor Programme / SCH-04-003</t>
        </is>
      </c>
      <c r="C1367" s="23" t="inlineStr">
        <is>
          <t>No explicit source assertion recorded</t>
        </is>
      </c>
      <c r="D1367" s="23" t="inlineStr">
        <is>
          <t>Proposed by Professional; target UNSURE</t>
        </is>
      </c>
      <c r="E1367" s="23" t="inlineStr">
        <is>
          <t>None recorded</t>
        </is>
      </c>
      <c r="F1367" s="23" t="inlineStr">
        <is>
          <t>Maya Chen, Owner Project Controls: Earlier professional decision, carried forward</t>
        </is>
      </c>
      <c r="G1367" s="23" t="inlineStr">
        <is>
          <t>Group decision (182 records sharing one decision state), carried forward</t>
        </is>
      </c>
      <c r="H1367" s="23" t="inlineStr">
        <is>
          <t xml:space="preserve">RETAINED / UNSURE; </t>
        </is>
      </c>
      <c r="I1367" s="23" t="inlineStr">
        <is>
          <t>Carried forward</t>
        </is>
      </c>
      <c r="J1367" s="14" t="inlineStr">
        <is>
          <t>08 CROSSWALK</t>
        </is>
      </c>
    </row>
    <row r="1368" ht="64" customHeight="1">
      <c r="A1368" s="23" t="inlineStr">
        <is>
          <t>R901-v3</t>
        </is>
      </c>
      <c r="B1368" s="23" t="inlineStr">
        <is>
          <t>Contractor Programme / SCH-06-001</t>
        </is>
      </c>
      <c r="C1368" s="23" t="inlineStr">
        <is>
          <t>No explicit source assertion recorded</t>
        </is>
      </c>
      <c r="D1368" s="23" t="inlineStr">
        <is>
          <t>Proposed by Professional; target UNSURE</t>
        </is>
      </c>
      <c r="E1368" s="23" t="inlineStr">
        <is>
          <t>None recorded</t>
        </is>
      </c>
      <c r="F1368" s="23" t="inlineStr">
        <is>
          <t>Maya Chen, Owner Project Controls: Earlier professional decision, carried forward</t>
        </is>
      </c>
      <c r="G1368" s="23" t="inlineStr">
        <is>
          <t>Group decision (182 records sharing one decision state), carried forward</t>
        </is>
      </c>
      <c r="H1368" s="23" t="inlineStr">
        <is>
          <t xml:space="preserve">RETAINED / UNSURE; </t>
        </is>
      </c>
      <c r="I1368" s="23" t="inlineStr">
        <is>
          <t>Carried forward</t>
        </is>
      </c>
      <c r="J1368" s="14" t="inlineStr">
        <is>
          <t>08 CROSSWALK</t>
        </is>
      </c>
    </row>
    <row r="1369" ht="64" customHeight="1">
      <c r="A1369" s="23" t="inlineStr">
        <is>
          <t>R902-v3</t>
        </is>
      </c>
      <c r="B1369" s="23" t="inlineStr">
        <is>
          <t>Contractor Programme / SCH-06-002</t>
        </is>
      </c>
      <c r="C1369" s="23" t="inlineStr">
        <is>
          <t>No explicit source assertion recorded</t>
        </is>
      </c>
      <c r="D1369" s="23" t="inlineStr">
        <is>
          <t>Proposed by Professional; target UNSURE</t>
        </is>
      </c>
      <c r="E1369" s="23" t="inlineStr">
        <is>
          <t>None recorded</t>
        </is>
      </c>
      <c r="F1369" s="23" t="inlineStr">
        <is>
          <t>Maya Chen, Owner Project Controls: Earlier professional decision, carried forward</t>
        </is>
      </c>
      <c r="G1369" s="23" t="inlineStr">
        <is>
          <t>Group decision (182 records sharing one decision state), carried forward</t>
        </is>
      </c>
      <c r="H1369" s="23" t="inlineStr">
        <is>
          <t xml:space="preserve">RETAINED / UNSURE; </t>
        </is>
      </c>
      <c r="I1369" s="23" t="inlineStr">
        <is>
          <t>Carried forward</t>
        </is>
      </c>
      <c r="J1369" s="14" t="inlineStr">
        <is>
          <t>08 CROSSWALK</t>
        </is>
      </c>
    </row>
    <row r="1370" ht="64" customHeight="1">
      <c r="A1370" s="23" t="inlineStr">
        <is>
          <t>R903-v3</t>
        </is>
      </c>
      <c r="B1370" s="23" t="inlineStr">
        <is>
          <t>Contractor Programme / SCH-06-003</t>
        </is>
      </c>
      <c r="C1370" s="23" t="inlineStr">
        <is>
          <t>No explicit source assertion recorded</t>
        </is>
      </c>
      <c r="D1370" s="23" t="inlineStr">
        <is>
          <t>Proposed by Professional; target UNSURE</t>
        </is>
      </c>
      <c r="E1370" s="23" t="inlineStr">
        <is>
          <t>None recorded</t>
        </is>
      </c>
      <c r="F1370" s="23" t="inlineStr">
        <is>
          <t>Maya Chen, Owner Project Controls: Earlier professional decision, carried forward</t>
        </is>
      </c>
      <c r="G1370" s="23" t="inlineStr">
        <is>
          <t>Group decision (182 records sharing one decision state), carried forward</t>
        </is>
      </c>
      <c r="H1370" s="23" t="inlineStr">
        <is>
          <t xml:space="preserve">RETAINED / UNSURE; </t>
        </is>
      </c>
      <c r="I1370" s="23" t="inlineStr">
        <is>
          <t>Carried forward</t>
        </is>
      </c>
      <c r="J1370" s="14" t="inlineStr">
        <is>
          <t>08 CROSSWALK</t>
        </is>
      </c>
    </row>
    <row r="1371" ht="64" customHeight="1">
      <c r="A1371" s="23" t="inlineStr">
        <is>
          <t>R904-v3</t>
        </is>
      </c>
      <c r="B1371" s="23" t="inlineStr">
        <is>
          <t>Contractor Programme / SCH-06-004</t>
        </is>
      </c>
      <c r="C1371" s="23" t="inlineStr">
        <is>
          <t>No explicit source assertion recorded</t>
        </is>
      </c>
      <c r="D1371" s="23" t="inlineStr">
        <is>
          <t>Proposed by Professional; target UNSURE</t>
        </is>
      </c>
      <c r="E1371" s="23" t="inlineStr">
        <is>
          <t>None recorded</t>
        </is>
      </c>
      <c r="F1371" s="23" t="inlineStr">
        <is>
          <t>Maya Chen, Owner Project Controls: Earlier professional decision, carried forward</t>
        </is>
      </c>
      <c r="G1371" s="23" t="inlineStr">
        <is>
          <t>Group decision (182 records sharing one decision state), carried forward</t>
        </is>
      </c>
      <c r="H1371" s="23" t="inlineStr">
        <is>
          <t xml:space="preserve">RETAINED / UNSURE; </t>
        </is>
      </c>
      <c r="I1371" s="23" t="inlineStr">
        <is>
          <t>Carried forward</t>
        </is>
      </c>
      <c r="J1371" s="14" t="inlineStr">
        <is>
          <t>08 CROSSWALK</t>
        </is>
      </c>
    </row>
    <row r="1372" ht="64" customHeight="1">
      <c r="A1372" s="23" t="inlineStr">
        <is>
          <t>R905-v3</t>
        </is>
      </c>
      <c r="B1372" s="23" t="inlineStr">
        <is>
          <t>Contractor Programme / SCH-06-005</t>
        </is>
      </c>
      <c r="C1372" s="23" t="inlineStr">
        <is>
          <t>No explicit source assertion recorded</t>
        </is>
      </c>
      <c r="D1372" s="23" t="inlineStr">
        <is>
          <t>Proposed by Professional; target UNSURE</t>
        </is>
      </c>
      <c r="E1372" s="23" t="inlineStr">
        <is>
          <t>None recorded</t>
        </is>
      </c>
      <c r="F1372" s="23" t="inlineStr">
        <is>
          <t>Maya Chen, Owner Project Controls: Earlier professional decision, carried forward</t>
        </is>
      </c>
      <c r="G1372" s="23" t="inlineStr">
        <is>
          <t>Group decision (182 records sharing one decision state), carried forward</t>
        </is>
      </c>
      <c r="H1372" s="23" t="inlineStr">
        <is>
          <t xml:space="preserve">RETAINED / UNSURE; </t>
        </is>
      </c>
      <c r="I1372" s="23" t="inlineStr">
        <is>
          <t>Carried forward</t>
        </is>
      </c>
      <c r="J1372" s="14" t="inlineStr">
        <is>
          <t>08 CROSSWALK</t>
        </is>
      </c>
    </row>
    <row r="1373" ht="64" customHeight="1">
      <c r="A1373" s="23" t="inlineStr">
        <is>
          <t>R906-v3</t>
        </is>
      </c>
      <c r="B1373" s="23" t="inlineStr">
        <is>
          <t>Contractor Programme / SCH-06-006</t>
        </is>
      </c>
      <c r="C1373" s="23" t="inlineStr">
        <is>
          <t>No explicit source assertion recorded</t>
        </is>
      </c>
      <c r="D1373" s="23" t="inlineStr">
        <is>
          <t>Proposed by Professional; target UNSURE</t>
        </is>
      </c>
      <c r="E1373" s="23" t="inlineStr">
        <is>
          <t>None recorded</t>
        </is>
      </c>
      <c r="F1373" s="23" t="inlineStr">
        <is>
          <t>Maya Chen, Owner Project Controls: Earlier professional decision, carried forward</t>
        </is>
      </c>
      <c r="G1373" s="23" t="inlineStr">
        <is>
          <t>Group decision (182 records sharing one decision state), carried forward</t>
        </is>
      </c>
      <c r="H1373" s="23" t="inlineStr">
        <is>
          <t xml:space="preserve">RETAINED / UNSURE; </t>
        </is>
      </c>
      <c r="I1373" s="23" t="inlineStr">
        <is>
          <t>Carried forward</t>
        </is>
      </c>
      <c r="J1373" s="14" t="inlineStr">
        <is>
          <t>08 CROSSWALK</t>
        </is>
      </c>
    </row>
    <row r="1374" ht="64" customHeight="1">
      <c r="A1374" s="23" t="inlineStr">
        <is>
          <t>R907-v3</t>
        </is>
      </c>
      <c r="B1374" s="23" t="inlineStr">
        <is>
          <t>Contractor Programme / SCH-06-007</t>
        </is>
      </c>
      <c r="C1374" s="23" t="inlineStr">
        <is>
          <t>No explicit source assertion recorded</t>
        </is>
      </c>
      <c r="D1374" s="23" t="inlineStr">
        <is>
          <t>Proposed by Professional; target UNSURE</t>
        </is>
      </c>
      <c r="E1374" s="23" t="inlineStr">
        <is>
          <t>None recorded</t>
        </is>
      </c>
      <c r="F1374" s="23" t="inlineStr">
        <is>
          <t>Maya Chen, Owner Project Controls: Earlier professional decision, carried forward</t>
        </is>
      </c>
      <c r="G1374" s="23" t="inlineStr">
        <is>
          <t>Group decision (182 records sharing one decision state), carried forward</t>
        </is>
      </c>
      <c r="H1374" s="23" t="inlineStr">
        <is>
          <t xml:space="preserve">RETAINED / UNSURE; </t>
        </is>
      </c>
      <c r="I1374" s="23" t="inlineStr">
        <is>
          <t>Carried forward</t>
        </is>
      </c>
      <c r="J1374" s="14" t="inlineStr">
        <is>
          <t>08 CROSSWALK</t>
        </is>
      </c>
    </row>
    <row r="1375" ht="64" customHeight="1">
      <c r="A1375" s="23" t="inlineStr">
        <is>
          <t>R908-v3</t>
        </is>
      </c>
      <c r="B1375" s="23" t="inlineStr">
        <is>
          <t>Contractor Programme / SCH-06-008</t>
        </is>
      </c>
      <c r="C1375" s="23" t="inlineStr">
        <is>
          <t>No explicit source assertion recorded</t>
        </is>
      </c>
      <c r="D1375" s="23" t="inlineStr">
        <is>
          <t>Proposed by Professional; target UNSURE</t>
        </is>
      </c>
      <c r="E1375" s="23" t="inlineStr">
        <is>
          <t>None recorded</t>
        </is>
      </c>
      <c r="F1375" s="23" t="inlineStr">
        <is>
          <t>Maya Chen, Owner Project Controls: Earlier professional decision, carried forward</t>
        </is>
      </c>
      <c r="G1375" s="23" t="inlineStr">
        <is>
          <t>Group decision (182 records sharing one decision state), carried forward</t>
        </is>
      </c>
      <c r="H1375" s="23" t="inlineStr">
        <is>
          <t xml:space="preserve">RETAINED / UNSURE; </t>
        </is>
      </c>
      <c r="I1375" s="23" t="inlineStr">
        <is>
          <t>Carried forward</t>
        </is>
      </c>
      <c r="J1375" s="14" t="inlineStr">
        <is>
          <t>08 CROSSWALK</t>
        </is>
      </c>
    </row>
    <row r="1376" ht="64" customHeight="1">
      <c r="A1376" s="23" t="inlineStr">
        <is>
          <t>R909-v3</t>
        </is>
      </c>
      <c r="B1376" s="23" t="inlineStr">
        <is>
          <t>Contractor Programme / SCH-06-009</t>
        </is>
      </c>
      <c r="C1376" s="23" t="inlineStr">
        <is>
          <t>No explicit source assertion recorded</t>
        </is>
      </c>
      <c r="D1376" s="23" t="inlineStr">
        <is>
          <t>Proposed by Professional; target UNSURE</t>
        </is>
      </c>
      <c r="E1376" s="23" t="inlineStr">
        <is>
          <t>None recorded</t>
        </is>
      </c>
      <c r="F1376" s="23" t="inlineStr">
        <is>
          <t>Maya Chen, Owner Project Controls: Earlier professional decision, carried forward</t>
        </is>
      </c>
      <c r="G1376" s="23" t="inlineStr">
        <is>
          <t>Group decision (182 records sharing one decision state), carried forward</t>
        </is>
      </c>
      <c r="H1376" s="23" t="inlineStr">
        <is>
          <t xml:space="preserve">RETAINED / UNSURE; </t>
        </is>
      </c>
      <c r="I1376" s="23" t="inlineStr">
        <is>
          <t>Carried forward</t>
        </is>
      </c>
      <c r="J1376" s="14" t="inlineStr">
        <is>
          <t>08 CROSSWALK</t>
        </is>
      </c>
    </row>
    <row r="1377" ht="64" customHeight="1">
      <c r="A1377" s="23" t="inlineStr">
        <is>
          <t>R910-v3</t>
        </is>
      </c>
      <c r="B1377" s="23" t="inlineStr">
        <is>
          <t>Contractor Programme / SCH-06-010</t>
        </is>
      </c>
      <c r="C1377" s="23" t="inlineStr">
        <is>
          <t>No explicit source assertion recorded</t>
        </is>
      </c>
      <c r="D1377" s="23" t="inlineStr">
        <is>
          <t>Proposed by Professional; target UNSURE</t>
        </is>
      </c>
      <c r="E1377" s="23" t="inlineStr">
        <is>
          <t>None recorded</t>
        </is>
      </c>
      <c r="F1377" s="23" t="inlineStr">
        <is>
          <t>Maya Chen, Owner Project Controls: Earlier professional decision, carried forward</t>
        </is>
      </c>
      <c r="G1377" s="23" t="inlineStr">
        <is>
          <t>Group decision (182 records sharing one decision state), carried forward</t>
        </is>
      </c>
      <c r="H1377" s="23" t="inlineStr">
        <is>
          <t xml:space="preserve">RETAINED / UNSURE; </t>
        </is>
      </c>
      <c r="I1377" s="23" t="inlineStr">
        <is>
          <t>Carried forward</t>
        </is>
      </c>
      <c r="J1377" s="14" t="inlineStr">
        <is>
          <t>08 CROSSWALK</t>
        </is>
      </c>
    </row>
    <row r="1378" ht="64" customHeight="1">
      <c r="A1378" s="23" t="inlineStr">
        <is>
          <t>R911-v3</t>
        </is>
      </c>
      <c r="B1378" s="23" t="inlineStr">
        <is>
          <t>Contractor Programme / SCH-06-011</t>
        </is>
      </c>
      <c r="C1378" s="23" t="inlineStr">
        <is>
          <t>No explicit source assertion recorded</t>
        </is>
      </c>
      <c r="D1378" s="23" t="inlineStr">
        <is>
          <t>Proposed by Professional; target UNSURE</t>
        </is>
      </c>
      <c r="E1378" s="23" t="inlineStr">
        <is>
          <t>None recorded</t>
        </is>
      </c>
      <c r="F1378" s="23" t="inlineStr">
        <is>
          <t>Maya Chen, Owner Project Controls: Earlier professional decision, carried forward</t>
        </is>
      </c>
      <c r="G1378" s="23" t="inlineStr">
        <is>
          <t>Group decision (182 records sharing one decision state), carried forward</t>
        </is>
      </c>
      <c r="H1378" s="23" t="inlineStr">
        <is>
          <t xml:space="preserve">RETAINED / UNSURE; </t>
        </is>
      </c>
      <c r="I1378" s="23" t="inlineStr">
        <is>
          <t>Carried forward</t>
        </is>
      </c>
      <c r="J1378" s="14" t="inlineStr">
        <is>
          <t>08 CROSSWALK</t>
        </is>
      </c>
    </row>
    <row r="1379" ht="64" customHeight="1">
      <c r="A1379" s="23" t="inlineStr">
        <is>
          <t>R912-v3</t>
        </is>
      </c>
      <c r="B1379" s="23" t="inlineStr">
        <is>
          <t>Contractor Programme / SCH-06-012</t>
        </is>
      </c>
      <c r="C1379" s="23" t="inlineStr">
        <is>
          <t>No explicit source assertion recorded</t>
        </is>
      </c>
      <c r="D1379" s="23" t="inlineStr">
        <is>
          <t>Proposed by Professional; target UNSURE</t>
        </is>
      </c>
      <c r="E1379" s="23" t="inlineStr">
        <is>
          <t>None recorded</t>
        </is>
      </c>
      <c r="F1379" s="23" t="inlineStr">
        <is>
          <t>Maya Chen, Owner Project Controls: Earlier professional decision, carried forward</t>
        </is>
      </c>
      <c r="G1379" s="23" t="inlineStr">
        <is>
          <t>Group decision (182 records sharing one decision state), carried forward</t>
        </is>
      </c>
      <c r="H1379" s="23" t="inlineStr">
        <is>
          <t xml:space="preserve">RETAINED / UNSURE; </t>
        </is>
      </c>
      <c r="I1379" s="23" t="inlineStr">
        <is>
          <t>Carried forward</t>
        </is>
      </c>
      <c r="J1379" s="14" t="inlineStr">
        <is>
          <t>08 CROSSWALK</t>
        </is>
      </c>
    </row>
    <row r="1380" ht="64" customHeight="1">
      <c r="A1380" s="23" t="inlineStr">
        <is>
          <t>R913-v3</t>
        </is>
      </c>
      <c r="B1380" s="23" t="inlineStr">
        <is>
          <t>Contractor Programme / SCH-06-013</t>
        </is>
      </c>
      <c r="C1380" s="23" t="inlineStr">
        <is>
          <t>No explicit source assertion recorded</t>
        </is>
      </c>
      <c r="D1380" s="23" t="inlineStr">
        <is>
          <t>Proposed by Professional; target UNSURE</t>
        </is>
      </c>
      <c r="E1380" s="23" t="inlineStr">
        <is>
          <t>None recorded</t>
        </is>
      </c>
      <c r="F1380" s="23" t="inlineStr">
        <is>
          <t>Maya Chen, Owner Project Controls: Earlier professional decision, carried forward</t>
        </is>
      </c>
      <c r="G1380" s="23" t="inlineStr">
        <is>
          <t>Group decision (182 records sharing one decision state), carried forward</t>
        </is>
      </c>
      <c r="H1380" s="23" t="inlineStr">
        <is>
          <t xml:space="preserve">RETAINED / UNSURE; </t>
        </is>
      </c>
      <c r="I1380" s="23" t="inlineStr">
        <is>
          <t>Carried forward</t>
        </is>
      </c>
      <c r="J1380" s="14" t="inlineStr">
        <is>
          <t>08 CROSSWALK</t>
        </is>
      </c>
    </row>
    <row r="1381" ht="64" customHeight="1">
      <c r="A1381" s="23" t="inlineStr">
        <is>
          <t>R914-v3</t>
        </is>
      </c>
      <c r="B1381" s="23" t="inlineStr">
        <is>
          <t>Contractor Programme / SCH-06-014</t>
        </is>
      </c>
      <c r="C1381" s="23" t="inlineStr">
        <is>
          <t>No explicit source assertion recorded</t>
        </is>
      </c>
      <c r="D1381" s="23" t="inlineStr">
        <is>
          <t>Proposed by Professional; target UNSURE</t>
        </is>
      </c>
      <c r="E1381" s="23" t="inlineStr">
        <is>
          <t>None recorded</t>
        </is>
      </c>
      <c r="F1381" s="23" t="inlineStr">
        <is>
          <t>Maya Chen, Owner Project Controls: Earlier professional decision, carried forward</t>
        </is>
      </c>
      <c r="G1381" s="23" t="inlineStr">
        <is>
          <t>Group decision (182 records sharing one decision state), carried forward</t>
        </is>
      </c>
      <c r="H1381" s="23" t="inlineStr">
        <is>
          <t xml:space="preserve">RETAINED / UNSURE; </t>
        </is>
      </c>
      <c r="I1381" s="23" t="inlineStr">
        <is>
          <t>Carried forward</t>
        </is>
      </c>
      <c r="J1381" s="14" t="inlineStr">
        <is>
          <t>08 CROSSWALK</t>
        </is>
      </c>
    </row>
    <row r="1382" ht="64" customHeight="1">
      <c r="A1382" s="23" t="inlineStr">
        <is>
          <t>R915-v3</t>
        </is>
      </c>
      <c r="B1382" s="23" t="inlineStr">
        <is>
          <t>Contractor Programme / SCH-06-015</t>
        </is>
      </c>
      <c r="C1382" s="23" t="inlineStr">
        <is>
          <t>No explicit source assertion recorded</t>
        </is>
      </c>
      <c r="D1382" s="23" t="inlineStr">
        <is>
          <t>Proposed by Professional; target UNSURE</t>
        </is>
      </c>
      <c r="E1382" s="23" t="inlineStr">
        <is>
          <t>None recorded</t>
        </is>
      </c>
      <c r="F1382" s="23" t="inlineStr">
        <is>
          <t>Maya Chen, Owner Project Controls: Earlier professional decision, carried forward</t>
        </is>
      </c>
      <c r="G1382" s="23" t="inlineStr">
        <is>
          <t>Group decision (182 records sharing one decision state), carried forward</t>
        </is>
      </c>
      <c r="H1382" s="23" t="inlineStr">
        <is>
          <t xml:space="preserve">RETAINED / UNSURE; </t>
        </is>
      </c>
      <c r="I1382" s="23" t="inlineStr">
        <is>
          <t>Carried forward</t>
        </is>
      </c>
      <c r="J1382" s="14" t="inlineStr">
        <is>
          <t>08 CROSSWALK</t>
        </is>
      </c>
    </row>
    <row r="1383" ht="64" customHeight="1">
      <c r="A1383" s="23" t="inlineStr">
        <is>
          <t>R916-v3</t>
        </is>
      </c>
      <c r="B1383" s="23" t="inlineStr">
        <is>
          <t>Contractor Programme / SCH-06-016</t>
        </is>
      </c>
      <c r="C1383" s="23" t="inlineStr">
        <is>
          <t>No explicit source assertion recorded</t>
        </is>
      </c>
      <c r="D1383" s="23" t="inlineStr">
        <is>
          <t>Proposed by Professional; target UNSURE</t>
        </is>
      </c>
      <c r="E1383" s="23" t="inlineStr">
        <is>
          <t>None recorded</t>
        </is>
      </c>
      <c r="F1383" s="23" t="inlineStr">
        <is>
          <t>Maya Chen, Owner Project Controls: Earlier professional decision, carried forward</t>
        </is>
      </c>
      <c r="G1383" s="23" t="inlineStr">
        <is>
          <t>Group decision (182 records sharing one decision state), carried forward</t>
        </is>
      </c>
      <c r="H1383" s="23" t="inlineStr">
        <is>
          <t xml:space="preserve">RETAINED / UNSURE; </t>
        </is>
      </c>
      <c r="I1383" s="23" t="inlineStr">
        <is>
          <t>Carried forward</t>
        </is>
      </c>
      <c r="J1383" s="14" t="inlineStr">
        <is>
          <t>08 CROSSWALK</t>
        </is>
      </c>
    </row>
    <row r="1384" ht="64" customHeight="1">
      <c r="A1384" s="23" t="inlineStr">
        <is>
          <t>R917-v3</t>
        </is>
      </c>
      <c r="B1384" s="23" t="inlineStr">
        <is>
          <t>Contractor Programme / SCH-06-017</t>
        </is>
      </c>
      <c r="C1384" s="23" t="inlineStr">
        <is>
          <t>No explicit source assertion recorded</t>
        </is>
      </c>
      <c r="D1384" s="23" t="inlineStr">
        <is>
          <t>Proposed by Professional; target UNSURE</t>
        </is>
      </c>
      <c r="E1384" s="23" t="inlineStr">
        <is>
          <t>None recorded</t>
        </is>
      </c>
      <c r="F1384" s="23" t="inlineStr">
        <is>
          <t>Maya Chen, Owner Project Controls: Earlier professional decision, carried forward</t>
        </is>
      </c>
      <c r="G1384" s="23" t="inlineStr">
        <is>
          <t>Group decision (182 records sharing one decision state), carried forward</t>
        </is>
      </c>
      <c r="H1384" s="23" t="inlineStr">
        <is>
          <t xml:space="preserve">RETAINED / UNSURE; </t>
        </is>
      </c>
      <c r="I1384" s="23" t="inlineStr">
        <is>
          <t>Carried forward</t>
        </is>
      </c>
      <c r="J1384" s="14" t="inlineStr">
        <is>
          <t>08 CROSSWALK</t>
        </is>
      </c>
    </row>
    <row r="1385" ht="64" customHeight="1">
      <c r="A1385" s="23" t="inlineStr">
        <is>
          <t>R918-v3</t>
        </is>
      </c>
      <c r="B1385" s="23" t="inlineStr">
        <is>
          <t>Contractor Programme / SCH-06-018</t>
        </is>
      </c>
      <c r="C1385" s="23" t="inlineStr">
        <is>
          <t>No explicit source assertion recorded</t>
        </is>
      </c>
      <c r="D1385" s="23" t="inlineStr">
        <is>
          <t>Proposed by Professional; target UNSURE</t>
        </is>
      </c>
      <c r="E1385" s="23" t="inlineStr">
        <is>
          <t>None recorded</t>
        </is>
      </c>
      <c r="F1385" s="23" t="inlineStr">
        <is>
          <t>Maya Chen, Owner Project Controls: Earlier professional decision, carried forward</t>
        </is>
      </c>
      <c r="G1385" s="23" t="inlineStr">
        <is>
          <t>Group decision (182 records sharing one decision state), carried forward</t>
        </is>
      </c>
      <c r="H1385" s="23" t="inlineStr">
        <is>
          <t xml:space="preserve">RETAINED / UNSURE; </t>
        </is>
      </c>
      <c r="I1385" s="23" t="inlineStr">
        <is>
          <t>Carried forward</t>
        </is>
      </c>
      <c r="J1385" s="14" t="inlineStr">
        <is>
          <t>08 CROSSWALK</t>
        </is>
      </c>
    </row>
    <row r="1386" ht="64" customHeight="1">
      <c r="A1386" s="23" t="inlineStr">
        <is>
          <t>R919-v3</t>
        </is>
      </c>
      <c r="B1386" s="23" t="inlineStr">
        <is>
          <t>Contractor Programme / SCH-06-019</t>
        </is>
      </c>
      <c r="C1386" s="23" t="inlineStr">
        <is>
          <t>No explicit source assertion recorded</t>
        </is>
      </c>
      <c r="D1386" s="23" t="inlineStr">
        <is>
          <t>Proposed by Professional; target UNSURE</t>
        </is>
      </c>
      <c r="E1386" s="23" t="inlineStr">
        <is>
          <t>None recorded</t>
        </is>
      </c>
      <c r="F1386" s="23" t="inlineStr">
        <is>
          <t>Maya Chen, Owner Project Controls: Earlier professional decision, carried forward</t>
        </is>
      </c>
      <c r="G1386" s="23" t="inlineStr">
        <is>
          <t>Group decision (182 records sharing one decision state), carried forward</t>
        </is>
      </c>
      <c r="H1386" s="23" t="inlineStr">
        <is>
          <t xml:space="preserve">RETAINED / UNSURE; </t>
        </is>
      </c>
      <c r="I1386" s="23" t="inlineStr">
        <is>
          <t>Carried forward</t>
        </is>
      </c>
      <c r="J1386" s="14" t="inlineStr">
        <is>
          <t>08 CROSSWALK</t>
        </is>
      </c>
    </row>
    <row r="1387" ht="64" customHeight="1">
      <c r="A1387" s="23" t="inlineStr">
        <is>
          <t>R920-v3</t>
        </is>
      </c>
      <c r="B1387" s="23" t="inlineStr">
        <is>
          <t>Contractor Programme / SCH-06-020</t>
        </is>
      </c>
      <c r="C1387" s="23" t="inlineStr">
        <is>
          <t>No explicit source assertion recorded</t>
        </is>
      </c>
      <c r="D1387" s="23" t="inlineStr">
        <is>
          <t>Proposed by Professional; target UNSURE</t>
        </is>
      </c>
      <c r="E1387" s="23" t="inlineStr">
        <is>
          <t>None recorded</t>
        </is>
      </c>
      <c r="F1387" s="23" t="inlineStr">
        <is>
          <t>Maya Chen, Owner Project Controls: Earlier professional decision, carried forward</t>
        </is>
      </c>
      <c r="G1387" s="23" t="inlineStr">
        <is>
          <t>Group decision (182 records sharing one decision state), carried forward</t>
        </is>
      </c>
      <c r="H1387" s="23" t="inlineStr">
        <is>
          <t xml:space="preserve">RETAINED / UNSURE; </t>
        </is>
      </c>
      <c r="I1387" s="23" t="inlineStr">
        <is>
          <t>Carried forward</t>
        </is>
      </c>
      <c r="J1387" s="14" t="inlineStr">
        <is>
          <t>08 CROSSWALK</t>
        </is>
      </c>
    </row>
    <row r="1388" ht="64" customHeight="1">
      <c r="A1388" s="23" t="inlineStr">
        <is>
          <t>R921-v3</t>
        </is>
      </c>
      <c r="B1388" s="23" t="inlineStr">
        <is>
          <t>Contractor Programme / SCH-06-021</t>
        </is>
      </c>
      <c r="C1388" s="23" t="inlineStr">
        <is>
          <t>No explicit source assertion recorded</t>
        </is>
      </c>
      <c r="D1388" s="23" t="inlineStr">
        <is>
          <t>Proposed by Professional; target UNSURE</t>
        </is>
      </c>
      <c r="E1388" s="23" t="inlineStr">
        <is>
          <t>None recorded</t>
        </is>
      </c>
      <c r="F1388" s="23" t="inlineStr">
        <is>
          <t>Maya Chen, Owner Project Controls: Earlier professional decision, carried forward</t>
        </is>
      </c>
      <c r="G1388" s="23" t="inlineStr">
        <is>
          <t>Group decision (182 records sharing one decision state), carried forward</t>
        </is>
      </c>
      <c r="H1388" s="23" t="inlineStr">
        <is>
          <t xml:space="preserve">RETAINED / UNSURE; </t>
        </is>
      </c>
      <c r="I1388" s="23" t="inlineStr">
        <is>
          <t>Carried forward</t>
        </is>
      </c>
      <c r="J1388" s="14" t="inlineStr">
        <is>
          <t>08 CROSSWALK</t>
        </is>
      </c>
    </row>
    <row r="1389" ht="64" customHeight="1">
      <c r="A1389" s="23" t="inlineStr">
        <is>
          <t>R922-v3</t>
        </is>
      </c>
      <c r="B1389" s="23" t="inlineStr">
        <is>
          <t>Contractor Programme / SCH-06-022</t>
        </is>
      </c>
      <c r="C1389" s="23" t="inlineStr">
        <is>
          <t>No explicit source assertion recorded</t>
        </is>
      </c>
      <c r="D1389" s="23" t="inlineStr">
        <is>
          <t>Proposed by Professional; target UNSURE</t>
        </is>
      </c>
      <c r="E1389" s="23" t="inlineStr">
        <is>
          <t>None recorded</t>
        </is>
      </c>
      <c r="F1389" s="23" t="inlineStr">
        <is>
          <t>Maya Chen, Owner Project Controls: Earlier professional decision, carried forward</t>
        </is>
      </c>
      <c r="G1389" s="23" t="inlineStr">
        <is>
          <t>Group decision (182 records sharing one decision state), carried forward</t>
        </is>
      </c>
      <c r="H1389" s="23" t="inlineStr">
        <is>
          <t xml:space="preserve">RETAINED / UNSURE; </t>
        </is>
      </c>
      <c r="I1389" s="23" t="inlineStr">
        <is>
          <t>Carried forward</t>
        </is>
      </c>
      <c r="J1389" s="14" t="inlineStr">
        <is>
          <t>08 CROSSWALK</t>
        </is>
      </c>
    </row>
    <row r="1390" ht="64" customHeight="1">
      <c r="A1390" s="23" t="inlineStr">
        <is>
          <t>R923-v3</t>
        </is>
      </c>
      <c r="B1390" s="23" t="inlineStr">
        <is>
          <t>Contractor Programme / SCH-06-023</t>
        </is>
      </c>
      <c r="C1390" s="23" t="inlineStr">
        <is>
          <t>No explicit source assertion recorded</t>
        </is>
      </c>
      <c r="D1390" s="23" t="inlineStr">
        <is>
          <t>Proposed by Professional; target UNSURE</t>
        </is>
      </c>
      <c r="E1390" s="23" t="inlineStr">
        <is>
          <t>None recorded</t>
        </is>
      </c>
      <c r="F1390" s="23" t="inlineStr">
        <is>
          <t>Maya Chen, Owner Project Controls: Earlier professional decision, carried forward</t>
        </is>
      </c>
      <c r="G1390" s="23" t="inlineStr">
        <is>
          <t>Group decision (182 records sharing one decision state), carried forward</t>
        </is>
      </c>
      <c r="H1390" s="23" t="inlineStr">
        <is>
          <t xml:space="preserve">RETAINED / UNSURE; </t>
        </is>
      </c>
      <c r="I1390" s="23" t="inlineStr">
        <is>
          <t>Carried forward</t>
        </is>
      </c>
      <c r="J1390" s="14" t="inlineStr">
        <is>
          <t>08 CROSSWALK</t>
        </is>
      </c>
    </row>
    <row r="1391" ht="64" customHeight="1">
      <c r="A1391" s="23" t="inlineStr">
        <is>
          <t>R924-v3</t>
        </is>
      </c>
      <c r="B1391" s="23" t="inlineStr">
        <is>
          <t>Contractor Programme / SCH-06-024</t>
        </is>
      </c>
      <c r="C1391" s="23" t="inlineStr">
        <is>
          <t>No explicit source assertion recorded</t>
        </is>
      </c>
      <c r="D1391" s="23" t="inlineStr">
        <is>
          <t>Proposed by Professional; target UNSURE</t>
        </is>
      </c>
      <c r="E1391" s="23" t="inlineStr">
        <is>
          <t>None recorded</t>
        </is>
      </c>
      <c r="F1391" s="23" t="inlineStr">
        <is>
          <t>Maya Chen, Owner Project Controls: Earlier professional decision, carried forward</t>
        </is>
      </c>
      <c r="G1391" s="23" t="inlineStr">
        <is>
          <t>Group decision (182 records sharing one decision state), carried forward</t>
        </is>
      </c>
      <c r="H1391" s="23" t="inlineStr">
        <is>
          <t xml:space="preserve">RETAINED / UNSURE; </t>
        </is>
      </c>
      <c r="I1391" s="23" t="inlineStr">
        <is>
          <t>Carried forward</t>
        </is>
      </c>
      <c r="J1391" s="14" t="inlineStr">
        <is>
          <t>08 CROSSWALK</t>
        </is>
      </c>
    </row>
    <row r="1392" ht="64" customHeight="1">
      <c r="A1392" s="23" t="inlineStr">
        <is>
          <t>R925-v3</t>
        </is>
      </c>
      <c r="B1392" s="23" t="inlineStr">
        <is>
          <t>Contractor Programme / SCH-06-025</t>
        </is>
      </c>
      <c r="C1392" s="23" t="inlineStr">
        <is>
          <t>No explicit source assertion recorded</t>
        </is>
      </c>
      <c r="D1392" s="23" t="inlineStr">
        <is>
          <t>Proposed by Professional; target UNSURE</t>
        </is>
      </c>
      <c r="E1392" s="23" t="inlineStr">
        <is>
          <t>None recorded</t>
        </is>
      </c>
      <c r="F1392" s="23" t="inlineStr">
        <is>
          <t>Maya Chen, Owner Project Controls: Earlier professional decision, carried forward</t>
        </is>
      </c>
      <c r="G1392" s="23" t="inlineStr">
        <is>
          <t>Group decision (182 records sharing one decision state), carried forward</t>
        </is>
      </c>
      <c r="H1392" s="23" t="inlineStr">
        <is>
          <t xml:space="preserve">RETAINED / UNSURE; </t>
        </is>
      </c>
      <c r="I1392" s="23" t="inlineStr">
        <is>
          <t>Carried forward</t>
        </is>
      </c>
      <c r="J1392" s="14" t="inlineStr">
        <is>
          <t>08 CROSSWALK</t>
        </is>
      </c>
    </row>
    <row r="1393" ht="64" customHeight="1">
      <c r="A1393" s="23" t="inlineStr">
        <is>
          <t>R926-v3</t>
        </is>
      </c>
      <c r="B1393" s="23" t="inlineStr">
        <is>
          <t>Contractor Programme / SCH-06-026</t>
        </is>
      </c>
      <c r="C1393" s="23" t="inlineStr">
        <is>
          <t>No explicit source assertion recorded</t>
        </is>
      </c>
      <c r="D1393" s="23" t="inlineStr">
        <is>
          <t>Proposed by Professional; target UNSURE</t>
        </is>
      </c>
      <c r="E1393" s="23" t="inlineStr">
        <is>
          <t>None recorded</t>
        </is>
      </c>
      <c r="F1393" s="23" t="inlineStr">
        <is>
          <t>Maya Chen, Owner Project Controls: Earlier professional decision, carried forward</t>
        </is>
      </c>
      <c r="G1393" s="23" t="inlineStr">
        <is>
          <t>Group decision (182 records sharing one decision state), carried forward</t>
        </is>
      </c>
      <c r="H1393" s="23" t="inlineStr">
        <is>
          <t xml:space="preserve">RETAINED / UNSURE; </t>
        </is>
      </c>
      <c r="I1393" s="23" t="inlineStr">
        <is>
          <t>Carried forward</t>
        </is>
      </c>
      <c r="J1393" s="14" t="inlineStr">
        <is>
          <t>08 CROSSWALK</t>
        </is>
      </c>
    </row>
    <row r="1394" ht="64" customHeight="1">
      <c r="A1394" s="23" t="inlineStr">
        <is>
          <t>R927-v3</t>
        </is>
      </c>
      <c r="B1394" s="23" t="inlineStr">
        <is>
          <t>Contractor Programme / SCH-06-027</t>
        </is>
      </c>
      <c r="C1394" s="23" t="inlineStr">
        <is>
          <t>No explicit source assertion recorded</t>
        </is>
      </c>
      <c r="D1394" s="23" t="inlineStr">
        <is>
          <t>Proposed by Professional; target UNSURE</t>
        </is>
      </c>
      <c r="E1394" s="23" t="inlineStr">
        <is>
          <t>None recorded</t>
        </is>
      </c>
      <c r="F1394" s="23" t="inlineStr">
        <is>
          <t>Maya Chen, Owner Project Controls: Earlier professional decision, carried forward</t>
        </is>
      </c>
      <c r="G1394" s="23" t="inlineStr">
        <is>
          <t>Group decision (182 records sharing one decision state), carried forward</t>
        </is>
      </c>
      <c r="H1394" s="23" t="inlineStr">
        <is>
          <t xml:space="preserve">RETAINED / UNSURE; </t>
        </is>
      </c>
      <c r="I1394" s="23" t="inlineStr">
        <is>
          <t>Carried forward</t>
        </is>
      </c>
      <c r="J1394" s="14" t="inlineStr">
        <is>
          <t>08 CROSSWALK</t>
        </is>
      </c>
    </row>
    <row r="1395" ht="64" customHeight="1">
      <c r="A1395" s="23" t="inlineStr">
        <is>
          <t>R928-v3</t>
        </is>
      </c>
      <c r="B1395" s="23" t="inlineStr">
        <is>
          <t>Contractor Programme / SCH-06-028</t>
        </is>
      </c>
      <c r="C1395" s="23" t="inlineStr">
        <is>
          <t>No explicit source assertion recorded</t>
        </is>
      </c>
      <c r="D1395" s="23" t="inlineStr">
        <is>
          <t>Proposed by Professional; target UNSURE</t>
        </is>
      </c>
      <c r="E1395" s="23" t="inlineStr">
        <is>
          <t>None recorded</t>
        </is>
      </c>
      <c r="F1395" s="23" t="inlineStr">
        <is>
          <t>Maya Chen, Owner Project Controls: Earlier professional decision, carried forward</t>
        </is>
      </c>
      <c r="G1395" s="23" t="inlineStr">
        <is>
          <t>Group decision (182 records sharing one decision state), carried forward</t>
        </is>
      </c>
      <c r="H1395" s="23" t="inlineStr">
        <is>
          <t xml:space="preserve">RETAINED / UNSURE; </t>
        </is>
      </c>
      <c r="I1395" s="23" t="inlineStr">
        <is>
          <t>Carried forward</t>
        </is>
      </c>
      <c r="J1395" s="14" t="inlineStr">
        <is>
          <t>08 CROSSWALK</t>
        </is>
      </c>
    </row>
    <row r="1396" ht="64" customHeight="1">
      <c r="A1396" s="23" t="inlineStr">
        <is>
          <t>R929-v3</t>
        </is>
      </c>
      <c r="B1396" s="23" t="inlineStr">
        <is>
          <t>Contractor Programme / SCH-06-029</t>
        </is>
      </c>
      <c r="C1396" s="23" t="inlineStr">
        <is>
          <t>No explicit source assertion recorded</t>
        </is>
      </c>
      <c r="D1396" s="23" t="inlineStr">
        <is>
          <t>Proposed by Professional; target UNSURE</t>
        </is>
      </c>
      <c r="E1396" s="23" t="inlineStr">
        <is>
          <t>None recorded</t>
        </is>
      </c>
      <c r="F1396" s="23" t="inlineStr">
        <is>
          <t>Maya Chen, Owner Project Controls: Earlier professional decision, carried forward</t>
        </is>
      </c>
      <c r="G1396" s="23" t="inlineStr">
        <is>
          <t>Group decision (182 records sharing one decision state), carried forward</t>
        </is>
      </c>
      <c r="H1396" s="23" t="inlineStr">
        <is>
          <t xml:space="preserve">RETAINED / UNSURE; </t>
        </is>
      </c>
      <c r="I1396" s="23" t="inlineStr">
        <is>
          <t>Carried forward</t>
        </is>
      </c>
      <c r="J1396" s="14" t="inlineStr">
        <is>
          <t>08 CROSSWALK</t>
        </is>
      </c>
    </row>
    <row r="1397" ht="64" customHeight="1">
      <c r="A1397" s="23" t="inlineStr">
        <is>
          <t>R930-v3</t>
        </is>
      </c>
      <c r="B1397" s="23" t="inlineStr">
        <is>
          <t>Contractor Programme / SCH-06-030</t>
        </is>
      </c>
      <c r="C1397" s="23" t="inlineStr">
        <is>
          <t>No explicit source assertion recorded</t>
        </is>
      </c>
      <c r="D1397" s="23" t="inlineStr">
        <is>
          <t>Proposed by Professional; target UNSURE</t>
        </is>
      </c>
      <c r="E1397" s="23" t="inlineStr">
        <is>
          <t>None recorded</t>
        </is>
      </c>
      <c r="F1397" s="23" t="inlineStr">
        <is>
          <t>Maya Chen, Owner Project Controls: Earlier professional decision, carried forward</t>
        </is>
      </c>
      <c r="G1397" s="23" t="inlineStr">
        <is>
          <t>Group decision (182 records sharing one decision state), carried forward</t>
        </is>
      </c>
      <c r="H1397" s="23" t="inlineStr">
        <is>
          <t xml:space="preserve">RETAINED / UNSURE; </t>
        </is>
      </c>
      <c r="I1397" s="23" t="inlineStr">
        <is>
          <t>Carried forward</t>
        </is>
      </c>
      <c r="J1397" s="14" t="inlineStr">
        <is>
          <t>08 CROSSWALK</t>
        </is>
      </c>
    </row>
    <row r="1398" ht="64" customHeight="1">
      <c r="A1398" s="23" t="inlineStr">
        <is>
          <t>R931-v3</t>
        </is>
      </c>
      <c r="B1398" s="23" t="inlineStr">
        <is>
          <t>Contractor Programme / SCH-06-031</t>
        </is>
      </c>
      <c r="C1398" s="23" t="inlineStr">
        <is>
          <t>No explicit source assertion recorded</t>
        </is>
      </c>
      <c r="D1398" s="23" t="inlineStr">
        <is>
          <t>Proposed by Professional; target UNSURE</t>
        </is>
      </c>
      <c r="E1398" s="23" t="inlineStr">
        <is>
          <t>None recorded</t>
        </is>
      </c>
      <c r="F1398" s="23" t="inlineStr">
        <is>
          <t>Maya Chen, Owner Project Controls: Earlier professional decision, carried forward</t>
        </is>
      </c>
      <c r="G1398" s="23" t="inlineStr">
        <is>
          <t>Group decision (182 records sharing one decision state), carried forward</t>
        </is>
      </c>
      <c r="H1398" s="23" t="inlineStr">
        <is>
          <t xml:space="preserve">RETAINED / UNSURE; </t>
        </is>
      </c>
      <c r="I1398" s="23" t="inlineStr">
        <is>
          <t>Carried forward</t>
        </is>
      </c>
      <c r="J1398" s="14" t="inlineStr">
        <is>
          <t>08 CROSSWALK</t>
        </is>
      </c>
    </row>
    <row r="1399" ht="64" customHeight="1">
      <c r="A1399" s="23" t="inlineStr">
        <is>
          <t>R932-v3</t>
        </is>
      </c>
      <c r="B1399" s="23" t="inlineStr">
        <is>
          <t>Contractor Programme / SCH-06-032</t>
        </is>
      </c>
      <c r="C1399" s="23" t="inlineStr">
        <is>
          <t>No explicit source assertion recorded</t>
        </is>
      </c>
      <c r="D1399" s="23" t="inlineStr">
        <is>
          <t>Proposed by Professional; target UNSURE</t>
        </is>
      </c>
      <c r="E1399" s="23" t="inlineStr">
        <is>
          <t>None recorded</t>
        </is>
      </c>
      <c r="F1399" s="23" t="inlineStr">
        <is>
          <t>Maya Chen, Owner Project Controls: Earlier professional decision, carried forward</t>
        </is>
      </c>
      <c r="G1399" s="23" t="inlineStr">
        <is>
          <t>Group decision (182 records sharing one decision state), carried forward</t>
        </is>
      </c>
      <c r="H1399" s="23" t="inlineStr">
        <is>
          <t xml:space="preserve">RETAINED / UNSURE; </t>
        </is>
      </c>
      <c r="I1399" s="23" t="inlineStr">
        <is>
          <t>Carried forward</t>
        </is>
      </c>
      <c r="J1399" s="14" t="inlineStr">
        <is>
          <t>08 CROSSWALK</t>
        </is>
      </c>
    </row>
    <row r="1400" ht="64" customHeight="1">
      <c r="A1400" s="23" t="inlineStr">
        <is>
          <t>R933-v3</t>
        </is>
      </c>
      <c r="B1400" s="23" t="inlineStr">
        <is>
          <t>Contractor Programme / SCH-06-033</t>
        </is>
      </c>
      <c r="C1400" s="23" t="inlineStr">
        <is>
          <t>No explicit source assertion recorded</t>
        </is>
      </c>
      <c r="D1400" s="23" t="inlineStr">
        <is>
          <t>Proposed by Professional; target UNSURE</t>
        </is>
      </c>
      <c r="E1400" s="23" t="inlineStr">
        <is>
          <t>None recorded</t>
        </is>
      </c>
      <c r="F1400" s="23" t="inlineStr">
        <is>
          <t>Maya Chen, Owner Project Controls: Earlier professional decision, carried forward</t>
        </is>
      </c>
      <c r="G1400" s="23" t="inlineStr">
        <is>
          <t>Group decision (182 records sharing one decision state), carried forward</t>
        </is>
      </c>
      <c r="H1400" s="23" t="inlineStr">
        <is>
          <t xml:space="preserve">RETAINED / UNSURE; </t>
        </is>
      </c>
      <c r="I1400" s="23" t="inlineStr">
        <is>
          <t>Carried forward</t>
        </is>
      </c>
      <c r="J1400" s="14" t="inlineStr">
        <is>
          <t>08 CROSSWALK</t>
        </is>
      </c>
    </row>
    <row r="1401" ht="64" customHeight="1">
      <c r="A1401" s="23" t="inlineStr">
        <is>
          <t>R934-v3</t>
        </is>
      </c>
      <c r="B1401" s="23" t="inlineStr">
        <is>
          <t>Contractor Programme / SCH-06-034</t>
        </is>
      </c>
      <c r="C1401" s="23" t="inlineStr">
        <is>
          <t>No explicit source assertion recorded</t>
        </is>
      </c>
      <c r="D1401" s="23" t="inlineStr">
        <is>
          <t>Proposed by Professional; target UNSURE</t>
        </is>
      </c>
      <c r="E1401" s="23" t="inlineStr">
        <is>
          <t>None recorded</t>
        </is>
      </c>
      <c r="F1401" s="23" t="inlineStr">
        <is>
          <t>Maya Chen, Owner Project Controls: Earlier professional decision, carried forward</t>
        </is>
      </c>
      <c r="G1401" s="23" t="inlineStr">
        <is>
          <t>Group decision (182 records sharing one decision state), carried forward</t>
        </is>
      </c>
      <c r="H1401" s="23" t="inlineStr">
        <is>
          <t xml:space="preserve">RETAINED / UNSURE; </t>
        </is>
      </c>
      <c r="I1401" s="23" t="inlineStr">
        <is>
          <t>Carried forward</t>
        </is>
      </c>
      <c r="J1401" s="14" t="inlineStr">
        <is>
          <t>08 CROSSWALK</t>
        </is>
      </c>
    </row>
    <row r="1402" ht="64" customHeight="1">
      <c r="A1402" s="23" t="inlineStr">
        <is>
          <t>R935-v3</t>
        </is>
      </c>
      <c r="B1402" s="23" t="inlineStr">
        <is>
          <t>Contractor Programme / SCH-06-035</t>
        </is>
      </c>
      <c r="C1402" s="23" t="inlineStr">
        <is>
          <t>No explicit source assertion recorded</t>
        </is>
      </c>
      <c r="D1402" s="23" t="inlineStr">
        <is>
          <t>Proposed by Professional; target UNSURE</t>
        </is>
      </c>
      <c r="E1402" s="23" t="inlineStr">
        <is>
          <t>None recorded</t>
        </is>
      </c>
      <c r="F1402" s="23" t="inlineStr">
        <is>
          <t>Maya Chen, Owner Project Controls: Earlier professional decision, carried forward</t>
        </is>
      </c>
      <c r="G1402" s="23" t="inlineStr">
        <is>
          <t>Group decision (182 records sharing one decision state), carried forward</t>
        </is>
      </c>
      <c r="H1402" s="23" t="inlineStr">
        <is>
          <t xml:space="preserve">RETAINED / UNSURE; </t>
        </is>
      </c>
      <c r="I1402" s="23" t="inlineStr">
        <is>
          <t>Carried forward</t>
        </is>
      </c>
      <c r="J1402" s="14" t="inlineStr">
        <is>
          <t>08 CROSSWALK</t>
        </is>
      </c>
    </row>
    <row r="1403" ht="64" customHeight="1">
      <c r="A1403" s="23" t="inlineStr">
        <is>
          <t>R936-v3</t>
        </is>
      </c>
      <c r="B1403" s="23" t="inlineStr">
        <is>
          <t>Contractor Programme / SCH-06-036</t>
        </is>
      </c>
      <c r="C1403" s="23" t="inlineStr">
        <is>
          <t>No explicit source assertion recorded</t>
        </is>
      </c>
      <c r="D1403" s="23" t="inlineStr">
        <is>
          <t>Proposed by Professional; target UNSURE</t>
        </is>
      </c>
      <c r="E1403" s="23" t="inlineStr">
        <is>
          <t>None recorded</t>
        </is>
      </c>
      <c r="F1403" s="23" t="inlineStr">
        <is>
          <t>Maya Chen, Owner Project Controls: Earlier professional decision, carried forward</t>
        </is>
      </c>
      <c r="G1403" s="23" t="inlineStr">
        <is>
          <t>Group decision (182 records sharing one decision state), carried forward</t>
        </is>
      </c>
      <c r="H1403" s="23" t="inlineStr">
        <is>
          <t xml:space="preserve">RETAINED / UNSURE; </t>
        </is>
      </c>
      <c r="I1403" s="23" t="inlineStr">
        <is>
          <t>Carried forward</t>
        </is>
      </c>
      <c r="J1403" s="14" t="inlineStr">
        <is>
          <t>08 CROSSWALK</t>
        </is>
      </c>
    </row>
    <row r="1404" ht="64" customHeight="1">
      <c r="A1404" s="23" t="inlineStr">
        <is>
          <t>R937-v3</t>
        </is>
      </c>
      <c r="B1404" s="23" t="inlineStr">
        <is>
          <t>Contractor Programme / SCH-06-037</t>
        </is>
      </c>
      <c r="C1404" s="23" t="inlineStr">
        <is>
          <t>No explicit source assertion recorded</t>
        </is>
      </c>
      <c r="D1404" s="23" t="inlineStr">
        <is>
          <t>Proposed by Professional; target UNSURE</t>
        </is>
      </c>
      <c r="E1404" s="23" t="inlineStr">
        <is>
          <t>None recorded</t>
        </is>
      </c>
      <c r="F1404" s="23" t="inlineStr">
        <is>
          <t>Maya Chen, Owner Project Controls: Earlier professional decision, carried forward</t>
        </is>
      </c>
      <c r="G1404" s="23" t="inlineStr">
        <is>
          <t>Group decision (182 records sharing one decision state), carried forward</t>
        </is>
      </c>
      <c r="H1404" s="23" t="inlineStr">
        <is>
          <t xml:space="preserve">RETAINED / UNSURE; </t>
        </is>
      </c>
      <c r="I1404" s="23" t="inlineStr">
        <is>
          <t>Carried forward</t>
        </is>
      </c>
      <c r="J1404" s="14" t="inlineStr">
        <is>
          <t>08 CROSSWALK</t>
        </is>
      </c>
    </row>
    <row r="1405" ht="64" customHeight="1">
      <c r="A1405" s="23" t="inlineStr">
        <is>
          <t>R938-v3</t>
        </is>
      </c>
      <c r="B1405" s="23" t="inlineStr">
        <is>
          <t>Contractor Programme / SCH-06-038</t>
        </is>
      </c>
      <c r="C1405" s="23" t="inlineStr">
        <is>
          <t>No explicit source assertion recorded</t>
        </is>
      </c>
      <c r="D1405" s="23" t="inlineStr">
        <is>
          <t>Proposed by Professional; target UNSURE</t>
        </is>
      </c>
      <c r="E1405" s="23" t="inlineStr">
        <is>
          <t>None recorded</t>
        </is>
      </c>
      <c r="F1405" s="23" t="inlineStr">
        <is>
          <t>Maya Chen, Owner Project Controls: Earlier professional decision, carried forward</t>
        </is>
      </c>
      <c r="G1405" s="23" t="inlineStr">
        <is>
          <t>Group decision (182 records sharing one decision state), carried forward</t>
        </is>
      </c>
      <c r="H1405" s="23" t="inlineStr">
        <is>
          <t xml:space="preserve">RETAINED / UNSURE; </t>
        </is>
      </c>
      <c r="I1405" s="23" t="inlineStr">
        <is>
          <t>Carried forward</t>
        </is>
      </c>
      <c r="J1405" s="14" t="inlineStr">
        <is>
          <t>08 CROSSWALK</t>
        </is>
      </c>
    </row>
    <row r="1406" ht="64" customHeight="1">
      <c r="A1406" s="23" t="inlineStr">
        <is>
          <t>R939-v3</t>
        </is>
      </c>
      <c r="B1406" s="23" t="inlineStr">
        <is>
          <t>Contractor Programme / SCH-06-039</t>
        </is>
      </c>
      <c r="C1406" s="23" t="inlineStr">
        <is>
          <t>No explicit source assertion recorded</t>
        </is>
      </c>
      <c r="D1406" s="23" t="inlineStr">
        <is>
          <t>Proposed by Professional; target UNSURE</t>
        </is>
      </c>
      <c r="E1406" s="23" t="inlineStr">
        <is>
          <t>None recorded</t>
        </is>
      </c>
      <c r="F1406" s="23" t="inlineStr">
        <is>
          <t>Maya Chen, Owner Project Controls: Earlier professional decision, carried forward</t>
        </is>
      </c>
      <c r="G1406" s="23" t="inlineStr">
        <is>
          <t>Group decision (182 records sharing one decision state), carried forward</t>
        </is>
      </c>
      <c r="H1406" s="23" t="inlineStr">
        <is>
          <t xml:space="preserve">RETAINED / UNSURE; </t>
        </is>
      </c>
      <c r="I1406" s="23" t="inlineStr">
        <is>
          <t>Carried forward</t>
        </is>
      </c>
      <c r="J1406" s="14" t="inlineStr">
        <is>
          <t>08 CROSSWALK</t>
        </is>
      </c>
    </row>
    <row r="1407" ht="64" customHeight="1">
      <c r="A1407" s="23" t="inlineStr">
        <is>
          <t>R940-v3</t>
        </is>
      </c>
      <c r="B1407" s="23" t="inlineStr">
        <is>
          <t>Contractor Programme / SCH-06-040</t>
        </is>
      </c>
      <c r="C1407" s="23" t="inlineStr">
        <is>
          <t>No explicit source assertion recorded</t>
        </is>
      </c>
      <c r="D1407" s="23" t="inlineStr">
        <is>
          <t>Proposed by Professional; target UNSURE</t>
        </is>
      </c>
      <c r="E1407" s="23" t="inlineStr">
        <is>
          <t>None recorded</t>
        </is>
      </c>
      <c r="F1407" s="23" t="inlineStr">
        <is>
          <t>Maya Chen, Owner Project Controls: Earlier professional decision, carried forward</t>
        </is>
      </c>
      <c r="G1407" s="23" t="inlineStr">
        <is>
          <t>Group decision (182 records sharing one decision state), carried forward</t>
        </is>
      </c>
      <c r="H1407" s="23" t="inlineStr">
        <is>
          <t xml:space="preserve">RETAINED / UNSURE; </t>
        </is>
      </c>
      <c r="I1407" s="23" t="inlineStr">
        <is>
          <t>Carried forward</t>
        </is>
      </c>
      <c r="J1407" s="14" t="inlineStr">
        <is>
          <t>08 CROSSWALK</t>
        </is>
      </c>
    </row>
    <row r="1408" ht="64" customHeight="1">
      <c r="A1408" s="23" t="inlineStr">
        <is>
          <t>R941-v3</t>
        </is>
      </c>
      <c r="B1408" s="23" t="inlineStr">
        <is>
          <t>Contractor Programme / SCH-06-041</t>
        </is>
      </c>
      <c r="C1408" s="23" t="inlineStr">
        <is>
          <t>No explicit source assertion recorded</t>
        </is>
      </c>
      <c r="D1408" s="23" t="inlineStr">
        <is>
          <t>Proposed by Professional; target UNSURE</t>
        </is>
      </c>
      <c r="E1408" s="23" t="inlineStr">
        <is>
          <t>None recorded</t>
        </is>
      </c>
      <c r="F1408" s="23" t="inlineStr">
        <is>
          <t>Maya Chen, Owner Project Controls: Earlier professional decision, carried forward</t>
        </is>
      </c>
      <c r="G1408" s="23" t="inlineStr">
        <is>
          <t>Group decision (182 records sharing one decision state), carried forward</t>
        </is>
      </c>
      <c r="H1408" s="23" t="inlineStr">
        <is>
          <t xml:space="preserve">RETAINED / UNSURE; </t>
        </is>
      </c>
      <c r="I1408" s="23" t="inlineStr">
        <is>
          <t>Carried forward</t>
        </is>
      </c>
      <c r="J1408" s="14" t="inlineStr">
        <is>
          <t>08 CROSSWALK</t>
        </is>
      </c>
    </row>
    <row r="1409" ht="64" customHeight="1">
      <c r="A1409" s="23" t="inlineStr">
        <is>
          <t>R942-v3</t>
        </is>
      </c>
      <c r="B1409" s="23" t="inlineStr">
        <is>
          <t>Contractor Programme / SCH-06-042</t>
        </is>
      </c>
      <c r="C1409" s="23" t="inlineStr">
        <is>
          <t>No explicit source assertion recorded</t>
        </is>
      </c>
      <c r="D1409" s="23" t="inlineStr">
        <is>
          <t>Proposed by Professional; target UNSURE</t>
        </is>
      </c>
      <c r="E1409" s="23" t="inlineStr">
        <is>
          <t>None recorded</t>
        </is>
      </c>
      <c r="F1409" s="23" t="inlineStr">
        <is>
          <t>Maya Chen, Owner Project Controls: Earlier professional decision, carried forward</t>
        </is>
      </c>
      <c r="G1409" s="23" t="inlineStr">
        <is>
          <t>Group decision (182 records sharing one decision state), carried forward</t>
        </is>
      </c>
      <c r="H1409" s="23" t="inlineStr">
        <is>
          <t xml:space="preserve">RETAINED / UNSURE; </t>
        </is>
      </c>
      <c r="I1409" s="23" t="inlineStr">
        <is>
          <t>Carried forward</t>
        </is>
      </c>
      <c r="J1409" s="14" t="inlineStr">
        <is>
          <t>08 CROSSWALK</t>
        </is>
      </c>
    </row>
    <row r="1410" ht="64" customHeight="1">
      <c r="A1410" s="23" t="inlineStr">
        <is>
          <t>R943-v3</t>
        </is>
      </c>
      <c r="B1410" s="23" t="inlineStr">
        <is>
          <t>Contractor Programme / SCH-06-043</t>
        </is>
      </c>
      <c r="C1410" s="23" t="inlineStr">
        <is>
          <t>No explicit source assertion recorded</t>
        </is>
      </c>
      <c r="D1410" s="23" t="inlineStr">
        <is>
          <t>Proposed by Professional; target UNSURE</t>
        </is>
      </c>
      <c r="E1410" s="23" t="inlineStr">
        <is>
          <t>None recorded</t>
        </is>
      </c>
      <c r="F1410" s="23" t="inlineStr">
        <is>
          <t>Maya Chen, Owner Project Controls: Earlier professional decision, carried forward</t>
        </is>
      </c>
      <c r="G1410" s="23" t="inlineStr">
        <is>
          <t>Group decision (182 records sharing one decision state), carried forward</t>
        </is>
      </c>
      <c r="H1410" s="23" t="inlineStr">
        <is>
          <t xml:space="preserve">RETAINED / UNSURE; </t>
        </is>
      </c>
      <c r="I1410" s="23" t="inlineStr">
        <is>
          <t>Carried forward</t>
        </is>
      </c>
      <c r="J1410" s="14" t="inlineStr">
        <is>
          <t>08 CROSSWALK</t>
        </is>
      </c>
    </row>
    <row r="1411" ht="64" customHeight="1">
      <c r="A1411" s="23" t="inlineStr">
        <is>
          <t>R944-v3</t>
        </is>
      </c>
      <c r="B1411" s="23" t="inlineStr">
        <is>
          <t>Contractor Programme / SCH-06-044</t>
        </is>
      </c>
      <c r="C1411" s="23" t="inlineStr">
        <is>
          <t>No explicit source assertion recorded</t>
        </is>
      </c>
      <c r="D1411" s="23" t="inlineStr">
        <is>
          <t>Proposed by Professional; target UNSURE</t>
        </is>
      </c>
      <c r="E1411" s="23" t="inlineStr">
        <is>
          <t>None recorded</t>
        </is>
      </c>
      <c r="F1411" s="23" t="inlineStr">
        <is>
          <t>Maya Chen, Owner Project Controls: Earlier professional decision, carried forward</t>
        </is>
      </c>
      <c r="G1411" s="23" t="inlineStr">
        <is>
          <t>Group decision (182 records sharing one decision state), carried forward</t>
        </is>
      </c>
      <c r="H1411" s="23" t="inlineStr">
        <is>
          <t xml:space="preserve">RETAINED / UNSURE; </t>
        </is>
      </c>
      <c r="I1411" s="23" t="inlineStr">
        <is>
          <t>Carried forward</t>
        </is>
      </c>
      <c r="J1411" s="14" t="inlineStr">
        <is>
          <t>08 CROSSWALK</t>
        </is>
      </c>
    </row>
    <row r="1412" ht="64" customHeight="1">
      <c r="A1412" s="23" t="inlineStr">
        <is>
          <t>R945-v3</t>
        </is>
      </c>
      <c r="B1412" s="23" t="inlineStr">
        <is>
          <t>Contractor Programme / SCH-06-045</t>
        </is>
      </c>
      <c r="C1412" s="23" t="inlineStr">
        <is>
          <t>No explicit source assertion recorded</t>
        </is>
      </c>
      <c r="D1412" s="23" t="inlineStr">
        <is>
          <t>Proposed by Professional; target UNSURE</t>
        </is>
      </c>
      <c r="E1412" s="23" t="inlineStr">
        <is>
          <t>None recorded</t>
        </is>
      </c>
      <c r="F1412" s="23" t="inlineStr">
        <is>
          <t>Maya Chen, Owner Project Controls: Earlier professional decision, carried forward</t>
        </is>
      </c>
      <c r="G1412" s="23" t="inlineStr">
        <is>
          <t>Group decision (182 records sharing one decision state), carried forward</t>
        </is>
      </c>
      <c r="H1412" s="23" t="inlineStr">
        <is>
          <t xml:space="preserve">RETAINED / UNSURE; </t>
        </is>
      </c>
      <c r="I1412" s="23" t="inlineStr">
        <is>
          <t>Carried forward</t>
        </is>
      </c>
      <c r="J1412" s="14" t="inlineStr">
        <is>
          <t>08 CROSSWALK</t>
        </is>
      </c>
    </row>
    <row r="1413" ht="64" customHeight="1">
      <c r="A1413" s="23" t="inlineStr">
        <is>
          <t>R946-v3</t>
        </is>
      </c>
      <c r="B1413" s="23" t="inlineStr">
        <is>
          <t>Contractor Programme / SCH-06-046</t>
        </is>
      </c>
      <c r="C1413" s="23" t="inlineStr">
        <is>
          <t>No explicit source assertion recorded</t>
        </is>
      </c>
      <c r="D1413" s="23" t="inlineStr">
        <is>
          <t>Proposed by Professional; target UNSURE</t>
        </is>
      </c>
      <c r="E1413" s="23" t="inlineStr">
        <is>
          <t>None recorded</t>
        </is>
      </c>
      <c r="F1413" s="23" t="inlineStr">
        <is>
          <t>Maya Chen, Owner Project Controls: Earlier professional decision, carried forward</t>
        </is>
      </c>
      <c r="G1413" s="23" t="inlineStr">
        <is>
          <t>Group decision (182 records sharing one decision state), carried forward</t>
        </is>
      </c>
      <c r="H1413" s="23" t="inlineStr">
        <is>
          <t xml:space="preserve">RETAINED / UNSURE; </t>
        </is>
      </c>
      <c r="I1413" s="23" t="inlineStr">
        <is>
          <t>Carried forward</t>
        </is>
      </c>
      <c r="J1413" s="14" t="inlineStr">
        <is>
          <t>08 CROSSWALK</t>
        </is>
      </c>
    </row>
    <row r="1414" ht="64" customHeight="1">
      <c r="A1414" s="23" t="inlineStr">
        <is>
          <t>R947-v3</t>
        </is>
      </c>
      <c r="B1414" s="23" t="inlineStr">
        <is>
          <t>Contractor Programme / SCH-06-047</t>
        </is>
      </c>
      <c r="C1414" s="23" t="inlineStr">
        <is>
          <t>No explicit source assertion recorded</t>
        </is>
      </c>
      <c r="D1414" s="23" t="inlineStr">
        <is>
          <t>Proposed by Professional; target UNSURE</t>
        </is>
      </c>
      <c r="E1414" s="23" t="inlineStr">
        <is>
          <t>None recorded</t>
        </is>
      </c>
      <c r="F1414" s="23" t="inlineStr">
        <is>
          <t>Maya Chen, Owner Project Controls: Earlier professional decision, carried forward</t>
        </is>
      </c>
      <c r="G1414" s="23" t="inlineStr">
        <is>
          <t>Group decision (182 records sharing one decision state), carried forward</t>
        </is>
      </c>
      <c r="H1414" s="23" t="inlineStr">
        <is>
          <t xml:space="preserve">RETAINED / UNSURE; </t>
        </is>
      </c>
      <c r="I1414" s="23" t="inlineStr">
        <is>
          <t>Carried forward</t>
        </is>
      </c>
      <c r="J1414" s="14" t="inlineStr">
        <is>
          <t>08 CROSSWALK</t>
        </is>
      </c>
    </row>
    <row r="1415" ht="64" customHeight="1">
      <c r="A1415" s="23" t="inlineStr">
        <is>
          <t>R948-v3</t>
        </is>
      </c>
      <c r="B1415" s="23" t="inlineStr">
        <is>
          <t>Contractor Programme / SCH-06-048</t>
        </is>
      </c>
      <c r="C1415" s="23" t="inlineStr">
        <is>
          <t>No explicit source assertion recorded</t>
        </is>
      </c>
      <c r="D1415" s="23" t="inlineStr">
        <is>
          <t>Proposed by Professional; target UNSURE</t>
        </is>
      </c>
      <c r="E1415" s="23" t="inlineStr">
        <is>
          <t>None recorded</t>
        </is>
      </c>
      <c r="F1415" s="23" t="inlineStr">
        <is>
          <t>Maya Chen, Owner Project Controls: Earlier professional decision, carried forward</t>
        </is>
      </c>
      <c r="G1415" s="23" t="inlineStr">
        <is>
          <t>Group decision (182 records sharing one decision state), carried forward</t>
        </is>
      </c>
      <c r="H1415" s="23" t="inlineStr">
        <is>
          <t xml:space="preserve">RETAINED / UNSURE; </t>
        </is>
      </c>
      <c r="I1415" s="23" t="inlineStr">
        <is>
          <t>Carried forward</t>
        </is>
      </c>
      <c r="J1415" s="14" t="inlineStr">
        <is>
          <t>08 CROSSWALK</t>
        </is>
      </c>
    </row>
    <row r="1416" ht="64" customHeight="1">
      <c r="A1416" s="23" t="inlineStr">
        <is>
          <t>R949-v3</t>
        </is>
      </c>
      <c r="B1416" s="23" t="inlineStr">
        <is>
          <t>Contractor Programme / SCH-06-049</t>
        </is>
      </c>
      <c r="C1416" s="23" t="inlineStr">
        <is>
          <t>No explicit source assertion recorded</t>
        </is>
      </c>
      <c r="D1416" s="23" t="inlineStr">
        <is>
          <t>Proposed by Professional; target UNSURE</t>
        </is>
      </c>
      <c r="E1416" s="23" t="inlineStr">
        <is>
          <t>None recorded</t>
        </is>
      </c>
      <c r="F1416" s="23" t="inlineStr">
        <is>
          <t>Maya Chen, Owner Project Controls: Earlier professional decision, carried forward</t>
        </is>
      </c>
      <c r="G1416" s="23" t="inlineStr">
        <is>
          <t>Group decision (182 records sharing one decision state), carried forward</t>
        </is>
      </c>
      <c r="H1416" s="23" t="inlineStr">
        <is>
          <t xml:space="preserve">RETAINED / UNSURE; </t>
        </is>
      </c>
      <c r="I1416" s="23" t="inlineStr">
        <is>
          <t>Carried forward</t>
        </is>
      </c>
      <c r="J1416" s="14" t="inlineStr">
        <is>
          <t>08 CROSSWALK</t>
        </is>
      </c>
    </row>
    <row r="1417" ht="64" customHeight="1">
      <c r="A1417" s="23" t="inlineStr">
        <is>
          <t>R950-v3</t>
        </is>
      </c>
      <c r="B1417" s="23" t="inlineStr">
        <is>
          <t>Contractor Programme / SCH-06-050</t>
        </is>
      </c>
      <c r="C1417" s="23" t="inlineStr">
        <is>
          <t>No explicit source assertion recorded</t>
        </is>
      </c>
      <c r="D1417" s="23" t="inlineStr">
        <is>
          <t>Proposed by Professional; target UNSURE</t>
        </is>
      </c>
      <c r="E1417" s="23" t="inlineStr">
        <is>
          <t>None recorded</t>
        </is>
      </c>
      <c r="F1417" s="23" t="inlineStr">
        <is>
          <t>Maya Chen, Owner Project Controls: Earlier professional decision, carried forward</t>
        </is>
      </c>
      <c r="G1417" s="23" t="inlineStr">
        <is>
          <t>Group decision (182 records sharing one decision state), carried forward</t>
        </is>
      </c>
      <c r="H1417" s="23" t="inlineStr">
        <is>
          <t xml:space="preserve">RETAINED / UNSURE; </t>
        </is>
      </c>
      <c r="I1417" s="23" t="inlineStr">
        <is>
          <t>Carried forward</t>
        </is>
      </c>
      <c r="J1417" s="14" t="inlineStr">
        <is>
          <t>08 CROSSWALK</t>
        </is>
      </c>
    </row>
    <row r="1418" ht="64" customHeight="1">
      <c r="A1418" s="23" t="inlineStr">
        <is>
          <t>R951-v3</t>
        </is>
      </c>
      <c r="B1418" s="23" t="inlineStr">
        <is>
          <t>Contractor Programme / SCH-06-051</t>
        </is>
      </c>
      <c r="C1418" s="23" t="inlineStr">
        <is>
          <t>No explicit source assertion recorded</t>
        </is>
      </c>
      <c r="D1418" s="23" t="inlineStr">
        <is>
          <t>Proposed by Professional; target UNSURE</t>
        </is>
      </c>
      <c r="E1418" s="23" t="inlineStr">
        <is>
          <t>None recorded</t>
        </is>
      </c>
      <c r="F1418" s="23" t="inlineStr">
        <is>
          <t>Maya Chen, Owner Project Controls: Earlier professional decision, carried forward</t>
        </is>
      </c>
      <c r="G1418" s="23" t="inlineStr">
        <is>
          <t>Group decision (182 records sharing one decision state), carried forward</t>
        </is>
      </c>
      <c r="H1418" s="23" t="inlineStr">
        <is>
          <t xml:space="preserve">RETAINED / UNSURE; </t>
        </is>
      </c>
      <c r="I1418" s="23" t="inlineStr">
        <is>
          <t>Carried forward</t>
        </is>
      </c>
      <c r="J1418" s="14" t="inlineStr">
        <is>
          <t>08 CROSSWALK</t>
        </is>
      </c>
    </row>
    <row r="1419" ht="64" customHeight="1">
      <c r="A1419" s="23" t="inlineStr">
        <is>
          <t>R952-v3</t>
        </is>
      </c>
      <c r="B1419" s="23" t="inlineStr">
        <is>
          <t>Contractor Programme / SCH-06-052</t>
        </is>
      </c>
      <c r="C1419" s="23" t="inlineStr">
        <is>
          <t>No explicit source assertion recorded</t>
        </is>
      </c>
      <c r="D1419" s="23" t="inlineStr">
        <is>
          <t>Proposed by Professional; target UNSURE</t>
        </is>
      </c>
      <c r="E1419" s="23" t="inlineStr">
        <is>
          <t>None recorded</t>
        </is>
      </c>
      <c r="F1419" s="23" t="inlineStr">
        <is>
          <t>Maya Chen, Owner Project Controls: Earlier professional decision, carried forward</t>
        </is>
      </c>
      <c r="G1419" s="23" t="inlineStr">
        <is>
          <t>Group decision (182 records sharing one decision state), carried forward</t>
        </is>
      </c>
      <c r="H1419" s="23" t="inlineStr">
        <is>
          <t xml:space="preserve">RETAINED / UNSURE; </t>
        </is>
      </c>
      <c r="I1419" s="23" t="inlineStr">
        <is>
          <t>Carried forward</t>
        </is>
      </c>
      <c r="J1419" s="14" t="inlineStr">
        <is>
          <t>08 CROSSWALK</t>
        </is>
      </c>
    </row>
    <row r="1420" ht="64" customHeight="1">
      <c r="A1420" s="23" t="inlineStr">
        <is>
          <t>R953-v3</t>
        </is>
      </c>
      <c r="B1420" s="23" t="inlineStr">
        <is>
          <t>Contractor Programme / SCH-06-053</t>
        </is>
      </c>
      <c r="C1420" s="23" t="inlineStr">
        <is>
          <t>No explicit source assertion recorded</t>
        </is>
      </c>
      <c r="D1420" s="23" t="inlineStr">
        <is>
          <t>Proposed by Professional; target UNSURE</t>
        </is>
      </c>
      <c r="E1420" s="23" t="inlineStr">
        <is>
          <t>None recorded</t>
        </is>
      </c>
      <c r="F1420" s="23" t="inlineStr">
        <is>
          <t>Maya Chen, Owner Project Controls: Earlier professional decision, carried forward</t>
        </is>
      </c>
      <c r="G1420" s="23" t="inlineStr">
        <is>
          <t>Group decision (182 records sharing one decision state), carried forward</t>
        </is>
      </c>
      <c r="H1420" s="23" t="inlineStr">
        <is>
          <t xml:space="preserve">RETAINED / UNSURE; </t>
        </is>
      </c>
      <c r="I1420" s="23" t="inlineStr">
        <is>
          <t>Carried forward</t>
        </is>
      </c>
      <c r="J1420" s="14" t="inlineStr">
        <is>
          <t>08 CROSSWALK</t>
        </is>
      </c>
    </row>
    <row r="1421" ht="64" customHeight="1">
      <c r="A1421" s="23" t="inlineStr">
        <is>
          <t>R954-v3</t>
        </is>
      </c>
      <c r="B1421" s="23" t="inlineStr">
        <is>
          <t>Contractor Programme / SCH-06-054</t>
        </is>
      </c>
      <c r="C1421" s="23" t="inlineStr">
        <is>
          <t>No explicit source assertion recorded</t>
        </is>
      </c>
      <c r="D1421" s="23" t="inlineStr">
        <is>
          <t>Proposed by Professional; target UNSURE</t>
        </is>
      </c>
      <c r="E1421" s="23" t="inlineStr">
        <is>
          <t>None recorded</t>
        </is>
      </c>
      <c r="F1421" s="23" t="inlineStr">
        <is>
          <t>Maya Chen, Owner Project Controls: Earlier professional decision, carried forward</t>
        </is>
      </c>
      <c r="G1421" s="23" t="inlineStr">
        <is>
          <t>Group decision (182 records sharing one decision state), carried forward</t>
        </is>
      </c>
      <c r="H1421" s="23" t="inlineStr">
        <is>
          <t xml:space="preserve">RETAINED / UNSURE; </t>
        </is>
      </c>
      <c r="I1421" s="23" t="inlineStr">
        <is>
          <t>Carried forward</t>
        </is>
      </c>
      <c r="J1421" s="14" t="inlineStr">
        <is>
          <t>08 CROSSWALK</t>
        </is>
      </c>
    </row>
    <row r="1422" ht="64" customHeight="1">
      <c r="A1422" s="23" t="inlineStr">
        <is>
          <t>R955-v3</t>
        </is>
      </c>
      <c r="B1422" s="23" t="inlineStr">
        <is>
          <t>Contractor Programme / SCH-06-055</t>
        </is>
      </c>
      <c r="C1422" s="23" t="inlineStr">
        <is>
          <t>No explicit source assertion recorded</t>
        </is>
      </c>
      <c r="D1422" s="23" t="inlineStr">
        <is>
          <t>Proposed by Professional; target UNSURE</t>
        </is>
      </c>
      <c r="E1422" s="23" t="inlineStr">
        <is>
          <t>None recorded</t>
        </is>
      </c>
      <c r="F1422" s="23" t="inlineStr">
        <is>
          <t>Maya Chen, Owner Project Controls: Earlier professional decision, carried forward</t>
        </is>
      </c>
      <c r="G1422" s="23" t="inlineStr">
        <is>
          <t>Group decision (182 records sharing one decision state), carried forward</t>
        </is>
      </c>
      <c r="H1422" s="23" t="inlineStr">
        <is>
          <t xml:space="preserve">RETAINED / UNSURE; </t>
        </is>
      </c>
      <c r="I1422" s="23" t="inlineStr">
        <is>
          <t>Carried forward</t>
        </is>
      </c>
      <c r="J1422" s="14" t="inlineStr">
        <is>
          <t>08 CROSSWALK</t>
        </is>
      </c>
    </row>
    <row r="1423" ht="64" customHeight="1">
      <c r="A1423" s="23" t="inlineStr">
        <is>
          <t>R956-v3</t>
        </is>
      </c>
      <c r="B1423" s="23" t="inlineStr">
        <is>
          <t>Contractor Programme / SCH-06-056</t>
        </is>
      </c>
      <c r="C1423" s="23" t="inlineStr">
        <is>
          <t>No explicit source assertion recorded</t>
        </is>
      </c>
      <c r="D1423" s="23" t="inlineStr">
        <is>
          <t>Proposed by Professional; target UNSURE</t>
        </is>
      </c>
      <c r="E1423" s="23" t="inlineStr">
        <is>
          <t>None recorded</t>
        </is>
      </c>
      <c r="F1423" s="23" t="inlineStr">
        <is>
          <t>Maya Chen, Owner Project Controls: Earlier professional decision, carried forward</t>
        </is>
      </c>
      <c r="G1423" s="23" t="inlineStr">
        <is>
          <t>Group decision (182 records sharing one decision state), carried forward</t>
        </is>
      </c>
      <c r="H1423" s="23" t="inlineStr">
        <is>
          <t xml:space="preserve">RETAINED / UNSURE; </t>
        </is>
      </c>
      <c r="I1423" s="23" t="inlineStr">
        <is>
          <t>Carried forward</t>
        </is>
      </c>
      <c r="J1423" s="14" t="inlineStr">
        <is>
          <t>08 CROSSWALK</t>
        </is>
      </c>
    </row>
    <row r="1424" ht="64" customHeight="1">
      <c r="A1424" s="23" t="inlineStr">
        <is>
          <t>R957-v3</t>
        </is>
      </c>
      <c r="B1424" s="23" t="inlineStr">
        <is>
          <t>Contractor Programme / SCH-06-057</t>
        </is>
      </c>
      <c r="C1424" s="23" t="inlineStr">
        <is>
          <t>No explicit source assertion recorded</t>
        </is>
      </c>
      <c r="D1424" s="23" t="inlineStr">
        <is>
          <t>Proposed by Professional; target UNSURE</t>
        </is>
      </c>
      <c r="E1424" s="23" t="inlineStr">
        <is>
          <t>None recorded</t>
        </is>
      </c>
      <c r="F1424" s="23" t="inlineStr">
        <is>
          <t>Maya Chen, Owner Project Controls: Earlier professional decision, carried forward</t>
        </is>
      </c>
      <c r="G1424" s="23" t="inlineStr">
        <is>
          <t>Group decision (182 records sharing one decision state), carried forward</t>
        </is>
      </c>
      <c r="H1424" s="23" t="inlineStr">
        <is>
          <t xml:space="preserve">RETAINED / UNSURE; </t>
        </is>
      </c>
      <c r="I1424" s="23" t="inlineStr">
        <is>
          <t>Carried forward</t>
        </is>
      </c>
      <c r="J1424" s="14" t="inlineStr">
        <is>
          <t>08 CROSSWALK</t>
        </is>
      </c>
    </row>
    <row r="1425" ht="64" customHeight="1">
      <c r="A1425" s="23" t="inlineStr">
        <is>
          <t>R958-v3</t>
        </is>
      </c>
      <c r="B1425" s="23" t="inlineStr">
        <is>
          <t>Contractor Programme / SCH-06-058</t>
        </is>
      </c>
      <c r="C1425" s="23" t="inlineStr">
        <is>
          <t>No explicit source assertion recorded</t>
        </is>
      </c>
      <c r="D1425" s="23" t="inlineStr">
        <is>
          <t>Proposed by Professional; target UNSURE</t>
        </is>
      </c>
      <c r="E1425" s="23" t="inlineStr">
        <is>
          <t>None recorded</t>
        </is>
      </c>
      <c r="F1425" s="23" t="inlineStr">
        <is>
          <t>Maya Chen, Owner Project Controls: Earlier professional decision, carried forward</t>
        </is>
      </c>
      <c r="G1425" s="23" t="inlineStr">
        <is>
          <t>Group decision (182 records sharing one decision state), carried forward</t>
        </is>
      </c>
      <c r="H1425" s="23" t="inlineStr">
        <is>
          <t xml:space="preserve">RETAINED / UNSURE; </t>
        </is>
      </c>
      <c r="I1425" s="23" t="inlineStr">
        <is>
          <t>Carried forward</t>
        </is>
      </c>
      <c r="J1425" s="14" t="inlineStr">
        <is>
          <t>08 CROSSWALK</t>
        </is>
      </c>
    </row>
    <row r="1426" ht="64" customHeight="1">
      <c r="A1426" s="23" t="inlineStr">
        <is>
          <t>R959-v3</t>
        </is>
      </c>
      <c r="B1426" s="23" t="inlineStr">
        <is>
          <t>Contractor Programme / SCH-06-059</t>
        </is>
      </c>
      <c r="C1426" s="23" t="inlineStr">
        <is>
          <t>No explicit source assertion recorded</t>
        </is>
      </c>
      <c r="D1426" s="23" t="inlineStr">
        <is>
          <t>Proposed by Professional; target UNSURE</t>
        </is>
      </c>
      <c r="E1426" s="23" t="inlineStr">
        <is>
          <t>None recorded</t>
        </is>
      </c>
      <c r="F1426" s="23" t="inlineStr">
        <is>
          <t>Maya Chen, Owner Project Controls: Earlier professional decision, carried forward</t>
        </is>
      </c>
      <c r="G1426" s="23" t="inlineStr">
        <is>
          <t>Group decision (182 records sharing one decision state), carried forward</t>
        </is>
      </c>
      <c r="H1426" s="23" t="inlineStr">
        <is>
          <t xml:space="preserve">RETAINED / UNSURE; </t>
        </is>
      </c>
      <c r="I1426" s="23" t="inlineStr">
        <is>
          <t>Carried forward</t>
        </is>
      </c>
      <c r="J1426" s="14" t="inlineStr">
        <is>
          <t>08 CROSSWALK</t>
        </is>
      </c>
    </row>
    <row r="1427" ht="64" customHeight="1">
      <c r="A1427" s="23" t="inlineStr">
        <is>
          <t>R960-v3</t>
        </is>
      </c>
      <c r="B1427" s="23" t="inlineStr">
        <is>
          <t>Contractor Programme / SCH-06-060</t>
        </is>
      </c>
      <c r="C1427" s="23" t="inlineStr">
        <is>
          <t>No explicit source assertion recorded</t>
        </is>
      </c>
      <c r="D1427" s="23" t="inlineStr">
        <is>
          <t>Proposed by Professional; target UNSURE</t>
        </is>
      </c>
      <c r="E1427" s="23" t="inlineStr">
        <is>
          <t>None recorded</t>
        </is>
      </c>
      <c r="F1427" s="23" t="inlineStr">
        <is>
          <t>Maya Chen, Owner Project Controls: Earlier professional decision, carried forward</t>
        </is>
      </c>
      <c r="G1427" s="23" t="inlineStr">
        <is>
          <t>Group decision (182 records sharing one decision state), carried forward</t>
        </is>
      </c>
      <c r="H1427" s="23" t="inlineStr">
        <is>
          <t xml:space="preserve">RETAINED / UNSURE; </t>
        </is>
      </c>
      <c r="I1427" s="23" t="inlineStr">
        <is>
          <t>Carried forward</t>
        </is>
      </c>
      <c r="J1427" s="14" t="inlineStr">
        <is>
          <t>08 CROSSWALK</t>
        </is>
      </c>
    </row>
    <row r="1428" ht="64" customHeight="1">
      <c r="A1428" s="23" t="inlineStr">
        <is>
          <t>R961-v3</t>
        </is>
      </c>
      <c r="B1428" s="23" t="inlineStr">
        <is>
          <t>Contractor Programme / SCH-06-061</t>
        </is>
      </c>
      <c r="C1428" s="23" t="inlineStr">
        <is>
          <t>No explicit source assertion recorded</t>
        </is>
      </c>
      <c r="D1428" s="23" t="inlineStr">
        <is>
          <t>Proposed by Professional; target UNSURE</t>
        </is>
      </c>
      <c r="E1428" s="23" t="inlineStr">
        <is>
          <t>None recorded</t>
        </is>
      </c>
      <c r="F1428" s="23" t="inlineStr">
        <is>
          <t>Maya Chen, Owner Project Controls: Earlier professional decision, carried forward</t>
        </is>
      </c>
      <c r="G1428" s="23" t="inlineStr">
        <is>
          <t>Group decision (182 records sharing one decision state), carried forward</t>
        </is>
      </c>
      <c r="H1428" s="23" t="inlineStr">
        <is>
          <t xml:space="preserve">RETAINED / UNSURE; </t>
        </is>
      </c>
      <c r="I1428" s="23" t="inlineStr">
        <is>
          <t>Carried forward</t>
        </is>
      </c>
      <c r="J1428" s="14" t="inlineStr">
        <is>
          <t>08 CROSSWALK</t>
        </is>
      </c>
    </row>
    <row r="1429" ht="64" customHeight="1">
      <c r="A1429" s="23" t="inlineStr">
        <is>
          <t>R962-v3</t>
        </is>
      </c>
      <c r="B1429" s="23" t="inlineStr">
        <is>
          <t>Contractor Programme / SCH-06-062</t>
        </is>
      </c>
      <c r="C1429" s="23" t="inlineStr">
        <is>
          <t>No explicit source assertion recorded</t>
        </is>
      </c>
      <c r="D1429" s="23" t="inlineStr">
        <is>
          <t>Proposed by Professional; target UNSURE</t>
        </is>
      </c>
      <c r="E1429" s="23" t="inlineStr">
        <is>
          <t>None recorded</t>
        </is>
      </c>
      <c r="F1429" s="23" t="inlineStr">
        <is>
          <t>Maya Chen, Owner Project Controls: Earlier professional decision, carried forward</t>
        </is>
      </c>
      <c r="G1429" s="23" t="inlineStr">
        <is>
          <t>Group decision (182 records sharing one decision state), carried forward</t>
        </is>
      </c>
      <c r="H1429" s="23" t="inlineStr">
        <is>
          <t xml:space="preserve">RETAINED / UNSURE; </t>
        </is>
      </c>
      <c r="I1429" s="23" t="inlineStr">
        <is>
          <t>Carried forward</t>
        </is>
      </c>
      <c r="J1429" s="14" t="inlineStr">
        <is>
          <t>08 CROSSWALK</t>
        </is>
      </c>
    </row>
    <row r="1430" ht="64" customHeight="1">
      <c r="A1430" s="23" t="inlineStr">
        <is>
          <t>R963-v3</t>
        </is>
      </c>
      <c r="B1430" s="23" t="inlineStr">
        <is>
          <t>Contractor Programme / SCH-06-063</t>
        </is>
      </c>
      <c r="C1430" s="23" t="inlineStr">
        <is>
          <t>No explicit source assertion recorded</t>
        </is>
      </c>
      <c r="D1430" s="23" t="inlineStr">
        <is>
          <t>Proposed by Professional; target UNSURE</t>
        </is>
      </c>
      <c r="E1430" s="23" t="inlineStr">
        <is>
          <t>None recorded</t>
        </is>
      </c>
      <c r="F1430" s="23" t="inlineStr">
        <is>
          <t>Maya Chen, Owner Project Controls: Earlier professional decision, carried forward</t>
        </is>
      </c>
      <c r="G1430" s="23" t="inlineStr">
        <is>
          <t>Group decision (182 records sharing one decision state), carried forward</t>
        </is>
      </c>
      <c r="H1430" s="23" t="inlineStr">
        <is>
          <t xml:space="preserve">RETAINED / UNSURE; </t>
        </is>
      </c>
      <c r="I1430" s="23" t="inlineStr">
        <is>
          <t>Carried forward</t>
        </is>
      </c>
      <c r="J1430" s="14" t="inlineStr">
        <is>
          <t>08 CROSSWALK</t>
        </is>
      </c>
    </row>
    <row r="1431" ht="64" customHeight="1">
      <c r="A1431" s="23" t="inlineStr">
        <is>
          <t>R964-v3</t>
        </is>
      </c>
      <c r="B1431" s="23" t="inlineStr">
        <is>
          <t>Contractor Programme / SCH-06-064</t>
        </is>
      </c>
      <c r="C1431" s="23" t="inlineStr">
        <is>
          <t>No explicit source assertion recorded</t>
        </is>
      </c>
      <c r="D1431" s="23" t="inlineStr">
        <is>
          <t>Proposed by Professional; target UNSURE</t>
        </is>
      </c>
      <c r="E1431" s="23" t="inlineStr">
        <is>
          <t>None recorded</t>
        </is>
      </c>
      <c r="F1431" s="23" t="inlineStr">
        <is>
          <t>Maya Chen, Owner Project Controls: Earlier professional decision, carried forward</t>
        </is>
      </c>
      <c r="G1431" s="23" t="inlineStr">
        <is>
          <t>Group decision (182 records sharing one decision state), carried forward</t>
        </is>
      </c>
      <c r="H1431" s="23" t="inlineStr">
        <is>
          <t xml:space="preserve">RETAINED / UNSURE; </t>
        </is>
      </c>
      <c r="I1431" s="23" t="inlineStr">
        <is>
          <t>Carried forward</t>
        </is>
      </c>
      <c r="J1431" s="14" t="inlineStr">
        <is>
          <t>08 CROSSWALK</t>
        </is>
      </c>
    </row>
    <row r="1432" ht="64" customHeight="1">
      <c r="A1432" s="23" t="inlineStr">
        <is>
          <t>R965-v3</t>
        </is>
      </c>
      <c r="B1432" s="23" t="inlineStr">
        <is>
          <t>Contractor Programme / SCH-06-065</t>
        </is>
      </c>
      <c r="C1432" s="23" t="inlineStr">
        <is>
          <t>No explicit source assertion recorded</t>
        </is>
      </c>
      <c r="D1432" s="23" t="inlineStr">
        <is>
          <t>Proposed by Professional; target UNSURE</t>
        </is>
      </c>
      <c r="E1432" s="23" t="inlineStr">
        <is>
          <t>None recorded</t>
        </is>
      </c>
      <c r="F1432" s="23" t="inlineStr">
        <is>
          <t>Maya Chen, Owner Project Controls: Earlier professional decision, carried forward</t>
        </is>
      </c>
      <c r="G1432" s="23" t="inlineStr">
        <is>
          <t>Group decision (182 records sharing one decision state), carried forward</t>
        </is>
      </c>
      <c r="H1432" s="23" t="inlineStr">
        <is>
          <t xml:space="preserve">RETAINED / UNSURE; </t>
        </is>
      </c>
      <c r="I1432" s="23" t="inlineStr">
        <is>
          <t>Carried forward</t>
        </is>
      </c>
      <c r="J1432" s="14" t="inlineStr">
        <is>
          <t>08 CROSSWALK</t>
        </is>
      </c>
    </row>
    <row r="1433" ht="64" customHeight="1">
      <c r="A1433" s="23" t="inlineStr">
        <is>
          <t>R966-v3</t>
        </is>
      </c>
      <c r="B1433" s="23" t="inlineStr">
        <is>
          <t>Contractor Programme / SCH-06-066</t>
        </is>
      </c>
      <c r="C1433" s="23" t="inlineStr">
        <is>
          <t>No explicit source assertion recorded</t>
        </is>
      </c>
      <c r="D1433" s="23" t="inlineStr">
        <is>
          <t>Proposed by Professional; target UNSURE</t>
        </is>
      </c>
      <c r="E1433" s="23" t="inlineStr">
        <is>
          <t>None recorded</t>
        </is>
      </c>
      <c r="F1433" s="23" t="inlineStr">
        <is>
          <t>Maya Chen, Owner Project Controls: Earlier professional decision, carried forward</t>
        </is>
      </c>
      <c r="G1433" s="23" t="inlineStr">
        <is>
          <t>Group decision (182 records sharing one decision state), carried forward</t>
        </is>
      </c>
      <c r="H1433" s="23" t="inlineStr">
        <is>
          <t xml:space="preserve">RETAINED / UNSURE; </t>
        </is>
      </c>
      <c r="I1433" s="23" t="inlineStr">
        <is>
          <t>Carried forward</t>
        </is>
      </c>
      <c r="J1433" s="14" t="inlineStr">
        <is>
          <t>08 CROSSWALK</t>
        </is>
      </c>
    </row>
    <row r="1434" ht="64" customHeight="1">
      <c r="A1434" s="23" t="inlineStr">
        <is>
          <t>R967-v3</t>
        </is>
      </c>
      <c r="B1434" s="23" t="inlineStr">
        <is>
          <t>Contractor Programme / SCH-06-067</t>
        </is>
      </c>
      <c r="C1434" s="23" t="inlineStr">
        <is>
          <t>No explicit source assertion recorded</t>
        </is>
      </c>
      <c r="D1434" s="23" t="inlineStr">
        <is>
          <t>Proposed by Professional; target UNSURE</t>
        </is>
      </c>
      <c r="E1434" s="23" t="inlineStr">
        <is>
          <t>None recorded</t>
        </is>
      </c>
      <c r="F1434" s="23" t="inlineStr">
        <is>
          <t>Maya Chen, Owner Project Controls: Earlier professional decision, carried forward</t>
        </is>
      </c>
      <c r="G1434" s="23" t="inlineStr">
        <is>
          <t>Group decision (182 records sharing one decision state), carried forward</t>
        </is>
      </c>
      <c r="H1434" s="23" t="inlineStr">
        <is>
          <t xml:space="preserve">RETAINED / UNSURE; </t>
        </is>
      </c>
      <c r="I1434" s="23" t="inlineStr">
        <is>
          <t>Carried forward</t>
        </is>
      </c>
      <c r="J1434" s="14" t="inlineStr">
        <is>
          <t>08 CROSSWALK</t>
        </is>
      </c>
    </row>
    <row r="1435" ht="64" customHeight="1">
      <c r="A1435" s="23" t="inlineStr">
        <is>
          <t>R968-v3</t>
        </is>
      </c>
      <c r="B1435" s="23" t="inlineStr">
        <is>
          <t>Contractor Programme / SCH-06-068</t>
        </is>
      </c>
      <c r="C1435" s="23" t="inlineStr">
        <is>
          <t>No explicit source assertion recorded</t>
        </is>
      </c>
      <c r="D1435" s="23" t="inlineStr">
        <is>
          <t>Proposed by Professional; target UNSURE</t>
        </is>
      </c>
      <c r="E1435" s="23" t="inlineStr">
        <is>
          <t>None recorded</t>
        </is>
      </c>
      <c r="F1435" s="23" t="inlineStr">
        <is>
          <t>Maya Chen, Owner Project Controls: Earlier professional decision, carried forward</t>
        </is>
      </c>
      <c r="G1435" s="23" t="inlineStr">
        <is>
          <t>Group decision (182 records sharing one decision state), carried forward</t>
        </is>
      </c>
      <c r="H1435" s="23" t="inlineStr">
        <is>
          <t xml:space="preserve">RETAINED / UNSURE; </t>
        </is>
      </c>
      <c r="I1435" s="23" t="inlineStr">
        <is>
          <t>Carried forward</t>
        </is>
      </c>
      <c r="J1435" s="14" t="inlineStr">
        <is>
          <t>08 CROSSWALK</t>
        </is>
      </c>
    </row>
    <row r="1436" ht="64" customHeight="1">
      <c r="A1436" s="23" t="inlineStr">
        <is>
          <t>R969-v3</t>
        </is>
      </c>
      <c r="B1436" s="23" t="inlineStr">
        <is>
          <t>Contractor Programme / SCH-06-069</t>
        </is>
      </c>
      <c r="C1436" s="23" t="inlineStr">
        <is>
          <t>No explicit source assertion recorded</t>
        </is>
      </c>
      <c r="D1436" s="23" t="inlineStr">
        <is>
          <t>Proposed by Professional; target UNSURE</t>
        </is>
      </c>
      <c r="E1436" s="23" t="inlineStr">
        <is>
          <t>None recorded</t>
        </is>
      </c>
      <c r="F1436" s="23" t="inlineStr">
        <is>
          <t>Maya Chen, Owner Project Controls: Earlier professional decision, carried forward</t>
        </is>
      </c>
      <c r="G1436" s="23" t="inlineStr">
        <is>
          <t>Group decision (182 records sharing one decision state), carried forward</t>
        </is>
      </c>
      <c r="H1436" s="23" t="inlineStr">
        <is>
          <t xml:space="preserve">RETAINED / UNSURE; </t>
        </is>
      </c>
      <c r="I1436" s="23" t="inlineStr">
        <is>
          <t>Carried forward</t>
        </is>
      </c>
      <c r="J1436" s="14" t="inlineStr">
        <is>
          <t>08 CROSSWALK</t>
        </is>
      </c>
    </row>
    <row r="1437" ht="64" customHeight="1">
      <c r="A1437" s="23" t="inlineStr">
        <is>
          <t>R970-v3</t>
        </is>
      </c>
      <c r="B1437" s="23" t="inlineStr">
        <is>
          <t>Contractor Programme / SCH-06-070</t>
        </is>
      </c>
      <c r="C1437" s="23" t="inlineStr">
        <is>
          <t>No explicit source assertion recorded</t>
        </is>
      </c>
      <c r="D1437" s="23" t="inlineStr">
        <is>
          <t>Proposed by Professional; target UNSURE</t>
        </is>
      </c>
      <c r="E1437" s="23" t="inlineStr">
        <is>
          <t>None recorded</t>
        </is>
      </c>
      <c r="F1437" s="23" t="inlineStr">
        <is>
          <t>Maya Chen, Owner Project Controls: Earlier professional decision, carried forward</t>
        </is>
      </c>
      <c r="G1437" s="23" t="inlineStr">
        <is>
          <t>Group decision (182 records sharing one decision state), carried forward</t>
        </is>
      </c>
      <c r="H1437" s="23" t="inlineStr">
        <is>
          <t xml:space="preserve">RETAINED / UNSURE; </t>
        </is>
      </c>
      <c r="I1437" s="23" t="inlineStr">
        <is>
          <t>Carried forward</t>
        </is>
      </c>
      <c r="J1437" s="14" t="inlineStr">
        <is>
          <t>08 CROSSWALK</t>
        </is>
      </c>
    </row>
    <row r="1438" ht="64" customHeight="1">
      <c r="A1438" s="23" t="inlineStr">
        <is>
          <t>R971-v3</t>
        </is>
      </c>
      <c r="B1438" s="23" t="inlineStr">
        <is>
          <t>Contractor Programme / SCH-06-071</t>
        </is>
      </c>
      <c r="C1438" s="23" t="inlineStr">
        <is>
          <t>No explicit source assertion recorded</t>
        </is>
      </c>
      <c r="D1438" s="23" t="inlineStr">
        <is>
          <t>Proposed by Professional; target UNSURE</t>
        </is>
      </c>
      <c r="E1438" s="23" t="inlineStr">
        <is>
          <t>None recorded</t>
        </is>
      </c>
      <c r="F1438" s="23" t="inlineStr">
        <is>
          <t>Maya Chen, Owner Project Controls: Earlier professional decision, carried forward</t>
        </is>
      </c>
      <c r="G1438" s="23" t="inlineStr">
        <is>
          <t>Group decision (182 records sharing one decision state), carried forward</t>
        </is>
      </c>
      <c r="H1438" s="23" t="inlineStr">
        <is>
          <t xml:space="preserve">RETAINED / UNSURE; </t>
        </is>
      </c>
      <c r="I1438" s="23" t="inlineStr">
        <is>
          <t>Carried forward</t>
        </is>
      </c>
      <c r="J1438" s="14" t="inlineStr">
        <is>
          <t>08 CROSSWALK</t>
        </is>
      </c>
    </row>
    <row r="1439" ht="64" customHeight="1">
      <c r="A1439" s="23" t="inlineStr">
        <is>
          <t>R972-v3</t>
        </is>
      </c>
      <c r="B1439" s="23" t="inlineStr">
        <is>
          <t>Contractor Programme / SCH-06-072</t>
        </is>
      </c>
      <c r="C1439" s="23" t="inlineStr">
        <is>
          <t>No explicit source assertion recorded</t>
        </is>
      </c>
      <c r="D1439" s="23" t="inlineStr">
        <is>
          <t>Proposed by Professional; target UNSURE</t>
        </is>
      </c>
      <c r="E1439" s="23" t="inlineStr">
        <is>
          <t>None recorded</t>
        </is>
      </c>
      <c r="F1439" s="23" t="inlineStr">
        <is>
          <t>Maya Chen, Owner Project Controls: Earlier professional decision, carried forward</t>
        </is>
      </c>
      <c r="G1439" s="23" t="inlineStr">
        <is>
          <t>Group decision (182 records sharing one decision state), carried forward</t>
        </is>
      </c>
      <c r="H1439" s="23" t="inlineStr">
        <is>
          <t xml:space="preserve">RETAINED / UNSURE; </t>
        </is>
      </c>
      <c r="I1439" s="23" t="inlineStr">
        <is>
          <t>Carried forward</t>
        </is>
      </c>
      <c r="J1439" s="14" t="inlineStr">
        <is>
          <t>08 CROSSWALK</t>
        </is>
      </c>
    </row>
    <row r="1440" ht="64" customHeight="1">
      <c r="A1440" s="23" t="inlineStr">
        <is>
          <t>R973-v3</t>
        </is>
      </c>
      <c r="B1440" s="23" t="inlineStr">
        <is>
          <t>Contractor Programme / SCH-06-073</t>
        </is>
      </c>
      <c r="C1440" s="23" t="inlineStr">
        <is>
          <t>No explicit source assertion recorded</t>
        </is>
      </c>
      <c r="D1440" s="23" t="inlineStr">
        <is>
          <t>Proposed by Professional; target UNSURE</t>
        </is>
      </c>
      <c r="E1440" s="23" t="inlineStr">
        <is>
          <t>None recorded</t>
        </is>
      </c>
      <c r="F1440" s="23" t="inlineStr">
        <is>
          <t>Maya Chen, Owner Project Controls: Earlier professional decision, carried forward</t>
        </is>
      </c>
      <c r="G1440" s="23" t="inlineStr">
        <is>
          <t>Group decision (182 records sharing one decision state), carried forward</t>
        </is>
      </c>
      <c r="H1440" s="23" t="inlineStr">
        <is>
          <t xml:space="preserve">RETAINED / UNSURE; </t>
        </is>
      </c>
      <c r="I1440" s="23" t="inlineStr">
        <is>
          <t>Carried forward</t>
        </is>
      </c>
      <c r="J1440" s="14" t="inlineStr">
        <is>
          <t>08 CROSSWALK</t>
        </is>
      </c>
    </row>
    <row r="1441" ht="64" customHeight="1">
      <c r="A1441" s="23" t="inlineStr">
        <is>
          <t>R974-v3</t>
        </is>
      </c>
      <c r="B1441" s="23" t="inlineStr">
        <is>
          <t>Contractor Programme / SCH-06-074</t>
        </is>
      </c>
      <c r="C1441" s="23" t="inlineStr">
        <is>
          <t>No explicit source assertion recorded</t>
        </is>
      </c>
      <c r="D1441" s="23" t="inlineStr">
        <is>
          <t>Proposed by Professional; target UNSURE</t>
        </is>
      </c>
      <c r="E1441" s="23" t="inlineStr">
        <is>
          <t>None recorded</t>
        </is>
      </c>
      <c r="F1441" s="23" t="inlineStr">
        <is>
          <t>Maya Chen, Owner Project Controls: Earlier professional decision, carried forward</t>
        </is>
      </c>
      <c r="G1441" s="23" t="inlineStr">
        <is>
          <t>Group decision (182 records sharing one decision state), carried forward</t>
        </is>
      </c>
      <c r="H1441" s="23" t="inlineStr">
        <is>
          <t xml:space="preserve">RETAINED / UNSURE; </t>
        </is>
      </c>
      <c r="I1441" s="23" t="inlineStr">
        <is>
          <t>Carried forward</t>
        </is>
      </c>
      <c r="J1441" s="14" t="inlineStr">
        <is>
          <t>08 CROSSWALK</t>
        </is>
      </c>
    </row>
    <row r="1442" ht="64" customHeight="1">
      <c r="A1442" s="23" t="inlineStr">
        <is>
          <t>R975-v3</t>
        </is>
      </c>
      <c r="B1442" s="23" t="inlineStr">
        <is>
          <t>Contractor Programme / SCH-06-075</t>
        </is>
      </c>
      <c r="C1442" s="23" t="inlineStr">
        <is>
          <t>No explicit source assertion recorded</t>
        </is>
      </c>
      <c r="D1442" s="23" t="inlineStr">
        <is>
          <t>Proposed by Professional; target UNSURE</t>
        </is>
      </c>
      <c r="E1442" s="23" t="inlineStr">
        <is>
          <t>None recorded</t>
        </is>
      </c>
      <c r="F1442" s="23" t="inlineStr">
        <is>
          <t>Maya Chen, Owner Project Controls: Earlier professional decision, carried forward</t>
        </is>
      </c>
      <c r="G1442" s="23" t="inlineStr">
        <is>
          <t>Group decision (182 records sharing one decision state), carried forward</t>
        </is>
      </c>
      <c r="H1442" s="23" t="inlineStr">
        <is>
          <t xml:space="preserve">RETAINED / UNSURE; </t>
        </is>
      </c>
      <c r="I1442" s="23" t="inlineStr">
        <is>
          <t>Carried forward</t>
        </is>
      </c>
      <c r="J1442" s="14" t="inlineStr">
        <is>
          <t>08 CROSSWALK</t>
        </is>
      </c>
    </row>
    <row r="1443" ht="64" customHeight="1">
      <c r="A1443" s="23" t="inlineStr">
        <is>
          <t>R976-v3</t>
        </is>
      </c>
      <c r="B1443" s="23" t="inlineStr">
        <is>
          <t>Contractor Programme / SCH-06-076</t>
        </is>
      </c>
      <c r="C1443" s="23" t="inlineStr">
        <is>
          <t>No explicit source assertion recorded</t>
        </is>
      </c>
      <c r="D1443" s="23" t="inlineStr">
        <is>
          <t>Proposed by Professional; target UNSURE</t>
        </is>
      </c>
      <c r="E1443" s="23" t="inlineStr">
        <is>
          <t>None recorded</t>
        </is>
      </c>
      <c r="F1443" s="23" t="inlineStr">
        <is>
          <t>Maya Chen, Owner Project Controls: Earlier professional decision, carried forward</t>
        </is>
      </c>
      <c r="G1443" s="23" t="inlineStr">
        <is>
          <t>Group decision (182 records sharing one decision state), carried forward</t>
        </is>
      </c>
      <c r="H1443" s="23" t="inlineStr">
        <is>
          <t xml:space="preserve">RETAINED / UNSURE; </t>
        </is>
      </c>
      <c r="I1443" s="23" t="inlineStr">
        <is>
          <t>Carried forward</t>
        </is>
      </c>
      <c r="J1443" s="14" t="inlineStr">
        <is>
          <t>08 CROSSWALK</t>
        </is>
      </c>
    </row>
    <row r="1444" ht="64" customHeight="1">
      <c r="A1444" s="23" t="inlineStr">
        <is>
          <t>R977-v3</t>
        </is>
      </c>
      <c r="B1444" s="23" t="inlineStr">
        <is>
          <t>Contractor Programme / SCH-06-077</t>
        </is>
      </c>
      <c r="C1444" s="23" t="inlineStr">
        <is>
          <t>No explicit source assertion recorded</t>
        </is>
      </c>
      <c r="D1444" s="23" t="inlineStr">
        <is>
          <t>Proposed by Professional; target UNSURE</t>
        </is>
      </c>
      <c r="E1444" s="23" t="inlineStr">
        <is>
          <t>None recorded</t>
        </is>
      </c>
      <c r="F1444" s="23" t="inlineStr">
        <is>
          <t>Maya Chen, Owner Project Controls: Earlier professional decision, carried forward</t>
        </is>
      </c>
      <c r="G1444" s="23" t="inlineStr">
        <is>
          <t>Group decision (182 records sharing one decision state), carried forward</t>
        </is>
      </c>
      <c r="H1444" s="23" t="inlineStr">
        <is>
          <t xml:space="preserve">RETAINED / UNSURE; </t>
        </is>
      </c>
      <c r="I1444" s="23" t="inlineStr">
        <is>
          <t>Carried forward</t>
        </is>
      </c>
      <c r="J1444" s="14" t="inlineStr">
        <is>
          <t>08 CROSSWALK</t>
        </is>
      </c>
    </row>
    <row r="1445" ht="64" customHeight="1">
      <c r="A1445" s="23" t="inlineStr">
        <is>
          <t>R978-v3</t>
        </is>
      </c>
      <c r="B1445" s="23" t="inlineStr">
        <is>
          <t>Contractor Programme / SCH-06-078</t>
        </is>
      </c>
      <c r="C1445" s="23" t="inlineStr">
        <is>
          <t>No explicit source assertion recorded</t>
        </is>
      </c>
      <c r="D1445" s="23" t="inlineStr">
        <is>
          <t>Proposed by Professional; target UNSURE</t>
        </is>
      </c>
      <c r="E1445" s="23" t="inlineStr">
        <is>
          <t>None recorded</t>
        </is>
      </c>
      <c r="F1445" s="23" t="inlineStr">
        <is>
          <t>Maya Chen, Owner Project Controls: Earlier professional decision, carried forward</t>
        </is>
      </c>
      <c r="G1445" s="23" t="inlineStr">
        <is>
          <t>Group decision (182 records sharing one decision state), carried forward</t>
        </is>
      </c>
      <c r="H1445" s="23" t="inlineStr">
        <is>
          <t xml:space="preserve">RETAINED / UNSURE; </t>
        </is>
      </c>
      <c r="I1445" s="23" t="inlineStr">
        <is>
          <t>Carried forward</t>
        </is>
      </c>
      <c r="J1445" s="14" t="inlineStr">
        <is>
          <t>08 CROSSWALK</t>
        </is>
      </c>
    </row>
    <row r="1446" ht="64" customHeight="1">
      <c r="A1446" s="23" t="inlineStr">
        <is>
          <t>R979-v3</t>
        </is>
      </c>
      <c r="B1446" s="23" t="inlineStr">
        <is>
          <t>Contractor Programme / SCH-06-079</t>
        </is>
      </c>
      <c r="C1446" s="23" t="inlineStr">
        <is>
          <t>No explicit source assertion recorded</t>
        </is>
      </c>
      <c r="D1446" s="23" t="inlineStr">
        <is>
          <t>Proposed by Professional; target UNSURE</t>
        </is>
      </c>
      <c r="E1446" s="23" t="inlineStr">
        <is>
          <t>None recorded</t>
        </is>
      </c>
      <c r="F1446" s="23" t="inlineStr">
        <is>
          <t>Maya Chen, Owner Project Controls: Earlier professional decision, carried forward</t>
        </is>
      </c>
      <c r="G1446" s="23" t="inlineStr">
        <is>
          <t>Group decision (182 records sharing one decision state), carried forward</t>
        </is>
      </c>
      <c r="H1446" s="23" t="inlineStr">
        <is>
          <t xml:space="preserve">RETAINED / UNSURE; </t>
        </is>
      </c>
      <c r="I1446" s="23" t="inlineStr">
        <is>
          <t>Carried forward</t>
        </is>
      </c>
      <c r="J1446" s="14" t="inlineStr">
        <is>
          <t>08 CROSSWALK</t>
        </is>
      </c>
    </row>
    <row r="1447" ht="64" customHeight="1">
      <c r="A1447" s="23" t="inlineStr">
        <is>
          <t>R980-v3</t>
        </is>
      </c>
      <c r="B1447" s="23" t="inlineStr">
        <is>
          <t>Contractor Programme / SCH-06-080</t>
        </is>
      </c>
      <c r="C1447" s="23" t="inlineStr">
        <is>
          <t>No explicit source assertion recorded</t>
        </is>
      </c>
      <c r="D1447" s="23" t="inlineStr">
        <is>
          <t>Proposed by Professional; target UNSURE</t>
        </is>
      </c>
      <c r="E1447" s="23" t="inlineStr">
        <is>
          <t>None recorded</t>
        </is>
      </c>
      <c r="F1447" s="23" t="inlineStr">
        <is>
          <t>Maya Chen, Owner Project Controls: Earlier professional decision, carried forward</t>
        </is>
      </c>
      <c r="G1447" s="23" t="inlineStr">
        <is>
          <t>Group decision (182 records sharing one decision state), carried forward</t>
        </is>
      </c>
      <c r="H1447" s="23" t="inlineStr">
        <is>
          <t xml:space="preserve">RETAINED / UNSURE; </t>
        </is>
      </c>
      <c r="I1447" s="23" t="inlineStr">
        <is>
          <t>Carried forward</t>
        </is>
      </c>
      <c r="J1447" s="14" t="inlineStr">
        <is>
          <t>08 CROSSWALK</t>
        </is>
      </c>
    </row>
    <row r="1448" ht="64" customHeight="1">
      <c r="A1448" s="23" t="inlineStr">
        <is>
          <t>R981-v3</t>
        </is>
      </c>
      <c r="B1448" s="23" t="inlineStr">
        <is>
          <t>Contractor Programme / SCH-06-081</t>
        </is>
      </c>
      <c r="C1448" s="23" t="inlineStr">
        <is>
          <t>No explicit source assertion recorded</t>
        </is>
      </c>
      <c r="D1448" s="23" t="inlineStr">
        <is>
          <t>Proposed by Professional; target UNSURE</t>
        </is>
      </c>
      <c r="E1448" s="23" t="inlineStr">
        <is>
          <t>None recorded</t>
        </is>
      </c>
      <c r="F1448" s="23" t="inlineStr">
        <is>
          <t>Maya Chen, Owner Project Controls: Earlier professional decision, carried forward</t>
        </is>
      </c>
      <c r="G1448" s="23" t="inlineStr">
        <is>
          <t>Group decision (182 records sharing one decision state), carried forward</t>
        </is>
      </c>
      <c r="H1448" s="23" t="inlineStr">
        <is>
          <t xml:space="preserve">RETAINED / UNSURE; </t>
        </is>
      </c>
      <c r="I1448" s="23" t="inlineStr">
        <is>
          <t>Carried forward</t>
        </is>
      </c>
      <c r="J1448" s="14" t="inlineStr">
        <is>
          <t>08 CROSSWALK</t>
        </is>
      </c>
    </row>
    <row r="1449" ht="64" customHeight="1">
      <c r="A1449" s="23" t="inlineStr">
        <is>
          <t>R982-v3</t>
        </is>
      </c>
      <c r="B1449" s="23" t="inlineStr">
        <is>
          <t>Contractor Programme / SCH-06-082</t>
        </is>
      </c>
      <c r="C1449" s="23" t="inlineStr">
        <is>
          <t>No explicit source assertion recorded</t>
        </is>
      </c>
      <c r="D1449" s="23" t="inlineStr">
        <is>
          <t>Proposed by Professional; target UNSURE</t>
        </is>
      </c>
      <c r="E1449" s="23" t="inlineStr">
        <is>
          <t>None recorded</t>
        </is>
      </c>
      <c r="F1449" s="23" t="inlineStr">
        <is>
          <t>Maya Chen, Owner Project Controls: Earlier professional decision, carried forward</t>
        </is>
      </c>
      <c r="G1449" s="23" t="inlineStr">
        <is>
          <t>Group decision (182 records sharing one decision state), carried forward</t>
        </is>
      </c>
      <c r="H1449" s="23" t="inlineStr">
        <is>
          <t xml:space="preserve">RETAINED / UNSURE; </t>
        </is>
      </c>
      <c r="I1449" s="23" t="inlineStr">
        <is>
          <t>Carried forward</t>
        </is>
      </c>
      <c r="J1449" s="14" t="inlineStr">
        <is>
          <t>08 CROSSWALK</t>
        </is>
      </c>
    </row>
    <row r="1450" ht="64" customHeight="1">
      <c r="A1450" s="23" t="inlineStr">
        <is>
          <t>R983-v3</t>
        </is>
      </c>
      <c r="B1450" s="23" t="inlineStr">
        <is>
          <t>Contractor Programme / SCH-06-083</t>
        </is>
      </c>
      <c r="C1450" s="23" t="inlineStr">
        <is>
          <t>No explicit source assertion recorded</t>
        </is>
      </c>
      <c r="D1450" s="23" t="inlineStr">
        <is>
          <t>Proposed by Professional; target UNSURE</t>
        </is>
      </c>
      <c r="E1450" s="23" t="inlineStr">
        <is>
          <t>None recorded</t>
        </is>
      </c>
      <c r="F1450" s="23" t="inlineStr">
        <is>
          <t>Maya Chen, Owner Project Controls: Earlier professional decision, carried forward</t>
        </is>
      </c>
      <c r="G1450" s="23" t="inlineStr">
        <is>
          <t>Group decision (182 records sharing one decision state), carried forward</t>
        </is>
      </c>
      <c r="H1450" s="23" t="inlineStr">
        <is>
          <t xml:space="preserve">RETAINED / UNSURE; </t>
        </is>
      </c>
      <c r="I1450" s="23" t="inlineStr">
        <is>
          <t>Carried forward</t>
        </is>
      </c>
      <c r="J1450" s="14" t="inlineStr">
        <is>
          <t>08 CROSSWALK</t>
        </is>
      </c>
    </row>
    <row r="1451" ht="64" customHeight="1">
      <c r="A1451" s="23" t="inlineStr">
        <is>
          <t>R984-v3</t>
        </is>
      </c>
      <c r="B1451" s="23" t="inlineStr">
        <is>
          <t>Contractor Programme / SCH-06-084</t>
        </is>
      </c>
      <c r="C1451" s="23" t="inlineStr">
        <is>
          <t>No explicit source assertion recorded</t>
        </is>
      </c>
      <c r="D1451" s="23" t="inlineStr">
        <is>
          <t>Proposed by Professional; target UNSURE</t>
        </is>
      </c>
      <c r="E1451" s="23" t="inlineStr">
        <is>
          <t>None recorded</t>
        </is>
      </c>
      <c r="F1451" s="23" t="inlineStr">
        <is>
          <t>Maya Chen, Owner Project Controls: Earlier professional decision, carried forward</t>
        </is>
      </c>
      <c r="G1451" s="23" t="inlineStr">
        <is>
          <t>Group decision (182 records sharing one decision state), carried forward</t>
        </is>
      </c>
      <c r="H1451" s="23" t="inlineStr">
        <is>
          <t xml:space="preserve">RETAINED / UNSURE; </t>
        </is>
      </c>
      <c r="I1451" s="23" t="inlineStr">
        <is>
          <t>Carried forward</t>
        </is>
      </c>
      <c r="J1451" s="14" t="inlineStr">
        <is>
          <t>08 CROSSWALK</t>
        </is>
      </c>
    </row>
    <row r="1452" ht="64" customHeight="1">
      <c r="A1452" s="23" t="inlineStr">
        <is>
          <t>R985-v3</t>
        </is>
      </c>
      <c r="B1452" s="23" t="inlineStr">
        <is>
          <t>Contractor Programme / SCH-06-085</t>
        </is>
      </c>
      <c r="C1452" s="23" t="inlineStr">
        <is>
          <t>No explicit source assertion recorded</t>
        </is>
      </c>
      <c r="D1452" s="23" t="inlineStr">
        <is>
          <t>Proposed by Professional; target UNSURE</t>
        </is>
      </c>
      <c r="E1452" s="23" t="inlineStr">
        <is>
          <t>None recorded</t>
        </is>
      </c>
      <c r="F1452" s="23" t="inlineStr">
        <is>
          <t>Maya Chen, Owner Project Controls: Earlier professional decision, carried forward</t>
        </is>
      </c>
      <c r="G1452" s="23" t="inlineStr">
        <is>
          <t>Group decision (182 records sharing one decision state), carried forward</t>
        </is>
      </c>
      <c r="H1452" s="23" t="inlineStr">
        <is>
          <t xml:space="preserve">RETAINED / UNSURE; </t>
        </is>
      </c>
      <c r="I1452" s="23" t="inlineStr">
        <is>
          <t>Carried forward</t>
        </is>
      </c>
      <c r="J1452" s="14" t="inlineStr">
        <is>
          <t>08 CROSSWALK</t>
        </is>
      </c>
    </row>
    <row r="1453" ht="64" customHeight="1">
      <c r="A1453" s="23" t="inlineStr">
        <is>
          <t>R986-v3</t>
        </is>
      </c>
      <c r="B1453" s="23" t="inlineStr">
        <is>
          <t>Contractor Programme / SCH-06-086</t>
        </is>
      </c>
      <c r="C1453" s="23" t="inlineStr">
        <is>
          <t>No explicit source assertion recorded</t>
        </is>
      </c>
      <c r="D1453" s="23" t="inlineStr">
        <is>
          <t>Proposed by Professional; target UNSURE</t>
        </is>
      </c>
      <c r="E1453" s="23" t="inlineStr">
        <is>
          <t>None recorded</t>
        </is>
      </c>
      <c r="F1453" s="23" t="inlineStr">
        <is>
          <t>Maya Chen, Owner Project Controls: Earlier professional decision, carried forward</t>
        </is>
      </c>
      <c r="G1453" s="23" t="inlineStr">
        <is>
          <t>Group decision (182 records sharing one decision state), carried forward</t>
        </is>
      </c>
      <c r="H1453" s="23" t="inlineStr">
        <is>
          <t xml:space="preserve">RETAINED / UNSURE; </t>
        </is>
      </c>
      <c r="I1453" s="23" t="inlineStr">
        <is>
          <t>Carried forward</t>
        </is>
      </c>
      <c r="J1453" s="14" t="inlineStr">
        <is>
          <t>08 CROSSWALK</t>
        </is>
      </c>
    </row>
    <row r="1454" ht="64" customHeight="1">
      <c r="A1454" s="23" t="inlineStr">
        <is>
          <t>R987-v3</t>
        </is>
      </c>
      <c r="B1454" s="23" t="inlineStr">
        <is>
          <t>Contractor Programme / SCH-06-087</t>
        </is>
      </c>
      <c r="C1454" s="23" t="inlineStr">
        <is>
          <t>No explicit source assertion recorded</t>
        </is>
      </c>
      <c r="D1454" s="23" t="inlineStr">
        <is>
          <t>Proposed by Professional; target UNSURE</t>
        </is>
      </c>
      <c r="E1454" s="23" t="inlineStr">
        <is>
          <t>None recorded</t>
        </is>
      </c>
      <c r="F1454" s="23" t="inlineStr">
        <is>
          <t>Maya Chen, Owner Project Controls: Earlier professional decision, carried forward</t>
        </is>
      </c>
      <c r="G1454" s="23" t="inlineStr">
        <is>
          <t>Group decision (182 records sharing one decision state), carried forward</t>
        </is>
      </c>
      <c r="H1454" s="23" t="inlineStr">
        <is>
          <t xml:space="preserve">RETAINED / UNSURE; </t>
        </is>
      </c>
      <c r="I1454" s="23" t="inlineStr">
        <is>
          <t>Carried forward</t>
        </is>
      </c>
      <c r="J1454" s="14" t="inlineStr">
        <is>
          <t>08 CROSSWALK</t>
        </is>
      </c>
    </row>
    <row r="1455" ht="64" customHeight="1">
      <c r="A1455" s="23" t="inlineStr">
        <is>
          <t>R988-v3</t>
        </is>
      </c>
      <c r="B1455" s="23" t="inlineStr">
        <is>
          <t>Contractor Programme / SCH-06-088</t>
        </is>
      </c>
      <c r="C1455" s="23" t="inlineStr">
        <is>
          <t>No explicit source assertion recorded</t>
        </is>
      </c>
      <c r="D1455" s="23" t="inlineStr">
        <is>
          <t>Proposed by Professional; target UNSURE</t>
        </is>
      </c>
      <c r="E1455" s="23" t="inlineStr">
        <is>
          <t>None recorded</t>
        </is>
      </c>
      <c r="F1455" s="23" t="inlineStr">
        <is>
          <t>Maya Chen, Owner Project Controls: Earlier professional decision, carried forward</t>
        </is>
      </c>
      <c r="G1455" s="23" t="inlineStr">
        <is>
          <t>Group decision (182 records sharing one decision state), carried forward</t>
        </is>
      </c>
      <c r="H1455" s="23" t="inlineStr">
        <is>
          <t xml:space="preserve">RETAINED / UNSURE; </t>
        </is>
      </c>
      <c r="I1455" s="23" t="inlineStr">
        <is>
          <t>Carried forward</t>
        </is>
      </c>
      <c r="J1455" s="14" t="inlineStr">
        <is>
          <t>08 CROSSWALK</t>
        </is>
      </c>
    </row>
    <row r="1456" ht="64" customHeight="1">
      <c r="A1456" s="23" t="inlineStr">
        <is>
          <t>R989-v3</t>
        </is>
      </c>
      <c r="B1456" s="23" t="inlineStr">
        <is>
          <t>Contractor Programme / SCH-06-089</t>
        </is>
      </c>
      <c r="C1456" s="23" t="inlineStr">
        <is>
          <t>No explicit source assertion recorded</t>
        </is>
      </c>
      <c r="D1456" s="23" t="inlineStr">
        <is>
          <t>Proposed by Professional; target UNSURE</t>
        </is>
      </c>
      <c r="E1456" s="23" t="inlineStr">
        <is>
          <t>None recorded</t>
        </is>
      </c>
      <c r="F1456" s="23" t="inlineStr">
        <is>
          <t>Maya Chen, Owner Project Controls: Earlier professional decision, carried forward</t>
        </is>
      </c>
      <c r="G1456" s="23" t="inlineStr">
        <is>
          <t>Group decision (182 records sharing one decision state), carried forward</t>
        </is>
      </c>
      <c r="H1456" s="23" t="inlineStr">
        <is>
          <t xml:space="preserve">RETAINED / UNSURE; </t>
        </is>
      </c>
      <c r="I1456" s="23" t="inlineStr">
        <is>
          <t>Carried forward</t>
        </is>
      </c>
      <c r="J1456" s="14" t="inlineStr">
        <is>
          <t>08 CROSSWALK</t>
        </is>
      </c>
    </row>
    <row r="1457" ht="64" customHeight="1">
      <c r="A1457" s="23" t="inlineStr">
        <is>
          <t>R990-v3</t>
        </is>
      </c>
      <c r="B1457" s="23" t="inlineStr">
        <is>
          <t>Contractor Programme / SCH-06-090</t>
        </is>
      </c>
      <c r="C1457" s="23" t="inlineStr">
        <is>
          <t>No explicit source assertion recorded</t>
        </is>
      </c>
      <c r="D1457" s="23" t="inlineStr">
        <is>
          <t>Proposed by Professional; target UNSURE</t>
        </is>
      </c>
      <c r="E1457" s="23" t="inlineStr">
        <is>
          <t>None recorded</t>
        </is>
      </c>
      <c r="F1457" s="23" t="inlineStr">
        <is>
          <t>Maya Chen, Owner Project Controls: Earlier professional decision, carried forward</t>
        </is>
      </c>
      <c r="G1457" s="23" t="inlineStr">
        <is>
          <t>Group decision (182 records sharing one decision state), carried forward</t>
        </is>
      </c>
      <c r="H1457" s="23" t="inlineStr">
        <is>
          <t xml:space="preserve">RETAINED / UNSURE; </t>
        </is>
      </c>
      <c r="I1457" s="23" t="inlineStr">
        <is>
          <t>Carried forward</t>
        </is>
      </c>
      <c r="J1457" s="14" t="inlineStr">
        <is>
          <t>08 CROSSWALK</t>
        </is>
      </c>
    </row>
    <row r="1458" ht="64" customHeight="1">
      <c r="A1458" s="23" t="inlineStr">
        <is>
          <t>R991-v3</t>
        </is>
      </c>
      <c r="B1458" s="23" t="inlineStr">
        <is>
          <t>Contractor Programme / SCH-06-091</t>
        </is>
      </c>
      <c r="C1458" s="23" t="inlineStr">
        <is>
          <t>No explicit source assertion recorded</t>
        </is>
      </c>
      <c r="D1458" s="23" t="inlineStr">
        <is>
          <t>Proposed by Professional; target UNSURE</t>
        </is>
      </c>
      <c r="E1458" s="23" t="inlineStr">
        <is>
          <t>None recorded</t>
        </is>
      </c>
      <c r="F1458" s="23" t="inlineStr">
        <is>
          <t>Maya Chen, Owner Project Controls: Earlier professional decision, carried forward</t>
        </is>
      </c>
      <c r="G1458" s="23" t="inlineStr">
        <is>
          <t>Group decision (182 records sharing one decision state), carried forward</t>
        </is>
      </c>
      <c r="H1458" s="23" t="inlineStr">
        <is>
          <t xml:space="preserve">RETAINED / UNSURE; </t>
        </is>
      </c>
      <c r="I1458" s="23" t="inlineStr">
        <is>
          <t>Carried forward</t>
        </is>
      </c>
      <c r="J1458" s="14" t="inlineStr">
        <is>
          <t>08 CROSSWALK</t>
        </is>
      </c>
    </row>
    <row r="1459" ht="64" customHeight="1">
      <c r="A1459" s="23" t="inlineStr">
        <is>
          <t>R992-v3</t>
        </is>
      </c>
      <c r="B1459" s="23" t="inlineStr">
        <is>
          <t>Contractor Programme / SCH-06-092</t>
        </is>
      </c>
      <c r="C1459" s="23" t="inlineStr">
        <is>
          <t>No explicit source assertion recorded</t>
        </is>
      </c>
      <c r="D1459" s="23" t="inlineStr">
        <is>
          <t>Proposed by Professional; target UNSURE</t>
        </is>
      </c>
      <c r="E1459" s="23" t="inlineStr">
        <is>
          <t>None recorded</t>
        </is>
      </c>
      <c r="F1459" s="23" t="inlineStr">
        <is>
          <t>Maya Chen, Owner Project Controls: Earlier professional decision, carried forward</t>
        </is>
      </c>
      <c r="G1459" s="23" t="inlineStr">
        <is>
          <t>Group decision (182 records sharing one decision state), carried forward</t>
        </is>
      </c>
      <c r="H1459" s="23" t="inlineStr">
        <is>
          <t xml:space="preserve">RETAINED / UNSURE; </t>
        </is>
      </c>
      <c r="I1459" s="23" t="inlineStr">
        <is>
          <t>Carried forward</t>
        </is>
      </c>
      <c r="J1459" s="14" t="inlineStr">
        <is>
          <t>08 CROSSWALK</t>
        </is>
      </c>
    </row>
    <row r="1460" ht="64" customHeight="1">
      <c r="A1460" s="23" t="inlineStr">
        <is>
          <t>R993-v3</t>
        </is>
      </c>
      <c r="B1460" s="23" t="inlineStr">
        <is>
          <t>Contractor Programme / SCH-06-093</t>
        </is>
      </c>
      <c r="C1460" s="23" t="inlineStr">
        <is>
          <t>No explicit source assertion recorded</t>
        </is>
      </c>
      <c r="D1460" s="23" t="inlineStr">
        <is>
          <t>Proposed by Professional; target UNSURE</t>
        </is>
      </c>
      <c r="E1460" s="23" t="inlineStr">
        <is>
          <t>None recorded</t>
        </is>
      </c>
      <c r="F1460" s="23" t="inlineStr">
        <is>
          <t>Maya Chen, Owner Project Controls: Earlier professional decision, carried forward</t>
        </is>
      </c>
      <c r="G1460" s="23" t="inlineStr">
        <is>
          <t>Group decision (182 records sharing one decision state), carried forward</t>
        </is>
      </c>
      <c r="H1460" s="23" t="inlineStr">
        <is>
          <t xml:space="preserve">RETAINED / UNSURE; </t>
        </is>
      </c>
      <c r="I1460" s="23" t="inlineStr">
        <is>
          <t>Carried forward</t>
        </is>
      </c>
      <c r="J1460" s="14" t="inlineStr">
        <is>
          <t>08 CROSSWALK</t>
        </is>
      </c>
    </row>
    <row r="1461" ht="64" customHeight="1">
      <c r="A1461" s="23" t="inlineStr">
        <is>
          <t>R994-v3</t>
        </is>
      </c>
      <c r="B1461" s="23" t="inlineStr">
        <is>
          <t>Contractor Programme / SCH-06-094</t>
        </is>
      </c>
      <c r="C1461" s="23" t="inlineStr">
        <is>
          <t>No explicit source assertion recorded</t>
        </is>
      </c>
      <c r="D1461" s="23" t="inlineStr">
        <is>
          <t>Proposed by Professional; target UNSURE</t>
        </is>
      </c>
      <c r="E1461" s="23" t="inlineStr">
        <is>
          <t>None recorded</t>
        </is>
      </c>
      <c r="F1461" s="23" t="inlineStr">
        <is>
          <t>Maya Chen, Owner Project Controls: Earlier professional decision, carried forward</t>
        </is>
      </c>
      <c r="G1461" s="23" t="inlineStr">
        <is>
          <t>Group decision (182 records sharing one decision state), carried forward</t>
        </is>
      </c>
      <c r="H1461" s="23" t="inlineStr">
        <is>
          <t xml:space="preserve">RETAINED / UNSURE; </t>
        </is>
      </c>
      <c r="I1461" s="23" t="inlineStr">
        <is>
          <t>Carried forward</t>
        </is>
      </c>
      <c r="J1461" s="14" t="inlineStr">
        <is>
          <t>08 CROSSWALK</t>
        </is>
      </c>
    </row>
    <row r="1462" ht="64" customHeight="1">
      <c r="A1462" s="23" t="inlineStr">
        <is>
          <t>R995-v3</t>
        </is>
      </c>
      <c r="B1462" s="23" t="inlineStr">
        <is>
          <t>Contractor Programme / SCH-06-095</t>
        </is>
      </c>
      <c r="C1462" s="23" t="inlineStr">
        <is>
          <t>No explicit source assertion recorded</t>
        </is>
      </c>
      <c r="D1462" s="23" t="inlineStr">
        <is>
          <t>Proposed by Professional; target UNSURE</t>
        </is>
      </c>
      <c r="E1462" s="23" t="inlineStr">
        <is>
          <t>None recorded</t>
        </is>
      </c>
      <c r="F1462" s="23" t="inlineStr">
        <is>
          <t>Maya Chen, Owner Project Controls: Earlier professional decision, carried forward</t>
        </is>
      </c>
      <c r="G1462" s="23" t="inlineStr">
        <is>
          <t>Group decision (182 records sharing one decision state), carried forward</t>
        </is>
      </c>
      <c r="H1462" s="23" t="inlineStr">
        <is>
          <t xml:space="preserve">RETAINED / UNSURE; </t>
        </is>
      </c>
      <c r="I1462" s="23" t="inlineStr">
        <is>
          <t>Carried forward</t>
        </is>
      </c>
      <c r="J1462" s="14" t="inlineStr">
        <is>
          <t>08 CROSSWALK</t>
        </is>
      </c>
    </row>
    <row r="1463" ht="64" customHeight="1">
      <c r="A1463" s="23" t="inlineStr">
        <is>
          <t>R996-v3</t>
        </is>
      </c>
      <c r="B1463" s="23" t="inlineStr">
        <is>
          <t>Contractor Programme / SCH-06-096</t>
        </is>
      </c>
      <c r="C1463" s="23" t="inlineStr">
        <is>
          <t>No explicit source assertion recorded</t>
        </is>
      </c>
      <c r="D1463" s="23" t="inlineStr">
        <is>
          <t>Proposed by Professional; target UNSURE</t>
        </is>
      </c>
      <c r="E1463" s="23" t="inlineStr">
        <is>
          <t>None recorded</t>
        </is>
      </c>
      <c r="F1463" s="23" t="inlineStr">
        <is>
          <t>Maya Chen, Owner Project Controls: Earlier professional decision, carried forward</t>
        </is>
      </c>
      <c r="G1463" s="23" t="inlineStr">
        <is>
          <t>Group decision (182 records sharing one decision state), carried forward</t>
        </is>
      </c>
      <c r="H1463" s="23" t="inlineStr">
        <is>
          <t xml:space="preserve">RETAINED / UNSURE; </t>
        </is>
      </c>
      <c r="I1463" s="23" t="inlineStr">
        <is>
          <t>Carried forward</t>
        </is>
      </c>
      <c r="J1463" s="14" t="inlineStr">
        <is>
          <t>08 CROSSWALK</t>
        </is>
      </c>
    </row>
    <row r="1464" ht="64" customHeight="1">
      <c r="A1464" s="23" t="inlineStr">
        <is>
          <t>R997-v3</t>
        </is>
      </c>
      <c r="B1464" s="23" t="inlineStr">
        <is>
          <t>Contractor Programme / SCH-06-097</t>
        </is>
      </c>
      <c r="C1464" s="23" t="inlineStr">
        <is>
          <t>No explicit source assertion recorded</t>
        </is>
      </c>
      <c r="D1464" s="23" t="inlineStr">
        <is>
          <t>Proposed by Professional; target UNSURE</t>
        </is>
      </c>
      <c r="E1464" s="23" t="inlineStr">
        <is>
          <t>None recorded</t>
        </is>
      </c>
      <c r="F1464" s="23" t="inlineStr">
        <is>
          <t>Maya Chen, Owner Project Controls: Earlier professional decision, carried forward</t>
        </is>
      </c>
      <c r="G1464" s="23" t="inlineStr">
        <is>
          <t>Group decision (182 records sharing one decision state), carried forward</t>
        </is>
      </c>
      <c r="H1464" s="23" t="inlineStr">
        <is>
          <t xml:space="preserve">RETAINED / UNSURE; </t>
        </is>
      </c>
      <c r="I1464" s="23" t="inlineStr">
        <is>
          <t>Carried forward</t>
        </is>
      </c>
      <c r="J1464" s="14" t="inlineStr">
        <is>
          <t>08 CROSSWALK</t>
        </is>
      </c>
    </row>
    <row r="1465" ht="64" customHeight="1">
      <c r="A1465" s="23" t="inlineStr">
        <is>
          <t>R998-v3</t>
        </is>
      </c>
      <c r="B1465" s="23" t="inlineStr">
        <is>
          <t>Contractor Programme / SCH-06-098</t>
        </is>
      </c>
      <c r="C1465" s="23" t="inlineStr">
        <is>
          <t>No explicit source assertion recorded</t>
        </is>
      </c>
      <c r="D1465" s="23" t="inlineStr">
        <is>
          <t>Proposed by Professional; target UNSURE</t>
        </is>
      </c>
      <c r="E1465" s="23" t="inlineStr">
        <is>
          <t>None recorded</t>
        </is>
      </c>
      <c r="F1465" s="23" t="inlineStr">
        <is>
          <t>Maya Chen, Owner Project Controls: Earlier professional decision, carried forward</t>
        </is>
      </c>
      <c r="G1465" s="23" t="inlineStr">
        <is>
          <t>Group decision (182 records sharing one decision state), carried forward</t>
        </is>
      </c>
      <c r="H1465" s="23" t="inlineStr">
        <is>
          <t xml:space="preserve">RETAINED / UNSURE; </t>
        </is>
      </c>
      <c r="I1465" s="23" t="inlineStr">
        <is>
          <t>Carried forward</t>
        </is>
      </c>
      <c r="J1465" s="14" t="inlineStr">
        <is>
          <t>08 CROSSWALK</t>
        </is>
      </c>
    </row>
    <row r="1466" ht="64" customHeight="1">
      <c r="A1466" s="23" t="inlineStr">
        <is>
          <t>R999-v3</t>
        </is>
      </c>
      <c r="B1466" s="23" t="inlineStr">
        <is>
          <t>Contractor Programme / SCH-06-099</t>
        </is>
      </c>
      <c r="C1466" s="23" t="inlineStr">
        <is>
          <t>No explicit source assertion recorded</t>
        </is>
      </c>
      <c r="D1466" s="23" t="inlineStr">
        <is>
          <t>Proposed by Professional; target UNSURE</t>
        </is>
      </c>
      <c r="E1466" s="23" t="inlineStr">
        <is>
          <t>None recorded</t>
        </is>
      </c>
      <c r="F1466" s="23" t="inlineStr">
        <is>
          <t>Maya Chen, Owner Project Controls: Earlier professional decision, carried forward</t>
        </is>
      </c>
      <c r="G1466" s="23" t="inlineStr">
        <is>
          <t>Group decision (182 records sharing one decision state), carried forward</t>
        </is>
      </c>
      <c r="H1466" s="23" t="inlineStr">
        <is>
          <t xml:space="preserve">RETAINED / UNSURE; </t>
        </is>
      </c>
      <c r="I1466" s="23" t="inlineStr">
        <is>
          <t>Carried forward</t>
        </is>
      </c>
      <c r="J1466" s="14" t="inlineStr">
        <is>
          <t>08 CROSSWALK</t>
        </is>
      </c>
    </row>
    <row r="1467" ht="64" customHeight="1">
      <c r="A1467" s="23" t="inlineStr">
        <is>
          <t>R1000-v3</t>
        </is>
      </c>
      <c r="B1467" s="23" t="inlineStr">
        <is>
          <t>Contractor Programme / SCH-06-100</t>
        </is>
      </c>
      <c r="C1467" s="23" t="inlineStr">
        <is>
          <t>No explicit source assertion recorded</t>
        </is>
      </c>
      <c r="D1467" s="23" t="inlineStr">
        <is>
          <t>Proposed by Professional; target UNSURE</t>
        </is>
      </c>
      <c r="E1467" s="23" t="inlineStr">
        <is>
          <t>None recorded</t>
        </is>
      </c>
      <c r="F1467" s="23" t="inlineStr">
        <is>
          <t>Maya Chen, Owner Project Controls: Earlier professional decision, carried forward</t>
        </is>
      </c>
      <c r="G1467" s="23" t="inlineStr">
        <is>
          <t>Group decision (182 records sharing one decision state), carried forward</t>
        </is>
      </c>
      <c r="H1467" s="23" t="inlineStr">
        <is>
          <t xml:space="preserve">RETAINED / UNSURE; </t>
        </is>
      </c>
      <c r="I1467" s="23" t="inlineStr">
        <is>
          <t>Carried forward</t>
        </is>
      </c>
      <c r="J1467" s="14" t="inlineStr">
        <is>
          <t>08 CROSSWALK</t>
        </is>
      </c>
    </row>
    <row r="1468" ht="64" customHeight="1">
      <c r="A1468" s="23" t="inlineStr">
        <is>
          <t>R1001-v3</t>
        </is>
      </c>
      <c r="B1468" s="23" t="inlineStr">
        <is>
          <t>Contractor Programme / SCH-06-101</t>
        </is>
      </c>
      <c r="C1468" s="23" t="inlineStr">
        <is>
          <t>No explicit source assertion recorded</t>
        </is>
      </c>
      <c r="D1468" s="23" t="inlineStr">
        <is>
          <t>Proposed by Professional; target UNSURE</t>
        </is>
      </c>
      <c r="E1468" s="23" t="inlineStr">
        <is>
          <t>None recorded</t>
        </is>
      </c>
      <c r="F1468" s="23" t="inlineStr">
        <is>
          <t>Maya Chen, Owner Project Controls: Earlier professional decision, carried forward</t>
        </is>
      </c>
      <c r="G1468" s="23" t="inlineStr">
        <is>
          <t>Group decision (182 records sharing one decision state), carried forward</t>
        </is>
      </c>
      <c r="H1468" s="23" t="inlineStr">
        <is>
          <t xml:space="preserve">RETAINED / UNSURE; </t>
        </is>
      </c>
      <c r="I1468" s="23" t="inlineStr">
        <is>
          <t>Carried forward</t>
        </is>
      </c>
      <c r="J1468" s="14" t="inlineStr">
        <is>
          <t>08 CROSSWALK</t>
        </is>
      </c>
    </row>
    <row r="1469" ht="64" customHeight="1">
      <c r="A1469" s="23" t="inlineStr">
        <is>
          <t>R1002-v3</t>
        </is>
      </c>
      <c r="B1469" s="23" t="inlineStr">
        <is>
          <t>Contractor Programme / SCH-06-102</t>
        </is>
      </c>
      <c r="C1469" s="23" t="inlineStr">
        <is>
          <t>No explicit source assertion recorded</t>
        </is>
      </c>
      <c r="D1469" s="23" t="inlineStr">
        <is>
          <t>Proposed by Professional; target UNSURE</t>
        </is>
      </c>
      <c r="E1469" s="23" t="inlineStr">
        <is>
          <t>None recorded</t>
        </is>
      </c>
      <c r="F1469" s="23" t="inlineStr">
        <is>
          <t>Maya Chen, Owner Project Controls: Earlier professional decision, carried forward</t>
        </is>
      </c>
      <c r="G1469" s="23" t="inlineStr">
        <is>
          <t>Group decision (182 records sharing one decision state), carried forward</t>
        </is>
      </c>
      <c r="H1469" s="23" t="inlineStr">
        <is>
          <t xml:space="preserve">RETAINED / UNSURE; </t>
        </is>
      </c>
      <c r="I1469" s="23" t="inlineStr">
        <is>
          <t>Carried forward</t>
        </is>
      </c>
      <c r="J1469" s="14" t="inlineStr">
        <is>
          <t>08 CROSSWALK</t>
        </is>
      </c>
    </row>
    <row r="1470" ht="64" customHeight="1">
      <c r="A1470" s="23" t="inlineStr">
        <is>
          <t>R1003-v3</t>
        </is>
      </c>
      <c r="B1470" s="23" t="inlineStr">
        <is>
          <t>Contractor Programme / SCH-06-103</t>
        </is>
      </c>
      <c r="C1470" s="23" t="inlineStr">
        <is>
          <t>No explicit source assertion recorded</t>
        </is>
      </c>
      <c r="D1470" s="23" t="inlineStr">
        <is>
          <t>Proposed by Professional; target UNSURE</t>
        </is>
      </c>
      <c r="E1470" s="23" t="inlineStr">
        <is>
          <t>None recorded</t>
        </is>
      </c>
      <c r="F1470" s="23" t="inlineStr">
        <is>
          <t>Maya Chen, Owner Project Controls: Earlier professional decision, carried forward</t>
        </is>
      </c>
      <c r="G1470" s="23" t="inlineStr">
        <is>
          <t>Group decision (182 records sharing one decision state), carried forward</t>
        </is>
      </c>
      <c r="H1470" s="23" t="inlineStr">
        <is>
          <t xml:space="preserve">RETAINED / UNSURE; </t>
        </is>
      </c>
      <c r="I1470" s="23" t="inlineStr">
        <is>
          <t>Carried forward</t>
        </is>
      </c>
      <c r="J1470" s="14" t="inlineStr">
        <is>
          <t>08 CROSSWALK</t>
        </is>
      </c>
    </row>
    <row r="1471" ht="64" customHeight="1">
      <c r="A1471" s="23" t="inlineStr">
        <is>
          <t>R1004-v3</t>
        </is>
      </c>
      <c r="B1471" s="23" t="inlineStr">
        <is>
          <t>Contractor Programme / SCH-06-104</t>
        </is>
      </c>
      <c r="C1471" s="23" t="inlineStr">
        <is>
          <t>No explicit source assertion recorded</t>
        </is>
      </c>
      <c r="D1471" s="23" t="inlineStr">
        <is>
          <t>Proposed by Professional; target UNSURE</t>
        </is>
      </c>
      <c r="E1471" s="23" t="inlineStr">
        <is>
          <t>None recorded</t>
        </is>
      </c>
      <c r="F1471" s="23" t="inlineStr">
        <is>
          <t>Maya Chen, Owner Project Controls: Earlier professional decision, carried forward</t>
        </is>
      </c>
      <c r="G1471" s="23" t="inlineStr">
        <is>
          <t>Group decision (182 records sharing one decision state), carried forward</t>
        </is>
      </c>
      <c r="H1471" s="23" t="inlineStr">
        <is>
          <t xml:space="preserve">RETAINED / UNSURE; </t>
        </is>
      </c>
      <c r="I1471" s="23" t="inlineStr">
        <is>
          <t>Carried forward</t>
        </is>
      </c>
      <c r="J1471" s="14" t="inlineStr">
        <is>
          <t>08 CROSSWALK</t>
        </is>
      </c>
    </row>
    <row r="1472" ht="64" customHeight="1">
      <c r="A1472" s="23" t="inlineStr">
        <is>
          <t>R1005-v3</t>
        </is>
      </c>
      <c r="B1472" s="23" t="inlineStr">
        <is>
          <t>Contractor Programme / SCH-06-105</t>
        </is>
      </c>
      <c r="C1472" s="23" t="inlineStr">
        <is>
          <t>No explicit source assertion recorded</t>
        </is>
      </c>
      <c r="D1472" s="23" t="inlineStr">
        <is>
          <t>Proposed by Professional; target UNSURE</t>
        </is>
      </c>
      <c r="E1472" s="23" t="inlineStr">
        <is>
          <t>None recorded</t>
        </is>
      </c>
      <c r="F1472" s="23" t="inlineStr">
        <is>
          <t>Maya Chen, Owner Project Controls: Earlier professional decision, carried forward</t>
        </is>
      </c>
      <c r="G1472" s="23" t="inlineStr">
        <is>
          <t>Group decision (182 records sharing one decision state), carried forward</t>
        </is>
      </c>
      <c r="H1472" s="23" t="inlineStr">
        <is>
          <t xml:space="preserve">RETAINED / UNSURE; </t>
        </is>
      </c>
      <c r="I1472" s="23" t="inlineStr">
        <is>
          <t>Carried forward</t>
        </is>
      </c>
      <c r="J1472" s="14" t="inlineStr">
        <is>
          <t>08 CROSSWALK</t>
        </is>
      </c>
    </row>
    <row r="1473" ht="64" customHeight="1">
      <c r="A1473" s="23" t="inlineStr">
        <is>
          <t>R1006-v3</t>
        </is>
      </c>
      <c r="B1473" s="23" t="inlineStr">
        <is>
          <t>Contractor Programme / SCH-06-106</t>
        </is>
      </c>
      <c r="C1473" s="23" t="inlineStr">
        <is>
          <t>No explicit source assertion recorded</t>
        </is>
      </c>
      <c r="D1473" s="23" t="inlineStr">
        <is>
          <t>Proposed by Professional; target UNSURE</t>
        </is>
      </c>
      <c r="E1473" s="23" t="inlineStr">
        <is>
          <t>None recorded</t>
        </is>
      </c>
      <c r="F1473" s="23" t="inlineStr">
        <is>
          <t>Maya Chen, Owner Project Controls: Earlier professional decision, carried forward</t>
        </is>
      </c>
      <c r="G1473" s="23" t="inlineStr">
        <is>
          <t>Group decision (182 records sharing one decision state), carried forward</t>
        </is>
      </c>
      <c r="H1473" s="23" t="inlineStr">
        <is>
          <t xml:space="preserve">RETAINED / UNSURE; </t>
        </is>
      </c>
      <c r="I1473" s="23" t="inlineStr">
        <is>
          <t>Carried forward</t>
        </is>
      </c>
      <c r="J1473" s="14" t="inlineStr">
        <is>
          <t>08 CROSSWALK</t>
        </is>
      </c>
    </row>
    <row r="1474" ht="64" customHeight="1">
      <c r="A1474" s="23" t="inlineStr">
        <is>
          <t>R1007-v3</t>
        </is>
      </c>
      <c r="B1474" s="23" t="inlineStr">
        <is>
          <t>Contractor Programme / SCH-06-107</t>
        </is>
      </c>
      <c r="C1474" s="23" t="inlineStr">
        <is>
          <t>No explicit source assertion recorded</t>
        </is>
      </c>
      <c r="D1474" s="23" t="inlineStr">
        <is>
          <t>Proposed by Professional; target UNSURE</t>
        </is>
      </c>
      <c r="E1474" s="23" t="inlineStr">
        <is>
          <t>None recorded</t>
        </is>
      </c>
      <c r="F1474" s="23" t="inlineStr">
        <is>
          <t>Maya Chen, Owner Project Controls: Earlier professional decision, carried forward</t>
        </is>
      </c>
      <c r="G1474" s="23" t="inlineStr">
        <is>
          <t>Group decision (182 records sharing one decision state), carried forward</t>
        </is>
      </c>
      <c r="H1474" s="23" t="inlineStr">
        <is>
          <t xml:space="preserve">RETAINED / UNSURE; </t>
        </is>
      </c>
      <c r="I1474" s="23" t="inlineStr">
        <is>
          <t>Carried forward</t>
        </is>
      </c>
      <c r="J1474" s="14" t="inlineStr">
        <is>
          <t>08 CROSSWALK</t>
        </is>
      </c>
    </row>
    <row r="1475" ht="64" customHeight="1">
      <c r="A1475" s="23" t="inlineStr">
        <is>
          <t>R1008-v3</t>
        </is>
      </c>
      <c r="B1475" s="23" t="inlineStr">
        <is>
          <t>Contractor Programme / SCH-06-108</t>
        </is>
      </c>
      <c r="C1475" s="23" t="inlineStr">
        <is>
          <t>No explicit source assertion recorded</t>
        </is>
      </c>
      <c r="D1475" s="23" t="inlineStr">
        <is>
          <t>Proposed by Professional; target UNSURE</t>
        </is>
      </c>
      <c r="E1475" s="23" t="inlineStr">
        <is>
          <t>None recorded</t>
        </is>
      </c>
      <c r="F1475" s="23" t="inlineStr">
        <is>
          <t>Maya Chen, Owner Project Controls: Earlier professional decision, carried forward</t>
        </is>
      </c>
      <c r="G1475" s="23" t="inlineStr">
        <is>
          <t>Group decision (182 records sharing one decision state), carried forward</t>
        </is>
      </c>
      <c r="H1475" s="23" t="inlineStr">
        <is>
          <t xml:space="preserve">RETAINED / UNSURE; </t>
        </is>
      </c>
      <c r="I1475" s="23" t="inlineStr">
        <is>
          <t>Carried forward</t>
        </is>
      </c>
      <c r="J1475" s="14" t="inlineStr">
        <is>
          <t>08 CROSSWALK</t>
        </is>
      </c>
    </row>
    <row r="1476" ht="64" customHeight="1">
      <c r="A1476" s="23" t="inlineStr">
        <is>
          <t>R1009-v3</t>
        </is>
      </c>
      <c r="B1476" s="23" t="inlineStr">
        <is>
          <t>Contractor Programme / SCH-06-109</t>
        </is>
      </c>
      <c r="C1476" s="23" t="inlineStr">
        <is>
          <t>No explicit source assertion recorded</t>
        </is>
      </c>
      <c r="D1476" s="23" t="inlineStr">
        <is>
          <t>Proposed by Professional; target UNSURE</t>
        </is>
      </c>
      <c r="E1476" s="23" t="inlineStr">
        <is>
          <t>None recorded</t>
        </is>
      </c>
      <c r="F1476" s="23" t="inlineStr">
        <is>
          <t>Maya Chen, Owner Project Controls: Earlier professional decision, carried forward</t>
        </is>
      </c>
      <c r="G1476" s="23" t="inlineStr">
        <is>
          <t>Group decision (182 records sharing one decision state), carried forward</t>
        </is>
      </c>
      <c r="H1476" s="23" t="inlineStr">
        <is>
          <t xml:space="preserve">RETAINED / UNSURE; </t>
        </is>
      </c>
      <c r="I1476" s="23" t="inlineStr">
        <is>
          <t>Carried forward</t>
        </is>
      </c>
      <c r="J1476" s="14" t="inlineStr">
        <is>
          <t>08 CROSSWALK</t>
        </is>
      </c>
    </row>
    <row r="1477" ht="64" customHeight="1">
      <c r="A1477" s="23" t="inlineStr">
        <is>
          <t>R1010-v3</t>
        </is>
      </c>
      <c r="B1477" s="23" t="inlineStr">
        <is>
          <t>Contractor Programme / SCH-06-110</t>
        </is>
      </c>
      <c r="C1477" s="23" t="inlineStr">
        <is>
          <t>No explicit source assertion recorded</t>
        </is>
      </c>
      <c r="D1477" s="23" t="inlineStr">
        <is>
          <t>Proposed by Professional; target UNSURE</t>
        </is>
      </c>
      <c r="E1477" s="23" t="inlineStr">
        <is>
          <t>None recorded</t>
        </is>
      </c>
      <c r="F1477" s="23" t="inlineStr">
        <is>
          <t>Maya Chen, Owner Project Controls: Earlier professional decision, carried forward</t>
        </is>
      </c>
      <c r="G1477" s="23" t="inlineStr">
        <is>
          <t>Group decision (182 records sharing one decision state), carried forward</t>
        </is>
      </c>
      <c r="H1477" s="23" t="inlineStr">
        <is>
          <t xml:space="preserve">RETAINED / UNSURE; </t>
        </is>
      </c>
      <c r="I1477" s="23" t="inlineStr">
        <is>
          <t>Carried forward</t>
        </is>
      </c>
      <c r="J1477" s="14" t="inlineStr">
        <is>
          <t>08 CROSSWALK</t>
        </is>
      </c>
    </row>
    <row r="1478" ht="64" customHeight="1">
      <c r="A1478" s="23" t="inlineStr">
        <is>
          <t>R1011-v3</t>
        </is>
      </c>
      <c r="B1478" s="23" t="inlineStr">
        <is>
          <t>Contractor Programme / SCH-06-111</t>
        </is>
      </c>
      <c r="C1478" s="23" t="inlineStr">
        <is>
          <t>No explicit source assertion recorded</t>
        </is>
      </c>
      <c r="D1478" s="23" t="inlineStr">
        <is>
          <t>Proposed by Professional; target UNSURE</t>
        </is>
      </c>
      <c r="E1478" s="23" t="inlineStr">
        <is>
          <t>None recorded</t>
        </is>
      </c>
      <c r="F1478" s="23" t="inlineStr">
        <is>
          <t>Maya Chen, Owner Project Controls: Earlier professional decision, carried forward</t>
        </is>
      </c>
      <c r="G1478" s="23" t="inlineStr">
        <is>
          <t>Group decision (182 records sharing one decision state), carried forward</t>
        </is>
      </c>
      <c r="H1478" s="23" t="inlineStr">
        <is>
          <t xml:space="preserve">RETAINED / UNSURE; </t>
        </is>
      </c>
      <c r="I1478" s="23" t="inlineStr">
        <is>
          <t>Carried forward</t>
        </is>
      </c>
      <c r="J1478" s="14" t="inlineStr">
        <is>
          <t>08 CROSSWALK</t>
        </is>
      </c>
    </row>
    <row r="1479" ht="64" customHeight="1">
      <c r="A1479" s="23" t="inlineStr">
        <is>
          <t>R1012-v3</t>
        </is>
      </c>
      <c r="B1479" s="23" t="inlineStr">
        <is>
          <t>Contractor Programme / SCH-06-112</t>
        </is>
      </c>
      <c r="C1479" s="23" t="inlineStr">
        <is>
          <t>No explicit source assertion recorded</t>
        </is>
      </c>
      <c r="D1479" s="23" t="inlineStr">
        <is>
          <t>Proposed by Professional; target UNSURE</t>
        </is>
      </c>
      <c r="E1479" s="23" t="inlineStr">
        <is>
          <t>None recorded</t>
        </is>
      </c>
      <c r="F1479" s="23" t="inlineStr">
        <is>
          <t>Maya Chen, Owner Project Controls: Earlier professional decision, carried forward</t>
        </is>
      </c>
      <c r="G1479" s="23" t="inlineStr">
        <is>
          <t>Group decision (182 records sharing one decision state), carried forward</t>
        </is>
      </c>
      <c r="H1479" s="23" t="inlineStr">
        <is>
          <t xml:space="preserve">RETAINED / UNSURE; </t>
        </is>
      </c>
      <c r="I1479" s="23" t="inlineStr">
        <is>
          <t>Carried forward</t>
        </is>
      </c>
      <c r="J1479" s="14" t="inlineStr">
        <is>
          <t>08 CROSSWALK</t>
        </is>
      </c>
    </row>
    <row r="1480" ht="64" customHeight="1">
      <c r="A1480" s="23" t="inlineStr">
        <is>
          <t>R1013-v3</t>
        </is>
      </c>
      <c r="B1480" s="23" t="inlineStr">
        <is>
          <t>Contractor Programme / SCH-06-113</t>
        </is>
      </c>
      <c r="C1480" s="23" t="inlineStr">
        <is>
          <t>No explicit source assertion recorded</t>
        </is>
      </c>
      <c r="D1480" s="23" t="inlineStr">
        <is>
          <t>Proposed by Professional; target UNSURE</t>
        </is>
      </c>
      <c r="E1480" s="23" t="inlineStr">
        <is>
          <t>None recorded</t>
        </is>
      </c>
      <c r="F1480" s="23" t="inlineStr">
        <is>
          <t>Maya Chen, Owner Project Controls: Earlier professional decision, carried forward</t>
        </is>
      </c>
      <c r="G1480" s="23" t="inlineStr">
        <is>
          <t>Group decision (182 records sharing one decision state), carried forward</t>
        </is>
      </c>
      <c r="H1480" s="23" t="inlineStr">
        <is>
          <t xml:space="preserve">RETAINED / UNSURE; </t>
        </is>
      </c>
      <c r="I1480" s="23" t="inlineStr">
        <is>
          <t>Carried forward</t>
        </is>
      </c>
      <c r="J1480" s="14" t="inlineStr">
        <is>
          <t>08 CROSSWALK</t>
        </is>
      </c>
    </row>
    <row r="1481" ht="64" customHeight="1">
      <c r="A1481" s="23" t="inlineStr">
        <is>
          <t>R1014-v3</t>
        </is>
      </c>
      <c r="B1481" s="23" t="inlineStr">
        <is>
          <t>Contractor Programme / SCH-06-114</t>
        </is>
      </c>
      <c r="C1481" s="23" t="inlineStr">
        <is>
          <t>No explicit source assertion recorded</t>
        </is>
      </c>
      <c r="D1481" s="23" t="inlineStr">
        <is>
          <t>Proposed by Professional; target UNSURE</t>
        </is>
      </c>
      <c r="E1481" s="23" t="inlineStr">
        <is>
          <t>None recorded</t>
        </is>
      </c>
      <c r="F1481" s="23" t="inlineStr">
        <is>
          <t>Maya Chen, Owner Project Controls: Earlier professional decision, carried forward</t>
        </is>
      </c>
      <c r="G1481" s="23" t="inlineStr">
        <is>
          <t>Group decision (182 records sharing one decision state), carried forward</t>
        </is>
      </c>
      <c r="H1481" s="23" t="inlineStr">
        <is>
          <t xml:space="preserve">RETAINED / UNSURE; </t>
        </is>
      </c>
      <c r="I1481" s="23" t="inlineStr">
        <is>
          <t>Carried forward</t>
        </is>
      </c>
      <c r="J1481" s="14" t="inlineStr">
        <is>
          <t>08 CROSSWALK</t>
        </is>
      </c>
    </row>
    <row r="1482" ht="64" customHeight="1">
      <c r="A1482" s="23" t="inlineStr">
        <is>
          <t>R1015-v3</t>
        </is>
      </c>
      <c r="B1482" s="23" t="inlineStr">
        <is>
          <t>Contractor Programme / SCH-06-115</t>
        </is>
      </c>
      <c r="C1482" s="23" t="inlineStr">
        <is>
          <t>No explicit source assertion recorded</t>
        </is>
      </c>
      <c r="D1482" s="23" t="inlineStr">
        <is>
          <t>Proposed by Professional; target UNSURE</t>
        </is>
      </c>
      <c r="E1482" s="23" t="inlineStr">
        <is>
          <t>None recorded</t>
        </is>
      </c>
      <c r="F1482" s="23" t="inlineStr">
        <is>
          <t>Maya Chen, Owner Project Controls: Earlier professional decision, carried forward</t>
        </is>
      </c>
      <c r="G1482" s="23" t="inlineStr">
        <is>
          <t>Group decision (182 records sharing one decision state), carried forward</t>
        </is>
      </c>
      <c r="H1482" s="23" t="inlineStr">
        <is>
          <t xml:space="preserve">RETAINED / UNSURE; </t>
        </is>
      </c>
      <c r="I1482" s="23" t="inlineStr">
        <is>
          <t>Carried forward</t>
        </is>
      </c>
      <c r="J1482" s="14" t="inlineStr">
        <is>
          <t>08 CROSSWALK</t>
        </is>
      </c>
    </row>
    <row r="1483" ht="64" customHeight="1">
      <c r="A1483" s="23" t="inlineStr">
        <is>
          <t>R1016-v3</t>
        </is>
      </c>
      <c r="B1483" s="23" t="inlineStr">
        <is>
          <t>Contractor Programme / SCH-06-116</t>
        </is>
      </c>
      <c r="C1483" s="23" t="inlineStr">
        <is>
          <t>No explicit source assertion recorded</t>
        </is>
      </c>
      <c r="D1483" s="23" t="inlineStr">
        <is>
          <t>Proposed by Professional; target UNSURE</t>
        </is>
      </c>
      <c r="E1483" s="23" t="inlineStr">
        <is>
          <t>None recorded</t>
        </is>
      </c>
      <c r="F1483" s="23" t="inlineStr">
        <is>
          <t>Maya Chen, Owner Project Controls: Earlier professional decision, carried forward</t>
        </is>
      </c>
      <c r="G1483" s="23" t="inlineStr">
        <is>
          <t>Group decision (182 records sharing one decision state), carried forward</t>
        </is>
      </c>
      <c r="H1483" s="23" t="inlineStr">
        <is>
          <t xml:space="preserve">RETAINED / UNSURE; </t>
        </is>
      </c>
      <c r="I1483" s="23" t="inlineStr">
        <is>
          <t>Carried forward</t>
        </is>
      </c>
      <c r="J1483" s="14" t="inlineStr">
        <is>
          <t>08 CROSSWALK</t>
        </is>
      </c>
    </row>
    <row r="1484" ht="64" customHeight="1">
      <c r="A1484" s="23" t="inlineStr">
        <is>
          <t>R1017-v3</t>
        </is>
      </c>
      <c r="B1484" s="23" t="inlineStr">
        <is>
          <t>Contractor Programme / SCH-06-117</t>
        </is>
      </c>
      <c r="C1484" s="23" t="inlineStr">
        <is>
          <t>No explicit source assertion recorded</t>
        </is>
      </c>
      <c r="D1484" s="23" t="inlineStr">
        <is>
          <t>Proposed by Professional; target UNSURE</t>
        </is>
      </c>
      <c r="E1484" s="23" t="inlineStr">
        <is>
          <t>None recorded</t>
        </is>
      </c>
      <c r="F1484" s="23" t="inlineStr">
        <is>
          <t>Maya Chen, Owner Project Controls: Earlier professional decision, carried forward</t>
        </is>
      </c>
      <c r="G1484" s="23" t="inlineStr">
        <is>
          <t>Group decision (182 records sharing one decision state), carried forward</t>
        </is>
      </c>
      <c r="H1484" s="23" t="inlineStr">
        <is>
          <t xml:space="preserve">RETAINED / UNSURE; </t>
        </is>
      </c>
      <c r="I1484" s="23" t="inlineStr">
        <is>
          <t>Carried forward</t>
        </is>
      </c>
      <c r="J1484" s="14" t="inlineStr">
        <is>
          <t>08 CROSSWALK</t>
        </is>
      </c>
    </row>
    <row r="1485" ht="64" customHeight="1">
      <c r="A1485" s="23" t="inlineStr">
        <is>
          <t>R1018-v3</t>
        </is>
      </c>
      <c r="B1485" s="23" t="inlineStr">
        <is>
          <t>Contractor Programme / SCH-06-118</t>
        </is>
      </c>
      <c r="C1485" s="23" t="inlineStr">
        <is>
          <t>No explicit source assertion recorded</t>
        </is>
      </c>
      <c r="D1485" s="23" t="inlineStr">
        <is>
          <t>Proposed by Professional; target UNSURE</t>
        </is>
      </c>
      <c r="E1485" s="23" t="inlineStr">
        <is>
          <t>None recorded</t>
        </is>
      </c>
      <c r="F1485" s="23" t="inlineStr">
        <is>
          <t>Maya Chen, Owner Project Controls: Earlier professional decision, carried forward</t>
        </is>
      </c>
      <c r="G1485" s="23" t="inlineStr">
        <is>
          <t>Group decision (182 records sharing one decision state), carried forward</t>
        </is>
      </c>
      <c r="H1485" s="23" t="inlineStr">
        <is>
          <t xml:space="preserve">RETAINED / UNSURE; </t>
        </is>
      </c>
      <c r="I1485" s="23" t="inlineStr">
        <is>
          <t>Carried forward</t>
        </is>
      </c>
      <c r="J1485" s="14" t="inlineStr">
        <is>
          <t>08 CROSSWALK</t>
        </is>
      </c>
    </row>
    <row r="1486" ht="64" customHeight="1">
      <c r="A1486" s="23" t="inlineStr">
        <is>
          <t>R1019-v3</t>
        </is>
      </c>
      <c r="B1486" s="23" t="inlineStr">
        <is>
          <t>Contractor Programme / SCH-06-119</t>
        </is>
      </c>
      <c r="C1486" s="23" t="inlineStr">
        <is>
          <t>No explicit source assertion recorded</t>
        </is>
      </c>
      <c r="D1486" s="23" t="inlineStr">
        <is>
          <t>Proposed by Professional; target UNSURE</t>
        </is>
      </c>
      <c r="E1486" s="23" t="inlineStr">
        <is>
          <t>None recorded</t>
        </is>
      </c>
      <c r="F1486" s="23" t="inlineStr">
        <is>
          <t>Maya Chen, Owner Project Controls: Earlier professional decision, carried forward</t>
        </is>
      </c>
      <c r="G1486" s="23" t="inlineStr">
        <is>
          <t>Group decision (182 records sharing one decision state), carried forward</t>
        </is>
      </c>
      <c r="H1486" s="23" t="inlineStr">
        <is>
          <t xml:space="preserve">RETAINED / UNSURE; </t>
        </is>
      </c>
      <c r="I1486" s="23" t="inlineStr">
        <is>
          <t>Carried forward</t>
        </is>
      </c>
      <c r="J1486" s="14" t="inlineStr">
        <is>
          <t>08 CROSSWALK</t>
        </is>
      </c>
    </row>
    <row r="1487" ht="64" customHeight="1">
      <c r="A1487" s="23" t="inlineStr">
        <is>
          <t>R1020-v3</t>
        </is>
      </c>
      <c r="B1487" s="23" t="inlineStr">
        <is>
          <t>Contractor Programme / SCH-06-120</t>
        </is>
      </c>
      <c r="C1487" s="23" t="inlineStr">
        <is>
          <t>No explicit source assertion recorded</t>
        </is>
      </c>
      <c r="D1487" s="23" t="inlineStr">
        <is>
          <t>Proposed by Professional; target UNSURE</t>
        </is>
      </c>
      <c r="E1487" s="23" t="inlineStr">
        <is>
          <t>None recorded</t>
        </is>
      </c>
      <c r="F1487" s="23" t="inlineStr">
        <is>
          <t>Maya Chen, Owner Project Controls: Earlier professional decision, carried forward</t>
        </is>
      </c>
      <c r="G1487" s="23" t="inlineStr">
        <is>
          <t>Group decision (182 records sharing one decision state), carried forward</t>
        </is>
      </c>
      <c r="H1487" s="23" t="inlineStr">
        <is>
          <t xml:space="preserve">RETAINED / UNSURE; </t>
        </is>
      </c>
      <c r="I1487" s="23" t="inlineStr">
        <is>
          <t>Carried forward</t>
        </is>
      </c>
      <c r="J1487" s="14" t="inlineStr">
        <is>
          <t>08 CROSSWALK</t>
        </is>
      </c>
    </row>
    <row r="1488" ht="64" customHeight="1">
      <c r="A1488" s="23" t="inlineStr">
        <is>
          <t>R1021-v3</t>
        </is>
      </c>
      <c r="B1488" s="23" t="inlineStr">
        <is>
          <t>Contractor Programme / SCH-06-121</t>
        </is>
      </c>
      <c r="C1488" s="23" t="inlineStr">
        <is>
          <t>No explicit source assertion recorded</t>
        </is>
      </c>
      <c r="D1488" s="23" t="inlineStr">
        <is>
          <t>Proposed by Professional; target UNSURE</t>
        </is>
      </c>
      <c r="E1488" s="23" t="inlineStr">
        <is>
          <t>None recorded</t>
        </is>
      </c>
      <c r="F1488" s="23" t="inlineStr">
        <is>
          <t>Maya Chen, Owner Project Controls: Earlier professional decision, carried forward</t>
        </is>
      </c>
      <c r="G1488" s="23" t="inlineStr">
        <is>
          <t>Group decision (182 records sharing one decision state), carried forward</t>
        </is>
      </c>
      <c r="H1488" s="23" t="inlineStr">
        <is>
          <t xml:space="preserve">RETAINED / UNSURE; </t>
        </is>
      </c>
      <c r="I1488" s="23" t="inlineStr">
        <is>
          <t>Carried forward</t>
        </is>
      </c>
      <c r="J1488" s="14" t="inlineStr">
        <is>
          <t>08 CROSSWALK</t>
        </is>
      </c>
    </row>
    <row r="1489" ht="64" customHeight="1">
      <c r="A1489" s="23" t="inlineStr">
        <is>
          <t>R1022-v3</t>
        </is>
      </c>
      <c r="B1489" s="23" t="inlineStr">
        <is>
          <t>Contractor Programme / SCH-06-122</t>
        </is>
      </c>
      <c r="C1489" s="23" t="inlineStr">
        <is>
          <t>No explicit source assertion recorded</t>
        </is>
      </c>
      <c r="D1489" s="23" t="inlineStr">
        <is>
          <t>Proposed by Professional; target UNSURE</t>
        </is>
      </c>
      <c r="E1489" s="23" t="inlineStr">
        <is>
          <t>None recorded</t>
        </is>
      </c>
      <c r="F1489" s="23" t="inlineStr">
        <is>
          <t>Maya Chen, Owner Project Controls: Earlier professional decision, carried forward</t>
        </is>
      </c>
      <c r="G1489" s="23" t="inlineStr">
        <is>
          <t>Group decision (182 records sharing one decision state), carried forward</t>
        </is>
      </c>
      <c r="H1489" s="23" t="inlineStr">
        <is>
          <t xml:space="preserve">RETAINED / UNSURE; </t>
        </is>
      </c>
      <c r="I1489" s="23" t="inlineStr">
        <is>
          <t>Carried forward</t>
        </is>
      </c>
      <c r="J1489" s="14" t="inlineStr">
        <is>
          <t>08 CROSSWALK</t>
        </is>
      </c>
    </row>
    <row r="1490" ht="64" customHeight="1">
      <c r="A1490" s="23" t="inlineStr">
        <is>
          <t>R1023-v3</t>
        </is>
      </c>
      <c r="B1490" s="23" t="inlineStr">
        <is>
          <t>Contractor Programme / SCH-06-123</t>
        </is>
      </c>
      <c r="C1490" s="23" t="inlineStr">
        <is>
          <t>No explicit source assertion recorded</t>
        </is>
      </c>
      <c r="D1490" s="23" t="inlineStr">
        <is>
          <t>Proposed by Professional; target UNSURE</t>
        </is>
      </c>
      <c r="E1490" s="23" t="inlineStr">
        <is>
          <t>None recorded</t>
        </is>
      </c>
      <c r="F1490" s="23" t="inlineStr">
        <is>
          <t>Maya Chen, Owner Project Controls: Earlier professional decision, carried forward</t>
        </is>
      </c>
      <c r="G1490" s="23" t="inlineStr">
        <is>
          <t>Group decision (182 records sharing one decision state), carried forward</t>
        </is>
      </c>
      <c r="H1490" s="23" t="inlineStr">
        <is>
          <t xml:space="preserve">RETAINED / UNSURE; </t>
        </is>
      </c>
      <c r="I1490" s="23" t="inlineStr">
        <is>
          <t>Carried forward</t>
        </is>
      </c>
      <c r="J1490" s="14" t="inlineStr">
        <is>
          <t>08 CROSSWALK</t>
        </is>
      </c>
    </row>
    <row r="1491" ht="64" customHeight="1">
      <c r="A1491" s="23" t="inlineStr">
        <is>
          <t>R1024-v3</t>
        </is>
      </c>
      <c r="B1491" s="23" t="inlineStr">
        <is>
          <t>Contractor Programme / SCH-06-124</t>
        </is>
      </c>
      <c r="C1491" s="23" t="inlineStr">
        <is>
          <t>No explicit source assertion recorded</t>
        </is>
      </c>
      <c r="D1491" s="23" t="inlineStr">
        <is>
          <t>Proposed by Professional; target UNSURE</t>
        </is>
      </c>
      <c r="E1491" s="23" t="inlineStr">
        <is>
          <t>None recorded</t>
        </is>
      </c>
      <c r="F1491" s="23" t="inlineStr">
        <is>
          <t>Maya Chen, Owner Project Controls: Earlier professional decision, carried forward</t>
        </is>
      </c>
      <c r="G1491" s="23" t="inlineStr">
        <is>
          <t>Group decision (182 records sharing one decision state), carried forward</t>
        </is>
      </c>
      <c r="H1491" s="23" t="inlineStr">
        <is>
          <t xml:space="preserve">RETAINED / UNSURE; </t>
        </is>
      </c>
      <c r="I1491" s="23" t="inlineStr">
        <is>
          <t>Carried forward</t>
        </is>
      </c>
      <c r="J1491" s="14" t="inlineStr">
        <is>
          <t>08 CROSSWALK</t>
        </is>
      </c>
    </row>
    <row r="1492" ht="64" customHeight="1">
      <c r="A1492" s="23" t="inlineStr">
        <is>
          <t>R1025-v3</t>
        </is>
      </c>
      <c r="B1492" s="23" t="inlineStr">
        <is>
          <t>Contractor Programme / SCH-06-125</t>
        </is>
      </c>
      <c r="C1492" s="23" t="inlineStr">
        <is>
          <t>No explicit source assertion recorded</t>
        </is>
      </c>
      <c r="D1492" s="23" t="inlineStr">
        <is>
          <t>Proposed by Professional; target UNSURE</t>
        </is>
      </c>
      <c r="E1492" s="23" t="inlineStr">
        <is>
          <t>None recorded</t>
        </is>
      </c>
      <c r="F1492" s="23" t="inlineStr">
        <is>
          <t>Maya Chen, Owner Project Controls: Earlier professional decision, carried forward</t>
        </is>
      </c>
      <c r="G1492" s="23" t="inlineStr">
        <is>
          <t>Group decision (182 records sharing one decision state), carried forward</t>
        </is>
      </c>
      <c r="H1492" s="23" t="inlineStr">
        <is>
          <t xml:space="preserve">RETAINED / UNSURE; </t>
        </is>
      </c>
      <c r="I1492" s="23" t="inlineStr">
        <is>
          <t>Carried forward</t>
        </is>
      </c>
      <c r="J1492" s="14" t="inlineStr">
        <is>
          <t>08 CROSSWALK</t>
        </is>
      </c>
    </row>
    <row r="1493" ht="64" customHeight="1">
      <c r="A1493" s="23" t="inlineStr">
        <is>
          <t>R1026-v3</t>
        </is>
      </c>
      <c r="B1493" s="23" t="inlineStr">
        <is>
          <t>Contractor Programme / SCH-06-126</t>
        </is>
      </c>
      <c r="C1493" s="23" t="inlineStr">
        <is>
          <t>No explicit source assertion recorded</t>
        </is>
      </c>
      <c r="D1493" s="23" t="inlineStr">
        <is>
          <t>Proposed by Professional; target UNSURE</t>
        </is>
      </c>
      <c r="E1493" s="23" t="inlineStr">
        <is>
          <t>None recorded</t>
        </is>
      </c>
      <c r="F1493" s="23" t="inlineStr">
        <is>
          <t>Maya Chen, Owner Project Controls: Earlier professional decision, carried forward</t>
        </is>
      </c>
      <c r="G1493" s="23" t="inlineStr">
        <is>
          <t>Group decision (182 records sharing one decision state), carried forward</t>
        </is>
      </c>
      <c r="H1493" s="23" t="inlineStr">
        <is>
          <t xml:space="preserve">RETAINED / UNSURE; </t>
        </is>
      </c>
      <c r="I1493" s="23" t="inlineStr">
        <is>
          <t>Carried forward</t>
        </is>
      </c>
      <c r="J1493" s="14" t="inlineStr">
        <is>
          <t>08 CROSSWALK</t>
        </is>
      </c>
    </row>
    <row r="1494" ht="64" customHeight="1">
      <c r="A1494" s="23" t="inlineStr">
        <is>
          <t>R1027-v3</t>
        </is>
      </c>
      <c r="B1494" s="23" t="inlineStr">
        <is>
          <t>Contractor Programme / SCH-06-127</t>
        </is>
      </c>
      <c r="C1494" s="23" t="inlineStr">
        <is>
          <t>No explicit source assertion recorded</t>
        </is>
      </c>
      <c r="D1494" s="23" t="inlineStr">
        <is>
          <t>Proposed by Professional; target UNSURE</t>
        </is>
      </c>
      <c r="E1494" s="23" t="inlineStr">
        <is>
          <t>None recorded</t>
        </is>
      </c>
      <c r="F1494" s="23" t="inlineStr">
        <is>
          <t>Maya Chen, Owner Project Controls: Earlier professional decision, carried forward</t>
        </is>
      </c>
      <c r="G1494" s="23" t="inlineStr">
        <is>
          <t>Group decision (182 records sharing one decision state), carried forward</t>
        </is>
      </c>
      <c r="H1494" s="23" t="inlineStr">
        <is>
          <t xml:space="preserve">RETAINED / UNSURE; </t>
        </is>
      </c>
      <c r="I1494" s="23" t="inlineStr">
        <is>
          <t>Carried forward</t>
        </is>
      </c>
      <c r="J1494" s="14" t="inlineStr">
        <is>
          <t>08 CROSSWALK</t>
        </is>
      </c>
    </row>
    <row r="1495" ht="64" customHeight="1">
      <c r="A1495" s="23" t="inlineStr">
        <is>
          <t>R1028-v3</t>
        </is>
      </c>
      <c r="B1495" s="23" t="inlineStr">
        <is>
          <t>Contractor Programme / SCH-06-128</t>
        </is>
      </c>
      <c r="C1495" s="23" t="inlineStr">
        <is>
          <t>No explicit source assertion recorded</t>
        </is>
      </c>
      <c r="D1495" s="23" t="inlineStr">
        <is>
          <t>Proposed by Professional; target UNSURE</t>
        </is>
      </c>
      <c r="E1495" s="23" t="inlineStr">
        <is>
          <t>None recorded</t>
        </is>
      </c>
      <c r="F1495" s="23" t="inlineStr">
        <is>
          <t>Maya Chen, Owner Project Controls: Earlier professional decision, carried forward</t>
        </is>
      </c>
      <c r="G1495" s="23" t="inlineStr">
        <is>
          <t>Group decision (182 records sharing one decision state), carried forward</t>
        </is>
      </c>
      <c r="H1495" s="23" t="inlineStr">
        <is>
          <t xml:space="preserve">RETAINED / UNSURE; </t>
        </is>
      </c>
      <c r="I1495" s="23" t="inlineStr">
        <is>
          <t>Carried forward</t>
        </is>
      </c>
      <c r="J1495" s="14" t="inlineStr">
        <is>
          <t>08 CROSSWALK</t>
        </is>
      </c>
    </row>
    <row r="1496" ht="64" customHeight="1">
      <c r="A1496" s="23" t="inlineStr">
        <is>
          <t>R1029-v3</t>
        </is>
      </c>
      <c r="B1496" s="23" t="inlineStr">
        <is>
          <t>Contractor Programme / SCH-06-129</t>
        </is>
      </c>
      <c r="C1496" s="23" t="inlineStr">
        <is>
          <t>No explicit source assertion recorded</t>
        </is>
      </c>
      <c r="D1496" s="23" t="inlineStr">
        <is>
          <t>Proposed by Professional; target UNSURE</t>
        </is>
      </c>
      <c r="E1496" s="23" t="inlineStr">
        <is>
          <t>None recorded</t>
        </is>
      </c>
      <c r="F1496" s="23" t="inlineStr">
        <is>
          <t>Maya Chen, Owner Project Controls: Earlier professional decision, carried forward</t>
        </is>
      </c>
      <c r="G1496" s="23" t="inlineStr">
        <is>
          <t>Group decision (182 records sharing one decision state), carried forward</t>
        </is>
      </c>
      <c r="H1496" s="23" t="inlineStr">
        <is>
          <t xml:space="preserve">RETAINED / UNSURE; </t>
        </is>
      </c>
      <c r="I1496" s="23" t="inlineStr">
        <is>
          <t>Carried forward</t>
        </is>
      </c>
      <c r="J1496" s="14" t="inlineStr">
        <is>
          <t>08 CROSSWALK</t>
        </is>
      </c>
    </row>
    <row r="1497" ht="64" customHeight="1">
      <c r="A1497" s="23" t="inlineStr">
        <is>
          <t>R1030-v3</t>
        </is>
      </c>
      <c r="B1497" s="23" t="inlineStr">
        <is>
          <t>Contractor Programme / SCH-06-130</t>
        </is>
      </c>
      <c r="C1497" s="23" t="inlineStr">
        <is>
          <t>No explicit source assertion recorded</t>
        </is>
      </c>
      <c r="D1497" s="23" t="inlineStr">
        <is>
          <t>Proposed by Professional; target UNSURE</t>
        </is>
      </c>
      <c r="E1497" s="23" t="inlineStr">
        <is>
          <t>None recorded</t>
        </is>
      </c>
      <c r="F1497" s="23" t="inlineStr">
        <is>
          <t>Maya Chen, Owner Project Controls: Earlier professional decision, carried forward</t>
        </is>
      </c>
      <c r="G1497" s="23" t="inlineStr">
        <is>
          <t>Group decision (182 records sharing one decision state), carried forward</t>
        </is>
      </c>
      <c r="H1497" s="23" t="inlineStr">
        <is>
          <t xml:space="preserve">RETAINED / UNSURE; </t>
        </is>
      </c>
      <c r="I1497" s="23" t="inlineStr">
        <is>
          <t>Carried forward</t>
        </is>
      </c>
      <c r="J1497" s="14" t="inlineStr">
        <is>
          <t>08 CROSSWALK</t>
        </is>
      </c>
    </row>
    <row r="1498" ht="64" customHeight="1">
      <c r="A1498" s="23" t="inlineStr">
        <is>
          <t>R1031-v3</t>
        </is>
      </c>
      <c r="B1498" s="23" t="inlineStr">
        <is>
          <t>Contractor Programme / SCH-06-131</t>
        </is>
      </c>
      <c r="C1498" s="23" t="inlineStr">
        <is>
          <t>No explicit source assertion recorded</t>
        </is>
      </c>
      <c r="D1498" s="23" t="inlineStr">
        <is>
          <t>Proposed by Professional; target UNSURE</t>
        </is>
      </c>
      <c r="E1498" s="23" t="inlineStr">
        <is>
          <t>None recorded</t>
        </is>
      </c>
      <c r="F1498" s="23" t="inlineStr">
        <is>
          <t>Maya Chen, Owner Project Controls: Earlier professional decision, carried forward</t>
        </is>
      </c>
      <c r="G1498" s="23" t="inlineStr">
        <is>
          <t>Group decision (182 records sharing one decision state), carried forward</t>
        </is>
      </c>
      <c r="H1498" s="23" t="inlineStr">
        <is>
          <t xml:space="preserve">RETAINED / UNSURE; </t>
        </is>
      </c>
      <c r="I1498" s="23" t="inlineStr">
        <is>
          <t>Carried forward</t>
        </is>
      </c>
      <c r="J1498" s="14" t="inlineStr">
        <is>
          <t>08 CROSSWALK</t>
        </is>
      </c>
    </row>
    <row r="1499" ht="64" customHeight="1">
      <c r="A1499" s="23" t="inlineStr">
        <is>
          <t>R1032-v3</t>
        </is>
      </c>
      <c r="B1499" s="23" t="inlineStr">
        <is>
          <t>Contractor Programme / SCH-06-132</t>
        </is>
      </c>
      <c r="C1499" s="23" t="inlineStr">
        <is>
          <t>No explicit source assertion recorded</t>
        </is>
      </c>
      <c r="D1499" s="23" t="inlineStr">
        <is>
          <t>Proposed by Professional; target UNSURE</t>
        </is>
      </c>
      <c r="E1499" s="23" t="inlineStr">
        <is>
          <t>None recorded</t>
        </is>
      </c>
      <c r="F1499" s="23" t="inlineStr">
        <is>
          <t>Maya Chen, Owner Project Controls: Earlier professional decision, carried forward</t>
        </is>
      </c>
      <c r="G1499" s="23" t="inlineStr">
        <is>
          <t>Group decision (182 records sharing one decision state), carried forward</t>
        </is>
      </c>
      <c r="H1499" s="23" t="inlineStr">
        <is>
          <t xml:space="preserve">RETAINED / UNSURE; </t>
        </is>
      </c>
      <c r="I1499" s="23" t="inlineStr">
        <is>
          <t>Carried forward</t>
        </is>
      </c>
      <c r="J1499" s="14" t="inlineStr">
        <is>
          <t>08 CROSSWALK</t>
        </is>
      </c>
    </row>
    <row r="1500" ht="64" customHeight="1">
      <c r="A1500" s="23" t="inlineStr">
        <is>
          <t>R1033-v3</t>
        </is>
      </c>
      <c r="B1500" s="23" t="inlineStr">
        <is>
          <t>Contractor Programme / SCH-06-133</t>
        </is>
      </c>
      <c r="C1500" s="23" t="inlineStr">
        <is>
          <t>No explicit source assertion recorded</t>
        </is>
      </c>
      <c r="D1500" s="23" t="inlineStr">
        <is>
          <t>Proposed by Professional; target UNSURE</t>
        </is>
      </c>
      <c r="E1500" s="23" t="inlineStr">
        <is>
          <t>None recorded</t>
        </is>
      </c>
      <c r="F1500" s="23" t="inlineStr">
        <is>
          <t>Maya Chen, Owner Project Controls: Earlier professional decision, carried forward</t>
        </is>
      </c>
      <c r="G1500" s="23" t="inlineStr">
        <is>
          <t>Group decision (182 records sharing one decision state), carried forward</t>
        </is>
      </c>
      <c r="H1500" s="23" t="inlineStr">
        <is>
          <t xml:space="preserve">RETAINED / UNSURE; </t>
        </is>
      </c>
      <c r="I1500" s="23" t="inlineStr">
        <is>
          <t>Carried forward</t>
        </is>
      </c>
      <c r="J1500" s="14" t="inlineStr">
        <is>
          <t>08 CROSSWALK</t>
        </is>
      </c>
    </row>
    <row r="1501" ht="64" customHeight="1">
      <c r="A1501" s="23" t="inlineStr">
        <is>
          <t>R1034-v3</t>
        </is>
      </c>
      <c r="B1501" s="23" t="inlineStr">
        <is>
          <t>Contractor Programme / SCH-06-134</t>
        </is>
      </c>
      <c r="C1501" s="23" t="inlineStr">
        <is>
          <t>No explicit source assertion recorded</t>
        </is>
      </c>
      <c r="D1501" s="23" t="inlineStr">
        <is>
          <t>Proposed by Professional; target UNSURE</t>
        </is>
      </c>
      <c r="E1501" s="23" t="inlineStr">
        <is>
          <t>None recorded</t>
        </is>
      </c>
      <c r="F1501" s="23" t="inlineStr">
        <is>
          <t>Maya Chen, Owner Project Controls: Earlier professional decision, carried forward</t>
        </is>
      </c>
      <c r="G1501" s="23" t="inlineStr">
        <is>
          <t>Group decision (182 records sharing one decision state), carried forward</t>
        </is>
      </c>
      <c r="H1501" s="23" t="inlineStr">
        <is>
          <t xml:space="preserve">RETAINED / UNSURE; </t>
        </is>
      </c>
      <c r="I1501" s="23" t="inlineStr">
        <is>
          <t>Carried forward</t>
        </is>
      </c>
      <c r="J1501" s="14" t="inlineStr">
        <is>
          <t>08 CROSSWALK</t>
        </is>
      </c>
    </row>
    <row r="1502" ht="64" customHeight="1">
      <c r="A1502" s="23" t="inlineStr">
        <is>
          <t>R1035-v3</t>
        </is>
      </c>
      <c r="B1502" s="23" t="inlineStr">
        <is>
          <t>Contractor Programme / SCH-06-135</t>
        </is>
      </c>
      <c r="C1502" s="23" t="inlineStr">
        <is>
          <t>No explicit source assertion recorded</t>
        </is>
      </c>
      <c r="D1502" s="23" t="inlineStr">
        <is>
          <t>Proposed by Professional; target UNSURE</t>
        </is>
      </c>
      <c r="E1502" s="23" t="inlineStr">
        <is>
          <t>None recorded</t>
        </is>
      </c>
      <c r="F1502" s="23" t="inlineStr">
        <is>
          <t>Maya Chen, Owner Project Controls: Earlier professional decision, carried forward</t>
        </is>
      </c>
      <c r="G1502" s="23" t="inlineStr">
        <is>
          <t>Group decision (182 records sharing one decision state), carried forward</t>
        </is>
      </c>
      <c r="H1502" s="23" t="inlineStr">
        <is>
          <t xml:space="preserve">RETAINED / UNSURE; </t>
        </is>
      </c>
      <c r="I1502" s="23" t="inlineStr">
        <is>
          <t>Carried forward</t>
        </is>
      </c>
      <c r="J1502" s="14" t="inlineStr">
        <is>
          <t>08 CROSSWALK</t>
        </is>
      </c>
    </row>
    <row r="1503" ht="64" customHeight="1">
      <c r="A1503" s="23" t="inlineStr">
        <is>
          <t>R1036-v3</t>
        </is>
      </c>
      <c r="B1503" s="23" t="inlineStr">
        <is>
          <t>Contractor Programme / SCH-06-136</t>
        </is>
      </c>
      <c r="C1503" s="23" t="inlineStr">
        <is>
          <t>No explicit source assertion recorded</t>
        </is>
      </c>
      <c r="D1503" s="23" t="inlineStr">
        <is>
          <t>Proposed by Professional; target UNSURE</t>
        </is>
      </c>
      <c r="E1503" s="23" t="inlineStr">
        <is>
          <t>None recorded</t>
        </is>
      </c>
      <c r="F1503" s="23" t="inlineStr">
        <is>
          <t>Maya Chen, Owner Project Controls: Earlier professional decision, carried forward</t>
        </is>
      </c>
      <c r="G1503" s="23" t="inlineStr">
        <is>
          <t>Group decision (182 records sharing one decision state), carried forward</t>
        </is>
      </c>
      <c r="H1503" s="23" t="inlineStr">
        <is>
          <t xml:space="preserve">RETAINED / UNSURE; </t>
        </is>
      </c>
      <c r="I1503" s="23" t="inlineStr">
        <is>
          <t>Carried forward</t>
        </is>
      </c>
      <c r="J1503" s="14" t="inlineStr">
        <is>
          <t>08 CROSSWALK</t>
        </is>
      </c>
    </row>
    <row r="1504" ht="64" customHeight="1">
      <c r="A1504" s="23" t="inlineStr">
        <is>
          <t>R1037-v3</t>
        </is>
      </c>
      <c r="B1504" s="23" t="inlineStr">
        <is>
          <t>Contractor Programme / SCH-06-137</t>
        </is>
      </c>
      <c r="C1504" s="23" t="inlineStr">
        <is>
          <t>No explicit source assertion recorded</t>
        </is>
      </c>
      <c r="D1504" s="23" t="inlineStr">
        <is>
          <t>Proposed by Professional; target UNSURE</t>
        </is>
      </c>
      <c r="E1504" s="23" t="inlineStr">
        <is>
          <t>None recorded</t>
        </is>
      </c>
      <c r="F1504" s="23" t="inlineStr">
        <is>
          <t>Maya Chen, Owner Project Controls: Earlier professional decision, carried forward</t>
        </is>
      </c>
      <c r="G1504" s="23" t="inlineStr">
        <is>
          <t>Group decision (182 records sharing one decision state), carried forward</t>
        </is>
      </c>
      <c r="H1504" s="23" t="inlineStr">
        <is>
          <t xml:space="preserve">RETAINED / UNSURE; </t>
        </is>
      </c>
      <c r="I1504" s="23" t="inlineStr">
        <is>
          <t>Carried forward</t>
        </is>
      </c>
      <c r="J1504" s="14" t="inlineStr">
        <is>
          <t>08 CROSSWALK</t>
        </is>
      </c>
    </row>
    <row r="1505" ht="64" customHeight="1">
      <c r="A1505" s="23" t="inlineStr">
        <is>
          <t>R1038-v3</t>
        </is>
      </c>
      <c r="B1505" s="23" t="inlineStr">
        <is>
          <t>Contractor Programme / SCH-06-138</t>
        </is>
      </c>
      <c r="C1505" s="23" t="inlineStr">
        <is>
          <t>No explicit source assertion recorded</t>
        </is>
      </c>
      <c r="D1505" s="23" t="inlineStr">
        <is>
          <t>Proposed by Professional; target UNSURE</t>
        </is>
      </c>
      <c r="E1505" s="23" t="inlineStr">
        <is>
          <t>None recorded</t>
        </is>
      </c>
      <c r="F1505" s="23" t="inlineStr">
        <is>
          <t>Maya Chen, Owner Project Controls: Earlier professional decision, carried forward</t>
        </is>
      </c>
      <c r="G1505" s="23" t="inlineStr">
        <is>
          <t>Group decision (182 records sharing one decision state), carried forward</t>
        </is>
      </c>
      <c r="H1505" s="23" t="inlineStr">
        <is>
          <t xml:space="preserve">RETAINED / UNSURE; </t>
        </is>
      </c>
      <c r="I1505" s="23" t="inlineStr">
        <is>
          <t>Carried forward</t>
        </is>
      </c>
      <c r="J1505" s="14" t="inlineStr">
        <is>
          <t>08 CROSSWALK</t>
        </is>
      </c>
    </row>
    <row r="1506" ht="64" customHeight="1">
      <c r="A1506" s="23" t="inlineStr">
        <is>
          <t>R1039-v3</t>
        </is>
      </c>
      <c r="B1506" s="23" t="inlineStr">
        <is>
          <t>Contractor Programme / SCH-06-139</t>
        </is>
      </c>
      <c r="C1506" s="23" t="inlineStr">
        <is>
          <t>No explicit source assertion recorded</t>
        </is>
      </c>
      <c r="D1506" s="23" t="inlineStr">
        <is>
          <t>Proposed by Professional; target UNSURE</t>
        </is>
      </c>
      <c r="E1506" s="23" t="inlineStr">
        <is>
          <t>None recorded</t>
        </is>
      </c>
      <c r="F1506" s="23" t="inlineStr">
        <is>
          <t>Maya Chen, Owner Project Controls: Earlier professional decision, carried forward</t>
        </is>
      </c>
      <c r="G1506" s="23" t="inlineStr">
        <is>
          <t>Group decision (182 records sharing one decision state), carried forward</t>
        </is>
      </c>
      <c r="H1506" s="23" t="inlineStr">
        <is>
          <t xml:space="preserve">RETAINED / UNSURE; </t>
        </is>
      </c>
      <c r="I1506" s="23" t="inlineStr">
        <is>
          <t>Carried forward</t>
        </is>
      </c>
      <c r="J1506" s="14" t="inlineStr">
        <is>
          <t>08 CROSSWALK</t>
        </is>
      </c>
    </row>
    <row r="1507" ht="64" customHeight="1">
      <c r="A1507" s="23" t="inlineStr">
        <is>
          <t>R1040-v3</t>
        </is>
      </c>
      <c r="B1507" s="23" t="inlineStr">
        <is>
          <t>Contractor Programme / SCH-06-140</t>
        </is>
      </c>
      <c r="C1507" s="23" t="inlineStr">
        <is>
          <t>No explicit source assertion recorded</t>
        </is>
      </c>
      <c r="D1507" s="23" t="inlineStr">
        <is>
          <t>Proposed by Professional; target UNSURE</t>
        </is>
      </c>
      <c r="E1507" s="23" t="inlineStr">
        <is>
          <t>None recorded</t>
        </is>
      </c>
      <c r="F1507" s="23" t="inlineStr">
        <is>
          <t>Maya Chen, Owner Project Controls: Earlier professional decision, carried forward</t>
        </is>
      </c>
      <c r="G1507" s="23" t="inlineStr">
        <is>
          <t>Group decision (182 records sharing one decision state), carried forward</t>
        </is>
      </c>
      <c r="H1507" s="23" t="inlineStr">
        <is>
          <t xml:space="preserve">RETAINED / UNSURE; </t>
        </is>
      </c>
      <c r="I1507" s="23" t="inlineStr">
        <is>
          <t>Carried forward</t>
        </is>
      </c>
      <c r="J1507" s="14" t="inlineStr">
        <is>
          <t>08 CROSSWALK</t>
        </is>
      </c>
    </row>
    <row r="1508" ht="64" customHeight="1">
      <c r="A1508" s="23" t="inlineStr">
        <is>
          <t>R1041-v3</t>
        </is>
      </c>
      <c r="B1508" s="23" t="inlineStr">
        <is>
          <t>Contractor Programme / SCH-06-141</t>
        </is>
      </c>
      <c r="C1508" s="23" t="inlineStr">
        <is>
          <t>No explicit source assertion recorded</t>
        </is>
      </c>
      <c r="D1508" s="23" t="inlineStr">
        <is>
          <t>Proposed by Professional; target UNSURE</t>
        </is>
      </c>
      <c r="E1508" s="23" t="inlineStr">
        <is>
          <t>None recorded</t>
        </is>
      </c>
      <c r="F1508" s="23" t="inlineStr">
        <is>
          <t>Maya Chen, Owner Project Controls: Earlier professional decision, carried forward</t>
        </is>
      </c>
      <c r="G1508" s="23" t="inlineStr">
        <is>
          <t>Group decision (182 records sharing one decision state), carried forward</t>
        </is>
      </c>
      <c r="H1508" s="23" t="inlineStr">
        <is>
          <t xml:space="preserve">RETAINED / UNSURE; </t>
        </is>
      </c>
      <c r="I1508" s="23" t="inlineStr">
        <is>
          <t>Carried forward</t>
        </is>
      </c>
      <c r="J1508" s="14" t="inlineStr">
        <is>
          <t>08 CROSSWALK</t>
        </is>
      </c>
    </row>
    <row r="1509" ht="64" customHeight="1">
      <c r="A1509" s="23" t="inlineStr">
        <is>
          <t>R1042-v3</t>
        </is>
      </c>
      <c r="B1509" s="23" t="inlineStr">
        <is>
          <t>Contractor Programme / SCH-06-142</t>
        </is>
      </c>
      <c r="C1509" s="23" t="inlineStr">
        <is>
          <t>No explicit source assertion recorded</t>
        </is>
      </c>
      <c r="D1509" s="23" t="inlineStr">
        <is>
          <t>Proposed by Professional; target UNSURE</t>
        </is>
      </c>
      <c r="E1509" s="23" t="inlineStr">
        <is>
          <t>None recorded</t>
        </is>
      </c>
      <c r="F1509" s="23" t="inlineStr">
        <is>
          <t>Maya Chen, Owner Project Controls: Earlier professional decision, carried forward</t>
        </is>
      </c>
      <c r="G1509" s="23" t="inlineStr">
        <is>
          <t>Group decision (182 records sharing one decision state), carried forward</t>
        </is>
      </c>
      <c r="H1509" s="23" t="inlineStr">
        <is>
          <t xml:space="preserve">RETAINED / UNSURE; </t>
        </is>
      </c>
      <c r="I1509" s="23" t="inlineStr">
        <is>
          <t>Carried forward</t>
        </is>
      </c>
      <c r="J1509" s="14" t="inlineStr">
        <is>
          <t>08 CROSSWALK</t>
        </is>
      </c>
    </row>
    <row r="1510" ht="64" customHeight="1">
      <c r="A1510" s="23" t="inlineStr">
        <is>
          <t>R1043-v3</t>
        </is>
      </c>
      <c r="B1510" s="23" t="inlineStr">
        <is>
          <t>Contractor Programme / SCH-06-143</t>
        </is>
      </c>
      <c r="C1510" s="23" t="inlineStr">
        <is>
          <t>No explicit source assertion recorded</t>
        </is>
      </c>
      <c r="D1510" s="23" t="inlineStr">
        <is>
          <t>Proposed by Professional; target UNSURE</t>
        </is>
      </c>
      <c r="E1510" s="23" t="inlineStr">
        <is>
          <t>None recorded</t>
        </is>
      </c>
      <c r="F1510" s="23" t="inlineStr">
        <is>
          <t>Maya Chen, Owner Project Controls: Earlier professional decision, carried forward</t>
        </is>
      </c>
      <c r="G1510" s="23" t="inlineStr">
        <is>
          <t>Group decision (182 records sharing one decision state), carried forward</t>
        </is>
      </c>
      <c r="H1510" s="23" t="inlineStr">
        <is>
          <t xml:space="preserve">RETAINED / UNSURE; </t>
        </is>
      </c>
      <c r="I1510" s="23" t="inlineStr">
        <is>
          <t>Carried forward</t>
        </is>
      </c>
      <c r="J1510" s="14" t="inlineStr">
        <is>
          <t>08 CROSSWALK</t>
        </is>
      </c>
    </row>
    <row r="1511" ht="64" customHeight="1">
      <c r="A1511" s="23" t="inlineStr">
        <is>
          <t>R1044-v3</t>
        </is>
      </c>
      <c r="B1511" s="23" t="inlineStr">
        <is>
          <t>Contractor Programme / SCH-06-144</t>
        </is>
      </c>
      <c r="C1511" s="23" t="inlineStr">
        <is>
          <t>No explicit source assertion recorded</t>
        </is>
      </c>
      <c r="D1511" s="23" t="inlineStr">
        <is>
          <t>Proposed by Professional; target UNSURE</t>
        </is>
      </c>
      <c r="E1511" s="23" t="inlineStr">
        <is>
          <t>None recorded</t>
        </is>
      </c>
      <c r="F1511" s="23" t="inlineStr">
        <is>
          <t>Maya Chen, Owner Project Controls: Earlier professional decision, carried forward</t>
        </is>
      </c>
      <c r="G1511" s="23" t="inlineStr">
        <is>
          <t>Group decision (182 records sharing one decision state), carried forward</t>
        </is>
      </c>
      <c r="H1511" s="23" t="inlineStr">
        <is>
          <t xml:space="preserve">RETAINED / UNSURE; </t>
        </is>
      </c>
      <c r="I1511" s="23" t="inlineStr">
        <is>
          <t>Carried forward</t>
        </is>
      </c>
      <c r="J1511" s="14" t="inlineStr">
        <is>
          <t>08 CROSSWALK</t>
        </is>
      </c>
    </row>
    <row r="1512" ht="64" customHeight="1">
      <c r="A1512" s="23" t="inlineStr">
        <is>
          <t>R1045-v3</t>
        </is>
      </c>
      <c r="B1512" s="23" t="inlineStr">
        <is>
          <t>Contractor Programme / SCH-06-145</t>
        </is>
      </c>
      <c r="C1512" s="23" t="inlineStr">
        <is>
          <t>No explicit source assertion recorded</t>
        </is>
      </c>
      <c r="D1512" s="23" t="inlineStr">
        <is>
          <t>Proposed by Professional; target UNSURE</t>
        </is>
      </c>
      <c r="E1512" s="23" t="inlineStr">
        <is>
          <t>None recorded</t>
        </is>
      </c>
      <c r="F1512" s="23" t="inlineStr">
        <is>
          <t>Maya Chen, Owner Project Controls: Earlier professional decision, carried forward</t>
        </is>
      </c>
      <c r="G1512" s="23" t="inlineStr">
        <is>
          <t>Group decision (182 records sharing one decision state), carried forward</t>
        </is>
      </c>
      <c r="H1512" s="23" t="inlineStr">
        <is>
          <t xml:space="preserve">RETAINED / UNSURE; </t>
        </is>
      </c>
      <c r="I1512" s="23" t="inlineStr">
        <is>
          <t>Carried forward</t>
        </is>
      </c>
      <c r="J1512" s="14" t="inlineStr">
        <is>
          <t>08 CROSSWALK</t>
        </is>
      </c>
    </row>
    <row r="1513" ht="64" customHeight="1">
      <c r="A1513" s="23" t="inlineStr">
        <is>
          <t>R1046-v3</t>
        </is>
      </c>
      <c r="B1513" s="23" t="inlineStr">
        <is>
          <t>Contractor Programme / SCH-06-146</t>
        </is>
      </c>
      <c r="C1513" s="23" t="inlineStr">
        <is>
          <t>No explicit source assertion recorded</t>
        </is>
      </c>
      <c r="D1513" s="23" t="inlineStr">
        <is>
          <t>Proposed by Professional; target UNSURE</t>
        </is>
      </c>
      <c r="E1513" s="23" t="inlineStr">
        <is>
          <t>None recorded</t>
        </is>
      </c>
      <c r="F1513" s="23" t="inlineStr">
        <is>
          <t>Maya Chen, Owner Project Controls: Earlier professional decision, carried forward</t>
        </is>
      </c>
      <c r="G1513" s="23" t="inlineStr">
        <is>
          <t>Group decision (182 records sharing one decision state), carried forward</t>
        </is>
      </c>
      <c r="H1513" s="23" t="inlineStr">
        <is>
          <t xml:space="preserve">RETAINED / UNSURE; </t>
        </is>
      </c>
      <c r="I1513" s="23" t="inlineStr">
        <is>
          <t>Carried forward</t>
        </is>
      </c>
      <c r="J1513" s="14" t="inlineStr">
        <is>
          <t>08 CROSSWALK</t>
        </is>
      </c>
    </row>
    <row r="1514" ht="64" customHeight="1">
      <c r="A1514" s="23" t="inlineStr">
        <is>
          <t>R1047-v3</t>
        </is>
      </c>
      <c r="B1514" s="23" t="inlineStr">
        <is>
          <t>Contractor Programme / SCH-06-147</t>
        </is>
      </c>
      <c r="C1514" s="23" t="inlineStr">
        <is>
          <t>No explicit source assertion recorded</t>
        </is>
      </c>
      <c r="D1514" s="23" t="inlineStr">
        <is>
          <t>Proposed by Professional; target UNSURE</t>
        </is>
      </c>
      <c r="E1514" s="23" t="inlineStr">
        <is>
          <t>None recorded</t>
        </is>
      </c>
      <c r="F1514" s="23" t="inlineStr">
        <is>
          <t>Maya Chen, Owner Project Controls: Earlier professional decision, carried forward</t>
        </is>
      </c>
      <c r="G1514" s="23" t="inlineStr">
        <is>
          <t>Group decision (182 records sharing one decision state), carried forward</t>
        </is>
      </c>
      <c r="H1514" s="23" t="inlineStr">
        <is>
          <t xml:space="preserve">RETAINED / UNSURE; </t>
        </is>
      </c>
      <c r="I1514" s="23" t="inlineStr">
        <is>
          <t>Carried forward</t>
        </is>
      </c>
      <c r="J1514" s="14" t="inlineStr">
        <is>
          <t>08 CROSSWALK</t>
        </is>
      </c>
    </row>
    <row r="1515" ht="64" customHeight="1">
      <c r="A1515" s="23" t="inlineStr">
        <is>
          <t>R1048-v3</t>
        </is>
      </c>
      <c r="B1515" s="23" t="inlineStr">
        <is>
          <t>Contractor Programme / SCH-06-148</t>
        </is>
      </c>
      <c r="C1515" s="23" t="inlineStr">
        <is>
          <t>No explicit source assertion recorded</t>
        </is>
      </c>
      <c r="D1515" s="23" t="inlineStr">
        <is>
          <t>Proposed by Professional; target UNSURE</t>
        </is>
      </c>
      <c r="E1515" s="23" t="inlineStr">
        <is>
          <t>None recorded</t>
        </is>
      </c>
      <c r="F1515" s="23" t="inlineStr">
        <is>
          <t>Maya Chen, Owner Project Controls: Earlier professional decision, carried forward</t>
        </is>
      </c>
      <c r="G1515" s="23" t="inlineStr">
        <is>
          <t>Group decision (182 records sharing one decision state), carried forward</t>
        </is>
      </c>
      <c r="H1515" s="23" t="inlineStr">
        <is>
          <t xml:space="preserve">RETAINED / UNSURE; </t>
        </is>
      </c>
      <c r="I1515" s="23" t="inlineStr">
        <is>
          <t>Carried forward</t>
        </is>
      </c>
      <c r="J1515" s="14" t="inlineStr">
        <is>
          <t>08 CROSSWALK</t>
        </is>
      </c>
    </row>
    <row r="1516" ht="64" customHeight="1">
      <c r="A1516" s="23" t="inlineStr">
        <is>
          <t>R1049-v3</t>
        </is>
      </c>
      <c r="B1516" s="23" t="inlineStr">
        <is>
          <t>Contractor Programme / SCH-06-149</t>
        </is>
      </c>
      <c r="C1516" s="23" t="inlineStr">
        <is>
          <t>No explicit source assertion recorded</t>
        </is>
      </c>
      <c r="D1516" s="23" t="inlineStr">
        <is>
          <t>Proposed by Professional; target UNSURE</t>
        </is>
      </c>
      <c r="E1516" s="23" t="inlineStr">
        <is>
          <t>None recorded</t>
        </is>
      </c>
      <c r="F1516" s="23" t="inlineStr">
        <is>
          <t>Maya Chen, Owner Project Controls: Earlier professional decision, carried forward</t>
        </is>
      </c>
      <c r="G1516" s="23" t="inlineStr">
        <is>
          <t>Group decision (182 records sharing one decision state), carried forward</t>
        </is>
      </c>
      <c r="H1516" s="23" t="inlineStr">
        <is>
          <t xml:space="preserve">RETAINED / UNSURE; </t>
        </is>
      </c>
      <c r="I1516" s="23" t="inlineStr">
        <is>
          <t>Carried forward</t>
        </is>
      </c>
      <c r="J1516" s="14" t="inlineStr">
        <is>
          <t>08 CROSSWALK</t>
        </is>
      </c>
    </row>
    <row r="1517" ht="64" customHeight="1">
      <c r="A1517" s="23" t="inlineStr">
        <is>
          <t>R1050-v3</t>
        </is>
      </c>
      <c r="B1517" s="23" t="inlineStr">
        <is>
          <t>Contractor Programme / SCH-06-150</t>
        </is>
      </c>
      <c r="C1517" s="23" t="inlineStr">
        <is>
          <t>No explicit source assertion recorded</t>
        </is>
      </c>
      <c r="D1517" s="23" t="inlineStr">
        <is>
          <t>Proposed by Professional; target UNSURE</t>
        </is>
      </c>
      <c r="E1517" s="23" t="inlineStr">
        <is>
          <t>None recorded</t>
        </is>
      </c>
      <c r="F1517" s="23" t="inlineStr">
        <is>
          <t>Maya Chen, Owner Project Controls: Earlier professional decision, carried forward</t>
        </is>
      </c>
      <c r="G1517" s="23" t="inlineStr">
        <is>
          <t>Group decision (182 records sharing one decision state), carried forward</t>
        </is>
      </c>
      <c r="H1517" s="23" t="inlineStr">
        <is>
          <t xml:space="preserve">RETAINED / UNSURE; </t>
        </is>
      </c>
      <c r="I1517" s="23" t="inlineStr">
        <is>
          <t>Carried forward</t>
        </is>
      </c>
      <c r="J1517" s="14" t="inlineStr">
        <is>
          <t>08 CROSSWALK</t>
        </is>
      </c>
    </row>
    <row r="1518" ht="64" customHeight="1">
      <c r="A1518" s="23" t="inlineStr">
        <is>
          <t>R1051-v3</t>
        </is>
      </c>
      <c r="B1518" s="23" t="inlineStr">
        <is>
          <t>Contractor Programme / SCH-06-151</t>
        </is>
      </c>
      <c r="C1518" s="23" t="inlineStr">
        <is>
          <t>No explicit source assertion recorded</t>
        </is>
      </c>
      <c r="D1518" s="23" t="inlineStr">
        <is>
          <t>Proposed by Professional; target UNSURE</t>
        </is>
      </c>
      <c r="E1518" s="23" t="inlineStr">
        <is>
          <t>None recorded</t>
        </is>
      </c>
      <c r="F1518" s="23" t="inlineStr">
        <is>
          <t>Maya Chen, Owner Project Controls: Earlier professional decision, carried forward</t>
        </is>
      </c>
      <c r="G1518" s="23" t="inlineStr">
        <is>
          <t>Group decision (182 records sharing one decision state), carried forward</t>
        </is>
      </c>
      <c r="H1518" s="23" t="inlineStr">
        <is>
          <t xml:space="preserve">RETAINED / UNSURE; </t>
        </is>
      </c>
      <c r="I1518" s="23" t="inlineStr">
        <is>
          <t>Carried forward</t>
        </is>
      </c>
      <c r="J1518" s="14" t="inlineStr">
        <is>
          <t>08 CROSSWALK</t>
        </is>
      </c>
    </row>
    <row r="1519" ht="64" customHeight="1">
      <c r="A1519" s="23" t="inlineStr">
        <is>
          <t>R1052-v3</t>
        </is>
      </c>
      <c r="B1519" s="23" t="inlineStr">
        <is>
          <t>Contractor Programme / SCH-06-152</t>
        </is>
      </c>
      <c r="C1519" s="23" t="inlineStr">
        <is>
          <t>No explicit source assertion recorded</t>
        </is>
      </c>
      <c r="D1519" s="23" t="inlineStr">
        <is>
          <t>Proposed by Professional; target UNSURE</t>
        </is>
      </c>
      <c r="E1519" s="23" t="inlineStr">
        <is>
          <t>None recorded</t>
        </is>
      </c>
      <c r="F1519" s="23" t="inlineStr">
        <is>
          <t>Maya Chen, Owner Project Controls: Earlier professional decision, carried forward</t>
        </is>
      </c>
      <c r="G1519" s="23" t="inlineStr">
        <is>
          <t>Group decision (182 records sharing one decision state), carried forward</t>
        </is>
      </c>
      <c r="H1519" s="23" t="inlineStr">
        <is>
          <t xml:space="preserve">RETAINED / UNSURE; </t>
        </is>
      </c>
      <c r="I1519" s="23" t="inlineStr">
        <is>
          <t>Carried forward</t>
        </is>
      </c>
      <c r="J1519" s="14" t="inlineStr">
        <is>
          <t>08 CROSSWALK</t>
        </is>
      </c>
    </row>
    <row r="1520" ht="64" customHeight="1">
      <c r="A1520" s="23" t="inlineStr">
        <is>
          <t>R1053-v3</t>
        </is>
      </c>
      <c r="B1520" s="23" t="inlineStr">
        <is>
          <t>Contractor Programme / SCH-06-153</t>
        </is>
      </c>
      <c r="C1520" s="23" t="inlineStr">
        <is>
          <t>No explicit source assertion recorded</t>
        </is>
      </c>
      <c r="D1520" s="23" t="inlineStr">
        <is>
          <t>Proposed by Professional; target UNSURE</t>
        </is>
      </c>
      <c r="E1520" s="23" t="inlineStr">
        <is>
          <t>None recorded</t>
        </is>
      </c>
      <c r="F1520" s="23" t="inlineStr">
        <is>
          <t>Maya Chen, Owner Project Controls: Earlier professional decision, carried forward</t>
        </is>
      </c>
      <c r="G1520" s="23" t="inlineStr">
        <is>
          <t>Group decision (182 records sharing one decision state), carried forward</t>
        </is>
      </c>
      <c r="H1520" s="23" t="inlineStr">
        <is>
          <t xml:space="preserve">RETAINED / UNSURE; </t>
        </is>
      </c>
      <c r="I1520" s="23" t="inlineStr">
        <is>
          <t>Carried forward</t>
        </is>
      </c>
      <c r="J1520" s="14" t="inlineStr">
        <is>
          <t>08 CROSSWALK</t>
        </is>
      </c>
    </row>
    <row r="1521" ht="64" customHeight="1">
      <c r="A1521" s="23" t="inlineStr">
        <is>
          <t>R1054-v3</t>
        </is>
      </c>
      <c r="B1521" s="23" t="inlineStr">
        <is>
          <t>Contractor Programme / SCH-06-154</t>
        </is>
      </c>
      <c r="C1521" s="23" t="inlineStr">
        <is>
          <t>No explicit source assertion recorded</t>
        </is>
      </c>
      <c r="D1521" s="23" t="inlineStr">
        <is>
          <t>Proposed by Professional; target UNSURE</t>
        </is>
      </c>
      <c r="E1521" s="23" t="inlineStr">
        <is>
          <t>None recorded</t>
        </is>
      </c>
      <c r="F1521" s="23" t="inlineStr">
        <is>
          <t>Maya Chen, Owner Project Controls: Earlier professional decision, carried forward</t>
        </is>
      </c>
      <c r="G1521" s="23" t="inlineStr">
        <is>
          <t>Group decision (182 records sharing one decision state), carried forward</t>
        </is>
      </c>
      <c r="H1521" s="23" t="inlineStr">
        <is>
          <t xml:space="preserve">RETAINED / UNSURE; </t>
        </is>
      </c>
      <c r="I1521" s="23" t="inlineStr">
        <is>
          <t>Carried forward</t>
        </is>
      </c>
      <c r="J1521" s="14" t="inlineStr">
        <is>
          <t>08 CROSSWALK</t>
        </is>
      </c>
    </row>
    <row r="1522" ht="64" customHeight="1">
      <c r="A1522" s="23" t="inlineStr">
        <is>
          <t>R1055-v3</t>
        </is>
      </c>
      <c r="B1522" s="23" t="inlineStr">
        <is>
          <t>Contractor Programme / SCH-06-155</t>
        </is>
      </c>
      <c r="C1522" s="23" t="inlineStr">
        <is>
          <t>No explicit source assertion recorded</t>
        </is>
      </c>
      <c r="D1522" s="23" t="inlineStr">
        <is>
          <t>Proposed by Professional; target UNSURE</t>
        </is>
      </c>
      <c r="E1522" s="23" t="inlineStr">
        <is>
          <t>None recorded</t>
        </is>
      </c>
      <c r="F1522" s="23" t="inlineStr">
        <is>
          <t>Maya Chen, Owner Project Controls: Earlier professional decision, carried forward</t>
        </is>
      </c>
      <c r="G1522" s="23" t="inlineStr">
        <is>
          <t>Group decision (182 records sharing one decision state), carried forward</t>
        </is>
      </c>
      <c r="H1522" s="23" t="inlineStr">
        <is>
          <t xml:space="preserve">RETAINED / UNSURE; </t>
        </is>
      </c>
      <c r="I1522" s="23" t="inlineStr">
        <is>
          <t>Carried forward</t>
        </is>
      </c>
      <c r="J1522" s="14" t="inlineStr">
        <is>
          <t>08 CROSSWALK</t>
        </is>
      </c>
    </row>
    <row r="1523" ht="64" customHeight="1">
      <c r="A1523" s="23" t="inlineStr">
        <is>
          <t>R1056-v3</t>
        </is>
      </c>
      <c r="B1523" s="23" t="inlineStr">
        <is>
          <t>Contractor Programme / SCH-06-156</t>
        </is>
      </c>
      <c r="C1523" s="23" t="inlineStr">
        <is>
          <t>No explicit source assertion recorded</t>
        </is>
      </c>
      <c r="D1523" s="23" t="inlineStr">
        <is>
          <t>Proposed by Professional; target UNSURE</t>
        </is>
      </c>
      <c r="E1523" s="23" t="inlineStr">
        <is>
          <t>None recorded</t>
        </is>
      </c>
      <c r="F1523" s="23" t="inlineStr">
        <is>
          <t>Maya Chen, Owner Project Controls: Earlier professional decision, carried forward</t>
        </is>
      </c>
      <c r="G1523" s="23" t="inlineStr">
        <is>
          <t>Group decision (182 records sharing one decision state), carried forward</t>
        </is>
      </c>
      <c r="H1523" s="23" t="inlineStr">
        <is>
          <t xml:space="preserve">RETAINED / UNSURE; </t>
        </is>
      </c>
      <c r="I1523" s="23" t="inlineStr">
        <is>
          <t>Carried forward</t>
        </is>
      </c>
      <c r="J1523" s="14" t="inlineStr">
        <is>
          <t>08 CROSSWALK</t>
        </is>
      </c>
    </row>
    <row r="1524" ht="64" customHeight="1">
      <c r="A1524" s="23" t="inlineStr">
        <is>
          <t>R1057-v3</t>
        </is>
      </c>
      <c r="B1524" s="23" t="inlineStr">
        <is>
          <t>Contractor Programme / SCH-06-157</t>
        </is>
      </c>
      <c r="C1524" s="23" t="inlineStr">
        <is>
          <t>No explicit source assertion recorded</t>
        </is>
      </c>
      <c r="D1524" s="23" t="inlineStr">
        <is>
          <t>Proposed by Professional; target UNSURE</t>
        </is>
      </c>
      <c r="E1524" s="23" t="inlineStr">
        <is>
          <t>None recorded</t>
        </is>
      </c>
      <c r="F1524" s="23" t="inlineStr">
        <is>
          <t>Maya Chen, Owner Project Controls: Earlier professional decision, carried forward</t>
        </is>
      </c>
      <c r="G1524" s="23" t="inlineStr">
        <is>
          <t>Group decision (182 records sharing one decision state), carried forward</t>
        </is>
      </c>
      <c r="H1524" s="23" t="inlineStr">
        <is>
          <t xml:space="preserve">RETAINED / UNSURE; </t>
        </is>
      </c>
      <c r="I1524" s="23" t="inlineStr">
        <is>
          <t>Carried forward</t>
        </is>
      </c>
      <c r="J1524" s="14" t="inlineStr">
        <is>
          <t>08 CROSSWALK</t>
        </is>
      </c>
    </row>
    <row r="1525" ht="64" customHeight="1">
      <c r="A1525" s="23" t="inlineStr">
        <is>
          <t>R1058-v3</t>
        </is>
      </c>
      <c r="B1525" s="23" t="inlineStr">
        <is>
          <t>Contractor Programme / SCH-06-158</t>
        </is>
      </c>
      <c r="C1525" s="23" t="inlineStr">
        <is>
          <t>No explicit source assertion recorded</t>
        </is>
      </c>
      <c r="D1525" s="23" t="inlineStr">
        <is>
          <t>Proposed by Professional; target UNSURE</t>
        </is>
      </c>
      <c r="E1525" s="23" t="inlineStr">
        <is>
          <t>None recorded</t>
        </is>
      </c>
      <c r="F1525" s="23" t="inlineStr">
        <is>
          <t>Maya Chen, Owner Project Controls: Earlier professional decision, carried forward</t>
        </is>
      </c>
      <c r="G1525" s="23" t="inlineStr">
        <is>
          <t>Group decision (182 records sharing one decision state), carried forward</t>
        </is>
      </c>
      <c r="H1525" s="23" t="inlineStr">
        <is>
          <t xml:space="preserve">RETAINED / UNSURE; </t>
        </is>
      </c>
      <c r="I1525" s="23" t="inlineStr">
        <is>
          <t>Carried forward</t>
        </is>
      </c>
      <c r="J1525" s="14" t="inlineStr">
        <is>
          <t>08 CROSSWALK</t>
        </is>
      </c>
    </row>
    <row r="1526" ht="64" customHeight="1">
      <c r="A1526" s="23" t="inlineStr">
        <is>
          <t>R1059-v3</t>
        </is>
      </c>
      <c r="B1526" s="23" t="inlineStr">
        <is>
          <t>Contractor Programme / SCH-06-159</t>
        </is>
      </c>
      <c r="C1526" s="23" t="inlineStr">
        <is>
          <t>No explicit source assertion recorded</t>
        </is>
      </c>
      <c r="D1526" s="23" t="inlineStr">
        <is>
          <t>Proposed by Professional; target UNSURE</t>
        </is>
      </c>
      <c r="E1526" s="23" t="inlineStr">
        <is>
          <t>None recorded</t>
        </is>
      </c>
      <c r="F1526" s="23" t="inlineStr">
        <is>
          <t>Maya Chen, Owner Project Controls: Earlier professional decision, carried forward</t>
        </is>
      </c>
      <c r="G1526" s="23" t="inlineStr">
        <is>
          <t>Group decision (182 records sharing one decision state), carried forward</t>
        </is>
      </c>
      <c r="H1526" s="23" t="inlineStr">
        <is>
          <t xml:space="preserve">RETAINED / UNSURE; </t>
        </is>
      </c>
      <c r="I1526" s="23" t="inlineStr">
        <is>
          <t>Carried forward</t>
        </is>
      </c>
      <c r="J1526" s="14" t="inlineStr">
        <is>
          <t>08 CROSSWALK</t>
        </is>
      </c>
    </row>
    <row r="1527" ht="64" customHeight="1">
      <c r="A1527" s="23" t="inlineStr">
        <is>
          <t>R1060-v3</t>
        </is>
      </c>
      <c r="B1527" s="23" t="inlineStr">
        <is>
          <t>Contractor Programme / SCH-06-160</t>
        </is>
      </c>
      <c r="C1527" s="23" t="inlineStr">
        <is>
          <t>No explicit source assertion recorded</t>
        </is>
      </c>
      <c r="D1527" s="23" t="inlineStr">
        <is>
          <t>Proposed by Professional; target UNSURE</t>
        </is>
      </c>
      <c r="E1527" s="23" t="inlineStr">
        <is>
          <t>None recorded</t>
        </is>
      </c>
      <c r="F1527" s="23" t="inlineStr">
        <is>
          <t>Maya Chen, Owner Project Controls: Earlier professional decision, carried forward</t>
        </is>
      </c>
      <c r="G1527" s="23" t="inlineStr">
        <is>
          <t>Group decision (182 records sharing one decision state), carried forward</t>
        </is>
      </c>
      <c r="H1527" s="23" t="inlineStr">
        <is>
          <t xml:space="preserve">RETAINED / UNSURE; </t>
        </is>
      </c>
      <c r="I1527" s="23" t="inlineStr">
        <is>
          <t>Carried forward</t>
        </is>
      </c>
      <c r="J1527" s="14" t="inlineStr">
        <is>
          <t>08 CROSSWALK</t>
        </is>
      </c>
    </row>
    <row r="1528" ht="64" customHeight="1">
      <c r="A1528" s="23" t="inlineStr">
        <is>
          <t>R1061-v3</t>
        </is>
      </c>
      <c r="B1528" s="23" t="inlineStr">
        <is>
          <t>Contractor Programme / SCH-06-161</t>
        </is>
      </c>
      <c r="C1528" s="23" t="inlineStr">
        <is>
          <t>No explicit source assertion recorded</t>
        </is>
      </c>
      <c r="D1528" s="23" t="inlineStr">
        <is>
          <t>Proposed by Professional; target UNSURE</t>
        </is>
      </c>
      <c r="E1528" s="23" t="inlineStr">
        <is>
          <t>None recorded</t>
        </is>
      </c>
      <c r="F1528" s="23" t="inlineStr">
        <is>
          <t>Maya Chen, Owner Project Controls: Earlier professional decision, carried forward</t>
        </is>
      </c>
      <c r="G1528" s="23" t="inlineStr">
        <is>
          <t>Group decision (182 records sharing one decision state), carried forward</t>
        </is>
      </c>
      <c r="H1528" s="23" t="inlineStr">
        <is>
          <t xml:space="preserve">RETAINED / UNSURE; </t>
        </is>
      </c>
      <c r="I1528" s="23" t="inlineStr">
        <is>
          <t>Carried forward</t>
        </is>
      </c>
      <c r="J1528" s="14" t="inlineStr">
        <is>
          <t>08 CROSSWALK</t>
        </is>
      </c>
    </row>
    <row r="1529" ht="64" customHeight="1">
      <c r="A1529" s="23" t="inlineStr">
        <is>
          <t>R1062-v3</t>
        </is>
      </c>
      <c r="B1529" s="23" t="inlineStr">
        <is>
          <t>Contractor Programme / SCH-06-162</t>
        </is>
      </c>
      <c r="C1529" s="23" t="inlineStr">
        <is>
          <t>No explicit source assertion recorded</t>
        </is>
      </c>
      <c r="D1529" s="23" t="inlineStr">
        <is>
          <t>Proposed by Professional; target UNSURE</t>
        </is>
      </c>
      <c r="E1529" s="23" t="inlineStr">
        <is>
          <t>None recorded</t>
        </is>
      </c>
      <c r="F1529" s="23" t="inlineStr">
        <is>
          <t>Maya Chen, Owner Project Controls: Earlier professional decision, carried forward</t>
        </is>
      </c>
      <c r="G1529" s="23" t="inlineStr">
        <is>
          <t>Group decision (182 records sharing one decision state), carried forward</t>
        </is>
      </c>
      <c r="H1529" s="23" t="inlineStr">
        <is>
          <t xml:space="preserve">RETAINED / UNSURE; </t>
        </is>
      </c>
      <c r="I1529" s="23" t="inlineStr">
        <is>
          <t>Carried forward</t>
        </is>
      </c>
      <c r="J1529" s="14" t="inlineStr">
        <is>
          <t>08 CROSSWALK</t>
        </is>
      </c>
    </row>
    <row r="1530" ht="64" customHeight="1">
      <c r="A1530" s="23" t="inlineStr">
        <is>
          <t>R1063-v3</t>
        </is>
      </c>
      <c r="B1530" s="23" t="inlineStr">
        <is>
          <t>Contractor Programme / SCH-06-163</t>
        </is>
      </c>
      <c r="C1530" s="23" t="inlineStr">
        <is>
          <t>No explicit source assertion recorded</t>
        </is>
      </c>
      <c r="D1530" s="23" t="inlineStr">
        <is>
          <t>Proposed by Professional; target UNSURE</t>
        </is>
      </c>
      <c r="E1530" s="23" t="inlineStr">
        <is>
          <t>None recorded</t>
        </is>
      </c>
      <c r="F1530" s="23" t="inlineStr">
        <is>
          <t>Maya Chen, Owner Project Controls: Earlier professional decision, carried forward</t>
        </is>
      </c>
      <c r="G1530" s="23" t="inlineStr">
        <is>
          <t>Group decision (182 records sharing one decision state), carried forward</t>
        </is>
      </c>
      <c r="H1530" s="23" t="inlineStr">
        <is>
          <t xml:space="preserve">RETAINED / UNSURE; </t>
        </is>
      </c>
      <c r="I1530" s="23" t="inlineStr">
        <is>
          <t>Carried forward</t>
        </is>
      </c>
      <c r="J1530" s="14" t="inlineStr">
        <is>
          <t>08 CROSSWALK</t>
        </is>
      </c>
    </row>
    <row r="1531" ht="64" customHeight="1">
      <c r="A1531" s="23" t="inlineStr">
        <is>
          <t>R1064-v3</t>
        </is>
      </c>
      <c r="B1531" s="23" t="inlineStr">
        <is>
          <t>Contractor Programme / SCH-06-164</t>
        </is>
      </c>
      <c r="C1531" s="23" t="inlineStr">
        <is>
          <t>No explicit source assertion recorded</t>
        </is>
      </c>
      <c r="D1531" s="23" t="inlineStr">
        <is>
          <t>Proposed by Professional; target UNSURE</t>
        </is>
      </c>
      <c r="E1531" s="23" t="inlineStr">
        <is>
          <t>None recorded</t>
        </is>
      </c>
      <c r="F1531" s="23" t="inlineStr">
        <is>
          <t>Maya Chen, Owner Project Controls: Earlier professional decision, carried forward</t>
        </is>
      </c>
      <c r="G1531" s="23" t="inlineStr">
        <is>
          <t>Group decision (182 records sharing one decision state), carried forward</t>
        </is>
      </c>
      <c r="H1531" s="23" t="inlineStr">
        <is>
          <t xml:space="preserve">RETAINED / UNSURE; </t>
        </is>
      </c>
      <c r="I1531" s="23" t="inlineStr">
        <is>
          <t>Carried forward</t>
        </is>
      </c>
      <c r="J1531" s="14" t="inlineStr">
        <is>
          <t>08 CROSSWALK</t>
        </is>
      </c>
    </row>
    <row r="1532" ht="64" customHeight="1">
      <c r="A1532" s="23" t="inlineStr">
        <is>
          <t>R1065-v3</t>
        </is>
      </c>
      <c r="B1532" s="23" t="inlineStr">
        <is>
          <t>Contractor Programme / SCH-06-165</t>
        </is>
      </c>
      <c r="C1532" s="23" t="inlineStr">
        <is>
          <t>No explicit source assertion recorded</t>
        </is>
      </c>
      <c r="D1532" s="23" t="inlineStr">
        <is>
          <t>Proposed by Professional; target UNSURE</t>
        </is>
      </c>
      <c r="E1532" s="23" t="inlineStr">
        <is>
          <t>None recorded</t>
        </is>
      </c>
      <c r="F1532" s="23" t="inlineStr">
        <is>
          <t>Maya Chen, Owner Project Controls: Earlier professional decision, carried forward</t>
        </is>
      </c>
      <c r="G1532" s="23" t="inlineStr">
        <is>
          <t>Group decision (182 records sharing one decision state), carried forward</t>
        </is>
      </c>
      <c r="H1532" s="23" t="inlineStr">
        <is>
          <t xml:space="preserve">RETAINED / UNSURE; </t>
        </is>
      </c>
      <c r="I1532" s="23" t="inlineStr">
        <is>
          <t>Carried forward</t>
        </is>
      </c>
      <c r="J1532" s="14" t="inlineStr">
        <is>
          <t>08 CROSSWALK</t>
        </is>
      </c>
    </row>
    <row r="1533" ht="64" customHeight="1">
      <c r="A1533" s="23" t="inlineStr">
        <is>
          <t>R1066-v3</t>
        </is>
      </c>
      <c r="B1533" s="23" t="inlineStr">
        <is>
          <t>Contractor Programme / SCH-06-166</t>
        </is>
      </c>
      <c r="C1533" s="23" t="inlineStr">
        <is>
          <t>No explicit source assertion recorded</t>
        </is>
      </c>
      <c r="D1533" s="23" t="inlineStr">
        <is>
          <t>Proposed by Professional; target UNSURE</t>
        </is>
      </c>
      <c r="E1533" s="23" t="inlineStr">
        <is>
          <t>None recorded</t>
        </is>
      </c>
      <c r="F1533" s="23" t="inlineStr">
        <is>
          <t>Maya Chen, Owner Project Controls: Earlier professional decision, carried forward</t>
        </is>
      </c>
      <c r="G1533" s="23" t="inlineStr">
        <is>
          <t>Group decision (182 records sharing one decision state), carried forward</t>
        </is>
      </c>
      <c r="H1533" s="23" t="inlineStr">
        <is>
          <t xml:space="preserve">RETAINED / UNSURE; </t>
        </is>
      </c>
      <c r="I1533" s="23" t="inlineStr">
        <is>
          <t>Carried forward</t>
        </is>
      </c>
      <c r="J1533" s="14" t="inlineStr">
        <is>
          <t>08 CROSSWALK</t>
        </is>
      </c>
    </row>
    <row r="1534" ht="64" customHeight="1">
      <c r="A1534" s="23" t="inlineStr">
        <is>
          <t>R1067-v3</t>
        </is>
      </c>
      <c r="B1534" s="23" t="inlineStr">
        <is>
          <t>Contractor Programme / SCH-06-167</t>
        </is>
      </c>
      <c r="C1534" s="23" t="inlineStr">
        <is>
          <t>No explicit source assertion recorded</t>
        </is>
      </c>
      <c r="D1534" s="23" t="inlineStr">
        <is>
          <t>Proposed by Professional; target UNSURE</t>
        </is>
      </c>
      <c r="E1534" s="23" t="inlineStr">
        <is>
          <t>None recorded</t>
        </is>
      </c>
      <c r="F1534" s="23" t="inlineStr">
        <is>
          <t>Maya Chen, Owner Project Controls: Earlier professional decision, carried forward</t>
        </is>
      </c>
      <c r="G1534" s="23" t="inlineStr">
        <is>
          <t>Group decision (182 records sharing one decision state), carried forward</t>
        </is>
      </c>
      <c r="H1534" s="23" t="inlineStr">
        <is>
          <t xml:space="preserve">RETAINED / UNSURE; </t>
        </is>
      </c>
      <c r="I1534" s="23" t="inlineStr">
        <is>
          <t>Carried forward</t>
        </is>
      </c>
      <c r="J1534" s="14" t="inlineStr">
        <is>
          <t>08 CROSSWALK</t>
        </is>
      </c>
    </row>
    <row r="1535" ht="64" customHeight="1">
      <c r="A1535" s="23" t="inlineStr">
        <is>
          <t>R1068-v3</t>
        </is>
      </c>
      <c r="B1535" s="23" t="inlineStr">
        <is>
          <t>Contractor Programme / SCH-06-168</t>
        </is>
      </c>
      <c r="C1535" s="23" t="inlineStr">
        <is>
          <t>No explicit source assertion recorded</t>
        </is>
      </c>
      <c r="D1535" s="23" t="inlineStr">
        <is>
          <t>Proposed by Professional; target UNSURE</t>
        </is>
      </c>
      <c r="E1535" s="23" t="inlineStr">
        <is>
          <t>None recorded</t>
        </is>
      </c>
      <c r="F1535" s="23" t="inlineStr">
        <is>
          <t>Maya Chen, Owner Project Controls: Earlier professional decision, carried forward</t>
        </is>
      </c>
      <c r="G1535" s="23" t="inlineStr">
        <is>
          <t>Group decision (182 records sharing one decision state), carried forward</t>
        </is>
      </c>
      <c r="H1535" s="23" t="inlineStr">
        <is>
          <t xml:space="preserve">RETAINED / UNSURE; </t>
        </is>
      </c>
      <c r="I1535" s="23" t="inlineStr">
        <is>
          <t>Carried forward</t>
        </is>
      </c>
      <c r="J1535" s="14" t="inlineStr">
        <is>
          <t>08 CROSSWALK</t>
        </is>
      </c>
    </row>
    <row r="1536" ht="64" customHeight="1">
      <c r="A1536" s="23" t="inlineStr">
        <is>
          <t>R1069-v3</t>
        </is>
      </c>
      <c r="B1536" s="23" t="inlineStr">
        <is>
          <t>Contractor Programme / SCH-06-169</t>
        </is>
      </c>
      <c r="C1536" s="23" t="inlineStr">
        <is>
          <t>No explicit source assertion recorded</t>
        </is>
      </c>
      <c r="D1536" s="23" t="inlineStr">
        <is>
          <t>Proposed by Professional; target UNSURE</t>
        </is>
      </c>
      <c r="E1536" s="23" t="inlineStr">
        <is>
          <t>None recorded</t>
        </is>
      </c>
      <c r="F1536" s="23" t="inlineStr">
        <is>
          <t>Maya Chen, Owner Project Controls: Earlier professional decision, carried forward</t>
        </is>
      </c>
      <c r="G1536" s="23" t="inlineStr">
        <is>
          <t>Group decision (182 records sharing one decision state), carried forward</t>
        </is>
      </c>
      <c r="H1536" s="23" t="inlineStr">
        <is>
          <t xml:space="preserve">RETAINED / UNSURE; </t>
        </is>
      </c>
      <c r="I1536" s="23" t="inlineStr">
        <is>
          <t>Carried forward</t>
        </is>
      </c>
      <c r="J1536" s="14" t="inlineStr">
        <is>
          <t>08 CROSSWALK</t>
        </is>
      </c>
    </row>
    <row r="1537" ht="64" customHeight="1">
      <c r="A1537" s="23" t="inlineStr">
        <is>
          <t>R1070-v3</t>
        </is>
      </c>
      <c r="B1537" s="23" t="inlineStr">
        <is>
          <t>Contractor Programme / SCH-06-170</t>
        </is>
      </c>
      <c r="C1537" s="23" t="inlineStr">
        <is>
          <t>No explicit source assertion recorded</t>
        </is>
      </c>
      <c r="D1537" s="23" t="inlineStr">
        <is>
          <t>Proposed by Professional; target UNSURE</t>
        </is>
      </c>
      <c r="E1537" s="23" t="inlineStr">
        <is>
          <t>None recorded</t>
        </is>
      </c>
      <c r="F1537" s="23" t="inlineStr">
        <is>
          <t>Maya Chen, Owner Project Controls: Earlier professional decision, carried forward</t>
        </is>
      </c>
      <c r="G1537" s="23" t="inlineStr">
        <is>
          <t>Group decision (182 records sharing one decision state), carried forward</t>
        </is>
      </c>
      <c r="H1537" s="23" t="inlineStr">
        <is>
          <t xml:space="preserve">RETAINED / UNSURE; </t>
        </is>
      </c>
      <c r="I1537" s="23" t="inlineStr">
        <is>
          <t>Carried forward</t>
        </is>
      </c>
      <c r="J1537" s="14" t="inlineStr">
        <is>
          <t>08 CROSSWALK</t>
        </is>
      </c>
    </row>
    <row r="1538" ht="64" customHeight="1">
      <c r="A1538" s="23" t="inlineStr">
        <is>
          <t>R1071-v3</t>
        </is>
      </c>
      <c r="B1538" s="23" t="inlineStr">
        <is>
          <t>Contractor Programme / SCH-06-171</t>
        </is>
      </c>
      <c r="C1538" s="23" t="inlineStr">
        <is>
          <t>No explicit source assertion recorded</t>
        </is>
      </c>
      <c r="D1538" s="23" t="inlineStr">
        <is>
          <t>Proposed by Professional; target UNSURE</t>
        </is>
      </c>
      <c r="E1538" s="23" t="inlineStr">
        <is>
          <t>None recorded</t>
        </is>
      </c>
      <c r="F1538" s="23" t="inlineStr">
        <is>
          <t>Maya Chen, Owner Project Controls: Earlier professional decision, carried forward</t>
        </is>
      </c>
      <c r="G1538" s="23" t="inlineStr">
        <is>
          <t>Group decision (182 records sharing one decision state), carried forward</t>
        </is>
      </c>
      <c r="H1538" s="23" t="inlineStr">
        <is>
          <t xml:space="preserve">RETAINED / UNSURE; </t>
        </is>
      </c>
      <c r="I1538" s="23" t="inlineStr">
        <is>
          <t>Carried forward</t>
        </is>
      </c>
      <c r="J1538" s="14" t="inlineStr">
        <is>
          <t>08 CROSSWALK</t>
        </is>
      </c>
    </row>
    <row r="1539" ht="64" customHeight="1">
      <c r="A1539" s="23" t="inlineStr">
        <is>
          <t>R1072-v3</t>
        </is>
      </c>
      <c r="B1539" s="23" t="inlineStr">
        <is>
          <t>Contractor Programme / SCH-06-172</t>
        </is>
      </c>
      <c r="C1539" s="23" t="inlineStr">
        <is>
          <t>No explicit source assertion recorded</t>
        </is>
      </c>
      <c r="D1539" s="23" t="inlineStr">
        <is>
          <t>Proposed by Professional; target UNSURE</t>
        </is>
      </c>
      <c r="E1539" s="23" t="inlineStr">
        <is>
          <t>None recorded</t>
        </is>
      </c>
      <c r="F1539" s="23" t="inlineStr">
        <is>
          <t>Maya Chen, Owner Project Controls: Earlier professional decision, carried forward</t>
        </is>
      </c>
      <c r="G1539" s="23" t="inlineStr">
        <is>
          <t>Group decision (182 records sharing one decision state), carried forward</t>
        </is>
      </c>
      <c r="H1539" s="23" t="inlineStr">
        <is>
          <t xml:space="preserve">RETAINED / UNSURE; </t>
        </is>
      </c>
      <c r="I1539" s="23" t="inlineStr">
        <is>
          <t>Carried forward</t>
        </is>
      </c>
      <c r="J1539" s="14" t="inlineStr">
        <is>
          <t>08 CROSSWALK</t>
        </is>
      </c>
    </row>
    <row r="1540" ht="64" customHeight="1">
      <c r="A1540" s="23" t="inlineStr">
        <is>
          <t>R1073-v3</t>
        </is>
      </c>
      <c r="B1540" s="23" t="inlineStr">
        <is>
          <t>Contractor Programme / SCH-06-173</t>
        </is>
      </c>
      <c r="C1540" s="23" t="inlineStr">
        <is>
          <t>No explicit source assertion recorded</t>
        </is>
      </c>
      <c r="D1540" s="23" t="inlineStr">
        <is>
          <t>Proposed by Professional; target UNSURE</t>
        </is>
      </c>
      <c r="E1540" s="23" t="inlineStr">
        <is>
          <t>None recorded</t>
        </is>
      </c>
      <c r="F1540" s="23" t="inlineStr">
        <is>
          <t>Maya Chen, Owner Project Controls: Earlier professional decision, carried forward</t>
        </is>
      </c>
      <c r="G1540" s="23" t="inlineStr">
        <is>
          <t>Group decision (182 records sharing one decision state), carried forward</t>
        </is>
      </c>
      <c r="H1540" s="23" t="inlineStr">
        <is>
          <t xml:space="preserve">RETAINED / UNSURE; </t>
        </is>
      </c>
      <c r="I1540" s="23" t="inlineStr">
        <is>
          <t>Carried forward</t>
        </is>
      </c>
      <c r="J1540" s="14" t="inlineStr">
        <is>
          <t>08 CROSSWALK</t>
        </is>
      </c>
    </row>
    <row r="1541" ht="64" customHeight="1">
      <c r="A1541" s="23" t="inlineStr">
        <is>
          <t>R1074-v3</t>
        </is>
      </c>
      <c r="B1541" s="23" t="inlineStr">
        <is>
          <t>Contractor Programme / SCH-06-174</t>
        </is>
      </c>
      <c r="C1541" s="23" t="inlineStr">
        <is>
          <t>No explicit source assertion recorded</t>
        </is>
      </c>
      <c r="D1541" s="23" t="inlineStr">
        <is>
          <t>Proposed by Professional; target UNSURE</t>
        </is>
      </c>
      <c r="E1541" s="23" t="inlineStr">
        <is>
          <t>None recorded</t>
        </is>
      </c>
      <c r="F1541" s="23" t="inlineStr">
        <is>
          <t>Maya Chen, Owner Project Controls: Earlier professional decision, carried forward</t>
        </is>
      </c>
      <c r="G1541" s="23" t="inlineStr">
        <is>
          <t>Group decision (182 records sharing one decision state), carried forward</t>
        </is>
      </c>
      <c r="H1541" s="23" t="inlineStr">
        <is>
          <t xml:space="preserve">RETAINED / UNSURE; </t>
        </is>
      </c>
      <c r="I1541" s="23" t="inlineStr">
        <is>
          <t>Carried forward</t>
        </is>
      </c>
      <c r="J1541" s="14" t="inlineStr">
        <is>
          <t>08 CROSSWALK</t>
        </is>
      </c>
    </row>
    <row r="1542" ht="64" customHeight="1">
      <c r="A1542" s="23" t="inlineStr">
        <is>
          <t>R1075-v3</t>
        </is>
      </c>
      <c r="B1542" s="23" t="inlineStr">
        <is>
          <t>Contractor Programme / SCH-06-175</t>
        </is>
      </c>
      <c r="C1542" s="23" t="inlineStr">
        <is>
          <t>No explicit source assertion recorded</t>
        </is>
      </c>
      <c r="D1542" s="23" t="inlineStr">
        <is>
          <t>Proposed by Professional; target UNSURE</t>
        </is>
      </c>
      <c r="E1542" s="23" t="inlineStr">
        <is>
          <t>None recorded</t>
        </is>
      </c>
      <c r="F1542" s="23" t="inlineStr">
        <is>
          <t>Maya Chen, Owner Project Controls: Earlier professional decision, carried forward</t>
        </is>
      </c>
      <c r="G1542" s="23" t="inlineStr">
        <is>
          <t>Group decision (182 records sharing one decision state), carried forward</t>
        </is>
      </c>
      <c r="H1542" s="23" t="inlineStr">
        <is>
          <t xml:space="preserve">RETAINED / UNSURE; </t>
        </is>
      </c>
      <c r="I1542" s="23" t="inlineStr">
        <is>
          <t>Carried forward</t>
        </is>
      </c>
      <c r="J1542" s="14" t="inlineStr">
        <is>
          <t>08 CROSSWALK</t>
        </is>
      </c>
    </row>
    <row r="1543" ht="64" customHeight="1">
      <c r="A1543" s="23" t="inlineStr">
        <is>
          <t>R1076-v3</t>
        </is>
      </c>
      <c r="B1543" s="23" t="inlineStr">
        <is>
          <t>Contractor Programme / SCH-06-176</t>
        </is>
      </c>
      <c r="C1543" s="23" t="inlineStr">
        <is>
          <t>No explicit source assertion recorded</t>
        </is>
      </c>
      <c r="D1543" s="23" t="inlineStr">
        <is>
          <t>Proposed by Professional; target UNSURE</t>
        </is>
      </c>
      <c r="E1543" s="23" t="inlineStr">
        <is>
          <t>None recorded</t>
        </is>
      </c>
      <c r="F1543" s="23" t="inlineStr">
        <is>
          <t>Maya Chen, Owner Project Controls: Earlier professional decision, carried forward</t>
        </is>
      </c>
      <c r="G1543" s="23" t="inlineStr">
        <is>
          <t>Group decision (182 records sharing one decision state), carried forward</t>
        </is>
      </c>
      <c r="H1543" s="23" t="inlineStr">
        <is>
          <t xml:space="preserve">RETAINED / UNSURE; </t>
        </is>
      </c>
      <c r="I1543" s="23" t="inlineStr">
        <is>
          <t>Carried forward</t>
        </is>
      </c>
      <c r="J1543" s="14" t="inlineStr">
        <is>
          <t>08 CROSSWALK</t>
        </is>
      </c>
    </row>
    <row r="1544" ht="64" customHeight="1">
      <c r="A1544" s="23" t="inlineStr">
        <is>
          <t>R1077-v3</t>
        </is>
      </c>
      <c r="B1544" s="23" t="inlineStr">
        <is>
          <t>Contractor Programme / SCH-06-177</t>
        </is>
      </c>
      <c r="C1544" s="23" t="inlineStr">
        <is>
          <t>No explicit source assertion recorded</t>
        </is>
      </c>
      <c r="D1544" s="23" t="inlineStr">
        <is>
          <t>Proposed by Professional; target UNSURE</t>
        </is>
      </c>
      <c r="E1544" s="23" t="inlineStr">
        <is>
          <t>None recorded</t>
        </is>
      </c>
      <c r="F1544" s="23" t="inlineStr">
        <is>
          <t>Maya Chen, Owner Project Controls: Earlier professional decision, carried forward</t>
        </is>
      </c>
      <c r="G1544" s="23" t="inlineStr">
        <is>
          <t>Group decision (182 records sharing one decision state), carried forward</t>
        </is>
      </c>
      <c r="H1544" s="23" t="inlineStr">
        <is>
          <t xml:space="preserve">RETAINED / UNSURE; </t>
        </is>
      </c>
      <c r="I1544" s="23" t="inlineStr">
        <is>
          <t>Carried forward</t>
        </is>
      </c>
      <c r="J1544" s="14" t="inlineStr">
        <is>
          <t>08 CROSSWALK</t>
        </is>
      </c>
    </row>
    <row r="1545" ht="64" customHeight="1">
      <c r="A1545" s="23" t="inlineStr">
        <is>
          <t>R1078-v3</t>
        </is>
      </c>
      <c r="B1545" s="23" t="inlineStr">
        <is>
          <t>Contractor Programme / SCH-06-178</t>
        </is>
      </c>
      <c r="C1545" s="23" t="inlineStr">
        <is>
          <t>No explicit source assertion recorded</t>
        </is>
      </c>
      <c r="D1545" s="23" t="inlineStr">
        <is>
          <t>Proposed by Professional; target UNSURE</t>
        </is>
      </c>
      <c r="E1545" s="23" t="inlineStr">
        <is>
          <t>None recorded</t>
        </is>
      </c>
      <c r="F1545" s="23" t="inlineStr">
        <is>
          <t>Maya Chen, Owner Project Controls: Earlier professional decision, carried forward</t>
        </is>
      </c>
      <c r="G1545" s="23" t="inlineStr">
        <is>
          <t>Group decision (182 records sharing one decision state), carried forward</t>
        </is>
      </c>
      <c r="H1545" s="23" t="inlineStr">
        <is>
          <t xml:space="preserve">RETAINED / UNSURE; </t>
        </is>
      </c>
      <c r="I1545" s="23" t="inlineStr">
        <is>
          <t>Carried forward</t>
        </is>
      </c>
      <c r="J1545" s="14" t="inlineStr">
        <is>
          <t>08 CROSSWALK</t>
        </is>
      </c>
    </row>
    <row r="1546" ht="64" customHeight="1">
      <c r="A1546" s="23" t="inlineStr">
        <is>
          <t>R1079-v3</t>
        </is>
      </c>
      <c r="B1546" s="23" t="inlineStr">
        <is>
          <t>Contractor Programme / SCH-06-179</t>
        </is>
      </c>
      <c r="C1546" s="23" t="inlineStr">
        <is>
          <t>No explicit source assertion recorded</t>
        </is>
      </c>
      <c r="D1546" s="23" t="inlineStr">
        <is>
          <t>Proposed by Professional; target UNSURE</t>
        </is>
      </c>
      <c r="E1546" s="23" t="inlineStr">
        <is>
          <t>None recorded</t>
        </is>
      </c>
      <c r="F1546" s="23" t="inlineStr">
        <is>
          <t>Maya Chen, Owner Project Controls: Earlier professional decision, carried forward</t>
        </is>
      </c>
      <c r="G1546" s="23" t="inlineStr">
        <is>
          <t>Group decision (182 records sharing one decision state), carried forward</t>
        </is>
      </c>
      <c r="H1546" s="23" t="inlineStr">
        <is>
          <t xml:space="preserve">RETAINED / UNSURE; </t>
        </is>
      </c>
      <c r="I1546" s="23" t="inlineStr">
        <is>
          <t>Carried forward</t>
        </is>
      </c>
      <c r="J1546" s="14" t="inlineStr">
        <is>
          <t>08 CROSSWALK</t>
        </is>
      </c>
    </row>
    <row r="1547" ht="64" customHeight="1">
      <c r="A1547" s="23" t="inlineStr">
        <is>
          <t>R1080-v3</t>
        </is>
      </c>
      <c r="B1547" s="23" t="inlineStr">
        <is>
          <t>Contractor Programme / SCH-06-180</t>
        </is>
      </c>
      <c r="C1547" s="23" t="inlineStr">
        <is>
          <t>No explicit source assertion recorded</t>
        </is>
      </c>
      <c r="D1547" s="23" t="inlineStr">
        <is>
          <t>Proposed by Professional; target UNSURE</t>
        </is>
      </c>
      <c r="E1547" s="23" t="inlineStr">
        <is>
          <t>None recorded</t>
        </is>
      </c>
      <c r="F1547" s="23" t="inlineStr">
        <is>
          <t>Maya Chen, Owner Project Controls: Earlier professional decision, carried forward</t>
        </is>
      </c>
      <c r="G1547" s="23" t="inlineStr">
        <is>
          <t>Group decision (182 records sharing one decision state), carried forward</t>
        </is>
      </c>
      <c r="H1547" s="23" t="inlineStr">
        <is>
          <t xml:space="preserve">RETAINED / UNSURE; </t>
        </is>
      </c>
      <c r="I1547" s="23" t="inlineStr">
        <is>
          <t>Carried forward</t>
        </is>
      </c>
      <c r="J1547" s="14" t="inlineStr">
        <is>
          <t>08 CROSSWALK</t>
        </is>
      </c>
    </row>
    <row r="1548" ht="49" customHeight="1">
      <c r="A1548" s="23" t="inlineStr">
        <is>
          <t>R1246-v3</t>
        </is>
      </c>
      <c r="B1548" s="23" t="inlineStr">
        <is>
          <t>Cost &amp; Forecast Control Accounts / CST-03-004</t>
        </is>
      </c>
      <c r="C1548" s="23" t="inlineStr">
        <is>
          <t>Cost Account = CA-3004</t>
        </is>
      </c>
      <c r="D1548" s="23" t="inlineStr">
        <is>
          <t>Proposed by Professional; target UNSURE</t>
        </is>
      </c>
      <c r="E1548" s="23" t="inlineStr">
        <is>
          <t>None recorded</t>
        </is>
      </c>
      <c r="F1548" s="23" t="inlineStr">
        <is>
          <t>Maya Chen, Owner Project Controls: Earlier professional decision, carried forward</t>
        </is>
      </c>
      <c r="G1548" s="23" t="inlineStr">
        <is>
          <t>Group decision (81 records sharing one decision state), carried forward</t>
        </is>
      </c>
      <c r="H1548" s="23" t="inlineStr">
        <is>
          <t xml:space="preserve">RETAINED / UNSURE; </t>
        </is>
      </c>
      <c r="I1548" s="23" t="inlineStr">
        <is>
          <t>Carried forward</t>
        </is>
      </c>
      <c r="J1548" s="14" t="inlineStr">
        <is>
          <t>08 CROSSWALK</t>
        </is>
      </c>
    </row>
    <row r="1549" ht="49" customHeight="1">
      <c r="A1549" s="23" t="inlineStr">
        <is>
          <t>R1403-v3</t>
        </is>
      </c>
      <c r="B1549" s="23" t="inlineStr">
        <is>
          <t>Cost &amp; Forecast Control Accounts / CST-05-001</t>
        </is>
      </c>
      <c r="C1549" s="23" t="inlineStr">
        <is>
          <t>Cost Account = CA-5001</t>
        </is>
      </c>
      <c r="D1549" s="23" t="inlineStr">
        <is>
          <t>Proposed by Professional; target UNSURE</t>
        </is>
      </c>
      <c r="E1549" s="23" t="inlineStr">
        <is>
          <t>None recorded</t>
        </is>
      </c>
      <c r="F1549" s="23" t="inlineStr">
        <is>
          <t>Maya Chen, Owner Project Controls: Earlier professional decision, carried forward</t>
        </is>
      </c>
      <c r="G1549" s="23" t="inlineStr">
        <is>
          <t>Group decision (81 records sharing one decision state), carried forward</t>
        </is>
      </c>
      <c r="H1549" s="23" t="inlineStr">
        <is>
          <t xml:space="preserve">RETAINED / UNSURE; </t>
        </is>
      </c>
      <c r="I1549" s="23" t="inlineStr">
        <is>
          <t>Carried forward</t>
        </is>
      </c>
      <c r="J1549" s="14" t="inlineStr">
        <is>
          <t>08 CROSSWALK</t>
        </is>
      </c>
    </row>
    <row r="1550" ht="49" customHeight="1">
      <c r="A1550" s="23" t="inlineStr">
        <is>
          <t>R1404-v3</t>
        </is>
      </c>
      <c r="B1550" s="23" t="inlineStr">
        <is>
          <t>Cost &amp; Forecast Control Accounts / CST-05-002</t>
        </is>
      </c>
      <c r="C1550" s="23" t="inlineStr">
        <is>
          <t>Cost Account = CA-5002</t>
        </is>
      </c>
      <c r="D1550" s="23" t="inlineStr">
        <is>
          <t>Proposed by Professional; target UNSURE</t>
        </is>
      </c>
      <c r="E1550" s="23" t="inlineStr">
        <is>
          <t>None recorded</t>
        </is>
      </c>
      <c r="F1550" s="23" t="inlineStr">
        <is>
          <t>Maya Chen, Owner Project Controls: Earlier professional decision, carried forward</t>
        </is>
      </c>
      <c r="G1550" s="23" t="inlineStr">
        <is>
          <t>Group decision (81 records sharing one decision state), carried forward</t>
        </is>
      </c>
      <c r="H1550" s="23" t="inlineStr">
        <is>
          <t xml:space="preserve">RETAINED / UNSURE; </t>
        </is>
      </c>
      <c r="I1550" s="23" t="inlineStr">
        <is>
          <t>Carried forward</t>
        </is>
      </c>
      <c r="J1550" s="14" t="inlineStr">
        <is>
          <t>08 CROSSWALK</t>
        </is>
      </c>
    </row>
    <row r="1551" ht="49" customHeight="1">
      <c r="A1551" s="23" t="inlineStr">
        <is>
          <t>R1405-v3</t>
        </is>
      </c>
      <c r="B1551" s="23" t="inlineStr">
        <is>
          <t>Cost &amp; Forecast Control Accounts / CST-05-003</t>
        </is>
      </c>
      <c r="C1551" s="23" t="inlineStr">
        <is>
          <t>Cost Account = CA-5003</t>
        </is>
      </c>
      <c r="D1551" s="23" t="inlineStr">
        <is>
          <t>Proposed by Professional; target UNSURE</t>
        </is>
      </c>
      <c r="E1551" s="23" t="inlineStr">
        <is>
          <t>None recorded</t>
        </is>
      </c>
      <c r="F1551" s="23" t="inlineStr">
        <is>
          <t>Maya Chen, Owner Project Controls: Earlier professional decision, carried forward</t>
        </is>
      </c>
      <c r="G1551" s="23" t="inlineStr">
        <is>
          <t>Group decision (81 records sharing one decision state), carried forward</t>
        </is>
      </c>
      <c r="H1551" s="23" t="inlineStr">
        <is>
          <t xml:space="preserve">RETAINED / UNSURE; </t>
        </is>
      </c>
      <c r="I1551" s="23" t="inlineStr">
        <is>
          <t>Carried forward</t>
        </is>
      </c>
      <c r="J1551" s="14" t="inlineStr">
        <is>
          <t>08 CROSSWALK</t>
        </is>
      </c>
    </row>
    <row r="1552" ht="49" customHeight="1">
      <c r="A1552" s="23" t="inlineStr">
        <is>
          <t>R1406-v3</t>
        </is>
      </c>
      <c r="B1552" s="23" t="inlineStr">
        <is>
          <t>Cost &amp; Forecast Control Accounts / CST-05-004</t>
        </is>
      </c>
      <c r="C1552" s="23" t="inlineStr">
        <is>
          <t>Cost Account = CA-5004</t>
        </is>
      </c>
      <c r="D1552" s="23" t="inlineStr">
        <is>
          <t>Proposed by Professional; target UNSURE</t>
        </is>
      </c>
      <c r="E1552" s="23" t="inlineStr">
        <is>
          <t>None recorded</t>
        </is>
      </c>
      <c r="F1552" s="23" t="inlineStr">
        <is>
          <t>Maya Chen, Owner Project Controls: Earlier professional decision, carried forward</t>
        </is>
      </c>
      <c r="G1552" s="23" t="inlineStr">
        <is>
          <t>Group decision (81 records sharing one decision state), carried forward</t>
        </is>
      </c>
      <c r="H1552" s="23" t="inlineStr">
        <is>
          <t xml:space="preserve">RETAINED / UNSURE; </t>
        </is>
      </c>
      <c r="I1552" s="23" t="inlineStr">
        <is>
          <t>Carried forward</t>
        </is>
      </c>
      <c r="J1552" s="14" t="inlineStr">
        <is>
          <t>08 CROSSWALK</t>
        </is>
      </c>
    </row>
    <row r="1553" ht="49" customHeight="1">
      <c r="A1553" s="23" t="inlineStr">
        <is>
          <t>R1407-v3</t>
        </is>
      </c>
      <c r="B1553" s="23" t="inlineStr">
        <is>
          <t>Cost &amp; Forecast Control Accounts / CST-05-005</t>
        </is>
      </c>
      <c r="C1553" s="23" t="inlineStr">
        <is>
          <t>Cost Account = CA-5005</t>
        </is>
      </c>
      <c r="D1553" s="23" t="inlineStr">
        <is>
          <t>Proposed by Professional; target UNSURE</t>
        </is>
      </c>
      <c r="E1553" s="23" t="inlineStr">
        <is>
          <t>None recorded</t>
        </is>
      </c>
      <c r="F1553" s="23" t="inlineStr">
        <is>
          <t>Maya Chen, Owner Project Controls: Earlier professional decision, carried forward</t>
        </is>
      </c>
      <c r="G1553" s="23" t="inlineStr">
        <is>
          <t>Group decision (81 records sharing one decision state), carried forward</t>
        </is>
      </c>
      <c r="H1553" s="23" t="inlineStr">
        <is>
          <t xml:space="preserve">RETAINED / UNSURE; </t>
        </is>
      </c>
      <c r="I1553" s="23" t="inlineStr">
        <is>
          <t>Carried forward</t>
        </is>
      </c>
      <c r="J1553" s="14" t="inlineStr">
        <is>
          <t>08 CROSSWALK</t>
        </is>
      </c>
    </row>
    <row r="1554" ht="49" customHeight="1">
      <c r="A1554" s="23" t="inlineStr">
        <is>
          <t>R1408-v3</t>
        </is>
      </c>
      <c r="B1554" s="23" t="inlineStr">
        <is>
          <t>Cost &amp; Forecast Control Accounts / CST-05-006</t>
        </is>
      </c>
      <c r="C1554" s="23" t="inlineStr">
        <is>
          <t>Cost Account = CA-5006</t>
        </is>
      </c>
      <c r="D1554" s="23" t="inlineStr">
        <is>
          <t>Proposed by Professional; target UNSURE</t>
        </is>
      </c>
      <c r="E1554" s="23" t="inlineStr">
        <is>
          <t>None recorded</t>
        </is>
      </c>
      <c r="F1554" s="23" t="inlineStr">
        <is>
          <t>Maya Chen, Owner Project Controls: Earlier professional decision, carried forward</t>
        </is>
      </c>
      <c r="G1554" s="23" t="inlineStr">
        <is>
          <t>Group decision (81 records sharing one decision state), carried forward</t>
        </is>
      </c>
      <c r="H1554" s="23" t="inlineStr">
        <is>
          <t xml:space="preserve">RETAINED / UNSURE; </t>
        </is>
      </c>
      <c r="I1554" s="23" t="inlineStr">
        <is>
          <t>Carried forward</t>
        </is>
      </c>
      <c r="J1554" s="14" t="inlineStr">
        <is>
          <t>08 CROSSWALK</t>
        </is>
      </c>
    </row>
    <row r="1555" ht="49" customHeight="1">
      <c r="A1555" s="23" t="inlineStr">
        <is>
          <t>R1409-v3</t>
        </is>
      </c>
      <c r="B1555" s="23" t="inlineStr">
        <is>
          <t>Cost &amp; Forecast Control Accounts / CST-05-007</t>
        </is>
      </c>
      <c r="C1555" s="23" t="inlineStr">
        <is>
          <t>Cost Account = CA-5007</t>
        </is>
      </c>
      <c r="D1555" s="23" t="inlineStr">
        <is>
          <t>Proposed by Professional; target UNSURE</t>
        </is>
      </c>
      <c r="E1555" s="23" t="inlineStr">
        <is>
          <t>None recorded</t>
        </is>
      </c>
      <c r="F1555" s="23" t="inlineStr">
        <is>
          <t>Maya Chen, Owner Project Controls: Earlier professional decision, carried forward</t>
        </is>
      </c>
      <c r="G1555" s="23" t="inlineStr">
        <is>
          <t>Group decision (81 records sharing one decision state), carried forward</t>
        </is>
      </c>
      <c r="H1555" s="23" t="inlineStr">
        <is>
          <t xml:space="preserve">RETAINED / UNSURE; </t>
        </is>
      </c>
      <c r="I1555" s="23" t="inlineStr">
        <is>
          <t>Carried forward</t>
        </is>
      </c>
      <c r="J1555" s="14" t="inlineStr">
        <is>
          <t>08 CROSSWALK</t>
        </is>
      </c>
    </row>
    <row r="1556" ht="49" customHeight="1">
      <c r="A1556" s="23" t="inlineStr">
        <is>
          <t>R1410-v3</t>
        </is>
      </c>
      <c r="B1556" s="23" t="inlineStr">
        <is>
          <t>Cost &amp; Forecast Control Accounts / CST-05-008</t>
        </is>
      </c>
      <c r="C1556" s="23" t="inlineStr">
        <is>
          <t>Cost Account = CA-5008</t>
        </is>
      </c>
      <c r="D1556" s="23" t="inlineStr">
        <is>
          <t>Proposed by Professional; target UNSURE</t>
        </is>
      </c>
      <c r="E1556" s="23" t="inlineStr">
        <is>
          <t>None recorded</t>
        </is>
      </c>
      <c r="F1556" s="23" t="inlineStr">
        <is>
          <t>Maya Chen, Owner Project Controls: Earlier professional decision, carried forward</t>
        </is>
      </c>
      <c r="G1556" s="23" t="inlineStr">
        <is>
          <t>Group decision (81 records sharing one decision state), carried forward</t>
        </is>
      </c>
      <c r="H1556" s="23" t="inlineStr">
        <is>
          <t xml:space="preserve">RETAINED / UNSURE; </t>
        </is>
      </c>
      <c r="I1556" s="23" t="inlineStr">
        <is>
          <t>Carried forward</t>
        </is>
      </c>
      <c r="J1556" s="14" t="inlineStr">
        <is>
          <t>08 CROSSWALK</t>
        </is>
      </c>
    </row>
    <row r="1557" ht="49" customHeight="1">
      <c r="A1557" s="23" t="inlineStr">
        <is>
          <t>R1411-v3</t>
        </is>
      </c>
      <c r="B1557" s="23" t="inlineStr">
        <is>
          <t>Cost &amp; Forecast Control Accounts / CST-05-009</t>
        </is>
      </c>
      <c r="C1557" s="23" t="inlineStr">
        <is>
          <t>Cost Account = CA-5009</t>
        </is>
      </c>
      <c r="D1557" s="23" t="inlineStr">
        <is>
          <t>Proposed by Professional; target UNSURE</t>
        </is>
      </c>
      <c r="E1557" s="23" t="inlineStr">
        <is>
          <t>None recorded</t>
        </is>
      </c>
      <c r="F1557" s="23" t="inlineStr">
        <is>
          <t>Maya Chen, Owner Project Controls: Earlier professional decision, carried forward</t>
        </is>
      </c>
      <c r="G1557" s="23" t="inlineStr">
        <is>
          <t>Group decision (81 records sharing one decision state), carried forward</t>
        </is>
      </c>
      <c r="H1557" s="23" t="inlineStr">
        <is>
          <t xml:space="preserve">RETAINED / UNSURE; </t>
        </is>
      </c>
      <c r="I1557" s="23" t="inlineStr">
        <is>
          <t>Carried forward</t>
        </is>
      </c>
      <c r="J1557" s="14" t="inlineStr">
        <is>
          <t>08 CROSSWALK</t>
        </is>
      </c>
    </row>
    <row r="1558" ht="49" customHeight="1">
      <c r="A1558" s="23" t="inlineStr">
        <is>
          <t>R1412-v3</t>
        </is>
      </c>
      <c r="B1558" s="23" t="inlineStr">
        <is>
          <t>Cost &amp; Forecast Control Accounts / CST-05-010</t>
        </is>
      </c>
      <c r="C1558" s="23" t="inlineStr">
        <is>
          <t>Cost Account = CA-5010</t>
        </is>
      </c>
      <c r="D1558" s="23" t="inlineStr">
        <is>
          <t>Proposed by Professional; target UNSURE</t>
        </is>
      </c>
      <c r="E1558" s="23" t="inlineStr">
        <is>
          <t>None recorded</t>
        </is>
      </c>
      <c r="F1558" s="23" t="inlineStr">
        <is>
          <t>Maya Chen, Owner Project Controls: Earlier professional decision, carried forward</t>
        </is>
      </c>
      <c r="G1558" s="23" t="inlineStr">
        <is>
          <t>Group decision (81 records sharing one decision state), carried forward</t>
        </is>
      </c>
      <c r="H1558" s="23" t="inlineStr">
        <is>
          <t xml:space="preserve">RETAINED / UNSURE; </t>
        </is>
      </c>
      <c r="I1558" s="23" t="inlineStr">
        <is>
          <t>Carried forward</t>
        </is>
      </c>
      <c r="J1558" s="14" t="inlineStr">
        <is>
          <t>08 CROSSWALK</t>
        </is>
      </c>
    </row>
    <row r="1559" ht="49" customHeight="1">
      <c r="A1559" s="23" t="inlineStr">
        <is>
          <t>R1413-v3</t>
        </is>
      </c>
      <c r="B1559" s="23" t="inlineStr">
        <is>
          <t>Cost &amp; Forecast Control Accounts / CST-05-011</t>
        </is>
      </c>
      <c r="C1559" s="23" t="inlineStr">
        <is>
          <t>Cost Account = CA-5011</t>
        </is>
      </c>
      <c r="D1559" s="23" t="inlineStr">
        <is>
          <t>Proposed by Professional; target UNSURE</t>
        </is>
      </c>
      <c r="E1559" s="23" t="inlineStr">
        <is>
          <t>None recorded</t>
        </is>
      </c>
      <c r="F1559" s="23" t="inlineStr">
        <is>
          <t>Maya Chen, Owner Project Controls: Earlier professional decision, carried forward</t>
        </is>
      </c>
      <c r="G1559" s="23" t="inlineStr">
        <is>
          <t>Group decision (81 records sharing one decision state), carried forward</t>
        </is>
      </c>
      <c r="H1559" s="23" t="inlineStr">
        <is>
          <t xml:space="preserve">RETAINED / UNSURE; </t>
        </is>
      </c>
      <c r="I1559" s="23" t="inlineStr">
        <is>
          <t>Carried forward</t>
        </is>
      </c>
      <c r="J1559" s="14" t="inlineStr">
        <is>
          <t>08 CROSSWALK</t>
        </is>
      </c>
    </row>
    <row r="1560" ht="49" customHeight="1">
      <c r="A1560" s="23" t="inlineStr">
        <is>
          <t>R1414-v3</t>
        </is>
      </c>
      <c r="B1560" s="23" t="inlineStr">
        <is>
          <t>Cost &amp; Forecast Control Accounts / CST-05-012</t>
        </is>
      </c>
      <c r="C1560" s="23" t="inlineStr">
        <is>
          <t>Cost Account = CA-5012</t>
        </is>
      </c>
      <c r="D1560" s="23" t="inlineStr">
        <is>
          <t>Proposed by Professional; target UNSURE</t>
        </is>
      </c>
      <c r="E1560" s="23" t="inlineStr">
        <is>
          <t>None recorded</t>
        </is>
      </c>
      <c r="F1560" s="23" t="inlineStr">
        <is>
          <t>Maya Chen, Owner Project Controls: Earlier professional decision, carried forward</t>
        </is>
      </c>
      <c r="G1560" s="23" t="inlineStr">
        <is>
          <t>Group decision (81 records sharing one decision state), carried forward</t>
        </is>
      </c>
      <c r="H1560" s="23" t="inlineStr">
        <is>
          <t xml:space="preserve">RETAINED / UNSURE; </t>
        </is>
      </c>
      <c r="I1560" s="23" t="inlineStr">
        <is>
          <t>Carried forward</t>
        </is>
      </c>
      <c r="J1560" s="14" t="inlineStr">
        <is>
          <t>08 CROSSWALK</t>
        </is>
      </c>
    </row>
    <row r="1561" ht="49" customHeight="1">
      <c r="A1561" s="23" t="inlineStr">
        <is>
          <t>R1415-v3</t>
        </is>
      </c>
      <c r="B1561" s="23" t="inlineStr">
        <is>
          <t>Cost &amp; Forecast Control Accounts / CST-05-013</t>
        </is>
      </c>
      <c r="C1561" s="23" t="inlineStr">
        <is>
          <t>Cost Account = CA-5013</t>
        </is>
      </c>
      <c r="D1561" s="23" t="inlineStr">
        <is>
          <t>Proposed by Professional; target UNSURE</t>
        </is>
      </c>
      <c r="E1561" s="23" t="inlineStr">
        <is>
          <t>None recorded</t>
        </is>
      </c>
      <c r="F1561" s="23" t="inlineStr">
        <is>
          <t>Maya Chen, Owner Project Controls: Earlier professional decision, carried forward</t>
        </is>
      </c>
      <c r="G1561" s="23" t="inlineStr">
        <is>
          <t>Group decision (81 records sharing one decision state), carried forward</t>
        </is>
      </c>
      <c r="H1561" s="23" t="inlineStr">
        <is>
          <t xml:space="preserve">RETAINED / UNSURE; </t>
        </is>
      </c>
      <c r="I1561" s="23" t="inlineStr">
        <is>
          <t>Carried forward</t>
        </is>
      </c>
      <c r="J1561" s="14" t="inlineStr">
        <is>
          <t>08 CROSSWALK</t>
        </is>
      </c>
    </row>
    <row r="1562" ht="49" customHeight="1">
      <c r="A1562" s="23" t="inlineStr">
        <is>
          <t>R1416-v3</t>
        </is>
      </c>
      <c r="B1562" s="23" t="inlineStr">
        <is>
          <t>Cost &amp; Forecast Control Accounts / CST-05-014</t>
        </is>
      </c>
      <c r="C1562" s="23" t="inlineStr">
        <is>
          <t>Cost Account = CA-5014</t>
        </is>
      </c>
      <c r="D1562" s="23" t="inlineStr">
        <is>
          <t>Proposed by Professional; target UNSURE</t>
        </is>
      </c>
      <c r="E1562" s="23" t="inlineStr">
        <is>
          <t>None recorded</t>
        </is>
      </c>
      <c r="F1562" s="23" t="inlineStr">
        <is>
          <t>Maya Chen, Owner Project Controls: Earlier professional decision, carried forward</t>
        </is>
      </c>
      <c r="G1562" s="23" t="inlineStr">
        <is>
          <t>Group decision (81 records sharing one decision state), carried forward</t>
        </is>
      </c>
      <c r="H1562" s="23" t="inlineStr">
        <is>
          <t xml:space="preserve">RETAINED / UNSURE; </t>
        </is>
      </c>
      <c r="I1562" s="23" t="inlineStr">
        <is>
          <t>Carried forward</t>
        </is>
      </c>
      <c r="J1562" s="14" t="inlineStr">
        <is>
          <t>08 CROSSWALK</t>
        </is>
      </c>
    </row>
    <row r="1563" ht="49" customHeight="1">
      <c r="A1563" s="23" t="inlineStr">
        <is>
          <t>R1417-v3</t>
        </is>
      </c>
      <c r="B1563" s="23" t="inlineStr">
        <is>
          <t>Cost &amp; Forecast Control Accounts / CST-05-015</t>
        </is>
      </c>
      <c r="C1563" s="23" t="inlineStr">
        <is>
          <t>Cost Account = CA-5015</t>
        </is>
      </c>
      <c r="D1563" s="23" t="inlineStr">
        <is>
          <t>Proposed by Professional; target UNSURE</t>
        </is>
      </c>
      <c r="E1563" s="23" t="inlineStr">
        <is>
          <t>None recorded</t>
        </is>
      </c>
      <c r="F1563" s="23" t="inlineStr">
        <is>
          <t>Maya Chen, Owner Project Controls: Earlier professional decision, carried forward</t>
        </is>
      </c>
      <c r="G1563" s="23" t="inlineStr">
        <is>
          <t>Group decision (81 records sharing one decision state), carried forward</t>
        </is>
      </c>
      <c r="H1563" s="23" t="inlineStr">
        <is>
          <t xml:space="preserve">RETAINED / UNSURE; </t>
        </is>
      </c>
      <c r="I1563" s="23" t="inlineStr">
        <is>
          <t>Carried forward</t>
        </is>
      </c>
      <c r="J1563" s="14" t="inlineStr">
        <is>
          <t>08 CROSSWALK</t>
        </is>
      </c>
    </row>
    <row r="1564" ht="49" customHeight="1">
      <c r="A1564" s="23" t="inlineStr">
        <is>
          <t>R1418-v3</t>
        </is>
      </c>
      <c r="B1564" s="23" t="inlineStr">
        <is>
          <t>Cost &amp; Forecast Control Accounts / CST-05-016</t>
        </is>
      </c>
      <c r="C1564" s="23" t="inlineStr">
        <is>
          <t>Cost Account = CA-5016</t>
        </is>
      </c>
      <c r="D1564" s="23" t="inlineStr">
        <is>
          <t>Proposed by Professional; target UNSURE</t>
        </is>
      </c>
      <c r="E1564" s="23" t="inlineStr">
        <is>
          <t>None recorded</t>
        </is>
      </c>
      <c r="F1564" s="23" t="inlineStr">
        <is>
          <t>Maya Chen, Owner Project Controls: Earlier professional decision, carried forward</t>
        </is>
      </c>
      <c r="G1564" s="23" t="inlineStr">
        <is>
          <t>Group decision (81 records sharing one decision state), carried forward</t>
        </is>
      </c>
      <c r="H1564" s="23" t="inlineStr">
        <is>
          <t xml:space="preserve">RETAINED / UNSURE; </t>
        </is>
      </c>
      <c r="I1564" s="23" t="inlineStr">
        <is>
          <t>Carried forward</t>
        </is>
      </c>
      <c r="J1564" s="14" t="inlineStr">
        <is>
          <t>08 CROSSWALK</t>
        </is>
      </c>
    </row>
    <row r="1565" ht="49" customHeight="1">
      <c r="A1565" s="23" t="inlineStr">
        <is>
          <t>R1419-v3</t>
        </is>
      </c>
      <c r="B1565" s="23" t="inlineStr">
        <is>
          <t>Cost &amp; Forecast Control Accounts / CST-05-017</t>
        </is>
      </c>
      <c r="C1565" s="23" t="inlineStr">
        <is>
          <t>Cost Account = CA-5017</t>
        </is>
      </c>
      <c r="D1565" s="23" t="inlineStr">
        <is>
          <t>Proposed by Professional; target UNSURE</t>
        </is>
      </c>
      <c r="E1565" s="23" t="inlineStr">
        <is>
          <t>None recorded</t>
        </is>
      </c>
      <c r="F1565" s="23" t="inlineStr">
        <is>
          <t>Maya Chen, Owner Project Controls: Earlier professional decision, carried forward</t>
        </is>
      </c>
      <c r="G1565" s="23" t="inlineStr">
        <is>
          <t>Group decision (81 records sharing one decision state), carried forward</t>
        </is>
      </c>
      <c r="H1565" s="23" t="inlineStr">
        <is>
          <t xml:space="preserve">RETAINED / UNSURE; </t>
        </is>
      </c>
      <c r="I1565" s="23" t="inlineStr">
        <is>
          <t>Carried forward</t>
        </is>
      </c>
      <c r="J1565" s="14" t="inlineStr">
        <is>
          <t>08 CROSSWALK</t>
        </is>
      </c>
    </row>
    <row r="1566" ht="49" customHeight="1">
      <c r="A1566" s="23" t="inlineStr">
        <is>
          <t>R1420-v3</t>
        </is>
      </c>
      <c r="B1566" s="23" t="inlineStr">
        <is>
          <t>Cost &amp; Forecast Control Accounts / CST-05-018</t>
        </is>
      </c>
      <c r="C1566" s="23" t="inlineStr">
        <is>
          <t>Cost Account = CA-5018</t>
        </is>
      </c>
      <c r="D1566" s="23" t="inlineStr">
        <is>
          <t>Proposed by Professional; target UNSURE</t>
        </is>
      </c>
      <c r="E1566" s="23" t="inlineStr">
        <is>
          <t>None recorded</t>
        </is>
      </c>
      <c r="F1566" s="23" t="inlineStr">
        <is>
          <t>Maya Chen, Owner Project Controls: Earlier professional decision, carried forward</t>
        </is>
      </c>
      <c r="G1566" s="23" t="inlineStr">
        <is>
          <t>Group decision (81 records sharing one decision state), carried forward</t>
        </is>
      </c>
      <c r="H1566" s="23" t="inlineStr">
        <is>
          <t xml:space="preserve">RETAINED / UNSURE; </t>
        </is>
      </c>
      <c r="I1566" s="23" t="inlineStr">
        <is>
          <t>Carried forward</t>
        </is>
      </c>
      <c r="J1566" s="14" t="inlineStr">
        <is>
          <t>08 CROSSWALK</t>
        </is>
      </c>
    </row>
    <row r="1567" ht="49" customHeight="1">
      <c r="A1567" s="23" t="inlineStr">
        <is>
          <t>R1421-v3</t>
        </is>
      </c>
      <c r="B1567" s="23" t="inlineStr">
        <is>
          <t>Cost &amp; Forecast Control Accounts / CST-05-019</t>
        </is>
      </c>
      <c r="C1567" s="23" t="inlineStr">
        <is>
          <t>Cost Account = CA-5019</t>
        </is>
      </c>
      <c r="D1567" s="23" t="inlineStr">
        <is>
          <t>Proposed by Professional; target UNSURE</t>
        </is>
      </c>
      <c r="E1567" s="23" t="inlineStr">
        <is>
          <t>None recorded</t>
        </is>
      </c>
      <c r="F1567" s="23" t="inlineStr">
        <is>
          <t>Maya Chen, Owner Project Controls: Earlier professional decision, carried forward</t>
        </is>
      </c>
      <c r="G1567" s="23" t="inlineStr">
        <is>
          <t>Group decision (81 records sharing one decision state), carried forward</t>
        </is>
      </c>
      <c r="H1567" s="23" t="inlineStr">
        <is>
          <t xml:space="preserve">RETAINED / UNSURE; </t>
        </is>
      </c>
      <c r="I1567" s="23" t="inlineStr">
        <is>
          <t>Carried forward</t>
        </is>
      </c>
      <c r="J1567" s="14" t="inlineStr">
        <is>
          <t>08 CROSSWALK</t>
        </is>
      </c>
    </row>
    <row r="1568" ht="49" customHeight="1">
      <c r="A1568" s="23" t="inlineStr">
        <is>
          <t>R1422-v3</t>
        </is>
      </c>
      <c r="B1568" s="23" t="inlineStr">
        <is>
          <t>Cost &amp; Forecast Control Accounts / CST-05-020</t>
        </is>
      </c>
      <c r="C1568" s="23" t="inlineStr">
        <is>
          <t>Cost Account = CA-5020</t>
        </is>
      </c>
      <c r="D1568" s="23" t="inlineStr">
        <is>
          <t>Proposed by Professional; target UNSURE</t>
        </is>
      </c>
      <c r="E1568" s="23" t="inlineStr">
        <is>
          <t>None recorded</t>
        </is>
      </c>
      <c r="F1568" s="23" t="inlineStr">
        <is>
          <t>Maya Chen, Owner Project Controls: Earlier professional decision, carried forward</t>
        </is>
      </c>
      <c r="G1568" s="23" t="inlineStr">
        <is>
          <t>Group decision (81 records sharing one decision state), carried forward</t>
        </is>
      </c>
      <c r="H1568" s="23" t="inlineStr">
        <is>
          <t xml:space="preserve">RETAINED / UNSURE; </t>
        </is>
      </c>
      <c r="I1568" s="23" t="inlineStr">
        <is>
          <t>Carried forward</t>
        </is>
      </c>
      <c r="J1568" s="14" t="inlineStr">
        <is>
          <t>08 CROSSWALK</t>
        </is>
      </c>
    </row>
    <row r="1569" ht="49" customHeight="1">
      <c r="A1569" s="23" t="inlineStr">
        <is>
          <t>R1423-v3</t>
        </is>
      </c>
      <c r="B1569" s="23" t="inlineStr">
        <is>
          <t>Cost &amp; Forecast Control Accounts / CST-05-021</t>
        </is>
      </c>
      <c r="C1569" s="23" t="inlineStr">
        <is>
          <t>Cost Account = CA-5021</t>
        </is>
      </c>
      <c r="D1569" s="23" t="inlineStr">
        <is>
          <t>Proposed by Professional; target UNSURE</t>
        </is>
      </c>
      <c r="E1569" s="23" t="inlineStr">
        <is>
          <t>None recorded</t>
        </is>
      </c>
      <c r="F1569" s="23" t="inlineStr">
        <is>
          <t>Maya Chen, Owner Project Controls: Earlier professional decision, carried forward</t>
        </is>
      </c>
      <c r="G1569" s="23" t="inlineStr">
        <is>
          <t>Group decision (81 records sharing one decision state), carried forward</t>
        </is>
      </c>
      <c r="H1569" s="23" t="inlineStr">
        <is>
          <t xml:space="preserve">RETAINED / UNSURE; </t>
        </is>
      </c>
      <c r="I1569" s="23" t="inlineStr">
        <is>
          <t>Carried forward</t>
        </is>
      </c>
      <c r="J1569" s="14" t="inlineStr">
        <is>
          <t>08 CROSSWALK</t>
        </is>
      </c>
    </row>
    <row r="1570" ht="49" customHeight="1">
      <c r="A1570" s="23" t="inlineStr">
        <is>
          <t>R1424-v3</t>
        </is>
      </c>
      <c r="B1570" s="23" t="inlineStr">
        <is>
          <t>Cost &amp; Forecast Control Accounts / CST-05-022</t>
        </is>
      </c>
      <c r="C1570" s="23" t="inlineStr">
        <is>
          <t>Cost Account = CA-5022</t>
        </is>
      </c>
      <c r="D1570" s="23" t="inlineStr">
        <is>
          <t>Proposed by Professional; target UNSURE</t>
        </is>
      </c>
      <c r="E1570" s="23" t="inlineStr">
        <is>
          <t>None recorded</t>
        </is>
      </c>
      <c r="F1570" s="23" t="inlineStr">
        <is>
          <t>Maya Chen, Owner Project Controls: Earlier professional decision, carried forward</t>
        </is>
      </c>
      <c r="G1570" s="23" t="inlineStr">
        <is>
          <t>Group decision (81 records sharing one decision state), carried forward</t>
        </is>
      </c>
      <c r="H1570" s="23" t="inlineStr">
        <is>
          <t xml:space="preserve">RETAINED / UNSURE; </t>
        </is>
      </c>
      <c r="I1570" s="23" t="inlineStr">
        <is>
          <t>Carried forward</t>
        </is>
      </c>
      <c r="J1570" s="14" t="inlineStr">
        <is>
          <t>08 CROSSWALK</t>
        </is>
      </c>
    </row>
    <row r="1571" ht="49" customHeight="1">
      <c r="A1571" s="23" t="inlineStr">
        <is>
          <t>R1425-v3</t>
        </is>
      </c>
      <c r="B1571" s="23" t="inlineStr">
        <is>
          <t>Cost &amp; Forecast Control Accounts / CST-05-023</t>
        </is>
      </c>
      <c r="C1571" s="23" t="inlineStr">
        <is>
          <t>Cost Account = CA-5023</t>
        </is>
      </c>
      <c r="D1571" s="23" t="inlineStr">
        <is>
          <t>Proposed by Professional; target UNSURE</t>
        </is>
      </c>
      <c r="E1571" s="23" t="inlineStr">
        <is>
          <t>None recorded</t>
        </is>
      </c>
      <c r="F1571" s="23" t="inlineStr">
        <is>
          <t>Maya Chen, Owner Project Controls: Earlier professional decision, carried forward</t>
        </is>
      </c>
      <c r="G1571" s="23" t="inlineStr">
        <is>
          <t>Group decision (81 records sharing one decision state), carried forward</t>
        </is>
      </c>
      <c r="H1571" s="23" t="inlineStr">
        <is>
          <t xml:space="preserve">RETAINED / UNSURE; </t>
        </is>
      </c>
      <c r="I1571" s="23" t="inlineStr">
        <is>
          <t>Carried forward</t>
        </is>
      </c>
      <c r="J1571" s="14" t="inlineStr">
        <is>
          <t>08 CROSSWALK</t>
        </is>
      </c>
    </row>
    <row r="1572" ht="49" customHeight="1">
      <c r="A1572" s="23" t="inlineStr">
        <is>
          <t>R1426-v3</t>
        </is>
      </c>
      <c r="B1572" s="23" t="inlineStr">
        <is>
          <t>Cost &amp; Forecast Control Accounts / CST-05-024</t>
        </is>
      </c>
      <c r="C1572" s="23" t="inlineStr">
        <is>
          <t>Cost Account = CA-5024</t>
        </is>
      </c>
      <c r="D1572" s="23" t="inlineStr">
        <is>
          <t>Proposed by Professional; target UNSURE</t>
        </is>
      </c>
      <c r="E1572" s="23" t="inlineStr">
        <is>
          <t>None recorded</t>
        </is>
      </c>
      <c r="F1572" s="23" t="inlineStr">
        <is>
          <t>Maya Chen, Owner Project Controls: Earlier professional decision, carried forward</t>
        </is>
      </c>
      <c r="G1572" s="23" t="inlineStr">
        <is>
          <t>Group decision (81 records sharing one decision state), carried forward</t>
        </is>
      </c>
      <c r="H1572" s="23" t="inlineStr">
        <is>
          <t xml:space="preserve">RETAINED / UNSURE; </t>
        </is>
      </c>
      <c r="I1572" s="23" t="inlineStr">
        <is>
          <t>Carried forward</t>
        </is>
      </c>
      <c r="J1572" s="14" t="inlineStr">
        <is>
          <t>08 CROSSWALK</t>
        </is>
      </c>
    </row>
    <row r="1573" ht="49" customHeight="1">
      <c r="A1573" s="23" t="inlineStr">
        <is>
          <t>R1427-v3</t>
        </is>
      </c>
      <c r="B1573" s="23" t="inlineStr">
        <is>
          <t>Cost &amp; Forecast Control Accounts / CST-05-025</t>
        </is>
      </c>
      <c r="C1573" s="23" t="inlineStr">
        <is>
          <t>Cost Account = CA-5025</t>
        </is>
      </c>
      <c r="D1573" s="23" t="inlineStr">
        <is>
          <t>Proposed by Professional; target UNSURE</t>
        </is>
      </c>
      <c r="E1573" s="23" t="inlineStr">
        <is>
          <t>None recorded</t>
        </is>
      </c>
      <c r="F1573" s="23" t="inlineStr">
        <is>
          <t>Maya Chen, Owner Project Controls: Earlier professional decision, carried forward</t>
        </is>
      </c>
      <c r="G1573" s="23" t="inlineStr">
        <is>
          <t>Group decision (81 records sharing one decision state), carried forward</t>
        </is>
      </c>
      <c r="H1573" s="23" t="inlineStr">
        <is>
          <t xml:space="preserve">RETAINED / UNSURE; </t>
        </is>
      </c>
      <c r="I1573" s="23" t="inlineStr">
        <is>
          <t>Carried forward</t>
        </is>
      </c>
      <c r="J1573" s="14" t="inlineStr">
        <is>
          <t>08 CROSSWALK</t>
        </is>
      </c>
    </row>
    <row r="1574" ht="49" customHeight="1">
      <c r="A1574" s="23" t="inlineStr">
        <is>
          <t>R1428-v3</t>
        </is>
      </c>
      <c r="B1574" s="23" t="inlineStr">
        <is>
          <t>Cost &amp; Forecast Control Accounts / CST-05-026</t>
        </is>
      </c>
      <c r="C1574" s="23" t="inlineStr">
        <is>
          <t>Cost Account = CA-5026</t>
        </is>
      </c>
      <c r="D1574" s="23" t="inlineStr">
        <is>
          <t>Proposed by Professional; target UNSURE</t>
        </is>
      </c>
      <c r="E1574" s="23" t="inlineStr">
        <is>
          <t>None recorded</t>
        </is>
      </c>
      <c r="F1574" s="23" t="inlineStr">
        <is>
          <t>Maya Chen, Owner Project Controls: Earlier professional decision, carried forward</t>
        </is>
      </c>
      <c r="G1574" s="23" t="inlineStr">
        <is>
          <t>Group decision (81 records sharing one decision state), carried forward</t>
        </is>
      </c>
      <c r="H1574" s="23" t="inlineStr">
        <is>
          <t xml:space="preserve">RETAINED / UNSURE; </t>
        </is>
      </c>
      <c r="I1574" s="23" t="inlineStr">
        <is>
          <t>Carried forward</t>
        </is>
      </c>
      <c r="J1574" s="14" t="inlineStr">
        <is>
          <t>08 CROSSWALK</t>
        </is>
      </c>
    </row>
    <row r="1575" ht="49" customHeight="1">
      <c r="A1575" s="23" t="inlineStr">
        <is>
          <t>R1429-v3</t>
        </is>
      </c>
      <c r="B1575" s="23" t="inlineStr">
        <is>
          <t>Cost &amp; Forecast Control Accounts / CST-05-027</t>
        </is>
      </c>
      <c r="C1575" s="23" t="inlineStr">
        <is>
          <t>Cost Account = CA-5027</t>
        </is>
      </c>
      <c r="D1575" s="23" t="inlineStr">
        <is>
          <t>Proposed by Professional; target UNSURE</t>
        </is>
      </c>
      <c r="E1575" s="23" t="inlineStr">
        <is>
          <t>None recorded</t>
        </is>
      </c>
      <c r="F1575" s="23" t="inlineStr">
        <is>
          <t>Maya Chen, Owner Project Controls: Earlier professional decision, carried forward</t>
        </is>
      </c>
      <c r="G1575" s="23" t="inlineStr">
        <is>
          <t>Group decision (81 records sharing one decision state), carried forward</t>
        </is>
      </c>
      <c r="H1575" s="23" t="inlineStr">
        <is>
          <t xml:space="preserve">RETAINED / UNSURE; </t>
        </is>
      </c>
      <c r="I1575" s="23" t="inlineStr">
        <is>
          <t>Carried forward</t>
        </is>
      </c>
      <c r="J1575" s="14" t="inlineStr">
        <is>
          <t>08 CROSSWALK</t>
        </is>
      </c>
    </row>
    <row r="1576" ht="49" customHeight="1">
      <c r="A1576" s="23" t="inlineStr">
        <is>
          <t>R1430-v3</t>
        </is>
      </c>
      <c r="B1576" s="23" t="inlineStr">
        <is>
          <t>Cost &amp; Forecast Control Accounts / CST-05-028</t>
        </is>
      </c>
      <c r="C1576" s="23" t="inlineStr">
        <is>
          <t>Cost Account = CA-5028</t>
        </is>
      </c>
      <c r="D1576" s="23" t="inlineStr">
        <is>
          <t>Proposed by Professional; target UNSURE</t>
        </is>
      </c>
      <c r="E1576" s="23" t="inlineStr">
        <is>
          <t>None recorded</t>
        </is>
      </c>
      <c r="F1576" s="23" t="inlineStr">
        <is>
          <t>Maya Chen, Owner Project Controls: Earlier professional decision, carried forward</t>
        </is>
      </c>
      <c r="G1576" s="23" t="inlineStr">
        <is>
          <t>Group decision (81 records sharing one decision state), carried forward</t>
        </is>
      </c>
      <c r="H1576" s="23" t="inlineStr">
        <is>
          <t xml:space="preserve">RETAINED / UNSURE; </t>
        </is>
      </c>
      <c r="I1576" s="23" t="inlineStr">
        <is>
          <t>Carried forward</t>
        </is>
      </c>
      <c r="J1576" s="14" t="inlineStr">
        <is>
          <t>08 CROSSWALK</t>
        </is>
      </c>
    </row>
    <row r="1577" ht="49" customHeight="1">
      <c r="A1577" s="23" t="inlineStr">
        <is>
          <t>R1431-v3</t>
        </is>
      </c>
      <c r="B1577" s="23" t="inlineStr">
        <is>
          <t>Cost &amp; Forecast Control Accounts / CST-05-029</t>
        </is>
      </c>
      <c r="C1577" s="23" t="inlineStr">
        <is>
          <t>Cost Account = CA-5029</t>
        </is>
      </c>
      <c r="D1577" s="23" t="inlineStr">
        <is>
          <t>Proposed by Professional; target UNSURE</t>
        </is>
      </c>
      <c r="E1577" s="23" t="inlineStr">
        <is>
          <t>None recorded</t>
        </is>
      </c>
      <c r="F1577" s="23" t="inlineStr">
        <is>
          <t>Maya Chen, Owner Project Controls: Earlier professional decision, carried forward</t>
        </is>
      </c>
      <c r="G1577" s="23" t="inlineStr">
        <is>
          <t>Group decision (81 records sharing one decision state), carried forward</t>
        </is>
      </c>
      <c r="H1577" s="23" t="inlineStr">
        <is>
          <t xml:space="preserve">RETAINED / UNSURE; </t>
        </is>
      </c>
      <c r="I1577" s="23" t="inlineStr">
        <is>
          <t>Carried forward</t>
        </is>
      </c>
      <c r="J1577" s="14" t="inlineStr">
        <is>
          <t>08 CROSSWALK</t>
        </is>
      </c>
    </row>
    <row r="1578" ht="49" customHeight="1">
      <c r="A1578" s="23" t="inlineStr">
        <is>
          <t>R1432-v3</t>
        </is>
      </c>
      <c r="B1578" s="23" t="inlineStr">
        <is>
          <t>Cost &amp; Forecast Control Accounts / CST-05-030</t>
        </is>
      </c>
      <c r="C1578" s="23" t="inlineStr">
        <is>
          <t>Cost Account = CA-5030</t>
        </is>
      </c>
      <c r="D1578" s="23" t="inlineStr">
        <is>
          <t>Proposed by Professional; target UNSURE</t>
        </is>
      </c>
      <c r="E1578" s="23" t="inlineStr">
        <is>
          <t>None recorded</t>
        </is>
      </c>
      <c r="F1578" s="23" t="inlineStr">
        <is>
          <t>Maya Chen, Owner Project Controls: Earlier professional decision, carried forward</t>
        </is>
      </c>
      <c r="G1578" s="23" t="inlineStr">
        <is>
          <t>Group decision (81 records sharing one decision state), carried forward</t>
        </is>
      </c>
      <c r="H1578" s="23" t="inlineStr">
        <is>
          <t xml:space="preserve">RETAINED / UNSURE; </t>
        </is>
      </c>
      <c r="I1578" s="23" t="inlineStr">
        <is>
          <t>Carried forward</t>
        </is>
      </c>
      <c r="J1578" s="14" t="inlineStr">
        <is>
          <t>08 CROSSWALK</t>
        </is>
      </c>
    </row>
    <row r="1579" ht="49" customHeight="1">
      <c r="A1579" s="23" t="inlineStr">
        <is>
          <t>R1433-v3</t>
        </is>
      </c>
      <c r="B1579" s="23" t="inlineStr">
        <is>
          <t>Cost &amp; Forecast Control Accounts / CST-05-031</t>
        </is>
      </c>
      <c r="C1579" s="23" t="inlineStr">
        <is>
          <t>Cost Account = CA-5031</t>
        </is>
      </c>
      <c r="D1579" s="23" t="inlineStr">
        <is>
          <t>Proposed by Professional; target UNSURE</t>
        </is>
      </c>
      <c r="E1579" s="23" t="inlineStr">
        <is>
          <t>None recorded</t>
        </is>
      </c>
      <c r="F1579" s="23" t="inlineStr">
        <is>
          <t>Maya Chen, Owner Project Controls: Earlier professional decision, carried forward</t>
        </is>
      </c>
      <c r="G1579" s="23" t="inlineStr">
        <is>
          <t>Group decision (81 records sharing one decision state), carried forward</t>
        </is>
      </c>
      <c r="H1579" s="23" t="inlineStr">
        <is>
          <t xml:space="preserve">RETAINED / UNSURE; </t>
        </is>
      </c>
      <c r="I1579" s="23" t="inlineStr">
        <is>
          <t>Carried forward</t>
        </is>
      </c>
      <c r="J1579" s="14" t="inlineStr">
        <is>
          <t>08 CROSSWALK</t>
        </is>
      </c>
    </row>
    <row r="1580" ht="49" customHeight="1">
      <c r="A1580" s="23" t="inlineStr">
        <is>
          <t>R1434-v3</t>
        </is>
      </c>
      <c r="B1580" s="23" t="inlineStr">
        <is>
          <t>Cost &amp; Forecast Control Accounts / CST-05-032</t>
        </is>
      </c>
      <c r="C1580" s="23" t="inlineStr">
        <is>
          <t>Cost Account = CA-5032</t>
        </is>
      </c>
      <c r="D1580" s="23" t="inlineStr">
        <is>
          <t>Proposed by Professional; target UNSURE</t>
        </is>
      </c>
      <c r="E1580" s="23" t="inlineStr">
        <is>
          <t>None recorded</t>
        </is>
      </c>
      <c r="F1580" s="23" t="inlineStr">
        <is>
          <t>Maya Chen, Owner Project Controls: Earlier professional decision, carried forward</t>
        </is>
      </c>
      <c r="G1580" s="23" t="inlineStr">
        <is>
          <t>Group decision (81 records sharing one decision state), carried forward</t>
        </is>
      </c>
      <c r="H1580" s="23" t="inlineStr">
        <is>
          <t xml:space="preserve">RETAINED / UNSURE; </t>
        </is>
      </c>
      <c r="I1580" s="23" t="inlineStr">
        <is>
          <t>Carried forward</t>
        </is>
      </c>
      <c r="J1580" s="14" t="inlineStr">
        <is>
          <t>08 CROSSWALK</t>
        </is>
      </c>
    </row>
    <row r="1581" ht="49" customHeight="1">
      <c r="A1581" s="23" t="inlineStr">
        <is>
          <t>R1435-v3</t>
        </is>
      </c>
      <c r="B1581" s="23" t="inlineStr">
        <is>
          <t>Cost &amp; Forecast Control Accounts / CST-05-033</t>
        </is>
      </c>
      <c r="C1581" s="23" t="inlineStr">
        <is>
          <t>Cost Account = CA-5033</t>
        </is>
      </c>
      <c r="D1581" s="23" t="inlineStr">
        <is>
          <t>Proposed by Professional; target UNSURE</t>
        </is>
      </c>
      <c r="E1581" s="23" t="inlineStr">
        <is>
          <t>None recorded</t>
        </is>
      </c>
      <c r="F1581" s="23" t="inlineStr">
        <is>
          <t>Maya Chen, Owner Project Controls: Earlier professional decision, carried forward</t>
        </is>
      </c>
      <c r="G1581" s="23" t="inlineStr">
        <is>
          <t>Group decision (81 records sharing one decision state), carried forward</t>
        </is>
      </c>
      <c r="H1581" s="23" t="inlineStr">
        <is>
          <t xml:space="preserve">RETAINED / UNSURE; </t>
        </is>
      </c>
      <c r="I1581" s="23" t="inlineStr">
        <is>
          <t>Carried forward</t>
        </is>
      </c>
      <c r="J1581" s="14" t="inlineStr">
        <is>
          <t>08 CROSSWALK</t>
        </is>
      </c>
    </row>
    <row r="1582" ht="49" customHeight="1">
      <c r="A1582" s="23" t="inlineStr">
        <is>
          <t>R1436-v3</t>
        </is>
      </c>
      <c r="B1582" s="23" t="inlineStr">
        <is>
          <t>Cost &amp; Forecast Control Accounts / CST-05-034</t>
        </is>
      </c>
      <c r="C1582" s="23" t="inlineStr">
        <is>
          <t>Cost Account = CA-5034</t>
        </is>
      </c>
      <c r="D1582" s="23" t="inlineStr">
        <is>
          <t>Proposed by Professional; target UNSURE</t>
        </is>
      </c>
      <c r="E1582" s="23" t="inlineStr">
        <is>
          <t>None recorded</t>
        </is>
      </c>
      <c r="F1582" s="23" t="inlineStr">
        <is>
          <t>Maya Chen, Owner Project Controls: Earlier professional decision, carried forward</t>
        </is>
      </c>
      <c r="G1582" s="23" t="inlineStr">
        <is>
          <t>Group decision (81 records sharing one decision state), carried forward</t>
        </is>
      </c>
      <c r="H1582" s="23" t="inlineStr">
        <is>
          <t xml:space="preserve">RETAINED / UNSURE; </t>
        </is>
      </c>
      <c r="I1582" s="23" t="inlineStr">
        <is>
          <t>Carried forward</t>
        </is>
      </c>
      <c r="J1582" s="14" t="inlineStr">
        <is>
          <t>08 CROSSWALK</t>
        </is>
      </c>
    </row>
    <row r="1583" ht="49" customHeight="1">
      <c r="A1583" s="23" t="inlineStr">
        <is>
          <t>R1437-v3</t>
        </is>
      </c>
      <c r="B1583" s="23" t="inlineStr">
        <is>
          <t>Cost &amp; Forecast Control Accounts / CST-05-035</t>
        </is>
      </c>
      <c r="C1583" s="23" t="inlineStr">
        <is>
          <t>Cost Account = CA-5035</t>
        </is>
      </c>
      <c r="D1583" s="23" t="inlineStr">
        <is>
          <t>Proposed by Professional; target UNSURE</t>
        </is>
      </c>
      <c r="E1583" s="23" t="inlineStr">
        <is>
          <t>None recorded</t>
        </is>
      </c>
      <c r="F1583" s="23" t="inlineStr">
        <is>
          <t>Maya Chen, Owner Project Controls: Earlier professional decision, carried forward</t>
        </is>
      </c>
      <c r="G1583" s="23" t="inlineStr">
        <is>
          <t>Group decision (81 records sharing one decision state), carried forward</t>
        </is>
      </c>
      <c r="H1583" s="23" t="inlineStr">
        <is>
          <t xml:space="preserve">RETAINED / UNSURE; </t>
        </is>
      </c>
      <c r="I1583" s="23" t="inlineStr">
        <is>
          <t>Carried forward</t>
        </is>
      </c>
      <c r="J1583" s="14" t="inlineStr">
        <is>
          <t>08 CROSSWALK</t>
        </is>
      </c>
    </row>
    <row r="1584" ht="49" customHeight="1">
      <c r="A1584" s="23" t="inlineStr">
        <is>
          <t>R1438-v3</t>
        </is>
      </c>
      <c r="B1584" s="23" t="inlineStr">
        <is>
          <t>Cost &amp; Forecast Control Accounts / CST-05-036</t>
        </is>
      </c>
      <c r="C1584" s="23" t="inlineStr">
        <is>
          <t>Cost Account = CA-5036</t>
        </is>
      </c>
      <c r="D1584" s="23" t="inlineStr">
        <is>
          <t>Proposed by Professional; target UNSURE</t>
        </is>
      </c>
      <c r="E1584" s="23" t="inlineStr">
        <is>
          <t>None recorded</t>
        </is>
      </c>
      <c r="F1584" s="23" t="inlineStr">
        <is>
          <t>Maya Chen, Owner Project Controls: Earlier professional decision, carried forward</t>
        </is>
      </c>
      <c r="G1584" s="23" t="inlineStr">
        <is>
          <t>Group decision (81 records sharing one decision state), carried forward</t>
        </is>
      </c>
      <c r="H1584" s="23" t="inlineStr">
        <is>
          <t xml:space="preserve">RETAINED / UNSURE; </t>
        </is>
      </c>
      <c r="I1584" s="23" t="inlineStr">
        <is>
          <t>Carried forward</t>
        </is>
      </c>
      <c r="J1584" s="14" t="inlineStr">
        <is>
          <t>08 CROSSWALK</t>
        </is>
      </c>
    </row>
    <row r="1585" ht="49" customHeight="1">
      <c r="A1585" s="23" t="inlineStr">
        <is>
          <t>R1439-v3</t>
        </is>
      </c>
      <c r="B1585" s="23" t="inlineStr">
        <is>
          <t>Cost &amp; Forecast Control Accounts / CST-05-037</t>
        </is>
      </c>
      <c r="C1585" s="23" t="inlineStr">
        <is>
          <t>Cost Account = CA-5037</t>
        </is>
      </c>
      <c r="D1585" s="23" t="inlineStr">
        <is>
          <t>Proposed by Professional; target UNSURE</t>
        </is>
      </c>
      <c r="E1585" s="23" t="inlineStr">
        <is>
          <t>None recorded</t>
        </is>
      </c>
      <c r="F1585" s="23" t="inlineStr">
        <is>
          <t>Maya Chen, Owner Project Controls: Earlier professional decision, carried forward</t>
        </is>
      </c>
      <c r="G1585" s="23" t="inlineStr">
        <is>
          <t>Group decision (81 records sharing one decision state), carried forward</t>
        </is>
      </c>
      <c r="H1585" s="23" t="inlineStr">
        <is>
          <t xml:space="preserve">RETAINED / UNSURE; </t>
        </is>
      </c>
      <c r="I1585" s="23" t="inlineStr">
        <is>
          <t>Carried forward</t>
        </is>
      </c>
      <c r="J1585" s="14" t="inlineStr">
        <is>
          <t>08 CROSSWALK</t>
        </is>
      </c>
    </row>
    <row r="1586" ht="49" customHeight="1">
      <c r="A1586" s="23" t="inlineStr">
        <is>
          <t>R1440-v3</t>
        </is>
      </c>
      <c r="B1586" s="23" t="inlineStr">
        <is>
          <t>Cost &amp; Forecast Control Accounts / CST-05-038</t>
        </is>
      </c>
      <c r="C1586" s="23" t="inlineStr">
        <is>
          <t>Cost Account = CA-5038</t>
        </is>
      </c>
      <c r="D1586" s="23" t="inlineStr">
        <is>
          <t>Proposed by Professional; target UNSURE</t>
        </is>
      </c>
      <c r="E1586" s="23" t="inlineStr">
        <is>
          <t>None recorded</t>
        </is>
      </c>
      <c r="F1586" s="23" t="inlineStr">
        <is>
          <t>Maya Chen, Owner Project Controls: Earlier professional decision, carried forward</t>
        </is>
      </c>
      <c r="G1586" s="23" t="inlineStr">
        <is>
          <t>Group decision (81 records sharing one decision state), carried forward</t>
        </is>
      </c>
      <c r="H1586" s="23" t="inlineStr">
        <is>
          <t xml:space="preserve">RETAINED / UNSURE; </t>
        </is>
      </c>
      <c r="I1586" s="23" t="inlineStr">
        <is>
          <t>Carried forward</t>
        </is>
      </c>
      <c r="J1586" s="14" t="inlineStr">
        <is>
          <t>08 CROSSWALK</t>
        </is>
      </c>
    </row>
    <row r="1587" ht="49" customHeight="1">
      <c r="A1587" s="23" t="inlineStr">
        <is>
          <t>R1441-v3</t>
        </is>
      </c>
      <c r="B1587" s="23" t="inlineStr">
        <is>
          <t>Cost &amp; Forecast Control Accounts / CST-05-039</t>
        </is>
      </c>
      <c r="C1587" s="23" t="inlineStr">
        <is>
          <t>Cost Account = CA-5039</t>
        </is>
      </c>
      <c r="D1587" s="23" t="inlineStr">
        <is>
          <t>Proposed by Professional; target UNSURE</t>
        </is>
      </c>
      <c r="E1587" s="23" t="inlineStr">
        <is>
          <t>None recorded</t>
        </is>
      </c>
      <c r="F1587" s="23" t="inlineStr">
        <is>
          <t>Maya Chen, Owner Project Controls: Earlier professional decision, carried forward</t>
        </is>
      </c>
      <c r="G1587" s="23" t="inlineStr">
        <is>
          <t>Group decision (81 records sharing one decision state), carried forward</t>
        </is>
      </c>
      <c r="H1587" s="23" t="inlineStr">
        <is>
          <t xml:space="preserve">RETAINED / UNSURE; </t>
        </is>
      </c>
      <c r="I1587" s="23" t="inlineStr">
        <is>
          <t>Carried forward</t>
        </is>
      </c>
      <c r="J1587" s="14" t="inlineStr">
        <is>
          <t>08 CROSSWALK</t>
        </is>
      </c>
    </row>
    <row r="1588" ht="49" customHeight="1">
      <c r="A1588" s="23" t="inlineStr">
        <is>
          <t>R1442-v3</t>
        </is>
      </c>
      <c r="B1588" s="23" t="inlineStr">
        <is>
          <t>Cost &amp; Forecast Control Accounts / CST-05-040</t>
        </is>
      </c>
      <c r="C1588" s="23" t="inlineStr">
        <is>
          <t>Cost Account = CA-5040</t>
        </is>
      </c>
      <c r="D1588" s="23" t="inlineStr">
        <is>
          <t>Proposed by Professional; target UNSURE</t>
        </is>
      </c>
      <c r="E1588" s="23" t="inlineStr">
        <is>
          <t>None recorded</t>
        </is>
      </c>
      <c r="F1588" s="23" t="inlineStr">
        <is>
          <t>Maya Chen, Owner Project Controls: Earlier professional decision, carried forward</t>
        </is>
      </c>
      <c r="G1588" s="23" t="inlineStr">
        <is>
          <t>Group decision (81 records sharing one decision state), carried forward</t>
        </is>
      </c>
      <c r="H1588" s="23" t="inlineStr">
        <is>
          <t xml:space="preserve">RETAINED / UNSURE; </t>
        </is>
      </c>
      <c r="I1588" s="23" t="inlineStr">
        <is>
          <t>Carried forward</t>
        </is>
      </c>
      <c r="J1588" s="14" t="inlineStr">
        <is>
          <t>08 CROSSWALK</t>
        </is>
      </c>
    </row>
    <row r="1589" ht="49" customHeight="1">
      <c r="A1589" s="23" t="inlineStr">
        <is>
          <t>R1443-v3</t>
        </is>
      </c>
      <c r="B1589" s="23" t="inlineStr">
        <is>
          <t>Cost &amp; Forecast Control Accounts / CST-05-041</t>
        </is>
      </c>
      <c r="C1589" s="23" t="inlineStr">
        <is>
          <t>Cost Account = CA-5041</t>
        </is>
      </c>
      <c r="D1589" s="23" t="inlineStr">
        <is>
          <t>Proposed by Professional; target UNSURE</t>
        </is>
      </c>
      <c r="E1589" s="23" t="inlineStr">
        <is>
          <t>None recorded</t>
        </is>
      </c>
      <c r="F1589" s="23" t="inlineStr">
        <is>
          <t>Maya Chen, Owner Project Controls: Earlier professional decision, carried forward</t>
        </is>
      </c>
      <c r="G1589" s="23" t="inlineStr">
        <is>
          <t>Group decision (81 records sharing one decision state), carried forward</t>
        </is>
      </c>
      <c r="H1589" s="23" t="inlineStr">
        <is>
          <t xml:space="preserve">RETAINED / UNSURE; </t>
        </is>
      </c>
      <c r="I1589" s="23" t="inlineStr">
        <is>
          <t>Carried forward</t>
        </is>
      </c>
      <c r="J1589" s="14" t="inlineStr">
        <is>
          <t>08 CROSSWALK</t>
        </is>
      </c>
    </row>
    <row r="1590" ht="49" customHeight="1">
      <c r="A1590" s="23" t="inlineStr">
        <is>
          <t>R1444-v3</t>
        </is>
      </c>
      <c r="B1590" s="23" t="inlineStr">
        <is>
          <t>Cost &amp; Forecast Control Accounts / CST-05-042</t>
        </is>
      </c>
      <c r="C1590" s="23" t="inlineStr">
        <is>
          <t>Cost Account = CA-5042</t>
        </is>
      </c>
      <c r="D1590" s="23" t="inlineStr">
        <is>
          <t>Proposed by Professional; target UNSURE</t>
        </is>
      </c>
      <c r="E1590" s="23" t="inlineStr">
        <is>
          <t>None recorded</t>
        </is>
      </c>
      <c r="F1590" s="23" t="inlineStr">
        <is>
          <t>Maya Chen, Owner Project Controls: Earlier professional decision, carried forward</t>
        </is>
      </c>
      <c r="G1590" s="23" t="inlineStr">
        <is>
          <t>Group decision (81 records sharing one decision state), carried forward</t>
        </is>
      </c>
      <c r="H1590" s="23" t="inlineStr">
        <is>
          <t xml:space="preserve">RETAINED / UNSURE; </t>
        </is>
      </c>
      <c r="I1590" s="23" t="inlineStr">
        <is>
          <t>Carried forward</t>
        </is>
      </c>
      <c r="J1590" s="14" t="inlineStr">
        <is>
          <t>08 CROSSWALK</t>
        </is>
      </c>
    </row>
    <row r="1591" ht="49" customHeight="1">
      <c r="A1591" s="23" t="inlineStr">
        <is>
          <t>R1445-v3</t>
        </is>
      </c>
      <c r="B1591" s="23" t="inlineStr">
        <is>
          <t>Cost &amp; Forecast Control Accounts / CST-05-043</t>
        </is>
      </c>
      <c r="C1591" s="23" t="inlineStr">
        <is>
          <t>Cost Account = CA-5043</t>
        </is>
      </c>
      <c r="D1591" s="23" t="inlineStr">
        <is>
          <t>Proposed by Professional; target UNSURE</t>
        </is>
      </c>
      <c r="E1591" s="23" t="inlineStr">
        <is>
          <t>None recorded</t>
        </is>
      </c>
      <c r="F1591" s="23" t="inlineStr">
        <is>
          <t>Maya Chen, Owner Project Controls: Earlier professional decision, carried forward</t>
        </is>
      </c>
      <c r="G1591" s="23" t="inlineStr">
        <is>
          <t>Group decision (81 records sharing one decision state), carried forward</t>
        </is>
      </c>
      <c r="H1591" s="23" t="inlineStr">
        <is>
          <t xml:space="preserve">RETAINED / UNSURE; </t>
        </is>
      </c>
      <c r="I1591" s="23" t="inlineStr">
        <is>
          <t>Carried forward</t>
        </is>
      </c>
      <c r="J1591" s="14" t="inlineStr">
        <is>
          <t>08 CROSSWALK</t>
        </is>
      </c>
    </row>
    <row r="1592" ht="49" customHeight="1">
      <c r="A1592" s="23" t="inlineStr">
        <is>
          <t>R1446-v3</t>
        </is>
      </c>
      <c r="B1592" s="23" t="inlineStr">
        <is>
          <t>Cost &amp; Forecast Control Accounts / CST-05-044</t>
        </is>
      </c>
      <c r="C1592" s="23" t="inlineStr">
        <is>
          <t>Cost Account = CA-5044</t>
        </is>
      </c>
      <c r="D1592" s="23" t="inlineStr">
        <is>
          <t>Proposed by Professional; target UNSURE</t>
        </is>
      </c>
      <c r="E1592" s="23" t="inlineStr">
        <is>
          <t>None recorded</t>
        </is>
      </c>
      <c r="F1592" s="23" t="inlineStr">
        <is>
          <t>Maya Chen, Owner Project Controls: Earlier professional decision, carried forward</t>
        </is>
      </c>
      <c r="G1592" s="23" t="inlineStr">
        <is>
          <t>Group decision (81 records sharing one decision state), carried forward</t>
        </is>
      </c>
      <c r="H1592" s="23" t="inlineStr">
        <is>
          <t xml:space="preserve">RETAINED / UNSURE; </t>
        </is>
      </c>
      <c r="I1592" s="23" t="inlineStr">
        <is>
          <t>Carried forward</t>
        </is>
      </c>
      <c r="J1592" s="14" t="inlineStr">
        <is>
          <t>08 CROSSWALK</t>
        </is>
      </c>
    </row>
    <row r="1593" ht="49" customHeight="1">
      <c r="A1593" s="23" t="inlineStr">
        <is>
          <t>R1447-v3</t>
        </is>
      </c>
      <c r="B1593" s="23" t="inlineStr">
        <is>
          <t>Cost &amp; Forecast Control Accounts / CST-05-045</t>
        </is>
      </c>
      <c r="C1593" s="23" t="inlineStr">
        <is>
          <t>Cost Account = CA-5045</t>
        </is>
      </c>
      <c r="D1593" s="23" t="inlineStr">
        <is>
          <t>Proposed by Professional; target UNSURE</t>
        </is>
      </c>
      <c r="E1593" s="23" t="inlineStr">
        <is>
          <t>None recorded</t>
        </is>
      </c>
      <c r="F1593" s="23" t="inlineStr">
        <is>
          <t>Maya Chen, Owner Project Controls: Earlier professional decision, carried forward</t>
        </is>
      </c>
      <c r="G1593" s="23" t="inlineStr">
        <is>
          <t>Group decision (81 records sharing one decision state), carried forward</t>
        </is>
      </c>
      <c r="H1593" s="23" t="inlineStr">
        <is>
          <t xml:space="preserve">RETAINED / UNSURE; </t>
        </is>
      </c>
      <c r="I1593" s="23" t="inlineStr">
        <is>
          <t>Carried forward</t>
        </is>
      </c>
      <c r="J1593" s="14" t="inlineStr">
        <is>
          <t>08 CROSSWALK</t>
        </is>
      </c>
    </row>
    <row r="1594" ht="49" customHeight="1">
      <c r="A1594" s="23" t="inlineStr">
        <is>
          <t>R1448-v3</t>
        </is>
      </c>
      <c r="B1594" s="23" t="inlineStr">
        <is>
          <t>Cost &amp; Forecast Control Accounts / CST-05-046</t>
        </is>
      </c>
      <c r="C1594" s="23" t="inlineStr">
        <is>
          <t>Cost Account = CA-5046</t>
        </is>
      </c>
      <c r="D1594" s="23" t="inlineStr">
        <is>
          <t>Proposed by Professional; target UNSURE</t>
        </is>
      </c>
      <c r="E1594" s="23" t="inlineStr">
        <is>
          <t>None recorded</t>
        </is>
      </c>
      <c r="F1594" s="23" t="inlineStr">
        <is>
          <t>Maya Chen, Owner Project Controls: Earlier professional decision, carried forward</t>
        </is>
      </c>
      <c r="G1594" s="23" t="inlineStr">
        <is>
          <t>Group decision (81 records sharing one decision state), carried forward</t>
        </is>
      </c>
      <c r="H1594" s="23" t="inlineStr">
        <is>
          <t xml:space="preserve">RETAINED / UNSURE; </t>
        </is>
      </c>
      <c r="I1594" s="23" t="inlineStr">
        <is>
          <t>Carried forward</t>
        </is>
      </c>
      <c r="J1594" s="14" t="inlineStr">
        <is>
          <t>08 CROSSWALK</t>
        </is>
      </c>
    </row>
    <row r="1595" ht="49" customHeight="1">
      <c r="A1595" s="23" t="inlineStr">
        <is>
          <t>R1449-v3</t>
        </is>
      </c>
      <c r="B1595" s="23" t="inlineStr">
        <is>
          <t>Cost &amp; Forecast Control Accounts / CST-05-047</t>
        </is>
      </c>
      <c r="C1595" s="23" t="inlineStr">
        <is>
          <t>Cost Account = CA-5047</t>
        </is>
      </c>
      <c r="D1595" s="23" t="inlineStr">
        <is>
          <t>Proposed by Professional; target UNSURE</t>
        </is>
      </c>
      <c r="E1595" s="23" t="inlineStr">
        <is>
          <t>None recorded</t>
        </is>
      </c>
      <c r="F1595" s="23" t="inlineStr">
        <is>
          <t>Maya Chen, Owner Project Controls: Earlier professional decision, carried forward</t>
        </is>
      </c>
      <c r="G1595" s="23" t="inlineStr">
        <is>
          <t>Group decision (81 records sharing one decision state), carried forward</t>
        </is>
      </c>
      <c r="H1595" s="23" t="inlineStr">
        <is>
          <t xml:space="preserve">RETAINED / UNSURE; </t>
        </is>
      </c>
      <c r="I1595" s="23" t="inlineStr">
        <is>
          <t>Carried forward</t>
        </is>
      </c>
      <c r="J1595" s="14" t="inlineStr">
        <is>
          <t>08 CROSSWALK</t>
        </is>
      </c>
    </row>
    <row r="1596" ht="49" customHeight="1">
      <c r="A1596" s="23" t="inlineStr">
        <is>
          <t>R1450-v3</t>
        </is>
      </c>
      <c r="B1596" s="23" t="inlineStr">
        <is>
          <t>Cost &amp; Forecast Control Accounts / CST-05-048</t>
        </is>
      </c>
      <c r="C1596" s="23" t="inlineStr">
        <is>
          <t>Cost Account = CA-5048</t>
        </is>
      </c>
      <c r="D1596" s="23" t="inlineStr">
        <is>
          <t>Proposed by Professional; target UNSURE</t>
        </is>
      </c>
      <c r="E1596" s="23" t="inlineStr">
        <is>
          <t>None recorded</t>
        </is>
      </c>
      <c r="F1596" s="23" t="inlineStr">
        <is>
          <t>Maya Chen, Owner Project Controls: Earlier professional decision, carried forward</t>
        </is>
      </c>
      <c r="G1596" s="23" t="inlineStr">
        <is>
          <t>Group decision (81 records sharing one decision state), carried forward</t>
        </is>
      </c>
      <c r="H1596" s="23" t="inlineStr">
        <is>
          <t xml:space="preserve">RETAINED / UNSURE; </t>
        </is>
      </c>
      <c r="I1596" s="23" t="inlineStr">
        <is>
          <t>Carried forward</t>
        </is>
      </c>
      <c r="J1596" s="14" t="inlineStr">
        <is>
          <t>08 CROSSWALK</t>
        </is>
      </c>
    </row>
    <row r="1597" ht="49" customHeight="1">
      <c r="A1597" s="23" t="inlineStr">
        <is>
          <t>R1451-v3</t>
        </is>
      </c>
      <c r="B1597" s="23" t="inlineStr">
        <is>
          <t>Cost &amp; Forecast Control Accounts / CST-05-049</t>
        </is>
      </c>
      <c r="C1597" s="23" t="inlineStr">
        <is>
          <t>Cost Account = CA-5049</t>
        </is>
      </c>
      <c r="D1597" s="23" t="inlineStr">
        <is>
          <t>Proposed by Professional; target UNSURE</t>
        </is>
      </c>
      <c r="E1597" s="23" t="inlineStr">
        <is>
          <t>None recorded</t>
        </is>
      </c>
      <c r="F1597" s="23" t="inlineStr">
        <is>
          <t>Maya Chen, Owner Project Controls: Earlier professional decision, carried forward</t>
        </is>
      </c>
      <c r="G1597" s="23" t="inlineStr">
        <is>
          <t>Group decision (81 records sharing one decision state), carried forward</t>
        </is>
      </c>
      <c r="H1597" s="23" t="inlineStr">
        <is>
          <t xml:space="preserve">RETAINED / UNSURE; </t>
        </is>
      </c>
      <c r="I1597" s="23" t="inlineStr">
        <is>
          <t>Carried forward</t>
        </is>
      </c>
      <c r="J1597" s="14" t="inlineStr">
        <is>
          <t>08 CROSSWALK</t>
        </is>
      </c>
    </row>
    <row r="1598" ht="49" customHeight="1">
      <c r="A1598" s="23" t="inlineStr">
        <is>
          <t>R1452-v3</t>
        </is>
      </c>
      <c r="B1598" s="23" t="inlineStr">
        <is>
          <t>Cost &amp; Forecast Control Accounts / CST-05-050</t>
        </is>
      </c>
      <c r="C1598" s="23" t="inlineStr">
        <is>
          <t>Cost Account = CA-5050</t>
        </is>
      </c>
      <c r="D1598" s="23" t="inlineStr">
        <is>
          <t>Proposed by Professional; target UNSURE</t>
        </is>
      </c>
      <c r="E1598" s="23" t="inlineStr">
        <is>
          <t>None recorded</t>
        </is>
      </c>
      <c r="F1598" s="23" t="inlineStr">
        <is>
          <t>Maya Chen, Owner Project Controls: Earlier professional decision, carried forward</t>
        </is>
      </c>
      <c r="G1598" s="23" t="inlineStr">
        <is>
          <t>Group decision (81 records sharing one decision state), carried forward</t>
        </is>
      </c>
      <c r="H1598" s="23" t="inlineStr">
        <is>
          <t xml:space="preserve">RETAINED / UNSURE; </t>
        </is>
      </c>
      <c r="I1598" s="23" t="inlineStr">
        <is>
          <t>Carried forward</t>
        </is>
      </c>
      <c r="J1598" s="14" t="inlineStr">
        <is>
          <t>08 CROSSWALK</t>
        </is>
      </c>
    </row>
    <row r="1599" ht="49" customHeight="1">
      <c r="A1599" s="23" t="inlineStr">
        <is>
          <t>R1453-v3</t>
        </is>
      </c>
      <c r="B1599" s="23" t="inlineStr">
        <is>
          <t>Cost &amp; Forecast Control Accounts / CST-05-051</t>
        </is>
      </c>
      <c r="C1599" s="23" t="inlineStr">
        <is>
          <t>Cost Account = CA-5051</t>
        </is>
      </c>
      <c r="D1599" s="23" t="inlineStr">
        <is>
          <t>Proposed by Professional; target UNSURE</t>
        </is>
      </c>
      <c r="E1599" s="23" t="inlineStr">
        <is>
          <t>None recorded</t>
        </is>
      </c>
      <c r="F1599" s="23" t="inlineStr">
        <is>
          <t>Maya Chen, Owner Project Controls: Earlier professional decision, carried forward</t>
        </is>
      </c>
      <c r="G1599" s="23" t="inlineStr">
        <is>
          <t>Group decision (81 records sharing one decision state), carried forward</t>
        </is>
      </c>
      <c r="H1599" s="23" t="inlineStr">
        <is>
          <t xml:space="preserve">RETAINED / UNSURE; </t>
        </is>
      </c>
      <c r="I1599" s="23" t="inlineStr">
        <is>
          <t>Carried forward</t>
        </is>
      </c>
      <c r="J1599" s="14" t="inlineStr">
        <is>
          <t>08 CROSSWALK</t>
        </is>
      </c>
    </row>
    <row r="1600" ht="49" customHeight="1">
      <c r="A1600" s="23" t="inlineStr">
        <is>
          <t>R1454-v3</t>
        </is>
      </c>
      <c r="B1600" s="23" t="inlineStr">
        <is>
          <t>Cost &amp; Forecast Control Accounts / CST-05-052</t>
        </is>
      </c>
      <c r="C1600" s="23" t="inlineStr">
        <is>
          <t>Cost Account = CA-5052</t>
        </is>
      </c>
      <c r="D1600" s="23" t="inlineStr">
        <is>
          <t>Proposed by Professional; target UNSURE</t>
        </is>
      </c>
      <c r="E1600" s="23" t="inlineStr">
        <is>
          <t>None recorded</t>
        </is>
      </c>
      <c r="F1600" s="23" t="inlineStr">
        <is>
          <t>Maya Chen, Owner Project Controls: Earlier professional decision, carried forward</t>
        </is>
      </c>
      <c r="G1600" s="23" t="inlineStr">
        <is>
          <t>Group decision (81 records sharing one decision state), carried forward</t>
        </is>
      </c>
      <c r="H1600" s="23" t="inlineStr">
        <is>
          <t xml:space="preserve">RETAINED / UNSURE; </t>
        </is>
      </c>
      <c r="I1600" s="23" t="inlineStr">
        <is>
          <t>Carried forward</t>
        </is>
      </c>
      <c r="J1600" s="14" t="inlineStr">
        <is>
          <t>08 CROSSWALK</t>
        </is>
      </c>
    </row>
    <row r="1601" ht="49" customHeight="1">
      <c r="A1601" s="23" t="inlineStr">
        <is>
          <t>R1455-v3</t>
        </is>
      </c>
      <c r="B1601" s="23" t="inlineStr">
        <is>
          <t>Cost &amp; Forecast Control Accounts / CST-05-053</t>
        </is>
      </c>
      <c r="C1601" s="23" t="inlineStr">
        <is>
          <t>Cost Account = CA-5053</t>
        </is>
      </c>
      <c r="D1601" s="23" t="inlineStr">
        <is>
          <t>Proposed by Professional; target UNSURE</t>
        </is>
      </c>
      <c r="E1601" s="23" t="inlineStr">
        <is>
          <t>None recorded</t>
        </is>
      </c>
      <c r="F1601" s="23" t="inlineStr">
        <is>
          <t>Maya Chen, Owner Project Controls: Earlier professional decision, carried forward</t>
        </is>
      </c>
      <c r="G1601" s="23" t="inlineStr">
        <is>
          <t>Group decision (81 records sharing one decision state), carried forward</t>
        </is>
      </c>
      <c r="H1601" s="23" t="inlineStr">
        <is>
          <t xml:space="preserve">RETAINED / UNSURE; </t>
        </is>
      </c>
      <c r="I1601" s="23" t="inlineStr">
        <is>
          <t>Carried forward</t>
        </is>
      </c>
      <c r="J1601" s="14" t="inlineStr">
        <is>
          <t>08 CROSSWALK</t>
        </is>
      </c>
    </row>
    <row r="1602" ht="49" customHeight="1">
      <c r="A1602" s="23" t="inlineStr">
        <is>
          <t>R1456-v3</t>
        </is>
      </c>
      <c r="B1602" s="23" t="inlineStr">
        <is>
          <t>Cost &amp; Forecast Control Accounts / CST-05-054</t>
        </is>
      </c>
      <c r="C1602" s="23" t="inlineStr">
        <is>
          <t>Cost Account = CA-5054</t>
        </is>
      </c>
      <c r="D1602" s="23" t="inlineStr">
        <is>
          <t>Proposed by Professional; target UNSURE</t>
        </is>
      </c>
      <c r="E1602" s="23" t="inlineStr">
        <is>
          <t>None recorded</t>
        </is>
      </c>
      <c r="F1602" s="23" t="inlineStr">
        <is>
          <t>Maya Chen, Owner Project Controls: Earlier professional decision, carried forward</t>
        </is>
      </c>
      <c r="G1602" s="23" t="inlineStr">
        <is>
          <t>Group decision (81 records sharing one decision state), carried forward</t>
        </is>
      </c>
      <c r="H1602" s="23" t="inlineStr">
        <is>
          <t xml:space="preserve">RETAINED / UNSURE; </t>
        </is>
      </c>
      <c r="I1602" s="23" t="inlineStr">
        <is>
          <t>Carried forward</t>
        </is>
      </c>
      <c r="J1602" s="14" t="inlineStr">
        <is>
          <t>08 CROSSWALK</t>
        </is>
      </c>
    </row>
    <row r="1603" ht="49" customHeight="1">
      <c r="A1603" s="23" t="inlineStr">
        <is>
          <t>R1457-v3</t>
        </is>
      </c>
      <c r="B1603" s="23" t="inlineStr">
        <is>
          <t>Cost &amp; Forecast Control Accounts / CST-05-055</t>
        </is>
      </c>
      <c r="C1603" s="23" t="inlineStr">
        <is>
          <t>Cost Account = CA-5055</t>
        </is>
      </c>
      <c r="D1603" s="23" t="inlineStr">
        <is>
          <t>Proposed by Professional; target UNSURE</t>
        </is>
      </c>
      <c r="E1603" s="23" t="inlineStr">
        <is>
          <t>None recorded</t>
        </is>
      </c>
      <c r="F1603" s="23" t="inlineStr">
        <is>
          <t>Maya Chen, Owner Project Controls: Earlier professional decision, carried forward</t>
        </is>
      </c>
      <c r="G1603" s="23" t="inlineStr">
        <is>
          <t>Group decision (81 records sharing one decision state), carried forward</t>
        </is>
      </c>
      <c r="H1603" s="23" t="inlineStr">
        <is>
          <t xml:space="preserve">RETAINED / UNSURE; </t>
        </is>
      </c>
      <c r="I1603" s="23" t="inlineStr">
        <is>
          <t>Carried forward</t>
        </is>
      </c>
      <c r="J1603" s="14" t="inlineStr">
        <is>
          <t>08 CROSSWALK</t>
        </is>
      </c>
    </row>
    <row r="1604" ht="49" customHeight="1">
      <c r="A1604" s="23" t="inlineStr">
        <is>
          <t>R1458-v3</t>
        </is>
      </c>
      <c r="B1604" s="23" t="inlineStr">
        <is>
          <t>Cost &amp; Forecast Control Accounts / CST-05-056</t>
        </is>
      </c>
      <c r="C1604" s="23" t="inlineStr">
        <is>
          <t>Cost Account = CA-5056</t>
        </is>
      </c>
      <c r="D1604" s="23" t="inlineStr">
        <is>
          <t>Proposed by Professional; target UNSURE</t>
        </is>
      </c>
      <c r="E1604" s="23" t="inlineStr">
        <is>
          <t>None recorded</t>
        </is>
      </c>
      <c r="F1604" s="23" t="inlineStr">
        <is>
          <t>Maya Chen, Owner Project Controls: Earlier professional decision, carried forward</t>
        </is>
      </c>
      <c r="G1604" s="23" t="inlineStr">
        <is>
          <t>Group decision (81 records sharing one decision state), carried forward</t>
        </is>
      </c>
      <c r="H1604" s="23" t="inlineStr">
        <is>
          <t xml:space="preserve">RETAINED / UNSURE; </t>
        </is>
      </c>
      <c r="I1604" s="23" t="inlineStr">
        <is>
          <t>Carried forward</t>
        </is>
      </c>
      <c r="J1604" s="14" t="inlineStr">
        <is>
          <t>08 CROSSWALK</t>
        </is>
      </c>
    </row>
    <row r="1605" ht="49" customHeight="1">
      <c r="A1605" s="23" t="inlineStr">
        <is>
          <t>R1459-v3</t>
        </is>
      </c>
      <c r="B1605" s="23" t="inlineStr">
        <is>
          <t>Cost &amp; Forecast Control Accounts / CST-05-057</t>
        </is>
      </c>
      <c r="C1605" s="23" t="inlineStr">
        <is>
          <t>Cost Account = CA-5057</t>
        </is>
      </c>
      <c r="D1605" s="23" t="inlineStr">
        <is>
          <t>Proposed by Professional; target UNSURE</t>
        </is>
      </c>
      <c r="E1605" s="23" t="inlineStr">
        <is>
          <t>None recorded</t>
        </is>
      </c>
      <c r="F1605" s="23" t="inlineStr">
        <is>
          <t>Maya Chen, Owner Project Controls: Earlier professional decision, carried forward</t>
        </is>
      </c>
      <c r="G1605" s="23" t="inlineStr">
        <is>
          <t>Group decision (81 records sharing one decision state), carried forward</t>
        </is>
      </c>
      <c r="H1605" s="23" t="inlineStr">
        <is>
          <t xml:space="preserve">RETAINED / UNSURE; </t>
        </is>
      </c>
      <c r="I1605" s="23" t="inlineStr">
        <is>
          <t>Carried forward</t>
        </is>
      </c>
      <c r="J1605" s="14" t="inlineStr">
        <is>
          <t>08 CROSSWALK</t>
        </is>
      </c>
    </row>
    <row r="1606" ht="49" customHeight="1">
      <c r="A1606" s="23" t="inlineStr">
        <is>
          <t>R1460-v3</t>
        </is>
      </c>
      <c r="B1606" s="23" t="inlineStr">
        <is>
          <t>Cost &amp; Forecast Control Accounts / CST-05-058</t>
        </is>
      </c>
      <c r="C1606" s="23" t="inlineStr">
        <is>
          <t>Cost Account = CA-5058</t>
        </is>
      </c>
      <c r="D1606" s="23" t="inlineStr">
        <is>
          <t>Proposed by Professional; target UNSURE</t>
        </is>
      </c>
      <c r="E1606" s="23" t="inlineStr">
        <is>
          <t>None recorded</t>
        </is>
      </c>
      <c r="F1606" s="23" t="inlineStr">
        <is>
          <t>Maya Chen, Owner Project Controls: Earlier professional decision, carried forward</t>
        </is>
      </c>
      <c r="G1606" s="23" t="inlineStr">
        <is>
          <t>Group decision (81 records sharing one decision state), carried forward</t>
        </is>
      </c>
      <c r="H1606" s="23" t="inlineStr">
        <is>
          <t xml:space="preserve">RETAINED / UNSURE; </t>
        </is>
      </c>
      <c r="I1606" s="23" t="inlineStr">
        <is>
          <t>Carried forward</t>
        </is>
      </c>
      <c r="J1606" s="14" t="inlineStr">
        <is>
          <t>08 CROSSWALK</t>
        </is>
      </c>
    </row>
    <row r="1607" ht="49" customHeight="1">
      <c r="A1607" s="23" t="inlineStr">
        <is>
          <t>R1461-v3</t>
        </is>
      </c>
      <c r="B1607" s="23" t="inlineStr">
        <is>
          <t>Cost &amp; Forecast Control Accounts / CST-05-059</t>
        </is>
      </c>
      <c r="C1607" s="23" t="inlineStr">
        <is>
          <t>Cost Account = CA-5059</t>
        </is>
      </c>
      <c r="D1607" s="23" t="inlineStr">
        <is>
          <t>Proposed by Professional; target UNSURE</t>
        </is>
      </c>
      <c r="E1607" s="23" t="inlineStr">
        <is>
          <t>None recorded</t>
        </is>
      </c>
      <c r="F1607" s="23" t="inlineStr">
        <is>
          <t>Maya Chen, Owner Project Controls: Earlier professional decision, carried forward</t>
        </is>
      </c>
      <c r="G1607" s="23" t="inlineStr">
        <is>
          <t>Group decision (81 records sharing one decision state), carried forward</t>
        </is>
      </c>
      <c r="H1607" s="23" t="inlineStr">
        <is>
          <t xml:space="preserve">RETAINED / UNSURE; </t>
        </is>
      </c>
      <c r="I1607" s="23" t="inlineStr">
        <is>
          <t>Carried forward</t>
        </is>
      </c>
      <c r="J1607" s="14" t="inlineStr">
        <is>
          <t>08 CROSSWALK</t>
        </is>
      </c>
    </row>
    <row r="1608" ht="49" customHeight="1">
      <c r="A1608" s="23" t="inlineStr">
        <is>
          <t>R1462-v3</t>
        </is>
      </c>
      <c r="B1608" s="23" t="inlineStr">
        <is>
          <t>Cost &amp; Forecast Control Accounts / CST-05-060</t>
        </is>
      </c>
      <c r="C1608" s="23" t="inlineStr">
        <is>
          <t>Cost Account = CA-5060</t>
        </is>
      </c>
      <c r="D1608" s="23" t="inlineStr">
        <is>
          <t>Proposed by Professional; target UNSURE</t>
        </is>
      </c>
      <c r="E1608" s="23" t="inlineStr">
        <is>
          <t>None recorded</t>
        </is>
      </c>
      <c r="F1608" s="23" t="inlineStr">
        <is>
          <t>Maya Chen, Owner Project Controls: Earlier professional decision, carried forward</t>
        </is>
      </c>
      <c r="G1608" s="23" t="inlineStr">
        <is>
          <t>Group decision (81 records sharing one decision state), carried forward</t>
        </is>
      </c>
      <c r="H1608" s="23" t="inlineStr">
        <is>
          <t xml:space="preserve">RETAINED / UNSURE; </t>
        </is>
      </c>
      <c r="I1608" s="23" t="inlineStr">
        <is>
          <t>Carried forward</t>
        </is>
      </c>
      <c r="J1608" s="14" t="inlineStr">
        <is>
          <t>08 CROSSWALK</t>
        </is>
      </c>
    </row>
    <row r="1609" ht="49" customHeight="1">
      <c r="A1609" s="23" t="inlineStr">
        <is>
          <t>R1463-v3</t>
        </is>
      </c>
      <c r="B1609" s="23" t="inlineStr">
        <is>
          <t>Cost &amp; Forecast Control Accounts / CST-05-061</t>
        </is>
      </c>
      <c r="C1609" s="23" t="inlineStr">
        <is>
          <t>Cost Account = CA-5061</t>
        </is>
      </c>
      <c r="D1609" s="23" t="inlineStr">
        <is>
          <t>Proposed by Professional; target UNSURE</t>
        </is>
      </c>
      <c r="E1609" s="23" t="inlineStr">
        <is>
          <t>None recorded</t>
        </is>
      </c>
      <c r="F1609" s="23" t="inlineStr">
        <is>
          <t>Maya Chen, Owner Project Controls: Earlier professional decision, carried forward</t>
        </is>
      </c>
      <c r="G1609" s="23" t="inlineStr">
        <is>
          <t>Group decision (81 records sharing one decision state), carried forward</t>
        </is>
      </c>
      <c r="H1609" s="23" t="inlineStr">
        <is>
          <t xml:space="preserve">RETAINED / UNSURE; </t>
        </is>
      </c>
      <c r="I1609" s="23" t="inlineStr">
        <is>
          <t>Carried forward</t>
        </is>
      </c>
      <c r="J1609" s="14" t="inlineStr">
        <is>
          <t>08 CROSSWALK</t>
        </is>
      </c>
    </row>
    <row r="1610" ht="49" customHeight="1">
      <c r="A1610" s="23" t="inlineStr">
        <is>
          <t>R1464-v3</t>
        </is>
      </c>
      <c r="B1610" s="23" t="inlineStr">
        <is>
          <t>Cost &amp; Forecast Control Accounts / CST-05-062</t>
        </is>
      </c>
      <c r="C1610" s="23" t="inlineStr">
        <is>
          <t>Cost Account = CA-5062</t>
        </is>
      </c>
      <c r="D1610" s="23" t="inlineStr">
        <is>
          <t>Proposed by Professional; target UNSURE</t>
        </is>
      </c>
      <c r="E1610" s="23" t="inlineStr">
        <is>
          <t>None recorded</t>
        </is>
      </c>
      <c r="F1610" s="23" t="inlineStr">
        <is>
          <t>Maya Chen, Owner Project Controls: Earlier professional decision, carried forward</t>
        </is>
      </c>
      <c r="G1610" s="23" t="inlineStr">
        <is>
          <t>Group decision (81 records sharing one decision state), carried forward</t>
        </is>
      </c>
      <c r="H1610" s="23" t="inlineStr">
        <is>
          <t xml:space="preserve">RETAINED / UNSURE; </t>
        </is>
      </c>
      <c r="I1610" s="23" t="inlineStr">
        <is>
          <t>Carried forward</t>
        </is>
      </c>
      <c r="J1610" s="14" t="inlineStr">
        <is>
          <t>08 CROSSWALK</t>
        </is>
      </c>
    </row>
    <row r="1611" ht="49" customHeight="1">
      <c r="A1611" s="23" t="inlineStr">
        <is>
          <t>R1465-v3</t>
        </is>
      </c>
      <c r="B1611" s="23" t="inlineStr">
        <is>
          <t>Cost &amp; Forecast Control Accounts / CST-05-063</t>
        </is>
      </c>
      <c r="C1611" s="23" t="inlineStr">
        <is>
          <t>Cost Account = CA-5063</t>
        </is>
      </c>
      <c r="D1611" s="23" t="inlineStr">
        <is>
          <t>Proposed by Professional; target UNSURE</t>
        </is>
      </c>
      <c r="E1611" s="23" t="inlineStr">
        <is>
          <t>None recorded</t>
        </is>
      </c>
      <c r="F1611" s="23" t="inlineStr">
        <is>
          <t>Maya Chen, Owner Project Controls: Earlier professional decision, carried forward</t>
        </is>
      </c>
      <c r="G1611" s="23" t="inlineStr">
        <is>
          <t>Group decision (81 records sharing one decision state), carried forward</t>
        </is>
      </c>
      <c r="H1611" s="23" t="inlineStr">
        <is>
          <t xml:space="preserve">RETAINED / UNSURE; </t>
        </is>
      </c>
      <c r="I1611" s="23" t="inlineStr">
        <is>
          <t>Carried forward</t>
        </is>
      </c>
      <c r="J1611" s="14" t="inlineStr">
        <is>
          <t>08 CROSSWALK</t>
        </is>
      </c>
    </row>
    <row r="1612" ht="49" customHeight="1">
      <c r="A1612" s="23" t="inlineStr">
        <is>
          <t>R1466-v3</t>
        </is>
      </c>
      <c r="B1612" s="23" t="inlineStr">
        <is>
          <t>Cost &amp; Forecast Control Accounts / CST-05-064</t>
        </is>
      </c>
      <c r="C1612" s="23" t="inlineStr">
        <is>
          <t>Cost Account = CA-5064</t>
        </is>
      </c>
      <c r="D1612" s="23" t="inlineStr">
        <is>
          <t>Proposed by Professional; target UNSURE</t>
        </is>
      </c>
      <c r="E1612" s="23" t="inlineStr">
        <is>
          <t>None recorded</t>
        </is>
      </c>
      <c r="F1612" s="23" t="inlineStr">
        <is>
          <t>Maya Chen, Owner Project Controls: Earlier professional decision, carried forward</t>
        </is>
      </c>
      <c r="G1612" s="23" t="inlineStr">
        <is>
          <t>Group decision (81 records sharing one decision state), carried forward</t>
        </is>
      </c>
      <c r="H1612" s="23" t="inlineStr">
        <is>
          <t xml:space="preserve">RETAINED / UNSURE; </t>
        </is>
      </c>
      <c r="I1612" s="23" t="inlineStr">
        <is>
          <t>Carried forward</t>
        </is>
      </c>
      <c r="J1612" s="14" t="inlineStr">
        <is>
          <t>08 CROSSWALK</t>
        </is>
      </c>
    </row>
    <row r="1613" ht="49" customHeight="1">
      <c r="A1613" s="23" t="inlineStr">
        <is>
          <t>R1467-v3</t>
        </is>
      </c>
      <c r="B1613" s="23" t="inlineStr">
        <is>
          <t>Cost &amp; Forecast Control Accounts / CST-05-065</t>
        </is>
      </c>
      <c r="C1613" s="23" t="inlineStr">
        <is>
          <t>Cost Account = CA-5065</t>
        </is>
      </c>
      <c r="D1613" s="23" t="inlineStr">
        <is>
          <t>Proposed by Professional; target UNSURE</t>
        </is>
      </c>
      <c r="E1613" s="23" t="inlineStr">
        <is>
          <t>None recorded</t>
        </is>
      </c>
      <c r="F1613" s="23" t="inlineStr">
        <is>
          <t>Maya Chen, Owner Project Controls: Earlier professional decision, carried forward</t>
        </is>
      </c>
      <c r="G1613" s="23" t="inlineStr">
        <is>
          <t>Group decision (81 records sharing one decision state), carried forward</t>
        </is>
      </c>
      <c r="H1613" s="23" t="inlineStr">
        <is>
          <t xml:space="preserve">RETAINED / UNSURE; </t>
        </is>
      </c>
      <c r="I1613" s="23" t="inlineStr">
        <is>
          <t>Carried forward</t>
        </is>
      </c>
      <c r="J1613" s="14" t="inlineStr">
        <is>
          <t>08 CROSSWALK</t>
        </is>
      </c>
    </row>
    <row r="1614" ht="49" customHeight="1">
      <c r="A1614" s="23" t="inlineStr">
        <is>
          <t>R1468-v3</t>
        </is>
      </c>
      <c r="B1614" s="23" t="inlineStr">
        <is>
          <t>Cost &amp; Forecast Control Accounts / CST-05-066</t>
        </is>
      </c>
      <c r="C1614" s="23" t="inlineStr">
        <is>
          <t>Cost Account = CA-5066</t>
        </is>
      </c>
      <c r="D1614" s="23" t="inlineStr">
        <is>
          <t>Proposed by Professional; target UNSURE</t>
        </is>
      </c>
      <c r="E1614" s="23" t="inlineStr">
        <is>
          <t>None recorded</t>
        </is>
      </c>
      <c r="F1614" s="23" t="inlineStr">
        <is>
          <t>Maya Chen, Owner Project Controls: Earlier professional decision, carried forward</t>
        </is>
      </c>
      <c r="G1614" s="23" t="inlineStr">
        <is>
          <t>Group decision (81 records sharing one decision state), carried forward</t>
        </is>
      </c>
      <c r="H1614" s="23" t="inlineStr">
        <is>
          <t xml:space="preserve">RETAINED / UNSURE; </t>
        </is>
      </c>
      <c r="I1614" s="23" t="inlineStr">
        <is>
          <t>Carried forward</t>
        </is>
      </c>
      <c r="J1614" s="14" t="inlineStr">
        <is>
          <t>08 CROSSWALK</t>
        </is>
      </c>
    </row>
    <row r="1615" ht="49" customHeight="1">
      <c r="A1615" s="23" t="inlineStr">
        <is>
          <t>R1469-v3</t>
        </is>
      </c>
      <c r="B1615" s="23" t="inlineStr">
        <is>
          <t>Cost &amp; Forecast Control Accounts / CST-05-067</t>
        </is>
      </c>
      <c r="C1615" s="23" t="inlineStr">
        <is>
          <t>Cost Account = CA-5067</t>
        </is>
      </c>
      <c r="D1615" s="23" t="inlineStr">
        <is>
          <t>Proposed by Professional; target UNSURE</t>
        </is>
      </c>
      <c r="E1615" s="23" t="inlineStr">
        <is>
          <t>None recorded</t>
        </is>
      </c>
      <c r="F1615" s="23" t="inlineStr">
        <is>
          <t>Maya Chen, Owner Project Controls: Earlier professional decision, carried forward</t>
        </is>
      </c>
      <c r="G1615" s="23" t="inlineStr">
        <is>
          <t>Group decision (81 records sharing one decision state), carried forward</t>
        </is>
      </c>
      <c r="H1615" s="23" t="inlineStr">
        <is>
          <t xml:space="preserve">RETAINED / UNSURE; </t>
        </is>
      </c>
      <c r="I1615" s="23" t="inlineStr">
        <is>
          <t>Carried forward</t>
        </is>
      </c>
      <c r="J1615" s="14" t="inlineStr">
        <is>
          <t>08 CROSSWALK</t>
        </is>
      </c>
    </row>
    <row r="1616" ht="49" customHeight="1">
      <c r="A1616" s="23" t="inlineStr">
        <is>
          <t>R1470-v3</t>
        </is>
      </c>
      <c r="B1616" s="23" t="inlineStr">
        <is>
          <t>Cost &amp; Forecast Control Accounts / CST-05-068</t>
        </is>
      </c>
      <c r="C1616" s="23" t="inlineStr">
        <is>
          <t>Cost Account = CA-5068</t>
        </is>
      </c>
      <c r="D1616" s="23" t="inlineStr">
        <is>
          <t>Proposed by Professional; target UNSURE</t>
        </is>
      </c>
      <c r="E1616" s="23" t="inlineStr">
        <is>
          <t>None recorded</t>
        </is>
      </c>
      <c r="F1616" s="23" t="inlineStr">
        <is>
          <t>Maya Chen, Owner Project Controls: Earlier professional decision, carried forward</t>
        </is>
      </c>
      <c r="G1616" s="23" t="inlineStr">
        <is>
          <t>Group decision (81 records sharing one decision state), carried forward</t>
        </is>
      </c>
      <c r="H1616" s="23" t="inlineStr">
        <is>
          <t xml:space="preserve">RETAINED / UNSURE; </t>
        </is>
      </c>
      <c r="I1616" s="23" t="inlineStr">
        <is>
          <t>Carried forward</t>
        </is>
      </c>
      <c r="J1616" s="14" t="inlineStr">
        <is>
          <t>08 CROSSWALK</t>
        </is>
      </c>
    </row>
    <row r="1617" ht="49" customHeight="1">
      <c r="A1617" s="23" t="inlineStr">
        <is>
          <t>R1471-v3</t>
        </is>
      </c>
      <c r="B1617" s="23" t="inlineStr">
        <is>
          <t>Cost &amp; Forecast Control Accounts / CST-05-069</t>
        </is>
      </c>
      <c r="C1617" s="23" t="inlineStr">
        <is>
          <t>Cost Account = CA-5069</t>
        </is>
      </c>
      <c r="D1617" s="23" t="inlineStr">
        <is>
          <t>Proposed by Professional; target UNSURE</t>
        </is>
      </c>
      <c r="E1617" s="23" t="inlineStr">
        <is>
          <t>None recorded</t>
        </is>
      </c>
      <c r="F1617" s="23" t="inlineStr">
        <is>
          <t>Maya Chen, Owner Project Controls: Earlier professional decision, carried forward</t>
        </is>
      </c>
      <c r="G1617" s="23" t="inlineStr">
        <is>
          <t>Group decision (81 records sharing one decision state), carried forward</t>
        </is>
      </c>
      <c r="H1617" s="23" t="inlineStr">
        <is>
          <t xml:space="preserve">RETAINED / UNSURE; </t>
        </is>
      </c>
      <c r="I1617" s="23" t="inlineStr">
        <is>
          <t>Carried forward</t>
        </is>
      </c>
      <c r="J1617" s="14" t="inlineStr">
        <is>
          <t>08 CROSSWALK</t>
        </is>
      </c>
    </row>
    <row r="1618" ht="49" customHeight="1">
      <c r="A1618" s="23" t="inlineStr">
        <is>
          <t>R1472-v3</t>
        </is>
      </c>
      <c r="B1618" s="23" t="inlineStr">
        <is>
          <t>Cost &amp; Forecast Control Accounts / CST-05-070</t>
        </is>
      </c>
      <c r="C1618" s="23" t="inlineStr">
        <is>
          <t>Cost Account = CA-5070</t>
        </is>
      </c>
      <c r="D1618" s="23" t="inlineStr">
        <is>
          <t>Proposed by Professional; target UNSURE</t>
        </is>
      </c>
      <c r="E1618" s="23" t="inlineStr">
        <is>
          <t>None recorded</t>
        </is>
      </c>
      <c r="F1618" s="23" t="inlineStr">
        <is>
          <t>Maya Chen, Owner Project Controls: Earlier professional decision, carried forward</t>
        </is>
      </c>
      <c r="G1618" s="23" t="inlineStr">
        <is>
          <t>Group decision (81 records sharing one decision state), carried forward</t>
        </is>
      </c>
      <c r="H1618" s="23" t="inlineStr">
        <is>
          <t xml:space="preserve">RETAINED / UNSURE; </t>
        </is>
      </c>
      <c r="I1618" s="23" t="inlineStr">
        <is>
          <t>Carried forward</t>
        </is>
      </c>
      <c r="J1618" s="14" t="inlineStr">
        <is>
          <t>08 CROSSWALK</t>
        </is>
      </c>
    </row>
    <row r="1619" ht="49" customHeight="1">
      <c r="A1619" s="23" t="inlineStr">
        <is>
          <t>R1473-v3</t>
        </is>
      </c>
      <c r="B1619" s="23" t="inlineStr">
        <is>
          <t>Cost &amp; Forecast Control Accounts / CST-05-071</t>
        </is>
      </c>
      <c r="C1619" s="23" t="inlineStr">
        <is>
          <t>Cost Account = CA-5071</t>
        </is>
      </c>
      <c r="D1619" s="23" t="inlineStr">
        <is>
          <t>Proposed by Professional; target UNSURE</t>
        </is>
      </c>
      <c r="E1619" s="23" t="inlineStr">
        <is>
          <t>None recorded</t>
        </is>
      </c>
      <c r="F1619" s="23" t="inlineStr">
        <is>
          <t>Maya Chen, Owner Project Controls: Earlier professional decision, carried forward</t>
        </is>
      </c>
      <c r="G1619" s="23" t="inlineStr">
        <is>
          <t>Group decision (81 records sharing one decision state), carried forward</t>
        </is>
      </c>
      <c r="H1619" s="23" t="inlineStr">
        <is>
          <t xml:space="preserve">RETAINED / UNSURE; </t>
        </is>
      </c>
      <c r="I1619" s="23" t="inlineStr">
        <is>
          <t>Carried forward</t>
        </is>
      </c>
      <c r="J1619" s="14" t="inlineStr">
        <is>
          <t>08 CROSSWALK</t>
        </is>
      </c>
    </row>
    <row r="1620" ht="49" customHeight="1">
      <c r="A1620" s="23" t="inlineStr">
        <is>
          <t>R1474-v3</t>
        </is>
      </c>
      <c r="B1620" s="23" t="inlineStr">
        <is>
          <t>Cost &amp; Forecast Control Accounts / CST-05-072</t>
        </is>
      </c>
      <c r="C1620" s="23" t="inlineStr">
        <is>
          <t>Cost Account = CA-5072</t>
        </is>
      </c>
      <c r="D1620" s="23" t="inlineStr">
        <is>
          <t>Proposed by Professional; target UNSURE</t>
        </is>
      </c>
      <c r="E1620" s="23" t="inlineStr">
        <is>
          <t>None recorded</t>
        </is>
      </c>
      <c r="F1620" s="23" t="inlineStr">
        <is>
          <t>Maya Chen, Owner Project Controls: Earlier professional decision, carried forward</t>
        </is>
      </c>
      <c r="G1620" s="23" t="inlineStr">
        <is>
          <t>Group decision (81 records sharing one decision state), carried forward</t>
        </is>
      </c>
      <c r="H1620" s="23" t="inlineStr">
        <is>
          <t xml:space="preserve">RETAINED / UNSURE; </t>
        </is>
      </c>
      <c r="I1620" s="23" t="inlineStr">
        <is>
          <t>Carried forward</t>
        </is>
      </c>
      <c r="J1620" s="14" t="inlineStr">
        <is>
          <t>08 CROSSWALK</t>
        </is>
      </c>
    </row>
    <row r="1621" ht="49" customHeight="1">
      <c r="A1621" s="23" t="inlineStr">
        <is>
          <t>R1475-v3</t>
        </is>
      </c>
      <c r="B1621" s="23" t="inlineStr">
        <is>
          <t>Cost &amp; Forecast Control Accounts / CST-05-073</t>
        </is>
      </c>
      <c r="C1621" s="23" t="inlineStr">
        <is>
          <t>Cost Account = CA-5073</t>
        </is>
      </c>
      <c r="D1621" s="23" t="inlineStr">
        <is>
          <t>Proposed by Professional; target UNSURE</t>
        </is>
      </c>
      <c r="E1621" s="23" t="inlineStr">
        <is>
          <t>None recorded</t>
        </is>
      </c>
      <c r="F1621" s="23" t="inlineStr">
        <is>
          <t>Maya Chen, Owner Project Controls: Earlier professional decision, carried forward</t>
        </is>
      </c>
      <c r="G1621" s="23" t="inlineStr">
        <is>
          <t>Group decision (81 records sharing one decision state), carried forward</t>
        </is>
      </c>
      <c r="H1621" s="23" t="inlineStr">
        <is>
          <t xml:space="preserve">RETAINED / UNSURE; </t>
        </is>
      </c>
      <c r="I1621" s="23" t="inlineStr">
        <is>
          <t>Carried forward</t>
        </is>
      </c>
      <c r="J1621" s="14" t="inlineStr">
        <is>
          <t>08 CROSSWALK</t>
        </is>
      </c>
    </row>
    <row r="1622" ht="49" customHeight="1">
      <c r="A1622" s="23" t="inlineStr">
        <is>
          <t>R1476-v3</t>
        </is>
      </c>
      <c r="B1622" s="23" t="inlineStr">
        <is>
          <t>Cost &amp; Forecast Control Accounts / CST-05-074</t>
        </is>
      </c>
      <c r="C1622" s="23" t="inlineStr">
        <is>
          <t>Cost Account = CA-5074</t>
        </is>
      </c>
      <c r="D1622" s="23" t="inlineStr">
        <is>
          <t>Proposed by Professional; target UNSURE</t>
        </is>
      </c>
      <c r="E1622" s="23" t="inlineStr">
        <is>
          <t>None recorded</t>
        </is>
      </c>
      <c r="F1622" s="23" t="inlineStr">
        <is>
          <t>Maya Chen, Owner Project Controls: Earlier professional decision, carried forward</t>
        </is>
      </c>
      <c r="G1622" s="23" t="inlineStr">
        <is>
          <t>Group decision (81 records sharing one decision state), carried forward</t>
        </is>
      </c>
      <c r="H1622" s="23" t="inlineStr">
        <is>
          <t xml:space="preserve">RETAINED / UNSURE; </t>
        </is>
      </c>
      <c r="I1622" s="23" t="inlineStr">
        <is>
          <t>Carried forward</t>
        </is>
      </c>
      <c r="J1622" s="14" t="inlineStr">
        <is>
          <t>08 CROSSWALK</t>
        </is>
      </c>
    </row>
    <row r="1623" ht="49" customHeight="1">
      <c r="A1623" s="23" t="inlineStr">
        <is>
          <t>R1477-v3</t>
        </is>
      </c>
      <c r="B1623" s="23" t="inlineStr">
        <is>
          <t>Cost &amp; Forecast Control Accounts / CST-05-075</t>
        </is>
      </c>
      <c r="C1623" s="23" t="inlineStr">
        <is>
          <t>Cost Account = CA-5075</t>
        </is>
      </c>
      <c r="D1623" s="23" t="inlineStr">
        <is>
          <t>Proposed by Professional; target UNSURE</t>
        </is>
      </c>
      <c r="E1623" s="23" t="inlineStr">
        <is>
          <t>None recorded</t>
        </is>
      </c>
      <c r="F1623" s="23" t="inlineStr">
        <is>
          <t>Maya Chen, Owner Project Controls: Earlier professional decision, carried forward</t>
        </is>
      </c>
      <c r="G1623" s="23" t="inlineStr">
        <is>
          <t>Group decision (81 records sharing one decision state), carried forward</t>
        </is>
      </c>
      <c r="H1623" s="23" t="inlineStr">
        <is>
          <t xml:space="preserve">RETAINED / UNSURE; </t>
        </is>
      </c>
      <c r="I1623" s="23" t="inlineStr">
        <is>
          <t>Carried forward</t>
        </is>
      </c>
      <c r="J1623" s="14" t="inlineStr">
        <is>
          <t>08 CROSSWALK</t>
        </is>
      </c>
    </row>
    <row r="1624" ht="49" customHeight="1">
      <c r="A1624" s="23" t="inlineStr">
        <is>
          <t>R1478-v3</t>
        </is>
      </c>
      <c r="B1624" s="23" t="inlineStr">
        <is>
          <t>Cost &amp; Forecast Control Accounts / CST-05-076</t>
        </is>
      </c>
      <c r="C1624" s="23" t="inlineStr">
        <is>
          <t>Cost Account = CA-5076</t>
        </is>
      </c>
      <c r="D1624" s="23" t="inlineStr">
        <is>
          <t>Proposed by Professional; target UNSURE</t>
        </is>
      </c>
      <c r="E1624" s="23" t="inlineStr">
        <is>
          <t>None recorded</t>
        </is>
      </c>
      <c r="F1624" s="23" t="inlineStr">
        <is>
          <t>Maya Chen, Owner Project Controls: Earlier professional decision, carried forward</t>
        </is>
      </c>
      <c r="G1624" s="23" t="inlineStr">
        <is>
          <t>Group decision (81 records sharing one decision state), carried forward</t>
        </is>
      </c>
      <c r="H1624" s="23" t="inlineStr">
        <is>
          <t xml:space="preserve">RETAINED / UNSURE; </t>
        </is>
      </c>
      <c r="I1624" s="23" t="inlineStr">
        <is>
          <t>Carried forward</t>
        </is>
      </c>
      <c r="J1624" s="14" t="inlineStr">
        <is>
          <t>08 CROSSWALK</t>
        </is>
      </c>
    </row>
    <row r="1625" ht="49" customHeight="1">
      <c r="A1625" s="23" t="inlineStr">
        <is>
          <t>R1479-v3</t>
        </is>
      </c>
      <c r="B1625" s="23" t="inlineStr">
        <is>
          <t>Cost &amp; Forecast Control Accounts / CST-05-077</t>
        </is>
      </c>
      <c r="C1625" s="23" t="inlineStr">
        <is>
          <t>Cost Account = CA-5077</t>
        </is>
      </c>
      <c r="D1625" s="23" t="inlineStr">
        <is>
          <t>Proposed by Professional; target UNSURE</t>
        </is>
      </c>
      <c r="E1625" s="23" t="inlineStr">
        <is>
          <t>None recorded</t>
        </is>
      </c>
      <c r="F1625" s="23" t="inlineStr">
        <is>
          <t>Maya Chen, Owner Project Controls: Earlier professional decision, carried forward</t>
        </is>
      </c>
      <c r="G1625" s="23" t="inlineStr">
        <is>
          <t>Group decision (81 records sharing one decision state), carried forward</t>
        </is>
      </c>
      <c r="H1625" s="23" t="inlineStr">
        <is>
          <t xml:space="preserve">RETAINED / UNSURE; </t>
        </is>
      </c>
      <c r="I1625" s="23" t="inlineStr">
        <is>
          <t>Carried forward</t>
        </is>
      </c>
      <c r="J1625" s="14" t="inlineStr">
        <is>
          <t>08 CROSSWALK</t>
        </is>
      </c>
    </row>
    <row r="1626" ht="49" customHeight="1">
      <c r="A1626" s="23" t="inlineStr">
        <is>
          <t>R1480-v3</t>
        </is>
      </c>
      <c r="B1626" s="23" t="inlineStr">
        <is>
          <t>Cost &amp; Forecast Control Accounts / CST-05-078</t>
        </is>
      </c>
      <c r="C1626" s="23" t="inlineStr">
        <is>
          <t>Cost Account = CA-5078</t>
        </is>
      </c>
      <c r="D1626" s="23" t="inlineStr">
        <is>
          <t>Proposed by Professional; target UNSURE</t>
        </is>
      </c>
      <c r="E1626" s="23" t="inlineStr">
        <is>
          <t>None recorded</t>
        </is>
      </c>
      <c r="F1626" s="23" t="inlineStr">
        <is>
          <t>Maya Chen, Owner Project Controls: Earlier professional decision, carried forward</t>
        </is>
      </c>
      <c r="G1626" s="23" t="inlineStr">
        <is>
          <t>Group decision (81 records sharing one decision state), carried forward</t>
        </is>
      </c>
      <c r="H1626" s="23" t="inlineStr">
        <is>
          <t xml:space="preserve">RETAINED / UNSURE; </t>
        </is>
      </c>
      <c r="I1626" s="23" t="inlineStr">
        <is>
          <t>Carried forward</t>
        </is>
      </c>
      <c r="J1626" s="14" t="inlineStr">
        <is>
          <t>08 CROSSWALK</t>
        </is>
      </c>
    </row>
    <row r="1627" ht="49" customHeight="1">
      <c r="A1627" s="23" t="inlineStr">
        <is>
          <t>R1481-v3</t>
        </is>
      </c>
      <c r="B1627" s="23" t="inlineStr">
        <is>
          <t>Cost &amp; Forecast Control Accounts / CST-05-079</t>
        </is>
      </c>
      <c r="C1627" s="23" t="inlineStr">
        <is>
          <t>Cost Account = CA-5079</t>
        </is>
      </c>
      <c r="D1627" s="23" t="inlineStr">
        <is>
          <t>Proposed by Professional; target UNSURE</t>
        </is>
      </c>
      <c r="E1627" s="23" t="inlineStr">
        <is>
          <t>None recorded</t>
        </is>
      </c>
      <c r="F1627" s="23" t="inlineStr">
        <is>
          <t>Maya Chen, Owner Project Controls: Earlier professional decision, carried forward</t>
        </is>
      </c>
      <c r="G1627" s="23" t="inlineStr">
        <is>
          <t>Group decision (81 records sharing one decision state), carried forward</t>
        </is>
      </c>
      <c r="H1627" s="23" t="inlineStr">
        <is>
          <t xml:space="preserve">RETAINED / UNSURE; </t>
        </is>
      </c>
      <c r="I1627" s="23" t="inlineStr">
        <is>
          <t>Carried forward</t>
        </is>
      </c>
      <c r="J1627" s="14" t="inlineStr">
        <is>
          <t>08 CROSSWALK</t>
        </is>
      </c>
    </row>
    <row r="1628" ht="49" customHeight="1">
      <c r="A1628" s="23" t="inlineStr">
        <is>
          <t>R1482-v3</t>
        </is>
      </c>
      <c r="B1628" s="23" t="inlineStr">
        <is>
          <t>Cost &amp; Forecast Control Accounts / CST-05-080</t>
        </is>
      </c>
      <c r="C1628" s="23" t="inlineStr">
        <is>
          <t>Cost Account = CA-5080</t>
        </is>
      </c>
      <c r="D1628" s="23" t="inlineStr">
        <is>
          <t>Proposed by Professional; target UNSURE</t>
        </is>
      </c>
      <c r="E1628" s="23" t="inlineStr">
        <is>
          <t>None recorded</t>
        </is>
      </c>
      <c r="F1628" s="23" t="inlineStr">
        <is>
          <t>Maya Chen, Owner Project Controls: Earlier professional decision, carried forward</t>
        </is>
      </c>
      <c r="G1628" s="23" t="inlineStr">
        <is>
          <t>Group decision (81 records sharing one decision state), carried forward</t>
        </is>
      </c>
      <c r="H1628" s="23" t="inlineStr">
        <is>
          <t xml:space="preserve">RETAINED / UNSURE; </t>
        </is>
      </c>
      <c r="I1628" s="23" t="inlineStr">
        <is>
          <t>Carried forward</t>
        </is>
      </c>
      <c r="J1628" s="14" t="inlineStr">
        <is>
          <t>08 CROSSWALK</t>
        </is>
      </c>
    </row>
    <row r="1629" ht="49" customHeight="1">
      <c r="A1629" s="23" t="inlineStr">
        <is>
          <t>R1621-v2</t>
        </is>
      </c>
      <c r="B1629" s="23" t="inlineStr">
        <is>
          <t>Commercial Package Register / PKG-059</t>
        </is>
      </c>
      <c r="C1629" s="23" t="inlineStr">
        <is>
          <t>No explicit source assertion recorded</t>
        </is>
      </c>
      <c r="D1629" s="23" t="inlineStr">
        <is>
          <t>Proposed by WBS↔LINK; target 1.6 Program Management</t>
        </is>
      </c>
      <c r="E1629" s="23" t="inlineStr">
        <is>
          <t>None recorded</t>
        </is>
      </c>
      <c r="F1629" s="23" t="inlineStr">
        <is>
          <t>No individual professional decision recorded; Retired -- no longer reported</t>
        </is>
      </c>
      <c r="G1629" s="23" t="inlineStr">
        <is>
          <t>Not individually decided</t>
        </is>
      </c>
      <c r="H1629" s="23" t="inlineStr">
        <is>
          <t xml:space="preserve">RETIRED / ONE_TO_ONE; </t>
        </is>
      </c>
      <c r="I1629" s="23" t="inlineStr">
        <is>
          <t>Retired</t>
        </is>
      </c>
      <c r="J1629" s="14" t="inlineStr">
        <is>
          <t>08 CROSSWALK</t>
        </is>
      </c>
    </row>
    <row r="1630" ht="49" customHeight="1">
      <c r="A1630" s="23" t="inlineStr">
        <is>
          <t>R1561-v2</t>
        </is>
      </c>
      <c r="B1630" s="23" t="inlineStr">
        <is>
          <t>Cost &amp; Forecast Control Accounts / CST-06-079</t>
        </is>
      </c>
      <c r="C1630" s="23" t="inlineStr">
        <is>
          <t>No explicit source assertion recorded</t>
        </is>
      </c>
      <c r="D1630" s="23" t="inlineStr">
        <is>
          <t>Proposed by WBS↔LINK; target 1.6.1 Program Management - Program Controls</t>
        </is>
      </c>
      <c r="E1630" s="23" t="inlineStr">
        <is>
          <t>None recorded</t>
        </is>
      </c>
      <c r="F1630" s="23" t="inlineStr">
        <is>
          <t>No individual professional decision recorded; Retired -- no longer reported</t>
        </is>
      </c>
      <c r="G1630" s="23" t="inlineStr">
        <is>
          <t>Not individually decided</t>
        </is>
      </c>
      <c r="H1630" s="23" t="inlineStr">
        <is>
          <t xml:space="preserve">RETIRED / ONE_TO_ONE; </t>
        </is>
      </c>
      <c r="I1630" s="23" t="inlineStr">
        <is>
          <t>Retired</t>
        </is>
      </c>
      <c r="J1630" s="14" t="inlineStr">
        <is>
          <t>08 CROSSWALK</t>
        </is>
      </c>
    </row>
    <row r="1631" ht="49" customHeight="1">
      <c r="A1631" s="23" t="inlineStr">
        <is>
          <t>R1081-v3</t>
        </is>
      </c>
      <c r="B1631" s="23" t="inlineStr">
        <is>
          <t>Contractor Programme / SCH-90-901</t>
        </is>
      </c>
      <c r="C1631" s="23" t="inlineStr">
        <is>
          <t>No explicit source assertion recorded</t>
        </is>
      </c>
      <c r="D1631" s="23" t="inlineStr">
        <is>
          <t>Proposed by Professional; target NEW_SCOPE</t>
        </is>
      </c>
      <c r="E1631" s="23" t="inlineStr">
        <is>
          <t>None recorded</t>
        </is>
      </c>
      <c r="F1631" s="23" t="inlineStr">
        <is>
          <t>No individual professional decision recorded; Retired -- no longer reported</t>
        </is>
      </c>
      <c r="G1631" s="23" t="inlineStr">
        <is>
          <t>Earlier decision, carried forward</t>
        </is>
      </c>
      <c r="H1631" s="23" t="inlineStr">
        <is>
          <t xml:space="preserve">RETIRED / NEW_SCOPE; </t>
        </is>
      </c>
      <c r="I1631" s="23" t="inlineStr">
        <is>
          <t>Retired</t>
        </is>
      </c>
      <c r="J1631" s="14" t="inlineStr">
        <is>
          <t>08 CROSSWALK</t>
        </is>
      </c>
    </row>
  </sheetData>
  <autoFilter ref="A5:J1631"/>
  <mergeCells count="2">
    <mergeCell ref="A1:D1"/>
    <mergeCell ref="A2:D2"/>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 xmlns:r="http://schemas.openxmlformats.org/officeDocument/2006/relationships" ref="J6" r:id="rId9"/>
    <hyperlink xmlns:r="http://schemas.openxmlformats.org/officeDocument/2006/relationships" ref="J7" r:id="rId10"/>
    <hyperlink xmlns:r="http://schemas.openxmlformats.org/officeDocument/2006/relationships" ref="J8" r:id="rId11"/>
    <hyperlink xmlns:r="http://schemas.openxmlformats.org/officeDocument/2006/relationships" ref="J9" r:id="rId12"/>
    <hyperlink xmlns:r="http://schemas.openxmlformats.org/officeDocument/2006/relationships" ref="J10" r:id="rId13"/>
    <hyperlink xmlns:r="http://schemas.openxmlformats.org/officeDocument/2006/relationships" ref="J11" r:id="rId14"/>
    <hyperlink xmlns:r="http://schemas.openxmlformats.org/officeDocument/2006/relationships" ref="J12" r:id="rId15"/>
    <hyperlink xmlns:r="http://schemas.openxmlformats.org/officeDocument/2006/relationships" ref="J13" r:id="rId16"/>
    <hyperlink xmlns:r="http://schemas.openxmlformats.org/officeDocument/2006/relationships" ref="J14" r:id="rId17"/>
    <hyperlink xmlns:r="http://schemas.openxmlformats.org/officeDocument/2006/relationships" ref="J15" r:id="rId18"/>
    <hyperlink xmlns:r="http://schemas.openxmlformats.org/officeDocument/2006/relationships" ref="J16" r:id="rId19"/>
    <hyperlink xmlns:r="http://schemas.openxmlformats.org/officeDocument/2006/relationships" ref="J17" r:id="rId20"/>
    <hyperlink xmlns:r="http://schemas.openxmlformats.org/officeDocument/2006/relationships" ref="J18" r:id="rId21"/>
    <hyperlink xmlns:r="http://schemas.openxmlformats.org/officeDocument/2006/relationships" ref="J19" r:id="rId22"/>
    <hyperlink xmlns:r="http://schemas.openxmlformats.org/officeDocument/2006/relationships" ref="J20" r:id="rId23"/>
    <hyperlink xmlns:r="http://schemas.openxmlformats.org/officeDocument/2006/relationships" ref="J21" r:id="rId24"/>
    <hyperlink xmlns:r="http://schemas.openxmlformats.org/officeDocument/2006/relationships" ref="J22" r:id="rId25"/>
    <hyperlink xmlns:r="http://schemas.openxmlformats.org/officeDocument/2006/relationships" ref="J23" r:id="rId26"/>
    <hyperlink xmlns:r="http://schemas.openxmlformats.org/officeDocument/2006/relationships" ref="J24" r:id="rId27"/>
    <hyperlink xmlns:r="http://schemas.openxmlformats.org/officeDocument/2006/relationships" ref="J25" r:id="rId28"/>
    <hyperlink xmlns:r="http://schemas.openxmlformats.org/officeDocument/2006/relationships" ref="J26" r:id="rId29"/>
    <hyperlink xmlns:r="http://schemas.openxmlformats.org/officeDocument/2006/relationships" ref="J27" r:id="rId30"/>
    <hyperlink xmlns:r="http://schemas.openxmlformats.org/officeDocument/2006/relationships" ref="J28" r:id="rId31"/>
    <hyperlink xmlns:r="http://schemas.openxmlformats.org/officeDocument/2006/relationships" ref="J29" r:id="rId32"/>
    <hyperlink xmlns:r="http://schemas.openxmlformats.org/officeDocument/2006/relationships" ref="J30" r:id="rId33"/>
    <hyperlink xmlns:r="http://schemas.openxmlformats.org/officeDocument/2006/relationships" ref="J31" r:id="rId34"/>
    <hyperlink xmlns:r="http://schemas.openxmlformats.org/officeDocument/2006/relationships" ref="J32" r:id="rId35"/>
    <hyperlink xmlns:r="http://schemas.openxmlformats.org/officeDocument/2006/relationships" ref="J33" r:id="rId36"/>
    <hyperlink xmlns:r="http://schemas.openxmlformats.org/officeDocument/2006/relationships" ref="J34" r:id="rId37"/>
    <hyperlink xmlns:r="http://schemas.openxmlformats.org/officeDocument/2006/relationships" ref="J35" r:id="rId38"/>
    <hyperlink xmlns:r="http://schemas.openxmlformats.org/officeDocument/2006/relationships" ref="J36" r:id="rId39"/>
    <hyperlink xmlns:r="http://schemas.openxmlformats.org/officeDocument/2006/relationships" ref="J37" r:id="rId40"/>
    <hyperlink xmlns:r="http://schemas.openxmlformats.org/officeDocument/2006/relationships" ref="J38" r:id="rId41"/>
    <hyperlink xmlns:r="http://schemas.openxmlformats.org/officeDocument/2006/relationships" ref="J39" r:id="rId42"/>
    <hyperlink xmlns:r="http://schemas.openxmlformats.org/officeDocument/2006/relationships" ref="J40" r:id="rId43"/>
    <hyperlink xmlns:r="http://schemas.openxmlformats.org/officeDocument/2006/relationships" ref="J41" r:id="rId44"/>
    <hyperlink xmlns:r="http://schemas.openxmlformats.org/officeDocument/2006/relationships" ref="J42" r:id="rId45"/>
    <hyperlink xmlns:r="http://schemas.openxmlformats.org/officeDocument/2006/relationships" ref="J43" r:id="rId46"/>
    <hyperlink xmlns:r="http://schemas.openxmlformats.org/officeDocument/2006/relationships" ref="J44" r:id="rId47"/>
    <hyperlink xmlns:r="http://schemas.openxmlformats.org/officeDocument/2006/relationships" ref="J45" r:id="rId48"/>
    <hyperlink xmlns:r="http://schemas.openxmlformats.org/officeDocument/2006/relationships" ref="J46" r:id="rId49"/>
    <hyperlink xmlns:r="http://schemas.openxmlformats.org/officeDocument/2006/relationships" ref="J47" r:id="rId50"/>
    <hyperlink xmlns:r="http://schemas.openxmlformats.org/officeDocument/2006/relationships" ref="J48" r:id="rId51"/>
    <hyperlink xmlns:r="http://schemas.openxmlformats.org/officeDocument/2006/relationships" ref="J49" r:id="rId52"/>
    <hyperlink xmlns:r="http://schemas.openxmlformats.org/officeDocument/2006/relationships" ref="J50" r:id="rId53"/>
    <hyperlink xmlns:r="http://schemas.openxmlformats.org/officeDocument/2006/relationships" ref="J51" r:id="rId54"/>
    <hyperlink xmlns:r="http://schemas.openxmlformats.org/officeDocument/2006/relationships" ref="J52" r:id="rId55"/>
    <hyperlink xmlns:r="http://schemas.openxmlformats.org/officeDocument/2006/relationships" ref="J53" r:id="rId56"/>
    <hyperlink xmlns:r="http://schemas.openxmlformats.org/officeDocument/2006/relationships" ref="J54" r:id="rId57"/>
    <hyperlink xmlns:r="http://schemas.openxmlformats.org/officeDocument/2006/relationships" ref="J55" r:id="rId58"/>
    <hyperlink xmlns:r="http://schemas.openxmlformats.org/officeDocument/2006/relationships" ref="J56" r:id="rId59"/>
    <hyperlink xmlns:r="http://schemas.openxmlformats.org/officeDocument/2006/relationships" ref="J57" r:id="rId60"/>
    <hyperlink xmlns:r="http://schemas.openxmlformats.org/officeDocument/2006/relationships" ref="J58" r:id="rId61"/>
    <hyperlink xmlns:r="http://schemas.openxmlformats.org/officeDocument/2006/relationships" ref="J59" r:id="rId62"/>
    <hyperlink xmlns:r="http://schemas.openxmlformats.org/officeDocument/2006/relationships" ref="J60" r:id="rId63"/>
    <hyperlink xmlns:r="http://schemas.openxmlformats.org/officeDocument/2006/relationships" ref="J61" r:id="rId64"/>
    <hyperlink xmlns:r="http://schemas.openxmlformats.org/officeDocument/2006/relationships" ref="J62" r:id="rId65"/>
    <hyperlink xmlns:r="http://schemas.openxmlformats.org/officeDocument/2006/relationships" ref="J63" r:id="rId66"/>
    <hyperlink xmlns:r="http://schemas.openxmlformats.org/officeDocument/2006/relationships" ref="J64" r:id="rId67"/>
    <hyperlink xmlns:r="http://schemas.openxmlformats.org/officeDocument/2006/relationships" ref="J65" r:id="rId68"/>
    <hyperlink xmlns:r="http://schemas.openxmlformats.org/officeDocument/2006/relationships" ref="J66" r:id="rId69"/>
    <hyperlink xmlns:r="http://schemas.openxmlformats.org/officeDocument/2006/relationships" ref="J67" r:id="rId70"/>
    <hyperlink xmlns:r="http://schemas.openxmlformats.org/officeDocument/2006/relationships" ref="J68" r:id="rId71"/>
    <hyperlink xmlns:r="http://schemas.openxmlformats.org/officeDocument/2006/relationships" ref="J69" r:id="rId72"/>
    <hyperlink xmlns:r="http://schemas.openxmlformats.org/officeDocument/2006/relationships" ref="J70" r:id="rId73"/>
    <hyperlink xmlns:r="http://schemas.openxmlformats.org/officeDocument/2006/relationships" ref="J71" r:id="rId74"/>
    <hyperlink xmlns:r="http://schemas.openxmlformats.org/officeDocument/2006/relationships" ref="J72" r:id="rId75"/>
    <hyperlink xmlns:r="http://schemas.openxmlformats.org/officeDocument/2006/relationships" ref="J73" r:id="rId76"/>
    <hyperlink xmlns:r="http://schemas.openxmlformats.org/officeDocument/2006/relationships" ref="J74" r:id="rId77"/>
    <hyperlink xmlns:r="http://schemas.openxmlformats.org/officeDocument/2006/relationships" ref="J75" r:id="rId78"/>
    <hyperlink xmlns:r="http://schemas.openxmlformats.org/officeDocument/2006/relationships" ref="J76" r:id="rId79"/>
    <hyperlink xmlns:r="http://schemas.openxmlformats.org/officeDocument/2006/relationships" ref="J77" r:id="rId80"/>
    <hyperlink xmlns:r="http://schemas.openxmlformats.org/officeDocument/2006/relationships" ref="J78" r:id="rId81"/>
    <hyperlink xmlns:r="http://schemas.openxmlformats.org/officeDocument/2006/relationships" ref="J79" r:id="rId82"/>
    <hyperlink xmlns:r="http://schemas.openxmlformats.org/officeDocument/2006/relationships" ref="J80" r:id="rId83"/>
    <hyperlink xmlns:r="http://schemas.openxmlformats.org/officeDocument/2006/relationships" ref="J81" r:id="rId84"/>
    <hyperlink xmlns:r="http://schemas.openxmlformats.org/officeDocument/2006/relationships" ref="J82" r:id="rId85"/>
    <hyperlink xmlns:r="http://schemas.openxmlformats.org/officeDocument/2006/relationships" ref="J83" r:id="rId86"/>
    <hyperlink xmlns:r="http://schemas.openxmlformats.org/officeDocument/2006/relationships" ref="J84" r:id="rId87"/>
    <hyperlink xmlns:r="http://schemas.openxmlformats.org/officeDocument/2006/relationships" ref="J85" r:id="rId88"/>
    <hyperlink xmlns:r="http://schemas.openxmlformats.org/officeDocument/2006/relationships" ref="J86" r:id="rId89"/>
    <hyperlink xmlns:r="http://schemas.openxmlformats.org/officeDocument/2006/relationships" ref="J87" r:id="rId90"/>
    <hyperlink xmlns:r="http://schemas.openxmlformats.org/officeDocument/2006/relationships" ref="J88" r:id="rId91"/>
    <hyperlink xmlns:r="http://schemas.openxmlformats.org/officeDocument/2006/relationships" ref="J89" r:id="rId92"/>
    <hyperlink xmlns:r="http://schemas.openxmlformats.org/officeDocument/2006/relationships" ref="J90" r:id="rId93"/>
    <hyperlink xmlns:r="http://schemas.openxmlformats.org/officeDocument/2006/relationships" ref="J91" r:id="rId94"/>
    <hyperlink xmlns:r="http://schemas.openxmlformats.org/officeDocument/2006/relationships" ref="J92" r:id="rId95"/>
    <hyperlink xmlns:r="http://schemas.openxmlformats.org/officeDocument/2006/relationships" ref="J93" r:id="rId96"/>
    <hyperlink xmlns:r="http://schemas.openxmlformats.org/officeDocument/2006/relationships" ref="J94" r:id="rId97"/>
    <hyperlink xmlns:r="http://schemas.openxmlformats.org/officeDocument/2006/relationships" ref="J95" r:id="rId98"/>
    <hyperlink xmlns:r="http://schemas.openxmlformats.org/officeDocument/2006/relationships" ref="J96" r:id="rId99"/>
    <hyperlink xmlns:r="http://schemas.openxmlformats.org/officeDocument/2006/relationships" ref="J97" r:id="rId100"/>
    <hyperlink xmlns:r="http://schemas.openxmlformats.org/officeDocument/2006/relationships" ref="J98" r:id="rId101"/>
    <hyperlink xmlns:r="http://schemas.openxmlformats.org/officeDocument/2006/relationships" ref="J99" r:id="rId102"/>
    <hyperlink xmlns:r="http://schemas.openxmlformats.org/officeDocument/2006/relationships" ref="J100" r:id="rId103"/>
    <hyperlink xmlns:r="http://schemas.openxmlformats.org/officeDocument/2006/relationships" ref="J101" r:id="rId104"/>
    <hyperlink xmlns:r="http://schemas.openxmlformats.org/officeDocument/2006/relationships" ref="J102" r:id="rId105"/>
    <hyperlink xmlns:r="http://schemas.openxmlformats.org/officeDocument/2006/relationships" ref="J103" r:id="rId106"/>
    <hyperlink xmlns:r="http://schemas.openxmlformats.org/officeDocument/2006/relationships" ref="J104" r:id="rId107"/>
    <hyperlink xmlns:r="http://schemas.openxmlformats.org/officeDocument/2006/relationships" ref="J105" r:id="rId108"/>
    <hyperlink xmlns:r="http://schemas.openxmlformats.org/officeDocument/2006/relationships" ref="J106" r:id="rId109"/>
    <hyperlink xmlns:r="http://schemas.openxmlformats.org/officeDocument/2006/relationships" ref="J107" r:id="rId110"/>
    <hyperlink xmlns:r="http://schemas.openxmlformats.org/officeDocument/2006/relationships" ref="J108" r:id="rId111"/>
    <hyperlink xmlns:r="http://schemas.openxmlformats.org/officeDocument/2006/relationships" ref="J109" r:id="rId112"/>
    <hyperlink xmlns:r="http://schemas.openxmlformats.org/officeDocument/2006/relationships" ref="J110" r:id="rId113"/>
    <hyperlink xmlns:r="http://schemas.openxmlformats.org/officeDocument/2006/relationships" ref="J111" r:id="rId114"/>
    <hyperlink xmlns:r="http://schemas.openxmlformats.org/officeDocument/2006/relationships" ref="J112" r:id="rId115"/>
    <hyperlink xmlns:r="http://schemas.openxmlformats.org/officeDocument/2006/relationships" ref="J113" r:id="rId116"/>
    <hyperlink xmlns:r="http://schemas.openxmlformats.org/officeDocument/2006/relationships" ref="J114" r:id="rId117"/>
    <hyperlink xmlns:r="http://schemas.openxmlformats.org/officeDocument/2006/relationships" ref="J115" r:id="rId118"/>
    <hyperlink xmlns:r="http://schemas.openxmlformats.org/officeDocument/2006/relationships" ref="J116" r:id="rId119"/>
    <hyperlink xmlns:r="http://schemas.openxmlformats.org/officeDocument/2006/relationships" ref="J117" r:id="rId120"/>
    <hyperlink xmlns:r="http://schemas.openxmlformats.org/officeDocument/2006/relationships" ref="J118" r:id="rId121"/>
    <hyperlink xmlns:r="http://schemas.openxmlformats.org/officeDocument/2006/relationships" ref="J119" r:id="rId122"/>
    <hyperlink xmlns:r="http://schemas.openxmlformats.org/officeDocument/2006/relationships" ref="J120" r:id="rId123"/>
    <hyperlink xmlns:r="http://schemas.openxmlformats.org/officeDocument/2006/relationships" ref="J121" r:id="rId124"/>
    <hyperlink xmlns:r="http://schemas.openxmlformats.org/officeDocument/2006/relationships" ref="J122" r:id="rId125"/>
    <hyperlink xmlns:r="http://schemas.openxmlformats.org/officeDocument/2006/relationships" ref="J123" r:id="rId126"/>
    <hyperlink xmlns:r="http://schemas.openxmlformats.org/officeDocument/2006/relationships" ref="J124" r:id="rId127"/>
    <hyperlink xmlns:r="http://schemas.openxmlformats.org/officeDocument/2006/relationships" ref="J125" r:id="rId128"/>
    <hyperlink xmlns:r="http://schemas.openxmlformats.org/officeDocument/2006/relationships" ref="J126" r:id="rId129"/>
    <hyperlink xmlns:r="http://schemas.openxmlformats.org/officeDocument/2006/relationships" ref="J127" r:id="rId130"/>
    <hyperlink xmlns:r="http://schemas.openxmlformats.org/officeDocument/2006/relationships" ref="J128" r:id="rId131"/>
    <hyperlink xmlns:r="http://schemas.openxmlformats.org/officeDocument/2006/relationships" ref="J129" r:id="rId132"/>
    <hyperlink xmlns:r="http://schemas.openxmlformats.org/officeDocument/2006/relationships" ref="J130" r:id="rId133"/>
    <hyperlink xmlns:r="http://schemas.openxmlformats.org/officeDocument/2006/relationships" ref="J131" r:id="rId134"/>
    <hyperlink xmlns:r="http://schemas.openxmlformats.org/officeDocument/2006/relationships" ref="J132" r:id="rId135"/>
    <hyperlink xmlns:r="http://schemas.openxmlformats.org/officeDocument/2006/relationships" ref="J133" r:id="rId136"/>
    <hyperlink xmlns:r="http://schemas.openxmlformats.org/officeDocument/2006/relationships" ref="J134" r:id="rId137"/>
    <hyperlink xmlns:r="http://schemas.openxmlformats.org/officeDocument/2006/relationships" ref="J135" r:id="rId138"/>
    <hyperlink xmlns:r="http://schemas.openxmlformats.org/officeDocument/2006/relationships" ref="J136" r:id="rId139"/>
    <hyperlink xmlns:r="http://schemas.openxmlformats.org/officeDocument/2006/relationships" ref="J137" r:id="rId140"/>
    <hyperlink xmlns:r="http://schemas.openxmlformats.org/officeDocument/2006/relationships" ref="J138" r:id="rId141"/>
    <hyperlink xmlns:r="http://schemas.openxmlformats.org/officeDocument/2006/relationships" ref="J139" r:id="rId142"/>
    <hyperlink xmlns:r="http://schemas.openxmlformats.org/officeDocument/2006/relationships" ref="J140" r:id="rId143"/>
    <hyperlink xmlns:r="http://schemas.openxmlformats.org/officeDocument/2006/relationships" ref="J141" r:id="rId144"/>
    <hyperlink xmlns:r="http://schemas.openxmlformats.org/officeDocument/2006/relationships" ref="J142" r:id="rId145"/>
    <hyperlink xmlns:r="http://schemas.openxmlformats.org/officeDocument/2006/relationships" ref="J143" r:id="rId146"/>
    <hyperlink xmlns:r="http://schemas.openxmlformats.org/officeDocument/2006/relationships" ref="J144" r:id="rId147"/>
    <hyperlink xmlns:r="http://schemas.openxmlformats.org/officeDocument/2006/relationships" ref="J145" r:id="rId148"/>
    <hyperlink xmlns:r="http://schemas.openxmlformats.org/officeDocument/2006/relationships" ref="J146" r:id="rId149"/>
    <hyperlink xmlns:r="http://schemas.openxmlformats.org/officeDocument/2006/relationships" ref="J147" r:id="rId150"/>
    <hyperlink xmlns:r="http://schemas.openxmlformats.org/officeDocument/2006/relationships" ref="J148" r:id="rId151"/>
    <hyperlink xmlns:r="http://schemas.openxmlformats.org/officeDocument/2006/relationships" ref="J149" r:id="rId152"/>
    <hyperlink xmlns:r="http://schemas.openxmlformats.org/officeDocument/2006/relationships" ref="J150" r:id="rId153"/>
    <hyperlink xmlns:r="http://schemas.openxmlformats.org/officeDocument/2006/relationships" ref="J151" r:id="rId154"/>
    <hyperlink xmlns:r="http://schemas.openxmlformats.org/officeDocument/2006/relationships" ref="J152" r:id="rId155"/>
    <hyperlink xmlns:r="http://schemas.openxmlformats.org/officeDocument/2006/relationships" ref="J153" r:id="rId156"/>
    <hyperlink xmlns:r="http://schemas.openxmlformats.org/officeDocument/2006/relationships" ref="J154" r:id="rId157"/>
    <hyperlink xmlns:r="http://schemas.openxmlformats.org/officeDocument/2006/relationships" ref="J155" r:id="rId158"/>
    <hyperlink xmlns:r="http://schemas.openxmlformats.org/officeDocument/2006/relationships" ref="J156" r:id="rId159"/>
    <hyperlink xmlns:r="http://schemas.openxmlformats.org/officeDocument/2006/relationships" ref="J157" r:id="rId160"/>
    <hyperlink xmlns:r="http://schemas.openxmlformats.org/officeDocument/2006/relationships" ref="J158" r:id="rId161"/>
    <hyperlink xmlns:r="http://schemas.openxmlformats.org/officeDocument/2006/relationships" ref="J159" r:id="rId162"/>
    <hyperlink xmlns:r="http://schemas.openxmlformats.org/officeDocument/2006/relationships" ref="J160" r:id="rId163"/>
    <hyperlink xmlns:r="http://schemas.openxmlformats.org/officeDocument/2006/relationships" ref="J161" r:id="rId164"/>
    <hyperlink xmlns:r="http://schemas.openxmlformats.org/officeDocument/2006/relationships" ref="J162" r:id="rId165"/>
    <hyperlink xmlns:r="http://schemas.openxmlformats.org/officeDocument/2006/relationships" ref="J163" r:id="rId166"/>
    <hyperlink xmlns:r="http://schemas.openxmlformats.org/officeDocument/2006/relationships" ref="J164" r:id="rId167"/>
    <hyperlink xmlns:r="http://schemas.openxmlformats.org/officeDocument/2006/relationships" ref="J165" r:id="rId168"/>
    <hyperlink xmlns:r="http://schemas.openxmlformats.org/officeDocument/2006/relationships" ref="J166" r:id="rId169"/>
    <hyperlink xmlns:r="http://schemas.openxmlformats.org/officeDocument/2006/relationships" ref="J167" r:id="rId170"/>
    <hyperlink xmlns:r="http://schemas.openxmlformats.org/officeDocument/2006/relationships" ref="J168" r:id="rId171"/>
    <hyperlink xmlns:r="http://schemas.openxmlformats.org/officeDocument/2006/relationships" ref="J169" r:id="rId172"/>
    <hyperlink xmlns:r="http://schemas.openxmlformats.org/officeDocument/2006/relationships" ref="J170" r:id="rId173"/>
    <hyperlink xmlns:r="http://schemas.openxmlformats.org/officeDocument/2006/relationships" ref="J171" r:id="rId174"/>
    <hyperlink xmlns:r="http://schemas.openxmlformats.org/officeDocument/2006/relationships" ref="J172" r:id="rId175"/>
    <hyperlink xmlns:r="http://schemas.openxmlformats.org/officeDocument/2006/relationships" ref="J173" r:id="rId176"/>
    <hyperlink xmlns:r="http://schemas.openxmlformats.org/officeDocument/2006/relationships" ref="J174" r:id="rId177"/>
    <hyperlink xmlns:r="http://schemas.openxmlformats.org/officeDocument/2006/relationships" ref="J175" r:id="rId178"/>
    <hyperlink xmlns:r="http://schemas.openxmlformats.org/officeDocument/2006/relationships" ref="J176" r:id="rId179"/>
    <hyperlink xmlns:r="http://schemas.openxmlformats.org/officeDocument/2006/relationships" ref="J177" r:id="rId180"/>
    <hyperlink xmlns:r="http://schemas.openxmlformats.org/officeDocument/2006/relationships" ref="J178" r:id="rId181"/>
    <hyperlink xmlns:r="http://schemas.openxmlformats.org/officeDocument/2006/relationships" ref="J179" r:id="rId182"/>
    <hyperlink xmlns:r="http://schemas.openxmlformats.org/officeDocument/2006/relationships" ref="J180" r:id="rId183"/>
    <hyperlink xmlns:r="http://schemas.openxmlformats.org/officeDocument/2006/relationships" ref="J181" r:id="rId184"/>
    <hyperlink xmlns:r="http://schemas.openxmlformats.org/officeDocument/2006/relationships" ref="J182" r:id="rId185"/>
    <hyperlink xmlns:r="http://schemas.openxmlformats.org/officeDocument/2006/relationships" ref="J183" r:id="rId186"/>
    <hyperlink xmlns:r="http://schemas.openxmlformats.org/officeDocument/2006/relationships" ref="J184" r:id="rId187"/>
    <hyperlink xmlns:r="http://schemas.openxmlformats.org/officeDocument/2006/relationships" ref="J185" r:id="rId188"/>
    <hyperlink xmlns:r="http://schemas.openxmlformats.org/officeDocument/2006/relationships" ref="J186" r:id="rId189"/>
    <hyperlink xmlns:r="http://schemas.openxmlformats.org/officeDocument/2006/relationships" ref="J187" r:id="rId190"/>
    <hyperlink xmlns:r="http://schemas.openxmlformats.org/officeDocument/2006/relationships" ref="J188" r:id="rId191"/>
    <hyperlink xmlns:r="http://schemas.openxmlformats.org/officeDocument/2006/relationships" ref="J189" r:id="rId192"/>
    <hyperlink xmlns:r="http://schemas.openxmlformats.org/officeDocument/2006/relationships" ref="J190" r:id="rId193"/>
    <hyperlink xmlns:r="http://schemas.openxmlformats.org/officeDocument/2006/relationships" ref="J191" r:id="rId194"/>
    <hyperlink xmlns:r="http://schemas.openxmlformats.org/officeDocument/2006/relationships" ref="J192" r:id="rId195"/>
    <hyperlink xmlns:r="http://schemas.openxmlformats.org/officeDocument/2006/relationships" ref="J193" r:id="rId196"/>
    <hyperlink xmlns:r="http://schemas.openxmlformats.org/officeDocument/2006/relationships" ref="J194" r:id="rId197"/>
    <hyperlink xmlns:r="http://schemas.openxmlformats.org/officeDocument/2006/relationships" ref="J195" r:id="rId198"/>
    <hyperlink xmlns:r="http://schemas.openxmlformats.org/officeDocument/2006/relationships" ref="J196" r:id="rId199"/>
    <hyperlink xmlns:r="http://schemas.openxmlformats.org/officeDocument/2006/relationships" ref="J197" r:id="rId200"/>
    <hyperlink xmlns:r="http://schemas.openxmlformats.org/officeDocument/2006/relationships" ref="J198" r:id="rId201"/>
    <hyperlink xmlns:r="http://schemas.openxmlformats.org/officeDocument/2006/relationships" ref="J199" r:id="rId202"/>
    <hyperlink xmlns:r="http://schemas.openxmlformats.org/officeDocument/2006/relationships" ref="J200" r:id="rId203"/>
    <hyperlink xmlns:r="http://schemas.openxmlformats.org/officeDocument/2006/relationships" ref="J201" r:id="rId204"/>
    <hyperlink xmlns:r="http://schemas.openxmlformats.org/officeDocument/2006/relationships" ref="J202" r:id="rId205"/>
    <hyperlink xmlns:r="http://schemas.openxmlformats.org/officeDocument/2006/relationships" ref="J203" r:id="rId206"/>
    <hyperlink xmlns:r="http://schemas.openxmlformats.org/officeDocument/2006/relationships" ref="J204" r:id="rId207"/>
    <hyperlink xmlns:r="http://schemas.openxmlformats.org/officeDocument/2006/relationships" ref="J205" r:id="rId208"/>
    <hyperlink xmlns:r="http://schemas.openxmlformats.org/officeDocument/2006/relationships" ref="J206" r:id="rId209"/>
    <hyperlink xmlns:r="http://schemas.openxmlformats.org/officeDocument/2006/relationships" ref="J207" r:id="rId210"/>
    <hyperlink xmlns:r="http://schemas.openxmlformats.org/officeDocument/2006/relationships" ref="J208" r:id="rId211"/>
    <hyperlink xmlns:r="http://schemas.openxmlformats.org/officeDocument/2006/relationships" ref="J209" r:id="rId212"/>
    <hyperlink xmlns:r="http://schemas.openxmlformats.org/officeDocument/2006/relationships" ref="J210" r:id="rId213"/>
    <hyperlink xmlns:r="http://schemas.openxmlformats.org/officeDocument/2006/relationships" ref="J211" r:id="rId214"/>
    <hyperlink xmlns:r="http://schemas.openxmlformats.org/officeDocument/2006/relationships" ref="J212" r:id="rId215"/>
    <hyperlink xmlns:r="http://schemas.openxmlformats.org/officeDocument/2006/relationships" ref="J213" r:id="rId216"/>
    <hyperlink xmlns:r="http://schemas.openxmlformats.org/officeDocument/2006/relationships" ref="J214" r:id="rId217"/>
    <hyperlink xmlns:r="http://schemas.openxmlformats.org/officeDocument/2006/relationships" ref="J215" r:id="rId218"/>
    <hyperlink xmlns:r="http://schemas.openxmlformats.org/officeDocument/2006/relationships" ref="J216" r:id="rId219"/>
    <hyperlink xmlns:r="http://schemas.openxmlformats.org/officeDocument/2006/relationships" ref="J217" r:id="rId220"/>
    <hyperlink xmlns:r="http://schemas.openxmlformats.org/officeDocument/2006/relationships" ref="J218" r:id="rId221"/>
    <hyperlink xmlns:r="http://schemas.openxmlformats.org/officeDocument/2006/relationships" ref="J219" r:id="rId222"/>
    <hyperlink xmlns:r="http://schemas.openxmlformats.org/officeDocument/2006/relationships" ref="J220" r:id="rId223"/>
    <hyperlink xmlns:r="http://schemas.openxmlformats.org/officeDocument/2006/relationships" ref="J221" r:id="rId224"/>
    <hyperlink xmlns:r="http://schemas.openxmlformats.org/officeDocument/2006/relationships" ref="J222" r:id="rId225"/>
    <hyperlink xmlns:r="http://schemas.openxmlformats.org/officeDocument/2006/relationships" ref="J223" r:id="rId226"/>
    <hyperlink xmlns:r="http://schemas.openxmlformats.org/officeDocument/2006/relationships" ref="J224" r:id="rId227"/>
    <hyperlink xmlns:r="http://schemas.openxmlformats.org/officeDocument/2006/relationships" ref="J225" r:id="rId228"/>
    <hyperlink xmlns:r="http://schemas.openxmlformats.org/officeDocument/2006/relationships" ref="J226" r:id="rId229"/>
    <hyperlink xmlns:r="http://schemas.openxmlformats.org/officeDocument/2006/relationships" ref="J227" r:id="rId230"/>
    <hyperlink xmlns:r="http://schemas.openxmlformats.org/officeDocument/2006/relationships" ref="J228" r:id="rId231"/>
    <hyperlink xmlns:r="http://schemas.openxmlformats.org/officeDocument/2006/relationships" ref="J229" r:id="rId232"/>
    <hyperlink xmlns:r="http://schemas.openxmlformats.org/officeDocument/2006/relationships" ref="J230" r:id="rId233"/>
    <hyperlink xmlns:r="http://schemas.openxmlformats.org/officeDocument/2006/relationships" ref="J231" r:id="rId234"/>
    <hyperlink xmlns:r="http://schemas.openxmlformats.org/officeDocument/2006/relationships" ref="J232" r:id="rId235"/>
    <hyperlink xmlns:r="http://schemas.openxmlformats.org/officeDocument/2006/relationships" ref="J233" r:id="rId236"/>
    <hyperlink xmlns:r="http://schemas.openxmlformats.org/officeDocument/2006/relationships" ref="J234" r:id="rId237"/>
    <hyperlink xmlns:r="http://schemas.openxmlformats.org/officeDocument/2006/relationships" ref="J235" r:id="rId238"/>
    <hyperlink xmlns:r="http://schemas.openxmlformats.org/officeDocument/2006/relationships" ref="J236" r:id="rId239"/>
    <hyperlink xmlns:r="http://schemas.openxmlformats.org/officeDocument/2006/relationships" ref="J237" r:id="rId240"/>
    <hyperlink xmlns:r="http://schemas.openxmlformats.org/officeDocument/2006/relationships" ref="J238" r:id="rId241"/>
    <hyperlink xmlns:r="http://schemas.openxmlformats.org/officeDocument/2006/relationships" ref="J239" r:id="rId242"/>
    <hyperlink xmlns:r="http://schemas.openxmlformats.org/officeDocument/2006/relationships" ref="J240" r:id="rId243"/>
    <hyperlink xmlns:r="http://schemas.openxmlformats.org/officeDocument/2006/relationships" ref="J241" r:id="rId244"/>
    <hyperlink xmlns:r="http://schemas.openxmlformats.org/officeDocument/2006/relationships" ref="J242" r:id="rId245"/>
    <hyperlink xmlns:r="http://schemas.openxmlformats.org/officeDocument/2006/relationships" ref="J243" r:id="rId246"/>
    <hyperlink xmlns:r="http://schemas.openxmlformats.org/officeDocument/2006/relationships" ref="J244" r:id="rId247"/>
    <hyperlink xmlns:r="http://schemas.openxmlformats.org/officeDocument/2006/relationships" ref="J245" r:id="rId248"/>
    <hyperlink xmlns:r="http://schemas.openxmlformats.org/officeDocument/2006/relationships" ref="J246" r:id="rId249"/>
    <hyperlink xmlns:r="http://schemas.openxmlformats.org/officeDocument/2006/relationships" ref="J247" r:id="rId250"/>
    <hyperlink xmlns:r="http://schemas.openxmlformats.org/officeDocument/2006/relationships" ref="J248" r:id="rId251"/>
    <hyperlink xmlns:r="http://schemas.openxmlformats.org/officeDocument/2006/relationships" ref="J249" r:id="rId252"/>
    <hyperlink xmlns:r="http://schemas.openxmlformats.org/officeDocument/2006/relationships" ref="J250" r:id="rId253"/>
    <hyperlink xmlns:r="http://schemas.openxmlformats.org/officeDocument/2006/relationships" ref="J251" r:id="rId254"/>
    <hyperlink xmlns:r="http://schemas.openxmlformats.org/officeDocument/2006/relationships" ref="J252" r:id="rId255"/>
    <hyperlink xmlns:r="http://schemas.openxmlformats.org/officeDocument/2006/relationships" ref="J253" r:id="rId256"/>
    <hyperlink xmlns:r="http://schemas.openxmlformats.org/officeDocument/2006/relationships" ref="J254" r:id="rId257"/>
    <hyperlink xmlns:r="http://schemas.openxmlformats.org/officeDocument/2006/relationships" ref="J255" r:id="rId258"/>
    <hyperlink xmlns:r="http://schemas.openxmlformats.org/officeDocument/2006/relationships" ref="J256" r:id="rId259"/>
    <hyperlink xmlns:r="http://schemas.openxmlformats.org/officeDocument/2006/relationships" ref="J257" r:id="rId260"/>
    <hyperlink xmlns:r="http://schemas.openxmlformats.org/officeDocument/2006/relationships" ref="J258" r:id="rId261"/>
    <hyperlink xmlns:r="http://schemas.openxmlformats.org/officeDocument/2006/relationships" ref="J259" r:id="rId262"/>
    <hyperlink xmlns:r="http://schemas.openxmlformats.org/officeDocument/2006/relationships" ref="J260" r:id="rId263"/>
    <hyperlink xmlns:r="http://schemas.openxmlformats.org/officeDocument/2006/relationships" ref="J261" r:id="rId264"/>
    <hyperlink xmlns:r="http://schemas.openxmlformats.org/officeDocument/2006/relationships" ref="J262" r:id="rId265"/>
    <hyperlink xmlns:r="http://schemas.openxmlformats.org/officeDocument/2006/relationships" ref="J263" r:id="rId266"/>
    <hyperlink xmlns:r="http://schemas.openxmlformats.org/officeDocument/2006/relationships" ref="J264" r:id="rId267"/>
    <hyperlink xmlns:r="http://schemas.openxmlformats.org/officeDocument/2006/relationships" ref="J265" r:id="rId268"/>
    <hyperlink xmlns:r="http://schemas.openxmlformats.org/officeDocument/2006/relationships" ref="J266" r:id="rId269"/>
    <hyperlink xmlns:r="http://schemas.openxmlformats.org/officeDocument/2006/relationships" ref="J267" r:id="rId270"/>
    <hyperlink xmlns:r="http://schemas.openxmlformats.org/officeDocument/2006/relationships" ref="J268" r:id="rId271"/>
    <hyperlink xmlns:r="http://schemas.openxmlformats.org/officeDocument/2006/relationships" ref="J269" r:id="rId272"/>
    <hyperlink xmlns:r="http://schemas.openxmlformats.org/officeDocument/2006/relationships" ref="J270" r:id="rId273"/>
    <hyperlink xmlns:r="http://schemas.openxmlformats.org/officeDocument/2006/relationships" ref="J271" r:id="rId274"/>
    <hyperlink xmlns:r="http://schemas.openxmlformats.org/officeDocument/2006/relationships" ref="J272" r:id="rId275"/>
    <hyperlink xmlns:r="http://schemas.openxmlformats.org/officeDocument/2006/relationships" ref="J273" r:id="rId276"/>
    <hyperlink xmlns:r="http://schemas.openxmlformats.org/officeDocument/2006/relationships" ref="J274" r:id="rId277"/>
    <hyperlink xmlns:r="http://schemas.openxmlformats.org/officeDocument/2006/relationships" ref="J275" r:id="rId278"/>
    <hyperlink xmlns:r="http://schemas.openxmlformats.org/officeDocument/2006/relationships" ref="J276" r:id="rId279"/>
    <hyperlink xmlns:r="http://schemas.openxmlformats.org/officeDocument/2006/relationships" ref="J277" r:id="rId280"/>
    <hyperlink xmlns:r="http://schemas.openxmlformats.org/officeDocument/2006/relationships" ref="J278" r:id="rId281"/>
    <hyperlink xmlns:r="http://schemas.openxmlformats.org/officeDocument/2006/relationships" ref="J279" r:id="rId282"/>
    <hyperlink xmlns:r="http://schemas.openxmlformats.org/officeDocument/2006/relationships" ref="J280" r:id="rId283"/>
    <hyperlink xmlns:r="http://schemas.openxmlformats.org/officeDocument/2006/relationships" ref="J281" r:id="rId284"/>
    <hyperlink xmlns:r="http://schemas.openxmlformats.org/officeDocument/2006/relationships" ref="J282" r:id="rId285"/>
    <hyperlink xmlns:r="http://schemas.openxmlformats.org/officeDocument/2006/relationships" ref="J283" r:id="rId286"/>
    <hyperlink xmlns:r="http://schemas.openxmlformats.org/officeDocument/2006/relationships" ref="J284" r:id="rId287"/>
    <hyperlink xmlns:r="http://schemas.openxmlformats.org/officeDocument/2006/relationships" ref="J285" r:id="rId288"/>
    <hyperlink xmlns:r="http://schemas.openxmlformats.org/officeDocument/2006/relationships" ref="J286" r:id="rId289"/>
    <hyperlink xmlns:r="http://schemas.openxmlformats.org/officeDocument/2006/relationships" ref="J287" r:id="rId290"/>
    <hyperlink xmlns:r="http://schemas.openxmlformats.org/officeDocument/2006/relationships" ref="J288" r:id="rId291"/>
    <hyperlink xmlns:r="http://schemas.openxmlformats.org/officeDocument/2006/relationships" ref="J289" r:id="rId292"/>
    <hyperlink xmlns:r="http://schemas.openxmlformats.org/officeDocument/2006/relationships" ref="J290" r:id="rId293"/>
    <hyperlink xmlns:r="http://schemas.openxmlformats.org/officeDocument/2006/relationships" ref="J291" r:id="rId294"/>
    <hyperlink xmlns:r="http://schemas.openxmlformats.org/officeDocument/2006/relationships" ref="J292" r:id="rId295"/>
    <hyperlink xmlns:r="http://schemas.openxmlformats.org/officeDocument/2006/relationships" ref="J293" r:id="rId296"/>
    <hyperlink xmlns:r="http://schemas.openxmlformats.org/officeDocument/2006/relationships" ref="J294" r:id="rId297"/>
    <hyperlink xmlns:r="http://schemas.openxmlformats.org/officeDocument/2006/relationships" ref="J295" r:id="rId298"/>
    <hyperlink xmlns:r="http://schemas.openxmlformats.org/officeDocument/2006/relationships" ref="J296" r:id="rId299"/>
    <hyperlink xmlns:r="http://schemas.openxmlformats.org/officeDocument/2006/relationships" ref="J297" r:id="rId300"/>
    <hyperlink xmlns:r="http://schemas.openxmlformats.org/officeDocument/2006/relationships" ref="J298" r:id="rId301"/>
    <hyperlink xmlns:r="http://schemas.openxmlformats.org/officeDocument/2006/relationships" ref="J299" r:id="rId302"/>
    <hyperlink xmlns:r="http://schemas.openxmlformats.org/officeDocument/2006/relationships" ref="J300" r:id="rId303"/>
    <hyperlink xmlns:r="http://schemas.openxmlformats.org/officeDocument/2006/relationships" ref="J301" r:id="rId304"/>
    <hyperlink xmlns:r="http://schemas.openxmlformats.org/officeDocument/2006/relationships" ref="J302" r:id="rId305"/>
    <hyperlink xmlns:r="http://schemas.openxmlformats.org/officeDocument/2006/relationships" ref="J303" r:id="rId306"/>
    <hyperlink xmlns:r="http://schemas.openxmlformats.org/officeDocument/2006/relationships" ref="J304" r:id="rId307"/>
    <hyperlink xmlns:r="http://schemas.openxmlformats.org/officeDocument/2006/relationships" ref="J305" r:id="rId308"/>
    <hyperlink xmlns:r="http://schemas.openxmlformats.org/officeDocument/2006/relationships" ref="J306" r:id="rId309"/>
    <hyperlink xmlns:r="http://schemas.openxmlformats.org/officeDocument/2006/relationships" ref="J307" r:id="rId310"/>
    <hyperlink xmlns:r="http://schemas.openxmlformats.org/officeDocument/2006/relationships" ref="J308" r:id="rId311"/>
    <hyperlink xmlns:r="http://schemas.openxmlformats.org/officeDocument/2006/relationships" ref="J309" r:id="rId312"/>
    <hyperlink xmlns:r="http://schemas.openxmlformats.org/officeDocument/2006/relationships" ref="J310" r:id="rId313"/>
    <hyperlink xmlns:r="http://schemas.openxmlformats.org/officeDocument/2006/relationships" ref="J311" r:id="rId314"/>
    <hyperlink xmlns:r="http://schemas.openxmlformats.org/officeDocument/2006/relationships" ref="J312" r:id="rId315"/>
    <hyperlink xmlns:r="http://schemas.openxmlformats.org/officeDocument/2006/relationships" ref="J313" r:id="rId316"/>
    <hyperlink xmlns:r="http://schemas.openxmlformats.org/officeDocument/2006/relationships" ref="J314" r:id="rId317"/>
    <hyperlink xmlns:r="http://schemas.openxmlformats.org/officeDocument/2006/relationships" ref="J315" r:id="rId318"/>
    <hyperlink xmlns:r="http://schemas.openxmlformats.org/officeDocument/2006/relationships" ref="J316" r:id="rId319"/>
    <hyperlink xmlns:r="http://schemas.openxmlformats.org/officeDocument/2006/relationships" ref="J317" r:id="rId320"/>
    <hyperlink xmlns:r="http://schemas.openxmlformats.org/officeDocument/2006/relationships" ref="J318" r:id="rId321"/>
    <hyperlink xmlns:r="http://schemas.openxmlformats.org/officeDocument/2006/relationships" ref="J319" r:id="rId322"/>
    <hyperlink xmlns:r="http://schemas.openxmlformats.org/officeDocument/2006/relationships" ref="J320" r:id="rId323"/>
    <hyperlink xmlns:r="http://schemas.openxmlformats.org/officeDocument/2006/relationships" ref="J321" r:id="rId324"/>
    <hyperlink xmlns:r="http://schemas.openxmlformats.org/officeDocument/2006/relationships" ref="J322" r:id="rId325"/>
    <hyperlink xmlns:r="http://schemas.openxmlformats.org/officeDocument/2006/relationships" ref="J323" r:id="rId326"/>
    <hyperlink xmlns:r="http://schemas.openxmlformats.org/officeDocument/2006/relationships" ref="J324" r:id="rId327"/>
    <hyperlink xmlns:r="http://schemas.openxmlformats.org/officeDocument/2006/relationships" ref="J325" r:id="rId328"/>
    <hyperlink xmlns:r="http://schemas.openxmlformats.org/officeDocument/2006/relationships" ref="J326" r:id="rId329"/>
    <hyperlink xmlns:r="http://schemas.openxmlformats.org/officeDocument/2006/relationships" ref="J327" r:id="rId330"/>
    <hyperlink xmlns:r="http://schemas.openxmlformats.org/officeDocument/2006/relationships" ref="J328" r:id="rId331"/>
    <hyperlink xmlns:r="http://schemas.openxmlformats.org/officeDocument/2006/relationships" ref="J329" r:id="rId332"/>
    <hyperlink xmlns:r="http://schemas.openxmlformats.org/officeDocument/2006/relationships" ref="J330" r:id="rId333"/>
    <hyperlink xmlns:r="http://schemas.openxmlformats.org/officeDocument/2006/relationships" ref="J331" r:id="rId334"/>
    <hyperlink xmlns:r="http://schemas.openxmlformats.org/officeDocument/2006/relationships" ref="J332" r:id="rId335"/>
    <hyperlink xmlns:r="http://schemas.openxmlformats.org/officeDocument/2006/relationships" ref="J333" r:id="rId336"/>
    <hyperlink xmlns:r="http://schemas.openxmlformats.org/officeDocument/2006/relationships" ref="J334" r:id="rId337"/>
    <hyperlink xmlns:r="http://schemas.openxmlformats.org/officeDocument/2006/relationships" ref="J335" r:id="rId338"/>
    <hyperlink xmlns:r="http://schemas.openxmlformats.org/officeDocument/2006/relationships" ref="J336" r:id="rId339"/>
    <hyperlink xmlns:r="http://schemas.openxmlformats.org/officeDocument/2006/relationships" ref="J337" r:id="rId340"/>
    <hyperlink xmlns:r="http://schemas.openxmlformats.org/officeDocument/2006/relationships" ref="J338" r:id="rId341"/>
    <hyperlink xmlns:r="http://schemas.openxmlformats.org/officeDocument/2006/relationships" ref="J339" r:id="rId342"/>
    <hyperlink xmlns:r="http://schemas.openxmlformats.org/officeDocument/2006/relationships" ref="J340" r:id="rId343"/>
    <hyperlink xmlns:r="http://schemas.openxmlformats.org/officeDocument/2006/relationships" ref="J341" r:id="rId344"/>
    <hyperlink xmlns:r="http://schemas.openxmlformats.org/officeDocument/2006/relationships" ref="J342" r:id="rId345"/>
    <hyperlink xmlns:r="http://schemas.openxmlformats.org/officeDocument/2006/relationships" ref="J343" r:id="rId346"/>
    <hyperlink xmlns:r="http://schemas.openxmlformats.org/officeDocument/2006/relationships" ref="J344" r:id="rId347"/>
    <hyperlink xmlns:r="http://schemas.openxmlformats.org/officeDocument/2006/relationships" ref="J345" r:id="rId348"/>
    <hyperlink xmlns:r="http://schemas.openxmlformats.org/officeDocument/2006/relationships" ref="J346" r:id="rId349"/>
    <hyperlink xmlns:r="http://schemas.openxmlformats.org/officeDocument/2006/relationships" ref="J347" r:id="rId350"/>
    <hyperlink xmlns:r="http://schemas.openxmlformats.org/officeDocument/2006/relationships" ref="J348" r:id="rId351"/>
    <hyperlink xmlns:r="http://schemas.openxmlformats.org/officeDocument/2006/relationships" ref="J349" r:id="rId352"/>
    <hyperlink xmlns:r="http://schemas.openxmlformats.org/officeDocument/2006/relationships" ref="J350" r:id="rId353"/>
    <hyperlink xmlns:r="http://schemas.openxmlformats.org/officeDocument/2006/relationships" ref="J351" r:id="rId354"/>
    <hyperlink xmlns:r="http://schemas.openxmlformats.org/officeDocument/2006/relationships" ref="J352" r:id="rId355"/>
    <hyperlink xmlns:r="http://schemas.openxmlformats.org/officeDocument/2006/relationships" ref="J353" r:id="rId356"/>
    <hyperlink xmlns:r="http://schemas.openxmlformats.org/officeDocument/2006/relationships" ref="J354" r:id="rId357"/>
    <hyperlink xmlns:r="http://schemas.openxmlformats.org/officeDocument/2006/relationships" ref="J355" r:id="rId358"/>
    <hyperlink xmlns:r="http://schemas.openxmlformats.org/officeDocument/2006/relationships" ref="J356" r:id="rId359"/>
    <hyperlink xmlns:r="http://schemas.openxmlformats.org/officeDocument/2006/relationships" ref="J357" r:id="rId360"/>
    <hyperlink xmlns:r="http://schemas.openxmlformats.org/officeDocument/2006/relationships" ref="J358" r:id="rId361"/>
    <hyperlink xmlns:r="http://schemas.openxmlformats.org/officeDocument/2006/relationships" ref="J359" r:id="rId362"/>
    <hyperlink xmlns:r="http://schemas.openxmlformats.org/officeDocument/2006/relationships" ref="J360" r:id="rId363"/>
    <hyperlink xmlns:r="http://schemas.openxmlformats.org/officeDocument/2006/relationships" ref="J361" r:id="rId364"/>
    <hyperlink xmlns:r="http://schemas.openxmlformats.org/officeDocument/2006/relationships" ref="J362" r:id="rId365"/>
    <hyperlink xmlns:r="http://schemas.openxmlformats.org/officeDocument/2006/relationships" ref="J363" r:id="rId366"/>
    <hyperlink xmlns:r="http://schemas.openxmlformats.org/officeDocument/2006/relationships" ref="J364" r:id="rId367"/>
    <hyperlink xmlns:r="http://schemas.openxmlformats.org/officeDocument/2006/relationships" ref="J365" r:id="rId368"/>
    <hyperlink xmlns:r="http://schemas.openxmlformats.org/officeDocument/2006/relationships" ref="J366" r:id="rId369"/>
    <hyperlink xmlns:r="http://schemas.openxmlformats.org/officeDocument/2006/relationships" ref="J367" r:id="rId370"/>
    <hyperlink xmlns:r="http://schemas.openxmlformats.org/officeDocument/2006/relationships" ref="J368" r:id="rId371"/>
    <hyperlink xmlns:r="http://schemas.openxmlformats.org/officeDocument/2006/relationships" ref="J369" r:id="rId372"/>
    <hyperlink xmlns:r="http://schemas.openxmlformats.org/officeDocument/2006/relationships" ref="J370" r:id="rId373"/>
    <hyperlink xmlns:r="http://schemas.openxmlformats.org/officeDocument/2006/relationships" ref="J371" r:id="rId374"/>
    <hyperlink xmlns:r="http://schemas.openxmlformats.org/officeDocument/2006/relationships" ref="J372" r:id="rId375"/>
    <hyperlink xmlns:r="http://schemas.openxmlformats.org/officeDocument/2006/relationships" ref="J373" r:id="rId376"/>
    <hyperlink xmlns:r="http://schemas.openxmlformats.org/officeDocument/2006/relationships" ref="J374" r:id="rId377"/>
    <hyperlink xmlns:r="http://schemas.openxmlformats.org/officeDocument/2006/relationships" ref="J375" r:id="rId378"/>
    <hyperlink xmlns:r="http://schemas.openxmlformats.org/officeDocument/2006/relationships" ref="J376" r:id="rId379"/>
    <hyperlink xmlns:r="http://schemas.openxmlformats.org/officeDocument/2006/relationships" ref="J377" r:id="rId380"/>
    <hyperlink xmlns:r="http://schemas.openxmlformats.org/officeDocument/2006/relationships" ref="J378" r:id="rId381"/>
    <hyperlink xmlns:r="http://schemas.openxmlformats.org/officeDocument/2006/relationships" ref="J379" r:id="rId382"/>
    <hyperlink xmlns:r="http://schemas.openxmlformats.org/officeDocument/2006/relationships" ref="J380" r:id="rId383"/>
    <hyperlink xmlns:r="http://schemas.openxmlformats.org/officeDocument/2006/relationships" ref="J381" r:id="rId384"/>
    <hyperlink xmlns:r="http://schemas.openxmlformats.org/officeDocument/2006/relationships" ref="J382" r:id="rId385"/>
    <hyperlink xmlns:r="http://schemas.openxmlformats.org/officeDocument/2006/relationships" ref="J383" r:id="rId386"/>
    <hyperlink xmlns:r="http://schemas.openxmlformats.org/officeDocument/2006/relationships" ref="J384" r:id="rId387"/>
    <hyperlink xmlns:r="http://schemas.openxmlformats.org/officeDocument/2006/relationships" ref="J385" r:id="rId388"/>
    <hyperlink xmlns:r="http://schemas.openxmlformats.org/officeDocument/2006/relationships" ref="J386" r:id="rId389"/>
    <hyperlink xmlns:r="http://schemas.openxmlformats.org/officeDocument/2006/relationships" ref="J387" r:id="rId390"/>
    <hyperlink xmlns:r="http://schemas.openxmlformats.org/officeDocument/2006/relationships" ref="J388" r:id="rId391"/>
    <hyperlink xmlns:r="http://schemas.openxmlformats.org/officeDocument/2006/relationships" ref="J389" r:id="rId392"/>
    <hyperlink xmlns:r="http://schemas.openxmlformats.org/officeDocument/2006/relationships" ref="J390" r:id="rId393"/>
    <hyperlink xmlns:r="http://schemas.openxmlformats.org/officeDocument/2006/relationships" ref="J391" r:id="rId394"/>
    <hyperlink xmlns:r="http://schemas.openxmlformats.org/officeDocument/2006/relationships" ref="J392" r:id="rId395"/>
    <hyperlink xmlns:r="http://schemas.openxmlformats.org/officeDocument/2006/relationships" ref="J393" r:id="rId396"/>
    <hyperlink xmlns:r="http://schemas.openxmlformats.org/officeDocument/2006/relationships" ref="J394" r:id="rId397"/>
    <hyperlink xmlns:r="http://schemas.openxmlformats.org/officeDocument/2006/relationships" ref="J395" r:id="rId398"/>
    <hyperlink xmlns:r="http://schemas.openxmlformats.org/officeDocument/2006/relationships" ref="J396" r:id="rId399"/>
    <hyperlink xmlns:r="http://schemas.openxmlformats.org/officeDocument/2006/relationships" ref="J397" r:id="rId400"/>
    <hyperlink xmlns:r="http://schemas.openxmlformats.org/officeDocument/2006/relationships" ref="J398" r:id="rId401"/>
    <hyperlink xmlns:r="http://schemas.openxmlformats.org/officeDocument/2006/relationships" ref="J399" r:id="rId402"/>
    <hyperlink xmlns:r="http://schemas.openxmlformats.org/officeDocument/2006/relationships" ref="J400" r:id="rId403"/>
    <hyperlink xmlns:r="http://schemas.openxmlformats.org/officeDocument/2006/relationships" ref="J401" r:id="rId404"/>
    <hyperlink xmlns:r="http://schemas.openxmlformats.org/officeDocument/2006/relationships" ref="J402" r:id="rId405"/>
    <hyperlink xmlns:r="http://schemas.openxmlformats.org/officeDocument/2006/relationships" ref="J403" r:id="rId406"/>
    <hyperlink xmlns:r="http://schemas.openxmlformats.org/officeDocument/2006/relationships" ref="J404" r:id="rId407"/>
    <hyperlink xmlns:r="http://schemas.openxmlformats.org/officeDocument/2006/relationships" ref="J405" r:id="rId408"/>
    <hyperlink xmlns:r="http://schemas.openxmlformats.org/officeDocument/2006/relationships" ref="J406" r:id="rId409"/>
    <hyperlink xmlns:r="http://schemas.openxmlformats.org/officeDocument/2006/relationships" ref="J407" r:id="rId410"/>
    <hyperlink xmlns:r="http://schemas.openxmlformats.org/officeDocument/2006/relationships" ref="J408" r:id="rId411"/>
    <hyperlink xmlns:r="http://schemas.openxmlformats.org/officeDocument/2006/relationships" ref="J409" r:id="rId412"/>
    <hyperlink xmlns:r="http://schemas.openxmlformats.org/officeDocument/2006/relationships" ref="J410" r:id="rId413"/>
    <hyperlink xmlns:r="http://schemas.openxmlformats.org/officeDocument/2006/relationships" ref="J411" r:id="rId414"/>
    <hyperlink xmlns:r="http://schemas.openxmlformats.org/officeDocument/2006/relationships" ref="J412" r:id="rId415"/>
    <hyperlink xmlns:r="http://schemas.openxmlformats.org/officeDocument/2006/relationships" ref="J413" r:id="rId416"/>
    <hyperlink xmlns:r="http://schemas.openxmlformats.org/officeDocument/2006/relationships" ref="J414" r:id="rId417"/>
    <hyperlink xmlns:r="http://schemas.openxmlformats.org/officeDocument/2006/relationships" ref="J415" r:id="rId418"/>
    <hyperlink xmlns:r="http://schemas.openxmlformats.org/officeDocument/2006/relationships" ref="J416" r:id="rId419"/>
    <hyperlink xmlns:r="http://schemas.openxmlformats.org/officeDocument/2006/relationships" ref="J417" r:id="rId420"/>
    <hyperlink xmlns:r="http://schemas.openxmlformats.org/officeDocument/2006/relationships" ref="J418" r:id="rId421"/>
    <hyperlink xmlns:r="http://schemas.openxmlformats.org/officeDocument/2006/relationships" ref="J419" r:id="rId422"/>
    <hyperlink xmlns:r="http://schemas.openxmlformats.org/officeDocument/2006/relationships" ref="J420" r:id="rId423"/>
    <hyperlink xmlns:r="http://schemas.openxmlformats.org/officeDocument/2006/relationships" ref="J421" r:id="rId424"/>
    <hyperlink xmlns:r="http://schemas.openxmlformats.org/officeDocument/2006/relationships" ref="J422" r:id="rId425"/>
    <hyperlink xmlns:r="http://schemas.openxmlformats.org/officeDocument/2006/relationships" ref="J423" r:id="rId426"/>
    <hyperlink xmlns:r="http://schemas.openxmlformats.org/officeDocument/2006/relationships" ref="J424" r:id="rId427"/>
    <hyperlink xmlns:r="http://schemas.openxmlformats.org/officeDocument/2006/relationships" ref="J425" r:id="rId428"/>
    <hyperlink xmlns:r="http://schemas.openxmlformats.org/officeDocument/2006/relationships" ref="J426" r:id="rId429"/>
    <hyperlink xmlns:r="http://schemas.openxmlformats.org/officeDocument/2006/relationships" ref="J427" r:id="rId430"/>
    <hyperlink xmlns:r="http://schemas.openxmlformats.org/officeDocument/2006/relationships" ref="J428" r:id="rId431"/>
    <hyperlink xmlns:r="http://schemas.openxmlformats.org/officeDocument/2006/relationships" ref="J429" r:id="rId432"/>
    <hyperlink xmlns:r="http://schemas.openxmlformats.org/officeDocument/2006/relationships" ref="J430" r:id="rId433"/>
    <hyperlink xmlns:r="http://schemas.openxmlformats.org/officeDocument/2006/relationships" ref="J431" r:id="rId434"/>
    <hyperlink xmlns:r="http://schemas.openxmlformats.org/officeDocument/2006/relationships" ref="J432" r:id="rId435"/>
    <hyperlink xmlns:r="http://schemas.openxmlformats.org/officeDocument/2006/relationships" ref="J433" r:id="rId436"/>
    <hyperlink xmlns:r="http://schemas.openxmlformats.org/officeDocument/2006/relationships" ref="J434" r:id="rId437"/>
    <hyperlink xmlns:r="http://schemas.openxmlformats.org/officeDocument/2006/relationships" ref="J435" r:id="rId438"/>
    <hyperlink xmlns:r="http://schemas.openxmlformats.org/officeDocument/2006/relationships" ref="J436" r:id="rId439"/>
    <hyperlink xmlns:r="http://schemas.openxmlformats.org/officeDocument/2006/relationships" ref="J437" r:id="rId440"/>
    <hyperlink xmlns:r="http://schemas.openxmlformats.org/officeDocument/2006/relationships" ref="J438" r:id="rId441"/>
    <hyperlink xmlns:r="http://schemas.openxmlformats.org/officeDocument/2006/relationships" ref="J439" r:id="rId442"/>
    <hyperlink xmlns:r="http://schemas.openxmlformats.org/officeDocument/2006/relationships" ref="J440" r:id="rId443"/>
    <hyperlink xmlns:r="http://schemas.openxmlformats.org/officeDocument/2006/relationships" ref="J441" r:id="rId444"/>
    <hyperlink xmlns:r="http://schemas.openxmlformats.org/officeDocument/2006/relationships" ref="J442" r:id="rId445"/>
    <hyperlink xmlns:r="http://schemas.openxmlformats.org/officeDocument/2006/relationships" ref="J443" r:id="rId446"/>
    <hyperlink xmlns:r="http://schemas.openxmlformats.org/officeDocument/2006/relationships" ref="J444" r:id="rId447"/>
    <hyperlink xmlns:r="http://schemas.openxmlformats.org/officeDocument/2006/relationships" ref="J445" r:id="rId448"/>
    <hyperlink xmlns:r="http://schemas.openxmlformats.org/officeDocument/2006/relationships" ref="J446" r:id="rId449"/>
    <hyperlink xmlns:r="http://schemas.openxmlformats.org/officeDocument/2006/relationships" ref="J447" r:id="rId450"/>
    <hyperlink xmlns:r="http://schemas.openxmlformats.org/officeDocument/2006/relationships" ref="J448" r:id="rId451"/>
    <hyperlink xmlns:r="http://schemas.openxmlformats.org/officeDocument/2006/relationships" ref="J449" r:id="rId452"/>
    <hyperlink xmlns:r="http://schemas.openxmlformats.org/officeDocument/2006/relationships" ref="J450" r:id="rId453"/>
    <hyperlink xmlns:r="http://schemas.openxmlformats.org/officeDocument/2006/relationships" ref="J451" r:id="rId454"/>
    <hyperlink xmlns:r="http://schemas.openxmlformats.org/officeDocument/2006/relationships" ref="J452" r:id="rId455"/>
    <hyperlink xmlns:r="http://schemas.openxmlformats.org/officeDocument/2006/relationships" ref="J453" r:id="rId456"/>
    <hyperlink xmlns:r="http://schemas.openxmlformats.org/officeDocument/2006/relationships" ref="J454" r:id="rId457"/>
    <hyperlink xmlns:r="http://schemas.openxmlformats.org/officeDocument/2006/relationships" ref="J455" r:id="rId458"/>
    <hyperlink xmlns:r="http://schemas.openxmlformats.org/officeDocument/2006/relationships" ref="J456" r:id="rId459"/>
    <hyperlink xmlns:r="http://schemas.openxmlformats.org/officeDocument/2006/relationships" ref="J457" r:id="rId460"/>
    <hyperlink xmlns:r="http://schemas.openxmlformats.org/officeDocument/2006/relationships" ref="J458" r:id="rId461"/>
    <hyperlink xmlns:r="http://schemas.openxmlformats.org/officeDocument/2006/relationships" ref="J459" r:id="rId462"/>
    <hyperlink xmlns:r="http://schemas.openxmlformats.org/officeDocument/2006/relationships" ref="J460" r:id="rId463"/>
    <hyperlink xmlns:r="http://schemas.openxmlformats.org/officeDocument/2006/relationships" ref="J461" r:id="rId464"/>
    <hyperlink xmlns:r="http://schemas.openxmlformats.org/officeDocument/2006/relationships" ref="J462" r:id="rId465"/>
    <hyperlink xmlns:r="http://schemas.openxmlformats.org/officeDocument/2006/relationships" ref="J463" r:id="rId466"/>
    <hyperlink xmlns:r="http://schemas.openxmlformats.org/officeDocument/2006/relationships" ref="J464" r:id="rId467"/>
    <hyperlink xmlns:r="http://schemas.openxmlformats.org/officeDocument/2006/relationships" ref="J465" r:id="rId468"/>
    <hyperlink xmlns:r="http://schemas.openxmlformats.org/officeDocument/2006/relationships" ref="J466" r:id="rId469"/>
    <hyperlink xmlns:r="http://schemas.openxmlformats.org/officeDocument/2006/relationships" ref="J467" r:id="rId470"/>
    <hyperlink xmlns:r="http://schemas.openxmlformats.org/officeDocument/2006/relationships" ref="J468" r:id="rId471"/>
    <hyperlink xmlns:r="http://schemas.openxmlformats.org/officeDocument/2006/relationships" ref="J469" r:id="rId472"/>
    <hyperlink xmlns:r="http://schemas.openxmlformats.org/officeDocument/2006/relationships" ref="J470" r:id="rId473"/>
    <hyperlink xmlns:r="http://schemas.openxmlformats.org/officeDocument/2006/relationships" ref="J471" r:id="rId474"/>
    <hyperlink xmlns:r="http://schemas.openxmlformats.org/officeDocument/2006/relationships" ref="J472" r:id="rId475"/>
    <hyperlink xmlns:r="http://schemas.openxmlformats.org/officeDocument/2006/relationships" ref="J473" r:id="rId476"/>
    <hyperlink xmlns:r="http://schemas.openxmlformats.org/officeDocument/2006/relationships" ref="J474" r:id="rId477"/>
    <hyperlink xmlns:r="http://schemas.openxmlformats.org/officeDocument/2006/relationships" ref="J475" r:id="rId478"/>
    <hyperlink xmlns:r="http://schemas.openxmlformats.org/officeDocument/2006/relationships" ref="J476" r:id="rId479"/>
    <hyperlink xmlns:r="http://schemas.openxmlformats.org/officeDocument/2006/relationships" ref="J477" r:id="rId480"/>
    <hyperlink xmlns:r="http://schemas.openxmlformats.org/officeDocument/2006/relationships" ref="J478" r:id="rId481"/>
    <hyperlink xmlns:r="http://schemas.openxmlformats.org/officeDocument/2006/relationships" ref="J479" r:id="rId482"/>
    <hyperlink xmlns:r="http://schemas.openxmlformats.org/officeDocument/2006/relationships" ref="J480" r:id="rId483"/>
    <hyperlink xmlns:r="http://schemas.openxmlformats.org/officeDocument/2006/relationships" ref="J481" r:id="rId484"/>
    <hyperlink xmlns:r="http://schemas.openxmlformats.org/officeDocument/2006/relationships" ref="J482" r:id="rId485"/>
    <hyperlink xmlns:r="http://schemas.openxmlformats.org/officeDocument/2006/relationships" ref="J483" r:id="rId486"/>
    <hyperlink xmlns:r="http://schemas.openxmlformats.org/officeDocument/2006/relationships" ref="J484" r:id="rId487"/>
    <hyperlink xmlns:r="http://schemas.openxmlformats.org/officeDocument/2006/relationships" ref="J485" r:id="rId488"/>
    <hyperlink xmlns:r="http://schemas.openxmlformats.org/officeDocument/2006/relationships" ref="J486" r:id="rId489"/>
    <hyperlink xmlns:r="http://schemas.openxmlformats.org/officeDocument/2006/relationships" ref="J487" r:id="rId490"/>
    <hyperlink xmlns:r="http://schemas.openxmlformats.org/officeDocument/2006/relationships" ref="J488" r:id="rId491"/>
    <hyperlink xmlns:r="http://schemas.openxmlformats.org/officeDocument/2006/relationships" ref="J489" r:id="rId492"/>
    <hyperlink xmlns:r="http://schemas.openxmlformats.org/officeDocument/2006/relationships" ref="J490" r:id="rId493"/>
    <hyperlink xmlns:r="http://schemas.openxmlformats.org/officeDocument/2006/relationships" ref="J491" r:id="rId494"/>
    <hyperlink xmlns:r="http://schemas.openxmlformats.org/officeDocument/2006/relationships" ref="J492" r:id="rId495"/>
    <hyperlink xmlns:r="http://schemas.openxmlformats.org/officeDocument/2006/relationships" ref="J493" r:id="rId496"/>
    <hyperlink xmlns:r="http://schemas.openxmlformats.org/officeDocument/2006/relationships" ref="J494" r:id="rId497"/>
    <hyperlink xmlns:r="http://schemas.openxmlformats.org/officeDocument/2006/relationships" ref="J495" r:id="rId498"/>
    <hyperlink xmlns:r="http://schemas.openxmlformats.org/officeDocument/2006/relationships" ref="J496" r:id="rId499"/>
    <hyperlink xmlns:r="http://schemas.openxmlformats.org/officeDocument/2006/relationships" ref="J497" r:id="rId500"/>
    <hyperlink xmlns:r="http://schemas.openxmlformats.org/officeDocument/2006/relationships" ref="J498" r:id="rId501"/>
    <hyperlink xmlns:r="http://schemas.openxmlformats.org/officeDocument/2006/relationships" ref="J499" r:id="rId502"/>
    <hyperlink xmlns:r="http://schemas.openxmlformats.org/officeDocument/2006/relationships" ref="J500" r:id="rId503"/>
    <hyperlink xmlns:r="http://schemas.openxmlformats.org/officeDocument/2006/relationships" ref="J501" r:id="rId504"/>
    <hyperlink xmlns:r="http://schemas.openxmlformats.org/officeDocument/2006/relationships" ref="J502" r:id="rId505"/>
    <hyperlink xmlns:r="http://schemas.openxmlformats.org/officeDocument/2006/relationships" ref="J503" r:id="rId506"/>
    <hyperlink xmlns:r="http://schemas.openxmlformats.org/officeDocument/2006/relationships" ref="J504" r:id="rId507"/>
    <hyperlink xmlns:r="http://schemas.openxmlformats.org/officeDocument/2006/relationships" ref="J505" r:id="rId508"/>
    <hyperlink xmlns:r="http://schemas.openxmlformats.org/officeDocument/2006/relationships" ref="J506" r:id="rId509"/>
    <hyperlink xmlns:r="http://schemas.openxmlformats.org/officeDocument/2006/relationships" ref="J507" r:id="rId510"/>
    <hyperlink xmlns:r="http://schemas.openxmlformats.org/officeDocument/2006/relationships" ref="J508" r:id="rId511"/>
    <hyperlink xmlns:r="http://schemas.openxmlformats.org/officeDocument/2006/relationships" ref="J509" r:id="rId512"/>
    <hyperlink xmlns:r="http://schemas.openxmlformats.org/officeDocument/2006/relationships" ref="J510" r:id="rId513"/>
    <hyperlink xmlns:r="http://schemas.openxmlformats.org/officeDocument/2006/relationships" ref="J511" r:id="rId514"/>
    <hyperlink xmlns:r="http://schemas.openxmlformats.org/officeDocument/2006/relationships" ref="J512" r:id="rId515"/>
    <hyperlink xmlns:r="http://schemas.openxmlformats.org/officeDocument/2006/relationships" ref="J513" r:id="rId516"/>
    <hyperlink xmlns:r="http://schemas.openxmlformats.org/officeDocument/2006/relationships" ref="J514" r:id="rId517"/>
    <hyperlink xmlns:r="http://schemas.openxmlformats.org/officeDocument/2006/relationships" ref="J515" r:id="rId518"/>
    <hyperlink xmlns:r="http://schemas.openxmlformats.org/officeDocument/2006/relationships" ref="J516" r:id="rId519"/>
    <hyperlink xmlns:r="http://schemas.openxmlformats.org/officeDocument/2006/relationships" ref="J517" r:id="rId520"/>
    <hyperlink xmlns:r="http://schemas.openxmlformats.org/officeDocument/2006/relationships" ref="J518" r:id="rId521"/>
    <hyperlink xmlns:r="http://schemas.openxmlformats.org/officeDocument/2006/relationships" ref="J519" r:id="rId522"/>
    <hyperlink xmlns:r="http://schemas.openxmlformats.org/officeDocument/2006/relationships" ref="J520" r:id="rId523"/>
    <hyperlink xmlns:r="http://schemas.openxmlformats.org/officeDocument/2006/relationships" ref="J521" r:id="rId524"/>
    <hyperlink xmlns:r="http://schemas.openxmlformats.org/officeDocument/2006/relationships" ref="J522" r:id="rId525"/>
    <hyperlink xmlns:r="http://schemas.openxmlformats.org/officeDocument/2006/relationships" ref="J523" r:id="rId526"/>
    <hyperlink xmlns:r="http://schemas.openxmlformats.org/officeDocument/2006/relationships" ref="J524" r:id="rId527"/>
    <hyperlink xmlns:r="http://schemas.openxmlformats.org/officeDocument/2006/relationships" ref="J525" r:id="rId528"/>
    <hyperlink xmlns:r="http://schemas.openxmlformats.org/officeDocument/2006/relationships" ref="J526" r:id="rId529"/>
    <hyperlink xmlns:r="http://schemas.openxmlformats.org/officeDocument/2006/relationships" ref="J527" r:id="rId530"/>
    <hyperlink xmlns:r="http://schemas.openxmlformats.org/officeDocument/2006/relationships" ref="J528" r:id="rId531"/>
    <hyperlink xmlns:r="http://schemas.openxmlformats.org/officeDocument/2006/relationships" ref="J529" r:id="rId532"/>
    <hyperlink xmlns:r="http://schemas.openxmlformats.org/officeDocument/2006/relationships" ref="J530" r:id="rId533"/>
    <hyperlink xmlns:r="http://schemas.openxmlformats.org/officeDocument/2006/relationships" ref="J531" r:id="rId534"/>
    <hyperlink xmlns:r="http://schemas.openxmlformats.org/officeDocument/2006/relationships" ref="J532" r:id="rId535"/>
    <hyperlink xmlns:r="http://schemas.openxmlformats.org/officeDocument/2006/relationships" ref="J533" r:id="rId536"/>
    <hyperlink xmlns:r="http://schemas.openxmlformats.org/officeDocument/2006/relationships" ref="J534" r:id="rId537"/>
    <hyperlink xmlns:r="http://schemas.openxmlformats.org/officeDocument/2006/relationships" ref="J535" r:id="rId538"/>
    <hyperlink xmlns:r="http://schemas.openxmlformats.org/officeDocument/2006/relationships" ref="J536" r:id="rId539"/>
    <hyperlink xmlns:r="http://schemas.openxmlformats.org/officeDocument/2006/relationships" ref="J537" r:id="rId540"/>
    <hyperlink xmlns:r="http://schemas.openxmlformats.org/officeDocument/2006/relationships" ref="J538" r:id="rId541"/>
    <hyperlink xmlns:r="http://schemas.openxmlformats.org/officeDocument/2006/relationships" ref="J539" r:id="rId542"/>
    <hyperlink xmlns:r="http://schemas.openxmlformats.org/officeDocument/2006/relationships" ref="J540" r:id="rId543"/>
    <hyperlink xmlns:r="http://schemas.openxmlformats.org/officeDocument/2006/relationships" ref="J541" r:id="rId544"/>
    <hyperlink xmlns:r="http://schemas.openxmlformats.org/officeDocument/2006/relationships" ref="J542" r:id="rId545"/>
    <hyperlink xmlns:r="http://schemas.openxmlformats.org/officeDocument/2006/relationships" ref="J543" r:id="rId546"/>
    <hyperlink xmlns:r="http://schemas.openxmlformats.org/officeDocument/2006/relationships" ref="J544" r:id="rId547"/>
    <hyperlink xmlns:r="http://schemas.openxmlformats.org/officeDocument/2006/relationships" ref="J545" r:id="rId548"/>
    <hyperlink xmlns:r="http://schemas.openxmlformats.org/officeDocument/2006/relationships" ref="J546" r:id="rId549"/>
    <hyperlink xmlns:r="http://schemas.openxmlformats.org/officeDocument/2006/relationships" ref="J547" r:id="rId550"/>
    <hyperlink xmlns:r="http://schemas.openxmlformats.org/officeDocument/2006/relationships" ref="J548" r:id="rId551"/>
    <hyperlink xmlns:r="http://schemas.openxmlformats.org/officeDocument/2006/relationships" ref="J549" r:id="rId552"/>
    <hyperlink xmlns:r="http://schemas.openxmlformats.org/officeDocument/2006/relationships" ref="J550" r:id="rId553"/>
    <hyperlink xmlns:r="http://schemas.openxmlformats.org/officeDocument/2006/relationships" ref="J551" r:id="rId554"/>
    <hyperlink xmlns:r="http://schemas.openxmlformats.org/officeDocument/2006/relationships" ref="J552" r:id="rId555"/>
    <hyperlink xmlns:r="http://schemas.openxmlformats.org/officeDocument/2006/relationships" ref="J553" r:id="rId556"/>
    <hyperlink xmlns:r="http://schemas.openxmlformats.org/officeDocument/2006/relationships" ref="J554" r:id="rId557"/>
    <hyperlink xmlns:r="http://schemas.openxmlformats.org/officeDocument/2006/relationships" ref="J555" r:id="rId558"/>
    <hyperlink xmlns:r="http://schemas.openxmlformats.org/officeDocument/2006/relationships" ref="J556" r:id="rId559"/>
    <hyperlink xmlns:r="http://schemas.openxmlformats.org/officeDocument/2006/relationships" ref="J557" r:id="rId560"/>
    <hyperlink xmlns:r="http://schemas.openxmlformats.org/officeDocument/2006/relationships" ref="J558" r:id="rId561"/>
    <hyperlink xmlns:r="http://schemas.openxmlformats.org/officeDocument/2006/relationships" ref="J559" r:id="rId562"/>
    <hyperlink xmlns:r="http://schemas.openxmlformats.org/officeDocument/2006/relationships" ref="J560" r:id="rId563"/>
    <hyperlink xmlns:r="http://schemas.openxmlformats.org/officeDocument/2006/relationships" ref="J561" r:id="rId564"/>
    <hyperlink xmlns:r="http://schemas.openxmlformats.org/officeDocument/2006/relationships" ref="J562" r:id="rId565"/>
    <hyperlink xmlns:r="http://schemas.openxmlformats.org/officeDocument/2006/relationships" ref="J563" r:id="rId566"/>
    <hyperlink xmlns:r="http://schemas.openxmlformats.org/officeDocument/2006/relationships" ref="J564" r:id="rId567"/>
    <hyperlink xmlns:r="http://schemas.openxmlformats.org/officeDocument/2006/relationships" ref="J565" r:id="rId568"/>
    <hyperlink xmlns:r="http://schemas.openxmlformats.org/officeDocument/2006/relationships" ref="J566" r:id="rId569"/>
    <hyperlink xmlns:r="http://schemas.openxmlformats.org/officeDocument/2006/relationships" ref="J567" r:id="rId570"/>
    <hyperlink xmlns:r="http://schemas.openxmlformats.org/officeDocument/2006/relationships" ref="J568" r:id="rId571"/>
    <hyperlink xmlns:r="http://schemas.openxmlformats.org/officeDocument/2006/relationships" ref="J569" r:id="rId572"/>
    <hyperlink xmlns:r="http://schemas.openxmlformats.org/officeDocument/2006/relationships" ref="J570" r:id="rId573"/>
    <hyperlink xmlns:r="http://schemas.openxmlformats.org/officeDocument/2006/relationships" ref="J571" r:id="rId574"/>
    <hyperlink xmlns:r="http://schemas.openxmlformats.org/officeDocument/2006/relationships" ref="J572" r:id="rId575"/>
    <hyperlink xmlns:r="http://schemas.openxmlformats.org/officeDocument/2006/relationships" ref="J573" r:id="rId576"/>
    <hyperlink xmlns:r="http://schemas.openxmlformats.org/officeDocument/2006/relationships" ref="J574" r:id="rId577"/>
    <hyperlink xmlns:r="http://schemas.openxmlformats.org/officeDocument/2006/relationships" ref="J575" r:id="rId578"/>
    <hyperlink xmlns:r="http://schemas.openxmlformats.org/officeDocument/2006/relationships" ref="J576" r:id="rId579"/>
    <hyperlink xmlns:r="http://schemas.openxmlformats.org/officeDocument/2006/relationships" ref="J577" r:id="rId580"/>
    <hyperlink xmlns:r="http://schemas.openxmlformats.org/officeDocument/2006/relationships" ref="J578" r:id="rId581"/>
    <hyperlink xmlns:r="http://schemas.openxmlformats.org/officeDocument/2006/relationships" ref="J579" r:id="rId582"/>
    <hyperlink xmlns:r="http://schemas.openxmlformats.org/officeDocument/2006/relationships" ref="J580" r:id="rId583"/>
    <hyperlink xmlns:r="http://schemas.openxmlformats.org/officeDocument/2006/relationships" ref="J581" r:id="rId584"/>
    <hyperlink xmlns:r="http://schemas.openxmlformats.org/officeDocument/2006/relationships" ref="J582" r:id="rId585"/>
    <hyperlink xmlns:r="http://schemas.openxmlformats.org/officeDocument/2006/relationships" ref="J583" r:id="rId586"/>
    <hyperlink xmlns:r="http://schemas.openxmlformats.org/officeDocument/2006/relationships" ref="J584" r:id="rId587"/>
    <hyperlink xmlns:r="http://schemas.openxmlformats.org/officeDocument/2006/relationships" ref="J585" r:id="rId588"/>
    <hyperlink xmlns:r="http://schemas.openxmlformats.org/officeDocument/2006/relationships" ref="J586" r:id="rId589"/>
    <hyperlink xmlns:r="http://schemas.openxmlformats.org/officeDocument/2006/relationships" ref="J587" r:id="rId590"/>
    <hyperlink xmlns:r="http://schemas.openxmlformats.org/officeDocument/2006/relationships" ref="J588" r:id="rId591"/>
    <hyperlink xmlns:r="http://schemas.openxmlformats.org/officeDocument/2006/relationships" ref="J589" r:id="rId592"/>
    <hyperlink xmlns:r="http://schemas.openxmlformats.org/officeDocument/2006/relationships" ref="J590" r:id="rId593"/>
    <hyperlink xmlns:r="http://schemas.openxmlformats.org/officeDocument/2006/relationships" ref="J591" r:id="rId594"/>
    <hyperlink xmlns:r="http://schemas.openxmlformats.org/officeDocument/2006/relationships" ref="J592" r:id="rId595"/>
    <hyperlink xmlns:r="http://schemas.openxmlformats.org/officeDocument/2006/relationships" ref="J593" r:id="rId596"/>
    <hyperlink xmlns:r="http://schemas.openxmlformats.org/officeDocument/2006/relationships" ref="J594" r:id="rId597"/>
    <hyperlink xmlns:r="http://schemas.openxmlformats.org/officeDocument/2006/relationships" ref="J595" r:id="rId598"/>
    <hyperlink xmlns:r="http://schemas.openxmlformats.org/officeDocument/2006/relationships" ref="J596" r:id="rId599"/>
    <hyperlink xmlns:r="http://schemas.openxmlformats.org/officeDocument/2006/relationships" ref="J597" r:id="rId600"/>
    <hyperlink xmlns:r="http://schemas.openxmlformats.org/officeDocument/2006/relationships" ref="J598" r:id="rId601"/>
    <hyperlink xmlns:r="http://schemas.openxmlformats.org/officeDocument/2006/relationships" ref="J599" r:id="rId602"/>
    <hyperlink xmlns:r="http://schemas.openxmlformats.org/officeDocument/2006/relationships" ref="J600" r:id="rId603"/>
    <hyperlink xmlns:r="http://schemas.openxmlformats.org/officeDocument/2006/relationships" ref="J601" r:id="rId604"/>
    <hyperlink xmlns:r="http://schemas.openxmlformats.org/officeDocument/2006/relationships" ref="J602" r:id="rId605"/>
    <hyperlink xmlns:r="http://schemas.openxmlformats.org/officeDocument/2006/relationships" ref="J603" r:id="rId606"/>
    <hyperlink xmlns:r="http://schemas.openxmlformats.org/officeDocument/2006/relationships" ref="J604" r:id="rId607"/>
    <hyperlink xmlns:r="http://schemas.openxmlformats.org/officeDocument/2006/relationships" ref="J605" r:id="rId608"/>
    <hyperlink xmlns:r="http://schemas.openxmlformats.org/officeDocument/2006/relationships" ref="J606" r:id="rId609"/>
    <hyperlink xmlns:r="http://schemas.openxmlformats.org/officeDocument/2006/relationships" ref="J607" r:id="rId610"/>
    <hyperlink xmlns:r="http://schemas.openxmlformats.org/officeDocument/2006/relationships" ref="J608" r:id="rId611"/>
    <hyperlink xmlns:r="http://schemas.openxmlformats.org/officeDocument/2006/relationships" ref="J609" r:id="rId612"/>
    <hyperlink xmlns:r="http://schemas.openxmlformats.org/officeDocument/2006/relationships" ref="J610" r:id="rId613"/>
    <hyperlink xmlns:r="http://schemas.openxmlformats.org/officeDocument/2006/relationships" ref="J611" r:id="rId614"/>
    <hyperlink xmlns:r="http://schemas.openxmlformats.org/officeDocument/2006/relationships" ref="J612" r:id="rId615"/>
    <hyperlink xmlns:r="http://schemas.openxmlformats.org/officeDocument/2006/relationships" ref="J613" r:id="rId616"/>
    <hyperlink xmlns:r="http://schemas.openxmlformats.org/officeDocument/2006/relationships" ref="J614" r:id="rId617"/>
    <hyperlink xmlns:r="http://schemas.openxmlformats.org/officeDocument/2006/relationships" ref="J615" r:id="rId618"/>
    <hyperlink xmlns:r="http://schemas.openxmlformats.org/officeDocument/2006/relationships" ref="J616" r:id="rId619"/>
    <hyperlink xmlns:r="http://schemas.openxmlformats.org/officeDocument/2006/relationships" ref="J617" r:id="rId620"/>
    <hyperlink xmlns:r="http://schemas.openxmlformats.org/officeDocument/2006/relationships" ref="J618" r:id="rId621"/>
    <hyperlink xmlns:r="http://schemas.openxmlformats.org/officeDocument/2006/relationships" ref="J619" r:id="rId622"/>
    <hyperlink xmlns:r="http://schemas.openxmlformats.org/officeDocument/2006/relationships" ref="J620" r:id="rId623"/>
    <hyperlink xmlns:r="http://schemas.openxmlformats.org/officeDocument/2006/relationships" ref="J621" r:id="rId624"/>
    <hyperlink xmlns:r="http://schemas.openxmlformats.org/officeDocument/2006/relationships" ref="J622" r:id="rId625"/>
    <hyperlink xmlns:r="http://schemas.openxmlformats.org/officeDocument/2006/relationships" ref="J623" r:id="rId626"/>
    <hyperlink xmlns:r="http://schemas.openxmlformats.org/officeDocument/2006/relationships" ref="J624" r:id="rId627"/>
    <hyperlink xmlns:r="http://schemas.openxmlformats.org/officeDocument/2006/relationships" ref="J625" r:id="rId628"/>
    <hyperlink xmlns:r="http://schemas.openxmlformats.org/officeDocument/2006/relationships" ref="J626" r:id="rId629"/>
    <hyperlink xmlns:r="http://schemas.openxmlformats.org/officeDocument/2006/relationships" ref="J627" r:id="rId630"/>
    <hyperlink xmlns:r="http://schemas.openxmlformats.org/officeDocument/2006/relationships" ref="J628" r:id="rId631"/>
    <hyperlink xmlns:r="http://schemas.openxmlformats.org/officeDocument/2006/relationships" ref="J629" r:id="rId632"/>
    <hyperlink xmlns:r="http://schemas.openxmlformats.org/officeDocument/2006/relationships" ref="J630" r:id="rId633"/>
    <hyperlink xmlns:r="http://schemas.openxmlformats.org/officeDocument/2006/relationships" ref="J631" r:id="rId634"/>
    <hyperlink xmlns:r="http://schemas.openxmlformats.org/officeDocument/2006/relationships" ref="J632" r:id="rId635"/>
    <hyperlink xmlns:r="http://schemas.openxmlformats.org/officeDocument/2006/relationships" ref="J633" r:id="rId636"/>
    <hyperlink xmlns:r="http://schemas.openxmlformats.org/officeDocument/2006/relationships" ref="J634" r:id="rId637"/>
    <hyperlink xmlns:r="http://schemas.openxmlformats.org/officeDocument/2006/relationships" ref="J635" r:id="rId638"/>
    <hyperlink xmlns:r="http://schemas.openxmlformats.org/officeDocument/2006/relationships" ref="J636" r:id="rId639"/>
    <hyperlink xmlns:r="http://schemas.openxmlformats.org/officeDocument/2006/relationships" ref="J637" r:id="rId640"/>
    <hyperlink xmlns:r="http://schemas.openxmlformats.org/officeDocument/2006/relationships" ref="J638" r:id="rId641"/>
    <hyperlink xmlns:r="http://schemas.openxmlformats.org/officeDocument/2006/relationships" ref="J639" r:id="rId642"/>
    <hyperlink xmlns:r="http://schemas.openxmlformats.org/officeDocument/2006/relationships" ref="J640" r:id="rId643"/>
    <hyperlink xmlns:r="http://schemas.openxmlformats.org/officeDocument/2006/relationships" ref="J641" r:id="rId644"/>
    <hyperlink xmlns:r="http://schemas.openxmlformats.org/officeDocument/2006/relationships" ref="J642" r:id="rId645"/>
    <hyperlink xmlns:r="http://schemas.openxmlformats.org/officeDocument/2006/relationships" ref="J643" r:id="rId646"/>
    <hyperlink xmlns:r="http://schemas.openxmlformats.org/officeDocument/2006/relationships" ref="J644" r:id="rId647"/>
    <hyperlink xmlns:r="http://schemas.openxmlformats.org/officeDocument/2006/relationships" ref="J645" r:id="rId648"/>
    <hyperlink xmlns:r="http://schemas.openxmlformats.org/officeDocument/2006/relationships" ref="J646" r:id="rId649"/>
    <hyperlink xmlns:r="http://schemas.openxmlformats.org/officeDocument/2006/relationships" ref="J647" r:id="rId650"/>
    <hyperlink xmlns:r="http://schemas.openxmlformats.org/officeDocument/2006/relationships" ref="J648" r:id="rId651"/>
    <hyperlink xmlns:r="http://schemas.openxmlformats.org/officeDocument/2006/relationships" ref="J649" r:id="rId652"/>
    <hyperlink xmlns:r="http://schemas.openxmlformats.org/officeDocument/2006/relationships" ref="J650" r:id="rId653"/>
    <hyperlink xmlns:r="http://schemas.openxmlformats.org/officeDocument/2006/relationships" ref="J651" r:id="rId654"/>
    <hyperlink xmlns:r="http://schemas.openxmlformats.org/officeDocument/2006/relationships" ref="J652" r:id="rId655"/>
    <hyperlink xmlns:r="http://schemas.openxmlformats.org/officeDocument/2006/relationships" ref="J653" r:id="rId656"/>
    <hyperlink xmlns:r="http://schemas.openxmlformats.org/officeDocument/2006/relationships" ref="J654" r:id="rId657"/>
    <hyperlink xmlns:r="http://schemas.openxmlformats.org/officeDocument/2006/relationships" ref="J655" r:id="rId658"/>
    <hyperlink xmlns:r="http://schemas.openxmlformats.org/officeDocument/2006/relationships" ref="J656" r:id="rId659"/>
    <hyperlink xmlns:r="http://schemas.openxmlformats.org/officeDocument/2006/relationships" ref="J657" r:id="rId660"/>
    <hyperlink xmlns:r="http://schemas.openxmlformats.org/officeDocument/2006/relationships" ref="J658" r:id="rId661"/>
    <hyperlink xmlns:r="http://schemas.openxmlformats.org/officeDocument/2006/relationships" ref="J659" r:id="rId662"/>
    <hyperlink xmlns:r="http://schemas.openxmlformats.org/officeDocument/2006/relationships" ref="J660" r:id="rId663"/>
    <hyperlink xmlns:r="http://schemas.openxmlformats.org/officeDocument/2006/relationships" ref="J661" r:id="rId664"/>
    <hyperlink xmlns:r="http://schemas.openxmlformats.org/officeDocument/2006/relationships" ref="J662" r:id="rId665"/>
    <hyperlink xmlns:r="http://schemas.openxmlformats.org/officeDocument/2006/relationships" ref="J663" r:id="rId666"/>
    <hyperlink xmlns:r="http://schemas.openxmlformats.org/officeDocument/2006/relationships" ref="J664" r:id="rId667"/>
    <hyperlink xmlns:r="http://schemas.openxmlformats.org/officeDocument/2006/relationships" ref="J665" r:id="rId668"/>
    <hyperlink xmlns:r="http://schemas.openxmlformats.org/officeDocument/2006/relationships" ref="J666" r:id="rId669"/>
    <hyperlink xmlns:r="http://schemas.openxmlformats.org/officeDocument/2006/relationships" ref="J667" r:id="rId670"/>
    <hyperlink xmlns:r="http://schemas.openxmlformats.org/officeDocument/2006/relationships" ref="J668" r:id="rId671"/>
    <hyperlink xmlns:r="http://schemas.openxmlformats.org/officeDocument/2006/relationships" ref="J669" r:id="rId672"/>
    <hyperlink xmlns:r="http://schemas.openxmlformats.org/officeDocument/2006/relationships" ref="J670" r:id="rId673"/>
    <hyperlink xmlns:r="http://schemas.openxmlformats.org/officeDocument/2006/relationships" ref="J671" r:id="rId674"/>
    <hyperlink xmlns:r="http://schemas.openxmlformats.org/officeDocument/2006/relationships" ref="J672" r:id="rId675"/>
    <hyperlink xmlns:r="http://schemas.openxmlformats.org/officeDocument/2006/relationships" ref="J673" r:id="rId676"/>
    <hyperlink xmlns:r="http://schemas.openxmlformats.org/officeDocument/2006/relationships" ref="J674" r:id="rId677"/>
    <hyperlink xmlns:r="http://schemas.openxmlformats.org/officeDocument/2006/relationships" ref="J675" r:id="rId678"/>
    <hyperlink xmlns:r="http://schemas.openxmlformats.org/officeDocument/2006/relationships" ref="J676" r:id="rId679"/>
    <hyperlink xmlns:r="http://schemas.openxmlformats.org/officeDocument/2006/relationships" ref="J677" r:id="rId680"/>
    <hyperlink xmlns:r="http://schemas.openxmlformats.org/officeDocument/2006/relationships" ref="J678" r:id="rId681"/>
    <hyperlink xmlns:r="http://schemas.openxmlformats.org/officeDocument/2006/relationships" ref="J679" r:id="rId682"/>
    <hyperlink xmlns:r="http://schemas.openxmlformats.org/officeDocument/2006/relationships" ref="J680" r:id="rId683"/>
    <hyperlink xmlns:r="http://schemas.openxmlformats.org/officeDocument/2006/relationships" ref="J681" r:id="rId684"/>
    <hyperlink xmlns:r="http://schemas.openxmlformats.org/officeDocument/2006/relationships" ref="J682" r:id="rId685"/>
    <hyperlink xmlns:r="http://schemas.openxmlformats.org/officeDocument/2006/relationships" ref="J683" r:id="rId686"/>
    <hyperlink xmlns:r="http://schemas.openxmlformats.org/officeDocument/2006/relationships" ref="J684" r:id="rId687"/>
    <hyperlink xmlns:r="http://schemas.openxmlformats.org/officeDocument/2006/relationships" ref="J685" r:id="rId688"/>
    <hyperlink xmlns:r="http://schemas.openxmlformats.org/officeDocument/2006/relationships" ref="J686" r:id="rId689"/>
    <hyperlink xmlns:r="http://schemas.openxmlformats.org/officeDocument/2006/relationships" ref="J687" r:id="rId690"/>
    <hyperlink xmlns:r="http://schemas.openxmlformats.org/officeDocument/2006/relationships" ref="J688" r:id="rId691"/>
    <hyperlink xmlns:r="http://schemas.openxmlformats.org/officeDocument/2006/relationships" ref="J689" r:id="rId692"/>
    <hyperlink xmlns:r="http://schemas.openxmlformats.org/officeDocument/2006/relationships" ref="J690" r:id="rId693"/>
    <hyperlink xmlns:r="http://schemas.openxmlformats.org/officeDocument/2006/relationships" ref="J691" r:id="rId694"/>
    <hyperlink xmlns:r="http://schemas.openxmlformats.org/officeDocument/2006/relationships" ref="J692" r:id="rId695"/>
    <hyperlink xmlns:r="http://schemas.openxmlformats.org/officeDocument/2006/relationships" ref="J693" r:id="rId696"/>
    <hyperlink xmlns:r="http://schemas.openxmlformats.org/officeDocument/2006/relationships" ref="J694" r:id="rId697"/>
    <hyperlink xmlns:r="http://schemas.openxmlformats.org/officeDocument/2006/relationships" ref="J695" r:id="rId698"/>
    <hyperlink xmlns:r="http://schemas.openxmlformats.org/officeDocument/2006/relationships" ref="J696" r:id="rId699"/>
    <hyperlink xmlns:r="http://schemas.openxmlformats.org/officeDocument/2006/relationships" ref="J697" r:id="rId700"/>
    <hyperlink xmlns:r="http://schemas.openxmlformats.org/officeDocument/2006/relationships" ref="J698" r:id="rId701"/>
    <hyperlink xmlns:r="http://schemas.openxmlformats.org/officeDocument/2006/relationships" ref="J699" r:id="rId702"/>
    <hyperlink xmlns:r="http://schemas.openxmlformats.org/officeDocument/2006/relationships" ref="J700" r:id="rId703"/>
    <hyperlink xmlns:r="http://schemas.openxmlformats.org/officeDocument/2006/relationships" ref="J701" r:id="rId704"/>
    <hyperlink xmlns:r="http://schemas.openxmlformats.org/officeDocument/2006/relationships" ref="J702" r:id="rId705"/>
    <hyperlink xmlns:r="http://schemas.openxmlformats.org/officeDocument/2006/relationships" ref="J703" r:id="rId706"/>
    <hyperlink xmlns:r="http://schemas.openxmlformats.org/officeDocument/2006/relationships" ref="J704" r:id="rId707"/>
    <hyperlink xmlns:r="http://schemas.openxmlformats.org/officeDocument/2006/relationships" ref="J705" r:id="rId708"/>
    <hyperlink xmlns:r="http://schemas.openxmlformats.org/officeDocument/2006/relationships" ref="J706" r:id="rId709"/>
    <hyperlink xmlns:r="http://schemas.openxmlformats.org/officeDocument/2006/relationships" ref="J707" r:id="rId710"/>
    <hyperlink xmlns:r="http://schemas.openxmlformats.org/officeDocument/2006/relationships" ref="J708" r:id="rId711"/>
    <hyperlink xmlns:r="http://schemas.openxmlformats.org/officeDocument/2006/relationships" ref="J709" r:id="rId712"/>
    <hyperlink xmlns:r="http://schemas.openxmlformats.org/officeDocument/2006/relationships" ref="J710" r:id="rId713"/>
    <hyperlink xmlns:r="http://schemas.openxmlformats.org/officeDocument/2006/relationships" ref="J711" r:id="rId714"/>
    <hyperlink xmlns:r="http://schemas.openxmlformats.org/officeDocument/2006/relationships" ref="J712" r:id="rId715"/>
    <hyperlink xmlns:r="http://schemas.openxmlformats.org/officeDocument/2006/relationships" ref="J713" r:id="rId716"/>
    <hyperlink xmlns:r="http://schemas.openxmlformats.org/officeDocument/2006/relationships" ref="J714" r:id="rId717"/>
    <hyperlink xmlns:r="http://schemas.openxmlformats.org/officeDocument/2006/relationships" ref="J715" r:id="rId718"/>
    <hyperlink xmlns:r="http://schemas.openxmlformats.org/officeDocument/2006/relationships" ref="J716" r:id="rId719"/>
    <hyperlink xmlns:r="http://schemas.openxmlformats.org/officeDocument/2006/relationships" ref="J717" r:id="rId720"/>
    <hyperlink xmlns:r="http://schemas.openxmlformats.org/officeDocument/2006/relationships" ref="J718" r:id="rId721"/>
    <hyperlink xmlns:r="http://schemas.openxmlformats.org/officeDocument/2006/relationships" ref="J719" r:id="rId722"/>
    <hyperlink xmlns:r="http://schemas.openxmlformats.org/officeDocument/2006/relationships" ref="J720" r:id="rId723"/>
    <hyperlink xmlns:r="http://schemas.openxmlformats.org/officeDocument/2006/relationships" ref="J721" r:id="rId724"/>
    <hyperlink xmlns:r="http://schemas.openxmlformats.org/officeDocument/2006/relationships" ref="J722" r:id="rId725"/>
    <hyperlink xmlns:r="http://schemas.openxmlformats.org/officeDocument/2006/relationships" ref="J723" r:id="rId726"/>
    <hyperlink xmlns:r="http://schemas.openxmlformats.org/officeDocument/2006/relationships" ref="J724" r:id="rId727"/>
    <hyperlink xmlns:r="http://schemas.openxmlformats.org/officeDocument/2006/relationships" ref="J725" r:id="rId728"/>
    <hyperlink xmlns:r="http://schemas.openxmlformats.org/officeDocument/2006/relationships" ref="J726" r:id="rId729"/>
    <hyperlink xmlns:r="http://schemas.openxmlformats.org/officeDocument/2006/relationships" ref="J727" r:id="rId730"/>
    <hyperlink xmlns:r="http://schemas.openxmlformats.org/officeDocument/2006/relationships" ref="J728" r:id="rId731"/>
    <hyperlink xmlns:r="http://schemas.openxmlformats.org/officeDocument/2006/relationships" ref="J729" r:id="rId732"/>
    <hyperlink xmlns:r="http://schemas.openxmlformats.org/officeDocument/2006/relationships" ref="J730" r:id="rId733"/>
    <hyperlink xmlns:r="http://schemas.openxmlformats.org/officeDocument/2006/relationships" ref="J731" r:id="rId734"/>
    <hyperlink xmlns:r="http://schemas.openxmlformats.org/officeDocument/2006/relationships" ref="J732" r:id="rId735"/>
    <hyperlink xmlns:r="http://schemas.openxmlformats.org/officeDocument/2006/relationships" ref="J733" r:id="rId736"/>
    <hyperlink xmlns:r="http://schemas.openxmlformats.org/officeDocument/2006/relationships" ref="J734" r:id="rId737"/>
    <hyperlink xmlns:r="http://schemas.openxmlformats.org/officeDocument/2006/relationships" ref="J735" r:id="rId738"/>
    <hyperlink xmlns:r="http://schemas.openxmlformats.org/officeDocument/2006/relationships" ref="J736" r:id="rId739"/>
    <hyperlink xmlns:r="http://schemas.openxmlformats.org/officeDocument/2006/relationships" ref="J737" r:id="rId740"/>
    <hyperlink xmlns:r="http://schemas.openxmlformats.org/officeDocument/2006/relationships" ref="J738" r:id="rId741"/>
    <hyperlink xmlns:r="http://schemas.openxmlformats.org/officeDocument/2006/relationships" ref="J739" r:id="rId742"/>
    <hyperlink xmlns:r="http://schemas.openxmlformats.org/officeDocument/2006/relationships" ref="J740" r:id="rId743"/>
    <hyperlink xmlns:r="http://schemas.openxmlformats.org/officeDocument/2006/relationships" ref="J741" r:id="rId744"/>
    <hyperlink xmlns:r="http://schemas.openxmlformats.org/officeDocument/2006/relationships" ref="J742" r:id="rId745"/>
    <hyperlink xmlns:r="http://schemas.openxmlformats.org/officeDocument/2006/relationships" ref="J743" r:id="rId746"/>
    <hyperlink xmlns:r="http://schemas.openxmlformats.org/officeDocument/2006/relationships" ref="J744" r:id="rId747"/>
    <hyperlink xmlns:r="http://schemas.openxmlformats.org/officeDocument/2006/relationships" ref="J745" r:id="rId748"/>
    <hyperlink xmlns:r="http://schemas.openxmlformats.org/officeDocument/2006/relationships" ref="J746" r:id="rId749"/>
    <hyperlink xmlns:r="http://schemas.openxmlformats.org/officeDocument/2006/relationships" ref="J747" r:id="rId750"/>
    <hyperlink xmlns:r="http://schemas.openxmlformats.org/officeDocument/2006/relationships" ref="J748" r:id="rId751"/>
    <hyperlink xmlns:r="http://schemas.openxmlformats.org/officeDocument/2006/relationships" ref="J749" r:id="rId752"/>
    <hyperlink xmlns:r="http://schemas.openxmlformats.org/officeDocument/2006/relationships" ref="J750" r:id="rId753"/>
    <hyperlink xmlns:r="http://schemas.openxmlformats.org/officeDocument/2006/relationships" ref="J751" r:id="rId754"/>
    <hyperlink xmlns:r="http://schemas.openxmlformats.org/officeDocument/2006/relationships" ref="J752" r:id="rId755"/>
    <hyperlink xmlns:r="http://schemas.openxmlformats.org/officeDocument/2006/relationships" ref="J753" r:id="rId756"/>
    <hyperlink xmlns:r="http://schemas.openxmlformats.org/officeDocument/2006/relationships" ref="J754" r:id="rId757"/>
    <hyperlink xmlns:r="http://schemas.openxmlformats.org/officeDocument/2006/relationships" ref="J755" r:id="rId758"/>
    <hyperlink xmlns:r="http://schemas.openxmlformats.org/officeDocument/2006/relationships" ref="J756" r:id="rId759"/>
    <hyperlink xmlns:r="http://schemas.openxmlformats.org/officeDocument/2006/relationships" ref="J757" r:id="rId760"/>
    <hyperlink xmlns:r="http://schemas.openxmlformats.org/officeDocument/2006/relationships" ref="J758" r:id="rId761"/>
    <hyperlink xmlns:r="http://schemas.openxmlformats.org/officeDocument/2006/relationships" ref="J759" r:id="rId762"/>
    <hyperlink xmlns:r="http://schemas.openxmlformats.org/officeDocument/2006/relationships" ref="J760" r:id="rId763"/>
    <hyperlink xmlns:r="http://schemas.openxmlformats.org/officeDocument/2006/relationships" ref="J761" r:id="rId764"/>
    <hyperlink xmlns:r="http://schemas.openxmlformats.org/officeDocument/2006/relationships" ref="J762" r:id="rId765"/>
    <hyperlink xmlns:r="http://schemas.openxmlformats.org/officeDocument/2006/relationships" ref="J763" r:id="rId766"/>
    <hyperlink xmlns:r="http://schemas.openxmlformats.org/officeDocument/2006/relationships" ref="J764" r:id="rId767"/>
    <hyperlink xmlns:r="http://schemas.openxmlformats.org/officeDocument/2006/relationships" ref="J765" r:id="rId768"/>
    <hyperlink xmlns:r="http://schemas.openxmlformats.org/officeDocument/2006/relationships" ref="J766" r:id="rId769"/>
    <hyperlink xmlns:r="http://schemas.openxmlformats.org/officeDocument/2006/relationships" ref="J767" r:id="rId770"/>
    <hyperlink xmlns:r="http://schemas.openxmlformats.org/officeDocument/2006/relationships" ref="J768" r:id="rId771"/>
    <hyperlink xmlns:r="http://schemas.openxmlformats.org/officeDocument/2006/relationships" ref="J769" r:id="rId772"/>
    <hyperlink xmlns:r="http://schemas.openxmlformats.org/officeDocument/2006/relationships" ref="J770" r:id="rId773"/>
    <hyperlink xmlns:r="http://schemas.openxmlformats.org/officeDocument/2006/relationships" ref="J771" r:id="rId774"/>
    <hyperlink xmlns:r="http://schemas.openxmlformats.org/officeDocument/2006/relationships" ref="J772" r:id="rId775"/>
    <hyperlink xmlns:r="http://schemas.openxmlformats.org/officeDocument/2006/relationships" ref="J773" r:id="rId776"/>
    <hyperlink xmlns:r="http://schemas.openxmlformats.org/officeDocument/2006/relationships" ref="J774" r:id="rId777"/>
    <hyperlink xmlns:r="http://schemas.openxmlformats.org/officeDocument/2006/relationships" ref="J775" r:id="rId778"/>
    <hyperlink xmlns:r="http://schemas.openxmlformats.org/officeDocument/2006/relationships" ref="J776" r:id="rId779"/>
    <hyperlink xmlns:r="http://schemas.openxmlformats.org/officeDocument/2006/relationships" ref="J777" r:id="rId780"/>
    <hyperlink xmlns:r="http://schemas.openxmlformats.org/officeDocument/2006/relationships" ref="J778" r:id="rId781"/>
    <hyperlink xmlns:r="http://schemas.openxmlformats.org/officeDocument/2006/relationships" ref="J779" r:id="rId782"/>
    <hyperlink xmlns:r="http://schemas.openxmlformats.org/officeDocument/2006/relationships" ref="J780" r:id="rId783"/>
    <hyperlink xmlns:r="http://schemas.openxmlformats.org/officeDocument/2006/relationships" ref="J781" r:id="rId784"/>
    <hyperlink xmlns:r="http://schemas.openxmlformats.org/officeDocument/2006/relationships" ref="J782" r:id="rId785"/>
    <hyperlink xmlns:r="http://schemas.openxmlformats.org/officeDocument/2006/relationships" ref="J783" r:id="rId786"/>
    <hyperlink xmlns:r="http://schemas.openxmlformats.org/officeDocument/2006/relationships" ref="J784" r:id="rId787"/>
    <hyperlink xmlns:r="http://schemas.openxmlformats.org/officeDocument/2006/relationships" ref="J785" r:id="rId788"/>
    <hyperlink xmlns:r="http://schemas.openxmlformats.org/officeDocument/2006/relationships" ref="J786" r:id="rId789"/>
    <hyperlink xmlns:r="http://schemas.openxmlformats.org/officeDocument/2006/relationships" ref="J787" r:id="rId790"/>
    <hyperlink xmlns:r="http://schemas.openxmlformats.org/officeDocument/2006/relationships" ref="J788" r:id="rId791"/>
    <hyperlink xmlns:r="http://schemas.openxmlformats.org/officeDocument/2006/relationships" ref="J789" r:id="rId792"/>
    <hyperlink xmlns:r="http://schemas.openxmlformats.org/officeDocument/2006/relationships" ref="J790" r:id="rId793"/>
    <hyperlink xmlns:r="http://schemas.openxmlformats.org/officeDocument/2006/relationships" ref="J791" r:id="rId794"/>
    <hyperlink xmlns:r="http://schemas.openxmlformats.org/officeDocument/2006/relationships" ref="J792" r:id="rId795"/>
    <hyperlink xmlns:r="http://schemas.openxmlformats.org/officeDocument/2006/relationships" ref="J793" r:id="rId796"/>
    <hyperlink xmlns:r="http://schemas.openxmlformats.org/officeDocument/2006/relationships" ref="J794" r:id="rId797"/>
    <hyperlink xmlns:r="http://schemas.openxmlformats.org/officeDocument/2006/relationships" ref="J795" r:id="rId798"/>
    <hyperlink xmlns:r="http://schemas.openxmlformats.org/officeDocument/2006/relationships" ref="J796" r:id="rId799"/>
    <hyperlink xmlns:r="http://schemas.openxmlformats.org/officeDocument/2006/relationships" ref="J797" r:id="rId800"/>
    <hyperlink xmlns:r="http://schemas.openxmlformats.org/officeDocument/2006/relationships" ref="J798" r:id="rId801"/>
    <hyperlink xmlns:r="http://schemas.openxmlformats.org/officeDocument/2006/relationships" ref="J799" r:id="rId802"/>
    <hyperlink xmlns:r="http://schemas.openxmlformats.org/officeDocument/2006/relationships" ref="J800" r:id="rId803"/>
    <hyperlink xmlns:r="http://schemas.openxmlformats.org/officeDocument/2006/relationships" ref="J801" r:id="rId804"/>
    <hyperlink xmlns:r="http://schemas.openxmlformats.org/officeDocument/2006/relationships" ref="J802" r:id="rId805"/>
    <hyperlink xmlns:r="http://schemas.openxmlformats.org/officeDocument/2006/relationships" ref="J803" r:id="rId806"/>
    <hyperlink xmlns:r="http://schemas.openxmlformats.org/officeDocument/2006/relationships" ref="J804" r:id="rId807"/>
    <hyperlink xmlns:r="http://schemas.openxmlformats.org/officeDocument/2006/relationships" ref="J805" r:id="rId808"/>
    <hyperlink xmlns:r="http://schemas.openxmlformats.org/officeDocument/2006/relationships" ref="J806" r:id="rId809"/>
    <hyperlink xmlns:r="http://schemas.openxmlformats.org/officeDocument/2006/relationships" ref="J807" r:id="rId810"/>
    <hyperlink xmlns:r="http://schemas.openxmlformats.org/officeDocument/2006/relationships" ref="J808" r:id="rId811"/>
    <hyperlink xmlns:r="http://schemas.openxmlformats.org/officeDocument/2006/relationships" ref="J809" r:id="rId812"/>
    <hyperlink xmlns:r="http://schemas.openxmlformats.org/officeDocument/2006/relationships" ref="J810" r:id="rId813"/>
    <hyperlink xmlns:r="http://schemas.openxmlformats.org/officeDocument/2006/relationships" ref="J811" r:id="rId814"/>
    <hyperlink xmlns:r="http://schemas.openxmlformats.org/officeDocument/2006/relationships" ref="J812" r:id="rId815"/>
    <hyperlink xmlns:r="http://schemas.openxmlformats.org/officeDocument/2006/relationships" ref="J813" r:id="rId816"/>
    <hyperlink xmlns:r="http://schemas.openxmlformats.org/officeDocument/2006/relationships" ref="J814" r:id="rId817"/>
    <hyperlink xmlns:r="http://schemas.openxmlformats.org/officeDocument/2006/relationships" ref="J815" r:id="rId818"/>
    <hyperlink xmlns:r="http://schemas.openxmlformats.org/officeDocument/2006/relationships" ref="J816" r:id="rId819"/>
    <hyperlink xmlns:r="http://schemas.openxmlformats.org/officeDocument/2006/relationships" ref="J817" r:id="rId820"/>
    <hyperlink xmlns:r="http://schemas.openxmlformats.org/officeDocument/2006/relationships" ref="J818" r:id="rId821"/>
    <hyperlink xmlns:r="http://schemas.openxmlformats.org/officeDocument/2006/relationships" ref="J819" r:id="rId822"/>
    <hyperlink xmlns:r="http://schemas.openxmlformats.org/officeDocument/2006/relationships" ref="J820" r:id="rId823"/>
    <hyperlink xmlns:r="http://schemas.openxmlformats.org/officeDocument/2006/relationships" ref="J821" r:id="rId824"/>
    <hyperlink xmlns:r="http://schemas.openxmlformats.org/officeDocument/2006/relationships" ref="J822" r:id="rId825"/>
    <hyperlink xmlns:r="http://schemas.openxmlformats.org/officeDocument/2006/relationships" ref="J823" r:id="rId826"/>
    <hyperlink xmlns:r="http://schemas.openxmlformats.org/officeDocument/2006/relationships" ref="J824" r:id="rId827"/>
    <hyperlink xmlns:r="http://schemas.openxmlformats.org/officeDocument/2006/relationships" ref="J825" r:id="rId828"/>
    <hyperlink xmlns:r="http://schemas.openxmlformats.org/officeDocument/2006/relationships" ref="J826" r:id="rId829"/>
    <hyperlink xmlns:r="http://schemas.openxmlformats.org/officeDocument/2006/relationships" ref="J827" r:id="rId830"/>
    <hyperlink xmlns:r="http://schemas.openxmlformats.org/officeDocument/2006/relationships" ref="J828" r:id="rId831"/>
    <hyperlink xmlns:r="http://schemas.openxmlformats.org/officeDocument/2006/relationships" ref="J829" r:id="rId832"/>
    <hyperlink xmlns:r="http://schemas.openxmlformats.org/officeDocument/2006/relationships" ref="J830" r:id="rId833"/>
    <hyperlink xmlns:r="http://schemas.openxmlformats.org/officeDocument/2006/relationships" ref="J831" r:id="rId834"/>
    <hyperlink xmlns:r="http://schemas.openxmlformats.org/officeDocument/2006/relationships" ref="J832" r:id="rId835"/>
    <hyperlink xmlns:r="http://schemas.openxmlformats.org/officeDocument/2006/relationships" ref="J833" r:id="rId836"/>
    <hyperlink xmlns:r="http://schemas.openxmlformats.org/officeDocument/2006/relationships" ref="J834" r:id="rId837"/>
    <hyperlink xmlns:r="http://schemas.openxmlformats.org/officeDocument/2006/relationships" ref="J835" r:id="rId838"/>
    <hyperlink xmlns:r="http://schemas.openxmlformats.org/officeDocument/2006/relationships" ref="J836" r:id="rId839"/>
    <hyperlink xmlns:r="http://schemas.openxmlformats.org/officeDocument/2006/relationships" ref="J837" r:id="rId840"/>
    <hyperlink xmlns:r="http://schemas.openxmlformats.org/officeDocument/2006/relationships" ref="J838" r:id="rId841"/>
    <hyperlink xmlns:r="http://schemas.openxmlformats.org/officeDocument/2006/relationships" ref="J839" r:id="rId842"/>
    <hyperlink xmlns:r="http://schemas.openxmlformats.org/officeDocument/2006/relationships" ref="J840" r:id="rId843"/>
    <hyperlink xmlns:r="http://schemas.openxmlformats.org/officeDocument/2006/relationships" ref="J841" r:id="rId844"/>
    <hyperlink xmlns:r="http://schemas.openxmlformats.org/officeDocument/2006/relationships" ref="J842" r:id="rId845"/>
    <hyperlink xmlns:r="http://schemas.openxmlformats.org/officeDocument/2006/relationships" ref="J843" r:id="rId846"/>
    <hyperlink xmlns:r="http://schemas.openxmlformats.org/officeDocument/2006/relationships" ref="J844" r:id="rId847"/>
    <hyperlink xmlns:r="http://schemas.openxmlformats.org/officeDocument/2006/relationships" ref="J845" r:id="rId848"/>
    <hyperlink xmlns:r="http://schemas.openxmlformats.org/officeDocument/2006/relationships" ref="J846" r:id="rId849"/>
    <hyperlink xmlns:r="http://schemas.openxmlformats.org/officeDocument/2006/relationships" ref="J847" r:id="rId850"/>
    <hyperlink xmlns:r="http://schemas.openxmlformats.org/officeDocument/2006/relationships" ref="J848" r:id="rId851"/>
    <hyperlink xmlns:r="http://schemas.openxmlformats.org/officeDocument/2006/relationships" ref="J849" r:id="rId852"/>
    <hyperlink xmlns:r="http://schemas.openxmlformats.org/officeDocument/2006/relationships" ref="J850" r:id="rId853"/>
    <hyperlink xmlns:r="http://schemas.openxmlformats.org/officeDocument/2006/relationships" ref="J851" r:id="rId854"/>
    <hyperlink xmlns:r="http://schemas.openxmlformats.org/officeDocument/2006/relationships" ref="J852" r:id="rId855"/>
    <hyperlink xmlns:r="http://schemas.openxmlformats.org/officeDocument/2006/relationships" ref="J853" r:id="rId856"/>
    <hyperlink xmlns:r="http://schemas.openxmlformats.org/officeDocument/2006/relationships" ref="J854" r:id="rId857"/>
    <hyperlink xmlns:r="http://schemas.openxmlformats.org/officeDocument/2006/relationships" ref="J855" r:id="rId858"/>
    <hyperlink xmlns:r="http://schemas.openxmlformats.org/officeDocument/2006/relationships" ref="J856" r:id="rId859"/>
    <hyperlink xmlns:r="http://schemas.openxmlformats.org/officeDocument/2006/relationships" ref="J857" r:id="rId860"/>
    <hyperlink xmlns:r="http://schemas.openxmlformats.org/officeDocument/2006/relationships" ref="J858" r:id="rId861"/>
    <hyperlink xmlns:r="http://schemas.openxmlformats.org/officeDocument/2006/relationships" ref="J859" r:id="rId862"/>
    <hyperlink xmlns:r="http://schemas.openxmlformats.org/officeDocument/2006/relationships" ref="J860" r:id="rId863"/>
    <hyperlink xmlns:r="http://schemas.openxmlformats.org/officeDocument/2006/relationships" ref="J861" r:id="rId864"/>
    <hyperlink xmlns:r="http://schemas.openxmlformats.org/officeDocument/2006/relationships" ref="J862" r:id="rId865"/>
    <hyperlink xmlns:r="http://schemas.openxmlformats.org/officeDocument/2006/relationships" ref="J863" r:id="rId866"/>
    <hyperlink xmlns:r="http://schemas.openxmlformats.org/officeDocument/2006/relationships" ref="J864" r:id="rId867"/>
    <hyperlink xmlns:r="http://schemas.openxmlformats.org/officeDocument/2006/relationships" ref="J865" r:id="rId868"/>
    <hyperlink xmlns:r="http://schemas.openxmlformats.org/officeDocument/2006/relationships" ref="J866" r:id="rId869"/>
    <hyperlink xmlns:r="http://schemas.openxmlformats.org/officeDocument/2006/relationships" ref="J867" r:id="rId870"/>
    <hyperlink xmlns:r="http://schemas.openxmlformats.org/officeDocument/2006/relationships" ref="J868" r:id="rId871"/>
    <hyperlink xmlns:r="http://schemas.openxmlformats.org/officeDocument/2006/relationships" ref="J869" r:id="rId872"/>
    <hyperlink xmlns:r="http://schemas.openxmlformats.org/officeDocument/2006/relationships" ref="J870" r:id="rId873"/>
    <hyperlink xmlns:r="http://schemas.openxmlformats.org/officeDocument/2006/relationships" ref="J871" r:id="rId874"/>
    <hyperlink xmlns:r="http://schemas.openxmlformats.org/officeDocument/2006/relationships" ref="J872" r:id="rId875"/>
    <hyperlink xmlns:r="http://schemas.openxmlformats.org/officeDocument/2006/relationships" ref="J873" r:id="rId876"/>
    <hyperlink xmlns:r="http://schemas.openxmlformats.org/officeDocument/2006/relationships" ref="J874" r:id="rId877"/>
    <hyperlink xmlns:r="http://schemas.openxmlformats.org/officeDocument/2006/relationships" ref="J875" r:id="rId878"/>
    <hyperlink xmlns:r="http://schemas.openxmlformats.org/officeDocument/2006/relationships" ref="J876" r:id="rId879"/>
    <hyperlink xmlns:r="http://schemas.openxmlformats.org/officeDocument/2006/relationships" ref="J877" r:id="rId880"/>
    <hyperlink xmlns:r="http://schemas.openxmlformats.org/officeDocument/2006/relationships" ref="J878" r:id="rId881"/>
    <hyperlink xmlns:r="http://schemas.openxmlformats.org/officeDocument/2006/relationships" ref="J879" r:id="rId882"/>
    <hyperlink xmlns:r="http://schemas.openxmlformats.org/officeDocument/2006/relationships" ref="J880" r:id="rId883"/>
    <hyperlink xmlns:r="http://schemas.openxmlformats.org/officeDocument/2006/relationships" ref="J881" r:id="rId884"/>
    <hyperlink xmlns:r="http://schemas.openxmlformats.org/officeDocument/2006/relationships" ref="J882" r:id="rId885"/>
    <hyperlink xmlns:r="http://schemas.openxmlformats.org/officeDocument/2006/relationships" ref="J883" r:id="rId886"/>
    <hyperlink xmlns:r="http://schemas.openxmlformats.org/officeDocument/2006/relationships" ref="J884" r:id="rId887"/>
    <hyperlink xmlns:r="http://schemas.openxmlformats.org/officeDocument/2006/relationships" ref="J885" r:id="rId888"/>
    <hyperlink xmlns:r="http://schemas.openxmlformats.org/officeDocument/2006/relationships" ref="J886" r:id="rId889"/>
    <hyperlink xmlns:r="http://schemas.openxmlformats.org/officeDocument/2006/relationships" ref="J887" r:id="rId890"/>
    <hyperlink xmlns:r="http://schemas.openxmlformats.org/officeDocument/2006/relationships" ref="J888" r:id="rId891"/>
    <hyperlink xmlns:r="http://schemas.openxmlformats.org/officeDocument/2006/relationships" ref="J889" r:id="rId892"/>
    <hyperlink xmlns:r="http://schemas.openxmlformats.org/officeDocument/2006/relationships" ref="J890" r:id="rId893"/>
    <hyperlink xmlns:r="http://schemas.openxmlformats.org/officeDocument/2006/relationships" ref="J891" r:id="rId894"/>
    <hyperlink xmlns:r="http://schemas.openxmlformats.org/officeDocument/2006/relationships" ref="J892" r:id="rId895"/>
    <hyperlink xmlns:r="http://schemas.openxmlformats.org/officeDocument/2006/relationships" ref="J893" r:id="rId896"/>
    <hyperlink xmlns:r="http://schemas.openxmlformats.org/officeDocument/2006/relationships" ref="J894" r:id="rId897"/>
    <hyperlink xmlns:r="http://schemas.openxmlformats.org/officeDocument/2006/relationships" ref="J895" r:id="rId898"/>
    <hyperlink xmlns:r="http://schemas.openxmlformats.org/officeDocument/2006/relationships" ref="J896" r:id="rId899"/>
    <hyperlink xmlns:r="http://schemas.openxmlformats.org/officeDocument/2006/relationships" ref="J897" r:id="rId900"/>
    <hyperlink xmlns:r="http://schemas.openxmlformats.org/officeDocument/2006/relationships" ref="J898" r:id="rId901"/>
    <hyperlink xmlns:r="http://schemas.openxmlformats.org/officeDocument/2006/relationships" ref="J899" r:id="rId902"/>
    <hyperlink xmlns:r="http://schemas.openxmlformats.org/officeDocument/2006/relationships" ref="J900" r:id="rId903"/>
    <hyperlink xmlns:r="http://schemas.openxmlformats.org/officeDocument/2006/relationships" ref="J901" r:id="rId904"/>
    <hyperlink xmlns:r="http://schemas.openxmlformats.org/officeDocument/2006/relationships" ref="J902" r:id="rId905"/>
    <hyperlink xmlns:r="http://schemas.openxmlformats.org/officeDocument/2006/relationships" ref="J903" r:id="rId906"/>
    <hyperlink xmlns:r="http://schemas.openxmlformats.org/officeDocument/2006/relationships" ref="J904" r:id="rId907"/>
    <hyperlink xmlns:r="http://schemas.openxmlformats.org/officeDocument/2006/relationships" ref="J905" r:id="rId908"/>
    <hyperlink xmlns:r="http://schemas.openxmlformats.org/officeDocument/2006/relationships" ref="J906" r:id="rId909"/>
    <hyperlink xmlns:r="http://schemas.openxmlformats.org/officeDocument/2006/relationships" ref="J907" r:id="rId910"/>
    <hyperlink xmlns:r="http://schemas.openxmlformats.org/officeDocument/2006/relationships" ref="J908" r:id="rId911"/>
    <hyperlink xmlns:r="http://schemas.openxmlformats.org/officeDocument/2006/relationships" ref="J909" r:id="rId912"/>
    <hyperlink xmlns:r="http://schemas.openxmlformats.org/officeDocument/2006/relationships" ref="J910" r:id="rId913"/>
    <hyperlink xmlns:r="http://schemas.openxmlformats.org/officeDocument/2006/relationships" ref="J911" r:id="rId914"/>
    <hyperlink xmlns:r="http://schemas.openxmlformats.org/officeDocument/2006/relationships" ref="J912" r:id="rId915"/>
    <hyperlink xmlns:r="http://schemas.openxmlformats.org/officeDocument/2006/relationships" ref="J913" r:id="rId916"/>
    <hyperlink xmlns:r="http://schemas.openxmlformats.org/officeDocument/2006/relationships" ref="J914" r:id="rId917"/>
    <hyperlink xmlns:r="http://schemas.openxmlformats.org/officeDocument/2006/relationships" ref="J915" r:id="rId918"/>
    <hyperlink xmlns:r="http://schemas.openxmlformats.org/officeDocument/2006/relationships" ref="J916" r:id="rId919"/>
    <hyperlink xmlns:r="http://schemas.openxmlformats.org/officeDocument/2006/relationships" ref="J917" r:id="rId920"/>
    <hyperlink xmlns:r="http://schemas.openxmlformats.org/officeDocument/2006/relationships" ref="J918" r:id="rId921"/>
    <hyperlink xmlns:r="http://schemas.openxmlformats.org/officeDocument/2006/relationships" ref="J919" r:id="rId922"/>
    <hyperlink xmlns:r="http://schemas.openxmlformats.org/officeDocument/2006/relationships" ref="J920" r:id="rId923"/>
    <hyperlink xmlns:r="http://schemas.openxmlformats.org/officeDocument/2006/relationships" ref="J921" r:id="rId924"/>
    <hyperlink xmlns:r="http://schemas.openxmlformats.org/officeDocument/2006/relationships" ref="J922" r:id="rId925"/>
    <hyperlink xmlns:r="http://schemas.openxmlformats.org/officeDocument/2006/relationships" ref="J923" r:id="rId926"/>
    <hyperlink xmlns:r="http://schemas.openxmlformats.org/officeDocument/2006/relationships" ref="J924" r:id="rId927"/>
    <hyperlink xmlns:r="http://schemas.openxmlformats.org/officeDocument/2006/relationships" ref="J925" r:id="rId928"/>
    <hyperlink xmlns:r="http://schemas.openxmlformats.org/officeDocument/2006/relationships" ref="J926" r:id="rId929"/>
    <hyperlink xmlns:r="http://schemas.openxmlformats.org/officeDocument/2006/relationships" ref="J927" r:id="rId930"/>
    <hyperlink xmlns:r="http://schemas.openxmlformats.org/officeDocument/2006/relationships" ref="J928" r:id="rId931"/>
    <hyperlink xmlns:r="http://schemas.openxmlformats.org/officeDocument/2006/relationships" ref="J929" r:id="rId932"/>
    <hyperlink xmlns:r="http://schemas.openxmlformats.org/officeDocument/2006/relationships" ref="J930" r:id="rId933"/>
    <hyperlink xmlns:r="http://schemas.openxmlformats.org/officeDocument/2006/relationships" ref="J931" r:id="rId934"/>
    <hyperlink xmlns:r="http://schemas.openxmlformats.org/officeDocument/2006/relationships" ref="J932" r:id="rId935"/>
    <hyperlink xmlns:r="http://schemas.openxmlformats.org/officeDocument/2006/relationships" ref="J933" r:id="rId936"/>
    <hyperlink xmlns:r="http://schemas.openxmlformats.org/officeDocument/2006/relationships" ref="J934" r:id="rId937"/>
    <hyperlink xmlns:r="http://schemas.openxmlformats.org/officeDocument/2006/relationships" ref="J935" r:id="rId938"/>
    <hyperlink xmlns:r="http://schemas.openxmlformats.org/officeDocument/2006/relationships" ref="J936" r:id="rId939"/>
    <hyperlink xmlns:r="http://schemas.openxmlformats.org/officeDocument/2006/relationships" ref="J937" r:id="rId940"/>
    <hyperlink xmlns:r="http://schemas.openxmlformats.org/officeDocument/2006/relationships" ref="J938" r:id="rId941"/>
    <hyperlink xmlns:r="http://schemas.openxmlformats.org/officeDocument/2006/relationships" ref="J939" r:id="rId942"/>
    <hyperlink xmlns:r="http://schemas.openxmlformats.org/officeDocument/2006/relationships" ref="J940" r:id="rId943"/>
    <hyperlink xmlns:r="http://schemas.openxmlformats.org/officeDocument/2006/relationships" ref="J941" r:id="rId944"/>
    <hyperlink xmlns:r="http://schemas.openxmlformats.org/officeDocument/2006/relationships" ref="J942" r:id="rId945"/>
    <hyperlink xmlns:r="http://schemas.openxmlformats.org/officeDocument/2006/relationships" ref="J943" r:id="rId946"/>
    <hyperlink xmlns:r="http://schemas.openxmlformats.org/officeDocument/2006/relationships" ref="J944" r:id="rId947"/>
    <hyperlink xmlns:r="http://schemas.openxmlformats.org/officeDocument/2006/relationships" ref="J945" r:id="rId948"/>
    <hyperlink xmlns:r="http://schemas.openxmlformats.org/officeDocument/2006/relationships" ref="J946" r:id="rId949"/>
    <hyperlink xmlns:r="http://schemas.openxmlformats.org/officeDocument/2006/relationships" ref="J947" r:id="rId950"/>
    <hyperlink xmlns:r="http://schemas.openxmlformats.org/officeDocument/2006/relationships" ref="J948" r:id="rId951"/>
    <hyperlink xmlns:r="http://schemas.openxmlformats.org/officeDocument/2006/relationships" ref="J949" r:id="rId952"/>
    <hyperlink xmlns:r="http://schemas.openxmlformats.org/officeDocument/2006/relationships" ref="J950" r:id="rId953"/>
    <hyperlink xmlns:r="http://schemas.openxmlformats.org/officeDocument/2006/relationships" ref="J951" r:id="rId954"/>
    <hyperlink xmlns:r="http://schemas.openxmlformats.org/officeDocument/2006/relationships" ref="J952" r:id="rId955"/>
    <hyperlink xmlns:r="http://schemas.openxmlformats.org/officeDocument/2006/relationships" ref="J953" r:id="rId956"/>
    <hyperlink xmlns:r="http://schemas.openxmlformats.org/officeDocument/2006/relationships" ref="J954" r:id="rId957"/>
    <hyperlink xmlns:r="http://schemas.openxmlformats.org/officeDocument/2006/relationships" ref="J955" r:id="rId958"/>
    <hyperlink xmlns:r="http://schemas.openxmlformats.org/officeDocument/2006/relationships" ref="J956" r:id="rId959"/>
    <hyperlink xmlns:r="http://schemas.openxmlformats.org/officeDocument/2006/relationships" ref="J957" r:id="rId960"/>
    <hyperlink xmlns:r="http://schemas.openxmlformats.org/officeDocument/2006/relationships" ref="J958" r:id="rId961"/>
    <hyperlink xmlns:r="http://schemas.openxmlformats.org/officeDocument/2006/relationships" ref="J959" r:id="rId962"/>
    <hyperlink xmlns:r="http://schemas.openxmlformats.org/officeDocument/2006/relationships" ref="J960" r:id="rId963"/>
    <hyperlink xmlns:r="http://schemas.openxmlformats.org/officeDocument/2006/relationships" ref="J961" r:id="rId964"/>
    <hyperlink xmlns:r="http://schemas.openxmlformats.org/officeDocument/2006/relationships" ref="J962" r:id="rId965"/>
    <hyperlink xmlns:r="http://schemas.openxmlformats.org/officeDocument/2006/relationships" ref="J963" r:id="rId966"/>
    <hyperlink xmlns:r="http://schemas.openxmlformats.org/officeDocument/2006/relationships" ref="J964" r:id="rId967"/>
    <hyperlink xmlns:r="http://schemas.openxmlformats.org/officeDocument/2006/relationships" ref="J965" r:id="rId968"/>
    <hyperlink xmlns:r="http://schemas.openxmlformats.org/officeDocument/2006/relationships" ref="J966" r:id="rId969"/>
    <hyperlink xmlns:r="http://schemas.openxmlformats.org/officeDocument/2006/relationships" ref="J967" r:id="rId970"/>
    <hyperlink xmlns:r="http://schemas.openxmlformats.org/officeDocument/2006/relationships" ref="J968" r:id="rId971"/>
    <hyperlink xmlns:r="http://schemas.openxmlformats.org/officeDocument/2006/relationships" ref="J969" r:id="rId972"/>
    <hyperlink xmlns:r="http://schemas.openxmlformats.org/officeDocument/2006/relationships" ref="J970" r:id="rId973"/>
    <hyperlink xmlns:r="http://schemas.openxmlformats.org/officeDocument/2006/relationships" ref="J971" r:id="rId974"/>
    <hyperlink xmlns:r="http://schemas.openxmlformats.org/officeDocument/2006/relationships" ref="J972" r:id="rId975"/>
    <hyperlink xmlns:r="http://schemas.openxmlformats.org/officeDocument/2006/relationships" ref="J973" r:id="rId976"/>
    <hyperlink xmlns:r="http://schemas.openxmlformats.org/officeDocument/2006/relationships" ref="J974" r:id="rId977"/>
    <hyperlink xmlns:r="http://schemas.openxmlformats.org/officeDocument/2006/relationships" ref="J975" r:id="rId978"/>
    <hyperlink xmlns:r="http://schemas.openxmlformats.org/officeDocument/2006/relationships" ref="J976" r:id="rId979"/>
    <hyperlink xmlns:r="http://schemas.openxmlformats.org/officeDocument/2006/relationships" ref="J977" r:id="rId980"/>
    <hyperlink xmlns:r="http://schemas.openxmlformats.org/officeDocument/2006/relationships" ref="J978" r:id="rId981"/>
    <hyperlink xmlns:r="http://schemas.openxmlformats.org/officeDocument/2006/relationships" ref="J979" r:id="rId982"/>
    <hyperlink xmlns:r="http://schemas.openxmlformats.org/officeDocument/2006/relationships" ref="J980" r:id="rId983"/>
    <hyperlink xmlns:r="http://schemas.openxmlformats.org/officeDocument/2006/relationships" ref="J981" r:id="rId984"/>
    <hyperlink xmlns:r="http://schemas.openxmlformats.org/officeDocument/2006/relationships" ref="J982" r:id="rId985"/>
    <hyperlink xmlns:r="http://schemas.openxmlformats.org/officeDocument/2006/relationships" ref="J983" r:id="rId986"/>
    <hyperlink xmlns:r="http://schemas.openxmlformats.org/officeDocument/2006/relationships" ref="J984" r:id="rId987"/>
    <hyperlink xmlns:r="http://schemas.openxmlformats.org/officeDocument/2006/relationships" ref="J985" r:id="rId988"/>
    <hyperlink xmlns:r="http://schemas.openxmlformats.org/officeDocument/2006/relationships" ref="J986" r:id="rId989"/>
    <hyperlink xmlns:r="http://schemas.openxmlformats.org/officeDocument/2006/relationships" ref="J987" r:id="rId990"/>
    <hyperlink xmlns:r="http://schemas.openxmlformats.org/officeDocument/2006/relationships" ref="J988" r:id="rId991"/>
    <hyperlink xmlns:r="http://schemas.openxmlformats.org/officeDocument/2006/relationships" ref="J989" r:id="rId992"/>
    <hyperlink xmlns:r="http://schemas.openxmlformats.org/officeDocument/2006/relationships" ref="J990" r:id="rId993"/>
    <hyperlink xmlns:r="http://schemas.openxmlformats.org/officeDocument/2006/relationships" ref="J991" r:id="rId994"/>
    <hyperlink xmlns:r="http://schemas.openxmlformats.org/officeDocument/2006/relationships" ref="J992" r:id="rId995"/>
    <hyperlink xmlns:r="http://schemas.openxmlformats.org/officeDocument/2006/relationships" ref="J993" r:id="rId996"/>
    <hyperlink xmlns:r="http://schemas.openxmlformats.org/officeDocument/2006/relationships" ref="J994" r:id="rId997"/>
    <hyperlink xmlns:r="http://schemas.openxmlformats.org/officeDocument/2006/relationships" ref="J995" r:id="rId998"/>
    <hyperlink xmlns:r="http://schemas.openxmlformats.org/officeDocument/2006/relationships" ref="J996" r:id="rId999"/>
    <hyperlink xmlns:r="http://schemas.openxmlformats.org/officeDocument/2006/relationships" ref="J997" r:id="rId1000"/>
    <hyperlink xmlns:r="http://schemas.openxmlformats.org/officeDocument/2006/relationships" ref="J998" r:id="rId1001"/>
    <hyperlink xmlns:r="http://schemas.openxmlformats.org/officeDocument/2006/relationships" ref="J999" r:id="rId1002"/>
    <hyperlink xmlns:r="http://schemas.openxmlformats.org/officeDocument/2006/relationships" ref="J1000" r:id="rId1003"/>
    <hyperlink xmlns:r="http://schemas.openxmlformats.org/officeDocument/2006/relationships" ref="J1001" r:id="rId1004"/>
    <hyperlink xmlns:r="http://schemas.openxmlformats.org/officeDocument/2006/relationships" ref="J1002" r:id="rId1005"/>
    <hyperlink xmlns:r="http://schemas.openxmlformats.org/officeDocument/2006/relationships" ref="J1003" r:id="rId1006"/>
    <hyperlink xmlns:r="http://schemas.openxmlformats.org/officeDocument/2006/relationships" ref="J1004" r:id="rId1007"/>
    <hyperlink xmlns:r="http://schemas.openxmlformats.org/officeDocument/2006/relationships" ref="J1005" r:id="rId1008"/>
    <hyperlink xmlns:r="http://schemas.openxmlformats.org/officeDocument/2006/relationships" ref="J1006" r:id="rId1009"/>
    <hyperlink xmlns:r="http://schemas.openxmlformats.org/officeDocument/2006/relationships" ref="J1007" r:id="rId1010"/>
    <hyperlink xmlns:r="http://schemas.openxmlformats.org/officeDocument/2006/relationships" ref="J1008" r:id="rId1011"/>
    <hyperlink xmlns:r="http://schemas.openxmlformats.org/officeDocument/2006/relationships" ref="J1009" r:id="rId1012"/>
    <hyperlink xmlns:r="http://schemas.openxmlformats.org/officeDocument/2006/relationships" ref="J1010" r:id="rId1013"/>
    <hyperlink xmlns:r="http://schemas.openxmlformats.org/officeDocument/2006/relationships" ref="J1011" r:id="rId1014"/>
    <hyperlink xmlns:r="http://schemas.openxmlformats.org/officeDocument/2006/relationships" ref="J1012" r:id="rId1015"/>
    <hyperlink xmlns:r="http://schemas.openxmlformats.org/officeDocument/2006/relationships" ref="J1013" r:id="rId1016"/>
    <hyperlink xmlns:r="http://schemas.openxmlformats.org/officeDocument/2006/relationships" ref="J1014" r:id="rId1017"/>
    <hyperlink xmlns:r="http://schemas.openxmlformats.org/officeDocument/2006/relationships" ref="J1015" r:id="rId1018"/>
    <hyperlink xmlns:r="http://schemas.openxmlformats.org/officeDocument/2006/relationships" ref="J1016" r:id="rId1019"/>
    <hyperlink xmlns:r="http://schemas.openxmlformats.org/officeDocument/2006/relationships" ref="J1017" r:id="rId1020"/>
    <hyperlink xmlns:r="http://schemas.openxmlformats.org/officeDocument/2006/relationships" ref="J1018" r:id="rId1021"/>
    <hyperlink xmlns:r="http://schemas.openxmlformats.org/officeDocument/2006/relationships" ref="J1019" r:id="rId1022"/>
    <hyperlink xmlns:r="http://schemas.openxmlformats.org/officeDocument/2006/relationships" ref="J1020" r:id="rId1023"/>
    <hyperlink xmlns:r="http://schemas.openxmlformats.org/officeDocument/2006/relationships" ref="J1021" r:id="rId1024"/>
    <hyperlink xmlns:r="http://schemas.openxmlformats.org/officeDocument/2006/relationships" ref="J1022" r:id="rId1025"/>
    <hyperlink xmlns:r="http://schemas.openxmlformats.org/officeDocument/2006/relationships" ref="J1023" r:id="rId1026"/>
    <hyperlink xmlns:r="http://schemas.openxmlformats.org/officeDocument/2006/relationships" ref="J1024" r:id="rId1027"/>
    <hyperlink xmlns:r="http://schemas.openxmlformats.org/officeDocument/2006/relationships" ref="J1025" r:id="rId1028"/>
    <hyperlink xmlns:r="http://schemas.openxmlformats.org/officeDocument/2006/relationships" ref="J1026" r:id="rId1029"/>
    <hyperlink xmlns:r="http://schemas.openxmlformats.org/officeDocument/2006/relationships" ref="J1027" r:id="rId1030"/>
    <hyperlink xmlns:r="http://schemas.openxmlformats.org/officeDocument/2006/relationships" ref="J1028" r:id="rId1031"/>
    <hyperlink xmlns:r="http://schemas.openxmlformats.org/officeDocument/2006/relationships" ref="J1029" r:id="rId1032"/>
    <hyperlink xmlns:r="http://schemas.openxmlformats.org/officeDocument/2006/relationships" ref="J1030" r:id="rId1033"/>
    <hyperlink xmlns:r="http://schemas.openxmlformats.org/officeDocument/2006/relationships" ref="J1031" r:id="rId1034"/>
    <hyperlink xmlns:r="http://schemas.openxmlformats.org/officeDocument/2006/relationships" ref="J1032" r:id="rId1035"/>
    <hyperlink xmlns:r="http://schemas.openxmlformats.org/officeDocument/2006/relationships" ref="J1033" r:id="rId1036"/>
    <hyperlink xmlns:r="http://schemas.openxmlformats.org/officeDocument/2006/relationships" ref="J1034" r:id="rId1037"/>
    <hyperlink xmlns:r="http://schemas.openxmlformats.org/officeDocument/2006/relationships" ref="J1035" r:id="rId1038"/>
    <hyperlink xmlns:r="http://schemas.openxmlformats.org/officeDocument/2006/relationships" ref="J1036" r:id="rId1039"/>
    <hyperlink xmlns:r="http://schemas.openxmlformats.org/officeDocument/2006/relationships" ref="J1037" r:id="rId1040"/>
    <hyperlink xmlns:r="http://schemas.openxmlformats.org/officeDocument/2006/relationships" ref="J1038" r:id="rId1041"/>
    <hyperlink xmlns:r="http://schemas.openxmlformats.org/officeDocument/2006/relationships" ref="J1039" r:id="rId1042"/>
    <hyperlink xmlns:r="http://schemas.openxmlformats.org/officeDocument/2006/relationships" ref="J1040" r:id="rId1043"/>
    <hyperlink xmlns:r="http://schemas.openxmlformats.org/officeDocument/2006/relationships" ref="J1041" r:id="rId1044"/>
    <hyperlink xmlns:r="http://schemas.openxmlformats.org/officeDocument/2006/relationships" ref="J1042" r:id="rId1045"/>
    <hyperlink xmlns:r="http://schemas.openxmlformats.org/officeDocument/2006/relationships" ref="J1043" r:id="rId1046"/>
    <hyperlink xmlns:r="http://schemas.openxmlformats.org/officeDocument/2006/relationships" ref="J1044" r:id="rId1047"/>
    <hyperlink xmlns:r="http://schemas.openxmlformats.org/officeDocument/2006/relationships" ref="J1045" r:id="rId1048"/>
    <hyperlink xmlns:r="http://schemas.openxmlformats.org/officeDocument/2006/relationships" ref="J1046" r:id="rId1049"/>
    <hyperlink xmlns:r="http://schemas.openxmlformats.org/officeDocument/2006/relationships" ref="J1047" r:id="rId1050"/>
    <hyperlink xmlns:r="http://schemas.openxmlformats.org/officeDocument/2006/relationships" ref="J1048" r:id="rId1051"/>
    <hyperlink xmlns:r="http://schemas.openxmlformats.org/officeDocument/2006/relationships" ref="J1049" r:id="rId1052"/>
    <hyperlink xmlns:r="http://schemas.openxmlformats.org/officeDocument/2006/relationships" ref="J1050" r:id="rId1053"/>
    <hyperlink xmlns:r="http://schemas.openxmlformats.org/officeDocument/2006/relationships" ref="J1051" r:id="rId1054"/>
    <hyperlink xmlns:r="http://schemas.openxmlformats.org/officeDocument/2006/relationships" ref="J1052" r:id="rId1055"/>
    <hyperlink xmlns:r="http://schemas.openxmlformats.org/officeDocument/2006/relationships" ref="J1053" r:id="rId1056"/>
    <hyperlink xmlns:r="http://schemas.openxmlformats.org/officeDocument/2006/relationships" ref="J1054" r:id="rId1057"/>
    <hyperlink xmlns:r="http://schemas.openxmlformats.org/officeDocument/2006/relationships" ref="J1055" r:id="rId1058"/>
    <hyperlink xmlns:r="http://schemas.openxmlformats.org/officeDocument/2006/relationships" ref="J1056" r:id="rId1059"/>
    <hyperlink xmlns:r="http://schemas.openxmlformats.org/officeDocument/2006/relationships" ref="J1057" r:id="rId1060"/>
    <hyperlink xmlns:r="http://schemas.openxmlformats.org/officeDocument/2006/relationships" ref="J1058" r:id="rId1061"/>
    <hyperlink xmlns:r="http://schemas.openxmlformats.org/officeDocument/2006/relationships" ref="J1059" r:id="rId1062"/>
    <hyperlink xmlns:r="http://schemas.openxmlformats.org/officeDocument/2006/relationships" ref="J1060" r:id="rId1063"/>
    <hyperlink xmlns:r="http://schemas.openxmlformats.org/officeDocument/2006/relationships" ref="J1061" r:id="rId1064"/>
    <hyperlink xmlns:r="http://schemas.openxmlformats.org/officeDocument/2006/relationships" ref="J1062" r:id="rId1065"/>
    <hyperlink xmlns:r="http://schemas.openxmlformats.org/officeDocument/2006/relationships" ref="J1063" r:id="rId1066"/>
    <hyperlink xmlns:r="http://schemas.openxmlformats.org/officeDocument/2006/relationships" ref="J1064" r:id="rId1067"/>
    <hyperlink xmlns:r="http://schemas.openxmlformats.org/officeDocument/2006/relationships" ref="J1065" r:id="rId1068"/>
    <hyperlink xmlns:r="http://schemas.openxmlformats.org/officeDocument/2006/relationships" ref="J1066" r:id="rId1069"/>
    <hyperlink xmlns:r="http://schemas.openxmlformats.org/officeDocument/2006/relationships" ref="J1067" r:id="rId1070"/>
    <hyperlink xmlns:r="http://schemas.openxmlformats.org/officeDocument/2006/relationships" ref="J1068" r:id="rId1071"/>
    <hyperlink xmlns:r="http://schemas.openxmlformats.org/officeDocument/2006/relationships" ref="J1069" r:id="rId1072"/>
    <hyperlink xmlns:r="http://schemas.openxmlformats.org/officeDocument/2006/relationships" ref="J1070" r:id="rId1073"/>
    <hyperlink xmlns:r="http://schemas.openxmlformats.org/officeDocument/2006/relationships" ref="J1071" r:id="rId1074"/>
    <hyperlink xmlns:r="http://schemas.openxmlformats.org/officeDocument/2006/relationships" ref="J1072" r:id="rId1075"/>
    <hyperlink xmlns:r="http://schemas.openxmlformats.org/officeDocument/2006/relationships" ref="J1073" r:id="rId1076"/>
    <hyperlink xmlns:r="http://schemas.openxmlformats.org/officeDocument/2006/relationships" ref="J1074" r:id="rId1077"/>
    <hyperlink xmlns:r="http://schemas.openxmlformats.org/officeDocument/2006/relationships" ref="J1075" r:id="rId1078"/>
    <hyperlink xmlns:r="http://schemas.openxmlformats.org/officeDocument/2006/relationships" ref="J1076" r:id="rId1079"/>
    <hyperlink xmlns:r="http://schemas.openxmlformats.org/officeDocument/2006/relationships" ref="J1077" r:id="rId1080"/>
    <hyperlink xmlns:r="http://schemas.openxmlformats.org/officeDocument/2006/relationships" ref="J1078" r:id="rId1081"/>
    <hyperlink xmlns:r="http://schemas.openxmlformats.org/officeDocument/2006/relationships" ref="J1079" r:id="rId1082"/>
    <hyperlink xmlns:r="http://schemas.openxmlformats.org/officeDocument/2006/relationships" ref="J1080" r:id="rId1083"/>
    <hyperlink xmlns:r="http://schemas.openxmlformats.org/officeDocument/2006/relationships" ref="J1081" r:id="rId1084"/>
    <hyperlink xmlns:r="http://schemas.openxmlformats.org/officeDocument/2006/relationships" ref="J1082" r:id="rId1085"/>
    <hyperlink xmlns:r="http://schemas.openxmlformats.org/officeDocument/2006/relationships" ref="J1083" r:id="rId1086"/>
    <hyperlink xmlns:r="http://schemas.openxmlformats.org/officeDocument/2006/relationships" ref="J1084" r:id="rId1087"/>
    <hyperlink xmlns:r="http://schemas.openxmlformats.org/officeDocument/2006/relationships" ref="J1085" r:id="rId1088"/>
    <hyperlink xmlns:r="http://schemas.openxmlformats.org/officeDocument/2006/relationships" ref="J1086" r:id="rId1089"/>
    <hyperlink xmlns:r="http://schemas.openxmlformats.org/officeDocument/2006/relationships" ref="J1087" r:id="rId1090"/>
    <hyperlink xmlns:r="http://schemas.openxmlformats.org/officeDocument/2006/relationships" ref="J1088" r:id="rId1091"/>
    <hyperlink xmlns:r="http://schemas.openxmlformats.org/officeDocument/2006/relationships" ref="J1089" r:id="rId1092"/>
    <hyperlink xmlns:r="http://schemas.openxmlformats.org/officeDocument/2006/relationships" ref="J1090" r:id="rId1093"/>
    <hyperlink xmlns:r="http://schemas.openxmlformats.org/officeDocument/2006/relationships" ref="J1091" r:id="rId1094"/>
    <hyperlink xmlns:r="http://schemas.openxmlformats.org/officeDocument/2006/relationships" ref="J1092" r:id="rId1095"/>
    <hyperlink xmlns:r="http://schemas.openxmlformats.org/officeDocument/2006/relationships" ref="J1093" r:id="rId1096"/>
    <hyperlink xmlns:r="http://schemas.openxmlformats.org/officeDocument/2006/relationships" ref="J1094" r:id="rId1097"/>
    <hyperlink xmlns:r="http://schemas.openxmlformats.org/officeDocument/2006/relationships" ref="J1095" r:id="rId1098"/>
    <hyperlink xmlns:r="http://schemas.openxmlformats.org/officeDocument/2006/relationships" ref="J1096" r:id="rId1099"/>
    <hyperlink xmlns:r="http://schemas.openxmlformats.org/officeDocument/2006/relationships" ref="J1097" r:id="rId1100"/>
    <hyperlink xmlns:r="http://schemas.openxmlformats.org/officeDocument/2006/relationships" ref="J1098" r:id="rId1101"/>
    <hyperlink xmlns:r="http://schemas.openxmlformats.org/officeDocument/2006/relationships" ref="J1099" r:id="rId1102"/>
    <hyperlink xmlns:r="http://schemas.openxmlformats.org/officeDocument/2006/relationships" ref="J1100" r:id="rId1103"/>
    <hyperlink xmlns:r="http://schemas.openxmlformats.org/officeDocument/2006/relationships" ref="J1101" r:id="rId1104"/>
    <hyperlink xmlns:r="http://schemas.openxmlformats.org/officeDocument/2006/relationships" ref="J1102" r:id="rId1105"/>
    <hyperlink xmlns:r="http://schemas.openxmlformats.org/officeDocument/2006/relationships" ref="J1103" r:id="rId1106"/>
    <hyperlink xmlns:r="http://schemas.openxmlformats.org/officeDocument/2006/relationships" ref="J1104" r:id="rId1107"/>
    <hyperlink xmlns:r="http://schemas.openxmlformats.org/officeDocument/2006/relationships" ref="J1105" r:id="rId1108"/>
    <hyperlink xmlns:r="http://schemas.openxmlformats.org/officeDocument/2006/relationships" ref="J1106" r:id="rId1109"/>
    <hyperlink xmlns:r="http://schemas.openxmlformats.org/officeDocument/2006/relationships" ref="J1107" r:id="rId1110"/>
    <hyperlink xmlns:r="http://schemas.openxmlformats.org/officeDocument/2006/relationships" ref="J1108" r:id="rId1111"/>
    <hyperlink xmlns:r="http://schemas.openxmlformats.org/officeDocument/2006/relationships" ref="J1109" r:id="rId1112"/>
    <hyperlink xmlns:r="http://schemas.openxmlformats.org/officeDocument/2006/relationships" ref="J1110" r:id="rId1113"/>
    <hyperlink xmlns:r="http://schemas.openxmlformats.org/officeDocument/2006/relationships" ref="J1111" r:id="rId1114"/>
    <hyperlink xmlns:r="http://schemas.openxmlformats.org/officeDocument/2006/relationships" ref="J1112" r:id="rId1115"/>
    <hyperlink xmlns:r="http://schemas.openxmlformats.org/officeDocument/2006/relationships" ref="J1113" r:id="rId1116"/>
    <hyperlink xmlns:r="http://schemas.openxmlformats.org/officeDocument/2006/relationships" ref="J1114" r:id="rId1117"/>
    <hyperlink xmlns:r="http://schemas.openxmlformats.org/officeDocument/2006/relationships" ref="J1115" r:id="rId1118"/>
    <hyperlink xmlns:r="http://schemas.openxmlformats.org/officeDocument/2006/relationships" ref="J1116" r:id="rId1119"/>
    <hyperlink xmlns:r="http://schemas.openxmlformats.org/officeDocument/2006/relationships" ref="J1117" r:id="rId1120"/>
    <hyperlink xmlns:r="http://schemas.openxmlformats.org/officeDocument/2006/relationships" ref="J1118" r:id="rId1121"/>
    <hyperlink xmlns:r="http://schemas.openxmlformats.org/officeDocument/2006/relationships" ref="J1119" r:id="rId1122"/>
    <hyperlink xmlns:r="http://schemas.openxmlformats.org/officeDocument/2006/relationships" ref="J1120" r:id="rId1123"/>
    <hyperlink xmlns:r="http://schemas.openxmlformats.org/officeDocument/2006/relationships" ref="J1121" r:id="rId1124"/>
    <hyperlink xmlns:r="http://schemas.openxmlformats.org/officeDocument/2006/relationships" ref="J1122" r:id="rId1125"/>
    <hyperlink xmlns:r="http://schemas.openxmlformats.org/officeDocument/2006/relationships" ref="J1123" r:id="rId1126"/>
    <hyperlink xmlns:r="http://schemas.openxmlformats.org/officeDocument/2006/relationships" ref="J1124" r:id="rId1127"/>
    <hyperlink xmlns:r="http://schemas.openxmlformats.org/officeDocument/2006/relationships" ref="J1125" r:id="rId1128"/>
    <hyperlink xmlns:r="http://schemas.openxmlformats.org/officeDocument/2006/relationships" ref="J1126" r:id="rId1129"/>
    <hyperlink xmlns:r="http://schemas.openxmlformats.org/officeDocument/2006/relationships" ref="J1127" r:id="rId1130"/>
    <hyperlink xmlns:r="http://schemas.openxmlformats.org/officeDocument/2006/relationships" ref="J1128" r:id="rId1131"/>
    <hyperlink xmlns:r="http://schemas.openxmlformats.org/officeDocument/2006/relationships" ref="J1129" r:id="rId1132"/>
    <hyperlink xmlns:r="http://schemas.openxmlformats.org/officeDocument/2006/relationships" ref="J1130" r:id="rId1133"/>
    <hyperlink xmlns:r="http://schemas.openxmlformats.org/officeDocument/2006/relationships" ref="J1131" r:id="rId1134"/>
    <hyperlink xmlns:r="http://schemas.openxmlformats.org/officeDocument/2006/relationships" ref="J1132" r:id="rId1135"/>
    <hyperlink xmlns:r="http://schemas.openxmlformats.org/officeDocument/2006/relationships" ref="J1133" r:id="rId1136"/>
    <hyperlink xmlns:r="http://schemas.openxmlformats.org/officeDocument/2006/relationships" ref="J1134" r:id="rId1137"/>
    <hyperlink xmlns:r="http://schemas.openxmlformats.org/officeDocument/2006/relationships" ref="J1135" r:id="rId1138"/>
    <hyperlink xmlns:r="http://schemas.openxmlformats.org/officeDocument/2006/relationships" ref="J1136" r:id="rId1139"/>
    <hyperlink xmlns:r="http://schemas.openxmlformats.org/officeDocument/2006/relationships" ref="J1137" r:id="rId1140"/>
    <hyperlink xmlns:r="http://schemas.openxmlformats.org/officeDocument/2006/relationships" ref="J1138" r:id="rId1141"/>
    <hyperlink xmlns:r="http://schemas.openxmlformats.org/officeDocument/2006/relationships" ref="J1139" r:id="rId1142"/>
    <hyperlink xmlns:r="http://schemas.openxmlformats.org/officeDocument/2006/relationships" ref="J1140" r:id="rId1143"/>
    <hyperlink xmlns:r="http://schemas.openxmlformats.org/officeDocument/2006/relationships" ref="J1141" r:id="rId1144"/>
    <hyperlink xmlns:r="http://schemas.openxmlformats.org/officeDocument/2006/relationships" ref="J1142" r:id="rId1145"/>
    <hyperlink xmlns:r="http://schemas.openxmlformats.org/officeDocument/2006/relationships" ref="J1143" r:id="rId1146"/>
    <hyperlink xmlns:r="http://schemas.openxmlformats.org/officeDocument/2006/relationships" ref="J1144" r:id="rId1147"/>
    <hyperlink xmlns:r="http://schemas.openxmlformats.org/officeDocument/2006/relationships" ref="J1145" r:id="rId1148"/>
    <hyperlink xmlns:r="http://schemas.openxmlformats.org/officeDocument/2006/relationships" ref="J1146" r:id="rId1149"/>
    <hyperlink xmlns:r="http://schemas.openxmlformats.org/officeDocument/2006/relationships" ref="J1147" r:id="rId1150"/>
    <hyperlink xmlns:r="http://schemas.openxmlformats.org/officeDocument/2006/relationships" ref="J1148" r:id="rId1151"/>
    <hyperlink xmlns:r="http://schemas.openxmlformats.org/officeDocument/2006/relationships" ref="J1149" r:id="rId1152"/>
    <hyperlink xmlns:r="http://schemas.openxmlformats.org/officeDocument/2006/relationships" ref="J1150" r:id="rId1153"/>
    <hyperlink xmlns:r="http://schemas.openxmlformats.org/officeDocument/2006/relationships" ref="J1151" r:id="rId1154"/>
    <hyperlink xmlns:r="http://schemas.openxmlformats.org/officeDocument/2006/relationships" ref="J1152" r:id="rId1155"/>
    <hyperlink xmlns:r="http://schemas.openxmlformats.org/officeDocument/2006/relationships" ref="J1153" r:id="rId1156"/>
    <hyperlink xmlns:r="http://schemas.openxmlformats.org/officeDocument/2006/relationships" ref="J1154" r:id="rId1157"/>
    <hyperlink xmlns:r="http://schemas.openxmlformats.org/officeDocument/2006/relationships" ref="J1155" r:id="rId1158"/>
    <hyperlink xmlns:r="http://schemas.openxmlformats.org/officeDocument/2006/relationships" ref="J1156" r:id="rId1159"/>
    <hyperlink xmlns:r="http://schemas.openxmlformats.org/officeDocument/2006/relationships" ref="J1157" r:id="rId1160"/>
    <hyperlink xmlns:r="http://schemas.openxmlformats.org/officeDocument/2006/relationships" ref="J1158" r:id="rId1161"/>
    <hyperlink xmlns:r="http://schemas.openxmlformats.org/officeDocument/2006/relationships" ref="J1159" r:id="rId1162"/>
    <hyperlink xmlns:r="http://schemas.openxmlformats.org/officeDocument/2006/relationships" ref="J1160" r:id="rId1163"/>
    <hyperlink xmlns:r="http://schemas.openxmlformats.org/officeDocument/2006/relationships" ref="J1161" r:id="rId1164"/>
    <hyperlink xmlns:r="http://schemas.openxmlformats.org/officeDocument/2006/relationships" ref="J1162" r:id="rId1165"/>
    <hyperlink xmlns:r="http://schemas.openxmlformats.org/officeDocument/2006/relationships" ref="J1163" r:id="rId1166"/>
    <hyperlink xmlns:r="http://schemas.openxmlformats.org/officeDocument/2006/relationships" ref="J1164" r:id="rId1167"/>
    <hyperlink xmlns:r="http://schemas.openxmlformats.org/officeDocument/2006/relationships" ref="J1165" r:id="rId1168"/>
    <hyperlink xmlns:r="http://schemas.openxmlformats.org/officeDocument/2006/relationships" ref="J1166" r:id="rId1169"/>
    <hyperlink xmlns:r="http://schemas.openxmlformats.org/officeDocument/2006/relationships" ref="J1167" r:id="rId1170"/>
    <hyperlink xmlns:r="http://schemas.openxmlformats.org/officeDocument/2006/relationships" ref="J1168" r:id="rId1171"/>
    <hyperlink xmlns:r="http://schemas.openxmlformats.org/officeDocument/2006/relationships" ref="J1169" r:id="rId1172"/>
    <hyperlink xmlns:r="http://schemas.openxmlformats.org/officeDocument/2006/relationships" ref="J1170" r:id="rId1173"/>
    <hyperlink xmlns:r="http://schemas.openxmlformats.org/officeDocument/2006/relationships" ref="J1171" r:id="rId1174"/>
    <hyperlink xmlns:r="http://schemas.openxmlformats.org/officeDocument/2006/relationships" ref="J1172" r:id="rId1175"/>
    <hyperlink xmlns:r="http://schemas.openxmlformats.org/officeDocument/2006/relationships" ref="J1173" r:id="rId1176"/>
    <hyperlink xmlns:r="http://schemas.openxmlformats.org/officeDocument/2006/relationships" ref="J1174" r:id="rId1177"/>
    <hyperlink xmlns:r="http://schemas.openxmlformats.org/officeDocument/2006/relationships" ref="J1175" r:id="rId1178"/>
    <hyperlink xmlns:r="http://schemas.openxmlformats.org/officeDocument/2006/relationships" ref="J1176" r:id="rId1179"/>
    <hyperlink xmlns:r="http://schemas.openxmlformats.org/officeDocument/2006/relationships" ref="J1177" r:id="rId1180"/>
    <hyperlink xmlns:r="http://schemas.openxmlformats.org/officeDocument/2006/relationships" ref="J1178" r:id="rId1181"/>
    <hyperlink xmlns:r="http://schemas.openxmlformats.org/officeDocument/2006/relationships" ref="J1179" r:id="rId1182"/>
    <hyperlink xmlns:r="http://schemas.openxmlformats.org/officeDocument/2006/relationships" ref="J1180" r:id="rId1183"/>
    <hyperlink xmlns:r="http://schemas.openxmlformats.org/officeDocument/2006/relationships" ref="J1181" r:id="rId1184"/>
    <hyperlink xmlns:r="http://schemas.openxmlformats.org/officeDocument/2006/relationships" ref="J1182" r:id="rId1185"/>
    <hyperlink xmlns:r="http://schemas.openxmlformats.org/officeDocument/2006/relationships" ref="J1183" r:id="rId1186"/>
    <hyperlink xmlns:r="http://schemas.openxmlformats.org/officeDocument/2006/relationships" ref="J1184" r:id="rId1187"/>
    <hyperlink xmlns:r="http://schemas.openxmlformats.org/officeDocument/2006/relationships" ref="J1185" r:id="rId1188"/>
    <hyperlink xmlns:r="http://schemas.openxmlformats.org/officeDocument/2006/relationships" ref="J1186" r:id="rId1189"/>
    <hyperlink xmlns:r="http://schemas.openxmlformats.org/officeDocument/2006/relationships" ref="J1187" r:id="rId1190"/>
    <hyperlink xmlns:r="http://schemas.openxmlformats.org/officeDocument/2006/relationships" ref="J1188" r:id="rId1191"/>
    <hyperlink xmlns:r="http://schemas.openxmlformats.org/officeDocument/2006/relationships" ref="J1189" r:id="rId1192"/>
    <hyperlink xmlns:r="http://schemas.openxmlformats.org/officeDocument/2006/relationships" ref="J1190" r:id="rId1193"/>
    <hyperlink xmlns:r="http://schemas.openxmlformats.org/officeDocument/2006/relationships" ref="J1191" r:id="rId1194"/>
    <hyperlink xmlns:r="http://schemas.openxmlformats.org/officeDocument/2006/relationships" ref="J1192" r:id="rId1195"/>
    <hyperlink xmlns:r="http://schemas.openxmlformats.org/officeDocument/2006/relationships" ref="J1193" r:id="rId1196"/>
    <hyperlink xmlns:r="http://schemas.openxmlformats.org/officeDocument/2006/relationships" ref="J1194" r:id="rId1197"/>
    <hyperlink xmlns:r="http://schemas.openxmlformats.org/officeDocument/2006/relationships" ref="J1195" r:id="rId1198"/>
    <hyperlink xmlns:r="http://schemas.openxmlformats.org/officeDocument/2006/relationships" ref="J1196" r:id="rId1199"/>
    <hyperlink xmlns:r="http://schemas.openxmlformats.org/officeDocument/2006/relationships" ref="J1197" r:id="rId1200"/>
    <hyperlink xmlns:r="http://schemas.openxmlformats.org/officeDocument/2006/relationships" ref="J1198" r:id="rId1201"/>
    <hyperlink xmlns:r="http://schemas.openxmlformats.org/officeDocument/2006/relationships" ref="J1199" r:id="rId1202"/>
    <hyperlink xmlns:r="http://schemas.openxmlformats.org/officeDocument/2006/relationships" ref="J1200" r:id="rId1203"/>
    <hyperlink xmlns:r="http://schemas.openxmlformats.org/officeDocument/2006/relationships" ref="J1201" r:id="rId1204"/>
    <hyperlink xmlns:r="http://schemas.openxmlformats.org/officeDocument/2006/relationships" ref="J1202" r:id="rId1205"/>
    <hyperlink xmlns:r="http://schemas.openxmlformats.org/officeDocument/2006/relationships" ref="J1203" r:id="rId1206"/>
    <hyperlink xmlns:r="http://schemas.openxmlformats.org/officeDocument/2006/relationships" ref="J1204" r:id="rId1207"/>
    <hyperlink xmlns:r="http://schemas.openxmlformats.org/officeDocument/2006/relationships" ref="J1205" r:id="rId1208"/>
    <hyperlink xmlns:r="http://schemas.openxmlformats.org/officeDocument/2006/relationships" ref="J1206" r:id="rId1209"/>
    <hyperlink xmlns:r="http://schemas.openxmlformats.org/officeDocument/2006/relationships" ref="J1207" r:id="rId1210"/>
    <hyperlink xmlns:r="http://schemas.openxmlformats.org/officeDocument/2006/relationships" ref="J1208" r:id="rId1211"/>
    <hyperlink xmlns:r="http://schemas.openxmlformats.org/officeDocument/2006/relationships" ref="J1209" r:id="rId1212"/>
    <hyperlink xmlns:r="http://schemas.openxmlformats.org/officeDocument/2006/relationships" ref="J1210" r:id="rId1213"/>
    <hyperlink xmlns:r="http://schemas.openxmlformats.org/officeDocument/2006/relationships" ref="J1211" r:id="rId1214"/>
    <hyperlink xmlns:r="http://schemas.openxmlformats.org/officeDocument/2006/relationships" ref="J1212" r:id="rId1215"/>
    <hyperlink xmlns:r="http://schemas.openxmlformats.org/officeDocument/2006/relationships" ref="J1213" r:id="rId1216"/>
    <hyperlink xmlns:r="http://schemas.openxmlformats.org/officeDocument/2006/relationships" ref="J1214" r:id="rId1217"/>
    <hyperlink xmlns:r="http://schemas.openxmlformats.org/officeDocument/2006/relationships" ref="J1215" r:id="rId1218"/>
    <hyperlink xmlns:r="http://schemas.openxmlformats.org/officeDocument/2006/relationships" ref="J1216" r:id="rId1219"/>
    <hyperlink xmlns:r="http://schemas.openxmlformats.org/officeDocument/2006/relationships" ref="J1217" r:id="rId1220"/>
    <hyperlink xmlns:r="http://schemas.openxmlformats.org/officeDocument/2006/relationships" ref="J1218" r:id="rId1221"/>
    <hyperlink xmlns:r="http://schemas.openxmlformats.org/officeDocument/2006/relationships" ref="J1219" r:id="rId1222"/>
    <hyperlink xmlns:r="http://schemas.openxmlformats.org/officeDocument/2006/relationships" ref="J1220" r:id="rId1223"/>
    <hyperlink xmlns:r="http://schemas.openxmlformats.org/officeDocument/2006/relationships" ref="J1221" r:id="rId1224"/>
    <hyperlink xmlns:r="http://schemas.openxmlformats.org/officeDocument/2006/relationships" ref="J1222" r:id="rId1225"/>
    <hyperlink xmlns:r="http://schemas.openxmlformats.org/officeDocument/2006/relationships" ref="J1223" r:id="rId1226"/>
    <hyperlink xmlns:r="http://schemas.openxmlformats.org/officeDocument/2006/relationships" ref="J1224" r:id="rId1227"/>
    <hyperlink xmlns:r="http://schemas.openxmlformats.org/officeDocument/2006/relationships" ref="J1225" r:id="rId1228"/>
    <hyperlink xmlns:r="http://schemas.openxmlformats.org/officeDocument/2006/relationships" ref="J1226" r:id="rId1229"/>
    <hyperlink xmlns:r="http://schemas.openxmlformats.org/officeDocument/2006/relationships" ref="J1227" r:id="rId1230"/>
    <hyperlink xmlns:r="http://schemas.openxmlformats.org/officeDocument/2006/relationships" ref="J1228" r:id="rId1231"/>
    <hyperlink xmlns:r="http://schemas.openxmlformats.org/officeDocument/2006/relationships" ref="J1229" r:id="rId1232"/>
    <hyperlink xmlns:r="http://schemas.openxmlformats.org/officeDocument/2006/relationships" ref="J1230" r:id="rId1233"/>
    <hyperlink xmlns:r="http://schemas.openxmlformats.org/officeDocument/2006/relationships" ref="J1231" r:id="rId1234"/>
    <hyperlink xmlns:r="http://schemas.openxmlformats.org/officeDocument/2006/relationships" ref="J1232" r:id="rId1235"/>
    <hyperlink xmlns:r="http://schemas.openxmlformats.org/officeDocument/2006/relationships" ref="J1233" r:id="rId1236"/>
    <hyperlink xmlns:r="http://schemas.openxmlformats.org/officeDocument/2006/relationships" ref="J1234" r:id="rId1237"/>
    <hyperlink xmlns:r="http://schemas.openxmlformats.org/officeDocument/2006/relationships" ref="J1235" r:id="rId1238"/>
    <hyperlink xmlns:r="http://schemas.openxmlformats.org/officeDocument/2006/relationships" ref="J1236" r:id="rId1239"/>
    <hyperlink xmlns:r="http://schemas.openxmlformats.org/officeDocument/2006/relationships" ref="J1237" r:id="rId1240"/>
    <hyperlink xmlns:r="http://schemas.openxmlformats.org/officeDocument/2006/relationships" ref="J1238" r:id="rId1241"/>
    <hyperlink xmlns:r="http://schemas.openxmlformats.org/officeDocument/2006/relationships" ref="J1239" r:id="rId1242"/>
    <hyperlink xmlns:r="http://schemas.openxmlformats.org/officeDocument/2006/relationships" ref="J1240" r:id="rId1243"/>
    <hyperlink xmlns:r="http://schemas.openxmlformats.org/officeDocument/2006/relationships" ref="J1241" r:id="rId1244"/>
    <hyperlink xmlns:r="http://schemas.openxmlformats.org/officeDocument/2006/relationships" ref="J1242" r:id="rId1245"/>
    <hyperlink xmlns:r="http://schemas.openxmlformats.org/officeDocument/2006/relationships" ref="J1243" r:id="rId1246"/>
    <hyperlink xmlns:r="http://schemas.openxmlformats.org/officeDocument/2006/relationships" ref="J1244" r:id="rId1247"/>
    <hyperlink xmlns:r="http://schemas.openxmlformats.org/officeDocument/2006/relationships" ref="J1245" r:id="rId1248"/>
    <hyperlink xmlns:r="http://schemas.openxmlformats.org/officeDocument/2006/relationships" ref="J1246" r:id="rId1249"/>
    <hyperlink xmlns:r="http://schemas.openxmlformats.org/officeDocument/2006/relationships" ref="J1247" r:id="rId1250"/>
    <hyperlink xmlns:r="http://schemas.openxmlformats.org/officeDocument/2006/relationships" ref="J1248" r:id="rId1251"/>
    <hyperlink xmlns:r="http://schemas.openxmlformats.org/officeDocument/2006/relationships" ref="J1249" r:id="rId1252"/>
    <hyperlink xmlns:r="http://schemas.openxmlformats.org/officeDocument/2006/relationships" ref="J1250" r:id="rId1253"/>
    <hyperlink xmlns:r="http://schemas.openxmlformats.org/officeDocument/2006/relationships" ref="J1251" r:id="rId1254"/>
    <hyperlink xmlns:r="http://schemas.openxmlformats.org/officeDocument/2006/relationships" ref="J1252" r:id="rId1255"/>
    <hyperlink xmlns:r="http://schemas.openxmlformats.org/officeDocument/2006/relationships" ref="J1253" r:id="rId1256"/>
    <hyperlink xmlns:r="http://schemas.openxmlformats.org/officeDocument/2006/relationships" ref="J1254" r:id="rId1257"/>
    <hyperlink xmlns:r="http://schemas.openxmlformats.org/officeDocument/2006/relationships" ref="J1255" r:id="rId1258"/>
    <hyperlink xmlns:r="http://schemas.openxmlformats.org/officeDocument/2006/relationships" ref="J1256" r:id="rId1259"/>
    <hyperlink xmlns:r="http://schemas.openxmlformats.org/officeDocument/2006/relationships" ref="J1257" r:id="rId1260"/>
    <hyperlink xmlns:r="http://schemas.openxmlformats.org/officeDocument/2006/relationships" ref="J1258" r:id="rId1261"/>
    <hyperlink xmlns:r="http://schemas.openxmlformats.org/officeDocument/2006/relationships" ref="J1259" r:id="rId1262"/>
    <hyperlink xmlns:r="http://schemas.openxmlformats.org/officeDocument/2006/relationships" ref="J1260" r:id="rId1263"/>
    <hyperlink xmlns:r="http://schemas.openxmlformats.org/officeDocument/2006/relationships" ref="J1261" r:id="rId1264"/>
    <hyperlink xmlns:r="http://schemas.openxmlformats.org/officeDocument/2006/relationships" ref="J1262" r:id="rId1265"/>
    <hyperlink xmlns:r="http://schemas.openxmlformats.org/officeDocument/2006/relationships" ref="J1263" r:id="rId1266"/>
    <hyperlink xmlns:r="http://schemas.openxmlformats.org/officeDocument/2006/relationships" ref="J1264" r:id="rId1267"/>
    <hyperlink xmlns:r="http://schemas.openxmlformats.org/officeDocument/2006/relationships" ref="J1265" r:id="rId1268"/>
    <hyperlink xmlns:r="http://schemas.openxmlformats.org/officeDocument/2006/relationships" ref="J1266" r:id="rId1269"/>
    <hyperlink xmlns:r="http://schemas.openxmlformats.org/officeDocument/2006/relationships" ref="J1267" r:id="rId1270"/>
    <hyperlink xmlns:r="http://schemas.openxmlformats.org/officeDocument/2006/relationships" ref="J1268" r:id="rId1271"/>
    <hyperlink xmlns:r="http://schemas.openxmlformats.org/officeDocument/2006/relationships" ref="J1269" r:id="rId1272"/>
    <hyperlink xmlns:r="http://schemas.openxmlformats.org/officeDocument/2006/relationships" ref="J1270" r:id="rId1273"/>
    <hyperlink xmlns:r="http://schemas.openxmlformats.org/officeDocument/2006/relationships" ref="J1271" r:id="rId1274"/>
    <hyperlink xmlns:r="http://schemas.openxmlformats.org/officeDocument/2006/relationships" ref="J1272" r:id="rId1275"/>
    <hyperlink xmlns:r="http://schemas.openxmlformats.org/officeDocument/2006/relationships" ref="J1273" r:id="rId1276"/>
    <hyperlink xmlns:r="http://schemas.openxmlformats.org/officeDocument/2006/relationships" ref="J1274" r:id="rId1277"/>
    <hyperlink xmlns:r="http://schemas.openxmlformats.org/officeDocument/2006/relationships" ref="J1275" r:id="rId1278"/>
    <hyperlink xmlns:r="http://schemas.openxmlformats.org/officeDocument/2006/relationships" ref="J1276" r:id="rId1279"/>
    <hyperlink xmlns:r="http://schemas.openxmlformats.org/officeDocument/2006/relationships" ref="J1277" r:id="rId1280"/>
    <hyperlink xmlns:r="http://schemas.openxmlformats.org/officeDocument/2006/relationships" ref="J1278" r:id="rId1281"/>
    <hyperlink xmlns:r="http://schemas.openxmlformats.org/officeDocument/2006/relationships" ref="J1279" r:id="rId1282"/>
    <hyperlink xmlns:r="http://schemas.openxmlformats.org/officeDocument/2006/relationships" ref="J1280" r:id="rId1283"/>
    <hyperlink xmlns:r="http://schemas.openxmlformats.org/officeDocument/2006/relationships" ref="J1281" r:id="rId1284"/>
    <hyperlink xmlns:r="http://schemas.openxmlformats.org/officeDocument/2006/relationships" ref="J1282" r:id="rId1285"/>
    <hyperlink xmlns:r="http://schemas.openxmlformats.org/officeDocument/2006/relationships" ref="J1283" r:id="rId1286"/>
    <hyperlink xmlns:r="http://schemas.openxmlformats.org/officeDocument/2006/relationships" ref="J1284" r:id="rId1287"/>
    <hyperlink xmlns:r="http://schemas.openxmlformats.org/officeDocument/2006/relationships" ref="J1285" r:id="rId1288"/>
    <hyperlink xmlns:r="http://schemas.openxmlformats.org/officeDocument/2006/relationships" ref="J1286" r:id="rId1289"/>
    <hyperlink xmlns:r="http://schemas.openxmlformats.org/officeDocument/2006/relationships" ref="J1287" r:id="rId1290"/>
    <hyperlink xmlns:r="http://schemas.openxmlformats.org/officeDocument/2006/relationships" ref="J1288" r:id="rId1291"/>
    <hyperlink xmlns:r="http://schemas.openxmlformats.org/officeDocument/2006/relationships" ref="J1289" r:id="rId1292"/>
    <hyperlink xmlns:r="http://schemas.openxmlformats.org/officeDocument/2006/relationships" ref="J1290" r:id="rId1293"/>
    <hyperlink xmlns:r="http://schemas.openxmlformats.org/officeDocument/2006/relationships" ref="J1291" r:id="rId1294"/>
    <hyperlink xmlns:r="http://schemas.openxmlformats.org/officeDocument/2006/relationships" ref="J1292" r:id="rId1295"/>
    <hyperlink xmlns:r="http://schemas.openxmlformats.org/officeDocument/2006/relationships" ref="J1293" r:id="rId1296"/>
    <hyperlink xmlns:r="http://schemas.openxmlformats.org/officeDocument/2006/relationships" ref="J1294" r:id="rId1297"/>
    <hyperlink xmlns:r="http://schemas.openxmlformats.org/officeDocument/2006/relationships" ref="J1295" r:id="rId1298"/>
    <hyperlink xmlns:r="http://schemas.openxmlformats.org/officeDocument/2006/relationships" ref="J1296" r:id="rId1299"/>
    <hyperlink xmlns:r="http://schemas.openxmlformats.org/officeDocument/2006/relationships" ref="J1297" r:id="rId1300"/>
    <hyperlink xmlns:r="http://schemas.openxmlformats.org/officeDocument/2006/relationships" ref="J1298" r:id="rId1301"/>
    <hyperlink xmlns:r="http://schemas.openxmlformats.org/officeDocument/2006/relationships" ref="J1299" r:id="rId1302"/>
    <hyperlink xmlns:r="http://schemas.openxmlformats.org/officeDocument/2006/relationships" ref="J1300" r:id="rId1303"/>
    <hyperlink xmlns:r="http://schemas.openxmlformats.org/officeDocument/2006/relationships" ref="J1301" r:id="rId1304"/>
    <hyperlink xmlns:r="http://schemas.openxmlformats.org/officeDocument/2006/relationships" ref="J1302" r:id="rId1305"/>
    <hyperlink xmlns:r="http://schemas.openxmlformats.org/officeDocument/2006/relationships" ref="J1303" r:id="rId1306"/>
    <hyperlink xmlns:r="http://schemas.openxmlformats.org/officeDocument/2006/relationships" ref="J1304" r:id="rId1307"/>
    <hyperlink xmlns:r="http://schemas.openxmlformats.org/officeDocument/2006/relationships" ref="J1305" r:id="rId1308"/>
    <hyperlink xmlns:r="http://schemas.openxmlformats.org/officeDocument/2006/relationships" ref="J1306" r:id="rId1309"/>
    <hyperlink xmlns:r="http://schemas.openxmlformats.org/officeDocument/2006/relationships" ref="J1307" r:id="rId1310"/>
    <hyperlink xmlns:r="http://schemas.openxmlformats.org/officeDocument/2006/relationships" ref="J1308" r:id="rId1311"/>
    <hyperlink xmlns:r="http://schemas.openxmlformats.org/officeDocument/2006/relationships" ref="J1309" r:id="rId1312"/>
    <hyperlink xmlns:r="http://schemas.openxmlformats.org/officeDocument/2006/relationships" ref="J1310" r:id="rId1313"/>
    <hyperlink xmlns:r="http://schemas.openxmlformats.org/officeDocument/2006/relationships" ref="J1311" r:id="rId1314"/>
    <hyperlink xmlns:r="http://schemas.openxmlformats.org/officeDocument/2006/relationships" ref="J1312" r:id="rId1315"/>
    <hyperlink xmlns:r="http://schemas.openxmlformats.org/officeDocument/2006/relationships" ref="J1313" r:id="rId1316"/>
    <hyperlink xmlns:r="http://schemas.openxmlformats.org/officeDocument/2006/relationships" ref="J1314" r:id="rId1317"/>
    <hyperlink xmlns:r="http://schemas.openxmlformats.org/officeDocument/2006/relationships" ref="J1315" r:id="rId1318"/>
    <hyperlink xmlns:r="http://schemas.openxmlformats.org/officeDocument/2006/relationships" ref="J1316" r:id="rId1319"/>
    <hyperlink xmlns:r="http://schemas.openxmlformats.org/officeDocument/2006/relationships" ref="J1317" r:id="rId1320"/>
    <hyperlink xmlns:r="http://schemas.openxmlformats.org/officeDocument/2006/relationships" ref="J1318" r:id="rId1321"/>
    <hyperlink xmlns:r="http://schemas.openxmlformats.org/officeDocument/2006/relationships" ref="J1319" r:id="rId1322"/>
    <hyperlink xmlns:r="http://schemas.openxmlformats.org/officeDocument/2006/relationships" ref="J1320" r:id="rId1323"/>
    <hyperlink xmlns:r="http://schemas.openxmlformats.org/officeDocument/2006/relationships" ref="J1321" r:id="rId1324"/>
    <hyperlink xmlns:r="http://schemas.openxmlformats.org/officeDocument/2006/relationships" ref="J1322" r:id="rId1325"/>
    <hyperlink xmlns:r="http://schemas.openxmlformats.org/officeDocument/2006/relationships" ref="J1323" r:id="rId1326"/>
    <hyperlink xmlns:r="http://schemas.openxmlformats.org/officeDocument/2006/relationships" ref="J1324" r:id="rId1327"/>
    <hyperlink xmlns:r="http://schemas.openxmlformats.org/officeDocument/2006/relationships" ref="J1325" r:id="rId1328"/>
    <hyperlink xmlns:r="http://schemas.openxmlformats.org/officeDocument/2006/relationships" ref="J1326" r:id="rId1329"/>
    <hyperlink xmlns:r="http://schemas.openxmlformats.org/officeDocument/2006/relationships" ref="J1327" r:id="rId1330"/>
    <hyperlink xmlns:r="http://schemas.openxmlformats.org/officeDocument/2006/relationships" ref="J1328" r:id="rId1331"/>
    <hyperlink xmlns:r="http://schemas.openxmlformats.org/officeDocument/2006/relationships" ref="J1329" r:id="rId1332"/>
    <hyperlink xmlns:r="http://schemas.openxmlformats.org/officeDocument/2006/relationships" ref="J1330" r:id="rId1333"/>
    <hyperlink xmlns:r="http://schemas.openxmlformats.org/officeDocument/2006/relationships" ref="J1331" r:id="rId1334"/>
    <hyperlink xmlns:r="http://schemas.openxmlformats.org/officeDocument/2006/relationships" ref="J1332" r:id="rId1335"/>
    <hyperlink xmlns:r="http://schemas.openxmlformats.org/officeDocument/2006/relationships" ref="J1333" r:id="rId1336"/>
    <hyperlink xmlns:r="http://schemas.openxmlformats.org/officeDocument/2006/relationships" ref="J1334" r:id="rId1337"/>
    <hyperlink xmlns:r="http://schemas.openxmlformats.org/officeDocument/2006/relationships" ref="J1335" r:id="rId1338"/>
    <hyperlink xmlns:r="http://schemas.openxmlformats.org/officeDocument/2006/relationships" ref="J1336" r:id="rId1339"/>
    <hyperlink xmlns:r="http://schemas.openxmlformats.org/officeDocument/2006/relationships" ref="J1337" r:id="rId1340"/>
    <hyperlink xmlns:r="http://schemas.openxmlformats.org/officeDocument/2006/relationships" ref="J1338" r:id="rId1341"/>
    <hyperlink xmlns:r="http://schemas.openxmlformats.org/officeDocument/2006/relationships" ref="J1339" r:id="rId1342"/>
    <hyperlink xmlns:r="http://schemas.openxmlformats.org/officeDocument/2006/relationships" ref="J1340" r:id="rId1343"/>
    <hyperlink xmlns:r="http://schemas.openxmlformats.org/officeDocument/2006/relationships" ref="J1341" r:id="rId1344"/>
    <hyperlink xmlns:r="http://schemas.openxmlformats.org/officeDocument/2006/relationships" ref="J1342" r:id="rId1345"/>
    <hyperlink xmlns:r="http://schemas.openxmlformats.org/officeDocument/2006/relationships" ref="J1343" r:id="rId1346"/>
    <hyperlink xmlns:r="http://schemas.openxmlformats.org/officeDocument/2006/relationships" ref="J1344" r:id="rId1347"/>
    <hyperlink xmlns:r="http://schemas.openxmlformats.org/officeDocument/2006/relationships" ref="J1345" r:id="rId1348"/>
    <hyperlink xmlns:r="http://schemas.openxmlformats.org/officeDocument/2006/relationships" ref="J1346" r:id="rId1349"/>
    <hyperlink xmlns:r="http://schemas.openxmlformats.org/officeDocument/2006/relationships" ref="J1347" r:id="rId1350"/>
    <hyperlink xmlns:r="http://schemas.openxmlformats.org/officeDocument/2006/relationships" ref="J1348" r:id="rId1351"/>
    <hyperlink xmlns:r="http://schemas.openxmlformats.org/officeDocument/2006/relationships" ref="J1349" r:id="rId1352"/>
    <hyperlink xmlns:r="http://schemas.openxmlformats.org/officeDocument/2006/relationships" ref="J1350" r:id="rId1353"/>
    <hyperlink xmlns:r="http://schemas.openxmlformats.org/officeDocument/2006/relationships" ref="J1351" r:id="rId1354"/>
    <hyperlink xmlns:r="http://schemas.openxmlformats.org/officeDocument/2006/relationships" ref="J1352" r:id="rId1355"/>
    <hyperlink xmlns:r="http://schemas.openxmlformats.org/officeDocument/2006/relationships" ref="J1353" r:id="rId1356"/>
    <hyperlink xmlns:r="http://schemas.openxmlformats.org/officeDocument/2006/relationships" ref="J1354" r:id="rId1357"/>
    <hyperlink xmlns:r="http://schemas.openxmlformats.org/officeDocument/2006/relationships" ref="J1355" r:id="rId1358"/>
    <hyperlink xmlns:r="http://schemas.openxmlformats.org/officeDocument/2006/relationships" ref="J1356" r:id="rId1359"/>
    <hyperlink xmlns:r="http://schemas.openxmlformats.org/officeDocument/2006/relationships" ref="J1357" r:id="rId1360"/>
    <hyperlink xmlns:r="http://schemas.openxmlformats.org/officeDocument/2006/relationships" ref="J1358" r:id="rId1361"/>
    <hyperlink xmlns:r="http://schemas.openxmlformats.org/officeDocument/2006/relationships" ref="J1359" r:id="rId1362"/>
    <hyperlink xmlns:r="http://schemas.openxmlformats.org/officeDocument/2006/relationships" ref="J1360" r:id="rId1363"/>
    <hyperlink xmlns:r="http://schemas.openxmlformats.org/officeDocument/2006/relationships" ref="J1361" r:id="rId1364"/>
    <hyperlink xmlns:r="http://schemas.openxmlformats.org/officeDocument/2006/relationships" ref="J1362" r:id="rId1365"/>
    <hyperlink xmlns:r="http://schemas.openxmlformats.org/officeDocument/2006/relationships" ref="J1363" r:id="rId1366"/>
    <hyperlink xmlns:r="http://schemas.openxmlformats.org/officeDocument/2006/relationships" ref="J1364" r:id="rId1367"/>
    <hyperlink xmlns:r="http://schemas.openxmlformats.org/officeDocument/2006/relationships" ref="J1365" r:id="rId1368"/>
    <hyperlink xmlns:r="http://schemas.openxmlformats.org/officeDocument/2006/relationships" ref="J1366" r:id="rId1369"/>
    <hyperlink xmlns:r="http://schemas.openxmlformats.org/officeDocument/2006/relationships" ref="J1367" r:id="rId1370"/>
    <hyperlink xmlns:r="http://schemas.openxmlformats.org/officeDocument/2006/relationships" ref="J1368" r:id="rId1371"/>
    <hyperlink xmlns:r="http://schemas.openxmlformats.org/officeDocument/2006/relationships" ref="J1369" r:id="rId1372"/>
    <hyperlink xmlns:r="http://schemas.openxmlformats.org/officeDocument/2006/relationships" ref="J1370" r:id="rId1373"/>
    <hyperlink xmlns:r="http://schemas.openxmlformats.org/officeDocument/2006/relationships" ref="J1371" r:id="rId1374"/>
    <hyperlink xmlns:r="http://schemas.openxmlformats.org/officeDocument/2006/relationships" ref="J1372" r:id="rId1375"/>
    <hyperlink xmlns:r="http://schemas.openxmlformats.org/officeDocument/2006/relationships" ref="J1373" r:id="rId1376"/>
    <hyperlink xmlns:r="http://schemas.openxmlformats.org/officeDocument/2006/relationships" ref="J1374" r:id="rId1377"/>
    <hyperlink xmlns:r="http://schemas.openxmlformats.org/officeDocument/2006/relationships" ref="J1375" r:id="rId1378"/>
    <hyperlink xmlns:r="http://schemas.openxmlformats.org/officeDocument/2006/relationships" ref="J1376" r:id="rId1379"/>
    <hyperlink xmlns:r="http://schemas.openxmlformats.org/officeDocument/2006/relationships" ref="J1377" r:id="rId1380"/>
    <hyperlink xmlns:r="http://schemas.openxmlformats.org/officeDocument/2006/relationships" ref="J1378" r:id="rId1381"/>
    <hyperlink xmlns:r="http://schemas.openxmlformats.org/officeDocument/2006/relationships" ref="J1379" r:id="rId1382"/>
    <hyperlink xmlns:r="http://schemas.openxmlformats.org/officeDocument/2006/relationships" ref="J1380" r:id="rId1383"/>
    <hyperlink xmlns:r="http://schemas.openxmlformats.org/officeDocument/2006/relationships" ref="J1381" r:id="rId1384"/>
    <hyperlink xmlns:r="http://schemas.openxmlformats.org/officeDocument/2006/relationships" ref="J1382" r:id="rId1385"/>
    <hyperlink xmlns:r="http://schemas.openxmlformats.org/officeDocument/2006/relationships" ref="J1383" r:id="rId1386"/>
    <hyperlink xmlns:r="http://schemas.openxmlformats.org/officeDocument/2006/relationships" ref="J1384" r:id="rId1387"/>
    <hyperlink xmlns:r="http://schemas.openxmlformats.org/officeDocument/2006/relationships" ref="J1385" r:id="rId1388"/>
    <hyperlink xmlns:r="http://schemas.openxmlformats.org/officeDocument/2006/relationships" ref="J1386" r:id="rId1389"/>
    <hyperlink xmlns:r="http://schemas.openxmlformats.org/officeDocument/2006/relationships" ref="J1387" r:id="rId1390"/>
    <hyperlink xmlns:r="http://schemas.openxmlformats.org/officeDocument/2006/relationships" ref="J1388" r:id="rId1391"/>
    <hyperlink xmlns:r="http://schemas.openxmlformats.org/officeDocument/2006/relationships" ref="J1389" r:id="rId1392"/>
    <hyperlink xmlns:r="http://schemas.openxmlformats.org/officeDocument/2006/relationships" ref="J1390" r:id="rId1393"/>
    <hyperlink xmlns:r="http://schemas.openxmlformats.org/officeDocument/2006/relationships" ref="J1391" r:id="rId1394"/>
    <hyperlink xmlns:r="http://schemas.openxmlformats.org/officeDocument/2006/relationships" ref="J1392" r:id="rId1395"/>
    <hyperlink xmlns:r="http://schemas.openxmlformats.org/officeDocument/2006/relationships" ref="J1393" r:id="rId1396"/>
    <hyperlink xmlns:r="http://schemas.openxmlformats.org/officeDocument/2006/relationships" ref="J1394" r:id="rId1397"/>
    <hyperlink xmlns:r="http://schemas.openxmlformats.org/officeDocument/2006/relationships" ref="J1395" r:id="rId1398"/>
    <hyperlink xmlns:r="http://schemas.openxmlformats.org/officeDocument/2006/relationships" ref="J1396" r:id="rId1399"/>
    <hyperlink xmlns:r="http://schemas.openxmlformats.org/officeDocument/2006/relationships" ref="J1397" r:id="rId1400"/>
    <hyperlink xmlns:r="http://schemas.openxmlformats.org/officeDocument/2006/relationships" ref="J1398" r:id="rId1401"/>
    <hyperlink xmlns:r="http://schemas.openxmlformats.org/officeDocument/2006/relationships" ref="J1399" r:id="rId1402"/>
    <hyperlink xmlns:r="http://schemas.openxmlformats.org/officeDocument/2006/relationships" ref="J1400" r:id="rId1403"/>
    <hyperlink xmlns:r="http://schemas.openxmlformats.org/officeDocument/2006/relationships" ref="J1401" r:id="rId1404"/>
    <hyperlink xmlns:r="http://schemas.openxmlformats.org/officeDocument/2006/relationships" ref="J1402" r:id="rId1405"/>
    <hyperlink xmlns:r="http://schemas.openxmlformats.org/officeDocument/2006/relationships" ref="J1403" r:id="rId1406"/>
    <hyperlink xmlns:r="http://schemas.openxmlformats.org/officeDocument/2006/relationships" ref="J1404" r:id="rId1407"/>
    <hyperlink xmlns:r="http://schemas.openxmlformats.org/officeDocument/2006/relationships" ref="J1405" r:id="rId1408"/>
    <hyperlink xmlns:r="http://schemas.openxmlformats.org/officeDocument/2006/relationships" ref="J1406" r:id="rId1409"/>
    <hyperlink xmlns:r="http://schemas.openxmlformats.org/officeDocument/2006/relationships" ref="J1407" r:id="rId1410"/>
    <hyperlink xmlns:r="http://schemas.openxmlformats.org/officeDocument/2006/relationships" ref="J1408" r:id="rId1411"/>
    <hyperlink xmlns:r="http://schemas.openxmlformats.org/officeDocument/2006/relationships" ref="J1409" r:id="rId1412"/>
    <hyperlink xmlns:r="http://schemas.openxmlformats.org/officeDocument/2006/relationships" ref="J1410" r:id="rId1413"/>
    <hyperlink xmlns:r="http://schemas.openxmlformats.org/officeDocument/2006/relationships" ref="J1411" r:id="rId1414"/>
    <hyperlink xmlns:r="http://schemas.openxmlformats.org/officeDocument/2006/relationships" ref="J1412" r:id="rId1415"/>
    <hyperlink xmlns:r="http://schemas.openxmlformats.org/officeDocument/2006/relationships" ref="J1413" r:id="rId1416"/>
    <hyperlink xmlns:r="http://schemas.openxmlformats.org/officeDocument/2006/relationships" ref="J1414" r:id="rId1417"/>
    <hyperlink xmlns:r="http://schemas.openxmlformats.org/officeDocument/2006/relationships" ref="J1415" r:id="rId1418"/>
    <hyperlink xmlns:r="http://schemas.openxmlformats.org/officeDocument/2006/relationships" ref="J1416" r:id="rId1419"/>
    <hyperlink xmlns:r="http://schemas.openxmlformats.org/officeDocument/2006/relationships" ref="J1417" r:id="rId1420"/>
    <hyperlink xmlns:r="http://schemas.openxmlformats.org/officeDocument/2006/relationships" ref="J1418" r:id="rId1421"/>
    <hyperlink xmlns:r="http://schemas.openxmlformats.org/officeDocument/2006/relationships" ref="J1419" r:id="rId1422"/>
    <hyperlink xmlns:r="http://schemas.openxmlformats.org/officeDocument/2006/relationships" ref="J1420" r:id="rId1423"/>
    <hyperlink xmlns:r="http://schemas.openxmlformats.org/officeDocument/2006/relationships" ref="J1421" r:id="rId1424"/>
    <hyperlink xmlns:r="http://schemas.openxmlformats.org/officeDocument/2006/relationships" ref="J1422" r:id="rId1425"/>
    <hyperlink xmlns:r="http://schemas.openxmlformats.org/officeDocument/2006/relationships" ref="J1423" r:id="rId1426"/>
    <hyperlink xmlns:r="http://schemas.openxmlformats.org/officeDocument/2006/relationships" ref="J1424" r:id="rId1427"/>
    <hyperlink xmlns:r="http://schemas.openxmlformats.org/officeDocument/2006/relationships" ref="J1425" r:id="rId1428"/>
    <hyperlink xmlns:r="http://schemas.openxmlformats.org/officeDocument/2006/relationships" ref="J1426" r:id="rId1429"/>
    <hyperlink xmlns:r="http://schemas.openxmlformats.org/officeDocument/2006/relationships" ref="J1427" r:id="rId1430"/>
    <hyperlink xmlns:r="http://schemas.openxmlformats.org/officeDocument/2006/relationships" ref="J1428" r:id="rId1431"/>
    <hyperlink xmlns:r="http://schemas.openxmlformats.org/officeDocument/2006/relationships" ref="J1429" r:id="rId1432"/>
    <hyperlink xmlns:r="http://schemas.openxmlformats.org/officeDocument/2006/relationships" ref="J1430" r:id="rId1433"/>
    <hyperlink xmlns:r="http://schemas.openxmlformats.org/officeDocument/2006/relationships" ref="J1431" r:id="rId1434"/>
    <hyperlink xmlns:r="http://schemas.openxmlformats.org/officeDocument/2006/relationships" ref="J1432" r:id="rId1435"/>
    <hyperlink xmlns:r="http://schemas.openxmlformats.org/officeDocument/2006/relationships" ref="J1433" r:id="rId1436"/>
    <hyperlink xmlns:r="http://schemas.openxmlformats.org/officeDocument/2006/relationships" ref="J1434" r:id="rId1437"/>
    <hyperlink xmlns:r="http://schemas.openxmlformats.org/officeDocument/2006/relationships" ref="J1435" r:id="rId1438"/>
    <hyperlink xmlns:r="http://schemas.openxmlformats.org/officeDocument/2006/relationships" ref="J1436" r:id="rId1439"/>
    <hyperlink xmlns:r="http://schemas.openxmlformats.org/officeDocument/2006/relationships" ref="J1437" r:id="rId1440"/>
    <hyperlink xmlns:r="http://schemas.openxmlformats.org/officeDocument/2006/relationships" ref="J1438" r:id="rId1441"/>
    <hyperlink xmlns:r="http://schemas.openxmlformats.org/officeDocument/2006/relationships" ref="J1439" r:id="rId1442"/>
    <hyperlink xmlns:r="http://schemas.openxmlformats.org/officeDocument/2006/relationships" ref="J1440" r:id="rId1443"/>
    <hyperlink xmlns:r="http://schemas.openxmlformats.org/officeDocument/2006/relationships" ref="J1441" r:id="rId1444"/>
    <hyperlink xmlns:r="http://schemas.openxmlformats.org/officeDocument/2006/relationships" ref="J1442" r:id="rId1445"/>
    <hyperlink xmlns:r="http://schemas.openxmlformats.org/officeDocument/2006/relationships" ref="J1443" r:id="rId1446"/>
    <hyperlink xmlns:r="http://schemas.openxmlformats.org/officeDocument/2006/relationships" ref="J1444" r:id="rId1447"/>
    <hyperlink xmlns:r="http://schemas.openxmlformats.org/officeDocument/2006/relationships" ref="J1445" r:id="rId1448"/>
    <hyperlink xmlns:r="http://schemas.openxmlformats.org/officeDocument/2006/relationships" ref="J1446" r:id="rId1449"/>
    <hyperlink xmlns:r="http://schemas.openxmlformats.org/officeDocument/2006/relationships" ref="J1447" r:id="rId1450"/>
    <hyperlink xmlns:r="http://schemas.openxmlformats.org/officeDocument/2006/relationships" ref="J1448" r:id="rId1451"/>
    <hyperlink xmlns:r="http://schemas.openxmlformats.org/officeDocument/2006/relationships" ref="J1449" r:id="rId1452"/>
    <hyperlink xmlns:r="http://schemas.openxmlformats.org/officeDocument/2006/relationships" ref="J1450" r:id="rId1453"/>
    <hyperlink xmlns:r="http://schemas.openxmlformats.org/officeDocument/2006/relationships" ref="J1451" r:id="rId1454"/>
    <hyperlink xmlns:r="http://schemas.openxmlformats.org/officeDocument/2006/relationships" ref="J1452" r:id="rId1455"/>
    <hyperlink xmlns:r="http://schemas.openxmlformats.org/officeDocument/2006/relationships" ref="J1453" r:id="rId1456"/>
    <hyperlink xmlns:r="http://schemas.openxmlformats.org/officeDocument/2006/relationships" ref="J1454" r:id="rId1457"/>
    <hyperlink xmlns:r="http://schemas.openxmlformats.org/officeDocument/2006/relationships" ref="J1455" r:id="rId1458"/>
    <hyperlink xmlns:r="http://schemas.openxmlformats.org/officeDocument/2006/relationships" ref="J1456" r:id="rId1459"/>
    <hyperlink xmlns:r="http://schemas.openxmlformats.org/officeDocument/2006/relationships" ref="J1457" r:id="rId1460"/>
    <hyperlink xmlns:r="http://schemas.openxmlformats.org/officeDocument/2006/relationships" ref="J1458" r:id="rId1461"/>
    <hyperlink xmlns:r="http://schemas.openxmlformats.org/officeDocument/2006/relationships" ref="J1459" r:id="rId1462"/>
    <hyperlink xmlns:r="http://schemas.openxmlformats.org/officeDocument/2006/relationships" ref="J1460" r:id="rId1463"/>
    <hyperlink xmlns:r="http://schemas.openxmlformats.org/officeDocument/2006/relationships" ref="J1461" r:id="rId1464"/>
    <hyperlink xmlns:r="http://schemas.openxmlformats.org/officeDocument/2006/relationships" ref="J1462" r:id="rId1465"/>
    <hyperlink xmlns:r="http://schemas.openxmlformats.org/officeDocument/2006/relationships" ref="J1463" r:id="rId1466"/>
    <hyperlink xmlns:r="http://schemas.openxmlformats.org/officeDocument/2006/relationships" ref="J1464" r:id="rId1467"/>
    <hyperlink xmlns:r="http://schemas.openxmlformats.org/officeDocument/2006/relationships" ref="J1465" r:id="rId1468"/>
    <hyperlink xmlns:r="http://schemas.openxmlformats.org/officeDocument/2006/relationships" ref="J1466" r:id="rId1469"/>
    <hyperlink xmlns:r="http://schemas.openxmlformats.org/officeDocument/2006/relationships" ref="J1467" r:id="rId1470"/>
    <hyperlink xmlns:r="http://schemas.openxmlformats.org/officeDocument/2006/relationships" ref="J1468" r:id="rId1471"/>
    <hyperlink xmlns:r="http://schemas.openxmlformats.org/officeDocument/2006/relationships" ref="J1469" r:id="rId1472"/>
    <hyperlink xmlns:r="http://schemas.openxmlformats.org/officeDocument/2006/relationships" ref="J1470" r:id="rId1473"/>
    <hyperlink xmlns:r="http://schemas.openxmlformats.org/officeDocument/2006/relationships" ref="J1471" r:id="rId1474"/>
    <hyperlink xmlns:r="http://schemas.openxmlformats.org/officeDocument/2006/relationships" ref="J1472" r:id="rId1475"/>
    <hyperlink xmlns:r="http://schemas.openxmlformats.org/officeDocument/2006/relationships" ref="J1473" r:id="rId1476"/>
    <hyperlink xmlns:r="http://schemas.openxmlformats.org/officeDocument/2006/relationships" ref="J1474" r:id="rId1477"/>
    <hyperlink xmlns:r="http://schemas.openxmlformats.org/officeDocument/2006/relationships" ref="J1475" r:id="rId1478"/>
    <hyperlink xmlns:r="http://schemas.openxmlformats.org/officeDocument/2006/relationships" ref="J1476" r:id="rId1479"/>
    <hyperlink xmlns:r="http://schemas.openxmlformats.org/officeDocument/2006/relationships" ref="J1477" r:id="rId1480"/>
    <hyperlink xmlns:r="http://schemas.openxmlformats.org/officeDocument/2006/relationships" ref="J1478" r:id="rId1481"/>
    <hyperlink xmlns:r="http://schemas.openxmlformats.org/officeDocument/2006/relationships" ref="J1479" r:id="rId1482"/>
    <hyperlink xmlns:r="http://schemas.openxmlformats.org/officeDocument/2006/relationships" ref="J1480" r:id="rId1483"/>
    <hyperlink xmlns:r="http://schemas.openxmlformats.org/officeDocument/2006/relationships" ref="J1481" r:id="rId1484"/>
    <hyperlink xmlns:r="http://schemas.openxmlformats.org/officeDocument/2006/relationships" ref="J1482" r:id="rId1485"/>
    <hyperlink xmlns:r="http://schemas.openxmlformats.org/officeDocument/2006/relationships" ref="J1483" r:id="rId1486"/>
    <hyperlink xmlns:r="http://schemas.openxmlformats.org/officeDocument/2006/relationships" ref="J1484" r:id="rId1487"/>
    <hyperlink xmlns:r="http://schemas.openxmlformats.org/officeDocument/2006/relationships" ref="J1485" r:id="rId1488"/>
    <hyperlink xmlns:r="http://schemas.openxmlformats.org/officeDocument/2006/relationships" ref="J1486" r:id="rId1489"/>
    <hyperlink xmlns:r="http://schemas.openxmlformats.org/officeDocument/2006/relationships" ref="J1487" r:id="rId1490"/>
    <hyperlink xmlns:r="http://schemas.openxmlformats.org/officeDocument/2006/relationships" ref="J1488" r:id="rId1491"/>
    <hyperlink xmlns:r="http://schemas.openxmlformats.org/officeDocument/2006/relationships" ref="J1489" r:id="rId1492"/>
    <hyperlink xmlns:r="http://schemas.openxmlformats.org/officeDocument/2006/relationships" ref="J1490" r:id="rId1493"/>
    <hyperlink xmlns:r="http://schemas.openxmlformats.org/officeDocument/2006/relationships" ref="J1491" r:id="rId1494"/>
    <hyperlink xmlns:r="http://schemas.openxmlformats.org/officeDocument/2006/relationships" ref="J1492" r:id="rId1495"/>
    <hyperlink xmlns:r="http://schemas.openxmlformats.org/officeDocument/2006/relationships" ref="J1493" r:id="rId1496"/>
    <hyperlink xmlns:r="http://schemas.openxmlformats.org/officeDocument/2006/relationships" ref="J1494" r:id="rId1497"/>
    <hyperlink xmlns:r="http://schemas.openxmlformats.org/officeDocument/2006/relationships" ref="J1495" r:id="rId1498"/>
    <hyperlink xmlns:r="http://schemas.openxmlformats.org/officeDocument/2006/relationships" ref="J1496" r:id="rId1499"/>
    <hyperlink xmlns:r="http://schemas.openxmlformats.org/officeDocument/2006/relationships" ref="J1497" r:id="rId1500"/>
    <hyperlink xmlns:r="http://schemas.openxmlformats.org/officeDocument/2006/relationships" ref="J1498" r:id="rId1501"/>
    <hyperlink xmlns:r="http://schemas.openxmlformats.org/officeDocument/2006/relationships" ref="J1499" r:id="rId1502"/>
    <hyperlink xmlns:r="http://schemas.openxmlformats.org/officeDocument/2006/relationships" ref="J1500" r:id="rId1503"/>
    <hyperlink xmlns:r="http://schemas.openxmlformats.org/officeDocument/2006/relationships" ref="J1501" r:id="rId1504"/>
    <hyperlink xmlns:r="http://schemas.openxmlformats.org/officeDocument/2006/relationships" ref="J1502" r:id="rId1505"/>
    <hyperlink xmlns:r="http://schemas.openxmlformats.org/officeDocument/2006/relationships" ref="J1503" r:id="rId1506"/>
    <hyperlink xmlns:r="http://schemas.openxmlformats.org/officeDocument/2006/relationships" ref="J1504" r:id="rId1507"/>
    <hyperlink xmlns:r="http://schemas.openxmlformats.org/officeDocument/2006/relationships" ref="J1505" r:id="rId1508"/>
    <hyperlink xmlns:r="http://schemas.openxmlformats.org/officeDocument/2006/relationships" ref="J1506" r:id="rId1509"/>
    <hyperlink xmlns:r="http://schemas.openxmlformats.org/officeDocument/2006/relationships" ref="J1507" r:id="rId1510"/>
    <hyperlink xmlns:r="http://schemas.openxmlformats.org/officeDocument/2006/relationships" ref="J1508" r:id="rId1511"/>
    <hyperlink xmlns:r="http://schemas.openxmlformats.org/officeDocument/2006/relationships" ref="J1509" r:id="rId1512"/>
    <hyperlink xmlns:r="http://schemas.openxmlformats.org/officeDocument/2006/relationships" ref="J1510" r:id="rId1513"/>
    <hyperlink xmlns:r="http://schemas.openxmlformats.org/officeDocument/2006/relationships" ref="J1511" r:id="rId1514"/>
    <hyperlink xmlns:r="http://schemas.openxmlformats.org/officeDocument/2006/relationships" ref="J1512" r:id="rId1515"/>
    <hyperlink xmlns:r="http://schemas.openxmlformats.org/officeDocument/2006/relationships" ref="J1513" r:id="rId1516"/>
    <hyperlink xmlns:r="http://schemas.openxmlformats.org/officeDocument/2006/relationships" ref="J1514" r:id="rId1517"/>
    <hyperlink xmlns:r="http://schemas.openxmlformats.org/officeDocument/2006/relationships" ref="J1515" r:id="rId1518"/>
    <hyperlink xmlns:r="http://schemas.openxmlformats.org/officeDocument/2006/relationships" ref="J1516" r:id="rId1519"/>
    <hyperlink xmlns:r="http://schemas.openxmlformats.org/officeDocument/2006/relationships" ref="J1517" r:id="rId1520"/>
    <hyperlink xmlns:r="http://schemas.openxmlformats.org/officeDocument/2006/relationships" ref="J1518" r:id="rId1521"/>
    <hyperlink xmlns:r="http://schemas.openxmlformats.org/officeDocument/2006/relationships" ref="J1519" r:id="rId1522"/>
    <hyperlink xmlns:r="http://schemas.openxmlformats.org/officeDocument/2006/relationships" ref="J1520" r:id="rId1523"/>
    <hyperlink xmlns:r="http://schemas.openxmlformats.org/officeDocument/2006/relationships" ref="J1521" r:id="rId1524"/>
    <hyperlink xmlns:r="http://schemas.openxmlformats.org/officeDocument/2006/relationships" ref="J1522" r:id="rId1525"/>
    <hyperlink xmlns:r="http://schemas.openxmlformats.org/officeDocument/2006/relationships" ref="J1523" r:id="rId1526"/>
    <hyperlink xmlns:r="http://schemas.openxmlformats.org/officeDocument/2006/relationships" ref="J1524" r:id="rId1527"/>
    <hyperlink xmlns:r="http://schemas.openxmlformats.org/officeDocument/2006/relationships" ref="J1525" r:id="rId1528"/>
    <hyperlink xmlns:r="http://schemas.openxmlformats.org/officeDocument/2006/relationships" ref="J1526" r:id="rId1529"/>
    <hyperlink xmlns:r="http://schemas.openxmlformats.org/officeDocument/2006/relationships" ref="J1527" r:id="rId1530"/>
    <hyperlink xmlns:r="http://schemas.openxmlformats.org/officeDocument/2006/relationships" ref="J1528" r:id="rId1531"/>
    <hyperlink xmlns:r="http://schemas.openxmlformats.org/officeDocument/2006/relationships" ref="J1529" r:id="rId1532"/>
    <hyperlink xmlns:r="http://schemas.openxmlformats.org/officeDocument/2006/relationships" ref="J1530" r:id="rId1533"/>
    <hyperlink xmlns:r="http://schemas.openxmlformats.org/officeDocument/2006/relationships" ref="J1531" r:id="rId1534"/>
    <hyperlink xmlns:r="http://schemas.openxmlformats.org/officeDocument/2006/relationships" ref="J1532" r:id="rId1535"/>
    <hyperlink xmlns:r="http://schemas.openxmlformats.org/officeDocument/2006/relationships" ref="J1533" r:id="rId1536"/>
    <hyperlink xmlns:r="http://schemas.openxmlformats.org/officeDocument/2006/relationships" ref="J1534" r:id="rId1537"/>
    <hyperlink xmlns:r="http://schemas.openxmlformats.org/officeDocument/2006/relationships" ref="J1535" r:id="rId1538"/>
    <hyperlink xmlns:r="http://schemas.openxmlformats.org/officeDocument/2006/relationships" ref="J1536" r:id="rId1539"/>
    <hyperlink xmlns:r="http://schemas.openxmlformats.org/officeDocument/2006/relationships" ref="J1537" r:id="rId1540"/>
    <hyperlink xmlns:r="http://schemas.openxmlformats.org/officeDocument/2006/relationships" ref="J1538" r:id="rId1541"/>
    <hyperlink xmlns:r="http://schemas.openxmlformats.org/officeDocument/2006/relationships" ref="J1539" r:id="rId1542"/>
    <hyperlink xmlns:r="http://schemas.openxmlformats.org/officeDocument/2006/relationships" ref="J1540" r:id="rId1543"/>
    <hyperlink xmlns:r="http://schemas.openxmlformats.org/officeDocument/2006/relationships" ref="J1541" r:id="rId1544"/>
    <hyperlink xmlns:r="http://schemas.openxmlformats.org/officeDocument/2006/relationships" ref="J1542" r:id="rId1545"/>
    <hyperlink xmlns:r="http://schemas.openxmlformats.org/officeDocument/2006/relationships" ref="J1543" r:id="rId1546"/>
    <hyperlink xmlns:r="http://schemas.openxmlformats.org/officeDocument/2006/relationships" ref="J1544" r:id="rId1547"/>
    <hyperlink xmlns:r="http://schemas.openxmlformats.org/officeDocument/2006/relationships" ref="J1545" r:id="rId1548"/>
    <hyperlink xmlns:r="http://schemas.openxmlformats.org/officeDocument/2006/relationships" ref="J1546" r:id="rId1549"/>
    <hyperlink xmlns:r="http://schemas.openxmlformats.org/officeDocument/2006/relationships" ref="J1547" r:id="rId1550"/>
    <hyperlink xmlns:r="http://schemas.openxmlformats.org/officeDocument/2006/relationships" ref="J1548" r:id="rId1551"/>
    <hyperlink xmlns:r="http://schemas.openxmlformats.org/officeDocument/2006/relationships" ref="J1549" r:id="rId1552"/>
    <hyperlink xmlns:r="http://schemas.openxmlformats.org/officeDocument/2006/relationships" ref="J1550" r:id="rId1553"/>
    <hyperlink xmlns:r="http://schemas.openxmlformats.org/officeDocument/2006/relationships" ref="J1551" r:id="rId1554"/>
    <hyperlink xmlns:r="http://schemas.openxmlformats.org/officeDocument/2006/relationships" ref="J1552" r:id="rId1555"/>
    <hyperlink xmlns:r="http://schemas.openxmlformats.org/officeDocument/2006/relationships" ref="J1553" r:id="rId1556"/>
    <hyperlink xmlns:r="http://schemas.openxmlformats.org/officeDocument/2006/relationships" ref="J1554" r:id="rId1557"/>
    <hyperlink xmlns:r="http://schemas.openxmlformats.org/officeDocument/2006/relationships" ref="J1555" r:id="rId1558"/>
    <hyperlink xmlns:r="http://schemas.openxmlformats.org/officeDocument/2006/relationships" ref="J1556" r:id="rId1559"/>
    <hyperlink xmlns:r="http://schemas.openxmlformats.org/officeDocument/2006/relationships" ref="J1557" r:id="rId1560"/>
    <hyperlink xmlns:r="http://schemas.openxmlformats.org/officeDocument/2006/relationships" ref="J1558" r:id="rId1561"/>
    <hyperlink xmlns:r="http://schemas.openxmlformats.org/officeDocument/2006/relationships" ref="J1559" r:id="rId1562"/>
    <hyperlink xmlns:r="http://schemas.openxmlformats.org/officeDocument/2006/relationships" ref="J1560" r:id="rId1563"/>
    <hyperlink xmlns:r="http://schemas.openxmlformats.org/officeDocument/2006/relationships" ref="J1561" r:id="rId1564"/>
    <hyperlink xmlns:r="http://schemas.openxmlformats.org/officeDocument/2006/relationships" ref="J1562" r:id="rId1565"/>
    <hyperlink xmlns:r="http://schemas.openxmlformats.org/officeDocument/2006/relationships" ref="J1563" r:id="rId1566"/>
    <hyperlink xmlns:r="http://schemas.openxmlformats.org/officeDocument/2006/relationships" ref="J1564" r:id="rId1567"/>
    <hyperlink xmlns:r="http://schemas.openxmlformats.org/officeDocument/2006/relationships" ref="J1565" r:id="rId1568"/>
    <hyperlink xmlns:r="http://schemas.openxmlformats.org/officeDocument/2006/relationships" ref="J1566" r:id="rId1569"/>
    <hyperlink xmlns:r="http://schemas.openxmlformats.org/officeDocument/2006/relationships" ref="J1567" r:id="rId1570"/>
    <hyperlink xmlns:r="http://schemas.openxmlformats.org/officeDocument/2006/relationships" ref="J1568" r:id="rId1571"/>
    <hyperlink xmlns:r="http://schemas.openxmlformats.org/officeDocument/2006/relationships" ref="J1569" r:id="rId1572"/>
    <hyperlink xmlns:r="http://schemas.openxmlformats.org/officeDocument/2006/relationships" ref="J1570" r:id="rId1573"/>
    <hyperlink xmlns:r="http://schemas.openxmlformats.org/officeDocument/2006/relationships" ref="J1571" r:id="rId1574"/>
    <hyperlink xmlns:r="http://schemas.openxmlformats.org/officeDocument/2006/relationships" ref="J1572" r:id="rId1575"/>
    <hyperlink xmlns:r="http://schemas.openxmlformats.org/officeDocument/2006/relationships" ref="J1573" r:id="rId1576"/>
    <hyperlink xmlns:r="http://schemas.openxmlformats.org/officeDocument/2006/relationships" ref="J1574" r:id="rId1577"/>
    <hyperlink xmlns:r="http://schemas.openxmlformats.org/officeDocument/2006/relationships" ref="J1575" r:id="rId1578"/>
    <hyperlink xmlns:r="http://schemas.openxmlformats.org/officeDocument/2006/relationships" ref="J1576" r:id="rId1579"/>
    <hyperlink xmlns:r="http://schemas.openxmlformats.org/officeDocument/2006/relationships" ref="J1577" r:id="rId1580"/>
    <hyperlink xmlns:r="http://schemas.openxmlformats.org/officeDocument/2006/relationships" ref="J1578" r:id="rId1581"/>
    <hyperlink xmlns:r="http://schemas.openxmlformats.org/officeDocument/2006/relationships" ref="J1579" r:id="rId1582"/>
    <hyperlink xmlns:r="http://schemas.openxmlformats.org/officeDocument/2006/relationships" ref="J1580" r:id="rId1583"/>
    <hyperlink xmlns:r="http://schemas.openxmlformats.org/officeDocument/2006/relationships" ref="J1581" r:id="rId1584"/>
    <hyperlink xmlns:r="http://schemas.openxmlformats.org/officeDocument/2006/relationships" ref="J1582" r:id="rId1585"/>
    <hyperlink xmlns:r="http://schemas.openxmlformats.org/officeDocument/2006/relationships" ref="J1583" r:id="rId1586"/>
    <hyperlink xmlns:r="http://schemas.openxmlformats.org/officeDocument/2006/relationships" ref="J1584" r:id="rId1587"/>
    <hyperlink xmlns:r="http://schemas.openxmlformats.org/officeDocument/2006/relationships" ref="J1585" r:id="rId1588"/>
    <hyperlink xmlns:r="http://schemas.openxmlformats.org/officeDocument/2006/relationships" ref="J1586" r:id="rId1589"/>
    <hyperlink xmlns:r="http://schemas.openxmlformats.org/officeDocument/2006/relationships" ref="J1587" r:id="rId1590"/>
    <hyperlink xmlns:r="http://schemas.openxmlformats.org/officeDocument/2006/relationships" ref="J1588" r:id="rId1591"/>
    <hyperlink xmlns:r="http://schemas.openxmlformats.org/officeDocument/2006/relationships" ref="J1589" r:id="rId1592"/>
    <hyperlink xmlns:r="http://schemas.openxmlformats.org/officeDocument/2006/relationships" ref="J1590" r:id="rId1593"/>
    <hyperlink xmlns:r="http://schemas.openxmlformats.org/officeDocument/2006/relationships" ref="J1591" r:id="rId1594"/>
    <hyperlink xmlns:r="http://schemas.openxmlformats.org/officeDocument/2006/relationships" ref="J1592" r:id="rId1595"/>
    <hyperlink xmlns:r="http://schemas.openxmlformats.org/officeDocument/2006/relationships" ref="J1593" r:id="rId1596"/>
    <hyperlink xmlns:r="http://schemas.openxmlformats.org/officeDocument/2006/relationships" ref="J1594" r:id="rId1597"/>
    <hyperlink xmlns:r="http://schemas.openxmlformats.org/officeDocument/2006/relationships" ref="J1595" r:id="rId1598"/>
    <hyperlink xmlns:r="http://schemas.openxmlformats.org/officeDocument/2006/relationships" ref="J1596" r:id="rId1599"/>
    <hyperlink xmlns:r="http://schemas.openxmlformats.org/officeDocument/2006/relationships" ref="J1597" r:id="rId1600"/>
    <hyperlink xmlns:r="http://schemas.openxmlformats.org/officeDocument/2006/relationships" ref="J1598" r:id="rId1601"/>
    <hyperlink xmlns:r="http://schemas.openxmlformats.org/officeDocument/2006/relationships" ref="J1599" r:id="rId1602"/>
    <hyperlink xmlns:r="http://schemas.openxmlformats.org/officeDocument/2006/relationships" ref="J1600" r:id="rId1603"/>
    <hyperlink xmlns:r="http://schemas.openxmlformats.org/officeDocument/2006/relationships" ref="J1601" r:id="rId1604"/>
    <hyperlink xmlns:r="http://schemas.openxmlformats.org/officeDocument/2006/relationships" ref="J1602" r:id="rId1605"/>
    <hyperlink xmlns:r="http://schemas.openxmlformats.org/officeDocument/2006/relationships" ref="J1603" r:id="rId1606"/>
    <hyperlink xmlns:r="http://schemas.openxmlformats.org/officeDocument/2006/relationships" ref="J1604" r:id="rId1607"/>
    <hyperlink xmlns:r="http://schemas.openxmlformats.org/officeDocument/2006/relationships" ref="J1605" r:id="rId1608"/>
    <hyperlink xmlns:r="http://schemas.openxmlformats.org/officeDocument/2006/relationships" ref="J1606" r:id="rId1609"/>
    <hyperlink xmlns:r="http://schemas.openxmlformats.org/officeDocument/2006/relationships" ref="J1607" r:id="rId1610"/>
    <hyperlink xmlns:r="http://schemas.openxmlformats.org/officeDocument/2006/relationships" ref="J1608" r:id="rId1611"/>
    <hyperlink xmlns:r="http://schemas.openxmlformats.org/officeDocument/2006/relationships" ref="J1609" r:id="rId1612"/>
    <hyperlink xmlns:r="http://schemas.openxmlformats.org/officeDocument/2006/relationships" ref="J1610" r:id="rId1613"/>
    <hyperlink xmlns:r="http://schemas.openxmlformats.org/officeDocument/2006/relationships" ref="J1611" r:id="rId1614"/>
    <hyperlink xmlns:r="http://schemas.openxmlformats.org/officeDocument/2006/relationships" ref="J1612" r:id="rId1615"/>
    <hyperlink xmlns:r="http://schemas.openxmlformats.org/officeDocument/2006/relationships" ref="J1613" r:id="rId1616"/>
    <hyperlink xmlns:r="http://schemas.openxmlformats.org/officeDocument/2006/relationships" ref="J1614" r:id="rId1617"/>
    <hyperlink xmlns:r="http://schemas.openxmlformats.org/officeDocument/2006/relationships" ref="J1615" r:id="rId1618"/>
    <hyperlink xmlns:r="http://schemas.openxmlformats.org/officeDocument/2006/relationships" ref="J1616" r:id="rId1619"/>
    <hyperlink xmlns:r="http://schemas.openxmlformats.org/officeDocument/2006/relationships" ref="J1617" r:id="rId1620"/>
    <hyperlink xmlns:r="http://schemas.openxmlformats.org/officeDocument/2006/relationships" ref="J1618" r:id="rId1621"/>
    <hyperlink xmlns:r="http://schemas.openxmlformats.org/officeDocument/2006/relationships" ref="J1619" r:id="rId1622"/>
    <hyperlink xmlns:r="http://schemas.openxmlformats.org/officeDocument/2006/relationships" ref="J1620" r:id="rId1623"/>
    <hyperlink xmlns:r="http://schemas.openxmlformats.org/officeDocument/2006/relationships" ref="J1621" r:id="rId1624"/>
    <hyperlink xmlns:r="http://schemas.openxmlformats.org/officeDocument/2006/relationships" ref="J1622" r:id="rId1625"/>
    <hyperlink xmlns:r="http://schemas.openxmlformats.org/officeDocument/2006/relationships" ref="J1623" r:id="rId1626"/>
    <hyperlink xmlns:r="http://schemas.openxmlformats.org/officeDocument/2006/relationships" ref="J1624" r:id="rId1627"/>
    <hyperlink xmlns:r="http://schemas.openxmlformats.org/officeDocument/2006/relationships" ref="J1625" r:id="rId1628"/>
    <hyperlink xmlns:r="http://schemas.openxmlformats.org/officeDocument/2006/relationships" ref="J1626" r:id="rId1629"/>
    <hyperlink xmlns:r="http://schemas.openxmlformats.org/officeDocument/2006/relationships" ref="J1627" r:id="rId1630"/>
    <hyperlink xmlns:r="http://schemas.openxmlformats.org/officeDocument/2006/relationships" ref="J1628" r:id="rId1631"/>
    <hyperlink xmlns:r="http://schemas.openxmlformats.org/officeDocument/2006/relationships" ref="J1629" r:id="rId1632"/>
    <hyperlink xmlns:r="http://schemas.openxmlformats.org/officeDocument/2006/relationships" ref="J1630" r:id="rId1633"/>
    <hyperlink xmlns:r="http://schemas.openxmlformats.org/officeDocument/2006/relationships" ref="J1631" r:id="rId1634"/>
  </hyperlinks>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tabColor rgb="00565B64"/>
    <outlinePr summaryBelow="0" summaryRight="0"/>
    <pageSetUpPr fitToPage="1"/>
  </sheetPr>
  <dimension ref="A1:M11"/>
  <sheetViews>
    <sheetView showGridLines="0" tabSelected="0" topLeftCell="A1" zoomScale="100" zoomScaleNormal="100" workbookViewId="0">
      <pane ySplit="7" topLeftCell="A8" activePane="bottomLeft" state="frozen"/>
      <selection pane="bottomLeft" activeCell="A1" sqref="A1"/>
    </sheetView>
  </sheetViews>
  <sheetFormatPr baseColWidth="8" defaultRowHeight="15"/>
  <cols>
    <col width="28" customWidth="1" min="1" max="1"/>
    <col width="20" customWidth="1" min="2" max="2"/>
    <col width="16" customWidth="1" min="3" max="3"/>
    <col width="18" customWidth="1" min="4" max="4"/>
    <col width="10" customWidth="1" min="5" max="5"/>
    <col width="32" customWidth="1" min="6" max="6"/>
    <col width="22" customWidth="1" min="7" max="7"/>
    <col width="20" customWidth="1" min="8" max="8"/>
    <col width="20" customWidth="1" min="9" max="9"/>
    <col width="34" customWidth="1" min="10" max="10"/>
    <col width="14" customWidth="1" min="11" max="11"/>
    <col width="28" customWidth="1" min="12" max="12"/>
    <col width="13" customWidth="1" min="13" max="13"/>
    <col width="13" customWidth="1" min="14" max="14"/>
  </cols>
  <sheetData>
    <row r="1" ht="33.2" customHeight="1">
      <c r="A1" s="9" t="inlineStr">
        <is>
          <t>SOURCES &amp; PROVENANCE</t>
        </is>
      </c>
    </row>
    <row r="2" ht="35.92" customHeight="1">
      <c r="A2" s="10" t="inlineStr">
        <is>
          <t>The information boundary of this workbook. Supplied evidence is not the same as established interpretation.</t>
        </is>
      </c>
    </row>
    <row r="3" ht="19" customHeight="1">
      <c r="A3" s="11" t="inlineStr">
        <is>
          <t>Executive</t>
        </is>
      </c>
      <c r="B3" s="11" t="inlineStr">
        <is>
          <t>Issues</t>
        </is>
      </c>
      <c r="C3" s="11" t="inlineStr">
        <is>
          <t>Integration</t>
        </is>
      </c>
      <c r="D3" s="11" t="inlineStr">
        <is>
          <t>Project</t>
        </is>
      </c>
      <c r="E3" s="11" t="inlineStr">
        <is>
          <t>Changes</t>
        </is>
      </c>
      <c r="F3" s="11" t="inlineStr">
        <is>
          <t>Crosswalk</t>
        </is>
      </c>
      <c r="G3" s="11" t="inlineStr">
        <is>
          <t>Evidence</t>
        </is>
      </c>
      <c r="H3" s="11" t="inlineStr">
        <is>
          <t>Sources</t>
        </is>
      </c>
    </row>
    <row r="4"/>
    <row r="5" ht="49" customHeight="1">
      <c r="A5" s="4" t="inlineStr">
        <is>
          <t>Project source-representation integrity</t>
        </is>
      </c>
      <c r="B5" s="61" t="inlineStr">
        <is>
          <t>Established</t>
        </is>
      </c>
    </row>
    <row r="6"/>
    <row r="7" ht="34" customHeight="1">
      <c r="A7" s="12" t="inlineStr">
        <is>
          <t>Source</t>
        </is>
      </c>
      <c r="B7" s="12" t="inlineStr">
        <is>
          <t>Governed role</t>
        </is>
      </c>
      <c r="C7" s="12" t="inlineStr">
        <is>
          <t>Revision</t>
        </is>
      </c>
      <c r="D7" s="12" t="inlineStr">
        <is>
          <t>Reporting period</t>
        </is>
      </c>
      <c r="E7" s="12" t="inlineStr">
        <is>
          <t>Rows</t>
        </is>
      </c>
      <c r="F7" s="12" t="inlineStr">
        <is>
          <t>Role basis</t>
        </is>
      </c>
      <c r="G7" s="12" t="inlineStr">
        <is>
          <t>Role validity</t>
        </is>
      </c>
      <c r="H7" s="12" t="inlineStr">
        <is>
          <t>Table boundary</t>
        </is>
      </c>
      <c r="I7" s="12" t="inlineStr">
        <is>
          <t>Interpretation</t>
        </is>
      </c>
      <c r="J7" s="12" t="inlineStr">
        <is>
          <t>Interpretation basis</t>
        </is>
      </c>
      <c r="K7" s="12" t="inlineStr">
        <is>
          <t>Format</t>
        </is>
      </c>
      <c r="L7" s="12" t="inlineStr">
        <is>
          <t>File integrity</t>
        </is>
      </c>
    </row>
    <row r="8" ht="64" customHeight="1">
      <c r="A8" s="23" t="inlineStr">
        <is>
          <t>Commercial Package Register</t>
        </is>
      </c>
      <c r="B8" s="23" t="inlineStr">
        <is>
          <t>WORK_PACKAGE_LIST</t>
        </is>
      </c>
      <c r="C8" s="23" t="inlineStr">
        <is>
          <t>Rev 1</t>
        </is>
      </c>
      <c r="D8" s="23" t="inlineStr">
        <is>
          <t>Commercial Package Register Cycle 2</t>
        </is>
      </c>
      <c r="E8" s="36" t="n">
        <v>60</v>
      </c>
      <c r="F8" s="23" t="inlineStr">
        <is>
          <t>declared at upload</t>
        </is>
      </c>
      <c r="G8" s="23" t="inlineStr">
        <is>
          <t>RETAINED</t>
        </is>
      </c>
      <c r="H8" s="23" t="inlineStr">
        <is>
          <t>ESTABLISHED</t>
        </is>
      </c>
      <c r="I8" s="23" t="inlineStr">
        <is>
          <t>TABLE</t>
        </is>
      </c>
      <c r="J8" s="23" t="inlineStr">
        <is>
          <t>SOURCE_NATIVE_SCHEMA</t>
        </is>
      </c>
      <c r="K8" s="23" t="inlineStr">
        <is>
          <t>xlsx</t>
        </is>
      </c>
      <c r="L8" s="23" t="inlineStr">
        <is>
          <t>SOURCE_REPRESENTATION_ESTABLISHED</t>
        </is>
      </c>
      <c r="M8" s="16" t="n"/>
    </row>
    <row r="9" ht="49" customHeight="1">
      <c r="A9" s="23" t="inlineStr">
        <is>
          <t>Contractor Programme</t>
        </is>
      </c>
      <c r="B9" s="23" t="inlineStr">
        <is>
          <t>SCHEDULE</t>
        </is>
      </c>
      <c r="C9" s="23" t="inlineStr">
        <is>
          <t>Rev 1</t>
        </is>
      </c>
      <c r="D9" s="23" t="inlineStr">
        <is>
          <t>Contractor Programme Cycle 2</t>
        </is>
      </c>
      <c r="E9" s="36" t="n">
        <v>1082</v>
      </c>
      <c r="F9" s="23" t="inlineStr">
        <is>
          <t>declared at upload</t>
        </is>
      </c>
      <c r="G9" s="23" t="inlineStr">
        <is>
          <t>RETAINED</t>
        </is>
      </c>
      <c r="H9" s="23" t="inlineStr">
        <is>
          <t>ESTABLISHED</t>
        </is>
      </c>
      <c r="I9" s="23" t="inlineStr">
        <is>
          <t>TABLE</t>
        </is>
      </c>
      <c r="J9" s="23" t="inlineStr">
        <is>
          <t>DETERMINISTIC_SEMANTIC_RELATION</t>
        </is>
      </c>
      <c r="K9" s="23" t="inlineStr">
        <is>
          <t>csv</t>
        </is>
      </c>
      <c r="L9" s="23" t="inlineStr">
        <is>
          <t>SOURCE_REPRESENTATION_ESTABLISHED</t>
        </is>
      </c>
      <c r="M9" s="16" t="n"/>
    </row>
    <row r="10" ht="64" customHeight="1">
      <c r="A10" s="23" t="inlineStr">
        <is>
          <t>Cost &amp; Forecast Control Accounts</t>
        </is>
      </c>
      <c r="B10" s="23" t="inlineStr">
        <is>
          <t>COST_ESTIMATE</t>
        </is>
      </c>
      <c r="C10" s="23" t="inlineStr">
        <is>
          <t>Rev 1</t>
        </is>
      </c>
      <c r="D10" s="23" t="inlineStr">
        <is>
          <t>Cost &amp; Forecast Control Accounts Cycle 2</t>
        </is>
      </c>
      <c r="E10" s="36" t="n">
        <v>480</v>
      </c>
      <c r="F10" s="23" t="inlineStr">
        <is>
          <t>declared at upload</t>
        </is>
      </c>
      <c r="G10" s="23" t="inlineStr">
        <is>
          <t>RETAINED</t>
        </is>
      </c>
      <c r="H10" s="23" t="inlineStr">
        <is>
          <t>ESTABLISHED</t>
        </is>
      </c>
      <c r="I10" s="23" t="inlineStr">
        <is>
          <t>TABLE</t>
        </is>
      </c>
      <c r="J10" s="23" t="inlineStr">
        <is>
          <t>DETERMINISTIC_SEMANTIC_RELATION</t>
        </is>
      </c>
      <c r="K10" s="23" t="inlineStr">
        <is>
          <t>xlsx</t>
        </is>
      </c>
      <c r="L10" s="23" t="inlineStr">
        <is>
          <t>SOURCE_REPRESENTATION_ESTABLISHED</t>
        </is>
      </c>
      <c r="M10" s="16" t="n"/>
    </row>
    <row r="11" ht="34" customHeight="1">
      <c r="A11" s="23" t="inlineStr">
        <is>
          <t>Owner WBS</t>
        </is>
      </c>
      <c r="B11" s="23" t="inlineStr">
        <is>
          <t>WBS_DICTIONARY</t>
        </is>
      </c>
      <c r="C11" s="23" t="inlineStr">
        <is>
          <t>Rev 0</t>
        </is>
      </c>
      <c r="D11" s="23" t="inlineStr">
        <is>
          <t>Initial</t>
        </is>
      </c>
      <c r="E11" s="36" t="n">
        <v>79</v>
      </c>
      <c r="F11" s="23" t="inlineStr">
        <is>
          <t>declared at upload</t>
        </is>
      </c>
      <c r="G11" s="23" t="inlineStr">
        <is>
          <t>AS_SUPPLIED</t>
        </is>
      </c>
      <c r="H11" s="23" t="inlineStr">
        <is>
          <t>ESTABLISHED</t>
        </is>
      </c>
      <c r="I11" s="23" t="inlineStr">
        <is>
          <t>TABLE</t>
        </is>
      </c>
      <c r="J11" s="23" t="inlineStr">
        <is>
          <t>DETERMINISTIC_SEMANTIC_RELATION</t>
        </is>
      </c>
      <c r="K11" s="23" t="inlineStr">
        <is>
          <t>xlsx</t>
        </is>
      </c>
      <c r="L11" s="23" t="inlineStr">
        <is>
          <t>SOURCE_REPRESENTATION_ESTABLISHED</t>
        </is>
      </c>
      <c r="M11" s="16" t="n"/>
    </row>
  </sheetData>
  <mergeCells count="6">
    <mergeCell ref="A1:D1"/>
    <mergeCell ref="L10:M10"/>
    <mergeCell ref="L11:M11"/>
    <mergeCell ref="A2:D2"/>
    <mergeCell ref="L8:M8"/>
    <mergeCell ref="L9:M9"/>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s>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tabColor rgb="00565B64"/>
    <outlinePr summaryBelow="0" summaryRight="0"/>
    <pageSetUpPr fitToPage="1"/>
  </sheetPr>
  <dimension ref="A1:I32"/>
  <sheetViews>
    <sheetView showGridLines="0" tabSelected="0" topLeftCell="A1" zoomScale="100" zoomScaleNormal="100" workbookViewId="0">
      <pane ySplit="3" topLeftCell="A4" activePane="bottomLeft" state="frozen"/>
      <selection pane="bottomLeft" activeCell="A1" sqref="A1"/>
    </sheetView>
  </sheetViews>
  <sheetFormatPr baseColWidth="8" defaultRowHeight="15"/>
  <cols>
    <col width="30" customWidth="1" min="1" max="1"/>
    <col width="32" customWidth="1" min="2" max="2"/>
    <col width="46" customWidth="1" min="3" max="3"/>
    <col width="46" customWidth="1" min="4" max="4"/>
    <col width="45" customWidth="1" min="5" max="5"/>
    <col width="46" customWidth="1" min="6" max="6"/>
    <col width="45" customWidth="1" min="7" max="7"/>
    <col width="12" customWidth="1" min="8" max="8"/>
    <col width="14" customWidth="1" min="9" max="9"/>
  </cols>
  <sheetData>
    <row r="1" ht="33.2" customHeight="1">
      <c r="A1" s="9" t="inlineStr">
        <is>
          <t>ASSURANCE</t>
        </is>
      </c>
    </row>
    <row r="2" ht="26" customHeight="1">
      <c r="A2" s="10" t="inlineStr">
        <is>
          <t>Exact governance detail and output boundaries. This sheet supports review; it does not create authority.</t>
        </is>
      </c>
    </row>
    <row r="3" ht="19" customHeight="1">
      <c r="A3" s="11" t="inlineStr">
        <is>
          <t>Executive</t>
        </is>
      </c>
      <c r="B3" s="11" t="inlineStr">
        <is>
          <t>Issues</t>
        </is>
      </c>
      <c r="C3" s="11" t="inlineStr">
        <is>
          <t>Integration</t>
        </is>
      </c>
      <c r="D3" s="11" t="inlineStr">
        <is>
          <t>Project</t>
        </is>
      </c>
      <c r="E3" s="11" t="inlineStr">
        <is>
          <t>Changes</t>
        </is>
      </c>
      <c r="F3" s="11" t="inlineStr">
        <is>
          <t>Crosswalk</t>
        </is>
      </c>
      <c r="G3" s="11" t="inlineStr">
        <is>
          <t>Evidence</t>
        </is>
      </c>
      <c r="H3" s="11" t="inlineStr">
        <is>
          <t>Sources</t>
        </is>
      </c>
    </row>
    <row r="4"/>
    <row r="5" ht="26" customHeight="1">
      <c r="A5" s="12" t="inlineStr">
        <is>
          <t>Assurance item</t>
        </is>
      </c>
      <c r="B5" s="12" t="inlineStr">
        <is>
          <t>Recorded value</t>
        </is>
      </c>
    </row>
    <row r="6" ht="26" customHeight="1">
      <c r="A6" s="23" t="inlineStr">
        <is>
          <t>Output version</t>
        </is>
      </c>
      <c r="B6" s="23" t="inlineStr">
        <is>
          <t>Premium Workbook Rev 2</t>
        </is>
      </c>
    </row>
    <row r="7" ht="35.92" customHeight="1">
      <c r="A7" s="23" t="inlineStr">
        <is>
          <t>Project</t>
        </is>
      </c>
      <c r="B7" s="23" t="inlineStr">
        <is>
          <t>HarbourLink Urban Transit Expansion</t>
        </is>
      </c>
    </row>
    <row r="8" ht="26" customHeight="1">
      <c r="A8" s="23" t="inlineStr">
        <is>
          <t>Approved mapping version</t>
        </is>
      </c>
      <c r="B8" s="23" t="inlineStr">
        <is>
          <t>MV-2 (REPORTING)</t>
        </is>
      </c>
    </row>
    <row r="9" ht="35.92" customHeight="1">
      <c r="A9" s="23" t="inlineStr">
        <is>
          <t>Approved by</t>
        </is>
      </c>
      <c r="B9" s="23" t="inlineStr">
        <is>
          <t>Maya Chen, Owner Project Controls</t>
        </is>
      </c>
    </row>
    <row r="10" ht="26" customHeight="1">
      <c r="A10" s="23" t="inlineStr">
        <is>
          <t>Approved timestamp</t>
        </is>
      </c>
      <c r="B10" s="23" t="inlineStr">
        <is>
          <t>2026-10-16 14:14 UTC</t>
        </is>
      </c>
    </row>
    <row r="11" ht="26" customHeight="1">
      <c r="A11" s="23" t="inlineStr">
        <is>
          <t>WBS version</t>
        </is>
      </c>
      <c r="B11" s="23" t="inlineStr">
        <is>
          <t>1</t>
        </is>
      </c>
    </row>
    <row r="12" ht="35.92" customHeight="1">
      <c r="A12" s="23" t="inlineStr">
        <is>
          <t>Source-representation integrity</t>
        </is>
      </c>
      <c r="B12" s="23" t="inlineStr">
        <is>
          <t>SOURCE_REPRESENTATION_ESTABLISHED</t>
        </is>
      </c>
    </row>
    <row r="13" ht="35.92" customHeight="1">
      <c r="A13" s="23" t="inlineStr">
        <is>
          <t>Source-integrity unresolved count</t>
        </is>
      </c>
      <c r="B13" s="23" t="n">
        <v>0</v>
      </c>
    </row>
    <row r="14" ht="26" customHeight="1">
      <c r="A14" s="23" t="inlineStr">
        <is>
          <t>Relationship rows</t>
        </is>
      </c>
      <c r="B14" s="23" t="n">
        <v>1626</v>
      </c>
    </row>
    <row r="15" ht="53" customHeight="1">
      <c r="A15" s="23" t="inlineStr">
        <is>
          <t>Generation timestamp</t>
        </is>
      </c>
      <c r="B15" s="23" t="inlineStr">
        <is>
          <t>2026-10-16 14:16 UTC</t>
        </is>
      </c>
    </row>
    <row r="16"/>
    <row r="17" ht="19" customHeight="1">
      <c r="A17" s="22" t="inlineStr">
        <is>
          <t>Interpretation boundary</t>
        </is>
      </c>
    </row>
    <row r="18" ht="45" customHeight="1">
      <c r="A18" s="10" t="inlineStr">
        <is>
          <t>Workbook/App/JSON/PDF agreement can prove that outputs consume one governed state. It cannot prove that an upstream source interpretation is true. Source representation integrity is a separate prerequisite for substantive management claims.</t>
        </is>
      </c>
    </row>
    <row r="19" ht="45" customHeight="1"/>
    <row r="20"/>
    <row r="21" ht="19" customHeight="1">
      <c r="A21" s="22" t="inlineStr">
        <is>
          <t>Known output limitations</t>
        </is>
      </c>
    </row>
    <row r="22" ht="49" customHeight="1">
      <c r="A22" s="10" t="inlineStr">
        <is>
          <t>• Management amount/date/duration measures are withheld unless field semantics are explicitly governed for that use.</t>
        </is>
      </c>
    </row>
    <row r="23" ht="53" customHeight="1">
      <c r="A23" s="10" t="inlineStr">
        <is>
          <t>• The workbook projects independent source structures through governed WBS relationships; it does not create direct source-to-source truth.</t>
        </is>
      </c>
    </row>
    <row r="24" ht="53" customHeight="1">
      <c r="A24" s="10" t="inlineStr">
        <is>
          <t>• Sheet 04 (issues for review) is not a ranked list and does not claim objective materiality without a governed ranking basis.</t>
        </is>
      </c>
    </row>
    <row r="25" ht="53" customHeight="1">
      <c r="A25" s="10" t="inlineStr">
        <is>
          <t>• Fictional evaluation case. No real-client provenance, privacy/security/compliance or hosting-residency claim is made by this workbook.</t>
        </is>
      </c>
    </row>
    <row r="26"/>
    <row r="27" ht="19" customHeight="1">
      <c r="A27" s="22" t="inlineStr">
        <is>
          <t>Visual / metric ledger</t>
        </is>
      </c>
    </row>
    <row r="28" ht="30" customHeight="1">
      <c r="A28" s="12" t="inlineStr">
        <is>
          <t>ID</t>
        </is>
      </c>
      <c r="B28" s="12" t="inlineStr">
        <is>
          <t>Title</t>
        </is>
      </c>
      <c r="C28" s="12" t="inlineStr">
        <is>
          <t>Management question</t>
        </is>
      </c>
      <c r="D28" s="12" t="inlineStr">
        <is>
          <t>Basis / population</t>
        </is>
      </c>
      <c r="E28" s="12" t="inlineStr">
        <is>
          <t>Unresolved treatment</t>
        </is>
      </c>
      <c r="F28" s="12" t="inlineStr">
        <is>
          <t>Transformation</t>
        </is>
      </c>
      <c r="G28" s="12" t="inlineStr">
        <is>
          <t>Drill path</t>
        </is>
      </c>
      <c r="H28" s="12" t="inlineStr">
        <is>
          <t>Records</t>
        </is>
      </c>
      <c r="I28" s="12" t="inlineStr">
        <is>
          <t>Status</t>
        </is>
      </c>
    </row>
    <row r="29" ht="64" customHeight="1">
      <c r="A29" s="23" t="inlineStr">
        <is>
          <t>V1</t>
        </is>
      </c>
      <c r="B29" s="23" t="inlineStr">
        <is>
          <t>WBS × control-view integration matrix</t>
        </is>
      </c>
      <c r="C29" s="23" t="inlineStr">
        <is>
          <t>Which supplied project-control views have governed relationships through each major Owner-WBS branch?</t>
        </is>
      </c>
      <c r="D29" s="23" t="inlineStr">
        <is>
          <t>Latest approved MappingVersion and its approved source-role basis. | Non-retired governed/open relationship population scoped through each displayed WBS branch.</t>
        </is>
      </c>
      <c r="E29" s="23" t="inlineStr">
        <is>
          <t>Unresolved is distinct from assessed zero coverage and source-not-supplied.</t>
        </is>
      </c>
      <c r="F29" s="23" t="inlineStr">
        <is>
          <t>Categorical state from supplied source role plus branch-scoped governed/open relationships; no health percentage.</t>
        </is>
      </c>
      <c r="G29" s="23" t="inlineStr">
        <is>
          <t>visual → WBS branch → integrated project → Crosswalk → evidence/professional decision</t>
        </is>
      </c>
      <c r="H29" s="36" t="n">
        <v>1357</v>
      </c>
      <c r="I29" s="23" t="inlineStr">
        <is>
          <t>AVAILABLE</t>
        </is>
      </c>
    </row>
    <row r="30" ht="79" customHeight="1">
      <c r="A30" s="23" t="inlineStr">
        <is>
          <t>V2</t>
        </is>
      </c>
      <c r="B30" s="23" t="inlineStr">
        <is>
          <t>Management-attention concentration by WBS branch</t>
        </is>
      </c>
      <c r="C30" s="23" t="inlineStr">
        <is>
          <t>Where are governed reopened, unresolved or contradictory relationship populations concentrated?</t>
        </is>
      </c>
      <c r="D30" s="23" t="inlineStr">
        <is>
          <t>Latest approved relationship state and retained relationship evidence. | Branch-scoped relationships with reopened/unresolved/contradictory evidence.</t>
        </is>
      </c>
      <c r="E30" s="23" t="inlineStr">
        <is>
          <t>Counts remain explicit; no record-count-to-materiality inference.</t>
        </is>
      </c>
      <c r="F30" s="23" t="inlineStr">
        <is>
          <t>Count qualifying relationship records by approved WBS branch; overlapping categories remain separately labelled.</t>
        </is>
      </c>
      <c r="G30" s="23" t="inlineStr">
        <is>
          <t>visual → WBS branch → Changes/What Matters Now → Crosswalk → evidence</t>
        </is>
      </c>
      <c r="H30" s="36" t="n">
        <v>6</v>
      </c>
      <c r="I30" s="23" t="inlineStr">
        <is>
          <t>AVAILABLE</t>
        </is>
      </c>
    </row>
    <row r="31" ht="79" customHeight="1">
      <c r="A31" s="23" t="inlineStr">
        <is>
          <t>V3</t>
        </is>
      </c>
      <c r="B31" s="23" t="inlineStr">
        <is>
          <t>Cycle governed-state composition</t>
        </is>
      </c>
      <c r="C31" s="23" t="inlineStr">
        <is>
          <t>How much relationship state carried forward versus required revalidation/redecision/new/retired treatment?</t>
        </is>
      </c>
      <c r="D31" s="23" t="inlineStr">
        <is>
          <t>Current approved MappingVersion change labels relative to prior approved state. | One current/historical change label per governed relationship version represented in output.</t>
        </is>
      </c>
      <c r="E31" s="23" t="inlineStr">
        <is>
          <t>Unresolved relationship outcome remains separate from change-state composition.</t>
        </is>
      </c>
      <c r="F31" s="23" t="inlineStr">
        <is>
          <t>Count governed relationships by the existing change labels; no speed/value claim inferred.</t>
        </is>
      </c>
      <c r="G31" s="23" t="inlineStr">
        <is>
          <t>visual → change class → Changes &amp; Revalidation → relationship → evidence</t>
        </is>
      </c>
      <c r="H31" s="36" t="n">
        <v>1625</v>
      </c>
      <c r="I31" s="23" t="inlineStr">
        <is>
          <t>AVAILABLE</t>
        </is>
      </c>
    </row>
    <row r="32" ht="34" customHeight="1">
      <c r="A32" s="23" t="inlineStr">
        <is>
          <t>V4</t>
        </is>
      </c>
      <c r="B32" s="23" t="inlineStr">
        <is>
          <t>Governed cost / forecast view</t>
        </is>
      </c>
      <c r="C32" s="23" t="inlineStr">
        <is>
          <t>What governed cost/forecast amount can be shown by WBS scope?</t>
        </is>
      </c>
      <c r="D32" s="23" t="inlineStr">
        <is>
          <t>No sufficient quantitative contract supplied. | None admitted.</t>
        </is>
      </c>
      <c r="E32" s="23" t="inlineStr">
        <is>
          <t>All amount claims withheld.</t>
        </is>
      </c>
      <c r="F32" s="23" t="inlineStr">
        <is>
          <t>No aggregation performed.</t>
        </is>
      </c>
      <c r="G32" s="23" t="inlineStr">
        <is>
          <t>See Sources &amp; Provenance / Assurance for withholding reason.</t>
        </is>
      </c>
      <c r="H32" s="36" t="n">
        <v>0</v>
      </c>
      <c r="I32" s="23" t="inlineStr">
        <is>
          <t>WITHHELD</t>
        </is>
      </c>
    </row>
  </sheetData>
  <mergeCells count="10">
    <mergeCell ref="A1:D1"/>
    <mergeCell ref="A24:B24"/>
    <mergeCell ref="A21:B21"/>
    <mergeCell ref="A25:B25"/>
    <mergeCell ref="A18:B19"/>
    <mergeCell ref="A17:B17"/>
    <mergeCell ref="A23:B23"/>
    <mergeCell ref="A2:D2"/>
    <mergeCell ref="A27:B27"/>
    <mergeCell ref="A22:B22"/>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s>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tabColor rgb="008B8F97"/>
    <outlinePr summaryBelow="0" summaryRight="0"/>
    <pageSetUpPr fitToPage="1"/>
  </sheetPr>
  <dimension ref="A1:P50"/>
  <sheetViews>
    <sheetView showGridLines="0" tabSelected="0" topLeftCell="A1" zoomScale="100" zoomScaleNormal="100" workbookViewId="0">
      <pane ySplit="3" topLeftCell="A4" activePane="bottomLeft" state="frozen"/>
      <selection pane="bottomLeft" activeCell="A1" sqref="A1"/>
    </sheetView>
  </sheetViews>
  <sheetFormatPr baseColWidth="8" defaultRowHeight="15"/>
  <cols>
    <col width="34" customWidth="1" min="1" max="1"/>
    <col width="18" customWidth="1" min="2" max="2"/>
    <col width="12" customWidth="1" min="3" max="3"/>
    <col width="12" customWidth="1" min="4" max="4"/>
    <col width="30" customWidth="1" min="5" max="5"/>
    <col width="20" customWidth="1" min="6" max="6"/>
    <col width="19" customWidth="1" min="7" max="7"/>
    <col width="19" customWidth="1" min="8" max="8"/>
    <col width="12" customWidth="1" min="9" max="9"/>
    <col width="11" customWidth="1" min="10" max="10"/>
    <col width="9" customWidth="1" min="11" max="11"/>
    <col width="9" customWidth="1" min="12" max="12"/>
    <col width="9" customWidth="1" min="13" max="13"/>
    <col width="10" customWidth="1" min="14" max="14"/>
    <col width="15" customWidth="1" min="15" max="15"/>
    <col width="26" customWidth="1" min="16" max="16"/>
  </cols>
  <sheetData>
    <row r="1" ht="33.2" customHeight="1">
      <c r="A1" s="9" t="inlineStr">
        <is>
          <t>REVISIONS &amp; PERIODS</t>
        </is>
      </c>
    </row>
    <row r="2" ht="35.92" customHeight="1">
      <c r="A2" s="10" t="inlineStr">
        <is>
          <t>Which reporting revision this workbook is built on, what superseded what, and why only part of the governed relationship state reopened.</t>
        </is>
      </c>
    </row>
    <row r="3" ht="34" customHeight="1">
      <c r="A3" s="11" t="inlineStr">
        <is>
          <t>Executive</t>
        </is>
      </c>
      <c r="B3" s="11" t="inlineStr">
        <is>
          <t>Issues</t>
        </is>
      </c>
      <c r="C3" s="11" t="inlineStr">
        <is>
          <t>Integration</t>
        </is>
      </c>
      <c r="D3" s="11" t="inlineStr">
        <is>
          <t>Project</t>
        </is>
      </c>
      <c r="E3" s="11" t="inlineStr">
        <is>
          <t>Changes</t>
        </is>
      </c>
      <c r="F3" s="11" t="inlineStr">
        <is>
          <t>Crosswalk</t>
        </is>
      </c>
      <c r="G3" s="11" t="inlineStr">
        <is>
          <t>Evidence</t>
        </is>
      </c>
      <c r="H3" s="11" t="inlineStr">
        <is>
          <t>Sources</t>
        </is>
      </c>
    </row>
    <row r="4"/>
    <row r="5" ht="49" customHeight="1">
      <c r="A5" s="4" t="inlineStr">
        <is>
          <t>State of record</t>
        </is>
      </c>
      <c r="B5" s="22" t="inlineStr">
        <is>
          <t>MV-2 approved by Maya Chen, Owner Project Controls · 2026-10-16 14:14 UTC</t>
        </is>
      </c>
    </row>
    <row r="6" ht="109" customHeight="1">
      <c r="A6" s="4" t="inlineStr">
        <is>
          <t>Built on these revisions</t>
        </is>
      </c>
      <c r="B6" s="26" t="inlineStr">
        <is>
          <t>Owner WBS (Initial Rev 0); Contractor Programme (Contractor Programme Cycle 2 Rev 1); Cost &amp; Forecast Control Accounts (Cost &amp; Forecast Control Accounts Cycle 2 Rev 1); Commercial Package Register (Commercial Package Register Cycle 2 Rev 1)</t>
        </is>
      </c>
    </row>
    <row r="7"/>
    <row r="8" ht="34" customHeight="1">
      <c r="A8" s="22" t="inlineStr">
        <is>
          <t>Selective revalidation in this version</t>
        </is>
      </c>
    </row>
    <row r="9" ht="94" customHeight="1">
      <c r="A9" s="31" t="inlineStr">
        <is>
          <t>Relationships (unique) by change since the previous approved version -- the same composition as 07 CHANGES &amp; REVALIDATION. Carried forward work was not rebuilt.</t>
        </is>
      </c>
    </row>
    <row r="10" ht="34" customHeight="1">
      <c r="A10" s="62" t="inlineStr">
        <is>
          <t>Relationships in this version</t>
        </is>
      </c>
      <c r="B10" s="55" t="n">
        <v>1625</v>
      </c>
    </row>
    <row r="11" ht="34" customHeight="1">
      <c r="A11" s="62" t="inlineStr">
        <is>
          <t>Carried forward without rework</t>
        </is>
      </c>
      <c r="B11" s="55" t="n">
        <v>1614</v>
      </c>
    </row>
    <row r="12" ht="34" customHeight="1">
      <c r="A12" s="62" t="inlineStr">
        <is>
          <t>Came back and were decided again (changed)</t>
        </is>
      </c>
      <c r="B12" s="55" t="n">
        <v>4</v>
      </c>
    </row>
    <row r="13" ht="19" customHeight="1">
      <c r="A13" s="62" t="inlineStr">
        <is>
          <t>New in this version</t>
        </is>
      </c>
      <c r="B13" s="55" t="n">
        <v>4</v>
      </c>
    </row>
    <row r="14" ht="34" customHeight="1">
      <c r="A14" s="62" t="inlineStr">
        <is>
          <t>Retired (no longer reported)</t>
        </is>
      </c>
      <c r="B14" s="55" t="n">
        <v>3</v>
      </c>
    </row>
    <row r="15"/>
    <row r="16" ht="19" customHeight="1">
      <c r="A16" s="22" t="inlineStr">
        <is>
          <t>Source revision history</t>
        </is>
      </c>
    </row>
    <row r="17" ht="214" customHeight="1">
      <c r="A17" s="31" t="inlineStr">
        <is>
          <t>Every revision supplied up to this approval, oldest first per source. CURRENT = the revision this version was approved against; SUPERSEDED = replaced within the same reporting period; HISTORICAL = the last revision of an earlier period. Added / Removed / Changed compare each revision's records with the previous revision of the same source (source content, not a relationship decision).</t>
        </is>
      </c>
    </row>
    <row r="18" ht="49" customHeight="1">
      <c r="A18" s="12" t="inlineStr">
        <is>
          <t>Source</t>
        </is>
      </c>
      <c r="B18" s="12" t="inlineStr">
        <is>
          <t>Reporting period</t>
        </is>
      </c>
      <c r="C18" s="12" t="inlineStr">
        <is>
          <t>Revision</t>
        </is>
      </c>
      <c r="D18" s="12" t="inlineStr">
        <is>
          <t>Revision in period</t>
        </is>
      </c>
      <c r="E18" s="12" t="inlineStr">
        <is>
          <t>State</t>
        </is>
      </c>
      <c r="F18" s="12" t="inlineStr">
        <is>
          <t>Superseded by</t>
        </is>
      </c>
      <c r="G18" s="12" t="inlineStr">
        <is>
          <t>Effective from (UTC)</t>
        </is>
      </c>
      <c r="H18" s="12" t="inlineStr">
        <is>
          <t>Effective to (UTC)</t>
        </is>
      </c>
      <c r="I18" s="12" t="inlineStr">
        <is>
          <t>Data date</t>
        </is>
      </c>
      <c r="J18" s="12" t="inlineStr">
        <is>
          <t>Records</t>
        </is>
      </c>
      <c r="K18" s="12" t="inlineStr">
        <is>
          <t>Added</t>
        </is>
      </c>
      <c r="L18" s="12" t="inlineStr">
        <is>
          <t>Removed</t>
        </is>
      </c>
      <c r="M18" s="12" t="inlineStr">
        <is>
          <t>Changed</t>
        </is>
      </c>
      <c r="N18" s="12" t="inlineStr">
        <is>
          <t>Unchanged</t>
        </is>
      </c>
      <c r="O18" s="12" t="inlineStr">
        <is>
          <t>Approval basis</t>
        </is>
      </c>
      <c r="P18" s="12" t="inlineStr">
        <is>
          <t>File (SHA-256, first 12)</t>
        </is>
      </c>
    </row>
    <row r="19" ht="34" customHeight="1">
      <c r="A19" s="54" t="inlineStr">
        <is>
          <t>Owner WBS</t>
        </is>
      </c>
      <c r="B19" s="54" t="inlineStr">
        <is>
          <t>Initial</t>
        </is>
      </c>
      <c r="C19" s="54" t="inlineStr">
        <is>
          <t>Rev 0</t>
        </is>
      </c>
      <c r="D19" s="55" t="n">
        <v>0</v>
      </c>
      <c r="E19" s="54" t="inlineStr">
        <is>
          <t>CURRENT</t>
        </is>
      </c>
      <c r="F19" s="54" t="inlineStr"/>
      <c r="G19" s="54" t="inlineStr">
        <is>
          <t>2026-10-16 14:10:28</t>
        </is>
      </c>
      <c r="H19" s="54" t="inlineStr"/>
      <c r="I19" s="54" t="inlineStr">
        <is>
          <t>2026-06-30</t>
        </is>
      </c>
      <c r="J19" s="55" t="n">
        <v>79</v>
      </c>
      <c r="K19" s="54" t="inlineStr"/>
      <c r="L19" s="54" t="inlineStr"/>
      <c r="M19" s="54" t="inlineStr"/>
      <c r="N19" s="54" t="inlineStr"/>
      <c r="O19" s="54" t="inlineStr">
        <is>
          <t>Approved basis</t>
        </is>
      </c>
      <c r="P19" s="54" t="inlineStr">
        <is>
          <t>37a40d25ac86</t>
        </is>
      </c>
    </row>
    <row r="20" ht="49" customHeight="1">
      <c r="A20" s="23" t="inlineStr">
        <is>
          <t>Contractor Programme</t>
        </is>
      </c>
      <c r="B20" s="23" t="inlineStr">
        <is>
          <t>Initial</t>
        </is>
      </c>
      <c r="C20" s="23" t="inlineStr">
        <is>
          <t>Rev 0</t>
        </is>
      </c>
      <c r="D20" s="36" t="n">
        <v>0</v>
      </c>
      <c r="E20" s="23" t="inlineStr">
        <is>
          <t>HISTORICAL</t>
        </is>
      </c>
      <c r="F20" s="23" t="inlineStr">
        <is>
          <t>Contractor Programme Cycle 2 Rev 1</t>
        </is>
      </c>
      <c r="G20" s="23" t="inlineStr">
        <is>
          <t>2026-10-16 14:10:29</t>
        </is>
      </c>
      <c r="H20" s="23" t="inlineStr">
        <is>
          <t>2026-10-16 14:13:10</t>
        </is>
      </c>
      <c r="I20" s="23" t="inlineStr">
        <is>
          <t>2026-06-30</t>
        </is>
      </c>
      <c r="J20" s="36" t="n">
        <v>1082</v>
      </c>
      <c r="K20" s="23" t="inlineStr"/>
      <c r="L20" s="23" t="inlineStr"/>
      <c r="M20" s="23" t="inlineStr"/>
      <c r="N20" s="23" t="inlineStr"/>
      <c r="O20" s="23" t="inlineStr"/>
      <c r="P20" s="23" t="inlineStr">
        <is>
          <t>3fd2ce3d07c0</t>
        </is>
      </c>
    </row>
    <row r="21" ht="49" customHeight="1">
      <c r="A21" s="54" t="inlineStr">
        <is>
          <t>Contractor Programme</t>
        </is>
      </c>
      <c r="B21" s="54" t="inlineStr">
        <is>
          <t>Contractor Programme Cycle 2</t>
        </is>
      </c>
      <c r="C21" s="54" t="inlineStr">
        <is>
          <t>Rev 1</t>
        </is>
      </c>
      <c r="D21" s="55" t="n">
        <v>0</v>
      </c>
      <c r="E21" s="54" t="inlineStr">
        <is>
          <t>CURRENT</t>
        </is>
      </c>
      <c r="F21" s="54" t="inlineStr"/>
      <c r="G21" s="54" t="inlineStr">
        <is>
          <t>2026-10-16 14:13:10</t>
        </is>
      </c>
      <c r="H21" s="54" t="inlineStr"/>
      <c r="I21" s="54" t="inlineStr">
        <is>
          <t>2026-07-31</t>
        </is>
      </c>
      <c r="J21" s="55" t="n">
        <v>1082</v>
      </c>
      <c r="K21" s="55" t="n">
        <v>1</v>
      </c>
      <c r="L21" s="55" t="n">
        <v>1</v>
      </c>
      <c r="M21" s="55" t="n">
        <v>4</v>
      </c>
      <c r="N21" s="55" t="n">
        <v>1077</v>
      </c>
      <c r="O21" s="54" t="inlineStr">
        <is>
          <t>Approved basis</t>
        </is>
      </c>
      <c r="P21" s="54" t="inlineStr">
        <is>
          <t>70e5e6455910</t>
        </is>
      </c>
    </row>
    <row r="22" ht="49" customHeight="1">
      <c r="A22" s="23" t="inlineStr">
        <is>
          <t>Cost &amp; Forecast Control Accounts</t>
        </is>
      </c>
      <c r="B22" s="23" t="inlineStr">
        <is>
          <t>Initial</t>
        </is>
      </c>
      <c r="C22" s="23" t="inlineStr">
        <is>
          <t>Rev 0</t>
        </is>
      </c>
      <c r="D22" s="36" t="n">
        <v>0</v>
      </c>
      <c r="E22" s="23" t="inlineStr">
        <is>
          <t>HISTORICAL</t>
        </is>
      </c>
      <c r="F22" s="23" t="inlineStr">
        <is>
          <t>Cost &amp; Forecast Control Accounts Cycle 2 Rev 1</t>
        </is>
      </c>
      <c r="G22" s="23" t="inlineStr">
        <is>
          <t>2026-10-16 14:10:30</t>
        </is>
      </c>
      <c r="H22" s="23" t="inlineStr">
        <is>
          <t>2026-10-16 14:13:11</t>
        </is>
      </c>
      <c r="I22" s="23" t="inlineStr">
        <is>
          <t>2026-06-30</t>
        </is>
      </c>
      <c r="J22" s="36" t="n">
        <v>480</v>
      </c>
      <c r="K22" s="23" t="inlineStr"/>
      <c r="L22" s="23" t="inlineStr"/>
      <c r="M22" s="23" t="inlineStr"/>
      <c r="N22" s="23" t="inlineStr"/>
      <c r="O22" s="23" t="inlineStr"/>
      <c r="P22" s="23" t="inlineStr">
        <is>
          <t>729f36ae0e36</t>
        </is>
      </c>
    </row>
    <row r="23" ht="79" customHeight="1">
      <c r="A23" s="54" t="inlineStr">
        <is>
          <t>Cost &amp; Forecast Control Accounts</t>
        </is>
      </c>
      <c r="B23" s="54" t="inlineStr">
        <is>
          <t>Cost &amp; Forecast Control Accounts Cycle 2</t>
        </is>
      </c>
      <c r="C23" s="54" t="inlineStr">
        <is>
          <t>Rev 1</t>
        </is>
      </c>
      <c r="D23" s="55" t="n">
        <v>0</v>
      </c>
      <c r="E23" s="54" t="inlineStr">
        <is>
          <t>CURRENT</t>
        </is>
      </c>
      <c r="F23" s="54" t="inlineStr"/>
      <c r="G23" s="54" t="inlineStr">
        <is>
          <t>2026-10-16 14:13:11</t>
        </is>
      </c>
      <c r="H23" s="54" t="inlineStr"/>
      <c r="I23" s="54" t="inlineStr">
        <is>
          <t>2026-07-31</t>
        </is>
      </c>
      <c r="J23" s="55" t="n">
        <v>480</v>
      </c>
      <c r="K23" s="55" t="n">
        <v>2</v>
      </c>
      <c r="L23" s="55" t="n">
        <v>2</v>
      </c>
      <c r="M23" s="55" t="n">
        <v>478</v>
      </c>
      <c r="N23" s="55" t="n">
        <v>0</v>
      </c>
      <c r="O23" s="54" t="inlineStr">
        <is>
          <t>Approved basis</t>
        </is>
      </c>
      <c r="P23" s="54" t="inlineStr">
        <is>
          <t>628602ab86bb</t>
        </is>
      </c>
    </row>
    <row r="24" ht="49" customHeight="1">
      <c r="A24" s="23" t="inlineStr">
        <is>
          <t>Commercial Package Register</t>
        </is>
      </c>
      <c r="B24" s="23" t="inlineStr">
        <is>
          <t>Initial</t>
        </is>
      </c>
      <c r="C24" s="23" t="inlineStr">
        <is>
          <t>Rev 0</t>
        </is>
      </c>
      <c r="D24" s="36" t="n">
        <v>0</v>
      </c>
      <c r="E24" s="23" t="inlineStr">
        <is>
          <t>HISTORICAL</t>
        </is>
      </c>
      <c r="F24" s="23" t="inlineStr">
        <is>
          <t>Commercial Package Register Cycle 2 Rev 1</t>
        </is>
      </c>
      <c r="G24" s="23" t="inlineStr">
        <is>
          <t>2026-10-16 14:10:30</t>
        </is>
      </c>
      <c r="H24" s="23" t="inlineStr">
        <is>
          <t>2026-10-16 14:13:12</t>
        </is>
      </c>
      <c r="I24" s="23" t="inlineStr">
        <is>
          <t>2026-06-30</t>
        </is>
      </c>
      <c r="J24" s="36" t="n">
        <v>60</v>
      </c>
      <c r="K24" s="23" t="inlineStr"/>
      <c r="L24" s="23" t="inlineStr"/>
      <c r="M24" s="23" t="inlineStr"/>
      <c r="N24" s="23" t="inlineStr"/>
      <c r="O24" s="23" t="inlineStr"/>
      <c r="P24" s="23" t="inlineStr">
        <is>
          <t>69e50b85c924</t>
        </is>
      </c>
    </row>
    <row r="25" ht="64" customHeight="1">
      <c r="A25" s="54" t="inlineStr">
        <is>
          <t>Commercial Package Register</t>
        </is>
      </c>
      <c r="B25" s="54" t="inlineStr">
        <is>
          <t>Commercial Package Register Cycle 2</t>
        </is>
      </c>
      <c r="C25" s="54" t="inlineStr">
        <is>
          <t>Rev 1</t>
        </is>
      </c>
      <c r="D25" s="55" t="n">
        <v>0</v>
      </c>
      <c r="E25" s="54" t="inlineStr">
        <is>
          <t>CURRENT</t>
        </is>
      </c>
      <c r="F25" s="54" t="inlineStr"/>
      <c r="G25" s="54" t="inlineStr">
        <is>
          <t>2026-10-16 14:13:12</t>
        </is>
      </c>
      <c r="H25" s="54" t="inlineStr"/>
      <c r="I25" s="54" t="inlineStr">
        <is>
          <t>2026-07-31</t>
        </is>
      </c>
      <c r="J25" s="55" t="n">
        <v>60</v>
      </c>
      <c r="K25" s="55" t="n">
        <v>1</v>
      </c>
      <c r="L25" s="55" t="n">
        <v>1</v>
      </c>
      <c r="M25" s="55" t="n">
        <v>2</v>
      </c>
      <c r="N25" s="55" t="n">
        <v>57</v>
      </c>
      <c r="O25" s="54" t="inlineStr">
        <is>
          <t>Approved basis</t>
        </is>
      </c>
      <c r="P25" s="54" t="inlineStr">
        <is>
          <t>6a24e73c396f</t>
        </is>
      </c>
    </row>
    <row r="26"/>
    <row r="27" ht="19" customHeight="1">
      <c r="A27" s="22" t="inlineStr">
        <is>
          <t>Approval history</t>
        </is>
      </c>
    </row>
    <row r="28" ht="94" customHeight="1">
      <c r="A28" s="31" t="inlineStr">
        <is>
          <t>Each approved mapping version, the source revisions it was approved against, and how much of its relationship state was carried forward versus decided again.</t>
        </is>
      </c>
    </row>
    <row r="29" ht="34" customHeight="1">
      <c r="A29" s="12" t="inlineStr">
        <is>
          <t>Mapping version</t>
        </is>
      </c>
      <c r="B29" s="12" t="inlineStr">
        <is>
          <t>Status</t>
        </is>
      </c>
      <c r="C29" s="12" t="inlineStr">
        <is>
          <t>Approved by</t>
        </is>
      </c>
      <c r="D29" s="12" t="inlineStr">
        <is>
          <t>Approved at (UTC)</t>
        </is>
      </c>
      <c r="E29" s="12" t="inlineStr">
        <is>
          <t>Approved against</t>
        </is>
      </c>
      <c r="F29" s="12" t="inlineStr">
        <is>
          <t>Relationships</t>
        </is>
      </c>
      <c r="G29" s="12" t="inlineStr">
        <is>
          <t>Carried forward</t>
        </is>
      </c>
      <c r="H29" s="12" t="inlineStr">
        <is>
          <t>Changed, re-decided</t>
        </is>
      </c>
      <c r="I29" s="12" t="inlineStr">
        <is>
          <t>New</t>
        </is>
      </c>
      <c r="J29" s="12" t="inlineStr">
        <is>
          <t>Retired</t>
        </is>
      </c>
    </row>
    <row r="30" ht="109" customHeight="1">
      <c r="A30" s="23" t="inlineStr">
        <is>
          <t>MV-1</t>
        </is>
      </c>
      <c r="B30" s="23" t="inlineStr">
        <is>
          <t>Superseded</t>
        </is>
      </c>
      <c r="C30" s="23" t="inlineStr">
        <is>
          <t>Maya Chen, Owner Project Controls</t>
        </is>
      </c>
      <c r="D30" s="23" t="inlineStr">
        <is>
          <t>2026-10-16 14:11:18</t>
        </is>
      </c>
      <c r="E30" s="23" t="inlineStr">
        <is>
          <t>Owner WBS (Initial Rev 0); Contractor Programme (Initial Rev 0); Cost &amp; Forecast Control Accounts (Initial Rev 0); Commercial Package Register (Initial Rev 0)</t>
        </is>
      </c>
      <c r="F30" s="36" t="n">
        <v>1622</v>
      </c>
      <c r="G30" s="36" t="n">
        <v>0</v>
      </c>
      <c r="H30" s="36" t="n">
        <v>0</v>
      </c>
      <c r="I30" s="36" t="n">
        <v>1622</v>
      </c>
      <c r="J30" s="36" t="n">
        <v>0</v>
      </c>
    </row>
    <row r="31" ht="184" customHeight="1">
      <c r="A31" s="54" t="inlineStr">
        <is>
          <t>MV-2</t>
        </is>
      </c>
      <c r="B31" s="54" t="inlineStr">
        <is>
          <t>State of record</t>
        </is>
      </c>
      <c r="C31" s="54" t="inlineStr">
        <is>
          <t>Maya Chen, Owner Project Controls</t>
        </is>
      </c>
      <c r="D31" s="54" t="inlineStr">
        <is>
          <t>2026-10-16 14:14:10</t>
        </is>
      </c>
      <c r="E31" s="54" t="inlineStr">
        <is>
          <t>Owner WBS (Initial Rev 0); Contractor Programme (Contractor Programme Cycle 2 Rev 1); Cost &amp; Forecast Control Accounts (Cost &amp; Forecast Control Accounts Cycle 2 Rev 1); Commercial Package Register (Commercial Package Register Cycle 2 Rev 1)</t>
        </is>
      </c>
      <c r="F31" s="55" t="n">
        <v>1625</v>
      </c>
      <c r="G31" s="55" t="n">
        <v>1614</v>
      </c>
      <c r="H31" s="55" t="n">
        <v>4</v>
      </c>
      <c r="I31" s="55" t="n">
        <v>4</v>
      </c>
      <c r="J31" s="55" t="n">
        <v>3</v>
      </c>
    </row>
    <row r="32"/>
    <row r="33" ht="34" customHeight="1">
      <c r="A33" s="22" t="inlineStr">
        <is>
          <t>Came back for a decision in this version</t>
        </is>
      </c>
    </row>
    <row r="34" ht="79" customHeight="1">
      <c r="A34" s="31" t="inlineStr">
        <is>
          <t>Only these relationships were reopened, new or retired; every other relationship was carried forward with its original basis and approver.</t>
        </is>
      </c>
    </row>
    <row r="35" ht="30" customHeight="1">
      <c r="A35" s="12" t="inlineStr">
        <is>
          <t>Relationship</t>
        </is>
      </c>
      <c r="B35" s="12" t="inlineStr">
        <is>
          <t>Record</t>
        </is>
      </c>
      <c r="C35" s="12" t="inlineStr">
        <is>
          <t>Change</t>
        </is>
      </c>
      <c r="D35" s="12" t="inlineStr">
        <is>
          <t>Reason</t>
        </is>
      </c>
      <c r="E35" s="12" t="inlineStr">
        <is>
          <t>Decided by</t>
        </is>
      </c>
      <c r="F35" s="12" t="inlineStr">
        <is>
          <t>Evidence</t>
        </is>
      </c>
    </row>
    <row r="36" ht="184" customHeight="1">
      <c r="A36" s="23" t="inlineStr">
        <is>
          <t>R1087-v3</t>
        </is>
      </c>
      <c r="B36" s="23" t="inlineStr">
        <is>
          <t>CST-01-005</t>
        </is>
      </c>
      <c r="C36" s="23" t="inlineStr">
        <is>
          <t>Changed, re-decided</t>
        </is>
      </c>
      <c r="D36" s="23" t="inlineStr">
        <is>
          <t>'WBS Code' changed from 1.1.1 to 1.1.2; 'WBS Code' changed from 1.1.1 to 1.1.2; 'WBS Code' changed from 1.1.1 to 1.1.2</t>
        </is>
      </c>
      <c r="E36" s="23" t="inlineStr">
        <is>
          <t>Maya Chen, Owner Project Controls</t>
        </is>
      </c>
      <c r="F36" s="52" t="inlineStr">
        <is>
          <t>10 EVIDENCE &amp; DECISIONS</t>
        </is>
      </c>
      <c r="G36" s="16" t="n"/>
    </row>
    <row r="37" ht="184" customHeight="1">
      <c r="A37" s="23" t="inlineStr">
        <is>
          <t>R1567-v3</t>
        </is>
      </c>
      <c r="B37" s="23" t="inlineStr">
        <is>
          <t>PKG-005</t>
        </is>
      </c>
      <c r="C37" s="23" t="inlineStr">
        <is>
          <t>Changed, re-decided</t>
        </is>
      </c>
      <c r="D37" s="23" t="inlineStr">
        <is>
          <t>'WBS Code' changed from 1.1 to 1.2; 'WBS Code' changed from 1.1 to 1.2; 'WBS Code' changed from 1.1 to 1.2</t>
        </is>
      </c>
      <c r="E37" s="23" t="inlineStr">
        <is>
          <t>Maya Chen, Owner Project Controls</t>
        </is>
      </c>
      <c r="F37" s="52" t="inlineStr">
        <is>
          <t>10 EVIDENCE &amp; DECISIONS</t>
        </is>
      </c>
      <c r="G37" s="16" t="n"/>
    </row>
    <row r="38" ht="184" customHeight="1">
      <c r="A38" s="23" t="inlineStr">
        <is>
          <t>R5-v3</t>
        </is>
      </c>
      <c r="B38" s="23" t="inlineStr">
        <is>
          <t>SCH-01-005</t>
        </is>
      </c>
      <c r="C38" s="23" t="inlineStr">
        <is>
          <t>Changed, re-decided</t>
        </is>
      </c>
      <c r="D38" s="23" t="inlineStr">
        <is>
          <t>'WBS Code' changed from 1.1.1 to 1.1.2; 'WBS Code' changed from 1.1.1 to 1.1.2; 'WBS Code' changed from 1.1.1 to 1.1.2</t>
        </is>
      </c>
      <c r="E38" s="23" t="inlineStr">
        <is>
          <t>Maya Chen, Owner Project Controls</t>
        </is>
      </c>
      <c r="F38" s="52" t="inlineStr">
        <is>
          <t>10 EVIDENCE &amp; DECISIONS</t>
        </is>
      </c>
      <c r="G38" s="16" t="n"/>
    </row>
    <row r="39" ht="214" customHeight="1">
      <c r="A39" s="23" t="inlineStr">
        <is>
          <t>R367-v3</t>
        </is>
      </c>
      <c r="B39" s="23" t="inlineStr">
        <is>
          <t>SCH-03-007</t>
        </is>
      </c>
      <c r="C39" s="23" t="inlineStr">
        <is>
          <t>Changed, re-decided</t>
        </is>
      </c>
      <c r="D39" s="23" t="inlineStr">
        <is>
          <t>'WBS Code' changed from 1.3.1 to (blank); 'WBS Code' changed from 1.3.1 to (blank); 'WBS Code' changed from 1.3.1 to (blank)</t>
        </is>
      </c>
      <c r="E39" s="23" t="inlineStr">
        <is>
          <t>Maya Chen, Owner Project Controls</t>
        </is>
      </c>
      <c r="F39" s="52" t="inlineStr">
        <is>
          <t>10 EVIDENCE &amp; DECISIONS</t>
        </is>
      </c>
      <c r="G39" s="16" t="n"/>
    </row>
    <row r="40" ht="79" customHeight="1">
      <c r="A40" s="23" t="inlineStr">
        <is>
          <t>R1624-v1</t>
        </is>
      </c>
      <c r="B40" s="23" t="inlineStr">
        <is>
          <t>CST-90-903</t>
        </is>
      </c>
      <c r="C40" s="23" t="inlineStr">
        <is>
          <t>New</t>
        </is>
      </c>
      <c r="D40" s="23" t="inlineStr">
        <is>
          <t>Record first supplied in this revision</t>
        </is>
      </c>
      <c r="E40" s="23" t="inlineStr"/>
      <c r="F40" s="52" t="inlineStr">
        <is>
          <t>10 EVIDENCE &amp; DECISIONS</t>
        </is>
      </c>
      <c r="G40" s="16" t="n"/>
    </row>
    <row r="41" ht="79" customHeight="1">
      <c r="A41" s="23" t="inlineStr">
        <is>
          <t>R1625-v2</t>
        </is>
      </c>
      <c r="B41" s="23" t="inlineStr">
        <is>
          <t>PKG-903</t>
        </is>
      </c>
      <c r="C41" s="23" t="inlineStr">
        <is>
          <t>New</t>
        </is>
      </c>
      <c r="D41" s="23" t="inlineStr">
        <is>
          <t>Record first supplied in this revision</t>
        </is>
      </c>
      <c r="E41" s="23" t="inlineStr">
        <is>
          <t>Maya Chen, Owner Project Controls</t>
        </is>
      </c>
      <c r="F41" s="52" t="inlineStr">
        <is>
          <t>10 EVIDENCE &amp; DECISIONS</t>
        </is>
      </c>
      <c r="G41" s="16" t="n"/>
    </row>
    <row r="42" ht="229" customHeight="1">
      <c r="A42" s="23" t="inlineStr">
        <is>
          <t>R183-v4</t>
        </is>
      </c>
      <c r="B42" s="23" t="inlineStr">
        <is>
          <t>SCH-02-003</t>
        </is>
      </c>
      <c r="C42" s="23" t="inlineStr">
        <is>
          <t>New</t>
        </is>
      </c>
      <c r="D42" s="23" t="inlineStr">
        <is>
          <t>'WBS Code' changed from (blank) to 1.2.2; 'WBS Code' changed from (blank) to 1.2.2; 'WBS Code' changed from (blank) to 1.2.2</t>
        </is>
      </c>
      <c r="E42" s="23" t="inlineStr">
        <is>
          <t>Maya Chen, Owner Project Controls</t>
        </is>
      </c>
      <c r="F42" s="52" t="inlineStr">
        <is>
          <t>10 EVIDENCE &amp; DECISIONS</t>
        </is>
      </c>
      <c r="G42" s="16" t="n"/>
    </row>
    <row r="43" ht="79" customHeight="1">
      <c r="A43" s="23" t="inlineStr">
        <is>
          <t>R1623-v1</t>
        </is>
      </c>
      <c r="B43" s="23" t="inlineStr">
        <is>
          <t>SCH-90-903</t>
        </is>
      </c>
      <c r="C43" s="23" t="inlineStr">
        <is>
          <t>New</t>
        </is>
      </c>
      <c r="D43" s="23" t="inlineStr">
        <is>
          <t>Record first supplied in this revision</t>
        </is>
      </c>
      <c r="E43" s="23" t="inlineStr"/>
      <c r="F43" s="52" t="inlineStr">
        <is>
          <t>10 EVIDENCE &amp; DECISIONS</t>
        </is>
      </c>
      <c r="G43" s="16" t="n"/>
    </row>
    <row r="44" ht="64" customHeight="1">
      <c r="A44" s="23" t="inlineStr">
        <is>
          <t>R1561-v2</t>
        </is>
      </c>
      <c r="B44" s="23" t="inlineStr">
        <is>
          <t>CST-06-079</t>
        </is>
      </c>
      <c r="C44" s="23" t="inlineStr">
        <is>
          <t>Retired</t>
        </is>
      </c>
      <c r="D44" s="23" t="inlineStr">
        <is>
          <t>No longer in the current revision</t>
        </is>
      </c>
      <c r="E44" s="23" t="inlineStr"/>
      <c r="F44" s="52" t="inlineStr">
        <is>
          <t>10 EVIDENCE &amp; DECISIONS</t>
        </is>
      </c>
      <c r="G44" s="16" t="n"/>
    </row>
    <row r="45" ht="64" customHeight="1">
      <c r="A45" s="23" t="inlineStr">
        <is>
          <t>R1621-v2</t>
        </is>
      </c>
      <c r="B45" s="23" t="inlineStr">
        <is>
          <t>PKG-059</t>
        </is>
      </c>
      <c r="C45" s="23" t="inlineStr">
        <is>
          <t>Retired</t>
        </is>
      </c>
      <c r="D45" s="23" t="inlineStr">
        <is>
          <t>No longer in the current revision</t>
        </is>
      </c>
      <c r="E45" s="23" t="inlineStr"/>
      <c r="F45" s="52" t="inlineStr">
        <is>
          <t>10 EVIDENCE &amp; DECISIONS</t>
        </is>
      </c>
      <c r="G45" s="16" t="n"/>
    </row>
    <row r="46" ht="64" customHeight="1">
      <c r="A46" s="23" t="inlineStr">
        <is>
          <t>R1081-v3</t>
        </is>
      </c>
      <c r="B46" s="23" t="inlineStr">
        <is>
          <t>SCH-90-901</t>
        </is>
      </c>
      <c r="C46" s="23" t="inlineStr">
        <is>
          <t>Retired</t>
        </is>
      </c>
      <c r="D46" s="23" t="inlineStr">
        <is>
          <t>No longer in the current revision</t>
        </is>
      </c>
      <c r="E46" s="23" t="inlineStr"/>
      <c r="F46" s="52" t="inlineStr">
        <is>
          <t>10 EVIDENCE &amp; DECISIONS</t>
        </is>
      </c>
      <c r="G46" s="16" t="n"/>
    </row>
    <row r="47"/>
    <row r="48" ht="82" customHeight="1">
      <c r="A48" s="31" t="inlineStr">
        <is>
          <t>Each source keeps every revision it was supplied with. A revision is CURRENT while it is in force, SUPERSEDED once a later revision of the same reporting period replaces it, and HISTORICAL once a later reporting period closes its period. A new revision never remaps the project: relationships whose evidence did not change are carried forward with their original basis and approver; only those whose evidence changed come back for a decision.</t>
        </is>
      </c>
    </row>
    <row r="49" ht="82" customHeight="1"/>
    <row r="50" ht="82" customHeight="1"/>
  </sheetData>
  <autoFilter ref="A18:P25"/>
  <mergeCells count="16">
    <mergeCell ref="A1:D1"/>
    <mergeCell ref="B5:D5"/>
    <mergeCell ref="A48:A50"/>
    <mergeCell ref="F38:G38"/>
    <mergeCell ref="F46:G46"/>
    <mergeCell ref="F40:G40"/>
    <mergeCell ref="F43:G43"/>
    <mergeCell ref="F37:G37"/>
    <mergeCell ref="F39:G39"/>
    <mergeCell ref="F45:G45"/>
    <mergeCell ref="F36:G36"/>
    <mergeCell ref="F42:G42"/>
    <mergeCell ref="A2:D2"/>
    <mergeCell ref="F41:G41"/>
    <mergeCell ref="B6:D6"/>
    <mergeCell ref="F44:G44"/>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 xmlns:r="http://schemas.openxmlformats.org/officeDocument/2006/relationships" ref="F36" r:id="rId9"/>
    <hyperlink xmlns:r="http://schemas.openxmlformats.org/officeDocument/2006/relationships" ref="F37" r:id="rId10"/>
    <hyperlink xmlns:r="http://schemas.openxmlformats.org/officeDocument/2006/relationships" ref="F38" r:id="rId11"/>
    <hyperlink xmlns:r="http://schemas.openxmlformats.org/officeDocument/2006/relationships" ref="F39" r:id="rId12"/>
    <hyperlink xmlns:r="http://schemas.openxmlformats.org/officeDocument/2006/relationships" ref="F40" r:id="rId13"/>
    <hyperlink xmlns:r="http://schemas.openxmlformats.org/officeDocument/2006/relationships" ref="F41" r:id="rId14"/>
    <hyperlink xmlns:r="http://schemas.openxmlformats.org/officeDocument/2006/relationships" ref="F42" r:id="rId15"/>
    <hyperlink xmlns:r="http://schemas.openxmlformats.org/officeDocument/2006/relationships" ref="F43" r:id="rId16"/>
    <hyperlink xmlns:r="http://schemas.openxmlformats.org/officeDocument/2006/relationships" ref="F44" r:id="rId17"/>
    <hyperlink xmlns:r="http://schemas.openxmlformats.org/officeDocument/2006/relationships" ref="F45" r:id="rId18"/>
    <hyperlink xmlns:r="http://schemas.openxmlformats.org/officeDocument/2006/relationships" ref="F46" r:id="rId19"/>
  </hyperlinks>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tabColor rgb="008B8F97"/>
    <outlinePr summaryBelow="0" summaryRight="0"/>
    <pageSetUpPr fitToPage="1"/>
  </sheetPr>
  <dimension ref="A1:J93"/>
  <sheetViews>
    <sheetView showGridLines="0" tabSelected="0" topLeftCell="A1" zoomScale="100" zoomScaleNormal="100" workbookViewId="0">
      <pane xSplit="1" ySplit="6" topLeftCell="B7"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min="1" max="1"/>
    <col width="12" customWidth="1" min="2" max="2"/>
    <col width="46" customWidth="1" min="3" max="3"/>
    <col width="22" customWidth="1" min="4" max="4"/>
    <col width="22" customWidth="1" min="5" max="5"/>
    <col width="22" customWidth="1" min="6" max="6"/>
    <col width="22" customWidth="1" min="7" max="7"/>
    <col width="14" customWidth="1" min="8" max="8"/>
    <col width="14" customWidth="1" min="9" max="9"/>
    <col width="16" customWidth="1" min="10" max="10"/>
  </cols>
  <sheetData>
    <row r="1" ht="33.2" customHeight="1">
      <c r="A1" s="9" t="inlineStr">
        <is>
          <t>WBS HIERARCHY</t>
        </is>
      </c>
    </row>
    <row r="2" ht="35.92" customHeight="1">
      <c r="A2" s="10" t="inlineStr">
        <is>
          <t>The approved WBS as a scope hierarchy. Use the outline buttons (1, 2, 3 ...) at the left to collapse or expand levels; counts recalculate from MASTER DATA.</t>
        </is>
      </c>
    </row>
    <row r="3" ht="19" customHeight="1">
      <c r="A3" s="11" t="inlineStr">
        <is>
          <t>Executive</t>
        </is>
      </c>
      <c r="B3" s="11" t="inlineStr">
        <is>
          <t>Issues</t>
        </is>
      </c>
      <c r="C3" s="11" t="inlineStr">
        <is>
          <t>Integration</t>
        </is>
      </c>
      <c r="D3" s="11" t="inlineStr">
        <is>
          <t>Project</t>
        </is>
      </c>
      <c r="E3" s="11" t="inlineStr">
        <is>
          <t>Changes</t>
        </is>
      </c>
      <c r="F3" s="11" t="inlineStr">
        <is>
          <t>Crosswalk</t>
        </is>
      </c>
      <c r="G3" s="11" t="inlineStr">
        <is>
          <t>Evidence</t>
        </is>
      </c>
      <c r="H3" s="11" t="inlineStr">
        <is>
          <t>Sources</t>
        </is>
      </c>
    </row>
    <row r="4" ht="35.92" customHeight="1">
      <c r="A4" s="29" t="inlineStr">
        <is>
          <t>Advanced scope tree / relationship ROW counts → primary relationship coverage/status view</t>
        </is>
      </c>
    </row>
    <row r="5" ht="80.80000000000001" customHeight="1">
      <c r="A5" s="31" t="inlineStr">
        <is>
          <t>Counts are relationship ROWS in MASTER DATA: one row per record-to-WBS target. A relationship split across several WBS targets has one row per target; NO_WBS / NEW_SCOPE / UNSURE rows carry the outcome in the WBS Code column; retired rows (Relationship State RETIRED) are included, as in MASTER DATA -- filter Relationship State to exclude them. Branch = this element and every element beneath it.</t>
        </is>
      </c>
    </row>
    <row r="6" ht="49" customHeight="1">
      <c r="A6" s="12" t="inlineStr">
        <is>
          <t>Level</t>
        </is>
      </c>
      <c r="B6" s="12" t="inlineStr">
        <is>
          <t>WBS</t>
        </is>
      </c>
      <c r="C6" s="12" t="inlineStr">
        <is>
          <t>Hierarchy</t>
        </is>
      </c>
      <c r="D6" s="12" t="inlineStr">
        <is>
          <t>L1</t>
        </is>
      </c>
      <c r="E6" s="12" t="inlineStr">
        <is>
          <t>L2</t>
        </is>
      </c>
      <c r="F6" s="12" t="inlineStr">
        <is>
          <t>L3</t>
        </is>
      </c>
      <c r="G6" s="12" t="inlineStr">
        <is>
          <t>L4</t>
        </is>
      </c>
      <c r="H6" s="12" t="inlineStr">
        <is>
          <t>Direct relationship rows</t>
        </is>
      </c>
      <c r="I6" s="12" t="inlineStr">
        <is>
          <t>Branch relationship rows</t>
        </is>
      </c>
      <c r="J6" s="12" t="inlineStr">
        <is>
          <t>Crosswalk</t>
        </is>
      </c>
    </row>
    <row r="7" ht="79" customHeight="1">
      <c r="A7" s="55" t="n">
        <v>1</v>
      </c>
      <c r="B7" s="54" t="inlineStr">
        <is>
          <t>1</t>
        </is>
      </c>
      <c r="C7" s="54" t="inlineStr">
        <is>
          <t>1 HarbourLink Urban Transit Expansion</t>
        </is>
      </c>
      <c r="D7" s="54" t="inlineStr">
        <is>
          <t>1 HarbourLink Urban Transit Expansion</t>
        </is>
      </c>
      <c r="H7" s="26">
        <f>COUNTIF('MASTER DATA'!$A$2:$A$1627,"=1")</f>
        <v/>
      </c>
      <c r="I7" s="22">
        <f>SUM(H7:H85)</f>
        <v/>
      </c>
      <c r="J7" s="29" t="inlineStr">
        <is>
          <t>08 CROSSWALK</t>
        </is>
      </c>
    </row>
    <row r="8" outlineLevel="1" ht="79" customHeight="1">
      <c r="A8" s="36" t="n">
        <v>2</v>
      </c>
      <c r="B8" s="23" t="inlineStr">
        <is>
          <t>1.1</t>
        </is>
      </c>
      <c r="C8" s="23" t="inlineStr">
        <is>
          <t>├─ 1.1 Guideway and Civil</t>
        </is>
      </c>
      <c r="E8" s="23" t="inlineStr">
        <is>
          <t>1.1 Guideway and Civil</t>
        </is>
      </c>
      <c r="H8" s="26">
        <f>COUNTIF('MASTER DATA'!$A$2:$A$1627,"=1.1")</f>
        <v/>
      </c>
      <c r="I8" s="26">
        <f>SUM(H8:H20)</f>
        <v/>
      </c>
      <c r="J8" s="29" t="inlineStr">
        <is>
          <t>08 CROSSWALK</t>
        </is>
      </c>
    </row>
    <row r="9" outlineLevel="2" ht="79" customHeight="1">
      <c r="A9" s="36" t="n">
        <v>3</v>
      </c>
      <c r="B9" s="23" t="inlineStr">
        <is>
          <t>1.1.1</t>
        </is>
      </c>
      <c r="C9" s="23" t="inlineStr">
        <is>
          <t>│  ├─ 1.1.1 Guideway and Civil - Guideway Structures</t>
        </is>
      </c>
      <c r="F9" s="23" t="inlineStr">
        <is>
          <t>1.1.1 Guideway and Civil - Guideway Structures</t>
        </is>
      </c>
      <c r="H9" s="26">
        <f>COUNTIF('MASTER DATA'!$A$2:$A$1627,"=1.1.1")</f>
        <v/>
      </c>
      <c r="I9" s="26">
        <f>SUM(H9:H11)</f>
        <v/>
      </c>
      <c r="J9" s="29" t="inlineStr">
        <is>
          <t>08 CROSSWALK</t>
        </is>
      </c>
    </row>
    <row r="10" outlineLevel="3" ht="79" customHeight="1">
      <c r="A10" s="36" t="n">
        <v>4</v>
      </c>
      <c r="B10" s="23" t="inlineStr">
        <is>
          <t>1.1.1.1</t>
        </is>
      </c>
      <c r="C10" s="23" t="inlineStr">
        <is>
          <t>│  │  ├─ 1.1.1.1 Guideway Structures - East Segment</t>
        </is>
      </c>
      <c r="G10" s="23" t="inlineStr">
        <is>
          <t>1.1.1.1 Guideway Structures - East Segment</t>
        </is>
      </c>
      <c r="H10" s="26">
        <f>COUNTIF('MASTER DATA'!$A$2:$A$1627,"=1.1.1.1")</f>
        <v/>
      </c>
      <c r="I10" s="26">
        <f>SUM(H10:H10)</f>
        <v/>
      </c>
      <c r="J10" s="10" t="inlineStr">
        <is>
          <t>No relationships</t>
        </is>
      </c>
    </row>
    <row r="11" outlineLevel="3" ht="79" customHeight="1">
      <c r="A11" s="36" t="n">
        <v>4</v>
      </c>
      <c r="B11" s="23" t="inlineStr">
        <is>
          <t>1.1.1.2</t>
        </is>
      </c>
      <c r="C11" s="23" t="inlineStr">
        <is>
          <t>│  │  └─ 1.1.1.2 Guideway Structures - West Segment</t>
        </is>
      </c>
      <c r="G11" s="23" t="inlineStr">
        <is>
          <t>1.1.1.2 Guideway Structures - West Segment</t>
        </is>
      </c>
      <c r="H11" s="26">
        <f>COUNTIF('MASTER DATA'!$A$2:$A$1627,"=1.1.1.2")</f>
        <v/>
      </c>
      <c r="I11" s="26">
        <f>SUM(H11:H11)</f>
        <v/>
      </c>
      <c r="J11" s="10" t="inlineStr">
        <is>
          <t>No relationships</t>
        </is>
      </c>
    </row>
    <row r="12" outlineLevel="2" ht="79" customHeight="1">
      <c r="A12" s="36" t="n">
        <v>3</v>
      </c>
      <c r="B12" s="23" t="inlineStr">
        <is>
          <t>1.1.2</t>
        </is>
      </c>
      <c r="C12" s="23" t="inlineStr">
        <is>
          <t>│  ├─ 1.1.2 Guideway and Civil - Utility &amp; Roadworks</t>
        </is>
      </c>
      <c r="F12" s="23" t="inlineStr">
        <is>
          <t>1.1.2 Guideway and Civil - Utility &amp; Roadworks</t>
        </is>
      </c>
      <c r="H12" s="26">
        <f>COUNTIF('MASTER DATA'!$A$2:$A$1627,"=1.1.2")</f>
        <v/>
      </c>
      <c r="I12" s="26">
        <f>SUM(H12:H14)</f>
        <v/>
      </c>
      <c r="J12" s="29" t="inlineStr">
        <is>
          <t>08 CROSSWALK</t>
        </is>
      </c>
    </row>
    <row r="13" outlineLevel="3" ht="79" customHeight="1">
      <c r="A13" s="36" t="n">
        <v>4</v>
      </c>
      <c r="B13" s="23" t="inlineStr">
        <is>
          <t>1.1.2.1</t>
        </is>
      </c>
      <c r="C13" s="23" t="inlineStr">
        <is>
          <t>│  │  ├─ 1.1.2.1 Utility &amp; Roadworks - East Segment</t>
        </is>
      </c>
      <c r="G13" s="23" t="inlineStr">
        <is>
          <t>1.1.2.1 Utility &amp; Roadworks - East Segment</t>
        </is>
      </c>
      <c r="H13" s="26">
        <f>COUNTIF('MASTER DATA'!$A$2:$A$1627,"=1.1.2.1")</f>
        <v/>
      </c>
      <c r="I13" s="26">
        <f>SUM(H13:H13)</f>
        <v/>
      </c>
      <c r="J13" s="10" t="inlineStr">
        <is>
          <t>No relationships</t>
        </is>
      </c>
    </row>
    <row r="14" outlineLevel="3" ht="79" customHeight="1">
      <c r="A14" s="36" t="n">
        <v>4</v>
      </c>
      <c r="B14" s="23" t="inlineStr">
        <is>
          <t>1.1.2.2</t>
        </is>
      </c>
      <c r="C14" s="23" t="inlineStr">
        <is>
          <t>│  │  └─ 1.1.2.2 Utility &amp; Roadworks - West Segment</t>
        </is>
      </c>
      <c r="G14" s="23" t="inlineStr">
        <is>
          <t>1.1.2.2 Utility &amp; Roadworks - West Segment</t>
        </is>
      </c>
      <c r="H14" s="26">
        <f>COUNTIF('MASTER DATA'!$A$2:$A$1627,"=1.1.2.2")</f>
        <v/>
      </c>
      <c r="I14" s="26">
        <f>SUM(H14:H14)</f>
        <v/>
      </c>
      <c r="J14" s="10" t="inlineStr">
        <is>
          <t>No relationships</t>
        </is>
      </c>
    </row>
    <row r="15" outlineLevel="2" ht="79" customHeight="1">
      <c r="A15" s="36" t="n">
        <v>3</v>
      </c>
      <c r="B15" s="23" t="inlineStr">
        <is>
          <t>1.1.3</t>
        </is>
      </c>
      <c r="C15" s="23" t="inlineStr">
        <is>
          <t>│  ├─ 1.1.3 Guideway and Civil - Track Support Works</t>
        </is>
      </c>
      <c r="F15" s="23" t="inlineStr">
        <is>
          <t>1.1.3 Guideway and Civil - Track Support Works</t>
        </is>
      </c>
      <c r="H15" s="26">
        <f>COUNTIF('MASTER DATA'!$A$2:$A$1627,"=1.1.3")</f>
        <v/>
      </c>
      <c r="I15" s="26">
        <f>SUM(H15:H17)</f>
        <v/>
      </c>
      <c r="J15" s="10" t="inlineStr">
        <is>
          <t>No relationships</t>
        </is>
      </c>
    </row>
    <row r="16" outlineLevel="3" ht="79" customHeight="1">
      <c r="A16" s="36" t="n">
        <v>4</v>
      </c>
      <c r="B16" s="23" t="inlineStr">
        <is>
          <t>1.1.3.1</t>
        </is>
      </c>
      <c r="C16" s="23" t="inlineStr">
        <is>
          <t>│  │  ├─ 1.1.3.1 Track Support Works - East Segment</t>
        </is>
      </c>
      <c r="G16" s="23" t="inlineStr">
        <is>
          <t>1.1.3.1 Track Support Works - East Segment</t>
        </is>
      </c>
      <c r="H16" s="26">
        <f>COUNTIF('MASTER DATA'!$A$2:$A$1627,"=1.1.3.1")</f>
        <v/>
      </c>
      <c r="I16" s="26">
        <f>SUM(H16:H16)</f>
        <v/>
      </c>
      <c r="J16" s="10" t="inlineStr">
        <is>
          <t>No relationships</t>
        </is>
      </c>
    </row>
    <row r="17" outlineLevel="3" ht="79" customHeight="1">
      <c r="A17" s="36" t="n">
        <v>4</v>
      </c>
      <c r="B17" s="23" t="inlineStr">
        <is>
          <t>1.1.3.2</t>
        </is>
      </c>
      <c r="C17" s="23" t="inlineStr">
        <is>
          <t>│  │  └─ 1.1.3.2 Track Support Works - West Segment</t>
        </is>
      </c>
      <c r="G17" s="23" t="inlineStr">
        <is>
          <t>1.1.3.2 Track Support Works - West Segment</t>
        </is>
      </c>
      <c r="H17" s="26">
        <f>COUNTIF('MASTER DATA'!$A$2:$A$1627,"=1.1.3.2")</f>
        <v/>
      </c>
      <c r="I17" s="26">
        <f>SUM(H17:H17)</f>
        <v/>
      </c>
      <c r="J17" s="10" t="inlineStr">
        <is>
          <t>No relationships</t>
        </is>
      </c>
    </row>
    <row r="18" outlineLevel="2" ht="79" customHeight="1">
      <c r="A18" s="36" t="n">
        <v>3</v>
      </c>
      <c r="B18" s="23" t="inlineStr">
        <is>
          <t>1.1.4</t>
        </is>
      </c>
      <c r="C18" s="23" t="inlineStr">
        <is>
          <t>│  └─ 1.1.4 Guideway and Civil - Civil Interfaces</t>
        </is>
      </c>
      <c r="F18" s="23" t="inlineStr">
        <is>
          <t>1.1.4 Guideway and Civil - Civil Interfaces</t>
        </is>
      </c>
      <c r="H18" s="26">
        <f>COUNTIF('MASTER DATA'!$A$2:$A$1627,"=1.1.4")</f>
        <v/>
      </c>
      <c r="I18" s="26">
        <f>SUM(H18:H20)</f>
        <v/>
      </c>
      <c r="J18" s="10" t="inlineStr">
        <is>
          <t>No relationships</t>
        </is>
      </c>
    </row>
    <row r="19" outlineLevel="3" ht="79" customHeight="1">
      <c r="A19" s="36" t="n">
        <v>4</v>
      </c>
      <c r="B19" s="23" t="inlineStr">
        <is>
          <t>1.1.4.1</t>
        </is>
      </c>
      <c r="C19" s="23" t="inlineStr">
        <is>
          <t>│     ├─ 1.1.4.1 Civil Interfaces - East Segment</t>
        </is>
      </c>
      <c r="G19" s="23" t="inlineStr">
        <is>
          <t>1.1.4.1 Civil Interfaces - East Segment</t>
        </is>
      </c>
      <c r="H19" s="26">
        <f>COUNTIF('MASTER DATA'!$A$2:$A$1627,"=1.1.4.1")</f>
        <v/>
      </c>
      <c r="I19" s="26">
        <f>SUM(H19:H19)</f>
        <v/>
      </c>
      <c r="J19" s="10" t="inlineStr">
        <is>
          <t>No relationships</t>
        </is>
      </c>
    </row>
    <row r="20" outlineLevel="3" ht="79" customHeight="1">
      <c r="A20" s="36" t="n">
        <v>4</v>
      </c>
      <c r="B20" s="23" t="inlineStr">
        <is>
          <t>1.1.4.2</t>
        </is>
      </c>
      <c r="C20" s="23" t="inlineStr">
        <is>
          <t>│     └─ 1.1.4.2 Civil Interfaces - West Segment</t>
        </is>
      </c>
      <c r="G20" s="23" t="inlineStr">
        <is>
          <t>1.1.4.2 Civil Interfaces - West Segment</t>
        </is>
      </c>
      <c r="H20" s="26">
        <f>COUNTIF('MASTER DATA'!$A$2:$A$1627,"=1.1.4.2")</f>
        <v/>
      </c>
      <c r="I20" s="26">
        <f>SUM(H20:H20)</f>
        <v/>
      </c>
      <c r="J20" s="10" t="inlineStr">
        <is>
          <t>No relationships</t>
        </is>
      </c>
    </row>
    <row r="21" outlineLevel="1" ht="79" customHeight="1">
      <c r="A21" s="36" t="n">
        <v>2</v>
      </c>
      <c r="B21" s="23" t="inlineStr">
        <is>
          <t>1.2</t>
        </is>
      </c>
      <c r="C21" s="23" t="inlineStr">
        <is>
          <t>├─ 1.2 Stations</t>
        </is>
      </c>
      <c r="E21" s="23" t="inlineStr">
        <is>
          <t>1.2 Stations</t>
        </is>
      </c>
      <c r="H21" s="26">
        <f>COUNTIF('MASTER DATA'!$A$2:$A$1627,"=1.2")</f>
        <v/>
      </c>
      <c r="I21" s="26">
        <f>SUM(H21:H33)</f>
        <v/>
      </c>
      <c r="J21" s="29" t="inlineStr">
        <is>
          <t>08 CROSSWALK</t>
        </is>
      </c>
    </row>
    <row r="22" outlineLevel="2" ht="79" customHeight="1">
      <c r="A22" s="36" t="n">
        <v>3</v>
      </c>
      <c r="B22" s="23" t="inlineStr">
        <is>
          <t>1.2.1</t>
        </is>
      </c>
      <c r="C22" s="23" t="inlineStr">
        <is>
          <t>│  ├─ 1.2.1 Stations - Station Structures</t>
        </is>
      </c>
      <c r="F22" s="23" t="inlineStr">
        <is>
          <t>1.2.1 Stations - Station Structures</t>
        </is>
      </c>
      <c r="H22" s="26">
        <f>COUNTIF('MASTER DATA'!$A$2:$A$1627,"=1.2.1")</f>
        <v/>
      </c>
      <c r="I22" s="26">
        <f>SUM(H22:H24)</f>
        <v/>
      </c>
      <c r="J22" s="29" t="inlineStr">
        <is>
          <t>08 CROSSWALK</t>
        </is>
      </c>
    </row>
    <row r="23" outlineLevel="3" ht="79" customHeight="1">
      <c r="A23" s="36" t="n">
        <v>4</v>
      </c>
      <c r="B23" s="23" t="inlineStr">
        <is>
          <t>1.2.1.1</t>
        </is>
      </c>
      <c r="C23" s="23" t="inlineStr">
        <is>
          <t>│  │  ├─ 1.2.1.1 Station Structures - Concourse &amp; Entries</t>
        </is>
      </c>
      <c r="G23" s="23" t="inlineStr">
        <is>
          <t>1.2.1.1 Station Structures - Concourse &amp; Entries</t>
        </is>
      </c>
      <c r="H23" s="26">
        <f>COUNTIF('MASTER DATA'!$A$2:$A$1627,"=1.2.1.1")</f>
        <v/>
      </c>
      <c r="I23" s="26">
        <f>SUM(H23:H23)</f>
        <v/>
      </c>
      <c r="J23" s="10" t="inlineStr">
        <is>
          <t>No relationships</t>
        </is>
      </c>
    </row>
    <row r="24" outlineLevel="3" ht="79" customHeight="1">
      <c r="A24" s="36" t="n">
        <v>4</v>
      </c>
      <c r="B24" s="23" t="inlineStr">
        <is>
          <t>1.2.1.2</t>
        </is>
      </c>
      <c r="C24" s="23" t="inlineStr">
        <is>
          <t>│  │  └─ 1.2.1.2 Station Structures - Platforms &amp; Back-of-House</t>
        </is>
      </c>
      <c r="G24" s="23" t="inlineStr">
        <is>
          <t>1.2.1.2 Station Structures - Platforms &amp; Back-of-House</t>
        </is>
      </c>
      <c r="H24" s="26">
        <f>COUNTIF('MASTER DATA'!$A$2:$A$1627,"=1.2.1.2")</f>
        <v/>
      </c>
      <c r="I24" s="26">
        <f>SUM(H24:H24)</f>
        <v/>
      </c>
      <c r="J24" s="10" t="inlineStr">
        <is>
          <t>No relationships</t>
        </is>
      </c>
    </row>
    <row r="25" outlineLevel="2" ht="79" customHeight="1">
      <c r="A25" s="36" t="n">
        <v>3</v>
      </c>
      <c r="B25" s="23" t="inlineStr">
        <is>
          <t>1.2.2</t>
        </is>
      </c>
      <c r="C25" s="23" t="inlineStr">
        <is>
          <t>│  ├─ 1.2.2 Stations - Architectural Fit-Out</t>
        </is>
      </c>
      <c r="F25" s="23" t="inlineStr">
        <is>
          <t>1.2.2 Stations - Architectural Fit-Out</t>
        </is>
      </c>
      <c r="H25" s="26">
        <f>COUNTIF('MASTER DATA'!$A$2:$A$1627,"=1.2.2")</f>
        <v/>
      </c>
      <c r="I25" s="26">
        <f>SUM(H25:H27)</f>
        <v/>
      </c>
      <c r="J25" s="29" t="inlineStr">
        <is>
          <t>08 CROSSWALK</t>
        </is>
      </c>
    </row>
    <row r="26" outlineLevel="3" ht="79" customHeight="1">
      <c r="A26" s="36" t="n">
        <v>4</v>
      </c>
      <c r="B26" s="23" t="inlineStr">
        <is>
          <t>1.2.2.1</t>
        </is>
      </c>
      <c r="C26" s="23" t="inlineStr">
        <is>
          <t>│  │  ├─ 1.2.2.1 Architectural Fit-Out - Concourse &amp; Entries</t>
        </is>
      </c>
      <c r="G26" s="23" t="inlineStr">
        <is>
          <t>1.2.2.1 Architectural Fit-Out - Concourse &amp; Entries</t>
        </is>
      </c>
      <c r="H26" s="26">
        <f>COUNTIF('MASTER DATA'!$A$2:$A$1627,"=1.2.2.1")</f>
        <v/>
      </c>
      <c r="I26" s="26">
        <f>SUM(H26:H26)</f>
        <v/>
      </c>
      <c r="J26" s="10" t="inlineStr">
        <is>
          <t>No relationships</t>
        </is>
      </c>
    </row>
    <row r="27" outlineLevel="3" ht="79" customHeight="1">
      <c r="A27" s="36" t="n">
        <v>4</v>
      </c>
      <c r="B27" s="23" t="inlineStr">
        <is>
          <t>1.2.2.2</t>
        </is>
      </c>
      <c r="C27" s="23" t="inlineStr">
        <is>
          <t>│  │  └─ 1.2.2.2 Architectural Fit-Out - Platforms &amp; Back-of-House</t>
        </is>
      </c>
      <c r="G27" s="23" t="inlineStr">
        <is>
          <t>1.2.2.2 Architectural Fit-Out - Platforms &amp; Back-of-House</t>
        </is>
      </c>
      <c r="H27" s="26">
        <f>COUNTIF('MASTER DATA'!$A$2:$A$1627,"=1.2.2.2")</f>
        <v/>
      </c>
      <c r="I27" s="26">
        <f>SUM(H27:H27)</f>
        <v/>
      </c>
      <c r="J27" s="10" t="inlineStr">
        <is>
          <t>No relationships</t>
        </is>
      </c>
    </row>
    <row r="28" outlineLevel="2" ht="79" customHeight="1">
      <c r="A28" s="36" t="n">
        <v>3</v>
      </c>
      <c r="B28" s="23" t="inlineStr">
        <is>
          <t>1.2.3</t>
        </is>
      </c>
      <c r="C28" s="23" t="inlineStr">
        <is>
          <t>│  ├─ 1.2.3 Stations - Station Building Services</t>
        </is>
      </c>
      <c r="F28" s="23" t="inlineStr">
        <is>
          <t>1.2.3 Stations - Station Building Services</t>
        </is>
      </c>
      <c r="H28" s="26">
        <f>COUNTIF('MASTER DATA'!$A$2:$A$1627,"=1.2.3")</f>
        <v/>
      </c>
      <c r="I28" s="26">
        <f>SUM(H28:H30)</f>
        <v/>
      </c>
      <c r="J28" s="10" t="inlineStr">
        <is>
          <t>No relationships</t>
        </is>
      </c>
    </row>
    <row r="29" outlineLevel="3" ht="79" customHeight="1">
      <c r="A29" s="36" t="n">
        <v>4</v>
      </c>
      <c r="B29" s="23" t="inlineStr">
        <is>
          <t>1.2.3.1</t>
        </is>
      </c>
      <c r="C29" s="23" t="inlineStr">
        <is>
          <t>│  │  ├─ 1.2.3.1 Station Building Services - Concourse &amp; Entries</t>
        </is>
      </c>
      <c r="G29" s="23" t="inlineStr">
        <is>
          <t>1.2.3.1 Station Building Services - Concourse &amp; Entries</t>
        </is>
      </c>
      <c r="H29" s="26">
        <f>COUNTIF('MASTER DATA'!$A$2:$A$1627,"=1.2.3.1")</f>
        <v/>
      </c>
      <c r="I29" s="26">
        <f>SUM(H29:H29)</f>
        <v/>
      </c>
      <c r="J29" s="10" t="inlineStr">
        <is>
          <t>No relationships</t>
        </is>
      </c>
    </row>
    <row r="30" outlineLevel="3" ht="79" customHeight="1">
      <c r="A30" s="36" t="n">
        <v>4</v>
      </c>
      <c r="B30" s="23" t="inlineStr">
        <is>
          <t>1.2.3.2</t>
        </is>
      </c>
      <c r="C30" s="23" t="inlineStr">
        <is>
          <t>│  │  └─ 1.2.3.2 Station Building Services - Platforms &amp; Back-of-House</t>
        </is>
      </c>
      <c r="G30" s="23" t="inlineStr">
        <is>
          <t>1.2.3.2 Station Building Services - Platforms &amp; Back-of-House</t>
        </is>
      </c>
      <c r="H30" s="26">
        <f>COUNTIF('MASTER DATA'!$A$2:$A$1627,"=1.2.3.2")</f>
        <v/>
      </c>
      <c r="I30" s="26">
        <f>SUM(H30:H30)</f>
        <v/>
      </c>
      <c r="J30" s="10" t="inlineStr">
        <is>
          <t>No relationships</t>
        </is>
      </c>
    </row>
    <row r="31" outlineLevel="2" ht="79" customHeight="1">
      <c r="A31" s="36" t="n">
        <v>3</v>
      </c>
      <c r="B31" s="23" t="inlineStr">
        <is>
          <t>1.2.4</t>
        </is>
      </c>
      <c r="C31" s="23" t="inlineStr">
        <is>
          <t>│  └─ 1.2.4 Stations - Public Realm</t>
        </is>
      </c>
      <c r="F31" s="23" t="inlineStr">
        <is>
          <t>1.2.4 Stations - Public Realm</t>
        </is>
      </c>
      <c r="H31" s="26">
        <f>COUNTIF('MASTER DATA'!$A$2:$A$1627,"=1.2.4")</f>
        <v/>
      </c>
      <c r="I31" s="26">
        <f>SUM(H31:H33)</f>
        <v/>
      </c>
      <c r="J31" s="10" t="inlineStr">
        <is>
          <t>No relationships</t>
        </is>
      </c>
    </row>
    <row r="32" outlineLevel="3" ht="79" customHeight="1">
      <c r="A32" s="36" t="n">
        <v>4</v>
      </c>
      <c r="B32" s="23" t="inlineStr">
        <is>
          <t>1.2.4.1</t>
        </is>
      </c>
      <c r="C32" s="23" t="inlineStr">
        <is>
          <t>│     ├─ 1.2.4.1 Public Realm - Concourse &amp; Entries</t>
        </is>
      </c>
      <c r="G32" s="23" t="inlineStr">
        <is>
          <t>1.2.4.1 Public Realm - Concourse &amp; Entries</t>
        </is>
      </c>
      <c r="H32" s="26">
        <f>COUNTIF('MASTER DATA'!$A$2:$A$1627,"=1.2.4.1")</f>
        <v/>
      </c>
      <c r="I32" s="26">
        <f>SUM(H32:H32)</f>
        <v/>
      </c>
      <c r="J32" s="10" t="inlineStr">
        <is>
          <t>No relationships</t>
        </is>
      </c>
    </row>
    <row r="33" outlineLevel="3" ht="79" customHeight="1">
      <c r="A33" s="36" t="n">
        <v>4</v>
      </c>
      <c r="B33" s="23" t="inlineStr">
        <is>
          <t>1.2.4.2</t>
        </is>
      </c>
      <c r="C33" s="23" t="inlineStr">
        <is>
          <t>│     └─ 1.2.4.2 Public Realm - Platforms &amp; Back-of-House</t>
        </is>
      </c>
      <c r="G33" s="23" t="inlineStr">
        <is>
          <t>1.2.4.2 Public Realm - Platforms &amp; Back-of-House</t>
        </is>
      </c>
      <c r="H33" s="26">
        <f>COUNTIF('MASTER DATA'!$A$2:$A$1627,"=1.2.4.2")</f>
        <v/>
      </c>
      <c r="I33" s="26">
        <f>SUM(H33:H33)</f>
        <v/>
      </c>
      <c r="J33" s="10" t="inlineStr">
        <is>
          <t>No relationships</t>
        </is>
      </c>
    </row>
    <row r="34" outlineLevel="1" ht="79" customHeight="1">
      <c r="A34" s="36" t="n">
        <v>2</v>
      </c>
      <c r="B34" s="23" t="inlineStr">
        <is>
          <t>1.3</t>
        </is>
      </c>
      <c r="C34" s="23" t="inlineStr">
        <is>
          <t>├─ 1.3 Systems</t>
        </is>
      </c>
      <c r="E34" s="23" t="inlineStr">
        <is>
          <t>1.3 Systems</t>
        </is>
      </c>
      <c r="H34" s="26">
        <f>COUNTIF('MASTER DATA'!$A$2:$A$1627,"=1.3")</f>
        <v/>
      </c>
      <c r="I34" s="26">
        <f>SUM(H34:H46)</f>
        <v/>
      </c>
      <c r="J34" s="29" t="inlineStr">
        <is>
          <t>08 CROSSWALK</t>
        </is>
      </c>
    </row>
    <row r="35" outlineLevel="2" ht="79" customHeight="1">
      <c r="A35" s="36" t="n">
        <v>3</v>
      </c>
      <c r="B35" s="23" t="inlineStr">
        <is>
          <t>1.3.1</t>
        </is>
      </c>
      <c r="C35" s="23" t="inlineStr">
        <is>
          <t>│  ├─ 1.3.1 Systems - Traction Power</t>
        </is>
      </c>
      <c r="F35" s="23" t="inlineStr">
        <is>
          <t>1.3.1 Systems - Traction Power</t>
        </is>
      </c>
      <c r="H35" s="26">
        <f>COUNTIF('MASTER DATA'!$A$2:$A$1627,"=1.3.1")</f>
        <v/>
      </c>
      <c r="I35" s="26">
        <f>SUM(H35:H37)</f>
        <v/>
      </c>
      <c r="J35" s="29" t="inlineStr">
        <is>
          <t>08 CROSSWALK</t>
        </is>
      </c>
    </row>
    <row r="36" outlineLevel="3" ht="79" customHeight="1">
      <c r="A36" s="36" t="n">
        <v>4</v>
      </c>
      <c r="B36" s="23" t="inlineStr">
        <is>
          <t>1.3.1.1</t>
        </is>
      </c>
      <c r="C36" s="23" t="inlineStr">
        <is>
          <t>│  │  ├─ 1.3.1.1 Traction Power - Wayside</t>
        </is>
      </c>
      <c r="G36" s="23" t="inlineStr">
        <is>
          <t>1.3.1.1 Traction Power - Wayside</t>
        </is>
      </c>
      <c r="H36" s="26">
        <f>COUNTIF('MASTER DATA'!$A$2:$A$1627,"=1.3.1.1")</f>
        <v/>
      </c>
      <c r="I36" s="26">
        <f>SUM(H36:H36)</f>
        <v/>
      </c>
      <c r="J36" s="10" t="inlineStr">
        <is>
          <t>No relationships</t>
        </is>
      </c>
    </row>
    <row r="37" outlineLevel="3" ht="79" customHeight="1">
      <c r="A37" s="36" t="n">
        <v>4</v>
      </c>
      <c r="B37" s="23" t="inlineStr">
        <is>
          <t>1.3.1.2</t>
        </is>
      </c>
      <c r="C37" s="23" t="inlineStr">
        <is>
          <t>│  │  └─ 1.3.1.2 Traction Power - Control Centre &amp; Stations</t>
        </is>
      </c>
      <c r="G37" s="23" t="inlineStr">
        <is>
          <t>1.3.1.2 Traction Power - Control Centre &amp; Stations</t>
        </is>
      </c>
      <c r="H37" s="26">
        <f>COUNTIF('MASTER DATA'!$A$2:$A$1627,"=1.3.1.2")</f>
        <v/>
      </c>
      <c r="I37" s="26">
        <f>SUM(H37:H37)</f>
        <v/>
      </c>
      <c r="J37" s="10" t="inlineStr">
        <is>
          <t>No relationships</t>
        </is>
      </c>
    </row>
    <row r="38" outlineLevel="2" ht="79" customHeight="1">
      <c r="A38" s="36" t="n">
        <v>3</v>
      </c>
      <c r="B38" s="23" t="inlineStr">
        <is>
          <t>1.3.2</t>
        </is>
      </c>
      <c r="C38" s="23" t="inlineStr">
        <is>
          <t>│  ├─ 1.3.2 Systems - Signalling &amp; Train Control</t>
        </is>
      </c>
      <c r="F38" s="23" t="inlineStr">
        <is>
          <t>1.3.2 Systems - Signalling &amp; Train Control</t>
        </is>
      </c>
      <c r="H38" s="26">
        <f>COUNTIF('MASTER DATA'!$A$2:$A$1627,"=1.3.2")</f>
        <v/>
      </c>
      <c r="I38" s="26">
        <f>SUM(H38:H40)</f>
        <v/>
      </c>
      <c r="J38" s="29" t="inlineStr">
        <is>
          <t>08 CROSSWALK</t>
        </is>
      </c>
    </row>
    <row r="39" outlineLevel="3" ht="79" customHeight="1">
      <c r="A39" s="36" t="n">
        <v>4</v>
      </c>
      <c r="B39" s="23" t="inlineStr">
        <is>
          <t>1.3.2.1</t>
        </is>
      </c>
      <c r="C39" s="23" t="inlineStr">
        <is>
          <t>│  │  ├─ 1.3.2.1 Signalling &amp; Train Control - Wayside</t>
        </is>
      </c>
      <c r="G39" s="23" t="inlineStr">
        <is>
          <t>1.3.2.1 Signalling &amp; Train Control - Wayside</t>
        </is>
      </c>
      <c r="H39" s="26">
        <f>COUNTIF('MASTER DATA'!$A$2:$A$1627,"=1.3.2.1")</f>
        <v/>
      </c>
      <c r="I39" s="26">
        <f>SUM(H39:H39)</f>
        <v/>
      </c>
      <c r="J39" s="10" t="inlineStr">
        <is>
          <t>No relationships</t>
        </is>
      </c>
    </row>
    <row r="40" outlineLevel="3" ht="79" customHeight="1">
      <c r="A40" s="36" t="n">
        <v>4</v>
      </c>
      <c r="B40" s="23" t="inlineStr">
        <is>
          <t>1.3.2.2</t>
        </is>
      </c>
      <c r="C40" s="23" t="inlineStr">
        <is>
          <t>│  │  └─ 1.3.2.2 Signalling &amp; Train Control - Control Centre &amp; Stations</t>
        </is>
      </c>
      <c r="G40" s="23" t="inlineStr">
        <is>
          <t>1.3.2.2 Signalling &amp; Train Control - Control Centre &amp; Stations</t>
        </is>
      </c>
      <c r="H40" s="26">
        <f>COUNTIF('MASTER DATA'!$A$2:$A$1627,"=1.3.2.2")</f>
        <v/>
      </c>
      <c r="I40" s="26">
        <f>SUM(H40:H40)</f>
        <v/>
      </c>
      <c r="J40" s="10" t="inlineStr">
        <is>
          <t>No relationships</t>
        </is>
      </c>
    </row>
    <row r="41" outlineLevel="2" ht="79" customHeight="1">
      <c r="A41" s="36" t="n">
        <v>3</v>
      </c>
      <c r="B41" s="23" t="inlineStr">
        <is>
          <t>1.3.3</t>
        </is>
      </c>
      <c r="C41" s="23" t="inlineStr">
        <is>
          <t>│  ├─ 1.3.3 Systems - Communications</t>
        </is>
      </c>
      <c r="F41" s="23" t="inlineStr">
        <is>
          <t>1.3.3 Systems - Communications</t>
        </is>
      </c>
      <c r="H41" s="26">
        <f>COUNTIF('MASTER DATA'!$A$2:$A$1627,"=1.3.3")</f>
        <v/>
      </c>
      <c r="I41" s="26">
        <f>SUM(H41:H43)</f>
        <v/>
      </c>
      <c r="J41" s="10" t="inlineStr">
        <is>
          <t>No relationships</t>
        </is>
      </c>
    </row>
    <row r="42" outlineLevel="3" ht="79" customHeight="1">
      <c r="A42" s="36" t="n">
        <v>4</v>
      </c>
      <c r="B42" s="23" t="inlineStr">
        <is>
          <t>1.3.3.1</t>
        </is>
      </c>
      <c r="C42" s="23" t="inlineStr">
        <is>
          <t>│  │  ├─ 1.3.3.1 Communications - Wayside</t>
        </is>
      </c>
      <c r="G42" s="23" t="inlineStr">
        <is>
          <t>1.3.3.1 Communications - Wayside</t>
        </is>
      </c>
      <c r="H42" s="26">
        <f>COUNTIF('MASTER DATA'!$A$2:$A$1627,"=1.3.3.1")</f>
        <v/>
      </c>
      <c r="I42" s="26">
        <f>SUM(H42:H42)</f>
        <v/>
      </c>
      <c r="J42" s="10" t="inlineStr">
        <is>
          <t>No relationships</t>
        </is>
      </c>
    </row>
    <row r="43" outlineLevel="3" ht="79" customHeight="1">
      <c r="A43" s="36" t="n">
        <v>4</v>
      </c>
      <c r="B43" s="23" t="inlineStr">
        <is>
          <t>1.3.3.2</t>
        </is>
      </c>
      <c r="C43" s="23" t="inlineStr">
        <is>
          <t>│  │  └─ 1.3.3.2 Communications - Control Centre &amp; Stations</t>
        </is>
      </c>
      <c r="G43" s="23" t="inlineStr">
        <is>
          <t>1.3.3.2 Communications - Control Centre &amp; Stations</t>
        </is>
      </c>
      <c r="H43" s="26">
        <f>COUNTIF('MASTER DATA'!$A$2:$A$1627,"=1.3.3.2")</f>
        <v/>
      </c>
      <c r="I43" s="26">
        <f>SUM(H43:H43)</f>
        <v/>
      </c>
      <c r="J43" s="10" t="inlineStr">
        <is>
          <t>No relationships</t>
        </is>
      </c>
    </row>
    <row r="44" outlineLevel="2" ht="79" customHeight="1">
      <c r="A44" s="36" t="n">
        <v>3</v>
      </c>
      <c r="B44" s="23" t="inlineStr">
        <is>
          <t>1.3.4</t>
        </is>
      </c>
      <c r="C44" s="23" t="inlineStr">
        <is>
          <t>│  └─ 1.3.4 Systems - Systems Integration</t>
        </is>
      </c>
      <c r="F44" s="23" t="inlineStr">
        <is>
          <t>1.3.4 Systems - Systems Integration</t>
        </is>
      </c>
      <c r="H44" s="26">
        <f>COUNTIF('MASTER DATA'!$A$2:$A$1627,"=1.3.4")</f>
        <v/>
      </c>
      <c r="I44" s="26">
        <f>SUM(H44:H46)</f>
        <v/>
      </c>
      <c r="J44" s="10" t="inlineStr">
        <is>
          <t>No relationships</t>
        </is>
      </c>
    </row>
    <row r="45" outlineLevel="3" ht="79" customHeight="1">
      <c r="A45" s="36" t="n">
        <v>4</v>
      </c>
      <c r="B45" s="23" t="inlineStr">
        <is>
          <t>1.3.4.1</t>
        </is>
      </c>
      <c r="C45" s="23" t="inlineStr">
        <is>
          <t>│     ├─ 1.3.4.1 Systems Integration - Wayside</t>
        </is>
      </c>
      <c r="G45" s="23" t="inlineStr">
        <is>
          <t>1.3.4.1 Systems Integration - Wayside</t>
        </is>
      </c>
      <c r="H45" s="26">
        <f>COUNTIF('MASTER DATA'!$A$2:$A$1627,"=1.3.4.1")</f>
        <v/>
      </c>
      <c r="I45" s="26">
        <f>SUM(H45:H45)</f>
        <v/>
      </c>
      <c r="J45" s="10" t="inlineStr">
        <is>
          <t>No relationships</t>
        </is>
      </c>
    </row>
    <row r="46" outlineLevel="3" ht="79" customHeight="1">
      <c r="A46" s="36" t="n">
        <v>4</v>
      </c>
      <c r="B46" s="23" t="inlineStr">
        <is>
          <t>1.3.4.2</t>
        </is>
      </c>
      <c r="C46" s="23" t="inlineStr">
        <is>
          <t>│     └─ 1.3.4.2 Systems Integration - Control Centre &amp; Stations</t>
        </is>
      </c>
      <c r="G46" s="23" t="inlineStr">
        <is>
          <t>1.3.4.2 Systems Integration - Control Centre &amp; Stations</t>
        </is>
      </c>
      <c r="H46" s="26">
        <f>COUNTIF('MASTER DATA'!$A$2:$A$1627,"=1.3.4.2")</f>
        <v/>
      </c>
      <c r="I46" s="26">
        <f>SUM(H46:H46)</f>
        <v/>
      </c>
      <c r="J46" s="10" t="inlineStr">
        <is>
          <t>No relationships</t>
        </is>
      </c>
    </row>
    <row r="47" outlineLevel="1" ht="79" customHeight="1">
      <c r="A47" s="36" t="n">
        <v>2</v>
      </c>
      <c r="B47" s="23" t="inlineStr">
        <is>
          <t>1.4</t>
        </is>
      </c>
      <c r="C47" s="23" t="inlineStr">
        <is>
          <t>├─ 1.4 Vehicles and Depot</t>
        </is>
      </c>
      <c r="E47" s="23" t="inlineStr">
        <is>
          <t>1.4 Vehicles and Depot</t>
        </is>
      </c>
      <c r="H47" s="26">
        <f>COUNTIF('MASTER DATA'!$A$2:$A$1627,"=1.4")</f>
        <v/>
      </c>
      <c r="I47" s="26">
        <f>SUM(H47:H59)</f>
        <v/>
      </c>
      <c r="J47" s="29" t="inlineStr">
        <is>
          <t>08 CROSSWALK</t>
        </is>
      </c>
    </row>
    <row r="48" outlineLevel="2" ht="79" customHeight="1">
      <c r="A48" s="36" t="n">
        <v>3</v>
      </c>
      <c r="B48" s="23" t="inlineStr">
        <is>
          <t>1.4.1</t>
        </is>
      </c>
      <c r="C48" s="23" t="inlineStr">
        <is>
          <t>│  ├─ 1.4.1 Vehicles and Depot - Fleet Supply</t>
        </is>
      </c>
      <c r="F48" s="23" t="inlineStr">
        <is>
          <t>1.4.1 Vehicles and Depot - Fleet Supply</t>
        </is>
      </c>
      <c r="H48" s="26">
        <f>COUNTIF('MASTER DATA'!$A$2:$A$1627,"=1.4.1")</f>
        <v/>
      </c>
      <c r="I48" s="26">
        <f>SUM(H48:H50)</f>
        <v/>
      </c>
      <c r="J48" s="29" t="inlineStr">
        <is>
          <t>08 CROSSWALK</t>
        </is>
      </c>
    </row>
    <row r="49" outlineLevel="3" ht="79" customHeight="1">
      <c r="A49" s="36" t="n">
        <v>4</v>
      </c>
      <c r="B49" s="23" t="inlineStr">
        <is>
          <t>1.4.1.1</t>
        </is>
      </c>
      <c r="C49" s="23" t="inlineStr">
        <is>
          <t>│  │  ├─ 1.4.1.1 Fleet Supply - Maintenance Facility</t>
        </is>
      </c>
      <c r="G49" s="23" t="inlineStr">
        <is>
          <t>1.4.1.1 Fleet Supply - Maintenance Facility</t>
        </is>
      </c>
      <c r="H49" s="26">
        <f>COUNTIF('MASTER DATA'!$A$2:$A$1627,"=1.4.1.1")</f>
        <v/>
      </c>
      <c r="I49" s="26">
        <f>SUM(H49:H49)</f>
        <v/>
      </c>
      <c r="J49" s="10" t="inlineStr">
        <is>
          <t>No relationships</t>
        </is>
      </c>
    </row>
    <row r="50" outlineLevel="3" ht="79" customHeight="1">
      <c r="A50" s="36" t="n">
        <v>4</v>
      </c>
      <c r="B50" s="23" t="inlineStr">
        <is>
          <t>1.4.1.2</t>
        </is>
      </c>
      <c r="C50" s="23" t="inlineStr">
        <is>
          <t>│  │  └─ 1.4.1.2 Fleet Supply - Storage &amp; Commissioning Yard</t>
        </is>
      </c>
      <c r="G50" s="23" t="inlineStr">
        <is>
          <t>1.4.1.2 Fleet Supply - Storage &amp; Commissioning Yard</t>
        </is>
      </c>
      <c r="H50" s="26">
        <f>COUNTIF('MASTER DATA'!$A$2:$A$1627,"=1.4.1.2")</f>
        <v/>
      </c>
      <c r="I50" s="26">
        <f>SUM(H50:H50)</f>
        <v/>
      </c>
      <c r="J50" s="10" t="inlineStr">
        <is>
          <t>No relationships</t>
        </is>
      </c>
    </row>
    <row r="51" outlineLevel="2" ht="79" customHeight="1">
      <c r="A51" s="36" t="n">
        <v>3</v>
      </c>
      <c r="B51" s="23" t="inlineStr">
        <is>
          <t>1.4.2</t>
        </is>
      </c>
      <c r="C51" s="23" t="inlineStr">
        <is>
          <t>│  ├─ 1.4.2 Vehicles and Depot - Depot Buildings</t>
        </is>
      </c>
      <c r="F51" s="23" t="inlineStr">
        <is>
          <t>1.4.2 Vehicles and Depot - Depot Buildings</t>
        </is>
      </c>
      <c r="H51" s="26">
        <f>COUNTIF('MASTER DATA'!$A$2:$A$1627,"=1.4.2")</f>
        <v/>
      </c>
      <c r="I51" s="26">
        <f>SUM(H51:H53)</f>
        <v/>
      </c>
      <c r="J51" s="29" t="inlineStr">
        <is>
          <t>08 CROSSWALK</t>
        </is>
      </c>
    </row>
    <row r="52" outlineLevel="3" ht="79" customHeight="1">
      <c r="A52" s="36" t="n">
        <v>4</v>
      </c>
      <c r="B52" s="23" t="inlineStr">
        <is>
          <t>1.4.2.1</t>
        </is>
      </c>
      <c r="C52" s="23" t="inlineStr">
        <is>
          <t>│  │  ├─ 1.4.2.1 Depot Buildings - Maintenance Facility</t>
        </is>
      </c>
      <c r="G52" s="23" t="inlineStr">
        <is>
          <t>1.4.2.1 Depot Buildings - Maintenance Facility</t>
        </is>
      </c>
      <c r="H52" s="26">
        <f>COUNTIF('MASTER DATA'!$A$2:$A$1627,"=1.4.2.1")</f>
        <v/>
      </c>
      <c r="I52" s="26">
        <f>SUM(H52:H52)</f>
        <v/>
      </c>
      <c r="J52" s="10" t="inlineStr">
        <is>
          <t>No relationships</t>
        </is>
      </c>
    </row>
    <row r="53" outlineLevel="3" ht="79" customHeight="1">
      <c r="A53" s="36" t="n">
        <v>4</v>
      </c>
      <c r="B53" s="23" t="inlineStr">
        <is>
          <t>1.4.2.2</t>
        </is>
      </c>
      <c r="C53" s="23" t="inlineStr">
        <is>
          <t>│  │  └─ 1.4.2.2 Depot Buildings - Storage &amp; Commissioning Yard</t>
        </is>
      </c>
      <c r="G53" s="23" t="inlineStr">
        <is>
          <t>1.4.2.2 Depot Buildings - Storage &amp; Commissioning Yard</t>
        </is>
      </c>
      <c r="H53" s="26">
        <f>COUNTIF('MASTER DATA'!$A$2:$A$1627,"=1.4.2.2")</f>
        <v/>
      </c>
      <c r="I53" s="26">
        <f>SUM(H53:H53)</f>
        <v/>
      </c>
      <c r="J53" s="10" t="inlineStr">
        <is>
          <t>No relationships</t>
        </is>
      </c>
    </row>
    <row r="54" outlineLevel="2" ht="79" customHeight="1">
      <c r="A54" s="36" t="n">
        <v>3</v>
      </c>
      <c r="B54" s="23" t="inlineStr">
        <is>
          <t>1.4.3</t>
        </is>
      </c>
      <c r="C54" s="23" t="inlineStr">
        <is>
          <t>│  ├─ 1.4.3 Vehicles and Depot - Workshop Equipment</t>
        </is>
      </c>
      <c r="F54" s="23" t="inlineStr">
        <is>
          <t>1.4.3 Vehicles and Depot - Workshop Equipment</t>
        </is>
      </c>
      <c r="H54" s="26">
        <f>COUNTIF('MASTER DATA'!$A$2:$A$1627,"=1.4.3")</f>
        <v/>
      </c>
      <c r="I54" s="26">
        <f>SUM(H54:H56)</f>
        <v/>
      </c>
      <c r="J54" s="10" t="inlineStr">
        <is>
          <t>No relationships</t>
        </is>
      </c>
    </row>
    <row r="55" outlineLevel="3" ht="79" customHeight="1">
      <c r="A55" s="36" t="n">
        <v>4</v>
      </c>
      <c r="B55" s="23" t="inlineStr">
        <is>
          <t>1.4.3.1</t>
        </is>
      </c>
      <c r="C55" s="23" t="inlineStr">
        <is>
          <t>│  │  ├─ 1.4.3.1 Workshop Equipment - Maintenance Facility</t>
        </is>
      </c>
      <c r="G55" s="23" t="inlineStr">
        <is>
          <t>1.4.3.1 Workshop Equipment - Maintenance Facility</t>
        </is>
      </c>
      <c r="H55" s="26">
        <f>COUNTIF('MASTER DATA'!$A$2:$A$1627,"=1.4.3.1")</f>
        <v/>
      </c>
      <c r="I55" s="26">
        <f>SUM(H55:H55)</f>
        <v/>
      </c>
      <c r="J55" s="10" t="inlineStr">
        <is>
          <t>No relationships</t>
        </is>
      </c>
    </row>
    <row r="56" outlineLevel="3" ht="79" customHeight="1">
      <c r="A56" s="36" t="n">
        <v>4</v>
      </c>
      <c r="B56" s="23" t="inlineStr">
        <is>
          <t>1.4.3.2</t>
        </is>
      </c>
      <c r="C56" s="23" t="inlineStr">
        <is>
          <t>│  │  └─ 1.4.3.2 Workshop Equipment - Storage &amp; Commissioning Yard</t>
        </is>
      </c>
      <c r="G56" s="23" t="inlineStr">
        <is>
          <t>1.4.3.2 Workshop Equipment - Storage &amp; Commissioning Yard</t>
        </is>
      </c>
      <c r="H56" s="26">
        <f>COUNTIF('MASTER DATA'!$A$2:$A$1627,"=1.4.3.2")</f>
        <v/>
      </c>
      <c r="I56" s="26">
        <f>SUM(H56:H56)</f>
        <v/>
      </c>
      <c r="J56" s="10" t="inlineStr">
        <is>
          <t>No relationships</t>
        </is>
      </c>
    </row>
    <row r="57" outlineLevel="2" ht="79" customHeight="1">
      <c r="A57" s="36" t="n">
        <v>3</v>
      </c>
      <c r="B57" s="23" t="inlineStr">
        <is>
          <t>1.4.4</t>
        </is>
      </c>
      <c r="C57" s="23" t="inlineStr">
        <is>
          <t>│  └─ 1.4.4 Vehicles and Depot - Vehicle Integration</t>
        </is>
      </c>
      <c r="F57" s="23" t="inlineStr">
        <is>
          <t>1.4.4 Vehicles and Depot - Vehicle Integration</t>
        </is>
      </c>
      <c r="H57" s="26">
        <f>COUNTIF('MASTER DATA'!$A$2:$A$1627,"=1.4.4")</f>
        <v/>
      </c>
      <c r="I57" s="26">
        <f>SUM(H57:H59)</f>
        <v/>
      </c>
      <c r="J57" s="10" t="inlineStr">
        <is>
          <t>No relationships</t>
        </is>
      </c>
    </row>
    <row r="58" outlineLevel="3" ht="79" customHeight="1">
      <c r="A58" s="36" t="n">
        <v>4</v>
      </c>
      <c r="B58" s="23" t="inlineStr">
        <is>
          <t>1.4.4.1</t>
        </is>
      </c>
      <c r="C58" s="23" t="inlineStr">
        <is>
          <t>│     ├─ 1.4.4.1 Vehicle Integration - Maintenance Facility</t>
        </is>
      </c>
      <c r="G58" s="23" t="inlineStr">
        <is>
          <t>1.4.4.1 Vehicle Integration - Maintenance Facility</t>
        </is>
      </c>
      <c r="H58" s="26">
        <f>COUNTIF('MASTER DATA'!$A$2:$A$1627,"=1.4.4.1")</f>
        <v/>
      </c>
      <c r="I58" s="26">
        <f>SUM(H58:H58)</f>
        <v/>
      </c>
      <c r="J58" s="10" t="inlineStr">
        <is>
          <t>No relationships</t>
        </is>
      </c>
    </row>
    <row r="59" outlineLevel="3" ht="79" customHeight="1">
      <c r="A59" s="36" t="n">
        <v>4</v>
      </c>
      <c r="B59" s="23" t="inlineStr">
        <is>
          <t>1.4.4.2</t>
        </is>
      </c>
      <c r="C59" s="23" t="inlineStr">
        <is>
          <t>│     └─ 1.4.4.2 Vehicle Integration - Storage &amp; Commissioning Yard</t>
        </is>
      </c>
      <c r="G59" s="23" t="inlineStr">
        <is>
          <t>1.4.4.2 Vehicle Integration - Storage &amp; Commissioning Yard</t>
        </is>
      </c>
      <c r="H59" s="26">
        <f>COUNTIF('MASTER DATA'!$A$2:$A$1627,"=1.4.4.2")</f>
        <v/>
      </c>
      <c r="I59" s="26">
        <f>SUM(H59:H59)</f>
        <v/>
      </c>
      <c r="J59" s="10" t="inlineStr">
        <is>
          <t>No relationships</t>
        </is>
      </c>
    </row>
    <row r="60" outlineLevel="1" ht="79" customHeight="1">
      <c r="A60" s="36" t="n">
        <v>2</v>
      </c>
      <c r="B60" s="23" t="inlineStr">
        <is>
          <t>1.5</t>
        </is>
      </c>
      <c r="C60" s="23" t="inlineStr">
        <is>
          <t>├─ 1.5 Testing and Commissioning</t>
        </is>
      </c>
      <c r="E60" s="23" t="inlineStr">
        <is>
          <t>1.5 Testing and Commissioning</t>
        </is>
      </c>
      <c r="H60" s="26">
        <f>COUNTIF('MASTER DATA'!$A$2:$A$1627,"=1.5")</f>
        <v/>
      </c>
      <c r="I60" s="26">
        <f>SUM(H60:H72)</f>
        <v/>
      </c>
      <c r="J60" s="29" t="inlineStr">
        <is>
          <t>08 CROSSWALK</t>
        </is>
      </c>
    </row>
    <row r="61" outlineLevel="2" ht="79" customHeight="1">
      <c r="A61" s="36" t="n">
        <v>3</v>
      </c>
      <c r="B61" s="23" t="inlineStr">
        <is>
          <t>1.5.1</t>
        </is>
      </c>
      <c r="C61" s="23" t="inlineStr">
        <is>
          <t>│  ├─ 1.5.1 Testing and Commissioning - Test Readiness</t>
        </is>
      </c>
      <c r="F61" s="23" t="inlineStr">
        <is>
          <t>1.5.1 Testing and Commissioning - Test Readiness</t>
        </is>
      </c>
      <c r="H61" s="26">
        <f>COUNTIF('MASTER DATA'!$A$2:$A$1627,"=1.5.1")</f>
        <v/>
      </c>
      <c r="I61" s="26">
        <f>SUM(H61:H63)</f>
        <v/>
      </c>
      <c r="J61" s="29" t="inlineStr">
        <is>
          <t>08 CROSSWALK</t>
        </is>
      </c>
    </row>
    <row r="62" outlineLevel="3" ht="79" customHeight="1">
      <c r="A62" s="36" t="n">
        <v>4</v>
      </c>
      <c r="B62" s="23" t="inlineStr">
        <is>
          <t>1.5.1.1</t>
        </is>
      </c>
      <c r="C62" s="23" t="inlineStr">
        <is>
          <t>│  │  ├─ 1.5.1.1 Test Readiness - Mainline</t>
        </is>
      </c>
      <c r="G62" s="23" t="inlineStr">
        <is>
          <t>1.5.1.1 Test Readiness - Mainline</t>
        </is>
      </c>
      <c r="H62" s="26">
        <f>COUNTIF('MASTER DATA'!$A$2:$A$1627,"=1.5.1.1")</f>
        <v/>
      </c>
      <c r="I62" s="26">
        <f>SUM(H62:H62)</f>
        <v/>
      </c>
      <c r="J62" s="10" t="inlineStr">
        <is>
          <t>No relationships</t>
        </is>
      </c>
    </row>
    <row r="63" outlineLevel="3" ht="79" customHeight="1">
      <c r="A63" s="36" t="n">
        <v>4</v>
      </c>
      <c r="B63" s="23" t="inlineStr">
        <is>
          <t>1.5.1.2</t>
        </is>
      </c>
      <c r="C63" s="23" t="inlineStr">
        <is>
          <t>│  │  └─ 1.5.1.2 Test Readiness - Depot &amp; Stations</t>
        </is>
      </c>
      <c r="G63" s="23" t="inlineStr">
        <is>
          <t>1.5.1.2 Test Readiness - Depot &amp; Stations</t>
        </is>
      </c>
      <c r="H63" s="26">
        <f>COUNTIF('MASTER DATA'!$A$2:$A$1627,"=1.5.1.2")</f>
        <v/>
      </c>
      <c r="I63" s="26">
        <f>SUM(H63:H63)</f>
        <v/>
      </c>
      <c r="J63" s="10" t="inlineStr">
        <is>
          <t>No relationships</t>
        </is>
      </c>
    </row>
    <row r="64" outlineLevel="2" ht="79" customHeight="1">
      <c r="A64" s="36" t="n">
        <v>3</v>
      </c>
      <c r="B64" s="23" t="inlineStr">
        <is>
          <t>1.5.2</t>
        </is>
      </c>
      <c r="C64" s="23" t="inlineStr">
        <is>
          <t>│  ├─ 1.5.2 Testing and Commissioning - Dynamic Testing</t>
        </is>
      </c>
      <c r="F64" s="23" t="inlineStr">
        <is>
          <t>1.5.2 Testing and Commissioning - Dynamic Testing</t>
        </is>
      </c>
      <c r="H64" s="26">
        <f>COUNTIF('MASTER DATA'!$A$2:$A$1627,"=1.5.2")</f>
        <v/>
      </c>
      <c r="I64" s="26">
        <f>SUM(H64:H66)</f>
        <v/>
      </c>
      <c r="J64" s="29" t="inlineStr">
        <is>
          <t>08 CROSSWALK</t>
        </is>
      </c>
    </row>
    <row r="65" outlineLevel="3" ht="79" customHeight="1">
      <c r="A65" s="36" t="n">
        <v>4</v>
      </c>
      <c r="B65" s="23" t="inlineStr">
        <is>
          <t>1.5.2.1</t>
        </is>
      </c>
      <c r="C65" s="23" t="inlineStr">
        <is>
          <t>│  │  ├─ 1.5.2.1 Dynamic Testing - Mainline</t>
        </is>
      </c>
      <c r="G65" s="23" t="inlineStr">
        <is>
          <t>1.5.2.1 Dynamic Testing - Mainline</t>
        </is>
      </c>
      <c r="H65" s="26">
        <f>COUNTIF('MASTER DATA'!$A$2:$A$1627,"=1.5.2.1")</f>
        <v/>
      </c>
      <c r="I65" s="26">
        <f>SUM(H65:H65)</f>
        <v/>
      </c>
      <c r="J65" s="10" t="inlineStr">
        <is>
          <t>No relationships</t>
        </is>
      </c>
    </row>
    <row r="66" outlineLevel="3" ht="79" customHeight="1">
      <c r="A66" s="36" t="n">
        <v>4</v>
      </c>
      <c r="B66" s="23" t="inlineStr">
        <is>
          <t>1.5.2.2</t>
        </is>
      </c>
      <c r="C66" s="23" t="inlineStr">
        <is>
          <t>│  │  └─ 1.5.2.2 Dynamic Testing - Depot &amp; Stations</t>
        </is>
      </c>
      <c r="G66" s="23" t="inlineStr">
        <is>
          <t>1.5.2.2 Dynamic Testing - Depot &amp; Stations</t>
        </is>
      </c>
      <c r="H66" s="26">
        <f>COUNTIF('MASTER DATA'!$A$2:$A$1627,"=1.5.2.2")</f>
        <v/>
      </c>
      <c r="I66" s="26">
        <f>SUM(H66:H66)</f>
        <v/>
      </c>
      <c r="J66" s="10" t="inlineStr">
        <is>
          <t>No relationships</t>
        </is>
      </c>
    </row>
    <row r="67" outlineLevel="2" ht="79" customHeight="1">
      <c r="A67" s="36" t="n">
        <v>3</v>
      </c>
      <c r="B67" s="23" t="inlineStr">
        <is>
          <t>1.5.3</t>
        </is>
      </c>
      <c r="C67" s="23" t="inlineStr">
        <is>
          <t>│  ├─ 1.5.3 Testing and Commissioning - Safety Certification</t>
        </is>
      </c>
      <c r="F67" s="23" t="inlineStr">
        <is>
          <t>1.5.3 Testing and Commissioning - Safety Certification</t>
        </is>
      </c>
      <c r="H67" s="26">
        <f>COUNTIF('MASTER DATA'!$A$2:$A$1627,"=1.5.3")</f>
        <v/>
      </c>
      <c r="I67" s="26">
        <f>SUM(H67:H69)</f>
        <v/>
      </c>
      <c r="J67" s="10" t="inlineStr">
        <is>
          <t>No relationships</t>
        </is>
      </c>
    </row>
    <row r="68" outlineLevel="3" ht="79" customHeight="1">
      <c r="A68" s="36" t="n">
        <v>4</v>
      </c>
      <c r="B68" s="23" t="inlineStr">
        <is>
          <t>1.5.3.1</t>
        </is>
      </c>
      <c r="C68" s="23" t="inlineStr">
        <is>
          <t>│  │  ├─ 1.5.3.1 Safety Certification - Mainline</t>
        </is>
      </c>
      <c r="G68" s="23" t="inlineStr">
        <is>
          <t>1.5.3.1 Safety Certification - Mainline</t>
        </is>
      </c>
      <c r="H68" s="26">
        <f>COUNTIF('MASTER DATA'!$A$2:$A$1627,"=1.5.3.1")</f>
        <v/>
      </c>
      <c r="I68" s="26">
        <f>SUM(H68:H68)</f>
        <v/>
      </c>
      <c r="J68" s="10" t="inlineStr">
        <is>
          <t>No relationships</t>
        </is>
      </c>
    </row>
    <row r="69" outlineLevel="3" ht="79" customHeight="1">
      <c r="A69" s="36" t="n">
        <v>4</v>
      </c>
      <c r="B69" s="23" t="inlineStr">
        <is>
          <t>1.5.3.2</t>
        </is>
      </c>
      <c r="C69" s="23" t="inlineStr">
        <is>
          <t>│  │  └─ 1.5.3.2 Safety Certification - Depot &amp; Stations</t>
        </is>
      </c>
      <c r="G69" s="23" t="inlineStr">
        <is>
          <t>1.5.3.2 Safety Certification - Depot &amp; Stations</t>
        </is>
      </c>
      <c r="H69" s="26">
        <f>COUNTIF('MASTER DATA'!$A$2:$A$1627,"=1.5.3.2")</f>
        <v/>
      </c>
      <c r="I69" s="26">
        <f>SUM(H69:H69)</f>
        <v/>
      </c>
      <c r="J69" s="10" t="inlineStr">
        <is>
          <t>No relationships</t>
        </is>
      </c>
    </row>
    <row r="70" outlineLevel="2" ht="79" customHeight="1">
      <c r="A70" s="36" t="n">
        <v>3</v>
      </c>
      <c r="B70" s="23" t="inlineStr">
        <is>
          <t>1.5.4</t>
        </is>
      </c>
      <c r="C70" s="23" t="inlineStr">
        <is>
          <t>│  └─ 1.5.4 Testing and Commissioning - Service Readiness</t>
        </is>
      </c>
      <c r="F70" s="23" t="inlineStr">
        <is>
          <t>1.5.4 Testing and Commissioning - Service Readiness</t>
        </is>
      </c>
      <c r="H70" s="26">
        <f>COUNTIF('MASTER DATA'!$A$2:$A$1627,"=1.5.4")</f>
        <v/>
      </c>
      <c r="I70" s="26">
        <f>SUM(H70:H72)</f>
        <v/>
      </c>
      <c r="J70" s="10" t="inlineStr">
        <is>
          <t>No relationships</t>
        </is>
      </c>
    </row>
    <row r="71" outlineLevel="3" ht="79" customHeight="1">
      <c r="A71" s="36" t="n">
        <v>4</v>
      </c>
      <c r="B71" s="23" t="inlineStr">
        <is>
          <t>1.5.4.1</t>
        </is>
      </c>
      <c r="C71" s="23" t="inlineStr">
        <is>
          <t>│     ├─ 1.5.4.1 Service Readiness - Mainline</t>
        </is>
      </c>
      <c r="G71" s="23" t="inlineStr">
        <is>
          <t>1.5.4.1 Service Readiness - Mainline</t>
        </is>
      </c>
      <c r="H71" s="26">
        <f>COUNTIF('MASTER DATA'!$A$2:$A$1627,"=1.5.4.1")</f>
        <v/>
      </c>
      <c r="I71" s="26">
        <f>SUM(H71:H71)</f>
        <v/>
      </c>
      <c r="J71" s="10" t="inlineStr">
        <is>
          <t>No relationships</t>
        </is>
      </c>
    </row>
    <row r="72" outlineLevel="3" ht="79" customHeight="1">
      <c r="A72" s="36" t="n">
        <v>4</v>
      </c>
      <c r="B72" s="23" t="inlineStr">
        <is>
          <t>1.5.4.2</t>
        </is>
      </c>
      <c r="C72" s="23" t="inlineStr">
        <is>
          <t>│     └─ 1.5.4.2 Service Readiness - Depot &amp; Stations</t>
        </is>
      </c>
      <c r="G72" s="23" t="inlineStr">
        <is>
          <t>1.5.4.2 Service Readiness - Depot &amp; Stations</t>
        </is>
      </c>
      <c r="H72" s="26">
        <f>COUNTIF('MASTER DATA'!$A$2:$A$1627,"=1.5.4.2")</f>
        <v/>
      </c>
      <c r="I72" s="26">
        <f>SUM(H72:H72)</f>
        <v/>
      </c>
      <c r="J72" s="10" t="inlineStr">
        <is>
          <t>No relationships</t>
        </is>
      </c>
    </row>
    <row r="73" outlineLevel="1" ht="79" customHeight="1">
      <c r="A73" s="36" t="n">
        <v>2</v>
      </c>
      <c r="B73" s="23" t="inlineStr">
        <is>
          <t>1.6</t>
        </is>
      </c>
      <c r="C73" s="23" t="inlineStr">
        <is>
          <t>└─ 1.6 Program Management</t>
        </is>
      </c>
      <c r="E73" s="23" t="inlineStr">
        <is>
          <t>1.6 Program Management</t>
        </is>
      </c>
      <c r="H73" s="26">
        <f>COUNTIF('MASTER DATA'!$A$2:$A$1627,"=1.6")</f>
        <v/>
      </c>
      <c r="I73" s="26">
        <f>SUM(H73:H85)</f>
        <v/>
      </c>
      <c r="J73" s="29" t="inlineStr">
        <is>
          <t>08 CROSSWALK</t>
        </is>
      </c>
    </row>
    <row r="74" outlineLevel="2" ht="79" customHeight="1">
      <c r="A74" s="36" t="n">
        <v>3</v>
      </c>
      <c r="B74" s="23" t="inlineStr">
        <is>
          <t>1.6.1</t>
        </is>
      </c>
      <c r="C74" s="23" t="inlineStr">
        <is>
          <t xml:space="preserve">   ├─ 1.6.1 Program Management - Program Controls</t>
        </is>
      </c>
      <c r="F74" s="23" t="inlineStr">
        <is>
          <t>1.6.1 Program Management - Program Controls</t>
        </is>
      </c>
      <c r="H74" s="26">
        <f>COUNTIF('MASTER DATA'!$A$2:$A$1627,"=1.6.1")</f>
        <v/>
      </c>
      <c r="I74" s="26">
        <f>SUM(H74:H76)</f>
        <v/>
      </c>
      <c r="J74" s="29" t="inlineStr">
        <is>
          <t>08 CROSSWALK</t>
        </is>
      </c>
    </row>
    <row r="75" outlineLevel="3" ht="79" customHeight="1">
      <c r="A75" s="36" t="n">
        <v>4</v>
      </c>
      <c r="B75" s="23" t="inlineStr">
        <is>
          <t>1.6.1.1</t>
        </is>
      </c>
      <c r="C75" s="23" t="inlineStr">
        <is>
          <t xml:space="preserve">   │  ├─ 1.6.1.1 Program Controls - Owner Team</t>
        </is>
      </c>
      <c r="G75" s="23" t="inlineStr">
        <is>
          <t>1.6.1.1 Program Controls - Owner Team</t>
        </is>
      </c>
      <c r="H75" s="26">
        <f>COUNTIF('MASTER DATA'!$A$2:$A$1627,"=1.6.1.1")</f>
        <v/>
      </c>
      <c r="I75" s="26">
        <f>SUM(H75:H75)</f>
        <v/>
      </c>
      <c r="J75" s="10" t="inlineStr">
        <is>
          <t>No relationships</t>
        </is>
      </c>
    </row>
    <row r="76" outlineLevel="3" ht="79" customHeight="1">
      <c r="A76" s="36" t="n">
        <v>4</v>
      </c>
      <c r="B76" s="23" t="inlineStr">
        <is>
          <t>1.6.1.2</t>
        </is>
      </c>
      <c r="C76" s="23" t="inlineStr">
        <is>
          <t xml:space="preserve">   │  └─ 1.6.1.2 Program Controls - Delivery Partners</t>
        </is>
      </c>
      <c r="G76" s="23" t="inlineStr">
        <is>
          <t>1.6.1.2 Program Controls - Delivery Partners</t>
        </is>
      </c>
      <c r="H76" s="26">
        <f>COUNTIF('MASTER DATA'!$A$2:$A$1627,"=1.6.1.2")</f>
        <v/>
      </c>
      <c r="I76" s="26">
        <f>SUM(H76:H76)</f>
        <v/>
      </c>
      <c r="J76" s="10" t="inlineStr">
        <is>
          <t>No relationships</t>
        </is>
      </c>
    </row>
    <row r="77" outlineLevel="2" ht="79" customHeight="1">
      <c r="A77" s="36" t="n">
        <v>3</v>
      </c>
      <c r="B77" s="23" t="inlineStr">
        <is>
          <t>1.6.2</t>
        </is>
      </c>
      <c r="C77" s="23" t="inlineStr">
        <is>
          <t xml:space="preserve">   ├─ 1.6.2 Program Management - Commercial &amp; Procurement</t>
        </is>
      </c>
      <c r="F77" s="23" t="inlineStr">
        <is>
          <t>1.6.2 Program Management - Commercial &amp; Procurement</t>
        </is>
      </c>
      <c r="H77" s="26">
        <f>COUNTIF('MASTER DATA'!$A$2:$A$1627,"=1.6.2")</f>
        <v/>
      </c>
      <c r="I77" s="26">
        <f>SUM(H77:H79)</f>
        <v/>
      </c>
      <c r="J77" s="29" t="inlineStr">
        <is>
          <t>08 CROSSWALK</t>
        </is>
      </c>
    </row>
    <row r="78" outlineLevel="3" ht="79" customHeight="1">
      <c r="A78" s="36" t="n">
        <v>4</v>
      </c>
      <c r="B78" s="23" t="inlineStr">
        <is>
          <t>1.6.2.1</t>
        </is>
      </c>
      <c r="C78" s="23" t="inlineStr">
        <is>
          <t xml:space="preserve">   │  ├─ 1.6.2.1 Commercial &amp; Procurement - Owner Team</t>
        </is>
      </c>
      <c r="G78" s="23" t="inlineStr">
        <is>
          <t>1.6.2.1 Commercial &amp; Procurement - Owner Team</t>
        </is>
      </c>
      <c r="H78" s="26">
        <f>COUNTIF('MASTER DATA'!$A$2:$A$1627,"=1.6.2.1")</f>
        <v/>
      </c>
      <c r="I78" s="26">
        <f>SUM(H78:H78)</f>
        <v/>
      </c>
      <c r="J78" s="10" t="inlineStr">
        <is>
          <t>No relationships</t>
        </is>
      </c>
    </row>
    <row r="79" outlineLevel="3" ht="79" customHeight="1">
      <c r="A79" s="36" t="n">
        <v>4</v>
      </c>
      <c r="B79" s="23" t="inlineStr">
        <is>
          <t>1.6.2.2</t>
        </is>
      </c>
      <c r="C79" s="23" t="inlineStr">
        <is>
          <t xml:space="preserve">   │  └─ 1.6.2.2 Commercial &amp; Procurement - Delivery Partners</t>
        </is>
      </c>
      <c r="G79" s="23" t="inlineStr">
        <is>
          <t>1.6.2.2 Commercial &amp; Procurement - Delivery Partners</t>
        </is>
      </c>
      <c r="H79" s="26">
        <f>COUNTIF('MASTER DATA'!$A$2:$A$1627,"=1.6.2.2")</f>
        <v/>
      </c>
      <c r="I79" s="26">
        <f>SUM(H79:H79)</f>
        <v/>
      </c>
      <c r="J79" s="10" t="inlineStr">
        <is>
          <t>No relationships</t>
        </is>
      </c>
    </row>
    <row r="80" outlineLevel="2" ht="79" customHeight="1">
      <c r="A80" s="36" t="n">
        <v>3</v>
      </c>
      <c r="B80" s="23" t="inlineStr">
        <is>
          <t>1.6.3</t>
        </is>
      </c>
      <c r="C80" s="23" t="inlineStr">
        <is>
          <t xml:space="preserve">   ├─ 1.6.3 Program Management - Stakeholder &amp; Permits</t>
        </is>
      </c>
      <c r="F80" s="23" t="inlineStr">
        <is>
          <t>1.6.3 Program Management - Stakeholder &amp; Permits</t>
        </is>
      </c>
      <c r="H80" s="26">
        <f>COUNTIF('MASTER DATA'!$A$2:$A$1627,"=1.6.3")</f>
        <v/>
      </c>
      <c r="I80" s="26">
        <f>SUM(H80:H82)</f>
        <v/>
      </c>
      <c r="J80" s="10" t="inlineStr">
        <is>
          <t>No relationships</t>
        </is>
      </c>
    </row>
    <row r="81" outlineLevel="3" ht="79" customHeight="1">
      <c r="A81" s="36" t="n">
        <v>4</v>
      </c>
      <c r="B81" s="23" t="inlineStr">
        <is>
          <t>1.6.3.1</t>
        </is>
      </c>
      <c r="C81" s="23" t="inlineStr">
        <is>
          <t xml:space="preserve">   │  ├─ 1.6.3.1 Stakeholder &amp; Permits - Owner Team</t>
        </is>
      </c>
      <c r="G81" s="23" t="inlineStr">
        <is>
          <t>1.6.3.1 Stakeholder &amp; Permits - Owner Team</t>
        </is>
      </c>
      <c r="H81" s="26">
        <f>COUNTIF('MASTER DATA'!$A$2:$A$1627,"=1.6.3.1")</f>
        <v/>
      </c>
      <c r="I81" s="26">
        <f>SUM(H81:H81)</f>
        <v/>
      </c>
      <c r="J81" s="10" t="inlineStr">
        <is>
          <t>No relationships</t>
        </is>
      </c>
    </row>
    <row r="82" outlineLevel="3" ht="79" customHeight="1">
      <c r="A82" s="36" t="n">
        <v>4</v>
      </c>
      <c r="B82" s="23" t="inlineStr">
        <is>
          <t>1.6.3.2</t>
        </is>
      </c>
      <c r="C82" s="23" t="inlineStr">
        <is>
          <t xml:space="preserve">   │  └─ 1.6.3.2 Stakeholder &amp; Permits - Delivery Partners</t>
        </is>
      </c>
      <c r="G82" s="23" t="inlineStr">
        <is>
          <t>1.6.3.2 Stakeholder &amp; Permits - Delivery Partners</t>
        </is>
      </c>
      <c r="H82" s="26">
        <f>COUNTIF('MASTER DATA'!$A$2:$A$1627,"=1.6.3.2")</f>
        <v/>
      </c>
      <c r="I82" s="26">
        <f>SUM(H82:H82)</f>
        <v/>
      </c>
      <c r="J82" s="10" t="inlineStr">
        <is>
          <t>No relationships</t>
        </is>
      </c>
    </row>
    <row r="83" outlineLevel="2" ht="79" customHeight="1">
      <c r="A83" s="36" t="n">
        <v>3</v>
      </c>
      <c r="B83" s="23" t="inlineStr">
        <is>
          <t>1.6.4</t>
        </is>
      </c>
      <c r="C83" s="23" t="inlineStr">
        <is>
          <t xml:space="preserve">   └─ 1.6.4 Program Management - Delivery Integration</t>
        </is>
      </c>
      <c r="F83" s="23" t="inlineStr">
        <is>
          <t>1.6.4 Program Management - Delivery Integration</t>
        </is>
      </c>
      <c r="H83" s="26">
        <f>COUNTIF('MASTER DATA'!$A$2:$A$1627,"=1.6.4")</f>
        <v/>
      </c>
      <c r="I83" s="26">
        <f>SUM(H83:H85)</f>
        <v/>
      </c>
      <c r="J83" s="10" t="inlineStr">
        <is>
          <t>No relationships</t>
        </is>
      </c>
    </row>
    <row r="84" outlineLevel="3" ht="79" customHeight="1">
      <c r="A84" s="36" t="n">
        <v>4</v>
      </c>
      <c r="B84" s="23" t="inlineStr">
        <is>
          <t>1.6.4.1</t>
        </is>
      </c>
      <c r="C84" s="23" t="inlineStr">
        <is>
          <t xml:space="preserve">      ├─ 1.6.4.1 Delivery Integration - Owner Team</t>
        </is>
      </c>
      <c r="G84" s="23" t="inlineStr">
        <is>
          <t>1.6.4.1 Delivery Integration - Owner Team</t>
        </is>
      </c>
      <c r="H84" s="26">
        <f>COUNTIF('MASTER DATA'!$A$2:$A$1627,"=1.6.4.1")</f>
        <v/>
      </c>
      <c r="I84" s="26">
        <f>SUM(H84:H84)</f>
        <v/>
      </c>
      <c r="J84" s="10" t="inlineStr">
        <is>
          <t>No relationships</t>
        </is>
      </c>
    </row>
    <row r="85" outlineLevel="3" ht="79" customHeight="1">
      <c r="A85" s="36" t="n">
        <v>4</v>
      </c>
      <c r="B85" s="23" t="inlineStr">
        <is>
          <t>1.6.4.2</t>
        </is>
      </c>
      <c r="C85" s="23" t="inlineStr">
        <is>
          <t xml:space="preserve">      └─ 1.6.4.2 Delivery Integration - Delivery Partners</t>
        </is>
      </c>
      <c r="G85" s="23" t="inlineStr">
        <is>
          <t>1.6.4.2 Delivery Integration - Delivery Partners</t>
        </is>
      </c>
      <c r="H85" s="26">
        <f>COUNTIF('MASTER DATA'!$A$2:$A$1627,"=1.6.4.2")</f>
        <v/>
      </c>
      <c r="I85" s="26">
        <f>SUM(H85:H85)</f>
        <v/>
      </c>
      <c r="J85" s="10" t="inlineStr">
        <is>
          <t>No relationships</t>
        </is>
      </c>
    </row>
    <row r="86"/>
    <row r="87" ht="66" customHeight="1">
      <c r="A87" s="63" t="inlineStr">
        <is>
          <t>Not attached to an element of this WBS (unresolved outcome or retired)</t>
        </is>
      </c>
      <c r="B87" s="16" t="n"/>
    </row>
    <row r="88" ht="79" customHeight="1">
      <c r="B88" s="23" t="inlineStr">
        <is>
          <t>NEW_SCOPE</t>
        </is>
      </c>
      <c r="H88" s="26">
        <f>COUNTIF('MASTER DATA'!$A$2:$A$1627,"=NEW_SCOPE")</f>
        <v/>
      </c>
    </row>
    <row r="89" ht="79" customHeight="1">
      <c r="B89" s="23" t="inlineStr">
        <is>
          <t>NO_WBS</t>
        </is>
      </c>
      <c r="H89" s="26">
        <f>COUNTIF('MASTER DATA'!$A$2:$A$1627,"=NO_WBS")</f>
        <v/>
      </c>
    </row>
    <row r="90" ht="79" customHeight="1">
      <c r="B90" s="23" t="inlineStr">
        <is>
          <t>UNSURE</t>
        </is>
      </c>
      <c r="H90" s="26">
        <f>COUNTIF('MASTER DATA'!$A$2:$A$1627,"=UNSURE")</f>
        <v/>
      </c>
    </row>
    <row r="91"/>
    <row r="92" ht="90" customHeight="1">
      <c r="A92" s="54" t="inlineStr">
        <is>
          <t>Total relationship rows (MASTER DATA)</t>
        </is>
      </c>
      <c r="H92" s="22">
        <f>COUNTA('MASTER DATA'!$O$2:$O$1627)</f>
        <v/>
      </c>
    </row>
    <row r="93" ht="139" customHeight="1">
      <c r="A93" s="64" t="inlineStr">
        <is>
          <t>Check: elements + not attached = total</t>
        </is>
      </c>
      <c r="H93" s="10">
        <f>IF(SUM(H7:H85)+SUM(H88:H90)=COUNTA('MASTER DATA'!$O$2:$O$1627),"reconciled","DOES NOT RECONCILE")</f>
        <v/>
      </c>
    </row>
  </sheetData>
  <autoFilter ref="A6:J85"/>
  <mergeCells count="5">
    <mergeCell ref="A1:D1"/>
    <mergeCell ref="A5:D5"/>
    <mergeCell ref="A4:D4"/>
    <mergeCell ref="A2:D2"/>
    <mergeCell ref="A87:B87"/>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 xmlns:r="http://schemas.openxmlformats.org/officeDocument/2006/relationships" ref="A4" r:id="rId9"/>
    <hyperlink xmlns:r="http://schemas.openxmlformats.org/officeDocument/2006/relationships" ref="J7" r:id="rId10"/>
    <hyperlink xmlns:r="http://schemas.openxmlformats.org/officeDocument/2006/relationships" ref="J8" r:id="rId11"/>
    <hyperlink xmlns:r="http://schemas.openxmlformats.org/officeDocument/2006/relationships" ref="J9" r:id="rId12"/>
    <hyperlink xmlns:r="http://schemas.openxmlformats.org/officeDocument/2006/relationships" ref="J12" r:id="rId13"/>
    <hyperlink xmlns:r="http://schemas.openxmlformats.org/officeDocument/2006/relationships" ref="J21" r:id="rId14"/>
    <hyperlink xmlns:r="http://schemas.openxmlformats.org/officeDocument/2006/relationships" ref="J22" r:id="rId15"/>
    <hyperlink xmlns:r="http://schemas.openxmlformats.org/officeDocument/2006/relationships" ref="J25" r:id="rId16"/>
    <hyperlink xmlns:r="http://schemas.openxmlformats.org/officeDocument/2006/relationships" ref="J34" r:id="rId17"/>
    <hyperlink xmlns:r="http://schemas.openxmlformats.org/officeDocument/2006/relationships" ref="J35" r:id="rId18"/>
    <hyperlink xmlns:r="http://schemas.openxmlformats.org/officeDocument/2006/relationships" ref="J38" r:id="rId19"/>
    <hyperlink xmlns:r="http://schemas.openxmlformats.org/officeDocument/2006/relationships" ref="J47" r:id="rId20"/>
    <hyperlink xmlns:r="http://schemas.openxmlformats.org/officeDocument/2006/relationships" ref="J48" r:id="rId21"/>
    <hyperlink xmlns:r="http://schemas.openxmlformats.org/officeDocument/2006/relationships" ref="J51" r:id="rId22"/>
    <hyperlink xmlns:r="http://schemas.openxmlformats.org/officeDocument/2006/relationships" ref="J60" r:id="rId23"/>
    <hyperlink xmlns:r="http://schemas.openxmlformats.org/officeDocument/2006/relationships" ref="J61" r:id="rId24"/>
    <hyperlink xmlns:r="http://schemas.openxmlformats.org/officeDocument/2006/relationships" ref="J64" r:id="rId25"/>
    <hyperlink xmlns:r="http://schemas.openxmlformats.org/officeDocument/2006/relationships" ref="J73" r:id="rId26"/>
    <hyperlink xmlns:r="http://schemas.openxmlformats.org/officeDocument/2006/relationships" ref="J74" r:id="rId27"/>
    <hyperlink xmlns:r="http://schemas.openxmlformats.org/officeDocument/2006/relationships" ref="J77" r:id="rId28"/>
  </hyperlinks>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tabColor rgb="008B8F97"/>
    <outlinePr summaryBelow="0" summaryRight="0"/>
    <pageSetUpPr fitToPage="1"/>
  </sheetPr>
  <dimension ref="A1:H43"/>
  <sheetViews>
    <sheetView showGridLines="0" tabSelected="0" topLeftCell="A1" zoomScale="100" zoomScaleNormal="100" workbookViewId="0">
      <pane ySplit="3" topLeftCell="A4"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ht="33.2" customHeight="1">
      <c r="A1" s="9" t="inlineStr">
        <is>
          <t>ANALYSIS</t>
        </is>
      </c>
    </row>
    <row r="2" ht="35.92" customHeight="1">
      <c r="A2" s="10" t="inlineStr">
        <is>
          <t>Governed dimensions cross-tabulated from MASTER DATA. Native Excel formulas: they recalculate from the record-level rows and check themselves against the total.</t>
        </is>
      </c>
    </row>
    <row r="3" ht="19" customHeight="1">
      <c r="A3" s="11" t="inlineStr">
        <is>
          <t>Executive</t>
        </is>
      </c>
      <c r="B3" s="11" t="inlineStr">
        <is>
          <t>Issues</t>
        </is>
      </c>
      <c r="C3" s="11" t="inlineStr">
        <is>
          <t>Integration</t>
        </is>
      </c>
      <c r="D3" s="11" t="inlineStr">
        <is>
          <t>Project</t>
        </is>
      </c>
      <c r="E3" s="11" t="inlineStr">
        <is>
          <t>Changes</t>
        </is>
      </c>
      <c r="F3" s="11" t="inlineStr">
        <is>
          <t>Crosswalk</t>
        </is>
      </c>
      <c r="G3" s="11" t="inlineStr">
        <is>
          <t>Evidence</t>
        </is>
      </c>
      <c r="H3" s="11" t="inlineStr">
        <is>
          <t>Sources</t>
        </is>
      </c>
    </row>
    <row r="4"/>
    <row r="5" ht="139" customHeight="1">
      <c r="A5" s="31" t="inlineStr">
        <is>
          <t>Counts are relationship ROWS in MASTER DATA: one row per record-to-WBS target. A relationship split across several WBS targets has one row per target; NO_WBS / NEW_SCOPE / UNSURE rows carry the outcome in the WBS Code column; retired rows (Relationship State RETIRED) are included, as in MASTER DATA -- filter Relationship State to exclude them.</t>
        </is>
      </c>
    </row>
    <row r="6"/>
    <row r="7" ht="34" customHeight="1">
      <c r="A7" s="22" t="inlineStr">
        <is>
          <t>Relationship state × basis of authority</t>
        </is>
      </c>
    </row>
    <row r="8" ht="79" customHeight="1">
      <c r="A8" s="31" t="inlineStr">
        <is>
          <t>Who or what established each relationship row: professional decision, carried-forward decision, source assignment, approved project rule, or WBS↔LINK (not individually reviewed).</t>
        </is>
      </c>
    </row>
    <row r="9" ht="79" customHeight="1">
      <c r="A9" s="12" t="inlineStr">
        <is>
          <t>Relationship State</t>
        </is>
      </c>
      <c r="B9" s="12" t="inlineStr">
        <is>
          <t>Professional decision</t>
        </is>
      </c>
      <c r="C9" s="12" t="inlineStr">
        <is>
          <t>Earlier professional decision, carried forward</t>
        </is>
      </c>
      <c r="D9" s="12" t="inlineStr">
        <is>
          <t>Source assignment -- not individually reviewed</t>
        </is>
      </c>
      <c r="E9" s="12" t="inlineStr">
        <is>
          <t>Retired -- no longer reported</t>
        </is>
      </c>
      <c r="F9" s="12" t="inlineStr">
        <is>
          <t>Total</t>
        </is>
      </c>
      <c r="G9" s="12" t="inlineStr">
        <is>
          <t>Inspect</t>
        </is>
      </c>
    </row>
    <row r="10" ht="169" customHeight="1">
      <c r="A10" s="54" t="inlineStr">
        <is>
          <t>APPROVED</t>
        </is>
      </c>
      <c r="B10" s="26">
        <f>COUNTIFS('MASTER DATA'!$G$2:$G$1627,"=APPROVED",'MASTER DATA'!$I$2:$I$1627,"=Professional decision")</f>
        <v/>
      </c>
      <c r="C10" s="26">
        <f>COUNTIFS('MASTER DATA'!$G$2:$G$1627,"=APPROVED",'MASTER DATA'!$I$2:$I$1627,"=Earlier professional decision, carried forward")</f>
        <v/>
      </c>
      <c r="D10" s="26">
        <f>COUNTIFS('MASTER DATA'!$G$2:$G$1627,"=APPROVED",'MASTER DATA'!$I$2:$I$1627,"=Source assignment -- not individually reviewed")</f>
        <v/>
      </c>
      <c r="E10" s="26">
        <f>COUNTIFS('MASTER DATA'!$G$2:$G$1627,"=APPROVED",'MASTER DATA'!$I$2:$I$1627,"=Retired -- no longer reported")</f>
        <v/>
      </c>
      <c r="F10" s="22">
        <f>SUM(B10:E10)</f>
        <v/>
      </c>
      <c r="G10" s="29" t="inlineStr">
        <is>
          <t>08 CROSSWALK</t>
        </is>
      </c>
    </row>
    <row r="11" ht="169" customHeight="1">
      <c r="A11" s="54" t="inlineStr">
        <is>
          <t>RETAINED</t>
        </is>
      </c>
      <c r="B11" s="26">
        <f>COUNTIFS('MASTER DATA'!$G$2:$G$1627,"=RETAINED",'MASTER DATA'!$I$2:$I$1627,"=Professional decision")</f>
        <v/>
      </c>
      <c r="C11" s="26">
        <f>COUNTIFS('MASTER DATA'!$G$2:$G$1627,"=RETAINED",'MASTER DATA'!$I$2:$I$1627,"=Earlier professional decision, carried forward")</f>
        <v/>
      </c>
      <c r="D11" s="26">
        <f>COUNTIFS('MASTER DATA'!$G$2:$G$1627,"=RETAINED",'MASTER DATA'!$I$2:$I$1627,"=Source assignment -- not individually reviewed")</f>
        <v/>
      </c>
      <c r="E11" s="26">
        <f>COUNTIFS('MASTER DATA'!$G$2:$G$1627,"=RETAINED",'MASTER DATA'!$I$2:$I$1627,"=Retired -- no longer reported")</f>
        <v/>
      </c>
      <c r="F11" s="22">
        <f>SUM(B11:E11)</f>
        <v/>
      </c>
      <c r="G11" s="29" t="inlineStr">
        <is>
          <t>08 CROSSWALK</t>
        </is>
      </c>
    </row>
    <row r="12" ht="169" customHeight="1">
      <c r="A12" s="54" t="inlineStr">
        <is>
          <t>RETIRED</t>
        </is>
      </c>
      <c r="B12" s="26">
        <f>COUNTIFS('MASTER DATA'!$G$2:$G$1627,"=RETIRED",'MASTER DATA'!$I$2:$I$1627,"=Professional decision")</f>
        <v/>
      </c>
      <c r="C12" s="26">
        <f>COUNTIFS('MASTER DATA'!$G$2:$G$1627,"=RETIRED",'MASTER DATA'!$I$2:$I$1627,"=Earlier professional decision, carried forward")</f>
        <v/>
      </c>
      <c r="D12" s="26">
        <f>COUNTIFS('MASTER DATA'!$G$2:$G$1627,"=RETIRED",'MASTER DATA'!$I$2:$I$1627,"=Source assignment -- not individually reviewed")</f>
        <v/>
      </c>
      <c r="E12" s="26">
        <f>COUNTIFS('MASTER DATA'!$G$2:$G$1627,"=RETIRED",'MASTER DATA'!$I$2:$I$1627,"=Retired -- no longer reported")</f>
        <v/>
      </c>
      <c r="F12" s="22">
        <f>SUM(B12:E12)</f>
        <v/>
      </c>
      <c r="G12" s="29" t="inlineStr">
        <is>
          <t>08 CROSSWALK</t>
        </is>
      </c>
    </row>
    <row r="13" ht="169" customHeight="1">
      <c r="A13" s="54" t="inlineStr">
        <is>
          <t>REVALIDATED</t>
        </is>
      </c>
      <c r="B13" s="26">
        <f>COUNTIFS('MASTER DATA'!$G$2:$G$1627,"=REVALIDATED",'MASTER DATA'!$I$2:$I$1627,"=Professional decision")</f>
        <v/>
      </c>
      <c r="C13" s="26">
        <f>COUNTIFS('MASTER DATA'!$G$2:$G$1627,"=REVALIDATED",'MASTER DATA'!$I$2:$I$1627,"=Earlier professional decision, carried forward")</f>
        <v/>
      </c>
      <c r="D13" s="26">
        <f>COUNTIFS('MASTER DATA'!$G$2:$G$1627,"=REVALIDATED",'MASTER DATA'!$I$2:$I$1627,"=Source assignment -- not individually reviewed")</f>
        <v/>
      </c>
      <c r="E13" s="26">
        <f>COUNTIFS('MASTER DATA'!$G$2:$G$1627,"=REVALIDATED",'MASTER DATA'!$I$2:$I$1627,"=Retired -- no longer reported")</f>
        <v/>
      </c>
      <c r="F13" s="22">
        <f>SUM(B13:E13)</f>
        <v/>
      </c>
      <c r="G13" s="29" t="inlineStr">
        <is>
          <t>08 CROSSWALK</t>
        </is>
      </c>
    </row>
    <row r="14" ht="34" customHeight="1">
      <c r="A14" s="54" t="inlineStr">
        <is>
          <t>Total</t>
        </is>
      </c>
      <c r="B14" s="22">
        <f>SUM(B10:B13)</f>
        <v/>
      </c>
      <c r="C14" s="22">
        <f>SUM(C10:C13)</f>
        <v/>
      </c>
      <c r="D14" s="22">
        <f>SUM(D10:D13)</f>
        <v/>
      </c>
      <c r="E14" s="22">
        <f>SUM(E10:E13)</f>
        <v/>
      </c>
      <c r="F14" s="22">
        <f>SUM(F10:F13)</f>
        <v/>
      </c>
    </row>
    <row r="15" ht="109" customHeight="1">
      <c r="A15" s="64" t="inlineStr">
        <is>
          <t>Check: total equals MASTER DATA rows</t>
        </is>
      </c>
      <c r="B15" s="10">
        <f>IF(F14=COUNTA('MASTER DATA'!$O$2:$O$1627),"reconciled","DOES NOT RECONCILE")</f>
        <v/>
      </c>
    </row>
    <row r="16"/>
    <row r="17" ht="34" customHeight="1">
      <c r="A17" s="22" t="inlineStr">
        <is>
          <t>Reporting period · revision × change since the previous approved version</t>
        </is>
      </c>
    </row>
    <row r="18" ht="64" customHeight="1">
      <c r="A18" s="31" t="inlineStr">
        <is>
          <t>Which source revision each relationship row rests on, and whether it was carried forward, revalidated, decided again, new or retired.</t>
        </is>
      </c>
    </row>
    <row r="19" ht="42" customHeight="1">
      <c r="A19" s="12" t="inlineStr">
        <is>
          <t>Source Document · Reporting Period · Revision</t>
        </is>
      </c>
      <c r="B19" s="12" t="inlineStr">
        <is>
          <t>Carried forward</t>
        </is>
      </c>
      <c r="C19" s="12" t="inlineStr">
        <is>
          <t>Re-keyed, revalidated</t>
        </is>
      </c>
      <c r="D19" s="12" t="inlineStr">
        <is>
          <t>Changed, re-decided</t>
        </is>
      </c>
      <c r="E19" s="12" t="inlineStr">
        <is>
          <t>New</t>
        </is>
      </c>
      <c r="F19" s="12" t="inlineStr">
        <is>
          <t>Retired</t>
        </is>
      </c>
      <c r="G19" s="12" t="inlineStr">
        <is>
          <t>Total</t>
        </is>
      </c>
      <c r="H19" s="12" t="inlineStr">
        <is>
          <t>Inspect</t>
        </is>
      </c>
    </row>
    <row r="20" ht="304" customHeight="1">
      <c r="A20" s="54" t="inlineStr">
        <is>
          <t>Commercial Package Register · Commercial Package Register Cycle 2 · Rev 1</t>
        </is>
      </c>
      <c r="B20" s="26">
        <f>COUNTIFS('MASTER DATA'!$C$2:$C$1627,"=Commercial Package Register",'MASTER DATA'!$M$2:$M$1627,"=Commercial Package Register Cycle 2",'MASTER DATA'!$N$2:$N$1627,"=Rev 1",'MASTER DATA'!$H$2:$H$1627,"=Carried forward")</f>
        <v/>
      </c>
      <c r="C20" s="26">
        <f>COUNTIFS('MASTER DATA'!$C$2:$C$1627,"=Commercial Package Register",'MASTER DATA'!$M$2:$M$1627,"=Commercial Package Register Cycle 2",'MASTER DATA'!$N$2:$N$1627,"=Rev 1",'MASTER DATA'!$H$2:$H$1627,"=Re-keyed, revalidated")</f>
        <v/>
      </c>
      <c r="D20" s="26">
        <f>COUNTIFS('MASTER DATA'!$C$2:$C$1627,"=Commercial Package Register",'MASTER DATA'!$M$2:$M$1627,"=Commercial Package Register Cycle 2",'MASTER DATA'!$N$2:$N$1627,"=Rev 1",'MASTER DATA'!$H$2:$H$1627,"=Changed, re-decided")</f>
        <v/>
      </c>
      <c r="E20" s="26">
        <f>COUNTIFS('MASTER DATA'!$C$2:$C$1627,"=Commercial Package Register",'MASTER DATA'!$M$2:$M$1627,"=Commercial Package Register Cycle 2",'MASTER DATA'!$N$2:$N$1627,"=Rev 1",'MASTER DATA'!$H$2:$H$1627,"=New")</f>
        <v/>
      </c>
      <c r="F20" s="26">
        <f>COUNTIFS('MASTER DATA'!$C$2:$C$1627,"=Commercial Package Register",'MASTER DATA'!$M$2:$M$1627,"=Commercial Package Register Cycle 2",'MASTER DATA'!$N$2:$N$1627,"=Rev 1",'MASTER DATA'!$H$2:$H$1627,"=Retired")</f>
        <v/>
      </c>
      <c r="G20" s="22">
        <f>SUM(B20:F20)</f>
        <v/>
      </c>
      <c r="H20" s="29" t="inlineStr">
        <is>
          <t>08 CROSSWALK</t>
        </is>
      </c>
    </row>
    <row r="21" ht="259" customHeight="1">
      <c r="A21" s="54" t="inlineStr">
        <is>
          <t>Commercial Package Register · Initial · Rev 0</t>
        </is>
      </c>
      <c r="B21" s="26">
        <f>COUNTIFS('MASTER DATA'!$C$2:$C$1627,"=Commercial Package Register",'MASTER DATA'!$M$2:$M$1627,"=Initial",'MASTER DATA'!$N$2:$N$1627,"=Rev 0",'MASTER DATA'!$H$2:$H$1627,"=Carried forward")</f>
        <v/>
      </c>
      <c r="C21" s="26">
        <f>COUNTIFS('MASTER DATA'!$C$2:$C$1627,"=Commercial Package Register",'MASTER DATA'!$M$2:$M$1627,"=Initial",'MASTER DATA'!$N$2:$N$1627,"=Rev 0",'MASTER DATA'!$H$2:$H$1627,"=Re-keyed, revalidated")</f>
        <v/>
      </c>
      <c r="D21" s="26">
        <f>COUNTIFS('MASTER DATA'!$C$2:$C$1627,"=Commercial Package Register",'MASTER DATA'!$M$2:$M$1627,"=Initial",'MASTER DATA'!$N$2:$N$1627,"=Rev 0",'MASTER DATA'!$H$2:$H$1627,"=Changed, re-decided")</f>
        <v/>
      </c>
      <c r="E21" s="26">
        <f>COUNTIFS('MASTER DATA'!$C$2:$C$1627,"=Commercial Package Register",'MASTER DATA'!$M$2:$M$1627,"=Initial",'MASTER DATA'!$N$2:$N$1627,"=Rev 0",'MASTER DATA'!$H$2:$H$1627,"=New")</f>
        <v/>
      </c>
      <c r="F21" s="26">
        <f>COUNTIFS('MASTER DATA'!$C$2:$C$1627,"=Commercial Package Register",'MASTER DATA'!$M$2:$M$1627,"=Initial",'MASTER DATA'!$N$2:$N$1627,"=Rev 0",'MASTER DATA'!$H$2:$H$1627,"=Retired")</f>
        <v/>
      </c>
      <c r="G21" s="22">
        <f>SUM(B21:F21)</f>
        <v/>
      </c>
      <c r="H21" s="29" t="inlineStr">
        <is>
          <t>08 CROSSWALK</t>
        </is>
      </c>
    </row>
    <row r="22" ht="289" customHeight="1">
      <c r="A22" s="54" t="inlineStr">
        <is>
          <t>Contractor Programme · Contractor Programme Cycle 2 · Rev 1</t>
        </is>
      </c>
      <c r="B22" s="26">
        <f>COUNTIFS('MASTER DATA'!$C$2:$C$1627,"=Contractor Programme",'MASTER DATA'!$M$2:$M$1627,"=Contractor Programme Cycle 2",'MASTER DATA'!$N$2:$N$1627,"=Rev 1",'MASTER DATA'!$H$2:$H$1627,"=Carried forward")</f>
        <v/>
      </c>
      <c r="C22" s="26">
        <f>COUNTIFS('MASTER DATA'!$C$2:$C$1627,"=Contractor Programme",'MASTER DATA'!$M$2:$M$1627,"=Contractor Programme Cycle 2",'MASTER DATA'!$N$2:$N$1627,"=Rev 1",'MASTER DATA'!$H$2:$H$1627,"=Re-keyed, revalidated")</f>
        <v/>
      </c>
      <c r="D22" s="26">
        <f>COUNTIFS('MASTER DATA'!$C$2:$C$1627,"=Contractor Programme",'MASTER DATA'!$M$2:$M$1627,"=Contractor Programme Cycle 2",'MASTER DATA'!$N$2:$N$1627,"=Rev 1",'MASTER DATA'!$H$2:$H$1627,"=Changed, re-decided")</f>
        <v/>
      </c>
      <c r="E22" s="26">
        <f>COUNTIFS('MASTER DATA'!$C$2:$C$1627,"=Contractor Programme",'MASTER DATA'!$M$2:$M$1627,"=Contractor Programme Cycle 2",'MASTER DATA'!$N$2:$N$1627,"=Rev 1",'MASTER DATA'!$H$2:$H$1627,"=New")</f>
        <v/>
      </c>
      <c r="F22" s="26">
        <f>COUNTIFS('MASTER DATA'!$C$2:$C$1627,"=Contractor Programme",'MASTER DATA'!$M$2:$M$1627,"=Contractor Programme Cycle 2",'MASTER DATA'!$N$2:$N$1627,"=Rev 1",'MASTER DATA'!$H$2:$H$1627,"=Retired")</f>
        <v/>
      </c>
      <c r="G22" s="22">
        <f>SUM(B22:F22)</f>
        <v/>
      </c>
      <c r="H22" s="29" t="inlineStr">
        <is>
          <t>08 CROSSWALK</t>
        </is>
      </c>
    </row>
    <row r="23" ht="259" customHeight="1">
      <c r="A23" s="54" t="inlineStr">
        <is>
          <t>Contractor Programme · Initial · Rev 0</t>
        </is>
      </c>
      <c r="B23" s="26">
        <f>COUNTIFS('MASTER DATA'!$C$2:$C$1627,"=Contractor Programme",'MASTER DATA'!$M$2:$M$1627,"=Initial",'MASTER DATA'!$N$2:$N$1627,"=Rev 0",'MASTER DATA'!$H$2:$H$1627,"=Carried forward")</f>
        <v/>
      </c>
      <c r="C23" s="26">
        <f>COUNTIFS('MASTER DATA'!$C$2:$C$1627,"=Contractor Programme",'MASTER DATA'!$M$2:$M$1627,"=Initial",'MASTER DATA'!$N$2:$N$1627,"=Rev 0",'MASTER DATA'!$H$2:$H$1627,"=Re-keyed, revalidated")</f>
        <v/>
      </c>
      <c r="D23" s="26">
        <f>COUNTIFS('MASTER DATA'!$C$2:$C$1627,"=Contractor Programme",'MASTER DATA'!$M$2:$M$1627,"=Initial",'MASTER DATA'!$N$2:$N$1627,"=Rev 0",'MASTER DATA'!$H$2:$H$1627,"=Changed, re-decided")</f>
        <v/>
      </c>
      <c r="E23" s="26">
        <f>COUNTIFS('MASTER DATA'!$C$2:$C$1627,"=Contractor Programme",'MASTER DATA'!$M$2:$M$1627,"=Initial",'MASTER DATA'!$N$2:$N$1627,"=Rev 0",'MASTER DATA'!$H$2:$H$1627,"=New")</f>
        <v/>
      </c>
      <c r="F23" s="26">
        <f>COUNTIFS('MASTER DATA'!$C$2:$C$1627,"=Contractor Programme",'MASTER DATA'!$M$2:$M$1627,"=Initial",'MASTER DATA'!$N$2:$N$1627,"=Rev 0",'MASTER DATA'!$H$2:$H$1627,"=Retired")</f>
        <v/>
      </c>
      <c r="G23" s="22">
        <f>SUM(B23:F23)</f>
        <v/>
      </c>
      <c r="H23" s="29" t="inlineStr">
        <is>
          <t>08 CROSSWALK</t>
        </is>
      </c>
    </row>
    <row r="24" ht="334" customHeight="1">
      <c r="A24" s="54" t="inlineStr">
        <is>
          <t>Cost &amp; Forecast Control Accounts · Cost &amp; Forecast Control Accounts Cycle 2 · Rev 1</t>
        </is>
      </c>
      <c r="B24" s="26">
        <f>COUNTIFS('MASTER DATA'!$C$2:$C$1627,"=Cost &amp; Forecast Control Accounts",'MASTER DATA'!$M$2:$M$1627,"=Cost &amp; Forecast Control Accounts Cycle 2",'MASTER DATA'!$N$2:$N$1627,"=Rev 1",'MASTER DATA'!$H$2:$H$1627,"=Carried forward")</f>
        <v/>
      </c>
      <c r="C24" s="26">
        <f>COUNTIFS('MASTER DATA'!$C$2:$C$1627,"=Cost &amp; Forecast Control Accounts",'MASTER DATA'!$M$2:$M$1627,"=Cost &amp; Forecast Control Accounts Cycle 2",'MASTER DATA'!$N$2:$N$1627,"=Rev 1",'MASTER DATA'!$H$2:$H$1627,"=Re-keyed, revalidated")</f>
        <v/>
      </c>
      <c r="D24" s="26">
        <f>COUNTIFS('MASTER DATA'!$C$2:$C$1627,"=Cost &amp; Forecast Control Accounts",'MASTER DATA'!$M$2:$M$1627,"=Cost &amp; Forecast Control Accounts Cycle 2",'MASTER DATA'!$N$2:$N$1627,"=Rev 1",'MASTER DATA'!$H$2:$H$1627,"=Changed, re-decided")</f>
        <v/>
      </c>
      <c r="E24" s="26">
        <f>COUNTIFS('MASTER DATA'!$C$2:$C$1627,"=Cost &amp; Forecast Control Accounts",'MASTER DATA'!$M$2:$M$1627,"=Cost &amp; Forecast Control Accounts Cycle 2",'MASTER DATA'!$N$2:$N$1627,"=Rev 1",'MASTER DATA'!$H$2:$H$1627,"=New")</f>
        <v/>
      </c>
      <c r="F24" s="26">
        <f>COUNTIFS('MASTER DATA'!$C$2:$C$1627,"=Cost &amp; Forecast Control Accounts",'MASTER DATA'!$M$2:$M$1627,"=Cost &amp; Forecast Control Accounts Cycle 2",'MASTER DATA'!$N$2:$N$1627,"=Rev 1",'MASTER DATA'!$H$2:$H$1627,"=Retired")</f>
        <v/>
      </c>
      <c r="G24" s="22">
        <f>SUM(B24:F24)</f>
        <v/>
      </c>
      <c r="H24" s="29" t="inlineStr">
        <is>
          <t>08 CROSSWALK</t>
        </is>
      </c>
    </row>
    <row r="25" ht="274" customHeight="1">
      <c r="A25" s="54" t="inlineStr">
        <is>
          <t>Cost &amp; Forecast Control Accounts · Initial · Rev 0</t>
        </is>
      </c>
      <c r="B25" s="26">
        <f>COUNTIFS('MASTER DATA'!$C$2:$C$1627,"=Cost &amp; Forecast Control Accounts",'MASTER DATA'!$M$2:$M$1627,"=Initial",'MASTER DATA'!$N$2:$N$1627,"=Rev 0",'MASTER DATA'!$H$2:$H$1627,"=Carried forward")</f>
        <v/>
      </c>
      <c r="C25" s="26">
        <f>COUNTIFS('MASTER DATA'!$C$2:$C$1627,"=Cost &amp; Forecast Control Accounts",'MASTER DATA'!$M$2:$M$1627,"=Initial",'MASTER DATA'!$N$2:$N$1627,"=Rev 0",'MASTER DATA'!$H$2:$H$1627,"=Re-keyed, revalidated")</f>
        <v/>
      </c>
      <c r="D25" s="26">
        <f>COUNTIFS('MASTER DATA'!$C$2:$C$1627,"=Cost &amp; Forecast Control Accounts",'MASTER DATA'!$M$2:$M$1627,"=Initial",'MASTER DATA'!$N$2:$N$1627,"=Rev 0",'MASTER DATA'!$H$2:$H$1627,"=Changed, re-decided")</f>
        <v/>
      </c>
      <c r="E25" s="26">
        <f>COUNTIFS('MASTER DATA'!$C$2:$C$1627,"=Cost &amp; Forecast Control Accounts",'MASTER DATA'!$M$2:$M$1627,"=Initial",'MASTER DATA'!$N$2:$N$1627,"=Rev 0",'MASTER DATA'!$H$2:$H$1627,"=New")</f>
        <v/>
      </c>
      <c r="F25" s="26">
        <f>COUNTIFS('MASTER DATA'!$C$2:$C$1627,"=Cost &amp; Forecast Control Accounts",'MASTER DATA'!$M$2:$M$1627,"=Initial",'MASTER DATA'!$N$2:$N$1627,"=Rev 0",'MASTER DATA'!$H$2:$H$1627,"=Retired")</f>
        <v/>
      </c>
      <c r="G25" s="22">
        <f>SUM(B25:F25)</f>
        <v/>
      </c>
      <c r="H25" s="29" t="inlineStr">
        <is>
          <t>08 CROSSWALK</t>
        </is>
      </c>
    </row>
    <row r="26" ht="34" customHeight="1">
      <c r="A26" s="54" t="inlineStr">
        <is>
          <t>Total</t>
        </is>
      </c>
      <c r="B26" s="22">
        <f>SUM(B20:B25)</f>
        <v/>
      </c>
      <c r="C26" s="22">
        <f>SUM(C20:C25)</f>
        <v/>
      </c>
      <c r="D26" s="22">
        <f>SUM(D20:D25)</f>
        <v/>
      </c>
      <c r="E26" s="22">
        <f>SUM(E20:E25)</f>
        <v/>
      </c>
      <c r="F26" s="22">
        <f>SUM(F20:F25)</f>
        <v/>
      </c>
      <c r="G26" s="22">
        <f>SUM(G20:G25)</f>
        <v/>
      </c>
    </row>
    <row r="27" ht="109" customHeight="1">
      <c r="A27" s="64" t="inlineStr">
        <is>
          <t>Check: total equals MASTER DATA rows</t>
        </is>
      </c>
      <c r="B27" s="10">
        <f>IF(G26=COUNTA('MASTER DATA'!$O$2:$O$1627),"reconciled","DOES NOT RECONCILE")</f>
        <v/>
      </c>
    </row>
    <row r="28"/>
    <row r="29" ht="34" customHeight="1">
      <c r="A29" s="22" t="inlineStr">
        <is>
          <t>Relationship type × relationship state</t>
        </is>
      </c>
    </row>
    <row r="30" ht="49" customHeight="1">
      <c r="A30" s="31" t="inlineStr">
        <is>
          <t>Includes unresolved outcomes (NO_WBS, NEW_SCOPE, UNSURE) as their own types: uncertainty is counted, never hidden.</t>
        </is>
      </c>
    </row>
    <row r="31" ht="42" customHeight="1">
      <c r="A31" s="12" t="inlineStr">
        <is>
          <t>Relationship Type</t>
        </is>
      </c>
      <c r="B31" s="12" t="inlineStr">
        <is>
          <t>APPROVED</t>
        </is>
      </c>
      <c r="C31" s="12" t="inlineStr">
        <is>
          <t>RETAINED</t>
        </is>
      </c>
      <c r="D31" s="12" t="inlineStr">
        <is>
          <t>RETIRED</t>
        </is>
      </c>
      <c r="E31" s="12" t="inlineStr">
        <is>
          <t>REVALIDATED</t>
        </is>
      </c>
      <c r="F31" s="12" t="inlineStr">
        <is>
          <t>Total</t>
        </is>
      </c>
      <c r="G31" s="12" t="inlineStr">
        <is>
          <t>Inspect</t>
        </is>
      </c>
    </row>
    <row r="32" ht="124" customHeight="1">
      <c r="A32" s="54" t="inlineStr">
        <is>
          <t>NEW_SCOPE</t>
        </is>
      </c>
      <c r="B32" s="26">
        <f>COUNTIFS('MASTER DATA'!$F$2:$F$1627,"=NEW_SCOPE",'MASTER DATA'!$G$2:$G$1627,"=APPROVED")</f>
        <v/>
      </c>
      <c r="C32" s="26">
        <f>COUNTIFS('MASTER DATA'!$F$2:$F$1627,"=NEW_SCOPE",'MASTER DATA'!$G$2:$G$1627,"=RETAINED")</f>
        <v/>
      </c>
      <c r="D32" s="26">
        <f>COUNTIFS('MASTER DATA'!$F$2:$F$1627,"=NEW_SCOPE",'MASTER DATA'!$G$2:$G$1627,"=RETIRED")</f>
        <v/>
      </c>
      <c r="E32" s="26">
        <f>COUNTIFS('MASTER DATA'!$F$2:$F$1627,"=NEW_SCOPE",'MASTER DATA'!$G$2:$G$1627,"=REVALIDATED")</f>
        <v/>
      </c>
      <c r="F32" s="22">
        <f>SUM(B32:E32)</f>
        <v/>
      </c>
      <c r="G32" s="29" t="inlineStr">
        <is>
          <t>08 CROSSWALK</t>
        </is>
      </c>
    </row>
    <row r="33" ht="124" customHeight="1">
      <c r="A33" s="54" t="inlineStr">
        <is>
          <t>NO_WBS</t>
        </is>
      </c>
      <c r="B33" s="26">
        <f>COUNTIFS('MASTER DATA'!$F$2:$F$1627,"=NO_WBS",'MASTER DATA'!$G$2:$G$1627,"=APPROVED")</f>
        <v/>
      </c>
      <c r="C33" s="26">
        <f>COUNTIFS('MASTER DATA'!$F$2:$F$1627,"=NO_WBS",'MASTER DATA'!$G$2:$G$1627,"=RETAINED")</f>
        <v/>
      </c>
      <c r="D33" s="26">
        <f>COUNTIFS('MASTER DATA'!$F$2:$F$1627,"=NO_WBS",'MASTER DATA'!$G$2:$G$1627,"=RETIRED")</f>
        <v/>
      </c>
      <c r="E33" s="26">
        <f>COUNTIFS('MASTER DATA'!$F$2:$F$1627,"=NO_WBS",'MASTER DATA'!$G$2:$G$1627,"=REVALIDATED")</f>
        <v/>
      </c>
      <c r="F33" s="22">
        <f>SUM(B33:E33)</f>
        <v/>
      </c>
      <c r="G33" s="29" t="inlineStr">
        <is>
          <t>08 CROSSWALK</t>
        </is>
      </c>
    </row>
    <row r="34" ht="124" customHeight="1">
      <c r="A34" s="54" t="inlineStr">
        <is>
          <t>ONE_TO_MANY</t>
        </is>
      </c>
      <c r="B34" s="26">
        <f>COUNTIFS('MASTER DATA'!$F$2:$F$1627,"=ONE_TO_MANY",'MASTER DATA'!$G$2:$G$1627,"=APPROVED")</f>
        <v/>
      </c>
      <c r="C34" s="26">
        <f>COUNTIFS('MASTER DATA'!$F$2:$F$1627,"=ONE_TO_MANY",'MASTER DATA'!$G$2:$G$1627,"=RETAINED")</f>
        <v/>
      </c>
      <c r="D34" s="26">
        <f>COUNTIFS('MASTER DATA'!$F$2:$F$1627,"=ONE_TO_MANY",'MASTER DATA'!$G$2:$G$1627,"=RETIRED")</f>
        <v/>
      </c>
      <c r="E34" s="26">
        <f>COUNTIFS('MASTER DATA'!$F$2:$F$1627,"=ONE_TO_MANY",'MASTER DATA'!$G$2:$G$1627,"=REVALIDATED")</f>
        <v/>
      </c>
      <c r="F34" s="22">
        <f>SUM(B34:E34)</f>
        <v/>
      </c>
      <c r="G34" s="29" t="inlineStr">
        <is>
          <t>08 CROSSWALK</t>
        </is>
      </c>
    </row>
    <row r="35" ht="124" customHeight="1">
      <c r="A35" s="54" t="inlineStr">
        <is>
          <t>ONE_TO_ONE</t>
        </is>
      </c>
      <c r="B35" s="26">
        <f>COUNTIFS('MASTER DATA'!$F$2:$F$1627,"=ONE_TO_ONE",'MASTER DATA'!$G$2:$G$1627,"=APPROVED")</f>
        <v/>
      </c>
      <c r="C35" s="26">
        <f>COUNTIFS('MASTER DATA'!$F$2:$F$1627,"=ONE_TO_ONE",'MASTER DATA'!$G$2:$G$1627,"=RETAINED")</f>
        <v/>
      </c>
      <c r="D35" s="26">
        <f>COUNTIFS('MASTER DATA'!$F$2:$F$1627,"=ONE_TO_ONE",'MASTER DATA'!$G$2:$G$1627,"=RETIRED")</f>
        <v/>
      </c>
      <c r="E35" s="26">
        <f>COUNTIFS('MASTER DATA'!$F$2:$F$1627,"=ONE_TO_ONE",'MASTER DATA'!$G$2:$G$1627,"=REVALIDATED")</f>
        <v/>
      </c>
      <c r="F35" s="22">
        <f>SUM(B35:E35)</f>
        <v/>
      </c>
      <c r="G35" s="29" t="inlineStr">
        <is>
          <t>08 CROSSWALK</t>
        </is>
      </c>
    </row>
    <row r="36" ht="124" customHeight="1">
      <c r="A36" s="54" t="inlineStr">
        <is>
          <t>UNSURE</t>
        </is>
      </c>
      <c r="B36" s="26">
        <f>COUNTIFS('MASTER DATA'!$F$2:$F$1627,"=UNSURE",'MASTER DATA'!$G$2:$G$1627,"=APPROVED")</f>
        <v/>
      </c>
      <c r="C36" s="26">
        <f>COUNTIFS('MASTER DATA'!$F$2:$F$1627,"=UNSURE",'MASTER DATA'!$G$2:$G$1627,"=RETAINED")</f>
        <v/>
      </c>
      <c r="D36" s="26">
        <f>COUNTIFS('MASTER DATA'!$F$2:$F$1627,"=UNSURE",'MASTER DATA'!$G$2:$G$1627,"=RETIRED")</f>
        <v/>
      </c>
      <c r="E36" s="26">
        <f>COUNTIFS('MASTER DATA'!$F$2:$F$1627,"=UNSURE",'MASTER DATA'!$G$2:$G$1627,"=REVALIDATED")</f>
        <v/>
      </c>
      <c r="F36" s="22">
        <f>SUM(B36:E36)</f>
        <v/>
      </c>
      <c r="G36" s="29" t="inlineStr">
        <is>
          <t>08 CROSSWALK</t>
        </is>
      </c>
    </row>
    <row r="37" ht="34" customHeight="1">
      <c r="A37" s="54" t="inlineStr">
        <is>
          <t>Total</t>
        </is>
      </c>
      <c r="B37" s="22">
        <f>SUM(B32:B36)</f>
        <v/>
      </c>
      <c r="C37" s="22">
        <f>SUM(C32:C36)</f>
        <v/>
      </c>
      <c r="D37" s="22">
        <f>SUM(D32:D36)</f>
        <v/>
      </c>
      <c r="E37" s="22">
        <f>SUM(E32:E36)</f>
        <v/>
      </c>
      <c r="F37" s="22">
        <f>SUM(F32:F36)</f>
        <v/>
      </c>
    </row>
    <row r="38" ht="109" customHeight="1">
      <c r="A38" s="64" t="inlineStr">
        <is>
          <t>Check: total equals MASTER DATA rows</t>
        </is>
      </c>
      <c r="B38" s="10">
        <f>IF(F37=COUNTA('MASTER DATA'!$O$2:$O$1627),"reconciled","DOES NOT RECONCILE")</f>
        <v/>
      </c>
    </row>
    <row r="39"/>
    <row r="40" ht="54" customHeight="1">
      <c r="A40" s="31" t="inlineStr">
        <is>
          <t>About PivotTables and slicers: this workbook does not contain generated PivotTables or slicers. The library WBS↔LINK writes workbooks with cannot author a PivotTable cache or slicer reliably, and a simulated or fragile PivotTable would misrepresent the governed data. The tables above are native Excel formula cross-tabs that recalculate from MASTER DATA. To build your own PivotTable: Insert &gt; PivotTable, Table/Range = WBSLINK_GOVERNED_RECORDS (every MASTER DATA column, one row per record-to-WBS relationship row).</t>
        </is>
      </c>
    </row>
    <row r="41" ht="54" customHeight="1"/>
    <row r="42" ht="54" customHeight="1"/>
    <row r="43" ht="54" customHeight="1"/>
  </sheetData>
  <mergeCells count="3">
    <mergeCell ref="A1:D1"/>
    <mergeCell ref="A2:D2"/>
    <mergeCell ref="A40:A43"/>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H20" r:id="rId13"/>
    <hyperlink xmlns:r="http://schemas.openxmlformats.org/officeDocument/2006/relationships" ref="H21" r:id="rId14"/>
    <hyperlink xmlns:r="http://schemas.openxmlformats.org/officeDocument/2006/relationships" ref="H22" r:id="rId15"/>
    <hyperlink xmlns:r="http://schemas.openxmlformats.org/officeDocument/2006/relationships" ref="H23" r:id="rId16"/>
    <hyperlink xmlns:r="http://schemas.openxmlformats.org/officeDocument/2006/relationships" ref="H24" r:id="rId17"/>
    <hyperlink xmlns:r="http://schemas.openxmlformats.org/officeDocument/2006/relationships" ref="H25" r:id="rId18"/>
    <hyperlink xmlns:r="http://schemas.openxmlformats.org/officeDocument/2006/relationships" ref="G32" r:id="rId19"/>
    <hyperlink xmlns:r="http://schemas.openxmlformats.org/officeDocument/2006/relationships" ref="G33" r:id="rId20"/>
    <hyperlink xmlns:r="http://schemas.openxmlformats.org/officeDocument/2006/relationships" ref="G34" r:id="rId21"/>
    <hyperlink xmlns:r="http://schemas.openxmlformats.org/officeDocument/2006/relationships" ref="G35" r:id="rId22"/>
    <hyperlink xmlns:r="http://schemas.openxmlformats.org/officeDocument/2006/relationships" ref="G36" r:id="rId23"/>
  </hyperlinks>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tabColor rgb="008B8F97"/>
    <outlinePr summaryBelow="0" summaryRight="0"/>
    <pageSetUpPr fitToPage="1"/>
  </sheetPr>
  <dimension ref="A1:W1627"/>
  <sheetViews>
    <sheetView showGridLines="0" tabSelected="0" zoomScale="100" zoomScaleNormal="100"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48" customWidth="1" min="5" max="5"/>
    <col width="18" customWidth="1" min="6" max="6"/>
    <col width="18" customWidth="1" min="7" max="7"/>
    <col width="18" customWidth="1" min="8" max="8"/>
    <col width="34"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8" customWidth="1" min="17" max="17"/>
    <col width="18" customWidth="1" min="18" max="18"/>
    <col width="18" customWidth="1" min="19" max="19"/>
    <col width="18" customWidth="1" min="20" max="20"/>
    <col width="18" customWidth="1" min="21" max="21"/>
    <col width="34" customWidth="1" min="22" max="22"/>
    <col width="48" customWidth="1" min="23" max="23"/>
  </cols>
  <sheetData>
    <row r="1" ht="49" customHeight="1">
      <c r="A1" s="12" t="inlineStr">
        <is>
          <t>WBS Code</t>
        </is>
      </c>
      <c r="B1" s="12" t="inlineStr">
        <is>
          <t>WBS Name</t>
        </is>
      </c>
      <c r="C1" s="12" t="inlineStr">
        <is>
          <t>Source Document</t>
        </is>
      </c>
      <c r="D1" s="12" t="inlineStr">
        <is>
          <t>Source Record ID</t>
        </is>
      </c>
      <c r="E1" s="12" t="inlineStr">
        <is>
          <t>Description</t>
        </is>
      </c>
      <c r="F1" s="12" t="inlineStr">
        <is>
          <t>Relationship Type</t>
        </is>
      </c>
      <c r="G1" s="12" t="inlineStr">
        <is>
          <t>Relationship State</t>
        </is>
      </c>
      <c r="H1" s="12" t="inlineStr">
        <is>
          <t>Change vs Previous Version</t>
        </is>
      </c>
      <c r="I1" s="12" t="inlineStr">
        <is>
          <t>Basis</t>
        </is>
      </c>
      <c r="J1" s="12" t="inlineStr">
        <is>
          <t>Decided By</t>
        </is>
      </c>
      <c r="K1" s="12" t="inlineStr">
        <is>
          <t>Proposed By</t>
        </is>
      </c>
      <c r="L1" s="12" t="inlineStr">
        <is>
          <t>Allocation</t>
        </is>
      </c>
      <c r="M1" s="12" t="inlineStr">
        <is>
          <t>Reporting Period</t>
        </is>
      </c>
      <c r="N1" s="12" t="inlineStr">
        <is>
          <t>Revision</t>
        </is>
      </c>
      <c r="O1" s="12" t="inlineStr">
        <is>
          <t>Relationship ID</t>
        </is>
      </c>
      <c r="P1" s="12" t="inlineStr">
        <is>
          <t>Target Status</t>
        </is>
      </c>
      <c r="Q1" s="12" t="inlineStr">
        <is>
          <t>Evidence Note</t>
        </is>
      </c>
      <c r="R1" s="12" t="inlineStr">
        <is>
          <t>Recommended WBS (not approved)</t>
        </is>
      </c>
      <c r="S1" s="12" t="inlineStr">
        <is>
          <t>Ancestor Status</t>
        </is>
      </c>
      <c r="T1" s="12" t="inlineStr">
        <is>
          <t>Decision Scope</t>
        </is>
      </c>
      <c r="U1" s="12" t="inlineStr">
        <is>
          <t>Reopen Reason</t>
        </is>
      </c>
      <c r="V1" s="12" t="inlineStr">
        <is>
          <t>Source Assertion</t>
        </is>
      </c>
      <c r="W1" s="12" t="inlineStr">
        <is>
          <t>Contrary Source Evidence</t>
        </is>
      </c>
    </row>
    <row r="2" ht="79" customHeight="1">
      <c r="A2" s="23" t="inlineStr">
        <is>
          <t>1.1</t>
        </is>
      </c>
      <c r="B2" s="23" t="inlineStr">
        <is>
          <t>Guideway and Civil</t>
        </is>
      </c>
      <c r="C2" s="23" t="inlineStr">
        <is>
          <t>Commercial Package Register</t>
        </is>
      </c>
      <c r="D2" s="23" t="inlineStr">
        <is>
          <t>PKG-001</t>
        </is>
      </c>
      <c r="E2" s="23" t="inlineStr">
        <is>
          <t>Guideway Civil Works</t>
        </is>
      </c>
      <c r="F2" s="23" t="inlineStr">
        <is>
          <t>ONE_TO_MANY</t>
        </is>
      </c>
      <c r="G2" s="23" t="inlineStr">
        <is>
          <t>RETAINED</t>
        </is>
      </c>
      <c r="H2" s="23" t="inlineStr">
        <is>
          <t>Carried forward</t>
        </is>
      </c>
      <c r="I2" s="23" t="inlineStr">
        <is>
          <t>Earlier professional decision, carried forward</t>
        </is>
      </c>
      <c r="J2" s="23" t="inlineStr">
        <is>
          <t>Maya Chen, Owner Project Controls</t>
        </is>
      </c>
      <c r="K2" s="23" t="inlineStr">
        <is>
          <t>Professional</t>
        </is>
      </c>
      <c r="L2" s="23" t="inlineStr">
        <is>
          <t>Split -- basis to be confirmed</t>
        </is>
      </c>
      <c r="M2" s="23" t="inlineStr">
        <is>
          <t>Commercial Package Register Cycle 2</t>
        </is>
      </c>
      <c r="N2" s="23" t="inlineStr">
        <is>
          <t>Rev 1</t>
        </is>
      </c>
      <c r="O2" s="23" t="inlineStr">
        <is>
          <t>R1563-v3</t>
        </is>
      </c>
      <c r="P2" s="23" t="inlineStr"/>
      <c r="Q2" s="23" t="inlineStr"/>
      <c r="R2" s="23" t="inlineStr"/>
      <c r="S2" s="23" t="inlineStr"/>
      <c r="T2" s="23" t="inlineStr">
        <is>
          <t>Individual, carried forward</t>
        </is>
      </c>
      <c r="U2" s="23" t="inlineStr"/>
      <c r="V2" s="23" t="inlineStr">
        <is>
          <t>Package Code = PK-101; WBS Code = 1.1;1.2</t>
        </is>
      </c>
      <c r="W2" s="23" t="inlineStr">
        <is>
          <t>Source states 'WBS Code' = '1.1;1.2' -- names no element of this WBS -- professional reason (Maya Chen, Owner Project Controls): Source package register explicitly states both Owner-WBS branches.</t>
        </is>
      </c>
    </row>
    <row r="3" ht="64" customHeight="1">
      <c r="A3" s="23" t="inlineStr">
        <is>
          <t>1.1</t>
        </is>
      </c>
      <c r="B3" s="23" t="inlineStr">
        <is>
          <t>Guideway and Civil</t>
        </is>
      </c>
      <c r="C3" s="23" t="inlineStr">
        <is>
          <t>Commercial Package Register</t>
        </is>
      </c>
      <c r="D3" s="23" t="inlineStr">
        <is>
          <t>PKG-002</t>
        </is>
      </c>
      <c r="E3" s="23" t="inlineStr">
        <is>
          <t>Utility Relocations</t>
        </is>
      </c>
      <c r="F3" s="23" t="inlineStr">
        <is>
          <t>ONE_TO_ONE</t>
        </is>
      </c>
      <c r="G3" s="23" t="inlineStr">
        <is>
          <t>RETAINED</t>
        </is>
      </c>
      <c r="H3" s="23" t="inlineStr">
        <is>
          <t>Carried forward</t>
        </is>
      </c>
      <c r="I3" s="23" t="inlineStr">
        <is>
          <t>Source assignment -- not individually reviewed</t>
        </is>
      </c>
      <c r="J3" s="23" t="inlineStr"/>
      <c r="K3" s="23" t="inlineStr">
        <is>
          <t>Source assignment</t>
        </is>
      </c>
      <c r="L3" s="23" t="inlineStr"/>
      <c r="M3" s="23" t="inlineStr">
        <is>
          <t>Commercial Package Register Cycle 2</t>
        </is>
      </c>
      <c r="N3" s="23" t="inlineStr">
        <is>
          <t>Rev 1</t>
        </is>
      </c>
      <c r="O3" s="23" t="inlineStr">
        <is>
          <t>R1564-v2</t>
        </is>
      </c>
      <c r="P3" s="23" t="inlineStr"/>
      <c r="Q3" s="23" t="inlineStr"/>
      <c r="R3" s="23" t="inlineStr"/>
      <c r="S3" s="23" t="inlineStr"/>
      <c r="T3" s="23" t="inlineStr"/>
      <c r="U3" s="23" t="inlineStr"/>
      <c r="V3" s="23" t="inlineStr">
        <is>
          <t>Package Code = PK-102; WBS Code = 1.1</t>
        </is>
      </c>
      <c r="W3" s="23" t="inlineStr"/>
    </row>
    <row r="4" ht="64" customHeight="1">
      <c r="A4" s="23" t="inlineStr">
        <is>
          <t>1.1</t>
        </is>
      </c>
      <c r="B4" s="23" t="inlineStr">
        <is>
          <t>Guideway and Civil</t>
        </is>
      </c>
      <c r="C4" s="23" t="inlineStr">
        <is>
          <t>Commercial Package Register</t>
        </is>
      </c>
      <c r="D4" s="23" t="inlineStr">
        <is>
          <t>PKG-003</t>
        </is>
      </c>
      <c r="E4" s="23" t="inlineStr">
        <is>
          <t>Road &amp; Drainage</t>
        </is>
      </c>
      <c r="F4" s="23" t="inlineStr">
        <is>
          <t>ONE_TO_ONE</t>
        </is>
      </c>
      <c r="G4" s="23" t="inlineStr">
        <is>
          <t>RETAINED</t>
        </is>
      </c>
      <c r="H4" s="23" t="inlineStr">
        <is>
          <t>Carried forward</t>
        </is>
      </c>
      <c r="I4" s="23" t="inlineStr">
        <is>
          <t>Source assignment -- not individually reviewed</t>
        </is>
      </c>
      <c r="J4" s="23" t="inlineStr"/>
      <c r="K4" s="23" t="inlineStr">
        <is>
          <t>Source assignment</t>
        </is>
      </c>
      <c r="L4" s="23" t="inlineStr"/>
      <c r="M4" s="23" t="inlineStr">
        <is>
          <t>Commercial Package Register Cycle 2</t>
        </is>
      </c>
      <c r="N4" s="23" t="inlineStr">
        <is>
          <t>Rev 1</t>
        </is>
      </c>
      <c r="O4" s="23" t="inlineStr">
        <is>
          <t>R1565-v2</t>
        </is>
      </c>
      <c r="P4" s="23" t="inlineStr"/>
      <c r="Q4" s="23" t="inlineStr"/>
      <c r="R4" s="23" t="inlineStr"/>
      <c r="S4" s="23" t="inlineStr"/>
      <c r="T4" s="23" t="inlineStr"/>
      <c r="U4" s="23" t="inlineStr"/>
      <c r="V4" s="23" t="inlineStr">
        <is>
          <t>Package Code = PK-103; WBS Code = 1.1</t>
        </is>
      </c>
      <c r="W4" s="23" t="inlineStr"/>
    </row>
    <row r="5" ht="64" customHeight="1">
      <c r="A5" s="23" t="inlineStr">
        <is>
          <t>1.1</t>
        </is>
      </c>
      <c r="B5" s="23" t="inlineStr">
        <is>
          <t>Guideway and Civil</t>
        </is>
      </c>
      <c r="C5" s="23" t="inlineStr">
        <is>
          <t>Commercial Package Register</t>
        </is>
      </c>
      <c r="D5" s="23" t="inlineStr">
        <is>
          <t>PKG-004</t>
        </is>
      </c>
      <c r="E5" s="23" t="inlineStr">
        <is>
          <t>Track Support Works</t>
        </is>
      </c>
      <c r="F5" s="23" t="inlineStr">
        <is>
          <t>ONE_TO_ONE</t>
        </is>
      </c>
      <c r="G5" s="23" t="inlineStr">
        <is>
          <t>RETAINED</t>
        </is>
      </c>
      <c r="H5" s="23" t="inlineStr">
        <is>
          <t>Carried forward</t>
        </is>
      </c>
      <c r="I5" s="23" t="inlineStr">
        <is>
          <t>Source assignment -- not individually reviewed</t>
        </is>
      </c>
      <c r="J5" s="23" t="inlineStr"/>
      <c r="K5" s="23" t="inlineStr">
        <is>
          <t>Source assignment</t>
        </is>
      </c>
      <c r="L5" s="23" t="inlineStr"/>
      <c r="M5" s="23" t="inlineStr">
        <is>
          <t>Commercial Package Register Cycle 2</t>
        </is>
      </c>
      <c r="N5" s="23" t="inlineStr">
        <is>
          <t>Rev 1</t>
        </is>
      </c>
      <c r="O5" s="23" t="inlineStr">
        <is>
          <t>R1566-v2</t>
        </is>
      </c>
      <c r="P5" s="23" t="inlineStr"/>
      <c r="Q5" s="23" t="inlineStr"/>
      <c r="R5" s="23" t="inlineStr"/>
      <c r="S5" s="23" t="inlineStr"/>
      <c r="T5" s="23" t="inlineStr"/>
      <c r="U5" s="23" t="inlineStr"/>
      <c r="V5" s="23" t="inlineStr">
        <is>
          <t>Package Code = PK-104; WBS Code = 1.1</t>
        </is>
      </c>
      <c r="W5" s="23" t="inlineStr"/>
    </row>
    <row r="6" ht="64" customHeight="1">
      <c r="A6" s="23" t="inlineStr">
        <is>
          <t>1.1</t>
        </is>
      </c>
      <c r="B6" s="23" t="inlineStr">
        <is>
          <t>Guideway and Civil</t>
        </is>
      </c>
      <c r="C6" s="23" t="inlineStr">
        <is>
          <t>Commercial Package Register</t>
        </is>
      </c>
      <c r="D6" s="23" t="inlineStr">
        <is>
          <t>PKG-006</t>
        </is>
      </c>
      <c r="E6" s="23" t="inlineStr">
        <is>
          <t>Utility Relocations - Lot 2</t>
        </is>
      </c>
      <c r="F6" s="23" t="inlineStr">
        <is>
          <t>ONE_TO_ONE</t>
        </is>
      </c>
      <c r="G6" s="23" t="inlineStr">
        <is>
          <t>RETAINED</t>
        </is>
      </c>
      <c r="H6" s="23" t="inlineStr">
        <is>
          <t>Carried forward</t>
        </is>
      </c>
      <c r="I6" s="23" t="inlineStr">
        <is>
          <t>Source assignment -- not individually reviewed</t>
        </is>
      </c>
      <c r="J6" s="23" t="inlineStr"/>
      <c r="K6" s="23" t="inlineStr">
        <is>
          <t>Source assignment</t>
        </is>
      </c>
      <c r="L6" s="23" t="inlineStr"/>
      <c r="M6" s="23" t="inlineStr">
        <is>
          <t>Commercial Package Register Cycle 2</t>
        </is>
      </c>
      <c r="N6" s="23" t="inlineStr">
        <is>
          <t>Rev 1</t>
        </is>
      </c>
      <c r="O6" s="23" t="inlineStr">
        <is>
          <t>R1568-v2</t>
        </is>
      </c>
      <c r="P6" s="23" t="inlineStr"/>
      <c r="Q6" s="23" t="inlineStr"/>
      <c r="R6" s="23" t="inlineStr"/>
      <c r="S6" s="23" t="inlineStr"/>
      <c r="T6" s="23" t="inlineStr"/>
      <c r="U6" s="23" t="inlineStr"/>
      <c r="V6" s="23" t="inlineStr">
        <is>
          <t>Package Code = PK-106; WBS Code = 1.1</t>
        </is>
      </c>
      <c r="W6" s="23" t="inlineStr"/>
    </row>
    <row r="7" ht="64" customHeight="1">
      <c r="A7" s="23" t="inlineStr">
        <is>
          <t>1.1</t>
        </is>
      </c>
      <c r="B7" s="23" t="inlineStr">
        <is>
          <t>Guideway and Civil</t>
        </is>
      </c>
      <c r="C7" s="23" t="inlineStr">
        <is>
          <t>Commercial Package Register</t>
        </is>
      </c>
      <c r="D7" s="23" t="inlineStr">
        <is>
          <t>PKG-007</t>
        </is>
      </c>
      <c r="E7" s="23" t="inlineStr">
        <is>
          <t>Road &amp; Drainage - Lot 2</t>
        </is>
      </c>
      <c r="F7" s="23" t="inlineStr">
        <is>
          <t>ONE_TO_ONE</t>
        </is>
      </c>
      <c r="G7" s="23" t="inlineStr">
        <is>
          <t>RETAINED</t>
        </is>
      </c>
      <c r="H7" s="23" t="inlineStr">
        <is>
          <t>Carried forward</t>
        </is>
      </c>
      <c r="I7" s="23" t="inlineStr">
        <is>
          <t>Source assignment -- not individually reviewed</t>
        </is>
      </c>
      <c r="J7" s="23" t="inlineStr"/>
      <c r="K7" s="23" t="inlineStr">
        <is>
          <t>Source assignment</t>
        </is>
      </c>
      <c r="L7" s="23" t="inlineStr"/>
      <c r="M7" s="23" t="inlineStr">
        <is>
          <t>Commercial Package Register Cycle 2</t>
        </is>
      </c>
      <c r="N7" s="23" t="inlineStr">
        <is>
          <t>Rev 1</t>
        </is>
      </c>
      <c r="O7" s="23" t="inlineStr">
        <is>
          <t>R1569-v2</t>
        </is>
      </c>
      <c r="P7" s="23" t="inlineStr"/>
      <c r="Q7" s="23" t="inlineStr"/>
      <c r="R7" s="23" t="inlineStr"/>
      <c r="S7" s="23" t="inlineStr"/>
      <c r="T7" s="23" t="inlineStr"/>
      <c r="U7" s="23" t="inlineStr"/>
      <c r="V7" s="23" t="inlineStr">
        <is>
          <t>Package Code = PK-107; WBS Code = 1.1</t>
        </is>
      </c>
      <c r="W7" s="23" t="inlineStr"/>
    </row>
    <row r="8" ht="64" customHeight="1">
      <c r="A8" s="23" t="inlineStr">
        <is>
          <t>1.1</t>
        </is>
      </c>
      <c r="B8" s="23" t="inlineStr">
        <is>
          <t>Guideway and Civil</t>
        </is>
      </c>
      <c r="C8" s="23" t="inlineStr">
        <is>
          <t>Commercial Package Register</t>
        </is>
      </c>
      <c r="D8" s="23" t="inlineStr">
        <is>
          <t>PKG-008</t>
        </is>
      </c>
      <c r="E8" s="23" t="inlineStr">
        <is>
          <t>Track Support Works - Lot 2</t>
        </is>
      </c>
      <c r="F8" s="23" t="inlineStr">
        <is>
          <t>ONE_TO_ONE</t>
        </is>
      </c>
      <c r="G8" s="23" t="inlineStr">
        <is>
          <t>RETAINED</t>
        </is>
      </c>
      <c r="H8" s="23" t="inlineStr">
        <is>
          <t>Carried forward</t>
        </is>
      </c>
      <c r="I8" s="23" t="inlineStr">
        <is>
          <t>Source assignment -- not individually reviewed</t>
        </is>
      </c>
      <c r="J8" s="23" t="inlineStr"/>
      <c r="K8" s="23" t="inlineStr">
        <is>
          <t>Source assignment</t>
        </is>
      </c>
      <c r="L8" s="23" t="inlineStr"/>
      <c r="M8" s="23" t="inlineStr">
        <is>
          <t>Commercial Package Register Cycle 2</t>
        </is>
      </c>
      <c r="N8" s="23" t="inlineStr">
        <is>
          <t>Rev 1</t>
        </is>
      </c>
      <c r="O8" s="23" t="inlineStr">
        <is>
          <t>R1570-v2</t>
        </is>
      </c>
      <c r="P8" s="23" t="inlineStr"/>
      <c r="Q8" s="23" t="inlineStr"/>
      <c r="R8" s="23" t="inlineStr"/>
      <c r="S8" s="23" t="inlineStr"/>
      <c r="T8" s="23" t="inlineStr"/>
      <c r="U8" s="23" t="inlineStr"/>
      <c r="V8" s="23" t="inlineStr">
        <is>
          <t>Package Code = PK-108; WBS Code = 1.1</t>
        </is>
      </c>
      <c r="W8" s="23" t="inlineStr"/>
    </row>
    <row r="9" ht="64" customHeight="1">
      <c r="A9" s="23" t="inlineStr">
        <is>
          <t>1.1</t>
        </is>
      </c>
      <c r="B9" s="23" t="inlineStr">
        <is>
          <t>Guideway and Civil</t>
        </is>
      </c>
      <c r="C9" s="23" t="inlineStr">
        <is>
          <t>Commercial Package Register</t>
        </is>
      </c>
      <c r="D9" s="23" t="inlineStr">
        <is>
          <t>PKG-009</t>
        </is>
      </c>
      <c r="E9" s="23" t="inlineStr">
        <is>
          <t>Guideway Civil Works - Lot 3</t>
        </is>
      </c>
      <c r="F9" s="23" t="inlineStr">
        <is>
          <t>ONE_TO_ONE</t>
        </is>
      </c>
      <c r="G9" s="23" t="inlineStr">
        <is>
          <t>RETAINED</t>
        </is>
      </c>
      <c r="H9" s="23" t="inlineStr">
        <is>
          <t>Carried forward</t>
        </is>
      </c>
      <c r="I9" s="23" t="inlineStr">
        <is>
          <t>Source assignment -- not individually reviewed</t>
        </is>
      </c>
      <c r="J9" s="23" t="inlineStr"/>
      <c r="K9" s="23" t="inlineStr">
        <is>
          <t>Source assignment</t>
        </is>
      </c>
      <c r="L9" s="23" t="inlineStr"/>
      <c r="M9" s="23" t="inlineStr">
        <is>
          <t>Commercial Package Register Cycle 2</t>
        </is>
      </c>
      <c r="N9" s="23" t="inlineStr">
        <is>
          <t>Rev 1</t>
        </is>
      </c>
      <c r="O9" s="23" t="inlineStr">
        <is>
          <t>R1571-v2</t>
        </is>
      </c>
      <c r="P9" s="23" t="inlineStr"/>
      <c r="Q9" s="23" t="inlineStr"/>
      <c r="R9" s="23" t="inlineStr"/>
      <c r="S9" s="23" t="inlineStr"/>
      <c r="T9" s="23" t="inlineStr"/>
      <c r="U9" s="23" t="inlineStr"/>
      <c r="V9" s="23" t="inlineStr">
        <is>
          <t>Package Code = PK-109; WBS Code = 1.1</t>
        </is>
      </c>
      <c r="W9" s="23" t="inlineStr"/>
    </row>
    <row r="10" ht="64" customHeight="1">
      <c r="A10" s="23" t="inlineStr">
        <is>
          <t>1.1</t>
        </is>
      </c>
      <c r="B10" s="23" t="inlineStr">
        <is>
          <t>Guideway and Civil</t>
        </is>
      </c>
      <c r="C10" s="23" t="inlineStr">
        <is>
          <t>Commercial Package Register</t>
        </is>
      </c>
      <c r="D10" s="23" t="inlineStr">
        <is>
          <t>PKG-010</t>
        </is>
      </c>
      <c r="E10" s="23" t="inlineStr">
        <is>
          <t>Utility Relocations - Lot 3</t>
        </is>
      </c>
      <c r="F10" s="23" t="inlineStr">
        <is>
          <t>ONE_TO_ONE</t>
        </is>
      </c>
      <c r="G10" s="23" t="inlineStr">
        <is>
          <t>RETAINED</t>
        </is>
      </c>
      <c r="H10" s="23" t="inlineStr">
        <is>
          <t>Carried forward</t>
        </is>
      </c>
      <c r="I10" s="23" t="inlineStr">
        <is>
          <t>Source assignment -- not individually reviewed</t>
        </is>
      </c>
      <c r="J10" s="23" t="inlineStr"/>
      <c r="K10" s="23" t="inlineStr">
        <is>
          <t>Source assignment</t>
        </is>
      </c>
      <c r="L10" s="23" t="inlineStr"/>
      <c r="M10" s="23" t="inlineStr">
        <is>
          <t>Commercial Package Register Cycle 2</t>
        </is>
      </c>
      <c r="N10" s="23" t="inlineStr">
        <is>
          <t>Rev 1</t>
        </is>
      </c>
      <c r="O10" s="23" t="inlineStr">
        <is>
          <t>R1572-v2</t>
        </is>
      </c>
      <c r="P10" s="23" t="inlineStr"/>
      <c r="Q10" s="23" t="inlineStr"/>
      <c r="R10" s="23" t="inlineStr"/>
      <c r="S10" s="23" t="inlineStr"/>
      <c r="T10" s="23" t="inlineStr"/>
      <c r="U10" s="23" t="inlineStr"/>
      <c r="V10" s="23" t="inlineStr">
        <is>
          <t>Package Code = PK-110; WBS Code = 1.1</t>
        </is>
      </c>
      <c r="W10" s="23" t="inlineStr"/>
    </row>
    <row r="11" ht="64" customHeight="1">
      <c r="A11" s="23" t="inlineStr">
        <is>
          <t>1.1.1</t>
        </is>
      </c>
      <c r="B11" s="23" t="inlineStr">
        <is>
          <t>Guideway and Civil - Guideway Structures</t>
        </is>
      </c>
      <c r="C11" s="23" t="inlineStr">
        <is>
          <t>Contractor Programme</t>
        </is>
      </c>
      <c r="D11" s="23" t="inlineStr">
        <is>
          <t>SCH-01-001</t>
        </is>
      </c>
      <c r="E11" s="23" t="inlineStr">
        <is>
          <t>West approach: track-slab survey - installation</t>
        </is>
      </c>
      <c r="F11" s="23" t="inlineStr">
        <is>
          <t>ONE_TO_ONE</t>
        </is>
      </c>
      <c r="G11" s="23" t="inlineStr">
        <is>
          <t>RETAINED</t>
        </is>
      </c>
      <c r="H11" s="23" t="inlineStr">
        <is>
          <t>Carried forward</t>
        </is>
      </c>
      <c r="I11" s="23" t="inlineStr">
        <is>
          <t>Source assignment -- not individually reviewed</t>
        </is>
      </c>
      <c r="J11" s="23" t="inlineStr"/>
      <c r="K11" s="23" t="inlineStr">
        <is>
          <t>Source assignment</t>
        </is>
      </c>
      <c r="L11" s="23" t="inlineStr"/>
      <c r="M11" s="23" t="inlineStr">
        <is>
          <t>Contractor Programme Cycle 2</t>
        </is>
      </c>
      <c r="N11" s="23" t="inlineStr">
        <is>
          <t>Rev 1</t>
        </is>
      </c>
      <c r="O11" s="23" t="inlineStr">
        <is>
          <t>R1-v2</t>
        </is>
      </c>
      <c r="P11" s="23" t="inlineStr"/>
      <c r="Q11" s="23" t="inlineStr"/>
      <c r="R11" s="23" t="inlineStr"/>
      <c r="S11" s="23" t="inlineStr"/>
      <c r="T11" s="23" t="inlineStr"/>
      <c r="U11" s="23" t="inlineStr"/>
      <c r="V11" s="23" t="inlineStr">
        <is>
          <t>WBS Code = 1.1.1</t>
        </is>
      </c>
      <c r="W11" s="23" t="inlineStr"/>
    </row>
    <row r="12" ht="64" customHeight="1">
      <c r="A12" s="23" t="inlineStr">
        <is>
          <t>1.1.1</t>
        </is>
      </c>
      <c r="B12" s="23" t="inlineStr">
        <is>
          <t>Guideway and Civil - Guideway Structures</t>
        </is>
      </c>
      <c r="C12" s="23" t="inlineStr">
        <is>
          <t>Contractor Programme</t>
        </is>
      </c>
      <c r="D12" s="23" t="inlineStr">
        <is>
          <t>SCH-01-002</t>
        </is>
      </c>
      <c r="E12" s="23" t="inlineStr">
        <is>
          <t>Depot lead: temporary traffic staging - inspection</t>
        </is>
      </c>
      <c r="F12" s="23" t="inlineStr">
        <is>
          <t>ONE_TO_ONE</t>
        </is>
      </c>
      <c r="G12" s="23" t="inlineStr">
        <is>
          <t>RETAINED</t>
        </is>
      </c>
      <c r="H12" s="23" t="inlineStr">
        <is>
          <t>Carried forward</t>
        </is>
      </c>
      <c r="I12" s="23" t="inlineStr">
        <is>
          <t>Source assignment -- not individually reviewed</t>
        </is>
      </c>
      <c r="J12" s="23" t="inlineStr"/>
      <c r="K12" s="23" t="inlineStr">
        <is>
          <t>Source assignment</t>
        </is>
      </c>
      <c r="L12" s="23" t="inlineStr"/>
      <c r="M12" s="23" t="inlineStr">
        <is>
          <t>Contractor Programme Cycle 2</t>
        </is>
      </c>
      <c r="N12" s="23" t="inlineStr">
        <is>
          <t>Rev 1</t>
        </is>
      </c>
      <c r="O12" s="23" t="inlineStr">
        <is>
          <t>R2-v2</t>
        </is>
      </c>
      <c r="P12" s="23" t="inlineStr"/>
      <c r="Q12" s="23" t="inlineStr"/>
      <c r="R12" s="23" t="inlineStr"/>
      <c r="S12" s="23" t="inlineStr"/>
      <c r="T12" s="23" t="inlineStr"/>
      <c r="U12" s="23" t="inlineStr"/>
      <c r="V12" s="23" t="inlineStr">
        <is>
          <t>WBS Code = 1.1.1</t>
        </is>
      </c>
      <c r="W12" s="23" t="inlineStr"/>
    </row>
    <row r="13" ht="64" customHeight="1">
      <c r="A13" s="23" t="inlineStr">
        <is>
          <t>1.1.1</t>
        </is>
      </c>
      <c r="B13" s="23" t="inlineStr">
        <is>
          <t>Guideway and Civil - Guideway Structures</t>
        </is>
      </c>
      <c r="C13" s="23" t="inlineStr">
        <is>
          <t>Contractor Programme</t>
        </is>
      </c>
      <c r="D13" s="23" t="inlineStr">
        <is>
          <t>SCH-01-004</t>
        </is>
      </c>
      <c r="E13" s="23" t="inlineStr">
        <is>
          <t>River crossing: road restoration - release</t>
        </is>
      </c>
      <c r="F13" s="23" t="inlineStr">
        <is>
          <t>ONE_TO_ONE</t>
        </is>
      </c>
      <c r="G13" s="23" t="inlineStr">
        <is>
          <t>RETAINED</t>
        </is>
      </c>
      <c r="H13" s="23" t="inlineStr">
        <is>
          <t>Carried forward</t>
        </is>
      </c>
      <c r="I13" s="23" t="inlineStr">
        <is>
          <t>Source assignment -- not individually reviewed</t>
        </is>
      </c>
      <c r="J13" s="23" t="inlineStr"/>
      <c r="K13" s="23" t="inlineStr">
        <is>
          <t>Source assignment</t>
        </is>
      </c>
      <c r="L13" s="23" t="inlineStr"/>
      <c r="M13" s="23" t="inlineStr">
        <is>
          <t>Contractor Programme Cycle 2</t>
        </is>
      </c>
      <c r="N13" s="23" t="inlineStr">
        <is>
          <t>Rev 1</t>
        </is>
      </c>
      <c r="O13" s="23" t="inlineStr">
        <is>
          <t>R4-v2</t>
        </is>
      </c>
      <c r="P13" s="23" t="inlineStr"/>
      <c r="Q13" s="23" t="inlineStr"/>
      <c r="R13" s="23" t="inlineStr"/>
      <c r="S13" s="23" t="inlineStr"/>
      <c r="T13" s="23" t="inlineStr"/>
      <c r="U13" s="23" t="inlineStr"/>
      <c r="V13" s="23" t="inlineStr">
        <is>
          <t>WBS Code = 1.1.1</t>
        </is>
      </c>
      <c r="W13" s="23" t="inlineStr"/>
    </row>
    <row r="14" ht="64" customHeight="1">
      <c r="A14" s="23" t="inlineStr">
        <is>
          <t>1.1.1</t>
        </is>
      </c>
      <c r="B14" s="23" t="inlineStr">
        <is>
          <t>Guideway and Civil - Guideway Structures</t>
        </is>
      </c>
      <c r="C14" s="23" t="inlineStr">
        <is>
          <t>Contractor Programme</t>
        </is>
      </c>
      <c r="D14" s="23" t="inlineStr">
        <is>
          <t>SCH-01-007</t>
        </is>
      </c>
      <c r="E14" s="23" t="inlineStr">
        <is>
          <t>Depot lead: drainage tie-in - inspection</t>
        </is>
      </c>
      <c r="F14" s="23" t="inlineStr">
        <is>
          <t>ONE_TO_ONE</t>
        </is>
      </c>
      <c r="G14" s="23" t="inlineStr">
        <is>
          <t>RETAINED</t>
        </is>
      </c>
      <c r="H14" s="23" t="inlineStr">
        <is>
          <t>Carried forward</t>
        </is>
      </c>
      <c r="I14" s="23" t="inlineStr">
        <is>
          <t>Source assignment -- not individually reviewed</t>
        </is>
      </c>
      <c r="J14" s="23" t="inlineStr"/>
      <c r="K14" s="23" t="inlineStr">
        <is>
          <t>Source assignment</t>
        </is>
      </c>
      <c r="L14" s="23" t="inlineStr"/>
      <c r="M14" s="23" t="inlineStr">
        <is>
          <t>Contractor Programme Cycle 2</t>
        </is>
      </c>
      <c r="N14" s="23" t="inlineStr">
        <is>
          <t>Rev 1</t>
        </is>
      </c>
      <c r="O14" s="23" t="inlineStr">
        <is>
          <t>R7-v2</t>
        </is>
      </c>
      <c r="P14" s="23" t="inlineStr"/>
      <c r="Q14" s="23" t="inlineStr"/>
      <c r="R14" s="23" t="inlineStr"/>
      <c r="S14" s="23" t="inlineStr"/>
      <c r="T14" s="23" t="inlineStr"/>
      <c r="U14" s="23" t="inlineStr"/>
      <c r="V14" s="23" t="inlineStr">
        <is>
          <t>WBS Code = 1.1.1</t>
        </is>
      </c>
      <c r="W14" s="23" t="inlineStr"/>
    </row>
    <row r="15" ht="64" customHeight="1">
      <c r="A15" s="23" t="inlineStr">
        <is>
          <t>1.1.1</t>
        </is>
      </c>
      <c r="B15" s="23" t="inlineStr">
        <is>
          <t>Guideway and Civil - Guideway Structures</t>
        </is>
      </c>
      <c r="C15" s="23" t="inlineStr">
        <is>
          <t>Contractor Programme</t>
        </is>
      </c>
      <c r="D15" s="23" t="inlineStr">
        <is>
          <t>SCH-01-008</t>
        </is>
      </c>
      <c r="E15" s="23" t="inlineStr">
        <is>
          <t>East portal: utility relocation - turnover</t>
        </is>
      </c>
      <c r="F15" s="23" t="inlineStr">
        <is>
          <t>ONE_TO_ONE</t>
        </is>
      </c>
      <c r="G15" s="23" t="inlineStr">
        <is>
          <t>RETAINED</t>
        </is>
      </c>
      <c r="H15" s="23" t="inlineStr">
        <is>
          <t>Carried forward</t>
        </is>
      </c>
      <c r="I15" s="23" t="inlineStr">
        <is>
          <t>Source assignment -- not individually reviewed</t>
        </is>
      </c>
      <c r="J15" s="23" t="inlineStr"/>
      <c r="K15" s="23" t="inlineStr">
        <is>
          <t>Source assignment</t>
        </is>
      </c>
      <c r="L15" s="23" t="inlineStr"/>
      <c r="M15" s="23" t="inlineStr">
        <is>
          <t>Contractor Programme Cycle 2</t>
        </is>
      </c>
      <c r="N15" s="23" t="inlineStr">
        <is>
          <t>Rev 1</t>
        </is>
      </c>
      <c r="O15" s="23" t="inlineStr">
        <is>
          <t>R8-v2</t>
        </is>
      </c>
      <c r="P15" s="23" t="inlineStr"/>
      <c r="Q15" s="23" t="inlineStr"/>
      <c r="R15" s="23" t="inlineStr"/>
      <c r="S15" s="23" t="inlineStr"/>
      <c r="T15" s="23" t="inlineStr"/>
      <c r="U15" s="23" t="inlineStr"/>
      <c r="V15" s="23" t="inlineStr">
        <is>
          <t>WBS Code = 1.1.1</t>
        </is>
      </c>
      <c r="W15" s="23" t="inlineStr"/>
    </row>
    <row r="16" ht="64" customHeight="1">
      <c r="A16" s="23" t="inlineStr">
        <is>
          <t>1.1.1</t>
        </is>
      </c>
      <c r="B16" s="23" t="inlineStr">
        <is>
          <t>Guideway and Civil - Guideway Structures</t>
        </is>
      </c>
      <c r="C16" s="23" t="inlineStr">
        <is>
          <t>Contractor Programme</t>
        </is>
      </c>
      <c r="D16" s="23" t="inlineStr">
        <is>
          <t>SCH-01-010</t>
        </is>
      </c>
      <c r="E16" s="23" t="inlineStr">
        <is>
          <t>Central guideway: temporary traffic staging - field start</t>
        </is>
      </c>
      <c r="F16" s="23" t="inlineStr">
        <is>
          <t>ONE_TO_ONE</t>
        </is>
      </c>
      <c r="G16" s="23" t="inlineStr">
        <is>
          <t>RETAINED</t>
        </is>
      </c>
      <c r="H16" s="23" t="inlineStr">
        <is>
          <t>Carried forward</t>
        </is>
      </c>
      <c r="I16" s="23" t="inlineStr">
        <is>
          <t>Source assignment -- not individually reviewed</t>
        </is>
      </c>
      <c r="J16" s="23" t="inlineStr"/>
      <c r="K16" s="23" t="inlineStr">
        <is>
          <t>Source assignment</t>
        </is>
      </c>
      <c r="L16" s="23" t="inlineStr"/>
      <c r="M16" s="23" t="inlineStr">
        <is>
          <t>Contractor Programme Cycle 2</t>
        </is>
      </c>
      <c r="N16" s="23" t="inlineStr">
        <is>
          <t>Rev 1</t>
        </is>
      </c>
      <c r="O16" s="23" t="inlineStr">
        <is>
          <t>R10-v2</t>
        </is>
      </c>
      <c r="P16" s="23" t="inlineStr"/>
      <c r="Q16" s="23" t="inlineStr"/>
      <c r="R16" s="23" t="inlineStr"/>
      <c r="S16" s="23" t="inlineStr"/>
      <c r="T16" s="23" t="inlineStr"/>
      <c r="U16" s="23" t="inlineStr"/>
      <c r="V16" s="23" t="inlineStr">
        <is>
          <t>WBS Code = 1.1.1</t>
        </is>
      </c>
      <c r="W16" s="23" t="inlineStr"/>
    </row>
    <row r="17" ht="64" customHeight="1">
      <c r="A17" s="23" t="inlineStr">
        <is>
          <t>1.1.1</t>
        </is>
      </c>
      <c r="B17" s="23" t="inlineStr">
        <is>
          <t>Guideway and Civil - Guideway Structures</t>
        </is>
      </c>
      <c r="C17" s="23" t="inlineStr">
        <is>
          <t>Contractor Programme</t>
        </is>
      </c>
      <c r="D17" s="23" t="inlineStr">
        <is>
          <t>SCH-01-011</t>
        </is>
      </c>
      <c r="E17" s="23" t="inlineStr">
        <is>
          <t>West approach: guideway pier reinforcement - installation</t>
        </is>
      </c>
      <c r="F17" s="23" t="inlineStr">
        <is>
          <t>ONE_TO_ONE</t>
        </is>
      </c>
      <c r="G17" s="23" t="inlineStr">
        <is>
          <t>RETAINED</t>
        </is>
      </c>
      <c r="H17" s="23" t="inlineStr">
        <is>
          <t>Carried forward</t>
        </is>
      </c>
      <c r="I17" s="23" t="inlineStr">
        <is>
          <t>Source assignment -- not individually reviewed</t>
        </is>
      </c>
      <c r="J17" s="23" t="inlineStr"/>
      <c r="K17" s="23" t="inlineStr">
        <is>
          <t>Source assignment</t>
        </is>
      </c>
      <c r="L17" s="23" t="inlineStr"/>
      <c r="M17" s="23" t="inlineStr">
        <is>
          <t>Contractor Programme Cycle 2</t>
        </is>
      </c>
      <c r="N17" s="23" t="inlineStr">
        <is>
          <t>Rev 1</t>
        </is>
      </c>
      <c r="O17" s="23" t="inlineStr">
        <is>
          <t>R11-v2</t>
        </is>
      </c>
      <c r="P17" s="23" t="inlineStr"/>
      <c r="Q17" s="23" t="inlineStr"/>
      <c r="R17" s="23" t="inlineStr"/>
      <c r="S17" s="23" t="inlineStr"/>
      <c r="T17" s="23" t="inlineStr"/>
      <c r="U17" s="23" t="inlineStr"/>
      <c r="V17" s="23" t="inlineStr">
        <is>
          <t>WBS Code = 1.1.1</t>
        </is>
      </c>
      <c r="W17" s="23" t="inlineStr"/>
    </row>
    <row r="18" ht="64" customHeight="1">
      <c r="A18" s="23" t="inlineStr">
        <is>
          <t>1.1.1</t>
        </is>
      </c>
      <c r="B18" s="23" t="inlineStr">
        <is>
          <t>Guideway and Civil - Guideway Structures</t>
        </is>
      </c>
      <c r="C18" s="23" t="inlineStr">
        <is>
          <t>Contractor Programme</t>
        </is>
      </c>
      <c r="D18" s="23" t="inlineStr">
        <is>
          <t>SCH-01-013</t>
        </is>
      </c>
      <c r="E18" s="23" t="inlineStr">
        <is>
          <t>East portal: drilled-shaft installation - turnover</t>
        </is>
      </c>
      <c r="F18" s="23" t="inlineStr">
        <is>
          <t>ONE_TO_ONE</t>
        </is>
      </c>
      <c r="G18" s="23" t="inlineStr">
        <is>
          <t>RETAINED</t>
        </is>
      </c>
      <c r="H18" s="23" t="inlineStr">
        <is>
          <t>Carried forward</t>
        </is>
      </c>
      <c r="I18" s="23" t="inlineStr">
        <is>
          <t>Source assignment -- not individually reviewed</t>
        </is>
      </c>
      <c r="J18" s="23" t="inlineStr"/>
      <c r="K18" s="23" t="inlineStr">
        <is>
          <t>Source assignment</t>
        </is>
      </c>
      <c r="L18" s="23" t="inlineStr"/>
      <c r="M18" s="23" t="inlineStr">
        <is>
          <t>Contractor Programme Cycle 2</t>
        </is>
      </c>
      <c r="N18" s="23" t="inlineStr">
        <is>
          <t>Rev 1</t>
        </is>
      </c>
      <c r="O18" s="23" t="inlineStr">
        <is>
          <t>R13-v2</t>
        </is>
      </c>
      <c r="P18" s="23" t="inlineStr"/>
      <c r="Q18" s="23" t="inlineStr"/>
      <c r="R18" s="23" t="inlineStr"/>
      <c r="S18" s="23" t="inlineStr"/>
      <c r="T18" s="23" t="inlineStr"/>
      <c r="U18" s="23" t="inlineStr"/>
      <c r="V18" s="23" t="inlineStr">
        <is>
          <t>WBS Code = 1.1.1</t>
        </is>
      </c>
      <c r="W18" s="23" t="inlineStr"/>
    </row>
    <row r="19" ht="64" customHeight="1">
      <c r="A19" s="23" t="inlineStr">
        <is>
          <t>1.1.1</t>
        </is>
      </c>
      <c r="B19" s="23" t="inlineStr">
        <is>
          <t>Guideway and Civil - Guideway Structures</t>
        </is>
      </c>
      <c r="C19" s="23" t="inlineStr">
        <is>
          <t>Contractor Programme</t>
        </is>
      </c>
      <c r="D19" s="23" t="inlineStr">
        <is>
          <t>SCH-01-014</t>
        </is>
      </c>
      <c r="E19" s="23" t="inlineStr">
        <is>
          <t>River crossing: retaining-wall excavation - release</t>
        </is>
      </c>
      <c r="F19" s="23" t="inlineStr">
        <is>
          <t>ONE_TO_ONE</t>
        </is>
      </c>
      <c r="G19" s="23" t="inlineStr">
        <is>
          <t>RETAINED</t>
        </is>
      </c>
      <c r="H19" s="23" t="inlineStr">
        <is>
          <t>Carried forward</t>
        </is>
      </c>
      <c r="I19" s="23" t="inlineStr">
        <is>
          <t>Source assignment -- not individually reviewed</t>
        </is>
      </c>
      <c r="J19" s="23" t="inlineStr"/>
      <c r="K19" s="23" t="inlineStr">
        <is>
          <t>Source assignment</t>
        </is>
      </c>
      <c r="L19" s="23" t="inlineStr"/>
      <c r="M19" s="23" t="inlineStr">
        <is>
          <t>Contractor Programme Cycle 2</t>
        </is>
      </c>
      <c r="N19" s="23" t="inlineStr">
        <is>
          <t>Rev 1</t>
        </is>
      </c>
      <c r="O19" s="23" t="inlineStr">
        <is>
          <t>R14-v2</t>
        </is>
      </c>
      <c r="P19" s="23" t="inlineStr"/>
      <c r="Q19" s="23" t="inlineStr"/>
      <c r="R19" s="23" t="inlineStr"/>
      <c r="S19" s="23" t="inlineStr"/>
      <c r="T19" s="23" t="inlineStr"/>
      <c r="U19" s="23" t="inlineStr"/>
      <c r="V19" s="23" t="inlineStr">
        <is>
          <t>WBS Code = 1.1.1</t>
        </is>
      </c>
      <c r="W19" s="23" t="inlineStr"/>
    </row>
    <row r="20" ht="64" customHeight="1">
      <c r="A20" s="23" t="inlineStr">
        <is>
          <t>1.1.1</t>
        </is>
      </c>
      <c r="B20" s="23" t="inlineStr">
        <is>
          <t>Guideway and Civil - Guideway Structures</t>
        </is>
      </c>
      <c r="C20" s="23" t="inlineStr">
        <is>
          <t>Contractor Programme</t>
        </is>
      </c>
      <c r="D20" s="23" t="inlineStr">
        <is>
          <t>SCH-01-016</t>
        </is>
      </c>
      <c r="E20" s="23" t="inlineStr">
        <is>
          <t>West approach: utility relocation - installation</t>
        </is>
      </c>
      <c r="F20" s="23" t="inlineStr">
        <is>
          <t>ONE_TO_ONE</t>
        </is>
      </c>
      <c r="G20" s="23" t="inlineStr">
        <is>
          <t>RETAINED</t>
        </is>
      </c>
      <c r="H20" s="23" t="inlineStr">
        <is>
          <t>Carried forward</t>
        </is>
      </c>
      <c r="I20" s="23" t="inlineStr">
        <is>
          <t>Source assignment -- not individually reviewed</t>
        </is>
      </c>
      <c r="J20" s="23" t="inlineStr"/>
      <c r="K20" s="23" t="inlineStr">
        <is>
          <t>Source assignment</t>
        </is>
      </c>
      <c r="L20" s="23" t="inlineStr"/>
      <c r="M20" s="23" t="inlineStr">
        <is>
          <t>Contractor Programme Cycle 2</t>
        </is>
      </c>
      <c r="N20" s="23" t="inlineStr">
        <is>
          <t>Rev 1</t>
        </is>
      </c>
      <c r="O20" s="23" t="inlineStr">
        <is>
          <t>R16-v2</t>
        </is>
      </c>
      <c r="P20" s="23" t="inlineStr"/>
      <c r="Q20" s="23" t="inlineStr"/>
      <c r="R20" s="23" t="inlineStr"/>
      <c r="S20" s="23" t="inlineStr"/>
      <c r="T20" s="23" t="inlineStr"/>
      <c r="U20" s="23" t="inlineStr"/>
      <c r="V20" s="23" t="inlineStr">
        <is>
          <t>WBS Code = 1.1.1</t>
        </is>
      </c>
      <c r="W20" s="23" t="inlineStr"/>
    </row>
    <row r="21" ht="64" customHeight="1">
      <c r="A21" s="23" t="inlineStr">
        <is>
          <t>1.1.1</t>
        </is>
      </c>
      <c r="B21" s="23" t="inlineStr">
        <is>
          <t>Guideway and Civil - Guideway Structures</t>
        </is>
      </c>
      <c r="C21" s="23" t="inlineStr">
        <is>
          <t>Contractor Programme</t>
        </is>
      </c>
      <c r="D21" s="23" t="inlineStr">
        <is>
          <t>SCH-01-017</t>
        </is>
      </c>
      <c r="E21" s="23" t="inlineStr">
        <is>
          <t>Depot lead: track-slab survey - inspection</t>
        </is>
      </c>
      <c r="F21" s="23" t="inlineStr">
        <is>
          <t>ONE_TO_ONE</t>
        </is>
      </c>
      <c r="G21" s="23" t="inlineStr">
        <is>
          <t>RETAINED</t>
        </is>
      </c>
      <c r="H21" s="23" t="inlineStr">
        <is>
          <t>Carried forward</t>
        </is>
      </c>
      <c r="I21" s="23" t="inlineStr">
        <is>
          <t>Source assignment -- not individually reviewed</t>
        </is>
      </c>
      <c r="J21" s="23" t="inlineStr"/>
      <c r="K21" s="23" t="inlineStr">
        <is>
          <t>Source assignment</t>
        </is>
      </c>
      <c r="L21" s="23" t="inlineStr"/>
      <c r="M21" s="23" t="inlineStr">
        <is>
          <t>Contractor Programme Cycle 2</t>
        </is>
      </c>
      <c r="N21" s="23" t="inlineStr">
        <is>
          <t>Rev 1</t>
        </is>
      </c>
      <c r="O21" s="23" t="inlineStr">
        <is>
          <t>R17-v2</t>
        </is>
      </c>
      <c r="P21" s="23" t="inlineStr"/>
      <c r="Q21" s="23" t="inlineStr"/>
      <c r="R21" s="23" t="inlineStr"/>
      <c r="S21" s="23" t="inlineStr"/>
      <c r="T21" s="23" t="inlineStr"/>
      <c r="U21" s="23" t="inlineStr"/>
      <c r="V21" s="23" t="inlineStr">
        <is>
          <t>WBS Code = 1.1.1</t>
        </is>
      </c>
      <c r="W21" s="23" t="inlineStr"/>
    </row>
    <row r="22" ht="64" customHeight="1">
      <c r="A22" s="23" t="inlineStr">
        <is>
          <t>1.1.1</t>
        </is>
      </c>
      <c r="B22" s="23" t="inlineStr">
        <is>
          <t>Guideway and Civil - Guideway Structures</t>
        </is>
      </c>
      <c r="C22" s="23" t="inlineStr">
        <is>
          <t>Contractor Programme</t>
        </is>
      </c>
      <c r="D22" s="23" t="inlineStr">
        <is>
          <t>SCH-01-019</t>
        </is>
      </c>
      <c r="E22" s="23" t="inlineStr">
        <is>
          <t>River crossing: guideway pier reinforcement - release</t>
        </is>
      </c>
      <c r="F22" s="23" t="inlineStr">
        <is>
          <t>ONE_TO_ONE</t>
        </is>
      </c>
      <c r="G22" s="23" t="inlineStr">
        <is>
          <t>RETAINED</t>
        </is>
      </c>
      <c r="H22" s="23" t="inlineStr">
        <is>
          <t>Carried forward</t>
        </is>
      </c>
      <c r="I22" s="23" t="inlineStr">
        <is>
          <t>Source assignment -- not individually reviewed</t>
        </is>
      </c>
      <c r="J22" s="23" t="inlineStr"/>
      <c r="K22" s="23" t="inlineStr">
        <is>
          <t>Source assignment</t>
        </is>
      </c>
      <c r="L22" s="23" t="inlineStr"/>
      <c r="M22" s="23" t="inlineStr">
        <is>
          <t>Contractor Programme Cycle 2</t>
        </is>
      </c>
      <c r="N22" s="23" t="inlineStr">
        <is>
          <t>Rev 1</t>
        </is>
      </c>
      <c r="O22" s="23" t="inlineStr">
        <is>
          <t>R19-v2</t>
        </is>
      </c>
      <c r="P22" s="23" t="inlineStr"/>
      <c r="Q22" s="23" t="inlineStr"/>
      <c r="R22" s="23" t="inlineStr"/>
      <c r="S22" s="23" t="inlineStr"/>
      <c r="T22" s="23" t="inlineStr"/>
      <c r="U22" s="23" t="inlineStr"/>
      <c r="V22" s="23" t="inlineStr">
        <is>
          <t>WBS Code = 1.1.1</t>
        </is>
      </c>
      <c r="W22" s="23" t="inlineStr"/>
    </row>
    <row r="23" ht="64" customHeight="1">
      <c r="A23" s="23" t="inlineStr">
        <is>
          <t>1.1.1</t>
        </is>
      </c>
      <c r="B23" s="23" t="inlineStr">
        <is>
          <t>Guideway and Civil - Guideway Structures</t>
        </is>
      </c>
      <c r="C23" s="23" t="inlineStr">
        <is>
          <t>Contractor Programme</t>
        </is>
      </c>
      <c r="D23" s="23" t="inlineStr">
        <is>
          <t>SCH-01-020</t>
        </is>
      </c>
      <c r="E23" s="23" t="inlineStr">
        <is>
          <t>Central guideway: road restoration - field start</t>
        </is>
      </c>
      <c r="F23" s="23" t="inlineStr">
        <is>
          <t>ONE_TO_ONE</t>
        </is>
      </c>
      <c r="G23" s="23" t="inlineStr">
        <is>
          <t>RETAINED</t>
        </is>
      </c>
      <c r="H23" s="23" t="inlineStr">
        <is>
          <t>Carried forward</t>
        </is>
      </c>
      <c r="I23" s="23" t="inlineStr">
        <is>
          <t>Source assignment -- not individually reviewed</t>
        </is>
      </c>
      <c r="J23" s="23" t="inlineStr"/>
      <c r="K23" s="23" t="inlineStr">
        <is>
          <t>Source assignment</t>
        </is>
      </c>
      <c r="L23" s="23" t="inlineStr"/>
      <c r="M23" s="23" t="inlineStr">
        <is>
          <t>Contractor Programme Cycle 2</t>
        </is>
      </c>
      <c r="N23" s="23" t="inlineStr">
        <is>
          <t>Rev 1</t>
        </is>
      </c>
      <c r="O23" s="23" t="inlineStr">
        <is>
          <t>R20-v2</t>
        </is>
      </c>
      <c r="P23" s="23" t="inlineStr"/>
      <c r="Q23" s="23" t="inlineStr"/>
      <c r="R23" s="23" t="inlineStr"/>
      <c r="S23" s="23" t="inlineStr"/>
      <c r="T23" s="23" t="inlineStr"/>
      <c r="U23" s="23" t="inlineStr"/>
      <c r="V23" s="23" t="inlineStr">
        <is>
          <t>WBS Code = 1.1.1</t>
        </is>
      </c>
      <c r="W23" s="23" t="inlineStr"/>
    </row>
    <row r="24" ht="64" customHeight="1">
      <c r="A24" s="23" t="inlineStr">
        <is>
          <t>1.1.1</t>
        </is>
      </c>
      <c r="B24" s="23" t="inlineStr">
        <is>
          <t>Guideway and Civil - Guideway Structures</t>
        </is>
      </c>
      <c r="C24" s="23" t="inlineStr">
        <is>
          <t>Contractor Programme</t>
        </is>
      </c>
      <c r="D24" s="23" t="inlineStr">
        <is>
          <t>SCH-01-022</t>
        </is>
      </c>
      <c r="E24" s="23" t="inlineStr">
        <is>
          <t>Depot lead: retaining-wall excavation - inspection</t>
        </is>
      </c>
      <c r="F24" s="23" t="inlineStr">
        <is>
          <t>ONE_TO_ONE</t>
        </is>
      </c>
      <c r="G24" s="23" t="inlineStr">
        <is>
          <t>RETAINED</t>
        </is>
      </c>
      <c r="H24" s="23" t="inlineStr">
        <is>
          <t>Carried forward</t>
        </is>
      </c>
      <c r="I24" s="23" t="inlineStr">
        <is>
          <t>Source assignment -- not individually reviewed</t>
        </is>
      </c>
      <c r="J24" s="23" t="inlineStr"/>
      <c r="K24" s="23" t="inlineStr">
        <is>
          <t>Source assignment</t>
        </is>
      </c>
      <c r="L24" s="23" t="inlineStr"/>
      <c r="M24" s="23" t="inlineStr">
        <is>
          <t>Contractor Programme Cycle 2</t>
        </is>
      </c>
      <c r="N24" s="23" t="inlineStr">
        <is>
          <t>Rev 1</t>
        </is>
      </c>
      <c r="O24" s="23" t="inlineStr">
        <is>
          <t>R22-v2</t>
        </is>
      </c>
      <c r="P24" s="23" t="inlineStr"/>
      <c r="Q24" s="23" t="inlineStr"/>
      <c r="R24" s="23" t="inlineStr"/>
      <c r="S24" s="23" t="inlineStr"/>
      <c r="T24" s="23" t="inlineStr"/>
      <c r="U24" s="23" t="inlineStr"/>
      <c r="V24" s="23" t="inlineStr">
        <is>
          <t>WBS Code = 1.1.1</t>
        </is>
      </c>
      <c r="W24" s="23" t="inlineStr"/>
    </row>
    <row r="25" ht="64" customHeight="1">
      <c r="A25" s="23" t="inlineStr">
        <is>
          <t>1.1.1</t>
        </is>
      </c>
      <c r="B25" s="23" t="inlineStr">
        <is>
          <t>Guideway and Civil - Guideway Structures</t>
        </is>
      </c>
      <c r="C25" s="23" t="inlineStr">
        <is>
          <t>Contractor Programme</t>
        </is>
      </c>
      <c r="D25" s="23" t="inlineStr">
        <is>
          <t>SCH-01-023</t>
        </is>
      </c>
      <c r="E25" s="23" t="inlineStr">
        <is>
          <t>East portal: drainage tie-in - turnover</t>
        </is>
      </c>
      <c r="F25" s="23" t="inlineStr">
        <is>
          <t>ONE_TO_ONE</t>
        </is>
      </c>
      <c r="G25" s="23" t="inlineStr">
        <is>
          <t>RETAINED</t>
        </is>
      </c>
      <c r="H25" s="23" t="inlineStr">
        <is>
          <t>Carried forward</t>
        </is>
      </c>
      <c r="I25" s="23" t="inlineStr">
        <is>
          <t>Source assignment -- not individually reviewed</t>
        </is>
      </c>
      <c r="J25" s="23" t="inlineStr"/>
      <c r="K25" s="23" t="inlineStr">
        <is>
          <t>Source assignment</t>
        </is>
      </c>
      <c r="L25" s="23" t="inlineStr"/>
      <c r="M25" s="23" t="inlineStr">
        <is>
          <t>Contractor Programme Cycle 2</t>
        </is>
      </c>
      <c r="N25" s="23" t="inlineStr">
        <is>
          <t>Rev 1</t>
        </is>
      </c>
      <c r="O25" s="23" t="inlineStr">
        <is>
          <t>R23-v2</t>
        </is>
      </c>
      <c r="P25" s="23" t="inlineStr"/>
      <c r="Q25" s="23" t="inlineStr"/>
      <c r="R25" s="23" t="inlineStr"/>
      <c r="S25" s="23" t="inlineStr"/>
      <c r="T25" s="23" t="inlineStr"/>
      <c r="U25" s="23" t="inlineStr"/>
      <c r="V25" s="23" t="inlineStr">
        <is>
          <t>WBS Code = 1.1.1</t>
        </is>
      </c>
      <c r="W25" s="23" t="inlineStr"/>
    </row>
    <row r="26" ht="64" customHeight="1">
      <c r="A26" s="23" t="inlineStr">
        <is>
          <t>1.1.1</t>
        </is>
      </c>
      <c r="B26" s="23" t="inlineStr">
        <is>
          <t>Guideway and Civil - Guideway Structures</t>
        </is>
      </c>
      <c r="C26" s="23" t="inlineStr">
        <is>
          <t>Contractor Programme</t>
        </is>
      </c>
      <c r="D26" s="23" t="inlineStr">
        <is>
          <t>SCH-01-025</t>
        </is>
      </c>
      <c r="E26" s="23" t="inlineStr">
        <is>
          <t>Central guideway: track-slab survey - field start</t>
        </is>
      </c>
      <c r="F26" s="23" t="inlineStr">
        <is>
          <t>ONE_TO_ONE</t>
        </is>
      </c>
      <c r="G26" s="23" t="inlineStr">
        <is>
          <t>RETAINED</t>
        </is>
      </c>
      <c r="H26" s="23" t="inlineStr">
        <is>
          <t>Carried forward</t>
        </is>
      </c>
      <c r="I26" s="23" t="inlineStr">
        <is>
          <t>Source assignment -- not individually reviewed</t>
        </is>
      </c>
      <c r="J26" s="23" t="inlineStr"/>
      <c r="K26" s="23" t="inlineStr">
        <is>
          <t>Source assignment</t>
        </is>
      </c>
      <c r="L26" s="23" t="inlineStr"/>
      <c r="M26" s="23" t="inlineStr">
        <is>
          <t>Contractor Programme Cycle 2</t>
        </is>
      </c>
      <c r="N26" s="23" t="inlineStr">
        <is>
          <t>Rev 1</t>
        </is>
      </c>
      <c r="O26" s="23" t="inlineStr">
        <is>
          <t>R25-v2</t>
        </is>
      </c>
      <c r="P26" s="23" t="inlineStr"/>
      <c r="Q26" s="23" t="inlineStr"/>
      <c r="R26" s="23" t="inlineStr"/>
      <c r="S26" s="23" t="inlineStr"/>
      <c r="T26" s="23" t="inlineStr"/>
      <c r="U26" s="23" t="inlineStr"/>
      <c r="V26" s="23" t="inlineStr">
        <is>
          <t>WBS Code = 1.1.1</t>
        </is>
      </c>
      <c r="W26" s="23" t="inlineStr"/>
    </row>
    <row r="27" ht="64" customHeight="1">
      <c r="A27" s="23" t="inlineStr">
        <is>
          <t>1.1.1</t>
        </is>
      </c>
      <c r="B27" s="23" t="inlineStr">
        <is>
          <t>Guideway and Civil - Guideway Structures</t>
        </is>
      </c>
      <c r="C27" s="23" t="inlineStr">
        <is>
          <t>Contractor Programme</t>
        </is>
      </c>
      <c r="D27" s="23" t="inlineStr">
        <is>
          <t>SCH-01-026</t>
        </is>
      </c>
      <c r="E27" s="23" t="inlineStr">
        <is>
          <t>West approach: temporary traffic staging - installation</t>
        </is>
      </c>
      <c r="F27" s="23" t="inlineStr">
        <is>
          <t>ONE_TO_ONE</t>
        </is>
      </c>
      <c r="G27" s="23" t="inlineStr">
        <is>
          <t>RETAINED</t>
        </is>
      </c>
      <c r="H27" s="23" t="inlineStr">
        <is>
          <t>Carried forward</t>
        </is>
      </c>
      <c r="I27" s="23" t="inlineStr">
        <is>
          <t>Source assignment -- not individually reviewed</t>
        </is>
      </c>
      <c r="J27" s="23" t="inlineStr"/>
      <c r="K27" s="23" t="inlineStr">
        <is>
          <t>Source assignment</t>
        </is>
      </c>
      <c r="L27" s="23" t="inlineStr"/>
      <c r="M27" s="23" t="inlineStr">
        <is>
          <t>Contractor Programme Cycle 2</t>
        </is>
      </c>
      <c r="N27" s="23" t="inlineStr">
        <is>
          <t>Rev 1</t>
        </is>
      </c>
      <c r="O27" s="23" t="inlineStr">
        <is>
          <t>R26-v2</t>
        </is>
      </c>
      <c r="P27" s="23" t="inlineStr"/>
      <c r="Q27" s="23" t="inlineStr"/>
      <c r="R27" s="23" t="inlineStr"/>
      <c r="S27" s="23" t="inlineStr"/>
      <c r="T27" s="23" t="inlineStr"/>
      <c r="U27" s="23" t="inlineStr"/>
      <c r="V27" s="23" t="inlineStr">
        <is>
          <t>WBS Code = 1.1.1</t>
        </is>
      </c>
      <c r="W27" s="23" t="inlineStr"/>
    </row>
    <row r="28" ht="64" customHeight="1">
      <c r="A28" s="23" t="inlineStr">
        <is>
          <t>1.1.1</t>
        </is>
      </c>
      <c r="B28" s="23" t="inlineStr">
        <is>
          <t>Guideway and Civil - Guideway Structures</t>
        </is>
      </c>
      <c r="C28" s="23" t="inlineStr">
        <is>
          <t>Contractor Programme</t>
        </is>
      </c>
      <c r="D28" s="23" t="inlineStr">
        <is>
          <t>SCH-01-028</t>
        </is>
      </c>
      <c r="E28" s="23" t="inlineStr">
        <is>
          <t>East portal: road restoration - turnover</t>
        </is>
      </c>
      <c r="F28" s="23" t="inlineStr">
        <is>
          <t>ONE_TO_ONE</t>
        </is>
      </c>
      <c r="G28" s="23" t="inlineStr">
        <is>
          <t>RETAINED</t>
        </is>
      </c>
      <c r="H28" s="23" t="inlineStr">
        <is>
          <t>Carried forward</t>
        </is>
      </c>
      <c r="I28" s="23" t="inlineStr">
        <is>
          <t>Source assignment -- not individually reviewed</t>
        </is>
      </c>
      <c r="J28" s="23" t="inlineStr"/>
      <c r="K28" s="23" t="inlineStr">
        <is>
          <t>Source assignment</t>
        </is>
      </c>
      <c r="L28" s="23" t="inlineStr"/>
      <c r="M28" s="23" t="inlineStr">
        <is>
          <t>Contractor Programme Cycle 2</t>
        </is>
      </c>
      <c r="N28" s="23" t="inlineStr">
        <is>
          <t>Rev 1</t>
        </is>
      </c>
      <c r="O28" s="23" t="inlineStr">
        <is>
          <t>R28-v2</t>
        </is>
      </c>
      <c r="P28" s="23" t="inlineStr"/>
      <c r="Q28" s="23" t="inlineStr"/>
      <c r="R28" s="23" t="inlineStr"/>
      <c r="S28" s="23" t="inlineStr"/>
      <c r="T28" s="23" t="inlineStr"/>
      <c r="U28" s="23" t="inlineStr"/>
      <c r="V28" s="23" t="inlineStr">
        <is>
          <t>WBS Code = 1.1.1</t>
        </is>
      </c>
      <c r="W28" s="23" t="inlineStr"/>
    </row>
    <row r="29" ht="64" customHeight="1">
      <c r="A29" s="23" t="inlineStr">
        <is>
          <t>1.1.1</t>
        </is>
      </c>
      <c r="B29" s="23" t="inlineStr">
        <is>
          <t>Guideway and Civil - Guideway Structures</t>
        </is>
      </c>
      <c r="C29" s="23" t="inlineStr">
        <is>
          <t>Contractor Programme</t>
        </is>
      </c>
      <c r="D29" s="23" t="inlineStr">
        <is>
          <t>SCH-01-029</t>
        </is>
      </c>
      <c r="E29" s="23" t="inlineStr">
        <is>
          <t>River crossing: drilled-shaft installation - release</t>
        </is>
      </c>
      <c r="F29" s="23" t="inlineStr">
        <is>
          <t>ONE_TO_ONE</t>
        </is>
      </c>
      <c r="G29" s="23" t="inlineStr">
        <is>
          <t>RETAINED</t>
        </is>
      </c>
      <c r="H29" s="23" t="inlineStr">
        <is>
          <t>Carried forward</t>
        </is>
      </c>
      <c r="I29" s="23" t="inlineStr">
        <is>
          <t>Source assignment -- not individually reviewed</t>
        </is>
      </c>
      <c r="J29" s="23" t="inlineStr"/>
      <c r="K29" s="23" t="inlineStr">
        <is>
          <t>Source assignment</t>
        </is>
      </c>
      <c r="L29" s="23" t="inlineStr"/>
      <c r="M29" s="23" t="inlineStr">
        <is>
          <t>Contractor Programme Cycle 2</t>
        </is>
      </c>
      <c r="N29" s="23" t="inlineStr">
        <is>
          <t>Rev 1</t>
        </is>
      </c>
      <c r="O29" s="23" t="inlineStr">
        <is>
          <t>R29-v2</t>
        </is>
      </c>
      <c r="P29" s="23" t="inlineStr"/>
      <c r="Q29" s="23" t="inlineStr"/>
      <c r="R29" s="23" t="inlineStr"/>
      <c r="S29" s="23" t="inlineStr"/>
      <c r="T29" s="23" t="inlineStr"/>
      <c r="U29" s="23" t="inlineStr"/>
      <c r="V29" s="23" t="inlineStr">
        <is>
          <t>WBS Code = 1.1.1</t>
        </is>
      </c>
      <c r="W29" s="23" t="inlineStr"/>
    </row>
    <row r="30" ht="64" customHeight="1">
      <c r="A30" s="23" t="inlineStr">
        <is>
          <t>1.1.1</t>
        </is>
      </c>
      <c r="B30" s="23" t="inlineStr">
        <is>
          <t>Guideway and Civil - Guideway Structures</t>
        </is>
      </c>
      <c r="C30" s="23" t="inlineStr">
        <is>
          <t>Contractor Programme</t>
        </is>
      </c>
      <c r="D30" s="23" t="inlineStr">
        <is>
          <t>SCH-01-031</t>
        </is>
      </c>
      <c r="E30" s="23" t="inlineStr">
        <is>
          <t>West approach: drainage tie-in - installation</t>
        </is>
      </c>
      <c r="F30" s="23" t="inlineStr">
        <is>
          <t>ONE_TO_ONE</t>
        </is>
      </c>
      <c r="G30" s="23" t="inlineStr">
        <is>
          <t>RETAINED</t>
        </is>
      </c>
      <c r="H30" s="23" t="inlineStr">
        <is>
          <t>Carried forward</t>
        </is>
      </c>
      <c r="I30" s="23" t="inlineStr">
        <is>
          <t>Source assignment -- not individually reviewed</t>
        </is>
      </c>
      <c r="J30" s="23" t="inlineStr"/>
      <c r="K30" s="23" t="inlineStr">
        <is>
          <t>Source assignment</t>
        </is>
      </c>
      <c r="L30" s="23" t="inlineStr"/>
      <c r="M30" s="23" t="inlineStr">
        <is>
          <t>Contractor Programme Cycle 2</t>
        </is>
      </c>
      <c r="N30" s="23" t="inlineStr">
        <is>
          <t>Rev 1</t>
        </is>
      </c>
      <c r="O30" s="23" t="inlineStr">
        <is>
          <t>R31-v2</t>
        </is>
      </c>
      <c r="P30" s="23" t="inlineStr"/>
      <c r="Q30" s="23" t="inlineStr"/>
      <c r="R30" s="23" t="inlineStr"/>
      <c r="S30" s="23" t="inlineStr"/>
      <c r="T30" s="23" t="inlineStr"/>
      <c r="U30" s="23" t="inlineStr"/>
      <c r="V30" s="23" t="inlineStr">
        <is>
          <t>WBS Code = 1.1.1</t>
        </is>
      </c>
      <c r="W30" s="23" t="inlineStr"/>
    </row>
    <row r="31" ht="64" customHeight="1">
      <c r="A31" s="23" t="inlineStr">
        <is>
          <t>1.1.1</t>
        </is>
      </c>
      <c r="B31" s="23" t="inlineStr">
        <is>
          <t>Guideway and Civil - Guideway Structures</t>
        </is>
      </c>
      <c r="C31" s="23" t="inlineStr">
        <is>
          <t>Contractor Programme</t>
        </is>
      </c>
      <c r="D31" s="23" t="inlineStr">
        <is>
          <t>SCH-01-032</t>
        </is>
      </c>
      <c r="E31" s="23" t="inlineStr">
        <is>
          <t>Depot lead: utility relocation - inspection</t>
        </is>
      </c>
      <c r="F31" s="23" t="inlineStr">
        <is>
          <t>ONE_TO_ONE</t>
        </is>
      </c>
      <c r="G31" s="23" t="inlineStr">
        <is>
          <t>RETAINED</t>
        </is>
      </c>
      <c r="H31" s="23" t="inlineStr">
        <is>
          <t>Carried forward</t>
        </is>
      </c>
      <c r="I31" s="23" t="inlineStr">
        <is>
          <t>Source assignment -- not individually reviewed</t>
        </is>
      </c>
      <c r="J31" s="23" t="inlineStr"/>
      <c r="K31" s="23" t="inlineStr">
        <is>
          <t>Source assignment</t>
        </is>
      </c>
      <c r="L31" s="23" t="inlineStr"/>
      <c r="M31" s="23" t="inlineStr">
        <is>
          <t>Contractor Programme Cycle 2</t>
        </is>
      </c>
      <c r="N31" s="23" t="inlineStr">
        <is>
          <t>Rev 1</t>
        </is>
      </c>
      <c r="O31" s="23" t="inlineStr">
        <is>
          <t>R32-v2</t>
        </is>
      </c>
      <c r="P31" s="23" t="inlineStr"/>
      <c r="Q31" s="23" t="inlineStr"/>
      <c r="R31" s="23" t="inlineStr"/>
      <c r="S31" s="23" t="inlineStr"/>
      <c r="T31" s="23" t="inlineStr"/>
      <c r="U31" s="23" t="inlineStr"/>
      <c r="V31" s="23" t="inlineStr">
        <is>
          <t>WBS Code = 1.1.1</t>
        </is>
      </c>
      <c r="W31" s="23" t="inlineStr"/>
    </row>
    <row r="32" ht="64" customHeight="1">
      <c r="A32" s="23" t="inlineStr">
        <is>
          <t>1.1.1</t>
        </is>
      </c>
      <c r="B32" s="23" t="inlineStr">
        <is>
          <t>Guideway and Civil - Guideway Structures</t>
        </is>
      </c>
      <c r="C32" s="23" t="inlineStr">
        <is>
          <t>Contractor Programme</t>
        </is>
      </c>
      <c r="D32" s="23" t="inlineStr">
        <is>
          <t>SCH-01-034</t>
        </is>
      </c>
      <c r="E32" s="23" t="inlineStr">
        <is>
          <t>River crossing: temporary traffic staging - release</t>
        </is>
      </c>
      <c r="F32" s="23" t="inlineStr">
        <is>
          <t>ONE_TO_ONE</t>
        </is>
      </c>
      <c r="G32" s="23" t="inlineStr">
        <is>
          <t>RETAINED</t>
        </is>
      </c>
      <c r="H32" s="23" t="inlineStr">
        <is>
          <t>Carried forward</t>
        </is>
      </c>
      <c r="I32" s="23" t="inlineStr">
        <is>
          <t>Source assignment -- not individually reviewed</t>
        </is>
      </c>
      <c r="J32" s="23" t="inlineStr"/>
      <c r="K32" s="23" t="inlineStr">
        <is>
          <t>Source assignment</t>
        </is>
      </c>
      <c r="L32" s="23" t="inlineStr"/>
      <c r="M32" s="23" t="inlineStr">
        <is>
          <t>Contractor Programme Cycle 2</t>
        </is>
      </c>
      <c r="N32" s="23" t="inlineStr">
        <is>
          <t>Rev 1</t>
        </is>
      </c>
      <c r="O32" s="23" t="inlineStr">
        <is>
          <t>R34-v2</t>
        </is>
      </c>
      <c r="P32" s="23" t="inlineStr"/>
      <c r="Q32" s="23" t="inlineStr"/>
      <c r="R32" s="23" t="inlineStr"/>
      <c r="S32" s="23" t="inlineStr"/>
      <c r="T32" s="23" t="inlineStr"/>
      <c r="U32" s="23" t="inlineStr"/>
      <c r="V32" s="23" t="inlineStr">
        <is>
          <t>WBS Code = 1.1.1</t>
        </is>
      </c>
      <c r="W32" s="23" t="inlineStr"/>
    </row>
    <row r="33" ht="64" customHeight="1">
      <c r="A33" s="23" t="inlineStr">
        <is>
          <t>1.1.1</t>
        </is>
      </c>
      <c r="B33" s="23" t="inlineStr">
        <is>
          <t>Guideway and Civil - Guideway Structures</t>
        </is>
      </c>
      <c r="C33" s="23" t="inlineStr">
        <is>
          <t>Contractor Programme</t>
        </is>
      </c>
      <c r="D33" s="23" t="inlineStr">
        <is>
          <t>SCH-01-035</t>
        </is>
      </c>
      <c r="E33" s="23" t="inlineStr">
        <is>
          <t>Central guideway: guideway pier reinforcement - field start</t>
        </is>
      </c>
      <c r="F33" s="23" t="inlineStr">
        <is>
          <t>ONE_TO_ONE</t>
        </is>
      </c>
      <c r="G33" s="23" t="inlineStr">
        <is>
          <t>RETAINED</t>
        </is>
      </c>
      <c r="H33" s="23" t="inlineStr">
        <is>
          <t>Carried forward</t>
        </is>
      </c>
      <c r="I33" s="23" t="inlineStr">
        <is>
          <t>Source assignment -- not individually reviewed</t>
        </is>
      </c>
      <c r="J33" s="23" t="inlineStr"/>
      <c r="K33" s="23" t="inlineStr">
        <is>
          <t>Source assignment</t>
        </is>
      </c>
      <c r="L33" s="23" t="inlineStr"/>
      <c r="M33" s="23" t="inlineStr">
        <is>
          <t>Contractor Programme Cycle 2</t>
        </is>
      </c>
      <c r="N33" s="23" t="inlineStr">
        <is>
          <t>Rev 1</t>
        </is>
      </c>
      <c r="O33" s="23" t="inlineStr">
        <is>
          <t>R35-v2</t>
        </is>
      </c>
      <c r="P33" s="23" t="inlineStr"/>
      <c r="Q33" s="23" t="inlineStr"/>
      <c r="R33" s="23" t="inlineStr"/>
      <c r="S33" s="23" t="inlineStr"/>
      <c r="T33" s="23" t="inlineStr"/>
      <c r="U33" s="23" t="inlineStr"/>
      <c r="V33" s="23" t="inlineStr">
        <is>
          <t>WBS Code = 1.1.1</t>
        </is>
      </c>
      <c r="W33" s="23" t="inlineStr"/>
    </row>
    <row r="34" ht="64" customHeight="1">
      <c r="A34" s="23" t="inlineStr">
        <is>
          <t>1.1.1</t>
        </is>
      </c>
      <c r="B34" s="23" t="inlineStr">
        <is>
          <t>Guideway and Civil - Guideway Structures</t>
        </is>
      </c>
      <c r="C34" s="23" t="inlineStr">
        <is>
          <t>Contractor Programme</t>
        </is>
      </c>
      <c r="D34" s="23" t="inlineStr">
        <is>
          <t>SCH-01-037</t>
        </is>
      </c>
      <c r="E34" s="23" t="inlineStr">
        <is>
          <t>Depot lead: drilled-shaft installation - inspection</t>
        </is>
      </c>
      <c r="F34" s="23" t="inlineStr">
        <is>
          <t>ONE_TO_ONE</t>
        </is>
      </c>
      <c r="G34" s="23" t="inlineStr">
        <is>
          <t>RETAINED</t>
        </is>
      </c>
      <c r="H34" s="23" t="inlineStr">
        <is>
          <t>Carried forward</t>
        </is>
      </c>
      <c r="I34" s="23" t="inlineStr">
        <is>
          <t>Source assignment -- not individually reviewed</t>
        </is>
      </c>
      <c r="J34" s="23" t="inlineStr"/>
      <c r="K34" s="23" t="inlineStr">
        <is>
          <t>Source assignment</t>
        </is>
      </c>
      <c r="L34" s="23" t="inlineStr"/>
      <c r="M34" s="23" t="inlineStr">
        <is>
          <t>Contractor Programme Cycle 2</t>
        </is>
      </c>
      <c r="N34" s="23" t="inlineStr">
        <is>
          <t>Rev 1</t>
        </is>
      </c>
      <c r="O34" s="23" t="inlineStr">
        <is>
          <t>R37-v2</t>
        </is>
      </c>
      <c r="P34" s="23" t="inlineStr"/>
      <c r="Q34" s="23" t="inlineStr"/>
      <c r="R34" s="23" t="inlineStr"/>
      <c r="S34" s="23" t="inlineStr"/>
      <c r="T34" s="23" t="inlineStr"/>
      <c r="U34" s="23" t="inlineStr"/>
      <c r="V34" s="23" t="inlineStr">
        <is>
          <t>WBS Code = 1.1.1</t>
        </is>
      </c>
      <c r="W34" s="23" t="inlineStr"/>
    </row>
    <row r="35" ht="64" customHeight="1">
      <c r="A35" s="23" t="inlineStr">
        <is>
          <t>1.1.1</t>
        </is>
      </c>
      <c r="B35" s="23" t="inlineStr">
        <is>
          <t>Guideway and Civil - Guideway Structures</t>
        </is>
      </c>
      <c r="C35" s="23" t="inlineStr">
        <is>
          <t>Contractor Programme</t>
        </is>
      </c>
      <c r="D35" s="23" t="inlineStr">
        <is>
          <t>SCH-01-038</t>
        </is>
      </c>
      <c r="E35" s="23" t="inlineStr">
        <is>
          <t>East portal: retaining-wall excavation - turnover</t>
        </is>
      </c>
      <c r="F35" s="23" t="inlineStr">
        <is>
          <t>ONE_TO_ONE</t>
        </is>
      </c>
      <c r="G35" s="23" t="inlineStr">
        <is>
          <t>RETAINED</t>
        </is>
      </c>
      <c r="H35" s="23" t="inlineStr">
        <is>
          <t>Carried forward</t>
        </is>
      </c>
      <c r="I35" s="23" t="inlineStr">
        <is>
          <t>Source assignment -- not individually reviewed</t>
        </is>
      </c>
      <c r="J35" s="23" t="inlineStr"/>
      <c r="K35" s="23" t="inlineStr">
        <is>
          <t>Source assignment</t>
        </is>
      </c>
      <c r="L35" s="23" t="inlineStr"/>
      <c r="M35" s="23" t="inlineStr">
        <is>
          <t>Contractor Programme Cycle 2</t>
        </is>
      </c>
      <c r="N35" s="23" t="inlineStr">
        <is>
          <t>Rev 1</t>
        </is>
      </c>
      <c r="O35" s="23" t="inlineStr">
        <is>
          <t>R38-v2</t>
        </is>
      </c>
      <c r="P35" s="23" t="inlineStr"/>
      <c r="Q35" s="23" t="inlineStr"/>
      <c r="R35" s="23" t="inlineStr"/>
      <c r="S35" s="23" t="inlineStr"/>
      <c r="T35" s="23" t="inlineStr"/>
      <c r="U35" s="23" t="inlineStr"/>
      <c r="V35" s="23" t="inlineStr">
        <is>
          <t>WBS Code = 1.1.1</t>
        </is>
      </c>
      <c r="W35" s="23" t="inlineStr"/>
    </row>
    <row r="36" ht="64" customHeight="1">
      <c r="A36" s="23" t="inlineStr">
        <is>
          <t>1.1.1</t>
        </is>
      </c>
      <c r="B36" s="23" t="inlineStr">
        <is>
          <t>Guideway and Civil - Guideway Structures</t>
        </is>
      </c>
      <c r="C36" s="23" t="inlineStr">
        <is>
          <t>Contractor Programme</t>
        </is>
      </c>
      <c r="D36" s="23" t="inlineStr">
        <is>
          <t>SCH-01-040</t>
        </is>
      </c>
      <c r="E36" s="23" t="inlineStr">
        <is>
          <t>Central guideway: utility relocation - field start</t>
        </is>
      </c>
      <c r="F36" s="23" t="inlineStr">
        <is>
          <t>ONE_TO_ONE</t>
        </is>
      </c>
      <c r="G36" s="23" t="inlineStr">
        <is>
          <t>RETAINED</t>
        </is>
      </c>
      <c r="H36" s="23" t="inlineStr">
        <is>
          <t>Carried forward</t>
        </is>
      </c>
      <c r="I36" s="23" t="inlineStr">
        <is>
          <t>Source assignment -- not individually reviewed</t>
        </is>
      </c>
      <c r="J36" s="23" t="inlineStr"/>
      <c r="K36" s="23" t="inlineStr">
        <is>
          <t>Source assignment</t>
        </is>
      </c>
      <c r="L36" s="23" t="inlineStr"/>
      <c r="M36" s="23" t="inlineStr">
        <is>
          <t>Contractor Programme Cycle 2</t>
        </is>
      </c>
      <c r="N36" s="23" t="inlineStr">
        <is>
          <t>Rev 1</t>
        </is>
      </c>
      <c r="O36" s="23" t="inlineStr">
        <is>
          <t>R40-v2</t>
        </is>
      </c>
      <c r="P36" s="23" t="inlineStr"/>
      <c r="Q36" s="23" t="inlineStr"/>
      <c r="R36" s="23" t="inlineStr"/>
      <c r="S36" s="23" t="inlineStr"/>
      <c r="T36" s="23" t="inlineStr"/>
      <c r="U36" s="23" t="inlineStr"/>
      <c r="V36" s="23" t="inlineStr">
        <is>
          <t>WBS Code = 1.1.1</t>
        </is>
      </c>
      <c r="W36" s="23" t="inlineStr"/>
    </row>
    <row r="37" ht="64" customHeight="1">
      <c r="A37" s="23" t="inlineStr">
        <is>
          <t>1.1.1</t>
        </is>
      </c>
      <c r="B37" s="23" t="inlineStr">
        <is>
          <t>Guideway and Civil - Guideway Structures</t>
        </is>
      </c>
      <c r="C37" s="23" t="inlineStr">
        <is>
          <t>Contractor Programme</t>
        </is>
      </c>
      <c r="D37" s="23" t="inlineStr">
        <is>
          <t>SCH-01-041</t>
        </is>
      </c>
      <c r="E37" s="23" t="inlineStr">
        <is>
          <t>West approach: track-slab survey - installation</t>
        </is>
      </c>
      <c r="F37" s="23" t="inlineStr">
        <is>
          <t>ONE_TO_ONE</t>
        </is>
      </c>
      <c r="G37" s="23" t="inlineStr">
        <is>
          <t>RETAINED</t>
        </is>
      </c>
      <c r="H37" s="23" t="inlineStr">
        <is>
          <t>Carried forward</t>
        </is>
      </c>
      <c r="I37" s="23" t="inlineStr">
        <is>
          <t>Source assignment -- not individually reviewed</t>
        </is>
      </c>
      <c r="J37" s="23" t="inlineStr"/>
      <c r="K37" s="23" t="inlineStr">
        <is>
          <t>Source assignment</t>
        </is>
      </c>
      <c r="L37" s="23" t="inlineStr"/>
      <c r="M37" s="23" t="inlineStr">
        <is>
          <t>Contractor Programme Cycle 2</t>
        </is>
      </c>
      <c r="N37" s="23" t="inlineStr">
        <is>
          <t>Rev 1</t>
        </is>
      </c>
      <c r="O37" s="23" t="inlineStr">
        <is>
          <t>R41-v2</t>
        </is>
      </c>
      <c r="P37" s="23" t="inlineStr"/>
      <c r="Q37" s="23" t="inlineStr"/>
      <c r="R37" s="23" t="inlineStr"/>
      <c r="S37" s="23" t="inlineStr"/>
      <c r="T37" s="23" t="inlineStr"/>
      <c r="U37" s="23" t="inlineStr"/>
      <c r="V37" s="23" t="inlineStr">
        <is>
          <t>WBS Code = 1.1.1</t>
        </is>
      </c>
      <c r="W37" s="23" t="inlineStr"/>
    </row>
    <row r="38" ht="64" customHeight="1">
      <c r="A38" s="23" t="inlineStr">
        <is>
          <t>1.1.1</t>
        </is>
      </c>
      <c r="B38" s="23" t="inlineStr">
        <is>
          <t>Guideway and Civil - Guideway Structures</t>
        </is>
      </c>
      <c r="C38" s="23" t="inlineStr">
        <is>
          <t>Contractor Programme</t>
        </is>
      </c>
      <c r="D38" s="23" t="inlineStr">
        <is>
          <t>SCH-01-043</t>
        </is>
      </c>
      <c r="E38" s="23" t="inlineStr">
        <is>
          <t>East portal: guideway pier reinforcement - turnover</t>
        </is>
      </c>
      <c r="F38" s="23" t="inlineStr">
        <is>
          <t>ONE_TO_ONE</t>
        </is>
      </c>
      <c r="G38" s="23" t="inlineStr">
        <is>
          <t>RETAINED</t>
        </is>
      </c>
      <c r="H38" s="23" t="inlineStr">
        <is>
          <t>Carried forward</t>
        </is>
      </c>
      <c r="I38" s="23" t="inlineStr">
        <is>
          <t>Source assignment -- not individually reviewed</t>
        </is>
      </c>
      <c r="J38" s="23" t="inlineStr"/>
      <c r="K38" s="23" t="inlineStr">
        <is>
          <t>Source assignment</t>
        </is>
      </c>
      <c r="L38" s="23" t="inlineStr"/>
      <c r="M38" s="23" t="inlineStr">
        <is>
          <t>Contractor Programme Cycle 2</t>
        </is>
      </c>
      <c r="N38" s="23" t="inlineStr">
        <is>
          <t>Rev 1</t>
        </is>
      </c>
      <c r="O38" s="23" t="inlineStr">
        <is>
          <t>R43-v2</t>
        </is>
      </c>
      <c r="P38" s="23" t="inlineStr"/>
      <c r="Q38" s="23" t="inlineStr"/>
      <c r="R38" s="23" t="inlineStr"/>
      <c r="S38" s="23" t="inlineStr"/>
      <c r="T38" s="23" t="inlineStr"/>
      <c r="U38" s="23" t="inlineStr"/>
      <c r="V38" s="23" t="inlineStr">
        <is>
          <t>WBS Code = 1.1.1</t>
        </is>
      </c>
      <c r="W38" s="23" t="inlineStr"/>
    </row>
    <row r="39" ht="64" customHeight="1">
      <c r="A39" s="23" t="inlineStr">
        <is>
          <t>1.1.1</t>
        </is>
      </c>
      <c r="B39" s="23" t="inlineStr">
        <is>
          <t>Guideway and Civil - Guideway Structures</t>
        </is>
      </c>
      <c r="C39" s="23" t="inlineStr">
        <is>
          <t>Contractor Programme</t>
        </is>
      </c>
      <c r="D39" s="23" t="inlineStr">
        <is>
          <t>SCH-01-044</t>
        </is>
      </c>
      <c r="E39" s="23" t="inlineStr">
        <is>
          <t>River crossing: road restoration - release</t>
        </is>
      </c>
      <c r="F39" s="23" t="inlineStr">
        <is>
          <t>ONE_TO_ONE</t>
        </is>
      </c>
      <c r="G39" s="23" t="inlineStr">
        <is>
          <t>RETAINED</t>
        </is>
      </c>
      <c r="H39" s="23" t="inlineStr">
        <is>
          <t>Carried forward</t>
        </is>
      </c>
      <c r="I39" s="23" t="inlineStr">
        <is>
          <t>Source assignment -- not individually reviewed</t>
        </is>
      </c>
      <c r="J39" s="23" t="inlineStr"/>
      <c r="K39" s="23" t="inlineStr">
        <is>
          <t>Source assignment</t>
        </is>
      </c>
      <c r="L39" s="23" t="inlineStr"/>
      <c r="M39" s="23" t="inlineStr">
        <is>
          <t>Contractor Programme Cycle 2</t>
        </is>
      </c>
      <c r="N39" s="23" t="inlineStr">
        <is>
          <t>Rev 1</t>
        </is>
      </c>
      <c r="O39" s="23" t="inlineStr">
        <is>
          <t>R44-v2</t>
        </is>
      </c>
      <c r="P39" s="23" t="inlineStr"/>
      <c r="Q39" s="23" t="inlineStr"/>
      <c r="R39" s="23" t="inlineStr"/>
      <c r="S39" s="23" t="inlineStr"/>
      <c r="T39" s="23" t="inlineStr"/>
      <c r="U39" s="23" t="inlineStr"/>
      <c r="V39" s="23" t="inlineStr">
        <is>
          <t>WBS Code = 1.1.1</t>
        </is>
      </c>
      <c r="W39" s="23" t="inlineStr"/>
    </row>
    <row r="40" ht="64" customHeight="1">
      <c r="A40" s="23" t="inlineStr">
        <is>
          <t>1.1.1</t>
        </is>
      </c>
      <c r="B40" s="23" t="inlineStr">
        <is>
          <t>Guideway and Civil - Guideway Structures</t>
        </is>
      </c>
      <c r="C40" s="23" t="inlineStr">
        <is>
          <t>Contractor Programme</t>
        </is>
      </c>
      <c r="D40" s="23" t="inlineStr">
        <is>
          <t>SCH-01-046</t>
        </is>
      </c>
      <c r="E40" s="23" t="inlineStr">
        <is>
          <t>West approach: retaining-wall excavation - installation</t>
        </is>
      </c>
      <c r="F40" s="23" t="inlineStr">
        <is>
          <t>ONE_TO_ONE</t>
        </is>
      </c>
      <c r="G40" s="23" t="inlineStr">
        <is>
          <t>RETAINED</t>
        </is>
      </c>
      <c r="H40" s="23" t="inlineStr">
        <is>
          <t>Carried forward</t>
        </is>
      </c>
      <c r="I40" s="23" t="inlineStr">
        <is>
          <t>Source assignment -- not individually reviewed</t>
        </is>
      </c>
      <c r="J40" s="23" t="inlineStr"/>
      <c r="K40" s="23" t="inlineStr">
        <is>
          <t>Source assignment</t>
        </is>
      </c>
      <c r="L40" s="23" t="inlineStr"/>
      <c r="M40" s="23" t="inlineStr">
        <is>
          <t>Contractor Programme Cycle 2</t>
        </is>
      </c>
      <c r="N40" s="23" t="inlineStr">
        <is>
          <t>Rev 1</t>
        </is>
      </c>
      <c r="O40" s="23" t="inlineStr">
        <is>
          <t>R46-v2</t>
        </is>
      </c>
      <c r="P40" s="23" t="inlineStr"/>
      <c r="Q40" s="23" t="inlineStr"/>
      <c r="R40" s="23" t="inlineStr"/>
      <c r="S40" s="23" t="inlineStr"/>
      <c r="T40" s="23" t="inlineStr"/>
      <c r="U40" s="23" t="inlineStr"/>
      <c r="V40" s="23" t="inlineStr">
        <is>
          <t>WBS Code = 1.1.1</t>
        </is>
      </c>
      <c r="W40" s="23" t="inlineStr"/>
    </row>
    <row r="41" ht="64" customHeight="1">
      <c r="A41" s="23" t="inlineStr">
        <is>
          <t>1.1.1</t>
        </is>
      </c>
      <c r="B41" s="23" t="inlineStr">
        <is>
          <t>Guideway and Civil - Guideway Structures</t>
        </is>
      </c>
      <c r="C41" s="23" t="inlineStr">
        <is>
          <t>Contractor Programme</t>
        </is>
      </c>
      <c r="D41" s="23" t="inlineStr">
        <is>
          <t>SCH-01-047</t>
        </is>
      </c>
      <c r="E41" s="23" t="inlineStr">
        <is>
          <t>Depot lead: drainage tie-in - inspection</t>
        </is>
      </c>
      <c r="F41" s="23" t="inlineStr">
        <is>
          <t>ONE_TO_ONE</t>
        </is>
      </c>
      <c r="G41" s="23" t="inlineStr">
        <is>
          <t>RETAINED</t>
        </is>
      </c>
      <c r="H41" s="23" t="inlineStr">
        <is>
          <t>Carried forward</t>
        </is>
      </c>
      <c r="I41" s="23" t="inlineStr">
        <is>
          <t>Source assignment -- not individually reviewed</t>
        </is>
      </c>
      <c r="J41" s="23" t="inlineStr"/>
      <c r="K41" s="23" t="inlineStr">
        <is>
          <t>Source assignment</t>
        </is>
      </c>
      <c r="L41" s="23" t="inlineStr"/>
      <c r="M41" s="23" t="inlineStr">
        <is>
          <t>Contractor Programme Cycle 2</t>
        </is>
      </c>
      <c r="N41" s="23" t="inlineStr">
        <is>
          <t>Rev 1</t>
        </is>
      </c>
      <c r="O41" s="23" t="inlineStr">
        <is>
          <t>R47-v2</t>
        </is>
      </c>
      <c r="P41" s="23" t="inlineStr"/>
      <c r="Q41" s="23" t="inlineStr"/>
      <c r="R41" s="23" t="inlineStr"/>
      <c r="S41" s="23" t="inlineStr"/>
      <c r="T41" s="23" t="inlineStr"/>
      <c r="U41" s="23" t="inlineStr"/>
      <c r="V41" s="23" t="inlineStr">
        <is>
          <t>WBS Code = 1.1.1</t>
        </is>
      </c>
      <c r="W41" s="23" t="inlineStr"/>
    </row>
    <row r="42" ht="64" customHeight="1">
      <c r="A42" s="23" t="inlineStr">
        <is>
          <t>1.1.1</t>
        </is>
      </c>
      <c r="B42" s="23" t="inlineStr">
        <is>
          <t>Guideway and Civil - Guideway Structures</t>
        </is>
      </c>
      <c r="C42" s="23" t="inlineStr">
        <is>
          <t>Contractor Programme</t>
        </is>
      </c>
      <c r="D42" s="23" t="inlineStr">
        <is>
          <t>SCH-01-049</t>
        </is>
      </c>
      <c r="E42" s="23" t="inlineStr">
        <is>
          <t>River crossing: track-slab survey - release</t>
        </is>
      </c>
      <c r="F42" s="23" t="inlineStr">
        <is>
          <t>ONE_TO_ONE</t>
        </is>
      </c>
      <c r="G42" s="23" t="inlineStr">
        <is>
          <t>RETAINED</t>
        </is>
      </c>
      <c r="H42" s="23" t="inlineStr">
        <is>
          <t>Carried forward</t>
        </is>
      </c>
      <c r="I42" s="23" t="inlineStr">
        <is>
          <t>Source assignment -- not individually reviewed</t>
        </is>
      </c>
      <c r="J42" s="23" t="inlineStr"/>
      <c r="K42" s="23" t="inlineStr">
        <is>
          <t>Source assignment</t>
        </is>
      </c>
      <c r="L42" s="23" t="inlineStr"/>
      <c r="M42" s="23" t="inlineStr">
        <is>
          <t>Contractor Programme Cycle 2</t>
        </is>
      </c>
      <c r="N42" s="23" t="inlineStr">
        <is>
          <t>Rev 1</t>
        </is>
      </c>
      <c r="O42" s="23" t="inlineStr">
        <is>
          <t>R49-v2</t>
        </is>
      </c>
      <c r="P42" s="23" t="inlineStr"/>
      <c r="Q42" s="23" t="inlineStr"/>
      <c r="R42" s="23" t="inlineStr"/>
      <c r="S42" s="23" t="inlineStr"/>
      <c r="T42" s="23" t="inlineStr"/>
      <c r="U42" s="23" t="inlineStr"/>
      <c r="V42" s="23" t="inlineStr">
        <is>
          <t>WBS Code = 1.1.1</t>
        </is>
      </c>
      <c r="W42" s="23" t="inlineStr"/>
    </row>
    <row r="43" ht="64" customHeight="1">
      <c r="A43" s="23" t="inlineStr">
        <is>
          <t>1.1.1</t>
        </is>
      </c>
      <c r="B43" s="23" t="inlineStr">
        <is>
          <t>Guideway and Civil - Guideway Structures</t>
        </is>
      </c>
      <c r="C43" s="23" t="inlineStr">
        <is>
          <t>Contractor Programme</t>
        </is>
      </c>
      <c r="D43" s="23" t="inlineStr">
        <is>
          <t>SCH-01-050</t>
        </is>
      </c>
      <c r="E43" s="23" t="inlineStr">
        <is>
          <t>Central guideway: temporary traffic staging - field start</t>
        </is>
      </c>
      <c r="F43" s="23" t="inlineStr">
        <is>
          <t>ONE_TO_ONE</t>
        </is>
      </c>
      <c r="G43" s="23" t="inlineStr">
        <is>
          <t>RETAINED</t>
        </is>
      </c>
      <c r="H43" s="23" t="inlineStr">
        <is>
          <t>Carried forward</t>
        </is>
      </c>
      <c r="I43" s="23" t="inlineStr">
        <is>
          <t>Source assignment -- not individually reviewed</t>
        </is>
      </c>
      <c r="J43" s="23" t="inlineStr"/>
      <c r="K43" s="23" t="inlineStr">
        <is>
          <t>Source assignment</t>
        </is>
      </c>
      <c r="L43" s="23" t="inlineStr"/>
      <c r="M43" s="23" t="inlineStr">
        <is>
          <t>Contractor Programme Cycle 2</t>
        </is>
      </c>
      <c r="N43" s="23" t="inlineStr">
        <is>
          <t>Rev 1</t>
        </is>
      </c>
      <c r="O43" s="23" t="inlineStr">
        <is>
          <t>R50-v2</t>
        </is>
      </c>
      <c r="P43" s="23" t="inlineStr"/>
      <c r="Q43" s="23" t="inlineStr"/>
      <c r="R43" s="23" t="inlineStr"/>
      <c r="S43" s="23" t="inlineStr"/>
      <c r="T43" s="23" t="inlineStr"/>
      <c r="U43" s="23" t="inlineStr"/>
      <c r="V43" s="23" t="inlineStr">
        <is>
          <t>WBS Code = 1.1.1</t>
        </is>
      </c>
      <c r="W43" s="23" t="inlineStr"/>
    </row>
    <row r="44" ht="64" customHeight="1">
      <c r="A44" s="23" t="inlineStr">
        <is>
          <t>1.1.1</t>
        </is>
      </c>
      <c r="B44" s="23" t="inlineStr">
        <is>
          <t>Guideway and Civil - Guideway Structures</t>
        </is>
      </c>
      <c r="C44" s="23" t="inlineStr">
        <is>
          <t>Contractor Programme</t>
        </is>
      </c>
      <c r="D44" s="23" t="inlineStr">
        <is>
          <t>SCH-01-052</t>
        </is>
      </c>
      <c r="E44" s="23" t="inlineStr">
        <is>
          <t>Depot lead: road restoration - inspection</t>
        </is>
      </c>
      <c r="F44" s="23" t="inlineStr">
        <is>
          <t>ONE_TO_ONE</t>
        </is>
      </c>
      <c r="G44" s="23" t="inlineStr">
        <is>
          <t>RETAINED</t>
        </is>
      </c>
      <c r="H44" s="23" t="inlineStr">
        <is>
          <t>Carried forward</t>
        </is>
      </c>
      <c r="I44" s="23" t="inlineStr">
        <is>
          <t>Source assignment -- not individually reviewed</t>
        </is>
      </c>
      <c r="J44" s="23" t="inlineStr"/>
      <c r="K44" s="23" t="inlineStr">
        <is>
          <t>Source assignment</t>
        </is>
      </c>
      <c r="L44" s="23" t="inlineStr"/>
      <c r="M44" s="23" t="inlineStr">
        <is>
          <t>Contractor Programme Cycle 2</t>
        </is>
      </c>
      <c r="N44" s="23" t="inlineStr">
        <is>
          <t>Rev 1</t>
        </is>
      </c>
      <c r="O44" s="23" t="inlineStr">
        <is>
          <t>R52-v2</t>
        </is>
      </c>
      <c r="P44" s="23" t="inlineStr"/>
      <c r="Q44" s="23" t="inlineStr"/>
      <c r="R44" s="23" t="inlineStr"/>
      <c r="S44" s="23" t="inlineStr"/>
      <c r="T44" s="23" t="inlineStr"/>
      <c r="U44" s="23" t="inlineStr"/>
      <c r="V44" s="23" t="inlineStr">
        <is>
          <t>WBS Code = 1.1.1</t>
        </is>
      </c>
      <c r="W44" s="23" t="inlineStr"/>
    </row>
    <row r="45" ht="64" customHeight="1">
      <c r="A45" s="23" t="inlineStr">
        <is>
          <t>1.1.1</t>
        </is>
      </c>
      <c r="B45" s="23" t="inlineStr">
        <is>
          <t>Guideway and Civil - Guideway Structures</t>
        </is>
      </c>
      <c r="C45" s="23" t="inlineStr">
        <is>
          <t>Contractor Programme</t>
        </is>
      </c>
      <c r="D45" s="23" t="inlineStr">
        <is>
          <t>SCH-01-053</t>
        </is>
      </c>
      <c r="E45" s="23" t="inlineStr">
        <is>
          <t>East portal: drilled-shaft installation - turnover</t>
        </is>
      </c>
      <c r="F45" s="23" t="inlineStr">
        <is>
          <t>ONE_TO_ONE</t>
        </is>
      </c>
      <c r="G45" s="23" t="inlineStr">
        <is>
          <t>RETAINED</t>
        </is>
      </c>
      <c r="H45" s="23" t="inlineStr">
        <is>
          <t>Carried forward</t>
        </is>
      </c>
      <c r="I45" s="23" t="inlineStr">
        <is>
          <t>Source assignment -- not individually reviewed</t>
        </is>
      </c>
      <c r="J45" s="23" t="inlineStr"/>
      <c r="K45" s="23" t="inlineStr">
        <is>
          <t>Source assignment</t>
        </is>
      </c>
      <c r="L45" s="23" t="inlineStr"/>
      <c r="M45" s="23" t="inlineStr">
        <is>
          <t>Contractor Programme Cycle 2</t>
        </is>
      </c>
      <c r="N45" s="23" t="inlineStr">
        <is>
          <t>Rev 1</t>
        </is>
      </c>
      <c r="O45" s="23" t="inlineStr">
        <is>
          <t>R53-v2</t>
        </is>
      </c>
      <c r="P45" s="23" t="inlineStr"/>
      <c r="Q45" s="23" t="inlineStr"/>
      <c r="R45" s="23" t="inlineStr"/>
      <c r="S45" s="23" t="inlineStr"/>
      <c r="T45" s="23" t="inlineStr"/>
      <c r="U45" s="23" t="inlineStr"/>
      <c r="V45" s="23" t="inlineStr">
        <is>
          <t>WBS Code = 1.1.1</t>
        </is>
      </c>
      <c r="W45" s="23" t="inlineStr"/>
    </row>
    <row r="46" ht="64" customHeight="1">
      <c r="A46" s="23" t="inlineStr">
        <is>
          <t>1.1.1</t>
        </is>
      </c>
      <c r="B46" s="23" t="inlineStr">
        <is>
          <t>Guideway and Civil - Guideway Structures</t>
        </is>
      </c>
      <c r="C46" s="23" t="inlineStr">
        <is>
          <t>Contractor Programme</t>
        </is>
      </c>
      <c r="D46" s="23" t="inlineStr">
        <is>
          <t>SCH-01-055</t>
        </is>
      </c>
      <c r="E46" s="23" t="inlineStr">
        <is>
          <t>Central guideway: drainage tie-in - field start</t>
        </is>
      </c>
      <c r="F46" s="23" t="inlineStr">
        <is>
          <t>ONE_TO_ONE</t>
        </is>
      </c>
      <c r="G46" s="23" t="inlineStr">
        <is>
          <t>RETAINED</t>
        </is>
      </c>
      <c r="H46" s="23" t="inlineStr">
        <is>
          <t>Carried forward</t>
        </is>
      </c>
      <c r="I46" s="23" t="inlineStr">
        <is>
          <t>Source assignment -- not individually reviewed</t>
        </is>
      </c>
      <c r="J46" s="23" t="inlineStr"/>
      <c r="K46" s="23" t="inlineStr">
        <is>
          <t>Source assignment</t>
        </is>
      </c>
      <c r="L46" s="23" t="inlineStr"/>
      <c r="M46" s="23" t="inlineStr">
        <is>
          <t>Contractor Programme Cycle 2</t>
        </is>
      </c>
      <c r="N46" s="23" t="inlineStr">
        <is>
          <t>Rev 1</t>
        </is>
      </c>
      <c r="O46" s="23" t="inlineStr">
        <is>
          <t>R55-v2</t>
        </is>
      </c>
      <c r="P46" s="23" t="inlineStr"/>
      <c r="Q46" s="23" t="inlineStr"/>
      <c r="R46" s="23" t="inlineStr"/>
      <c r="S46" s="23" t="inlineStr"/>
      <c r="T46" s="23" t="inlineStr"/>
      <c r="U46" s="23" t="inlineStr"/>
      <c r="V46" s="23" t="inlineStr">
        <is>
          <t>WBS Code = 1.1.1</t>
        </is>
      </c>
      <c r="W46" s="23" t="inlineStr"/>
    </row>
    <row r="47" ht="64" customHeight="1">
      <c r="A47" s="23" t="inlineStr">
        <is>
          <t>1.1.1</t>
        </is>
      </c>
      <c r="B47" s="23" t="inlineStr">
        <is>
          <t>Guideway and Civil - Guideway Structures</t>
        </is>
      </c>
      <c r="C47" s="23" t="inlineStr">
        <is>
          <t>Contractor Programme</t>
        </is>
      </c>
      <c r="D47" s="23" t="inlineStr">
        <is>
          <t>SCH-01-056</t>
        </is>
      </c>
      <c r="E47" s="23" t="inlineStr">
        <is>
          <t>West approach: utility relocation - installation</t>
        </is>
      </c>
      <c r="F47" s="23" t="inlineStr">
        <is>
          <t>ONE_TO_ONE</t>
        </is>
      </c>
      <c r="G47" s="23" t="inlineStr">
        <is>
          <t>RETAINED</t>
        </is>
      </c>
      <c r="H47" s="23" t="inlineStr">
        <is>
          <t>Carried forward</t>
        </is>
      </c>
      <c r="I47" s="23" t="inlineStr">
        <is>
          <t>Source assignment -- not individually reviewed</t>
        </is>
      </c>
      <c r="J47" s="23" t="inlineStr"/>
      <c r="K47" s="23" t="inlineStr">
        <is>
          <t>Source assignment</t>
        </is>
      </c>
      <c r="L47" s="23" t="inlineStr"/>
      <c r="M47" s="23" t="inlineStr">
        <is>
          <t>Contractor Programme Cycle 2</t>
        </is>
      </c>
      <c r="N47" s="23" t="inlineStr">
        <is>
          <t>Rev 1</t>
        </is>
      </c>
      <c r="O47" s="23" t="inlineStr">
        <is>
          <t>R56-v2</t>
        </is>
      </c>
      <c r="P47" s="23" t="inlineStr"/>
      <c r="Q47" s="23" t="inlineStr"/>
      <c r="R47" s="23" t="inlineStr"/>
      <c r="S47" s="23" t="inlineStr"/>
      <c r="T47" s="23" t="inlineStr"/>
      <c r="U47" s="23" t="inlineStr"/>
      <c r="V47" s="23" t="inlineStr">
        <is>
          <t>WBS Code = 1.1.1</t>
        </is>
      </c>
      <c r="W47" s="23" t="inlineStr"/>
    </row>
    <row r="48" ht="64" customHeight="1">
      <c r="A48" s="23" t="inlineStr">
        <is>
          <t>1.1.1</t>
        </is>
      </c>
      <c r="B48" s="23" t="inlineStr">
        <is>
          <t>Guideway and Civil - Guideway Structures</t>
        </is>
      </c>
      <c r="C48" s="23" t="inlineStr">
        <is>
          <t>Contractor Programme</t>
        </is>
      </c>
      <c r="D48" s="23" t="inlineStr">
        <is>
          <t>SCH-01-058</t>
        </is>
      </c>
      <c r="E48" s="23" t="inlineStr">
        <is>
          <t>East portal: temporary traffic staging - turnover</t>
        </is>
      </c>
      <c r="F48" s="23" t="inlineStr">
        <is>
          <t>ONE_TO_ONE</t>
        </is>
      </c>
      <c r="G48" s="23" t="inlineStr">
        <is>
          <t>RETAINED</t>
        </is>
      </c>
      <c r="H48" s="23" t="inlineStr">
        <is>
          <t>Carried forward</t>
        </is>
      </c>
      <c r="I48" s="23" t="inlineStr">
        <is>
          <t>Source assignment -- not individually reviewed</t>
        </is>
      </c>
      <c r="J48" s="23" t="inlineStr"/>
      <c r="K48" s="23" t="inlineStr">
        <is>
          <t>Source assignment</t>
        </is>
      </c>
      <c r="L48" s="23" t="inlineStr"/>
      <c r="M48" s="23" t="inlineStr">
        <is>
          <t>Contractor Programme Cycle 2</t>
        </is>
      </c>
      <c r="N48" s="23" t="inlineStr">
        <is>
          <t>Rev 1</t>
        </is>
      </c>
      <c r="O48" s="23" t="inlineStr">
        <is>
          <t>R58-v2</t>
        </is>
      </c>
      <c r="P48" s="23" t="inlineStr"/>
      <c r="Q48" s="23" t="inlineStr"/>
      <c r="R48" s="23" t="inlineStr"/>
      <c r="S48" s="23" t="inlineStr"/>
      <c r="T48" s="23" t="inlineStr"/>
      <c r="U48" s="23" t="inlineStr"/>
      <c r="V48" s="23" t="inlineStr">
        <is>
          <t>WBS Code = 1.1.1</t>
        </is>
      </c>
      <c r="W48" s="23" t="inlineStr"/>
    </row>
    <row r="49" ht="64" customHeight="1">
      <c r="A49" s="23" t="inlineStr">
        <is>
          <t>1.1.1</t>
        </is>
      </c>
      <c r="B49" s="23" t="inlineStr">
        <is>
          <t>Guideway and Civil - Guideway Structures</t>
        </is>
      </c>
      <c r="C49" s="23" t="inlineStr">
        <is>
          <t>Contractor Programme</t>
        </is>
      </c>
      <c r="D49" s="23" t="inlineStr">
        <is>
          <t>SCH-01-059</t>
        </is>
      </c>
      <c r="E49" s="23" t="inlineStr">
        <is>
          <t>River crossing: guideway pier reinforcement - release</t>
        </is>
      </c>
      <c r="F49" s="23" t="inlineStr">
        <is>
          <t>ONE_TO_ONE</t>
        </is>
      </c>
      <c r="G49" s="23" t="inlineStr">
        <is>
          <t>RETAINED</t>
        </is>
      </c>
      <c r="H49" s="23" t="inlineStr">
        <is>
          <t>Carried forward</t>
        </is>
      </c>
      <c r="I49" s="23" t="inlineStr">
        <is>
          <t>Source assignment -- not individually reviewed</t>
        </is>
      </c>
      <c r="J49" s="23" t="inlineStr"/>
      <c r="K49" s="23" t="inlineStr">
        <is>
          <t>Source assignment</t>
        </is>
      </c>
      <c r="L49" s="23" t="inlineStr"/>
      <c r="M49" s="23" t="inlineStr">
        <is>
          <t>Contractor Programme Cycle 2</t>
        </is>
      </c>
      <c r="N49" s="23" t="inlineStr">
        <is>
          <t>Rev 1</t>
        </is>
      </c>
      <c r="O49" s="23" t="inlineStr">
        <is>
          <t>R59-v2</t>
        </is>
      </c>
      <c r="P49" s="23" t="inlineStr"/>
      <c r="Q49" s="23" t="inlineStr"/>
      <c r="R49" s="23" t="inlineStr"/>
      <c r="S49" s="23" t="inlineStr"/>
      <c r="T49" s="23" t="inlineStr"/>
      <c r="U49" s="23" t="inlineStr"/>
      <c r="V49" s="23" t="inlineStr">
        <is>
          <t>WBS Code = 1.1.1</t>
        </is>
      </c>
      <c r="W49" s="23" t="inlineStr"/>
    </row>
    <row r="50" ht="64" customHeight="1">
      <c r="A50" s="23" t="inlineStr">
        <is>
          <t>1.1.1</t>
        </is>
      </c>
      <c r="B50" s="23" t="inlineStr">
        <is>
          <t>Guideway and Civil - Guideway Structures</t>
        </is>
      </c>
      <c r="C50" s="23" t="inlineStr">
        <is>
          <t>Contractor Programme</t>
        </is>
      </c>
      <c r="D50" s="23" t="inlineStr">
        <is>
          <t>SCH-01-061</t>
        </is>
      </c>
      <c r="E50" s="23" t="inlineStr">
        <is>
          <t>West approach: drilled-shaft installation - installation</t>
        </is>
      </c>
      <c r="F50" s="23" t="inlineStr">
        <is>
          <t>ONE_TO_ONE</t>
        </is>
      </c>
      <c r="G50" s="23" t="inlineStr">
        <is>
          <t>RETAINED</t>
        </is>
      </c>
      <c r="H50" s="23" t="inlineStr">
        <is>
          <t>Carried forward</t>
        </is>
      </c>
      <c r="I50" s="23" t="inlineStr">
        <is>
          <t>Source assignment -- not individually reviewed</t>
        </is>
      </c>
      <c r="J50" s="23" t="inlineStr"/>
      <c r="K50" s="23" t="inlineStr">
        <is>
          <t>Source assignment</t>
        </is>
      </c>
      <c r="L50" s="23" t="inlineStr"/>
      <c r="M50" s="23" t="inlineStr">
        <is>
          <t>Contractor Programme Cycle 2</t>
        </is>
      </c>
      <c r="N50" s="23" t="inlineStr">
        <is>
          <t>Rev 1</t>
        </is>
      </c>
      <c r="O50" s="23" t="inlineStr">
        <is>
          <t>R61-v2</t>
        </is>
      </c>
      <c r="P50" s="23" t="inlineStr"/>
      <c r="Q50" s="23" t="inlineStr"/>
      <c r="R50" s="23" t="inlineStr"/>
      <c r="S50" s="23" t="inlineStr"/>
      <c r="T50" s="23" t="inlineStr"/>
      <c r="U50" s="23" t="inlineStr"/>
      <c r="V50" s="23" t="inlineStr">
        <is>
          <t>WBS Code = 1.1.1</t>
        </is>
      </c>
      <c r="W50" s="23" t="inlineStr"/>
    </row>
    <row r="51" ht="64" customHeight="1">
      <c r="A51" s="23" t="inlineStr">
        <is>
          <t>1.1.1</t>
        </is>
      </c>
      <c r="B51" s="23" t="inlineStr">
        <is>
          <t>Guideway and Civil - Guideway Structures</t>
        </is>
      </c>
      <c r="C51" s="23" t="inlineStr">
        <is>
          <t>Contractor Programme</t>
        </is>
      </c>
      <c r="D51" s="23" t="inlineStr">
        <is>
          <t>SCH-01-062</t>
        </is>
      </c>
      <c r="E51" s="23" t="inlineStr">
        <is>
          <t>Depot lead: retaining-wall excavation - inspection</t>
        </is>
      </c>
      <c r="F51" s="23" t="inlineStr">
        <is>
          <t>ONE_TO_ONE</t>
        </is>
      </c>
      <c r="G51" s="23" t="inlineStr">
        <is>
          <t>RETAINED</t>
        </is>
      </c>
      <c r="H51" s="23" t="inlineStr">
        <is>
          <t>Carried forward</t>
        </is>
      </c>
      <c r="I51" s="23" t="inlineStr">
        <is>
          <t>Source assignment -- not individually reviewed</t>
        </is>
      </c>
      <c r="J51" s="23" t="inlineStr"/>
      <c r="K51" s="23" t="inlineStr">
        <is>
          <t>Source assignment</t>
        </is>
      </c>
      <c r="L51" s="23" t="inlineStr"/>
      <c r="M51" s="23" t="inlineStr">
        <is>
          <t>Contractor Programme Cycle 2</t>
        </is>
      </c>
      <c r="N51" s="23" t="inlineStr">
        <is>
          <t>Rev 1</t>
        </is>
      </c>
      <c r="O51" s="23" t="inlineStr">
        <is>
          <t>R62-v2</t>
        </is>
      </c>
      <c r="P51" s="23" t="inlineStr"/>
      <c r="Q51" s="23" t="inlineStr"/>
      <c r="R51" s="23" t="inlineStr"/>
      <c r="S51" s="23" t="inlineStr"/>
      <c r="T51" s="23" t="inlineStr"/>
      <c r="U51" s="23" t="inlineStr"/>
      <c r="V51" s="23" t="inlineStr">
        <is>
          <t>WBS Code = 1.1.1</t>
        </is>
      </c>
      <c r="W51" s="23" t="inlineStr"/>
    </row>
    <row r="52" ht="64" customHeight="1">
      <c r="A52" s="23" t="inlineStr">
        <is>
          <t>1.1.1</t>
        </is>
      </c>
      <c r="B52" s="23" t="inlineStr">
        <is>
          <t>Guideway and Civil - Guideway Structures</t>
        </is>
      </c>
      <c r="C52" s="23" t="inlineStr">
        <is>
          <t>Contractor Programme</t>
        </is>
      </c>
      <c r="D52" s="23" t="inlineStr">
        <is>
          <t>SCH-01-064</t>
        </is>
      </c>
      <c r="E52" s="23" t="inlineStr">
        <is>
          <t>River crossing: utility relocation - release</t>
        </is>
      </c>
      <c r="F52" s="23" t="inlineStr">
        <is>
          <t>ONE_TO_ONE</t>
        </is>
      </c>
      <c r="G52" s="23" t="inlineStr">
        <is>
          <t>RETAINED</t>
        </is>
      </c>
      <c r="H52" s="23" t="inlineStr">
        <is>
          <t>Carried forward</t>
        </is>
      </c>
      <c r="I52" s="23" t="inlineStr">
        <is>
          <t>Source assignment -- not individually reviewed</t>
        </is>
      </c>
      <c r="J52" s="23" t="inlineStr"/>
      <c r="K52" s="23" t="inlineStr">
        <is>
          <t>Source assignment</t>
        </is>
      </c>
      <c r="L52" s="23" t="inlineStr"/>
      <c r="M52" s="23" t="inlineStr">
        <is>
          <t>Contractor Programme Cycle 2</t>
        </is>
      </c>
      <c r="N52" s="23" t="inlineStr">
        <is>
          <t>Rev 1</t>
        </is>
      </c>
      <c r="O52" s="23" t="inlineStr">
        <is>
          <t>R64-v2</t>
        </is>
      </c>
      <c r="P52" s="23" t="inlineStr"/>
      <c r="Q52" s="23" t="inlineStr"/>
      <c r="R52" s="23" t="inlineStr"/>
      <c r="S52" s="23" t="inlineStr"/>
      <c r="T52" s="23" t="inlineStr"/>
      <c r="U52" s="23" t="inlineStr"/>
      <c r="V52" s="23" t="inlineStr">
        <is>
          <t>WBS Code = 1.1.1</t>
        </is>
      </c>
      <c r="W52" s="23" t="inlineStr"/>
    </row>
    <row r="53" ht="64" customHeight="1">
      <c r="A53" s="23" t="inlineStr">
        <is>
          <t>1.1.1</t>
        </is>
      </c>
      <c r="B53" s="23" t="inlineStr">
        <is>
          <t>Guideway and Civil - Guideway Structures</t>
        </is>
      </c>
      <c r="C53" s="23" t="inlineStr">
        <is>
          <t>Contractor Programme</t>
        </is>
      </c>
      <c r="D53" s="23" t="inlineStr">
        <is>
          <t>SCH-01-065</t>
        </is>
      </c>
      <c r="E53" s="23" t="inlineStr">
        <is>
          <t>Central guideway: track-slab survey - field start</t>
        </is>
      </c>
      <c r="F53" s="23" t="inlineStr">
        <is>
          <t>ONE_TO_ONE</t>
        </is>
      </c>
      <c r="G53" s="23" t="inlineStr">
        <is>
          <t>RETAINED</t>
        </is>
      </c>
      <c r="H53" s="23" t="inlineStr">
        <is>
          <t>Carried forward</t>
        </is>
      </c>
      <c r="I53" s="23" t="inlineStr">
        <is>
          <t>Source assignment -- not individually reviewed</t>
        </is>
      </c>
      <c r="J53" s="23" t="inlineStr"/>
      <c r="K53" s="23" t="inlineStr">
        <is>
          <t>Source assignment</t>
        </is>
      </c>
      <c r="L53" s="23" t="inlineStr"/>
      <c r="M53" s="23" t="inlineStr">
        <is>
          <t>Contractor Programme Cycle 2</t>
        </is>
      </c>
      <c r="N53" s="23" t="inlineStr">
        <is>
          <t>Rev 1</t>
        </is>
      </c>
      <c r="O53" s="23" t="inlineStr">
        <is>
          <t>R65-v2</t>
        </is>
      </c>
      <c r="P53" s="23" t="inlineStr"/>
      <c r="Q53" s="23" t="inlineStr"/>
      <c r="R53" s="23" t="inlineStr"/>
      <c r="S53" s="23" t="inlineStr"/>
      <c r="T53" s="23" t="inlineStr"/>
      <c r="U53" s="23" t="inlineStr"/>
      <c r="V53" s="23" t="inlineStr">
        <is>
          <t>WBS Code = 1.1.1</t>
        </is>
      </c>
      <c r="W53" s="23" t="inlineStr"/>
    </row>
    <row r="54" ht="64" customHeight="1">
      <c r="A54" s="23" t="inlineStr">
        <is>
          <t>1.1.1</t>
        </is>
      </c>
      <c r="B54" s="23" t="inlineStr">
        <is>
          <t>Guideway and Civil - Guideway Structures</t>
        </is>
      </c>
      <c r="C54" s="23" t="inlineStr">
        <is>
          <t>Contractor Programme</t>
        </is>
      </c>
      <c r="D54" s="23" t="inlineStr">
        <is>
          <t>SCH-01-067</t>
        </is>
      </c>
      <c r="E54" s="23" t="inlineStr">
        <is>
          <t>Depot lead: guideway pier reinforcement - inspection</t>
        </is>
      </c>
      <c r="F54" s="23" t="inlineStr">
        <is>
          <t>ONE_TO_ONE</t>
        </is>
      </c>
      <c r="G54" s="23" t="inlineStr">
        <is>
          <t>RETAINED</t>
        </is>
      </c>
      <c r="H54" s="23" t="inlineStr">
        <is>
          <t>Carried forward</t>
        </is>
      </c>
      <c r="I54" s="23" t="inlineStr">
        <is>
          <t>Source assignment -- not individually reviewed</t>
        </is>
      </c>
      <c r="J54" s="23" t="inlineStr"/>
      <c r="K54" s="23" t="inlineStr">
        <is>
          <t>Source assignment</t>
        </is>
      </c>
      <c r="L54" s="23" t="inlineStr"/>
      <c r="M54" s="23" t="inlineStr">
        <is>
          <t>Contractor Programme Cycle 2</t>
        </is>
      </c>
      <c r="N54" s="23" t="inlineStr">
        <is>
          <t>Rev 1</t>
        </is>
      </c>
      <c r="O54" s="23" t="inlineStr">
        <is>
          <t>R67-v2</t>
        </is>
      </c>
      <c r="P54" s="23" t="inlineStr"/>
      <c r="Q54" s="23" t="inlineStr"/>
      <c r="R54" s="23" t="inlineStr"/>
      <c r="S54" s="23" t="inlineStr"/>
      <c r="T54" s="23" t="inlineStr"/>
      <c r="U54" s="23" t="inlineStr"/>
      <c r="V54" s="23" t="inlineStr">
        <is>
          <t>WBS Code = 1.1.1</t>
        </is>
      </c>
      <c r="W54" s="23" t="inlineStr"/>
    </row>
    <row r="55" ht="64" customHeight="1">
      <c r="A55" s="23" t="inlineStr">
        <is>
          <t>1.1.1</t>
        </is>
      </c>
      <c r="B55" s="23" t="inlineStr">
        <is>
          <t>Guideway and Civil - Guideway Structures</t>
        </is>
      </c>
      <c r="C55" s="23" t="inlineStr">
        <is>
          <t>Contractor Programme</t>
        </is>
      </c>
      <c r="D55" s="23" t="inlineStr">
        <is>
          <t>SCH-01-068</t>
        </is>
      </c>
      <c r="E55" s="23" t="inlineStr">
        <is>
          <t>East portal: road restoration - turnover</t>
        </is>
      </c>
      <c r="F55" s="23" t="inlineStr">
        <is>
          <t>ONE_TO_ONE</t>
        </is>
      </c>
      <c r="G55" s="23" t="inlineStr">
        <is>
          <t>RETAINED</t>
        </is>
      </c>
      <c r="H55" s="23" t="inlineStr">
        <is>
          <t>Carried forward</t>
        </is>
      </c>
      <c r="I55" s="23" t="inlineStr">
        <is>
          <t>Source assignment -- not individually reviewed</t>
        </is>
      </c>
      <c r="J55" s="23" t="inlineStr"/>
      <c r="K55" s="23" t="inlineStr">
        <is>
          <t>Source assignment</t>
        </is>
      </c>
      <c r="L55" s="23" t="inlineStr"/>
      <c r="M55" s="23" t="inlineStr">
        <is>
          <t>Contractor Programme Cycle 2</t>
        </is>
      </c>
      <c r="N55" s="23" t="inlineStr">
        <is>
          <t>Rev 1</t>
        </is>
      </c>
      <c r="O55" s="23" t="inlineStr">
        <is>
          <t>R68-v2</t>
        </is>
      </c>
      <c r="P55" s="23" t="inlineStr"/>
      <c r="Q55" s="23" t="inlineStr"/>
      <c r="R55" s="23" t="inlineStr"/>
      <c r="S55" s="23" t="inlineStr"/>
      <c r="T55" s="23" t="inlineStr"/>
      <c r="U55" s="23" t="inlineStr"/>
      <c r="V55" s="23" t="inlineStr">
        <is>
          <t>WBS Code = 1.1.1</t>
        </is>
      </c>
      <c r="W55" s="23" t="inlineStr"/>
    </row>
    <row r="56" ht="64" customHeight="1">
      <c r="A56" s="23" t="inlineStr">
        <is>
          <t>1.1.1</t>
        </is>
      </c>
      <c r="B56" s="23" t="inlineStr">
        <is>
          <t>Guideway and Civil - Guideway Structures</t>
        </is>
      </c>
      <c r="C56" s="23" t="inlineStr">
        <is>
          <t>Contractor Programme</t>
        </is>
      </c>
      <c r="D56" s="23" t="inlineStr">
        <is>
          <t>SCH-01-070</t>
        </is>
      </c>
      <c r="E56" s="23" t="inlineStr">
        <is>
          <t>Central guideway: retaining-wall excavation - field start</t>
        </is>
      </c>
      <c r="F56" s="23" t="inlineStr">
        <is>
          <t>ONE_TO_ONE</t>
        </is>
      </c>
      <c r="G56" s="23" t="inlineStr">
        <is>
          <t>RETAINED</t>
        </is>
      </c>
      <c r="H56" s="23" t="inlineStr">
        <is>
          <t>Carried forward</t>
        </is>
      </c>
      <c r="I56" s="23" t="inlineStr">
        <is>
          <t>Source assignment -- not individually reviewed</t>
        </is>
      </c>
      <c r="J56" s="23" t="inlineStr"/>
      <c r="K56" s="23" t="inlineStr">
        <is>
          <t>Source assignment</t>
        </is>
      </c>
      <c r="L56" s="23" t="inlineStr"/>
      <c r="M56" s="23" t="inlineStr">
        <is>
          <t>Contractor Programme Cycle 2</t>
        </is>
      </c>
      <c r="N56" s="23" t="inlineStr">
        <is>
          <t>Rev 1</t>
        </is>
      </c>
      <c r="O56" s="23" t="inlineStr">
        <is>
          <t>R70-v2</t>
        </is>
      </c>
      <c r="P56" s="23" t="inlineStr"/>
      <c r="Q56" s="23" t="inlineStr"/>
      <c r="R56" s="23" t="inlineStr"/>
      <c r="S56" s="23" t="inlineStr"/>
      <c r="T56" s="23" t="inlineStr"/>
      <c r="U56" s="23" t="inlineStr"/>
      <c r="V56" s="23" t="inlineStr">
        <is>
          <t>WBS Code = 1.1.1</t>
        </is>
      </c>
      <c r="W56" s="23" t="inlineStr"/>
    </row>
    <row r="57" ht="64" customHeight="1">
      <c r="A57" s="23" t="inlineStr">
        <is>
          <t>1.1.1</t>
        </is>
      </c>
      <c r="B57" s="23" t="inlineStr">
        <is>
          <t>Guideway and Civil - Guideway Structures</t>
        </is>
      </c>
      <c r="C57" s="23" t="inlineStr">
        <is>
          <t>Contractor Programme</t>
        </is>
      </c>
      <c r="D57" s="23" t="inlineStr">
        <is>
          <t>SCH-01-071</t>
        </is>
      </c>
      <c r="E57" s="23" t="inlineStr">
        <is>
          <t>West approach: drainage tie-in - installation</t>
        </is>
      </c>
      <c r="F57" s="23" t="inlineStr">
        <is>
          <t>ONE_TO_ONE</t>
        </is>
      </c>
      <c r="G57" s="23" t="inlineStr">
        <is>
          <t>RETAINED</t>
        </is>
      </c>
      <c r="H57" s="23" t="inlineStr">
        <is>
          <t>Carried forward</t>
        </is>
      </c>
      <c r="I57" s="23" t="inlineStr">
        <is>
          <t>Source assignment -- not individually reviewed</t>
        </is>
      </c>
      <c r="J57" s="23" t="inlineStr"/>
      <c r="K57" s="23" t="inlineStr">
        <is>
          <t>Source assignment</t>
        </is>
      </c>
      <c r="L57" s="23" t="inlineStr"/>
      <c r="M57" s="23" t="inlineStr">
        <is>
          <t>Contractor Programme Cycle 2</t>
        </is>
      </c>
      <c r="N57" s="23" t="inlineStr">
        <is>
          <t>Rev 1</t>
        </is>
      </c>
      <c r="O57" s="23" t="inlineStr">
        <is>
          <t>R71-v2</t>
        </is>
      </c>
      <c r="P57" s="23" t="inlineStr"/>
      <c r="Q57" s="23" t="inlineStr"/>
      <c r="R57" s="23" t="inlineStr"/>
      <c r="S57" s="23" t="inlineStr"/>
      <c r="T57" s="23" t="inlineStr"/>
      <c r="U57" s="23" t="inlineStr"/>
      <c r="V57" s="23" t="inlineStr">
        <is>
          <t>WBS Code = 1.1.1</t>
        </is>
      </c>
      <c r="W57" s="23" t="inlineStr"/>
    </row>
    <row r="58" ht="64" customHeight="1">
      <c r="A58" s="23" t="inlineStr">
        <is>
          <t>1.1.1</t>
        </is>
      </c>
      <c r="B58" s="23" t="inlineStr">
        <is>
          <t>Guideway and Civil - Guideway Structures</t>
        </is>
      </c>
      <c r="C58" s="23" t="inlineStr">
        <is>
          <t>Contractor Programme</t>
        </is>
      </c>
      <c r="D58" s="23" t="inlineStr">
        <is>
          <t>SCH-01-073</t>
        </is>
      </c>
      <c r="E58" s="23" t="inlineStr">
        <is>
          <t>East portal: track-slab survey - turnover</t>
        </is>
      </c>
      <c r="F58" s="23" t="inlineStr">
        <is>
          <t>ONE_TO_ONE</t>
        </is>
      </c>
      <c r="G58" s="23" t="inlineStr">
        <is>
          <t>RETAINED</t>
        </is>
      </c>
      <c r="H58" s="23" t="inlineStr">
        <is>
          <t>Carried forward</t>
        </is>
      </c>
      <c r="I58" s="23" t="inlineStr">
        <is>
          <t>Source assignment -- not individually reviewed</t>
        </is>
      </c>
      <c r="J58" s="23" t="inlineStr"/>
      <c r="K58" s="23" t="inlineStr">
        <is>
          <t>Source assignment</t>
        </is>
      </c>
      <c r="L58" s="23" t="inlineStr"/>
      <c r="M58" s="23" t="inlineStr">
        <is>
          <t>Contractor Programme Cycle 2</t>
        </is>
      </c>
      <c r="N58" s="23" t="inlineStr">
        <is>
          <t>Rev 1</t>
        </is>
      </c>
      <c r="O58" s="23" t="inlineStr">
        <is>
          <t>R73-v2</t>
        </is>
      </c>
      <c r="P58" s="23" t="inlineStr"/>
      <c r="Q58" s="23" t="inlineStr"/>
      <c r="R58" s="23" t="inlineStr"/>
      <c r="S58" s="23" t="inlineStr"/>
      <c r="T58" s="23" t="inlineStr"/>
      <c r="U58" s="23" t="inlineStr"/>
      <c r="V58" s="23" t="inlineStr">
        <is>
          <t>WBS Code = 1.1.1</t>
        </is>
      </c>
      <c r="W58" s="23" t="inlineStr"/>
    </row>
    <row r="59" ht="64" customHeight="1">
      <c r="A59" s="23" t="inlineStr">
        <is>
          <t>1.1.1</t>
        </is>
      </c>
      <c r="B59" s="23" t="inlineStr">
        <is>
          <t>Guideway and Civil - Guideway Structures</t>
        </is>
      </c>
      <c r="C59" s="23" t="inlineStr">
        <is>
          <t>Contractor Programme</t>
        </is>
      </c>
      <c r="D59" s="23" t="inlineStr">
        <is>
          <t>SCH-01-074</t>
        </is>
      </c>
      <c r="E59" s="23" t="inlineStr">
        <is>
          <t>River crossing: temporary traffic staging - release</t>
        </is>
      </c>
      <c r="F59" s="23" t="inlineStr">
        <is>
          <t>ONE_TO_ONE</t>
        </is>
      </c>
      <c r="G59" s="23" t="inlineStr">
        <is>
          <t>RETAINED</t>
        </is>
      </c>
      <c r="H59" s="23" t="inlineStr">
        <is>
          <t>Carried forward</t>
        </is>
      </c>
      <c r="I59" s="23" t="inlineStr">
        <is>
          <t>Source assignment -- not individually reviewed</t>
        </is>
      </c>
      <c r="J59" s="23" t="inlineStr"/>
      <c r="K59" s="23" t="inlineStr">
        <is>
          <t>Source assignment</t>
        </is>
      </c>
      <c r="L59" s="23" t="inlineStr"/>
      <c r="M59" s="23" t="inlineStr">
        <is>
          <t>Contractor Programme Cycle 2</t>
        </is>
      </c>
      <c r="N59" s="23" t="inlineStr">
        <is>
          <t>Rev 1</t>
        </is>
      </c>
      <c r="O59" s="23" t="inlineStr">
        <is>
          <t>R74-v2</t>
        </is>
      </c>
      <c r="P59" s="23" t="inlineStr"/>
      <c r="Q59" s="23" t="inlineStr"/>
      <c r="R59" s="23" t="inlineStr"/>
      <c r="S59" s="23" t="inlineStr"/>
      <c r="T59" s="23" t="inlineStr"/>
      <c r="U59" s="23" t="inlineStr"/>
      <c r="V59" s="23" t="inlineStr">
        <is>
          <t>WBS Code = 1.1.1</t>
        </is>
      </c>
      <c r="W59" s="23" t="inlineStr"/>
    </row>
    <row r="60" ht="64" customHeight="1">
      <c r="A60" s="23" t="inlineStr">
        <is>
          <t>1.1.1</t>
        </is>
      </c>
      <c r="B60" s="23" t="inlineStr">
        <is>
          <t>Guideway and Civil - Guideway Structures</t>
        </is>
      </c>
      <c r="C60" s="23" t="inlineStr">
        <is>
          <t>Contractor Programme</t>
        </is>
      </c>
      <c r="D60" s="23" t="inlineStr">
        <is>
          <t>SCH-01-076</t>
        </is>
      </c>
      <c r="E60" s="23" t="inlineStr">
        <is>
          <t>West approach: road restoration - installation</t>
        </is>
      </c>
      <c r="F60" s="23" t="inlineStr">
        <is>
          <t>ONE_TO_ONE</t>
        </is>
      </c>
      <c r="G60" s="23" t="inlineStr">
        <is>
          <t>RETAINED</t>
        </is>
      </c>
      <c r="H60" s="23" t="inlineStr">
        <is>
          <t>Carried forward</t>
        </is>
      </c>
      <c r="I60" s="23" t="inlineStr">
        <is>
          <t>Source assignment -- not individually reviewed</t>
        </is>
      </c>
      <c r="J60" s="23" t="inlineStr"/>
      <c r="K60" s="23" t="inlineStr">
        <is>
          <t>Source assignment</t>
        </is>
      </c>
      <c r="L60" s="23" t="inlineStr"/>
      <c r="M60" s="23" t="inlineStr">
        <is>
          <t>Contractor Programme Cycle 2</t>
        </is>
      </c>
      <c r="N60" s="23" t="inlineStr">
        <is>
          <t>Rev 1</t>
        </is>
      </c>
      <c r="O60" s="23" t="inlineStr">
        <is>
          <t>R76-v2</t>
        </is>
      </c>
      <c r="P60" s="23" t="inlineStr"/>
      <c r="Q60" s="23" t="inlineStr"/>
      <c r="R60" s="23" t="inlineStr"/>
      <c r="S60" s="23" t="inlineStr"/>
      <c r="T60" s="23" t="inlineStr"/>
      <c r="U60" s="23" t="inlineStr"/>
      <c r="V60" s="23" t="inlineStr">
        <is>
          <t>WBS Code = 1.1.1</t>
        </is>
      </c>
      <c r="W60" s="23" t="inlineStr"/>
    </row>
    <row r="61" ht="64" customHeight="1">
      <c r="A61" s="23" t="inlineStr">
        <is>
          <t>1.1.1</t>
        </is>
      </c>
      <c r="B61" s="23" t="inlineStr">
        <is>
          <t>Guideway and Civil - Guideway Structures</t>
        </is>
      </c>
      <c r="C61" s="23" t="inlineStr">
        <is>
          <t>Contractor Programme</t>
        </is>
      </c>
      <c r="D61" s="23" t="inlineStr">
        <is>
          <t>SCH-01-077</t>
        </is>
      </c>
      <c r="E61" s="23" t="inlineStr">
        <is>
          <t>Depot lead: drilled-shaft installation - inspection</t>
        </is>
      </c>
      <c r="F61" s="23" t="inlineStr">
        <is>
          <t>ONE_TO_ONE</t>
        </is>
      </c>
      <c r="G61" s="23" t="inlineStr">
        <is>
          <t>RETAINED</t>
        </is>
      </c>
      <c r="H61" s="23" t="inlineStr">
        <is>
          <t>Carried forward</t>
        </is>
      </c>
      <c r="I61" s="23" t="inlineStr">
        <is>
          <t>Source assignment -- not individually reviewed</t>
        </is>
      </c>
      <c r="J61" s="23" t="inlineStr"/>
      <c r="K61" s="23" t="inlineStr">
        <is>
          <t>Source assignment</t>
        </is>
      </c>
      <c r="L61" s="23" t="inlineStr"/>
      <c r="M61" s="23" t="inlineStr">
        <is>
          <t>Contractor Programme Cycle 2</t>
        </is>
      </c>
      <c r="N61" s="23" t="inlineStr">
        <is>
          <t>Rev 1</t>
        </is>
      </c>
      <c r="O61" s="23" t="inlineStr">
        <is>
          <t>R77-v2</t>
        </is>
      </c>
      <c r="P61" s="23" t="inlineStr"/>
      <c r="Q61" s="23" t="inlineStr"/>
      <c r="R61" s="23" t="inlineStr"/>
      <c r="S61" s="23" t="inlineStr"/>
      <c r="T61" s="23" t="inlineStr"/>
      <c r="U61" s="23" t="inlineStr"/>
      <c r="V61" s="23" t="inlineStr">
        <is>
          <t>WBS Code = 1.1.1</t>
        </is>
      </c>
      <c r="W61" s="23" t="inlineStr"/>
    </row>
    <row r="62" ht="64" customHeight="1">
      <c r="A62" s="23" t="inlineStr">
        <is>
          <t>1.1.1</t>
        </is>
      </c>
      <c r="B62" s="23" t="inlineStr">
        <is>
          <t>Guideway and Civil - Guideway Structures</t>
        </is>
      </c>
      <c r="C62" s="23" t="inlineStr">
        <is>
          <t>Contractor Programme</t>
        </is>
      </c>
      <c r="D62" s="23" t="inlineStr">
        <is>
          <t>SCH-01-079</t>
        </is>
      </c>
      <c r="E62" s="23" t="inlineStr">
        <is>
          <t>River crossing: drainage tie-in - release</t>
        </is>
      </c>
      <c r="F62" s="23" t="inlineStr">
        <is>
          <t>ONE_TO_ONE</t>
        </is>
      </c>
      <c r="G62" s="23" t="inlineStr">
        <is>
          <t>RETAINED</t>
        </is>
      </c>
      <c r="H62" s="23" t="inlineStr">
        <is>
          <t>Carried forward</t>
        </is>
      </c>
      <c r="I62" s="23" t="inlineStr">
        <is>
          <t>Source assignment -- not individually reviewed</t>
        </is>
      </c>
      <c r="J62" s="23" t="inlineStr"/>
      <c r="K62" s="23" t="inlineStr">
        <is>
          <t>Source assignment</t>
        </is>
      </c>
      <c r="L62" s="23" t="inlineStr"/>
      <c r="M62" s="23" t="inlineStr">
        <is>
          <t>Contractor Programme Cycle 2</t>
        </is>
      </c>
      <c r="N62" s="23" t="inlineStr">
        <is>
          <t>Rev 1</t>
        </is>
      </c>
      <c r="O62" s="23" t="inlineStr">
        <is>
          <t>R79-v2</t>
        </is>
      </c>
      <c r="P62" s="23" t="inlineStr"/>
      <c r="Q62" s="23" t="inlineStr"/>
      <c r="R62" s="23" t="inlineStr"/>
      <c r="S62" s="23" t="inlineStr"/>
      <c r="T62" s="23" t="inlineStr"/>
      <c r="U62" s="23" t="inlineStr"/>
      <c r="V62" s="23" t="inlineStr">
        <is>
          <t>WBS Code = 1.1.1</t>
        </is>
      </c>
      <c r="W62" s="23" t="inlineStr"/>
    </row>
    <row r="63" ht="64" customHeight="1">
      <c r="A63" s="23" t="inlineStr">
        <is>
          <t>1.1.1</t>
        </is>
      </c>
      <c r="B63" s="23" t="inlineStr">
        <is>
          <t>Guideway and Civil - Guideway Structures</t>
        </is>
      </c>
      <c r="C63" s="23" t="inlineStr">
        <is>
          <t>Contractor Programme</t>
        </is>
      </c>
      <c r="D63" s="23" t="inlineStr">
        <is>
          <t>SCH-01-080</t>
        </is>
      </c>
      <c r="E63" s="23" t="inlineStr">
        <is>
          <t>Central guideway: utility relocation - field start</t>
        </is>
      </c>
      <c r="F63" s="23" t="inlineStr">
        <is>
          <t>ONE_TO_ONE</t>
        </is>
      </c>
      <c r="G63" s="23" t="inlineStr">
        <is>
          <t>RETAINED</t>
        </is>
      </c>
      <c r="H63" s="23" t="inlineStr">
        <is>
          <t>Carried forward</t>
        </is>
      </c>
      <c r="I63" s="23" t="inlineStr">
        <is>
          <t>Source assignment -- not individually reviewed</t>
        </is>
      </c>
      <c r="J63" s="23" t="inlineStr"/>
      <c r="K63" s="23" t="inlineStr">
        <is>
          <t>Source assignment</t>
        </is>
      </c>
      <c r="L63" s="23" t="inlineStr"/>
      <c r="M63" s="23" t="inlineStr">
        <is>
          <t>Contractor Programme Cycle 2</t>
        </is>
      </c>
      <c r="N63" s="23" t="inlineStr">
        <is>
          <t>Rev 1</t>
        </is>
      </c>
      <c r="O63" s="23" t="inlineStr">
        <is>
          <t>R80-v2</t>
        </is>
      </c>
      <c r="P63" s="23" t="inlineStr"/>
      <c r="Q63" s="23" t="inlineStr"/>
      <c r="R63" s="23" t="inlineStr"/>
      <c r="S63" s="23" t="inlineStr"/>
      <c r="T63" s="23" t="inlineStr"/>
      <c r="U63" s="23" t="inlineStr"/>
      <c r="V63" s="23" t="inlineStr">
        <is>
          <t>WBS Code = 1.1.1</t>
        </is>
      </c>
      <c r="W63" s="23" t="inlineStr"/>
    </row>
    <row r="64" ht="64" customHeight="1">
      <c r="A64" s="23" t="inlineStr">
        <is>
          <t>1.1.1</t>
        </is>
      </c>
      <c r="B64" s="23" t="inlineStr">
        <is>
          <t>Guideway and Civil - Guideway Structures</t>
        </is>
      </c>
      <c r="C64" s="23" t="inlineStr">
        <is>
          <t>Contractor Programme</t>
        </is>
      </c>
      <c r="D64" s="23" t="inlineStr">
        <is>
          <t>SCH-01-082</t>
        </is>
      </c>
      <c r="E64" s="23" t="inlineStr">
        <is>
          <t>Depot lead: temporary traffic staging - inspection</t>
        </is>
      </c>
      <c r="F64" s="23" t="inlineStr">
        <is>
          <t>ONE_TO_ONE</t>
        </is>
      </c>
      <c r="G64" s="23" t="inlineStr">
        <is>
          <t>RETAINED</t>
        </is>
      </c>
      <c r="H64" s="23" t="inlineStr">
        <is>
          <t>Carried forward</t>
        </is>
      </c>
      <c r="I64" s="23" t="inlineStr">
        <is>
          <t>Source assignment -- not individually reviewed</t>
        </is>
      </c>
      <c r="J64" s="23" t="inlineStr"/>
      <c r="K64" s="23" t="inlineStr">
        <is>
          <t>Source assignment</t>
        </is>
      </c>
      <c r="L64" s="23" t="inlineStr"/>
      <c r="M64" s="23" t="inlineStr">
        <is>
          <t>Contractor Programme Cycle 2</t>
        </is>
      </c>
      <c r="N64" s="23" t="inlineStr">
        <is>
          <t>Rev 1</t>
        </is>
      </c>
      <c r="O64" s="23" t="inlineStr">
        <is>
          <t>R82-v2</t>
        </is>
      </c>
      <c r="P64" s="23" t="inlineStr"/>
      <c r="Q64" s="23" t="inlineStr"/>
      <c r="R64" s="23" t="inlineStr"/>
      <c r="S64" s="23" t="inlineStr"/>
      <c r="T64" s="23" t="inlineStr"/>
      <c r="U64" s="23" t="inlineStr"/>
      <c r="V64" s="23" t="inlineStr">
        <is>
          <t>WBS Code = 1.1.1</t>
        </is>
      </c>
      <c r="W64" s="23" t="inlineStr"/>
    </row>
    <row r="65" ht="64" customHeight="1">
      <c r="A65" s="23" t="inlineStr">
        <is>
          <t>1.1.1</t>
        </is>
      </c>
      <c r="B65" s="23" t="inlineStr">
        <is>
          <t>Guideway and Civil - Guideway Structures</t>
        </is>
      </c>
      <c r="C65" s="23" t="inlineStr">
        <is>
          <t>Contractor Programme</t>
        </is>
      </c>
      <c r="D65" s="23" t="inlineStr">
        <is>
          <t>SCH-01-083</t>
        </is>
      </c>
      <c r="E65" s="23" t="inlineStr">
        <is>
          <t>East portal: guideway pier reinforcement - turnover</t>
        </is>
      </c>
      <c r="F65" s="23" t="inlineStr">
        <is>
          <t>ONE_TO_ONE</t>
        </is>
      </c>
      <c r="G65" s="23" t="inlineStr">
        <is>
          <t>RETAINED</t>
        </is>
      </c>
      <c r="H65" s="23" t="inlineStr">
        <is>
          <t>Carried forward</t>
        </is>
      </c>
      <c r="I65" s="23" t="inlineStr">
        <is>
          <t>Source assignment -- not individually reviewed</t>
        </is>
      </c>
      <c r="J65" s="23" t="inlineStr"/>
      <c r="K65" s="23" t="inlineStr">
        <is>
          <t>Source assignment</t>
        </is>
      </c>
      <c r="L65" s="23" t="inlineStr"/>
      <c r="M65" s="23" t="inlineStr">
        <is>
          <t>Contractor Programme Cycle 2</t>
        </is>
      </c>
      <c r="N65" s="23" t="inlineStr">
        <is>
          <t>Rev 1</t>
        </is>
      </c>
      <c r="O65" s="23" t="inlineStr">
        <is>
          <t>R83-v2</t>
        </is>
      </c>
      <c r="P65" s="23" t="inlineStr"/>
      <c r="Q65" s="23" t="inlineStr"/>
      <c r="R65" s="23" t="inlineStr"/>
      <c r="S65" s="23" t="inlineStr"/>
      <c r="T65" s="23" t="inlineStr"/>
      <c r="U65" s="23" t="inlineStr"/>
      <c r="V65" s="23" t="inlineStr">
        <is>
          <t>WBS Code = 1.1.1</t>
        </is>
      </c>
      <c r="W65" s="23" t="inlineStr"/>
    </row>
    <row r="66" ht="64" customHeight="1">
      <c r="A66" s="23" t="inlineStr">
        <is>
          <t>1.1.1</t>
        </is>
      </c>
      <c r="B66" s="23" t="inlineStr">
        <is>
          <t>Guideway and Civil - Guideway Structures</t>
        </is>
      </c>
      <c r="C66" s="23" t="inlineStr">
        <is>
          <t>Contractor Programme</t>
        </is>
      </c>
      <c r="D66" s="23" t="inlineStr">
        <is>
          <t>SCH-01-085</t>
        </is>
      </c>
      <c r="E66" s="23" t="inlineStr">
        <is>
          <t>Central guideway: drilled-shaft installation - field start</t>
        </is>
      </c>
      <c r="F66" s="23" t="inlineStr">
        <is>
          <t>ONE_TO_ONE</t>
        </is>
      </c>
      <c r="G66" s="23" t="inlineStr">
        <is>
          <t>RETAINED</t>
        </is>
      </c>
      <c r="H66" s="23" t="inlineStr">
        <is>
          <t>Carried forward</t>
        </is>
      </c>
      <c r="I66" s="23" t="inlineStr">
        <is>
          <t>Source assignment -- not individually reviewed</t>
        </is>
      </c>
      <c r="J66" s="23" t="inlineStr"/>
      <c r="K66" s="23" t="inlineStr">
        <is>
          <t>Source assignment</t>
        </is>
      </c>
      <c r="L66" s="23" t="inlineStr"/>
      <c r="M66" s="23" t="inlineStr">
        <is>
          <t>Contractor Programme Cycle 2</t>
        </is>
      </c>
      <c r="N66" s="23" t="inlineStr">
        <is>
          <t>Rev 1</t>
        </is>
      </c>
      <c r="O66" s="23" t="inlineStr">
        <is>
          <t>R85-v2</t>
        </is>
      </c>
      <c r="P66" s="23" t="inlineStr"/>
      <c r="Q66" s="23" t="inlineStr"/>
      <c r="R66" s="23" t="inlineStr"/>
      <c r="S66" s="23" t="inlineStr"/>
      <c r="T66" s="23" t="inlineStr"/>
      <c r="U66" s="23" t="inlineStr"/>
      <c r="V66" s="23" t="inlineStr">
        <is>
          <t>WBS Code = 1.1.1</t>
        </is>
      </c>
      <c r="W66" s="23" t="inlineStr"/>
    </row>
    <row r="67" ht="64" customHeight="1">
      <c r="A67" s="23" t="inlineStr">
        <is>
          <t>1.1.1</t>
        </is>
      </c>
      <c r="B67" s="23" t="inlineStr">
        <is>
          <t>Guideway and Civil - Guideway Structures</t>
        </is>
      </c>
      <c r="C67" s="23" t="inlineStr">
        <is>
          <t>Contractor Programme</t>
        </is>
      </c>
      <c r="D67" s="23" t="inlineStr">
        <is>
          <t>SCH-01-086</t>
        </is>
      </c>
      <c r="E67" s="23" t="inlineStr">
        <is>
          <t>West approach: retaining-wall excavation - installation</t>
        </is>
      </c>
      <c r="F67" s="23" t="inlineStr">
        <is>
          <t>ONE_TO_ONE</t>
        </is>
      </c>
      <c r="G67" s="23" t="inlineStr">
        <is>
          <t>RETAINED</t>
        </is>
      </c>
      <c r="H67" s="23" t="inlineStr">
        <is>
          <t>Carried forward</t>
        </is>
      </c>
      <c r="I67" s="23" t="inlineStr">
        <is>
          <t>Source assignment -- not individually reviewed</t>
        </is>
      </c>
      <c r="J67" s="23" t="inlineStr"/>
      <c r="K67" s="23" t="inlineStr">
        <is>
          <t>Source assignment</t>
        </is>
      </c>
      <c r="L67" s="23" t="inlineStr"/>
      <c r="M67" s="23" t="inlineStr">
        <is>
          <t>Contractor Programme Cycle 2</t>
        </is>
      </c>
      <c r="N67" s="23" t="inlineStr">
        <is>
          <t>Rev 1</t>
        </is>
      </c>
      <c r="O67" s="23" t="inlineStr">
        <is>
          <t>R86-v2</t>
        </is>
      </c>
      <c r="P67" s="23" t="inlineStr"/>
      <c r="Q67" s="23" t="inlineStr"/>
      <c r="R67" s="23" t="inlineStr"/>
      <c r="S67" s="23" t="inlineStr"/>
      <c r="T67" s="23" t="inlineStr"/>
      <c r="U67" s="23" t="inlineStr"/>
      <c r="V67" s="23" t="inlineStr">
        <is>
          <t>WBS Code = 1.1.1</t>
        </is>
      </c>
      <c r="W67" s="23" t="inlineStr"/>
    </row>
    <row r="68" ht="64" customHeight="1">
      <c r="A68" s="23" t="inlineStr">
        <is>
          <t>1.1.1</t>
        </is>
      </c>
      <c r="B68" s="23" t="inlineStr">
        <is>
          <t>Guideway and Civil - Guideway Structures</t>
        </is>
      </c>
      <c r="C68" s="23" t="inlineStr">
        <is>
          <t>Contractor Programme</t>
        </is>
      </c>
      <c r="D68" s="23" t="inlineStr">
        <is>
          <t>SCH-01-088</t>
        </is>
      </c>
      <c r="E68" s="23" t="inlineStr">
        <is>
          <t>East portal: utility relocation - turnover</t>
        </is>
      </c>
      <c r="F68" s="23" t="inlineStr">
        <is>
          <t>ONE_TO_ONE</t>
        </is>
      </c>
      <c r="G68" s="23" t="inlineStr">
        <is>
          <t>RETAINED</t>
        </is>
      </c>
      <c r="H68" s="23" t="inlineStr">
        <is>
          <t>Carried forward</t>
        </is>
      </c>
      <c r="I68" s="23" t="inlineStr">
        <is>
          <t>Source assignment -- not individually reviewed</t>
        </is>
      </c>
      <c r="J68" s="23" t="inlineStr"/>
      <c r="K68" s="23" t="inlineStr">
        <is>
          <t>Source assignment</t>
        </is>
      </c>
      <c r="L68" s="23" t="inlineStr"/>
      <c r="M68" s="23" t="inlineStr">
        <is>
          <t>Contractor Programme Cycle 2</t>
        </is>
      </c>
      <c r="N68" s="23" t="inlineStr">
        <is>
          <t>Rev 1</t>
        </is>
      </c>
      <c r="O68" s="23" t="inlineStr">
        <is>
          <t>R88-v2</t>
        </is>
      </c>
      <c r="P68" s="23" t="inlineStr"/>
      <c r="Q68" s="23" t="inlineStr"/>
      <c r="R68" s="23" t="inlineStr"/>
      <c r="S68" s="23" t="inlineStr"/>
      <c r="T68" s="23" t="inlineStr"/>
      <c r="U68" s="23" t="inlineStr"/>
      <c r="V68" s="23" t="inlineStr">
        <is>
          <t>WBS Code = 1.1.1</t>
        </is>
      </c>
      <c r="W68" s="23" t="inlineStr"/>
    </row>
    <row r="69" ht="64" customHeight="1">
      <c r="A69" s="23" t="inlineStr">
        <is>
          <t>1.1.1</t>
        </is>
      </c>
      <c r="B69" s="23" t="inlineStr">
        <is>
          <t>Guideway and Civil - Guideway Structures</t>
        </is>
      </c>
      <c r="C69" s="23" t="inlineStr">
        <is>
          <t>Contractor Programme</t>
        </is>
      </c>
      <c r="D69" s="23" t="inlineStr">
        <is>
          <t>SCH-01-089</t>
        </is>
      </c>
      <c r="E69" s="23" t="inlineStr">
        <is>
          <t>River crossing: track-slab survey - release</t>
        </is>
      </c>
      <c r="F69" s="23" t="inlineStr">
        <is>
          <t>ONE_TO_ONE</t>
        </is>
      </c>
      <c r="G69" s="23" t="inlineStr">
        <is>
          <t>RETAINED</t>
        </is>
      </c>
      <c r="H69" s="23" t="inlineStr">
        <is>
          <t>Carried forward</t>
        </is>
      </c>
      <c r="I69" s="23" t="inlineStr">
        <is>
          <t>Source assignment -- not individually reviewed</t>
        </is>
      </c>
      <c r="J69" s="23" t="inlineStr"/>
      <c r="K69" s="23" t="inlineStr">
        <is>
          <t>Source assignment</t>
        </is>
      </c>
      <c r="L69" s="23" t="inlineStr"/>
      <c r="M69" s="23" t="inlineStr">
        <is>
          <t>Contractor Programme Cycle 2</t>
        </is>
      </c>
      <c r="N69" s="23" t="inlineStr">
        <is>
          <t>Rev 1</t>
        </is>
      </c>
      <c r="O69" s="23" t="inlineStr">
        <is>
          <t>R89-v2</t>
        </is>
      </c>
      <c r="P69" s="23" t="inlineStr"/>
      <c r="Q69" s="23" t="inlineStr"/>
      <c r="R69" s="23" t="inlineStr"/>
      <c r="S69" s="23" t="inlineStr"/>
      <c r="T69" s="23" t="inlineStr"/>
      <c r="U69" s="23" t="inlineStr"/>
      <c r="V69" s="23" t="inlineStr">
        <is>
          <t>WBS Code = 1.1.1</t>
        </is>
      </c>
      <c r="W69" s="23" t="inlineStr"/>
    </row>
    <row r="70" ht="64" customHeight="1">
      <c r="A70" s="23" t="inlineStr">
        <is>
          <t>1.1.1</t>
        </is>
      </c>
      <c r="B70" s="23" t="inlineStr">
        <is>
          <t>Guideway and Civil - Guideway Structures</t>
        </is>
      </c>
      <c r="C70" s="23" t="inlineStr">
        <is>
          <t>Contractor Programme</t>
        </is>
      </c>
      <c r="D70" s="23" t="inlineStr">
        <is>
          <t>SCH-01-091</t>
        </is>
      </c>
      <c r="E70" s="23" t="inlineStr">
        <is>
          <t>West approach: guideway pier reinforcement - installation</t>
        </is>
      </c>
      <c r="F70" s="23" t="inlineStr">
        <is>
          <t>ONE_TO_ONE</t>
        </is>
      </c>
      <c r="G70" s="23" t="inlineStr">
        <is>
          <t>RETAINED</t>
        </is>
      </c>
      <c r="H70" s="23" t="inlineStr">
        <is>
          <t>Carried forward</t>
        </is>
      </c>
      <c r="I70" s="23" t="inlineStr">
        <is>
          <t>Source assignment -- not individually reviewed</t>
        </is>
      </c>
      <c r="J70" s="23" t="inlineStr"/>
      <c r="K70" s="23" t="inlineStr">
        <is>
          <t>Source assignment</t>
        </is>
      </c>
      <c r="L70" s="23" t="inlineStr"/>
      <c r="M70" s="23" t="inlineStr">
        <is>
          <t>Contractor Programme Cycle 2</t>
        </is>
      </c>
      <c r="N70" s="23" t="inlineStr">
        <is>
          <t>Rev 1</t>
        </is>
      </c>
      <c r="O70" s="23" t="inlineStr">
        <is>
          <t>R91-v2</t>
        </is>
      </c>
      <c r="P70" s="23" t="inlineStr"/>
      <c r="Q70" s="23" t="inlineStr"/>
      <c r="R70" s="23" t="inlineStr"/>
      <c r="S70" s="23" t="inlineStr"/>
      <c r="T70" s="23" t="inlineStr"/>
      <c r="U70" s="23" t="inlineStr"/>
      <c r="V70" s="23" t="inlineStr">
        <is>
          <t>WBS Code = 1.1.1</t>
        </is>
      </c>
      <c r="W70" s="23" t="inlineStr"/>
    </row>
    <row r="71" ht="64" customHeight="1">
      <c r="A71" s="23" t="inlineStr">
        <is>
          <t>1.1.1</t>
        </is>
      </c>
      <c r="B71" s="23" t="inlineStr">
        <is>
          <t>Guideway and Civil - Guideway Structures</t>
        </is>
      </c>
      <c r="C71" s="23" t="inlineStr">
        <is>
          <t>Contractor Programme</t>
        </is>
      </c>
      <c r="D71" s="23" t="inlineStr">
        <is>
          <t>SCH-01-092</t>
        </is>
      </c>
      <c r="E71" s="23" t="inlineStr">
        <is>
          <t>Depot lead: road restoration - inspection</t>
        </is>
      </c>
      <c r="F71" s="23" t="inlineStr">
        <is>
          <t>ONE_TO_ONE</t>
        </is>
      </c>
      <c r="G71" s="23" t="inlineStr">
        <is>
          <t>RETAINED</t>
        </is>
      </c>
      <c r="H71" s="23" t="inlineStr">
        <is>
          <t>Carried forward</t>
        </is>
      </c>
      <c r="I71" s="23" t="inlineStr">
        <is>
          <t>Source assignment -- not individually reviewed</t>
        </is>
      </c>
      <c r="J71" s="23" t="inlineStr"/>
      <c r="K71" s="23" t="inlineStr">
        <is>
          <t>Source assignment</t>
        </is>
      </c>
      <c r="L71" s="23" t="inlineStr"/>
      <c r="M71" s="23" t="inlineStr">
        <is>
          <t>Contractor Programme Cycle 2</t>
        </is>
      </c>
      <c r="N71" s="23" t="inlineStr">
        <is>
          <t>Rev 1</t>
        </is>
      </c>
      <c r="O71" s="23" t="inlineStr">
        <is>
          <t>R92-v2</t>
        </is>
      </c>
      <c r="P71" s="23" t="inlineStr"/>
      <c r="Q71" s="23" t="inlineStr"/>
      <c r="R71" s="23" t="inlineStr"/>
      <c r="S71" s="23" t="inlineStr"/>
      <c r="T71" s="23" t="inlineStr"/>
      <c r="U71" s="23" t="inlineStr"/>
      <c r="V71" s="23" t="inlineStr">
        <is>
          <t>WBS Code = 1.1.1</t>
        </is>
      </c>
      <c r="W71" s="23" t="inlineStr"/>
    </row>
    <row r="72" ht="64" customHeight="1">
      <c r="A72" s="23" t="inlineStr">
        <is>
          <t>1.1.1</t>
        </is>
      </c>
      <c r="B72" s="23" t="inlineStr">
        <is>
          <t>Guideway and Civil - Guideway Structures</t>
        </is>
      </c>
      <c r="C72" s="23" t="inlineStr">
        <is>
          <t>Contractor Programme</t>
        </is>
      </c>
      <c r="D72" s="23" t="inlineStr">
        <is>
          <t>SCH-01-094</t>
        </is>
      </c>
      <c r="E72" s="23" t="inlineStr">
        <is>
          <t>River crossing: retaining-wall excavation - release</t>
        </is>
      </c>
      <c r="F72" s="23" t="inlineStr">
        <is>
          <t>ONE_TO_ONE</t>
        </is>
      </c>
      <c r="G72" s="23" t="inlineStr">
        <is>
          <t>RETAINED</t>
        </is>
      </c>
      <c r="H72" s="23" t="inlineStr">
        <is>
          <t>Carried forward</t>
        </is>
      </c>
      <c r="I72" s="23" t="inlineStr">
        <is>
          <t>Source assignment -- not individually reviewed</t>
        </is>
      </c>
      <c r="J72" s="23" t="inlineStr"/>
      <c r="K72" s="23" t="inlineStr">
        <is>
          <t>Source assignment</t>
        </is>
      </c>
      <c r="L72" s="23" t="inlineStr"/>
      <c r="M72" s="23" t="inlineStr">
        <is>
          <t>Contractor Programme Cycle 2</t>
        </is>
      </c>
      <c r="N72" s="23" t="inlineStr">
        <is>
          <t>Rev 1</t>
        </is>
      </c>
      <c r="O72" s="23" t="inlineStr">
        <is>
          <t>R94-v2</t>
        </is>
      </c>
      <c r="P72" s="23" t="inlineStr"/>
      <c r="Q72" s="23" t="inlineStr"/>
      <c r="R72" s="23" t="inlineStr"/>
      <c r="S72" s="23" t="inlineStr"/>
      <c r="T72" s="23" t="inlineStr"/>
      <c r="U72" s="23" t="inlineStr"/>
      <c r="V72" s="23" t="inlineStr">
        <is>
          <t>WBS Code = 1.1.1</t>
        </is>
      </c>
      <c r="W72" s="23" t="inlineStr"/>
    </row>
    <row r="73" ht="64" customHeight="1">
      <c r="A73" s="23" t="inlineStr">
        <is>
          <t>1.1.1</t>
        </is>
      </c>
      <c r="B73" s="23" t="inlineStr">
        <is>
          <t>Guideway and Civil - Guideway Structures</t>
        </is>
      </c>
      <c r="C73" s="23" t="inlineStr">
        <is>
          <t>Contractor Programme</t>
        </is>
      </c>
      <c r="D73" s="23" t="inlineStr">
        <is>
          <t>SCH-01-095</t>
        </is>
      </c>
      <c r="E73" s="23" t="inlineStr">
        <is>
          <t>Central guideway: drainage tie-in - field start</t>
        </is>
      </c>
      <c r="F73" s="23" t="inlineStr">
        <is>
          <t>ONE_TO_ONE</t>
        </is>
      </c>
      <c r="G73" s="23" t="inlineStr">
        <is>
          <t>RETAINED</t>
        </is>
      </c>
      <c r="H73" s="23" t="inlineStr">
        <is>
          <t>Carried forward</t>
        </is>
      </c>
      <c r="I73" s="23" t="inlineStr">
        <is>
          <t>Source assignment -- not individually reviewed</t>
        </is>
      </c>
      <c r="J73" s="23" t="inlineStr"/>
      <c r="K73" s="23" t="inlineStr">
        <is>
          <t>Source assignment</t>
        </is>
      </c>
      <c r="L73" s="23" t="inlineStr"/>
      <c r="M73" s="23" t="inlineStr">
        <is>
          <t>Contractor Programme Cycle 2</t>
        </is>
      </c>
      <c r="N73" s="23" t="inlineStr">
        <is>
          <t>Rev 1</t>
        </is>
      </c>
      <c r="O73" s="23" t="inlineStr">
        <is>
          <t>R95-v2</t>
        </is>
      </c>
      <c r="P73" s="23" t="inlineStr"/>
      <c r="Q73" s="23" t="inlineStr"/>
      <c r="R73" s="23" t="inlineStr"/>
      <c r="S73" s="23" t="inlineStr"/>
      <c r="T73" s="23" t="inlineStr"/>
      <c r="U73" s="23" t="inlineStr"/>
      <c r="V73" s="23" t="inlineStr">
        <is>
          <t>WBS Code = 1.1.1</t>
        </is>
      </c>
      <c r="W73" s="23" t="inlineStr"/>
    </row>
    <row r="74" ht="64" customHeight="1">
      <c r="A74" s="23" t="inlineStr">
        <is>
          <t>1.1.1</t>
        </is>
      </c>
      <c r="B74" s="23" t="inlineStr">
        <is>
          <t>Guideway and Civil - Guideway Structures</t>
        </is>
      </c>
      <c r="C74" s="23" t="inlineStr">
        <is>
          <t>Contractor Programme</t>
        </is>
      </c>
      <c r="D74" s="23" t="inlineStr">
        <is>
          <t>SCH-01-097</t>
        </is>
      </c>
      <c r="E74" s="23" t="inlineStr">
        <is>
          <t>Depot lead: track-slab survey - inspection</t>
        </is>
      </c>
      <c r="F74" s="23" t="inlineStr">
        <is>
          <t>ONE_TO_ONE</t>
        </is>
      </c>
      <c r="G74" s="23" t="inlineStr">
        <is>
          <t>RETAINED</t>
        </is>
      </c>
      <c r="H74" s="23" t="inlineStr">
        <is>
          <t>Carried forward</t>
        </is>
      </c>
      <c r="I74" s="23" t="inlineStr">
        <is>
          <t>Source assignment -- not individually reviewed</t>
        </is>
      </c>
      <c r="J74" s="23" t="inlineStr"/>
      <c r="K74" s="23" t="inlineStr">
        <is>
          <t>Source assignment</t>
        </is>
      </c>
      <c r="L74" s="23" t="inlineStr"/>
      <c r="M74" s="23" t="inlineStr">
        <is>
          <t>Contractor Programme Cycle 2</t>
        </is>
      </c>
      <c r="N74" s="23" t="inlineStr">
        <is>
          <t>Rev 1</t>
        </is>
      </c>
      <c r="O74" s="23" t="inlineStr">
        <is>
          <t>R97-v2</t>
        </is>
      </c>
      <c r="P74" s="23" t="inlineStr"/>
      <c r="Q74" s="23" t="inlineStr"/>
      <c r="R74" s="23" t="inlineStr"/>
      <c r="S74" s="23" t="inlineStr"/>
      <c r="T74" s="23" t="inlineStr"/>
      <c r="U74" s="23" t="inlineStr"/>
      <c r="V74" s="23" t="inlineStr">
        <is>
          <t>WBS Code = 1.1.1</t>
        </is>
      </c>
      <c r="W74" s="23" t="inlineStr"/>
    </row>
    <row r="75" ht="64" customHeight="1">
      <c r="A75" s="23" t="inlineStr">
        <is>
          <t>1.1.1</t>
        </is>
      </c>
      <c r="B75" s="23" t="inlineStr">
        <is>
          <t>Guideway and Civil - Guideway Structures</t>
        </is>
      </c>
      <c r="C75" s="23" t="inlineStr">
        <is>
          <t>Contractor Programme</t>
        </is>
      </c>
      <c r="D75" s="23" t="inlineStr">
        <is>
          <t>SCH-01-098</t>
        </is>
      </c>
      <c r="E75" s="23" t="inlineStr">
        <is>
          <t>East portal: temporary traffic staging - turnover</t>
        </is>
      </c>
      <c r="F75" s="23" t="inlineStr">
        <is>
          <t>ONE_TO_ONE</t>
        </is>
      </c>
      <c r="G75" s="23" t="inlineStr">
        <is>
          <t>RETAINED</t>
        </is>
      </c>
      <c r="H75" s="23" t="inlineStr">
        <is>
          <t>Carried forward</t>
        </is>
      </c>
      <c r="I75" s="23" t="inlineStr">
        <is>
          <t>Source assignment -- not individually reviewed</t>
        </is>
      </c>
      <c r="J75" s="23" t="inlineStr"/>
      <c r="K75" s="23" t="inlineStr">
        <is>
          <t>Source assignment</t>
        </is>
      </c>
      <c r="L75" s="23" t="inlineStr"/>
      <c r="M75" s="23" t="inlineStr">
        <is>
          <t>Contractor Programme Cycle 2</t>
        </is>
      </c>
      <c r="N75" s="23" t="inlineStr">
        <is>
          <t>Rev 1</t>
        </is>
      </c>
      <c r="O75" s="23" t="inlineStr">
        <is>
          <t>R98-v2</t>
        </is>
      </c>
      <c r="P75" s="23" t="inlineStr"/>
      <c r="Q75" s="23" t="inlineStr"/>
      <c r="R75" s="23" t="inlineStr"/>
      <c r="S75" s="23" t="inlineStr"/>
      <c r="T75" s="23" t="inlineStr"/>
      <c r="U75" s="23" t="inlineStr"/>
      <c r="V75" s="23" t="inlineStr">
        <is>
          <t>WBS Code = 1.1.1</t>
        </is>
      </c>
      <c r="W75" s="23" t="inlineStr"/>
    </row>
    <row r="76" ht="64" customHeight="1">
      <c r="A76" s="23" t="inlineStr">
        <is>
          <t>1.1.1</t>
        </is>
      </c>
      <c r="B76" s="23" t="inlineStr">
        <is>
          <t>Guideway and Civil - Guideway Structures</t>
        </is>
      </c>
      <c r="C76" s="23" t="inlineStr">
        <is>
          <t>Contractor Programme</t>
        </is>
      </c>
      <c r="D76" s="23" t="inlineStr">
        <is>
          <t>SCH-01-100</t>
        </is>
      </c>
      <c r="E76" s="23" t="inlineStr">
        <is>
          <t>Central guideway: road restoration - field start</t>
        </is>
      </c>
      <c r="F76" s="23" t="inlineStr">
        <is>
          <t>ONE_TO_ONE</t>
        </is>
      </c>
      <c r="G76" s="23" t="inlineStr">
        <is>
          <t>RETAINED</t>
        </is>
      </c>
      <c r="H76" s="23" t="inlineStr">
        <is>
          <t>Carried forward</t>
        </is>
      </c>
      <c r="I76" s="23" t="inlineStr">
        <is>
          <t>Source assignment -- not individually reviewed</t>
        </is>
      </c>
      <c r="J76" s="23" t="inlineStr"/>
      <c r="K76" s="23" t="inlineStr">
        <is>
          <t>Source assignment</t>
        </is>
      </c>
      <c r="L76" s="23" t="inlineStr"/>
      <c r="M76" s="23" t="inlineStr">
        <is>
          <t>Contractor Programme Cycle 2</t>
        </is>
      </c>
      <c r="N76" s="23" t="inlineStr">
        <is>
          <t>Rev 1</t>
        </is>
      </c>
      <c r="O76" s="23" t="inlineStr">
        <is>
          <t>R100-v2</t>
        </is>
      </c>
      <c r="P76" s="23" t="inlineStr"/>
      <c r="Q76" s="23" t="inlineStr"/>
      <c r="R76" s="23" t="inlineStr"/>
      <c r="S76" s="23" t="inlineStr"/>
      <c r="T76" s="23" t="inlineStr"/>
      <c r="U76" s="23" t="inlineStr"/>
      <c r="V76" s="23" t="inlineStr">
        <is>
          <t>WBS Code = 1.1.1</t>
        </is>
      </c>
      <c r="W76" s="23" t="inlineStr"/>
    </row>
    <row r="77" ht="64" customHeight="1">
      <c r="A77" s="23" t="inlineStr">
        <is>
          <t>1.1.1</t>
        </is>
      </c>
      <c r="B77" s="23" t="inlineStr">
        <is>
          <t>Guideway and Civil - Guideway Structures</t>
        </is>
      </c>
      <c r="C77" s="23" t="inlineStr">
        <is>
          <t>Contractor Programme</t>
        </is>
      </c>
      <c r="D77" s="23" t="inlineStr">
        <is>
          <t>SCH-01-101</t>
        </is>
      </c>
      <c r="E77" s="23" t="inlineStr">
        <is>
          <t>West approach: drilled-shaft installation - installation</t>
        </is>
      </c>
      <c r="F77" s="23" t="inlineStr">
        <is>
          <t>ONE_TO_ONE</t>
        </is>
      </c>
      <c r="G77" s="23" t="inlineStr">
        <is>
          <t>RETAINED</t>
        </is>
      </c>
      <c r="H77" s="23" t="inlineStr">
        <is>
          <t>Carried forward</t>
        </is>
      </c>
      <c r="I77" s="23" t="inlineStr">
        <is>
          <t>Source assignment -- not individually reviewed</t>
        </is>
      </c>
      <c r="J77" s="23" t="inlineStr"/>
      <c r="K77" s="23" t="inlineStr">
        <is>
          <t>Source assignment</t>
        </is>
      </c>
      <c r="L77" s="23" t="inlineStr"/>
      <c r="M77" s="23" t="inlineStr">
        <is>
          <t>Contractor Programme Cycle 2</t>
        </is>
      </c>
      <c r="N77" s="23" t="inlineStr">
        <is>
          <t>Rev 1</t>
        </is>
      </c>
      <c r="O77" s="23" t="inlineStr">
        <is>
          <t>R101-v2</t>
        </is>
      </c>
      <c r="P77" s="23" t="inlineStr"/>
      <c r="Q77" s="23" t="inlineStr"/>
      <c r="R77" s="23" t="inlineStr"/>
      <c r="S77" s="23" t="inlineStr"/>
      <c r="T77" s="23" t="inlineStr"/>
      <c r="U77" s="23" t="inlineStr"/>
      <c r="V77" s="23" t="inlineStr">
        <is>
          <t>WBS Code = 1.1.1</t>
        </is>
      </c>
      <c r="W77" s="23" t="inlineStr"/>
    </row>
    <row r="78" ht="64" customHeight="1">
      <c r="A78" s="23" t="inlineStr">
        <is>
          <t>1.1.1</t>
        </is>
      </c>
      <c r="B78" s="23" t="inlineStr">
        <is>
          <t>Guideway and Civil - Guideway Structures</t>
        </is>
      </c>
      <c r="C78" s="23" t="inlineStr">
        <is>
          <t>Contractor Programme</t>
        </is>
      </c>
      <c r="D78" s="23" t="inlineStr">
        <is>
          <t>SCH-01-103</t>
        </is>
      </c>
      <c r="E78" s="23" t="inlineStr">
        <is>
          <t>East portal: drainage tie-in - turnover</t>
        </is>
      </c>
      <c r="F78" s="23" t="inlineStr">
        <is>
          <t>ONE_TO_ONE</t>
        </is>
      </c>
      <c r="G78" s="23" t="inlineStr">
        <is>
          <t>RETAINED</t>
        </is>
      </c>
      <c r="H78" s="23" t="inlineStr">
        <is>
          <t>Carried forward</t>
        </is>
      </c>
      <c r="I78" s="23" t="inlineStr">
        <is>
          <t>Source assignment -- not individually reviewed</t>
        </is>
      </c>
      <c r="J78" s="23" t="inlineStr"/>
      <c r="K78" s="23" t="inlineStr">
        <is>
          <t>Source assignment</t>
        </is>
      </c>
      <c r="L78" s="23" t="inlineStr"/>
      <c r="M78" s="23" t="inlineStr">
        <is>
          <t>Contractor Programme Cycle 2</t>
        </is>
      </c>
      <c r="N78" s="23" t="inlineStr">
        <is>
          <t>Rev 1</t>
        </is>
      </c>
      <c r="O78" s="23" t="inlineStr">
        <is>
          <t>R103-v2</t>
        </is>
      </c>
      <c r="P78" s="23" t="inlineStr"/>
      <c r="Q78" s="23" t="inlineStr"/>
      <c r="R78" s="23" t="inlineStr"/>
      <c r="S78" s="23" t="inlineStr"/>
      <c r="T78" s="23" t="inlineStr"/>
      <c r="U78" s="23" t="inlineStr"/>
      <c r="V78" s="23" t="inlineStr">
        <is>
          <t>WBS Code = 1.1.1</t>
        </is>
      </c>
      <c r="W78" s="23" t="inlineStr"/>
    </row>
    <row r="79" ht="64" customHeight="1">
      <c r="A79" s="23" t="inlineStr">
        <is>
          <t>1.1.1</t>
        </is>
      </c>
      <c r="B79" s="23" t="inlineStr">
        <is>
          <t>Guideway and Civil - Guideway Structures</t>
        </is>
      </c>
      <c r="C79" s="23" t="inlineStr">
        <is>
          <t>Contractor Programme</t>
        </is>
      </c>
      <c r="D79" s="23" t="inlineStr">
        <is>
          <t>SCH-01-104</t>
        </is>
      </c>
      <c r="E79" s="23" t="inlineStr">
        <is>
          <t>River crossing: utility relocation - release</t>
        </is>
      </c>
      <c r="F79" s="23" t="inlineStr">
        <is>
          <t>ONE_TO_ONE</t>
        </is>
      </c>
      <c r="G79" s="23" t="inlineStr">
        <is>
          <t>RETAINED</t>
        </is>
      </c>
      <c r="H79" s="23" t="inlineStr">
        <is>
          <t>Carried forward</t>
        </is>
      </c>
      <c r="I79" s="23" t="inlineStr">
        <is>
          <t>Source assignment -- not individually reviewed</t>
        </is>
      </c>
      <c r="J79" s="23" t="inlineStr"/>
      <c r="K79" s="23" t="inlineStr">
        <is>
          <t>Source assignment</t>
        </is>
      </c>
      <c r="L79" s="23" t="inlineStr"/>
      <c r="M79" s="23" t="inlineStr">
        <is>
          <t>Contractor Programme Cycle 2</t>
        </is>
      </c>
      <c r="N79" s="23" t="inlineStr">
        <is>
          <t>Rev 1</t>
        </is>
      </c>
      <c r="O79" s="23" t="inlineStr">
        <is>
          <t>R104-v2</t>
        </is>
      </c>
      <c r="P79" s="23" t="inlineStr"/>
      <c r="Q79" s="23" t="inlineStr"/>
      <c r="R79" s="23" t="inlineStr"/>
      <c r="S79" s="23" t="inlineStr"/>
      <c r="T79" s="23" t="inlineStr"/>
      <c r="U79" s="23" t="inlineStr"/>
      <c r="V79" s="23" t="inlineStr">
        <is>
          <t>WBS Code = 1.1.1</t>
        </is>
      </c>
      <c r="W79" s="23" t="inlineStr"/>
    </row>
    <row r="80" ht="64" customHeight="1">
      <c r="A80" s="23" t="inlineStr">
        <is>
          <t>1.1.1</t>
        </is>
      </c>
      <c r="B80" s="23" t="inlineStr">
        <is>
          <t>Guideway and Civil - Guideway Structures</t>
        </is>
      </c>
      <c r="C80" s="23" t="inlineStr">
        <is>
          <t>Contractor Programme</t>
        </is>
      </c>
      <c r="D80" s="23" t="inlineStr">
        <is>
          <t>SCH-01-106</t>
        </is>
      </c>
      <c r="E80" s="23" t="inlineStr">
        <is>
          <t>West approach: temporary traffic staging - installation</t>
        </is>
      </c>
      <c r="F80" s="23" t="inlineStr">
        <is>
          <t>ONE_TO_ONE</t>
        </is>
      </c>
      <c r="G80" s="23" t="inlineStr">
        <is>
          <t>RETAINED</t>
        </is>
      </c>
      <c r="H80" s="23" t="inlineStr">
        <is>
          <t>Carried forward</t>
        </is>
      </c>
      <c r="I80" s="23" t="inlineStr">
        <is>
          <t>Source assignment -- not individually reviewed</t>
        </is>
      </c>
      <c r="J80" s="23" t="inlineStr"/>
      <c r="K80" s="23" t="inlineStr">
        <is>
          <t>Source assignment</t>
        </is>
      </c>
      <c r="L80" s="23" t="inlineStr"/>
      <c r="M80" s="23" t="inlineStr">
        <is>
          <t>Contractor Programme Cycle 2</t>
        </is>
      </c>
      <c r="N80" s="23" t="inlineStr">
        <is>
          <t>Rev 1</t>
        </is>
      </c>
      <c r="O80" s="23" t="inlineStr">
        <is>
          <t>R106-v2</t>
        </is>
      </c>
      <c r="P80" s="23" t="inlineStr"/>
      <c r="Q80" s="23" t="inlineStr"/>
      <c r="R80" s="23" t="inlineStr"/>
      <c r="S80" s="23" t="inlineStr"/>
      <c r="T80" s="23" t="inlineStr"/>
      <c r="U80" s="23" t="inlineStr"/>
      <c r="V80" s="23" t="inlineStr">
        <is>
          <t>WBS Code = 1.1.1</t>
        </is>
      </c>
      <c r="W80" s="23" t="inlineStr"/>
    </row>
    <row r="81" ht="64" customHeight="1">
      <c r="A81" s="23" t="inlineStr">
        <is>
          <t>1.1.1</t>
        </is>
      </c>
      <c r="B81" s="23" t="inlineStr">
        <is>
          <t>Guideway and Civil - Guideway Structures</t>
        </is>
      </c>
      <c r="C81" s="23" t="inlineStr">
        <is>
          <t>Contractor Programme</t>
        </is>
      </c>
      <c r="D81" s="23" t="inlineStr">
        <is>
          <t>SCH-01-107</t>
        </is>
      </c>
      <c r="E81" s="23" t="inlineStr">
        <is>
          <t>Depot lead: guideway pier reinforcement - inspection</t>
        </is>
      </c>
      <c r="F81" s="23" t="inlineStr">
        <is>
          <t>ONE_TO_ONE</t>
        </is>
      </c>
      <c r="G81" s="23" t="inlineStr">
        <is>
          <t>RETAINED</t>
        </is>
      </c>
      <c r="H81" s="23" t="inlineStr">
        <is>
          <t>Carried forward</t>
        </is>
      </c>
      <c r="I81" s="23" t="inlineStr">
        <is>
          <t>Source assignment -- not individually reviewed</t>
        </is>
      </c>
      <c r="J81" s="23" t="inlineStr"/>
      <c r="K81" s="23" t="inlineStr">
        <is>
          <t>Source assignment</t>
        </is>
      </c>
      <c r="L81" s="23" t="inlineStr"/>
      <c r="M81" s="23" t="inlineStr">
        <is>
          <t>Contractor Programme Cycle 2</t>
        </is>
      </c>
      <c r="N81" s="23" t="inlineStr">
        <is>
          <t>Rev 1</t>
        </is>
      </c>
      <c r="O81" s="23" t="inlineStr">
        <is>
          <t>R107-v2</t>
        </is>
      </c>
      <c r="P81" s="23" t="inlineStr"/>
      <c r="Q81" s="23" t="inlineStr"/>
      <c r="R81" s="23" t="inlineStr"/>
      <c r="S81" s="23" t="inlineStr"/>
      <c r="T81" s="23" t="inlineStr"/>
      <c r="U81" s="23" t="inlineStr"/>
      <c r="V81" s="23" t="inlineStr">
        <is>
          <t>WBS Code = 1.1.1</t>
        </is>
      </c>
      <c r="W81" s="23" t="inlineStr"/>
    </row>
    <row r="82" ht="64" customHeight="1">
      <c r="A82" s="23" t="inlineStr">
        <is>
          <t>1.1.1</t>
        </is>
      </c>
      <c r="B82" s="23" t="inlineStr">
        <is>
          <t>Guideway and Civil - Guideway Structures</t>
        </is>
      </c>
      <c r="C82" s="23" t="inlineStr">
        <is>
          <t>Contractor Programme</t>
        </is>
      </c>
      <c r="D82" s="23" t="inlineStr">
        <is>
          <t>SCH-01-109</t>
        </is>
      </c>
      <c r="E82" s="23" t="inlineStr">
        <is>
          <t>River crossing: drilled-shaft installation - release</t>
        </is>
      </c>
      <c r="F82" s="23" t="inlineStr">
        <is>
          <t>ONE_TO_ONE</t>
        </is>
      </c>
      <c r="G82" s="23" t="inlineStr">
        <is>
          <t>RETAINED</t>
        </is>
      </c>
      <c r="H82" s="23" t="inlineStr">
        <is>
          <t>Carried forward</t>
        </is>
      </c>
      <c r="I82" s="23" t="inlineStr">
        <is>
          <t>Source assignment -- not individually reviewed</t>
        </is>
      </c>
      <c r="J82" s="23" t="inlineStr"/>
      <c r="K82" s="23" t="inlineStr">
        <is>
          <t>Source assignment</t>
        </is>
      </c>
      <c r="L82" s="23" t="inlineStr"/>
      <c r="M82" s="23" t="inlineStr">
        <is>
          <t>Contractor Programme Cycle 2</t>
        </is>
      </c>
      <c r="N82" s="23" t="inlineStr">
        <is>
          <t>Rev 1</t>
        </is>
      </c>
      <c r="O82" s="23" t="inlineStr">
        <is>
          <t>R109-v2</t>
        </is>
      </c>
      <c r="P82" s="23" t="inlineStr"/>
      <c r="Q82" s="23" t="inlineStr"/>
      <c r="R82" s="23" t="inlineStr"/>
      <c r="S82" s="23" t="inlineStr"/>
      <c r="T82" s="23" t="inlineStr"/>
      <c r="U82" s="23" t="inlineStr"/>
      <c r="V82" s="23" t="inlineStr">
        <is>
          <t>WBS Code = 1.1.1</t>
        </is>
      </c>
      <c r="W82" s="23" t="inlineStr"/>
    </row>
    <row r="83" ht="64" customHeight="1">
      <c r="A83" s="23" t="inlineStr">
        <is>
          <t>1.1.1</t>
        </is>
      </c>
      <c r="B83" s="23" t="inlineStr">
        <is>
          <t>Guideway and Civil - Guideway Structures</t>
        </is>
      </c>
      <c r="C83" s="23" t="inlineStr">
        <is>
          <t>Contractor Programme</t>
        </is>
      </c>
      <c r="D83" s="23" t="inlineStr">
        <is>
          <t>SCH-01-110</t>
        </is>
      </c>
      <c r="E83" s="23" t="inlineStr">
        <is>
          <t>Central guideway: retaining-wall excavation - field start</t>
        </is>
      </c>
      <c r="F83" s="23" t="inlineStr">
        <is>
          <t>ONE_TO_ONE</t>
        </is>
      </c>
      <c r="G83" s="23" t="inlineStr">
        <is>
          <t>RETAINED</t>
        </is>
      </c>
      <c r="H83" s="23" t="inlineStr">
        <is>
          <t>Carried forward</t>
        </is>
      </c>
      <c r="I83" s="23" t="inlineStr">
        <is>
          <t>Source assignment -- not individually reviewed</t>
        </is>
      </c>
      <c r="J83" s="23" t="inlineStr"/>
      <c r="K83" s="23" t="inlineStr">
        <is>
          <t>Source assignment</t>
        </is>
      </c>
      <c r="L83" s="23" t="inlineStr"/>
      <c r="M83" s="23" t="inlineStr">
        <is>
          <t>Contractor Programme Cycle 2</t>
        </is>
      </c>
      <c r="N83" s="23" t="inlineStr">
        <is>
          <t>Rev 1</t>
        </is>
      </c>
      <c r="O83" s="23" t="inlineStr">
        <is>
          <t>R110-v2</t>
        </is>
      </c>
      <c r="P83" s="23" t="inlineStr"/>
      <c r="Q83" s="23" t="inlineStr"/>
      <c r="R83" s="23" t="inlineStr"/>
      <c r="S83" s="23" t="inlineStr"/>
      <c r="T83" s="23" t="inlineStr"/>
      <c r="U83" s="23" t="inlineStr"/>
      <c r="V83" s="23" t="inlineStr">
        <is>
          <t>WBS Code = 1.1.1</t>
        </is>
      </c>
      <c r="W83" s="23" t="inlineStr"/>
    </row>
    <row r="84" ht="64" customHeight="1">
      <c r="A84" s="23" t="inlineStr">
        <is>
          <t>1.1.1</t>
        </is>
      </c>
      <c r="B84" s="23" t="inlineStr">
        <is>
          <t>Guideway and Civil - Guideway Structures</t>
        </is>
      </c>
      <c r="C84" s="23" t="inlineStr">
        <is>
          <t>Contractor Programme</t>
        </is>
      </c>
      <c r="D84" s="23" t="inlineStr">
        <is>
          <t>SCH-01-112</t>
        </is>
      </c>
      <c r="E84" s="23" t="inlineStr">
        <is>
          <t>Depot lead: utility relocation - inspection</t>
        </is>
      </c>
      <c r="F84" s="23" t="inlineStr">
        <is>
          <t>ONE_TO_ONE</t>
        </is>
      </c>
      <c r="G84" s="23" t="inlineStr">
        <is>
          <t>RETAINED</t>
        </is>
      </c>
      <c r="H84" s="23" t="inlineStr">
        <is>
          <t>Carried forward</t>
        </is>
      </c>
      <c r="I84" s="23" t="inlineStr">
        <is>
          <t>Source assignment -- not individually reviewed</t>
        </is>
      </c>
      <c r="J84" s="23" t="inlineStr"/>
      <c r="K84" s="23" t="inlineStr">
        <is>
          <t>Source assignment</t>
        </is>
      </c>
      <c r="L84" s="23" t="inlineStr"/>
      <c r="M84" s="23" t="inlineStr">
        <is>
          <t>Contractor Programme Cycle 2</t>
        </is>
      </c>
      <c r="N84" s="23" t="inlineStr">
        <is>
          <t>Rev 1</t>
        </is>
      </c>
      <c r="O84" s="23" t="inlineStr">
        <is>
          <t>R112-v2</t>
        </is>
      </c>
      <c r="P84" s="23" t="inlineStr"/>
      <c r="Q84" s="23" t="inlineStr"/>
      <c r="R84" s="23" t="inlineStr"/>
      <c r="S84" s="23" t="inlineStr"/>
      <c r="T84" s="23" t="inlineStr"/>
      <c r="U84" s="23" t="inlineStr"/>
      <c r="V84" s="23" t="inlineStr">
        <is>
          <t>WBS Code = 1.1.1</t>
        </is>
      </c>
      <c r="W84" s="23" t="inlineStr"/>
    </row>
    <row r="85" ht="64" customHeight="1">
      <c r="A85" s="23" t="inlineStr">
        <is>
          <t>1.1.1</t>
        </is>
      </c>
      <c r="B85" s="23" t="inlineStr">
        <is>
          <t>Guideway and Civil - Guideway Structures</t>
        </is>
      </c>
      <c r="C85" s="23" t="inlineStr">
        <is>
          <t>Contractor Programme</t>
        </is>
      </c>
      <c r="D85" s="23" t="inlineStr">
        <is>
          <t>SCH-01-113</t>
        </is>
      </c>
      <c r="E85" s="23" t="inlineStr">
        <is>
          <t>East portal: track-slab survey - turnover</t>
        </is>
      </c>
      <c r="F85" s="23" t="inlineStr">
        <is>
          <t>ONE_TO_ONE</t>
        </is>
      </c>
      <c r="G85" s="23" t="inlineStr">
        <is>
          <t>RETAINED</t>
        </is>
      </c>
      <c r="H85" s="23" t="inlineStr">
        <is>
          <t>Carried forward</t>
        </is>
      </c>
      <c r="I85" s="23" t="inlineStr">
        <is>
          <t>Source assignment -- not individually reviewed</t>
        </is>
      </c>
      <c r="J85" s="23" t="inlineStr"/>
      <c r="K85" s="23" t="inlineStr">
        <is>
          <t>Source assignment</t>
        </is>
      </c>
      <c r="L85" s="23" t="inlineStr"/>
      <c r="M85" s="23" t="inlineStr">
        <is>
          <t>Contractor Programme Cycle 2</t>
        </is>
      </c>
      <c r="N85" s="23" t="inlineStr">
        <is>
          <t>Rev 1</t>
        </is>
      </c>
      <c r="O85" s="23" t="inlineStr">
        <is>
          <t>R113-v2</t>
        </is>
      </c>
      <c r="P85" s="23" t="inlineStr"/>
      <c r="Q85" s="23" t="inlineStr"/>
      <c r="R85" s="23" t="inlineStr"/>
      <c r="S85" s="23" t="inlineStr"/>
      <c r="T85" s="23" t="inlineStr"/>
      <c r="U85" s="23" t="inlineStr"/>
      <c r="V85" s="23" t="inlineStr">
        <is>
          <t>WBS Code = 1.1.1</t>
        </is>
      </c>
      <c r="W85" s="23" t="inlineStr"/>
    </row>
    <row r="86" ht="64" customHeight="1">
      <c r="A86" s="23" t="inlineStr">
        <is>
          <t>1.1.1</t>
        </is>
      </c>
      <c r="B86" s="23" t="inlineStr">
        <is>
          <t>Guideway and Civil - Guideway Structures</t>
        </is>
      </c>
      <c r="C86" s="23" t="inlineStr">
        <is>
          <t>Contractor Programme</t>
        </is>
      </c>
      <c r="D86" s="23" t="inlineStr">
        <is>
          <t>SCH-01-115</t>
        </is>
      </c>
      <c r="E86" s="23" t="inlineStr">
        <is>
          <t>Central guideway: guideway pier reinforcement - field start</t>
        </is>
      </c>
      <c r="F86" s="23" t="inlineStr">
        <is>
          <t>ONE_TO_ONE</t>
        </is>
      </c>
      <c r="G86" s="23" t="inlineStr">
        <is>
          <t>RETAINED</t>
        </is>
      </c>
      <c r="H86" s="23" t="inlineStr">
        <is>
          <t>Carried forward</t>
        </is>
      </c>
      <c r="I86" s="23" t="inlineStr">
        <is>
          <t>Source assignment -- not individually reviewed</t>
        </is>
      </c>
      <c r="J86" s="23" t="inlineStr"/>
      <c r="K86" s="23" t="inlineStr">
        <is>
          <t>Source assignment</t>
        </is>
      </c>
      <c r="L86" s="23" t="inlineStr"/>
      <c r="M86" s="23" t="inlineStr">
        <is>
          <t>Contractor Programme Cycle 2</t>
        </is>
      </c>
      <c r="N86" s="23" t="inlineStr">
        <is>
          <t>Rev 1</t>
        </is>
      </c>
      <c r="O86" s="23" t="inlineStr">
        <is>
          <t>R115-v2</t>
        </is>
      </c>
      <c r="P86" s="23" t="inlineStr"/>
      <c r="Q86" s="23" t="inlineStr"/>
      <c r="R86" s="23" t="inlineStr"/>
      <c r="S86" s="23" t="inlineStr"/>
      <c r="T86" s="23" t="inlineStr"/>
      <c r="U86" s="23" t="inlineStr"/>
      <c r="V86" s="23" t="inlineStr">
        <is>
          <t>WBS Code = 1.1.1</t>
        </is>
      </c>
      <c r="W86" s="23" t="inlineStr"/>
    </row>
    <row r="87" ht="64" customHeight="1">
      <c r="A87" s="23" t="inlineStr">
        <is>
          <t>1.1.1</t>
        </is>
      </c>
      <c r="B87" s="23" t="inlineStr">
        <is>
          <t>Guideway and Civil - Guideway Structures</t>
        </is>
      </c>
      <c r="C87" s="23" t="inlineStr">
        <is>
          <t>Contractor Programme</t>
        </is>
      </c>
      <c r="D87" s="23" t="inlineStr">
        <is>
          <t>SCH-01-116</t>
        </is>
      </c>
      <c r="E87" s="23" t="inlineStr">
        <is>
          <t>West approach: road restoration - installation</t>
        </is>
      </c>
      <c r="F87" s="23" t="inlineStr">
        <is>
          <t>ONE_TO_ONE</t>
        </is>
      </c>
      <c r="G87" s="23" t="inlineStr">
        <is>
          <t>RETAINED</t>
        </is>
      </c>
      <c r="H87" s="23" t="inlineStr">
        <is>
          <t>Carried forward</t>
        </is>
      </c>
      <c r="I87" s="23" t="inlineStr">
        <is>
          <t>Source assignment -- not individually reviewed</t>
        </is>
      </c>
      <c r="J87" s="23" t="inlineStr"/>
      <c r="K87" s="23" t="inlineStr">
        <is>
          <t>Source assignment</t>
        </is>
      </c>
      <c r="L87" s="23" t="inlineStr"/>
      <c r="M87" s="23" t="inlineStr">
        <is>
          <t>Contractor Programme Cycle 2</t>
        </is>
      </c>
      <c r="N87" s="23" t="inlineStr">
        <is>
          <t>Rev 1</t>
        </is>
      </c>
      <c r="O87" s="23" t="inlineStr">
        <is>
          <t>R116-v2</t>
        </is>
      </c>
      <c r="P87" s="23" t="inlineStr"/>
      <c r="Q87" s="23" t="inlineStr"/>
      <c r="R87" s="23" t="inlineStr"/>
      <c r="S87" s="23" t="inlineStr"/>
      <c r="T87" s="23" t="inlineStr"/>
      <c r="U87" s="23" t="inlineStr"/>
      <c r="V87" s="23" t="inlineStr">
        <is>
          <t>WBS Code = 1.1.1</t>
        </is>
      </c>
      <c r="W87" s="23" t="inlineStr"/>
    </row>
    <row r="88" ht="64" customHeight="1">
      <c r="A88" s="23" t="inlineStr">
        <is>
          <t>1.1.1</t>
        </is>
      </c>
      <c r="B88" s="23" t="inlineStr">
        <is>
          <t>Guideway and Civil - Guideway Structures</t>
        </is>
      </c>
      <c r="C88" s="23" t="inlineStr">
        <is>
          <t>Contractor Programme</t>
        </is>
      </c>
      <c r="D88" s="23" t="inlineStr">
        <is>
          <t>SCH-01-118</t>
        </is>
      </c>
      <c r="E88" s="23" t="inlineStr">
        <is>
          <t>East portal: retaining-wall excavation - turnover</t>
        </is>
      </c>
      <c r="F88" s="23" t="inlineStr">
        <is>
          <t>ONE_TO_ONE</t>
        </is>
      </c>
      <c r="G88" s="23" t="inlineStr">
        <is>
          <t>RETAINED</t>
        </is>
      </c>
      <c r="H88" s="23" t="inlineStr">
        <is>
          <t>Carried forward</t>
        </is>
      </c>
      <c r="I88" s="23" t="inlineStr">
        <is>
          <t>Source assignment -- not individually reviewed</t>
        </is>
      </c>
      <c r="J88" s="23" t="inlineStr"/>
      <c r="K88" s="23" t="inlineStr">
        <is>
          <t>Source assignment</t>
        </is>
      </c>
      <c r="L88" s="23" t="inlineStr"/>
      <c r="M88" s="23" t="inlineStr">
        <is>
          <t>Contractor Programme Cycle 2</t>
        </is>
      </c>
      <c r="N88" s="23" t="inlineStr">
        <is>
          <t>Rev 1</t>
        </is>
      </c>
      <c r="O88" s="23" t="inlineStr">
        <is>
          <t>R118-v2</t>
        </is>
      </c>
      <c r="P88" s="23" t="inlineStr"/>
      <c r="Q88" s="23" t="inlineStr"/>
      <c r="R88" s="23" t="inlineStr"/>
      <c r="S88" s="23" t="inlineStr"/>
      <c r="T88" s="23" t="inlineStr"/>
      <c r="U88" s="23" t="inlineStr"/>
      <c r="V88" s="23" t="inlineStr">
        <is>
          <t>WBS Code = 1.1.1</t>
        </is>
      </c>
      <c r="W88" s="23" t="inlineStr"/>
    </row>
    <row r="89" ht="64" customHeight="1">
      <c r="A89" s="23" t="inlineStr">
        <is>
          <t>1.1.1</t>
        </is>
      </c>
      <c r="B89" s="23" t="inlineStr">
        <is>
          <t>Guideway and Civil - Guideway Structures</t>
        </is>
      </c>
      <c r="C89" s="23" t="inlineStr">
        <is>
          <t>Contractor Programme</t>
        </is>
      </c>
      <c r="D89" s="23" t="inlineStr">
        <is>
          <t>SCH-01-119</t>
        </is>
      </c>
      <c r="E89" s="23" t="inlineStr">
        <is>
          <t>River crossing: drainage tie-in - release</t>
        </is>
      </c>
      <c r="F89" s="23" t="inlineStr">
        <is>
          <t>ONE_TO_ONE</t>
        </is>
      </c>
      <c r="G89" s="23" t="inlineStr">
        <is>
          <t>RETAINED</t>
        </is>
      </c>
      <c r="H89" s="23" t="inlineStr">
        <is>
          <t>Carried forward</t>
        </is>
      </c>
      <c r="I89" s="23" t="inlineStr">
        <is>
          <t>Source assignment -- not individually reviewed</t>
        </is>
      </c>
      <c r="J89" s="23" t="inlineStr"/>
      <c r="K89" s="23" t="inlineStr">
        <is>
          <t>Source assignment</t>
        </is>
      </c>
      <c r="L89" s="23" t="inlineStr"/>
      <c r="M89" s="23" t="inlineStr">
        <is>
          <t>Contractor Programme Cycle 2</t>
        </is>
      </c>
      <c r="N89" s="23" t="inlineStr">
        <is>
          <t>Rev 1</t>
        </is>
      </c>
      <c r="O89" s="23" t="inlineStr">
        <is>
          <t>R119-v2</t>
        </is>
      </c>
      <c r="P89" s="23" t="inlineStr"/>
      <c r="Q89" s="23" t="inlineStr"/>
      <c r="R89" s="23" t="inlineStr"/>
      <c r="S89" s="23" t="inlineStr"/>
      <c r="T89" s="23" t="inlineStr"/>
      <c r="U89" s="23" t="inlineStr"/>
      <c r="V89" s="23" t="inlineStr">
        <is>
          <t>WBS Code = 1.1.1</t>
        </is>
      </c>
      <c r="W89" s="23" t="inlineStr"/>
    </row>
    <row r="90" ht="64" customHeight="1">
      <c r="A90" s="23" t="inlineStr">
        <is>
          <t>1.1.1</t>
        </is>
      </c>
      <c r="B90" s="23" t="inlineStr">
        <is>
          <t>Guideway and Civil - Guideway Structures</t>
        </is>
      </c>
      <c r="C90" s="23" t="inlineStr">
        <is>
          <t>Contractor Programme</t>
        </is>
      </c>
      <c r="D90" s="23" t="inlineStr">
        <is>
          <t>SCH-01-121</t>
        </is>
      </c>
      <c r="E90" s="23" t="inlineStr">
        <is>
          <t>West approach: track-slab survey - installation</t>
        </is>
      </c>
      <c r="F90" s="23" t="inlineStr">
        <is>
          <t>ONE_TO_ONE</t>
        </is>
      </c>
      <c r="G90" s="23" t="inlineStr">
        <is>
          <t>RETAINED</t>
        </is>
      </c>
      <c r="H90" s="23" t="inlineStr">
        <is>
          <t>Carried forward</t>
        </is>
      </c>
      <c r="I90" s="23" t="inlineStr">
        <is>
          <t>Source assignment -- not individually reviewed</t>
        </is>
      </c>
      <c r="J90" s="23" t="inlineStr"/>
      <c r="K90" s="23" t="inlineStr">
        <is>
          <t>Source assignment</t>
        </is>
      </c>
      <c r="L90" s="23" t="inlineStr"/>
      <c r="M90" s="23" t="inlineStr">
        <is>
          <t>Contractor Programme Cycle 2</t>
        </is>
      </c>
      <c r="N90" s="23" t="inlineStr">
        <is>
          <t>Rev 1</t>
        </is>
      </c>
      <c r="O90" s="23" t="inlineStr">
        <is>
          <t>R121-v2</t>
        </is>
      </c>
      <c r="P90" s="23" t="inlineStr"/>
      <c r="Q90" s="23" t="inlineStr"/>
      <c r="R90" s="23" t="inlineStr"/>
      <c r="S90" s="23" t="inlineStr"/>
      <c r="T90" s="23" t="inlineStr"/>
      <c r="U90" s="23" t="inlineStr"/>
      <c r="V90" s="23" t="inlineStr">
        <is>
          <t>WBS Code = 1.1.1</t>
        </is>
      </c>
      <c r="W90" s="23" t="inlineStr"/>
    </row>
    <row r="91" ht="64" customHeight="1">
      <c r="A91" s="23" t="inlineStr">
        <is>
          <t>1.1.1</t>
        </is>
      </c>
      <c r="B91" s="23" t="inlineStr">
        <is>
          <t>Guideway and Civil - Guideway Structures</t>
        </is>
      </c>
      <c r="C91" s="23" t="inlineStr">
        <is>
          <t>Contractor Programme</t>
        </is>
      </c>
      <c r="D91" s="23" t="inlineStr">
        <is>
          <t>SCH-01-122</t>
        </is>
      </c>
      <c r="E91" s="23" t="inlineStr">
        <is>
          <t>Depot lead: temporary traffic staging - inspection</t>
        </is>
      </c>
      <c r="F91" s="23" t="inlineStr">
        <is>
          <t>ONE_TO_ONE</t>
        </is>
      </c>
      <c r="G91" s="23" t="inlineStr">
        <is>
          <t>RETAINED</t>
        </is>
      </c>
      <c r="H91" s="23" t="inlineStr">
        <is>
          <t>Carried forward</t>
        </is>
      </c>
      <c r="I91" s="23" t="inlineStr">
        <is>
          <t>Source assignment -- not individually reviewed</t>
        </is>
      </c>
      <c r="J91" s="23" t="inlineStr"/>
      <c r="K91" s="23" t="inlineStr">
        <is>
          <t>Source assignment</t>
        </is>
      </c>
      <c r="L91" s="23" t="inlineStr"/>
      <c r="M91" s="23" t="inlineStr">
        <is>
          <t>Contractor Programme Cycle 2</t>
        </is>
      </c>
      <c r="N91" s="23" t="inlineStr">
        <is>
          <t>Rev 1</t>
        </is>
      </c>
      <c r="O91" s="23" t="inlineStr">
        <is>
          <t>R122-v2</t>
        </is>
      </c>
      <c r="P91" s="23" t="inlineStr"/>
      <c r="Q91" s="23" t="inlineStr"/>
      <c r="R91" s="23" t="inlineStr"/>
      <c r="S91" s="23" t="inlineStr"/>
      <c r="T91" s="23" t="inlineStr"/>
      <c r="U91" s="23" t="inlineStr"/>
      <c r="V91" s="23" t="inlineStr">
        <is>
          <t>WBS Code = 1.1.1</t>
        </is>
      </c>
      <c r="W91" s="23" t="inlineStr"/>
    </row>
    <row r="92" ht="64" customHeight="1">
      <c r="A92" s="23" t="inlineStr">
        <is>
          <t>1.1.1</t>
        </is>
      </c>
      <c r="B92" s="23" t="inlineStr">
        <is>
          <t>Guideway and Civil - Guideway Structures</t>
        </is>
      </c>
      <c r="C92" s="23" t="inlineStr">
        <is>
          <t>Contractor Programme</t>
        </is>
      </c>
      <c r="D92" s="23" t="inlineStr">
        <is>
          <t>SCH-01-124</t>
        </is>
      </c>
      <c r="E92" s="23" t="inlineStr">
        <is>
          <t>River crossing: road restoration - release</t>
        </is>
      </c>
      <c r="F92" s="23" t="inlineStr">
        <is>
          <t>ONE_TO_ONE</t>
        </is>
      </c>
      <c r="G92" s="23" t="inlineStr">
        <is>
          <t>RETAINED</t>
        </is>
      </c>
      <c r="H92" s="23" t="inlineStr">
        <is>
          <t>Carried forward</t>
        </is>
      </c>
      <c r="I92" s="23" t="inlineStr">
        <is>
          <t>Source assignment -- not individually reviewed</t>
        </is>
      </c>
      <c r="J92" s="23" t="inlineStr"/>
      <c r="K92" s="23" t="inlineStr">
        <is>
          <t>Source assignment</t>
        </is>
      </c>
      <c r="L92" s="23" t="inlineStr"/>
      <c r="M92" s="23" t="inlineStr">
        <is>
          <t>Contractor Programme Cycle 2</t>
        </is>
      </c>
      <c r="N92" s="23" t="inlineStr">
        <is>
          <t>Rev 1</t>
        </is>
      </c>
      <c r="O92" s="23" t="inlineStr">
        <is>
          <t>R124-v2</t>
        </is>
      </c>
      <c r="P92" s="23" t="inlineStr"/>
      <c r="Q92" s="23" t="inlineStr"/>
      <c r="R92" s="23" t="inlineStr"/>
      <c r="S92" s="23" t="inlineStr"/>
      <c r="T92" s="23" t="inlineStr"/>
      <c r="U92" s="23" t="inlineStr"/>
      <c r="V92" s="23" t="inlineStr">
        <is>
          <t>WBS Code = 1.1.1</t>
        </is>
      </c>
      <c r="W92" s="23" t="inlineStr"/>
    </row>
    <row r="93" ht="64" customHeight="1">
      <c r="A93" s="23" t="inlineStr">
        <is>
          <t>1.1.1</t>
        </is>
      </c>
      <c r="B93" s="23" t="inlineStr">
        <is>
          <t>Guideway and Civil - Guideway Structures</t>
        </is>
      </c>
      <c r="C93" s="23" t="inlineStr">
        <is>
          <t>Contractor Programme</t>
        </is>
      </c>
      <c r="D93" s="23" t="inlineStr">
        <is>
          <t>SCH-01-125</t>
        </is>
      </c>
      <c r="E93" s="23" t="inlineStr">
        <is>
          <t>Central guideway: drilled-shaft installation - field start</t>
        </is>
      </c>
      <c r="F93" s="23" t="inlineStr">
        <is>
          <t>ONE_TO_ONE</t>
        </is>
      </c>
      <c r="G93" s="23" t="inlineStr">
        <is>
          <t>RETAINED</t>
        </is>
      </c>
      <c r="H93" s="23" t="inlineStr">
        <is>
          <t>Carried forward</t>
        </is>
      </c>
      <c r="I93" s="23" t="inlineStr">
        <is>
          <t>Source assignment -- not individually reviewed</t>
        </is>
      </c>
      <c r="J93" s="23" t="inlineStr"/>
      <c r="K93" s="23" t="inlineStr">
        <is>
          <t>Source assignment</t>
        </is>
      </c>
      <c r="L93" s="23" t="inlineStr"/>
      <c r="M93" s="23" t="inlineStr">
        <is>
          <t>Contractor Programme Cycle 2</t>
        </is>
      </c>
      <c r="N93" s="23" t="inlineStr">
        <is>
          <t>Rev 1</t>
        </is>
      </c>
      <c r="O93" s="23" t="inlineStr">
        <is>
          <t>R125-v2</t>
        </is>
      </c>
      <c r="P93" s="23" t="inlineStr"/>
      <c r="Q93" s="23" t="inlineStr"/>
      <c r="R93" s="23" t="inlineStr"/>
      <c r="S93" s="23" t="inlineStr"/>
      <c r="T93" s="23" t="inlineStr"/>
      <c r="U93" s="23" t="inlineStr"/>
      <c r="V93" s="23" t="inlineStr">
        <is>
          <t>WBS Code = 1.1.1</t>
        </is>
      </c>
      <c r="W93" s="23" t="inlineStr"/>
    </row>
    <row r="94" ht="64" customHeight="1">
      <c r="A94" s="23" t="inlineStr">
        <is>
          <t>1.1.1</t>
        </is>
      </c>
      <c r="B94" s="23" t="inlineStr">
        <is>
          <t>Guideway and Civil - Guideway Structures</t>
        </is>
      </c>
      <c r="C94" s="23" t="inlineStr">
        <is>
          <t>Contractor Programme</t>
        </is>
      </c>
      <c r="D94" s="23" t="inlineStr">
        <is>
          <t>SCH-01-127</t>
        </is>
      </c>
      <c r="E94" s="23" t="inlineStr">
        <is>
          <t>Depot lead: drainage tie-in - inspection</t>
        </is>
      </c>
      <c r="F94" s="23" t="inlineStr">
        <is>
          <t>ONE_TO_ONE</t>
        </is>
      </c>
      <c r="G94" s="23" t="inlineStr">
        <is>
          <t>RETAINED</t>
        </is>
      </c>
      <c r="H94" s="23" t="inlineStr">
        <is>
          <t>Carried forward</t>
        </is>
      </c>
      <c r="I94" s="23" t="inlineStr">
        <is>
          <t>Source assignment -- not individually reviewed</t>
        </is>
      </c>
      <c r="J94" s="23" t="inlineStr"/>
      <c r="K94" s="23" t="inlineStr">
        <is>
          <t>Source assignment</t>
        </is>
      </c>
      <c r="L94" s="23" t="inlineStr"/>
      <c r="M94" s="23" t="inlineStr">
        <is>
          <t>Contractor Programme Cycle 2</t>
        </is>
      </c>
      <c r="N94" s="23" t="inlineStr">
        <is>
          <t>Rev 1</t>
        </is>
      </c>
      <c r="O94" s="23" t="inlineStr">
        <is>
          <t>R127-v2</t>
        </is>
      </c>
      <c r="P94" s="23" t="inlineStr"/>
      <c r="Q94" s="23" t="inlineStr"/>
      <c r="R94" s="23" t="inlineStr"/>
      <c r="S94" s="23" t="inlineStr"/>
      <c r="T94" s="23" t="inlineStr"/>
      <c r="U94" s="23" t="inlineStr"/>
      <c r="V94" s="23" t="inlineStr">
        <is>
          <t>WBS Code = 1.1.1</t>
        </is>
      </c>
      <c r="W94" s="23" t="inlineStr"/>
    </row>
    <row r="95" ht="64" customHeight="1">
      <c r="A95" s="23" t="inlineStr">
        <is>
          <t>1.1.1</t>
        </is>
      </c>
      <c r="B95" s="23" t="inlineStr">
        <is>
          <t>Guideway and Civil - Guideway Structures</t>
        </is>
      </c>
      <c r="C95" s="23" t="inlineStr">
        <is>
          <t>Contractor Programme</t>
        </is>
      </c>
      <c r="D95" s="23" t="inlineStr">
        <is>
          <t>SCH-01-128</t>
        </is>
      </c>
      <c r="E95" s="23" t="inlineStr">
        <is>
          <t>East portal: utility relocation - turnover</t>
        </is>
      </c>
      <c r="F95" s="23" t="inlineStr">
        <is>
          <t>ONE_TO_ONE</t>
        </is>
      </c>
      <c r="G95" s="23" t="inlineStr">
        <is>
          <t>RETAINED</t>
        </is>
      </c>
      <c r="H95" s="23" t="inlineStr">
        <is>
          <t>Carried forward</t>
        </is>
      </c>
      <c r="I95" s="23" t="inlineStr">
        <is>
          <t>Source assignment -- not individually reviewed</t>
        </is>
      </c>
      <c r="J95" s="23" t="inlineStr"/>
      <c r="K95" s="23" t="inlineStr">
        <is>
          <t>Source assignment</t>
        </is>
      </c>
      <c r="L95" s="23" t="inlineStr"/>
      <c r="M95" s="23" t="inlineStr">
        <is>
          <t>Contractor Programme Cycle 2</t>
        </is>
      </c>
      <c r="N95" s="23" t="inlineStr">
        <is>
          <t>Rev 1</t>
        </is>
      </c>
      <c r="O95" s="23" t="inlineStr">
        <is>
          <t>R128-v2</t>
        </is>
      </c>
      <c r="P95" s="23" t="inlineStr"/>
      <c r="Q95" s="23" t="inlineStr"/>
      <c r="R95" s="23" t="inlineStr"/>
      <c r="S95" s="23" t="inlineStr"/>
      <c r="T95" s="23" t="inlineStr"/>
      <c r="U95" s="23" t="inlineStr"/>
      <c r="V95" s="23" t="inlineStr">
        <is>
          <t>WBS Code = 1.1.1</t>
        </is>
      </c>
      <c r="W95" s="23" t="inlineStr"/>
    </row>
    <row r="96" ht="64" customHeight="1">
      <c r="A96" s="23" t="inlineStr">
        <is>
          <t>1.1.1</t>
        </is>
      </c>
      <c r="B96" s="23" t="inlineStr">
        <is>
          <t>Guideway and Civil - Guideway Structures</t>
        </is>
      </c>
      <c r="C96" s="23" t="inlineStr">
        <is>
          <t>Contractor Programme</t>
        </is>
      </c>
      <c r="D96" s="23" t="inlineStr">
        <is>
          <t>SCH-01-130</t>
        </is>
      </c>
      <c r="E96" s="23" t="inlineStr">
        <is>
          <t>Central guideway: temporary traffic staging - field start</t>
        </is>
      </c>
      <c r="F96" s="23" t="inlineStr">
        <is>
          <t>ONE_TO_ONE</t>
        </is>
      </c>
      <c r="G96" s="23" t="inlineStr">
        <is>
          <t>RETAINED</t>
        </is>
      </c>
      <c r="H96" s="23" t="inlineStr">
        <is>
          <t>Carried forward</t>
        </is>
      </c>
      <c r="I96" s="23" t="inlineStr">
        <is>
          <t>Source assignment -- not individually reviewed</t>
        </is>
      </c>
      <c r="J96" s="23" t="inlineStr"/>
      <c r="K96" s="23" t="inlineStr">
        <is>
          <t>Source assignment</t>
        </is>
      </c>
      <c r="L96" s="23" t="inlineStr"/>
      <c r="M96" s="23" t="inlineStr">
        <is>
          <t>Contractor Programme Cycle 2</t>
        </is>
      </c>
      <c r="N96" s="23" t="inlineStr">
        <is>
          <t>Rev 1</t>
        </is>
      </c>
      <c r="O96" s="23" t="inlineStr">
        <is>
          <t>R130-v2</t>
        </is>
      </c>
      <c r="P96" s="23" t="inlineStr"/>
      <c r="Q96" s="23" t="inlineStr"/>
      <c r="R96" s="23" t="inlineStr"/>
      <c r="S96" s="23" t="inlineStr"/>
      <c r="T96" s="23" t="inlineStr"/>
      <c r="U96" s="23" t="inlineStr"/>
      <c r="V96" s="23" t="inlineStr">
        <is>
          <t>WBS Code = 1.1.1</t>
        </is>
      </c>
      <c r="W96" s="23" t="inlineStr"/>
    </row>
    <row r="97" ht="64" customHeight="1">
      <c r="A97" s="23" t="inlineStr">
        <is>
          <t>1.1.1</t>
        </is>
      </c>
      <c r="B97" s="23" t="inlineStr">
        <is>
          <t>Guideway and Civil - Guideway Structures</t>
        </is>
      </c>
      <c r="C97" s="23" t="inlineStr">
        <is>
          <t>Contractor Programme</t>
        </is>
      </c>
      <c r="D97" s="23" t="inlineStr">
        <is>
          <t>SCH-01-131</t>
        </is>
      </c>
      <c r="E97" s="23" t="inlineStr">
        <is>
          <t>West approach: guideway pier reinforcement - installation</t>
        </is>
      </c>
      <c r="F97" s="23" t="inlineStr">
        <is>
          <t>ONE_TO_ONE</t>
        </is>
      </c>
      <c r="G97" s="23" t="inlineStr">
        <is>
          <t>RETAINED</t>
        </is>
      </c>
      <c r="H97" s="23" t="inlineStr">
        <is>
          <t>Carried forward</t>
        </is>
      </c>
      <c r="I97" s="23" t="inlineStr">
        <is>
          <t>Source assignment -- not individually reviewed</t>
        </is>
      </c>
      <c r="J97" s="23" t="inlineStr"/>
      <c r="K97" s="23" t="inlineStr">
        <is>
          <t>Source assignment</t>
        </is>
      </c>
      <c r="L97" s="23" t="inlineStr"/>
      <c r="M97" s="23" t="inlineStr">
        <is>
          <t>Contractor Programme Cycle 2</t>
        </is>
      </c>
      <c r="N97" s="23" t="inlineStr">
        <is>
          <t>Rev 1</t>
        </is>
      </c>
      <c r="O97" s="23" t="inlineStr">
        <is>
          <t>R131-v2</t>
        </is>
      </c>
      <c r="P97" s="23" t="inlineStr"/>
      <c r="Q97" s="23" t="inlineStr"/>
      <c r="R97" s="23" t="inlineStr"/>
      <c r="S97" s="23" t="inlineStr"/>
      <c r="T97" s="23" t="inlineStr"/>
      <c r="U97" s="23" t="inlineStr"/>
      <c r="V97" s="23" t="inlineStr">
        <is>
          <t>WBS Code = 1.1.1</t>
        </is>
      </c>
      <c r="W97" s="23" t="inlineStr"/>
    </row>
    <row r="98" ht="64" customHeight="1">
      <c r="A98" s="23" t="inlineStr">
        <is>
          <t>1.1.1</t>
        </is>
      </c>
      <c r="B98" s="23" t="inlineStr">
        <is>
          <t>Guideway and Civil - Guideway Structures</t>
        </is>
      </c>
      <c r="C98" s="23" t="inlineStr">
        <is>
          <t>Contractor Programme</t>
        </is>
      </c>
      <c r="D98" s="23" t="inlineStr">
        <is>
          <t>SCH-01-133</t>
        </is>
      </c>
      <c r="E98" s="23" t="inlineStr">
        <is>
          <t>East portal: drilled-shaft installation - turnover</t>
        </is>
      </c>
      <c r="F98" s="23" t="inlineStr">
        <is>
          <t>ONE_TO_ONE</t>
        </is>
      </c>
      <c r="G98" s="23" t="inlineStr">
        <is>
          <t>RETAINED</t>
        </is>
      </c>
      <c r="H98" s="23" t="inlineStr">
        <is>
          <t>Carried forward</t>
        </is>
      </c>
      <c r="I98" s="23" t="inlineStr">
        <is>
          <t>Source assignment -- not individually reviewed</t>
        </is>
      </c>
      <c r="J98" s="23" t="inlineStr"/>
      <c r="K98" s="23" t="inlineStr">
        <is>
          <t>Source assignment</t>
        </is>
      </c>
      <c r="L98" s="23" t="inlineStr"/>
      <c r="M98" s="23" t="inlineStr">
        <is>
          <t>Contractor Programme Cycle 2</t>
        </is>
      </c>
      <c r="N98" s="23" t="inlineStr">
        <is>
          <t>Rev 1</t>
        </is>
      </c>
      <c r="O98" s="23" t="inlineStr">
        <is>
          <t>R133-v2</t>
        </is>
      </c>
      <c r="P98" s="23" t="inlineStr"/>
      <c r="Q98" s="23" t="inlineStr"/>
      <c r="R98" s="23" t="inlineStr"/>
      <c r="S98" s="23" t="inlineStr"/>
      <c r="T98" s="23" t="inlineStr"/>
      <c r="U98" s="23" t="inlineStr"/>
      <c r="V98" s="23" t="inlineStr">
        <is>
          <t>WBS Code = 1.1.1</t>
        </is>
      </c>
      <c r="W98" s="23" t="inlineStr"/>
    </row>
    <row r="99" ht="64" customHeight="1">
      <c r="A99" s="23" t="inlineStr">
        <is>
          <t>1.1.1</t>
        </is>
      </c>
      <c r="B99" s="23" t="inlineStr">
        <is>
          <t>Guideway and Civil - Guideway Structures</t>
        </is>
      </c>
      <c r="C99" s="23" t="inlineStr">
        <is>
          <t>Contractor Programme</t>
        </is>
      </c>
      <c r="D99" s="23" t="inlineStr">
        <is>
          <t>SCH-01-134</t>
        </is>
      </c>
      <c r="E99" s="23" t="inlineStr">
        <is>
          <t>River crossing: retaining-wall excavation - release</t>
        </is>
      </c>
      <c r="F99" s="23" t="inlineStr">
        <is>
          <t>ONE_TO_ONE</t>
        </is>
      </c>
      <c r="G99" s="23" t="inlineStr">
        <is>
          <t>RETAINED</t>
        </is>
      </c>
      <c r="H99" s="23" t="inlineStr">
        <is>
          <t>Carried forward</t>
        </is>
      </c>
      <c r="I99" s="23" t="inlineStr">
        <is>
          <t>Source assignment -- not individually reviewed</t>
        </is>
      </c>
      <c r="J99" s="23" t="inlineStr"/>
      <c r="K99" s="23" t="inlineStr">
        <is>
          <t>Source assignment</t>
        </is>
      </c>
      <c r="L99" s="23" t="inlineStr"/>
      <c r="M99" s="23" t="inlineStr">
        <is>
          <t>Contractor Programme Cycle 2</t>
        </is>
      </c>
      <c r="N99" s="23" t="inlineStr">
        <is>
          <t>Rev 1</t>
        </is>
      </c>
      <c r="O99" s="23" t="inlineStr">
        <is>
          <t>R134-v2</t>
        </is>
      </c>
      <c r="P99" s="23" t="inlineStr"/>
      <c r="Q99" s="23" t="inlineStr"/>
      <c r="R99" s="23" t="inlineStr"/>
      <c r="S99" s="23" t="inlineStr"/>
      <c r="T99" s="23" t="inlineStr"/>
      <c r="U99" s="23" t="inlineStr"/>
      <c r="V99" s="23" t="inlineStr">
        <is>
          <t>WBS Code = 1.1.1</t>
        </is>
      </c>
      <c r="W99" s="23" t="inlineStr"/>
    </row>
    <row r="100" ht="64" customHeight="1">
      <c r="A100" s="23" t="inlineStr">
        <is>
          <t>1.1.1</t>
        </is>
      </c>
      <c r="B100" s="23" t="inlineStr">
        <is>
          <t>Guideway and Civil - Guideway Structures</t>
        </is>
      </c>
      <c r="C100" s="23" t="inlineStr">
        <is>
          <t>Contractor Programme</t>
        </is>
      </c>
      <c r="D100" s="23" t="inlineStr">
        <is>
          <t>SCH-01-136</t>
        </is>
      </c>
      <c r="E100" s="23" t="inlineStr">
        <is>
          <t>West approach: utility relocation - installation</t>
        </is>
      </c>
      <c r="F100" s="23" t="inlineStr">
        <is>
          <t>ONE_TO_ONE</t>
        </is>
      </c>
      <c r="G100" s="23" t="inlineStr">
        <is>
          <t>RETAINED</t>
        </is>
      </c>
      <c r="H100" s="23" t="inlineStr">
        <is>
          <t>Carried forward</t>
        </is>
      </c>
      <c r="I100" s="23" t="inlineStr">
        <is>
          <t>Source assignment -- not individually reviewed</t>
        </is>
      </c>
      <c r="J100" s="23" t="inlineStr"/>
      <c r="K100" s="23" t="inlineStr">
        <is>
          <t>Source assignment</t>
        </is>
      </c>
      <c r="L100" s="23" t="inlineStr"/>
      <c r="M100" s="23" t="inlineStr">
        <is>
          <t>Contractor Programme Cycle 2</t>
        </is>
      </c>
      <c r="N100" s="23" t="inlineStr">
        <is>
          <t>Rev 1</t>
        </is>
      </c>
      <c r="O100" s="23" t="inlineStr">
        <is>
          <t>R136-v2</t>
        </is>
      </c>
      <c r="P100" s="23" t="inlineStr"/>
      <c r="Q100" s="23" t="inlineStr"/>
      <c r="R100" s="23" t="inlineStr"/>
      <c r="S100" s="23" t="inlineStr"/>
      <c r="T100" s="23" t="inlineStr"/>
      <c r="U100" s="23" t="inlineStr"/>
      <c r="V100" s="23" t="inlineStr">
        <is>
          <t>WBS Code = 1.1.1</t>
        </is>
      </c>
      <c r="W100" s="23" t="inlineStr"/>
    </row>
    <row r="101" ht="64" customHeight="1">
      <c r="A101" s="23" t="inlineStr">
        <is>
          <t>1.1.1</t>
        </is>
      </c>
      <c r="B101" s="23" t="inlineStr">
        <is>
          <t>Guideway and Civil - Guideway Structures</t>
        </is>
      </c>
      <c r="C101" s="23" t="inlineStr">
        <is>
          <t>Contractor Programme</t>
        </is>
      </c>
      <c r="D101" s="23" t="inlineStr">
        <is>
          <t>SCH-01-137</t>
        </is>
      </c>
      <c r="E101" s="23" t="inlineStr">
        <is>
          <t>Depot lead: track-slab survey - inspection</t>
        </is>
      </c>
      <c r="F101" s="23" t="inlineStr">
        <is>
          <t>ONE_TO_ONE</t>
        </is>
      </c>
      <c r="G101" s="23" t="inlineStr">
        <is>
          <t>RETAINED</t>
        </is>
      </c>
      <c r="H101" s="23" t="inlineStr">
        <is>
          <t>Carried forward</t>
        </is>
      </c>
      <c r="I101" s="23" t="inlineStr">
        <is>
          <t>Source assignment -- not individually reviewed</t>
        </is>
      </c>
      <c r="J101" s="23" t="inlineStr"/>
      <c r="K101" s="23" t="inlineStr">
        <is>
          <t>Source assignment</t>
        </is>
      </c>
      <c r="L101" s="23" t="inlineStr"/>
      <c r="M101" s="23" t="inlineStr">
        <is>
          <t>Contractor Programme Cycle 2</t>
        </is>
      </c>
      <c r="N101" s="23" t="inlineStr">
        <is>
          <t>Rev 1</t>
        </is>
      </c>
      <c r="O101" s="23" t="inlineStr">
        <is>
          <t>R137-v2</t>
        </is>
      </c>
      <c r="P101" s="23" t="inlineStr"/>
      <c r="Q101" s="23" t="inlineStr"/>
      <c r="R101" s="23" t="inlineStr"/>
      <c r="S101" s="23" t="inlineStr"/>
      <c r="T101" s="23" t="inlineStr"/>
      <c r="U101" s="23" t="inlineStr"/>
      <c r="V101" s="23" t="inlineStr">
        <is>
          <t>WBS Code = 1.1.1</t>
        </is>
      </c>
      <c r="W101" s="23" t="inlineStr"/>
    </row>
    <row r="102" ht="64" customHeight="1">
      <c r="A102" s="23" t="inlineStr">
        <is>
          <t>1.1.1</t>
        </is>
      </c>
      <c r="B102" s="23" t="inlineStr">
        <is>
          <t>Guideway and Civil - Guideway Structures</t>
        </is>
      </c>
      <c r="C102" s="23" t="inlineStr">
        <is>
          <t>Contractor Programme</t>
        </is>
      </c>
      <c r="D102" s="23" t="inlineStr">
        <is>
          <t>SCH-01-139</t>
        </is>
      </c>
      <c r="E102" s="23" t="inlineStr">
        <is>
          <t>River crossing: guideway pier reinforcement - release</t>
        </is>
      </c>
      <c r="F102" s="23" t="inlineStr">
        <is>
          <t>ONE_TO_ONE</t>
        </is>
      </c>
      <c r="G102" s="23" t="inlineStr">
        <is>
          <t>RETAINED</t>
        </is>
      </c>
      <c r="H102" s="23" t="inlineStr">
        <is>
          <t>Carried forward</t>
        </is>
      </c>
      <c r="I102" s="23" t="inlineStr">
        <is>
          <t>Source assignment -- not individually reviewed</t>
        </is>
      </c>
      <c r="J102" s="23" t="inlineStr"/>
      <c r="K102" s="23" t="inlineStr">
        <is>
          <t>Source assignment</t>
        </is>
      </c>
      <c r="L102" s="23" t="inlineStr"/>
      <c r="M102" s="23" t="inlineStr">
        <is>
          <t>Contractor Programme Cycle 2</t>
        </is>
      </c>
      <c r="N102" s="23" t="inlineStr">
        <is>
          <t>Rev 1</t>
        </is>
      </c>
      <c r="O102" s="23" t="inlineStr">
        <is>
          <t>R139-v2</t>
        </is>
      </c>
      <c r="P102" s="23" t="inlineStr"/>
      <c r="Q102" s="23" t="inlineStr"/>
      <c r="R102" s="23" t="inlineStr"/>
      <c r="S102" s="23" t="inlineStr"/>
      <c r="T102" s="23" t="inlineStr"/>
      <c r="U102" s="23" t="inlineStr"/>
      <c r="V102" s="23" t="inlineStr">
        <is>
          <t>WBS Code = 1.1.1</t>
        </is>
      </c>
      <c r="W102" s="23" t="inlineStr"/>
    </row>
    <row r="103" ht="64" customHeight="1">
      <c r="A103" s="23" t="inlineStr">
        <is>
          <t>1.1.1</t>
        </is>
      </c>
      <c r="B103" s="23" t="inlineStr">
        <is>
          <t>Guideway and Civil - Guideway Structures</t>
        </is>
      </c>
      <c r="C103" s="23" t="inlineStr">
        <is>
          <t>Contractor Programme</t>
        </is>
      </c>
      <c r="D103" s="23" t="inlineStr">
        <is>
          <t>SCH-01-140</t>
        </is>
      </c>
      <c r="E103" s="23" t="inlineStr">
        <is>
          <t>Central guideway: road restoration - field start</t>
        </is>
      </c>
      <c r="F103" s="23" t="inlineStr">
        <is>
          <t>ONE_TO_ONE</t>
        </is>
      </c>
      <c r="G103" s="23" t="inlineStr">
        <is>
          <t>RETAINED</t>
        </is>
      </c>
      <c r="H103" s="23" t="inlineStr">
        <is>
          <t>Carried forward</t>
        </is>
      </c>
      <c r="I103" s="23" t="inlineStr">
        <is>
          <t>Source assignment -- not individually reviewed</t>
        </is>
      </c>
      <c r="J103" s="23" t="inlineStr"/>
      <c r="K103" s="23" t="inlineStr">
        <is>
          <t>Source assignment</t>
        </is>
      </c>
      <c r="L103" s="23" t="inlineStr"/>
      <c r="M103" s="23" t="inlineStr">
        <is>
          <t>Contractor Programme Cycle 2</t>
        </is>
      </c>
      <c r="N103" s="23" t="inlineStr">
        <is>
          <t>Rev 1</t>
        </is>
      </c>
      <c r="O103" s="23" t="inlineStr">
        <is>
          <t>R140-v2</t>
        </is>
      </c>
      <c r="P103" s="23" t="inlineStr"/>
      <c r="Q103" s="23" t="inlineStr"/>
      <c r="R103" s="23" t="inlineStr"/>
      <c r="S103" s="23" t="inlineStr"/>
      <c r="T103" s="23" t="inlineStr"/>
      <c r="U103" s="23" t="inlineStr"/>
      <c r="V103" s="23" t="inlineStr">
        <is>
          <t>WBS Code = 1.1.1</t>
        </is>
      </c>
      <c r="W103" s="23" t="inlineStr"/>
    </row>
    <row r="104" ht="64" customHeight="1">
      <c r="A104" s="23" t="inlineStr">
        <is>
          <t>1.1.1</t>
        </is>
      </c>
      <c r="B104" s="23" t="inlineStr">
        <is>
          <t>Guideway and Civil - Guideway Structures</t>
        </is>
      </c>
      <c r="C104" s="23" t="inlineStr">
        <is>
          <t>Contractor Programme</t>
        </is>
      </c>
      <c r="D104" s="23" t="inlineStr">
        <is>
          <t>SCH-01-142</t>
        </is>
      </c>
      <c r="E104" s="23" t="inlineStr">
        <is>
          <t>Depot lead: retaining-wall excavation - inspection</t>
        </is>
      </c>
      <c r="F104" s="23" t="inlineStr">
        <is>
          <t>ONE_TO_ONE</t>
        </is>
      </c>
      <c r="G104" s="23" t="inlineStr">
        <is>
          <t>RETAINED</t>
        </is>
      </c>
      <c r="H104" s="23" t="inlineStr">
        <is>
          <t>Carried forward</t>
        </is>
      </c>
      <c r="I104" s="23" t="inlineStr">
        <is>
          <t>Source assignment -- not individually reviewed</t>
        </is>
      </c>
      <c r="J104" s="23" t="inlineStr"/>
      <c r="K104" s="23" t="inlineStr">
        <is>
          <t>Source assignment</t>
        </is>
      </c>
      <c r="L104" s="23" t="inlineStr"/>
      <c r="M104" s="23" t="inlineStr">
        <is>
          <t>Contractor Programme Cycle 2</t>
        </is>
      </c>
      <c r="N104" s="23" t="inlineStr">
        <is>
          <t>Rev 1</t>
        </is>
      </c>
      <c r="O104" s="23" t="inlineStr">
        <is>
          <t>R142-v2</t>
        </is>
      </c>
      <c r="P104" s="23" t="inlineStr"/>
      <c r="Q104" s="23" t="inlineStr"/>
      <c r="R104" s="23" t="inlineStr"/>
      <c r="S104" s="23" t="inlineStr"/>
      <c r="T104" s="23" t="inlineStr"/>
      <c r="U104" s="23" t="inlineStr"/>
      <c r="V104" s="23" t="inlineStr">
        <is>
          <t>WBS Code = 1.1.1</t>
        </is>
      </c>
      <c r="W104" s="23" t="inlineStr"/>
    </row>
    <row r="105" ht="64" customHeight="1">
      <c r="A105" s="23" t="inlineStr">
        <is>
          <t>1.1.1</t>
        </is>
      </c>
      <c r="B105" s="23" t="inlineStr">
        <is>
          <t>Guideway and Civil - Guideway Structures</t>
        </is>
      </c>
      <c r="C105" s="23" t="inlineStr">
        <is>
          <t>Contractor Programme</t>
        </is>
      </c>
      <c r="D105" s="23" t="inlineStr">
        <is>
          <t>SCH-01-143</t>
        </is>
      </c>
      <c r="E105" s="23" t="inlineStr">
        <is>
          <t>East portal: drainage tie-in - turnover</t>
        </is>
      </c>
      <c r="F105" s="23" t="inlineStr">
        <is>
          <t>ONE_TO_ONE</t>
        </is>
      </c>
      <c r="G105" s="23" t="inlineStr">
        <is>
          <t>RETAINED</t>
        </is>
      </c>
      <c r="H105" s="23" t="inlineStr">
        <is>
          <t>Carried forward</t>
        </is>
      </c>
      <c r="I105" s="23" t="inlineStr">
        <is>
          <t>Source assignment -- not individually reviewed</t>
        </is>
      </c>
      <c r="J105" s="23" t="inlineStr"/>
      <c r="K105" s="23" t="inlineStr">
        <is>
          <t>Source assignment</t>
        </is>
      </c>
      <c r="L105" s="23" t="inlineStr"/>
      <c r="M105" s="23" t="inlineStr">
        <is>
          <t>Contractor Programme Cycle 2</t>
        </is>
      </c>
      <c r="N105" s="23" t="inlineStr">
        <is>
          <t>Rev 1</t>
        </is>
      </c>
      <c r="O105" s="23" t="inlineStr">
        <is>
          <t>R143-v2</t>
        </is>
      </c>
      <c r="P105" s="23" t="inlineStr"/>
      <c r="Q105" s="23" t="inlineStr"/>
      <c r="R105" s="23" t="inlineStr"/>
      <c r="S105" s="23" t="inlineStr"/>
      <c r="T105" s="23" t="inlineStr"/>
      <c r="U105" s="23" t="inlineStr"/>
      <c r="V105" s="23" t="inlineStr">
        <is>
          <t>WBS Code = 1.1.1</t>
        </is>
      </c>
      <c r="W105" s="23" t="inlineStr"/>
    </row>
    <row r="106" ht="64" customHeight="1">
      <c r="A106" s="23" t="inlineStr">
        <is>
          <t>1.1.1</t>
        </is>
      </c>
      <c r="B106" s="23" t="inlineStr">
        <is>
          <t>Guideway and Civil - Guideway Structures</t>
        </is>
      </c>
      <c r="C106" s="23" t="inlineStr">
        <is>
          <t>Contractor Programme</t>
        </is>
      </c>
      <c r="D106" s="23" t="inlineStr">
        <is>
          <t>SCH-01-145</t>
        </is>
      </c>
      <c r="E106" s="23" t="inlineStr">
        <is>
          <t>Central guideway: track-slab survey - field start</t>
        </is>
      </c>
      <c r="F106" s="23" t="inlineStr">
        <is>
          <t>ONE_TO_ONE</t>
        </is>
      </c>
      <c r="G106" s="23" t="inlineStr">
        <is>
          <t>RETAINED</t>
        </is>
      </c>
      <c r="H106" s="23" t="inlineStr">
        <is>
          <t>Carried forward</t>
        </is>
      </c>
      <c r="I106" s="23" t="inlineStr">
        <is>
          <t>Source assignment -- not individually reviewed</t>
        </is>
      </c>
      <c r="J106" s="23" t="inlineStr"/>
      <c r="K106" s="23" t="inlineStr">
        <is>
          <t>Source assignment</t>
        </is>
      </c>
      <c r="L106" s="23" t="inlineStr"/>
      <c r="M106" s="23" t="inlineStr">
        <is>
          <t>Contractor Programme Cycle 2</t>
        </is>
      </c>
      <c r="N106" s="23" t="inlineStr">
        <is>
          <t>Rev 1</t>
        </is>
      </c>
      <c r="O106" s="23" t="inlineStr">
        <is>
          <t>R145-v2</t>
        </is>
      </c>
      <c r="P106" s="23" t="inlineStr"/>
      <c r="Q106" s="23" t="inlineStr"/>
      <c r="R106" s="23" t="inlineStr"/>
      <c r="S106" s="23" t="inlineStr"/>
      <c r="T106" s="23" t="inlineStr"/>
      <c r="U106" s="23" t="inlineStr"/>
      <c r="V106" s="23" t="inlineStr">
        <is>
          <t>WBS Code = 1.1.1</t>
        </is>
      </c>
      <c r="W106" s="23" t="inlineStr"/>
    </row>
    <row r="107" ht="64" customHeight="1">
      <c r="A107" s="23" t="inlineStr">
        <is>
          <t>1.1.1</t>
        </is>
      </c>
      <c r="B107" s="23" t="inlineStr">
        <is>
          <t>Guideway and Civil - Guideway Structures</t>
        </is>
      </c>
      <c r="C107" s="23" t="inlineStr">
        <is>
          <t>Contractor Programme</t>
        </is>
      </c>
      <c r="D107" s="23" t="inlineStr">
        <is>
          <t>SCH-01-146</t>
        </is>
      </c>
      <c r="E107" s="23" t="inlineStr">
        <is>
          <t>West approach: temporary traffic staging - installation</t>
        </is>
      </c>
      <c r="F107" s="23" t="inlineStr">
        <is>
          <t>ONE_TO_ONE</t>
        </is>
      </c>
      <c r="G107" s="23" t="inlineStr">
        <is>
          <t>RETAINED</t>
        </is>
      </c>
      <c r="H107" s="23" t="inlineStr">
        <is>
          <t>Carried forward</t>
        </is>
      </c>
      <c r="I107" s="23" t="inlineStr">
        <is>
          <t>Source assignment -- not individually reviewed</t>
        </is>
      </c>
      <c r="J107" s="23" t="inlineStr"/>
      <c r="K107" s="23" t="inlineStr">
        <is>
          <t>Source assignment</t>
        </is>
      </c>
      <c r="L107" s="23" t="inlineStr"/>
      <c r="M107" s="23" t="inlineStr">
        <is>
          <t>Contractor Programme Cycle 2</t>
        </is>
      </c>
      <c r="N107" s="23" t="inlineStr">
        <is>
          <t>Rev 1</t>
        </is>
      </c>
      <c r="O107" s="23" t="inlineStr">
        <is>
          <t>R146-v2</t>
        </is>
      </c>
      <c r="P107" s="23" t="inlineStr"/>
      <c r="Q107" s="23" t="inlineStr"/>
      <c r="R107" s="23" t="inlineStr"/>
      <c r="S107" s="23" t="inlineStr"/>
      <c r="T107" s="23" t="inlineStr"/>
      <c r="U107" s="23" t="inlineStr"/>
      <c r="V107" s="23" t="inlineStr">
        <is>
          <t>WBS Code = 1.1.1</t>
        </is>
      </c>
      <c r="W107" s="23" t="inlineStr"/>
    </row>
    <row r="108" ht="64" customHeight="1">
      <c r="A108" s="23" t="inlineStr">
        <is>
          <t>1.1.1</t>
        </is>
      </c>
      <c r="B108" s="23" t="inlineStr">
        <is>
          <t>Guideway and Civil - Guideway Structures</t>
        </is>
      </c>
      <c r="C108" s="23" t="inlineStr">
        <is>
          <t>Contractor Programme</t>
        </is>
      </c>
      <c r="D108" s="23" t="inlineStr">
        <is>
          <t>SCH-01-148</t>
        </is>
      </c>
      <c r="E108" s="23" t="inlineStr">
        <is>
          <t>East portal: road restoration - turnover</t>
        </is>
      </c>
      <c r="F108" s="23" t="inlineStr">
        <is>
          <t>ONE_TO_ONE</t>
        </is>
      </c>
      <c r="G108" s="23" t="inlineStr">
        <is>
          <t>RETAINED</t>
        </is>
      </c>
      <c r="H108" s="23" t="inlineStr">
        <is>
          <t>Carried forward</t>
        </is>
      </c>
      <c r="I108" s="23" t="inlineStr">
        <is>
          <t>Source assignment -- not individually reviewed</t>
        </is>
      </c>
      <c r="J108" s="23" t="inlineStr"/>
      <c r="K108" s="23" t="inlineStr">
        <is>
          <t>Source assignment</t>
        </is>
      </c>
      <c r="L108" s="23" t="inlineStr"/>
      <c r="M108" s="23" t="inlineStr">
        <is>
          <t>Contractor Programme Cycle 2</t>
        </is>
      </c>
      <c r="N108" s="23" t="inlineStr">
        <is>
          <t>Rev 1</t>
        </is>
      </c>
      <c r="O108" s="23" t="inlineStr">
        <is>
          <t>R148-v2</t>
        </is>
      </c>
      <c r="P108" s="23" t="inlineStr"/>
      <c r="Q108" s="23" t="inlineStr"/>
      <c r="R108" s="23" t="inlineStr"/>
      <c r="S108" s="23" t="inlineStr"/>
      <c r="T108" s="23" t="inlineStr"/>
      <c r="U108" s="23" t="inlineStr"/>
      <c r="V108" s="23" t="inlineStr">
        <is>
          <t>WBS Code = 1.1.1</t>
        </is>
      </c>
      <c r="W108" s="23" t="inlineStr"/>
    </row>
    <row r="109" ht="64" customHeight="1">
      <c r="A109" s="23" t="inlineStr">
        <is>
          <t>1.1.1</t>
        </is>
      </c>
      <c r="B109" s="23" t="inlineStr">
        <is>
          <t>Guideway and Civil - Guideway Structures</t>
        </is>
      </c>
      <c r="C109" s="23" t="inlineStr">
        <is>
          <t>Contractor Programme</t>
        </is>
      </c>
      <c r="D109" s="23" t="inlineStr">
        <is>
          <t>SCH-01-149</t>
        </is>
      </c>
      <c r="E109" s="23" t="inlineStr">
        <is>
          <t>River crossing: drilled-shaft installation - release</t>
        </is>
      </c>
      <c r="F109" s="23" t="inlineStr">
        <is>
          <t>ONE_TO_ONE</t>
        </is>
      </c>
      <c r="G109" s="23" t="inlineStr">
        <is>
          <t>RETAINED</t>
        </is>
      </c>
      <c r="H109" s="23" t="inlineStr">
        <is>
          <t>Carried forward</t>
        </is>
      </c>
      <c r="I109" s="23" t="inlineStr">
        <is>
          <t>Source assignment -- not individually reviewed</t>
        </is>
      </c>
      <c r="J109" s="23" t="inlineStr"/>
      <c r="K109" s="23" t="inlineStr">
        <is>
          <t>Source assignment</t>
        </is>
      </c>
      <c r="L109" s="23" t="inlineStr"/>
      <c r="M109" s="23" t="inlineStr">
        <is>
          <t>Contractor Programme Cycle 2</t>
        </is>
      </c>
      <c r="N109" s="23" t="inlineStr">
        <is>
          <t>Rev 1</t>
        </is>
      </c>
      <c r="O109" s="23" t="inlineStr">
        <is>
          <t>R149-v2</t>
        </is>
      </c>
      <c r="P109" s="23" t="inlineStr"/>
      <c r="Q109" s="23" t="inlineStr"/>
      <c r="R109" s="23" t="inlineStr"/>
      <c r="S109" s="23" t="inlineStr"/>
      <c r="T109" s="23" t="inlineStr"/>
      <c r="U109" s="23" t="inlineStr"/>
      <c r="V109" s="23" t="inlineStr">
        <is>
          <t>WBS Code = 1.1.1</t>
        </is>
      </c>
      <c r="W109" s="23" t="inlineStr"/>
    </row>
    <row r="110" ht="64" customHeight="1">
      <c r="A110" s="23" t="inlineStr">
        <is>
          <t>1.1.1</t>
        </is>
      </c>
      <c r="B110" s="23" t="inlineStr">
        <is>
          <t>Guideway and Civil - Guideway Structures</t>
        </is>
      </c>
      <c r="C110" s="23" t="inlineStr">
        <is>
          <t>Contractor Programme</t>
        </is>
      </c>
      <c r="D110" s="23" t="inlineStr">
        <is>
          <t>SCH-01-151</t>
        </is>
      </c>
      <c r="E110" s="23" t="inlineStr">
        <is>
          <t>West approach: drainage tie-in - installation</t>
        </is>
      </c>
      <c r="F110" s="23" t="inlineStr">
        <is>
          <t>ONE_TO_ONE</t>
        </is>
      </c>
      <c r="G110" s="23" t="inlineStr">
        <is>
          <t>RETAINED</t>
        </is>
      </c>
      <c r="H110" s="23" t="inlineStr">
        <is>
          <t>Carried forward</t>
        </is>
      </c>
      <c r="I110" s="23" t="inlineStr">
        <is>
          <t>Source assignment -- not individually reviewed</t>
        </is>
      </c>
      <c r="J110" s="23" t="inlineStr"/>
      <c r="K110" s="23" t="inlineStr">
        <is>
          <t>Source assignment</t>
        </is>
      </c>
      <c r="L110" s="23" t="inlineStr"/>
      <c r="M110" s="23" t="inlineStr">
        <is>
          <t>Contractor Programme Cycle 2</t>
        </is>
      </c>
      <c r="N110" s="23" t="inlineStr">
        <is>
          <t>Rev 1</t>
        </is>
      </c>
      <c r="O110" s="23" t="inlineStr">
        <is>
          <t>R151-v2</t>
        </is>
      </c>
      <c r="P110" s="23" t="inlineStr"/>
      <c r="Q110" s="23" t="inlineStr"/>
      <c r="R110" s="23" t="inlineStr"/>
      <c r="S110" s="23" t="inlineStr"/>
      <c r="T110" s="23" t="inlineStr"/>
      <c r="U110" s="23" t="inlineStr"/>
      <c r="V110" s="23" t="inlineStr">
        <is>
          <t>WBS Code = 1.1.1</t>
        </is>
      </c>
      <c r="W110" s="23" t="inlineStr"/>
    </row>
    <row r="111" ht="64" customHeight="1">
      <c r="A111" s="23" t="inlineStr">
        <is>
          <t>1.1.1</t>
        </is>
      </c>
      <c r="B111" s="23" t="inlineStr">
        <is>
          <t>Guideway and Civil - Guideway Structures</t>
        </is>
      </c>
      <c r="C111" s="23" t="inlineStr">
        <is>
          <t>Contractor Programme</t>
        </is>
      </c>
      <c r="D111" s="23" t="inlineStr">
        <is>
          <t>SCH-01-152</t>
        </is>
      </c>
      <c r="E111" s="23" t="inlineStr">
        <is>
          <t>Depot lead: utility relocation - inspection</t>
        </is>
      </c>
      <c r="F111" s="23" t="inlineStr">
        <is>
          <t>ONE_TO_ONE</t>
        </is>
      </c>
      <c r="G111" s="23" t="inlineStr">
        <is>
          <t>RETAINED</t>
        </is>
      </c>
      <c r="H111" s="23" t="inlineStr">
        <is>
          <t>Carried forward</t>
        </is>
      </c>
      <c r="I111" s="23" t="inlineStr">
        <is>
          <t>Source assignment -- not individually reviewed</t>
        </is>
      </c>
      <c r="J111" s="23" t="inlineStr"/>
      <c r="K111" s="23" t="inlineStr">
        <is>
          <t>Source assignment</t>
        </is>
      </c>
      <c r="L111" s="23" t="inlineStr"/>
      <c r="M111" s="23" t="inlineStr">
        <is>
          <t>Contractor Programme Cycle 2</t>
        </is>
      </c>
      <c r="N111" s="23" t="inlineStr">
        <is>
          <t>Rev 1</t>
        </is>
      </c>
      <c r="O111" s="23" t="inlineStr">
        <is>
          <t>R152-v2</t>
        </is>
      </c>
      <c r="P111" s="23" t="inlineStr"/>
      <c r="Q111" s="23" t="inlineStr"/>
      <c r="R111" s="23" t="inlineStr"/>
      <c r="S111" s="23" t="inlineStr"/>
      <c r="T111" s="23" t="inlineStr"/>
      <c r="U111" s="23" t="inlineStr"/>
      <c r="V111" s="23" t="inlineStr">
        <is>
          <t>WBS Code = 1.1.1</t>
        </is>
      </c>
      <c r="W111" s="23" t="inlineStr"/>
    </row>
    <row r="112" ht="64" customHeight="1">
      <c r="A112" s="23" t="inlineStr">
        <is>
          <t>1.1.1</t>
        </is>
      </c>
      <c r="B112" s="23" t="inlineStr">
        <is>
          <t>Guideway and Civil - Guideway Structures</t>
        </is>
      </c>
      <c r="C112" s="23" t="inlineStr">
        <is>
          <t>Contractor Programme</t>
        </is>
      </c>
      <c r="D112" s="23" t="inlineStr">
        <is>
          <t>SCH-01-154</t>
        </is>
      </c>
      <c r="E112" s="23" t="inlineStr">
        <is>
          <t>River crossing: temporary traffic staging - release</t>
        </is>
      </c>
      <c r="F112" s="23" t="inlineStr">
        <is>
          <t>ONE_TO_ONE</t>
        </is>
      </c>
      <c r="G112" s="23" t="inlineStr">
        <is>
          <t>RETAINED</t>
        </is>
      </c>
      <c r="H112" s="23" t="inlineStr">
        <is>
          <t>Carried forward</t>
        </is>
      </c>
      <c r="I112" s="23" t="inlineStr">
        <is>
          <t>Source assignment -- not individually reviewed</t>
        </is>
      </c>
      <c r="J112" s="23" t="inlineStr"/>
      <c r="K112" s="23" t="inlineStr">
        <is>
          <t>Source assignment</t>
        </is>
      </c>
      <c r="L112" s="23" t="inlineStr"/>
      <c r="M112" s="23" t="inlineStr">
        <is>
          <t>Contractor Programme Cycle 2</t>
        </is>
      </c>
      <c r="N112" s="23" t="inlineStr">
        <is>
          <t>Rev 1</t>
        </is>
      </c>
      <c r="O112" s="23" t="inlineStr">
        <is>
          <t>R154-v2</t>
        </is>
      </c>
      <c r="P112" s="23" t="inlineStr"/>
      <c r="Q112" s="23" t="inlineStr"/>
      <c r="R112" s="23" t="inlineStr"/>
      <c r="S112" s="23" t="inlineStr"/>
      <c r="T112" s="23" t="inlineStr"/>
      <c r="U112" s="23" t="inlineStr"/>
      <c r="V112" s="23" t="inlineStr">
        <is>
          <t>WBS Code = 1.1.1</t>
        </is>
      </c>
      <c r="W112" s="23" t="inlineStr"/>
    </row>
    <row r="113" ht="64" customHeight="1">
      <c r="A113" s="23" t="inlineStr">
        <is>
          <t>1.1.1</t>
        </is>
      </c>
      <c r="B113" s="23" t="inlineStr">
        <is>
          <t>Guideway and Civil - Guideway Structures</t>
        </is>
      </c>
      <c r="C113" s="23" t="inlineStr">
        <is>
          <t>Contractor Programme</t>
        </is>
      </c>
      <c r="D113" s="23" t="inlineStr">
        <is>
          <t>SCH-01-155</t>
        </is>
      </c>
      <c r="E113" s="23" t="inlineStr">
        <is>
          <t>Central guideway: guideway pier reinforcement - field start</t>
        </is>
      </c>
      <c r="F113" s="23" t="inlineStr">
        <is>
          <t>ONE_TO_ONE</t>
        </is>
      </c>
      <c r="G113" s="23" t="inlineStr">
        <is>
          <t>RETAINED</t>
        </is>
      </c>
      <c r="H113" s="23" t="inlineStr">
        <is>
          <t>Carried forward</t>
        </is>
      </c>
      <c r="I113" s="23" t="inlineStr">
        <is>
          <t>Source assignment -- not individually reviewed</t>
        </is>
      </c>
      <c r="J113" s="23" t="inlineStr"/>
      <c r="K113" s="23" t="inlineStr">
        <is>
          <t>Source assignment</t>
        </is>
      </c>
      <c r="L113" s="23" t="inlineStr"/>
      <c r="M113" s="23" t="inlineStr">
        <is>
          <t>Contractor Programme Cycle 2</t>
        </is>
      </c>
      <c r="N113" s="23" t="inlineStr">
        <is>
          <t>Rev 1</t>
        </is>
      </c>
      <c r="O113" s="23" t="inlineStr">
        <is>
          <t>R155-v2</t>
        </is>
      </c>
      <c r="P113" s="23" t="inlineStr"/>
      <c r="Q113" s="23" t="inlineStr"/>
      <c r="R113" s="23" t="inlineStr"/>
      <c r="S113" s="23" t="inlineStr"/>
      <c r="T113" s="23" t="inlineStr"/>
      <c r="U113" s="23" t="inlineStr"/>
      <c r="V113" s="23" t="inlineStr">
        <is>
          <t>WBS Code = 1.1.1</t>
        </is>
      </c>
      <c r="W113" s="23" t="inlineStr"/>
    </row>
    <row r="114" ht="64" customHeight="1">
      <c r="A114" s="23" t="inlineStr">
        <is>
          <t>1.1.1</t>
        </is>
      </c>
      <c r="B114" s="23" t="inlineStr">
        <is>
          <t>Guideway and Civil - Guideway Structures</t>
        </is>
      </c>
      <c r="C114" s="23" t="inlineStr">
        <is>
          <t>Contractor Programme</t>
        </is>
      </c>
      <c r="D114" s="23" t="inlineStr">
        <is>
          <t>SCH-01-157</t>
        </is>
      </c>
      <c r="E114" s="23" t="inlineStr">
        <is>
          <t>Depot lead: drilled-shaft installation - inspection</t>
        </is>
      </c>
      <c r="F114" s="23" t="inlineStr">
        <is>
          <t>ONE_TO_ONE</t>
        </is>
      </c>
      <c r="G114" s="23" t="inlineStr">
        <is>
          <t>RETAINED</t>
        </is>
      </c>
      <c r="H114" s="23" t="inlineStr">
        <is>
          <t>Carried forward</t>
        </is>
      </c>
      <c r="I114" s="23" t="inlineStr">
        <is>
          <t>Source assignment -- not individually reviewed</t>
        </is>
      </c>
      <c r="J114" s="23" t="inlineStr"/>
      <c r="K114" s="23" t="inlineStr">
        <is>
          <t>Source assignment</t>
        </is>
      </c>
      <c r="L114" s="23" t="inlineStr"/>
      <c r="M114" s="23" t="inlineStr">
        <is>
          <t>Contractor Programme Cycle 2</t>
        </is>
      </c>
      <c r="N114" s="23" t="inlineStr">
        <is>
          <t>Rev 1</t>
        </is>
      </c>
      <c r="O114" s="23" t="inlineStr">
        <is>
          <t>R157-v2</t>
        </is>
      </c>
      <c r="P114" s="23" t="inlineStr"/>
      <c r="Q114" s="23" t="inlineStr"/>
      <c r="R114" s="23" t="inlineStr"/>
      <c r="S114" s="23" t="inlineStr"/>
      <c r="T114" s="23" t="inlineStr"/>
      <c r="U114" s="23" t="inlineStr"/>
      <c r="V114" s="23" t="inlineStr">
        <is>
          <t>WBS Code = 1.1.1</t>
        </is>
      </c>
      <c r="W114" s="23" t="inlineStr"/>
    </row>
    <row r="115" ht="64" customHeight="1">
      <c r="A115" s="23" t="inlineStr">
        <is>
          <t>1.1.1</t>
        </is>
      </c>
      <c r="B115" s="23" t="inlineStr">
        <is>
          <t>Guideway and Civil - Guideway Structures</t>
        </is>
      </c>
      <c r="C115" s="23" t="inlineStr">
        <is>
          <t>Contractor Programme</t>
        </is>
      </c>
      <c r="D115" s="23" t="inlineStr">
        <is>
          <t>SCH-01-158</t>
        </is>
      </c>
      <c r="E115" s="23" t="inlineStr">
        <is>
          <t>East portal: retaining-wall excavation - turnover</t>
        </is>
      </c>
      <c r="F115" s="23" t="inlineStr">
        <is>
          <t>ONE_TO_ONE</t>
        </is>
      </c>
      <c r="G115" s="23" t="inlineStr">
        <is>
          <t>RETAINED</t>
        </is>
      </c>
      <c r="H115" s="23" t="inlineStr">
        <is>
          <t>Carried forward</t>
        </is>
      </c>
      <c r="I115" s="23" t="inlineStr">
        <is>
          <t>Source assignment -- not individually reviewed</t>
        </is>
      </c>
      <c r="J115" s="23" t="inlineStr"/>
      <c r="K115" s="23" t="inlineStr">
        <is>
          <t>Source assignment</t>
        </is>
      </c>
      <c r="L115" s="23" t="inlineStr"/>
      <c r="M115" s="23" t="inlineStr">
        <is>
          <t>Contractor Programme Cycle 2</t>
        </is>
      </c>
      <c r="N115" s="23" t="inlineStr">
        <is>
          <t>Rev 1</t>
        </is>
      </c>
      <c r="O115" s="23" t="inlineStr">
        <is>
          <t>R158-v2</t>
        </is>
      </c>
      <c r="P115" s="23" t="inlineStr"/>
      <c r="Q115" s="23" t="inlineStr"/>
      <c r="R115" s="23" t="inlineStr"/>
      <c r="S115" s="23" t="inlineStr"/>
      <c r="T115" s="23" t="inlineStr"/>
      <c r="U115" s="23" t="inlineStr"/>
      <c r="V115" s="23" t="inlineStr">
        <is>
          <t>WBS Code = 1.1.1</t>
        </is>
      </c>
      <c r="W115" s="23" t="inlineStr"/>
    </row>
    <row r="116" ht="64" customHeight="1">
      <c r="A116" s="23" t="inlineStr">
        <is>
          <t>1.1.1</t>
        </is>
      </c>
      <c r="B116" s="23" t="inlineStr">
        <is>
          <t>Guideway and Civil - Guideway Structures</t>
        </is>
      </c>
      <c r="C116" s="23" t="inlineStr">
        <is>
          <t>Contractor Programme</t>
        </is>
      </c>
      <c r="D116" s="23" t="inlineStr">
        <is>
          <t>SCH-01-160</t>
        </is>
      </c>
      <c r="E116" s="23" t="inlineStr">
        <is>
          <t>Central guideway: utility relocation - field start</t>
        </is>
      </c>
      <c r="F116" s="23" t="inlineStr">
        <is>
          <t>ONE_TO_ONE</t>
        </is>
      </c>
      <c r="G116" s="23" t="inlineStr">
        <is>
          <t>RETAINED</t>
        </is>
      </c>
      <c r="H116" s="23" t="inlineStr">
        <is>
          <t>Carried forward</t>
        </is>
      </c>
      <c r="I116" s="23" t="inlineStr">
        <is>
          <t>Source assignment -- not individually reviewed</t>
        </is>
      </c>
      <c r="J116" s="23" t="inlineStr"/>
      <c r="K116" s="23" t="inlineStr">
        <is>
          <t>Source assignment</t>
        </is>
      </c>
      <c r="L116" s="23" t="inlineStr"/>
      <c r="M116" s="23" t="inlineStr">
        <is>
          <t>Contractor Programme Cycle 2</t>
        </is>
      </c>
      <c r="N116" s="23" t="inlineStr">
        <is>
          <t>Rev 1</t>
        </is>
      </c>
      <c r="O116" s="23" t="inlineStr">
        <is>
          <t>R160-v2</t>
        </is>
      </c>
      <c r="P116" s="23" t="inlineStr"/>
      <c r="Q116" s="23" t="inlineStr"/>
      <c r="R116" s="23" t="inlineStr"/>
      <c r="S116" s="23" t="inlineStr"/>
      <c r="T116" s="23" t="inlineStr"/>
      <c r="U116" s="23" t="inlineStr"/>
      <c r="V116" s="23" t="inlineStr">
        <is>
          <t>WBS Code = 1.1.1</t>
        </is>
      </c>
      <c r="W116" s="23" t="inlineStr"/>
    </row>
    <row r="117" ht="64" customHeight="1">
      <c r="A117" s="23" t="inlineStr">
        <is>
          <t>1.1.1</t>
        </is>
      </c>
      <c r="B117" s="23" t="inlineStr">
        <is>
          <t>Guideway and Civil - Guideway Structures</t>
        </is>
      </c>
      <c r="C117" s="23" t="inlineStr">
        <is>
          <t>Contractor Programme</t>
        </is>
      </c>
      <c r="D117" s="23" t="inlineStr">
        <is>
          <t>SCH-01-161</t>
        </is>
      </c>
      <c r="E117" s="23" t="inlineStr">
        <is>
          <t>West approach: track-slab survey - installation</t>
        </is>
      </c>
      <c r="F117" s="23" t="inlineStr">
        <is>
          <t>ONE_TO_ONE</t>
        </is>
      </c>
      <c r="G117" s="23" t="inlineStr">
        <is>
          <t>RETAINED</t>
        </is>
      </c>
      <c r="H117" s="23" t="inlineStr">
        <is>
          <t>Carried forward</t>
        </is>
      </c>
      <c r="I117" s="23" t="inlineStr">
        <is>
          <t>Source assignment -- not individually reviewed</t>
        </is>
      </c>
      <c r="J117" s="23" t="inlineStr"/>
      <c r="K117" s="23" t="inlineStr">
        <is>
          <t>Source assignment</t>
        </is>
      </c>
      <c r="L117" s="23" t="inlineStr"/>
      <c r="M117" s="23" t="inlineStr">
        <is>
          <t>Contractor Programme Cycle 2</t>
        </is>
      </c>
      <c r="N117" s="23" t="inlineStr">
        <is>
          <t>Rev 1</t>
        </is>
      </c>
      <c r="O117" s="23" t="inlineStr">
        <is>
          <t>R161-v2</t>
        </is>
      </c>
      <c r="P117" s="23" t="inlineStr"/>
      <c r="Q117" s="23" t="inlineStr"/>
      <c r="R117" s="23" t="inlineStr"/>
      <c r="S117" s="23" t="inlineStr"/>
      <c r="T117" s="23" t="inlineStr"/>
      <c r="U117" s="23" t="inlineStr"/>
      <c r="V117" s="23" t="inlineStr">
        <is>
          <t>WBS Code = 1.1.1</t>
        </is>
      </c>
      <c r="W117" s="23" t="inlineStr"/>
    </row>
    <row r="118" ht="64" customHeight="1">
      <c r="A118" s="23" t="inlineStr">
        <is>
          <t>1.1.1</t>
        </is>
      </c>
      <c r="B118" s="23" t="inlineStr">
        <is>
          <t>Guideway and Civil - Guideway Structures</t>
        </is>
      </c>
      <c r="C118" s="23" t="inlineStr">
        <is>
          <t>Contractor Programme</t>
        </is>
      </c>
      <c r="D118" s="23" t="inlineStr">
        <is>
          <t>SCH-01-163</t>
        </is>
      </c>
      <c r="E118" s="23" t="inlineStr">
        <is>
          <t>East portal: guideway pier reinforcement - turnover</t>
        </is>
      </c>
      <c r="F118" s="23" t="inlineStr">
        <is>
          <t>ONE_TO_ONE</t>
        </is>
      </c>
      <c r="G118" s="23" t="inlineStr">
        <is>
          <t>RETAINED</t>
        </is>
      </c>
      <c r="H118" s="23" t="inlineStr">
        <is>
          <t>Carried forward</t>
        </is>
      </c>
      <c r="I118" s="23" t="inlineStr">
        <is>
          <t>Source assignment -- not individually reviewed</t>
        </is>
      </c>
      <c r="J118" s="23" t="inlineStr"/>
      <c r="K118" s="23" t="inlineStr">
        <is>
          <t>Source assignment</t>
        </is>
      </c>
      <c r="L118" s="23" t="inlineStr"/>
      <c r="M118" s="23" t="inlineStr">
        <is>
          <t>Contractor Programme Cycle 2</t>
        </is>
      </c>
      <c r="N118" s="23" t="inlineStr">
        <is>
          <t>Rev 1</t>
        </is>
      </c>
      <c r="O118" s="23" t="inlineStr">
        <is>
          <t>R163-v2</t>
        </is>
      </c>
      <c r="P118" s="23" t="inlineStr"/>
      <c r="Q118" s="23" t="inlineStr"/>
      <c r="R118" s="23" t="inlineStr"/>
      <c r="S118" s="23" t="inlineStr"/>
      <c r="T118" s="23" t="inlineStr"/>
      <c r="U118" s="23" t="inlineStr"/>
      <c r="V118" s="23" t="inlineStr">
        <is>
          <t>WBS Code = 1.1.1</t>
        </is>
      </c>
      <c r="W118" s="23" t="inlineStr"/>
    </row>
    <row r="119" ht="64" customHeight="1">
      <c r="A119" s="23" t="inlineStr">
        <is>
          <t>1.1.1</t>
        </is>
      </c>
      <c r="B119" s="23" t="inlineStr">
        <is>
          <t>Guideway and Civil - Guideway Structures</t>
        </is>
      </c>
      <c r="C119" s="23" t="inlineStr">
        <is>
          <t>Contractor Programme</t>
        </is>
      </c>
      <c r="D119" s="23" t="inlineStr">
        <is>
          <t>SCH-01-164</t>
        </is>
      </c>
      <c r="E119" s="23" t="inlineStr">
        <is>
          <t>River crossing: road restoration - release</t>
        </is>
      </c>
      <c r="F119" s="23" t="inlineStr">
        <is>
          <t>ONE_TO_ONE</t>
        </is>
      </c>
      <c r="G119" s="23" t="inlineStr">
        <is>
          <t>RETAINED</t>
        </is>
      </c>
      <c r="H119" s="23" t="inlineStr">
        <is>
          <t>Carried forward</t>
        </is>
      </c>
      <c r="I119" s="23" t="inlineStr">
        <is>
          <t>Source assignment -- not individually reviewed</t>
        </is>
      </c>
      <c r="J119" s="23" t="inlineStr"/>
      <c r="K119" s="23" t="inlineStr">
        <is>
          <t>Source assignment</t>
        </is>
      </c>
      <c r="L119" s="23" t="inlineStr"/>
      <c r="M119" s="23" t="inlineStr">
        <is>
          <t>Contractor Programme Cycle 2</t>
        </is>
      </c>
      <c r="N119" s="23" t="inlineStr">
        <is>
          <t>Rev 1</t>
        </is>
      </c>
      <c r="O119" s="23" t="inlineStr">
        <is>
          <t>R164-v2</t>
        </is>
      </c>
      <c r="P119" s="23" t="inlineStr"/>
      <c r="Q119" s="23" t="inlineStr"/>
      <c r="R119" s="23" t="inlineStr"/>
      <c r="S119" s="23" t="inlineStr"/>
      <c r="T119" s="23" t="inlineStr"/>
      <c r="U119" s="23" t="inlineStr"/>
      <c r="V119" s="23" t="inlineStr">
        <is>
          <t>WBS Code = 1.1.1</t>
        </is>
      </c>
      <c r="W119" s="23" t="inlineStr"/>
    </row>
    <row r="120" ht="64" customHeight="1">
      <c r="A120" s="23" t="inlineStr">
        <is>
          <t>1.1.1</t>
        </is>
      </c>
      <c r="B120" s="23" t="inlineStr">
        <is>
          <t>Guideway and Civil - Guideway Structures</t>
        </is>
      </c>
      <c r="C120" s="23" t="inlineStr">
        <is>
          <t>Contractor Programme</t>
        </is>
      </c>
      <c r="D120" s="23" t="inlineStr">
        <is>
          <t>SCH-01-166</t>
        </is>
      </c>
      <c r="E120" s="23" t="inlineStr">
        <is>
          <t>West approach: retaining-wall excavation - installation</t>
        </is>
      </c>
      <c r="F120" s="23" t="inlineStr">
        <is>
          <t>ONE_TO_ONE</t>
        </is>
      </c>
      <c r="G120" s="23" t="inlineStr">
        <is>
          <t>RETAINED</t>
        </is>
      </c>
      <c r="H120" s="23" t="inlineStr">
        <is>
          <t>Carried forward</t>
        </is>
      </c>
      <c r="I120" s="23" t="inlineStr">
        <is>
          <t>Source assignment -- not individually reviewed</t>
        </is>
      </c>
      <c r="J120" s="23" t="inlineStr"/>
      <c r="K120" s="23" t="inlineStr">
        <is>
          <t>Source assignment</t>
        </is>
      </c>
      <c r="L120" s="23" t="inlineStr"/>
      <c r="M120" s="23" t="inlineStr">
        <is>
          <t>Contractor Programme Cycle 2</t>
        </is>
      </c>
      <c r="N120" s="23" t="inlineStr">
        <is>
          <t>Rev 1</t>
        </is>
      </c>
      <c r="O120" s="23" t="inlineStr">
        <is>
          <t>R166-v2</t>
        </is>
      </c>
      <c r="P120" s="23" t="inlineStr"/>
      <c r="Q120" s="23" t="inlineStr"/>
      <c r="R120" s="23" t="inlineStr"/>
      <c r="S120" s="23" t="inlineStr"/>
      <c r="T120" s="23" t="inlineStr"/>
      <c r="U120" s="23" t="inlineStr"/>
      <c r="V120" s="23" t="inlineStr">
        <is>
          <t>WBS Code = 1.1.1</t>
        </is>
      </c>
      <c r="W120" s="23" t="inlineStr"/>
    </row>
    <row r="121" ht="64" customHeight="1">
      <c r="A121" s="23" t="inlineStr">
        <is>
          <t>1.1.1</t>
        </is>
      </c>
      <c r="B121" s="23" t="inlineStr">
        <is>
          <t>Guideway and Civil - Guideway Structures</t>
        </is>
      </c>
      <c r="C121" s="23" t="inlineStr">
        <is>
          <t>Contractor Programme</t>
        </is>
      </c>
      <c r="D121" s="23" t="inlineStr">
        <is>
          <t>SCH-01-167</t>
        </is>
      </c>
      <c r="E121" s="23" t="inlineStr">
        <is>
          <t>Depot lead: drainage tie-in - inspection</t>
        </is>
      </c>
      <c r="F121" s="23" t="inlineStr">
        <is>
          <t>ONE_TO_ONE</t>
        </is>
      </c>
      <c r="G121" s="23" t="inlineStr">
        <is>
          <t>RETAINED</t>
        </is>
      </c>
      <c r="H121" s="23" t="inlineStr">
        <is>
          <t>Carried forward</t>
        </is>
      </c>
      <c r="I121" s="23" t="inlineStr">
        <is>
          <t>Source assignment -- not individually reviewed</t>
        </is>
      </c>
      <c r="J121" s="23" t="inlineStr"/>
      <c r="K121" s="23" t="inlineStr">
        <is>
          <t>Source assignment</t>
        </is>
      </c>
      <c r="L121" s="23" t="inlineStr"/>
      <c r="M121" s="23" t="inlineStr">
        <is>
          <t>Contractor Programme Cycle 2</t>
        </is>
      </c>
      <c r="N121" s="23" t="inlineStr">
        <is>
          <t>Rev 1</t>
        </is>
      </c>
      <c r="O121" s="23" t="inlineStr">
        <is>
          <t>R167-v2</t>
        </is>
      </c>
      <c r="P121" s="23" t="inlineStr"/>
      <c r="Q121" s="23" t="inlineStr"/>
      <c r="R121" s="23" t="inlineStr"/>
      <c r="S121" s="23" t="inlineStr"/>
      <c r="T121" s="23" t="inlineStr"/>
      <c r="U121" s="23" t="inlineStr"/>
      <c r="V121" s="23" t="inlineStr">
        <is>
          <t>WBS Code = 1.1.1</t>
        </is>
      </c>
      <c r="W121" s="23" t="inlineStr"/>
    </row>
    <row r="122" ht="64" customHeight="1">
      <c r="A122" s="23" t="inlineStr">
        <is>
          <t>1.1.1</t>
        </is>
      </c>
      <c r="B122" s="23" t="inlineStr">
        <is>
          <t>Guideway and Civil - Guideway Structures</t>
        </is>
      </c>
      <c r="C122" s="23" t="inlineStr">
        <is>
          <t>Contractor Programme</t>
        </is>
      </c>
      <c r="D122" s="23" t="inlineStr">
        <is>
          <t>SCH-01-169</t>
        </is>
      </c>
      <c r="E122" s="23" t="inlineStr">
        <is>
          <t>River crossing: track-slab survey - release</t>
        </is>
      </c>
      <c r="F122" s="23" t="inlineStr">
        <is>
          <t>ONE_TO_ONE</t>
        </is>
      </c>
      <c r="G122" s="23" t="inlineStr">
        <is>
          <t>RETAINED</t>
        </is>
      </c>
      <c r="H122" s="23" t="inlineStr">
        <is>
          <t>Carried forward</t>
        </is>
      </c>
      <c r="I122" s="23" t="inlineStr">
        <is>
          <t>Source assignment -- not individually reviewed</t>
        </is>
      </c>
      <c r="J122" s="23" t="inlineStr"/>
      <c r="K122" s="23" t="inlineStr">
        <is>
          <t>Source assignment</t>
        </is>
      </c>
      <c r="L122" s="23" t="inlineStr"/>
      <c r="M122" s="23" t="inlineStr">
        <is>
          <t>Contractor Programme Cycle 2</t>
        </is>
      </c>
      <c r="N122" s="23" t="inlineStr">
        <is>
          <t>Rev 1</t>
        </is>
      </c>
      <c r="O122" s="23" t="inlineStr">
        <is>
          <t>R169-v2</t>
        </is>
      </c>
      <c r="P122" s="23" t="inlineStr"/>
      <c r="Q122" s="23" t="inlineStr"/>
      <c r="R122" s="23" t="inlineStr"/>
      <c r="S122" s="23" t="inlineStr"/>
      <c r="T122" s="23" t="inlineStr"/>
      <c r="U122" s="23" t="inlineStr"/>
      <c r="V122" s="23" t="inlineStr">
        <is>
          <t>WBS Code = 1.1.1</t>
        </is>
      </c>
      <c r="W122" s="23" t="inlineStr"/>
    </row>
    <row r="123" ht="64" customHeight="1">
      <c r="A123" s="23" t="inlineStr">
        <is>
          <t>1.1.1</t>
        </is>
      </c>
      <c r="B123" s="23" t="inlineStr">
        <is>
          <t>Guideway and Civil - Guideway Structures</t>
        </is>
      </c>
      <c r="C123" s="23" t="inlineStr">
        <is>
          <t>Contractor Programme</t>
        </is>
      </c>
      <c r="D123" s="23" t="inlineStr">
        <is>
          <t>SCH-01-170</t>
        </is>
      </c>
      <c r="E123" s="23" t="inlineStr">
        <is>
          <t>Central guideway: temporary traffic staging - field start</t>
        </is>
      </c>
      <c r="F123" s="23" t="inlineStr">
        <is>
          <t>ONE_TO_ONE</t>
        </is>
      </c>
      <c r="G123" s="23" t="inlineStr">
        <is>
          <t>RETAINED</t>
        </is>
      </c>
      <c r="H123" s="23" t="inlineStr">
        <is>
          <t>Carried forward</t>
        </is>
      </c>
      <c r="I123" s="23" t="inlineStr">
        <is>
          <t>Source assignment -- not individually reviewed</t>
        </is>
      </c>
      <c r="J123" s="23" t="inlineStr"/>
      <c r="K123" s="23" t="inlineStr">
        <is>
          <t>Source assignment</t>
        </is>
      </c>
      <c r="L123" s="23" t="inlineStr"/>
      <c r="M123" s="23" t="inlineStr">
        <is>
          <t>Contractor Programme Cycle 2</t>
        </is>
      </c>
      <c r="N123" s="23" t="inlineStr">
        <is>
          <t>Rev 1</t>
        </is>
      </c>
      <c r="O123" s="23" t="inlineStr">
        <is>
          <t>R170-v2</t>
        </is>
      </c>
      <c r="P123" s="23" t="inlineStr"/>
      <c r="Q123" s="23" t="inlineStr"/>
      <c r="R123" s="23" t="inlineStr"/>
      <c r="S123" s="23" t="inlineStr"/>
      <c r="T123" s="23" t="inlineStr"/>
      <c r="U123" s="23" t="inlineStr"/>
      <c r="V123" s="23" t="inlineStr">
        <is>
          <t>WBS Code = 1.1.1</t>
        </is>
      </c>
      <c r="W123" s="23" t="inlineStr"/>
    </row>
    <row r="124" ht="64" customHeight="1">
      <c r="A124" s="23" t="inlineStr">
        <is>
          <t>1.1.1</t>
        </is>
      </c>
      <c r="B124" s="23" t="inlineStr">
        <is>
          <t>Guideway and Civil - Guideway Structures</t>
        </is>
      </c>
      <c r="C124" s="23" t="inlineStr">
        <is>
          <t>Contractor Programme</t>
        </is>
      </c>
      <c r="D124" s="23" t="inlineStr">
        <is>
          <t>SCH-01-172</t>
        </is>
      </c>
      <c r="E124" s="23" t="inlineStr">
        <is>
          <t>Depot lead: road restoration - inspection</t>
        </is>
      </c>
      <c r="F124" s="23" t="inlineStr">
        <is>
          <t>ONE_TO_ONE</t>
        </is>
      </c>
      <c r="G124" s="23" t="inlineStr">
        <is>
          <t>RETAINED</t>
        </is>
      </c>
      <c r="H124" s="23" t="inlineStr">
        <is>
          <t>Carried forward</t>
        </is>
      </c>
      <c r="I124" s="23" t="inlineStr">
        <is>
          <t>Source assignment -- not individually reviewed</t>
        </is>
      </c>
      <c r="J124" s="23" t="inlineStr"/>
      <c r="K124" s="23" t="inlineStr">
        <is>
          <t>Source assignment</t>
        </is>
      </c>
      <c r="L124" s="23" t="inlineStr"/>
      <c r="M124" s="23" t="inlineStr">
        <is>
          <t>Contractor Programme Cycle 2</t>
        </is>
      </c>
      <c r="N124" s="23" t="inlineStr">
        <is>
          <t>Rev 1</t>
        </is>
      </c>
      <c r="O124" s="23" t="inlineStr">
        <is>
          <t>R172-v2</t>
        </is>
      </c>
      <c r="P124" s="23" t="inlineStr"/>
      <c r="Q124" s="23" t="inlineStr"/>
      <c r="R124" s="23" t="inlineStr"/>
      <c r="S124" s="23" t="inlineStr"/>
      <c r="T124" s="23" t="inlineStr"/>
      <c r="U124" s="23" t="inlineStr"/>
      <c r="V124" s="23" t="inlineStr">
        <is>
          <t>WBS Code = 1.1.1</t>
        </is>
      </c>
      <c r="W124" s="23" t="inlineStr"/>
    </row>
    <row r="125" ht="64" customHeight="1">
      <c r="A125" s="23" t="inlineStr">
        <is>
          <t>1.1.1</t>
        </is>
      </c>
      <c r="B125" s="23" t="inlineStr">
        <is>
          <t>Guideway and Civil - Guideway Structures</t>
        </is>
      </c>
      <c r="C125" s="23" t="inlineStr">
        <is>
          <t>Contractor Programme</t>
        </is>
      </c>
      <c r="D125" s="23" t="inlineStr">
        <is>
          <t>SCH-01-173</t>
        </is>
      </c>
      <c r="E125" s="23" t="inlineStr">
        <is>
          <t>East portal: drilled-shaft installation - turnover</t>
        </is>
      </c>
      <c r="F125" s="23" t="inlineStr">
        <is>
          <t>ONE_TO_ONE</t>
        </is>
      </c>
      <c r="G125" s="23" t="inlineStr">
        <is>
          <t>RETAINED</t>
        </is>
      </c>
      <c r="H125" s="23" t="inlineStr">
        <is>
          <t>Carried forward</t>
        </is>
      </c>
      <c r="I125" s="23" t="inlineStr">
        <is>
          <t>Source assignment -- not individually reviewed</t>
        </is>
      </c>
      <c r="J125" s="23" t="inlineStr"/>
      <c r="K125" s="23" t="inlineStr">
        <is>
          <t>Source assignment</t>
        </is>
      </c>
      <c r="L125" s="23" t="inlineStr"/>
      <c r="M125" s="23" t="inlineStr">
        <is>
          <t>Contractor Programme Cycle 2</t>
        </is>
      </c>
      <c r="N125" s="23" t="inlineStr">
        <is>
          <t>Rev 1</t>
        </is>
      </c>
      <c r="O125" s="23" t="inlineStr">
        <is>
          <t>R173-v2</t>
        </is>
      </c>
      <c r="P125" s="23" t="inlineStr"/>
      <c r="Q125" s="23" t="inlineStr"/>
      <c r="R125" s="23" t="inlineStr"/>
      <c r="S125" s="23" t="inlineStr"/>
      <c r="T125" s="23" t="inlineStr"/>
      <c r="U125" s="23" t="inlineStr"/>
      <c r="V125" s="23" t="inlineStr">
        <is>
          <t>WBS Code = 1.1.1</t>
        </is>
      </c>
      <c r="W125" s="23" t="inlineStr"/>
    </row>
    <row r="126" ht="64" customHeight="1">
      <c r="A126" s="23" t="inlineStr">
        <is>
          <t>1.1.1</t>
        </is>
      </c>
      <c r="B126" s="23" t="inlineStr">
        <is>
          <t>Guideway and Civil - Guideway Structures</t>
        </is>
      </c>
      <c r="C126" s="23" t="inlineStr">
        <is>
          <t>Contractor Programme</t>
        </is>
      </c>
      <c r="D126" s="23" t="inlineStr">
        <is>
          <t>SCH-01-175</t>
        </is>
      </c>
      <c r="E126" s="23" t="inlineStr">
        <is>
          <t>Central guideway: drainage tie-in - field start</t>
        </is>
      </c>
      <c r="F126" s="23" t="inlineStr">
        <is>
          <t>ONE_TO_ONE</t>
        </is>
      </c>
      <c r="G126" s="23" t="inlineStr">
        <is>
          <t>RETAINED</t>
        </is>
      </c>
      <c r="H126" s="23" t="inlineStr">
        <is>
          <t>Carried forward</t>
        </is>
      </c>
      <c r="I126" s="23" t="inlineStr">
        <is>
          <t>Source assignment -- not individually reviewed</t>
        </is>
      </c>
      <c r="J126" s="23" t="inlineStr"/>
      <c r="K126" s="23" t="inlineStr">
        <is>
          <t>Source assignment</t>
        </is>
      </c>
      <c r="L126" s="23" t="inlineStr"/>
      <c r="M126" s="23" t="inlineStr">
        <is>
          <t>Contractor Programme Cycle 2</t>
        </is>
      </c>
      <c r="N126" s="23" t="inlineStr">
        <is>
          <t>Rev 1</t>
        </is>
      </c>
      <c r="O126" s="23" t="inlineStr">
        <is>
          <t>R175-v2</t>
        </is>
      </c>
      <c r="P126" s="23" t="inlineStr"/>
      <c r="Q126" s="23" t="inlineStr"/>
      <c r="R126" s="23" t="inlineStr"/>
      <c r="S126" s="23" t="inlineStr"/>
      <c r="T126" s="23" t="inlineStr"/>
      <c r="U126" s="23" t="inlineStr"/>
      <c r="V126" s="23" t="inlineStr">
        <is>
          <t>WBS Code = 1.1.1</t>
        </is>
      </c>
      <c r="W126" s="23" t="inlineStr"/>
    </row>
    <row r="127" ht="64" customHeight="1">
      <c r="A127" s="23" t="inlineStr">
        <is>
          <t>1.1.1</t>
        </is>
      </c>
      <c r="B127" s="23" t="inlineStr">
        <is>
          <t>Guideway and Civil - Guideway Structures</t>
        </is>
      </c>
      <c r="C127" s="23" t="inlineStr">
        <is>
          <t>Contractor Programme</t>
        </is>
      </c>
      <c r="D127" s="23" t="inlineStr">
        <is>
          <t>SCH-01-176</t>
        </is>
      </c>
      <c r="E127" s="23" t="inlineStr">
        <is>
          <t>West approach: utility relocation - installation</t>
        </is>
      </c>
      <c r="F127" s="23" t="inlineStr">
        <is>
          <t>ONE_TO_ONE</t>
        </is>
      </c>
      <c r="G127" s="23" t="inlineStr">
        <is>
          <t>RETAINED</t>
        </is>
      </c>
      <c r="H127" s="23" t="inlineStr">
        <is>
          <t>Carried forward</t>
        </is>
      </c>
      <c r="I127" s="23" t="inlineStr">
        <is>
          <t>Source assignment -- not individually reviewed</t>
        </is>
      </c>
      <c r="J127" s="23" t="inlineStr"/>
      <c r="K127" s="23" t="inlineStr">
        <is>
          <t>Source assignment</t>
        </is>
      </c>
      <c r="L127" s="23" t="inlineStr"/>
      <c r="M127" s="23" t="inlineStr">
        <is>
          <t>Contractor Programme Cycle 2</t>
        </is>
      </c>
      <c r="N127" s="23" t="inlineStr">
        <is>
          <t>Rev 1</t>
        </is>
      </c>
      <c r="O127" s="23" t="inlineStr">
        <is>
          <t>R176-v2</t>
        </is>
      </c>
      <c r="P127" s="23" t="inlineStr"/>
      <c r="Q127" s="23" t="inlineStr"/>
      <c r="R127" s="23" t="inlineStr"/>
      <c r="S127" s="23" t="inlineStr"/>
      <c r="T127" s="23" t="inlineStr"/>
      <c r="U127" s="23" t="inlineStr"/>
      <c r="V127" s="23" t="inlineStr">
        <is>
          <t>WBS Code = 1.1.1</t>
        </is>
      </c>
      <c r="W127" s="23" t="inlineStr"/>
    </row>
    <row r="128" ht="64" customHeight="1">
      <c r="A128" s="23" t="inlineStr">
        <is>
          <t>1.1.1</t>
        </is>
      </c>
      <c r="B128" s="23" t="inlineStr">
        <is>
          <t>Guideway and Civil - Guideway Structures</t>
        </is>
      </c>
      <c r="C128" s="23" t="inlineStr">
        <is>
          <t>Contractor Programme</t>
        </is>
      </c>
      <c r="D128" s="23" t="inlineStr">
        <is>
          <t>SCH-01-178</t>
        </is>
      </c>
      <c r="E128" s="23" t="inlineStr">
        <is>
          <t>East portal: temporary traffic staging - turnover</t>
        </is>
      </c>
      <c r="F128" s="23" t="inlineStr">
        <is>
          <t>ONE_TO_ONE</t>
        </is>
      </c>
      <c r="G128" s="23" t="inlineStr">
        <is>
          <t>RETAINED</t>
        </is>
      </c>
      <c r="H128" s="23" t="inlineStr">
        <is>
          <t>Carried forward</t>
        </is>
      </c>
      <c r="I128" s="23" t="inlineStr">
        <is>
          <t>Source assignment -- not individually reviewed</t>
        </is>
      </c>
      <c r="J128" s="23" t="inlineStr"/>
      <c r="K128" s="23" t="inlineStr">
        <is>
          <t>Source assignment</t>
        </is>
      </c>
      <c r="L128" s="23" t="inlineStr"/>
      <c r="M128" s="23" t="inlineStr">
        <is>
          <t>Contractor Programme Cycle 2</t>
        </is>
      </c>
      <c r="N128" s="23" t="inlineStr">
        <is>
          <t>Rev 1</t>
        </is>
      </c>
      <c r="O128" s="23" t="inlineStr">
        <is>
          <t>R178-v2</t>
        </is>
      </c>
      <c r="P128" s="23" t="inlineStr"/>
      <c r="Q128" s="23" t="inlineStr"/>
      <c r="R128" s="23" t="inlineStr"/>
      <c r="S128" s="23" t="inlineStr"/>
      <c r="T128" s="23" t="inlineStr"/>
      <c r="U128" s="23" t="inlineStr"/>
      <c r="V128" s="23" t="inlineStr">
        <is>
          <t>WBS Code = 1.1.1</t>
        </is>
      </c>
      <c r="W128" s="23" t="inlineStr"/>
    </row>
    <row r="129" ht="64" customHeight="1">
      <c r="A129" s="23" t="inlineStr">
        <is>
          <t>1.1.1</t>
        </is>
      </c>
      <c r="B129" s="23" t="inlineStr">
        <is>
          <t>Guideway and Civil - Guideway Structures</t>
        </is>
      </c>
      <c r="C129" s="23" t="inlineStr">
        <is>
          <t>Contractor Programme</t>
        </is>
      </c>
      <c r="D129" s="23" t="inlineStr">
        <is>
          <t>SCH-01-179</t>
        </is>
      </c>
      <c r="E129" s="23" t="inlineStr">
        <is>
          <t>River crossing: guideway pier reinforcement - release</t>
        </is>
      </c>
      <c r="F129" s="23" t="inlineStr">
        <is>
          <t>ONE_TO_ONE</t>
        </is>
      </c>
      <c r="G129" s="23" t="inlineStr">
        <is>
          <t>RETAINED</t>
        </is>
      </c>
      <c r="H129" s="23" t="inlineStr">
        <is>
          <t>Carried forward</t>
        </is>
      </c>
      <c r="I129" s="23" t="inlineStr">
        <is>
          <t>Source assignment -- not individually reviewed</t>
        </is>
      </c>
      <c r="J129" s="23" t="inlineStr"/>
      <c r="K129" s="23" t="inlineStr">
        <is>
          <t>Source assignment</t>
        </is>
      </c>
      <c r="L129" s="23" t="inlineStr"/>
      <c r="M129" s="23" t="inlineStr">
        <is>
          <t>Contractor Programme Cycle 2</t>
        </is>
      </c>
      <c r="N129" s="23" t="inlineStr">
        <is>
          <t>Rev 1</t>
        </is>
      </c>
      <c r="O129" s="23" t="inlineStr">
        <is>
          <t>R179-v2</t>
        </is>
      </c>
      <c r="P129" s="23" t="inlineStr"/>
      <c r="Q129" s="23" t="inlineStr"/>
      <c r="R129" s="23" t="inlineStr"/>
      <c r="S129" s="23" t="inlineStr"/>
      <c r="T129" s="23" t="inlineStr"/>
      <c r="U129" s="23" t="inlineStr"/>
      <c r="V129" s="23" t="inlineStr">
        <is>
          <t>WBS Code = 1.1.1</t>
        </is>
      </c>
      <c r="W129" s="23" t="inlineStr"/>
    </row>
    <row r="130" ht="64" customHeight="1">
      <c r="A130" s="23" t="inlineStr">
        <is>
          <t>1.1.1</t>
        </is>
      </c>
      <c r="B130" s="23" t="inlineStr">
        <is>
          <t>Guideway and Civil - Guideway Structures</t>
        </is>
      </c>
      <c r="C130" s="23" t="inlineStr">
        <is>
          <t>Contractor Programme</t>
        </is>
      </c>
      <c r="D130" s="23" t="inlineStr">
        <is>
          <t>SCH-90-903</t>
        </is>
      </c>
      <c r="E130" s="23" t="inlineStr">
        <is>
          <t>Late-issued field instruction incorporated into the current contractor programme</t>
        </is>
      </c>
      <c r="F130" s="23" t="inlineStr">
        <is>
          <t>ONE_TO_ONE</t>
        </is>
      </c>
      <c r="G130" s="23" t="inlineStr">
        <is>
          <t>APPROVED</t>
        </is>
      </c>
      <c r="H130" s="23" t="inlineStr">
        <is>
          <t>New</t>
        </is>
      </c>
      <c r="I130" s="23" t="inlineStr">
        <is>
          <t>Source assignment -- not individually reviewed</t>
        </is>
      </c>
      <c r="J130" s="23" t="inlineStr"/>
      <c r="K130" s="23" t="inlineStr">
        <is>
          <t>Source assignment</t>
        </is>
      </c>
      <c r="L130" s="23" t="inlineStr"/>
      <c r="M130" s="23" t="inlineStr">
        <is>
          <t>Contractor Programme Cycle 2</t>
        </is>
      </c>
      <c r="N130" s="23" t="inlineStr">
        <is>
          <t>Rev 1</t>
        </is>
      </c>
      <c r="O130" s="23" t="inlineStr">
        <is>
          <t>R1623-v1</t>
        </is>
      </c>
      <c r="P130" s="23" t="inlineStr"/>
      <c r="Q130" s="23" t="inlineStr"/>
      <c r="R130" s="23" t="inlineStr"/>
      <c r="S130" s="23" t="inlineStr"/>
      <c r="T130" s="23" t="inlineStr"/>
      <c r="U130" s="23" t="inlineStr"/>
      <c r="V130" s="23" t="inlineStr">
        <is>
          <t>WBS Code = 1.1.1</t>
        </is>
      </c>
      <c r="W130" s="23" t="inlineStr"/>
    </row>
    <row r="131" ht="64" customHeight="1">
      <c r="A131" s="23" t="inlineStr">
        <is>
          <t>1.1.1</t>
        </is>
      </c>
      <c r="B131" s="23" t="inlineStr">
        <is>
          <t>Guideway and Civil - Guideway Structures</t>
        </is>
      </c>
      <c r="C131" s="23" t="inlineStr">
        <is>
          <t>Cost &amp; Forecast Control Accounts</t>
        </is>
      </c>
      <c r="D131" s="23" t="inlineStr">
        <is>
          <t>CST-01-001</t>
        </is>
      </c>
      <c r="E131" s="23" t="inlineStr">
        <is>
          <t>Guideway and Civil - roadworks - professional services</t>
        </is>
      </c>
      <c r="F131" s="23" t="inlineStr">
        <is>
          <t>ONE_TO_ONE</t>
        </is>
      </c>
      <c r="G131" s="23" t="inlineStr">
        <is>
          <t>RETAINED</t>
        </is>
      </c>
      <c r="H131" s="23" t="inlineStr">
        <is>
          <t>Carried forward</t>
        </is>
      </c>
      <c r="I131" s="23" t="inlineStr">
        <is>
          <t>Source assignment -- not individually reviewed</t>
        </is>
      </c>
      <c r="J131" s="23" t="inlineStr"/>
      <c r="K131" s="23" t="inlineStr">
        <is>
          <t>Source assignment</t>
        </is>
      </c>
      <c r="L131" s="23" t="inlineStr"/>
      <c r="M131" s="23" t="inlineStr">
        <is>
          <t>Cost &amp; Forecast Control Accounts Cycle 2</t>
        </is>
      </c>
      <c r="N131" s="23" t="inlineStr">
        <is>
          <t>Rev 1</t>
        </is>
      </c>
      <c r="O131" s="23" t="inlineStr">
        <is>
          <t>R1083-v2</t>
        </is>
      </c>
      <c r="P131" s="23" t="inlineStr"/>
      <c r="Q131" s="23" t="inlineStr"/>
      <c r="R131" s="23" t="inlineStr"/>
      <c r="S131" s="23" t="inlineStr"/>
      <c r="T131" s="23" t="inlineStr"/>
      <c r="U131" s="23" t="inlineStr"/>
      <c r="V131" s="23" t="inlineStr">
        <is>
          <t>Cost Account = CA-1001; WBS Code = 1.1.1</t>
        </is>
      </c>
      <c r="W131" s="23" t="inlineStr"/>
    </row>
    <row r="132" ht="64" customHeight="1">
      <c r="A132" s="23" t="inlineStr">
        <is>
          <t>1.1.1</t>
        </is>
      </c>
      <c r="B132" s="23" t="inlineStr">
        <is>
          <t>Guideway and Civil - Guideway Structures</t>
        </is>
      </c>
      <c r="C132" s="23" t="inlineStr">
        <is>
          <t>Cost &amp; Forecast Control Accounts</t>
        </is>
      </c>
      <c r="D132" s="23" t="inlineStr">
        <is>
          <t>CST-01-003R</t>
        </is>
      </c>
      <c r="E132" s="23" t="inlineStr">
        <is>
          <t>Guideway and Civil - concrete structures - closeout</t>
        </is>
      </c>
      <c r="F132" s="23" t="inlineStr">
        <is>
          <t>ONE_TO_ONE</t>
        </is>
      </c>
      <c r="G132" s="23" t="inlineStr">
        <is>
          <t>REVALIDATED</t>
        </is>
      </c>
      <c r="H132" s="23" t="inlineStr">
        <is>
          <t>Re-keyed, revalidated</t>
        </is>
      </c>
      <c r="I132" s="23" t="inlineStr">
        <is>
          <t>Source assignment -- not individually reviewed</t>
        </is>
      </c>
      <c r="J132" s="23" t="inlineStr"/>
      <c r="K132" s="23" t="inlineStr">
        <is>
          <t>Source assignment</t>
        </is>
      </c>
      <c r="L132" s="23" t="inlineStr"/>
      <c r="M132" s="23" t="inlineStr">
        <is>
          <t>Cost &amp; Forecast Control Accounts Cycle 2</t>
        </is>
      </c>
      <c r="N132" s="23" t="inlineStr">
        <is>
          <t>Rev 1</t>
        </is>
      </c>
      <c r="O132" s="23" t="inlineStr">
        <is>
          <t>R1085-v2</t>
        </is>
      </c>
      <c r="P132" s="23" t="inlineStr"/>
      <c r="Q132" s="23" t="inlineStr"/>
      <c r="R132" s="23" t="inlineStr"/>
      <c r="S132" s="23" t="inlineStr"/>
      <c r="T132" s="23" t="inlineStr"/>
      <c r="U132" s="23" t="inlineStr"/>
      <c r="V132" s="23" t="inlineStr">
        <is>
          <t>Cost Account = CA-1003; WBS Code = 1.1.1</t>
        </is>
      </c>
      <c r="W132" s="23" t="inlineStr"/>
    </row>
    <row r="133" ht="64" customHeight="1">
      <c r="A133" s="23" t="inlineStr">
        <is>
          <t>1.1.1</t>
        </is>
      </c>
      <c r="B133" s="23" t="inlineStr">
        <is>
          <t>Guideway and Civil - Guideway Structures</t>
        </is>
      </c>
      <c r="C133" s="23" t="inlineStr">
        <is>
          <t>Cost &amp; Forecast Control Accounts</t>
        </is>
      </c>
      <c r="D133" s="23" t="inlineStr">
        <is>
          <t>CST-01-007</t>
        </is>
      </c>
      <c r="E133" s="23" t="inlineStr">
        <is>
          <t>Guideway and Civil - roadworks - allowance</t>
        </is>
      </c>
      <c r="F133" s="23" t="inlineStr">
        <is>
          <t>ONE_TO_ONE</t>
        </is>
      </c>
      <c r="G133" s="23" t="inlineStr">
        <is>
          <t>RETAINED</t>
        </is>
      </c>
      <c r="H133" s="23" t="inlineStr">
        <is>
          <t>Carried forward</t>
        </is>
      </c>
      <c r="I133" s="23" t="inlineStr">
        <is>
          <t>Source assignment -- not individually reviewed</t>
        </is>
      </c>
      <c r="J133" s="23" t="inlineStr"/>
      <c r="K133" s="23" t="inlineStr">
        <is>
          <t>Source assignment</t>
        </is>
      </c>
      <c r="L133" s="23" t="inlineStr"/>
      <c r="M133" s="23" t="inlineStr">
        <is>
          <t>Cost &amp; Forecast Control Accounts Cycle 2</t>
        </is>
      </c>
      <c r="N133" s="23" t="inlineStr">
        <is>
          <t>Rev 1</t>
        </is>
      </c>
      <c r="O133" s="23" t="inlineStr">
        <is>
          <t>R1089-v2</t>
        </is>
      </c>
      <c r="P133" s="23" t="inlineStr"/>
      <c r="Q133" s="23" t="inlineStr"/>
      <c r="R133" s="23" t="inlineStr"/>
      <c r="S133" s="23" t="inlineStr"/>
      <c r="T133" s="23" t="inlineStr"/>
      <c r="U133" s="23" t="inlineStr"/>
      <c r="V133" s="23" t="inlineStr">
        <is>
          <t>Cost Account = CA-1007; WBS Code = 1.1.1</t>
        </is>
      </c>
      <c r="W133" s="23" t="inlineStr"/>
    </row>
    <row r="134" ht="64" customHeight="1">
      <c r="A134" s="23" t="inlineStr">
        <is>
          <t>1.1.1</t>
        </is>
      </c>
      <c r="B134" s="23" t="inlineStr">
        <is>
          <t>Guideway and Civil - Guideway Structures</t>
        </is>
      </c>
      <c r="C134" s="23" t="inlineStr">
        <is>
          <t>Cost &amp; Forecast Control Accounts</t>
        </is>
      </c>
      <c r="D134" s="23" t="inlineStr">
        <is>
          <t>CST-01-009</t>
        </is>
      </c>
      <c r="E134" s="23" t="inlineStr">
        <is>
          <t>Guideway and Civil - concrete structures - field package</t>
        </is>
      </c>
      <c r="F134" s="23" t="inlineStr">
        <is>
          <t>ONE_TO_ONE</t>
        </is>
      </c>
      <c r="G134" s="23" t="inlineStr">
        <is>
          <t>RETAINED</t>
        </is>
      </c>
      <c r="H134" s="23" t="inlineStr">
        <is>
          <t>Carried forward</t>
        </is>
      </c>
      <c r="I134" s="23" t="inlineStr">
        <is>
          <t>Source assignment -- not individually reviewed</t>
        </is>
      </c>
      <c r="J134" s="23" t="inlineStr"/>
      <c r="K134" s="23" t="inlineStr">
        <is>
          <t>Source assignment</t>
        </is>
      </c>
      <c r="L134" s="23" t="inlineStr"/>
      <c r="M134" s="23" t="inlineStr">
        <is>
          <t>Cost &amp; Forecast Control Accounts Cycle 2</t>
        </is>
      </c>
      <c r="N134" s="23" t="inlineStr">
        <is>
          <t>Rev 1</t>
        </is>
      </c>
      <c r="O134" s="23" t="inlineStr">
        <is>
          <t>R1091-v2</t>
        </is>
      </c>
      <c r="P134" s="23" t="inlineStr"/>
      <c r="Q134" s="23" t="inlineStr"/>
      <c r="R134" s="23" t="inlineStr"/>
      <c r="S134" s="23" t="inlineStr"/>
      <c r="T134" s="23" t="inlineStr"/>
      <c r="U134" s="23" t="inlineStr"/>
      <c r="V134" s="23" t="inlineStr">
        <is>
          <t>Cost Account = CA-1009; WBS Code = 1.1.1</t>
        </is>
      </c>
      <c r="W134" s="23" t="inlineStr"/>
    </row>
    <row r="135" ht="64" customHeight="1">
      <c r="A135" s="23" t="inlineStr">
        <is>
          <t>1.1.1</t>
        </is>
      </c>
      <c r="B135" s="23" t="inlineStr">
        <is>
          <t>Guideway and Civil - Guideway Structures</t>
        </is>
      </c>
      <c r="C135" s="23" t="inlineStr">
        <is>
          <t>Cost &amp; Forecast Control Accounts</t>
        </is>
      </c>
      <c r="D135" s="23" t="inlineStr">
        <is>
          <t>CST-01-011</t>
        </is>
      </c>
      <c r="E135" s="23" t="inlineStr">
        <is>
          <t>Guideway and Civil - temporary works - professional services</t>
        </is>
      </c>
      <c r="F135" s="23" t="inlineStr">
        <is>
          <t>ONE_TO_ONE</t>
        </is>
      </c>
      <c r="G135" s="23" t="inlineStr">
        <is>
          <t>RETAINED</t>
        </is>
      </c>
      <c r="H135" s="23" t="inlineStr">
        <is>
          <t>Carried forward</t>
        </is>
      </c>
      <c r="I135" s="23" t="inlineStr">
        <is>
          <t>Source assignment -- not individually reviewed</t>
        </is>
      </c>
      <c r="J135" s="23" t="inlineStr"/>
      <c r="K135" s="23" t="inlineStr">
        <is>
          <t>Source assignment</t>
        </is>
      </c>
      <c r="L135" s="23" t="inlineStr"/>
      <c r="M135" s="23" t="inlineStr">
        <is>
          <t>Cost &amp; Forecast Control Accounts Cycle 2</t>
        </is>
      </c>
      <c r="N135" s="23" t="inlineStr">
        <is>
          <t>Rev 1</t>
        </is>
      </c>
      <c r="O135" s="23" t="inlineStr">
        <is>
          <t>R1093-v2</t>
        </is>
      </c>
      <c r="P135" s="23" t="inlineStr"/>
      <c r="Q135" s="23" t="inlineStr"/>
      <c r="R135" s="23" t="inlineStr"/>
      <c r="S135" s="23" t="inlineStr"/>
      <c r="T135" s="23" t="inlineStr"/>
      <c r="U135" s="23" t="inlineStr"/>
      <c r="V135" s="23" t="inlineStr">
        <is>
          <t>Cost Account = CA-1011; WBS Code = 1.1.1</t>
        </is>
      </c>
      <c r="W135" s="23" t="inlineStr"/>
    </row>
    <row r="136" ht="64" customHeight="1">
      <c r="A136" s="23" t="inlineStr">
        <is>
          <t>1.1.1</t>
        </is>
      </c>
      <c r="B136" s="23" t="inlineStr">
        <is>
          <t>Guideway and Civil - Guideway Structures</t>
        </is>
      </c>
      <c r="C136" s="23" t="inlineStr">
        <is>
          <t>Cost &amp; Forecast Control Accounts</t>
        </is>
      </c>
      <c r="D136" s="23" t="inlineStr">
        <is>
          <t>CST-01-013</t>
        </is>
      </c>
      <c r="E136" s="23" t="inlineStr">
        <is>
          <t>Guideway and Civil - roadworks - closeout</t>
        </is>
      </c>
      <c r="F136" s="23" t="inlineStr">
        <is>
          <t>ONE_TO_ONE</t>
        </is>
      </c>
      <c r="G136" s="23" t="inlineStr">
        <is>
          <t>RETAINED</t>
        </is>
      </c>
      <c r="H136" s="23" t="inlineStr">
        <is>
          <t>Carried forward</t>
        </is>
      </c>
      <c r="I136" s="23" t="inlineStr">
        <is>
          <t>Source assignment -- not individually reviewed</t>
        </is>
      </c>
      <c r="J136" s="23" t="inlineStr"/>
      <c r="K136" s="23" t="inlineStr">
        <is>
          <t>Source assignment</t>
        </is>
      </c>
      <c r="L136" s="23" t="inlineStr"/>
      <c r="M136" s="23" t="inlineStr">
        <is>
          <t>Cost &amp; Forecast Control Accounts Cycle 2</t>
        </is>
      </c>
      <c r="N136" s="23" t="inlineStr">
        <is>
          <t>Rev 1</t>
        </is>
      </c>
      <c r="O136" s="23" t="inlineStr">
        <is>
          <t>R1095-v2</t>
        </is>
      </c>
      <c r="P136" s="23" t="inlineStr"/>
      <c r="Q136" s="23" t="inlineStr"/>
      <c r="R136" s="23" t="inlineStr"/>
      <c r="S136" s="23" t="inlineStr"/>
      <c r="T136" s="23" t="inlineStr"/>
      <c r="U136" s="23" t="inlineStr"/>
      <c r="V136" s="23" t="inlineStr">
        <is>
          <t>Cost Account = CA-1013; WBS Code = 1.1.1</t>
        </is>
      </c>
      <c r="W136" s="23" t="inlineStr"/>
    </row>
    <row r="137" ht="64" customHeight="1">
      <c r="A137" s="23" t="inlineStr">
        <is>
          <t>1.1.1</t>
        </is>
      </c>
      <c r="B137" s="23" t="inlineStr">
        <is>
          <t>Guideway and Civil - Guideway Structures</t>
        </is>
      </c>
      <c r="C137" s="23" t="inlineStr">
        <is>
          <t>Cost &amp; Forecast Control Accounts</t>
        </is>
      </c>
      <c r="D137" s="23" t="inlineStr">
        <is>
          <t>CST-01-015</t>
        </is>
      </c>
      <c r="E137" s="23" t="inlineStr">
        <is>
          <t>Guideway and Civil - concrete structures - supply and install</t>
        </is>
      </c>
      <c r="F137" s="23" t="inlineStr">
        <is>
          <t>ONE_TO_ONE</t>
        </is>
      </c>
      <c r="G137" s="23" t="inlineStr">
        <is>
          <t>RETAINED</t>
        </is>
      </c>
      <c r="H137" s="23" t="inlineStr">
        <is>
          <t>Carried forward</t>
        </is>
      </c>
      <c r="I137" s="23" t="inlineStr">
        <is>
          <t>Source assignment -- not individually reviewed</t>
        </is>
      </c>
      <c r="J137" s="23" t="inlineStr"/>
      <c r="K137" s="23" t="inlineStr">
        <is>
          <t>Source assignment</t>
        </is>
      </c>
      <c r="L137" s="23" t="inlineStr"/>
      <c r="M137" s="23" t="inlineStr">
        <is>
          <t>Cost &amp; Forecast Control Accounts Cycle 2</t>
        </is>
      </c>
      <c r="N137" s="23" t="inlineStr">
        <is>
          <t>Rev 1</t>
        </is>
      </c>
      <c r="O137" s="23" t="inlineStr">
        <is>
          <t>R1097-v2</t>
        </is>
      </c>
      <c r="P137" s="23" t="inlineStr"/>
      <c r="Q137" s="23" t="inlineStr"/>
      <c r="R137" s="23" t="inlineStr"/>
      <c r="S137" s="23" t="inlineStr"/>
      <c r="T137" s="23" t="inlineStr"/>
      <c r="U137" s="23" t="inlineStr"/>
      <c r="V137" s="23" t="inlineStr">
        <is>
          <t>Cost Account = CA-1015; WBS Code = 1.1.1</t>
        </is>
      </c>
      <c r="W137" s="23" t="inlineStr"/>
    </row>
    <row r="138" ht="64" customHeight="1">
      <c r="A138" s="23" t="inlineStr">
        <is>
          <t>1.1.1</t>
        </is>
      </c>
      <c r="B138" s="23" t="inlineStr">
        <is>
          <t>Guideway and Civil - Guideway Structures</t>
        </is>
      </c>
      <c r="C138" s="23" t="inlineStr">
        <is>
          <t>Cost &amp; Forecast Control Accounts</t>
        </is>
      </c>
      <c r="D138" s="23" t="inlineStr">
        <is>
          <t>CST-01-017</t>
        </is>
      </c>
      <c r="E138" s="23" t="inlineStr">
        <is>
          <t>Guideway and Civil - temporary works - allowance</t>
        </is>
      </c>
      <c r="F138" s="23" t="inlineStr">
        <is>
          <t>ONE_TO_ONE</t>
        </is>
      </c>
      <c r="G138" s="23" t="inlineStr">
        <is>
          <t>RETAINED</t>
        </is>
      </c>
      <c r="H138" s="23" t="inlineStr">
        <is>
          <t>Carried forward</t>
        </is>
      </c>
      <c r="I138" s="23" t="inlineStr">
        <is>
          <t>Source assignment -- not individually reviewed</t>
        </is>
      </c>
      <c r="J138" s="23" t="inlineStr"/>
      <c r="K138" s="23" t="inlineStr">
        <is>
          <t>Source assignment</t>
        </is>
      </c>
      <c r="L138" s="23" t="inlineStr"/>
      <c r="M138" s="23" t="inlineStr">
        <is>
          <t>Cost &amp; Forecast Control Accounts Cycle 2</t>
        </is>
      </c>
      <c r="N138" s="23" t="inlineStr">
        <is>
          <t>Rev 1</t>
        </is>
      </c>
      <c r="O138" s="23" t="inlineStr">
        <is>
          <t>R1099-v2</t>
        </is>
      </c>
      <c r="P138" s="23" t="inlineStr"/>
      <c r="Q138" s="23" t="inlineStr"/>
      <c r="R138" s="23" t="inlineStr"/>
      <c r="S138" s="23" t="inlineStr"/>
      <c r="T138" s="23" t="inlineStr"/>
      <c r="U138" s="23" t="inlineStr"/>
      <c r="V138" s="23" t="inlineStr">
        <is>
          <t>Cost Account = CA-1017; WBS Code = 1.1.1</t>
        </is>
      </c>
      <c r="W138" s="23" t="inlineStr"/>
    </row>
    <row r="139" ht="64" customHeight="1">
      <c r="A139" s="23" t="inlineStr">
        <is>
          <t>1.1.1</t>
        </is>
      </c>
      <c r="B139" s="23" t="inlineStr">
        <is>
          <t>Guideway and Civil - Guideway Structures</t>
        </is>
      </c>
      <c r="C139" s="23" t="inlineStr">
        <is>
          <t>Cost &amp; Forecast Control Accounts</t>
        </is>
      </c>
      <c r="D139" s="23" t="inlineStr">
        <is>
          <t>CST-01-019</t>
        </is>
      </c>
      <c r="E139" s="23" t="inlineStr">
        <is>
          <t>Guideway and Civil - roadworks - field package</t>
        </is>
      </c>
      <c r="F139" s="23" t="inlineStr">
        <is>
          <t>ONE_TO_ONE</t>
        </is>
      </c>
      <c r="G139" s="23" t="inlineStr">
        <is>
          <t>RETAINED</t>
        </is>
      </c>
      <c r="H139" s="23" t="inlineStr">
        <is>
          <t>Carried forward</t>
        </is>
      </c>
      <c r="I139" s="23" t="inlineStr">
        <is>
          <t>Source assignment -- not individually reviewed</t>
        </is>
      </c>
      <c r="J139" s="23" t="inlineStr"/>
      <c r="K139" s="23" t="inlineStr">
        <is>
          <t>Source assignment</t>
        </is>
      </c>
      <c r="L139" s="23" t="inlineStr"/>
      <c r="M139" s="23" t="inlineStr">
        <is>
          <t>Cost &amp; Forecast Control Accounts Cycle 2</t>
        </is>
      </c>
      <c r="N139" s="23" t="inlineStr">
        <is>
          <t>Rev 1</t>
        </is>
      </c>
      <c r="O139" s="23" t="inlineStr">
        <is>
          <t>R1101-v2</t>
        </is>
      </c>
      <c r="P139" s="23" t="inlineStr"/>
      <c r="Q139" s="23" t="inlineStr"/>
      <c r="R139" s="23" t="inlineStr"/>
      <c r="S139" s="23" t="inlineStr"/>
      <c r="T139" s="23" t="inlineStr"/>
      <c r="U139" s="23" t="inlineStr"/>
      <c r="V139" s="23" t="inlineStr">
        <is>
          <t>Cost Account = CA-1019; WBS Code = 1.1.1</t>
        </is>
      </c>
      <c r="W139" s="23" t="inlineStr"/>
    </row>
    <row r="140" ht="64" customHeight="1">
      <c r="A140" s="23" t="inlineStr">
        <is>
          <t>1.1.1</t>
        </is>
      </c>
      <c r="B140" s="23" t="inlineStr">
        <is>
          <t>Guideway and Civil - Guideway Structures</t>
        </is>
      </c>
      <c r="C140" s="23" t="inlineStr">
        <is>
          <t>Cost &amp; Forecast Control Accounts</t>
        </is>
      </c>
      <c r="D140" s="23" t="inlineStr">
        <is>
          <t>CST-01-021</t>
        </is>
      </c>
      <c r="E140" s="23" t="inlineStr">
        <is>
          <t>Guideway and Civil - concrete structures - professional services</t>
        </is>
      </c>
      <c r="F140" s="23" t="inlineStr">
        <is>
          <t>ONE_TO_ONE</t>
        </is>
      </c>
      <c r="G140" s="23" t="inlineStr">
        <is>
          <t>RETAINED</t>
        </is>
      </c>
      <c r="H140" s="23" t="inlineStr">
        <is>
          <t>Carried forward</t>
        </is>
      </c>
      <c r="I140" s="23" t="inlineStr">
        <is>
          <t>Source assignment -- not individually reviewed</t>
        </is>
      </c>
      <c r="J140" s="23" t="inlineStr"/>
      <c r="K140" s="23" t="inlineStr">
        <is>
          <t>Source assignment</t>
        </is>
      </c>
      <c r="L140" s="23" t="inlineStr"/>
      <c r="M140" s="23" t="inlineStr">
        <is>
          <t>Cost &amp; Forecast Control Accounts Cycle 2</t>
        </is>
      </c>
      <c r="N140" s="23" t="inlineStr">
        <is>
          <t>Rev 1</t>
        </is>
      </c>
      <c r="O140" s="23" t="inlineStr">
        <is>
          <t>R1103-v2</t>
        </is>
      </c>
      <c r="P140" s="23" t="inlineStr"/>
      <c r="Q140" s="23" t="inlineStr"/>
      <c r="R140" s="23" t="inlineStr"/>
      <c r="S140" s="23" t="inlineStr"/>
      <c r="T140" s="23" t="inlineStr"/>
      <c r="U140" s="23" t="inlineStr"/>
      <c r="V140" s="23" t="inlineStr">
        <is>
          <t>Cost Account = CA-1021; WBS Code = 1.1.1</t>
        </is>
      </c>
      <c r="W140" s="23" t="inlineStr"/>
    </row>
    <row r="141" ht="64" customHeight="1">
      <c r="A141" s="23" t="inlineStr">
        <is>
          <t>1.1.1</t>
        </is>
      </c>
      <c r="B141" s="23" t="inlineStr">
        <is>
          <t>Guideway and Civil - Guideway Structures</t>
        </is>
      </c>
      <c r="C141" s="23" t="inlineStr">
        <is>
          <t>Cost &amp; Forecast Control Accounts</t>
        </is>
      </c>
      <c r="D141" s="23" t="inlineStr">
        <is>
          <t>CST-01-023</t>
        </is>
      </c>
      <c r="E141" s="23" t="inlineStr">
        <is>
          <t>Guideway and Civil - temporary works - closeout</t>
        </is>
      </c>
      <c r="F141" s="23" t="inlineStr">
        <is>
          <t>ONE_TO_ONE</t>
        </is>
      </c>
      <c r="G141" s="23" t="inlineStr">
        <is>
          <t>RETAINED</t>
        </is>
      </c>
      <c r="H141" s="23" t="inlineStr">
        <is>
          <t>Carried forward</t>
        </is>
      </c>
      <c r="I141" s="23" t="inlineStr">
        <is>
          <t>Source assignment -- not individually reviewed</t>
        </is>
      </c>
      <c r="J141" s="23" t="inlineStr"/>
      <c r="K141" s="23" t="inlineStr">
        <is>
          <t>Source assignment</t>
        </is>
      </c>
      <c r="L141" s="23" t="inlineStr"/>
      <c r="M141" s="23" t="inlineStr">
        <is>
          <t>Cost &amp; Forecast Control Accounts Cycle 2</t>
        </is>
      </c>
      <c r="N141" s="23" t="inlineStr">
        <is>
          <t>Rev 1</t>
        </is>
      </c>
      <c r="O141" s="23" t="inlineStr">
        <is>
          <t>R1105-v2</t>
        </is>
      </c>
      <c r="P141" s="23" t="inlineStr"/>
      <c r="Q141" s="23" t="inlineStr"/>
      <c r="R141" s="23" t="inlineStr"/>
      <c r="S141" s="23" t="inlineStr"/>
      <c r="T141" s="23" t="inlineStr"/>
      <c r="U141" s="23" t="inlineStr"/>
      <c r="V141" s="23" t="inlineStr">
        <is>
          <t>Cost Account = CA-1023; WBS Code = 1.1.1</t>
        </is>
      </c>
      <c r="W141" s="23" t="inlineStr"/>
    </row>
    <row r="142" ht="64" customHeight="1">
      <c r="A142" s="23" t="inlineStr">
        <is>
          <t>1.1.1</t>
        </is>
      </c>
      <c r="B142" s="23" t="inlineStr">
        <is>
          <t>Guideway and Civil - Guideway Structures</t>
        </is>
      </c>
      <c r="C142" s="23" t="inlineStr">
        <is>
          <t>Cost &amp; Forecast Control Accounts</t>
        </is>
      </c>
      <c r="D142" s="23" t="inlineStr">
        <is>
          <t>CST-01-025</t>
        </is>
      </c>
      <c r="E142" s="23" t="inlineStr">
        <is>
          <t>Guideway and Civil - roadworks - supply and install</t>
        </is>
      </c>
      <c r="F142" s="23" t="inlineStr">
        <is>
          <t>ONE_TO_ONE</t>
        </is>
      </c>
      <c r="G142" s="23" t="inlineStr">
        <is>
          <t>RETAINED</t>
        </is>
      </c>
      <c r="H142" s="23" t="inlineStr">
        <is>
          <t>Carried forward</t>
        </is>
      </c>
      <c r="I142" s="23" t="inlineStr">
        <is>
          <t>Source assignment -- not individually reviewed</t>
        </is>
      </c>
      <c r="J142" s="23" t="inlineStr"/>
      <c r="K142" s="23" t="inlineStr">
        <is>
          <t>Source assignment</t>
        </is>
      </c>
      <c r="L142" s="23" t="inlineStr"/>
      <c r="M142" s="23" t="inlineStr">
        <is>
          <t>Cost &amp; Forecast Control Accounts Cycle 2</t>
        </is>
      </c>
      <c r="N142" s="23" t="inlineStr">
        <is>
          <t>Rev 1</t>
        </is>
      </c>
      <c r="O142" s="23" t="inlineStr">
        <is>
          <t>R1107-v2</t>
        </is>
      </c>
      <c r="P142" s="23" t="inlineStr"/>
      <c r="Q142" s="23" t="inlineStr"/>
      <c r="R142" s="23" t="inlineStr"/>
      <c r="S142" s="23" t="inlineStr"/>
      <c r="T142" s="23" t="inlineStr"/>
      <c r="U142" s="23" t="inlineStr"/>
      <c r="V142" s="23" t="inlineStr">
        <is>
          <t>Cost Account = CA-1025; WBS Code = 1.1.1</t>
        </is>
      </c>
      <c r="W142" s="23" t="inlineStr"/>
    </row>
    <row r="143" ht="64" customHeight="1">
      <c r="A143" s="23" t="inlineStr">
        <is>
          <t>1.1.1</t>
        </is>
      </c>
      <c r="B143" s="23" t="inlineStr">
        <is>
          <t>Guideway and Civil - Guideway Structures</t>
        </is>
      </c>
      <c r="C143" s="23" t="inlineStr">
        <is>
          <t>Cost &amp; Forecast Control Accounts</t>
        </is>
      </c>
      <c r="D143" s="23" t="inlineStr">
        <is>
          <t>CST-01-027</t>
        </is>
      </c>
      <c r="E143" s="23" t="inlineStr">
        <is>
          <t>Guideway and Civil - concrete structures - allowance</t>
        </is>
      </c>
      <c r="F143" s="23" t="inlineStr">
        <is>
          <t>ONE_TO_ONE</t>
        </is>
      </c>
      <c r="G143" s="23" t="inlineStr">
        <is>
          <t>RETAINED</t>
        </is>
      </c>
      <c r="H143" s="23" t="inlineStr">
        <is>
          <t>Carried forward</t>
        </is>
      </c>
      <c r="I143" s="23" t="inlineStr">
        <is>
          <t>Source assignment -- not individually reviewed</t>
        </is>
      </c>
      <c r="J143" s="23" t="inlineStr"/>
      <c r="K143" s="23" t="inlineStr">
        <is>
          <t>Source assignment</t>
        </is>
      </c>
      <c r="L143" s="23" t="inlineStr"/>
      <c r="M143" s="23" t="inlineStr">
        <is>
          <t>Cost &amp; Forecast Control Accounts Cycle 2</t>
        </is>
      </c>
      <c r="N143" s="23" t="inlineStr">
        <is>
          <t>Rev 1</t>
        </is>
      </c>
      <c r="O143" s="23" t="inlineStr">
        <is>
          <t>R1109-v2</t>
        </is>
      </c>
      <c r="P143" s="23" t="inlineStr"/>
      <c r="Q143" s="23" t="inlineStr"/>
      <c r="R143" s="23" t="inlineStr"/>
      <c r="S143" s="23" t="inlineStr"/>
      <c r="T143" s="23" t="inlineStr"/>
      <c r="U143" s="23" t="inlineStr"/>
      <c r="V143" s="23" t="inlineStr">
        <is>
          <t>Cost Account = CA-1027; WBS Code = 1.1.1</t>
        </is>
      </c>
      <c r="W143" s="23" t="inlineStr"/>
    </row>
    <row r="144" ht="64" customHeight="1">
      <c r="A144" s="23" t="inlineStr">
        <is>
          <t>1.1.1</t>
        </is>
      </c>
      <c r="B144" s="23" t="inlineStr">
        <is>
          <t>Guideway and Civil - Guideway Structures</t>
        </is>
      </c>
      <c r="C144" s="23" t="inlineStr">
        <is>
          <t>Cost &amp; Forecast Control Accounts</t>
        </is>
      </c>
      <c r="D144" s="23" t="inlineStr">
        <is>
          <t>CST-01-029</t>
        </is>
      </c>
      <c r="E144" s="23" t="inlineStr">
        <is>
          <t>Guideway and Civil - temporary works - field package</t>
        </is>
      </c>
      <c r="F144" s="23" t="inlineStr">
        <is>
          <t>ONE_TO_ONE</t>
        </is>
      </c>
      <c r="G144" s="23" t="inlineStr">
        <is>
          <t>RETAINED</t>
        </is>
      </c>
      <c r="H144" s="23" t="inlineStr">
        <is>
          <t>Carried forward</t>
        </is>
      </c>
      <c r="I144" s="23" t="inlineStr">
        <is>
          <t>Source assignment -- not individually reviewed</t>
        </is>
      </c>
      <c r="J144" s="23" t="inlineStr"/>
      <c r="K144" s="23" t="inlineStr">
        <is>
          <t>Source assignment</t>
        </is>
      </c>
      <c r="L144" s="23" t="inlineStr"/>
      <c r="M144" s="23" t="inlineStr">
        <is>
          <t>Cost &amp; Forecast Control Accounts Cycle 2</t>
        </is>
      </c>
      <c r="N144" s="23" t="inlineStr">
        <is>
          <t>Rev 1</t>
        </is>
      </c>
      <c r="O144" s="23" t="inlineStr">
        <is>
          <t>R1111-v2</t>
        </is>
      </c>
      <c r="P144" s="23" t="inlineStr"/>
      <c r="Q144" s="23" t="inlineStr"/>
      <c r="R144" s="23" t="inlineStr"/>
      <c r="S144" s="23" t="inlineStr"/>
      <c r="T144" s="23" t="inlineStr"/>
      <c r="U144" s="23" t="inlineStr"/>
      <c r="V144" s="23" t="inlineStr">
        <is>
          <t>Cost Account = CA-1029; WBS Code = 1.1.1</t>
        </is>
      </c>
      <c r="W144" s="23" t="inlineStr"/>
    </row>
    <row r="145" ht="64" customHeight="1">
      <c r="A145" s="23" t="inlineStr">
        <is>
          <t>1.1.1</t>
        </is>
      </c>
      <c r="B145" s="23" t="inlineStr">
        <is>
          <t>Guideway and Civil - Guideway Structures</t>
        </is>
      </c>
      <c r="C145" s="23" t="inlineStr">
        <is>
          <t>Cost &amp; Forecast Control Accounts</t>
        </is>
      </c>
      <c r="D145" s="23" t="inlineStr">
        <is>
          <t>CST-01-031</t>
        </is>
      </c>
      <c r="E145" s="23" t="inlineStr">
        <is>
          <t>Guideway and Civil - roadworks - professional services</t>
        </is>
      </c>
      <c r="F145" s="23" t="inlineStr">
        <is>
          <t>ONE_TO_ONE</t>
        </is>
      </c>
      <c r="G145" s="23" t="inlineStr">
        <is>
          <t>RETAINED</t>
        </is>
      </c>
      <c r="H145" s="23" t="inlineStr">
        <is>
          <t>Carried forward</t>
        </is>
      </c>
      <c r="I145" s="23" t="inlineStr">
        <is>
          <t>Source assignment -- not individually reviewed</t>
        </is>
      </c>
      <c r="J145" s="23" t="inlineStr"/>
      <c r="K145" s="23" t="inlineStr">
        <is>
          <t>Source assignment</t>
        </is>
      </c>
      <c r="L145" s="23" t="inlineStr"/>
      <c r="M145" s="23" t="inlineStr">
        <is>
          <t>Cost &amp; Forecast Control Accounts Cycle 2</t>
        </is>
      </c>
      <c r="N145" s="23" t="inlineStr">
        <is>
          <t>Rev 1</t>
        </is>
      </c>
      <c r="O145" s="23" t="inlineStr">
        <is>
          <t>R1113-v2</t>
        </is>
      </c>
      <c r="P145" s="23" t="inlineStr"/>
      <c r="Q145" s="23" t="inlineStr"/>
      <c r="R145" s="23" t="inlineStr"/>
      <c r="S145" s="23" t="inlineStr"/>
      <c r="T145" s="23" t="inlineStr"/>
      <c r="U145" s="23" t="inlineStr"/>
      <c r="V145" s="23" t="inlineStr">
        <is>
          <t>Cost Account = CA-1031; WBS Code = 1.1.1</t>
        </is>
      </c>
      <c r="W145" s="23" t="inlineStr"/>
    </row>
    <row r="146" ht="64" customHeight="1">
      <c r="A146" s="23" t="inlineStr">
        <is>
          <t>1.1.1</t>
        </is>
      </c>
      <c r="B146" s="23" t="inlineStr">
        <is>
          <t>Guideway and Civil - Guideway Structures</t>
        </is>
      </c>
      <c r="C146" s="23" t="inlineStr">
        <is>
          <t>Cost &amp; Forecast Control Accounts</t>
        </is>
      </c>
      <c r="D146" s="23" t="inlineStr">
        <is>
          <t>CST-01-033</t>
        </is>
      </c>
      <c r="E146" s="23" t="inlineStr">
        <is>
          <t>Guideway and Civil - concrete structures - closeout</t>
        </is>
      </c>
      <c r="F146" s="23" t="inlineStr">
        <is>
          <t>ONE_TO_ONE</t>
        </is>
      </c>
      <c r="G146" s="23" t="inlineStr">
        <is>
          <t>RETAINED</t>
        </is>
      </c>
      <c r="H146" s="23" t="inlineStr">
        <is>
          <t>Carried forward</t>
        </is>
      </c>
      <c r="I146" s="23" t="inlineStr">
        <is>
          <t>Source assignment -- not individually reviewed</t>
        </is>
      </c>
      <c r="J146" s="23" t="inlineStr"/>
      <c r="K146" s="23" t="inlineStr">
        <is>
          <t>Source assignment</t>
        </is>
      </c>
      <c r="L146" s="23" t="inlineStr"/>
      <c r="M146" s="23" t="inlineStr">
        <is>
          <t>Cost &amp; Forecast Control Accounts Cycle 2</t>
        </is>
      </c>
      <c r="N146" s="23" t="inlineStr">
        <is>
          <t>Rev 1</t>
        </is>
      </c>
      <c r="O146" s="23" t="inlineStr">
        <is>
          <t>R1115-v2</t>
        </is>
      </c>
      <c r="P146" s="23" t="inlineStr"/>
      <c r="Q146" s="23" t="inlineStr"/>
      <c r="R146" s="23" t="inlineStr"/>
      <c r="S146" s="23" t="inlineStr"/>
      <c r="T146" s="23" t="inlineStr"/>
      <c r="U146" s="23" t="inlineStr"/>
      <c r="V146" s="23" t="inlineStr">
        <is>
          <t>Cost Account = CA-1033; WBS Code = 1.1.1</t>
        </is>
      </c>
      <c r="W146" s="23" t="inlineStr"/>
    </row>
    <row r="147" ht="64" customHeight="1">
      <c r="A147" s="23" t="inlineStr">
        <is>
          <t>1.1.1</t>
        </is>
      </c>
      <c r="B147" s="23" t="inlineStr">
        <is>
          <t>Guideway and Civil - Guideway Structures</t>
        </is>
      </c>
      <c r="C147" s="23" t="inlineStr">
        <is>
          <t>Cost &amp; Forecast Control Accounts</t>
        </is>
      </c>
      <c r="D147" s="23" t="inlineStr">
        <is>
          <t>CST-01-035</t>
        </is>
      </c>
      <c r="E147" s="23" t="inlineStr">
        <is>
          <t>Guideway and Civil - temporary works - supply and install</t>
        </is>
      </c>
      <c r="F147" s="23" t="inlineStr">
        <is>
          <t>ONE_TO_ONE</t>
        </is>
      </c>
      <c r="G147" s="23" t="inlineStr">
        <is>
          <t>RETAINED</t>
        </is>
      </c>
      <c r="H147" s="23" t="inlineStr">
        <is>
          <t>Carried forward</t>
        </is>
      </c>
      <c r="I147" s="23" t="inlineStr">
        <is>
          <t>Source assignment -- not individually reviewed</t>
        </is>
      </c>
      <c r="J147" s="23" t="inlineStr"/>
      <c r="K147" s="23" t="inlineStr">
        <is>
          <t>Source assignment</t>
        </is>
      </c>
      <c r="L147" s="23" t="inlineStr"/>
      <c r="M147" s="23" t="inlineStr">
        <is>
          <t>Cost &amp; Forecast Control Accounts Cycle 2</t>
        </is>
      </c>
      <c r="N147" s="23" t="inlineStr">
        <is>
          <t>Rev 1</t>
        </is>
      </c>
      <c r="O147" s="23" t="inlineStr">
        <is>
          <t>R1117-v2</t>
        </is>
      </c>
      <c r="P147" s="23" t="inlineStr"/>
      <c r="Q147" s="23" t="inlineStr"/>
      <c r="R147" s="23" t="inlineStr"/>
      <c r="S147" s="23" t="inlineStr"/>
      <c r="T147" s="23" t="inlineStr"/>
      <c r="U147" s="23" t="inlineStr"/>
      <c r="V147" s="23" t="inlineStr">
        <is>
          <t>Cost Account = CA-1035; WBS Code = 1.1.1</t>
        </is>
      </c>
      <c r="W147" s="23" t="inlineStr"/>
    </row>
    <row r="148" ht="64" customHeight="1">
      <c r="A148" s="23" t="inlineStr">
        <is>
          <t>1.1.1</t>
        </is>
      </c>
      <c r="B148" s="23" t="inlineStr">
        <is>
          <t>Guideway and Civil - Guideway Structures</t>
        </is>
      </c>
      <c r="C148" s="23" t="inlineStr">
        <is>
          <t>Cost &amp; Forecast Control Accounts</t>
        </is>
      </c>
      <c r="D148" s="23" t="inlineStr">
        <is>
          <t>CST-01-037</t>
        </is>
      </c>
      <c r="E148" s="23" t="inlineStr">
        <is>
          <t>Guideway and Civil - roadworks - allowance</t>
        </is>
      </c>
      <c r="F148" s="23" t="inlineStr">
        <is>
          <t>ONE_TO_ONE</t>
        </is>
      </c>
      <c r="G148" s="23" t="inlineStr">
        <is>
          <t>RETAINED</t>
        </is>
      </c>
      <c r="H148" s="23" t="inlineStr">
        <is>
          <t>Carried forward</t>
        </is>
      </c>
      <c r="I148" s="23" t="inlineStr">
        <is>
          <t>Source assignment -- not individually reviewed</t>
        </is>
      </c>
      <c r="J148" s="23" t="inlineStr"/>
      <c r="K148" s="23" t="inlineStr">
        <is>
          <t>Source assignment</t>
        </is>
      </c>
      <c r="L148" s="23" t="inlineStr"/>
      <c r="M148" s="23" t="inlineStr">
        <is>
          <t>Cost &amp; Forecast Control Accounts Cycle 2</t>
        </is>
      </c>
      <c r="N148" s="23" t="inlineStr">
        <is>
          <t>Rev 1</t>
        </is>
      </c>
      <c r="O148" s="23" t="inlineStr">
        <is>
          <t>R1119-v2</t>
        </is>
      </c>
      <c r="P148" s="23" t="inlineStr"/>
      <c r="Q148" s="23" t="inlineStr"/>
      <c r="R148" s="23" t="inlineStr"/>
      <c r="S148" s="23" t="inlineStr"/>
      <c r="T148" s="23" t="inlineStr"/>
      <c r="U148" s="23" t="inlineStr"/>
      <c r="V148" s="23" t="inlineStr">
        <is>
          <t>Cost Account = CA-1037; WBS Code = 1.1.1</t>
        </is>
      </c>
      <c r="W148" s="23" t="inlineStr"/>
    </row>
    <row r="149" ht="64" customHeight="1">
      <c r="A149" s="23" t="inlineStr">
        <is>
          <t>1.1.1</t>
        </is>
      </c>
      <c r="B149" s="23" t="inlineStr">
        <is>
          <t>Guideway and Civil - Guideway Structures</t>
        </is>
      </c>
      <c r="C149" s="23" t="inlineStr">
        <is>
          <t>Cost &amp; Forecast Control Accounts</t>
        </is>
      </c>
      <c r="D149" s="23" t="inlineStr">
        <is>
          <t>CST-01-039</t>
        </is>
      </c>
      <c r="E149" s="23" t="inlineStr">
        <is>
          <t>Guideway and Civil - concrete structures - field package</t>
        </is>
      </c>
      <c r="F149" s="23" t="inlineStr">
        <is>
          <t>ONE_TO_ONE</t>
        </is>
      </c>
      <c r="G149" s="23" t="inlineStr">
        <is>
          <t>RETAINED</t>
        </is>
      </c>
      <c r="H149" s="23" t="inlineStr">
        <is>
          <t>Carried forward</t>
        </is>
      </c>
      <c r="I149" s="23" t="inlineStr">
        <is>
          <t>Source assignment -- not individually reviewed</t>
        </is>
      </c>
      <c r="J149" s="23" t="inlineStr"/>
      <c r="K149" s="23" t="inlineStr">
        <is>
          <t>Source assignment</t>
        </is>
      </c>
      <c r="L149" s="23" t="inlineStr"/>
      <c r="M149" s="23" t="inlineStr">
        <is>
          <t>Cost &amp; Forecast Control Accounts Cycle 2</t>
        </is>
      </c>
      <c r="N149" s="23" t="inlineStr">
        <is>
          <t>Rev 1</t>
        </is>
      </c>
      <c r="O149" s="23" t="inlineStr">
        <is>
          <t>R1121-v2</t>
        </is>
      </c>
      <c r="P149" s="23" t="inlineStr"/>
      <c r="Q149" s="23" t="inlineStr"/>
      <c r="R149" s="23" t="inlineStr"/>
      <c r="S149" s="23" t="inlineStr"/>
      <c r="T149" s="23" t="inlineStr"/>
      <c r="U149" s="23" t="inlineStr"/>
      <c r="V149" s="23" t="inlineStr">
        <is>
          <t>Cost Account = CA-1039; WBS Code = 1.1.1</t>
        </is>
      </c>
      <c r="W149" s="23" t="inlineStr"/>
    </row>
    <row r="150" ht="64" customHeight="1">
      <c r="A150" s="23" t="inlineStr">
        <is>
          <t>1.1.1</t>
        </is>
      </c>
      <c r="B150" s="23" t="inlineStr">
        <is>
          <t>Guideway and Civil - Guideway Structures</t>
        </is>
      </c>
      <c r="C150" s="23" t="inlineStr">
        <is>
          <t>Cost &amp; Forecast Control Accounts</t>
        </is>
      </c>
      <c r="D150" s="23" t="inlineStr">
        <is>
          <t>CST-01-041</t>
        </is>
      </c>
      <c r="E150" s="23" t="inlineStr">
        <is>
          <t>Guideway and Civil - temporary works - professional services</t>
        </is>
      </c>
      <c r="F150" s="23" t="inlineStr">
        <is>
          <t>ONE_TO_ONE</t>
        </is>
      </c>
      <c r="G150" s="23" t="inlineStr">
        <is>
          <t>RETAINED</t>
        </is>
      </c>
      <c r="H150" s="23" t="inlineStr">
        <is>
          <t>Carried forward</t>
        </is>
      </c>
      <c r="I150" s="23" t="inlineStr">
        <is>
          <t>Source assignment -- not individually reviewed</t>
        </is>
      </c>
      <c r="J150" s="23" t="inlineStr"/>
      <c r="K150" s="23" t="inlineStr">
        <is>
          <t>Source assignment</t>
        </is>
      </c>
      <c r="L150" s="23" t="inlineStr"/>
      <c r="M150" s="23" t="inlineStr">
        <is>
          <t>Cost &amp; Forecast Control Accounts Cycle 2</t>
        </is>
      </c>
      <c r="N150" s="23" t="inlineStr">
        <is>
          <t>Rev 1</t>
        </is>
      </c>
      <c r="O150" s="23" t="inlineStr">
        <is>
          <t>R1123-v2</t>
        </is>
      </c>
      <c r="P150" s="23" t="inlineStr"/>
      <c r="Q150" s="23" t="inlineStr"/>
      <c r="R150" s="23" t="inlineStr"/>
      <c r="S150" s="23" t="inlineStr"/>
      <c r="T150" s="23" t="inlineStr"/>
      <c r="U150" s="23" t="inlineStr"/>
      <c r="V150" s="23" t="inlineStr">
        <is>
          <t>Cost Account = CA-1041; WBS Code = 1.1.1</t>
        </is>
      </c>
      <c r="W150" s="23" t="inlineStr"/>
    </row>
    <row r="151" ht="64" customHeight="1">
      <c r="A151" s="23" t="inlineStr">
        <is>
          <t>1.1.1</t>
        </is>
      </c>
      <c r="B151" s="23" t="inlineStr">
        <is>
          <t>Guideway and Civil - Guideway Structures</t>
        </is>
      </c>
      <c r="C151" s="23" t="inlineStr">
        <is>
          <t>Cost &amp; Forecast Control Accounts</t>
        </is>
      </c>
      <c r="D151" s="23" t="inlineStr">
        <is>
          <t>CST-01-043</t>
        </is>
      </c>
      <c r="E151" s="23" t="inlineStr">
        <is>
          <t>Guideway and Civil - roadworks - closeout</t>
        </is>
      </c>
      <c r="F151" s="23" t="inlineStr">
        <is>
          <t>ONE_TO_ONE</t>
        </is>
      </c>
      <c r="G151" s="23" t="inlineStr">
        <is>
          <t>RETAINED</t>
        </is>
      </c>
      <c r="H151" s="23" t="inlineStr">
        <is>
          <t>Carried forward</t>
        </is>
      </c>
      <c r="I151" s="23" t="inlineStr">
        <is>
          <t>Source assignment -- not individually reviewed</t>
        </is>
      </c>
      <c r="J151" s="23" t="inlineStr"/>
      <c r="K151" s="23" t="inlineStr">
        <is>
          <t>Source assignment</t>
        </is>
      </c>
      <c r="L151" s="23" t="inlineStr"/>
      <c r="M151" s="23" t="inlineStr">
        <is>
          <t>Cost &amp; Forecast Control Accounts Cycle 2</t>
        </is>
      </c>
      <c r="N151" s="23" t="inlineStr">
        <is>
          <t>Rev 1</t>
        </is>
      </c>
      <c r="O151" s="23" t="inlineStr">
        <is>
          <t>R1125-v2</t>
        </is>
      </c>
      <c r="P151" s="23" t="inlineStr"/>
      <c r="Q151" s="23" t="inlineStr"/>
      <c r="R151" s="23" t="inlineStr"/>
      <c r="S151" s="23" t="inlineStr"/>
      <c r="T151" s="23" t="inlineStr"/>
      <c r="U151" s="23" t="inlineStr"/>
      <c r="V151" s="23" t="inlineStr">
        <is>
          <t>Cost Account = CA-1043; WBS Code = 1.1.1</t>
        </is>
      </c>
      <c r="W151" s="23" t="inlineStr"/>
    </row>
    <row r="152" ht="64" customHeight="1">
      <c r="A152" s="23" t="inlineStr">
        <is>
          <t>1.1.1</t>
        </is>
      </c>
      <c r="B152" s="23" t="inlineStr">
        <is>
          <t>Guideway and Civil - Guideway Structures</t>
        </is>
      </c>
      <c r="C152" s="23" t="inlineStr">
        <is>
          <t>Cost &amp; Forecast Control Accounts</t>
        </is>
      </c>
      <c r="D152" s="23" t="inlineStr">
        <is>
          <t>CST-01-045</t>
        </is>
      </c>
      <c r="E152" s="23" t="inlineStr">
        <is>
          <t>Guideway and Civil - concrete structures - supply and install</t>
        </is>
      </c>
      <c r="F152" s="23" t="inlineStr">
        <is>
          <t>ONE_TO_ONE</t>
        </is>
      </c>
      <c r="G152" s="23" t="inlineStr">
        <is>
          <t>RETAINED</t>
        </is>
      </c>
      <c r="H152" s="23" t="inlineStr">
        <is>
          <t>Carried forward</t>
        </is>
      </c>
      <c r="I152" s="23" t="inlineStr">
        <is>
          <t>Source assignment -- not individually reviewed</t>
        </is>
      </c>
      <c r="J152" s="23" t="inlineStr"/>
      <c r="K152" s="23" t="inlineStr">
        <is>
          <t>Source assignment</t>
        </is>
      </c>
      <c r="L152" s="23" t="inlineStr"/>
      <c r="M152" s="23" t="inlineStr">
        <is>
          <t>Cost &amp; Forecast Control Accounts Cycle 2</t>
        </is>
      </c>
      <c r="N152" s="23" t="inlineStr">
        <is>
          <t>Rev 1</t>
        </is>
      </c>
      <c r="O152" s="23" t="inlineStr">
        <is>
          <t>R1127-v2</t>
        </is>
      </c>
      <c r="P152" s="23" t="inlineStr"/>
      <c r="Q152" s="23" t="inlineStr"/>
      <c r="R152" s="23" t="inlineStr"/>
      <c r="S152" s="23" t="inlineStr"/>
      <c r="T152" s="23" t="inlineStr"/>
      <c r="U152" s="23" t="inlineStr"/>
      <c r="V152" s="23" t="inlineStr">
        <is>
          <t>Cost Account = CA-1045; WBS Code = 1.1.1</t>
        </is>
      </c>
      <c r="W152" s="23" t="inlineStr"/>
    </row>
    <row r="153" ht="64" customHeight="1">
      <c r="A153" s="23" t="inlineStr">
        <is>
          <t>1.1.1</t>
        </is>
      </c>
      <c r="B153" s="23" t="inlineStr">
        <is>
          <t>Guideway and Civil - Guideway Structures</t>
        </is>
      </c>
      <c r="C153" s="23" t="inlineStr">
        <is>
          <t>Cost &amp; Forecast Control Accounts</t>
        </is>
      </c>
      <c r="D153" s="23" t="inlineStr">
        <is>
          <t>CST-01-047</t>
        </is>
      </c>
      <c r="E153" s="23" t="inlineStr">
        <is>
          <t>Guideway and Civil - temporary works - allowance</t>
        </is>
      </c>
      <c r="F153" s="23" t="inlineStr">
        <is>
          <t>ONE_TO_ONE</t>
        </is>
      </c>
      <c r="G153" s="23" t="inlineStr">
        <is>
          <t>RETAINED</t>
        </is>
      </c>
      <c r="H153" s="23" t="inlineStr">
        <is>
          <t>Carried forward</t>
        </is>
      </c>
      <c r="I153" s="23" t="inlineStr">
        <is>
          <t>Source assignment -- not individually reviewed</t>
        </is>
      </c>
      <c r="J153" s="23" t="inlineStr"/>
      <c r="K153" s="23" t="inlineStr">
        <is>
          <t>Source assignment</t>
        </is>
      </c>
      <c r="L153" s="23" t="inlineStr"/>
      <c r="M153" s="23" t="inlineStr">
        <is>
          <t>Cost &amp; Forecast Control Accounts Cycle 2</t>
        </is>
      </c>
      <c r="N153" s="23" t="inlineStr">
        <is>
          <t>Rev 1</t>
        </is>
      </c>
      <c r="O153" s="23" t="inlineStr">
        <is>
          <t>R1129-v2</t>
        </is>
      </c>
      <c r="P153" s="23" t="inlineStr"/>
      <c r="Q153" s="23" t="inlineStr"/>
      <c r="R153" s="23" t="inlineStr"/>
      <c r="S153" s="23" t="inlineStr"/>
      <c r="T153" s="23" t="inlineStr"/>
      <c r="U153" s="23" t="inlineStr"/>
      <c r="V153" s="23" t="inlineStr">
        <is>
          <t>Cost Account = CA-1047; WBS Code = 1.1.1</t>
        </is>
      </c>
      <c r="W153" s="23" t="inlineStr"/>
    </row>
    <row r="154" ht="64" customHeight="1">
      <c r="A154" s="23" t="inlineStr">
        <is>
          <t>1.1.1</t>
        </is>
      </c>
      <c r="B154" s="23" t="inlineStr">
        <is>
          <t>Guideway and Civil - Guideway Structures</t>
        </is>
      </c>
      <c r="C154" s="23" t="inlineStr">
        <is>
          <t>Cost &amp; Forecast Control Accounts</t>
        </is>
      </c>
      <c r="D154" s="23" t="inlineStr">
        <is>
          <t>CST-01-049</t>
        </is>
      </c>
      <c r="E154" s="23" t="inlineStr">
        <is>
          <t>Guideway and Civil - roadworks - field package</t>
        </is>
      </c>
      <c r="F154" s="23" t="inlineStr">
        <is>
          <t>ONE_TO_ONE</t>
        </is>
      </c>
      <c r="G154" s="23" t="inlineStr">
        <is>
          <t>RETAINED</t>
        </is>
      </c>
      <c r="H154" s="23" t="inlineStr">
        <is>
          <t>Carried forward</t>
        </is>
      </c>
      <c r="I154" s="23" t="inlineStr">
        <is>
          <t>Source assignment -- not individually reviewed</t>
        </is>
      </c>
      <c r="J154" s="23" t="inlineStr"/>
      <c r="K154" s="23" t="inlineStr">
        <is>
          <t>Source assignment</t>
        </is>
      </c>
      <c r="L154" s="23" t="inlineStr"/>
      <c r="M154" s="23" t="inlineStr">
        <is>
          <t>Cost &amp; Forecast Control Accounts Cycle 2</t>
        </is>
      </c>
      <c r="N154" s="23" t="inlineStr">
        <is>
          <t>Rev 1</t>
        </is>
      </c>
      <c r="O154" s="23" t="inlineStr">
        <is>
          <t>R1131-v2</t>
        </is>
      </c>
      <c r="P154" s="23" t="inlineStr"/>
      <c r="Q154" s="23" t="inlineStr"/>
      <c r="R154" s="23" t="inlineStr"/>
      <c r="S154" s="23" t="inlineStr"/>
      <c r="T154" s="23" t="inlineStr"/>
      <c r="U154" s="23" t="inlineStr"/>
      <c r="V154" s="23" t="inlineStr">
        <is>
          <t>Cost Account = CA-1049; WBS Code = 1.1.1</t>
        </is>
      </c>
      <c r="W154" s="23" t="inlineStr"/>
    </row>
    <row r="155" ht="64" customHeight="1">
      <c r="A155" s="23" t="inlineStr">
        <is>
          <t>1.1.1</t>
        </is>
      </c>
      <c r="B155" s="23" t="inlineStr">
        <is>
          <t>Guideway and Civil - Guideway Structures</t>
        </is>
      </c>
      <c r="C155" s="23" t="inlineStr">
        <is>
          <t>Cost &amp; Forecast Control Accounts</t>
        </is>
      </c>
      <c r="D155" s="23" t="inlineStr">
        <is>
          <t>CST-01-051</t>
        </is>
      </c>
      <c r="E155" s="23" t="inlineStr">
        <is>
          <t>Guideway and Civil - concrete structures - professional services</t>
        </is>
      </c>
      <c r="F155" s="23" t="inlineStr">
        <is>
          <t>ONE_TO_ONE</t>
        </is>
      </c>
      <c r="G155" s="23" t="inlineStr">
        <is>
          <t>RETAINED</t>
        </is>
      </c>
      <c r="H155" s="23" t="inlineStr">
        <is>
          <t>Carried forward</t>
        </is>
      </c>
      <c r="I155" s="23" t="inlineStr">
        <is>
          <t>Source assignment -- not individually reviewed</t>
        </is>
      </c>
      <c r="J155" s="23" t="inlineStr"/>
      <c r="K155" s="23" t="inlineStr">
        <is>
          <t>Source assignment</t>
        </is>
      </c>
      <c r="L155" s="23" t="inlineStr"/>
      <c r="M155" s="23" t="inlineStr">
        <is>
          <t>Cost &amp; Forecast Control Accounts Cycle 2</t>
        </is>
      </c>
      <c r="N155" s="23" t="inlineStr">
        <is>
          <t>Rev 1</t>
        </is>
      </c>
      <c r="O155" s="23" t="inlineStr">
        <is>
          <t>R1133-v2</t>
        </is>
      </c>
      <c r="P155" s="23" t="inlineStr"/>
      <c r="Q155" s="23" t="inlineStr"/>
      <c r="R155" s="23" t="inlineStr"/>
      <c r="S155" s="23" t="inlineStr"/>
      <c r="T155" s="23" t="inlineStr"/>
      <c r="U155" s="23" t="inlineStr"/>
      <c r="V155" s="23" t="inlineStr">
        <is>
          <t>Cost Account = CA-1051; WBS Code = 1.1.1</t>
        </is>
      </c>
      <c r="W155" s="23" t="inlineStr"/>
    </row>
    <row r="156" ht="64" customHeight="1">
      <c r="A156" s="23" t="inlineStr">
        <is>
          <t>1.1.1</t>
        </is>
      </c>
      <c r="B156" s="23" t="inlineStr">
        <is>
          <t>Guideway and Civil - Guideway Structures</t>
        </is>
      </c>
      <c r="C156" s="23" t="inlineStr">
        <is>
          <t>Cost &amp; Forecast Control Accounts</t>
        </is>
      </c>
      <c r="D156" s="23" t="inlineStr">
        <is>
          <t>CST-01-053</t>
        </is>
      </c>
      <c r="E156" s="23" t="inlineStr">
        <is>
          <t>Guideway and Civil - temporary works - closeout</t>
        </is>
      </c>
      <c r="F156" s="23" t="inlineStr">
        <is>
          <t>ONE_TO_ONE</t>
        </is>
      </c>
      <c r="G156" s="23" t="inlineStr">
        <is>
          <t>RETAINED</t>
        </is>
      </c>
      <c r="H156" s="23" t="inlineStr">
        <is>
          <t>Carried forward</t>
        </is>
      </c>
      <c r="I156" s="23" t="inlineStr">
        <is>
          <t>Source assignment -- not individually reviewed</t>
        </is>
      </c>
      <c r="J156" s="23" t="inlineStr"/>
      <c r="K156" s="23" t="inlineStr">
        <is>
          <t>Source assignment</t>
        </is>
      </c>
      <c r="L156" s="23" t="inlineStr"/>
      <c r="M156" s="23" t="inlineStr">
        <is>
          <t>Cost &amp; Forecast Control Accounts Cycle 2</t>
        </is>
      </c>
      <c r="N156" s="23" t="inlineStr">
        <is>
          <t>Rev 1</t>
        </is>
      </c>
      <c r="O156" s="23" t="inlineStr">
        <is>
          <t>R1135-v2</t>
        </is>
      </c>
      <c r="P156" s="23" t="inlineStr"/>
      <c r="Q156" s="23" t="inlineStr"/>
      <c r="R156" s="23" t="inlineStr"/>
      <c r="S156" s="23" t="inlineStr"/>
      <c r="T156" s="23" t="inlineStr"/>
      <c r="U156" s="23" t="inlineStr"/>
      <c r="V156" s="23" t="inlineStr">
        <is>
          <t>Cost Account = CA-1053; WBS Code = 1.1.1</t>
        </is>
      </c>
      <c r="W156" s="23" t="inlineStr"/>
    </row>
    <row r="157" ht="64" customHeight="1">
      <c r="A157" s="23" t="inlineStr">
        <is>
          <t>1.1.1</t>
        </is>
      </c>
      <c r="B157" s="23" t="inlineStr">
        <is>
          <t>Guideway and Civil - Guideway Structures</t>
        </is>
      </c>
      <c r="C157" s="23" t="inlineStr">
        <is>
          <t>Cost &amp; Forecast Control Accounts</t>
        </is>
      </c>
      <c r="D157" s="23" t="inlineStr">
        <is>
          <t>CST-01-055</t>
        </is>
      </c>
      <c r="E157" s="23" t="inlineStr">
        <is>
          <t>Guideway and Civil - roadworks - supply and install</t>
        </is>
      </c>
      <c r="F157" s="23" t="inlineStr">
        <is>
          <t>ONE_TO_ONE</t>
        </is>
      </c>
      <c r="G157" s="23" t="inlineStr">
        <is>
          <t>RETAINED</t>
        </is>
      </c>
      <c r="H157" s="23" t="inlineStr">
        <is>
          <t>Carried forward</t>
        </is>
      </c>
      <c r="I157" s="23" t="inlineStr">
        <is>
          <t>Source assignment -- not individually reviewed</t>
        </is>
      </c>
      <c r="J157" s="23" t="inlineStr"/>
      <c r="K157" s="23" t="inlineStr">
        <is>
          <t>Source assignment</t>
        </is>
      </c>
      <c r="L157" s="23" t="inlineStr"/>
      <c r="M157" s="23" t="inlineStr">
        <is>
          <t>Cost &amp; Forecast Control Accounts Cycle 2</t>
        </is>
      </c>
      <c r="N157" s="23" t="inlineStr">
        <is>
          <t>Rev 1</t>
        </is>
      </c>
      <c r="O157" s="23" t="inlineStr">
        <is>
          <t>R1137-v2</t>
        </is>
      </c>
      <c r="P157" s="23" t="inlineStr"/>
      <c r="Q157" s="23" t="inlineStr"/>
      <c r="R157" s="23" t="inlineStr"/>
      <c r="S157" s="23" t="inlineStr"/>
      <c r="T157" s="23" t="inlineStr"/>
      <c r="U157" s="23" t="inlineStr"/>
      <c r="V157" s="23" t="inlineStr">
        <is>
          <t>Cost Account = CA-1055; WBS Code = 1.1.1</t>
        </is>
      </c>
      <c r="W157" s="23" t="inlineStr"/>
    </row>
    <row r="158" ht="64" customHeight="1">
      <c r="A158" s="23" t="inlineStr">
        <is>
          <t>1.1.1</t>
        </is>
      </c>
      <c r="B158" s="23" t="inlineStr">
        <is>
          <t>Guideway and Civil - Guideway Structures</t>
        </is>
      </c>
      <c r="C158" s="23" t="inlineStr">
        <is>
          <t>Cost &amp; Forecast Control Accounts</t>
        </is>
      </c>
      <c r="D158" s="23" t="inlineStr">
        <is>
          <t>CST-01-057</t>
        </is>
      </c>
      <c r="E158" s="23" t="inlineStr">
        <is>
          <t>Guideway and Civil - concrete structures - allowance</t>
        </is>
      </c>
      <c r="F158" s="23" t="inlineStr">
        <is>
          <t>ONE_TO_ONE</t>
        </is>
      </c>
      <c r="G158" s="23" t="inlineStr">
        <is>
          <t>RETAINED</t>
        </is>
      </c>
      <c r="H158" s="23" t="inlineStr">
        <is>
          <t>Carried forward</t>
        </is>
      </c>
      <c r="I158" s="23" t="inlineStr">
        <is>
          <t>Source assignment -- not individually reviewed</t>
        </is>
      </c>
      <c r="J158" s="23" t="inlineStr"/>
      <c r="K158" s="23" t="inlineStr">
        <is>
          <t>Source assignment</t>
        </is>
      </c>
      <c r="L158" s="23" t="inlineStr"/>
      <c r="M158" s="23" t="inlineStr">
        <is>
          <t>Cost &amp; Forecast Control Accounts Cycle 2</t>
        </is>
      </c>
      <c r="N158" s="23" t="inlineStr">
        <is>
          <t>Rev 1</t>
        </is>
      </c>
      <c r="O158" s="23" t="inlineStr">
        <is>
          <t>R1139-v2</t>
        </is>
      </c>
      <c r="P158" s="23" t="inlineStr"/>
      <c r="Q158" s="23" t="inlineStr"/>
      <c r="R158" s="23" t="inlineStr"/>
      <c r="S158" s="23" t="inlineStr"/>
      <c r="T158" s="23" t="inlineStr"/>
      <c r="U158" s="23" t="inlineStr"/>
      <c r="V158" s="23" t="inlineStr">
        <is>
          <t>Cost Account = CA-1057; WBS Code = 1.1.1</t>
        </is>
      </c>
      <c r="W158" s="23" t="inlineStr"/>
    </row>
    <row r="159" ht="64" customHeight="1">
      <c r="A159" s="23" t="inlineStr">
        <is>
          <t>1.1.1</t>
        </is>
      </c>
      <c r="B159" s="23" t="inlineStr">
        <is>
          <t>Guideway and Civil - Guideway Structures</t>
        </is>
      </c>
      <c r="C159" s="23" t="inlineStr">
        <is>
          <t>Cost &amp; Forecast Control Accounts</t>
        </is>
      </c>
      <c r="D159" s="23" t="inlineStr">
        <is>
          <t>CST-01-059</t>
        </is>
      </c>
      <c r="E159" s="23" t="inlineStr">
        <is>
          <t>Guideway and Civil - temporary works - field package</t>
        </is>
      </c>
      <c r="F159" s="23" t="inlineStr">
        <is>
          <t>ONE_TO_ONE</t>
        </is>
      </c>
      <c r="G159" s="23" t="inlineStr">
        <is>
          <t>RETAINED</t>
        </is>
      </c>
      <c r="H159" s="23" t="inlineStr">
        <is>
          <t>Carried forward</t>
        </is>
      </c>
      <c r="I159" s="23" t="inlineStr">
        <is>
          <t>Source assignment -- not individually reviewed</t>
        </is>
      </c>
      <c r="J159" s="23" t="inlineStr"/>
      <c r="K159" s="23" t="inlineStr">
        <is>
          <t>Source assignment</t>
        </is>
      </c>
      <c r="L159" s="23" t="inlineStr"/>
      <c r="M159" s="23" t="inlineStr">
        <is>
          <t>Cost &amp; Forecast Control Accounts Cycle 2</t>
        </is>
      </c>
      <c r="N159" s="23" t="inlineStr">
        <is>
          <t>Rev 1</t>
        </is>
      </c>
      <c r="O159" s="23" t="inlineStr">
        <is>
          <t>R1141-v2</t>
        </is>
      </c>
      <c r="P159" s="23" t="inlineStr"/>
      <c r="Q159" s="23" t="inlineStr"/>
      <c r="R159" s="23" t="inlineStr"/>
      <c r="S159" s="23" t="inlineStr"/>
      <c r="T159" s="23" t="inlineStr"/>
      <c r="U159" s="23" t="inlineStr"/>
      <c r="V159" s="23" t="inlineStr">
        <is>
          <t>Cost Account = CA-1059; WBS Code = 1.1.1</t>
        </is>
      </c>
      <c r="W159" s="23" t="inlineStr"/>
    </row>
    <row r="160" ht="64" customHeight="1">
      <c r="A160" s="23" t="inlineStr">
        <is>
          <t>1.1.1</t>
        </is>
      </c>
      <c r="B160" s="23" t="inlineStr">
        <is>
          <t>Guideway and Civil - Guideway Structures</t>
        </is>
      </c>
      <c r="C160" s="23" t="inlineStr">
        <is>
          <t>Cost &amp; Forecast Control Accounts</t>
        </is>
      </c>
      <c r="D160" s="23" t="inlineStr">
        <is>
          <t>CST-01-061</t>
        </is>
      </c>
      <c r="E160" s="23" t="inlineStr">
        <is>
          <t>Guideway and Civil - roadworks - professional services</t>
        </is>
      </c>
      <c r="F160" s="23" t="inlineStr">
        <is>
          <t>ONE_TO_ONE</t>
        </is>
      </c>
      <c r="G160" s="23" t="inlineStr">
        <is>
          <t>RETAINED</t>
        </is>
      </c>
      <c r="H160" s="23" t="inlineStr">
        <is>
          <t>Carried forward</t>
        </is>
      </c>
      <c r="I160" s="23" t="inlineStr">
        <is>
          <t>Source assignment -- not individually reviewed</t>
        </is>
      </c>
      <c r="J160" s="23" t="inlineStr"/>
      <c r="K160" s="23" t="inlineStr">
        <is>
          <t>Source assignment</t>
        </is>
      </c>
      <c r="L160" s="23" t="inlineStr"/>
      <c r="M160" s="23" t="inlineStr">
        <is>
          <t>Cost &amp; Forecast Control Accounts Cycle 2</t>
        </is>
      </c>
      <c r="N160" s="23" t="inlineStr">
        <is>
          <t>Rev 1</t>
        </is>
      </c>
      <c r="O160" s="23" t="inlineStr">
        <is>
          <t>R1143-v2</t>
        </is>
      </c>
      <c r="P160" s="23" t="inlineStr"/>
      <c r="Q160" s="23" t="inlineStr"/>
      <c r="R160" s="23" t="inlineStr"/>
      <c r="S160" s="23" t="inlineStr"/>
      <c r="T160" s="23" t="inlineStr"/>
      <c r="U160" s="23" t="inlineStr"/>
      <c r="V160" s="23" t="inlineStr">
        <is>
          <t>Cost Account = CA-1061; WBS Code = 1.1.1</t>
        </is>
      </c>
      <c r="W160" s="23" t="inlineStr"/>
    </row>
    <row r="161" ht="64" customHeight="1">
      <c r="A161" s="23" t="inlineStr">
        <is>
          <t>1.1.1</t>
        </is>
      </c>
      <c r="B161" s="23" t="inlineStr">
        <is>
          <t>Guideway and Civil - Guideway Structures</t>
        </is>
      </c>
      <c r="C161" s="23" t="inlineStr">
        <is>
          <t>Cost &amp; Forecast Control Accounts</t>
        </is>
      </c>
      <c r="D161" s="23" t="inlineStr">
        <is>
          <t>CST-01-063</t>
        </is>
      </c>
      <c r="E161" s="23" t="inlineStr">
        <is>
          <t>Guideway and Civil - concrete structures - closeout</t>
        </is>
      </c>
      <c r="F161" s="23" t="inlineStr">
        <is>
          <t>ONE_TO_ONE</t>
        </is>
      </c>
      <c r="G161" s="23" t="inlineStr">
        <is>
          <t>RETAINED</t>
        </is>
      </c>
      <c r="H161" s="23" t="inlineStr">
        <is>
          <t>Carried forward</t>
        </is>
      </c>
      <c r="I161" s="23" t="inlineStr">
        <is>
          <t>Source assignment -- not individually reviewed</t>
        </is>
      </c>
      <c r="J161" s="23" t="inlineStr"/>
      <c r="K161" s="23" t="inlineStr">
        <is>
          <t>Source assignment</t>
        </is>
      </c>
      <c r="L161" s="23" t="inlineStr"/>
      <c r="M161" s="23" t="inlineStr">
        <is>
          <t>Cost &amp; Forecast Control Accounts Cycle 2</t>
        </is>
      </c>
      <c r="N161" s="23" t="inlineStr">
        <is>
          <t>Rev 1</t>
        </is>
      </c>
      <c r="O161" s="23" t="inlineStr">
        <is>
          <t>R1145-v2</t>
        </is>
      </c>
      <c r="P161" s="23" t="inlineStr"/>
      <c r="Q161" s="23" t="inlineStr"/>
      <c r="R161" s="23" t="inlineStr"/>
      <c r="S161" s="23" t="inlineStr"/>
      <c r="T161" s="23" t="inlineStr"/>
      <c r="U161" s="23" t="inlineStr"/>
      <c r="V161" s="23" t="inlineStr">
        <is>
          <t>Cost Account = CA-1063; WBS Code = 1.1.1</t>
        </is>
      </c>
      <c r="W161" s="23" t="inlineStr"/>
    </row>
    <row r="162" ht="64" customHeight="1">
      <c r="A162" s="23" t="inlineStr">
        <is>
          <t>1.1.1</t>
        </is>
      </c>
      <c r="B162" s="23" t="inlineStr">
        <is>
          <t>Guideway and Civil - Guideway Structures</t>
        </is>
      </c>
      <c r="C162" s="23" t="inlineStr">
        <is>
          <t>Cost &amp; Forecast Control Accounts</t>
        </is>
      </c>
      <c r="D162" s="23" t="inlineStr">
        <is>
          <t>CST-01-065</t>
        </is>
      </c>
      <c r="E162" s="23" t="inlineStr">
        <is>
          <t>Guideway and Civil - temporary works - supply and install</t>
        </is>
      </c>
      <c r="F162" s="23" t="inlineStr">
        <is>
          <t>ONE_TO_ONE</t>
        </is>
      </c>
      <c r="G162" s="23" t="inlineStr">
        <is>
          <t>RETAINED</t>
        </is>
      </c>
      <c r="H162" s="23" t="inlineStr">
        <is>
          <t>Carried forward</t>
        </is>
      </c>
      <c r="I162" s="23" t="inlineStr">
        <is>
          <t>Source assignment -- not individually reviewed</t>
        </is>
      </c>
      <c r="J162" s="23" t="inlineStr"/>
      <c r="K162" s="23" t="inlineStr">
        <is>
          <t>Source assignment</t>
        </is>
      </c>
      <c r="L162" s="23" t="inlineStr"/>
      <c r="M162" s="23" t="inlineStr">
        <is>
          <t>Cost &amp; Forecast Control Accounts Cycle 2</t>
        </is>
      </c>
      <c r="N162" s="23" t="inlineStr">
        <is>
          <t>Rev 1</t>
        </is>
      </c>
      <c r="O162" s="23" t="inlineStr">
        <is>
          <t>R1147-v2</t>
        </is>
      </c>
      <c r="P162" s="23" t="inlineStr"/>
      <c r="Q162" s="23" t="inlineStr"/>
      <c r="R162" s="23" t="inlineStr"/>
      <c r="S162" s="23" t="inlineStr"/>
      <c r="T162" s="23" t="inlineStr"/>
      <c r="U162" s="23" t="inlineStr"/>
      <c r="V162" s="23" t="inlineStr">
        <is>
          <t>Cost Account = CA-1065; WBS Code = 1.1.1</t>
        </is>
      </c>
      <c r="W162" s="23" t="inlineStr"/>
    </row>
    <row r="163" ht="64" customHeight="1">
      <c r="A163" s="23" t="inlineStr">
        <is>
          <t>1.1.1</t>
        </is>
      </c>
      <c r="B163" s="23" t="inlineStr">
        <is>
          <t>Guideway and Civil - Guideway Structures</t>
        </is>
      </c>
      <c r="C163" s="23" t="inlineStr">
        <is>
          <t>Cost &amp; Forecast Control Accounts</t>
        </is>
      </c>
      <c r="D163" s="23" t="inlineStr">
        <is>
          <t>CST-01-067</t>
        </is>
      </c>
      <c r="E163" s="23" t="inlineStr">
        <is>
          <t>Guideway and Civil - roadworks - allowance</t>
        </is>
      </c>
      <c r="F163" s="23" t="inlineStr">
        <is>
          <t>ONE_TO_ONE</t>
        </is>
      </c>
      <c r="G163" s="23" t="inlineStr">
        <is>
          <t>RETAINED</t>
        </is>
      </c>
      <c r="H163" s="23" t="inlineStr">
        <is>
          <t>Carried forward</t>
        </is>
      </c>
      <c r="I163" s="23" t="inlineStr">
        <is>
          <t>Source assignment -- not individually reviewed</t>
        </is>
      </c>
      <c r="J163" s="23" t="inlineStr"/>
      <c r="K163" s="23" t="inlineStr">
        <is>
          <t>Source assignment</t>
        </is>
      </c>
      <c r="L163" s="23" t="inlineStr"/>
      <c r="M163" s="23" t="inlineStr">
        <is>
          <t>Cost &amp; Forecast Control Accounts Cycle 2</t>
        </is>
      </c>
      <c r="N163" s="23" t="inlineStr">
        <is>
          <t>Rev 1</t>
        </is>
      </c>
      <c r="O163" s="23" t="inlineStr">
        <is>
          <t>R1149-v2</t>
        </is>
      </c>
      <c r="P163" s="23" t="inlineStr"/>
      <c r="Q163" s="23" t="inlineStr"/>
      <c r="R163" s="23" t="inlineStr"/>
      <c r="S163" s="23" t="inlineStr"/>
      <c r="T163" s="23" t="inlineStr"/>
      <c r="U163" s="23" t="inlineStr"/>
      <c r="V163" s="23" t="inlineStr">
        <is>
          <t>Cost Account = CA-1067; WBS Code = 1.1.1</t>
        </is>
      </c>
      <c r="W163" s="23" t="inlineStr"/>
    </row>
    <row r="164" ht="64" customHeight="1">
      <c r="A164" s="23" t="inlineStr">
        <is>
          <t>1.1.1</t>
        </is>
      </c>
      <c r="B164" s="23" t="inlineStr">
        <is>
          <t>Guideway and Civil - Guideway Structures</t>
        </is>
      </c>
      <c r="C164" s="23" t="inlineStr">
        <is>
          <t>Cost &amp; Forecast Control Accounts</t>
        </is>
      </c>
      <c r="D164" s="23" t="inlineStr">
        <is>
          <t>CST-01-069</t>
        </is>
      </c>
      <c r="E164" s="23" t="inlineStr">
        <is>
          <t>Guideway and Civil - concrete structures - field package</t>
        </is>
      </c>
      <c r="F164" s="23" t="inlineStr">
        <is>
          <t>ONE_TO_ONE</t>
        </is>
      </c>
      <c r="G164" s="23" t="inlineStr">
        <is>
          <t>RETAINED</t>
        </is>
      </c>
      <c r="H164" s="23" t="inlineStr">
        <is>
          <t>Carried forward</t>
        </is>
      </c>
      <c r="I164" s="23" t="inlineStr">
        <is>
          <t>Source assignment -- not individually reviewed</t>
        </is>
      </c>
      <c r="J164" s="23" t="inlineStr"/>
      <c r="K164" s="23" t="inlineStr">
        <is>
          <t>Source assignment</t>
        </is>
      </c>
      <c r="L164" s="23" t="inlineStr"/>
      <c r="M164" s="23" t="inlineStr">
        <is>
          <t>Cost &amp; Forecast Control Accounts Cycle 2</t>
        </is>
      </c>
      <c r="N164" s="23" t="inlineStr">
        <is>
          <t>Rev 1</t>
        </is>
      </c>
      <c r="O164" s="23" t="inlineStr">
        <is>
          <t>R1151-v2</t>
        </is>
      </c>
      <c r="P164" s="23" t="inlineStr"/>
      <c r="Q164" s="23" t="inlineStr"/>
      <c r="R164" s="23" t="inlineStr"/>
      <c r="S164" s="23" t="inlineStr"/>
      <c r="T164" s="23" t="inlineStr"/>
      <c r="U164" s="23" t="inlineStr"/>
      <c r="V164" s="23" t="inlineStr">
        <is>
          <t>Cost Account = CA-1069; WBS Code = 1.1.1</t>
        </is>
      </c>
      <c r="W164" s="23" t="inlineStr"/>
    </row>
    <row r="165" ht="64" customHeight="1">
      <c r="A165" s="23" t="inlineStr">
        <is>
          <t>1.1.1</t>
        </is>
      </c>
      <c r="B165" s="23" t="inlineStr">
        <is>
          <t>Guideway and Civil - Guideway Structures</t>
        </is>
      </c>
      <c r="C165" s="23" t="inlineStr">
        <is>
          <t>Cost &amp; Forecast Control Accounts</t>
        </is>
      </c>
      <c r="D165" s="23" t="inlineStr">
        <is>
          <t>CST-01-071</t>
        </is>
      </c>
      <c r="E165" s="23" t="inlineStr">
        <is>
          <t>Guideway and Civil - temporary works - professional services</t>
        </is>
      </c>
      <c r="F165" s="23" t="inlineStr">
        <is>
          <t>ONE_TO_ONE</t>
        </is>
      </c>
      <c r="G165" s="23" t="inlineStr">
        <is>
          <t>RETAINED</t>
        </is>
      </c>
      <c r="H165" s="23" t="inlineStr">
        <is>
          <t>Carried forward</t>
        </is>
      </c>
      <c r="I165" s="23" t="inlineStr">
        <is>
          <t>Source assignment -- not individually reviewed</t>
        </is>
      </c>
      <c r="J165" s="23" t="inlineStr"/>
      <c r="K165" s="23" t="inlineStr">
        <is>
          <t>Source assignment</t>
        </is>
      </c>
      <c r="L165" s="23" t="inlineStr"/>
      <c r="M165" s="23" t="inlineStr">
        <is>
          <t>Cost &amp; Forecast Control Accounts Cycle 2</t>
        </is>
      </c>
      <c r="N165" s="23" t="inlineStr">
        <is>
          <t>Rev 1</t>
        </is>
      </c>
      <c r="O165" s="23" t="inlineStr">
        <is>
          <t>R1153-v2</t>
        </is>
      </c>
      <c r="P165" s="23" t="inlineStr"/>
      <c r="Q165" s="23" t="inlineStr"/>
      <c r="R165" s="23" t="inlineStr"/>
      <c r="S165" s="23" t="inlineStr"/>
      <c r="T165" s="23" t="inlineStr"/>
      <c r="U165" s="23" t="inlineStr"/>
      <c r="V165" s="23" t="inlineStr">
        <is>
          <t>Cost Account = CA-1071; WBS Code = 1.1.1</t>
        </is>
      </c>
      <c r="W165" s="23" t="inlineStr"/>
    </row>
    <row r="166" ht="64" customHeight="1">
      <c r="A166" s="23" t="inlineStr">
        <is>
          <t>1.1.1</t>
        </is>
      </c>
      <c r="B166" s="23" t="inlineStr">
        <is>
          <t>Guideway and Civil - Guideway Structures</t>
        </is>
      </c>
      <c r="C166" s="23" t="inlineStr">
        <is>
          <t>Cost &amp; Forecast Control Accounts</t>
        </is>
      </c>
      <c r="D166" s="23" t="inlineStr">
        <is>
          <t>CST-01-073</t>
        </is>
      </c>
      <c r="E166" s="23" t="inlineStr">
        <is>
          <t>Guideway and Civil - roadworks - closeout</t>
        </is>
      </c>
      <c r="F166" s="23" t="inlineStr">
        <is>
          <t>ONE_TO_ONE</t>
        </is>
      </c>
      <c r="G166" s="23" t="inlineStr">
        <is>
          <t>RETAINED</t>
        </is>
      </c>
      <c r="H166" s="23" t="inlineStr">
        <is>
          <t>Carried forward</t>
        </is>
      </c>
      <c r="I166" s="23" t="inlineStr">
        <is>
          <t>Source assignment -- not individually reviewed</t>
        </is>
      </c>
      <c r="J166" s="23" t="inlineStr"/>
      <c r="K166" s="23" t="inlineStr">
        <is>
          <t>Source assignment</t>
        </is>
      </c>
      <c r="L166" s="23" t="inlineStr"/>
      <c r="M166" s="23" t="inlineStr">
        <is>
          <t>Cost &amp; Forecast Control Accounts Cycle 2</t>
        </is>
      </c>
      <c r="N166" s="23" t="inlineStr">
        <is>
          <t>Rev 1</t>
        </is>
      </c>
      <c r="O166" s="23" t="inlineStr">
        <is>
          <t>R1155-v2</t>
        </is>
      </c>
      <c r="P166" s="23" t="inlineStr"/>
      <c r="Q166" s="23" t="inlineStr"/>
      <c r="R166" s="23" t="inlineStr"/>
      <c r="S166" s="23" t="inlineStr"/>
      <c r="T166" s="23" t="inlineStr"/>
      <c r="U166" s="23" t="inlineStr"/>
      <c r="V166" s="23" t="inlineStr">
        <is>
          <t>Cost Account = CA-1073; WBS Code = 1.1.1</t>
        </is>
      </c>
      <c r="W166" s="23" t="inlineStr"/>
    </row>
    <row r="167" ht="64" customHeight="1">
      <c r="A167" s="23" t="inlineStr">
        <is>
          <t>1.1.1</t>
        </is>
      </c>
      <c r="B167" s="23" t="inlineStr">
        <is>
          <t>Guideway and Civil - Guideway Structures</t>
        </is>
      </c>
      <c r="C167" s="23" t="inlineStr">
        <is>
          <t>Cost &amp; Forecast Control Accounts</t>
        </is>
      </c>
      <c r="D167" s="23" t="inlineStr">
        <is>
          <t>CST-01-075</t>
        </is>
      </c>
      <c r="E167" s="23" t="inlineStr">
        <is>
          <t>Guideway and Civil - concrete structures - supply and install</t>
        </is>
      </c>
      <c r="F167" s="23" t="inlineStr">
        <is>
          <t>ONE_TO_ONE</t>
        </is>
      </c>
      <c r="G167" s="23" t="inlineStr">
        <is>
          <t>RETAINED</t>
        </is>
      </c>
      <c r="H167" s="23" t="inlineStr">
        <is>
          <t>Carried forward</t>
        </is>
      </c>
      <c r="I167" s="23" t="inlineStr">
        <is>
          <t>Source assignment -- not individually reviewed</t>
        </is>
      </c>
      <c r="J167" s="23" t="inlineStr"/>
      <c r="K167" s="23" t="inlineStr">
        <is>
          <t>Source assignment</t>
        </is>
      </c>
      <c r="L167" s="23" t="inlineStr"/>
      <c r="M167" s="23" t="inlineStr">
        <is>
          <t>Cost &amp; Forecast Control Accounts Cycle 2</t>
        </is>
      </c>
      <c r="N167" s="23" t="inlineStr">
        <is>
          <t>Rev 1</t>
        </is>
      </c>
      <c r="O167" s="23" t="inlineStr">
        <is>
          <t>R1157-v2</t>
        </is>
      </c>
      <c r="P167" s="23" t="inlineStr"/>
      <c r="Q167" s="23" t="inlineStr"/>
      <c r="R167" s="23" t="inlineStr"/>
      <c r="S167" s="23" t="inlineStr"/>
      <c r="T167" s="23" t="inlineStr"/>
      <c r="U167" s="23" t="inlineStr"/>
      <c r="V167" s="23" t="inlineStr">
        <is>
          <t>Cost Account = CA-1075; WBS Code = 1.1.1</t>
        </is>
      </c>
      <c r="W167" s="23" t="inlineStr"/>
    </row>
    <row r="168" ht="64" customHeight="1">
      <c r="A168" s="23" t="inlineStr">
        <is>
          <t>1.1.1</t>
        </is>
      </c>
      <c r="B168" s="23" t="inlineStr">
        <is>
          <t>Guideway and Civil - Guideway Structures</t>
        </is>
      </c>
      <c r="C168" s="23" t="inlineStr">
        <is>
          <t>Cost &amp; Forecast Control Accounts</t>
        </is>
      </c>
      <c r="D168" s="23" t="inlineStr">
        <is>
          <t>CST-01-077</t>
        </is>
      </c>
      <c r="E168" s="23" t="inlineStr">
        <is>
          <t>Guideway and Civil - temporary works - allowance</t>
        </is>
      </c>
      <c r="F168" s="23" t="inlineStr">
        <is>
          <t>ONE_TO_ONE</t>
        </is>
      </c>
      <c r="G168" s="23" t="inlineStr">
        <is>
          <t>RETAINED</t>
        </is>
      </c>
      <c r="H168" s="23" t="inlineStr">
        <is>
          <t>Carried forward</t>
        </is>
      </c>
      <c r="I168" s="23" t="inlineStr">
        <is>
          <t>Source assignment -- not individually reviewed</t>
        </is>
      </c>
      <c r="J168" s="23" t="inlineStr"/>
      <c r="K168" s="23" t="inlineStr">
        <is>
          <t>Source assignment</t>
        </is>
      </c>
      <c r="L168" s="23" t="inlineStr"/>
      <c r="M168" s="23" t="inlineStr">
        <is>
          <t>Cost &amp; Forecast Control Accounts Cycle 2</t>
        </is>
      </c>
      <c r="N168" s="23" t="inlineStr">
        <is>
          <t>Rev 1</t>
        </is>
      </c>
      <c r="O168" s="23" t="inlineStr">
        <is>
          <t>R1159-v2</t>
        </is>
      </c>
      <c r="P168" s="23" t="inlineStr"/>
      <c r="Q168" s="23" t="inlineStr"/>
      <c r="R168" s="23" t="inlineStr"/>
      <c r="S168" s="23" t="inlineStr"/>
      <c r="T168" s="23" t="inlineStr"/>
      <c r="U168" s="23" t="inlineStr"/>
      <c r="V168" s="23" t="inlineStr">
        <is>
          <t>Cost Account = CA-1077; WBS Code = 1.1.1</t>
        </is>
      </c>
      <c r="W168" s="23" t="inlineStr"/>
    </row>
    <row r="169" ht="64" customHeight="1">
      <c r="A169" s="23" t="inlineStr">
        <is>
          <t>1.1.1</t>
        </is>
      </c>
      <c r="B169" s="23" t="inlineStr">
        <is>
          <t>Guideway and Civil - Guideway Structures</t>
        </is>
      </c>
      <c r="C169" s="23" t="inlineStr">
        <is>
          <t>Cost &amp; Forecast Control Accounts</t>
        </is>
      </c>
      <c r="D169" s="23" t="inlineStr">
        <is>
          <t>CST-01-079</t>
        </is>
      </c>
      <c r="E169" s="23" t="inlineStr">
        <is>
          <t>Guideway and Civil - roadworks - field package</t>
        </is>
      </c>
      <c r="F169" s="23" t="inlineStr">
        <is>
          <t>ONE_TO_ONE</t>
        </is>
      </c>
      <c r="G169" s="23" t="inlineStr">
        <is>
          <t>RETAINED</t>
        </is>
      </c>
      <c r="H169" s="23" t="inlineStr">
        <is>
          <t>Carried forward</t>
        </is>
      </c>
      <c r="I169" s="23" t="inlineStr">
        <is>
          <t>Source assignment -- not individually reviewed</t>
        </is>
      </c>
      <c r="J169" s="23" t="inlineStr"/>
      <c r="K169" s="23" t="inlineStr">
        <is>
          <t>Source assignment</t>
        </is>
      </c>
      <c r="L169" s="23" t="inlineStr"/>
      <c r="M169" s="23" t="inlineStr">
        <is>
          <t>Cost &amp; Forecast Control Accounts Cycle 2</t>
        </is>
      </c>
      <c r="N169" s="23" t="inlineStr">
        <is>
          <t>Rev 1</t>
        </is>
      </c>
      <c r="O169" s="23" t="inlineStr">
        <is>
          <t>R1161-v2</t>
        </is>
      </c>
      <c r="P169" s="23" t="inlineStr"/>
      <c r="Q169" s="23" t="inlineStr"/>
      <c r="R169" s="23" t="inlineStr"/>
      <c r="S169" s="23" t="inlineStr"/>
      <c r="T169" s="23" t="inlineStr"/>
      <c r="U169" s="23" t="inlineStr"/>
      <c r="V169" s="23" t="inlineStr">
        <is>
          <t>Cost Account = CA-1079; WBS Code = 1.1.1</t>
        </is>
      </c>
      <c r="W169" s="23" t="inlineStr"/>
    </row>
    <row r="170" ht="64" customHeight="1">
      <c r="A170" s="23" t="inlineStr">
        <is>
          <t>1.1.1</t>
        </is>
      </c>
      <c r="B170" s="23" t="inlineStr">
        <is>
          <t>Guideway and Civil - Guideway Structures</t>
        </is>
      </c>
      <c r="C170" s="23" t="inlineStr">
        <is>
          <t>Cost &amp; Forecast Control Accounts</t>
        </is>
      </c>
      <c r="D170" s="23" t="inlineStr">
        <is>
          <t>CST-90-903</t>
        </is>
      </c>
      <c r="E170" s="23" t="inlineStr">
        <is>
          <t>Current-period authorized change allowance</t>
        </is>
      </c>
      <c r="F170" s="23" t="inlineStr">
        <is>
          <t>ONE_TO_ONE</t>
        </is>
      </c>
      <c r="G170" s="23" t="inlineStr">
        <is>
          <t>APPROVED</t>
        </is>
      </c>
      <c r="H170" s="23" t="inlineStr">
        <is>
          <t>New</t>
        </is>
      </c>
      <c r="I170" s="23" t="inlineStr">
        <is>
          <t>Source assignment -- not individually reviewed</t>
        </is>
      </c>
      <c r="J170" s="23" t="inlineStr"/>
      <c r="K170" s="23" t="inlineStr">
        <is>
          <t>Source assignment</t>
        </is>
      </c>
      <c r="L170" s="23" t="inlineStr"/>
      <c r="M170" s="23" t="inlineStr">
        <is>
          <t>Cost &amp; Forecast Control Accounts Cycle 2</t>
        </is>
      </c>
      <c r="N170" s="23" t="inlineStr">
        <is>
          <t>Rev 1</t>
        </is>
      </c>
      <c r="O170" s="23" t="inlineStr">
        <is>
          <t>R1624-v1</t>
        </is>
      </c>
      <c r="P170" s="23" t="inlineStr"/>
      <c r="Q170" s="23" t="inlineStr"/>
      <c r="R170" s="23" t="inlineStr"/>
      <c r="S170" s="23" t="inlineStr"/>
      <c r="T170" s="23" t="inlineStr"/>
      <c r="U170" s="23" t="inlineStr"/>
      <c r="V170" s="23" t="inlineStr">
        <is>
          <t>Cost Account = CA-1001; WBS Code = 1.1.1</t>
        </is>
      </c>
      <c r="W170" s="23" t="inlineStr"/>
    </row>
    <row r="171" ht="49" customHeight="1">
      <c r="A171" s="23" t="inlineStr">
        <is>
          <t>1.1.2</t>
        </is>
      </c>
      <c r="B171" s="23" t="inlineStr">
        <is>
          <t>Guideway and Civil - Utility &amp; Roadworks</t>
        </is>
      </c>
      <c r="C171" s="23" t="inlineStr">
        <is>
          <t>Contractor Programme</t>
        </is>
      </c>
      <c r="D171" s="23" t="inlineStr">
        <is>
          <t>SCH-01-003</t>
        </is>
      </c>
      <c r="E171" s="23" t="inlineStr">
        <is>
          <t>Interface works near guideway and civil boundary</t>
        </is>
      </c>
      <c r="F171" s="23" t="inlineStr">
        <is>
          <t>ONE_TO_ONE</t>
        </is>
      </c>
      <c r="G171" s="23" t="inlineStr">
        <is>
          <t>RETAINED</t>
        </is>
      </c>
      <c r="H171" s="23" t="inlineStr">
        <is>
          <t>Carried forward</t>
        </is>
      </c>
      <c r="I171" s="23" t="inlineStr">
        <is>
          <t>Source assignment -- not individually reviewed</t>
        </is>
      </c>
      <c r="J171" s="23" t="inlineStr"/>
      <c r="K171" s="23" t="inlineStr">
        <is>
          <t>Source assignment</t>
        </is>
      </c>
      <c r="L171" s="23" t="inlineStr"/>
      <c r="M171" s="23" t="inlineStr">
        <is>
          <t>Contractor Programme Cycle 2</t>
        </is>
      </c>
      <c r="N171" s="23" t="inlineStr">
        <is>
          <t>Rev 1</t>
        </is>
      </c>
      <c r="O171" s="23" t="inlineStr">
        <is>
          <t>R3-v2</t>
        </is>
      </c>
      <c r="P171" s="23" t="inlineStr"/>
      <c r="Q171" s="23" t="inlineStr"/>
      <c r="R171" s="23" t="inlineStr"/>
      <c r="S171" s="23" t="inlineStr"/>
      <c r="T171" s="23" t="inlineStr"/>
      <c r="U171" s="23" t="inlineStr"/>
      <c r="V171" s="23" t="inlineStr">
        <is>
          <t>WBS Code = 1.1.2</t>
        </is>
      </c>
      <c r="W171" s="23" t="inlineStr"/>
    </row>
    <row r="172" ht="139" customHeight="1">
      <c r="A172" s="23" t="inlineStr">
        <is>
          <t>1.1.2</t>
        </is>
      </c>
      <c r="B172" s="23" t="inlineStr">
        <is>
          <t>Guideway and Civil - Utility &amp; Roadworks</t>
        </is>
      </c>
      <c r="C172" s="23" t="inlineStr">
        <is>
          <t>Contractor Programme</t>
        </is>
      </c>
      <c r="D172" s="23" t="inlineStr">
        <is>
          <t>SCH-01-005</t>
        </is>
      </c>
      <c r="E172" s="23" t="inlineStr">
        <is>
          <t>Central guideway: drilled-shaft installation - field start - relocated to adjacent governed scope</t>
        </is>
      </c>
      <c r="F172" s="23" t="inlineStr">
        <is>
          <t>ONE_TO_ONE</t>
        </is>
      </c>
      <c r="G172" s="23" t="inlineStr">
        <is>
          <t>APPROVED</t>
        </is>
      </c>
      <c r="H172" s="23" t="inlineStr">
        <is>
          <t>Changed, re-decided</t>
        </is>
      </c>
      <c r="I172" s="23" t="inlineStr">
        <is>
          <t>Professional decision</t>
        </is>
      </c>
      <c r="J172" s="23" t="inlineStr">
        <is>
          <t>Maya Chen, Owner Project Controls</t>
        </is>
      </c>
      <c r="K172" s="23" t="inlineStr">
        <is>
          <t>Source assignment</t>
        </is>
      </c>
      <c r="L172" s="23" t="inlineStr"/>
      <c r="M172" s="23" t="inlineStr">
        <is>
          <t>Contractor Programme Cycle 2</t>
        </is>
      </c>
      <c r="N172" s="23" t="inlineStr">
        <is>
          <t>Rev 1</t>
        </is>
      </c>
      <c r="O172" s="23" t="inlineStr">
        <is>
          <t>R5-v3</t>
        </is>
      </c>
      <c r="P172" s="23" t="inlineStr"/>
      <c r="Q172" s="23" t="inlineStr"/>
      <c r="R172" s="23" t="inlineStr"/>
      <c r="S172" s="23" t="inlineStr"/>
      <c r="T172" s="23" t="inlineStr">
        <is>
          <t>Individual</t>
        </is>
      </c>
      <c r="U172" s="23" t="inlineStr">
        <is>
          <t>'WBS Code' changed from 1.1.1 to 1.1.2; 'WBS Code' changed from 1.1.1 to 1.1.2; 'WBS Code' changed from 1.1.1 to 1.1.2</t>
        </is>
      </c>
      <c r="V172" s="23" t="inlineStr">
        <is>
          <t>WBS Code = 1.1.2</t>
        </is>
      </c>
      <c r="W172" s="23" t="inlineStr"/>
    </row>
    <row r="173" ht="49" customHeight="1">
      <c r="A173" s="23" t="inlineStr">
        <is>
          <t>1.1.2</t>
        </is>
      </c>
      <c r="B173" s="23" t="inlineStr">
        <is>
          <t>Guideway and Civil - Utility &amp; Roadworks</t>
        </is>
      </c>
      <c r="C173" s="23" t="inlineStr">
        <is>
          <t>Contractor Programme</t>
        </is>
      </c>
      <c r="D173" s="23" t="inlineStr">
        <is>
          <t>SCH-01-006</t>
        </is>
      </c>
      <c r="E173" s="23" t="inlineStr">
        <is>
          <t>West approach: retaining-wall excavation - installation</t>
        </is>
      </c>
      <c r="F173" s="23" t="inlineStr">
        <is>
          <t>ONE_TO_ONE</t>
        </is>
      </c>
      <c r="G173" s="23" t="inlineStr">
        <is>
          <t>RETAINED</t>
        </is>
      </c>
      <c r="H173" s="23" t="inlineStr">
        <is>
          <t>Carried forward</t>
        </is>
      </c>
      <c r="I173" s="23" t="inlineStr">
        <is>
          <t>Source assignment -- not individually reviewed</t>
        </is>
      </c>
      <c r="J173" s="23" t="inlineStr"/>
      <c r="K173" s="23" t="inlineStr">
        <is>
          <t>Source assignment</t>
        </is>
      </c>
      <c r="L173" s="23" t="inlineStr"/>
      <c r="M173" s="23" t="inlineStr">
        <is>
          <t>Contractor Programme Cycle 2</t>
        </is>
      </c>
      <c r="N173" s="23" t="inlineStr">
        <is>
          <t>Rev 1</t>
        </is>
      </c>
      <c r="O173" s="23" t="inlineStr">
        <is>
          <t>R6-v2</t>
        </is>
      </c>
      <c r="P173" s="23" t="inlineStr"/>
      <c r="Q173" s="23" t="inlineStr"/>
      <c r="R173" s="23" t="inlineStr"/>
      <c r="S173" s="23" t="inlineStr"/>
      <c r="T173" s="23" t="inlineStr"/>
      <c r="U173" s="23" t="inlineStr"/>
      <c r="V173" s="23" t="inlineStr">
        <is>
          <t>WBS Code = 1.1.2</t>
        </is>
      </c>
      <c r="W173" s="23" t="inlineStr"/>
    </row>
    <row r="174" ht="49" customHeight="1">
      <c r="A174" s="23" t="inlineStr">
        <is>
          <t>1.1.2</t>
        </is>
      </c>
      <c r="B174" s="23" t="inlineStr">
        <is>
          <t>Guideway and Civil - Utility &amp; Roadworks</t>
        </is>
      </c>
      <c r="C174" s="23" t="inlineStr">
        <is>
          <t>Contractor Programme</t>
        </is>
      </c>
      <c r="D174" s="23" t="inlineStr">
        <is>
          <t>SCH-01-009</t>
        </is>
      </c>
      <c r="E174" s="23" t="inlineStr">
        <is>
          <t>River crossing: track-slab survey - release</t>
        </is>
      </c>
      <c r="F174" s="23" t="inlineStr">
        <is>
          <t>ONE_TO_ONE</t>
        </is>
      </c>
      <c r="G174" s="23" t="inlineStr">
        <is>
          <t>RETAINED</t>
        </is>
      </c>
      <c r="H174" s="23" t="inlineStr">
        <is>
          <t>Carried forward</t>
        </is>
      </c>
      <c r="I174" s="23" t="inlineStr">
        <is>
          <t>Source assignment -- not individually reviewed</t>
        </is>
      </c>
      <c r="J174" s="23" t="inlineStr"/>
      <c r="K174" s="23" t="inlineStr">
        <is>
          <t>Source assignment</t>
        </is>
      </c>
      <c r="L174" s="23" t="inlineStr"/>
      <c r="M174" s="23" t="inlineStr">
        <is>
          <t>Contractor Programme Cycle 2</t>
        </is>
      </c>
      <c r="N174" s="23" t="inlineStr">
        <is>
          <t>Rev 1</t>
        </is>
      </c>
      <c r="O174" s="23" t="inlineStr">
        <is>
          <t>R9-v2</t>
        </is>
      </c>
      <c r="P174" s="23" t="inlineStr"/>
      <c r="Q174" s="23" t="inlineStr"/>
      <c r="R174" s="23" t="inlineStr"/>
      <c r="S174" s="23" t="inlineStr"/>
      <c r="T174" s="23" t="inlineStr"/>
      <c r="U174" s="23" t="inlineStr"/>
      <c r="V174" s="23" t="inlineStr">
        <is>
          <t>WBS Code = 1.1.2</t>
        </is>
      </c>
      <c r="W174" s="23" t="inlineStr"/>
    </row>
    <row r="175" ht="49" customHeight="1">
      <c r="A175" s="23" t="inlineStr">
        <is>
          <t>1.1.2</t>
        </is>
      </c>
      <c r="B175" s="23" t="inlineStr">
        <is>
          <t>Guideway and Civil - Utility &amp; Roadworks</t>
        </is>
      </c>
      <c r="C175" s="23" t="inlineStr">
        <is>
          <t>Contractor Programme</t>
        </is>
      </c>
      <c r="D175" s="23" t="inlineStr">
        <is>
          <t>SCH-01-012</t>
        </is>
      </c>
      <c r="E175" s="23" t="inlineStr">
        <is>
          <t>Depot lead: road restoration - inspection</t>
        </is>
      </c>
      <c r="F175" s="23" t="inlineStr">
        <is>
          <t>ONE_TO_ONE</t>
        </is>
      </c>
      <c r="G175" s="23" t="inlineStr">
        <is>
          <t>RETAINED</t>
        </is>
      </c>
      <c r="H175" s="23" t="inlineStr">
        <is>
          <t>Carried forward</t>
        </is>
      </c>
      <c r="I175" s="23" t="inlineStr">
        <is>
          <t>Source assignment -- not individually reviewed</t>
        </is>
      </c>
      <c r="J175" s="23" t="inlineStr"/>
      <c r="K175" s="23" t="inlineStr">
        <is>
          <t>Source assignment</t>
        </is>
      </c>
      <c r="L175" s="23" t="inlineStr"/>
      <c r="M175" s="23" t="inlineStr">
        <is>
          <t>Contractor Programme Cycle 2</t>
        </is>
      </c>
      <c r="N175" s="23" t="inlineStr">
        <is>
          <t>Rev 1</t>
        </is>
      </c>
      <c r="O175" s="23" t="inlineStr">
        <is>
          <t>R12-v2</t>
        </is>
      </c>
      <c r="P175" s="23" t="inlineStr"/>
      <c r="Q175" s="23" t="inlineStr"/>
      <c r="R175" s="23" t="inlineStr"/>
      <c r="S175" s="23" t="inlineStr"/>
      <c r="T175" s="23" t="inlineStr"/>
      <c r="U175" s="23" t="inlineStr"/>
      <c r="V175" s="23" t="inlineStr">
        <is>
          <t>WBS Code = 1.1.2</t>
        </is>
      </c>
      <c r="W175" s="23" t="inlineStr"/>
    </row>
    <row r="176" ht="49" customHeight="1">
      <c r="A176" s="23" t="inlineStr">
        <is>
          <t>1.1.2</t>
        </is>
      </c>
      <c r="B176" s="23" t="inlineStr">
        <is>
          <t>Guideway and Civil - Utility &amp; Roadworks</t>
        </is>
      </c>
      <c r="C176" s="23" t="inlineStr">
        <is>
          <t>Contractor Programme</t>
        </is>
      </c>
      <c r="D176" s="23" t="inlineStr">
        <is>
          <t>SCH-01-015</t>
        </is>
      </c>
      <c r="E176" s="23" t="inlineStr">
        <is>
          <t>Central guideway: drainage tie-in - field start</t>
        </is>
      </c>
      <c r="F176" s="23" t="inlineStr">
        <is>
          <t>ONE_TO_ONE</t>
        </is>
      </c>
      <c r="G176" s="23" t="inlineStr">
        <is>
          <t>RETAINED</t>
        </is>
      </c>
      <c r="H176" s="23" t="inlineStr">
        <is>
          <t>Carried forward</t>
        </is>
      </c>
      <c r="I176" s="23" t="inlineStr">
        <is>
          <t>Source assignment -- not individually reviewed</t>
        </is>
      </c>
      <c r="J176" s="23" t="inlineStr"/>
      <c r="K176" s="23" t="inlineStr">
        <is>
          <t>Source assignment</t>
        </is>
      </c>
      <c r="L176" s="23" t="inlineStr"/>
      <c r="M176" s="23" t="inlineStr">
        <is>
          <t>Contractor Programme Cycle 2</t>
        </is>
      </c>
      <c r="N176" s="23" t="inlineStr">
        <is>
          <t>Rev 1</t>
        </is>
      </c>
      <c r="O176" s="23" t="inlineStr">
        <is>
          <t>R15-v2</t>
        </is>
      </c>
      <c r="P176" s="23" t="inlineStr"/>
      <c r="Q176" s="23" t="inlineStr"/>
      <c r="R176" s="23" t="inlineStr"/>
      <c r="S176" s="23" t="inlineStr"/>
      <c r="T176" s="23" t="inlineStr"/>
      <c r="U176" s="23" t="inlineStr"/>
      <c r="V176" s="23" t="inlineStr">
        <is>
          <t>WBS Code = 1.1.2</t>
        </is>
      </c>
      <c r="W176" s="23" t="inlineStr"/>
    </row>
    <row r="177" ht="49" customHeight="1">
      <c r="A177" s="23" t="inlineStr">
        <is>
          <t>1.1.2</t>
        </is>
      </c>
      <c r="B177" s="23" t="inlineStr">
        <is>
          <t>Guideway and Civil - Utility &amp; Roadworks</t>
        </is>
      </c>
      <c r="C177" s="23" t="inlineStr">
        <is>
          <t>Contractor Programme</t>
        </is>
      </c>
      <c r="D177" s="23" t="inlineStr">
        <is>
          <t>SCH-01-018</t>
        </is>
      </c>
      <c r="E177" s="23" t="inlineStr">
        <is>
          <t>East portal: temporary traffic staging - turnover</t>
        </is>
      </c>
      <c r="F177" s="23" t="inlineStr">
        <is>
          <t>ONE_TO_ONE</t>
        </is>
      </c>
      <c r="G177" s="23" t="inlineStr">
        <is>
          <t>RETAINED</t>
        </is>
      </c>
      <c r="H177" s="23" t="inlineStr">
        <is>
          <t>Carried forward</t>
        </is>
      </c>
      <c r="I177" s="23" t="inlineStr">
        <is>
          <t>Source assignment -- not individually reviewed</t>
        </is>
      </c>
      <c r="J177" s="23" t="inlineStr"/>
      <c r="K177" s="23" t="inlineStr">
        <is>
          <t>Source assignment</t>
        </is>
      </c>
      <c r="L177" s="23" t="inlineStr"/>
      <c r="M177" s="23" t="inlineStr">
        <is>
          <t>Contractor Programme Cycle 2</t>
        </is>
      </c>
      <c r="N177" s="23" t="inlineStr">
        <is>
          <t>Rev 1</t>
        </is>
      </c>
      <c r="O177" s="23" t="inlineStr">
        <is>
          <t>R18-v2</t>
        </is>
      </c>
      <c r="P177" s="23" t="inlineStr"/>
      <c r="Q177" s="23" t="inlineStr"/>
      <c r="R177" s="23" t="inlineStr"/>
      <c r="S177" s="23" t="inlineStr"/>
      <c r="T177" s="23" t="inlineStr"/>
      <c r="U177" s="23" t="inlineStr"/>
      <c r="V177" s="23" t="inlineStr">
        <is>
          <t>WBS Code = 1.1.2</t>
        </is>
      </c>
      <c r="W177" s="23" t="inlineStr"/>
    </row>
    <row r="178" ht="49" customHeight="1">
      <c r="A178" s="23" t="inlineStr">
        <is>
          <t>1.1.2</t>
        </is>
      </c>
      <c r="B178" s="23" t="inlineStr">
        <is>
          <t>Guideway and Civil - Utility &amp; Roadworks</t>
        </is>
      </c>
      <c r="C178" s="23" t="inlineStr">
        <is>
          <t>Contractor Programme</t>
        </is>
      </c>
      <c r="D178" s="23" t="inlineStr">
        <is>
          <t>SCH-01-021</t>
        </is>
      </c>
      <c r="E178" s="23" t="inlineStr">
        <is>
          <t>West approach: drilled-shaft installation - installation</t>
        </is>
      </c>
      <c r="F178" s="23" t="inlineStr">
        <is>
          <t>ONE_TO_ONE</t>
        </is>
      </c>
      <c r="G178" s="23" t="inlineStr">
        <is>
          <t>RETAINED</t>
        </is>
      </c>
      <c r="H178" s="23" t="inlineStr">
        <is>
          <t>Carried forward</t>
        </is>
      </c>
      <c r="I178" s="23" t="inlineStr">
        <is>
          <t>Source assignment -- not individually reviewed</t>
        </is>
      </c>
      <c r="J178" s="23" t="inlineStr"/>
      <c r="K178" s="23" t="inlineStr">
        <is>
          <t>Source assignment</t>
        </is>
      </c>
      <c r="L178" s="23" t="inlineStr"/>
      <c r="M178" s="23" t="inlineStr">
        <is>
          <t>Contractor Programme Cycle 2</t>
        </is>
      </c>
      <c r="N178" s="23" t="inlineStr">
        <is>
          <t>Rev 1</t>
        </is>
      </c>
      <c r="O178" s="23" t="inlineStr">
        <is>
          <t>R21-v2</t>
        </is>
      </c>
      <c r="P178" s="23" t="inlineStr"/>
      <c r="Q178" s="23" t="inlineStr"/>
      <c r="R178" s="23" t="inlineStr"/>
      <c r="S178" s="23" t="inlineStr"/>
      <c r="T178" s="23" t="inlineStr"/>
      <c r="U178" s="23" t="inlineStr"/>
      <c r="V178" s="23" t="inlineStr">
        <is>
          <t>WBS Code = 1.1.2</t>
        </is>
      </c>
      <c r="W178" s="23" t="inlineStr"/>
    </row>
    <row r="179" ht="49" customHeight="1">
      <c r="A179" s="23" t="inlineStr">
        <is>
          <t>1.1.2</t>
        </is>
      </c>
      <c r="B179" s="23" t="inlineStr">
        <is>
          <t>Guideway and Civil - Utility &amp; Roadworks</t>
        </is>
      </c>
      <c r="C179" s="23" t="inlineStr">
        <is>
          <t>Contractor Programme</t>
        </is>
      </c>
      <c r="D179" s="23" t="inlineStr">
        <is>
          <t>SCH-01-024</t>
        </is>
      </c>
      <c r="E179" s="23" t="inlineStr">
        <is>
          <t>River crossing: utility relocation - release</t>
        </is>
      </c>
      <c r="F179" s="23" t="inlineStr">
        <is>
          <t>ONE_TO_ONE</t>
        </is>
      </c>
      <c r="G179" s="23" t="inlineStr">
        <is>
          <t>RETAINED</t>
        </is>
      </c>
      <c r="H179" s="23" t="inlineStr">
        <is>
          <t>Carried forward</t>
        </is>
      </c>
      <c r="I179" s="23" t="inlineStr">
        <is>
          <t>Source assignment -- not individually reviewed</t>
        </is>
      </c>
      <c r="J179" s="23" t="inlineStr"/>
      <c r="K179" s="23" t="inlineStr">
        <is>
          <t>Source assignment</t>
        </is>
      </c>
      <c r="L179" s="23" t="inlineStr"/>
      <c r="M179" s="23" t="inlineStr">
        <is>
          <t>Contractor Programme Cycle 2</t>
        </is>
      </c>
      <c r="N179" s="23" t="inlineStr">
        <is>
          <t>Rev 1</t>
        </is>
      </c>
      <c r="O179" s="23" t="inlineStr">
        <is>
          <t>R24-v2</t>
        </is>
      </c>
      <c r="P179" s="23" t="inlineStr"/>
      <c r="Q179" s="23" t="inlineStr"/>
      <c r="R179" s="23" t="inlineStr"/>
      <c r="S179" s="23" t="inlineStr"/>
      <c r="T179" s="23" t="inlineStr"/>
      <c r="U179" s="23" t="inlineStr"/>
      <c r="V179" s="23" t="inlineStr">
        <is>
          <t>WBS Code = 1.1.2</t>
        </is>
      </c>
      <c r="W179" s="23" t="inlineStr"/>
    </row>
    <row r="180" ht="49" customHeight="1">
      <c r="A180" s="23" t="inlineStr">
        <is>
          <t>1.1.2</t>
        </is>
      </c>
      <c r="B180" s="23" t="inlineStr">
        <is>
          <t>Guideway and Civil - Utility &amp; Roadworks</t>
        </is>
      </c>
      <c r="C180" s="23" t="inlineStr">
        <is>
          <t>Contractor Programme</t>
        </is>
      </c>
      <c r="D180" s="23" t="inlineStr">
        <is>
          <t>SCH-01-027</t>
        </is>
      </c>
      <c r="E180" s="23" t="inlineStr">
        <is>
          <t>Depot lead: guideway pier reinforcement - inspection</t>
        </is>
      </c>
      <c r="F180" s="23" t="inlineStr">
        <is>
          <t>ONE_TO_ONE</t>
        </is>
      </c>
      <c r="G180" s="23" t="inlineStr">
        <is>
          <t>RETAINED</t>
        </is>
      </c>
      <c r="H180" s="23" t="inlineStr">
        <is>
          <t>Carried forward</t>
        </is>
      </c>
      <c r="I180" s="23" t="inlineStr">
        <is>
          <t>Source assignment -- not individually reviewed</t>
        </is>
      </c>
      <c r="J180" s="23" t="inlineStr"/>
      <c r="K180" s="23" t="inlineStr">
        <is>
          <t>Source assignment</t>
        </is>
      </c>
      <c r="L180" s="23" t="inlineStr"/>
      <c r="M180" s="23" t="inlineStr">
        <is>
          <t>Contractor Programme Cycle 2</t>
        </is>
      </c>
      <c r="N180" s="23" t="inlineStr">
        <is>
          <t>Rev 1</t>
        </is>
      </c>
      <c r="O180" s="23" t="inlineStr">
        <is>
          <t>R27-v2</t>
        </is>
      </c>
      <c r="P180" s="23" t="inlineStr"/>
      <c r="Q180" s="23" t="inlineStr"/>
      <c r="R180" s="23" t="inlineStr"/>
      <c r="S180" s="23" t="inlineStr"/>
      <c r="T180" s="23" t="inlineStr"/>
      <c r="U180" s="23" t="inlineStr"/>
      <c r="V180" s="23" t="inlineStr">
        <is>
          <t>WBS Code = 1.1.2</t>
        </is>
      </c>
      <c r="W180" s="23" t="inlineStr"/>
    </row>
    <row r="181" ht="49" customHeight="1">
      <c r="A181" s="23" t="inlineStr">
        <is>
          <t>1.1.2</t>
        </is>
      </c>
      <c r="B181" s="23" t="inlineStr">
        <is>
          <t>Guideway and Civil - Utility &amp; Roadworks</t>
        </is>
      </c>
      <c r="C181" s="23" t="inlineStr">
        <is>
          <t>Contractor Programme</t>
        </is>
      </c>
      <c r="D181" s="23" t="inlineStr">
        <is>
          <t>SCH-01-030</t>
        </is>
      </c>
      <c r="E181" s="23" t="inlineStr">
        <is>
          <t>Central guideway: retaining-wall excavation - field start</t>
        </is>
      </c>
      <c r="F181" s="23" t="inlineStr">
        <is>
          <t>ONE_TO_ONE</t>
        </is>
      </c>
      <c r="G181" s="23" t="inlineStr">
        <is>
          <t>RETAINED</t>
        </is>
      </c>
      <c r="H181" s="23" t="inlineStr">
        <is>
          <t>Carried forward</t>
        </is>
      </c>
      <c r="I181" s="23" t="inlineStr">
        <is>
          <t>Source assignment -- not individually reviewed</t>
        </is>
      </c>
      <c r="J181" s="23" t="inlineStr"/>
      <c r="K181" s="23" t="inlineStr">
        <is>
          <t>Source assignment</t>
        </is>
      </c>
      <c r="L181" s="23" t="inlineStr"/>
      <c r="M181" s="23" t="inlineStr">
        <is>
          <t>Contractor Programme Cycle 2</t>
        </is>
      </c>
      <c r="N181" s="23" t="inlineStr">
        <is>
          <t>Rev 1</t>
        </is>
      </c>
      <c r="O181" s="23" t="inlineStr">
        <is>
          <t>R30-v2</t>
        </is>
      </c>
      <c r="P181" s="23" t="inlineStr"/>
      <c r="Q181" s="23" t="inlineStr"/>
      <c r="R181" s="23" t="inlineStr"/>
      <c r="S181" s="23" t="inlineStr"/>
      <c r="T181" s="23" t="inlineStr"/>
      <c r="U181" s="23" t="inlineStr"/>
      <c r="V181" s="23" t="inlineStr">
        <is>
          <t>WBS Code = 1.1.2</t>
        </is>
      </c>
      <c r="W181" s="23" t="inlineStr"/>
    </row>
    <row r="182" ht="49" customHeight="1">
      <c r="A182" s="23" t="inlineStr">
        <is>
          <t>1.1.2</t>
        </is>
      </c>
      <c r="B182" s="23" t="inlineStr">
        <is>
          <t>Guideway and Civil - Utility &amp; Roadworks</t>
        </is>
      </c>
      <c r="C182" s="23" t="inlineStr">
        <is>
          <t>Contractor Programme</t>
        </is>
      </c>
      <c r="D182" s="23" t="inlineStr">
        <is>
          <t>SCH-01-033</t>
        </is>
      </c>
      <c r="E182" s="23" t="inlineStr">
        <is>
          <t>East portal: track-slab survey - turnover</t>
        </is>
      </c>
      <c r="F182" s="23" t="inlineStr">
        <is>
          <t>ONE_TO_ONE</t>
        </is>
      </c>
      <c r="G182" s="23" t="inlineStr">
        <is>
          <t>RETAINED</t>
        </is>
      </c>
      <c r="H182" s="23" t="inlineStr">
        <is>
          <t>Carried forward</t>
        </is>
      </c>
      <c r="I182" s="23" t="inlineStr">
        <is>
          <t>Source assignment -- not individually reviewed</t>
        </is>
      </c>
      <c r="J182" s="23" t="inlineStr"/>
      <c r="K182" s="23" t="inlineStr">
        <is>
          <t>Source assignment</t>
        </is>
      </c>
      <c r="L182" s="23" t="inlineStr"/>
      <c r="M182" s="23" t="inlineStr">
        <is>
          <t>Contractor Programme Cycle 2</t>
        </is>
      </c>
      <c r="N182" s="23" t="inlineStr">
        <is>
          <t>Rev 1</t>
        </is>
      </c>
      <c r="O182" s="23" t="inlineStr">
        <is>
          <t>R33-v2</t>
        </is>
      </c>
      <c r="P182" s="23" t="inlineStr"/>
      <c r="Q182" s="23" t="inlineStr"/>
      <c r="R182" s="23" t="inlineStr"/>
      <c r="S182" s="23" t="inlineStr"/>
      <c r="T182" s="23" t="inlineStr"/>
      <c r="U182" s="23" t="inlineStr"/>
      <c r="V182" s="23" t="inlineStr">
        <is>
          <t>WBS Code = 1.1.2</t>
        </is>
      </c>
      <c r="W182" s="23" t="inlineStr"/>
    </row>
    <row r="183" ht="49" customHeight="1">
      <c r="A183" s="23" t="inlineStr">
        <is>
          <t>1.1.2</t>
        </is>
      </c>
      <c r="B183" s="23" t="inlineStr">
        <is>
          <t>Guideway and Civil - Utility &amp; Roadworks</t>
        </is>
      </c>
      <c r="C183" s="23" t="inlineStr">
        <is>
          <t>Contractor Programme</t>
        </is>
      </c>
      <c r="D183" s="23" t="inlineStr">
        <is>
          <t>SCH-01-036</t>
        </is>
      </c>
      <c r="E183" s="23" t="inlineStr">
        <is>
          <t>West approach: road restoration - installation</t>
        </is>
      </c>
      <c r="F183" s="23" t="inlineStr">
        <is>
          <t>ONE_TO_ONE</t>
        </is>
      </c>
      <c r="G183" s="23" t="inlineStr">
        <is>
          <t>RETAINED</t>
        </is>
      </c>
      <c r="H183" s="23" t="inlineStr">
        <is>
          <t>Carried forward</t>
        </is>
      </c>
      <c r="I183" s="23" t="inlineStr">
        <is>
          <t>Source assignment -- not individually reviewed</t>
        </is>
      </c>
      <c r="J183" s="23" t="inlineStr"/>
      <c r="K183" s="23" t="inlineStr">
        <is>
          <t>Source assignment</t>
        </is>
      </c>
      <c r="L183" s="23" t="inlineStr"/>
      <c r="M183" s="23" t="inlineStr">
        <is>
          <t>Contractor Programme Cycle 2</t>
        </is>
      </c>
      <c r="N183" s="23" t="inlineStr">
        <is>
          <t>Rev 1</t>
        </is>
      </c>
      <c r="O183" s="23" t="inlineStr">
        <is>
          <t>R36-v2</t>
        </is>
      </c>
      <c r="P183" s="23" t="inlineStr"/>
      <c r="Q183" s="23" t="inlineStr"/>
      <c r="R183" s="23" t="inlineStr"/>
      <c r="S183" s="23" t="inlineStr"/>
      <c r="T183" s="23" t="inlineStr"/>
      <c r="U183" s="23" t="inlineStr"/>
      <c r="V183" s="23" t="inlineStr">
        <is>
          <t>WBS Code = 1.1.2</t>
        </is>
      </c>
      <c r="W183" s="23" t="inlineStr"/>
    </row>
    <row r="184" ht="49" customHeight="1">
      <c r="A184" s="23" t="inlineStr">
        <is>
          <t>1.1.2</t>
        </is>
      </c>
      <c r="B184" s="23" t="inlineStr">
        <is>
          <t>Guideway and Civil - Utility &amp; Roadworks</t>
        </is>
      </c>
      <c r="C184" s="23" t="inlineStr">
        <is>
          <t>Contractor Programme</t>
        </is>
      </c>
      <c r="D184" s="23" t="inlineStr">
        <is>
          <t>SCH-01-039</t>
        </is>
      </c>
      <c r="E184" s="23" t="inlineStr">
        <is>
          <t>River crossing: drainage tie-in - release</t>
        </is>
      </c>
      <c r="F184" s="23" t="inlineStr">
        <is>
          <t>ONE_TO_ONE</t>
        </is>
      </c>
      <c r="G184" s="23" t="inlineStr">
        <is>
          <t>RETAINED</t>
        </is>
      </c>
      <c r="H184" s="23" t="inlineStr">
        <is>
          <t>Carried forward</t>
        </is>
      </c>
      <c r="I184" s="23" t="inlineStr">
        <is>
          <t>Source assignment -- not individually reviewed</t>
        </is>
      </c>
      <c r="J184" s="23" t="inlineStr"/>
      <c r="K184" s="23" t="inlineStr">
        <is>
          <t>Source assignment</t>
        </is>
      </c>
      <c r="L184" s="23" t="inlineStr"/>
      <c r="M184" s="23" t="inlineStr">
        <is>
          <t>Contractor Programme Cycle 2</t>
        </is>
      </c>
      <c r="N184" s="23" t="inlineStr">
        <is>
          <t>Rev 1</t>
        </is>
      </c>
      <c r="O184" s="23" t="inlineStr">
        <is>
          <t>R39-v2</t>
        </is>
      </c>
      <c r="P184" s="23" t="inlineStr"/>
      <c r="Q184" s="23" t="inlineStr"/>
      <c r="R184" s="23" t="inlineStr"/>
      <c r="S184" s="23" t="inlineStr"/>
      <c r="T184" s="23" t="inlineStr"/>
      <c r="U184" s="23" t="inlineStr"/>
      <c r="V184" s="23" t="inlineStr">
        <is>
          <t>WBS Code = 1.1.2</t>
        </is>
      </c>
      <c r="W184" s="23" t="inlineStr"/>
    </row>
    <row r="185" ht="49" customHeight="1">
      <c r="A185" s="23" t="inlineStr">
        <is>
          <t>1.1.2</t>
        </is>
      </c>
      <c r="B185" s="23" t="inlineStr">
        <is>
          <t>Guideway and Civil - Utility &amp; Roadworks</t>
        </is>
      </c>
      <c r="C185" s="23" t="inlineStr">
        <is>
          <t>Contractor Programme</t>
        </is>
      </c>
      <c r="D185" s="23" t="inlineStr">
        <is>
          <t>SCH-01-042</t>
        </is>
      </c>
      <c r="E185" s="23" t="inlineStr">
        <is>
          <t>Depot lead: temporary traffic staging - inspection</t>
        </is>
      </c>
      <c r="F185" s="23" t="inlineStr">
        <is>
          <t>ONE_TO_ONE</t>
        </is>
      </c>
      <c r="G185" s="23" t="inlineStr">
        <is>
          <t>RETAINED</t>
        </is>
      </c>
      <c r="H185" s="23" t="inlineStr">
        <is>
          <t>Carried forward</t>
        </is>
      </c>
      <c r="I185" s="23" t="inlineStr">
        <is>
          <t>Source assignment -- not individually reviewed</t>
        </is>
      </c>
      <c r="J185" s="23" t="inlineStr"/>
      <c r="K185" s="23" t="inlineStr">
        <is>
          <t>Source assignment</t>
        </is>
      </c>
      <c r="L185" s="23" t="inlineStr"/>
      <c r="M185" s="23" t="inlineStr">
        <is>
          <t>Contractor Programme Cycle 2</t>
        </is>
      </c>
      <c r="N185" s="23" t="inlineStr">
        <is>
          <t>Rev 1</t>
        </is>
      </c>
      <c r="O185" s="23" t="inlineStr">
        <is>
          <t>R42-v2</t>
        </is>
      </c>
      <c r="P185" s="23" t="inlineStr"/>
      <c r="Q185" s="23" t="inlineStr"/>
      <c r="R185" s="23" t="inlineStr"/>
      <c r="S185" s="23" t="inlineStr"/>
      <c r="T185" s="23" t="inlineStr"/>
      <c r="U185" s="23" t="inlineStr"/>
      <c r="V185" s="23" t="inlineStr">
        <is>
          <t>WBS Code = 1.1.2</t>
        </is>
      </c>
      <c r="W185" s="23" t="inlineStr"/>
    </row>
    <row r="186" ht="49" customHeight="1">
      <c r="A186" s="23" t="inlineStr">
        <is>
          <t>1.1.2</t>
        </is>
      </c>
      <c r="B186" s="23" t="inlineStr">
        <is>
          <t>Guideway and Civil - Utility &amp; Roadworks</t>
        </is>
      </c>
      <c r="C186" s="23" t="inlineStr">
        <is>
          <t>Contractor Programme</t>
        </is>
      </c>
      <c r="D186" s="23" t="inlineStr">
        <is>
          <t>SCH-01-045</t>
        </is>
      </c>
      <c r="E186" s="23" t="inlineStr">
        <is>
          <t>Central guideway: drilled-shaft installation - field start</t>
        </is>
      </c>
      <c r="F186" s="23" t="inlineStr">
        <is>
          <t>ONE_TO_ONE</t>
        </is>
      </c>
      <c r="G186" s="23" t="inlineStr">
        <is>
          <t>RETAINED</t>
        </is>
      </c>
      <c r="H186" s="23" t="inlineStr">
        <is>
          <t>Carried forward</t>
        </is>
      </c>
      <c r="I186" s="23" t="inlineStr">
        <is>
          <t>Source assignment -- not individually reviewed</t>
        </is>
      </c>
      <c r="J186" s="23" t="inlineStr"/>
      <c r="K186" s="23" t="inlineStr">
        <is>
          <t>Source assignment</t>
        </is>
      </c>
      <c r="L186" s="23" t="inlineStr"/>
      <c r="M186" s="23" t="inlineStr">
        <is>
          <t>Contractor Programme Cycle 2</t>
        </is>
      </c>
      <c r="N186" s="23" t="inlineStr">
        <is>
          <t>Rev 1</t>
        </is>
      </c>
      <c r="O186" s="23" t="inlineStr">
        <is>
          <t>R45-v2</t>
        </is>
      </c>
      <c r="P186" s="23" t="inlineStr"/>
      <c r="Q186" s="23" t="inlineStr"/>
      <c r="R186" s="23" t="inlineStr"/>
      <c r="S186" s="23" t="inlineStr"/>
      <c r="T186" s="23" t="inlineStr"/>
      <c r="U186" s="23" t="inlineStr"/>
      <c r="V186" s="23" t="inlineStr">
        <is>
          <t>WBS Code = 1.1.2</t>
        </is>
      </c>
      <c r="W186" s="23" t="inlineStr"/>
    </row>
    <row r="187" ht="49" customHeight="1">
      <c r="A187" s="23" t="inlineStr">
        <is>
          <t>1.1.2</t>
        </is>
      </c>
      <c r="B187" s="23" t="inlineStr">
        <is>
          <t>Guideway and Civil - Utility &amp; Roadworks</t>
        </is>
      </c>
      <c r="C187" s="23" t="inlineStr">
        <is>
          <t>Contractor Programme</t>
        </is>
      </c>
      <c r="D187" s="23" t="inlineStr">
        <is>
          <t>SCH-01-048</t>
        </is>
      </c>
      <c r="E187" s="23" t="inlineStr">
        <is>
          <t>East portal: utility relocation - turnover</t>
        </is>
      </c>
      <c r="F187" s="23" t="inlineStr">
        <is>
          <t>ONE_TO_ONE</t>
        </is>
      </c>
      <c r="G187" s="23" t="inlineStr">
        <is>
          <t>RETAINED</t>
        </is>
      </c>
      <c r="H187" s="23" t="inlineStr">
        <is>
          <t>Carried forward</t>
        </is>
      </c>
      <c r="I187" s="23" t="inlineStr">
        <is>
          <t>Source assignment -- not individually reviewed</t>
        </is>
      </c>
      <c r="J187" s="23" t="inlineStr"/>
      <c r="K187" s="23" t="inlineStr">
        <is>
          <t>Source assignment</t>
        </is>
      </c>
      <c r="L187" s="23" t="inlineStr"/>
      <c r="M187" s="23" t="inlineStr">
        <is>
          <t>Contractor Programme Cycle 2</t>
        </is>
      </c>
      <c r="N187" s="23" t="inlineStr">
        <is>
          <t>Rev 1</t>
        </is>
      </c>
      <c r="O187" s="23" t="inlineStr">
        <is>
          <t>R48-v2</t>
        </is>
      </c>
      <c r="P187" s="23" t="inlineStr"/>
      <c r="Q187" s="23" t="inlineStr"/>
      <c r="R187" s="23" t="inlineStr"/>
      <c r="S187" s="23" t="inlineStr"/>
      <c r="T187" s="23" t="inlineStr"/>
      <c r="U187" s="23" t="inlineStr"/>
      <c r="V187" s="23" t="inlineStr">
        <is>
          <t>WBS Code = 1.1.2</t>
        </is>
      </c>
      <c r="W187" s="23" t="inlineStr"/>
    </row>
    <row r="188" ht="49" customHeight="1">
      <c r="A188" s="23" t="inlineStr">
        <is>
          <t>1.1.2</t>
        </is>
      </c>
      <c r="B188" s="23" t="inlineStr">
        <is>
          <t>Guideway and Civil - Utility &amp; Roadworks</t>
        </is>
      </c>
      <c r="C188" s="23" t="inlineStr">
        <is>
          <t>Contractor Programme</t>
        </is>
      </c>
      <c r="D188" s="23" t="inlineStr">
        <is>
          <t>SCH-01-051</t>
        </is>
      </c>
      <c r="E188" s="23" t="inlineStr">
        <is>
          <t>West approach: guideway pier reinforcement - installation</t>
        </is>
      </c>
      <c r="F188" s="23" t="inlineStr">
        <is>
          <t>ONE_TO_ONE</t>
        </is>
      </c>
      <c r="G188" s="23" t="inlineStr">
        <is>
          <t>RETAINED</t>
        </is>
      </c>
      <c r="H188" s="23" t="inlineStr">
        <is>
          <t>Carried forward</t>
        </is>
      </c>
      <c r="I188" s="23" t="inlineStr">
        <is>
          <t>Source assignment -- not individually reviewed</t>
        </is>
      </c>
      <c r="J188" s="23" t="inlineStr"/>
      <c r="K188" s="23" t="inlineStr">
        <is>
          <t>Source assignment</t>
        </is>
      </c>
      <c r="L188" s="23" t="inlineStr"/>
      <c r="M188" s="23" t="inlineStr">
        <is>
          <t>Contractor Programme Cycle 2</t>
        </is>
      </c>
      <c r="N188" s="23" t="inlineStr">
        <is>
          <t>Rev 1</t>
        </is>
      </c>
      <c r="O188" s="23" t="inlineStr">
        <is>
          <t>R51-v2</t>
        </is>
      </c>
      <c r="P188" s="23" t="inlineStr"/>
      <c r="Q188" s="23" t="inlineStr"/>
      <c r="R188" s="23" t="inlineStr"/>
      <c r="S188" s="23" t="inlineStr"/>
      <c r="T188" s="23" t="inlineStr"/>
      <c r="U188" s="23" t="inlineStr"/>
      <c r="V188" s="23" t="inlineStr">
        <is>
          <t>WBS Code = 1.1.2</t>
        </is>
      </c>
      <c r="W188" s="23" t="inlineStr"/>
    </row>
    <row r="189" ht="49" customHeight="1">
      <c r="A189" s="23" t="inlineStr">
        <is>
          <t>1.1.2</t>
        </is>
      </c>
      <c r="B189" s="23" t="inlineStr">
        <is>
          <t>Guideway and Civil - Utility &amp; Roadworks</t>
        </is>
      </c>
      <c r="C189" s="23" t="inlineStr">
        <is>
          <t>Contractor Programme</t>
        </is>
      </c>
      <c r="D189" s="23" t="inlineStr">
        <is>
          <t>SCH-01-054</t>
        </is>
      </c>
      <c r="E189" s="23" t="inlineStr">
        <is>
          <t>River crossing: retaining-wall excavation - release</t>
        </is>
      </c>
      <c r="F189" s="23" t="inlineStr">
        <is>
          <t>ONE_TO_ONE</t>
        </is>
      </c>
      <c r="G189" s="23" t="inlineStr">
        <is>
          <t>RETAINED</t>
        </is>
      </c>
      <c r="H189" s="23" t="inlineStr">
        <is>
          <t>Carried forward</t>
        </is>
      </c>
      <c r="I189" s="23" t="inlineStr">
        <is>
          <t>Source assignment -- not individually reviewed</t>
        </is>
      </c>
      <c r="J189" s="23" t="inlineStr"/>
      <c r="K189" s="23" t="inlineStr">
        <is>
          <t>Source assignment</t>
        </is>
      </c>
      <c r="L189" s="23" t="inlineStr"/>
      <c r="M189" s="23" t="inlineStr">
        <is>
          <t>Contractor Programme Cycle 2</t>
        </is>
      </c>
      <c r="N189" s="23" t="inlineStr">
        <is>
          <t>Rev 1</t>
        </is>
      </c>
      <c r="O189" s="23" t="inlineStr">
        <is>
          <t>R54-v2</t>
        </is>
      </c>
      <c r="P189" s="23" t="inlineStr"/>
      <c r="Q189" s="23" t="inlineStr"/>
      <c r="R189" s="23" t="inlineStr"/>
      <c r="S189" s="23" t="inlineStr"/>
      <c r="T189" s="23" t="inlineStr"/>
      <c r="U189" s="23" t="inlineStr"/>
      <c r="V189" s="23" t="inlineStr">
        <is>
          <t>WBS Code = 1.1.2</t>
        </is>
      </c>
      <c r="W189" s="23" t="inlineStr"/>
    </row>
    <row r="190" ht="49" customHeight="1">
      <c r="A190" s="23" t="inlineStr">
        <is>
          <t>1.1.2</t>
        </is>
      </c>
      <c r="B190" s="23" t="inlineStr">
        <is>
          <t>Guideway and Civil - Utility &amp; Roadworks</t>
        </is>
      </c>
      <c r="C190" s="23" t="inlineStr">
        <is>
          <t>Contractor Programme</t>
        </is>
      </c>
      <c r="D190" s="23" t="inlineStr">
        <is>
          <t>SCH-01-057</t>
        </is>
      </c>
      <c r="E190" s="23" t="inlineStr">
        <is>
          <t>Depot lead: track-slab survey - inspection</t>
        </is>
      </c>
      <c r="F190" s="23" t="inlineStr">
        <is>
          <t>ONE_TO_ONE</t>
        </is>
      </c>
      <c r="G190" s="23" t="inlineStr">
        <is>
          <t>RETAINED</t>
        </is>
      </c>
      <c r="H190" s="23" t="inlineStr">
        <is>
          <t>Carried forward</t>
        </is>
      </c>
      <c r="I190" s="23" t="inlineStr">
        <is>
          <t>Source assignment -- not individually reviewed</t>
        </is>
      </c>
      <c r="J190" s="23" t="inlineStr"/>
      <c r="K190" s="23" t="inlineStr">
        <is>
          <t>Source assignment</t>
        </is>
      </c>
      <c r="L190" s="23" t="inlineStr"/>
      <c r="M190" s="23" t="inlineStr">
        <is>
          <t>Contractor Programme Cycle 2</t>
        </is>
      </c>
      <c r="N190" s="23" t="inlineStr">
        <is>
          <t>Rev 1</t>
        </is>
      </c>
      <c r="O190" s="23" t="inlineStr">
        <is>
          <t>R57-v2</t>
        </is>
      </c>
      <c r="P190" s="23" t="inlineStr"/>
      <c r="Q190" s="23" t="inlineStr"/>
      <c r="R190" s="23" t="inlineStr"/>
      <c r="S190" s="23" t="inlineStr"/>
      <c r="T190" s="23" t="inlineStr"/>
      <c r="U190" s="23" t="inlineStr"/>
      <c r="V190" s="23" t="inlineStr">
        <is>
          <t>WBS Code = 1.1.2</t>
        </is>
      </c>
      <c r="W190" s="23" t="inlineStr"/>
    </row>
    <row r="191" ht="49" customHeight="1">
      <c r="A191" s="23" t="inlineStr">
        <is>
          <t>1.1.2</t>
        </is>
      </c>
      <c r="B191" s="23" t="inlineStr">
        <is>
          <t>Guideway and Civil - Utility &amp; Roadworks</t>
        </is>
      </c>
      <c r="C191" s="23" t="inlineStr">
        <is>
          <t>Contractor Programme</t>
        </is>
      </c>
      <c r="D191" s="23" t="inlineStr">
        <is>
          <t>SCH-01-060</t>
        </is>
      </c>
      <c r="E191" s="23" t="inlineStr">
        <is>
          <t>Central guideway: road restoration - field start</t>
        </is>
      </c>
      <c r="F191" s="23" t="inlineStr">
        <is>
          <t>ONE_TO_ONE</t>
        </is>
      </c>
      <c r="G191" s="23" t="inlineStr">
        <is>
          <t>RETAINED</t>
        </is>
      </c>
      <c r="H191" s="23" t="inlineStr">
        <is>
          <t>Carried forward</t>
        </is>
      </c>
      <c r="I191" s="23" t="inlineStr">
        <is>
          <t>Source assignment -- not individually reviewed</t>
        </is>
      </c>
      <c r="J191" s="23" t="inlineStr"/>
      <c r="K191" s="23" t="inlineStr">
        <is>
          <t>Source assignment</t>
        </is>
      </c>
      <c r="L191" s="23" t="inlineStr"/>
      <c r="M191" s="23" t="inlineStr">
        <is>
          <t>Contractor Programme Cycle 2</t>
        </is>
      </c>
      <c r="N191" s="23" t="inlineStr">
        <is>
          <t>Rev 1</t>
        </is>
      </c>
      <c r="O191" s="23" t="inlineStr">
        <is>
          <t>R60-v2</t>
        </is>
      </c>
      <c r="P191" s="23" t="inlineStr"/>
      <c r="Q191" s="23" t="inlineStr"/>
      <c r="R191" s="23" t="inlineStr"/>
      <c r="S191" s="23" t="inlineStr"/>
      <c r="T191" s="23" t="inlineStr"/>
      <c r="U191" s="23" t="inlineStr"/>
      <c r="V191" s="23" t="inlineStr">
        <is>
          <t>WBS Code = 1.1.2</t>
        </is>
      </c>
      <c r="W191" s="23" t="inlineStr"/>
    </row>
    <row r="192" ht="49" customHeight="1">
      <c r="A192" s="23" t="inlineStr">
        <is>
          <t>1.1.2</t>
        </is>
      </c>
      <c r="B192" s="23" t="inlineStr">
        <is>
          <t>Guideway and Civil - Utility &amp; Roadworks</t>
        </is>
      </c>
      <c r="C192" s="23" t="inlineStr">
        <is>
          <t>Contractor Programme</t>
        </is>
      </c>
      <c r="D192" s="23" t="inlineStr">
        <is>
          <t>SCH-01-063</t>
        </is>
      </c>
      <c r="E192" s="23" t="inlineStr">
        <is>
          <t>East portal: drainage tie-in - turnover</t>
        </is>
      </c>
      <c r="F192" s="23" t="inlineStr">
        <is>
          <t>ONE_TO_ONE</t>
        </is>
      </c>
      <c r="G192" s="23" t="inlineStr">
        <is>
          <t>RETAINED</t>
        </is>
      </c>
      <c r="H192" s="23" t="inlineStr">
        <is>
          <t>Carried forward</t>
        </is>
      </c>
      <c r="I192" s="23" t="inlineStr">
        <is>
          <t>Source assignment -- not individually reviewed</t>
        </is>
      </c>
      <c r="J192" s="23" t="inlineStr"/>
      <c r="K192" s="23" t="inlineStr">
        <is>
          <t>Source assignment</t>
        </is>
      </c>
      <c r="L192" s="23" t="inlineStr"/>
      <c r="M192" s="23" t="inlineStr">
        <is>
          <t>Contractor Programme Cycle 2</t>
        </is>
      </c>
      <c r="N192" s="23" t="inlineStr">
        <is>
          <t>Rev 1</t>
        </is>
      </c>
      <c r="O192" s="23" t="inlineStr">
        <is>
          <t>R63-v2</t>
        </is>
      </c>
      <c r="P192" s="23" t="inlineStr"/>
      <c r="Q192" s="23" t="inlineStr"/>
      <c r="R192" s="23" t="inlineStr"/>
      <c r="S192" s="23" t="inlineStr"/>
      <c r="T192" s="23" t="inlineStr"/>
      <c r="U192" s="23" t="inlineStr"/>
      <c r="V192" s="23" t="inlineStr">
        <is>
          <t>WBS Code = 1.1.2</t>
        </is>
      </c>
      <c r="W192" s="23" t="inlineStr"/>
    </row>
    <row r="193" ht="49" customHeight="1">
      <c r="A193" s="23" t="inlineStr">
        <is>
          <t>1.1.2</t>
        </is>
      </c>
      <c r="B193" s="23" t="inlineStr">
        <is>
          <t>Guideway and Civil - Utility &amp; Roadworks</t>
        </is>
      </c>
      <c r="C193" s="23" t="inlineStr">
        <is>
          <t>Contractor Programme</t>
        </is>
      </c>
      <c r="D193" s="23" t="inlineStr">
        <is>
          <t>SCH-01-066</t>
        </is>
      </c>
      <c r="E193" s="23" t="inlineStr">
        <is>
          <t>West approach: temporary traffic staging - installation</t>
        </is>
      </c>
      <c r="F193" s="23" t="inlineStr">
        <is>
          <t>ONE_TO_ONE</t>
        </is>
      </c>
      <c r="G193" s="23" t="inlineStr">
        <is>
          <t>RETAINED</t>
        </is>
      </c>
      <c r="H193" s="23" t="inlineStr">
        <is>
          <t>Carried forward</t>
        </is>
      </c>
      <c r="I193" s="23" t="inlineStr">
        <is>
          <t>Source assignment -- not individually reviewed</t>
        </is>
      </c>
      <c r="J193" s="23" t="inlineStr"/>
      <c r="K193" s="23" t="inlineStr">
        <is>
          <t>Source assignment</t>
        </is>
      </c>
      <c r="L193" s="23" t="inlineStr"/>
      <c r="M193" s="23" t="inlineStr">
        <is>
          <t>Contractor Programme Cycle 2</t>
        </is>
      </c>
      <c r="N193" s="23" t="inlineStr">
        <is>
          <t>Rev 1</t>
        </is>
      </c>
      <c r="O193" s="23" t="inlineStr">
        <is>
          <t>R66-v2</t>
        </is>
      </c>
      <c r="P193" s="23" t="inlineStr"/>
      <c r="Q193" s="23" t="inlineStr"/>
      <c r="R193" s="23" t="inlineStr"/>
      <c r="S193" s="23" t="inlineStr"/>
      <c r="T193" s="23" t="inlineStr"/>
      <c r="U193" s="23" t="inlineStr"/>
      <c r="V193" s="23" t="inlineStr">
        <is>
          <t>WBS Code = 1.1.2</t>
        </is>
      </c>
      <c r="W193" s="23" t="inlineStr"/>
    </row>
    <row r="194" ht="49" customHeight="1">
      <c r="A194" s="23" t="inlineStr">
        <is>
          <t>1.1.2</t>
        </is>
      </c>
      <c r="B194" s="23" t="inlineStr">
        <is>
          <t>Guideway and Civil - Utility &amp; Roadworks</t>
        </is>
      </c>
      <c r="C194" s="23" t="inlineStr">
        <is>
          <t>Contractor Programme</t>
        </is>
      </c>
      <c r="D194" s="23" t="inlineStr">
        <is>
          <t>SCH-01-069</t>
        </is>
      </c>
      <c r="E194" s="23" t="inlineStr">
        <is>
          <t>River crossing: drilled-shaft installation - release</t>
        </is>
      </c>
      <c r="F194" s="23" t="inlineStr">
        <is>
          <t>ONE_TO_ONE</t>
        </is>
      </c>
      <c r="G194" s="23" t="inlineStr">
        <is>
          <t>RETAINED</t>
        </is>
      </c>
      <c r="H194" s="23" t="inlineStr">
        <is>
          <t>Carried forward</t>
        </is>
      </c>
      <c r="I194" s="23" t="inlineStr">
        <is>
          <t>Source assignment -- not individually reviewed</t>
        </is>
      </c>
      <c r="J194" s="23" t="inlineStr"/>
      <c r="K194" s="23" t="inlineStr">
        <is>
          <t>Source assignment</t>
        </is>
      </c>
      <c r="L194" s="23" t="inlineStr"/>
      <c r="M194" s="23" t="inlineStr">
        <is>
          <t>Contractor Programme Cycle 2</t>
        </is>
      </c>
      <c r="N194" s="23" t="inlineStr">
        <is>
          <t>Rev 1</t>
        </is>
      </c>
      <c r="O194" s="23" t="inlineStr">
        <is>
          <t>R69-v2</t>
        </is>
      </c>
      <c r="P194" s="23" t="inlineStr"/>
      <c r="Q194" s="23" t="inlineStr"/>
      <c r="R194" s="23" t="inlineStr"/>
      <c r="S194" s="23" t="inlineStr"/>
      <c r="T194" s="23" t="inlineStr"/>
      <c r="U194" s="23" t="inlineStr"/>
      <c r="V194" s="23" t="inlineStr">
        <is>
          <t>WBS Code = 1.1.2</t>
        </is>
      </c>
      <c r="W194" s="23" t="inlineStr"/>
    </row>
    <row r="195" ht="49" customHeight="1">
      <c r="A195" s="23" t="inlineStr">
        <is>
          <t>1.1.2</t>
        </is>
      </c>
      <c r="B195" s="23" t="inlineStr">
        <is>
          <t>Guideway and Civil - Utility &amp; Roadworks</t>
        </is>
      </c>
      <c r="C195" s="23" t="inlineStr">
        <is>
          <t>Contractor Programme</t>
        </is>
      </c>
      <c r="D195" s="23" t="inlineStr">
        <is>
          <t>SCH-01-072</t>
        </is>
      </c>
      <c r="E195" s="23" t="inlineStr">
        <is>
          <t>Depot lead: utility relocation - inspection</t>
        </is>
      </c>
      <c r="F195" s="23" t="inlineStr">
        <is>
          <t>ONE_TO_ONE</t>
        </is>
      </c>
      <c r="G195" s="23" t="inlineStr">
        <is>
          <t>RETAINED</t>
        </is>
      </c>
      <c r="H195" s="23" t="inlineStr">
        <is>
          <t>Carried forward</t>
        </is>
      </c>
      <c r="I195" s="23" t="inlineStr">
        <is>
          <t>Source assignment -- not individually reviewed</t>
        </is>
      </c>
      <c r="J195" s="23" t="inlineStr"/>
      <c r="K195" s="23" t="inlineStr">
        <is>
          <t>Source assignment</t>
        </is>
      </c>
      <c r="L195" s="23" t="inlineStr"/>
      <c r="M195" s="23" t="inlineStr">
        <is>
          <t>Contractor Programme Cycle 2</t>
        </is>
      </c>
      <c r="N195" s="23" t="inlineStr">
        <is>
          <t>Rev 1</t>
        </is>
      </c>
      <c r="O195" s="23" t="inlineStr">
        <is>
          <t>R72-v2</t>
        </is>
      </c>
      <c r="P195" s="23" t="inlineStr"/>
      <c r="Q195" s="23" t="inlineStr"/>
      <c r="R195" s="23" t="inlineStr"/>
      <c r="S195" s="23" t="inlineStr"/>
      <c r="T195" s="23" t="inlineStr"/>
      <c r="U195" s="23" t="inlineStr"/>
      <c r="V195" s="23" t="inlineStr">
        <is>
          <t>WBS Code = 1.1.2</t>
        </is>
      </c>
      <c r="W195" s="23" t="inlineStr"/>
    </row>
    <row r="196" ht="49" customHeight="1">
      <c r="A196" s="23" t="inlineStr">
        <is>
          <t>1.1.2</t>
        </is>
      </c>
      <c r="B196" s="23" t="inlineStr">
        <is>
          <t>Guideway and Civil - Utility &amp; Roadworks</t>
        </is>
      </c>
      <c r="C196" s="23" t="inlineStr">
        <is>
          <t>Contractor Programme</t>
        </is>
      </c>
      <c r="D196" s="23" t="inlineStr">
        <is>
          <t>SCH-01-075</t>
        </is>
      </c>
      <c r="E196" s="23" t="inlineStr">
        <is>
          <t>Central guideway: guideway pier reinforcement - field start</t>
        </is>
      </c>
      <c r="F196" s="23" t="inlineStr">
        <is>
          <t>ONE_TO_ONE</t>
        </is>
      </c>
      <c r="G196" s="23" t="inlineStr">
        <is>
          <t>RETAINED</t>
        </is>
      </c>
      <c r="H196" s="23" t="inlineStr">
        <is>
          <t>Carried forward</t>
        </is>
      </c>
      <c r="I196" s="23" t="inlineStr">
        <is>
          <t>Source assignment -- not individually reviewed</t>
        </is>
      </c>
      <c r="J196" s="23" t="inlineStr"/>
      <c r="K196" s="23" t="inlineStr">
        <is>
          <t>Source assignment</t>
        </is>
      </c>
      <c r="L196" s="23" t="inlineStr"/>
      <c r="M196" s="23" t="inlineStr">
        <is>
          <t>Contractor Programme Cycle 2</t>
        </is>
      </c>
      <c r="N196" s="23" t="inlineStr">
        <is>
          <t>Rev 1</t>
        </is>
      </c>
      <c r="O196" s="23" t="inlineStr">
        <is>
          <t>R75-v2</t>
        </is>
      </c>
      <c r="P196" s="23" t="inlineStr"/>
      <c r="Q196" s="23" t="inlineStr"/>
      <c r="R196" s="23" t="inlineStr"/>
      <c r="S196" s="23" t="inlineStr"/>
      <c r="T196" s="23" t="inlineStr"/>
      <c r="U196" s="23" t="inlineStr"/>
      <c r="V196" s="23" t="inlineStr">
        <is>
          <t>WBS Code = 1.1.2</t>
        </is>
      </c>
      <c r="W196" s="23" t="inlineStr"/>
    </row>
    <row r="197" ht="49" customHeight="1">
      <c r="A197" s="23" t="inlineStr">
        <is>
          <t>1.1.2</t>
        </is>
      </c>
      <c r="B197" s="23" t="inlineStr">
        <is>
          <t>Guideway and Civil - Utility &amp; Roadworks</t>
        </is>
      </c>
      <c r="C197" s="23" t="inlineStr">
        <is>
          <t>Contractor Programme</t>
        </is>
      </c>
      <c r="D197" s="23" t="inlineStr">
        <is>
          <t>SCH-01-078</t>
        </is>
      </c>
      <c r="E197" s="23" t="inlineStr">
        <is>
          <t>East portal: retaining-wall excavation - turnover</t>
        </is>
      </c>
      <c r="F197" s="23" t="inlineStr">
        <is>
          <t>ONE_TO_ONE</t>
        </is>
      </c>
      <c r="G197" s="23" t="inlineStr">
        <is>
          <t>RETAINED</t>
        </is>
      </c>
      <c r="H197" s="23" t="inlineStr">
        <is>
          <t>Carried forward</t>
        </is>
      </c>
      <c r="I197" s="23" t="inlineStr">
        <is>
          <t>Source assignment -- not individually reviewed</t>
        </is>
      </c>
      <c r="J197" s="23" t="inlineStr"/>
      <c r="K197" s="23" t="inlineStr">
        <is>
          <t>Source assignment</t>
        </is>
      </c>
      <c r="L197" s="23" t="inlineStr"/>
      <c r="M197" s="23" t="inlineStr">
        <is>
          <t>Contractor Programme Cycle 2</t>
        </is>
      </c>
      <c r="N197" s="23" t="inlineStr">
        <is>
          <t>Rev 1</t>
        </is>
      </c>
      <c r="O197" s="23" t="inlineStr">
        <is>
          <t>R78-v2</t>
        </is>
      </c>
      <c r="P197" s="23" t="inlineStr"/>
      <c r="Q197" s="23" t="inlineStr"/>
      <c r="R197" s="23" t="inlineStr"/>
      <c r="S197" s="23" t="inlineStr"/>
      <c r="T197" s="23" t="inlineStr"/>
      <c r="U197" s="23" t="inlineStr"/>
      <c r="V197" s="23" t="inlineStr">
        <is>
          <t>WBS Code = 1.1.2</t>
        </is>
      </c>
      <c r="W197" s="23" t="inlineStr"/>
    </row>
    <row r="198" ht="49" customHeight="1">
      <c r="A198" s="23" t="inlineStr">
        <is>
          <t>1.1.2</t>
        </is>
      </c>
      <c r="B198" s="23" t="inlineStr">
        <is>
          <t>Guideway and Civil - Utility &amp; Roadworks</t>
        </is>
      </c>
      <c r="C198" s="23" t="inlineStr">
        <is>
          <t>Contractor Programme</t>
        </is>
      </c>
      <c r="D198" s="23" t="inlineStr">
        <is>
          <t>SCH-01-081</t>
        </is>
      </c>
      <c r="E198" s="23" t="inlineStr">
        <is>
          <t>West approach: track-slab survey - installation</t>
        </is>
      </c>
      <c r="F198" s="23" t="inlineStr">
        <is>
          <t>ONE_TO_ONE</t>
        </is>
      </c>
      <c r="G198" s="23" t="inlineStr">
        <is>
          <t>RETAINED</t>
        </is>
      </c>
      <c r="H198" s="23" t="inlineStr">
        <is>
          <t>Carried forward</t>
        </is>
      </c>
      <c r="I198" s="23" t="inlineStr">
        <is>
          <t>Source assignment -- not individually reviewed</t>
        </is>
      </c>
      <c r="J198" s="23" t="inlineStr"/>
      <c r="K198" s="23" t="inlineStr">
        <is>
          <t>Source assignment</t>
        </is>
      </c>
      <c r="L198" s="23" t="inlineStr"/>
      <c r="M198" s="23" t="inlineStr">
        <is>
          <t>Contractor Programme Cycle 2</t>
        </is>
      </c>
      <c r="N198" s="23" t="inlineStr">
        <is>
          <t>Rev 1</t>
        </is>
      </c>
      <c r="O198" s="23" t="inlineStr">
        <is>
          <t>R81-v2</t>
        </is>
      </c>
      <c r="P198" s="23" t="inlineStr"/>
      <c r="Q198" s="23" t="inlineStr"/>
      <c r="R198" s="23" t="inlineStr"/>
      <c r="S198" s="23" t="inlineStr"/>
      <c r="T198" s="23" t="inlineStr"/>
      <c r="U198" s="23" t="inlineStr"/>
      <c r="V198" s="23" t="inlineStr">
        <is>
          <t>WBS Code = 1.1.2</t>
        </is>
      </c>
      <c r="W198" s="23" t="inlineStr"/>
    </row>
    <row r="199" ht="49" customHeight="1">
      <c r="A199" s="23" t="inlineStr">
        <is>
          <t>1.1.2</t>
        </is>
      </c>
      <c r="B199" s="23" t="inlineStr">
        <is>
          <t>Guideway and Civil - Utility &amp; Roadworks</t>
        </is>
      </c>
      <c r="C199" s="23" t="inlineStr">
        <is>
          <t>Contractor Programme</t>
        </is>
      </c>
      <c r="D199" s="23" t="inlineStr">
        <is>
          <t>SCH-01-084</t>
        </is>
      </c>
      <c r="E199" s="23" t="inlineStr">
        <is>
          <t>River crossing: road restoration - release</t>
        </is>
      </c>
      <c r="F199" s="23" t="inlineStr">
        <is>
          <t>ONE_TO_ONE</t>
        </is>
      </c>
      <c r="G199" s="23" t="inlineStr">
        <is>
          <t>RETAINED</t>
        </is>
      </c>
      <c r="H199" s="23" t="inlineStr">
        <is>
          <t>Carried forward</t>
        </is>
      </c>
      <c r="I199" s="23" t="inlineStr">
        <is>
          <t>Source assignment -- not individually reviewed</t>
        </is>
      </c>
      <c r="J199" s="23" t="inlineStr"/>
      <c r="K199" s="23" t="inlineStr">
        <is>
          <t>Source assignment</t>
        </is>
      </c>
      <c r="L199" s="23" t="inlineStr"/>
      <c r="M199" s="23" t="inlineStr">
        <is>
          <t>Contractor Programme Cycle 2</t>
        </is>
      </c>
      <c r="N199" s="23" t="inlineStr">
        <is>
          <t>Rev 1</t>
        </is>
      </c>
      <c r="O199" s="23" t="inlineStr">
        <is>
          <t>R84-v2</t>
        </is>
      </c>
      <c r="P199" s="23" t="inlineStr"/>
      <c r="Q199" s="23" t="inlineStr"/>
      <c r="R199" s="23" t="inlineStr"/>
      <c r="S199" s="23" t="inlineStr"/>
      <c r="T199" s="23" t="inlineStr"/>
      <c r="U199" s="23" t="inlineStr"/>
      <c r="V199" s="23" t="inlineStr">
        <is>
          <t>WBS Code = 1.1.2</t>
        </is>
      </c>
      <c r="W199" s="23" t="inlineStr"/>
    </row>
    <row r="200" ht="49" customHeight="1">
      <c r="A200" s="23" t="inlineStr">
        <is>
          <t>1.1.2</t>
        </is>
      </c>
      <c r="B200" s="23" t="inlineStr">
        <is>
          <t>Guideway and Civil - Utility &amp; Roadworks</t>
        </is>
      </c>
      <c r="C200" s="23" t="inlineStr">
        <is>
          <t>Contractor Programme</t>
        </is>
      </c>
      <c r="D200" s="23" t="inlineStr">
        <is>
          <t>SCH-01-087</t>
        </is>
      </c>
      <c r="E200" s="23" t="inlineStr">
        <is>
          <t>Depot lead: drainage tie-in - inspection</t>
        </is>
      </c>
      <c r="F200" s="23" t="inlineStr">
        <is>
          <t>ONE_TO_ONE</t>
        </is>
      </c>
      <c r="G200" s="23" t="inlineStr">
        <is>
          <t>RETAINED</t>
        </is>
      </c>
      <c r="H200" s="23" t="inlineStr">
        <is>
          <t>Carried forward</t>
        </is>
      </c>
      <c r="I200" s="23" t="inlineStr">
        <is>
          <t>Source assignment -- not individually reviewed</t>
        </is>
      </c>
      <c r="J200" s="23" t="inlineStr"/>
      <c r="K200" s="23" t="inlineStr">
        <is>
          <t>Source assignment</t>
        </is>
      </c>
      <c r="L200" s="23" t="inlineStr"/>
      <c r="M200" s="23" t="inlineStr">
        <is>
          <t>Contractor Programme Cycle 2</t>
        </is>
      </c>
      <c r="N200" s="23" t="inlineStr">
        <is>
          <t>Rev 1</t>
        </is>
      </c>
      <c r="O200" s="23" t="inlineStr">
        <is>
          <t>R87-v2</t>
        </is>
      </c>
      <c r="P200" s="23" t="inlineStr"/>
      <c r="Q200" s="23" t="inlineStr"/>
      <c r="R200" s="23" t="inlineStr"/>
      <c r="S200" s="23" t="inlineStr"/>
      <c r="T200" s="23" t="inlineStr"/>
      <c r="U200" s="23" t="inlineStr"/>
      <c r="V200" s="23" t="inlineStr">
        <is>
          <t>WBS Code = 1.1.2</t>
        </is>
      </c>
      <c r="W200" s="23" t="inlineStr"/>
    </row>
    <row r="201" ht="49" customHeight="1">
      <c r="A201" s="23" t="inlineStr">
        <is>
          <t>1.1.2</t>
        </is>
      </c>
      <c r="B201" s="23" t="inlineStr">
        <is>
          <t>Guideway and Civil - Utility &amp; Roadworks</t>
        </is>
      </c>
      <c r="C201" s="23" t="inlineStr">
        <is>
          <t>Contractor Programme</t>
        </is>
      </c>
      <c r="D201" s="23" t="inlineStr">
        <is>
          <t>SCH-01-090</t>
        </is>
      </c>
      <c r="E201" s="23" t="inlineStr">
        <is>
          <t>Central guideway: temporary traffic staging - field start</t>
        </is>
      </c>
      <c r="F201" s="23" t="inlineStr">
        <is>
          <t>ONE_TO_ONE</t>
        </is>
      </c>
      <c r="G201" s="23" t="inlineStr">
        <is>
          <t>RETAINED</t>
        </is>
      </c>
      <c r="H201" s="23" t="inlineStr">
        <is>
          <t>Carried forward</t>
        </is>
      </c>
      <c r="I201" s="23" t="inlineStr">
        <is>
          <t>Source assignment -- not individually reviewed</t>
        </is>
      </c>
      <c r="J201" s="23" t="inlineStr"/>
      <c r="K201" s="23" t="inlineStr">
        <is>
          <t>Source assignment</t>
        </is>
      </c>
      <c r="L201" s="23" t="inlineStr"/>
      <c r="M201" s="23" t="inlineStr">
        <is>
          <t>Contractor Programme Cycle 2</t>
        </is>
      </c>
      <c r="N201" s="23" t="inlineStr">
        <is>
          <t>Rev 1</t>
        </is>
      </c>
      <c r="O201" s="23" t="inlineStr">
        <is>
          <t>R90-v2</t>
        </is>
      </c>
      <c r="P201" s="23" t="inlineStr"/>
      <c r="Q201" s="23" t="inlineStr"/>
      <c r="R201" s="23" t="inlineStr"/>
      <c r="S201" s="23" t="inlineStr"/>
      <c r="T201" s="23" t="inlineStr"/>
      <c r="U201" s="23" t="inlineStr"/>
      <c r="V201" s="23" t="inlineStr">
        <is>
          <t>WBS Code = 1.1.2</t>
        </is>
      </c>
      <c r="W201" s="23" t="inlineStr"/>
    </row>
    <row r="202" ht="49" customHeight="1">
      <c r="A202" s="23" t="inlineStr">
        <is>
          <t>1.1.2</t>
        </is>
      </c>
      <c r="B202" s="23" t="inlineStr">
        <is>
          <t>Guideway and Civil - Utility &amp; Roadworks</t>
        </is>
      </c>
      <c r="C202" s="23" t="inlineStr">
        <is>
          <t>Contractor Programme</t>
        </is>
      </c>
      <c r="D202" s="23" t="inlineStr">
        <is>
          <t>SCH-01-093</t>
        </is>
      </c>
      <c r="E202" s="23" t="inlineStr">
        <is>
          <t>East portal: drilled-shaft installation - turnover</t>
        </is>
      </c>
      <c r="F202" s="23" t="inlineStr">
        <is>
          <t>ONE_TO_ONE</t>
        </is>
      </c>
      <c r="G202" s="23" t="inlineStr">
        <is>
          <t>RETAINED</t>
        </is>
      </c>
      <c r="H202" s="23" t="inlineStr">
        <is>
          <t>Carried forward</t>
        </is>
      </c>
      <c r="I202" s="23" t="inlineStr">
        <is>
          <t>Source assignment -- not individually reviewed</t>
        </is>
      </c>
      <c r="J202" s="23" t="inlineStr"/>
      <c r="K202" s="23" t="inlineStr">
        <is>
          <t>Source assignment</t>
        </is>
      </c>
      <c r="L202" s="23" t="inlineStr"/>
      <c r="M202" s="23" t="inlineStr">
        <is>
          <t>Contractor Programme Cycle 2</t>
        </is>
      </c>
      <c r="N202" s="23" t="inlineStr">
        <is>
          <t>Rev 1</t>
        </is>
      </c>
      <c r="O202" s="23" t="inlineStr">
        <is>
          <t>R93-v2</t>
        </is>
      </c>
      <c r="P202" s="23" t="inlineStr"/>
      <c r="Q202" s="23" t="inlineStr"/>
      <c r="R202" s="23" t="inlineStr"/>
      <c r="S202" s="23" t="inlineStr"/>
      <c r="T202" s="23" t="inlineStr"/>
      <c r="U202" s="23" t="inlineStr"/>
      <c r="V202" s="23" t="inlineStr">
        <is>
          <t>WBS Code = 1.1.2</t>
        </is>
      </c>
      <c r="W202" s="23" t="inlineStr"/>
    </row>
    <row r="203" ht="49" customHeight="1">
      <c r="A203" s="23" t="inlineStr">
        <is>
          <t>1.1.2</t>
        </is>
      </c>
      <c r="B203" s="23" t="inlineStr">
        <is>
          <t>Guideway and Civil - Utility &amp; Roadworks</t>
        </is>
      </c>
      <c r="C203" s="23" t="inlineStr">
        <is>
          <t>Contractor Programme</t>
        </is>
      </c>
      <c r="D203" s="23" t="inlineStr">
        <is>
          <t>SCH-01-096</t>
        </is>
      </c>
      <c r="E203" s="23" t="inlineStr">
        <is>
          <t>West approach: utility relocation - installation</t>
        </is>
      </c>
      <c r="F203" s="23" t="inlineStr">
        <is>
          <t>ONE_TO_ONE</t>
        </is>
      </c>
      <c r="G203" s="23" t="inlineStr">
        <is>
          <t>RETAINED</t>
        </is>
      </c>
      <c r="H203" s="23" t="inlineStr">
        <is>
          <t>Carried forward</t>
        </is>
      </c>
      <c r="I203" s="23" t="inlineStr">
        <is>
          <t>Source assignment -- not individually reviewed</t>
        </is>
      </c>
      <c r="J203" s="23" t="inlineStr"/>
      <c r="K203" s="23" t="inlineStr">
        <is>
          <t>Source assignment</t>
        </is>
      </c>
      <c r="L203" s="23" t="inlineStr"/>
      <c r="M203" s="23" t="inlineStr">
        <is>
          <t>Contractor Programme Cycle 2</t>
        </is>
      </c>
      <c r="N203" s="23" t="inlineStr">
        <is>
          <t>Rev 1</t>
        </is>
      </c>
      <c r="O203" s="23" t="inlineStr">
        <is>
          <t>R96-v2</t>
        </is>
      </c>
      <c r="P203" s="23" t="inlineStr"/>
      <c r="Q203" s="23" t="inlineStr"/>
      <c r="R203" s="23" t="inlineStr"/>
      <c r="S203" s="23" t="inlineStr"/>
      <c r="T203" s="23" t="inlineStr"/>
      <c r="U203" s="23" t="inlineStr"/>
      <c r="V203" s="23" t="inlineStr">
        <is>
          <t>WBS Code = 1.1.2</t>
        </is>
      </c>
      <c r="W203" s="23" t="inlineStr"/>
    </row>
    <row r="204" ht="49" customHeight="1">
      <c r="A204" s="23" t="inlineStr">
        <is>
          <t>1.1.2</t>
        </is>
      </c>
      <c r="B204" s="23" t="inlineStr">
        <is>
          <t>Guideway and Civil - Utility &amp; Roadworks</t>
        </is>
      </c>
      <c r="C204" s="23" t="inlineStr">
        <is>
          <t>Contractor Programme</t>
        </is>
      </c>
      <c r="D204" s="23" t="inlineStr">
        <is>
          <t>SCH-01-099</t>
        </is>
      </c>
      <c r="E204" s="23" t="inlineStr">
        <is>
          <t>River crossing: guideway pier reinforcement - release</t>
        </is>
      </c>
      <c r="F204" s="23" t="inlineStr">
        <is>
          <t>ONE_TO_ONE</t>
        </is>
      </c>
      <c r="G204" s="23" t="inlineStr">
        <is>
          <t>RETAINED</t>
        </is>
      </c>
      <c r="H204" s="23" t="inlineStr">
        <is>
          <t>Carried forward</t>
        </is>
      </c>
      <c r="I204" s="23" t="inlineStr">
        <is>
          <t>Source assignment -- not individually reviewed</t>
        </is>
      </c>
      <c r="J204" s="23" t="inlineStr"/>
      <c r="K204" s="23" t="inlineStr">
        <is>
          <t>Source assignment</t>
        </is>
      </c>
      <c r="L204" s="23" t="inlineStr"/>
      <c r="M204" s="23" t="inlineStr">
        <is>
          <t>Contractor Programme Cycle 2</t>
        </is>
      </c>
      <c r="N204" s="23" t="inlineStr">
        <is>
          <t>Rev 1</t>
        </is>
      </c>
      <c r="O204" s="23" t="inlineStr">
        <is>
          <t>R99-v2</t>
        </is>
      </c>
      <c r="P204" s="23" t="inlineStr"/>
      <c r="Q204" s="23" t="inlineStr"/>
      <c r="R204" s="23" t="inlineStr"/>
      <c r="S204" s="23" t="inlineStr"/>
      <c r="T204" s="23" t="inlineStr"/>
      <c r="U204" s="23" t="inlineStr"/>
      <c r="V204" s="23" t="inlineStr">
        <is>
          <t>WBS Code = 1.1.2</t>
        </is>
      </c>
      <c r="W204" s="23" t="inlineStr"/>
    </row>
    <row r="205" ht="49" customHeight="1">
      <c r="A205" s="23" t="inlineStr">
        <is>
          <t>1.1.2</t>
        </is>
      </c>
      <c r="B205" s="23" t="inlineStr">
        <is>
          <t>Guideway and Civil - Utility &amp; Roadworks</t>
        </is>
      </c>
      <c r="C205" s="23" t="inlineStr">
        <is>
          <t>Contractor Programme</t>
        </is>
      </c>
      <c r="D205" s="23" t="inlineStr">
        <is>
          <t>SCH-01-102</t>
        </is>
      </c>
      <c r="E205" s="23" t="inlineStr">
        <is>
          <t>Depot lead: retaining-wall excavation - inspection</t>
        </is>
      </c>
      <c r="F205" s="23" t="inlineStr">
        <is>
          <t>ONE_TO_ONE</t>
        </is>
      </c>
      <c r="G205" s="23" t="inlineStr">
        <is>
          <t>RETAINED</t>
        </is>
      </c>
      <c r="H205" s="23" t="inlineStr">
        <is>
          <t>Carried forward</t>
        </is>
      </c>
      <c r="I205" s="23" t="inlineStr">
        <is>
          <t>Source assignment -- not individually reviewed</t>
        </is>
      </c>
      <c r="J205" s="23" t="inlineStr"/>
      <c r="K205" s="23" t="inlineStr">
        <is>
          <t>Source assignment</t>
        </is>
      </c>
      <c r="L205" s="23" t="inlineStr"/>
      <c r="M205" s="23" t="inlineStr">
        <is>
          <t>Contractor Programme Cycle 2</t>
        </is>
      </c>
      <c r="N205" s="23" t="inlineStr">
        <is>
          <t>Rev 1</t>
        </is>
      </c>
      <c r="O205" s="23" t="inlineStr">
        <is>
          <t>R102-v2</t>
        </is>
      </c>
      <c r="P205" s="23" t="inlineStr"/>
      <c r="Q205" s="23" t="inlineStr"/>
      <c r="R205" s="23" t="inlineStr"/>
      <c r="S205" s="23" t="inlineStr"/>
      <c r="T205" s="23" t="inlineStr"/>
      <c r="U205" s="23" t="inlineStr"/>
      <c r="V205" s="23" t="inlineStr">
        <is>
          <t>WBS Code = 1.1.2</t>
        </is>
      </c>
      <c r="W205" s="23" t="inlineStr"/>
    </row>
    <row r="206" ht="49" customHeight="1">
      <c r="A206" s="23" t="inlineStr">
        <is>
          <t>1.1.2</t>
        </is>
      </c>
      <c r="B206" s="23" t="inlineStr">
        <is>
          <t>Guideway and Civil - Utility &amp; Roadworks</t>
        </is>
      </c>
      <c r="C206" s="23" t="inlineStr">
        <is>
          <t>Contractor Programme</t>
        </is>
      </c>
      <c r="D206" s="23" t="inlineStr">
        <is>
          <t>SCH-01-105</t>
        </is>
      </c>
      <c r="E206" s="23" t="inlineStr">
        <is>
          <t>Central guideway: track-slab survey - field start</t>
        </is>
      </c>
      <c r="F206" s="23" t="inlineStr">
        <is>
          <t>ONE_TO_ONE</t>
        </is>
      </c>
      <c r="G206" s="23" t="inlineStr">
        <is>
          <t>RETAINED</t>
        </is>
      </c>
      <c r="H206" s="23" t="inlineStr">
        <is>
          <t>Carried forward</t>
        </is>
      </c>
      <c r="I206" s="23" t="inlineStr">
        <is>
          <t>Source assignment -- not individually reviewed</t>
        </is>
      </c>
      <c r="J206" s="23" t="inlineStr"/>
      <c r="K206" s="23" t="inlineStr">
        <is>
          <t>Source assignment</t>
        </is>
      </c>
      <c r="L206" s="23" t="inlineStr"/>
      <c r="M206" s="23" t="inlineStr">
        <is>
          <t>Contractor Programme Cycle 2</t>
        </is>
      </c>
      <c r="N206" s="23" t="inlineStr">
        <is>
          <t>Rev 1</t>
        </is>
      </c>
      <c r="O206" s="23" t="inlineStr">
        <is>
          <t>R105-v2</t>
        </is>
      </c>
      <c r="P206" s="23" t="inlineStr"/>
      <c r="Q206" s="23" t="inlineStr"/>
      <c r="R206" s="23" t="inlineStr"/>
      <c r="S206" s="23" t="inlineStr"/>
      <c r="T206" s="23" t="inlineStr"/>
      <c r="U206" s="23" t="inlineStr"/>
      <c r="V206" s="23" t="inlineStr">
        <is>
          <t>WBS Code = 1.1.2</t>
        </is>
      </c>
      <c r="W206" s="23" t="inlineStr"/>
    </row>
    <row r="207" ht="49" customHeight="1">
      <c r="A207" s="23" t="inlineStr">
        <is>
          <t>1.1.2</t>
        </is>
      </c>
      <c r="B207" s="23" t="inlineStr">
        <is>
          <t>Guideway and Civil - Utility &amp; Roadworks</t>
        </is>
      </c>
      <c r="C207" s="23" t="inlineStr">
        <is>
          <t>Contractor Programme</t>
        </is>
      </c>
      <c r="D207" s="23" t="inlineStr">
        <is>
          <t>SCH-01-108</t>
        </is>
      </c>
      <c r="E207" s="23" t="inlineStr">
        <is>
          <t>East portal: road restoration - turnover</t>
        </is>
      </c>
      <c r="F207" s="23" t="inlineStr">
        <is>
          <t>ONE_TO_ONE</t>
        </is>
      </c>
      <c r="G207" s="23" t="inlineStr">
        <is>
          <t>RETAINED</t>
        </is>
      </c>
      <c r="H207" s="23" t="inlineStr">
        <is>
          <t>Carried forward</t>
        </is>
      </c>
      <c r="I207" s="23" t="inlineStr">
        <is>
          <t>Source assignment -- not individually reviewed</t>
        </is>
      </c>
      <c r="J207" s="23" t="inlineStr"/>
      <c r="K207" s="23" t="inlineStr">
        <is>
          <t>Source assignment</t>
        </is>
      </c>
      <c r="L207" s="23" t="inlineStr"/>
      <c r="M207" s="23" t="inlineStr">
        <is>
          <t>Contractor Programme Cycle 2</t>
        </is>
      </c>
      <c r="N207" s="23" t="inlineStr">
        <is>
          <t>Rev 1</t>
        </is>
      </c>
      <c r="O207" s="23" t="inlineStr">
        <is>
          <t>R108-v2</t>
        </is>
      </c>
      <c r="P207" s="23" t="inlineStr"/>
      <c r="Q207" s="23" t="inlineStr"/>
      <c r="R207" s="23" t="inlineStr"/>
      <c r="S207" s="23" t="inlineStr"/>
      <c r="T207" s="23" t="inlineStr"/>
      <c r="U207" s="23" t="inlineStr"/>
      <c r="V207" s="23" t="inlineStr">
        <is>
          <t>WBS Code = 1.1.2</t>
        </is>
      </c>
      <c r="W207" s="23" t="inlineStr"/>
    </row>
    <row r="208" ht="49" customHeight="1">
      <c r="A208" s="23" t="inlineStr">
        <is>
          <t>1.1.2</t>
        </is>
      </c>
      <c r="B208" s="23" t="inlineStr">
        <is>
          <t>Guideway and Civil - Utility &amp; Roadworks</t>
        </is>
      </c>
      <c r="C208" s="23" t="inlineStr">
        <is>
          <t>Contractor Programme</t>
        </is>
      </c>
      <c r="D208" s="23" t="inlineStr">
        <is>
          <t>SCH-01-111</t>
        </is>
      </c>
      <c r="E208" s="23" t="inlineStr">
        <is>
          <t>West approach: drainage tie-in - installation</t>
        </is>
      </c>
      <c r="F208" s="23" t="inlineStr">
        <is>
          <t>ONE_TO_ONE</t>
        </is>
      </c>
      <c r="G208" s="23" t="inlineStr">
        <is>
          <t>RETAINED</t>
        </is>
      </c>
      <c r="H208" s="23" t="inlineStr">
        <is>
          <t>Carried forward</t>
        </is>
      </c>
      <c r="I208" s="23" t="inlineStr">
        <is>
          <t>Source assignment -- not individually reviewed</t>
        </is>
      </c>
      <c r="J208" s="23" t="inlineStr"/>
      <c r="K208" s="23" t="inlineStr">
        <is>
          <t>Source assignment</t>
        </is>
      </c>
      <c r="L208" s="23" t="inlineStr"/>
      <c r="M208" s="23" t="inlineStr">
        <is>
          <t>Contractor Programme Cycle 2</t>
        </is>
      </c>
      <c r="N208" s="23" t="inlineStr">
        <is>
          <t>Rev 1</t>
        </is>
      </c>
      <c r="O208" s="23" t="inlineStr">
        <is>
          <t>R111-v2</t>
        </is>
      </c>
      <c r="P208" s="23" t="inlineStr"/>
      <c r="Q208" s="23" t="inlineStr"/>
      <c r="R208" s="23" t="inlineStr"/>
      <c r="S208" s="23" t="inlineStr"/>
      <c r="T208" s="23" t="inlineStr"/>
      <c r="U208" s="23" t="inlineStr"/>
      <c r="V208" s="23" t="inlineStr">
        <is>
          <t>WBS Code = 1.1.2</t>
        </is>
      </c>
      <c r="W208" s="23" t="inlineStr"/>
    </row>
    <row r="209" ht="49" customHeight="1">
      <c r="A209" s="23" t="inlineStr">
        <is>
          <t>1.1.2</t>
        </is>
      </c>
      <c r="B209" s="23" t="inlineStr">
        <is>
          <t>Guideway and Civil - Utility &amp; Roadworks</t>
        </is>
      </c>
      <c r="C209" s="23" t="inlineStr">
        <is>
          <t>Contractor Programme</t>
        </is>
      </c>
      <c r="D209" s="23" t="inlineStr">
        <is>
          <t>SCH-01-114</t>
        </is>
      </c>
      <c r="E209" s="23" t="inlineStr">
        <is>
          <t>River crossing: temporary traffic staging - release</t>
        </is>
      </c>
      <c r="F209" s="23" t="inlineStr">
        <is>
          <t>ONE_TO_ONE</t>
        </is>
      </c>
      <c r="G209" s="23" t="inlineStr">
        <is>
          <t>RETAINED</t>
        </is>
      </c>
      <c r="H209" s="23" t="inlineStr">
        <is>
          <t>Carried forward</t>
        </is>
      </c>
      <c r="I209" s="23" t="inlineStr">
        <is>
          <t>Source assignment -- not individually reviewed</t>
        </is>
      </c>
      <c r="J209" s="23" t="inlineStr"/>
      <c r="K209" s="23" t="inlineStr">
        <is>
          <t>Source assignment</t>
        </is>
      </c>
      <c r="L209" s="23" t="inlineStr"/>
      <c r="M209" s="23" t="inlineStr">
        <is>
          <t>Contractor Programme Cycle 2</t>
        </is>
      </c>
      <c r="N209" s="23" t="inlineStr">
        <is>
          <t>Rev 1</t>
        </is>
      </c>
      <c r="O209" s="23" t="inlineStr">
        <is>
          <t>R114-v2</t>
        </is>
      </c>
      <c r="P209" s="23" t="inlineStr"/>
      <c r="Q209" s="23" t="inlineStr"/>
      <c r="R209" s="23" t="inlineStr"/>
      <c r="S209" s="23" t="inlineStr"/>
      <c r="T209" s="23" t="inlineStr"/>
      <c r="U209" s="23" t="inlineStr"/>
      <c r="V209" s="23" t="inlineStr">
        <is>
          <t>WBS Code = 1.1.2</t>
        </is>
      </c>
      <c r="W209" s="23" t="inlineStr"/>
    </row>
    <row r="210" ht="49" customHeight="1">
      <c r="A210" s="23" t="inlineStr">
        <is>
          <t>1.1.2</t>
        </is>
      </c>
      <c r="B210" s="23" t="inlineStr">
        <is>
          <t>Guideway and Civil - Utility &amp; Roadworks</t>
        </is>
      </c>
      <c r="C210" s="23" t="inlineStr">
        <is>
          <t>Contractor Programme</t>
        </is>
      </c>
      <c r="D210" s="23" t="inlineStr">
        <is>
          <t>SCH-01-117</t>
        </is>
      </c>
      <c r="E210" s="23" t="inlineStr">
        <is>
          <t>Depot lead: drilled-shaft installation - inspection</t>
        </is>
      </c>
      <c r="F210" s="23" t="inlineStr">
        <is>
          <t>ONE_TO_ONE</t>
        </is>
      </c>
      <c r="G210" s="23" t="inlineStr">
        <is>
          <t>RETAINED</t>
        </is>
      </c>
      <c r="H210" s="23" t="inlineStr">
        <is>
          <t>Carried forward</t>
        </is>
      </c>
      <c r="I210" s="23" t="inlineStr">
        <is>
          <t>Source assignment -- not individually reviewed</t>
        </is>
      </c>
      <c r="J210" s="23" t="inlineStr"/>
      <c r="K210" s="23" t="inlineStr">
        <is>
          <t>Source assignment</t>
        </is>
      </c>
      <c r="L210" s="23" t="inlineStr"/>
      <c r="M210" s="23" t="inlineStr">
        <is>
          <t>Contractor Programme Cycle 2</t>
        </is>
      </c>
      <c r="N210" s="23" t="inlineStr">
        <is>
          <t>Rev 1</t>
        </is>
      </c>
      <c r="O210" s="23" t="inlineStr">
        <is>
          <t>R117-v2</t>
        </is>
      </c>
      <c r="P210" s="23" t="inlineStr"/>
      <c r="Q210" s="23" t="inlineStr"/>
      <c r="R210" s="23" t="inlineStr"/>
      <c r="S210" s="23" t="inlineStr"/>
      <c r="T210" s="23" t="inlineStr"/>
      <c r="U210" s="23" t="inlineStr"/>
      <c r="V210" s="23" t="inlineStr">
        <is>
          <t>WBS Code = 1.1.2</t>
        </is>
      </c>
      <c r="W210" s="23" t="inlineStr"/>
    </row>
    <row r="211" ht="49" customHeight="1">
      <c r="A211" s="23" t="inlineStr">
        <is>
          <t>1.1.2</t>
        </is>
      </c>
      <c r="B211" s="23" t="inlineStr">
        <is>
          <t>Guideway and Civil - Utility &amp; Roadworks</t>
        </is>
      </c>
      <c r="C211" s="23" t="inlineStr">
        <is>
          <t>Contractor Programme</t>
        </is>
      </c>
      <c r="D211" s="23" t="inlineStr">
        <is>
          <t>SCH-01-120</t>
        </is>
      </c>
      <c r="E211" s="23" t="inlineStr">
        <is>
          <t>Central guideway: utility relocation - field start</t>
        </is>
      </c>
      <c r="F211" s="23" t="inlineStr">
        <is>
          <t>ONE_TO_ONE</t>
        </is>
      </c>
      <c r="G211" s="23" t="inlineStr">
        <is>
          <t>RETAINED</t>
        </is>
      </c>
      <c r="H211" s="23" t="inlineStr">
        <is>
          <t>Carried forward</t>
        </is>
      </c>
      <c r="I211" s="23" t="inlineStr">
        <is>
          <t>Source assignment -- not individually reviewed</t>
        </is>
      </c>
      <c r="J211" s="23" t="inlineStr"/>
      <c r="K211" s="23" t="inlineStr">
        <is>
          <t>Source assignment</t>
        </is>
      </c>
      <c r="L211" s="23" t="inlineStr"/>
      <c r="M211" s="23" t="inlineStr">
        <is>
          <t>Contractor Programme Cycle 2</t>
        </is>
      </c>
      <c r="N211" s="23" t="inlineStr">
        <is>
          <t>Rev 1</t>
        </is>
      </c>
      <c r="O211" s="23" t="inlineStr">
        <is>
          <t>R120-v2</t>
        </is>
      </c>
      <c r="P211" s="23" t="inlineStr"/>
      <c r="Q211" s="23" t="inlineStr"/>
      <c r="R211" s="23" t="inlineStr"/>
      <c r="S211" s="23" t="inlineStr"/>
      <c r="T211" s="23" t="inlineStr"/>
      <c r="U211" s="23" t="inlineStr"/>
      <c r="V211" s="23" t="inlineStr">
        <is>
          <t>WBS Code = 1.1.2</t>
        </is>
      </c>
      <c r="W211" s="23" t="inlineStr"/>
    </row>
    <row r="212" ht="49" customHeight="1">
      <c r="A212" s="23" t="inlineStr">
        <is>
          <t>1.1.2</t>
        </is>
      </c>
      <c r="B212" s="23" t="inlineStr">
        <is>
          <t>Guideway and Civil - Utility &amp; Roadworks</t>
        </is>
      </c>
      <c r="C212" s="23" t="inlineStr">
        <is>
          <t>Contractor Programme</t>
        </is>
      </c>
      <c r="D212" s="23" t="inlineStr">
        <is>
          <t>SCH-01-123</t>
        </is>
      </c>
      <c r="E212" s="23" t="inlineStr">
        <is>
          <t>East portal: guideway pier reinforcement - turnover</t>
        </is>
      </c>
      <c r="F212" s="23" t="inlineStr">
        <is>
          <t>ONE_TO_ONE</t>
        </is>
      </c>
      <c r="G212" s="23" t="inlineStr">
        <is>
          <t>RETAINED</t>
        </is>
      </c>
      <c r="H212" s="23" t="inlineStr">
        <is>
          <t>Carried forward</t>
        </is>
      </c>
      <c r="I212" s="23" t="inlineStr">
        <is>
          <t>Source assignment -- not individually reviewed</t>
        </is>
      </c>
      <c r="J212" s="23" t="inlineStr"/>
      <c r="K212" s="23" t="inlineStr">
        <is>
          <t>Source assignment</t>
        </is>
      </c>
      <c r="L212" s="23" t="inlineStr"/>
      <c r="M212" s="23" t="inlineStr">
        <is>
          <t>Contractor Programme Cycle 2</t>
        </is>
      </c>
      <c r="N212" s="23" t="inlineStr">
        <is>
          <t>Rev 1</t>
        </is>
      </c>
      <c r="O212" s="23" t="inlineStr">
        <is>
          <t>R123-v2</t>
        </is>
      </c>
      <c r="P212" s="23" t="inlineStr"/>
      <c r="Q212" s="23" t="inlineStr"/>
      <c r="R212" s="23" t="inlineStr"/>
      <c r="S212" s="23" t="inlineStr"/>
      <c r="T212" s="23" t="inlineStr"/>
      <c r="U212" s="23" t="inlineStr"/>
      <c r="V212" s="23" t="inlineStr">
        <is>
          <t>WBS Code = 1.1.2</t>
        </is>
      </c>
      <c r="W212" s="23" t="inlineStr"/>
    </row>
    <row r="213" ht="49" customHeight="1">
      <c r="A213" s="23" t="inlineStr">
        <is>
          <t>1.1.2</t>
        </is>
      </c>
      <c r="B213" s="23" t="inlineStr">
        <is>
          <t>Guideway and Civil - Utility &amp; Roadworks</t>
        </is>
      </c>
      <c r="C213" s="23" t="inlineStr">
        <is>
          <t>Contractor Programme</t>
        </is>
      </c>
      <c r="D213" s="23" t="inlineStr">
        <is>
          <t>SCH-01-126</t>
        </is>
      </c>
      <c r="E213" s="23" t="inlineStr">
        <is>
          <t>West approach: retaining-wall excavation - installation</t>
        </is>
      </c>
      <c r="F213" s="23" t="inlineStr">
        <is>
          <t>ONE_TO_ONE</t>
        </is>
      </c>
      <c r="G213" s="23" t="inlineStr">
        <is>
          <t>RETAINED</t>
        </is>
      </c>
      <c r="H213" s="23" t="inlineStr">
        <is>
          <t>Carried forward</t>
        </is>
      </c>
      <c r="I213" s="23" t="inlineStr">
        <is>
          <t>Source assignment -- not individually reviewed</t>
        </is>
      </c>
      <c r="J213" s="23" t="inlineStr"/>
      <c r="K213" s="23" t="inlineStr">
        <is>
          <t>Source assignment</t>
        </is>
      </c>
      <c r="L213" s="23" t="inlineStr"/>
      <c r="M213" s="23" t="inlineStr">
        <is>
          <t>Contractor Programme Cycle 2</t>
        </is>
      </c>
      <c r="N213" s="23" t="inlineStr">
        <is>
          <t>Rev 1</t>
        </is>
      </c>
      <c r="O213" s="23" t="inlineStr">
        <is>
          <t>R126-v2</t>
        </is>
      </c>
      <c r="P213" s="23" t="inlineStr"/>
      <c r="Q213" s="23" t="inlineStr"/>
      <c r="R213" s="23" t="inlineStr"/>
      <c r="S213" s="23" t="inlineStr"/>
      <c r="T213" s="23" t="inlineStr"/>
      <c r="U213" s="23" t="inlineStr"/>
      <c r="V213" s="23" t="inlineStr">
        <is>
          <t>WBS Code = 1.1.2</t>
        </is>
      </c>
      <c r="W213" s="23" t="inlineStr"/>
    </row>
    <row r="214" ht="49" customHeight="1">
      <c r="A214" s="23" t="inlineStr">
        <is>
          <t>1.1.2</t>
        </is>
      </c>
      <c r="B214" s="23" t="inlineStr">
        <is>
          <t>Guideway and Civil - Utility &amp; Roadworks</t>
        </is>
      </c>
      <c r="C214" s="23" t="inlineStr">
        <is>
          <t>Contractor Programme</t>
        </is>
      </c>
      <c r="D214" s="23" t="inlineStr">
        <is>
          <t>SCH-01-129</t>
        </is>
      </c>
      <c r="E214" s="23" t="inlineStr">
        <is>
          <t>River crossing: track-slab survey - release</t>
        </is>
      </c>
      <c r="F214" s="23" t="inlineStr">
        <is>
          <t>ONE_TO_ONE</t>
        </is>
      </c>
      <c r="G214" s="23" t="inlineStr">
        <is>
          <t>RETAINED</t>
        </is>
      </c>
      <c r="H214" s="23" t="inlineStr">
        <is>
          <t>Carried forward</t>
        </is>
      </c>
      <c r="I214" s="23" t="inlineStr">
        <is>
          <t>Source assignment -- not individually reviewed</t>
        </is>
      </c>
      <c r="J214" s="23" t="inlineStr"/>
      <c r="K214" s="23" t="inlineStr">
        <is>
          <t>Source assignment</t>
        </is>
      </c>
      <c r="L214" s="23" t="inlineStr"/>
      <c r="M214" s="23" t="inlineStr">
        <is>
          <t>Contractor Programme Cycle 2</t>
        </is>
      </c>
      <c r="N214" s="23" t="inlineStr">
        <is>
          <t>Rev 1</t>
        </is>
      </c>
      <c r="O214" s="23" t="inlineStr">
        <is>
          <t>R129-v2</t>
        </is>
      </c>
      <c r="P214" s="23" t="inlineStr"/>
      <c r="Q214" s="23" t="inlineStr"/>
      <c r="R214" s="23" t="inlineStr"/>
      <c r="S214" s="23" t="inlineStr"/>
      <c r="T214" s="23" t="inlineStr"/>
      <c r="U214" s="23" t="inlineStr"/>
      <c r="V214" s="23" t="inlineStr">
        <is>
          <t>WBS Code = 1.1.2</t>
        </is>
      </c>
      <c r="W214" s="23" t="inlineStr"/>
    </row>
    <row r="215" ht="49" customHeight="1">
      <c r="A215" s="23" t="inlineStr">
        <is>
          <t>1.1.2</t>
        </is>
      </c>
      <c r="B215" s="23" t="inlineStr">
        <is>
          <t>Guideway and Civil - Utility &amp; Roadworks</t>
        </is>
      </c>
      <c r="C215" s="23" t="inlineStr">
        <is>
          <t>Contractor Programme</t>
        </is>
      </c>
      <c r="D215" s="23" t="inlineStr">
        <is>
          <t>SCH-01-132</t>
        </is>
      </c>
      <c r="E215" s="23" t="inlineStr">
        <is>
          <t>Depot lead: road restoration - inspection</t>
        </is>
      </c>
      <c r="F215" s="23" t="inlineStr">
        <is>
          <t>ONE_TO_ONE</t>
        </is>
      </c>
      <c r="G215" s="23" t="inlineStr">
        <is>
          <t>RETAINED</t>
        </is>
      </c>
      <c r="H215" s="23" t="inlineStr">
        <is>
          <t>Carried forward</t>
        </is>
      </c>
      <c r="I215" s="23" t="inlineStr">
        <is>
          <t>Source assignment -- not individually reviewed</t>
        </is>
      </c>
      <c r="J215" s="23" t="inlineStr"/>
      <c r="K215" s="23" t="inlineStr">
        <is>
          <t>Source assignment</t>
        </is>
      </c>
      <c r="L215" s="23" t="inlineStr"/>
      <c r="M215" s="23" t="inlineStr">
        <is>
          <t>Contractor Programme Cycle 2</t>
        </is>
      </c>
      <c r="N215" s="23" t="inlineStr">
        <is>
          <t>Rev 1</t>
        </is>
      </c>
      <c r="O215" s="23" t="inlineStr">
        <is>
          <t>R132-v2</t>
        </is>
      </c>
      <c r="P215" s="23" t="inlineStr"/>
      <c r="Q215" s="23" t="inlineStr"/>
      <c r="R215" s="23" t="inlineStr"/>
      <c r="S215" s="23" t="inlineStr"/>
      <c r="T215" s="23" t="inlineStr"/>
      <c r="U215" s="23" t="inlineStr"/>
      <c r="V215" s="23" t="inlineStr">
        <is>
          <t>WBS Code = 1.1.2</t>
        </is>
      </c>
      <c r="W215" s="23" t="inlineStr"/>
    </row>
    <row r="216" ht="49" customHeight="1">
      <c r="A216" s="23" t="inlineStr">
        <is>
          <t>1.1.2</t>
        </is>
      </c>
      <c r="B216" s="23" t="inlineStr">
        <is>
          <t>Guideway and Civil - Utility &amp; Roadworks</t>
        </is>
      </c>
      <c r="C216" s="23" t="inlineStr">
        <is>
          <t>Contractor Programme</t>
        </is>
      </c>
      <c r="D216" s="23" t="inlineStr">
        <is>
          <t>SCH-01-135</t>
        </is>
      </c>
      <c r="E216" s="23" t="inlineStr">
        <is>
          <t>Central guideway: drainage tie-in - field start</t>
        </is>
      </c>
      <c r="F216" s="23" t="inlineStr">
        <is>
          <t>ONE_TO_ONE</t>
        </is>
      </c>
      <c r="G216" s="23" t="inlineStr">
        <is>
          <t>RETAINED</t>
        </is>
      </c>
      <c r="H216" s="23" t="inlineStr">
        <is>
          <t>Carried forward</t>
        </is>
      </c>
      <c r="I216" s="23" t="inlineStr">
        <is>
          <t>Source assignment -- not individually reviewed</t>
        </is>
      </c>
      <c r="J216" s="23" t="inlineStr"/>
      <c r="K216" s="23" t="inlineStr">
        <is>
          <t>Source assignment</t>
        </is>
      </c>
      <c r="L216" s="23" t="inlineStr"/>
      <c r="M216" s="23" t="inlineStr">
        <is>
          <t>Contractor Programme Cycle 2</t>
        </is>
      </c>
      <c r="N216" s="23" t="inlineStr">
        <is>
          <t>Rev 1</t>
        </is>
      </c>
      <c r="O216" s="23" t="inlineStr">
        <is>
          <t>R135-v2</t>
        </is>
      </c>
      <c r="P216" s="23" t="inlineStr"/>
      <c r="Q216" s="23" t="inlineStr"/>
      <c r="R216" s="23" t="inlineStr"/>
      <c r="S216" s="23" t="inlineStr"/>
      <c r="T216" s="23" t="inlineStr"/>
      <c r="U216" s="23" t="inlineStr"/>
      <c r="V216" s="23" t="inlineStr">
        <is>
          <t>WBS Code = 1.1.2</t>
        </is>
      </c>
      <c r="W216" s="23" t="inlineStr"/>
    </row>
    <row r="217" ht="49" customHeight="1">
      <c r="A217" s="23" t="inlineStr">
        <is>
          <t>1.1.2</t>
        </is>
      </c>
      <c r="B217" s="23" t="inlineStr">
        <is>
          <t>Guideway and Civil - Utility &amp; Roadworks</t>
        </is>
      </c>
      <c r="C217" s="23" t="inlineStr">
        <is>
          <t>Contractor Programme</t>
        </is>
      </c>
      <c r="D217" s="23" t="inlineStr">
        <is>
          <t>SCH-01-138</t>
        </is>
      </c>
      <c r="E217" s="23" t="inlineStr">
        <is>
          <t>East portal: temporary traffic staging - turnover</t>
        </is>
      </c>
      <c r="F217" s="23" t="inlineStr">
        <is>
          <t>ONE_TO_ONE</t>
        </is>
      </c>
      <c r="G217" s="23" t="inlineStr">
        <is>
          <t>RETAINED</t>
        </is>
      </c>
      <c r="H217" s="23" t="inlineStr">
        <is>
          <t>Carried forward</t>
        </is>
      </c>
      <c r="I217" s="23" t="inlineStr">
        <is>
          <t>Source assignment -- not individually reviewed</t>
        </is>
      </c>
      <c r="J217" s="23" t="inlineStr"/>
      <c r="K217" s="23" t="inlineStr">
        <is>
          <t>Source assignment</t>
        </is>
      </c>
      <c r="L217" s="23" t="inlineStr"/>
      <c r="M217" s="23" t="inlineStr">
        <is>
          <t>Contractor Programme Cycle 2</t>
        </is>
      </c>
      <c r="N217" s="23" t="inlineStr">
        <is>
          <t>Rev 1</t>
        </is>
      </c>
      <c r="O217" s="23" t="inlineStr">
        <is>
          <t>R138-v2</t>
        </is>
      </c>
      <c r="P217" s="23" t="inlineStr"/>
      <c r="Q217" s="23" t="inlineStr"/>
      <c r="R217" s="23" t="inlineStr"/>
      <c r="S217" s="23" t="inlineStr"/>
      <c r="T217" s="23" t="inlineStr"/>
      <c r="U217" s="23" t="inlineStr"/>
      <c r="V217" s="23" t="inlineStr">
        <is>
          <t>WBS Code = 1.1.2</t>
        </is>
      </c>
      <c r="W217" s="23" t="inlineStr"/>
    </row>
    <row r="218" ht="49" customHeight="1">
      <c r="A218" s="23" t="inlineStr">
        <is>
          <t>1.1.2</t>
        </is>
      </c>
      <c r="B218" s="23" t="inlineStr">
        <is>
          <t>Guideway and Civil - Utility &amp; Roadworks</t>
        </is>
      </c>
      <c r="C218" s="23" t="inlineStr">
        <is>
          <t>Contractor Programme</t>
        </is>
      </c>
      <c r="D218" s="23" t="inlineStr">
        <is>
          <t>SCH-01-141</t>
        </is>
      </c>
      <c r="E218" s="23" t="inlineStr">
        <is>
          <t>West approach: drilled-shaft installation - installation</t>
        </is>
      </c>
      <c r="F218" s="23" t="inlineStr">
        <is>
          <t>ONE_TO_ONE</t>
        </is>
      </c>
      <c r="G218" s="23" t="inlineStr">
        <is>
          <t>RETAINED</t>
        </is>
      </c>
      <c r="H218" s="23" t="inlineStr">
        <is>
          <t>Carried forward</t>
        </is>
      </c>
      <c r="I218" s="23" t="inlineStr">
        <is>
          <t>Source assignment -- not individually reviewed</t>
        </is>
      </c>
      <c r="J218" s="23" t="inlineStr"/>
      <c r="K218" s="23" t="inlineStr">
        <is>
          <t>Source assignment</t>
        </is>
      </c>
      <c r="L218" s="23" t="inlineStr"/>
      <c r="M218" s="23" t="inlineStr">
        <is>
          <t>Contractor Programme Cycle 2</t>
        </is>
      </c>
      <c r="N218" s="23" t="inlineStr">
        <is>
          <t>Rev 1</t>
        </is>
      </c>
      <c r="O218" s="23" t="inlineStr">
        <is>
          <t>R141-v2</t>
        </is>
      </c>
      <c r="P218" s="23" t="inlineStr"/>
      <c r="Q218" s="23" t="inlineStr"/>
      <c r="R218" s="23" t="inlineStr"/>
      <c r="S218" s="23" t="inlineStr"/>
      <c r="T218" s="23" t="inlineStr"/>
      <c r="U218" s="23" t="inlineStr"/>
      <c r="V218" s="23" t="inlineStr">
        <is>
          <t>WBS Code = 1.1.2</t>
        </is>
      </c>
      <c r="W218" s="23" t="inlineStr"/>
    </row>
    <row r="219" ht="49" customHeight="1">
      <c r="A219" s="23" t="inlineStr">
        <is>
          <t>1.1.2</t>
        </is>
      </c>
      <c r="B219" s="23" t="inlineStr">
        <is>
          <t>Guideway and Civil - Utility &amp; Roadworks</t>
        </is>
      </c>
      <c r="C219" s="23" t="inlineStr">
        <is>
          <t>Contractor Programme</t>
        </is>
      </c>
      <c r="D219" s="23" t="inlineStr">
        <is>
          <t>SCH-01-144</t>
        </is>
      </c>
      <c r="E219" s="23" t="inlineStr">
        <is>
          <t>River crossing: utility relocation - release</t>
        </is>
      </c>
      <c r="F219" s="23" t="inlineStr">
        <is>
          <t>ONE_TO_ONE</t>
        </is>
      </c>
      <c r="G219" s="23" t="inlineStr">
        <is>
          <t>RETAINED</t>
        </is>
      </c>
      <c r="H219" s="23" t="inlineStr">
        <is>
          <t>Carried forward</t>
        </is>
      </c>
      <c r="I219" s="23" t="inlineStr">
        <is>
          <t>Source assignment -- not individually reviewed</t>
        </is>
      </c>
      <c r="J219" s="23" t="inlineStr"/>
      <c r="K219" s="23" t="inlineStr">
        <is>
          <t>Source assignment</t>
        </is>
      </c>
      <c r="L219" s="23" t="inlineStr"/>
      <c r="M219" s="23" t="inlineStr">
        <is>
          <t>Contractor Programme Cycle 2</t>
        </is>
      </c>
      <c r="N219" s="23" t="inlineStr">
        <is>
          <t>Rev 1</t>
        </is>
      </c>
      <c r="O219" s="23" t="inlineStr">
        <is>
          <t>R144-v2</t>
        </is>
      </c>
      <c r="P219" s="23" t="inlineStr"/>
      <c r="Q219" s="23" t="inlineStr"/>
      <c r="R219" s="23" t="inlineStr"/>
      <c r="S219" s="23" t="inlineStr"/>
      <c r="T219" s="23" t="inlineStr"/>
      <c r="U219" s="23" t="inlineStr"/>
      <c r="V219" s="23" t="inlineStr">
        <is>
          <t>WBS Code = 1.1.2</t>
        </is>
      </c>
      <c r="W219" s="23" t="inlineStr"/>
    </row>
    <row r="220" ht="49" customHeight="1">
      <c r="A220" s="23" t="inlineStr">
        <is>
          <t>1.1.2</t>
        </is>
      </c>
      <c r="B220" s="23" t="inlineStr">
        <is>
          <t>Guideway and Civil - Utility &amp; Roadworks</t>
        </is>
      </c>
      <c r="C220" s="23" t="inlineStr">
        <is>
          <t>Contractor Programme</t>
        </is>
      </c>
      <c r="D220" s="23" t="inlineStr">
        <is>
          <t>SCH-01-147</t>
        </is>
      </c>
      <c r="E220" s="23" t="inlineStr">
        <is>
          <t>Depot lead: guideway pier reinforcement - inspection</t>
        </is>
      </c>
      <c r="F220" s="23" t="inlineStr">
        <is>
          <t>ONE_TO_ONE</t>
        </is>
      </c>
      <c r="G220" s="23" t="inlineStr">
        <is>
          <t>RETAINED</t>
        </is>
      </c>
      <c r="H220" s="23" t="inlineStr">
        <is>
          <t>Carried forward</t>
        </is>
      </c>
      <c r="I220" s="23" t="inlineStr">
        <is>
          <t>Source assignment -- not individually reviewed</t>
        </is>
      </c>
      <c r="J220" s="23" t="inlineStr"/>
      <c r="K220" s="23" t="inlineStr">
        <is>
          <t>Source assignment</t>
        </is>
      </c>
      <c r="L220" s="23" t="inlineStr"/>
      <c r="M220" s="23" t="inlineStr">
        <is>
          <t>Contractor Programme Cycle 2</t>
        </is>
      </c>
      <c r="N220" s="23" t="inlineStr">
        <is>
          <t>Rev 1</t>
        </is>
      </c>
      <c r="O220" s="23" t="inlineStr">
        <is>
          <t>R147-v2</t>
        </is>
      </c>
      <c r="P220" s="23" t="inlineStr"/>
      <c r="Q220" s="23" t="inlineStr"/>
      <c r="R220" s="23" t="inlineStr"/>
      <c r="S220" s="23" t="inlineStr"/>
      <c r="T220" s="23" t="inlineStr"/>
      <c r="U220" s="23" t="inlineStr"/>
      <c r="V220" s="23" t="inlineStr">
        <is>
          <t>WBS Code = 1.1.2</t>
        </is>
      </c>
      <c r="W220" s="23" t="inlineStr"/>
    </row>
    <row r="221" ht="49" customHeight="1">
      <c r="A221" s="23" t="inlineStr">
        <is>
          <t>1.1.2</t>
        </is>
      </c>
      <c r="B221" s="23" t="inlineStr">
        <is>
          <t>Guideway and Civil - Utility &amp; Roadworks</t>
        </is>
      </c>
      <c r="C221" s="23" t="inlineStr">
        <is>
          <t>Contractor Programme</t>
        </is>
      </c>
      <c r="D221" s="23" t="inlineStr">
        <is>
          <t>SCH-01-150</t>
        </is>
      </c>
      <c r="E221" s="23" t="inlineStr">
        <is>
          <t>Central guideway: retaining-wall excavation - field start</t>
        </is>
      </c>
      <c r="F221" s="23" t="inlineStr">
        <is>
          <t>ONE_TO_ONE</t>
        </is>
      </c>
      <c r="G221" s="23" t="inlineStr">
        <is>
          <t>RETAINED</t>
        </is>
      </c>
      <c r="H221" s="23" t="inlineStr">
        <is>
          <t>Carried forward</t>
        </is>
      </c>
      <c r="I221" s="23" t="inlineStr">
        <is>
          <t>Source assignment -- not individually reviewed</t>
        </is>
      </c>
      <c r="J221" s="23" t="inlineStr"/>
      <c r="K221" s="23" t="inlineStr">
        <is>
          <t>Source assignment</t>
        </is>
      </c>
      <c r="L221" s="23" t="inlineStr"/>
      <c r="M221" s="23" t="inlineStr">
        <is>
          <t>Contractor Programme Cycle 2</t>
        </is>
      </c>
      <c r="N221" s="23" t="inlineStr">
        <is>
          <t>Rev 1</t>
        </is>
      </c>
      <c r="O221" s="23" t="inlineStr">
        <is>
          <t>R150-v2</t>
        </is>
      </c>
      <c r="P221" s="23" t="inlineStr"/>
      <c r="Q221" s="23" t="inlineStr"/>
      <c r="R221" s="23" t="inlineStr"/>
      <c r="S221" s="23" t="inlineStr"/>
      <c r="T221" s="23" t="inlineStr"/>
      <c r="U221" s="23" t="inlineStr"/>
      <c r="V221" s="23" t="inlineStr">
        <is>
          <t>WBS Code = 1.1.2</t>
        </is>
      </c>
      <c r="W221" s="23" t="inlineStr"/>
    </row>
    <row r="222" ht="49" customHeight="1">
      <c r="A222" s="23" t="inlineStr">
        <is>
          <t>1.1.2</t>
        </is>
      </c>
      <c r="B222" s="23" t="inlineStr">
        <is>
          <t>Guideway and Civil - Utility &amp; Roadworks</t>
        </is>
      </c>
      <c r="C222" s="23" t="inlineStr">
        <is>
          <t>Contractor Programme</t>
        </is>
      </c>
      <c r="D222" s="23" t="inlineStr">
        <is>
          <t>SCH-01-153</t>
        </is>
      </c>
      <c r="E222" s="23" t="inlineStr">
        <is>
          <t>East portal: track-slab survey - turnover</t>
        </is>
      </c>
      <c r="F222" s="23" t="inlineStr">
        <is>
          <t>ONE_TO_ONE</t>
        </is>
      </c>
      <c r="G222" s="23" t="inlineStr">
        <is>
          <t>RETAINED</t>
        </is>
      </c>
      <c r="H222" s="23" t="inlineStr">
        <is>
          <t>Carried forward</t>
        </is>
      </c>
      <c r="I222" s="23" t="inlineStr">
        <is>
          <t>Source assignment -- not individually reviewed</t>
        </is>
      </c>
      <c r="J222" s="23" t="inlineStr"/>
      <c r="K222" s="23" t="inlineStr">
        <is>
          <t>Source assignment</t>
        </is>
      </c>
      <c r="L222" s="23" t="inlineStr"/>
      <c r="M222" s="23" t="inlineStr">
        <is>
          <t>Contractor Programme Cycle 2</t>
        </is>
      </c>
      <c r="N222" s="23" t="inlineStr">
        <is>
          <t>Rev 1</t>
        </is>
      </c>
      <c r="O222" s="23" t="inlineStr">
        <is>
          <t>R153-v2</t>
        </is>
      </c>
      <c r="P222" s="23" t="inlineStr"/>
      <c r="Q222" s="23" t="inlineStr"/>
      <c r="R222" s="23" t="inlineStr"/>
      <c r="S222" s="23" t="inlineStr"/>
      <c r="T222" s="23" t="inlineStr"/>
      <c r="U222" s="23" t="inlineStr"/>
      <c r="V222" s="23" t="inlineStr">
        <is>
          <t>WBS Code = 1.1.2</t>
        </is>
      </c>
      <c r="W222" s="23" t="inlineStr"/>
    </row>
    <row r="223" ht="49" customHeight="1">
      <c r="A223" s="23" t="inlineStr">
        <is>
          <t>1.1.2</t>
        </is>
      </c>
      <c r="B223" s="23" t="inlineStr">
        <is>
          <t>Guideway and Civil - Utility &amp; Roadworks</t>
        </is>
      </c>
      <c r="C223" s="23" t="inlineStr">
        <is>
          <t>Contractor Programme</t>
        </is>
      </c>
      <c r="D223" s="23" t="inlineStr">
        <is>
          <t>SCH-01-156</t>
        </is>
      </c>
      <c r="E223" s="23" t="inlineStr">
        <is>
          <t>West approach: road restoration - installation</t>
        </is>
      </c>
      <c r="F223" s="23" t="inlineStr">
        <is>
          <t>ONE_TO_ONE</t>
        </is>
      </c>
      <c r="G223" s="23" t="inlineStr">
        <is>
          <t>RETAINED</t>
        </is>
      </c>
      <c r="H223" s="23" t="inlineStr">
        <is>
          <t>Carried forward</t>
        </is>
      </c>
      <c r="I223" s="23" t="inlineStr">
        <is>
          <t>Source assignment -- not individually reviewed</t>
        </is>
      </c>
      <c r="J223" s="23" t="inlineStr"/>
      <c r="K223" s="23" t="inlineStr">
        <is>
          <t>Source assignment</t>
        </is>
      </c>
      <c r="L223" s="23" t="inlineStr"/>
      <c r="M223" s="23" t="inlineStr">
        <is>
          <t>Contractor Programme Cycle 2</t>
        </is>
      </c>
      <c r="N223" s="23" t="inlineStr">
        <is>
          <t>Rev 1</t>
        </is>
      </c>
      <c r="O223" s="23" t="inlineStr">
        <is>
          <t>R156-v2</t>
        </is>
      </c>
      <c r="P223" s="23" t="inlineStr"/>
      <c r="Q223" s="23" t="inlineStr"/>
      <c r="R223" s="23" t="inlineStr"/>
      <c r="S223" s="23" t="inlineStr"/>
      <c r="T223" s="23" t="inlineStr"/>
      <c r="U223" s="23" t="inlineStr"/>
      <c r="V223" s="23" t="inlineStr">
        <is>
          <t>WBS Code = 1.1.2</t>
        </is>
      </c>
      <c r="W223" s="23" t="inlineStr"/>
    </row>
    <row r="224" ht="49" customHeight="1">
      <c r="A224" s="23" t="inlineStr">
        <is>
          <t>1.1.2</t>
        </is>
      </c>
      <c r="B224" s="23" t="inlineStr">
        <is>
          <t>Guideway and Civil - Utility &amp; Roadworks</t>
        </is>
      </c>
      <c r="C224" s="23" t="inlineStr">
        <is>
          <t>Contractor Programme</t>
        </is>
      </c>
      <c r="D224" s="23" t="inlineStr">
        <is>
          <t>SCH-01-159</t>
        </is>
      </c>
      <c r="E224" s="23" t="inlineStr">
        <is>
          <t>River crossing: drainage tie-in - release</t>
        </is>
      </c>
      <c r="F224" s="23" t="inlineStr">
        <is>
          <t>ONE_TO_ONE</t>
        </is>
      </c>
      <c r="G224" s="23" t="inlineStr">
        <is>
          <t>RETAINED</t>
        </is>
      </c>
      <c r="H224" s="23" t="inlineStr">
        <is>
          <t>Carried forward</t>
        </is>
      </c>
      <c r="I224" s="23" t="inlineStr">
        <is>
          <t>Source assignment -- not individually reviewed</t>
        </is>
      </c>
      <c r="J224" s="23" t="inlineStr"/>
      <c r="K224" s="23" t="inlineStr">
        <is>
          <t>Source assignment</t>
        </is>
      </c>
      <c r="L224" s="23" t="inlineStr"/>
      <c r="M224" s="23" t="inlineStr">
        <is>
          <t>Contractor Programme Cycle 2</t>
        </is>
      </c>
      <c r="N224" s="23" t="inlineStr">
        <is>
          <t>Rev 1</t>
        </is>
      </c>
      <c r="O224" s="23" t="inlineStr">
        <is>
          <t>R159-v2</t>
        </is>
      </c>
      <c r="P224" s="23" t="inlineStr"/>
      <c r="Q224" s="23" t="inlineStr"/>
      <c r="R224" s="23" t="inlineStr"/>
      <c r="S224" s="23" t="inlineStr"/>
      <c r="T224" s="23" t="inlineStr"/>
      <c r="U224" s="23" t="inlineStr"/>
      <c r="V224" s="23" t="inlineStr">
        <is>
          <t>WBS Code = 1.1.2</t>
        </is>
      </c>
      <c r="W224" s="23" t="inlineStr"/>
    </row>
    <row r="225" ht="49" customHeight="1">
      <c r="A225" s="23" t="inlineStr">
        <is>
          <t>1.1.2</t>
        </is>
      </c>
      <c r="B225" s="23" t="inlineStr">
        <is>
          <t>Guideway and Civil - Utility &amp; Roadworks</t>
        </is>
      </c>
      <c r="C225" s="23" t="inlineStr">
        <is>
          <t>Contractor Programme</t>
        </is>
      </c>
      <c r="D225" s="23" t="inlineStr">
        <is>
          <t>SCH-01-162</t>
        </is>
      </c>
      <c r="E225" s="23" t="inlineStr">
        <is>
          <t>Depot lead: temporary traffic staging - inspection</t>
        </is>
      </c>
      <c r="F225" s="23" t="inlineStr">
        <is>
          <t>ONE_TO_ONE</t>
        </is>
      </c>
      <c r="G225" s="23" t="inlineStr">
        <is>
          <t>RETAINED</t>
        </is>
      </c>
      <c r="H225" s="23" t="inlineStr">
        <is>
          <t>Carried forward</t>
        </is>
      </c>
      <c r="I225" s="23" t="inlineStr">
        <is>
          <t>Source assignment -- not individually reviewed</t>
        </is>
      </c>
      <c r="J225" s="23" t="inlineStr"/>
      <c r="K225" s="23" t="inlineStr">
        <is>
          <t>Source assignment</t>
        </is>
      </c>
      <c r="L225" s="23" t="inlineStr"/>
      <c r="M225" s="23" t="inlineStr">
        <is>
          <t>Contractor Programme Cycle 2</t>
        </is>
      </c>
      <c r="N225" s="23" t="inlineStr">
        <is>
          <t>Rev 1</t>
        </is>
      </c>
      <c r="O225" s="23" t="inlineStr">
        <is>
          <t>R162-v2</t>
        </is>
      </c>
      <c r="P225" s="23" t="inlineStr"/>
      <c r="Q225" s="23" t="inlineStr"/>
      <c r="R225" s="23" t="inlineStr"/>
      <c r="S225" s="23" t="inlineStr"/>
      <c r="T225" s="23" t="inlineStr"/>
      <c r="U225" s="23" t="inlineStr"/>
      <c r="V225" s="23" t="inlineStr">
        <is>
          <t>WBS Code = 1.1.2</t>
        </is>
      </c>
      <c r="W225" s="23" t="inlineStr"/>
    </row>
    <row r="226" ht="49" customHeight="1">
      <c r="A226" s="23" t="inlineStr">
        <is>
          <t>1.1.2</t>
        </is>
      </c>
      <c r="B226" s="23" t="inlineStr">
        <is>
          <t>Guideway and Civil - Utility &amp; Roadworks</t>
        </is>
      </c>
      <c r="C226" s="23" t="inlineStr">
        <is>
          <t>Contractor Programme</t>
        </is>
      </c>
      <c r="D226" s="23" t="inlineStr">
        <is>
          <t>SCH-01-165</t>
        </is>
      </c>
      <c r="E226" s="23" t="inlineStr">
        <is>
          <t>Central guideway: drilled-shaft installation - field start</t>
        </is>
      </c>
      <c r="F226" s="23" t="inlineStr">
        <is>
          <t>ONE_TO_ONE</t>
        </is>
      </c>
      <c r="G226" s="23" t="inlineStr">
        <is>
          <t>RETAINED</t>
        </is>
      </c>
      <c r="H226" s="23" t="inlineStr">
        <is>
          <t>Carried forward</t>
        </is>
      </c>
      <c r="I226" s="23" t="inlineStr">
        <is>
          <t>Source assignment -- not individually reviewed</t>
        </is>
      </c>
      <c r="J226" s="23" t="inlineStr"/>
      <c r="K226" s="23" t="inlineStr">
        <is>
          <t>Source assignment</t>
        </is>
      </c>
      <c r="L226" s="23" t="inlineStr"/>
      <c r="M226" s="23" t="inlineStr">
        <is>
          <t>Contractor Programme Cycle 2</t>
        </is>
      </c>
      <c r="N226" s="23" t="inlineStr">
        <is>
          <t>Rev 1</t>
        </is>
      </c>
      <c r="O226" s="23" t="inlineStr">
        <is>
          <t>R165-v2</t>
        </is>
      </c>
      <c r="P226" s="23" t="inlineStr"/>
      <c r="Q226" s="23" t="inlineStr"/>
      <c r="R226" s="23" t="inlineStr"/>
      <c r="S226" s="23" t="inlineStr"/>
      <c r="T226" s="23" t="inlineStr"/>
      <c r="U226" s="23" t="inlineStr"/>
      <c r="V226" s="23" t="inlineStr">
        <is>
          <t>WBS Code = 1.1.2</t>
        </is>
      </c>
      <c r="W226" s="23" t="inlineStr"/>
    </row>
    <row r="227" ht="49" customHeight="1">
      <c r="A227" s="23" t="inlineStr">
        <is>
          <t>1.1.2</t>
        </is>
      </c>
      <c r="B227" s="23" t="inlineStr">
        <is>
          <t>Guideway and Civil - Utility &amp; Roadworks</t>
        </is>
      </c>
      <c r="C227" s="23" t="inlineStr">
        <is>
          <t>Contractor Programme</t>
        </is>
      </c>
      <c r="D227" s="23" t="inlineStr">
        <is>
          <t>SCH-01-168</t>
        </is>
      </c>
      <c r="E227" s="23" t="inlineStr">
        <is>
          <t>East portal: utility relocation - turnover</t>
        </is>
      </c>
      <c r="F227" s="23" t="inlineStr">
        <is>
          <t>ONE_TO_ONE</t>
        </is>
      </c>
      <c r="G227" s="23" t="inlineStr">
        <is>
          <t>RETAINED</t>
        </is>
      </c>
      <c r="H227" s="23" t="inlineStr">
        <is>
          <t>Carried forward</t>
        </is>
      </c>
      <c r="I227" s="23" t="inlineStr">
        <is>
          <t>Source assignment -- not individually reviewed</t>
        </is>
      </c>
      <c r="J227" s="23" t="inlineStr"/>
      <c r="K227" s="23" t="inlineStr">
        <is>
          <t>Source assignment</t>
        </is>
      </c>
      <c r="L227" s="23" t="inlineStr"/>
      <c r="M227" s="23" t="inlineStr">
        <is>
          <t>Contractor Programme Cycle 2</t>
        </is>
      </c>
      <c r="N227" s="23" t="inlineStr">
        <is>
          <t>Rev 1</t>
        </is>
      </c>
      <c r="O227" s="23" t="inlineStr">
        <is>
          <t>R168-v2</t>
        </is>
      </c>
      <c r="P227" s="23" t="inlineStr"/>
      <c r="Q227" s="23" t="inlineStr"/>
      <c r="R227" s="23" t="inlineStr"/>
      <c r="S227" s="23" t="inlineStr"/>
      <c r="T227" s="23" t="inlineStr"/>
      <c r="U227" s="23" t="inlineStr"/>
      <c r="V227" s="23" t="inlineStr">
        <is>
          <t>WBS Code = 1.1.2</t>
        </is>
      </c>
      <c r="W227" s="23" t="inlineStr"/>
    </row>
    <row r="228" ht="49" customHeight="1">
      <c r="A228" s="23" t="inlineStr">
        <is>
          <t>1.1.2</t>
        </is>
      </c>
      <c r="B228" s="23" t="inlineStr">
        <is>
          <t>Guideway and Civil - Utility &amp; Roadworks</t>
        </is>
      </c>
      <c r="C228" s="23" t="inlineStr">
        <is>
          <t>Contractor Programme</t>
        </is>
      </c>
      <c r="D228" s="23" t="inlineStr">
        <is>
          <t>SCH-01-171</t>
        </is>
      </c>
      <c r="E228" s="23" t="inlineStr">
        <is>
          <t>West approach: guideway pier reinforcement - installation</t>
        </is>
      </c>
      <c r="F228" s="23" t="inlineStr">
        <is>
          <t>ONE_TO_ONE</t>
        </is>
      </c>
      <c r="G228" s="23" t="inlineStr">
        <is>
          <t>RETAINED</t>
        </is>
      </c>
      <c r="H228" s="23" t="inlineStr">
        <is>
          <t>Carried forward</t>
        </is>
      </c>
      <c r="I228" s="23" t="inlineStr">
        <is>
          <t>Source assignment -- not individually reviewed</t>
        </is>
      </c>
      <c r="J228" s="23" t="inlineStr"/>
      <c r="K228" s="23" t="inlineStr">
        <is>
          <t>Source assignment</t>
        </is>
      </c>
      <c r="L228" s="23" t="inlineStr"/>
      <c r="M228" s="23" t="inlineStr">
        <is>
          <t>Contractor Programme Cycle 2</t>
        </is>
      </c>
      <c r="N228" s="23" t="inlineStr">
        <is>
          <t>Rev 1</t>
        </is>
      </c>
      <c r="O228" s="23" t="inlineStr">
        <is>
          <t>R171-v2</t>
        </is>
      </c>
      <c r="P228" s="23" t="inlineStr"/>
      <c r="Q228" s="23" t="inlineStr"/>
      <c r="R228" s="23" t="inlineStr"/>
      <c r="S228" s="23" t="inlineStr"/>
      <c r="T228" s="23" t="inlineStr"/>
      <c r="U228" s="23" t="inlineStr"/>
      <c r="V228" s="23" t="inlineStr">
        <is>
          <t>WBS Code = 1.1.2</t>
        </is>
      </c>
      <c r="W228" s="23" t="inlineStr"/>
    </row>
    <row r="229" ht="49" customHeight="1">
      <c r="A229" s="23" t="inlineStr">
        <is>
          <t>1.1.2</t>
        </is>
      </c>
      <c r="B229" s="23" t="inlineStr">
        <is>
          <t>Guideway and Civil - Utility &amp; Roadworks</t>
        </is>
      </c>
      <c r="C229" s="23" t="inlineStr">
        <is>
          <t>Contractor Programme</t>
        </is>
      </c>
      <c r="D229" s="23" t="inlineStr">
        <is>
          <t>SCH-01-174</t>
        </is>
      </c>
      <c r="E229" s="23" t="inlineStr">
        <is>
          <t>River crossing: retaining-wall excavation - release</t>
        </is>
      </c>
      <c r="F229" s="23" t="inlineStr">
        <is>
          <t>ONE_TO_ONE</t>
        </is>
      </c>
      <c r="G229" s="23" t="inlineStr">
        <is>
          <t>RETAINED</t>
        </is>
      </c>
      <c r="H229" s="23" t="inlineStr">
        <is>
          <t>Carried forward</t>
        </is>
      </c>
      <c r="I229" s="23" t="inlineStr">
        <is>
          <t>Source assignment -- not individually reviewed</t>
        </is>
      </c>
      <c r="J229" s="23" t="inlineStr"/>
      <c r="K229" s="23" t="inlineStr">
        <is>
          <t>Source assignment</t>
        </is>
      </c>
      <c r="L229" s="23" t="inlineStr"/>
      <c r="M229" s="23" t="inlineStr">
        <is>
          <t>Contractor Programme Cycle 2</t>
        </is>
      </c>
      <c r="N229" s="23" t="inlineStr">
        <is>
          <t>Rev 1</t>
        </is>
      </c>
      <c r="O229" s="23" t="inlineStr">
        <is>
          <t>R174-v2</t>
        </is>
      </c>
      <c r="P229" s="23" t="inlineStr"/>
      <c r="Q229" s="23" t="inlineStr"/>
      <c r="R229" s="23" t="inlineStr"/>
      <c r="S229" s="23" t="inlineStr"/>
      <c r="T229" s="23" t="inlineStr"/>
      <c r="U229" s="23" t="inlineStr"/>
      <c r="V229" s="23" t="inlineStr">
        <is>
          <t>WBS Code = 1.1.2</t>
        </is>
      </c>
      <c r="W229" s="23" t="inlineStr"/>
    </row>
    <row r="230" ht="49" customHeight="1">
      <c r="A230" s="23" t="inlineStr">
        <is>
          <t>1.1.2</t>
        </is>
      </c>
      <c r="B230" s="23" t="inlineStr">
        <is>
          <t>Guideway and Civil - Utility &amp; Roadworks</t>
        </is>
      </c>
      <c r="C230" s="23" t="inlineStr">
        <is>
          <t>Contractor Programme</t>
        </is>
      </c>
      <c r="D230" s="23" t="inlineStr">
        <is>
          <t>SCH-01-177</t>
        </is>
      </c>
      <c r="E230" s="23" t="inlineStr">
        <is>
          <t>Depot lead: track-slab survey - inspection</t>
        </is>
      </c>
      <c r="F230" s="23" t="inlineStr">
        <is>
          <t>ONE_TO_ONE</t>
        </is>
      </c>
      <c r="G230" s="23" t="inlineStr">
        <is>
          <t>RETAINED</t>
        </is>
      </c>
      <c r="H230" s="23" t="inlineStr">
        <is>
          <t>Carried forward</t>
        </is>
      </c>
      <c r="I230" s="23" t="inlineStr">
        <is>
          <t>Source assignment -- not individually reviewed</t>
        </is>
      </c>
      <c r="J230" s="23" t="inlineStr"/>
      <c r="K230" s="23" t="inlineStr">
        <is>
          <t>Source assignment</t>
        </is>
      </c>
      <c r="L230" s="23" t="inlineStr"/>
      <c r="M230" s="23" t="inlineStr">
        <is>
          <t>Contractor Programme Cycle 2</t>
        </is>
      </c>
      <c r="N230" s="23" t="inlineStr">
        <is>
          <t>Rev 1</t>
        </is>
      </c>
      <c r="O230" s="23" t="inlineStr">
        <is>
          <t>R177-v2</t>
        </is>
      </c>
      <c r="P230" s="23" t="inlineStr"/>
      <c r="Q230" s="23" t="inlineStr"/>
      <c r="R230" s="23" t="inlineStr"/>
      <c r="S230" s="23" t="inlineStr"/>
      <c r="T230" s="23" t="inlineStr"/>
      <c r="U230" s="23" t="inlineStr"/>
      <c r="V230" s="23" t="inlineStr">
        <is>
          <t>WBS Code = 1.1.2</t>
        </is>
      </c>
      <c r="W230" s="23" t="inlineStr"/>
    </row>
    <row r="231" ht="49" customHeight="1">
      <c r="A231" s="23" t="inlineStr">
        <is>
          <t>1.1.2</t>
        </is>
      </c>
      <c r="B231" s="23" t="inlineStr">
        <is>
          <t>Guideway and Civil - Utility &amp; Roadworks</t>
        </is>
      </c>
      <c r="C231" s="23" t="inlineStr">
        <is>
          <t>Contractor Programme</t>
        </is>
      </c>
      <c r="D231" s="23" t="inlineStr">
        <is>
          <t>SCH-01-180</t>
        </is>
      </c>
      <c r="E231" s="23" t="inlineStr">
        <is>
          <t>Central guideway: road restoration - field start</t>
        </is>
      </c>
      <c r="F231" s="23" t="inlineStr">
        <is>
          <t>ONE_TO_ONE</t>
        </is>
      </c>
      <c r="G231" s="23" t="inlineStr">
        <is>
          <t>RETAINED</t>
        </is>
      </c>
      <c r="H231" s="23" t="inlineStr">
        <is>
          <t>Carried forward</t>
        </is>
      </c>
      <c r="I231" s="23" t="inlineStr">
        <is>
          <t>Source assignment -- not individually reviewed</t>
        </is>
      </c>
      <c r="J231" s="23" t="inlineStr"/>
      <c r="K231" s="23" t="inlineStr">
        <is>
          <t>Source assignment</t>
        </is>
      </c>
      <c r="L231" s="23" t="inlineStr"/>
      <c r="M231" s="23" t="inlineStr">
        <is>
          <t>Contractor Programme Cycle 2</t>
        </is>
      </c>
      <c r="N231" s="23" t="inlineStr">
        <is>
          <t>Rev 1</t>
        </is>
      </c>
      <c r="O231" s="23" t="inlineStr">
        <is>
          <t>R180-v2</t>
        </is>
      </c>
      <c r="P231" s="23" t="inlineStr"/>
      <c r="Q231" s="23" t="inlineStr"/>
      <c r="R231" s="23" t="inlineStr"/>
      <c r="S231" s="23" t="inlineStr"/>
      <c r="T231" s="23" t="inlineStr"/>
      <c r="U231" s="23" t="inlineStr"/>
      <c r="V231" s="23" t="inlineStr">
        <is>
          <t>WBS Code = 1.1.2</t>
        </is>
      </c>
      <c r="W231" s="23" t="inlineStr"/>
    </row>
    <row r="232" ht="64" customHeight="1">
      <c r="A232" s="23" t="inlineStr">
        <is>
          <t>1.1.2</t>
        </is>
      </c>
      <c r="B232" s="23" t="inlineStr">
        <is>
          <t>Guideway and Civil - Utility &amp; Roadworks</t>
        </is>
      </c>
      <c r="C232" s="23" t="inlineStr">
        <is>
          <t>Cost &amp; Forecast Control Accounts</t>
        </is>
      </c>
      <c r="D232" s="23" t="inlineStr">
        <is>
          <t>CST-01-002</t>
        </is>
      </c>
      <c r="E232" s="23" t="inlineStr">
        <is>
          <t>Guideway and Civil - temporary works - allowance</t>
        </is>
      </c>
      <c r="F232" s="23" t="inlineStr">
        <is>
          <t>ONE_TO_ONE</t>
        </is>
      </c>
      <c r="G232" s="23" t="inlineStr">
        <is>
          <t>RETAINED</t>
        </is>
      </c>
      <c r="H232" s="23" t="inlineStr">
        <is>
          <t>Carried forward</t>
        </is>
      </c>
      <c r="I232" s="23" t="inlineStr">
        <is>
          <t>Source assignment -- not individually reviewed</t>
        </is>
      </c>
      <c r="J232" s="23" t="inlineStr"/>
      <c r="K232" s="23" t="inlineStr">
        <is>
          <t>Source assignment</t>
        </is>
      </c>
      <c r="L232" s="23" t="inlineStr"/>
      <c r="M232" s="23" t="inlineStr">
        <is>
          <t>Cost &amp; Forecast Control Accounts Cycle 2</t>
        </is>
      </c>
      <c r="N232" s="23" t="inlineStr">
        <is>
          <t>Rev 1</t>
        </is>
      </c>
      <c r="O232" s="23" t="inlineStr">
        <is>
          <t>R1084-v2</t>
        </is>
      </c>
      <c r="P232" s="23" t="inlineStr"/>
      <c r="Q232" s="23" t="inlineStr"/>
      <c r="R232" s="23" t="inlineStr"/>
      <c r="S232" s="23" t="inlineStr"/>
      <c r="T232" s="23" t="inlineStr"/>
      <c r="U232" s="23" t="inlineStr"/>
      <c r="V232" s="23" t="inlineStr">
        <is>
          <t>Cost Account = CA-1002; WBS Code = 1.1.2</t>
        </is>
      </c>
      <c r="W232" s="23" t="inlineStr"/>
    </row>
    <row r="233" ht="64" customHeight="1">
      <c r="A233" s="23" t="inlineStr">
        <is>
          <t>1.1.2</t>
        </is>
      </c>
      <c r="B233" s="23" t="inlineStr">
        <is>
          <t>Guideway and Civil - Utility &amp; Roadworks</t>
        </is>
      </c>
      <c r="C233" s="23" t="inlineStr">
        <is>
          <t>Cost &amp; Forecast Control Accounts</t>
        </is>
      </c>
      <c r="D233" s="23" t="inlineStr">
        <is>
          <t>CST-01-004</t>
        </is>
      </c>
      <c r="E233" s="23" t="inlineStr">
        <is>
          <t>Guideway and Civil - roadworks - field package</t>
        </is>
      </c>
      <c r="F233" s="23" t="inlineStr">
        <is>
          <t>ONE_TO_ONE</t>
        </is>
      </c>
      <c r="G233" s="23" t="inlineStr">
        <is>
          <t>RETAINED</t>
        </is>
      </c>
      <c r="H233" s="23" t="inlineStr">
        <is>
          <t>Carried forward</t>
        </is>
      </c>
      <c r="I233" s="23" t="inlineStr">
        <is>
          <t>Source assignment -- not individually reviewed</t>
        </is>
      </c>
      <c r="J233" s="23" t="inlineStr"/>
      <c r="K233" s="23" t="inlineStr">
        <is>
          <t>Source assignment</t>
        </is>
      </c>
      <c r="L233" s="23" t="inlineStr"/>
      <c r="M233" s="23" t="inlineStr">
        <is>
          <t>Cost &amp; Forecast Control Accounts Cycle 2</t>
        </is>
      </c>
      <c r="N233" s="23" t="inlineStr">
        <is>
          <t>Rev 1</t>
        </is>
      </c>
      <c r="O233" s="23" t="inlineStr">
        <is>
          <t>R1086-v2</t>
        </is>
      </c>
      <c r="P233" s="23" t="inlineStr"/>
      <c r="Q233" s="23" t="inlineStr"/>
      <c r="R233" s="23" t="inlineStr"/>
      <c r="S233" s="23" t="inlineStr"/>
      <c r="T233" s="23" t="inlineStr"/>
      <c r="U233" s="23" t="inlineStr"/>
      <c r="V233" s="23" t="inlineStr">
        <is>
          <t>Cost Account = CA-1004; WBS Code = 1.1.2</t>
        </is>
      </c>
      <c r="W233" s="23" t="inlineStr"/>
    </row>
    <row r="234" ht="139" customHeight="1">
      <c r="A234" s="23" t="inlineStr">
        <is>
          <t>1.1.2</t>
        </is>
      </c>
      <c r="B234" s="23" t="inlineStr">
        <is>
          <t>Guideway and Civil - Utility &amp; Roadworks</t>
        </is>
      </c>
      <c r="C234" s="23" t="inlineStr">
        <is>
          <t>Cost &amp; Forecast Control Accounts</t>
        </is>
      </c>
      <c r="D234" s="23" t="inlineStr">
        <is>
          <t>CST-01-005</t>
        </is>
      </c>
      <c r="E234" s="23" t="inlineStr">
        <is>
          <t>Guideway and Civil - temporary works - supply and install - relocated to adjacent governed scope</t>
        </is>
      </c>
      <c r="F234" s="23" t="inlineStr">
        <is>
          <t>ONE_TO_ONE</t>
        </is>
      </c>
      <c r="G234" s="23" t="inlineStr">
        <is>
          <t>APPROVED</t>
        </is>
      </c>
      <c r="H234" s="23" t="inlineStr">
        <is>
          <t>Changed, re-decided</t>
        </is>
      </c>
      <c r="I234" s="23" t="inlineStr">
        <is>
          <t>Professional decision</t>
        </is>
      </c>
      <c r="J234" s="23" t="inlineStr">
        <is>
          <t>Maya Chen, Owner Project Controls</t>
        </is>
      </c>
      <c r="K234" s="23" t="inlineStr">
        <is>
          <t>Source assignment</t>
        </is>
      </c>
      <c r="L234" s="23" t="inlineStr"/>
      <c r="M234" s="23" t="inlineStr">
        <is>
          <t>Cost &amp; Forecast Control Accounts Cycle 2</t>
        </is>
      </c>
      <c r="N234" s="23" t="inlineStr">
        <is>
          <t>Rev 1</t>
        </is>
      </c>
      <c r="O234" s="23" t="inlineStr">
        <is>
          <t>R1087-v3</t>
        </is>
      </c>
      <c r="P234" s="23" t="inlineStr"/>
      <c r="Q234" s="23" t="inlineStr"/>
      <c r="R234" s="23" t="inlineStr"/>
      <c r="S234" s="23" t="inlineStr"/>
      <c r="T234" s="23" t="inlineStr">
        <is>
          <t>Individual</t>
        </is>
      </c>
      <c r="U234" s="23" t="inlineStr">
        <is>
          <t>'WBS Code' changed from 1.1.1 to 1.1.2; 'WBS Code' changed from 1.1.1 to 1.1.2; 'WBS Code' changed from 1.1.1 to 1.1.2</t>
        </is>
      </c>
      <c r="V234" s="23" t="inlineStr">
        <is>
          <t>Cost Account = CA-1005; WBS Code = 1.1.2</t>
        </is>
      </c>
      <c r="W234" s="23" t="inlineStr"/>
    </row>
    <row r="235" ht="64" customHeight="1">
      <c r="A235" s="23" t="inlineStr">
        <is>
          <t>1.1.2</t>
        </is>
      </c>
      <c r="B235" s="23" t="inlineStr">
        <is>
          <t>Guideway and Civil - Utility &amp; Roadworks</t>
        </is>
      </c>
      <c r="C235" s="23" t="inlineStr">
        <is>
          <t>Cost &amp; Forecast Control Accounts</t>
        </is>
      </c>
      <c r="D235" s="23" t="inlineStr">
        <is>
          <t>CST-01-006</t>
        </is>
      </c>
      <c r="E235" s="23" t="inlineStr">
        <is>
          <t>Guideway and Civil - concrete structures - professional services</t>
        </is>
      </c>
      <c r="F235" s="23" t="inlineStr">
        <is>
          <t>ONE_TO_ONE</t>
        </is>
      </c>
      <c r="G235" s="23" t="inlineStr">
        <is>
          <t>RETAINED</t>
        </is>
      </c>
      <c r="H235" s="23" t="inlineStr">
        <is>
          <t>Carried forward</t>
        </is>
      </c>
      <c r="I235" s="23" t="inlineStr">
        <is>
          <t>Source assignment -- not individually reviewed</t>
        </is>
      </c>
      <c r="J235" s="23" t="inlineStr"/>
      <c r="K235" s="23" t="inlineStr">
        <is>
          <t>Source assignment</t>
        </is>
      </c>
      <c r="L235" s="23" t="inlineStr"/>
      <c r="M235" s="23" t="inlineStr">
        <is>
          <t>Cost &amp; Forecast Control Accounts Cycle 2</t>
        </is>
      </c>
      <c r="N235" s="23" t="inlineStr">
        <is>
          <t>Rev 1</t>
        </is>
      </c>
      <c r="O235" s="23" t="inlineStr">
        <is>
          <t>R1088-v2</t>
        </is>
      </c>
      <c r="P235" s="23" t="inlineStr"/>
      <c r="Q235" s="23" t="inlineStr"/>
      <c r="R235" s="23" t="inlineStr"/>
      <c r="S235" s="23" t="inlineStr"/>
      <c r="T235" s="23" t="inlineStr"/>
      <c r="U235" s="23" t="inlineStr"/>
      <c r="V235" s="23" t="inlineStr">
        <is>
          <t>Cost Account = CA-1006; WBS Code = 1.1.2</t>
        </is>
      </c>
      <c r="W235" s="23" t="inlineStr"/>
    </row>
    <row r="236" ht="64" customHeight="1">
      <c r="A236" s="23" t="inlineStr">
        <is>
          <t>1.1.2</t>
        </is>
      </c>
      <c r="B236" s="23" t="inlineStr">
        <is>
          <t>Guideway and Civil - Utility &amp; Roadworks</t>
        </is>
      </c>
      <c r="C236" s="23" t="inlineStr">
        <is>
          <t>Cost &amp; Forecast Control Accounts</t>
        </is>
      </c>
      <c r="D236" s="23" t="inlineStr">
        <is>
          <t>CST-01-008</t>
        </is>
      </c>
      <c r="E236" s="23" t="inlineStr">
        <is>
          <t>Guideway and Civil - temporary works - closeout</t>
        </is>
      </c>
      <c r="F236" s="23" t="inlineStr">
        <is>
          <t>ONE_TO_ONE</t>
        </is>
      </c>
      <c r="G236" s="23" t="inlineStr">
        <is>
          <t>RETAINED</t>
        </is>
      </c>
      <c r="H236" s="23" t="inlineStr">
        <is>
          <t>Carried forward</t>
        </is>
      </c>
      <c r="I236" s="23" t="inlineStr">
        <is>
          <t>Source assignment -- not individually reviewed</t>
        </is>
      </c>
      <c r="J236" s="23" t="inlineStr"/>
      <c r="K236" s="23" t="inlineStr">
        <is>
          <t>Source assignment</t>
        </is>
      </c>
      <c r="L236" s="23" t="inlineStr"/>
      <c r="M236" s="23" t="inlineStr">
        <is>
          <t>Cost &amp; Forecast Control Accounts Cycle 2</t>
        </is>
      </c>
      <c r="N236" s="23" t="inlineStr">
        <is>
          <t>Rev 1</t>
        </is>
      </c>
      <c r="O236" s="23" t="inlineStr">
        <is>
          <t>R1090-v2</t>
        </is>
      </c>
      <c r="P236" s="23" t="inlineStr"/>
      <c r="Q236" s="23" t="inlineStr"/>
      <c r="R236" s="23" t="inlineStr"/>
      <c r="S236" s="23" t="inlineStr"/>
      <c r="T236" s="23" t="inlineStr"/>
      <c r="U236" s="23" t="inlineStr"/>
      <c r="V236" s="23" t="inlineStr">
        <is>
          <t>Cost Account = CA-1008; WBS Code = 1.1.2</t>
        </is>
      </c>
      <c r="W236" s="23" t="inlineStr"/>
    </row>
    <row r="237" ht="64" customHeight="1">
      <c r="A237" s="23" t="inlineStr">
        <is>
          <t>1.1.2</t>
        </is>
      </c>
      <c r="B237" s="23" t="inlineStr">
        <is>
          <t>Guideway and Civil - Utility &amp; Roadworks</t>
        </is>
      </c>
      <c r="C237" s="23" t="inlineStr">
        <is>
          <t>Cost &amp; Forecast Control Accounts</t>
        </is>
      </c>
      <c r="D237" s="23" t="inlineStr">
        <is>
          <t>CST-01-010</t>
        </is>
      </c>
      <c r="E237" s="23" t="inlineStr">
        <is>
          <t>Guideway and Civil - roadworks - supply and install</t>
        </is>
      </c>
      <c r="F237" s="23" t="inlineStr">
        <is>
          <t>ONE_TO_ONE</t>
        </is>
      </c>
      <c r="G237" s="23" t="inlineStr">
        <is>
          <t>RETAINED</t>
        </is>
      </c>
      <c r="H237" s="23" t="inlineStr">
        <is>
          <t>Carried forward</t>
        </is>
      </c>
      <c r="I237" s="23" t="inlineStr">
        <is>
          <t>Source assignment -- not individually reviewed</t>
        </is>
      </c>
      <c r="J237" s="23" t="inlineStr"/>
      <c r="K237" s="23" t="inlineStr">
        <is>
          <t>Source assignment</t>
        </is>
      </c>
      <c r="L237" s="23" t="inlineStr"/>
      <c r="M237" s="23" t="inlineStr">
        <is>
          <t>Cost &amp; Forecast Control Accounts Cycle 2</t>
        </is>
      </c>
      <c r="N237" s="23" t="inlineStr">
        <is>
          <t>Rev 1</t>
        </is>
      </c>
      <c r="O237" s="23" t="inlineStr">
        <is>
          <t>R1092-v2</t>
        </is>
      </c>
      <c r="P237" s="23" t="inlineStr"/>
      <c r="Q237" s="23" t="inlineStr"/>
      <c r="R237" s="23" t="inlineStr"/>
      <c r="S237" s="23" t="inlineStr"/>
      <c r="T237" s="23" t="inlineStr"/>
      <c r="U237" s="23" t="inlineStr"/>
      <c r="V237" s="23" t="inlineStr">
        <is>
          <t>Cost Account = CA-1010; WBS Code = 1.1.2</t>
        </is>
      </c>
      <c r="W237" s="23" t="inlineStr"/>
    </row>
    <row r="238" ht="64" customHeight="1">
      <c r="A238" s="23" t="inlineStr">
        <is>
          <t>1.1.2</t>
        </is>
      </c>
      <c r="B238" s="23" t="inlineStr">
        <is>
          <t>Guideway and Civil - Utility &amp; Roadworks</t>
        </is>
      </c>
      <c r="C238" s="23" t="inlineStr">
        <is>
          <t>Cost &amp; Forecast Control Accounts</t>
        </is>
      </c>
      <c r="D238" s="23" t="inlineStr">
        <is>
          <t>CST-01-012</t>
        </is>
      </c>
      <c r="E238" s="23" t="inlineStr">
        <is>
          <t>Guideway and Civil - concrete structures - allowance</t>
        </is>
      </c>
      <c r="F238" s="23" t="inlineStr">
        <is>
          <t>ONE_TO_ONE</t>
        </is>
      </c>
      <c r="G238" s="23" t="inlineStr">
        <is>
          <t>RETAINED</t>
        </is>
      </c>
      <c r="H238" s="23" t="inlineStr">
        <is>
          <t>Carried forward</t>
        </is>
      </c>
      <c r="I238" s="23" t="inlineStr">
        <is>
          <t>Source assignment -- not individually reviewed</t>
        </is>
      </c>
      <c r="J238" s="23" t="inlineStr"/>
      <c r="K238" s="23" t="inlineStr">
        <is>
          <t>Source assignment</t>
        </is>
      </c>
      <c r="L238" s="23" t="inlineStr"/>
      <c r="M238" s="23" t="inlineStr">
        <is>
          <t>Cost &amp; Forecast Control Accounts Cycle 2</t>
        </is>
      </c>
      <c r="N238" s="23" t="inlineStr">
        <is>
          <t>Rev 1</t>
        </is>
      </c>
      <c r="O238" s="23" t="inlineStr">
        <is>
          <t>R1094-v2</t>
        </is>
      </c>
      <c r="P238" s="23" t="inlineStr"/>
      <c r="Q238" s="23" t="inlineStr"/>
      <c r="R238" s="23" t="inlineStr"/>
      <c r="S238" s="23" t="inlineStr"/>
      <c r="T238" s="23" t="inlineStr"/>
      <c r="U238" s="23" t="inlineStr"/>
      <c r="V238" s="23" t="inlineStr">
        <is>
          <t>Cost Account = CA-1012; WBS Code = 1.1.2</t>
        </is>
      </c>
      <c r="W238" s="23" t="inlineStr"/>
    </row>
    <row r="239" ht="64" customHeight="1">
      <c r="A239" s="23" t="inlineStr">
        <is>
          <t>1.1.2</t>
        </is>
      </c>
      <c r="B239" s="23" t="inlineStr">
        <is>
          <t>Guideway and Civil - Utility &amp; Roadworks</t>
        </is>
      </c>
      <c r="C239" s="23" t="inlineStr">
        <is>
          <t>Cost &amp; Forecast Control Accounts</t>
        </is>
      </c>
      <c r="D239" s="23" t="inlineStr">
        <is>
          <t>CST-01-014</t>
        </is>
      </c>
      <c r="E239" s="23" t="inlineStr">
        <is>
          <t>Guideway and Civil - temporary works - field package</t>
        </is>
      </c>
      <c r="F239" s="23" t="inlineStr">
        <is>
          <t>ONE_TO_ONE</t>
        </is>
      </c>
      <c r="G239" s="23" t="inlineStr">
        <is>
          <t>RETAINED</t>
        </is>
      </c>
      <c r="H239" s="23" t="inlineStr">
        <is>
          <t>Carried forward</t>
        </is>
      </c>
      <c r="I239" s="23" t="inlineStr">
        <is>
          <t>Source assignment -- not individually reviewed</t>
        </is>
      </c>
      <c r="J239" s="23" t="inlineStr"/>
      <c r="K239" s="23" t="inlineStr">
        <is>
          <t>Source assignment</t>
        </is>
      </c>
      <c r="L239" s="23" t="inlineStr"/>
      <c r="M239" s="23" t="inlineStr">
        <is>
          <t>Cost &amp; Forecast Control Accounts Cycle 2</t>
        </is>
      </c>
      <c r="N239" s="23" t="inlineStr">
        <is>
          <t>Rev 1</t>
        </is>
      </c>
      <c r="O239" s="23" t="inlineStr">
        <is>
          <t>R1096-v2</t>
        </is>
      </c>
      <c r="P239" s="23" t="inlineStr"/>
      <c r="Q239" s="23" t="inlineStr"/>
      <c r="R239" s="23" t="inlineStr"/>
      <c r="S239" s="23" t="inlineStr"/>
      <c r="T239" s="23" t="inlineStr"/>
      <c r="U239" s="23" t="inlineStr"/>
      <c r="V239" s="23" t="inlineStr">
        <is>
          <t>Cost Account = CA-1014; WBS Code = 1.1.2</t>
        </is>
      </c>
      <c r="W239" s="23" t="inlineStr"/>
    </row>
    <row r="240" ht="64" customHeight="1">
      <c r="A240" s="23" t="inlineStr">
        <is>
          <t>1.1.2</t>
        </is>
      </c>
      <c r="B240" s="23" t="inlineStr">
        <is>
          <t>Guideway and Civil - Utility &amp; Roadworks</t>
        </is>
      </c>
      <c r="C240" s="23" t="inlineStr">
        <is>
          <t>Cost &amp; Forecast Control Accounts</t>
        </is>
      </c>
      <c r="D240" s="23" t="inlineStr">
        <is>
          <t>CST-01-016</t>
        </is>
      </c>
      <c r="E240" s="23" t="inlineStr">
        <is>
          <t>Guideway and Civil - roadworks - professional services</t>
        </is>
      </c>
      <c r="F240" s="23" t="inlineStr">
        <is>
          <t>ONE_TO_ONE</t>
        </is>
      </c>
      <c r="G240" s="23" t="inlineStr">
        <is>
          <t>RETAINED</t>
        </is>
      </c>
      <c r="H240" s="23" t="inlineStr">
        <is>
          <t>Carried forward</t>
        </is>
      </c>
      <c r="I240" s="23" t="inlineStr">
        <is>
          <t>Source assignment -- not individually reviewed</t>
        </is>
      </c>
      <c r="J240" s="23" t="inlineStr"/>
      <c r="K240" s="23" t="inlineStr">
        <is>
          <t>Source assignment</t>
        </is>
      </c>
      <c r="L240" s="23" t="inlineStr"/>
      <c r="M240" s="23" t="inlineStr">
        <is>
          <t>Cost &amp; Forecast Control Accounts Cycle 2</t>
        </is>
      </c>
      <c r="N240" s="23" t="inlineStr">
        <is>
          <t>Rev 1</t>
        </is>
      </c>
      <c r="O240" s="23" t="inlineStr">
        <is>
          <t>R1098-v2</t>
        </is>
      </c>
      <c r="P240" s="23" t="inlineStr"/>
      <c r="Q240" s="23" t="inlineStr"/>
      <c r="R240" s="23" t="inlineStr"/>
      <c r="S240" s="23" t="inlineStr"/>
      <c r="T240" s="23" t="inlineStr"/>
      <c r="U240" s="23" t="inlineStr"/>
      <c r="V240" s="23" t="inlineStr">
        <is>
          <t>Cost Account = CA-1016; WBS Code = 1.1.2</t>
        </is>
      </c>
      <c r="W240" s="23" t="inlineStr"/>
    </row>
    <row r="241" ht="64" customHeight="1">
      <c r="A241" s="23" t="inlineStr">
        <is>
          <t>1.1.2</t>
        </is>
      </c>
      <c r="B241" s="23" t="inlineStr">
        <is>
          <t>Guideway and Civil - Utility &amp; Roadworks</t>
        </is>
      </c>
      <c r="C241" s="23" t="inlineStr">
        <is>
          <t>Cost &amp; Forecast Control Accounts</t>
        </is>
      </c>
      <c r="D241" s="23" t="inlineStr">
        <is>
          <t>CST-01-018</t>
        </is>
      </c>
      <c r="E241" s="23" t="inlineStr">
        <is>
          <t>Guideway and Civil - concrete structures - closeout</t>
        </is>
      </c>
      <c r="F241" s="23" t="inlineStr">
        <is>
          <t>ONE_TO_ONE</t>
        </is>
      </c>
      <c r="G241" s="23" t="inlineStr">
        <is>
          <t>RETAINED</t>
        </is>
      </c>
      <c r="H241" s="23" t="inlineStr">
        <is>
          <t>Carried forward</t>
        </is>
      </c>
      <c r="I241" s="23" t="inlineStr">
        <is>
          <t>Source assignment -- not individually reviewed</t>
        </is>
      </c>
      <c r="J241" s="23" t="inlineStr"/>
      <c r="K241" s="23" t="inlineStr">
        <is>
          <t>Source assignment</t>
        </is>
      </c>
      <c r="L241" s="23" t="inlineStr"/>
      <c r="M241" s="23" t="inlineStr">
        <is>
          <t>Cost &amp; Forecast Control Accounts Cycle 2</t>
        </is>
      </c>
      <c r="N241" s="23" t="inlineStr">
        <is>
          <t>Rev 1</t>
        </is>
      </c>
      <c r="O241" s="23" t="inlineStr">
        <is>
          <t>R1100-v2</t>
        </is>
      </c>
      <c r="P241" s="23" t="inlineStr"/>
      <c r="Q241" s="23" t="inlineStr"/>
      <c r="R241" s="23" t="inlineStr"/>
      <c r="S241" s="23" t="inlineStr"/>
      <c r="T241" s="23" t="inlineStr"/>
      <c r="U241" s="23" t="inlineStr"/>
      <c r="V241" s="23" t="inlineStr">
        <is>
          <t>Cost Account = CA-1018; WBS Code = 1.1.2</t>
        </is>
      </c>
      <c r="W241" s="23" t="inlineStr"/>
    </row>
    <row r="242" ht="64" customHeight="1">
      <c r="A242" s="23" t="inlineStr">
        <is>
          <t>1.1.2</t>
        </is>
      </c>
      <c r="B242" s="23" t="inlineStr">
        <is>
          <t>Guideway and Civil - Utility &amp; Roadworks</t>
        </is>
      </c>
      <c r="C242" s="23" t="inlineStr">
        <is>
          <t>Cost &amp; Forecast Control Accounts</t>
        </is>
      </c>
      <c r="D242" s="23" t="inlineStr">
        <is>
          <t>CST-01-020</t>
        </is>
      </c>
      <c r="E242" s="23" t="inlineStr">
        <is>
          <t>Guideway and Civil - temporary works - supply and install</t>
        </is>
      </c>
      <c r="F242" s="23" t="inlineStr">
        <is>
          <t>ONE_TO_ONE</t>
        </is>
      </c>
      <c r="G242" s="23" t="inlineStr">
        <is>
          <t>RETAINED</t>
        </is>
      </c>
      <c r="H242" s="23" t="inlineStr">
        <is>
          <t>Carried forward</t>
        </is>
      </c>
      <c r="I242" s="23" t="inlineStr">
        <is>
          <t>Source assignment -- not individually reviewed</t>
        </is>
      </c>
      <c r="J242" s="23" t="inlineStr"/>
      <c r="K242" s="23" t="inlineStr">
        <is>
          <t>Source assignment</t>
        </is>
      </c>
      <c r="L242" s="23" t="inlineStr"/>
      <c r="M242" s="23" t="inlineStr">
        <is>
          <t>Cost &amp; Forecast Control Accounts Cycle 2</t>
        </is>
      </c>
      <c r="N242" s="23" t="inlineStr">
        <is>
          <t>Rev 1</t>
        </is>
      </c>
      <c r="O242" s="23" t="inlineStr">
        <is>
          <t>R1102-v2</t>
        </is>
      </c>
      <c r="P242" s="23" t="inlineStr"/>
      <c r="Q242" s="23" t="inlineStr"/>
      <c r="R242" s="23" t="inlineStr"/>
      <c r="S242" s="23" t="inlineStr"/>
      <c r="T242" s="23" t="inlineStr"/>
      <c r="U242" s="23" t="inlineStr"/>
      <c r="V242" s="23" t="inlineStr">
        <is>
          <t>Cost Account = CA-1020; WBS Code = 1.1.2</t>
        </is>
      </c>
      <c r="W242" s="23" t="inlineStr"/>
    </row>
    <row r="243" ht="64" customHeight="1">
      <c r="A243" s="23" t="inlineStr">
        <is>
          <t>1.1.2</t>
        </is>
      </c>
      <c r="B243" s="23" t="inlineStr">
        <is>
          <t>Guideway and Civil - Utility &amp; Roadworks</t>
        </is>
      </c>
      <c r="C243" s="23" t="inlineStr">
        <is>
          <t>Cost &amp; Forecast Control Accounts</t>
        </is>
      </c>
      <c r="D243" s="23" t="inlineStr">
        <is>
          <t>CST-01-022</t>
        </is>
      </c>
      <c r="E243" s="23" t="inlineStr">
        <is>
          <t>Guideway and Civil - roadworks - allowance</t>
        </is>
      </c>
      <c r="F243" s="23" t="inlineStr">
        <is>
          <t>ONE_TO_ONE</t>
        </is>
      </c>
      <c r="G243" s="23" t="inlineStr">
        <is>
          <t>RETAINED</t>
        </is>
      </c>
      <c r="H243" s="23" t="inlineStr">
        <is>
          <t>Carried forward</t>
        </is>
      </c>
      <c r="I243" s="23" t="inlineStr">
        <is>
          <t>Source assignment -- not individually reviewed</t>
        </is>
      </c>
      <c r="J243" s="23" t="inlineStr"/>
      <c r="K243" s="23" t="inlineStr">
        <is>
          <t>Source assignment</t>
        </is>
      </c>
      <c r="L243" s="23" t="inlineStr"/>
      <c r="M243" s="23" t="inlineStr">
        <is>
          <t>Cost &amp; Forecast Control Accounts Cycle 2</t>
        </is>
      </c>
      <c r="N243" s="23" t="inlineStr">
        <is>
          <t>Rev 1</t>
        </is>
      </c>
      <c r="O243" s="23" t="inlineStr">
        <is>
          <t>R1104-v2</t>
        </is>
      </c>
      <c r="P243" s="23" t="inlineStr"/>
      <c r="Q243" s="23" t="inlineStr"/>
      <c r="R243" s="23" t="inlineStr"/>
      <c r="S243" s="23" t="inlineStr"/>
      <c r="T243" s="23" t="inlineStr"/>
      <c r="U243" s="23" t="inlineStr"/>
      <c r="V243" s="23" t="inlineStr">
        <is>
          <t>Cost Account = CA-1022; WBS Code = 1.1.2</t>
        </is>
      </c>
      <c r="W243" s="23" t="inlineStr"/>
    </row>
    <row r="244" ht="64" customHeight="1">
      <c r="A244" s="23" t="inlineStr">
        <is>
          <t>1.1.2</t>
        </is>
      </c>
      <c r="B244" s="23" t="inlineStr">
        <is>
          <t>Guideway and Civil - Utility &amp; Roadworks</t>
        </is>
      </c>
      <c r="C244" s="23" t="inlineStr">
        <is>
          <t>Cost &amp; Forecast Control Accounts</t>
        </is>
      </c>
      <c r="D244" s="23" t="inlineStr">
        <is>
          <t>CST-01-024</t>
        </is>
      </c>
      <c r="E244" s="23" t="inlineStr">
        <is>
          <t>Guideway and Civil - concrete structures - field package</t>
        </is>
      </c>
      <c r="F244" s="23" t="inlineStr">
        <is>
          <t>ONE_TO_ONE</t>
        </is>
      </c>
      <c r="G244" s="23" t="inlineStr">
        <is>
          <t>RETAINED</t>
        </is>
      </c>
      <c r="H244" s="23" t="inlineStr">
        <is>
          <t>Carried forward</t>
        </is>
      </c>
      <c r="I244" s="23" t="inlineStr">
        <is>
          <t>Source assignment -- not individually reviewed</t>
        </is>
      </c>
      <c r="J244" s="23" t="inlineStr"/>
      <c r="K244" s="23" t="inlineStr">
        <is>
          <t>Source assignment</t>
        </is>
      </c>
      <c r="L244" s="23" t="inlineStr"/>
      <c r="M244" s="23" t="inlineStr">
        <is>
          <t>Cost &amp; Forecast Control Accounts Cycle 2</t>
        </is>
      </c>
      <c r="N244" s="23" t="inlineStr">
        <is>
          <t>Rev 1</t>
        </is>
      </c>
      <c r="O244" s="23" t="inlineStr">
        <is>
          <t>R1106-v2</t>
        </is>
      </c>
      <c r="P244" s="23" t="inlineStr"/>
      <c r="Q244" s="23" t="inlineStr"/>
      <c r="R244" s="23" t="inlineStr"/>
      <c r="S244" s="23" t="inlineStr"/>
      <c r="T244" s="23" t="inlineStr"/>
      <c r="U244" s="23" t="inlineStr"/>
      <c r="V244" s="23" t="inlineStr">
        <is>
          <t>Cost Account = CA-1024; WBS Code = 1.1.2</t>
        </is>
      </c>
      <c r="W244" s="23" t="inlineStr"/>
    </row>
    <row r="245" ht="64" customHeight="1">
      <c r="A245" s="23" t="inlineStr">
        <is>
          <t>1.1.2</t>
        </is>
      </c>
      <c r="B245" s="23" t="inlineStr">
        <is>
          <t>Guideway and Civil - Utility &amp; Roadworks</t>
        </is>
      </c>
      <c r="C245" s="23" t="inlineStr">
        <is>
          <t>Cost &amp; Forecast Control Accounts</t>
        </is>
      </c>
      <c r="D245" s="23" t="inlineStr">
        <is>
          <t>CST-01-026</t>
        </is>
      </c>
      <c r="E245" s="23" t="inlineStr">
        <is>
          <t>Guideway and Civil - temporary works - professional services</t>
        </is>
      </c>
      <c r="F245" s="23" t="inlineStr">
        <is>
          <t>ONE_TO_ONE</t>
        </is>
      </c>
      <c r="G245" s="23" t="inlineStr">
        <is>
          <t>RETAINED</t>
        </is>
      </c>
      <c r="H245" s="23" t="inlineStr">
        <is>
          <t>Carried forward</t>
        </is>
      </c>
      <c r="I245" s="23" t="inlineStr">
        <is>
          <t>Source assignment -- not individually reviewed</t>
        </is>
      </c>
      <c r="J245" s="23" t="inlineStr"/>
      <c r="K245" s="23" t="inlineStr">
        <is>
          <t>Source assignment</t>
        </is>
      </c>
      <c r="L245" s="23" t="inlineStr"/>
      <c r="M245" s="23" t="inlineStr">
        <is>
          <t>Cost &amp; Forecast Control Accounts Cycle 2</t>
        </is>
      </c>
      <c r="N245" s="23" t="inlineStr">
        <is>
          <t>Rev 1</t>
        </is>
      </c>
      <c r="O245" s="23" t="inlineStr">
        <is>
          <t>R1108-v2</t>
        </is>
      </c>
      <c r="P245" s="23" t="inlineStr"/>
      <c r="Q245" s="23" t="inlineStr"/>
      <c r="R245" s="23" t="inlineStr"/>
      <c r="S245" s="23" t="inlineStr"/>
      <c r="T245" s="23" t="inlineStr"/>
      <c r="U245" s="23" t="inlineStr"/>
      <c r="V245" s="23" t="inlineStr">
        <is>
          <t>Cost Account = CA-1026; WBS Code = 1.1.2</t>
        </is>
      </c>
      <c r="W245" s="23" t="inlineStr"/>
    </row>
    <row r="246" ht="64" customHeight="1">
      <c r="A246" s="23" t="inlineStr">
        <is>
          <t>1.1.2</t>
        </is>
      </c>
      <c r="B246" s="23" t="inlineStr">
        <is>
          <t>Guideway and Civil - Utility &amp; Roadworks</t>
        </is>
      </c>
      <c r="C246" s="23" t="inlineStr">
        <is>
          <t>Cost &amp; Forecast Control Accounts</t>
        </is>
      </c>
      <c r="D246" s="23" t="inlineStr">
        <is>
          <t>CST-01-028</t>
        </is>
      </c>
      <c r="E246" s="23" t="inlineStr">
        <is>
          <t>Guideway and Civil - roadworks - closeout</t>
        </is>
      </c>
      <c r="F246" s="23" t="inlineStr">
        <is>
          <t>ONE_TO_ONE</t>
        </is>
      </c>
      <c r="G246" s="23" t="inlineStr">
        <is>
          <t>RETAINED</t>
        </is>
      </c>
      <c r="H246" s="23" t="inlineStr">
        <is>
          <t>Carried forward</t>
        </is>
      </c>
      <c r="I246" s="23" t="inlineStr">
        <is>
          <t>Source assignment -- not individually reviewed</t>
        </is>
      </c>
      <c r="J246" s="23" t="inlineStr"/>
      <c r="K246" s="23" t="inlineStr">
        <is>
          <t>Source assignment</t>
        </is>
      </c>
      <c r="L246" s="23" t="inlineStr"/>
      <c r="M246" s="23" t="inlineStr">
        <is>
          <t>Cost &amp; Forecast Control Accounts Cycle 2</t>
        </is>
      </c>
      <c r="N246" s="23" t="inlineStr">
        <is>
          <t>Rev 1</t>
        </is>
      </c>
      <c r="O246" s="23" t="inlineStr">
        <is>
          <t>R1110-v2</t>
        </is>
      </c>
      <c r="P246" s="23" t="inlineStr"/>
      <c r="Q246" s="23" t="inlineStr"/>
      <c r="R246" s="23" t="inlineStr"/>
      <c r="S246" s="23" t="inlineStr"/>
      <c r="T246" s="23" t="inlineStr"/>
      <c r="U246" s="23" t="inlineStr"/>
      <c r="V246" s="23" t="inlineStr">
        <is>
          <t>Cost Account = CA-1028; WBS Code = 1.1.2</t>
        </is>
      </c>
      <c r="W246" s="23" t="inlineStr"/>
    </row>
    <row r="247" ht="64" customHeight="1">
      <c r="A247" s="23" t="inlineStr">
        <is>
          <t>1.1.2</t>
        </is>
      </c>
      <c r="B247" s="23" t="inlineStr">
        <is>
          <t>Guideway and Civil - Utility &amp; Roadworks</t>
        </is>
      </c>
      <c r="C247" s="23" t="inlineStr">
        <is>
          <t>Cost &amp; Forecast Control Accounts</t>
        </is>
      </c>
      <c r="D247" s="23" t="inlineStr">
        <is>
          <t>CST-01-030</t>
        </is>
      </c>
      <c r="E247" s="23" t="inlineStr">
        <is>
          <t>Guideway and Civil - concrete structures - supply and install</t>
        </is>
      </c>
      <c r="F247" s="23" t="inlineStr">
        <is>
          <t>ONE_TO_ONE</t>
        </is>
      </c>
      <c r="G247" s="23" t="inlineStr">
        <is>
          <t>RETAINED</t>
        </is>
      </c>
      <c r="H247" s="23" t="inlineStr">
        <is>
          <t>Carried forward</t>
        </is>
      </c>
      <c r="I247" s="23" t="inlineStr">
        <is>
          <t>Source assignment -- not individually reviewed</t>
        </is>
      </c>
      <c r="J247" s="23" t="inlineStr"/>
      <c r="K247" s="23" t="inlineStr">
        <is>
          <t>Source assignment</t>
        </is>
      </c>
      <c r="L247" s="23" t="inlineStr"/>
      <c r="M247" s="23" t="inlineStr">
        <is>
          <t>Cost &amp; Forecast Control Accounts Cycle 2</t>
        </is>
      </c>
      <c r="N247" s="23" t="inlineStr">
        <is>
          <t>Rev 1</t>
        </is>
      </c>
      <c r="O247" s="23" t="inlineStr">
        <is>
          <t>R1112-v2</t>
        </is>
      </c>
      <c r="P247" s="23" t="inlineStr"/>
      <c r="Q247" s="23" t="inlineStr"/>
      <c r="R247" s="23" t="inlineStr"/>
      <c r="S247" s="23" t="inlineStr"/>
      <c r="T247" s="23" t="inlineStr"/>
      <c r="U247" s="23" t="inlineStr"/>
      <c r="V247" s="23" t="inlineStr">
        <is>
          <t>Cost Account = CA-1030; WBS Code = 1.1.2</t>
        </is>
      </c>
      <c r="W247" s="23" t="inlineStr"/>
    </row>
    <row r="248" ht="64" customHeight="1">
      <c r="A248" s="23" t="inlineStr">
        <is>
          <t>1.1.2</t>
        </is>
      </c>
      <c r="B248" s="23" t="inlineStr">
        <is>
          <t>Guideway and Civil - Utility &amp; Roadworks</t>
        </is>
      </c>
      <c r="C248" s="23" t="inlineStr">
        <is>
          <t>Cost &amp; Forecast Control Accounts</t>
        </is>
      </c>
      <c r="D248" s="23" t="inlineStr">
        <is>
          <t>CST-01-032</t>
        </is>
      </c>
      <c r="E248" s="23" t="inlineStr">
        <is>
          <t>Guideway and Civil - temporary works - allowance</t>
        </is>
      </c>
      <c r="F248" s="23" t="inlineStr">
        <is>
          <t>ONE_TO_ONE</t>
        </is>
      </c>
      <c r="G248" s="23" t="inlineStr">
        <is>
          <t>RETAINED</t>
        </is>
      </c>
      <c r="H248" s="23" t="inlineStr">
        <is>
          <t>Carried forward</t>
        </is>
      </c>
      <c r="I248" s="23" t="inlineStr">
        <is>
          <t>Source assignment -- not individually reviewed</t>
        </is>
      </c>
      <c r="J248" s="23" t="inlineStr"/>
      <c r="K248" s="23" t="inlineStr">
        <is>
          <t>Source assignment</t>
        </is>
      </c>
      <c r="L248" s="23" t="inlineStr"/>
      <c r="M248" s="23" t="inlineStr">
        <is>
          <t>Cost &amp; Forecast Control Accounts Cycle 2</t>
        </is>
      </c>
      <c r="N248" s="23" t="inlineStr">
        <is>
          <t>Rev 1</t>
        </is>
      </c>
      <c r="O248" s="23" t="inlineStr">
        <is>
          <t>R1114-v2</t>
        </is>
      </c>
      <c r="P248" s="23" t="inlineStr"/>
      <c r="Q248" s="23" t="inlineStr"/>
      <c r="R248" s="23" t="inlineStr"/>
      <c r="S248" s="23" t="inlineStr"/>
      <c r="T248" s="23" t="inlineStr"/>
      <c r="U248" s="23" t="inlineStr"/>
      <c r="V248" s="23" t="inlineStr">
        <is>
          <t>Cost Account = CA-1032; WBS Code = 1.1.2</t>
        </is>
      </c>
      <c r="W248" s="23" t="inlineStr"/>
    </row>
    <row r="249" ht="64" customHeight="1">
      <c r="A249" s="23" t="inlineStr">
        <is>
          <t>1.1.2</t>
        </is>
      </c>
      <c r="B249" s="23" t="inlineStr">
        <is>
          <t>Guideway and Civil - Utility &amp; Roadworks</t>
        </is>
      </c>
      <c r="C249" s="23" t="inlineStr">
        <is>
          <t>Cost &amp; Forecast Control Accounts</t>
        </is>
      </c>
      <c r="D249" s="23" t="inlineStr">
        <is>
          <t>CST-01-034</t>
        </is>
      </c>
      <c r="E249" s="23" t="inlineStr">
        <is>
          <t>Guideway and Civil - roadworks - field package</t>
        </is>
      </c>
      <c r="F249" s="23" t="inlineStr">
        <is>
          <t>ONE_TO_ONE</t>
        </is>
      </c>
      <c r="G249" s="23" t="inlineStr">
        <is>
          <t>RETAINED</t>
        </is>
      </c>
      <c r="H249" s="23" t="inlineStr">
        <is>
          <t>Carried forward</t>
        </is>
      </c>
      <c r="I249" s="23" t="inlineStr">
        <is>
          <t>Source assignment -- not individually reviewed</t>
        </is>
      </c>
      <c r="J249" s="23" t="inlineStr"/>
      <c r="K249" s="23" t="inlineStr">
        <is>
          <t>Source assignment</t>
        </is>
      </c>
      <c r="L249" s="23" t="inlineStr"/>
      <c r="M249" s="23" t="inlineStr">
        <is>
          <t>Cost &amp; Forecast Control Accounts Cycle 2</t>
        </is>
      </c>
      <c r="N249" s="23" t="inlineStr">
        <is>
          <t>Rev 1</t>
        </is>
      </c>
      <c r="O249" s="23" t="inlineStr">
        <is>
          <t>R1116-v2</t>
        </is>
      </c>
      <c r="P249" s="23" t="inlineStr"/>
      <c r="Q249" s="23" t="inlineStr"/>
      <c r="R249" s="23" t="inlineStr"/>
      <c r="S249" s="23" t="inlineStr"/>
      <c r="T249" s="23" t="inlineStr"/>
      <c r="U249" s="23" t="inlineStr"/>
      <c r="V249" s="23" t="inlineStr">
        <is>
          <t>Cost Account = CA-1034; WBS Code = 1.1.2</t>
        </is>
      </c>
      <c r="W249" s="23" t="inlineStr"/>
    </row>
    <row r="250" ht="64" customHeight="1">
      <c r="A250" s="23" t="inlineStr">
        <is>
          <t>1.1.2</t>
        </is>
      </c>
      <c r="B250" s="23" t="inlineStr">
        <is>
          <t>Guideway and Civil - Utility &amp; Roadworks</t>
        </is>
      </c>
      <c r="C250" s="23" t="inlineStr">
        <is>
          <t>Cost &amp; Forecast Control Accounts</t>
        </is>
      </c>
      <c r="D250" s="23" t="inlineStr">
        <is>
          <t>CST-01-036</t>
        </is>
      </c>
      <c r="E250" s="23" t="inlineStr">
        <is>
          <t>Guideway and Civil - concrete structures - professional services</t>
        </is>
      </c>
      <c r="F250" s="23" t="inlineStr">
        <is>
          <t>ONE_TO_ONE</t>
        </is>
      </c>
      <c r="G250" s="23" t="inlineStr">
        <is>
          <t>RETAINED</t>
        </is>
      </c>
      <c r="H250" s="23" t="inlineStr">
        <is>
          <t>Carried forward</t>
        </is>
      </c>
      <c r="I250" s="23" t="inlineStr">
        <is>
          <t>Source assignment -- not individually reviewed</t>
        </is>
      </c>
      <c r="J250" s="23" t="inlineStr"/>
      <c r="K250" s="23" t="inlineStr">
        <is>
          <t>Source assignment</t>
        </is>
      </c>
      <c r="L250" s="23" t="inlineStr"/>
      <c r="M250" s="23" t="inlineStr">
        <is>
          <t>Cost &amp; Forecast Control Accounts Cycle 2</t>
        </is>
      </c>
      <c r="N250" s="23" t="inlineStr">
        <is>
          <t>Rev 1</t>
        </is>
      </c>
      <c r="O250" s="23" t="inlineStr">
        <is>
          <t>R1118-v2</t>
        </is>
      </c>
      <c r="P250" s="23" t="inlineStr"/>
      <c r="Q250" s="23" t="inlineStr"/>
      <c r="R250" s="23" t="inlineStr"/>
      <c r="S250" s="23" t="inlineStr"/>
      <c r="T250" s="23" t="inlineStr"/>
      <c r="U250" s="23" t="inlineStr"/>
      <c r="V250" s="23" t="inlineStr">
        <is>
          <t>Cost Account = CA-1036; WBS Code = 1.1.2</t>
        </is>
      </c>
      <c r="W250" s="23" t="inlineStr"/>
    </row>
    <row r="251" ht="64" customHeight="1">
      <c r="A251" s="23" t="inlineStr">
        <is>
          <t>1.1.2</t>
        </is>
      </c>
      <c r="B251" s="23" t="inlineStr">
        <is>
          <t>Guideway and Civil - Utility &amp; Roadworks</t>
        </is>
      </c>
      <c r="C251" s="23" t="inlineStr">
        <is>
          <t>Cost &amp; Forecast Control Accounts</t>
        </is>
      </c>
      <c r="D251" s="23" t="inlineStr">
        <is>
          <t>CST-01-038</t>
        </is>
      </c>
      <c r="E251" s="23" t="inlineStr">
        <is>
          <t>Guideway and Civil - temporary works - closeout</t>
        </is>
      </c>
      <c r="F251" s="23" t="inlineStr">
        <is>
          <t>ONE_TO_ONE</t>
        </is>
      </c>
      <c r="G251" s="23" t="inlineStr">
        <is>
          <t>RETAINED</t>
        </is>
      </c>
      <c r="H251" s="23" t="inlineStr">
        <is>
          <t>Carried forward</t>
        </is>
      </c>
      <c r="I251" s="23" t="inlineStr">
        <is>
          <t>Source assignment -- not individually reviewed</t>
        </is>
      </c>
      <c r="J251" s="23" t="inlineStr"/>
      <c r="K251" s="23" t="inlineStr">
        <is>
          <t>Source assignment</t>
        </is>
      </c>
      <c r="L251" s="23" t="inlineStr"/>
      <c r="M251" s="23" t="inlineStr">
        <is>
          <t>Cost &amp; Forecast Control Accounts Cycle 2</t>
        </is>
      </c>
      <c r="N251" s="23" t="inlineStr">
        <is>
          <t>Rev 1</t>
        </is>
      </c>
      <c r="O251" s="23" t="inlineStr">
        <is>
          <t>R1120-v2</t>
        </is>
      </c>
      <c r="P251" s="23" t="inlineStr"/>
      <c r="Q251" s="23" t="inlineStr"/>
      <c r="R251" s="23" t="inlineStr"/>
      <c r="S251" s="23" t="inlineStr"/>
      <c r="T251" s="23" t="inlineStr"/>
      <c r="U251" s="23" t="inlineStr"/>
      <c r="V251" s="23" t="inlineStr">
        <is>
          <t>Cost Account = CA-1038; WBS Code = 1.1.2</t>
        </is>
      </c>
      <c r="W251" s="23" t="inlineStr"/>
    </row>
    <row r="252" ht="64" customHeight="1">
      <c r="A252" s="23" t="inlineStr">
        <is>
          <t>1.1.2</t>
        </is>
      </c>
      <c r="B252" s="23" t="inlineStr">
        <is>
          <t>Guideway and Civil - Utility &amp; Roadworks</t>
        </is>
      </c>
      <c r="C252" s="23" t="inlineStr">
        <is>
          <t>Cost &amp; Forecast Control Accounts</t>
        </is>
      </c>
      <c r="D252" s="23" t="inlineStr">
        <is>
          <t>CST-01-040</t>
        </is>
      </c>
      <c r="E252" s="23" t="inlineStr">
        <is>
          <t>Guideway and Civil - roadworks - supply and install</t>
        </is>
      </c>
      <c r="F252" s="23" t="inlineStr">
        <is>
          <t>ONE_TO_ONE</t>
        </is>
      </c>
      <c r="G252" s="23" t="inlineStr">
        <is>
          <t>RETAINED</t>
        </is>
      </c>
      <c r="H252" s="23" t="inlineStr">
        <is>
          <t>Carried forward</t>
        </is>
      </c>
      <c r="I252" s="23" t="inlineStr">
        <is>
          <t>Source assignment -- not individually reviewed</t>
        </is>
      </c>
      <c r="J252" s="23" t="inlineStr"/>
      <c r="K252" s="23" t="inlineStr">
        <is>
          <t>Source assignment</t>
        </is>
      </c>
      <c r="L252" s="23" t="inlineStr"/>
      <c r="M252" s="23" t="inlineStr">
        <is>
          <t>Cost &amp; Forecast Control Accounts Cycle 2</t>
        </is>
      </c>
      <c r="N252" s="23" t="inlineStr">
        <is>
          <t>Rev 1</t>
        </is>
      </c>
      <c r="O252" s="23" t="inlineStr">
        <is>
          <t>R1122-v2</t>
        </is>
      </c>
      <c r="P252" s="23" t="inlineStr"/>
      <c r="Q252" s="23" t="inlineStr"/>
      <c r="R252" s="23" t="inlineStr"/>
      <c r="S252" s="23" t="inlineStr"/>
      <c r="T252" s="23" t="inlineStr"/>
      <c r="U252" s="23" t="inlineStr"/>
      <c r="V252" s="23" t="inlineStr">
        <is>
          <t>Cost Account = CA-1040; WBS Code = 1.1.2</t>
        </is>
      </c>
      <c r="W252" s="23" t="inlineStr"/>
    </row>
    <row r="253" ht="64" customHeight="1">
      <c r="A253" s="23" t="inlineStr">
        <is>
          <t>1.1.2</t>
        </is>
      </c>
      <c r="B253" s="23" t="inlineStr">
        <is>
          <t>Guideway and Civil - Utility &amp; Roadworks</t>
        </is>
      </c>
      <c r="C253" s="23" t="inlineStr">
        <is>
          <t>Cost &amp; Forecast Control Accounts</t>
        </is>
      </c>
      <c r="D253" s="23" t="inlineStr">
        <is>
          <t>CST-01-042</t>
        </is>
      </c>
      <c r="E253" s="23" t="inlineStr">
        <is>
          <t>Guideway and Civil - concrete structures - allowance</t>
        </is>
      </c>
      <c r="F253" s="23" t="inlineStr">
        <is>
          <t>ONE_TO_ONE</t>
        </is>
      </c>
      <c r="G253" s="23" t="inlineStr">
        <is>
          <t>RETAINED</t>
        </is>
      </c>
      <c r="H253" s="23" t="inlineStr">
        <is>
          <t>Carried forward</t>
        </is>
      </c>
      <c r="I253" s="23" t="inlineStr">
        <is>
          <t>Source assignment -- not individually reviewed</t>
        </is>
      </c>
      <c r="J253" s="23" t="inlineStr"/>
      <c r="K253" s="23" t="inlineStr">
        <is>
          <t>Source assignment</t>
        </is>
      </c>
      <c r="L253" s="23" t="inlineStr"/>
      <c r="M253" s="23" t="inlineStr">
        <is>
          <t>Cost &amp; Forecast Control Accounts Cycle 2</t>
        </is>
      </c>
      <c r="N253" s="23" t="inlineStr">
        <is>
          <t>Rev 1</t>
        </is>
      </c>
      <c r="O253" s="23" t="inlineStr">
        <is>
          <t>R1124-v2</t>
        </is>
      </c>
      <c r="P253" s="23" t="inlineStr"/>
      <c r="Q253" s="23" t="inlineStr"/>
      <c r="R253" s="23" t="inlineStr"/>
      <c r="S253" s="23" t="inlineStr"/>
      <c r="T253" s="23" t="inlineStr"/>
      <c r="U253" s="23" t="inlineStr"/>
      <c r="V253" s="23" t="inlineStr">
        <is>
          <t>Cost Account = CA-1042; WBS Code = 1.1.2</t>
        </is>
      </c>
      <c r="W253" s="23" t="inlineStr"/>
    </row>
    <row r="254" ht="64" customHeight="1">
      <c r="A254" s="23" t="inlineStr">
        <is>
          <t>1.1.2</t>
        </is>
      </c>
      <c r="B254" s="23" t="inlineStr">
        <is>
          <t>Guideway and Civil - Utility &amp; Roadworks</t>
        </is>
      </c>
      <c r="C254" s="23" t="inlineStr">
        <is>
          <t>Cost &amp; Forecast Control Accounts</t>
        </is>
      </c>
      <c r="D254" s="23" t="inlineStr">
        <is>
          <t>CST-01-044</t>
        </is>
      </c>
      <c r="E254" s="23" t="inlineStr">
        <is>
          <t>Guideway and Civil - temporary works - field package</t>
        </is>
      </c>
      <c r="F254" s="23" t="inlineStr">
        <is>
          <t>ONE_TO_ONE</t>
        </is>
      </c>
      <c r="G254" s="23" t="inlineStr">
        <is>
          <t>RETAINED</t>
        </is>
      </c>
      <c r="H254" s="23" t="inlineStr">
        <is>
          <t>Carried forward</t>
        </is>
      </c>
      <c r="I254" s="23" t="inlineStr">
        <is>
          <t>Source assignment -- not individually reviewed</t>
        </is>
      </c>
      <c r="J254" s="23" t="inlineStr"/>
      <c r="K254" s="23" t="inlineStr">
        <is>
          <t>Source assignment</t>
        </is>
      </c>
      <c r="L254" s="23" t="inlineStr"/>
      <c r="M254" s="23" t="inlineStr">
        <is>
          <t>Cost &amp; Forecast Control Accounts Cycle 2</t>
        </is>
      </c>
      <c r="N254" s="23" t="inlineStr">
        <is>
          <t>Rev 1</t>
        </is>
      </c>
      <c r="O254" s="23" t="inlineStr">
        <is>
          <t>R1126-v2</t>
        </is>
      </c>
      <c r="P254" s="23" t="inlineStr"/>
      <c r="Q254" s="23" t="inlineStr"/>
      <c r="R254" s="23" t="inlineStr"/>
      <c r="S254" s="23" t="inlineStr"/>
      <c r="T254" s="23" t="inlineStr"/>
      <c r="U254" s="23" t="inlineStr"/>
      <c r="V254" s="23" t="inlineStr">
        <is>
          <t>Cost Account = CA-1044; WBS Code = 1.1.2</t>
        </is>
      </c>
      <c r="W254" s="23" t="inlineStr"/>
    </row>
    <row r="255" ht="64" customHeight="1">
      <c r="A255" s="23" t="inlineStr">
        <is>
          <t>1.1.2</t>
        </is>
      </c>
      <c r="B255" s="23" t="inlineStr">
        <is>
          <t>Guideway and Civil - Utility &amp; Roadworks</t>
        </is>
      </c>
      <c r="C255" s="23" t="inlineStr">
        <is>
          <t>Cost &amp; Forecast Control Accounts</t>
        </is>
      </c>
      <c r="D255" s="23" t="inlineStr">
        <is>
          <t>CST-01-046</t>
        </is>
      </c>
      <c r="E255" s="23" t="inlineStr">
        <is>
          <t>Guideway and Civil - roadworks - professional services</t>
        </is>
      </c>
      <c r="F255" s="23" t="inlineStr">
        <is>
          <t>ONE_TO_ONE</t>
        </is>
      </c>
      <c r="G255" s="23" t="inlineStr">
        <is>
          <t>RETAINED</t>
        </is>
      </c>
      <c r="H255" s="23" t="inlineStr">
        <is>
          <t>Carried forward</t>
        </is>
      </c>
      <c r="I255" s="23" t="inlineStr">
        <is>
          <t>Source assignment -- not individually reviewed</t>
        </is>
      </c>
      <c r="J255" s="23" t="inlineStr"/>
      <c r="K255" s="23" t="inlineStr">
        <is>
          <t>Source assignment</t>
        </is>
      </c>
      <c r="L255" s="23" t="inlineStr"/>
      <c r="M255" s="23" t="inlineStr">
        <is>
          <t>Cost &amp; Forecast Control Accounts Cycle 2</t>
        </is>
      </c>
      <c r="N255" s="23" t="inlineStr">
        <is>
          <t>Rev 1</t>
        </is>
      </c>
      <c r="O255" s="23" t="inlineStr">
        <is>
          <t>R1128-v2</t>
        </is>
      </c>
      <c r="P255" s="23" t="inlineStr"/>
      <c r="Q255" s="23" t="inlineStr"/>
      <c r="R255" s="23" t="inlineStr"/>
      <c r="S255" s="23" t="inlineStr"/>
      <c r="T255" s="23" t="inlineStr"/>
      <c r="U255" s="23" t="inlineStr"/>
      <c r="V255" s="23" t="inlineStr">
        <is>
          <t>Cost Account = CA-1046; WBS Code = 1.1.2</t>
        </is>
      </c>
      <c r="W255" s="23" t="inlineStr"/>
    </row>
    <row r="256" ht="64" customHeight="1">
      <c r="A256" s="23" t="inlineStr">
        <is>
          <t>1.1.2</t>
        </is>
      </c>
      <c r="B256" s="23" t="inlineStr">
        <is>
          <t>Guideway and Civil - Utility &amp; Roadworks</t>
        </is>
      </c>
      <c r="C256" s="23" t="inlineStr">
        <is>
          <t>Cost &amp; Forecast Control Accounts</t>
        </is>
      </c>
      <c r="D256" s="23" t="inlineStr">
        <is>
          <t>CST-01-048</t>
        </is>
      </c>
      <c r="E256" s="23" t="inlineStr">
        <is>
          <t>Guideway and Civil - concrete structures - closeout</t>
        </is>
      </c>
      <c r="F256" s="23" t="inlineStr">
        <is>
          <t>ONE_TO_ONE</t>
        </is>
      </c>
      <c r="G256" s="23" t="inlineStr">
        <is>
          <t>RETAINED</t>
        </is>
      </c>
      <c r="H256" s="23" t="inlineStr">
        <is>
          <t>Carried forward</t>
        </is>
      </c>
      <c r="I256" s="23" t="inlineStr">
        <is>
          <t>Source assignment -- not individually reviewed</t>
        </is>
      </c>
      <c r="J256" s="23" t="inlineStr"/>
      <c r="K256" s="23" t="inlineStr">
        <is>
          <t>Source assignment</t>
        </is>
      </c>
      <c r="L256" s="23" t="inlineStr"/>
      <c r="M256" s="23" t="inlineStr">
        <is>
          <t>Cost &amp; Forecast Control Accounts Cycle 2</t>
        </is>
      </c>
      <c r="N256" s="23" t="inlineStr">
        <is>
          <t>Rev 1</t>
        </is>
      </c>
      <c r="O256" s="23" t="inlineStr">
        <is>
          <t>R1130-v2</t>
        </is>
      </c>
      <c r="P256" s="23" t="inlineStr"/>
      <c r="Q256" s="23" t="inlineStr"/>
      <c r="R256" s="23" t="inlineStr"/>
      <c r="S256" s="23" t="inlineStr"/>
      <c r="T256" s="23" t="inlineStr"/>
      <c r="U256" s="23" t="inlineStr"/>
      <c r="V256" s="23" t="inlineStr">
        <is>
          <t>Cost Account = CA-1048; WBS Code = 1.1.2</t>
        </is>
      </c>
      <c r="W256" s="23" t="inlineStr"/>
    </row>
    <row r="257" ht="64" customHeight="1">
      <c r="A257" s="23" t="inlineStr">
        <is>
          <t>1.1.2</t>
        </is>
      </c>
      <c r="B257" s="23" t="inlineStr">
        <is>
          <t>Guideway and Civil - Utility &amp; Roadworks</t>
        </is>
      </c>
      <c r="C257" s="23" t="inlineStr">
        <is>
          <t>Cost &amp; Forecast Control Accounts</t>
        </is>
      </c>
      <c r="D257" s="23" t="inlineStr">
        <is>
          <t>CST-01-050</t>
        </is>
      </c>
      <c r="E257" s="23" t="inlineStr">
        <is>
          <t>Guideway and Civil - temporary works - supply and install</t>
        </is>
      </c>
      <c r="F257" s="23" t="inlineStr">
        <is>
          <t>ONE_TO_ONE</t>
        </is>
      </c>
      <c r="G257" s="23" t="inlineStr">
        <is>
          <t>RETAINED</t>
        </is>
      </c>
      <c r="H257" s="23" t="inlineStr">
        <is>
          <t>Carried forward</t>
        </is>
      </c>
      <c r="I257" s="23" t="inlineStr">
        <is>
          <t>Source assignment -- not individually reviewed</t>
        </is>
      </c>
      <c r="J257" s="23" t="inlineStr"/>
      <c r="K257" s="23" t="inlineStr">
        <is>
          <t>Source assignment</t>
        </is>
      </c>
      <c r="L257" s="23" t="inlineStr"/>
      <c r="M257" s="23" t="inlineStr">
        <is>
          <t>Cost &amp; Forecast Control Accounts Cycle 2</t>
        </is>
      </c>
      <c r="N257" s="23" t="inlineStr">
        <is>
          <t>Rev 1</t>
        </is>
      </c>
      <c r="O257" s="23" t="inlineStr">
        <is>
          <t>R1132-v2</t>
        </is>
      </c>
      <c r="P257" s="23" t="inlineStr"/>
      <c r="Q257" s="23" t="inlineStr"/>
      <c r="R257" s="23" t="inlineStr"/>
      <c r="S257" s="23" t="inlineStr"/>
      <c r="T257" s="23" t="inlineStr"/>
      <c r="U257" s="23" t="inlineStr"/>
      <c r="V257" s="23" t="inlineStr">
        <is>
          <t>Cost Account = CA-1050; WBS Code = 1.1.2</t>
        </is>
      </c>
      <c r="W257" s="23" t="inlineStr"/>
    </row>
    <row r="258" ht="64" customHeight="1">
      <c r="A258" s="23" t="inlineStr">
        <is>
          <t>1.1.2</t>
        </is>
      </c>
      <c r="B258" s="23" t="inlineStr">
        <is>
          <t>Guideway and Civil - Utility &amp; Roadworks</t>
        </is>
      </c>
      <c r="C258" s="23" t="inlineStr">
        <is>
          <t>Cost &amp; Forecast Control Accounts</t>
        </is>
      </c>
      <c r="D258" s="23" t="inlineStr">
        <is>
          <t>CST-01-052</t>
        </is>
      </c>
      <c r="E258" s="23" t="inlineStr">
        <is>
          <t>Guideway and Civil - roadworks - allowance</t>
        </is>
      </c>
      <c r="F258" s="23" t="inlineStr">
        <is>
          <t>ONE_TO_ONE</t>
        </is>
      </c>
      <c r="G258" s="23" t="inlineStr">
        <is>
          <t>RETAINED</t>
        </is>
      </c>
      <c r="H258" s="23" t="inlineStr">
        <is>
          <t>Carried forward</t>
        </is>
      </c>
      <c r="I258" s="23" t="inlineStr">
        <is>
          <t>Source assignment -- not individually reviewed</t>
        </is>
      </c>
      <c r="J258" s="23" t="inlineStr"/>
      <c r="K258" s="23" t="inlineStr">
        <is>
          <t>Source assignment</t>
        </is>
      </c>
      <c r="L258" s="23" t="inlineStr"/>
      <c r="M258" s="23" t="inlineStr">
        <is>
          <t>Cost &amp; Forecast Control Accounts Cycle 2</t>
        </is>
      </c>
      <c r="N258" s="23" t="inlineStr">
        <is>
          <t>Rev 1</t>
        </is>
      </c>
      <c r="O258" s="23" t="inlineStr">
        <is>
          <t>R1134-v2</t>
        </is>
      </c>
      <c r="P258" s="23" t="inlineStr"/>
      <c r="Q258" s="23" t="inlineStr"/>
      <c r="R258" s="23" t="inlineStr"/>
      <c r="S258" s="23" t="inlineStr"/>
      <c r="T258" s="23" t="inlineStr"/>
      <c r="U258" s="23" t="inlineStr"/>
      <c r="V258" s="23" t="inlineStr">
        <is>
          <t>Cost Account = CA-1052; WBS Code = 1.1.2</t>
        </is>
      </c>
      <c r="W258" s="23" t="inlineStr"/>
    </row>
    <row r="259" ht="64" customHeight="1">
      <c r="A259" s="23" t="inlineStr">
        <is>
          <t>1.1.2</t>
        </is>
      </c>
      <c r="B259" s="23" t="inlineStr">
        <is>
          <t>Guideway and Civil - Utility &amp; Roadworks</t>
        </is>
      </c>
      <c r="C259" s="23" t="inlineStr">
        <is>
          <t>Cost &amp; Forecast Control Accounts</t>
        </is>
      </c>
      <c r="D259" s="23" t="inlineStr">
        <is>
          <t>CST-01-054</t>
        </is>
      </c>
      <c r="E259" s="23" t="inlineStr">
        <is>
          <t>Guideway and Civil - concrete structures - field package</t>
        </is>
      </c>
      <c r="F259" s="23" t="inlineStr">
        <is>
          <t>ONE_TO_ONE</t>
        </is>
      </c>
      <c r="G259" s="23" t="inlineStr">
        <is>
          <t>RETAINED</t>
        </is>
      </c>
      <c r="H259" s="23" t="inlineStr">
        <is>
          <t>Carried forward</t>
        </is>
      </c>
      <c r="I259" s="23" t="inlineStr">
        <is>
          <t>Source assignment -- not individually reviewed</t>
        </is>
      </c>
      <c r="J259" s="23" t="inlineStr"/>
      <c r="K259" s="23" t="inlineStr">
        <is>
          <t>Source assignment</t>
        </is>
      </c>
      <c r="L259" s="23" t="inlineStr"/>
      <c r="M259" s="23" t="inlineStr">
        <is>
          <t>Cost &amp; Forecast Control Accounts Cycle 2</t>
        </is>
      </c>
      <c r="N259" s="23" t="inlineStr">
        <is>
          <t>Rev 1</t>
        </is>
      </c>
      <c r="O259" s="23" t="inlineStr">
        <is>
          <t>R1136-v2</t>
        </is>
      </c>
      <c r="P259" s="23" t="inlineStr"/>
      <c r="Q259" s="23" t="inlineStr"/>
      <c r="R259" s="23" t="inlineStr"/>
      <c r="S259" s="23" t="inlineStr"/>
      <c r="T259" s="23" t="inlineStr"/>
      <c r="U259" s="23" t="inlineStr"/>
      <c r="V259" s="23" t="inlineStr">
        <is>
          <t>Cost Account = CA-1054; WBS Code = 1.1.2</t>
        </is>
      </c>
      <c r="W259" s="23" t="inlineStr"/>
    </row>
    <row r="260" ht="64" customHeight="1">
      <c r="A260" s="23" t="inlineStr">
        <is>
          <t>1.1.2</t>
        </is>
      </c>
      <c r="B260" s="23" t="inlineStr">
        <is>
          <t>Guideway and Civil - Utility &amp; Roadworks</t>
        </is>
      </c>
      <c r="C260" s="23" t="inlineStr">
        <is>
          <t>Cost &amp; Forecast Control Accounts</t>
        </is>
      </c>
      <c r="D260" s="23" t="inlineStr">
        <is>
          <t>CST-01-056</t>
        </is>
      </c>
      <c r="E260" s="23" t="inlineStr">
        <is>
          <t>Guideway and Civil - temporary works - professional services</t>
        </is>
      </c>
      <c r="F260" s="23" t="inlineStr">
        <is>
          <t>ONE_TO_ONE</t>
        </is>
      </c>
      <c r="G260" s="23" t="inlineStr">
        <is>
          <t>RETAINED</t>
        </is>
      </c>
      <c r="H260" s="23" t="inlineStr">
        <is>
          <t>Carried forward</t>
        </is>
      </c>
      <c r="I260" s="23" t="inlineStr">
        <is>
          <t>Source assignment -- not individually reviewed</t>
        </is>
      </c>
      <c r="J260" s="23" t="inlineStr"/>
      <c r="K260" s="23" t="inlineStr">
        <is>
          <t>Source assignment</t>
        </is>
      </c>
      <c r="L260" s="23" t="inlineStr"/>
      <c r="M260" s="23" t="inlineStr">
        <is>
          <t>Cost &amp; Forecast Control Accounts Cycle 2</t>
        </is>
      </c>
      <c r="N260" s="23" t="inlineStr">
        <is>
          <t>Rev 1</t>
        </is>
      </c>
      <c r="O260" s="23" t="inlineStr">
        <is>
          <t>R1138-v2</t>
        </is>
      </c>
      <c r="P260" s="23" t="inlineStr"/>
      <c r="Q260" s="23" t="inlineStr"/>
      <c r="R260" s="23" t="inlineStr"/>
      <c r="S260" s="23" t="inlineStr"/>
      <c r="T260" s="23" t="inlineStr"/>
      <c r="U260" s="23" t="inlineStr"/>
      <c r="V260" s="23" t="inlineStr">
        <is>
          <t>Cost Account = CA-1056; WBS Code = 1.1.2</t>
        </is>
      </c>
      <c r="W260" s="23" t="inlineStr"/>
    </row>
    <row r="261" ht="64" customHeight="1">
      <c r="A261" s="23" t="inlineStr">
        <is>
          <t>1.1.2</t>
        </is>
      </c>
      <c r="B261" s="23" t="inlineStr">
        <is>
          <t>Guideway and Civil - Utility &amp; Roadworks</t>
        </is>
      </c>
      <c r="C261" s="23" t="inlineStr">
        <is>
          <t>Cost &amp; Forecast Control Accounts</t>
        </is>
      </c>
      <c r="D261" s="23" t="inlineStr">
        <is>
          <t>CST-01-058</t>
        </is>
      </c>
      <c r="E261" s="23" t="inlineStr">
        <is>
          <t>Guideway and Civil - roadworks - closeout</t>
        </is>
      </c>
      <c r="F261" s="23" t="inlineStr">
        <is>
          <t>ONE_TO_ONE</t>
        </is>
      </c>
      <c r="G261" s="23" t="inlineStr">
        <is>
          <t>RETAINED</t>
        </is>
      </c>
      <c r="H261" s="23" t="inlineStr">
        <is>
          <t>Carried forward</t>
        </is>
      </c>
      <c r="I261" s="23" t="inlineStr">
        <is>
          <t>Source assignment -- not individually reviewed</t>
        </is>
      </c>
      <c r="J261" s="23" t="inlineStr"/>
      <c r="K261" s="23" t="inlineStr">
        <is>
          <t>Source assignment</t>
        </is>
      </c>
      <c r="L261" s="23" t="inlineStr"/>
      <c r="M261" s="23" t="inlineStr">
        <is>
          <t>Cost &amp; Forecast Control Accounts Cycle 2</t>
        </is>
      </c>
      <c r="N261" s="23" t="inlineStr">
        <is>
          <t>Rev 1</t>
        </is>
      </c>
      <c r="O261" s="23" t="inlineStr">
        <is>
          <t>R1140-v2</t>
        </is>
      </c>
      <c r="P261" s="23" t="inlineStr"/>
      <c r="Q261" s="23" t="inlineStr"/>
      <c r="R261" s="23" t="inlineStr"/>
      <c r="S261" s="23" t="inlineStr"/>
      <c r="T261" s="23" t="inlineStr"/>
      <c r="U261" s="23" t="inlineStr"/>
      <c r="V261" s="23" t="inlineStr">
        <is>
          <t>Cost Account = CA-1058; WBS Code = 1.1.2</t>
        </is>
      </c>
      <c r="W261" s="23" t="inlineStr"/>
    </row>
    <row r="262" ht="64" customHeight="1">
      <c r="A262" s="23" t="inlineStr">
        <is>
          <t>1.1.2</t>
        </is>
      </c>
      <c r="B262" s="23" t="inlineStr">
        <is>
          <t>Guideway and Civil - Utility &amp; Roadworks</t>
        </is>
      </c>
      <c r="C262" s="23" t="inlineStr">
        <is>
          <t>Cost &amp; Forecast Control Accounts</t>
        </is>
      </c>
      <c r="D262" s="23" t="inlineStr">
        <is>
          <t>CST-01-060</t>
        </is>
      </c>
      <c r="E262" s="23" t="inlineStr">
        <is>
          <t>Guideway and Civil - concrete structures - supply and install</t>
        </is>
      </c>
      <c r="F262" s="23" t="inlineStr">
        <is>
          <t>ONE_TO_ONE</t>
        </is>
      </c>
      <c r="G262" s="23" t="inlineStr">
        <is>
          <t>RETAINED</t>
        </is>
      </c>
      <c r="H262" s="23" t="inlineStr">
        <is>
          <t>Carried forward</t>
        </is>
      </c>
      <c r="I262" s="23" t="inlineStr">
        <is>
          <t>Source assignment -- not individually reviewed</t>
        </is>
      </c>
      <c r="J262" s="23" t="inlineStr"/>
      <c r="K262" s="23" t="inlineStr">
        <is>
          <t>Source assignment</t>
        </is>
      </c>
      <c r="L262" s="23" t="inlineStr"/>
      <c r="M262" s="23" t="inlineStr">
        <is>
          <t>Cost &amp; Forecast Control Accounts Cycle 2</t>
        </is>
      </c>
      <c r="N262" s="23" t="inlineStr">
        <is>
          <t>Rev 1</t>
        </is>
      </c>
      <c r="O262" s="23" t="inlineStr">
        <is>
          <t>R1142-v2</t>
        </is>
      </c>
      <c r="P262" s="23" t="inlineStr"/>
      <c r="Q262" s="23" t="inlineStr"/>
      <c r="R262" s="23" t="inlineStr"/>
      <c r="S262" s="23" t="inlineStr"/>
      <c r="T262" s="23" t="inlineStr"/>
      <c r="U262" s="23" t="inlineStr"/>
      <c r="V262" s="23" t="inlineStr">
        <is>
          <t>Cost Account = CA-1060; WBS Code = 1.1.2</t>
        </is>
      </c>
      <c r="W262" s="23" t="inlineStr"/>
    </row>
    <row r="263" ht="64" customHeight="1">
      <c r="A263" s="23" t="inlineStr">
        <is>
          <t>1.1.2</t>
        </is>
      </c>
      <c r="B263" s="23" t="inlineStr">
        <is>
          <t>Guideway and Civil - Utility &amp; Roadworks</t>
        </is>
      </c>
      <c r="C263" s="23" t="inlineStr">
        <is>
          <t>Cost &amp; Forecast Control Accounts</t>
        </is>
      </c>
      <c r="D263" s="23" t="inlineStr">
        <is>
          <t>CST-01-062</t>
        </is>
      </c>
      <c r="E263" s="23" t="inlineStr">
        <is>
          <t>Guideway and Civil - temporary works - allowance</t>
        </is>
      </c>
      <c r="F263" s="23" t="inlineStr">
        <is>
          <t>ONE_TO_ONE</t>
        </is>
      </c>
      <c r="G263" s="23" t="inlineStr">
        <is>
          <t>RETAINED</t>
        </is>
      </c>
      <c r="H263" s="23" t="inlineStr">
        <is>
          <t>Carried forward</t>
        </is>
      </c>
      <c r="I263" s="23" t="inlineStr">
        <is>
          <t>Source assignment -- not individually reviewed</t>
        </is>
      </c>
      <c r="J263" s="23" t="inlineStr"/>
      <c r="K263" s="23" t="inlineStr">
        <is>
          <t>Source assignment</t>
        </is>
      </c>
      <c r="L263" s="23" t="inlineStr"/>
      <c r="M263" s="23" t="inlineStr">
        <is>
          <t>Cost &amp; Forecast Control Accounts Cycle 2</t>
        </is>
      </c>
      <c r="N263" s="23" t="inlineStr">
        <is>
          <t>Rev 1</t>
        </is>
      </c>
      <c r="O263" s="23" t="inlineStr">
        <is>
          <t>R1144-v2</t>
        </is>
      </c>
      <c r="P263" s="23" t="inlineStr"/>
      <c r="Q263" s="23" t="inlineStr"/>
      <c r="R263" s="23" t="inlineStr"/>
      <c r="S263" s="23" t="inlineStr"/>
      <c r="T263" s="23" t="inlineStr"/>
      <c r="U263" s="23" t="inlineStr"/>
      <c r="V263" s="23" t="inlineStr">
        <is>
          <t>Cost Account = CA-1062; WBS Code = 1.1.2</t>
        </is>
      </c>
      <c r="W263" s="23" t="inlineStr"/>
    </row>
    <row r="264" ht="64" customHeight="1">
      <c r="A264" s="23" t="inlineStr">
        <is>
          <t>1.1.2</t>
        </is>
      </c>
      <c r="B264" s="23" t="inlineStr">
        <is>
          <t>Guideway and Civil - Utility &amp; Roadworks</t>
        </is>
      </c>
      <c r="C264" s="23" t="inlineStr">
        <is>
          <t>Cost &amp; Forecast Control Accounts</t>
        </is>
      </c>
      <c r="D264" s="23" t="inlineStr">
        <is>
          <t>CST-01-064</t>
        </is>
      </c>
      <c r="E264" s="23" t="inlineStr">
        <is>
          <t>Guideway and Civil - roadworks - field package</t>
        </is>
      </c>
      <c r="F264" s="23" t="inlineStr">
        <is>
          <t>ONE_TO_ONE</t>
        </is>
      </c>
      <c r="G264" s="23" t="inlineStr">
        <is>
          <t>RETAINED</t>
        </is>
      </c>
      <c r="H264" s="23" t="inlineStr">
        <is>
          <t>Carried forward</t>
        </is>
      </c>
      <c r="I264" s="23" t="inlineStr">
        <is>
          <t>Source assignment -- not individually reviewed</t>
        </is>
      </c>
      <c r="J264" s="23" t="inlineStr"/>
      <c r="K264" s="23" t="inlineStr">
        <is>
          <t>Source assignment</t>
        </is>
      </c>
      <c r="L264" s="23" t="inlineStr"/>
      <c r="M264" s="23" t="inlineStr">
        <is>
          <t>Cost &amp; Forecast Control Accounts Cycle 2</t>
        </is>
      </c>
      <c r="N264" s="23" t="inlineStr">
        <is>
          <t>Rev 1</t>
        </is>
      </c>
      <c r="O264" s="23" t="inlineStr">
        <is>
          <t>R1146-v2</t>
        </is>
      </c>
      <c r="P264" s="23" t="inlineStr"/>
      <c r="Q264" s="23" t="inlineStr"/>
      <c r="R264" s="23" t="inlineStr"/>
      <c r="S264" s="23" t="inlineStr"/>
      <c r="T264" s="23" t="inlineStr"/>
      <c r="U264" s="23" t="inlineStr"/>
      <c r="V264" s="23" t="inlineStr">
        <is>
          <t>Cost Account = CA-1064; WBS Code = 1.1.2</t>
        </is>
      </c>
      <c r="W264" s="23" t="inlineStr"/>
    </row>
    <row r="265" ht="64" customHeight="1">
      <c r="A265" s="23" t="inlineStr">
        <is>
          <t>1.1.2</t>
        </is>
      </c>
      <c r="B265" s="23" t="inlineStr">
        <is>
          <t>Guideway and Civil - Utility &amp; Roadworks</t>
        </is>
      </c>
      <c r="C265" s="23" t="inlineStr">
        <is>
          <t>Cost &amp; Forecast Control Accounts</t>
        </is>
      </c>
      <c r="D265" s="23" t="inlineStr">
        <is>
          <t>CST-01-066</t>
        </is>
      </c>
      <c r="E265" s="23" t="inlineStr">
        <is>
          <t>Guideway and Civil - concrete structures - professional services</t>
        </is>
      </c>
      <c r="F265" s="23" t="inlineStr">
        <is>
          <t>ONE_TO_ONE</t>
        </is>
      </c>
      <c r="G265" s="23" t="inlineStr">
        <is>
          <t>RETAINED</t>
        </is>
      </c>
      <c r="H265" s="23" t="inlineStr">
        <is>
          <t>Carried forward</t>
        </is>
      </c>
      <c r="I265" s="23" t="inlineStr">
        <is>
          <t>Source assignment -- not individually reviewed</t>
        </is>
      </c>
      <c r="J265" s="23" t="inlineStr"/>
      <c r="K265" s="23" t="inlineStr">
        <is>
          <t>Source assignment</t>
        </is>
      </c>
      <c r="L265" s="23" t="inlineStr"/>
      <c r="M265" s="23" t="inlineStr">
        <is>
          <t>Cost &amp; Forecast Control Accounts Cycle 2</t>
        </is>
      </c>
      <c r="N265" s="23" t="inlineStr">
        <is>
          <t>Rev 1</t>
        </is>
      </c>
      <c r="O265" s="23" t="inlineStr">
        <is>
          <t>R1148-v2</t>
        </is>
      </c>
      <c r="P265" s="23" t="inlineStr"/>
      <c r="Q265" s="23" t="inlineStr"/>
      <c r="R265" s="23" t="inlineStr"/>
      <c r="S265" s="23" t="inlineStr"/>
      <c r="T265" s="23" t="inlineStr"/>
      <c r="U265" s="23" t="inlineStr"/>
      <c r="V265" s="23" t="inlineStr">
        <is>
          <t>Cost Account = CA-1066; WBS Code = 1.1.2</t>
        </is>
      </c>
      <c r="W265" s="23" t="inlineStr"/>
    </row>
    <row r="266" ht="64" customHeight="1">
      <c r="A266" s="23" t="inlineStr">
        <is>
          <t>1.1.2</t>
        </is>
      </c>
      <c r="B266" s="23" t="inlineStr">
        <is>
          <t>Guideway and Civil - Utility &amp; Roadworks</t>
        </is>
      </c>
      <c r="C266" s="23" t="inlineStr">
        <is>
          <t>Cost &amp; Forecast Control Accounts</t>
        </is>
      </c>
      <c r="D266" s="23" t="inlineStr">
        <is>
          <t>CST-01-068</t>
        </is>
      </c>
      <c r="E266" s="23" t="inlineStr">
        <is>
          <t>Guideway and Civil - temporary works - closeout</t>
        </is>
      </c>
      <c r="F266" s="23" t="inlineStr">
        <is>
          <t>ONE_TO_ONE</t>
        </is>
      </c>
      <c r="G266" s="23" t="inlineStr">
        <is>
          <t>RETAINED</t>
        </is>
      </c>
      <c r="H266" s="23" t="inlineStr">
        <is>
          <t>Carried forward</t>
        </is>
      </c>
      <c r="I266" s="23" t="inlineStr">
        <is>
          <t>Source assignment -- not individually reviewed</t>
        </is>
      </c>
      <c r="J266" s="23" t="inlineStr"/>
      <c r="K266" s="23" t="inlineStr">
        <is>
          <t>Source assignment</t>
        </is>
      </c>
      <c r="L266" s="23" t="inlineStr"/>
      <c r="M266" s="23" t="inlineStr">
        <is>
          <t>Cost &amp; Forecast Control Accounts Cycle 2</t>
        </is>
      </c>
      <c r="N266" s="23" t="inlineStr">
        <is>
          <t>Rev 1</t>
        </is>
      </c>
      <c r="O266" s="23" t="inlineStr">
        <is>
          <t>R1150-v2</t>
        </is>
      </c>
      <c r="P266" s="23" t="inlineStr"/>
      <c r="Q266" s="23" t="inlineStr"/>
      <c r="R266" s="23" t="inlineStr"/>
      <c r="S266" s="23" t="inlineStr"/>
      <c r="T266" s="23" t="inlineStr"/>
      <c r="U266" s="23" t="inlineStr"/>
      <c r="V266" s="23" t="inlineStr">
        <is>
          <t>Cost Account = CA-1068; WBS Code = 1.1.2</t>
        </is>
      </c>
      <c r="W266" s="23" t="inlineStr"/>
    </row>
    <row r="267" ht="64" customHeight="1">
      <c r="A267" s="23" t="inlineStr">
        <is>
          <t>1.1.2</t>
        </is>
      </c>
      <c r="B267" s="23" t="inlineStr">
        <is>
          <t>Guideway and Civil - Utility &amp; Roadworks</t>
        </is>
      </c>
      <c r="C267" s="23" t="inlineStr">
        <is>
          <t>Cost &amp; Forecast Control Accounts</t>
        </is>
      </c>
      <c r="D267" s="23" t="inlineStr">
        <is>
          <t>CST-01-070</t>
        </is>
      </c>
      <c r="E267" s="23" t="inlineStr">
        <is>
          <t>Guideway and Civil - roadworks - supply and install</t>
        </is>
      </c>
      <c r="F267" s="23" t="inlineStr">
        <is>
          <t>ONE_TO_ONE</t>
        </is>
      </c>
      <c r="G267" s="23" t="inlineStr">
        <is>
          <t>RETAINED</t>
        </is>
      </c>
      <c r="H267" s="23" t="inlineStr">
        <is>
          <t>Carried forward</t>
        </is>
      </c>
      <c r="I267" s="23" t="inlineStr">
        <is>
          <t>Source assignment -- not individually reviewed</t>
        </is>
      </c>
      <c r="J267" s="23" t="inlineStr"/>
      <c r="K267" s="23" t="inlineStr">
        <is>
          <t>Source assignment</t>
        </is>
      </c>
      <c r="L267" s="23" t="inlineStr"/>
      <c r="M267" s="23" t="inlineStr">
        <is>
          <t>Cost &amp; Forecast Control Accounts Cycle 2</t>
        </is>
      </c>
      <c r="N267" s="23" t="inlineStr">
        <is>
          <t>Rev 1</t>
        </is>
      </c>
      <c r="O267" s="23" t="inlineStr">
        <is>
          <t>R1152-v2</t>
        </is>
      </c>
      <c r="P267" s="23" t="inlineStr"/>
      <c r="Q267" s="23" t="inlineStr"/>
      <c r="R267" s="23" t="inlineStr"/>
      <c r="S267" s="23" t="inlineStr"/>
      <c r="T267" s="23" t="inlineStr"/>
      <c r="U267" s="23" t="inlineStr"/>
      <c r="V267" s="23" t="inlineStr">
        <is>
          <t>Cost Account = CA-1070; WBS Code = 1.1.2</t>
        </is>
      </c>
      <c r="W267" s="23" t="inlineStr"/>
    </row>
    <row r="268" ht="64" customHeight="1">
      <c r="A268" s="23" t="inlineStr">
        <is>
          <t>1.1.2</t>
        </is>
      </c>
      <c r="B268" s="23" t="inlineStr">
        <is>
          <t>Guideway and Civil - Utility &amp; Roadworks</t>
        </is>
      </c>
      <c r="C268" s="23" t="inlineStr">
        <is>
          <t>Cost &amp; Forecast Control Accounts</t>
        </is>
      </c>
      <c r="D268" s="23" t="inlineStr">
        <is>
          <t>CST-01-072</t>
        </is>
      </c>
      <c r="E268" s="23" t="inlineStr">
        <is>
          <t>Guideway and Civil - concrete structures - allowance</t>
        </is>
      </c>
      <c r="F268" s="23" t="inlineStr">
        <is>
          <t>ONE_TO_ONE</t>
        </is>
      </c>
      <c r="G268" s="23" t="inlineStr">
        <is>
          <t>RETAINED</t>
        </is>
      </c>
      <c r="H268" s="23" t="inlineStr">
        <is>
          <t>Carried forward</t>
        </is>
      </c>
      <c r="I268" s="23" t="inlineStr">
        <is>
          <t>Source assignment -- not individually reviewed</t>
        </is>
      </c>
      <c r="J268" s="23" t="inlineStr"/>
      <c r="K268" s="23" t="inlineStr">
        <is>
          <t>Source assignment</t>
        </is>
      </c>
      <c r="L268" s="23" t="inlineStr"/>
      <c r="M268" s="23" t="inlineStr">
        <is>
          <t>Cost &amp; Forecast Control Accounts Cycle 2</t>
        </is>
      </c>
      <c r="N268" s="23" t="inlineStr">
        <is>
          <t>Rev 1</t>
        </is>
      </c>
      <c r="O268" s="23" t="inlineStr">
        <is>
          <t>R1154-v2</t>
        </is>
      </c>
      <c r="P268" s="23" t="inlineStr"/>
      <c r="Q268" s="23" t="inlineStr"/>
      <c r="R268" s="23" t="inlineStr"/>
      <c r="S268" s="23" t="inlineStr"/>
      <c r="T268" s="23" t="inlineStr"/>
      <c r="U268" s="23" t="inlineStr"/>
      <c r="V268" s="23" t="inlineStr">
        <is>
          <t>Cost Account = CA-1072; WBS Code = 1.1.2</t>
        </is>
      </c>
      <c r="W268" s="23" t="inlineStr"/>
    </row>
    <row r="269" ht="64" customHeight="1">
      <c r="A269" s="23" t="inlineStr">
        <is>
          <t>1.1.2</t>
        </is>
      </c>
      <c r="B269" s="23" t="inlineStr">
        <is>
          <t>Guideway and Civil - Utility &amp; Roadworks</t>
        </is>
      </c>
      <c r="C269" s="23" t="inlineStr">
        <is>
          <t>Cost &amp; Forecast Control Accounts</t>
        </is>
      </c>
      <c r="D269" s="23" t="inlineStr">
        <is>
          <t>CST-01-074</t>
        </is>
      </c>
      <c r="E269" s="23" t="inlineStr">
        <is>
          <t>Guideway and Civil - temporary works - field package</t>
        </is>
      </c>
      <c r="F269" s="23" t="inlineStr">
        <is>
          <t>ONE_TO_ONE</t>
        </is>
      </c>
      <c r="G269" s="23" t="inlineStr">
        <is>
          <t>RETAINED</t>
        </is>
      </c>
      <c r="H269" s="23" t="inlineStr">
        <is>
          <t>Carried forward</t>
        </is>
      </c>
      <c r="I269" s="23" t="inlineStr">
        <is>
          <t>Source assignment -- not individually reviewed</t>
        </is>
      </c>
      <c r="J269" s="23" t="inlineStr"/>
      <c r="K269" s="23" t="inlineStr">
        <is>
          <t>Source assignment</t>
        </is>
      </c>
      <c r="L269" s="23" t="inlineStr"/>
      <c r="M269" s="23" t="inlineStr">
        <is>
          <t>Cost &amp; Forecast Control Accounts Cycle 2</t>
        </is>
      </c>
      <c r="N269" s="23" t="inlineStr">
        <is>
          <t>Rev 1</t>
        </is>
      </c>
      <c r="O269" s="23" t="inlineStr">
        <is>
          <t>R1156-v2</t>
        </is>
      </c>
      <c r="P269" s="23" t="inlineStr"/>
      <c r="Q269" s="23" t="inlineStr"/>
      <c r="R269" s="23" t="inlineStr"/>
      <c r="S269" s="23" t="inlineStr"/>
      <c r="T269" s="23" t="inlineStr"/>
      <c r="U269" s="23" t="inlineStr"/>
      <c r="V269" s="23" t="inlineStr">
        <is>
          <t>Cost Account = CA-1074; WBS Code = 1.1.2</t>
        </is>
      </c>
      <c r="W269" s="23" t="inlineStr"/>
    </row>
    <row r="270" ht="64" customHeight="1">
      <c r="A270" s="23" t="inlineStr">
        <is>
          <t>1.1.2</t>
        </is>
      </c>
      <c r="B270" s="23" t="inlineStr">
        <is>
          <t>Guideway and Civil - Utility &amp; Roadworks</t>
        </is>
      </c>
      <c r="C270" s="23" t="inlineStr">
        <is>
          <t>Cost &amp; Forecast Control Accounts</t>
        </is>
      </c>
      <c r="D270" s="23" t="inlineStr">
        <is>
          <t>CST-01-076</t>
        </is>
      </c>
      <c r="E270" s="23" t="inlineStr">
        <is>
          <t>Guideway and Civil - roadworks - professional services</t>
        </is>
      </c>
      <c r="F270" s="23" t="inlineStr">
        <is>
          <t>ONE_TO_ONE</t>
        </is>
      </c>
      <c r="G270" s="23" t="inlineStr">
        <is>
          <t>RETAINED</t>
        </is>
      </c>
      <c r="H270" s="23" t="inlineStr">
        <is>
          <t>Carried forward</t>
        </is>
      </c>
      <c r="I270" s="23" t="inlineStr">
        <is>
          <t>Source assignment -- not individually reviewed</t>
        </is>
      </c>
      <c r="J270" s="23" t="inlineStr"/>
      <c r="K270" s="23" t="inlineStr">
        <is>
          <t>Source assignment</t>
        </is>
      </c>
      <c r="L270" s="23" t="inlineStr"/>
      <c r="M270" s="23" t="inlineStr">
        <is>
          <t>Cost &amp; Forecast Control Accounts Cycle 2</t>
        </is>
      </c>
      <c r="N270" s="23" t="inlineStr">
        <is>
          <t>Rev 1</t>
        </is>
      </c>
      <c r="O270" s="23" t="inlineStr">
        <is>
          <t>R1158-v2</t>
        </is>
      </c>
      <c r="P270" s="23" t="inlineStr"/>
      <c r="Q270" s="23" t="inlineStr"/>
      <c r="R270" s="23" t="inlineStr"/>
      <c r="S270" s="23" t="inlineStr"/>
      <c r="T270" s="23" t="inlineStr"/>
      <c r="U270" s="23" t="inlineStr"/>
      <c r="V270" s="23" t="inlineStr">
        <is>
          <t>Cost Account = CA-1076; WBS Code = 1.1.2</t>
        </is>
      </c>
      <c r="W270" s="23" t="inlineStr"/>
    </row>
    <row r="271" ht="64" customHeight="1">
      <c r="A271" s="23" t="inlineStr">
        <is>
          <t>1.1.2</t>
        </is>
      </c>
      <c r="B271" s="23" t="inlineStr">
        <is>
          <t>Guideway and Civil - Utility &amp; Roadworks</t>
        </is>
      </c>
      <c r="C271" s="23" t="inlineStr">
        <is>
          <t>Cost &amp; Forecast Control Accounts</t>
        </is>
      </c>
      <c r="D271" s="23" t="inlineStr">
        <is>
          <t>CST-01-078</t>
        </is>
      </c>
      <c r="E271" s="23" t="inlineStr">
        <is>
          <t>Guideway and Civil - concrete structures - closeout</t>
        </is>
      </c>
      <c r="F271" s="23" t="inlineStr">
        <is>
          <t>ONE_TO_ONE</t>
        </is>
      </c>
      <c r="G271" s="23" t="inlineStr">
        <is>
          <t>RETAINED</t>
        </is>
      </c>
      <c r="H271" s="23" t="inlineStr">
        <is>
          <t>Carried forward</t>
        </is>
      </c>
      <c r="I271" s="23" t="inlineStr">
        <is>
          <t>Source assignment -- not individually reviewed</t>
        </is>
      </c>
      <c r="J271" s="23" t="inlineStr"/>
      <c r="K271" s="23" t="inlineStr">
        <is>
          <t>Source assignment</t>
        </is>
      </c>
      <c r="L271" s="23" t="inlineStr"/>
      <c r="M271" s="23" t="inlineStr">
        <is>
          <t>Cost &amp; Forecast Control Accounts Cycle 2</t>
        </is>
      </c>
      <c r="N271" s="23" t="inlineStr">
        <is>
          <t>Rev 1</t>
        </is>
      </c>
      <c r="O271" s="23" t="inlineStr">
        <is>
          <t>R1160-v2</t>
        </is>
      </c>
      <c r="P271" s="23" t="inlineStr"/>
      <c r="Q271" s="23" t="inlineStr"/>
      <c r="R271" s="23" t="inlineStr"/>
      <c r="S271" s="23" t="inlineStr"/>
      <c r="T271" s="23" t="inlineStr"/>
      <c r="U271" s="23" t="inlineStr"/>
      <c r="V271" s="23" t="inlineStr">
        <is>
          <t>Cost Account = CA-1078; WBS Code = 1.1.2</t>
        </is>
      </c>
      <c r="W271" s="23" t="inlineStr"/>
    </row>
    <row r="272" ht="64" customHeight="1">
      <c r="A272" s="23" t="inlineStr">
        <is>
          <t>1.1.2</t>
        </is>
      </c>
      <c r="B272" s="23" t="inlineStr">
        <is>
          <t>Guideway and Civil - Utility &amp; Roadworks</t>
        </is>
      </c>
      <c r="C272" s="23" t="inlineStr">
        <is>
          <t>Cost &amp; Forecast Control Accounts</t>
        </is>
      </c>
      <c r="D272" s="23" t="inlineStr">
        <is>
          <t>CST-01-080</t>
        </is>
      </c>
      <c r="E272" s="23" t="inlineStr">
        <is>
          <t>Guideway and Civil - temporary works - supply and install</t>
        </is>
      </c>
      <c r="F272" s="23" t="inlineStr">
        <is>
          <t>ONE_TO_ONE</t>
        </is>
      </c>
      <c r="G272" s="23" t="inlineStr">
        <is>
          <t>RETAINED</t>
        </is>
      </c>
      <c r="H272" s="23" t="inlineStr">
        <is>
          <t>Carried forward</t>
        </is>
      </c>
      <c r="I272" s="23" t="inlineStr">
        <is>
          <t>Source assignment -- not individually reviewed</t>
        </is>
      </c>
      <c r="J272" s="23" t="inlineStr"/>
      <c r="K272" s="23" t="inlineStr">
        <is>
          <t>Source assignment</t>
        </is>
      </c>
      <c r="L272" s="23" t="inlineStr"/>
      <c r="M272" s="23" t="inlineStr">
        <is>
          <t>Cost &amp; Forecast Control Accounts Cycle 2</t>
        </is>
      </c>
      <c r="N272" s="23" t="inlineStr">
        <is>
          <t>Rev 1</t>
        </is>
      </c>
      <c r="O272" s="23" t="inlineStr">
        <is>
          <t>R1162-v2</t>
        </is>
      </c>
      <c r="P272" s="23" t="inlineStr"/>
      <c r="Q272" s="23" t="inlineStr"/>
      <c r="R272" s="23" t="inlineStr"/>
      <c r="S272" s="23" t="inlineStr"/>
      <c r="T272" s="23" t="inlineStr"/>
      <c r="U272" s="23" t="inlineStr"/>
      <c r="V272" s="23" t="inlineStr">
        <is>
          <t>Cost Account = CA-1080; WBS Code = 1.1.2</t>
        </is>
      </c>
      <c r="W272" s="23" t="inlineStr"/>
    </row>
    <row r="273" ht="79" customHeight="1">
      <c r="A273" s="23" t="inlineStr">
        <is>
          <t>1.2</t>
        </is>
      </c>
      <c r="B273" s="23" t="inlineStr">
        <is>
          <t>Stations</t>
        </is>
      </c>
      <c r="C273" s="23" t="inlineStr">
        <is>
          <t>Commercial Package Register</t>
        </is>
      </c>
      <c r="D273" s="23" t="inlineStr">
        <is>
          <t>PKG-001</t>
        </is>
      </c>
      <c r="E273" s="23" t="inlineStr">
        <is>
          <t>Guideway Civil Works</t>
        </is>
      </c>
      <c r="F273" s="23" t="inlineStr">
        <is>
          <t>ONE_TO_MANY</t>
        </is>
      </c>
      <c r="G273" s="23" t="inlineStr">
        <is>
          <t>RETAINED</t>
        </is>
      </c>
      <c r="H273" s="23" t="inlineStr">
        <is>
          <t>Carried forward</t>
        </is>
      </c>
      <c r="I273" s="23" t="inlineStr">
        <is>
          <t>Earlier professional decision, carried forward</t>
        </is>
      </c>
      <c r="J273" s="23" t="inlineStr">
        <is>
          <t>Maya Chen, Owner Project Controls</t>
        </is>
      </c>
      <c r="K273" s="23" t="inlineStr">
        <is>
          <t>Professional</t>
        </is>
      </c>
      <c r="L273" s="23" t="inlineStr">
        <is>
          <t>Split -- basis to be confirmed</t>
        </is>
      </c>
      <c r="M273" s="23" t="inlineStr">
        <is>
          <t>Commercial Package Register Cycle 2</t>
        </is>
      </c>
      <c r="N273" s="23" t="inlineStr">
        <is>
          <t>Rev 1</t>
        </is>
      </c>
      <c r="O273" s="23" t="inlineStr">
        <is>
          <t>R1563-v3</t>
        </is>
      </c>
      <c r="P273" s="23" t="inlineStr"/>
      <c r="Q273" s="23" t="inlineStr"/>
      <c r="R273" s="23" t="inlineStr"/>
      <c r="S273" s="23" t="inlineStr"/>
      <c r="T273" s="23" t="inlineStr">
        <is>
          <t>Individual, carried forward</t>
        </is>
      </c>
      <c r="U273" s="23" t="inlineStr"/>
      <c r="V273" s="23" t="inlineStr">
        <is>
          <t>Package Code = PK-101; WBS Code = 1.1;1.2</t>
        </is>
      </c>
      <c r="W273" s="23" t="inlineStr">
        <is>
          <t>Source states 'WBS Code' = '1.1;1.2' -- names no element of this WBS -- professional reason (Maya Chen, Owner Project Controls): Source package register explicitly states both Owner-WBS branches.</t>
        </is>
      </c>
    </row>
    <row r="274" ht="139" customHeight="1">
      <c r="A274" s="23" t="inlineStr">
        <is>
          <t>1.2</t>
        </is>
      </c>
      <c r="B274" s="23" t="inlineStr">
        <is>
          <t>Stations</t>
        </is>
      </c>
      <c r="C274" s="23" t="inlineStr">
        <is>
          <t>Commercial Package Register</t>
        </is>
      </c>
      <c r="D274" s="23" t="inlineStr">
        <is>
          <t>PKG-005</t>
        </is>
      </c>
      <c r="E274" s="23" t="inlineStr">
        <is>
          <t>Guideway Civil Works - Lot 2 - relocated to adjacent governed scope</t>
        </is>
      </c>
      <c r="F274" s="23" t="inlineStr">
        <is>
          <t>ONE_TO_ONE</t>
        </is>
      </c>
      <c r="G274" s="23" t="inlineStr">
        <is>
          <t>APPROVED</t>
        </is>
      </c>
      <c r="H274" s="23" t="inlineStr">
        <is>
          <t>Changed, re-decided</t>
        </is>
      </c>
      <c r="I274" s="23" t="inlineStr">
        <is>
          <t>Professional decision</t>
        </is>
      </c>
      <c r="J274" s="23" t="inlineStr">
        <is>
          <t>Maya Chen, Owner Project Controls</t>
        </is>
      </c>
      <c r="K274" s="23" t="inlineStr">
        <is>
          <t>Source assignment</t>
        </is>
      </c>
      <c r="L274" s="23" t="inlineStr"/>
      <c r="M274" s="23" t="inlineStr">
        <is>
          <t>Commercial Package Register Cycle 2</t>
        </is>
      </c>
      <c r="N274" s="23" t="inlineStr">
        <is>
          <t>Rev 1</t>
        </is>
      </c>
      <c r="O274" s="23" t="inlineStr">
        <is>
          <t>R1567-v3</t>
        </is>
      </c>
      <c r="P274" s="23" t="inlineStr"/>
      <c r="Q274" s="23" t="inlineStr"/>
      <c r="R274" s="23" t="inlineStr"/>
      <c r="S274" s="23" t="inlineStr"/>
      <c r="T274" s="23" t="inlineStr">
        <is>
          <t>Individual</t>
        </is>
      </c>
      <c r="U274" s="23" t="inlineStr">
        <is>
          <t>'WBS Code' changed from 1.1 to 1.2; 'WBS Code' changed from 1.1 to 1.2; 'WBS Code' changed from 1.1 to 1.2</t>
        </is>
      </c>
      <c r="V274" s="23" t="inlineStr">
        <is>
          <t>Package Code = PK-105; WBS Code = 1.2</t>
        </is>
      </c>
      <c r="W274" s="23" t="inlineStr"/>
    </row>
    <row r="275" ht="64" customHeight="1">
      <c r="A275" s="23" t="inlineStr">
        <is>
          <t>1.2</t>
        </is>
      </c>
      <c r="B275" s="23" t="inlineStr">
        <is>
          <t>Stations</t>
        </is>
      </c>
      <c r="C275" s="23" t="inlineStr">
        <is>
          <t>Commercial Package Register</t>
        </is>
      </c>
      <c r="D275" s="23" t="inlineStr">
        <is>
          <t>PKG-011</t>
        </is>
      </c>
      <c r="E275" s="23" t="inlineStr">
        <is>
          <t>Station Structural Works</t>
        </is>
      </c>
      <c r="F275" s="23" t="inlineStr">
        <is>
          <t>ONE_TO_ONE</t>
        </is>
      </c>
      <c r="G275" s="23" t="inlineStr">
        <is>
          <t>RETAINED</t>
        </is>
      </c>
      <c r="H275" s="23" t="inlineStr">
        <is>
          <t>Carried forward</t>
        </is>
      </c>
      <c r="I275" s="23" t="inlineStr">
        <is>
          <t>Source assignment -- not individually reviewed</t>
        </is>
      </c>
      <c r="J275" s="23" t="inlineStr"/>
      <c r="K275" s="23" t="inlineStr">
        <is>
          <t>Source assignment</t>
        </is>
      </c>
      <c r="L275" s="23" t="inlineStr"/>
      <c r="M275" s="23" t="inlineStr">
        <is>
          <t>Commercial Package Register Cycle 2</t>
        </is>
      </c>
      <c r="N275" s="23" t="inlineStr">
        <is>
          <t>Rev 1</t>
        </is>
      </c>
      <c r="O275" s="23" t="inlineStr">
        <is>
          <t>R1573-v2</t>
        </is>
      </c>
      <c r="P275" s="23" t="inlineStr"/>
      <c r="Q275" s="23" t="inlineStr"/>
      <c r="R275" s="23" t="inlineStr"/>
      <c r="S275" s="23" t="inlineStr"/>
      <c r="T275" s="23" t="inlineStr"/>
      <c r="U275" s="23" t="inlineStr"/>
      <c r="V275" s="23" t="inlineStr">
        <is>
          <t>Package Code = PK-201; WBS Code = 1.2</t>
        </is>
      </c>
      <c r="W275" s="23" t="inlineStr"/>
    </row>
    <row r="276" ht="64" customHeight="1">
      <c r="A276" s="23" t="inlineStr">
        <is>
          <t>1.2</t>
        </is>
      </c>
      <c r="B276" s="23" t="inlineStr">
        <is>
          <t>Stations</t>
        </is>
      </c>
      <c r="C276" s="23" t="inlineStr">
        <is>
          <t>Commercial Package Register</t>
        </is>
      </c>
      <c r="D276" s="23" t="inlineStr">
        <is>
          <t>PKG-012</t>
        </is>
      </c>
      <c r="E276" s="23" t="inlineStr">
        <is>
          <t>Station Fit-Out</t>
        </is>
      </c>
      <c r="F276" s="23" t="inlineStr">
        <is>
          <t>ONE_TO_ONE</t>
        </is>
      </c>
      <c r="G276" s="23" t="inlineStr">
        <is>
          <t>RETAINED</t>
        </is>
      </c>
      <c r="H276" s="23" t="inlineStr">
        <is>
          <t>Carried forward</t>
        </is>
      </c>
      <c r="I276" s="23" t="inlineStr">
        <is>
          <t>Source assignment -- not individually reviewed</t>
        </is>
      </c>
      <c r="J276" s="23" t="inlineStr"/>
      <c r="K276" s="23" t="inlineStr">
        <is>
          <t>Source assignment</t>
        </is>
      </c>
      <c r="L276" s="23" t="inlineStr"/>
      <c r="M276" s="23" t="inlineStr">
        <is>
          <t>Commercial Package Register Cycle 2</t>
        </is>
      </c>
      <c r="N276" s="23" t="inlineStr">
        <is>
          <t>Rev 1</t>
        </is>
      </c>
      <c r="O276" s="23" t="inlineStr">
        <is>
          <t>R1574-v2</t>
        </is>
      </c>
      <c r="P276" s="23" t="inlineStr"/>
      <c r="Q276" s="23" t="inlineStr"/>
      <c r="R276" s="23" t="inlineStr"/>
      <c r="S276" s="23" t="inlineStr"/>
      <c r="T276" s="23" t="inlineStr"/>
      <c r="U276" s="23" t="inlineStr"/>
      <c r="V276" s="23" t="inlineStr">
        <is>
          <t>Package Code = PK-202; WBS Code = 1.2</t>
        </is>
      </c>
      <c r="W276" s="23" t="inlineStr"/>
    </row>
    <row r="277" ht="64" customHeight="1">
      <c r="A277" s="23" t="inlineStr">
        <is>
          <t>1.2</t>
        </is>
      </c>
      <c r="B277" s="23" t="inlineStr">
        <is>
          <t>Stations</t>
        </is>
      </c>
      <c r="C277" s="23" t="inlineStr">
        <is>
          <t>Commercial Package Register</t>
        </is>
      </c>
      <c r="D277" s="23" t="inlineStr">
        <is>
          <t>PKG-013</t>
        </is>
      </c>
      <c r="E277" s="23" t="inlineStr">
        <is>
          <t>Building Services</t>
        </is>
      </c>
      <c r="F277" s="23" t="inlineStr">
        <is>
          <t>ONE_TO_ONE</t>
        </is>
      </c>
      <c r="G277" s="23" t="inlineStr">
        <is>
          <t>RETAINED</t>
        </is>
      </c>
      <c r="H277" s="23" t="inlineStr">
        <is>
          <t>Carried forward</t>
        </is>
      </c>
      <c r="I277" s="23" t="inlineStr">
        <is>
          <t>Source assignment -- not individually reviewed</t>
        </is>
      </c>
      <c r="J277" s="23" t="inlineStr"/>
      <c r="K277" s="23" t="inlineStr">
        <is>
          <t>Source assignment</t>
        </is>
      </c>
      <c r="L277" s="23" t="inlineStr"/>
      <c r="M277" s="23" t="inlineStr">
        <is>
          <t>Commercial Package Register Cycle 2</t>
        </is>
      </c>
      <c r="N277" s="23" t="inlineStr">
        <is>
          <t>Rev 1</t>
        </is>
      </c>
      <c r="O277" s="23" t="inlineStr">
        <is>
          <t>R1575-v2</t>
        </is>
      </c>
      <c r="P277" s="23" t="inlineStr"/>
      <c r="Q277" s="23" t="inlineStr"/>
      <c r="R277" s="23" t="inlineStr"/>
      <c r="S277" s="23" t="inlineStr"/>
      <c r="T277" s="23" t="inlineStr"/>
      <c r="U277" s="23" t="inlineStr"/>
      <c r="V277" s="23" t="inlineStr">
        <is>
          <t>Package Code = PK-203; WBS Code = 1.2</t>
        </is>
      </c>
      <c r="W277" s="23" t="inlineStr"/>
    </row>
    <row r="278" ht="64" customHeight="1">
      <c r="A278" s="23" t="inlineStr">
        <is>
          <t>1.2</t>
        </is>
      </c>
      <c r="B278" s="23" t="inlineStr">
        <is>
          <t>Stations</t>
        </is>
      </c>
      <c r="C278" s="23" t="inlineStr">
        <is>
          <t>Commercial Package Register</t>
        </is>
      </c>
      <c r="D278" s="23" t="inlineStr">
        <is>
          <t>PKG-014</t>
        </is>
      </c>
      <c r="E278" s="23" t="inlineStr">
        <is>
          <t>Public Realm</t>
        </is>
      </c>
      <c r="F278" s="23" t="inlineStr">
        <is>
          <t>ONE_TO_ONE</t>
        </is>
      </c>
      <c r="G278" s="23" t="inlineStr">
        <is>
          <t>RETAINED</t>
        </is>
      </c>
      <c r="H278" s="23" t="inlineStr">
        <is>
          <t>Carried forward</t>
        </is>
      </c>
      <c r="I278" s="23" t="inlineStr">
        <is>
          <t>Source assignment -- not individually reviewed</t>
        </is>
      </c>
      <c r="J278" s="23" t="inlineStr"/>
      <c r="K278" s="23" t="inlineStr">
        <is>
          <t>Source assignment</t>
        </is>
      </c>
      <c r="L278" s="23" t="inlineStr"/>
      <c r="M278" s="23" t="inlineStr">
        <is>
          <t>Commercial Package Register Cycle 2</t>
        </is>
      </c>
      <c r="N278" s="23" t="inlineStr">
        <is>
          <t>Rev 1</t>
        </is>
      </c>
      <c r="O278" s="23" t="inlineStr">
        <is>
          <t>R1576-v2</t>
        </is>
      </c>
      <c r="P278" s="23" t="inlineStr"/>
      <c r="Q278" s="23" t="inlineStr"/>
      <c r="R278" s="23" t="inlineStr"/>
      <c r="S278" s="23" t="inlineStr"/>
      <c r="T278" s="23" t="inlineStr"/>
      <c r="U278" s="23" t="inlineStr"/>
      <c r="V278" s="23" t="inlineStr">
        <is>
          <t>Package Code = PK-204; WBS Code = 1.2</t>
        </is>
      </c>
      <c r="W278" s="23" t="inlineStr"/>
    </row>
    <row r="279" ht="64" customHeight="1">
      <c r="A279" s="23" t="inlineStr">
        <is>
          <t>1.2</t>
        </is>
      </c>
      <c r="B279" s="23" t="inlineStr">
        <is>
          <t>Stations</t>
        </is>
      </c>
      <c r="C279" s="23" t="inlineStr">
        <is>
          <t>Commercial Package Register</t>
        </is>
      </c>
      <c r="D279" s="23" t="inlineStr">
        <is>
          <t>PKG-015</t>
        </is>
      </c>
      <c r="E279" s="23" t="inlineStr">
        <is>
          <t>Station Structural Works - Lot 2</t>
        </is>
      </c>
      <c r="F279" s="23" t="inlineStr">
        <is>
          <t>ONE_TO_ONE</t>
        </is>
      </c>
      <c r="G279" s="23" t="inlineStr">
        <is>
          <t>RETAINED</t>
        </is>
      </c>
      <c r="H279" s="23" t="inlineStr">
        <is>
          <t>Carried forward</t>
        </is>
      </c>
      <c r="I279" s="23" t="inlineStr">
        <is>
          <t>Source assignment -- not individually reviewed</t>
        </is>
      </c>
      <c r="J279" s="23" t="inlineStr"/>
      <c r="K279" s="23" t="inlineStr">
        <is>
          <t>Source assignment</t>
        </is>
      </c>
      <c r="L279" s="23" t="inlineStr"/>
      <c r="M279" s="23" t="inlineStr">
        <is>
          <t>Commercial Package Register Cycle 2</t>
        </is>
      </c>
      <c r="N279" s="23" t="inlineStr">
        <is>
          <t>Rev 1</t>
        </is>
      </c>
      <c r="O279" s="23" t="inlineStr">
        <is>
          <t>R1577-v2</t>
        </is>
      </c>
      <c r="P279" s="23" t="inlineStr"/>
      <c r="Q279" s="23" t="inlineStr"/>
      <c r="R279" s="23" t="inlineStr"/>
      <c r="S279" s="23" t="inlineStr"/>
      <c r="T279" s="23" t="inlineStr"/>
      <c r="U279" s="23" t="inlineStr"/>
      <c r="V279" s="23" t="inlineStr">
        <is>
          <t>Package Code = PK-205; WBS Code = 1.2</t>
        </is>
      </c>
      <c r="W279" s="23" t="inlineStr"/>
    </row>
    <row r="280" ht="64" customHeight="1">
      <c r="A280" s="23" t="inlineStr">
        <is>
          <t>1.2</t>
        </is>
      </c>
      <c r="B280" s="23" t="inlineStr">
        <is>
          <t>Stations</t>
        </is>
      </c>
      <c r="C280" s="23" t="inlineStr">
        <is>
          <t>Commercial Package Register</t>
        </is>
      </c>
      <c r="D280" s="23" t="inlineStr">
        <is>
          <t>PKG-016</t>
        </is>
      </c>
      <c r="E280" s="23" t="inlineStr">
        <is>
          <t>Station Fit-Out - Lot 2</t>
        </is>
      </c>
      <c r="F280" s="23" t="inlineStr">
        <is>
          <t>ONE_TO_ONE</t>
        </is>
      </c>
      <c r="G280" s="23" t="inlineStr">
        <is>
          <t>RETAINED</t>
        </is>
      </c>
      <c r="H280" s="23" t="inlineStr">
        <is>
          <t>Carried forward</t>
        </is>
      </c>
      <c r="I280" s="23" t="inlineStr">
        <is>
          <t>Source assignment -- not individually reviewed</t>
        </is>
      </c>
      <c r="J280" s="23" t="inlineStr"/>
      <c r="K280" s="23" t="inlineStr">
        <is>
          <t>Source assignment</t>
        </is>
      </c>
      <c r="L280" s="23" t="inlineStr"/>
      <c r="M280" s="23" t="inlineStr">
        <is>
          <t>Commercial Package Register Cycle 2</t>
        </is>
      </c>
      <c r="N280" s="23" t="inlineStr">
        <is>
          <t>Rev 1</t>
        </is>
      </c>
      <c r="O280" s="23" t="inlineStr">
        <is>
          <t>R1578-v2</t>
        </is>
      </c>
      <c r="P280" s="23" t="inlineStr"/>
      <c r="Q280" s="23" t="inlineStr"/>
      <c r="R280" s="23" t="inlineStr"/>
      <c r="S280" s="23" t="inlineStr"/>
      <c r="T280" s="23" t="inlineStr"/>
      <c r="U280" s="23" t="inlineStr"/>
      <c r="V280" s="23" t="inlineStr">
        <is>
          <t>Package Code = PK-206; WBS Code = 1.2</t>
        </is>
      </c>
      <c r="W280" s="23" t="inlineStr"/>
    </row>
    <row r="281" ht="64" customHeight="1">
      <c r="A281" s="23" t="inlineStr">
        <is>
          <t>1.2</t>
        </is>
      </c>
      <c r="B281" s="23" t="inlineStr">
        <is>
          <t>Stations</t>
        </is>
      </c>
      <c r="C281" s="23" t="inlineStr">
        <is>
          <t>Commercial Package Register</t>
        </is>
      </c>
      <c r="D281" s="23" t="inlineStr">
        <is>
          <t>PKG-017</t>
        </is>
      </c>
      <c r="E281" s="23" t="inlineStr">
        <is>
          <t>Building Services - Lot 2</t>
        </is>
      </c>
      <c r="F281" s="23" t="inlineStr">
        <is>
          <t>ONE_TO_ONE</t>
        </is>
      </c>
      <c r="G281" s="23" t="inlineStr">
        <is>
          <t>RETAINED</t>
        </is>
      </c>
      <c r="H281" s="23" t="inlineStr">
        <is>
          <t>Carried forward</t>
        </is>
      </c>
      <c r="I281" s="23" t="inlineStr">
        <is>
          <t>Source assignment -- not individually reviewed</t>
        </is>
      </c>
      <c r="J281" s="23" t="inlineStr"/>
      <c r="K281" s="23" t="inlineStr">
        <is>
          <t>Source assignment</t>
        </is>
      </c>
      <c r="L281" s="23" t="inlineStr"/>
      <c r="M281" s="23" t="inlineStr">
        <is>
          <t>Commercial Package Register Cycle 2</t>
        </is>
      </c>
      <c r="N281" s="23" t="inlineStr">
        <is>
          <t>Rev 1</t>
        </is>
      </c>
      <c r="O281" s="23" t="inlineStr">
        <is>
          <t>R1579-v2</t>
        </is>
      </c>
      <c r="P281" s="23" t="inlineStr"/>
      <c r="Q281" s="23" t="inlineStr"/>
      <c r="R281" s="23" t="inlineStr"/>
      <c r="S281" s="23" t="inlineStr"/>
      <c r="T281" s="23" t="inlineStr"/>
      <c r="U281" s="23" t="inlineStr"/>
      <c r="V281" s="23" t="inlineStr">
        <is>
          <t>Package Code = PK-207; WBS Code = 1.2</t>
        </is>
      </c>
      <c r="W281" s="23" t="inlineStr"/>
    </row>
    <row r="282" ht="64" customHeight="1">
      <c r="A282" s="23" t="inlineStr">
        <is>
          <t>1.2</t>
        </is>
      </c>
      <c r="B282" s="23" t="inlineStr">
        <is>
          <t>Stations</t>
        </is>
      </c>
      <c r="C282" s="23" t="inlineStr">
        <is>
          <t>Commercial Package Register</t>
        </is>
      </c>
      <c r="D282" s="23" t="inlineStr">
        <is>
          <t>PKG-018</t>
        </is>
      </c>
      <c r="E282" s="23" t="inlineStr">
        <is>
          <t>Public Realm - Lot 2</t>
        </is>
      </c>
      <c r="F282" s="23" t="inlineStr">
        <is>
          <t>ONE_TO_ONE</t>
        </is>
      </c>
      <c r="G282" s="23" t="inlineStr">
        <is>
          <t>RETAINED</t>
        </is>
      </c>
      <c r="H282" s="23" t="inlineStr">
        <is>
          <t>Carried forward</t>
        </is>
      </c>
      <c r="I282" s="23" t="inlineStr">
        <is>
          <t>Source assignment -- not individually reviewed</t>
        </is>
      </c>
      <c r="J282" s="23" t="inlineStr"/>
      <c r="K282" s="23" t="inlineStr">
        <is>
          <t>Source assignment</t>
        </is>
      </c>
      <c r="L282" s="23" t="inlineStr"/>
      <c r="M282" s="23" t="inlineStr">
        <is>
          <t>Commercial Package Register Cycle 2</t>
        </is>
      </c>
      <c r="N282" s="23" t="inlineStr">
        <is>
          <t>Rev 1</t>
        </is>
      </c>
      <c r="O282" s="23" t="inlineStr">
        <is>
          <t>R1580-v2</t>
        </is>
      </c>
      <c r="P282" s="23" t="inlineStr"/>
      <c r="Q282" s="23" t="inlineStr"/>
      <c r="R282" s="23" t="inlineStr"/>
      <c r="S282" s="23" t="inlineStr"/>
      <c r="T282" s="23" t="inlineStr"/>
      <c r="U282" s="23" t="inlineStr"/>
      <c r="V282" s="23" t="inlineStr">
        <is>
          <t>Package Code = PK-208; WBS Code = 1.2</t>
        </is>
      </c>
      <c r="W282" s="23" t="inlineStr"/>
    </row>
    <row r="283" ht="64" customHeight="1">
      <c r="A283" s="23" t="inlineStr">
        <is>
          <t>1.2</t>
        </is>
      </c>
      <c r="B283" s="23" t="inlineStr">
        <is>
          <t>Stations</t>
        </is>
      </c>
      <c r="C283" s="23" t="inlineStr">
        <is>
          <t>Commercial Package Register</t>
        </is>
      </c>
      <c r="D283" s="23" t="inlineStr">
        <is>
          <t>PKG-019</t>
        </is>
      </c>
      <c r="E283" s="23" t="inlineStr">
        <is>
          <t>Station Structural Works - Lot 3</t>
        </is>
      </c>
      <c r="F283" s="23" t="inlineStr">
        <is>
          <t>ONE_TO_ONE</t>
        </is>
      </c>
      <c r="G283" s="23" t="inlineStr">
        <is>
          <t>RETAINED</t>
        </is>
      </c>
      <c r="H283" s="23" t="inlineStr">
        <is>
          <t>Carried forward</t>
        </is>
      </c>
      <c r="I283" s="23" t="inlineStr">
        <is>
          <t>Source assignment -- not individually reviewed</t>
        </is>
      </c>
      <c r="J283" s="23" t="inlineStr"/>
      <c r="K283" s="23" t="inlineStr">
        <is>
          <t>Source assignment</t>
        </is>
      </c>
      <c r="L283" s="23" t="inlineStr"/>
      <c r="M283" s="23" t="inlineStr">
        <is>
          <t>Commercial Package Register Cycle 2</t>
        </is>
      </c>
      <c r="N283" s="23" t="inlineStr">
        <is>
          <t>Rev 1</t>
        </is>
      </c>
      <c r="O283" s="23" t="inlineStr">
        <is>
          <t>R1581-v2</t>
        </is>
      </c>
      <c r="P283" s="23" t="inlineStr"/>
      <c r="Q283" s="23" t="inlineStr"/>
      <c r="R283" s="23" t="inlineStr"/>
      <c r="S283" s="23" t="inlineStr"/>
      <c r="T283" s="23" t="inlineStr"/>
      <c r="U283" s="23" t="inlineStr"/>
      <c r="V283" s="23" t="inlineStr">
        <is>
          <t>Package Code = PK-209; WBS Code = 1.2</t>
        </is>
      </c>
      <c r="W283" s="23" t="inlineStr"/>
    </row>
    <row r="284" ht="64" customHeight="1">
      <c r="A284" s="23" t="inlineStr">
        <is>
          <t>1.2</t>
        </is>
      </c>
      <c r="B284" s="23" t="inlineStr">
        <is>
          <t>Stations</t>
        </is>
      </c>
      <c r="C284" s="23" t="inlineStr">
        <is>
          <t>Commercial Package Register</t>
        </is>
      </c>
      <c r="D284" s="23" t="inlineStr">
        <is>
          <t>PKG-020</t>
        </is>
      </c>
      <c r="E284" s="23" t="inlineStr">
        <is>
          <t>Station Fit-Out - Lot 3</t>
        </is>
      </c>
      <c r="F284" s="23" t="inlineStr">
        <is>
          <t>ONE_TO_ONE</t>
        </is>
      </c>
      <c r="G284" s="23" t="inlineStr">
        <is>
          <t>RETAINED</t>
        </is>
      </c>
      <c r="H284" s="23" t="inlineStr">
        <is>
          <t>Carried forward</t>
        </is>
      </c>
      <c r="I284" s="23" t="inlineStr">
        <is>
          <t>Source assignment -- not individually reviewed</t>
        </is>
      </c>
      <c r="J284" s="23" t="inlineStr"/>
      <c r="K284" s="23" t="inlineStr">
        <is>
          <t>Source assignment</t>
        </is>
      </c>
      <c r="L284" s="23" t="inlineStr"/>
      <c r="M284" s="23" t="inlineStr">
        <is>
          <t>Commercial Package Register Cycle 2</t>
        </is>
      </c>
      <c r="N284" s="23" t="inlineStr">
        <is>
          <t>Rev 1</t>
        </is>
      </c>
      <c r="O284" s="23" t="inlineStr">
        <is>
          <t>R1582-v2</t>
        </is>
      </c>
      <c r="P284" s="23" t="inlineStr"/>
      <c r="Q284" s="23" t="inlineStr"/>
      <c r="R284" s="23" t="inlineStr"/>
      <c r="S284" s="23" t="inlineStr"/>
      <c r="T284" s="23" t="inlineStr"/>
      <c r="U284" s="23" t="inlineStr"/>
      <c r="V284" s="23" t="inlineStr">
        <is>
          <t>Package Code = PK-210; WBS Code = 1.2</t>
        </is>
      </c>
      <c r="W284" s="23" t="inlineStr"/>
    </row>
    <row r="285" ht="49" customHeight="1">
      <c r="A285" s="23" t="inlineStr">
        <is>
          <t>1.2.1</t>
        </is>
      </c>
      <c r="B285" s="23" t="inlineStr">
        <is>
          <t>Stations - Station Structures</t>
        </is>
      </c>
      <c r="C285" s="23" t="inlineStr">
        <is>
          <t>Contractor Programme</t>
        </is>
      </c>
      <c r="D285" s="23" t="inlineStr">
        <is>
          <t>SCH-02-001</t>
        </is>
      </c>
      <c r="E285" s="23" t="inlineStr">
        <is>
          <t>Harbour Station: vertical-transport installation - inspection</t>
        </is>
      </c>
      <c r="F285" s="23" t="inlineStr">
        <is>
          <t>ONE_TO_ONE</t>
        </is>
      </c>
      <c r="G285" s="23" t="inlineStr">
        <is>
          <t>RETAINED</t>
        </is>
      </c>
      <c r="H285" s="23" t="inlineStr">
        <is>
          <t>Carried forward</t>
        </is>
      </c>
      <c r="I285" s="23" t="inlineStr">
        <is>
          <t>Source assignment -- not individually reviewed</t>
        </is>
      </c>
      <c r="J285" s="23" t="inlineStr"/>
      <c r="K285" s="23" t="inlineStr">
        <is>
          <t>Source assignment</t>
        </is>
      </c>
      <c r="L285" s="23" t="inlineStr"/>
      <c r="M285" s="23" t="inlineStr">
        <is>
          <t>Contractor Programme Cycle 2</t>
        </is>
      </c>
      <c r="N285" s="23" t="inlineStr">
        <is>
          <t>Rev 1</t>
        </is>
      </c>
      <c r="O285" s="23" t="inlineStr">
        <is>
          <t>R181-v2</t>
        </is>
      </c>
      <c r="P285" s="23" t="inlineStr"/>
      <c r="Q285" s="23" t="inlineStr"/>
      <c r="R285" s="23" t="inlineStr"/>
      <c r="S285" s="23" t="inlineStr"/>
      <c r="T285" s="23" t="inlineStr"/>
      <c r="U285" s="23" t="inlineStr"/>
      <c r="V285" s="23" t="inlineStr">
        <is>
          <t>WBS Code = 1.2.1</t>
        </is>
      </c>
      <c r="W285" s="23" t="inlineStr"/>
    </row>
    <row r="286" ht="49" customHeight="1">
      <c r="A286" s="23" t="inlineStr">
        <is>
          <t>1.2.1</t>
        </is>
      </c>
      <c r="B286" s="23" t="inlineStr">
        <is>
          <t>Stations - Station Structures</t>
        </is>
      </c>
      <c r="C286" s="23" t="inlineStr">
        <is>
          <t>Contractor Programme</t>
        </is>
      </c>
      <c r="D286" s="23" t="inlineStr">
        <is>
          <t>SCH-02-002</t>
        </is>
      </c>
      <c r="E286" s="23" t="inlineStr">
        <is>
          <t>Market Station: platform edge installation - turnover</t>
        </is>
      </c>
      <c r="F286" s="23" t="inlineStr">
        <is>
          <t>ONE_TO_ONE</t>
        </is>
      </c>
      <c r="G286" s="23" t="inlineStr">
        <is>
          <t>RETAINED</t>
        </is>
      </c>
      <c r="H286" s="23" t="inlineStr">
        <is>
          <t>Carried forward</t>
        </is>
      </c>
      <c r="I286" s="23" t="inlineStr">
        <is>
          <t>Source assignment -- not individually reviewed</t>
        </is>
      </c>
      <c r="J286" s="23" t="inlineStr"/>
      <c r="K286" s="23" t="inlineStr">
        <is>
          <t>Source assignment</t>
        </is>
      </c>
      <c r="L286" s="23" t="inlineStr"/>
      <c r="M286" s="23" t="inlineStr">
        <is>
          <t>Contractor Programme Cycle 2</t>
        </is>
      </c>
      <c r="N286" s="23" t="inlineStr">
        <is>
          <t>Rev 1</t>
        </is>
      </c>
      <c r="O286" s="23" t="inlineStr">
        <is>
          <t>R182-v2</t>
        </is>
      </c>
      <c r="P286" s="23" t="inlineStr"/>
      <c r="Q286" s="23" t="inlineStr"/>
      <c r="R286" s="23" t="inlineStr"/>
      <c r="S286" s="23" t="inlineStr"/>
      <c r="T286" s="23" t="inlineStr"/>
      <c r="U286" s="23" t="inlineStr"/>
      <c r="V286" s="23" t="inlineStr">
        <is>
          <t>WBS Code = 1.2.1</t>
        </is>
      </c>
      <c r="W286" s="23" t="inlineStr"/>
    </row>
    <row r="287" ht="49" customHeight="1">
      <c r="A287" s="23" t="inlineStr">
        <is>
          <t>1.2.1</t>
        </is>
      </c>
      <c r="B287" s="23" t="inlineStr">
        <is>
          <t>Stations - Station Structures</t>
        </is>
      </c>
      <c r="C287" s="23" t="inlineStr">
        <is>
          <t>Contractor Programme</t>
        </is>
      </c>
      <c r="D287" s="23" t="inlineStr">
        <is>
          <t>SCH-02-004</t>
        </is>
      </c>
      <c r="E287" s="23" t="inlineStr">
        <is>
          <t>University Station: fire-life-safety cabling - field start</t>
        </is>
      </c>
      <c r="F287" s="23" t="inlineStr">
        <is>
          <t>ONE_TO_ONE</t>
        </is>
      </c>
      <c r="G287" s="23" t="inlineStr">
        <is>
          <t>RETAINED</t>
        </is>
      </c>
      <c r="H287" s="23" t="inlineStr">
        <is>
          <t>Carried forward</t>
        </is>
      </c>
      <c r="I287" s="23" t="inlineStr">
        <is>
          <t>Source assignment -- not individually reviewed</t>
        </is>
      </c>
      <c r="J287" s="23" t="inlineStr"/>
      <c r="K287" s="23" t="inlineStr">
        <is>
          <t>Source assignment</t>
        </is>
      </c>
      <c r="L287" s="23" t="inlineStr"/>
      <c r="M287" s="23" t="inlineStr">
        <is>
          <t>Contractor Programme Cycle 2</t>
        </is>
      </c>
      <c r="N287" s="23" t="inlineStr">
        <is>
          <t>Rev 1</t>
        </is>
      </c>
      <c r="O287" s="23" t="inlineStr">
        <is>
          <t>R184-v2</t>
        </is>
      </c>
      <c r="P287" s="23" t="inlineStr"/>
      <c r="Q287" s="23" t="inlineStr"/>
      <c r="R287" s="23" t="inlineStr"/>
      <c r="S287" s="23" t="inlineStr"/>
      <c r="T287" s="23" t="inlineStr"/>
      <c r="U287" s="23" t="inlineStr"/>
      <c r="V287" s="23" t="inlineStr">
        <is>
          <t>WBS Code = 1.2.1</t>
        </is>
      </c>
      <c r="W287" s="23" t="inlineStr"/>
    </row>
    <row r="288" ht="49" customHeight="1">
      <c r="A288" s="23" t="inlineStr">
        <is>
          <t>1.2.1</t>
        </is>
      </c>
      <c r="B288" s="23" t="inlineStr">
        <is>
          <t>Stations - Station Structures</t>
        </is>
      </c>
      <c r="C288" s="23" t="inlineStr">
        <is>
          <t>Contractor Programme</t>
        </is>
      </c>
      <c r="D288" s="23" t="inlineStr">
        <is>
          <t>SCH-02-005</t>
        </is>
      </c>
      <c r="E288" s="23" t="inlineStr">
        <is>
          <t>Harbour Station: systems room enabling works before communications fit-out</t>
        </is>
      </c>
      <c r="F288" s="23" t="inlineStr">
        <is>
          <t>ONE_TO_ONE</t>
        </is>
      </c>
      <c r="G288" s="23" t="inlineStr">
        <is>
          <t>RETAINED</t>
        </is>
      </c>
      <c r="H288" s="23" t="inlineStr">
        <is>
          <t>Carried forward</t>
        </is>
      </c>
      <c r="I288" s="23" t="inlineStr">
        <is>
          <t>Source assignment -- not individually reviewed</t>
        </is>
      </c>
      <c r="J288" s="23" t="inlineStr"/>
      <c r="K288" s="23" t="inlineStr">
        <is>
          <t>Source assignment</t>
        </is>
      </c>
      <c r="L288" s="23" t="inlineStr"/>
      <c r="M288" s="23" t="inlineStr">
        <is>
          <t>Contractor Programme Cycle 2</t>
        </is>
      </c>
      <c r="N288" s="23" t="inlineStr">
        <is>
          <t>Rev 1</t>
        </is>
      </c>
      <c r="O288" s="23" t="inlineStr">
        <is>
          <t>R185-v2</t>
        </is>
      </c>
      <c r="P288" s="23" t="inlineStr"/>
      <c r="Q288" s="23" t="inlineStr"/>
      <c r="R288" s="23" t="inlineStr"/>
      <c r="S288" s="23" t="inlineStr"/>
      <c r="T288" s="23" t="inlineStr"/>
      <c r="U288" s="23" t="inlineStr"/>
      <c r="V288" s="23" t="inlineStr">
        <is>
          <t>WBS Code = 1.2.1</t>
        </is>
      </c>
      <c r="W288" s="23" t="inlineStr"/>
    </row>
    <row r="289" ht="49" customHeight="1">
      <c r="A289" s="23" t="inlineStr">
        <is>
          <t>1.2.1</t>
        </is>
      </c>
      <c r="B289" s="23" t="inlineStr">
        <is>
          <t>Stations - Station Structures</t>
        </is>
      </c>
      <c r="C289" s="23" t="inlineStr">
        <is>
          <t>Contractor Programme</t>
        </is>
      </c>
      <c r="D289" s="23" t="inlineStr">
        <is>
          <t>SCH-02-007</t>
        </is>
      </c>
      <c r="E289" s="23" t="inlineStr">
        <is>
          <t>Market Station: public-realm paving - turnover</t>
        </is>
      </c>
      <c r="F289" s="23" t="inlineStr">
        <is>
          <t>ONE_TO_ONE</t>
        </is>
      </c>
      <c r="G289" s="23" t="inlineStr">
        <is>
          <t>RETAINED</t>
        </is>
      </c>
      <c r="H289" s="23" t="inlineStr">
        <is>
          <t>Carried forward</t>
        </is>
      </c>
      <c r="I289" s="23" t="inlineStr">
        <is>
          <t>Source assignment -- not individually reviewed</t>
        </is>
      </c>
      <c r="J289" s="23" t="inlineStr"/>
      <c r="K289" s="23" t="inlineStr">
        <is>
          <t>Source assignment</t>
        </is>
      </c>
      <c r="L289" s="23" t="inlineStr"/>
      <c r="M289" s="23" t="inlineStr">
        <is>
          <t>Contractor Programme Cycle 2</t>
        </is>
      </c>
      <c r="N289" s="23" t="inlineStr">
        <is>
          <t>Rev 1</t>
        </is>
      </c>
      <c r="O289" s="23" t="inlineStr">
        <is>
          <t>R187-v2</t>
        </is>
      </c>
      <c r="P289" s="23" t="inlineStr"/>
      <c r="Q289" s="23" t="inlineStr"/>
      <c r="R289" s="23" t="inlineStr"/>
      <c r="S289" s="23" t="inlineStr"/>
      <c r="T289" s="23" t="inlineStr"/>
      <c r="U289" s="23" t="inlineStr"/>
      <c r="V289" s="23" t="inlineStr">
        <is>
          <t>WBS Code = 1.2.1</t>
        </is>
      </c>
      <c r="W289" s="23" t="inlineStr"/>
    </row>
    <row r="290" ht="49" customHeight="1">
      <c r="A290" s="23" t="inlineStr">
        <is>
          <t>1.2.1</t>
        </is>
      </c>
      <c r="B290" s="23" t="inlineStr">
        <is>
          <t>Stations - Station Structures</t>
        </is>
      </c>
      <c r="C290" s="23" t="inlineStr">
        <is>
          <t>Contractor Programme</t>
        </is>
      </c>
      <c r="D290" s="23" t="inlineStr">
        <is>
          <t>SCH-02-008</t>
        </is>
      </c>
      <c r="E290" s="23" t="inlineStr">
        <is>
          <t>Civic Station: entrance steel erection - release</t>
        </is>
      </c>
      <c r="F290" s="23" t="inlineStr">
        <is>
          <t>ONE_TO_ONE</t>
        </is>
      </c>
      <c r="G290" s="23" t="inlineStr">
        <is>
          <t>RETAINED</t>
        </is>
      </c>
      <c r="H290" s="23" t="inlineStr">
        <is>
          <t>Carried forward</t>
        </is>
      </c>
      <c r="I290" s="23" t="inlineStr">
        <is>
          <t>Source assignment -- not individually reviewed</t>
        </is>
      </c>
      <c r="J290" s="23" t="inlineStr"/>
      <c r="K290" s="23" t="inlineStr">
        <is>
          <t>Source assignment</t>
        </is>
      </c>
      <c r="L290" s="23" t="inlineStr"/>
      <c r="M290" s="23" t="inlineStr">
        <is>
          <t>Contractor Programme Cycle 2</t>
        </is>
      </c>
      <c r="N290" s="23" t="inlineStr">
        <is>
          <t>Rev 1</t>
        </is>
      </c>
      <c r="O290" s="23" t="inlineStr">
        <is>
          <t>R188-v2</t>
        </is>
      </c>
      <c r="P290" s="23" t="inlineStr"/>
      <c r="Q290" s="23" t="inlineStr"/>
      <c r="R290" s="23" t="inlineStr"/>
      <c r="S290" s="23" t="inlineStr"/>
      <c r="T290" s="23" t="inlineStr"/>
      <c r="U290" s="23" t="inlineStr"/>
      <c r="V290" s="23" t="inlineStr">
        <is>
          <t>WBS Code = 1.2.1</t>
        </is>
      </c>
      <c r="W290" s="23" t="inlineStr"/>
    </row>
    <row r="291" ht="49" customHeight="1">
      <c r="A291" s="23" t="inlineStr">
        <is>
          <t>1.2.1</t>
        </is>
      </c>
      <c r="B291" s="23" t="inlineStr">
        <is>
          <t>Stations - Station Structures</t>
        </is>
      </c>
      <c r="C291" s="23" t="inlineStr">
        <is>
          <t>Contractor Programme</t>
        </is>
      </c>
      <c r="D291" s="23" t="inlineStr">
        <is>
          <t>SCH-02-010</t>
        </is>
      </c>
      <c r="E291" s="23" t="inlineStr">
        <is>
          <t>West Terminal: platform edge installation - installation</t>
        </is>
      </c>
      <c r="F291" s="23" t="inlineStr">
        <is>
          <t>ONE_TO_ONE</t>
        </is>
      </c>
      <c r="G291" s="23" t="inlineStr">
        <is>
          <t>RETAINED</t>
        </is>
      </c>
      <c r="H291" s="23" t="inlineStr">
        <is>
          <t>Carried forward</t>
        </is>
      </c>
      <c r="I291" s="23" t="inlineStr">
        <is>
          <t>Source assignment -- not individually reviewed</t>
        </is>
      </c>
      <c r="J291" s="23" t="inlineStr"/>
      <c r="K291" s="23" t="inlineStr">
        <is>
          <t>Source assignment</t>
        </is>
      </c>
      <c r="L291" s="23" t="inlineStr"/>
      <c r="M291" s="23" t="inlineStr">
        <is>
          <t>Contractor Programme Cycle 2</t>
        </is>
      </c>
      <c r="N291" s="23" t="inlineStr">
        <is>
          <t>Rev 1</t>
        </is>
      </c>
      <c r="O291" s="23" t="inlineStr">
        <is>
          <t>R190-v2</t>
        </is>
      </c>
      <c r="P291" s="23" t="inlineStr"/>
      <c r="Q291" s="23" t="inlineStr"/>
      <c r="R291" s="23" t="inlineStr"/>
      <c r="S291" s="23" t="inlineStr"/>
      <c r="T291" s="23" t="inlineStr"/>
      <c r="U291" s="23" t="inlineStr"/>
      <c r="V291" s="23" t="inlineStr">
        <is>
          <t>WBS Code = 1.2.1</t>
        </is>
      </c>
      <c r="W291" s="23" t="inlineStr"/>
    </row>
    <row r="292" ht="49" customHeight="1">
      <c r="A292" s="23" t="inlineStr">
        <is>
          <t>1.2.1</t>
        </is>
      </c>
      <c r="B292" s="23" t="inlineStr">
        <is>
          <t>Stations - Station Structures</t>
        </is>
      </c>
      <c r="C292" s="23" t="inlineStr">
        <is>
          <t>Contractor Programme</t>
        </is>
      </c>
      <c r="D292" s="23" t="inlineStr">
        <is>
          <t>SCH-02-011</t>
        </is>
      </c>
      <c r="E292" s="23" t="inlineStr">
        <is>
          <t>Harbour Station: architectural wall framing - inspection</t>
        </is>
      </c>
      <c r="F292" s="23" t="inlineStr">
        <is>
          <t>ONE_TO_ONE</t>
        </is>
      </c>
      <c r="G292" s="23" t="inlineStr">
        <is>
          <t>RETAINED</t>
        </is>
      </c>
      <c r="H292" s="23" t="inlineStr">
        <is>
          <t>Carried forward</t>
        </is>
      </c>
      <c r="I292" s="23" t="inlineStr">
        <is>
          <t>Source assignment -- not individually reviewed</t>
        </is>
      </c>
      <c r="J292" s="23" t="inlineStr"/>
      <c r="K292" s="23" t="inlineStr">
        <is>
          <t>Source assignment</t>
        </is>
      </c>
      <c r="L292" s="23" t="inlineStr"/>
      <c r="M292" s="23" t="inlineStr">
        <is>
          <t>Contractor Programme Cycle 2</t>
        </is>
      </c>
      <c r="N292" s="23" t="inlineStr">
        <is>
          <t>Rev 1</t>
        </is>
      </c>
      <c r="O292" s="23" t="inlineStr">
        <is>
          <t>R191-v2</t>
        </is>
      </c>
      <c r="P292" s="23" t="inlineStr"/>
      <c r="Q292" s="23" t="inlineStr"/>
      <c r="R292" s="23" t="inlineStr"/>
      <c r="S292" s="23" t="inlineStr"/>
      <c r="T292" s="23" t="inlineStr"/>
      <c r="U292" s="23" t="inlineStr"/>
      <c r="V292" s="23" t="inlineStr">
        <is>
          <t>WBS Code = 1.2.1</t>
        </is>
      </c>
      <c r="W292" s="23" t="inlineStr"/>
    </row>
    <row r="293" ht="49" customHeight="1">
      <c r="A293" s="23" t="inlineStr">
        <is>
          <t>1.2.1</t>
        </is>
      </c>
      <c r="B293" s="23" t="inlineStr">
        <is>
          <t>Stations - Station Structures</t>
        </is>
      </c>
      <c r="C293" s="23" t="inlineStr">
        <is>
          <t>Contractor Programme</t>
        </is>
      </c>
      <c r="D293" s="23" t="inlineStr">
        <is>
          <t>SCH-02-013</t>
        </is>
      </c>
      <c r="E293" s="23" t="inlineStr">
        <is>
          <t>Civic Station: concourse slab pour - release</t>
        </is>
      </c>
      <c r="F293" s="23" t="inlineStr">
        <is>
          <t>ONE_TO_ONE</t>
        </is>
      </c>
      <c r="G293" s="23" t="inlineStr">
        <is>
          <t>RETAINED</t>
        </is>
      </c>
      <c r="H293" s="23" t="inlineStr">
        <is>
          <t>Carried forward</t>
        </is>
      </c>
      <c r="I293" s="23" t="inlineStr">
        <is>
          <t>Source assignment -- not individually reviewed</t>
        </is>
      </c>
      <c r="J293" s="23" t="inlineStr"/>
      <c r="K293" s="23" t="inlineStr">
        <is>
          <t>Source assignment</t>
        </is>
      </c>
      <c r="L293" s="23" t="inlineStr"/>
      <c r="M293" s="23" t="inlineStr">
        <is>
          <t>Contractor Programme Cycle 2</t>
        </is>
      </c>
      <c r="N293" s="23" t="inlineStr">
        <is>
          <t>Rev 1</t>
        </is>
      </c>
      <c r="O293" s="23" t="inlineStr">
        <is>
          <t>R193-v2</t>
        </is>
      </c>
      <c r="P293" s="23" t="inlineStr"/>
      <c r="Q293" s="23" t="inlineStr"/>
      <c r="R293" s="23" t="inlineStr"/>
      <c r="S293" s="23" t="inlineStr"/>
      <c r="T293" s="23" t="inlineStr"/>
      <c r="U293" s="23" t="inlineStr"/>
      <c r="V293" s="23" t="inlineStr">
        <is>
          <t>WBS Code = 1.2.1</t>
        </is>
      </c>
      <c r="W293" s="23" t="inlineStr"/>
    </row>
    <row r="294" ht="49" customHeight="1">
      <c r="A294" s="23" t="inlineStr">
        <is>
          <t>1.2.1</t>
        </is>
      </c>
      <c r="B294" s="23" t="inlineStr">
        <is>
          <t>Stations - Station Structures</t>
        </is>
      </c>
      <c r="C294" s="23" t="inlineStr">
        <is>
          <t>Contractor Programme</t>
        </is>
      </c>
      <c r="D294" s="23" t="inlineStr">
        <is>
          <t>SCH-02-014</t>
        </is>
      </c>
      <c r="E294" s="23" t="inlineStr">
        <is>
          <t>University Station: station ventilation rough-in - field start</t>
        </is>
      </c>
      <c r="F294" s="23" t="inlineStr">
        <is>
          <t>ONE_TO_ONE</t>
        </is>
      </c>
      <c r="G294" s="23" t="inlineStr">
        <is>
          <t>RETAINED</t>
        </is>
      </c>
      <c r="H294" s="23" t="inlineStr">
        <is>
          <t>Carried forward</t>
        </is>
      </c>
      <c r="I294" s="23" t="inlineStr">
        <is>
          <t>Source assignment -- not individually reviewed</t>
        </is>
      </c>
      <c r="J294" s="23" t="inlineStr"/>
      <c r="K294" s="23" t="inlineStr">
        <is>
          <t>Source assignment</t>
        </is>
      </c>
      <c r="L294" s="23" t="inlineStr"/>
      <c r="M294" s="23" t="inlineStr">
        <is>
          <t>Contractor Programme Cycle 2</t>
        </is>
      </c>
      <c r="N294" s="23" t="inlineStr">
        <is>
          <t>Rev 1</t>
        </is>
      </c>
      <c r="O294" s="23" t="inlineStr">
        <is>
          <t>R194-v2</t>
        </is>
      </c>
      <c r="P294" s="23" t="inlineStr"/>
      <c r="Q294" s="23" t="inlineStr"/>
      <c r="R294" s="23" t="inlineStr"/>
      <c r="S294" s="23" t="inlineStr"/>
      <c r="T294" s="23" t="inlineStr"/>
      <c r="U294" s="23" t="inlineStr"/>
      <c r="V294" s="23" t="inlineStr">
        <is>
          <t>WBS Code = 1.2.1</t>
        </is>
      </c>
      <c r="W294" s="23" t="inlineStr"/>
    </row>
    <row r="295" ht="49" customHeight="1">
      <c r="A295" s="23" t="inlineStr">
        <is>
          <t>1.2.1</t>
        </is>
      </c>
      <c r="B295" s="23" t="inlineStr">
        <is>
          <t>Stations - Station Structures</t>
        </is>
      </c>
      <c r="C295" s="23" t="inlineStr">
        <is>
          <t>Contractor Programme</t>
        </is>
      </c>
      <c r="D295" s="23" t="inlineStr">
        <is>
          <t>SCH-02-016</t>
        </is>
      </c>
      <c r="E295" s="23" t="inlineStr">
        <is>
          <t>Harbour Station: entrance steel erection - inspection</t>
        </is>
      </c>
      <c r="F295" s="23" t="inlineStr">
        <is>
          <t>ONE_TO_ONE</t>
        </is>
      </c>
      <c r="G295" s="23" t="inlineStr">
        <is>
          <t>RETAINED</t>
        </is>
      </c>
      <c r="H295" s="23" t="inlineStr">
        <is>
          <t>Carried forward</t>
        </is>
      </c>
      <c r="I295" s="23" t="inlineStr">
        <is>
          <t>Source assignment -- not individually reviewed</t>
        </is>
      </c>
      <c r="J295" s="23" t="inlineStr"/>
      <c r="K295" s="23" t="inlineStr">
        <is>
          <t>Source assignment</t>
        </is>
      </c>
      <c r="L295" s="23" t="inlineStr"/>
      <c r="M295" s="23" t="inlineStr">
        <is>
          <t>Contractor Programme Cycle 2</t>
        </is>
      </c>
      <c r="N295" s="23" t="inlineStr">
        <is>
          <t>Rev 1</t>
        </is>
      </c>
      <c r="O295" s="23" t="inlineStr">
        <is>
          <t>R196-v2</t>
        </is>
      </c>
      <c r="P295" s="23" t="inlineStr"/>
      <c r="Q295" s="23" t="inlineStr"/>
      <c r="R295" s="23" t="inlineStr"/>
      <c r="S295" s="23" t="inlineStr"/>
      <c r="T295" s="23" t="inlineStr"/>
      <c r="U295" s="23" t="inlineStr"/>
      <c r="V295" s="23" t="inlineStr">
        <is>
          <t>WBS Code = 1.2.1</t>
        </is>
      </c>
      <c r="W295" s="23" t="inlineStr"/>
    </row>
    <row r="296" ht="49" customHeight="1">
      <c r="A296" s="23" t="inlineStr">
        <is>
          <t>1.2.1</t>
        </is>
      </c>
      <c r="B296" s="23" t="inlineStr">
        <is>
          <t>Stations - Station Structures</t>
        </is>
      </c>
      <c r="C296" s="23" t="inlineStr">
        <is>
          <t>Contractor Programme</t>
        </is>
      </c>
      <c r="D296" s="23" t="inlineStr">
        <is>
          <t>SCH-02-017</t>
        </is>
      </c>
      <c r="E296" s="23" t="inlineStr">
        <is>
          <t>Market Station: vertical-transport installation - turnover</t>
        </is>
      </c>
      <c r="F296" s="23" t="inlineStr">
        <is>
          <t>ONE_TO_ONE</t>
        </is>
      </c>
      <c r="G296" s="23" t="inlineStr">
        <is>
          <t>RETAINED</t>
        </is>
      </c>
      <c r="H296" s="23" t="inlineStr">
        <is>
          <t>Carried forward</t>
        </is>
      </c>
      <c r="I296" s="23" t="inlineStr">
        <is>
          <t>Source assignment -- not individually reviewed</t>
        </is>
      </c>
      <c r="J296" s="23" t="inlineStr"/>
      <c r="K296" s="23" t="inlineStr">
        <is>
          <t>Source assignment</t>
        </is>
      </c>
      <c r="L296" s="23" t="inlineStr"/>
      <c r="M296" s="23" t="inlineStr">
        <is>
          <t>Contractor Programme Cycle 2</t>
        </is>
      </c>
      <c r="N296" s="23" t="inlineStr">
        <is>
          <t>Rev 1</t>
        </is>
      </c>
      <c r="O296" s="23" t="inlineStr">
        <is>
          <t>R197-v2</t>
        </is>
      </c>
      <c r="P296" s="23" t="inlineStr"/>
      <c r="Q296" s="23" t="inlineStr"/>
      <c r="R296" s="23" t="inlineStr"/>
      <c r="S296" s="23" t="inlineStr"/>
      <c r="T296" s="23" t="inlineStr"/>
      <c r="U296" s="23" t="inlineStr"/>
      <c r="V296" s="23" t="inlineStr">
        <is>
          <t>WBS Code = 1.2.1</t>
        </is>
      </c>
      <c r="W296" s="23" t="inlineStr"/>
    </row>
    <row r="297" ht="49" customHeight="1">
      <c r="A297" s="23" t="inlineStr">
        <is>
          <t>1.2.1</t>
        </is>
      </c>
      <c r="B297" s="23" t="inlineStr">
        <is>
          <t>Stations - Station Structures</t>
        </is>
      </c>
      <c r="C297" s="23" t="inlineStr">
        <is>
          <t>Contractor Programme</t>
        </is>
      </c>
      <c r="D297" s="23" t="inlineStr">
        <is>
          <t>SCH-02-019</t>
        </is>
      </c>
      <c r="E297" s="23" t="inlineStr">
        <is>
          <t>University Station: architectural wall framing - field start</t>
        </is>
      </c>
      <c r="F297" s="23" t="inlineStr">
        <is>
          <t>ONE_TO_ONE</t>
        </is>
      </c>
      <c r="G297" s="23" t="inlineStr">
        <is>
          <t>RETAINED</t>
        </is>
      </c>
      <c r="H297" s="23" t="inlineStr">
        <is>
          <t>Carried forward</t>
        </is>
      </c>
      <c r="I297" s="23" t="inlineStr">
        <is>
          <t>Source assignment -- not individually reviewed</t>
        </is>
      </c>
      <c r="J297" s="23" t="inlineStr"/>
      <c r="K297" s="23" t="inlineStr">
        <is>
          <t>Source assignment</t>
        </is>
      </c>
      <c r="L297" s="23" t="inlineStr"/>
      <c r="M297" s="23" t="inlineStr">
        <is>
          <t>Contractor Programme Cycle 2</t>
        </is>
      </c>
      <c r="N297" s="23" t="inlineStr">
        <is>
          <t>Rev 1</t>
        </is>
      </c>
      <c r="O297" s="23" t="inlineStr">
        <is>
          <t>R199-v2</t>
        </is>
      </c>
      <c r="P297" s="23" t="inlineStr"/>
      <c r="Q297" s="23" t="inlineStr"/>
      <c r="R297" s="23" t="inlineStr"/>
      <c r="S297" s="23" t="inlineStr"/>
      <c r="T297" s="23" t="inlineStr"/>
      <c r="U297" s="23" t="inlineStr"/>
      <c r="V297" s="23" t="inlineStr">
        <is>
          <t>WBS Code = 1.2.1</t>
        </is>
      </c>
      <c r="W297" s="23" t="inlineStr"/>
    </row>
    <row r="298" ht="49" customHeight="1">
      <c r="A298" s="23" t="inlineStr">
        <is>
          <t>1.2.1</t>
        </is>
      </c>
      <c r="B298" s="23" t="inlineStr">
        <is>
          <t>Stations - Station Structures</t>
        </is>
      </c>
      <c r="C298" s="23" t="inlineStr">
        <is>
          <t>Contractor Programme</t>
        </is>
      </c>
      <c r="D298" s="23" t="inlineStr">
        <is>
          <t>SCH-02-020</t>
        </is>
      </c>
      <c r="E298" s="23" t="inlineStr">
        <is>
          <t>West Terminal: fire-life-safety cabling - installation</t>
        </is>
      </c>
      <c r="F298" s="23" t="inlineStr">
        <is>
          <t>ONE_TO_ONE</t>
        </is>
      </c>
      <c r="G298" s="23" t="inlineStr">
        <is>
          <t>RETAINED</t>
        </is>
      </c>
      <c r="H298" s="23" t="inlineStr">
        <is>
          <t>Carried forward</t>
        </is>
      </c>
      <c r="I298" s="23" t="inlineStr">
        <is>
          <t>Source assignment -- not individually reviewed</t>
        </is>
      </c>
      <c r="J298" s="23" t="inlineStr"/>
      <c r="K298" s="23" t="inlineStr">
        <is>
          <t>Source assignment</t>
        </is>
      </c>
      <c r="L298" s="23" t="inlineStr"/>
      <c r="M298" s="23" t="inlineStr">
        <is>
          <t>Contractor Programme Cycle 2</t>
        </is>
      </c>
      <c r="N298" s="23" t="inlineStr">
        <is>
          <t>Rev 1</t>
        </is>
      </c>
      <c r="O298" s="23" t="inlineStr">
        <is>
          <t>R200-v2</t>
        </is>
      </c>
      <c r="P298" s="23" t="inlineStr"/>
      <c r="Q298" s="23" t="inlineStr"/>
      <c r="R298" s="23" t="inlineStr"/>
      <c r="S298" s="23" t="inlineStr"/>
      <c r="T298" s="23" t="inlineStr"/>
      <c r="U298" s="23" t="inlineStr"/>
      <c r="V298" s="23" t="inlineStr">
        <is>
          <t>WBS Code = 1.2.1</t>
        </is>
      </c>
      <c r="W298" s="23" t="inlineStr"/>
    </row>
    <row r="299" ht="49" customHeight="1">
      <c r="A299" s="23" t="inlineStr">
        <is>
          <t>1.2.1</t>
        </is>
      </c>
      <c r="B299" s="23" t="inlineStr">
        <is>
          <t>Stations - Station Structures</t>
        </is>
      </c>
      <c r="C299" s="23" t="inlineStr">
        <is>
          <t>Contractor Programme</t>
        </is>
      </c>
      <c r="D299" s="23" t="inlineStr">
        <is>
          <t>SCH-02-022</t>
        </is>
      </c>
      <c r="E299" s="23" t="inlineStr">
        <is>
          <t>Market Station: station ventilation rough-in - turnover</t>
        </is>
      </c>
      <c r="F299" s="23" t="inlineStr">
        <is>
          <t>ONE_TO_ONE</t>
        </is>
      </c>
      <c r="G299" s="23" t="inlineStr">
        <is>
          <t>RETAINED</t>
        </is>
      </c>
      <c r="H299" s="23" t="inlineStr">
        <is>
          <t>Carried forward</t>
        </is>
      </c>
      <c r="I299" s="23" t="inlineStr">
        <is>
          <t>Source assignment -- not individually reviewed</t>
        </is>
      </c>
      <c r="J299" s="23" t="inlineStr"/>
      <c r="K299" s="23" t="inlineStr">
        <is>
          <t>Source assignment</t>
        </is>
      </c>
      <c r="L299" s="23" t="inlineStr"/>
      <c r="M299" s="23" t="inlineStr">
        <is>
          <t>Contractor Programme Cycle 2</t>
        </is>
      </c>
      <c r="N299" s="23" t="inlineStr">
        <is>
          <t>Rev 1</t>
        </is>
      </c>
      <c r="O299" s="23" t="inlineStr">
        <is>
          <t>R202-v2</t>
        </is>
      </c>
      <c r="P299" s="23" t="inlineStr"/>
      <c r="Q299" s="23" t="inlineStr"/>
      <c r="R299" s="23" t="inlineStr"/>
      <c r="S299" s="23" t="inlineStr"/>
      <c r="T299" s="23" t="inlineStr"/>
      <c r="U299" s="23" t="inlineStr"/>
      <c r="V299" s="23" t="inlineStr">
        <is>
          <t>WBS Code = 1.2.1</t>
        </is>
      </c>
      <c r="W299" s="23" t="inlineStr"/>
    </row>
    <row r="300" ht="49" customHeight="1">
      <c r="A300" s="23" t="inlineStr">
        <is>
          <t>1.2.1</t>
        </is>
      </c>
      <c r="B300" s="23" t="inlineStr">
        <is>
          <t>Stations - Station Structures</t>
        </is>
      </c>
      <c r="C300" s="23" t="inlineStr">
        <is>
          <t>Contractor Programme</t>
        </is>
      </c>
      <c r="D300" s="23" t="inlineStr">
        <is>
          <t>SCH-02-023</t>
        </is>
      </c>
      <c r="E300" s="23" t="inlineStr">
        <is>
          <t>Civic Station: public-realm paving - release</t>
        </is>
      </c>
      <c r="F300" s="23" t="inlineStr">
        <is>
          <t>ONE_TO_ONE</t>
        </is>
      </c>
      <c r="G300" s="23" t="inlineStr">
        <is>
          <t>RETAINED</t>
        </is>
      </c>
      <c r="H300" s="23" t="inlineStr">
        <is>
          <t>Carried forward</t>
        </is>
      </c>
      <c r="I300" s="23" t="inlineStr">
        <is>
          <t>Source assignment -- not individually reviewed</t>
        </is>
      </c>
      <c r="J300" s="23" t="inlineStr"/>
      <c r="K300" s="23" t="inlineStr">
        <is>
          <t>Source assignment</t>
        </is>
      </c>
      <c r="L300" s="23" t="inlineStr"/>
      <c r="M300" s="23" t="inlineStr">
        <is>
          <t>Contractor Programme Cycle 2</t>
        </is>
      </c>
      <c r="N300" s="23" t="inlineStr">
        <is>
          <t>Rev 1</t>
        </is>
      </c>
      <c r="O300" s="23" t="inlineStr">
        <is>
          <t>R203-v2</t>
        </is>
      </c>
      <c r="P300" s="23" t="inlineStr"/>
      <c r="Q300" s="23" t="inlineStr"/>
      <c r="R300" s="23" t="inlineStr"/>
      <c r="S300" s="23" t="inlineStr"/>
      <c r="T300" s="23" t="inlineStr"/>
      <c r="U300" s="23" t="inlineStr"/>
      <c r="V300" s="23" t="inlineStr">
        <is>
          <t>WBS Code = 1.2.1</t>
        </is>
      </c>
      <c r="W300" s="23" t="inlineStr"/>
    </row>
    <row r="301" ht="49" customHeight="1">
      <c r="A301" s="23" t="inlineStr">
        <is>
          <t>1.2.1</t>
        </is>
      </c>
      <c r="B301" s="23" t="inlineStr">
        <is>
          <t>Stations - Station Structures</t>
        </is>
      </c>
      <c r="C301" s="23" t="inlineStr">
        <is>
          <t>Contractor Programme</t>
        </is>
      </c>
      <c r="D301" s="23" t="inlineStr">
        <is>
          <t>SCH-02-025</t>
        </is>
      </c>
      <c r="E301" s="23" t="inlineStr">
        <is>
          <t>West Terminal: vertical-transport installation - installation</t>
        </is>
      </c>
      <c r="F301" s="23" t="inlineStr">
        <is>
          <t>ONE_TO_ONE</t>
        </is>
      </c>
      <c r="G301" s="23" t="inlineStr">
        <is>
          <t>RETAINED</t>
        </is>
      </c>
      <c r="H301" s="23" t="inlineStr">
        <is>
          <t>Carried forward</t>
        </is>
      </c>
      <c r="I301" s="23" t="inlineStr">
        <is>
          <t>Source assignment -- not individually reviewed</t>
        </is>
      </c>
      <c r="J301" s="23" t="inlineStr"/>
      <c r="K301" s="23" t="inlineStr">
        <is>
          <t>Source assignment</t>
        </is>
      </c>
      <c r="L301" s="23" t="inlineStr"/>
      <c r="M301" s="23" t="inlineStr">
        <is>
          <t>Contractor Programme Cycle 2</t>
        </is>
      </c>
      <c r="N301" s="23" t="inlineStr">
        <is>
          <t>Rev 1</t>
        </is>
      </c>
      <c r="O301" s="23" t="inlineStr">
        <is>
          <t>R205-v2</t>
        </is>
      </c>
      <c r="P301" s="23" t="inlineStr"/>
      <c r="Q301" s="23" t="inlineStr"/>
      <c r="R301" s="23" t="inlineStr"/>
      <c r="S301" s="23" t="inlineStr"/>
      <c r="T301" s="23" t="inlineStr"/>
      <c r="U301" s="23" t="inlineStr"/>
      <c r="V301" s="23" t="inlineStr">
        <is>
          <t>WBS Code = 1.2.1</t>
        </is>
      </c>
      <c r="W301" s="23" t="inlineStr"/>
    </row>
    <row r="302" ht="49" customHeight="1">
      <c r="A302" s="23" t="inlineStr">
        <is>
          <t>1.2.1</t>
        </is>
      </c>
      <c r="B302" s="23" t="inlineStr">
        <is>
          <t>Stations - Station Structures</t>
        </is>
      </c>
      <c r="C302" s="23" t="inlineStr">
        <is>
          <t>Contractor Programme</t>
        </is>
      </c>
      <c r="D302" s="23" t="inlineStr">
        <is>
          <t>SCH-02-026</t>
        </is>
      </c>
      <c r="E302" s="23" t="inlineStr">
        <is>
          <t>Harbour Station: platform edge installation - inspection</t>
        </is>
      </c>
      <c r="F302" s="23" t="inlineStr">
        <is>
          <t>ONE_TO_ONE</t>
        </is>
      </c>
      <c r="G302" s="23" t="inlineStr">
        <is>
          <t>RETAINED</t>
        </is>
      </c>
      <c r="H302" s="23" t="inlineStr">
        <is>
          <t>Carried forward</t>
        </is>
      </c>
      <c r="I302" s="23" t="inlineStr">
        <is>
          <t>Source assignment -- not individually reviewed</t>
        </is>
      </c>
      <c r="J302" s="23" t="inlineStr"/>
      <c r="K302" s="23" t="inlineStr">
        <is>
          <t>Source assignment</t>
        </is>
      </c>
      <c r="L302" s="23" t="inlineStr"/>
      <c r="M302" s="23" t="inlineStr">
        <is>
          <t>Contractor Programme Cycle 2</t>
        </is>
      </c>
      <c r="N302" s="23" t="inlineStr">
        <is>
          <t>Rev 1</t>
        </is>
      </c>
      <c r="O302" s="23" t="inlineStr">
        <is>
          <t>R206-v2</t>
        </is>
      </c>
      <c r="P302" s="23" t="inlineStr"/>
      <c r="Q302" s="23" t="inlineStr"/>
      <c r="R302" s="23" t="inlineStr"/>
      <c r="S302" s="23" t="inlineStr"/>
      <c r="T302" s="23" t="inlineStr"/>
      <c r="U302" s="23" t="inlineStr"/>
      <c r="V302" s="23" t="inlineStr">
        <is>
          <t>WBS Code = 1.2.1</t>
        </is>
      </c>
      <c r="W302" s="23" t="inlineStr"/>
    </row>
    <row r="303" ht="49" customHeight="1">
      <c r="A303" s="23" t="inlineStr">
        <is>
          <t>1.2.1</t>
        </is>
      </c>
      <c r="B303" s="23" t="inlineStr">
        <is>
          <t>Stations - Station Structures</t>
        </is>
      </c>
      <c r="C303" s="23" t="inlineStr">
        <is>
          <t>Contractor Programme</t>
        </is>
      </c>
      <c r="D303" s="23" t="inlineStr">
        <is>
          <t>SCH-02-028</t>
        </is>
      </c>
      <c r="E303" s="23" t="inlineStr">
        <is>
          <t>Civic Station: fire-life-safety cabling - release</t>
        </is>
      </c>
      <c r="F303" s="23" t="inlineStr">
        <is>
          <t>ONE_TO_ONE</t>
        </is>
      </c>
      <c r="G303" s="23" t="inlineStr">
        <is>
          <t>RETAINED</t>
        </is>
      </c>
      <c r="H303" s="23" t="inlineStr">
        <is>
          <t>Carried forward</t>
        </is>
      </c>
      <c r="I303" s="23" t="inlineStr">
        <is>
          <t>Source assignment -- not individually reviewed</t>
        </is>
      </c>
      <c r="J303" s="23" t="inlineStr"/>
      <c r="K303" s="23" t="inlineStr">
        <is>
          <t>Source assignment</t>
        </is>
      </c>
      <c r="L303" s="23" t="inlineStr"/>
      <c r="M303" s="23" t="inlineStr">
        <is>
          <t>Contractor Programme Cycle 2</t>
        </is>
      </c>
      <c r="N303" s="23" t="inlineStr">
        <is>
          <t>Rev 1</t>
        </is>
      </c>
      <c r="O303" s="23" t="inlineStr">
        <is>
          <t>R208-v2</t>
        </is>
      </c>
      <c r="P303" s="23" t="inlineStr"/>
      <c r="Q303" s="23" t="inlineStr"/>
      <c r="R303" s="23" t="inlineStr"/>
      <c r="S303" s="23" t="inlineStr"/>
      <c r="T303" s="23" t="inlineStr"/>
      <c r="U303" s="23" t="inlineStr"/>
      <c r="V303" s="23" t="inlineStr">
        <is>
          <t>WBS Code = 1.2.1</t>
        </is>
      </c>
      <c r="W303" s="23" t="inlineStr"/>
    </row>
    <row r="304" ht="49" customHeight="1">
      <c r="A304" s="23" t="inlineStr">
        <is>
          <t>1.2.1</t>
        </is>
      </c>
      <c r="B304" s="23" t="inlineStr">
        <is>
          <t>Stations - Station Structures</t>
        </is>
      </c>
      <c r="C304" s="23" t="inlineStr">
        <is>
          <t>Contractor Programme</t>
        </is>
      </c>
      <c r="D304" s="23" t="inlineStr">
        <is>
          <t>SCH-02-029</t>
        </is>
      </c>
      <c r="E304" s="23" t="inlineStr">
        <is>
          <t>University Station: concourse slab pour - field start</t>
        </is>
      </c>
      <c r="F304" s="23" t="inlineStr">
        <is>
          <t>ONE_TO_ONE</t>
        </is>
      </c>
      <c r="G304" s="23" t="inlineStr">
        <is>
          <t>RETAINED</t>
        </is>
      </c>
      <c r="H304" s="23" t="inlineStr">
        <is>
          <t>Carried forward</t>
        </is>
      </c>
      <c r="I304" s="23" t="inlineStr">
        <is>
          <t>Source assignment -- not individually reviewed</t>
        </is>
      </c>
      <c r="J304" s="23" t="inlineStr"/>
      <c r="K304" s="23" t="inlineStr">
        <is>
          <t>Source assignment</t>
        </is>
      </c>
      <c r="L304" s="23" t="inlineStr"/>
      <c r="M304" s="23" t="inlineStr">
        <is>
          <t>Contractor Programme Cycle 2</t>
        </is>
      </c>
      <c r="N304" s="23" t="inlineStr">
        <is>
          <t>Rev 1</t>
        </is>
      </c>
      <c r="O304" s="23" t="inlineStr">
        <is>
          <t>R209-v2</t>
        </is>
      </c>
      <c r="P304" s="23" t="inlineStr"/>
      <c r="Q304" s="23" t="inlineStr"/>
      <c r="R304" s="23" t="inlineStr"/>
      <c r="S304" s="23" t="inlineStr"/>
      <c r="T304" s="23" t="inlineStr"/>
      <c r="U304" s="23" t="inlineStr"/>
      <c r="V304" s="23" t="inlineStr">
        <is>
          <t>WBS Code = 1.2.1</t>
        </is>
      </c>
      <c r="W304" s="23" t="inlineStr"/>
    </row>
    <row r="305" ht="49" customHeight="1">
      <c r="A305" s="23" t="inlineStr">
        <is>
          <t>1.2.1</t>
        </is>
      </c>
      <c r="B305" s="23" t="inlineStr">
        <is>
          <t>Stations - Station Structures</t>
        </is>
      </c>
      <c r="C305" s="23" t="inlineStr">
        <is>
          <t>Contractor Programme</t>
        </is>
      </c>
      <c r="D305" s="23" t="inlineStr">
        <is>
          <t>SCH-02-031</t>
        </is>
      </c>
      <c r="E305" s="23" t="inlineStr">
        <is>
          <t>Harbour Station: public-realm paving - inspection</t>
        </is>
      </c>
      <c r="F305" s="23" t="inlineStr">
        <is>
          <t>ONE_TO_ONE</t>
        </is>
      </c>
      <c r="G305" s="23" t="inlineStr">
        <is>
          <t>RETAINED</t>
        </is>
      </c>
      <c r="H305" s="23" t="inlineStr">
        <is>
          <t>Carried forward</t>
        </is>
      </c>
      <c r="I305" s="23" t="inlineStr">
        <is>
          <t>Source assignment -- not individually reviewed</t>
        </is>
      </c>
      <c r="J305" s="23" t="inlineStr"/>
      <c r="K305" s="23" t="inlineStr">
        <is>
          <t>Source assignment</t>
        </is>
      </c>
      <c r="L305" s="23" t="inlineStr"/>
      <c r="M305" s="23" t="inlineStr">
        <is>
          <t>Contractor Programme Cycle 2</t>
        </is>
      </c>
      <c r="N305" s="23" t="inlineStr">
        <is>
          <t>Rev 1</t>
        </is>
      </c>
      <c r="O305" s="23" t="inlineStr">
        <is>
          <t>R211-v2</t>
        </is>
      </c>
      <c r="P305" s="23" t="inlineStr"/>
      <c r="Q305" s="23" t="inlineStr"/>
      <c r="R305" s="23" t="inlineStr"/>
      <c r="S305" s="23" t="inlineStr"/>
      <c r="T305" s="23" t="inlineStr"/>
      <c r="U305" s="23" t="inlineStr"/>
      <c r="V305" s="23" t="inlineStr">
        <is>
          <t>WBS Code = 1.2.1</t>
        </is>
      </c>
      <c r="W305" s="23" t="inlineStr"/>
    </row>
    <row r="306" ht="49" customHeight="1">
      <c r="A306" s="23" t="inlineStr">
        <is>
          <t>1.2.1</t>
        </is>
      </c>
      <c r="B306" s="23" t="inlineStr">
        <is>
          <t>Stations - Station Structures</t>
        </is>
      </c>
      <c r="C306" s="23" t="inlineStr">
        <is>
          <t>Contractor Programme</t>
        </is>
      </c>
      <c r="D306" s="23" t="inlineStr">
        <is>
          <t>SCH-02-032</t>
        </is>
      </c>
      <c r="E306" s="23" t="inlineStr">
        <is>
          <t>Market Station: entrance steel erection - turnover</t>
        </is>
      </c>
      <c r="F306" s="23" t="inlineStr">
        <is>
          <t>ONE_TO_ONE</t>
        </is>
      </c>
      <c r="G306" s="23" t="inlineStr">
        <is>
          <t>RETAINED</t>
        </is>
      </c>
      <c r="H306" s="23" t="inlineStr">
        <is>
          <t>Carried forward</t>
        </is>
      </c>
      <c r="I306" s="23" t="inlineStr">
        <is>
          <t>Source assignment -- not individually reviewed</t>
        </is>
      </c>
      <c r="J306" s="23" t="inlineStr"/>
      <c r="K306" s="23" t="inlineStr">
        <is>
          <t>Source assignment</t>
        </is>
      </c>
      <c r="L306" s="23" t="inlineStr"/>
      <c r="M306" s="23" t="inlineStr">
        <is>
          <t>Contractor Programme Cycle 2</t>
        </is>
      </c>
      <c r="N306" s="23" t="inlineStr">
        <is>
          <t>Rev 1</t>
        </is>
      </c>
      <c r="O306" s="23" t="inlineStr">
        <is>
          <t>R212-v2</t>
        </is>
      </c>
      <c r="P306" s="23" t="inlineStr"/>
      <c r="Q306" s="23" t="inlineStr"/>
      <c r="R306" s="23" t="inlineStr"/>
      <c r="S306" s="23" t="inlineStr"/>
      <c r="T306" s="23" t="inlineStr"/>
      <c r="U306" s="23" t="inlineStr"/>
      <c r="V306" s="23" t="inlineStr">
        <is>
          <t>WBS Code = 1.2.1</t>
        </is>
      </c>
      <c r="W306" s="23" t="inlineStr"/>
    </row>
    <row r="307" ht="49" customHeight="1">
      <c r="A307" s="23" t="inlineStr">
        <is>
          <t>1.2.1</t>
        </is>
      </c>
      <c r="B307" s="23" t="inlineStr">
        <is>
          <t>Stations - Station Structures</t>
        </is>
      </c>
      <c r="C307" s="23" t="inlineStr">
        <is>
          <t>Contractor Programme</t>
        </is>
      </c>
      <c r="D307" s="23" t="inlineStr">
        <is>
          <t>SCH-02-034</t>
        </is>
      </c>
      <c r="E307" s="23" t="inlineStr">
        <is>
          <t>University Station: platform edge installation - field start</t>
        </is>
      </c>
      <c r="F307" s="23" t="inlineStr">
        <is>
          <t>ONE_TO_ONE</t>
        </is>
      </c>
      <c r="G307" s="23" t="inlineStr">
        <is>
          <t>RETAINED</t>
        </is>
      </c>
      <c r="H307" s="23" t="inlineStr">
        <is>
          <t>Carried forward</t>
        </is>
      </c>
      <c r="I307" s="23" t="inlineStr">
        <is>
          <t>Source assignment -- not individually reviewed</t>
        </is>
      </c>
      <c r="J307" s="23" t="inlineStr"/>
      <c r="K307" s="23" t="inlineStr">
        <is>
          <t>Source assignment</t>
        </is>
      </c>
      <c r="L307" s="23" t="inlineStr"/>
      <c r="M307" s="23" t="inlineStr">
        <is>
          <t>Contractor Programme Cycle 2</t>
        </is>
      </c>
      <c r="N307" s="23" t="inlineStr">
        <is>
          <t>Rev 1</t>
        </is>
      </c>
      <c r="O307" s="23" t="inlineStr">
        <is>
          <t>R214-v2</t>
        </is>
      </c>
      <c r="P307" s="23" t="inlineStr"/>
      <c r="Q307" s="23" t="inlineStr"/>
      <c r="R307" s="23" t="inlineStr"/>
      <c r="S307" s="23" t="inlineStr"/>
      <c r="T307" s="23" t="inlineStr"/>
      <c r="U307" s="23" t="inlineStr"/>
      <c r="V307" s="23" t="inlineStr">
        <is>
          <t>WBS Code = 1.2.1</t>
        </is>
      </c>
      <c r="W307" s="23" t="inlineStr"/>
    </row>
    <row r="308" ht="49" customHeight="1">
      <c r="A308" s="23" t="inlineStr">
        <is>
          <t>1.2.1</t>
        </is>
      </c>
      <c r="B308" s="23" t="inlineStr">
        <is>
          <t>Stations - Station Structures</t>
        </is>
      </c>
      <c r="C308" s="23" t="inlineStr">
        <is>
          <t>Contractor Programme</t>
        </is>
      </c>
      <c r="D308" s="23" t="inlineStr">
        <is>
          <t>SCH-02-035</t>
        </is>
      </c>
      <c r="E308" s="23" t="inlineStr">
        <is>
          <t>West Terminal: architectural wall framing - installation</t>
        </is>
      </c>
      <c r="F308" s="23" t="inlineStr">
        <is>
          <t>ONE_TO_ONE</t>
        </is>
      </c>
      <c r="G308" s="23" t="inlineStr">
        <is>
          <t>RETAINED</t>
        </is>
      </c>
      <c r="H308" s="23" t="inlineStr">
        <is>
          <t>Carried forward</t>
        </is>
      </c>
      <c r="I308" s="23" t="inlineStr">
        <is>
          <t>Source assignment -- not individually reviewed</t>
        </is>
      </c>
      <c r="J308" s="23" t="inlineStr"/>
      <c r="K308" s="23" t="inlineStr">
        <is>
          <t>Source assignment</t>
        </is>
      </c>
      <c r="L308" s="23" t="inlineStr"/>
      <c r="M308" s="23" t="inlineStr">
        <is>
          <t>Contractor Programme Cycle 2</t>
        </is>
      </c>
      <c r="N308" s="23" t="inlineStr">
        <is>
          <t>Rev 1</t>
        </is>
      </c>
      <c r="O308" s="23" t="inlineStr">
        <is>
          <t>R215-v2</t>
        </is>
      </c>
      <c r="P308" s="23" t="inlineStr"/>
      <c r="Q308" s="23" t="inlineStr"/>
      <c r="R308" s="23" t="inlineStr"/>
      <c r="S308" s="23" t="inlineStr"/>
      <c r="T308" s="23" t="inlineStr"/>
      <c r="U308" s="23" t="inlineStr"/>
      <c r="V308" s="23" t="inlineStr">
        <is>
          <t>WBS Code = 1.2.1</t>
        </is>
      </c>
      <c r="W308" s="23" t="inlineStr"/>
    </row>
    <row r="309" ht="49" customHeight="1">
      <c r="A309" s="23" t="inlineStr">
        <is>
          <t>1.2.1</t>
        </is>
      </c>
      <c r="B309" s="23" t="inlineStr">
        <is>
          <t>Stations - Station Structures</t>
        </is>
      </c>
      <c r="C309" s="23" t="inlineStr">
        <is>
          <t>Contractor Programme</t>
        </is>
      </c>
      <c r="D309" s="23" t="inlineStr">
        <is>
          <t>SCH-02-037</t>
        </is>
      </c>
      <c r="E309" s="23" t="inlineStr">
        <is>
          <t>Market Station: concourse slab pour - turnover</t>
        </is>
      </c>
      <c r="F309" s="23" t="inlineStr">
        <is>
          <t>ONE_TO_ONE</t>
        </is>
      </c>
      <c r="G309" s="23" t="inlineStr">
        <is>
          <t>RETAINED</t>
        </is>
      </c>
      <c r="H309" s="23" t="inlineStr">
        <is>
          <t>Carried forward</t>
        </is>
      </c>
      <c r="I309" s="23" t="inlineStr">
        <is>
          <t>Source assignment -- not individually reviewed</t>
        </is>
      </c>
      <c r="J309" s="23" t="inlineStr"/>
      <c r="K309" s="23" t="inlineStr">
        <is>
          <t>Source assignment</t>
        </is>
      </c>
      <c r="L309" s="23" t="inlineStr"/>
      <c r="M309" s="23" t="inlineStr">
        <is>
          <t>Contractor Programme Cycle 2</t>
        </is>
      </c>
      <c r="N309" s="23" t="inlineStr">
        <is>
          <t>Rev 1</t>
        </is>
      </c>
      <c r="O309" s="23" t="inlineStr">
        <is>
          <t>R217-v2</t>
        </is>
      </c>
      <c r="P309" s="23" t="inlineStr"/>
      <c r="Q309" s="23" t="inlineStr"/>
      <c r="R309" s="23" t="inlineStr"/>
      <c r="S309" s="23" t="inlineStr"/>
      <c r="T309" s="23" t="inlineStr"/>
      <c r="U309" s="23" t="inlineStr"/>
      <c r="V309" s="23" t="inlineStr">
        <is>
          <t>WBS Code = 1.2.1</t>
        </is>
      </c>
      <c r="W309" s="23" t="inlineStr"/>
    </row>
    <row r="310" ht="49" customHeight="1">
      <c r="A310" s="23" t="inlineStr">
        <is>
          <t>1.2.1</t>
        </is>
      </c>
      <c r="B310" s="23" t="inlineStr">
        <is>
          <t>Stations - Station Structures</t>
        </is>
      </c>
      <c r="C310" s="23" t="inlineStr">
        <is>
          <t>Contractor Programme</t>
        </is>
      </c>
      <c r="D310" s="23" t="inlineStr">
        <is>
          <t>SCH-02-038</t>
        </is>
      </c>
      <c r="E310" s="23" t="inlineStr">
        <is>
          <t>Civic Station: station ventilation rough-in - release</t>
        </is>
      </c>
      <c r="F310" s="23" t="inlineStr">
        <is>
          <t>ONE_TO_ONE</t>
        </is>
      </c>
      <c r="G310" s="23" t="inlineStr">
        <is>
          <t>RETAINED</t>
        </is>
      </c>
      <c r="H310" s="23" t="inlineStr">
        <is>
          <t>Carried forward</t>
        </is>
      </c>
      <c r="I310" s="23" t="inlineStr">
        <is>
          <t>Source assignment -- not individually reviewed</t>
        </is>
      </c>
      <c r="J310" s="23" t="inlineStr"/>
      <c r="K310" s="23" t="inlineStr">
        <is>
          <t>Source assignment</t>
        </is>
      </c>
      <c r="L310" s="23" t="inlineStr"/>
      <c r="M310" s="23" t="inlineStr">
        <is>
          <t>Contractor Programme Cycle 2</t>
        </is>
      </c>
      <c r="N310" s="23" t="inlineStr">
        <is>
          <t>Rev 1</t>
        </is>
      </c>
      <c r="O310" s="23" t="inlineStr">
        <is>
          <t>R218-v2</t>
        </is>
      </c>
      <c r="P310" s="23" t="inlineStr"/>
      <c r="Q310" s="23" t="inlineStr"/>
      <c r="R310" s="23" t="inlineStr"/>
      <c r="S310" s="23" t="inlineStr"/>
      <c r="T310" s="23" t="inlineStr"/>
      <c r="U310" s="23" t="inlineStr"/>
      <c r="V310" s="23" t="inlineStr">
        <is>
          <t>WBS Code = 1.2.1</t>
        </is>
      </c>
      <c r="W310" s="23" t="inlineStr"/>
    </row>
    <row r="311" ht="49" customHeight="1">
      <c r="A311" s="23" t="inlineStr">
        <is>
          <t>1.2.1</t>
        </is>
      </c>
      <c r="B311" s="23" t="inlineStr">
        <is>
          <t>Stations - Station Structures</t>
        </is>
      </c>
      <c r="C311" s="23" t="inlineStr">
        <is>
          <t>Contractor Programme</t>
        </is>
      </c>
      <c r="D311" s="23" t="inlineStr">
        <is>
          <t>SCH-02-040</t>
        </is>
      </c>
      <c r="E311" s="23" t="inlineStr">
        <is>
          <t>West Terminal: entrance steel erection - installation</t>
        </is>
      </c>
      <c r="F311" s="23" t="inlineStr">
        <is>
          <t>ONE_TO_ONE</t>
        </is>
      </c>
      <c r="G311" s="23" t="inlineStr">
        <is>
          <t>RETAINED</t>
        </is>
      </c>
      <c r="H311" s="23" t="inlineStr">
        <is>
          <t>Carried forward</t>
        </is>
      </c>
      <c r="I311" s="23" t="inlineStr">
        <is>
          <t>Source assignment -- not individually reviewed</t>
        </is>
      </c>
      <c r="J311" s="23" t="inlineStr"/>
      <c r="K311" s="23" t="inlineStr">
        <is>
          <t>Source assignment</t>
        </is>
      </c>
      <c r="L311" s="23" t="inlineStr"/>
      <c r="M311" s="23" t="inlineStr">
        <is>
          <t>Contractor Programme Cycle 2</t>
        </is>
      </c>
      <c r="N311" s="23" t="inlineStr">
        <is>
          <t>Rev 1</t>
        </is>
      </c>
      <c r="O311" s="23" t="inlineStr">
        <is>
          <t>R220-v2</t>
        </is>
      </c>
      <c r="P311" s="23" t="inlineStr"/>
      <c r="Q311" s="23" t="inlineStr"/>
      <c r="R311" s="23" t="inlineStr"/>
      <c r="S311" s="23" t="inlineStr"/>
      <c r="T311" s="23" t="inlineStr"/>
      <c r="U311" s="23" t="inlineStr"/>
      <c r="V311" s="23" t="inlineStr">
        <is>
          <t>WBS Code = 1.2.1</t>
        </is>
      </c>
      <c r="W311" s="23" t="inlineStr"/>
    </row>
    <row r="312" ht="49" customHeight="1">
      <c r="A312" s="23" t="inlineStr">
        <is>
          <t>1.2.1</t>
        </is>
      </c>
      <c r="B312" s="23" t="inlineStr">
        <is>
          <t>Stations - Station Structures</t>
        </is>
      </c>
      <c r="C312" s="23" t="inlineStr">
        <is>
          <t>Contractor Programme</t>
        </is>
      </c>
      <c r="D312" s="23" t="inlineStr">
        <is>
          <t>SCH-02-041</t>
        </is>
      </c>
      <c r="E312" s="23" t="inlineStr">
        <is>
          <t>Harbour Station: vertical-transport installation - inspection</t>
        </is>
      </c>
      <c r="F312" s="23" t="inlineStr">
        <is>
          <t>ONE_TO_ONE</t>
        </is>
      </c>
      <c r="G312" s="23" t="inlineStr">
        <is>
          <t>RETAINED</t>
        </is>
      </c>
      <c r="H312" s="23" t="inlineStr">
        <is>
          <t>Carried forward</t>
        </is>
      </c>
      <c r="I312" s="23" t="inlineStr">
        <is>
          <t>Source assignment -- not individually reviewed</t>
        </is>
      </c>
      <c r="J312" s="23" t="inlineStr"/>
      <c r="K312" s="23" t="inlineStr">
        <is>
          <t>Source assignment</t>
        </is>
      </c>
      <c r="L312" s="23" t="inlineStr"/>
      <c r="M312" s="23" t="inlineStr">
        <is>
          <t>Contractor Programme Cycle 2</t>
        </is>
      </c>
      <c r="N312" s="23" t="inlineStr">
        <is>
          <t>Rev 1</t>
        </is>
      </c>
      <c r="O312" s="23" t="inlineStr">
        <is>
          <t>R221-v2</t>
        </is>
      </c>
      <c r="P312" s="23" t="inlineStr"/>
      <c r="Q312" s="23" t="inlineStr"/>
      <c r="R312" s="23" t="inlineStr"/>
      <c r="S312" s="23" t="inlineStr"/>
      <c r="T312" s="23" t="inlineStr"/>
      <c r="U312" s="23" t="inlineStr"/>
      <c r="V312" s="23" t="inlineStr">
        <is>
          <t>WBS Code = 1.2.1</t>
        </is>
      </c>
      <c r="W312" s="23" t="inlineStr"/>
    </row>
    <row r="313" ht="49" customHeight="1">
      <c r="A313" s="23" t="inlineStr">
        <is>
          <t>1.2.1</t>
        </is>
      </c>
      <c r="B313" s="23" t="inlineStr">
        <is>
          <t>Stations - Station Structures</t>
        </is>
      </c>
      <c r="C313" s="23" t="inlineStr">
        <is>
          <t>Contractor Programme</t>
        </is>
      </c>
      <c r="D313" s="23" t="inlineStr">
        <is>
          <t>SCH-02-043</t>
        </is>
      </c>
      <c r="E313" s="23" t="inlineStr">
        <is>
          <t>Civic Station: architectural wall framing - release</t>
        </is>
      </c>
      <c r="F313" s="23" t="inlineStr">
        <is>
          <t>ONE_TO_ONE</t>
        </is>
      </c>
      <c r="G313" s="23" t="inlineStr">
        <is>
          <t>RETAINED</t>
        </is>
      </c>
      <c r="H313" s="23" t="inlineStr">
        <is>
          <t>Carried forward</t>
        </is>
      </c>
      <c r="I313" s="23" t="inlineStr">
        <is>
          <t>Source assignment -- not individually reviewed</t>
        </is>
      </c>
      <c r="J313" s="23" t="inlineStr"/>
      <c r="K313" s="23" t="inlineStr">
        <is>
          <t>Source assignment</t>
        </is>
      </c>
      <c r="L313" s="23" t="inlineStr"/>
      <c r="M313" s="23" t="inlineStr">
        <is>
          <t>Contractor Programme Cycle 2</t>
        </is>
      </c>
      <c r="N313" s="23" t="inlineStr">
        <is>
          <t>Rev 1</t>
        </is>
      </c>
      <c r="O313" s="23" t="inlineStr">
        <is>
          <t>R223-v2</t>
        </is>
      </c>
      <c r="P313" s="23" t="inlineStr"/>
      <c r="Q313" s="23" t="inlineStr"/>
      <c r="R313" s="23" t="inlineStr"/>
      <c r="S313" s="23" t="inlineStr"/>
      <c r="T313" s="23" t="inlineStr"/>
      <c r="U313" s="23" t="inlineStr"/>
      <c r="V313" s="23" t="inlineStr">
        <is>
          <t>WBS Code = 1.2.1</t>
        </is>
      </c>
      <c r="W313" s="23" t="inlineStr"/>
    </row>
    <row r="314" ht="49" customHeight="1">
      <c r="A314" s="23" t="inlineStr">
        <is>
          <t>1.2.1</t>
        </is>
      </c>
      <c r="B314" s="23" t="inlineStr">
        <is>
          <t>Stations - Station Structures</t>
        </is>
      </c>
      <c r="C314" s="23" t="inlineStr">
        <is>
          <t>Contractor Programme</t>
        </is>
      </c>
      <c r="D314" s="23" t="inlineStr">
        <is>
          <t>SCH-02-044</t>
        </is>
      </c>
      <c r="E314" s="23" t="inlineStr">
        <is>
          <t>University Station: fire-life-safety cabling - field start</t>
        </is>
      </c>
      <c r="F314" s="23" t="inlineStr">
        <is>
          <t>ONE_TO_ONE</t>
        </is>
      </c>
      <c r="G314" s="23" t="inlineStr">
        <is>
          <t>RETAINED</t>
        </is>
      </c>
      <c r="H314" s="23" t="inlineStr">
        <is>
          <t>Carried forward</t>
        </is>
      </c>
      <c r="I314" s="23" t="inlineStr">
        <is>
          <t>Source assignment -- not individually reviewed</t>
        </is>
      </c>
      <c r="J314" s="23" t="inlineStr"/>
      <c r="K314" s="23" t="inlineStr">
        <is>
          <t>Source assignment</t>
        </is>
      </c>
      <c r="L314" s="23" t="inlineStr"/>
      <c r="M314" s="23" t="inlineStr">
        <is>
          <t>Contractor Programme Cycle 2</t>
        </is>
      </c>
      <c r="N314" s="23" t="inlineStr">
        <is>
          <t>Rev 1</t>
        </is>
      </c>
      <c r="O314" s="23" t="inlineStr">
        <is>
          <t>R224-v2</t>
        </is>
      </c>
      <c r="P314" s="23" t="inlineStr"/>
      <c r="Q314" s="23" t="inlineStr"/>
      <c r="R314" s="23" t="inlineStr"/>
      <c r="S314" s="23" t="inlineStr"/>
      <c r="T314" s="23" t="inlineStr"/>
      <c r="U314" s="23" t="inlineStr"/>
      <c r="V314" s="23" t="inlineStr">
        <is>
          <t>WBS Code = 1.2.1</t>
        </is>
      </c>
      <c r="W314" s="23" t="inlineStr"/>
    </row>
    <row r="315" ht="49" customHeight="1">
      <c r="A315" s="23" t="inlineStr">
        <is>
          <t>1.2.1</t>
        </is>
      </c>
      <c r="B315" s="23" t="inlineStr">
        <is>
          <t>Stations - Station Structures</t>
        </is>
      </c>
      <c r="C315" s="23" t="inlineStr">
        <is>
          <t>Contractor Programme</t>
        </is>
      </c>
      <c r="D315" s="23" t="inlineStr">
        <is>
          <t>SCH-02-046</t>
        </is>
      </c>
      <c r="E315" s="23" t="inlineStr">
        <is>
          <t>Harbour Station: station ventilation rough-in - inspection</t>
        </is>
      </c>
      <c r="F315" s="23" t="inlineStr">
        <is>
          <t>ONE_TO_ONE</t>
        </is>
      </c>
      <c r="G315" s="23" t="inlineStr">
        <is>
          <t>RETAINED</t>
        </is>
      </c>
      <c r="H315" s="23" t="inlineStr">
        <is>
          <t>Carried forward</t>
        </is>
      </c>
      <c r="I315" s="23" t="inlineStr">
        <is>
          <t>Source assignment -- not individually reviewed</t>
        </is>
      </c>
      <c r="J315" s="23" t="inlineStr"/>
      <c r="K315" s="23" t="inlineStr">
        <is>
          <t>Source assignment</t>
        </is>
      </c>
      <c r="L315" s="23" t="inlineStr"/>
      <c r="M315" s="23" t="inlineStr">
        <is>
          <t>Contractor Programme Cycle 2</t>
        </is>
      </c>
      <c r="N315" s="23" t="inlineStr">
        <is>
          <t>Rev 1</t>
        </is>
      </c>
      <c r="O315" s="23" t="inlineStr">
        <is>
          <t>R226-v2</t>
        </is>
      </c>
      <c r="P315" s="23" t="inlineStr"/>
      <c r="Q315" s="23" t="inlineStr"/>
      <c r="R315" s="23" t="inlineStr"/>
      <c r="S315" s="23" t="inlineStr"/>
      <c r="T315" s="23" t="inlineStr"/>
      <c r="U315" s="23" t="inlineStr"/>
      <c r="V315" s="23" t="inlineStr">
        <is>
          <t>WBS Code = 1.2.1</t>
        </is>
      </c>
      <c r="W315" s="23" t="inlineStr"/>
    </row>
    <row r="316" ht="49" customHeight="1">
      <c r="A316" s="23" t="inlineStr">
        <is>
          <t>1.2.1</t>
        </is>
      </c>
      <c r="B316" s="23" t="inlineStr">
        <is>
          <t>Stations - Station Structures</t>
        </is>
      </c>
      <c r="C316" s="23" t="inlineStr">
        <is>
          <t>Contractor Programme</t>
        </is>
      </c>
      <c r="D316" s="23" t="inlineStr">
        <is>
          <t>SCH-02-047</t>
        </is>
      </c>
      <c r="E316" s="23" t="inlineStr">
        <is>
          <t>Market Station: public-realm paving - turnover</t>
        </is>
      </c>
      <c r="F316" s="23" t="inlineStr">
        <is>
          <t>ONE_TO_ONE</t>
        </is>
      </c>
      <c r="G316" s="23" t="inlineStr">
        <is>
          <t>RETAINED</t>
        </is>
      </c>
      <c r="H316" s="23" t="inlineStr">
        <is>
          <t>Carried forward</t>
        </is>
      </c>
      <c r="I316" s="23" t="inlineStr">
        <is>
          <t>Source assignment -- not individually reviewed</t>
        </is>
      </c>
      <c r="J316" s="23" t="inlineStr"/>
      <c r="K316" s="23" t="inlineStr">
        <is>
          <t>Source assignment</t>
        </is>
      </c>
      <c r="L316" s="23" t="inlineStr"/>
      <c r="M316" s="23" t="inlineStr">
        <is>
          <t>Contractor Programme Cycle 2</t>
        </is>
      </c>
      <c r="N316" s="23" t="inlineStr">
        <is>
          <t>Rev 1</t>
        </is>
      </c>
      <c r="O316" s="23" t="inlineStr">
        <is>
          <t>R227-v2</t>
        </is>
      </c>
      <c r="P316" s="23" t="inlineStr"/>
      <c r="Q316" s="23" t="inlineStr"/>
      <c r="R316" s="23" t="inlineStr"/>
      <c r="S316" s="23" t="inlineStr"/>
      <c r="T316" s="23" t="inlineStr"/>
      <c r="U316" s="23" t="inlineStr"/>
      <c r="V316" s="23" t="inlineStr">
        <is>
          <t>WBS Code = 1.2.1</t>
        </is>
      </c>
      <c r="W316" s="23" t="inlineStr"/>
    </row>
    <row r="317" ht="49" customHeight="1">
      <c r="A317" s="23" t="inlineStr">
        <is>
          <t>1.2.1</t>
        </is>
      </c>
      <c r="B317" s="23" t="inlineStr">
        <is>
          <t>Stations - Station Structures</t>
        </is>
      </c>
      <c r="C317" s="23" t="inlineStr">
        <is>
          <t>Contractor Programme</t>
        </is>
      </c>
      <c r="D317" s="23" t="inlineStr">
        <is>
          <t>SCH-02-049</t>
        </is>
      </c>
      <c r="E317" s="23" t="inlineStr">
        <is>
          <t>University Station: vertical-transport installation - field start</t>
        </is>
      </c>
      <c r="F317" s="23" t="inlineStr">
        <is>
          <t>ONE_TO_ONE</t>
        </is>
      </c>
      <c r="G317" s="23" t="inlineStr">
        <is>
          <t>RETAINED</t>
        </is>
      </c>
      <c r="H317" s="23" t="inlineStr">
        <is>
          <t>Carried forward</t>
        </is>
      </c>
      <c r="I317" s="23" t="inlineStr">
        <is>
          <t>Source assignment -- not individually reviewed</t>
        </is>
      </c>
      <c r="J317" s="23" t="inlineStr"/>
      <c r="K317" s="23" t="inlineStr">
        <is>
          <t>Source assignment</t>
        </is>
      </c>
      <c r="L317" s="23" t="inlineStr"/>
      <c r="M317" s="23" t="inlineStr">
        <is>
          <t>Contractor Programme Cycle 2</t>
        </is>
      </c>
      <c r="N317" s="23" t="inlineStr">
        <is>
          <t>Rev 1</t>
        </is>
      </c>
      <c r="O317" s="23" t="inlineStr">
        <is>
          <t>R229-v2</t>
        </is>
      </c>
      <c r="P317" s="23" t="inlineStr"/>
      <c r="Q317" s="23" t="inlineStr"/>
      <c r="R317" s="23" t="inlineStr"/>
      <c r="S317" s="23" t="inlineStr"/>
      <c r="T317" s="23" t="inlineStr"/>
      <c r="U317" s="23" t="inlineStr"/>
      <c r="V317" s="23" t="inlineStr">
        <is>
          <t>WBS Code = 1.2.1</t>
        </is>
      </c>
      <c r="W317" s="23" t="inlineStr"/>
    </row>
    <row r="318" ht="49" customHeight="1">
      <c r="A318" s="23" t="inlineStr">
        <is>
          <t>1.2.1</t>
        </is>
      </c>
      <c r="B318" s="23" t="inlineStr">
        <is>
          <t>Stations - Station Structures</t>
        </is>
      </c>
      <c r="C318" s="23" t="inlineStr">
        <is>
          <t>Contractor Programme</t>
        </is>
      </c>
      <c r="D318" s="23" t="inlineStr">
        <is>
          <t>SCH-02-050</t>
        </is>
      </c>
      <c r="E318" s="23" t="inlineStr">
        <is>
          <t>West Terminal: platform edge installation - installation</t>
        </is>
      </c>
      <c r="F318" s="23" t="inlineStr">
        <is>
          <t>ONE_TO_ONE</t>
        </is>
      </c>
      <c r="G318" s="23" t="inlineStr">
        <is>
          <t>RETAINED</t>
        </is>
      </c>
      <c r="H318" s="23" t="inlineStr">
        <is>
          <t>Carried forward</t>
        </is>
      </c>
      <c r="I318" s="23" t="inlineStr">
        <is>
          <t>Source assignment -- not individually reviewed</t>
        </is>
      </c>
      <c r="J318" s="23" t="inlineStr"/>
      <c r="K318" s="23" t="inlineStr">
        <is>
          <t>Source assignment</t>
        </is>
      </c>
      <c r="L318" s="23" t="inlineStr"/>
      <c r="M318" s="23" t="inlineStr">
        <is>
          <t>Contractor Programme Cycle 2</t>
        </is>
      </c>
      <c r="N318" s="23" t="inlineStr">
        <is>
          <t>Rev 1</t>
        </is>
      </c>
      <c r="O318" s="23" t="inlineStr">
        <is>
          <t>R230-v2</t>
        </is>
      </c>
      <c r="P318" s="23" t="inlineStr"/>
      <c r="Q318" s="23" t="inlineStr"/>
      <c r="R318" s="23" t="inlineStr"/>
      <c r="S318" s="23" t="inlineStr"/>
      <c r="T318" s="23" t="inlineStr"/>
      <c r="U318" s="23" t="inlineStr"/>
      <c r="V318" s="23" t="inlineStr">
        <is>
          <t>WBS Code = 1.2.1</t>
        </is>
      </c>
      <c r="W318" s="23" t="inlineStr"/>
    </row>
    <row r="319" ht="49" customHeight="1">
      <c r="A319" s="23" t="inlineStr">
        <is>
          <t>1.2.1</t>
        </is>
      </c>
      <c r="B319" s="23" t="inlineStr">
        <is>
          <t>Stations - Station Structures</t>
        </is>
      </c>
      <c r="C319" s="23" t="inlineStr">
        <is>
          <t>Contractor Programme</t>
        </is>
      </c>
      <c r="D319" s="23" t="inlineStr">
        <is>
          <t>SCH-02-052</t>
        </is>
      </c>
      <c r="E319" s="23" t="inlineStr">
        <is>
          <t>Market Station: fire-life-safety cabling - turnover</t>
        </is>
      </c>
      <c r="F319" s="23" t="inlineStr">
        <is>
          <t>ONE_TO_ONE</t>
        </is>
      </c>
      <c r="G319" s="23" t="inlineStr">
        <is>
          <t>RETAINED</t>
        </is>
      </c>
      <c r="H319" s="23" t="inlineStr">
        <is>
          <t>Carried forward</t>
        </is>
      </c>
      <c r="I319" s="23" t="inlineStr">
        <is>
          <t>Source assignment -- not individually reviewed</t>
        </is>
      </c>
      <c r="J319" s="23" t="inlineStr"/>
      <c r="K319" s="23" t="inlineStr">
        <is>
          <t>Source assignment</t>
        </is>
      </c>
      <c r="L319" s="23" t="inlineStr"/>
      <c r="M319" s="23" t="inlineStr">
        <is>
          <t>Contractor Programme Cycle 2</t>
        </is>
      </c>
      <c r="N319" s="23" t="inlineStr">
        <is>
          <t>Rev 1</t>
        </is>
      </c>
      <c r="O319" s="23" t="inlineStr">
        <is>
          <t>R232-v2</t>
        </is>
      </c>
      <c r="P319" s="23" t="inlineStr"/>
      <c r="Q319" s="23" t="inlineStr"/>
      <c r="R319" s="23" t="inlineStr"/>
      <c r="S319" s="23" t="inlineStr"/>
      <c r="T319" s="23" t="inlineStr"/>
      <c r="U319" s="23" t="inlineStr"/>
      <c r="V319" s="23" t="inlineStr">
        <is>
          <t>WBS Code = 1.2.1</t>
        </is>
      </c>
      <c r="W319" s="23" t="inlineStr"/>
    </row>
    <row r="320" ht="49" customHeight="1">
      <c r="A320" s="23" t="inlineStr">
        <is>
          <t>1.2.1</t>
        </is>
      </c>
      <c r="B320" s="23" t="inlineStr">
        <is>
          <t>Stations - Station Structures</t>
        </is>
      </c>
      <c r="C320" s="23" t="inlineStr">
        <is>
          <t>Contractor Programme</t>
        </is>
      </c>
      <c r="D320" s="23" t="inlineStr">
        <is>
          <t>SCH-02-053</t>
        </is>
      </c>
      <c r="E320" s="23" t="inlineStr">
        <is>
          <t>Civic Station: concourse slab pour - release</t>
        </is>
      </c>
      <c r="F320" s="23" t="inlineStr">
        <is>
          <t>ONE_TO_ONE</t>
        </is>
      </c>
      <c r="G320" s="23" t="inlineStr">
        <is>
          <t>RETAINED</t>
        </is>
      </c>
      <c r="H320" s="23" t="inlineStr">
        <is>
          <t>Carried forward</t>
        </is>
      </c>
      <c r="I320" s="23" t="inlineStr">
        <is>
          <t>Source assignment -- not individually reviewed</t>
        </is>
      </c>
      <c r="J320" s="23" t="inlineStr"/>
      <c r="K320" s="23" t="inlineStr">
        <is>
          <t>Source assignment</t>
        </is>
      </c>
      <c r="L320" s="23" t="inlineStr"/>
      <c r="M320" s="23" t="inlineStr">
        <is>
          <t>Contractor Programme Cycle 2</t>
        </is>
      </c>
      <c r="N320" s="23" t="inlineStr">
        <is>
          <t>Rev 1</t>
        </is>
      </c>
      <c r="O320" s="23" t="inlineStr">
        <is>
          <t>R233-v2</t>
        </is>
      </c>
      <c r="P320" s="23" t="inlineStr"/>
      <c r="Q320" s="23" t="inlineStr"/>
      <c r="R320" s="23" t="inlineStr"/>
      <c r="S320" s="23" t="inlineStr"/>
      <c r="T320" s="23" t="inlineStr"/>
      <c r="U320" s="23" t="inlineStr"/>
      <c r="V320" s="23" t="inlineStr">
        <is>
          <t>WBS Code = 1.2.1</t>
        </is>
      </c>
      <c r="W320" s="23" t="inlineStr"/>
    </row>
    <row r="321" ht="49" customHeight="1">
      <c r="A321" s="23" t="inlineStr">
        <is>
          <t>1.2.1</t>
        </is>
      </c>
      <c r="B321" s="23" t="inlineStr">
        <is>
          <t>Stations - Station Structures</t>
        </is>
      </c>
      <c r="C321" s="23" t="inlineStr">
        <is>
          <t>Contractor Programme</t>
        </is>
      </c>
      <c r="D321" s="23" t="inlineStr">
        <is>
          <t>SCH-02-055</t>
        </is>
      </c>
      <c r="E321" s="23" t="inlineStr">
        <is>
          <t>West Terminal: public-realm paving - installation</t>
        </is>
      </c>
      <c r="F321" s="23" t="inlineStr">
        <is>
          <t>ONE_TO_ONE</t>
        </is>
      </c>
      <c r="G321" s="23" t="inlineStr">
        <is>
          <t>RETAINED</t>
        </is>
      </c>
      <c r="H321" s="23" t="inlineStr">
        <is>
          <t>Carried forward</t>
        </is>
      </c>
      <c r="I321" s="23" t="inlineStr">
        <is>
          <t>Source assignment -- not individually reviewed</t>
        </is>
      </c>
      <c r="J321" s="23" t="inlineStr"/>
      <c r="K321" s="23" t="inlineStr">
        <is>
          <t>Source assignment</t>
        </is>
      </c>
      <c r="L321" s="23" t="inlineStr"/>
      <c r="M321" s="23" t="inlineStr">
        <is>
          <t>Contractor Programme Cycle 2</t>
        </is>
      </c>
      <c r="N321" s="23" t="inlineStr">
        <is>
          <t>Rev 1</t>
        </is>
      </c>
      <c r="O321" s="23" t="inlineStr">
        <is>
          <t>R235-v2</t>
        </is>
      </c>
      <c r="P321" s="23" t="inlineStr"/>
      <c r="Q321" s="23" t="inlineStr"/>
      <c r="R321" s="23" t="inlineStr"/>
      <c r="S321" s="23" t="inlineStr"/>
      <c r="T321" s="23" t="inlineStr"/>
      <c r="U321" s="23" t="inlineStr"/>
      <c r="V321" s="23" t="inlineStr">
        <is>
          <t>WBS Code = 1.2.1</t>
        </is>
      </c>
      <c r="W321" s="23" t="inlineStr"/>
    </row>
    <row r="322" ht="49" customHeight="1">
      <c r="A322" s="23" t="inlineStr">
        <is>
          <t>1.2.1</t>
        </is>
      </c>
      <c r="B322" s="23" t="inlineStr">
        <is>
          <t>Stations - Station Structures</t>
        </is>
      </c>
      <c r="C322" s="23" t="inlineStr">
        <is>
          <t>Contractor Programme</t>
        </is>
      </c>
      <c r="D322" s="23" t="inlineStr">
        <is>
          <t>SCH-02-056</t>
        </is>
      </c>
      <c r="E322" s="23" t="inlineStr">
        <is>
          <t>Harbour Station: entrance steel erection - inspection</t>
        </is>
      </c>
      <c r="F322" s="23" t="inlineStr">
        <is>
          <t>ONE_TO_ONE</t>
        </is>
      </c>
      <c r="G322" s="23" t="inlineStr">
        <is>
          <t>RETAINED</t>
        </is>
      </c>
      <c r="H322" s="23" t="inlineStr">
        <is>
          <t>Carried forward</t>
        </is>
      </c>
      <c r="I322" s="23" t="inlineStr">
        <is>
          <t>Source assignment -- not individually reviewed</t>
        </is>
      </c>
      <c r="J322" s="23" t="inlineStr"/>
      <c r="K322" s="23" t="inlineStr">
        <is>
          <t>Source assignment</t>
        </is>
      </c>
      <c r="L322" s="23" t="inlineStr"/>
      <c r="M322" s="23" t="inlineStr">
        <is>
          <t>Contractor Programme Cycle 2</t>
        </is>
      </c>
      <c r="N322" s="23" t="inlineStr">
        <is>
          <t>Rev 1</t>
        </is>
      </c>
      <c r="O322" s="23" t="inlineStr">
        <is>
          <t>R236-v2</t>
        </is>
      </c>
      <c r="P322" s="23" t="inlineStr"/>
      <c r="Q322" s="23" t="inlineStr"/>
      <c r="R322" s="23" t="inlineStr"/>
      <c r="S322" s="23" t="inlineStr"/>
      <c r="T322" s="23" t="inlineStr"/>
      <c r="U322" s="23" t="inlineStr"/>
      <c r="V322" s="23" t="inlineStr">
        <is>
          <t>WBS Code = 1.2.1</t>
        </is>
      </c>
      <c r="W322" s="23" t="inlineStr"/>
    </row>
    <row r="323" ht="49" customHeight="1">
      <c r="A323" s="23" t="inlineStr">
        <is>
          <t>1.2.1</t>
        </is>
      </c>
      <c r="B323" s="23" t="inlineStr">
        <is>
          <t>Stations - Station Structures</t>
        </is>
      </c>
      <c r="C323" s="23" t="inlineStr">
        <is>
          <t>Contractor Programme</t>
        </is>
      </c>
      <c r="D323" s="23" t="inlineStr">
        <is>
          <t>SCH-02-058</t>
        </is>
      </c>
      <c r="E323" s="23" t="inlineStr">
        <is>
          <t>Civic Station: platform edge installation - release</t>
        </is>
      </c>
      <c r="F323" s="23" t="inlineStr">
        <is>
          <t>ONE_TO_ONE</t>
        </is>
      </c>
      <c r="G323" s="23" t="inlineStr">
        <is>
          <t>RETAINED</t>
        </is>
      </c>
      <c r="H323" s="23" t="inlineStr">
        <is>
          <t>Carried forward</t>
        </is>
      </c>
      <c r="I323" s="23" t="inlineStr">
        <is>
          <t>Source assignment -- not individually reviewed</t>
        </is>
      </c>
      <c r="J323" s="23" t="inlineStr"/>
      <c r="K323" s="23" t="inlineStr">
        <is>
          <t>Source assignment</t>
        </is>
      </c>
      <c r="L323" s="23" t="inlineStr"/>
      <c r="M323" s="23" t="inlineStr">
        <is>
          <t>Contractor Programme Cycle 2</t>
        </is>
      </c>
      <c r="N323" s="23" t="inlineStr">
        <is>
          <t>Rev 1</t>
        </is>
      </c>
      <c r="O323" s="23" t="inlineStr">
        <is>
          <t>R238-v2</t>
        </is>
      </c>
      <c r="P323" s="23" t="inlineStr"/>
      <c r="Q323" s="23" t="inlineStr"/>
      <c r="R323" s="23" t="inlineStr"/>
      <c r="S323" s="23" t="inlineStr"/>
      <c r="T323" s="23" t="inlineStr"/>
      <c r="U323" s="23" t="inlineStr"/>
      <c r="V323" s="23" t="inlineStr">
        <is>
          <t>WBS Code = 1.2.1</t>
        </is>
      </c>
      <c r="W323" s="23" t="inlineStr"/>
    </row>
    <row r="324" ht="49" customHeight="1">
      <c r="A324" s="23" t="inlineStr">
        <is>
          <t>1.2.1</t>
        </is>
      </c>
      <c r="B324" s="23" t="inlineStr">
        <is>
          <t>Stations - Station Structures</t>
        </is>
      </c>
      <c r="C324" s="23" t="inlineStr">
        <is>
          <t>Contractor Programme</t>
        </is>
      </c>
      <c r="D324" s="23" t="inlineStr">
        <is>
          <t>SCH-02-059</t>
        </is>
      </c>
      <c r="E324" s="23" t="inlineStr">
        <is>
          <t>University Station: architectural wall framing - field start</t>
        </is>
      </c>
      <c r="F324" s="23" t="inlineStr">
        <is>
          <t>ONE_TO_ONE</t>
        </is>
      </c>
      <c r="G324" s="23" t="inlineStr">
        <is>
          <t>RETAINED</t>
        </is>
      </c>
      <c r="H324" s="23" t="inlineStr">
        <is>
          <t>Carried forward</t>
        </is>
      </c>
      <c r="I324" s="23" t="inlineStr">
        <is>
          <t>Source assignment -- not individually reviewed</t>
        </is>
      </c>
      <c r="J324" s="23" t="inlineStr"/>
      <c r="K324" s="23" t="inlineStr">
        <is>
          <t>Source assignment</t>
        </is>
      </c>
      <c r="L324" s="23" t="inlineStr"/>
      <c r="M324" s="23" t="inlineStr">
        <is>
          <t>Contractor Programme Cycle 2</t>
        </is>
      </c>
      <c r="N324" s="23" t="inlineStr">
        <is>
          <t>Rev 1</t>
        </is>
      </c>
      <c r="O324" s="23" t="inlineStr">
        <is>
          <t>R239-v2</t>
        </is>
      </c>
      <c r="P324" s="23" t="inlineStr"/>
      <c r="Q324" s="23" t="inlineStr"/>
      <c r="R324" s="23" t="inlineStr"/>
      <c r="S324" s="23" t="inlineStr"/>
      <c r="T324" s="23" t="inlineStr"/>
      <c r="U324" s="23" t="inlineStr"/>
      <c r="V324" s="23" t="inlineStr">
        <is>
          <t>WBS Code = 1.2.1</t>
        </is>
      </c>
      <c r="W324" s="23" t="inlineStr"/>
    </row>
    <row r="325" ht="49" customHeight="1">
      <c r="A325" s="23" t="inlineStr">
        <is>
          <t>1.2.1</t>
        </is>
      </c>
      <c r="B325" s="23" t="inlineStr">
        <is>
          <t>Stations - Station Structures</t>
        </is>
      </c>
      <c r="C325" s="23" t="inlineStr">
        <is>
          <t>Contractor Programme</t>
        </is>
      </c>
      <c r="D325" s="23" t="inlineStr">
        <is>
          <t>SCH-02-061</t>
        </is>
      </c>
      <c r="E325" s="23" t="inlineStr">
        <is>
          <t>Harbour Station: concourse slab pour - inspection</t>
        </is>
      </c>
      <c r="F325" s="23" t="inlineStr">
        <is>
          <t>ONE_TO_ONE</t>
        </is>
      </c>
      <c r="G325" s="23" t="inlineStr">
        <is>
          <t>RETAINED</t>
        </is>
      </c>
      <c r="H325" s="23" t="inlineStr">
        <is>
          <t>Carried forward</t>
        </is>
      </c>
      <c r="I325" s="23" t="inlineStr">
        <is>
          <t>Source assignment -- not individually reviewed</t>
        </is>
      </c>
      <c r="J325" s="23" t="inlineStr"/>
      <c r="K325" s="23" t="inlineStr">
        <is>
          <t>Source assignment</t>
        </is>
      </c>
      <c r="L325" s="23" t="inlineStr"/>
      <c r="M325" s="23" t="inlineStr">
        <is>
          <t>Contractor Programme Cycle 2</t>
        </is>
      </c>
      <c r="N325" s="23" t="inlineStr">
        <is>
          <t>Rev 1</t>
        </is>
      </c>
      <c r="O325" s="23" t="inlineStr">
        <is>
          <t>R241-v2</t>
        </is>
      </c>
      <c r="P325" s="23" t="inlineStr"/>
      <c r="Q325" s="23" t="inlineStr"/>
      <c r="R325" s="23" t="inlineStr"/>
      <c r="S325" s="23" t="inlineStr"/>
      <c r="T325" s="23" t="inlineStr"/>
      <c r="U325" s="23" t="inlineStr"/>
      <c r="V325" s="23" t="inlineStr">
        <is>
          <t>WBS Code = 1.2.1</t>
        </is>
      </c>
      <c r="W325" s="23" t="inlineStr"/>
    </row>
    <row r="326" ht="49" customHeight="1">
      <c r="A326" s="23" t="inlineStr">
        <is>
          <t>1.2.1</t>
        </is>
      </c>
      <c r="B326" s="23" t="inlineStr">
        <is>
          <t>Stations - Station Structures</t>
        </is>
      </c>
      <c r="C326" s="23" t="inlineStr">
        <is>
          <t>Contractor Programme</t>
        </is>
      </c>
      <c r="D326" s="23" t="inlineStr">
        <is>
          <t>SCH-02-062</t>
        </is>
      </c>
      <c r="E326" s="23" t="inlineStr">
        <is>
          <t>Market Station: station ventilation rough-in - turnover</t>
        </is>
      </c>
      <c r="F326" s="23" t="inlineStr">
        <is>
          <t>ONE_TO_ONE</t>
        </is>
      </c>
      <c r="G326" s="23" t="inlineStr">
        <is>
          <t>RETAINED</t>
        </is>
      </c>
      <c r="H326" s="23" t="inlineStr">
        <is>
          <t>Carried forward</t>
        </is>
      </c>
      <c r="I326" s="23" t="inlineStr">
        <is>
          <t>Source assignment -- not individually reviewed</t>
        </is>
      </c>
      <c r="J326" s="23" t="inlineStr"/>
      <c r="K326" s="23" t="inlineStr">
        <is>
          <t>Source assignment</t>
        </is>
      </c>
      <c r="L326" s="23" t="inlineStr"/>
      <c r="M326" s="23" t="inlineStr">
        <is>
          <t>Contractor Programme Cycle 2</t>
        </is>
      </c>
      <c r="N326" s="23" t="inlineStr">
        <is>
          <t>Rev 1</t>
        </is>
      </c>
      <c r="O326" s="23" t="inlineStr">
        <is>
          <t>R242-v2</t>
        </is>
      </c>
      <c r="P326" s="23" t="inlineStr"/>
      <c r="Q326" s="23" t="inlineStr"/>
      <c r="R326" s="23" t="inlineStr"/>
      <c r="S326" s="23" t="inlineStr"/>
      <c r="T326" s="23" t="inlineStr"/>
      <c r="U326" s="23" t="inlineStr"/>
      <c r="V326" s="23" t="inlineStr">
        <is>
          <t>WBS Code = 1.2.1</t>
        </is>
      </c>
      <c r="W326" s="23" t="inlineStr"/>
    </row>
    <row r="327" ht="49" customHeight="1">
      <c r="A327" s="23" t="inlineStr">
        <is>
          <t>1.2.1</t>
        </is>
      </c>
      <c r="B327" s="23" t="inlineStr">
        <is>
          <t>Stations - Station Structures</t>
        </is>
      </c>
      <c r="C327" s="23" t="inlineStr">
        <is>
          <t>Contractor Programme</t>
        </is>
      </c>
      <c r="D327" s="23" t="inlineStr">
        <is>
          <t>SCH-02-064</t>
        </is>
      </c>
      <c r="E327" s="23" t="inlineStr">
        <is>
          <t>University Station: entrance steel erection - field start</t>
        </is>
      </c>
      <c r="F327" s="23" t="inlineStr">
        <is>
          <t>ONE_TO_ONE</t>
        </is>
      </c>
      <c r="G327" s="23" t="inlineStr">
        <is>
          <t>RETAINED</t>
        </is>
      </c>
      <c r="H327" s="23" t="inlineStr">
        <is>
          <t>Carried forward</t>
        </is>
      </c>
      <c r="I327" s="23" t="inlineStr">
        <is>
          <t>Source assignment -- not individually reviewed</t>
        </is>
      </c>
      <c r="J327" s="23" t="inlineStr"/>
      <c r="K327" s="23" t="inlineStr">
        <is>
          <t>Source assignment</t>
        </is>
      </c>
      <c r="L327" s="23" t="inlineStr"/>
      <c r="M327" s="23" t="inlineStr">
        <is>
          <t>Contractor Programme Cycle 2</t>
        </is>
      </c>
      <c r="N327" s="23" t="inlineStr">
        <is>
          <t>Rev 1</t>
        </is>
      </c>
      <c r="O327" s="23" t="inlineStr">
        <is>
          <t>R244-v2</t>
        </is>
      </c>
      <c r="P327" s="23" t="inlineStr"/>
      <c r="Q327" s="23" t="inlineStr"/>
      <c r="R327" s="23" t="inlineStr"/>
      <c r="S327" s="23" t="inlineStr"/>
      <c r="T327" s="23" t="inlineStr"/>
      <c r="U327" s="23" t="inlineStr"/>
      <c r="V327" s="23" t="inlineStr">
        <is>
          <t>WBS Code = 1.2.1</t>
        </is>
      </c>
      <c r="W327" s="23" t="inlineStr"/>
    </row>
    <row r="328" ht="49" customHeight="1">
      <c r="A328" s="23" t="inlineStr">
        <is>
          <t>1.2.1</t>
        </is>
      </c>
      <c r="B328" s="23" t="inlineStr">
        <is>
          <t>Stations - Station Structures</t>
        </is>
      </c>
      <c r="C328" s="23" t="inlineStr">
        <is>
          <t>Contractor Programme</t>
        </is>
      </c>
      <c r="D328" s="23" t="inlineStr">
        <is>
          <t>SCH-02-065</t>
        </is>
      </c>
      <c r="E328" s="23" t="inlineStr">
        <is>
          <t>West Terminal: vertical-transport installation - installation</t>
        </is>
      </c>
      <c r="F328" s="23" t="inlineStr">
        <is>
          <t>ONE_TO_ONE</t>
        </is>
      </c>
      <c r="G328" s="23" t="inlineStr">
        <is>
          <t>RETAINED</t>
        </is>
      </c>
      <c r="H328" s="23" t="inlineStr">
        <is>
          <t>Carried forward</t>
        </is>
      </c>
      <c r="I328" s="23" t="inlineStr">
        <is>
          <t>Source assignment -- not individually reviewed</t>
        </is>
      </c>
      <c r="J328" s="23" t="inlineStr"/>
      <c r="K328" s="23" t="inlineStr">
        <is>
          <t>Source assignment</t>
        </is>
      </c>
      <c r="L328" s="23" t="inlineStr"/>
      <c r="M328" s="23" t="inlineStr">
        <is>
          <t>Contractor Programme Cycle 2</t>
        </is>
      </c>
      <c r="N328" s="23" t="inlineStr">
        <is>
          <t>Rev 1</t>
        </is>
      </c>
      <c r="O328" s="23" t="inlineStr">
        <is>
          <t>R245-v2</t>
        </is>
      </c>
      <c r="P328" s="23" t="inlineStr"/>
      <c r="Q328" s="23" t="inlineStr"/>
      <c r="R328" s="23" t="inlineStr"/>
      <c r="S328" s="23" t="inlineStr"/>
      <c r="T328" s="23" t="inlineStr"/>
      <c r="U328" s="23" t="inlineStr"/>
      <c r="V328" s="23" t="inlineStr">
        <is>
          <t>WBS Code = 1.2.1</t>
        </is>
      </c>
      <c r="W328" s="23" t="inlineStr"/>
    </row>
    <row r="329" ht="49" customHeight="1">
      <c r="A329" s="23" t="inlineStr">
        <is>
          <t>1.2.1</t>
        </is>
      </c>
      <c r="B329" s="23" t="inlineStr">
        <is>
          <t>Stations - Station Structures</t>
        </is>
      </c>
      <c r="C329" s="23" t="inlineStr">
        <is>
          <t>Contractor Programme</t>
        </is>
      </c>
      <c r="D329" s="23" t="inlineStr">
        <is>
          <t>SCH-02-067</t>
        </is>
      </c>
      <c r="E329" s="23" t="inlineStr">
        <is>
          <t>Market Station: architectural wall framing - turnover</t>
        </is>
      </c>
      <c r="F329" s="23" t="inlineStr">
        <is>
          <t>ONE_TO_ONE</t>
        </is>
      </c>
      <c r="G329" s="23" t="inlineStr">
        <is>
          <t>RETAINED</t>
        </is>
      </c>
      <c r="H329" s="23" t="inlineStr">
        <is>
          <t>Carried forward</t>
        </is>
      </c>
      <c r="I329" s="23" t="inlineStr">
        <is>
          <t>Source assignment -- not individually reviewed</t>
        </is>
      </c>
      <c r="J329" s="23" t="inlineStr"/>
      <c r="K329" s="23" t="inlineStr">
        <is>
          <t>Source assignment</t>
        </is>
      </c>
      <c r="L329" s="23" t="inlineStr"/>
      <c r="M329" s="23" t="inlineStr">
        <is>
          <t>Contractor Programme Cycle 2</t>
        </is>
      </c>
      <c r="N329" s="23" t="inlineStr">
        <is>
          <t>Rev 1</t>
        </is>
      </c>
      <c r="O329" s="23" t="inlineStr">
        <is>
          <t>R247-v2</t>
        </is>
      </c>
      <c r="P329" s="23" t="inlineStr"/>
      <c r="Q329" s="23" t="inlineStr"/>
      <c r="R329" s="23" t="inlineStr"/>
      <c r="S329" s="23" t="inlineStr"/>
      <c r="T329" s="23" t="inlineStr"/>
      <c r="U329" s="23" t="inlineStr"/>
      <c r="V329" s="23" t="inlineStr">
        <is>
          <t>WBS Code = 1.2.1</t>
        </is>
      </c>
      <c r="W329" s="23" t="inlineStr"/>
    </row>
    <row r="330" ht="49" customHeight="1">
      <c r="A330" s="23" t="inlineStr">
        <is>
          <t>1.2.1</t>
        </is>
      </c>
      <c r="B330" s="23" t="inlineStr">
        <is>
          <t>Stations - Station Structures</t>
        </is>
      </c>
      <c r="C330" s="23" t="inlineStr">
        <is>
          <t>Contractor Programme</t>
        </is>
      </c>
      <c r="D330" s="23" t="inlineStr">
        <is>
          <t>SCH-02-068</t>
        </is>
      </c>
      <c r="E330" s="23" t="inlineStr">
        <is>
          <t>Civic Station: fire-life-safety cabling - release</t>
        </is>
      </c>
      <c r="F330" s="23" t="inlineStr">
        <is>
          <t>ONE_TO_ONE</t>
        </is>
      </c>
      <c r="G330" s="23" t="inlineStr">
        <is>
          <t>RETAINED</t>
        </is>
      </c>
      <c r="H330" s="23" t="inlineStr">
        <is>
          <t>Carried forward</t>
        </is>
      </c>
      <c r="I330" s="23" t="inlineStr">
        <is>
          <t>Source assignment -- not individually reviewed</t>
        </is>
      </c>
      <c r="J330" s="23" t="inlineStr"/>
      <c r="K330" s="23" t="inlineStr">
        <is>
          <t>Source assignment</t>
        </is>
      </c>
      <c r="L330" s="23" t="inlineStr"/>
      <c r="M330" s="23" t="inlineStr">
        <is>
          <t>Contractor Programme Cycle 2</t>
        </is>
      </c>
      <c r="N330" s="23" t="inlineStr">
        <is>
          <t>Rev 1</t>
        </is>
      </c>
      <c r="O330" s="23" t="inlineStr">
        <is>
          <t>R248-v2</t>
        </is>
      </c>
      <c r="P330" s="23" t="inlineStr"/>
      <c r="Q330" s="23" t="inlineStr"/>
      <c r="R330" s="23" t="inlineStr"/>
      <c r="S330" s="23" t="inlineStr"/>
      <c r="T330" s="23" t="inlineStr"/>
      <c r="U330" s="23" t="inlineStr"/>
      <c r="V330" s="23" t="inlineStr">
        <is>
          <t>WBS Code = 1.2.1</t>
        </is>
      </c>
      <c r="W330" s="23" t="inlineStr"/>
    </row>
    <row r="331" ht="49" customHeight="1">
      <c r="A331" s="23" t="inlineStr">
        <is>
          <t>1.2.1</t>
        </is>
      </c>
      <c r="B331" s="23" t="inlineStr">
        <is>
          <t>Stations - Station Structures</t>
        </is>
      </c>
      <c r="C331" s="23" t="inlineStr">
        <is>
          <t>Contractor Programme</t>
        </is>
      </c>
      <c r="D331" s="23" t="inlineStr">
        <is>
          <t>SCH-02-070</t>
        </is>
      </c>
      <c r="E331" s="23" t="inlineStr">
        <is>
          <t>West Terminal: station ventilation rough-in - installation</t>
        </is>
      </c>
      <c r="F331" s="23" t="inlineStr">
        <is>
          <t>ONE_TO_ONE</t>
        </is>
      </c>
      <c r="G331" s="23" t="inlineStr">
        <is>
          <t>RETAINED</t>
        </is>
      </c>
      <c r="H331" s="23" t="inlineStr">
        <is>
          <t>Carried forward</t>
        </is>
      </c>
      <c r="I331" s="23" t="inlineStr">
        <is>
          <t>Source assignment -- not individually reviewed</t>
        </is>
      </c>
      <c r="J331" s="23" t="inlineStr"/>
      <c r="K331" s="23" t="inlineStr">
        <is>
          <t>Source assignment</t>
        </is>
      </c>
      <c r="L331" s="23" t="inlineStr"/>
      <c r="M331" s="23" t="inlineStr">
        <is>
          <t>Contractor Programme Cycle 2</t>
        </is>
      </c>
      <c r="N331" s="23" t="inlineStr">
        <is>
          <t>Rev 1</t>
        </is>
      </c>
      <c r="O331" s="23" t="inlineStr">
        <is>
          <t>R250-v2</t>
        </is>
      </c>
      <c r="P331" s="23" t="inlineStr"/>
      <c r="Q331" s="23" t="inlineStr"/>
      <c r="R331" s="23" t="inlineStr"/>
      <c r="S331" s="23" t="inlineStr"/>
      <c r="T331" s="23" t="inlineStr"/>
      <c r="U331" s="23" t="inlineStr"/>
      <c r="V331" s="23" t="inlineStr">
        <is>
          <t>WBS Code = 1.2.1</t>
        </is>
      </c>
      <c r="W331" s="23" t="inlineStr"/>
    </row>
    <row r="332" ht="49" customHeight="1">
      <c r="A332" s="23" t="inlineStr">
        <is>
          <t>1.2.1</t>
        </is>
      </c>
      <c r="B332" s="23" t="inlineStr">
        <is>
          <t>Stations - Station Structures</t>
        </is>
      </c>
      <c r="C332" s="23" t="inlineStr">
        <is>
          <t>Contractor Programme</t>
        </is>
      </c>
      <c r="D332" s="23" t="inlineStr">
        <is>
          <t>SCH-02-071</t>
        </is>
      </c>
      <c r="E332" s="23" t="inlineStr">
        <is>
          <t>Harbour Station: public-realm paving - inspection</t>
        </is>
      </c>
      <c r="F332" s="23" t="inlineStr">
        <is>
          <t>ONE_TO_ONE</t>
        </is>
      </c>
      <c r="G332" s="23" t="inlineStr">
        <is>
          <t>RETAINED</t>
        </is>
      </c>
      <c r="H332" s="23" t="inlineStr">
        <is>
          <t>Carried forward</t>
        </is>
      </c>
      <c r="I332" s="23" t="inlineStr">
        <is>
          <t>Source assignment -- not individually reviewed</t>
        </is>
      </c>
      <c r="J332" s="23" t="inlineStr"/>
      <c r="K332" s="23" t="inlineStr">
        <is>
          <t>Source assignment</t>
        </is>
      </c>
      <c r="L332" s="23" t="inlineStr"/>
      <c r="M332" s="23" t="inlineStr">
        <is>
          <t>Contractor Programme Cycle 2</t>
        </is>
      </c>
      <c r="N332" s="23" t="inlineStr">
        <is>
          <t>Rev 1</t>
        </is>
      </c>
      <c r="O332" s="23" t="inlineStr">
        <is>
          <t>R251-v2</t>
        </is>
      </c>
      <c r="P332" s="23" t="inlineStr"/>
      <c r="Q332" s="23" t="inlineStr"/>
      <c r="R332" s="23" t="inlineStr"/>
      <c r="S332" s="23" t="inlineStr"/>
      <c r="T332" s="23" t="inlineStr"/>
      <c r="U332" s="23" t="inlineStr"/>
      <c r="V332" s="23" t="inlineStr">
        <is>
          <t>WBS Code = 1.2.1</t>
        </is>
      </c>
      <c r="W332" s="23" t="inlineStr"/>
    </row>
    <row r="333" ht="49" customHeight="1">
      <c r="A333" s="23" t="inlineStr">
        <is>
          <t>1.2.1</t>
        </is>
      </c>
      <c r="B333" s="23" t="inlineStr">
        <is>
          <t>Stations - Station Structures</t>
        </is>
      </c>
      <c r="C333" s="23" t="inlineStr">
        <is>
          <t>Contractor Programme</t>
        </is>
      </c>
      <c r="D333" s="23" t="inlineStr">
        <is>
          <t>SCH-02-073</t>
        </is>
      </c>
      <c r="E333" s="23" t="inlineStr">
        <is>
          <t>Civic Station: vertical-transport installation - release</t>
        </is>
      </c>
      <c r="F333" s="23" t="inlineStr">
        <is>
          <t>ONE_TO_ONE</t>
        </is>
      </c>
      <c r="G333" s="23" t="inlineStr">
        <is>
          <t>RETAINED</t>
        </is>
      </c>
      <c r="H333" s="23" t="inlineStr">
        <is>
          <t>Carried forward</t>
        </is>
      </c>
      <c r="I333" s="23" t="inlineStr">
        <is>
          <t>Source assignment -- not individually reviewed</t>
        </is>
      </c>
      <c r="J333" s="23" t="inlineStr"/>
      <c r="K333" s="23" t="inlineStr">
        <is>
          <t>Source assignment</t>
        </is>
      </c>
      <c r="L333" s="23" t="inlineStr"/>
      <c r="M333" s="23" t="inlineStr">
        <is>
          <t>Contractor Programme Cycle 2</t>
        </is>
      </c>
      <c r="N333" s="23" t="inlineStr">
        <is>
          <t>Rev 1</t>
        </is>
      </c>
      <c r="O333" s="23" t="inlineStr">
        <is>
          <t>R253-v2</t>
        </is>
      </c>
      <c r="P333" s="23" t="inlineStr"/>
      <c r="Q333" s="23" t="inlineStr"/>
      <c r="R333" s="23" t="inlineStr"/>
      <c r="S333" s="23" t="inlineStr"/>
      <c r="T333" s="23" t="inlineStr"/>
      <c r="U333" s="23" t="inlineStr"/>
      <c r="V333" s="23" t="inlineStr">
        <is>
          <t>WBS Code = 1.2.1</t>
        </is>
      </c>
      <c r="W333" s="23" t="inlineStr"/>
    </row>
    <row r="334" ht="49" customHeight="1">
      <c r="A334" s="23" t="inlineStr">
        <is>
          <t>1.2.1</t>
        </is>
      </c>
      <c r="B334" s="23" t="inlineStr">
        <is>
          <t>Stations - Station Structures</t>
        </is>
      </c>
      <c r="C334" s="23" t="inlineStr">
        <is>
          <t>Contractor Programme</t>
        </is>
      </c>
      <c r="D334" s="23" t="inlineStr">
        <is>
          <t>SCH-02-074</t>
        </is>
      </c>
      <c r="E334" s="23" t="inlineStr">
        <is>
          <t>University Station: platform edge installation - field start</t>
        </is>
      </c>
      <c r="F334" s="23" t="inlineStr">
        <is>
          <t>ONE_TO_ONE</t>
        </is>
      </c>
      <c r="G334" s="23" t="inlineStr">
        <is>
          <t>RETAINED</t>
        </is>
      </c>
      <c r="H334" s="23" t="inlineStr">
        <is>
          <t>Carried forward</t>
        </is>
      </c>
      <c r="I334" s="23" t="inlineStr">
        <is>
          <t>Source assignment -- not individually reviewed</t>
        </is>
      </c>
      <c r="J334" s="23" t="inlineStr"/>
      <c r="K334" s="23" t="inlineStr">
        <is>
          <t>Source assignment</t>
        </is>
      </c>
      <c r="L334" s="23" t="inlineStr"/>
      <c r="M334" s="23" t="inlineStr">
        <is>
          <t>Contractor Programme Cycle 2</t>
        </is>
      </c>
      <c r="N334" s="23" t="inlineStr">
        <is>
          <t>Rev 1</t>
        </is>
      </c>
      <c r="O334" s="23" t="inlineStr">
        <is>
          <t>R254-v2</t>
        </is>
      </c>
      <c r="P334" s="23" t="inlineStr"/>
      <c r="Q334" s="23" t="inlineStr"/>
      <c r="R334" s="23" t="inlineStr"/>
      <c r="S334" s="23" t="inlineStr"/>
      <c r="T334" s="23" t="inlineStr"/>
      <c r="U334" s="23" t="inlineStr"/>
      <c r="V334" s="23" t="inlineStr">
        <is>
          <t>WBS Code = 1.2.1</t>
        </is>
      </c>
      <c r="W334" s="23" t="inlineStr"/>
    </row>
    <row r="335" ht="49" customHeight="1">
      <c r="A335" s="23" t="inlineStr">
        <is>
          <t>1.2.1</t>
        </is>
      </c>
      <c r="B335" s="23" t="inlineStr">
        <is>
          <t>Stations - Station Structures</t>
        </is>
      </c>
      <c r="C335" s="23" t="inlineStr">
        <is>
          <t>Contractor Programme</t>
        </is>
      </c>
      <c r="D335" s="23" t="inlineStr">
        <is>
          <t>SCH-02-076</t>
        </is>
      </c>
      <c r="E335" s="23" t="inlineStr">
        <is>
          <t>Harbour Station: fire-life-safety cabling - inspection</t>
        </is>
      </c>
      <c r="F335" s="23" t="inlineStr">
        <is>
          <t>ONE_TO_ONE</t>
        </is>
      </c>
      <c r="G335" s="23" t="inlineStr">
        <is>
          <t>RETAINED</t>
        </is>
      </c>
      <c r="H335" s="23" t="inlineStr">
        <is>
          <t>Carried forward</t>
        </is>
      </c>
      <c r="I335" s="23" t="inlineStr">
        <is>
          <t>Source assignment -- not individually reviewed</t>
        </is>
      </c>
      <c r="J335" s="23" t="inlineStr"/>
      <c r="K335" s="23" t="inlineStr">
        <is>
          <t>Source assignment</t>
        </is>
      </c>
      <c r="L335" s="23" t="inlineStr"/>
      <c r="M335" s="23" t="inlineStr">
        <is>
          <t>Contractor Programme Cycle 2</t>
        </is>
      </c>
      <c r="N335" s="23" t="inlineStr">
        <is>
          <t>Rev 1</t>
        </is>
      </c>
      <c r="O335" s="23" t="inlineStr">
        <is>
          <t>R256-v2</t>
        </is>
      </c>
      <c r="P335" s="23" t="inlineStr"/>
      <c r="Q335" s="23" t="inlineStr"/>
      <c r="R335" s="23" t="inlineStr"/>
      <c r="S335" s="23" t="inlineStr"/>
      <c r="T335" s="23" t="inlineStr"/>
      <c r="U335" s="23" t="inlineStr"/>
      <c r="V335" s="23" t="inlineStr">
        <is>
          <t>WBS Code = 1.2.1</t>
        </is>
      </c>
      <c r="W335" s="23" t="inlineStr"/>
    </row>
    <row r="336" ht="49" customHeight="1">
      <c r="A336" s="23" t="inlineStr">
        <is>
          <t>1.2.1</t>
        </is>
      </c>
      <c r="B336" s="23" t="inlineStr">
        <is>
          <t>Stations - Station Structures</t>
        </is>
      </c>
      <c r="C336" s="23" t="inlineStr">
        <is>
          <t>Contractor Programme</t>
        </is>
      </c>
      <c r="D336" s="23" t="inlineStr">
        <is>
          <t>SCH-02-077</t>
        </is>
      </c>
      <c r="E336" s="23" t="inlineStr">
        <is>
          <t>Market Station: concourse slab pour - turnover</t>
        </is>
      </c>
      <c r="F336" s="23" t="inlineStr">
        <is>
          <t>ONE_TO_ONE</t>
        </is>
      </c>
      <c r="G336" s="23" t="inlineStr">
        <is>
          <t>RETAINED</t>
        </is>
      </c>
      <c r="H336" s="23" t="inlineStr">
        <is>
          <t>Carried forward</t>
        </is>
      </c>
      <c r="I336" s="23" t="inlineStr">
        <is>
          <t>Source assignment -- not individually reviewed</t>
        </is>
      </c>
      <c r="J336" s="23" t="inlineStr"/>
      <c r="K336" s="23" t="inlineStr">
        <is>
          <t>Source assignment</t>
        </is>
      </c>
      <c r="L336" s="23" t="inlineStr"/>
      <c r="M336" s="23" t="inlineStr">
        <is>
          <t>Contractor Programme Cycle 2</t>
        </is>
      </c>
      <c r="N336" s="23" t="inlineStr">
        <is>
          <t>Rev 1</t>
        </is>
      </c>
      <c r="O336" s="23" t="inlineStr">
        <is>
          <t>R257-v2</t>
        </is>
      </c>
      <c r="P336" s="23" t="inlineStr"/>
      <c r="Q336" s="23" t="inlineStr"/>
      <c r="R336" s="23" t="inlineStr"/>
      <c r="S336" s="23" t="inlineStr"/>
      <c r="T336" s="23" t="inlineStr"/>
      <c r="U336" s="23" t="inlineStr"/>
      <c r="V336" s="23" t="inlineStr">
        <is>
          <t>WBS Code = 1.2.1</t>
        </is>
      </c>
      <c r="W336" s="23" t="inlineStr"/>
    </row>
    <row r="337" ht="49" customHeight="1">
      <c r="A337" s="23" t="inlineStr">
        <is>
          <t>1.2.1</t>
        </is>
      </c>
      <c r="B337" s="23" t="inlineStr">
        <is>
          <t>Stations - Station Structures</t>
        </is>
      </c>
      <c r="C337" s="23" t="inlineStr">
        <is>
          <t>Contractor Programme</t>
        </is>
      </c>
      <c r="D337" s="23" t="inlineStr">
        <is>
          <t>SCH-02-079</t>
        </is>
      </c>
      <c r="E337" s="23" t="inlineStr">
        <is>
          <t>University Station: public-realm paving - field start</t>
        </is>
      </c>
      <c r="F337" s="23" t="inlineStr">
        <is>
          <t>ONE_TO_ONE</t>
        </is>
      </c>
      <c r="G337" s="23" t="inlineStr">
        <is>
          <t>RETAINED</t>
        </is>
      </c>
      <c r="H337" s="23" t="inlineStr">
        <is>
          <t>Carried forward</t>
        </is>
      </c>
      <c r="I337" s="23" t="inlineStr">
        <is>
          <t>Source assignment -- not individually reviewed</t>
        </is>
      </c>
      <c r="J337" s="23" t="inlineStr"/>
      <c r="K337" s="23" t="inlineStr">
        <is>
          <t>Source assignment</t>
        </is>
      </c>
      <c r="L337" s="23" t="inlineStr"/>
      <c r="M337" s="23" t="inlineStr">
        <is>
          <t>Contractor Programme Cycle 2</t>
        </is>
      </c>
      <c r="N337" s="23" t="inlineStr">
        <is>
          <t>Rev 1</t>
        </is>
      </c>
      <c r="O337" s="23" t="inlineStr">
        <is>
          <t>R259-v2</t>
        </is>
      </c>
      <c r="P337" s="23" t="inlineStr"/>
      <c r="Q337" s="23" t="inlineStr"/>
      <c r="R337" s="23" t="inlineStr"/>
      <c r="S337" s="23" t="inlineStr"/>
      <c r="T337" s="23" t="inlineStr"/>
      <c r="U337" s="23" t="inlineStr"/>
      <c r="V337" s="23" t="inlineStr">
        <is>
          <t>WBS Code = 1.2.1</t>
        </is>
      </c>
      <c r="W337" s="23" t="inlineStr"/>
    </row>
    <row r="338" ht="49" customHeight="1">
      <c r="A338" s="23" t="inlineStr">
        <is>
          <t>1.2.1</t>
        </is>
      </c>
      <c r="B338" s="23" t="inlineStr">
        <is>
          <t>Stations - Station Structures</t>
        </is>
      </c>
      <c r="C338" s="23" t="inlineStr">
        <is>
          <t>Contractor Programme</t>
        </is>
      </c>
      <c r="D338" s="23" t="inlineStr">
        <is>
          <t>SCH-02-080</t>
        </is>
      </c>
      <c r="E338" s="23" t="inlineStr">
        <is>
          <t>West Terminal: entrance steel erection - installation</t>
        </is>
      </c>
      <c r="F338" s="23" t="inlineStr">
        <is>
          <t>ONE_TO_ONE</t>
        </is>
      </c>
      <c r="G338" s="23" t="inlineStr">
        <is>
          <t>RETAINED</t>
        </is>
      </c>
      <c r="H338" s="23" t="inlineStr">
        <is>
          <t>Carried forward</t>
        </is>
      </c>
      <c r="I338" s="23" t="inlineStr">
        <is>
          <t>Source assignment -- not individually reviewed</t>
        </is>
      </c>
      <c r="J338" s="23" t="inlineStr"/>
      <c r="K338" s="23" t="inlineStr">
        <is>
          <t>Source assignment</t>
        </is>
      </c>
      <c r="L338" s="23" t="inlineStr"/>
      <c r="M338" s="23" t="inlineStr">
        <is>
          <t>Contractor Programme Cycle 2</t>
        </is>
      </c>
      <c r="N338" s="23" t="inlineStr">
        <is>
          <t>Rev 1</t>
        </is>
      </c>
      <c r="O338" s="23" t="inlineStr">
        <is>
          <t>R260-v2</t>
        </is>
      </c>
      <c r="P338" s="23" t="inlineStr"/>
      <c r="Q338" s="23" t="inlineStr"/>
      <c r="R338" s="23" t="inlineStr"/>
      <c r="S338" s="23" t="inlineStr"/>
      <c r="T338" s="23" t="inlineStr"/>
      <c r="U338" s="23" t="inlineStr"/>
      <c r="V338" s="23" t="inlineStr">
        <is>
          <t>WBS Code = 1.2.1</t>
        </is>
      </c>
      <c r="W338" s="23" t="inlineStr"/>
    </row>
    <row r="339" ht="49" customHeight="1">
      <c r="A339" s="23" t="inlineStr">
        <is>
          <t>1.2.1</t>
        </is>
      </c>
      <c r="B339" s="23" t="inlineStr">
        <is>
          <t>Stations - Station Structures</t>
        </is>
      </c>
      <c r="C339" s="23" t="inlineStr">
        <is>
          <t>Contractor Programme</t>
        </is>
      </c>
      <c r="D339" s="23" t="inlineStr">
        <is>
          <t>SCH-02-082</t>
        </is>
      </c>
      <c r="E339" s="23" t="inlineStr">
        <is>
          <t>Market Station: platform edge installation - turnover</t>
        </is>
      </c>
      <c r="F339" s="23" t="inlineStr">
        <is>
          <t>ONE_TO_ONE</t>
        </is>
      </c>
      <c r="G339" s="23" t="inlineStr">
        <is>
          <t>RETAINED</t>
        </is>
      </c>
      <c r="H339" s="23" t="inlineStr">
        <is>
          <t>Carried forward</t>
        </is>
      </c>
      <c r="I339" s="23" t="inlineStr">
        <is>
          <t>Source assignment -- not individually reviewed</t>
        </is>
      </c>
      <c r="J339" s="23" t="inlineStr"/>
      <c r="K339" s="23" t="inlineStr">
        <is>
          <t>Source assignment</t>
        </is>
      </c>
      <c r="L339" s="23" t="inlineStr"/>
      <c r="M339" s="23" t="inlineStr">
        <is>
          <t>Contractor Programme Cycle 2</t>
        </is>
      </c>
      <c r="N339" s="23" t="inlineStr">
        <is>
          <t>Rev 1</t>
        </is>
      </c>
      <c r="O339" s="23" t="inlineStr">
        <is>
          <t>R262-v2</t>
        </is>
      </c>
      <c r="P339" s="23" t="inlineStr"/>
      <c r="Q339" s="23" t="inlineStr"/>
      <c r="R339" s="23" t="inlineStr"/>
      <c r="S339" s="23" t="inlineStr"/>
      <c r="T339" s="23" t="inlineStr"/>
      <c r="U339" s="23" t="inlineStr"/>
      <c r="V339" s="23" t="inlineStr">
        <is>
          <t>WBS Code = 1.2.1</t>
        </is>
      </c>
      <c r="W339" s="23" t="inlineStr"/>
    </row>
    <row r="340" ht="49" customHeight="1">
      <c r="A340" s="23" t="inlineStr">
        <is>
          <t>1.2.1</t>
        </is>
      </c>
      <c r="B340" s="23" t="inlineStr">
        <is>
          <t>Stations - Station Structures</t>
        </is>
      </c>
      <c r="C340" s="23" t="inlineStr">
        <is>
          <t>Contractor Programme</t>
        </is>
      </c>
      <c r="D340" s="23" t="inlineStr">
        <is>
          <t>SCH-02-083</t>
        </is>
      </c>
      <c r="E340" s="23" t="inlineStr">
        <is>
          <t>Civic Station: architectural wall framing - release</t>
        </is>
      </c>
      <c r="F340" s="23" t="inlineStr">
        <is>
          <t>ONE_TO_ONE</t>
        </is>
      </c>
      <c r="G340" s="23" t="inlineStr">
        <is>
          <t>RETAINED</t>
        </is>
      </c>
      <c r="H340" s="23" t="inlineStr">
        <is>
          <t>Carried forward</t>
        </is>
      </c>
      <c r="I340" s="23" t="inlineStr">
        <is>
          <t>Source assignment -- not individually reviewed</t>
        </is>
      </c>
      <c r="J340" s="23" t="inlineStr"/>
      <c r="K340" s="23" t="inlineStr">
        <is>
          <t>Source assignment</t>
        </is>
      </c>
      <c r="L340" s="23" t="inlineStr"/>
      <c r="M340" s="23" t="inlineStr">
        <is>
          <t>Contractor Programme Cycle 2</t>
        </is>
      </c>
      <c r="N340" s="23" t="inlineStr">
        <is>
          <t>Rev 1</t>
        </is>
      </c>
      <c r="O340" s="23" t="inlineStr">
        <is>
          <t>R263-v2</t>
        </is>
      </c>
      <c r="P340" s="23" t="inlineStr"/>
      <c r="Q340" s="23" t="inlineStr"/>
      <c r="R340" s="23" t="inlineStr"/>
      <c r="S340" s="23" t="inlineStr"/>
      <c r="T340" s="23" t="inlineStr"/>
      <c r="U340" s="23" t="inlineStr"/>
      <c r="V340" s="23" t="inlineStr">
        <is>
          <t>WBS Code = 1.2.1</t>
        </is>
      </c>
      <c r="W340" s="23" t="inlineStr"/>
    </row>
    <row r="341" ht="49" customHeight="1">
      <c r="A341" s="23" t="inlineStr">
        <is>
          <t>1.2.1</t>
        </is>
      </c>
      <c r="B341" s="23" t="inlineStr">
        <is>
          <t>Stations - Station Structures</t>
        </is>
      </c>
      <c r="C341" s="23" t="inlineStr">
        <is>
          <t>Contractor Programme</t>
        </is>
      </c>
      <c r="D341" s="23" t="inlineStr">
        <is>
          <t>SCH-02-085</t>
        </is>
      </c>
      <c r="E341" s="23" t="inlineStr">
        <is>
          <t>West Terminal: concourse slab pour - installation</t>
        </is>
      </c>
      <c r="F341" s="23" t="inlineStr">
        <is>
          <t>ONE_TO_ONE</t>
        </is>
      </c>
      <c r="G341" s="23" t="inlineStr">
        <is>
          <t>RETAINED</t>
        </is>
      </c>
      <c r="H341" s="23" t="inlineStr">
        <is>
          <t>Carried forward</t>
        </is>
      </c>
      <c r="I341" s="23" t="inlineStr">
        <is>
          <t>Source assignment -- not individually reviewed</t>
        </is>
      </c>
      <c r="J341" s="23" t="inlineStr"/>
      <c r="K341" s="23" t="inlineStr">
        <is>
          <t>Source assignment</t>
        </is>
      </c>
      <c r="L341" s="23" t="inlineStr"/>
      <c r="M341" s="23" t="inlineStr">
        <is>
          <t>Contractor Programme Cycle 2</t>
        </is>
      </c>
      <c r="N341" s="23" t="inlineStr">
        <is>
          <t>Rev 1</t>
        </is>
      </c>
      <c r="O341" s="23" t="inlineStr">
        <is>
          <t>R265-v2</t>
        </is>
      </c>
      <c r="P341" s="23" t="inlineStr"/>
      <c r="Q341" s="23" t="inlineStr"/>
      <c r="R341" s="23" t="inlineStr"/>
      <c r="S341" s="23" t="inlineStr"/>
      <c r="T341" s="23" t="inlineStr"/>
      <c r="U341" s="23" t="inlineStr"/>
      <c r="V341" s="23" t="inlineStr">
        <is>
          <t>WBS Code = 1.2.1</t>
        </is>
      </c>
      <c r="W341" s="23" t="inlineStr"/>
    </row>
    <row r="342" ht="49" customHeight="1">
      <c r="A342" s="23" t="inlineStr">
        <is>
          <t>1.2.1</t>
        </is>
      </c>
      <c r="B342" s="23" t="inlineStr">
        <is>
          <t>Stations - Station Structures</t>
        </is>
      </c>
      <c r="C342" s="23" t="inlineStr">
        <is>
          <t>Contractor Programme</t>
        </is>
      </c>
      <c r="D342" s="23" t="inlineStr">
        <is>
          <t>SCH-02-086</t>
        </is>
      </c>
      <c r="E342" s="23" t="inlineStr">
        <is>
          <t>Harbour Station: station ventilation rough-in - inspection</t>
        </is>
      </c>
      <c r="F342" s="23" t="inlineStr">
        <is>
          <t>ONE_TO_ONE</t>
        </is>
      </c>
      <c r="G342" s="23" t="inlineStr">
        <is>
          <t>RETAINED</t>
        </is>
      </c>
      <c r="H342" s="23" t="inlineStr">
        <is>
          <t>Carried forward</t>
        </is>
      </c>
      <c r="I342" s="23" t="inlineStr">
        <is>
          <t>Source assignment -- not individually reviewed</t>
        </is>
      </c>
      <c r="J342" s="23" t="inlineStr"/>
      <c r="K342" s="23" t="inlineStr">
        <is>
          <t>Source assignment</t>
        </is>
      </c>
      <c r="L342" s="23" t="inlineStr"/>
      <c r="M342" s="23" t="inlineStr">
        <is>
          <t>Contractor Programme Cycle 2</t>
        </is>
      </c>
      <c r="N342" s="23" t="inlineStr">
        <is>
          <t>Rev 1</t>
        </is>
      </c>
      <c r="O342" s="23" t="inlineStr">
        <is>
          <t>R266-v2</t>
        </is>
      </c>
      <c r="P342" s="23" t="inlineStr"/>
      <c r="Q342" s="23" t="inlineStr"/>
      <c r="R342" s="23" t="inlineStr"/>
      <c r="S342" s="23" t="inlineStr"/>
      <c r="T342" s="23" t="inlineStr"/>
      <c r="U342" s="23" t="inlineStr"/>
      <c r="V342" s="23" t="inlineStr">
        <is>
          <t>WBS Code = 1.2.1</t>
        </is>
      </c>
      <c r="W342" s="23" t="inlineStr"/>
    </row>
    <row r="343" ht="49" customHeight="1">
      <c r="A343" s="23" t="inlineStr">
        <is>
          <t>1.2.1</t>
        </is>
      </c>
      <c r="B343" s="23" t="inlineStr">
        <is>
          <t>Stations - Station Structures</t>
        </is>
      </c>
      <c r="C343" s="23" t="inlineStr">
        <is>
          <t>Contractor Programme</t>
        </is>
      </c>
      <c r="D343" s="23" t="inlineStr">
        <is>
          <t>SCH-02-088</t>
        </is>
      </c>
      <c r="E343" s="23" t="inlineStr">
        <is>
          <t>Civic Station: entrance steel erection - release</t>
        </is>
      </c>
      <c r="F343" s="23" t="inlineStr">
        <is>
          <t>ONE_TO_ONE</t>
        </is>
      </c>
      <c r="G343" s="23" t="inlineStr">
        <is>
          <t>RETAINED</t>
        </is>
      </c>
      <c r="H343" s="23" t="inlineStr">
        <is>
          <t>Carried forward</t>
        </is>
      </c>
      <c r="I343" s="23" t="inlineStr">
        <is>
          <t>Source assignment -- not individually reviewed</t>
        </is>
      </c>
      <c r="J343" s="23" t="inlineStr"/>
      <c r="K343" s="23" t="inlineStr">
        <is>
          <t>Source assignment</t>
        </is>
      </c>
      <c r="L343" s="23" t="inlineStr"/>
      <c r="M343" s="23" t="inlineStr">
        <is>
          <t>Contractor Programme Cycle 2</t>
        </is>
      </c>
      <c r="N343" s="23" t="inlineStr">
        <is>
          <t>Rev 1</t>
        </is>
      </c>
      <c r="O343" s="23" t="inlineStr">
        <is>
          <t>R268-v2</t>
        </is>
      </c>
      <c r="P343" s="23" t="inlineStr"/>
      <c r="Q343" s="23" t="inlineStr"/>
      <c r="R343" s="23" t="inlineStr"/>
      <c r="S343" s="23" t="inlineStr"/>
      <c r="T343" s="23" t="inlineStr"/>
      <c r="U343" s="23" t="inlineStr"/>
      <c r="V343" s="23" t="inlineStr">
        <is>
          <t>WBS Code = 1.2.1</t>
        </is>
      </c>
      <c r="W343" s="23" t="inlineStr"/>
    </row>
    <row r="344" ht="49" customHeight="1">
      <c r="A344" s="23" t="inlineStr">
        <is>
          <t>1.2.1</t>
        </is>
      </c>
      <c r="B344" s="23" t="inlineStr">
        <is>
          <t>Stations - Station Structures</t>
        </is>
      </c>
      <c r="C344" s="23" t="inlineStr">
        <is>
          <t>Contractor Programme</t>
        </is>
      </c>
      <c r="D344" s="23" t="inlineStr">
        <is>
          <t>SCH-02-089</t>
        </is>
      </c>
      <c r="E344" s="23" t="inlineStr">
        <is>
          <t>University Station: vertical-transport installation - field start</t>
        </is>
      </c>
      <c r="F344" s="23" t="inlineStr">
        <is>
          <t>ONE_TO_ONE</t>
        </is>
      </c>
      <c r="G344" s="23" t="inlineStr">
        <is>
          <t>RETAINED</t>
        </is>
      </c>
      <c r="H344" s="23" t="inlineStr">
        <is>
          <t>Carried forward</t>
        </is>
      </c>
      <c r="I344" s="23" t="inlineStr">
        <is>
          <t>Source assignment -- not individually reviewed</t>
        </is>
      </c>
      <c r="J344" s="23" t="inlineStr"/>
      <c r="K344" s="23" t="inlineStr">
        <is>
          <t>Source assignment</t>
        </is>
      </c>
      <c r="L344" s="23" t="inlineStr"/>
      <c r="M344" s="23" t="inlineStr">
        <is>
          <t>Contractor Programme Cycle 2</t>
        </is>
      </c>
      <c r="N344" s="23" t="inlineStr">
        <is>
          <t>Rev 1</t>
        </is>
      </c>
      <c r="O344" s="23" t="inlineStr">
        <is>
          <t>R269-v2</t>
        </is>
      </c>
      <c r="P344" s="23" t="inlineStr"/>
      <c r="Q344" s="23" t="inlineStr"/>
      <c r="R344" s="23" t="inlineStr"/>
      <c r="S344" s="23" t="inlineStr"/>
      <c r="T344" s="23" t="inlineStr"/>
      <c r="U344" s="23" t="inlineStr"/>
      <c r="V344" s="23" t="inlineStr">
        <is>
          <t>WBS Code = 1.2.1</t>
        </is>
      </c>
      <c r="W344" s="23" t="inlineStr"/>
    </row>
    <row r="345" ht="49" customHeight="1">
      <c r="A345" s="23" t="inlineStr">
        <is>
          <t>1.2.1</t>
        </is>
      </c>
      <c r="B345" s="23" t="inlineStr">
        <is>
          <t>Stations - Station Structures</t>
        </is>
      </c>
      <c r="C345" s="23" t="inlineStr">
        <is>
          <t>Contractor Programme</t>
        </is>
      </c>
      <c r="D345" s="23" t="inlineStr">
        <is>
          <t>SCH-02-091</t>
        </is>
      </c>
      <c r="E345" s="23" t="inlineStr">
        <is>
          <t>Harbour Station: architectural wall framing - inspection</t>
        </is>
      </c>
      <c r="F345" s="23" t="inlineStr">
        <is>
          <t>ONE_TO_ONE</t>
        </is>
      </c>
      <c r="G345" s="23" t="inlineStr">
        <is>
          <t>RETAINED</t>
        </is>
      </c>
      <c r="H345" s="23" t="inlineStr">
        <is>
          <t>Carried forward</t>
        </is>
      </c>
      <c r="I345" s="23" t="inlineStr">
        <is>
          <t>Source assignment -- not individually reviewed</t>
        </is>
      </c>
      <c r="J345" s="23" t="inlineStr"/>
      <c r="K345" s="23" t="inlineStr">
        <is>
          <t>Source assignment</t>
        </is>
      </c>
      <c r="L345" s="23" t="inlineStr"/>
      <c r="M345" s="23" t="inlineStr">
        <is>
          <t>Contractor Programme Cycle 2</t>
        </is>
      </c>
      <c r="N345" s="23" t="inlineStr">
        <is>
          <t>Rev 1</t>
        </is>
      </c>
      <c r="O345" s="23" t="inlineStr">
        <is>
          <t>R271-v2</t>
        </is>
      </c>
      <c r="P345" s="23" t="inlineStr"/>
      <c r="Q345" s="23" t="inlineStr"/>
      <c r="R345" s="23" t="inlineStr"/>
      <c r="S345" s="23" t="inlineStr"/>
      <c r="T345" s="23" t="inlineStr"/>
      <c r="U345" s="23" t="inlineStr"/>
      <c r="V345" s="23" t="inlineStr">
        <is>
          <t>WBS Code = 1.2.1</t>
        </is>
      </c>
      <c r="W345" s="23" t="inlineStr"/>
    </row>
    <row r="346" ht="49" customHeight="1">
      <c r="A346" s="23" t="inlineStr">
        <is>
          <t>1.2.1</t>
        </is>
      </c>
      <c r="B346" s="23" t="inlineStr">
        <is>
          <t>Stations - Station Structures</t>
        </is>
      </c>
      <c r="C346" s="23" t="inlineStr">
        <is>
          <t>Contractor Programme</t>
        </is>
      </c>
      <c r="D346" s="23" t="inlineStr">
        <is>
          <t>SCH-02-092</t>
        </is>
      </c>
      <c r="E346" s="23" t="inlineStr">
        <is>
          <t>Market Station: fire-life-safety cabling - turnover</t>
        </is>
      </c>
      <c r="F346" s="23" t="inlineStr">
        <is>
          <t>ONE_TO_ONE</t>
        </is>
      </c>
      <c r="G346" s="23" t="inlineStr">
        <is>
          <t>RETAINED</t>
        </is>
      </c>
      <c r="H346" s="23" t="inlineStr">
        <is>
          <t>Carried forward</t>
        </is>
      </c>
      <c r="I346" s="23" t="inlineStr">
        <is>
          <t>Source assignment -- not individually reviewed</t>
        </is>
      </c>
      <c r="J346" s="23" t="inlineStr"/>
      <c r="K346" s="23" t="inlineStr">
        <is>
          <t>Source assignment</t>
        </is>
      </c>
      <c r="L346" s="23" t="inlineStr"/>
      <c r="M346" s="23" t="inlineStr">
        <is>
          <t>Contractor Programme Cycle 2</t>
        </is>
      </c>
      <c r="N346" s="23" t="inlineStr">
        <is>
          <t>Rev 1</t>
        </is>
      </c>
      <c r="O346" s="23" t="inlineStr">
        <is>
          <t>R272-v2</t>
        </is>
      </c>
      <c r="P346" s="23" t="inlineStr"/>
      <c r="Q346" s="23" t="inlineStr"/>
      <c r="R346" s="23" t="inlineStr"/>
      <c r="S346" s="23" t="inlineStr"/>
      <c r="T346" s="23" t="inlineStr"/>
      <c r="U346" s="23" t="inlineStr"/>
      <c r="V346" s="23" t="inlineStr">
        <is>
          <t>WBS Code = 1.2.1</t>
        </is>
      </c>
      <c r="W346" s="23" t="inlineStr"/>
    </row>
    <row r="347" ht="49" customHeight="1">
      <c r="A347" s="23" t="inlineStr">
        <is>
          <t>1.2.1</t>
        </is>
      </c>
      <c r="B347" s="23" t="inlineStr">
        <is>
          <t>Stations - Station Structures</t>
        </is>
      </c>
      <c r="C347" s="23" t="inlineStr">
        <is>
          <t>Contractor Programme</t>
        </is>
      </c>
      <c r="D347" s="23" t="inlineStr">
        <is>
          <t>SCH-02-094</t>
        </is>
      </c>
      <c r="E347" s="23" t="inlineStr">
        <is>
          <t>University Station: station ventilation rough-in - field start</t>
        </is>
      </c>
      <c r="F347" s="23" t="inlineStr">
        <is>
          <t>ONE_TO_ONE</t>
        </is>
      </c>
      <c r="G347" s="23" t="inlineStr">
        <is>
          <t>RETAINED</t>
        </is>
      </c>
      <c r="H347" s="23" t="inlineStr">
        <is>
          <t>Carried forward</t>
        </is>
      </c>
      <c r="I347" s="23" t="inlineStr">
        <is>
          <t>Source assignment -- not individually reviewed</t>
        </is>
      </c>
      <c r="J347" s="23" t="inlineStr"/>
      <c r="K347" s="23" t="inlineStr">
        <is>
          <t>Source assignment</t>
        </is>
      </c>
      <c r="L347" s="23" t="inlineStr"/>
      <c r="M347" s="23" t="inlineStr">
        <is>
          <t>Contractor Programme Cycle 2</t>
        </is>
      </c>
      <c r="N347" s="23" t="inlineStr">
        <is>
          <t>Rev 1</t>
        </is>
      </c>
      <c r="O347" s="23" t="inlineStr">
        <is>
          <t>R274-v2</t>
        </is>
      </c>
      <c r="P347" s="23" t="inlineStr"/>
      <c r="Q347" s="23" t="inlineStr"/>
      <c r="R347" s="23" t="inlineStr"/>
      <c r="S347" s="23" t="inlineStr"/>
      <c r="T347" s="23" t="inlineStr"/>
      <c r="U347" s="23" t="inlineStr"/>
      <c r="V347" s="23" t="inlineStr">
        <is>
          <t>WBS Code = 1.2.1</t>
        </is>
      </c>
      <c r="W347" s="23" t="inlineStr"/>
    </row>
    <row r="348" ht="49" customHeight="1">
      <c r="A348" s="23" t="inlineStr">
        <is>
          <t>1.2.1</t>
        </is>
      </c>
      <c r="B348" s="23" t="inlineStr">
        <is>
          <t>Stations - Station Structures</t>
        </is>
      </c>
      <c r="C348" s="23" t="inlineStr">
        <is>
          <t>Contractor Programme</t>
        </is>
      </c>
      <c r="D348" s="23" t="inlineStr">
        <is>
          <t>SCH-02-095</t>
        </is>
      </c>
      <c r="E348" s="23" t="inlineStr">
        <is>
          <t>West Terminal: public-realm paving - installation</t>
        </is>
      </c>
      <c r="F348" s="23" t="inlineStr">
        <is>
          <t>ONE_TO_ONE</t>
        </is>
      </c>
      <c r="G348" s="23" t="inlineStr">
        <is>
          <t>RETAINED</t>
        </is>
      </c>
      <c r="H348" s="23" t="inlineStr">
        <is>
          <t>Carried forward</t>
        </is>
      </c>
      <c r="I348" s="23" t="inlineStr">
        <is>
          <t>Source assignment -- not individually reviewed</t>
        </is>
      </c>
      <c r="J348" s="23" t="inlineStr"/>
      <c r="K348" s="23" t="inlineStr">
        <is>
          <t>Source assignment</t>
        </is>
      </c>
      <c r="L348" s="23" t="inlineStr"/>
      <c r="M348" s="23" t="inlineStr">
        <is>
          <t>Contractor Programme Cycle 2</t>
        </is>
      </c>
      <c r="N348" s="23" t="inlineStr">
        <is>
          <t>Rev 1</t>
        </is>
      </c>
      <c r="O348" s="23" t="inlineStr">
        <is>
          <t>R275-v2</t>
        </is>
      </c>
      <c r="P348" s="23" t="inlineStr"/>
      <c r="Q348" s="23" t="inlineStr"/>
      <c r="R348" s="23" t="inlineStr"/>
      <c r="S348" s="23" t="inlineStr"/>
      <c r="T348" s="23" t="inlineStr"/>
      <c r="U348" s="23" t="inlineStr"/>
      <c r="V348" s="23" t="inlineStr">
        <is>
          <t>WBS Code = 1.2.1</t>
        </is>
      </c>
      <c r="W348" s="23" t="inlineStr"/>
    </row>
    <row r="349" ht="49" customHeight="1">
      <c r="A349" s="23" t="inlineStr">
        <is>
          <t>1.2.1</t>
        </is>
      </c>
      <c r="B349" s="23" t="inlineStr">
        <is>
          <t>Stations - Station Structures</t>
        </is>
      </c>
      <c r="C349" s="23" t="inlineStr">
        <is>
          <t>Contractor Programme</t>
        </is>
      </c>
      <c r="D349" s="23" t="inlineStr">
        <is>
          <t>SCH-02-097</t>
        </is>
      </c>
      <c r="E349" s="23" t="inlineStr">
        <is>
          <t>Market Station: vertical-transport installation - turnover</t>
        </is>
      </c>
      <c r="F349" s="23" t="inlineStr">
        <is>
          <t>ONE_TO_ONE</t>
        </is>
      </c>
      <c r="G349" s="23" t="inlineStr">
        <is>
          <t>RETAINED</t>
        </is>
      </c>
      <c r="H349" s="23" t="inlineStr">
        <is>
          <t>Carried forward</t>
        </is>
      </c>
      <c r="I349" s="23" t="inlineStr">
        <is>
          <t>Source assignment -- not individually reviewed</t>
        </is>
      </c>
      <c r="J349" s="23" t="inlineStr"/>
      <c r="K349" s="23" t="inlineStr">
        <is>
          <t>Source assignment</t>
        </is>
      </c>
      <c r="L349" s="23" t="inlineStr"/>
      <c r="M349" s="23" t="inlineStr">
        <is>
          <t>Contractor Programme Cycle 2</t>
        </is>
      </c>
      <c r="N349" s="23" t="inlineStr">
        <is>
          <t>Rev 1</t>
        </is>
      </c>
      <c r="O349" s="23" t="inlineStr">
        <is>
          <t>R277-v2</t>
        </is>
      </c>
      <c r="P349" s="23" t="inlineStr"/>
      <c r="Q349" s="23" t="inlineStr"/>
      <c r="R349" s="23" t="inlineStr"/>
      <c r="S349" s="23" t="inlineStr"/>
      <c r="T349" s="23" t="inlineStr"/>
      <c r="U349" s="23" t="inlineStr"/>
      <c r="V349" s="23" t="inlineStr">
        <is>
          <t>WBS Code = 1.2.1</t>
        </is>
      </c>
      <c r="W349" s="23" t="inlineStr"/>
    </row>
    <row r="350" ht="49" customHeight="1">
      <c r="A350" s="23" t="inlineStr">
        <is>
          <t>1.2.1</t>
        </is>
      </c>
      <c r="B350" s="23" t="inlineStr">
        <is>
          <t>Stations - Station Structures</t>
        </is>
      </c>
      <c r="C350" s="23" t="inlineStr">
        <is>
          <t>Contractor Programme</t>
        </is>
      </c>
      <c r="D350" s="23" t="inlineStr">
        <is>
          <t>SCH-02-098</t>
        </is>
      </c>
      <c r="E350" s="23" t="inlineStr">
        <is>
          <t>Civic Station: platform edge installation - release</t>
        </is>
      </c>
      <c r="F350" s="23" t="inlineStr">
        <is>
          <t>ONE_TO_ONE</t>
        </is>
      </c>
      <c r="G350" s="23" t="inlineStr">
        <is>
          <t>RETAINED</t>
        </is>
      </c>
      <c r="H350" s="23" t="inlineStr">
        <is>
          <t>Carried forward</t>
        </is>
      </c>
      <c r="I350" s="23" t="inlineStr">
        <is>
          <t>Source assignment -- not individually reviewed</t>
        </is>
      </c>
      <c r="J350" s="23" t="inlineStr"/>
      <c r="K350" s="23" t="inlineStr">
        <is>
          <t>Source assignment</t>
        </is>
      </c>
      <c r="L350" s="23" t="inlineStr"/>
      <c r="M350" s="23" t="inlineStr">
        <is>
          <t>Contractor Programme Cycle 2</t>
        </is>
      </c>
      <c r="N350" s="23" t="inlineStr">
        <is>
          <t>Rev 1</t>
        </is>
      </c>
      <c r="O350" s="23" t="inlineStr">
        <is>
          <t>R278-v2</t>
        </is>
      </c>
      <c r="P350" s="23" t="inlineStr"/>
      <c r="Q350" s="23" t="inlineStr"/>
      <c r="R350" s="23" t="inlineStr"/>
      <c r="S350" s="23" t="inlineStr"/>
      <c r="T350" s="23" t="inlineStr"/>
      <c r="U350" s="23" t="inlineStr"/>
      <c r="V350" s="23" t="inlineStr">
        <is>
          <t>WBS Code = 1.2.1</t>
        </is>
      </c>
      <c r="W350" s="23" t="inlineStr"/>
    </row>
    <row r="351" ht="49" customHeight="1">
      <c r="A351" s="23" t="inlineStr">
        <is>
          <t>1.2.1</t>
        </is>
      </c>
      <c r="B351" s="23" t="inlineStr">
        <is>
          <t>Stations - Station Structures</t>
        </is>
      </c>
      <c r="C351" s="23" t="inlineStr">
        <is>
          <t>Contractor Programme</t>
        </is>
      </c>
      <c r="D351" s="23" t="inlineStr">
        <is>
          <t>SCH-02-100</t>
        </is>
      </c>
      <c r="E351" s="23" t="inlineStr">
        <is>
          <t>West Terminal: fire-life-safety cabling - installation</t>
        </is>
      </c>
      <c r="F351" s="23" t="inlineStr">
        <is>
          <t>ONE_TO_ONE</t>
        </is>
      </c>
      <c r="G351" s="23" t="inlineStr">
        <is>
          <t>RETAINED</t>
        </is>
      </c>
      <c r="H351" s="23" t="inlineStr">
        <is>
          <t>Carried forward</t>
        </is>
      </c>
      <c r="I351" s="23" t="inlineStr">
        <is>
          <t>Source assignment -- not individually reviewed</t>
        </is>
      </c>
      <c r="J351" s="23" t="inlineStr"/>
      <c r="K351" s="23" t="inlineStr">
        <is>
          <t>Source assignment</t>
        </is>
      </c>
      <c r="L351" s="23" t="inlineStr"/>
      <c r="M351" s="23" t="inlineStr">
        <is>
          <t>Contractor Programme Cycle 2</t>
        </is>
      </c>
      <c r="N351" s="23" t="inlineStr">
        <is>
          <t>Rev 1</t>
        </is>
      </c>
      <c r="O351" s="23" t="inlineStr">
        <is>
          <t>R280-v2</t>
        </is>
      </c>
      <c r="P351" s="23" t="inlineStr"/>
      <c r="Q351" s="23" t="inlineStr"/>
      <c r="R351" s="23" t="inlineStr"/>
      <c r="S351" s="23" t="inlineStr"/>
      <c r="T351" s="23" t="inlineStr"/>
      <c r="U351" s="23" t="inlineStr"/>
      <c r="V351" s="23" t="inlineStr">
        <is>
          <t>WBS Code = 1.2.1</t>
        </is>
      </c>
      <c r="W351" s="23" t="inlineStr"/>
    </row>
    <row r="352" ht="49" customHeight="1">
      <c r="A352" s="23" t="inlineStr">
        <is>
          <t>1.2.1</t>
        </is>
      </c>
      <c r="B352" s="23" t="inlineStr">
        <is>
          <t>Stations - Station Structures</t>
        </is>
      </c>
      <c r="C352" s="23" t="inlineStr">
        <is>
          <t>Contractor Programme</t>
        </is>
      </c>
      <c r="D352" s="23" t="inlineStr">
        <is>
          <t>SCH-02-101</t>
        </is>
      </c>
      <c r="E352" s="23" t="inlineStr">
        <is>
          <t>Harbour Station: concourse slab pour - inspection</t>
        </is>
      </c>
      <c r="F352" s="23" t="inlineStr">
        <is>
          <t>ONE_TO_ONE</t>
        </is>
      </c>
      <c r="G352" s="23" t="inlineStr">
        <is>
          <t>RETAINED</t>
        </is>
      </c>
      <c r="H352" s="23" t="inlineStr">
        <is>
          <t>Carried forward</t>
        </is>
      </c>
      <c r="I352" s="23" t="inlineStr">
        <is>
          <t>Source assignment -- not individually reviewed</t>
        </is>
      </c>
      <c r="J352" s="23" t="inlineStr"/>
      <c r="K352" s="23" t="inlineStr">
        <is>
          <t>Source assignment</t>
        </is>
      </c>
      <c r="L352" s="23" t="inlineStr"/>
      <c r="M352" s="23" t="inlineStr">
        <is>
          <t>Contractor Programme Cycle 2</t>
        </is>
      </c>
      <c r="N352" s="23" t="inlineStr">
        <is>
          <t>Rev 1</t>
        </is>
      </c>
      <c r="O352" s="23" t="inlineStr">
        <is>
          <t>R281-v2</t>
        </is>
      </c>
      <c r="P352" s="23" t="inlineStr"/>
      <c r="Q352" s="23" t="inlineStr"/>
      <c r="R352" s="23" t="inlineStr"/>
      <c r="S352" s="23" t="inlineStr"/>
      <c r="T352" s="23" t="inlineStr"/>
      <c r="U352" s="23" t="inlineStr"/>
      <c r="V352" s="23" t="inlineStr">
        <is>
          <t>WBS Code = 1.2.1</t>
        </is>
      </c>
      <c r="W352" s="23" t="inlineStr"/>
    </row>
    <row r="353" ht="49" customHeight="1">
      <c r="A353" s="23" t="inlineStr">
        <is>
          <t>1.2.1</t>
        </is>
      </c>
      <c r="B353" s="23" t="inlineStr">
        <is>
          <t>Stations - Station Structures</t>
        </is>
      </c>
      <c r="C353" s="23" t="inlineStr">
        <is>
          <t>Contractor Programme</t>
        </is>
      </c>
      <c r="D353" s="23" t="inlineStr">
        <is>
          <t>SCH-02-103</t>
        </is>
      </c>
      <c r="E353" s="23" t="inlineStr">
        <is>
          <t>Civic Station: public-realm paving - release</t>
        </is>
      </c>
      <c r="F353" s="23" t="inlineStr">
        <is>
          <t>ONE_TO_ONE</t>
        </is>
      </c>
      <c r="G353" s="23" t="inlineStr">
        <is>
          <t>RETAINED</t>
        </is>
      </c>
      <c r="H353" s="23" t="inlineStr">
        <is>
          <t>Carried forward</t>
        </is>
      </c>
      <c r="I353" s="23" t="inlineStr">
        <is>
          <t>Source assignment -- not individually reviewed</t>
        </is>
      </c>
      <c r="J353" s="23" t="inlineStr"/>
      <c r="K353" s="23" t="inlineStr">
        <is>
          <t>Source assignment</t>
        </is>
      </c>
      <c r="L353" s="23" t="inlineStr"/>
      <c r="M353" s="23" t="inlineStr">
        <is>
          <t>Contractor Programme Cycle 2</t>
        </is>
      </c>
      <c r="N353" s="23" t="inlineStr">
        <is>
          <t>Rev 1</t>
        </is>
      </c>
      <c r="O353" s="23" t="inlineStr">
        <is>
          <t>R283-v2</t>
        </is>
      </c>
      <c r="P353" s="23" t="inlineStr"/>
      <c r="Q353" s="23" t="inlineStr"/>
      <c r="R353" s="23" t="inlineStr"/>
      <c r="S353" s="23" t="inlineStr"/>
      <c r="T353" s="23" t="inlineStr"/>
      <c r="U353" s="23" t="inlineStr"/>
      <c r="V353" s="23" t="inlineStr">
        <is>
          <t>WBS Code = 1.2.1</t>
        </is>
      </c>
      <c r="W353" s="23" t="inlineStr"/>
    </row>
    <row r="354" ht="49" customHeight="1">
      <c r="A354" s="23" t="inlineStr">
        <is>
          <t>1.2.1</t>
        </is>
      </c>
      <c r="B354" s="23" t="inlineStr">
        <is>
          <t>Stations - Station Structures</t>
        </is>
      </c>
      <c r="C354" s="23" t="inlineStr">
        <is>
          <t>Contractor Programme</t>
        </is>
      </c>
      <c r="D354" s="23" t="inlineStr">
        <is>
          <t>SCH-02-104</t>
        </is>
      </c>
      <c r="E354" s="23" t="inlineStr">
        <is>
          <t>University Station: entrance steel erection - field start</t>
        </is>
      </c>
      <c r="F354" s="23" t="inlineStr">
        <is>
          <t>ONE_TO_ONE</t>
        </is>
      </c>
      <c r="G354" s="23" t="inlineStr">
        <is>
          <t>RETAINED</t>
        </is>
      </c>
      <c r="H354" s="23" t="inlineStr">
        <is>
          <t>Carried forward</t>
        </is>
      </c>
      <c r="I354" s="23" t="inlineStr">
        <is>
          <t>Source assignment -- not individually reviewed</t>
        </is>
      </c>
      <c r="J354" s="23" t="inlineStr"/>
      <c r="K354" s="23" t="inlineStr">
        <is>
          <t>Source assignment</t>
        </is>
      </c>
      <c r="L354" s="23" t="inlineStr"/>
      <c r="M354" s="23" t="inlineStr">
        <is>
          <t>Contractor Programme Cycle 2</t>
        </is>
      </c>
      <c r="N354" s="23" t="inlineStr">
        <is>
          <t>Rev 1</t>
        </is>
      </c>
      <c r="O354" s="23" t="inlineStr">
        <is>
          <t>R284-v2</t>
        </is>
      </c>
      <c r="P354" s="23" t="inlineStr"/>
      <c r="Q354" s="23" t="inlineStr"/>
      <c r="R354" s="23" t="inlineStr"/>
      <c r="S354" s="23" t="inlineStr"/>
      <c r="T354" s="23" t="inlineStr"/>
      <c r="U354" s="23" t="inlineStr"/>
      <c r="V354" s="23" t="inlineStr">
        <is>
          <t>WBS Code = 1.2.1</t>
        </is>
      </c>
      <c r="W354" s="23" t="inlineStr"/>
    </row>
    <row r="355" ht="49" customHeight="1">
      <c r="A355" s="23" t="inlineStr">
        <is>
          <t>1.2.1</t>
        </is>
      </c>
      <c r="B355" s="23" t="inlineStr">
        <is>
          <t>Stations - Station Structures</t>
        </is>
      </c>
      <c r="C355" s="23" t="inlineStr">
        <is>
          <t>Contractor Programme</t>
        </is>
      </c>
      <c r="D355" s="23" t="inlineStr">
        <is>
          <t>SCH-02-106</t>
        </is>
      </c>
      <c r="E355" s="23" t="inlineStr">
        <is>
          <t>Harbour Station: platform edge installation - inspection</t>
        </is>
      </c>
      <c r="F355" s="23" t="inlineStr">
        <is>
          <t>ONE_TO_ONE</t>
        </is>
      </c>
      <c r="G355" s="23" t="inlineStr">
        <is>
          <t>RETAINED</t>
        </is>
      </c>
      <c r="H355" s="23" t="inlineStr">
        <is>
          <t>Carried forward</t>
        </is>
      </c>
      <c r="I355" s="23" t="inlineStr">
        <is>
          <t>Source assignment -- not individually reviewed</t>
        </is>
      </c>
      <c r="J355" s="23" t="inlineStr"/>
      <c r="K355" s="23" t="inlineStr">
        <is>
          <t>Source assignment</t>
        </is>
      </c>
      <c r="L355" s="23" t="inlineStr"/>
      <c r="M355" s="23" t="inlineStr">
        <is>
          <t>Contractor Programme Cycle 2</t>
        </is>
      </c>
      <c r="N355" s="23" t="inlineStr">
        <is>
          <t>Rev 1</t>
        </is>
      </c>
      <c r="O355" s="23" t="inlineStr">
        <is>
          <t>R286-v2</t>
        </is>
      </c>
      <c r="P355" s="23" t="inlineStr"/>
      <c r="Q355" s="23" t="inlineStr"/>
      <c r="R355" s="23" t="inlineStr"/>
      <c r="S355" s="23" t="inlineStr"/>
      <c r="T355" s="23" t="inlineStr"/>
      <c r="U355" s="23" t="inlineStr"/>
      <c r="V355" s="23" t="inlineStr">
        <is>
          <t>WBS Code = 1.2.1</t>
        </is>
      </c>
      <c r="W355" s="23" t="inlineStr"/>
    </row>
    <row r="356" ht="49" customHeight="1">
      <c r="A356" s="23" t="inlineStr">
        <is>
          <t>1.2.1</t>
        </is>
      </c>
      <c r="B356" s="23" t="inlineStr">
        <is>
          <t>Stations - Station Structures</t>
        </is>
      </c>
      <c r="C356" s="23" t="inlineStr">
        <is>
          <t>Contractor Programme</t>
        </is>
      </c>
      <c r="D356" s="23" t="inlineStr">
        <is>
          <t>SCH-02-107</t>
        </is>
      </c>
      <c r="E356" s="23" t="inlineStr">
        <is>
          <t>Market Station: architectural wall framing - turnover</t>
        </is>
      </c>
      <c r="F356" s="23" t="inlineStr">
        <is>
          <t>ONE_TO_ONE</t>
        </is>
      </c>
      <c r="G356" s="23" t="inlineStr">
        <is>
          <t>RETAINED</t>
        </is>
      </c>
      <c r="H356" s="23" t="inlineStr">
        <is>
          <t>Carried forward</t>
        </is>
      </c>
      <c r="I356" s="23" t="inlineStr">
        <is>
          <t>Source assignment -- not individually reviewed</t>
        </is>
      </c>
      <c r="J356" s="23" t="inlineStr"/>
      <c r="K356" s="23" t="inlineStr">
        <is>
          <t>Source assignment</t>
        </is>
      </c>
      <c r="L356" s="23" t="inlineStr"/>
      <c r="M356" s="23" t="inlineStr">
        <is>
          <t>Contractor Programme Cycle 2</t>
        </is>
      </c>
      <c r="N356" s="23" t="inlineStr">
        <is>
          <t>Rev 1</t>
        </is>
      </c>
      <c r="O356" s="23" t="inlineStr">
        <is>
          <t>R287-v2</t>
        </is>
      </c>
      <c r="P356" s="23" t="inlineStr"/>
      <c r="Q356" s="23" t="inlineStr"/>
      <c r="R356" s="23" t="inlineStr"/>
      <c r="S356" s="23" t="inlineStr"/>
      <c r="T356" s="23" t="inlineStr"/>
      <c r="U356" s="23" t="inlineStr"/>
      <c r="V356" s="23" t="inlineStr">
        <is>
          <t>WBS Code = 1.2.1</t>
        </is>
      </c>
      <c r="W356" s="23" t="inlineStr"/>
    </row>
    <row r="357" ht="49" customHeight="1">
      <c r="A357" s="23" t="inlineStr">
        <is>
          <t>1.2.1</t>
        </is>
      </c>
      <c r="B357" s="23" t="inlineStr">
        <is>
          <t>Stations - Station Structures</t>
        </is>
      </c>
      <c r="C357" s="23" t="inlineStr">
        <is>
          <t>Contractor Programme</t>
        </is>
      </c>
      <c r="D357" s="23" t="inlineStr">
        <is>
          <t>SCH-02-109</t>
        </is>
      </c>
      <c r="E357" s="23" t="inlineStr">
        <is>
          <t>University Station: concourse slab pour - field start</t>
        </is>
      </c>
      <c r="F357" s="23" t="inlineStr">
        <is>
          <t>ONE_TO_ONE</t>
        </is>
      </c>
      <c r="G357" s="23" t="inlineStr">
        <is>
          <t>RETAINED</t>
        </is>
      </c>
      <c r="H357" s="23" t="inlineStr">
        <is>
          <t>Carried forward</t>
        </is>
      </c>
      <c r="I357" s="23" t="inlineStr">
        <is>
          <t>Source assignment -- not individually reviewed</t>
        </is>
      </c>
      <c r="J357" s="23" t="inlineStr"/>
      <c r="K357" s="23" t="inlineStr">
        <is>
          <t>Source assignment</t>
        </is>
      </c>
      <c r="L357" s="23" t="inlineStr"/>
      <c r="M357" s="23" t="inlineStr">
        <is>
          <t>Contractor Programme Cycle 2</t>
        </is>
      </c>
      <c r="N357" s="23" t="inlineStr">
        <is>
          <t>Rev 1</t>
        </is>
      </c>
      <c r="O357" s="23" t="inlineStr">
        <is>
          <t>R289-v2</t>
        </is>
      </c>
      <c r="P357" s="23" t="inlineStr"/>
      <c r="Q357" s="23" t="inlineStr"/>
      <c r="R357" s="23" t="inlineStr"/>
      <c r="S357" s="23" t="inlineStr"/>
      <c r="T357" s="23" t="inlineStr"/>
      <c r="U357" s="23" t="inlineStr"/>
      <c r="V357" s="23" t="inlineStr">
        <is>
          <t>WBS Code = 1.2.1</t>
        </is>
      </c>
      <c r="W357" s="23" t="inlineStr"/>
    </row>
    <row r="358" ht="49" customHeight="1">
      <c r="A358" s="23" t="inlineStr">
        <is>
          <t>1.2.1</t>
        </is>
      </c>
      <c r="B358" s="23" t="inlineStr">
        <is>
          <t>Stations - Station Structures</t>
        </is>
      </c>
      <c r="C358" s="23" t="inlineStr">
        <is>
          <t>Contractor Programme</t>
        </is>
      </c>
      <c r="D358" s="23" t="inlineStr">
        <is>
          <t>SCH-02-110</t>
        </is>
      </c>
      <c r="E358" s="23" t="inlineStr">
        <is>
          <t>West Terminal: station ventilation rough-in - installation</t>
        </is>
      </c>
      <c r="F358" s="23" t="inlineStr">
        <is>
          <t>ONE_TO_ONE</t>
        </is>
      </c>
      <c r="G358" s="23" t="inlineStr">
        <is>
          <t>RETAINED</t>
        </is>
      </c>
      <c r="H358" s="23" t="inlineStr">
        <is>
          <t>Carried forward</t>
        </is>
      </c>
      <c r="I358" s="23" t="inlineStr">
        <is>
          <t>Source assignment -- not individually reviewed</t>
        </is>
      </c>
      <c r="J358" s="23" t="inlineStr"/>
      <c r="K358" s="23" t="inlineStr">
        <is>
          <t>Source assignment</t>
        </is>
      </c>
      <c r="L358" s="23" t="inlineStr"/>
      <c r="M358" s="23" t="inlineStr">
        <is>
          <t>Contractor Programme Cycle 2</t>
        </is>
      </c>
      <c r="N358" s="23" t="inlineStr">
        <is>
          <t>Rev 1</t>
        </is>
      </c>
      <c r="O358" s="23" t="inlineStr">
        <is>
          <t>R290-v2</t>
        </is>
      </c>
      <c r="P358" s="23" t="inlineStr"/>
      <c r="Q358" s="23" t="inlineStr"/>
      <c r="R358" s="23" t="inlineStr"/>
      <c r="S358" s="23" t="inlineStr"/>
      <c r="T358" s="23" t="inlineStr"/>
      <c r="U358" s="23" t="inlineStr"/>
      <c r="V358" s="23" t="inlineStr">
        <is>
          <t>WBS Code = 1.2.1</t>
        </is>
      </c>
      <c r="W358" s="23" t="inlineStr"/>
    </row>
    <row r="359" ht="49" customHeight="1">
      <c r="A359" s="23" t="inlineStr">
        <is>
          <t>1.2.1</t>
        </is>
      </c>
      <c r="B359" s="23" t="inlineStr">
        <is>
          <t>Stations - Station Structures</t>
        </is>
      </c>
      <c r="C359" s="23" t="inlineStr">
        <is>
          <t>Contractor Programme</t>
        </is>
      </c>
      <c r="D359" s="23" t="inlineStr">
        <is>
          <t>SCH-02-112</t>
        </is>
      </c>
      <c r="E359" s="23" t="inlineStr">
        <is>
          <t>Market Station: entrance steel erection - turnover</t>
        </is>
      </c>
      <c r="F359" s="23" t="inlineStr">
        <is>
          <t>ONE_TO_ONE</t>
        </is>
      </c>
      <c r="G359" s="23" t="inlineStr">
        <is>
          <t>RETAINED</t>
        </is>
      </c>
      <c r="H359" s="23" t="inlineStr">
        <is>
          <t>Carried forward</t>
        </is>
      </c>
      <c r="I359" s="23" t="inlineStr">
        <is>
          <t>Source assignment -- not individually reviewed</t>
        </is>
      </c>
      <c r="J359" s="23" t="inlineStr"/>
      <c r="K359" s="23" t="inlineStr">
        <is>
          <t>Source assignment</t>
        </is>
      </c>
      <c r="L359" s="23" t="inlineStr"/>
      <c r="M359" s="23" t="inlineStr">
        <is>
          <t>Contractor Programme Cycle 2</t>
        </is>
      </c>
      <c r="N359" s="23" t="inlineStr">
        <is>
          <t>Rev 1</t>
        </is>
      </c>
      <c r="O359" s="23" t="inlineStr">
        <is>
          <t>R292-v2</t>
        </is>
      </c>
      <c r="P359" s="23" t="inlineStr"/>
      <c r="Q359" s="23" t="inlineStr"/>
      <c r="R359" s="23" t="inlineStr"/>
      <c r="S359" s="23" t="inlineStr"/>
      <c r="T359" s="23" t="inlineStr"/>
      <c r="U359" s="23" t="inlineStr"/>
      <c r="V359" s="23" t="inlineStr">
        <is>
          <t>WBS Code = 1.2.1</t>
        </is>
      </c>
      <c r="W359" s="23" t="inlineStr"/>
    </row>
    <row r="360" ht="49" customHeight="1">
      <c r="A360" s="23" t="inlineStr">
        <is>
          <t>1.2.1</t>
        </is>
      </c>
      <c r="B360" s="23" t="inlineStr">
        <is>
          <t>Stations - Station Structures</t>
        </is>
      </c>
      <c r="C360" s="23" t="inlineStr">
        <is>
          <t>Contractor Programme</t>
        </is>
      </c>
      <c r="D360" s="23" t="inlineStr">
        <is>
          <t>SCH-02-113</t>
        </is>
      </c>
      <c r="E360" s="23" t="inlineStr">
        <is>
          <t>Civic Station: vertical-transport installation - release</t>
        </is>
      </c>
      <c r="F360" s="23" t="inlineStr">
        <is>
          <t>ONE_TO_ONE</t>
        </is>
      </c>
      <c r="G360" s="23" t="inlineStr">
        <is>
          <t>RETAINED</t>
        </is>
      </c>
      <c r="H360" s="23" t="inlineStr">
        <is>
          <t>Carried forward</t>
        </is>
      </c>
      <c r="I360" s="23" t="inlineStr">
        <is>
          <t>Source assignment -- not individually reviewed</t>
        </is>
      </c>
      <c r="J360" s="23" t="inlineStr"/>
      <c r="K360" s="23" t="inlineStr">
        <is>
          <t>Source assignment</t>
        </is>
      </c>
      <c r="L360" s="23" t="inlineStr"/>
      <c r="M360" s="23" t="inlineStr">
        <is>
          <t>Contractor Programme Cycle 2</t>
        </is>
      </c>
      <c r="N360" s="23" t="inlineStr">
        <is>
          <t>Rev 1</t>
        </is>
      </c>
      <c r="O360" s="23" t="inlineStr">
        <is>
          <t>R293-v2</t>
        </is>
      </c>
      <c r="P360" s="23" t="inlineStr"/>
      <c r="Q360" s="23" t="inlineStr"/>
      <c r="R360" s="23" t="inlineStr"/>
      <c r="S360" s="23" t="inlineStr"/>
      <c r="T360" s="23" t="inlineStr"/>
      <c r="U360" s="23" t="inlineStr"/>
      <c r="V360" s="23" t="inlineStr">
        <is>
          <t>WBS Code = 1.2.1</t>
        </is>
      </c>
      <c r="W360" s="23" t="inlineStr"/>
    </row>
    <row r="361" ht="49" customHeight="1">
      <c r="A361" s="23" t="inlineStr">
        <is>
          <t>1.2.1</t>
        </is>
      </c>
      <c r="B361" s="23" t="inlineStr">
        <is>
          <t>Stations - Station Structures</t>
        </is>
      </c>
      <c r="C361" s="23" t="inlineStr">
        <is>
          <t>Contractor Programme</t>
        </is>
      </c>
      <c r="D361" s="23" t="inlineStr">
        <is>
          <t>SCH-02-115</t>
        </is>
      </c>
      <c r="E361" s="23" t="inlineStr">
        <is>
          <t>West Terminal: architectural wall framing - installation</t>
        </is>
      </c>
      <c r="F361" s="23" t="inlineStr">
        <is>
          <t>ONE_TO_ONE</t>
        </is>
      </c>
      <c r="G361" s="23" t="inlineStr">
        <is>
          <t>RETAINED</t>
        </is>
      </c>
      <c r="H361" s="23" t="inlineStr">
        <is>
          <t>Carried forward</t>
        </is>
      </c>
      <c r="I361" s="23" t="inlineStr">
        <is>
          <t>Source assignment -- not individually reviewed</t>
        </is>
      </c>
      <c r="J361" s="23" t="inlineStr"/>
      <c r="K361" s="23" t="inlineStr">
        <is>
          <t>Source assignment</t>
        </is>
      </c>
      <c r="L361" s="23" t="inlineStr"/>
      <c r="M361" s="23" t="inlineStr">
        <is>
          <t>Contractor Programme Cycle 2</t>
        </is>
      </c>
      <c r="N361" s="23" t="inlineStr">
        <is>
          <t>Rev 1</t>
        </is>
      </c>
      <c r="O361" s="23" t="inlineStr">
        <is>
          <t>R295-v2</t>
        </is>
      </c>
      <c r="P361" s="23" t="inlineStr"/>
      <c r="Q361" s="23" t="inlineStr"/>
      <c r="R361" s="23" t="inlineStr"/>
      <c r="S361" s="23" t="inlineStr"/>
      <c r="T361" s="23" t="inlineStr"/>
      <c r="U361" s="23" t="inlineStr"/>
      <c r="V361" s="23" t="inlineStr">
        <is>
          <t>WBS Code = 1.2.1</t>
        </is>
      </c>
      <c r="W361" s="23" t="inlineStr"/>
    </row>
    <row r="362" ht="49" customHeight="1">
      <c r="A362" s="23" t="inlineStr">
        <is>
          <t>1.2.1</t>
        </is>
      </c>
      <c r="B362" s="23" t="inlineStr">
        <is>
          <t>Stations - Station Structures</t>
        </is>
      </c>
      <c r="C362" s="23" t="inlineStr">
        <is>
          <t>Contractor Programme</t>
        </is>
      </c>
      <c r="D362" s="23" t="inlineStr">
        <is>
          <t>SCH-02-116</t>
        </is>
      </c>
      <c r="E362" s="23" t="inlineStr">
        <is>
          <t>Harbour Station: fire-life-safety cabling - inspection</t>
        </is>
      </c>
      <c r="F362" s="23" t="inlineStr">
        <is>
          <t>ONE_TO_ONE</t>
        </is>
      </c>
      <c r="G362" s="23" t="inlineStr">
        <is>
          <t>RETAINED</t>
        </is>
      </c>
      <c r="H362" s="23" t="inlineStr">
        <is>
          <t>Carried forward</t>
        </is>
      </c>
      <c r="I362" s="23" t="inlineStr">
        <is>
          <t>Source assignment -- not individually reviewed</t>
        </is>
      </c>
      <c r="J362" s="23" t="inlineStr"/>
      <c r="K362" s="23" t="inlineStr">
        <is>
          <t>Source assignment</t>
        </is>
      </c>
      <c r="L362" s="23" t="inlineStr"/>
      <c r="M362" s="23" t="inlineStr">
        <is>
          <t>Contractor Programme Cycle 2</t>
        </is>
      </c>
      <c r="N362" s="23" t="inlineStr">
        <is>
          <t>Rev 1</t>
        </is>
      </c>
      <c r="O362" s="23" t="inlineStr">
        <is>
          <t>R296-v2</t>
        </is>
      </c>
      <c r="P362" s="23" t="inlineStr"/>
      <c r="Q362" s="23" t="inlineStr"/>
      <c r="R362" s="23" t="inlineStr"/>
      <c r="S362" s="23" t="inlineStr"/>
      <c r="T362" s="23" t="inlineStr"/>
      <c r="U362" s="23" t="inlineStr"/>
      <c r="V362" s="23" t="inlineStr">
        <is>
          <t>WBS Code = 1.2.1</t>
        </is>
      </c>
      <c r="W362" s="23" t="inlineStr"/>
    </row>
    <row r="363" ht="49" customHeight="1">
      <c r="A363" s="23" t="inlineStr">
        <is>
          <t>1.2.1</t>
        </is>
      </c>
      <c r="B363" s="23" t="inlineStr">
        <is>
          <t>Stations - Station Structures</t>
        </is>
      </c>
      <c r="C363" s="23" t="inlineStr">
        <is>
          <t>Contractor Programme</t>
        </is>
      </c>
      <c r="D363" s="23" t="inlineStr">
        <is>
          <t>SCH-02-118</t>
        </is>
      </c>
      <c r="E363" s="23" t="inlineStr">
        <is>
          <t>Civic Station: station ventilation rough-in - release</t>
        </is>
      </c>
      <c r="F363" s="23" t="inlineStr">
        <is>
          <t>ONE_TO_ONE</t>
        </is>
      </c>
      <c r="G363" s="23" t="inlineStr">
        <is>
          <t>RETAINED</t>
        </is>
      </c>
      <c r="H363" s="23" t="inlineStr">
        <is>
          <t>Carried forward</t>
        </is>
      </c>
      <c r="I363" s="23" t="inlineStr">
        <is>
          <t>Source assignment -- not individually reviewed</t>
        </is>
      </c>
      <c r="J363" s="23" t="inlineStr"/>
      <c r="K363" s="23" t="inlineStr">
        <is>
          <t>Source assignment</t>
        </is>
      </c>
      <c r="L363" s="23" t="inlineStr"/>
      <c r="M363" s="23" t="inlineStr">
        <is>
          <t>Contractor Programme Cycle 2</t>
        </is>
      </c>
      <c r="N363" s="23" t="inlineStr">
        <is>
          <t>Rev 1</t>
        </is>
      </c>
      <c r="O363" s="23" t="inlineStr">
        <is>
          <t>R298-v2</t>
        </is>
      </c>
      <c r="P363" s="23" t="inlineStr"/>
      <c r="Q363" s="23" t="inlineStr"/>
      <c r="R363" s="23" t="inlineStr"/>
      <c r="S363" s="23" t="inlineStr"/>
      <c r="T363" s="23" t="inlineStr"/>
      <c r="U363" s="23" t="inlineStr"/>
      <c r="V363" s="23" t="inlineStr">
        <is>
          <t>WBS Code = 1.2.1</t>
        </is>
      </c>
      <c r="W363" s="23" t="inlineStr"/>
    </row>
    <row r="364" ht="49" customHeight="1">
      <c r="A364" s="23" t="inlineStr">
        <is>
          <t>1.2.1</t>
        </is>
      </c>
      <c r="B364" s="23" t="inlineStr">
        <is>
          <t>Stations - Station Structures</t>
        </is>
      </c>
      <c r="C364" s="23" t="inlineStr">
        <is>
          <t>Contractor Programme</t>
        </is>
      </c>
      <c r="D364" s="23" t="inlineStr">
        <is>
          <t>SCH-02-119</t>
        </is>
      </c>
      <c r="E364" s="23" t="inlineStr">
        <is>
          <t>University Station: public-realm paving - field start</t>
        </is>
      </c>
      <c r="F364" s="23" t="inlineStr">
        <is>
          <t>ONE_TO_ONE</t>
        </is>
      </c>
      <c r="G364" s="23" t="inlineStr">
        <is>
          <t>RETAINED</t>
        </is>
      </c>
      <c r="H364" s="23" t="inlineStr">
        <is>
          <t>Carried forward</t>
        </is>
      </c>
      <c r="I364" s="23" t="inlineStr">
        <is>
          <t>Source assignment -- not individually reviewed</t>
        </is>
      </c>
      <c r="J364" s="23" t="inlineStr"/>
      <c r="K364" s="23" t="inlineStr">
        <is>
          <t>Source assignment</t>
        </is>
      </c>
      <c r="L364" s="23" t="inlineStr"/>
      <c r="M364" s="23" t="inlineStr">
        <is>
          <t>Contractor Programme Cycle 2</t>
        </is>
      </c>
      <c r="N364" s="23" t="inlineStr">
        <is>
          <t>Rev 1</t>
        </is>
      </c>
      <c r="O364" s="23" t="inlineStr">
        <is>
          <t>R299-v2</t>
        </is>
      </c>
      <c r="P364" s="23" t="inlineStr"/>
      <c r="Q364" s="23" t="inlineStr"/>
      <c r="R364" s="23" t="inlineStr"/>
      <c r="S364" s="23" t="inlineStr"/>
      <c r="T364" s="23" t="inlineStr"/>
      <c r="U364" s="23" t="inlineStr"/>
      <c r="V364" s="23" t="inlineStr">
        <is>
          <t>WBS Code = 1.2.1</t>
        </is>
      </c>
      <c r="W364" s="23" t="inlineStr"/>
    </row>
    <row r="365" ht="49" customHeight="1">
      <c r="A365" s="23" t="inlineStr">
        <is>
          <t>1.2.1</t>
        </is>
      </c>
      <c r="B365" s="23" t="inlineStr">
        <is>
          <t>Stations - Station Structures</t>
        </is>
      </c>
      <c r="C365" s="23" t="inlineStr">
        <is>
          <t>Contractor Programme</t>
        </is>
      </c>
      <c r="D365" s="23" t="inlineStr">
        <is>
          <t>SCH-02-121</t>
        </is>
      </c>
      <c r="E365" s="23" t="inlineStr">
        <is>
          <t>Harbour Station: vertical-transport installation - inspection</t>
        </is>
      </c>
      <c r="F365" s="23" t="inlineStr">
        <is>
          <t>ONE_TO_ONE</t>
        </is>
      </c>
      <c r="G365" s="23" t="inlineStr">
        <is>
          <t>RETAINED</t>
        </is>
      </c>
      <c r="H365" s="23" t="inlineStr">
        <is>
          <t>Carried forward</t>
        </is>
      </c>
      <c r="I365" s="23" t="inlineStr">
        <is>
          <t>Source assignment -- not individually reviewed</t>
        </is>
      </c>
      <c r="J365" s="23" t="inlineStr"/>
      <c r="K365" s="23" t="inlineStr">
        <is>
          <t>Source assignment</t>
        </is>
      </c>
      <c r="L365" s="23" t="inlineStr"/>
      <c r="M365" s="23" t="inlineStr">
        <is>
          <t>Contractor Programme Cycle 2</t>
        </is>
      </c>
      <c r="N365" s="23" t="inlineStr">
        <is>
          <t>Rev 1</t>
        </is>
      </c>
      <c r="O365" s="23" t="inlineStr">
        <is>
          <t>R301-v2</t>
        </is>
      </c>
      <c r="P365" s="23" t="inlineStr"/>
      <c r="Q365" s="23" t="inlineStr"/>
      <c r="R365" s="23" t="inlineStr"/>
      <c r="S365" s="23" t="inlineStr"/>
      <c r="T365" s="23" t="inlineStr"/>
      <c r="U365" s="23" t="inlineStr"/>
      <c r="V365" s="23" t="inlineStr">
        <is>
          <t>WBS Code = 1.2.1</t>
        </is>
      </c>
      <c r="W365" s="23" t="inlineStr"/>
    </row>
    <row r="366" ht="49" customHeight="1">
      <c r="A366" s="23" t="inlineStr">
        <is>
          <t>1.2.1</t>
        </is>
      </c>
      <c r="B366" s="23" t="inlineStr">
        <is>
          <t>Stations - Station Structures</t>
        </is>
      </c>
      <c r="C366" s="23" t="inlineStr">
        <is>
          <t>Contractor Programme</t>
        </is>
      </c>
      <c r="D366" s="23" t="inlineStr">
        <is>
          <t>SCH-02-122</t>
        </is>
      </c>
      <c r="E366" s="23" t="inlineStr">
        <is>
          <t>Market Station: platform edge installation - turnover</t>
        </is>
      </c>
      <c r="F366" s="23" t="inlineStr">
        <is>
          <t>ONE_TO_ONE</t>
        </is>
      </c>
      <c r="G366" s="23" t="inlineStr">
        <is>
          <t>RETAINED</t>
        </is>
      </c>
      <c r="H366" s="23" t="inlineStr">
        <is>
          <t>Carried forward</t>
        </is>
      </c>
      <c r="I366" s="23" t="inlineStr">
        <is>
          <t>Source assignment -- not individually reviewed</t>
        </is>
      </c>
      <c r="J366" s="23" t="inlineStr"/>
      <c r="K366" s="23" t="inlineStr">
        <is>
          <t>Source assignment</t>
        </is>
      </c>
      <c r="L366" s="23" t="inlineStr"/>
      <c r="M366" s="23" t="inlineStr">
        <is>
          <t>Contractor Programme Cycle 2</t>
        </is>
      </c>
      <c r="N366" s="23" t="inlineStr">
        <is>
          <t>Rev 1</t>
        </is>
      </c>
      <c r="O366" s="23" t="inlineStr">
        <is>
          <t>R302-v2</t>
        </is>
      </c>
      <c r="P366" s="23" t="inlineStr"/>
      <c r="Q366" s="23" t="inlineStr"/>
      <c r="R366" s="23" t="inlineStr"/>
      <c r="S366" s="23" t="inlineStr"/>
      <c r="T366" s="23" t="inlineStr"/>
      <c r="U366" s="23" t="inlineStr"/>
      <c r="V366" s="23" t="inlineStr">
        <is>
          <t>WBS Code = 1.2.1</t>
        </is>
      </c>
      <c r="W366" s="23" t="inlineStr"/>
    </row>
    <row r="367" ht="49" customHeight="1">
      <c r="A367" s="23" t="inlineStr">
        <is>
          <t>1.2.1</t>
        </is>
      </c>
      <c r="B367" s="23" t="inlineStr">
        <is>
          <t>Stations - Station Structures</t>
        </is>
      </c>
      <c r="C367" s="23" t="inlineStr">
        <is>
          <t>Contractor Programme</t>
        </is>
      </c>
      <c r="D367" s="23" t="inlineStr">
        <is>
          <t>SCH-02-124</t>
        </is>
      </c>
      <c r="E367" s="23" t="inlineStr">
        <is>
          <t>University Station: fire-life-safety cabling - field start</t>
        </is>
      </c>
      <c r="F367" s="23" t="inlineStr">
        <is>
          <t>ONE_TO_ONE</t>
        </is>
      </c>
      <c r="G367" s="23" t="inlineStr">
        <is>
          <t>RETAINED</t>
        </is>
      </c>
      <c r="H367" s="23" t="inlineStr">
        <is>
          <t>Carried forward</t>
        </is>
      </c>
      <c r="I367" s="23" t="inlineStr">
        <is>
          <t>Source assignment -- not individually reviewed</t>
        </is>
      </c>
      <c r="J367" s="23" t="inlineStr"/>
      <c r="K367" s="23" t="inlineStr">
        <is>
          <t>Source assignment</t>
        </is>
      </c>
      <c r="L367" s="23" t="inlineStr"/>
      <c r="M367" s="23" t="inlineStr">
        <is>
          <t>Contractor Programme Cycle 2</t>
        </is>
      </c>
      <c r="N367" s="23" t="inlineStr">
        <is>
          <t>Rev 1</t>
        </is>
      </c>
      <c r="O367" s="23" t="inlineStr">
        <is>
          <t>R304-v2</t>
        </is>
      </c>
      <c r="P367" s="23" t="inlineStr"/>
      <c r="Q367" s="23" t="inlineStr"/>
      <c r="R367" s="23" t="inlineStr"/>
      <c r="S367" s="23" t="inlineStr"/>
      <c r="T367" s="23" t="inlineStr"/>
      <c r="U367" s="23" t="inlineStr"/>
      <c r="V367" s="23" t="inlineStr">
        <is>
          <t>WBS Code = 1.2.1</t>
        </is>
      </c>
      <c r="W367" s="23" t="inlineStr"/>
    </row>
    <row r="368" ht="49" customHeight="1">
      <c r="A368" s="23" t="inlineStr">
        <is>
          <t>1.2.1</t>
        </is>
      </c>
      <c r="B368" s="23" t="inlineStr">
        <is>
          <t>Stations - Station Structures</t>
        </is>
      </c>
      <c r="C368" s="23" t="inlineStr">
        <is>
          <t>Contractor Programme</t>
        </is>
      </c>
      <c r="D368" s="23" t="inlineStr">
        <is>
          <t>SCH-02-125</t>
        </is>
      </c>
      <c r="E368" s="23" t="inlineStr">
        <is>
          <t>West Terminal: concourse slab pour - installation</t>
        </is>
      </c>
      <c r="F368" s="23" t="inlineStr">
        <is>
          <t>ONE_TO_ONE</t>
        </is>
      </c>
      <c r="G368" s="23" t="inlineStr">
        <is>
          <t>RETAINED</t>
        </is>
      </c>
      <c r="H368" s="23" t="inlineStr">
        <is>
          <t>Carried forward</t>
        </is>
      </c>
      <c r="I368" s="23" t="inlineStr">
        <is>
          <t>Source assignment -- not individually reviewed</t>
        </is>
      </c>
      <c r="J368" s="23" t="inlineStr"/>
      <c r="K368" s="23" t="inlineStr">
        <is>
          <t>Source assignment</t>
        </is>
      </c>
      <c r="L368" s="23" t="inlineStr"/>
      <c r="M368" s="23" t="inlineStr">
        <is>
          <t>Contractor Programme Cycle 2</t>
        </is>
      </c>
      <c r="N368" s="23" t="inlineStr">
        <is>
          <t>Rev 1</t>
        </is>
      </c>
      <c r="O368" s="23" t="inlineStr">
        <is>
          <t>R305-v2</t>
        </is>
      </c>
      <c r="P368" s="23" t="inlineStr"/>
      <c r="Q368" s="23" t="inlineStr"/>
      <c r="R368" s="23" t="inlineStr"/>
      <c r="S368" s="23" t="inlineStr"/>
      <c r="T368" s="23" t="inlineStr"/>
      <c r="U368" s="23" t="inlineStr"/>
      <c r="V368" s="23" t="inlineStr">
        <is>
          <t>WBS Code = 1.2.1</t>
        </is>
      </c>
      <c r="W368" s="23" t="inlineStr"/>
    </row>
    <row r="369" ht="49" customHeight="1">
      <c r="A369" s="23" t="inlineStr">
        <is>
          <t>1.2.1</t>
        </is>
      </c>
      <c r="B369" s="23" t="inlineStr">
        <is>
          <t>Stations - Station Structures</t>
        </is>
      </c>
      <c r="C369" s="23" t="inlineStr">
        <is>
          <t>Contractor Programme</t>
        </is>
      </c>
      <c r="D369" s="23" t="inlineStr">
        <is>
          <t>SCH-02-127</t>
        </is>
      </c>
      <c r="E369" s="23" t="inlineStr">
        <is>
          <t>Market Station: public-realm paving - turnover</t>
        </is>
      </c>
      <c r="F369" s="23" t="inlineStr">
        <is>
          <t>ONE_TO_ONE</t>
        </is>
      </c>
      <c r="G369" s="23" t="inlineStr">
        <is>
          <t>RETAINED</t>
        </is>
      </c>
      <c r="H369" s="23" t="inlineStr">
        <is>
          <t>Carried forward</t>
        </is>
      </c>
      <c r="I369" s="23" t="inlineStr">
        <is>
          <t>Source assignment -- not individually reviewed</t>
        </is>
      </c>
      <c r="J369" s="23" t="inlineStr"/>
      <c r="K369" s="23" t="inlineStr">
        <is>
          <t>Source assignment</t>
        </is>
      </c>
      <c r="L369" s="23" t="inlineStr"/>
      <c r="M369" s="23" t="inlineStr">
        <is>
          <t>Contractor Programme Cycle 2</t>
        </is>
      </c>
      <c r="N369" s="23" t="inlineStr">
        <is>
          <t>Rev 1</t>
        </is>
      </c>
      <c r="O369" s="23" t="inlineStr">
        <is>
          <t>R307-v2</t>
        </is>
      </c>
      <c r="P369" s="23" t="inlineStr"/>
      <c r="Q369" s="23" t="inlineStr"/>
      <c r="R369" s="23" t="inlineStr"/>
      <c r="S369" s="23" t="inlineStr"/>
      <c r="T369" s="23" t="inlineStr"/>
      <c r="U369" s="23" t="inlineStr"/>
      <c r="V369" s="23" t="inlineStr">
        <is>
          <t>WBS Code = 1.2.1</t>
        </is>
      </c>
      <c r="W369" s="23" t="inlineStr"/>
    </row>
    <row r="370" ht="49" customHeight="1">
      <c r="A370" s="23" t="inlineStr">
        <is>
          <t>1.2.1</t>
        </is>
      </c>
      <c r="B370" s="23" t="inlineStr">
        <is>
          <t>Stations - Station Structures</t>
        </is>
      </c>
      <c r="C370" s="23" t="inlineStr">
        <is>
          <t>Contractor Programme</t>
        </is>
      </c>
      <c r="D370" s="23" t="inlineStr">
        <is>
          <t>SCH-02-128</t>
        </is>
      </c>
      <c r="E370" s="23" t="inlineStr">
        <is>
          <t>Civic Station: entrance steel erection - release</t>
        </is>
      </c>
      <c r="F370" s="23" t="inlineStr">
        <is>
          <t>ONE_TO_ONE</t>
        </is>
      </c>
      <c r="G370" s="23" t="inlineStr">
        <is>
          <t>RETAINED</t>
        </is>
      </c>
      <c r="H370" s="23" t="inlineStr">
        <is>
          <t>Carried forward</t>
        </is>
      </c>
      <c r="I370" s="23" t="inlineStr">
        <is>
          <t>Source assignment -- not individually reviewed</t>
        </is>
      </c>
      <c r="J370" s="23" t="inlineStr"/>
      <c r="K370" s="23" t="inlineStr">
        <is>
          <t>Source assignment</t>
        </is>
      </c>
      <c r="L370" s="23" t="inlineStr"/>
      <c r="M370" s="23" t="inlineStr">
        <is>
          <t>Contractor Programme Cycle 2</t>
        </is>
      </c>
      <c r="N370" s="23" t="inlineStr">
        <is>
          <t>Rev 1</t>
        </is>
      </c>
      <c r="O370" s="23" t="inlineStr">
        <is>
          <t>R308-v2</t>
        </is>
      </c>
      <c r="P370" s="23" t="inlineStr"/>
      <c r="Q370" s="23" t="inlineStr"/>
      <c r="R370" s="23" t="inlineStr"/>
      <c r="S370" s="23" t="inlineStr"/>
      <c r="T370" s="23" t="inlineStr"/>
      <c r="U370" s="23" t="inlineStr"/>
      <c r="V370" s="23" t="inlineStr">
        <is>
          <t>WBS Code = 1.2.1</t>
        </is>
      </c>
      <c r="W370" s="23" t="inlineStr"/>
    </row>
    <row r="371" ht="49" customHeight="1">
      <c r="A371" s="23" t="inlineStr">
        <is>
          <t>1.2.1</t>
        </is>
      </c>
      <c r="B371" s="23" t="inlineStr">
        <is>
          <t>Stations - Station Structures</t>
        </is>
      </c>
      <c r="C371" s="23" t="inlineStr">
        <is>
          <t>Contractor Programme</t>
        </is>
      </c>
      <c r="D371" s="23" t="inlineStr">
        <is>
          <t>SCH-02-130</t>
        </is>
      </c>
      <c r="E371" s="23" t="inlineStr">
        <is>
          <t>West Terminal: platform edge installation - installation</t>
        </is>
      </c>
      <c r="F371" s="23" t="inlineStr">
        <is>
          <t>ONE_TO_ONE</t>
        </is>
      </c>
      <c r="G371" s="23" t="inlineStr">
        <is>
          <t>RETAINED</t>
        </is>
      </c>
      <c r="H371" s="23" t="inlineStr">
        <is>
          <t>Carried forward</t>
        </is>
      </c>
      <c r="I371" s="23" t="inlineStr">
        <is>
          <t>Source assignment -- not individually reviewed</t>
        </is>
      </c>
      <c r="J371" s="23" t="inlineStr"/>
      <c r="K371" s="23" t="inlineStr">
        <is>
          <t>Source assignment</t>
        </is>
      </c>
      <c r="L371" s="23" t="inlineStr"/>
      <c r="M371" s="23" t="inlineStr">
        <is>
          <t>Contractor Programme Cycle 2</t>
        </is>
      </c>
      <c r="N371" s="23" t="inlineStr">
        <is>
          <t>Rev 1</t>
        </is>
      </c>
      <c r="O371" s="23" t="inlineStr">
        <is>
          <t>R310-v2</t>
        </is>
      </c>
      <c r="P371" s="23" t="inlineStr"/>
      <c r="Q371" s="23" t="inlineStr"/>
      <c r="R371" s="23" t="inlineStr"/>
      <c r="S371" s="23" t="inlineStr"/>
      <c r="T371" s="23" t="inlineStr"/>
      <c r="U371" s="23" t="inlineStr"/>
      <c r="V371" s="23" t="inlineStr">
        <is>
          <t>WBS Code = 1.2.1</t>
        </is>
      </c>
      <c r="W371" s="23" t="inlineStr"/>
    </row>
    <row r="372" ht="49" customHeight="1">
      <c r="A372" s="23" t="inlineStr">
        <is>
          <t>1.2.1</t>
        </is>
      </c>
      <c r="B372" s="23" t="inlineStr">
        <is>
          <t>Stations - Station Structures</t>
        </is>
      </c>
      <c r="C372" s="23" t="inlineStr">
        <is>
          <t>Contractor Programme</t>
        </is>
      </c>
      <c r="D372" s="23" t="inlineStr">
        <is>
          <t>SCH-02-131</t>
        </is>
      </c>
      <c r="E372" s="23" t="inlineStr">
        <is>
          <t>Harbour Station: architectural wall framing - inspection</t>
        </is>
      </c>
      <c r="F372" s="23" t="inlineStr">
        <is>
          <t>ONE_TO_ONE</t>
        </is>
      </c>
      <c r="G372" s="23" t="inlineStr">
        <is>
          <t>RETAINED</t>
        </is>
      </c>
      <c r="H372" s="23" t="inlineStr">
        <is>
          <t>Carried forward</t>
        </is>
      </c>
      <c r="I372" s="23" t="inlineStr">
        <is>
          <t>Source assignment -- not individually reviewed</t>
        </is>
      </c>
      <c r="J372" s="23" t="inlineStr"/>
      <c r="K372" s="23" t="inlineStr">
        <is>
          <t>Source assignment</t>
        </is>
      </c>
      <c r="L372" s="23" t="inlineStr"/>
      <c r="M372" s="23" t="inlineStr">
        <is>
          <t>Contractor Programme Cycle 2</t>
        </is>
      </c>
      <c r="N372" s="23" t="inlineStr">
        <is>
          <t>Rev 1</t>
        </is>
      </c>
      <c r="O372" s="23" t="inlineStr">
        <is>
          <t>R311-v2</t>
        </is>
      </c>
      <c r="P372" s="23" t="inlineStr"/>
      <c r="Q372" s="23" t="inlineStr"/>
      <c r="R372" s="23" t="inlineStr"/>
      <c r="S372" s="23" t="inlineStr"/>
      <c r="T372" s="23" t="inlineStr"/>
      <c r="U372" s="23" t="inlineStr"/>
      <c r="V372" s="23" t="inlineStr">
        <is>
          <t>WBS Code = 1.2.1</t>
        </is>
      </c>
      <c r="W372" s="23" t="inlineStr"/>
    </row>
    <row r="373" ht="49" customHeight="1">
      <c r="A373" s="23" t="inlineStr">
        <is>
          <t>1.2.1</t>
        </is>
      </c>
      <c r="B373" s="23" t="inlineStr">
        <is>
          <t>Stations - Station Structures</t>
        </is>
      </c>
      <c r="C373" s="23" t="inlineStr">
        <is>
          <t>Contractor Programme</t>
        </is>
      </c>
      <c r="D373" s="23" t="inlineStr">
        <is>
          <t>SCH-02-133</t>
        </is>
      </c>
      <c r="E373" s="23" t="inlineStr">
        <is>
          <t>Civic Station: concourse slab pour - release</t>
        </is>
      </c>
      <c r="F373" s="23" t="inlineStr">
        <is>
          <t>ONE_TO_ONE</t>
        </is>
      </c>
      <c r="G373" s="23" t="inlineStr">
        <is>
          <t>RETAINED</t>
        </is>
      </c>
      <c r="H373" s="23" t="inlineStr">
        <is>
          <t>Carried forward</t>
        </is>
      </c>
      <c r="I373" s="23" t="inlineStr">
        <is>
          <t>Source assignment -- not individually reviewed</t>
        </is>
      </c>
      <c r="J373" s="23" t="inlineStr"/>
      <c r="K373" s="23" t="inlineStr">
        <is>
          <t>Source assignment</t>
        </is>
      </c>
      <c r="L373" s="23" t="inlineStr"/>
      <c r="M373" s="23" t="inlineStr">
        <is>
          <t>Contractor Programme Cycle 2</t>
        </is>
      </c>
      <c r="N373" s="23" t="inlineStr">
        <is>
          <t>Rev 1</t>
        </is>
      </c>
      <c r="O373" s="23" t="inlineStr">
        <is>
          <t>R313-v2</t>
        </is>
      </c>
      <c r="P373" s="23" t="inlineStr"/>
      <c r="Q373" s="23" t="inlineStr"/>
      <c r="R373" s="23" t="inlineStr"/>
      <c r="S373" s="23" t="inlineStr"/>
      <c r="T373" s="23" t="inlineStr"/>
      <c r="U373" s="23" t="inlineStr"/>
      <c r="V373" s="23" t="inlineStr">
        <is>
          <t>WBS Code = 1.2.1</t>
        </is>
      </c>
      <c r="W373" s="23" t="inlineStr"/>
    </row>
    <row r="374" ht="49" customHeight="1">
      <c r="A374" s="23" t="inlineStr">
        <is>
          <t>1.2.1</t>
        </is>
      </c>
      <c r="B374" s="23" t="inlineStr">
        <is>
          <t>Stations - Station Structures</t>
        </is>
      </c>
      <c r="C374" s="23" t="inlineStr">
        <is>
          <t>Contractor Programme</t>
        </is>
      </c>
      <c r="D374" s="23" t="inlineStr">
        <is>
          <t>SCH-02-134</t>
        </is>
      </c>
      <c r="E374" s="23" t="inlineStr">
        <is>
          <t>University Station: station ventilation rough-in - field start</t>
        </is>
      </c>
      <c r="F374" s="23" t="inlineStr">
        <is>
          <t>ONE_TO_ONE</t>
        </is>
      </c>
      <c r="G374" s="23" t="inlineStr">
        <is>
          <t>RETAINED</t>
        </is>
      </c>
      <c r="H374" s="23" t="inlineStr">
        <is>
          <t>Carried forward</t>
        </is>
      </c>
      <c r="I374" s="23" t="inlineStr">
        <is>
          <t>Source assignment -- not individually reviewed</t>
        </is>
      </c>
      <c r="J374" s="23" t="inlineStr"/>
      <c r="K374" s="23" t="inlineStr">
        <is>
          <t>Source assignment</t>
        </is>
      </c>
      <c r="L374" s="23" t="inlineStr"/>
      <c r="M374" s="23" t="inlineStr">
        <is>
          <t>Contractor Programme Cycle 2</t>
        </is>
      </c>
      <c r="N374" s="23" t="inlineStr">
        <is>
          <t>Rev 1</t>
        </is>
      </c>
      <c r="O374" s="23" t="inlineStr">
        <is>
          <t>R314-v2</t>
        </is>
      </c>
      <c r="P374" s="23" t="inlineStr"/>
      <c r="Q374" s="23" t="inlineStr"/>
      <c r="R374" s="23" t="inlineStr"/>
      <c r="S374" s="23" t="inlineStr"/>
      <c r="T374" s="23" t="inlineStr"/>
      <c r="U374" s="23" t="inlineStr"/>
      <c r="V374" s="23" t="inlineStr">
        <is>
          <t>WBS Code = 1.2.1</t>
        </is>
      </c>
      <c r="W374" s="23" t="inlineStr"/>
    </row>
    <row r="375" ht="49" customHeight="1">
      <c r="A375" s="23" t="inlineStr">
        <is>
          <t>1.2.1</t>
        </is>
      </c>
      <c r="B375" s="23" t="inlineStr">
        <is>
          <t>Stations - Station Structures</t>
        </is>
      </c>
      <c r="C375" s="23" t="inlineStr">
        <is>
          <t>Contractor Programme</t>
        </is>
      </c>
      <c r="D375" s="23" t="inlineStr">
        <is>
          <t>SCH-02-136</t>
        </is>
      </c>
      <c r="E375" s="23" t="inlineStr">
        <is>
          <t>Harbour Station: entrance steel erection - inspection</t>
        </is>
      </c>
      <c r="F375" s="23" t="inlineStr">
        <is>
          <t>ONE_TO_ONE</t>
        </is>
      </c>
      <c r="G375" s="23" t="inlineStr">
        <is>
          <t>RETAINED</t>
        </is>
      </c>
      <c r="H375" s="23" t="inlineStr">
        <is>
          <t>Carried forward</t>
        </is>
      </c>
      <c r="I375" s="23" t="inlineStr">
        <is>
          <t>Source assignment -- not individually reviewed</t>
        </is>
      </c>
      <c r="J375" s="23" t="inlineStr"/>
      <c r="K375" s="23" t="inlineStr">
        <is>
          <t>Source assignment</t>
        </is>
      </c>
      <c r="L375" s="23" t="inlineStr"/>
      <c r="M375" s="23" t="inlineStr">
        <is>
          <t>Contractor Programme Cycle 2</t>
        </is>
      </c>
      <c r="N375" s="23" t="inlineStr">
        <is>
          <t>Rev 1</t>
        </is>
      </c>
      <c r="O375" s="23" t="inlineStr">
        <is>
          <t>R316-v2</t>
        </is>
      </c>
      <c r="P375" s="23" t="inlineStr"/>
      <c r="Q375" s="23" t="inlineStr"/>
      <c r="R375" s="23" t="inlineStr"/>
      <c r="S375" s="23" t="inlineStr"/>
      <c r="T375" s="23" t="inlineStr"/>
      <c r="U375" s="23" t="inlineStr"/>
      <c r="V375" s="23" t="inlineStr">
        <is>
          <t>WBS Code = 1.2.1</t>
        </is>
      </c>
      <c r="W375" s="23" t="inlineStr"/>
    </row>
    <row r="376" ht="49" customHeight="1">
      <c r="A376" s="23" t="inlineStr">
        <is>
          <t>1.2.1</t>
        </is>
      </c>
      <c r="B376" s="23" t="inlineStr">
        <is>
          <t>Stations - Station Structures</t>
        </is>
      </c>
      <c r="C376" s="23" t="inlineStr">
        <is>
          <t>Contractor Programme</t>
        </is>
      </c>
      <c r="D376" s="23" t="inlineStr">
        <is>
          <t>SCH-02-137</t>
        </is>
      </c>
      <c r="E376" s="23" t="inlineStr">
        <is>
          <t>Market Station: vertical-transport installation - turnover</t>
        </is>
      </c>
      <c r="F376" s="23" t="inlineStr">
        <is>
          <t>ONE_TO_ONE</t>
        </is>
      </c>
      <c r="G376" s="23" t="inlineStr">
        <is>
          <t>RETAINED</t>
        </is>
      </c>
      <c r="H376" s="23" t="inlineStr">
        <is>
          <t>Carried forward</t>
        </is>
      </c>
      <c r="I376" s="23" t="inlineStr">
        <is>
          <t>Source assignment -- not individually reviewed</t>
        </is>
      </c>
      <c r="J376" s="23" t="inlineStr"/>
      <c r="K376" s="23" t="inlineStr">
        <is>
          <t>Source assignment</t>
        </is>
      </c>
      <c r="L376" s="23" t="inlineStr"/>
      <c r="M376" s="23" t="inlineStr">
        <is>
          <t>Contractor Programme Cycle 2</t>
        </is>
      </c>
      <c r="N376" s="23" t="inlineStr">
        <is>
          <t>Rev 1</t>
        </is>
      </c>
      <c r="O376" s="23" t="inlineStr">
        <is>
          <t>R317-v2</t>
        </is>
      </c>
      <c r="P376" s="23" t="inlineStr"/>
      <c r="Q376" s="23" t="inlineStr"/>
      <c r="R376" s="23" t="inlineStr"/>
      <c r="S376" s="23" t="inlineStr"/>
      <c r="T376" s="23" t="inlineStr"/>
      <c r="U376" s="23" t="inlineStr"/>
      <c r="V376" s="23" t="inlineStr">
        <is>
          <t>WBS Code = 1.2.1</t>
        </is>
      </c>
      <c r="W376" s="23" t="inlineStr"/>
    </row>
    <row r="377" ht="49" customHeight="1">
      <c r="A377" s="23" t="inlineStr">
        <is>
          <t>1.2.1</t>
        </is>
      </c>
      <c r="B377" s="23" t="inlineStr">
        <is>
          <t>Stations - Station Structures</t>
        </is>
      </c>
      <c r="C377" s="23" t="inlineStr">
        <is>
          <t>Contractor Programme</t>
        </is>
      </c>
      <c r="D377" s="23" t="inlineStr">
        <is>
          <t>SCH-02-139</t>
        </is>
      </c>
      <c r="E377" s="23" t="inlineStr">
        <is>
          <t>University Station: architectural wall framing - field start</t>
        </is>
      </c>
      <c r="F377" s="23" t="inlineStr">
        <is>
          <t>ONE_TO_ONE</t>
        </is>
      </c>
      <c r="G377" s="23" t="inlineStr">
        <is>
          <t>RETAINED</t>
        </is>
      </c>
      <c r="H377" s="23" t="inlineStr">
        <is>
          <t>Carried forward</t>
        </is>
      </c>
      <c r="I377" s="23" t="inlineStr">
        <is>
          <t>Source assignment -- not individually reviewed</t>
        </is>
      </c>
      <c r="J377" s="23" t="inlineStr"/>
      <c r="K377" s="23" t="inlineStr">
        <is>
          <t>Source assignment</t>
        </is>
      </c>
      <c r="L377" s="23" t="inlineStr"/>
      <c r="M377" s="23" t="inlineStr">
        <is>
          <t>Contractor Programme Cycle 2</t>
        </is>
      </c>
      <c r="N377" s="23" t="inlineStr">
        <is>
          <t>Rev 1</t>
        </is>
      </c>
      <c r="O377" s="23" t="inlineStr">
        <is>
          <t>R319-v2</t>
        </is>
      </c>
      <c r="P377" s="23" t="inlineStr"/>
      <c r="Q377" s="23" t="inlineStr"/>
      <c r="R377" s="23" t="inlineStr"/>
      <c r="S377" s="23" t="inlineStr"/>
      <c r="T377" s="23" t="inlineStr"/>
      <c r="U377" s="23" t="inlineStr"/>
      <c r="V377" s="23" t="inlineStr">
        <is>
          <t>WBS Code = 1.2.1</t>
        </is>
      </c>
      <c r="W377" s="23" t="inlineStr"/>
    </row>
    <row r="378" ht="49" customHeight="1">
      <c r="A378" s="23" t="inlineStr">
        <is>
          <t>1.2.1</t>
        </is>
      </c>
      <c r="B378" s="23" t="inlineStr">
        <is>
          <t>Stations - Station Structures</t>
        </is>
      </c>
      <c r="C378" s="23" t="inlineStr">
        <is>
          <t>Contractor Programme</t>
        </is>
      </c>
      <c r="D378" s="23" t="inlineStr">
        <is>
          <t>SCH-02-140</t>
        </is>
      </c>
      <c r="E378" s="23" t="inlineStr">
        <is>
          <t>West Terminal: fire-life-safety cabling - installation</t>
        </is>
      </c>
      <c r="F378" s="23" t="inlineStr">
        <is>
          <t>ONE_TO_ONE</t>
        </is>
      </c>
      <c r="G378" s="23" t="inlineStr">
        <is>
          <t>RETAINED</t>
        </is>
      </c>
      <c r="H378" s="23" t="inlineStr">
        <is>
          <t>Carried forward</t>
        </is>
      </c>
      <c r="I378" s="23" t="inlineStr">
        <is>
          <t>Source assignment -- not individually reviewed</t>
        </is>
      </c>
      <c r="J378" s="23" t="inlineStr"/>
      <c r="K378" s="23" t="inlineStr">
        <is>
          <t>Source assignment</t>
        </is>
      </c>
      <c r="L378" s="23" t="inlineStr"/>
      <c r="M378" s="23" t="inlineStr">
        <is>
          <t>Contractor Programme Cycle 2</t>
        </is>
      </c>
      <c r="N378" s="23" t="inlineStr">
        <is>
          <t>Rev 1</t>
        </is>
      </c>
      <c r="O378" s="23" t="inlineStr">
        <is>
          <t>R320-v2</t>
        </is>
      </c>
      <c r="P378" s="23" t="inlineStr"/>
      <c r="Q378" s="23" t="inlineStr"/>
      <c r="R378" s="23" t="inlineStr"/>
      <c r="S378" s="23" t="inlineStr"/>
      <c r="T378" s="23" t="inlineStr"/>
      <c r="U378" s="23" t="inlineStr"/>
      <c r="V378" s="23" t="inlineStr">
        <is>
          <t>WBS Code = 1.2.1</t>
        </is>
      </c>
      <c r="W378" s="23" t="inlineStr"/>
    </row>
    <row r="379" ht="49" customHeight="1">
      <c r="A379" s="23" t="inlineStr">
        <is>
          <t>1.2.1</t>
        </is>
      </c>
      <c r="B379" s="23" t="inlineStr">
        <is>
          <t>Stations - Station Structures</t>
        </is>
      </c>
      <c r="C379" s="23" t="inlineStr">
        <is>
          <t>Contractor Programme</t>
        </is>
      </c>
      <c r="D379" s="23" t="inlineStr">
        <is>
          <t>SCH-02-142</t>
        </is>
      </c>
      <c r="E379" s="23" t="inlineStr">
        <is>
          <t>Market Station: station ventilation rough-in - turnover</t>
        </is>
      </c>
      <c r="F379" s="23" t="inlineStr">
        <is>
          <t>ONE_TO_ONE</t>
        </is>
      </c>
      <c r="G379" s="23" t="inlineStr">
        <is>
          <t>RETAINED</t>
        </is>
      </c>
      <c r="H379" s="23" t="inlineStr">
        <is>
          <t>Carried forward</t>
        </is>
      </c>
      <c r="I379" s="23" t="inlineStr">
        <is>
          <t>Source assignment -- not individually reviewed</t>
        </is>
      </c>
      <c r="J379" s="23" t="inlineStr"/>
      <c r="K379" s="23" t="inlineStr">
        <is>
          <t>Source assignment</t>
        </is>
      </c>
      <c r="L379" s="23" t="inlineStr"/>
      <c r="M379" s="23" t="inlineStr">
        <is>
          <t>Contractor Programme Cycle 2</t>
        </is>
      </c>
      <c r="N379" s="23" t="inlineStr">
        <is>
          <t>Rev 1</t>
        </is>
      </c>
      <c r="O379" s="23" t="inlineStr">
        <is>
          <t>R322-v2</t>
        </is>
      </c>
      <c r="P379" s="23" t="inlineStr"/>
      <c r="Q379" s="23" t="inlineStr"/>
      <c r="R379" s="23" t="inlineStr"/>
      <c r="S379" s="23" t="inlineStr"/>
      <c r="T379" s="23" t="inlineStr"/>
      <c r="U379" s="23" t="inlineStr"/>
      <c r="V379" s="23" t="inlineStr">
        <is>
          <t>WBS Code = 1.2.1</t>
        </is>
      </c>
      <c r="W379" s="23" t="inlineStr"/>
    </row>
    <row r="380" ht="49" customHeight="1">
      <c r="A380" s="23" t="inlineStr">
        <is>
          <t>1.2.1</t>
        </is>
      </c>
      <c r="B380" s="23" t="inlineStr">
        <is>
          <t>Stations - Station Structures</t>
        </is>
      </c>
      <c r="C380" s="23" t="inlineStr">
        <is>
          <t>Contractor Programme</t>
        </is>
      </c>
      <c r="D380" s="23" t="inlineStr">
        <is>
          <t>SCH-02-143</t>
        </is>
      </c>
      <c r="E380" s="23" t="inlineStr">
        <is>
          <t>Civic Station: public-realm paving - release</t>
        </is>
      </c>
      <c r="F380" s="23" t="inlineStr">
        <is>
          <t>ONE_TO_ONE</t>
        </is>
      </c>
      <c r="G380" s="23" t="inlineStr">
        <is>
          <t>RETAINED</t>
        </is>
      </c>
      <c r="H380" s="23" t="inlineStr">
        <is>
          <t>Carried forward</t>
        </is>
      </c>
      <c r="I380" s="23" t="inlineStr">
        <is>
          <t>Source assignment -- not individually reviewed</t>
        </is>
      </c>
      <c r="J380" s="23" t="inlineStr"/>
      <c r="K380" s="23" t="inlineStr">
        <is>
          <t>Source assignment</t>
        </is>
      </c>
      <c r="L380" s="23" t="inlineStr"/>
      <c r="M380" s="23" t="inlineStr">
        <is>
          <t>Contractor Programme Cycle 2</t>
        </is>
      </c>
      <c r="N380" s="23" t="inlineStr">
        <is>
          <t>Rev 1</t>
        </is>
      </c>
      <c r="O380" s="23" t="inlineStr">
        <is>
          <t>R323-v2</t>
        </is>
      </c>
      <c r="P380" s="23" t="inlineStr"/>
      <c r="Q380" s="23" t="inlineStr"/>
      <c r="R380" s="23" t="inlineStr"/>
      <c r="S380" s="23" t="inlineStr"/>
      <c r="T380" s="23" t="inlineStr"/>
      <c r="U380" s="23" t="inlineStr"/>
      <c r="V380" s="23" t="inlineStr">
        <is>
          <t>WBS Code = 1.2.1</t>
        </is>
      </c>
      <c r="W380" s="23" t="inlineStr"/>
    </row>
    <row r="381" ht="49" customHeight="1">
      <c r="A381" s="23" t="inlineStr">
        <is>
          <t>1.2.1</t>
        </is>
      </c>
      <c r="B381" s="23" t="inlineStr">
        <is>
          <t>Stations - Station Structures</t>
        </is>
      </c>
      <c r="C381" s="23" t="inlineStr">
        <is>
          <t>Contractor Programme</t>
        </is>
      </c>
      <c r="D381" s="23" t="inlineStr">
        <is>
          <t>SCH-02-145</t>
        </is>
      </c>
      <c r="E381" s="23" t="inlineStr">
        <is>
          <t>West Terminal: vertical-transport installation - installation</t>
        </is>
      </c>
      <c r="F381" s="23" t="inlineStr">
        <is>
          <t>ONE_TO_ONE</t>
        </is>
      </c>
      <c r="G381" s="23" t="inlineStr">
        <is>
          <t>RETAINED</t>
        </is>
      </c>
      <c r="H381" s="23" t="inlineStr">
        <is>
          <t>Carried forward</t>
        </is>
      </c>
      <c r="I381" s="23" t="inlineStr">
        <is>
          <t>Source assignment -- not individually reviewed</t>
        </is>
      </c>
      <c r="J381" s="23" t="inlineStr"/>
      <c r="K381" s="23" t="inlineStr">
        <is>
          <t>Source assignment</t>
        </is>
      </c>
      <c r="L381" s="23" t="inlineStr"/>
      <c r="M381" s="23" t="inlineStr">
        <is>
          <t>Contractor Programme Cycle 2</t>
        </is>
      </c>
      <c r="N381" s="23" t="inlineStr">
        <is>
          <t>Rev 1</t>
        </is>
      </c>
      <c r="O381" s="23" t="inlineStr">
        <is>
          <t>R325-v2</t>
        </is>
      </c>
      <c r="P381" s="23" t="inlineStr"/>
      <c r="Q381" s="23" t="inlineStr"/>
      <c r="R381" s="23" t="inlineStr"/>
      <c r="S381" s="23" t="inlineStr"/>
      <c r="T381" s="23" t="inlineStr"/>
      <c r="U381" s="23" t="inlineStr"/>
      <c r="V381" s="23" t="inlineStr">
        <is>
          <t>WBS Code = 1.2.1</t>
        </is>
      </c>
      <c r="W381" s="23" t="inlineStr"/>
    </row>
    <row r="382" ht="49" customHeight="1">
      <c r="A382" s="23" t="inlineStr">
        <is>
          <t>1.2.1</t>
        </is>
      </c>
      <c r="B382" s="23" t="inlineStr">
        <is>
          <t>Stations - Station Structures</t>
        </is>
      </c>
      <c r="C382" s="23" t="inlineStr">
        <is>
          <t>Contractor Programme</t>
        </is>
      </c>
      <c r="D382" s="23" t="inlineStr">
        <is>
          <t>SCH-02-146</t>
        </is>
      </c>
      <c r="E382" s="23" t="inlineStr">
        <is>
          <t>Harbour Station: platform edge installation - inspection</t>
        </is>
      </c>
      <c r="F382" s="23" t="inlineStr">
        <is>
          <t>ONE_TO_ONE</t>
        </is>
      </c>
      <c r="G382" s="23" t="inlineStr">
        <is>
          <t>RETAINED</t>
        </is>
      </c>
      <c r="H382" s="23" t="inlineStr">
        <is>
          <t>Carried forward</t>
        </is>
      </c>
      <c r="I382" s="23" t="inlineStr">
        <is>
          <t>Source assignment -- not individually reviewed</t>
        </is>
      </c>
      <c r="J382" s="23" t="inlineStr"/>
      <c r="K382" s="23" t="inlineStr">
        <is>
          <t>Source assignment</t>
        </is>
      </c>
      <c r="L382" s="23" t="inlineStr"/>
      <c r="M382" s="23" t="inlineStr">
        <is>
          <t>Contractor Programme Cycle 2</t>
        </is>
      </c>
      <c r="N382" s="23" t="inlineStr">
        <is>
          <t>Rev 1</t>
        </is>
      </c>
      <c r="O382" s="23" t="inlineStr">
        <is>
          <t>R326-v2</t>
        </is>
      </c>
      <c r="P382" s="23" t="inlineStr"/>
      <c r="Q382" s="23" t="inlineStr"/>
      <c r="R382" s="23" t="inlineStr"/>
      <c r="S382" s="23" t="inlineStr"/>
      <c r="T382" s="23" t="inlineStr"/>
      <c r="U382" s="23" t="inlineStr"/>
      <c r="V382" s="23" t="inlineStr">
        <is>
          <t>WBS Code = 1.2.1</t>
        </is>
      </c>
      <c r="W382" s="23" t="inlineStr"/>
    </row>
    <row r="383" ht="49" customHeight="1">
      <c r="A383" s="23" t="inlineStr">
        <is>
          <t>1.2.1</t>
        </is>
      </c>
      <c r="B383" s="23" t="inlineStr">
        <is>
          <t>Stations - Station Structures</t>
        </is>
      </c>
      <c r="C383" s="23" t="inlineStr">
        <is>
          <t>Contractor Programme</t>
        </is>
      </c>
      <c r="D383" s="23" t="inlineStr">
        <is>
          <t>SCH-02-148</t>
        </is>
      </c>
      <c r="E383" s="23" t="inlineStr">
        <is>
          <t>Civic Station: fire-life-safety cabling - release</t>
        </is>
      </c>
      <c r="F383" s="23" t="inlineStr">
        <is>
          <t>ONE_TO_ONE</t>
        </is>
      </c>
      <c r="G383" s="23" t="inlineStr">
        <is>
          <t>RETAINED</t>
        </is>
      </c>
      <c r="H383" s="23" t="inlineStr">
        <is>
          <t>Carried forward</t>
        </is>
      </c>
      <c r="I383" s="23" t="inlineStr">
        <is>
          <t>Source assignment -- not individually reviewed</t>
        </is>
      </c>
      <c r="J383" s="23" t="inlineStr"/>
      <c r="K383" s="23" t="inlineStr">
        <is>
          <t>Source assignment</t>
        </is>
      </c>
      <c r="L383" s="23" t="inlineStr"/>
      <c r="M383" s="23" t="inlineStr">
        <is>
          <t>Contractor Programme Cycle 2</t>
        </is>
      </c>
      <c r="N383" s="23" t="inlineStr">
        <is>
          <t>Rev 1</t>
        </is>
      </c>
      <c r="O383" s="23" t="inlineStr">
        <is>
          <t>R328-v2</t>
        </is>
      </c>
      <c r="P383" s="23" t="inlineStr"/>
      <c r="Q383" s="23" t="inlineStr"/>
      <c r="R383" s="23" t="inlineStr"/>
      <c r="S383" s="23" t="inlineStr"/>
      <c r="T383" s="23" t="inlineStr"/>
      <c r="U383" s="23" t="inlineStr"/>
      <c r="V383" s="23" t="inlineStr">
        <is>
          <t>WBS Code = 1.2.1</t>
        </is>
      </c>
      <c r="W383" s="23" t="inlineStr"/>
    </row>
    <row r="384" ht="49" customHeight="1">
      <c r="A384" s="23" t="inlineStr">
        <is>
          <t>1.2.1</t>
        </is>
      </c>
      <c r="B384" s="23" t="inlineStr">
        <is>
          <t>Stations - Station Structures</t>
        </is>
      </c>
      <c r="C384" s="23" t="inlineStr">
        <is>
          <t>Contractor Programme</t>
        </is>
      </c>
      <c r="D384" s="23" t="inlineStr">
        <is>
          <t>SCH-02-149</t>
        </is>
      </c>
      <c r="E384" s="23" t="inlineStr">
        <is>
          <t>University Station: concourse slab pour - field start</t>
        </is>
      </c>
      <c r="F384" s="23" t="inlineStr">
        <is>
          <t>ONE_TO_ONE</t>
        </is>
      </c>
      <c r="G384" s="23" t="inlineStr">
        <is>
          <t>RETAINED</t>
        </is>
      </c>
      <c r="H384" s="23" t="inlineStr">
        <is>
          <t>Carried forward</t>
        </is>
      </c>
      <c r="I384" s="23" t="inlineStr">
        <is>
          <t>Source assignment -- not individually reviewed</t>
        </is>
      </c>
      <c r="J384" s="23" t="inlineStr"/>
      <c r="K384" s="23" t="inlineStr">
        <is>
          <t>Source assignment</t>
        </is>
      </c>
      <c r="L384" s="23" t="inlineStr"/>
      <c r="M384" s="23" t="inlineStr">
        <is>
          <t>Contractor Programme Cycle 2</t>
        </is>
      </c>
      <c r="N384" s="23" t="inlineStr">
        <is>
          <t>Rev 1</t>
        </is>
      </c>
      <c r="O384" s="23" t="inlineStr">
        <is>
          <t>R329-v2</t>
        </is>
      </c>
      <c r="P384" s="23" t="inlineStr"/>
      <c r="Q384" s="23" t="inlineStr"/>
      <c r="R384" s="23" t="inlineStr"/>
      <c r="S384" s="23" t="inlineStr"/>
      <c r="T384" s="23" t="inlineStr"/>
      <c r="U384" s="23" t="inlineStr"/>
      <c r="V384" s="23" t="inlineStr">
        <is>
          <t>WBS Code = 1.2.1</t>
        </is>
      </c>
      <c r="W384" s="23" t="inlineStr"/>
    </row>
    <row r="385" ht="49" customHeight="1">
      <c r="A385" s="23" t="inlineStr">
        <is>
          <t>1.2.1</t>
        </is>
      </c>
      <c r="B385" s="23" t="inlineStr">
        <is>
          <t>Stations - Station Structures</t>
        </is>
      </c>
      <c r="C385" s="23" t="inlineStr">
        <is>
          <t>Contractor Programme</t>
        </is>
      </c>
      <c r="D385" s="23" t="inlineStr">
        <is>
          <t>SCH-02-151</t>
        </is>
      </c>
      <c r="E385" s="23" t="inlineStr">
        <is>
          <t>Harbour Station: public-realm paving - inspection</t>
        </is>
      </c>
      <c r="F385" s="23" t="inlineStr">
        <is>
          <t>ONE_TO_ONE</t>
        </is>
      </c>
      <c r="G385" s="23" t="inlineStr">
        <is>
          <t>RETAINED</t>
        </is>
      </c>
      <c r="H385" s="23" t="inlineStr">
        <is>
          <t>Carried forward</t>
        </is>
      </c>
      <c r="I385" s="23" t="inlineStr">
        <is>
          <t>Source assignment -- not individually reviewed</t>
        </is>
      </c>
      <c r="J385" s="23" t="inlineStr"/>
      <c r="K385" s="23" t="inlineStr">
        <is>
          <t>Source assignment</t>
        </is>
      </c>
      <c r="L385" s="23" t="inlineStr"/>
      <c r="M385" s="23" t="inlineStr">
        <is>
          <t>Contractor Programme Cycle 2</t>
        </is>
      </c>
      <c r="N385" s="23" t="inlineStr">
        <is>
          <t>Rev 1</t>
        </is>
      </c>
      <c r="O385" s="23" t="inlineStr">
        <is>
          <t>R331-v2</t>
        </is>
      </c>
      <c r="P385" s="23" t="inlineStr"/>
      <c r="Q385" s="23" t="inlineStr"/>
      <c r="R385" s="23" t="inlineStr"/>
      <c r="S385" s="23" t="inlineStr"/>
      <c r="T385" s="23" t="inlineStr"/>
      <c r="U385" s="23" t="inlineStr"/>
      <c r="V385" s="23" t="inlineStr">
        <is>
          <t>WBS Code = 1.2.1</t>
        </is>
      </c>
      <c r="W385" s="23" t="inlineStr"/>
    </row>
    <row r="386" ht="49" customHeight="1">
      <c r="A386" s="23" t="inlineStr">
        <is>
          <t>1.2.1</t>
        </is>
      </c>
      <c r="B386" s="23" t="inlineStr">
        <is>
          <t>Stations - Station Structures</t>
        </is>
      </c>
      <c r="C386" s="23" t="inlineStr">
        <is>
          <t>Contractor Programme</t>
        </is>
      </c>
      <c r="D386" s="23" t="inlineStr">
        <is>
          <t>SCH-02-152</t>
        </is>
      </c>
      <c r="E386" s="23" t="inlineStr">
        <is>
          <t>Market Station: entrance steel erection - turnover</t>
        </is>
      </c>
      <c r="F386" s="23" t="inlineStr">
        <is>
          <t>ONE_TO_ONE</t>
        </is>
      </c>
      <c r="G386" s="23" t="inlineStr">
        <is>
          <t>RETAINED</t>
        </is>
      </c>
      <c r="H386" s="23" t="inlineStr">
        <is>
          <t>Carried forward</t>
        </is>
      </c>
      <c r="I386" s="23" t="inlineStr">
        <is>
          <t>Source assignment -- not individually reviewed</t>
        </is>
      </c>
      <c r="J386" s="23" t="inlineStr"/>
      <c r="K386" s="23" t="inlineStr">
        <is>
          <t>Source assignment</t>
        </is>
      </c>
      <c r="L386" s="23" t="inlineStr"/>
      <c r="M386" s="23" t="inlineStr">
        <is>
          <t>Contractor Programme Cycle 2</t>
        </is>
      </c>
      <c r="N386" s="23" t="inlineStr">
        <is>
          <t>Rev 1</t>
        </is>
      </c>
      <c r="O386" s="23" t="inlineStr">
        <is>
          <t>R332-v2</t>
        </is>
      </c>
      <c r="P386" s="23" t="inlineStr"/>
      <c r="Q386" s="23" t="inlineStr"/>
      <c r="R386" s="23" t="inlineStr"/>
      <c r="S386" s="23" t="inlineStr"/>
      <c r="T386" s="23" t="inlineStr"/>
      <c r="U386" s="23" t="inlineStr"/>
      <c r="V386" s="23" t="inlineStr">
        <is>
          <t>WBS Code = 1.2.1</t>
        </is>
      </c>
      <c r="W386" s="23" t="inlineStr"/>
    </row>
    <row r="387" ht="49" customHeight="1">
      <c r="A387" s="23" t="inlineStr">
        <is>
          <t>1.2.1</t>
        </is>
      </c>
      <c r="B387" s="23" t="inlineStr">
        <is>
          <t>Stations - Station Structures</t>
        </is>
      </c>
      <c r="C387" s="23" t="inlineStr">
        <is>
          <t>Contractor Programme</t>
        </is>
      </c>
      <c r="D387" s="23" t="inlineStr">
        <is>
          <t>SCH-02-154</t>
        </is>
      </c>
      <c r="E387" s="23" t="inlineStr">
        <is>
          <t>University Station: platform edge installation - field start</t>
        </is>
      </c>
      <c r="F387" s="23" t="inlineStr">
        <is>
          <t>ONE_TO_ONE</t>
        </is>
      </c>
      <c r="G387" s="23" t="inlineStr">
        <is>
          <t>RETAINED</t>
        </is>
      </c>
      <c r="H387" s="23" t="inlineStr">
        <is>
          <t>Carried forward</t>
        </is>
      </c>
      <c r="I387" s="23" t="inlineStr">
        <is>
          <t>Source assignment -- not individually reviewed</t>
        </is>
      </c>
      <c r="J387" s="23" t="inlineStr"/>
      <c r="K387" s="23" t="inlineStr">
        <is>
          <t>Source assignment</t>
        </is>
      </c>
      <c r="L387" s="23" t="inlineStr"/>
      <c r="M387" s="23" t="inlineStr">
        <is>
          <t>Contractor Programme Cycle 2</t>
        </is>
      </c>
      <c r="N387" s="23" t="inlineStr">
        <is>
          <t>Rev 1</t>
        </is>
      </c>
      <c r="O387" s="23" t="inlineStr">
        <is>
          <t>R334-v2</t>
        </is>
      </c>
      <c r="P387" s="23" t="inlineStr"/>
      <c r="Q387" s="23" t="inlineStr"/>
      <c r="R387" s="23" t="inlineStr"/>
      <c r="S387" s="23" t="inlineStr"/>
      <c r="T387" s="23" t="inlineStr"/>
      <c r="U387" s="23" t="inlineStr"/>
      <c r="V387" s="23" t="inlineStr">
        <is>
          <t>WBS Code = 1.2.1</t>
        </is>
      </c>
      <c r="W387" s="23" t="inlineStr"/>
    </row>
    <row r="388" ht="49" customHeight="1">
      <c r="A388" s="23" t="inlineStr">
        <is>
          <t>1.2.1</t>
        </is>
      </c>
      <c r="B388" s="23" t="inlineStr">
        <is>
          <t>Stations - Station Structures</t>
        </is>
      </c>
      <c r="C388" s="23" t="inlineStr">
        <is>
          <t>Contractor Programme</t>
        </is>
      </c>
      <c r="D388" s="23" t="inlineStr">
        <is>
          <t>SCH-02-155</t>
        </is>
      </c>
      <c r="E388" s="23" t="inlineStr">
        <is>
          <t>West Terminal: architectural wall framing - installation</t>
        </is>
      </c>
      <c r="F388" s="23" t="inlineStr">
        <is>
          <t>ONE_TO_ONE</t>
        </is>
      </c>
      <c r="G388" s="23" t="inlineStr">
        <is>
          <t>RETAINED</t>
        </is>
      </c>
      <c r="H388" s="23" t="inlineStr">
        <is>
          <t>Carried forward</t>
        </is>
      </c>
      <c r="I388" s="23" t="inlineStr">
        <is>
          <t>Source assignment -- not individually reviewed</t>
        </is>
      </c>
      <c r="J388" s="23" t="inlineStr"/>
      <c r="K388" s="23" t="inlineStr">
        <is>
          <t>Source assignment</t>
        </is>
      </c>
      <c r="L388" s="23" t="inlineStr"/>
      <c r="M388" s="23" t="inlineStr">
        <is>
          <t>Contractor Programme Cycle 2</t>
        </is>
      </c>
      <c r="N388" s="23" t="inlineStr">
        <is>
          <t>Rev 1</t>
        </is>
      </c>
      <c r="O388" s="23" t="inlineStr">
        <is>
          <t>R335-v2</t>
        </is>
      </c>
      <c r="P388" s="23" t="inlineStr"/>
      <c r="Q388" s="23" t="inlineStr"/>
      <c r="R388" s="23" t="inlineStr"/>
      <c r="S388" s="23" t="inlineStr"/>
      <c r="T388" s="23" t="inlineStr"/>
      <c r="U388" s="23" t="inlineStr"/>
      <c r="V388" s="23" t="inlineStr">
        <is>
          <t>WBS Code = 1.2.1</t>
        </is>
      </c>
      <c r="W388" s="23" t="inlineStr"/>
    </row>
    <row r="389" ht="49" customHeight="1">
      <c r="A389" s="23" t="inlineStr">
        <is>
          <t>1.2.1</t>
        </is>
      </c>
      <c r="B389" s="23" t="inlineStr">
        <is>
          <t>Stations - Station Structures</t>
        </is>
      </c>
      <c r="C389" s="23" t="inlineStr">
        <is>
          <t>Contractor Programme</t>
        </is>
      </c>
      <c r="D389" s="23" t="inlineStr">
        <is>
          <t>SCH-02-157</t>
        </is>
      </c>
      <c r="E389" s="23" t="inlineStr">
        <is>
          <t>Market Station: concourse slab pour - turnover</t>
        </is>
      </c>
      <c r="F389" s="23" t="inlineStr">
        <is>
          <t>ONE_TO_ONE</t>
        </is>
      </c>
      <c r="G389" s="23" t="inlineStr">
        <is>
          <t>RETAINED</t>
        </is>
      </c>
      <c r="H389" s="23" t="inlineStr">
        <is>
          <t>Carried forward</t>
        </is>
      </c>
      <c r="I389" s="23" t="inlineStr">
        <is>
          <t>Source assignment -- not individually reviewed</t>
        </is>
      </c>
      <c r="J389" s="23" t="inlineStr"/>
      <c r="K389" s="23" t="inlineStr">
        <is>
          <t>Source assignment</t>
        </is>
      </c>
      <c r="L389" s="23" t="inlineStr"/>
      <c r="M389" s="23" t="inlineStr">
        <is>
          <t>Contractor Programme Cycle 2</t>
        </is>
      </c>
      <c r="N389" s="23" t="inlineStr">
        <is>
          <t>Rev 1</t>
        </is>
      </c>
      <c r="O389" s="23" t="inlineStr">
        <is>
          <t>R337-v2</t>
        </is>
      </c>
      <c r="P389" s="23" t="inlineStr"/>
      <c r="Q389" s="23" t="inlineStr"/>
      <c r="R389" s="23" t="inlineStr"/>
      <c r="S389" s="23" t="inlineStr"/>
      <c r="T389" s="23" t="inlineStr"/>
      <c r="U389" s="23" t="inlineStr"/>
      <c r="V389" s="23" t="inlineStr">
        <is>
          <t>WBS Code = 1.2.1</t>
        </is>
      </c>
      <c r="W389" s="23" t="inlineStr"/>
    </row>
    <row r="390" ht="49" customHeight="1">
      <c r="A390" s="23" t="inlineStr">
        <is>
          <t>1.2.1</t>
        </is>
      </c>
      <c r="B390" s="23" t="inlineStr">
        <is>
          <t>Stations - Station Structures</t>
        </is>
      </c>
      <c r="C390" s="23" t="inlineStr">
        <is>
          <t>Contractor Programme</t>
        </is>
      </c>
      <c r="D390" s="23" t="inlineStr">
        <is>
          <t>SCH-02-158</t>
        </is>
      </c>
      <c r="E390" s="23" t="inlineStr">
        <is>
          <t>Civic Station: station ventilation rough-in - release</t>
        </is>
      </c>
      <c r="F390" s="23" t="inlineStr">
        <is>
          <t>ONE_TO_ONE</t>
        </is>
      </c>
      <c r="G390" s="23" t="inlineStr">
        <is>
          <t>RETAINED</t>
        </is>
      </c>
      <c r="H390" s="23" t="inlineStr">
        <is>
          <t>Carried forward</t>
        </is>
      </c>
      <c r="I390" s="23" t="inlineStr">
        <is>
          <t>Source assignment -- not individually reviewed</t>
        </is>
      </c>
      <c r="J390" s="23" t="inlineStr"/>
      <c r="K390" s="23" t="inlineStr">
        <is>
          <t>Source assignment</t>
        </is>
      </c>
      <c r="L390" s="23" t="inlineStr"/>
      <c r="M390" s="23" t="inlineStr">
        <is>
          <t>Contractor Programme Cycle 2</t>
        </is>
      </c>
      <c r="N390" s="23" t="inlineStr">
        <is>
          <t>Rev 1</t>
        </is>
      </c>
      <c r="O390" s="23" t="inlineStr">
        <is>
          <t>R338-v2</t>
        </is>
      </c>
      <c r="P390" s="23" t="inlineStr"/>
      <c r="Q390" s="23" t="inlineStr"/>
      <c r="R390" s="23" t="inlineStr"/>
      <c r="S390" s="23" t="inlineStr"/>
      <c r="T390" s="23" t="inlineStr"/>
      <c r="U390" s="23" t="inlineStr"/>
      <c r="V390" s="23" t="inlineStr">
        <is>
          <t>WBS Code = 1.2.1</t>
        </is>
      </c>
      <c r="W390" s="23" t="inlineStr"/>
    </row>
    <row r="391" ht="49" customHeight="1">
      <c r="A391" s="23" t="inlineStr">
        <is>
          <t>1.2.1</t>
        </is>
      </c>
      <c r="B391" s="23" t="inlineStr">
        <is>
          <t>Stations - Station Structures</t>
        </is>
      </c>
      <c r="C391" s="23" t="inlineStr">
        <is>
          <t>Contractor Programme</t>
        </is>
      </c>
      <c r="D391" s="23" t="inlineStr">
        <is>
          <t>SCH-02-160</t>
        </is>
      </c>
      <c r="E391" s="23" t="inlineStr">
        <is>
          <t>West Terminal: entrance steel erection - installation</t>
        </is>
      </c>
      <c r="F391" s="23" t="inlineStr">
        <is>
          <t>ONE_TO_ONE</t>
        </is>
      </c>
      <c r="G391" s="23" t="inlineStr">
        <is>
          <t>RETAINED</t>
        </is>
      </c>
      <c r="H391" s="23" t="inlineStr">
        <is>
          <t>Carried forward</t>
        </is>
      </c>
      <c r="I391" s="23" t="inlineStr">
        <is>
          <t>Source assignment -- not individually reviewed</t>
        </is>
      </c>
      <c r="J391" s="23" t="inlineStr"/>
      <c r="K391" s="23" t="inlineStr">
        <is>
          <t>Source assignment</t>
        </is>
      </c>
      <c r="L391" s="23" t="inlineStr"/>
      <c r="M391" s="23" t="inlineStr">
        <is>
          <t>Contractor Programme Cycle 2</t>
        </is>
      </c>
      <c r="N391" s="23" t="inlineStr">
        <is>
          <t>Rev 1</t>
        </is>
      </c>
      <c r="O391" s="23" t="inlineStr">
        <is>
          <t>R340-v2</t>
        </is>
      </c>
      <c r="P391" s="23" t="inlineStr"/>
      <c r="Q391" s="23" t="inlineStr"/>
      <c r="R391" s="23" t="inlineStr"/>
      <c r="S391" s="23" t="inlineStr"/>
      <c r="T391" s="23" t="inlineStr"/>
      <c r="U391" s="23" t="inlineStr"/>
      <c r="V391" s="23" t="inlineStr">
        <is>
          <t>WBS Code = 1.2.1</t>
        </is>
      </c>
      <c r="W391" s="23" t="inlineStr"/>
    </row>
    <row r="392" ht="49" customHeight="1">
      <c r="A392" s="23" t="inlineStr">
        <is>
          <t>1.2.1</t>
        </is>
      </c>
      <c r="B392" s="23" t="inlineStr">
        <is>
          <t>Stations - Station Structures</t>
        </is>
      </c>
      <c r="C392" s="23" t="inlineStr">
        <is>
          <t>Contractor Programme</t>
        </is>
      </c>
      <c r="D392" s="23" t="inlineStr">
        <is>
          <t>SCH-02-161</t>
        </is>
      </c>
      <c r="E392" s="23" t="inlineStr">
        <is>
          <t>Harbour Station: vertical-transport installation - inspection</t>
        </is>
      </c>
      <c r="F392" s="23" t="inlineStr">
        <is>
          <t>ONE_TO_ONE</t>
        </is>
      </c>
      <c r="G392" s="23" t="inlineStr">
        <is>
          <t>RETAINED</t>
        </is>
      </c>
      <c r="H392" s="23" t="inlineStr">
        <is>
          <t>Carried forward</t>
        </is>
      </c>
      <c r="I392" s="23" t="inlineStr">
        <is>
          <t>Source assignment -- not individually reviewed</t>
        </is>
      </c>
      <c r="J392" s="23" t="inlineStr"/>
      <c r="K392" s="23" t="inlineStr">
        <is>
          <t>Source assignment</t>
        </is>
      </c>
      <c r="L392" s="23" t="inlineStr"/>
      <c r="M392" s="23" t="inlineStr">
        <is>
          <t>Contractor Programme Cycle 2</t>
        </is>
      </c>
      <c r="N392" s="23" t="inlineStr">
        <is>
          <t>Rev 1</t>
        </is>
      </c>
      <c r="O392" s="23" t="inlineStr">
        <is>
          <t>R341-v2</t>
        </is>
      </c>
      <c r="P392" s="23" t="inlineStr"/>
      <c r="Q392" s="23" t="inlineStr"/>
      <c r="R392" s="23" t="inlineStr"/>
      <c r="S392" s="23" t="inlineStr"/>
      <c r="T392" s="23" t="inlineStr"/>
      <c r="U392" s="23" t="inlineStr"/>
      <c r="V392" s="23" t="inlineStr">
        <is>
          <t>WBS Code = 1.2.1</t>
        </is>
      </c>
      <c r="W392" s="23" t="inlineStr"/>
    </row>
    <row r="393" ht="49" customHeight="1">
      <c r="A393" s="23" t="inlineStr">
        <is>
          <t>1.2.1</t>
        </is>
      </c>
      <c r="B393" s="23" t="inlineStr">
        <is>
          <t>Stations - Station Structures</t>
        </is>
      </c>
      <c r="C393" s="23" t="inlineStr">
        <is>
          <t>Contractor Programme</t>
        </is>
      </c>
      <c r="D393" s="23" t="inlineStr">
        <is>
          <t>SCH-02-163</t>
        </is>
      </c>
      <c r="E393" s="23" t="inlineStr">
        <is>
          <t>Civic Station: architectural wall framing - release</t>
        </is>
      </c>
      <c r="F393" s="23" t="inlineStr">
        <is>
          <t>ONE_TO_ONE</t>
        </is>
      </c>
      <c r="G393" s="23" t="inlineStr">
        <is>
          <t>RETAINED</t>
        </is>
      </c>
      <c r="H393" s="23" t="inlineStr">
        <is>
          <t>Carried forward</t>
        </is>
      </c>
      <c r="I393" s="23" t="inlineStr">
        <is>
          <t>Source assignment -- not individually reviewed</t>
        </is>
      </c>
      <c r="J393" s="23" t="inlineStr"/>
      <c r="K393" s="23" t="inlineStr">
        <is>
          <t>Source assignment</t>
        </is>
      </c>
      <c r="L393" s="23" t="inlineStr"/>
      <c r="M393" s="23" t="inlineStr">
        <is>
          <t>Contractor Programme Cycle 2</t>
        </is>
      </c>
      <c r="N393" s="23" t="inlineStr">
        <is>
          <t>Rev 1</t>
        </is>
      </c>
      <c r="O393" s="23" t="inlineStr">
        <is>
          <t>R343-v2</t>
        </is>
      </c>
      <c r="P393" s="23" t="inlineStr"/>
      <c r="Q393" s="23" t="inlineStr"/>
      <c r="R393" s="23" t="inlineStr"/>
      <c r="S393" s="23" t="inlineStr"/>
      <c r="T393" s="23" t="inlineStr"/>
      <c r="U393" s="23" t="inlineStr"/>
      <c r="V393" s="23" t="inlineStr">
        <is>
          <t>WBS Code = 1.2.1</t>
        </is>
      </c>
      <c r="W393" s="23" t="inlineStr"/>
    </row>
    <row r="394" ht="49" customHeight="1">
      <c r="A394" s="23" t="inlineStr">
        <is>
          <t>1.2.1</t>
        </is>
      </c>
      <c r="B394" s="23" t="inlineStr">
        <is>
          <t>Stations - Station Structures</t>
        </is>
      </c>
      <c r="C394" s="23" t="inlineStr">
        <is>
          <t>Contractor Programme</t>
        </is>
      </c>
      <c r="D394" s="23" t="inlineStr">
        <is>
          <t>SCH-02-164</t>
        </is>
      </c>
      <c r="E394" s="23" t="inlineStr">
        <is>
          <t>University Station: fire-life-safety cabling - field start</t>
        </is>
      </c>
      <c r="F394" s="23" t="inlineStr">
        <is>
          <t>ONE_TO_ONE</t>
        </is>
      </c>
      <c r="G394" s="23" t="inlineStr">
        <is>
          <t>RETAINED</t>
        </is>
      </c>
      <c r="H394" s="23" t="inlineStr">
        <is>
          <t>Carried forward</t>
        </is>
      </c>
      <c r="I394" s="23" t="inlineStr">
        <is>
          <t>Source assignment -- not individually reviewed</t>
        </is>
      </c>
      <c r="J394" s="23" t="inlineStr"/>
      <c r="K394" s="23" t="inlineStr">
        <is>
          <t>Source assignment</t>
        </is>
      </c>
      <c r="L394" s="23" t="inlineStr"/>
      <c r="M394" s="23" t="inlineStr">
        <is>
          <t>Contractor Programme Cycle 2</t>
        </is>
      </c>
      <c r="N394" s="23" t="inlineStr">
        <is>
          <t>Rev 1</t>
        </is>
      </c>
      <c r="O394" s="23" t="inlineStr">
        <is>
          <t>R344-v2</t>
        </is>
      </c>
      <c r="P394" s="23" t="inlineStr"/>
      <c r="Q394" s="23" t="inlineStr"/>
      <c r="R394" s="23" t="inlineStr"/>
      <c r="S394" s="23" t="inlineStr"/>
      <c r="T394" s="23" t="inlineStr"/>
      <c r="U394" s="23" t="inlineStr"/>
      <c r="V394" s="23" t="inlineStr">
        <is>
          <t>WBS Code = 1.2.1</t>
        </is>
      </c>
      <c r="W394" s="23" t="inlineStr"/>
    </row>
    <row r="395" ht="49" customHeight="1">
      <c r="A395" s="23" t="inlineStr">
        <is>
          <t>1.2.1</t>
        </is>
      </c>
      <c r="B395" s="23" t="inlineStr">
        <is>
          <t>Stations - Station Structures</t>
        </is>
      </c>
      <c r="C395" s="23" t="inlineStr">
        <is>
          <t>Contractor Programme</t>
        </is>
      </c>
      <c r="D395" s="23" t="inlineStr">
        <is>
          <t>SCH-02-166</t>
        </is>
      </c>
      <c r="E395" s="23" t="inlineStr">
        <is>
          <t>Harbour Station: station ventilation rough-in - inspection</t>
        </is>
      </c>
      <c r="F395" s="23" t="inlineStr">
        <is>
          <t>ONE_TO_ONE</t>
        </is>
      </c>
      <c r="G395" s="23" t="inlineStr">
        <is>
          <t>RETAINED</t>
        </is>
      </c>
      <c r="H395" s="23" t="inlineStr">
        <is>
          <t>Carried forward</t>
        </is>
      </c>
      <c r="I395" s="23" t="inlineStr">
        <is>
          <t>Source assignment -- not individually reviewed</t>
        </is>
      </c>
      <c r="J395" s="23" t="inlineStr"/>
      <c r="K395" s="23" t="inlineStr">
        <is>
          <t>Source assignment</t>
        </is>
      </c>
      <c r="L395" s="23" t="inlineStr"/>
      <c r="M395" s="23" t="inlineStr">
        <is>
          <t>Contractor Programme Cycle 2</t>
        </is>
      </c>
      <c r="N395" s="23" t="inlineStr">
        <is>
          <t>Rev 1</t>
        </is>
      </c>
      <c r="O395" s="23" t="inlineStr">
        <is>
          <t>R346-v2</t>
        </is>
      </c>
      <c r="P395" s="23" t="inlineStr"/>
      <c r="Q395" s="23" t="inlineStr"/>
      <c r="R395" s="23" t="inlineStr"/>
      <c r="S395" s="23" t="inlineStr"/>
      <c r="T395" s="23" t="inlineStr"/>
      <c r="U395" s="23" t="inlineStr"/>
      <c r="V395" s="23" t="inlineStr">
        <is>
          <t>WBS Code = 1.2.1</t>
        </is>
      </c>
      <c r="W395" s="23" t="inlineStr"/>
    </row>
    <row r="396" ht="49" customHeight="1">
      <c r="A396" s="23" t="inlineStr">
        <is>
          <t>1.2.1</t>
        </is>
      </c>
      <c r="B396" s="23" t="inlineStr">
        <is>
          <t>Stations - Station Structures</t>
        </is>
      </c>
      <c r="C396" s="23" t="inlineStr">
        <is>
          <t>Contractor Programme</t>
        </is>
      </c>
      <c r="D396" s="23" t="inlineStr">
        <is>
          <t>SCH-02-167</t>
        </is>
      </c>
      <c r="E396" s="23" t="inlineStr">
        <is>
          <t>Market Station: public-realm paving - turnover</t>
        </is>
      </c>
      <c r="F396" s="23" t="inlineStr">
        <is>
          <t>ONE_TO_ONE</t>
        </is>
      </c>
      <c r="G396" s="23" t="inlineStr">
        <is>
          <t>RETAINED</t>
        </is>
      </c>
      <c r="H396" s="23" t="inlineStr">
        <is>
          <t>Carried forward</t>
        </is>
      </c>
      <c r="I396" s="23" t="inlineStr">
        <is>
          <t>Source assignment -- not individually reviewed</t>
        </is>
      </c>
      <c r="J396" s="23" t="inlineStr"/>
      <c r="K396" s="23" t="inlineStr">
        <is>
          <t>Source assignment</t>
        </is>
      </c>
      <c r="L396" s="23" t="inlineStr"/>
      <c r="M396" s="23" t="inlineStr">
        <is>
          <t>Contractor Programme Cycle 2</t>
        </is>
      </c>
      <c r="N396" s="23" t="inlineStr">
        <is>
          <t>Rev 1</t>
        </is>
      </c>
      <c r="O396" s="23" t="inlineStr">
        <is>
          <t>R347-v2</t>
        </is>
      </c>
      <c r="P396" s="23" t="inlineStr"/>
      <c r="Q396" s="23" t="inlineStr"/>
      <c r="R396" s="23" t="inlineStr"/>
      <c r="S396" s="23" t="inlineStr"/>
      <c r="T396" s="23" t="inlineStr"/>
      <c r="U396" s="23" t="inlineStr"/>
      <c r="V396" s="23" t="inlineStr">
        <is>
          <t>WBS Code = 1.2.1</t>
        </is>
      </c>
      <c r="W396" s="23" t="inlineStr"/>
    </row>
    <row r="397" ht="49" customHeight="1">
      <c r="A397" s="23" t="inlineStr">
        <is>
          <t>1.2.1</t>
        </is>
      </c>
      <c r="B397" s="23" t="inlineStr">
        <is>
          <t>Stations - Station Structures</t>
        </is>
      </c>
      <c r="C397" s="23" t="inlineStr">
        <is>
          <t>Contractor Programme</t>
        </is>
      </c>
      <c r="D397" s="23" t="inlineStr">
        <is>
          <t>SCH-02-169</t>
        </is>
      </c>
      <c r="E397" s="23" t="inlineStr">
        <is>
          <t>University Station: vertical-transport installation - field start</t>
        </is>
      </c>
      <c r="F397" s="23" t="inlineStr">
        <is>
          <t>ONE_TO_ONE</t>
        </is>
      </c>
      <c r="G397" s="23" t="inlineStr">
        <is>
          <t>RETAINED</t>
        </is>
      </c>
      <c r="H397" s="23" t="inlineStr">
        <is>
          <t>Carried forward</t>
        </is>
      </c>
      <c r="I397" s="23" t="inlineStr">
        <is>
          <t>Source assignment -- not individually reviewed</t>
        </is>
      </c>
      <c r="J397" s="23" t="inlineStr"/>
      <c r="K397" s="23" t="inlineStr">
        <is>
          <t>Source assignment</t>
        </is>
      </c>
      <c r="L397" s="23" t="inlineStr"/>
      <c r="M397" s="23" t="inlineStr">
        <is>
          <t>Contractor Programme Cycle 2</t>
        </is>
      </c>
      <c r="N397" s="23" t="inlineStr">
        <is>
          <t>Rev 1</t>
        </is>
      </c>
      <c r="O397" s="23" t="inlineStr">
        <is>
          <t>R349-v2</t>
        </is>
      </c>
      <c r="P397" s="23" t="inlineStr"/>
      <c r="Q397" s="23" t="inlineStr"/>
      <c r="R397" s="23" t="inlineStr"/>
      <c r="S397" s="23" t="inlineStr"/>
      <c r="T397" s="23" t="inlineStr"/>
      <c r="U397" s="23" t="inlineStr"/>
      <c r="V397" s="23" t="inlineStr">
        <is>
          <t>WBS Code = 1.2.1</t>
        </is>
      </c>
      <c r="W397" s="23" t="inlineStr"/>
    </row>
    <row r="398" ht="49" customHeight="1">
      <c r="A398" s="23" t="inlineStr">
        <is>
          <t>1.2.1</t>
        </is>
      </c>
      <c r="B398" s="23" t="inlineStr">
        <is>
          <t>Stations - Station Structures</t>
        </is>
      </c>
      <c r="C398" s="23" t="inlineStr">
        <is>
          <t>Contractor Programme</t>
        </is>
      </c>
      <c r="D398" s="23" t="inlineStr">
        <is>
          <t>SCH-02-170</t>
        </is>
      </c>
      <c r="E398" s="23" t="inlineStr">
        <is>
          <t>West Terminal: platform edge installation - installation</t>
        </is>
      </c>
      <c r="F398" s="23" t="inlineStr">
        <is>
          <t>ONE_TO_ONE</t>
        </is>
      </c>
      <c r="G398" s="23" t="inlineStr">
        <is>
          <t>RETAINED</t>
        </is>
      </c>
      <c r="H398" s="23" t="inlineStr">
        <is>
          <t>Carried forward</t>
        </is>
      </c>
      <c r="I398" s="23" t="inlineStr">
        <is>
          <t>Source assignment -- not individually reviewed</t>
        </is>
      </c>
      <c r="J398" s="23" t="inlineStr"/>
      <c r="K398" s="23" t="inlineStr">
        <is>
          <t>Source assignment</t>
        </is>
      </c>
      <c r="L398" s="23" t="inlineStr"/>
      <c r="M398" s="23" t="inlineStr">
        <is>
          <t>Contractor Programme Cycle 2</t>
        </is>
      </c>
      <c r="N398" s="23" t="inlineStr">
        <is>
          <t>Rev 1</t>
        </is>
      </c>
      <c r="O398" s="23" t="inlineStr">
        <is>
          <t>R350-v2</t>
        </is>
      </c>
      <c r="P398" s="23" t="inlineStr"/>
      <c r="Q398" s="23" t="inlineStr"/>
      <c r="R398" s="23" t="inlineStr"/>
      <c r="S398" s="23" t="inlineStr"/>
      <c r="T398" s="23" t="inlineStr"/>
      <c r="U398" s="23" t="inlineStr"/>
      <c r="V398" s="23" t="inlineStr">
        <is>
          <t>WBS Code = 1.2.1</t>
        </is>
      </c>
      <c r="W398" s="23" t="inlineStr"/>
    </row>
    <row r="399" ht="49" customHeight="1">
      <c r="A399" s="23" t="inlineStr">
        <is>
          <t>1.2.1</t>
        </is>
      </c>
      <c r="B399" s="23" t="inlineStr">
        <is>
          <t>Stations - Station Structures</t>
        </is>
      </c>
      <c r="C399" s="23" t="inlineStr">
        <is>
          <t>Contractor Programme</t>
        </is>
      </c>
      <c r="D399" s="23" t="inlineStr">
        <is>
          <t>SCH-02-172</t>
        </is>
      </c>
      <c r="E399" s="23" t="inlineStr">
        <is>
          <t>Market Station: fire-life-safety cabling - turnover</t>
        </is>
      </c>
      <c r="F399" s="23" t="inlineStr">
        <is>
          <t>ONE_TO_ONE</t>
        </is>
      </c>
      <c r="G399" s="23" t="inlineStr">
        <is>
          <t>RETAINED</t>
        </is>
      </c>
      <c r="H399" s="23" t="inlineStr">
        <is>
          <t>Carried forward</t>
        </is>
      </c>
      <c r="I399" s="23" t="inlineStr">
        <is>
          <t>Source assignment -- not individually reviewed</t>
        </is>
      </c>
      <c r="J399" s="23" t="inlineStr"/>
      <c r="K399" s="23" t="inlineStr">
        <is>
          <t>Source assignment</t>
        </is>
      </c>
      <c r="L399" s="23" t="inlineStr"/>
      <c r="M399" s="23" t="inlineStr">
        <is>
          <t>Contractor Programme Cycle 2</t>
        </is>
      </c>
      <c r="N399" s="23" t="inlineStr">
        <is>
          <t>Rev 1</t>
        </is>
      </c>
      <c r="O399" s="23" t="inlineStr">
        <is>
          <t>R352-v2</t>
        </is>
      </c>
      <c r="P399" s="23" t="inlineStr"/>
      <c r="Q399" s="23" t="inlineStr"/>
      <c r="R399" s="23" t="inlineStr"/>
      <c r="S399" s="23" t="inlineStr"/>
      <c r="T399" s="23" t="inlineStr"/>
      <c r="U399" s="23" t="inlineStr"/>
      <c r="V399" s="23" t="inlineStr">
        <is>
          <t>WBS Code = 1.2.1</t>
        </is>
      </c>
      <c r="W399" s="23" t="inlineStr"/>
    </row>
    <row r="400" ht="49" customHeight="1">
      <c r="A400" s="23" t="inlineStr">
        <is>
          <t>1.2.1</t>
        </is>
      </c>
      <c r="B400" s="23" t="inlineStr">
        <is>
          <t>Stations - Station Structures</t>
        </is>
      </c>
      <c r="C400" s="23" t="inlineStr">
        <is>
          <t>Contractor Programme</t>
        </is>
      </c>
      <c r="D400" s="23" t="inlineStr">
        <is>
          <t>SCH-02-173</t>
        </is>
      </c>
      <c r="E400" s="23" t="inlineStr">
        <is>
          <t>Civic Station: concourse slab pour - release</t>
        </is>
      </c>
      <c r="F400" s="23" t="inlineStr">
        <is>
          <t>ONE_TO_ONE</t>
        </is>
      </c>
      <c r="G400" s="23" t="inlineStr">
        <is>
          <t>RETAINED</t>
        </is>
      </c>
      <c r="H400" s="23" t="inlineStr">
        <is>
          <t>Carried forward</t>
        </is>
      </c>
      <c r="I400" s="23" t="inlineStr">
        <is>
          <t>Source assignment -- not individually reviewed</t>
        </is>
      </c>
      <c r="J400" s="23" t="inlineStr"/>
      <c r="K400" s="23" t="inlineStr">
        <is>
          <t>Source assignment</t>
        </is>
      </c>
      <c r="L400" s="23" t="inlineStr"/>
      <c r="M400" s="23" t="inlineStr">
        <is>
          <t>Contractor Programme Cycle 2</t>
        </is>
      </c>
      <c r="N400" s="23" t="inlineStr">
        <is>
          <t>Rev 1</t>
        </is>
      </c>
      <c r="O400" s="23" t="inlineStr">
        <is>
          <t>R353-v2</t>
        </is>
      </c>
      <c r="P400" s="23" t="inlineStr"/>
      <c r="Q400" s="23" t="inlineStr"/>
      <c r="R400" s="23" t="inlineStr"/>
      <c r="S400" s="23" t="inlineStr"/>
      <c r="T400" s="23" t="inlineStr"/>
      <c r="U400" s="23" t="inlineStr"/>
      <c r="V400" s="23" t="inlineStr">
        <is>
          <t>WBS Code = 1.2.1</t>
        </is>
      </c>
      <c r="W400" s="23" t="inlineStr"/>
    </row>
    <row r="401" ht="49" customHeight="1">
      <c r="A401" s="23" t="inlineStr">
        <is>
          <t>1.2.1</t>
        </is>
      </c>
      <c r="B401" s="23" t="inlineStr">
        <is>
          <t>Stations - Station Structures</t>
        </is>
      </c>
      <c r="C401" s="23" t="inlineStr">
        <is>
          <t>Contractor Programme</t>
        </is>
      </c>
      <c r="D401" s="23" t="inlineStr">
        <is>
          <t>SCH-02-175</t>
        </is>
      </c>
      <c r="E401" s="23" t="inlineStr">
        <is>
          <t>West Terminal: public-realm paving - installation</t>
        </is>
      </c>
      <c r="F401" s="23" t="inlineStr">
        <is>
          <t>ONE_TO_ONE</t>
        </is>
      </c>
      <c r="G401" s="23" t="inlineStr">
        <is>
          <t>RETAINED</t>
        </is>
      </c>
      <c r="H401" s="23" t="inlineStr">
        <is>
          <t>Carried forward</t>
        </is>
      </c>
      <c r="I401" s="23" t="inlineStr">
        <is>
          <t>Source assignment -- not individually reviewed</t>
        </is>
      </c>
      <c r="J401" s="23" t="inlineStr"/>
      <c r="K401" s="23" t="inlineStr">
        <is>
          <t>Source assignment</t>
        </is>
      </c>
      <c r="L401" s="23" t="inlineStr"/>
      <c r="M401" s="23" t="inlineStr">
        <is>
          <t>Contractor Programme Cycle 2</t>
        </is>
      </c>
      <c r="N401" s="23" t="inlineStr">
        <is>
          <t>Rev 1</t>
        </is>
      </c>
      <c r="O401" s="23" t="inlineStr">
        <is>
          <t>R355-v2</t>
        </is>
      </c>
      <c r="P401" s="23" t="inlineStr"/>
      <c r="Q401" s="23" t="inlineStr"/>
      <c r="R401" s="23" t="inlineStr"/>
      <c r="S401" s="23" t="inlineStr"/>
      <c r="T401" s="23" t="inlineStr"/>
      <c r="U401" s="23" t="inlineStr"/>
      <c r="V401" s="23" t="inlineStr">
        <is>
          <t>WBS Code = 1.2.1</t>
        </is>
      </c>
      <c r="W401" s="23" t="inlineStr"/>
    </row>
    <row r="402" ht="49" customHeight="1">
      <c r="A402" s="23" t="inlineStr">
        <is>
          <t>1.2.1</t>
        </is>
      </c>
      <c r="B402" s="23" t="inlineStr">
        <is>
          <t>Stations - Station Structures</t>
        </is>
      </c>
      <c r="C402" s="23" t="inlineStr">
        <is>
          <t>Contractor Programme</t>
        </is>
      </c>
      <c r="D402" s="23" t="inlineStr">
        <is>
          <t>SCH-02-176</t>
        </is>
      </c>
      <c r="E402" s="23" t="inlineStr">
        <is>
          <t>Harbour Station: entrance steel erection - inspection</t>
        </is>
      </c>
      <c r="F402" s="23" t="inlineStr">
        <is>
          <t>ONE_TO_ONE</t>
        </is>
      </c>
      <c r="G402" s="23" t="inlineStr">
        <is>
          <t>RETAINED</t>
        </is>
      </c>
      <c r="H402" s="23" t="inlineStr">
        <is>
          <t>Carried forward</t>
        </is>
      </c>
      <c r="I402" s="23" t="inlineStr">
        <is>
          <t>Source assignment -- not individually reviewed</t>
        </is>
      </c>
      <c r="J402" s="23" t="inlineStr"/>
      <c r="K402" s="23" t="inlineStr">
        <is>
          <t>Source assignment</t>
        </is>
      </c>
      <c r="L402" s="23" t="inlineStr"/>
      <c r="M402" s="23" t="inlineStr">
        <is>
          <t>Contractor Programme Cycle 2</t>
        </is>
      </c>
      <c r="N402" s="23" t="inlineStr">
        <is>
          <t>Rev 1</t>
        </is>
      </c>
      <c r="O402" s="23" t="inlineStr">
        <is>
          <t>R356-v2</t>
        </is>
      </c>
      <c r="P402" s="23" t="inlineStr"/>
      <c r="Q402" s="23" t="inlineStr"/>
      <c r="R402" s="23" t="inlineStr"/>
      <c r="S402" s="23" t="inlineStr"/>
      <c r="T402" s="23" t="inlineStr"/>
      <c r="U402" s="23" t="inlineStr"/>
      <c r="V402" s="23" t="inlineStr">
        <is>
          <t>WBS Code = 1.2.1</t>
        </is>
      </c>
      <c r="W402" s="23" t="inlineStr"/>
    </row>
    <row r="403" ht="49" customHeight="1">
      <c r="A403" s="23" t="inlineStr">
        <is>
          <t>1.2.1</t>
        </is>
      </c>
      <c r="B403" s="23" t="inlineStr">
        <is>
          <t>Stations - Station Structures</t>
        </is>
      </c>
      <c r="C403" s="23" t="inlineStr">
        <is>
          <t>Contractor Programme</t>
        </is>
      </c>
      <c r="D403" s="23" t="inlineStr">
        <is>
          <t>SCH-02-178</t>
        </is>
      </c>
      <c r="E403" s="23" t="inlineStr">
        <is>
          <t>Civic Station: platform edge installation - release</t>
        </is>
      </c>
      <c r="F403" s="23" t="inlineStr">
        <is>
          <t>ONE_TO_ONE</t>
        </is>
      </c>
      <c r="G403" s="23" t="inlineStr">
        <is>
          <t>RETAINED</t>
        </is>
      </c>
      <c r="H403" s="23" t="inlineStr">
        <is>
          <t>Carried forward</t>
        </is>
      </c>
      <c r="I403" s="23" t="inlineStr">
        <is>
          <t>Source assignment -- not individually reviewed</t>
        </is>
      </c>
      <c r="J403" s="23" t="inlineStr"/>
      <c r="K403" s="23" t="inlineStr">
        <is>
          <t>Source assignment</t>
        </is>
      </c>
      <c r="L403" s="23" t="inlineStr"/>
      <c r="M403" s="23" t="inlineStr">
        <is>
          <t>Contractor Programme Cycle 2</t>
        </is>
      </c>
      <c r="N403" s="23" t="inlineStr">
        <is>
          <t>Rev 1</t>
        </is>
      </c>
      <c r="O403" s="23" t="inlineStr">
        <is>
          <t>R358-v2</t>
        </is>
      </c>
      <c r="P403" s="23" t="inlineStr"/>
      <c r="Q403" s="23" t="inlineStr"/>
      <c r="R403" s="23" t="inlineStr"/>
      <c r="S403" s="23" t="inlineStr"/>
      <c r="T403" s="23" t="inlineStr"/>
      <c r="U403" s="23" t="inlineStr"/>
      <c r="V403" s="23" t="inlineStr">
        <is>
          <t>WBS Code = 1.2.1</t>
        </is>
      </c>
      <c r="W403" s="23" t="inlineStr"/>
    </row>
    <row r="404" ht="49" customHeight="1">
      <c r="A404" s="23" t="inlineStr">
        <is>
          <t>1.2.1</t>
        </is>
      </c>
      <c r="B404" s="23" t="inlineStr">
        <is>
          <t>Stations - Station Structures</t>
        </is>
      </c>
      <c r="C404" s="23" t="inlineStr">
        <is>
          <t>Contractor Programme</t>
        </is>
      </c>
      <c r="D404" s="23" t="inlineStr">
        <is>
          <t>SCH-02-179</t>
        </is>
      </c>
      <c r="E404" s="23" t="inlineStr">
        <is>
          <t>University Station: architectural wall framing - field start</t>
        </is>
      </c>
      <c r="F404" s="23" t="inlineStr">
        <is>
          <t>ONE_TO_ONE</t>
        </is>
      </c>
      <c r="G404" s="23" t="inlineStr">
        <is>
          <t>RETAINED</t>
        </is>
      </c>
      <c r="H404" s="23" t="inlineStr">
        <is>
          <t>Carried forward</t>
        </is>
      </c>
      <c r="I404" s="23" t="inlineStr">
        <is>
          <t>Source assignment -- not individually reviewed</t>
        </is>
      </c>
      <c r="J404" s="23" t="inlineStr"/>
      <c r="K404" s="23" t="inlineStr">
        <is>
          <t>Source assignment</t>
        </is>
      </c>
      <c r="L404" s="23" t="inlineStr"/>
      <c r="M404" s="23" t="inlineStr">
        <is>
          <t>Contractor Programme Cycle 2</t>
        </is>
      </c>
      <c r="N404" s="23" t="inlineStr">
        <is>
          <t>Rev 1</t>
        </is>
      </c>
      <c r="O404" s="23" t="inlineStr">
        <is>
          <t>R359-v2</t>
        </is>
      </c>
      <c r="P404" s="23" t="inlineStr"/>
      <c r="Q404" s="23" t="inlineStr"/>
      <c r="R404" s="23" t="inlineStr"/>
      <c r="S404" s="23" t="inlineStr"/>
      <c r="T404" s="23" t="inlineStr"/>
      <c r="U404" s="23" t="inlineStr"/>
      <c r="V404" s="23" t="inlineStr">
        <is>
          <t>WBS Code = 1.2.1</t>
        </is>
      </c>
      <c r="W404" s="23" t="inlineStr"/>
    </row>
    <row r="405" ht="64" customHeight="1">
      <c r="A405" s="23" t="inlineStr">
        <is>
          <t>1.2.1</t>
        </is>
      </c>
      <c r="B405" s="23" t="inlineStr">
        <is>
          <t>Stations - Station Structures</t>
        </is>
      </c>
      <c r="C405" s="23" t="inlineStr">
        <is>
          <t>Cost &amp; Forecast Control Accounts</t>
        </is>
      </c>
      <c r="D405" s="23" t="inlineStr">
        <is>
          <t>CST-02-001</t>
        </is>
      </c>
      <c r="E405" s="23" t="inlineStr">
        <is>
          <t>Stations - public realm - allowance</t>
        </is>
      </c>
      <c r="F405" s="23" t="inlineStr">
        <is>
          <t>ONE_TO_ONE</t>
        </is>
      </c>
      <c r="G405" s="23" t="inlineStr">
        <is>
          <t>RETAINED</t>
        </is>
      </c>
      <c r="H405" s="23" t="inlineStr">
        <is>
          <t>Carried forward</t>
        </is>
      </c>
      <c r="I405" s="23" t="inlineStr">
        <is>
          <t>Source assignment -- not individually reviewed</t>
        </is>
      </c>
      <c r="J405" s="23" t="inlineStr"/>
      <c r="K405" s="23" t="inlineStr">
        <is>
          <t>Source assignment</t>
        </is>
      </c>
      <c r="L405" s="23" t="inlineStr"/>
      <c r="M405" s="23" t="inlineStr">
        <is>
          <t>Cost &amp; Forecast Control Accounts Cycle 2</t>
        </is>
      </c>
      <c r="N405" s="23" t="inlineStr">
        <is>
          <t>Rev 1</t>
        </is>
      </c>
      <c r="O405" s="23" t="inlineStr">
        <is>
          <t>R1163-v2</t>
        </is>
      </c>
      <c r="P405" s="23" t="inlineStr"/>
      <c r="Q405" s="23" t="inlineStr"/>
      <c r="R405" s="23" t="inlineStr"/>
      <c r="S405" s="23" t="inlineStr"/>
      <c r="T405" s="23" t="inlineStr"/>
      <c r="U405" s="23" t="inlineStr"/>
      <c r="V405" s="23" t="inlineStr">
        <is>
          <t>Cost Account = CA-2001; WBS Code = 1.2.1</t>
        </is>
      </c>
      <c r="W405" s="23" t="inlineStr"/>
    </row>
    <row r="406" ht="64" customHeight="1">
      <c r="A406" s="23" t="inlineStr">
        <is>
          <t>1.2.1</t>
        </is>
      </c>
      <c r="B406" s="23" t="inlineStr">
        <is>
          <t>Stations - Station Structures</t>
        </is>
      </c>
      <c r="C406" s="23" t="inlineStr">
        <is>
          <t>Cost &amp; Forecast Control Accounts</t>
        </is>
      </c>
      <c r="D406" s="23" t="inlineStr">
        <is>
          <t>CST-02-003</t>
        </is>
      </c>
      <c r="E406" s="23" t="inlineStr">
        <is>
          <t>Stations - building services - field package</t>
        </is>
      </c>
      <c r="F406" s="23" t="inlineStr">
        <is>
          <t>ONE_TO_ONE</t>
        </is>
      </c>
      <c r="G406" s="23" t="inlineStr">
        <is>
          <t>RETAINED</t>
        </is>
      </c>
      <c r="H406" s="23" t="inlineStr">
        <is>
          <t>Carried forward</t>
        </is>
      </c>
      <c r="I406" s="23" t="inlineStr">
        <is>
          <t>Source assignment -- not individually reviewed</t>
        </is>
      </c>
      <c r="J406" s="23" t="inlineStr"/>
      <c r="K406" s="23" t="inlineStr">
        <is>
          <t>Source assignment</t>
        </is>
      </c>
      <c r="L406" s="23" t="inlineStr"/>
      <c r="M406" s="23" t="inlineStr">
        <is>
          <t>Cost &amp; Forecast Control Accounts Cycle 2</t>
        </is>
      </c>
      <c r="N406" s="23" t="inlineStr">
        <is>
          <t>Rev 1</t>
        </is>
      </c>
      <c r="O406" s="23" t="inlineStr">
        <is>
          <t>R1165-v2</t>
        </is>
      </c>
      <c r="P406" s="23" t="inlineStr"/>
      <c r="Q406" s="23" t="inlineStr"/>
      <c r="R406" s="23" t="inlineStr"/>
      <c r="S406" s="23" t="inlineStr"/>
      <c r="T406" s="23" t="inlineStr"/>
      <c r="U406" s="23" t="inlineStr"/>
      <c r="V406" s="23" t="inlineStr">
        <is>
          <t>Cost Account = CA-2003; WBS Code = 1.2.1</t>
        </is>
      </c>
      <c r="W406" s="23" t="inlineStr"/>
    </row>
    <row r="407" ht="64" customHeight="1">
      <c r="A407" s="23" t="inlineStr">
        <is>
          <t>1.2.1</t>
        </is>
      </c>
      <c r="B407" s="23" t="inlineStr">
        <is>
          <t>Stations - Station Structures</t>
        </is>
      </c>
      <c r="C407" s="23" t="inlineStr">
        <is>
          <t>Cost &amp; Forecast Control Accounts</t>
        </is>
      </c>
      <c r="D407" s="23" t="inlineStr">
        <is>
          <t>CST-02-005</t>
        </is>
      </c>
      <c r="E407" s="23" t="inlineStr">
        <is>
          <t>Stations - station structure - professional services</t>
        </is>
      </c>
      <c r="F407" s="23" t="inlineStr">
        <is>
          <t>ONE_TO_ONE</t>
        </is>
      </c>
      <c r="G407" s="23" t="inlineStr">
        <is>
          <t>RETAINED</t>
        </is>
      </c>
      <c r="H407" s="23" t="inlineStr">
        <is>
          <t>Carried forward</t>
        </is>
      </c>
      <c r="I407" s="23" t="inlineStr">
        <is>
          <t>Source assignment -- not individually reviewed</t>
        </is>
      </c>
      <c r="J407" s="23" t="inlineStr"/>
      <c r="K407" s="23" t="inlineStr">
        <is>
          <t>Source assignment</t>
        </is>
      </c>
      <c r="L407" s="23" t="inlineStr"/>
      <c r="M407" s="23" t="inlineStr">
        <is>
          <t>Cost &amp; Forecast Control Accounts Cycle 2</t>
        </is>
      </c>
      <c r="N407" s="23" t="inlineStr">
        <is>
          <t>Rev 1</t>
        </is>
      </c>
      <c r="O407" s="23" t="inlineStr">
        <is>
          <t>R1167-v2</t>
        </is>
      </c>
      <c r="P407" s="23" t="inlineStr"/>
      <c r="Q407" s="23" t="inlineStr"/>
      <c r="R407" s="23" t="inlineStr"/>
      <c r="S407" s="23" t="inlineStr"/>
      <c r="T407" s="23" t="inlineStr"/>
      <c r="U407" s="23" t="inlineStr"/>
      <c r="V407" s="23" t="inlineStr">
        <is>
          <t>Cost Account = CA-2005; WBS Code = 1.2.1</t>
        </is>
      </c>
      <c r="W407" s="23" t="inlineStr"/>
    </row>
    <row r="408" ht="64" customHeight="1">
      <c r="A408" s="23" t="inlineStr">
        <is>
          <t>1.2.1</t>
        </is>
      </c>
      <c r="B408" s="23" t="inlineStr">
        <is>
          <t>Stations - Station Structures</t>
        </is>
      </c>
      <c r="C408" s="23" t="inlineStr">
        <is>
          <t>Cost &amp; Forecast Control Accounts</t>
        </is>
      </c>
      <c r="D408" s="23" t="inlineStr">
        <is>
          <t>CST-02-007</t>
        </is>
      </c>
      <c r="E408" s="23" t="inlineStr">
        <is>
          <t>Stations - public realm - closeout</t>
        </is>
      </c>
      <c r="F408" s="23" t="inlineStr">
        <is>
          <t>ONE_TO_ONE</t>
        </is>
      </c>
      <c r="G408" s="23" t="inlineStr">
        <is>
          <t>RETAINED</t>
        </is>
      </c>
      <c r="H408" s="23" t="inlineStr">
        <is>
          <t>Carried forward</t>
        </is>
      </c>
      <c r="I408" s="23" t="inlineStr">
        <is>
          <t>Source assignment -- not individually reviewed</t>
        </is>
      </c>
      <c r="J408" s="23" t="inlineStr"/>
      <c r="K408" s="23" t="inlineStr">
        <is>
          <t>Source assignment</t>
        </is>
      </c>
      <c r="L408" s="23" t="inlineStr"/>
      <c r="M408" s="23" t="inlineStr">
        <is>
          <t>Cost &amp; Forecast Control Accounts Cycle 2</t>
        </is>
      </c>
      <c r="N408" s="23" t="inlineStr">
        <is>
          <t>Rev 1</t>
        </is>
      </c>
      <c r="O408" s="23" t="inlineStr">
        <is>
          <t>R1169-v2</t>
        </is>
      </c>
      <c r="P408" s="23" t="inlineStr"/>
      <c r="Q408" s="23" t="inlineStr"/>
      <c r="R408" s="23" t="inlineStr"/>
      <c r="S408" s="23" t="inlineStr"/>
      <c r="T408" s="23" t="inlineStr"/>
      <c r="U408" s="23" t="inlineStr"/>
      <c r="V408" s="23" t="inlineStr">
        <is>
          <t>Cost Account = CA-2007; WBS Code = 1.2.1</t>
        </is>
      </c>
      <c r="W408" s="23" t="inlineStr"/>
    </row>
    <row r="409" ht="64" customHeight="1">
      <c r="A409" s="23" t="inlineStr">
        <is>
          <t>1.2.1</t>
        </is>
      </c>
      <c r="B409" s="23" t="inlineStr">
        <is>
          <t>Stations - Station Structures</t>
        </is>
      </c>
      <c r="C409" s="23" t="inlineStr">
        <is>
          <t>Cost &amp; Forecast Control Accounts</t>
        </is>
      </c>
      <c r="D409" s="23" t="inlineStr">
        <is>
          <t>CST-02-009</t>
        </is>
      </c>
      <c r="E409" s="23" t="inlineStr">
        <is>
          <t>Stations - building services - supply and install</t>
        </is>
      </c>
      <c r="F409" s="23" t="inlineStr">
        <is>
          <t>ONE_TO_ONE</t>
        </is>
      </c>
      <c r="G409" s="23" t="inlineStr">
        <is>
          <t>RETAINED</t>
        </is>
      </c>
      <c r="H409" s="23" t="inlineStr">
        <is>
          <t>Carried forward</t>
        </is>
      </c>
      <c r="I409" s="23" t="inlineStr">
        <is>
          <t>Source assignment -- not individually reviewed</t>
        </is>
      </c>
      <c r="J409" s="23" t="inlineStr"/>
      <c r="K409" s="23" t="inlineStr">
        <is>
          <t>Source assignment</t>
        </is>
      </c>
      <c r="L409" s="23" t="inlineStr"/>
      <c r="M409" s="23" t="inlineStr">
        <is>
          <t>Cost &amp; Forecast Control Accounts Cycle 2</t>
        </is>
      </c>
      <c r="N409" s="23" t="inlineStr">
        <is>
          <t>Rev 1</t>
        </is>
      </c>
      <c r="O409" s="23" t="inlineStr">
        <is>
          <t>R1171-v2</t>
        </is>
      </c>
      <c r="P409" s="23" t="inlineStr"/>
      <c r="Q409" s="23" t="inlineStr"/>
      <c r="R409" s="23" t="inlineStr"/>
      <c r="S409" s="23" t="inlineStr"/>
      <c r="T409" s="23" t="inlineStr"/>
      <c r="U409" s="23" t="inlineStr"/>
      <c r="V409" s="23" t="inlineStr">
        <is>
          <t>Cost Account = CA-2009; WBS Code = 1.2.1</t>
        </is>
      </c>
      <c r="W409" s="23" t="inlineStr"/>
    </row>
    <row r="410" ht="64" customHeight="1">
      <c r="A410" s="23" t="inlineStr">
        <is>
          <t>1.2.1</t>
        </is>
      </c>
      <c r="B410" s="23" t="inlineStr">
        <is>
          <t>Stations - Station Structures</t>
        </is>
      </c>
      <c r="C410" s="23" t="inlineStr">
        <is>
          <t>Cost &amp; Forecast Control Accounts</t>
        </is>
      </c>
      <c r="D410" s="23" t="inlineStr">
        <is>
          <t>CST-02-011</t>
        </is>
      </c>
      <c r="E410" s="23" t="inlineStr">
        <is>
          <t>Stations - station structure - allowance</t>
        </is>
      </c>
      <c r="F410" s="23" t="inlineStr">
        <is>
          <t>ONE_TO_ONE</t>
        </is>
      </c>
      <c r="G410" s="23" t="inlineStr">
        <is>
          <t>RETAINED</t>
        </is>
      </c>
      <c r="H410" s="23" t="inlineStr">
        <is>
          <t>Carried forward</t>
        </is>
      </c>
      <c r="I410" s="23" t="inlineStr">
        <is>
          <t>Source assignment -- not individually reviewed</t>
        </is>
      </c>
      <c r="J410" s="23" t="inlineStr"/>
      <c r="K410" s="23" t="inlineStr">
        <is>
          <t>Source assignment</t>
        </is>
      </c>
      <c r="L410" s="23" t="inlineStr"/>
      <c r="M410" s="23" t="inlineStr">
        <is>
          <t>Cost &amp; Forecast Control Accounts Cycle 2</t>
        </is>
      </c>
      <c r="N410" s="23" t="inlineStr">
        <is>
          <t>Rev 1</t>
        </is>
      </c>
      <c r="O410" s="23" t="inlineStr">
        <is>
          <t>R1173-v2</t>
        </is>
      </c>
      <c r="P410" s="23" t="inlineStr"/>
      <c r="Q410" s="23" t="inlineStr"/>
      <c r="R410" s="23" t="inlineStr"/>
      <c r="S410" s="23" t="inlineStr"/>
      <c r="T410" s="23" t="inlineStr"/>
      <c r="U410" s="23" t="inlineStr"/>
      <c r="V410" s="23" t="inlineStr">
        <is>
          <t>Cost Account = CA-2011; WBS Code = 1.2.1</t>
        </is>
      </c>
      <c r="W410" s="23" t="inlineStr"/>
    </row>
    <row r="411" ht="64" customHeight="1">
      <c r="A411" s="23" t="inlineStr">
        <is>
          <t>1.2.1</t>
        </is>
      </c>
      <c r="B411" s="23" t="inlineStr">
        <is>
          <t>Stations - Station Structures</t>
        </is>
      </c>
      <c r="C411" s="23" t="inlineStr">
        <is>
          <t>Cost &amp; Forecast Control Accounts</t>
        </is>
      </c>
      <c r="D411" s="23" t="inlineStr">
        <is>
          <t>CST-02-013</t>
        </is>
      </c>
      <c r="E411" s="23" t="inlineStr">
        <is>
          <t>Stations - public realm - field package</t>
        </is>
      </c>
      <c r="F411" s="23" t="inlineStr">
        <is>
          <t>ONE_TO_ONE</t>
        </is>
      </c>
      <c r="G411" s="23" t="inlineStr">
        <is>
          <t>RETAINED</t>
        </is>
      </c>
      <c r="H411" s="23" t="inlineStr">
        <is>
          <t>Carried forward</t>
        </is>
      </c>
      <c r="I411" s="23" t="inlineStr">
        <is>
          <t>Source assignment -- not individually reviewed</t>
        </is>
      </c>
      <c r="J411" s="23" t="inlineStr"/>
      <c r="K411" s="23" t="inlineStr">
        <is>
          <t>Source assignment</t>
        </is>
      </c>
      <c r="L411" s="23" t="inlineStr"/>
      <c r="M411" s="23" t="inlineStr">
        <is>
          <t>Cost &amp; Forecast Control Accounts Cycle 2</t>
        </is>
      </c>
      <c r="N411" s="23" t="inlineStr">
        <is>
          <t>Rev 1</t>
        </is>
      </c>
      <c r="O411" s="23" t="inlineStr">
        <is>
          <t>R1175-v2</t>
        </is>
      </c>
      <c r="P411" s="23" t="inlineStr"/>
      <c r="Q411" s="23" t="inlineStr"/>
      <c r="R411" s="23" t="inlineStr"/>
      <c r="S411" s="23" t="inlineStr"/>
      <c r="T411" s="23" t="inlineStr"/>
      <c r="U411" s="23" t="inlineStr"/>
      <c r="V411" s="23" t="inlineStr">
        <is>
          <t>Cost Account = CA-2013; WBS Code = 1.2.1</t>
        </is>
      </c>
      <c r="W411" s="23" t="inlineStr"/>
    </row>
    <row r="412" ht="64" customHeight="1">
      <c r="A412" s="23" t="inlineStr">
        <is>
          <t>1.2.1</t>
        </is>
      </c>
      <c r="B412" s="23" t="inlineStr">
        <is>
          <t>Stations - Station Structures</t>
        </is>
      </c>
      <c r="C412" s="23" t="inlineStr">
        <is>
          <t>Cost &amp; Forecast Control Accounts</t>
        </is>
      </c>
      <c r="D412" s="23" t="inlineStr">
        <is>
          <t>CST-02-015</t>
        </is>
      </c>
      <c r="E412" s="23" t="inlineStr">
        <is>
          <t>Stations - building services - professional services</t>
        </is>
      </c>
      <c r="F412" s="23" t="inlineStr">
        <is>
          <t>ONE_TO_ONE</t>
        </is>
      </c>
      <c r="G412" s="23" t="inlineStr">
        <is>
          <t>RETAINED</t>
        </is>
      </c>
      <c r="H412" s="23" t="inlineStr">
        <is>
          <t>Carried forward</t>
        </is>
      </c>
      <c r="I412" s="23" t="inlineStr">
        <is>
          <t>Source assignment -- not individually reviewed</t>
        </is>
      </c>
      <c r="J412" s="23" t="inlineStr"/>
      <c r="K412" s="23" t="inlineStr">
        <is>
          <t>Source assignment</t>
        </is>
      </c>
      <c r="L412" s="23" t="inlineStr"/>
      <c r="M412" s="23" t="inlineStr">
        <is>
          <t>Cost &amp; Forecast Control Accounts Cycle 2</t>
        </is>
      </c>
      <c r="N412" s="23" t="inlineStr">
        <is>
          <t>Rev 1</t>
        </is>
      </c>
      <c r="O412" s="23" t="inlineStr">
        <is>
          <t>R1177-v2</t>
        </is>
      </c>
      <c r="P412" s="23" t="inlineStr"/>
      <c r="Q412" s="23" t="inlineStr"/>
      <c r="R412" s="23" t="inlineStr"/>
      <c r="S412" s="23" t="inlineStr"/>
      <c r="T412" s="23" t="inlineStr"/>
      <c r="U412" s="23" t="inlineStr"/>
      <c r="V412" s="23" t="inlineStr">
        <is>
          <t>Cost Account = CA-2015; WBS Code = 1.2.1</t>
        </is>
      </c>
      <c r="W412" s="23" t="inlineStr"/>
    </row>
    <row r="413" ht="64" customHeight="1">
      <c r="A413" s="23" t="inlineStr">
        <is>
          <t>1.2.1</t>
        </is>
      </c>
      <c r="B413" s="23" t="inlineStr">
        <is>
          <t>Stations - Station Structures</t>
        </is>
      </c>
      <c r="C413" s="23" t="inlineStr">
        <is>
          <t>Cost &amp; Forecast Control Accounts</t>
        </is>
      </c>
      <c r="D413" s="23" t="inlineStr">
        <is>
          <t>CST-02-017</t>
        </is>
      </c>
      <c r="E413" s="23" t="inlineStr">
        <is>
          <t>Stations - station structure - closeout</t>
        </is>
      </c>
      <c r="F413" s="23" t="inlineStr">
        <is>
          <t>ONE_TO_ONE</t>
        </is>
      </c>
      <c r="G413" s="23" t="inlineStr">
        <is>
          <t>RETAINED</t>
        </is>
      </c>
      <c r="H413" s="23" t="inlineStr">
        <is>
          <t>Carried forward</t>
        </is>
      </c>
      <c r="I413" s="23" t="inlineStr">
        <is>
          <t>Source assignment -- not individually reviewed</t>
        </is>
      </c>
      <c r="J413" s="23" t="inlineStr"/>
      <c r="K413" s="23" t="inlineStr">
        <is>
          <t>Source assignment</t>
        </is>
      </c>
      <c r="L413" s="23" t="inlineStr"/>
      <c r="M413" s="23" t="inlineStr">
        <is>
          <t>Cost &amp; Forecast Control Accounts Cycle 2</t>
        </is>
      </c>
      <c r="N413" s="23" t="inlineStr">
        <is>
          <t>Rev 1</t>
        </is>
      </c>
      <c r="O413" s="23" t="inlineStr">
        <is>
          <t>R1179-v2</t>
        </is>
      </c>
      <c r="P413" s="23" t="inlineStr"/>
      <c r="Q413" s="23" t="inlineStr"/>
      <c r="R413" s="23" t="inlineStr"/>
      <c r="S413" s="23" t="inlineStr"/>
      <c r="T413" s="23" t="inlineStr"/>
      <c r="U413" s="23" t="inlineStr"/>
      <c r="V413" s="23" t="inlineStr">
        <is>
          <t>Cost Account = CA-2017; WBS Code = 1.2.1</t>
        </is>
      </c>
      <c r="W413" s="23" t="inlineStr"/>
    </row>
    <row r="414" ht="64" customHeight="1">
      <c r="A414" s="23" t="inlineStr">
        <is>
          <t>1.2.1</t>
        </is>
      </c>
      <c r="B414" s="23" t="inlineStr">
        <is>
          <t>Stations - Station Structures</t>
        </is>
      </c>
      <c r="C414" s="23" t="inlineStr">
        <is>
          <t>Cost &amp; Forecast Control Accounts</t>
        </is>
      </c>
      <c r="D414" s="23" t="inlineStr">
        <is>
          <t>CST-02-019</t>
        </is>
      </c>
      <c r="E414" s="23" t="inlineStr">
        <is>
          <t>Stations - public realm - supply and install</t>
        </is>
      </c>
      <c r="F414" s="23" t="inlineStr">
        <is>
          <t>ONE_TO_ONE</t>
        </is>
      </c>
      <c r="G414" s="23" t="inlineStr">
        <is>
          <t>RETAINED</t>
        </is>
      </c>
      <c r="H414" s="23" t="inlineStr">
        <is>
          <t>Carried forward</t>
        </is>
      </c>
      <c r="I414" s="23" t="inlineStr">
        <is>
          <t>Source assignment -- not individually reviewed</t>
        </is>
      </c>
      <c r="J414" s="23" t="inlineStr"/>
      <c r="K414" s="23" t="inlineStr">
        <is>
          <t>Source assignment</t>
        </is>
      </c>
      <c r="L414" s="23" t="inlineStr"/>
      <c r="M414" s="23" t="inlineStr">
        <is>
          <t>Cost &amp; Forecast Control Accounts Cycle 2</t>
        </is>
      </c>
      <c r="N414" s="23" t="inlineStr">
        <is>
          <t>Rev 1</t>
        </is>
      </c>
      <c r="O414" s="23" t="inlineStr">
        <is>
          <t>R1181-v2</t>
        </is>
      </c>
      <c r="P414" s="23" t="inlineStr"/>
      <c r="Q414" s="23" t="inlineStr"/>
      <c r="R414" s="23" t="inlineStr"/>
      <c r="S414" s="23" t="inlineStr"/>
      <c r="T414" s="23" t="inlineStr"/>
      <c r="U414" s="23" t="inlineStr"/>
      <c r="V414" s="23" t="inlineStr">
        <is>
          <t>Cost Account = CA-2019; WBS Code = 1.2.1</t>
        </is>
      </c>
      <c r="W414" s="23" t="inlineStr"/>
    </row>
    <row r="415" ht="64" customHeight="1">
      <c r="A415" s="23" t="inlineStr">
        <is>
          <t>1.2.1</t>
        </is>
      </c>
      <c r="B415" s="23" t="inlineStr">
        <is>
          <t>Stations - Station Structures</t>
        </is>
      </c>
      <c r="C415" s="23" t="inlineStr">
        <is>
          <t>Cost &amp; Forecast Control Accounts</t>
        </is>
      </c>
      <c r="D415" s="23" t="inlineStr">
        <is>
          <t>CST-02-021</t>
        </is>
      </c>
      <c r="E415" s="23" t="inlineStr">
        <is>
          <t>Stations - building services - allowance</t>
        </is>
      </c>
      <c r="F415" s="23" t="inlineStr">
        <is>
          <t>ONE_TO_ONE</t>
        </is>
      </c>
      <c r="G415" s="23" t="inlineStr">
        <is>
          <t>RETAINED</t>
        </is>
      </c>
      <c r="H415" s="23" t="inlineStr">
        <is>
          <t>Carried forward</t>
        </is>
      </c>
      <c r="I415" s="23" t="inlineStr">
        <is>
          <t>Source assignment -- not individually reviewed</t>
        </is>
      </c>
      <c r="J415" s="23" t="inlineStr"/>
      <c r="K415" s="23" t="inlineStr">
        <is>
          <t>Source assignment</t>
        </is>
      </c>
      <c r="L415" s="23" t="inlineStr"/>
      <c r="M415" s="23" t="inlineStr">
        <is>
          <t>Cost &amp; Forecast Control Accounts Cycle 2</t>
        </is>
      </c>
      <c r="N415" s="23" t="inlineStr">
        <is>
          <t>Rev 1</t>
        </is>
      </c>
      <c r="O415" s="23" t="inlineStr">
        <is>
          <t>R1183-v2</t>
        </is>
      </c>
      <c r="P415" s="23" t="inlineStr"/>
      <c r="Q415" s="23" t="inlineStr"/>
      <c r="R415" s="23" t="inlineStr"/>
      <c r="S415" s="23" t="inlineStr"/>
      <c r="T415" s="23" t="inlineStr"/>
      <c r="U415" s="23" t="inlineStr"/>
      <c r="V415" s="23" t="inlineStr">
        <is>
          <t>Cost Account = CA-2021; WBS Code = 1.2.1</t>
        </is>
      </c>
      <c r="W415" s="23" t="inlineStr"/>
    </row>
    <row r="416" ht="64" customHeight="1">
      <c r="A416" s="23" t="inlineStr">
        <is>
          <t>1.2.1</t>
        </is>
      </c>
      <c r="B416" s="23" t="inlineStr">
        <is>
          <t>Stations - Station Structures</t>
        </is>
      </c>
      <c r="C416" s="23" t="inlineStr">
        <is>
          <t>Cost &amp; Forecast Control Accounts</t>
        </is>
      </c>
      <c r="D416" s="23" t="inlineStr">
        <is>
          <t>CST-02-023</t>
        </is>
      </c>
      <c r="E416" s="23" t="inlineStr">
        <is>
          <t>Stations - station structure - field package</t>
        </is>
      </c>
      <c r="F416" s="23" t="inlineStr">
        <is>
          <t>ONE_TO_ONE</t>
        </is>
      </c>
      <c r="G416" s="23" t="inlineStr">
        <is>
          <t>RETAINED</t>
        </is>
      </c>
      <c r="H416" s="23" t="inlineStr">
        <is>
          <t>Carried forward</t>
        </is>
      </c>
      <c r="I416" s="23" t="inlineStr">
        <is>
          <t>Source assignment -- not individually reviewed</t>
        </is>
      </c>
      <c r="J416" s="23" t="inlineStr"/>
      <c r="K416" s="23" t="inlineStr">
        <is>
          <t>Source assignment</t>
        </is>
      </c>
      <c r="L416" s="23" t="inlineStr"/>
      <c r="M416" s="23" t="inlineStr">
        <is>
          <t>Cost &amp; Forecast Control Accounts Cycle 2</t>
        </is>
      </c>
      <c r="N416" s="23" t="inlineStr">
        <is>
          <t>Rev 1</t>
        </is>
      </c>
      <c r="O416" s="23" t="inlineStr">
        <is>
          <t>R1185-v2</t>
        </is>
      </c>
      <c r="P416" s="23" t="inlineStr"/>
      <c r="Q416" s="23" t="inlineStr"/>
      <c r="R416" s="23" t="inlineStr"/>
      <c r="S416" s="23" t="inlineStr"/>
      <c r="T416" s="23" t="inlineStr"/>
      <c r="U416" s="23" t="inlineStr"/>
      <c r="V416" s="23" t="inlineStr">
        <is>
          <t>Cost Account = CA-2023; WBS Code = 1.2.1</t>
        </is>
      </c>
      <c r="W416" s="23" t="inlineStr"/>
    </row>
    <row r="417" ht="64" customHeight="1">
      <c r="A417" s="23" t="inlineStr">
        <is>
          <t>1.2.1</t>
        </is>
      </c>
      <c r="B417" s="23" t="inlineStr">
        <is>
          <t>Stations - Station Structures</t>
        </is>
      </c>
      <c r="C417" s="23" t="inlineStr">
        <is>
          <t>Cost &amp; Forecast Control Accounts</t>
        </is>
      </c>
      <c r="D417" s="23" t="inlineStr">
        <is>
          <t>CST-02-025</t>
        </is>
      </c>
      <c r="E417" s="23" t="inlineStr">
        <is>
          <t>Stations - public realm - professional services</t>
        </is>
      </c>
      <c r="F417" s="23" t="inlineStr">
        <is>
          <t>ONE_TO_ONE</t>
        </is>
      </c>
      <c r="G417" s="23" t="inlineStr">
        <is>
          <t>RETAINED</t>
        </is>
      </c>
      <c r="H417" s="23" t="inlineStr">
        <is>
          <t>Carried forward</t>
        </is>
      </c>
      <c r="I417" s="23" t="inlineStr">
        <is>
          <t>Source assignment -- not individually reviewed</t>
        </is>
      </c>
      <c r="J417" s="23" t="inlineStr"/>
      <c r="K417" s="23" t="inlineStr">
        <is>
          <t>Source assignment</t>
        </is>
      </c>
      <c r="L417" s="23" t="inlineStr"/>
      <c r="M417" s="23" t="inlineStr">
        <is>
          <t>Cost &amp; Forecast Control Accounts Cycle 2</t>
        </is>
      </c>
      <c r="N417" s="23" t="inlineStr">
        <is>
          <t>Rev 1</t>
        </is>
      </c>
      <c r="O417" s="23" t="inlineStr">
        <is>
          <t>R1187-v2</t>
        </is>
      </c>
      <c r="P417" s="23" t="inlineStr"/>
      <c r="Q417" s="23" t="inlineStr"/>
      <c r="R417" s="23" t="inlineStr"/>
      <c r="S417" s="23" t="inlineStr"/>
      <c r="T417" s="23" t="inlineStr"/>
      <c r="U417" s="23" t="inlineStr"/>
      <c r="V417" s="23" t="inlineStr">
        <is>
          <t>Cost Account = CA-2025; WBS Code = 1.2.1</t>
        </is>
      </c>
      <c r="W417" s="23" t="inlineStr"/>
    </row>
    <row r="418" ht="64" customHeight="1">
      <c r="A418" s="23" t="inlineStr">
        <is>
          <t>1.2.1</t>
        </is>
      </c>
      <c r="B418" s="23" t="inlineStr">
        <is>
          <t>Stations - Station Structures</t>
        </is>
      </c>
      <c r="C418" s="23" t="inlineStr">
        <is>
          <t>Cost &amp; Forecast Control Accounts</t>
        </is>
      </c>
      <c r="D418" s="23" t="inlineStr">
        <is>
          <t>CST-02-027</t>
        </is>
      </c>
      <c r="E418" s="23" t="inlineStr">
        <is>
          <t>Stations - building services - closeout</t>
        </is>
      </c>
      <c r="F418" s="23" t="inlineStr">
        <is>
          <t>ONE_TO_ONE</t>
        </is>
      </c>
      <c r="G418" s="23" t="inlineStr">
        <is>
          <t>RETAINED</t>
        </is>
      </c>
      <c r="H418" s="23" t="inlineStr">
        <is>
          <t>Carried forward</t>
        </is>
      </c>
      <c r="I418" s="23" t="inlineStr">
        <is>
          <t>Source assignment -- not individually reviewed</t>
        </is>
      </c>
      <c r="J418" s="23" t="inlineStr"/>
      <c r="K418" s="23" t="inlineStr">
        <is>
          <t>Source assignment</t>
        </is>
      </c>
      <c r="L418" s="23" t="inlineStr"/>
      <c r="M418" s="23" t="inlineStr">
        <is>
          <t>Cost &amp; Forecast Control Accounts Cycle 2</t>
        </is>
      </c>
      <c r="N418" s="23" t="inlineStr">
        <is>
          <t>Rev 1</t>
        </is>
      </c>
      <c r="O418" s="23" t="inlineStr">
        <is>
          <t>R1189-v2</t>
        </is>
      </c>
      <c r="P418" s="23" t="inlineStr"/>
      <c r="Q418" s="23" t="inlineStr"/>
      <c r="R418" s="23" t="inlineStr"/>
      <c r="S418" s="23" t="inlineStr"/>
      <c r="T418" s="23" t="inlineStr"/>
      <c r="U418" s="23" t="inlineStr"/>
      <c r="V418" s="23" t="inlineStr">
        <is>
          <t>Cost Account = CA-2027; WBS Code = 1.2.1</t>
        </is>
      </c>
      <c r="W418" s="23" t="inlineStr"/>
    </row>
    <row r="419" ht="64" customHeight="1">
      <c r="A419" s="23" t="inlineStr">
        <is>
          <t>1.2.1</t>
        </is>
      </c>
      <c r="B419" s="23" t="inlineStr">
        <is>
          <t>Stations - Station Structures</t>
        </is>
      </c>
      <c r="C419" s="23" t="inlineStr">
        <is>
          <t>Cost &amp; Forecast Control Accounts</t>
        </is>
      </c>
      <c r="D419" s="23" t="inlineStr">
        <is>
          <t>CST-02-029</t>
        </is>
      </c>
      <c r="E419" s="23" t="inlineStr">
        <is>
          <t>Stations - station structure - supply and install</t>
        </is>
      </c>
      <c r="F419" s="23" t="inlineStr">
        <is>
          <t>ONE_TO_ONE</t>
        </is>
      </c>
      <c r="G419" s="23" t="inlineStr">
        <is>
          <t>RETAINED</t>
        </is>
      </c>
      <c r="H419" s="23" t="inlineStr">
        <is>
          <t>Carried forward</t>
        </is>
      </c>
      <c r="I419" s="23" t="inlineStr">
        <is>
          <t>Source assignment -- not individually reviewed</t>
        </is>
      </c>
      <c r="J419" s="23" t="inlineStr"/>
      <c r="K419" s="23" t="inlineStr">
        <is>
          <t>Source assignment</t>
        </is>
      </c>
      <c r="L419" s="23" t="inlineStr"/>
      <c r="M419" s="23" t="inlineStr">
        <is>
          <t>Cost &amp; Forecast Control Accounts Cycle 2</t>
        </is>
      </c>
      <c r="N419" s="23" t="inlineStr">
        <is>
          <t>Rev 1</t>
        </is>
      </c>
      <c r="O419" s="23" t="inlineStr">
        <is>
          <t>R1191-v2</t>
        </is>
      </c>
      <c r="P419" s="23" t="inlineStr"/>
      <c r="Q419" s="23" t="inlineStr"/>
      <c r="R419" s="23" t="inlineStr"/>
      <c r="S419" s="23" t="inlineStr"/>
      <c r="T419" s="23" t="inlineStr"/>
      <c r="U419" s="23" t="inlineStr"/>
      <c r="V419" s="23" t="inlineStr">
        <is>
          <t>Cost Account = CA-2029; WBS Code = 1.2.1</t>
        </is>
      </c>
      <c r="W419" s="23" t="inlineStr"/>
    </row>
    <row r="420" ht="64" customHeight="1">
      <c r="A420" s="23" t="inlineStr">
        <is>
          <t>1.2.1</t>
        </is>
      </c>
      <c r="B420" s="23" t="inlineStr">
        <is>
          <t>Stations - Station Structures</t>
        </is>
      </c>
      <c r="C420" s="23" t="inlineStr">
        <is>
          <t>Cost &amp; Forecast Control Accounts</t>
        </is>
      </c>
      <c r="D420" s="23" t="inlineStr">
        <is>
          <t>CST-02-031</t>
        </is>
      </c>
      <c r="E420" s="23" t="inlineStr">
        <is>
          <t>Stations - public realm - allowance</t>
        </is>
      </c>
      <c r="F420" s="23" t="inlineStr">
        <is>
          <t>ONE_TO_ONE</t>
        </is>
      </c>
      <c r="G420" s="23" t="inlineStr">
        <is>
          <t>RETAINED</t>
        </is>
      </c>
      <c r="H420" s="23" t="inlineStr">
        <is>
          <t>Carried forward</t>
        </is>
      </c>
      <c r="I420" s="23" t="inlineStr">
        <is>
          <t>Source assignment -- not individually reviewed</t>
        </is>
      </c>
      <c r="J420" s="23" t="inlineStr"/>
      <c r="K420" s="23" t="inlineStr">
        <is>
          <t>Source assignment</t>
        </is>
      </c>
      <c r="L420" s="23" t="inlineStr"/>
      <c r="M420" s="23" t="inlineStr">
        <is>
          <t>Cost &amp; Forecast Control Accounts Cycle 2</t>
        </is>
      </c>
      <c r="N420" s="23" t="inlineStr">
        <is>
          <t>Rev 1</t>
        </is>
      </c>
      <c r="O420" s="23" t="inlineStr">
        <is>
          <t>R1193-v2</t>
        </is>
      </c>
      <c r="P420" s="23" t="inlineStr"/>
      <c r="Q420" s="23" t="inlineStr"/>
      <c r="R420" s="23" t="inlineStr"/>
      <c r="S420" s="23" t="inlineStr"/>
      <c r="T420" s="23" t="inlineStr"/>
      <c r="U420" s="23" t="inlineStr"/>
      <c r="V420" s="23" t="inlineStr">
        <is>
          <t>Cost Account = CA-2031; WBS Code = 1.2.1</t>
        </is>
      </c>
      <c r="W420" s="23" t="inlineStr"/>
    </row>
    <row r="421" ht="64" customHeight="1">
      <c r="A421" s="23" t="inlineStr">
        <is>
          <t>1.2.1</t>
        </is>
      </c>
      <c r="B421" s="23" t="inlineStr">
        <is>
          <t>Stations - Station Structures</t>
        </is>
      </c>
      <c r="C421" s="23" t="inlineStr">
        <is>
          <t>Cost &amp; Forecast Control Accounts</t>
        </is>
      </c>
      <c r="D421" s="23" t="inlineStr">
        <is>
          <t>CST-02-033</t>
        </is>
      </c>
      <c r="E421" s="23" t="inlineStr">
        <is>
          <t>Stations - building services - field package</t>
        </is>
      </c>
      <c r="F421" s="23" t="inlineStr">
        <is>
          <t>ONE_TO_ONE</t>
        </is>
      </c>
      <c r="G421" s="23" t="inlineStr">
        <is>
          <t>RETAINED</t>
        </is>
      </c>
      <c r="H421" s="23" t="inlineStr">
        <is>
          <t>Carried forward</t>
        </is>
      </c>
      <c r="I421" s="23" t="inlineStr">
        <is>
          <t>Source assignment -- not individually reviewed</t>
        </is>
      </c>
      <c r="J421" s="23" t="inlineStr"/>
      <c r="K421" s="23" t="inlineStr">
        <is>
          <t>Source assignment</t>
        </is>
      </c>
      <c r="L421" s="23" t="inlineStr"/>
      <c r="M421" s="23" t="inlineStr">
        <is>
          <t>Cost &amp; Forecast Control Accounts Cycle 2</t>
        </is>
      </c>
      <c r="N421" s="23" t="inlineStr">
        <is>
          <t>Rev 1</t>
        </is>
      </c>
      <c r="O421" s="23" t="inlineStr">
        <is>
          <t>R1195-v2</t>
        </is>
      </c>
      <c r="P421" s="23" t="inlineStr"/>
      <c r="Q421" s="23" t="inlineStr"/>
      <c r="R421" s="23" t="inlineStr"/>
      <c r="S421" s="23" t="inlineStr"/>
      <c r="T421" s="23" t="inlineStr"/>
      <c r="U421" s="23" t="inlineStr"/>
      <c r="V421" s="23" t="inlineStr">
        <is>
          <t>Cost Account = CA-2033; WBS Code = 1.2.1</t>
        </is>
      </c>
      <c r="W421" s="23" t="inlineStr"/>
    </row>
    <row r="422" ht="64" customHeight="1">
      <c r="A422" s="23" t="inlineStr">
        <is>
          <t>1.2.1</t>
        </is>
      </c>
      <c r="B422" s="23" t="inlineStr">
        <is>
          <t>Stations - Station Structures</t>
        </is>
      </c>
      <c r="C422" s="23" t="inlineStr">
        <is>
          <t>Cost &amp; Forecast Control Accounts</t>
        </is>
      </c>
      <c r="D422" s="23" t="inlineStr">
        <is>
          <t>CST-02-035</t>
        </is>
      </c>
      <c r="E422" s="23" t="inlineStr">
        <is>
          <t>Stations - station structure - professional services</t>
        </is>
      </c>
      <c r="F422" s="23" t="inlineStr">
        <is>
          <t>ONE_TO_ONE</t>
        </is>
      </c>
      <c r="G422" s="23" t="inlineStr">
        <is>
          <t>RETAINED</t>
        </is>
      </c>
      <c r="H422" s="23" t="inlineStr">
        <is>
          <t>Carried forward</t>
        </is>
      </c>
      <c r="I422" s="23" t="inlineStr">
        <is>
          <t>Source assignment -- not individually reviewed</t>
        </is>
      </c>
      <c r="J422" s="23" t="inlineStr"/>
      <c r="K422" s="23" t="inlineStr">
        <is>
          <t>Source assignment</t>
        </is>
      </c>
      <c r="L422" s="23" t="inlineStr"/>
      <c r="M422" s="23" t="inlineStr">
        <is>
          <t>Cost &amp; Forecast Control Accounts Cycle 2</t>
        </is>
      </c>
      <c r="N422" s="23" t="inlineStr">
        <is>
          <t>Rev 1</t>
        </is>
      </c>
      <c r="O422" s="23" t="inlineStr">
        <is>
          <t>R1197-v2</t>
        </is>
      </c>
      <c r="P422" s="23" t="inlineStr"/>
      <c r="Q422" s="23" t="inlineStr"/>
      <c r="R422" s="23" t="inlineStr"/>
      <c r="S422" s="23" t="inlineStr"/>
      <c r="T422" s="23" t="inlineStr"/>
      <c r="U422" s="23" t="inlineStr"/>
      <c r="V422" s="23" t="inlineStr">
        <is>
          <t>Cost Account = CA-2035; WBS Code = 1.2.1</t>
        </is>
      </c>
      <c r="W422" s="23" t="inlineStr"/>
    </row>
    <row r="423" ht="64" customHeight="1">
      <c r="A423" s="23" t="inlineStr">
        <is>
          <t>1.2.1</t>
        </is>
      </c>
      <c r="B423" s="23" t="inlineStr">
        <is>
          <t>Stations - Station Structures</t>
        </is>
      </c>
      <c r="C423" s="23" t="inlineStr">
        <is>
          <t>Cost &amp; Forecast Control Accounts</t>
        </is>
      </c>
      <c r="D423" s="23" t="inlineStr">
        <is>
          <t>CST-02-037</t>
        </is>
      </c>
      <c r="E423" s="23" t="inlineStr">
        <is>
          <t>Stations - public realm - closeout</t>
        </is>
      </c>
      <c r="F423" s="23" t="inlineStr">
        <is>
          <t>ONE_TO_ONE</t>
        </is>
      </c>
      <c r="G423" s="23" t="inlineStr">
        <is>
          <t>RETAINED</t>
        </is>
      </c>
      <c r="H423" s="23" t="inlineStr">
        <is>
          <t>Carried forward</t>
        </is>
      </c>
      <c r="I423" s="23" t="inlineStr">
        <is>
          <t>Source assignment -- not individually reviewed</t>
        </is>
      </c>
      <c r="J423" s="23" t="inlineStr"/>
      <c r="K423" s="23" t="inlineStr">
        <is>
          <t>Source assignment</t>
        </is>
      </c>
      <c r="L423" s="23" t="inlineStr"/>
      <c r="M423" s="23" t="inlineStr">
        <is>
          <t>Cost &amp; Forecast Control Accounts Cycle 2</t>
        </is>
      </c>
      <c r="N423" s="23" t="inlineStr">
        <is>
          <t>Rev 1</t>
        </is>
      </c>
      <c r="O423" s="23" t="inlineStr">
        <is>
          <t>R1199-v2</t>
        </is>
      </c>
      <c r="P423" s="23" t="inlineStr"/>
      <c r="Q423" s="23" t="inlineStr"/>
      <c r="R423" s="23" t="inlineStr"/>
      <c r="S423" s="23" t="inlineStr"/>
      <c r="T423" s="23" t="inlineStr"/>
      <c r="U423" s="23" t="inlineStr"/>
      <c r="V423" s="23" t="inlineStr">
        <is>
          <t>Cost Account = CA-2037; WBS Code = 1.2.1</t>
        </is>
      </c>
      <c r="W423" s="23" t="inlineStr"/>
    </row>
    <row r="424" ht="64" customHeight="1">
      <c r="A424" s="23" t="inlineStr">
        <is>
          <t>1.2.1</t>
        </is>
      </c>
      <c r="B424" s="23" t="inlineStr">
        <is>
          <t>Stations - Station Structures</t>
        </is>
      </c>
      <c r="C424" s="23" t="inlineStr">
        <is>
          <t>Cost &amp; Forecast Control Accounts</t>
        </is>
      </c>
      <c r="D424" s="23" t="inlineStr">
        <is>
          <t>CST-02-039</t>
        </is>
      </c>
      <c r="E424" s="23" t="inlineStr">
        <is>
          <t>Stations - building services - supply and install</t>
        </is>
      </c>
      <c r="F424" s="23" t="inlineStr">
        <is>
          <t>ONE_TO_ONE</t>
        </is>
      </c>
      <c r="G424" s="23" t="inlineStr">
        <is>
          <t>RETAINED</t>
        </is>
      </c>
      <c r="H424" s="23" t="inlineStr">
        <is>
          <t>Carried forward</t>
        </is>
      </c>
      <c r="I424" s="23" t="inlineStr">
        <is>
          <t>Source assignment -- not individually reviewed</t>
        </is>
      </c>
      <c r="J424" s="23" t="inlineStr"/>
      <c r="K424" s="23" t="inlineStr">
        <is>
          <t>Source assignment</t>
        </is>
      </c>
      <c r="L424" s="23" t="inlineStr"/>
      <c r="M424" s="23" t="inlineStr">
        <is>
          <t>Cost &amp; Forecast Control Accounts Cycle 2</t>
        </is>
      </c>
      <c r="N424" s="23" t="inlineStr">
        <is>
          <t>Rev 1</t>
        </is>
      </c>
      <c r="O424" s="23" t="inlineStr">
        <is>
          <t>R1201-v2</t>
        </is>
      </c>
      <c r="P424" s="23" t="inlineStr"/>
      <c r="Q424" s="23" t="inlineStr"/>
      <c r="R424" s="23" t="inlineStr"/>
      <c r="S424" s="23" t="inlineStr"/>
      <c r="T424" s="23" t="inlineStr"/>
      <c r="U424" s="23" t="inlineStr"/>
      <c r="V424" s="23" t="inlineStr">
        <is>
          <t>Cost Account = CA-2039; WBS Code = 1.2.1</t>
        </is>
      </c>
      <c r="W424" s="23" t="inlineStr"/>
    </row>
    <row r="425" ht="64" customHeight="1">
      <c r="A425" s="23" t="inlineStr">
        <is>
          <t>1.2.1</t>
        </is>
      </c>
      <c r="B425" s="23" t="inlineStr">
        <is>
          <t>Stations - Station Structures</t>
        </is>
      </c>
      <c r="C425" s="23" t="inlineStr">
        <is>
          <t>Cost &amp; Forecast Control Accounts</t>
        </is>
      </c>
      <c r="D425" s="23" t="inlineStr">
        <is>
          <t>CST-02-041</t>
        </is>
      </c>
      <c r="E425" s="23" t="inlineStr">
        <is>
          <t>Stations - station structure - allowance</t>
        </is>
      </c>
      <c r="F425" s="23" t="inlineStr">
        <is>
          <t>ONE_TO_ONE</t>
        </is>
      </c>
      <c r="G425" s="23" t="inlineStr">
        <is>
          <t>RETAINED</t>
        </is>
      </c>
      <c r="H425" s="23" t="inlineStr">
        <is>
          <t>Carried forward</t>
        </is>
      </c>
      <c r="I425" s="23" t="inlineStr">
        <is>
          <t>Source assignment -- not individually reviewed</t>
        </is>
      </c>
      <c r="J425" s="23" t="inlineStr"/>
      <c r="K425" s="23" t="inlineStr">
        <is>
          <t>Source assignment</t>
        </is>
      </c>
      <c r="L425" s="23" t="inlineStr"/>
      <c r="M425" s="23" t="inlineStr">
        <is>
          <t>Cost &amp; Forecast Control Accounts Cycle 2</t>
        </is>
      </c>
      <c r="N425" s="23" t="inlineStr">
        <is>
          <t>Rev 1</t>
        </is>
      </c>
      <c r="O425" s="23" t="inlineStr">
        <is>
          <t>R1203-v2</t>
        </is>
      </c>
      <c r="P425" s="23" t="inlineStr"/>
      <c r="Q425" s="23" t="inlineStr"/>
      <c r="R425" s="23" t="inlineStr"/>
      <c r="S425" s="23" t="inlineStr"/>
      <c r="T425" s="23" t="inlineStr"/>
      <c r="U425" s="23" t="inlineStr"/>
      <c r="V425" s="23" t="inlineStr">
        <is>
          <t>Cost Account = CA-2041; WBS Code = 1.2.1</t>
        </is>
      </c>
      <c r="W425" s="23" t="inlineStr"/>
    </row>
    <row r="426" ht="64" customHeight="1">
      <c r="A426" s="23" t="inlineStr">
        <is>
          <t>1.2.1</t>
        </is>
      </c>
      <c r="B426" s="23" t="inlineStr">
        <is>
          <t>Stations - Station Structures</t>
        </is>
      </c>
      <c r="C426" s="23" t="inlineStr">
        <is>
          <t>Cost &amp; Forecast Control Accounts</t>
        </is>
      </c>
      <c r="D426" s="23" t="inlineStr">
        <is>
          <t>CST-02-043</t>
        </is>
      </c>
      <c r="E426" s="23" t="inlineStr">
        <is>
          <t>Stations - public realm - field package</t>
        </is>
      </c>
      <c r="F426" s="23" t="inlineStr">
        <is>
          <t>ONE_TO_ONE</t>
        </is>
      </c>
      <c r="G426" s="23" t="inlineStr">
        <is>
          <t>RETAINED</t>
        </is>
      </c>
      <c r="H426" s="23" t="inlineStr">
        <is>
          <t>Carried forward</t>
        </is>
      </c>
      <c r="I426" s="23" t="inlineStr">
        <is>
          <t>Source assignment -- not individually reviewed</t>
        </is>
      </c>
      <c r="J426" s="23" t="inlineStr"/>
      <c r="K426" s="23" t="inlineStr">
        <is>
          <t>Source assignment</t>
        </is>
      </c>
      <c r="L426" s="23" t="inlineStr"/>
      <c r="M426" s="23" t="inlineStr">
        <is>
          <t>Cost &amp; Forecast Control Accounts Cycle 2</t>
        </is>
      </c>
      <c r="N426" s="23" t="inlineStr">
        <is>
          <t>Rev 1</t>
        </is>
      </c>
      <c r="O426" s="23" t="inlineStr">
        <is>
          <t>R1205-v2</t>
        </is>
      </c>
      <c r="P426" s="23" t="inlineStr"/>
      <c r="Q426" s="23" t="inlineStr"/>
      <c r="R426" s="23" t="inlineStr"/>
      <c r="S426" s="23" t="inlineStr"/>
      <c r="T426" s="23" t="inlineStr"/>
      <c r="U426" s="23" t="inlineStr"/>
      <c r="V426" s="23" t="inlineStr">
        <is>
          <t>Cost Account = CA-2043; WBS Code = 1.2.1</t>
        </is>
      </c>
      <c r="W426" s="23" t="inlineStr"/>
    </row>
    <row r="427" ht="64" customHeight="1">
      <c r="A427" s="23" t="inlineStr">
        <is>
          <t>1.2.1</t>
        </is>
      </c>
      <c r="B427" s="23" t="inlineStr">
        <is>
          <t>Stations - Station Structures</t>
        </is>
      </c>
      <c r="C427" s="23" t="inlineStr">
        <is>
          <t>Cost &amp; Forecast Control Accounts</t>
        </is>
      </c>
      <c r="D427" s="23" t="inlineStr">
        <is>
          <t>CST-02-045</t>
        </is>
      </c>
      <c r="E427" s="23" t="inlineStr">
        <is>
          <t>Stations - building services - professional services</t>
        </is>
      </c>
      <c r="F427" s="23" t="inlineStr">
        <is>
          <t>ONE_TO_ONE</t>
        </is>
      </c>
      <c r="G427" s="23" t="inlineStr">
        <is>
          <t>RETAINED</t>
        </is>
      </c>
      <c r="H427" s="23" t="inlineStr">
        <is>
          <t>Carried forward</t>
        </is>
      </c>
      <c r="I427" s="23" t="inlineStr">
        <is>
          <t>Source assignment -- not individually reviewed</t>
        </is>
      </c>
      <c r="J427" s="23" t="inlineStr"/>
      <c r="K427" s="23" t="inlineStr">
        <is>
          <t>Source assignment</t>
        </is>
      </c>
      <c r="L427" s="23" t="inlineStr"/>
      <c r="M427" s="23" t="inlineStr">
        <is>
          <t>Cost &amp; Forecast Control Accounts Cycle 2</t>
        </is>
      </c>
      <c r="N427" s="23" t="inlineStr">
        <is>
          <t>Rev 1</t>
        </is>
      </c>
      <c r="O427" s="23" t="inlineStr">
        <is>
          <t>R1207-v2</t>
        </is>
      </c>
      <c r="P427" s="23" t="inlineStr"/>
      <c r="Q427" s="23" t="inlineStr"/>
      <c r="R427" s="23" t="inlineStr"/>
      <c r="S427" s="23" t="inlineStr"/>
      <c r="T427" s="23" t="inlineStr"/>
      <c r="U427" s="23" t="inlineStr"/>
      <c r="V427" s="23" t="inlineStr">
        <is>
          <t>Cost Account = CA-2045; WBS Code = 1.2.1</t>
        </is>
      </c>
      <c r="W427" s="23" t="inlineStr"/>
    </row>
    <row r="428" ht="64" customHeight="1">
      <c r="A428" s="23" t="inlineStr">
        <is>
          <t>1.2.1</t>
        </is>
      </c>
      <c r="B428" s="23" t="inlineStr">
        <is>
          <t>Stations - Station Structures</t>
        </is>
      </c>
      <c r="C428" s="23" t="inlineStr">
        <is>
          <t>Cost &amp; Forecast Control Accounts</t>
        </is>
      </c>
      <c r="D428" s="23" t="inlineStr">
        <is>
          <t>CST-02-047</t>
        </is>
      </c>
      <c r="E428" s="23" t="inlineStr">
        <is>
          <t>Stations - station structure - closeout</t>
        </is>
      </c>
      <c r="F428" s="23" t="inlineStr">
        <is>
          <t>ONE_TO_ONE</t>
        </is>
      </c>
      <c r="G428" s="23" t="inlineStr">
        <is>
          <t>RETAINED</t>
        </is>
      </c>
      <c r="H428" s="23" t="inlineStr">
        <is>
          <t>Carried forward</t>
        </is>
      </c>
      <c r="I428" s="23" t="inlineStr">
        <is>
          <t>Source assignment -- not individually reviewed</t>
        </is>
      </c>
      <c r="J428" s="23" t="inlineStr"/>
      <c r="K428" s="23" t="inlineStr">
        <is>
          <t>Source assignment</t>
        </is>
      </c>
      <c r="L428" s="23" t="inlineStr"/>
      <c r="M428" s="23" t="inlineStr">
        <is>
          <t>Cost &amp; Forecast Control Accounts Cycle 2</t>
        </is>
      </c>
      <c r="N428" s="23" t="inlineStr">
        <is>
          <t>Rev 1</t>
        </is>
      </c>
      <c r="O428" s="23" t="inlineStr">
        <is>
          <t>R1209-v2</t>
        </is>
      </c>
      <c r="P428" s="23" t="inlineStr"/>
      <c r="Q428" s="23" t="inlineStr"/>
      <c r="R428" s="23" t="inlineStr"/>
      <c r="S428" s="23" t="inlineStr"/>
      <c r="T428" s="23" t="inlineStr"/>
      <c r="U428" s="23" t="inlineStr"/>
      <c r="V428" s="23" t="inlineStr">
        <is>
          <t>Cost Account = CA-2047; WBS Code = 1.2.1</t>
        </is>
      </c>
      <c r="W428" s="23" t="inlineStr"/>
    </row>
    <row r="429" ht="64" customHeight="1">
      <c r="A429" s="23" t="inlineStr">
        <is>
          <t>1.2.1</t>
        </is>
      </c>
      <c r="B429" s="23" t="inlineStr">
        <is>
          <t>Stations - Station Structures</t>
        </is>
      </c>
      <c r="C429" s="23" t="inlineStr">
        <is>
          <t>Cost &amp; Forecast Control Accounts</t>
        </is>
      </c>
      <c r="D429" s="23" t="inlineStr">
        <is>
          <t>CST-02-049</t>
        </is>
      </c>
      <c r="E429" s="23" t="inlineStr">
        <is>
          <t>Stations - public realm - supply and install</t>
        </is>
      </c>
      <c r="F429" s="23" t="inlineStr">
        <is>
          <t>ONE_TO_ONE</t>
        </is>
      </c>
      <c r="G429" s="23" t="inlineStr">
        <is>
          <t>RETAINED</t>
        </is>
      </c>
      <c r="H429" s="23" t="inlineStr">
        <is>
          <t>Carried forward</t>
        </is>
      </c>
      <c r="I429" s="23" t="inlineStr">
        <is>
          <t>Source assignment -- not individually reviewed</t>
        </is>
      </c>
      <c r="J429" s="23" t="inlineStr"/>
      <c r="K429" s="23" t="inlineStr">
        <is>
          <t>Source assignment</t>
        </is>
      </c>
      <c r="L429" s="23" t="inlineStr"/>
      <c r="M429" s="23" t="inlineStr">
        <is>
          <t>Cost &amp; Forecast Control Accounts Cycle 2</t>
        </is>
      </c>
      <c r="N429" s="23" t="inlineStr">
        <is>
          <t>Rev 1</t>
        </is>
      </c>
      <c r="O429" s="23" t="inlineStr">
        <is>
          <t>R1211-v2</t>
        </is>
      </c>
      <c r="P429" s="23" t="inlineStr"/>
      <c r="Q429" s="23" t="inlineStr"/>
      <c r="R429" s="23" t="inlineStr"/>
      <c r="S429" s="23" t="inlineStr"/>
      <c r="T429" s="23" t="inlineStr"/>
      <c r="U429" s="23" t="inlineStr"/>
      <c r="V429" s="23" t="inlineStr">
        <is>
          <t>Cost Account = CA-2049; WBS Code = 1.2.1</t>
        </is>
      </c>
      <c r="W429" s="23" t="inlineStr"/>
    </row>
    <row r="430" ht="64" customHeight="1">
      <c r="A430" s="23" t="inlineStr">
        <is>
          <t>1.2.1</t>
        </is>
      </c>
      <c r="B430" s="23" t="inlineStr">
        <is>
          <t>Stations - Station Structures</t>
        </is>
      </c>
      <c r="C430" s="23" t="inlineStr">
        <is>
          <t>Cost &amp; Forecast Control Accounts</t>
        </is>
      </c>
      <c r="D430" s="23" t="inlineStr">
        <is>
          <t>CST-02-051</t>
        </is>
      </c>
      <c r="E430" s="23" t="inlineStr">
        <is>
          <t>Stations - building services - allowance</t>
        </is>
      </c>
      <c r="F430" s="23" t="inlineStr">
        <is>
          <t>ONE_TO_ONE</t>
        </is>
      </c>
      <c r="G430" s="23" t="inlineStr">
        <is>
          <t>RETAINED</t>
        </is>
      </c>
      <c r="H430" s="23" t="inlineStr">
        <is>
          <t>Carried forward</t>
        </is>
      </c>
      <c r="I430" s="23" t="inlineStr">
        <is>
          <t>Source assignment -- not individually reviewed</t>
        </is>
      </c>
      <c r="J430" s="23" t="inlineStr"/>
      <c r="K430" s="23" t="inlineStr">
        <is>
          <t>Source assignment</t>
        </is>
      </c>
      <c r="L430" s="23" t="inlineStr"/>
      <c r="M430" s="23" t="inlineStr">
        <is>
          <t>Cost &amp; Forecast Control Accounts Cycle 2</t>
        </is>
      </c>
      <c r="N430" s="23" t="inlineStr">
        <is>
          <t>Rev 1</t>
        </is>
      </c>
      <c r="O430" s="23" t="inlineStr">
        <is>
          <t>R1213-v2</t>
        </is>
      </c>
      <c r="P430" s="23" t="inlineStr"/>
      <c r="Q430" s="23" t="inlineStr"/>
      <c r="R430" s="23" t="inlineStr"/>
      <c r="S430" s="23" t="inlineStr"/>
      <c r="T430" s="23" t="inlineStr"/>
      <c r="U430" s="23" t="inlineStr"/>
      <c r="V430" s="23" t="inlineStr">
        <is>
          <t>Cost Account = CA-2051; WBS Code = 1.2.1</t>
        </is>
      </c>
      <c r="W430" s="23" t="inlineStr"/>
    </row>
    <row r="431" ht="64" customHeight="1">
      <c r="A431" s="23" t="inlineStr">
        <is>
          <t>1.2.1</t>
        </is>
      </c>
      <c r="B431" s="23" t="inlineStr">
        <is>
          <t>Stations - Station Structures</t>
        </is>
      </c>
      <c r="C431" s="23" t="inlineStr">
        <is>
          <t>Cost &amp; Forecast Control Accounts</t>
        </is>
      </c>
      <c r="D431" s="23" t="inlineStr">
        <is>
          <t>CST-02-053</t>
        </is>
      </c>
      <c r="E431" s="23" t="inlineStr">
        <is>
          <t>Stations - station structure - field package</t>
        </is>
      </c>
      <c r="F431" s="23" t="inlineStr">
        <is>
          <t>ONE_TO_ONE</t>
        </is>
      </c>
      <c r="G431" s="23" t="inlineStr">
        <is>
          <t>RETAINED</t>
        </is>
      </c>
      <c r="H431" s="23" t="inlineStr">
        <is>
          <t>Carried forward</t>
        </is>
      </c>
      <c r="I431" s="23" t="inlineStr">
        <is>
          <t>Source assignment -- not individually reviewed</t>
        </is>
      </c>
      <c r="J431" s="23" t="inlineStr"/>
      <c r="K431" s="23" t="inlineStr">
        <is>
          <t>Source assignment</t>
        </is>
      </c>
      <c r="L431" s="23" t="inlineStr"/>
      <c r="M431" s="23" t="inlineStr">
        <is>
          <t>Cost &amp; Forecast Control Accounts Cycle 2</t>
        </is>
      </c>
      <c r="N431" s="23" t="inlineStr">
        <is>
          <t>Rev 1</t>
        </is>
      </c>
      <c r="O431" s="23" t="inlineStr">
        <is>
          <t>R1215-v2</t>
        </is>
      </c>
      <c r="P431" s="23" t="inlineStr"/>
      <c r="Q431" s="23" t="inlineStr"/>
      <c r="R431" s="23" t="inlineStr"/>
      <c r="S431" s="23" t="inlineStr"/>
      <c r="T431" s="23" t="inlineStr"/>
      <c r="U431" s="23" t="inlineStr"/>
      <c r="V431" s="23" t="inlineStr">
        <is>
          <t>Cost Account = CA-2053; WBS Code = 1.2.1</t>
        </is>
      </c>
      <c r="W431" s="23" t="inlineStr"/>
    </row>
    <row r="432" ht="64" customHeight="1">
      <c r="A432" s="23" t="inlineStr">
        <is>
          <t>1.2.1</t>
        </is>
      </c>
      <c r="B432" s="23" t="inlineStr">
        <is>
          <t>Stations - Station Structures</t>
        </is>
      </c>
      <c r="C432" s="23" t="inlineStr">
        <is>
          <t>Cost &amp; Forecast Control Accounts</t>
        </is>
      </c>
      <c r="D432" s="23" t="inlineStr">
        <is>
          <t>CST-02-055</t>
        </is>
      </c>
      <c r="E432" s="23" t="inlineStr">
        <is>
          <t>Stations - public realm - professional services</t>
        </is>
      </c>
      <c r="F432" s="23" t="inlineStr">
        <is>
          <t>ONE_TO_ONE</t>
        </is>
      </c>
      <c r="G432" s="23" t="inlineStr">
        <is>
          <t>RETAINED</t>
        </is>
      </c>
      <c r="H432" s="23" t="inlineStr">
        <is>
          <t>Carried forward</t>
        </is>
      </c>
      <c r="I432" s="23" t="inlineStr">
        <is>
          <t>Source assignment -- not individually reviewed</t>
        </is>
      </c>
      <c r="J432" s="23" t="inlineStr"/>
      <c r="K432" s="23" t="inlineStr">
        <is>
          <t>Source assignment</t>
        </is>
      </c>
      <c r="L432" s="23" t="inlineStr"/>
      <c r="M432" s="23" t="inlineStr">
        <is>
          <t>Cost &amp; Forecast Control Accounts Cycle 2</t>
        </is>
      </c>
      <c r="N432" s="23" t="inlineStr">
        <is>
          <t>Rev 1</t>
        </is>
      </c>
      <c r="O432" s="23" t="inlineStr">
        <is>
          <t>R1217-v2</t>
        </is>
      </c>
      <c r="P432" s="23" t="inlineStr"/>
      <c r="Q432" s="23" t="inlineStr"/>
      <c r="R432" s="23" t="inlineStr"/>
      <c r="S432" s="23" t="inlineStr"/>
      <c r="T432" s="23" t="inlineStr"/>
      <c r="U432" s="23" t="inlineStr"/>
      <c r="V432" s="23" t="inlineStr">
        <is>
          <t>Cost Account = CA-2055; WBS Code = 1.2.1</t>
        </is>
      </c>
      <c r="W432" s="23" t="inlineStr"/>
    </row>
    <row r="433" ht="64" customHeight="1">
      <c r="A433" s="23" t="inlineStr">
        <is>
          <t>1.2.1</t>
        </is>
      </c>
      <c r="B433" s="23" t="inlineStr">
        <is>
          <t>Stations - Station Structures</t>
        </is>
      </c>
      <c r="C433" s="23" t="inlineStr">
        <is>
          <t>Cost &amp; Forecast Control Accounts</t>
        </is>
      </c>
      <c r="D433" s="23" t="inlineStr">
        <is>
          <t>CST-02-057</t>
        </is>
      </c>
      <c r="E433" s="23" t="inlineStr">
        <is>
          <t>Stations - building services - closeout</t>
        </is>
      </c>
      <c r="F433" s="23" t="inlineStr">
        <is>
          <t>ONE_TO_ONE</t>
        </is>
      </c>
      <c r="G433" s="23" t="inlineStr">
        <is>
          <t>RETAINED</t>
        </is>
      </c>
      <c r="H433" s="23" t="inlineStr">
        <is>
          <t>Carried forward</t>
        </is>
      </c>
      <c r="I433" s="23" t="inlineStr">
        <is>
          <t>Source assignment -- not individually reviewed</t>
        </is>
      </c>
      <c r="J433" s="23" t="inlineStr"/>
      <c r="K433" s="23" t="inlineStr">
        <is>
          <t>Source assignment</t>
        </is>
      </c>
      <c r="L433" s="23" t="inlineStr"/>
      <c r="M433" s="23" t="inlineStr">
        <is>
          <t>Cost &amp; Forecast Control Accounts Cycle 2</t>
        </is>
      </c>
      <c r="N433" s="23" t="inlineStr">
        <is>
          <t>Rev 1</t>
        </is>
      </c>
      <c r="O433" s="23" t="inlineStr">
        <is>
          <t>R1219-v2</t>
        </is>
      </c>
      <c r="P433" s="23" t="inlineStr"/>
      <c r="Q433" s="23" t="inlineStr"/>
      <c r="R433" s="23" t="inlineStr"/>
      <c r="S433" s="23" t="inlineStr"/>
      <c r="T433" s="23" t="inlineStr"/>
      <c r="U433" s="23" t="inlineStr"/>
      <c r="V433" s="23" t="inlineStr">
        <is>
          <t>Cost Account = CA-2057; WBS Code = 1.2.1</t>
        </is>
      </c>
      <c r="W433" s="23" t="inlineStr"/>
    </row>
    <row r="434" ht="64" customHeight="1">
      <c r="A434" s="23" t="inlineStr">
        <is>
          <t>1.2.1</t>
        </is>
      </c>
      <c r="B434" s="23" t="inlineStr">
        <is>
          <t>Stations - Station Structures</t>
        </is>
      </c>
      <c r="C434" s="23" t="inlineStr">
        <is>
          <t>Cost &amp; Forecast Control Accounts</t>
        </is>
      </c>
      <c r="D434" s="23" t="inlineStr">
        <is>
          <t>CST-02-059</t>
        </is>
      </c>
      <c r="E434" s="23" t="inlineStr">
        <is>
          <t>Stations - station structure - supply and install</t>
        </is>
      </c>
      <c r="F434" s="23" t="inlineStr">
        <is>
          <t>ONE_TO_ONE</t>
        </is>
      </c>
      <c r="G434" s="23" t="inlineStr">
        <is>
          <t>RETAINED</t>
        </is>
      </c>
      <c r="H434" s="23" t="inlineStr">
        <is>
          <t>Carried forward</t>
        </is>
      </c>
      <c r="I434" s="23" t="inlineStr">
        <is>
          <t>Source assignment -- not individually reviewed</t>
        </is>
      </c>
      <c r="J434" s="23" t="inlineStr"/>
      <c r="K434" s="23" t="inlineStr">
        <is>
          <t>Source assignment</t>
        </is>
      </c>
      <c r="L434" s="23" t="inlineStr"/>
      <c r="M434" s="23" t="inlineStr">
        <is>
          <t>Cost &amp; Forecast Control Accounts Cycle 2</t>
        </is>
      </c>
      <c r="N434" s="23" t="inlineStr">
        <is>
          <t>Rev 1</t>
        </is>
      </c>
      <c r="O434" s="23" t="inlineStr">
        <is>
          <t>R1221-v2</t>
        </is>
      </c>
      <c r="P434" s="23" t="inlineStr"/>
      <c r="Q434" s="23" t="inlineStr"/>
      <c r="R434" s="23" t="inlineStr"/>
      <c r="S434" s="23" t="inlineStr"/>
      <c r="T434" s="23" t="inlineStr"/>
      <c r="U434" s="23" t="inlineStr"/>
      <c r="V434" s="23" t="inlineStr">
        <is>
          <t>Cost Account = CA-2059; WBS Code = 1.2.1</t>
        </is>
      </c>
      <c r="W434" s="23" t="inlineStr"/>
    </row>
    <row r="435" ht="64" customHeight="1">
      <c r="A435" s="23" t="inlineStr">
        <is>
          <t>1.2.1</t>
        </is>
      </c>
      <c r="B435" s="23" t="inlineStr">
        <is>
          <t>Stations - Station Structures</t>
        </is>
      </c>
      <c r="C435" s="23" t="inlineStr">
        <is>
          <t>Cost &amp; Forecast Control Accounts</t>
        </is>
      </c>
      <c r="D435" s="23" t="inlineStr">
        <is>
          <t>CST-02-061</t>
        </is>
      </c>
      <c r="E435" s="23" t="inlineStr">
        <is>
          <t>Stations - public realm - allowance</t>
        </is>
      </c>
      <c r="F435" s="23" t="inlineStr">
        <is>
          <t>ONE_TO_ONE</t>
        </is>
      </c>
      <c r="G435" s="23" t="inlineStr">
        <is>
          <t>RETAINED</t>
        </is>
      </c>
      <c r="H435" s="23" t="inlineStr">
        <is>
          <t>Carried forward</t>
        </is>
      </c>
      <c r="I435" s="23" t="inlineStr">
        <is>
          <t>Source assignment -- not individually reviewed</t>
        </is>
      </c>
      <c r="J435" s="23" t="inlineStr"/>
      <c r="K435" s="23" t="inlineStr">
        <is>
          <t>Source assignment</t>
        </is>
      </c>
      <c r="L435" s="23" t="inlineStr"/>
      <c r="M435" s="23" t="inlineStr">
        <is>
          <t>Cost &amp; Forecast Control Accounts Cycle 2</t>
        </is>
      </c>
      <c r="N435" s="23" t="inlineStr">
        <is>
          <t>Rev 1</t>
        </is>
      </c>
      <c r="O435" s="23" t="inlineStr">
        <is>
          <t>R1223-v2</t>
        </is>
      </c>
      <c r="P435" s="23" t="inlineStr"/>
      <c r="Q435" s="23" t="inlineStr"/>
      <c r="R435" s="23" t="inlineStr"/>
      <c r="S435" s="23" t="inlineStr"/>
      <c r="T435" s="23" t="inlineStr"/>
      <c r="U435" s="23" t="inlineStr"/>
      <c r="V435" s="23" t="inlineStr">
        <is>
          <t>Cost Account = CA-2061; WBS Code = 1.2.1</t>
        </is>
      </c>
      <c r="W435" s="23" t="inlineStr"/>
    </row>
    <row r="436" ht="64" customHeight="1">
      <c r="A436" s="23" t="inlineStr">
        <is>
          <t>1.2.1</t>
        </is>
      </c>
      <c r="B436" s="23" t="inlineStr">
        <is>
          <t>Stations - Station Structures</t>
        </is>
      </c>
      <c r="C436" s="23" t="inlineStr">
        <is>
          <t>Cost &amp; Forecast Control Accounts</t>
        </is>
      </c>
      <c r="D436" s="23" t="inlineStr">
        <is>
          <t>CST-02-063</t>
        </is>
      </c>
      <c r="E436" s="23" t="inlineStr">
        <is>
          <t>Stations - building services - field package</t>
        </is>
      </c>
      <c r="F436" s="23" t="inlineStr">
        <is>
          <t>ONE_TO_ONE</t>
        </is>
      </c>
      <c r="G436" s="23" t="inlineStr">
        <is>
          <t>RETAINED</t>
        </is>
      </c>
      <c r="H436" s="23" t="inlineStr">
        <is>
          <t>Carried forward</t>
        </is>
      </c>
      <c r="I436" s="23" t="inlineStr">
        <is>
          <t>Source assignment -- not individually reviewed</t>
        </is>
      </c>
      <c r="J436" s="23" t="inlineStr"/>
      <c r="K436" s="23" t="inlineStr">
        <is>
          <t>Source assignment</t>
        </is>
      </c>
      <c r="L436" s="23" t="inlineStr"/>
      <c r="M436" s="23" t="inlineStr">
        <is>
          <t>Cost &amp; Forecast Control Accounts Cycle 2</t>
        </is>
      </c>
      <c r="N436" s="23" t="inlineStr">
        <is>
          <t>Rev 1</t>
        </is>
      </c>
      <c r="O436" s="23" t="inlineStr">
        <is>
          <t>R1225-v2</t>
        </is>
      </c>
      <c r="P436" s="23" t="inlineStr"/>
      <c r="Q436" s="23" t="inlineStr"/>
      <c r="R436" s="23" t="inlineStr"/>
      <c r="S436" s="23" t="inlineStr"/>
      <c r="T436" s="23" t="inlineStr"/>
      <c r="U436" s="23" t="inlineStr"/>
      <c r="V436" s="23" t="inlineStr">
        <is>
          <t>Cost Account = CA-2063; WBS Code = 1.2.1</t>
        </is>
      </c>
      <c r="W436" s="23" t="inlineStr"/>
    </row>
    <row r="437" ht="64" customHeight="1">
      <c r="A437" s="23" t="inlineStr">
        <is>
          <t>1.2.1</t>
        </is>
      </c>
      <c r="B437" s="23" t="inlineStr">
        <is>
          <t>Stations - Station Structures</t>
        </is>
      </c>
      <c r="C437" s="23" t="inlineStr">
        <is>
          <t>Cost &amp; Forecast Control Accounts</t>
        </is>
      </c>
      <c r="D437" s="23" t="inlineStr">
        <is>
          <t>CST-02-065</t>
        </is>
      </c>
      <c r="E437" s="23" t="inlineStr">
        <is>
          <t>Stations - station structure - professional services</t>
        </is>
      </c>
      <c r="F437" s="23" t="inlineStr">
        <is>
          <t>ONE_TO_ONE</t>
        </is>
      </c>
      <c r="G437" s="23" t="inlineStr">
        <is>
          <t>RETAINED</t>
        </is>
      </c>
      <c r="H437" s="23" t="inlineStr">
        <is>
          <t>Carried forward</t>
        </is>
      </c>
      <c r="I437" s="23" t="inlineStr">
        <is>
          <t>Source assignment -- not individually reviewed</t>
        </is>
      </c>
      <c r="J437" s="23" t="inlineStr"/>
      <c r="K437" s="23" t="inlineStr">
        <is>
          <t>Source assignment</t>
        </is>
      </c>
      <c r="L437" s="23" t="inlineStr"/>
      <c r="M437" s="23" t="inlineStr">
        <is>
          <t>Cost &amp; Forecast Control Accounts Cycle 2</t>
        </is>
      </c>
      <c r="N437" s="23" t="inlineStr">
        <is>
          <t>Rev 1</t>
        </is>
      </c>
      <c r="O437" s="23" t="inlineStr">
        <is>
          <t>R1227-v2</t>
        </is>
      </c>
      <c r="P437" s="23" t="inlineStr"/>
      <c r="Q437" s="23" t="inlineStr"/>
      <c r="R437" s="23" t="inlineStr"/>
      <c r="S437" s="23" t="inlineStr"/>
      <c r="T437" s="23" t="inlineStr"/>
      <c r="U437" s="23" t="inlineStr"/>
      <c r="V437" s="23" t="inlineStr">
        <is>
          <t>Cost Account = CA-2065; WBS Code = 1.2.1</t>
        </is>
      </c>
      <c r="W437" s="23" t="inlineStr"/>
    </row>
    <row r="438" ht="64" customHeight="1">
      <c r="A438" s="23" t="inlineStr">
        <is>
          <t>1.2.1</t>
        </is>
      </c>
      <c r="B438" s="23" t="inlineStr">
        <is>
          <t>Stations - Station Structures</t>
        </is>
      </c>
      <c r="C438" s="23" t="inlineStr">
        <is>
          <t>Cost &amp; Forecast Control Accounts</t>
        </is>
      </c>
      <c r="D438" s="23" t="inlineStr">
        <is>
          <t>CST-02-067</t>
        </is>
      </c>
      <c r="E438" s="23" t="inlineStr">
        <is>
          <t>Stations - public realm - closeout</t>
        </is>
      </c>
      <c r="F438" s="23" t="inlineStr">
        <is>
          <t>ONE_TO_ONE</t>
        </is>
      </c>
      <c r="G438" s="23" t="inlineStr">
        <is>
          <t>RETAINED</t>
        </is>
      </c>
      <c r="H438" s="23" t="inlineStr">
        <is>
          <t>Carried forward</t>
        </is>
      </c>
      <c r="I438" s="23" t="inlineStr">
        <is>
          <t>Source assignment -- not individually reviewed</t>
        </is>
      </c>
      <c r="J438" s="23" t="inlineStr"/>
      <c r="K438" s="23" t="inlineStr">
        <is>
          <t>Source assignment</t>
        </is>
      </c>
      <c r="L438" s="23" t="inlineStr"/>
      <c r="M438" s="23" t="inlineStr">
        <is>
          <t>Cost &amp; Forecast Control Accounts Cycle 2</t>
        </is>
      </c>
      <c r="N438" s="23" t="inlineStr">
        <is>
          <t>Rev 1</t>
        </is>
      </c>
      <c r="O438" s="23" t="inlineStr">
        <is>
          <t>R1229-v2</t>
        </is>
      </c>
      <c r="P438" s="23" t="inlineStr"/>
      <c r="Q438" s="23" t="inlineStr"/>
      <c r="R438" s="23" t="inlineStr"/>
      <c r="S438" s="23" t="inlineStr"/>
      <c r="T438" s="23" t="inlineStr"/>
      <c r="U438" s="23" t="inlineStr"/>
      <c r="V438" s="23" t="inlineStr">
        <is>
          <t>Cost Account = CA-2067; WBS Code = 1.2.1</t>
        </is>
      </c>
      <c r="W438" s="23" t="inlineStr"/>
    </row>
    <row r="439" ht="64" customHeight="1">
      <c r="A439" s="23" t="inlineStr">
        <is>
          <t>1.2.1</t>
        </is>
      </c>
      <c r="B439" s="23" t="inlineStr">
        <is>
          <t>Stations - Station Structures</t>
        </is>
      </c>
      <c r="C439" s="23" t="inlineStr">
        <is>
          <t>Cost &amp; Forecast Control Accounts</t>
        </is>
      </c>
      <c r="D439" s="23" t="inlineStr">
        <is>
          <t>CST-02-069</t>
        </is>
      </c>
      <c r="E439" s="23" t="inlineStr">
        <is>
          <t>Stations - building services - supply and install</t>
        </is>
      </c>
      <c r="F439" s="23" t="inlineStr">
        <is>
          <t>ONE_TO_ONE</t>
        </is>
      </c>
      <c r="G439" s="23" t="inlineStr">
        <is>
          <t>RETAINED</t>
        </is>
      </c>
      <c r="H439" s="23" t="inlineStr">
        <is>
          <t>Carried forward</t>
        </is>
      </c>
      <c r="I439" s="23" t="inlineStr">
        <is>
          <t>Source assignment -- not individually reviewed</t>
        </is>
      </c>
      <c r="J439" s="23" t="inlineStr"/>
      <c r="K439" s="23" t="inlineStr">
        <is>
          <t>Source assignment</t>
        </is>
      </c>
      <c r="L439" s="23" t="inlineStr"/>
      <c r="M439" s="23" t="inlineStr">
        <is>
          <t>Cost &amp; Forecast Control Accounts Cycle 2</t>
        </is>
      </c>
      <c r="N439" s="23" t="inlineStr">
        <is>
          <t>Rev 1</t>
        </is>
      </c>
      <c r="O439" s="23" t="inlineStr">
        <is>
          <t>R1231-v2</t>
        </is>
      </c>
      <c r="P439" s="23" t="inlineStr"/>
      <c r="Q439" s="23" t="inlineStr"/>
      <c r="R439" s="23" t="inlineStr"/>
      <c r="S439" s="23" t="inlineStr"/>
      <c r="T439" s="23" t="inlineStr"/>
      <c r="U439" s="23" t="inlineStr"/>
      <c r="V439" s="23" t="inlineStr">
        <is>
          <t>Cost Account = CA-2069; WBS Code = 1.2.1</t>
        </is>
      </c>
      <c r="W439" s="23" t="inlineStr"/>
    </row>
    <row r="440" ht="64" customHeight="1">
      <c r="A440" s="23" t="inlineStr">
        <is>
          <t>1.2.1</t>
        </is>
      </c>
      <c r="B440" s="23" t="inlineStr">
        <is>
          <t>Stations - Station Structures</t>
        </is>
      </c>
      <c r="C440" s="23" t="inlineStr">
        <is>
          <t>Cost &amp; Forecast Control Accounts</t>
        </is>
      </c>
      <c r="D440" s="23" t="inlineStr">
        <is>
          <t>CST-02-071</t>
        </is>
      </c>
      <c r="E440" s="23" t="inlineStr">
        <is>
          <t>Stations - station structure - allowance</t>
        </is>
      </c>
      <c r="F440" s="23" t="inlineStr">
        <is>
          <t>ONE_TO_ONE</t>
        </is>
      </c>
      <c r="G440" s="23" t="inlineStr">
        <is>
          <t>RETAINED</t>
        </is>
      </c>
      <c r="H440" s="23" t="inlineStr">
        <is>
          <t>Carried forward</t>
        </is>
      </c>
      <c r="I440" s="23" t="inlineStr">
        <is>
          <t>Source assignment -- not individually reviewed</t>
        </is>
      </c>
      <c r="J440" s="23" t="inlineStr"/>
      <c r="K440" s="23" t="inlineStr">
        <is>
          <t>Source assignment</t>
        </is>
      </c>
      <c r="L440" s="23" t="inlineStr"/>
      <c r="M440" s="23" t="inlineStr">
        <is>
          <t>Cost &amp; Forecast Control Accounts Cycle 2</t>
        </is>
      </c>
      <c r="N440" s="23" t="inlineStr">
        <is>
          <t>Rev 1</t>
        </is>
      </c>
      <c r="O440" s="23" t="inlineStr">
        <is>
          <t>R1233-v2</t>
        </is>
      </c>
      <c r="P440" s="23" t="inlineStr"/>
      <c r="Q440" s="23" t="inlineStr"/>
      <c r="R440" s="23" t="inlineStr"/>
      <c r="S440" s="23" t="inlineStr"/>
      <c r="T440" s="23" t="inlineStr"/>
      <c r="U440" s="23" t="inlineStr"/>
      <c r="V440" s="23" t="inlineStr">
        <is>
          <t>Cost Account = CA-2071; WBS Code = 1.2.1</t>
        </is>
      </c>
      <c r="W440" s="23" t="inlineStr"/>
    </row>
    <row r="441" ht="64" customHeight="1">
      <c r="A441" s="23" t="inlineStr">
        <is>
          <t>1.2.1</t>
        </is>
      </c>
      <c r="B441" s="23" t="inlineStr">
        <is>
          <t>Stations - Station Structures</t>
        </is>
      </c>
      <c r="C441" s="23" t="inlineStr">
        <is>
          <t>Cost &amp; Forecast Control Accounts</t>
        </is>
      </c>
      <c r="D441" s="23" t="inlineStr">
        <is>
          <t>CST-02-073</t>
        </is>
      </c>
      <c r="E441" s="23" t="inlineStr">
        <is>
          <t>Stations - public realm - field package</t>
        </is>
      </c>
      <c r="F441" s="23" t="inlineStr">
        <is>
          <t>ONE_TO_ONE</t>
        </is>
      </c>
      <c r="G441" s="23" t="inlineStr">
        <is>
          <t>RETAINED</t>
        </is>
      </c>
      <c r="H441" s="23" t="inlineStr">
        <is>
          <t>Carried forward</t>
        </is>
      </c>
      <c r="I441" s="23" t="inlineStr">
        <is>
          <t>Source assignment -- not individually reviewed</t>
        </is>
      </c>
      <c r="J441" s="23" t="inlineStr"/>
      <c r="K441" s="23" t="inlineStr">
        <is>
          <t>Source assignment</t>
        </is>
      </c>
      <c r="L441" s="23" t="inlineStr"/>
      <c r="M441" s="23" t="inlineStr">
        <is>
          <t>Cost &amp; Forecast Control Accounts Cycle 2</t>
        </is>
      </c>
      <c r="N441" s="23" t="inlineStr">
        <is>
          <t>Rev 1</t>
        </is>
      </c>
      <c r="O441" s="23" t="inlineStr">
        <is>
          <t>R1235-v2</t>
        </is>
      </c>
      <c r="P441" s="23" t="inlineStr"/>
      <c r="Q441" s="23" t="inlineStr"/>
      <c r="R441" s="23" t="inlineStr"/>
      <c r="S441" s="23" t="inlineStr"/>
      <c r="T441" s="23" t="inlineStr"/>
      <c r="U441" s="23" t="inlineStr"/>
      <c r="V441" s="23" t="inlineStr">
        <is>
          <t>Cost Account = CA-2073; WBS Code = 1.2.1</t>
        </is>
      </c>
      <c r="W441" s="23" t="inlineStr"/>
    </row>
    <row r="442" ht="64" customHeight="1">
      <c r="A442" s="23" t="inlineStr">
        <is>
          <t>1.2.1</t>
        </is>
      </c>
      <c r="B442" s="23" t="inlineStr">
        <is>
          <t>Stations - Station Structures</t>
        </is>
      </c>
      <c r="C442" s="23" t="inlineStr">
        <is>
          <t>Cost &amp; Forecast Control Accounts</t>
        </is>
      </c>
      <c r="D442" s="23" t="inlineStr">
        <is>
          <t>CST-02-075</t>
        </is>
      </c>
      <c r="E442" s="23" t="inlineStr">
        <is>
          <t>Stations - building services - professional services</t>
        </is>
      </c>
      <c r="F442" s="23" t="inlineStr">
        <is>
          <t>ONE_TO_ONE</t>
        </is>
      </c>
      <c r="G442" s="23" t="inlineStr">
        <is>
          <t>RETAINED</t>
        </is>
      </c>
      <c r="H442" s="23" t="inlineStr">
        <is>
          <t>Carried forward</t>
        </is>
      </c>
      <c r="I442" s="23" t="inlineStr">
        <is>
          <t>Source assignment -- not individually reviewed</t>
        </is>
      </c>
      <c r="J442" s="23" t="inlineStr"/>
      <c r="K442" s="23" t="inlineStr">
        <is>
          <t>Source assignment</t>
        </is>
      </c>
      <c r="L442" s="23" t="inlineStr"/>
      <c r="M442" s="23" t="inlineStr">
        <is>
          <t>Cost &amp; Forecast Control Accounts Cycle 2</t>
        </is>
      </c>
      <c r="N442" s="23" t="inlineStr">
        <is>
          <t>Rev 1</t>
        </is>
      </c>
      <c r="O442" s="23" t="inlineStr">
        <is>
          <t>R1237-v2</t>
        </is>
      </c>
      <c r="P442" s="23" t="inlineStr"/>
      <c r="Q442" s="23" t="inlineStr"/>
      <c r="R442" s="23" t="inlineStr"/>
      <c r="S442" s="23" t="inlineStr"/>
      <c r="T442" s="23" t="inlineStr"/>
      <c r="U442" s="23" t="inlineStr"/>
      <c r="V442" s="23" t="inlineStr">
        <is>
          <t>Cost Account = CA-2075; WBS Code = 1.2.1</t>
        </is>
      </c>
      <c r="W442" s="23" t="inlineStr"/>
    </row>
    <row r="443" ht="64" customHeight="1">
      <c r="A443" s="23" t="inlineStr">
        <is>
          <t>1.2.1</t>
        </is>
      </c>
      <c r="B443" s="23" t="inlineStr">
        <is>
          <t>Stations - Station Structures</t>
        </is>
      </c>
      <c r="C443" s="23" t="inlineStr">
        <is>
          <t>Cost &amp; Forecast Control Accounts</t>
        </is>
      </c>
      <c r="D443" s="23" t="inlineStr">
        <is>
          <t>CST-02-077</t>
        </is>
      </c>
      <c r="E443" s="23" t="inlineStr">
        <is>
          <t>Stations - station structure - closeout</t>
        </is>
      </c>
      <c r="F443" s="23" t="inlineStr">
        <is>
          <t>ONE_TO_ONE</t>
        </is>
      </c>
      <c r="G443" s="23" t="inlineStr">
        <is>
          <t>RETAINED</t>
        </is>
      </c>
      <c r="H443" s="23" t="inlineStr">
        <is>
          <t>Carried forward</t>
        </is>
      </c>
      <c r="I443" s="23" t="inlineStr">
        <is>
          <t>Source assignment -- not individually reviewed</t>
        </is>
      </c>
      <c r="J443" s="23" t="inlineStr"/>
      <c r="K443" s="23" t="inlineStr">
        <is>
          <t>Source assignment</t>
        </is>
      </c>
      <c r="L443" s="23" t="inlineStr"/>
      <c r="M443" s="23" t="inlineStr">
        <is>
          <t>Cost &amp; Forecast Control Accounts Cycle 2</t>
        </is>
      </c>
      <c r="N443" s="23" t="inlineStr">
        <is>
          <t>Rev 1</t>
        </is>
      </c>
      <c r="O443" s="23" t="inlineStr">
        <is>
          <t>R1239-v2</t>
        </is>
      </c>
      <c r="P443" s="23" t="inlineStr"/>
      <c r="Q443" s="23" t="inlineStr"/>
      <c r="R443" s="23" t="inlineStr"/>
      <c r="S443" s="23" t="inlineStr"/>
      <c r="T443" s="23" t="inlineStr"/>
      <c r="U443" s="23" t="inlineStr"/>
      <c r="V443" s="23" t="inlineStr">
        <is>
          <t>Cost Account = CA-2077; WBS Code = 1.2.1</t>
        </is>
      </c>
      <c r="W443" s="23" t="inlineStr"/>
    </row>
    <row r="444" ht="64" customHeight="1">
      <c r="A444" s="23" t="inlineStr">
        <is>
          <t>1.2.1</t>
        </is>
      </c>
      <c r="B444" s="23" t="inlineStr">
        <is>
          <t>Stations - Station Structures</t>
        </is>
      </c>
      <c r="C444" s="23" t="inlineStr">
        <is>
          <t>Cost &amp; Forecast Control Accounts</t>
        </is>
      </c>
      <c r="D444" s="23" t="inlineStr">
        <is>
          <t>CST-02-079</t>
        </is>
      </c>
      <c r="E444" s="23" t="inlineStr">
        <is>
          <t>Stations - public realm - supply and install</t>
        </is>
      </c>
      <c r="F444" s="23" t="inlineStr">
        <is>
          <t>ONE_TO_ONE</t>
        </is>
      </c>
      <c r="G444" s="23" t="inlineStr">
        <is>
          <t>RETAINED</t>
        </is>
      </c>
      <c r="H444" s="23" t="inlineStr">
        <is>
          <t>Carried forward</t>
        </is>
      </c>
      <c r="I444" s="23" t="inlineStr">
        <is>
          <t>Source assignment -- not individually reviewed</t>
        </is>
      </c>
      <c r="J444" s="23" t="inlineStr"/>
      <c r="K444" s="23" t="inlineStr">
        <is>
          <t>Source assignment</t>
        </is>
      </c>
      <c r="L444" s="23" t="inlineStr"/>
      <c r="M444" s="23" t="inlineStr">
        <is>
          <t>Cost &amp; Forecast Control Accounts Cycle 2</t>
        </is>
      </c>
      <c r="N444" s="23" t="inlineStr">
        <is>
          <t>Rev 1</t>
        </is>
      </c>
      <c r="O444" s="23" t="inlineStr">
        <is>
          <t>R1241-v2</t>
        </is>
      </c>
      <c r="P444" s="23" t="inlineStr"/>
      <c r="Q444" s="23" t="inlineStr"/>
      <c r="R444" s="23" t="inlineStr"/>
      <c r="S444" s="23" t="inlineStr"/>
      <c r="T444" s="23" t="inlineStr"/>
      <c r="U444" s="23" t="inlineStr"/>
      <c r="V444" s="23" t="inlineStr">
        <is>
          <t>Cost Account = CA-2079; WBS Code = 1.2.1</t>
        </is>
      </c>
      <c r="W444" s="23" t="inlineStr"/>
    </row>
    <row r="445" ht="154" customHeight="1">
      <c r="A445" s="23" t="inlineStr">
        <is>
          <t>1.2.2</t>
        </is>
      </c>
      <c r="B445" s="23" t="inlineStr">
        <is>
          <t>Stations - Architectural Fit-Out</t>
        </is>
      </c>
      <c r="C445" s="23" t="inlineStr">
        <is>
          <t>Contractor Programme</t>
        </is>
      </c>
      <c r="D445" s="23" t="inlineStr">
        <is>
          <t>SCH-02-003</t>
        </is>
      </c>
      <c r="E445" s="23" t="inlineStr">
        <is>
          <t>Market Station: back-of-house interface works confirmed within station delivery boundary</t>
        </is>
      </c>
      <c r="F445" s="23" t="inlineStr">
        <is>
          <t>ONE_TO_ONE</t>
        </is>
      </c>
      <c r="G445" s="23" t="inlineStr">
        <is>
          <t>APPROVED</t>
        </is>
      </c>
      <c r="H445" s="23" t="inlineStr">
        <is>
          <t>New</t>
        </is>
      </c>
      <c r="I445" s="23" t="inlineStr">
        <is>
          <t>Professional decision</t>
        </is>
      </c>
      <c r="J445" s="23" t="inlineStr">
        <is>
          <t>Maya Chen, Owner Project Controls</t>
        </is>
      </c>
      <c r="K445" s="23" t="inlineStr">
        <is>
          <t>Source assignment</t>
        </is>
      </c>
      <c r="L445" s="23" t="inlineStr"/>
      <c r="M445" s="23" t="inlineStr">
        <is>
          <t>Contractor Programme Cycle 2</t>
        </is>
      </c>
      <c r="N445" s="23" t="inlineStr">
        <is>
          <t>Rev 1</t>
        </is>
      </c>
      <c r="O445" s="23" t="inlineStr">
        <is>
          <t>R183-v4</t>
        </is>
      </c>
      <c r="P445" s="23" t="inlineStr"/>
      <c r="Q445" s="23" t="inlineStr"/>
      <c r="R445" s="23" t="inlineStr"/>
      <c r="S445" s="23" t="inlineStr"/>
      <c r="T445" s="23" t="inlineStr">
        <is>
          <t>Individual</t>
        </is>
      </c>
      <c r="U445" s="23" t="inlineStr">
        <is>
          <t>'WBS Code' changed from (blank) to 1.2.2; 'WBS Code' changed from (blank) to 1.2.2; 'WBS Code' changed from (blank) to 1.2.2</t>
        </is>
      </c>
      <c r="V445" s="23" t="inlineStr">
        <is>
          <t>WBS Code = 1.2.2</t>
        </is>
      </c>
      <c r="W445" s="23" t="inlineStr"/>
    </row>
    <row r="446" ht="49" customHeight="1">
      <c r="A446" s="23" t="inlineStr">
        <is>
          <t>1.2.2</t>
        </is>
      </c>
      <c r="B446" s="23" t="inlineStr">
        <is>
          <t>Stations - Architectural Fit-Out</t>
        </is>
      </c>
      <c r="C446" s="23" t="inlineStr">
        <is>
          <t>Contractor Programme</t>
        </is>
      </c>
      <c r="D446" s="23" t="inlineStr">
        <is>
          <t>SCH-02-006</t>
        </is>
      </c>
      <c r="E446" s="23" t="inlineStr">
        <is>
          <t>Harbour Station: station ventilation rough-in - inspection</t>
        </is>
      </c>
      <c r="F446" s="23" t="inlineStr">
        <is>
          <t>ONE_TO_ONE</t>
        </is>
      </c>
      <c r="G446" s="23" t="inlineStr">
        <is>
          <t>RETAINED</t>
        </is>
      </c>
      <c r="H446" s="23" t="inlineStr">
        <is>
          <t>Carried forward</t>
        </is>
      </c>
      <c r="I446" s="23" t="inlineStr">
        <is>
          <t>Source assignment -- not individually reviewed</t>
        </is>
      </c>
      <c r="J446" s="23" t="inlineStr"/>
      <c r="K446" s="23" t="inlineStr">
        <is>
          <t>Source assignment</t>
        </is>
      </c>
      <c r="L446" s="23" t="inlineStr"/>
      <c r="M446" s="23" t="inlineStr">
        <is>
          <t>Contractor Programme Cycle 2</t>
        </is>
      </c>
      <c r="N446" s="23" t="inlineStr">
        <is>
          <t>Rev 1</t>
        </is>
      </c>
      <c r="O446" s="23" t="inlineStr">
        <is>
          <t>R186-v2</t>
        </is>
      </c>
      <c r="P446" s="23" t="inlineStr"/>
      <c r="Q446" s="23" t="inlineStr"/>
      <c r="R446" s="23" t="inlineStr"/>
      <c r="S446" s="23" t="inlineStr"/>
      <c r="T446" s="23" t="inlineStr"/>
      <c r="U446" s="23" t="inlineStr"/>
      <c r="V446" s="23" t="inlineStr">
        <is>
          <t>WBS Code = 1.2.2</t>
        </is>
      </c>
      <c r="W446" s="23" t="inlineStr"/>
    </row>
    <row r="447" ht="49" customHeight="1">
      <c r="A447" s="23" t="inlineStr">
        <is>
          <t>1.2.2</t>
        </is>
      </c>
      <c r="B447" s="23" t="inlineStr">
        <is>
          <t>Stations - Architectural Fit-Out</t>
        </is>
      </c>
      <c r="C447" s="23" t="inlineStr">
        <is>
          <t>Contractor Programme</t>
        </is>
      </c>
      <c r="D447" s="23" t="inlineStr">
        <is>
          <t>SCH-02-009</t>
        </is>
      </c>
      <c r="E447" s="23" t="inlineStr">
        <is>
          <t>University Station: vertical-transport installation - field start</t>
        </is>
      </c>
      <c r="F447" s="23" t="inlineStr">
        <is>
          <t>ONE_TO_ONE</t>
        </is>
      </c>
      <c r="G447" s="23" t="inlineStr">
        <is>
          <t>RETAINED</t>
        </is>
      </c>
      <c r="H447" s="23" t="inlineStr">
        <is>
          <t>Carried forward</t>
        </is>
      </c>
      <c r="I447" s="23" t="inlineStr">
        <is>
          <t>Source assignment -- not individually reviewed</t>
        </is>
      </c>
      <c r="J447" s="23" t="inlineStr"/>
      <c r="K447" s="23" t="inlineStr">
        <is>
          <t>Source assignment</t>
        </is>
      </c>
      <c r="L447" s="23" t="inlineStr"/>
      <c r="M447" s="23" t="inlineStr">
        <is>
          <t>Contractor Programme Cycle 2</t>
        </is>
      </c>
      <c r="N447" s="23" t="inlineStr">
        <is>
          <t>Rev 1</t>
        </is>
      </c>
      <c r="O447" s="23" t="inlineStr">
        <is>
          <t>R189-v2</t>
        </is>
      </c>
      <c r="P447" s="23" t="inlineStr"/>
      <c r="Q447" s="23" t="inlineStr"/>
      <c r="R447" s="23" t="inlineStr"/>
      <c r="S447" s="23" t="inlineStr"/>
      <c r="T447" s="23" t="inlineStr"/>
      <c r="U447" s="23" t="inlineStr"/>
      <c r="V447" s="23" t="inlineStr">
        <is>
          <t>WBS Code = 1.2.2</t>
        </is>
      </c>
      <c r="W447" s="23" t="inlineStr"/>
    </row>
    <row r="448" ht="49" customHeight="1">
      <c r="A448" s="23" t="inlineStr">
        <is>
          <t>1.2.2</t>
        </is>
      </c>
      <c r="B448" s="23" t="inlineStr">
        <is>
          <t>Stations - Architectural Fit-Out</t>
        </is>
      </c>
      <c r="C448" s="23" t="inlineStr">
        <is>
          <t>Contractor Programme</t>
        </is>
      </c>
      <c r="D448" s="23" t="inlineStr">
        <is>
          <t>SCH-02-012</t>
        </is>
      </c>
      <c r="E448" s="23" t="inlineStr">
        <is>
          <t>Market Station: fire-life-safety cabling - turnover</t>
        </is>
      </c>
      <c r="F448" s="23" t="inlineStr">
        <is>
          <t>ONE_TO_ONE</t>
        </is>
      </c>
      <c r="G448" s="23" t="inlineStr">
        <is>
          <t>RETAINED</t>
        </is>
      </c>
      <c r="H448" s="23" t="inlineStr">
        <is>
          <t>Carried forward</t>
        </is>
      </c>
      <c r="I448" s="23" t="inlineStr">
        <is>
          <t>Source assignment -- not individually reviewed</t>
        </is>
      </c>
      <c r="J448" s="23" t="inlineStr"/>
      <c r="K448" s="23" t="inlineStr">
        <is>
          <t>Source assignment</t>
        </is>
      </c>
      <c r="L448" s="23" t="inlineStr"/>
      <c r="M448" s="23" t="inlineStr">
        <is>
          <t>Contractor Programme Cycle 2</t>
        </is>
      </c>
      <c r="N448" s="23" t="inlineStr">
        <is>
          <t>Rev 1</t>
        </is>
      </c>
      <c r="O448" s="23" t="inlineStr">
        <is>
          <t>R192-v2</t>
        </is>
      </c>
      <c r="P448" s="23" t="inlineStr"/>
      <c r="Q448" s="23" t="inlineStr"/>
      <c r="R448" s="23" t="inlineStr"/>
      <c r="S448" s="23" t="inlineStr"/>
      <c r="T448" s="23" t="inlineStr"/>
      <c r="U448" s="23" t="inlineStr"/>
      <c r="V448" s="23" t="inlineStr">
        <is>
          <t>WBS Code = 1.2.2</t>
        </is>
      </c>
      <c r="W448" s="23" t="inlineStr"/>
    </row>
    <row r="449" ht="49" customHeight="1">
      <c r="A449" s="23" t="inlineStr">
        <is>
          <t>1.2.2</t>
        </is>
      </c>
      <c r="B449" s="23" t="inlineStr">
        <is>
          <t>Stations - Architectural Fit-Out</t>
        </is>
      </c>
      <c r="C449" s="23" t="inlineStr">
        <is>
          <t>Contractor Programme</t>
        </is>
      </c>
      <c r="D449" s="23" t="inlineStr">
        <is>
          <t>SCH-02-015</t>
        </is>
      </c>
      <c r="E449" s="23" t="inlineStr">
        <is>
          <t>West Terminal: public-realm paving - installation</t>
        </is>
      </c>
      <c r="F449" s="23" t="inlineStr">
        <is>
          <t>ONE_TO_ONE</t>
        </is>
      </c>
      <c r="G449" s="23" t="inlineStr">
        <is>
          <t>RETAINED</t>
        </is>
      </c>
      <c r="H449" s="23" t="inlineStr">
        <is>
          <t>Carried forward</t>
        </is>
      </c>
      <c r="I449" s="23" t="inlineStr">
        <is>
          <t>Source assignment -- not individually reviewed</t>
        </is>
      </c>
      <c r="J449" s="23" t="inlineStr"/>
      <c r="K449" s="23" t="inlineStr">
        <is>
          <t>Source assignment</t>
        </is>
      </c>
      <c r="L449" s="23" t="inlineStr"/>
      <c r="M449" s="23" t="inlineStr">
        <is>
          <t>Contractor Programme Cycle 2</t>
        </is>
      </c>
      <c r="N449" s="23" t="inlineStr">
        <is>
          <t>Rev 1</t>
        </is>
      </c>
      <c r="O449" s="23" t="inlineStr">
        <is>
          <t>R195-v2</t>
        </is>
      </c>
      <c r="P449" s="23" t="inlineStr"/>
      <c r="Q449" s="23" t="inlineStr"/>
      <c r="R449" s="23" t="inlineStr"/>
      <c r="S449" s="23" t="inlineStr"/>
      <c r="T449" s="23" t="inlineStr"/>
      <c r="U449" s="23" t="inlineStr"/>
      <c r="V449" s="23" t="inlineStr">
        <is>
          <t>WBS Code = 1.2.2</t>
        </is>
      </c>
      <c r="W449" s="23" t="inlineStr"/>
    </row>
    <row r="450" ht="49" customHeight="1">
      <c r="A450" s="23" t="inlineStr">
        <is>
          <t>1.2.2</t>
        </is>
      </c>
      <c r="B450" s="23" t="inlineStr">
        <is>
          <t>Stations - Architectural Fit-Out</t>
        </is>
      </c>
      <c r="C450" s="23" t="inlineStr">
        <is>
          <t>Contractor Programme</t>
        </is>
      </c>
      <c r="D450" s="23" t="inlineStr">
        <is>
          <t>SCH-02-018</t>
        </is>
      </c>
      <c r="E450" s="23" t="inlineStr">
        <is>
          <t>Civic Station: platform edge installation - release</t>
        </is>
      </c>
      <c r="F450" s="23" t="inlineStr">
        <is>
          <t>ONE_TO_ONE</t>
        </is>
      </c>
      <c r="G450" s="23" t="inlineStr">
        <is>
          <t>RETAINED</t>
        </is>
      </c>
      <c r="H450" s="23" t="inlineStr">
        <is>
          <t>Carried forward</t>
        </is>
      </c>
      <c r="I450" s="23" t="inlineStr">
        <is>
          <t>Source assignment -- not individually reviewed</t>
        </is>
      </c>
      <c r="J450" s="23" t="inlineStr"/>
      <c r="K450" s="23" t="inlineStr">
        <is>
          <t>Source assignment</t>
        </is>
      </c>
      <c r="L450" s="23" t="inlineStr"/>
      <c r="M450" s="23" t="inlineStr">
        <is>
          <t>Contractor Programme Cycle 2</t>
        </is>
      </c>
      <c r="N450" s="23" t="inlineStr">
        <is>
          <t>Rev 1</t>
        </is>
      </c>
      <c r="O450" s="23" t="inlineStr">
        <is>
          <t>R198-v2</t>
        </is>
      </c>
      <c r="P450" s="23" t="inlineStr"/>
      <c r="Q450" s="23" t="inlineStr"/>
      <c r="R450" s="23" t="inlineStr"/>
      <c r="S450" s="23" t="inlineStr"/>
      <c r="T450" s="23" t="inlineStr"/>
      <c r="U450" s="23" t="inlineStr"/>
      <c r="V450" s="23" t="inlineStr">
        <is>
          <t>WBS Code = 1.2.2</t>
        </is>
      </c>
      <c r="W450" s="23" t="inlineStr"/>
    </row>
    <row r="451" ht="49" customHeight="1">
      <c r="A451" s="23" t="inlineStr">
        <is>
          <t>1.2.2</t>
        </is>
      </c>
      <c r="B451" s="23" t="inlineStr">
        <is>
          <t>Stations - Architectural Fit-Out</t>
        </is>
      </c>
      <c r="C451" s="23" t="inlineStr">
        <is>
          <t>Contractor Programme</t>
        </is>
      </c>
      <c r="D451" s="23" t="inlineStr">
        <is>
          <t>SCH-02-021</t>
        </is>
      </c>
      <c r="E451" s="23" t="inlineStr">
        <is>
          <t>Harbour Station: concourse slab pour - inspection</t>
        </is>
      </c>
      <c r="F451" s="23" t="inlineStr">
        <is>
          <t>ONE_TO_ONE</t>
        </is>
      </c>
      <c r="G451" s="23" t="inlineStr">
        <is>
          <t>RETAINED</t>
        </is>
      </c>
      <c r="H451" s="23" t="inlineStr">
        <is>
          <t>Carried forward</t>
        </is>
      </c>
      <c r="I451" s="23" t="inlineStr">
        <is>
          <t>Source assignment -- not individually reviewed</t>
        </is>
      </c>
      <c r="J451" s="23" t="inlineStr"/>
      <c r="K451" s="23" t="inlineStr">
        <is>
          <t>Source assignment</t>
        </is>
      </c>
      <c r="L451" s="23" t="inlineStr"/>
      <c r="M451" s="23" t="inlineStr">
        <is>
          <t>Contractor Programme Cycle 2</t>
        </is>
      </c>
      <c r="N451" s="23" t="inlineStr">
        <is>
          <t>Rev 1</t>
        </is>
      </c>
      <c r="O451" s="23" t="inlineStr">
        <is>
          <t>R201-v2</t>
        </is>
      </c>
      <c r="P451" s="23" t="inlineStr"/>
      <c r="Q451" s="23" t="inlineStr"/>
      <c r="R451" s="23" t="inlineStr"/>
      <c r="S451" s="23" t="inlineStr"/>
      <c r="T451" s="23" t="inlineStr"/>
      <c r="U451" s="23" t="inlineStr"/>
      <c r="V451" s="23" t="inlineStr">
        <is>
          <t>WBS Code = 1.2.2</t>
        </is>
      </c>
      <c r="W451" s="23" t="inlineStr"/>
    </row>
    <row r="452" ht="49" customHeight="1">
      <c r="A452" s="23" t="inlineStr">
        <is>
          <t>1.2.2</t>
        </is>
      </c>
      <c r="B452" s="23" t="inlineStr">
        <is>
          <t>Stations - Architectural Fit-Out</t>
        </is>
      </c>
      <c r="C452" s="23" t="inlineStr">
        <is>
          <t>Contractor Programme</t>
        </is>
      </c>
      <c r="D452" s="23" t="inlineStr">
        <is>
          <t>SCH-02-024</t>
        </is>
      </c>
      <c r="E452" s="23" t="inlineStr">
        <is>
          <t>University Station: entrance steel erection - field start</t>
        </is>
      </c>
      <c r="F452" s="23" t="inlineStr">
        <is>
          <t>ONE_TO_ONE</t>
        </is>
      </c>
      <c r="G452" s="23" t="inlineStr">
        <is>
          <t>RETAINED</t>
        </is>
      </c>
      <c r="H452" s="23" t="inlineStr">
        <is>
          <t>Carried forward</t>
        </is>
      </c>
      <c r="I452" s="23" t="inlineStr">
        <is>
          <t>Source assignment -- not individually reviewed</t>
        </is>
      </c>
      <c r="J452" s="23" t="inlineStr"/>
      <c r="K452" s="23" t="inlineStr">
        <is>
          <t>Source assignment</t>
        </is>
      </c>
      <c r="L452" s="23" t="inlineStr"/>
      <c r="M452" s="23" t="inlineStr">
        <is>
          <t>Contractor Programme Cycle 2</t>
        </is>
      </c>
      <c r="N452" s="23" t="inlineStr">
        <is>
          <t>Rev 1</t>
        </is>
      </c>
      <c r="O452" s="23" t="inlineStr">
        <is>
          <t>R204-v2</t>
        </is>
      </c>
      <c r="P452" s="23" t="inlineStr"/>
      <c r="Q452" s="23" t="inlineStr"/>
      <c r="R452" s="23" t="inlineStr"/>
      <c r="S452" s="23" t="inlineStr"/>
      <c r="T452" s="23" t="inlineStr"/>
      <c r="U452" s="23" t="inlineStr"/>
      <c r="V452" s="23" t="inlineStr">
        <is>
          <t>WBS Code = 1.2.2</t>
        </is>
      </c>
      <c r="W452" s="23" t="inlineStr"/>
    </row>
    <row r="453" ht="49" customHeight="1">
      <c r="A453" s="23" t="inlineStr">
        <is>
          <t>1.2.2</t>
        </is>
      </c>
      <c r="B453" s="23" t="inlineStr">
        <is>
          <t>Stations - Architectural Fit-Out</t>
        </is>
      </c>
      <c r="C453" s="23" t="inlineStr">
        <is>
          <t>Contractor Programme</t>
        </is>
      </c>
      <c r="D453" s="23" t="inlineStr">
        <is>
          <t>SCH-02-027</t>
        </is>
      </c>
      <c r="E453" s="23" t="inlineStr">
        <is>
          <t>Market Station: architectural wall framing - turnover</t>
        </is>
      </c>
      <c r="F453" s="23" t="inlineStr">
        <is>
          <t>ONE_TO_ONE</t>
        </is>
      </c>
      <c r="G453" s="23" t="inlineStr">
        <is>
          <t>RETAINED</t>
        </is>
      </c>
      <c r="H453" s="23" t="inlineStr">
        <is>
          <t>Carried forward</t>
        </is>
      </c>
      <c r="I453" s="23" t="inlineStr">
        <is>
          <t>Source assignment -- not individually reviewed</t>
        </is>
      </c>
      <c r="J453" s="23" t="inlineStr"/>
      <c r="K453" s="23" t="inlineStr">
        <is>
          <t>Source assignment</t>
        </is>
      </c>
      <c r="L453" s="23" t="inlineStr"/>
      <c r="M453" s="23" t="inlineStr">
        <is>
          <t>Contractor Programme Cycle 2</t>
        </is>
      </c>
      <c r="N453" s="23" t="inlineStr">
        <is>
          <t>Rev 1</t>
        </is>
      </c>
      <c r="O453" s="23" t="inlineStr">
        <is>
          <t>R207-v2</t>
        </is>
      </c>
      <c r="P453" s="23" t="inlineStr"/>
      <c r="Q453" s="23" t="inlineStr"/>
      <c r="R453" s="23" t="inlineStr"/>
      <c r="S453" s="23" t="inlineStr"/>
      <c r="T453" s="23" t="inlineStr"/>
      <c r="U453" s="23" t="inlineStr"/>
      <c r="V453" s="23" t="inlineStr">
        <is>
          <t>WBS Code = 1.2.2</t>
        </is>
      </c>
      <c r="W453" s="23" t="inlineStr"/>
    </row>
    <row r="454" ht="49" customHeight="1">
      <c r="A454" s="23" t="inlineStr">
        <is>
          <t>1.2.2</t>
        </is>
      </c>
      <c r="B454" s="23" t="inlineStr">
        <is>
          <t>Stations - Architectural Fit-Out</t>
        </is>
      </c>
      <c r="C454" s="23" t="inlineStr">
        <is>
          <t>Contractor Programme</t>
        </is>
      </c>
      <c r="D454" s="23" t="inlineStr">
        <is>
          <t>SCH-02-030</t>
        </is>
      </c>
      <c r="E454" s="23" t="inlineStr">
        <is>
          <t>West Terminal: station ventilation rough-in - installation</t>
        </is>
      </c>
      <c r="F454" s="23" t="inlineStr">
        <is>
          <t>ONE_TO_ONE</t>
        </is>
      </c>
      <c r="G454" s="23" t="inlineStr">
        <is>
          <t>RETAINED</t>
        </is>
      </c>
      <c r="H454" s="23" t="inlineStr">
        <is>
          <t>Carried forward</t>
        </is>
      </c>
      <c r="I454" s="23" t="inlineStr">
        <is>
          <t>Source assignment -- not individually reviewed</t>
        </is>
      </c>
      <c r="J454" s="23" t="inlineStr"/>
      <c r="K454" s="23" t="inlineStr">
        <is>
          <t>Source assignment</t>
        </is>
      </c>
      <c r="L454" s="23" t="inlineStr"/>
      <c r="M454" s="23" t="inlineStr">
        <is>
          <t>Contractor Programme Cycle 2</t>
        </is>
      </c>
      <c r="N454" s="23" t="inlineStr">
        <is>
          <t>Rev 1</t>
        </is>
      </c>
      <c r="O454" s="23" t="inlineStr">
        <is>
          <t>R210-v2</t>
        </is>
      </c>
      <c r="P454" s="23" t="inlineStr"/>
      <c r="Q454" s="23" t="inlineStr"/>
      <c r="R454" s="23" t="inlineStr"/>
      <c r="S454" s="23" t="inlineStr"/>
      <c r="T454" s="23" t="inlineStr"/>
      <c r="U454" s="23" t="inlineStr"/>
      <c r="V454" s="23" t="inlineStr">
        <is>
          <t>WBS Code = 1.2.2</t>
        </is>
      </c>
      <c r="W454" s="23" t="inlineStr"/>
    </row>
    <row r="455" ht="49" customHeight="1">
      <c r="A455" s="23" t="inlineStr">
        <is>
          <t>1.2.2</t>
        </is>
      </c>
      <c r="B455" s="23" t="inlineStr">
        <is>
          <t>Stations - Architectural Fit-Out</t>
        </is>
      </c>
      <c r="C455" s="23" t="inlineStr">
        <is>
          <t>Contractor Programme</t>
        </is>
      </c>
      <c r="D455" s="23" t="inlineStr">
        <is>
          <t>SCH-02-033</t>
        </is>
      </c>
      <c r="E455" s="23" t="inlineStr">
        <is>
          <t>Civic Station: vertical-transport installation - release</t>
        </is>
      </c>
      <c r="F455" s="23" t="inlineStr">
        <is>
          <t>ONE_TO_ONE</t>
        </is>
      </c>
      <c r="G455" s="23" t="inlineStr">
        <is>
          <t>RETAINED</t>
        </is>
      </c>
      <c r="H455" s="23" t="inlineStr">
        <is>
          <t>Carried forward</t>
        </is>
      </c>
      <c r="I455" s="23" t="inlineStr">
        <is>
          <t>Source assignment -- not individually reviewed</t>
        </is>
      </c>
      <c r="J455" s="23" t="inlineStr"/>
      <c r="K455" s="23" t="inlineStr">
        <is>
          <t>Source assignment</t>
        </is>
      </c>
      <c r="L455" s="23" t="inlineStr"/>
      <c r="M455" s="23" t="inlineStr">
        <is>
          <t>Contractor Programme Cycle 2</t>
        </is>
      </c>
      <c r="N455" s="23" t="inlineStr">
        <is>
          <t>Rev 1</t>
        </is>
      </c>
      <c r="O455" s="23" t="inlineStr">
        <is>
          <t>R213-v2</t>
        </is>
      </c>
      <c r="P455" s="23" t="inlineStr"/>
      <c r="Q455" s="23" t="inlineStr"/>
      <c r="R455" s="23" t="inlineStr"/>
      <c r="S455" s="23" t="inlineStr"/>
      <c r="T455" s="23" t="inlineStr"/>
      <c r="U455" s="23" t="inlineStr"/>
      <c r="V455" s="23" t="inlineStr">
        <is>
          <t>WBS Code = 1.2.2</t>
        </is>
      </c>
      <c r="W455" s="23" t="inlineStr"/>
    </row>
    <row r="456" ht="49" customHeight="1">
      <c r="A456" s="23" t="inlineStr">
        <is>
          <t>1.2.2</t>
        </is>
      </c>
      <c r="B456" s="23" t="inlineStr">
        <is>
          <t>Stations - Architectural Fit-Out</t>
        </is>
      </c>
      <c r="C456" s="23" t="inlineStr">
        <is>
          <t>Contractor Programme</t>
        </is>
      </c>
      <c r="D456" s="23" t="inlineStr">
        <is>
          <t>SCH-02-036</t>
        </is>
      </c>
      <c r="E456" s="23" t="inlineStr">
        <is>
          <t>Harbour Station: fire-life-safety cabling - inspection</t>
        </is>
      </c>
      <c r="F456" s="23" t="inlineStr">
        <is>
          <t>ONE_TO_ONE</t>
        </is>
      </c>
      <c r="G456" s="23" t="inlineStr">
        <is>
          <t>RETAINED</t>
        </is>
      </c>
      <c r="H456" s="23" t="inlineStr">
        <is>
          <t>Carried forward</t>
        </is>
      </c>
      <c r="I456" s="23" t="inlineStr">
        <is>
          <t>Source assignment -- not individually reviewed</t>
        </is>
      </c>
      <c r="J456" s="23" t="inlineStr"/>
      <c r="K456" s="23" t="inlineStr">
        <is>
          <t>Source assignment</t>
        </is>
      </c>
      <c r="L456" s="23" t="inlineStr"/>
      <c r="M456" s="23" t="inlineStr">
        <is>
          <t>Contractor Programme Cycle 2</t>
        </is>
      </c>
      <c r="N456" s="23" t="inlineStr">
        <is>
          <t>Rev 1</t>
        </is>
      </c>
      <c r="O456" s="23" t="inlineStr">
        <is>
          <t>R216-v2</t>
        </is>
      </c>
      <c r="P456" s="23" t="inlineStr"/>
      <c r="Q456" s="23" t="inlineStr"/>
      <c r="R456" s="23" t="inlineStr"/>
      <c r="S456" s="23" t="inlineStr"/>
      <c r="T456" s="23" t="inlineStr"/>
      <c r="U456" s="23" t="inlineStr"/>
      <c r="V456" s="23" t="inlineStr">
        <is>
          <t>WBS Code = 1.2.2</t>
        </is>
      </c>
      <c r="W456" s="23" t="inlineStr"/>
    </row>
    <row r="457" ht="49" customHeight="1">
      <c r="A457" s="23" t="inlineStr">
        <is>
          <t>1.2.2</t>
        </is>
      </c>
      <c r="B457" s="23" t="inlineStr">
        <is>
          <t>Stations - Architectural Fit-Out</t>
        </is>
      </c>
      <c r="C457" s="23" t="inlineStr">
        <is>
          <t>Contractor Programme</t>
        </is>
      </c>
      <c r="D457" s="23" t="inlineStr">
        <is>
          <t>SCH-02-039</t>
        </is>
      </c>
      <c r="E457" s="23" t="inlineStr">
        <is>
          <t>University Station: public-realm paving - field start</t>
        </is>
      </c>
      <c r="F457" s="23" t="inlineStr">
        <is>
          <t>ONE_TO_ONE</t>
        </is>
      </c>
      <c r="G457" s="23" t="inlineStr">
        <is>
          <t>RETAINED</t>
        </is>
      </c>
      <c r="H457" s="23" t="inlineStr">
        <is>
          <t>Carried forward</t>
        </is>
      </c>
      <c r="I457" s="23" t="inlineStr">
        <is>
          <t>Source assignment -- not individually reviewed</t>
        </is>
      </c>
      <c r="J457" s="23" t="inlineStr"/>
      <c r="K457" s="23" t="inlineStr">
        <is>
          <t>Source assignment</t>
        </is>
      </c>
      <c r="L457" s="23" t="inlineStr"/>
      <c r="M457" s="23" t="inlineStr">
        <is>
          <t>Contractor Programme Cycle 2</t>
        </is>
      </c>
      <c r="N457" s="23" t="inlineStr">
        <is>
          <t>Rev 1</t>
        </is>
      </c>
      <c r="O457" s="23" t="inlineStr">
        <is>
          <t>R219-v2</t>
        </is>
      </c>
      <c r="P457" s="23" t="inlineStr"/>
      <c r="Q457" s="23" t="inlineStr"/>
      <c r="R457" s="23" t="inlineStr"/>
      <c r="S457" s="23" t="inlineStr"/>
      <c r="T457" s="23" t="inlineStr"/>
      <c r="U457" s="23" t="inlineStr"/>
      <c r="V457" s="23" t="inlineStr">
        <is>
          <t>WBS Code = 1.2.2</t>
        </is>
      </c>
      <c r="W457" s="23" t="inlineStr"/>
    </row>
    <row r="458" ht="49" customHeight="1">
      <c r="A458" s="23" t="inlineStr">
        <is>
          <t>1.2.2</t>
        </is>
      </c>
      <c r="B458" s="23" t="inlineStr">
        <is>
          <t>Stations - Architectural Fit-Out</t>
        </is>
      </c>
      <c r="C458" s="23" t="inlineStr">
        <is>
          <t>Contractor Programme</t>
        </is>
      </c>
      <c r="D458" s="23" t="inlineStr">
        <is>
          <t>SCH-02-042</t>
        </is>
      </c>
      <c r="E458" s="23" t="inlineStr">
        <is>
          <t>Market Station: platform edge installation - turnover</t>
        </is>
      </c>
      <c r="F458" s="23" t="inlineStr">
        <is>
          <t>ONE_TO_ONE</t>
        </is>
      </c>
      <c r="G458" s="23" t="inlineStr">
        <is>
          <t>RETAINED</t>
        </is>
      </c>
      <c r="H458" s="23" t="inlineStr">
        <is>
          <t>Carried forward</t>
        </is>
      </c>
      <c r="I458" s="23" t="inlineStr">
        <is>
          <t>Source assignment -- not individually reviewed</t>
        </is>
      </c>
      <c r="J458" s="23" t="inlineStr"/>
      <c r="K458" s="23" t="inlineStr">
        <is>
          <t>Source assignment</t>
        </is>
      </c>
      <c r="L458" s="23" t="inlineStr"/>
      <c r="M458" s="23" t="inlineStr">
        <is>
          <t>Contractor Programme Cycle 2</t>
        </is>
      </c>
      <c r="N458" s="23" t="inlineStr">
        <is>
          <t>Rev 1</t>
        </is>
      </c>
      <c r="O458" s="23" t="inlineStr">
        <is>
          <t>R222-v2</t>
        </is>
      </c>
      <c r="P458" s="23" t="inlineStr"/>
      <c r="Q458" s="23" t="inlineStr"/>
      <c r="R458" s="23" t="inlineStr"/>
      <c r="S458" s="23" t="inlineStr"/>
      <c r="T458" s="23" t="inlineStr"/>
      <c r="U458" s="23" t="inlineStr"/>
      <c r="V458" s="23" t="inlineStr">
        <is>
          <t>WBS Code = 1.2.2</t>
        </is>
      </c>
      <c r="W458" s="23" t="inlineStr"/>
    </row>
    <row r="459" ht="49" customHeight="1">
      <c r="A459" s="23" t="inlineStr">
        <is>
          <t>1.2.2</t>
        </is>
      </c>
      <c r="B459" s="23" t="inlineStr">
        <is>
          <t>Stations - Architectural Fit-Out</t>
        </is>
      </c>
      <c r="C459" s="23" t="inlineStr">
        <is>
          <t>Contractor Programme</t>
        </is>
      </c>
      <c r="D459" s="23" t="inlineStr">
        <is>
          <t>SCH-02-045</t>
        </is>
      </c>
      <c r="E459" s="23" t="inlineStr">
        <is>
          <t>West Terminal: concourse slab pour - installation</t>
        </is>
      </c>
      <c r="F459" s="23" t="inlineStr">
        <is>
          <t>ONE_TO_ONE</t>
        </is>
      </c>
      <c r="G459" s="23" t="inlineStr">
        <is>
          <t>RETAINED</t>
        </is>
      </c>
      <c r="H459" s="23" t="inlineStr">
        <is>
          <t>Carried forward</t>
        </is>
      </c>
      <c r="I459" s="23" t="inlineStr">
        <is>
          <t>Source assignment -- not individually reviewed</t>
        </is>
      </c>
      <c r="J459" s="23" t="inlineStr"/>
      <c r="K459" s="23" t="inlineStr">
        <is>
          <t>Source assignment</t>
        </is>
      </c>
      <c r="L459" s="23" t="inlineStr"/>
      <c r="M459" s="23" t="inlineStr">
        <is>
          <t>Contractor Programme Cycle 2</t>
        </is>
      </c>
      <c r="N459" s="23" t="inlineStr">
        <is>
          <t>Rev 1</t>
        </is>
      </c>
      <c r="O459" s="23" t="inlineStr">
        <is>
          <t>R225-v2</t>
        </is>
      </c>
      <c r="P459" s="23" t="inlineStr"/>
      <c r="Q459" s="23" t="inlineStr"/>
      <c r="R459" s="23" t="inlineStr"/>
      <c r="S459" s="23" t="inlineStr"/>
      <c r="T459" s="23" t="inlineStr"/>
      <c r="U459" s="23" t="inlineStr"/>
      <c r="V459" s="23" t="inlineStr">
        <is>
          <t>WBS Code = 1.2.2</t>
        </is>
      </c>
      <c r="W459" s="23" t="inlineStr"/>
    </row>
    <row r="460" ht="49" customHeight="1">
      <c r="A460" s="23" t="inlineStr">
        <is>
          <t>1.2.2</t>
        </is>
      </c>
      <c r="B460" s="23" t="inlineStr">
        <is>
          <t>Stations - Architectural Fit-Out</t>
        </is>
      </c>
      <c r="C460" s="23" t="inlineStr">
        <is>
          <t>Contractor Programme</t>
        </is>
      </c>
      <c r="D460" s="23" t="inlineStr">
        <is>
          <t>SCH-02-048</t>
        </is>
      </c>
      <c r="E460" s="23" t="inlineStr">
        <is>
          <t>Civic Station: entrance steel erection - release</t>
        </is>
      </c>
      <c r="F460" s="23" t="inlineStr">
        <is>
          <t>ONE_TO_ONE</t>
        </is>
      </c>
      <c r="G460" s="23" t="inlineStr">
        <is>
          <t>RETAINED</t>
        </is>
      </c>
      <c r="H460" s="23" t="inlineStr">
        <is>
          <t>Carried forward</t>
        </is>
      </c>
      <c r="I460" s="23" t="inlineStr">
        <is>
          <t>Source assignment -- not individually reviewed</t>
        </is>
      </c>
      <c r="J460" s="23" t="inlineStr"/>
      <c r="K460" s="23" t="inlineStr">
        <is>
          <t>Source assignment</t>
        </is>
      </c>
      <c r="L460" s="23" t="inlineStr"/>
      <c r="M460" s="23" t="inlineStr">
        <is>
          <t>Contractor Programme Cycle 2</t>
        </is>
      </c>
      <c r="N460" s="23" t="inlineStr">
        <is>
          <t>Rev 1</t>
        </is>
      </c>
      <c r="O460" s="23" t="inlineStr">
        <is>
          <t>R228-v2</t>
        </is>
      </c>
      <c r="P460" s="23" t="inlineStr"/>
      <c r="Q460" s="23" t="inlineStr"/>
      <c r="R460" s="23" t="inlineStr"/>
      <c r="S460" s="23" t="inlineStr"/>
      <c r="T460" s="23" t="inlineStr"/>
      <c r="U460" s="23" t="inlineStr"/>
      <c r="V460" s="23" t="inlineStr">
        <is>
          <t>WBS Code = 1.2.2</t>
        </is>
      </c>
      <c r="W460" s="23" t="inlineStr"/>
    </row>
    <row r="461" ht="49" customHeight="1">
      <c r="A461" s="23" t="inlineStr">
        <is>
          <t>1.2.2</t>
        </is>
      </c>
      <c r="B461" s="23" t="inlineStr">
        <is>
          <t>Stations - Architectural Fit-Out</t>
        </is>
      </c>
      <c r="C461" s="23" t="inlineStr">
        <is>
          <t>Contractor Programme</t>
        </is>
      </c>
      <c r="D461" s="23" t="inlineStr">
        <is>
          <t>SCH-02-051</t>
        </is>
      </c>
      <c r="E461" s="23" t="inlineStr">
        <is>
          <t>Harbour Station: architectural wall framing - inspection</t>
        </is>
      </c>
      <c r="F461" s="23" t="inlineStr">
        <is>
          <t>ONE_TO_ONE</t>
        </is>
      </c>
      <c r="G461" s="23" t="inlineStr">
        <is>
          <t>RETAINED</t>
        </is>
      </c>
      <c r="H461" s="23" t="inlineStr">
        <is>
          <t>Carried forward</t>
        </is>
      </c>
      <c r="I461" s="23" t="inlineStr">
        <is>
          <t>Source assignment -- not individually reviewed</t>
        </is>
      </c>
      <c r="J461" s="23" t="inlineStr"/>
      <c r="K461" s="23" t="inlineStr">
        <is>
          <t>Source assignment</t>
        </is>
      </c>
      <c r="L461" s="23" t="inlineStr"/>
      <c r="M461" s="23" t="inlineStr">
        <is>
          <t>Contractor Programme Cycle 2</t>
        </is>
      </c>
      <c r="N461" s="23" t="inlineStr">
        <is>
          <t>Rev 1</t>
        </is>
      </c>
      <c r="O461" s="23" t="inlineStr">
        <is>
          <t>R231-v2</t>
        </is>
      </c>
      <c r="P461" s="23" t="inlineStr"/>
      <c r="Q461" s="23" t="inlineStr"/>
      <c r="R461" s="23" t="inlineStr"/>
      <c r="S461" s="23" t="inlineStr"/>
      <c r="T461" s="23" t="inlineStr"/>
      <c r="U461" s="23" t="inlineStr"/>
      <c r="V461" s="23" t="inlineStr">
        <is>
          <t>WBS Code = 1.2.2</t>
        </is>
      </c>
      <c r="W461" s="23" t="inlineStr"/>
    </row>
    <row r="462" ht="49" customHeight="1">
      <c r="A462" s="23" t="inlineStr">
        <is>
          <t>1.2.2</t>
        </is>
      </c>
      <c r="B462" s="23" t="inlineStr">
        <is>
          <t>Stations - Architectural Fit-Out</t>
        </is>
      </c>
      <c r="C462" s="23" t="inlineStr">
        <is>
          <t>Contractor Programme</t>
        </is>
      </c>
      <c r="D462" s="23" t="inlineStr">
        <is>
          <t>SCH-02-054</t>
        </is>
      </c>
      <c r="E462" s="23" t="inlineStr">
        <is>
          <t>University Station: station ventilation rough-in - field start</t>
        </is>
      </c>
      <c r="F462" s="23" t="inlineStr">
        <is>
          <t>ONE_TO_ONE</t>
        </is>
      </c>
      <c r="G462" s="23" t="inlineStr">
        <is>
          <t>RETAINED</t>
        </is>
      </c>
      <c r="H462" s="23" t="inlineStr">
        <is>
          <t>Carried forward</t>
        </is>
      </c>
      <c r="I462" s="23" t="inlineStr">
        <is>
          <t>Source assignment -- not individually reviewed</t>
        </is>
      </c>
      <c r="J462" s="23" t="inlineStr"/>
      <c r="K462" s="23" t="inlineStr">
        <is>
          <t>Source assignment</t>
        </is>
      </c>
      <c r="L462" s="23" t="inlineStr"/>
      <c r="M462" s="23" t="inlineStr">
        <is>
          <t>Contractor Programme Cycle 2</t>
        </is>
      </c>
      <c r="N462" s="23" t="inlineStr">
        <is>
          <t>Rev 1</t>
        </is>
      </c>
      <c r="O462" s="23" t="inlineStr">
        <is>
          <t>R234-v2</t>
        </is>
      </c>
      <c r="P462" s="23" t="inlineStr"/>
      <c r="Q462" s="23" t="inlineStr"/>
      <c r="R462" s="23" t="inlineStr"/>
      <c r="S462" s="23" t="inlineStr"/>
      <c r="T462" s="23" t="inlineStr"/>
      <c r="U462" s="23" t="inlineStr"/>
      <c r="V462" s="23" t="inlineStr">
        <is>
          <t>WBS Code = 1.2.2</t>
        </is>
      </c>
      <c r="W462" s="23" t="inlineStr"/>
    </row>
    <row r="463" ht="49" customHeight="1">
      <c r="A463" s="23" t="inlineStr">
        <is>
          <t>1.2.2</t>
        </is>
      </c>
      <c r="B463" s="23" t="inlineStr">
        <is>
          <t>Stations - Architectural Fit-Out</t>
        </is>
      </c>
      <c r="C463" s="23" t="inlineStr">
        <is>
          <t>Contractor Programme</t>
        </is>
      </c>
      <c r="D463" s="23" t="inlineStr">
        <is>
          <t>SCH-02-057</t>
        </is>
      </c>
      <c r="E463" s="23" t="inlineStr">
        <is>
          <t>Market Station: vertical-transport installation - turnover</t>
        </is>
      </c>
      <c r="F463" s="23" t="inlineStr">
        <is>
          <t>ONE_TO_ONE</t>
        </is>
      </c>
      <c r="G463" s="23" t="inlineStr">
        <is>
          <t>RETAINED</t>
        </is>
      </c>
      <c r="H463" s="23" t="inlineStr">
        <is>
          <t>Carried forward</t>
        </is>
      </c>
      <c r="I463" s="23" t="inlineStr">
        <is>
          <t>Source assignment -- not individually reviewed</t>
        </is>
      </c>
      <c r="J463" s="23" t="inlineStr"/>
      <c r="K463" s="23" t="inlineStr">
        <is>
          <t>Source assignment</t>
        </is>
      </c>
      <c r="L463" s="23" t="inlineStr"/>
      <c r="M463" s="23" t="inlineStr">
        <is>
          <t>Contractor Programme Cycle 2</t>
        </is>
      </c>
      <c r="N463" s="23" t="inlineStr">
        <is>
          <t>Rev 1</t>
        </is>
      </c>
      <c r="O463" s="23" t="inlineStr">
        <is>
          <t>R237-v2</t>
        </is>
      </c>
      <c r="P463" s="23" t="inlineStr"/>
      <c r="Q463" s="23" t="inlineStr"/>
      <c r="R463" s="23" t="inlineStr"/>
      <c r="S463" s="23" t="inlineStr"/>
      <c r="T463" s="23" t="inlineStr"/>
      <c r="U463" s="23" t="inlineStr"/>
      <c r="V463" s="23" t="inlineStr">
        <is>
          <t>WBS Code = 1.2.2</t>
        </is>
      </c>
      <c r="W463" s="23" t="inlineStr"/>
    </row>
    <row r="464" ht="49" customHeight="1">
      <c r="A464" s="23" t="inlineStr">
        <is>
          <t>1.2.2</t>
        </is>
      </c>
      <c r="B464" s="23" t="inlineStr">
        <is>
          <t>Stations - Architectural Fit-Out</t>
        </is>
      </c>
      <c r="C464" s="23" t="inlineStr">
        <is>
          <t>Contractor Programme</t>
        </is>
      </c>
      <c r="D464" s="23" t="inlineStr">
        <is>
          <t>SCH-02-060</t>
        </is>
      </c>
      <c r="E464" s="23" t="inlineStr">
        <is>
          <t>West Terminal: fire-life-safety cabling - installation</t>
        </is>
      </c>
      <c r="F464" s="23" t="inlineStr">
        <is>
          <t>ONE_TO_ONE</t>
        </is>
      </c>
      <c r="G464" s="23" t="inlineStr">
        <is>
          <t>RETAINED</t>
        </is>
      </c>
      <c r="H464" s="23" t="inlineStr">
        <is>
          <t>Carried forward</t>
        </is>
      </c>
      <c r="I464" s="23" t="inlineStr">
        <is>
          <t>Source assignment -- not individually reviewed</t>
        </is>
      </c>
      <c r="J464" s="23" t="inlineStr"/>
      <c r="K464" s="23" t="inlineStr">
        <is>
          <t>Source assignment</t>
        </is>
      </c>
      <c r="L464" s="23" t="inlineStr"/>
      <c r="M464" s="23" t="inlineStr">
        <is>
          <t>Contractor Programme Cycle 2</t>
        </is>
      </c>
      <c r="N464" s="23" t="inlineStr">
        <is>
          <t>Rev 1</t>
        </is>
      </c>
      <c r="O464" s="23" t="inlineStr">
        <is>
          <t>R240-v2</t>
        </is>
      </c>
      <c r="P464" s="23" t="inlineStr"/>
      <c r="Q464" s="23" t="inlineStr"/>
      <c r="R464" s="23" t="inlineStr"/>
      <c r="S464" s="23" t="inlineStr"/>
      <c r="T464" s="23" t="inlineStr"/>
      <c r="U464" s="23" t="inlineStr"/>
      <c r="V464" s="23" t="inlineStr">
        <is>
          <t>WBS Code = 1.2.2</t>
        </is>
      </c>
      <c r="W464" s="23" t="inlineStr"/>
    </row>
    <row r="465" ht="49" customHeight="1">
      <c r="A465" s="23" t="inlineStr">
        <is>
          <t>1.2.2</t>
        </is>
      </c>
      <c r="B465" s="23" t="inlineStr">
        <is>
          <t>Stations - Architectural Fit-Out</t>
        </is>
      </c>
      <c r="C465" s="23" t="inlineStr">
        <is>
          <t>Contractor Programme</t>
        </is>
      </c>
      <c r="D465" s="23" t="inlineStr">
        <is>
          <t>SCH-02-063</t>
        </is>
      </c>
      <c r="E465" s="23" t="inlineStr">
        <is>
          <t>Civic Station: public-realm paving - release</t>
        </is>
      </c>
      <c r="F465" s="23" t="inlineStr">
        <is>
          <t>ONE_TO_ONE</t>
        </is>
      </c>
      <c r="G465" s="23" t="inlineStr">
        <is>
          <t>RETAINED</t>
        </is>
      </c>
      <c r="H465" s="23" t="inlineStr">
        <is>
          <t>Carried forward</t>
        </is>
      </c>
      <c r="I465" s="23" t="inlineStr">
        <is>
          <t>Source assignment -- not individually reviewed</t>
        </is>
      </c>
      <c r="J465" s="23" t="inlineStr"/>
      <c r="K465" s="23" t="inlineStr">
        <is>
          <t>Source assignment</t>
        </is>
      </c>
      <c r="L465" s="23" t="inlineStr"/>
      <c r="M465" s="23" t="inlineStr">
        <is>
          <t>Contractor Programme Cycle 2</t>
        </is>
      </c>
      <c r="N465" s="23" t="inlineStr">
        <is>
          <t>Rev 1</t>
        </is>
      </c>
      <c r="O465" s="23" t="inlineStr">
        <is>
          <t>R243-v2</t>
        </is>
      </c>
      <c r="P465" s="23" t="inlineStr"/>
      <c r="Q465" s="23" t="inlineStr"/>
      <c r="R465" s="23" t="inlineStr"/>
      <c r="S465" s="23" t="inlineStr"/>
      <c r="T465" s="23" t="inlineStr"/>
      <c r="U465" s="23" t="inlineStr"/>
      <c r="V465" s="23" t="inlineStr">
        <is>
          <t>WBS Code = 1.2.2</t>
        </is>
      </c>
      <c r="W465" s="23" t="inlineStr"/>
    </row>
    <row r="466" ht="49" customHeight="1">
      <c r="A466" s="23" t="inlineStr">
        <is>
          <t>1.2.2</t>
        </is>
      </c>
      <c r="B466" s="23" t="inlineStr">
        <is>
          <t>Stations - Architectural Fit-Out</t>
        </is>
      </c>
      <c r="C466" s="23" t="inlineStr">
        <is>
          <t>Contractor Programme</t>
        </is>
      </c>
      <c r="D466" s="23" t="inlineStr">
        <is>
          <t>SCH-02-066</t>
        </is>
      </c>
      <c r="E466" s="23" t="inlineStr">
        <is>
          <t>Harbour Station: platform edge installation - inspection</t>
        </is>
      </c>
      <c r="F466" s="23" t="inlineStr">
        <is>
          <t>ONE_TO_ONE</t>
        </is>
      </c>
      <c r="G466" s="23" t="inlineStr">
        <is>
          <t>RETAINED</t>
        </is>
      </c>
      <c r="H466" s="23" t="inlineStr">
        <is>
          <t>Carried forward</t>
        </is>
      </c>
      <c r="I466" s="23" t="inlineStr">
        <is>
          <t>Source assignment -- not individually reviewed</t>
        </is>
      </c>
      <c r="J466" s="23" t="inlineStr"/>
      <c r="K466" s="23" t="inlineStr">
        <is>
          <t>Source assignment</t>
        </is>
      </c>
      <c r="L466" s="23" t="inlineStr"/>
      <c r="M466" s="23" t="inlineStr">
        <is>
          <t>Contractor Programme Cycle 2</t>
        </is>
      </c>
      <c r="N466" s="23" t="inlineStr">
        <is>
          <t>Rev 1</t>
        </is>
      </c>
      <c r="O466" s="23" t="inlineStr">
        <is>
          <t>R246-v2</t>
        </is>
      </c>
      <c r="P466" s="23" t="inlineStr"/>
      <c r="Q466" s="23" t="inlineStr"/>
      <c r="R466" s="23" t="inlineStr"/>
      <c r="S466" s="23" t="inlineStr"/>
      <c r="T466" s="23" t="inlineStr"/>
      <c r="U466" s="23" t="inlineStr"/>
      <c r="V466" s="23" t="inlineStr">
        <is>
          <t>WBS Code = 1.2.2</t>
        </is>
      </c>
      <c r="W466" s="23" t="inlineStr"/>
    </row>
    <row r="467" ht="49" customHeight="1">
      <c r="A467" s="23" t="inlineStr">
        <is>
          <t>1.2.2</t>
        </is>
      </c>
      <c r="B467" s="23" t="inlineStr">
        <is>
          <t>Stations - Architectural Fit-Out</t>
        </is>
      </c>
      <c r="C467" s="23" t="inlineStr">
        <is>
          <t>Contractor Programme</t>
        </is>
      </c>
      <c r="D467" s="23" t="inlineStr">
        <is>
          <t>SCH-02-069</t>
        </is>
      </c>
      <c r="E467" s="23" t="inlineStr">
        <is>
          <t>University Station: concourse slab pour - field start</t>
        </is>
      </c>
      <c r="F467" s="23" t="inlineStr">
        <is>
          <t>ONE_TO_ONE</t>
        </is>
      </c>
      <c r="G467" s="23" t="inlineStr">
        <is>
          <t>RETAINED</t>
        </is>
      </c>
      <c r="H467" s="23" t="inlineStr">
        <is>
          <t>Carried forward</t>
        </is>
      </c>
      <c r="I467" s="23" t="inlineStr">
        <is>
          <t>Source assignment -- not individually reviewed</t>
        </is>
      </c>
      <c r="J467" s="23" t="inlineStr"/>
      <c r="K467" s="23" t="inlineStr">
        <is>
          <t>Source assignment</t>
        </is>
      </c>
      <c r="L467" s="23" t="inlineStr"/>
      <c r="M467" s="23" t="inlineStr">
        <is>
          <t>Contractor Programme Cycle 2</t>
        </is>
      </c>
      <c r="N467" s="23" t="inlineStr">
        <is>
          <t>Rev 1</t>
        </is>
      </c>
      <c r="O467" s="23" t="inlineStr">
        <is>
          <t>R249-v2</t>
        </is>
      </c>
      <c r="P467" s="23" t="inlineStr"/>
      <c r="Q467" s="23" t="inlineStr"/>
      <c r="R467" s="23" t="inlineStr"/>
      <c r="S467" s="23" t="inlineStr"/>
      <c r="T467" s="23" t="inlineStr"/>
      <c r="U467" s="23" t="inlineStr"/>
      <c r="V467" s="23" t="inlineStr">
        <is>
          <t>WBS Code = 1.2.2</t>
        </is>
      </c>
      <c r="W467" s="23" t="inlineStr"/>
    </row>
    <row r="468" ht="49" customHeight="1">
      <c r="A468" s="23" t="inlineStr">
        <is>
          <t>1.2.2</t>
        </is>
      </c>
      <c r="B468" s="23" t="inlineStr">
        <is>
          <t>Stations - Architectural Fit-Out</t>
        </is>
      </c>
      <c r="C468" s="23" t="inlineStr">
        <is>
          <t>Contractor Programme</t>
        </is>
      </c>
      <c r="D468" s="23" t="inlineStr">
        <is>
          <t>SCH-02-072</t>
        </is>
      </c>
      <c r="E468" s="23" t="inlineStr">
        <is>
          <t>Market Station: entrance steel erection - turnover</t>
        </is>
      </c>
      <c r="F468" s="23" t="inlineStr">
        <is>
          <t>ONE_TO_ONE</t>
        </is>
      </c>
      <c r="G468" s="23" t="inlineStr">
        <is>
          <t>RETAINED</t>
        </is>
      </c>
      <c r="H468" s="23" t="inlineStr">
        <is>
          <t>Carried forward</t>
        </is>
      </c>
      <c r="I468" s="23" t="inlineStr">
        <is>
          <t>Source assignment -- not individually reviewed</t>
        </is>
      </c>
      <c r="J468" s="23" t="inlineStr"/>
      <c r="K468" s="23" t="inlineStr">
        <is>
          <t>Source assignment</t>
        </is>
      </c>
      <c r="L468" s="23" t="inlineStr"/>
      <c r="M468" s="23" t="inlineStr">
        <is>
          <t>Contractor Programme Cycle 2</t>
        </is>
      </c>
      <c r="N468" s="23" t="inlineStr">
        <is>
          <t>Rev 1</t>
        </is>
      </c>
      <c r="O468" s="23" t="inlineStr">
        <is>
          <t>R252-v2</t>
        </is>
      </c>
      <c r="P468" s="23" t="inlineStr"/>
      <c r="Q468" s="23" t="inlineStr"/>
      <c r="R468" s="23" t="inlineStr"/>
      <c r="S468" s="23" t="inlineStr"/>
      <c r="T468" s="23" t="inlineStr"/>
      <c r="U468" s="23" t="inlineStr"/>
      <c r="V468" s="23" t="inlineStr">
        <is>
          <t>WBS Code = 1.2.2</t>
        </is>
      </c>
      <c r="W468" s="23" t="inlineStr"/>
    </row>
    <row r="469" ht="49" customHeight="1">
      <c r="A469" s="23" t="inlineStr">
        <is>
          <t>1.2.2</t>
        </is>
      </c>
      <c r="B469" s="23" t="inlineStr">
        <is>
          <t>Stations - Architectural Fit-Out</t>
        </is>
      </c>
      <c r="C469" s="23" t="inlineStr">
        <is>
          <t>Contractor Programme</t>
        </is>
      </c>
      <c r="D469" s="23" t="inlineStr">
        <is>
          <t>SCH-02-075</t>
        </is>
      </c>
      <c r="E469" s="23" t="inlineStr">
        <is>
          <t>West Terminal: architectural wall framing - installation</t>
        </is>
      </c>
      <c r="F469" s="23" t="inlineStr">
        <is>
          <t>ONE_TO_ONE</t>
        </is>
      </c>
      <c r="G469" s="23" t="inlineStr">
        <is>
          <t>RETAINED</t>
        </is>
      </c>
      <c r="H469" s="23" t="inlineStr">
        <is>
          <t>Carried forward</t>
        </is>
      </c>
      <c r="I469" s="23" t="inlineStr">
        <is>
          <t>Source assignment -- not individually reviewed</t>
        </is>
      </c>
      <c r="J469" s="23" t="inlineStr"/>
      <c r="K469" s="23" t="inlineStr">
        <is>
          <t>Source assignment</t>
        </is>
      </c>
      <c r="L469" s="23" t="inlineStr"/>
      <c r="M469" s="23" t="inlineStr">
        <is>
          <t>Contractor Programme Cycle 2</t>
        </is>
      </c>
      <c r="N469" s="23" t="inlineStr">
        <is>
          <t>Rev 1</t>
        </is>
      </c>
      <c r="O469" s="23" t="inlineStr">
        <is>
          <t>R255-v2</t>
        </is>
      </c>
      <c r="P469" s="23" t="inlineStr"/>
      <c r="Q469" s="23" t="inlineStr"/>
      <c r="R469" s="23" t="inlineStr"/>
      <c r="S469" s="23" t="inlineStr"/>
      <c r="T469" s="23" t="inlineStr"/>
      <c r="U469" s="23" t="inlineStr"/>
      <c r="V469" s="23" t="inlineStr">
        <is>
          <t>WBS Code = 1.2.2</t>
        </is>
      </c>
      <c r="W469" s="23" t="inlineStr"/>
    </row>
    <row r="470" ht="49" customHeight="1">
      <c r="A470" s="23" t="inlineStr">
        <is>
          <t>1.2.2</t>
        </is>
      </c>
      <c r="B470" s="23" t="inlineStr">
        <is>
          <t>Stations - Architectural Fit-Out</t>
        </is>
      </c>
      <c r="C470" s="23" t="inlineStr">
        <is>
          <t>Contractor Programme</t>
        </is>
      </c>
      <c r="D470" s="23" t="inlineStr">
        <is>
          <t>SCH-02-078</t>
        </is>
      </c>
      <c r="E470" s="23" t="inlineStr">
        <is>
          <t>Civic Station: station ventilation rough-in - release</t>
        </is>
      </c>
      <c r="F470" s="23" t="inlineStr">
        <is>
          <t>ONE_TO_ONE</t>
        </is>
      </c>
      <c r="G470" s="23" t="inlineStr">
        <is>
          <t>RETAINED</t>
        </is>
      </c>
      <c r="H470" s="23" t="inlineStr">
        <is>
          <t>Carried forward</t>
        </is>
      </c>
      <c r="I470" s="23" t="inlineStr">
        <is>
          <t>Source assignment -- not individually reviewed</t>
        </is>
      </c>
      <c r="J470" s="23" t="inlineStr"/>
      <c r="K470" s="23" t="inlineStr">
        <is>
          <t>Source assignment</t>
        </is>
      </c>
      <c r="L470" s="23" t="inlineStr"/>
      <c r="M470" s="23" t="inlineStr">
        <is>
          <t>Contractor Programme Cycle 2</t>
        </is>
      </c>
      <c r="N470" s="23" t="inlineStr">
        <is>
          <t>Rev 1</t>
        </is>
      </c>
      <c r="O470" s="23" t="inlineStr">
        <is>
          <t>R258-v2</t>
        </is>
      </c>
      <c r="P470" s="23" t="inlineStr"/>
      <c r="Q470" s="23" t="inlineStr"/>
      <c r="R470" s="23" t="inlineStr"/>
      <c r="S470" s="23" t="inlineStr"/>
      <c r="T470" s="23" t="inlineStr"/>
      <c r="U470" s="23" t="inlineStr"/>
      <c r="V470" s="23" t="inlineStr">
        <is>
          <t>WBS Code = 1.2.2</t>
        </is>
      </c>
      <c r="W470" s="23" t="inlineStr"/>
    </row>
    <row r="471" ht="49" customHeight="1">
      <c r="A471" s="23" t="inlineStr">
        <is>
          <t>1.2.2</t>
        </is>
      </c>
      <c r="B471" s="23" t="inlineStr">
        <is>
          <t>Stations - Architectural Fit-Out</t>
        </is>
      </c>
      <c r="C471" s="23" t="inlineStr">
        <is>
          <t>Contractor Programme</t>
        </is>
      </c>
      <c r="D471" s="23" t="inlineStr">
        <is>
          <t>SCH-02-081</t>
        </is>
      </c>
      <c r="E471" s="23" t="inlineStr">
        <is>
          <t>Harbour Station: vertical-transport installation - inspection</t>
        </is>
      </c>
      <c r="F471" s="23" t="inlineStr">
        <is>
          <t>ONE_TO_ONE</t>
        </is>
      </c>
      <c r="G471" s="23" t="inlineStr">
        <is>
          <t>RETAINED</t>
        </is>
      </c>
      <c r="H471" s="23" t="inlineStr">
        <is>
          <t>Carried forward</t>
        </is>
      </c>
      <c r="I471" s="23" t="inlineStr">
        <is>
          <t>Source assignment -- not individually reviewed</t>
        </is>
      </c>
      <c r="J471" s="23" t="inlineStr"/>
      <c r="K471" s="23" t="inlineStr">
        <is>
          <t>Source assignment</t>
        </is>
      </c>
      <c r="L471" s="23" t="inlineStr"/>
      <c r="M471" s="23" t="inlineStr">
        <is>
          <t>Contractor Programme Cycle 2</t>
        </is>
      </c>
      <c r="N471" s="23" t="inlineStr">
        <is>
          <t>Rev 1</t>
        </is>
      </c>
      <c r="O471" s="23" t="inlineStr">
        <is>
          <t>R261-v2</t>
        </is>
      </c>
      <c r="P471" s="23" t="inlineStr"/>
      <c r="Q471" s="23" t="inlineStr"/>
      <c r="R471" s="23" t="inlineStr"/>
      <c r="S471" s="23" t="inlineStr"/>
      <c r="T471" s="23" t="inlineStr"/>
      <c r="U471" s="23" t="inlineStr"/>
      <c r="V471" s="23" t="inlineStr">
        <is>
          <t>WBS Code = 1.2.2</t>
        </is>
      </c>
      <c r="W471" s="23" t="inlineStr"/>
    </row>
    <row r="472" ht="49" customHeight="1">
      <c r="A472" s="23" t="inlineStr">
        <is>
          <t>1.2.2</t>
        </is>
      </c>
      <c r="B472" s="23" t="inlineStr">
        <is>
          <t>Stations - Architectural Fit-Out</t>
        </is>
      </c>
      <c r="C472" s="23" t="inlineStr">
        <is>
          <t>Contractor Programme</t>
        </is>
      </c>
      <c r="D472" s="23" t="inlineStr">
        <is>
          <t>SCH-02-084</t>
        </is>
      </c>
      <c r="E472" s="23" t="inlineStr">
        <is>
          <t>University Station: fire-life-safety cabling - field start</t>
        </is>
      </c>
      <c r="F472" s="23" t="inlineStr">
        <is>
          <t>ONE_TO_ONE</t>
        </is>
      </c>
      <c r="G472" s="23" t="inlineStr">
        <is>
          <t>RETAINED</t>
        </is>
      </c>
      <c r="H472" s="23" t="inlineStr">
        <is>
          <t>Carried forward</t>
        </is>
      </c>
      <c r="I472" s="23" t="inlineStr">
        <is>
          <t>Source assignment -- not individually reviewed</t>
        </is>
      </c>
      <c r="J472" s="23" t="inlineStr"/>
      <c r="K472" s="23" t="inlineStr">
        <is>
          <t>Source assignment</t>
        </is>
      </c>
      <c r="L472" s="23" t="inlineStr"/>
      <c r="M472" s="23" t="inlineStr">
        <is>
          <t>Contractor Programme Cycle 2</t>
        </is>
      </c>
      <c r="N472" s="23" t="inlineStr">
        <is>
          <t>Rev 1</t>
        </is>
      </c>
      <c r="O472" s="23" t="inlineStr">
        <is>
          <t>R264-v2</t>
        </is>
      </c>
      <c r="P472" s="23" t="inlineStr"/>
      <c r="Q472" s="23" t="inlineStr"/>
      <c r="R472" s="23" t="inlineStr"/>
      <c r="S472" s="23" t="inlineStr"/>
      <c r="T472" s="23" t="inlineStr"/>
      <c r="U472" s="23" t="inlineStr"/>
      <c r="V472" s="23" t="inlineStr">
        <is>
          <t>WBS Code = 1.2.2</t>
        </is>
      </c>
      <c r="W472" s="23" t="inlineStr"/>
    </row>
    <row r="473" ht="49" customHeight="1">
      <c r="A473" s="23" t="inlineStr">
        <is>
          <t>1.2.2</t>
        </is>
      </c>
      <c r="B473" s="23" t="inlineStr">
        <is>
          <t>Stations - Architectural Fit-Out</t>
        </is>
      </c>
      <c r="C473" s="23" t="inlineStr">
        <is>
          <t>Contractor Programme</t>
        </is>
      </c>
      <c r="D473" s="23" t="inlineStr">
        <is>
          <t>SCH-02-087</t>
        </is>
      </c>
      <c r="E473" s="23" t="inlineStr">
        <is>
          <t>Market Station: public-realm paving - turnover</t>
        </is>
      </c>
      <c r="F473" s="23" t="inlineStr">
        <is>
          <t>ONE_TO_ONE</t>
        </is>
      </c>
      <c r="G473" s="23" t="inlineStr">
        <is>
          <t>RETAINED</t>
        </is>
      </c>
      <c r="H473" s="23" t="inlineStr">
        <is>
          <t>Carried forward</t>
        </is>
      </c>
      <c r="I473" s="23" t="inlineStr">
        <is>
          <t>Source assignment -- not individually reviewed</t>
        </is>
      </c>
      <c r="J473" s="23" t="inlineStr"/>
      <c r="K473" s="23" t="inlineStr">
        <is>
          <t>Source assignment</t>
        </is>
      </c>
      <c r="L473" s="23" t="inlineStr"/>
      <c r="M473" s="23" t="inlineStr">
        <is>
          <t>Contractor Programme Cycle 2</t>
        </is>
      </c>
      <c r="N473" s="23" t="inlineStr">
        <is>
          <t>Rev 1</t>
        </is>
      </c>
      <c r="O473" s="23" t="inlineStr">
        <is>
          <t>R267-v2</t>
        </is>
      </c>
      <c r="P473" s="23" t="inlineStr"/>
      <c r="Q473" s="23" t="inlineStr"/>
      <c r="R473" s="23" t="inlineStr"/>
      <c r="S473" s="23" t="inlineStr"/>
      <c r="T473" s="23" t="inlineStr"/>
      <c r="U473" s="23" t="inlineStr"/>
      <c r="V473" s="23" t="inlineStr">
        <is>
          <t>WBS Code = 1.2.2</t>
        </is>
      </c>
      <c r="W473" s="23" t="inlineStr"/>
    </row>
    <row r="474" ht="49" customHeight="1">
      <c r="A474" s="23" t="inlineStr">
        <is>
          <t>1.2.2</t>
        </is>
      </c>
      <c r="B474" s="23" t="inlineStr">
        <is>
          <t>Stations - Architectural Fit-Out</t>
        </is>
      </c>
      <c r="C474" s="23" t="inlineStr">
        <is>
          <t>Contractor Programme</t>
        </is>
      </c>
      <c r="D474" s="23" t="inlineStr">
        <is>
          <t>SCH-02-090</t>
        </is>
      </c>
      <c r="E474" s="23" t="inlineStr">
        <is>
          <t>West Terminal: platform edge installation - installation</t>
        </is>
      </c>
      <c r="F474" s="23" t="inlineStr">
        <is>
          <t>ONE_TO_ONE</t>
        </is>
      </c>
      <c r="G474" s="23" t="inlineStr">
        <is>
          <t>RETAINED</t>
        </is>
      </c>
      <c r="H474" s="23" t="inlineStr">
        <is>
          <t>Carried forward</t>
        </is>
      </c>
      <c r="I474" s="23" t="inlineStr">
        <is>
          <t>Source assignment -- not individually reviewed</t>
        </is>
      </c>
      <c r="J474" s="23" t="inlineStr"/>
      <c r="K474" s="23" t="inlineStr">
        <is>
          <t>Source assignment</t>
        </is>
      </c>
      <c r="L474" s="23" t="inlineStr"/>
      <c r="M474" s="23" t="inlineStr">
        <is>
          <t>Contractor Programme Cycle 2</t>
        </is>
      </c>
      <c r="N474" s="23" t="inlineStr">
        <is>
          <t>Rev 1</t>
        </is>
      </c>
      <c r="O474" s="23" t="inlineStr">
        <is>
          <t>R270-v2</t>
        </is>
      </c>
      <c r="P474" s="23" t="inlineStr"/>
      <c r="Q474" s="23" t="inlineStr"/>
      <c r="R474" s="23" t="inlineStr"/>
      <c r="S474" s="23" t="inlineStr"/>
      <c r="T474" s="23" t="inlineStr"/>
      <c r="U474" s="23" t="inlineStr"/>
      <c r="V474" s="23" t="inlineStr">
        <is>
          <t>WBS Code = 1.2.2</t>
        </is>
      </c>
      <c r="W474" s="23" t="inlineStr"/>
    </row>
    <row r="475" ht="49" customHeight="1">
      <c r="A475" s="23" t="inlineStr">
        <is>
          <t>1.2.2</t>
        </is>
      </c>
      <c r="B475" s="23" t="inlineStr">
        <is>
          <t>Stations - Architectural Fit-Out</t>
        </is>
      </c>
      <c r="C475" s="23" t="inlineStr">
        <is>
          <t>Contractor Programme</t>
        </is>
      </c>
      <c r="D475" s="23" t="inlineStr">
        <is>
          <t>SCH-02-093</t>
        </is>
      </c>
      <c r="E475" s="23" t="inlineStr">
        <is>
          <t>Civic Station: concourse slab pour - release</t>
        </is>
      </c>
      <c r="F475" s="23" t="inlineStr">
        <is>
          <t>ONE_TO_ONE</t>
        </is>
      </c>
      <c r="G475" s="23" t="inlineStr">
        <is>
          <t>RETAINED</t>
        </is>
      </c>
      <c r="H475" s="23" t="inlineStr">
        <is>
          <t>Carried forward</t>
        </is>
      </c>
      <c r="I475" s="23" t="inlineStr">
        <is>
          <t>Source assignment -- not individually reviewed</t>
        </is>
      </c>
      <c r="J475" s="23" t="inlineStr"/>
      <c r="K475" s="23" t="inlineStr">
        <is>
          <t>Source assignment</t>
        </is>
      </c>
      <c r="L475" s="23" t="inlineStr"/>
      <c r="M475" s="23" t="inlineStr">
        <is>
          <t>Contractor Programme Cycle 2</t>
        </is>
      </c>
      <c r="N475" s="23" t="inlineStr">
        <is>
          <t>Rev 1</t>
        </is>
      </c>
      <c r="O475" s="23" t="inlineStr">
        <is>
          <t>R273-v2</t>
        </is>
      </c>
      <c r="P475" s="23" t="inlineStr"/>
      <c r="Q475" s="23" t="inlineStr"/>
      <c r="R475" s="23" t="inlineStr"/>
      <c r="S475" s="23" t="inlineStr"/>
      <c r="T475" s="23" t="inlineStr"/>
      <c r="U475" s="23" t="inlineStr"/>
      <c r="V475" s="23" t="inlineStr">
        <is>
          <t>WBS Code = 1.2.2</t>
        </is>
      </c>
      <c r="W475" s="23" t="inlineStr"/>
    </row>
    <row r="476" ht="49" customHeight="1">
      <c r="A476" s="23" t="inlineStr">
        <is>
          <t>1.2.2</t>
        </is>
      </c>
      <c r="B476" s="23" t="inlineStr">
        <is>
          <t>Stations - Architectural Fit-Out</t>
        </is>
      </c>
      <c r="C476" s="23" t="inlineStr">
        <is>
          <t>Contractor Programme</t>
        </is>
      </c>
      <c r="D476" s="23" t="inlineStr">
        <is>
          <t>SCH-02-096</t>
        </is>
      </c>
      <c r="E476" s="23" t="inlineStr">
        <is>
          <t>Harbour Station: entrance steel erection - inspection</t>
        </is>
      </c>
      <c r="F476" s="23" t="inlineStr">
        <is>
          <t>ONE_TO_ONE</t>
        </is>
      </c>
      <c r="G476" s="23" t="inlineStr">
        <is>
          <t>RETAINED</t>
        </is>
      </c>
      <c r="H476" s="23" t="inlineStr">
        <is>
          <t>Carried forward</t>
        </is>
      </c>
      <c r="I476" s="23" t="inlineStr">
        <is>
          <t>Source assignment -- not individually reviewed</t>
        </is>
      </c>
      <c r="J476" s="23" t="inlineStr"/>
      <c r="K476" s="23" t="inlineStr">
        <is>
          <t>Source assignment</t>
        </is>
      </c>
      <c r="L476" s="23" t="inlineStr"/>
      <c r="M476" s="23" t="inlineStr">
        <is>
          <t>Contractor Programme Cycle 2</t>
        </is>
      </c>
      <c r="N476" s="23" t="inlineStr">
        <is>
          <t>Rev 1</t>
        </is>
      </c>
      <c r="O476" s="23" t="inlineStr">
        <is>
          <t>R276-v2</t>
        </is>
      </c>
      <c r="P476" s="23" t="inlineStr"/>
      <c r="Q476" s="23" t="inlineStr"/>
      <c r="R476" s="23" t="inlineStr"/>
      <c r="S476" s="23" t="inlineStr"/>
      <c r="T476" s="23" t="inlineStr"/>
      <c r="U476" s="23" t="inlineStr"/>
      <c r="V476" s="23" t="inlineStr">
        <is>
          <t>WBS Code = 1.2.2</t>
        </is>
      </c>
      <c r="W476" s="23" t="inlineStr"/>
    </row>
    <row r="477" ht="49" customHeight="1">
      <c r="A477" s="23" t="inlineStr">
        <is>
          <t>1.2.2</t>
        </is>
      </c>
      <c r="B477" s="23" t="inlineStr">
        <is>
          <t>Stations - Architectural Fit-Out</t>
        </is>
      </c>
      <c r="C477" s="23" t="inlineStr">
        <is>
          <t>Contractor Programme</t>
        </is>
      </c>
      <c r="D477" s="23" t="inlineStr">
        <is>
          <t>SCH-02-099</t>
        </is>
      </c>
      <c r="E477" s="23" t="inlineStr">
        <is>
          <t>University Station: architectural wall framing - field start</t>
        </is>
      </c>
      <c r="F477" s="23" t="inlineStr">
        <is>
          <t>ONE_TO_ONE</t>
        </is>
      </c>
      <c r="G477" s="23" t="inlineStr">
        <is>
          <t>RETAINED</t>
        </is>
      </c>
      <c r="H477" s="23" t="inlineStr">
        <is>
          <t>Carried forward</t>
        </is>
      </c>
      <c r="I477" s="23" t="inlineStr">
        <is>
          <t>Source assignment -- not individually reviewed</t>
        </is>
      </c>
      <c r="J477" s="23" t="inlineStr"/>
      <c r="K477" s="23" t="inlineStr">
        <is>
          <t>Source assignment</t>
        </is>
      </c>
      <c r="L477" s="23" t="inlineStr"/>
      <c r="M477" s="23" t="inlineStr">
        <is>
          <t>Contractor Programme Cycle 2</t>
        </is>
      </c>
      <c r="N477" s="23" t="inlineStr">
        <is>
          <t>Rev 1</t>
        </is>
      </c>
      <c r="O477" s="23" t="inlineStr">
        <is>
          <t>R279-v2</t>
        </is>
      </c>
      <c r="P477" s="23" t="inlineStr"/>
      <c r="Q477" s="23" t="inlineStr"/>
      <c r="R477" s="23" t="inlineStr"/>
      <c r="S477" s="23" t="inlineStr"/>
      <c r="T477" s="23" t="inlineStr"/>
      <c r="U477" s="23" t="inlineStr"/>
      <c r="V477" s="23" t="inlineStr">
        <is>
          <t>WBS Code = 1.2.2</t>
        </is>
      </c>
      <c r="W477" s="23" t="inlineStr"/>
    </row>
    <row r="478" ht="49" customHeight="1">
      <c r="A478" s="23" t="inlineStr">
        <is>
          <t>1.2.2</t>
        </is>
      </c>
      <c r="B478" s="23" t="inlineStr">
        <is>
          <t>Stations - Architectural Fit-Out</t>
        </is>
      </c>
      <c r="C478" s="23" t="inlineStr">
        <is>
          <t>Contractor Programme</t>
        </is>
      </c>
      <c r="D478" s="23" t="inlineStr">
        <is>
          <t>SCH-02-102</t>
        </is>
      </c>
      <c r="E478" s="23" t="inlineStr">
        <is>
          <t>Market Station: station ventilation rough-in - turnover</t>
        </is>
      </c>
      <c r="F478" s="23" t="inlineStr">
        <is>
          <t>ONE_TO_ONE</t>
        </is>
      </c>
      <c r="G478" s="23" t="inlineStr">
        <is>
          <t>RETAINED</t>
        </is>
      </c>
      <c r="H478" s="23" t="inlineStr">
        <is>
          <t>Carried forward</t>
        </is>
      </c>
      <c r="I478" s="23" t="inlineStr">
        <is>
          <t>Source assignment -- not individually reviewed</t>
        </is>
      </c>
      <c r="J478" s="23" t="inlineStr"/>
      <c r="K478" s="23" t="inlineStr">
        <is>
          <t>Source assignment</t>
        </is>
      </c>
      <c r="L478" s="23" t="inlineStr"/>
      <c r="M478" s="23" t="inlineStr">
        <is>
          <t>Contractor Programme Cycle 2</t>
        </is>
      </c>
      <c r="N478" s="23" t="inlineStr">
        <is>
          <t>Rev 1</t>
        </is>
      </c>
      <c r="O478" s="23" t="inlineStr">
        <is>
          <t>R282-v2</t>
        </is>
      </c>
      <c r="P478" s="23" t="inlineStr"/>
      <c r="Q478" s="23" t="inlineStr"/>
      <c r="R478" s="23" t="inlineStr"/>
      <c r="S478" s="23" t="inlineStr"/>
      <c r="T478" s="23" t="inlineStr"/>
      <c r="U478" s="23" t="inlineStr"/>
      <c r="V478" s="23" t="inlineStr">
        <is>
          <t>WBS Code = 1.2.2</t>
        </is>
      </c>
      <c r="W478" s="23" t="inlineStr"/>
    </row>
    <row r="479" ht="49" customHeight="1">
      <c r="A479" s="23" t="inlineStr">
        <is>
          <t>1.2.2</t>
        </is>
      </c>
      <c r="B479" s="23" t="inlineStr">
        <is>
          <t>Stations - Architectural Fit-Out</t>
        </is>
      </c>
      <c r="C479" s="23" t="inlineStr">
        <is>
          <t>Contractor Programme</t>
        </is>
      </c>
      <c r="D479" s="23" t="inlineStr">
        <is>
          <t>SCH-02-105</t>
        </is>
      </c>
      <c r="E479" s="23" t="inlineStr">
        <is>
          <t>West Terminal: vertical-transport installation - installation</t>
        </is>
      </c>
      <c r="F479" s="23" t="inlineStr">
        <is>
          <t>ONE_TO_ONE</t>
        </is>
      </c>
      <c r="G479" s="23" t="inlineStr">
        <is>
          <t>RETAINED</t>
        </is>
      </c>
      <c r="H479" s="23" t="inlineStr">
        <is>
          <t>Carried forward</t>
        </is>
      </c>
      <c r="I479" s="23" t="inlineStr">
        <is>
          <t>Source assignment -- not individually reviewed</t>
        </is>
      </c>
      <c r="J479" s="23" t="inlineStr"/>
      <c r="K479" s="23" t="inlineStr">
        <is>
          <t>Source assignment</t>
        </is>
      </c>
      <c r="L479" s="23" t="inlineStr"/>
      <c r="M479" s="23" t="inlineStr">
        <is>
          <t>Contractor Programme Cycle 2</t>
        </is>
      </c>
      <c r="N479" s="23" t="inlineStr">
        <is>
          <t>Rev 1</t>
        </is>
      </c>
      <c r="O479" s="23" t="inlineStr">
        <is>
          <t>R285-v2</t>
        </is>
      </c>
      <c r="P479" s="23" t="inlineStr"/>
      <c r="Q479" s="23" t="inlineStr"/>
      <c r="R479" s="23" t="inlineStr"/>
      <c r="S479" s="23" t="inlineStr"/>
      <c r="T479" s="23" t="inlineStr"/>
      <c r="U479" s="23" t="inlineStr"/>
      <c r="V479" s="23" t="inlineStr">
        <is>
          <t>WBS Code = 1.2.2</t>
        </is>
      </c>
      <c r="W479" s="23" t="inlineStr"/>
    </row>
    <row r="480" ht="49" customHeight="1">
      <c r="A480" s="23" t="inlineStr">
        <is>
          <t>1.2.2</t>
        </is>
      </c>
      <c r="B480" s="23" t="inlineStr">
        <is>
          <t>Stations - Architectural Fit-Out</t>
        </is>
      </c>
      <c r="C480" s="23" t="inlineStr">
        <is>
          <t>Contractor Programme</t>
        </is>
      </c>
      <c r="D480" s="23" t="inlineStr">
        <is>
          <t>SCH-02-108</t>
        </is>
      </c>
      <c r="E480" s="23" t="inlineStr">
        <is>
          <t>Civic Station: fire-life-safety cabling - release</t>
        </is>
      </c>
      <c r="F480" s="23" t="inlineStr">
        <is>
          <t>ONE_TO_ONE</t>
        </is>
      </c>
      <c r="G480" s="23" t="inlineStr">
        <is>
          <t>RETAINED</t>
        </is>
      </c>
      <c r="H480" s="23" t="inlineStr">
        <is>
          <t>Carried forward</t>
        </is>
      </c>
      <c r="I480" s="23" t="inlineStr">
        <is>
          <t>Source assignment -- not individually reviewed</t>
        </is>
      </c>
      <c r="J480" s="23" t="inlineStr"/>
      <c r="K480" s="23" t="inlineStr">
        <is>
          <t>Source assignment</t>
        </is>
      </c>
      <c r="L480" s="23" t="inlineStr"/>
      <c r="M480" s="23" t="inlineStr">
        <is>
          <t>Contractor Programme Cycle 2</t>
        </is>
      </c>
      <c r="N480" s="23" t="inlineStr">
        <is>
          <t>Rev 1</t>
        </is>
      </c>
      <c r="O480" s="23" t="inlineStr">
        <is>
          <t>R288-v2</t>
        </is>
      </c>
      <c r="P480" s="23" t="inlineStr"/>
      <c r="Q480" s="23" t="inlineStr"/>
      <c r="R480" s="23" t="inlineStr"/>
      <c r="S480" s="23" t="inlineStr"/>
      <c r="T480" s="23" t="inlineStr"/>
      <c r="U480" s="23" t="inlineStr"/>
      <c r="V480" s="23" t="inlineStr">
        <is>
          <t>WBS Code = 1.2.2</t>
        </is>
      </c>
      <c r="W480" s="23" t="inlineStr"/>
    </row>
    <row r="481" ht="49" customHeight="1">
      <c r="A481" s="23" t="inlineStr">
        <is>
          <t>1.2.2</t>
        </is>
      </c>
      <c r="B481" s="23" t="inlineStr">
        <is>
          <t>Stations - Architectural Fit-Out</t>
        </is>
      </c>
      <c r="C481" s="23" t="inlineStr">
        <is>
          <t>Contractor Programme</t>
        </is>
      </c>
      <c r="D481" s="23" t="inlineStr">
        <is>
          <t>SCH-02-111</t>
        </is>
      </c>
      <c r="E481" s="23" t="inlineStr">
        <is>
          <t>Harbour Station: public-realm paving - inspection</t>
        </is>
      </c>
      <c r="F481" s="23" t="inlineStr">
        <is>
          <t>ONE_TO_ONE</t>
        </is>
      </c>
      <c r="G481" s="23" t="inlineStr">
        <is>
          <t>RETAINED</t>
        </is>
      </c>
      <c r="H481" s="23" t="inlineStr">
        <is>
          <t>Carried forward</t>
        </is>
      </c>
      <c r="I481" s="23" t="inlineStr">
        <is>
          <t>Source assignment -- not individually reviewed</t>
        </is>
      </c>
      <c r="J481" s="23" t="inlineStr"/>
      <c r="K481" s="23" t="inlineStr">
        <is>
          <t>Source assignment</t>
        </is>
      </c>
      <c r="L481" s="23" t="inlineStr"/>
      <c r="M481" s="23" t="inlineStr">
        <is>
          <t>Contractor Programme Cycle 2</t>
        </is>
      </c>
      <c r="N481" s="23" t="inlineStr">
        <is>
          <t>Rev 1</t>
        </is>
      </c>
      <c r="O481" s="23" t="inlineStr">
        <is>
          <t>R291-v2</t>
        </is>
      </c>
      <c r="P481" s="23" t="inlineStr"/>
      <c r="Q481" s="23" t="inlineStr"/>
      <c r="R481" s="23" t="inlineStr"/>
      <c r="S481" s="23" t="inlineStr"/>
      <c r="T481" s="23" t="inlineStr"/>
      <c r="U481" s="23" t="inlineStr"/>
      <c r="V481" s="23" t="inlineStr">
        <is>
          <t>WBS Code = 1.2.2</t>
        </is>
      </c>
      <c r="W481" s="23" t="inlineStr"/>
    </row>
    <row r="482" ht="49" customHeight="1">
      <c r="A482" s="23" t="inlineStr">
        <is>
          <t>1.2.2</t>
        </is>
      </c>
      <c r="B482" s="23" t="inlineStr">
        <is>
          <t>Stations - Architectural Fit-Out</t>
        </is>
      </c>
      <c r="C482" s="23" t="inlineStr">
        <is>
          <t>Contractor Programme</t>
        </is>
      </c>
      <c r="D482" s="23" t="inlineStr">
        <is>
          <t>SCH-02-114</t>
        </is>
      </c>
      <c r="E482" s="23" t="inlineStr">
        <is>
          <t>University Station: platform edge installation - field start</t>
        </is>
      </c>
      <c r="F482" s="23" t="inlineStr">
        <is>
          <t>ONE_TO_ONE</t>
        </is>
      </c>
      <c r="G482" s="23" t="inlineStr">
        <is>
          <t>RETAINED</t>
        </is>
      </c>
      <c r="H482" s="23" t="inlineStr">
        <is>
          <t>Carried forward</t>
        </is>
      </c>
      <c r="I482" s="23" t="inlineStr">
        <is>
          <t>Source assignment -- not individually reviewed</t>
        </is>
      </c>
      <c r="J482" s="23" t="inlineStr"/>
      <c r="K482" s="23" t="inlineStr">
        <is>
          <t>Source assignment</t>
        </is>
      </c>
      <c r="L482" s="23" t="inlineStr"/>
      <c r="M482" s="23" t="inlineStr">
        <is>
          <t>Contractor Programme Cycle 2</t>
        </is>
      </c>
      <c r="N482" s="23" t="inlineStr">
        <is>
          <t>Rev 1</t>
        </is>
      </c>
      <c r="O482" s="23" t="inlineStr">
        <is>
          <t>R294-v2</t>
        </is>
      </c>
      <c r="P482" s="23" t="inlineStr"/>
      <c r="Q482" s="23" t="inlineStr"/>
      <c r="R482" s="23" t="inlineStr"/>
      <c r="S482" s="23" t="inlineStr"/>
      <c r="T482" s="23" t="inlineStr"/>
      <c r="U482" s="23" t="inlineStr"/>
      <c r="V482" s="23" t="inlineStr">
        <is>
          <t>WBS Code = 1.2.2</t>
        </is>
      </c>
      <c r="W482" s="23" t="inlineStr"/>
    </row>
    <row r="483" ht="49" customHeight="1">
      <c r="A483" s="23" t="inlineStr">
        <is>
          <t>1.2.2</t>
        </is>
      </c>
      <c r="B483" s="23" t="inlineStr">
        <is>
          <t>Stations - Architectural Fit-Out</t>
        </is>
      </c>
      <c r="C483" s="23" t="inlineStr">
        <is>
          <t>Contractor Programme</t>
        </is>
      </c>
      <c r="D483" s="23" t="inlineStr">
        <is>
          <t>SCH-02-117</t>
        </is>
      </c>
      <c r="E483" s="23" t="inlineStr">
        <is>
          <t>Market Station: concourse slab pour - turnover</t>
        </is>
      </c>
      <c r="F483" s="23" t="inlineStr">
        <is>
          <t>ONE_TO_ONE</t>
        </is>
      </c>
      <c r="G483" s="23" t="inlineStr">
        <is>
          <t>RETAINED</t>
        </is>
      </c>
      <c r="H483" s="23" t="inlineStr">
        <is>
          <t>Carried forward</t>
        </is>
      </c>
      <c r="I483" s="23" t="inlineStr">
        <is>
          <t>Source assignment -- not individually reviewed</t>
        </is>
      </c>
      <c r="J483" s="23" t="inlineStr"/>
      <c r="K483" s="23" t="inlineStr">
        <is>
          <t>Source assignment</t>
        </is>
      </c>
      <c r="L483" s="23" t="inlineStr"/>
      <c r="M483" s="23" t="inlineStr">
        <is>
          <t>Contractor Programme Cycle 2</t>
        </is>
      </c>
      <c r="N483" s="23" t="inlineStr">
        <is>
          <t>Rev 1</t>
        </is>
      </c>
      <c r="O483" s="23" t="inlineStr">
        <is>
          <t>R297-v2</t>
        </is>
      </c>
      <c r="P483" s="23" t="inlineStr"/>
      <c r="Q483" s="23" t="inlineStr"/>
      <c r="R483" s="23" t="inlineStr"/>
      <c r="S483" s="23" t="inlineStr"/>
      <c r="T483" s="23" t="inlineStr"/>
      <c r="U483" s="23" t="inlineStr"/>
      <c r="V483" s="23" t="inlineStr">
        <is>
          <t>WBS Code = 1.2.2</t>
        </is>
      </c>
      <c r="W483" s="23" t="inlineStr"/>
    </row>
    <row r="484" ht="49" customHeight="1">
      <c r="A484" s="23" t="inlineStr">
        <is>
          <t>1.2.2</t>
        </is>
      </c>
      <c r="B484" s="23" t="inlineStr">
        <is>
          <t>Stations - Architectural Fit-Out</t>
        </is>
      </c>
      <c r="C484" s="23" t="inlineStr">
        <is>
          <t>Contractor Programme</t>
        </is>
      </c>
      <c r="D484" s="23" t="inlineStr">
        <is>
          <t>SCH-02-120</t>
        </is>
      </c>
      <c r="E484" s="23" t="inlineStr">
        <is>
          <t>West Terminal: entrance steel erection - installation</t>
        </is>
      </c>
      <c r="F484" s="23" t="inlineStr">
        <is>
          <t>ONE_TO_ONE</t>
        </is>
      </c>
      <c r="G484" s="23" t="inlineStr">
        <is>
          <t>RETAINED</t>
        </is>
      </c>
      <c r="H484" s="23" t="inlineStr">
        <is>
          <t>Carried forward</t>
        </is>
      </c>
      <c r="I484" s="23" t="inlineStr">
        <is>
          <t>Source assignment -- not individually reviewed</t>
        </is>
      </c>
      <c r="J484" s="23" t="inlineStr"/>
      <c r="K484" s="23" t="inlineStr">
        <is>
          <t>Source assignment</t>
        </is>
      </c>
      <c r="L484" s="23" t="inlineStr"/>
      <c r="M484" s="23" t="inlineStr">
        <is>
          <t>Contractor Programme Cycle 2</t>
        </is>
      </c>
      <c r="N484" s="23" t="inlineStr">
        <is>
          <t>Rev 1</t>
        </is>
      </c>
      <c r="O484" s="23" t="inlineStr">
        <is>
          <t>R300-v2</t>
        </is>
      </c>
      <c r="P484" s="23" t="inlineStr"/>
      <c r="Q484" s="23" t="inlineStr"/>
      <c r="R484" s="23" t="inlineStr"/>
      <c r="S484" s="23" t="inlineStr"/>
      <c r="T484" s="23" t="inlineStr"/>
      <c r="U484" s="23" t="inlineStr"/>
      <c r="V484" s="23" t="inlineStr">
        <is>
          <t>WBS Code = 1.2.2</t>
        </is>
      </c>
      <c r="W484" s="23" t="inlineStr"/>
    </row>
    <row r="485" ht="49" customHeight="1">
      <c r="A485" s="23" t="inlineStr">
        <is>
          <t>1.2.2</t>
        </is>
      </c>
      <c r="B485" s="23" t="inlineStr">
        <is>
          <t>Stations - Architectural Fit-Out</t>
        </is>
      </c>
      <c r="C485" s="23" t="inlineStr">
        <is>
          <t>Contractor Programme</t>
        </is>
      </c>
      <c r="D485" s="23" t="inlineStr">
        <is>
          <t>SCH-02-123</t>
        </is>
      </c>
      <c r="E485" s="23" t="inlineStr">
        <is>
          <t>Civic Station: architectural wall framing - release</t>
        </is>
      </c>
      <c r="F485" s="23" t="inlineStr">
        <is>
          <t>ONE_TO_ONE</t>
        </is>
      </c>
      <c r="G485" s="23" t="inlineStr">
        <is>
          <t>RETAINED</t>
        </is>
      </c>
      <c r="H485" s="23" t="inlineStr">
        <is>
          <t>Carried forward</t>
        </is>
      </c>
      <c r="I485" s="23" t="inlineStr">
        <is>
          <t>Source assignment -- not individually reviewed</t>
        </is>
      </c>
      <c r="J485" s="23" t="inlineStr"/>
      <c r="K485" s="23" t="inlineStr">
        <is>
          <t>Source assignment</t>
        </is>
      </c>
      <c r="L485" s="23" t="inlineStr"/>
      <c r="M485" s="23" t="inlineStr">
        <is>
          <t>Contractor Programme Cycle 2</t>
        </is>
      </c>
      <c r="N485" s="23" t="inlineStr">
        <is>
          <t>Rev 1</t>
        </is>
      </c>
      <c r="O485" s="23" t="inlineStr">
        <is>
          <t>R303-v2</t>
        </is>
      </c>
      <c r="P485" s="23" t="inlineStr"/>
      <c r="Q485" s="23" t="inlineStr"/>
      <c r="R485" s="23" t="inlineStr"/>
      <c r="S485" s="23" t="inlineStr"/>
      <c r="T485" s="23" t="inlineStr"/>
      <c r="U485" s="23" t="inlineStr"/>
      <c r="V485" s="23" t="inlineStr">
        <is>
          <t>WBS Code = 1.2.2</t>
        </is>
      </c>
      <c r="W485" s="23" t="inlineStr"/>
    </row>
    <row r="486" ht="49" customHeight="1">
      <c r="A486" s="23" t="inlineStr">
        <is>
          <t>1.2.2</t>
        </is>
      </c>
      <c r="B486" s="23" t="inlineStr">
        <is>
          <t>Stations - Architectural Fit-Out</t>
        </is>
      </c>
      <c r="C486" s="23" t="inlineStr">
        <is>
          <t>Contractor Programme</t>
        </is>
      </c>
      <c r="D486" s="23" t="inlineStr">
        <is>
          <t>SCH-02-126</t>
        </is>
      </c>
      <c r="E486" s="23" t="inlineStr">
        <is>
          <t>Harbour Station: station ventilation rough-in - inspection</t>
        </is>
      </c>
      <c r="F486" s="23" t="inlineStr">
        <is>
          <t>ONE_TO_ONE</t>
        </is>
      </c>
      <c r="G486" s="23" t="inlineStr">
        <is>
          <t>RETAINED</t>
        </is>
      </c>
      <c r="H486" s="23" t="inlineStr">
        <is>
          <t>Carried forward</t>
        </is>
      </c>
      <c r="I486" s="23" t="inlineStr">
        <is>
          <t>Source assignment -- not individually reviewed</t>
        </is>
      </c>
      <c r="J486" s="23" t="inlineStr"/>
      <c r="K486" s="23" t="inlineStr">
        <is>
          <t>Source assignment</t>
        </is>
      </c>
      <c r="L486" s="23" t="inlineStr"/>
      <c r="M486" s="23" t="inlineStr">
        <is>
          <t>Contractor Programme Cycle 2</t>
        </is>
      </c>
      <c r="N486" s="23" t="inlineStr">
        <is>
          <t>Rev 1</t>
        </is>
      </c>
      <c r="O486" s="23" t="inlineStr">
        <is>
          <t>R306-v2</t>
        </is>
      </c>
      <c r="P486" s="23" t="inlineStr"/>
      <c r="Q486" s="23" t="inlineStr"/>
      <c r="R486" s="23" t="inlineStr"/>
      <c r="S486" s="23" t="inlineStr"/>
      <c r="T486" s="23" t="inlineStr"/>
      <c r="U486" s="23" t="inlineStr"/>
      <c r="V486" s="23" t="inlineStr">
        <is>
          <t>WBS Code = 1.2.2</t>
        </is>
      </c>
      <c r="W486" s="23" t="inlineStr"/>
    </row>
    <row r="487" ht="49" customHeight="1">
      <c r="A487" s="23" t="inlineStr">
        <is>
          <t>1.2.2</t>
        </is>
      </c>
      <c r="B487" s="23" t="inlineStr">
        <is>
          <t>Stations - Architectural Fit-Out</t>
        </is>
      </c>
      <c r="C487" s="23" t="inlineStr">
        <is>
          <t>Contractor Programme</t>
        </is>
      </c>
      <c r="D487" s="23" t="inlineStr">
        <is>
          <t>SCH-02-129</t>
        </is>
      </c>
      <c r="E487" s="23" t="inlineStr">
        <is>
          <t>University Station: vertical-transport installation - field start</t>
        </is>
      </c>
      <c r="F487" s="23" t="inlineStr">
        <is>
          <t>ONE_TO_ONE</t>
        </is>
      </c>
      <c r="G487" s="23" t="inlineStr">
        <is>
          <t>RETAINED</t>
        </is>
      </c>
      <c r="H487" s="23" t="inlineStr">
        <is>
          <t>Carried forward</t>
        </is>
      </c>
      <c r="I487" s="23" t="inlineStr">
        <is>
          <t>Source assignment -- not individually reviewed</t>
        </is>
      </c>
      <c r="J487" s="23" t="inlineStr"/>
      <c r="K487" s="23" t="inlineStr">
        <is>
          <t>Source assignment</t>
        </is>
      </c>
      <c r="L487" s="23" t="inlineStr"/>
      <c r="M487" s="23" t="inlineStr">
        <is>
          <t>Contractor Programme Cycle 2</t>
        </is>
      </c>
      <c r="N487" s="23" t="inlineStr">
        <is>
          <t>Rev 1</t>
        </is>
      </c>
      <c r="O487" s="23" t="inlineStr">
        <is>
          <t>R309-v2</t>
        </is>
      </c>
      <c r="P487" s="23" t="inlineStr"/>
      <c r="Q487" s="23" t="inlineStr"/>
      <c r="R487" s="23" t="inlineStr"/>
      <c r="S487" s="23" t="inlineStr"/>
      <c r="T487" s="23" t="inlineStr"/>
      <c r="U487" s="23" t="inlineStr"/>
      <c r="V487" s="23" t="inlineStr">
        <is>
          <t>WBS Code = 1.2.2</t>
        </is>
      </c>
      <c r="W487" s="23" t="inlineStr"/>
    </row>
    <row r="488" ht="49" customHeight="1">
      <c r="A488" s="23" t="inlineStr">
        <is>
          <t>1.2.2</t>
        </is>
      </c>
      <c r="B488" s="23" t="inlineStr">
        <is>
          <t>Stations - Architectural Fit-Out</t>
        </is>
      </c>
      <c r="C488" s="23" t="inlineStr">
        <is>
          <t>Contractor Programme</t>
        </is>
      </c>
      <c r="D488" s="23" t="inlineStr">
        <is>
          <t>SCH-02-132</t>
        </is>
      </c>
      <c r="E488" s="23" t="inlineStr">
        <is>
          <t>Market Station: fire-life-safety cabling - turnover</t>
        </is>
      </c>
      <c r="F488" s="23" t="inlineStr">
        <is>
          <t>ONE_TO_ONE</t>
        </is>
      </c>
      <c r="G488" s="23" t="inlineStr">
        <is>
          <t>RETAINED</t>
        </is>
      </c>
      <c r="H488" s="23" t="inlineStr">
        <is>
          <t>Carried forward</t>
        </is>
      </c>
      <c r="I488" s="23" t="inlineStr">
        <is>
          <t>Source assignment -- not individually reviewed</t>
        </is>
      </c>
      <c r="J488" s="23" t="inlineStr"/>
      <c r="K488" s="23" t="inlineStr">
        <is>
          <t>Source assignment</t>
        </is>
      </c>
      <c r="L488" s="23" t="inlineStr"/>
      <c r="M488" s="23" t="inlineStr">
        <is>
          <t>Contractor Programme Cycle 2</t>
        </is>
      </c>
      <c r="N488" s="23" t="inlineStr">
        <is>
          <t>Rev 1</t>
        </is>
      </c>
      <c r="O488" s="23" t="inlineStr">
        <is>
          <t>R312-v2</t>
        </is>
      </c>
      <c r="P488" s="23" t="inlineStr"/>
      <c r="Q488" s="23" t="inlineStr"/>
      <c r="R488" s="23" t="inlineStr"/>
      <c r="S488" s="23" t="inlineStr"/>
      <c r="T488" s="23" t="inlineStr"/>
      <c r="U488" s="23" t="inlineStr"/>
      <c r="V488" s="23" t="inlineStr">
        <is>
          <t>WBS Code = 1.2.2</t>
        </is>
      </c>
      <c r="W488" s="23" t="inlineStr"/>
    </row>
    <row r="489" ht="49" customHeight="1">
      <c r="A489" s="23" t="inlineStr">
        <is>
          <t>1.2.2</t>
        </is>
      </c>
      <c r="B489" s="23" t="inlineStr">
        <is>
          <t>Stations - Architectural Fit-Out</t>
        </is>
      </c>
      <c r="C489" s="23" t="inlineStr">
        <is>
          <t>Contractor Programme</t>
        </is>
      </c>
      <c r="D489" s="23" t="inlineStr">
        <is>
          <t>SCH-02-135</t>
        </is>
      </c>
      <c r="E489" s="23" t="inlineStr">
        <is>
          <t>West Terminal: public-realm paving - installation</t>
        </is>
      </c>
      <c r="F489" s="23" t="inlineStr">
        <is>
          <t>ONE_TO_ONE</t>
        </is>
      </c>
      <c r="G489" s="23" t="inlineStr">
        <is>
          <t>RETAINED</t>
        </is>
      </c>
      <c r="H489" s="23" t="inlineStr">
        <is>
          <t>Carried forward</t>
        </is>
      </c>
      <c r="I489" s="23" t="inlineStr">
        <is>
          <t>Source assignment -- not individually reviewed</t>
        </is>
      </c>
      <c r="J489" s="23" t="inlineStr"/>
      <c r="K489" s="23" t="inlineStr">
        <is>
          <t>Source assignment</t>
        </is>
      </c>
      <c r="L489" s="23" t="inlineStr"/>
      <c r="M489" s="23" t="inlineStr">
        <is>
          <t>Contractor Programme Cycle 2</t>
        </is>
      </c>
      <c r="N489" s="23" t="inlineStr">
        <is>
          <t>Rev 1</t>
        </is>
      </c>
      <c r="O489" s="23" t="inlineStr">
        <is>
          <t>R315-v2</t>
        </is>
      </c>
      <c r="P489" s="23" t="inlineStr"/>
      <c r="Q489" s="23" t="inlineStr"/>
      <c r="R489" s="23" t="inlineStr"/>
      <c r="S489" s="23" t="inlineStr"/>
      <c r="T489" s="23" t="inlineStr"/>
      <c r="U489" s="23" t="inlineStr"/>
      <c r="V489" s="23" t="inlineStr">
        <is>
          <t>WBS Code = 1.2.2</t>
        </is>
      </c>
      <c r="W489" s="23" t="inlineStr"/>
    </row>
    <row r="490" ht="49" customHeight="1">
      <c r="A490" s="23" t="inlineStr">
        <is>
          <t>1.2.2</t>
        </is>
      </c>
      <c r="B490" s="23" t="inlineStr">
        <is>
          <t>Stations - Architectural Fit-Out</t>
        </is>
      </c>
      <c r="C490" s="23" t="inlineStr">
        <is>
          <t>Contractor Programme</t>
        </is>
      </c>
      <c r="D490" s="23" t="inlineStr">
        <is>
          <t>SCH-02-138</t>
        </is>
      </c>
      <c r="E490" s="23" t="inlineStr">
        <is>
          <t>Civic Station: platform edge installation - release</t>
        </is>
      </c>
      <c r="F490" s="23" t="inlineStr">
        <is>
          <t>ONE_TO_ONE</t>
        </is>
      </c>
      <c r="G490" s="23" t="inlineStr">
        <is>
          <t>RETAINED</t>
        </is>
      </c>
      <c r="H490" s="23" t="inlineStr">
        <is>
          <t>Carried forward</t>
        </is>
      </c>
      <c r="I490" s="23" t="inlineStr">
        <is>
          <t>Source assignment -- not individually reviewed</t>
        </is>
      </c>
      <c r="J490" s="23" t="inlineStr"/>
      <c r="K490" s="23" t="inlineStr">
        <is>
          <t>Source assignment</t>
        </is>
      </c>
      <c r="L490" s="23" t="inlineStr"/>
      <c r="M490" s="23" t="inlineStr">
        <is>
          <t>Contractor Programme Cycle 2</t>
        </is>
      </c>
      <c r="N490" s="23" t="inlineStr">
        <is>
          <t>Rev 1</t>
        </is>
      </c>
      <c r="O490" s="23" t="inlineStr">
        <is>
          <t>R318-v2</t>
        </is>
      </c>
      <c r="P490" s="23" t="inlineStr"/>
      <c r="Q490" s="23" t="inlineStr"/>
      <c r="R490" s="23" t="inlineStr"/>
      <c r="S490" s="23" t="inlineStr"/>
      <c r="T490" s="23" t="inlineStr"/>
      <c r="U490" s="23" t="inlineStr"/>
      <c r="V490" s="23" t="inlineStr">
        <is>
          <t>WBS Code = 1.2.2</t>
        </is>
      </c>
      <c r="W490" s="23" t="inlineStr"/>
    </row>
    <row r="491" ht="49" customHeight="1">
      <c r="A491" s="23" t="inlineStr">
        <is>
          <t>1.2.2</t>
        </is>
      </c>
      <c r="B491" s="23" t="inlineStr">
        <is>
          <t>Stations - Architectural Fit-Out</t>
        </is>
      </c>
      <c r="C491" s="23" t="inlineStr">
        <is>
          <t>Contractor Programme</t>
        </is>
      </c>
      <c r="D491" s="23" t="inlineStr">
        <is>
          <t>SCH-02-141</t>
        </is>
      </c>
      <c r="E491" s="23" t="inlineStr">
        <is>
          <t>Harbour Station: concourse slab pour - inspection</t>
        </is>
      </c>
      <c r="F491" s="23" t="inlineStr">
        <is>
          <t>ONE_TO_ONE</t>
        </is>
      </c>
      <c r="G491" s="23" t="inlineStr">
        <is>
          <t>RETAINED</t>
        </is>
      </c>
      <c r="H491" s="23" t="inlineStr">
        <is>
          <t>Carried forward</t>
        </is>
      </c>
      <c r="I491" s="23" t="inlineStr">
        <is>
          <t>Source assignment -- not individually reviewed</t>
        </is>
      </c>
      <c r="J491" s="23" t="inlineStr"/>
      <c r="K491" s="23" t="inlineStr">
        <is>
          <t>Source assignment</t>
        </is>
      </c>
      <c r="L491" s="23" t="inlineStr"/>
      <c r="M491" s="23" t="inlineStr">
        <is>
          <t>Contractor Programme Cycle 2</t>
        </is>
      </c>
      <c r="N491" s="23" t="inlineStr">
        <is>
          <t>Rev 1</t>
        </is>
      </c>
      <c r="O491" s="23" t="inlineStr">
        <is>
          <t>R321-v2</t>
        </is>
      </c>
      <c r="P491" s="23" t="inlineStr"/>
      <c r="Q491" s="23" t="inlineStr"/>
      <c r="R491" s="23" t="inlineStr"/>
      <c r="S491" s="23" t="inlineStr"/>
      <c r="T491" s="23" t="inlineStr"/>
      <c r="U491" s="23" t="inlineStr"/>
      <c r="V491" s="23" t="inlineStr">
        <is>
          <t>WBS Code = 1.2.2</t>
        </is>
      </c>
      <c r="W491" s="23" t="inlineStr"/>
    </row>
    <row r="492" ht="49" customHeight="1">
      <c r="A492" s="23" t="inlineStr">
        <is>
          <t>1.2.2</t>
        </is>
      </c>
      <c r="B492" s="23" t="inlineStr">
        <is>
          <t>Stations - Architectural Fit-Out</t>
        </is>
      </c>
      <c r="C492" s="23" t="inlineStr">
        <is>
          <t>Contractor Programme</t>
        </is>
      </c>
      <c r="D492" s="23" t="inlineStr">
        <is>
          <t>SCH-02-144</t>
        </is>
      </c>
      <c r="E492" s="23" t="inlineStr">
        <is>
          <t>University Station: entrance steel erection - field start</t>
        </is>
      </c>
      <c r="F492" s="23" t="inlineStr">
        <is>
          <t>ONE_TO_ONE</t>
        </is>
      </c>
      <c r="G492" s="23" t="inlineStr">
        <is>
          <t>RETAINED</t>
        </is>
      </c>
      <c r="H492" s="23" t="inlineStr">
        <is>
          <t>Carried forward</t>
        </is>
      </c>
      <c r="I492" s="23" t="inlineStr">
        <is>
          <t>Source assignment -- not individually reviewed</t>
        </is>
      </c>
      <c r="J492" s="23" t="inlineStr"/>
      <c r="K492" s="23" t="inlineStr">
        <is>
          <t>Source assignment</t>
        </is>
      </c>
      <c r="L492" s="23" t="inlineStr"/>
      <c r="M492" s="23" t="inlineStr">
        <is>
          <t>Contractor Programme Cycle 2</t>
        </is>
      </c>
      <c r="N492" s="23" t="inlineStr">
        <is>
          <t>Rev 1</t>
        </is>
      </c>
      <c r="O492" s="23" t="inlineStr">
        <is>
          <t>R324-v2</t>
        </is>
      </c>
      <c r="P492" s="23" t="inlineStr"/>
      <c r="Q492" s="23" t="inlineStr"/>
      <c r="R492" s="23" t="inlineStr"/>
      <c r="S492" s="23" t="inlineStr"/>
      <c r="T492" s="23" t="inlineStr"/>
      <c r="U492" s="23" t="inlineStr"/>
      <c r="V492" s="23" t="inlineStr">
        <is>
          <t>WBS Code = 1.2.2</t>
        </is>
      </c>
      <c r="W492" s="23" t="inlineStr"/>
    </row>
    <row r="493" ht="49" customHeight="1">
      <c r="A493" s="23" t="inlineStr">
        <is>
          <t>1.2.2</t>
        </is>
      </c>
      <c r="B493" s="23" t="inlineStr">
        <is>
          <t>Stations - Architectural Fit-Out</t>
        </is>
      </c>
      <c r="C493" s="23" t="inlineStr">
        <is>
          <t>Contractor Programme</t>
        </is>
      </c>
      <c r="D493" s="23" t="inlineStr">
        <is>
          <t>SCH-02-147</t>
        </is>
      </c>
      <c r="E493" s="23" t="inlineStr">
        <is>
          <t>Market Station: architectural wall framing - turnover</t>
        </is>
      </c>
      <c r="F493" s="23" t="inlineStr">
        <is>
          <t>ONE_TO_ONE</t>
        </is>
      </c>
      <c r="G493" s="23" t="inlineStr">
        <is>
          <t>RETAINED</t>
        </is>
      </c>
      <c r="H493" s="23" t="inlineStr">
        <is>
          <t>Carried forward</t>
        </is>
      </c>
      <c r="I493" s="23" t="inlineStr">
        <is>
          <t>Source assignment -- not individually reviewed</t>
        </is>
      </c>
      <c r="J493" s="23" t="inlineStr"/>
      <c r="K493" s="23" t="inlineStr">
        <is>
          <t>Source assignment</t>
        </is>
      </c>
      <c r="L493" s="23" t="inlineStr"/>
      <c r="M493" s="23" t="inlineStr">
        <is>
          <t>Contractor Programme Cycle 2</t>
        </is>
      </c>
      <c r="N493" s="23" t="inlineStr">
        <is>
          <t>Rev 1</t>
        </is>
      </c>
      <c r="O493" s="23" t="inlineStr">
        <is>
          <t>R327-v2</t>
        </is>
      </c>
      <c r="P493" s="23" t="inlineStr"/>
      <c r="Q493" s="23" t="inlineStr"/>
      <c r="R493" s="23" t="inlineStr"/>
      <c r="S493" s="23" t="inlineStr"/>
      <c r="T493" s="23" t="inlineStr"/>
      <c r="U493" s="23" t="inlineStr"/>
      <c r="V493" s="23" t="inlineStr">
        <is>
          <t>WBS Code = 1.2.2</t>
        </is>
      </c>
      <c r="W493" s="23" t="inlineStr"/>
    </row>
    <row r="494" ht="49" customHeight="1">
      <c r="A494" s="23" t="inlineStr">
        <is>
          <t>1.2.2</t>
        </is>
      </c>
      <c r="B494" s="23" t="inlineStr">
        <is>
          <t>Stations - Architectural Fit-Out</t>
        </is>
      </c>
      <c r="C494" s="23" t="inlineStr">
        <is>
          <t>Contractor Programme</t>
        </is>
      </c>
      <c r="D494" s="23" t="inlineStr">
        <is>
          <t>SCH-02-150</t>
        </is>
      </c>
      <c r="E494" s="23" t="inlineStr">
        <is>
          <t>West Terminal: station ventilation rough-in - installation</t>
        </is>
      </c>
      <c r="F494" s="23" t="inlineStr">
        <is>
          <t>ONE_TO_ONE</t>
        </is>
      </c>
      <c r="G494" s="23" t="inlineStr">
        <is>
          <t>RETAINED</t>
        </is>
      </c>
      <c r="H494" s="23" t="inlineStr">
        <is>
          <t>Carried forward</t>
        </is>
      </c>
      <c r="I494" s="23" t="inlineStr">
        <is>
          <t>Source assignment -- not individually reviewed</t>
        </is>
      </c>
      <c r="J494" s="23" t="inlineStr"/>
      <c r="K494" s="23" t="inlineStr">
        <is>
          <t>Source assignment</t>
        </is>
      </c>
      <c r="L494" s="23" t="inlineStr"/>
      <c r="M494" s="23" t="inlineStr">
        <is>
          <t>Contractor Programme Cycle 2</t>
        </is>
      </c>
      <c r="N494" s="23" t="inlineStr">
        <is>
          <t>Rev 1</t>
        </is>
      </c>
      <c r="O494" s="23" t="inlineStr">
        <is>
          <t>R330-v2</t>
        </is>
      </c>
      <c r="P494" s="23" t="inlineStr"/>
      <c r="Q494" s="23" t="inlineStr"/>
      <c r="R494" s="23" t="inlineStr"/>
      <c r="S494" s="23" t="inlineStr"/>
      <c r="T494" s="23" t="inlineStr"/>
      <c r="U494" s="23" t="inlineStr"/>
      <c r="V494" s="23" t="inlineStr">
        <is>
          <t>WBS Code = 1.2.2</t>
        </is>
      </c>
      <c r="W494" s="23" t="inlineStr"/>
    </row>
    <row r="495" ht="49" customHeight="1">
      <c r="A495" s="23" t="inlineStr">
        <is>
          <t>1.2.2</t>
        </is>
      </c>
      <c r="B495" s="23" t="inlineStr">
        <is>
          <t>Stations - Architectural Fit-Out</t>
        </is>
      </c>
      <c r="C495" s="23" t="inlineStr">
        <is>
          <t>Contractor Programme</t>
        </is>
      </c>
      <c r="D495" s="23" t="inlineStr">
        <is>
          <t>SCH-02-153</t>
        </is>
      </c>
      <c r="E495" s="23" t="inlineStr">
        <is>
          <t>Civic Station: vertical-transport installation - release</t>
        </is>
      </c>
      <c r="F495" s="23" t="inlineStr">
        <is>
          <t>ONE_TO_ONE</t>
        </is>
      </c>
      <c r="G495" s="23" t="inlineStr">
        <is>
          <t>RETAINED</t>
        </is>
      </c>
      <c r="H495" s="23" t="inlineStr">
        <is>
          <t>Carried forward</t>
        </is>
      </c>
      <c r="I495" s="23" t="inlineStr">
        <is>
          <t>Source assignment -- not individually reviewed</t>
        </is>
      </c>
      <c r="J495" s="23" t="inlineStr"/>
      <c r="K495" s="23" t="inlineStr">
        <is>
          <t>Source assignment</t>
        </is>
      </c>
      <c r="L495" s="23" t="inlineStr"/>
      <c r="M495" s="23" t="inlineStr">
        <is>
          <t>Contractor Programme Cycle 2</t>
        </is>
      </c>
      <c r="N495" s="23" t="inlineStr">
        <is>
          <t>Rev 1</t>
        </is>
      </c>
      <c r="O495" s="23" t="inlineStr">
        <is>
          <t>R333-v2</t>
        </is>
      </c>
      <c r="P495" s="23" t="inlineStr"/>
      <c r="Q495" s="23" t="inlineStr"/>
      <c r="R495" s="23" t="inlineStr"/>
      <c r="S495" s="23" t="inlineStr"/>
      <c r="T495" s="23" t="inlineStr"/>
      <c r="U495" s="23" t="inlineStr"/>
      <c r="V495" s="23" t="inlineStr">
        <is>
          <t>WBS Code = 1.2.2</t>
        </is>
      </c>
      <c r="W495" s="23" t="inlineStr"/>
    </row>
    <row r="496" ht="49" customHeight="1">
      <c r="A496" s="23" t="inlineStr">
        <is>
          <t>1.2.2</t>
        </is>
      </c>
      <c r="B496" s="23" t="inlineStr">
        <is>
          <t>Stations - Architectural Fit-Out</t>
        </is>
      </c>
      <c r="C496" s="23" t="inlineStr">
        <is>
          <t>Contractor Programme</t>
        </is>
      </c>
      <c r="D496" s="23" t="inlineStr">
        <is>
          <t>SCH-02-156</t>
        </is>
      </c>
      <c r="E496" s="23" t="inlineStr">
        <is>
          <t>Harbour Station: fire-life-safety cabling - inspection</t>
        </is>
      </c>
      <c r="F496" s="23" t="inlineStr">
        <is>
          <t>ONE_TO_ONE</t>
        </is>
      </c>
      <c r="G496" s="23" t="inlineStr">
        <is>
          <t>RETAINED</t>
        </is>
      </c>
      <c r="H496" s="23" t="inlineStr">
        <is>
          <t>Carried forward</t>
        </is>
      </c>
      <c r="I496" s="23" t="inlineStr">
        <is>
          <t>Source assignment -- not individually reviewed</t>
        </is>
      </c>
      <c r="J496" s="23" t="inlineStr"/>
      <c r="K496" s="23" t="inlineStr">
        <is>
          <t>Source assignment</t>
        </is>
      </c>
      <c r="L496" s="23" t="inlineStr"/>
      <c r="M496" s="23" t="inlineStr">
        <is>
          <t>Contractor Programme Cycle 2</t>
        </is>
      </c>
      <c r="N496" s="23" t="inlineStr">
        <is>
          <t>Rev 1</t>
        </is>
      </c>
      <c r="O496" s="23" t="inlineStr">
        <is>
          <t>R336-v2</t>
        </is>
      </c>
      <c r="P496" s="23" t="inlineStr"/>
      <c r="Q496" s="23" t="inlineStr"/>
      <c r="R496" s="23" t="inlineStr"/>
      <c r="S496" s="23" t="inlineStr"/>
      <c r="T496" s="23" t="inlineStr"/>
      <c r="U496" s="23" t="inlineStr"/>
      <c r="V496" s="23" t="inlineStr">
        <is>
          <t>WBS Code = 1.2.2</t>
        </is>
      </c>
      <c r="W496" s="23" t="inlineStr"/>
    </row>
    <row r="497" ht="49" customHeight="1">
      <c r="A497" s="23" t="inlineStr">
        <is>
          <t>1.2.2</t>
        </is>
      </c>
      <c r="B497" s="23" t="inlineStr">
        <is>
          <t>Stations - Architectural Fit-Out</t>
        </is>
      </c>
      <c r="C497" s="23" t="inlineStr">
        <is>
          <t>Contractor Programme</t>
        </is>
      </c>
      <c r="D497" s="23" t="inlineStr">
        <is>
          <t>SCH-02-159</t>
        </is>
      </c>
      <c r="E497" s="23" t="inlineStr">
        <is>
          <t>University Station: public-realm paving - field start</t>
        </is>
      </c>
      <c r="F497" s="23" t="inlineStr">
        <is>
          <t>ONE_TO_ONE</t>
        </is>
      </c>
      <c r="G497" s="23" t="inlineStr">
        <is>
          <t>RETAINED</t>
        </is>
      </c>
      <c r="H497" s="23" t="inlineStr">
        <is>
          <t>Carried forward</t>
        </is>
      </c>
      <c r="I497" s="23" t="inlineStr">
        <is>
          <t>Source assignment -- not individually reviewed</t>
        </is>
      </c>
      <c r="J497" s="23" t="inlineStr"/>
      <c r="K497" s="23" t="inlineStr">
        <is>
          <t>Source assignment</t>
        </is>
      </c>
      <c r="L497" s="23" t="inlineStr"/>
      <c r="M497" s="23" t="inlineStr">
        <is>
          <t>Contractor Programme Cycle 2</t>
        </is>
      </c>
      <c r="N497" s="23" t="inlineStr">
        <is>
          <t>Rev 1</t>
        </is>
      </c>
      <c r="O497" s="23" t="inlineStr">
        <is>
          <t>R339-v2</t>
        </is>
      </c>
      <c r="P497" s="23" t="inlineStr"/>
      <c r="Q497" s="23" t="inlineStr"/>
      <c r="R497" s="23" t="inlineStr"/>
      <c r="S497" s="23" t="inlineStr"/>
      <c r="T497" s="23" t="inlineStr"/>
      <c r="U497" s="23" t="inlineStr"/>
      <c r="V497" s="23" t="inlineStr">
        <is>
          <t>WBS Code = 1.2.2</t>
        </is>
      </c>
      <c r="W497" s="23" t="inlineStr"/>
    </row>
    <row r="498" ht="49" customHeight="1">
      <c r="A498" s="23" t="inlineStr">
        <is>
          <t>1.2.2</t>
        </is>
      </c>
      <c r="B498" s="23" t="inlineStr">
        <is>
          <t>Stations - Architectural Fit-Out</t>
        </is>
      </c>
      <c r="C498" s="23" t="inlineStr">
        <is>
          <t>Contractor Programme</t>
        </is>
      </c>
      <c r="D498" s="23" t="inlineStr">
        <is>
          <t>SCH-02-162</t>
        </is>
      </c>
      <c r="E498" s="23" t="inlineStr">
        <is>
          <t>Market Station: platform edge installation - turnover</t>
        </is>
      </c>
      <c r="F498" s="23" t="inlineStr">
        <is>
          <t>ONE_TO_ONE</t>
        </is>
      </c>
      <c r="G498" s="23" t="inlineStr">
        <is>
          <t>RETAINED</t>
        </is>
      </c>
      <c r="H498" s="23" t="inlineStr">
        <is>
          <t>Carried forward</t>
        </is>
      </c>
      <c r="I498" s="23" t="inlineStr">
        <is>
          <t>Source assignment -- not individually reviewed</t>
        </is>
      </c>
      <c r="J498" s="23" t="inlineStr"/>
      <c r="K498" s="23" t="inlineStr">
        <is>
          <t>Source assignment</t>
        </is>
      </c>
      <c r="L498" s="23" t="inlineStr"/>
      <c r="M498" s="23" t="inlineStr">
        <is>
          <t>Contractor Programme Cycle 2</t>
        </is>
      </c>
      <c r="N498" s="23" t="inlineStr">
        <is>
          <t>Rev 1</t>
        </is>
      </c>
      <c r="O498" s="23" t="inlineStr">
        <is>
          <t>R342-v2</t>
        </is>
      </c>
      <c r="P498" s="23" t="inlineStr"/>
      <c r="Q498" s="23" t="inlineStr"/>
      <c r="R498" s="23" t="inlineStr"/>
      <c r="S498" s="23" t="inlineStr"/>
      <c r="T498" s="23" t="inlineStr"/>
      <c r="U498" s="23" t="inlineStr"/>
      <c r="V498" s="23" t="inlineStr">
        <is>
          <t>WBS Code = 1.2.2</t>
        </is>
      </c>
      <c r="W498" s="23" t="inlineStr"/>
    </row>
    <row r="499" ht="49" customHeight="1">
      <c r="A499" s="23" t="inlineStr">
        <is>
          <t>1.2.2</t>
        </is>
      </c>
      <c r="B499" s="23" t="inlineStr">
        <is>
          <t>Stations - Architectural Fit-Out</t>
        </is>
      </c>
      <c r="C499" s="23" t="inlineStr">
        <is>
          <t>Contractor Programme</t>
        </is>
      </c>
      <c r="D499" s="23" t="inlineStr">
        <is>
          <t>SCH-02-165</t>
        </is>
      </c>
      <c r="E499" s="23" t="inlineStr">
        <is>
          <t>West Terminal: concourse slab pour - installation</t>
        </is>
      </c>
      <c r="F499" s="23" t="inlineStr">
        <is>
          <t>ONE_TO_ONE</t>
        </is>
      </c>
      <c r="G499" s="23" t="inlineStr">
        <is>
          <t>RETAINED</t>
        </is>
      </c>
      <c r="H499" s="23" t="inlineStr">
        <is>
          <t>Carried forward</t>
        </is>
      </c>
      <c r="I499" s="23" t="inlineStr">
        <is>
          <t>Source assignment -- not individually reviewed</t>
        </is>
      </c>
      <c r="J499" s="23" t="inlineStr"/>
      <c r="K499" s="23" t="inlineStr">
        <is>
          <t>Source assignment</t>
        </is>
      </c>
      <c r="L499" s="23" t="inlineStr"/>
      <c r="M499" s="23" t="inlineStr">
        <is>
          <t>Contractor Programme Cycle 2</t>
        </is>
      </c>
      <c r="N499" s="23" t="inlineStr">
        <is>
          <t>Rev 1</t>
        </is>
      </c>
      <c r="O499" s="23" t="inlineStr">
        <is>
          <t>R345-v2</t>
        </is>
      </c>
      <c r="P499" s="23" t="inlineStr"/>
      <c r="Q499" s="23" t="inlineStr"/>
      <c r="R499" s="23" t="inlineStr"/>
      <c r="S499" s="23" t="inlineStr"/>
      <c r="T499" s="23" t="inlineStr"/>
      <c r="U499" s="23" t="inlineStr"/>
      <c r="V499" s="23" t="inlineStr">
        <is>
          <t>WBS Code = 1.2.2</t>
        </is>
      </c>
      <c r="W499" s="23" t="inlineStr"/>
    </row>
    <row r="500" ht="49" customHeight="1">
      <c r="A500" s="23" t="inlineStr">
        <is>
          <t>1.2.2</t>
        </is>
      </c>
      <c r="B500" s="23" t="inlineStr">
        <is>
          <t>Stations - Architectural Fit-Out</t>
        </is>
      </c>
      <c r="C500" s="23" t="inlineStr">
        <is>
          <t>Contractor Programme</t>
        </is>
      </c>
      <c r="D500" s="23" t="inlineStr">
        <is>
          <t>SCH-02-168</t>
        </is>
      </c>
      <c r="E500" s="23" t="inlineStr">
        <is>
          <t>Civic Station: entrance steel erection - release</t>
        </is>
      </c>
      <c r="F500" s="23" t="inlineStr">
        <is>
          <t>ONE_TO_ONE</t>
        </is>
      </c>
      <c r="G500" s="23" t="inlineStr">
        <is>
          <t>RETAINED</t>
        </is>
      </c>
      <c r="H500" s="23" t="inlineStr">
        <is>
          <t>Carried forward</t>
        </is>
      </c>
      <c r="I500" s="23" t="inlineStr">
        <is>
          <t>Source assignment -- not individually reviewed</t>
        </is>
      </c>
      <c r="J500" s="23" t="inlineStr"/>
      <c r="K500" s="23" t="inlineStr">
        <is>
          <t>Source assignment</t>
        </is>
      </c>
      <c r="L500" s="23" t="inlineStr"/>
      <c r="M500" s="23" t="inlineStr">
        <is>
          <t>Contractor Programme Cycle 2</t>
        </is>
      </c>
      <c r="N500" s="23" t="inlineStr">
        <is>
          <t>Rev 1</t>
        </is>
      </c>
      <c r="O500" s="23" t="inlineStr">
        <is>
          <t>R348-v2</t>
        </is>
      </c>
      <c r="P500" s="23" t="inlineStr"/>
      <c r="Q500" s="23" t="inlineStr"/>
      <c r="R500" s="23" t="inlineStr"/>
      <c r="S500" s="23" t="inlineStr"/>
      <c r="T500" s="23" t="inlineStr"/>
      <c r="U500" s="23" t="inlineStr"/>
      <c r="V500" s="23" t="inlineStr">
        <is>
          <t>WBS Code = 1.2.2</t>
        </is>
      </c>
      <c r="W500" s="23" t="inlineStr"/>
    </row>
    <row r="501" ht="49" customHeight="1">
      <c r="A501" s="23" t="inlineStr">
        <is>
          <t>1.2.2</t>
        </is>
      </c>
      <c r="B501" s="23" t="inlineStr">
        <is>
          <t>Stations - Architectural Fit-Out</t>
        </is>
      </c>
      <c r="C501" s="23" t="inlineStr">
        <is>
          <t>Contractor Programme</t>
        </is>
      </c>
      <c r="D501" s="23" t="inlineStr">
        <is>
          <t>SCH-02-171</t>
        </is>
      </c>
      <c r="E501" s="23" t="inlineStr">
        <is>
          <t>Harbour Station: architectural wall framing - inspection</t>
        </is>
      </c>
      <c r="F501" s="23" t="inlineStr">
        <is>
          <t>ONE_TO_ONE</t>
        </is>
      </c>
      <c r="G501" s="23" t="inlineStr">
        <is>
          <t>RETAINED</t>
        </is>
      </c>
      <c r="H501" s="23" t="inlineStr">
        <is>
          <t>Carried forward</t>
        </is>
      </c>
      <c r="I501" s="23" t="inlineStr">
        <is>
          <t>Source assignment -- not individually reviewed</t>
        </is>
      </c>
      <c r="J501" s="23" t="inlineStr"/>
      <c r="K501" s="23" t="inlineStr">
        <is>
          <t>Source assignment</t>
        </is>
      </c>
      <c r="L501" s="23" t="inlineStr"/>
      <c r="M501" s="23" t="inlineStr">
        <is>
          <t>Contractor Programme Cycle 2</t>
        </is>
      </c>
      <c r="N501" s="23" t="inlineStr">
        <is>
          <t>Rev 1</t>
        </is>
      </c>
      <c r="O501" s="23" t="inlineStr">
        <is>
          <t>R351-v2</t>
        </is>
      </c>
      <c r="P501" s="23" t="inlineStr"/>
      <c r="Q501" s="23" t="inlineStr"/>
      <c r="R501" s="23" t="inlineStr"/>
      <c r="S501" s="23" t="inlineStr"/>
      <c r="T501" s="23" t="inlineStr"/>
      <c r="U501" s="23" t="inlineStr"/>
      <c r="V501" s="23" t="inlineStr">
        <is>
          <t>WBS Code = 1.2.2</t>
        </is>
      </c>
      <c r="W501" s="23" t="inlineStr"/>
    </row>
    <row r="502" ht="49" customHeight="1">
      <c r="A502" s="23" t="inlineStr">
        <is>
          <t>1.2.2</t>
        </is>
      </c>
      <c r="B502" s="23" t="inlineStr">
        <is>
          <t>Stations - Architectural Fit-Out</t>
        </is>
      </c>
      <c r="C502" s="23" t="inlineStr">
        <is>
          <t>Contractor Programme</t>
        </is>
      </c>
      <c r="D502" s="23" t="inlineStr">
        <is>
          <t>SCH-02-174</t>
        </is>
      </c>
      <c r="E502" s="23" t="inlineStr">
        <is>
          <t>University Station: station ventilation rough-in - field start</t>
        </is>
      </c>
      <c r="F502" s="23" t="inlineStr">
        <is>
          <t>ONE_TO_ONE</t>
        </is>
      </c>
      <c r="G502" s="23" t="inlineStr">
        <is>
          <t>RETAINED</t>
        </is>
      </c>
      <c r="H502" s="23" t="inlineStr">
        <is>
          <t>Carried forward</t>
        </is>
      </c>
      <c r="I502" s="23" t="inlineStr">
        <is>
          <t>Source assignment -- not individually reviewed</t>
        </is>
      </c>
      <c r="J502" s="23" t="inlineStr"/>
      <c r="K502" s="23" t="inlineStr">
        <is>
          <t>Source assignment</t>
        </is>
      </c>
      <c r="L502" s="23" t="inlineStr"/>
      <c r="M502" s="23" t="inlineStr">
        <is>
          <t>Contractor Programme Cycle 2</t>
        </is>
      </c>
      <c r="N502" s="23" t="inlineStr">
        <is>
          <t>Rev 1</t>
        </is>
      </c>
      <c r="O502" s="23" t="inlineStr">
        <is>
          <t>R354-v2</t>
        </is>
      </c>
      <c r="P502" s="23" t="inlineStr"/>
      <c r="Q502" s="23" t="inlineStr"/>
      <c r="R502" s="23" t="inlineStr"/>
      <c r="S502" s="23" t="inlineStr"/>
      <c r="T502" s="23" t="inlineStr"/>
      <c r="U502" s="23" t="inlineStr"/>
      <c r="V502" s="23" t="inlineStr">
        <is>
          <t>WBS Code = 1.2.2</t>
        </is>
      </c>
      <c r="W502" s="23" t="inlineStr"/>
    </row>
    <row r="503" ht="49" customHeight="1">
      <c r="A503" s="23" t="inlineStr">
        <is>
          <t>1.2.2</t>
        </is>
      </c>
      <c r="B503" s="23" t="inlineStr">
        <is>
          <t>Stations - Architectural Fit-Out</t>
        </is>
      </c>
      <c r="C503" s="23" t="inlineStr">
        <is>
          <t>Contractor Programme</t>
        </is>
      </c>
      <c r="D503" s="23" t="inlineStr">
        <is>
          <t>SCH-02-177</t>
        </is>
      </c>
      <c r="E503" s="23" t="inlineStr">
        <is>
          <t>Market Station: vertical-transport installation - turnover</t>
        </is>
      </c>
      <c r="F503" s="23" t="inlineStr">
        <is>
          <t>ONE_TO_ONE</t>
        </is>
      </c>
      <c r="G503" s="23" t="inlineStr">
        <is>
          <t>RETAINED</t>
        </is>
      </c>
      <c r="H503" s="23" t="inlineStr">
        <is>
          <t>Carried forward</t>
        </is>
      </c>
      <c r="I503" s="23" t="inlineStr">
        <is>
          <t>Source assignment -- not individually reviewed</t>
        </is>
      </c>
      <c r="J503" s="23" t="inlineStr"/>
      <c r="K503" s="23" t="inlineStr">
        <is>
          <t>Source assignment</t>
        </is>
      </c>
      <c r="L503" s="23" t="inlineStr"/>
      <c r="M503" s="23" t="inlineStr">
        <is>
          <t>Contractor Programme Cycle 2</t>
        </is>
      </c>
      <c r="N503" s="23" t="inlineStr">
        <is>
          <t>Rev 1</t>
        </is>
      </c>
      <c r="O503" s="23" t="inlineStr">
        <is>
          <t>R357-v2</t>
        </is>
      </c>
      <c r="P503" s="23" t="inlineStr"/>
      <c r="Q503" s="23" t="inlineStr"/>
      <c r="R503" s="23" t="inlineStr"/>
      <c r="S503" s="23" t="inlineStr"/>
      <c r="T503" s="23" t="inlineStr"/>
      <c r="U503" s="23" t="inlineStr"/>
      <c r="V503" s="23" t="inlineStr">
        <is>
          <t>WBS Code = 1.2.2</t>
        </is>
      </c>
      <c r="W503" s="23" t="inlineStr"/>
    </row>
    <row r="504" ht="49" customHeight="1">
      <c r="A504" s="23" t="inlineStr">
        <is>
          <t>1.2.2</t>
        </is>
      </c>
      <c r="B504" s="23" t="inlineStr">
        <is>
          <t>Stations - Architectural Fit-Out</t>
        </is>
      </c>
      <c r="C504" s="23" t="inlineStr">
        <is>
          <t>Contractor Programme</t>
        </is>
      </c>
      <c r="D504" s="23" t="inlineStr">
        <is>
          <t>SCH-02-180</t>
        </is>
      </c>
      <c r="E504" s="23" t="inlineStr">
        <is>
          <t>West Terminal: fire-life-safety cabling - installation</t>
        </is>
      </c>
      <c r="F504" s="23" t="inlineStr">
        <is>
          <t>ONE_TO_ONE</t>
        </is>
      </c>
      <c r="G504" s="23" t="inlineStr">
        <is>
          <t>RETAINED</t>
        </is>
      </c>
      <c r="H504" s="23" t="inlineStr">
        <is>
          <t>Carried forward</t>
        </is>
      </c>
      <c r="I504" s="23" t="inlineStr">
        <is>
          <t>Source assignment -- not individually reviewed</t>
        </is>
      </c>
      <c r="J504" s="23" t="inlineStr"/>
      <c r="K504" s="23" t="inlineStr">
        <is>
          <t>Source assignment</t>
        </is>
      </c>
      <c r="L504" s="23" t="inlineStr"/>
      <c r="M504" s="23" t="inlineStr">
        <is>
          <t>Contractor Programme Cycle 2</t>
        </is>
      </c>
      <c r="N504" s="23" t="inlineStr">
        <is>
          <t>Rev 1</t>
        </is>
      </c>
      <c r="O504" s="23" t="inlineStr">
        <is>
          <t>R360-v2</t>
        </is>
      </c>
      <c r="P504" s="23" t="inlineStr"/>
      <c r="Q504" s="23" t="inlineStr"/>
      <c r="R504" s="23" t="inlineStr"/>
      <c r="S504" s="23" t="inlineStr"/>
      <c r="T504" s="23" t="inlineStr"/>
      <c r="U504" s="23" t="inlineStr"/>
      <c r="V504" s="23" t="inlineStr">
        <is>
          <t>WBS Code = 1.2.2</t>
        </is>
      </c>
      <c r="W504" s="23" t="inlineStr"/>
    </row>
    <row r="505" ht="64" customHeight="1">
      <c r="A505" s="23" t="inlineStr">
        <is>
          <t>1.2.2</t>
        </is>
      </c>
      <c r="B505" s="23" t="inlineStr">
        <is>
          <t>Stations - Architectural Fit-Out</t>
        </is>
      </c>
      <c r="C505" s="23" t="inlineStr">
        <is>
          <t>Cost &amp; Forecast Control Accounts</t>
        </is>
      </c>
      <c r="D505" s="23" t="inlineStr">
        <is>
          <t>CST-02-002</t>
        </is>
      </c>
      <c r="E505" s="23" t="inlineStr">
        <is>
          <t>Stations - station structure - closeout</t>
        </is>
      </c>
      <c r="F505" s="23" t="inlineStr">
        <is>
          <t>ONE_TO_ONE</t>
        </is>
      </c>
      <c r="G505" s="23" t="inlineStr">
        <is>
          <t>RETAINED</t>
        </is>
      </c>
      <c r="H505" s="23" t="inlineStr">
        <is>
          <t>Carried forward</t>
        </is>
      </c>
      <c r="I505" s="23" t="inlineStr">
        <is>
          <t>Source assignment -- not individually reviewed</t>
        </is>
      </c>
      <c r="J505" s="23" t="inlineStr"/>
      <c r="K505" s="23" t="inlineStr">
        <is>
          <t>Source assignment</t>
        </is>
      </c>
      <c r="L505" s="23" t="inlineStr"/>
      <c r="M505" s="23" t="inlineStr">
        <is>
          <t>Cost &amp; Forecast Control Accounts Cycle 2</t>
        </is>
      </c>
      <c r="N505" s="23" t="inlineStr">
        <is>
          <t>Rev 1</t>
        </is>
      </c>
      <c r="O505" s="23" t="inlineStr">
        <is>
          <t>R1164-v2</t>
        </is>
      </c>
      <c r="P505" s="23" t="inlineStr"/>
      <c r="Q505" s="23" t="inlineStr"/>
      <c r="R505" s="23" t="inlineStr"/>
      <c r="S505" s="23" t="inlineStr"/>
      <c r="T505" s="23" t="inlineStr"/>
      <c r="U505" s="23" t="inlineStr"/>
      <c r="V505" s="23" t="inlineStr">
        <is>
          <t>Cost Account = CA-2002; WBS Code = 1.2.2</t>
        </is>
      </c>
      <c r="W505" s="23" t="inlineStr"/>
    </row>
    <row r="506" ht="64" customHeight="1">
      <c r="A506" s="23" t="inlineStr">
        <is>
          <t>1.2.2</t>
        </is>
      </c>
      <c r="B506" s="23" t="inlineStr">
        <is>
          <t>Stations - Architectural Fit-Out</t>
        </is>
      </c>
      <c r="C506" s="23" t="inlineStr">
        <is>
          <t>Cost &amp; Forecast Control Accounts</t>
        </is>
      </c>
      <c r="D506" s="23" t="inlineStr">
        <is>
          <t>CST-02-004</t>
        </is>
      </c>
      <c r="E506" s="23" t="inlineStr">
        <is>
          <t>Stations - public realm - supply and install</t>
        </is>
      </c>
      <c r="F506" s="23" t="inlineStr">
        <is>
          <t>ONE_TO_ONE</t>
        </is>
      </c>
      <c r="G506" s="23" t="inlineStr">
        <is>
          <t>RETAINED</t>
        </is>
      </c>
      <c r="H506" s="23" t="inlineStr">
        <is>
          <t>Carried forward</t>
        </is>
      </c>
      <c r="I506" s="23" t="inlineStr">
        <is>
          <t>Source assignment -- not individually reviewed</t>
        </is>
      </c>
      <c r="J506" s="23" t="inlineStr"/>
      <c r="K506" s="23" t="inlineStr">
        <is>
          <t>Source assignment</t>
        </is>
      </c>
      <c r="L506" s="23" t="inlineStr"/>
      <c r="M506" s="23" t="inlineStr">
        <is>
          <t>Cost &amp; Forecast Control Accounts Cycle 2</t>
        </is>
      </c>
      <c r="N506" s="23" t="inlineStr">
        <is>
          <t>Rev 1</t>
        </is>
      </c>
      <c r="O506" s="23" t="inlineStr">
        <is>
          <t>R1166-v2</t>
        </is>
      </c>
      <c r="P506" s="23" t="inlineStr"/>
      <c r="Q506" s="23" t="inlineStr"/>
      <c r="R506" s="23" t="inlineStr"/>
      <c r="S506" s="23" t="inlineStr"/>
      <c r="T506" s="23" t="inlineStr"/>
      <c r="U506" s="23" t="inlineStr"/>
      <c r="V506" s="23" t="inlineStr">
        <is>
          <t>Cost Account = CA-2004; WBS Code = 1.2.2</t>
        </is>
      </c>
      <c r="W506" s="23" t="inlineStr"/>
    </row>
    <row r="507" ht="64" customHeight="1">
      <c r="A507" s="23" t="inlineStr">
        <is>
          <t>1.2.2</t>
        </is>
      </c>
      <c r="B507" s="23" t="inlineStr">
        <is>
          <t>Stations - Architectural Fit-Out</t>
        </is>
      </c>
      <c r="C507" s="23" t="inlineStr">
        <is>
          <t>Cost &amp; Forecast Control Accounts</t>
        </is>
      </c>
      <c r="D507" s="23" t="inlineStr">
        <is>
          <t>CST-02-006</t>
        </is>
      </c>
      <c r="E507" s="23" t="inlineStr">
        <is>
          <t>Stations - building services - allowance</t>
        </is>
      </c>
      <c r="F507" s="23" t="inlineStr">
        <is>
          <t>ONE_TO_ONE</t>
        </is>
      </c>
      <c r="G507" s="23" t="inlineStr">
        <is>
          <t>RETAINED</t>
        </is>
      </c>
      <c r="H507" s="23" t="inlineStr">
        <is>
          <t>Carried forward</t>
        </is>
      </c>
      <c r="I507" s="23" t="inlineStr">
        <is>
          <t>Source assignment -- not individually reviewed</t>
        </is>
      </c>
      <c r="J507" s="23" t="inlineStr"/>
      <c r="K507" s="23" t="inlineStr">
        <is>
          <t>Source assignment</t>
        </is>
      </c>
      <c r="L507" s="23" t="inlineStr"/>
      <c r="M507" s="23" t="inlineStr">
        <is>
          <t>Cost &amp; Forecast Control Accounts Cycle 2</t>
        </is>
      </c>
      <c r="N507" s="23" t="inlineStr">
        <is>
          <t>Rev 1</t>
        </is>
      </c>
      <c r="O507" s="23" t="inlineStr">
        <is>
          <t>R1168-v2</t>
        </is>
      </c>
      <c r="P507" s="23" t="inlineStr"/>
      <c r="Q507" s="23" t="inlineStr"/>
      <c r="R507" s="23" t="inlineStr"/>
      <c r="S507" s="23" t="inlineStr"/>
      <c r="T507" s="23" t="inlineStr"/>
      <c r="U507" s="23" t="inlineStr"/>
      <c r="V507" s="23" t="inlineStr">
        <is>
          <t>Cost Account = CA-2006; WBS Code = 1.2.2</t>
        </is>
      </c>
      <c r="W507" s="23" t="inlineStr"/>
    </row>
    <row r="508" ht="64" customHeight="1">
      <c r="A508" s="23" t="inlineStr">
        <is>
          <t>1.2.2</t>
        </is>
      </c>
      <c r="B508" s="23" t="inlineStr">
        <is>
          <t>Stations - Architectural Fit-Out</t>
        </is>
      </c>
      <c r="C508" s="23" t="inlineStr">
        <is>
          <t>Cost &amp; Forecast Control Accounts</t>
        </is>
      </c>
      <c r="D508" s="23" t="inlineStr">
        <is>
          <t>CST-02-008</t>
        </is>
      </c>
      <c r="E508" s="23" t="inlineStr">
        <is>
          <t>Stations - station structure - field package</t>
        </is>
      </c>
      <c r="F508" s="23" t="inlineStr">
        <is>
          <t>ONE_TO_ONE</t>
        </is>
      </c>
      <c r="G508" s="23" t="inlineStr">
        <is>
          <t>RETAINED</t>
        </is>
      </c>
      <c r="H508" s="23" t="inlineStr">
        <is>
          <t>Carried forward</t>
        </is>
      </c>
      <c r="I508" s="23" t="inlineStr">
        <is>
          <t>Source assignment -- not individually reviewed</t>
        </is>
      </c>
      <c r="J508" s="23" t="inlineStr"/>
      <c r="K508" s="23" t="inlineStr">
        <is>
          <t>Source assignment</t>
        </is>
      </c>
      <c r="L508" s="23" t="inlineStr"/>
      <c r="M508" s="23" t="inlineStr">
        <is>
          <t>Cost &amp; Forecast Control Accounts Cycle 2</t>
        </is>
      </c>
      <c r="N508" s="23" t="inlineStr">
        <is>
          <t>Rev 1</t>
        </is>
      </c>
      <c r="O508" s="23" t="inlineStr">
        <is>
          <t>R1170-v2</t>
        </is>
      </c>
      <c r="P508" s="23" t="inlineStr"/>
      <c r="Q508" s="23" t="inlineStr"/>
      <c r="R508" s="23" t="inlineStr"/>
      <c r="S508" s="23" t="inlineStr"/>
      <c r="T508" s="23" t="inlineStr"/>
      <c r="U508" s="23" t="inlineStr"/>
      <c r="V508" s="23" t="inlineStr">
        <is>
          <t>Cost Account = CA-2008; WBS Code = 1.2.2</t>
        </is>
      </c>
      <c r="W508" s="23" t="inlineStr"/>
    </row>
    <row r="509" ht="64" customHeight="1">
      <c r="A509" s="23" t="inlineStr">
        <is>
          <t>1.2.2</t>
        </is>
      </c>
      <c r="B509" s="23" t="inlineStr">
        <is>
          <t>Stations - Architectural Fit-Out</t>
        </is>
      </c>
      <c r="C509" s="23" t="inlineStr">
        <is>
          <t>Cost &amp; Forecast Control Accounts</t>
        </is>
      </c>
      <c r="D509" s="23" t="inlineStr">
        <is>
          <t>CST-02-010</t>
        </is>
      </c>
      <c r="E509" s="23" t="inlineStr">
        <is>
          <t>Stations - public realm - professional services</t>
        </is>
      </c>
      <c r="F509" s="23" t="inlineStr">
        <is>
          <t>ONE_TO_ONE</t>
        </is>
      </c>
      <c r="G509" s="23" t="inlineStr">
        <is>
          <t>RETAINED</t>
        </is>
      </c>
      <c r="H509" s="23" t="inlineStr">
        <is>
          <t>Carried forward</t>
        </is>
      </c>
      <c r="I509" s="23" t="inlineStr">
        <is>
          <t>Source assignment -- not individually reviewed</t>
        </is>
      </c>
      <c r="J509" s="23" t="inlineStr"/>
      <c r="K509" s="23" t="inlineStr">
        <is>
          <t>Source assignment</t>
        </is>
      </c>
      <c r="L509" s="23" t="inlineStr"/>
      <c r="M509" s="23" t="inlineStr">
        <is>
          <t>Cost &amp; Forecast Control Accounts Cycle 2</t>
        </is>
      </c>
      <c r="N509" s="23" t="inlineStr">
        <is>
          <t>Rev 1</t>
        </is>
      </c>
      <c r="O509" s="23" t="inlineStr">
        <is>
          <t>R1172-v2</t>
        </is>
      </c>
      <c r="P509" s="23" t="inlineStr"/>
      <c r="Q509" s="23" t="inlineStr"/>
      <c r="R509" s="23" t="inlineStr"/>
      <c r="S509" s="23" t="inlineStr"/>
      <c r="T509" s="23" t="inlineStr"/>
      <c r="U509" s="23" t="inlineStr"/>
      <c r="V509" s="23" t="inlineStr">
        <is>
          <t>Cost Account = CA-2010; WBS Code = 1.2.2</t>
        </is>
      </c>
      <c r="W509" s="23" t="inlineStr"/>
    </row>
    <row r="510" ht="64" customHeight="1">
      <c r="A510" s="23" t="inlineStr">
        <is>
          <t>1.2.2</t>
        </is>
      </c>
      <c r="B510" s="23" t="inlineStr">
        <is>
          <t>Stations - Architectural Fit-Out</t>
        </is>
      </c>
      <c r="C510" s="23" t="inlineStr">
        <is>
          <t>Cost &amp; Forecast Control Accounts</t>
        </is>
      </c>
      <c r="D510" s="23" t="inlineStr">
        <is>
          <t>CST-02-012</t>
        </is>
      </c>
      <c r="E510" s="23" t="inlineStr">
        <is>
          <t>Stations - building services - closeout</t>
        </is>
      </c>
      <c r="F510" s="23" t="inlineStr">
        <is>
          <t>ONE_TO_ONE</t>
        </is>
      </c>
      <c r="G510" s="23" t="inlineStr">
        <is>
          <t>RETAINED</t>
        </is>
      </c>
      <c r="H510" s="23" t="inlineStr">
        <is>
          <t>Carried forward</t>
        </is>
      </c>
      <c r="I510" s="23" t="inlineStr">
        <is>
          <t>Source assignment -- not individually reviewed</t>
        </is>
      </c>
      <c r="J510" s="23" t="inlineStr"/>
      <c r="K510" s="23" t="inlineStr">
        <is>
          <t>Source assignment</t>
        </is>
      </c>
      <c r="L510" s="23" t="inlineStr"/>
      <c r="M510" s="23" t="inlineStr">
        <is>
          <t>Cost &amp; Forecast Control Accounts Cycle 2</t>
        </is>
      </c>
      <c r="N510" s="23" t="inlineStr">
        <is>
          <t>Rev 1</t>
        </is>
      </c>
      <c r="O510" s="23" t="inlineStr">
        <is>
          <t>R1174-v2</t>
        </is>
      </c>
      <c r="P510" s="23" t="inlineStr"/>
      <c r="Q510" s="23" t="inlineStr"/>
      <c r="R510" s="23" t="inlineStr"/>
      <c r="S510" s="23" t="inlineStr"/>
      <c r="T510" s="23" t="inlineStr"/>
      <c r="U510" s="23" t="inlineStr"/>
      <c r="V510" s="23" t="inlineStr">
        <is>
          <t>Cost Account = CA-2012; WBS Code = 1.2.2</t>
        </is>
      </c>
      <c r="W510" s="23" t="inlineStr"/>
    </row>
    <row r="511" ht="64" customHeight="1">
      <c r="A511" s="23" t="inlineStr">
        <is>
          <t>1.2.2</t>
        </is>
      </c>
      <c r="B511" s="23" t="inlineStr">
        <is>
          <t>Stations - Architectural Fit-Out</t>
        </is>
      </c>
      <c r="C511" s="23" t="inlineStr">
        <is>
          <t>Cost &amp; Forecast Control Accounts</t>
        </is>
      </c>
      <c r="D511" s="23" t="inlineStr">
        <is>
          <t>CST-02-014</t>
        </is>
      </c>
      <c r="E511" s="23" t="inlineStr">
        <is>
          <t>Stations - station structure - supply and install</t>
        </is>
      </c>
      <c r="F511" s="23" t="inlineStr">
        <is>
          <t>ONE_TO_ONE</t>
        </is>
      </c>
      <c r="G511" s="23" t="inlineStr">
        <is>
          <t>RETAINED</t>
        </is>
      </c>
      <c r="H511" s="23" t="inlineStr">
        <is>
          <t>Carried forward</t>
        </is>
      </c>
      <c r="I511" s="23" t="inlineStr">
        <is>
          <t>Source assignment -- not individually reviewed</t>
        </is>
      </c>
      <c r="J511" s="23" t="inlineStr"/>
      <c r="K511" s="23" t="inlineStr">
        <is>
          <t>Source assignment</t>
        </is>
      </c>
      <c r="L511" s="23" t="inlineStr"/>
      <c r="M511" s="23" t="inlineStr">
        <is>
          <t>Cost &amp; Forecast Control Accounts Cycle 2</t>
        </is>
      </c>
      <c r="N511" s="23" t="inlineStr">
        <is>
          <t>Rev 1</t>
        </is>
      </c>
      <c r="O511" s="23" t="inlineStr">
        <is>
          <t>R1176-v2</t>
        </is>
      </c>
      <c r="P511" s="23" t="inlineStr"/>
      <c r="Q511" s="23" t="inlineStr"/>
      <c r="R511" s="23" t="inlineStr"/>
      <c r="S511" s="23" t="inlineStr"/>
      <c r="T511" s="23" t="inlineStr"/>
      <c r="U511" s="23" t="inlineStr"/>
      <c r="V511" s="23" t="inlineStr">
        <is>
          <t>Cost Account = CA-2014; WBS Code = 1.2.2</t>
        </is>
      </c>
      <c r="W511" s="23" t="inlineStr"/>
    </row>
    <row r="512" ht="64" customHeight="1">
      <c r="A512" s="23" t="inlineStr">
        <is>
          <t>1.2.2</t>
        </is>
      </c>
      <c r="B512" s="23" t="inlineStr">
        <is>
          <t>Stations - Architectural Fit-Out</t>
        </is>
      </c>
      <c r="C512" s="23" t="inlineStr">
        <is>
          <t>Cost &amp; Forecast Control Accounts</t>
        </is>
      </c>
      <c r="D512" s="23" t="inlineStr">
        <is>
          <t>CST-02-016</t>
        </is>
      </c>
      <c r="E512" s="23" t="inlineStr">
        <is>
          <t>Stations - public realm - allowance</t>
        </is>
      </c>
      <c r="F512" s="23" t="inlineStr">
        <is>
          <t>ONE_TO_ONE</t>
        </is>
      </c>
      <c r="G512" s="23" t="inlineStr">
        <is>
          <t>RETAINED</t>
        </is>
      </c>
      <c r="H512" s="23" t="inlineStr">
        <is>
          <t>Carried forward</t>
        </is>
      </c>
      <c r="I512" s="23" t="inlineStr">
        <is>
          <t>Source assignment -- not individually reviewed</t>
        </is>
      </c>
      <c r="J512" s="23" t="inlineStr"/>
      <c r="K512" s="23" t="inlineStr">
        <is>
          <t>Source assignment</t>
        </is>
      </c>
      <c r="L512" s="23" t="inlineStr"/>
      <c r="M512" s="23" t="inlineStr">
        <is>
          <t>Cost &amp; Forecast Control Accounts Cycle 2</t>
        </is>
      </c>
      <c r="N512" s="23" t="inlineStr">
        <is>
          <t>Rev 1</t>
        </is>
      </c>
      <c r="O512" s="23" t="inlineStr">
        <is>
          <t>R1178-v2</t>
        </is>
      </c>
      <c r="P512" s="23" t="inlineStr"/>
      <c r="Q512" s="23" t="inlineStr"/>
      <c r="R512" s="23" t="inlineStr"/>
      <c r="S512" s="23" t="inlineStr"/>
      <c r="T512" s="23" t="inlineStr"/>
      <c r="U512" s="23" t="inlineStr"/>
      <c r="V512" s="23" t="inlineStr">
        <is>
          <t>Cost Account = CA-2016; WBS Code = 1.2.2</t>
        </is>
      </c>
      <c r="W512" s="23" t="inlineStr"/>
    </row>
    <row r="513" ht="64" customHeight="1">
      <c r="A513" s="23" t="inlineStr">
        <is>
          <t>1.2.2</t>
        </is>
      </c>
      <c r="B513" s="23" t="inlineStr">
        <is>
          <t>Stations - Architectural Fit-Out</t>
        </is>
      </c>
      <c r="C513" s="23" t="inlineStr">
        <is>
          <t>Cost &amp; Forecast Control Accounts</t>
        </is>
      </c>
      <c r="D513" s="23" t="inlineStr">
        <is>
          <t>CST-02-018</t>
        </is>
      </c>
      <c r="E513" s="23" t="inlineStr">
        <is>
          <t>Stations - building services - field package</t>
        </is>
      </c>
      <c r="F513" s="23" t="inlineStr">
        <is>
          <t>ONE_TO_ONE</t>
        </is>
      </c>
      <c r="G513" s="23" t="inlineStr">
        <is>
          <t>RETAINED</t>
        </is>
      </c>
      <c r="H513" s="23" t="inlineStr">
        <is>
          <t>Carried forward</t>
        </is>
      </c>
      <c r="I513" s="23" t="inlineStr">
        <is>
          <t>Source assignment -- not individually reviewed</t>
        </is>
      </c>
      <c r="J513" s="23" t="inlineStr"/>
      <c r="K513" s="23" t="inlineStr">
        <is>
          <t>Source assignment</t>
        </is>
      </c>
      <c r="L513" s="23" t="inlineStr"/>
      <c r="M513" s="23" t="inlineStr">
        <is>
          <t>Cost &amp; Forecast Control Accounts Cycle 2</t>
        </is>
      </c>
      <c r="N513" s="23" t="inlineStr">
        <is>
          <t>Rev 1</t>
        </is>
      </c>
      <c r="O513" s="23" t="inlineStr">
        <is>
          <t>R1180-v2</t>
        </is>
      </c>
      <c r="P513" s="23" t="inlineStr"/>
      <c r="Q513" s="23" t="inlineStr"/>
      <c r="R513" s="23" t="inlineStr"/>
      <c r="S513" s="23" t="inlineStr"/>
      <c r="T513" s="23" t="inlineStr"/>
      <c r="U513" s="23" t="inlineStr"/>
      <c r="V513" s="23" t="inlineStr">
        <is>
          <t>Cost Account = CA-2018; WBS Code = 1.2.2</t>
        </is>
      </c>
      <c r="W513" s="23" t="inlineStr"/>
    </row>
    <row r="514" ht="64" customHeight="1">
      <c r="A514" s="23" t="inlineStr">
        <is>
          <t>1.2.2</t>
        </is>
      </c>
      <c r="B514" s="23" t="inlineStr">
        <is>
          <t>Stations - Architectural Fit-Out</t>
        </is>
      </c>
      <c r="C514" s="23" t="inlineStr">
        <is>
          <t>Cost &amp; Forecast Control Accounts</t>
        </is>
      </c>
      <c r="D514" s="23" t="inlineStr">
        <is>
          <t>CST-02-020</t>
        </is>
      </c>
      <c r="E514" s="23" t="inlineStr">
        <is>
          <t>Stations - station structure - professional services</t>
        </is>
      </c>
      <c r="F514" s="23" t="inlineStr">
        <is>
          <t>ONE_TO_ONE</t>
        </is>
      </c>
      <c r="G514" s="23" t="inlineStr">
        <is>
          <t>RETAINED</t>
        </is>
      </c>
      <c r="H514" s="23" t="inlineStr">
        <is>
          <t>Carried forward</t>
        </is>
      </c>
      <c r="I514" s="23" t="inlineStr">
        <is>
          <t>Source assignment -- not individually reviewed</t>
        </is>
      </c>
      <c r="J514" s="23" t="inlineStr"/>
      <c r="K514" s="23" t="inlineStr">
        <is>
          <t>Source assignment</t>
        </is>
      </c>
      <c r="L514" s="23" t="inlineStr"/>
      <c r="M514" s="23" t="inlineStr">
        <is>
          <t>Cost &amp; Forecast Control Accounts Cycle 2</t>
        </is>
      </c>
      <c r="N514" s="23" t="inlineStr">
        <is>
          <t>Rev 1</t>
        </is>
      </c>
      <c r="O514" s="23" t="inlineStr">
        <is>
          <t>R1182-v2</t>
        </is>
      </c>
      <c r="P514" s="23" t="inlineStr"/>
      <c r="Q514" s="23" t="inlineStr"/>
      <c r="R514" s="23" t="inlineStr"/>
      <c r="S514" s="23" t="inlineStr"/>
      <c r="T514" s="23" t="inlineStr"/>
      <c r="U514" s="23" t="inlineStr"/>
      <c r="V514" s="23" t="inlineStr">
        <is>
          <t>Cost Account = CA-2020; WBS Code = 1.2.2</t>
        </is>
      </c>
      <c r="W514" s="23" t="inlineStr"/>
    </row>
    <row r="515" ht="64" customHeight="1">
      <c r="A515" s="23" t="inlineStr">
        <is>
          <t>1.2.2</t>
        </is>
      </c>
      <c r="B515" s="23" t="inlineStr">
        <is>
          <t>Stations - Architectural Fit-Out</t>
        </is>
      </c>
      <c r="C515" s="23" t="inlineStr">
        <is>
          <t>Cost &amp; Forecast Control Accounts</t>
        </is>
      </c>
      <c r="D515" s="23" t="inlineStr">
        <is>
          <t>CST-02-022</t>
        </is>
      </c>
      <c r="E515" s="23" t="inlineStr">
        <is>
          <t>Stations - public realm - closeout</t>
        </is>
      </c>
      <c r="F515" s="23" t="inlineStr">
        <is>
          <t>ONE_TO_ONE</t>
        </is>
      </c>
      <c r="G515" s="23" t="inlineStr">
        <is>
          <t>RETAINED</t>
        </is>
      </c>
      <c r="H515" s="23" t="inlineStr">
        <is>
          <t>Carried forward</t>
        </is>
      </c>
      <c r="I515" s="23" t="inlineStr">
        <is>
          <t>Source assignment -- not individually reviewed</t>
        </is>
      </c>
      <c r="J515" s="23" t="inlineStr"/>
      <c r="K515" s="23" t="inlineStr">
        <is>
          <t>Source assignment</t>
        </is>
      </c>
      <c r="L515" s="23" t="inlineStr"/>
      <c r="M515" s="23" t="inlineStr">
        <is>
          <t>Cost &amp; Forecast Control Accounts Cycle 2</t>
        </is>
      </c>
      <c r="N515" s="23" t="inlineStr">
        <is>
          <t>Rev 1</t>
        </is>
      </c>
      <c r="O515" s="23" t="inlineStr">
        <is>
          <t>R1184-v2</t>
        </is>
      </c>
      <c r="P515" s="23" t="inlineStr"/>
      <c r="Q515" s="23" t="inlineStr"/>
      <c r="R515" s="23" t="inlineStr"/>
      <c r="S515" s="23" t="inlineStr"/>
      <c r="T515" s="23" t="inlineStr"/>
      <c r="U515" s="23" t="inlineStr"/>
      <c r="V515" s="23" t="inlineStr">
        <is>
          <t>Cost Account = CA-2022; WBS Code = 1.2.2</t>
        </is>
      </c>
      <c r="W515" s="23" t="inlineStr"/>
    </row>
    <row r="516" ht="64" customHeight="1">
      <c r="A516" s="23" t="inlineStr">
        <is>
          <t>1.2.2</t>
        </is>
      </c>
      <c r="B516" s="23" t="inlineStr">
        <is>
          <t>Stations - Architectural Fit-Out</t>
        </is>
      </c>
      <c r="C516" s="23" t="inlineStr">
        <is>
          <t>Cost &amp; Forecast Control Accounts</t>
        </is>
      </c>
      <c r="D516" s="23" t="inlineStr">
        <is>
          <t>CST-02-024</t>
        </is>
      </c>
      <c r="E516" s="23" t="inlineStr">
        <is>
          <t>Stations - building services - supply and install</t>
        </is>
      </c>
      <c r="F516" s="23" t="inlineStr">
        <is>
          <t>ONE_TO_ONE</t>
        </is>
      </c>
      <c r="G516" s="23" t="inlineStr">
        <is>
          <t>RETAINED</t>
        </is>
      </c>
      <c r="H516" s="23" t="inlineStr">
        <is>
          <t>Carried forward</t>
        </is>
      </c>
      <c r="I516" s="23" t="inlineStr">
        <is>
          <t>Source assignment -- not individually reviewed</t>
        </is>
      </c>
      <c r="J516" s="23" t="inlineStr"/>
      <c r="K516" s="23" t="inlineStr">
        <is>
          <t>Source assignment</t>
        </is>
      </c>
      <c r="L516" s="23" t="inlineStr"/>
      <c r="M516" s="23" t="inlineStr">
        <is>
          <t>Cost &amp; Forecast Control Accounts Cycle 2</t>
        </is>
      </c>
      <c r="N516" s="23" t="inlineStr">
        <is>
          <t>Rev 1</t>
        </is>
      </c>
      <c r="O516" s="23" t="inlineStr">
        <is>
          <t>R1186-v2</t>
        </is>
      </c>
      <c r="P516" s="23" t="inlineStr"/>
      <c r="Q516" s="23" t="inlineStr"/>
      <c r="R516" s="23" t="inlineStr"/>
      <c r="S516" s="23" t="inlineStr"/>
      <c r="T516" s="23" t="inlineStr"/>
      <c r="U516" s="23" t="inlineStr"/>
      <c r="V516" s="23" t="inlineStr">
        <is>
          <t>Cost Account = CA-2024; WBS Code = 1.2.2</t>
        </is>
      </c>
      <c r="W516" s="23" t="inlineStr"/>
    </row>
    <row r="517" ht="64" customHeight="1">
      <c r="A517" s="23" t="inlineStr">
        <is>
          <t>1.2.2</t>
        </is>
      </c>
      <c r="B517" s="23" t="inlineStr">
        <is>
          <t>Stations - Architectural Fit-Out</t>
        </is>
      </c>
      <c r="C517" s="23" t="inlineStr">
        <is>
          <t>Cost &amp; Forecast Control Accounts</t>
        </is>
      </c>
      <c r="D517" s="23" t="inlineStr">
        <is>
          <t>CST-02-026</t>
        </is>
      </c>
      <c r="E517" s="23" t="inlineStr">
        <is>
          <t>Stations - station structure - allowance</t>
        </is>
      </c>
      <c r="F517" s="23" t="inlineStr">
        <is>
          <t>ONE_TO_ONE</t>
        </is>
      </c>
      <c r="G517" s="23" t="inlineStr">
        <is>
          <t>RETAINED</t>
        </is>
      </c>
      <c r="H517" s="23" t="inlineStr">
        <is>
          <t>Carried forward</t>
        </is>
      </c>
      <c r="I517" s="23" t="inlineStr">
        <is>
          <t>Source assignment -- not individually reviewed</t>
        </is>
      </c>
      <c r="J517" s="23" t="inlineStr"/>
      <c r="K517" s="23" t="inlineStr">
        <is>
          <t>Source assignment</t>
        </is>
      </c>
      <c r="L517" s="23" t="inlineStr"/>
      <c r="M517" s="23" t="inlineStr">
        <is>
          <t>Cost &amp; Forecast Control Accounts Cycle 2</t>
        </is>
      </c>
      <c r="N517" s="23" t="inlineStr">
        <is>
          <t>Rev 1</t>
        </is>
      </c>
      <c r="O517" s="23" t="inlineStr">
        <is>
          <t>R1188-v2</t>
        </is>
      </c>
      <c r="P517" s="23" t="inlineStr"/>
      <c r="Q517" s="23" t="inlineStr"/>
      <c r="R517" s="23" t="inlineStr"/>
      <c r="S517" s="23" t="inlineStr"/>
      <c r="T517" s="23" t="inlineStr"/>
      <c r="U517" s="23" t="inlineStr"/>
      <c r="V517" s="23" t="inlineStr">
        <is>
          <t>Cost Account = CA-2026; WBS Code = 1.2.2</t>
        </is>
      </c>
      <c r="W517" s="23" t="inlineStr"/>
    </row>
    <row r="518" ht="64" customHeight="1">
      <c r="A518" s="23" t="inlineStr">
        <is>
          <t>1.2.2</t>
        </is>
      </c>
      <c r="B518" s="23" t="inlineStr">
        <is>
          <t>Stations - Architectural Fit-Out</t>
        </is>
      </c>
      <c r="C518" s="23" t="inlineStr">
        <is>
          <t>Cost &amp; Forecast Control Accounts</t>
        </is>
      </c>
      <c r="D518" s="23" t="inlineStr">
        <is>
          <t>CST-02-028</t>
        </is>
      </c>
      <c r="E518" s="23" t="inlineStr">
        <is>
          <t>Stations - public realm - field package</t>
        </is>
      </c>
      <c r="F518" s="23" t="inlineStr">
        <is>
          <t>ONE_TO_ONE</t>
        </is>
      </c>
      <c r="G518" s="23" t="inlineStr">
        <is>
          <t>RETAINED</t>
        </is>
      </c>
      <c r="H518" s="23" t="inlineStr">
        <is>
          <t>Carried forward</t>
        </is>
      </c>
      <c r="I518" s="23" t="inlineStr">
        <is>
          <t>Source assignment -- not individually reviewed</t>
        </is>
      </c>
      <c r="J518" s="23" t="inlineStr"/>
      <c r="K518" s="23" t="inlineStr">
        <is>
          <t>Source assignment</t>
        </is>
      </c>
      <c r="L518" s="23" t="inlineStr"/>
      <c r="M518" s="23" t="inlineStr">
        <is>
          <t>Cost &amp; Forecast Control Accounts Cycle 2</t>
        </is>
      </c>
      <c r="N518" s="23" t="inlineStr">
        <is>
          <t>Rev 1</t>
        </is>
      </c>
      <c r="O518" s="23" t="inlineStr">
        <is>
          <t>R1190-v2</t>
        </is>
      </c>
      <c r="P518" s="23" t="inlineStr"/>
      <c r="Q518" s="23" t="inlineStr"/>
      <c r="R518" s="23" t="inlineStr"/>
      <c r="S518" s="23" t="inlineStr"/>
      <c r="T518" s="23" t="inlineStr"/>
      <c r="U518" s="23" t="inlineStr"/>
      <c r="V518" s="23" t="inlineStr">
        <is>
          <t>Cost Account = CA-2028; WBS Code = 1.2.2</t>
        </is>
      </c>
      <c r="W518" s="23" t="inlineStr"/>
    </row>
    <row r="519" ht="64" customHeight="1">
      <c r="A519" s="23" t="inlineStr">
        <is>
          <t>1.2.2</t>
        </is>
      </c>
      <c r="B519" s="23" t="inlineStr">
        <is>
          <t>Stations - Architectural Fit-Out</t>
        </is>
      </c>
      <c r="C519" s="23" t="inlineStr">
        <is>
          <t>Cost &amp; Forecast Control Accounts</t>
        </is>
      </c>
      <c r="D519" s="23" t="inlineStr">
        <is>
          <t>CST-02-030</t>
        </is>
      </c>
      <c r="E519" s="23" t="inlineStr">
        <is>
          <t>Stations - building services - professional services</t>
        </is>
      </c>
      <c r="F519" s="23" t="inlineStr">
        <is>
          <t>ONE_TO_ONE</t>
        </is>
      </c>
      <c r="G519" s="23" t="inlineStr">
        <is>
          <t>RETAINED</t>
        </is>
      </c>
      <c r="H519" s="23" t="inlineStr">
        <is>
          <t>Carried forward</t>
        </is>
      </c>
      <c r="I519" s="23" t="inlineStr">
        <is>
          <t>Source assignment -- not individually reviewed</t>
        </is>
      </c>
      <c r="J519" s="23" t="inlineStr"/>
      <c r="K519" s="23" t="inlineStr">
        <is>
          <t>Source assignment</t>
        </is>
      </c>
      <c r="L519" s="23" t="inlineStr"/>
      <c r="M519" s="23" t="inlineStr">
        <is>
          <t>Cost &amp; Forecast Control Accounts Cycle 2</t>
        </is>
      </c>
      <c r="N519" s="23" t="inlineStr">
        <is>
          <t>Rev 1</t>
        </is>
      </c>
      <c r="O519" s="23" t="inlineStr">
        <is>
          <t>R1192-v2</t>
        </is>
      </c>
      <c r="P519" s="23" t="inlineStr"/>
      <c r="Q519" s="23" t="inlineStr"/>
      <c r="R519" s="23" t="inlineStr"/>
      <c r="S519" s="23" t="inlineStr"/>
      <c r="T519" s="23" t="inlineStr"/>
      <c r="U519" s="23" t="inlineStr"/>
      <c r="V519" s="23" t="inlineStr">
        <is>
          <t>Cost Account = CA-2030; WBS Code = 1.2.2</t>
        </is>
      </c>
      <c r="W519" s="23" t="inlineStr"/>
    </row>
    <row r="520" ht="64" customHeight="1">
      <c r="A520" s="23" t="inlineStr">
        <is>
          <t>1.2.2</t>
        </is>
      </c>
      <c r="B520" s="23" t="inlineStr">
        <is>
          <t>Stations - Architectural Fit-Out</t>
        </is>
      </c>
      <c r="C520" s="23" t="inlineStr">
        <is>
          <t>Cost &amp; Forecast Control Accounts</t>
        </is>
      </c>
      <c r="D520" s="23" t="inlineStr">
        <is>
          <t>CST-02-032</t>
        </is>
      </c>
      <c r="E520" s="23" t="inlineStr">
        <is>
          <t>Stations - station structure - closeout</t>
        </is>
      </c>
      <c r="F520" s="23" t="inlineStr">
        <is>
          <t>ONE_TO_ONE</t>
        </is>
      </c>
      <c r="G520" s="23" t="inlineStr">
        <is>
          <t>RETAINED</t>
        </is>
      </c>
      <c r="H520" s="23" t="inlineStr">
        <is>
          <t>Carried forward</t>
        </is>
      </c>
      <c r="I520" s="23" t="inlineStr">
        <is>
          <t>Source assignment -- not individually reviewed</t>
        </is>
      </c>
      <c r="J520" s="23" t="inlineStr"/>
      <c r="K520" s="23" t="inlineStr">
        <is>
          <t>Source assignment</t>
        </is>
      </c>
      <c r="L520" s="23" t="inlineStr"/>
      <c r="M520" s="23" t="inlineStr">
        <is>
          <t>Cost &amp; Forecast Control Accounts Cycle 2</t>
        </is>
      </c>
      <c r="N520" s="23" t="inlineStr">
        <is>
          <t>Rev 1</t>
        </is>
      </c>
      <c r="O520" s="23" t="inlineStr">
        <is>
          <t>R1194-v2</t>
        </is>
      </c>
      <c r="P520" s="23" t="inlineStr"/>
      <c r="Q520" s="23" t="inlineStr"/>
      <c r="R520" s="23" t="inlineStr"/>
      <c r="S520" s="23" t="inlineStr"/>
      <c r="T520" s="23" t="inlineStr"/>
      <c r="U520" s="23" t="inlineStr"/>
      <c r="V520" s="23" t="inlineStr">
        <is>
          <t>Cost Account = CA-2032; WBS Code = 1.2.2</t>
        </is>
      </c>
      <c r="W520" s="23" t="inlineStr"/>
    </row>
    <row r="521" ht="64" customHeight="1">
      <c r="A521" s="23" t="inlineStr">
        <is>
          <t>1.2.2</t>
        </is>
      </c>
      <c r="B521" s="23" t="inlineStr">
        <is>
          <t>Stations - Architectural Fit-Out</t>
        </is>
      </c>
      <c r="C521" s="23" t="inlineStr">
        <is>
          <t>Cost &amp; Forecast Control Accounts</t>
        </is>
      </c>
      <c r="D521" s="23" t="inlineStr">
        <is>
          <t>CST-02-034</t>
        </is>
      </c>
      <c r="E521" s="23" t="inlineStr">
        <is>
          <t>Stations - public realm - supply and install</t>
        </is>
      </c>
      <c r="F521" s="23" t="inlineStr">
        <is>
          <t>ONE_TO_ONE</t>
        </is>
      </c>
      <c r="G521" s="23" t="inlineStr">
        <is>
          <t>RETAINED</t>
        </is>
      </c>
      <c r="H521" s="23" t="inlineStr">
        <is>
          <t>Carried forward</t>
        </is>
      </c>
      <c r="I521" s="23" t="inlineStr">
        <is>
          <t>Source assignment -- not individually reviewed</t>
        </is>
      </c>
      <c r="J521" s="23" t="inlineStr"/>
      <c r="K521" s="23" t="inlineStr">
        <is>
          <t>Source assignment</t>
        </is>
      </c>
      <c r="L521" s="23" t="inlineStr"/>
      <c r="M521" s="23" t="inlineStr">
        <is>
          <t>Cost &amp; Forecast Control Accounts Cycle 2</t>
        </is>
      </c>
      <c r="N521" s="23" t="inlineStr">
        <is>
          <t>Rev 1</t>
        </is>
      </c>
      <c r="O521" s="23" t="inlineStr">
        <is>
          <t>R1196-v2</t>
        </is>
      </c>
      <c r="P521" s="23" t="inlineStr"/>
      <c r="Q521" s="23" t="inlineStr"/>
      <c r="R521" s="23" t="inlineStr"/>
      <c r="S521" s="23" t="inlineStr"/>
      <c r="T521" s="23" t="inlineStr"/>
      <c r="U521" s="23" t="inlineStr"/>
      <c r="V521" s="23" t="inlineStr">
        <is>
          <t>Cost Account = CA-2034; WBS Code = 1.2.2</t>
        </is>
      </c>
      <c r="W521" s="23" t="inlineStr"/>
    </row>
    <row r="522" ht="64" customHeight="1">
      <c r="A522" s="23" t="inlineStr">
        <is>
          <t>1.2.2</t>
        </is>
      </c>
      <c r="B522" s="23" t="inlineStr">
        <is>
          <t>Stations - Architectural Fit-Out</t>
        </is>
      </c>
      <c r="C522" s="23" t="inlineStr">
        <is>
          <t>Cost &amp; Forecast Control Accounts</t>
        </is>
      </c>
      <c r="D522" s="23" t="inlineStr">
        <is>
          <t>CST-02-036</t>
        </is>
      </c>
      <c r="E522" s="23" t="inlineStr">
        <is>
          <t>Stations - building services - allowance</t>
        </is>
      </c>
      <c r="F522" s="23" t="inlineStr">
        <is>
          <t>ONE_TO_ONE</t>
        </is>
      </c>
      <c r="G522" s="23" t="inlineStr">
        <is>
          <t>RETAINED</t>
        </is>
      </c>
      <c r="H522" s="23" t="inlineStr">
        <is>
          <t>Carried forward</t>
        </is>
      </c>
      <c r="I522" s="23" t="inlineStr">
        <is>
          <t>Source assignment -- not individually reviewed</t>
        </is>
      </c>
      <c r="J522" s="23" t="inlineStr"/>
      <c r="K522" s="23" t="inlineStr">
        <is>
          <t>Source assignment</t>
        </is>
      </c>
      <c r="L522" s="23" t="inlineStr"/>
      <c r="M522" s="23" t="inlineStr">
        <is>
          <t>Cost &amp; Forecast Control Accounts Cycle 2</t>
        </is>
      </c>
      <c r="N522" s="23" t="inlineStr">
        <is>
          <t>Rev 1</t>
        </is>
      </c>
      <c r="O522" s="23" t="inlineStr">
        <is>
          <t>R1198-v2</t>
        </is>
      </c>
      <c r="P522" s="23" t="inlineStr"/>
      <c r="Q522" s="23" t="inlineStr"/>
      <c r="R522" s="23" t="inlineStr"/>
      <c r="S522" s="23" t="inlineStr"/>
      <c r="T522" s="23" t="inlineStr"/>
      <c r="U522" s="23" t="inlineStr"/>
      <c r="V522" s="23" t="inlineStr">
        <is>
          <t>Cost Account = CA-2036; WBS Code = 1.2.2</t>
        </is>
      </c>
      <c r="W522" s="23" t="inlineStr"/>
    </row>
    <row r="523" ht="64" customHeight="1">
      <c r="A523" s="23" t="inlineStr">
        <is>
          <t>1.2.2</t>
        </is>
      </c>
      <c r="B523" s="23" t="inlineStr">
        <is>
          <t>Stations - Architectural Fit-Out</t>
        </is>
      </c>
      <c r="C523" s="23" t="inlineStr">
        <is>
          <t>Cost &amp; Forecast Control Accounts</t>
        </is>
      </c>
      <c r="D523" s="23" t="inlineStr">
        <is>
          <t>CST-02-038</t>
        </is>
      </c>
      <c r="E523" s="23" t="inlineStr">
        <is>
          <t>Stations - station structure - field package</t>
        </is>
      </c>
      <c r="F523" s="23" t="inlineStr">
        <is>
          <t>ONE_TO_ONE</t>
        </is>
      </c>
      <c r="G523" s="23" t="inlineStr">
        <is>
          <t>RETAINED</t>
        </is>
      </c>
      <c r="H523" s="23" t="inlineStr">
        <is>
          <t>Carried forward</t>
        </is>
      </c>
      <c r="I523" s="23" t="inlineStr">
        <is>
          <t>Source assignment -- not individually reviewed</t>
        </is>
      </c>
      <c r="J523" s="23" t="inlineStr"/>
      <c r="K523" s="23" t="inlineStr">
        <is>
          <t>Source assignment</t>
        </is>
      </c>
      <c r="L523" s="23" t="inlineStr"/>
      <c r="M523" s="23" t="inlineStr">
        <is>
          <t>Cost &amp; Forecast Control Accounts Cycle 2</t>
        </is>
      </c>
      <c r="N523" s="23" t="inlineStr">
        <is>
          <t>Rev 1</t>
        </is>
      </c>
      <c r="O523" s="23" t="inlineStr">
        <is>
          <t>R1200-v2</t>
        </is>
      </c>
      <c r="P523" s="23" t="inlineStr"/>
      <c r="Q523" s="23" t="inlineStr"/>
      <c r="R523" s="23" t="inlineStr"/>
      <c r="S523" s="23" t="inlineStr"/>
      <c r="T523" s="23" t="inlineStr"/>
      <c r="U523" s="23" t="inlineStr"/>
      <c r="V523" s="23" t="inlineStr">
        <is>
          <t>Cost Account = CA-2038; WBS Code = 1.2.2</t>
        </is>
      </c>
      <c r="W523" s="23" t="inlineStr"/>
    </row>
    <row r="524" ht="64" customHeight="1">
      <c r="A524" s="23" t="inlineStr">
        <is>
          <t>1.2.2</t>
        </is>
      </c>
      <c r="B524" s="23" t="inlineStr">
        <is>
          <t>Stations - Architectural Fit-Out</t>
        </is>
      </c>
      <c r="C524" s="23" t="inlineStr">
        <is>
          <t>Cost &amp; Forecast Control Accounts</t>
        </is>
      </c>
      <c r="D524" s="23" t="inlineStr">
        <is>
          <t>CST-02-040</t>
        </is>
      </c>
      <c r="E524" s="23" t="inlineStr">
        <is>
          <t>Stations - public realm - professional services</t>
        </is>
      </c>
      <c r="F524" s="23" t="inlineStr">
        <is>
          <t>ONE_TO_ONE</t>
        </is>
      </c>
      <c r="G524" s="23" t="inlineStr">
        <is>
          <t>RETAINED</t>
        </is>
      </c>
      <c r="H524" s="23" t="inlineStr">
        <is>
          <t>Carried forward</t>
        </is>
      </c>
      <c r="I524" s="23" t="inlineStr">
        <is>
          <t>Source assignment -- not individually reviewed</t>
        </is>
      </c>
      <c r="J524" s="23" t="inlineStr"/>
      <c r="K524" s="23" t="inlineStr">
        <is>
          <t>Source assignment</t>
        </is>
      </c>
      <c r="L524" s="23" t="inlineStr"/>
      <c r="M524" s="23" t="inlineStr">
        <is>
          <t>Cost &amp; Forecast Control Accounts Cycle 2</t>
        </is>
      </c>
      <c r="N524" s="23" t="inlineStr">
        <is>
          <t>Rev 1</t>
        </is>
      </c>
      <c r="O524" s="23" t="inlineStr">
        <is>
          <t>R1202-v2</t>
        </is>
      </c>
      <c r="P524" s="23" t="inlineStr"/>
      <c r="Q524" s="23" t="inlineStr"/>
      <c r="R524" s="23" t="inlineStr"/>
      <c r="S524" s="23" t="inlineStr"/>
      <c r="T524" s="23" t="inlineStr"/>
      <c r="U524" s="23" t="inlineStr"/>
      <c r="V524" s="23" t="inlineStr">
        <is>
          <t>Cost Account = CA-2040; WBS Code = 1.2.2</t>
        </is>
      </c>
      <c r="W524" s="23" t="inlineStr"/>
    </row>
    <row r="525" ht="64" customHeight="1">
      <c r="A525" s="23" t="inlineStr">
        <is>
          <t>1.2.2</t>
        </is>
      </c>
      <c r="B525" s="23" t="inlineStr">
        <is>
          <t>Stations - Architectural Fit-Out</t>
        </is>
      </c>
      <c r="C525" s="23" t="inlineStr">
        <is>
          <t>Cost &amp; Forecast Control Accounts</t>
        </is>
      </c>
      <c r="D525" s="23" t="inlineStr">
        <is>
          <t>CST-02-042</t>
        </is>
      </c>
      <c r="E525" s="23" t="inlineStr">
        <is>
          <t>Stations - building services - closeout</t>
        </is>
      </c>
      <c r="F525" s="23" t="inlineStr">
        <is>
          <t>ONE_TO_ONE</t>
        </is>
      </c>
      <c r="G525" s="23" t="inlineStr">
        <is>
          <t>RETAINED</t>
        </is>
      </c>
      <c r="H525" s="23" t="inlineStr">
        <is>
          <t>Carried forward</t>
        </is>
      </c>
      <c r="I525" s="23" t="inlineStr">
        <is>
          <t>Source assignment -- not individually reviewed</t>
        </is>
      </c>
      <c r="J525" s="23" t="inlineStr"/>
      <c r="K525" s="23" t="inlineStr">
        <is>
          <t>Source assignment</t>
        </is>
      </c>
      <c r="L525" s="23" t="inlineStr"/>
      <c r="M525" s="23" t="inlineStr">
        <is>
          <t>Cost &amp; Forecast Control Accounts Cycle 2</t>
        </is>
      </c>
      <c r="N525" s="23" t="inlineStr">
        <is>
          <t>Rev 1</t>
        </is>
      </c>
      <c r="O525" s="23" t="inlineStr">
        <is>
          <t>R1204-v2</t>
        </is>
      </c>
      <c r="P525" s="23" t="inlineStr"/>
      <c r="Q525" s="23" t="inlineStr"/>
      <c r="R525" s="23" t="inlineStr"/>
      <c r="S525" s="23" t="inlineStr"/>
      <c r="T525" s="23" t="inlineStr"/>
      <c r="U525" s="23" t="inlineStr"/>
      <c r="V525" s="23" t="inlineStr">
        <is>
          <t>Cost Account = CA-2042; WBS Code = 1.2.2</t>
        </is>
      </c>
      <c r="W525" s="23" t="inlineStr"/>
    </row>
    <row r="526" ht="64" customHeight="1">
      <c r="A526" s="23" t="inlineStr">
        <is>
          <t>1.2.2</t>
        </is>
      </c>
      <c r="B526" s="23" t="inlineStr">
        <is>
          <t>Stations - Architectural Fit-Out</t>
        </is>
      </c>
      <c r="C526" s="23" t="inlineStr">
        <is>
          <t>Cost &amp; Forecast Control Accounts</t>
        </is>
      </c>
      <c r="D526" s="23" t="inlineStr">
        <is>
          <t>CST-02-044</t>
        </is>
      </c>
      <c r="E526" s="23" t="inlineStr">
        <is>
          <t>Stations - station structure - supply and install</t>
        </is>
      </c>
      <c r="F526" s="23" t="inlineStr">
        <is>
          <t>ONE_TO_ONE</t>
        </is>
      </c>
      <c r="G526" s="23" t="inlineStr">
        <is>
          <t>RETAINED</t>
        </is>
      </c>
      <c r="H526" s="23" t="inlineStr">
        <is>
          <t>Carried forward</t>
        </is>
      </c>
      <c r="I526" s="23" t="inlineStr">
        <is>
          <t>Source assignment -- not individually reviewed</t>
        </is>
      </c>
      <c r="J526" s="23" t="inlineStr"/>
      <c r="K526" s="23" t="inlineStr">
        <is>
          <t>Source assignment</t>
        </is>
      </c>
      <c r="L526" s="23" t="inlineStr"/>
      <c r="M526" s="23" t="inlineStr">
        <is>
          <t>Cost &amp; Forecast Control Accounts Cycle 2</t>
        </is>
      </c>
      <c r="N526" s="23" t="inlineStr">
        <is>
          <t>Rev 1</t>
        </is>
      </c>
      <c r="O526" s="23" t="inlineStr">
        <is>
          <t>R1206-v2</t>
        </is>
      </c>
      <c r="P526" s="23" t="inlineStr"/>
      <c r="Q526" s="23" t="inlineStr"/>
      <c r="R526" s="23" t="inlineStr"/>
      <c r="S526" s="23" t="inlineStr"/>
      <c r="T526" s="23" t="inlineStr"/>
      <c r="U526" s="23" t="inlineStr"/>
      <c r="V526" s="23" t="inlineStr">
        <is>
          <t>Cost Account = CA-2044; WBS Code = 1.2.2</t>
        </is>
      </c>
      <c r="W526" s="23" t="inlineStr"/>
    </row>
    <row r="527" ht="64" customHeight="1">
      <c r="A527" s="23" t="inlineStr">
        <is>
          <t>1.2.2</t>
        </is>
      </c>
      <c r="B527" s="23" t="inlineStr">
        <is>
          <t>Stations - Architectural Fit-Out</t>
        </is>
      </c>
      <c r="C527" s="23" t="inlineStr">
        <is>
          <t>Cost &amp; Forecast Control Accounts</t>
        </is>
      </c>
      <c r="D527" s="23" t="inlineStr">
        <is>
          <t>CST-02-046</t>
        </is>
      </c>
      <c r="E527" s="23" t="inlineStr">
        <is>
          <t>Stations - public realm - allowance</t>
        </is>
      </c>
      <c r="F527" s="23" t="inlineStr">
        <is>
          <t>ONE_TO_ONE</t>
        </is>
      </c>
      <c r="G527" s="23" t="inlineStr">
        <is>
          <t>RETAINED</t>
        </is>
      </c>
      <c r="H527" s="23" t="inlineStr">
        <is>
          <t>Carried forward</t>
        </is>
      </c>
      <c r="I527" s="23" t="inlineStr">
        <is>
          <t>Source assignment -- not individually reviewed</t>
        </is>
      </c>
      <c r="J527" s="23" t="inlineStr"/>
      <c r="K527" s="23" t="inlineStr">
        <is>
          <t>Source assignment</t>
        </is>
      </c>
      <c r="L527" s="23" t="inlineStr"/>
      <c r="M527" s="23" t="inlineStr">
        <is>
          <t>Cost &amp; Forecast Control Accounts Cycle 2</t>
        </is>
      </c>
      <c r="N527" s="23" t="inlineStr">
        <is>
          <t>Rev 1</t>
        </is>
      </c>
      <c r="O527" s="23" t="inlineStr">
        <is>
          <t>R1208-v2</t>
        </is>
      </c>
      <c r="P527" s="23" t="inlineStr"/>
      <c r="Q527" s="23" t="inlineStr"/>
      <c r="R527" s="23" t="inlineStr"/>
      <c r="S527" s="23" t="inlineStr"/>
      <c r="T527" s="23" t="inlineStr"/>
      <c r="U527" s="23" t="inlineStr"/>
      <c r="V527" s="23" t="inlineStr">
        <is>
          <t>Cost Account = CA-2046; WBS Code = 1.2.2</t>
        </is>
      </c>
      <c r="W527" s="23" t="inlineStr"/>
    </row>
    <row r="528" ht="64" customHeight="1">
      <c r="A528" s="23" t="inlineStr">
        <is>
          <t>1.2.2</t>
        </is>
      </c>
      <c r="B528" s="23" t="inlineStr">
        <is>
          <t>Stations - Architectural Fit-Out</t>
        </is>
      </c>
      <c r="C528" s="23" t="inlineStr">
        <is>
          <t>Cost &amp; Forecast Control Accounts</t>
        </is>
      </c>
      <c r="D528" s="23" t="inlineStr">
        <is>
          <t>CST-02-048</t>
        </is>
      </c>
      <c r="E528" s="23" t="inlineStr">
        <is>
          <t>Stations - building services - field package</t>
        </is>
      </c>
      <c r="F528" s="23" t="inlineStr">
        <is>
          <t>ONE_TO_ONE</t>
        </is>
      </c>
      <c r="G528" s="23" t="inlineStr">
        <is>
          <t>RETAINED</t>
        </is>
      </c>
      <c r="H528" s="23" t="inlineStr">
        <is>
          <t>Carried forward</t>
        </is>
      </c>
      <c r="I528" s="23" t="inlineStr">
        <is>
          <t>Source assignment -- not individually reviewed</t>
        </is>
      </c>
      <c r="J528" s="23" t="inlineStr"/>
      <c r="K528" s="23" t="inlineStr">
        <is>
          <t>Source assignment</t>
        </is>
      </c>
      <c r="L528" s="23" t="inlineStr"/>
      <c r="M528" s="23" t="inlineStr">
        <is>
          <t>Cost &amp; Forecast Control Accounts Cycle 2</t>
        </is>
      </c>
      <c r="N528" s="23" t="inlineStr">
        <is>
          <t>Rev 1</t>
        </is>
      </c>
      <c r="O528" s="23" t="inlineStr">
        <is>
          <t>R1210-v2</t>
        </is>
      </c>
      <c r="P528" s="23" t="inlineStr"/>
      <c r="Q528" s="23" t="inlineStr"/>
      <c r="R528" s="23" t="inlineStr"/>
      <c r="S528" s="23" t="inlineStr"/>
      <c r="T528" s="23" t="inlineStr"/>
      <c r="U528" s="23" t="inlineStr"/>
      <c r="V528" s="23" t="inlineStr">
        <is>
          <t>Cost Account = CA-2048; WBS Code = 1.2.2</t>
        </is>
      </c>
      <c r="W528" s="23" t="inlineStr"/>
    </row>
    <row r="529" ht="64" customHeight="1">
      <c r="A529" s="23" t="inlineStr">
        <is>
          <t>1.2.2</t>
        </is>
      </c>
      <c r="B529" s="23" t="inlineStr">
        <is>
          <t>Stations - Architectural Fit-Out</t>
        </is>
      </c>
      <c r="C529" s="23" t="inlineStr">
        <is>
          <t>Cost &amp; Forecast Control Accounts</t>
        </is>
      </c>
      <c r="D529" s="23" t="inlineStr">
        <is>
          <t>CST-02-050</t>
        </is>
      </c>
      <c r="E529" s="23" t="inlineStr">
        <is>
          <t>Stations - station structure - professional services</t>
        </is>
      </c>
      <c r="F529" s="23" t="inlineStr">
        <is>
          <t>ONE_TO_ONE</t>
        </is>
      </c>
      <c r="G529" s="23" t="inlineStr">
        <is>
          <t>RETAINED</t>
        </is>
      </c>
      <c r="H529" s="23" t="inlineStr">
        <is>
          <t>Carried forward</t>
        </is>
      </c>
      <c r="I529" s="23" t="inlineStr">
        <is>
          <t>Source assignment -- not individually reviewed</t>
        </is>
      </c>
      <c r="J529" s="23" t="inlineStr"/>
      <c r="K529" s="23" t="inlineStr">
        <is>
          <t>Source assignment</t>
        </is>
      </c>
      <c r="L529" s="23" t="inlineStr"/>
      <c r="M529" s="23" t="inlineStr">
        <is>
          <t>Cost &amp; Forecast Control Accounts Cycle 2</t>
        </is>
      </c>
      <c r="N529" s="23" t="inlineStr">
        <is>
          <t>Rev 1</t>
        </is>
      </c>
      <c r="O529" s="23" t="inlineStr">
        <is>
          <t>R1212-v2</t>
        </is>
      </c>
      <c r="P529" s="23" t="inlineStr"/>
      <c r="Q529" s="23" t="inlineStr"/>
      <c r="R529" s="23" t="inlineStr"/>
      <c r="S529" s="23" t="inlineStr"/>
      <c r="T529" s="23" t="inlineStr"/>
      <c r="U529" s="23" t="inlineStr"/>
      <c r="V529" s="23" t="inlineStr">
        <is>
          <t>Cost Account = CA-2050; WBS Code = 1.2.2</t>
        </is>
      </c>
      <c r="W529" s="23" t="inlineStr"/>
    </row>
    <row r="530" ht="64" customHeight="1">
      <c r="A530" s="23" t="inlineStr">
        <is>
          <t>1.2.2</t>
        </is>
      </c>
      <c r="B530" s="23" t="inlineStr">
        <is>
          <t>Stations - Architectural Fit-Out</t>
        </is>
      </c>
      <c r="C530" s="23" t="inlineStr">
        <is>
          <t>Cost &amp; Forecast Control Accounts</t>
        </is>
      </c>
      <c r="D530" s="23" t="inlineStr">
        <is>
          <t>CST-02-052</t>
        </is>
      </c>
      <c r="E530" s="23" t="inlineStr">
        <is>
          <t>Stations - public realm - closeout</t>
        </is>
      </c>
      <c r="F530" s="23" t="inlineStr">
        <is>
          <t>ONE_TO_ONE</t>
        </is>
      </c>
      <c r="G530" s="23" t="inlineStr">
        <is>
          <t>RETAINED</t>
        </is>
      </c>
      <c r="H530" s="23" t="inlineStr">
        <is>
          <t>Carried forward</t>
        </is>
      </c>
      <c r="I530" s="23" t="inlineStr">
        <is>
          <t>Source assignment -- not individually reviewed</t>
        </is>
      </c>
      <c r="J530" s="23" t="inlineStr"/>
      <c r="K530" s="23" t="inlineStr">
        <is>
          <t>Source assignment</t>
        </is>
      </c>
      <c r="L530" s="23" t="inlineStr"/>
      <c r="M530" s="23" t="inlineStr">
        <is>
          <t>Cost &amp; Forecast Control Accounts Cycle 2</t>
        </is>
      </c>
      <c r="N530" s="23" t="inlineStr">
        <is>
          <t>Rev 1</t>
        </is>
      </c>
      <c r="O530" s="23" t="inlineStr">
        <is>
          <t>R1214-v2</t>
        </is>
      </c>
      <c r="P530" s="23" t="inlineStr"/>
      <c r="Q530" s="23" t="inlineStr"/>
      <c r="R530" s="23" t="inlineStr"/>
      <c r="S530" s="23" t="inlineStr"/>
      <c r="T530" s="23" t="inlineStr"/>
      <c r="U530" s="23" t="inlineStr"/>
      <c r="V530" s="23" t="inlineStr">
        <is>
          <t>Cost Account = CA-2052; WBS Code = 1.2.2</t>
        </is>
      </c>
      <c r="W530" s="23" t="inlineStr"/>
    </row>
    <row r="531" ht="64" customHeight="1">
      <c r="A531" s="23" t="inlineStr">
        <is>
          <t>1.2.2</t>
        </is>
      </c>
      <c r="B531" s="23" t="inlineStr">
        <is>
          <t>Stations - Architectural Fit-Out</t>
        </is>
      </c>
      <c r="C531" s="23" t="inlineStr">
        <is>
          <t>Cost &amp; Forecast Control Accounts</t>
        </is>
      </c>
      <c r="D531" s="23" t="inlineStr">
        <is>
          <t>CST-02-054</t>
        </is>
      </c>
      <c r="E531" s="23" t="inlineStr">
        <is>
          <t>Stations - building services - supply and install</t>
        </is>
      </c>
      <c r="F531" s="23" t="inlineStr">
        <is>
          <t>ONE_TO_ONE</t>
        </is>
      </c>
      <c r="G531" s="23" t="inlineStr">
        <is>
          <t>RETAINED</t>
        </is>
      </c>
      <c r="H531" s="23" t="inlineStr">
        <is>
          <t>Carried forward</t>
        </is>
      </c>
      <c r="I531" s="23" t="inlineStr">
        <is>
          <t>Source assignment -- not individually reviewed</t>
        </is>
      </c>
      <c r="J531" s="23" t="inlineStr"/>
      <c r="K531" s="23" t="inlineStr">
        <is>
          <t>Source assignment</t>
        </is>
      </c>
      <c r="L531" s="23" t="inlineStr"/>
      <c r="M531" s="23" t="inlineStr">
        <is>
          <t>Cost &amp; Forecast Control Accounts Cycle 2</t>
        </is>
      </c>
      <c r="N531" s="23" t="inlineStr">
        <is>
          <t>Rev 1</t>
        </is>
      </c>
      <c r="O531" s="23" t="inlineStr">
        <is>
          <t>R1216-v2</t>
        </is>
      </c>
      <c r="P531" s="23" t="inlineStr"/>
      <c r="Q531" s="23" t="inlineStr"/>
      <c r="R531" s="23" t="inlineStr"/>
      <c r="S531" s="23" t="inlineStr"/>
      <c r="T531" s="23" t="inlineStr"/>
      <c r="U531" s="23" t="inlineStr"/>
      <c r="V531" s="23" t="inlineStr">
        <is>
          <t>Cost Account = CA-2054; WBS Code = 1.2.2</t>
        </is>
      </c>
      <c r="W531" s="23" t="inlineStr"/>
    </row>
    <row r="532" ht="64" customHeight="1">
      <c r="A532" s="23" t="inlineStr">
        <is>
          <t>1.2.2</t>
        </is>
      </c>
      <c r="B532" s="23" t="inlineStr">
        <is>
          <t>Stations - Architectural Fit-Out</t>
        </is>
      </c>
      <c r="C532" s="23" t="inlineStr">
        <is>
          <t>Cost &amp; Forecast Control Accounts</t>
        </is>
      </c>
      <c r="D532" s="23" t="inlineStr">
        <is>
          <t>CST-02-056</t>
        </is>
      </c>
      <c r="E532" s="23" t="inlineStr">
        <is>
          <t>Stations - station structure - allowance</t>
        </is>
      </c>
      <c r="F532" s="23" t="inlineStr">
        <is>
          <t>ONE_TO_ONE</t>
        </is>
      </c>
      <c r="G532" s="23" t="inlineStr">
        <is>
          <t>RETAINED</t>
        </is>
      </c>
      <c r="H532" s="23" t="inlineStr">
        <is>
          <t>Carried forward</t>
        </is>
      </c>
      <c r="I532" s="23" t="inlineStr">
        <is>
          <t>Source assignment -- not individually reviewed</t>
        </is>
      </c>
      <c r="J532" s="23" t="inlineStr"/>
      <c r="K532" s="23" t="inlineStr">
        <is>
          <t>Source assignment</t>
        </is>
      </c>
      <c r="L532" s="23" t="inlineStr"/>
      <c r="M532" s="23" t="inlineStr">
        <is>
          <t>Cost &amp; Forecast Control Accounts Cycle 2</t>
        </is>
      </c>
      <c r="N532" s="23" t="inlineStr">
        <is>
          <t>Rev 1</t>
        </is>
      </c>
      <c r="O532" s="23" t="inlineStr">
        <is>
          <t>R1218-v2</t>
        </is>
      </c>
      <c r="P532" s="23" t="inlineStr"/>
      <c r="Q532" s="23" t="inlineStr"/>
      <c r="R532" s="23" t="inlineStr"/>
      <c r="S532" s="23" t="inlineStr"/>
      <c r="T532" s="23" t="inlineStr"/>
      <c r="U532" s="23" t="inlineStr"/>
      <c r="V532" s="23" t="inlineStr">
        <is>
          <t>Cost Account = CA-2056; WBS Code = 1.2.2</t>
        </is>
      </c>
      <c r="W532" s="23" t="inlineStr"/>
    </row>
    <row r="533" ht="64" customHeight="1">
      <c r="A533" s="23" t="inlineStr">
        <is>
          <t>1.2.2</t>
        </is>
      </c>
      <c r="B533" s="23" t="inlineStr">
        <is>
          <t>Stations - Architectural Fit-Out</t>
        </is>
      </c>
      <c r="C533" s="23" t="inlineStr">
        <is>
          <t>Cost &amp; Forecast Control Accounts</t>
        </is>
      </c>
      <c r="D533" s="23" t="inlineStr">
        <is>
          <t>CST-02-058</t>
        </is>
      </c>
      <c r="E533" s="23" t="inlineStr">
        <is>
          <t>Stations - public realm - field package</t>
        </is>
      </c>
      <c r="F533" s="23" t="inlineStr">
        <is>
          <t>ONE_TO_ONE</t>
        </is>
      </c>
      <c r="G533" s="23" t="inlineStr">
        <is>
          <t>RETAINED</t>
        </is>
      </c>
      <c r="H533" s="23" t="inlineStr">
        <is>
          <t>Carried forward</t>
        </is>
      </c>
      <c r="I533" s="23" t="inlineStr">
        <is>
          <t>Source assignment -- not individually reviewed</t>
        </is>
      </c>
      <c r="J533" s="23" t="inlineStr"/>
      <c r="K533" s="23" t="inlineStr">
        <is>
          <t>Source assignment</t>
        </is>
      </c>
      <c r="L533" s="23" t="inlineStr"/>
      <c r="M533" s="23" t="inlineStr">
        <is>
          <t>Cost &amp; Forecast Control Accounts Cycle 2</t>
        </is>
      </c>
      <c r="N533" s="23" t="inlineStr">
        <is>
          <t>Rev 1</t>
        </is>
      </c>
      <c r="O533" s="23" t="inlineStr">
        <is>
          <t>R1220-v2</t>
        </is>
      </c>
      <c r="P533" s="23" t="inlineStr"/>
      <c r="Q533" s="23" t="inlineStr"/>
      <c r="R533" s="23" t="inlineStr"/>
      <c r="S533" s="23" t="inlineStr"/>
      <c r="T533" s="23" t="inlineStr"/>
      <c r="U533" s="23" t="inlineStr"/>
      <c r="V533" s="23" t="inlineStr">
        <is>
          <t>Cost Account = CA-2058; WBS Code = 1.2.2</t>
        </is>
      </c>
      <c r="W533" s="23" t="inlineStr"/>
    </row>
    <row r="534" ht="64" customHeight="1">
      <c r="A534" s="23" t="inlineStr">
        <is>
          <t>1.2.2</t>
        </is>
      </c>
      <c r="B534" s="23" t="inlineStr">
        <is>
          <t>Stations - Architectural Fit-Out</t>
        </is>
      </c>
      <c r="C534" s="23" t="inlineStr">
        <is>
          <t>Cost &amp; Forecast Control Accounts</t>
        </is>
      </c>
      <c r="D534" s="23" t="inlineStr">
        <is>
          <t>CST-02-060</t>
        </is>
      </c>
      <c r="E534" s="23" t="inlineStr">
        <is>
          <t>Stations - building services - professional services</t>
        </is>
      </c>
      <c r="F534" s="23" t="inlineStr">
        <is>
          <t>ONE_TO_ONE</t>
        </is>
      </c>
      <c r="G534" s="23" t="inlineStr">
        <is>
          <t>RETAINED</t>
        </is>
      </c>
      <c r="H534" s="23" t="inlineStr">
        <is>
          <t>Carried forward</t>
        </is>
      </c>
      <c r="I534" s="23" t="inlineStr">
        <is>
          <t>Source assignment -- not individually reviewed</t>
        </is>
      </c>
      <c r="J534" s="23" t="inlineStr"/>
      <c r="K534" s="23" t="inlineStr">
        <is>
          <t>Source assignment</t>
        </is>
      </c>
      <c r="L534" s="23" t="inlineStr"/>
      <c r="M534" s="23" t="inlineStr">
        <is>
          <t>Cost &amp; Forecast Control Accounts Cycle 2</t>
        </is>
      </c>
      <c r="N534" s="23" t="inlineStr">
        <is>
          <t>Rev 1</t>
        </is>
      </c>
      <c r="O534" s="23" t="inlineStr">
        <is>
          <t>R1222-v2</t>
        </is>
      </c>
      <c r="P534" s="23" t="inlineStr"/>
      <c r="Q534" s="23" t="inlineStr"/>
      <c r="R534" s="23" t="inlineStr"/>
      <c r="S534" s="23" t="inlineStr"/>
      <c r="T534" s="23" t="inlineStr"/>
      <c r="U534" s="23" t="inlineStr"/>
      <c r="V534" s="23" t="inlineStr">
        <is>
          <t>Cost Account = CA-2060; WBS Code = 1.2.2</t>
        </is>
      </c>
      <c r="W534" s="23" t="inlineStr"/>
    </row>
    <row r="535" ht="64" customHeight="1">
      <c r="A535" s="23" t="inlineStr">
        <is>
          <t>1.2.2</t>
        </is>
      </c>
      <c r="B535" s="23" t="inlineStr">
        <is>
          <t>Stations - Architectural Fit-Out</t>
        </is>
      </c>
      <c r="C535" s="23" t="inlineStr">
        <is>
          <t>Cost &amp; Forecast Control Accounts</t>
        </is>
      </c>
      <c r="D535" s="23" t="inlineStr">
        <is>
          <t>CST-02-062</t>
        </is>
      </c>
      <c r="E535" s="23" t="inlineStr">
        <is>
          <t>Stations - station structure - closeout</t>
        </is>
      </c>
      <c r="F535" s="23" t="inlineStr">
        <is>
          <t>ONE_TO_ONE</t>
        </is>
      </c>
      <c r="G535" s="23" t="inlineStr">
        <is>
          <t>RETAINED</t>
        </is>
      </c>
      <c r="H535" s="23" t="inlineStr">
        <is>
          <t>Carried forward</t>
        </is>
      </c>
      <c r="I535" s="23" t="inlineStr">
        <is>
          <t>Source assignment -- not individually reviewed</t>
        </is>
      </c>
      <c r="J535" s="23" t="inlineStr"/>
      <c r="K535" s="23" t="inlineStr">
        <is>
          <t>Source assignment</t>
        </is>
      </c>
      <c r="L535" s="23" t="inlineStr"/>
      <c r="M535" s="23" t="inlineStr">
        <is>
          <t>Cost &amp; Forecast Control Accounts Cycle 2</t>
        </is>
      </c>
      <c r="N535" s="23" t="inlineStr">
        <is>
          <t>Rev 1</t>
        </is>
      </c>
      <c r="O535" s="23" t="inlineStr">
        <is>
          <t>R1224-v2</t>
        </is>
      </c>
      <c r="P535" s="23" t="inlineStr"/>
      <c r="Q535" s="23" t="inlineStr"/>
      <c r="R535" s="23" t="inlineStr"/>
      <c r="S535" s="23" t="inlineStr"/>
      <c r="T535" s="23" t="inlineStr"/>
      <c r="U535" s="23" t="inlineStr"/>
      <c r="V535" s="23" t="inlineStr">
        <is>
          <t>Cost Account = CA-2062; WBS Code = 1.2.2</t>
        </is>
      </c>
      <c r="W535" s="23" t="inlineStr"/>
    </row>
    <row r="536" ht="64" customHeight="1">
      <c r="A536" s="23" t="inlineStr">
        <is>
          <t>1.2.2</t>
        </is>
      </c>
      <c r="B536" s="23" t="inlineStr">
        <is>
          <t>Stations - Architectural Fit-Out</t>
        </is>
      </c>
      <c r="C536" s="23" t="inlineStr">
        <is>
          <t>Cost &amp; Forecast Control Accounts</t>
        </is>
      </c>
      <c r="D536" s="23" t="inlineStr">
        <is>
          <t>CST-02-064</t>
        </is>
      </c>
      <c r="E536" s="23" t="inlineStr">
        <is>
          <t>Stations - public realm - supply and install</t>
        </is>
      </c>
      <c r="F536" s="23" t="inlineStr">
        <is>
          <t>ONE_TO_ONE</t>
        </is>
      </c>
      <c r="G536" s="23" t="inlineStr">
        <is>
          <t>RETAINED</t>
        </is>
      </c>
      <c r="H536" s="23" t="inlineStr">
        <is>
          <t>Carried forward</t>
        </is>
      </c>
      <c r="I536" s="23" t="inlineStr">
        <is>
          <t>Source assignment -- not individually reviewed</t>
        </is>
      </c>
      <c r="J536" s="23" t="inlineStr"/>
      <c r="K536" s="23" t="inlineStr">
        <is>
          <t>Source assignment</t>
        </is>
      </c>
      <c r="L536" s="23" t="inlineStr"/>
      <c r="M536" s="23" t="inlineStr">
        <is>
          <t>Cost &amp; Forecast Control Accounts Cycle 2</t>
        </is>
      </c>
      <c r="N536" s="23" t="inlineStr">
        <is>
          <t>Rev 1</t>
        </is>
      </c>
      <c r="O536" s="23" t="inlineStr">
        <is>
          <t>R1226-v2</t>
        </is>
      </c>
      <c r="P536" s="23" t="inlineStr"/>
      <c r="Q536" s="23" t="inlineStr"/>
      <c r="R536" s="23" t="inlineStr"/>
      <c r="S536" s="23" t="inlineStr"/>
      <c r="T536" s="23" t="inlineStr"/>
      <c r="U536" s="23" t="inlineStr"/>
      <c r="V536" s="23" t="inlineStr">
        <is>
          <t>Cost Account = CA-2064; WBS Code = 1.2.2</t>
        </is>
      </c>
      <c r="W536" s="23" t="inlineStr"/>
    </row>
    <row r="537" ht="64" customHeight="1">
      <c r="A537" s="23" t="inlineStr">
        <is>
          <t>1.2.2</t>
        </is>
      </c>
      <c r="B537" s="23" t="inlineStr">
        <is>
          <t>Stations - Architectural Fit-Out</t>
        </is>
      </c>
      <c r="C537" s="23" t="inlineStr">
        <is>
          <t>Cost &amp; Forecast Control Accounts</t>
        </is>
      </c>
      <c r="D537" s="23" t="inlineStr">
        <is>
          <t>CST-02-066</t>
        </is>
      </c>
      <c r="E537" s="23" t="inlineStr">
        <is>
          <t>Stations - building services - allowance</t>
        </is>
      </c>
      <c r="F537" s="23" t="inlineStr">
        <is>
          <t>ONE_TO_ONE</t>
        </is>
      </c>
      <c r="G537" s="23" t="inlineStr">
        <is>
          <t>RETAINED</t>
        </is>
      </c>
      <c r="H537" s="23" t="inlineStr">
        <is>
          <t>Carried forward</t>
        </is>
      </c>
      <c r="I537" s="23" t="inlineStr">
        <is>
          <t>Source assignment -- not individually reviewed</t>
        </is>
      </c>
      <c r="J537" s="23" t="inlineStr"/>
      <c r="K537" s="23" t="inlineStr">
        <is>
          <t>Source assignment</t>
        </is>
      </c>
      <c r="L537" s="23" t="inlineStr"/>
      <c r="M537" s="23" t="inlineStr">
        <is>
          <t>Cost &amp; Forecast Control Accounts Cycle 2</t>
        </is>
      </c>
      <c r="N537" s="23" t="inlineStr">
        <is>
          <t>Rev 1</t>
        </is>
      </c>
      <c r="O537" s="23" t="inlineStr">
        <is>
          <t>R1228-v2</t>
        </is>
      </c>
      <c r="P537" s="23" t="inlineStr"/>
      <c r="Q537" s="23" t="inlineStr"/>
      <c r="R537" s="23" t="inlineStr"/>
      <c r="S537" s="23" t="inlineStr"/>
      <c r="T537" s="23" t="inlineStr"/>
      <c r="U537" s="23" t="inlineStr"/>
      <c r="V537" s="23" t="inlineStr">
        <is>
          <t>Cost Account = CA-2066; WBS Code = 1.2.2</t>
        </is>
      </c>
      <c r="W537" s="23" t="inlineStr"/>
    </row>
    <row r="538" ht="64" customHeight="1">
      <c r="A538" s="23" t="inlineStr">
        <is>
          <t>1.2.2</t>
        </is>
      </c>
      <c r="B538" s="23" t="inlineStr">
        <is>
          <t>Stations - Architectural Fit-Out</t>
        </is>
      </c>
      <c r="C538" s="23" t="inlineStr">
        <is>
          <t>Cost &amp; Forecast Control Accounts</t>
        </is>
      </c>
      <c r="D538" s="23" t="inlineStr">
        <is>
          <t>CST-02-068</t>
        </is>
      </c>
      <c r="E538" s="23" t="inlineStr">
        <is>
          <t>Stations - station structure - field package</t>
        </is>
      </c>
      <c r="F538" s="23" t="inlineStr">
        <is>
          <t>ONE_TO_ONE</t>
        </is>
      </c>
      <c r="G538" s="23" t="inlineStr">
        <is>
          <t>RETAINED</t>
        </is>
      </c>
      <c r="H538" s="23" t="inlineStr">
        <is>
          <t>Carried forward</t>
        </is>
      </c>
      <c r="I538" s="23" t="inlineStr">
        <is>
          <t>Source assignment -- not individually reviewed</t>
        </is>
      </c>
      <c r="J538" s="23" t="inlineStr"/>
      <c r="K538" s="23" t="inlineStr">
        <is>
          <t>Source assignment</t>
        </is>
      </c>
      <c r="L538" s="23" t="inlineStr"/>
      <c r="M538" s="23" t="inlineStr">
        <is>
          <t>Cost &amp; Forecast Control Accounts Cycle 2</t>
        </is>
      </c>
      <c r="N538" s="23" t="inlineStr">
        <is>
          <t>Rev 1</t>
        </is>
      </c>
      <c r="O538" s="23" t="inlineStr">
        <is>
          <t>R1230-v2</t>
        </is>
      </c>
      <c r="P538" s="23" t="inlineStr"/>
      <c r="Q538" s="23" t="inlineStr"/>
      <c r="R538" s="23" t="inlineStr"/>
      <c r="S538" s="23" t="inlineStr"/>
      <c r="T538" s="23" t="inlineStr"/>
      <c r="U538" s="23" t="inlineStr"/>
      <c r="V538" s="23" t="inlineStr">
        <is>
          <t>Cost Account = CA-2068; WBS Code = 1.2.2</t>
        </is>
      </c>
      <c r="W538" s="23" t="inlineStr"/>
    </row>
    <row r="539" ht="64" customHeight="1">
      <c r="A539" s="23" t="inlineStr">
        <is>
          <t>1.2.2</t>
        </is>
      </c>
      <c r="B539" s="23" t="inlineStr">
        <is>
          <t>Stations - Architectural Fit-Out</t>
        </is>
      </c>
      <c r="C539" s="23" t="inlineStr">
        <is>
          <t>Cost &amp; Forecast Control Accounts</t>
        </is>
      </c>
      <c r="D539" s="23" t="inlineStr">
        <is>
          <t>CST-02-070</t>
        </is>
      </c>
      <c r="E539" s="23" t="inlineStr">
        <is>
          <t>Stations - public realm - professional services</t>
        </is>
      </c>
      <c r="F539" s="23" t="inlineStr">
        <is>
          <t>ONE_TO_ONE</t>
        </is>
      </c>
      <c r="G539" s="23" t="inlineStr">
        <is>
          <t>RETAINED</t>
        </is>
      </c>
      <c r="H539" s="23" t="inlineStr">
        <is>
          <t>Carried forward</t>
        </is>
      </c>
      <c r="I539" s="23" t="inlineStr">
        <is>
          <t>Source assignment -- not individually reviewed</t>
        </is>
      </c>
      <c r="J539" s="23" t="inlineStr"/>
      <c r="K539" s="23" t="inlineStr">
        <is>
          <t>Source assignment</t>
        </is>
      </c>
      <c r="L539" s="23" t="inlineStr"/>
      <c r="M539" s="23" t="inlineStr">
        <is>
          <t>Cost &amp; Forecast Control Accounts Cycle 2</t>
        </is>
      </c>
      <c r="N539" s="23" t="inlineStr">
        <is>
          <t>Rev 1</t>
        </is>
      </c>
      <c r="O539" s="23" t="inlineStr">
        <is>
          <t>R1232-v2</t>
        </is>
      </c>
      <c r="P539" s="23" t="inlineStr"/>
      <c r="Q539" s="23" t="inlineStr"/>
      <c r="R539" s="23" t="inlineStr"/>
      <c r="S539" s="23" t="inlineStr"/>
      <c r="T539" s="23" t="inlineStr"/>
      <c r="U539" s="23" t="inlineStr"/>
      <c r="V539" s="23" t="inlineStr">
        <is>
          <t>Cost Account = CA-2070; WBS Code = 1.2.2</t>
        </is>
      </c>
      <c r="W539" s="23" t="inlineStr"/>
    </row>
    <row r="540" ht="64" customHeight="1">
      <c r="A540" s="23" t="inlineStr">
        <is>
          <t>1.2.2</t>
        </is>
      </c>
      <c r="B540" s="23" t="inlineStr">
        <is>
          <t>Stations - Architectural Fit-Out</t>
        </is>
      </c>
      <c r="C540" s="23" t="inlineStr">
        <is>
          <t>Cost &amp; Forecast Control Accounts</t>
        </is>
      </c>
      <c r="D540" s="23" t="inlineStr">
        <is>
          <t>CST-02-072</t>
        </is>
      </c>
      <c r="E540" s="23" t="inlineStr">
        <is>
          <t>Stations - building services - closeout</t>
        </is>
      </c>
      <c r="F540" s="23" t="inlineStr">
        <is>
          <t>ONE_TO_ONE</t>
        </is>
      </c>
      <c r="G540" s="23" t="inlineStr">
        <is>
          <t>RETAINED</t>
        </is>
      </c>
      <c r="H540" s="23" t="inlineStr">
        <is>
          <t>Carried forward</t>
        </is>
      </c>
      <c r="I540" s="23" t="inlineStr">
        <is>
          <t>Source assignment -- not individually reviewed</t>
        </is>
      </c>
      <c r="J540" s="23" t="inlineStr"/>
      <c r="K540" s="23" t="inlineStr">
        <is>
          <t>Source assignment</t>
        </is>
      </c>
      <c r="L540" s="23" t="inlineStr"/>
      <c r="M540" s="23" t="inlineStr">
        <is>
          <t>Cost &amp; Forecast Control Accounts Cycle 2</t>
        </is>
      </c>
      <c r="N540" s="23" t="inlineStr">
        <is>
          <t>Rev 1</t>
        </is>
      </c>
      <c r="O540" s="23" t="inlineStr">
        <is>
          <t>R1234-v2</t>
        </is>
      </c>
      <c r="P540" s="23" t="inlineStr"/>
      <c r="Q540" s="23" t="inlineStr"/>
      <c r="R540" s="23" t="inlineStr"/>
      <c r="S540" s="23" t="inlineStr"/>
      <c r="T540" s="23" t="inlineStr"/>
      <c r="U540" s="23" t="inlineStr"/>
      <c r="V540" s="23" t="inlineStr">
        <is>
          <t>Cost Account = CA-2072; WBS Code = 1.2.2</t>
        </is>
      </c>
      <c r="W540" s="23" t="inlineStr"/>
    </row>
    <row r="541" ht="64" customHeight="1">
      <c r="A541" s="23" t="inlineStr">
        <is>
          <t>1.2.2</t>
        </is>
      </c>
      <c r="B541" s="23" t="inlineStr">
        <is>
          <t>Stations - Architectural Fit-Out</t>
        </is>
      </c>
      <c r="C541" s="23" t="inlineStr">
        <is>
          <t>Cost &amp; Forecast Control Accounts</t>
        </is>
      </c>
      <c r="D541" s="23" t="inlineStr">
        <is>
          <t>CST-02-074</t>
        </is>
      </c>
      <c r="E541" s="23" t="inlineStr">
        <is>
          <t>Stations - station structure - supply and install</t>
        </is>
      </c>
      <c r="F541" s="23" t="inlineStr">
        <is>
          <t>ONE_TO_ONE</t>
        </is>
      </c>
      <c r="G541" s="23" t="inlineStr">
        <is>
          <t>RETAINED</t>
        </is>
      </c>
      <c r="H541" s="23" t="inlineStr">
        <is>
          <t>Carried forward</t>
        </is>
      </c>
      <c r="I541" s="23" t="inlineStr">
        <is>
          <t>Source assignment -- not individually reviewed</t>
        </is>
      </c>
      <c r="J541" s="23" t="inlineStr"/>
      <c r="K541" s="23" t="inlineStr">
        <is>
          <t>Source assignment</t>
        </is>
      </c>
      <c r="L541" s="23" t="inlineStr"/>
      <c r="M541" s="23" t="inlineStr">
        <is>
          <t>Cost &amp; Forecast Control Accounts Cycle 2</t>
        </is>
      </c>
      <c r="N541" s="23" t="inlineStr">
        <is>
          <t>Rev 1</t>
        </is>
      </c>
      <c r="O541" s="23" t="inlineStr">
        <is>
          <t>R1236-v2</t>
        </is>
      </c>
      <c r="P541" s="23" t="inlineStr"/>
      <c r="Q541" s="23" t="inlineStr"/>
      <c r="R541" s="23" t="inlineStr"/>
      <c r="S541" s="23" t="inlineStr"/>
      <c r="T541" s="23" t="inlineStr"/>
      <c r="U541" s="23" t="inlineStr"/>
      <c r="V541" s="23" t="inlineStr">
        <is>
          <t>Cost Account = CA-2074; WBS Code = 1.2.2</t>
        </is>
      </c>
      <c r="W541" s="23" t="inlineStr"/>
    </row>
    <row r="542" ht="64" customHeight="1">
      <c r="A542" s="23" t="inlineStr">
        <is>
          <t>1.2.2</t>
        </is>
      </c>
      <c r="B542" s="23" t="inlineStr">
        <is>
          <t>Stations - Architectural Fit-Out</t>
        </is>
      </c>
      <c r="C542" s="23" t="inlineStr">
        <is>
          <t>Cost &amp; Forecast Control Accounts</t>
        </is>
      </c>
      <c r="D542" s="23" t="inlineStr">
        <is>
          <t>CST-02-076</t>
        </is>
      </c>
      <c r="E542" s="23" t="inlineStr">
        <is>
          <t>Stations - public realm - allowance</t>
        </is>
      </c>
      <c r="F542" s="23" t="inlineStr">
        <is>
          <t>ONE_TO_ONE</t>
        </is>
      </c>
      <c r="G542" s="23" t="inlineStr">
        <is>
          <t>RETAINED</t>
        </is>
      </c>
      <c r="H542" s="23" t="inlineStr">
        <is>
          <t>Carried forward</t>
        </is>
      </c>
      <c r="I542" s="23" t="inlineStr">
        <is>
          <t>Source assignment -- not individually reviewed</t>
        </is>
      </c>
      <c r="J542" s="23" t="inlineStr"/>
      <c r="K542" s="23" t="inlineStr">
        <is>
          <t>Source assignment</t>
        </is>
      </c>
      <c r="L542" s="23" t="inlineStr"/>
      <c r="M542" s="23" t="inlineStr">
        <is>
          <t>Cost &amp; Forecast Control Accounts Cycle 2</t>
        </is>
      </c>
      <c r="N542" s="23" t="inlineStr">
        <is>
          <t>Rev 1</t>
        </is>
      </c>
      <c r="O542" s="23" t="inlineStr">
        <is>
          <t>R1238-v2</t>
        </is>
      </c>
      <c r="P542" s="23" t="inlineStr"/>
      <c r="Q542" s="23" t="inlineStr"/>
      <c r="R542" s="23" t="inlineStr"/>
      <c r="S542" s="23" t="inlineStr"/>
      <c r="T542" s="23" t="inlineStr"/>
      <c r="U542" s="23" t="inlineStr"/>
      <c r="V542" s="23" t="inlineStr">
        <is>
          <t>Cost Account = CA-2076; WBS Code = 1.2.2</t>
        </is>
      </c>
      <c r="W542" s="23" t="inlineStr"/>
    </row>
    <row r="543" ht="64" customHeight="1">
      <c r="A543" s="23" t="inlineStr">
        <is>
          <t>1.2.2</t>
        </is>
      </c>
      <c r="B543" s="23" t="inlineStr">
        <is>
          <t>Stations - Architectural Fit-Out</t>
        </is>
      </c>
      <c r="C543" s="23" t="inlineStr">
        <is>
          <t>Cost &amp; Forecast Control Accounts</t>
        </is>
      </c>
      <c r="D543" s="23" t="inlineStr">
        <is>
          <t>CST-02-078</t>
        </is>
      </c>
      <c r="E543" s="23" t="inlineStr">
        <is>
          <t>Stations - building services - field package</t>
        </is>
      </c>
      <c r="F543" s="23" t="inlineStr">
        <is>
          <t>ONE_TO_ONE</t>
        </is>
      </c>
      <c r="G543" s="23" t="inlineStr">
        <is>
          <t>RETAINED</t>
        </is>
      </c>
      <c r="H543" s="23" t="inlineStr">
        <is>
          <t>Carried forward</t>
        </is>
      </c>
      <c r="I543" s="23" t="inlineStr">
        <is>
          <t>Source assignment -- not individually reviewed</t>
        </is>
      </c>
      <c r="J543" s="23" t="inlineStr"/>
      <c r="K543" s="23" t="inlineStr">
        <is>
          <t>Source assignment</t>
        </is>
      </c>
      <c r="L543" s="23" t="inlineStr"/>
      <c r="M543" s="23" t="inlineStr">
        <is>
          <t>Cost &amp; Forecast Control Accounts Cycle 2</t>
        </is>
      </c>
      <c r="N543" s="23" t="inlineStr">
        <is>
          <t>Rev 1</t>
        </is>
      </c>
      <c r="O543" s="23" t="inlineStr">
        <is>
          <t>R1240-v2</t>
        </is>
      </c>
      <c r="P543" s="23" t="inlineStr"/>
      <c r="Q543" s="23" t="inlineStr"/>
      <c r="R543" s="23" t="inlineStr"/>
      <c r="S543" s="23" t="inlineStr"/>
      <c r="T543" s="23" t="inlineStr"/>
      <c r="U543" s="23" t="inlineStr"/>
      <c r="V543" s="23" t="inlineStr">
        <is>
          <t>Cost Account = CA-2078; WBS Code = 1.2.2</t>
        </is>
      </c>
      <c r="W543" s="23" t="inlineStr"/>
    </row>
    <row r="544" ht="64" customHeight="1">
      <c r="A544" s="23" t="inlineStr">
        <is>
          <t>1.2.2</t>
        </is>
      </c>
      <c r="B544" s="23" t="inlineStr">
        <is>
          <t>Stations - Architectural Fit-Out</t>
        </is>
      </c>
      <c r="C544" s="23" t="inlineStr">
        <is>
          <t>Cost &amp; Forecast Control Accounts</t>
        </is>
      </c>
      <c r="D544" s="23" t="inlineStr">
        <is>
          <t>CST-02-080</t>
        </is>
      </c>
      <c r="E544" s="23" t="inlineStr">
        <is>
          <t>Stations - station structure - professional services</t>
        </is>
      </c>
      <c r="F544" s="23" t="inlineStr">
        <is>
          <t>ONE_TO_ONE</t>
        </is>
      </c>
      <c r="G544" s="23" t="inlineStr">
        <is>
          <t>RETAINED</t>
        </is>
      </c>
      <c r="H544" s="23" t="inlineStr">
        <is>
          <t>Carried forward</t>
        </is>
      </c>
      <c r="I544" s="23" t="inlineStr">
        <is>
          <t>Source assignment -- not individually reviewed</t>
        </is>
      </c>
      <c r="J544" s="23" t="inlineStr"/>
      <c r="K544" s="23" t="inlineStr">
        <is>
          <t>Source assignment</t>
        </is>
      </c>
      <c r="L544" s="23" t="inlineStr"/>
      <c r="M544" s="23" t="inlineStr">
        <is>
          <t>Cost &amp; Forecast Control Accounts Cycle 2</t>
        </is>
      </c>
      <c r="N544" s="23" t="inlineStr">
        <is>
          <t>Rev 1</t>
        </is>
      </c>
      <c r="O544" s="23" t="inlineStr">
        <is>
          <t>R1242-v2</t>
        </is>
      </c>
      <c r="P544" s="23" t="inlineStr"/>
      <c r="Q544" s="23" t="inlineStr"/>
      <c r="R544" s="23" t="inlineStr"/>
      <c r="S544" s="23" t="inlineStr"/>
      <c r="T544" s="23" t="inlineStr"/>
      <c r="U544" s="23" t="inlineStr"/>
      <c r="V544" s="23" t="inlineStr">
        <is>
          <t>Cost Account = CA-2080; WBS Code = 1.2.2</t>
        </is>
      </c>
      <c r="W544" s="23" t="inlineStr"/>
    </row>
    <row r="545" ht="64" customHeight="1">
      <c r="A545" s="23" t="inlineStr">
        <is>
          <t>1.3</t>
        </is>
      </c>
      <c r="B545" s="23" t="inlineStr">
        <is>
          <t>Systems</t>
        </is>
      </c>
      <c r="C545" s="23" t="inlineStr">
        <is>
          <t>Commercial Package Register</t>
        </is>
      </c>
      <c r="D545" s="23" t="inlineStr">
        <is>
          <t>PKG-021</t>
        </is>
      </c>
      <c r="E545" s="23" t="inlineStr">
        <is>
          <t>Traction Power</t>
        </is>
      </c>
      <c r="F545" s="23" t="inlineStr">
        <is>
          <t>ONE_TO_ONE</t>
        </is>
      </c>
      <c r="G545" s="23" t="inlineStr">
        <is>
          <t>RETAINED</t>
        </is>
      </c>
      <c r="H545" s="23" t="inlineStr">
        <is>
          <t>Carried forward</t>
        </is>
      </c>
      <c r="I545" s="23" t="inlineStr">
        <is>
          <t>Source assignment -- not individually reviewed</t>
        </is>
      </c>
      <c r="J545" s="23" t="inlineStr"/>
      <c r="K545" s="23" t="inlineStr">
        <is>
          <t>Source assignment</t>
        </is>
      </c>
      <c r="L545" s="23" t="inlineStr"/>
      <c r="M545" s="23" t="inlineStr">
        <is>
          <t>Commercial Package Register Cycle 2</t>
        </is>
      </c>
      <c r="N545" s="23" t="inlineStr">
        <is>
          <t>Rev 1</t>
        </is>
      </c>
      <c r="O545" s="23" t="inlineStr">
        <is>
          <t>R1583-v2</t>
        </is>
      </c>
      <c r="P545" s="23" t="inlineStr"/>
      <c r="Q545" s="23" t="inlineStr"/>
      <c r="R545" s="23" t="inlineStr"/>
      <c r="S545" s="23" t="inlineStr"/>
      <c r="T545" s="23" t="inlineStr"/>
      <c r="U545" s="23" t="inlineStr"/>
      <c r="V545" s="23" t="inlineStr">
        <is>
          <t>Package Code = PK-301; WBS Code = 1.3</t>
        </is>
      </c>
      <c r="W545" s="23" t="inlineStr"/>
    </row>
    <row r="546" ht="64" customHeight="1">
      <c r="A546" s="23" t="inlineStr">
        <is>
          <t>1.3</t>
        </is>
      </c>
      <c r="B546" s="23" t="inlineStr">
        <is>
          <t>Systems</t>
        </is>
      </c>
      <c r="C546" s="23" t="inlineStr">
        <is>
          <t>Commercial Package Register</t>
        </is>
      </c>
      <c r="D546" s="23" t="inlineStr">
        <is>
          <t>PKG-022</t>
        </is>
      </c>
      <c r="E546" s="23" t="inlineStr">
        <is>
          <t>Signalling &amp; Train Control</t>
        </is>
      </c>
      <c r="F546" s="23" t="inlineStr">
        <is>
          <t>ONE_TO_ONE</t>
        </is>
      </c>
      <c r="G546" s="23" t="inlineStr">
        <is>
          <t>RETAINED</t>
        </is>
      </c>
      <c r="H546" s="23" t="inlineStr">
        <is>
          <t>Carried forward</t>
        </is>
      </c>
      <c r="I546" s="23" t="inlineStr">
        <is>
          <t>Source assignment -- not individually reviewed</t>
        </is>
      </c>
      <c r="J546" s="23" t="inlineStr"/>
      <c r="K546" s="23" t="inlineStr">
        <is>
          <t>Source assignment</t>
        </is>
      </c>
      <c r="L546" s="23" t="inlineStr"/>
      <c r="M546" s="23" t="inlineStr">
        <is>
          <t>Commercial Package Register Cycle 2</t>
        </is>
      </c>
      <c r="N546" s="23" t="inlineStr">
        <is>
          <t>Rev 1</t>
        </is>
      </c>
      <c r="O546" s="23" t="inlineStr">
        <is>
          <t>R1584-v2</t>
        </is>
      </c>
      <c r="P546" s="23" t="inlineStr"/>
      <c r="Q546" s="23" t="inlineStr"/>
      <c r="R546" s="23" t="inlineStr"/>
      <c r="S546" s="23" t="inlineStr"/>
      <c r="T546" s="23" t="inlineStr"/>
      <c r="U546" s="23" t="inlineStr"/>
      <c r="V546" s="23" t="inlineStr">
        <is>
          <t>Package Code = PK-302; WBS Code = 1.3</t>
        </is>
      </c>
      <c r="W546" s="23" t="inlineStr"/>
    </row>
    <row r="547" ht="64" customHeight="1">
      <c r="A547" s="23" t="inlineStr">
        <is>
          <t>1.3</t>
        </is>
      </c>
      <c r="B547" s="23" t="inlineStr">
        <is>
          <t>Systems</t>
        </is>
      </c>
      <c r="C547" s="23" t="inlineStr">
        <is>
          <t>Commercial Package Register</t>
        </is>
      </c>
      <c r="D547" s="23" t="inlineStr">
        <is>
          <t>PKG-023</t>
        </is>
      </c>
      <c r="E547" s="23" t="inlineStr">
        <is>
          <t>Communications</t>
        </is>
      </c>
      <c r="F547" s="23" t="inlineStr">
        <is>
          <t>ONE_TO_ONE</t>
        </is>
      </c>
      <c r="G547" s="23" t="inlineStr">
        <is>
          <t>RETAINED</t>
        </is>
      </c>
      <c r="H547" s="23" t="inlineStr">
        <is>
          <t>Carried forward</t>
        </is>
      </c>
      <c r="I547" s="23" t="inlineStr">
        <is>
          <t>Source assignment -- not individually reviewed</t>
        </is>
      </c>
      <c r="J547" s="23" t="inlineStr"/>
      <c r="K547" s="23" t="inlineStr">
        <is>
          <t>Source assignment</t>
        </is>
      </c>
      <c r="L547" s="23" t="inlineStr"/>
      <c r="M547" s="23" t="inlineStr">
        <is>
          <t>Commercial Package Register Cycle 2</t>
        </is>
      </c>
      <c r="N547" s="23" t="inlineStr">
        <is>
          <t>Rev 1</t>
        </is>
      </c>
      <c r="O547" s="23" t="inlineStr">
        <is>
          <t>R1585-v2</t>
        </is>
      </c>
      <c r="P547" s="23" t="inlineStr"/>
      <c r="Q547" s="23" t="inlineStr"/>
      <c r="R547" s="23" t="inlineStr"/>
      <c r="S547" s="23" t="inlineStr"/>
      <c r="T547" s="23" t="inlineStr"/>
      <c r="U547" s="23" t="inlineStr"/>
      <c r="V547" s="23" t="inlineStr">
        <is>
          <t>Package Code = PK-303; WBS Code = 1.3</t>
        </is>
      </c>
      <c r="W547" s="23" t="inlineStr"/>
    </row>
    <row r="548" ht="64" customHeight="1">
      <c r="A548" s="23" t="inlineStr">
        <is>
          <t>1.3</t>
        </is>
      </c>
      <c r="B548" s="23" t="inlineStr">
        <is>
          <t>Systems</t>
        </is>
      </c>
      <c r="C548" s="23" t="inlineStr">
        <is>
          <t>Commercial Package Register</t>
        </is>
      </c>
      <c r="D548" s="23" t="inlineStr">
        <is>
          <t>PKG-024</t>
        </is>
      </c>
      <c r="E548" s="23" t="inlineStr">
        <is>
          <t>Systems Integration</t>
        </is>
      </c>
      <c r="F548" s="23" t="inlineStr">
        <is>
          <t>ONE_TO_ONE</t>
        </is>
      </c>
      <c r="G548" s="23" t="inlineStr">
        <is>
          <t>RETAINED</t>
        </is>
      </c>
      <c r="H548" s="23" t="inlineStr">
        <is>
          <t>Carried forward</t>
        </is>
      </c>
      <c r="I548" s="23" t="inlineStr">
        <is>
          <t>Source assignment -- not individually reviewed</t>
        </is>
      </c>
      <c r="J548" s="23" t="inlineStr"/>
      <c r="K548" s="23" t="inlineStr">
        <is>
          <t>Source assignment</t>
        </is>
      </c>
      <c r="L548" s="23" t="inlineStr"/>
      <c r="M548" s="23" t="inlineStr">
        <is>
          <t>Commercial Package Register Cycle 2</t>
        </is>
      </c>
      <c r="N548" s="23" t="inlineStr">
        <is>
          <t>Rev 1</t>
        </is>
      </c>
      <c r="O548" s="23" t="inlineStr">
        <is>
          <t>R1586-v2</t>
        </is>
      </c>
      <c r="P548" s="23" t="inlineStr"/>
      <c r="Q548" s="23" t="inlineStr"/>
      <c r="R548" s="23" t="inlineStr"/>
      <c r="S548" s="23" t="inlineStr"/>
      <c r="T548" s="23" t="inlineStr"/>
      <c r="U548" s="23" t="inlineStr"/>
      <c r="V548" s="23" t="inlineStr">
        <is>
          <t>Package Code = PK-304; WBS Code = 1.3</t>
        </is>
      </c>
      <c r="W548" s="23" t="inlineStr"/>
    </row>
    <row r="549" ht="64" customHeight="1">
      <c r="A549" s="23" t="inlineStr">
        <is>
          <t>1.3</t>
        </is>
      </c>
      <c r="B549" s="23" t="inlineStr">
        <is>
          <t>Systems</t>
        </is>
      </c>
      <c r="C549" s="23" t="inlineStr">
        <is>
          <t>Commercial Package Register</t>
        </is>
      </c>
      <c r="D549" s="23" t="inlineStr">
        <is>
          <t>PKG-025</t>
        </is>
      </c>
      <c r="E549" s="23" t="inlineStr">
        <is>
          <t>Traction Power - Lot 2</t>
        </is>
      </c>
      <c r="F549" s="23" t="inlineStr">
        <is>
          <t>ONE_TO_ONE</t>
        </is>
      </c>
      <c r="G549" s="23" t="inlineStr">
        <is>
          <t>RETAINED</t>
        </is>
      </c>
      <c r="H549" s="23" t="inlineStr">
        <is>
          <t>Carried forward</t>
        </is>
      </c>
      <c r="I549" s="23" t="inlineStr">
        <is>
          <t>Source assignment -- not individually reviewed</t>
        </is>
      </c>
      <c r="J549" s="23" t="inlineStr"/>
      <c r="K549" s="23" t="inlineStr">
        <is>
          <t>Source assignment</t>
        </is>
      </c>
      <c r="L549" s="23" t="inlineStr"/>
      <c r="M549" s="23" t="inlineStr">
        <is>
          <t>Commercial Package Register Cycle 2</t>
        </is>
      </c>
      <c r="N549" s="23" t="inlineStr">
        <is>
          <t>Rev 1</t>
        </is>
      </c>
      <c r="O549" s="23" t="inlineStr">
        <is>
          <t>R1587-v2</t>
        </is>
      </c>
      <c r="P549" s="23" t="inlineStr"/>
      <c r="Q549" s="23" t="inlineStr"/>
      <c r="R549" s="23" t="inlineStr"/>
      <c r="S549" s="23" t="inlineStr"/>
      <c r="T549" s="23" t="inlineStr"/>
      <c r="U549" s="23" t="inlineStr"/>
      <c r="V549" s="23" t="inlineStr">
        <is>
          <t>Package Code = PK-305; WBS Code = 1.3</t>
        </is>
      </c>
      <c r="W549" s="23" t="inlineStr"/>
    </row>
    <row r="550" ht="64" customHeight="1">
      <c r="A550" s="23" t="inlineStr">
        <is>
          <t>1.3</t>
        </is>
      </c>
      <c r="B550" s="23" t="inlineStr">
        <is>
          <t>Systems</t>
        </is>
      </c>
      <c r="C550" s="23" t="inlineStr">
        <is>
          <t>Commercial Package Register</t>
        </is>
      </c>
      <c r="D550" s="23" t="inlineStr">
        <is>
          <t>PKG-026</t>
        </is>
      </c>
      <c r="E550" s="23" t="inlineStr">
        <is>
          <t>Signalling &amp; Train Control - Lot 2</t>
        </is>
      </c>
      <c r="F550" s="23" t="inlineStr">
        <is>
          <t>ONE_TO_ONE</t>
        </is>
      </c>
      <c r="G550" s="23" t="inlineStr">
        <is>
          <t>RETAINED</t>
        </is>
      </c>
      <c r="H550" s="23" t="inlineStr">
        <is>
          <t>Carried forward</t>
        </is>
      </c>
      <c r="I550" s="23" t="inlineStr">
        <is>
          <t>Source assignment -- not individually reviewed</t>
        </is>
      </c>
      <c r="J550" s="23" t="inlineStr"/>
      <c r="K550" s="23" t="inlineStr">
        <is>
          <t>Source assignment</t>
        </is>
      </c>
      <c r="L550" s="23" t="inlineStr"/>
      <c r="M550" s="23" t="inlineStr">
        <is>
          <t>Commercial Package Register Cycle 2</t>
        </is>
      </c>
      <c r="N550" s="23" t="inlineStr">
        <is>
          <t>Rev 1</t>
        </is>
      </c>
      <c r="O550" s="23" t="inlineStr">
        <is>
          <t>R1588-v2</t>
        </is>
      </c>
      <c r="P550" s="23" t="inlineStr"/>
      <c r="Q550" s="23" t="inlineStr"/>
      <c r="R550" s="23" t="inlineStr"/>
      <c r="S550" s="23" t="inlineStr"/>
      <c r="T550" s="23" t="inlineStr"/>
      <c r="U550" s="23" t="inlineStr"/>
      <c r="V550" s="23" t="inlineStr">
        <is>
          <t>Package Code = PK-306; WBS Code = 1.3</t>
        </is>
      </c>
      <c r="W550" s="23" t="inlineStr"/>
    </row>
    <row r="551" ht="64" customHeight="1">
      <c r="A551" s="23" t="inlineStr">
        <is>
          <t>1.3</t>
        </is>
      </c>
      <c r="B551" s="23" t="inlineStr">
        <is>
          <t>Systems</t>
        </is>
      </c>
      <c r="C551" s="23" t="inlineStr">
        <is>
          <t>Commercial Package Register</t>
        </is>
      </c>
      <c r="D551" s="23" t="inlineStr">
        <is>
          <t>PKG-027</t>
        </is>
      </c>
      <c r="E551" s="23" t="inlineStr">
        <is>
          <t>Communications - Lot 2</t>
        </is>
      </c>
      <c r="F551" s="23" t="inlineStr">
        <is>
          <t>ONE_TO_ONE</t>
        </is>
      </c>
      <c r="G551" s="23" t="inlineStr">
        <is>
          <t>RETAINED</t>
        </is>
      </c>
      <c r="H551" s="23" t="inlineStr">
        <is>
          <t>Carried forward</t>
        </is>
      </c>
      <c r="I551" s="23" t="inlineStr">
        <is>
          <t>Source assignment -- not individually reviewed</t>
        </is>
      </c>
      <c r="J551" s="23" t="inlineStr"/>
      <c r="K551" s="23" t="inlineStr">
        <is>
          <t>Source assignment</t>
        </is>
      </c>
      <c r="L551" s="23" t="inlineStr"/>
      <c r="M551" s="23" t="inlineStr">
        <is>
          <t>Commercial Package Register Cycle 2</t>
        </is>
      </c>
      <c r="N551" s="23" t="inlineStr">
        <is>
          <t>Rev 1</t>
        </is>
      </c>
      <c r="O551" s="23" t="inlineStr">
        <is>
          <t>R1589-v2</t>
        </is>
      </c>
      <c r="P551" s="23" t="inlineStr"/>
      <c r="Q551" s="23" t="inlineStr"/>
      <c r="R551" s="23" t="inlineStr"/>
      <c r="S551" s="23" t="inlineStr"/>
      <c r="T551" s="23" t="inlineStr"/>
      <c r="U551" s="23" t="inlineStr"/>
      <c r="V551" s="23" t="inlineStr">
        <is>
          <t>Package Code = PK-307; WBS Code = 1.3</t>
        </is>
      </c>
      <c r="W551" s="23" t="inlineStr"/>
    </row>
    <row r="552" ht="64" customHeight="1">
      <c r="A552" s="23" t="inlineStr">
        <is>
          <t>1.3</t>
        </is>
      </c>
      <c r="B552" s="23" t="inlineStr">
        <is>
          <t>Systems</t>
        </is>
      </c>
      <c r="C552" s="23" t="inlineStr">
        <is>
          <t>Commercial Package Register</t>
        </is>
      </c>
      <c r="D552" s="23" t="inlineStr">
        <is>
          <t>PKG-028</t>
        </is>
      </c>
      <c r="E552" s="23" t="inlineStr">
        <is>
          <t>Systems Integration - Lot 2</t>
        </is>
      </c>
      <c r="F552" s="23" t="inlineStr">
        <is>
          <t>ONE_TO_ONE</t>
        </is>
      </c>
      <c r="G552" s="23" t="inlineStr">
        <is>
          <t>RETAINED</t>
        </is>
      </c>
      <c r="H552" s="23" t="inlineStr">
        <is>
          <t>Carried forward</t>
        </is>
      </c>
      <c r="I552" s="23" t="inlineStr">
        <is>
          <t>Source assignment -- not individually reviewed</t>
        </is>
      </c>
      <c r="J552" s="23" t="inlineStr"/>
      <c r="K552" s="23" t="inlineStr">
        <is>
          <t>Source assignment</t>
        </is>
      </c>
      <c r="L552" s="23" t="inlineStr"/>
      <c r="M552" s="23" t="inlineStr">
        <is>
          <t>Commercial Package Register Cycle 2</t>
        </is>
      </c>
      <c r="N552" s="23" t="inlineStr">
        <is>
          <t>Rev 1</t>
        </is>
      </c>
      <c r="O552" s="23" t="inlineStr">
        <is>
          <t>R1590-v2</t>
        </is>
      </c>
      <c r="P552" s="23" t="inlineStr"/>
      <c r="Q552" s="23" t="inlineStr"/>
      <c r="R552" s="23" t="inlineStr"/>
      <c r="S552" s="23" t="inlineStr"/>
      <c r="T552" s="23" t="inlineStr"/>
      <c r="U552" s="23" t="inlineStr"/>
      <c r="V552" s="23" t="inlineStr">
        <is>
          <t>Package Code = PK-308; WBS Code = 1.3</t>
        </is>
      </c>
      <c r="W552" s="23" t="inlineStr"/>
    </row>
    <row r="553" ht="64" customHeight="1">
      <c r="A553" s="23" t="inlineStr">
        <is>
          <t>1.3</t>
        </is>
      </c>
      <c r="B553" s="23" t="inlineStr">
        <is>
          <t>Systems</t>
        </is>
      </c>
      <c r="C553" s="23" t="inlineStr">
        <is>
          <t>Commercial Package Register</t>
        </is>
      </c>
      <c r="D553" s="23" t="inlineStr">
        <is>
          <t>PKG-029</t>
        </is>
      </c>
      <c r="E553" s="23" t="inlineStr">
        <is>
          <t>Traction Power - Lot 3</t>
        </is>
      </c>
      <c r="F553" s="23" t="inlineStr">
        <is>
          <t>ONE_TO_ONE</t>
        </is>
      </c>
      <c r="G553" s="23" t="inlineStr">
        <is>
          <t>RETAINED</t>
        </is>
      </c>
      <c r="H553" s="23" t="inlineStr">
        <is>
          <t>Carried forward</t>
        </is>
      </c>
      <c r="I553" s="23" t="inlineStr">
        <is>
          <t>Source assignment -- not individually reviewed</t>
        </is>
      </c>
      <c r="J553" s="23" t="inlineStr"/>
      <c r="K553" s="23" t="inlineStr">
        <is>
          <t>Source assignment</t>
        </is>
      </c>
      <c r="L553" s="23" t="inlineStr"/>
      <c r="M553" s="23" t="inlineStr">
        <is>
          <t>Commercial Package Register Cycle 2</t>
        </is>
      </c>
      <c r="N553" s="23" t="inlineStr">
        <is>
          <t>Rev 1</t>
        </is>
      </c>
      <c r="O553" s="23" t="inlineStr">
        <is>
          <t>R1591-v2</t>
        </is>
      </c>
      <c r="P553" s="23" t="inlineStr"/>
      <c r="Q553" s="23" t="inlineStr"/>
      <c r="R553" s="23" t="inlineStr"/>
      <c r="S553" s="23" t="inlineStr"/>
      <c r="T553" s="23" t="inlineStr"/>
      <c r="U553" s="23" t="inlineStr"/>
      <c r="V553" s="23" t="inlineStr">
        <is>
          <t>Package Code = PK-309; WBS Code = 1.3</t>
        </is>
      </c>
      <c r="W553" s="23" t="inlineStr"/>
    </row>
    <row r="554" ht="64" customHeight="1">
      <c r="A554" s="23" t="inlineStr">
        <is>
          <t>1.3</t>
        </is>
      </c>
      <c r="B554" s="23" t="inlineStr">
        <is>
          <t>Systems</t>
        </is>
      </c>
      <c r="C554" s="23" t="inlineStr">
        <is>
          <t>Commercial Package Register</t>
        </is>
      </c>
      <c r="D554" s="23" t="inlineStr">
        <is>
          <t>PKG-030</t>
        </is>
      </c>
      <c r="E554" s="23" t="inlineStr">
        <is>
          <t>Signalling &amp; Train Control - Lot 3</t>
        </is>
      </c>
      <c r="F554" s="23" t="inlineStr">
        <is>
          <t>ONE_TO_ONE</t>
        </is>
      </c>
      <c r="G554" s="23" t="inlineStr">
        <is>
          <t>RETAINED</t>
        </is>
      </c>
      <c r="H554" s="23" t="inlineStr">
        <is>
          <t>Carried forward</t>
        </is>
      </c>
      <c r="I554" s="23" t="inlineStr">
        <is>
          <t>Source assignment -- not individually reviewed</t>
        </is>
      </c>
      <c r="J554" s="23" t="inlineStr"/>
      <c r="K554" s="23" t="inlineStr">
        <is>
          <t>Source assignment</t>
        </is>
      </c>
      <c r="L554" s="23" t="inlineStr"/>
      <c r="M554" s="23" t="inlineStr">
        <is>
          <t>Commercial Package Register Cycle 2</t>
        </is>
      </c>
      <c r="N554" s="23" t="inlineStr">
        <is>
          <t>Rev 1</t>
        </is>
      </c>
      <c r="O554" s="23" t="inlineStr">
        <is>
          <t>R1592-v2</t>
        </is>
      </c>
      <c r="P554" s="23" t="inlineStr"/>
      <c r="Q554" s="23" t="inlineStr"/>
      <c r="R554" s="23" t="inlineStr"/>
      <c r="S554" s="23" t="inlineStr"/>
      <c r="T554" s="23" t="inlineStr"/>
      <c r="U554" s="23" t="inlineStr"/>
      <c r="V554" s="23" t="inlineStr">
        <is>
          <t>Package Code = PK-310; WBS Code = 1.3</t>
        </is>
      </c>
      <c r="W554" s="23" t="inlineStr"/>
    </row>
    <row r="555" ht="49" customHeight="1">
      <c r="A555" s="23" t="inlineStr">
        <is>
          <t>1.3.1</t>
        </is>
      </c>
      <c r="B555" s="23" t="inlineStr">
        <is>
          <t>Systems - Traction Power</t>
        </is>
      </c>
      <c r="C555" s="23" t="inlineStr">
        <is>
          <t>Contractor Programme</t>
        </is>
      </c>
      <c r="D555" s="23" t="inlineStr">
        <is>
          <t>SCH-03-001</t>
        </is>
      </c>
      <c r="E555" s="23" t="inlineStr">
        <is>
          <t>Harbour Station: wayside interface test - turnover</t>
        </is>
      </c>
      <c r="F555" s="23" t="inlineStr">
        <is>
          <t>ONE_TO_ONE</t>
        </is>
      </c>
      <c r="G555" s="23" t="inlineStr">
        <is>
          <t>RETAINED</t>
        </is>
      </c>
      <c r="H555" s="23" t="inlineStr">
        <is>
          <t>Carried forward</t>
        </is>
      </c>
      <c r="I555" s="23" t="inlineStr">
        <is>
          <t>Source assignment -- not individually reviewed</t>
        </is>
      </c>
      <c r="J555" s="23" t="inlineStr"/>
      <c r="K555" s="23" t="inlineStr">
        <is>
          <t>Source assignment</t>
        </is>
      </c>
      <c r="L555" s="23" t="inlineStr"/>
      <c r="M555" s="23" t="inlineStr">
        <is>
          <t>Contractor Programme Cycle 2</t>
        </is>
      </c>
      <c r="N555" s="23" t="inlineStr">
        <is>
          <t>Rev 1</t>
        </is>
      </c>
      <c r="O555" s="23" t="inlineStr">
        <is>
          <t>R361-v2</t>
        </is>
      </c>
      <c r="P555" s="23" t="inlineStr"/>
      <c r="Q555" s="23" t="inlineStr"/>
      <c r="R555" s="23" t="inlineStr"/>
      <c r="S555" s="23" t="inlineStr"/>
      <c r="T555" s="23" t="inlineStr"/>
      <c r="U555" s="23" t="inlineStr"/>
      <c r="V555" s="23" t="inlineStr">
        <is>
          <t>WBS Code = 1.3.1</t>
        </is>
      </c>
      <c r="W555" s="23" t="inlineStr"/>
    </row>
    <row r="556" ht="49" customHeight="1">
      <c r="A556" s="23" t="inlineStr">
        <is>
          <t>1.3.1</t>
        </is>
      </c>
      <c r="B556" s="23" t="inlineStr">
        <is>
          <t>Systems - Traction Power</t>
        </is>
      </c>
      <c r="C556" s="23" t="inlineStr">
        <is>
          <t>Contractor Programme</t>
        </is>
      </c>
      <c r="D556" s="23" t="inlineStr">
        <is>
          <t>SCH-03-002</t>
        </is>
      </c>
      <c r="E556" s="23" t="inlineStr">
        <is>
          <t>Control Centre: signal equipment installation - release</t>
        </is>
      </c>
      <c r="F556" s="23" t="inlineStr">
        <is>
          <t>ONE_TO_ONE</t>
        </is>
      </c>
      <c r="G556" s="23" t="inlineStr">
        <is>
          <t>RETAINED</t>
        </is>
      </c>
      <c r="H556" s="23" t="inlineStr">
        <is>
          <t>Carried forward</t>
        </is>
      </c>
      <c r="I556" s="23" t="inlineStr">
        <is>
          <t>Source assignment -- not individually reviewed</t>
        </is>
      </c>
      <c r="J556" s="23" t="inlineStr"/>
      <c r="K556" s="23" t="inlineStr">
        <is>
          <t>Source assignment</t>
        </is>
      </c>
      <c r="L556" s="23" t="inlineStr"/>
      <c r="M556" s="23" t="inlineStr">
        <is>
          <t>Contractor Programme Cycle 2</t>
        </is>
      </c>
      <c r="N556" s="23" t="inlineStr">
        <is>
          <t>Rev 1</t>
        </is>
      </c>
      <c r="O556" s="23" t="inlineStr">
        <is>
          <t>R362-v2</t>
        </is>
      </c>
      <c r="P556" s="23" t="inlineStr"/>
      <c r="Q556" s="23" t="inlineStr"/>
      <c r="R556" s="23" t="inlineStr"/>
      <c r="S556" s="23" t="inlineStr"/>
      <c r="T556" s="23" t="inlineStr"/>
      <c r="U556" s="23" t="inlineStr"/>
      <c r="V556" s="23" t="inlineStr">
        <is>
          <t>WBS Code = 1.3.1</t>
        </is>
      </c>
      <c r="W556" s="23" t="inlineStr"/>
    </row>
    <row r="557" ht="49" customHeight="1">
      <c r="A557" s="23" t="inlineStr">
        <is>
          <t>1.3.1</t>
        </is>
      </c>
      <c r="B557" s="23" t="inlineStr">
        <is>
          <t>Systems - Traction Power</t>
        </is>
      </c>
      <c r="C557" s="23" t="inlineStr">
        <is>
          <t>Contractor Programme</t>
        </is>
      </c>
      <c r="D557" s="23" t="inlineStr">
        <is>
          <t>SCH-03-004</t>
        </is>
      </c>
      <c r="E557" s="23" t="inlineStr">
        <is>
          <t>East substation: control-centre integration - installation</t>
        </is>
      </c>
      <c r="F557" s="23" t="inlineStr">
        <is>
          <t>ONE_TO_ONE</t>
        </is>
      </c>
      <c r="G557" s="23" t="inlineStr">
        <is>
          <t>RETAINED</t>
        </is>
      </c>
      <c r="H557" s="23" t="inlineStr">
        <is>
          <t>Carried forward</t>
        </is>
      </c>
      <c r="I557" s="23" t="inlineStr">
        <is>
          <t>Source assignment -- not individually reviewed</t>
        </is>
      </c>
      <c r="J557" s="23" t="inlineStr"/>
      <c r="K557" s="23" t="inlineStr">
        <is>
          <t>Source assignment</t>
        </is>
      </c>
      <c r="L557" s="23" t="inlineStr"/>
      <c r="M557" s="23" t="inlineStr">
        <is>
          <t>Contractor Programme Cycle 2</t>
        </is>
      </c>
      <c r="N557" s="23" t="inlineStr">
        <is>
          <t>Rev 1</t>
        </is>
      </c>
      <c r="O557" s="23" t="inlineStr">
        <is>
          <t>R364-v2</t>
        </is>
      </c>
      <c r="P557" s="23" t="inlineStr"/>
      <c r="Q557" s="23" t="inlineStr"/>
      <c r="R557" s="23" t="inlineStr"/>
      <c r="S557" s="23" t="inlineStr"/>
      <c r="T557" s="23" t="inlineStr"/>
      <c r="U557" s="23" t="inlineStr"/>
      <c r="V557" s="23" t="inlineStr">
        <is>
          <t>WBS Code = 1.3.1</t>
        </is>
      </c>
      <c r="W557" s="23" t="inlineStr"/>
    </row>
    <row r="558" ht="49" customHeight="1">
      <c r="A558" s="23" t="inlineStr">
        <is>
          <t>1.3.1</t>
        </is>
      </c>
      <c r="B558" s="23" t="inlineStr">
        <is>
          <t>Systems - Traction Power</t>
        </is>
      </c>
      <c r="C558" s="23" t="inlineStr">
        <is>
          <t>Contractor Programme</t>
        </is>
      </c>
      <c r="D558" s="23" t="inlineStr">
        <is>
          <t>SCH-03-005</t>
        </is>
      </c>
      <c r="E558" s="23" t="inlineStr">
        <is>
          <t>Central interlocking: fibre backbone termination - inspection</t>
        </is>
      </c>
      <c r="F558" s="23" t="inlineStr">
        <is>
          <t>ONE_TO_ONE</t>
        </is>
      </c>
      <c r="G558" s="23" t="inlineStr">
        <is>
          <t>RETAINED</t>
        </is>
      </c>
      <c r="H558" s="23" t="inlineStr">
        <is>
          <t>Carried forward</t>
        </is>
      </c>
      <c r="I558" s="23" t="inlineStr">
        <is>
          <t>Source assignment -- not individually reviewed</t>
        </is>
      </c>
      <c r="J558" s="23" t="inlineStr"/>
      <c r="K558" s="23" t="inlineStr">
        <is>
          <t>Source assignment</t>
        </is>
      </c>
      <c r="L558" s="23" t="inlineStr"/>
      <c r="M558" s="23" t="inlineStr">
        <is>
          <t>Contractor Programme Cycle 2</t>
        </is>
      </c>
      <c r="N558" s="23" t="inlineStr">
        <is>
          <t>Rev 1</t>
        </is>
      </c>
      <c r="O558" s="23" t="inlineStr">
        <is>
          <t>R365-v2</t>
        </is>
      </c>
      <c r="P558" s="23" t="inlineStr"/>
      <c r="Q558" s="23" t="inlineStr"/>
      <c r="R558" s="23" t="inlineStr"/>
      <c r="S558" s="23" t="inlineStr"/>
      <c r="T558" s="23" t="inlineStr"/>
      <c r="U558" s="23" t="inlineStr"/>
      <c r="V558" s="23" t="inlineStr">
        <is>
          <t>WBS Code = 1.3.1</t>
        </is>
      </c>
      <c r="W558" s="23" t="inlineStr"/>
    </row>
    <row r="559" ht="49" customHeight="1">
      <c r="A559" s="23" t="inlineStr">
        <is>
          <t>1.3.1</t>
        </is>
      </c>
      <c r="B559" s="23" t="inlineStr">
        <is>
          <t>Systems - Traction Power</t>
        </is>
      </c>
      <c r="C559" s="23" t="inlineStr">
        <is>
          <t>Contractor Programme</t>
        </is>
      </c>
      <c r="D559" s="23" t="inlineStr">
        <is>
          <t>SCH-03-008</t>
        </is>
      </c>
      <c r="E559" s="23" t="inlineStr">
        <is>
          <t>West wayside: train-control cabinet fit-out - field start</t>
        </is>
      </c>
      <c r="F559" s="23" t="inlineStr">
        <is>
          <t>ONE_TO_ONE</t>
        </is>
      </c>
      <c r="G559" s="23" t="inlineStr">
        <is>
          <t>RETAINED</t>
        </is>
      </c>
      <c r="H559" s="23" t="inlineStr">
        <is>
          <t>Carried forward</t>
        </is>
      </c>
      <c r="I559" s="23" t="inlineStr">
        <is>
          <t>Source assignment -- not individually reviewed</t>
        </is>
      </c>
      <c r="J559" s="23" t="inlineStr"/>
      <c r="K559" s="23" t="inlineStr">
        <is>
          <t>Source assignment</t>
        </is>
      </c>
      <c r="L559" s="23" t="inlineStr"/>
      <c r="M559" s="23" t="inlineStr">
        <is>
          <t>Contractor Programme Cycle 2</t>
        </is>
      </c>
      <c r="N559" s="23" t="inlineStr">
        <is>
          <t>Rev 1</t>
        </is>
      </c>
      <c r="O559" s="23" t="inlineStr">
        <is>
          <t>R368-v2</t>
        </is>
      </c>
      <c r="P559" s="23" t="inlineStr"/>
      <c r="Q559" s="23" t="inlineStr"/>
      <c r="R559" s="23" t="inlineStr"/>
      <c r="S559" s="23" t="inlineStr"/>
      <c r="T559" s="23" t="inlineStr"/>
      <c r="U559" s="23" t="inlineStr"/>
      <c r="V559" s="23" t="inlineStr">
        <is>
          <t>WBS Code = 1.3.1</t>
        </is>
      </c>
      <c r="W559" s="23" t="inlineStr"/>
    </row>
    <row r="560" ht="49" customHeight="1">
      <c r="A560" s="23" t="inlineStr">
        <is>
          <t>1.3.1</t>
        </is>
      </c>
      <c r="B560" s="23" t="inlineStr">
        <is>
          <t>Systems - Traction Power</t>
        </is>
      </c>
      <c r="C560" s="23" t="inlineStr">
        <is>
          <t>Contractor Programme</t>
        </is>
      </c>
      <c r="D560" s="23" t="inlineStr">
        <is>
          <t>SCH-03-010</t>
        </is>
      </c>
      <c r="E560" s="23" t="inlineStr">
        <is>
          <t>Central interlocking: signal equipment installation - inspection</t>
        </is>
      </c>
      <c r="F560" s="23" t="inlineStr">
        <is>
          <t>ONE_TO_ONE</t>
        </is>
      </c>
      <c r="G560" s="23" t="inlineStr">
        <is>
          <t>RETAINED</t>
        </is>
      </c>
      <c r="H560" s="23" t="inlineStr">
        <is>
          <t>Carried forward</t>
        </is>
      </c>
      <c r="I560" s="23" t="inlineStr">
        <is>
          <t>Source assignment -- not individually reviewed</t>
        </is>
      </c>
      <c r="J560" s="23" t="inlineStr"/>
      <c r="K560" s="23" t="inlineStr">
        <is>
          <t>Source assignment</t>
        </is>
      </c>
      <c r="L560" s="23" t="inlineStr"/>
      <c r="M560" s="23" t="inlineStr">
        <is>
          <t>Contractor Programme Cycle 2</t>
        </is>
      </c>
      <c r="N560" s="23" t="inlineStr">
        <is>
          <t>Rev 1</t>
        </is>
      </c>
      <c r="O560" s="23" t="inlineStr">
        <is>
          <t>R370-v2</t>
        </is>
      </c>
      <c r="P560" s="23" t="inlineStr"/>
      <c r="Q560" s="23" t="inlineStr"/>
      <c r="R560" s="23" t="inlineStr"/>
      <c r="S560" s="23" t="inlineStr"/>
      <c r="T560" s="23" t="inlineStr"/>
      <c r="U560" s="23" t="inlineStr"/>
      <c r="V560" s="23" t="inlineStr">
        <is>
          <t>WBS Code = 1.3.1</t>
        </is>
      </c>
      <c r="W560" s="23" t="inlineStr"/>
    </row>
    <row r="561" ht="49" customHeight="1">
      <c r="A561" s="23" t="inlineStr">
        <is>
          <t>1.3.1</t>
        </is>
      </c>
      <c r="B561" s="23" t="inlineStr">
        <is>
          <t>Systems - Traction Power</t>
        </is>
      </c>
      <c r="C561" s="23" t="inlineStr">
        <is>
          <t>Contractor Programme</t>
        </is>
      </c>
      <c r="D561" s="23" t="inlineStr">
        <is>
          <t>SCH-03-011</t>
        </is>
      </c>
      <c r="E561" s="23" t="inlineStr">
        <is>
          <t>Harbour Station: radio equipment installation - turnover</t>
        </is>
      </c>
      <c r="F561" s="23" t="inlineStr">
        <is>
          <t>ONE_TO_ONE</t>
        </is>
      </c>
      <c r="G561" s="23" t="inlineStr">
        <is>
          <t>RETAINED</t>
        </is>
      </c>
      <c r="H561" s="23" t="inlineStr">
        <is>
          <t>Carried forward</t>
        </is>
      </c>
      <c r="I561" s="23" t="inlineStr">
        <is>
          <t>Source assignment -- not individually reviewed</t>
        </is>
      </c>
      <c r="J561" s="23" t="inlineStr"/>
      <c r="K561" s="23" t="inlineStr">
        <is>
          <t>Source assignment</t>
        </is>
      </c>
      <c r="L561" s="23" t="inlineStr"/>
      <c r="M561" s="23" t="inlineStr">
        <is>
          <t>Contractor Programme Cycle 2</t>
        </is>
      </c>
      <c r="N561" s="23" t="inlineStr">
        <is>
          <t>Rev 1</t>
        </is>
      </c>
      <c r="O561" s="23" t="inlineStr">
        <is>
          <t>R371-v2</t>
        </is>
      </c>
      <c r="P561" s="23" t="inlineStr"/>
      <c r="Q561" s="23" t="inlineStr"/>
      <c r="R561" s="23" t="inlineStr"/>
      <c r="S561" s="23" t="inlineStr"/>
      <c r="T561" s="23" t="inlineStr"/>
      <c r="U561" s="23" t="inlineStr"/>
      <c r="V561" s="23" t="inlineStr">
        <is>
          <t>WBS Code = 1.3.1</t>
        </is>
      </c>
      <c r="W561" s="23" t="inlineStr"/>
    </row>
    <row r="562" ht="49" customHeight="1">
      <c r="A562" s="23" t="inlineStr">
        <is>
          <t>1.3.1</t>
        </is>
      </c>
      <c r="B562" s="23" t="inlineStr">
        <is>
          <t>Systems - Traction Power</t>
        </is>
      </c>
      <c r="C562" s="23" t="inlineStr">
        <is>
          <t>Contractor Programme</t>
        </is>
      </c>
      <c r="D562" s="23" t="inlineStr">
        <is>
          <t>SCH-03-013</t>
        </is>
      </c>
      <c r="E562" s="23" t="inlineStr">
        <is>
          <t>West wayside: fibre backbone termination - field start</t>
        </is>
      </c>
      <c r="F562" s="23" t="inlineStr">
        <is>
          <t>ONE_TO_ONE</t>
        </is>
      </c>
      <c r="G562" s="23" t="inlineStr">
        <is>
          <t>RETAINED</t>
        </is>
      </c>
      <c r="H562" s="23" t="inlineStr">
        <is>
          <t>Carried forward</t>
        </is>
      </c>
      <c r="I562" s="23" t="inlineStr">
        <is>
          <t>Source assignment -- not individually reviewed</t>
        </is>
      </c>
      <c r="J562" s="23" t="inlineStr"/>
      <c r="K562" s="23" t="inlineStr">
        <is>
          <t>Source assignment</t>
        </is>
      </c>
      <c r="L562" s="23" t="inlineStr"/>
      <c r="M562" s="23" t="inlineStr">
        <is>
          <t>Contractor Programme Cycle 2</t>
        </is>
      </c>
      <c r="N562" s="23" t="inlineStr">
        <is>
          <t>Rev 1</t>
        </is>
      </c>
      <c r="O562" s="23" t="inlineStr">
        <is>
          <t>R373-v2</t>
        </is>
      </c>
      <c r="P562" s="23" t="inlineStr"/>
      <c r="Q562" s="23" t="inlineStr"/>
      <c r="R562" s="23" t="inlineStr"/>
      <c r="S562" s="23" t="inlineStr"/>
      <c r="T562" s="23" t="inlineStr"/>
      <c r="U562" s="23" t="inlineStr"/>
      <c r="V562" s="23" t="inlineStr">
        <is>
          <t>WBS Code = 1.3.1</t>
        </is>
      </c>
      <c r="W562" s="23" t="inlineStr"/>
    </row>
    <row r="563" ht="49" customHeight="1">
      <c r="A563" s="23" t="inlineStr">
        <is>
          <t>1.3.1</t>
        </is>
      </c>
      <c r="B563" s="23" t="inlineStr">
        <is>
          <t>Systems - Traction Power</t>
        </is>
      </c>
      <c r="C563" s="23" t="inlineStr">
        <is>
          <t>Contractor Programme</t>
        </is>
      </c>
      <c r="D563" s="23" t="inlineStr">
        <is>
          <t>SCH-03-014</t>
        </is>
      </c>
      <c r="E563" s="23" t="inlineStr">
        <is>
          <t>East substation: SCADA point-to-point check - installation</t>
        </is>
      </c>
      <c r="F563" s="23" t="inlineStr">
        <is>
          <t>ONE_TO_ONE</t>
        </is>
      </c>
      <c r="G563" s="23" t="inlineStr">
        <is>
          <t>RETAINED</t>
        </is>
      </c>
      <c r="H563" s="23" t="inlineStr">
        <is>
          <t>Carried forward</t>
        </is>
      </c>
      <c r="I563" s="23" t="inlineStr">
        <is>
          <t>Source assignment -- not individually reviewed</t>
        </is>
      </c>
      <c r="J563" s="23" t="inlineStr"/>
      <c r="K563" s="23" t="inlineStr">
        <is>
          <t>Source assignment</t>
        </is>
      </c>
      <c r="L563" s="23" t="inlineStr"/>
      <c r="M563" s="23" t="inlineStr">
        <is>
          <t>Contractor Programme Cycle 2</t>
        </is>
      </c>
      <c r="N563" s="23" t="inlineStr">
        <is>
          <t>Rev 1</t>
        </is>
      </c>
      <c r="O563" s="23" t="inlineStr">
        <is>
          <t>R374-v2</t>
        </is>
      </c>
      <c r="P563" s="23" t="inlineStr"/>
      <c r="Q563" s="23" t="inlineStr"/>
      <c r="R563" s="23" t="inlineStr"/>
      <c r="S563" s="23" t="inlineStr"/>
      <c r="T563" s="23" t="inlineStr"/>
      <c r="U563" s="23" t="inlineStr"/>
      <c r="V563" s="23" t="inlineStr">
        <is>
          <t>WBS Code = 1.3.1</t>
        </is>
      </c>
      <c r="W563" s="23" t="inlineStr"/>
    </row>
    <row r="564" ht="49" customHeight="1">
      <c r="A564" s="23" t="inlineStr">
        <is>
          <t>1.3.1</t>
        </is>
      </c>
      <c r="B564" s="23" t="inlineStr">
        <is>
          <t>Systems - Traction Power</t>
        </is>
      </c>
      <c r="C564" s="23" t="inlineStr">
        <is>
          <t>Contractor Programme</t>
        </is>
      </c>
      <c r="D564" s="23" t="inlineStr">
        <is>
          <t>SCH-03-016</t>
        </is>
      </c>
      <c r="E564" s="23" t="inlineStr">
        <is>
          <t>Harbour Station: train-control cabinet fit-out - turnover</t>
        </is>
      </c>
      <c r="F564" s="23" t="inlineStr">
        <is>
          <t>ONE_TO_ONE</t>
        </is>
      </c>
      <c r="G564" s="23" t="inlineStr">
        <is>
          <t>RETAINED</t>
        </is>
      </c>
      <c r="H564" s="23" t="inlineStr">
        <is>
          <t>Carried forward</t>
        </is>
      </c>
      <c r="I564" s="23" t="inlineStr">
        <is>
          <t>Source assignment -- not individually reviewed</t>
        </is>
      </c>
      <c r="J564" s="23" t="inlineStr"/>
      <c r="K564" s="23" t="inlineStr">
        <is>
          <t>Source assignment</t>
        </is>
      </c>
      <c r="L564" s="23" t="inlineStr"/>
      <c r="M564" s="23" t="inlineStr">
        <is>
          <t>Contractor Programme Cycle 2</t>
        </is>
      </c>
      <c r="N564" s="23" t="inlineStr">
        <is>
          <t>Rev 1</t>
        </is>
      </c>
      <c r="O564" s="23" t="inlineStr">
        <is>
          <t>R376-v2</t>
        </is>
      </c>
      <c r="P564" s="23" t="inlineStr"/>
      <c r="Q564" s="23" t="inlineStr"/>
      <c r="R564" s="23" t="inlineStr"/>
      <c r="S564" s="23" t="inlineStr"/>
      <c r="T564" s="23" t="inlineStr"/>
      <c r="U564" s="23" t="inlineStr"/>
      <c r="V564" s="23" t="inlineStr">
        <is>
          <t>WBS Code = 1.3.1</t>
        </is>
      </c>
      <c r="W564" s="23" t="inlineStr"/>
    </row>
    <row r="565" ht="49" customHeight="1">
      <c r="A565" s="23" t="inlineStr">
        <is>
          <t>1.3.1</t>
        </is>
      </c>
      <c r="B565" s="23" t="inlineStr">
        <is>
          <t>Systems - Traction Power</t>
        </is>
      </c>
      <c r="C565" s="23" t="inlineStr">
        <is>
          <t>Contractor Programme</t>
        </is>
      </c>
      <c r="D565" s="23" t="inlineStr">
        <is>
          <t>SCH-03-017</t>
        </is>
      </c>
      <c r="E565" s="23" t="inlineStr">
        <is>
          <t>Control Centre: wayside interface test - release</t>
        </is>
      </c>
      <c r="F565" s="23" t="inlineStr">
        <is>
          <t>ONE_TO_ONE</t>
        </is>
      </c>
      <c r="G565" s="23" t="inlineStr">
        <is>
          <t>RETAINED</t>
        </is>
      </c>
      <c r="H565" s="23" t="inlineStr">
        <is>
          <t>Carried forward</t>
        </is>
      </c>
      <c r="I565" s="23" t="inlineStr">
        <is>
          <t>Source assignment -- not individually reviewed</t>
        </is>
      </c>
      <c r="J565" s="23" t="inlineStr"/>
      <c r="K565" s="23" t="inlineStr">
        <is>
          <t>Source assignment</t>
        </is>
      </c>
      <c r="L565" s="23" t="inlineStr"/>
      <c r="M565" s="23" t="inlineStr">
        <is>
          <t>Contractor Programme Cycle 2</t>
        </is>
      </c>
      <c r="N565" s="23" t="inlineStr">
        <is>
          <t>Rev 1</t>
        </is>
      </c>
      <c r="O565" s="23" t="inlineStr">
        <is>
          <t>R377-v2</t>
        </is>
      </c>
      <c r="P565" s="23" t="inlineStr"/>
      <c r="Q565" s="23" t="inlineStr"/>
      <c r="R565" s="23" t="inlineStr"/>
      <c r="S565" s="23" t="inlineStr"/>
      <c r="T565" s="23" t="inlineStr"/>
      <c r="U565" s="23" t="inlineStr"/>
      <c r="V565" s="23" t="inlineStr">
        <is>
          <t>WBS Code = 1.3.1</t>
        </is>
      </c>
      <c r="W565" s="23" t="inlineStr"/>
    </row>
    <row r="566" ht="49" customHeight="1">
      <c r="A566" s="23" t="inlineStr">
        <is>
          <t>1.3.1</t>
        </is>
      </c>
      <c r="B566" s="23" t="inlineStr">
        <is>
          <t>Systems - Traction Power</t>
        </is>
      </c>
      <c r="C566" s="23" t="inlineStr">
        <is>
          <t>Contractor Programme</t>
        </is>
      </c>
      <c r="D566" s="23" t="inlineStr">
        <is>
          <t>SCH-03-019</t>
        </is>
      </c>
      <c r="E566" s="23" t="inlineStr">
        <is>
          <t>East substation: radio equipment installation - installation</t>
        </is>
      </c>
      <c r="F566" s="23" t="inlineStr">
        <is>
          <t>ONE_TO_ONE</t>
        </is>
      </c>
      <c r="G566" s="23" t="inlineStr">
        <is>
          <t>RETAINED</t>
        </is>
      </c>
      <c r="H566" s="23" t="inlineStr">
        <is>
          <t>Carried forward</t>
        </is>
      </c>
      <c r="I566" s="23" t="inlineStr">
        <is>
          <t>Source assignment -- not individually reviewed</t>
        </is>
      </c>
      <c r="J566" s="23" t="inlineStr"/>
      <c r="K566" s="23" t="inlineStr">
        <is>
          <t>Source assignment</t>
        </is>
      </c>
      <c r="L566" s="23" t="inlineStr"/>
      <c r="M566" s="23" t="inlineStr">
        <is>
          <t>Contractor Programme Cycle 2</t>
        </is>
      </c>
      <c r="N566" s="23" t="inlineStr">
        <is>
          <t>Rev 1</t>
        </is>
      </c>
      <c r="O566" s="23" t="inlineStr">
        <is>
          <t>R379-v2</t>
        </is>
      </c>
      <c r="P566" s="23" t="inlineStr"/>
      <c r="Q566" s="23" t="inlineStr"/>
      <c r="R566" s="23" t="inlineStr"/>
      <c r="S566" s="23" t="inlineStr"/>
      <c r="T566" s="23" t="inlineStr"/>
      <c r="U566" s="23" t="inlineStr"/>
      <c r="V566" s="23" t="inlineStr">
        <is>
          <t>WBS Code = 1.3.1</t>
        </is>
      </c>
      <c r="W566" s="23" t="inlineStr"/>
    </row>
    <row r="567" ht="49" customHeight="1">
      <c r="A567" s="23" t="inlineStr">
        <is>
          <t>1.3.1</t>
        </is>
      </c>
      <c r="B567" s="23" t="inlineStr">
        <is>
          <t>Systems - Traction Power</t>
        </is>
      </c>
      <c r="C567" s="23" t="inlineStr">
        <is>
          <t>Contractor Programme</t>
        </is>
      </c>
      <c r="D567" s="23" t="inlineStr">
        <is>
          <t>SCH-03-020</t>
        </is>
      </c>
      <c r="E567" s="23" t="inlineStr">
        <is>
          <t>Central interlocking: control-centre integration - inspection</t>
        </is>
      </c>
      <c r="F567" s="23" t="inlineStr">
        <is>
          <t>ONE_TO_ONE</t>
        </is>
      </c>
      <c r="G567" s="23" t="inlineStr">
        <is>
          <t>RETAINED</t>
        </is>
      </c>
      <c r="H567" s="23" t="inlineStr">
        <is>
          <t>Carried forward</t>
        </is>
      </c>
      <c r="I567" s="23" t="inlineStr">
        <is>
          <t>Source assignment -- not individually reviewed</t>
        </is>
      </c>
      <c r="J567" s="23" t="inlineStr"/>
      <c r="K567" s="23" t="inlineStr">
        <is>
          <t>Source assignment</t>
        </is>
      </c>
      <c r="L567" s="23" t="inlineStr"/>
      <c r="M567" s="23" t="inlineStr">
        <is>
          <t>Contractor Programme Cycle 2</t>
        </is>
      </c>
      <c r="N567" s="23" t="inlineStr">
        <is>
          <t>Rev 1</t>
        </is>
      </c>
      <c r="O567" s="23" t="inlineStr">
        <is>
          <t>R380-v2</t>
        </is>
      </c>
      <c r="P567" s="23" t="inlineStr"/>
      <c r="Q567" s="23" t="inlineStr"/>
      <c r="R567" s="23" t="inlineStr"/>
      <c r="S567" s="23" t="inlineStr"/>
      <c r="T567" s="23" t="inlineStr"/>
      <c r="U567" s="23" t="inlineStr"/>
      <c r="V567" s="23" t="inlineStr">
        <is>
          <t>WBS Code = 1.3.1</t>
        </is>
      </c>
      <c r="W567" s="23" t="inlineStr"/>
    </row>
    <row r="568" ht="49" customHeight="1">
      <c r="A568" s="23" t="inlineStr">
        <is>
          <t>1.3.1</t>
        </is>
      </c>
      <c r="B568" s="23" t="inlineStr">
        <is>
          <t>Systems - Traction Power</t>
        </is>
      </c>
      <c r="C568" s="23" t="inlineStr">
        <is>
          <t>Contractor Programme</t>
        </is>
      </c>
      <c r="D568" s="23" t="inlineStr">
        <is>
          <t>SCH-03-022</t>
        </is>
      </c>
      <c r="E568" s="23" t="inlineStr">
        <is>
          <t>Control Centre: SCADA point-to-point check - release</t>
        </is>
      </c>
      <c r="F568" s="23" t="inlineStr">
        <is>
          <t>ONE_TO_ONE</t>
        </is>
      </c>
      <c r="G568" s="23" t="inlineStr">
        <is>
          <t>RETAINED</t>
        </is>
      </c>
      <c r="H568" s="23" t="inlineStr">
        <is>
          <t>Carried forward</t>
        </is>
      </c>
      <c r="I568" s="23" t="inlineStr">
        <is>
          <t>Source assignment -- not individually reviewed</t>
        </is>
      </c>
      <c r="J568" s="23" t="inlineStr"/>
      <c r="K568" s="23" t="inlineStr">
        <is>
          <t>Source assignment</t>
        </is>
      </c>
      <c r="L568" s="23" t="inlineStr"/>
      <c r="M568" s="23" t="inlineStr">
        <is>
          <t>Contractor Programme Cycle 2</t>
        </is>
      </c>
      <c r="N568" s="23" t="inlineStr">
        <is>
          <t>Rev 1</t>
        </is>
      </c>
      <c r="O568" s="23" t="inlineStr">
        <is>
          <t>R382-v2</t>
        </is>
      </c>
      <c r="P568" s="23" t="inlineStr"/>
      <c r="Q568" s="23" t="inlineStr"/>
      <c r="R568" s="23" t="inlineStr"/>
      <c r="S568" s="23" t="inlineStr"/>
      <c r="T568" s="23" t="inlineStr"/>
      <c r="U568" s="23" t="inlineStr"/>
      <c r="V568" s="23" t="inlineStr">
        <is>
          <t>WBS Code = 1.3.1</t>
        </is>
      </c>
      <c r="W568" s="23" t="inlineStr"/>
    </row>
    <row r="569" ht="49" customHeight="1">
      <c r="A569" s="23" t="inlineStr">
        <is>
          <t>1.3.1</t>
        </is>
      </c>
      <c r="B569" s="23" t="inlineStr">
        <is>
          <t>Systems - Traction Power</t>
        </is>
      </c>
      <c r="C569" s="23" t="inlineStr">
        <is>
          <t>Contractor Programme</t>
        </is>
      </c>
      <c r="D569" s="23" t="inlineStr">
        <is>
          <t>SCH-03-023</t>
        </is>
      </c>
      <c r="E569" s="23" t="inlineStr">
        <is>
          <t>West wayside: traction-power feeder pull - field start</t>
        </is>
      </c>
      <c r="F569" s="23" t="inlineStr">
        <is>
          <t>ONE_TO_ONE</t>
        </is>
      </c>
      <c r="G569" s="23" t="inlineStr">
        <is>
          <t>RETAINED</t>
        </is>
      </c>
      <c r="H569" s="23" t="inlineStr">
        <is>
          <t>Carried forward</t>
        </is>
      </c>
      <c r="I569" s="23" t="inlineStr">
        <is>
          <t>Source assignment -- not individually reviewed</t>
        </is>
      </c>
      <c r="J569" s="23" t="inlineStr"/>
      <c r="K569" s="23" t="inlineStr">
        <is>
          <t>Source assignment</t>
        </is>
      </c>
      <c r="L569" s="23" t="inlineStr"/>
      <c r="M569" s="23" t="inlineStr">
        <is>
          <t>Contractor Programme Cycle 2</t>
        </is>
      </c>
      <c r="N569" s="23" t="inlineStr">
        <is>
          <t>Rev 1</t>
        </is>
      </c>
      <c r="O569" s="23" t="inlineStr">
        <is>
          <t>R383-v2</t>
        </is>
      </c>
      <c r="P569" s="23" t="inlineStr"/>
      <c r="Q569" s="23" t="inlineStr"/>
      <c r="R569" s="23" t="inlineStr"/>
      <c r="S569" s="23" t="inlineStr"/>
      <c r="T569" s="23" t="inlineStr"/>
      <c r="U569" s="23" t="inlineStr"/>
      <c r="V569" s="23" t="inlineStr">
        <is>
          <t>WBS Code = 1.3.1</t>
        </is>
      </c>
      <c r="W569" s="23" t="inlineStr"/>
    </row>
    <row r="570" ht="49" customHeight="1">
      <c r="A570" s="23" t="inlineStr">
        <is>
          <t>1.3.1</t>
        </is>
      </c>
      <c r="B570" s="23" t="inlineStr">
        <is>
          <t>Systems - Traction Power</t>
        </is>
      </c>
      <c r="C570" s="23" t="inlineStr">
        <is>
          <t>Contractor Programme</t>
        </is>
      </c>
      <c r="D570" s="23" t="inlineStr">
        <is>
          <t>SCH-03-025</t>
        </is>
      </c>
      <c r="E570" s="23" t="inlineStr">
        <is>
          <t>Central interlocking: wayside interface test - inspection</t>
        </is>
      </c>
      <c r="F570" s="23" t="inlineStr">
        <is>
          <t>ONE_TO_ONE</t>
        </is>
      </c>
      <c r="G570" s="23" t="inlineStr">
        <is>
          <t>RETAINED</t>
        </is>
      </c>
      <c r="H570" s="23" t="inlineStr">
        <is>
          <t>Carried forward</t>
        </is>
      </c>
      <c r="I570" s="23" t="inlineStr">
        <is>
          <t>Source assignment -- not individually reviewed</t>
        </is>
      </c>
      <c r="J570" s="23" t="inlineStr"/>
      <c r="K570" s="23" t="inlineStr">
        <is>
          <t>Source assignment</t>
        </is>
      </c>
      <c r="L570" s="23" t="inlineStr"/>
      <c r="M570" s="23" t="inlineStr">
        <is>
          <t>Contractor Programme Cycle 2</t>
        </is>
      </c>
      <c r="N570" s="23" t="inlineStr">
        <is>
          <t>Rev 1</t>
        </is>
      </c>
      <c r="O570" s="23" t="inlineStr">
        <is>
          <t>R385-v2</t>
        </is>
      </c>
      <c r="P570" s="23" t="inlineStr"/>
      <c r="Q570" s="23" t="inlineStr"/>
      <c r="R570" s="23" t="inlineStr"/>
      <c r="S570" s="23" t="inlineStr"/>
      <c r="T570" s="23" t="inlineStr"/>
      <c r="U570" s="23" t="inlineStr"/>
      <c r="V570" s="23" t="inlineStr">
        <is>
          <t>WBS Code = 1.3.1</t>
        </is>
      </c>
      <c r="W570" s="23" t="inlineStr"/>
    </row>
    <row r="571" ht="49" customHeight="1">
      <c r="A571" s="23" t="inlineStr">
        <is>
          <t>1.3.1</t>
        </is>
      </c>
      <c r="B571" s="23" t="inlineStr">
        <is>
          <t>Systems - Traction Power</t>
        </is>
      </c>
      <c r="C571" s="23" t="inlineStr">
        <is>
          <t>Contractor Programme</t>
        </is>
      </c>
      <c r="D571" s="23" t="inlineStr">
        <is>
          <t>SCH-03-026</t>
        </is>
      </c>
      <c r="E571" s="23" t="inlineStr">
        <is>
          <t>Harbour Station: signal equipment installation - turnover</t>
        </is>
      </c>
      <c r="F571" s="23" t="inlineStr">
        <is>
          <t>ONE_TO_ONE</t>
        </is>
      </c>
      <c r="G571" s="23" t="inlineStr">
        <is>
          <t>RETAINED</t>
        </is>
      </c>
      <c r="H571" s="23" t="inlineStr">
        <is>
          <t>Carried forward</t>
        </is>
      </c>
      <c r="I571" s="23" t="inlineStr">
        <is>
          <t>Source assignment -- not individually reviewed</t>
        </is>
      </c>
      <c r="J571" s="23" t="inlineStr"/>
      <c r="K571" s="23" t="inlineStr">
        <is>
          <t>Source assignment</t>
        </is>
      </c>
      <c r="L571" s="23" t="inlineStr"/>
      <c r="M571" s="23" t="inlineStr">
        <is>
          <t>Contractor Programme Cycle 2</t>
        </is>
      </c>
      <c r="N571" s="23" t="inlineStr">
        <is>
          <t>Rev 1</t>
        </is>
      </c>
      <c r="O571" s="23" t="inlineStr">
        <is>
          <t>R386-v2</t>
        </is>
      </c>
      <c r="P571" s="23" t="inlineStr"/>
      <c r="Q571" s="23" t="inlineStr"/>
      <c r="R571" s="23" t="inlineStr"/>
      <c r="S571" s="23" t="inlineStr"/>
      <c r="T571" s="23" t="inlineStr"/>
      <c r="U571" s="23" t="inlineStr"/>
      <c r="V571" s="23" t="inlineStr">
        <is>
          <t>WBS Code = 1.3.1</t>
        </is>
      </c>
      <c r="W571" s="23" t="inlineStr"/>
    </row>
    <row r="572" ht="49" customHeight="1">
      <c r="A572" s="23" t="inlineStr">
        <is>
          <t>1.3.1</t>
        </is>
      </c>
      <c r="B572" s="23" t="inlineStr">
        <is>
          <t>Systems - Traction Power</t>
        </is>
      </c>
      <c r="C572" s="23" t="inlineStr">
        <is>
          <t>Contractor Programme</t>
        </is>
      </c>
      <c r="D572" s="23" t="inlineStr">
        <is>
          <t>SCH-03-028</t>
        </is>
      </c>
      <c r="E572" s="23" t="inlineStr">
        <is>
          <t>West wayside: control-centre integration - field start</t>
        </is>
      </c>
      <c r="F572" s="23" t="inlineStr">
        <is>
          <t>ONE_TO_ONE</t>
        </is>
      </c>
      <c r="G572" s="23" t="inlineStr">
        <is>
          <t>RETAINED</t>
        </is>
      </c>
      <c r="H572" s="23" t="inlineStr">
        <is>
          <t>Carried forward</t>
        </is>
      </c>
      <c r="I572" s="23" t="inlineStr">
        <is>
          <t>Source assignment -- not individually reviewed</t>
        </is>
      </c>
      <c r="J572" s="23" t="inlineStr"/>
      <c r="K572" s="23" t="inlineStr">
        <is>
          <t>Source assignment</t>
        </is>
      </c>
      <c r="L572" s="23" t="inlineStr"/>
      <c r="M572" s="23" t="inlineStr">
        <is>
          <t>Contractor Programme Cycle 2</t>
        </is>
      </c>
      <c r="N572" s="23" t="inlineStr">
        <is>
          <t>Rev 1</t>
        </is>
      </c>
      <c r="O572" s="23" t="inlineStr">
        <is>
          <t>R388-v2</t>
        </is>
      </c>
      <c r="P572" s="23" t="inlineStr"/>
      <c r="Q572" s="23" t="inlineStr"/>
      <c r="R572" s="23" t="inlineStr"/>
      <c r="S572" s="23" t="inlineStr"/>
      <c r="T572" s="23" t="inlineStr"/>
      <c r="U572" s="23" t="inlineStr"/>
      <c r="V572" s="23" t="inlineStr">
        <is>
          <t>WBS Code = 1.3.1</t>
        </is>
      </c>
      <c r="W572" s="23" t="inlineStr"/>
    </row>
    <row r="573" ht="49" customHeight="1">
      <c r="A573" s="23" t="inlineStr">
        <is>
          <t>1.3.1</t>
        </is>
      </c>
      <c r="B573" s="23" t="inlineStr">
        <is>
          <t>Systems - Traction Power</t>
        </is>
      </c>
      <c r="C573" s="23" t="inlineStr">
        <is>
          <t>Contractor Programme</t>
        </is>
      </c>
      <c r="D573" s="23" t="inlineStr">
        <is>
          <t>SCH-03-029</t>
        </is>
      </c>
      <c r="E573" s="23" t="inlineStr">
        <is>
          <t>East substation: fibre backbone termination - installation</t>
        </is>
      </c>
      <c r="F573" s="23" t="inlineStr">
        <is>
          <t>ONE_TO_ONE</t>
        </is>
      </c>
      <c r="G573" s="23" t="inlineStr">
        <is>
          <t>RETAINED</t>
        </is>
      </c>
      <c r="H573" s="23" t="inlineStr">
        <is>
          <t>Carried forward</t>
        </is>
      </c>
      <c r="I573" s="23" t="inlineStr">
        <is>
          <t>Source assignment -- not individually reviewed</t>
        </is>
      </c>
      <c r="J573" s="23" t="inlineStr"/>
      <c r="K573" s="23" t="inlineStr">
        <is>
          <t>Source assignment</t>
        </is>
      </c>
      <c r="L573" s="23" t="inlineStr"/>
      <c r="M573" s="23" t="inlineStr">
        <is>
          <t>Contractor Programme Cycle 2</t>
        </is>
      </c>
      <c r="N573" s="23" t="inlineStr">
        <is>
          <t>Rev 1</t>
        </is>
      </c>
      <c r="O573" s="23" t="inlineStr">
        <is>
          <t>R389-v2</t>
        </is>
      </c>
      <c r="P573" s="23" t="inlineStr"/>
      <c r="Q573" s="23" t="inlineStr"/>
      <c r="R573" s="23" t="inlineStr"/>
      <c r="S573" s="23" t="inlineStr"/>
      <c r="T573" s="23" t="inlineStr"/>
      <c r="U573" s="23" t="inlineStr"/>
      <c r="V573" s="23" t="inlineStr">
        <is>
          <t>WBS Code = 1.3.1</t>
        </is>
      </c>
      <c r="W573" s="23" t="inlineStr"/>
    </row>
    <row r="574" ht="49" customHeight="1">
      <c r="A574" s="23" t="inlineStr">
        <is>
          <t>1.3.1</t>
        </is>
      </c>
      <c r="B574" s="23" t="inlineStr">
        <is>
          <t>Systems - Traction Power</t>
        </is>
      </c>
      <c r="C574" s="23" t="inlineStr">
        <is>
          <t>Contractor Programme</t>
        </is>
      </c>
      <c r="D574" s="23" t="inlineStr">
        <is>
          <t>SCH-03-031</t>
        </is>
      </c>
      <c r="E574" s="23" t="inlineStr">
        <is>
          <t>Harbour Station: traction-power feeder pull - turnover</t>
        </is>
      </c>
      <c r="F574" s="23" t="inlineStr">
        <is>
          <t>ONE_TO_ONE</t>
        </is>
      </c>
      <c r="G574" s="23" t="inlineStr">
        <is>
          <t>RETAINED</t>
        </is>
      </c>
      <c r="H574" s="23" t="inlineStr">
        <is>
          <t>Carried forward</t>
        </is>
      </c>
      <c r="I574" s="23" t="inlineStr">
        <is>
          <t>Source assignment -- not individually reviewed</t>
        </is>
      </c>
      <c r="J574" s="23" t="inlineStr"/>
      <c r="K574" s="23" t="inlineStr">
        <is>
          <t>Source assignment</t>
        </is>
      </c>
      <c r="L574" s="23" t="inlineStr"/>
      <c r="M574" s="23" t="inlineStr">
        <is>
          <t>Contractor Programme Cycle 2</t>
        </is>
      </c>
      <c r="N574" s="23" t="inlineStr">
        <is>
          <t>Rev 1</t>
        </is>
      </c>
      <c r="O574" s="23" t="inlineStr">
        <is>
          <t>R391-v2</t>
        </is>
      </c>
      <c r="P574" s="23" t="inlineStr"/>
      <c r="Q574" s="23" t="inlineStr"/>
      <c r="R574" s="23" t="inlineStr"/>
      <c r="S574" s="23" t="inlineStr"/>
      <c r="T574" s="23" t="inlineStr"/>
      <c r="U574" s="23" t="inlineStr"/>
      <c r="V574" s="23" t="inlineStr">
        <is>
          <t>WBS Code = 1.3.1</t>
        </is>
      </c>
      <c r="W574" s="23" t="inlineStr"/>
    </row>
    <row r="575" ht="49" customHeight="1">
      <c r="A575" s="23" t="inlineStr">
        <is>
          <t>1.3.1</t>
        </is>
      </c>
      <c r="B575" s="23" t="inlineStr">
        <is>
          <t>Systems - Traction Power</t>
        </is>
      </c>
      <c r="C575" s="23" t="inlineStr">
        <is>
          <t>Contractor Programme</t>
        </is>
      </c>
      <c r="D575" s="23" t="inlineStr">
        <is>
          <t>SCH-03-032</t>
        </is>
      </c>
      <c r="E575" s="23" t="inlineStr">
        <is>
          <t>Control Centre: train-control cabinet fit-out - release</t>
        </is>
      </c>
      <c r="F575" s="23" t="inlineStr">
        <is>
          <t>ONE_TO_ONE</t>
        </is>
      </c>
      <c r="G575" s="23" t="inlineStr">
        <is>
          <t>RETAINED</t>
        </is>
      </c>
      <c r="H575" s="23" t="inlineStr">
        <is>
          <t>Carried forward</t>
        </is>
      </c>
      <c r="I575" s="23" t="inlineStr">
        <is>
          <t>Source assignment -- not individually reviewed</t>
        </is>
      </c>
      <c r="J575" s="23" t="inlineStr"/>
      <c r="K575" s="23" t="inlineStr">
        <is>
          <t>Source assignment</t>
        </is>
      </c>
      <c r="L575" s="23" t="inlineStr"/>
      <c r="M575" s="23" t="inlineStr">
        <is>
          <t>Contractor Programme Cycle 2</t>
        </is>
      </c>
      <c r="N575" s="23" t="inlineStr">
        <is>
          <t>Rev 1</t>
        </is>
      </c>
      <c r="O575" s="23" t="inlineStr">
        <is>
          <t>R392-v2</t>
        </is>
      </c>
      <c r="P575" s="23" t="inlineStr"/>
      <c r="Q575" s="23" t="inlineStr"/>
      <c r="R575" s="23" t="inlineStr"/>
      <c r="S575" s="23" t="inlineStr"/>
      <c r="T575" s="23" t="inlineStr"/>
      <c r="U575" s="23" t="inlineStr"/>
      <c r="V575" s="23" t="inlineStr">
        <is>
          <t>WBS Code = 1.3.1</t>
        </is>
      </c>
      <c r="W575" s="23" t="inlineStr"/>
    </row>
    <row r="576" ht="49" customHeight="1">
      <c r="A576" s="23" t="inlineStr">
        <is>
          <t>1.3.1</t>
        </is>
      </c>
      <c r="B576" s="23" t="inlineStr">
        <is>
          <t>Systems - Traction Power</t>
        </is>
      </c>
      <c r="C576" s="23" t="inlineStr">
        <is>
          <t>Contractor Programme</t>
        </is>
      </c>
      <c r="D576" s="23" t="inlineStr">
        <is>
          <t>SCH-03-034</t>
        </is>
      </c>
      <c r="E576" s="23" t="inlineStr">
        <is>
          <t>East substation: signal equipment installation - installation</t>
        </is>
      </c>
      <c r="F576" s="23" t="inlineStr">
        <is>
          <t>ONE_TO_ONE</t>
        </is>
      </c>
      <c r="G576" s="23" t="inlineStr">
        <is>
          <t>RETAINED</t>
        </is>
      </c>
      <c r="H576" s="23" t="inlineStr">
        <is>
          <t>Carried forward</t>
        </is>
      </c>
      <c r="I576" s="23" t="inlineStr">
        <is>
          <t>Source assignment -- not individually reviewed</t>
        </is>
      </c>
      <c r="J576" s="23" t="inlineStr"/>
      <c r="K576" s="23" t="inlineStr">
        <is>
          <t>Source assignment</t>
        </is>
      </c>
      <c r="L576" s="23" t="inlineStr"/>
      <c r="M576" s="23" t="inlineStr">
        <is>
          <t>Contractor Programme Cycle 2</t>
        </is>
      </c>
      <c r="N576" s="23" t="inlineStr">
        <is>
          <t>Rev 1</t>
        </is>
      </c>
      <c r="O576" s="23" t="inlineStr">
        <is>
          <t>R394-v2</t>
        </is>
      </c>
      <c r="P576" s="23" t="inlineStr"/>
      <c r="Q576" s="23" t="inlineStr"/>
      <c r="R576" s="23" t="inlineStr"/>
      <c r="S576" s="23" t="inlineStr"/>
      <c r="T576" s="23" t="inlineStr"/>
      <c r="U576" s="23" t="inlineStr"/>
      <c r="V576" s="23" t="inlineStr">
        <is>
          <t>WBS Code = 1.3.1</t>
        </is>
      </c>
      <c r="W576" s="23" t="inlineStr"/>
    </row>
    <row r="577" ht="49" customHeight="1">
      <c r="A577" s="23" t="inlineStr">
        <is>
          <t>1.3.1</t>
        </is>
      </c>
      <c r="B577" s="23" t="inlineStr">
        <is>
          <t>Systems - Traction Power</t>
        </is>
      </c>
      <c r="C577" s="23" t="inlineStr">
        <is>
          <t>Contractor Programme</t>
        </is>
      </c>
      <c r="D577" s="23" t="inlineStr">
        <is>
          <t>SCH-03-035</t>
        </is>
      </c>
      <c r="E577" s="23" t="inlineStr">
        <is>
          <t>Central interlocking: radio equipment installation - inspection</t>
        </is>
      </c>
      <c r="F577" s="23" t="inlineStr">
        <is>
          <t>ONE_TO_ONE</t>
        </is>
      </c>
      <c r="G577" s="23" t="inlineStr">
        <is>
          <t>RETAINED</t>
        </is>
      </c>
      <c r="H577" s="23" t="inlineStr">
        <is>
          <t>Carried forward</t>
        </is>
      </c>
      <c r="I577" s="23" t="inlineStr">
        <is>
          <t>Source assignment -- not individually reviewed</t>
        </is>
      </c>
      <c r="J577" s="23" t="inlineStr"/>
      <c r="K577" s="23" t="inlineStr">
        <is>
          <t>Source assignment</t>
        </is>
      </c>
      <c r="L577" s="23" t="inlineStr"/>
      <c r="M577" s="23" t="inlineStr">
        <is>
          <t>Contractor Programme Cycle 2</t>
        </is>
      </c>
      <c r="N577" s="23" t="inlineStr">
        <is>
          <t>Rev 1</t>
        </is>
      </c>
      <c r="O577" s="23" t="inlineStr">
        <is>
          <t>R395-v2</t>
        </is>
      </c>
      <c r="P577" s="23" t="inlineStr"/>
      <c r="Q577" s="23" t="inlineStr"/>
      <c r="R577" s="23" t="inlineStr"/>
      <c r="S577" s="23" t="inlineStr"/>
      <c r="T577" s="23" t="inlineStr"/>
      <c r="U577" s="23" t="inlineStr"/>
      <c r="V577" s="23" t="inlineStr">
        <is>
          <t>WBS Code = 1.3.1</t>
        </is>
      </c>
      <c r="W577" s="23" t="inlineStr"/>
    </row>
    <row r="578" ht="49" customHeight="1">
      <c r="A578" s="23" t="inlineStr">
        <is>
          <t>1.3.1</t>
        </is>
      </c>
      <c r="B578" s="23" t="inlineStr">
        <is>
          <t>Systems - Traction Power</t>
        </is>
      </c>
      <c r="C578" s="23" t="inlineStr">
        <is>
          <t>Contractor Programme</t>
        </is>
      </c>
      <c r="D578" s="23" t="inlineStr">
        <is>
          <t>SCH-03-037</t>
        </is>
      </c>
      <c r="E578" s="23" t="inlineStr">
        <is>
          <t>Control Centre: fibre backbone termination - release</t>
        </is>
      </c>
      <c r="F578" s="23" t="inlineStr">
        <is>
          <t>ONE_TO_ONE</t>
        </is>
      </c>
      <c r="G578" s="23" t="inlineStr">
        <is>
          <t>RETAINED</t>
        </is>
      </c>
      <c r="H578" s="23" t="inlineStr">
        <is>
          <t>Carried forward</t>
        </is>
      </c>
      <c r="I578" s="23" t="inlineStr">
        <is>
          <t>Source assignment -- not individually reviewed</t>
        </is>
      </c>
      <c r="J578" s="23" t="inlineStr"/>
      <c r="K578" s="23" t="inlineStr">
        <is>
          <t>Source assignment</t>
        </is>
      </c>
      <c r="L578" s="23" t="inlineStr"/>
      <c r="M578" s="23" t="inlineStr">
        <is>
          <t>Contractor Programme Cycle 2</t>
        </is>
      </c>
      <c r="N578" s="23" t="inlineStr">
        <is>
          <t>Rev 1</t>
        </is>
      </c>
      <c r="O578" s="23" t="inlineStr">
        <is>
          <t>R397-v2</t>
        </is>
      </c>
      <c r="P578" s="23" t="inlineStr"/>
      <c r="Q578" s="23" t="inlineStr"/>
      <c r="R578" s="23" t="inlineStr"/>
      <c r="S578" s="23" t="inlineStr"/>
      <c r="T578" s="23" t="inlineStr"/>
      <c r="U578" s="23" t="inlineStr"/>
      <c r="V578" s="23" t="inlineStr">
        <is>
          <t>WBS Code = 1.3.1</t>
        </is>
      </c>
      <c r="W578" s="23" t="inlineStr"/>
    </row>
    <row r="579" ht="49" customHeight="1">
      <c r="A579" s="23" t="inlineStr">
        <is>
          <t>1.3.1</t>
        </is>
      </c>
      <c r="B579" s="23" t="inlineStr">
        <is>
          <t>Systems - Traction Power</t>
        </is>
      </c>
      <c r="C579" s="23" t="inlineStr">
        <is>
          <t>Contractor Programme</t>
        </is>
      </c>
      <c r="D579" s="23" t="inlineStr">
        <is>
          <t>SCH-03-038</t>
        </is>
      </c>
      <c r="E579" s="23" t="inlineStr">
        <is>
          <t>West wayside: SCADA point-to-point check - field start</t>
        </is>
      </c>
      <c r="F579" s="23" t="inlineStr">
        <is>
          <t>ONE_TO_ONE</t>
        </is>
      </c>
      <c r="G579" s="23" t="inlineStr">
        <is>
          <t>RETAINED</t>
        </is>
      </c>
      <c r="H579" s="23" t="inlineStr">
        <is>
          <t>Carried forward</t>
        </is>
      </c>
      <c r="I579" s="23" t="inlineStr">
        <is>
          <t>Source assignment -- not individually reviewed</t>
        </is>
      </c>
      <c r="J579" s="23" t="inlineStr"/>
      <c r="K579" s="23" t="inlineStr">
        <is>
          <t>Source assignment</t>
        </is>
      </c>
      <c r="L579" s="23" t="inlineStr"/>
      <c r="M579" s="23" t="inlineStr">
        <is>
          <t>Contractor Programme Cycle 2</t>
        </is>
      </c>
      <c r="N579" s="23" t="inlineStr">
        <is>
          <t>Rev 1</t>
        </is>
      </c>
      <c r="O579" s="23" t="inlineStr">
        <is>
          <t>R398-v2</t>
        </is>
      </c>
      <c r="P579" s="23" t="inlineStr"/>
      <c r="Q579" s="23" t="inlineStr"/>
      <c r="R579" s="23" t="inlineStr"/>
      <c r="S579" s="23" t="inlineStr"/>
      <c r="T579" s="23" t="inlineStr"/>
      <c r="U579" s="23" t="inlineStr"/>
      <c r="V579" s="23" t="inlineStr">
        <is>
          <t>WBS Code = 1.3.1</t>
        </is>
      </c>
      <c r="W579" s="23" t="inlineStr"/>
    </row>
    <row r="580" ht="49" customHeight="1">
      <c r="A580" s="23" t="inlineStr">
        <is>
          <t>1.3.1</t>
        </is>
      </c>
      <c r="B580" s="23" t="inlineStr">
        <is>
          <t>Systems - Traction Power</t>
        </is>
      </c>
      <c r="C580" s="23" t="inlineStr">
        <is>
          <t>Contractor Programme</t>
        </is>
      </c>
      <c r="D580" s="23" t="inlineStr">
        <is>
          <t>SCH-03-040</t>
        </is>
      </c>
      <c r="E580" s="23" t="inlineStr">
        <is>
          <t>Central interlocking: train-control cabinet fit-out - inspection</t>
        </is>
      </c>
      <c r="F580" s="23" t="inlineStr">
        <is>
          <t>ONE_TO_ONE</t>
        </is>
      </c>
      <c r="G580" s="23" t="inlineStr">
        <is>
          <t>RETAINED</t>
        </is>
      </c>
      <c r="H580" s="23" t="inlineStr">
        <is>
          <t>Carried forward</t>
        </is>
      </c>
      <c r="I580" s="23" t="inlineStr">
        <is>
          <t>Source assignment -- not individually reviewed</t>
        </is>
      </c>
      <c r="J580" s="23" t="inlineStr"/>
      <c r="K580" s="23" t="inlineStr">
        <is>
          <t>Source assignment</t>
        </is>
      </c>
      <c r="L580" s="23" t="inlineStr"/>
      <c r="M580" s="23" t="inlineStr">
        <is>
          <t>Contractor Programme Cycle 2</t>
        </is>
      </c>
      <c r="N580" s="23" t="inlineStr">
        <is>
          <t>Rev 1</t>
        </is>
      </c>
      <c r="O580" s="23" t="inlineStr">
        <is>
          <t>R400-v2</t>
        </is>
      </c>
      <c r="P580" s="23" t="inlineStr"/>
      <c r="Q580" s="23" t="inlineStr"/>
      <c r="R580" s="23" t="inlineStr"/>
      <c r="S580" s="23" t="inlineStr"/>
      <c r="T580" s="23" t="inlineStr"/>
      <c r="U580" s="23" t="inlineStr"/>
      <c r="V580" s="23" t="inlineStr">
        <is>
          <t>WBS Code = 1.3.1</t>
        </is>
      </c>
      <c r="W580" s="23" t="inlineStr"/>
    </row>
    <row r="581" ht="49" customHeight="1">
      <c r="A581" s="23" t="inlineStr">
        <is>
          <t>1.3.1</t>
        </is>
      </c>
      <c r="B581" s="23" t="inlineStr">
        <is>
          <t>Systems - Traction Power</t>
        </is>
      </c>
      <c r="C581" s="23" t="inlineStr">
        <is>
          <t>Contractor Programme</t>
        </is>
      </c>
      <c r="D581" s="23" t="inlineStr">
        <is>
          <t>SCH-03-041</t>
        </is>
      </c>
      <c r="E581" s="23" t="inlineStr">
        <is>
          <t>Harbour Station: wayside interface test - turnover</t>
        </is>
      </c>
      <c r="F581" s="23" t="inlineStr">
        <is>
          <t>ONE_TO_ONE</t>
        </is>
      </c>
      <c r="G581" s="23" t="inlineStr">
        <is>
          <t>RETAINED</t>
        </is>
      </c>
      <c r="H581" s="23" t="inlineStr">
        <is>
          <t>Carried forward</t>
        </is>
      </c>
      <c r="I581" s="23" t="inlineStr">
        <is>
          <t>Source assignment -- not individually reviewed</t>
        </is>
      </c>
      <c r="J581" s="23" t="inlineStr"/>
      <c r="K581" s="23" t="inlineStr">
        <is>
          <t>Source assignment</t>
        </is>
      </c>
      <c r="L581" s="23" t="inlineStr"/>
      <c r="M581" s="23" t="inlineStr">
        <is>
          <t>Contractor Programme Cycle 2</t>
        </is>
      </c>
      <c r="N581" s="23" t="inlineStr">
        <is>
          <t>Rev 1</t>
        </is>
      </c>
      <c r="O581" s="23" t="inlineStr">
        <is>
          <t>R401-v2</t>
        </is>
      </c>
      <c r="P581" s="23" t="inlineStr"/>
      <c r="Q581" s="23" t="inlineStr"/>
      <c r="R581" s="23" t="inlineStr"/>
      <c r="S581" s="23" t="inlineStr"/>
      <c r="T581" s="23" t="inlineStr"/>
      <c r="U581" s="23" t="inlineStr"/>
      <c r="V581" s="23" t="inlineStr">
        <is>
          <t>WBS Code = 1.3.1</t>
        </is>
      </c>
      <c r="W581" s="23" t="inlineStr"/>
    </row>
    <row r="582" ht="49" customHeight="1">
      <c r="A582" s="23" t="inlineStr">
        <is>
          <t>1.3.1</t>
        </is>
      </c>
      <c r="B582" s="23" t="inlineStr">
        <is>
          <t>Systems - Traction Power</t>
        </is>
      </c>
      <c r="C582" s="23" t="inlineStr">
        <is>
          <t>Contractor Programme</t>
        </is>
      </c>
      <c r="D582" s="23" t="inlineStr">
        <is>
          <t>SCH-03-043</t>
        </is>
      </c>
      <c r="E582" s="23" t="inlineStr">
        <is>
          <t>West wayside: radio equipment installation - field start</t>
        </is>
      </c>
      <c r="F582" s="23" t="inlineStr">
        <is>
          <t>ONE_TO_ONE</t>
        </is>
      </c>
      <c r="G582" s="23" t="inlineStr">
        <is>
          <t>RETAINED</t>
        </is>
      </c>
      <c r="H582" s="23" t="inlineStr">
        <is>
          <t>Carried forward</t>
        </is>
      </c>
      <c r="I582" s="23" t="inlineStr">
        <is>
          <t>Source assignment -- not individually reviewed</t>
        </is>
      </c>
      <c r="J582" s="23" t="inlineStr"/>
      <c r="K582" s="23" t="inlineStr">
        <is>
          <t>Source assignment</t>
        </is>
      </c>
      <c r="L582" s="23" t="inlineStr"/>
      <c r="M582" s="23" t="inlineStr">
        <is>
          <t>Contractor Programme Cycle 2</t>
        </is>
      </c>
      <c r="N582" s="23" t="inlineStr">
        <is>
          <t>Rev 1</t>
        </is>
      </c>
      <c r="O582" s="23" t="inlineStr">
        <is>
          <t>R403-v2</t>
        </is>
      </c>
      <c r="P582" s="23" t="inlineStr"/>
      <c r="Q582" s="23" t="inlineStr"/>
      <c r="R582" s="23" t="inlineStr"/>
      <c r="S582" s="23" t="inlineStr"/>
      <c r="T582" s="23" t="inlineStr"/>
      <c r="U582" s="23" t="inlineStr"/>
      <c r="V582" s="23" t="inlineStr">
        <is>
          <t>WBS Code = 1.3.1</t>
        </is>
      </c>
      <c r="W582" s="23" t="inlineStr"/>
    </row>
    <row r="583" ht="49" customHeight="1">
      <c r="A583" s="23" t="inlineStr">
        <is>
          <t>1.3.1</t>
        </is>
      </c>
      <c r="B583" s="23" t="inlineStr">
        <is>
          <t>Systems - Traction Power</t>
        </is>
      </c>
      <c r="C583" s="23" t="inlineStr">
        <is>
          <t>Contractor Programme</t>
        </is>
      </c>
      <c r="D583" s="23" t="inlineStr">
        <is>
          <t>SCH-03-044</t>
        </is>
      </c>
      <c r="E583" s="23" t="inlineStr">
        <is>
          <t>East substation: control-centre integration - installation</t>
        </is>
      </c>
      <c r="F583" s="23" t="inlineStr">
        <is>
          <t>ONE_TO_ONE</t>
        </is>
      </c>
      <c r="G583" s="23" t="inlineStr">
        <is>
          <t>RETAINED</t>
        </is>
      </c>
      <c r="H583" s="23" t="inlineStr">
        <is>
          <t>Carried forward</t>
        </is>
      </c>
      <c r="I583" s="23" t="inlineStr">
        <is>
          <t>Source assignment -- not individually reviewed</t>
        </is>
      </c>
      <c r="J583" s="23" t="inlineStr"/>
      <c r="K583" s="23" t="inlineStr">
        <is>
          <t>Source assignment</t>
        </is>
      </c>
      <c r="L583" s="23" t="inlineStr"/>
      <c r="M583" s="23" t="inlineStr">
        <is>
          <t>Contractor Programme Cycle 2</t>
        </is>
      </c>
      <c r="N583" s="23" t="inlineStr">
        <is>
          <t>Rev 1</t>
        </is>
      </c>
      <c r="O583" s="23" t="inlineStr">
        <is>
          <t>R404-v2</t>
        </is>
      </c>
      <c r="P583" s="23" t="inlineStr"/>
      <c r="Q583" s="23" t="inlineStr"/>
      <c r="R583" s="23" t="inlineStr"/>
      <c r="S583" s="23" t="inlineStr"/>
      <c r="T583" s="23" t="inlineStr"/>
      <c r="U583" s="23" t="inlineStr"/>
      <c r="V583" s="23" t="inlineStr">
        <is>
          <t>WBS Code = 1.3.1</t>
        </is>
      </c>
      <c r="W583" s="23" t="inlineStr"/>
    </row>
    <row r="584" ht="49" customHeight="1">
      <c r="A584" s="23" t="inlineStr">
        <is>
          <t>1.3.1</t>
        </is>
      </c>
      <c r="B584" s="23" t="inlineStr">
        <is>
          <t>Systems - Traction Power</t>
        </is>
      </c>
      <c r="C584" s="23" t="inlineStr">
        <is>
          <t>Contractor Programme</t>
        </is>
      </c>
      <c r="D584" s="23" t="inlineStr">
        <is>
          <t>SCH-03-046</t>
        </is>
      </c>
      <c r="E584" s="23" t="inlineStr">
        <is>
          <t>Harbour Station: SCADA point-to-point check - turnover</t>
        </is>
      </c>
      <c r="F584" s="23" t="inlineStr">
        <is>
          <t>ONE_TO_ONE</t>
        </is>
      </c>
      <c r="G584" s="23" t="inlineStr">
        <is>
          <t>RETAINED</t>
        </is>
      </c>
      <c r="H584" s="23" t="inlineStr">
        <is>
          <t>Carried forward</t>
        </is>
      </c>
      <c r="I584" s="23" t="inlineStr">
        <is>
          <t>Source assignment -- not individually reviewed</t>
        </is>
      </c>
      <c r="J584" s="23" t="inlineStr"/>
      <c r="K584" s="23" t="inlineStr">
        <is>
          <t>Source assignment</t>
        </is>
      </c>
      <c r="L584" s="23" t="inlineStr"/>
      <c r="M584" s="23" t="inlineStr">
        <is>
          <t>Contractor Programme Cycle 2</t>
        </is>
      </c>
      <c r="N584" s="23" t="inlineStr">
        <is>
          <t>Rev 1</t>
        </is>
      </c>
      <c r="O584" s="23" t="inlineStr">
        <is>
          <t>R406-v2</t>
        </is>
      </c>
      <c r="P584" s="23" t="inlineStr"/>
      <c r="Q584" s="23" t="inlineStr"/>
      <c r="R584" s="23" t="inlineStr"/>
      <c r="S584" s="23" t="inlineStr"/>
      <c r="T584" s="23" t="inlineStr"/>
      <c r="U584" s="23" t="inlineStr"/>
      <c r="V584" s="23" t="inlineStr">
        <is>
          <t>WBS Code = 1.3.1</t>
        </is>
      </c>
      <c r="W584" s="23" t="inlineStr"/>
    </row>
    <row r="585" ht="49" customHeight="1">
      <c r="A585" s="23" t="inlineStr">
        <is>
          <t>1.3.1</t>
        </is>
      </c>
      <c r="B585" s="23" t="inlineStr">
        <is>
          <t>Systems - Traction Power</t>
        </is>
      </c>
      <c r="C585" s="23" t="inlineStr">
        <is>
          <t>Contractor Programme</t>
        </is>
      </c>
      <c r="D585" s="23" t="inlineStr">
        <is>
          <t>SCH-03-047</t>
        </is>
      </c>
      <c r="E585" s="23" t="inlineStr">
        <is>
          <t>Control Centre: traction-power feeder pull - release</t>
        </is>
      </c>
      <c r="F585" s="23" t="inlineStr">
        <is>
          <t>ONE_TO_ONE</t>
        </is>
      </c>
      <c r="G585" s="23" t="inlineStr">
        <is>
          <t>RETAINED</t>
        </is>
      </c>
      <c r="H585" s="23" t="inlineStr">
        <is>
          <t>Carried forward</t>
        </is>
      </c>
      <c r="I585" s="23" t="inlineStr">
        <is>
          <t>Source assignment -- not individually reviewed</t>
        </is>
      </c>
      <c r="J585" s="23" t="inlineStr"/>
      <c r="K585" s="23" t="inlineStr">
        <is>
          <t>Source assignment</t>
        </is>
      </c>
      <c r="L585" s="23" t="inlineStr"/>
      <c r="M585" s="23" t="inlineStr">
        <is>
          <t>Contractor Programme Cycle 2</t>
        </is>
      </c>
      <c r="N585" s="23" t="inlineStr">
        <is>
          <t>Rev 1</t>
        </is>
      </c>
      <c r="O585" s="23" t="inlineStr">
        <is>
          <t>R407-v2</t>
        </is>
      </c>
      <c r="P585" s="23" t="inlineStr"/>
      <c r="Q585" s="23" t="inlineStr"/>
      <c r="R585" s="23" t="inlineStr"/>
      <c r="S585" s="23" t="inlineStr"/>
      <c r="T585" s="23" t="inlineStr"/>
      <c r="U585" s="23" t="inlineStr"/>
      <c r="V585" s="23" t="inlineStr">
        <is>
          <t>WBS Code = 1.3.1</t>
        </is>
      </c>
      <c r="W585" s="23" t="inlineStr"/>
    </row>
    <row r="586" ht="49" customHeight="1">
      <c r="A586" s="23" t="inlineStr">
        <is>
          <t>1.3.1</t>
        </is>
      </c>
      <c r="B586" s="23" t="inlineStr">
        <is>
          <t>Systems - Traction Power</t>
        </is>
      </c>
      <c r="C586" s="23" t="inlineStr">
        <is>
          <t>Contractor Programme</t>
        </is>
      </c>
      <c r="D586" s="23" t="inlineStr">
        <is>
          <t>SCH-03-049</t>
        </is>
      </c>
      <c r="E586" s="23" t="inlineStr">
        <is>
          <t>East substation: wayside interface test - installation</t>
        </is>
      </c>
      <c r="F586" s="23" t="inlineStr">
        <is>
          <t>ONE_TO_ONE</t>
        </is>
      </c>
      <c r="G586" s="23" t="inlineStr">
        <is>
          <t>RETAINED</t>
        </is>
      </c>
      <c r="H586" s="23" t="inlineStr">
        <is>
          <t>Carried forward</t>
        </is>
      </c>
      <c r="I586" s="23" t="inlineStr">
        <is>
          <t>Source assignment -- not individually reviewed</t>
        </is>
      </c>
      <c r="J586" s="23" t="inlineStr"/>
      <c r="K586" s="23" t="inlineStr">
        <is>
          <t>Source assignment</t>
        </is>
      </c>
      <c r="L586" s="23" t="inlineStr"/>
      <c r="M586" s="23" t="inlineStr">
        <is>
          <t>Contractor Programme Cycle 2</t>
        </is>
      </c>
      <c r="N586" s="23" t="inlineStr">
        <is>
          <t>Rev 1</t>
        </is>
      </c>
      <c r="O586" s="23" t="inlineStr">
        <is>
          <t>R409-v2</t>
        </is>
      </c>
      <c r="P586" s="23" t="inlineStr"/>
      <c r="Q586" s="23" t="inlineStr"/>
      <c r="R586" s="23" t="inlineStr"/>
      <c r="S586" s="23" t="inlineStr"/>
      <c r="T586" s="23" t="inlineStr"/>
      <c r="U586" s="23" t="inlineStr"/>
      <c r="V586" s="23" t="inlineStr">
        <is>
          <t>WBS Code = 1.3.1</t>
        </is>
      </c>
      <c r="W586" s="23" t="inlineStr"/>
    </row>
    <row r="587" ht="49" customHeight="1">
      <c r="A587" s="23" t="inlineStr">
        <is>
          <t>1.3.1</t>
        </is>
      </c>
      <c r="B587" s="23" t="inlineStr">
        <is>
          <t>Systems - Traction Power</t>
        </is>
      </c>
      <c r="C587" s="23" t="inlineStr">
        <is>
          <t>Contractor Programme</t>
        </is>
      </c>
      <c r="D587" s="23" t="inlineStr">
        <is>
          <t>SCH-03-050</t>
        </is>
      </c>
      <c r="E587" s="23" t="inlineStr">
        <is>
          <t>Central interlocking: signal equipment installation - inspection</t>
        </is>
      </c>
      <c r="F587" s="23" t="inlineStr">
        <is>
          <t>ONE_TO_ONE</t>
        </is>
      </c>
      <c r="G587" s="23" t="inlineStr">
        <is>
          <t>RETAINED</t>
        </is>
      </c>
      <c r="H587" s="23" t="inlineStr">
        <is>
          <t>Carried forward</t>
        </is>
      </c>
      <c r="I587" s="23" t="inlineStr">
        <is>
          <t>Source assignment -- not individually reviewed</t>
        </is>
      </c>
      <c r="J587" s="23" t="inlineStr"/>
      <c r="K587" s="23" t="inlineStr">
        <is>
          <t>Source assignment</t>
        </is>
      </c>
      <c r="L587" s="23" t="inlineStr"/>
      <c r="M587" s="23" t="inlineStr">
        <is>
          <t>Contractor Programme Cycle 2</t>
        </is>
      </c>
      <c r="N587" s="23" t="inlineStr">
        <is>
          <t>Rev 1</t>
        </is>
      </c>
      <c r="O587" s="23" t="inlineStr">
        <is>
          <t>R410-v2</t>
        </is>
      </c>
      <c r="P587" s="23" t="inlineStr"/>
      <c r="Q587" s="23" t="inlineStr"/>
      <c r="R587" s="23" t="inlineStr"/>
      <c r="S587" s="23" t="inlineStr"/>
      <c r="T587" s="23" t="inlineStr"/>
      <c r="U587" s="23" t="inlineStr"/>
      <c r="V587" s="23" t="inlineStr">
        <is>
          <t>WBS Code = 1.3.1</t>
        </is>
      </c>
      <c r="W587" s="23" t="inlineStr"/>
    </row>
    <row r="588" ht="49" customHeight="1">
      <c r="A588" s="23" t="inlineStr">
        <is>
          <t>1.3.1</t>
        </is>
      </c>
      <c r="B588" s="23" t="inlineStr">
        <is>
          <t>Systems - Traction Power</t>
        </is>
      </c>
      <c r="C588" s="23" t="inlineStr">
        <is>
          <t>Contractor Programme</t>
        </is>
      </c>
      <c r="D588" s="23" t="inlineStr">
        <is>
          <t>SCH-03-052</t>
        </is>
      </c>
      <c r="E588" s="23" t="inlineStr">
        <is>
          <t>Control Centre: control-centre integration - release</t>
        </is>
      </c>
      <c r="F588" s="23" t="inlineStr">
        <is>
          <t>ONE_TO_ONE</t>
        </is>
      </c>
      <c r="G588" s="23" t="inlineStr">
        <is>
          <t>RETAINED</t>
        </is>
      </c>
      <c r="H588" s="23" t="inlineStr">
        <is>
          <t>Carried forward</t>
        </is>
      </c>
      <c r="I588" s="23" t="inlineStr">
        <is>
          <t>Source assignment -- not individually reviewed</t>
        </is>
      </c>
      <c r="J588" s="23" t="inlineStr"/>
      <c r="K588" s="23" t="inlineStr">
        <is>
          <t>Source assignment</t>
        </is>
      </c>
      <c r="L588" s="23" t="inlineStr"/>
      <c r="M588" s="23" t="inlineStr">
        <is>
          <t>Contractor Programme Cycle 2</t>
        </is>
      </c>
      <c r="N588" s="23" t="inlineStr">
        <is>
          <t>Rev 1</t>
        </is>
      </c>
      <c r="O588" s="23" t="inlineStr">
        <is>
          <t>R412-v2</t>
        </is>
      </c>
      <c r="P588" s="23" t="inlineStr"/>
      <c r="Q588" s="23" t="inlineStr"/>
      <c r="R588" s="23" t="inlineStr"/>
      <c r="S588" s="23" t="inlineStr"/>
      <c r="T588" s="23" t="inlineStr"/>
      <c r="U588" s="23" t="inlineStr"/>
      <c r="V588" s="23" t="inlineStr">
        <is>
          <t>WBS Code = 1.3.1</t>
        </is>
      </c>
      <c r="W588" s="23" t="inlineStr"/>
    </row>
    <row r="589" ht="49" customHeight="1">
      <c r="A589" s="23" t="inlineStr">
        <is>
          <t>1.3.1</t>
        </is>
      </c>
      <c r="B589" s="23" t="inlineStr">
        <is>
          <t>Systems - Traction Power</t>
        </is>
      </c>
      <c r="C589" s="23" t="inlineStr">
        <is>
          <t>Contractor Programme</t>
        </is>
      </c>
      <c r="D589" s="23" t="inlineStr">
        <is>
          <t>SCH-03-053</t>
        </is>
      </c>
      <c r="E589" s="23" t="inlineStr">
        <is>
          <t>West wayside: fibre backbone termination - field start</t>
        </is>
      </c>
      <c r="F589" s="23" t="inlineStr">
        <is>
          <t>ONE_TO_ONE</t>
        </is>
      </c>
      <c r="G589" s="23" t="inlineStr">
        <is>
          <t>RETAINED</t>
        </is>
      </c>
      <c r="H589" s="23" t="inlineStr">
        <is>
          <t>Carried forward</t>
        </is>
      </c>
      <c r="I589" s="23" t="inlineStr">
        <is>
          <t>Source assignment -- not individually reviewed</t>
        </is>
      </c>
      <c r="J589" s="23" t="inlineStr"/>
      <c r="K589" s="23" t="inlineStr">
        <is>
          <t>Source assignment</t>
        </is>
      </c>
      <c r="L589" s="23" t="inlineStr"/>
      <c r="M589" s="23" t="inlineStr">
        <is>
          <t>Contractor Programme Cycle 2</t>
        </is>
      </c>
      <c r="N589" s="23" t="inlineStr">
        <is>
          <t>Rev 1</t>
        </is>
      </c>
      <c r="O589" s="23" t="inlineStr">
        <is>
          <t>R413-v2</t>
        </is>
      </c>
      <c r="P589" s="23" t="inlineStr"/>
      <c r="Q589" s="23" t="inlineStr"/>
      <c r="R589" s="23" t="inlineStr"/>
      <c r="S589" s="23" t="inlineStr"/>
      <c r="T589" s="23" t="inlineStr"/>
      <c r="U589" s="23" t="inlineStr"/>
      <c r="V589" s="23" t="inlineStr">
        <is>
          <t>WBS Code = 1.3.1</t>
        </is>
      </c>
      <c r="W589" s="23" t="inlineStr"/>
    </row>
    <row r="590" ht="49" customHeight="1">
      <c r="A590" s="23" t="inlineStr">
        <is>
          <t>1.3.1</t>
        </is>
      </c>
      <c r="B590" s="23" t="inlineStr">
        <is>
          <t>Systems - Traction Power</t>
        </is>
      </c>
      <c r="C590" s="23" t="inlineStr">
        <is>
          <t>Contractor Programme</t>
        </is>
      </c>
      <c r="D590" s="23" t="inlineStr">
        <is>
          <t>SCH-03-055</t>
        </is>
      </c>
      <c r="E590" s="23" t="inlineStr">
        <is>
          <t>Central interlocking: traction-power feeder pull - inspection</t>
        </is>
      </c>
      <c r="F590" s="23" t="inlineStr">
        <is>
          <t>ONE_TO_ONE</t>
        </is>
      </c>
      <c r="G590" s="23" t="inlineStr">
        <is>
          <t>RETAINED</t>
        </is>
      </c>
      <c r="H590" s="23" t="inlineStr">
        <is>
          <t>Carried forward</t>
        </is>
      </c>
      <c r="I590" s="23" t="inlineStr">
        <is>
          <t>Source assignment -- not individually reviewed</t>
        </is>
      </c>
      <c r="J590" s="23" t="inlineStr"/>
      <c r="K590" s="23" t="inlineStr">
        <is>
          <t>Source assignment</t>
        </is>
      </c>
      <c r="L590" s="23" t="inlineStr"/>
      <c r="M590" s="23" t="inlineStr">
        <is>
          <t>Contractor Programme Cycle 2</t>
        </is>
      </c>
      <c r="N590" s="23" t="inlineStr">
        <is>
          <t>Rev 1</t>
        </is>
      </c>
      <c r="O590" s="23" t="inlineStr">
        <is>
          <t>R415-v2</t>
        </is>
      </c>
      <c r="P590" s="23" t="inlineStr"/>
      <c r="Q590" s="23" t="inlineStr"/>
      <c r="R590" s="23" t="inlineStr"/>
      <c r="S590" s="23" t="inlineStr"/>
      <c r="T590" s="23" t="inlineStr"/>
      <c r="U590" s="23" t="inlineStr"/>
      <c r="V590" s="23" t="inlineStr">
        <is>
          <t>WBS Code = 1.3.1</t>
        </is>
      </c>
      <c r="W590" s="23" t="inlineStr"/>
    </row>
    <row r="591" ht="49" customHeight="1">
      <c r="A591" s="23" t="inlineStr">
        <is>
          <t>1.3.1</t>
        </is>
      </c>
      <c r="B591" s="23" t="inlineStr">
        <is>
          <t>Systems - Traction Power</t>
        </is>
      </c>
      <c r="C591" s="23" t="inlineStr">
        <is>
          <t>Contractor Programme</t>
        </is>
      </c>
      <c r="D591" s="23" t="inlineStr">
        <is>
          <t>SCH-03-056</t>
        </is>
      </c>
      <c r="E591" s="23" t="inlineStr">
        <is>
          <t>Harbour Station: train-control cabinet fit-out - turnover</t>
        </is>
      </c>
      <c r="F591" s="23" t="inlineStr">
        <is>
          <t>ONE_TO_ONE</t>
        </is>
      </c>
      <c r="G591" s="23" t="inlineStr">
        <is>
          <t>RETAINED</t>
        </is>
      </c>
      <c r="H591" s="23" t="inlineStr">
        <is>
          <t>Carried forward</t>
        </is>
      </c>
      <c r="I591" s="23" t="inlineStr">
        <is>
          <t>Source assignment -- not individually reviewed</t>
        </is>
      </c>
      <c r="J591" s="23" t="inlineStr"/>
      <c r="K591" s="23" t="inlineStr">
        <is>
          <t>Source assignment</t>
        </is>
      </c>
      <c r="L591" s="23" t="inlineStr"/>
      <c r="M591" s="23" t="inlineStr">
        <is>
          <t>Contractor Programme Cycle 2</t>
        </is>
      </c>
      <c r="N591" s="23" t="inlineStr">
        <is>
          <t>Rev 1</t>
        </is>
      </c>
      <c r="O591" s="23" t="inlineStr">
        <is>
          <t>R416-v2</t>
        </is>
      </c>
      <c r="P591" s="23" t="inlineStr"/>
      <c r="Q591" s="23" t="inlineStr"/>
      <c r="R591" s="23" t="inlineStr"/>
      <c r="S591" s="23" t="inlineStr"/>
      <c r="T591" s="23" t="inlineStr"/>
      <c r="U591" s="23" t="inlineStr"/>
      <c r="V591" s="23" t="inlineStr">
        <is>
          <t>WBS Code = 1.3.1</t>
        </is>
      </c>
      <c r="W591" s="23" t="inlineStr"/>
    </row>
    <row r="592" ht="49" customHeight="1">
      <c r="A592" s="23" t="inlineStr">
        <is>
          <t>1.3.1</t>
        </is>
      </c>
      <c r="B592" s="23" t="inlineStr">
        <is>
          <t>Systems - Traction Power</t>
        </is>
      </c>
      <c r="C592" s="23" t="inlineStr">
        <is>
          <t>Contractor Programme</t>
        </is>
      </c>
      <c r="D592" s="23" t="inlineStr">
        <is>
          <t>SCH-03-058</t>
        </is>
      </c>
      <c r="E592" s="23" t="inlineStr">
        <is>
          <t>West wayside: signal equipment installation - field start</t>
        </is>
      </c>
      <c r="F592" s="23" t="inlineStr">
        <is>
          <t>ONE_TO_ONE</t>
        </is>
      </c>
      <c r="G592" s="23" t="inlineStr">
        <is>
          <t>RETAINED</t>
        </is>
      </c>
      <c r="H592" s="23" t="inlineStr">
        <is>
          <t>Carried forward</t>
        </is>
      </c>
      <c r="I592" s="23" t="inlineStr">
        <is>
          <t>Source assignment -- not individually reviewed</t>
        </is>
      </c>
      <c r="J592" s="23" t="inlineStr"/>
      <c r="K592" s="23" t="inlineStr">
        <is>
          <t>Source assignment</t>
        </is>
      </c>
      <c r="L592" s="23" t="inlineStr"/>
      <c r="M592" s="23" t="inlineStr">
        <is>
          <t>Contractor Programme Cycle 2</t>
        </is>
      </c>
      <c r="N592" s="23" t="inlineStr">
        <is>
          <t>Rev 1</t>
        </is>
      </c>
      <c r="O592" s="23" t="inlineStr">
        <is>
          <t>R418-v2</t>
        </is>
      </c>
      <c r="P592" s="23" t="inlineStr"/>
      <c r="Q592" s="23" t="inlineStr"/>
      <c r="R592" s="23" t="inlineStr"/>
      <c r="S592" s="23" t="inlineStr"/>
      <c r="T592" s="23" t="inlineStr"/>
      <c r="U592" s="23" t="inlineStr"/>
      <c r="V592" s="23" t="inlineStr">
        <is>
          <t>WBS Code = 1.3.1</t>
        </is>
      </c>
      <c r="W592" s="23" t="inlineStr"/>
    </row>
    <row r="593" ht="49" customHeight="1">
      <c r="A593" s="23" t="inlineStr">
        <is>
          <t>1.3.1</t>
        </is>
      </c>
      <c r="B593" s="23" t="inlineStr">
        <is>
          <t>Systems - Traction Power</t>
        </is>
      </c>
      <c r="C593" s="23" t="inlineStr">
        <is>
          <t>Contractor Programme</t>
        </is>
      </c>
      <c r="D593" s="23" t="inlineStr">
        <is>
          <t>SCH-03-059</t>
        </is>
      </c>
      <c r="E593" s="23" t="inlineStr">
        <is>
          <t>East substation: radio equipment installation - installation</t>
        </is>
      </c>
      <c r="F593" s="23" t="inlineStr">
        <is>
          <t>ONE_TO_ONE</t>
        </is>
      </c>
      <c r="G593" s="23" t="inlineStr">
        <is>
          <t>RETAINED</t>
        </is>
      </c>
      <c r="H593" s="23" t="inlineStr">
        <is>
          <t>Carried forward</t>
        </is>
      </c>
      <c r="I593" s="23" t="inlineStr">
        <is>
          <t>Source assignment -- not individually reviewed</t>
        </is>
      </c>
      <c r="J593" s="23" t="inlineStr"/>
      <c r="K593" s="23" t="inlineStr">
        <is>
          <t>Source assignment</t>
        </is>
      </c>
      <c r="L593" s="23" t="inlineStr"/>
      <c r="M593" s="23" t="inlineStr">
        <is>
          <t>Contractor Programme Cycle 2</t>
        </is>
      </c>
      <c r="N593" s="23" t="inlineStr">
        <is>
          <t>Rev 1</t>
        </is>
      </c>
      <c r="O593" s="23" t="inlineStr">
        <is>
          <t>R419-v2</t>
        </is>
      </c>
      <c r="P593" s="23" t="inlineStr"/>
      <c r="Q593" s="23" t="inlineStr"/>
      <c r="R593" s="23" t="inlineStr"/>
      <c r="S593" s="23" t="inlineStr"/>
      <c r="T593" s="23" t="inlineStr"/>
      <c r="U593" s="23" t="inlineStr"/>
      <c r="V593" s="23" t="inlineStr">
        <is>
          <t>WBS Code = 1.3.1</t>
        </is>
      </c>
      <c r="W593" s="23" t="inlineStr"/>
    </row>
    <row r="594" ht="49" customHeight="1">
      <c r="A594" s="23" t="inlineStr">
        <is>
          <t>1.3.1</t>
        </is>
      </c>
      <c r="B594" s="23" t="inlineStr">
        <is>
          <t>Systems - Traction Power</t>
        </is>
      </c>
      <c r="C594" s="23" t="inlineStr">
        <is>
          <t>Contractor Programme</t>
        </is>
      </c>
      <c r="D594" s="23" t="inlineStr">
        <is>
          <t>SCH-03-061</t>
        </is>
      </c>
      <c r="E594" s="23" t="inlineStr">
        <is>
          <t>Harbour Station: fibre backbone termination - turnover</t>
        </is>
      </c>
      <c r="F594" s="23" t="inlineStr">
        <is>
          <t>ONE_TO_ONE</t>
        </is>
      </c>
      <c r="G594" s="23" t="inlineStr">
        <is>
          <t>RETAINED</t>
        </is>
      </c>
      <c r="H594" s="23" t="inlineStr">
        <is>
          <t>Carried forward</t>
        </is>
      </c>
      <c r="I594" s="23" t="inlineStr">
        <is>
          <t>Source assignment -- not individually reviewed</t>
        </is>
      </c>
      <c r="J594" s="23" t="inlineStr"/>
      <c r="K594" s="23" t="inlineStr">
        <is>
          <t>Source assignment</t>
        </is>
      </c>
      <c r="L594" s="23" t="inlineStr"/>
      <c r="M594" s="23" t="inlineStr">
        <is>
          <t>Contractor Programme Cycle 2</t>
        </is>
      </c>
      <c r="N594" s="23" t="inlineStr">
        <is>
          <t>Rev 1</t>
        </is>
      </c>
      <c r="O594" s="23" t="inlineStr">
        <is>
          <t>R421-v2</t>
        </is>
      </c>
      <c r="P594" s="23" t="inlineStr"/>
      <c r="Q594" s="23" t="inlineStr"/>
      <c r="R594" s="23" t="inlineStr"/>
      <c r="S594" s="23" t="inlineStr"/>
      <c r="T594" s="23" t="inlineStr"/>
      <c r="U594" s="23" t="inlineStr"/>
      <c r="V594" s="23" t="inlineStr">
        <is>
          <t>WBS Code = 1.3.1</t>
        </is>
      </c>
      <c r="W594" s="23" t="inlineStr"/>
    </row>
    <row r="595" ht="49" customHeight="1">
      <c r="A595" s="23" t="inlineStr">
        <is>
          <t>1.3.1</t>
        </is>
      </c>
      <c r="B595" s="23" t="inlineStr">
        <is>
          <t>Systems - Traction Power</t>
        </is>
      </c>
      <c r="C595" s="23" t="inlineStr">
        <is>
          <t>Contractor Programme</t>
        </is>
      </c>
      <c r="D595" s="23" t="inlineStr">
        <is>
          <t>SCH-03-062</t>
        </is>
      </c>
      <c r="E595" s="23" t="inlineStr">
        <is>
          <t>Control Centre: SCADA point-to-point check - release</t>
        </is>
      </c>
      <c r="F595" s="23" t="inlineStr">
        <is>
          <t>ONE_TO_ONE</t>
        </is>
      </c>
      <c r="G595" s="23" t="inlineStr">
        <is>
          <t>RETAINED</t>
        </is>
      </c>
      <c r="H595" s="23" t="inlineStr">
        <is>
          <t>Carried forward</t>
        </is>
      </c>
      <c r="I595" s="23" t="inlineStr">
        <is>
          <t>Source assignment -- not individually reviewed</t>
        </is>
      </c>
      <c r="J595" s="23" t="inlineStr"/>
      <c r="K595" s="23" t="inlineStr">
        <is>
          <t>Source assignment</t>
        </is>
      </c>
      <c r="L595" s="23" t="inlineStr"/>
      <c r="M595" s="23" t="inlineStr">
        <is>
          <t>Contractor Programme Cycle 2</t>
        </is>
      </c>
      <c r="N595" s="23" t="inlineStr">
        <is>
          <t>Rev 1</t>
        </is>
      </c>
      <c r="O595" s="23" t="inlineStr">
        <is>
          <t>R422-v2</t>
        </is>
      </c>
      <c r="P595" s="23" t="inlineStr"/>
      <c r="Q595" s="23" t="inlineStr"/>
      <c r="R595" s="23" t="inlineStr"/>
      <c r="S595" s="23" t="inlineStr"/>
      <c r="T595" s="23" t="inlineStr"/>
      <c r="U595" s="23" t="inlineStr"/>
      <c r="V595" s="23" t="inlineStr">
        <is>
          <t>WBS Code = 1.3.1</t>
        </is>
      </c>
      <c r="W595" s="23" t="inlineStr"/>
    </row>
    <row r="596" ht="49" customHeight="1">
      <c r="A596" s="23" t="inlineStr">
        <is>
          <t>1.3.1</t>
        </is>
      </c>
      <c r="B596" s="23" t="inlineStr">
        <is>
          <t>Systems - Traction Power</t>
        </is>
      </c>
      <c r="C596" s="23" t="inlineStr">
        <is>
          <t>Contractor Programme</t>
        </is>
      </c>
      <c r="D596" s="23" t="inlineStr">
        <is>
          <t>SCH-03-064</t>
        </is>
      </c>
      <c r="E596" s="23" t="inlineStr">
        <is>
          <t>East substation: train-control cabinet fit-out - installation</t>
        </is>
      </c>
      <c r="F596" s="23" t="inlineStr">
        <is>
          <t>ONE_TO_ONE</t>
        </is>
      </c>
      <c r="G596" s="23" t="inlineStr">
        <is>
          <t>RETAINED</t>
        </is>
      </c>
      <c r="H596" s="23" t="inlineStr">
        <is>
          <t>Carried forward</t>
        </is>
      </c>
      <c r="I596" s="23" t="inlineStr">
        <is>
          <t>Source assignment -- not individually reviewed</t>
        </is>
      </c>
      <c r="J596" s="23" t="inlineStr"/>
      <c r="K596" s="23" t="inlineStr">
        <is>
          <t>Source assignment</t>
        </is>
      </c>
      <c r="L596" s="23" t="inlineStr"/>
      <c r="M596" s="23" t="inlineStr">
        <is>
          <t>Contractor Programme Cycle 2</t>
        </is>
      </c>
      <c r="N596" s="23" t="inlineStr">
        <is>
          <t>Rev 1</t>
        </is>
      </c>
      <c r="O596" s="23" t="inlineStr">
        <is>
          <t>R424-v2</t>
        </is>
      </c>
      <c r="P596" s="23" t="inlineStr"/>
      <c r="Q596" s="23" t="inlineStr"/>
      <c r="R596" s="23" t="inlineStr"/>
      <c r="S596" s="23" t="inlineStr"/>
      <c r="T596" s="23" t="inlineStr"/>
      <c r="U596" s="23" t="inlineStr"/>
      <c r="V596" s="23" t="inlineStr">
        <is>
          <t>WBS Code = 1.3.1</t>
        </is>
      </c>
      <c r="W596" s="23" t="inlineStr"/>
    </row>
    <row r="597" ht="49" customHeight="1">
      <c r="A597" s="23" t="inlineStr">
        <is>
          <t>1.3.1</t>
        </is>
      </c>
      <c r="B597" s="23" t="inlineStr">
        <is>
          <t>Systems - Traction Power</t>
        </is>
      </c>
      <c r="C597" s="23" t="inlineStr">
        <is>
          <t>Contractor Programme</t>
        </is>
      </c>
      <c r="D597" s="23" t="inlineStr">
        <is>
          <t>SCH-03-065</t>
        </is>
      </c>
      <c r="E597" s="23" t="inlineStr">
        <is>
          <t>Central interlocking: wayside interface test - inspection</t>
        </is>
      </c>
      <c r="F597" s="23" t="inlineStr">
        <is>
          <t>ONE_TO_ONE</t>
        </is>
      </c>
      <c r="G597" s="23" t="inlineStr">
        <is>
          <t>RETAINED</t>
        </is>
      </c>
      <c r="H597" s="23" t="inlineStr">
        <is>
          <t>Carried forward</t>
        </is>
      </c>
      <c r="I597" s="23" t="inlineStr">
        <is>
          <t>Source assignment -- not individually reviewed</t>
        </is>
      </c>
      <c r="J597" s="23" t="inlineStr"/>
      <c r="K597" s="23" t="inlineStr">
        <is>
          <t>Source assignment</t>
        </is>
      </c>
      <c r="L597" s="23" t="inlineStr"/>
      <c r="M597" s="23" t="inlineStr">
        <is>
          <t>Contractor Programme Cycle 2</t>
        </is>
      </c>
      <c r="N597" s="23" t="inlineStr">
        <is>
          <t>Rev 1</t>
        </is>
      </c>
      <c r="O597" s="23" t="inlineStr">
        <is>
          <t>R425-v2</t>
        </is>
      </c>
      <c r="P597" s="23" t="inlineStr"/>
      <c r="Q597" s="23" t="inlineStr"/>
      <c r="R597" s="23" t="inlineStr"/>
      <c r="S597" s="23" t="inlineStr"/>
      <c r="T597" s="23" t="inlineStr"/>
      <c r="U597" s="23" t="inlineStr"/>
      <c r="V597" s="23" t="inlineStr">
        <is>
          <t>WBS Code = 1.3.1</t>
        </is>
      </c>
      <c r="W597" s="23" t="inlineStr"/>
    </row>
    <row r="598" ht="49" customHeight="1">
      <c r="A598" s="23" t="inlineStr">
        <is>
          <t>1.3.1</t>
        </is>
      </c>
      <c r="B598" s="23" t="inlineStr">
        <is>
          <t>Systems - Traction Power</t>
        </is>
      </c>
      <c r="C598" s="23" t="inlineStr">
        <is>
          <t>Contractor Programme</t>
        </is>
      </c>
      <c r="D598" s="23" t="inlineStr">
        <is>
          <t>SCH-03-067</t>
        </is>
      </c>
      <c r="E598" s="23" t="inlineStr">
        <is>
          <t>Control Centre: radio equipment installation - release</t>
        </is>
      </c>
      <c r="F598" s="23" t="inlineStr">
        <is>
          <t>ONE_TO_ONE</t>
        </is>
      </c>
      <c r="G598" s="23" t="inlineStr">
        <is>
          <t>RETAINED</t>
        </is>
      </c>
      <c r="H598" s="23" t="inlineStr">
        <is>
          <t>Carried forward</t>
        </is>
      </c>
      <c r="I598" s="23" t="inlineStr">
        <is>
          <t>Source assignment -- not individually reviewed</t>
        </is>
      </c>
      <c r="J598" s="23" t="inlineStr"/>
      <c r="K598" s="23" t="inlineStr">
        <is>
          <t>Source assignment</t>
        </is>
      </c>
      <c r="L598" s="23" t="inlineStr"/>
      <c r="M598" s="23" t="inlineStr">
        <is>
          <t>Contractor Programme Cycle 2</t>
        </is>
      </c>
      <c r="N598" s="23" t="inlineStr">
        <is>
          <t>Rev 1</t>
        </is>
      </c>
      <c r="O598" s="23" t="inlineStr">
        <is>
          <t>R427-v2</t>
        </is>
      </c>
      <c r="P598" s="23" t="inlineStr"/>
      <c r="Q598" s="23" t="inlineStr"/>
      <c r="R598" s="23" t="inlineStr"/>
      <c r="S598" s="23" t="inlineStr"/>
      <c r="T598" s="23" t="inlineStr"/>
      <c r="U598" s="23" t="inlineStr"/>
      <c r="V598" s="23" t="inlineStr">
        <is>
          <t>WBS Code = 1.3.1</t>
        </is>
      </c>
      <c r="W598" s="23" t="inlineStr"/>
    </row>
    <row r="599" ht="49" customHeight="1">
      <c r="A599" s="23" t="inlineStr">
        <is>
          <t>1.3.1</t>
        </is>
      </c>
      <c r="B599" s="23" t="inlineStr">
        <is>
          <t>Systems - Traction Power</t>
        </is>
      </c>
      <c r="C599" s="23" t="inlineStr">
        <is>
          <t>Contractor Programme</t>
        </is>
      </c>
      <c r="D599" s="23" t="inlineStr">
        <is>
          <t>SCH-03-068</t>
        </is>
      </c>
      <c r="E599" s="23" t="inlineStr">
        <is>
          <t>West wayside: control-centre integration - field start</t>
        </is>
      </c>
      <c r="F599" s="23" t="inlineStr">
        <is>
          <t>ONE_TO_ONE</t>
        </is>
      </c>
      <c r="G599" s="23" t="inlineStr">
        <is>
          <t>RETAINED</t>
        </is>
      </c>
      <c r="H599" s="23" t="inlineStr">
        <is>
          <t>Carried forward</t>
        </is>
      </c>
      <c r="I599" s="23" t="inlineStr">
        <is>
          <t>Source assignment -- not individually reviewed</t>
        </is>
      </c>
      <c r="J599" s="23" t="inlineStr"/>
      <c r="K599" s="23" t="inlineStr">
        <is>
          <t>Source assignment</t>
        </is>
      </c>
      <c r="L599" s="23" t="inlineStr"/>
      <c r="M599" s="23" t="inlineStr">
        <is>
          <t>Contractor Programme Cycle 2</t>
        </is>
      </c>
      <c r="N599" s="23" t="inlineStr">
        <is>
          <t>Rev 1</t>
        </is>
      </c>
      <c r="O599" s="23" t="inlineStr">
        <is>
          <t>R428-v2</t>
        </is>
      </c>
      <c r="P599" s="23" t="inlineStr"/>
      <c r="Q599" s="23" t="inlineStr"/>
      <c r="R599" s="23" t="inlineStr"/>
      <c r="S599" s="23" t="inlineStr"/>
      <c r="T599" s="23" t="inlineStr"/>
      <c r="U599" s="23" t="inlineStr"/>
      <c r="V599" s="23" t="inlineStr">
        <is>
          <t>WBS Code = 1.3.1</t>
        </is>
      </c>
      <c r="W599" s="23" t="inlineStr"/>
    </row>
    <row r="600" ht="49" customHeight="1">
      <c r="A600" s="23" t="inlineStr">
        <is>
          <t>1.3.1</t>
        </is>
      </c>
      <c r="B600" s="23" t="inlineStr">
        <is>
          <t>Systems - Traction Power</t>
        </is>
      </c>
      <c r="C600" s="23" t="inlineStr">
        <is>
          <t>Contractor Programme</t>
        </is>
      </c>
      <c r="D600" s="23" t="inlineStr">
        <is>
          <t>SCH-03-070</t>
        </is>
      </c>
      <c r="E600" s="23" t="inlineStr">
        <is>
          <t>Central interlocking: SCADA point-to-point check - inspection</t>
        </is>
      </c>
      <c r="F600" s="23" t="inlineStr">
        <is>
          <t>ONE_TO_ONE</t>
        </is>
      </c>
      <c r="G600" s="23" t="inlineStr">
        <is>
          <t>RETAINED</t>
        </is>
      </c>
      <c r="H600" s="23" t="inlineStr">
        <is>
          <t>Carried forward</t>
        </is>
      </c>
      <c r="I600" s="23" t="inlineStr">
        <is>
          <t>Source assignment -- not individually reviewed</t>
        </is>
      </c>
      <c r="J600" s="23" t="inlineStr"/>
      <c r="K600" s="23" t="inlineStr">
        <is>
          <t>Source assignment</t>
        </is>
      </c>
      <c r="L600" s="23" t="inlineStr"/>
      <c r="M600" s="23" t="inlineStr">
        <is>
          <t>Contractor Programme Cycle 2</t>
        </is>
      </c>
      <c r="N600" s="23" t="inlineStr">
        <is>
          <t>Rev 1</t>
        </is>
      </c>
      <c r="O600" s="23" t="inlineStr">
        <is>
          <t>R430-v2</t>
        </is>
      </c>
      <c r="P600" s="23" t="inlineStr"/>
      <c r="Q600" s="23" t="inlineStr"/>
      <c r="R600" s="23" t="inlineStr"/>
      <c r="S600" s="23" t="inlineStr"/>
      <c r="T600" s="23" t="inlineStr"/>
      <c r="U600" s="23" t="inlineStr"/>
      <c r="V600" s="23" t="inlineStr">
        <is>
          <t>WBS Code = 1.3.1</t>
        </is>
      </c>
      <c r="W600" s="23" t="inlineStr"/>
    </row>
    <row r="601" ht="49" customHeight="1">
      <c r="A601" s="23" t="inlineStr">
        <is>
          <t>1.3.1</t>
        </is>
      </c>
      <c r="B601" s="23" t="inlineStr">
        <is>
          <t>Systems - Traction Power</t>
        </is>
      </c>
      <c r="C601" s="23" t="inlineStr">
        <is>
          <t>Contractor Programme</t>
        </is>
      </c>
      <c r="D601" s="23" t="inlineStr">
        <is>
          <t>SCH-03-071</t>
        </is>
      </c>
      <c r="E601" s="23" t="inlineStr">
        <is>
          <t>Harbour Station: traction-power feeder pull - turnover</t>
        </is>
      </c>
      <c r="F601" s="23" t="inlineStr">
        <is>
          <t>ONE_TO_ONE</t>
        </is>
      </c>
      <c r="G601" s="23" t="inlineStr">
        <is>
          <t>RETAINED</t>
        </is>
      </c>
      <c r="H601" s="23" t="inlineStr">
        <is>
          <t>Carried forward</t>
        </is>
      </c>
      <c r="I601" s="23" t="inlineStr">
        <is>
          <t>Source assignment -- not individually reviewed</t>
        </is>
      </c>
      <c r="J601" s="23" t="inlineStr"/>
      <c r="K601" s="23" t="inlineStr">
        <is>
          <t>Source assignment</t>
        </is>
      </c>
      <c r="L601" s="23" t="inlineStr"/>
      <c r="M601" s="23" t="inlineStr">
        <is>
          <t>Contractor Programme Cycle 2</t>
        </is>
      </c>
      <c r="N601" s="23" t="inlineStr">
        <is>
          <t>Rev 1</t>
        </is>
      </c>
      <c r="O601" s="23" t="inlineStr">
        <is>
          <t>R431-v2</t>
        </is>
      </c>
      <c r="P601" s="23" t="inlineStr"/>
      <c r="Q601" s="23" t="inlineStr"/>
      <c r="R601" s="23" t="inlineStr"/>
      <c r="S601" s="23" t="inlineStr"/>
      <c r="T601" s="23" t="inlineStr"/>
      <c r="U601" s="23" t="inlineStr"/>
      <c r="V601" s="23" t="inlineStr">
        <is>
          <t>WBS Code = 1.3.1</t>
        </is>
      </c>
      <c r="W601" s="23" t="inlineStr"/>
    </row>
    <row r="602" ht="49" customHeight="1">
      <c r="A602" s="23" t="inlineStr">
        <is>
          <t>1.3.1</t>
        </is>
      </c>
      <c r="B602" s="23" t="inlineStr">
        <is>
          <t>Systems - Traction Power</t>
        </is>
      </c>
      <c r="C602" s="23" t="inlineStr">
        <is>
          <t>Contractor Programme</t>
        </is>
      </c>
      <c r="D602" s="23" t="inlineStr">
        <is>
          <t>SCH-03-073</t>
        </is>
      </c>
      <c r="E602" s="23" t="inlineStr">
        <is>
          <t>West wayside: wayside interface test - field start</t>
        </is>
      </c>
      <c r="F602" s="23" t="inlineStr">
        <is>
          <t>ONE_TO_ONE</t>
        </is>
      </c>
      <c r="G602" s="23" t="inlineStr">
        <is>
          <t>RETAINED</t>
        </is>
      </c>
      <c r="H602" s="23" t="inlineStr">
        <is>
          <t>Carried forward</t>
        </is>
      </c>
      <c r="I602" s="23" t="inlineStr">
        <is>
          <t>Source assignment -- not individually reviewed</t>
        </is>
      </c>
      <c r="J602" s="23" t="inlineStr"/>
      <c r="K602" s="23" t="inlineStr">
        <is>
          <t>Source assignment</t>
        </is>
      </c>
      <c r="L602" s="23" t="inlineStr"/>
      <c r="M602" s="23" t="inlineStr">
        <is>
          <t>Contractor Programme Cycle 2</t>
        </is>
      </c>
      <c r="N602" s="23" t="inlineStr">
        <is>
          <t>Rev 1</t>
        </is>
      </c>
      <c r="O602" s="23" t="inlineStr">
        <is>
          <t>R433-v2</t>
        </is>
      </c>
      <c r="P602" s="23" t="inlineStr"/>
      <c r="Q602" s="23" t="inlineStr"/>
      <c r="R602" s="23" t="inlineStr"/>
      <c r="S602" s="23" t="inlineStr"/>
      <c r="T602" s="23" t="inlineStr"/>
      <c r="U602" s="23" t="inlineStr"/>
      <c r="V602" s="23" t="inlineStr">
        <is>
          <t>WBS Code = 1.3.1</t>
        </is>
      </c>
      <c r="W602" s="23" t="inlineStr"/>
    </row>
    <row r="603" ht="49" customHeight="1">
      <c r="A603" s="23" t="inlineStr">
        <is>
          <t>1.3.1</t>
        </is>
      </c>
      <c r="B603" s="23" t="inlineStr">
        <is>
          <t>Systems - Traction Power</t>
        </is>
      </c>
      <c r="C603" s="23" t="inlineStr">
        <is>
          <t>Contractor Programme</t>
        </is>
      </c>
      <c r="D603" s="23" t="inlineStr">
        <is>
          <t>SCH-03-074</t>
        </is>
      </c>
      <c r="E603" s="23" t="inlineStr">
        <is>
          <t>East substation: signal equipment installation - installation</t>
        </is>
      </c>
      <c r="F603" s="23" t="inlineStr">
        <is>
          <t>ONE_TO_ONE</t>
        </is>
      </c>
      <c r="G603" s="23" t="inlineStr">
        <is>
          <t>RETAINED</t>
        </is>
      </c>
      <c r="H603" s="23" t="inlineStr">
        <is>
          <t>Carried forward</t>
        </is>
      </c>
      <c r="I603" s="23" t="inlineStr">
        <is>
          <t>Source assignment -- not individually reviewed</t>
        </is>
      </c>
      <c r="J603" s="23" t="inlineStr"/>
      <c r="K603" s="23" t="inlineStr">
        <is>
          <t>Source assignment</t>
        </is>
      </c>
      <c r="L603" s="23" t="inlineStr"/>
      <c r="M603" s="23" t="inlineStr">
        <is>
          <t>Contractor Programme Cycle 2</t>
        </is>
      </c>
      <c r="N603" s="23" t="inlineStr">
        <is>
          <t>Rev 1</t>
        </is>
      </c>
      <c r="O603" s="23" t="inlineStr">
        <is>
          <t>R434-v2</t>
        </is>
      </c>
      <c r="P603" s="23" t="inlineStr"/>
      <c r="Q603" s="23" t="inlineStr"/>
      <c r="R603" s="23" t="inlineStr"/>
      <c r="S603" s="23" t="inlineStr"/>
      <c r="T603" s="23" t="inlineStr"/>
      <c r="U603" s="23" t="inlineStr"/>
      <c r="V603" s="23" t="inlineStr">
        <is>
          <t>WBS Code = 1.3.1</t>
        </is>
      </c>
      <c r="W603" s="23" t="inlineStr"/>
    </row>
    <row r="604" ht="49" customHeight="1">
      <c r="A604" s="23" t="inlineStr">
        <is>
          <t>1.3.1</t>
        </is>
      </c>
      <c r="B604" s="23" t="inlineStr">
        <is>
          <t>Systems - Traction Power</t>
        </is>
      </c>
      <c r="C604" s="23" t="inlineStr">
        <is>
          <t>Contractor Programme</t>
        </is>
      </c>
      <c r="D604" s="23" t="inlineStr">
        <is>
          <t>SCH-03-076</t>
        </is>
      </c>
      <c r="E604" s="23" t="inlineStr">
        <is>
          <t>Harbour Station: control-centre integration - turnover</t>
        </is>
      </c>
      <c r="F604" s="23" t="inlineStr">
        <is>
          <t>ONE_TO_ONE</t>
        </is>
      </c>
      <c r="G604" s="23" t="inlineStr">
        <is>
          <t>RETAINED</t>
        </is>
      </c>
      <c r="H604" s="23" t="inlineStr">
        <is>
          <t>Carried forward</t>
        </is>
      </c>
      <c r="I604" s="23" t="inlineStr">
        <is>
          <t>Source assignment -- not individually reviewed</t>
        </is>
      </c>
      <c r="J604" s="23" t="inlineStr"/>
      <c r="K604" s="23" t="inlineStr">
        <is>
          <t>Source assignment</t>
        </is>
      </c>
      <c r="L604" s="23" t="inlineStr"/>
      <c r="M604" s="23" t="inlineStr">
        <is>
          <t>Contractor Programme Cycle 2</t>
        </is>
      </c>
      <c r="N604" s="23" t="inlineStr">
        <is>
          <t>Rev 1</t>
        </is>
      </c>
      <c r="O604" s="23" t="inlineStr">
        <is>
          <t>R436-v2</t>
        </is>
      </c>
      <c r="P604" s="23" t="inlineStr"/>
      <c r="Q604" s="23" t="inlineStr"/>
      <c r="R604" s="23" t="inlineStr"/>
      <c r="S604" s="23" t="inlineStr"/>
      <c r="T604" s="23" t="inlineStr"/>
      <c r="U604" s="23" t="inlineStr"/>
      <c r="V604" s="23" t="inlineStr">
        <is>
          <t>WBS Code = 1.3.1</t>
        </is>
      </c>
      <c r="W604" s="23" t="inlineStr"/>
    </row>
    <row r="605" ht="49" customHeight="1">
      <c r="A605" s="23" t="inlineStr">
        <is>
          <t>1.3.1</t>
        </is>
      </c>
      <c r="B605" s="23" t="inlineStr">
        <is>
          <t>Systems - Traction Power</t>
        </is>
      </c>
      <c r="C605" s="23" t="inlineStr">
        <is>
          <t>Contractor Programme</t>
        </is>
      </c>
      <c r="D605" s="23" t="inlineStr">
        <is>
          <t>SCH-03-077</t>
        </is>
      </c>
      <c r="E605" s="23" t="inlineStr">
        <is>
          <t>Control Centre: fibre backbone termination - release</t>
        </is>
      </c>
      <c r="F605" s="23" t="inlineStr">
        <is>
          <t>ONE_TO_ONE</t>
        </is>
      </c>
      <c r="G605" s="23" t="inlineStr">
        <is>
          <t>RETAINED</t>
        </is>
      </c>
      <c r="H605" s="23" t="inlineStr">
        <is>
          <t>Carried forward</t>
        </is>
      </c>
      <c r="I605" s="23" t="inlineStr">
        <is>
          <t>Source assignment -- not individually reviewed</t>
        </is>
      </c>
      <c r="J605" s="23" t="inlineStr"/>
      <c r="K605" s="23" t="inlineStr">
        <is>
          <t>Source assignment</t>
        </is>
      </c>
      <c r="L605" s="23" t="inlineStr"/>
      <c r="M605" s="23" t="inlineStr">
        <is>
          <t>Contractor Programme Cycle 2</t>
        </is>
      </c>
      <c r="N605" s="23" t="inlineStr">
        <is>
          <t>Rev 1</t>
        </is>
      </c>
      <c r="O605" s="23" t="inlineStr">
        <is>
          <t>R437-v2</t>
        </is>
      </c>
      <c r="P605" s="23" t="inlineStr"/>
      <c r="Q605" s="23" t="inlineStr"/>
      <c r="R605" s="23" t="inlineStr"/>
      <c r="S605" s="23" t="inlineStr"/>
      <c r="T605" s="23" t="inlineStr"/>
      <c r="U605" s="23" t="inlineStr"/>
      <c r="V605" s="23" t="inlineStr">
        <is>
          <t>WBS Code = 1.3.1</t>
        </is>
      </c>
      <c r="W605" s="23" t="inlineStr"/>
    </row>
    <row r="606" ht="49" customHeight="1">
      <c r="A606" s="23" t="inlineStr">
        <is>
          <t>1.3.1</t>
        </is>
      </c>
      <c r="B606" s="23" t="inlineStr">
        <is>
          <t>Systems - Traction Power</t>
        </is>
      </c>
      <c r="C606" s="23" t="inlineStr">
        <is>
          <t>Contractor Programme</t>
        </is>
      </c>
      <c r="D606" s="23" t="inlineStr">
        <is>
          <t>SCH-03-079</t>
        </is>
      </c>
      <c r="E606" s="23" t="inlineStr">
        <is>
          <t>East substation: traction-power feeder pull - installation</t>
        </is>
      </c>
      <c r="F606" s="23" t="inlineStr">
        <is>
          <t>ONE_TO_ONE</t>
        </is>
      </c>
      <c r="G606" s="23" t="inlineStr">
        <is>
          <t>RETAINED</t>
        </is>
      </c>
      <c r="H606" s="23" t="inlineStr">
        <is>
          <t>Carried forward</t>
        </is>
      </c>
      <c r="I606" s="23" t="inlineStr">
        <is>
          <t>Source assignment -- not individually reviewed</t>
        </is>
      </c>
      <c r="J606" s="23" t="inlineStr"/>
      <c r="K606" s="23" t="inlineStr">
        <is>
          <t>Source assignment</t>
        </is>
      </c>
      <c r="L606" s="23" t="inlineStr"/>
      <c r="M606" s="23" t="inlineStr">
        <is>
          <t>Contractor Programme Cycle 2</t>
        </is>
      </c>
      <c r="N606" s="23" t="inlineStr">
        <is>
          <t>Rev 1</t>
        </is>
      </c>
      <c r="O606" s="23" t="inlineStr">
        <is>
          <t>R439-v2</t>
        </is>
      </c>
      <c r="P606" s="23" t="inlineStr"/>
      <c r="Q606" s="23" t="inlineStr"/>
      <c r="R606" s="23" t="inlineStr"/>
      <c r="S606" s="23" t="inlineStr"/>
      <c r="T606" s="23" t="inlineStr"/>
      <c r="U606" s="23" t="inlineStr"/>
      <c r="V606" s="23" t="inlineStr">
        <is>
          <t>WBS Code = 1.3.1</t>
        </is>
      </c>
      <c r="W606" s="23" t="inlineStr"/>
    </row>
    <row r="607" ht="49" customHeight="1">
      <c r="A607" s="23" t="inlineStr">
        <is>
          <t>1.3.1</t>
        </is>
      </c>
      <c r="B607" s="23" t="inlineStr">
        <is>
          <t>Systems - Traction Power</t>
        </is>
      </c>
      <c r="C607" s="23" t="inlineStr">
        <is>
          <t>Contractor Programme</t>
        </is>
      </c>
      <c r="D607" s="23" t="inlineStr">
        <is>
          <t>SCH-03-080</t>
        </is>
      </c>
      <c r="E607" s="23" t="inlineStr">
        <is>
          <t>Central interlocking: train-control cabinet fit-out - inspection</t>
        </is>
      </c>
      <c r="F607" s="23" t="inlineStr">
        <is>
          <t>ONE_TO_ONE</t>
        </is>
      </c>
      <c r="G607" s="23" t="inlineStr">
        <is>
          <t>RETAINED</t>
        </is>
      </c>
      <c r="H607" s="23" t="inlineStr">
        <is>
          <t>Carried forward</t>
        </is>
      </c>
      <c r="I607" s="23" t="inlineStr">
        <is>
          <t>Source assignment -- not individually reviewed</t>
        </is>
      </c>
      <c r="J607" s="23" t="inlineStr"/>
      <c r="K607" s="23" t="inlineStr">
        <is>
          <t>Source assignment</t>
        </is>
      </c>
      <c r="L607" s="23" t="inlineStr"/>
      <c r="M607" s="23" t="inlineStr">
        <is>
          <t>Contractor Programme Cycle 2</t>
        </is>
      </c>
      <c r="N607" s="23" t="inlineStr">
        <is>
          <t>Rev 1</t>
        </is>
      </c>
      <c r="O607" s="23" t="inlineStr">
        <is>
          <t>R440-v2</t>
        </is>
      </c>
      <c r="P607" s="23" t="inlineStr"/>
      <c r="Q607" s="23" t="inlineStr"/>
      <c r="R607" s="23" t="inlineStr"/>
      <c r="S607" s="23" t="inlineStr"/>
      <c r="T607" s="23" t="inlineStr"/>
      <c r="U607" s="23" t="inlineStr"/>
      <c r="V607" s="23" t="inlineStr">
        <is>
          <t>WBS Code = 1.3.1</t>
        </is>
      </c>
      <c r="W607" s="23" t="inlineStr"/>
    </row>
    <row r="608" ht="49" customHeight="1">
      <c r="A608" s="23" t="inlineStr">
        <is>
          <t>1.3.1</t>
        </is>
      </c>
      <c r="B608" s="23" t="inlineStr">
        <is>
          <t>Systems - Traction Power</t>
        </is>
      </c>
      <c r="C608" s="23" t="inlineStr">
        <is>
          <t>Contractor Programme</t>
        </is>
      </c>
      <c r="D608" s="23" t="inlineStr">
        <is>
          <t>SCH-03-082</t>
        </is>
      </c>
      <c r="E608" s="23" t="inlineStr">
        <is>
          <t>Control Centre: signal equipment installation - release</t>
        </is>
      </c>
      <c r="F608" s="23" t="inlineStr">
        <is>
          <t>ONE_TO_ONE</t>
        </is>
      </c>
      <c r="G608" s="23" t="inlineStr">
        <is>
          <t>RETAINED</t>
        </is>
      </c>
      <c r="H608" s="23" t="inlineStr">
        <is>
          <t>Carried forward</t>
        </is>
      </c>
      <c r="I608" s="23" t="inlineStr">
        <is>
          <t>Source assignment -- not individually reviewed</t>
        </is>
      </c>
      <c r="J608" s="23" t="inlineStr"/>
      <c r="K608" s="23" t="inlineStr">
        <is>
          <t>Source assignment</t>
        </is>
      </c>
      <c r="L608" s="23" t="inlineStr"/>
      <c r="M608" s="23" t="inlineStr">
        <is>
          <t>Contractor Programme Cycle 2</t>
        </is>
      </c>
      <c r="N608" s="23" t="inlineStr">
        <is>
          <t>Rev 1</t>
        </is>
      </c>
      <c r="O608" s="23" t="inlineStr">
        <is>
          <t>R442-v2</t>
        </is>
      </c>
      <c r="P608" s="23" t="inlineStr"/>
      <c r="Q608" s="23" t="inlineStr"/>
      <c r="R608" s="23" t="inlineStr"/>
      <c r="S608" s="23" t="inlineStr"/>
      <c r="T608" s="23" t="inlineStr"/>
      <c r="U608" s="23" t="inlineStr"/>
      <c r="V608" s="23" t="inlineStr">
        <is>
          <t>WBS Code = 1.3.1</t>
        </is>
      </c>
      <c r="W608" s="23" t="inlineStr"/>
    </row>
    <row r="609" ht="49" customHeight="1">
      <c r="A609" s="23" t="inlineStr">
        <is>
          <t>1.3.1</t>
        </is>
      </c>
      <c r="B609" s="23" t="inlineStr">
        <is>
          <t>Systems - Traction Power</t>
        </is>
      </c>
      <c r="C609" s="23" t="inlineStr">
        <is>
          <t>Contractor Programme</t>
        </is>
      </c>
      <c r="D609" s="23" t="inlineStr">
        <is>
          <t>SCH-03-083</t>
        </is>
      </c>
      <c r="E609" s="23" t="inlineStr">
        <is>
          <t>West wayside: radio equipment installation - field start</t>
        </is>
      </c>
      <c r="F609" s="23" t="inlineStr">
        <is>
          <t>ONE_TO_ONE</t>
        </is>
      </c>
      <c r="G609" s="23" t="inlineStr">
        <is>
          <t>RETAINED</t>
        </is>
      </c>
      <c r="H609" s="23" t="inlineStr">
        <is>
          <t>Carried forward</t>
        </is>
      </c>
      <c r="I609" s="23" t="inlineStr">
        <is>
          <t>Source assignment -- not individually reviewed</t>
        </is>
      </c>
      <c r="J609" s="23" t="inlineStr"/>
      <c r="K609" s="23" t="inlineStr">
        <is>
          <t>Source assignment</t>
        </is>
      </c>
      <c r="L609" s="23" t="inlineStr"/>
      <c r="M609" s="23" t="inlineStr">
        <is>
          <t>Contractor Programme Cycle 2</t>
        </is>
      </c>
      <c r="N609" s="23" t="inlineStr">
        <is>
          <t>Rev 1</t>
        </is>
      </c>
      <c r="O609" s="23" t="inlineStr">
        <is>
          <t>R443-v2</t>
        </is>
      </c>
      <c r="P609" s="23" t="inlineStr"/>
      <c r="Q609" s="23" t="inlineStr"/>
      <c r="R609" s="23" t="inlineStr"/>
      <c r="S609" s="23" t="inlineStr"/>
      <c r="T609" s="23" t="inlineStr"/>
      <c r="U609" s="23" t="inlineStr"/>
      <c r="V609" s="23" t="inlineStr">
        <is>
          <t>WBS Code = 1.3.1</t>
        </is>
      </c>
      <c r="W609" s="23" t="inlineStr"/>
    </row>
    <row r="610" ht="49" customHeight="1">
      <c r="A610" s="23" t="inlineStr">
        <is>
          <t>1.3.1</t>
        </is>
      </c>
      <c r="B610" s="23" t="inlineStr">
        <is>
          <t>Systems - Traction Power</t>
        </is>
      </c>
      <c r="C610" s="23" t="inlineStr">
        <is>
          <t>Contractor Programme</t>
        </is>
      </c>
      <c r="D610" s="23" t="inlineStr">
        <is>
          <t>SCH-03-085</t>
        </is>
      </c>
      <c r="E610" s="23" t="inlineStr">
        <is>
          <t>Central interlocking: fibre backbone termination - inspection</t>
        </is>
      </c>
      <c r="F610" s="23" t="inlineStr">
        <is>
          <t>ONE_TO_ONE</t>
        </is>
      </c>
      <c r="G610" s="23" t="inlineStr">
        <is>
          <t>RETAINED</t>
        </is>
      </c>
      <c r="H610" s="23" t="inlineStr">
        <is>
          <t>Carried forward</t>
        </is>
      </c>
      <c r="I610" s="23" t="inlineStr">
        <is>
          <t>Source assignment -- not individually reviewed</t>
        </is>
      </c>
      <c r="J610" s="23" t="inlineStr"/>
      <c r="K610" s="23" t="inlineStr">
        <is>
          <t>Source assignment</t>
        </is>
      </c>
      <c r="L610" s="23" t="inlineStr"/>
      <c r="M610" s="23" t="inlineStr">
        <is>
          <t>Contractor Programme Cycle 2</t>
        </is>
      </c>
      <c r="N610" s="23" t="inlineStr">
        <is>
          <t>Rev 1</t>
        </is>
      </c>
      <c r="O610" s="23" t="inlineStr">
        <is>
          <t>R445-v2</t>
        </is>
      </c>
      <c r="P610" s="23" t="inlineStr"/>
      <c r="Q610" s="23" t="inlineStr"/>
      <c r="R610" s="23" t="inlineStr"/>
      <c r="S610" s="23" t="inlineStr"/>
      <c r="T610" s="23" t="inlineStr"/>
      <c r="U610" s="23" t="inlineStr"/>
      <c r="V610" s="23" t="inlineStr">
        <is>
          <t>WBS Code = 1.3.1</t>
        </is>
      </c>
      <c r="W610" s="23" t="inlineStr"/>
    </row>
    <row r="611" ht="49" customHeight="1">
      <c r="A611" s="23" t="inlineStr">
        <is>
          <t>1.3.1</t>
        </is>
      </c>
      <c r="B611" s="23" t="inlineStr">
        <is>
          <t>Systems - Traction Power</t>
        </is>
      </c>
      <c r="C611" s="23" t="inlineStr">
        <is>
          <t>Contractor Programme</t>
        </is>
      </c>
      <c r="D611" s="23" t="inlineStr">
        <is>
          <t>SCH-03-086</t>
        </is>
      </c>
      <c r="E611" s="23" t="inlineStr">
        <is>
          <t>Harbour Station: SCADA point-to-point check - turnover</t>
        </is>
      </c>
      <c r="F611" s="23" t="inlineStr">
        <is>
          <t>ONE_TO_ONE</t>
        </is>
      </c>
      <c r="G611" s="23" t="inlineStr">
        <is>
          <t>RETAINED</t>
        </is>
      </c>
      <c r="H611" s="23" t="inlineStr">
        <is>
          <t>Carried forward</t>
        </is>
      </c>
      <c r="I611" s="23" t="inlineStr">
        <is>
          <t>Source assignment -- not individually reviewed</t>
        </is>
      </c>
      <c r="J611" s="23" t="inlineStr"/>
      <c r="K611" s="23" t="inlineStr">
        <is>
          <t>Source assignment</t>
        </is>
      </c>
      <c r="L611" s="23" t="inlineStr"/>
      <c r="M611" s="23" t="inlineStr">
        <is>
          <t>Contractor Programme Cycle 2</t>
        </is>
      </c>
      <c r="N611" s="23" t="inlineStr">
        <is>
          <t>Rev 1</t>
        </is>
      </c>
      <c r="O611" s="23" t="inlineStr">
        <is>
          <t>R446-v2</t>
        </is>
      </c>
      <c r="P611" s="23" t="inlineStr"/>
      <c r="Q611" s="23" t="inlineStr"/>
      <c r="R611" s="23" t="inlineStr"/>
      <c r="S611" s="23" t="inlineStr"/>
      <c r="T611" s="23" t="inlineStr"/>
      <c r="U611" s="23" t="inlineStr"/>
      <c r="V611" s="23" t="inlineStr">
        <is>
          <t>WBS Code = 1.3.1</t>
        </is>
      </c>
      <c r="W611" s="23" t="inlineStr"/>
    </row>
    <row r="612" ht="49" customHeight="1">
      <c r="A612" s="23" t="inlineStr">
        <is>
          <t>1.3.1</t>
        </is>
      </c>
      <c r="B612" s="23" t="inlineStr">
        <is>
          <t>Systems - Traction Power</t>
        </is>
      </c>
      <c r="C612" s="23" t="inlineStr">
        <is>
          <t>Contractor Programme</t>
        </is>
      </c>
      <c r="D612" s="23" t="inlineStr">
        <is>
          <t>SCH-03-088</t>
        </is>
      </c>
      <c r="E612" s="23" t="inlineStr">
        <is>
          <t>West wayside: train-control cabinet fit-out - field start</t>
        </is>
      </c>
      <c r="F612" s="23" t="inlineStr">
        <is>
          <t>ONE_TO_ONE</t>
        </is>
      </c>
      <c r="G612" s="23" t="inlineStr">
        <is>
          <t>RETAINED</t>
        </is>
      </c>
      <c r="H612" s="23" t="inlineStr">
        <is>
          <t>Carried forward</t>
        </is>
      </c>
      <c r="I612" s="23" t="inlineStr">
        <is>
          <t>Source assignment -- not individually reviewed</t>
        </is>
      </c>
      <c r="J612" s="23" t="inlineStr"/>
      <c r="K612" s="23" t="inlineStr">
        <is>
          <t>Source assignment</t>
        </is>
      </c>
      <c r="L612" s="23" t="inlineStr"/>
      <c r="M612" s="23" t="inlineStr">
        <is>
          <t>Contractor Programme Cycle 2</t>
        </is>
      </c>
      <c r="N612" s="23" t="inlineStr">
        <is>
          <t>Rev 1</t>
        </is>
      </c>
      <c r="O612" s="23" t="inlineStr">
        <is>
          <t>R448-v2</t>
        </is>
      </c>
      <c r="P612" s="23" t="inlineStr"/>
      <c r="Q612" s="23" t="inlineStr"/>
      <c r="R612" s="23" t="inlineStr"/>
      <c r="S612" s="23" t="inlineStr"/>
      <c r="T612" s="23" t="inlineStr"/>
      <c r="U612" s="23" t="inlineStr"/>
      <c r="V612" s="23" t="inlineStr">
        <is>
          <t>WBS Code = 1.3.1</t>
        </is>
      </c>
      <c r="W612" s="23" t="inlineStr"/>
    </row>
    <row r="613" ht="49" customHeight="1">
      <c r="A613" s="23" t="inlineStr">
        <is>
          <t>1.3.1</t>
        </is>
      </c>
      <c r="B613" s="23" t="inlineStr">
        <is>
          <t>Systems - Traction Power</t>
        </is>
      </c>
      <c r="C613" s="23" t="inlineStr">
        <is>
          <t>Contractor Programme</t>
        </is>
      </c>
      <c r="D613" s="23" t="inlineStr">
        <is>
          <t>SCH-03-089</t>
        </is>
      </c>
      <c r="E613" s="23" t="inlineStr">
        <is>
          <t>East substation: wayside interface test - installation</t>
        </is>
      </c>
      <c r="F613" s="23" t="inlineStr">
        <is>
          <t>ONE_TO_ONE</t>
        </is>
      </c>
      <c r="G613" s="23" t="inlineStr">
        <is>
          <t>RETAINED</t>
        </is>
      </c>
      <c r="H613" s="23" t="inlineStr">
        <is>
          <t>Carried forward</t>
        </is>
      </c>
      <c r="I613" s="23" t="inlineStr">
        <is>
          <t>Source assignment -- not individually reviewed</t>
        </is>
      </c>
      <c r="J613" s="23" t="inlineStr"/>
      <c r="K613" s="23" t="inlineStr">
        <is>
          <t>Source assignment</t>
        </is>
      </c>
      <c r="L613" s="23" t="inlineStr"/>
      <c r="M613" s="23" t="inlineStr">
        <is>
          <t>Contractor Programme Cycle 2</t>
        </is>
      </c>
      <c r="N613" s="23" t="inlineStr">
        <is>
          <t>Rev 1</t>
        </is>
      </c>
      <c r="O613" s="23" t="inlineStr">
        <is>
          <t>R449-v2</t>
        </is>
      </c>
      <c r="P613" s="23" t="inlineStr"/>
      <c r="Q613" s="23" t="inlineStr"/>
      <c r="R613" s="23" t="inlineStr"/>
      <c r="S613" s="23" t="inlineStr"/>
      <c r="T613" s="23" t="inlineStr"/>
      <c r="U613" s="23" t="inlineStr"/>
      <c r="V613" s="23" t="inlineStr">
        <is>
          <t>WBS Code = 1.3.1</t>
        </is>
      </c>
      <c r="W613" s="23" t="inlineStr"/>
    </row>
    <row r="614" ht="49" customHeight="1">
      <c r="A614" s="23" t="inlineStr">
        <is>
          <t>1.3.1</t>
        </is>
      </c>
      <c r="B614" s="23" t="inlineStr">
        <is>
          <t>Systems - Traction Power</t>
        </is>
      </c>
      <c r="C614" s="23" t="inlineStr">
        <is>
          <t>Contractor Programme</t>
        </is>
      </c>
      <c r="D614" s="23" t="inlineStr">
        <is>
          <t>SCH-03-091</t>
        </is>
      </c>
      <c r="E614" s="23" t="inlineStr">
        <is>
          <t>Harbour Station: radio equipment installation - turnover</t>
        </is>
      </c>
      <c r="F614" s="23" t="inlineStr">
        <is>
          <t>ONE_TO_ONE</t>
        </is>
      </c>
      <c r="G614" s="23" t="inlineStr">
        <is>
          <t>RETAINED</t>
        </is>
      </c>
      <c r="H614" s="23" t="inlineStr">
        <is>
          <t>Carried forward</t>
        </is>
      </c>
      <c r="I614" s="23" t="inlineStr">
        <is>
          <t>Source assignment -- not individually reviewed</t>
        </is>
      </c>
      <c r="J614" s="23" t="inlineStr"/>
      <c r="K614" s="23" t="inlineStr">
        <is>
          <t>Source assignment</t>
        </is>
      </c>
      <c r="L614" s="23" t="inlineStr"/>
      <c r="M614" s="23" t="inlineStr">
        <is>
          <t>Contractor Programme Cycle 2</t>
        </is>
      </c>
      <c r="N614" s="23" t="inlineStr">
        <is>
          <t>Rev 1</t>
        </is>
      </c>
      <c r="O614" s="23" t="inlineStr">
        <is>
          <t>R451-v2</t>
        </is>
      </c>
      <c r="P614" s="23" t="inlineStr"/>
      <c r="Q614" s="23" t="inlineStr"/>
      <c r="R614" s="23" t="inlineStr"/>
      <c r="S614" s="23" t="inlineStr"/>
      <c r="T614" s="23" t="inlineStr"/>
      <c r="U614" s="23" t="inlineStr"/>
      <c r="V614" s="23" t="inlineStr">
        <is>
          <t>WBS Code = 1.3.1</t>
        </is>
      </c>
      <c r="W614" s="23" t="inlineStr"/>
    </row>
    <row r="615" ht="49" customHeight="1">
      <c r="A615" s="23" t="inlineStr">
        <is>
          <t>1.3.1</t>
        </is>
      </c>
      <c r="B615" s="23" t="inlineStr">
        <is>
          <t>Systems - Traction Power</t>
        </is>
      </c>
      <c r="C615" s="23" t="inlineStr">
        <is>
          <t>Contractor Programme</t>
        </is>
      </c>
      <c r="D615" s="23" t="inlineStr">
        <is>
          <t>SCH-03-092</t>
        </is>
      </c>
      <c r="E615" s="23" t="inlineStr">
        <is>
          <t>Control Centre: control-centre integration - release</t>
        </is>
      </c>
      <c r="F615" s="23" t="inlineStr">
        <is>
          <t>ONE_TO_ONE</t>
        </is>
      </c>
      <c r="G615" s="23" t="inlineStr">
        <is>
          <t>RETAINED</t>
        </is>
      </c>
      <c r="H615" s="23" t="inlineStr">
        <is>
          <t>Carried forward</t>
        </is>
      </c>
      <c r="I615" s="23" t="inlineStr">
        <is>
          <t>Source assignment -- not individually reviewed</t>
        </is>
      </c>
      <c r="J615" s="23" t="inlineStr"/>
      <c r="K615" s="23" t="inlineStr">
        <is>
          <t>Source assignment</t>
        </is>
      </c>
      <c r="L615" s="23" t="inlineStr"/>
      <c r="M615" s="23" t="inlineStr">
        <is>
          <t>Contractor Programme Cycle 2</t>
        </is>
      </c>
      <c r="N615" s="23" t="inlineStr">
        <is>
          <t>Rev 1</t>
        </is>
      </c>
      <c r="O615" s="23" t="inlineStr">
        <is>
          <t>R452-v2</t>
        </is>
      </c>
      <c r="P615" s="23" t="inlineStr"/>
      <c r="Q615" s="23" t="inlineStr"/>
      <c r="R615" s="23" t="inlineStr"/>
      <c r="S615" s="23" t="inlineStr"/>
      <c r="T615" s="23" t="inlineStr"/>
      <c r="U615" s="23" t="inlineStr"/>
      <c r="V615" s="23" t="inlineStr">
        <is>
          <t>WBS Code = 1.3.1</t>
        </is>
      </c>
      <c r="W615" s="23" t="inlineStr"/>
    </row>
    <row r="616" ht="49" customHeight="1">
      <c r="A616" s="23" t="inlineStr">
        <is>
          <t>1.3.1</t>
        </is>
      </c>
      <c r="B616" s="23" t="inlineStr">
        <is>
          <t>Systems - Traction Power</t>
        </is>
      </c>
      <c r="C616" s="23" t="inlineStr">
        <is>
          <t>Contractor Programme</t>
        </is>
      </c>
      <c r="D616" s="23" t="inlineStr">
        <is>
          <t>SCH-03-094</t>
        </is>
      </c>
      <c r="E616" s="23" t="inlineStr">
        <is>
          <t>East substation: SCADA point-to-point check - installation</t>
        </is>
      </c>
      <c r="F616" s="23" t="inlineStr">
        <is>
          <t>ONE_TO_ONE</t>
        </is>
      </c>
      <c r="G616" s="23" t="inlineStr">
        <is>
          <t>RETAINED</t>
        </is>
      </c>
      <c r="H616" s="23" t="inlineStr">
        <is>
          <t>Carried forward</t>
        </is>
      </c>
      <c r="I616" s="23" t="inlineStr">
        <is>
          <t>Source assignment -- not individually reviewed</t>
        </is>
      </c>
      <c r="J616" s="23" t="inlineStr"/>
      <c r="K616" s="23" t="inlineStr">
        <is>
          <t>Source assignment</t>
        </is>
      </c>
      <c r="L616" s="23" t="inlineStr"/>
      <c r="M616" s="23" t="inlineStr">
        <is>
          <t>Contractor Programme Cycle 2</t>
        </is>
      </c>
      <c r="N616" s="23" t="inlineStr">
        <is>
          <t>Rev 1</t>
        </is>
      </c>
      <c r="O616" s="23" t="inlineStr">
        <is>
          <t>R454-v2</t>
        </is>
      </c>
      <c r="P616" s="23" t="inlineStr"/>
      <c r="Q616" s="23" t="inlineStr"/>
      <c r="R616" s="23" t="inlineStr"/>
      <c r="S616" s="23" t="inlineStr"/>
      <c r="T616" s="23" t="inlineStr"/>
      <c r="U616" s="23" t="inlineStr"/>
      <c r="V616" s="23" t="inlineStr">
        <is>
          <t>WBS Code = 1.3.1</t>
        </is>
      </c>
      <c r="W616" s="23" t="inlineStr"/>
    </row>
    <row r="617" ht="49" customHeight="1">
      <c r="A617" s="23" t="inlineStr">
        <is>
          <t>1.3.1</t>
        </is>
      </c>
      <c r="B617" s="23" t="inlineStr">
        <is>
          <t>Systems - Traction Power</t>
        </is>
      </c>
      <c r="C617" s="23" t="inlineStr">
        <is>
          <t>Contractor Programme</t>
        </is>
      </c>
      <c r="D617" s="23" t="inlineStr">
        <is>
          <t>SCH-03-095</t>
        </is>
      </c>
      <c r="E617" s="23" t="inlineStr">
        <is>
          <t>Central interlocking: traction-power feeder pull - inspection</t>
        </is>
      </c>
      <c r="F617" s="23" t="inlineStr">
        <is>
          <t>ONE_TO_ONE</t>
        </is>
      </c>
      <c r="G617" s="23" t="inlineStr">
        <is>
          <t>RETAINED</t>
        </is>
      </c>
      <c r="H617" s="23" t="inlineStr">
        <is>
          <t>Carried forward</t>
        </is>
      </c>
      <c r="I617" s="23" t="inlineStr">
        <is>
          <t>Source assignment -- not individually reviewed</t>
        </is>
      </c>
      <c r="J617" s="23" t="inlineStr"/>
      <c r="K617" s="23" t="inlineStr">
        <is>
          <t>Source assignment</t>
        </is>
      </c>
      <c r="L617" s="23" t="inlineStr"/>
      <c r="M617" s="23" t="inlineStr">
        <is>
          <t>Contractor Programme Cycle 2</t>
        </is>
      </c>
      <c r="N617" s="23" t="inlineStr">
        <is>
          <t>Rev 1</t>
        </is>
      </c>
      <c r="O617" s="23" t="inlineStr">
        <is>
          <t>R455-v2</t>
        </is>
      </c>
      <c r="P617" s="23" t="inlineStr"/>
      <c r="Q617" s="23" t="inlineStr"/>
      <c r="R617" s="23" t="inlineStr"/>
      <c r="S617" s="23" t="inlineStr"/>
      <c r="T617" s="23" t="inlineStr"/>
      <c r="U617" s="23" t="inlineStr"/>
      <c r="V617" s="23" t="inlineStr">
        <is>
          <t>WBS Code = 1.3.1</t>
        </is>
      </c>
      <c r="W617" s="23" t="inlineStr"/>
    </row>
    <row r="618" ht="49" customHeight="1">
      <c r="A618" s="23" t="inlineStr">
        <is>
          <t>1.3.1</t>
        </is>
      </c>
      <c r="B618" s="23" t="inlineStr">
        <is>
          <t>Systems - Traction Power</t>
        </is>
      </c>
      <c r="C618" s="23" t="inlineStr">
        <is>
          <t>Contractor Programme</t>
        </is>
      </c>
      <c r="D618" s="23" t="inlineStr">
        <is>
          <t>SCH-03-097</t>
        </is>
      </c>
      <c r="E618" s="23" t="inlineStr">
        <is>
          <t>Control Centre: wayside interface test - release</t>
        </is>
      </c>
      <c r="F618" s="23" t="inlineStr">
        <is>
          <t>ONE_TO_ONE</t>
        </is>
      </c>
      <c r="G618" s="23" t="inlineStr">
        <is>
          <t>RETAINED</t>
        </is>
      </c>
      <c r="H618" s="23" t="inlineStr">
        <is>
          <t>Carried forward</t>
        </is>
      </c>
      <c r="I618" s="23" t="inlineStr">
        <is>
          <t>Source assignment -- not individually reviewed</t>
        </is>
      </c>
      <c r="J618" s="23" t="inlineStr"/>
      <c r="K618" s="23" t="inlineStr">
        <is>
          <t>Source assignment</t>
        </is>
      </c>
      <c r="L618" s="23" t="inlineStr"/>
      <c r="M618" s="23" t="inlineStr">
        <is>
          <t>Contractor Programme Cycle 2</t>
        </is>
      </c>
      <c r="N618" s="23" t="inlineStr">
        <is>
          <t>Rev 1</t>
        </is>
      </c>
      <c r="O618" s="23" t="inlineStr">
        <is>
          <t>R457-v2</t>
        </is>
      </c>
      <c r="P618" s="23" t="inlineStr"/>
      <c r="Q618" s="23" t="inlineStr"/>
      <c r="R618" s="23" t="inlineStr"/>
      <c r="S618" s="23" t="inlineStr"/>
      <c r="T618" s="23" t="inlineStr"/>
      <c r="U618" s="23" t="inlineStr"/>
      <c r="V618" s="23" t="inlineStr">
        <is>
          <t>WBS Code = 1.3.1</t>
        </is>
      </c>
      <c r="W618" s="23" t="inlineStr"/>
    </row>
    <row r="619" ht="49" customHeight="1">
      <c r="A619" s="23" t="inlineStr">
        <is>
          <t>1.3.1</t>
        </is>
      </c>
      <c r="B619" s="23" t="inlineStr">
        <is>
          <t>Systems - Traction Power</t>
        </is>
      </c>
      <c r="C619" s="23" t="inlineStr">
        <is>
          <t>Contractor Programme</t>
        </is>
      </c>
      <c r="D619" s="23" t="inlineStr">
        <is>
          <t>SCH-03-098</t>
        </is>
      </c>
      <c r="E619" s="23" t="inlineStr">
        <is>
          <t>West wayside: signal equipment installation - field start</t>
        </is>
      </c>
      <c r="F619" s="23" t="inlineStr">
        <is>
          <t>ONE_TO_ONE</t>
        </is>
      </c>
      <c r="G619" s="23" t="inlineStr">
        <is>
          <t>RETAINED</t>
        </is>
      </c>
      <c r="H619" s="23" t="inlineStr">
        <is>
          <t>Carried forward</t>
        </is>
      </c>
      <c r="I619" s="23" t="inlineStr">
        <is>
          <t>Source assignment -- not individually reviewed</t>
        </is>
      </c>
      <c r="J619" s="23" t="inlineStr"/>
      <c r="K619" s="23" t="inlineStr">
        <is>
          <t>Source assignment</t>
        </is>
      </c>
      <c r="L619" s="23" t="inlineStr"/>
      <c r="M619" s="23" t="inlineStr">
        <is>
          <t>Contractor Programme Cycle 2</t>
        </is>
      </c>
      <c r="N619" s="23" t="inlineStr">
        <is>
          <t>Rev 1</t>
        </is>
      </c>
      <c r="O619" s="23" t="inlineStr">
        <is>
          <t>R458-v2</t>
        </is>
      </c>
      <c r="P619" s="23" t="inlineStr"/>
      <c r="Q619" s="23" t="inlineStr"/>
      <c r="R619" s="23" t="inlineStr"/>
      <c r="S619" s="23" t="inlineStr"/>
      <c r="T619" s="23" t="inlineStr"/>
      <c r="U619" s="23" t="inlineStr"/>
      <c r="V619" s="23" t="inlineStr">
        <is>
          <t>WBS Code = 1.3.1</t>
        </is>
      </c>
      <c r="W619" s="23" t="inlineStr"/>
    </row>
    <row r="620" ht="49" customHeight="1">
      <c r="A620" s="23" t="inlineStr">
        <is>
          <t>1.3.1</t>
        </is>
      </c>
      <c r="B620" s="23" t="inlineStr">
        <is>
          <t>Systems - Traction Power</t>
        </is>
      </c>
      <c r="C620" s="23" t="inlineStr">
        <is>
          <t>Contractor Programme</t>
        </is>
      </c>
      <c r="D620" s="23" t="inlineStr">
        <is>
          <t>SCH-03-100</t>
        </is>
      </c>
      <c r="E620" s="23" t="inlineStr">
        <is>
          <t>Central interlocking: control-centre integration - inspection</t>
        </is>
      </c>
      <c r="F620" s="23" t="inlineStr">
        <is>
          <t>ONE_TO_ONE</t>
        </is>
      </c>
      <c r="G620" s="23" t="inlineStr">
        <is>
          <t>RETAINED</t>
        </is>
      </c>
      <c r="H620" s="23" t="inlineStr">
        <is>
          <t>Carried forward</t>
        </is>
      </c>
      <c r="I620" s="23" t="inlineStr">
        <is>
          <t>Source assignment -- not individually reviewed</t>
        </is>
      </c>
      <c r="J620" s="23" t="inlineStr"/>
      <c r="K620" s="23" t="inlineStr">
        <is>
          <t>Source assignment</t>
        </is>
      </c>
      <c r="L620" s="23" t="inlineStr"/>
      <c r="M620" s="23" t="inlineStr">
        <is>
          <t>Contractor Programme Cycle 2</t>
        </is>
      </c>
      <c r="N620" s="23" t="inlineStr">
        <is>
          <t>Rev 1</t>
        </is>
      </c>
      <c r="O620" s="23" t="inlineStr">
        <is>
          <t>R460-v2</t>
        </is>
      </c>
      <c r="P620" s="23" t="inlineStr"/>
      <c r="Q620" s="23" t="inlineStr"/>
      <c r="R620" s="23" t="inlineStr"/>
      <c r="S620" s="23" t="inlineStr"/>
      <c r="T620" s="23" t="inlineStr"/>
      <c r="U620" s="23" t="inlineStr"/>
      <c r="V620" s="23" t="inlineStr">
        <is>
          <t>WBS Code = 1.3.1</t>
        </is>
      </c>
      <c r="W620" s="23" t="inlineStr"/>
    </row>
    <row r="621" ht="49" customHeight="1">
      <c r="A621" s="23" t="inlineStr">
        <is>
          <t>1.3.1</t>
        </is>
      </c>
      <c r="B621" s="23" t="inlineStr">
        <is>
          <t>Systems - Traction Power</t>
        </is>
      </c>
      <c r="C621" s="23" t="inlineStr">
        <is>
          <t>Contractor Programme</t>
        </is>
      </c>
      <c r="D621" s="23" t="inlineStr">
        <is>
          <t>SCH-03-101</t>
        </is>
      </c>
      <c r="E621" s="23" t="inlineStr">
        <is>
          <t>Harbour Station: fibre backbone termination - turnover</t>
        </is>
      </c>
      <c r="F621" s="23" t="inlineStr">
        <is>
          <t>ONE_TO_ONE</t>
        </is>
      </c>
      <c r="G621" s="23" t="inlineStr">
        <is>
          <t>RETAINED</t>
        </is>
      </c>
      <c r="H621" s="23" t="inlineStr">
        <is>
          <t>Carried forward</t>
        </is>
      </c>
      <c r="I621" s="23" t="inlineStr">
        <is>
          <t>Source assignment -- not individually reviewed</t>
        </is>
      </c>
      <c r="J621" s="23" t="inlineStr"/>
      <c r="K621" s="23" t="inlineStr">
        <is>
          <t>Source assignment</t>
        </is>
      </c>
      <c r="L621" s="23" t="inlineStr"/>
      <c r="M621" s="23" t="inlineStr">
        <is>
          <t>Contractor Programme Cycle 2</t>
        </is>
      </c>
      <c r="N621" s="23" t="inlineStr">
        <is>
          <t>Rev 1</t>
        </is>
      </c>
      <c r="O621" s="23" t="inlineStr">
        <is>
          <t>R461-v2</t>
        </is>
      </c>
      <c r="P621" s="23" t="inlineStr"/>
      <c r="Q621" s="23" t="inlineStr"/>
      <c r="R621" s="23" t="inlineStr"/>
      <c r="S621" s="23" t="inlineStr"/>
      <c r="T621" s="23" t="inlineStr"/>
      <c r="U621" s="23" t="inlineStr"/>
      <c r="V621" s="23" t="inlineStr">
        <is>
          <t>WBS Code = 1.3.1</t>
        </is>
      </c>
      <c r="W621" s="23" t="inlineStr"/>
    </row>
    <row r="622" ht="49" customHeight="1">
      <c r="A622" s="23" t="inlineStr">
        <is>
          <t>1.3.1</t>
        </is>
      </c>
      <c r="B622" s="23" t="inlineStr">
        <is>
          <t>Systems - Traction Power</t>
        </is>
      </c>
      <c r="C622" s="23" t="inlineStr">
        <is>
          <t>Contractor Programme</t>
        </is>
      </c>
      <c r="D622" s="23" t="inlineStr">
        <is>
          <t>SCH-03-103</t>
        </is>
      </c>
      <c r="E622" s="23" t="inlineStr">
        <is>
          <t>West wayside: traction-power feeder pull - field start</t>
        </is>
      </c>
      <c r="F622" s="23" t="inlineStr">
        <is>
          <t>ONE_TO_ONE</t>
        </is>
      </c>
      <c r="G622" s="23" t="inlineStr">
        <is>
          <t>RETAINED</t>
        </is>
      </c>
      <c r="H622" s="23" t="inlineStr">
        <is>
          <t>Carried forward</t>
        </is>
      </c>
      <c r="I622" s="23" t="inlineStr">
        <is>
          <t>Source assignment -- not individually reviewed</t>
        </is>
      </c>
      <c r="J622" s="23" t="inlineStr"/>
      <c r="K622" s="23" t="inlineStr">
        <is>
          <t>Source assignment</t>
        </is>
      </c>
      <c r="L622" s="23" t="inlineStr"/>
      <c r="M622" s="23" t="inlineStr">
        <is>
          <t>Contractor Programme Cycle 2</t>
        </is>
      </c>
      <c r="N622" s="23" t="inlineStr">
        <is>
          <t>Rev 1</t>
        </is>
      </c>
      <c r="O622" s="23" t="inlineStr">
        <is>
          <t>R463-v2</t>
        </is>
      </c>
      <c r="P622" s="23" t="inlineStr"/>
      <c r="Q622" s="23" t="inlineStr"/>
      <c r="R622" s="23" t="inlineStr"/>
      <c r="S622" s="23" t="inlineStr"/>
      <c r="T622" s="23" t="inlineStr"/>
      <c r="U622" s="23" t="inlineStr"/>
      <c r="V622" s="23" t="inlineStr">
        <is>
          <t>WBS Code = 1.3.1</t>
        </is>
      </c>
      <c r="W622" s="23" t="inlineStr"/>
    </row>
    <row r="623" ht="49" customHeight="1">
      <c r="A623" s="23" t="inlineStr">
        <is>
          <t>1.3.1</t>
        </is>
      </c>
      <c r="B623" s="23" t="inlineStr">
        <is>
          <t>Systems - Traction Power</t>
        </is>
      </c>
      <c r="C623" s="23" t="inlineStr">
        <is>
          <t>Contractor Programme</t>
        </is>
      </c>
      <c r="D623" s="23" t="inlineStr">
        <is>
          <t>SCH-03-104</t>
        </is>
      </c>
      <c r="E623" s="23" t="inlineStr">
        <is>
          <t>East substation: train-control cabinet fit-out - installation</t>
        </is>
      </c>
      <c r="F623" s="23" t="inlineStr">
        <is>
          <t>ONE_TO_ONE</t>
        </is>
      </c>
      <c r="G623" s="23" t="inlineStr">
        <is>
          <t>RETAINED</t>
        </is>
      </c>
      <c r="H623" s="23" t="inlineStr">
        <is>
          <t>Carried forward</t>
        </is>
      </c>
      <c r="I623" s="23" t="inlineStr">
        <is>
          <t>Source assignment -- not individually reviewed</t>
        </is>
      </c>
      <c r="J623" s="23" t="inlineStr"/>
      <c r="K623" s="23" t="inlineStr">
        <is>
          <t>Source assignment</t>
        </is>
      </c>
      <c r="L623" s="23" t="inlineStr"/>
      <c r="M623" s="23" t="inlineStr">
        <is>
          <t>Contractor Programme Cycle 2</t>
        </is>
      </c>
      <c r="N623" s="23" t="inlineStr">
        <is>
          <t>Rev 1</t>
        </is>
      </c>
      <c r="O623" s="23" t="inlineStr">
        <is>
          <t>R464-v2</t>
        </is>
      </c>
      <c r="P623" s="23" t="inlineStr"/>
      <c r="Q623" s="23" t="inlineStr"/>
      <c r="R623" s="23" t="inlineStr"/>
      <c r="S623" s="23" t="inlineStr"/>
      <c r="T623" s="23" t="inlineStr"/>
      <c r="U623" s="23" t="inlineStr"/>
      <c r="V623" s="23" t="inlineStr">
        <is>
          <t>WBS Code = 1.3.1</t>
        </is>
      </c>
      <c r="W623" s="23" t="inlineStr"/>
    </row>
    <row r="624" ht="49" customHeight="1">
      <c r="A624" s="23" t="inlineStr">
        <is>
          <t>1.3.1</t>
        </is>
      </c>
      <c r="B624" s="23" t="inlineStr">
        <is>
          <t>Systems - Traction Power</t>
        </is>
      </c>
      <c r="C624" s="23" t="inlineStr">
        <is>
          <t>Contractor Programme</t>
        </is>
      </c>
      <c r="D624" s="23" t="inlineStr">
        <is>
          <t>SCH-03-106</t>
        </is>
      </c>
      <c r="E624" s="23" t="inlineStr">
        <is>
          <t>Harbour Station: signal equipment installation - turnover</t>
        </is>
      </c>
      <c r="F624" s="23" t="inlineStr">
        <is>
          <t>ONE_TO_ONE</t>
        </is>
      </c>
      <c r="G624" s="23" t="inlineStr">
        <is>
          <t>RETAINED</t>
        </is>
      </c>
      <c r="H624" s="23" t="inlineStr">
        <is>
          <t>Carried forward</t>
        </is>
      </c>
      <c r="I624" s="23" t="inlineStr">
        <is>
          <t>Source assignment -- not individually reviewed</t>
        </is>
      </c>
      <c r="J624" s="23" t="inlineStr"/>
      <c r="K624" s="23" t="inlineStr">
        <is>
          <t>Source assignment</t>
        </is>
      </c>
      <c r="L624" s="23" t="inlineStr"/>
      <c r="M624" s="23" t="inlineStr">
        <is>
          <t>Contractor Programme Cycle 2</t>
        </is>
      </c>
      <c r="N624" s="23" t="inlineStr">
        <is>
          <t>Rev 1</t>
        </is>
      </c>
      <c r="O624" s="23" t="inlineStr">
        <is>
          <t>R466-v2</t>
        </is>
      </c>
      <c r="P624" s="23" t="inlineStr"/>
      <c r="Q624" s="23" t="inlineStr"/>
      <c r="R624" s="23" t="inlineStr"/>
      <c r="S624" s="23" t="inlineStr"/>
      <c r="T624" s="23" t="inlineStr"/>
      <c r="U624" s="23" t="inlineStr"/>
      <c r="V624" s="23" t="inlineStr">
        <is>
          <t>WBS Code = 1.3.1</t>
        </is>
      </c>
      <c r="W624" s="23" t="inlineStr"/>
    </row>
    <row r="625" ht="49" customHeight="1">
      <c r="A625" s="23" t="inlineStr">
        <is>
          <t>1.3.1</t>
        </is>
      </c>
      <c r="B625" s="23" t="inlineStr">
        <is>
          <t>Systems - Traction Power</t>
        </is>
      </c>
      <c r="C625" s="23" t="inlineStr">
        <is>
          <t>Contractor Programme</t>
        </is>
      </c>
      <c r="D625" s="23" t="inlineStr">
        <is>
          <t>SCH-03-107</t>
        </is>
      </c>
      <c r="E625" s="23" t="inlineStr">
        <is>
          <t>Control Centre: radio equipment installation - release</t>
        </is>
      </c>
      <c r="F625" s="23" t="inlineStr">
        <is>
          <t>ONE_TO_ONE</t>
        </is>
      </c>
      <c r="G625" s="23" t="inlineStr">
        <is>
          <t>RETAINED</t>
        </is>
      </c>
      <c r="H625" s="23" t="inlineStr">
        <is>
          <t>Carried forward</t>
        </is>
      </c>
      <c r="I625" s="23" t="inlineStr">
        <is>
          <t>Source assignment -- not individually reviewed</t>
        </is>
      </c>
      <c r="J625" s="23" t="inlineStr"/>
      <c r="K625" s="23" t="inlineStr">
        <is>
          <t>Source assignment</t>
        </is>
      </c>
      <c r="L625" s="23" t="inlineStr"/>
      <c r="M625" s="23" t="inlineStr">
        <is>
          <t>Contractor Programme Cycle 2</t>
        </is>
      </c>
      <c r="N625" s="23" t="inlineStr">
        <is>
          <t>Rev 1</t>
        </is>
      </c>
      <c r="O625" s="23" t="inlineStr">
        <is>
          <t>R467-v2</t>
        </is>
      </c>
      <c r="P625" s="23" t="inlineStr"/>
      <c r="Q625" s="23" t="inlineStr"/>
      <c r="R625" s="23" t="inlineStr"/>
      <c r="S625" s="23" t="inlineStr"/>
      <c r="T625" s="23" t="inlineStr"/>
      <c r="U625" s="23" t="inlineStr"/>
      <c r="V625" s="23" t="inlineStr">
        <is>
          <t>WBS Code = 1.3.1</t>
        </is>
      </c>
      <c r="W625" s="23" t="inlineStr"/>
    </row>
    <row r="626" ht="49" customHeight="1">
      <c r="A626" s="23" t="inlineStr">
        <is>
          <t>1.3.1</t>
        </is>
      </c>
      <c r="B626" s="23" t="inlineStr">
        <is>
          <t>Systems - Traction Power</t>
        </is>
      </c>
      <c r="C626" s="23" t="inlineStr">
        <is>
          <t>Contractor Programme</t>
        </is>
      </c>
      <c r="D626" s="23" t="inlineStr">
        <is>
          <t>SCH-03-109</t>
        </is>
      </c>
      <c r="E626" s="23" t="inlineStr">
        <is>
          <t>East substation: fibre backbone termination - installation</t>
        </is>
      </c>
      <c r="F626" s="23" t="inlineStr">
        <is>
          <t>ONE_TO_ONE</t>
        </is>
      </c>
      <c r="G626" s="23" t="inlineStr">
        <is>
          <t>RETAINED</t>
        </is>
      </c>
      <c r="H626" s="23" t="inlineStr">
        <is>
          <t>Carried forward</t>
        </is>
      </c>
      <c r="I626" s="23" t="inlineStr">
        <is>
          <t>Source assignment -- not individually reviewed</t>
        </is>
      </c>
      <c r="J626" s="23" t="inlineStr"/>
      <c r="K626" s="23" t="inlineStr">
        <is>
          <t>Source assignment</t>
        </is>
      </c>
      <c r="L626" s="23" t="inlineStr"/>
      <c r="M626" s="23" t="inlineStr">
        <is>
          <t>Contractor Programme Cycle 2</t>
        </is>
      </c>
      <c r="N626" s="23" t="inlineStr">
        <is>
          <t>Rev 1</t>
        </is>
      </c>
      <c r="O626" s="23" t="inlineStr">
        <is>
          <t>R469-v2</t>
        </is>
      </c>
      <c r="P626" s="23" t="inlineStr"/>
      <c r="Q626" s="23" t="inlineStr"/>
      <c r="R626" s="23" t="inlineStr"/>
      <c r="S626" s="23" t="inlineStr"/>
      <c r="T626" s="23" t="inlineStr"/>
      <c r="U626" s="23" t="inlineStr"/>
      <c r="V626" s="23" t="inlineStr">
        <is>
          <t>WBS Code = 1.3.1</t>
        </is>
      </c>
      <c r="W626" s="23" t="inlineStr"/>
    </row>
    <row r="627" ht="49" customHeight="1">
      <c r="A627" s="23" t="inlineStr">
        <is>
          <t>1.3.1</t>
        </is>
      </c>
      <c r="B627" s="23" t="inlineStr">
        <is>
          <t>Systems - Traction Power</t>
        </is>
      </c>
      <c r="C627" s="23" t="inlineStr">
        <is>
          <t>Contractor Programme</t>
        </is>
      </c>
      <c r="D627" s="23" t="inlineStr">
        <is>
          <t>SCH-03-110</t>
        </is>
      </c>
      <c r="E627" s="23" t="inlineStr">
        <is>
          <t>Central interlocking: SCADA point-to-point check - inspection</t>
        </is>
      </c>
      <c r="F627" s="23" t="inlineStr">
        <is>
          <t>ONE_TO_ONE</t>
        </is>
      </c>
      <c r="G627" s="23" t="inlineStr">
        <is>
          <t>RETAINED</t>
        </is>
      </c>
      <c r="H627" s="23" t="inlineStr">
        <is>
          <t>Carried forward</t>
        </is>
      </c>
      <c r="I627" s="23" t="inlineStr">
        <is>
          <t>Source assignment -- not individually reviewed</t>
        </is>
      </c>
      <c r="J627" s="23" t="inlineStr"/>
      <c r="K627" s="23" t="inlineStr">
        <is>
          <t>Source assignment</t>
        </is>
      </c>
      <c r="L627" s="23" t="inlineStr"/>
      <c r="M627" s="23" t="inlineStr">
        <is>
          <t>Contractor Programme Cycle 2</t>
        </is>
      </c>
      <c r="N627" s="23" t="inlineStr">
        <is>
          <t>Rev 1</t>
        </is>
      </c>
      <c r="O627" s="23" t="inlineStr">
        <is>
          <t>R470-v2</t>
        </is>
      </c>
      <c r="P627" s="23" t="inlineStr"/>
      <c r="Q627" s="23" t="inlineStr"/>
      <c r="R627" s="23" t="inlineStr"/>
      <c r="S627" s="23" t="inlineStr"/>
      <c r="T627" s="23" t="inlineStr"/>
      <c r="U627" s="23" t="inlineStr"/>
      <c r="V627" s="23" t="inlineStr">
        <is>
          <t>WBS Code = 1.3.1</t>
        </is>
      </c>
      <c r="W627" s="23" t="inlineStr"/>
    </row>
    <row r="628" ht="49" customHeight="1">
      <c r="A628" s="23" t="inlineStr">
        <is>
          <t>1.3.1</t>
        </is>
      </c>
      <c r="B628" s="23" t="inlineStr">
        <is>
          <t>Systems - Traction Power</t>
        </is>
      </c>
      <c r="C628" s="23" t="inlineStr">
        <is>
          <t>Contractor Programme</t>
        </is>
      </c>
      <c r="D628" s="23" t="inlineStr">
        <is>
          <t>SCH-03-112</t>
        </is>
      </c>
      <c r="E628" s="23" t="inlineStr">
        <is>
          <t>Control Centre: train-control cabinet fit-out - release</t>
        </is>
      </c>
      <c r="F628" s="23" t="inlineStr">
        <is>
          <t>ONE_TO_ONE</t>
        </is>
      </c>
      <c r="G628" s="23" t="inlineStr">
        <is>
          <t>RETAINED</t>
        </is>
      </c>
      <c r="H628" s="23" t="inlineStr">
        <is>
          <t>Carried forward</t>
        </is>
      </c>
      <c r="I628" s="23" t="inlineStr">
        <is>
          <t>Source assignment -- not individually reviewed</t>
        </is>
      </c>
      <c r="J628" s="23" t="inlineStr"/>
      <c r="K628" s="23" t="inlineStr">
        <is>
          <t>Source assignment</t>
        </is>
      </c>
      <c r="L628" s="23" t="inlineStr"/>
      <c r="M628" s="23" t="inlineStr">
        <is>
          <t>Contractor Programme Cycle 2</t>
        </is>
      </c>
      <c r="N628" s="23" t="inlineStr">
        <is>
          <t>Rev 1</t>
        </is>
      </c>
      <c r="O628" s="23" t="inlineStr">
        <is>
          <t>R472-v2</t>
        </is>
      </c>
      <c r="P628" s="23" t="inlineStr"/>
      <c r="Q628" s="23" t="inlineStr"/>
      <c r="R628" s="23" t="inlineStr"/>
      <c r="S628" s="23" t="inlineStr"/>
      <c r="T628" s="23" t="inlineStr"/>
      <c r="U628" s="23" t="inlineStr"/>
      <c r="V628" s="23" t="inlineStr">
        <is>
          <t>WBS Code = 1.3.1</t>
        </is>
      </c>
      <c r="W628" s="23" t="inlineStr"/>
    </row>
    <row r="629" ht="49" customHeight="1">
      <c r="A629" s="23" t="inlineStr">
        <is>
          <t>1.3.1</t>
        </is>
      </c>
      <c r="B629" s="23" t="inlineStr">
        <is>
          <t>Systems - Traction Power</t>
        </is>
      </c>
      <c r="C629" s="23" t="inlineStr">
        <is>
          <t>Contractor Programme</t>
        </is>
      </c>
      <c r="D629" s="23" t="inlineStr">
        <is>
          <t>SCH-03-113</t>
        </is>
      </c>
      <c r="E629" s="23" t="inlineStr">
        <is>
          <t>West wayside: wayside interface test - field start</t>
        </is>
      </c>
      <c r="F629" s="23" t="inlineStr">
        <is>
          <t>ONE_TO_ONE</t>
        </is>
      </c>
      <c r="G629" s="23" t="inlineStr">
        <is>
          <t>RETAINED</t>
        </is>
      </c>
      <c r="H629" s="23" t="inlineStr">
        <is>
          <t>Carried forward</t>
        </is>
      </c>
      <c r="I629" s="23" t="inlineStr">
        <is>
          <t>Source assignment -- not individually reviewed</t>
        </is>
      </c>
      <c r="J629" s="23" t="inlineStr"/>
      <c r="K629" s="23" t="inlineStr">
        <is>
          <t>Source assignment</t>
        </is>
      </c>
      <c r="L629" s="23" t="inlineStr"/>
      <c r="M629" s="23" t="inlineStr">
        <is>
          <t>Contractor Programme Cycle 2</t>
        </is>
      </c>
      <c r="N629" s="23" t="inlineStr">
        <is>
          <t>Rev 1</t>
        </is>
      </c>
      <c r="O629" s="23" t="inlineStr">
        <is>
          <t>R473-v2</t>
        </is>
      </c>
      <c r="P629" s="23" t="inlineStr"/>
      <c r="Q629" s="23" t="inlineStr"/>
      <c r="R629" s="23" t="inlineStr"/>
      <c r="S629" s="23" t="inlineStr"/>
      <c r="T629" s="23" t="inlineStr"/>
      <c r="U629" s="23" t="inlineStr"/>
      <c r="V629" s="23" t="inlineStr">
        <is>
          <t>WBS Code = 1.3.1</t>
        </is>
      </c>
      <c r="W629" s="23" t="inlineStr"/>
    </row>
    <row r="630" ht="49" customHeight="1">
      <c r="A630" s="23" t="inlineStr">
        <is>
          <t>1.3.1</t>
        </is>
      </c>
      <c r="B630" s="23" t="inlineStr">
        <is>
          <t>Systems - Traction Power</t>
        </is>
      </c>
      <c r="C630" s="23" t="inlineStr">
        <is>
          <t>Contractor Programme</t>
        </is>
      </c>
      <c r="D630" s="23" t="inlineStr">
        <is>
          <t>SCH-03-115</t>
        </is>
      </c>
      <c r="E630" s="23" t="inlineStr">
        <is>
          <t>Central interlocking: radio equipment installation - inspection</t>
        </is>
      </c>
      <c r="F630" s="23" t="inlineStr">
        <is>
          <t>ONE_TO_ONE</t>
        </is>
      </c>
      <c r="G630" s="23" t="inlineStr">
        <is>
          <t>RETAINED</t>
        </is>
      </c>
      <c r="H630" s="23" t="inlineStr">
        <is>
          <t>Carried forward</t>
        </is>
      </c>
      <c r="I630" s="23" t="inlineStr">
        <is>
          <t>Source assignment -- not individually reviewed</t>
        </is>
      </c>
      <c r="J630" s="23" t="inlineStr"/>
      <c r="K630" s="23" t="inlineStr">
        <is>
          <t>Source assignment</t>
        </is>
      </c>
      <c r="L630" s="23" t="inlineStr"/>
      <c r="M630" s="23" t="inlineStr">
        <is>
          <t>Contractor Programme Cycle 2</t>
        </is>
      </c>
      <c r="N630" s="23" t="inlineStr">
        <is>
          <t>Rev 1</t>
        </is>
      </c>
      <c r="O630" s="23" t="inlineStr">
        <is>
          <t>R475-v2</t>
        </is>
      </c>
      <c r="P630" s="23" t="inlineStr"/>
      <c r="Q630" s="23" t="inlineStr"/>
      <c r="R630" s="23" t="inlineStr"/>
      <c r="S630" s="23" t="inlineStr"/>
      <c r="T630" s="23" t="inlineStr"/>
      <c r="U630" s="23" t="inlineStr"/>
      <c r="V630" s="23" t="inlineStr">
        <is>
          <t>WBS Code = 1.3.1</t>
        </is>
      </c>
      <c r="W630" s="23" t="inlineStr"/>
    </row>
    <row r="631" ht="49" customHeight="1">
      <c r="A631" s="23" t="inlineStr">
        <is>
          <t>1.3.1</t>
        </is>
      </c>
      <c r="B631" s="23" t="inlineStr">
        <is>
          <t>Systems - Traction Power</t>
        </is>
      </c>
      <c r="C631" s="23" t="inlineStr">
        <is>
          <t>Contractor Programme</t>
        </is>
      </c>
      <c r="D631" s="23" t="inlineStr">
        <is>
          <t>SCH-03-116</t>
        </is>
      </c>
      <c r="E631" s="23" t="inlineStr">
        <is>
          <t>Harbour Station: control-centre integration - turnover</t>
        </is>
      </c>
      <c r="F631" s="23" t="inlineStr">
        <is>
          <t>ONE_TO_ONE</t>
        </is>
      </c>
      <c r="G631" s="23" t="inlineStr">
        <is>
          <t>RETAINED</t>
        </is>
      </c>
      <c r="H631" s="23" t="inlineStr">
        <is>
          <t>Carried forward</t>
        </is>
      </c>
      <c r="I631" s="23" t="inlineStr">
        <is>
          <t>Source assignment -- not individually reviewed</t>
        </is>
      </c>
      <c r="J631" s="23" t="inlineStr"/>
      <c r="K631" s="23" t="inlineStr">
        <is>
          <t>Source assignment</t>
        </is>
      </c>
      <c r="L631" s="23" t="inlineStr"/>
      <c r="M631" s="23" t="inlineStr">
        <is>
          <t>Contractor Programme Cycle 2</t>
        </is>
      </c>
      <c r="N631" s="23" t="inlineStr">
        <is>
          <t>Rev 1</t>
        </is>
      </c>
      <c r="O631" s="23" t="inlineStr">
        <is>
          <t>R476-v2</t>
        </is>
      </c>
      <c r="P631" s="23" t="inlineStr"/>
      <c r="Q631" s="23" t="inlineStr"/>
      <c r="R631" s="23" t="inlineStr"/>
      <c r="S631" s="23" t="inlineStr"/>
      <c r="T631" s="23" t="inlineStr"/>
      <c r="U631" s="23" t="inlineStr"/>
      <c r="V631" s="23" t="inlineStr">
        <is>
          <t>WBS Code = 1.3.1</t>
        </is>
      </c>
      <c r="W631" s="23" t="inlineStr"/>
    </row>
    <row r="632" ht="49" customHeight="1">
      <c r="A632" s="23" t="inlineStr">
        <is>
          <t>1.3.1</t>
        </is>
      </c>
      <c r="B632" s="23" t="inlineStr">
        <is>
          <t>Systems - Traction Power</t>
        </is>
      </c>
      <c r="C632" s="23" t="inlineStr">
        <is>
          <t>Contractor Programme</t>
        </is>
      </c>
      <c r="D632" s="23" t="inlineStr">
        <is>
          <t>SCH-03-118</t>
        </is>
      </c>
      <c r="E632" s="23" t="inlineStr">
        <is>
          <t>West wayside: SCADA point-to-point check - field start</t>
        </is>
      </c>
      <c r="F632" s="23" t="inlineStr">
        <is>
          <t>ONE_TO_ONE</t>
        </is>
      </c>
      <c r="G632" s="23" t="inlineStr">
        <is>
          <t>RETAINED</t>
        </is>
      </c>
      <c r="H632" s="23" t="inlineStr">
        <is>
          <t>Carried forward</t>
        </is>
      </c>
      <c r="I632" s="23" t="inlineStr">
        <is>
          <t>Source assignment -- not individually reviewed</t>
        </is>
      </c>
      <c r="J632" s="23" t="inlineStr"/>
      <c r="K632" s="23" t="inlineStr">
        <is>
          <t>Source assignment</t>
        </is>
      </c>
      <c r="L632" s="23" t="inlineStr"/>
      <c r="M632" s="23" t="inlineStr">
        <is>
          <t>Contractor Programme Cycle 2</t>
        </is>
      </c>
      <c r="N632" s="23" t="inlineStr">
        <is>
          <t>Rev 1</t>
        </is>
      </c>
      <c r="O632" s="23" t="inlineStr">
        <is>
          <t>R478-v2</t>
        </is>
      </c>
      <c r="P632" s="23" t="inlineStr"/>
      <c r="Q632" s="23" t="inlineStr"/>
      <c r="R632" s="23" t="inlineStr"/>
      <c r="S632" s="23" t="inlineStr"/>
      <c r="T632" s="23" t="inlineStr"/>
      <c r="U632" s="23" t="inlineStr"/>
      <c r="V632" s="23" t="inlineStr">
        <is>
          <t>WBS Code = 1.3.1</t>
        </is>
      </c>
      <c r="W632" s="23" t="inlineStr"/>
    </row>
    <row r="633" ht="49" customHeight="1">
      <c r="A633" s="23" t="inlineStr">
        <is>
          <t>1.3.1</t>
        </is>
      </c>
      <c r="B633" s="23" t="inlineStr">
        <is>
          <t>Systems - Traction Power</t>
        </is>
      </c>
      <c r="C633" s="23" t="inlineStr">
        <is>
          <t>Contractor Programme</t>
        </is>
      </c>
      <c r="D633" s="23" t="inlineStr">
        <is>
          <t>SCH-03-119</t>
        </is>
      </c>
      <c r="E633" s="23" t="inlineStr">
        <is>
          <t>East substation: traction-power feeder pull - installation</t>
        </is>
      </c>
      <c r="F633" s="23" t="inlineStr">
        <is>
          <t>ONE_TO_ONE</t>
        </is>
      </c>
      <c r="G633" s="23" t="inlineStr">
        <is>
          <t>RETAINED</t>
        </is>
      </c>
      <c r="H633" s="23" t="inlineStr">
        <is>
          <t>Carried forward</t>
        </is>
      </c>
      <c r="I633" s="23" t="inlineStr">
        <is>
          <t>Source assignment -- not individually reviewed</t>
        </is>
      </c>
      <c r="J633" s="23" t="inlineStr"/>
      <c r="K633" s="23" t="inlineStr">
        <is>
          <t>Source assignment</t>
        </is>
      </c>
      <c r="L633" s="23" t="inlineStr"/>
      <c r="M633" s="23" t="inlineStr">
        <is>
          <t>Contractor Programme Cycle 2</t>
        </is>
      </c>
      <c r="N633" s="23" t="inlineStr">
        <is>
          <t>Rev 1</t>
        </is>
      </c>
      <c r="O633" s="23" t="inlineStr">
        <is>
          <t>R479-v2</t>
        </is>
      </c>
      <c r="P633" s="23" t="inlineStr"/>
      <c r="Q633" s="23" t="inlineStr"/>
      <c r="R633" s="23" t="inlineStr"/>
      <c r="S633" s="23" t="inlineStr"/>
      <c r="T633" s="23" t="inlineStr"/>
      <c r="U633" s="23" t="inlineStr"/>
      <c r="V633" s="23" t="inlineStr">
        <is>
          <t>WBS Code = 1.3.1</t>
        </is>
      </c>
      <c r="W633" s="23" t="inlineStr"/>
    </row>
    <row r="634" ht="49" customHeight="1">
      <c r="A634" s="23" t="inlineStr">
        <is>
          <t>1.3.1</t>
        </is>
      </c>
      <c r="B634" s="23" t="inlineStr">
        <is>
          <t>Systems - Traction Power</t>
        </is>
      </c>
      <c r="C634" s="23" t="inlineStr">
        <is>
          <t>Contractor Programme</t>
        </is>
      </c>
      <c r="D634" s="23" t="inlineStr">
        <is>
          <t>SCH-03-121</t>
        </is>
      </c>
      <c r="E634" s="23" t="inlineStr">
        <is>
          <t>Harbour Station: wayside interface test - turnover</t>
        </is>
      </c>
      <c r="F634" s="23" t="inlineStr">
        <is>
          <t>ONE_TO_ONE</t>
        </is>
      </c>
      <c r="G634" s="23" t="inlineStr">
        <is>
          <t>RETAINED</t>
        </is>
      </c>
      <c r="H634" s="23" t="inlineStr">
        <is>
          <t>Carried forward</t>
        </is>
      </c>
      <c r="I634" s="23" t="inlineStr">
        <is>
          <t>Source assignment -- not individually reviewed</t>
        </is>
      </c>
      <c r="J634" s="23" t="inlineStr"/>
      <c r="K634" s="23" t="inlineStr">
        <is>
          <t>Source assignment</t>
        </is>
      </c>
      <c r="L634" s="23" t="inlineStr"/>
      <c r="M634" s="23" t="inlineStr">
        <is>
          <t>Contractor Programme Cycle 2</t>
        </is>
      </c>
      <c r="N634" s="23" t="inlineStr">
        <is>
          <t>Rev 1</t>
        </is>
      </c>
      <c r="O634" s="23" t="inlineStr">
        <is>
          <t>R481-v2</t>
        </is>
      </c>
      <c r="P634" s="23" t="inlineStr"/>
      <c r="Q634" s="23" t="inlineStr"/>
      <c r="R634" s="23" t="inlineStr"/>
      <c r="S634" s="23" t="inlineStr"/>
      <c r="T634" s="23" t="inlineStr"/>
      <c r="U634" s="23" t="inlineStr"/>
      <c r="V634" s="23" t="inlineStr">
        <is>
          <t>WBS Code = 1.3.1</t>
        </is>
      </c>
      <c r="W634" s="23" t="inlineStr"/>
    </row>
    <row r="635" ht="49" customHeight="1">
      <c r="A635" s="23" t="inlineStr">
        <is>
          <t>1.3.1</t>
        </is>
      </c>
      <c r="B635" s="23" t="inlineStr">
        <is>
          <t>Systems - Traction Power</t>
        </is>
      </c>
      <c r="C635" s="23" t="inlineStr">
        <is>
          <t>Contractor Programme</t>
        </is>
      </c>
      <c r="D635" s="23" t="inlineStr">
        <is>
          <t>SCH-03-122</t>
        </is>
      </c>
      <c r="E635" s="23" t="inlineStr">
        <is>
          <t>Control Centre: signal equipment installation - release</t>
        </is>
      </c>
      <c r="F635" s="23" t="inlineStr">
        <is>
          <t>ONE_TO_ONE</t>
        </is>
      </c>
      <c r="G635" s="23" t="inlineStr">
        <is>
          <t>RETAINED</t>
        </is>
      </c>
      <c r="H635" s="23" t="inlineStr">
        <is>
          <t>Carried forward</t>
        </is>
      </c>
      <c r="I635" s="23" t="inlineStr">
        <is>
          <t>Source assignment -- not individually reviewed</t>
        </is>
      </c>
      <c r="J635" s="23" t="inlineStr"/>
      <c r="K635" s="23" t="inlineStr">
        <is>
          <t>Source assignment</t>
        </is>
      </c>
      <c r="L635" s="23" t="inlineStr"/>
      <c r="M635" s="23" t="inlineStr">
        <is>
          <t>Contractor Programme Cycle 2</t>
        </is>
      </c>
      <c r="N635" s="23" t="inlineStr">
        <is>
          <t>Rev 1</t>
        </is>
      </c>
      <c r="O635" s="23" t="inlineStr">
        <is>
          <t>R482-v2</t>
        </is>
      </c>
      <c r="P635" s="23" t="inlineStr"/>
      <c r="Q635" s="23" t="inlineStr"/>
      <c r="R635" s="23" t="inlineStr"/>
      <c r="S635" s="23" t="inlineStr"/>
      <c r="T635" s="23" t="inlineStr"/>
      <c r="U635" s="23" t="inlineStr"/>
      <c r="V635" s="23" t="inlineStr">
        <is>
          <t>WBS Code = 1.3.1</t>
        </is>
      </c>
      <c r="W635" s="23" t="inlineStr"/>
    </row>
    <row r="636" ht="49" customHeight="1">
      <c r="A636" s="23" t="inlineStr">
        <is>
          <t>1.3.1</t>
        </is>
      </c>
      <c r="B636" s="23" t="inlineStr">
        <is>
          <t>Systems - Traction Power</t>
        </is>
      </c>
      <c r="C636" s="23" t="inlineStr">
        <is>
          <t>Contractor Programme</t>
        </is>
      </c>
      <c r="D636" s="23" t="inlineStr">
        <is>
          <t>SCH-03-124</t>
        </is>
      </c>
      <c r="E636" s="23" t="inlineStr">
        <is>
          <t>East substation: control-centre integration - installation</t>
        </is>
      </c>
      <c r="F636" s="23" t="inlineStr">
        <is>
          <t>ONE_TO_ONE</t>
        </is>
      </c>
      <c r="G636" s="23" t="inlineStr">
        <is>
          <t>RETAINED</t>
        </is>
      </c>
      <c r="H636" s="23" t="inlineStr">
        <is>
          <t>Carried forward</t>
        </is>
      </c>
      <c r="I636" s="23" t="inlineStr">
        <is>
          <t>Source assignment -- not individually reviewed</t>
        </is>
      </c>
      <c r="J636" s="23" t="inlineStr"/>
      <c r="K636" s="23" t="inlineStr">
        <is>
          <t>Source assignment</t>
        </is>
      </c>
      <c r="L636" s="23" t="inlineStr"/>
      <c r="M636" s="23" t="inlineStr">
        <is>
          <t>Contractor Programme Cycle 2</t>
        </is>
      </c>
      <c r="N636" s="23" t="inlineStr">
        <is>
          <t>Rev 1</t>
        </is>
      </c>
      <c r="O636" s="23" t="inlineStr">
        <is>
          <t>R484-v2</t>
        </is>
      </c>
      <c r="P636" s="23" t="inlineStr"/>
      <c r="Q636" s="23" t="inlineStr"/>
      <c r="R636" s="23" t="inlineStr"/>
      <c r="S636" s="23" t="inlineStr"/>
      <c r="T636" s="23" t="inlineStr"/>
      <c r="U636" s="23" t="inlineStr"/>
      <c r="V636" s="23" t="inlineStr">
        <is>
          <t>WBS Code = 1.3.1</t>
        </is>
      </c>
      <c r="W636" s="23" t="inlineStr"/>
    </row>
    <row r="637" ht="49" customHeight="1">
      <c r="A637" s="23" t="inlineStr">
        <is>
          <t>1.3.1</t>
        </is>
      </c>
      <c r="B637" s="23" t="inlineStr">
        <is>
          <t>Systems - Traction Power</t>
        </is>
      </c>
      <c r="C637" s="23" t="inlineStr">
        <is>
          <t>Contractor Programme</t>
        </is>
      </c>
      <c r="D637" s="23" t="inlineStr">
        <is>
          <t>SCH-03-125</t>
        </is>
      </c>
      <c r="E637" s="23" t="inlineStr">
        <is>
          <t>Central interlocking: fibre backbone termination - inspection</t>
        </is>
      </c>
      <c r="F637" s="23" t="inlineStr">
        <is>
          <t>ONE_TO_ONE</t>
        </is>
      </c>
      <c r="G637" s="23" t="inlineStr">
        <is>
          <t>RETAINED</t>
        </is>
      </c>
      <c r="H637" s="23" t="inlineStr">
        <is>
          <t>Carried forward</t>
        </is>
      </c>
      <c r="I637" s="23" t="inlineStr">
        <is>
          <t>Source assignment -- not individually reviewed</t>
        </is>
      </c>
      <c r="J637" s="23" t="inlineStr"/>
      <c r="K637" s="23" t="inlineStr">
        <is>
          <t>Source assignment</t>
        </is>
      </c>
      <c r="L637" s="23" t="inlineStr"/>
      <c r="M637" s="23" t="inlineStr">
        <is>
          <t>Contractor Programme Cycle 2</t>
        </is>
      </c>
      <c r="N637" s="23" t="inlineStr">
        <is>
          <t>Rev 1</t>
        </is>
      </c>
      <c r="O637" s="23" t="inlineStr">
        <is>
          <t>R485-v2</t>
        </is>
      </c>
      <c r="P637" s="23" t="inlineStr"/>
      <c r="Q637" s="23" t="inlineStr"/>
      <c r="R637" s="23" t="inlineStr"/>
      <c r="S637" s="23" t="inlineStr"/>
      <c r="T637" s="23" t="inlineStr"/>
      <c r="U637" s="23" t="inlineStr"/>
      <c r="V637" s="23" t="inlineStr">
        <is>
          <t>WBS Code = 1.3.1</t>
        </is>
      </c>
      <c r="W637" s="23" t="inlineStr"/>
    </row>
    <row r="638" ht="49" customHeight="1">
      <c r="A638" s="23" t="inlineStr">
        <is>
          <t>1.3.1</t>
        </is>
      </c>
      <c r="B638" s="23" t="inlineStr">
        <is>
          <t>Systems - Traction Power</t>
        </is>
      </c>
      <c r="C638" s="23" t="inlineStr">
        <is>
          <t>Contractor Programme</t>
        </is>
      </c>
      <c r="D638" s="23" t="inlineStr">
        <is>
          <t>SCH-03-127</t>
        </is>
      </c>
      <c r="E638" s="23" t="inlineStr">
        <is>
          <t>Control Centre: traction-power feeder pull - release</t>
        </is>
      </c>
      <c r="F638" s="23" t="inlineStr">
        <is>
          <t>ONE_TO_ONE</t>
        </is>
      </c>
      <c r="G638" s="23" t="inlineStr">
        <is>
          <t>RETAINED</t>
        </is>
      </c>
      <c r="H638" s="23" t="inlineStr">
        <is>
          <t>Carried forward</t>
        </is>
      </c>
      <c r="I638" s="23" t="inlineStr">
        <is>
          <t>Source assignment -- not individually reviewed</t>
        </is>
      </c>
      <c r="J638" s="23" t="inlineStr"/>
      <c r="K638" s="23" t="inlineStr">
        <is>
          <t>Source assignment</t>
        </is>
      </c>
      <c r="L638" s="23" t="inlineStr"/>
      <c r="M638" s="23" t="inlineStr">
        <is>
          <t>Contractor Programme Cycle 2</t>
        </is>
      </c>
      <c r="N638" s="23" t="inlineStr">
        <is>
          <t>Rev 1</t>
        </is>
      </c>
      <c r="O638" s="23" t="inlineStr">
        <is>
          <t>R487-v2</t>
        </is>
      </c>
      <c r="P638" s="23" t="inlineStr"/>
      <c r="Q638" s="23" t="inlineStr"/>
      <c r="R638" s="23" t="inlineStr"/>
      <c r="S638" s="23" t="inlineStr"/>
      <c r="T638" s="23" t="inlineStr"/>
      <c r="U638" s="23" t="inlineStr"/>
      <c r="V638" s="23" t="inlineStr">
        <is>
          <t>WBS Code = 1.3.1</t>
        </is>
      </c>
      <c r="W638" s="23" t="inlineStr"/>
    </row>
    <row r="639" ht="49" customHeight="1">
      <c r="A639" s="23" t="inlineStr">
        <is>
          <t>1.3.1</t>
        </is>
      </c>
      <c r="B639" s="23" t="inlineStr">
        <is>
          <t>Systems - Traction Power</t>
        </is>
      </c>
      <c r="C639" s="23" t="inlineStr">
        <is>
          <t>Contractor Programme</t>
        </is>
      </c>
      <c r="D639" s="23" t="inlineStr">
        <is>
          <t>SCH-03-128</t>
        </is>
      </c>
      <c r="E639" s="23" t="inlineStr">
        <is>
          <t>West wayside: train-control cabinet fit-out - field start</t>
        </is>
      </c>
      <c r="F639" s="23" t="inlineStr">
        <is>
          <t>ONE_TO_ONE</t>
        </is>
      </c>
      <c r="G639" s="23" t="inlineStr">
        <is>
          <t>RETAINED</t>
        </is>
      </c>
      <c r="H639" s="23" t="inlineStr">
        <is>
          <t>Carried forward</t>
        </is>
      </c>
      <c r="I639" s="23" t="inlineStr">
        <is>
          <t>Source assignment -- not individually reviewed</t>
        </is>
      </c>
      <c r="J639" s="23" t="inlineStr"/>
      <c r="K639" s="23" t="inlineStr">
        <is>
          <t>Source assignment</t>
        </is>
      </c>
      <c r="L639" s="23" t="inlineStr"/>
      <c r="M639" s="23" t="inlineStr">
        <is>
          <t>Contractor Programme Cycle 2</t>
        </is>
      </c>
      <c r="N639" s="23" t="inlineStr">
        <is>
          <t>Rev 1</t>
        </is>
      </c>
      <c r="O639" s="23" t="inlineStr">
        <is>
          <t>R488-v2</t>
        </is>
      </c>
      <c r="P639" s="23" t="inlineStr"/>
      <c r="Q639" s="23" t="inlineStr"/>
      <c r="R639" s="23" t="inlineStr"/>
      <c r="S639" s="23" t="inlineStr"/>
      <c r="T639" s="23" t="inlineStr"/>
      <c r="U639" s="23" t="inlineStr"/>
      <c r="V639" s="23" t="inlineStr">
        <is>
          <t>WBS Code = 1.3.1</t>
        </is>
      </c>
      <c r="W639" s="23" t="inlineStr"/>
    </row>
    <row r="640" ht="49" customHeight="1">
      <c r="A640" s="23" t="inlineStr">
        <is>
          <t>1.3.1</t>
        </is>
      </c>
      <c r="B640" s="23" t="inlineStr">
        <is>
          <t>Systems - Traction Power</t>
        </is>
      </c>
      <c r="C640" s="23" t="inlineStr">
        <is>
          <t>Contractor Programme</t>
        </is>
      </c>
      <c r="D640" s="23" t="inlineStr">
        <is>
          <t>SCH-03-130</t>
        </is>
      </c>
      <c r="E640" s="23" t="inlineStr">
        <is>
          <t>Central interlocking: signal equipment installation - inspection</t>
        </is>
      </c>
      <c r="F640" s="23" t="inlineStr">
        <is>
          <t>ONE_TO_ONE</t>
        </is>
      </c>
      <c r="G640" s="23" t="inlineStr">
        <is>
          <t>RETAINED</t>
        </is>
      </c>
      <c r="H640" s="23" t="inlineStr">
        <is>
          <t>Carried forward</t>
        </is>
      </c>
      <c r="I640" s="23" t="inlineStr">
        <is>
          <t>Source assignment -- not individually reviewed</t>
        </is>
      </c>
      <c r="J640" s="23" t="inlineStr"/>
      <c r="K640" s="23" t="inlineStr">
        <is>
          <t>Source assignment</t>
        </is>
      </c>
      <c r="L640" s="23" t="inlineStr"/>
      <c r="M640" s="23" t="inlineStr">
        <is>
          <t>Contractor Programme Cycle 2</t>
        </is>
      </c>
      <c r="N640" s="23" t="inlineStr">
        <is>
          <t>Rev 1</t>
        </is>
      </c>
      <c r="O640" s="23" t="inlineStr">
        <is>
          <t>R490-v2</t>
        </is>
      </c>
      <c r="P640" s="23" t="inlineStr"/>
      <c r="Q640" s="23" t="inlineStr"/>
      <c r="R640" s="23" t="inlineStr"/>
      <c r="S640" s="23" t="inlineStr"/>
      <c r="T640" s="23" t="inlineStr"/>
      <c r="U640" s="23" t="inlineStr"/>
      <c r="V640" s="23" t="inlineStr">
        <is>
          <t>WBS Code = 1.3.1</t>
        </is>
      </c>
      <c r="W640" s="23" t="inlineStr"/>
    </row>
    <row r="641" ht="49" customHeight="1">
      <c r="A641" s="23" t="inlineStr">
        <is>
          <t>1.3.1</t>
        </is>
      </c>
      <c r="B641" s="23" t="inlineStr">
        <is>
          <t>Systems - Traction Power</t>
        </is>
      </c>
      <c r="C641" s="23" t="inlineStr">
        <is>
          <t>Contractor Programme</t>
        </is>
      </c>
      <c r="D641" s="23" t="inlineStr">
        <is>
          <t>SCH-03-131</t>
        </is>
      </c>
      <c r="E641" s="23" t="inlineStr">
        <is>
          <t>Harbour Station: radio equipment installation - turnover</t>
        </is>
      </c>
      <c r="F641" s="23" t="inlineStr">
        <is>
          <t>ONE_TO_ONE</t>
        </is>
      </c>
      <c r="G641" s="23" t="inlineStr">
        <is>
          <t>RETAINED</t>
        </is>
      </c>
      <c r="H641" s="23" t="inlineStr">
        <is>
          <t>Carried forward</t>
        </is>
      </c>
      <c r="I641" s="23" t="inlineStr">
        <is>
          <t>Source assignment -- not individually reviewed</t>
        </is>
      </c>
      <c r="J641" s="23" t="inlineStr"/>
      <c r="K641" s="23" t="inlineStr">
        <is>
          <t>Source assignment</t>
        </is>
      </c>
      <c r="L641" s="23" t="inlineStr"/>
      <c r="M641" s="23" t="inlineStr">
        <is>
          <t>Contractor Programme Cycle 2</t>
        </is>
      </c>
      <c r="N641" s="23" t="inlineStr">
        <is>
          <t>Rev 1</t>
        </is>
      </c>
      <c r="O641" s="23" t="inlineStr">
        <is>
          <t>R491-v2</t>
        </is>
      </c>
      <c r="P641" s="23" t="inlineStr"/>
      <c r="Q641" s="23" t="inlineStr"/>
      <c r="R641" s="23" t="inlineStr"/>
      <c r="S641" s="23" t="inlineStr"/>
      <c r="T641" s="23" t="inlineStr"/>
      <c r="U641" s="23" t="inlineStr"/>
      <c r="V641" s="23" t="inlineStr">
        <is>
          <t>WBS Code = 1.3.1</t>
        </is>
      </c>
      <c r="W641" s="23" t="inlineStr"/>
    </row>
    <row r="642" ht="49" customHeight="1">
      <c r="A642" s="23" t="inlineStr">
        <is>
          <t>1.3.1</t>
        </is>
      </c>
      <c r="B642" s="23" t="inlineStr">
        <is>
          <t>Systems - Traction Power</t>
        </is>
      </c>
      <c r="C642" s="23" t="inlineStr">
        <is>
          <t>Contractor Programme</t>
        </is>
      </c>
      <c r="D642" s="23" t="inlineStr">
        <is>
          <t>SCH-03-133</t>
        </is>
      </c>
      <c r="E642" s="23" t="inlineStr">
        <is>
          <t>West wayside: fibre backbone termination - field start</t>
        </is>
      </c>
      <c r="F642" s="23" t="inlineStr">
        <is>
          <t>ONE_TO_ONE</t>
        </is>
      </c>
      <c r="G642" s="23" t="inlineStr">
        <is>
          <t>RETAINED</t>
        </is>
      </c>
      <c r="H642" s="23" t="inlineStr">
        <is>
          <t>Carried forward</t>
        </is>
      </c>
      <c r="I642" s="23" t="inlineStr">
        <is>
          <t>Source assignment -- not individually reviewed</t>
        </is>
      </c>
      <c r="J642" s="23" t="inlineStr"/>
      <c r="K642" s="23" t="inlineStr">
        <is>
          <t>Source assignment</t>
        </is>
      </c>
      <c r="L642" s="23" t="inlineStr"/>
      <c r="M642" s="23" t="inlineStr">
        <is>
          <t>Contractor Programme Cycle 2</t>
        </is>
      </c>
      <c r="N642" s="23" t="inlineStr">
        <is>
          <t>Rev 1</t>
        </is>
      </c>
      <c r="O642" s="23" t="inlineStr">
        <is>
          <t>R493-v2</t>
        </is>
      </c>
      <c r="P642" s="23" t="inlineStr"/>
      <c r="Q642" s="23" t="inlineStr"/>
      <c r="R642" s="23" t="inlineStr"/>
      <c r="S642" s="23" t="inlineStr"/>
      <c r="T642" s="23" t="inlineStr"/>
      <c r="U642" s="23" t="inlineStr"/>
      <c r="V642" s="23" t="inlineStr">
        <is>
          <t>WBS Code = 1.3.1</t>
        </is>
      </c>
      <c r="W642" s="23" t="inlineStr"/>
    </row>
    <row r="643" ht="49" customHeight="1">
      <c r="A643" s="23" t="inlineStr">
        <is>
          <t>1.3.1</t>
        </is>
      </c>
      <c r="B643" s="23" t="inlineStr">
        <is>
          <t>Systems - Traction Power</t>
        </is>
      </c>
      <c r="C643" s="23" t="inlineStr">
        <is>
          <t>Contractor Programme</t>
        </is>
      </c>
      <c r="D643" s="23" t="inlineStr">
        <is>
          <t>SCH-03-134</t>
        </is>
      </c>
      <c r="E643" s="23" t="inlineStr">
        <is>
          <t>East substation: SCADA point-to-point check - installation</t>
        </is>
      </c>
      <c r="F643" s="23" t="inlineStr">
        <is>
          <t>ONE_TO_ONE</t>
        </is>
      </c>
      <c r="G643" s="23" t="inlineStr">
        <is>
          <t>RETAINED</t>
        </is>
      </c>
      <c r="H643" s="23" t="inlineStr">
        <is>
          <t>Carried forward</t>
        </is>
      </c>
      <c r="I643" s="23" t="inlineStr">
        <is>
          <t>Source assignment -- not individually reviewed</t>
        </is>
      </c>
      <c r="J643" s="23" t="inlineStr"/>
      <c r="K643" s="23" t="inlineStr">
        <is>
          <t>Source assignment</t>
        </is>
      </c>
      <c r="L643" s="23" t="inlineStr"/>
      <c r="M643" s="23" t="inlineStr">
        <is>
          <t>Contractor Programme Cycle 2</t>
        </is>
      </c>
      <c r="N643" s="23" t="inlineStr">
        <is>
          <t>Rev 1</t>
        </is>
      </c>
      <c r="O643" s="23" t="inlineStr">
        <is>
          <t>R494-v2</t>
        </is>
      </c>
      <c r="P643" s="23" t="inlineStr"/>
      <c r="Q643" s="23" t="inlineStr"/>
      <c r="R643" s="23" t="inlineStr"/>
      <c r="S643" s="23" t="inlineStr"/>
      <c r="T643" s="23" t="inlineStr"/>
      <c r="U643" s="23" t="inlineStr"/>
      <c r="V643" s="23" t="inlineStr">
        <is>
          <t>WBS Code = 1.3.1</t>
        </is>
      </c>
      <c r="W643" s="23" t="inlineStr"/>
    </row>
    <row r="644" ht="49" customHeight="1">
      <c r="A644" s="23" t="inlineStr">
        <is>
          <t>1.3.1</t>
        </is>
      </c>
      <c r="B644" s="23" t="inlineStr">
        <is>
          <t>Systems - Traction Power</t>
        </is>
      </c>
      <c r="C644" s="23" t="inlineStr">
        <is>
          <t>Contractor Programme</t>
        </is>
      </c>
      <c r="D644" s="23" t="inlineStr">
        <is>
          <t>SCH-03-136</t>
        </is>
      </c>
      <c r="E644" s="23" t="inlineStr">
        <is>
          <t>Harbour Station: train-control cabinet fit-out - turnover</t>
        </is>
      </c>
      <c r="F644" s="23" t="inlineStr">
        <is>
          <t>ONE_TO_ONE</t>
        </is>
      </c>
      <c r="G644" s="23" t="inlineStr">
        <is>
          <t>RETAINED</t>
        </is>
      </c>
      <c r="H644" s="23" t="inlineStr">
        <is>
          <t>Carried forward</t>
        </is>
      </c>
      <c r="I644" s="23" t="inlineStr">
        <is>
          <t>Source assignment -- not individually reviewed</t>
        </is>
      </c>
      <c r="J644" s="23" t="inlineStr"/>
      <c r="K644" s="23" t="inlineStr">
        <is>
          <t>Source assignment</t>
        </is>
      </c>
      <c r="L644" s="23" t="inlineStr"/>
      <c r="M644" s="23" t="inlineStr">
        <is>
          <t>Contractor Programme Cycle 2</t>
        </is>
      </c>
      <c r="N644" s="23" t="inlineStr">
        <is>
          <t>Rev 1</t>
        </is>
      </c>
      <c r="O644" s="23" t="inlineStr">
        <is>
          <t>R496-v2</t>
        </is>
      </c>
      <c r="P644" s="23" t="inlineStr"/>
      <c r="Q644" s="23" t="inlineStr"/>
      <c r="R644" s="23" t="inlineStr"/>
      <c r="S644" s="23" t="inlineStr"/>
      <c r="T644" s="23" t="inlineStr"/>
      <c r="U644" s="23" t="inlineStr"/>
      <c r="V644" s="23" t="inlineStr">
        <is>
          <t>WBS Code = 1.3.1</t>
        </is>
      </c>
      <c r="W644" s="23" t="inlineStr"/>
    </row>
    <row r="645" ht="49" customHeight="1">
      <c r="A645" s="23" t="inlineStr">
        <is>
          <t>1.3.1</t>
        </is>
      </c>
      <c r="B645" s="23" t="inlineStr">
        <is>
          <t>Systems - Traction Power</t>
        </is>
      </c>
      <c r="C645" s="23" t="inlineStr">
        <is>
          <t>Contractor Programme</t>
        </is>
      </c>
      <c r="D645" s="23" t="inlineStr">
        <is>
          <t>SCH-03-137</t>
        </is>
      </c>
      <c r="E645" s="23" t="inlineStr">
        <is>
          <t>Control Centre: wayside interface test - release</t>
        </is>
      </c>
      <c r="F645" s="23" t="inlineStr">
        <is>
          <t>ONE_TO_ONE</t>
        </is>
      </c>
      <c r="G645" s="23" t="inlineStr">
        <is>
          <t>RETAINED</t>
        </is>
      </c>
      <c r="H645" s="23" t="inlineStr">
        <is>
          <t>Carried forward</t>
        </is>
      </c>
      <c r="I645" s="23" t="inlineStr">
        <is>
          <t>Source assignment -- not individually reviewed</t>
        </is>
      </c>
      <c r="J645" s="23" t="inlineStr"/>
      <c r="K645" s="23" t="inlineStr">
        <is>
          <t>Source assignment</t>
        </is>
      </c>
      <c r="L645" s="23" t="inlineStr"/>
      <c r="M645" s="23" t="inlineStr">
        <is>
          <t>Contractor Programme Cycle 2</t>
        </is>
      </c>
      <c r="N645" s="23" t="inlineStr">
        <is>
          <t>Rev 1</t>
        </is>
      </c>
      <c r="O645" s="23" t="inlineStr">
        <is>
          <t>R497-v2</t>
        </is>
      </c>
      <c r="P645" s="23" t="inlineStr"/>
      <c r="Q645" s="23" t="inlineStr"/>
      <c r="R645" s="23" t="inlineStr"/>
      <c r="S645" s="23" t="inlineStr"/>
      <c r="T645" s="23" t="inlineStr"/>
      <c r="U645" s="23" t="inlineStr"/>
      <c r="V645" s="23" t="inlineStr">
        <is>
          <t>WBS Code = 1.3.1</t>
        </is>
      </c>
      <c r="W645" s="23" t="inlineStr"/>
    </row>
    <row r="646" ht="49" customHeight="1">
      <c r="A646" s="23" t="inlineStr">
        <is>
          <t>1.3.1</t>
        </is>
      </c>
      <c r="B646" s="23" t="inlineStr">
        <is>
          <t>Systems - Traction Power</t>
        </is>
      </c>
      <c r="C646" s="23" t="inlineStr">
        <is>
          <t>Contractor Programme</t>
        </is>
      </c>
      <c r="D646" s="23" t="inlineStr">
        <is>
          <t>SCH-03-139</t>
        </is>
      </c>
      <c r="E646" s="23" t="inlineStr">
        <is>
          <t>East substation: radio equipment installation - installation</t>
        </is>
      </c>
      <c r="F646" s="23" t="inlineStr">
        <is>
          <t>ONE_TO_ONE</t>
        </is>
      </c>
      <c r="G646" s="23" t="inlineStr">
        <is>
          <t>RETAINED</t>
        </is>
      </c>
      <c r="H646" s="23" t="inlineStr">
        <is>
          <t>Carried forward</t>
        </is>
      </c>
      <c r="I646" s="23" t="inlineStr">
        <is>
          <t>Source assignment -- not individually reviewed</t>
        </is>
      </c>
      <c r="J646" s="23" t="inlineStr"/>
      <c r="K646" s="23" t="inlineStr">
        <is>
          <t>Source assignment</t>
        </is>
      </c>
      <c r="L646" s="23" t="inlineStr"/>
      <c r="M646" s="23" t="inlineStr">
        <is>
          <t>Contractor Programme Cycle 2</t>
        </is>
      </c>
      <c r="N646" s="23" t="inlineStr">
        <is>
          <t>Rev 1</t>
        </is>
      </c>
      <c r="O646" s="23" t="inlineStr">
        <is>
          <t>R499-v2</t>
        </is>
      </c>
      <c r="P646" s="23" t="inlineStr"/>
      <c r="Q646" s="23" t="inlineStr"/>
      <c r="R646" s="23" t="inlineStr"/>
      <c r="S646" s="23" t="inlineStr"/>
      <c r="T646" s="23" t="inlineStr"/>
      <c r="U646" s="23" t="inlineStr"/>
      <c r="V646" s="23" t="inlineStr">
        <is>
          <t>WBS Code = 1.3.1</t>
        </is>
      </c>
      <c r="W646" s="23" t="inlineStr"/>
    </row>
    <row r="647" ht="49" customHeight="1">
      <c r="A647" s="23" t="inlineStr">
        <is>
          <t>1.3.1</t>
        </is>
      </c>
      <c r="B647" s="23" t="inlineStr">
        <is>
          <t>Systems - Traction Power</t>
        </is>
      </c>
      <c r="C647" s="23" t="inlineStr">
        <is>
          <t>Contractor Programme</t>
        </is>
      </c>
      <c r="D647" s="23" t="inlineStr">
        <is>
          <t>SCH-03-140</t>
        </is>
      </c>
      <c r="E647" s="23" t="inlineStr">
        <is>
          <t>Central interlocking: control-centre integration - inspection</t>
        </is>
      </c>
      <c r="F647" s="23" t="inlineStr">
        <is>
          <t>ONE_TO_ONE</t>
        </is>
      </c>
      <c r="G647" s="23" t="inlineStr">
        <is>
          <t>RETAINED</t>
        </is>
      </c>
      <c r="H647" s="23" t="inlineStr">
        <is>
          <t>Carried forward</t>
        </is>
      </c>
      <c r="I647" s="23" t="inlineStr">
        <is>
          <t>Source assignment -- not individually reviewed</t>
        </is>
      </c>
      <c r="J647" s="23" t="inlineStr"/>
      <c r="K647" s="23" t="inlineStr">
        <is>
          <t>Source assignment</t>
        </is>
      </c>
      <c r="L647" s="23" t="inlineStr"/>
      <c r="M647" s="23" t="inlineStr">
        <is>
          <t>Contractor Programme Cycle 2</t>
        </is>
      </c>
      <c r="N647" s="23" t="inlineStr">
        <is>
          <t>Rev 1</t>
        </is>
      </c>
      <c r="O647" s="23" t="inlineStr">
        <is>
          <t>R500-v2</t>
        </is>
      </c>
      <c r="P647" s="23" t="inlineStr"/>
      <c r="Q647" s="23" t="inlineStr"/>
      <c r="R647" s="23" t="inlineStr"/>
      <c r="S647" s="23" t="inlineStr"/>
      <c r="T647" s="23" t="inlineStr"/>
      <c r="U647" s="23" t="inlineStr"/>
      <c r="V647" s="23" t="inlineStr">
        <is>
          <t>WBS Code = 1.3.1</t>
        </is>
      </c>
      <c r="W647" s="23" t="inlineStr"/>
    </row>
    <row r="648" ht="49" customHeight="1">
      <c r="A648" s="23" t="inlineStr">
        <is>
          <t>1.3.1</t>
        </is>
      </c>
      <c r="B648" s="23" t="inlineStr">
        <is>
          <t>Systems - Traction Power</t>
        </is>
      </c>
      <c r="C648" s="23" t="inlineStr">
        <is>
          <t>Contractor Programme</t>
        </is>
      </c>
      <c r="D648" s="23" t="inlineStr">
        <is>
          <t>SCH-03-142</t>
        </is>
      </c>
      <c r="E648" s="23" t="inlineStr">
        <is>
          <t>Control Centre: SCADA point-to-point check - release</t>
        </is>
      </c>
      <c r="F648" s="23" t="inlineStr">
        <is>
          <t>ONE_TO_ONE</t>
        </is>
      </c>
      <c r="G648" s="23" t="inlineStr">
        <is>
          <t>RETAINED</t>
        </is>
      </c>
      <c r="H648" s="23" t="inlineStr">
        <is>
          <t>Carried forward</t>
        </is>
      </c>
      <c r="I648" s="23" t="inlineStr">
        <is>
          <t>Source assignment -- not individually reviewed</t>
        </is>
      </c>
      <c r="J648" s="23" t="inlineStr"/>
      <c r="K648" s="23" t="inlineStr">
        <is>
          <t>Source assignment</t>
        </is>
      </c>
      <c r="L648" s="23" t="inlineStr"/>
      <c r="M648" s="23" t="inlineStr">
        <is>
          <t>Contractor Programme Cycle 2</t>
        </is>
      </c>
      <c r="N648" s="23" t="inlineStr">
        <is>
          <t>Rev 1</t>
        </is>
      </c>
      <c r="O648" s="23" t="inlineStr">
        <is>
          <t>R502-v2</t>
        </is>
      </c>
      <c r="P648" s="23" t="inlineStr"/>
      <c r="Q648" s="23" t="inlineStr"/>
      <c r="R648" s="23" t="inlineStr"/>
      <c r="S648" s="23" t="inlineStr"/>
      <c r="T648" s="23" t="inlineStr"/>
      <c r="U648" s="23" t="inlineStr"/>
      <c r="V648" s="23" t="inlineStr">
        <is>
          <t>WBS Code = 1.3.1</t>
        </is>
      </c>
      <c r="W648" s="23" t="inlineStr"/>
    </row>
    <row r="649" ht="49" customHeight="1">
      <c r="A649" s="23" t="inlineStr">
        <is>
          <t>1.3.1</t>
        </is>
      </c>
      <c r="B649" s="23" t="inlineStr">
        <is>
          <t>Systems - Traction Power</t>
        </is>
      </c>
      <c r="C649" s="23" t="inlineStr">
        <is>
          <t>Contractor Programme</t>
        </is>
      </c>
      <c r="D649" s="23" t="inlineStr">
        <is>
          <t>SCH-03-143</t>
        </is>
      </c>
      <c r="E649" s="23" t="inlineStr">
        <is>
          <t>West wayside: traction-power feeder pull - field start</t>
        </is>
      </c>
      <c r="F649" s="23" t="inlineStr">
        <is>
          <t>ONE_TO_ONE</t>
        </is>
      </c>
      <c r="G649" s="23" t="inlineStr">
        <is>
          <t>RETAINED</t>
        </is>
      </c>
      <c r="H649" s="23" t="inlineStr">
        <is>
          <t>Carried forward</t>
        </is>
      </c>
      <c r="I649" s="23" t="inlineStr">
        <is>
          <t>Source assignment -- not individually reviewed</t>
        </is>
      </c>
      <c r="J649" s="23" t="inlineStr"/>
      <c r="K649" s="23" t="inlineStr">
        <is>
          <t>Source assignment</t>
        </is>
      </c>
      <c r="L649" s="23" t="inlineStr"/>
      <c r="M649" s="23" t="inlineStr">
        <is>
          <t>Contractor Programme Cycle 2</t>
        </is>
      </c>
      <c r="N649" s="23" t="inlineStr">
        <is>
          <t>Rev 1</t>
        </is>
      </c>
      <c r="O649" s="23" t="inlineStr">
        <is>
          <t>R503-v2</t>
        </is>
      </c>
      <c r="P649" s="23" t="inlineStr"/>
      <c r="Q649" s="23" t="inlineStr"/>
      <c r="R649" s="23" t="inlineStr"/>
      <c r="S649" s="23" t="inlineStr"/>
      <c r="T649" s="23" t="inlineStr"/>
      <c r="U649" s="23" t="inlineStr"/>
      <c r="V649" s="23" t="inlineStr">
        <is>
          <t>WBS Code = 1.3.1</t>
        </is>
      </c>
      <c r="W649" s="23" t="inlineStr"/>
    </row>
    <row r="650" ht="49" customHeight="1">
      <c r="A650" s="23" t="inlineStr">
        <is>
          <t>1.3.1</t>
        </is>
      </c>
      <c r="B650" s="23" t="inlineStr">
        <is>
          <t>Systems - Traction Power</t>
        </is>
      </c>
      <c r="C650" s="23" t="inlineStr">
        <is>
          <t>Contractor Programme</t>
        </is>
      </c>
      <c r="D650" s="23" t="inlineStr">
        <is>
          <t>SCH-03-145</t>
        </is>
      </c>
      <c r="E650" s="23" t="inlineStr">
        <is>
          <t>Central interlocking: wayside interface test - inspection</t>
        </is>
      </c>
      <c r="F650" s="23" t="inlineStr">
        <is>
          <t>ONE_TO_ONE</t>
        </is>
      </c>
      <c r="G650" s="23" t="inlineStr">
        <is>
          <t>RETAINED</t>
        </is>
      </c>
      <c r="H650" s="23" t="inlineStr">
        <is>
          <t>Carried forward</t>
        </is>
      </c>
      <c r="I650" s="23" t="inlineStr">
        <is>
          <t>Source assignment -- not individually reviewed</t>
        </is>
      </c>
      <c r="J650" s="23" t="inlineStr"/>
      <c r="K650" s="23" t="inlineStr">
        <is>
          <t>Source assignment</t>
        </is>
      </c>
      <c r="L650" s="23" t="inlineStr"/>
      <c r="M650" s="23" t="inlineStr">
        <is>
          <t>Contractor Programme Cycle 2</t>
        </is>
      </c>
      <c r="N650" s="23" t="inlineStr">
        <is>
          <t>Rev 1</t>
        </is>
      </c>
      <c r="O650" s="23" t="inlineStr">
        <is>
          <t>R505-v2</t>
        </is>
      </c>
      <c r="P650" s="23" t="inlineStr"/>
      <c r="Q650" s="23" t="inlineStr"/>
      <c r="R650" s="23" t="inlineStr"/>
      <c r="S650" s="23" t="inlineStr"/>
      <c r="T650" s="23" t="inlineStr"/>
      <c r="U650" s="23" t="inlineStr"/>
      <c r="V650" s="23" t="inlineStr">
        <is>
          <t>WBS Code = 1.3.1</t>
        </is>
      </c>
      <c r="W650" s="23" t="inlineStr"/>
    </row>
    <row r="651" ht="49" customHeight="1">
      <c r="A651" s="23" t="inlineStr">
        <is>
          <t>1.3.1</t>
        </is>
      </c>
      <c r="B651" s="23" t="inlineStr">
        <is>
          <t>Systems - Traction Power</t>
        </is>
      </c>
      <c r="C651" s="23" t="inlineStr">
        <is>
          <t>Contractor Programme</t>
        </is>
      </c>
      <c r="D651" s="23" t="inlineStr">
        <is>
          <t>SCH-03-146</t>
        </is>
      </c>
      <c r="E651" s="23" t="inlineStr">
        <is>
          <t>Harbour Station: signal equipment installation - turnover</t>
        </is>
      </c>
      <c r="F651" s="23" t="inlineStr">
        <is>
          <t>ONE_TO_ONE</t>
        </is>
      </c>
      <c r="G651" s="23" t="inlineStr">
        <is>
          <t>RETAINED</t>
        </is>
      </c>
      <c r="H651" s="23" t="inlineStr">
        <is>
          <t>Carried forward</t>
        </is>
      </c>
      <c r="I651" s="23" t="inlineStr">
        <is>
          <t>Source assignment -- not individually reviewed</t>
        </is>
      </c>
      <c r="J651" s="23" t="inlineStr"/>
      <c r="K651" s="23" t="inlineStr">
        <is>
          <t>Source assignment</t>
        </is>
      </c>
      <c r="L651" s="23" t="inlineStr"/>
      <c r="M651" s="23" t="inlineStr">
        <is>
          <t>Contractor Programme Cycle 2</t>
        </is>
      </c>
      <c r="N651" s="23" t="inlineStr">
        <is>
          <t>Rev 1</t>
        </is>
      </c>
      <c r="O651" s="23" t="inlineStr">
        <is>
          <t>R506-v2</t>
        </is>
      </c>
      <c r="P651" s="23" t="inlineStr"/>
      <c r="Q651" s="23" t="inlineStr"/>
      <c r="R651" s="23" t="inlineStr"/>
      <c r="S651" s="23" t="inlineStr"/>
      <c r="T651" s="23" t="inlineStr"/>
      <c r="U651" s="23" t="inlineStr"/>
      <c r="V651" s="23" t="inlineStr">
        <is>
          <t>WBS Code = 1.3.1</t>
        </is>
      </c>
      <c r="W651" s="23" t="inlineStr"/>
    </row>
    <row r="652" ht="49" customHeight="1">
      <c r="A652" s="23" t="inlineStr">
        <is>
          <t>1.3.1</t>
        </is>
      </c>
      <c r="B652" s="23" t="inlineStr">
        <is>
          <t>Systems - Traction Power</t>
        </is>
      </c>
      <c r="C652" s="23" t="inlineStr">
        <is>
          <t>Contractor Programme</t>
        </is>
      </c>
      <c r="D652" s="23" t="inlineStr">
        <is>
          <t>SCH-03-148</t>
        </is>
      </c>
      <c r="E652" s="23" t="inlineStr">
        <is>
          <t>West wayside: control-centre integration - field start</t>
        </is>
      </c>
      <c r="F652" s="23" t="inlineStr">
        <is>
          <t>ONE_TO_ONE</t>
        </is>
      </c>
      <c r="G652" s="23" t="inlineStr">
        <is>
          <t>RETAINED</t>
        </is>
      </c>
      <c r="H652" s="23" t="inlineStr">
        <is>
          <t>Carried forward</t>
        </is>
      </c>
      <c r="I652" s="23" t="inlineStr">
        <is>
          <t>Source assignment -- not individually reviewed</t>
        </is>
      </c>
      <c r="J652" s="23" t="inlineStr"/>
      <c r="K652" s="23" t="inlineStr">
        <is>
          <t>Source assignment</t>
        </is>
      </c>
      <c r="L652" s="23" t="inlineStr"/>
      <c r="M652" s="23" t="inlineStr">
        <is>
          <t>Contractor Programme Cycle 2</t>
        </is>
      </c>
      <c r="N652" s="23" t="inlineStr">
        <is>
          <t>Rev 1</t>
        </is>
      </c>
      <c r="O652" s="23" t="inlineStr">
        <is>
          <t>R508-v2</t>
        </is>
      </c>
      <c r="P652" s="23" t="inlineStr"/>
      <c r="Q652" s="23" t="inlineStr"/>
      <c r="R652" s="23" t="inlineStr"/>
      <c r="S652" s="23" t="inlineStr"/>
      <c r="T652" s="23" t="inlineStr"/>
      <c r="U652" s="23" t="inlineStr"/>
      <c r="V652" s="23" t="inlineStr">
        <is>
          <t>WBS Code = 1.3.1</t>
        </is>
      </c>
      <c r="W652" s="23" t="inlineStr"/>
    </row>
    <row r="653" ht="49" customHeight="1">
      <c r="A653" s="23" t="inlineStr">
        <is>
          <t>1.3.1</t>
        </is>
      </c>
      <c r="B653" s="23" t="inlineStr">
        <is>
          <t>Systems - Traction Power</t>
        </is>
      </c>
      <c r="C653" s="23" t="inlineStr">
        <is>
          <t>Contractor Programme</t>
        </is>
      </c>
      <c r="D653" s="23" t="inlineStr">
        <is>
          <t>SCH-03-149</t>
        </is>
      </c>
      <c r="E653" s="23" t="inlineStr">
        <is>
          <t>East substation: fibre backbone termination - installation</t>
        </is>
      </c>
      <c r="F653" s="23" t="inlineStr">
        <is>
          <t>ONE_TO_ONE</t>
        </is>
      </c>
      <c r="G653" s="23" t="inlineStr">
        <is>
          <t>RETAINED</t>
        </is>
      </c>
      <c r="H653" s="23" t="inlineStr">
        <is>
          <t>Carried forward</t>
        </is>
      </c>
      <c r="I653" s="23" t="inlineStr">
        <is>
          <t>Source assignment -- not individually reviewed</t>
        </is>
      </c>
      <c r="J653" s="23" t="inlineStr"/>
      <c r="K653" s="23" t="inlineStr">
        <is>
          <t>Source assignment</t>
        </is>
      </c>
      <c r="L653" s="23" t="inlineStr"/>
      <c r="M653" s="23" t="inlineStr">
        <is>
          <t>Contractor Programme Cycle 2</t>
        </is>
      </c>
      <c r="N653" s="23" t="inlineStr">
        <is>
          <t>Rev 1</t>
        </is>
      </c>
      <c r="O653" s="23" t="inlineStr">
        <is>
          <t>R509-v2</t>
        </is>
      </c>
      <c r="P653" s="23" t="inlineStr"/>
      <c r="Q653" s="23" t="inlineStr"/>
      <c r="R653" s="23" t="inlineStr"/>
      <c r="S653" s="23" t="inlineStr"/>
      <c r="T653" s="23" t="inlineStr"/>
      <c r="U653" s="23" t="inlineStr"/>
      <c r="V653" s="23" t="inlineStr">
        <is>
          <t>WBS Code = 1.3.1</t>
        </is>
      </c>
      <c r="W653" s="23" t="inlineStr"/>
    </row>
    <row r="654" ht="49" customHeight="1">
      <c r="A654" s="23" t="inlineStr">
        <is>
          <t>1.3.1</t>
        </is>
      </c>
      <c r="B654" s="23" t="inlineStr">
        <is>
          <t>Systems - Traction Power</t>
        </is>
      </c>
      <c r="C654" s="23" t="inlineStr">
        <is>
          <t>Contractor Programme</t>
        </is>
      </c>
      <c r="D654" s="23" t="inlineStr">
        <is>
          <t>SCH-03-151</t>
        </is>
      </c>
      <c r="E654" s="23" t="inlineStr">
        <is>
          <t>Harbour Station: traction-power feeder pull - turnover</t>
        </is>
      </c>
      <c r="F654" s="23" t="inlineStr">
        <is>
          <t>ONE_TO_ONE</t>
        </is>
      </c>
      <c r="G654" s="23" t="inlineStr">
        <is>
          <t>RETAINED</t>
        </is>
      </c>
      <c r="H654" s="23" t="inlineStr">
        <is>
          <t>Carried forward</t>
        </is>
      </c>
      <c r="I654" s="23" t="inlineStr">
        <is>
          <t>Source assignment -- not individually reviewed</t>
        </is>
      </c>
      <c r="J654" s="23" t="inlineStr"/>
      <c r="K654" s="23" t="inlineStr">
        <is>
          <t>Source assignment</t>
        </is>
      </c>
      <c r="L654" s="23" t="inlineStr"/>
      <c r="M654" s="23" t="inlineStr">
        <is>
          <t>Contractor Programme Cycle 2</t>
        </is>
      </c>
      <c r="N654" s="23" t="inlineStr">
        <is>
          <t>Rev 1</t>
        </is>
      </c>
      <c r="O654" s="23" t="inlineStr">
        <is>
          <t>R511-v2</t>
        </is>
      </c>
      <c r="P654" s="23" t="inlineStr"/>
      <c r="Q654" s="23" t="inlineStr"/>
      <c r="R654" s="23" t="inlineStr"/>
      <c r="S654" s="23" t="inlineStr"/>
      <c r="T654" s="23" t="inlineStr"/>
      <c r="U654" s="23" t="inlineStr"/>
      <c r="V654" s="23" t="inlineStr">
        <is>
          <t>WBS Code = 1.3.1</t>
        </is>
      </c>
      <c r="W654" s="23" t="inlineStr"/>
    </row>
    <row r="655" ht="49" customHeight="1">
      <c r="A655" s="23" t="inlineStr">
        <is>
          <t>1.3.1</t>
        </is>
      </c>
      <c r="B655" s="23" t="inlineStr">
        <is>
          <t>Systems - Traction Power</t>
        </is>
      </c>
      <c r="C655" s="23" t="inlineStr">
        <is>
          <t>Contractor Programme</t>
        </is>
      </c>
      <c r="D655" s="23" t="inlineStr">
        <is>
          <t>SCH-03-152</t>
        </is>
      </c>
      <c r="E655" s="23" t="inlineStr">
        <is>
          <t>Control Centre: train-control cabinet fit-out - release</t>
        </is>
      </c>
      <c r="F655" s="23" t="inlineStr">
        <is>
          <t>ONE_TO_ONE</t>
        </is>
      </c>
      <c r="G655" s="23" t="inlineStr">
        <is>
          <t>RETAINED</t>
        </is>
      </c>
      <c r="H655" s="23" t="inlineStr">
        <is>
          <t>Carried forward</t>
        </is>
      </c>
      <c r="I655" s="23" t="inlineStr">
        <is>
          <t>Source assignment -- not individually reviewed</t>
        </is>
      </c>
      <c r="J655" s="23" t="inlineStr"/>
      <c r="K655" s="23" t="inlineStr">
        <is>
          <t>Source assignment</t>
        </is>
      </c>
      <c r="L655" s="23" t="inlineStr"/>
      <c r="M655" s="23" t="inlineStr">
        <is>
          <t>Contractor Programme Cycle 2</t>
        </is>
      </c>
      <c r="N655" s="23" t="inlineStr">
        <is>
          <t>Rev 1</t>
        </is>
      </c>
      <c r="O655" s="23" t="inlineStr">
        <is>
          <t>R512-v2</t>
        </is>
      </c>
      <c r="P655" s="23" t="inlineStr"/>
      <c r="Q655" s="23" t="inlineStr"/>
      <c r="R655" s="23" t="inlineStr"/>
      <c r="S655" s="23" t="inlineStr"/>
      <c r="T655" s="23" t="inlineStr"/>
      <c r="U655" s="23" t="inlineStr"/>
      <c r="V655" s="23" t="inlineStr">
        <is>
          <t>WBS Code = 1.3.1</t>
        </is>
      </c>
      <c r="W655" s="23" t="inlineStr"/>
    </row>
    <row r="656" ht="49" customHeight="1">
      <c r="A656" s="23" t="inlineStr">
        <is>
          <t>1.3.1</t>
        </is>
      </c>
      <c r="B656" s="23" t="inlineStr">
        <is>
          <t>Systems - Traction Power</t>
        </is>
      </c>
      <c r="C656" s="23" t="inlineStr">
        <is>
          <t>Contractor Programme</t>
        </is>
      </c>
      <c r="D656" s="23" t="inlineStr">
        <is>
          <t>SCH-03-154</t>
        </is>
      </c>
      <c r="E656" s="23" t="inlineStr">
        <is>
          <t>East substation: signal equipment installation - installation</t>
        </is>
      </c>
      <c r="F656" s="23" t="inlineStr">
        <is>
          <t>ONE_TO_ONE</t>
        </is>
      </c>
      <c r="G656" s="23" t="inlineStr">
        <is>
          <t>RETAINED</t>
        </is>
      </c>
      <c r="H656" s="23" t="inlineStr">
        <is>
          <t>Carried forward</t>
        </is>
      </c>
      <c r="I656" s="23" t="inlineStr">
        <is>
          <t>Source assignment -- not individually reviewed</t>
        </is>
      </c>
      <c r="J656" s="23" t="inlineStr"/>
      <c r="K656" s="23" t="inlineStr">
        <is>
          <t>Source assignment</t>
        </is>
      </c>
      <c r="L656" s="23" t="inlineStr"/>
      <c r="M656" s="23" t="inlineStr">
        <is>
          <t>Contractor Programme Cycle 2</t>
        </is>
      </c>
      <c r="N656" s="23" t="inlineStr">
        <is>
          <t>Rev 1</t>
        </is>
      </c>
      <c r="O656" s="23" t="inlineStr">
        <is>
          <t>R514-v2</t>
        </is>
      </c>
      <c r="P656" s="23" t="inlineStr"/>
      <c r="Q656" s="23" t="inlineStr"/>
      <c r="R656" s="23" t="inlineStr"/>
      <c r="S656" s="23" t="inlineStr"/>
      <c r="T656" s="23" t="inlineStr"/>
      <c r="U656" s="23" t="inlineStr"/>
      <c r="V656" s="23" t="inlineStr">
        <is>
          <t>WBS Code = 1.3.1</t>
        </is>
      </c>
      <c r="W656" s="23" t="inlineStr"/>
    </row>
    <row r="657" ht="49" customHeight="1">
      <c r="A657" s="23" t="inlineStr">
        <is>
          <t>1.3.1</t>
        </is>
      </c>
      <c r="B657" s="23" t="inlineStr">
        <is>
          <t>Systems - Traction Power</t>
        </is>
      </c>
      <c r="C657" s="23" t="inlineStr">
        <is>
          <t>Contractor Programme</t>
        </is>
      </c>
      <c r="D657" s="23" t="inlineStr">
        <is>
          <t>SCH-03-155</t>
        </is>
      </c>
      <c r="E657" s="23" t="inlineStr">
        <is>
          <t>Central interlocking: radio equipment installation - inspection</t>
        </is>
      </c>
      <c r="F657" s="23" t="inlineStr">
        <is>
          <t>ONE_TO_ONE</t>
        </is>
      </c>
      <c r="G657" s="23" t="inlineStr">
        <is>
          <t>RETAINED</t>
        </is>
      </c>
      <c r="H657" s="23" t="inlineStr">
        <is>
          <t>Carried forward</t>
        </is>
      </c>
      <c r="I657" s="23" t="inlineStr">
        <is>
          <t>Source assignment -- not individually reviewed</t>
        </is>
      </c>
      <c r="J657" s="23" t="inlineStr"/>
      <c r="K657" s="23" t="inlineStr">
        <is>
          <t>Source assignment</t>
        </is>
      </c>
      <c r="L657" s="23" t="inlineStr"/>
      <c r="M657" s="23" t="inlineStr">
        <is>
          <t>Contractor Programme Cycle 2</t>
        </is>
      </c>
      <c r="N657" s="23" t="inlineStr">
        <is>
          <t>Rev 1</t>
        </is>
      </c>
      <c r="O657" s="23" t="inlineStr">
        <is>
          <t>R515-v2</t>
        </is>
      </c>
      <c r="P657" s="23" t="inlineStr"/>
      <c r="Q657" s="23" t="inlineStr"/>
      <c r="R657" s="23" t="inlineStr"/>
      <c r="S657" s="23" t="inlineStr"/>
      <c r="T657" s="23" t="inlineStr"/>
      <c r="U657" s="23" t="inlineStr"/>
      <c r="V657" s="23" t="inlineStr">
        <is>
          <t>WBS Code = 1.3.1</t>
        </is>
      </c>
      <c r="W657" s="23" t="inlineStr"/>
    </row>
    <row r="658" ht="49" customHeight="1">
      <c r="A658" s="23" t="inlineStr">
        <is>
          <t>1.3.1</t>
        </is>
      </c>
      <c r="B658" s="23" t="inlineStr">
        <is>
          <t>Systems - Traction Power</t>
        </is>
      </c>
      <c r="C658" s="23" t="inlineStr">
        <is>
          <t>Contractor Programme</t>
        </is>
      </c>
      <c r="D658" s="23" t="inlineStr">
        <is>
          <t>SCH-03-157</t>
        </is>
      </c>
      <c r="E658" s="23" t="inlineStr">
        <is>
          <t>Control Centre: fibre backbone termination - release</t>
        </is>
      </c>
      <c r="F658" s="23" t="inlineStr">
        <is>
          <t>ONE_TO_ONE</t>
        </is>
      </c>
      <c r="G658" s="23" t="inlineStr">
        <is>
          <t>RETAINED</t>
        </is>
      </c>
      <c r="H658" s="23" t="inlineStr">
        <is>
          <t>Carried forward</t>
        </is>
      </c>
      <c r="I658" s="23" t="inlineStr">
        <is>
          <t>Source assignment -- not individually reviewed</t>
        </is>
      </c>
      <c r="J658" s="23" t="inlineStr"/>
      <c r="K658" s="23" t="inlineStr">
        <is>
          <t>Source assignment</t>
        </is>
      </c>
      <c r="L658" s="23" t="inlineStr"/>
      <c r="M658" s="23" t="inlineStr">
        <is>
          <t>Contractor Programme Cycle 2</t>
        </is>
      </c>
      <c r="N658" s="23" t="inlineStr">
        <is>
          <t>Rev 1</t>
        </is>
      </c>
      <c r="O658" s="23" t="inlineStr">
        <is>
          <t>R517-v2</t>
        </is>
      </c>
      <c r="P658" s="23" t="inlineStr"/>
      <c r="Q658" s="23" t="inlineStr"/>
      <c r="R658" s="23" t="inlineStr"/>
      <c r="S658" s="23" t="inlineStr"/>
      <c r="T658" s="23" t="inlineStr"/>
      <c r="U658" s="23" t="inlineStr"/>
      <c r="V658" s="23" t="inlineStr">
        <is>
          <t>WBS Code = 1.3.1</t>
        </is>
      </c>
      <c r="W658" s="23" t="inlineStr"/>
    </row>
    <row r="659" ht="49" customHeight="1">
      <c r="A659" s="23" t="inlineStr">
        <is>
          <t>1.3.1</t>
        </is>
      </c>
      <c r="B659" s="23" t="inlineStr">
        <is>
          <t>Systems - Traction Power</t>
        </is>
      </c>
      <c r="C659" s="23" t="inlineStr">
        <is>
          <t>Contractor Programme</t>
        </is>
      </c>
      <c r="D659" s="23" t="inlineStr">
        <is>
          <t>SCH-03-158</t>
        </is>
      </c>
      <c r="E659" s="23" t="inlineStr">
        <is>
          <t>West wayside: SCADA point-to-point check - field start</t>
        </is>
      </c>
      <c r="F659" s="23" t="inlineStr">
        <is>
          <t>ONE_TO_ONE</t>
        </is>
      </c>
      <c r="G659" s="23" t="inlineStr">
        <is>
          <t>RETAINED</t>
        </is>
      </c>
      <c r="H659" s="23" t="inlineStr">
        <is>
          <t>Carried forward</t>
        </is>
      </c>
      <c r="I659" s="23" t="inlineStr">
        <is>
          <t>Source assignment -- not individually reviewed</t>
        </is>
      </c>
      <c r="J659" s="23" t="inlineStr"/>
      <c r="K659" s="23" t="inlineStr">
        <is>
          <t>Source assignment</t>
        </is>
      </c>
      <c r="L659" s="23" t="inlineStr"/>
      <c r="M659" s="23" t="inlineStr">
        <is>
          <t>Contractor Programme Cycle 2</t>
        </is>
      </c>
      <c r="N659" s="23" t="inlineStr">
        <is>
          <t>Rev 1</t>
        </is>
      </c>
      <c r="O659" s="23" t="inlineStr">
        <is>
          <t>R518-v2</t>
        </is>
      </c>
      <c r="P659" s="23" t="inlineStr"/>
      <c r="Q659" s="23" t="inlineStr"/>
      <c r="R659" s="23" t="inlineStr"/>
      <c r="S659" s="23" t="inlineStr"/>
      <c r="T659" s="23" t="inlineStr"/>
      <c r="U659" s="23" t="inlineStr"/>
      <c r="V659" s="23" t="inlineStr">
        <is>
          <t>WBS Code = 1.3.1</t>
        </is>
      </c>
      <c r="W659" s="23" t="inlineStr"/>
    </row>
    <row r="660" ht="49" customHeight="1">
      <c r="A660" s="23" t="inlineStr">
        <is>
          <t>1.3.1</t>
        </is>
      </c>
      <c r="B660" s="23" t="inlineStr">
        <is>
          <t>Systems - Traction Power</t>
        </is>
      </c>
      <c r="C660" s="23" t="inlineStr">
        <is>
          <t>Contractor Programme</t>
        </is>
      </c>
      <c r="D660" s="23" t="inlineStr">
        <is>
          <t>SCH-03-160</t>
        </is>
      </c>
      <c r="E660" s="23" t="inlineStr">
        <is>
          <t>Central interlocking: train-control cabinet fit-out - inspection</t>
        </is>
      </c>
      <c r="F660" s="23" t="inlineStr">
        <is>
          <t>ONE_TO_ONE</t>
        </is>
      </c>
      <c r="G660" s="23" t="inlineStr">
        <is>
          <t>RETAINED</t>
        </is>
      </c>
      <c r="H660" s="23" t="inlineStr">
        <is>
          <t>Carried forward</t>
        </is>
      </c>
      <c r="I660" s="23" t="inlineStr">
        <is>
          <t>Source assignment -- not individually reviewed</t>
        </is>
      </c>
      <c r="J660" s="23" t="inlineStr"/>
      <c r="K660" s="23" t="inlineStr">
        <is>
          <t>Source assignment</t>
        </is>
      </c>
      <c r="L660" s="23" t="inlineStr"/>
      <c r="M660" s="23" t="inlineStr">
        <is>
          <t>Contractor Programme Cycle 2</t>
        </is>
      </c>
      <c r="N660" s="23" t="inlineStr">
        <is>
          <t>Rev 1</t>
        </is>
      </c>
      <c r="O660" s="23" t="inlineStr">
        <is>
          <t>R520-v2</t>
        </is>
      </c>
      <c r="P660" s="23" t="inlineStr"/>
      <c r="Q660" s="23" t="inlineStr"/>
      <c r="R660" s="23" t="inlineStr"/>
      <c r="S660" s="23" t="inlineStr"/>
      <c r="T660" s="23" t="inlineStr"/>
      <c r="U660" s="23" t="inlineStr"/>
      <c r="V660" s="23" t="inlineStr">
        <is>
          <t>WBS Code = 1.3.1</t>
        </is>
      </c>
      <c r="W660" s="23" t="inlineStr"/>
    </row>
    <row r="661" ht="49" customHeight="1">
      <c r="A661" s="23" t="inlineStr">
        <is>
          <t>1.3.1</t>
        </is>
      </c>
      <c r="B661" s="23" t="inlineStr">
        <is>
          <t>Systems - Traction Power</t>
        </is>
      </c>
      <c r="C661" s="23" t="inlineStr">
        <is>
          <t>Contractor Programme</t>
        </is>
      </c>
      <c r="D661" s="23" t="inlineStr">
        <is>
          <t>SCH-03-161</t>
        </is>
      </c>
      <c r="E661" s="23" t="inlineStr">
        <is>
          <t>Harbour Station: wayside interface test - turnover</t>
        </is>
      </c>
      <c r="F661" s="23" t="inlineStr">
        <is>
          <t>ONE_TO_ONE</t>
        </is>
      </c>
      <c r="G661" s="23" t="inlineStr">
        <is>
          <t>RETAINED</t>
        </is>
      </c>
      <c r="H661" s="23" t="inlineStr">
        <is>
          <t>Carried forward</t>
        </is>
      </c>
      <c r="I661" s="23" t="inlineStr">
        <is>
          <t>Source assignment -- not individually reviewed</t>
        </is>
      </c>
      <c r="J661" s="23" t="inlineStr"/>
      <c r="K661" s="23" t="inlineStr">
        <is>
          <t>Source assignment</t>
        </is>
      </c>
      <c r="L661" s="23" t="inlineStr"/>
      <c r="M661" s="23" t="inlineStr">
        <is>
          <t>Contractor Programme Cycle 2</t>
        </is>
      </c>
      <c r="N661" s="23" t="inlineStr">
        <is>
          <t>Rev 1</t>
        </is>
      </c>
      <c r="O661" s="23" t="inlineStr">
        <is>
          <t>R521-v2</t>
        </is>
      </c>
      <c r="P661" s="23" t="inlineStr"/>
      <c r="Q661" s="23" t="inlineStr"/>
      <c r="R661" s="23" t="inlineStr"/>
      <c r="S661" s="23" t="inlineStr"/>
      <c r="T661" s="23" t="inlineStr"/>
      <c r="U661" s="23" t="inlineStr"/>
      <c r="V661" s="23" t="inlineStr">
        <is>
          <t>WBS Code = 1.3.1</t>
        </is>
      </c>
      <c r="W661" s="23" t="inlineStr"/>
    </row>
    <row r="662" ht="49" customHeight="1">
      <c r="A662" s="23" t="inlineStr">
        <is>
          <t>1.3.1</t>
        </is>
      </c>
      <c r="B662" s="23" t="inlineStr">
        <is>
          <t>Systems - Traction Power</t>
        </is>
      </c>
      <c r="C662" s="23" t="inlineStr">
        <is>
          <t>Contractor Programme</t>
        </is>
      </c>
      <c r="D662" s="23" t="inlineStr">
        <is>
          <t>SCH-03-163</t>
        </is>
      </c>
      <c r="E662" s="23" t="inlineStr">
        <is>
          <t>West wayside: radio equipment installation - field start</t>
        </is>
      </c>
      <c r="F662" s="23" t="inlineStr">
        <is>
          <t>ONE_TO_ONE</t>
        </is>
      </c>
      <c r="G662" s="23" t="inlineStr">
        <is>
          <t>RETAINED</t>
        </is>
      </c>
      <c r="H662" s="23" t="inlineStr">
        <is>
          <t>Carried forward</t>
        </is>
      </c>
      <c r="I662" s="23" t="inlineStr">
        <is>
          <t>Source assignment -- not individually reviewed</t>
        </is>
      </c>
      <c r="J662" s="23" t="inlineStr"/>
      <c r="K662" s="23" t="inlineStr">
        <is>
          <t>Source assignment</t>
        </is>
      </c>
      <c r="L662" s="23" t="inlineStr"/>
      <c r="M662" s="23" t="inlineStr">
        <is>
          <t>Contractor Programme Cycle 2</t>
        </is>
      </c>
      <c r="N662" s="23" t="inlineStr">
        <is>
          <t>Rev 1</t>
        </is>
      </c>
      <c r="O662" s="23" t="inlineStr">
        <is>
          <t>R523-v2</t>
        </is>
      </c>
      <c r="P662" s="23" t="inlineStr"/>
      <c r="Q662" s="23" t="inlineStr"/>
      <c r="R662" s="23" t="inlineStr"/>
      <c r="S662" s="23" t="inlineStr"/>
      <c r="T662" s="23" t="inlineStr"/>
      <c r="U662" s="23" t="inlineStr"/>
      <c r="V662" s="23" t="inlineStr">
        <is>
          <t>WBS Code = 1.3.1</t>
        </is>
      </c>
      <c r="W662" s="23" t="inlineStr"/>
    </row>
    <row r="663" ht="49" customHeight="1">
      <c r="A663" s="23" t="inlineStr">
        <is>
          <t>1.3.1</t>
        </is>
      </c>
      <c r="B663" s="23" t="inlineStr">
        <is>
          <t>Systems - Traction Power</t>
        </is>
      </c>
      <c r="C663" s="23" t="inlineStr">
        <is>
          <t>Contractor Programme</t>
        </is>
      </c>
      <c r="D663" s="23" t="inlineStr">
        <is>
          <t>SCH-03-164</t>
        </is>
      </c>
      <c r="E663" s="23" t="inlineStr">
        <is>
          <t>East substation: control-centre integration - installation</t>
        </is>
      </c>
      <c r="F663" s="23" t="inlineStr">
        <is>
          <t>ONE_TO_ONE</t>
        </is>
      </c>
      <c r="G663" s="23" t="inlineStr">
        <is>
          <t>RETAINED</t>
        </is>
      </c>
      <c r="H663" s="23" t="inlineStr">
        <is>
          <t>Carried forward</t>
        </is>
      </c>
      <c r="I663" s="23" t="inlineStr">
        <is>
          <t>Source assignment -- not individually reviewed</t>
        </is>
      </c>
      <c r="J663" s="23" t="inlineStr"/>
      <c r="K663" s="23" t="inlineStr">
        <is>
          <t>Source assignment</t>
        </is>
      </c>
      <c r="L663" s="23" t="inlineStr"/>
      <c r="M663" s="23" t="inlineStr">
        <is>
          <t>Contractor Programme Cycle 2</t>
        </is>
      </c>
      <c r="N663" s="23" t="inlineStr">
        <is>
          <t>Rev 1</t>
        </is>
      </c>
      <c r="O663" s="23" t="inlineStr">
        <is>
          <t>R524-v2</t>
        </is>
      </c>
      <c r="P663" s="23" t="inlineStr"/>
      <c r="Q663" s="23" t="inlineStr"/>
      <c r="R663" s="23" t="inlineStr"/>
      <c r="S663" s="23" t="inlineStr"/>
      <c r="T663" s="23" t="inlineStr"/>
      <c r="U663" s="23" t="inlineStr"/>
      <c r="V663" s="23" t="inlineStr">
        <is>
          <t>WBS Code = 1.3.1</t>
        </is>
      </c>
      <c r="W663" s="23" t="inlineStr"/>
    </row>
    <row r="664" ht="49" customHeight="1">
      <c r="A664" s="23" t="inlineStr">
        <is>
          <t>1.3.1</t>
        </is>
      </c>
      <c r="B664" s="23" t="inlineStr">
        <is>
          <t>Systems - Traction Power</t>
        </is>
      </c>
      <c r="C664" s="23" t="inlineStr">
        <is>
          <t>Contractor Programme</t>
        </is>
      </c>
      <c r="D664" s="23" t="inlineStr">
        <is>
          <t>SCH-03-166</t>
        </is>
      </c>
      <c r="E664" s="23" t="inlineStr">
        <is>
          <t>Harbour Station: SCADA point-to-point check - turnover</t>
        </is>
      </c>
      <c r="F664" s="23" t="inlineStr">
        <is>
          <t>ONE_TO_ONE</t>
        </is>
      </c>
      <c r="G664" s="23" t="inlineStr">
        <is>
          <t>RETAINED</t>
        </is>
      </c>
      <c r="H664" s="23" t="inlineStr">
        <is>
          <t>Carried forward</t>
        </is>
      </c>
      <c r="I664" s="23" t="inlineStr">
        <is>
          <t>Source assignment -- not individually reviewed</t>
        </is>
      </c>
      <c r="J664" s="23" t="inlineStr"/>
      <c r="K664" s="23" t="inlineStr">
        <is>
          <t>Source assignment</t>
        </is>
      </c>
      <c r="L664" s="23" t="inlineStr"/>
      <c r="M664" s="23" t="inlineStr">
        <is>
          <t>Contractor Programme Cycle 2</t>
        </is>
      </c>
      <c r="N664" s="23" t="inlineStr">
        <is>
          <t>Rev 1</t>
        </is>
      </c>
      <c r="O664" s="23" t="inlineStr">
        <is>
          <t>R526-v2</t>
        </is>
      </c>
      <c r="P664" s="23" t="inlineStr"/>
      <c r="Q664" s="23" t="inlineStr"/>
      <c r="R664" s="23" t="inlineStr"/>
      <c r="S664" s="23" t="inlineStr"/>
      <c r="T664" s="23" t="inlineStr"/>
      <c r="U664" s="23" t="inlineStr"/>
      <c r="V664" s="23" t="inlineStr">
        <is>
          <t>WBS Code = 1.3.1</t>
        </is>
      </c>
      <c r="W664" s="23" t="inlineStr"/>
    </row>
    <row r="665" ht="49" customHeight="1">
      <c r="A665" s="23" t="inlineStr">
        <is>
          <t>1.3.1</t>
        </is>
      </c>
      <c r="B665" s="23" t="inlineStr">
        <is>
          <t>Systems - Traction Power</t>
        </is>
      </c>
      <c r="C665" s="23" t="inlineStr">
        <is>
          <t>Contractor Programme</t>
        </is>
      </c>
      <c r="D665" s="23" t="inlineStr">
        <is>
          <t>SCH-03-167</t>
        </is>
      </c>
      <c r="E665" s="23" t="inlineStr">
        <is>
          <t>Control Centre: traction-power feeder pull - release</t>
        </is>
      </c>
      <c r="F665" s="23" t="inlineStr">
        <is>
          <t>ONE_TO_ONE</t>
        </is>
      </c>
      <c r="G665" s="23" t="inlineStr">
        <is>
          <t>RETAINED</t>
        </is>
      </c>
      <c r="H665" s="23" t="inlineStr">
        <is>
          <t>Carried forward</t>
        </is>
      </c>
      <c r="I665" s="23" t="inlineStr">
        <is>
          <t>Source assignment -- not individually reviewed</t>
        </is>
      </c>
      <c r="J665" s="23" t="inlineStr"/>
      <c r="K665" s="23" t="inlineStr">
        <is>
          <t>Source assignment</t>
        </is>
      </c>
      <c r="L665" s="23" t="inlineStr"/>
      <c r="M665" s="23" t="inlineStr">
        <is>
          <t>Contractor Programme Cycle 2</t>
        </is>
      </c>
      <c r="N665" s="23" t="inlineStr">
        <is>
          <t>Rev 1</t>
        </is>
      </c>
      <c r="O665" s="23" t="inlineStr">
        <is>
          <t>R527-v2</t>
        </is>
      </c>
      <c r="P665" s="23" t="inlineStr"/>
      <c r="Q665" s="23" t="inlineStr"/>
      <c r="R665" s="23" t="inlineStr"/>
      <c r="S665" s="23" t="inlineStr"/>
      <c r="T665" s="23" t="inlineStr"/>
      <c r="U665" s="23" t="inlineStr"/>
      <c r="V665" s="23" t="inlineStr">
        <is>
          <t>WBS Code = 1.3.1</t>
        </is>
      </c>
      <c r="W665" s="23" t="inlineStr"/>
    </row>
    <row r="666" ht="49" customHeight="1">
      <c r="A666" s="23" t="inlineStr">
        <is>
          <t>1.3.1</t>
        </is>
      </c>
      <c r="B666" s="23" t="inlineStr">
        <is>
          <t>Systems - Traction Power</t>
        </is>
      </c>
      <c r="C666" s="23" t="inlineStr">
        <is>
          <t>Contractor Programme</t>
        </is>
      </c>
      <c r="D666" s="23" t="inlineStr">
        <is>
          <t>SCH-03-169</t>
        </is>
      </c>
      <c r="E666" s="23" t="inlineStr">
        <is>
          <t>East substation: wayside interface test - installation</t>
        </is>
      </c>
      <c r="F666" s="23" t="inlineStr">
        <is>
          <t>ONE_TO_ONE</t>
        </is>
      </c>
      <c r="G666" s="23" t="inlineStr">
        <is>
          <t>RETAINED</t>
        </is>
      </c>
      <c r="H666" s="23" t="inlineStr">
        <is>
          <t>Carried forward</t>
        </is>
      </c>
      <c r="I666" s="23" t="inlineStr">
        <is>
          <t>Source assignment -- not individually reviewed</t>
        </is>
      </c>
      <c r="J666" s="23" t="inlineStr"/>
      <c r="K666" s="23" t="inlineStr">
        <is>
          <t>Source assignment</t>
        </is>
      </c>
      <c r="L666" s="23" t="inlineStr"/>
      <c r="M666" s="23" t="inlineStr">
        <is>
          <t>Contractor Programme Cycle 2</t>
        </is>
      </c>
      <c r="N666" s="23" t="inlineStr">
        <is>
          <t>Rev 1</t>
        </is>
      </c>
      <c r="O666" s="23" t="inlineStr">
        <is>
          <t>R529-v2</t>
        </is>
      </c>
      <c r="P666" s="23" t="inlineStr"/>
      <c r="Q666" s="23" t="inlineStr"/>
      <c r="R666" s="23" t="inlineStr"/>
      <c r="S666" s="23" t="inlineStr"/>
      <c r="T666" s="23" t="inlineStr"/>
      <c r="U666" s="23" t="inlineStr"/>
      <c r="V666" s="23" t="inlineStr">
        <is>
          <t>WBS Code = 1.3.1</t>
        </is>
      </c>
      <c r="W666" s="23" t="inlineStr"/>
    </row>
    <row r="667" ht="49" customHeight="1">
      <c r="A667" s="23" t="inlineStr">
        <is>
          <t>1.3.1</t>
        </is>
      </c>
      <c r="B667" s="23" t="inlineStr">
        <is>
          <t>Systems - Traction Power</t>
        </is>
      </c>
      <c r="C667" s="23" t="inlineStr">
        <is>
          <t>Contractor Programme</t>
        </is>
      </c>
      <c r="D667" s="23" t="inlineStr">
        <is>
          <t>SCH-03-170</t>
        </is>
      </c>
      <c r="E667" s="23" t="inlineStr">
        <is>
          <t>Central interlocking: signal equipment installation - inspection</t>
        </is>
      </c>
      <c r="F667" s="23" t="inlineStr">
        <is>
          <t>ONE_TO_ONE</t>
        </is>
      </c>
      <c r="G667" s="23" t="inlineStr">
        <is>
          <t>RETAINED</t>
        </is>
      </c>
      <c r="H667" s="23" t="inlineStr">
        <is>
          <t>Carried forward</t>
        </is>
      </c>
      <c r="I667" s="23" t="inlineStr">
        <is>
          <t>Source assignment -- not individually reviewed</t>
        </is>
      </c>
      <c r="J667" s="23" t="inlineStr"/>
      <c r="K667" s="23" t="inlineStr">
        <is>
          <t>Source assignment</t>
        </is>
      </c>
      <c r="L667" s="23" t="inlineStr"/>
      <c r="M667" s="23" t="inlineStr">
        <is>
          <t>Contractor Programme Cycle 2</t>
        </is>
      </c>
      <c r="N667" s="23" t="inlineStr">
        <is>
          <t>Rev 1</t>
        </is>
      </c>
      <c r="O667" s="23" t="inlineStr">
        <is>
          <t>R530-v2</t>
        </is>
      </c>
      <c r="P667" s="23" t="inlineStr"/>
      <c r="Q667" s="23" t="inlineStr"/>
      <c r="R667" s="23" t="inlineStr"/>
      <c r="S667" s="23" t="inlineStr"/>
      <c r="T667" s="23" t="inlineStr"/>
      <c r="U667" s="23" t="inlineStr"/>
      <c r="V667" s="23" t="inlineStr">
        <is>
          <t>WBS Code = 1.3.1</t>
        </is>
      </c>
      <c r="W667" s="23" t="inlineStr"/>
    </row>
    <row r="668" ht="49" customHeight="1">
      <c r="A668" s="23" t="inlineStr">
        <is>
          <t>1.3.1</t>
        </is>
      </c>
      <c r="B668" s="23" t="inlineStr">
        <is>
          <t>Systems - Traction Power</t>
        </is>
      </c>
      <c r="C668" s="23" t="inlineStr">
        <is>
          <t>Contractor Programme</t>
        </is>
      </c>
      <c r="D668" s="23" t="inlineStr">
        <is>
          <t>SCH-03-172</t>
        </is>
      </c>
      <c r="E668" s="23" t="inlineStr">
        <is>
          <t>Control Centre: control-centre integration - release</t>
        </is>
      </c>
      <c r="F668" s="23" t="inlineStr">
        <is>
          <t>ONE_TO_ONE</t>
        </is>
      </c>
      <c r="G668" s="23" t="inlineStr">
        <is>
          <t>RETAINED</t>
        </is>
      </c>
      <c r="H668" s="23" t="inlineStr">
        <is>
          <t>Carried forward</t>
        </is>
      </c>
      <c r="I668" s="23" t="inlineStr">
        <is>
          <t>Source assignment -- not individually reviewed</t>
        </is>
      </c>
      <c r="J668" s="23" t="inlineStr"/>
      <c r="K668" s="23" t="inlineStr">
        <is>
          <t>Source assignment</t>
        </is>
      </c>
      <c r="L668" s="23" t="inlineStr"/>
      <c r="M668" s="23" t="inlineStr">
        <is>
          <t>Contractor Programme Cycle 2</t>
        </is>
      </c>
      <c r="N668" s="23" t="inlineStr">
        <is>
          <t>Rev 1</t>
        </is>
      </c>
      <c r="O668" s="23" t="inlineStr">
        <is>
          <t>R532-v2</t>
        </is>
      </c>
      <c r="P668" s="23" t="inlineStr"/>
      <c r="Q668" s="23" t="inlineStr"/>
      <c r="R668" s="23" t="inlineStr"/>
      <c r="S668" s="23" t="inlineStr"/>
      <c r="T668" s="23" t="inlineStr"/>
      <c r="U668" s="23" t="inlineStr"/>
      <c r="V668" s="23" t="inlineStr">
        <is>
          <t>WBS Code = 1.3.1</t>
        </is>
      </c>
      <c r="W668" s="23" t="inlineStr"/>
    </row>
    <row r="669" ht="49" customHeight="1">
      <c r="A669" s="23" t="inlineStr">
        <is>
          <t>1.3.1</t>
        </is>
      </c>
      <c r="B669" s="23" t="inlineStr">
        <is>
          <t>Systems - Traction Power</t>
        </is>
      </c>
      <c r="C669" s="23" t="inlineStr">
        <is>
          <t>Contractor Programme</t>
        </is>
      </c>
      <c r="D669" s="23" t="inlineStr">
        <is>
          <t>SCH-03-173</t>
        </is>
      </c>
      <c r="E669" s="23" t="inlineStr">
        <is>
          <t>West wayside: fibre backbone termination - field start</t>
        </is>
      </c>
      <c r="F669" s="23" t="inlineStr">
        <is>
          <t>ONE_TO_ONE</t>
        </is>
      </c>
      <c r="G669" s="23" t="inlineStr">
        <is>
          <t>RETAINED</t>
        </is>
      </c>
      <c r="H669" s="23" t="inlineStr">
        <is>
          <t>Carried forward</t>
        </is>
      </c>
      <c r="I669" s="23" t="inlineStr">
        <is>
          <t>Source assignment -- not individually reviewed</t>
        </is>
      </c>
      <c r="J669" s="23" t="inlineStr"/>
      <c r="K669" s="23" t="inlineStr">
        <is>
          <t>Source assignment</t>
        </is>
      </c>
      <c r="L669" s="23" t="inlineStr"/>
      <c r="M669" s="23" t="inlineStr">
        <is>
          <t>Contractor Programme Cycle 2</t>
        </is>
      </c>
      <c r="N669" s="23" t="inlineStr">
        <is>
          <t>Rev 1</t>
        </is>
      </c>
      <c r="O669" s="23" t="inlineStr">
        <is>
          <t>R533-v2</t>
        </is>
      </c>
      <c r="P669" s="23" t="inlineStr"/>
      <c r="Q669" s="23" t="inlineStr"/>
      <c r="R669" s="23" t="inlineStr"/>
      <c r="S669" s="23" t="inlineStr"/>
      <c r="T669" s="23" t="inlineStr"/>
      <c r="U669" s="23" t="inlineStr"/>
      <c r="V669" s="23" t="inlineStr">
        <is>
          <t>WBS Code = 1.3.1</t>
        </is>
      </c>
      <c r="W669" s="23" t="inlineStr"/>
    </row>
    <row r="670" ht="49" customHeight="1">
      <c r="A670" s="23" t="inlineStr">
        <is>
          <t>1.3.1</t>
        </is>
      </c>
      <c r="B670" s="23" t="inlineStr">
        <is>
          <t>Systems - Traction Power</t>
        </is>
      </c>
      <c r="C670" s="23" t="inlineStr">
        <is>
          <t>Contractor Programme</t>
        </is>
      </c>
      <c r="D670" s="23" t="inlineStr">
        <is>
          <t>SCH-03-175</t>
        </is>
      </c>
      <c r="E670" s="23" t="inlineStr">
        <is>
          <t>Central interlocking: traction-power feeder pull - inspection</t>
        </is>
      </c>
      <c r="F670" s="23" t="inlineStr">
        <is>
          <t>ONE_TO_ONE</t>
        </is>
      </c>
      <c r="G670" s="23" t="inlineStr">
        <is>
          <t>RETAINED</t>
        </is>
      </c>
      <c r="H670" s="23" t="inlineStr">
        <is>
          <t>Carried forward</t>
        </is>
      </c>
      <c r="I670" s="23" t="inlineStr">
        <is>
          <t>Source assignment -- not individually reviewed</t>
        </is>
      </c>
      <c r="J670" s="23" t="inlineStr"/>
      <c r="K670" s="23" t="inlineStr">
        <is>
          <t>Source assignment</t>
        </is>
      </c>
      <c r="L670" s="23" t="inlineStr"/>
      <c r="M670" s="23" t="inlineStr">
        <is>
          <t>Contractor Programme Cycle 2</t>
        </is>
      </c>
      <c r="N670" s="23" t="inlineStr">
        <is>
          <t>Rev 1</t>
        </is>
      </c>
      <c r="O670" s="23" t="inlineStr">
        <is>
          <t>R535-v2</t>
        </is>
      </c>
      <c r="P670" s="23" t="inlineStr"/>
      <c r="Q670" s="23" t="inlineStr"/>
      <c r="R670" s="23" t="inlineStr"/>
      <c r="S670" s="23" t="inlineStr"/>
      <c r="T670" s="23" t="inlineStr"/>
      <c r="U670" s="23" t="inlineStr"/>
      <c r="V670" s="23" t="inlineStr">
        <is>
          <t>WBS Code = 1.3.1</t>
        </is>
      </c>
      <c r="W670" s="23" t="inlineStr"/>
    </row>
    <row r="671" ht="49" customHeight="1">
      <c r="A671" s="23" t="inlineStr">
        <is>
          <t>1.3.1</t>
        </is>
      </c>
      <c r="B671" s="23" t="inlineStr">
        <is>
          <t>Systems - Traction Power</t>
        </is>
      </c>
      <c r="C671" s="23" t="inlineStr">
        <is>
          <t>Contractor Programme</t>
        </is>
      </c>
      <c r="D671" s="23" t="inlineStr">
        <is>
          <t>SCH-03-176</t>
        </is>
      </c>
      <c r="E671" s="23" t="inlineStr">
        <is>
          <t>Harbour Station: train-control cabinet fit-out - turnover</t>
        </is>
      </c>
      <c r="F671" s="23" t="inlineStr">
        <is>
          <t>ONE_TO_ONE</t>
        </is>
      </c>
      <c r="G671" s="23" t="inlineStr">
        <is>
          <t>RETAINED</t>
        </is>
      </c>
      <c r="H671" s="23" t="inlineStr">
        <is>
          <t>Carried forward</t>
        </is>
      </c>
      <c r="I671" s="23" t="inlineStr">
        <is>
          <t>Source assignment -- not individually reviewed</t>
        </is>
      </c>
      <c r="J671" s="23" t="inlineStr"/>
      <c r="K671" s="23" t="inlineStr">
        <is>
          <t>Source assignment</t>
        </is>
      </c>
      <c r="L671" s="23" t="inlineStr"/>
      <c r="M671" s="23" t="inlineStr">
        <is>
          <t>Contractor Programme Cycle 2</t>
        </is>
      </c>
      <c r="N671" s="23" t="inlineStr">
        <is>
          <t>Rev 1</t>
        </is>
      </c>
      <c r="O671" s="23" t="inlineStr">
        <is>
          <t>R536-v2</t>
        </is>
      </c>
      <c r="P671" s="23" t="inlineStr"/>
      <c r="Q671" s="23" t="inlineStr"/>
      <c r="R671" s="23" t="inlineStr"/>
      <c r="S671" s="23" t="inlineStr"/>
      <c r="T671" s="23" t="inlineStr"/>
      <c r="U671" s="23" t="inlineStr"/>
      <c r="V671" s="23" t="inlineStr">
        <is>
          <t>WBS Code = 1.3.1</t>
        </is>
      </c>
      <c r="W671" s="23" t="inlineStr"/>
    </row>
    <row r="672" ht="49" customHeight="1">
      <c r="A672" s="23" t="inlineStr">
        <is>
          <t>1.3.1</t>
        </is>
      </c>
      <c r="B672" s="23" t="inlineStr">
        <is>
          <t>Systems - Traction Power</t>
        </is>
      </c>
      <c r="C672" s="23" t="inlineStr">
        <is>
          <t>Contractor Programme</t>
        </is>
      </c>
      <c r="D672" s="23" t="inlineStr">
        <is>
          <t>SCH-03-178</t>
        </is>
      </c>
      <c r="E672" s="23" t="inlineStr">
        <is>
          <t>West wayside: signal equipment installation - field start</t>
        </is>
      </c>
      <c r="F672" s="23" t="inlineStr">
        <is>
          <t>ONE_TO_ONE</t>
        </is>
      </c>
      <c r="G672" s="23" t="inlineStr">
        <is>
          <t>RETAINED</t>
        </is>
      </c>
      <c r="H672" s="23" t="inlineStr">
        <is>
          <t>Carried forward</t>
        </is>
      </c>
      <c r="I672" s="23" t="inlineStr">
        <is>
          <t>Source assignment -- not individually reviewed</t>
        </is>
      </c>
      <c r="J672" s="23" t="inlineStr"/>
      <c r="K672" s="23" t="inlineStr">
        <is>
          <t>Source assignment</t>
        </is>
      </c>
      <c r="L672" s="23" t="inlineStr"/>
      <c r="M672" s="23" t="inlineStr">
        <is>
          <t>Contractor Programme Cycle 2</t>
        </is>
      </c>
      <c r="N672" s="23" t="inlineStr">
        <is>
          <t>Rev 1</t>
        </is>
      </c>
      <c r="O672" s="23" t="inlineStr">
        <is>
          <t>R538-v2</t>
        </is>
      </c>
      <c r="P672" s="23" t="inlineStr"/>
      <c r="Q672" s="23" t="inlineStr"/>
      <c r="R672" s="23" t="inlineStr"/>
      <c r="S672" s="23" t="inlineStr"/>
      <c r="T672" s="23" t="inlineStr"/>
      <c r="U672" s="23" t="inlineStr"/>
      <c r="V672" s="23" t="inlineStr">
        <is>
          <t>WBS Code = 1.3.1</t>
        </is>
      </c>
      <c r="W672" s="23" t="inlineStr"/>
    </row>
    <row r="673" ht="49" customHeight="1">
      <c r="A673" s="23" t="inlineStr">
        <is>
          <t>1.3.1</t>
        </is>
      </c>
      <c r="B673" s="23" t="inlineStr">
        <is>
          <t>Systems - Traction Power</t>
        </is>
      </c>
      <c r="C673" s="23" t="inlineStr">
        <is>
          <t>Contractor Programme</t>
        </is>
      </c>
      <c r="D673" s="23" t="inlineStr">
        <is>
          <t>SCH-03-179</t>
        </is>
      </c>
      <c r="E673" s="23" t="inlineStr">
        <is>
          <t>East substation: radio equipment installation - installation</t>
        </is>
      </c>
      <c r="F673" s="23" t="inlineStr">
        <is>
          <t>ONE_TO_ONE</t>
        </is>
      </c>
      <c r="G673" s="23" t="inlineStr">
        <is>
          <t>RETAINED</t>
        </is>
      </c>
      <c r="H673" s="23" t="inlineStr">
        <is>
          <t>Carried forward</t>
        </is>
      </c>
      <c r="I673" s="23" t="inlineStr">
        <is>
          <t>Source assignment -- not individually reviewed</t>
        </is>
      </c>
      <c r="J673" s="23" t="inlineStr"/>
      <c r="K673" s="23" t="inlineStr">
        <is>
          <t>Source assignment</t>
        </is>
      </c>
      <c r="L673" s="23" t="inlineStr"/>
      <c r="M673" s="23" t="inlineStr">
        <is>
          <t>Contractor Programme Cycle 2</t>
        </is>
      </c>
      <c r="N673" s="23" t="inlineStr">
        <is>
          <t>Rev 1</t>
        </is>
      </c>
      <c r="O673" s="23" t="inlineStr">
        <is>
          <t>R539-v2</t>
        </is>
      </c>
      <c r="P673" s="23" t="inlineStr"/>
      <c r="Q673" s="23" t="inlineStr"/>
      <c r="R673" s="23" t="inlineStr"/>
      <c r="S673" s="23" t="inlineStr"/>
      <c r="T673" s="23" t="inlineStr"/>
      <c r="U673" s="23" t="inlineStr"/>
      <c r="V673" s="23" t="inlineStr">
        <is>
          <t>WBS Code = 1.3.1</t>
        </is>
      </c>
      <c r="W673" s="23" t="inlineStr"/>
    </row>
    <row r="674" ht="64" customHeight="1">
      <c r="A674" s="23" t="inlineStr">
        <is>
          <t>1.3.1</t>
        </is>
      </c>
      <c r="B674" s="23" t="inlineStr">
        <is>
          <t>Systems - Traction Power</t>
        </is>
      </c>
      <c r="C674" s="23" t="inlineStr">
        <is>
          <t>Cost &amp; Forecast Control Accounts</t>
        </is>
      </c>
      <c r="D674" s="23" t="inlineStr">
        <is>
          <t>CST-03-001</t>
        </is>
      </c>
      <c r="E674" s="23" t="inlineStr">
        <is>
          <t>Systems - systems integration - closeout</t>
        </is>
      </c>
      <c r="F674" s="23" t="inlineStr">
        <is>
          <t>ONE_TO_ONE</t>
        </is>
      </c>
      <c r="G674" s="23" t="inlineStr">
        <is>
          <t>RETAINED</t>
        </is>
      </c>
      <c r="H674" s="23" t="inlineStr">
        <is>
          <t>Carried forward</t>
        </is>
      </c>
      <c r="I674" s="23" t="inlineStr">
        <is>
          <t>Source assignment -- not individually reviewed</t>
        </is>
      </c>
      <c r="J674" s="23" t="inlineStr"/>
      <c r="K674" s="23" t="inlineStr">
        <is>
          <t>Source assignment</t>
        </is>
      </c>
      <c r="L674" s="23" t="inlineStr"/>
      <c r="M674" s="23" t="inlineStr">
        <is>
          <t>Cost &amp; Forecast Control Accounts Cycle 2</t>
        </is>
      </c>
      <c r="N674" s="23" t="inlineStr">
        <is>
          <t>Rev 1</t>
        </is>
      </c>
      <c r="O674" s="23" t="inlineStr">
        <is>
          <t>R1243-v2</t>
        </is>
      </c>
      <c r="P674" s="23" t="inlineStr"/>
      <c r="Q674" s="23" t="inlineStr"/>
      <c r="R674" s="23" t="inlineStr"/>
      <c r="S674" s="23" t="inlineStr"/>
      <c r="T674" s="23" t="inlineStr"/>
      <c r="U674" s="23" t="inlineStr"/>
      <c r="V674" s="23" t="inlineStr">
        <is>
          <t>Cost Account = CA-3001; WBS Code = 1.3.1</t>
        </is>
      </c>
      <c r="W674" s="23" t="inlineStr"/>
    </row>
    <row r="675" ht="64" customHeight="1">
      <c r="A675" s="23" t="inlineStr">
        <is>
          <t>1.3.1</t>
        </is>
      </c>
      <c r="B675" s="23" t="inlineStr">
        <is>
          <t>Systems - Traction Power</t>
        </is>
      </c>
      <c r="C675" s="23" t="inlineStr">
        <is>
          <t>Cost &amp; Forecast Control Accounts</t>
        </is>
      </c>
      <c r="D675" s="23" t="inlineStr">
        <is>
          <t>CST-03-003</t>
        </is>
      </c>
      <c r="E675" s="23" t="inlineStr">
        <is>
          <t>Systems - train control - supply and install</t>
        </is>
      </c>
      <c r="F675" s="23" t="inlineStr">
        <is>
          <t>ONE_TO_ONE</t>
        </is>
      </c>
      <c r="G675" s="23" t="inlineStr">
        <is>
          <t>RETAINED</t>
        </is>
      </c>
      <c r="H675" s="23" t="inlineStr">
        <is>
          <t>Carried forward</t>
        </is>
      </c>
      <c r="I675" s="23" t="inlineStr">
        <is>
          <t>Source assignment -- not individually reviewed</t>
        </is>
      </c>
      <c r="J675" s="23" t="inlineStr"/>
      <c r="K675" s="23" t="inlineStr">
        <is>
          <t>Source assignment</t>
        </is>
      </c>
      <c r="L675" s="23" t="inlineStr"/>
      <c r="M675" s="23" t="inlineStr">
        <is>
          <t>Cost &amp; Forecast Control Accounts Cycle 2</t>
        </is>
      </c>
      <c r="N675" s="23" t="inlineStr">
        <is>
          <t>Rev 1</t>
        </is>
      </c>
      <c r="O675" s="23" t="inlineStr">
        <is>
          <t>R1245-v2</t>
        </is>
      </c>
      <c r="P675" s="23" t="inlineStr"/>
      <c r="Q675" s="23" t="inlineStr"/>
      <c r="R675" s="23" t="inlineStr"/>
      <c r="S675" s="23" t="inlineStr"/>
      <c r="T675" s="23" t="inlineStr"/>
      <c r="U675" s="23" t="inlineStr"/>
      <c r="V675" s="23" t="inlineStr">
        <is>
          <t>Cost Account = CA-3003; WBS Code = 1.3.1</t>
        </is>
      </c>
      <c r="W675" s="23" t="inlineStr"/>
    </row>
    <row r="676" ht="64" customHeight="1">
      <c r="A676" s="23" t="inlineStr">
        <is>
          <t>1.3.1</t>
        </is>
      </c>
      <c r="B676" s="23" t="inlineStr">
        <is>
          <t>Systems - Traction Power</t>
        </is>
      </c>
      <c r="C676" s="23" t="inlineStr">
        <is>
          <t>Cost &amp; Forecast Control Accounts</t>
        </is>
      </c>
      <c r="D676" s="23" t="inlineStr">
        <is>
          <t>CST-03-005</t>
        </is>
      </c>
      <c r="E676" s="23" t="inlineStr">
        <is>
          <t>Systems - signalling - allowance</t>
        </is>
      </c>
      <c r="F676" s="23" t="inlineStr">
        <is>
          <t>ONE_TO_ONE</t>
        </is>
      </c>
      <c r="G676" s="23" t="inlineStr">
        <is>
          <t>RETAINED</t>
        </is>
      </c>
      <c r="H676" s="23" t="inlineStr">
        <is>
          <t>Carried forward</t>
        </is>
      </c>
      <c r="I676" s="23" t="inlineStr">
        <is>
          <t>Source assignment -- not individually reviewed</t>
        </is>
      </c>
      <c r="J676" s="23" t="inlineStr"/>
      <c r="K676" s="23" t="inlineStr">
        <is>
          <t>Source assignment</t>
        </is>
      </c>
      <c r="L676" s="23" t="inlineStr"/>
      <c r="M676" s="23" t="inlineStr">
        <is>
          <t>Cost &amp; Forecast Control Accounts Cycle 2</t>
        </is>
      </c>
      <c r="N676" s="23" t="inlineStr">
        <is>
          <t>Rev 1</t>
        </is>
      </c>
      <c r="O676" s="23" t="inlineStr">
        <is>
          <t>R1247-v2</t>
        </is>
      </c>
      <c r="P676" s="23" t="inlineStr"/>
      <c r="Q676" s="23" t="inlineStr"/>
      <c r="R676" s="23" t="inlineStr"/>
      <c r="S676" s="23" t="inlineStr"/>
      <c r="T676" s="23" t="inlineStr"/>
      <c r="U676" s="23" t="inlineStr"/>
      <c r="V676" s="23" t="inlineStr">
        <is>
          <t>Cost Account = CA-3005; WBS Code = 1.3.1</t>
        </is>
      </c>
      <c r="W676" s="23" t="inlineStr"/>
    </row>
    <row r="677" ht="64" customHeight="1">
      <c r="A677" s="23" t="inlineStr">
        <is>
          <t>1.3.1</t>
        </is>
      </c>
      <c r="B677" s="23" t="inlineStr">
        <is>
          <t>Systems - Traction Power</t>
        </is>
      </c>
      <c r="C677" s="23" t="inlineStr">
        <is>
          <t>Cost &amp; Forecast Control Accounts</t>
        </is>
      </c>
      <c r="D677" s="23" t="inlineStr">
        <is>
          <t>CST-03-007</t>
        </is>
      </c>
      <c r="E677" s="23" t="inlineStr">
        <is>
          <t>Systems - systems integration - field package</t>
        </is>
      </c>
      <c r="F677" s="23" t="inlineStr">
        <is>
          <t>ONE_TO_ONE</t>
        </is>
      </c>
      <c r="G677" s="23" t="inlineStr">
        <is>
          <t>RETAINED</t>
        </is>
      </c>
      <c r="H677" s="23" t="inlineStr">
        <is>
          <t>Carried forward</t>
        </is>
      </c>
      <c r="I677" s="23" t="inlineStr">
        <is>
          <t>Source assignment -- not individually reviewed</t>
        </is>
      </c>
      <c r="J677" s="23" t="inlineStr"/>
      <c r="K677" s="23" t="inlineStr">
        <is>
          <t>Source assignment</t>
        </is>
      </c>
      <c r="L677" s="23" t="inlineStr"/>
      <c r="M677" s="23" t="inlineStr">
        <is>
          <t>Cost &amp; Forecast Control Accounts Cycle 2</t>
        </is>
      </c>
      <c r="N677" s="23" t="inlineStr">
        <is>
          <t>Rev 1</t>
        </is>
      </c>
      <c r="O677" s="23" t="inlineStr">
        <is>
          <t>R1249-v2</t>
        </is>
      </c>
      <c r="P677" s="23" t="inlineStr"/>
      <c r="Q677" s="23" t="inlineStr"/>
      <c r="R677" s="23" t="inlineStr"/>
      <c r="S677" s="23" t="inlineStr"/>
      <c r="T677" s="23" t="inlineStr"/>
      <c r="U677" s="23" t="inlineStr"/>
      <c r="V677" s="23" t="inlineStr">
        <is>
          <t>Cost Account = CA-3007; WBS Code = 1.3.1</t>
        </is>
      </c>
      <c r="W677" s="23" t="inlineStr"/>
    </row>
    <row r="678" ht="64" customHeight="1">
      <c r="A678" s="23" t="inlineStr">
        <is>
          <t>1.3.1</t>
        </is>
      </c>
      <c r="B678" s="23" t="inlineStr">
        <is>
          <t>Systems - Traction Power</t>
        </is>
      </c>
      <c r="C678" s="23" t="inlineStr">
        <is>
          <t>Cost &amp; Forecast Control Accounts</t>
        </is>
      </c>
      <c r="D678" s="23" t="inlineStr">
        <is>
          <t>CST-03-009</t>
        </is>
      </c>
      <c r="E678" s="23" t="inlineStr">
        <is>
          <t>Systems - train control - professional services</t>
        </is>
      </c>
      <c r="F678" s="23" t="inlineStr">
        <is>
          <t>ONE_TO_ONE</t>
        </is>
      </c>
      <c r="G678" s="23" t="inlineStr">
        <is>
          <t>RETAINED</t>
        </is>
      </c>
      <c r="H678" s="23" t="inlineStr">
        <is>
          <t>Carried forward</t>
        </is>
      </c>
      <c r="I678" s="23" t="inlineStr">
        <is>
          <t>Source assignment -- not individually reviewed</t>
        </is>
      </c>
      <c r="J678" s="23" t="inlineStr"/>
      <c r="K678" s="23" t="inlineStr">
        <is>
          <t>Source assignment</t>
        </is>
      </c>
      <c r="L678" s="23" t="inlineStr"/>
      <c r="M678" s="23" t="inlineStr">
        <is>
          <t>Cost &amp; Forecast Control Accounts Cycle 2</t>
        </is>
      </c>
      <c r="N678" s="23" t="inlineStr">
        <is>
          <t>Rev 1</t>
        </is>
      </c>
      <c r="O678" s="23" t="inlineStr">
        <is>
          <t>R1251-v2</t>
        </is>
      </c>
      <c r="P678" s="23" t="inlineStr"/>
      <c r="Q678" s="23" t="inlineStr"/>
      <c r="R678" s="23" t="inlineStr"/>
      <c r="S678" s="23" t="inlineStr"/>
      <c r="T678" s="23" t="inlineStr"/>
      <c r="U678" s="23" t="inlineStr"/>
      <c r="V678" s="23" t="inlineStr">
        <is>
          <t>Cost Account = CA-3009; WBS Code = 1.3.1</t>
        </is>
      </c>
      <c r="W678" s="23" t="inlineStr"/>
    </row>
    <row r="679" ht="64" customHeight="1">
      <c r="A679" s="23" t="inlineStr">
        <is>
          <t>1.3.1</t>
        </is>
      </c>
      <c r="B679" s="23" t="inlineStr">
        <is>
          <t>Systems - Traction Power</t>
        </is>
      </c>
      <c r="C679" s="23" t="inlineStr">
        <is>
          <t>Cost &amp; Forecast Control Accounts</t>
        </is>
      </c>
      <c r="D679" s="23" t="inlineStr">
        <is>
          <t>CST-03-011</t>
        </is>
      </c>
      <c r="E679" s="23" t="inlineStr">
        <is>
          <t>Systems - signalling - closeout</t>
        </is>
      </c>
      <c r="F679" s="23" t="inlineStr">
        <is>
          <t>ONE_TO_ONE</t>
        </is>
      </c>
      <c r="G679" s="23" t="inlineStr">
        <is>
          <t>RETAINED</t>
        </is>
      </c>
      <c r="H679" s="23" t="inlineStr">
        <is>
          <t>Carried forward</t>
        </is>
      </c>
      <c r="I679" s="23" t="inlineStr">
        <is>
          <t>Source assignment -- not individually reviewed</t>
        </is>
      </c>
      <c r="J679" s="23" t="inlineStr"/>
      <c r="K679" s="23" t="inlineStr">
        <is>
          <t>Source assignment</t>
        </is>
      </c>
      <c r="L679" s="23" t="inlineStr"/>
      <c r="M679" s="23" t="inlineStr">
        <is>
          <t>Cost &amp; Forecast Control Accounts Cycle 2</t>
        </is>
      </c>
      <c r="N679" s="23" t="inlineStr">
        <is>
          <t>Rev 1</t>
        </is>
      </c>
      <c r="O679" s="23" t="inlineStr">
        <is>
          <t>R1253-v2</t>
        </is>
      </c>
      <c r="P679" s="23" t="inlineStr"/>
      <c r="Q679" s="23" t="inlineStr"/>
      <c r="R679" s="23" t="inlineStr"/>
      <c r="S679" s="23" t="inlineStr"/>
      <c r="T679" s="23" t="inlineStr"/>
      <c r="U679" s="23" t="inlineStr"/>
      <c r="V679" s="23" t="inlineStr">
        <is>
          <t>Cost Account = CA-3011; WBS Code = 1.3.1</t>
        </is>
      </c>
      <c r="W679" s="23" t="inlineStr"/>
    </row>
    <row r="680" ht="64" customHeight="1">
      <c r="A680" s="23" t="inlineStr">
        <is>
          <t>1.3.1</t>
        </is>
      </c>
      <c r="B680" s="23" t="inlineStr">
        <is>
          <t>Systems - Traction Power</t>
        </is>
      </c>
      <c r="C680" s="23" t="inlineStr">
        <is>
          <t>Cost &amp; Forecast Control Accounts</t>
        </is>
      </c>
      <c r="D680" s="23" t="inlineStr">
        <is>
          <t>CST-03-013</t>
        </is>
      </c>
      <c r="E680" s="23" t="inlineStr">
        <is>
          <t>Systems - systems integration - supply and install</t>
        </is>
      </c>
      <c r="F680" s="23" t="inlineStr">
        <is>
          <t>ONE_TO_ONE</t>
        </is>
      </c>
      <c r="G680" s="23" t="inlineStr">
        <is>
          <t>RETAINED</t>
        </is>
      </c>
      <c r="H680" s="23" t="inlineStr">
        <is>
          <t>Carried forward</t>
        </is>
      </c>
      <c r="I680" s="23" t="inlineStr">
        <is>
          <t>Source assignment -- not individually reviewed</t>
        </is>
      </c>
      <c r="J680" s="23" t="inlineStr"/>
      <c r="K680" s="23" t="inlineStr">
        <is>
          <t>Source assignment</t>
        </is>
      </c>
      <c r="L680" s="23" t="inlineStr"/>
      <c r="M680" s="23" t="inlineStr">
        <is>
          <t>Cost &amp; Forecast Control Accounts Cycle 2</t>
        </is>
      </c>
      <c r="N680" s="23" t="inlineStr">
        <is>
          <t>Rev 1</t>
        </is>
      </c>
      <c r="O680" s="23" t="inlineStr">
        <is>
          <t>R1255-v2</t>
        </is>
      </c>
      <c r="P680" s="23" t="inlineStr"/>
      <c r="Q680" s="23" t="inlineStr"/>
      <c r="R680" s="23" t="inlineStr"/>
      <c r="S680" s="23" t="inlineStr"/>
      <c r="T680" s="23" t="inlineStr"/>
      <c r="U680" s="23" t="inlineStr"/>
      <c r="V680" s="23" t="inlineStr">
        <is>
          <t>Cost Account = CA-3013; WBS Code = 1.3.1</t>
        </is>
      </c>
      <c r="W680" s="23" t="inlineStr"/>
    </row>
    <row r="681" ht="64" customHeight="1">
      <c r="A681" s="23" t="inlineStr">
        <is>
          <t>1.3.1</t>
        </is>
      </c>
      <c r="B681" s="23" t="inlineStr">
        <is>
          <t>Systems - Traction Power</t>
        </is>
      </c>
      <c r="C681" s="23" t="inlineStr">
        <is>
          <t>Cost &amp; Forecast Control Accounts</t>
        </is>
      </c>
      <c r="D681" s="23" t="inlineStr">
        <is>
          <t>CST-03-015</t>
        </is>
      </c>
      <c r="E681" s="23" t="inlineStr">
        <is>
          <t>Systems - train control - allowance</t>
        </is>
      </c>
      <c r="F681" s="23" t="inlineStr">
        <is>
          <t>ONE_TO_ONE</t>
        </is>
      </c>
      <c r="G681" s="23" t="inlineStr">
        <is>
          <t>RETAINED</t>
        </is>
      </c>
      <c r="H681" s="23" t="inlineStr">
        <is>
          <t>Carried forward</t>
        </is>
      </c>
      <c r="I681" s="23" t="inlineStr">
        <is>
          <t>Source assignment -- not individually reviewed</t>
        </is>
      </c>
      <c r="J681" s="23" t="inlineStr"/>
      <c r="K681" s="23" t="inlineStr">
        <is>
          <t>Source assignment</t>
        </is>
      </c>
      <c r="L681" s="23" t="inlineStr"/>
      <c r="M681" s="23" t="inlineStr">
        <is>
          <t>Cost &amp; Forecast Control Accounts Cycle 2</t>
        </is>
      </c>
      <c r="N681" s="23" t="inlineStr">
        <is>
          <t>Rev 1</t>
        </is>
      </c>
      <c r="O681" s="23" t="inlineStr">
        <is>
          <t>R1257-v2</t>
        </is>
      </c>
      <c r="P681" s="23" t="inlineStr"/>
      <c r="Q681" s="23" t="inlineStr"/>
      <c r="R681" s="23" t="inlineStr"/>
      <c r="S681" s="23" t="inlineStr"/>
      <c r="T681" s="23" t="inlineStr"/>
      <c r="U681" s="23" t="inlineStr"/>
      <c r="V681" s="23" t="inlineStr">
        <is>
          <t>Cost Account = CA-3015; WBS Code = 1.3.1</t>
        </is>
      </c>
      <c r="W681" s="23" t="inlineStr"/>
    </row>
    <row r="682" ht="64" customHeight="1">
      <c r="A682" s="23" t="inlineStr">
        <is>
          <t>1.3.1</t>
        </is>
      </c>
      <c r="B682" s="23" t="inlineStr">
        <is>
          <t>Systems - Traction Power</t>
        </is>
      </c>
      <c r="C682" s="23" t="inlineStr">
        <is>
          <t>Cost &amp; Forecast Control Accounts</t>
        </is>
      </c>
      <c r="D682" s="23" t="inlineStr">
        <is>
          <t>CST-03-017</t>
        </is>
      </c>
      <c r="E682" s="23" t="inlineStr">
        <is>
          <t>Systems - signalling - field package</t>
        </is>
      </c>
      <c r="F682" s="23" t="inlineStr">
        <is>
          <t>ONE_TO_ONE</t>
        </is>
      </c>
      <c r="G682" s="23" t="inlineStr">
        <is>
          <t>RETAINED</t>
        </is>
      </c>
      <c r="H682" s="23" t="inlineStr">
        <is>
          <t>Carried forward</t>
        </is>
      </c>
      <c r="I682" s="23" t="inlineStr">
        <is>
          <t>Source assignment -- not individually reviewed</t>
        </is>
      </c>
      <c r="J682" s="23" t="inlineStr"/>
      <c r="K682" s="23" t="inlineStr">
        <is>
          <t>Source assignment</t>
        </is>
      </c>
      <c r="L682" s="23" t="inlineStr"/>
      <c r="M682" s="23" t="inlineStr">
        <is>
          <t>Cost &amp; Forecast Control Accounts Cycle 2</t>
        </is>
      </c>
      <c r="N682" s="23" t="inlineStr">
        <is>
          <t>Rev 1</t>
        </is>
      </c>
      <c r="O682" s="23" t="inlineStr">
        <is>
          <t>R1259-v2</t>
        </is>
      </c>
      <c r="P682" s="23" t="inlineStr"/>
      <c r="Q682" s="23" t="inlineStr"/>
      <c r="R682" s="23" t="inlineStr"/>
      <c r="S682" s="23" t="inlineStr"/>
      <c r="T682" s="23" t="inlineStr"/>
      <c r="U682" s="23" t="inlineStr"/>
      <c r="V682" s="23" t="inlineStr">
        <is>
          <t>Cost Account = CA-3017; WBS Code = 1.3.1</t>
        </is>
      </c>
      <c r="W682" s="23" t="inlineStr"/>
    </row>
    <row r="683" ht="64" customHeight="1">
      <c r="A683" s="23" t="inlineStr">
        <is>
          <t>1.3.1</t>
        </is>
      </c>
      <c r="B683" s="23" t="inlineStr">
        <is>
          <t>Systems - Traction Power</t>
        </is>
      </c>
      <c r="C683" s="23" t="inlineStr">
        <is>
          <t>Cost &amp; Forecast Control Accounts</t>
        </is>
      </c>
      <c r="D683" s="23" t="inlineStr">
        <is>
          <t>CST-03-019</t>
        </is>
      </c>
      <c r="E683" s="23" t="inlineStr">
        <is>
          <t>Systems - systems integration - professional services</t>
        </is>
      </c>
      <c r="F683" s="23" t="inlineStr">
        <is>
          <t>ONE_TO_ONE</t>
        </is>
      </c>
      <c r="G683" s="23" t="inlineStr">
        <is>
          <t>RETAINED</t>
        </is>
      </c>
      <c r="H683" s="23" t="inlineStr">
        <is>
          <t>Carried forward</t>
        </is>
      </c>
      <c r="I683" s="23" t="inlineStr">
        <is>
          <t>Source assignment -- not individually reviewed</t>
        </is>
      </c>
      <c r="J683" s="23" t="inlineStr"/>
      <c r="K683" s="23" t="inlineStr">
        <is>
          <t>Source assignment</t>
        </is>
      </c>
      <c r="L683" s="23" t="inlineStr"/>
      <c r="M683" s="23" t="inlineStr">
        <is>
          <t>Cost &amp; Forecast Control Accounts Cycle 2</t>
        </is>
      </c>
      <c r="N683" s="23" t="inlineStr">
        <is>
          <t>Rev 1</t>
        </is>
      </c>
      <c r="O683" s="23" t="inlineStr">
        <is>
          <t>R1261-v2</t>
        </is>
      </c>
      <c r="P683" s="23" t="inlineStr"/>
      <c r="Q683" s="23" t="inlineStr"/>
      <c r="R683" s="23" t="inlineStr"/>
      <c r="S683" s="23" t="inlineStr"/>
      <c r="T683" s="23" t="inlineStr"/>
      <c r="U683" s="23" t="inlineStr"/>
      <c r="V683" s="23" t="inlineStr">
        <is>
          <t>Cost Account = CA-3019; WBS Code = 1.3.1</t>
        </is>
      </c>
      <c r="W683" s="23" t="inlineStr"/>
    </row>
    <row r="684" ht="64" customHeight="1">
      <c r="A684" s="23" t="inlineStr">
        <is>
          <t>1.3.1</t>
        </is>
      </c>
      <c r="B684" s="23" t="inlineStr">
        <is>
          <t>Systems - Traction Power</t>
        </is>
      </c>
      <c r="C684" s="23" t="inlineStr">
        <is>
          <t>Cost &amp; Forecast Control Accounts</t>
        </is>
      </c>
      <c r="D684" s="23" t="inlineStr">
        <is>
          <t>CST-03-021</t>
        </is>
      </c>
      <c r="E684" s="23" t="inlineStr">
        <is>
          <t>Systems - train control - closeout</t>
        </is>
      </c>
      <c r="F684" s="23" t="inlineStr">
        <is>
          <t>ONE_TO_ONE</t>
        </is>
      </c>
      <c r="G684" s="23" t="inlineStr">
        <is>
          <t>RETAINED</t>
        </is>
      </c>
      <c r="H684" s="23" t="inlineStr">
        <is>
          <t>Carried forward</t>
        </is>
      </c>
      <c r="I684" s="23" t="inlineStr">
        <is>
          <t>Source assignment -- not individually reviewed</t>
        </is>
      </c>
      <c r="J684" s="23" t="inlineStr"/>
      <c r="K684" s="23" t="inlineStr">
        <is>
          <t>Source assignment</t>
        </is>
      </c>
      <c r="L684" s="23" t="inlineStr"/>
      <c r="M684" s="23" t="inlineStr">
        <is>
          <t>Cost &amp; Forecast Control Accounts Cycle 2</t>
        </is>
      </c>
      <c r="N684" s="23" t="inlineStr">
        <is>
          <t>Rev 1</t>
        </is>
      </c>
      <c r="O684" s="23" t="inlineStr">
        <is>
          <t>R1263-v2</t>
        </is>
      </c>
      <c r="P684" s="23" t="inlineStr"/>
      <c r="Q684" s="23" t="inlineStr"/>
      <c r="R684" s="23" t="inlineStr"/>
      <c r="S684" s="23" t="inlineStr"/>
      <c r="T684" s="23" t="inlineStr"/>
      <c r="U684" s="23" t="inlineStr"/>
      <c r="V684" s="23" t="inlineStr">
        <is>
          <t>Cost Account = CA-3021; WBS Code = 1.3.1</t>
        </is>
      </c>
      <c r="W684" s="23" t="inlineStr"/>
    </row>
    <row r="685" ht="64" customHeight="1">
      <c r="A685" s="23" t="inlineStr">
        <is>
          <t>1.3.1</t>
        </is>
      </c>
      <c r="B685" s="23" t="inlineStr">
        <is>
          <t>Systems - Traction Power</t>
        </is>
      </c>
      <c r="C685" s="23" t="inlineStr">
        <is>
          <t>Cost &amp; Forecast Control Accounts</t>
        </is>
      </c>
      <c r="D685" s="23" t="inlineStr">
        <is>
          <t>CST-03-023</t>
        </is>
      </c>
      <c r="E685" s="23" t="inlineStr">
        <is>
          <t>Systems - signalling - supply and install</t>
        </is>
      </c>
      <c r="F685" s="23" t="inlineStr">
        <is>
          <t>ONE_TO_ONE</t>
        </is>
      </c>
      <c r="G685" s="23" t="inlineStr">
        <is>
          <t>RETAINED</t>
        </is>
      </c>
      <c r="H685" s="23" t="inlineStr">
        <is>
          <t>Carried forward</t>
        </is>
      </c>
      <c r="I685" s="23" t="inlineStr">
        <is>
          <t>Source assignment -- not individually reviewed</t>
        </is>
      </c>
      <c r="J685" s="23" t="inlineStr"/>
      <c r="K685" s="23" t="inlineStr">
        <is>
          <t>Source assignment</t>
        </is>
      </c>
      <c r="L685" s="23" t="inlineStr"/>
      <c r="M685" s="23" t="inlineStr">
        <is>
          <t>Cost &amp; Forecast Control Accounts Cycle 2</t>
        </is>
      </c>
      <c r="N685" s="23" t="inlineStr">
        <is>
          <t>Rev 1</t>
        </is>
      </c>
      <c r="O685" s="23" t="inlineStr">
        <is>
          <t>R1265-v2</t>
        </is>
      </c>
      <c r="P685" s="23" t="inlineStr"/>
      <c r="Q685" s="23" t="inlineStr"/>
      <c r="R685" s="23" t="inlineStr"/>
      <c r="S685" s="23" t="inlineStr"/>
      <c r="T685" s="23" t="inlineStr"/>
      <c r="U685" s="23" t="inlineStr"/>
      <c r="V685" s="23" t="inlineStr">
        <is>
          <t>Cost Account = CA-3023; WBS Code = 1.3.1</t>
        </is>
      </c>
      <c r="W685" s="23" t="inlineStr"/>
    </row>
    <row r="686" ht="64" customHeight="1">
      <c r="A686" s="23" t="inlineStr">
        <is>
          <t>1.3.1</t>
        </is>
      </c>
      <c r="B686" s="23" t="inlineStr">
        <is>
          <t>Systems - Traction Power</t>
        </is>
      </c>
      <c r="C686" s="23" t="inlineStr">
        <is>
          <t>Cost &amp; Forecast Control Accounts</t>
        </is>
      </c>
      <c r="D686" s="23" t="inlineStr">
        <is>
          <t>CST-03-025</t>
        </is>
      </c>
      <c r="E686" s="23" t="inlineStr">
        <is>
          <t>Systems - systems integration - allowance</t>
        </is>
      </c>
      <c r="F686" s="23" t="inlineStr">
        <is>
          <t>ONE_TO_ONE</t>
        </is>
      </c>
      <c r="G686" s="23" t="inlineStr">
        <is>
          <t>RETAINED</t>
        </is>
      </c>
      <c r="H686" s="23" t="inlineStr">
        <is>
          <t>Carried forward</t>
        </is>
      </c>
      <c r="I686" s="23" t="inlineStr">
        <is>
          <t>Source assignment -- not individually reviewed</t>
        </is>
      </c>
      <c r="J686" s="23" t="inlineStr"/>
      <c r="K686" s="23" t="inlineStr">
        <is>
          <t>Source assignment</t>
        </is>
      </c>
      <c r="L686" s="23" t="inlineStr"/>
      <c r="M686" s="23" t="inlineStr">
        <is>
          <t>Cost &amp; Forecast Control Accounts Cycle 2</t>
        </is>
      </c>
      <c r="N686" s="23" t="inlineStr">
        <is>
          <t>Rev 1</t>
        </is>
      </c>
      <c r="O686" s="23" t="inlineStr">
        <is>
          <t>R1267-v2</t>
        </is>
      </c>
      <c r="P686" s="23" t="inlineStr"/>
      <c r="Q686" s="23" t="inlineStr"/>
      <c r="R686" s="23" t="inlineStr"/>
      <c r="S686" s="23" t="inlineStr"/>
      <c r="T686" s="23" t="inlineStr"/>
      <c r="U686" s="23" t="inlineStr"/>
      <c r="V686" s="23" t="inlineStr">
        <is>
          <t>Cost Account = CA-3025; WBS Code = 1.3.1</t>
        </is>
      </c>
      <c r="W686" s="23" t="inlineStr"/>
    </row>
    <row r="687" ht="64" customHeight="1">
      <c r="A687" s="23" t="inlineStr">
        <is>
          <t>1.3.1</t>
        </is>
      </c>
      <c r="B687" s="23" t="inlineStr">
        <is>
          <t>Systems - Traction Power</t>
        </is>
      </c>
      <c r="C687" s="23" t="inlineStr">
        <is>
          <t>Cost &amp; Forecast Control Accounts</t>
        </is>
      </c>
      <c r="D687" s="23" t="inlineStr">
        <is>
          <t>CST-03-027</t>
        </is>
      </c>
      <c r="E687" s="23" t="inlineStr">
        <is>
          <t>Systems - train control - field package</t>
        </is>
      </c>
      <c r="F687" s="23" t="inlineStr">
        <is>
          <t>ONE_TO_ONE</t>
        </is>
      </c>
      <c r="G687" s="23" t="inlineStr">
        <is>
          <t>RETAINED</t>
        </is>
      </c>
      <c r="H687" s="23" t="inlineStr">
        <is>
          <t>Carried forward</t>
        </is>
      </c>
      <c r="I687" s="23" t="inlineStr">
        <is>
          <t>Source assignment -- not individually reviewed</t>
        </is>
      </c>
      <c r="J687" s="23" t="inlineStr"/>
      <c r="K687" s="23" t="inlineStr">
        <is>
          <t>Source assignment</t>
        </is>
      </c>
      <c r="L687" s="23" t="inlineStr"/>
      <c r="M687" s="23" t="inlineStr">
        <is>
          <t>Cost &amp; Forecast Control Accounts Cycle 2</t>
        </is>
      </c>
      <c r="N687" s="23" t="inlineStr">
        <is>
          <t>Rev 1</t>
        </is>
      </c>
      <c r="O687" s="23" t="inlineStr">
        <is>
          <t>R1269-v2</t>
        </is>
      </c>
      <c r="P687" s="23" t="inlineStr"/>
      <c r="Q687" s="23" t="inlineStr"/>
      <c r="R687" s="23" t="inlineStr"/>
      <c r="S687" s="23" t="inlineStr"/>
      <c r="T687" s="23" t="inlineStr"/>
      <c r="U687" s="23" t="inlineStr"/>
      <c r="V687" s="23" t="inlineStr">
        <is>
          <t>Cost Account = CA-3027; WBS Code = 1.3.1</t>
        </is>
      </c>
      <c r="W687" s="23" t="inlineStr"/>
    </row>
    <row r="688" ht="64" customHeight="1">
      <c r="A688" s="23" t="inlineStr">
        <is>
          <t>1.3.1</t>
        </is>
      </c>
      <c r="B688" s="23" t="inlineStr">
        <is>
          <t>Systems - Traction Power</t>
        </is>
      </c>
      <c r="C688" s="23" t="inlineStr">
        <is>
          <t>Cost &amp; Forecast Control Accounts</t>
        </is>
      </c>
      <c r="D688" s="23" t="inlineStr">
        <is>
          <t>CST-03-029</t>
        </is>
      </c>
      <c r="E688" s="23" t="inlineStr">
        <is>
          <t>Systems - signalling - professional services</t>
        </is>
      </c>
      <c r="F688" s="23" t="inlineStr">
        <is>
          <t>ONE_TO_ONE</t>
        </is>
      </c>
      <c r="G688" s="23" t="inlineStr">
        <is>
          <t>RETAINED</t>
        </is>
      </c>
      <c r="H688" s="23" t="inlineStr">
        <is>
          <t>Carried forward</t>
        </is>
      </c>
      <c r="I688" s="23" t="inlineStr">
        <is>
          <t>Source assignment -- not individually reviewed</t>
        </is>
      </c>
      <c r="J688" s="23" t="inlineStr"/>
      <c r="K688" s="23" t="inlineStr">
        <is>
          <t>Source assignment</t>
        </is>
      </c>
      <c r="L688" s="23" t="inlineStr"/>
      <c r="M688" s="23" t="inlineStr">
        <is>
          <t>Cost &amp; Forecast Control Accounts Cycle 2</t>
        </is>
      </c>
      <c r="N688" s="23" t="inlineStr">
        <is>
          <t>Rev 1</t>
        </is>
      </c>
      <c r="O688" s="23" t="inlineStr">
        <is>
          <t>R1271-v2</t>
        </is>
      </c>
      <c r="P688" s="23" t="inlineStr"/>
      <c r="Q688" s="23" t="inlineStr"/>
      <c r="R688" s="23" t="inlineStr"/>
      <c r="S688" s="23" t="inlineStr"/>
      <c r="T688" s="23" t="inlineStr"/>
      <c r="U688" s="23" t="inlineStr"/>
      <c r="V688" s="23" t="inlineStr">
        <is>
          <t>Cost Account = CA-3029; WBS Code = 1.3.1</t>
        </is>
      </c>
      <c r="W688" s="23" t="inlineStr"/>
    </row>
    <row r="689" ht="64" customHeight="1">
      <c r="A689" s="23" t="inlineStr">
        <is>
          <t>1.3.1</t>
        </is>
      </c>
      <c r="B689" s="23" t="inlineStr">
        <is>
          <t>Systems - Traction Power</t>
        </is>
      </c>
      <c r="C689" s="23" t="inlineStr">
        <is>
          <t>Cost &amp; Forecast Control Accounts</t>
        </is>
      </c>
      <c r="D689" s="23" t="inlineStr">
        <is>
          <t>CST-03-031</t>
        </is>
      </c>
      <c r="E689" s="23" t="inlineStr">
        <is>
          <t>Systems - systems integration - closeout</t>
        </is>
      </c>
      <c r="F689" s="23" t="inlineStr">
        <is>
          <t>ONE_TO_ONE</t>
        </is>
      </c>
      <c r="G689" s="23" t="inlineStr">
        <is>
          <t>RETAINED</t>
        </is>
      </c>
      <c r="H689" s="23" t="inlineStr">
        <is>
          <t>Carried forward</t>
        </is>
      </c>
      <c r="I689" s="23" t="inlineStr">
        <is>
          <t>Source assignment -- not individually reviewed</t>
        </is>
      </c>
      <c r="J689" s="23" t="inlineStr"/>
      <c r="K689" s="23" t="inlineStr">
        <is>
          <t>Source assignment</t>
        </is>
      </c>
      <c r="L689" s="23" t="inlineStr"/>
      <c r="M689" s="23" t="inlineStr">
        <is>
          <t>Cost &amp; Forecast Control Accounts Cycle 2</t>
        </is>
      </c>
      <c r="N689" s="23" t="inlineStr">
        <is>
          <t>Rev 1</t>
        </is>
      </c>
      <c r="O689" s="23" t="inlineStr">
        <is>
          <t>R1273-v2</t>
        </is>
      </c>
      <c r="P689" s="23" t="inlineStr"/>
      <c r="Q689" s="23" t="inlineStr"/>
      <c r="R689" s="23" t="inlineStr"/>
      <c r="S689" s="23" t="inlineStr"/>
      <c r="T689" s="23" t="inlineStr"/>
      <c r="U689" s="23" t="inlineStr"/>
      <c r="V689" s="23" t="inlineStr">
        <is>
          <t>Cost Account = CA-3031; WBS Code = 1.3.1</t>
        </is>
      </c>
      <c r="W689" s="23" t="inlineStr"/>
    </row>
    <row r="690" ht="64" customHeight="1">
      <c r="A690" s="23" t="inlineStr">
        <is>
          <t>1.3.1</t>
        </is>
      </c>
      <c r="B690" s="23" t="inlineStr">
        <is>
          <t>Systems - Traction Power</t>
        </is>
      </c>
      <c r="C690" s="23" t="inlineStr">
        <is>
          <t>Cost &amp; Forecast Control Accounts</t>
        </is>
      </c>
      <c r="D690" s="23" t="inlineStr">
        <is>
          <t>CST-03-033</t>
        </is>
      </c>
      <c r="E690" s="23" t="inlineStr">
        <is>
          <t>Systems - train control - supply and install</t>
        </is>
      </c>
      <c r="F690" s="23" t="inlineStr">
        <is>
          <t>ONE_TO_ONE</t>
        </is>
      </c>
      <c r="G690" s="23" t="inlineStr">
        <is>
          <t>RETAINED</t>
        </is>
      </c>
      <c r="H690" s="23" t="inlineStr">
        <is>
          <t>Carried forward</t>
        </is>
      </c>
      <c r="I690" s="23" t="inlineStr">
        <is>
          <t>Source assignment -- not individually reviewed</t>
        </is>
      </c>
      <c r="J690" s="23" t="inlineStr"/>
      <c r="K690" s="23" t="inlineStr">
        <is>
          <t>Source assignment</t>
        </is>
      </c>
      <c r="L690" s="23" t="inlineStr"/>
      <c r="M690" s="23" t="inlineStr">
        <is>
          <t>Cost &amp; Forecast Control Accounts Cycle 2</t>
        </is>
      </c>
      <c r="N690" s="23" t="inlineStr">
        <is>
          <t>Rev 1</t>
        </is>
      </c>
      <c r="O690" s="23" t="inlineStr">
        <is>
          <t>R1275-v2</t>
        </is>
      </c>
      <c r="P690" s="23" t="inlineStr"/>
      <c r="Q690" s="23" t="inlineStr"/>
      <c r="R690" s="23" t="inlineStr"/>
      <c r="S690" s="23" t="inlineStr"/>
      <c r="T690" s="23" t="inlineStr"/>
      <c r="U690" s="23" t="inlineStr"/>
      <c r="V690" s="23" t="inlineStr">
        <is>
          <t>Cost Account = CA-3033; WBS Code = 1.3.1</t>
        </is>
      </c>
      <c r="W690" s="23" t="inlineStr"/>
    </row>
    <row r="691" ht="64" customHeight="1">
      <c r="A691" s="23" t="inlineStr">
        <is>
          <t>1.3.1</t>
        </is>
      </c>
      <c r="B691" s="23" t="inlineStr">
        <is>
          <t>Systems - Traction Power</t>
        </is>
      </c>
      <c r="C691" s="23" t="inlineStr">
        <is>
          <t>Cost &amp; Forecast Control Accounts</t>
        </is>
      </c>
      <c r="D691" s="23" t="inlineStr">
        <is>
          <t>CST-03-035</t>
        </is>
      </c>
      <c r="E691" s="23" t="inlineStr">
        <is>
          <t>Systems - signalling - allowance</t>
        </is>
      </c>
      <c r="F691" s="23" t="inlineStr">
        <is>
          <t>ONE_TO_ONE</t>
        </is>
      </c>
      <c r="G691" s="23" t="inlineStr">
        <is>
          <t>RETAINED</t>
        </is>
      </c>
      <c r="H691" s="23" t="inlineStr">
        <is>
          <t>Carried forward</t>
        </is>
      </c>
      <c r="I691" s="23" t="inlineStr">
        <is>
          <t>Source assignment -- not individually reviewed</t>
        </is>
      </c>
      <c r="J691" s="23" t="inlineStr"/>
      <c r="K691" s="23" t="inlineStr">
        <is>
          <t>Source assignment</t>
        </is>
      </c>
      <c r="L691" s="23" t="inlineStr"/>
      <c r="M691" s="23" t="inlineStr">
        <is>
          <t>Cost &amp; Forecast Control Accounts Cycle 2</t>
        </is>
      </c>
      <c r="N691" s="23" t="inlineStr">
        <is>
          <t>Rev 1</t>
        </is>
      </c>
      <c r="O691" s="23" t="inlineStr">
        <is>
          <t>R1277-v2</t>
        </is>
      </c>
      <c r="P691" s="23" t="inlineStr"/>
      <c r="Q691" s="23" t="inlineStr"/>
      <c r="R691" s="23" t="inlineStr"/>
      <c r="S691" s="23" t="inlineStr"/>
      <c r="T691" s="23" t="inlineStr"/>
      <c r="U691" s="23" t="inlineStr"/>
      <c r="V691" s="23" t="inlineStr">
        <is>
          <t>Cost Account = CA-3035; WBS Code = 1.3.1</t>
        </is>
      </c>
      <c r="W691" s="23" t="inlineStr"/>
    </row>
    <row r="692" ht="64" customHeight="1">
      <c r="A692" s="23" t="inlineStr">
        <is>
          <t>1.3.1</t>
        </is>
      </c>
      <c r="B692" s="23" t="inlineStr">
        <is>
          <t>Systems - Traction Power</t>
        </is>
      </c>
      <c r="C692" s="23" t="inlineStr">
        <is>
          <t>Cost &amp; Forecast Control Accounts</t>
        </is>
      </c>
      <c r="D692" s="23" t="inlineStr">
        <is>
          <t>CST-03-037</t>
        </is>
      </c>
      <c r="E692" s="23" t="inlineStr">
        <is>
          <t>Systems - systems integration - field package</t>
        </is>
      </c>
      <c r="F692" s="23" t="inlineStr">
        <is>
          <t>ONE_TO_ONE</t>
        </is>
      </c>
      <c r="G692" s="23" t="inlineStr">
        <is>
          <t>RETAINED</t>
        </is>
      </c>
      <c r="H692" s="23" t="inlineStr">
        <is>
          <t>Carried forward</t>
        </is>
      </c>
      <c r="I692" s="23" t="inlineStr">
        <is>
          <t>Source assignment -- not individually reviewed</t>
        </is>
      </c>
      <c r="J692" s="23" t="inlineStr"/>
      <c r="K692" s="23" t="inlineStr">
        <is>
          <t>Source assignment</t>
        </is>
      </c>
      <c r="L692" s="23" t="inlineStr"/>
      <c r="M692" s="23" t="inlineStr">
        <is>
          <t>Cost &amp; Forecast Control Accounts Cycle 2</t>
        </is>
      </c>
      <c r="N692" s="23" t="inlineStr">
        <is>
          <t>Rev 1</t>
        </is>
      </c>
      <c r="O692" s="23" t="inlineStr">
        <is>
          <t>R1279-v2</t>
        </is>
      </c>
      <c r="P692" s="23" t="inlineStr"/>
      <c r="Q692" s="23" t="inlineStr"/>
      <c r="R692" s="23" t="inlineStr"/>
      <c r="S692" s="23" t="inlineStr"/>
      <c r="T692" s="23" t="inlineStr"/>
      <c r="U692" s="23" t="inlineStr"/>
      <c r="V692" s="23" t="inlineStr">
        <is>
          <t>Cost Account = CA-3037; WBS Code = 1.3.1</t>
        </is>
      </c>
      <c r="W692" s="23" t="inlineStr"/>
    </row>
    <row r="693" ht="64" customHeight="1">
      <c r="A693" s="23" t="inlineStr">
        <is>
          <t>1.3.1</t>
        </is>
      </c>
      <c r="B693" s="23" t="inlineStr">
        <is>
          <t>Systems - Traction Power</t>
        </is>
      </c>
      <c r="C693" s="23" t="inlineStr">
        <is>
          <t>Cost &amp; Forecast Control Accounts</t>
        </is>
      </c>
      <c r="D693" s="23" t="inlineStr">
        <is>
          <t>CST-03-039</t>
        </is>
      </c>
      <c r="E693" s="23" t="inlineStr">
        <is>
          <t>Systems - train control - professional services</t>
        </is>
      </c>
      <c r="F693" s="23" t="inlineStr">
        <is>
          <t>ONE_TO_ONE</t>
        </is>
      </c>
      <c r="G693" s="23" t="inlineStr">
        <is>
          <t>RETAINED</t>
        </is>
      </c>
      <c r="H693" s="23" t="inlineStr">
        <is>
          <t>Carried forward</t>
        </is>
      </c>
      <c r="I693" s="23" t="inlineStr">
        <is>
          <t>Source assignment -- not individually reviewed</t>
        </is>
      </c>
      <c r="J693" s="23" t="inlineStr"/>
      <c r="K693" s="23" t="inlineStr">
        <is>
          <t>Source assignment</t>
        </is>
      </c>
      <c r="L693" s="23" t="inlineStr"/>
      <c r="M693" s="23" t="inlineStr">
        <is>
          <t>Cost &amp; Forecast Control Accounts Cycle 2</t>
        </is>
      </c>
      <c r="N693" s="23" t="inlineStr">
        <is>
          <t>Rev 1</t>
        </is>
      </c>
      <c r="O693" s="23" t="inlineStr">
        <is>
          <t>R1281-v2</t>
        </is>
      </c>
      <c r="P693" s="23" t="inlineStr"/>
      <c r="Q693" s="23" t="inlineStr"/>
      <c r="R693" s="23" t="inlineStr"/>
      <c r="S693" s="23" t="inlineStr"/>
      <c r="T693" s="23" t="inlineStr"/>
      <c r="U693" s="23" t="inlineStr"/>
      <c r="V693" s="23" t="inlineStr">
        <is>
          <t>Cost Account = CA-3039; WBS Code = 1.3.1</t>
        </is>
      </c>
      <c r="W693" s="23" t="inlineStr"/>
    </row>
    <row r="694" ht="64" customHeight="1">
      <c r="A694" s="23" t="inlineStr">
        <is>
          <t>1.3.1</t>
        </is>
      </c>
      <c r="B694" s="23" t="inlineStr">
        <is>
          <t>Systems - Traction Power</t>
        </is>
      </c>
      <c r="C694" s="23" t="inlineStr">
        <is>
          <t>Cost &amp; Forecast Control Accounts</t>
        </is>
      </c>
      <c r="D694" s="23" t="inlineStr">
        <is>
          <t>CST-03-041</t>
        </is>
      </c>
      <c r="E694" s="23" t="inlineStr">
        <is>
          <t>Systems - signalling - closeout</t>
        </is>
      </c>
      <c r="F694" s="23" t="inlineStr">
        <is>
          <t>ONE_TO_ONE</t>
        </is>
      </c>
      <c r="G694" s="23" t="inlineStr">
        <is>
          <t>RETAINED</t>
        </is>
      </c>
      <c r="H694" s="23" t="inlineStr">
        <is>
          <t>Carried forward</t>
        </is>
      </c>
      <c r="I694" s="23" t="inlineStr">
        <is>
          <t>Source assignment -- not individually reviewed</t>
        </is>
      </c>
      <c r="J694" s="23" t="inlineStr"/>
      <c r="K694" s="23" t="inlineStr">
        <is>
          <t>Source assignment</t>
        </is>
      </c>
      <c r="L694" s="23" t="inlineStr"/>
      <c r="M694" s="23" t="inlineStr">
        <is>
          <t>Cost &amp; Forecast Control Accounts Cycle 2</t>
        </is>
      </c>
      <c r="N694" s="23" t="inlineStr">
        <is>
          <t>Rev 1</t>
        </is>
      </c>
      <c r="O694" s="23" t="inlineStr">
        <is>
          <t>R1283-v2</t>
        </is>
      </c>
      <c r="P694" s="23" t="inlineStr"/>
      <c r="Q694" s="23" t="inlineStr"/>
      <c r="R694" s="23" t="inlineStr"/>
      <c r="S694" s="23" t="inlineStr"/>
      <c r="T694" s="23" t="inlineStr"/>
      <c r="U694" s="23" t="inlineStr"/>
      <c r="V694" s="23" t="inlineStr">
        <is>
          <t>Cost Account = CA-3041; WBS Code = 1.3.1</t>
        </is>
      </c>
      <c r="W694" s="23" t="inlineStr"/>
    </row>
    <row r="695" ht="64" customHeight="1">
      <c r="A695" s="23" t="inlineStr">
        <is>
          <t>1.3.1</t>
        </is>
      </c>
      <c r="B695" s="23" t="inlineStr">
        <is>
          <t>Systems - Traction Power</t>
        </is>
      </c>
      <c r="C695" s="23" t="inlineStr">
        <is>
          <t>Cost &amp; Forecast Control Accounts</t>
        </is>
      </c>
      <c r="D695" s="23" t="inlineStr">
        <is>
          <t>CST-03-043</t>
        </is>
      </c>
      <c r="E695" s="23" t="inlineStr">
        <is>
          <t>Systems - systems integration - supply and install</t>
        </is>
      </c>
      <c r="F695" s="23" t="inlineStr">
        <is>
          <t>ONE_TO_ONE</t>
        </is>
      </c>
      <c r="G695" s="23" t="inlineStr">
        <is>
          <t>RETAINED</t>
        </is>
      </c>
      <c r="H695" s="23" t="inlineStr">
        <is>
          <t>Carried forward</t>
        </is>
      </c>
      <c r="I695" s="23" t="inlineStr">
        <is>
          <t>Source assignment -- not individually reviewed</t>
        </is>
      </c>
      <c r="J695" s="23" t="inlineStr"/>
      <c r="K695" s="23" t="inlineStr">
        <is>
          <t>Source assignment</t>
        </is>
      </c>
      <c r="L695" s="23" t="inlineStr"/>
      <c r="M695" s="23" t="inlineStr">
        <is>
          <t>Cost &amp; Forecast Control Accounts Cycle 2</t>
        </is>
      </c>
      <c r="N695" s="23" t="inlineStr">
        <is>
          <t>Rev 1</t>
        </is>
      </c>
      <c r="O695" s="23" t="inlineStr">
        <is>
          <t>R1285-v2</t>
        </is>
      </c>
      <c r="P695" s="23" t="inlineStr"/>
      <c r="Q695" s="23" t="inlineStr"/>
      <c r="R695" s="23" t="inlineStr"/>
      <c r="S695" s="23" t="inlineStr"/>
      <c r="T695" s="23" t="inlineStr"/>
      <c r="U695" s="23" t="inlineStr"/>
      <c r="V695" s="23" t="inlineStr">
        <is>
          <t>Cost Account = CA-3043; WBS Code = 1.3.1</t>
        </is>
      </c>
      <c r="W695" s="23" t="inlineStr"/>
    </row>
    <row r="696" ht="64" customHeight="1">
      <c r="A696" s="23" t="inlineStr">
        <is>
          <t>1.3.1</t>
        </is>
      </c>
      <c r="B696" s="23" t="inlineStr">
        <is>
          <t>Systems - Traction Power</t>
        </is>
      </c>
      <c r="C696" s="23" t="inlineStr">
        <is>
          <t>Cost &amp; Forecast Control Accounts</t>
        </is>
      </c>
      <c r="D696" s="23" t="inlineStr">
        <is>
          <t>CST-03-045</t>
        </is>
      </c>
      <c r="E696" s="23" t="inlineStr">
        <is>
          <t>Systems - train control - allowance</t>
        </is>
      </c>
      <c r="F696" s="23" t="inlineStr">
        <is>
          <t>ONE_TO_ONE</t>
        </is>
      </c>
      <c r="G696" s="23" t="inlineStr">
        <is>
          <t>RETAINED</t>
        </is>
      </c>
      <c r="H696" s="23" t="inlineStr">
        <is>
          <t>Carried forward</t>
        </is>
      </c>
      <c r="I696" s="23" t="inlineStr">
        <is>
          <t>Source assignment -- not individually reviewed</t>
        </is>
      </c>
      <c r="J696" s="23" t="inlineStr"/>
      <c r="K696" s="23" t="inlineStr">
        <is>
          <t>Source assignment</t>
        </is>
      </c>
      <c r="L696" s="23" t="inlineStr"/>
      <c r="M696" s="23" t="inlineStr">
        <is>
          <t>Cost &amp; Forecast Control Accounts Cycle 2</t>
        </is>
      </c>
      <c r="N696" s="23" t="inlineStr">
        <is>
          <t>Rev 1</t>
        </is>
      </c>
      <c r="O696" s="23" t="inlineStr">
        <is>
          <t>R1287-v2</t>
        </is>
      </c>
      <c r="P696" s="23" t="inlineStr"/>
      <c r="Q696" s="23" t="inlineStr"/>
      <c r="R696" s="23" t="inlineStr"/>
      <c r="S696" s="23" t="inlineStr"/>
      <c r="T696" s="23" t="inlineStr"/>
      <c r="U696" s="23" t="inlineStr"/>
      <c r="V696" s="23" t="inlineStr">
        <is>
          <t>Cost Account = CA-3045; WBS Code = 1.3.1</t>
        </is>
      </c>
      <c r="W696" s="23" t="inlineStr"/>
    </row>
    <row r="697" ht="64" customHeight="1">
      <c r="A697" s="23" t="inlineStr">
        <is>
          <t>1.3.1</t>
        </is>
      </c>
      <c r="B697" s="23" t="inlineStr">
        <is>
          <t>Systems - Traction Power</t>
        </is>
      </c>
      <c r="C697" s="23" t="inlineStr">
        <is>
          <t>Cost &amp; Forecast Control Accounts</t>
        </is>
      </c>
      <c r="D697" s="23" t="inlineStr">
        <is>
          <t>CST-03-047</t>
        </is>
      </c>
      <c r="E697" s="23" t="inlineStr">
        <is>
          <t>Systems - signalling - field package</t>
        </is>
      </c>
      <c r="F697" s="23" t="inlineStr">
        <is>
          <t>ONE_TO_ONE</t>
        </is>
      </c>
      <c r="G697" s="23" t="inlineStr">
        <is>
          <t>RETAINED</t>
        </is>
      </c>
      <c r="H697" s="23" t="inlineStr">
        <is>
          <t>Carried forward</t>
        </is>
      </c>
      <c r="I697" s="23" t="inlineStr">
        <is>
          <t>Source assignment -- not individually reviewed</t>
        </is>
      </c>
      <c r="J697" s="23" t="inlineStr"/>
      <c r="K697" s="23" t="inlineStr">
        <is>
          <t>Source assignment</t>
        </is>
      </c>
      <c r="L697" s="23" t="inlineStr"/>
      <c r="M697" s="23" t="inlineStr">
        <is>
          <t>Cost &amp; Forecast Control Accounts Cycle 2</t>
        </is>
      </c>
      <c r="N697" s="23" t="inlineStr">
        <is>
          <t>Rev 1</t>
        </is>
      </c>
      <c r="O697" s="23" t="inlineStr">
        <is>
          <t>R1289-v2</t>
        </is>
      </c>
      <c r="P697" s="23" t="inlineStr"/>
      <c r="Q697" s="23" t="inlineStr"/>
      <c r="R697" s="23" t="inlineStr"/>
      <c r="S697" s="23" t="inlineStr"/>
      <c r="T697" s="23" t="inlineStr"/>
      <c r="U697" s="23" t="inlineStr"/>
      <c r="V697" s="23" t="inlineStr">
        <is>
          <t>Cost Account = CA-3047; WBS Code = 1.3.1</t>
        </is>
      </c>
      <c r="W697" s="23" t="inlineStr"/>
    </row>
    <row r="698" ht="64" customHeight="1">
      <c r="A698" s="23" t="inlineStr">
        <is>
          <t>1.3.1</t>
        </is>
      </c>
      <c r="B698" s="23" t="inlineStr">
        <is>
          <t>Systems - Traction Power</t>
        </is>
      </c>
      <c r="C698" s="23" t="inlineStr">
        <is>
          <t>Cost &amp; Forecast Control Accounts</t>
        </is>
      </c>
      <c r="D698" s="23" t="inlineStr">
        <is>
          <t>CST-03-049</t>
        </is>
      </c>
      <c r="E698" s="23" t="inlineStr">
        <is>
          <t>Systems - systems integration - professional services</t>
        </is>
      </c>
      <c r="F698" s="23" t="inlineStr">
        <is>
          <t>ONE_TO_ONE</t>
        </is>
      </c>
      <c r="G698" s="23" t="inlineStr">
        <is>
          <t>RETAINED</t>
        </is>
      </c>
      <c r="H698" s="23" t="inlineStr">
        <is>
          <t>Carried forward</t>
        </is>
      </c>
      <c r="I698" s="23" t="inlineStr">
        <is>
          <t>Source assignment -- not individually reviewed</t>
        </is>
      </c>
      <c r="J698" s="23" t="inlineStr"/>
      <c r="K698" s="23" t="inlineStr">
        <is>
          <t>Source assignment</t>
        </is>
      </c>
      <c r="L698" s="23" t="inlineStr"/>
      <c r="M698" s="23" t="inlineStr">
        <is>
          <t>Cost &amp; Forecast Control Accounts Cycle 2</t>
        </is>
      </c>
      <c r="N698" s="23" t="inlineStr">
        <is>
          <t>Rev 1</t>
        </is>
      </c>
      <c r="O698" s="23" t="inlineStr">
        <is>
          <t>R1291-v2</t>
        </is>
      </c>
      <c r="P698" s="23" t="inlineStr"/>
      <c r="Q698" s="23" t="inlineStr"/>
      <c r="R698" s="23" t="inlineStr"/>
      <c r="S698" s="23" t="inlineStr"/>
      <c r="T698" s="23" t="inlineStr"/>
      <c r="U698" s="23" t="inlineStr"/>
      <c r="V698" s="23" t="inlineStr">
        <is>
          <t>Cost Account = CA-3049; WBS Code = 1.3.1</t>
        </is>
      </c>
      <c r="W698" s="23" t="inlineStr"/>
    </row>
    <row r="699" ht="64" customHeight="1">
      <c r="A699" s="23" t="inlineStr">
        <is>
          <t>1.3.1</t>
        </is>
      </c>
      <c r="B699" s="23" t="inlineStr">
        <is>
          <t>Systems - Traction Power</t>
        </is>
      </c>
      <c r="C699" s="23" t="inlineStr">
        <is>
          <t>Cost &amp; Forecast Control Accounts</t>
        </is>
      </c>
      <c r="D699" s="23" t="inlineStr">
        <is>
          <t>CST-03-051</t>
        </is>
      </c>
      <c r="E699" s="23" t="inlineStr">
        <is>
          <t>Systems - train control - closeout</t>
        </is>
      </c>
      <c r="F699" s="23" t="inlineStr">
        <is>
          <t>ONE_TO_ONE</t>
        </is>
      </c>
      <c r="G699" s="23" t="inlineStr">
        <is>
          <t>RETAINED</t>
        </is>
      </c>
      <c r="H699" s="23" t="inlineStr">
        <is>
          <t>Carried forward</t>
        </is>
      </c>
      <c r="I699" s="23" t="inlineStr">
        <is>
          <t>Source assignment -- not individually reviewed</t>
        </is>
      </c>
      <c r="J699" s="23" t="inlineStr"/>
      <c r="K699" s="23" t="inlineStr">
        <is>
          <t>Source assignment</t>
        </is>
      </c>
      <c r="L699" s="23" t="inlineStr"/>
      <c r="M699" s="23" t="inlineStr">
        <is>
          <t>Cost &amp; Forecast Control Accounts Cycle 2</t>
        </is>
      </c>
      <c r="N699" s="23" t="inlineStr">
        <is>
          <t>Rev 1</t>
        </is>
      </c>
      <c r="O699" s="23" t="inlineStr">
        <is>
          <t>R1293-v2</t>
        </is>
      </c>
      <c r="P699" s="23" t="inlineStr"/>
      <c r="Q699" s="23" t="inlineStr"/>
      <c r="R699" s="23" t="inlineStr"/>
      <c r="S699" s="23" t="inlineStr"/>
      <c r="T699" s="23" t="inlineStr"/>
      <c r="U699" s="23" t="inlineStr"/>
      <c r="V699" s="23" t="inlineStr">
        <is>
          <t>Cost Account = CA-3051; WBS Code = 1.3.1</t>
        </is>
      </c>
      <c r="W699" s="23" t="inlineStr"/>
    </row>
    <row r="700" ht="64" customHeight="1">
      <c r="A700" s="23" t="inlineStr">
        <is>
          <t>1.3.1</t>
        </is>
      </c>
      <c r="B700" s="23" t="inlineStr">
        <is>
          <t>Systems - Traction Power</t>
        </is>
      </c>
      <c r="C700" s="23" t="inlineStr">
        <is>
          <t>Cost &amp; Forecast Control Accounts</t>
        </is>
      </c>
      <c r="D700" s="23" t="inlineStr">
        <is>
          <t>CST-03-053</t>
        </is>
      </c>
      <c r="E700" s="23" t="inlineStr">
        <is>
          <t>Systems - signalling - supply and install</t>
        </is>
      </c>
      <c r="F700" s="23" t="inlineStr">
        <is>
          <t>ONE_TO_ONE</t>
        </is>
      </c>
      <c r="G700" s="23" t="inlineStr">
        <is>
          <t>RETAINED</t>
        </is>
      </c>
      <c r="H700" s="23" t="inlineStr">
        <is>
          <t>Carried forward</t>
        </is>
      </c>
      <c r="I700" s="23" t="inlineStr">
        <is>
          <t>Source assignment -- not individually reviewed</t>
        </is>
      </c>
      <c r="J700" s="23" t="inlineStr"/>
      <c r="K700" s="23" t="inlineStr">
        <is>
          <t>Source assignment</t>
        </is>
      </c>
      <c r="L700" s="23" t="inlineStr"/>
      <c r="M700" s="23" t="inlineStr">
        <is>
          <t>Cost &amp; Forecast Control Accounts Cycle 2</t>
        </is>
      </c>
      <c r="N700" s="23" t="inlineStr">
        <is>
          <t>Rev 1</t>
        </is>
      </c>
      <c r="O700" s="23" t="inlineStr">
        <is>
          <t>R1295-v2</t>
        </is>
      </c>
      <c r="P700" s="23" t="inlineStr"/>
      <c r="Q700" s="23" t="inlineStr"/>
      <c r="R700" s="23" t="inlineStr"/>
      <c r="S700" s="23" t="inlineStr"/>
      <c r="T700" s="23" t="inlineStr"/>
      <c r="U700" s="23" t="inlineStr"/>
      <c r="V700" s="23" t="inlineStr">
        <is>
          <t>Cost Account = CA-3053; WBS Code = 1.3.1</t>
        </is>
      </c>
      <c r="W700" s="23" t="inlineStr"/>
    </row>
    <row r="701" ht="64" customHeight="1">
      <c r="A701" s="23" t="inlineStr">
        <is>
          <t>1.3.1</t>
        </is>
      </c>
      <c r="B701" s="23" t="inlineStr">
        <is>
          <t>Systems - Traction Power</t>
        </is>
      </c>
      <c r="C701" s="23" t="inlineStr">
        <is>
          <t>Cost &amp; Forecast Control Accounts</t>
        </is>
      </c>
      <c r="D701" s="23" t="inlineStr">
        <is>
          <t>CST-03-055</t>
        </is>
      </c>
      <c r="E701" s="23" t="inlineStr">
        <is>
          <t>Systems - systems integration - allowance</t>
        </is>
      </c>
      <c r="F701" s="23" t="inlineStr">
        <is>
          <t>ONE_TO_ONE</t>
        </is>
      </c>
      <c r="G701" s="23" t="inlineStr">
        <is>
          <t>RETAINED</t>
        </is>
      </c>
      <c r="H701" s="23" t="inlineStr">
        <is>
          <t>Carried forward</t>
        </is>
      </c>
      <c r="I701" s="23" t="inlineStr">
        <is>
          <t>Source assignment -- not individually reviewed</t>
        </is>
      </c>
      <c r="J701" s="23" t="inlineStr"/>
      <c r="K701" s="23" t="inlineStr">
        <is>
          <t>Source assignment</t>
        </is>
      </c>
      <c r="L701" s="23" t="inlineStr"/>
      <c r="M701" s="23" t="inlineStr">
        <is>
          <t>Cost &amp; Forecast Control Accounts Cycle 2</t>
        </is>
      </c>
      <c r="N701" s="23" t="inlineStr">
        <is>
          <t>Rev 1</t>
        </is>
      </c>
      <c r="O701" s="23" t="inlineStr">
        <is>
          <t>R1297-v2</t>
        </is>
      </c>
      <c r="P701" s="23" t="inlineStr"/>
      <c r="Q701" s="23" t="inlineStr"/>
      <c r="R701" s="23" t="inlineStr"/>
      <c r="S701" s="23" t="inlineStr"/>
      <c r="T701" s="23" t="inlineStr"/>
      <c r="U701" s="23" t="inlineStr"/>
      <c r="V701" s="23" t="inlineStr">
        <is>
          <t>Cost Account = CA-3055; WBS Code = 1.3.1</t>
        </is>
      </c>
      <c r="W701" s="23" t="inlineStr"/>
    </row>
    <row r="702" ht="64" customHeight="1">
      <c r="A702" s="23" t="inlineStr">
        <is>
          <t>1.3.1</t>
        </is>
      </c>
      <c r="B702" s="23" t="inlineStr">
        <is>
          <t>Systems - Traction Power</t>
        </is>
      </c>
      <c r="C702" s="23" t="inlineStr">
        <is>
          <t>Cost &amp; Forecast Control Accounts</t>
        </is>
      </c>
      <c r="D702" s="23" t="inlineStr">
        <is>
          <t>CST-03-057</t>
        </is>
      </c>
      <c r="E702" s="23" t="inlineStr">
        <is>
          <t>Systems - train control - field package</t>
        </is>
      </c>
      <c r="F702" s="23" t="inlineStr">
        <is>
          <t>ONE_TO_ONE</t>
        </is>
      </c>
      <c r="G702" s="23" t="inlineStr">
        <is>
          <t>RETAINED</t>
        </is>
      </c>
      <c r="H702" s="23" t="inlineStr">
        <is>
          <t>Carried forward</t>
        </is>
      </c>
      <c r="I702" s="23" t="inlineStr">
        <is>
          <t>Source assignment -- not individually reviewed</t>
        </is>
      </c>
      <c r="J702" s="23" t="inlineStr"/>
      <c r="K702" s="23" t="inlineStr">
        <is>
          <t>Source assignment</t>
        </is>
      </c>
      <c r="L702" s="23" t="inlineStr"/>
      <c r="M702" s="23" t="inlineStr">
        <is>
          <t>Cost &amp; Forecast Control Accounts Cycle 2</t>
        </is>
      </c>
      <c r="N702" s="23" t="inlineStr">
        <is>
          <t>Rev 1</t>
        </is>
      </c>
      <c r="O702" s="23" t="inlineStr">
        <is>
          <t>R1299-v2</t>
        </is>
      </c>
      <c r="P702" s="23" t="inlineStr"/>
      <c r="Q702" s="23" t="inlineStr"/>
      <c r="R702" s="23" t="inlineStr"/>
      <c r="S702" s="23" t="inlineStr"/>
      <c r="T702" s="23" t="inlineStr"/>
      <c r="U702" s="23" t="inlineStr"/>
      <c r="V702" s="23" t="inlineStr">
        <is>
          <t>Cost Account = CA-3057; WBS Code = 1.3.1</t>
        </is>
      </c>
      <c r="W702" s="23" t="inlineStr"/>
    </row>
    <row r="703" ht="64" customHeight="1">
      <c r="A703" s="23" t="inlineStr">
        <is>
          <t>1.3.1</t>
        </is>
      </c>
      <c r="B703" s="23" t="inlineStr">
        <is>
          <t>Systems - Traction Power</t>
        </is>
      </c>
      <c r="C703" s="23" t="inlineStr">
        <is>
          <t>Cost &amp; Forecast Control Accounts</t>
        </is>
      </c>
      <c r="D703" s="23" t="inlineStr">
        <is>
          <t>CST-03-059</t>
        </is>
      </c>
      <c r="E703" s="23" t="inlineStr">
        <is>
          <t>Systems - signalling - professional services</t>
        </is>
      </c>
      <c r="F703" s="23" t="inlineStr">
        <is>
          <t>ONE_TO_ONE</t>
        </is>
      </c>
      <c r="G703" s="23" t="inlineStr">
        <is>
          <t>RETAINED</t>
        </is>
      </c>
      <c r="H703" s="23" t="inlineStr">
        <is>
          <t>Carried forward</t>
        </is>
      </c>
      <c r="I703" s="23" t="inlineStr">
        <is>
          <t>Source assignment -- not individually reviewed</t>
        </is>
      </c>
      <c r="J703" s="23" t="inlineStr"/>
      <c r="K703" s="23" t="inlineStr">
        <is>
          <t>Source assignment</t>
        </is>
      </c>
      <c r="L703" s="23" t="inlineStr"/>
      <c r="M703" s="23" t="inlineStr">
        <is>
          <t>Cost &amp; Forecast Control Accounts Cycle 2</t>
        </is>
      </c>
      <c r="N703" s="23" t="inlineStr">
        <is>
          <t>Rev 1</t>
        </is>
      </c>
      <c r="O703" s="23" t="inlineStr">
        <is>
          <t>R1301-v2</t>
        </is>
      </c>
      <c r="P703" s="23" t="inlineStr"/>
      <c r="Q703" s="23" t="inlineStr"/>
      <c r="R703" s="23" t="inlineStr"/>
      <c r="S703" s="23" t="inlineStr"/>
      <c r="T703" s="23" t="inlineStr"/>
      <c r="U703" s="23" t="inlineStr"/>
      <c r="V703" s="23" t="inlineStr">
        <is>
          <t>Cost Account = CA-3059; WBS Code = 1.3.1</t>
        </is>
      </c>
      <c r="W703" s="23" t="inlineStr"/>
    </row>
    <row r="704" ht="64" customHeight="1">
      <c r="A704" s="23" t="inlineStr">
        <is>
          <t>1.3.1</t>
        </is>
      </c>
      <c r="B704" s="23" t="inlineStr">
        <is>
          <t>Systems - Traction Power</t>
        </is>
      </c>
      <c r="C704" s="23" t="inlineStr">
        <is>
          <t>Cost &amp; Forecast Control Accounts</t>
        </is>
      </c>
      <c r="D704" s="23" t="inlineStr">
        <is>
          <t>CST-03-061</t>
        </is>
      </c>
      <c r="E704" s="23" t="inlineStr">
        <is>
          <t>Systems - systems integration - closeout</t>
        </is>
      </c>
      <c r="F704" s="23" t="inlineStr">
        <is>
          <t>ONE_TO_ONE</t>
        </is>
      </c>
      <c r="G704" s="23" t="inlineStr">
        <is>
          <t>RETAINED</t>
        </is>
      </c>
      <c r="H704" s="23" t="inlineStr">
        <is>
          <t>Carried forward</t>
        </is>
      </c>
      <c r="I704" s="23" t="inlineStr">
        <is>
          <t>Source assignment -- not individually reviewed</t>
        </is>
      </c>
      <c r="J704" s="23" t="inlineStr"/>
      <c r="K704" s="23" t="inlineStr">
        <is>
          <t>Source assignment</t>
        </is>
      </c>
      <c r="L704" s="23" t="inlineStr"/>
      <c r="M704" s="23" t="inlineStr">
        <is>
          <t>Cost &amp; Forecast Control Accounts Cycle 2</t>
        </is>
      </c>
      <c r="N704" s="23" t="inlineStr">
        <is>
          <t>Rev 1</t>
        </is>
      </c>
      <c r="O704" s="23" t="inlineStr">
        <is>
          <t>R1303-v2</t>
        </is>
      </c>
      <c r="P704" s="23" t="inlineStr"/>
      <c r="Q704" s="23" t="inlineStr"/>
      <c r="R704" s="23" t="inlineStr"/>
      <c r="S704" s="23" t="inlineStr"/>
      <c r="T704" s="23" t="inlineStr"/>
      <c r="U704" s="23" t="inlineStr"/>
      <c r="V704" s="23" t="inlineStr">
        <is>
          <t>Cost Account = CA-3061; WBS Code = 1.3.1</t>
        </is>
      </c>
      <c r="W704" s="23" t="inlineStr"/>
    </row>
    <row r="705" ht="64" customHeight="1">
      <c r="A705" s="23" t="inlineStr">
        <is>
          <t>1.3.1</t>
        </is>
      </c>
      <c r="B705" s="23" t="inlineStr">
        <is>
          <t>Systems - Traction Power</t>
        </is>
      </c>
      <c r="C705" s="23" t="inlineStr">
        <is>
          <t>Cost &amp; Forecast Control Accounts</t>
        </is>
      </c>
      <c r="D705" s="23" t="inlineStr">
        <is>
          <t>CST-03-063</t>
        </is>
      </c>
      <c r="E705" s="23" t="inlineStr">
        <is>
          <t>Systems - train control - supply and install</t>
        </is>
      </c>
      <c r="F705" s="23" t="inlineStr">
        <is>
          <t>ONE_TO_ONE</t>
        </is>
      </c>
      <c r="G705" s="23" t="inlineStr">
        <is>
          <t>RETAINED</t>
        </is>
      </c>
      <c r="H705" s="23" t="inlineStr">
        <is>
          <t>Carried forward</t>
        </is>
      </c>
      <c r="I705" s="23" t="inlineStr">
        <is>
          <t>Source assignment -- not individually reviewed</t>
        </is>
      </c>
      <c r="J705" s="23" t="inlineStr"/>
      <c r="K705" s="23" t="inlineStr">
        <is>
          <t>Source assignment</t>
        </is>
      </c>
      <c r="L705" s="23" t="inlineStr"/>
      <c r="M705" s="23" t="inlineStr">
        <is>
          <t>Cost &amp; Forecast Control Accounts Cycle 2</t>
        </is>
      </c>
      <c r="N705" s="23" t="inlineStr">
        <is>
          <t>Rev 1</t>
        </is>
      </c>
      <c r="O705" s="23" t="inlineStr">
        <is>
          <t>R1305-v2</t>
        </is>
      </c>
      <c r="P705" s="23" t="inlineStr"/>
      <c r="Q705" s="23" t="inlineStr"/>
      <c r="R705" s="23" t="inlineStr"/>
      <c r="S705" s="23" t="inlineStr"/>
      <c r="T705" s="23" t="inlineStr"/>
      <c r="U705" s="23" t="inlineStr"/>
      <c r="V705" s="23" t="inlineStr">
        <is>
          <t>Cost Account = CA-3063; WBS Code = 1.3.1</t>
        </is>
      </c>
      <c r="W705" s="23" t="inlineStr"/>
    </row>
    <row r="706" ht="64" customHeight="1">
      <c r="A706" s="23" t="inlineStr">
        <is>
          <t>1.3.1</t>
        </is>
      </c>
      <c r="B706" s="23" t="inlineStr">
        <is>
          <t>Systems - Traction Power</t>
        </is>
      </c>
      <c r="C706" s="23" t="inlineStr">
        <is>
          <t>Cost &amp; Forecast Control Accounts</t>
        </is>
      </c>
      <c r="D706" s="23" t="inlineStr">
        <is>
          <t>CST-03-065</t>
        </is>
      </c>
      <c r="E706" s="23" t="inlineStr">
        <is>
          <t>Systems - signalling - allowance</t>
        </is>
      </c>
      <c r="F706" s="23" t="inlineStr">
        <is>
          <t>ONE_TO_ONE</t>
        </is>
      </c>
      <c r="G706" s="23" t="inlineStr">
        <is>
          <t>RETAINED</t>
        </is>
      </c>
      <c r="H706" s="23" t="inlineStr">
        <is>
          <t>Carried forward</t>
        </is>
      </c>
      <c r="I706" s="23" t="inlineStr">
        <is>
          <t>Source assignment -- not individually reviewed</t>
        </is>
      </c>
      <c r="J706" s="23" t="inlineStr"/>
      <c r="K706" s="23" t="inlineStr">
        <is>
          <t>Source assignment</t>
        </is>
      </c>
      <c r="L706" s="23" t="inlineStr"/>
      <c r="M706" s="23" t="inlineStr">
        <is>
          <t>Cost &amp; Forecast Control Accounts Cycle 2</t>
        </is>
      </c>
      <c r="N706" s="23" t="inlineStr">
        <is>
          <t>Rev 1</t>
        </is>
      </c>
      <c r="O706" s="23" t="inlineStr">
        <is>
          <t>R1307-v2</t>
        </is>
      </c>
      <c r="P706" s="23" t="inlineStr"/>
      <c r="Q706" s="23" t="inlineStr"/>
      <c r="R706" s="23" t="inlineStr"/>
      <c r="S706" s="23" t="inlineStr"/>
      <c r="T706" s="23" t="inlineStr"/>
      <c r="U706" s="23" t="inlineStr"/>
      <c r="V706" s="23" t="inlineStr">
        <is>
          <t>Cost Account = CA-3065; WBS Code = 1.3.1</t>
        </is>
      </c>
      <c r="W706" s="23" t="inlineStr"/>
    </row>
    <row r="707" ht="64" customHeight="1">
      <c r="A707" s="23" t="inlineStr">
        <is>
          <t>1.3.1</t>
        </is>
      </c>
      <c r="B707" s="23" t="inlineStr">
        <is>
          <t>Systems - Traction Power</t>
        </is>
      </c>
      <c r="C707" s="23" t="inlineStr">
        <is>
          <t>Cost &amp; Forecast Control Accounts</t>
        </is>
      </c>
      <c r="D707" s="23" t="inlineStr">
        <is>
          <t>CST-03-067</t>
        </is>
      </c>
      <c r="E707" s="23" t="inlineStr">
        <is>
          <t>Systems - systems integration - field package</t>
        </is>
      </c>
      <c r="F707" s="23" t="inlineStr">
        <is>
          <t>ONE_TO_ONE</t>
        </is>
      </c>
      <c r="G707" s="23" t="inlineStr">
        <is>
          <t>RETAINED</t>
        </is>
      </c>
      <c r="H707" s="23" t="inlineStr">
        <is>
          <t>Carried forward</t>
        </is>
      </c>
      <c r="I707" s="23" t="inlineStr">
        <is>
          <t>Source assignment -- not individually reviewed</t>
        </is>
      </c>
      <c r="J707" s="23" t="inlineStr"/>
      <c r="K707" s="23" t="inlineStr">
        <is>
          <t>Source assignment</t>
        </is>
      </c>
      <c r="L707" s="23" t="inlineStr"/>
      <c r="M707" s="23" t="inlineStr">
        <is>
          <t>Cost &amp; Forecast Control Accounts Cycle 2</t>
        </is>
      </c>
      <c r="N707" s="23" t="inlineStr">
        <is>
          <t>Rev 1</t>
        </is>
      </c>
      <c r="O707" s="23" t="inlineStr">
        <is>
          <t>R1309-v2</t>
        </is>
      </c>
      <c r="P707" s="23" t="inlineStr"/>
      <c r="Q707" s="23" t="inlineStr"/>
      <c r="R707" s="23" t="inlineStr"/>
      <c r="S707" s="23" t="inlineStr"/>
      <c r="T707" s="23" t="inlineStr"/>
      <c r="U707" s="23" t="inlineStr"/>
      <c r="V707" s="23" t="inlineStr">
        <is>
          <t>Cost Account = CA-3067; WBS Code = 1.3.1</t>
        </is>
      </c>
      <c r="W707" s="23" t="inlineStr"/>
    </row>
    <row r="708" ht="64" customHeight="1">
      <c r="A708" s="23" t="inlineStr">
        <is>
          <t>1.3.1</t>
        </is>
      </c>
      <c r="B708" s="23" t="inlineStr">
        <is>
          <t>Systems - Traction Power</t>
        </is>
      </c>
      <c r="C708" s="23" t="inlineStr">
        <is>
          <t>Cost &amp; Forecast Control Accounts</t>
        </is>
      </c>
      <c r="D708" s="23" t="inlineStr">
        <is>
          <t>CST-03-069</t>
        </is>
      </c>
      <c r="E708" s="23" t="inlineStr">
        <is>
          <t>Systems - train control - professional services</t>
        </is>
      </c>
      <c r="F708" s="23" t="inlineStr">
        <is>
          <t>ONE_TO_ONE</t>
        </is>
      </c>
      <c r="G708" s="23" t="inlineStr">
        <is>
          <t>RETAINED</t>
        </is>
      </c>
      <c r="H708" s="23" t="inlineStr">
        <is>
          <t>Carried forward</t>
        </is>
      </c>
      <c r="I708" s="23" t="inlineStr">
        <is>
          <t>Source assignment -- not individually reviewed</t>
        </is>
      </c>
      <c r="J708" s="23" t="inlineStr"/>
      <c r="K708" s="23" t="inlineStr">
        <is>
          <t>Source assignment</t>
        </is>
      </c>
      <c r="L708" s="23" t="inlineStr"/>
      <c r="M708" s="23" t="inlineStr">
        <is>
          <t>Cost &amp; Forecast Control Accounts Cycle 2</t>
        </is>
      </c>
      <c r="N708" s="23" t="inlineStr">
        <is>
          <t>Rev 1</t>
        </is>
      </c>
      <c r="O708" s="23" t="inlineStr">
        <is>
          <t>R1311-v2</t>
        </is>
      </c>
      <c r="P708" s="23" t="inlineStr"/>
      <c r="Q708" s="23" t="inlineStr"/>
      <c r="R708" s="23" t="inlineStr"/>
      <c r="S708" s="23" t="inlineStr"/>
      <c r="T708" s="23" t="inlineStr"/>
      <c r="U708" s="23" t="inlineStr"/>
      <c r="V708" s="23" t="inlineStr">
        <is>
          <t>Cost Account = CA-3069; WBS Code = 1.3.1</t>
        </is>
      </c>
      <c r="W708" s="23" t="inlineStr"/>
    </row>
    <row r="709" ht="64" customHeight="1">
      <c r="A709" s="23" t="inlineStr">
        <is>
          <t>1.3.1</t>
        </is>
      </c>
      <c r="B709" s="23" t="inlineStr">
        <is>
          <t>Systems - Traction Power</t>
        </is>
      </c>
      <c r="C709" s="23" t="inlineStr">
        <is>
          <t>Cost &amp; Forecast Control Accounts</t>
        </is>
      </c>
      <c r="D709" s="23" t="inlineStr">
        <is>
          <t>CST-03-071</t>
        </is>
      </c>
      <c r="E709" s="23" t="inlineStr">
        <is>
          <t>Systems - signalling - closeout</t>
        </is>
      </c>
      <c r="F709" s="23" t="inlineStr">
        <is>
          <t>ONE_TO_ONE</t>
        </is>
      </c>
      <c r="G709" s="23" t="inlineStr">
        <is>
          <t>RETAINED</t>
        </is>
      </c>
      <c r="H709" s="23" t="inlineStr">
        <is>
          <t>Carried forward</t>
        </is>
      </c>
      <c r="I709" s="23" t="inlineStr">
        <is>
          <t>Source assignment -- not individually reviewed</t>
        </is>
      </c>
      <c r="J709" s="23" t="inlineStr"/>
      <c r="K709" s="23" t="inlineStr">
        <is>
          <t>Source assignment</t>
        </is>
      </c>
      <c r="L709" s="23" t="inlineStr"/>
      <c r="M709" s="23" t="inlineStr">
        <is>
          <t>Cost &amp; Forecast Control Accounts Cycle 2</t>
        </is>
      </c>
      <c r="N709" s="23" t="inlineStr">
        <is>
          <t>Rev 1</t>
        </is>
      </c>
      <c r="O709" s="23" t="inlineStr">
        <is>
          <t>R1313-v2</t>
        </is>
      </c>
      <c r="P709" s="23" t="inlineStr"/>
      <c r="Q709" s="23" t="inlineStr"/>
      <c r="R709" s="23" t="inlineStr"/>
      <c r="S709" s="23" t="inlineStr"/>
      <c r="T709" s="23" t="inlineStr"/>
      <c r="U709" s="23" t="inlineStr"/>
      <c r="V709" s="23" t="inlineStr">
        <is>
          <t>Cost Account = CA-3071; WBS Code = 1.3.1</t>
        </is>
      </c>
      <c r="W709" s="23" t="inlineStr"/>
    </row>
    <row r="710" ht="64" customHeight="1">
      <c r="A710" s="23" t="inlineStr">
        <is>
          <t>1.3.1</t>
        </is>
      </c>
      <c r="B710" s="23" t="inlineStr">
        <is>
          <t>Systems - Traction Power</t>
        </is>
      </c>
      <c r="C710" s="23" t="inlineStr">
        <is>
          <t>Cost &amp; Forecast Control Accounts</t>
        </is>
      </c>
      <c r="D710" s="23" t="inlineStr">
        <is>
          <t>CST-03-073</t>
        </is>
      </c>
      <c r="E710" s="23" t="inlineStr">
        <is>
          <t>Systems - systems integration - supply and install</t>
        </is>
      </c>
      <c r="F710" s="23" t="inlineStr">
        <is>
          <t>ONE_TO_ONE</t>
        </is>
      </c>
      <c r="G710" s="23" t="inlineStr">
        <is>
          <t>RETAINED</t>
        </is>
      </c>
      <c r="H710" s="23" t="inlineStr">
        <is>
          <t>Carried forward</t>
        </is>
      </c>
      <c r="I710" s="23" t="inlineStr">
        <is>
          <t>Source assignment -- not individually reviewed</t>
        </is>
      </c>
      <c r="J710" s="23" t="inlineStr"/>
      <c r="K710" s="23" t="inlineStr">
        <is>
          <t>Source assignment</t>
        </is>
      </c>
      <c r="L710" s="23" t="inlineStr"/>
      <c r="M710" s="23" t="inlineStr">
        <is>
          <t>Cost &amp; Forecast Control Accounts Cycle 2</t>
        </is>
      </c>
      <c r="N710" s="23" t="inlineStr">
        <is>
          <t>Rev 1</t>
        </is>
      </c>
      <c r="O710" s="23" t="inlineStr">
        <is>
          <t>R1315-v2</t>
        </is>
      </c>
      <c r="P710" s="23" t="inlineStr"/>
      <c r="Q710" s="23" t="inlineStr"/>
      <c r="R710" s="23" t="inlineStr"/>
      <c r="S710" s="23" t="inlineStr"/>
      <c r="T710" s="23" t="inlineStr"/>
      <c r="U710" s="23" t="inlineStr"/>
      <c r="V710" s="23" t="inlineStr">
        <is>
          <t>Cost Account = CA-3073; WBS Code = 1.3.1</t>
        </is>
      </c>
      <c r="W710" s="23" t="inlineStr"/>
    </row>
    <row r="711" ht="64" customHeight="1">
      <c r="A711" s="23" t="inlineStr">
        <is>
          <t>1.3.1</t>
        </is>
      </c>
      <c r="B711" s="23" t="inlineStr">
        <is>
          <t>Systems - Traction Power</t>
        </is>
      </c>
      <c r="C711" s="23" t="inlineStr">
        <is>
          <t>Cost &amp; Forecast Control Accounts</t>
        </is>
      </c>
      <c r="D711" s="23" t="inlineStr">
        <is>
          <t>CST-03-075</t>
        </is>
      </c>
      <c r="E711" s="23" t="inlineStr">
        <is>
          <t>Systems - train control - allowance</t>
        </is>
      </c>
      <c r="F711" s="23" t="inlineStr">
        <is>
          <t>ONE_TO_ONE</t>
        </is>
      </c>
      <c r="G711" s="23" t="inlineStr">
        <is>
          <t>RETAINED</t>
        </is>
      </c>
      <c r="H711" s="23" t="inlineStr">
        <is>
          <t>Carried forward</t>
        </is>
      </c>
      <c r="I711" s="23" t="inlineStr">
        <is>
          <t>Source assignment -- not individually reviewed</t>
        </is>
      </c>
      <c r="J711" s="23" t="inlineStr"/>
      <c r="K711" s="23" t="inlineStr">
        <is>
          <t>Source assignment</t>
        </is>
      </c>
      <c r="L711" s="23" t="inlineStr"/>
      <c r="M711" s="23" t="inlineStr">
        <is>
          <t>Cost &amp; Forecast Control Accounts Cycle 2</t>
        </is>
      </c>
      <c r="N711" s="23" t="inlineStr">
        <is>
          <t>Rev 1</t>
        </is>
      </c>
      <c r="O711" s="23" t="inlineStr">
        <is>
          <t>R1317-v2</t>
        </is>
      </c>
      <c r="P711" s="23" t="inlineStr"/>
      <c r="Q711" s="23" t="inlineStr"/>
      <c r="R711" s="23" t="inlineStr"/>
      <c r="S711" s="23" t="inlineStr"/>
      <c r="T711" s="23" t="inlineStr"/>
      <c r="U711" s="23" t="inlineStr"/>
      <c r="V711" s="23" t="inlineStr">
        <is>
          <t>Cost Account = CA-3075; WBS Code = 1.3.1</t>
        </is>
      </c>
      <c r="W711" s="23" t="inlineStr"/>
    </row>
    <row r="712" ht="64" customHeight="1">
      <c r="A712" s="23" t="inlineStr">
        <is>
          <t>1.3.1</t>
        </is>
      </c>
      <c r="B712" s="23" t="inlineStr">
        <is>
          <t>Systems - Traction Power</t>
        </is>
      </c>
      <c r="C712" s="23" t="inlineStr">
        <is>
          <t>Cost &amp; Forecast Control Accounts</t>
        </is>
      </c>
      <c r="D712" s="23" t="inlineStr">
        <is>
          <t>CST-03-077</t>
        </is>
      </c>
      <c r="E712" s="23" t="inlineStr">
        <is>
          <t>Systems - signalling - field package</t>
        </is>
      </c>
      <c r="F712" s="23" t="inlineStr">
        <is>
          <t>ONE_TO_ONE</t>
        </is>
      </c>
      <c r="G712" s="23" t="inlineStr">
        <is>
          <t>RETAINED</t>
        </is>
      </c>
      <c r="H712" s="23" t="inlineStr">
        <is>
          <t>Carried forward</t>
        </is>
      </c>
      <c r="I712" s="23" t="inlineStr">
        <is>
          <t>Source assignment -- not individually reviewed</t>
        </is>
      </c>
      <c r="J712" s="23" t="inlineStr"/>
      <c r="K712" s="23" t="inlineStr">
        <is>
          <t>Source assignment</t>
        </is>
      </c>
      <c r="L712" s="23" t="inlineStr"/>
      <c r="M712" s="23" t="inlineStr">
        <is>
          <t>Cost &amp; Forecast Control Accounts Cycle 2</t>
        </is>
      </c>
      <c r="N712" s="23" t="inlineStr">
        <is>
          <t>Rev 1</t>
        </is>
      </c>
      <c r="O712" s="23" t="inlineStr">
        <is>
          <t>R1319-v2</t>
        </is>
      </c>
      <c r="P712" s="23" t="inlineStr"/>
      <c r="Q712" s="23" t="inlineStr"/>
      <c r="R712" s="23" t="inlineStr"/>
      <c r="S712" s="23" t="inlineStr"/>
      <c r="T712" s="23" t="inlineStr"/>
      <c r="U712" s="23" t="inlineStr"/>
      <c r="V712" s="23" t="inlineStr">
        <is>
          <t>Cost Account = CA-3077; WBS Code = 1.3.1</t>
        </is>
      </c>
      <c r="W712" s="23" t="inlineStr"/>
    </row>
    <row r="713" ht="64" customHeight="1">
      <c r="A713" s="23" t="inlineStr">
        <is>
          <t>1.3.1</t>
        </is>
      </c>
      <c r="B713" s="23" t="inlineStr">
        <is>
          <t>Systems - Traction Power</t>
        </is>
      </c>
      <c r="C713" s="23" t="inlineStr">
        <is>
          <t>Cost &amp; Forecast Control Accounts</t>
        </is>
      </c>
      <c r="D713" s="23" t="inlineStr">
        <is>
          <t>CST-03-079</t>
        </is>
      </c>
      <c r="E713" s="23" t="inlineStr">
        <is>
          <t>Systems - systems integration - professional services</t>
        </is>
      </c>
      <c r="F713" s="23" t="inlineStr">
        <is>
          <t>ONE_TO_ONE</t>
        </is>
      </c>
      <c r="G713" s="23" t="inlineStr">
        <is>
          <t>RETAINED</t>
        </is>
      </c>
      <c r="H713" s="23" t="inlineStr">
        <is>
          <t>Carried forward</t>
        </is>
      </c>
      <c r="I713" s="23" t="inlineStr">
        <is>
          <t>Source assignment -- not individually reviewed</t>
        </is>
      </c>
      <c r="J713" s="23" t="inlineStr"/>
      <c r="K713" s="23" t="inlineStr">
        <is>
          <t>Source assignment</t>
        </is>
      </c>
      <c r="L713" s="23" t="inlineStr"/>
      <c r="M713" s="23" t="inlineStr">
        <is>
          <t>Cost &amp; Forecast Control Accounts Cycle 2</t>
        </is>
      </c>
      <c r="N713" s="23" t="inlineStr">
        <is>
          <t>Rev 1</t>
        </is>
      </c>
      <c r="O713" s="23" t="inlineStr">
        <is>
          <t>R1321-v2</t>
        </is>
      </c>
      <c r="P713" s="23" t="inlineStr"/>
      <c r="Q713" s="23" t="inlineStr"/>
      <c r="R713" s="23" t="inlineStr"/>
      <c r="S713" s="23" t="inlineStr"/>
      <c r="T713" s="23" t="inlineStr"/>
      <c r="U713" s="23" t="inlineStr"/>
      <c r="V713" s="23" t="inlineStr">
        <is>
          <t>Cost Account = CA-3079; WBS Code = 1.3.1</t>
        </is>
      </c>
      <c r="W713" s="23" t="inlineStr"/>
    </row>
    <row r="714" ht="49" customHeight="1">
      <c r="A714" s="23" t="inlineStr">
        <is>
          <t>1.3.2</t>
        </is>
      </c>
      <c r="B714" s="23" t="inlineStr">
        <is>
          <t>Systems - Signalling &amp; Train Control</t>
        </is>
      </c>
      <c r="C714" s="23" t="inlineStr">
        <is>
          <t>Contractor Programme</t>
        </is>
      </c>
      <c r="D714" s="23" t="inlineStr">
        <is>
          <t>SCH-03-003</t>
        </is>
      </c>
      <c r="E714" s="23" t="inlineStr">
        <is>
          <t>Interface works near systems boundary</t>
        </is>
      </c>
      <c r="F714" s="23" t="inlineStr">
        <is>
          <t>ONE_TO_ONE</t>
        </is>
      </c>
      <c r="G714" s="23" t="inlineStr">
        <is>
          <t>RETAINED</t>
        </is>
      </c>
      <c r="H714" s="23" t="inlineStr">
        <is>
          <t>Carried forward</t>
        </is>
      </c>
      <c r="I714" s="23" t="inlineStr">
        <is>
          <t>Source assignment -- not individually reviewed</t>
        </is>
      </c>
      <c r="J714" s="23" t="inlineStr"/>
      <c r="K714" s="23" t="inlineStr">
        <is>
          <t>Source assignment</t>
        </is>
      </c>
      <c r="L714" s="23" t="inlineStr"/>
      <c r="M714" s="23" t="inlineStr">
        <is>
          <t>Contractor Programme Cycle 2</t>
        </is>
      </c>
      <c r="N714" s="23" t="inlineStr">
        <is>
          <t>Rev 1</t>
        </is>
      </c>
      <c r="O714" s="23" t="inlineStr">
        <is>
          <t>R363-v2</t>
        </is>
      </c>
      <c r="P714" s="23" t="inlineStr"/>
      <c r="Q714" s="23" t="inlineStr"/>
      <c r="R714" s="23" t="inlineStr"/>
      <c r="S714" s="23" t="inlineStr"/>
      <c r="T714" s="23" t="inlineStr"/>
      <c r="U714" s="23" t="inlineStr"/>
      <c r="V714" s="23" t="inlineStr">
        <is>
          <t>WBS Code = 1.3.2</t>
        </is>
      </c>
      <c r="W714" s="23" t="inlineStr"/>
    </row>
    <row r="715" ht="49" customHeight="1">
      <c r="A715" s="23" t="inlineStr">
        <is>
          <t>1.3.2</t>
        </is>
      </c>
      <c r="B715" s="23" t="inlineStr">
        <is>
          <t>Systems - Signalling &amp; Train Control</t>
        </is>
      </c>
      <c r="C715" s="23" t="inlineStr">
        <is>
          <t>Contractor Programme</t>
        </is>
      </c>
      <c r="D715" s="23" t="inlineStr">
        <is>
          <t>SCH-03-006</t>
        </is>
      </c>
      <c r="E715" s="23" t="inlineStr">
        <is>
          <t>Harbour Station: SCADA point-to-point check - turnover</t>
        </is>
      </c>
      <c r="F715" s="23" t="inlineStr">
        <is>
          <t>ONE_TO_ONE</t>
        </is>
      </c>
      <c r="G715" s="23" t="inlineStr">
        <is>
          <t>RETAINED</t>
        </is>
      </c>
      <c r="H715" s="23" t="inlineStr">
        <is>
          <t>Carried forward</t>
        </is>
      </c>
      <c r="I715" s="23" t="inlineStr">
        <is>
          <t>Source assignment -- not individually reviewed</t>
        </is>
      </c>
      <c r="J715" s="23" t="inlineStr"/>
      <c r="K715" s="23" t="inlineStr">
        <is>
          <t>Source assignment</t>
        </is>
      </c>
      <c r="L715" s="23" t="inlineStr"/>
      <c r="M715" s="23" t="inlineStr">
        <is>
          <t>Contractor Programme Cycle 2</t>
        </is>
      </c>
      <c r="N715" s="23" t="inlineStr">
        <is>
          <t>Rev 1</t>
        </is>
      </c>
      <c r="O715" s="23" t="inlineStr">
        <is>
          <t>R366-v2</t>
        </is>
      </c>
      <c r="P715" s="23" t="inlineStr"/>
      <c r="Q715" s="23" t="inlineStr"/>
      <c r="R715" s="23" t="inlineStr"/>
      <c r="S715" s="23" t="inlineStr"/>
      <c r="T715" s="23" t="inlineStr"/>
      <c r="U715" s="23" t="inlineStr"/>
      <c r="V715" s="23" t="inlineStr">
        <is>
          <t>WBS Code = 1.3.2</t>
        </is>
      </c>
      <c r="W715" s="23" t="inlineStr"/>
    </row>
    <row r="716" ht="49" customHeight="1">
      <c r="A716" s="23" t="inlineStr">
        <is>
          <t>1.3.2</t>
        </is>
      </c>
      <c r="B716" s="23" t="inlineStr">
        <is>
          <t>Systems - Signalling &amp; Train Control</t>
        </is>
      </c>
      <c r="C716" s="23" t="inlineStr">
        <is>
          <t>Contractor Programme</t>
        </is>
      </c>
      <c r="D716" s="23" t="inlineStr">
        <is>
          <t>SCH-03-009</t>
        </is>
      </c>
      <c r="E716" s="23" t="inlineStr">
        <is>
          <t>East substation: wayside interface test - installation</t>
        </is>
      </c>
      <c r="F716" s="23" t="inlineStr">
        <is>
          <t>ONE_TO_ONE</t>
        </is>
      </c>
      <c r="G716" s="23" t="inlineStr">
        <is>
          <t>RETAINED</t>
        </is>
      </c>
      <c r="H716" s="23" t="inlineStr">
        <is>
          <t>Carried forward</t>
        </is>
      </c>
      <c r="I716" s="23" t="inlineStr">
        <is>
          <t>Source assignment -- not individually reviewed</t>
        </is>
      </c>
      <c r="J716" s="23" t="inlineStr"/>
      <c r="K716" s="23" t="inlineStr">
        <is>
          <t>Source assignment</t>
        </is>
      </c>
      <c r="L716" s="23" t="inlineStr"/>
      <c r="M716" s="23" t="inlineStr">
        <is>
          <t>Contractor Programme Cycle 2</t>
        </is>
      </c>
      <c r="N716" s="23" t="inlineStr">
        <is>
          <t>Rev 1</t>
        </is>
      </c>
      <c r="O716" s="23" t="inlineStr">
        <is>
          <t>R369-v2</t>
        </is>
      </c>
      <c r="P716" s="23" t="inlineStr"/>
      <c r="Q716" s="23" t="inlineStr"/>
      <c r="R716" s="23" t="inlineStr"/>
      <c r="S716" s="23" t="inlineStr"/>
      <c r="T716" s="23" t="inlineStr"/>
      <c r="U716" s="23" t="inlineStr"/>
      <c r="V716" s="23" t="inlineStr">
        <is>
          <t>WBS Code = 1.3.2</t>
        </is>
      </c>
      <c r="W716" s="23" t="inlineStr"/>
    </row>
    <row r="717" ht="49" customHeight="1">
      <c r="A717" s="23" t="inlineStr">
        <is>
          <t>1.3.2</t>
        </is>
      </c>
      <c r="B717" s="23" t="inlineStr">
        <is>
          <t>Systems - Signalling &amp; Train Control</t>
        </is>
      </c>
      <c r="C717" s="23" t="inlineStr">
        <is>
          <t>Contractor Programme</t>
        </is>
      </c>
      <c r="D717" s="23" t="inlineStr">
        <is>
          <t>SCH-03-012</t>
        </is>
      </c>
      <c r="E717" s="23" t="inlineStr">
        <is>
          <t>Control Centre: control-centre integration - release</t>
        </is>
      </c>
      <c r="F717" s="23" t="inlineStr">
        <is>
          <t>ONE_TO_ONE</t>
        </is>
      </c>
      <c r="G717" s="23" t="inlineStr">
        <is>
          <t>RETAINED</t>
        </is>
      </c>
      <c r="H717" s="23" t="inlineStr">
        <is>
          <t>Carried forward</t>
        </is>
      </c>
      <c r="I717" s="23" t="inlineStr">
        <is>
          <t>Source assignment -- not individually reviewed</t>
        </is>
      </c>
      <c r="J717" s="23" t="inlineStr"/>
      <c r="K717" s="23" t="inlineStr">
        <is>
          <t>Source assignment</t>
        </is>
      </c>
      <c r="L717" s="23" t="inlineStr"/>
      <c r="M717" s="23" t="inlineStr">
        <is>
          <t>Contractor Programme Cycle 2</t>
        </is>
      </c>
      <c r="N717" s="23" t="inlineStr">
        <is>
          <t>Rev 1</t>
        </is>
      </c>
      <c r="O717" s="23" t="inlineStr">
        <is>
          <t>R372-v2</t>
        </is>
      </c>
      <c r="P717" s="23" t="inlineStr"/>
      <c r="Q717" s="23" t="inlineStr"/>
      <c r="R717" s="23" t="inlineStr"/>
      <c r="S717" s="23" t="inlineStr"/>
      <c r="T717" s="23" t="inlineStr"/>
      <c r="U717" s="23" t="inlineStr"/>
      <c r="V717" s="23" t="inlineStr">
        <is>
          <t>WBS Code = 1.3.2</t>
        </is>
      </c>
      <c r="W717" s="23" t="inlineStr"/>
    </row>
    <row r="718" ht="49" customHeight="1">
      <c r="A718" s="23" t="inlineStr">
        <is>
          <t>1.3.2</t>
        </is>
      </c>
      <c r="B718" s="23" t="inlineStr">
        <is>
          <t>Systems - Signalling &amp; Train Control</t>
        </is>
      </c>
      <c r="C718" s="23" t="inlineStr">
        <is>
          <t>Contractor Programme</t>
        </is>
      </c>
      <c r="D718" s="23" t="inlineStr">
        <is>
          <t>SCH-03-015</t>
        </is>
      </c>
      <c r="E718" s="23" t="inlineStr">
        <is>
          <t>Central interlocking: traction-power feeder pull - inspection</t>
        </is>
      </c>
      <c r="F718" s="23" t="inlineStr">
        <is>
          <t>ONE_TO_ONE</t>
        </is>
      </c>
      <c r="G718" s="23" t="inlineStr">
        <is>
          <t>RETAINED</t>
        </is>
      </c>
      <c r="H718" s="23" t="inlineStr">
        <is>
          <t>Carried forward</t>
        </is>
      </c>
      <c r="I718" s="23" t="inlineStr">
        <is>
          <t>Source assignment -- not individually reviewed</t>
        </is>
      </c>
      <c r="J718" s="23" t="inlineStr"/>
      <c r="K718" s="23" t="inlineStr">
        <is>
          <t>Source assignment</t>
        </is>
      </c>
      <c r="L718" s="23" t="inlineStr"/>
      <c r="M718" s="23" t="inlineStr">
        <is>
          <t>Contractor Programme Cycle 2</t>
        </is>
      </c>
      <c r="N718" s="23" t="inlineStr">
        <is>
          <t>Rev 1</t>
        </is>
      </c>
      <c r="O718" s="23" t="inlineStr">
        <is>
          <t>R375-v2</t>
        </is>
      </c>
      <c r="P718" s="23" t="inlineStr"/>
      <c r="Q718" s="23" t="inlineStr"/>
      <c r="R718" s="23" t="inlineStr"/>
      <c r="S718" s="23" t="inlineStr"/>
      <c r="T718" s="23" t="inlineStr"/>
      <c r="U718" s="23" t="inlineStr"/>
      <c r="V718" s="23" t="inlineStr">
        <is>
          <t>WBS Code = 1.3.2</t>
        </is>
      </c>
      <c r="W718" s="23" t="inlineStr"/>
    </row>
    <row r="719" ht="49" customHeight="1">
      <c r="A719" s="23" t="inlineStr">
        <is>
          <t>1.3.2</t>
        </is>
      </c>
      <c r="B719" s="23" t="inlineStr">
        <is>
          <t>Systems - Signalling &amp; Train Control</t>
        </is>
      </c>
      <c r="C719" s="23" t="inlineStr">
        <is>
          <t>Contractor Programme</t>
        </is>
      </c>
      <c r="D719" s="23" t="inlineStr">
        <is>
          <t>SCH-03-018</t>
        </is>
      </c>
      <c r="E719" s="23" t="inlineStr">
        <is>
          <t>West wayside: signal equipment installation - field start</t>
        </is>
      </c>
      <c r="F719" s="23" t="inlineStr">
        <is>
          <t>ONE_TO_ONE</t>
        </is>
      </c>
      <c r="G719" s="23" t="inlineStr">
        <is>
          <t>RETAINED</t>
        </is>
      </c>
      <c r="H719" s="23" t="inlineStr">
        <is>
          <t>Carried forward</t>
        </is>
      </c>
      <c r="I719" s="23" t="inlineStr">
        <is>
          <t>Source assignment -- not individually reviewed</t>
        </is>
      </c>
      <c r="J719" s="23" t="inlineStr"/>
      <c r="K719" s="23" t="inlineStr">
        <is>
          <t>Source assignment</t>
        </is>
      </c>
      <c r="L719" s="23" t="inlineStr"/>
      <c r="M719" s="23" t="inlineStr">
        <is>
          <t>Contractor Programme Cycle 2</t>
        </is>
      </c>
      <c r="N719" s="23" t="inlineStr">
        <is>
          <t>Rev 1</t>
        </is>
      </c>
      <c r="O719" s="23" t="inlineStr">
        <is>
          <t>R378-v2</t>
        </is>
      </c>
      <c r="P719" s="23" t="inlineStr"/>
      <c r="Q719" s="23" t="inlineStr"/>
      <c r="R719" s="23" t="inlineStr"/>
      <c r="S719" s="23" t="inlineStr"/>
      <c r="T719" s="23" t="inlineStr"/>
      <c r="U719" s="23" t="inlineStr"/>
      <c r="V719" s="23" t="inlineStr">
        <is>
          <t>WBS Code = 1.3.2</t>
        </is>
      </c>
      <c r="W719" s="23" t="inlineStr"/>
    </row>
    <row r="720" ht="49" customHeight="1">
      <c r="A720" s="23" t="inlineStr">
        <is>
          <t>1.3.2</t>
        </is>
      </c>
      <c r="B720" s="23" t="inlineStr">
        <is>
          <t>Systems - Signalling &amp; Train Control</t>
        </is>
      </c>
      <c r="C720" s="23" t="inlineStr">
        <is>
          <t>Contractor Programme</t>
        </is>
      </c>
      <c r="D720" s="23" t="inlineStr">
        <is>
          <t>SCH-03-021</t>
        </is>
      </c>
      <c r="E720" s="23" t="inlineStr">
        <is>
          <t>Harbour Station: fibre backbone termination - turnover</t>
        </is>
      </c>
      <c r="F720" s="23" t="inlineStr">
        <is>
          <t>ONE_TO_ONE</t>
        </is>
      </c>
      <c r="G720" s="23" t="inlineStr">
        <is>
          <t>RETAINED</t>
        </is>
      </c>
      <c r="H720" s="23" t="inlineStr">
        <is>
          <t>Carried forward</t>
        </is>
      </c>
      <c r="I720" s="23" t="inlineStr">
        <is>
          <t>Source assignment -- not individually reviewed</t>
        </is>
      </c>
      <c r="J720" s="23" t="inlineStr"/>
      <c r="K720" s="23" t="inlineStr">
        <is>
          <t>Source assignment</t>
        </is>
      </c>
      <c r="L720" s="23" t="inlineStr"/>
      <c r="M720" s="23" t="inlineStr">
        <is>
          <t>Contractor Programme Cycle 2</t>
        </is>
      </c>
      <c r="N720" s="23" t="inlineStr">
        <is>
          <t>Rev 1</t>
        </is>
      </c>
      <c r="O720" s="23" t="inlineStr">
        <is>
          <t>R381-v2</t>
        </is>
      </c>
      <c r="P720" s="23" t="inlineStr"/>
      <c r="Q720" s="23" t="inlineStr"/>
      <c r="R720" s="23" t="inlineStr"/>
      <c r="S720" s="23" t="inlineStr"/>
      <c r="T720" s="23" t="inlineStr"/>
      <c r="U720" s="23" t="inlineStr"/>
      <c r="V720" s="23" t="inlineStr">
        <is>
          <t>WBS Code = 1.3.2</t>
        </is>
      </c>
      <c r="W720" s="23" t="inlineStr"/>
    </row>
    <row r="721" ht="49" customHeight="1">
      <c r="A721" s="23" t="inlineStr">
        <is>
          <t>1.3.2</t>
        </is>
      </c>
      <c r="B721" s="23" t="inlineStr">
        <is>
          <t>Systems - Signalling &amp; Train Control</t>
        </is>
      </c>
      <c r="C721" s="23" t="inlineStr">
        <is>
          <t>Contractor Programme</t>
        </is>
      </c>
      <c r="D721" s="23" t="inlineStr">
        <is>
          <t>SCH-03-024</t>
        </is>
      </c>
      <c r="E721" s="23" t="inlineStr">
        <is>
          <t>East substation: train-control cabinet fit-out - installation</t>
        </is>
      </c>
      <c r="F721" s="23" t="inlineStr">
        <is>
          <t>ONE_TO_ONE</t>
        </is>
      </c>
      <c r="G721" s="23" t="inlineStr">
        <is>
          <t>RETAINED</t>
        </is>
      </c>
      <c r="H721" s="23" t="inlineStr">
        <is>
          <t>Carried forward</t>
        </is>
      </c>
      <c r="I721" s="23" t="inlineStr">
        <is>
          <t>Source assignment -- not individually reviewed</t>
        </is>
      </c>
      <c r="J721" s="23" t="inlineStr"/>
      <c r="K721" s="23" t="inlineStr">
        <is>
          <t>Source assignment</t>
        </is>
      </c>
      <c r="L721" s="23" t="inlineStr"/>
      <c r="M721" s="23" t="inlineStr">
        <is>
          <t>Contractor Programme Cycle 2</t>
        </is>
      </c>
      <c r="N721" s="23" t="inlineStr">
        <is>
          <t>Rev 1</t>
        </is>
      </c>
      <c r="O721" s="23" t="inlineStr">
        <is>
          <t>R384-v2</t>
        </is>
      </c>
      <c r="P721" s="23" t="inlineStr"/>
      <c r="Q721" s="23" t="inlineStr"/>
      <c r="R721" s="23" t="inlineStr"/>
      <c r="S721" s="23" t="inlineStr"/>
      <c r="T721" s="23" t="inlineStr"/>
      <c r="U721" s="23" t="inlineStr"/>
      <c r="V721" s="23" t="inlineStr">
        <is>
          <t>WBS Code = 1.3.2</t>
        </is>
      </c>
      <c r="W721" s="23" t="inlineStr"/>
    </row>
    <row r="722" ht="49" customHeight="1">
      <c r="A722" s="23" t="inlineStr">
        <is>
          <t>1.3.2</t>
        </is>
      </c>
      <c r="B722" s="23" t="inlineStr">
        <is>
          <t>Systems - Signalling &amp; Train Control</t>
        </is>
      </c>
      <c r="C722" s="23" t="inlineStr">
        <is>
          <t>Contractor Programme</t>
        </is>
      </c>
      <c r="D722" s="23" t="inlineStr">
        <is>
          <t>SCH-03-027</t>
        </is>
      </c>
      <c r="E722" s="23" t="inlineStr">
        <is>
          <t>Control Centre: radio equipment installation - release</t>
        </is>
      </c>
      <c r="F722" s="23" t="inlineStr">
        <is>
          <t>ONE_TO_ONE</t>
        </is>
      </c>
      <c r="G722" s="23" t="inlineStr">
        <is>
          <t>RETAINED</t>
        </is>
      </c>
      <c r="H722" s="23" t="inlineStr">
        <is>
          <t>Carried forward</t>
        </is>
      </c>
      <c r="I722" s="23" t="inlineStr">
        <is>
          <t>Source assignment -- not individually reviewed</t>
        </is>
      </c>
      <c r="J722" s="23" t="inlineStr"/>
      <c r="K722" s="23" t="inlineStr">
        <is>
          <t>Source assignment</t>
        </is>
      </c>
      <c r="L722" s="23" t="inlineStr"/>
      <c r="M722" s="23" t="inlineStr">
        <is>
          <t>Contractor Programme Cycle 2</t>
        </is>
      </c>
      <c r="N722" s="23" t="inlineStr">
        <is>
          <t>Rev 1</t>
        </is>
      </c>
      <c r="O722" s="23" t="inlineStr">
        <is>
          <t>R387-v2</t>
        </is>
      </c>
      <c r="P722" s="23" t="inlineStr"/>
      <c r="Q722" s="23" t="inlineStr"/>
      <c r="R722" s="23" t="inlineStr"/>
      <c r="S722" s="23" t="inlineStr"/>
      <c r="T722" s="23" t="inlineStr"/>
      <c r="U722" s="23" t="inlineStr"/>
      <c r="V722" s="23" t="inlineStr">
        <is>
          <t>WBS Code = 1.3.2</t>
        </is>
      </c>
      <c r="W722" s="23" t="inlineStr"/>
    </row>
    <row r="723" ht="49" customHeight="1">
      <c r="A723" s="23" t="inlineStr">
        <is>
          <t>1.3.2</t>
        </is>
      </c>
      <c r="B723" s="23" t="inlineStr">
        <is>
          <t>Systems - Signalling &amp; Train Control</t>
        </is>
      </c>
      <c r="C723" s="23" t="inlineStr">
        <is>
          <t>Contractor Programme</t>
        </is>
      </c>
      <c r="D723" s="23" t="inlineStr">
        <is>
          <t>SCH-03-030</t>
        </is>
      </c>
      <c r="E723" s="23" t="inlineStr">
        <is>
          <t>Central interlocking: SCADA point-to-point check - inspection</t>
        </is>
      </c>
      <c r="F723" s="23" t="inlineStr">
        <is>
          <t>ONE_TO_ONE</t>
        </is>
      </c>
      <c r="G723" s="23" t="inlineStr">
        <is>
          <t>RETAINED</t>
        </is>
      </c>
      <c r="H723" s="23" t="inlineStr">
        <is>
          <t>Carried forward</t>
        </is>
      </c>
      <c r="I723" s="23" t="inlineStr">
        <is>
          <t>Source assignment -- not individually reviewed</t>
        </is>
      </c>
      <c r="J723" s="23" t="inlineStr"/>
      <c r="K723" s="23" t="inlineStr">
        <is>
          <t>Source assignment</t>
        </is>
      </c>
      <c r="L723" s="23" t="inlineStr"/>
      <c r="M723" s="23" t="inlineStr">
        <is>
          <t>Contractor Programme Cycle 2</t>
        </is>
      </c>
      <c r="N723" s="23" t="inlineStr">
        <is>
          <t>Rev 1</t>
        </is>
      </c>
      <c r="O723" s="23" t="inlineStr">
        <is>
          <t>R390-v2</t>
        </is>
      </c>
      <c r="P723" s="23" t="inlineStr"/>
      <c r="Q723" s="23" t="inlineStr"/>
      <c r="R723" s="23" t="inlineStr"/>
      <c r="S723" s="23" t="inlineStr"/>
      <c r="T723" s="23" t="inlineStr"/>
      <c r="U723" s="23" t="inlineStr"/>
      <c r="V723" s="23" t="inlineStr">
        <is>
          <t>WBS Code = 1.3.2</t>
        </is>
      </c>
      <c r="W723" s="23" t="inlineStr"/>
    </row>
    <row r="724" ht="49" customHeight="1">
      <c r="A724" s="23" t="inlineStr">
        <is>
          <t>1.3.2</t>
        </is>
      </c>
      <c r="B724" s="23" t="inlineStr">
        <is>
          <t>Systems - Signalling &amp; Train Control</t>
        </is>
      </c>
      <c r="C724" s="23" t="inlineStr">
        <is>
          <t>Contractor Programme</t>
        </is>
      </c>
      <c r="D724" s="23" t="inlineStr">
        <is>
          <t>SCH-03-033</t>
        </is>
      </c>
      <c r="E724" s="23" t="inlineStr">
        <is>
          <t>West wayside: wayside interface test - field start</t>
        </is>
      </c>
      <c r="F724" s="23" t="inlineStr">
        <is>
          <t>ONE_TO_ONE</t>
        </is>
      </c>
      <c r="G724" s="23" t="inlineStr">
        <is>
          <t>RETAINED</t>
        </is>
      </c>
      <c r="H724" s="23" t="inlineStr">
        <is>
          <t>Carried forward</t>
        </is>
      </c>
      <c r="I724" s="23" t="inlineStr">
        <is>
          <t>Source assignment -- not individually reviewed</t>
        </is>
      </c>
      <c r="J724" s="23" t="inlineStr"/>
      <c r="K724" s="23" t="inlineStr">
        <is>
          <t>Source assignment</t>
        </is>
      </c>
      <c r="L724" s="23" t="inlineStr"/>
      <c r="M724" s="23" t="inlineStr">
        <is>
          <t>Contractor Programme Cycle 2</t>
        </is>
      </c>
      <c r="N724" s="23" t="inlineStr">
        <is>
          <t>Rev 1</t>
        </is>
      </c>
      <c r="O724" s="23" t="inlineStr">
        <is>
          <t>R393-v2</t>
        </is>
      </c>
      <c r="P724" s="23" t="inlineStr"/>
      <c r="Q724" s="23" t="inlineStr"/>
      <c r="R724" s="23" t="inlineStr"/>
      <c r="S724" s="23" t="inlineStr"/>
      <c r="T724" s="23" t="inlineStr"/>
      <c r="U724" s="23" t="inlineStr"/>
      <c r="V724" s="23" t="inlineStr">
        <is>
          <t>WBS Code = 1.3.2</t>
        </is>
      </c>
      <c r="W724" s="23" t="inlineStr"/>
    </row>
    <row r="725" ht="49" customHeight="1">
      <c r="A725" s="23" t="inlineStr">
        <is>
          <t>1.3.2</t>
        </is>
      </c>
      <c r="B725" s="23" t="inlineStr">
        <is>
          <t>Systems - Signalling &amp; Train Control</t>
        </is>
      </c>
      <c r="C725" s="23" t="inlineStr">
        <is>
          <t>Contractor Programme</t>
        </is>
      </c>
      <c r="D725" s="23" t="inlineStr">
        <is>
          <t>SCH-03-036</t>
        </is>
      </c>
      <c r="E725" s="23" t="inlineStr">
        <is>
          <t>Harbour Station: control-centre integration - turnover</t>
        </is>
      </c>
      <c r="F725" s="23" t="inlineStr">
        <is>
          <t>ONE_TO_ONE</t>
        </is>
      </c>
      <c r="G725" s="23" t="inlineStr">
        <is>
          <t>RETAINED</t>
        </is>
      </c>
      <c r="H725" s="23" t="inlineStr">
        <is>
          <t>Carried forward</t>
        </is>
      </c>
      <c r="I725" s="23" t="inlineStr">
        <is>
          <t>Source assignment -- not individually reviewed</t>
        </is>
      </c>
      <c r="J725" s="23" t="inlineStr"/>
      <c r="K725" s="23" t="inlineStr">
        <is>
          <t>Source assignment</t>
        </is>
      </c>
      <c r="L725" s="23" t="inlineStr"/>
      <c r="M725" s="23" t="inlineStr">
        <is>
          <t>Contractor Programme Cycle 2</t>
        </is>
      </c>
      <c r="N725" s="23" t="inlineStr">
        <is>
          <t>Rev 1</t>
        </is>
      </c>
      <c r="O725" s="23" t="inlineStr">
        <is>
          <t>R396-v2</t>
        </is>
      </c>
      <c r="P725" s="23" t="inlineStr"/>
      <c r="Q725" s="23" t="inlineStr"/>
      <c r="R725" s="23" t="inlineStr"/>
      <c r="S725" s="23" t="inlineStr"/>
      <c r="T725" s="23" t="inlineStr"/>
      <c r="U725" s="23" t="inlineStr"/>
      <c r="V725" s="23" t="inlineStr">
        <is>
          <t>WBS Code = 1.3.2</t>
        </is>
      </c>
      <c r="W725" s="23" t="inlineStr"/>
    </row>
    <row r="726" ht="49" customHeight="1">
      <c r="A726" s="23" t="inlineStr">
        <is>
          <t>1.3.2</t>
        </is>
      </c>
      <c r="B726" s="23" t="inlineStr">
        <is>
          <t>Systems - Signalling &amp; Train Control</t>
        </is>
      </c>
      <c r="C726" s="23" t="inlineStr">
        <is>
          <t>Contractor Programme</t>
        </is>
      </c>
      <c r="D726" s="23" t="inlineStr">
        <is>
          <t>SCH-03-039</t>
        </is>
      </c>
      <c r="E726" s="23" t="inlineStr">
        <is>
          <t>East substation: traction-power feeder pull - installation</t>
        </is>
      </c>
      <c r="F726" s="23" t="inlineStr">
        <is>
          <t>ONE_TO_ONE</t>
        </is>
      </c>
      <c r="G726" s="23" t="inlineStr">
        <is>
          <t>RETAINED</t>
        </is>
      </c>
      <c r="H726" s="23" t="inlineStr">
        <is>
          <t>Carried forward</t>
        </is>
      </c>
      <c r="I726" s="23" t="inlineStr">
        <is>
          <t>Source assignment -- not individually reviewed</t>
        </is>
      </c>
      <c r="J726" s="23" t="inlineStr"/>
      <c r="K726" s="23" t="inlineStr">
        <is>
          <t>Source assignment</t>
        </is>
      </c>
      <c r="L726" s="23" t="inlineStr"/>
      <c r="M726" s="23" t="inlineStr">
        <is>
          <t>Contractor Programme Cycle 2</t>
        </is>
      </c>
      <c r="N726" s="23" t="inlineStr">
        <is>
          <t>Rev 1</t>
        </is>
      </c>
      <c r="O726" s="23" t="inlineStr">
        <is>
          <t>R399-v2</t>
        </is>
      </c>
      <c r="P726" s="23" t="inlineStr"/>
      <c r="Q726" s="23" t="inlineStr"/>
      <c r="R726" s="23" t="inlineStr"/>
      <c r="S726" s="23" t="inlineStr"/>
      <c r="T726" s="23" t="inlineStr"/>
      <c r="U726" s="23" t="inlineStr"/>
      <c r="V726" s="23" t="inlineStr">
        <is>
          <t>WBS Code = 1.3.2</t>
        </is>
      </c>
      <c r="W726" s="23" t="inlineStr"/>
    </row>
    <row r="727" ht="49" customHeight="1">
      <c r="A727" s="23" t="inlineStr">
        <is>
          <t>1.3.2</t>
        </is>
      </c>
      <c r="B727" s="23" t="inlineStr">
        <is>
          <t>Systems - Signalling &amp; Train Control</t>
        </is>
      </c>
      <c r="C727" s="23" t="inlineStr">
        <is>
          <t>Contractor Programme</t>
        </is>
      </c>
      <c r="D727" s="23" t="inlineStr">
        <is>
          <t>SCH-03-042</t>
        </is>
      </c>
      <c r="E727" s="23" t="inlineStr">
        <is>
          <t>Control Centre: signal equipment installation - release</t>
        </is>
      </c>
      <c r="F727" s="23" t="inlineStr">
        <is>
          <t>ONE_TO_ONE</t>
        </is>
      </c>
      <c r="G727" s="23" t="inlineStr">
        <is>
          <t>RETAINED</t>
        </is>
      </c>
      <c r="H727" s="23" t="inlineStr">
        <is>
          <t>Carried forward</t>
        </is>
      </c>
      <c r="I727" s="23" t="inlineStr">
        <is>
          <t>Source assignment -- not individually reviewed</t>
        </is>
      </c>
      <c r="J727" s="23" t="inlineStr"/>
      <c r="K727" s="23" t="inlineStr">
        <is>
          <t>Source assignment</t>
        </is>
      </c>
      <c r="L727" s="23" t="inlineStr"/>
      <c r="M727" s="23" t="inlineStr">
        <is>
          <t>Contractor Programme Cycle 2</t>
        </is>
      </c>
      <c r="N727" s="23" t="inlineStr">
        <is>
          <t>Rev 1</t>
        </is>
      </c>
      <c r="O727" s="23" t="inlineStr">
        <is>
          <t>R402-v2</t>
        </is>
      </c>
      <c r="P727" s="23" t="inlineStr"/>
      <c r="Q727" s="23" t="inlineStr"/>
      <c r="R727" s="23" t="inlineStr"/>
      <c r="S727" s="23" t="inlineStr"/>
      <c r="T727" s="23" t="inlineStr"/>
      <c r="U727" s="23" t="inlineStr"/>
      <c r="V727" s="23" t="inlineStr">
        <is>
          <t>WBS Code = 1.3.2</t>
        </is>
      </c>
      <c r="W727" s="23" t="inlineStr"/>
    </row>
    <row r="728" ht="49" customHeight="1">
      <c r="A728" s="23" t="inlineStr">
        <is>
          <t>1.3.2</t>
        </is>
      </c>
      <c r="B728" s="23" t="inlineStr">
        <is>
          <t>Systems - Signalling &amp; Train Control</t>
        </is>
      </c>
      <c r="C728" s="23" t="inlineStr">
        <is>
          <t>Contractor Programme</t>
        </is>
      </c>
      <c r="D728" s="23" t="inlineStr">
        <is>
          <t>SCH-03-045</t>
        </is>
      </c>
      <c r="E728" s="23" t="inlineStr">
        <is>
          <t>Central interlocking: fibre backbone termination - inspection</t>
        </is>
      </c>
      <c r="F728" s="23" t="inlineStr">
        <is>
          <t>ONE_TO_ONE</t>
        </is>
      </c>
      <c r="G728" s="23" t="inlineStr">
        <is>
          <t>RETAINED</t>
        </is>
      </c>
      <c r="H728" s="23" t="inlineStr">
        <is>
          <t>Carried forward</t>
        </is>
      </c>
      <c r="I728" s="23" t="inlineStr">
        <is>
          <t>Source assignment -- not individually reviewed</t>
        </is>
      </c>
      <c r="J728" s="23" t="inlineStr"/>
      <c r="K728" s="23" t="inlineStr">
        <is>
          <t>Source assignment</t>
        </is>
      </c>
      <c r="L728" s="23" t="inlineStr"/>
      <c r="M728" s="23" t="inlineStr">
        <is>
          <t>Contractor Programme Cycle 2</t>
        </is>
      </c>
      <c r="N728" s="23" t="inlineStr">
        <is>
          <t>Rev 1</t>
        </is>
      </c>
      <c r="O728" s="23" t="inlineStr">
        <is>
          <t>R405-v2</t>
        </is>
      </c>
      <c r="P728" s="23" t="inlineStr"/>
      <c r="Q728" s="23" t="inlineStr"/>
      <c r="R728" s="23" t="inlineStr"/>
      <c r="S728" s="23" t="inlineStr"/>
      <c r="T728" s="23" t="inlineStr"/>
      <c r="U728" s="23" t="inlineStr"/>
      <c r="V728" s="23" t="inlineStr">
        <is>
          <t>WBS Code = 1.3.2</t>
        </is>
      </c>
      <c r="W728" s="23" t="inlineStr"/>
    </row>
    <row r="729" ht="49" customHeight="1">
      <c r="A729" s="23" t="inlineStr">
        <is>
          <t>1.3.2</t>
        </is>
      </c>
      <c r="B729" s="23" t="inlineStr">
        <is>
          <t>Systems - Signalling &amp; Train Control</t>
        </is>
      </c>
      <c r="C729" s="23" t="inlineStr">
        <is>
          <t>Contractor Programme</t>
        </is>
      </c>
      <c r="D729" s="23" t="inlineStr">
        <is>
          <t>SCH-03-048</t>
        </is>
      </c>
      <c r="E729" s="23" t="inlineStr">
        <is>
          <t>West wayside: train-control cabinet fit-out - field start</t>
        </is>
      </c>
      <c r="F729" s="23" t="inlineStr">
        <is>
          <t>ONE_TO_ONE</t>
        </is>
      </c>
      <c r="G729" s="23" t="inlineStr">
        <is>
          <t>RETAINED</t>
        </is>
      </c>
      <c r="H729" s="23" t="inlineStr">
        <is>
          <t>Carried forward</t>
        </is>
      </c>
      <c r="I729" s="23" t="inlineStr">
        <is>
          <t>Source assignment -- not individually reviewed</t>
        </is>
      </c>
      <c r="J729" s="23" t="inlineStr"/>
      <c r="K729" s="23" t="inlineStr">
        <is>
          <t>Source assignment</t>
        </is>
      </c>
      <c r="L729" s="23" t="inlineStr"/>
      <c r="M729" s="23" t="inlineStr">
        <is>
          <t>Contractor Programme Cycle 2</t>
        </is>
      </c>
      <c r="N729" s="23" t="inlineStr">
        <is>
          <t>Rev 1</t>
        </is>
      </c>
      <c r="O729" s="23" t="inlineStr">
        <is>
          <t>R408-v2</t>
        </is>
      </c>
      <c r="P729" s="23" t="inlineStr"/>
      <c r="Q729" s="23" t="inlineStr"/>
      <c r="R729" s="23" t="inlineStr"/>
      <c r="S729" s="23" t="inlineStr"/>
      <c r="T729" s="23" t="inlineStr"/>
      <c r="U729" s="23" t="inlineStr"/>
      <c r="V729" s="23" t="inlineStr">
        <is>
          <t>WBS Code = 1.3.2</t>
        </is>
      </c>
      <c r="W729" s="23" t="inlineStr"/>
    </row>
    <row r="730" ht="49" customHeight="1">
      <c r="A730" s="23" t="inlineStr">
        <is>
          <t>1.3.2</t>
        </is>
      </c>
      <c r="B730" s="23" t="inlineStr">
        <is>
          <t>Systems - Signalling &amp; Train Control</t>
        </is>
      </c>
      <c r="C730" s="23" t="inlineStr">
        <is>
          <t>Contractor Programme</t>
        </is>
      </c>
      <c r="D730" s="23" t="inlineStr">
        <is>
          <t>SCH-03-051</t>
        </is>
      </c>
      <c r="E730" s="23" t="inlineStr">
        <is>
          <t>Harbour Station: radio equipment installation - turnover</t>
        </is>
      </c>
      <c r="F730" s="23" t="inlineStr">
        <is>
          <t>ONE_TO_ONE</t>
        </is>
      </c>
      <c r="G730" s="23" t="inlineStr">
        <is>
          <t>RETAINED</t>
        </is>
      </c>
      <c r="H730" s="23" t="inlineStr">
        <is>
          <t>Carried forward</t>
        </is>
      </c>
      <c r="I730" s="23" t="inlineStr">
        <is>
          <t>Source assignment -- not individually reviewed</t>
        </is>
      </c>
      <c r="J730" s="23" t="inlineStr"/>
      <c r="K730" s="23" t="inlineStr">
        <is>
          <t>Source assignment</t>
        </is>
      </c>
      <c r="L730" s="23" t="inlineStr"/>
      <c r="M730" s="23" t="inlineStr">
        <is>
          <t>Contractor Programme Cycle 2</t>
        </is>
      </c>
      <c r="N730" s="23" t="inlineStr">
        <is>
          <t>Rev 1</t>
        </is>
      </c>
      <c r="O730" s="23" t="inlineStr">
        <is>
          <t>R411-v2</t>
        </is>
      </c>
      <c r="P730" s="23" t="inlineStr"/>
      <c r="Q730" s="23" t="inlineStr"/>
      <c r="R730" s="23" t="inlineStr"/>
      <c r="S730" s="23" t="inlineStr"/>
      <c r="T730" s="23" t="inlineStr"/>
      <c r="U730" s="23" t="inlineStr"/>
      <c r="V730" s="23" t="inlineStr">
        <is>
          <t>WBS Code = 1.3.2</t>
        </is>
      </c>
      <c r="W730" s="23" t="inlineStr"/>
    </row>
    <row r="731" ht="49" customHeight="1">
      <c r="A731" s="23" t="inlineStr">
        <is>
          <t>1.3.2</t>
        </is>
      </c>
      <c r="B731" s="23" t="inlineStr">
        <is>
          <t>Systems - Signalling &amp; Train Control</t>
        </is>
      </c>
      <c r="C731" s="23" t="inlineStr">
        <is>
          <t>Contractor Programme</t>
        </is>
      </c>
      <c r="D731" s="23" t="inlineStr">
        <is>
          <t>SCH-03-054</t>
        </is>
      </c>
      <c r="E731" s="23" t="inlineStr">
        <is>
          <t>East substation: SCADA point-to-point check - installation</t>
        </is>
      </c>
      <c r="F731" s="23" t="inlineStr">
        <is>
          <t>ONE_TO_ONE</t>
        </is>
      </c>
      <c r="G731" s="23" t="inlineStr">
        <is>
          <t>RETAINED</t>
        </is>
      </c>
      <c r="H731" s="23" t="inlineStr">
        <is>
          <t>Carried forward</t>
        </is>
      </c>
      <c r="I731" s="23" t="inlineStr">
        <is>
          <t>Source assignment -- not individually reviewed</t>
        </is>
      </c>
      <c r="J731" s="23" t="inlineStr"/>
      <c r="K731" s="23" t="inlineStr">
        <is>
          <t>Source assignment</t>
        </is>
      </c>
      <c r="L731" s="23" t="inlineStr"/>
      <c r="M731" s="23" t="inlineStr">
        <is>
          <t>Contractor Programme Cycle 2</t>
        </is>
      </c>
      <c r="N731" s="23" t="inlineStr">
        <is>
          <t>Rev 1</t>
        </is>
      </c>
      <c r="O731" s="23" t="inlineStr">
        <is>
          <t>R414-v2</t>
        </is>
      </c>
      <c r="P731" s="23" t="inlineStr"/>
      <c r="Q731" s="23" t="inlineStr"/>
      <c r="R731" s="23" t="inlineStr"/>
      <c r="S731" s="23" t="inlineStr"/>
      <c r="T731" s="23" t="inlineStr"/>
      <c r="U731" s="23" t="inlineStr"/>
      <c r="V731" s="23" t="inlineStr">
        <is>
          <t>WBS Code = 1.3.2</t>
        </is>
      </c>
      <c r="W731" s="23" t="inlineStr"/>
    </row>
    <row r="732" ht="49" customHeight="1">
      <c r="A732" s="23" t="inlineStr">
        <is>
          <t>1.3.2</t>
        </is>
      </c>
      <c r="B732" s="23" t="inlineStr">
        <is>
          <t>Systems - Signalling &amp; Train Control</t>
        </is>
      </c>
      <c r="C732" s="23" t="inlineStr">
        <is>
          <t>Contractor Programme</t>
        </is>
      </c>
      <c r="D732" s="23" t="inlineStr">
        <is>
          <t>SCH-03-057</t>
        </is>
      </c>
      <c r="E732" s="23" t="inlineStr">
        <is>
          <t>Control Centre: wayside interface test - release</t>
        </is>
      </c>
      <c r="F732" s="23" t="inlineStr">
        <is>
          <t>ONE_TO_ONE</t>
        </is>
      </c>
      <c r="G732" s="23" t="inlineStr">
        <is>
          <t>RETAINED</t>
        </is>
      </c>
      <c r="H732" s="23" t="inlineStr">
        <is>
          <t>Carried forward</t>
        </is>
      </c>
      <c r="I732" s="23" t="inlineStr">
        <is>
          <t>Source assignment -- not individually reviewed</t>
        </is>
      </c>
      <c r="J732" s="23" t="inlineStr"/>
      <c r="K732" s="23" t="inlineStr">
        <is>
          <t>Source assignment</t>
        </is>
      </c>
      <c r="L732" s="23" t="inlineStr"/>
      <c r="M732" s="23" t="inlineStr">
        <is>
          <t>Contractor Programme Cycle 2</t>
        </is>
      </c>
      <c r="N732" s="23" t="inlineStr">
        <is>
          <t>Rev 1</t>
        </is>
      </c>
      <c r="O732" s="23" t="inlineStr">
        <is>
          <t>R417-v2</t>
        </is>
      </c>
      <c r="P732" s="23" t="inlineStr"/>
      <c r="Q732" s="23" t="inlineStr"/>
      <c r="R732" s="23" t="inlineStr"/>
      <c r="S732" s="23" t="inlineStr"/>
      <c r="T732" s="23" t="inlineStr"/>
      <c r="U732" s="23" t="inlineStr"/>
      <c r="V732" s="23" t="inlineStr">
        <is>
          <t>WBS Code = 1.3.2</t>
        </is>
      </c>
      <c r="W732" s="23" t="inlineStr"/>
    </row>
    <row r="733" ht="49" customHeight="1">
      <c r="A733" s="23" t="inlineStr">
        <is>
          <t>1.3.2</t>
        </is>
      </c>
      <c r="B733" s="23" t="inlineStr">
        <is>
          <t>Systems - Signalling &amp; Train Control</t>
        </is>
      </c>
      <c r="C733" s="23" t="inlineStr">
        <is>
          <t>Contractor Programme</t>
        </is>
      </c>
      <c r="D733" s="23" t="inlineStr">
        <is>
          <t>SCH-03-060</t>
        </is>
      </c>
      <c r="E733" s="23" t="inlineStr">
        <is>
          <t>Central interlocking: control-centre integration - inspection</t>
        </is>
      </c>
      <c r="F733" s="23" t="inlineStr">
        <is>
          <t>ONE_TO_ONE</t>
        </is>
      </c>
      <c r="G733" s="23" t="inlineStr">
        <is>
          <t>RETAINED</t>
        </is>
      </c>
      <c r="H733" s="23" t="inlineStr">
        <is>
          <t>Carried forward</t>
        </is>
      </c>
      <c r="I733" s="23" t="inlineStr">
        <is>
          <t>Source assignment -- not individually reviewed</t>
        </is>
      </c>
      <c r="J733" s="23" t="inlineStr"/>
      <c r="K733" s="23" t="inlineStr">
        <is>
          <t>Source assignment</t>
        </is>
      </c>
      <c r="L733" s="23" t="inlineStr"/>
      <c r="M733" s="23" t="inlineStr">
        <is>
          <t>Contractor Programme Cycle 2</t>
        </is>
      </c>
      <c r="N733" s="23" t="inlineStr">
        <is>
          <t>Rev 1</t>
        </is>
      </c>
      <c r="O733" s="23" t="inlineStr">
        <is>
          <t>R420-v2</t>
        </is>
      </c>
      <c r="P733" s="23" t="inlineStr"/>
      <c r="Q733" s="23" t="inlineStr"/>
      <c r="R733" s="23" t="inlineStr"/>
      <c r="S733" s="23" t="inlineStr"/>
      <c r="T733" s="23" t="inlineStr"/>
      <c r="U733" s="23" t="inlineStr"/>
      <c r="V733" s="23" t="inlineStr">
        <is>
          <t>WBS Code = 1.3.2</t>
        </is>
      </c>
      <c r="W733" s="23" t="inlineStr"/>
    </row>
    <row r="734" ht="49" customHeight="1">
      <c r="A734" s="23" t="inlineStr">
        <is>
          <t>1.3.2</t>
        </is>
      </c>
      <c r="B734" s="23" t="inlineStr">
        <is>
          <t>Systems - Signalling &amp; Train Control</t>
        </is>
      </c>
      <c r="C734" s="23" t="inlineStr">
        <is>
          <t>Contractor Programme</t>
        </is>
      </c>
      <c r="D734" s="23" t="inlineStr">
        <is>
          <t>SCH-03-063</t>
        </is>
      </c>
      <c r="E734" s="23" t="inlineStr">
        <is>
          <t>West wayside: traction-power feeder pull - field start</t>
        </is>
      </c>
      <c r="F734" s="23" t="inlineStr">
        <is>
          <t>ONE_TO_ONE</t>
        </is>
      </c>
      <c r="G734" s="23" t="inlineStr">
        <is>
          <t>RETAINED</t>
        </is>
      </c>
      <c r="H734" s="23" t="inlineStr">
        <is>
          <t>Carried forward</t>
        </is>
      </c>
      <c r="I734" s="23" t="inlineStr">
        <is>
          <t>Source assignment -- not individually reviewed</t>
        </is>
      </c>
      <c r="J734" s="23" t="inlineStr"/>
      <c r="K734" s="23" t="inlineStr">
        <is>
          <t>Source assignment</t>
        </is>
      </c>
      <c r="L734" s="23" t="inlineStr"/>
      <c r="M734" s="23" t="inlineStr">
        <is>
          <t>Contractor Programme Cycle 2</t>
        </is>
      </c>
      <c r="N734" s="23" t="inlineStr">
        <is>
          <t>Rev 1</t>
        </is>
      </c>
      <c r="O734" s="23" t="inlineStr">
        <is>
          <t>R423-v2</t>
        </is>
      </c>
      <c r="P734" s="23" t="inlineStr"/>
      <c r="Q734" s="23" t="inlineStr"/>
      <c r="R734" s="23" t="inlineStr"/>
      <c r="S734" s="23" t="inlineStr"/>
      <c r="T734" s="23" t="inlineStr"/>
      <c r="U734" s="23" t="inlineStr"/>
      <c r="V734" s="23" t="inlineStr">
        <is>
          <t>WBS Code = 1.3.2</t>
        </is>
      </c>
      <c r="W734" s="23" t="inlineStr"/>
    </row>
    <row r="735" ht="49" customHeight="1">
      <c r="A735" s="23" t="inlineStr">
        <is>
          <t>1.3.2</t>
        </is>
      </c>
      <c r="B735" s="23" t="inlineStr">
        <is>
          <t>Systems - Signalling &amp; Train Control</t>
        </is>
      </c>
      <c r="C735" s="23" t="inlineStr">
        <is>
          <t>Contractor Programme</t>
        </is>
      </c>
      <c r="D735" s="23" t="inlineStr">
        <is>
          <t>SCH-03-066</t>
        </is>
      </c>
      <c r="E735" s="23" t="inlineStr">
        <is>
          <t>Harbour Station: signal equipment installation - turnover</t>
        </is>
      </c>
      <c r="F735" s="23" t="inlineStr">
        <is>
          <t>ONE_TO_ONE</t>
        </is>
      </c>
      <c r="G735" s="23" t="inlineStr">
        <is>
          <t>RETAINED</t>
        </is>
      </c>
      <c r="H735" s="23" t="inlineStr">
        <is>
          <t>Carried forward</t>
        </is>
      </c>
      <c r="I735" s="23" t="inlineStr">
        <is>
          <t>Source assignment -- not individually reviewed</t>
        </is>
      </c>
      <c r="J735" s="23" t="inlineStr"/>
      <c r="K735" s="23" t="inlineStr">
        <is>
          <t>Source assignment</t>
        </is>
      </c>
      <c r="L735" s="23" t="inlineStr"/>
      <c r="M735" s="23" t="inlineStr">
        <is>
          <t>Contractor Programme Cycle 2</t>
        </is>
      </c>
      <c r="N735" s="23" t="inlineStr">
        <is>
          <t>Rev 1</t>
        </is>
      </c>
      <c r="O735" s="23" t="inlineStr">
        <is>
          <t>R426-v2</t>
        </is>
      </c>
      <c r="P735" s="23" t="inlineStr"/>
      <c r="Q735" s="23" t="inlineStr"/>
      <c r="R735" s="23" t="inlineStr"/>
      <c r="S735" s="23" t="inlineStr"/>
      <c r="T735" s="23" t="inlineStr"/>
      <c r="U735" s="23" t="inlineStr"/>
      <c r="V735" s="23" t="inlineStr">
        <is>
          <t>WBS Code = 1.3.2</t>
        </is>
      </c>
      <c r="W735" s="23" t="inlineStr"/>
    </row>
    <row r="736" ht="49" customHeight="1">
      <c r="A736" s="23" t="inlineStr">
        <is>
          <t>1.3.2</t>
        </is>
      </c>
      <c r="B736" s="23" t="inlineStr">
        <is>
          <t>Systems - Signalling &amp; Train Control</t>
        </is>
      </c>
      <c r="C736" s="23" t="inlineStr">
        <is>
          <t>Contractor Programme</t>
        </is>
      </c>
      <c r="D736" s="23" t="inlineStr">
        <is>
          <t>SCH-03-069</t>
        </is>
      </c>
      <c r="E736" s="23" t="inlineStr">
        <is>
          <t>East substation: fibre backbone termination - installation</t>
        </is>
      </c>
      <c r="F736" s="23" t="inlineStr">
        <is>
          <t>ONE_TO_ONE</t>
        </is>
      </c>
      <c r="G736" s="23" t="inlineStr">
        <is>
          <t>RETAINED</t>
        </is>
      </c>
      <c r="H736" s="23" t="inlineStr">
        <is>
          <t>Carried forward</t>
        </is>
      </c>
      <c r="I736" s="23" t="inlineStr">
        <is>
          <t>Source assignment -- not individually reviewed</t>
        </is>
      </c>
      <c r="J736" s="23" t="inlineStr"/>
      <c r="K736" s="23" t="inlineStr">
        <is>
          <t>Source assignment</t>
        </is>
      </c>
      <c r="L736" s="23" t="inlineStr"/>
      <c r="M736" s="23" t="inlineStr">
        <is>
          <t>Contractor Programme Cycle 2</t>
        </is>
      </c>
      <c r="N736" s="23" t="inlineStr">
        <is>
          <t>Rev 1</t>
        </is>
      </c>
      <c r="O736" s="23" t="inlineStr">
        <is>
          <t>R429-v2</t>
        </is>
      </c>
      <c r="P736" s="23" t="inlineStr"/>
      <c r="Q736" s="23" t="inlineStr"/>
      <c r="R736" s="23" t="inlineStr"/>
      <c r="S736" s="23" t="inlineStr"/>
      <c r="T736" s="23" t="inlineStr"/>
      <c r="U736" s="23" t="inlineStr"/>
      <c r="V736" s="23" t="inlineStr">
        <is>
          <t>WBS Code = 1.3.2</t>
        </is>
      </c>
      <c r="W736" s="23" t="inlineStr"/>
    </row>
    <row r="737" ht="49" customHeight="1">
      <c r="A737" s="23" t="inlineStr">
        <is>
          <t>1.3.2</t>
        </is>
      </c>
      <c r="B737" s="23" t="inlineStr">
        <is>
          <t>Systems - Signalling &amp; Train Control</t>
        </is>
      </c>
      <c r="C737" s="23" t="inlineStr">
        <is>
          <t>Contractor Programme</t>
        </is>
      </c>
      <c r="D737" s="23" t="inlineStr">
        <is>
          <t>SCH-03-072</t>
        </is>
      </c>
      <c r="E737" s="23" t="inlineStr">
        <is>
          <t>Control Centre: train-control cabinet fit-out - release</t>
        </is>
      </c>
      <c r="F737" s="23" t="inlineStr">
        <is>
          <t>ONE_TO_ONE</t>
        </is>
      </c>
      <c r="G737" s="23" t="inlineStr">
        <is>
          <t>RETAINED</t>
        </is>
      </c>
      <c r="H737" s="23" t="inlineStr">
        <is>
          <t>Carried forward</t>
        </is>
      </c>
      <c r="I737" s="23" t="inlineStr">
        <is>
          <t>Source assignment -- not individually reviewed</t>
        </is>
      </c>
      <c r="J737" s="23" t="inlineStr"/>
      <c r="K737" s="23" t="inlineStr">
        <is>
          <t>Source assignment</t>
        </is>
      </c>
      <c r="L737" s="23" t="inlineStr"/>
      <c r="M737" s="23" t="inlineStr">
        <is>
          <t>Contractor Programme Cycle 2</t>
        </is>
      </c>
      <c r="N737" s="23" t="inlineStr">
        <is>
          <t>Rev 1</t>
        </is>
      </c>
      <c r="O737" s="23" t="inlineStr">
        <is>
          <t>R432-v2</t>
        </is>
      </c>
      <c r="P737" s="23" t="inlineStr"/>
      <c r="Q737" s="23" t="inlineStr"/>
      <c r="R737" s="23" t="inlineStr"/>
      <c r="S737" s="23" t="inlineStr"/>
      <c r="T737" s="23" t="inlineStr"/>
      <c r="U737" s="23" t="inlineStr"/>
      <c r="V737" s="23" t="inlineStr">
        <is>
          <t>WBS Code = 1.3.2</t>
        </is>
      </c>
      <c r="W737" s="23" t="inlineStr"/>
    </row>
    <row r="738" ht="49" customHeight="1">
      <c r="A738" s="23" t="inlineStr">
        <is>
          <t>1.3.2</t>
        </is>
      </c>
      <c r="B738" s="23" t="inlineStr">
        <is>
          <t>Systems - Signalling &amp; Train Control</t>
        </is>
      </c>
      <c r="C738" s="23" t="inlineStr">
        <is>
          <t>Contractor Programme</t>
        </is>
      </c>
      <c r="D738" s="23" t="inlineStr">
        <is>
          <t>SCH-03-075</t>
        </is>
      </c>
      <c r="E738" s="23" t="inlineStr">
        <is>
          <t>Central interlocking: radio equipment installation - inspection</t>
        </is>
      </c>
      <c r="F738" s="23" t="inlineStr">
        <is>
          <t>ONE_TO_ONE</t>
        </is>
      </c>
      <c r="G738" s="23" t="inlineStr">
        <is>
          <t>RETAINED</t>
        </is>
      </c>
      <c r="H738" s="23" t="inlineStr">
        <is>
          <t>Carried forward</t>
        </is>
      </c>
      <c r="I738" s="23" t="inlineStr">
        <is>
          <t>Source assignment -- not individually reviewed</t>
        </is>
      </c>
      <c r="J738" s="23" t="inlineStr"/>
      <c r="K738" s="23" t="inlineStr">
        <is>
          <t>Source assignment</t>
        </is>
      </c>
      <c r="L738" s="23" t="inlineStr"/>
      <c r="M738" s="23" t="inlineStr">
        <is>
          <t>Contractor Programme Cycle 2</t>
        </is>
      </c>
      <c r="N738" s="23" t="inlineStr">
        <is>
          <t>Rev 1</t>
        </is>
      </c>
      <c r="O738" s="23" t="inlineStr">
        <is>
          <t>R435-v2</t>
        </is>
      </c>
      <c r="P738" s="23" t="inlineStr"/>
      <c r="Q738" s="23" t="inlineStr"/>
      <c r="R738" s="23" t="inlineStr"/>
      <c r="S738" s="23" t="inlineStr"/>
      <c r="T738" s="23" t="inlineStr"/>
      <c r="U738" s="23" t="inlineStr"/>
      <c r="V738" s="23" t="inlineStr">
        <is>
          <t>WBS Code = 1.3.2</t>
        </is>
      </c>
      <c r="W738" s="23" t="inlineStr"/>
    </row>
    <row r="739" ht="49" customHeight="1">
      <c r="A739" s="23" t="inlineStr">
        <is>
          <t>1.3.2</t>
        </is>
      </c>
      <c r="B739" s="23" t="inlineStr">
        <is>
          <t>Systems - Signalling &amp; Train Control</t>
        </is>
      </c>
      <c r="C739" s="23" t="inlineStr">
        <is>
          <t>Contractor Programme</t>
        </is>
      </c>
      <c r="D739" s="23" t="inlineStr">
        <is>
          <t>SCH-03-078</t>
        </is>
      </c>
      <c r="E739" s="23" t="inlineStr">
        <is>
          <t>West wayside: SCADA point-to-point check - field start</t>
        </is>
      </c>
      <c r="F739" s="23" t="inlineStr">
        <is>
          <t>ONE_TO_ONE</t>
        </is>
      </c>
      <c r="G739" s="23" t="inlineStr">
        <is>
          <t>RETAINED</t>
        </is>
      </c>
      <c r="H739" s="23" t="inlineStr">
        <is>
          <t>Carried forward</t>
        </is>
      </c>
      <c r="I739" s="23" t="inlineStr">
        <is>
          <t>Source assignment -- not individually reviewed</t>
        </is>
      </c>
      <c r="J739" s="23" t="inlineStr"/>
      <c r="K739" s="23" t="inlineStr">
        <is>
          <t>Source assignment</t>
        </is>
      </c>
      <c r="L739" s="23" t="inlineStr"/>
      <c r="M739" s="23" t="inlineStr">
        <is>
          <t>Contractor Programme Cycle 2</t>
        </is>
      </c>
      <c r="N739" s="23" t="inlineStr">
        <is>
          <t>Rev 1</t>
        </is>
      </c>
      <c r="O739" s="23" t="inlineStr">
        <is>
          <t>R438-v2</t>
        </is>
      </c>
      <c r="P739" s="23" t="inlineStr"/>
      <c r="Q739" s="23" t="inlineStr"/>
      <c r="R739" s="23" t="inlineStr"/>
      <c r="S739" s="23" t="inlineStr"/>
      <c r="T739" s="23" t="inlineStr"/>
      <c r="U739" s="23" t="inlineStr"/>
      <c r="V739" s="23" t="inlineStr">
        <is>
          <t>WBS Code = 1.3.2</t>
        </is>
      </c>
      <c r="W739" s="23" t="inlineStr"/>
    </row>
    <row r="740" ht="49" customHeight="1">
      <c r="A740" s="23" t="inlineStr">
        <is>
          <t>1.3.2</t>
        </is>
      </c>
      <c r="B740" s="23" t="inlineStr">
        <is>
          <t>Systems - Signalling &amp; Train Control</t>
        </is>
      </c>
      <c r="C740" s="23" t="inlineStr">
        <is>
          <t>Contractor Programme</t>
        </is>
      </c>
      <c r="D740" s="23" t="inlineStr">
        <is>
          <t>SCH-03-081</t>
        </is>
      </c>
      <c r="E740" s="23" t="inlineStr">
        <is>
          <t>Harbour Station: wayside interface test - turnover</t>
        </is>
      </c>
      <c r="F740" s="23" t="inlineStr">
        <is>
          <t>ONE_TO_ONE</t>
        </is>
      </c>
      <c r="G740" s="23" t="inlineStr">
        <is>
          <t>RETAINED</t>
        </is>
      </c>
      <c r="H740" s="23" t="inlineStr">
        <is>
          <t>Carried forward</t>
        </is>
      </c>
      <c r="I740" s="23" t="inlineStr">
        <is>
          <t>Source assignment -- not individually reviewed</t>
        </is>
      </c>
      <c r="J740" s="23" t="inlineStr"/>
      <c r="K740" s="23" t="inlineStr">
        <is>
          <t>Source assignment</t>
        </is>
      </c>
      <c r="L740" s="23" t="inlineStr"/>
      <c r="M740" s="23" t="inlineStr">
        <is>
          <t>Contractor Programme Cycle 2</t>
        </is>
      </c>
      <c r="N740" s="23" t="inlineStr">
        <is>
          <t>Rev 1</t>
        </is>
      </c>
      <c r="O740" s="23" t="inlineStr">
        <is>
          <t>R441-v2</t>
        </is>
      </c>
      <c r="P740" s="23" t="inlineStr"/>
      <c r="Q740" s="23" t="inlineStr"/>
      <c r="R740" s="23" t="inlineStr"/>
      <c r="S740" s="23" t="inlineStr"/>
      <c r="T740" s="23" t="inlineStr"/>
      <c r="U740" s="23" t="inlineStr"/>
      <c r="V740" s="23" t="inlineStr">
        <is>
          <t>WBS Code = 1.3.2</t>
        </is>
      </c>
      <c r="W740" s="23" t="inlineStr"/>
    </row>
    <row r="741" ht="49" customHeight="1">
      <c r="A741" s="23" t="inlineStr">
        <is>
          <t>1.3.2</t>
        </is>
      </c>
      <c r="B741" s="23" t="inlineStr">
        <is>
          <t>Systems - Signalling &amp; Train Control</t>
        </is>
      </c>
      <c r="C741" s="23" t="inlineStr">
        <is>
          <t>Contractor Programme</t>
        </is>
      </c>
      <c r="D741" s="23" t="inlineStr">
        <is>
          <t>SCH-03-084</t>
        </is>
      </c>
      <c r="E741" s="23" t="inlineStr">
        <is>
          <t>East substation: control-centre integration - installation</t>
        </is>
      </c>
      <c r="F741" s="23" t="inlineStr">
        <is>
          <t>ONE_TO_ONE</t>
        </is>
      </c>
      <c r="G741" s="23" t="inlineStr">
        <is>
          <t>RETAINED</t>
        </is>
      </c>
      <c r="H741" s="23" t="inlineStr">
        <is>
          <t>Carried forward</t>
        </is>
      </c>
      <c r="I741" s="23" t="inlineStr">
        <is>
          <t>Source assignment -- not individually reviewed</t>
        </is>
      </c>
      <c r="J741" s="23" t="inlineStr"/>
      <c r="K741" s="23" t="inlineStr">
        <is>
          <t>Source assignment</t>
        </is>
      </c>
      <c r="L741" s="23" t="inlineStr"/>
      <c r="M741" s="23" t="inlineStr">
        <is>
          <t>Contractor Programme Cycle 2</t>
        </is>
      </c>
      <c r="N741" s="23" t="inlineStr">
        <is>
          <t>Rev 1</t>
        </is>
      </c>
      <c r="O741" s="23" t="inlineStr">
        <is>
          <t>R444-v2</t>
        </is>
      </c>
      <c r="P741" s="23" t="inlineStr"/>
      <c r="Q741" s="23" t="inlineStr"/>
      <c r="R741" s="23" t="inlineStr"/>
      <c r="S741" s="23" t="inlineStr"/>
      <c r="T741" s="23" t="inlineStr"/>
      <c r="U741" s="23" t="inlineStr"/>
      <c r="V741" s="23" t="inlineStr">
        <is>
          <t>WBS Code = 1.3.2</t>
        </is>
      </c>
      <c r="W741" s="23" t="inlineStr"/>
    </row>
    <row r="742" ht="49" customHeight="1">
      <c r="A742" s="23" t="inlineStr">
        <is>
          <t>1.3.2</t>
        </is>
      </c>
      <c r="B742" s="23" t="inlineStr">
        <is>
          <t>Systems - Signalling &amp; Train Control</t>
        </is>
      </c>
      <c r="C742" s="23" t="inlineStr">
        <is>
          <t>Contractor Programme</t>
        </is>
      </c>
      <c r="D742" s="23" t="inlineStr">
        <is>
          <t>SCH-03-087</t>
        </is>
      </c>
      <c r="E742" s="23" t="inlineStr">
        <is>
          <t>Control Centre: traction-power feeder pull - release</t>
        </is>
      </c>
      <c r="F742" s="23" t="inlineStr">
        <is>
          <t>ONE_TO_ONE</t>
        </is>
      </c>
      <c r="G742" s="23" t="inlineStr">
        <is>
          <t>RETAINED</t>
        </is>
      </c>
      <c r="H742" s="23" t="inlineStr">
        <is>
          <t>Carried forward</t>
        </is>
      </c>
      <c r="I742" s="23" t="inlineStr">
        <is>
          <t>Source assignment -- not individually reviewed</t>
        </is>
      </c>
      <c r="J742" s="23" t="inlineStr"/>
      <c r="K742" s="23" t="inlineStr">
        <is>
          <t>Source assignment</t>
        </is>
      </c>
      <c r="L742" s="23" t="inlineStr"/>
      <c r="M742" s="23" t="inlineStr">
        <is>
          <t>Contractor Programme Cycle 2</t>
        </is>
      </c>
      <c r="N742" s="23" t="inlineStr">
        <is>
          <t>Rev 1</t>
        </is>
      </c>
      <c r="O742" s="23" t="inlineStr">
        <is>
          <t>R447-v2</t>
        </is>
      </c>
      <c r="P742" s="23" t="inlineStr"/>
      <c r="Q742" s="23" t="inlineStr"/>
      <c r="R742" s="23" t="inlineStr"/>
      <c r="S742" s="23" t="inlineStr"/>
      <c r="T742" s="23" t="inlineStr"/>
      <c r="U742" s="23" t="inlineStr"/>
      <c r="V742" s="23" t="inlineStr">
        <is>
          <t>WBS Code = 1.3.2</t>
        </is>
      </c>
      <c r="W742" s="23" t="inlineStr"/>
    </row>
    <row r="743" ht="49" customHeight="1">
      <c r="A743" s="23" t="inlineStr">
        <is>
          <t>1.3.2</t>
        </is>
      </c>
      <c r="B743" s="23" t="inlineStr">
        <is>
          <t>Systems - Signalling &amp; Train Control</t>
        </is>
      </c>
      <c r="C743" s="23" t="inlineStr">
        <is>
          <t>Contractor Programme</t>
        </is>
      </c>
      <c r="D743" s="23" t="inlineStr">
        <is>
          <t>SCH-03-090</t>
        </is>
      </c>
      <c r="E743" s="23" t="inlineStr">
        <is>
          <t>Central interlocking: signal equipment installation - inspection</t>
        </is>
      </c>
      <c r="F743" s="23" t="inlineStr">
        <is>
          <t>ONE_TO_ONE</t>
        </is>
      </c>
      <c r="G743" s="23" t="inlineStr">
        <is>
          <t>RETAINED</t>
        </is>
      </c>
      <c r="H743" s="23" t="inlineStr">
        <is>
          <t>Carried forward</t>
        </is>
      </c>
      <c r="I743" s="23" t="inlineStr">
        <is>
          <t>Source assignment -- not individually reviewed</t>
        </is>
      </c>
      <c r="J743" s="23" t="inlineStr"/>
      <c r="K743" s="23" t="inlineStr">
        <is>
          <t>Source assignment</t>
        </is>
      </c>
      <c r="L743" s="23" t="inlineStr"/>
      <c r="M743" s="23" t="inlineStr">
        <is>
          <t>Contractor Programme Cycle 2</t>
        </is>
      </c>
      <c r="N743" s="23" t="inlineStr">
        <is>
          <t>Rev 1</t>
        </is>
      </c>
      <c r="O743" s="23" t="inlineStr">
        <is>
          <t>R450-v2</t>
        </is>
      </c>
      <c r="P743" s="23" t="inlineStr"/>
      <c r="Q743" s="23" t="inlineStr"/>
      <c r="R743" s="23" t="inlineStr"/>
      <c r="S743" s="23" t="inlineStr"/>
      <c r="T743" s="23" t="inlineStr"/>
      <c r="U743" s="23" t="inlineStr"/>
      <c r="V743" s="23" t="inlineStr">
        <is>
          <t>WBS Code = 1.3.2</t>
        </is>
      </c>
      <c r="W743" s="23" t="inlineStr"/>
    </row>
    <row r="744" ht="49" customHeight="1">
      <c r="A744" s="23" t="inlineStr">
        <is>
          <t>1.3.2</t>
        </is>
      </c>
      <c r="B744" s="23" t="inlineStr">
        <is>
          <t>Systems - Signalling &amp; Train Control</t>
        </is>
      </c>
      <c r="C744" s="23" t="inlineStr">
        <is>
          <t>Contractor Programme</t>
        </is>
      </c>
      <c r="D744" s="23" t="inlineStr">
        <is>
          <t>SCH-03-093</t>
        </is>
      </c>
      <c r="E744" s="23" t="inlineStr">
        <is>
          <t>West wayside: fibre backbone termination - field start</t>
        </is>
      </c>
      <c r="F744" s="23" t="inlineStr">
        <is>
          <t>ONE_TO_ONE</t>
        </is>
      </c>
      <c r="G744" s="23" t="inlineStr">
        <is>
          <t>RETAINED</t>
        </is>
      </c>
      <c r="H744" s="23" t="inlineStr">
        <is>
          <t>Carried forward</t>
        </is>
      </c>
      <c r="I744" s="23" t="inlineStr">
        <is>
          <t>Source assignment -- not individually reviewed</t>
        </is>
      </c>
      <c r="J744" s="23" t="inlineStr"/>
      <c r="K744" s="23" t="inlineStr">
        <is>
          <t>Source assignment</t>
        </is>
      </c>
      <c r="L744" s="23" t="inlineStr"/>
      <c r="M744" s="23" t="inlineStr">
        <is>
          <t>Contractor Programme Cycle 2</t>
        </is>
      </c>
      <c r="N744" s="23" t="inlineStr">
        <is>
          <t>Rev 1</t>
        </is>
      </c>
      <c r="O744" s="23" t="inlineStr">
        <is>
          <t>R453-v2</t>
        </is>
      </c>
      <c r="P744" s="23" t="inlineStr"/>
      <c r="Q744" s="23" t="inlineStr"/>
      <c r="R744" s="23" t="inlineStr"/>
      <c r="S744" s="23" t="inlineStr"/>
      <c r="T744" s="23" t="inlineStr"/>
      <c r="U744" s="23" t="inlineStr"/>
      <c r="V744" s="23" t="inlineStr">
        <is>
          <t>WBS Code = 1.3.2</t>
        </is>
      </c>
      <c r="W744" s="23" t="inlineStr"/>
    </row>
    <row r="745" ht="49" customHeight="1">
      <c r="A745" s="23" t="inlineStr">
        <is>
          <t>1.3.2</t>
        </is>
      </c>
      <c r="B745" s="23" t="inlineStr">
        <is>
          <t>Systems - Signalling &amp; Train Control</t>
        </is>
      </c>
      <c r="C745" s="23" t="inlineStr">
        <is>
          <t>Contractor Programme</t>
        </is>
      </c>
      <c r="D745" s="23" t="inlineStr">
        <is>
          <t>SCH-03-096</t>
        </is>
      </c>
      <c r="E745" s="23" t="inlineStr">
        <is>
          <t>Harbour Station: train-control cabinet fit-out - turnover</t>
        </is>
      </c>
      <c r="F745" s="23" t="inlineStr">
        <is>
          <t>ONE_TO_ONE</t>
        </is>
      </c>
      <c r="G745" s="23" t="inlineStr">
        <is>
          <t>RETAINED</t>
        </is>
      </c>
      <c r="H745" s="23" t="inlineStr">
        <is>
          <t>Carried forward</t>
        </is>
      </c>
      <c r="I745" s="23" t="inlineStr">
        <is>
          <t>Source assignment -- not individually reviewed</t>
        </is>
      </c>
      <c r="J745" s="23" t="inlineStr"/>
      <c r="K745" s="23" t="inlineStr">
        <is>
          <t>Source assignment</t>
        </is>
      </c>
      <c r="L745" s="23" t="inlineStr"/>
      <c r="M745" s="23" t="inlineStr">
        <is>
          <t>Contractor Programme Cycle 2</t>
        </is>
      </c>
      <c r="N745" s="23" t="inlineStr">
        <is>
          <t>Rev 1</t>
        </is>
      </c>
      <c r="O745" s="23" t="inlineStr">
        <is>
          <t>R456-v2</t>
        </is>
      </c>
      <c r="P745" s="23" t="inlineStr"/>
      <c r="Q745" s="23" t="inlineStr"/>
      <c r="R745" s="23" t="inlineStr"/>
      <c r="S745" s="23" t="inlineStr"/>
      <c r="T745" s="23" t="inlineStr"/>
      <c r="U745" s="23" t="inlineStr"/>
      <c r="V745" s="23" t="inlineStr">
        <is>
          <t>WBS Code = 1.3.2</t>
        </is>
      </c>
      <c r="W745" s="23" t="inlineStr"/>
    </row>
    <row r="746" ht="49" customHeight="1">
      <c r="A746" s="23" t="inlineStr">
        <is>
          <t>1.3.2</t>
        </is>
      </c>
      <c r="B746" s="23" t="inlineStr">
        <is>
          <t>Systems - Signalling &amp; Train Control</t>
        </is>
      </c>
      <c r="C746" s="23" t="inlineStr">
        <is>
          <t>Contractor Programme</t>
        </is>
      </c>
      <c r="D746" s="23" t="inlineStr">
        <is>
          <t>SCH-03-099</t>
        </is>
      </c>
      <c r="E746" s="23" t="inlineStr">
        <is>
          <t>East substation: radio equipment installation - installation</t>
        </is>
      </c>
      <c r="F746" s="23" t="inlineStr">
        <is>
          <t>ONE_TO_ONE</t>
        </is>
      </c>
      <c r="G746" s="23" t="inlineStr">
        <is>
          <t>RETAINED</t>
        </is>
      </c>
      <c r="H746" s="23" t="inlineStr">
        <is>
          <t>Carried forward</t>
        </is>
      </c>
      <c r="I746" s="23" t="inlineStr">
        <is>
          <t>Source assignment -- not individually reviewed</t>
        </is>
      </c>
      <c r="J746" s="23" t="inlineStr"/>
      <c r="K746" s="23" t="inlineStr">
        <is>
          <t>Source assignment</t>
        </is>
      </c>
      <c r="L746" s="23" t="inlineStr"/>
      <c r="M746" s="23" t="inlineStr">
        <is>
          <t>Contractor Programme Cycle 2</t>
        </is>
      </c>
      <c r="N746" s="23" t="inlineStr">
        <is>
          <t>Rev 1</t>
        </is>
      </c>
      <c r="O746" s="23" t="inlineStr">
        <is>
          <t>R459-v2</t>
        </is>
      </c>
      <c r="P746" s="23" t="inlineStr"/>
      <c r="Q746" s="23" t="inlineStr"/>
      <c r="R746" s="23" t="inlineStr"/>
      <c r="S746" s="23" t="inlineStr"/>
      <c r="T746" s="23" t="inlineStr"/>
      <c r="U746" s="23" t="inlineStr"/>
      <c r="V746" s="23" t="inlineStr">
        <is>
          <t>WBS Code = 1.3.2</t>
        </is>
      </c>
      <c r="W746" s="23" t="inlineStr"/>
    </row>
    <row r="747" ht="49" customHeight="1">
      <c r="A747" s="23" t="inlineStr">
        <is>
          <t>1.3.2</t>
        </is>
      </c>
      <c r="B747" s="23" t="inlineStr">
        <is>
          <t>Systems - Signalling &amp; Train Control</t>
        </is>
      </c>
      <c r="C747" s="23" t="inlineStr">
        <is>
          <t>Contractor Programme</t>
        </is>
      </c>
      <c r="D747" s="23" t="inlineStr">
        <is>
          <t>SCH-03-102</t>
        </is>
      </c>
      <c r="E747" s="23" t="inlineStr">
        <is>
          <t>Control Centre: SCADA point-to-point check - release</t>
        </is>
      </c>
      <c r="F747" s="23" t="inlineStr">
        <is>
          <t>ONE_TO_ONE</t>
        </is>
      </c>
      <c r="G747" s="23" t="inlineStr">
        <is>
          <t>RETAINED</t>
        </is>
      </c>
      <c r="H747" s="23" t="inlineStr">
        <is>
          <t>Carried forward</t>
        </is>
      </c>
      <c r="I747" s="23" t="inlineStr">
        <is>
          <t>Source assignment -- not individually reviewed</t>
        </is>
      </c>
      <c r="J747" s="23" t="inlineStr"/>
      <c r="K747" s="23" t="inlineStr">
        <is>
          <t>Source assignment</t>
        </is>
      </c>
      <c r="L747" s="23" t="inlineStr"/>
      <c r="M747" s="23" t="inlineStr">
        <is>
          <t>Contractor Programme Cycle 2</t>
        </is>
      </c>
      <c r="N747" s="23" t="inlineStr">
        <is>
          <t>Rev 1</t>
        </is>
      </c>
      <c r="O747" s="23" t="inlineStr">
        <is>
          <t>R462-v2</t>
        </is>
      </c>
      <c r="P747" s="23" t="inlineStr"/>
      <c r="Q747" s="23" t="inlineStr"/>
      <c r="R747" s="23" t="inlineStr"/>
      <c r="S747" s="23" t="inlineStr"/>
      <c r="T747" s="23" t="inlineStr"/>
      <c r="U747" s="23" t="inlineStr"/>
      <c r="V747" s="23" t="inlineStr">
        <is>
          <t>WBS Code = 1.3.2</t>
        </is>
      </c>
      <c r="W747" s="23" t="inlineStr"/>
    </row>
    <row r="748" ht="49" customHeight="1">
      <c r="A748" s="23" t="inlineStr">
        <is>
          <t>1.3.2</t>
        </is>
      </c>
      <c r="B748" s="23" t="inlineStr">
        <is>
          <t>Systems - Signalling &amp; Train Control</t>
        </is>
      </c>
      <c r="C748" s="23" t="inlineStr">
        <is>
          <t>Contractor Programme</t>
        </is>
      </c>
      <c r="D748" s="23" t="inlineStr">
        <is>
          <t>SCH-03-105</t>
        </is>
      </c>
      <c r="E748" s="23" t="inlineStr">
        <is>
          <t>Central interlocking: wayside interface test - inspection</t>
        </is>
      </c>
      <c r="F748" s="23" t="inlineStr">
        <is>
          <t>ONE_TO_ONE</t>
        </is>
      </c>
      <c r="G748" s="23" t="inlineStr">
        <is>
          <t>RETAINED</t>
        </is>
      </c>
      <c r="H748" s="23" t="inlineStr">
        <is>
          <t>Carried forward</t>
        </is>
      </c>
      <c r="I748" s="23" t="inlineStr">
        <is>
          <t>Source assignment -- not individually reviewed</t>
        </is>
      </c>
      <c r="J748" s="23" t="inlineStr"/>
      <c r="K748" s="23" t="inlineStr">
        <is>
          <t>Source assignment</t>
        </is>
      </c>
      <c r="L748" s="23" t="inlineStr"/>
      <c r="M748" s="23" t="inlineStr">
        <is>
          <t>Contractor Programme Cycle 2</t>
        </is>
      </c>
      <c r="N748" s="23" t="inlineStr">
        <is>
          <t>Rev 1</t>
        </is>
      </c>
      <c r="O748" s="23" t="inlineStr">
        <is>
          <t>R465-v2</t>
        </is>
      </c>
      <c r="P748" s="23" t="inlineStr"/>
      <c r="Q748" s="23" t="inlineStr"/>
      <c r="R748" s="23" t="inlineStr"/>
      <c r="S748" s="23" t="inlineStr"/>
      <c r="T748" s="23" t="inlineStr"/>
      <c r="U748" s="23" t="inlineStr"/>
      <c r="V748" s="23" t="inlineStr">
        <is>
          <t>WBS Code = 1.3.2</t>
        </is>
      </c>
      <c r="W748" s="23" t="inlineStr"/>
    </row>
    <row r="749" ht="49" customHeight="1">
      <c r="A749" s="23" t="inlineStr">
        <is>
          <t>1.3.2</t>
        </is>
      </c>
      <c r="B749" s="23" t="inlineStr">
        <is>
          <t>Systems - Signalling &amp; Train Control</t>
        </is>
      </c>
      <c r="C749" s="23" t="inlineStr">
        <is>
          <t>Contractor Programme</t>
        </is>
      </c>
      <c r="D749" s="23" t="inlineStr">
        <is>
          <t>SCH-03-108</t>
        </is>
      </c>
      <c r="E749" s="23" t="inlineStr">
        <is>
          <t>West wayside: control-centre integration - field start</t>
        </is>
      </c>
      <c r="F749" s="23" t="inlineStr">
        <is>
          <t>ONE_TO_ONE</t>
        </is>
      </c>
      <c r="G749" s="23" t="inlineStr">
        <is>
          <t>RETAINED</t>
        </is>
      </c>
      <c r="H749" s="23" t="inlineStr">
        <is>
          <t>Carried forward</t>
        </is>
      </c>
      <c r="I749" s="23" t="inlineStr">
        <is>
          <t>Source assignment -- not individually reviewed</t>
        </is>
      </c>
      <c r="J749" s="23" t="inlineStr"/>
      <c r="K749" s="23" t="inlineStr">
        <is>
          <t>Source assignment</t>
        </is>
      </c>
      <c r="L749" s="23" t="inlineStr"/>
      <c r="M749" s="23" t="inlineStr">
        <is>
          <t>Contractor Programme Cycle 2</t>
        </is>
      </c>
      <c r="N749" s="23" t="inlineStr">
        <is>
          <t>Rev 1</t>
        </is>
      </c>
      <c r="O749" s="23" t="inlineStr">
        <is>
          <t>R468-v2</t>
        </is>
      </c>
      <c r="P749" s="23" t="inlineStr"/>
      <c r="Q749" s="23" t="inlineStr"/>
      <c r="R749" s="23" t="inlineStr"/>
      <c r="S749" s="23" t="inlineStr"/>
      <c r="T749" s="23" t="inlineStr"/>
      <c r="U749" s="23" t="inlineStr"/>
      <c r="V749" s="23" t="inlineStr">
        <is>
          <t>WBS Code = 1.3.2</t>
        </is>
      </c>
      <c r="W749" s="23" t="inlineStr"/>
    </row>
    <row r="750" ht="49" customHeight="1">
      <c r="A750" s="23" t="inlineStr">
        <is>
          <t>1.3.2</t>
        </is>
      </c>
      <c r="B750" s="23" t="inlineStr">
        <is>
          <t>Systems - Signalling &amp; Train Control</t>
        </is>
      </c>
      <c r="C750" s="23" t="inlineStr">
        <is>
          <t>Contractor Programme</t>
        </is>
      </c>
      <c r="D750" s="23" t="inlineStr">
        <is>
          <t>SCH-03-111</t>
        </is>
      </c>
      <c r="E750" s="23" t="inlineStr">
        <is>
          <t>Harbour Station: traction-power feeder pull - turnover</t>
        </is>
      </c>
      <c r="F750" s="23" t="inlineStr">
        <is>
          <t>ONE_TO_ONE</t>
        </is>
      </c>
      <c r="G750" s="23" t="inlineStr">
        <is>
          <t>RETAINED</t>
        </is>
      </c>
      <c r="H750" s="23" t="inlineStr">
        <is>
          <t>Carried forward</t>
        </is>
      </c>
      <c r="I750" s="23" t="inlineStr">
        <is>
          <t>Source assignment -- not individually reviewed</t>
        </is>
      </c>
      <c r="J750" s="23" t="inlineStr"/>
      <c r="K750" s="23" t="inlineStr">
        <is>
          <t>Source assignment</t>
        </is>
      </c>
      <c r="L750" s="23" t="inlineStr"/>
      <c r="M750" s="23" t="inlineStr">
        <is>
          <t>Contractor Programme Cycle 2</t>
        </is>
      </c>
      <c r="N750" s="23" t="inlineStr">
        <is>
          <t>Rev 1</t>
        </is>
      </c>
      <c r="O750" s="23" t="inlineStr">
        <is>
          <t>R471-v2</t>
        </is>
      </c>
      <c r="P750" s="23" t="inlineStr"/>
      <c r="Q750" s="23" t="inlineStr"/>
      <c r="R750" s="23" t="inlineStr"/>
      <c r="S750" s="23" t="inlineStr"/>
      <c r="T750" s="23" t="inlineStr"/>
      <c r="U750" s="23" t="inlineStr"/>
      <c r="V750" s="23" t="inlineStr">
        <is>
          <t>WBS Code = 1.3.2</t>
        </is>
      </c>
      <c r="W750" s="23" t="inlineStr"/>
    </row>
    <row r="751" ht="49" customHeight="1">
      <c r="A751" s="23" t="inlineStr">
        <is>
          <t>1.3.2</t>
        </is>
      </c>
      <c r="B751" s="23" t="inlineStr">
        <is>
          <t>Systems - Signalling &amp; Train Control</t>
        </is>
      </c>
      <c r="C751" s="23" t="inlineStr">
        <is>
          <t>Contractor Programme</t>
        </is>
      </c>
      <c r="D751" s="23" t="inlineStr">
        <is>
          <t>SCH-03-114</t>
        </is>
      </c>
      <c r="E751" s="23" t="inlineStr">
        <is>
          <t>East substation: signal equipment installation - installation</t>
        </is>
      </c>
      <c r="F751" s="23" t="inlineStr">
        <is>
          <t>ONE_TO_ONE</t>
        </is>
      </c>
      <c r="G751" s="23" t="inlineStr">
        <is>
          <t>RETAINED</t>
        </is>
      </c>
      <c r="H751" s="23" t="inlineStr">
        <is>
          <t>Carried forward</t>
        </is>
      </c>
      <c r="I751" s="23" t="inlineStr">
        <is>
          <t>Source assignment -- not individually reviewed</t>
        </is>
      </c>
      <c r="J751" s="23" t="inlineStr"/>
      <c r="K751" s="23" t="inlineStr">
        <is>
          <t>Source assignment</t>
        </is>
      </c>
      <c r="L751" s="23" t="inlineStr"/>
      <c r="M751" s="23" t="inlineStr">
        <is>
          <t>Contractor Programme Cycle 2</t>
        </is>
      </c>
      <c r="N751" s="23" t="inlineStr">
        <is>
          <t>Rev 1</t>
        </is>
      </c>
      <c r="O751" s="23" t="inlineStr">
        <is>
          <t>R474-v2</t>
        </is>
      </c>
      <c r="P751" s="23" t="inlineStr"/>
      <c r="Q751" s="23" t="inlineStr"/>
      <c r="R751" s="23" t="inlineStr"/>
      <c r="S751" s="23" t="inlineStr"/>
      <c r="T751" s="23" t="inlineStr"/>
      <c r="U751" s="23" t="inlineStr"/>
      <c r="V751" s="23" t="inlineStr">
        <is>
          <t>WBS Code = 1.3.2</t>
        </is>
      </c>
      <c r="W751" s="23" t="inlineStr"/>
    </row>
    <row r="752" ht="49" customHeight="1">
      <c r="A752" s="23" t="inlineStr">
        <is>
          <t>1.3.2</t>
        </is>
      </c>
      <c r="B752" s="23" t="inlineStr">
        <is>
          <t>Systems - Signalling &amp; Train Control</t>
        </is>
      </c>
      <c r="C752" s="23" t="inlineStr">
        <is>
          <t>Contractor Programme</t>
        </is>
      </c>
      <c r="D752" s="23" t="inlineStr">
        <is>
          <t>SCH-03-117</t>
        </is>
      </c>
      <c r="E752" s="23" t="inlineStr">
        <is>
          <t>Control Centre: fibre backbone termination - release</t>
        </is>
      </c>
      <c r="F752" s="23" t="inlineStr">
        <is>
          <t>ONE_TO_ONE</t>
        </is>
      </c>
      <c r="G752" s="23" t="inlineStr">
        <is>
          <t>RETAINED</t>
        </is>
      </c>
      <c r="H752" s="23" t="inlineStr">
        <is>
          <t>Carried forward</t>
        </is>
      </c>
      <c r="I752" s="23" t="inlineStr">
        <is>
          <t>Source assignment -- not individually reviewed</t>
        </is>
      </c>
      <c r="J752" s="23" t="inlineStr"/>
      <c r="K752" s="23" t="inlineStr">
        <is>
          <t>Source assignment</t>
        </is>
      </c>
      <c r="L752" s="23" t="inlineStr"/>
      <c r="M752" s="23" t="inlineStr">
        <is>
          <t>Contractor Programme Cycle 2</t>
        </is>
      </c>
      <c r="N752" s="23" t="inlineStr">
        <is>
          <t>Rev 1</t>
        </is>
      </c>
      <c r="O752" s="23" t="inlineStr">
        <is>
          <t>R477-v2</t>
        </is>
      </c>
      <c r="P752" s="23" t="inlineStr"/>
      <c r="Q752" s="23" t="inlineStr"/>
      <c r="R752" s="23" t="inlineStr"/>
      <c r="S752" s="23" t="inlineStr"/>
      <c r="T752" s="23" t="inlineStr"/>
      <c r="U752" s="23" t="inlineStr"/>
      <c r="V752" s="23" t="inlineStr">
        <is>
          <t>WBS Code = 1.3.2</t>
        </is>
      </c>
      <c r="W752" s="23" t="inlineStr"/>
    </row>
    <row r="753" ht="49" customHeight="1">
      <c r="A753" s="23" t="inlineStr">
        <is>
          <t>1.3.2</t>
        </is>
      </c>
      <c r="B753" s="23" t="inlineStr">
        <is>
          <t>Systems - Signalling &amp; Train Control</t>
        </is>
      </c>
      <c r="C753" s="23" t="inlineStr">
        <is>
          <t>Contractor Programme</t>
        </is>
      </c>
      <c r="D753" s="23" t="inlineStr">
        <is>
          <t>SCH-03-120</t>
        </is>
      </c>
      <c r="E753" s="23" t="inlineStr">
        <is>
          <t>Central interlocking: train-control cabinet fit-out - inspection</t>
        </is>
      </c>
      <c r="F753" s="23" t="inlineStr">
        <is>
          <t>ONE_TO_ONE</t>
        </is>
      </c>
      <c r="G753" s="23" t="inlineStr">
        <is>
          <t>RETAINED</t>
        </is>
      </c>
      <c r="H753" s="23" t="inlineStr">
        <is>
          <t>Carried forward</t>
        </is>
      </c>
      <c r="I753" s="23" t="inlineStr">
        <is>
          <t>Source assignment -- not individually reviewed</t>
        </is>
      </c>
      <c r="J753" s="23" t="inlineStr"/>
      <c r="K753" s="23" t="inlineStr">
        <is>
          <t>Source assignment</t>
        </is>
      </c>
      <c r="L753" s="23" t="inlineStr"/>
      <c r="M753" s="23" t="inlineStr">
        <is>
          <t>Contractor Programme Cycle 2</t>
        </is>
      </c>
      <c r="N753" s="23" t="inlineStr">
        <is>
          <t>Rev 1</t>
        </is>
      </c>
      <c r="O753" s="23" t="inlineStr">
        <is>
          <t>R480-v2</t>
        </is>
      </c>
      <c r="P753" s="23" t="inlineStr"/>
      <c r="Q753" s="23" t="inlineStr"/>
      <c r="R753" s="23" t="inlineStr"/>
      <c r="S753" s="23" t="inlineStr"/>
      <c r="T753" s="23" t="inlineStr"/>
      <c r="U753" s="23" t="inlineStr"/>
      <c r="V753" s="23" t="inlineStr">
        <is>
          <t>WBS Code = 1.3.2</t>
        </is>
      </c>
      <c r="W753" s="23" t="inlineStr"/>
    </row>
    <row r="754" ht="49" customHeight="1">
      <c r="A754" s="23" t="inlineStr">
        <is>
          <t>1.3.2</t>
        </is>
      </c>
      <c r="B754" s="23" t="inlineStr">
        <is>
          <t>Systems - Signalling &amp; Train Control</t>
        </is>
      </c>
      <c r="C754" s="23" t="inlineStr">
        <is>
          <t>Contractor Programme</t>
        </is>
      </c>
      <c r="D754" s="23" t="inlineStr">
        <is>
          <t>SCH-03-123</t>
        </is>
      </c>
      <c r="E754" s="23" t="inlineStr">
        <is>
          <t>West wayside: radio equipment installation - field start</t>
        </is>
      </c>
      <c r="F754" s="23" t="inlineStr">
        <is>
          <t>ONE_TO_ONE</t>
        </is>
      </c>
      <c r="G754" s="23" t="inlineStr">
        <is>
          <t>RETAINED</t>
        </is>
      </c>
      <c r="H754" s="23" t="inlineStr">
        <is>
          <t>Carried forward</t>
        </is>
      </c>
      <c r="I754" s="23" t="inlineStr">
        <is>
          <t>Source assignment -- not individually reviewed</t>
        </is>
      </c>
      <c r="J754" s="23" t="inlineStr"/>
      <c r="K754" s="23" t="inlineStr">
        <is>
          <t>Source assignment</t>
        </is>
      </c>
      <c r="L754" s="23" t="inlineStr"/>
      <c r="M754" s="23" t="inlineStr">
        <is>
          <t>Contractor Programme Cycle 2</t>
        </is>
      </c>
      <c r="N754" s="23" t="inlineStr">
        <is>
          <t>Rev 1</t>
        </is>
      </c>
      <c r="O754" s="23" t="inlineStr">
        <is>
          <t>R483-v2</t>
        </is>
      </c>
      <c r="P754" s="23" t="inlineStr"/>
      <c r="Q754" s="23" t="inlineStr"/>
      <c r="R754" s="23" t="inlineStr"/>
      <c r="S754" s="23" t="inlineStr"/>
      <c r="T754" s="23" t="inlineStr"/>
      <c r="U754" s="23" t="inlineStr"/>
      <c r="V754" s="23" t="inlineStr">
        <is>
          <t>WBS Code = 1.3.2</t>
        </is>
      </c>
      <c r="W754" s="23" t="inlineStr"/>
    </row>
    <row r="755" ht="49" customHeight="1">
      <c r="A755" s="23" t="inlineStr">
        <is>
          <t>1.3.2</t>
        </is>
      </c>
      <c r="B755" s="23" t="inlineStr">
        <is>
          <t>Systems - Signalling &amp; Train Control</t>
        </is>
      </c>
      <c r="C755" s="23" t="inlineStr">
        <is>
          <t>Contractor Programme</t>
        </is>
      </c>
      <c r="D755" s="23" t="inlineStr">
        <is>
          <t>SCH-03-126</t>
        </is>
      </c>
      <c r="E755" s="23" t="inlineStr">
        <is>
          <t>Harbour Station: SCADA point-to-point check - turnover</t>
        </is>
      </c>
      <c r="F755" s="23" t="inlineStr">
        <is>
          <t>ONE_TO_ONE</t>
        </is>
      </c>
      <c r="G755" s="23" t="inlineStr">
        <is>
          <t>RETAINED</t>
        </is>
      </c>
      <c r="H755" s="23" t="inlineStr">
        <is>
          <t>Carried forward</t>
        </is>
      </c>
      <c r="I755" s="23" t="inlineStr">
        <is>
          <t>Source assignment -- not individually reviewed</t>
        </is>
      </c>
      <c r="J755" s="23" t="inlineStr"/>
      <c r="K755" s="23" t="inlineStr">
        <is>
          <t>Source assignment</t>
        </is>
      </c>
      <c r="L755" s="23" t="inlineStr"/>
      <c r="M755" s="23" t="inlineStr">
        <is>
          <t>Contractor Programme Cycle 2</t>
        </is>
      </c>
      <c r="N755" s="23" t="inlineStr">
        <is>
          <t>Rev 1</t>
        </is>
      </c>
      <c r="O755" s="23" t="inlineStr">
        <is>
          <t>R486-v2</t>
        </is>
      </c>
      <c r="P755" s="23" t="inlineStr"/>
      <c r="Q755" s="23" t="inlineStr"/>
      <c r="R755" s="23" t="inlineStr"/>
      <c r="S755" s="23" t="inlineStr"/>
      <c r="T755" s="23" t="inlineStr"/>
      <c r="U755" s="23" t="inlineStr"/>
      <c r="V755" s="23" t="inlineStr">
        <is>
          <t>WBS Code = 1.3.2</t>
        </is>
      </c>
      <c r="W755" s="23" t="inlineStr"/>
    </row>
    <row r="756" ht="49" customHeight="1">
      <c r="A756" s="23" t="inlineStr">
        <is>
          <t>1.3.2</t>
        </is>
      </c>
      <c r="B756" s="23" t="inlineStr">
        <is>
          <t>Systems - Signalling &amp; Train Control</t>
        </is>
      </c>
      <c r="C756" s="23" t="inlineStr">
        <is>
          <t>Contractor Programme</t>
        </is>
      </c>
      <c r="D756" s="23" t="inlineStr">
        <is>
          <t>SCH-03-129</t>
        </is>
      </c>
      <c r="E756" s="23" t="inlineStr">
        <is>
          <t>East substation: wayside interface test - installation</t>
        </is>
      </c>
      <c r="F756" s="23" t="inlineStr">
        <is>
          <t>ONE_TO_ONE</t>
        </is>
      </c>
      <c r="G756" s="23" t="inlineStr">
        <is>
          <t>RETAINED</t>
        </is>
      </c>
      <c r="H756" s="23" t="inlineStr">
        <is>
          <t>Carried forward</t>
        </is>
      </c>
      <c r="I756" s="23" t="inlineStr">
        <is>
          <t>Source assignment -- not individually reviewed</t>
        </is>
      </c>
      <c r="J756" s="23" t="inlineStr"/>
      <c r="K756" s="23" t="inlineStr">
        <is>
          <t>Source assignment</t>
        </is>
      </c>
      <c r="L756" s="23" t="inlineStr"/>
      <c r="M756" s="23" t="inlineStr">
        <is>
          <t>Contractor Programme Cycle 2</t>
        </is>
      </c>
      <c r="N756" s="23" t="inlineStr">
        <is>
          <t>Rev 1</t>
        </is>
      </c>
      <c r="O756" s="23" t="inlineStr">
        <is>
          <t>R489-v2</t>
        </is>
      </c>
      <c r="P756" s="23" t="inlineStr"/>
      <c r="Q756" s="23" t="inlineStr"/>
      <c r="R756" s="23" t="inlineStr"/>
      <c r="S756" s="23" t="inlineStr"/>
      <c r="T756" s="23" t="inlineStr"/>
      <c r="U756" s="23" t="inlineStr"/>
      <c r="V756" s="23" t="inlineStr">
        <is>
          <t>WBS Code = 1.3.2</t>
        </is>
      </c>
      <c r="W756" s="23" t="inlineStr"/>
    </row>
    <row r="757" ht="49" customHeight="1">
      <c r="A757" s="23" t="inlineStr">
        <is>
          <t>1.3.2</t>
        </is>
      </c>
      <c r="B757" s="23" t="inlineStr">
        <is>
          <t>Systems - Signalling &amp; Train Control</t>
        </is>
      </c>
      <c r="C757" s="23" t="inlineStr">
        <is>
          <t>Contractor Programme</t>
        </is>
      </c>
      <c r="D757" s="23" t="inlineStr">
        <is>
          <t>SCH-03-132</t>
        </is>
      </c>
      <c r="E757" s="23" t="inlineStr">
        <is>
          <t>Control Centre: control-centre integration - release</t>
        </is>
      </c>
      <c r="F757" s="23" t="inlineStr">
        <is>
          <t>ONE_TO_ONE</t>
        </is>
      </c>
      <c r="G757" s="23" t="inlineStr">
        <is>
          <t>RETAINED</t>
        </is>
      </c>
      <c r="H757" s="23" t="inlineStr">
        <is>
          <t>Carried forward</t>
        </is>
      </c>
      <c r="I757" s="23" t="inlineStr">
        <is>
          <t>Source assignment -- not individually reviewed</t>
        </is>
      </c>
      <c r="J757" s="23" t="inlineStr"/>
      <c r="K757" s="23" t="inlineStr">
        <is>
          <t>Source assignment</t>
        </is>
      </c>
      <c r="L757" s="23" t="inlineStr"/>
      <c r="M757" s="23" t="inlineStr">
        <is>
          <t>Contractor Programme Cycle 2</t>
        </is>
      </c>
      <c r="N757" s="23" t="inlineStr">
        <is>
          <t>Rev 1</t>
        </is>
      </c>
      <c r="O757" s="23" t="inlineStr">
        <is>
          <t>R492-v2</t>
        </is>
      </c>
      <c r="P757" s="23" t="inlineStr"/>
      <c r="Q757" s="23" t="inlineStr"/>
      <c r="R757" s="23" t="inlineStr"/>
      <c r="S757" s="23" t="inlineStr"/>
      <c r="T757" s="23" t="inlineStr"/>
      <c r="U757" s="23" t="inlineStr"/>
      <c r="V757" s="23" t="inlineStr">
        <is>
          <t>WBS Code = 1.3.2</t>
        </is>
      </c>
      <c r="W757" s="23" t="inlineStr"/>
    </row>
    <row r="758" ht="49" customHeight="1">
      <c r="A758" s="23" t="inlineStr">
        <is>
          <t>1.3.2</t>
        </is>
      </c>
      <c r="B758" s="23" t="inlineStr">
        <is>
          <t>Systems - Signalling &amp; Train Control</t>
        </is>
      </c>
      <c r="C758" s="23" t="inlineStr">
        <is>
          <t>Contractor Programme</t>
        </is>
      </c>
      <c r="D758" s="23" t="inlineStr">
        <is>
          <t>SCH-03-135</t>
        </is>
      </c>
      <c r="E758" s="23" t="inlineStr">
        <is>
          <t>Central interlocking: traction-power feeder pull - inspection</t>
        </is>
      </c>
      <c r="F758" s="23" t="inlineStr">
        <is>
          <t>ONE_TO_ONE</t>
        </is>
      </c>
      <c r="G758" s="23" t="inlineStr">
        <is>
          <t>RETAINED</t>
        </is>
      </c>
      <c r="H758" s="23" t="inlineStr">
        <is>
          <t>Carried forward</t>
        </is>
      </c>
      <c r="I758" s="23" t="inlineStr">
        <is>
          <t>Source assignment -- not individually reviewed</t>
        </is>
      </c>
      <c r="J758" s="23" t="inlineStr"/>
      <c r="K758" s="23" t="inlineStr">
        <is>
          <t>Source assignment</t>
        </is>
      </c>
      <c r="L758" s="23" t="inlineStr"/>
      <c r="M758" s="23" t="inlineStr">
        <is>
          <t>Contractor Programme Cycle 2</t>
        </is>
      </c>
      <c r="N758" s="23" t="inlineStr">
        <is>
          <t>Rev 1</t>
        </is>
      </c>
      <c r="O758" s="23" t="inlineStr">
        <is>
          <t>R495-v2</t>
        </is>
      </c>
      <c r="P758" s="23" t="inlineStr"/>
      <c r="Q758" s="23" t="inlineStr"/>
      <c r="R758" s="23" t="inlineStr"/>
      <c r="S758" s="23" t="inlineStr"/>
      <c r="T758" s="23" t="inlineStr"/>
      <c r="U758" s="23" t="inlineStr"/>
      <c r="V758" s="23" t="inlineStr">
        <is>
          <t>WBS Code = 1.3.2</t>
        </is>
      </c>
      <c r="W758" s="23" t="inlineStr"/>
    </row>
    <row r="759" ht="49" customHeight="1">
      <c r="A759" s="23" t="inlineStr">
        <is>
          <t>1.3.2</t>
        </is>
      </c>
      <c r="B759" s="23" t="inlineStr">
        <is>
          <t>Systems - Signalling &amp; Train Control</t>
        </is>
      </c>
      <c r="C759" s="23" t="inlineStr">
        <is>
          <t>Contractor Programme</t>
        </is>
      </c>
      <c r="D759" s="23" t="inlineStr">
        <is>
          <t>SCH-03-138</t>
        </is>
      </c>
      <c r="E759" s="23" t="inlineStr">
        <is>
          <t>West wayside: signal equipment installation - field start</t>
        </is>
      </c>
      <c r="F759" s="23" t="inlineStr">
        <is>
          <t>ONE_TO_ONE</t>
        </is>
      </c>
      <c r="G759" s="23" t="inlineStr">
        <is>
          <t>RETAINED</t>
        </is>
      </c>
      <c r="H759" s="23" t="inlineStr">
        <is>
          <t>Carried forward</t>
        </is>
      </c>
      <c r="I759" s="23" t="inlineStr">
        <is>
          <t>Source assignment -- not individually reviewed</t>
        </is>
      </c>
      <c r="J759" s="23" t="inlineStr"/>
      <c r="K759" s="23" t="inlineStr">
        <is>
          <t>Source assignment</t>
        </is>
      </c>
      <c r="L759" s="23" t="inlineStr"/>
      <c r="M759" s="23" t="inlineStr">
        <is>
          <t>Contractor Programme Cycle 2</t>
        </is>
      </c>
      <c r="N759" s="23" t="inlineStr">
        <is>
          <t>Rev 1</t>
        </is>
      </c>
      <c r="O759" s="23" t="inlineStr">
        <is>
          <t>R498-v2</t>
        </is>
      </c>
      <c r="P759" s="23" t="inlineStr"/>
      <c r="Q759" s="23" t="inlineStr"/>
      <c r="R759" s="23" t="inlineStr"/>
      <c r="S759" s="23" t="inlineStr"/>
      <c r="T759" s="23" t="inlineStr"/>
      <c r="U759" s="23" t="inlineStr"/>
      <c r="V759" s="23" t="inlineStr">
        <is>
          <t>WBS Code = 1.3.2</t>
        </is>
      </c>
      <c r="W759" s="23" t="inlineStr"/>
    </row>
    <row r="760" ht="49" customHeight="1">
      <c r="A760" s="23" t="inlineStr">
        <is>
          <t>1.3.2</t>
        </is>
      </c>
      <c r="B760" s="23" t="inlineStr">
        <is>
          <t>Systems - Signalling &amp; Train Control</t>
        </is>
      </c>
      <c r="C760" s="23" t="inlineStr">
        <is>
          <t>Contractor Programme</t>
        </is>
      </c>
      <c r="D760" s="23" t="inlineStr">
        <is>
          <t>SCH-03-141</t>
        </is>
      </c>
      <c r="E760" s="23" t="inlineStr">
        <is>
          <t>Harbour Station: fibre backbone termination - turnover</t>
        </is>
      </c>
      <c r="F760" s="23" t="inlineStr">
        <is>
          <t>ONE_TO_ONE</t>
        </is>
      </c>
      <c r="G760" s="23" t="inlineStr">
        <is>
          <t>RETAINED</t>
        </is>
      </c>
      <c r="H760" s="23" t="inlineStr">
        <is>
          <t>Carried forward</t>
        </is>
      </c>
      <c r="I760" s="23" t="inlineStr">
        <is>
          <t>Source assignment -- not individually reviewed</t>
        </is>
      </c>
      <c r="J760" s="23" t="inlineStr"/>
      <c r="K760" s="23" t="inlineStr">
        <is>
          <t>Source assignment</t>
        </is>
      </c>
      <c r="L760" s="23" t="inlineStr"/>
      <c r="M760" s="23" t="inlineStr">
        <is>
          <t>Contractor Programme Cycle 2</t>
        </is>
      </c>
      <c r="N760" s="23" t="inlineStr">
        <is>
          <t>Rev 1</t>
        </is>
      </c>
      <c r="O760" s="23" t="inlineStr">
        <is>
          <t>R501-v2</t>
        </is>
      </c>
      <c r="P760" s="23" t="inlineStr"/>
      <c r="Q760" s="23" t="inlineStr"/>
      <c r="R760" s="23" t="inlineStr"/>
      <c r="S760" s="23" t="inlineStr"/>
      <c r="T760" s="23" t="inlineStr"/>
      <c r="U760" s="23" t="inlineStr"/>
      <c r="V760" s="23" t="inlineStr">
        <is>
          <t>WBS Code = 1.3.2</t>
        </is>
      </c>
      <c r="W760" s="23" t="inlineStr"/>
    </row>
    <row r="761" ht="49" customHeight="1">
      <c r="A761" s="23" t="inlineStr">
        <is>
          <t>1.3.2</t>
        </is>
      </c>
      <c r="B761" s="23" t="inlineStr">
        <is>
          <t>Systems - Signalling &amp; Train Control</t>
        </is>
      </c>
      <c r="C761" s="23" t="inlineStr">
        <is>
          <t>Contractor Programme</t>
        </is>
      </c>
      <c r="D761" s="23" t="inlineStr">
        <is>
          <t>SCH-03-144</t>
        </is>
      </c>
      <c r="E761" s="23" t="inlineStr">
        <is>
          <t>East substation: train-control cabinet fit-out - installation</t>
        </is>
      </c>
      <c r="F761" s="23" t="inlineStr">
        <is>
          <t>ONE_TO_ONE</t>
        </is>
      </c>
      <c r="G761" s="23" t="inlineStr">
        <is>
          <t>RETAINED</t>
        </is>
      </c>
      <c r="H761" s="23" t="inlineStr">
        <is>
          <t>Carried forward</t>
        </is>
      </c>
      <c r="I761" s="23" t="inlineStr">
        <is>
          <t>Source assignment -- not individually reviewed</t>
        </is>
      </c>
      <c r="J761" s="23" t="inlineStr"/>
      <c r="K761" s="23" t="inlineStr">
        <is>
          <t>Source assignment</t>
        </is>
      </c>
      <c r="L761" s="23" t="inlineStr"/>
      <c r="M761" s="23" t="inlineStr">
        <is>
          <t>Contractor Programme Cycle 2</t>
        </is>
      </c>
      <c r="N761" s="23" t="inlineStr">
        <is>
          <t>Rev 1</t>
        </is>
      </c>
      <c r="O761" s="23" t="inlineStr">
        <is>
          <t>R504-v2</t>
        </is>
      </c>
      <c r="P761" s="23" t="inlineStr"/>
      <c r="Q761" s="23" t="inlineStr"/>
      <c r="R761" s="23" t="inlineStr"/>
      <c r="S761" s="23" t="inlineStr"/>
      <c r="T761" s="23" t="inlineStr"/>
      <c r="U761" s="23" t="inlineStr"/>
      <c r="V761" s="23" t="inlineStr">
        <is>
          <t>WBS Code = 1.3.2</t>
        </is>
      </c>
      <c r="W761" s="23" t="inlineStr"/>
    </row>
    <row r="762" ht="49" customHeight="1">
      <c r="A762" s="23" t="inlineStr">
        <is>
          <t>1.3.2</t>
        </is>
      </c>
      <c r="B762" s="23" t="inlineStr">
        <is>
          <t>Systems - Signalling &amp; Train Control</t>
        </is>
      </c>
      <c r="C762" s="23" t="inlineStr">
        <is>
          <t>Contractor Programme</t>
        </is>
      </c>
      <c r="D762" s="23" t="inlineStr">
        <is>
          <t>SCH-03-147</t>
        </is>
      </c>
      <c r="E762" s="23" t="inlineStr">
        <is>
          <t>Control Centre: radio equipment installation - release</t>
        </is>
      </c>
      <c r="F762" s="23" t="inlineStr">
        <is>
          <t>ONE_TO_ONE</t>
        </is>
      </c>
      <c r="G762" s="23" t="inlineStr">
        <is>
          <t>RETAINED</t>
        </is>
      </c>
      <c r="H762" s="23" t="inlineStr">
        <is>
          <t>Carried forward</t>
        </is>
      </c>
      <c r="I762" s="23" t="inlineStr">
        <is>
          <t>Source assignment -- not individually reviewed</t>
        </is>
      </c>
      <c r="J762" s="23" t="inlineStr"/>
      <c r="K762" s="23" t="inlineStr">
        <is>
          <t>Source assignment</t>
        </is>
      </c>
      <c r="L762" s="23" t="inlineStr"/>
      <c r="M762" s="23" t="inlineStr">
        <is>
          <t>Contractor Programme Cycle 2</t>
        </is>
      </c>
      <c r="N762" s="23" t="inlineStr">
        <is>
          <t>Rev 1</t>
        </is>
      </c>
      <c r="O762" s="23" t="inlineStr">
        <is>
          <t>R507-v2</t>
        </is>
      </c>
      <c r="P762" s="23" t="inlineStr"/>
      <c r="Q762" s="23" t="inlineStr"/>
      <c r="R762" s="23" t="inlineStr"/>
      <c r="S762" s="23" t="inlineStr"/>
      <c r="T762" s="23" t="inlineStr"/>
      <c r="U762" s="23" t="inlineStr"/>
      <c r="V762" s="23" t="inlineStr">
        <is>
          <t>WBS Code = 1.3.2</t>
        </is>
      </c>
      <c r="W762" s="23" t="inlineStr"/>
    </row>
    <row r="763" ht="49" customHeight="1">
      <c r="A763" s="23" t="inlineStr">
        <is>
          <t>1.3.2</t>
        </is>
      </c>
      <c r="B763" s="23" t="inlineStr">
        <is>
          <t>Systems - Signalling &amp; Train Control</t>
        </is>
      </c>
      <c r="C763" s="23" t="inlineStr">
        <is>
          <t>Contractor Programme</t>
        </is>
      </c>
      <c r="D763" s="23" t="inlineStr">
        <is>
          <t>SCH-03-150</t>
        </is>
      </c>
      <c r="E763" s="23" t="inlineStr">
        <is>
          <t>Central interlocking: SCADA point-to-point check - inspection</t>
        </is>
      </c>
      <c r="F763" s="23" t="inlineStr">
        <is>
          <t>ONE_TO_ONE</t>
        </is>
      </c>
      <c r="G763" s="23" t="inlineStr">
        <is>
          <t>RETAINED</t>
        </is>
      </c>
      <c r="H763" s="23" t="inlineStr">
        <is>
          <t>Carried forward</t>
        </is>
      </c>
      <c r="I763" s="23" t="inlineStr">
        <is>
          <t>Source assignment -- not individually reviewed</t>
        </is>
      </c>
      <c r="J763" s="23" t="inlineStr"/>
      <c r="K763" s="23" t="inlineStr">
        <is>
          <t>Source assignment</t>
        </is>
      </c>
      <c r="L763" s="23" t="inlineStr"/>
      <c r="M763" s="23" t="inlineStr">
        <is>
          <t>Contractor Programme Cycle 2</t>
        </is>
      </c>
      <c r="N763" s="23" t="inlineStr">
        <is>
          <t>Rev 1</t>
        </is>
      </c>
      <c r="O763" s="23" t="inlineStr">
        <is>
          <t>R510-v2</t>
        </is>
      </c>
      <c r="P763" s="23" t="inlineStr"/>
      <c r="Q763" s="23" t="inlineStr"/>
      <c r="R763" s="23" t="inlineStr"/>
      <c r="S763" s="23" t="inlineStr"/>
      <c r="T763" s="23" t="inlineStr"/>
      <c r="U763" s="23" t="inlineStr"/>
      <c r="V763" s="23" t="inlineStr">
        <is>
          <t>WBS Code = 1.3.2</t>
        </is>
      </c>
      <c r="W763" s="23" t="inlineStr"/>
    </row>
    <row r="764" ht="49" customHeight="1">
      <c r="A764" s="23" t="inlineStr">
        <is>
          <t>1.3.2</t>
        </is>
      </c>
      <c r="B764" s="23" t="inlineStr">
        <is>
          <t>Systems - Signalling &amp; Train Control</t>
        </is>
      </c>
      <c r="C764" s="23" t="inlineStr">
        <is>
          <t>Contractor Programme</t>
        </is>
      </c>
      <c r="D764" s="23" t="inlineStr">
        <is>
          <t>SCH-03-153</t>
        </is>
      </c>
      <c r="E764" s="23" t="inlineStr">
        <is>
          <t>West wayside: wayside interface test - field start</t>
        </is>
      </c>
      <c r="F764" s="23" t="inlineStr">
        <is>
          <t>ONE_TO_ONE</t>
        </is>
      </c>
      <c r="G764" s="23" t="inlineStr">
        <is>
          <t>RETAINED</t>
        </is>
      </c>
      <c r="H764" s="23" t="inlineStr">
        <is>
          <t>Carried forward</t>
        </is>
      </c>
      <c r="I764" s="23" t="inlineStr">
        <is>
          <t>Source assignment -- not individually reviewed</t>
        </is>
      </c>
      <c r="J764" s="23" t="inlineStr"/>
      <c r="K764" s="23" t="inlineStr">
        <is>
          <t>Source assignment</t>
        </is>
      </c>
      <c r="L764" s="23" t="inlineStr"/>
      <c r="M764" s="23" t="inlineStr">
        <is>
          <t>Contractor Programme Cycle 2</t>
        </is>
      </c>
      <c r="N764" s="23" t="inlineStr">
        <is>
          <t>Rev 1</t>
        </is>
      </c>
      <c r="O764" s="23" t="inlineStr">
        <is>
          <t>R513-v2</t>
        </is>
      </c>
      <c r="P764" s="23" t="inlineStr"/>
      <c r="Q764" s="23" t="inlineStr"/>
      <c r="R764" s="23" t="inlineStr"/>
      <c r="S764" s="23" t="inlineStr"/>
      <c r="T764" s="23" t="inlineStr"/>
      <c r="U764" s="23" t="inlineStr"/>
      <c r="V764" s="23" t="inlineStr">
        <is>
          <t>WBS Code = 1.3.2</t>
        </is>
      </c>
      <c r="W764" s="23" t="inlineStr"/>
    </row>
    <row r="765" ht="49" customHeight="1">
      <c r="A765" s="23" t="inlineStr">
        <is>
          <t>1.3.2</t>
        </is>
      </c>
      <c r="B765" s="23" t="inlineStr">
        <is>
          <t>Systems - Signalling &amp; Train Control</t>
        </is>
      </c>
      <c r="C765" s="23" t="inlineStr">
        <is>
          <t>Contractor Programme</t>
        </is>
      </c>
      <c r="D765" s="23" t="inlineStr">
        <is>
          <t>SCH-03-156</t>
        </is>
      </c>
      <c r="E765" s="23" t="inlineStr">
        <is>
          <t>Harbour Station: control-centre integration - turnover</t>
        </is>
      </c>
      <c r="F765" s="23" t="inlineStr">
        <is>
          <t>ONE_TO_ONE</t>
        </is>
      </c>
      <c r="G765" s="23" t="inlineStr">
        <is>
          <t>RETAINED</t>
        </is>
      </c>
      <c r="H765" s="23" t="inlineStr">
        <is>
          <t>Carried forward</t>
        </is>
      </c>
      <c r="I765" s="23" t="inlineStr">
        <is>
          <t>Source assignment -- not individually reviewed</t>
        </is>
      </c>
      <c r="J765" s="23" t="inlineStr"/>
      <c r="K765" s="23" t="inlineStr">
        <is>
          <t>Source assignment</t>
        </is>
      </c>
      <c r="L765" s="23" t="inlineStr"/>
      <c r="M765" s="23" t="inlineStr">
        <is>
          <t>Contractor Programme Cycle 2</t>
        </is>
      </c>
      <c r="N765" s="23" t="inlineStr">
        <is>
          <t>Rev 1</t>
        </is>
      </c>
      <c r="O765" s="23" t="inlineStr">
        <is>
          <t>R516-v2</t>
        </is>
      </c>
      <c r="P765" s="23" t="inlineStr"/>
      <c r="Q765" s="23" t="inlineStr"/>
      <c r="R765" s="23" t="inlineStr"/>
      <c r="S765" s="23" t="inlineStr"/>
      <c r="T765" s="23" t="inlineStr"/>
      <c r="U765" s="23" t="inlineStr"/>
      <c r="V765" s="23" t="inlineStr">
        <is>
          <t>WBS Code = 1.3.2</t>
        </is>
      </c>
      <c r="W765" s="23" t="inlineStr"/>
    </row>
    <row r="766" ht="49" customHeight="1">
      <c r="A766" s="23" t="inlineStr">
        <is>
          <t>1.3.2</t>
        </is>
      </c>
      <c r="B766" s="23" t="inlineStr">
        <is>
          <t>Systems - Signalling &amp; Train Control</t>
        </is>
      </c>
      <c r="C766" s="23" t="inlineStr">
        <is>
          <t>Contractor Programme</t>
        </is>
      </c>
      <c r="D766" s="23" t="inlineStr">
        <is>
          <t>SCH-03-159</t>
        </is>
      </c>
      <c r="E766" s="23" t="inlineStr">
        <is>
          <t>East substation: traction-power feeder pull - installation</t>
        </is>
      </c>
      <c r="F766" s="23" t="inlineStr">
        <is>
          <t>ONE_TO_ONE</t>
        </is>
      </c>
      <c r="G766" s="23" t="inlineStr">
        <is>
          <t>RETAINED</t>
        </is>
      </c>
      <c r="H766" s="23" t="inlineStr">
        <is>
          <t>Carried forward</t>
        </is>
      </c>
      <c r="I766" s="23" t="inlineStr">
        <is>
          <t>Source assignment -- not individually reviewed</t>
        </is>
      </c>
      <c r="J766" s="23" t="inlineStr"/>
      <c r="K766" s="23" t="inlineStr">
        <is>
          <t>Source assignment</t>
        </is>
      </c>
      <c r="L766" s="23" t="inlineStr"/>
      <c r="M766" s="23" t="inlineStr">
        <is>
          <t>Contractor Programme Cycle 2</t>
        </is>
      </c>
      <c r="N766" s="23" t="inlineStr">
        <is>
          <t>Rev 1</t>
        </is>
      </c>
      <c r="O766" s="23" t="inlineStr">
        <is>
          <t>R519-v2</t>
        </is>
      </c>
      <c r="P766" s="23" t="inlineStr"/>
      <c r="Q766" s="23" t="inlineStr"/>
      <c r="R766" s="23" t="inlineStr"/>
      <c r="S766" s="23" t="inlineStr"/>
      <c r="T766" s="23" t="inlineStr"/>
      <c r="U766" s="23" t="inlineStr"/>
      <c r="V766" s="23" t="inlineStr">
        <is>
          <t>WBS Code = 1.3.2</t>
        </is>
      </c>
      <c r="W766" s="23" t="inlineStr"/>
    </row>
    <row r="767" ht="49" customHeight="1">
      <c r="A767" s="23" t="inlineStr">
        <is>
          <t>1.3.2</t>
        </is>
      </c>
      <c r="B767" s="23" t="inlineStr">
        <is>
          <t>Systems - Signalling &amp; Train Control</t>
        </is>
      </c>
      <c r="C767" s="23" t="inlineStr">
        <is>
          <t>Contractor Programme</t>
        </is>
      </c>
      <c r="D767" s="23" t="inlineStr">
        <is>
          <t>SCH-03-162</t>
        </is>
      </c>
      <c r="E767" s="23" t="inlineStr">
        <is>
          <t>Control Centre: signal equipment installation - release</t>
        </is>
      </c>
      <c r="F767" s="23" t="inlineStr">
        <is>
          <t>ONE_TO_ONE</t>
        </is>
      </c>
      <c r="G767" s="23" t="inlineStr">
        <is>
          <t>RETAINED</t>
        </is>
      </c>
      <c r="H767" s="23" t="inlineStr">
        <is>
          <t>Carried forward</t>
        </is>
      </c>
      <c r="I767" s="23" t="inlineStr">
        <is>
          <t>Source assignment -- not individually reviewed</t>
        </is>
      </c>
      <c r="J767" s="23" t="inlineStr"/>
      <c r="K767" s="23" t="inlineStr">
        <is>
          <t>Source assignment</t>
        </is>
      </c>
      <c r="L767" s="23" t="inlineStr"/>
      <c r="M767" s="23" t="inlineStr">
        <is>
          <t>Contractor Programme Cycle 2</t>
        </is>
      </c>
      <c r="N767" s="23" t="inlineStr">
        <is>
          <t>Rev 1</t>
        </is>
      </c>
      <c r="O767" s="23" t="inlineStr">
        <is>
          <t>R522-v2</t>
        </is>
      </c>
      <c r="P767" s="23" t="inlineStr"/>
      <c r="Q767" s="23" t="inlineStr"/>
      <c r="R767" s="23" t="inlineStr"/>
      <c r="S767" s="23" t="inlineStr"/>
      <c r="T767" s="23" t="inlineStr"/>
      <c r="U767" s="23" t="inlineStr"/>
      <c r="V767" s="23" t="inlineStr">
        <is>
          <t>WBS Code = 1.3.2</t>
        </is>
      </c>
      <c r="W767" s="23" t="inlineStr"/>
    </row>
    <row r="768" ht="49" customHeight="1">
      <c r="A768" s="23" t="inlineStr">
        <is>
          <t>1.3.2</t>
        </is>
      </c>
      <c r="B768" s="23" t="inlineStr">
        <is>
          <t>Systems - Signalling &amp; Train Control</t>
        </is>
      </c>
      <c r="C768" s="23" t="inlineStr">
        <is>
          <t>Contractor Programme</t>
        </is>
      </c>
      <c r="D768" s="23" t="inlineStr">
        <is>
          <t>SCH-03-165</t>
        </is>
      </c>
      <c r="E768" s="23" t="inlineStr">
        <is>
          <t>Central interlocking: fibre backbone termination - inspection</t>
        </is>
      </c>
      <c r="F768" s="23" t="inlineStr">
        <is>
          <t>ONE_TO_ONE</t>
        </is>
      </c>
      <c r="G768" s="23" t="inlineStr">
        <is>
          <t>RETAINED</t>
        </is>
      </c>
      <c r="H768" s="23" t="inlineStr">
        <is>
          <t>Carried forward</t>
        </is>
      </c>
      <c r="I768" s="23" t="inlineStr">
        <is>
          <t>Source assignment -- not individually reviewed</t>
        </is>
      </c>
      <c r="J768" s="23" t="inlineStr"/>
      <c r="K768" s="23" t="inlineStr">
        <is>
          <t>Source assignment</t>
        </is>
      </c>
      <c r="L768" s="23" t="inlineStr"/>
      <c r="M768" s="23" t="inlineStr">
        <is>
          <t>Contractor Programme Cycle 2</t>
        </is>
      </c>
      <c r="N768" s="23" t="inlineStr">
        <is>
          <t>Rev 1</t>
        </is>
      </c>
      <c r="O768" s="23" t="inlineStr">
        <is>
          <t>R525-v2</t>
        </is>
      </c>
      <c r="P768" s="23" t="inlineStr"/>
      <c r="Q768" s="23" t="inlineStr"/>
      <c r="R768" s="23" t="inlineStr"/>
      <c r="S768" s="23" t="inlineStr"/>
      <c r="T768" s="23" t="inlineStr"/>
      <c r="U768" s="23" t="inlineStr"/>
      <c r="V768" s="23" t="inlineStr">
        <is>
          <t>WBS Code = 1.3.2</t>
        </is>
      </c>
      <c r="W768" s="23" t="inlineStr"/>
    </row>
    <row r="769" ht="49" customHeight="1">
      <c r="A769" s="23" t="inlineStr">
        <is>
          <t>1.3.2</t>
        </is>
      </c>
      <c r="B769" s="23" t="inlineStr">
        <is>
          <t>Systems - Signalling &amp; Train Control</t>
        </is>
      </c>
      <c r="C769" s="23" t="inlineStr">
        <is>
          <t>Contractor Programme</t>
        </is>
      </c>
      <c r="D769" s="23" t="inlineStr">
        <is>
          <t>SCH-03-168</t>
        </is>
      </c>
      <c r="E769" s="23" t="inlineStr">
        <is>
          <t>West wayside: train-control cabinet fit-out - field start</t>
        </is>
      </c>
      <c r="F769" s="23" t="inlineStr">
        <is>
          <t>ONE_TO_ONE</t>
        </is>
      </c>
      <c r="G769" s="23" t="inlineStr">
        <is>
          <t>RETAINED</t>
        </is>
      </c>
      <c r="H769" s="23" t="inlineStr">
        <is>
          <t>Carried forward</t>
        </is>
      </c>
      <c r="I769" s="23" t="inlineStr">
        <is>
          <t>Source assignment -- not individually reviewed</t>
        </is>
      </c>
      <c r="J769" s="23" t="inlineStr"/>
      <c r="K769" s="23" t="inlineStr">
        <is>
          <t>Source assignment</t>
        </is>
      </c>
      <c r="L769" s="23" t="inlineStr"/>
      <c r="M769" s="23" t="inlineStr">
        <is>
          <t>Contractor Programme Cycle 2</t>
        </is>
      </c>
      <c r="N769" s="23" t="inlineStr">
        <is>
          <t>Rev 1</t>
        </is>
      </c>
      <c r="O769" s="23" t="inlineStr">
        <is>
          <t>R528-v2</t>
        </is>
      </c>
      <c r="P769" s="23" t="inlineStr"/>
      <c r="Q769" s="23" t="inlineStr"/>
      <c r="R769" s="23" t="inlineStr"/>
      <c r="S769" s="23" t="inlineStr"/>
      <c r="T769" s="23" t="inlineStr"/>
      <c r="U769" s="23" t="inlineStr"/>
      <c r="V769" s="23" t="inlineStr">
        <is>
          <t>WBS Code = 1.3.2</t>
        </is>
      </c>
      <c r="W769" s="23" t="inlineStr"/>
    </row>
    <row r="770" ht="49" customHeight="1">
      <c r="A770" s="23" t="inlineStr">
        <is>
          <t>1.3.2</t>
        </is>
      </c>
      <c r="B770" s="23" t="inlineStr">
        <is>
          <t>Systems - Signalling &amp; Train Control</t>
        </is>
      </c>
      <c r="C770" s="23" t="inlineStr">
        <is>
          <t>Contractor Programme</t>
        </is>
      </c>
      <c r="D770" s="23" t="inlineStr">
        <is>
          <t>SCH-03-171</t>
        </is>
      </c>
      <c r="E770" s="23" t="inlineStr">
        <is>
          <t>Harbour Station: radio equipment installation - turnover</t>
        </is>
      </c>
      <c r="F770" s="23" t="inlineStr">
        <is>
          <t>ONE_TO_ONE</t>
        </is>
      </c>
      <c r="G770" s="23" t="inlineStr">
        <is>
          <t>RETAINED</t>
        </is>
      </c>
      <c r="H770" s="23" t="inlineStr">
        <is>
          <t>Carried forward</t>
        </is>
      </c>
      <c r="I770" s="23" t="inlineStr">
        <is>
          <t>Source assignment -- not individually reviewed</t>
        </is>
      </c>
      <c r="J770" s="23" t="inlineStr"/>
      <c r="K770" s="23" t="inlineStr">
        <is>
          <t>Source assignment</t>
        </is>
      </c>
      <c r="L770" s="23" t="inlineStr"/>
      <c r="M770" s="23" t="inlineStr">
        <is>
          <t>Contractor Programme Cycle 2</t>
        </is>
      </c>
      <c r="N770" s="23" t="inlineStr">
        <is>
          <t>Rev 1</t>
        </is>
      </c>
      <c r="O770" s="23" t="inlineStr">
        <is>
          <t>R531-v2</t>
        </is>
      </c>
      <c r="P770" s="23" t="inlineStr"/>
      <c r="Q770" s="23" t="inlineStr"/>
      <c r="R770" s="23" t="inlineStr"/>
      <c r="S770" s="23" t="inlineStr"/>
      <c r="T770" s="23" t="inlineStr"/>
      <c r="U770" s="23" t="inlineStr"/>
      <c r="V770" s="23" t="inlineStr">
        <is>
          <t>WBS Code = 1.3.2</t>
        </is>
      </c>
      <c r="W770" s="23" t="inlineStr"/>
    </row>
    <row r="771" ht="49" customHeight="1">
      <c r="A771" s="23" t="inlineStr">
        <is>
          <t>1.3.2</t>
        </is>
      </c>
      <c r="B771" s="23" t="inlineStr">
        <is>
          <t>Systems - Signalling &amp; Train Control</t>
        </is>
      </c>
      <c r="C771" s="23" t="inlineStr">
        <is>
          <t>Contractor Programme</t>
        </is>
      </c>
      <c r="D771" s="23" t="inlineStr">
        <is>
          <t>SCH-03-174</t>
        </is>
      </c>
      <c r="E771" s="23" t="inlineStr">
        <is>
          <t>East substation: SCADA point-to-point check - installation</t>
        </is>
      </c>
      <c r="F771" s="23" t="inlineStr">
        <is>
          <t>ONE_TO_ONE</t>
        </is>
      </c>
      <c r="G771" s="23" t="inlineStr">
        <is>
          <t>RETAINED</t>
        </is>
      </c>
      <c r="H771" s="23" t="inlineStr">
        <is>
          <t>Carried forward</t>
        </is>
      </c>
      <c r="I771" s="23" t="inlineStr">
        <is>
          <t>Source assignment -- not individually reviewed</t>
        </is>
      </c>
      <c r="J771" s="23" t="inlineStr"/>
      <c r="K771" s="23" t="inlineStr">
        <is>
          <t>Source assignment</t>
        </is>
      </c>
      <c r="L771" s="23" t="inlineStr"/>
      <c r="M771" s="23" t="inlineStr">
        <is>
          <t>Contractor Programme Cycle 2</t>
        </is>
      </c>
      <c r="N771" s="23" t="inlineStr">
        <is>
          <t>Rev 1</t>
        </is>
      </c>
      <c r="O771" s="23" t="inlineStr">
        <is>
          <t>R534-v2</t>
        </is>
      </c>
      <c r="P771" s="23" t="inlineStr"/>
      <c r="Q771" s="23" t="inlineStr"/>
      <c r="R771" s="23" t="inlineStr"/>
      <c r="S771" s="23" t="inlineStr"/>
      <c r="T771" s="23" t="inlineStr"/>
      <c r="U771" s="23" t="inlineStr"/>
      <c r="V771" s="23" t="inlineStr">
        <is>
          <t>WBS Code = 1.3.2</t>
        </is>
      </c>
      <c r="W771" s="23" t="inlineStr"/>
    </row>
    <row r="772" ht="49" customHeight="1">
      <c r="A772" s="23" t="inlineStr">
        <is>
          <t>1.3.2</t>
        </is>
      </c>
      <c r="B772" s="23" t="inlineStr">
        <is>
          <t>Systems - Signalling &amp; Train Control</t>
        </is>
      </c>
      <c r="C772" s="23" t="inlineStr">
        <is>
          <t>Contractor Programme</t>
        </is>
      </c>
      <c r="D772" s="23" t="inlineStr">
        <is>
          <t>SCH-03-177</t>
        </is>
      </c>
      <c r="E772" s="23" t="inlineStr">
        <is>
          <t>Control Centre: wayside interface test - release</t>
        </is>
      </c>
      <c r="F772" s="23" t="inlineStr">
        <is>
          <t>ONE_TO_ONE</t>
        </is>
      </c>
      <c r="G772" s="23" t="inlineStr">
        <is>
          <t>RETAINED</t>
        </is>
      </c>
      <c r="H772" s="23" t="inlineStr">
        <is>
          <t>Carried forward</t>
        </is>
      </c>
      <c r="I772" s="23" t="inlineStr">
        <is>
          <t>Source assignment -- not individually reviewed</t>
        </is>
      </c>
      <c r="J772" s="23" t="inlineStr"/>
      <c r="K772" s="23" t="inlineStr">
        <is>
          <t>Source assignment</t>
        </is>
      </c>
      <c r="L772" s="23" t="inlineStr"/>
      <c r="M772" s="23" t="inlineStr">
        <is>
          <t>Contractor Programme Cycle 2</t>
        </is>
      </c>
      <c r="N772" s="23" t="inlineStr">
        <is>
          <t>Rev 1</t>
        </is>
      </c>
      <c r="O772" s="23" t="inlineStr">
        <is>
          <t>R537-v2</t>
        </is>
      </c>
      <c r="P772" s="23" t="inlineStr"/>
      <c r="Q772" s="23" t="inlineStr"/>
      <c r="R772" s="23" t="inlineStr"/>
      <c r="S772" s="23" t="inlineStr"/>
      <c r="T772" s="23" t="inlineStr"/>
      <c r="U772" s="23" t="inlineStr"/>
      <c r="V772" s="23" t="inlineStr">
        <is>
          <t>WBS Code = 1.3.2</t>
        </is>
      </c>
      <c r="W772" s="23" t="inlineStr"/>
    </row>
    <row r="773" ht="49" customHeight="1">
      <c r="A773" s="23" t="inlineStr">
        <is>
          <t>1.3.2</t>
        </is>
      </c>
      <c r="B773" s="23" t="inlineStr">
        <is>
          <t>Systems - Signalling &amp; Train Control</t>
        </is>
      </c>
      <c r="C773" s="23" t="inlineStr">
        <is>
          <t>Contractor Programme</t>
        </is>
      </c>
      <c r="D773" s="23" t="inlineStr">
        <is>
          <t>SCH-03-180</t>
        </is>
      </c>
      <c r="E773" s="23" t="inlineStr">
        <is>
          <t>Central interlocking: control-centre integration - inspection</t>
        </is>
      </c>
      <c r="F773" s="23" t="inlineStr">
        <is>
          <t>ONE_TO_ONE</t>
        </is>
      </c>
      <c r="G773" s="23" t="inlineStr">
        <is>
          <t>RETAINED</t>
        </is>
      </c>
      <c r="H773" s="23" t="inlineStr">
        <is>
          <t>Carried forward</t>
        </is>
      </c>
      <c r="I773" s="23" t="inlineStr">
        <is>
          <t>Source assignment -- not individually reviewed</t>
        </is>
      </c>
      <c r="J773" s="23" t="inlineStr"/>
      <c r="K773" s="23" t="inlineStr">
        <is>
          <t>Source assignment</t>
        </is>
      </c>
      <c r="L773" s="23" t="inlineStr"/>
      <c r="M773" s="23" t="inlineStr">
        <is>
          <t>Contractor Programme Cycle 2</t>
        </is>
      </c>
      <c r="N773" s="23" t="inlineStr">
        <is>
          <t>Rev 1</t>
        </is>
      </c>
      <c r="O773" s="23" t="inlineStr">
        <is>
          <t>R540-v2</t>
        </is>
      </c>
      <c r="P773" s="23" t="inlineStr"/>
      <c r="Q773" s="23" t="inlineStr"/>
      <c r="R773" s="23" t="inlineStr"/>
      <c r="S773" s="23" t="inlineStr"/>
      <c r="T773" s="23" t="inlineStr"/>
      <c r="U773" s="23" t="inlineStr"/>
      <c r="V773" s="23" t="inlineStr">
        <is>
          <t>WBS Code = 1.3.2</t>
        </is>
      </c>
      <c r="W773" s="23" t="inlineStr"/>
    </row>
    <row r="774" ht="64" customHeight="1">
      <c r="A774" s="23" t="inlineStr">
        <is>
          <t>1.3.2</t>
        </is>
      </c>
      <c r="B774" s="23" t="inlineStr">
        <is>
          <t>Systems - Signalling &amp; Train Control</t>
        </is>
      </c>
      <c r="C774" s="23" t="inlineStr">
        <is>
          <t>Cost &amp; Forecast Control Accounts</t>
        </is>
      </c>
      <c r="D774" s="23" t="inlineStr">
        <is>
          <t>CST-03-002</t>
        </is>
      </c>
      <c r="E774" s="23" t="inlineStr">
        <is>
          <t>Systems - signalling - field package</t>
        </is>
      </c>
      <c r="F774" s="23" t="inlineStr">
        <is>
          <t>ONE_TO_ONE</t>
        </is>
      </c>
      <c r="G774" s="23" t="inlineStr">
        <is>
          <t>RETAINED</t>
        </is>
      </c>
      <c r="H774" s="23" t="inlineStr">
        <is>
          <t>Carried forward</t>
        </is>
      </c>
      <c r="I774" s="23" t="inlineStr">
        <is>
          <t>Source assignment -- not individually reviewed</t>
        </is>
      </c>
      <c r="J774" s="23" t="inlineStr"/>
      <c r="K774" s="23" t="inlineStr">
        <is>
          <t>Source assignment</t>
        </is>
      </c>
      <c r="L774" s="23" t="inlineStr"/>
      <c r="M774" s="23" t="inlineStr">
        <is>
          <t>Cost &amp; Forecast Control Accounts Cycle 2</t>
        </is>
      </c>
      <c r="N774" s="23" t="inlineStr">
        <is>
          <t>Rev 1</t>
        </is>
      </c>
      <c r="O774" s="23" t="inlineStr">
        <is>
          <t>R1244-v2</t>
        </is>
      </c>
      <c r="P774" s="23" t="inlineStr"/>
      <c r="Q774" s="23" t="inlineStr"/>
      <c r="R774" s="23" t="inlineStr"/>
      <c r="S774" s="23" t="inlineStr"/>
      <c r="T774" s="23" t="inlineStr"/>
      <c r="U774" s="23" t="inlineStr"/>
      <c r="V774" s="23" t="inlineStr">
        <is>
          <t>Cost Account = CA-3002; WBS Code = 1.3.2</t>
        </is>
      </c>
      <c r="W774" s="23" t="inlineStr"/>
    </row>
    <row r="775" ht="64" customHeight="1">
      <c r="A775" s="23" t="inlineStr">
        <is>
          <t>1.3.2</t>
        </is>
      </c>
      <c r="B775" s="23" t="inlineStr">
        <is>
          <t>Systems - Signalling &amp; Train Control</t>
        </is>
      </c>
      <c r="C775" s="23" t="inlineStr">
        <is>
          <t>Cost &amp; Forecast Control Accounts</t>
        </is>
      </c>
      <c r="D775" s="23" t="inlineStr">
        <is>
          <t>CST-03-006</t>
        </is>
      </c>
      <c r="E775" s="23" t="inlineStr">
        <is>
          <t>Systems - train control - closeout</t>
        </is>
      </c>
      <c r="F775" s="23" t="inlineStr">
        <is>
          <t>ONE_TO_ONE</t>
        </is>
      </c>
      <c r="G775" s="23" t="inlineStr">
        <is>
          <t>RETAINED</t>
        </is>
      </c>
      <c r="H775" s="23" t="inlineStr">
        <is>
          <t>Carried forward</t>
        </is>
      </c>
      <c r="I775" s="23" t="inlineStr">
        <is>
          <t>Source assignment -- not individually reviewed</t>
        </is>
      </c>
      <c r="J775" s="23" t="inlineStr"/>
      <c r="K775" s="23" t="inlineStr">
        <is>
          <t>Source assignment</t>
        </is>
      </c>
      <c r="L775" s="23" t="inlineStr"/>
      <c r="M775" s="23" t="inlineStr">
        <is>
          <t>Cost &amp; Forecast Control Accounts Cycle 2</t>
        </is>
      </c>
      <c r="N775" s="23" t="inlineStr">
        <is>
          <t>Rev 1</t>
        </is>
      </c>
      <c r="O775" s="23" t="inlineStr">
        <is>
          <t>R1248-v2</t>
        </is>
      </c>
      <c r="P775" s="23" t="inlineStr"/>
      <c r="Q775" s="23" t="inlineStr"/>
      <c r="R775" s="23" t="inlineStr"/>
      <c r="S775" s="23" t="inlineStr"/>
      <c r="T775" s="23" t="inlineStr"/>
      <c r="U775" s="23" t="inlineStr"/>
      <c r="V775" s="23" t="inlineStr">
        <is>
          <t>Cost Account = CA-3006; WBS Code = 1.3.2</t>
        </is>
      </c>
      <c r="W775" s="23" t="inlineStr"/>
    </row>
    <row r="776" ht="64" customHeight="1">
      <c r="A776" s="23" t="inlineStr">
        <is>
          <t>1.3.2</t>
        </is>
      </c>
      <c r="B776" s="23" t="inlineStr">
        <is>
          <t>Systems - Signalling &amp; Train Control</t>
        </is>
      </c>
      <c r="C776" s="23" t="inlineStr">
        <is>
          <t>Cost &amp; Forecast Control Accounts</t>
        </is>
      </c>
      <c r="D776" s="23" t="inlineStr">
        <is>
          <t>CST-03-008</t>
        </is>
      </c>
      <c r="E776" s="23" t="inlineStr">
        <is>
          <t>Systems - signalling - supply and install</t>
        </is>
      </c>
      <c r="F776" s="23" t="inlineStr">
        <is>
          <t>ONE_TO_ONE</t>
        </is>
      </c>
      <c r="G776" s="23" t="inlineStr">
        <is>
          <t>RETAINED</t>
        </is>
      </c>
      <c r="H776" s="23" t="inlineStr">
        <is>
          <t>Carried forward</t>
        </is>
      </c>
      <c r="I776" s="23" t="inlineStr">
        <is>
          <t>Source assignment -- not individually reviewed</t>
        </is>
      </c>
      <c r="J776" s="23" t="inlineStr"/>
      <c r="K776" s="23" t="inlineStr">
        <is>
          <t>Source assignment</t>
        </is>
      </c>
      <c r="L776" s="23" t="inlineStr"/>
      <c r="M776" s="23" t="inlineStr">
        <is>
          <t>Cost &amp; Forecast Control Accounts Cycle 2</t>
        </is>
      </c>
      <c r="N776" s="23" t="inlineStr">
        <is>
          <t>Rev 1</t>
        </is>
      </c>
      <c r="O776" s="23" t="inlineStr">
        <is>
          <t>R1250-v2</t>
        </is>
      </c>
      <c r="P776" s="23" t="inlineStr"/>
      <c r="Q776" s="23" t="inlineStr"/>
      <c r="R776" s="23" t="inlineStr"/>
      <c r="S776" s="23" t="inlineStr"/>
      <c r="T776" s="23" t="inlineStr"/>
      <c r="U776" s="23" t="inlineStr"/>
      <c r="V776" s="23" t="inlineStr">
        <is>
          <t>Cost Account = CA-3008; WBS Code = 1.3.2</t>
        </is>
      </c>
      <c r="W776" s="23" t="inlineStr"/>
    </row>
    <row r="777" ht="64" customHeight="1">
      <c r="A777" s="23" t="inlineStr">
        <is>
          <t>1.3.2</t>
        </is>
      </c>
      <c r="B777" s="23" t="inlineStr">
        <is>
          <t>Systems - Signalling &amp; Train Control</t>
        </is>
      </c>
      <c r="C777" s="23" t="inlineStr">
        <is>
          <t>Cost &amp; Forecast Control Accounts</t>
        </is>
      </c>
      <c r="D777" s="23" t="inlineStr">
        <is>
          <t>CST-03-010</t>
        </is>
      </c>
      <c r="E777" s="23" t="inlineStr">
        <is>
          <t>Systems - systems integration - allowance</t>
        </is>
      </c>
      <c r="F777" s="23" t="inlineStr">
        <is>
          <t>ONE_TO_ONE</t>
        </is>
      </c>
      <c r="G777" s="23" t="inlineStr">
        <is>
          <t>RETAINED</t>
        </is>
      </c>
      <c r="H777" s="23" t="inlineStr">
        <is>
          <t>Carried forward</t>
        </is>
      </c>
      <c r="I777" s="23" t="inlineStr">
        <is>
          <t>Source assignment -- not individually reviewed</t>
        </is>
      </c>
      <c r="J777" s="23" t="inlineStr"/>
      <c r="K777" s="23" t="inlineStr">
        <is>
          <t>Source assignment</t>
        </is>
      </c>
      <c r="L777" s="23" t="inlineStr"/>
      <c r="M777" s="23" t="inlineStr">
        <is>
          <t>Cost &amp; Forecast Control Accounts Cycle 2</t>
        </is>
      </c>
      <c r="N777" s="23" t="inlineStr">
        <is>
          <t>Rev 1</t>
        </is>
      </c>
      <c r="O777" s="23" t="inlineStr">
        <is>
          <t>R1252-v2</t>
        </is>
      </c>
      <c r="P777" s="23" t="inlineStr"/>
      <c r="Q777" s="23" t="inlineStr"/>
      <c r="R777" s="23" t="inlineStr"/>
      <c r="S777" s="23" t="inlineStr"/>
      <c r="T777" s="23" t="inlineStr"/>
      <c r="U777" s="23" t="inlineStr"/>
      <c r="V777" s="23" t="inlineStr">
        <is>
          <t>Cost Account = CA-3010; WBS Code = 1.3.2</t>
        </is>
      </c>
      <c r="W777" s="23" t="inlineStr"/>
    </row>
    <row r="778" ht="64" customHeight="1">
      <c r="A778" s="23" t="inlineStr">
        <is>
          <t>1.3.2</t>
        </is>
      </c>
      <c r="B778" s="23" t="inlineStr">
        <is>
          <t>Systems - Signalling &amp; Train Control</t>
        </is>
      </c>
      <c r="C778" s="23" t="inlineStr">
        <is>
          <t>Cost &amp; Forecast Control Accounts</t>
        </is>
      </c>
      <c r="D778" s="23" t="inlineStr">
        <is>
          <t>CST-03-012</t>
        </is>
      </c>
      <c r="E778" s="23" t="inlineStr">
        <is>
          <t>Systems - train control - field package</t>
        </is>
      </c>
      <c r="F778" s="23" t="inlineStr">
        <is>
          <t>ONE_TO_ONE</t>
        </is>
      </c>
      <c r="G778" s="23" t="inlineStr">
        <is>
          <t>RETAINED</t>
        </is>
      </c>
      <c r="H778" s="23" t="inlineStr">
        <is>
          <t>Carried forward</t>
        </is>
      </c>
      <c r="I778" s="23" t="inlineStr">
        <is>
          <t>Source assignment -- not individually reviewed</t>
        </is>
      </c>
      <c r="J778" s="23" t="inlineStr"/>
      <c r="K778" s="23" t="inlineStr">
        <is>
          <t>Source assignment</t>
        </is>
      </c>
      <c r="L778" s="23" t="inlineStr"/>
      <c r="M778" s="23" t="inlineStr">
        <is>
          <t>Cost &amp; Forecast Control Accounts Cycle 2</t>
        </is>
      </c>
      <c r="N778" s="23" t="inlineStr">
        <is>
          <t>Rev 1</t>
        </is>
      </c>
      <c r="O778" s="23" t="inlineStr">
        <is>
          <t>R1254-v2</t>
        </is>
      </c>
      <c r="P778" s="23" t="inlineStr"/>
      <c r="Q778" s="23" t="inlineStr"/>
      <c r="R778" s="23" t="inlineStr"/>
      <c r="S778" s="23" t="inlineStr"/>
      <c r="T778" s="23" t="inlineStr"/>
      <c r="U778" s="23" t="inlineStr"/>
      <c r="V778" s="23" t="inlineStr">
        <is>
          <t>Cost Account = CA-3012; WBS Code = 1.3.2</t>
        </is>
      </c>
      <c r="W778" s="23" t="inlineStr"/>
    </row>
    <row r="779" ht="64" customHeight="1">
      <c r="A779" s="23" t="inlineStr">
        <is>
          <t>1.3.2</t>
        </is>
      </c>
      <c r="B779" s="23" t="inlineStr">
        <is>
          <t>Systems - Signalling &amp; Train Control</t>
        </is>
      </c>
      <c r="C779" s="23" t="inlineStr">
        <is>
          <t>Cost &amp; Forecast Control Accounts</t>
        </is>
      </c>
      <c r="D779" s="23" t="inlineStr">
        <is>
          <t>CST-03-014</t>
        </is>
      </c>
      <c r="E779" s="23" t="inlineStr">
        <is>
          <t>Systems - signalling - professional services</t>
        </is>
      </c>
      <c r="F779" s="23" t="inlineStr">
        <is>
          <t>ONE_TO_ONE</t>
        </is>
      </c>
      <c r="G779" s="23" t="inlineStr">
        <is>
          <t>RETAINED</t>
        </is>
      </c>
      <c r="H779" s="23" t="inlineStr">
        <is>
          <t>Carried forward</t>
        </is>
      </c>
      <c r="I779" s="23" t="inlineStr">
        <is>
          <t>Source assignment -- not individually reviewed</t>
        </is>
      </c>
      <c r="J779" s="23" t="inlineStr"/>
      <c r="K779" s="23" t="inlineStr">
        <is>
          <t>Source assignment</t>
        </is>
      </c>
      <c r="L779" s="23" t="inlineStr"/>
      <c r="M779" s="23" t="inlineStr">
        <is>
          <t>Cost &amp; Forecast Control Accounts Cycle 2</t>
        </is>
      </c>
      <c r="N779" s="23" t="inlineStr">
        <is>
          <t>Rev 1</t>
        </is>
      </c>
      <c r="O779" s="23" t="inlineStr">
        <is>
          <t>R1256-v2</t>
        </is>
      </c>
      <c r="P779" s="23" t="inlineStr"/>
      <c r="Q779" s="23" t="inlineStr"/>
      <c r="R779" s="23" t="inlineStr"/>
      <c r="S779" s="23" t="inlineStr"/>
      <c r="T779" s="23" t="inlineStr"/>
      <c r="U779" s="23" t="inlineStr"/>
      <c r="V779" s="23" t="inlineStr">
        <is>
          <t>Cost Account = CA-3014; WBS Code = 1.3.2</t>
        </is>
      </c>
      <c r="W779" s="23" t="inlineStr"/>
    </row>
    <row r="780" ht="64" customHeight="1">
      <c r="A780" s="23" t="inlineStr">
        <is>
          <t>1.3.2</t>
        </is>
      </c>
      <c r="B780" s="23" t="inlineStr">
        <is>
          <t>Systems - Signalling &amp; Train Control</t>
        </is>
      </c>
      <c r="C780" s="23" t="inlineStr">
        <is>
          <t>Cost &amp; Forecast Control Accounts</t>
        </is>
      </c>
      <c r="D780" s="23" t="inlineStr">
        <is>
          <t>CST-03-016</t>
        </is>
      </c>
      <c r="E780" s="23" t="inlineStr">
        <is>
          <t>Systems - systems integration - closeout</t>
        </is>
      </c>
      <c r="F780" s="23" t="inlineStr">
        <is>
          <t>ONE_TO_ONE</t>
        </is>
      </c>
      <c r="G780" s="23" t="inlineStr">
        <is>
          <t>RETAINED</t>
        </is>
      </c>
      <c r="H780" s="23" t="inlineStr">
        <is>
          <t>Carried forward</t>
        </is>
      </c>
      <c r="I780" s="23" t="inlineStr">
        <is>
          <t>Source assignment -- not individually reviewed</t>
        </is>
      </c>
      <c r="J780" s="23" t="inlineStr"/>
      <c r="K780" s="23" t="inlineStr">
        <is>
          <t>Source assignment</t>
        </is>
      </c>
      <c r="L780" s="23" t="inlineStr"/>
      <c r="M780" s="23" t="inlineStr">
        <is>
          <t>Cost &amp; Forecast Control Accounts Cycle 2</t>
        </is>
      </c>
      <c r="N780" s="23" t="inlineStr">
        <is>
          <t>Rev 1</t>
        </is>
      </c>
      <c r="O780" s="23" t="inlineStr">
        <is>
          <t>R1258-v2</t>
        </is>
      </c>
      <c r="P780" s="23" t="inlineStr"/>
      <c r="Q780" s="23" t="inlineStr"/>
      <c r="R780" s="23" t="inlineStr"/>
      <c r="S780" s="23" t="inlineStr"/>
      <c r="T780" s="23" t="inlineStr"/>
      <c r="U780" s="23" t="inlineStr"/>
      <c r="V780" s="23" t="inlineStr">
        <is>
          <t>Cost Account = CA-3016; WBS Code = 1.3.2</t>
        </is>
      </c>
      <c r="W780" s="23" t="inlineStr"/>
    </row>
    <row r="781" ht="64" customHeight="1">
      <c r="A781" s="23" t="inlineStr">
        <is>
          <t>1.3.2</t>
        </is>
      </c>
      <c r="B781" s="23" t="inlineStr">
        <is>
          <t>Systems - Signalling &amp; Train Control</t>
        </is>
      </c>
      <c r="C781" s="23" t="inlineStr">
        <is>
          <t>Cost &amp; Forecast Control Accounts</t>
        </is>
      </c>
      <c r="D781" s="23" t="inlineStr">
        <is>
          <t>CST-03-018</t>
        </is>
      </c>
      <c r="E781" s="23" t="inlineStr">
        <is>
          <t>Systems - train control - supply and install</t>
        </is>
      </c>
      <c r="F781" s="23" t="inlineStr">
        <is>
          <t>ONE_TO_ONE</t>
        </is>
      </c>
      <c r="G781" s="23" t="inlineStr">
        <is>
          <t>RETAINED</t>
        </is>
      </c>
      <c r="H781" s="23" t="inlineStr">
        <is>
          <t>Carried forward</t>
        </is>
      </c>
      <c r="I781" s="23" t="inlineStr">
        <is>
          <t>Source assignment -- not individually reviewed</t>
        </is>
      </c>
      <c r="J781" s="23" t="inlineStr"/>
      <c r="K781" s="23" t="inlineStr">
        <is>
          <t>Source assignment</t>
        </is>
      </c>
      <c r="L781" s="23" t="inlineStr"/>
      <c r="M781" s="23" t="inlineStr">
        <is>
          <t>Cost &amp; Forecast Control Accounts Cycle 2</t>
        </is>
      </c>
      <c r="N781" s="23" t="inlineStr">
        <is>
          <t>Rev 1</t>
        </is>
      </c>
      <c r="O781" s="23" t="inlineStr">
        <is>
          <t>R1260-v2</t>
        </is>
      </c>
      <c r="P781" s="23" t="inlineStr"/>
      <c r="Q781" s="23" t="inlineStr"/>
      <c r="R781" s="23" t="inlineStr"/>
      <c r="S781" s="23" t="inlineStr"/>
      <c r="T781" s="23" t="inlineStr"/>
      <c r="U781" s="23" t="inlineStr"/>
      <c r="V781" s="23" t="inlineStr">
        <is>
          <t>Cost Account = CA-3018; WBS Code = 1.3.2</t>
        </is>
      </c>
      <c r="W781" s="23" t="inlineStr"/>
    </row>
    <row r="782" ht="64" customHeight="1">
      <c r="A782" s="23" t="inlineStr">
        <is>
          <t>1.3.2</t>
        </is>
      </c>
      <c r="B782" s="23" t="inlineStr">
        <is>
          <t>Systems - Signalling &amp; Train Control</t>
        </is>
      </c>
      <c r="C782" s="23" t="inlineStr">
        <is>
          <t>Cost &amp; Forecast Control Accounts</t>
        </is>
      </c>
      <c r="D782" s="23" t="inlineStr">
        <is>
          <t>CST-03-020</t>
        </is>
      </c>
      <c r="E782" s="23" t="inlineStr">
        <is>
          <t>Systems - signalling - allowance</t>
        </is>
      </c>
      <c r="F782" s="23" t="inlineStr">
        <is>
          <t>ONE_TO_ONE</t>
        </is>
      </c>
      <c r="G782" s="23" t="inlineStr">
        <is>
          <t>RETAINED</t>
        </is>
      </c>
      <c r="H782" s="23" t="inlineStr">
        <is>
          <t>Carried forward</t>
        </is>
      </c>
      <c r="I782" s="23" t="inlineStr">
        <is>
          <t>Source assignment -- not individually reviewed</t>
        </is>
      </c>
      <c r="J782" s="23" t="inlineStr"/>
      <c r="K782" s="23" t="inlineStr">
        <is>
          <t>Source assignment</t>
        </is>
      </c>
      <c r="L782" s="23" t="inlineStr"/>
      <c r="M782" s="23" t="inlineStr">
        <is>
          <t>Cost &amp; Forecast Control Accounts Cycle 2</t>
        </is>
      </c>
      <c r="N782" s="23" t="inlineStr">
        <is>
          <t>Rev 1</t>
        </is>
      </c>
      <c r="O782" s="23" t="inlineStr">
        <is>
          <t>R1262-v2</t>
        </is>
      </c>
      <c r="P782" s="23" t="inlineStr"/>
      <c r="Q782" s="23" t="inlineStr"/>
      <c r="R782" s="23" t="inlineStr"/>
      <c r="S782" s="23" t="inlineStr"/>
      <c r="T782" s="23" t="inlineStr"/>
      <c r="U782" s="23" t="inlineStr"/>
      <c r="V782" s="23" t="inlineStr">
        <is>
          <t>Cost Account = CA-3020; WBS Code = 1.3.2</t>
        </is>
      </c>
      <c r="W782" s="23" t="inlineStr"/>
    </row>
    <row r="783" ht="64" customHeight="1">
      <c r="A783" s="23" t="inlineStr">
        <is>
          <t>1.3.2</t>
        </is>
      </c>
      <c r="B783" s="23" t="inlineStr">
        <is>
          <t>Systems - Signalling &amp; Train Control</t>
        </is>
      </c>
      <c r="C783" s="23" t="inlineStr">
        <is>
          <t>Cost &amp; Forecast Control Accounts</t>
        </is>
      </c>
      <c r="D783" s="23" t="inlineStr">
        <is>
          <t>CST-03-022</t>
        </is>
      </c>
      <c r="E783" s="23" t="inlineStr">
        <is>
          <t>Systems - systems integration - field package</t>
        </is>
      </c>
      <c r="F783" s="23" t="inlineStr">
        <is>
          <t>ONE_TO_ONE</t>
        </is>
      </c>
      <c r="G783" s="23" t="inlineStr">
        <is>
          <t>RETAINED</t>
        </is>
      </c>
      <c r="H783" s="23" t="inlineStr">
        <is>
          <t>Carried forward</t>
        </is>
      </c>
      <c r="I783" s="23" t="inlineStr">
        <is>
          <t>Source assignment -- not individually reviewed</t>
        </is>
      </c>
      <c r="J783" s="23" t="inlineStr"/>
      <c r="K783" s="23" t="inlineStr">
        <is>
          <t>Source assignment</t>
        </is>
      </c>
      <c r="L783" s="23" t="inlineStr"/>
      <c r="M783" s="23" t="inlineStr">
        <is>
          <t>Cost &amp; Forecast Control Accounts Cycle 2</t>
        </is>
      </c>
      <c r="N783" s="23" t="inlineStr">
        <is>
          <t>Rev 1</t>
        </is>
      </c>
      <c r="O783" s="23" t="inlineStr">
        <is>
          <t>R1264-v2</t>
        </is>
      </c>
      <c r="P783" s="23" t="inlineStr"/>
      <c r="Q783" s="23" t="inlineStr"/>
      <c r="R783" s="23" t="inlineStr"/>
      <c r="S783" s="23" t="inlineStr"/>
      <c r="T783" s="23" t="inlineStr"/>
      <c r="U783" s="23" t="inlineStr"/>
      <c r="V783" s="23" t="inlineStr">
        <is>
          <t>Cost Account = CA-3022; WBS Code = 1.3.2</t>
        </is>
      </c>
      <c r="W783" s="23" t="inlineStr"/>
    </row>
    <row r="784" ht="64" customHeight="1">
      <c r="A784" s="23" t="inlineStr">
        <is>
          <t>1.3.2</t>
        </is>
      </c>
      <c r="B784" s="23" t="inlineStr">
        <is>
          <t>Systems - Signalling &amp; Train Control</t>
        </is>
      </c>
      <c r="C784" s="23" t="inlineStr">
        <is>
          <t>Cost &amp; Forecast Control Accounts</t>
        </is>
      </c>
      <c r="D784" s="23" t="inlineStr">
        <is>
          <t>CST-03-024</t>
        </is>
      </c>
      <c r="E784" s="23" t="inlineStr">
        <is>
          <t>Systems - train control - professional services</t>
        </is>
      </c>
      <c r="F784" s="23" t="inlineStr">
        <is>
          <t>ONE_TO_ONE</t>
        </is>
      </c>
      <c r="G784" s="23" t="inlineStr">
        <is>
          <t>RETAINED</t>
        </is>
      </c>
      <c r="H784" s="23" t="inlineStr">
        <is>
          <t>Carried forward</t>
        </is>
      </c>
      <c r="I784" s="23" t="inlineStr">
        <is>
          <t>Source assignment -- not individually reviewed</t>
        </is>
      </c>
      <c r="J784" s="23" t="inlineStr"/>
      <c r="K784" s="23" t="inlineStr">
        <is>
          <t>Source assignment</t>
        </is>
      </c>
      <c r="L784" s="23" t="inlineStr"/>
      <c r="M784" s="23" t="inlineStr">
        <is>
          <t>Cost &amp; Forecast Control Accounts Cycle 2</t>
        </is>
      </c>
      <c r="N784" s="23" t="inlineStr">
        <is>
          <t>Rev 1</t>
        </is>
      </c>
      <c r="O784" s="23" t="inlineStr">
        <is>
          <t>R1266-v2</t>
        </is>
      </c>
      <c r="P784" s="23" t="inlineStr"/>
      <c r="Q784" s="23" t="inlineStr"/>
      <c r="R784" s="23" t="inlineStr"/>
      <c r="S784" s="23" t="inlineStr"/>
      <c r="T784" s="23" t="inlineStr"/>
      <c r="U784" s="23" t="inlineStr"/>
      <c r="V784" s="23" t="inlineStr">
        <is>
          <t>Cost Account = CA-3024; WBS Code = 1.3.2</t>
        </is>
      </c>
      <c r="W784" s="23" t="inlineStr"/>
    </row>
    <row r="785" ht="64" customHeight="1">
      <c r="A785" s="23" t="inlineStr">
        <is>
          <t>1.3.2</t>
        </is>
      </c>
      <c r="B785" s="23" t="inlineStr">
        <is>
          <t>Systems - Signalling &amp; Train Control</t>
        </is>
      </c>
      <c r="C785" s="23" t="inlineStr">
        <is>
          <t>Cost &amp; Forecast Control Accounts</t>
        </is>
      </c>
      <c r="D785" s="23" t="inlineStr">
        <is>
          <t>CST-03-026</t>
        </is>
      </c>
      <c r="E785" s="23" t="inlineStr">
        <is>
          <t>Systems - signalling - closeout</t>
        </is>
      </c>
      <c r="F785" s="23" t="inlineStr">
        <is>
          <t>ONE_TO_ONE</t>
        </is>
      </c>
      <c r="G785" s="23" t="inlineStr">
        <is>
          <t>RETAINED</t>
        </is>
      </c>
      <c r="H785" s="23" t="inlineStr">
        <is>
          <t>Carried forward</t>
        </is>
      </c>
      <c r="I785" s="23" t="inlineStr">
        <is>
          <t>Source assignment -- not individually reviewed</t>
        </is>
      </c>
      <c r="J785" s="23" t="inlineStr"/>
      <c r="K785" s="23" t="inlineStr">
        <is>
          <t>Source assignment</t>
        </is>
      </c>
      <c r="L785" s="23" t="inlineStr"/>
      <c r="M785" s="23" t="inlineStr">
        <is>
          <t>Cost &amp; Forecast Control Accounts Cycle 2</t>
        </is>
      </c>
      <c r="N785" s="23" t="inlineStr">
        <is>
          <t>Rev 1</t>
        </is>
      </c>
      <c r="O785" s="23" t="inlineStr">
        <is>
          <t>R1268-v2</t>
        </is>
      </c>
      <c r="P785" s="23" t="inlineStr"/>
      <c r="Q785" s="23" t="inlineStr"/>
      <c r="R785" s="23" t="inlineStr"/>
      <c r="S785" s="23" t="inlineStr"/>
      <c r="T785" s="23" t="inlineStr"/>
      <c r="U785" s="23" t="inlineStr"/>
      <c r="V785" s="23" t="inlineStr">
        <is>
          <t>Cost Account = CA-3026; WBS Code = 1.3.2</t>
        </is>
      </c>
      <c r="W785" s="23" t="inlineStr"/>
    </row>
    <row r="786" ht="64" customHeight="1">
      <c r="A786" s="23" t="inlineStr">
        <is>
          <t>1.3.2</t>
        </is>
      </c>
      <c r="B786" s="23" t="inlineStr">
        <is>
          <t>Systems - Signalling &amp; Train Control</t>
        </is>
      </c>
      <c r="C786" s="23" t="inlineStr">
        <is>
          <t>Cost &amp; Forecast Control Accounts</t>
        </is>
      </c>
      <c r="D786" s="23" t="inlineStr">
        <is>
          <t>CST-03-028</t>
        </is>
      </c>
      <c r="E786" s="23" t="inlineStr">
        <is>
          <t>Systems - systems integration - supply and install</t>
        </is>
      </c>
      <c r="F786" s="23" t="inlineStr">
        <is>
          <t>ONE_TO_ONE</t>
        </is>
      </c>
      <c r="G786" s="23" t="inlineStr">
        <is>
          <t>RETAINED</t>
        </is>
      </c>
      <c r="H786" s="23" t="inlineStr">
        <is>
          <t>Carried forward</t>
        </is>
      </c>
      <c r="I786" s="23" t="inlineStr">
        <is>
          <t>Source assignment -- not individually reviewed</t>
        </is>
      </c>
      <c r="J786" s="23" t="inlineStr"/>
      <c r="K786" s="23" t="inlineStr">
        <is>
          <t>Source assignment</t>
        </is>
      </c>
      <c r="L786" s="23" t="inlineStr"/>
      <c r="M786" s="23" t="inlineStr">
        <is>
          <t>Cost &amp; Forecast Control Accounts Cycle 2</t>
        </is>
      </c>
      <c r="N786" s="23" t="inlineStr">
        <is>
          <t>Rev 1</t>
        </is>
      </c>
      <c r="O786" s="23" t="inlineStr">
        <is>
          <t>R1270-v2</t>
        </is>
      </c>
      <c r="P786" s="23" t="inlineStr"/>
      <c r="Q786" s="23" t="inlineStr"/>
      <c r="R786" s="23" t="inlineStr"/>
      <c r="S786" s="23" t="inlineStr"/>
      <c r="T786" s="23" t="inlineStr"/>
      <c r="U786" s="23" t="inlineStr"/>
      <c r="V786" s="23" t="inlineStr">
        <is>
          <t>Cost Account = CA-3028; WBS Code = 1.3.2</t>
        </is>
      </c>
      <c r="W786" s="23" t="inlineStr"/>
    </row>
    <row r="787" ht="64" customHeight="1">
      <c r="A787" s="23" t="inlineStr">
        <is>
          <t>1.3.2</t>
        </is>
      </c>
      <c r="B787" s="23" t="inlineStr">
        <is>
          <t>Systems - Signalling &amp; Train Control</t>
        </is>
      </c>
      <c r="C787" s="23" t="inlineStr">
        <is>
          <t>Cost &amp; Forecast Control Accounts</t>
        </is>
      </c>
      <c r="D787" s="23" t="inlineStr">
        <is>
          <t>CST-03-030</t>
        </is>
      </c>
      <c r="E787" s="23" t="inlineStr">
        <is>
          <t>Systems - train control - allowance</t>
        </is>
      </c>
      <c r="F787" s="23" t="inlineStr">
        <is>
          <t>ONE_TO_ONE</t>
        </is>
      </c>
      <c r="G787" s="23" t="inlineStr">
        <is>
          <t>RETAINED</t>
        </is>
      </c>
      <c r="H787" s="23" t="inlineStr">
        <is>
          <t>Carried forward</t>
        </is>
      </c>
      <c r="I787" s="23" t="inlineStr">
        <is>
          <t>Source assignment -- not individually reviewed</t>
        </is>
      </c>
      <c r="J787" s="23" t="inlineStr"/>
      <c r="K787" s="23" t="inlineStr">
        <is>
          <t>Source assignment</t>
        </is>
      </c>
      <c r="L787" s="23" t="inlineStr"/>
      <c r="M787" s="23" t="inlineStr">
        <is>
          <t>Cost &amp; Forecast Control Accounts Cycle 2</t>
        </is>
      </c>
      <c r="N787" s="23" t="inlineStr">
        <is>
          <t>Rev 1</t>
        </is>
      </c>
      <c r="O787" s="23" t="inlineStr">
        <is>
          <t>R1272-v2</t>
        </is>
      </c>
      <c r="P787" s="23" t="inlineStr"/>
      <c r="Q787" s="23" t="inlineStr"/>
      <c r="R787" s="23" t="inlineStr"/>
      <c r="S787" s="23" t="inlineStr"/>
      <c r="T787" s="23" t="inlineStr"/>
      <c r="U787" s="23" t="inlineStr"/>
      <c r="V787" s="23" t="inlineStr">
        <is>
          <t>Cost Account = CA-3030; WBS Code = 1.3.2</t>
        </is>
      </c>
      <c r="W787" s="23" t="inlineStr"/>
    </row>
    <row r="788" ht="64" customHeight="1">
      <c r="A788" s="23" t="inlineStr">
        <is>
          <t>1.3.2</t>
        </is>
      </c>
      <c r="B788" s="23" t="inlineStr">
        <is>
          <t>Systems - Signalling &amp; Train Control</t>
        </is>
      </c>
      <c r="C788" s="23" t="inlineStr">
        <is>
          <t>Cost &amp; Forecast Control Accounts</t>
        </is>
      </c>
      <c r="D788" s="23" t="inlineStr">
        <is>
          <t>CST-03-032</t>
        </is>
      </c>
      <c r="E788" s="23" t="inlineStr">
        <is>
          <t>Systems - signalling - field package</t>
        </is>
      </c>
      <c r="F788" s="23" t="inlineStr">
        <is>
          <t>ONE_TO_ONE</t>
        </is>
      </c>
      <c r="G788" s="23" t="inlineStr">
        <is>
          <t>RETAINED</t>
        </is>
      </c>
      <c r="H788" s="23" t="inlineStr">
        <is>
          <t>Carried forward</t>
        </is>
      </c>
      <c r="I788" s="23" t="inlineStr">
        <is>
          <t>Source assignment -- not individually reviewed</t>
        </is>
      </c>
      <c r="J788" s="23" t="inlineStr"/>
      <c r="K788" s="23" t="inlineStr">
        <is>
          <t>Source assignment</t>
        </is>
      </c>
      <c r="L788" s="23" t="inlineStr"/>
      <c r="M788" s="23" t="inlineStr">
        <is>
          <t>Cost &amp; Forecast Control Accounts Cycle 2</t>
        </is>
      </c>
      <c r="N788" s="23" t="inlineStr">
        <is>
          <t>Rev 1</t>
        </is>
      </c>
      <c r="O788" s="23" t="inlineStr">
        <is>
          <t>R1274-v2</t>
        </is>
      </c>
      <c r="P788" s="23" t="inlineStr"/>
      <c r="Q788" s="23" t="inlineStr"/>
      <c r="R788" s="23" t="inlineStr"/>
      <c r="S788" s="23" t="inlineStr"/>
      <c r="T788" s="23" t="inlineStr"/>
      <c r="U788" s="23" t="inlineStr"/>
      <c r="V788" s="23" t="inlineStr">
        <is>
          <t>Cost Account = CA-3032; WBS Code = 1.3.2</t>
        </is>
      </c>
      <c r="W788" s="23" t="inlineStr"/>
    </row>
    <row r="789" ht="64" customHeight="1">
      <c r="A789" s="23" t="inlineStr">
        <is>
          <t>1.3.2</t>
        </is>
      </c>
      <c r="B789" s="23" t="inlineStr">
        <is>
          <t>Systems - Signalling &amp; Train Control</t>
        </is>
      </c>
      <c r="C789" s="23" t="inlineStr">
        <is>
          <t>Cost &amp; Forecast Control Accounts</t>
        </is>
      </c>
      <c r="D789" s="23" t="inlineStr">
        <is>
          <t>CST-03-034</t>
        </is>
      </c>
      <c r="E789" s="23" t="inlineStr">
        <is>
          <t>Systems - systems integration - professional services</t>
        </is>
      </c>
      <c r="F789" s="23" t="inlineStr">
        <is>
          <t>ONE_TO_ONE</t>
        </is>
      </c>
      <c r="G789" s="23" t="inlineStr">
        <is>
          <t>RETAINED</t>
        </is>
      </c>
      <c r="H789" s="23" t="inlineStr">
        <is>
          <t>Carried forward</t>
        </is>
      </c>
      <c r="I789" s="23" t="inlineStr">
        <is>
          <t>Source assignment -- not individually reviewed</t>
        </is>
      </c>
      <c r="J789" s="23" t="inlineStr"/>
      <c r="K789" s="23" t="inlineStr">
        <is>
          <t>Source assignment</t>
        </is>
      </c>
      <c r="L789" s="23" t="inlineStr"/>
      <c r="M789" s="23" t="inlineStr">
        <is>
          <t>Cost &amp; Forecast Control Accounts Cycle 2</t>
        </is>
      </c>
      <c r="N789" s="23" t="inlineStr">
        <is>
          <t>Rev 1</t>
        </is>
      </c>
      <c r="O789" s="23" t="inlineStr">
        <is>
          <t>R1276-v2</t>
        </is>
      </c>
      <c r="P789" s="23" t="inlineStr"/>
      <c r="Q789" s="23" t="inlineStr"/>
      <c r="R789" s="23" t="inlineStr"/>
      <c r="S789" s="23" t="inlineStr"/>
      <c r="T789" s="23" t="inlineStr"/>
      <c r="U789" s="23" t="inlineStr"/>
      <c r="V789" s="23" t="inlineStr">
        <is>
          <t>Cost Account = CA-3034; WBS Code = 1.3.2</t>
        </is>
      </c>
      <c r="W789" s="23" t="inlineStr"/>
    </row>
    <row r="790" ht="64" customHeight="1">
      <c r="A790" s="23" t="inlineStr">
        <is>
          <t>1.3.2</t>
        </is>
      </c>
      <c r="B790" s="23" t="inlineStr">
        <is>
          <t>Systems - Signalling &amp; Train Control</t>
        </is>
      </c>
      <c r="C790" s="23" t="inlineStr">
        <is>
          <t>Cost &amp; Forecast Control Accounts</t>
        </is>
      </c>
      <c r="D790" s="23" t="inlineStr">
        <is>
          <t>CST-03-036</t>
        </is>
      </c>
      <c r="E790" s="23" t="inlineStr">
        <is>
          <t>Systems - train control - closeout</t>
        </is>
      </c>
      <c r="F790" s="23" t="inlineStr">
        <is>
          <t>ONE_TO_ONE</t>
        </is>
      </c>
      <c r="G790" s="23" t="inlineStr">
        <is>
          <t>RETAINED</t>
        </is>
      </c>
      <c r="H790" s="23" t="inlineStr">
        <is>
          <t>Carried forward</t>
        </is>
      </c>
      <c r="I790" s="23" t="inlineStr">
        <is>
          <t>Source assignment -- not individually reviewed</t>
        </is>
      </c>
      <c r="J790" s="23" t="inlineStr"/>
      <c r="K790" s="23" t="inlineStr">
        <is>
          <t>Source assignment</t>
        </is>
      </c>
      <c r="L790" s="23" t="inlineStr"/>
      <c r="M790" s="23" t="inlineStr">
        <is>
          <t>Cost &amp; Forecast Control Accounts Cycle 2</t>
        </is>
      </c>
      <c r="N790" s="23" t="inlineStr">
        <is>
          <t>Rev 1</t>
        </is>
      </c>
      <c r="O790" s="23" t="inlineStr">
        <is>
          <t>R1278-v2</t>
        </is>
      </c>
      <c r="P790" s="23" t="inlineStr"/>
      <c r="Q790" s="23" t="inlineStr"/>
      <c r="R790" s="23" t="inlineStr"/>
      <c r="S790" s="23" t="inlineStr"/>
      <c r="T790" s="23" t="inlineStr"/>
      <c r="U790" s="23" t="inlineStr"/>
      <c r="V790" s="23" t="inlineStr">
        <is>
          <t>Cost Account = CA-3036; WBS Code = 1.3.2</t>
        </is>
      </c>
      <c r="W790" s="23" t="inlineStr"/>
    </row>
    <row r="791" ht="64" customHeight="1">
      <c r="A791" s="23" t="inlineStr">
        <is>
          <t>1.3.2</t>
        </is>
      </c>
      <c r="B791" s="23" t="inlineStr">
        <is>
          <t>Systems - Signalling &amp; Train Control</t>
        </is>
      </c>
      <c r="C791" s="23" t="inlineStr">
        <is>
          <t>Cost &amp; Forecast Control Accounts</t>
        </is>
      </c>
      <c r="D791" s="23" t="inlineStr">
        <is>
          <t>CST-03-038</t>
        </is>
      </c>
      <c r="E791" s="23" t="inlineStr">
        <is>
          <t>Systems - signalling - supply and install</t>
        </is>
      </c>
      <c r="F791" s="23" t="inlineStr">
        <is>
          <t>ONE_TO_ONE</t>
        </is>
      </c>
      <c r="G791" s="23" t="inlineStr">
        <is>
          <t>RETAINED</t>
        </is>
      </c>
      <c r="H791" s="23" t="inlineStr">
        <is>
          <t>Carried forward</t>
        </is>
      </c>
      <c r="I791" s="23" t="inlineStr">
        <is>
          <t>Source assignment -- not individually reviewed</t>
        </is>
      </c>
      <c r="J791" s="23" t="inlineStr"/>
      <c r="K791" s="23" t="inlineStr">
        <is>
          <t>Source assignment</t>
        </is>
      </c>
      <c r="L791" s="23" t="inlineStr"/>
      <c r="M791" s="23" t="inlineStr">
        <is>
          <t>Cost &amp; Forecast Control Accounts Cycle 2</t>
        </is>
      </c>
      <c r="N791" s="23" t="inlineStr">
        <is>
          <t>Rev 1</t>
        </is>
      </c>
      <c r="O791" s="23" t="inlineStr">
        <is>
          <t>R1280-v2</t>
        </is>
      </c>
      <c r="P791" s="23" t="inlineStr"/>
      <c r="Q791" s="23" t="inlineStr"/>
      <c r="R791" s="23" t="inlineStr"/>
      <c r="S791" s="23" t="inlineStr"/>
      <c r="T791" s="23" t="inlineStr"/>
      <c r="U791" s="23" t="inlineStr"/>
      <c r="V791" s="23" t="inlineStr">
        <is>
          <t>Cost Account = CA-3038; WBS Code = 1.3.2</t>
        </is>
      </c>
      <c r="W791" s="23" t="inlineStr"/>
    </row>
    <row r="792" ht="64" customHeight="1">
      <c r="A792" s="23" t="inlineStr">
        <is>
          <t>1.3.2</t>
        </is>
      </c>
      <c r="B792" s="23" t="inlineStr">
        <is>
          <t>Systems - Signalling &amp; Train Control</t>
        </is>
      </c>
      <c r="C792" s="23" t="inlineStr">
        <is>
          <t>Cost &amp; Forecast Control Accounts</t>
        </is>
      </c>
      <c r="D792" s="23" t="inlineStr">
        <is>
          <t>CST-03-040</t>
        </is>
      </c>
      <c r="E792" s="23" t="inlineStr">
        <is>
          <t>Systems - systems integration - allowance</t>
        </is>
      </c>
      <c r="F792" s="23" t="inlineStr">
        <is>
          <t>ONE_TO_ONE</t>
        </is>
      </c>
      <c r="G792" s="23" t="inlineStr">
        <is>
          <t>RETAINED</t>
        </is>
      </c>
      <c r="H792" s="23" t="inlineStr">
        <is>
          <t>Carried forward</t>
        </is>
      </c>
      <c r="I792" s="23" t="inlineStr">
        <is>
          <t>Source assignment -- not individually reviewed</t>
        </is>
      </c>
      <c r="J792" s="23" t="inlineStr"/>
      <c r="K792" s="23" t="inlineStr">
        <is>
          <t>Source assignment</t>
        </is>
      </c>
      <c r="L792" s="23" t="inlineStr"/>
      <c r="M792" s="23" t="inlineStr">
        <is>
          <t>Cost &amp; Forecast Control Accounts Cycle 2</t>
        </is>
      </c>
      <c r="N792" s="23" t="inlineStr">
        <is>
          <t>Rev 1</t>
        </is>
      </c>
      <c r="O792" s="23" t="inlineStr">
        <is>
          <t>R1282-v2</t>
        </is>
      </c>
      <c r="P792" s="23" t="inlineStr"/>
      <c r="Q792" s="23" t="inlineStr"/>
      <c r="R792" s="23" t="inlineStr"/>
      <c r="S792" s="23" t="inlineStr"/>
      <c r="T792" s="23" t="inlineStr"/>
      <c r="U792" s="23" t="inlineStr"/>
      <c r="V792" s="23" t="inlineStr">
        <is>
          <t>Cost Account = CA-3040; WBS Code = 1.3.2</t>
        </is>
      </c>
      <c r="W792" s="23" t="inlineStr"/>
    </row>
    <row r="793" ht="64" customHeight="1">
      <c r="A793" s="23" t="inlineStr">
        <is>
          <t>1.3.2</t>
        </is>
      </c>
      <c r="B793" s="23" t="inlineStr">
        <is>
          <t>Systems - Signalling &amp; Train Control</t>
        </is>
      </c>
      <c r="C793" s="23" t="inlineStr">
        <is>
          <t>Cost &amp; Forecast Control Accounts</t>
        </is>
      </c>
      <c r="D793" s="23" t="inlineStr">
        <is>
          <t>CST-03-042</t>
        </is>
      </c>
      <c r="E793" s="23" t="inlineStr">
        <is>
          <t>Systems - train control - field package</t>
        </is>
      </c>
      <c r="F793" s="23" t="inlineStr">
        <is>
          <t>ONE_TO_ONE</t>
        </is>
      </c>
      <c r="G793" s="23" t="inlineStr">
        <is>
          <t>RETAINED</t>
        </is>
      </c>
      <c r="H793" s="23" t="inlineStr">
        <is>
          <t>Carried forward</t>
        </is>
      </c>
      <c r="I793" s="23" t="inlineStr">
        <is>
          <t>Source assignment -- not individually reviewed</t>
        </is>
      </c>
      <c r="J793" s="23" t="inlineStr"/>
      <c r="K793" s="23" t="inlineStr">
        <is>
          <t>Source assignment</t>
        </is>
      </c>
      <c r="L793" s="23" t="inlineStr"/>
      <c r="M793" s="23" t="inlineStr">
        <is>
          <t>Cost &amp; Forecast Control Accounts Cycle 2</t>
        </is>
      </c>
      <c r="N793" s="23" t="inlineStr">
        <is>
          <t>Rev 1</t>
        </is>
      </c>
      <c r="O793" s="23" t="inlineStr">
        <is>
          <t>R1284-v2</t>
        </is>
      </c>
      <c r="P793" s="23" t="inlineStr"/>
      <c r="Q793" s="23" t="inlineStr"/>
      <c r="R793" s="23" t="inlineStr"/>
      <c r="S793" s="23" t="inlineStr"/>
      <c r="T793" s="23" t="inlineStr"/>
      <c r="U793" s="23" t="inlineStr"/>
      <c r="V793" s="23" t="inlineStr">
        <is>
          <t>Cost Account = CA-3042; WBS Code = 1.3.2</t>
        </is>
      </c>
      <c r="W793" s="23" t="inlineStr"/>
    </row>
    <row r="794" ht="64" customHeight="1">
      <c r="A794" s="23" t="inlineStr">
        <is>
          <t>1.3.2</t>
        </is>
      </c>
      <c r="B794" s="23" t="inlineStr">
        <is>
          <t>Systems - Signalling &amp; Train Control</t>
        </is>
      </c>
      <c r="C794" s="23" t="inlineStr">
        <is>
          <t>Cost &amp; Forecast Control Accounts</t>
        </is>
      </c>
      <c r="D794" s="23" t="inlineStr">
        <is>
          <t>CST-03-044</t>
        </is>
      </c>
      <c r="E794" s="23" t="inlineStr">
        <is>
          <t>Systems - signalling - professional services</t>
        </is>
      </c>
      <c r="F794" s="23" t="inlineStr">
        <is>
          <t>ONE_TO_ONE</t>
        </is>
      </c>
      <c r="G794" s="23" t="inlineStr">
        <is>
          <t>RETAINED</t>
        </is>
      </c>
      <c r="H794" s="23" t="inlineStr">
        <is>
          <t>Carried forward</t>
        </is>
      </c>
      <c r="I794" s="23" t="inlineStr">
        <is>
          <t>Source assignment -- not individually reviewed</t>
        </is>
      </c>
      <c r="J794" s="23" t="inlineStr"/>
      <c r="K794" s="23" t="inlineStr">
        <is>
          <t>Source assignment</t>
        </is>
      </c>
      <c r="L794" s="23" t="inlineStr"/>
      <c r="M794" s="23" t="inlineStr">
        <is>
          <t>Cost &amp; Forecast Control Accounts Cycle 2</t>
        </is>
      </c>
      <c r="N794" s="23" t="inlineStr">
        <is>
          <t>Rev 1</t>
        </is>
      </c>
      <c r="O794" s="23" t="inlineStr">
        <is>
          <t>R1286-v2</t>
        </is>
      </c>
      <c r="P794" s="23" t="inlineStr"/>
      <c r="Q794" s="23" t="inlineStr"/>
      <c r="R794" s="23" t="inlineStr"/>
      <c r="S794" s="23" t="inlineStr"/>
      <c r="T794" s="23" t="inlineStr"/>
      <c r="U794" s="23" t="inlineStr"/>
      <c r="V794" s="23" t="inlineStr">
        <is>
          <t>Cost Account = CA-3044; WBS Code = 1.3.2</t>
        </is>
      </c>
      <c r="W794" s="23" t="inlineStr"/>
    </row>
    <row r="795" ht="64" customHeight="1">
      <c r="A795" s="23" t="inlineStr">
        <is>
          <t>1.3.2</t>
        </is>
      </c>
      <c r="B795" s="23" t="inlineStr">
        <is>
          <t>Systems - Signalling &amp; Train Control</t>
        </is>
      </c>
      <c r="C795" s="23" t="inlineStr">
        <is>
          <t>Cost &amp; Forecast Control Accounts</t>
        </is>
      </c>
      <c r="D795" s="23" t="inlineStr">
        <is>
          <t>CST-03-046</t>
        </is>
      </c>
      <c r="E795" s="23" t="inlineStr">
        <is>
          <t>Systems - systems integration - closeout</t>
        </is>
      </c>
      <c r="F795" s="23" t="inlineStr">
        <is>
          <t>ONE_TO_ONE</t>
        </is>
      </c>
      <c r="G795" s="23" t="inlineStr">
        <is>
          <t>RETAINED</t>
        </is>
      </c>
      <c r="H795" s="23" t="inlineStr">
        <is>
          <t>Carried forward</t>
        </is>
      </c>
      <c r="I795" s="23" t="inlineStr">
        <is>
          <t>Source assignment -- not individually reviewed</t>
        </is>
      </c>
      <c r="J795" s="23" t="inlineStr"/>
      <c r="K795" s="23" t="inlineStr">
        <is>
          <t>Source assignment</t>
        </is>
      </c>
      <c r="L795" s="23" t="inlineStr"/>
      <c r="M795" s="23" t="inlineStr">
        <is>
          <t>Cost &amp; Forecast Control Accounts Cycle 2</t>
        </is>
      </c>
      <c r="N795" s="23" t="inlineStr">
        <is>
          <t>Rev 1</t>
        </is>
      </c>
      <c r="O795" s="23" t="inlineStr">
        <is>
          <t>R1288-v2</t>
        </is>
      </c>
      <c r="P795" s="23" t="inlineStr"/>
      <c r="Q795" s="23" t="inlineStr"/>
      <c r="R795" s="23" t="inlineStr"/>
      <c r="S795" s="23" t="inlineStr"/>
      <c r="T795" s="23" t="inlineStr"/>
      <c r="U795" s="23" t="inlineStr"/>
      <c r="V795" s="23" t="inlineStr">
        <is>
          <t>Cost Account = CA-3046; WBS Code = 1.3.2</t>
        </is>
      </c>
      <c r="W795" s="23" t="inlineStr"/>
    </row>
    <row r="796" ht="64" customHeight="1">
      <c r="A796" s="23" t="inlineStr">
        <is>
          <t>1.3.2</t>
        </is>
      </c>
      <c r="B796" s="23" t="inlineStr">
        <is>
          <t>Systems - Signalling &amp; Train Control</t>
        </is>
      </c>
      <c r="C796" s="23" t="inlineStr">
        <is>
          <t>Cost &amp; Forecast Control Accounts</t>
        </is>
      </c>
      <c r="D796" s="23" t="inlineStr">
        <is>
          <t>CST-03-048</t>
        </is>
      </c>
      <c r="E796" s="23" t="inlineStr">
        <is>
          <t>Systems - train control - supply and install</t>
        </is>
      </c>
      <c r="F796" s="23" t="inlineStr">
        <is>
          <t>ONE_TO_ONE</t>
        </is>
      </c>
      <c r="G796" s="23" t="inlineStr">
        <is>
          <t>RETAINED</t>
        </is>
      </c>
      <c r="H796" s="23" t="inlineStr">
        <is>
          <t>Carried forward</t>
        </is>
      </c>
      <c r="I796" s="23" t="inlineStr">
        <is>
          <t>Source assignment -- not individually reviewed</t>
        </is>
      </c>
      <c r="J796" s="23" t="inlineStr"/>
      <c r="K796" s="23" t="inlineStr">
        <is>
          <t>Source assignment</t>
        </is>
      </c>
      <c r="L796" s="23" t="inlineStr"/>
      <c r="M796" s="23" t="inlineStr">
        <is>
          <t>Cost &amp; Forecast Control Accounts Cycle 2</t>
        </is>
      </c>
      <c r="N796" s="23" t="inlineStr">
        <is>
          <t>Rev 1</t>
        </is>
      </c>
      <c r="O796" s="23" t="inlineStr">
        <is>
          <t>R1290-v2</t>
        </is>
      </c>
      <c r="P796" s="23" t="inlineStr"/>
      <c r="Q796" s="23" t="inlineStr"/>
      <c r="R796" s="23" t="inlineStr"/>
      <c r="S796" s="23" t="inlineStr"/>
      <c r="T796" s="23" t="inlineStr"/>
      <c r="U796" s="23" t="inlineStr"/>
      <c r="V796" s="23" t="inlineStr">
        <is>
          <t>Cost Account = CA-3048; WBS Code = 1.3.2</t>
        </is>
      </c>
      <c r="W796" s="23" t="inlineStr"/>
    </row>
    <row r="797" ht="64" customHeight="1">
      <c r="A797" s="23" t="inlineStr">
        <is>
          <t>1.3.2</t>
        </is>
      </c>
      <c r="B797" s="23" t="inlineStr">
        <is>
          <t>Systems - Signalling &amp; Train Control</t>
        </is>
      </c>
      <c r="C797" s="23" t="inlineStr">
        <is>
          <t>Cost &amp; Forecast Control Accounts</t>
        </is>
      </c>
      <c r="D797" s="23" t="inlineStr">
        <is>
          <t>CST-03-050</t>
        </is>
      </c>
      <c r="E797" s="23" t="inlineStr">
        <is>
          <t>Systems - signalling - allowance</t>
        </is>
      </c>
      <c r="F797" s="23" t="inlineStr">
        <is>
          <t>ONE_TO_ONE</t>
        </is>
      </c>
      <c r="G797" s="23" t="inlineStr">
        <is>
          <t>RETAINED</t>
        </is>
      </c>
      <c r="H797" s="23" t="inlineStr">
        <is>
          <t>Carried forward</t>
        </is>
      </c>
      <c r="I797" s="23" t="inlineStr">
        <is>
          <t>Source assignment -- not individually reviewed</t>
        </is>
      </c>
      <c r="J797" s="23" t="inlineStr"/>
      <c r="K797" s="23" t="inlineStr">
        <is>
          <t>Source assignment</t>
        </is>
      </c>
      <c r="L797" s="23" t="inlineStr"/>
      <c r="M797" s="23" t="inlineStr">
        <is>
          <t>Cost &amp; Forecast Control Accounts Cycle 2</t>
        </is>
      </c>
      <c r="N797" s="23" t="inlineStr">
        <is>
          <t>Rev 1</t>
        </is>
      </c>
      <c r="O797" s="23" t="inlineStr">
        <is>
          <t>R1292-v2</t>
        </is>
      </c>
      <c r="P797" s="23" t="inlineStr"/>
      <c r="Q797" s="23" t="inlineStr"/>
      <c r="R797" s="23" t="inlineStr"/>
      <c r="S797" s="23" t="inlineStr"/>
      <c r="T797" s="23" t="inlineStr"/>
      <c r="U797" s="23" t="inlineStr"/>
      <c r="V797" s="23" t="inlineStr">
        <is>
          <t>Cost Account = CA-3050; WBS Code = 1.3.2</t>
        </is>
      </c>
      <c r="W797" s="23" t="inlineStr"/>
    </row>
    <row r="798" ht="64" customHeight="1">
      <c r="A798" s="23" t="inlineStr">
        <is>
          <t>1.3.2</t>
        </is>
      </c>
      <c r="B798" s="23" t="inlineStr">
        <is>
          <t>Systems - Signalling &amp; Train Control</t>
        </is>
      </c>
      <c r="C798" s="23" t="inlineStr">
        <is>
          <t>Cost &amp; Forecast Control Accounts</t>
        </is>
      </c>
      <c r="D798" s="23" t="inlineStr">
        <is>
          <t>CST-03-052</t>
        </is>
      </c>
      <c r="E798" s="23" t="inlineStr">
        <is>
          <t>Systems - systems integration - field package</t>
        </is>
      </c>
      <c r="F798" s="23" t="inlineStr">
        <is>
          <t>ONE_TO_ONE</t>
        </is>
      </c>
      <c r="G798" s="23" t="inlineStr">
        <is>
          <t>RETAINED</t>
        </is>
      </c>
      <c r="H798" s="23" t="inlineStr">
        <is>
          <t>Carried forward</t>
        </is>
      </c>
      <c r="I798" s="23" t="inlineStr">
        <is>
          <t>Source assignment -- not individually reviewed</t>
        </is>
      </c>
      <c r="J798" s="23" t="inlineStr"/>
      <c r="K798" s="23" t="inlineStr">
        <is>
          <t>Source assignment</t>
        </is>
      </c>
      <c r="L798" s="23" t="inlineStr"/>
      <c r="M798" s="23" t="inlineStr">
        <is>
          <t>Cost &amp; Forecast Control Accounts Cycle 2</t>
        </is>
      </c>
      <c r="N798" s="23" t="inlineStr">
        <is>
          <t>Rev 1</t>
        </is>
      </c>
      <c r="O798" s="23" t="inlineStr">
        <is>
          <t>R1294-v2</t>
        </is>
      </c>
      <c r="P798" s="23" t="inlineStr"/>
      <c r="Q798" s="23" t="inlineStr"/>
      <c r="R798" s="23" t="inlineStr"/>
      <c r="S798" s="23" t="inlineStr"/>
      <c r="T798" s="23" t="inlineStr"/>
      <c r="U798" s="23" t="inlineStr"/>
      <c r="V798" s="23" t="inlineStr">
        <is>
          <t>Cost Account = CA-3052; WBS Code = 1.3.2</t>
        </is>
      </c>
      <c r="W798" s="23" t="inlineStr"/>
    </row>
    <row r="799" ht="64" customHeight="1">
      <c r="A799" s="23" t="inlineStr">
        <is>
          <t>1.3.2</t>
        </is>
      </c>
      <c r="B799" s="23" t="inlineStr">
        <is>
          <t>Systems - Signalling &amp; Train Control</t>
        </is>
      </c>
      <c r="C799" s="23" t="inlineStr">
        <is>
          <t>Cost &amp; Forecast Control Accounts</t>
        </is>
      </c>
      <c r="D799" s="23" t="inlineStr">
        <is>
          <t>CST-03-054</t>
        </is>
      </c>
      <c r="E799" s="23" t="inlineStr">
        <is>
          <t>Systems - train control - professional services</t>
        </is>
      </c>
      <c r="F799" s="23" t="inlineStr">
        <is>
          <t>ONE_TO_ONE</t>
        </is>
      </c>
      <c r="G799" s="23" t="inlineStr">
        <is>
          <t>RETAINED</t>
        </is>
      </c>
      <c r="H799" s="23" t="inlineStr">
        <is>
          <t>Carried forward</t>
        </is>
      </c>
      <c r="I799" s="23" t="inlineStr">
        <is>
          <t>Source assignment -- not individually reviewed</t>
        </is>
      </c>
      <c r="J799" s="23" t="inlineStr"/>
      <c r="K799" s="23" t="inlineStr">
        <is>
          <t>Source assignment</t>
        </is>
      </c>
      <c r="L799" s="23" t="inlineStr"/>
      <c r="M799" s="23" t="inlineStr">
        <is>
          <t>Cost &amp; Forecast Control Accounts Cycle 2</t>
        </is>
      </c>
      <c r="N799" s="23" t="inlineStr">
        <is>
          <t>Rev 1</t>
        </is>
      </c>
      <c r="O799" s="23" t="inlineStr">
        <is>
          <t>R1296-v2</t>
        </is>
      </c>
      <c r="P799" s="23" t="inlineStr"/>
      <c r="Q799" s="23" t="inlineStr"/>
      <c r="R799" s="23" t="inlineStr"/>
      <c r="S799" s="23" t="inlineStr"/>
      <c r="T799" s="23" t="inlineStr"/>
      <c r="U799" s="23" t="inlineStr"/>
      <c r="V799" s="23" t="inlineStr">
        <is>
          <t>Cost Account = CA-3054; WBS Code = 1.3.2</t>
        </is>
      </c>
      <c r="W799" s="23" t="inlineStr"/>
    </row>
    <row r="800" ht="64" customHeight="1">
      <c r="A800" s="23" t="inlineStr">
        <is>
          <t>1.3.2</t>
        </is>
      </c>
      <c r="B800" s="23" t="inlineStr">
        <is>
          <t>Systems - Signalling &amp; Train Control</t>
        </is>
      </c>
      <c r="C800" s="23" t="inlineStr">
        <is>
          <t>Cost &amp; Forecast Control Accounts</t>
        </is>
      </c>
      <c r="D800" s="23" t="inlineStr">
        <is>
          <t>CST-03-056</t>
        </is>
      </c>
      <c r="E800" s="23" t="inlineStr">
        <is>
          <t>Systems - signalling - closeout</t>
        </is>
      </c>
      <c r="F800" s="23" t="inlineStr">
        <is>
          <t>ONE_TO_ONE</t>
        </is>
      </c>
      <c r="G800" s="23" t="inlineStr">
        <is>
          <t>RETAINED</t>
        </is>
      </c>
      <c r="H800" s="23" t="inlineStr">
        <is>
          <t>Carried forward</t>
        </is>
      </c>
      <c r="I800" s="23" t="inlineStr">
        <is>
          <t>Source assignment -- not individually reviewed</t>
        </is>
      </c>
      <c r="J800" s="23" t="inlineStr"/>
      <c r="K800" s="23" t="inlineStr">
        <is>
          <t>Source assignment</t>
        </is>
      </c>
      <c r="L800" s="23" t="inlineStr"/>
      <c r="M800" s="23" t="inlineStr">
        <is>
          <t>Cost &amp; Forecast Control Accounts Cycle 2</t>
        </is>
      </c>
      <c r="N800" s="23" t="inlineStr">
        <is>
          <t>Rev 1</t>
        </is>
      </c>
      <c r="O800" s="23" t="inlineStr">
        <is>
          <t>R1298-v2</t>
        </is>
      </c>
      <c r="P800" s="23" t="inlineStr"/>
      <c r="Q800" s="23" t="inlineStr"/>
      <c r="R800" s="23" t="inlineStr"/>
      <c r="S800" s="23" t="inlineStr"/>
      <c r="T800" s="23" t="inlineStr"/>
      <c r="U800" s="23" t="inlineStr"/>
      <c r="V800" s="23" t="inlineStr">
        <is>
          <t>Cost Account = CA-3056; WBS Code = 1.3.2</t>
        </is>
      </c>
      <c r="W800" s="23" t="inlineStr"/>
    </row>
    <row r="801" ht="64" customHeight="1">
      <c r="A801" s="23" t="inlineStr">
        <is>
          <t>1.3.2</t>
        </is>
      </c>
      <c r="B801" s="23" t="inlineStr">
        <is>
          <t>Systems - Signalling &amp; Train Control</t>
        </is>
      </c>
      <c r="C801" s="23" t="inlineStr">
        <is>
          <t>Cost &amp; Forecast Control Accounts</t>
        </is>
      </c>
      <c r="D801" s="23" t="inlineStr">
        <is>
          <t>CST-03-058</t>
        </is>
      </c>
      <c r="E801" s="23" t="inlineStr">
        <is>
          <t>Systems - systems integration - supply and install</t>
        </is>
      </c>
      <c r="F801" s="23" t="inlineStr">
        <is>
          <t>ONE_TO_ONE</t>
        </is>
      </c>
      <c r="G801" s="23" t="inlineStr">
        <is>
          <t>RETAINED</t>
        </is>
      </c>
      <c r="H801" s="23" t="inlineStr">
        <is>
          <t>Carried forward</t>
        </is>
      </c>
      <c r="I801" s="23" t="inlineStr">
        <is>
          <t>Source assignment -- not individually reviewed</t>
        </is>
      </c>
      <c r="J801" s="23" t="inlineStr"/>
      <c r="K801" s="23" t="inlineStr">
        <is>
          <t>Source assignment</t>
        </is>
      </c>
      <c r="L801" s="23" t="inlineStr"/>
      <c r="M801" s="23" t="inlineStr">
        <is>
          <t>Cost &amp; Forecast Control Accounts Cycle 2</t>
        </is>
      </c>
      <c r="N801" s="23" t="inlineStr">
        <is>
          <t>Rev 1</t>
        </is>
      </c>
      <c r="O801" s="23" t="inlineStr">
        <is>
          <t>R1300-v2</t>
        </is>
      </c>
      <c r="P801" s="23" t="inlineStr"/>
      <c r="Q801" s="23" t="inlineStr"/>
      <c r="R801" s="23" t="inlineStr"/>
      <c r="S801" s="23" t="inlineStr"/>
      <c r="T801" s="23" t="inlineStr"/>
      <c r="U801" s="23" t="inlineStr"/>
      <c r="V801" s="23" t="inlineStr">
        <is>
          <t>Cost Account = CA-3058; WBS Code = 1.3.2</t>
        </is>
      </c>
      <c r="W801" s="23" t="inlineStr"/>
    </row>
    <row r="802" ht="64" customHeight="1">
      <c r="A802" s="23" t="inlineStr">
        <is>
          <t>1.3.2</t>
        </is>
      </c>
      <c r="B802" s="23" t="inlineStr">
        <is>
          <t>Systems - Signalling &amp; Train Control</t>
        </is>
      </c>
      <c r="C802" s="23" t="inlineStr">
        <is>
          <t>Cost &amp; Forecast Control Accounts</t>
        </is>
      </c>
      <c r="D802" s="23" t="inlineStr">
        <is>
          <t>CST-03-060</t>
        </is>
      </c>
      <c r="E802" s="23" t="inlineStr">
        <is>
          <t>Systems - train control - allowance</t>
        </is>
      </c>
      <c r="F802" s="23" t="inlineStr">
        <is>
          <t>ONE_TO_ONE</t>
        </is>
      </c>
      <c r="G802" s="23" t="inlineStr">
        <is>
          <t>RETAINED</t>
        </is>
      </c>
      <c r="H802" s="23" t="inlineStr">
        <is>
          <t>Carried forward</t>
        </is>
      </c>
      <c r="I802" s="23" t="inlineStr">
        <is>
          <t>Source assignment -- not individually reviewed</t>
        </is>
      </c>
      <c r="J802" s="23" t="inlineStr"/>
      <c r="K802" s="23" t="inlineStr">
        <is>
          <t>Source assignment</t>
        </is>
      </c>
      <c r="L802" s="23" t="inlineStr"/>
      <c r="M802" s="23" t="inlineStr">
        <is>
          <t>Cost &amp; Forecast Control Accounts Cycle 2</t>
        </is>
      </c>
      <c r="N802" s="23" t="inlineStr">
        <is>
          <t>Rev 1</t>
        </is>
      </c>
      <c r="O802" s="23" t="inlineStr">
        <is>
          <t>R1302-v2</t>
        </is>
      </c>
      <c r="P802" s="23" t="inlineStr"/>
      <c r="Q802" s="23" t="inlineStr"/>
      <c r="R802" s="23" t="inlineStr"/>
      <c r="S802" s="23" t="inlineStr"/>
      <c r="T802" s="23" t="inlineStr"/>
      <c r="U802" s="23" t="inlineStr"/>
      <c r="V802" s="23" t="inlineStr">
        <is>
          <t>Cost Account = CA-3060; WBS Code = 1.3.2</t>
        </is>
      </c>
      <c r="W802" s="23" t="inlineStr"/>
    </row>
    <row r="803" ht="64" customHeight="1">
      <c r="A803" s="23" t="inlineStr">
        <is>
          <t>1.3.2</t>
        </is>
      </c>
      <c r="B803" s="23" t="inlineStr">
        <is>
          <t>Systems - Signalling &amp; Train Control</t>
        </is>
      </c>
      <c r="C803" s="23" t="inlineStr">
        <is>
          <t>Cost &amp; Forecast Control Accounts</t>
        </is>
      </c>
      <c r="D803" s="23" t="inlineStr">
        <is>
          <t>CST-03-062</t>
        </is>
      </c>
      <c r="E803" s="23" t="inlineStr">
        <is>
          <t>Systems - signalling - field package</t>
        </is>
      </c>
      <c r="F803" s="23" t="inlineStr">
        <is>
          <t>ONE_TO_ONE</t>
        </is>
      </c>
      <c r="G803" s="23" t="inlineStr">
        <is>
          <t>RETAINED</t>
        </is>
      </c>
      <c r="H803" s="23" t="inlineStr">
        <is>
          <t>Carried forward</t>
        </is>
      </c>
      <c r="I803" s="23" t="inlineStr">
        <is>
          <t>Source assignment -- not individually reviewed</t>
        </is>
      </c>
      <c r="J803" s="23" t="inlineStr"/>
      <c r="K803" s="23" t="inlineStr">
        <is>
          <t>Source assignment</t>
        </is>
      </c>
      <c r="L803" s="23" t="inlineStr"/>
      <c r="M803" s="23" t="inlineStr">
        <is>
          <t>Cost &amp; Forecast Control Accounts Cycle 2</t>
        </is>
      </c>
      <c r="N803" s="23" t="inlineStr">
        <is>
          <t>Rev 1</t>
        </is>
      </c>
      <c r="O803" s="23" t="inlineStr">
        <is>
          <t>R1304-v2</t>
        </is>
      </c>
      <c r="P803" s="23" t="inlineStr"/>
      <c r="Q803" s="23" t="inlineStr"/>
      <c r="R803" s="23" t="inlineStr"/>
      <c r="S803" s="23" t="inlineStr"/>
      <c r="T803" s="23" t="inlineStr"/>
      <c r="U803" s="23" t="inlineStr"/>
      <c r="V803" s="23" t="inlineStr">
        <is>
          <t>Cost Account = CA-3062; WBS Code = 1.3.2</t>
        </is>
      </c>
      <c r="W803" s="23" t="inlineStr"/>
    </row>
    <row r="804" ht="64" customHeight="1">
      <c r="A804" s="23" t="inlineStr">
        <is>
          <t>1.3.2</t>
        </is>
      </c>
      <c r="B804" s="23" t="inlineStr">
        <is>
          <t>Systems - Signalling &amp; Train Control</t>
        </is>
      </c>
      <c r="C804" s="23" t="inlineStr">
        <is>
          <t>Cost &amp; Forecast Control Accounts</t>
        </is>
      </c>
      <c r="D804" s="23" t="inlineStr">
        <is>
          <t>CST-03-064</t>
        </is>
      </c>
      <c r="E804" s="23" t="inlineStr">
        <is>
          <t>Systems - systems integration - professional services</t>
        </is>
      </c>
      <c r="F804" s="23" t="inlineStr">
        <is>
          <t>ONE_TO_ONE</t>
        </is>
      </c>
      <c r="G804" s="23" t="inlineStr">
        <is>
          <t>RETAINED</t>
        </is>
      </c>
      <c r="H804" s="23" t="inlineStr">
        <is>
          <t>Carried forward</t>
        </is>
      </c>
      <c r="I804" s="23" t="inlineStr">
        <is>
          <t>Source assignment -- not individually reviewed</t>
        </is>
      </c>
      <c r="J804" s="23" t="inlineStr"/>
      <c r="K804" s="23" t="inlineStr">
        <is>
          <t>Source assignment</t>
        </is>
      </c>
      <c r="L804" s="23" t="inlineStr"/>
      <c r="M804" s="23" t="inlineStr">
        <is>
          <t>Cost &amp; Forecast Control Accounts Cycle 2</t>
        </is>
      </c>
      <c r="N804" s="23" t="inlineStr">
        <is>
          <t>Rev 1</t>
        </is>
      </c>
      <c r="O804" s="23" t="inlineStr">
        <is>
          <t>R1306-v2</t>
        </is>
      </c>
      <c r="P804" s="23" t="inlineStr"/>
      <c r="Q804" s="23" t="inlineStr"/>
      <c r="R804" s="23" t="inlineStr"/>
      <c r="S804" s="23" t="inlineStr"/>
      <c r="T804" s="23" t="inlineStr"/>
      <c r="U804" s="23" t="inlineStr"/>
      <c r="V804" s="23" t="inlineStr">
        <is>
          <t>Cost Account = CA-3064; WBS Code = 1.3.2</t>
        </is>
      </c>
      <c r="W804" s="23" t="inlineStr"/>
    </row>
    <row r="805" ht="64" customHeight="1">
      <c r="A805" s="23" t="inlineStr">
        <is>
          <t>1.3.2</t>
        </is>
      </c>
      <c r="B805" s="23" t="inlineStr">
        <is>
          <t>Systems - Signalling &amp; Train Control</t>
        </is>
      </c>
      <c r="C805" s="23" t="inlineStr">
        <is>
          <t>Cost &amp; Forecast Control Accounts</t>
        </is>
      </c>
      <c r="D805" s="23" t="inlineStr">
        <is>
          <t>CST-03-066</t>
        </is>
      </c>
      <c r="E805" s="23" t="inlineStr">
        <is>
          <t>Systems - train control - closeout</t>
        </is>
      </c>
      <c r="F805" s="23" t="inlineStr">
        <is>
          <t>ONE_TO_ONE</t>
        </is>
      </c>
      <c r="G805" s="23" t="inlineStr">
        <is>
          <t>RETAINED</t>
        </is>
      </c>
      <c r="H805" s="23" t="inlineStr">
        <is>
          <t>Carried forward</t>
        </is>
      </c>
      <c r="I805" s="23" t="inlineStr">
        <is>
          <t>Source assignment -- not individually reviewed</t>
        </is>
      </c>
      <c r="J805" s="23" t="inlineStr"/>
      <c r="K805" s="23" t="inlineStr">
        <is>
          <t>Source assignment</t>
        </is>
      </c>
      <c r="L805" s="23" t="inlineStr"/>
      <c r="M805" s="23" t="inlineStr">
        <is>
          <t>Cost &amp; Forecast Control Accounts Cycle 2</t>
        </is>
      </c>
      <c r="N805" s="23" t="inlineStr">
        <is>
          <t>Rev 1</t>
        </is>
      </c>
      <c r="O805" s="23" t="inlineStr">
        <is>
          <t>R1308-v2</t>
        </is>
      </c>
      <c r="P805" s="23" t="inlineStr"/>
      <c r="Q805" s="23" t="inlineStr"/>
      <c r="R805" s="23" t="inlineStr"/>
      <c r="S805" s="23" t="inlineStr"/>
      <c r="T805" s="23" t="inlineStr"/>
      <c r="U805" s="23" t="inlineStr"/>
      <c r="V805" s="23" t="inlineStr">
        <is>
          <t>Cost Account = CA-3066; WBS Code = 1.3.2</t>
        </is>
      </c>
      <c r="W805" s="23" t="inlineStr"/>
    </row>
    <row r="806" ht="64" customHeight="1">
      <c r="A806" s="23" t="inlineStr">
        <is>
          <t>1.3.2</t>
        </is>
      </c>
      <c r="B806" s="23" t="inlineStr">
        <is>
          <t>Systems - Signalling &amp; Train Control</t>
        </is>
      </c>
      <c r="C806" s="23" t="inlineStr">
        <is>
          <t>Cost &amp; Forecast Control Accounts</t>
        </is>
      </c>
      <c r="D806" s="23" t="inlineStr">
        <is>
          <t>CST-03-068</t>
        </is>
      </c>
      <c r="E806" s="23" t="inlineStr">
        <is>
          <t>Systems - signalling - supply and install</t>
        </is>
      </c>
      <c r="F806" s="23" t="inlineStr">
        <is>
          <t>ONE_TO_ONE</t>
        </is>
      </c>
      <c r="G806" s="23" t="inlineStr">
        <is>
          <t>RETAINED</t>
        </is>
      </c>
      <c r="H806" s="23" t="inlineStr">
        <is>
          <t>Carried forward</t>
        </is>
      </c>
      <c r="I806" s="23" t="inlineStr">
        <is>
          <t>Source assignment -- not individually reviewed</t>
        </is>
      </c>
      <c r="J806" s="23" t="inlineStr"/>
      <c r="K806" s="23" t="inlineStr">
        <is>
          <t>Source assignment</t>
        </is>
      </c>
      <c r="L806" s="23" t="inlineStr"/>
      <c r="M806" s="23" t="inlineStr">
        <is>
          <t>Cost &amp; Forecast Control Accounts Cycle 2</t>
        </is>
      </c>
      <c r="N806" s="23" t="inlineStr">
        <is>
          <t>Rev 1</t>
        </is>
      </c>
      <c r="O806" s="23" t="inlineStr">
        <is>
          <t>R1310-v2</t>
        </is>
      </c>
      <c r="P806" s="23" t="inlineStr"/>
      <c r="Q806" s="23" t="inlineStr"/>
      <c r="R806" s="23" t="inlineStr"/>
      <c r="S806" s="23" t="inlineStr"/>
      <c r="T806" s="23" t="inlineStr"/>
      <c r="U806" s="23" t="inlineStr"/>
      <c r="V806" s="23" t="inlineStr">
        <is>
          <t>Cost Account = CA-3068; WBS Code = 1.3.2</t>
        </is>
      </c>
      <c r="W806" s="23" t="inlineStr"/>
    </row>
    <row r="807" ht="64" customHeight="1">
      <c r="A807" s="23" t="inlineStr">
        <is>
          <t>1.3.2</t>
        </is>
      </c>
      <c r="B807" s="23" t="inlineStr">
        <is>
          <t>Systems - Signalling &amp; Train Control</t>
        </is>
      </c>
      <c r="C807" s="23" t="inlineStr">
        <is>
          <t>Cost &amp; Forecast Control Accounts</t>
        </is>
      </c>
      <c r="D807" s="23" t="inlineStr">
        <is>
          <t>CST-03-070</t>
        </is>
      </c>
      <c r="E807" s="23" t="inlineStr">
        <is>
          <t>Systems - systems integration - allowance</t>
        </is>
      </c>
      <c r="F807" s="23" t="inlineStr">
        <is>
          <t>ONE_TO_ONE</t>
        </is>
      </c>
      <c r="G807" s="23" t="inlineStr">
        <is>
          <t>RETAINED</t>
        </is>
      </c>
      <c r="H807" s="23" t="inlineStr">
        <is>
          <t>Carried forward</t>
        </is>
      </c>
      <c r="I807" s="23" t="inlineStr">
        <is>
          <t>Source assignment -- not individually reviewed</t>
        </is>
      </c>
      <c r="J807" s="23" t="inlineStr"/>
      <c r="K807" s="23" t="inlineStr">
        <is>
          <t>Source assignment</t>
        </is>
      </c>
      <c r="L807" s="23" t="inlineStr"/>
      <c r="M807" s="23" t="inlineStr">
        <is>
          <t>Cost &amp; Forecast Control Accounts Cycle 2</t>
        </is>
      </c>
      <c r="N807" s="23" t="inlineStr">
        <is>
          <t>Rev 1</t>
        </is>
      </c>
      <c r="O807" s="23" t="inlineStr">
        <is>
          <t>R1312-v2</t>
        </is>
      </c>
      <c r="P807" s="23" t="inlineStr"/>
      <c r="Q807" s="23" t="inlineStr"/>
      <c r="R807" s="23" t="inlineStr"/>
      <c r="S807" s="23" t="inlineStr"/>
      <c r="T807" s="23" t="inlineStr"/>
      <c r="U807" s="23" t="inlineStr"/>
      <c r="V807" s="23" t="inlineStr">
        <is>
          <t>Cost Account = CA-3070; WBS Code = 1.3.2</t>
        </is>
      </c>
      <c r="W807" s="23" t="inlineStr"/>
    </row>
    <row r="808" ht="64" customHeight="1">
      <c r="A808" s="23" t="inlineStr">
        <is>
          <t>1.3.2</t>
        </is>
      </c>
      <c r="B808" s="23" t="inlineStr">
        <is>
          <t>Systems - Signalling &amp; Train Control</t>
        </is>
      </c>
      <c r="C808" s="23" t="inlineStr">
        <is>
          <t>Cost &amp; Forecast Control Accounts</t>
        </is>
      </c>
      <c r="D808" s="23" t="inlineStr">
        <is>
          <t>CST-03-072</t>
        </is>
      </c>
      <c r="E808" s="23" t="inlineStr">
        <is>
          <t>Systems - train control - field package</t>
        </is>
      </c>
      <c r="F808" s="23" t="inlineStr">
        <is>
          <t>ONE_TO_ONE</t>
        </is>
      </c>
      <c r="G808" s="23" t="inlineStr">
        <is>
          <t>RETAINED</t>
        </is>
      </c>
      <c r="H808" s="23" t="inlineStr">
        <is>
          <t>Carried forward</t>
        </is>
      </c>
      <c r="I808" s="23" t="inlineStr">
        <is>
          <t>Source assignment -- not individually reviewed</t>
        </is>
      </c>
      <c r="J808" s="23" t="inlineStr"/>
      <c r="K808" s="23" t="inlineStr">
        <is>
          <t>Source assignment</t>
        </is>
      </c>
      <c r="L808" s="23" t="inlineStr"/>
      <c r="M808" s="23" t="inlineStr">
        <is>
          <t>Cost &amp; Forecast Control Accounts Cycle 2</t>
        </is>
      </c>
      <c r="N808" s="23" t="inlineStr">
        <is>
          <t>Rev 1</t>
        </is>
      </c>
      <c r="O808" s="23" t="inlineStr">
        <is>
          <t>R1314-v2</t>
        </is>
      </c>
      <c r="P808" s="23" t="inlineStr"/>
      <c r="Q808" s="23" t="inlineStr"/>
      <c r="R808" s="23" t="inlineStr"/>
      <c r="S808" s="23" t="inlineStr"/>
      <c r="T808" s="23" t="inlineStr"/>
      <c r="U808" s="23" t="inlineStr"/>
      <c r="V808" s="23" t="inlineStr">
        <is>
          <t>Cost Account = CA-3072; WBS Code = 1.3.2</t>
        </is>
      </c>
      <c r="W808" s="23" t="inlineStr"/>
    </row>
    <row r="809" ht="64" customHeight="1">
      <c r="A809" s="23" t="inlineStr">
        <is>
          <t>1.3.2</t>
        </is>
      </c>
      <c r="B809" s="23" t="inlineStr">
        <is>
          <t>Systems - Signalling &amp; Train Control</t>
        </is>
      </c>
      <c r="C809" s="23" t="inlineStr">
        <is>
          <t>Cost &amp; Forecast Control Accounts</t>
        </is>
      </c>
      <c r="D809" s="23" t="inlineStr">
        <is>
          <t>CST-03-074</t>
        </is>
      </c>
      <c r="E809" s="23" t="inlineStr">
        <is>
          <t>Systems - signalling - professional services</t>
        </is>
      </c>
      <c r="F809" s="23" t="inlineStr">
        <is>
          <t>ONE_TO_ONE</t>
        </is>
      </c>
      <c r="G809" s="23" t="inlineStr">
        <is>
          <t>RETAINED</t>
        </is>
      </c>
      <c r="H809" s="23" t="inlineStr">
        <is>
          <t>Carried forward</t>
        </is>
      </c>
      <c r="I809" s="23" t="inlineStr">
        <is>
          <t>Source assignment -- not individually reviewed</t>
        </is>
      </c>
      <c r="J809" s="23" t="inlineStr"/>
      <c r="K809" s="23" t="inlineStr">
        <is>
          <t>Source assignment</t>
        </is>
      </c>
      <c r="L809" s="23" t="inlineStr"/>
      <c r="M809" s="23" t="inlineStr">
        <is>
          <t>Cost &amp; Forecast Control Accounts Cycle 2</t>
        </is>
      </c>
      <c r="N809" s="23" t="inlineStr">
        <is>
          <t>Rev 1</t>
        </is>
      </c>
      <c r="O809" s="23" t="inlineStr">
        <is>
          <t>R1316-v2</t>
        </is>
      </c>
      <c r="P809" s="23" t="inlineStr"/>
      <c r="Q809" s="23" t="inlineStr"/>
      <c r="R809" s="23" t="inlineStr"/>
      <c r="S809" s="23" t="inlineStr"/>
      <c r="T809" s="23" t="inlineStr"/>
      <c r="U809" s="23" t="inlineStr"/>
      <c r="V809" s="23" t="inlineStr">
        <is>
          <t>Cost Account = CA-3074; WBS Code = 1.3.2</t>
        </is>
      </c>
      <c r="W809" s="23" t="inlineStr"/>
    </row>
    <row r="810" ht="64" customHeight="1">
      <c r="A810" s="23" t="inlineStr">
        <is>
          <t>1.3.2</t>
        </is>
      </c>
      <c r="B810" s="23" t="inlineStr">
        <is>
          <t>Systems - Signalling &amp; Train Control</t>
        </is>
      </c>
      <c r="C810" s="23" t="inlineStr">
        <is>
          <t>Cost &amp; Forecast Control Accounts</t>
        </is>
      </c>
      <c r="D810" s="23" t="inlineStr">
        <is>
          <t>CST-03-076</t>
        </is>
      </c>
      <c r="E810" s="23" t="inlineStr">
        <is>
          <t>Systems - systems integration - closeout</t>
        </is>
      </c>
      <c r="F810" s="23" t="inlineStr">
        <is>
          <t>ONE_TO_ONE</t>
        </is>
      </c>
      <c r="G810" s="23" t="inlineStr">
        <is>
          <t>RETAINED</t>
        </is>
      </c>
      <c r="H810" s="23" t="inlineStr">
        <is>
          <t>Carried forward</t>
        </is>
      </c>
      <c r="I810" s="23" t="inlineStr">
        <is>
          <t>Source assignment -- not individually reviewed</t>
        </is>
      </c>
      <c r="J810" s="23" t="inlineStr"/>
      <c r="K810" s="23" t="inlineStr">
        <is>
          <t>Source assignment</t>
        </is>
      </c>
      <c r="L810" s="23" t="inlineStr"/>
      <c r="M810" s="23" t="inlineStr">
        <is>
          <t>Cost &amp; Forecast Control Accounts Cycle 2</t>
        </is>
      </c>
      <c r="N810" s="23" t="inlineStr">
        <is>
          <t>Rev 1</t>
        </is>
      </c>
      <c r="O810" s="23" t="inlineStr">
        <is>
          <t>R1318-v2</t>
        </is>
      </c>
      <c r="P810" s="23" t="inlineStr"/>
      <c r="Q810" s="23" t="inlineStr"/>
      <c r="R810" s="23" t="inlineStr"/>
      <c r="S810" s="23" t="inlineStr"/>
      <c r="T810" s="23" t="inlineStr"/>
      <c r="U810" s="23" t="inlineStr"/>
      <c r="V810" s="23" t="inlineStr">
        <is>
          <t>Cost Account = CA-3076; WBS Code = 1.3.2</t>
        </is>
      </c>
      <c r="W810" s="23" t="inlineStr"/>
    </row>
    <row r="811" ht="64" customHeight="1">
      <c r="A811" s="23" t="inlineStr">
        <is>
          <t>1.3.2</t>
        </is>
      </c>
      <c r="B811" s="23" t="inlineStr">
        <is>
          <t>Systems - Signalling &amp; Train Control</t>
        </is>
      </c>
      <c r="C811" s="23" t="inlineStr">
        <is>
          <t>Cost &amp; Forecast Control Accounts</t>
        </is>
      </c>
      <c r="D811" s="23" t="inlineStr">
        <is>
          <t>CST-03-078</t>
        </is>
      </c>
      <c r="E811" s="23" t="inlineStr">
        <is>
          <t>Systems - train control - supply and install</t>
        </is>
      </c>
      <c r="F811" s="23" t="inlineStr">
        <is>
          <t>ONE_TO_ONE</t>
        </is>
      </c>
      <c r="G811" s="23" t="inlineStr">
        <is>
          <t>RETAINED</t>
        </is>
      </c>
      <c r="H811" s="23" t="inlineStr">
        <is>
          <t>Carried forward</t>
        </is>
      </c>
      <c r="I811" s="23" t="inlineStr">
        <is>
          <t>Source assignment -- not individually reviewed</t>
        </is>
      </c>
      <c r="J811" s="23" t="inlineStr"/>
      <c r="K811" s="23" t="inlineStr">
        <is>
          <t>Source assignment</t>
        </is>
      </c>
      <c r="L811" s="23" t="inlineStr"/>
      <c r="M811" s="23" t="inlineStr">
        <is>
          <t>Cost &amp; Forecast Control Accounts Cycle 2</t>
        </is>
      </c>
      <c r="N811" s="23" t="inlineStr">
        <is>
          <t>Rev 1</t>
        </is>
      </c>
      <c r="O811" s="23" t="inlineStr">
        <is>
          <t>R1320-v2</t>
        </is>
      </c>
      <c r="P811" s="23" t="inlineStr"/>
      <c r="Q811" s="23" t="inlineStr"/>
      <c r="R811" s="23" t="inlineStr"/>
      <c r="S811" s="23" t="inlineStr"/>
      <c r="T811" s="23" t="inlineStr"/>
      <c r="U811" s="23" t="inlineStr"/>
      <c r="V811" s="23" t="inlineStr">
        <is>
          <t>Cost Account = CA-3078; WBS Code = 1.3.2</t>
        </is>
      </c>
      <c r="W811" s="23" t="inlineStr"/>
    </row>
    <row r="812" ht="64" customHeight="1">
      <c r="A812" s="23" t="inlineStr">
        <is>
          <t>1.3.2</t>
        </is>
      </c>
      <c r="B812" s="23" t="inlineStr">
        <is>
          <t>Systems - Signalling &amp; Train Control</t>
        </is>
      </c>
      <c r="C812" s="23" t="inlineStr">
        <is>
          <t>Cost &amp; Forecast Control Accounts</t>
        </is>
      </c>
      <c r="D812" s="23" t="inlineStr">
        <is>
          <t>CST-03-080</t>
        </is>
      </c>
      <c r="E812" s="23" t="inlineStr">
        <is>
          <t>Systems - signalling - allowance</t>
        </is>
      </c>
      <c r="F812" s="23" t="inlineStr">
        <is>
          <t>ONE_TO_ONE</t>
        </is>
      </c>
      <c r="G812" s="23" t="inlineStr">
        <is>
          <t>RETAINED</t>
        </is>
      </c>
      <c r="H812" s="23" t="inlineStr">
        <is>
          <t>Carried forward</t>
        </is>
      </c>
      <c r="I812" s="23" t="inlineStr">
        <is>
          <t>Source assignment -- not individually reviewed</t>
        </is>
      </c>
      <c r="J812" s="23" t="inlineStr"/>
      <c r="K812" s="23" t="inlineStr">
        <is>
          <t>Source assignment</t>
        </is>
      </c>
      <c r="L812" s="23" t="inlineStr"/>
      <c r="M812" s="23" t="inlineStr">
        <is>
          <t>Cost &amp; Forecast Control Accounts Cycle 2</t>
        </is>
      </c>
      <c r="N812" s="23" t="inlineStr">
        <is>
          <t>Rev 1</t>
        </is>
      </c>
      <c r="O812" s="23" t="inlineStr">
        <is>
          <t>R1322-v2</t>
        </is>
      </c>
      <c r="P812" s="23" t="inlineStr"/>
      <c r="Q812" s="23" t="inlineStr"/>
      <c r="R812" s="23" t="inlineStr"/>
      <c r="S812" s="23" t="inlineStr"/>
      <c r="T812" s="23" t="inlineStr"/>
      <c r="U812" s="23" t="inlineStr"/>
      <c r="V812" s="23" t="inlineStr">
        <is>
          <t>Cost Account = CA-3080; WBS Code = 1.3.2</t>
        </is>
      </c>
      <c r="W812" s="23" t="inlineStr"/>
    </row>
    <row r="813" ht="64" customHeight="1">
      <c r="A813" s="23" t="inlineStr">
        <is>
          <t>1.4</t>
        </is>
      </c>
      <c r="B813" s="23" t="inlineStr">
        <is>
          <t>Vehicles and Depot</t>
        </is>
      </c>
      <c r="C813" s="23" t="inlineStr">
        <is>
          <t>Commercial Package Register</t>
        </is>
      </c>
      <c r="D813" s="23" t="inlineStr">
        <is>
          <t>PKG-031</t>
        </is>
      </c>
      <c r="E813" s="23" t="inlineStr">
        <is>
          <t>Fleet Supply</t>
        </is>
      </c>
      <c r="F813" s="23" t="inlineStr">
        <is>
          <t>ONE_TO_ONE</t>
        </is>
      </c>
      <c r="G813" s="23" t="inlineStr">
        <is>
          <t>RETAINED</t>
        </is>
      </c>
      <c r="H813" s="23" t="inlineStr">
        <is>
          <t>Carried forward</t>
        </is>
      </c>
      <c r="I813" s="23" t="inlineStr">
        <is>
          <t>Source assignment -- not individually reviewed</t>
        </is>
      </c>
      <c r="J813" s="23" t="inlineStr"/>
      <c r="K813" s="23" t="inlineStr">
        <is>
          <t>Source assignment</t>
        </is>
      </c>
      <c r="L813" s="23" t="inlineStr"/>
      <c r="M813" s="23" t="inlineStr">
        <is>
          <t>Commercial Package Register Cycle 2</t>
        </is>
      </c>
      <c r="N813" s="23" t="inlineStr">
        <is>
          <t>Rev 1</t>
        </is>
      </c>
      <c r="O813" s="23" t="inlineStr">
        <is>
          <t>R1593-v2</t>
        </is>
      </c>
      <c r="P813" s="23" t="inlineStr"/>
      <c r="Q813" s="23" t="inlineStr"/>
      <c r="R813" s="23" t="inlineStr"/>
      <c r="S813" s="23" t="inlineStr"/>
      <c r="T813" s="23" t="inlineStr"/>
      <c r="U813" s="23" t="inlineStr"/>
      <c r="V813" s="23" t="inlineStr">
        <is>
          <t>Package Code = PK-401; WBS Code = 1.4</t>
        </is>
      </c>
      <c r="W813" s="23" t="inlineStr"/>
    </row>
    <row r="814" ht="64" customHeight="1">
      <c r="A814" s="23" t="inlineStr">
        <is>
          <t>1.4</t>
        </is>
      </c>
      <c r="B814" s="23" t="inlineStr">
        <is>
          <t>Vehicles and Depot</t>
        </is>
      </c>
      <c r="C814" s="23" t="inlineStr">
        <is>
          <t>Commercial Package Register</t>
        </is>
      </c>
      <c r="D814" s="23" t="inlineStr">
        <is>
          <t>PKG-032</t>
        </is>
      </c>
      <c r="E814" s="23" t="inlineStr">
        <is>
          <t>Depot Buildings</t>
        </is>
      </c>
      <c r="F814" s="23" t="inlineStr">
        <is>
          <t>ONE_TO_ONE</t>
        </is>
      </c>
      <c r="G814" s="23" t="inlineStr">
        <is>
          <t>RETAINED</t>
        </is>
      </c>
      <c r="H814" s="23" t="inlineStr">
        <is>
          <t>Carried forward</t>
        </is>
      </c>
      <c r="I814" s="23" t="inlineStr">
        <is>
          <t>Source assignment -- not individually reviewed</t>
        </is>
      </c>
      <c r="J814" s="23" t="inlineStr"/>
      <c r="K814" s="23" t="inlineStr">
        <is>
          <t>Source assignment</t>
        </is>
      </c>
      <c r="L814" s="23" t="inlineStr"/>
      <c r="M814" s="23" t="inlineStr">
        <is>
          <t>Commercial Package Register Cycle 2</t>
        </is>
      </c>
      <c r="N814" s="23" t="inlineStr">
        <is>
          <t>Rev 1</t>
        </is>
      </c>
      <c r="O814" s="23" t="inlineStr">
        <is>
          <t>R1594-v2</t>
        </is>
      </c>
      <c r="P814" s="23" t="inlineStr"/>
      <c r="Q814" s="23" t="inlineStr"/>
      <c r="R814" s="23" t="inlineStr"/>
      <c r="S814" s="23" t="inlineStr"/>
      <c r="T814" s="23" t="inlineStr"/>
      <c r="U814" s="23" t="inlineStr"/>
      <c r="V814" s="23" t="inlineStr">
        <is>
          <t>Package Code = PK-402; WBS Code = 1.4</t>
        </is>
      </c>
      <c r="W814" s="23" t="inlineStr"/>
    </row>
    <row r="815" ht="64" customHeight="1">
      <c r="A815" s="23" t="inlineStr">
        <is>
          <t>1.4</t>
        </is>
      </c>
      <c r="B815" s="23" t="inlineStr">
        <is>
          <t>Vehicles and Depot</t>
        </is>
      </c>
      <c r="C815" s="23" t="inlineStr">
        <is>
          <t>Commercial Package Register</t>
        </is>
      </c>
      <c r="D815" s="23" t="inlineStr">
        <is>
          <t>PKG-033</t>
        </is>
      </c>
      <c r="E815" s="23" t="inlineStr">
        <is>
          <t>Workshop Equipment</t>
        </is>
      </c>
      <c r="F815" s="23" t="inlineStr">
        <is>
          <t>ONE_TO_ONE</t>
        </is>
      </c>
      <c r="G815" s="23" t="inlineStr">
        <is>
          <t>RETAINED</t>
        </is>
      </c>
      <c r="H815" s="23" t="inlineStr">
        <is>
          <t>Carried forward</t>
        </is>
      </c>
      <c r="I815" s="23" t="inlineStr">
        <is>
          <t>Source assignment -- not individually reviewed</t>
        </is>
      </c>
      <c r="J815" s="23" t="inlineStr"/>
      <c r="K815" s="23" t="inlineStr">
        <is>
          <t>Source assignment</t>
        </is>
      </c>
      <c r="L815" s="23" t="inlineStr"/>
      <c r="M815" s="23" t="inlineStr">
        <is>
          <t>Commercial Package Register Cycle 2</t>
        </is>
      </c>
      <c r="N815" s="23" t="inlineStr">
        <is>
          <t>Rev 1</t>
        </is>
      </c>
      <c r="O815" s="23" t="inlineStr">
        <is>
          <t>R1595-v2</t>
        </is>
      </c>
      <c r="P815" s="23" t="inlineStr"/>
      <c r="Q815" s="23" t="inlineStr"/>
      <c r="R815" s="23" t="inlineStr"/>
      <c r="S815" s="23" t="inlineStr"/>
      <c r="T815" s="23" t="inlineStr"/>
      <c r="U815" s="23" t="inlineStr"/>
      <c r="V815" s="23" t="inlineStr">
        <is>
          <t>Package Code = PK-403; WBS Code = 1.4</t>
        </is>
      </c>
      <c r="W815" s="23" t="inlineStr"/>
    </row>
    <row r="816" ht="64" customHeight="1">
      <c r="A816" s="23" t="inlineStr">
        <is>
          <t>1.4</t>
        </is>
      </c>
      <c r="B816" s="23" t="inlineStr">
        <is>
          <t>Vehicles and Depot</t>
        </is>
      </c>
      <c r="C816" s="23" t="inlineStr">
        <is>
          <t>Commercial Package Register</t>
        </is>
      </c>
      <c r="D816" s="23" t="inlineStr">
        <is>
          <t>PKG-034</t>
        </is>
      </c>
      <c r="E816" s="23" t="inlineStr">
        <is>
          <t>Vehicle Integration</t>
        </is>
      </c>
      <c r="F816" s="23" t="inlineStr">
        <is>
          <t>ONE_TO_ONE</t>
        </is>
      </c>
      <c r="G816" s="23" t="inlineStr">
        <is>
          <t>RETAINED</t>
        </is>
      </c>
      <c r="H816" s="23" t="inlineStr">
        <is>
          <t>Carried forward</t>
        </is>
      </c>
      <c r="I816" s="23" t="inlineStr">
        <is>
          <t>Source assignment -- not individually reviewed</t>
        </is>
      </c>
      <c r="J816" s="23" t="inlineStr"/>
      <c r="K816" s="23" t="inlineStr">
        <is>
          <t>Source assignment</t>
        </is>
      </c>
      <c r="L816" s="23" t="inlineStr"/>
      <c r="M816" s="23" t="inlineStr">
        <is>
          <t>Commercial Package Register Cycle 2</t>
        </is>
      </c>
      <c r="N816" s="23" t="inlineStr">
        <is>
          <t>Rev 1</t>
        </is>
      </c>
      <c r="O816" s="23" t="inlineStr">
        <is>
          <t>R1596-v2</t>
        </is>
      </c>
      <c r="P816" s="23" t="inlineStr"/>
      <c r="Q816" s="23" t="inlineStr"/>
      <c r="R816" s="23" t="inlineStr"/>
      <c r="S816" s="23" t="inlineStr"/>
      <c r="T816" s="23" t="inlineStr"/>
      <c r="U816" s="23" t="inlineStr"/>
      <c r="V816" s="23" t="inlineStr">
        <is>
          <t>Package Code = PK-404; WBS Code = 1.4</t>
        </is>
      </c>
      <c r="W816" s="23" t="inlineStr"/>
    </row>
    <row r="817" ht="64" customHeight="1">
      <c r="A817" s="23" t="inlineStr">
        <is>
          <t>1.4</t>
        </is>
      </c>
      <c r="B817" s="23" t="inlineStr">
        <is>
          <t>Vehicles and Depot</t>
        </is>
      </c>
      <c r="C817" s="23" t="inlineStr">
        <is>
          <t>Commercial Package Register</t>
        </is>
      </c>
      <c r="D817" s="23" t="inlineStr">
        <is>
          <t>PKG-035</t>
        </is>
      </c>
      <c r="E817" s="23" t="inlineStr">
        <is>
          <t>Fleet Supply - Lot 2</t>
        </is>
      </c>
      <c r="F817" s="23" t="inlineStr">
        <is>
          <t>ONE_TO_ONE</t>
        </is>
      </c>
      <c r="G817" s="23" t="inlineStr">
        <is>
          <t>RETAINED</t>
        </is>
      </c>
      <c r="H817" s="23" t="inlineStr">
        <is>
          <t>Carried forward</t>
        </is>
      </c>
      <c r="I817" s="23" t="inlineStr">
        <is>
          <t>Source assignment -- not individually reviewed</t>
        </is>
      </c>
      <c r="J817" s="23" t="inlineStr"/>
      <c r="K817" s="23" t="inlineStr">
        <is>
          <t>Source assignment</t>
        </is>
      </c>
      <c r="L817" s="23" t="inlineStr"/>
      <c r="M817" s="23" t="inlineStr">
        <is>
          <t>Commercial Package Register Cycle 2</t>
        </is>
      </c>
      <c r="N817" s="23" t="inlineStr">
        <is>
          <t>Rev 1</t>
        </is>
      </c>
      <c r="O817" s="23" t="inlineStr">
        <is>
          <t>R1597-v2</t>
        </is>
      </c>
      <c r="P817" s="23" t="inlineStr"/>
      <c r="Q817" s="23" t="inlineStr"/>
      <c r="R817" s="23" t="inlineStr"/>
      <c r="S817" s="23" t="inlineStr"/>
      <c r="T817" s="23" t="inlineStr"/>
      <c r="U817" s="23" t="inlineStr"/>
      <c r="V817" s="23" t="inlineStr">
        <is>
          <t>Package Code = PK-405; WBS Code = 1.4</t>
        </is>
      </c>
      <c r="W817" s="23" t="inlineStr"/>
    </row>
    <row r="818" ht="64" customHeight="1">
      <c r="A818" s="23" t="inlineStr">
        <is>
          <t>1.4</t>
        </is>
      </c>
      <c r="B818" s="23" t="inlineStr">
        <is>
          <t>Vehicles and Depot</t>
        </is>
      </c>
      <c r="C818" s="23" t="inlineStr">
        <is>
          <t>Commercial Package Register</t>
        </is>
      </c>
      <c r="D818" s="23" t="inlineStr">
        <is>
          <t>PKG-036</t>
        </is>
      </c>
      <c r="E818" s="23" t="inlineStr">
        <is>
          <t>Depot Buildings - Lot 2</t>
        </is>
      </c>
      <c r="F818" s="23" t="inlineStr">
        <is>
          <t>ONE_TO_ONE</t>
        </is>
      </c>
      <c r="G818" s="23" t="inlineStr">
        <is>
          <t>RETAINED</t>
        </is>
      </c>
      <c r="H818" s="23" t="inlineStr">
        <is>
          <t>Carried forward</t>
        </is>
      </c>
      <c r="I818" s="23" t="inlineStr">
        <is>
          <t>Source assignment -- not individually reviewed</t>
        </is>
      </c>
      <c r="J818" s="23" t="inlineStr"/>
      <c r="K818" s="23" t="inlineStr">
        <is>
          <t>Source assignment</t>
        </is>
      </c>
      <c r="L818" s="23" t="inlineStr"/>
      <c r="M818" s="23" t="inlineStr">
        <is>
          <t>Commercial Package Register Cycle 2</t>
        </is>
      </c>
      <c r="N818" s="23" t="inlineStr">
        <is>
          <t>Rev 1</t>
        </is>
      </c>
      <c r="O818" s="23" t="inlineStr">
        <is>
          <t>R1598-v2</t>
        </is>
      </c>
      <c r="P818" s="23" t="inlineStr"/>
      <c r="Q818" s="23" t="inlineStr"/>
      <c r="R818" s="23" t="inlineStr"/>
      <c r="S818" s="23" t="inlineStr"/>
      <c r="T818" s="23" t="inlineStr"/>
      <c r="U818" s="23" t="inlineStr"/>
      <c r="V818" s="23" t="inlineStr">
        <is>
          <t>Package Code = PK-406; WBS Code = 1.4</t>
        </is>
      </c>
      <c r="W818" s="23" t="inlineStr"/>
    </row>
    <row r="819" ht="64" customHeight="1">
      <c r="A819" s="23" t="inlineStr">
        <is>
          <t>1.4</t>
        </is>
      </c>
      <c r="B819" s="23" t="inlineStr">
        <is>
          <t>Vehicles and Depot</t>
        </is>
      </c>
      <c r="C819" s="23" t="inlineStr">
        <is>
          <t>Commercial Package Register</t>
        </is>
      </c>
      <c r="D819" s="23" t="inlineStr">
        <is>
          <t>PKG-037</t>
        </is>
      </c>
      <c r="E819" s="23" t="inlineStr">
        <is>
          <t>Workshop Equipment - Lot 2</t>
        </is>
      </c>
      <c r="F819" s="23" t="inlineStr">
        <is>
          <t>ONE_TO_ONE</t>
        </is>
      </c>
      <c r="G819" s="23" t="inlineStr">
        <is>
          <t>RETAINED</t>
        </is>
      </c>
      <c r="H819" s="23" t="inlineStr">
        <is>
          <t>Carried forward</t>
        </is>
      </c>
      <c r="I819" s="23" t="inlineStr">
        <is>
          <t>Source assignment -- not individually reviewed</t>
        </is>
      </c>
      <c r="J819" s="23" t="inlineStr"/>
      <c r="K819" s="23" t="inlineStr">
        <is>
          <t>Source assignment</t>
        </is>
      </c>
      <c r="L819" s="23" t="inlineStr"/>
      <c r="M819" s="23" t="inlineStr">
        <is>
          <t>Commercial Package Register Cycle 2</t>
        </is>
      </c>
      <c r="N819" s="23" t="inlineStr">
        <is>
          <t>Rev 1</t>
        </is>
      </c>
      <c r="O819" s="23" t="inlineStr">
        <is>
          <t>R1599-v2</t>
        </is>
      </c>
      <c r="P819" s="23" t="inlineStr"/>
      <c r="Q819" s="23" t="inlineStr"/>
      <c r="R819" s="23" t="inlineStr"/>
      <c r="S819" s="23" t="inlineStr"/>
      <c r="T819" s="23" t="inlineStr"/>
      <c r="U819" s="23" t="inlineStr"/>
      <c r="V819" s="23" t="inlineStr">
        <is>
          <t>Package Code = PK-407; WBS Code = 1.4</t>
        </is>
      </c>
      <c r="W819" s="23" t="inlineStr"/>
    </row>
    <row r="820" ht="64" customHeight="1">
      <c r="A820" s="23" t="inlineStr">
        <is>
          <t>1.4</t>
        </is>
      </c>
      <c r="B820" s="23" t="inlineStr">
        <is>
          <t>Vehicles and Depot</t>
        </is>
      </c>
      <c r="C820" s="23" t="inlineStr">
        <is>
          <t>Commercial Package Register</t>
        </is>
      </c>
      <c r="D820" s="23" t="inlineStr">
        <is>
          <t>PKG-038</t>
        </is>
      </c>
      <c r="E820" s="23" t="inlineStr">
        <is>
          <t>Vehicle Integration - Lot 2</t>
        </is>
      </c>
      <c r="F820" s="23" t="inlineStr">
        <is>
          <t>ONE_TO_ONE</t>
        </is>
      </c>
      <c r="G820" s="23" t="inlineStr">
        <is>
          <t>RETAINED</t>
        </is>
      </c>
      <c r="H820" s="23" t="inlineStr">
        <is>
          <t>Carried forward</t>
        </is>
      </c>
      <c r="I820" s="23" t="inlineStr">
        <is>
          <t>Source assignment -- not individually reviewed</t>
        </is>
      </c>
      <c r="J820" s="23" t="inlineStr"/>
      <c r="K820" s="23" t="inlineStr">
        <is>
          <t>Source assignment</t>
        </is>
      </c>
      <c r="L820" s="23" t="inlineStr"/>
      <c r="M820" s="23" t="inlineStr">
        <is>
          <t>Commercial Package Register Cycle 2</t>
        </is>
      </c>
      <c r="N820" s="23" t="inlineStr">
        <is>
          <t>Rev 1</t>
        </is>
      </c>
      <c r="O820" s="23" t="inlineStr">
        <is>
          <t>R1600-v2</t>
        </is>
      </c>
      <c r="P820" s="23" t="inlineStr"/>
      <c r="Q820" s="23" t="inlineStr"/>
      <c r="R820" s="23" t="inlineStr"/>
      <c r="S820" s="23" t="inlineStr"/>
      <c r="T820" s="23" t="inlineStr"/>
      <c r="U820" s="23" t="inlineStr"/>
      <c r="V820" s="23" t="inlineStr">
        <is>
          <t>Package Code = PK-408; WBS Code = 1.4</t>
        </is>
      </c>
      <c r="W820" s="23" t="inlineStr"/>
    </row>
    <row r="821" ht="64" customHeight="1">
      <c r="A821" s="23" t="inlineStr">
        <is>
          <t>1.4</t>
        </is>
      </c>
      <c r="B821" s="23" t="inlineStr">
        <is>
          <t>Vehicles and Depot</t>
        </is>
      </c>
      <c r="C821" s="23" t="inlineStr">
        <is>
          <t>Commercial Package Register</t>
        </is>
      </c>
      <c r="D821" s="23" t="inlineStr">
        <is>
          <t>PKG-039</t>
        </is>
      </c>
      <c r="E821" s="23" t="inlineStr">
        <is>
          <t>Fleet Supply - Lot 3</t>
        </is>
      </c>
      <c r="F821" s="23" t="inlineStr">
        <is>
          <t>ONE_TO_ONE</t>
        </is>
      </c>
      <c r="G821" s="23" t="inlineStr">
        <is>
          <t>RETAINED</t>
        </is>
      </c>
      <c r="H821" s="23" t="inlineStr">
        <is>
          <t>Carried forward</t>
        </is>
      </c>
      <c r="I821" s="23" t="inlineStr">
        <is>
          <t>Source assignment -- not individually reviewed</t>
        </is>
      </c>
      <c r="J821" s="23" t="inlineStr"/>
      <c r="K821" s="23" t="inlineStr">
        <is>
          <t>Source assignment</t>
        </is>
      </c>
      <c r="L821" s="23" t="inlineStr"/>
      <c r="M821" s="23" t="inlineStr">
        <is>
          <t>Commercial Package Register Cycle 2</t>
        </is>
      </c>
      <c r="N821" s="23" t="inlineStr">
        <is>
          <t>Rev 1</t>
        </is>
      </c>
      <c r="O821" s="23" t="inlineStr">
        <is>
          <t>R1601-v2</t>
        </is>
      </c>
      <c r="P821" s="23" t="inlineStr"/>
      <c r="Q821" s="23" t="inlineStr"/>
      <c r="R821" s="23" t="inlineStr"/>
      <c r="S821" s="23" t="inlineStr"/>
      <c r="T821" s="23" t="inlineStr"/>
      <c r="U821" s="23" t="inlineStr"/>
      <c r="V821" s="23" t="inlineStr">
        <is>
          <t>Package Code = PK-409; WBS Code = 1.4</t>
        </is>
      </c>
      <c r="W821" s="23" t="inlineStr"/>
    </row>
    <row r="822" ht="64" customHeight="1">
      <c r="A822" s="23" t="inlineStr">
        <is>
          <t>1.4</t>
        </is>
      </c>
      <c r="B822" s="23" t="inlineStr">
        <is>
          <t>Vehicles and Depot</t>
        </is>
      </c>
      <c r="C822" s="23" t="inlineStr">
        <is>
          <t>Commercial Package Register</t>
        </is>
      </c>
      <c r="D822" s="23" t="inlineStr">
        <is>
          <t>PKG-040</t>
        </is>
      </c>
      <c r="E822" s="23" t="inlineStr">
        <is>
          <t>Depot Buildings - Lot 3</t>
        </is>
      </c>
      <c r="F822" s="23" t="inlineStr">
        <is>
          <t>ONE_TO_ONE</t>
        </is>
      </c>
      <c r="G822" s="23" t="inlineStr">
        <is>
          <t>RETAINED</t>
        </is>
      </c>
      <c r="H822" s="23" t="inlineStr">
        <is>
          <t>Carried forward</t>
        </is>
      </c>
      <c r="I822" s="23" t="inlineStr">
        <is>
          <t>Source assignment -- not individually reviewed</t>
        </is>
      </c>
      <c r="J822" s="23" t="inlineStr"/>
      <c r="K822" s="23" t="inlineStr">
        <is>
          <t>Source assignment</t>
        </is>
      </c>
      <c r="L822" s="23" t="inlineStr"/>
      <c r="M822" s="23" t="inlineStr">
        <is>
          <t>Commercial Package Register Cycle 2</t>
        </is>
      </c>
      <c r="N822" s="23" t="inlineStr">
        <is>
          <t>Rev 1</t>
        </is>
      </c>
      <c r="O822" s="23" t="inlineStr">
        <is>
          <t>R1602-v2</t>
        </is>
      </c>
      <c r="P822" s="23" t="inlineStr"/>
      <c r="Q822" s="23" t="inlineStr"/>
      <c r="R822" s="23" t="inlineStr"/>
      <c r="S822" s="23" t="inlineStr"/>
      <c r="T822" s="23" t="inlineStr"/>
      <c r="U822" s="23" t="inlineStr"/>
      <c r="V822" s="23" t="inlineStr">
        <is>
          <t>Package Code = PK-410; WBS Code = 1.4</t>
        </is>
      </c>
      <c r="W822" s="23" t="inlineStr"/>
    </row>
    <row r="823" ht="49" customHeight="1">
      <c r="A823" s="23" t="inlineStr">
        <is>
          <t>1.4.1</t>
        </is>
      </c>
      <c r="B823" s="23" t="inlineStr">
        <is>
          <t>Vehicles and Depot - Fleet Supply</t>
        </is>
      </c>
      <c r="C823" s="23" t="inlineStr">
        <is>
          <t>Contractor Programme</t>
        </is>
      </c>
      <c r="D823" s="23" t="inlineStr">
        <is>
          <t>SCH-04-001</t>
        </is>
      </c>
      <c r="E823" s="23" t="inlineStr">
        <is>
          <t>Test track: vehicle-to-depot interface check - release</t>
        </is>
      </c>
      <c r="F823" s="23" t="inlineStr">
        <is>
          <t>ONE_TO_ONE</t>
        </is>
      </c>
      <c r="G823" s="23" t="inlineStr">
        <is>
          <t>RETAINED</t>
        </is>
      </c>
      <c r="H823" s="23" t="inlineStr">
        <is>
          <t>Carried forward</t>
        </is>
      </c>
      <c r="I823" s="23" t="inlineStr">
        <is>
          <t>Source assignment -- not individually reviewed</t>
        </is>
      </c>
      <c r="J823" s="23" t="inlineStr"/>
      <c r="K823" s="23" t="inlineStr">
        <is>
          <t>Source assignment</t>
        </is>
      </c>
      <c r="L823" s="23" t="inlineStr"/>
      <c r="M823" s="23" t="inlineStr">
        <is>
          <t>Contractor Programme Cycle 2</t>
        </is>
      </c>
      <c r="N823" s="23" t="inlineStr">
        <is>
          <t>Rev 1</t>
        </is>
      </c>
      <c r="O823" s="23" t="inlineStr">
        <is>
          <t>R541-v2</t>
        </is>
      </c>
      <c r="P823" s="23" t="inlineStr"/>
      <c r="Q823" s="23" t="inlineStr"/>
      <c r="R823" s="23" t="inlineStr"/>
      <c r="S823" s="23" t="inlineStr"/>
      <c r="T823" s="23" t="inlineStr"/>
      <c r="U823" s="23" t="inlineStr"/>
      <c r="V823" s="23" t="inlineStr">
        <is>
          <t>WBS Code = 1.4.1</t>
        </is>
      </c>
      <c r="W823" s="23" t="inlineStr"/>
    </row>
    <row r="824" ht="49" customHeight="1">
      <c r="A824" s="23" t="inlineStr">
        <is>
          <t>1.4.1</t>
        </is>
      </c>
      <c r="B824" s="23" t="inlineStr">
        <is>
          <t>Vehicles and Depot - Fleet Supply</t>
        </is>
      </c>
      <c r="C824" s="23" t="inlineStr">
        <is>
          <t>Contractor Programme</t>
        </is>
      </c>
      <c r="D824" s="23" t="inlineStr">
        <is>
          <t>SCH-04-002</t>
        </is>
      </c>
      <c r="E824" s="23" t="inlineStr">
        <is>
          <t>Receiving track: wheel-lathe installation - field start</t>
        </is>
      </c>
      <c r="F824" s="23" t="inlineStr">
        <is>
          <t>ONE_TO_ONE</t>
        </is>
      </c>
      <c r="G824" s="23" t="inlineStr">
        <is>
          <t>RETAINED</t>
        </is>
      </c>
      <c r="H824" s="23" t="inlineStr">
        <is>
          <t>Carried forward</t>
        </is>
      </c>
      <c r="I824" s="23" t="inlineStr">
        <is>
          <t>Source assignment -- not individually reviewed</t>
        </is>
      </c>
      <c r="J824" s="23" t="inlineStr"/>
      <c r="K824" s="23" t="inlineStr">
        <is>
          <t>Source assignment</t>
        </is>
      </c>
      <c r="L824" s="23" t="inlineStr"/>
      <c r="M824" s="23" t="inlineStr">
        <is>
          <t>Contractor Programme Cycle 2</t>
        </is>
      </c>
      <c r="N824" s="23" t="inlineStr">
        <is>
          <t>Rev 1</t>
        </is>
      </c>
      <c r="O824" s="23" t="inlineStr">
        <is>
          <t>R542-v2</t>
        </is>
      </c>
      <c r="P824" s="23" t="inlineStr"/>
      <c r="Q824" s="23" t="inlineStr"/>
      <c r="R824" s="23" t="inlineStr"/>
      <c r="S824" s="23" t="inlineStr"/>
      <c r="T824" s="23" t="inlineStr"/>
      <c r="U824" s="23" t="inlineStr"/>
      <c r="V824" s="23" t="inlineStr">
        <is>
          <t>WBS Code = 1.4.1</t>
        </is>
      </c>
      <c r="W824" s="23" t="inlineStr"/>
    </row>
    <row r="825" ht="49" customHeight="1">
      <c r="A825" s="23" t="inlineStr">
        <is>
          <t>1.4.1</t>
        </is>
      </c>
      <c r="B825" s="23" t="inlineStr">
        <is>
          <t>Vehicles and Depot - Fleet Supply</t>
        </is>
      </c>
      <c r="C825" s="23" t="inlineStr">
        <is>
          <t>Contractor Programme</t>
        </is>
      </c>
      <c r="D825" s="23" t="inlineStr">
        <is>
          <t>SCH-04-004</t>
        </is>
      </c>
      <c r="E825" s="23" t="inlineStr">
        <is>
          <t>Storage yard: vehicle delivery inspection - inspection</t>
        </is>
      </c>
      <c r="F825" s="23" t="inlineStr">
        <is>
          <t>ONE_TO_ONE</t>
        </is>
      </c>
      <c r="G825" s="23" t="inlineStr">
        <is>
          <t>RETAINED</t>
        </is>
      </c>
      <c r="H825" s="23" t="inlineStr">
        <is>
          <t>Carried forward</t>
        </is>
      </c>
      <c r="I825" s="23" t="inlineStr">
        <is>
          <t>Source assignment -- not individually reviewed</t>
        </is>
      </c>
      <c r="J825" s="23" t="inlineStr"/>
      <c r="K825" s="23" t="inlineStr">
        <is>
          <t>Source assignment</t>
        </is>
      </c>
      <c r="L825" s="23" t="inlineStr"/>
      <c r="M825" s="23" t="inlineStr">
        <is>
          <t>Contractor Programme Cycle 2</t>
        </is>
      </c>
      <c r="N825" s="23" t="inlineStr">
        <is>
          <t>Rev 1</t>
        </is>
      </c>
      <c r="O825" s="23" t="inlineStr">
        <is>
          <t>R544-v2</t>
        </is>
      </c>
      <c r="P825" s="23" t="inlineStr"/>
      <c r="Q825" s="23" t="inlineStr"/>
      <c r="R825" s="23" t="inlineStr"/>
      <c r="S825" s="23" t="inlineStr"/>
      <c r="T825" s="23" t="inlineStr"/>
      <c r="U825" s="23" t="inlineStr"/>
      <c r="V825" s="23" t="inlineStr">
        <is>
          <t>WBS Code = 1.4.1</t>
        </is>
      </c>
      <c r="W825" s="23" t="inlineStr"/>
    </row>
    <row r="826" ht="49" customHeight="1">
      <c r="A826" s="23" t="inlineStr">
        <is>
          <t>1.4.1</t>
        </is>
      </c>
      <c r="B826" s="23" t="inlineStr">
        <is>
          <t>Vehicles and Depot - Fleet Supply</t>
        </is>
      </c>
      <c r="C826" s="23" t="inlineStr">
        <is>
          <t>Contractor Programme</t>
        </is>
      </c>
      <c r="D826" s="23" t="inlineStr">
        <is>
          <t>SCH-04-005</t>
        </is>
      </c>
      <c r="E826" s="23" t="inlineStr">
        <is>
          <t>Operations building: wash-plant commissioning - turnover</t>
        </is>
      </c>
      <c r="F826" s="23" t="inlineStr">
        <is>
          <t>ONE_TO_ONE</t>
        </is>
      </c>
      <c r="G826" s="23" t="inlineStr">
        <is>
          <t>RETAINED</t>
        </is>
      </c>
      <c r="H826" s="23" t="inlineStr">
        <is>
          <t>Carried forward</t>
        </is>
      </c>
      <c r="I826" s="23" t="inlineStr">
        <is>
          <t>Source assignment -- not individually reviewed</t>
        </is>
      </c>
      <c r="J826" s="23" t="inlineStr"/>
      <c r="K826" s="23" t="inlineStr">
        <is>
          <t>Source assignment</t>
        </is>
      </c>
      <c r="L826" s="23" t="inlineStr"/>
      <c r="M826" s="23" t="inlineStr">
        <is>
          <t>Contractor Programme Cycle 2</t>
        </is>
      </c>
      <c r="N826" s="23" t="inlineStr">
        <is>
          <t>Rev 1</t>
        </is>
      </c>
      <c r="O826" s="23" t="inlineStr">
        <is>
          <t>R545-v2</t>
        </is>
      </c>
      <c r="P826" s="23" t="inlineStr"/>
      <c r="Q826" s="23" t="inlineStr"/>
      <c r="R826" s="23" t="inlineStr"/>
      <c r="S826" s="23" t="inlineStr"/>
      <c r="T826" s="23" t="inlineStr"/>
      <c r="U826" s="23" t="inlineStr"/>
      <c r="V826" s="23" t="inlineStr">
        <is>
          <t>WBS Code = 1.4.1</t>
        </is>
      </c>
      <c r="W826" s="23" t="inlineStr"/>
    </row>
    <row r="827" ht="49" customHeight="1">
      <c r="A827" s="23" t="inlineStr">
        <is>
          <t>1.4.1</t>
        </is>
      </c>
      <c r="B827" s="23" t="inlineStr">
        <is>
          <t>Vehicles and Depot - Fleet Supply</t>
        </is>
      </c>
      <c r="C827" s="23" t="inlineStr">
        <is>
          <t>Contractor Programme</t>
        </is>
      </c>
      <c r="D827" s="23" t="inlineStr">
        <is>
          <t>SCH-04-007</t>
        </is>
      </c>
      <c r="E827" s="23" t="inlineStr">
        <is>
          <t>Receiving track: depot structural fit-out - field start</t>
        </is>
      </c>
      <c r="F827" s="23" t="inlineStr">
        <is>
          <t>ONE_TO_ONE</t>
        </is>
      </c>
      <c r="G827" s="23" t="inlineStr">
        <is>
          <t>RETAINED</t>
        </is>
      </c>
      <c r="H827" s="23" t="inlineStr">
        <is>
          <t>Carried forward</t>
        </is>
      </c>
      <c r="I827" s="23" t="inlineStr">
        <is>
          <t>Source assignment -- not individually reviewed</t>
        </is>
      </c>
      <c r="J827" s="23" t="inlineStr"/>
      <c r="K827" s="23" t="inlineStr">
        <is>
          <t>Source assignment</t>
        </is>
      </c>
      <c r="L827" s="23" t="inlineStr"/>
      <c r="M827" s="23" t="inlineStr">
        <is>
          <t>Contractor Programme Cycle 2</t>
        </is>
      </c>
      <c r="N827" s="23" t="inlineStr">
        <is>
          <t>Rev 1</t>
        </is>
      </c>
      <c r="O827" s="23" t="inlineStr">
        <is>
          <t>R547-v2</t>
        </is>
      </c>
      <c r="P827" s="23" t="inlineStr"/>
      <c r="Q827" s="23" t="inlineStr"/>
      <c r="R827" s="23" t="inlineStr"/>
      <c r="S827" s="23" t="inlineStr"/>
      <c r="T827" s="23" t="inlineStr"/>
      <c r="U827" s="23" t="inlineStr"/>
      <c r="V827" s="23" t="inlineStr">
        <is>
          <t>WBS Code = 1.4.1</t>
        </is>
      </c>
      <c r="W827" s="23" t="inlineStr"/>
    </row>
    <row r="828" ht="49" customHeight="1">
      <c r="A828" s="23" t="inlineStr">
        <is>
          <t>1.4.1</t>
        </is>
      </c>
      <c r="B828" s="23" t="inlineStr">
        <is>
          <t>Vehicles and Depot - Fleet Supply</t>
        </is>
      </c>
      <c r="C828" s="23" t="inlineStr">
        <is>
          <t>Contractor Programme</t>
        </is>
      </c>
      <c r="D828" s="23" t="inlineStr">
        <is>
          <t>SCH-04-008</t>
        </is>
      </c>
      <c r="E828" s="23" t="inlineStr">
        <is>
          <t>Maintenance shop: workshop crane installation - installation</t>
        </is>
      </c>
      <c r="F828" s="23" t="inlineStr">
        <is>
          <t>ONE_TO_ONE</t>
        </is>
      </c>
      <c r="G828" s="23" t="inlineStr">
        <is>
          <t>RETAINED</t>
        </is>
      </c>
      <c r="H828" s="23" t="inlineStr">
        <is>
          <t>Carried forward</t>
        </is>
      </c>
      <c r="I828" s="23" t="inlineStr">
        <is>
          <t>Source assignment -- not individually reviewed</t>
        </is>
      </c>
      <c r="J828" s="23" t="inlineStr"/>
      <c r="K828" s="23" t="inlineStr">
        <is>
          <t>Source assignment</t>
        </is>
      </c>
      <c r="L828" s="23" t="inlineStr"/>
      <c r="M828" s="23" t="inlineStr">
        <is>
          <t>Contractor Programme Cycle 2</t>
        </is>
      </c>
      <c r="N828" s="23" t="inlineStr">
        <is>
          <t>Rev 1</t>
        </is>
      </c>
      <c r="O828" s="23" t="inlineStr">
        <is>
          <t>R548-v2</t>
        </is>
      </c>
      <c r="P828" s="23" t="inlineStr"/>
      <c r="Q828" s="23" t="inlineStr"/>
      <c r="R828" s="23" t="inlineStr"/>
      <c r="S828" s="23" t="inlineStr"/>
      <c r="T828" s="23" t="inlineStr"/>
      <c r="U828" s="23" t="inlineStr"/>
      <c r="V828" s="23" t="inlineStr">
        <is>
          <t>WBS Code = 1.4.1</t>
        </is>
      </c>
      <c r="W828" s="23" t="inlineStr"/>
    </row>
    <row r="829" ht="49" customHeight="1">
      <c r="A829" s="23" t="inlineStr">
        <is>
          <t>1.4.1</t>
        </is>
      </c>
      <c r="B829" s="23" t="inlineStr">
        <is>
          <t>Vehicles and Depot - Fleet Supply</t>
        </is>
      </c>
      <c r="C829" s="23" t="inlineStr">
        <is>
          <t>Contractor Programme</t>
        </is>
      </c>
      <c r="D829" s="23" t="inlineStr">
        <is>
          <t>SCH-04-010</t>
        </is>
      </c>
      <c r="E829" s="23" t="inlineStr">
        <is>
          <t>Operations building: wheel-lathe installation - turnover</t>
        </is>
      </c>
      <c r="F829" s="23" t="inlineStr">
        <is>
          <t>ONE_TO_ONE</t>
        </is>
      </c>
      <c r="G829" s="23" t="inlineStr">
        <is>
          <t>RETAINED</t>
        </is>
      </c>
      <c r="H829" s="23" t="inlineStr">
        <is>
          <t>Carried forward</t>
        </is>
      </c>
      <c r="I829" s="23" t="inlineStr">
        <is>
          <t>Source assignment -- not individually reviewed</t>
        </is>
      </c>
      <c r="J829" s="23" t="inlineStr"/>
      <c r="K829" s="23" t="inlineStr">
        <is>
          <t>Source assignment</t>
        </is>
      </c>
      <c r="L829" s="23" t="inlineStr"/>
      <c r="M829" s="23" t="inlineStr">
        <is>
          <t>Contractor Programme Cycle 2</t>
        </is>
      </c>
      <c r="N829" s="23" t="inlineStr">
        <is>
          <t>Rev 1</t>
        </is>
      </c>
      <c r="O829" s="23" t="inlineStr">
        <is>
          <t>R550-v2</t>
        </is>
      </c>
      <c r="P829" s="23" t="inlineStr"/>
      <c r="Q829" s="23" t="inlineStr"/>
      <c r="R829" s="23" t="inlineStr"/>
      <c r="S829" s="23" t="inlineStr"/>
      <c r="T829" s="23" t="inlineStr"/>
      <c r="U829" s="23" t="inlineStr"/>
      <c r="V829" s="23" t="inlineStr">
        <is>
          <t>WBS Code = 1.4.1</t>
        </is>
      </c>
      <c r="W829" s="23" t="inlineStr"/>
    </row>
    <row r="830" ht="49" customHeight="1">
      <c r="A830" s="23" t="inlineStr">
        <is>
          <t>1.4.1</t>
        </is>
      </c>
      <c r="B830" s="23" t="inlineStr">
        <is>
          <t>Vehicles and Depot - Fleet Supply</t>
        </is>
      </c>
      <c r="C830" s="23" t="inlineStr">
        <is>
          <t>Contractor Programme</t>
        </is>
      </c>
      <c r="D830" s="23" t="inlineStr">
        <is>
          <t>SCH-04-011</t>
        </is>
      </c>
      <c r="E830" s="23" t="inlineStr">
        <is>
          <t>Test track: fleet software load - release</t>
        </is>
      </c>
      <c r="F830" s="23" t="inlineStr">
        <is>
          <t>ONE_TO_ONE</t>
        </is>
      </c>
      <c r="G830" s="23" t="inlineStr">
        <is>
          <t>RETAINED</t>
        </is>
      </c>
      <c r="H830" s="23" t="inlineStr">
        <is>
          <t>Carried forward</t>
        </is>
      </c>
      <c r="I830" s="23" t="inlineStr">
        <is>
          <t>Source assignment -- not individually reviewed</t>
        </is>
      </c>
      <c r="J830" s="23" t="inlineStr"/>
      <c r="K830" s="23" t="inlineStr">
        <is>
          <t>Source assignment</t>
        </is>
      </c>
      <c r="L830" s="23" t="inlineStr"/>
      <c r="M830" s="23" t="inlineStr">
        <is>
          <t>Contractor Programme Cycle 2</t>
        </is>
      </c>
      <c r="N830" s="23" t="inlineStr">
        <is>
          <t>Rev 1</t>
        </is>
      </c>
      <c r="O830" s="23" t="inlineStr">
        <is>
          <t>R551-v2</t>
        </is>
      </c>
      <c r="P830" s="23" t="inlineStr"/>
      <c r="Q830" s="23" t="inlineStr"/>
      <c r="R830" s="23" t="inlineStr"/>
      <c r="S830" s="23" t="inlineStr"/>
      <c r="T830" s="23" t="inlineStr"/>
      <c r="U830" s="23" t="inlineStr"/>
      <c r="V830" s="23" t="inlineStr">
        <is>
          <t>WBS Code = 1.4.1</t>
        </is>
      </c>
      <c r="W830" s="23" t="inlineStr"/>
    </row>
    <row r="831" ht="49" customHeight="1">
      <c r="A831" s="23" t="inlineStr">
        <is>
          <t>1.4.1</t>
        </is>
      </c>
      <c r="B831" s="23" t="inlineStr">
        <is>
          <t>Vehicles and Depot - Fleet Supply</t>
        </is>
      </c>
      <c r="C831" s="23" t="inlineStr">
        <is>
          <t>Contractor Programme</t>
        </is>
      </c>
      <c r="D831" s="23" t="inlineStr">
        <is>
          <t>SCH-04-013</t>
        </is>
      </c>
      <c r="E831" s="23" t="inlineStr">
        <is>
          <t>Maintenance shop: wash-plant commissioning - installation</t>
        </is>
      </c>
      <c r="F831" s="23" t="inlineStr">
        <is>
          <t>ONE_TO_ONE</t>
        </is>
      </c>
      <c r="G831" s="23" t="inlineStr">
        <is>
          <t>RETAINED</t>
        </is>
      </c>
      <c r="H831" s="23" t="inlineStr">
        <is>
          <t>Carried forward</t>
        </is>
      </c>
      <c r="I831" s="23" t="inlineStr">
        <is>
          <t>Source assignment -- not individually reviewed</t>
        </is>
      </c>
      <c r="J831" s="23" t="inlineStr"/>
      <c r="K831" s="23" t="inlineStr">
        <is>
          <t>Source assignment</t>
        </is>
      </c>
      <c r="L831" s="23" t="inlineStr"/>
      <c r="M831" s="23" t="inlineStr">
        <is>
          <t>Contractor Programme Cycle 2</t>
        </is>
      </c>
      <c r="N831" s="23" t="inlineStr">
        <is>
          <t>Rev 1</t>
        </is>
      </c>
      <c r="O831" s="23" t="inlineStr">
        <is>
          <t>R553-v2</t>
        </is>
      </c>
      <c r="P831" s="23" t="inlineStr"/>
      <c r="Q831" s="23" t="inlineStr"/>
      <c r="R831" s="23" t="inlineStr"/>
      <c r="S831" s="23" t="inlineStr"/>
      <c r="T831" s="23" t="inlineStr"/>
      <c r="U831" s="23" t="inlineStr"/>
      <c r="V831" s="23" t="inlineStr">
        <is>
          <t>WBS Code = 1.4.1</t>
        </is>
      </c>
      <c r="W831" s="23" t="inlineStr"/>
    </row>
    <row r="832" ht="49" customHeight="1">
      <c r="A832" s="23" t="inlineStr">
        <is>
          <t>1.4.1</t>
        </is>
      </c>
      <c r="B832" s="23" t="inlineStr">
        <is>
          <t>Vehicles and Depot - Fleet Supply</t>
        </is>
      </c>
      <c r="C832" s="23" t="inlineStr">
        <is>
          <t>Contractor Programme</t>
        </is>
      </c>
      <c r="D832" s="23" t="inlineStr">
        <is>
          <t>SCH-04-014</t>
        </is>
      </c>
      <c r="E832" s="23" t="inlineStr">
        <is>
          <t>Storage yard: maintenance-bay services - inspection</t>
        </is>
      </c>
      <c r="F832" s="23" t="inlineStr">
        <is>
          <t>ONE_TO_ONE</t>
        </is>
      </c>
      <c r="G832" s="23" t="inlineStr">
        <is>
          <t>RETAINED</t>
        </is>
      </c>
      <c r="H832" s="23" t="inlineStr">
        <is>
          <t>Carried forward</t>
        </is>
      </c>
      <c r="I832" s="23" t="inlineStr">
        <is>
          <t>Source assignment -- not individually reviewed</t>
        </is>
      </c>
      <c r="J832" s="23" t="inlineStr"/>
      <c r="K832" s="23" t="inlineStr">
        <is>
          <t>Source assignment</t>
        </is>
      </c>
      <c r="L832" s="23" t="inlineStr"/>
      <c r="M832" s="23" t="inlineStr">
        <is>
          <t>Contractor Programme Cycle 2</t>
        </is>
      </c>
      <c r="N832" s="23" t="inlineStr">
        <is>
          <t>Rev 1</t>
        </is>
      </c>
      <c r="O832" s="23" t="inlineStr">
        <is>
          <t>R554-v2</t>
        </is>
      </c>
      <c r="P832" s="23" t="inlineStr"/>
      <c r="Q832" s="23" t="inlineStr"/>
      <c r="R832" s="23" t="inlineStr"/>
      <c r="S832" s="23" t="inlineStr"/>
      <c r="T832" s="23" t="inlineStr"/>
      <c r="U832" s="23" t="inlineStr"/>
      <c r="V832" s="23" t="inlineStr">
        <is>
          <t>WBS Code = 1.4.1</t>
        </is>
      </c>
      <c r="W832" s="23" t="inlineStr"/>
    </row>
    <row r="833" ht="49" customHeight="1">
      <c r="A833" s="23" t="inlineStr">
        <is>
          <t>1.4.1</t>
        </is>
      </c>
      <c r="B833" s="23" t="inlineStr">
        <is>
          <t>Vehicles and Depot - Fleet Supply</t>
        </is>
      </c>
      <c r="C833" s="23" t="inlineStr">
        <is>
          <t>Contractor Programme</t>
        </is>
      </c>
      <c r="D833" s="23" t="inlineStr">
        <is>
          <t>SCH-04-016</t>
        </is>
      </c>
      <c r="E833" s="23" t="inlineStr">
        <is>
          <t>Test track: workshop crane installation - release</t>
        </is>
      </c>
      <c r="F833" s="23" t="inlineStr">
        <is>
          <t>ONE_TO_ONE</t>
        </is>
      </c>
      <c r="G833" s="23" t="inlineStr">
        <is>
          <t>RETAINED</t>
        </is>
      </c>
      <c r="H833" s="23" t="inlineStr">
        <is>
          <t>Carried forward</t>
        </is>
      </c>
      <c r="I833" s="23" t="inlineStr">
        <is>
          <t>Source assignment -- not individually reviewed</t>
        </is>
      </c>
      <c r="J833" s="23" t="inlineStr"/>
      <c r="K833" s="23" t="inlineStr">
        <is>
          <t>Source assignment</t>
        </is>
      </c>
      <c r="L833" s="23" t="inlineStr"/>
      <c r="M833" s="23" t="inlineStr">
        <is>
          <t>Contractor Programme Cycle 2</t>
        </is>
      </c>
      <c r="N833" s="23" t="inlineStr">
        <is>
          <t>Rev 1</t>
        </is>
      </c>
      <c r="O833" s="23" t="inlineStr">
        <is>
          <t>R556-v2</t>
        </is>
      </c>
      <c r="P833" s="23" t="inlineStr"/>
      <c r="Q833" s="23" t="inlineStr"/>
      <c r="R833" s="23" t="inlineStr"/>
      <c r="S833" s="23" t="inlineStr"/>
      <c r="T833" s="23" t="inlineStr"/>
      <c r="U833" s="23" t="inlineStr"/>
      <c r="V833" s="23" t="inlineStr">
        <is>
          <t>WBS Code = 1.4.1</t>
        </is>
      </c>
      <c r="W833" s="23" t="inlineStr"/>
    </row>
    <row r="834" ht="49" customHeight="1">
      <c r="A834" s="23" t="inlineStr">
        <is>
          <t>1.4.1</t>
        </is>
      </c>
      <c r="B834" s="23" t="inlineStr">
        <is>
          <t>Vehicles and Depot - Fleet Supply</t>
        </is>
      </c>
      <c r="C834" s="23" t="inlineStr">
        <is>
          <t>Contractor Programme</t>
        </is>
      </c>
      <c r="D834" s="23" t="inlineStr">
        <is>
          <t>SCH-04-017</t>
        </is>
      </c>
      <c r="E834" s="23" t="inlineStr">
        <is>
          <t>Receiving track: vehicle-to-depot interface check - field start</t>
        </is>
      </c>
      <c r="F834" s="23" t="inlineStr">
        <is>
          <t>ONE_TO_ONE</t>
        </is>
      </c>
      <c r="G834" s="23" t="inlineStr">
        <is>
          <t>RETAINED</t>
        </is>
      </c>
      <c r="H834" s="23" t="inlineStr">
        <is>
          <t>Carried forward</t>
        </is>
      </c>
      <c r="I834" s="23" t="inlineStr">
        <is>
          <t>Source assignment -- not individually reviewed</t>
        </is>
      </c>
      <c r="J834" s="23" t="inlineStr"/>
      <c r="K834" s="23" t="inlineStr">
        <is>
          <t>Source assignment</t>
        </is>
      </c>
      <c r="L834" s="23" t="inlineStr"/>
      <c r="M834" s="23" t="inlineStr">
        <is>
          <t>Contractor Programme Cycle 2</t>
        </is>
      </c>
      <c r="N834" s="23" t="inlineStr">
        <is>
          <t>Rev 1</t>
        </is>
      </c>
      <c r="O834" s="23" t="inlineStr">
        <is>
          <t>R557-v2</t>
        </is>
      </c>
      <c r="P834" s="23" t="inlineStr"/>
      <c r="Q834" s="23" t="inlineStr"/>
      <c r="R834" s="23" t="inlineStr"/>
      <c r="S834" s="23" t="inlineStr"/>
      <c r="T834" s="23" t="inlineStr"/>
      <c r="U834" s="23" t="inlineStr"/>
      <c r="V834" s="23" t="inlineStr">
        <is>
          <t>WBS Code = 1.4.1</t>
        </is>
      </c>
      <c r="W834" s="23" t="inlineStr"/>
    </row>
    <row r="835" ht="49" customHeight="1">
      <c r="A835" s="23" t="inlineStr">
        <is>
          <t>1.4.1</t>
        </is>
      </c>
      <c r="B835" s="23" t="inlineStr">
        <is>
          <t>Vehicles and Depot - Fleet Supply</t>
        </is>
      </c>
      <c r="C835" s="23" t="inlineStr">
        <is>
          <t>Contractor Programme</t>
        </is>
      </c>
      <c r="D835" s="23" t="inlineStr">
        <is>
          <t>SCH-04-019</t>
        </is>
      </c>
      <c r="E835" s="23" t="inlineStr">
        <is>
          <t>Storage yard: fleet software load - inspection</t>
        </is>
      </c>
      <c r="F835" s="23" t="inlineStr">
        <is>
          <t>ONE_TO_ONE</t>
        </is>
      </c>
      <c r="G835" s="23" t="inlineStr">
        <is>
          <t>RETAINED</t>
        </is>
      </c>
      <c r="H835" s="23" t="inlineStr">
        <is>
          <t>Carried forward</t>
        </is>
      </c>
      <c r="I835" s="23" t="inlineStr">
        <is>
          <t>Source assignment -- not individually reviewed</t>
        </is>
      </c>
      <c r="J835" s="23" t="inlineStr"/>
      <c r="K835" s="23" t="inlineStr">
        <is>
          <t>Source assignment</t>
        </is>
      </c>
      <c r="L835" s="23" t="inlineStr"/>
      <c r="M835" s="23" t="inlineStr">
        <is>
          <t>Contractor Programme Cycle 2</t>
        </is>
      </c>
      <c r="N835" s="23" t="inlineStr">
        <is>
          <t>Rev 1</t>
        </is>
      </c>
      <c r="O835" s="23" t="inlineStr">
        <is>
          <t>R559-v2</t>
        </is>
      </c>
      <c r="P835" s="23" t="inlineStr"/>
      <c r="Q835" s="23" t="inlineStr"/>
      <c r="R835" s="23" t="inlineStr"/>
      <c r="S835" s="23" t="inlineStr"/>
      <c r="T835" s="23" t="inlineStr"/>
      <c r="U835" s="23" t="inlineStr"/>
      <c r="V835" s="23" t="inlineStr">
        <is>
          <t>WBS Code = 1.4.1</t>
        </is>
      </c>
      <c r="W835" s="23" t="inlineStr"/>
    </row>
    <row r="836" ht="49" customHeight="1">
      <c r="A836" s="23" t="inlineStr">
        <is>
          <t>1.4.1</t>
        </is>
      </c>
      <c r="B836" s="23" t="inlineStr">
        <is>
          <t>Vehicles and Depot - Fleet Supply</t>
        </is>
      </c>
      <c r="C836" s="23" t="inlineStr">
        <is>
          <t>Contractor Programme</t>
        </is>
      </c>
      <c r="D836" s="23" t="inlineStr">
        <is>
          <t>SCH-04-020</t>
        </is>
      </c>
      <c r="E836" s="23" t="inlineStr">
        <is>
          <t>Operations building: vehicle delivery inspection - turnover</t>
        </is>
      </c>
      <c r="F836" s="23" t="inlineStr">
        <is>
          <t>ONE_TO_ONE</t>
        </is>
      </c>
      <c r="G836" s="23" t="inlineStr">
        <is>
          <t>RETAINED</t>
        </is>
      </c>
      <c r="H836" s="23" t="inlineStr">
        <is>
          <t>Carried forward</t>
        </is>
      </c>
      <c r="I836" s="23" t="inlineStr">
        <is>
          <t>Source assignment -- not individually reviewed</t>
        </is>
      </c>
      <c r="J836" s="23" t="inlineStr"/>
      <c r="K836" s="23" t="inlineStr">
        <is>
          <t>Source assignment</t>
        </is>
      </c>
      <c r="L836" s="23" t="inlineStr"/>
      <c r="M836" s="23" t="inlineStr">
        <is>
          <t>Contractor Programme Cycle 2</t>
        </is>
      </c>
      <c r="N836" s="23" t="inlineStr">
        <is>
          <t>Rev 1</t>
        </is>
      </c>
      <c r="O836" s="23" t="inlineStr">
        <is>
          <t>R560-v2</t>
        </is>
      </c>
      <c r="P836" s="23" t="inlineStr"/>
      <c r="Q836" s="23" t="inlineStr"/>
      <c r="R836" s="23" t="inlineStr"/>
      <c r="S836" s="23" t="inlineStr"/>
      <c r="T836" s="23" t="inlineStr"/>
      <c r="U836" s="23" t="inlineStr"/>
      <c r="V836" s="23" t="inlineStr">
        <is>
          <t>WBS Code = 1.4.1</t>
        </is>
      </c>
      <c r="W836" s="23" t="inlineStr"/>
    </row>
    <row r="837" ht="49" customHeight="1">
      <c r="A837" s="23" t="inlineStr">
        <is>
          <t>1.4.1</t>
        </is>
      </c>
      <c r="B837" s="23" t="inlineStr">
        <is>
          <t>Vehicles and Depot - Fleet Supply</t>
        </is>
      </c>
      <c r="C837" s="23" t="inlineStr">
        <is>
          <t>Contractor Programme</t>
        </is>
      </c>
      <c r="D837" s="23" t="inlineStr">
        <is>
          <t>SCH-04-022</t>
        </is>
      </c>
      <c r="E837" s="23" t="inlineStr">
        <is>
          <t>Receiving track: maintenance-bay services - field start</t>
        </is>
      </c>
      <c r="F837" s="23" t="inlineStr">
        <is>
          <t>ONE_TO_ONE</t>
        </is>
      </c>
      <c r="G837" s="23" t="inlineStr">
        <is>
          <t>RETAINED</t>
        </is>
      </c>
      <c r="H837" s="23" t="inlineStr">
        <is>
          <t>Carried forward</t>
        </is>
      </c>
      <c r="I837" s="23" t="inlineStr">
        <is>
          <t>Source assignment -- not individually reviewed</t>
        </is>
      </c>
      <c r="J837" s="23" t="inlineStr"/>
      <c r="K837" s="23" t="inlineStr">
        <is>
          <t>Source assignment</t>
        </is>
      </c>
      <c r="L837" s="23" t="inlineStr"/>
      <c r="M837" s="23" t="inlineStr">
        <is>
          <t>Contractor Programme Cycle 2</t>
        </is>
      </c>
      <c r="N837" s="23" t="inlineStr">
        <is>
          <t>Rev 1</t>
        </is>
      </c>
      <c r="O837" s="23" t="inlineStr">
        <is>
          <t>R562-v2</t>
        </is>
      </c>
      <c r="P837" s="23" t="inlineStr"/>
      <c r="Q837" s="23" t="inlineStr"/>
      <c r="R837" s="23" t="inlineStr"/>
      <c r="S837" s="23" t="inlineStr"/>
      <c r="T837" s="23" t="inlineStr"/>
      <c r="U837" s="23" t="inlineStr"/>
      <c r="V837" s="23" t="inlineStr">
        <is>
          <t>WBS Code = 1.4.1</t>
        </is>
      </c>
      <c r="W837" s="23" t="inlineStr"/>
    </row>
    <row r="838" ht="49" customHeight="1">
      <c r="A838" s="23" t="inlineStr">
        <is>
          <t>1.4.1</t>
        </is>
      </c>
      <c r="B838" s="23" t="inlineStr">
        <is>
          <t>Vehicles and Depot - Fleet Supply</t>
        </is>
      </c>
      <c r="C838" s="23" t="inlineStr">
        <is>
          <t>Contractor Programme</t>
        </is>
      </c>
      <c r="D838" s="23" t="inlineStr">
        <is>
          <t>SCH-04-023</t>
        </is>
      </c>
      <c r="E838" s="23" t="inlineStr">
        <is>
          <t>Maintenance shop: depot structural fit-out - installation</t>
        </is>
      </c>
      <c r="F838" s="23" t="inlineStr">
        <is>
          <t>ONE_TO_ONE</t>
        </is>
      </c>
      <c r="G838" s="23" t="inlineStr">
        <is>
          <t>RETAINED</t>
        </is>
      </c>
      <c r="H838" s="23" t="inlineStr">
        <is>
          <t>Carried forward</t>
        </is>
      </c>
      <c r="I838" s="23" t="inlineStr">
        <is>
          <t>Source assignment -- not individually reviewed</t>
        </is>
      </c>
      <c r="J838" s="23" t="inlineStr"/>
      <c r="K838" s="23" t="inlineStr">
        <is>
          <t>Source assignment</t>
        </is>
      </c>
      <c r="L838" s="23" t="inlineStr"/>
      <c r="M838" s="23" t="inlineStr">
        <is>
          <t>Contractor Programme Cycle 2</t>
        </is>
      </c>
      <c r="N838" s="23" t="inlineStr">
        <is>
          <t>Rev 1</t>
        </is>
      </c>
      <c r="O838" s="23" t="inlineStr">
        <is>
          <t>R563-v2</t>
        </is>
      </c>
      <c r="P838" s="23" t="inlineStr"/>
      <c r="Q838" s="23" t="inlineStr"/>
      <c r="R838" s="23" t="inlineStr"/>
      <c r="S838" s="23" t="inlineStr"/>
      <c r="T838" s="23" t="inlineStr"/>
      <c r="U838" s="23" t="inlineStr"/>
      <c r="V838" s="23" t="inlineStr">
        <is>
          <t>WBS Code = 1.4.1</t>
        </is>
      </c>
      <c r="W838" s="23" t="inlineStr"/>
    </row>
    <row r="839" ht="49" customHeight="1">
      <c r="A839" s="23" t="inlineStr">
        <is>
          <t>1.4.1</t>
        </is>
      </c>
      <c r="B839" s="23" t="inlineStr">
        <is>
          <t>Vehicles and Depot - Fleet Supply</t>
        </is>
      </c>
      <c r="C839" s="23" t="inlineStr">
        <is>
          <t>Contractor Programme</t>
        </is>
      </c>
      <c r="D839" s="23" t="inlineStr">
        <is>
          <t>SCH-04-025</t>
        </is>
      </c>
      <c r="E839" s="23" t="inlineStr">
        <is>
          <t>Operations building: vehicle-to-depot interface check - turnover</t>
        </is>
      </c>
      <c r="F839" s="23" t="inlineStr">
        <is>
          <t>ONE_TO_ONE</t>
        </is>
      </c>
      <c r="G839" s="23" t="inlineStr">
        <is>
          <t>RETAINED</t>
        </is>
      </c>
      <c r="H839" s="23" t="inlineStr">
        <is>
          <t>Carried forward</t>
        </is>
      </c>
      <c r="I839" s="23" t="inlineStr">
        <is>
          <t>Source assignment -- not individually reviewed</t>
        </is>
      </c>
      <c r="J839" s="23" t="inlineStr"/>
      <c r="K839" s="23" t="inlineStr">
        <is>
          <t>Source assignment</t>
        </is>
      </c>
      <c r="L839" s="23" t="inlineStr"/>
      <c r="M839" s="23" t="inlineStr">
        <is>
          <t>Contractor Programme Cycle 2</t>
        </is>
      </c>
      <c r="N839" s="23" t="inlineStr">
        <is>
          <t>Rev 1</t>
        </is>
      </c>
      <c r="O839" s="23" t="inlineStr">
        <is>
          <t>R565-v2</t>
        </is>
      </c>
      <c r="P839" s="23" t="inlineStr"/>
      <c r="Q839" s="23" t="inlineStr"/>
      <c r="R839" s="23" t="inlineStr"/>
      <c r="S839" s="23" t="inlineStr"/>
      <c r="T839" s="23" t="inlineStr"/>
      <c r="U839" s="23" t="inlineStr"/>
      <c r="V839" s="23" t="inlineStr">
        <is>
          <t>WBS Code = 1.4.1</t>
        </is>
      </c>
      <c r="W839" s="23" t="inlineStr"/>
    </row>
    <row r="840" ht="49" customHeight="1">
      <c r="A840" s="23" t="inlineStr">
        <is>
          <t>1.4.1</t>
        </is>
      </c>
      <c r="B840" s="23" t="inlineStr">
        <is>
          <t>Vehicles and Depot - Fleet Supply</t>
        </is>
      </c>
      <c r="C840" s="23" t="inlineStr">
        <is>
          <t>Contractor Programme</t>
        </is>
      </c>
      <c r="D840" s="23" t="inlineStr">
        <is>
          <t>SCH-04-026</t>
        </is>
      </c>
      <c r="E840" s="23" t="inlineStr">
        <is>
          <t>Test track: wheel-lathe installation - release</t>
        </is>
      </c>
      <c r="F840" s="23" t="inlineStr">
        <is>
          <t>ONE_TO_ONE</t>
        </is>
      </c>
      <c r="G840" s="23" t="inlineStr">
        <is>
          <t>RETAINED</t>
        </is>
      </c>
      <c r="H840" s="23" t="inlineStr">
        <is>
          <t>Carried forward</t>
        </is>
      </c>
      <c r="I840" s="23" t="inlineStr">
        <is>
          <t>Source assignment -- not individually reviewed</t>
        </is>
      </c>
      <c r="J840" s="23" t="inlineStr"/>
      <c r="K840" s="23" t="inlineStr">
        <is>
          <t>Source assignment</t>
        </is>
      </c>
      <c r="L840" s="23" t="inlineStr"/>
      <c r="M840" s="23" t="inlineStr">
        <is>
          <t>Contractor Programme Cycle 2</t>
        </is>
      </c>
      <c r="N840" s="23" t="inlineStr">
        <is>
          <t>Rev 1</t>
        </is>
      </c>
      <c r="O840" s="23" t="inlineStr">
        <is>
          <t>R566-v2</t>
        </is>
      </c>
      <c r="P840" s="23" t="inlineStr"/>
      <c r="Q840" s="23" t="inlineStr"/>
      <c r="R840" s="23" t="inlineStr"/>
      <c r="S840" s="23" t="inlineStr"/>
      <c r="T840" s="23" t="inlineStr"/>
      <c r="U840" s="23" t="inlineStr"/>
      <c r="V840" s="23" t="inlineStr">
        <is>
          <t>WBS Code = 1.4.1</t>
        </is>
      </c>
      <c r="W840" s="23" t="inlineStr"/>
    </row>
    <row r="841" ht="49" customHeight="1">
      <c r="A841" s="23" t="inlineStr">
        <is>
          <t>1.4.1</t>
        </is>
      </c>
      <c r="B841" s="23" t="inlineStr">
        <is>
          <t>Vehicles and Depot - Fleet Supply</t>
        </is>
      </c>
      <c r="C841" s="23" t="inlineStr">
        <is>
          <t>Contractor Programme</t>
        </is>
      </c>
      <c r="D841" s="23" t="inlineStr">
        <is>
          <t>SCH-04-028</t>
        </is>
      </c>
      <c r="E841" s="23" t="inlineStr">
        <is>
          <t>Maintenance shop: vehicle delivery inspection - installation</t>
        </is>
      </c>
      <c r="F841" s="23" t="inlineStr">
        <is>
          <t>ONE_TO_ONE</t>
        </is>
      </c>
      <c r="G841" s="23" t="inlineStr">
        <is>
          <t>RETAINED</t>
        </is>
      </c>
      <c r="H841" s="23" t="inlineStr">
        <is>
          <t>Carried forward</t>
        </is>
      </c>
      <c r="I841" s="23" t="inlineStr">
        <is>
          <t>Source assignment -- not individually reviewed</t>
        </is>
      </c>
      <c r="J841" s="23" t="inlineStr"/>
      <c r="K841" s="23" t="inlineStr">
        <is>
          <t>Source assignment</t>
        </is>
      </c>
      <c r="L841" s="23" t="inlineStr"/>
      <c r="M841" s="23" t="inlineStr">
        <is>
          <t>Contractor Programme Cycle 2</t>
        </is>
      </c>
      <c r="N841" s="23" t="inlineStr">
        <is>
          <t>Rev 1</t>
        </is>
      </c>
      <c r="O841" s="23" t="inlineStr">
        <is>
          <t>R568-v2</t>
        </is>
      </c>
      <c r="P841" s="23" t="inlineStr"/>
      <c r="Q841" s="23" t="inlineStr"/>
      <c r="R841" s="23" t="inlineStr"/>
      <c r="S841" s="23" t="inlineStr"/>
      <c r="T841" s="23" t="inlineStr"/>
      <c r="U841" s="23" t="inlineStr"/>
      <c r="V841" s="23" t="inlineStr">
        <is>
          <t>WBS Code = 1.4.1</t>
        </is>
      </c>
      <c r="W841" s="23" t="inlineStr"/>
    </row>
    <row r="842" ht="49" customHeight="1">
      <c r="A842" s="23" t="inlineStr">
        <is>
          <t>1.4.1</t>
        </is>
      </c>
      <c r="B842" s="23" t="inlineStr">
        <is>
          <t>Vehicles and Depot - Fleet Supply</t>
        </is>
      </c>
      <c r="C842" s="23" t="inlineStr">
        <is>
          <t>Contractor Programme</t>
        </is>
      </c>
      <c r="D842" s="23" t="inlineStr">
        <is>
          <t>SCH-04-029</t>
        </is>
      </c>
      <c r="E842" s="23" t="inlineStr">
        <is>
          <t>Storage yard: wash-plant commissioning - inspection</t>
        </is>
      </c>
      <c r="F842" s="23" t="inlineStr">
        <is>
          <t>ONE_TO_ONE</t>
        </is>
      </c>
      <c r="G842" s="23" t="inlineStr">
        <is>
          <t>RETAINED</t>
        </is>
      </c>
      <c r="H842" s="23" t="inlineStr">
        <is>
          <t>Carried forward</t>
        </is>
      </c>
      <c r="I842" s="23" t="inlineStr">
        <is>
          <t>Source assignment -- not individually reviewed</t>
        </is>
      </c>
      <c r="J842" s="23" t="inlineStr"/>
      <c r="K842" s="23" t="inlineStr">
        <is>
          <t>Source assignment</t>
        </is>
      </c>
      <c r="L842" s="23" t="inlineStr"/>
      <c r="M842" s="23" t="inlineStr">
        <is>
          <t>Contractor Programme Cycle 2</t>
        </is>
      </c>
      <c r="N842" s="23" t="inlineStr">
        <is>
          <t>Rev 1</t>
        </is>
      </c>
      <c r="O842" s="23" t="inlineStr">
        <is>
          <t>R569-v2</t>
        </is>
      </c>
      <c r="P842" s="23" t="inlineStr"/>
      <c r="Q842" s="23" t="inlineStr"/>
      <c r="R842" s="23" t="inlineStr"/>
      <c r="S842" s="23" t="inlineStr"/>
      <c r="T842" s="23" t="inlineStr"/>
      <c r="U842" s="23" t="inlineStr"/>
      <c r="V842" s="23" t="inlineStr">
        <is>
          <t>WBS Code = 1.4.1</t>
        </is>
      </c>
      <c r="W842" s="23" t="inlineStr"/>
    </row>
    <row r="843" ht="49" customHeight="1">
      <c r="A843" s="23" t="inlineStr">
        <is>
          <t>1.4.1</t>
        </is>
      </c>
      <c r="B843" s="23" t="inlineStr">
        <is>
          <t>Vehicles and Depot - Fleet Supply</t>
        </is>
      </c>
      <c r="C843" s="23" t="inlineStr">
        <is>
          <t>Contractor Programme</t>
        </is>
      </c>
      <c r="D843" s="23" t="inlineStr">
        <is>
          <t>SCH-04-031</t>
        </is>
      </c>
      <c r="E843" s="23" t="inlineStr">
        <is>
          <t>Test track: depot structural fit-out - release</t>
        </is>
      </c>
      <c r="F843" s="23" t="inlineStr">
        <is>
          <t>ONE_TO_ONE</t>
        </is>
      </c>
      <c r="G843" s="23" t="inlineStr">
        <is>
          <t>RETAINED</t>
        </is>
      </c>
      <c r="H843" s="23" t="inlineStr">
        <is>
          <t>Carried forward</t>
        </is>
      </c>
      <c r="I843" s="23" t="inlineStr">
        <is>
          <t>Source assignment -- not individually reviewed</t>
        </is>
      </c>
      <c r="J843" s="23" t="inlineStr"/>
      <c r="K843" s="23" t="inlineStr">
        <is>
          <t>Source assignment</t>
        </is>
      </c>
      <c r="L843" s="23" t="inlineStr"/>
      <c r="M843" s="23" t="inlineStr">
        <is>
          <t>Contractor Programme Cycle 2</t>
        </is>
      </c>
      <c r="N843" s="23" t="inlineStr">
        <is>
          <t>Rev 1</t>
        </is>
      </c>
      <c r="O843" s="23" t="inlineStr">
        <is>
          <t>R571-v2</t>
        </is>
      </c>
      <c r="P843" s="23" t="inlineStr"/>
      <c r="Q843" s="23" t="inlineStr"/>
      <c r="R843" s="23" t="inlineStr"/>
      <c r="S843" s="23" t="inlineStr"/>
      <c r="T843" s="23" t="inlineStr"/>
      <c r="U843" s="23" t="inlineStr"/>
      <c r="V843" s="23" t="inlineStr">
        <is>
          <t>WBS Code = 1.4.1</t>
        </is>
      </c>
      <c r="W843" s="23" t="inlineStr"/>
    </row>
    <row r="844" ht="49" customHeight="1">
      <c r="A844" s="23" t="inlineStr">
        <is>
          <t>1.4.1</t>
        </is>
      </c>
      <c r="B844" s="23" t="inlineStr">
        <is>
          <t>Vehicles and Depot - Fleet Supply</t>
        </is>
      </c>
      <c r="C844" s="23" t="inlineStr">
        <is>
          <t>Contractor Programme</t>
        </is>
      </c>
      <c r="D844" s="23" t="inlineStr">
        <is>
          <t>SCH-04-032</t>
        </is>
      </c>
      <c r="E844" s="23" t="inlineStr">
        <is>
          <t>Receiving track: workshop crane installation - field start</t>
        </is>
      </c>
      <c r="F844" s="23" t="inlineStr">
        <is>
          <t>ONE_TO_ONE</t>
        </is>
      </c>
      <c r="G844" s="23" t="inlineStr">
        <is>
          <t>RETAINED</t>
        </is>
      </c>
      <c r="H844" s="23" t="inlineStr">
        <is>
          <t>Carried forward</t>
        </is>
      </c>
      <c r="I844" s="23" t="inlineStr">
        <is>
          <t>Source assignment -- not individually reviewed</t>
        </is>
      </c>
      <c r="J844" s="23" t="inlineStr"/>
      <c r="K844" s="23" t="inlineStr">
        <is>
          <t>Source assignment</t>
        </is>
      </c>
      <c r="L844" s="23" t="inlineStr"/>
      <c r="M844" s="23" t="inlineStr">
        <is>
          <t>Contractor Programme Cycle 2</t>
        </is>
      </c>
      <c r="N844" s="23" t="inlineStr">
        <is>
          <t>Rev 1</t>
        </is>
      </c>
      <c r="O844" s="23" t="inlineStr">
        <is>
          <t>R572-v2</t>
        </is>
      </c>
      <c r="P844" s="23" t="inlineStr"/>
      <c r="Q844" s="23" t="inlineStr"/>
      <c r="R844" s="23" t="inlineStr"/>
      <c r="S844" s="23" t="inlineStr"/>
      <c r="T844" s="23" t="inlineStr"/>
      <c r="U844" s="23" t="inlineStr"/>
      <c r="V844" s="23" t="inlineStr">
        <is>
          <t>WBS Code = 1.4.1</t>
        </is>
      </c>
      <c r="W844" s="23" t="inlineStr"/>
    </row>
    <row r="845" ht="49" customHeight="1">
      <c r="A845" s="23" t="inlineStr">
        <is>
          <t>1.4.1</t>
        </is>
      </c>
      <c r="B845" s="23" t="inlineStr">
        <is>
          <t>Vehicles and Depot - Fleet Supply</t>
        </is>
      </c>
      <c r="C845" s="23" t="inlineStr">
        <is>
          <t>Contractor Programme</t>
        </is>
      </c>
      <c r="D845" s="23" t="inlineStr">
        <is>
          <t>SCH-04-034</t>
        </is>
      </c>
      <c r="E845" s="23" t="inlineStr">
        <is>
          <t>Storage yard: wheel-lathe installation - inspection</t>
        </is>
      </c>
      <c r="F845" s="23" t="inlineStr">
        <is>
          <t>ONE_TO_ONE</t>
        </is>
      </c>
      <c r="G845" s="23" t="inlineStr">
        <is>
          <t>RETAINED</t>
        </is>
      </c>
      <c r="H845" s="23" t="inlineStr">
        <is>
          <t>Carried forward</t>
        </is>
      </c>
      <c r="I845" s="23" t="inlineStr">
        <is>
          <t>Source assignment -- not individually reviewed</t>
        </is>
      </c>
      <c r="J845" s="23" t="inlineStr"/>
      <c r="K845" s="23" t="inlineStr">
        <is>
          <t>Source assignment</t>
        </is>
      </c>
      <c r="L845" s="23" t="inlineStr"/>
      <c r="M845" s="23" t="inlineStr">
        <is>
          <t>Contractor Programme Cycle 2</t>
        </is>
      </c>
      <c r="N845" s="23" t="inlineStr">
        <is>
          <t>Rev 1</t>
        </is>
      </c>
      <c r="O845" s="23" t="inlineStr">
        <is>
          <t>R574-v2</t>
        </is>
      </c>
      <c r="P845" s="23" t="inlineStr"/>
      <c r="Q845" s="23" t="inlineStr"/>
      <c r="R845" s="23" t="inlineStr"/>
      <c r="S845" s="23" t="inlineStr"/>
      <c r="T845" s="23" t="inlineStr"/>
      <c r="U845" s="23" t="inlineStr"/>
      <c r="V845" s="23" t="inlineStr">
        <is>
          <t>WBS Code = 1.4.1</t>
        </is>
      </c>
      <c r="W845" s="23" t="inlineStr"/>
    </row>
    <row r="846" ht="49" customHeight="1">
      <c r="A846" s="23" t="inlineStr">
        <is>
          <t>1.4.1</t>
        </is>
      </c>
      <c r="B846" s="23" t="inlineStr">
        <is>
          <t>Vehicles and Depot - Fleet Supply</t>
        </is>
      </c>
      <c r="C846" s="23" t="inlineStr">
        <is>
          <t>Contractor Programme</t>
        </is>
      </c>
      <c r="D846" s="23" t="inlineStr">
        <is>
          <t>SCH-04-035</t>
        </is>
      </c>
      <c r="E846" s="23" t="inlineStr">
        <is>
          <t>Operations building: fleet software load - turnover</t>
        </is>
      </c>
      <c r="F846" s="23" t="inlineStr">
        <is>
          <t>ONE_TO_ONE</t>
        </is>
      </c>
      <c r="G846" s="23" t="inlineStr">
        <is>
          <t>RETAINED</t>
        </is>
      </c>
      <c r="H846" s="23" t="inlineStr">
        <is>
          <t>Carried forward</t>
        </is>
      </c>
      <c r="I846" s="23" t="inlineStr">
        <is>
          <t>Source assignment -- not individually reviewed</t>
        </is>
      </c>
      <c r="J846" s="23" t="inlineStr"/>
      <c r="K846" s="23" t="inlineStr">
        <is>
          <t>Source assignment</t>
        </is>
      </c>
      <c r="L846" s="23" t="inlineStr"/>
      <c r="M846" s="23" t="inlineStr">
        <is>
          <t>Contractor Programme Cycle 2</t>
        </is>
      </c>
      <c r="N846" s="23" t="inlineStr">
        <is>
          <t>Rev 1</t>
        </is>
      </c>
      <c r="O846" s="23" t="inlineStr">
        <is>
          <t>R575-v2</t>
        </is>
      </c>
      <c r="P846" s="23" t="inlineStr"/>
      <c r="Q846" s="23" t="inlineStr"/>
      <c r="R846" s="23" t="inlineStr"/>
      <c r="S846" s="23" t="inlineStr"/>
      <c r="T846" s="23" t="inlineStr"/>
      <c r="U846" s="23" t="inlineStr"/>
      <c r="V846" s="23" t="inlineStr">
        <is>
          <t>WBS Code = 1.4.1</t>
        </is>
      </c>
      <c r="W846" s="23" t="inlineStr"/>
    </row>
    <row r="847" ht="49" customHeight="1">
      <c r="A847" s="23" t="inlineStr">
        <is>
          <t>1.4.1</t>
        </is>
      </c>
      <c r="B847" s="23" t="inlineStr">
        <is>
          <t>Vehicles and Depot - Fleet Supply</t>
        </is>
      </c>
      <c r="C847" s="23" t="inlineStr">
        <is>
          <t>Contractor Programme</t>
        </is>
      </c>
      <c r="D847" s="23" t="inlineStr">
        <is>
          <t>SCH-04-037</t>
        </is>
      </c>
      <c r="E847" s="23" t="inlineStr">
        <is>
          <t>Receiving track: wash-plant commissioning - field start</t>
        </is>
      </c>
      <c r="F847" s="23" t="inlineStr">
        <is>
          <t>ONE_TO_ONE</t>
        </is>
      </c>
      <c r="G847" s="23" t="inlineStr">
        <is>
          <t>RETAINED</t>
        </is>
      </c>
      <c r="H847" s="23" t="inlineStr">
        <is>
          <t>Carried forward</t>
        </is>
      </c>
      <c r="I847" s="23" t="inlineStr">
        <is>
          <t>Source assignment -- not individually reviewed</t>
        </is>
      </c>
      <c r="J847" s="23" t="inlineStr"/>
      <c r="K847" s="23" t="inlineStr">
        <is>
          <t>Source assignment</t>
        </is>
      </c>
      <c r="L847" s="23" t="inlineStr"/>
      <c r="M847" s="23" t="inlineStr">
        <is>
          <t>Contractor Programme Cycle 2</t>
        </is>
      </c>
      <c r="N847" s="23" t="inlineStr">
        <is>
          <t>Rev 1</t>
        </is>
      </c>
      <c r="O847" s="23" t="inlineStr">
        <is>
          <t>R577-v2</t>
        </is>
      </c>
      <c r="P847" s="23" t="inlineStr"/>
      <c r="Q847" s="23" t="inlineStr"/>
      <c r="R847" s="23" t="inlineStr"/>
      <c r="S847" s="23" t="inlineStr"/>
      <c r="T847" s="23" t="inlineStr"/>
      <c r="U847" s="23" t="inlineStr"/>
      <c r="V847" s="23" t="inlineStr">
        <is>
          <t>WBS Code = 1.4.1</t>
        </is>
      </c>
      <c r="W847" s="23" t="inlineStr"/>
    </row>
    <row r="848" ht="49" customHeight="1">
      <c r="A848" s="23" t="inlineStr">
        <is>
          <t>1.4.1</t>
        </is>
      </c>
      <c r="B848" s="23" t="inlineStr">
        <is>
          <t>Vehicles and Depot - Fleet Supply</t>
        </is>
      </c>
      <c r="C848" s="23" t="inlineStr">
        <is>
          <t>Contractor Programme</t>
        </is>
      </c>
      <c r="D848" s="23" t="inlineStr">
        <is>
          <t>SCH-04-038</t>
        </is>
      </c>
      <c r="E848" s="23" t="inlineStr">
        <is>
          <t>Maintenance shop: maintenance-bay services - installation</t>
        </is>
      </c>
      <c r="F848" s="23" t="inlineStr">
        <is>
          <t>ONE_TO_ONE</t>
        </is>
      </c>
      <c r="G848" s="23" t="inlineStr">
        <is>
          <t>RETAINED</t>
        </is>
      </c>
      <c r="H848" s="23" t="inlineStr">
        <is>
          <t>Carried forward</t>
        </is>
      </c>
      <c r="I848" s="23" t="inlineStr">
        <is>
          <t>Source assignment -- not individually reviewed</t>
        </is>
      </c>
      <c r="J848" s="23" t="inlineStr"/>
      <c r="K848" s="23" t="inlineStr">
        <is>
          <t>Source assignment</t>
        </is>
      </c>
      <c r="L848" s="23" t="inlineStr"/>
      <c r="M848" s="23" t="inlineStr">
        <is>
          <t>Contractor Programme Cycle 2</t>
        </is>
      </c>
      <c r="N848" s="23" t="inlineStr">
        <is>
          <t>Rev 1</t>
        </is>
      </c>
      <c r="O848" s="23" t="inlineStr">
        <is>
          <t>R578-v2</t>
        </is>
      </c>
      <c r="P848" s="23" t="inlineStr"/>
      <c r="Q848" s="23" t="inlineStr"/>
      <c r="R848" s="23" t="inlineStr"/>
      <c r="S848" s="23" t="inlineStr"/>
      <c r="T848" s="23" t="inlineStr"/>
      <c r="U848" s="23" t="inlineStr"/>
      <c r="V848" s="23" t="inlineStr">
        <is>
          <t>WBS Code = 1.4.1</t>
        </is>
      </c>
      <c r="W848" s="23" t="inlineStr"/>
    </row>
    <row r="849" ht="49" customHeight="1">
      <c r="A849" s="23" t="inlineStr">
        <is>
          <t>1.4.1</t>
        </is>
      </c>
      <c r="B849" s="23" t="inlineStr">
        <is>
          <t>Vehicles and Depot - Fleet Supply</t>
        </is>
      </c>
      <c r="C849" s="23" t="inlineStr">
        <is>
          <t>Contractor Programme</t>
        </is>
      </c>
      <c r="D849" s="23" t="inlineStr">
        <is>
          <t>SCH-04-040</t>
        </is>
      </c>
      <c r="E849" s="23" t="inlineStr">
        <is>
          <t>Operations building: workshop crane installation - turnover</t>
        </is>
      </c>
      <c r="F849" s="23" t="inlineStr">
        <is>
          <t>ONE_TO_ONE</t>
        </is>
      </c>
      <c r="G849" s="23" t="inlineStr">
        <is>
          <t>RETAINED</t>
        </is>
      </c>
      <c r="H849" s="23" t="inlineStr">
        <is>
          <t>Carried forward</t>
        </is>
      </c>
      <c r="I849" s="23" t="inlineStr">
        <is>
          <t>Source assignment -- not individually reviewed</t>
        </is>
      </c>
      <c r="J849" s="23" t="inlineStr"/>
      <c r="K849" s="23" t="inlineStr">
        <is>
          <t>Source assignment</t>
        </is>
      </c>
      <c r="L849" s="23" t="inlineStr"/>
      <c r="M849" s="23" t="inlineStr">
        <is>
          <t>Contractor Programme Cycle 2</t>
        </is>
      </c>
      <c r="N849" s="23" t="inlineStr">
        <is>
          <t>Rev 1</t>
        </is>
      </c>
      <c r="O849" s="23" t="inlineStr">
        <is>
          <t>R580-v2</t>
        </is>
      </c>
      <c r="P849" s="23" t="inlineStr"/>
      <c r="Q849" s="23" t="inlineStr"/>
      <c r="R849" s="23" t="inlineStr"/>
      <c r="S849" s="23" t="inlineStr"/>
      <c r="T849" s="23" t="inlineStr"/>
      <c r="U849" s="23" t="inlineStr"/>
      <c r="V849" s="23" t="inlineStr">
        <is>
          <t>WBS Code = 1.4.1</t>
        </is>
      </c>
      <c r="W849" s="23" t="inlineStr"/>
    </row>
    <row r="850" ht="49" customHeight="1">
      <c r="A850" s="23" t="inlineStr">
        <is>
          <t>1.4.1</t>
        </is>
      </c>
      <c r="B850" s="23" t="inlineStr">
        <is>
          <t>Vehicles and Depot - Fleet Supply</t>
        </is>
      </c>
      <c r="C850" s="23" t="inlineStr">
        <is>
          <t>Contractor Programme</t>
        </is>
      </c>
      <c r="D850" s="23" t="inlineStr">
        <is>
          <t>SCH-04-041</t>
        </is>
      </c>
      <c r="E850" s="23" t="inlineStr">
        <is>
          <t>Test track: vehicle-to-depot interface check - release</t>
        </is>
      </c>
      <c r="F850" s="23" t="inlineStr">
        <is>
          <t>ONE_TO_ONE</t>
        </is>
      </c>
      <c r="G850" s="23" t="inlineStr">
        <is>
          <t>RETAINED</t>
        </is>
      </c>
      <c r="H850" s="23" t="inlineStr">
        <is>
          <t>Carried forward</t>
        </is>
      </c>
      <c r="I850" s="23" t="inlineStr">
        <is>
          <t>Source assignment -- not individually reviewed</t>
        </is>
      </c>
      <c r="J850" s="23" t="inlineStr"/>
      <c r="K850" s="23" t="inlineStr">
        <is>
          <t>Source assignment</t>
        </is>
      </c>
      <c r="L850" s="23" t="inlineStr"/>
      <c r="M850" s="23" t="inlineStr">
        <is>
          <t>Contractor Programme Cycle 2</t>
        </is>
      </c>
      <c r="N850" s="23" t="inlineStr">
        <is>
          <t>Rev 1</t>
        </is>
      </c>
      <c r="O850" s="23" t="inlineStr">
        <is>
          <t>R581-v2</t>
        </is>
      </c>
      <c r="P850" s="23" t="inlineStr"/>
      <c r="Q850" s="23" t="inlineStr"/>
      <c r="R850" s="23" t="inlineStr"/>
      <c r="S850" s="23" t="inlineStr"/>
      <c r="T850" s="23" t="inlineStr"/>
      <c r="U850" s="23" t="inlineStr"/>
      <c r="V850" s="23" t="inlineStr">
        <is>
          <t>WBS Code = 1.4.1</t>
        </is>
      </c>
      <c r="W850" s="23" t="inlineStr"/>
    </row>
    <row r="851" ht="49" customHeight="1">
      <c r="A851" s="23" t="inlineStr">
        <is>
          <t>1.4.1</t>
        </is>
      </c>
      <c r="B851" s="23" t="inlineStr">
        <is>
          <t>Vehicles and Depot - Fleet Supply</t>
        </is>
      </c>
      <c r="C851" s="23" t="inlineStr">
        <is>
          <t>Contractor Programme</t>
        </is>
      </c>
      <c r="D851" s="23" t="inlineStr">
        <is>
          <t>SCH-04-043</t>
        </is>
      </c>
      <c r="E851" s="23" t="inlineStr">
        <is>
          <t>Maintenance shop: fleet software load - installation</t>
        </is>
      </c>
      <c r="F851" s="23" t="inlineStr">
        <is>
          <t>ONE_TO_ONE</t>
        </is>
      </c>
      <c r="G851" s="23" t="inlineStr">
        <is>
          <t>RETAINED</t>
        </is>
      </c>
      <c r="H851" s="23" t="inlineStr">
        <is>
          <t>Carried forward</t>
        </is>
      </c>
      <c r="I851" s="23" t="inlineStr">
        <is>
          <t>Source assignment -- not individually reviewed</t>
        </is>
      </c>
      <c r="J851" s="23" t="inlineStr"/>
      <c r="K851" s="23" t="inlineStr">
        <is>
          <t>Source assignment</t>
        </is>
      </c>
      <c r="L851" s="23" t="inlineStr"/>
      <c r="M851" s="23" t="inlineStr">
        <is>
          <t>Contractor Programme Cycle 2</t>
        </is>
      </c>
      <c r="N851" s="23" t="inlineStr">
        <is>
          <t>Rev 1</t>
        </is>
      </c>
      <c r="O851" s="23" t="inlineStr">
        <is>
          <t>R583-v2</t>
        </is>
      </c>
      <c r="P851" s="23" t="inlineStr"/>
      <c r="Q851" s="23" t="inlineStr"/>
      <c r="R851" s="23" t="inlineStr"/>
      <c r="S851" s="23" t="inlineStr"/>
      <c r="T851" s="23" t="inlineStr"/>
      <c r="U851" s="23" t="inlineStr"/>
      <c r="V851" s="23" t="inlineStr">
        <is>
          <t>WBS Code = 1.4.1</t>
        </is>
      </c>
      <c r="W851" s="23" t="inlineStr"/>
    </row>
    <row r="852" ht="49" customHeight="1">
      <c r="A852" s="23" t="inlineStr">
        <is>
          <t>1.4.1</t>
        </is>
      </c>
      <c r="B852" s="23" t="inlineStr">
        <is>
          <t>Vehicles and Depot - Fleet Supply</t>
        </is>
      </c>
      <c r="C852" s="23" t="inlineStr">
        <is>
          <t>Contractor Programme</t>
        </is>
      </c>
      <c r="D852" s="23" t="inlineStr">
        <is>
          <t>SCH-04-044</t>
        </is>
      </c>
      <c r="E852" s="23" t="inlineStr">
        <is>
          <t>Storage yard: vehicle delivery inspection - inspection</t>
        </is>
      </c>
      <c r="F852" s="23" t="inlineStr">
        <is>
          <t>ONE_TO_ONE</t>
        </is>
      </c>
      <c r="G852" s="23" t="inlineStr">
        <is>
          <t>RETAINED</t>
        </is>
      </c>
      <c r="H852" s="23" t="inlineStr">
        <is>
          <t>Carried forward</t>
        </is>
      </c>
      <c r="I852" s="23" t="inlineStr">
        <is>
          <t>Source assignment -- not individually reviewed</t>
        </is>
      </c>
      <c r="J852" s="23" t="inlineStr"/>
      <c r="K852" s="23" t="inlineStr">
        <is>
          <t>Source assignment</t>
        </is>
      </c>
      <c r="L852" s="23" t="inlineStr"/>
      <c r="M852" s="23" t="inlineStr">
        <is>
          <t>Contractor Programme Cycle 2</t>
        </is>
      </c>
      <c r="N852" s="23" t="inlineStr">
        <is>
          <t>Rev 1</t>
        </is>
      </c>
      <c r="O852" s="23" t="inlineStr">
        <is>
          <t>R584-v2</t>
        </is>
      </c>
      <c r="P852" s="23" t="inlineStr"/>
      <c r="Q852" s="23" t="inlineStr"/>
      <c r="R852" s="23" t="inlineStr"/>
      <c r="S852" s="23" t="inlineStr"/>
      <c r="T852" s="23" t="inlineStr"/>
      <c r="U852" s="23" t="inlineStr"/>
      <c r="V852" s="23" t="inlineStr">
        <is>
          <t>WBS Code = 1.4.1</t>
        </is>
      </c>
      <c r="W852" s="23" t="inlineStr"/>
    </row>
    <row r="853" ht="49" customHeight="1">
      <c r="A853" s="23" t="inlineStr">
        <is>
          <t>1.4.1</t>
        </is>
      </c>
      <c r="B853" s="23" t="inlineStr">
        <is>
          <t>Vehicles and Depot - Fleet Supply</t>
        </is>
      </c>
      <c r="C853" s="23" t="inlineStr">
        <is>
          <t>Contractor Programme</t>
        </is>
      </c>
      <c r="D853" s="23" t="inlineStr">
        <is>
          <t>SCH-04-046</t>
        </is>
      </c>
      <c r="E853" s="23" t="inlineStr">
        <is>
          <t>Test track: maintenance-bay services - release</t>
        </is>
      </c>
      <c r="F853" s="23" t="inlineStr">
        <is>
          <t>ONE_TO_ONE</t>
        </is>
      </c>
      <c r="G853" s="23" t="inlineStr">
        <is>
          <t>RETAINED</t>
        </is>
      </c>
      <c r="H853" s="23" t="inlineStr">
        <is>
          <t>Carried forward</t>
        </is>
      </c>
      <c r="I853" s="23" t="inlineStr">
        <is>
          <t>Source assignment -- not individually reviewed</t>
        </is>
      </c>
      <c r="J853" s="23" t="inlineStr"/>
      <c r="K853" s="23" t="inlineStr">
        <is>
          <t>Source assignment</t>
        </is>
      </c>
      <c r="L853" s="23" t="inlineStr"/>
      <c r="M853" s="23" t="inlineStr">
        <is>
          <t>Contractor Programme Cycle 2</t>
        </is>
      </c>
      <c r="N853" s="23" t="inlineStr">
        <is>
          <t>Rev 1</t>
        </is>
      </c>
      <c r="O853" s="23" t="inlineStr">
        <is>
          <t>R586-v2</t>
        </is>
      </c>
      <c r="P853" s="23" t="inlineStr"/>
      <c r="Q853" s="23" t="inlineStr"/>
      <c r="R853" s="23" t="inlineStr"/>
      <c r="S853" s="23" t="inlineStr"/>
      <c r="T853" s="23" t="inlineStr"/>
      <c r="U853" s="23" t="inlineStr"/>
      <c r="V853" s="23" t="inlineStr">
        <is>
          <t>WBS Code = 1.4.1</t>
        </is>
      </c>
      <c r="W853" s="23" t="inlineStr"/>
    </row>
    <row r="854" ht="49" customHeight="1">
      <c r="A854" s="23" t="inlineStr">
        <is>
          <t>1.4.1</t>
        </is>
      </c>
      <c r="B854" s="23" t="inlineStr">
        <is>
          <t>Vehicles and Depot - Fleet Supply</t>
        </is>
      </c>
      <c r="C854" s="23" t="inlineStr">
        <is>
          <t>Contractor Programme</t>
        </is>
      </c>
      <c r="D854" s="23" t="inlineStr">
        <is>
          <t>SCH-04-047</t>
        </is>
      </c>
      <c r="E854" s="23" t="inlineStr">
        <is>
          <t>Receiving track: depot structural fit-out - field start</t>
        </is>
      </c>
      <c r="F854" s="23" t="inlineStr">
        <is>
          <t>ONE_TO_ONE</t>
        </is>
      </c>
      <c r="G854" s="23" t="inlineStr">
        <is>
          <t>RETAINED</t>
        </is>
      </c>
      <c r="H854" s="23" t="inlineStr">
        <is>
          <t>Carried forward</t>
        </is>
      </c>
      <c r="I854" s="23" t="inlineStr">
        <is>
          <t>Source assignment -- not individually reviewed</t>
        </is>
      </c>
      <c r="J854" s="23" t="inlineStr"/>
      <c r="K854" s="23" t="inlineStr">
        <is>
          <t>Source assignment</t>
        </is>
      </c>
      <c r="L854" s="23" t="inlineStr"/>
      <c r="M854" s="23" t="inlineStr">
        <is>
          <t>Contractor Programme Cycle 2</t>
        </is>
      </c>
      <c r="N854" s="23" t="inlineStr">
        <is>
          <t>Rev 1</t>
        </is>
      </c>
      <c r="O854" s="23" t="inlineStr">
        <is>
          <t>R587-v2</t>
        </is>
      </c>
      <c r="P854" s="23" t="inlineStr"/>
      <c r="Q854" s="23" t="inlineStr"/>
      <c r="R854" s="23" t="inlineStr"/>
      <c r="S854" s="23" t="inlineStr"/>
      <c r="T854" s="23" t="inlineStr"/>
      <c r="U854" s="23" t="inlineStr"/>
      <c r="V854" s="23" t="inlineStr">
        <is>
          <t>WBS Code = 1.4.1</t>
        </is>
      </c>
      <c r="W854" s="23" t="inlineStr"/>
    </row>
    <row r="855" ht="49" customHeight="1">
      <c r="A855" s="23" t="inlineStr">
        <is>
          <t>1.4.1</t>
        </is>
      </c>
      <c r="B855" s="23" t="inlineStr">
        <is>
          <t>Vehicles and Depot - Fleet Supply</t>
        </is>
      </c>
      <c r="C855" s="23" t="inlineStr">
        <is>
          <t>Contractor Programme</t>
        </is>
      </c>
      <c r="D855" s="23" t="inlineStr">
        <is>
          <t>SCH-04-049</t>
        </is>
      </c>
      <c r="E855" s="23" t="inlineStr">
        <is>
          <t>Storage yard: vehicle-to-depot interface check - inspection</t>
        </is>
      </c>
      <c r="F855" s="23" t="inlineStr">
        <is>
          <t>ONE_TO_ONE</t>
        </is>
      </c>
      <c r="G855" s="23" t="inlineStr">
        <is>
          <t>RETAINED</t>
        </is>
      </c>
      <c r="H855" s="23" t="inlineStr">
        <is>
          <t>Carried forward</t>
        </is>
      </c>
      <c r="I855" s="23" t="inlineStr">
        <is>
          <t>Source assignment -- not individually reviewed</t>
        </is>
      </c>
      <c r="J855" s="23" t="inlineStr"/>
      <c r="K855" s="23" t="inlineStr">
        <is>
          <t>Source assignment</t>
        </is>
      </c>
      <c r="L855" s="23" t="inlineStr"/>
      <c r="M855" s="23" t="inlineStr">
        <is>
          <t>Contractor Programme Cycle 2</t>
        </is>
      </c>
      <c r="N855" s="23" t="inlineStr">
        <is>
          <t>Rev 1</t>
        </is>
      </c>
      <c r="O855" s="23" t="inlineStr">
        <is>
          <t>R589-v2</t>
        </is>
      </c>
      <c r="P855" s="23" t="inlineStr"/>
      <c r="Q855" s="23" t="inlineStr"/>
      <c r="R855" s="23" t="inlineStr"/>
      <c r="S855" s="23" t="inlineStr"/>
      <c r="T855" s="23" t="inlineStr"/>
      <c r="U855" s="23" t="inlineStr"/>
      <c r="V855" s="23" t="inlineStr">
        <is>
          <t>WBS Code = 1.4.1</t>
        </is>
      </c>
      <c r="W855" s="23" t="inlineStr"/>
    </row>
    <row r="856" ht="49" customHeight="1">
      <c r="A856" s="23" t="inlineStr">
        <is>
          <t>1.4.1</t>
        </is>
      </c>
      <c r="B856" s="23" t="inlineStr">
        <is>
          <t>Vehicles and Depot - Fleet Supply</t>
        </is>
      </c>
      <c r="C856" s="23" t="inlineStr">
        <is>
          <t>Contractor Programme</t>
        </is>
      </c>
      <c r="D856" s="23" t="inlineStr">
        <is>
          <t>SCH-04-050</t>
        </is>
      </c>
      <c r="E856" s="23" t="inlineStr">
        <is>
          <t>Operations building: wheel-lathe installation - turnover</t>
        </is>
      </c>
      <c r="F856" s="23" t="inlineStr">
        <is>
          <t>ONE_TO_ONE</t>
        </is>
      </c>
      <c r="G856" s="23" t="inlineStr">
        <is>
          <t>RETAINED</t>
        </is>
      </c>
      <c r="H856" s="23" t="inlineStr">
        <is>
          <t>Carried forward</t>
        </is>
      </c>
      <c r="I856" s="23" t="inlineStr">
        <is>
          <t>Source assignment -- not individually reviewed</t>
        </is>
      </c>
      <c r="J856" s="23" t="inlineStr"/>
      <c r="K856" s="23" t="inlineStr">
        <is>
          <t>Source assignment</t>
        </is>
      </c>
      <c r="L856" s="23" t="inlineStr"/>
      <c r="M856" s="23" t="inlineStr">
        <is>
          <t>Contractor Programme Cycle 2</t>
        </is>
      </c>
      <c r="N856" s="23" t="inlineStr">
        <is>
          <t>Rev 1</t>
        </is>
      </c>
      <c r="O856" s="23" t="inlineStr">
        <is>
          <t>R590-v2</t>
        </is>
      </c>
      <c r="P856" s="23" t="inlineStr"/>
      <c r="Q856" s="23" t="inlineStr"/>
      <c r="R856" s="23" t="inlineStr"/>
      <c r="S856" s="23" t="inlineStr"/>
      <c r="T856" s="23" t="inlineStr"/>
      <c r="U856" s="23" t="inlineStr"/>
      <c r="V856" s="23" t="inlineStr">
        <is>
          <t>WBS Code = 1.4.1</t>
        </is>
      </c>
      <c r="W856" s="23" t="inlineStr"/>
    </row>
    <row r="857" ht="49" customHeight="1">
      <c r="A857" s="23" t="inlineStr">
        <is>
          <t>1.4.1</t>
        </is>
      </c>
      <c r="B857" s="23" t="inlineStr">
        <is>
          <t>Vehicles and Depot - Fleet Supply</t>
        </is>
      </c>
      <c r="C857" s="23" t="inlineStr">
        <is>
          <t>Contractor Programme</t>
        </is>
      </c>
      <c r="D857" s="23" t="inlineStr">
        <is>
          <t>SCH-04-052</t>
        </is>
      </c>
      <c r="E857" s="23" t="inlineStr">
        <is>
          <t>Receiving track: vehicle delivery inspection - field start</t>
        </is>
      </c>
      <c r="F857" s="23" t="inlineStr">
        <is>
          <t>ONE_TO_ONE</t>
        </is>
      </c>
      <c r="G857" s="23" t="inlineStr">
        <is>
          <t>RETAINED</t>
        </is>
      </c>
      <c r="H857" s="23" t="inlineStr">
        <is>
          <t>Carried forward</t>
        </is>
      </c>
      <c r="I857" s="23" t="inlineStr">
        <is>
          <t>Source assignment -- not individually reviewed</t>
        </is>
      </c>
      <c r="J857" s="23" t="inlineStr"/>
      <c r="K857" s="23" t="inlineStr">
        <is>
          <t>Source assignment</t>
        </is>
      </c>
      <c r="L857" s="23" t="inlineStr"/>
      <c r="M857" s="23" t="inlineStr">
        <is>
          <t>Contractor Programme Cycle 2</t>
        </is>
      </c>
      <c r="N857" s="23" t="inlineStr">
        <is>
          <t>Rev 1</t>
        </is>
      </c>
      <c r="O857" s="23" t="inlineStr">
        <is>
          <t>R592-v2</t>
        </is>
      </c>
      <c r="P857" s="23" t="inlineStr"/>
      <c r="Q857" s="23" t="inlineStr"/>
      <c r="R857" s="23" t="inlineStr"/>
      <c r="S857" s="23" t="inlineStr"/>
      <c r="T857" s="23" t="inlineStr"/>
      <c r="U857" s="23" t="inlineStr"/>
      <c r="V857" s="23" t="inlineStr">
        <is>
          <t>WBS Code = 1.4.1</t>
        </is>
      </c>
      <c r="W857" s="23" t="inlineStr"/>
    </row>
    <row r="858" ht="49" customHeight="1">
      <c r="A858" s="23" t="inlineStr">
        <is>
          <t>1.4.1</t>
        </is>
      </c>
      <c r="B858" s="23" t="inlineStr">
        <is>
          <t>Vehicles and Depot - Fleet Supply</t>
        </is>
      </c>
      <c r="C858" s="23" t="inlineStr">
        <is>
          <t>Contractor Programme</t>
        </is>
      </c>
      <c r="D858" s="23" t="inlineStr">
        <is>
          <t>SCH-04-053</t>
        </is>
      </c>
      <c r="E858" s="23" t="inlineStr">
        <is>
          <t>Maintenance shop: wash-plant commissioning - installation</t>
        </is>
      </c>
      <c r="F858" s="23" t="inlineStr">
        <is>
          <t>ONE_TO_ONE</t>
        </is>
      </c>
      <c r="G858" s="23" t="inlineStr">
        <is>
          <t>RETAINED</t>
        </is>
      </c>
      <c r="H858" s="23" t="inlineStr">
        <is>
          <t>Carried forward</t>
        </is>
      </c>
      <c r="I858" s="23" t="inlineStr">
        <is>
          <t>Source assignment -- not individually reviewed</t>
        </is>
      </c>
      <c r="J858" s="23" t="inlineStr"/>
      <c r="K858" s="23" t="inlineStr">
        <is>
          <t>Source assignment</t>
        </is>
      </c>
      <c r="L858" s="23" t="inlineStr"/>
      <c r="M858" s="23" t="inlineStr">
        <is>
          <t>Contractor Programme Cycle 2</t>
        </is>
      </c>
      <c r="N858" s="23" t="inlineStr">
        <is>
          <t>Rev 1</t>
        </is>
      </c>
      <c r="O858" s="23" t="inlineStr">
        <is>
          <t>R593-v2</t>
        </is>
      </c>
      <c r="P858" s="23" t="inlineStr"/>
      <c r="Q858" s="23" t="inlineStr"/>
      <c r="R858" s="23" t="inlineStr"/>
      <c r="S858" s="23" t="inlineStr"/>
      <c r="T858" s="23" t="inlineStr"/>
      <c r="U858" s="23" t="inlineStr"/>
      <c r="V858" s="23" t="inlineStr">
        <is>
          <t>WBS Code = 1.4.1</t>
        </is>
      </c>
      <c r="W858" s="23" t="inlineStr"/>
    </row>
    <row r="859" ht="49" customHeight="1">
      <c r="A859" s="23" t="inlineStr">
        <is>
          <t>1.4.1</t>
        </is>
      </c>
      <c r="B859" s="23" t="inlineStr">
        <is>
          <t>Vehicles and Depot - Fleet Supply</t>
        </is>
      </c>
      <c r="C859" s="23" t="inlineStr">
        <is>
          <t>Contractor Programme</t>
        </is>
      </c>
      <c r="D859" s="23" t="inlineStr">
        <is>
          <t>SCH-04-055</t>
        </is>
      </c>
      <c r="E859" s="23" t="inlineStr">
        <is>
          <t>Operations building: depot structural fit-out - turnover</t>
        </is>
      </c>
      <c r="F859" s="23" t="inlineStr">
        <is>
          <t>ONE_TO_ONE</t>
        </is>
      </c>
      <c r="G859" s="23" t="inlineStr">
        <is>
          <t>RETAINED</t>
        </is>
      </c>
      <c r="H859" s="23" t="inlineStr">
        <is>
          <t>Carried forward</t>
        </is>
      </c>
      <c r="I859" s="23" t="inlineStr">
        <is>
          <t>Source assignment -- not individually reviewed</t>
        </is>
      </c>
      <c r="J859" s="23" t="inlineStr"/>
      <c r="K859" s="23" t="inlineStr">
        <is>
          <t>Source assignment</t>
        </is>
      </c>
      <c r="L859" s="23" t="inlineStr"/>
      <c r="M859" s="23" t="inlineStr">
        <is>
          <t>Contractor Programme Cycle 2</t>
        </is>
      </c>
      <c r="N859" s="23" t="inlineStr">
        <is>
          <t>Rev 1</t>
        </is>
      </c>
      <c r="O859" s="23" t="inlineStr">
        <is>
          <t>R595-v2</t>
        </is>
      </c>
      <c r="P859" s="23" t="inlineStr"/>
      <c r="Q859" s="23" t="inlineStr"/>
      <c r="R859" s="23" t="inlineStr"/>
      <c r="S859" s="23" t="inlineStr"/>
      <c r="T859" s="23" t="inlineStr"/>
      <c r="U859" s="23" t="inlineStr"/>
      <c r="V859" s="23" t="inlineStr">
        <is>
          <t>WBS Code = 1.4.1</t>
        </is>
      </c>
      <c r="W859" s="23" t="inlineStr"/>
    </row>
    <row r="860" ht="49" customHeight="1">
      <c r="A860" s="23" t="inlineStr">
        <is>
          <t>1.4.1</t>
        </is>
      </c>
      <c r="B860" s="23" t="inlineStr">
        <is>
          <t>Vehicles and Depot - Fleet Supply</t>
        </is>
      </c>
      <c r="C860" s="23" t="inlineStr">
        <is>
          <t>Contractor Programme</t>
        </is>
      </c>
      <c r="D860" s="23" t="inlineStr">
        <is>
          <t>SCH-04-056</t>
        </is>
      </c>
      <c r="E860" s="23" t="inlineStr">
        <is>
          <t>Test track: workshop crane installation - release</t>
        </is>
      </c>
      <c r="F860" s="23" t="inlineStr">
        <is>
          <t>ONE_TO_ONE</t>
        </is>
      </c>
      <c r="G860" s="23" t="inlineStr">
        <is>
          <t>RETAINED</t>
        </is>
      </c>
      <c r="H860" s="23" t="inlineStr">
        <is>
          <t>Carried forward</t>
        </is>
      </c>
      <c r="I860" s="23" t="inlineStr">
        <is>
          <t>Source assignment -- not individually reviewed</t>
        </is>
      </c>
      <c r="J860" s="23" t="inlineStr"/>
      <c r="K860" s="23" t="inlineStr">
        <is>
          <t>Source assignment</t>
        </is>
      </c>
      <c r="L860" s="23" t="inlineStr"/>
      <c r="M860" s="23" t="inlineStr">
        <is>
          <t>Contractor Programme Cycle 2</t>
        </is>
      </c>
      <c r="N860" s="23" t="inlineStr">
        <is>
          <t>Rev 1</t>
        </is>
      </c>
      <c r="O860" s="23" t="inlineStr">
        <is>
          <t>R596-v2</t>
        </is>
      </c>
      <c r="P860" s="23" t="inlineStr"/>
      <c r="Q860" s="23" t="inlineStr"/>
      <c r="R860" s="23" t="inlineStr"/>
      <c r="S860" s="23" t="inlineStr"/>
      <c r="T860" s="23" t="inlineStr"/>
      <c r="U860" s="23" t="inlineStr"/>
      <c r="V860" s="23" t="inlineStr">
        <is>
          <t>WBS Code = 1.4.1</t>
        </is>
      </c>
      <c r="W860" s="23" t="inlineStr"/>
    </row>
    <row r="861" ht="49" customHeight="1">
      <c r="A861" s="23" t="inlineStr">
        <is>
          <t>1.4.1</t>
        </is>
      </c>
      <c r="B861" s="23" t="inlineStr">
        <is>
          <t>Vehicles and Depot - Fleet Supply</t>
        </is>
      </c>
      <c r="C861" s="23" t="inlineStr">
        <is>
          <t>Contractor Programme</t>
        </is>
      </c>
      <c r="D861" s="23" t="inlineStr">
        <is>
          <t>SCH-04-058</t>
        </is>
      </c>
      <c r="E861" s="23" t="inlineStr">
        <is>
          <t>Maintenance shop: wheel-lathe installation - installation</t>
        </is>
      </c>
      <c r="F861" s="23" t="inlineStr">
        <is>
          <t>ONE_TO_ONE</t>
        </is>
      </c>
      <c r="G861" s="23" t="inlineStr">
        <is>
          <t>RETAINED</t>
        </is>
      </c>
      <c r="H861" s="23" t="inlineStr">
        <is>
          <t>Carried forward</t>
        </is>
      </c>
      <c r="I861" s="23" t="inlineStr">
        <is>
          <t>Source assignment -- not individually reviewed</t>
        </is>
      </c>
      <c r="J861" s="23" t="inlineStr"/>
      <c r="K861" s="23" t="inlineStr">
        <is>
          <t>Source assignment</t>
        </is>
      </c>
      <c r="L861" s="23" t="inlineStr"/>
      <c r="M861" s="23" t="inlineStr">
        <is>
          <t>Contractor Programme Cycle 2</t>
        </is>
      </c>
      <c r="N861" s="23" t="inlineStr">
        <is>
          <t>Rev 1</t>
        </is>
      </c>
      <c r="O861" s="23" t="inlineStr">
        <is>
          <t>R598-v2</t>
        </is>
      </c>
      <c r="P861" s="23" t="inlineStr"/>
      <c r="Q861" s="23" t="inlineStr"/>
      <c r="R861" s="23" t="inlineStr"/>
      <c r="S861" s="23" t="inlineStr"/>
      <c r="T861" s="23" t="inlineStr"/>
      <c r="U861" s="23" t="inlineStr"/>
      <c r="V861" s="23" t="inlineStr">
        <is>
          <t>WBS Code = 1.4.1</t>
        </is>
      </c>
      <c r="W861" s="23" t="inlineStr"/>
    </row>
    <row r="862" ht="49" customHeight="1">
      <c r="A862" s="23" t="inlineStr">
        <is>
          <t>1.4.1</t>
        </is>
      </c>
      <c r="B862" s="23" t="inlineStr">
        <is>
          <t>Vehicles and Depot - Fleet Supply</t>
        </is>
      </c>
      <c r="C862" s="23" t="inlineStr">
        <is>
          <t>Contractor Programme</t>
        </is>
      </c>
      <c r="D862" s="23" t="inlineStr">
        <is>
          <t>SCH-04-059</t>
        </is>
      </c>
      <c r="E862" s="23" t="inlineStr">
        <is>
          <t>Storage yard: fleet software load - inspection</t>
        </is>
      </c>
      <c r="F862" s="23" t="inlineStr">
        <is>
          <t>ONE_TO_ONE</t>
        </is>
      </c>
      <c r="G862" s="23" t="inlineStr">
        <is>
          <t>RETAINED</t>
        </is>
      </c>
      <c r="H862" s="23" t="inlineStr">
        <is>
          <t>Carried forward</t>
        </is>
      </c>
      <c r="I862" s="23" t="inlineStr">
        <is>
          <t>Source assignment -- not individually reviewed</t>
        </is>
      </c>
      <c r="J862" s="23" t="inlineStr"/>
      <c r="K862" s="23" t="inlineStr">
        <is>
          <t>Source assignment</t>
        </is>
      </c>
      <c r="L862" s="23" t="inlineStr"/>
      <c r="M862" s="23" t="inlineStr">
        <is>
          <t>Contractor Programme Cycle 2</t>
        </is>
      </c>
      <c r="N862" s="23" t="inlineStr">
        <is>
          <t>Rev 1</t>
        </is>
      </c>
      <c r="O862" s="23" t="inlineStr">
        <is>
          <t>R599-v2</t>
        </is>
      </c>
      <c r="P862" s="23" t="inlineStr"/>
      <c r="Q862" s="23" t="inlineStr"/>
      <c r="R862" s="23" t="inlineStr"/>
      <c r="S862" s="23" t="inlineStr"/>
      <c r="T862" s="23" t="inlineStr"/>
      <c r="U862" s="23" t="inlineStr"/>
      <c r="V862" s="23" t="inlineStr">
        <is>
          <t>WBS Code = 1.4.1</t>
        </is>
      </c>
      <c r="W862" s="23" t="inlineStr"/>
    </row>
    <row r="863" ht="49" customHeight="1">
      <c r="A863" s="23" t="inlineStr">
        <is>
          <t>1.4.1</t>
        </is>
      </c>
      <c r="B863" s="23" t="inlineStr">
        <is>
          <t>Vehicles and Depot - Fleet Supply</t>
        </is>
      </c>
      <c r="C863" s="23" t="inlineStr">
        <is>
          <t>Contractor Programme</t>
        </is>
      </c>
      <c r="D863" s="23" t="inlineStr">
        <is>
          <t>SCH-04-061</t>
        </is>
      </c>
      <c r="E863" s="23" t="inlineStr">
        <is>
          <t>Test track: wash-plant commissioning - release</t>
        </is>
      </c>
      <c r="F863" s="23" t="inlineStr">
        <is>
          <t>ONE_TO_ONE</t>
        </is>
      </c>
      <c r="G863" s="23" t="inlineStr">
        <is>
          <t>RETAINED</t>
        </is>
      </c>
      <c r="H863" s="23" t="inlineStr">
        <is>
          <t>Carried forward</t>
        </is>
      </c>
      <c r="I863" s="23" t="inlineStr">
        <is>
          <t>Source assignment -- not individually reviewed</t>
        </is>
      </c>
      <c r="J863" s="23" t="inlineStr"/>
      <c r="K863" s="23" t="inlineStr">
        <is>
          <t>Source assignment</t>
        </is>
      </c>
      <c r="L863" s="23" t="inlineStr"/>
      <c r="M863" s="23" t="inlineStr">
        <is>
          <t>Contractor Programme Cycle 2</t>
        </is>
      </c>
      <c r="N863" s="23" t="inlineStr">
        <is>
          <t>Rev 1</t>
        </is>
      </c>
      <c r="O863" s="23" t="inlineStr">
        <is>
          <t>R601-v2</t>
        </is>
      </c>
      <c r="P863" s="23" t="inlineStr"/>
      <c r="Q863" s="23" t="inlineStr"/>
      <c r="R863" s="23" t="inlineStr"/>
      <c r="S863" s="23" t="inlineStr"/>
      <c r="T863" s="23" t="inlineStr"/>
      <c r="U863" s="23" t="inlineStr"/>
      <c r="V863" s="23" t="inlineStr">
        <is>
          <t>WBS Code = 1.4.1</t>
        </is>
      </c>
      <c r="W863" s="23" t="inlineStr"/>
    </row>
    <row r="864" ht="49" customHeight="1">
      <c r="A864" s="23" t="inlineStr">
        <is>
          <t>1.4.1</t>
        </is>
      </c>
      <c r="B864" s="23" t="inlineStr">
        <is>
          <t>Vehicles and Depot - Fleet Supply</t>
        </is>
      </c>
      <c r="C864" s="23" t="inlineStr">
        <is>
          <t>Contractor Programme</t>
        </is>
      </c>
      <c r="D864" s="23" t="inlineStr">
        <is>
          <t>SCH-04-062</t>
        </is>
      </c>
      <c r="E864" s="23" t="inlineStr">
        <is>
          <t>Receiving track: maintenance-bay services - field start</t>
        </is>
      </c>
      <c r="F864" s="23" t="inlineStr">
        <is>
          <t>ONE_TO_ONE</t>
        </is>
      </c>
      <c r="G864" s="23" t="inlineStr">
        <is>
          <t>RETAINED</t>
        </is>
      </c>
      <c r="H864" s="23" t="inlineStr">
        <is>
          <t>Carried forward</t>
        </is>
      </c>
      <c r="I864" s="23" t="inlineStr">
        <is>
          <t>Source assignment -- not individually reviewed</t>
        </is>
      </c>
      <c r="J864" s="23" t="inlineStr"/>
      <c r="K864" s="23" t="inlineStr">
        <is>
          <t>Source assignment</t>
        </is>
      </c>
      <c r="L864" s="23" t="inlineStr"/>
      <c r="M864" s="23" t="inlineStr">
        <is>
          <t>Contractor Programme Cycle 2</t>
        </is>
      </c>
      <c r="N864" s="23" t="inlineStr">
        <is>
          <t>Rev 1</t>
        </is>
      </c>
      <c r="O864" s="23" t="inlineStr">
        <is>
          <t>R602-v2</t>
        </is>
      </c>
      <c r="P864" s="23" t="inlineStr"/>
      <c r="Q864" s="23" t="inlineStr"/>
      <c r="R864" s="23" t="inlineStr"/>
      <c r="S864" s="23" t="inlineStr"/>
      <c r="T864" s="23" t="inlineStr"/>
      <c r="U864" s="23" t="inlineStr"/>
      <c r="V864" s="23" t="inlineStr">
        <is>
          <t>WBS Code = 1.4.1</t>
        </is>
      </c>
      <c r="W864" s="23" t="inlineStr"/>
    </row>
    <row r="865" ht="49" customHeight="1">
      <c r="A865" s="23" t="inlineStr">
        <is>
          <t>1.4.1</t>
        </is>
      </c>
      <c r="B865" s="23" t="inlineStr">
        <is>
          <t>Vehicles and Depot - Fleet Supply</t>
        </is>
      </c>
      <c r="C865" s="23" t="inlineStr">
        <is>
          <t>Contractor Programme</t>
        </is>
      </c>
      <c r="D865" s="23" t="inlineStr">
        <is>
          <t>SCH-04-064</t>
        </is>
      </c>
      <c r="E865" s="23" t="inlineStr">
        <is>
          <t>Storage yard: workshop crane installation - inspection</t>
        </is>
      </c>
      <c r="F865" s="23" t="inlineStr">
        <is>
          <t>ONE_TO_ONE</t>
        </is>
      </c>
      <c r="G865" s="23" t="inlineStr">
        <is>
          <t>RETAINED</t>
        </is>
      </c>
      <c r="H865" s="23" t="inlineStr">
        <is>
          <t>Carried forward</t>
        </is>
      </c>
      <c r="I865" s="23" t="inlineStr">
        <is>
          <t>Source assignment -- not individually reviewed</t>
        </is>
      </c>
      <c r="J865" s="23" t="inlineStr"/>
      <c r="K865" s="23" t="inlineStr">
        <is>
          <t>Source assignment</t>
        </is>
      </c>
      <c r="L865" s="23" t="inlineStr"/>
      <c r="M865" s="23" t="inlineStr">
        <is>
          <t>Contractor Programme Cycle 2</t>
        </is>
      </c>
      <c r="N865" s="23" t="inlineStr">
        <is>
          <t>Rev 1</t>
        </is>
      </c>
      <c r="O865" s="23" t="inlineStr">
        <is>
          <t>R604-v2</t>
        </is>
      </c>
      <c r="P865" s="23" t="inlineStr"/>
      <c r="Q865" s="23" t="inlineStr"/>
      <c r="R865" s="23" t="inlineStr"/>
      <c r="S865" s="23" t="inlineStr"/>
      <c r="T865" s="23" t="inlineStr"/>
      <c r="U865" s="23" t="inlineStr"/>
      <c r="V865" s="23" t="inlineStr">
        <is>
          <t>WBS Code = 1.4.1</t>
        </is>
      </c>
      <c r="W865" s="23" t="inlineStr"/>
    </row>
    <row r="866" ht="49" customHeight="1">
      <c r="A866" s="23" t="inlineStr">
        <is>
          <t>1.4.1</t>
        </is>
      </c>
      <c r="B866" s="23" t="inlineStr">
        <is>
          <t>Vehicles and Depot - Fleet Supply</t>
        </is>
      </c>
      <c r="C866" s="23" t="inlineStr">
        <is>
          <t>Contractor Programme</t>
        </is>
      </c>
      <c r="D866" s="23" t="inlineStr">
        <is>
          <t>SCH-04-065</t>
        </is>
      </c>
      <c r="E866" s="23" t="inlineStr">
        <is>
          <t>Operations building: vehicle-to-depot interface check - turnover</t>
        </is>
      </c>
      <c r="F866" s="23" t="inlineStr">
        <is>
          <t>ONE_TO_ONE</t>
        </is>
      </c>
      <c r="G866" s="23" t="inlineStr">
        <is>
          <t>RETAINED</t>
        </is>
      </c>
      <c r="H866" s="23" t="inlineStr">
        <is>
          <t>Carried forward</t>
        </is>
      </c>
      <c r="I866" s="23" t="inlineStr">
        <is>
          <t>Source assignment -- not individually reviewed</t>
        </is>
      </c>
      <c r="J866" s="23" t="inlineStr"/>
      <c r="K866" s="23" t="inlineStr">
        <is>
          <t>Source assignment</t>
        </is>
      </c>
      <c r="L866" s="23" t="inlineStr"/>
      <c r="M866" s="23" t="inlineStr">
        <is>
          <t>Contractor Programme Cycle 2</t>
        </is>
      </c>
      <c r="N866" s="23" t="inlineStr">
        <is>
          <t>Rev 1</t>
        </is>
      </c>
      <c r="O866" s="23" t="inlineStr">
        <is>
          <t>R605-v2</t>
        </is>
      </c>
      <c r="P866" s="23" t="inlineStr"/>
      <c r="Q866" s="23" t="inlineStr"/>
      <c r="R866" s="23" t="inlineStr"/>
      <c r="S866" s="23" t="inlineStr"/>
      <c r="T866" s="23" t="inlineStr"/>
      <c r="U866" s="23" t="inlineStr"/>
      <c r="V866" s="23" t="inlineStr">
        <is>
          <t>WBS Code = 1.4.1</t>
        </is>
      </c>
      <c r="W866" s="23" t="inlineStr"/>
    </row>
    <row r="867" ht="49" customHeight="1">
      <c r="A867" s="23" t="inlineStr">
        <is>
          <t>1.4.1</t>
        </is>
      </c>
      <c r="B867" s="23" t="inlineStr">
        <is>
          <t>Vehicles and Depot - Fleet Supply</t>
        </is>
      </c>
      <c r="C867" s="23" t="inlineStr">
        <is>
          <t>Contractor Programme</t>
        </is>
      </c>
      <c r="D867" s="23" t="inlineStr">
        <is>
          <t>SCH-04-067</t>
        </is>
      </c>
      <c r="E867" s="23" t="inlineStr">
        <is>
          <t>Receiving track: fleet software load - field start</t>
        </is>
      </c>
      <c r="F867" s="23" t="inlineStr">
        <is>
          <t>ONE_TO_ONE</t>
        </is>
      </c>
      <c r="G867" s="23" t="inlineStr">
        <is>
          <t>RETAINED</t>
        </is>
      </c>
      <c r="H867" s="23" t="inlineStr">
        <is>
          <t>Carried forward</t>
        </is>
      </c>
      <c r="I867" s="23" t="inlineStr">
        <is>
          <t>Source assignment -- not individually reviewed</t>
        </is>
      </c>
      <c r="J867" s="23" t="inlineStr"/>
      <c r="K867" s="23" t="inlineStr">
        <is>
          <t>Source assignment</t>
        </is>
      </c>
      <c r="L867" s="23" t="inlineStr"/>
      <c r="M867" s="23" t="inlineStr">
        <is>
          <t>Contractor Programme Cycle 2</t>
        </is>
      </c>
      <c r="N867" s="23" t="inlineStr">
        <is>
          <t>Rev 1</t>
        </is>
      </c>
      <c r="O867" s="23" t="inlineStr">
        <is>
          <t>R607-v2</t>
        </is>
      </c>
      <c r="P867" s="23" t="inlineStr"/>
      <c r="Q867" s="23" t="inlineStr"/>
      <c r="R867" s="23" t="inlineStr"/>
      <c r="S867" s="23" t="inlineStr"/>
      <c r="T867" s="23" t="inlineStr"/>
      <c r="U867" s="23" t="inlineStr"/>
      <c r="V867" s="23" t="inlineStr">
        <is>
          <t>WBS Code = 1.4.1</t>
        </is>
      </c>
      <c r="W867" s="23" t="inlineStr"/>
    </row>
    <row r="868" ht="49" customHeight="1">
      <c r="A868" s="23" t="inlineStr">
        <is>
          <t>1.4.1</t>
        </is>
      </c>
      <c r="B868" s="23" t="inlineStr">
        <is>
          <t>Vehicles and Depot - Fleet Supply</t>
        </is>
      </c>
      <c r="C868" s="23" t="inlineStr">
        <is>
          <t>Contractor Programme</t>
        </is>
      </c>
      <c r="D868" s="23" t="inlineStr">
        <is>
          <t>SCH-04-068</t>
        </is>
      </c>
      <c r="E868" s="23" t="inlineStr">
        <is>
          <t>Maintenance shop: vehicle delivery inspection - installation</t>
        </is>
      </c>
      <c r="F868" s="23" t="inlineStr">
        <is>
          <t>ONE_TO_ONE</t>
        </is>
      </c>
      <c r="G868" s="23" t="inlineStr">
        <is>
          <t>RETAINED</t>
        </is>
      </c>
      <c r="H868" s="23" t="inlineStr">
        <is>
          <t>Carried forward</t>
        </is>
      </c>
      <c r="I868" s="23" t="inlineStr">
        <is>
          <t>Source assignment -- not individually reviewed</t>
        </is>
      </c>
      <c r="J868" s="23" t="inlineStr"/>
      <c r="K868" s="23" t="inlineStr">
        <is>
          <t>Source assignment</t>
        </is>
      </c>
      <c r="L868" s="23" t="inlineStr"/>
      <c r="M868" s="23" t="inlineStr">
        <is>
          <t>Contractor Programme Cycle 2</t>
        </is>
      </c>
      <c r="N868" s="23" t="inlineStr">
        <is>
          <t>Rev 1</t>
        </is>
      </c>
      <c r="O868" s="23" t="inlineStr">
        <is>
          <t>R608-v2</t>
        </is>
      </c>
      <c r="P868" s="23" t="inlineStr"/>
      <c r="Q868" s="23" t="inlineStr"/>
      <c r="R868" s="23" t="inlineStr"/>
      <c r="S868" s="23" t="inlineStr"/>
      <c r="T868" s="23" t="inlineStr"/>
      <c r="U868" s="23" t="inlineStr"/>
      <c r="V868" s="23" t="inlineStr">
        <is>
          <t>WBS Code = 1.4.1</t>
        </is>
      </c>
      <c r="W868" s="23" t="inlineStr"/>
    </row>
    <row r="869" ht="49" customHeight="1">
      <c r="A869" s="23" t="inlineStr">
        <is>
          <t>1.4.1</t>
        </is>
      </c>
      <c r="B869" s="23" t="inlineStr">
        <is>
          <t>Vehicles and Depot - Fleet Supply</t>
        </is>
      </c>
      <c r="C869" s="23" t="inlineStr">
        <is>
          <t>Contractor Programme</t>
        </is>
      </c>
      <c r="D869" s="23" t="inlineStr">
        <is>
          <t>SCH-04-070</t>
        </is>
      </c>
      <c r="E869" s="23" t="inlineStr">
        <is>
          <t>Operations building: maintenance-bay services - turnover</t>
        </is>
      </c>
      <c r="F869" s="23" t="inlineStr">
        <is>
          <t>ONE_TO_ONE</t>
        </is>
      </c>
      <c r="G869" s="23" t="inlineStr">
        <is>
          <t>RETAINED</t>
        </is>
      </c>
      <c r="H869" s="23" t="inlineStr">
        <is>
          <t>Carried forward</t>
        </is>
      </c>
      <c r="I869" s="23" t="inlineStr">
        <is>
          <t>Source assignment -- not individually reviewed</t>
        </is>
      </c>
      <c r="J869" s="23" t="inlineStr"/>
      <c r="K869" s="23" t="inlineStr">
        <is>
          <t>Source assignment</t>
        </is>
      </c>
      <c r="L869" s="23" t="inlineStr"/>
      <c r="M869" s="23" t="inlineStr">
        <is>
          <t>Contractor Programme Cycle 2</t>
        </is>
      </c>
      <c r="N869" s="23" t="inlineStr">
        <is>
          <t>Rev 1</t>
        </is>
      </c>
      <c r="O869" s="23" t="inlineStr">
        <is>
          <t>R610-v2</t>
        </is>
      </c>
      <c r="P869" s="23" t="inlineStr"/>
      <c r="Q869" s="23" t="inlineStr"/>
      <c r="R869" s="23" t="inlineStr"/>
      <c r="S869" s="23" t="inlineStr"/>
      <c r="T869" s="23" t="inlineStr"/>
      <c r="U869" s="23" t="inlineStr"/>
      <c r="V869" s="23" t="inlineStr">
        <is>
          <t>WBS Code = 1.4.1</t>
        </is>
      </c>
      <c r="W869" s="23" t="inlineStr"/>
    </row>
    <row r="870" ht="49" customHeight="1">
      <c r="A870" s="23" t="inlineStr">
        <is>
          <t>1.4.1</t>
        </is>
      </c>
      <c r="B870" s="23" t="inlineStr">
        <is>
          <t>Vehicles and Depot - Fleet Supply</t>
        </is>
      </c>
      <c r="C870" s="23" t="inlineStr">
        <is>
          <t>Contractor Programme</t>
        </is>
      </c>
      <c r="D870" s="23" t="inlineStr">
        <is>
          <t>SCH-04-071</t>
        </is>
      </c>
      <c r="E870" s="23" t="inlineStr">
        <is>
          <t>Test track: depot structural fit-out - release</t>
        </is>
      </c>
      <c r="F870" s="23" t="inlineStr">
        <is>
          <t>ONE_TO_ONE</t>
        </is>
      </c>
      <c r="G870" s="23" t="inlineStr">
        <is>
          <t>RETAINED</t>
        </is>
      </c>
      <c r="H870" s="23" t="inlineStr">
        <is>
          <t>Carried forward</t>
        </is>
      </c>
      <c r="I870" s="23" t="inlineStr">
        <is>
          <t>Source assignment -- not individually reviewed</t>
        </is>
      </c>
      <c r="J870" s="23" t="inlineStr"/>
      <c r="K870" s="23" t="inlineStr">
        <is>
          <t>Source assignment</t>
        </is>
      </c>
      <c r="L870" s="23" t="inlineStr"/>
      <c r="M870" s="23" t="inlineStr">
        <is>
          <t>Contractor Programme Cycle 2</t>
        </is>
      </c>
      <c r="N870" s="23" t="inlineStr">
        <is>
          <t>Rev 1</t>
        </is>
      </c>
      <c r="O870" s="23" t="inlineStr">
        <is>
          <t>R611-v2</t>
        </is>
      </c>
      <c r="P870" s="23" t="inlineStr"/>
      <c r="Q870" s="23" t="inlineStr"/>
      <c r="R870" s="23" t="inlineStr"/>
      <c r="S870" s="23" t="inlineStr"/>
      <c r="T870" s="23" t="inlineStr"/>
      <c r="U870" s="23" t="inlineStr"/>
      <c r="V870" s="23" t="inlineStr">
        <is>
          <t>WBS Code = 1.4.1</t>
        </is>
      </c>
      <c r="W870" s="23" t="inlineStr"/>
    </row>
    <row r="871" ht="49" customHeight="1">
      <c r="A871" s="23" t="inlineStr">
        <is>
          <t>1.4.1</t>
        </is>
      </c>
      <c r="B871" s="23" t="inlineStr">
        <is>
          <t>Vehicles and Depot - Fleet Supply</t>
        </is>
      </c>
      <c r="C871" s="23" t="inlineStr">
        <is>
          <t>Contractor Programme</t>
        </is>
      </c>
      <c r="D871" s="23" t="inlineStr">
        <is>
          <t>SCH-04-073</t>
        </is>
      </c>
      <c r="E871" s="23" t="inlineStr">
        <is>
          <t>Maintenance shop: vehicle-to-depot interface check - installation</t>
        </is>
      </c>
      <c r="F871" s="23" t="inlineStr">
        <is>
          <t>ONE_TO_ONE</t>
        </is>
      </c>
      <c r="G871" s="23" t="inlineStr">
        <is>
          <t>RETAINED</t>
        </is>
      </c>
      <c r="H871" s="23" t="inlineStr">
        <is>
          <t>Carried forward</t>
        </is>
      </c>
      <c r="I871" s="23" t="inlineStr">
        <is>
          <t>Source assignment -- not individually reviewed</t>
        </is>
      </c>
      <c r="J871" s="23" t="inlineStr"/>
      <c r="K871" s="23" t="inlineStr">
        <is>
          <t>Source assignment</t>
        </is>
      </c>
      <c r="L871" s="23" t="inlineStr"/>
      <c r="M871" s="23" t="inlineStr">
        <is>
          <t>Contractor Programme Cycle 2</t>
        </is>
      </c>
      <c r="N871" s="23" t="inlineStr">
        <is>
          <t>Rev 1</t>
        </is>
      </c>
      <c r="O871" s="23" t="inlineStr">
        <is>
          <t>R613-v2</t>
        </is>
      </c>
      <c r="P871" s="23" t="inlineStr"/>
      <c r="Q871" s="23" t="inlineStr"/>
      <c r="R871" s="23" t="inlineStr"/>
      <c r="S871" s="23" t="inlineStr"/>
      <c r="T871" s="23" t="inlineStr"/>
      <c r="U871" s="23" t="inlineStr"/>
      <c r="V871" s="23" t="inlineStr">
        <is>
          <t>WBS Code = 1.4.1</t>
        </is>
      </c>
      <c r="W871" s="23" t="inlineStr"/>
    </row>
    <row r="872" ht="49" customHeight="1">
      <c r="A872" s="23" t="inlineStr">
        <is>
          <t>1.4.1</t>
        </is>
      </c>
      <c r="B872" s="23" t="inlineStr">
        <is>
          <t>Vehicles and Depot - Fleet Supply</t>
        </is>
      </c>
      <c r="C872" s="23" t="inlineStr">
        <is>
          <t>Contractor Programme</t>
        </is>
      </c>
      <c r="D872" s="23" t="inlineStr">
        <is>
          <t>SCH-04-074</t>
        </is>
      </c>
      <c r="E872" s="23" t="inlineStr">
        <is>
          <t>Storage yard: wheel-lathe installation - inspection</t>
        </is>
      </c>
      <c r="F872" s="23" t="inlineStr">
        <is>
          <t>ONE_TO_ONE</t>
        </is>
      </c>
      <c r="G872" s="23" t="inlineStr">
        <is>
          <t>RETAINED</t>
        </is>
      </c>
      <c r="H872" s="23" t="inlineStr">
        <is>
          <t>Carried forward</t>
        </is>
      </c>
      <c r="I872" s="23" t="inlineStr">
        <is>
          <t>Source assignment -- not individually reviewed</t>
        </is>
      </c>
      <c r="J872" s="23" t="inlineStr"/>
      <c r="K872" s="23" t="inlineStr">
        <is>
          <t>Source assignment</t>
        </is>
      </c>
      <c r="L872" s="23" t="inlineStr"/>
      <c r="M872" s="23" t="inlineStr">
        <is>
          <t>Contractor Programme Cycle 2</t>
        </is>
      </c>
      <c r="N872" s="23" t="inlineStr">
        <is>
          <t>Rev 1</t>
        </is>
      </c>
      <c r="O872" s="23" t="inlineStr">
        <is>
          <t>R614-v2</t>
        </is>
      </c>
      <c r="P872" s="23" t="inlineStr"/>
      <c r="Q872" s="23" t="inlineStr"/>
      <c r="R872" s="23" t="inlineStr"/>
      <c r="S872" s="23" t="inlineStr"/>
      <c r="T872" s="23" t="inlineStr"/>
      <c r="U872" s="23" t="inlineStr"/>
      <c r="V872" s="23" t="inlineStr">
        <is>
          <t>WBS Code = 1.4.1</t>
        </is>
      </c>
      <c r="W872" s="23" t="inlineStr"/>
    </row>
    <row r="873" ht="49" customHeight="1">
      <c r="A873" s="23" t="inlineStr">
        <is>
          <t>1.4.1</t>
        </is>
      </c>
      <c r="B873" s="23" t="inlineStr">
        <is>
          <t>Vehicles and Depot - Fleet Supply</t>
        </is>
      </c>
      <c r="C873" s="23" t="inlineStr">
        <is>
          <t>Contractor Programme</t>
        </is>
      </c>
      <c r="D873" s="23" t="inlineStr">
        <is>
          <t>SCH-04-076</t>
        </is>
      </c>
      <c r="E873" s="23" t="inlineStr">
        <is>
          <t>Test track: vehicle delivery inspection - release</t>
        </is>
      </c>
      <c r="F873" s="23" t="inlineStr">
        <is>
          <t>ONE_TO_ONE</t>
        </is>
      </c>
      <c r="G873" s="23" t="inlineStr">
        <is>
          <t>RETAINED</t>
        </is>
      </c>
      <c r="H873" s="23" t="inlineStr">
        <is>
          <t>Carried forward</t>
        </is>
      </c>
      <c r="I873" s="23" t="inlineStr">
        <is>
          <t>Source assignment -- not individually reviewed</t>
        </is>
      </c>
      <c r="J873" s="23" t="inlineStr"/>
      <c r="K873" s="23" t="inlineStr">
        <is>
          <t>Source assignment</t>
        </is>
      </c>
      <c r="L873" s="23" t="inlineStr"/>
      <c r="M873" s="23" t="inlineStr">
        <is>
          <t>Contractor Programme Cycle 2</t>
        </is>
      </c>
      <c r="N873" s="23" t="inlineStr">
        <is>
          <t>Rev 1</t>
        </is>
      </c>
      <c r="O873" s="23" t="inlineStr">
        <is>
          <t>R616-v2</t>
        </is>
      </c>
      <c r="P873" s="23" t="inlineStr"/>
      <c r="Q873" s="23" t="inlineStr"/>
      <c r="R873" s="23" t="inlineStr"/>
      <c r="S873" s="23" t="inlineStr"/>
      <c r="T873" s="23" t="inlineStr"/>
      <c r="U873" s="23" t="inlineStr"/>
      <c r="V873" s="23" t="inlineStr">
        <is>
          <t>WBS Code = 1.4.1</t>
        </is>
      </c>
      <c r="W873" s="23" t="inlineStr"/>
    </row>
    <row r="874" ht="49" customHeight="1">
      <c r="A874" s="23" t="inlineStr">
        <is>
          <t>1.4.1</t>
        </is>
      </c>
      <c r="B874" s="23" t="inlineStr">
        <is>
          <t>Vehicles and Depot - Fleet Supply</t>
        </is>
      </c>
      <c r="C874" s="23" t="inlineStr">
        <is>
          <t>Contractor Programme</t>
        </is>
      </c>
      <c r="D874" s="23" t="inlineStr">
        <is>
          <t>SCH-04-077</t>
        </is>
      </c>
      <c r="E874" s="23" t="inlineStr">
        <is>
          <t>Receiving track: wash-plant commissioning - field start</t>
        </is>
      </c>
      <c r="F874" s="23" t="inlineStr">
        <is>
          <t>ONE_TO_ONE</t>
        </is>
      </c>
      <c r="G874" s="23" t="inlineStr">
        <is>
          <t>RETAINED</t>
        </is>
      </c>
      <c r="H874" s="23" t="inlineStr">
        <is>
          <t>Carried forward</t>
        </is>
      </c>
      <c r="I874" s="23" t="inlineStr">
        <is>
          <t>Source assignment -- not individually reviewed</t>
        </is>
      </c>
      <c r="J874" s="23" t="inlineStr"/>
      <c r="K874" s="23" t="inlineStr">
        <is>
          <t>Source assignment</t>
        </is>
      </c>
      <c r="L874" s="23" t="inlineStr"/>
      <c r="M874" s="23" t="inlineStr">
        <is>
          <t>Contractor Programme Cycle 2</t>
        </is>
      </c>
      <c r="N874" s="23" t="inlineStr">
        <is>
          <t>Rev 1</t>
        </is>
      </c>
      <c r="O874" s="23" t="inlineStr">
        <is>
          <t>R617-v2</t>
        </is>
      </c>
      <c r="P874" s="23" t="inlineStr"/>
      <c r="Q874" s="23" t="inlineStr"/>
      <c r="R874" s="23" t="inlineStr"/>
      <c r="S874" s="23" t="inlineStr"/>
      <c r="T874" s="23" t="inlineStr"/>
      <c r="U874" s="23" t="inlineStr"/>
      <c r="V874" s="23" t="inlineStr">
        <is>
          <t>WBS Code = 1.4.1</t>
        </is>
      </c>
      <c r="W874" s="23" t="inlineStr"/>
    </row>
    <row r="875" ht="49" customHeight="1">
      <c r="A875" s="23" t="inlineStr">
        <is>
          <t>1.4.1</t>
        </is>
      </c>
      <c r="B875" s="23" t="inlineStr">
        <is>
          <t>Vehicles and Depot - Fleet Supply</t>
        </is>
      </c>
      <c r="C875" s="23" t="inlineStr">
        <is>
          <t>Contractor Programme</t>
        </is>
      </c>
      <c r="D875" s="23" t="inlineStr">
        <is>
          <t>SCH-04-079</t>
        </is>
      </c>
      <c r="E875" s="23" t="inlineStr">
        <is>
          <t>Storage yard: depot structural fit-out - inspection</t>
        </is>
      </c>
      <c r="F875" s="23" t="inlineStr">
        <is>
          <t>ONE_TO_ONE</t>
        </is>
      </c>
      <c r="G875" s="23" t="inlineStr">
        <is>
          <t>RETAINED</t>
        </is>
      </c>
      <c r="H875" s="23" t="inlineStr">
        <is>
          <t>Carried forward</t>
        </is>
      </c>
      <c r="I875" s="23" t="inlineStr">
        <is>
          <t>Source assignment -- not individually reviewed</t>
        </is>
      </c>
      <c r="J875" s="23" t="inlineStr"/>
      <c r="K875" s="23" t="inlineStr">
        <is>
          <t>Source assignment</t>
        </is>
      </c>
      <c r="L875" s="23" t="inlineStr"/>
      <c r="M875" s="23" t="inlineStr">
        <is>
          <t>Contractor Programme Cycle 2</t>
        </is>
      </c>
      <c r="N875" s="23" t="inlineStr">
        <is>
          <t>Rev 1</t>
        </is>
      </c>
      <c r="O875" s="23" t="inlineStr">
        <is>
          <t>R619-v2</t>
        </is>
      </c>
      <c r="P875" s="23" t="inlineStr"/>
      <c r="Q875" s="23" t="inlineStr"/>
      <c r="R875" s="23" t="inlineStr"/>
      <c r="S875" s="23" t="inlineStr"/>
      <c r="T875" s="23" t="inlineStr"/>
      <c r="U875" s="23" t="inlineStr"/>
      <c r="V875" s="23" t="inlineStr">
        <is>
          <t>WBS Code = 1.4.1</t>
        </is>
      </c>
      <c r="W875" s="23" t="inlineStr"/>
    </row>
    <row r="876" ht="49" customHeight="1">
      <c r="A876" s="23" t="inlineStr">
        <is>
          <t>1.4.1</t>
        </is>
      </c>
      <c r="B876" s="23" t="inlineStr">
        <is>
          <t>Vehicles and Depot - Fleet Supply</t>
        </is>
      </c>
      <c r="C876" s="23" t="inlineStr">
        <is>
          <t>Contractor Programme</t>
        </is>
      </c>
      <c r="D876" s="23" t="inlineStr">
        <is>
          <t>SCH-04-080</t>
        </is>
      </c>
      <c r="E876" s="23" t="inlineStr">
        <is>
          <t>Operations building: workshop crane installation - turnover</t>
        </is>
      </c>
      <c r="F876" s="23" t="inlineStr">
        <is>
          <t>ONE_TO_ONE</t>
        </is>
      </c>
      <c r="G876" s="23" t="inlineStr">
        <is>
          <t>RETAINED</t>
        </is>
      </c>
      <c r="H876" s="23" t="inlineStr">
        <is>
          <t>Carried forward</t>
        </is>
      </c>
      <c r="I876" s="23" t="inlineStr">
        <is>
          <t>Source assignment -- not individually reviewed</t>
        </is>
      </c>
      <c r="J876" s="23" t="inlineStr"/>
      <c r="K876" s="23" t="inlineStr">
        <is>
          <t>Source assignment</t>
        </is>
      </c>
      <c r="L876" s="23" t="inlineStr"/>
      <c r="M876" s="23" t="inlineStr">
        <is>
          <t>Contractor Programme Cycle 2</t>
        </is>
      </c>
      <c r="N876" s="23" t="inlineStr">
        <is>
          <t>Rev 1</t>
        </is>
      </c>
      <c r="O876" s="23" t="inlineStr">
        <is>
          <t>R620-v2</t>
        </is>
      </c>
      <c r="P876" s="23" t="inlineStr"/>
      <c r="Q876" s="23" t="inlineStr"/>
      <c r="R876" s="23" t="inlineStr"/>
      <c r="S876" s="23" t="inlineStr"/>
      <c r="T876" s="23" t="inlineStr"/>
      <c r="U876" s="23" t="inlineStr"/>
      <c r="V876" s="23" t="inlineStr">
        <is>
          <t>WBS Code = 1.4.1</t>
        </is>
      </c>
      <c r="W876" s="23" t="inlineStr"/>
    </row>
    <row r="877" ht="49" customHeight="1">
      <c r="A877" s="23" t="inlineStr">
        <is>
          <t>1.4.1</t>
        </is>
      </c>
      <c r="B877" s="23" t="inlineStr">
        <is>
          <t>Vehicles and Depot - Fleet Supply</t>
        </is>
      </c>
      <c r="C877" s="23" t="inlineStr">
        <is>
          <t>Contractor Programme</t>
        </is>
      </c>
      <c r="D877" s="23" t="inlineStr">
        <is>
          <t>SCH-04-082</t>
        </is>
      </c>
      <c r="E877" s="23" t="inlineStr">
        <is>
          <t>Receiving track: wheel-lathe installation - field start</t>
        </is>
      </c>
      <c r="F877" s="23" t="inlineStr">
        <is>
          <t>ONE_TO_ONE</t>
        </is>
      </c>
      <c r="G877" s="23" t="inlineStr">
        <is>
          <t>RETAINED</t>
        </is>
      </c>
      <c r="H877" s="23" t="inlineStr">
        <is>
          <t>Carried forward</t>
        </is>
      </c>
      <c r="I877" s="23" t="inlineStr">
        <is>
          <t>Source assignment -- not individually reviewed</t>
        </is>
      </c>
      <c r="J877" s="23" t="inlineStr"/>
      <c r="K877" s="23" t="inlineStr">
        <is>
          <t>Source assignment</t>
        </is>
      </c>
      <c r="L877" s="23" t="inlineStr"/>
      <c r="M877" s="23" t="inlineStr">
        <is>
          <t>Contractor Programme Cycle 2</t>
        </is>
      </c>
      <c r="N877" s="23" t="inlineStr">
        <is>
          <t>Rev 1</t>
        </is>
      </c>
      <c r="O877" s="23" t="inlineStr">
        <is>
          <t>R622-v2</t>
        </is>
      </c>
      <c r="P877" s="23" t="inlineStr"/>
      <c r="Q877" s="23" t="inlineStr"/>
      <c r="R877" s="23" t="inlineStr"/>
      <c r="S877" s="23" t="inlineStr"/>
      <c r="T877" s="23" t="inlineStr"/>
      <c r="U877" s="23" t="inlineStr"/>
      <c r="V877" s="23" t="inlineStr">
        <is>
          <t>WBS Code = 1.4.1</t>
        </is>
      </c>
      <c r="W877" s="23" t="inlineStr"/>
    </row>
    <row r="878" ht="49" customHeight="1">
      <c r="A878" s="23" t="inlineStr">
        <is>
          <t>1.4.1</t>
        </is>
      </c>
      <c r="B878" s="23" t="inlineStr">
        <is>
          <t>Vehicles and Depot - Fleet Supply</t>
        </is>
      </c>
      <c r="C878" s="23" t="inlineStr">
        <is>
          <t>Contractor Programme</t>
        </is>
      </c>
      <c r="D878" s="23" t="inlineStr">
        <is>
          <t>SCH-04-083</t>
        </is>
      </c>
      <c r="E878" s="23" t="inlineStr">
        <is>
          <t>Maintenance shop: fleet software load - installation</t>
        </is>
      </c>
      <c r="F878" s="23" t="inlineStr">
        <is>
          <t>ONE_TO_ONE</t>
        </is>
      </c>
      <c r="G878" s="23" t="inlineStr">
        <is>
          <t>RETAINED</t>
        </is>
      </c>
      <c r="H878" s="23" t="inlineStr">
        <is>
          <t>Carried forward</t>
        </is>
      </c>
      <c r="I878" s="23" t="inlineStr">
        <is>
          <t>Source assignment -- not individually reviewed</t>
        </is>
      </c>
      <c r="J878" s="23" t="inlineStr"/>
      <c r="K878" s="23" t="inlineStr">
        <is>
          <t>Source assignment</t>
        </is>
      </c>
      <c r="L878" s="23" t="inlineStr"/>
      <c r="M878" s="23" t="inlineStr">
        <is>
          <t>Contractor Programme Cycle 2</t>
        </is>
      </c>
      <c r="N878" s="23" t="inlineStr">
        <is>
          <t>Rev 1</t>
        </is>
      </c>
      <c r="O878" s="23" t="inlineStr">
        <is>
          <t>R623-v2</t>
        </is>
      </c>
      <c r="P878" s="23" t="inlineStr"/>
      <c r="Q878" s="23" t="inlineStr"/>
      <c r="R878" s="23" t="inlineStr"/>
      <c r="S878" s="23" t="inlineStr"/>
      <c r="T878" s="23" t="inlineStr"/>
      <c r="U878" s="23" t="inlineStr"/>
      <c r="V878" s="23" t="inlineStr">
        <is>
          <t>WBS Code = 1.4.1</t>
        </is>
      </c>
      <c r="W878" s="23" t="inlineStr"/>
    </row>
    <row r="879" ht="49" customHeight="1">
      <c r="A879" s="23" t="inlineStr">
        <is>
          <t>1.4.1</t>
        </is>
      </c>
      <c r="B879" s="23" t="inlineStr">
        <is>
          <t>Vehicles and Depot - Fleet Supply</t>
        </is>
      </c>
      <c r="C879" s="23" t="inlineStr">
        <is>
          <t>Contractor Programme</t>
        </is>
      </c>
      <c r="D879" s="23" t="inlineStr">
        <is>
          <t>SCH-04-085</t>
        </is>
      </c>
      <c r="E879" s="23" t="inlineStr">
        <is>
          <t>Operations building: wash-plant commissioning - turnover</t>
        </is>
      </c>
      <c r="F879" s="23" t="inlineStr">
        <is>
          <t>ONE_TO_ONE</t>
        </is>
      </c>
      <c r="G879" s="23" t="inlineStr">
        <is>
          <t>RETAINED</t>
        </is>
      </c>
      <c r="H879" s="23" t="inlineStr">
        <is>
          <t>Carried forward</t>
        </is>
      </c>
      <c r="I879" s="23" t="inlineStr">
        <is>
          <t>Source assignment -- not individually reviewed</t>
        </is>
      </c>
      <c r="J879" s="23" t="inlineStr"/>
      <c r="K879" s="23" t="inlineStr">
        <is>
          <t>Source assignment</t>
        </is>
      </c>
      <c r="L879" s="23" t="inlineStr"/>
      <c r="M879" s="23" t="inlineStr">
        <is>
          <t>Contractor Programme Cycle 2</t>
        </is>
      </c>
      <c r="N879" s="23" t="inlineStr">
        <is>
          <t>Rev 1</t>
        </is>
      </c>
      <c r="O879" s="23" t="inlineStr">
        <is>
          <t>R625-v2</t>
        </is>
      </c>
      <c r="P879" s="23" t="inlineStr"/>
      <c r="Q879" s="23" t="inlineStr"/>
      <c r="R879" s="23" t="inlineStr"/>
      <c r="S879" s="23" t="inlineStr"/>
      <c r="T879" s="23" t="inlineStr"/>
      <c r="U879" s="23" t="inlineStr"/>
      <c r="V879" s="23" t="inlineStr">
        <is>
          <t>WBS Code = 1.4.1</t>
        </is>
      </c>
      <c r="W879" s="23" t="inlineStr"/>
    </row>
    <row r="880" ht="49" customHeight="1">
      <c r="A880" s="23" t="inlineStr">
        <is>
          <t>1.4.1</t>
        </is>
      </c>
      <c r="B880" s="23" t="inlineStr">
        <is>
          <t>Vehicles and Depot - Fleet Supply</t>
        </is>
      </c>
      <c r="C880" s="23" t="inlineStr">
        <is>
          <t>Contractor Programme</t>
        </is>
      </c>
      <c r="D880" s="23" t="inlineStr">
        <is>
          <t>SCH-04-086</t>
        </is>
      </c>
      <c r="E880" s="23" t="inlineStr">
        <is>
          <t>Test track: maintenance-bay services - release</t>
        </is>
      </c>
      <c r="F880" s="23" t="inlineStr">
        <is>
          <t>ONE_TO_ONE</t>
        </is>
      </c>
      <c r="G880" s="23" t="inlineStr">
        <is>
          <t>RETAINED</t>
        </is>
      </c>
      <c r="H880" s="23" t="inlineStr">
        <is>
          <t>Carried forward</t>
        </is>
      </c>
      <c r="I880" s="23" t="inlineStr">
        <is>
          <t>Source assignment -- not individually reviewed</t>
        </is>
      </c>
      <c r="J880" s="23" t="inlineStr"/>
      <c r="K880" s="23" t="inlineStr">
        <is>
          <t>Source assignment</t>
        </is>
      </c>
      <c r="L880" s="23" t="inlineStr"/>
      <c r="M880" s="23" t="inlineStr">
        <is>
          <t>Contractor Programme Cycle 2</t>
        </is>
      </c>
      <c r="N880" s="23" t="inlineStr">
        <is>
          <t>Rev 1</t>
        </is>
      </c>
      <c r="O880" s="23" t="inlineStr">
        <is>
          <t>R626-v2</t>
        </is>
      </c>
      <c r="P880" s="23" t="inlineStr"/>
      <c r="Q880" s="23" t="inlineStr"/>
      <c r="R880" s="23" t="inlineStr"/>
      <c r="S880" s="23" t="inlineStr"/>
      <c r="T880" s="23" t="inlineStr"/>
      <c r="U880" s="23" t="inlineStr"/>
      <c r="V880" s="23" t="inlineStr">
        <is>
          <t>WBS Code = 1.4.1</t>
        </is>
      </c>
      <c r="W880" s="23" t="inlineStr"/>
    </row>
    <row r="881" ht="49" customHeight="1">
      <c r="A881" s="23" t="inlineStr">
        <is>
          <t>1.4.1</t>
        </is>
      </c>
      <c r="B881" s="23" t="inlineStr">
        <is>
          <t>Vehicles and Depot - Fleet Supply</t>
        </is>
      </c>
      <c r="C881" s="23" t="inlineStr">
        <is>
          <t>Contractor Programme</t>
        </is>
      </c>
      <c r="D881" s="23" t="inlineStr">
        <is>
          <t>SCH-04-088</t>
        </is>
      </c>
      <c r="E881" s="23" t="inlineStr">
        <is>
          <t>Maintenance shop: workshop crane installation - installation</t>
        </is>
      </c>
      <c r="F881" s="23" t="inlineStr">
        <is>
          <t>ONE_TO_ONE</t>
        </is>
      </c>
      <c r="G881" s="23" t="inlineStr">
        <is>
          <t>RETAINED</t>
        </is>
      </c>
      <c r="H881" s="23" t="inlineStr">
        <is>
          <t>Carried forward</t>
        </is>
      </c>
      <c r="I881" s="23" t="inlineStr">
        <is>
          <t>Source assignment -- not individually reviewed</t>
        </is>
      </c>
      <c r="J881" s="23" t="inlineStr"/>
      <c r="K881" s="23" t="inlineStr">
        <is>
          <t>Source assignment</t>
        </is>
      </c>
      <c r="L881" s="23" t="inlineStr"/>
      <c r="M881" s="23" t="inlineStr">
        <is>
          <t>Contractor Programme Cycle 2</t>
        </is>
      </c>
      <c r="N881" s="23" t="inlineStr">
        <is>
          <t>Rev 1</t>
        </is>
      </c>
      <c r="O881" s="23" t="inlineStr">
        <is>
          <t>R628-v2</t>
        </is>
      </c>
      <c r="P881" s="23" t="inlineStr"/>
      <c r="Q881" s="23" t="inlineStr"/>
      <c r="R881" s="23" t="inlineStr"/>
      <c r="S881" s="23" t="inlineStr"/>
      <c r="T881" s="23" t="inlineStr"/>
      <c r="U881" s="23" t="inlineStr"/>
      <c r="V881" s="23" t="inlineStr">
        <is>
          <t>WBS Code = 1.4.1</t>
        </is>
      </c>
      <c r="W881" s="23" t="inlineStr"/>
    </row>
    <row r="882" ht="49" customHeight="1">
      <c r="A882" s="23" t="inlineStr">
        <is>
          <t>1.4.1</t>
        </is>
      </c>
      <c r="B882" s="23" t="inlineStr">
        <is>
          <t>Vehicles and Depot - Fleet Supply</t>
        </is>
      </c>
      <c r="C882" s="23" t="inlineStr">
        <is>
          <t>Contractor Programme</t>
        </is>
      </c>
      <c r="D882" s="23" t="inlineStr">
        <is>
          <t>SCH-04-089</t>
        </is>
      </c>
      <c r="E882" s="23" t="inlineStr">
        <is>
          <t>Storage yard: vehicle-to-depot interface check - inspection</t>
        </is>
      </c>
      <c r="F882" s="23" t="inlineStr">
        <is>
          <t>ONE_TO_ONE</t>
        </is>
      </c>
      <c r="G882" s="23" t="inlineStr">
        <is>
          <t>RETAINED</t>
        </is>
      </c>
      <c r="H882" s="23" t="inlineStr">
        <is>
          <t>Carried forward</t>
        </is>
      </c>
      <c r="I882" s="23" t="inlineStr">
        <is>
          <t>Source assignment -- not individually reviewed</t>
        </is>
      </c>
      <c r="J882" s="23" t="inlineStr"/>
      <c r="K882" s="23" t="inlineStr">
        <is>
          <t>Source assignment</t>
        </is>
      </c>
      <c r="L882" s="23" t="inlineStr"/>
      <c r="M882" s="23" t="inlineStr">
        <is>
          <t>Contractor Programme Cycle 2</t>
        </is>
      </c>
      <c r="N882" s="23" t="inlineStr">
        <is>
          <t>Rev 1</t>
        </is>
      </c>
      <c r="O882" s="23" t="inlineStr">
        <is>
          <t>R629-v2</t>
        </is>
      </c>
      <c r="P882" s="23" t="inlineStr"/>
      <c r="Q882" s="23" t="inlineStr"/>
      <c r="R882" s="23" t="inlineStr"/>
      <c r="S882" s="23" t="inlineStr"/>
      <c r="T882" s="23" t="inlineStr"/>
      <c r="U882" s="23" t="inlineStr"/>
      <c r="V882" s="23" t="inlineStr">
        <is>
          <t>WBS Code = 1.4.1</t>
        </is>
      </c>
      <c r="W882" s="23" t="inlineStr"/>
    </row>
    <row r="883" ht="49" customHeight="1">
      <c r="A883" s="23" t="inlineStr">
        <is>
          <t>1.4.1</t>
        </is>
      </c>
      <c r="B883" s="23" t="inlineStr">
        <is>
          <t>Vehicles and Depot - Fleet Supply</t>
        </is>
      </c>
      <c r="C883" s="23" t="inlineStr">
        <is>
          <t>Contractor Programme</t>
        </is>
      </c>
      <c r="D883" s="23" t="inlineStr">
        <is>
          <t>SCH-04-091</t>
        </is>
      </c>
      <c r="E883" s="23" t="inlineStr">
        <is>
          <t>Test track: fleet software load - release</t>
        </is>
      </c>
      <c r="F883" s="23" t="inlineStr">
        <is>
          <t>ONE_TO_ONE</t>
        </is>
      </c>
      <c r="G883" s="23" t="inlineStr">
        <is>
          <t>RETAINED</t>
        </is>
      </c>
      <c r="H883" s="23" t="inlineStr">
        <is>
          <t>Carried forward</t>
        </is>
      </c>
      <c r="I883" s="23" t="inlineStr">
        <is>
          <t>Source assignment -- not individually reviewed</t>
        </is>
      </c>
      <c r="J883" s="23" t="inlineStr"/>
      <c r="K883" s="23" t="inlineStr">
        <is>
          <t>Source assignment</t>
        </is>
      </c>
      <c r="L883" s="23" t="inlineStr"/>
      <c r="M883" s="23" t="inlineStr">
        <is>
          <t>Contractor Programme Cycle 2</t>
        </is>
      </c>
      <c r="N883" s="23" t="inlineStr">
        <is>
          <t>Rev 1</t>
        </is>
      </c>
      <c r="O883" s="23" t="inlineStr">
        <is>
          <t>R631-v2</t>
        </is>
      </c>
      <c r="P883" s="23" t="inlineStr"/>
      <c r="Q883" s="23" t="inlineStr"/>
      <c r="R883" s="23" t="inlineStr"/>
      <c r="S883" s="23" t="inlineStr"/>
      <c r="T883" s="23" t="inlineStr"/>
      <c r="U883" s="23" t="inlineStr"/>
      <c r="V883" s="23" t="inlineStr">
        <is>
          <t>WBS Code = 1.4.1</t>
        </is>
      </c>
      <c r="W883" s="23" t="inlineStr"/>
    </row>
    <row r="884" ht="49" customHeight="1">
      <c r="A884" s="23" t="inlineStr">
        <is>
          <t>1.4.1</t>
        </is>
      </c>
      <c r="B884" s="23" t="inlineStr">
        <is>
          <t>Vehicles and Depot - Fleet Supply</t>
        </is>
      </c>
      <c r="C884" s="23" t="inlineStr">
        <is>
          <t>Contractor Programme</t>
        </is>
      </c>
      <c r="D884" s="23" t="inlineStr">
        <is>
          <t>SCH-04-092</t>
        </is>
      </c>
      <c r="E884" s="23" t="inlineStr">
        <is>
          <t>Receiving track: vehicle delivery inspection - field start</t>
        </is>
      </c>
      <c r="F884" s="23" t="inlineStr">
        <is>
          <t>ONE_TO_ONE</t>
        </is>
      </c>
      <c r="G884" s="23" t="inlineStr">
        <is>
          <t>RETAINED</t>
        </is>
      </c>
      <c r="H884" s="23" t="inlineStr">
        <is>
          <t>Carried forward</t>
        </is>
      </c>
      <c r="I884" s="23" t="inlineStr">
        <is>
          <t>Source assignment -- not individually reviewed</t>
        </is>
      </c>
      <c r="J884" s="23" t="inlineStr"/>
      <c r="K884" s="23" t="inlineStr">
        <is>
          <t>Source assignment</t>
        </is>
      </c>
      <c r="L884" s="23" t="inlineStr"/>
      <c r="M884" s="23" t="inlineStr">
        <is>
          <t>Contractor Programme Cycle 2</t>
        </is>
      </c>
      <c r="N884" s="23" t="inlineStr">
        <is>
          <t>Rev 1</t>
        </is>
      </c>
      <c r="O884" s="23" t="inlineStr">
        <is>
          <t>R632-v2</t>
        </is>
      </c>
      <c r="P884" s="23" t="inlineStr"/>
      <c r="Q884" s="23" t="inlineStr"/>
      <c r="R884" s="23" t="inlineStr"/>
      <c r="S884" s="23" t="inlineStr"/>
      <c r="T884" s="23" t="inlineStr"/>
      <c r="U884" s="23" t="inlineStr"/>
      <c r="V884" s="23" t="inlineStr">
        <is>
          <t>WBS Code = 1.4.1</t>
        </is>
      </c>
      <c r="W884" s="23" t="inlineStr"/>
    </row>
    <row r="885" ht="49" customHeight="1">
      <c r="A885" s="23" t="inlineStr">
        <is>
          <t>1.4.1</t>
        </is>
      </c>
      <c r="B885" s="23" t="inlineStr">
        <is>
          <t>Vehicles and Depot - Fleet Supply</t>
        </is>
      </c>
      <c r="C885" s="23" t="inlineStr">
        <is>
          <t>Contractor Programme</t>
        </is>
      </c>
      <c r="D885" s="23" t="inlineStr">
        <is>
          <t>SCH-04-094</t>
        </is>
      </c>
      <c r="E885" s="23" t="inlineStr">
        <is>
          <t>Storage yard: maintenance-bay services - inspection</t>
        </is>
      </c>
      <c r="F885" s="23" t="inlineStr">
        <is>
          <t>ONE_TO_ONE</t>
        </is>
      </c>
      <c r="G885" s="23" t="inlineStr">
        <is>
          <t>RETAINED</t>
        </is>
      </c>
      <c r="H885" s="23" t="inlineStr">
        <is>
          <t>Carried forward</t>
        </is>
      </c>
      <c r="I885" s="23" t="inlineStr">
        <is>
          <t>Source assignment -- not individually reviewed</t>
        </is>
      </c>
      <c r="J885" s="23" t="inlineStr"/>
      <c r="K885" s="23" t="inlineStr">
        <is>
          <t>Source assignment</t>
        </is>
      </c>
      <c r="L885" s="23" t="inlineStr"/>
      <c r="M885" s="23" t="inlineStr">
        <is>
          <t>Contractor Programme Cycle 2</t>
        </is>
      </c>
      <c r="N885" s="23" t="inlineStr">
        <is>
          <t>Rev 1</t>
        </is>
      </c>
      <c r="O885" s="23" t="inlineStr">
        <is>
          <t>R634-v2</t>
        </is>
      </c>
      <c r="P885" s="23" t="inlineStr"/>
      <c r="Q885" s="23" t="inlineStr"/>
      <c r="R885" s="23" t="inlineStr"/>
      <c r="S885" s="23" t="inlineStr"/>
      <c r="T885" s="23" t="inlineStr"/>
      <c r="U885" s="23" t="inlineStr"/>
      <c r="V885" s="23" t="inlineStr">
        <is>
          <t>WBS Code = 1.4.1</t>
        </is>
      </c>
      <c r="W885" s="23" t="inlineStr"/>
    </row>
    <row r="886" ht="49" customHeight="1">
      <c r="A886" s="23" t="inlineStr">
        <is>
          <t>1.4.1</t>
        </is>
      </c>
      <c r="B886" s="23" t="inlineStr">
        <is>
          <t>Vehicles and Depot - Fleet Supply</t>
        </is>
      </c>
      <c r="C886" s="23" t="inlineStr">
        <is>
          <t>Contractor Programme</t>
        </is>
      </c>
      <c r="D886" s="23" t="inlineStr">
        <is>
          <t>SCH-04-095</t>
        </is>
      </c>
      <c r="E886" s="23" t="inlineStr">
        <is>
          <t>Operations building: depot structural fit-out - turnover</t>
        </is>
      </c>
      <c r="F886" s="23" t="inlineStr">
        <is>
          <t>ONE_TO_ONE</t>
        </is>
      </c>
      <c r="G886" s="23" t="inlineStr">
        <is>
          <t>RETAINED</t>
        </is>
      </c>
      <c r="H886" s="23" t="inlineStr">
        <is>
          <t>Carried forward</t>
        </is>
      </c>
      <c r="I886" s="23" t="inlineStr">
        <is>
          <t>Source assignment -- not individually reviewed</t>
        </is>
      </c>
      <c r="J886" s="23" t="inlineStr"/>
      <c r="K886" s="23" t="inlineStr">
        <is>
          <t>Source assignment</t>
        </is>
      </c>
      <c r="L886" s="23" t="inlineStr"/>
      <c r="M886" s="23" t="inlineStr">
        <is>
          <t>Contractor Programme Cycle 2</t>
        </is>
      </c>
      <c r="N886" s="23" t="inlineStr">
        <is>
          <t>Rev 1</t>
        </is>
      </c>
      <c r="O886" s="23" t="inlineStr">
        <is>
          <t>R635-v2</t>
        </is>
      </c>
      <c r="P886" s="23" t="inlineStr"/>
      <c r="Q886" s="23" t="inlineStr"/>
      <c r="R886" s="23" t="inlineStr"/>
      <c r="S886" s="23" t="inlineStr"/>
      <c r="T886" s="23" t="inlineStr"/>
      <c r="U886" s="23" t="inlineStr"/>
      <c r="V886" s="23" t="inlineStr">
        <is>
          <t>WBS Code = 1.4.1</t>
        </is>
      </c>
      <c r="W886" s="23" t="inlineStr"/>
    </row>
    <row r="887" ht="49" customHeight="1">
      <c r="A887" s="23" t="inlineStr">
        <is>
          <t>1.4.1</t>
        </is>
      </c>
      <c r="B887" s="23" t="inlineStr">
        <is>
          <t>Vehicles and Depot - Fleet Supply</t>
        </is>
      </c>
      <c r="C887" s="23" t="inlineStr">
        <is>
          <t>Contractor Programme</t>
        </is>
      </c>
      <c r="D887" s="23" t="inlineStr">
        <is>
          <t>SCH-04-097</t>
        </is>
      </c>
      <c r="E887" s="23" t="inlineStr">
        <is>
          <t>Receiving track: vehicle-to-depot interface check - field start</t>
        </is>
      </c>
      <c r="F887" s="23" t="inlineStr">
        <is>
          <t>ONE_TO_ONE</t>
        </is>
      </c>
      <c r="G887" s="23" t="inlineStr">
        <is>
          <t>RETAINED</t>
        </is>
      </c>
      <c r="H887" s="23" t="inlineStr">
        <is>
          <t>Carried forward</t>
        </is>
      </c>
      <c r="I887" s="23" t="inlineStr">
        <is>
          <t>Source assignment -- not individually reviewed</t>
        </is>
      </c>
      <c r="J887" s="23" t="inlineStr"/>
      <c r="K887" s="23" t="inlineStr">
        <is>
          <t>Source assignment</t>
        </is>
      </c>
      <c r="L887" s="23" t="inlineStr"/>
      <c r="M887" s="23" t="inlineStr">
        <is>
          <t>Contractor Programme Cycle 2</t>
        </is>
      </c>
      <c r="N887" s="23" t="inlineStr">
        <is>
          <t>Rev 1</t>
        </is>
      </c>
      <c r="O887" s="23" t="inlineStr">
        <is>
          <t>R637-v2</t>
        </is>
      </c>
      <c r="P887" s="23" t="inlineStr"/>
      <c r="Q887" s="23" t="inlineStr"/>
      <c r="R887" s="23" t="inlineStr"/>
      <c r="S887" s="23" t="inlineStr"/>
      <c r="T887" s="23" t="inlineStr"/>
      <c r="U887" s="23" t="inlineStr"/>
      <c r="V887" s="23" t="inlineStr">
        <is>
          <t>WBS Code = 1.4.1</t>
        </is>
      </c>
      <c r="W887" s="23" t="inlineStr"/>
    </row>
    <row r="888" ht="49" customHeight="1">
      <c r="A888" s="23" t="inlineStr">
        <is>
          <t>1.4.1</t>
        </is>
      </c>
      <c r="B888" s="23" t="inlineStr">
        <is>
          <t>Vehicles and Depot - Fleet Supply</t>
        </is>
      </c>
      <c r="C888" s="23" t="inlineStr">
        <is>
          <t>Contractor Programme</t>
        </is>
      </c>
      <c r="D888" s="23" t="inlineStr">
        <is>
          <t>SCH-04-098</t>
        </is>
      </c>
      <c r="E888" s="23" t="inlineStr">
        <is>
          <t>Maintenance shop: wheel-lathe installation - installation</t>
        </is>
      </c>
      <c r="F888" s="23" t="inlineStr">
        <is>
          <t>ONE_TO_ONE</t>
        </is>
      </c>
      <c r="G888" s="23" t="inlineStr">
        <is>
          <t>RETAINED</t>
        </is>
      </c>
      <c r="H888" s="23" t="inlineStr">
        <is>
          <t>Carried forward</t>
        </is>
      </c>
      <c r="I888" s="23" t="inlineStr">
        <is>
          <t>Source assignment -- not individually reviewed</t>
        </is>
      </c>
      <c r="J888" s="23" t="inlineStr"/>
      <c r="K888" s="23" t="inlineStr">
        <is>
          <t>Source assignment</t>
        </is>
      </c>
      <c r="L888" s="23" t="inlineStr"/>
      <c r="M888" s="23" t="inlineStr">
        <is>
          <t>Contractor Programme Cycle 2</t>
        </is>
      </c>
      <c r="N888" s="23" t="inlineStr">
        <is>
          <t>Rev 1</t>
        </is>
      </c>
      <c r="O888" s="23" t="inlineStr">
        <is>
          <t>R638-v2</t>
        </is>
      </c>
      <c r="P888" s="23" t="inlineStr"/>
      <c r="Q888" s="23" t="inlineStr"/>
      <c r="R888" s="23" t="inlineStr"/>
      <c r="S888" s="23" t="inlineStr"/>
      <c r="T888" s="23" t="inlineStr"/>
      <c r="U888" s="23" t="inlineStr"/>
      <c r="V888" s="23" t="inlineStr">
        <is>
          <t>WBS Code = 1.4.1</t>
        </is>
      </c>
      <c r="W888" s="23" t="inlineStr"/>
    </row>
    <row r="889" ht="49" customHeight="1">
      <c r="A889" s="23" t="inlineStr">
        <is>
          <t>1.4.1</t>
        </is>
      </c>
      <c r="B889" s="23" t="inlineStr">
        <is>
          <t>Vehicles and Depot - Fleet Supply</t>
        </is>
      </c>
      <c r="C889" s="23" t="inlineStr">
        <is>
          <t>Contractor Programme</t>
        </is>
      </c>
      <c r="D889" s="23" t="inlineStr">
        <is>
          <t>SCH-04-100</t>
        </is>
      </c>
      <c r="E889" s="23" t="inlineStr">
        <is>
          <t>Operations building: vehicle delivery inspection - turnover</t>
        </is>
      </c>
      <c r="F889" s="23" t="inlineStr">
        <is>
          <t>ONE_TO_ONE</t>
        </is>
      </c>
      <c r="G889" s="23" t="inlineStr">
        <is>
          <t>RETAINED</t>
        </is>
      </c>
      <c r="H889" s="23" t="inlineStr">
        <is>
          <t>Carried forward</t>
        </is>
      </c>
      <c r="I889" s="23" t="inlineStr">
        <is>
          <t>Source assignment -- not individually reviewed</t>
        </is>
      </c>
      <c r="J889" s="23" t="inlineStr"/>
      <c r="K889" s="23" t="inlineStr">
        <is>
          <t>Source assignment</t>
        </is>
      </c>
      <c r="L889" s="23" t="inlineStr"/>
      <c r="M889" s="23" t="inlineStr">
        <is>
          <t>Contractor Programme Cycle 2</t>
        </is>
      </c>
      <c r="N889" s="23" t="inlineStr">
        <is>
          <t>Rev 1</t>
        </is>
      </c>
      <c r="O889" s="23" t="inlineStr">
        <is>
          <t>R640-v2</t>
        </is>
      </c>
      <c r="P889" s="23" t="inlineStr"/>
      <c r="Q889" s="23" t="inlineStr"/>
      <c r="R889" s="23" t="inlineStr"/>
      <c r="S889" s="23" t="inlineStr"/>
      <c r="T889" s="23" t="inlineStr"/>
      <c r="U889" s="23" t="inlineStr"/>
      <c r="V889" s="23" t="inlineStr">
        <is>
          <t>WBS Code = 1.4.1</t>
        </is>
      </c>
      <c r="W889" s="23" t="inlineStr"/>
    </row>
    <row r="890" ht="49" customHeight="1">
      <c r="A890" s="23" t="inlineStr">
        <is>
          <t>1.4.1</t>
        </is>
      </c>
      <c r="B890" s="23" t="inlineStr">
        <is>
          <t>Vehicles and Depot - Fleet Supply</t>
        </is>
      </c>
      <c r="C890" s="23" t="inlineStr">
        <is>
          <t>Contractor Programme</t>
        </is>
      </c>
      <c r="D890" s="23" t="inlineStr">
        <is>
          <t>SCH-04-101</t>
        </is>
      </c>
      <c r="E890" s="23" t="inlineStr">
        <is>
          <t>Test track: wash-plant commissioning - release</t>
        </is>
      </c>
      <c r="F890" s="23" t="inlineStr">
        <is>
          <t>ONE_TO_ONE</t>
        </is>
      </c>
      <c r="G890" s="23" t="inlineStr">
        <is>
          <t>RETAINED</t>
        </is>
      </c>
      <c r="H890" s="23" t="inlineStr">
        <is>
          <t>Carried forward</t>
        </is>
      </c>
      <c r="I890" s="23" t="inlineStr">
        <is>
          <t>Source assignment -- not individually reviewed</t>
        </is>
      </c>
      <c r="J890" s="23" t="inlineStr"/>
      <c r="K890" s="23" t="inlineStr">
        <is>
          <t>Source assignment</t>
        </is>
      </c>
      <c r="L890" s="23" t="inlineStr"/>
      <c r="M890" s="23" t="inlineStr">
        <is>
          <t>Contractor Programme Cycle 2</t>
        </is>
      </c>
      <c r="N890" s="23" t="inlineStr">
        <is>
          <t>Rev 1</t>
        </is>
      </c>
      <c r="O890" s="23" t="inlineStr">
        <is>
          <t>R641-v2</t>
        </is>
      </c>
      <c r="P890" s="23" t="inlineStr"/>
      <c r="Q890" s="23" t="inlineStr"/>
      <c r="R890" s="23" t="inlineStr"/>
      <c r="S890" s="23" t="inlineStr"/>
      <c r="T890" s="23" t="inlineStr"/>
      <c r="U890" s="23" t="inlineStr"/>
      <c r="V890" s="23" t="inlineStr">
        <is>
          <t>WBS Code = 1.4.1</t>
        </is>
      </c>
      <c r="W890" s="23" t="inlineStr"/>
    </row>
    <row r="891" ht="49" customHeight="1">
      <c r="A891" s="23" t="inlineStr">
        <is>
          <t>1.4.1</t>
        </is>
      </c>
      <c r="B891" s="23" t="inlineStr">
        <is>
          <t>Vehicles and Depot - Fleet Supply</t>
        </is>
      </c>
      <c r="C891" s="23" t="inlineStr">
        <is>
          <t>Contractor Programme</t>
        </is>
      </c>
      <c r="D891" s="23" t="inlineStr">
        <is>
          <t>SCH-04-103</t>
        </is>
      </c>
      <c r="E891" s="23" t="inlineStr">
        <is>
          <t>Maintenance shop: depot structural fit-out - installation</t>
        </is>
      </c>
      <c r="F891" s="23" t="inlineStr">
        <is>
          <t>ONE_TO_ONE</t>
        </is>
      </c>
      <c r="G891" s="23" t="inlineStr">
        <is>
          <t>RETAINED</t>
        </is>
      </c>
      <c r="H891" s="23" t="inlineStr">
        <is>
          <t>Carried forward</t>
        </is>
      </c>
      <c r="I891" s="23" t="inlineStr">
        <is>
          <t>Source assignment -- not individually reviewed</t>
        </is>
      </c>
      <c r="J891" s="23" t="inlineStr"/>
      <c r="K891" s="23" t="inlineStr">
        <is>
          <t>Source assignment</t>
        </is>
      </c>
      <c r="L891" s="23" t="inlineStr"/>
      <c r="M891" s="23" t="inlineStr">
        <is>
          <t>Contractor Programme Cycle 2</t>
        </is>
      </c>
      <c r="N891" s="23" t="inlineStr">
        <is>
          <t>Rev 1</t>
        </is>
      </c>
      <c r="O891" s="23" t="inlineStr">
        <is>
          <t>R643-v2</t>
        </is>
      </c>
      <c r="P891" s="23" t="inlineStr"/>
      <c r="Q891" s="23" t="inlineStr"/>
      <c r="R891" s="23" t="inlineStr"/>
      <c r="S891" s="23" t="inlineStr"/>
      <c r="T891" s="23" t="inlineStr"/>
      <c r="U891" s="23" t="inlineStr"/>
      <c r="V891" s="23" t="inlineStr">
        <is>
          <t>WBS Code = 1.4.1</t>
        </is>
      </c>
      <c r="W891" s="23" t="inlineStr"/>
    </row>
    <row r="892" ht="49" customHeight="1">
      <c r="A892" s="23" t="inlineStr">
        <is>
          <t>1.4.1</t>
        </is>
      </c>
      <c r="B892" s="23" t="inlineStr">
        <is>
          <t>Vehicles and Depot - Fleet Supply</t>
        </is>
      </c>
      <c r="C892" s="23" t="inlineStr">
        <is>
          <t>Contractor Programme</t>
        </is>
      </c>
      <c r="D892" s="23" t="inlineStr">
        <is>
          <t>SCH-04-104</t>
        </is>
      </c>
      <c r="E892" s="23" t="inlineStr">
        <is>
          <t>Storage yard: workshop crane installation - inspection</t>
        </is>
      </c>
      <c r="F892" s="23" t="inlineStr">
        <is>
          <t>ONE_TO_ONE</t>
        </is>
      </c>
      <c r="G892" s="23" t="inlineStr">
        <is>
          <t>RETAINED</t>
        </is>
      </c>
      <c r="H892" s="23" t="inlineStr">
        <is>
          <t>Carried forward</t>
        </is>
      </c>
      <c r="I892" s="23" t="inlineStr">
        <is>
          <t>Source assignment -- not individually reviewed</t>
        </is>
      </c>
      <c r="J892" s="23" t="inlineStr"/>
      <c r="K892" s="23" t="inlineStr">
        <is>
          <t>Source assignment</t>
        </is>
      </c>
      <c r="L892" s="23" t="inlineStr"/>
      <c r="M892" s="23" t="inlineStr">
        <is>
          <t>Contractor Programme Cycle 2</t>
        </is>
      </c>
      <c r="N892" s="23" t="inlineStr">
        <is>
          <t>Rev 1</t>
        </is>
      </c>
      <c r="O892" s="23" t="inlineStr">
        <is>
          <t>R644-v2</t>
        </is>
      </c>
      <c r="P892" s="23" t="inlineStr"/>
      <c r="Q892" s="23" t="inlineStr"/>
      <c r="R892" s="23" t="inlineStr"/>
      <c r="S892" s="23" t="inlineStr"/>
      <c r="T892" s="23" t="inlineStr"/>
      <c r="U892" s="23" t="inlineStr"/>
      <c r="V892" s="23" t="inlineStr">
        <is>
          <t>WBS Code = 1.4.1</t>
        </is>
      </c>
      <c r="W892" s="23" t="inlineStr"/>
    </row>
    <row r="893" ht="49" customHeight="1">
      <c r="A893" s="23" t="inlineStr">
        <is>
          <t>1.4.1</t>
        </is>
      </c>
      <c r="B893" s="23" t="inlineStr">
        <is>
          <t>Vehicles and Depot - Fleet Supply</t>
        </is>
      </c>
      <c r="C893" s="23" t="inlineStr">
        <is>
          <t>Contractor Programme</t>
        </is>
      </c>
      <c r="D893" s="23" t="inlineStr">
        <is>
          <t>SCH-04-106</t>
        </is>
      </c>
      <c r="E893" s="23" t="inlineStr">
        <is>
          <t>Test track: wheel-lathe installation - release</t>
        </is>
      </c>
      <c r="F893" s="23" t="inlineStr">
        <is>
          <t>ONE_TO_ONE</t>
        </is>
      </c>
      <c r="G893" s="23" t="inlineStr">
        <is>
          <t>RETAINED</t>
        </is>
      </c>
      <c r="H893" s="23" t="inlineStr">
        <is>
          <t>Carried forward</t>
        </is>
      </c>
      <c r="I893" s="23" t="inlineStr">
        <is>
          <t>Source assignment -- not individually reviewed</t>
        </is>
      </c>
      <c r="J893" s="23" t="inlineStr"/>
      <c r="K893" s="23" t="inlineStr">
        <is>
          <t>Source assignment</t>
        </is>
      </c>
      <c r="L893" s="23" t="inlineStr"/>
      <c r="M893" s="23" t="inlineStr">
        <is>
          <t>Contractor Programme Cycle 2</t>
        </is>
      </c>
      <c r="N893" s="23" t="inlineStr">
        <is>
          <t>Rev 1</t>
        </is>
      </c>
      <c r="O893" s="23" t="inlineStr">
        <is>
          <t>R646-v2</t>
        </is>
      </c>
      <c r="P893" s="23" t="inlineStr"/>
      <c r="Q893" s="23" t="inlineStr"/>
      <c r="R893" s="23" t="inlineStr"/>
      <c r="S893" s="23" t="inlineStr"/>
      <c r="T893" s="23" t="inlineStr"/>
      <c r="U893" s="23" t="inlineStr"/>
      <c r="V893" s="23" t="inlineStr">
        <is>
          <t>WBS Code = 1.4.1</t>
        </is>
      </c>
      <c r="W893" s="23" t="inlineStr"/>
    </row>
    <row r="894" ht="49" customHeight="1">
      <c r="A894" s="23" t="inlineStr">
        <is>
          <t>1.4.1</t>
        </is>
      </c>
      <c r="B894" s="23" t="inlineStr">
        <is>
          <t>Vehicles and Depot - Fleet Supply</t>
        </is>
      </c>
      <c r="C894" s="23" t="inlineStr">
        <is>
          <t>Contractor Programme</t>
        </is>
      </c>
      <c r="D894" s="23" t="inlineStr">
        <is>
          <t>SCH-04-107</t>
        </is>
      </c>
      <c r="E894" s="23" t="inlineStr">
        <is>
          <t>Receiving track: fleet software load - field start</t>
        </is>
      </c>
      <c r="F894" s="23" t="inlineStr">
        <is>
          <t>ONE_TO_ONE</t>
        </is>
      </c>
      <c r="G894" s="23" t="inlineStr">
        <is>
          <t>RETAINED</t>
        </is>
      </c>
      <c r="H894" s="23" t="inlineStr">
        <is>
          <t>Carried forward</t>
        </is>
      </c>
      <c r="I894" s="23" t="inlineStr">
        <is>
          <t>Source assignment -- not individually reviewed</t>
        </is>
      </c>
      <c r="J894" s="23" t="inlineStr"/>
      <c r="K894" s="23" t="inlineStr">
        <is>
          <t>Source assignment</t>
        </is>
      </c>
      <c r="L894" s="23" t="inlineStr"/>
      <c r="M894" s="23" t="inlineStr">
        <is>
          <t>Contractor Programme Cycle 2</t>
        </is>
      </c>
      <c r="N894" s="23" t="inlineStr">
        <is>
          <t>Rev 1</t>
        </is>
      </c>
      <c r="O894" s="23" t="inlineStr">
        <is>
          <t>R647-v2</t>
        </is>
      </c>
      <c r="P894" s="23" t="inlineStr"/>
      <c r="Q894" s="23" t="inlineStr"/>
      <c r="R894" s="23" t="inlineStr"/>
      <c r="S894" s="23" t="inlineStr"/>
      <c r="T894" s="23" t="inlineStr"/>
      <c r="U894" s="23" t="inlineStr"/>
      <c r="V894" s="23" t="inlineStr">
        <is>
          <t>WBS Code = 1.4.1</t>
        </is>
      </c>
      <c r="W894" s="23" t="inlineStr"/>
    </row>
    <row r="895" ht="49" customHeight="1">
      <c r="A895" s="23" t="inlineStr">
        <is>
          <t>1.4.1</t>
        </is>
      </c>
      <c r="B895" s="23" t="inlineStr">
        <is>
          <t>Vehicles and Depot - Fleet Supply</t>
        </is>
      </c>
      <c r="C895" s="23" t="inlineStr">
        <is>
          <t>Contractor Programme</t>
        </is>
      </c>
      <c r="D895" s="23" t="inlineStr">
        <is>
          <t>SCH-04-109</t>
        </is>
      </c>
      <c r="E895" s="23" t="inlineStr">
        <is>
          <t>Storage yard: wash-plant commissioning - inspection</t>
        </is>
      </c>
      <c r="F895" s="23" t="inlineStr">
        <is>
          <t>ONE_TO_ONE</t>
        </is>
      </c>
      <c r="G895" s="23" t="inlineStr">
        <is>
          <t>RETAINED</t>
        </is>
      </c>
      <c r="H895" s="23" t="inlineStr">
        <is>
          <t>Carried forward</t>
        </is>
      </c>
      <c r="I895" s="23" t="inlineStr">
        <is>
          <t>Source assignment -- not individually reviewed</t>
        </is>
      </c>
      <c r="J895" s="23" t="inlineStr"/>
      <c r="K895" s="23" t="inlineStr">
        <is>
          <t>Source assignment</t>
        </is>
      </c>
      <c r="L895" s="23" t="inlineStr"/>
      <c r="M895" s="23" t="inlineStr">
        <is>
          <t>Contractor Programme Cycle 2</t>
        </is>
      </c>
      <c r="N895" s="23" t="inlineStr">
        <is>
          <t>Rev 1</t>
        </is>
      </c>
      <c r="O895" s="23" t="inlineStr">
        <is>
          <t>R649-v2</t>
        </is>
      </c>
      <c r="P895" s="23" t="inlineStr"/>
      <c r="Q895" s="23" t="inlineStr"/>
      <c r="R895" s="23" t="inlineStr"/>
      <c r="S895" s="23" t="inlineStr"/>
      <c r="T895" s="23" t="inlineStr"/>
      <c r="U895" s="23" t="inlineStr"/>
      <c r="V895" s="23" t="inlineStr">
        <is>
          <t>WBS Code = 1.4.1</t>
        </is>
      </c>
      <c r="W895" s="23" t="inlineStr"/>
    </row>
    <row r="896" ht="49" customHeight="1">
      <c r="A896" s="23" t="inlineStr">
        <is>
          <t>1.4.1</t>
        </is>
      </c>
      <c r="B896" s="23" t="inlineStr">
        <is>
          <t>Vehicles and Depot - Fleet Supply</t>
        </is>
      </c>
      <c r="C896" s="23" t="inlineStr">
        <is>
          <t>Contractor Programme</t>
        </is>
      </c>
      <c r="D896" s="23" t="inlineStr">
        <is>
          <t>SCH-04-110</t>
        </is>
      </c>
      <c r="E896" s="23" t="inlineStr">
        <is>
          <t>Operations building: maintenance-bay services - turnover</t>
        </is>
      </c>
      <c r="F896" s="23" t="inlineStr">
        <is>
          <t>ONE_TO_ONE</t>
        </is>
      </c>
      <c r="G896" s="23" t="inlineStr">
        <is>
          <t>RETAINED</t>
        </is>
      </c>
      <c r="H896" s="23" t="inlineStr">
        <is>
          <t>Carried forward</t>
        </is>
      </c>
      <c r="I896" s="23" t="inlineStr">
        <is>
          <t>Source assignment -- not individually reviewed</t>
        </is>
      </c>
      <c r="J896" s="23" t="inlineStr"/>
      <c r="K896" s="23" t="inlineStr">
        <is>
          <t>Source assignment</t>
        </is>
      </c>
      <c r="L896" s="23" t="inlineStr"/>
      <c r="M896" s="23" t="inlineStr">
        <is>
          <t>Contractor Programme Cycle 2</t>
        </is>
      </c>
      <c r="N896" s="23" t="inlineStr">
        <is>
          <t>Rev 1</t>
        </is>
      </c>
      <c r="O896" s="23" t="inlineStr">
        <is>
          <t>R650-v2</t>
        </is>
      </c>
      <c r="P896" s="23" t="inlineStr"/>
      <c r="Q896" s="23" t="inlineStr"/>
      <c r="R896" s="23" t="inlineStr"/>
      <c r="S896" s="23" t="inlineStr"/>
      <c r="T896" s="23" t="inlineStr"/>
      <c r="U896" s="23" t="inlineStr"/>
      <c r="V896" s="23" t="inlineStr">
        <is>
          <t>WBS Code = 1.4.1</t>
        </is>
      </c>
      <c r="W896" s="23" t="inlineStr"/>
    </row>
    <row r="897" ht="49" customHeight="1">
      <c r="A897" s="23" t="inlineStr">
        <is>
          <t>1.4.1</t>
        </is>
      </c>
      <c r="B897" s="23" t="inlineStr">
        <is>
          <t>Vehicles and Depot - Fleet Supply</t>
        </is>
      </c>
      <c r="C897" s="23" t="inlineStr">
        <is>
          <t>Contractor Programme</t>
        </is>
      </c>
      <c r="D897" s="23" t="inlineStr">
        <is>
          <t>SCH-04-112</t>
        </is>
      </c>
      <c r="E897" s="23" t="inlineStr">
        <is>
          <t>Receiving track: workshop crane installation - field start</t>
        </is>
      </c>
      <c r="F897" s="23" t="inlineStr">
        <is>
          <t>ONE_TO_ONE</t>
        </is>
      </c>
      <c r="G897" s="23" t="inlineStr">
        <is>
          <t>RETAINED</t>
        </is>
      </c>
      <c r="H897" s="23" t="inlineStr">
        <is>
          <t>Carried forward</t>
        </is>
      </c>
      <c r="I897" s="23" t="inlineStr">
        <is>
          <t>Source assignment -- not individually reviewed</t>
        </is>
      </c>
      <c r="J897" s="23" t="inlineStr"/>
      <c r="K897" s="23" t="inlineStr">
        <is>
          <t>Source assignment</t>
        </is>
      </c>
      <c r="L897" s="23" t="inlineStr"/>
      <c r="M897" s="23" t="inlineStr">
        <is>
          <t>Contractor Programme Cycle 2</t>
        </is>
      </c>
      <c r="N897" s="23" t="inlineStr">
        <is>
          <t>Rev 1</t>
        </is>
      </c>
      <c r="O897" s="23" t="inlineStr">
        <is>
          <t>R652-v2</t>
        </is>
      </c>
      <c r="P897" s="23" t="inlineStr"/>
      <c r="Q897" s="23" t="inlineStr"/>
      <c r="R897" s="23" t="inlineStr"/>
      <c r="S897" s="23" t="inlineStr"/>
      <c r="T897" s="23" t="inlineStr"/>
      <c r="U897" s="23" t="inlineStr"/>
      <c r="V897" s="23" t="inlineStr">
        <is>
          <t>WBS Code = 1.4.1</t>
        </is>
      </c>
      <c r="W897" s="23" t="inlineStr"/>
    </row>
    <row r="898" ht="49" customHeight="1">
      <c r="A898" s="23" t="inlineStr">
        <is>
          <t>1.4.1</t>
        </is>
      </c>
      <c r="B898" s="23" t="inlineStr">
        <is>
          <t>Vehicles and Depot - Fleet Supply</t>
        </is>
      </c>
      <c r="C898" s="23" t="inlineStr">
        <is>
          <t>Contractor Programme</t>
        </is>
      </c>
      <c r="D898" s="23" t="inlineStr">
        <is>
          <t>SCH-04-113</t>
        </is>
      </c>
      <c r="E898" s="23" t="inlineStr">
        <is>
          <t>Maintenance shop: vehicle-to-depot interface check - installation</t>
        </is>
      </c>
      <c r="F898" s="23" t="inlineStr">
        <is>
          <t>ONE_TO_ONE</t>
        </is>
      </c>
      <c r="G898" s="23" t="inlineStr">
        <is>
          <t>RETAINED</t>
        </is>
      </c>
      <c r="H898" s="23" t="inlineStr">
        <is>
          <t>Carried forward</t>
        </is>
      </c>
      <c r="I898" s="23" t="inlineStr">
        <is>
          <t>Source assignment -- not individually reviewed</t>
        </is>
      </c>
      <c r="J898" s="23" t="inlineStr"/>
      <c r="K898" s="23" t="inlineStr">
        <is>
          <t>Source assignment</t>
        </is>
      </c>
      <c r="L898" s="23" t="inlineStr"/>
      <c r="M898" s="23" t="inlineStr">
        <is>
          <t>Contractor Programme Cycle 2</t>
        </is>
      </c>
      <c r="N898" s="23" t="inlineStr">
        <is>
          <t>Rev 1</t>
        </is>
      </c>
      <c r="O898" s="23" t="inlineStr">
        <is>
          <t>R653-v2</t>
        </is>
      </c>
      <c r="P898" s="23" t="inlineStr"/>
      <c r="Q898" s="23" t="inlineStr"/>
      <c r="R898" s="23" t="inlineStr"/>
      <c r="S898" s="23" t="inlineStr"/>
      <c r="T898" s="23" t="inlineStr"/>
      <c r="U898" s="23" t="inlineStr"/>
      <c r="V898" s="23" t="inlineStr">
        <is>
          <t>WBS Code = 1.4.1</t>
        </is>
      </c>
      <c r="W898" s="23" t="inlineStr"/>
    </row>
    <row r="899" ht="49" customHeight="1">
      <c r="A899" s="23" t="inlineStr">
        <is>
          <t>1.4.1</t>
        </is>
      </c>
      <c r="B899" s="23" t="inlineStr">
        <is>
          <t>Vehicles and Depot - Fleet Supply</t>
        </is>
      </c>
      <c r="C899" s="23" t="inlineStr">
        <is>
          <t>Contractor Programme</t>
        </is>
      </c>
      <c r="D899" s="23" t="inlineStr">
        <is>
          <t>SCH-04-115</t>
        </is>
      </c>
      <c r="E899" s="23" t="inlineStr">
        <is>
          <t>Operations building: fleet software load - turnover</t>
        </is>
      </c>
      <c r="F899" s="23" t="inlineStr">
        <is>
          <t>ONE_TO_ONE</t>
        </is>
      </c>
      <c r="G899" s="23" t="inlineStr">
        <is>
          <t>RETAINED</t>
        </is>
      </c>
      <c r="H899" s="23" t="inlineStr">
        <is>
          <t>Carried forward</t>
        </is>
      </c>
      <c r="I899" s="23" t="inlineStr">
        <is>
          <t>Source assignment -- not individually reviewed</t>
        </is>
      </c>
      <c r="J899" s="23" t="inlineStr"/>
      <c r="K899" s="23" t="inlineStr">
        <is>
          <t>Source assignment</t>
        </is>
      </c>
      <c r="L899" s="23" t="inlineStr"/>
      <c r="M899" s="23" t="inlineStr">
        <is>
          <t>Contractor Programme Cycle 2</t>
        </is>
      </c>
      <c r="N899" s="23" t="inlineStr">
        <is>
          <t>Rev 1</t>
        </is>
      </c>
      <c r="O899" s="23" t="inlineStr">
        <is>
          <t>R655-v2</t>
        </is>
      </c>
      <c r="P899" s="23" t="inlineStr"/>
      <c r="Q899" s="23" t="inlineStr"/>
      <c r="R899" s="23" t="inlineStr"/>
      <c r="S899" s="23" t="inlineStr"/>
      <c r="T899" s="23" t="inlineStr"/>
      <c r="U899" s="23" t="inlineStr"/>
      <c r="V899" s="23" t="inlineStr">
        <is>
          <t>WBS Code = 1.4.1</t>
        </is>
      </c>
      <c r="W899" s="23" t="inlineStr"/>
    </row>
    <row r="900" ht="49" customHeight="1">
      <c r="A900" s="23" t="inlineStr">
        <is>
          <t>1.4.1</t>
        </is>
      </c>
      <c r="B900" s="23" t="inlineStr">
        <is>
          <t>Vehicles and Depot - Fleet Supply</t>
        </is>
      </c>
      <c r="C900" s="23" t="inlineStr">
        <is>
          <t>Contractor Programme</t>
        </is>
      </c>
      <c r="D900" s="23" t="inlineStr">
        <is>
          <t>SCH-04-116</t>
        </is>
      </c>
      <c r="E900" s="23" t="inlineStr">
        <is>
          <t>Test track: vehicle delivery inspection - release</t>
        </is>
      </c>
      <c r="F900" s="23" t="inlineStr">
        <is>
          <t>ONE_TO_ONE</t>
        </is>
      </c>
      <c r="G900" s="23" t="inlineStr">
        <is>
          <t>RETAINED</t>
        </is>
      </c>
      <c r="H900" s="23" t="inlineStr">
        <is>
          <t>Carried forward</t>
        </is>
      </c>
      <c r="I900" s="23" t="inlineStr">
        <is>
          <t>Source assignment -- not individually reviewed</t>
        </is>
      </c>
      <c r="J900" s="23" t="inlineStr"/>
      <c r="K900" s="23" t="inlineStr">
        <is>
          <t>Source assignment</t>
        </is>
      </c>
      <c r="L900" s="23" t="inlineStr"/>
      <c r="M900" s="23" t="inlineStr">
        <is>
          <t>Contractor Programme Cycle 2</t>
        </is>
      </c>
      <c r="N900" s="23" t="inlineStr">
        <is>
          <t>Rev 1</t>
        </is>
      </c>
      <c r="O900" s="23" t="inlineStr">
        <is>
          <t>R656-v2</t>
        </is>
      </c>
      <c r="P900" s="23" t="inlineStr"/>
      <c r="Q900" s="23" t="inlineStr"/>
      <c r="R900" s="23" t="inlineStr"/>
      <c r="S900" s="23" t="inlineStr"/>
      <c r="T900" s="23" t="inlineStr"/>
      <c r="U900" s="23" t="inlineStr"/>
      <c r="V900" s="23" t="inlineStr">
        <is>
          <t>WBS Code = 1.4.1</t>
        </is>
      </c>
      <c r="W900" s="23" t="inlineStr"/>
    </row>
    <row r="901" ht="49" customHeight="1">
      <c r="A901" s="23" t="inlineStr">
        <is>
          <t>1.4.1</t>
        </is>
      </c>
      <c r="B901" s="23" t="inlineStr">
        <is>
          <t>Vehicles and Depot - Fleet Supply</t>
        </is>
      </c>
      <c r="C901" s="23" t="inlineStr">
        <is>
          <t>Contractor Programme</t>
        </is>
      </c>
      <c r="D901" s="23" t="inlineStr">
        <is>
          <t>SCH-04-118</t>
        </is>
      </c>
      <c r="E901" s="23" t="inlineStr">
        <is>
          <t>Maintenance shop: maintenance-bay services - installation</t>
        </is>
      </c>
      <c r="F901" s="23" t="inlineStr">
        <is>
          <t>ONE_TO_ONE</t>
        </is>
      </c>
      <c r="G901" s="23" t="inlineStr">
        <is>
          <t>RETAINED</t>
        </is>
      </c>
      <c r="H901" s="23" t="inlineStr">
        <is>
          <t>Carried forward</t>
        </is>
      </c>
      <c r="I901" s="23" t="inlineStr">
        <is>
          <t>Source assignment -- not individually reviewed</t>
        </is>
      </c>
      <c r="J901" s="23" t="inlineStr"/>
      <c r="K901" s="23" t="inlineStr">
        <is>
          <t>Source assignment</t>
        </is>
      </c>
      <c r="L901" s="23" t="inlineStr"/>
      <c r="M901" s="23" t="inlineStr">
        <is>
          <t>Contractor Programme Cycle 2</t>
        </is>
      </c>
      <c r="N901" s="23" t="inlineStr">
        <is>
          <t>Rev 1</t>
        </is>
      </c>
      <c r="O901" s="23" t="inlineStr">
        <is>
          <t>R658-v2</t>
        </is>
      </c>
      <c r="P901" s="23" t="inlineStr"/>
      <c r="Q901" s="23" t="inlineStr"/>
      <c r="R901" s="23" t="inlineStr"/>
      <c r="S901" s="23" t="inlineStr"/>
      <c r="T901" s="23" t="inlineStr"/>
      <c r="U901" s="23" t="inlineStr"/>
      <c r="V901" s="23" t="inlineStr">
        <is>
          <t>WBS Code = 1.4.1</t>
        </is>
      </c>
      <c r="W901" s="23" t="inlineStr"/>
    </row>
    <row r="902" ht="49" customHeight="1">
      <c r="A902" s="23" t="inlineStr">
        <is>
          <t>1.4.1</t>
        </is>
      </c>
      <c r="B902" s="23" t="inlineStr">
        <is>
          <t>Vehicles and Depot - Fleet Supply</t>
        </is>
      </c>
      <c r="C902" s="23" t="inlineStr">
        <is>
          <t>Contractor Programme</t>
        </is>
      </c>
      <c r="D902" s="23" t="inlineStr">
        <is>
          <t>SCH-04-119</t>
        </is>
      </c>
      <c r="E902" s="23" t="inlineStr">
        <is>
          <t>Storage yard: depot structural fit-out - inspection</t>
        </is>
      </c>
      <c r="F902" s="23" t="inlineStr">
        <is>
          <t>ONE_TO_ONE</t>
        </is>
      </c>
      <c r="G902" s="23" t="inlineStr">
        <is>
          <t>RETAINED</t>
        </is>
      </c>
      <c r="H902" s="23" t="inlineStr">
        <is>
          <t>Carried forward</t>
        </is>
      </c>
      <c r="I902" s="23" t="inlineStr">
        <is>
          <t>Source assignment -- not individually reviewed</t>
        </is>
      </c>
      <c r="J902" s="23" t="inlineStr"/>
      <c r="K902" s="23" t="inlineStr">
        <is>
          <t>Source assignment</t>
        </is>
      </c>
      <c r="L902" s="23" t="inlineStr"/>
      <c r="M902" s="23" t="inlineStr">
        <is>
          <t>Contractor Programme Cycle 2</t>
        </is>
      </c>
      <c r="N902" s="23" t="inlineStr">
        <is>
          <t>Rev 1</t>
        </is>
      </c>
      <c r="O902" s="23" t="inlineStr">
        <is>
          <t>R659-v2</t>
        </is>
      </c>
      <c r="P902" s="23" t="inlineStr"/>
      <c r="Q902" s="23" t="inlineStr"/>
      <c r="R902" s="23" t="inlineStr"/>
      <c r="S902" s="23" t="inlineStr"/>
      <c r="T902" s="23" t="inlineStr"/>
      <c r="U902" s="23" t="inlineStr"/>
      <c r="V902" s="23" t="inlineStr">
        <is>
          <t>WBS Code = 1.4.1</t>
        </is>
      </c>
      <c r="W902" s="23" t="inlineStr"/>
    </row>
    <row r="903" ht="49" customHeight="1">
      <c r="A903" s="23" t="inlineStr">
        <is>
          <t>1.4.1</t>
        </is>
      </c>
      <c r="B903" s="23" t="inlineStr">
        <is>
          <t>Vehicles and Depot - Fleet Supply</t>
        </is>
      </c>
      <c r="C903" s="23" t="inlineStr">
        <is>
          <t>Contractor Programme</t>
        </is>
      </c>
      <c r="D903" s="23" t="inlineStr">
        <is>
          <t>SCH-04-121</t>
        </is>
      </c>
      <c r="E903" s="23" t="inlineStr">
        <is>
          <t>Test track: vehicle-to-depot interface check - release</t>
        </is>
      </c>
      <c r="F903" s="23" t="inlineStr">
        <is>
          <t>ONE_TO_ONE</t>
        </is>
      </c>
      <c r="G903" s="23" t="inlineStr">
        <is>
          <t>RETAINED</t>
        </is>
      </c>
      <c r="H903" s="23" t="inlineStr">
        <is>
          <t>Carried forward</t>
        </is>
      </c>
      <c r="I903" s="23" t="inlineStr">
        <is>
          <t>Source assignment -- not individually reviewed</t>
        </is>
      </c>
      <c r="J903" s="23" t="inlineStr"/>
      <c r="K903" s="23" t="inlineStr">
        <is>
          <t>Source assignment</t>
        </is>
      </c>
      <c r="L903" s="23" t="inlineStr"/>
      <c r="M903" s="23" t="inlineStr">
        <is>
          <t>Contractor Programme Cycle 2</t>
        </is>
      </c>
      <c r="N903" s="23" t="inlineStr">
        <is>
          <t>Rev 1</t>
        </is>
      </c>
      <c r="O903" s="23" t="inlineStr">
        <is>
          <t>R661-v2</t>
        </is>
      </c>
      <c r="P903" s="23" t="inlineStr"/>
      <c r="Q903" s="23" t="inlineStr"/>
      <c r="R903" s="23" t="inlineStr"/>
      <c r="S903" s="23" t="inlineStr"/>
      <c r="T903" s="23" t="inlineStr"/>
      <c r="U903" s="23" t="inlineStr"/>
      <c r="V903" s="23" t="inlineStr">
        <is>
          <t>WBS Code = 1.4.1</t>
        </is>
      </c>
      <c r="W903" s="23" t="inlineStr"/>
    </row>
    <row r="904" ht="49" customHeight="1">
      <c r="A904" s="23" t="inlineStr">
        <is>
          <t>1.4.1</t>
        </is>
      </c>
      <c r="B904" s="23" t="inlineStr">
        <is>
          <t>Vehicles and Depot - Fleet Supply</t>
        </is>
      </c>
      <c r="C904" s="23" t="inlineStr">
        <is>
          <t>Contractor Programme</t>
        </is>
      </c>
      <c r="D904" s="23" t="inlineStr">
        <is>
          <t>SCH-04-122</t>
        </is>
      </c>
      <c r="E904" s="23" t="inlineStr">
        <is>
          <t>Receiving track: wheel-lathe installation - field start</t>
        </is>
      </c>
      <c r="F904" s="23" t="inlineStr">
        <is>
          <t>ONE_TO_ONE</t>
        </is>
      </c>
      <c r="G904" s="23" t="inlineStr">
        <is>
          <t>RETAINED</t>
        </is>
      </c>
      <c r="H904" s="23" t="inlineStr">
        <is>
          <t>Carried forward</t>
        </is>
      </c>
      <c r="I904" s="23" t="inlineStr">
        <is>
          <t>Source assignment -- not individually reviewed</t>
        </is>
      </c>
      <c r="J904" s="23" t="inlineStr"/>
      <c r="K904" s="23" t="inlineStr">
        <is>
          <t>Source assignment</t>
        </is>
      </c>
      <c r="L904" s="23" t="inlineStr"/>
      <c r="M904" s="23" t="inlineStr">
        <is>
          <t>Contractor Programme Cycle 2</t>
        </is>
      </c>
      <c r="N904" s="23" t="inlineStr">
        <is>
          <t>Rev 1</t>
        </is>
      </c>
      <c r="O904" s="23" t="inlineStr">
        <is>
          <t>R662-v2</t>
        </is>
      </c>
      <c r="P904" s="23" t="inlineStr"/>
      <c r="Q904" s="23" t="inlineStr"/>
      <c r="R904" s="23" t="inlineStr"/>
      <c r="S904" s="23" t="inlineStr"/>
      <c r="T904" s="23" t="inlineStr"/>
      <c r="U904" s="23" t="inlineStr"/>
      <c r="V904" s="23" t="inlineStr">
        <is>
          <t>WBS Code = 1.4.1</t>
        </is>
      </c>
      <c r="W904" s="23" t="inlineStr"/>
    </row>
    <row r="905" ht="49" customHeight="1">
      <c r="A905" s="23" t="inlineStr">
        <is>
          <t>1.4.1</t>
        </is>
      </c>
      <c r="B905" s="23" t="inlineStr">
        <is>
          <t>Vehicles and Depot - Fleet Supply</t>
        </is>
      </c>
      <c r="C905" s="23" t="inlineStr">
        <is>
          <t>Contractor Programme</t>
        </is>
      </c>
      <c r="D905" s="23" t="inlineStr">
        <is>
          <t>SCH-04-124</t>
        </is>
      </c>
      <c r="E905" s="23" t="inlineStr">
        <is>
          <t>Storage yard: vehicle delivery inspection - inspection</t>
        </is>
      </c>
      <c r="F905" s="23" t="inlineStr">
        <is>
          <t>ONE_TO_ONE</t>
        </is>
      </c>
      <c r="G905" s="23" t="inlineStr">
        <is>
          <t>RETAINED</t>
        </is>
      </c>
      <c r="H905" s="23" t="inlineStr">
        <is>
          <t>Carried forward</t>
        </is>
      </c>
      <c r="I905" s="23" t="inlineStr">
        <is>
          <t>Source assignment -- not individually reviewed</t>
        </is>
      </c>
      <c r="J905" s="23" t="inlineStr"/>
      <c r="K905" s="23" t="inlineStr">
        <is>
          <t>Source assignment</t>
        </is>
      </c>
      <c r="L905" s="23" t="inlineStr"/>
      <c r="M905" s="23" t="inlineStr">
        <is>
          <t>Contractor Programme Cycle 2</t>
        </is>
      </c>
      <c r="N905" s="23" t="inlineStr">
        <is>
          <t>Rev 1</t>
        </is>
      </c>
      <c r="O905" s="23" t="inlineStr">
        <is>
          <t>R664-v2</t>
        </is>
      </c>
      <c r="P905" s="23" t="inlineStr"/>
      <c r="Q905" s="23" t="inlineStr"/>
      <c r="R905" s="23" t="inlineStr"/>
      <c r="S905" s="23" t="inlineStr"/>
      <c r="T905" s="23" t="inlineStr"/>
      <c r="U905" s="23" t="inlineStr"/>
      <c r="V905" s="23" t="inlineStr">
        <is>
          <t>WBS Code = 1.4.1</t>
        </is>
      </c>
      <c r="W905" s="23" t="inlineStr"/>
    </row>
    <row r="906" ht="49" customHeight="1">
      <c r="A906" s="23" t="inlineStr">
        <is>
          <t>1.4.1</t>
        </is>
      </c>
      <c r="B906" s="23" t="inlineStr">
        <is>
          <t>Vehicles and Depot - Fleet Supply</t>
        </is>
      </c>
      <c r="C906" s="23" t="inlineStr">
        <is>
          <t>Contractor Programme</t>
        </is>
      </c>
      <c r="D906" s="23" t="inlineStr">
        <is>
          <t>SCH-04-125</t>
        </is>
      </c>
      <c r="E906" s="23" t="inlineStr">
        <is>
          <t>Operations building: wash-plant commissioning - turnover</t>
        </is>
      </c>
      <c r="F906" s="23" t="inlineStr">
        <is>
          <t>ONE_TO_ONE</t>
        </is>
      </c>
      <c r="G906" s="23" t="inlineStr">
        <is>
          <t>RETAINED</t>
        </is>
      </c>
      <c r="H906" s="23" t="inlineStr">
        <is>
          <t>Carried forward</t>
        </is>
      </c>
      <c r="I906" s="23" t="inlineStr">
        <is>
          <t>Source assignment -- not individually reviewed</t>
        </is>
      </c>
      <c r="J906" s="23" t="inlineStr"/>
      <c r="K906" s="23" t="inlineStr">
        <is>
          <t>Source assignment</t>
        </is>
      </c>
      <c r="L906" s="23" t="inlineStr"/>
      <c r="M906" s="23" t="inlineStr">
        <is>
          <t>Contractor Programme Cycle 2</t>
        </is>
      </c>
      <c r="N906" s="23" t="inlineStr">
        <is>
          <t>Rev 1</t>
        </is>
      </c>
      <c r="O906" s="23" t="inlineStr">
        <is>
          <t>R665-v2</t>
        </is>
      </c>
      <c r="P906" s="23" t="inlineStr"/>
      <c r="Q906" s="23" t="inlineStr"/>
      <c r="R906" s="23" t="inlineStr"/>
      <c r="S906" s="23" t="inlineStr"/>
      <c r="T906" s="23" t="inlineStr"/>
      <c r="U906" s="23" t="inlineStr"/>
      <c r="V906" s="23" t="inlineStr">
        <is>
          <t>WBS Code = 1.4.1</t>
        </is>
      </c>
      <c r="W906" s="23" t="inlineStr"/>
    </row>
    <row r="907" ht="49" customHeight="1">
      <c r="A907" s="23" t="inlineStr">
        <is>
          <t>1.4.1</t>
        </is>
      </c>
      <c r="B907" s="23" t="inlineStr">
        <is>
          <t>Vehicles and Depot - Fleet Supply</t>
        </is>
      </c>
      <c r="C907" s="23" t="inlineStr">
        <is>
          <t>Contractor Programme</t>
        </is>
      </c>
      <c r="D907" s="23" t="inlineStr">
        <is>
          <t>SCH-04-127</t>
        </is>
      </c>
      <c r="E907" s="23" t="inlineStr">
        <is>
          <t>Receiving track: depot structural fit-out - field start</t>
        </is>
      </c>
      <c r="F907" s="23" t="inlineStr">
        <is>
          <t>ONE_TO_ONE</t>
        </is>
      </c>
      <c r="G907" s="23" t="inlineStr">
        <is>
          <t>RETAINED</t>
        </is>
      </c>
      <c r="H907" s="23" t="inlineStr">
        <is>
          <t>Carried forward</t>
        </is>
      </c>
      <c r="I907" s="23" t="inlineStr">
        <is>
          <t>Source assignment -- not individually reviewed</t>
        </is>
      </c>
      <c r="J907" s="23" t="inlineStr"/>
      <c r="K907" s="23" t="inlineStr">
        <is>
          <t>Source assignment</t>
        </is>
      </c>
      <c r="L907" s="23" t="inlineStr"/>
      <c r="M907" s="23" t="inlineStr">
        <is>
          <t>Contractor Programme Cycle 2</t>
        </is>
      </c>
      <c r="N907" s="23" t="inlineStr">
        <is>
          <t>Rev 1</t>
        </is>
      </c>
      <c r="O907" s="23" t="inlineStr">
        <is>
          <t>R667-v2</t>
        </is>
      </c>
      <c r="P907" s="23" t="inlineStr"/>
      <c r="Q907" s="23" t="inlineStr"/>
      <c r="R907" s="23" t="inlineStr"/>
      <c r="S907" s="23" t="inlineStr"/>
      <c r="T907" s="23" t="inlineStr"/>
      <c r="U907" s="23" t="inlineStr"/>
      <c r="V907" s="23" t="inlineStr">
        <is>
          <t>WBS Code = 1.4.1</t>
        </is>
      </c>
      <c r="W907" s="23" t="inlineStr"/>
    </row>
    <row r="908" ht="49" customHeight="1">
      <c r="A908" s="23" t="inlineStr">
        <is>
          <t>1.4.1</t>
        </is>
      </c>
      <c r="B908" s="23" t="inlineStr">
        <is>
          <t>Vehicles and Depot - Fleet Supply</t>
        </is>
      </c>
      <c r="C908" s="23" t="inlineStr">
        <is>
          <t>Contractor Programme</t>
        </is>
      </c>
      <c r="D908" s="23" t="inlineStr">
        <is>
          <t>SCH-04-128</t>
        </is>
      </c>
      <c r="E908" s="23" t="inlineStr">
        <is>
          <t>Maintenance shop: workshop crane installation - installation</t>
        </is>
      </c>
      <c r="F908" s="23" t="inlineStr">
        <is>
          <t>ONE_TO_ONE</t>
        </is>
      </c>
      <c r="G908" s="23" t="inlineStr">
        <is>
          <t>RETAINED</t>
        </is>
      </c>
      <c r="H908" s="23" t="inlineStr">
        <is>
          <t>Carried forward</t>
        </is>
      </c>
      <c r="I908" s="23" t="inlineStr">
        <is>
          <t>Source assignment -- not individually reviewed</t>
        </is>
      </c>
      <c r="J908" s="23" t="inlineStr"/>
      <c r="K908" s="23" t="inlineStr">
        <is>
          <t>Source assignment</t>
        </is>
      </c>
      <c r="L908" s="23" t="inlineStr"/>
      <c r="M908" s="23" t="inlineStr">
        <is>
          <t>Contractor Programme Cycle 2</t>
        </is>
      </c>
      <c r="N908" s="23" t="inlineStr">
        <is>
          <t>Rev 1</t>
        </is>
      </c>
      <c r="O908" s="23" t="inlineStr">
        <is>
          <t>R668-v2</t>
        </is>
      </c>
      <c r="P908" s="23" t="inlineStr"/>
      <c r="Q908" s="23" t="inlineStr"/>
      <c r="R908" s="23" t="inlineStr"/>
      <c r="S908" s="23" t="inlineStr"/>
      <c r="T908" s="23" t="inlineStr"/>
      <c r="U908" s="23" t="inlineStr"/>
      <c r="V908" s="23" t="inlineStr">
        <is>
          <t>WBS Code = 1.4.1</t>
        </is>
      </c>
      <c r="W908" s="23" t="inlineStr"/>
    </row>
    <row r="909" ht="49" customHeight="1">
      <c r="A909" s="23" t="inlineStr">
        <is>
          <t>1.4.1</t>
        </is>
      </c>
      <c r="B909" s="23" t="inlineStr">
        <is>
          <t>Vehicles and Depot - Fleet Supply</t>
        </is>
      </c>
      <c r="C909" s="23" t="inlineStr">
        <is>
          <t>Contractor Programme</t>
        </is>
      </c>
      <c r="D909" s="23" t="inlineStr">
        <is>
          <t>SCH-04-130</t>
        </is>
      </c>
      <c r="E909" s="23" t="inlineStr">
        <is>
          <t>Operations building: wheel-lathe installation - turnover</t>
        </is>
      </c>
      <c r="F909" s="23" t="inlineStr">
        <is>
          <t>ONE_TO_ONE</t>
        </is>
      </c>
      <c r="G909" s="23" t="inlineStr">
        <is>
          <t>RETAINED</t>
        </is>
      </c>
      <c r="H909" s="23" t="inlineStr">
        <is>
          <t>Carried forward</t>
        </is>
      </c>
      <c r="I909" s="23" t="inlineStr">
        <is>
          <t>Source assignment -- not individually reviewed</t>
        </is>
      </c>
      <c r="J909" s="23" t="inlineStr"/>
      <c r="K909" s="23" t="inlineStr">
        <is>
          <t>Source assignment</t>
        </is>
      </c>
      <c r="L909" s="23" t="inlineStr"/>
      <c r="M909" s="23" t="inlineStr">
        <is>
          <t>Contractor Programme Cycle 2</t>
        </is>
      </c>
      <c r="N909" s="23" t="inlineStr">
        <is>
          <t>Rev 1</t>
        </is>
      </c>
      <c r="O909" s="23" t="inlineStr">
        <is>
          <t>R670-v2</t>
        </is>
      </c>
      <c r="P909" s="23" t="inlineStr"/>
      <c r="Q909" s="23" t="inlineStr"/>
      <c r="R909" s="23" t="inlineStr"/>
      <c r="S909" s="23" t="inlineStr"/>
      <c r="T909" s="23" t="inlineStr"/>
      <c r="U909" s="23" t="inlineStr"/>
      <c r="V909" s="23" t="inlineStr">
        <is>
          <t>WBS Code = 1.4.1</t>
        </is>
      </c>
      <c r="W909" s="23" t="inlineStr"/>
    </row>
    <row r="910" ht="49" customHeight="1">
      <c r="A910" s="23" t="inlineStr">
        <is>
          <t>1.4.1</t>
        </is>
      </c>
      <c r="B910" s="23" t="inlineStr">
        <is>
          <t>Vehicles and Depot - Fleet Supply</t>
        </is>
      </c>
      <c r="C910" s="23" t="inlineStr">
        <is>
          <t>Contractor Programme</t>
        </is>
      </c>
      <c r="D910" s="23" t="inlineStr">
        <is>
          <t>SCH-04-131</t>
        </is>
      </c>
      <c r="E910" s="23" t="inlineStr">
        <is>
          <t>Test track: fleet software load - release</t>
        </is>
      </c>
      <c r="F910" s="23" t="inlineStr">
        <is>
          <t>ONE_TO_ONE</t>
        </is>
      </c>
      <c r="G910" s="23" t="inlineStr">
        <is>
          <t>RETAINED</t>
        </is>
      </c>
      <c r="H910" s="23" t="inlineStr">
        <is>
          <t>Carried forward</t>
        </is>
      </c>
      <c r="I910" s="23" t="inlineStr">
        <is>
          <t>Source assignment -- not individually reviewed</t>
        </is>
      </c>
      <c r="J910" s="23" t="inlineStr"/>
      <c r="K910" s="23" t="inlineStr">
        <is>
          <t>Source assignment</t>
        </is>
      </c>
      <c r="L910" s="23" t="inlineStr"/>
      <c r="M910" s="23" t="inlineStr">
        <is>
          <t>Contractor Programme Cycle 2</t>
        </is>
      </c>
      <c r="N910" s="23" t="inlineStr">
        <is>
          <t>Rev 1</t>
        </is>
      </c>
      <c r="O910" s="23" t="inlineStr">
        <is>
          <t>R671-v2</t>
        </is>
      </c>
      <c r="P910" s="23" t="inlineStr"/>
      <c r="Q910" s="23" t="inlineStr"/>
      <c r="R910" s="23" t="inlineStr"/>
      <c r="S910" s="23" t="inlineStr"/>
      <c r="T910" s="23" t="inlineStr"/>
      <c r="U910" s="23" t="inlineStr"/>
      <c r="V910" s="23" t="inlineStr">
        <is>
          <t>WBS Code = 1.4.1</t>
        </is>
      </c>
      <c r="W910" s="23" t="inlineStr"/>
    </row>
    <row r="911" ht="49" customHeight="1">
      <c r="A911" s="23" t="inlineStr">
        <is>
          <t>1.4.1</t>
        </is>
      </c>
      <c r="B911" s="23" t="inlineStr">
        <is>
          <t>Vehicles and Depot - Fleet Supply</t>
        </is>
      </c>
      <c r="C911" s="23" t="inlineStr">
        <is>
          <t>Contractor Programme</t>
        </is>
      </c>
      <c r="D911" s="23" t="inlineStr">
        <is>
          <t>SCH-04-133</t>
        </is>
      </c>
      <c r="E911" s="23" t="inlineStr">
        <is>
          <t>Maintenance shop: wash-plant commissioning - installation</t>
        </is>
      </c>
      <c r="F911" s="23" t="inlineStr">
        <is>
          <t>ONE_TO_ONE</t>
        </is>
      </c>
      <c r="G911" s="23" t="inlineStr">
        <is>
          <t>RETAINED</t>
        </is>
      </c>
      <c r="H911" s="23" t="inlineStr">
        <is>
          <t>Carried forward</t>
        </is>
      </c>
      <c r="I911" s="23" t="inlineStr">
        <is>
          <t>Source assignment -- not individually reviewed</t>
        </is>
      </c>
      <c r="J911" s="23" t="inlineStr"/>
      <c r="K911" s="23" t="inlineStr">
        <is>
          <t>Source assignment</t>
        </is>
      </c>
      <c r="L911" s="23" t="inlineStr"/>
      <c r="M911" s="23" t="inlineStr">
        <is>
          <t>Contractor Programme Cycle 2</t>
        </is>
      </c>
      <c r="N911" s="23" t="inlineStr">
        <is>
          <t>Rev 1</t>
        </is>
      </c>
      <c r="O911" s="23" t="inlineStr">
        <is>
          <t>R673-v2</t>
        </is>
      </c>
      <c r="P911" s="23" t="inlineStr"/>
      <c r="Q911" s="23" t="inlineStr"/>
      <c r="R911" s="23" t="inlineStr"/>
      <c r="S911" s="23" t="inlineStr"/>
      <c r="T911" s="23" t="inlineStr"/>
      <c r="U911" s="23" t="inlineStr"/>
      <c r="V911" s="23" t="inlineStr">
        <is>
          <t>WBS Code = 1.4.1</t>
        </is>
      </c>
      <c r="W911" s="23" t="inlineStr"/>
    </row>
    <row r="912" ht="49" customHeight="1">
      <c r="A912" s="23" t="inlineStr">
        <is>
          <t>1.4.1</t>
        </is>
      </c>
      <c r="B912" s="23" t="inlineStr">
        <is>
          <t>Vehicles and Depot - Fleet Supply</t>
        </is>
      </c>
      <c r="C912" s="23" t="inlineStr">
        <is>
          <t>Contractor Programme</t>
        </is>
      </c>
      <c r="D912" s="23" t="inlineStr">
        <is>
          <t>SCH-04-134</t>
        </is>
      </c>
      <c r="E912" s="23" t="inlineStr">
        <is>
          <t>Storage yard: maintenance-bay services - inspection</t>
        </is>
      </c>
      <c r="F912" s="23" t="inlineStr">
        <is>
          <t>ONE_TO_ONE</t>
        </is>
      </c>
      <c r="G912" s="23" t="inlineStr">
        <is>
          <t>RETAINED</t>
        </is>
      </c>
      <c r="H912" s="23" t="inlineStr">
        <is>
          <t>Carried forward</t>
        </is>
      </c>
      <c r="I912" s="23" t="inlineStr">
        <is>
          <t>Source assignment -- not individually reviewed</t>
        </is>
      </c>
      <c r="J912" s="23" t="inlineStr"/>
      <c r="K912" s="23" t="inlineStr">
        <is>
          <t>Source assignment</t>
        </is>
      </c>
      <c r="L912" s="23" t="inlineStr"/>
      <c r="M912" s="23" t="inlineStr">
        <is>
          <t>Contractor Programme Cycle 2</t>
        </is>
      </c>
      <c r="N912" s="23" t="inlineStr">
        <is>
          <t>Rev 1</t>
        </is>
      </c>
      <c r="O912" s="23" t="inlineStr">
        <is>
          <t>R674-v2</t>
        </is>
      </c>
      <c r="P912" s="23" t="inlineStr"/>
      <c r="Q912" s="23" t="inlineStr"/>
      <c r="R912" s="23" t="inlineStr"/>
      <c r="S912" s="23" t="inlineStr"/>
      <c r="T912" s="23" t="inlineStr"/>
      <c r="U912" s="23" t="inlineStr"/>
      <c r="V912" s="23" t="inlineStr">
        <is>
          <t>WBS Code = 1.4.1</t>
        </is>
      </c>
      <c r="W912" s="23" t="inlineStr"/>
    </row>
    <row r="913" ht="49" customHeight="1">
      <c r="A913" s="23" t="inlineStr">
        <is>
          <t>1.4.1</t>
        </is>
      </c>
      <c r="B913" s="23" t="inlineStr">
        <is>
          <t>Vehicles and Depot - Fleet Supply</t>
        </is>
      </c>
      <c r="C913" s="23" t="inlineStr">
        <is>
          <t>Contractor Programme</t>
        </is>
      </c>
      <c r="D913" s="23" t="inlineStr">
        <is>
          <t>SCH-04-136</t>
        </is>
      </c>
      <c r="E913" s="23" t="inlineStr">
        <is>
          <t>Test track: workshop crane installation - release</t>
        </is>
      </c>
      <c r="F913" s="23" t="inlineStr">
        <is>
          <t>ONE_TO_ONE</t>
        </is>
      </c>
      <c r="G913" s="23" t="inlineStr">
        <is>
          <t>RETAINED</t>
        </is>
      </c>
      <c r="H913" s="23" t="inlineStr">
        <is>
          <t>Carried forward</t>
        </is>
      </c>
      <c r="I913" s="23" t="inlineStr">
        <is>
          <t>Source assignment -- not individually reviewed</t>
        </is>
      </c>
      <c r="J913" s="23" t="inlineStr"/>
      <c r="K913" s="23" t="inlineStr">
        <is>
          <t>Source assignment</t>
        </is>
      </c>
      <c r="L913" s="23" t="inlineStr"/>
      <c r="M913" s="23" t="inlineStr">
        <is>
          <t>Contractor Programme Cycle 2</t>
        </is>
      </c>
      <c r="N913" s="23" t="inlineStr">
        <is>
          <t>Rev 1</t>
        </is>
      </c>
      <c r="O913" s="23" t="inlineStr">
        <is>
          <t>R676-v2</t>
        </is>
      </c>
      <c r="P913" s="23" t="inlineStr"/>
      <c r="Q913" s="23" t="inlineStr"/>
      <c r="R913" s="23" t="inlineStr"/>
      <c r="S913" s="23" t="inlineStr"/>
      <c r="T913" s="23" t="inlineStr"/>
      <c r="U913" s="23" t="inlineStr"/>
      <c r="V913" s="23" t="inlineStr">
        <is>
          <t>WBS Code = 1.4.1</t>
        </is>
      </c>
      <c r="W913" s="23" t="inlineStr"/>
    </row>
    <row r="914" ht="49" customHeight="1">
      <c r="A914" s="23" t="inlineStr">
        <is>
          <t>1.4.1</t>
        </is>
      </c>
      <c r="B914" s="23" t="inlineStr">
        <is>
          <t>Vehicles and Depot - Fleet Supply</t>
        </is>
      </c>
      <c r="C914" s="23" t="inlineStr">
        <is>
          <t>Contractor Programme</t>
        </is>
      </c>
      <c r="D914" s="23" t="inlineStr">
        <is>
          <t>SCH-04-137</t>
        </is>
      </c>
      <c r="E914" s="23" t="inlineStr">
        <is>
          <t>Receiving track: vehicle-to-depot interface check - field start</t>
        </is>
      </c>
      <c r="F914" s="23" t="inlineStr">
        <is>
          <t>ONE_TO_ONE</t>
        </is>
      </c>
      <c r="G914" s="23" t="inlineStr">
        <is>
          <t>RETAINED</t>
        </is>
      </c>
      <c r="H914" s="23" t="inlineStr">
        <is>
          <t>Carried forward</t>
        </is>
      </c>
      <c r="I914" s="23" t="inlineStr">
        <is>
          <t>Source assignment -- not individually reviewed</t>
        </is>
      </c>
      <c r="J914" s="23" t="inlineStr"/>
      <c r="K914" s="23" t="inlineStr">
        <is>
          <t>Source assignment</t>
        </is>
      </c>
      <c r="L914" s="23" t="inlineStr"/>
      <c r="M914" s="23" t="inlineStr">
        <is>
          <t>Contractor Programme Cycle 2</t>
        </is>
      </c>
      <c r="N914" s="23" t="inlineStr">
        <is>
          <t>Rev 1</t>
        </is>
      </c>
      <c r="O914" s="23" t="inlineStr">
        <is>
          <t>R677-v2</t>
        </is>
      </c>
      <c r="P914" s="23" t="inlineStr"/>
      <c r="Q914" s="23" t="inlineStr"/>
      <c r="R914" s="23" t="inlineStr"/>
      <c r="S914" s="23" t="inlineStr"/>
      <c r="T914" s="23" t="inlineStr"/>
      <c r="U914" s="23" t="inlineStr"/>
      <c r="V914" s="23" t="inlineStr">
        <is>
          <t>WBS Code = 1.4.1</t>
        </is>
      </c>
      <c r="W914" s="23" t="inlineStr"/>
    </row>
    <row r="915" ht="49" customHeight="1">
      <c r="A915" s="23" t="inlineStr">
        <is>
          <t>1.4.1</t>
        </is>
      </c>
      <c r="B915" s="23" t="inlineStr">
        <is>
          <t>Vehicles and Depot - Fleet Supply</t>
        </is>
      </c>
      <c r="C915" s="23" t="inlineStr">
        <is>
          <t>Contractor Programme</t>
        </is>
      </c>
      <c r="D915" s="23" t="inlineStr">
        <is>
          <t>SCH-04-139</t>
        </is>
      </c>
      <c r="E915" s="23" t="inlineStr">
        <is>
          <t>Storage yard: fleet software load - inspection</t>
        </is>
      </c>
      <c r="F915" s="23" t="inlineStr">
        <is>
          <t>ONE_TO_ONE</t>
        </is>
      </c>
      <c r="G915" s="23" t="inlineStr">
        <is>
          <t>RETAINED</t>
        </is>
      </c>
      <c r="H915" s="23" t="inlineStr">
        <is>
          <t>Carried forward</t>
        </is>
      </c>
      <c r="I915" s="23" t="inlineStr">
        <is>
          <t>Source assignment -- not individually reviewed</t>
        </is>
      </c>
      <c r="J915" s="23" t="inlineStr"/>
      <c r="K915" s="23" t="inlineStr">
        <is>
          <t>Source assignment</t>
        </is>
      </c>
      <c r="L915" s="23" t="inlineStr"/>
      <c r="M915" s="23" t="inlineStr">
        <is>
          <t>Contractor Programme Cycle 2</t>
        </is>
      </c>
      <c r="N915" s="23" t="inlineStr">
        <is>
          <t>Rev 1</t>
        </is>
      </c>
      <c r="O915" s="23" t="inlineStr">
        <is>
          <t>R679-v2</t>
        </is>
      </c>
      <c r="P915" s="23" t="inlineStr"/>
      <c r="Q915" s="23" t="inlineStr"/>
      <c r="R915" s="23" t="inlineStr"/>
      <c r="S915" s="23" t="inlineStr"/>
      <c r="T915" s="23" t="inlineStr"/>
      <c r="U915" s="23" t="inlineStr"/>
      <c r="V915" s="23" t="inlineStr">
        <is>
          <t>WBS Code = 1.4.1</t>
        </is>
      </c>
      <c r="W915" s="23" t="inlineStr"/>
    </row>
    <row r="916" ht="49" customHeight="1">
      <c r="A916" s="23" t="inlineStr">
        <is>
          <t>1.4.1</t>
        </is>
      </c>
      <c r="B916" s="23" t="inlineStr">
        <is>
          <t>Vehicles and Depot - Fleet Supply</t>
        </is>
      </c>
      <c r="C916" s="23" t="inlineStr">
        <is>
          <t>Contractor Programme</t>
        </is>
      </c>
      <c r="D916" s="23" t="inlineStr">
        <is>
          <t>SCH-04-140</t>
        </is>
      </c>
      <c r="E916" s="23" t="inlineStr">
        <is>
          <t>Operations building: vehicle delivery inspection - turnover</t>
        </is>
      </c>
      <c r="F916" s="23" t="inlineStr">
        <is>
          <t>ONE_TO_ONE</t>
        </is>
      </c>
      <c r="G916" s="23" t="inlineStr">
        <is>
          <t>RETAINED</t>
        </is>
      </c>
      <c r="H916" s="23" t="inlineStr">
        <is>
          <t>Carried forward</t>
        </is>
      </c>
      <c r="I916" s="23" t="inlineStr">
        <is>
          <t>Source assignment -- not individually reviewed</t>
        </is>
      </c>
      <c r="J916" s="23" t="inlineStr"/>
      <c r="K916" s="23" t="inlineStr">
        <is>
          <t>Source assignment</t>
        </is>
      </c>
      <c r="L916" s="23" t="inlineStr"/>
      <c r="M916" s="23" t="inlineStr">
        <is>
          <t>Contractor Programme Cycle 2</t>
        </is>
      </c>
      <c r="N916" s="23" t="inlineStr">
        <is>
          <t>Rev 1</t>
        </is>
      </c>
      <c r="O916" s="23" t="inlineStr">
        <is>
          <t>R680-v2</t>
        </is>
      </c>
      <c r="P916" s="23" t="inlineStr"/>
      <c r="Q916" s="23" t="inlineStr"/>
      <c r="R916" s="23" t="inlineStr"/>
      <c r="S916" s="23" t="inlineStr"/>
      <c r="T916" s="23" t="inlineStr"/>
      <c r="U916" s="23" t="inlineStr"/>
      <c r="V916" s="23" t="inlineStr">
        <is>
          <t>WBS Code = 1.4.1</t>
        </is>
      </c>
      <c r="W916" s="23" t="inlineStr"/>
    </row>
    <row r="917" ht="49" customHeight="1">
      <c r="A917" s="23" t="inlineStr">
        <is>
          <t>1.4.1</t>
        </is>
      </c>
      <c r="B917" s="23" t="inlineStr">
        <is>
          <t>Vehicles and Depot - Fleet Supply</t>
        </is>
      </c>
      <c r="C917" s="23" t="inlineStr">
        <is>
          <t>Contractor Programme</t>
        </is>
      </c>
      <c r="D917" s="23" t="inlineStr">
        <is>
          <t>SCH-04-142</t>
        </is>
      </c>
      <c r="E917" s="23" t="inlineStr">
        <is>
          <t>Receiving track: maintenance-bay services - field start</t>
        </is>
      </c>
      <c r="F917" s="23" t="inlineStr">
        <is>
          <t>ONE_TO_ONE</t>
        </is>
      </c>
      <c r="G917" s="23" t="inlineStr">
        <is>
          <t>RETAINED</t>
        </is>
      </c>
      <c r="H917" s="23" t="inlineStr">
        <is>
          <t>Carried forward</t>
        </is>
      </c>
      <c r="I917" s="23" t="inlineStr">
        <is>
          <t>Source assignment -- not individually reviewed</t>
        </is>
      </c>
      <c r="J917" s="23" t="inlineStr"/>
      <c r="K917" s="23" t="inlineStr">
        <is>
          <t>Source assignment</t>
        </is>
      </c>
      <c r="L917" s="23" t="inlineStr"/>
      <c r="M917" s="23" t="inlineStr">
        <is>
          <t>Contractor Programme Cycle 2</t>
        </is>
      </c>
      <c r="N917" s="23" t="inlineStr">
        <is>
          <t>Rev 1</t>
        </is>
      </c>
      <c r="O917" s="23" t="inlineStr">
        <is>
          <t>R682-v2</t>
        </is>
      </c>
      <c r="P917" s="23" t="inlineStr"/>
      <c r="Q917" s="23" t="inlineStr"/>
      <c r="R917" s="23" t="inlineStr"/>
      <c r="S917" s="23" t="inlineStr"/>
      <c r="T917" s="23" t="inlineStr"/>
      <c r="U917" s="23" t="inlineStr"/>
      <c r="V917" s="23" t="inlineStr">
        <is>
          <t>WBS Code = 1.4.1</t>
        </is>
      </c>
      <c r="W917" s="23" t="inlineStr"/>
    </row>
    <row r="918" ht="49" customHeight="1">
      <c r="A918" s="23" t="inlineStr">
        <is>
          <t>1.4.1</t>
        </is>
      </c>
      <c r="B918" s="23" t="inlineStr">
        <is>
          <t>Vehicles and Depot - Fleet Supply</t>
        </is>
      </c>
      <c r="C918" s="23" t="inlineStr">
        <is>
          <t>Contractor Programme</t>
        </is>
      </c>
      <c r="D918" s="23" t="inlineStr">
        <is>
          <t>SCH-04-143</t>
        </is>
      </c>
      <c r="E918" s="23" t="inlineStr">
        <is>
          <t>Maintenance shop: depot structural fit-out - installation</t>
        </is>
      </c>
      <c r="F918" s="23" t="inlineStr">
        <is>
          <t>ONE_TO_ONE</t>
        </is>
      </c>
      <c r="G918" s="23" t="inlineStr">
        <is>
          <t>RETAINED</t>
        </is>
      </c>
      <c r="H918" s="23" t="inlineStr">
        <is>
          <t>Carried forward</t>
        </is>
      </c>
      <c r="I918" s="23" t="inlineStr">
        <is>
          <t>Source assignment -- not individually reviewed</t>
        </is>
      </c>
      <c r="J918" s="23" t="inlineStr"/>
      <c r="K918" s="23" t="inlineStr">
        <is>
          <t>Source assignment</t>
        </is>
      </c>
      <c r="L918" s="23" t="inlineStr"/>
      <c r="M918" s="23" t="inlineStr">
        <is>
          <t>Contractor Programme Cycle 2</t>
        </is>
      </c>
      <c r="N918" s="23" t="inlineStr">
        <is>
          <t>Rev 1</t>
        </is>
      </c>
      <c r="O918" s="23" t="inlineStr">
        <is>
          <t>R683-v2</t>
        </is>
      </c>
      <c r="P918" s="23" t="inlineStr"/>
      <c r="Q918" s="23" t="inlineStr"/>
      <c r="R918" s="23" t="inlineStr"/>
      <c r="S918" s="23" t="inlineStr"/>
      <c r="T918" s="23" t="inlineStr"/>
      <c r="U918" s="23" t="inlineStr"/>
      <c r="V918" s="23" t="inlineStr">
        <is>
          <t>WBS Code = 1.4.1</t>
        </is>
      </c>
      <c r="W918" s="23" t="inlineStr"/>
    </row>
    <row r="919" ht="49" customHeight="1">
      <c r="A919" s="23" t="inlineStr">
        <is>
          <t>1.4.1</t>
        </is>
      </c>
      <c r="B919" s="23" t="inlineStr">
        <is>
          <t>Vehicles and Depot - Fleet Supply</t>
        </is>
      </c>
      <c r="C919" s="23" t="inlineStr">
        <is>
          <t>Contractor Programme</t>
        </is>
      </c>
      <c r="D919" s="23" t="inlineStr">
        <is>
          <t>SCH-04-145</t>
        </is>
      </c>
      <c r="E919" s="23" t="inlineStr">
        <is>
          <t>Operations building: vehicle-to-depot interface check - turnover</t>
        </is>
      </c>
      <c r="F919" s="23" t="inlineStr">
        <is>
          <t>ONE_TO_ONE</t>
        </is>
      </c>
      <c r="G919" s="23" t="inlineStr">
        <is>
          <t>RETAINED</t>
        </is>
      </c>
      <c r="H919" s="23" t="inlineStr">
        <is>
          <t>Carried forward</t>
        </is>
      </c>
      <c r="I919" s="23" t="inlineStr">
        <is>
          <t>Source assignment -- not individually reviewed</t>
        </is>
      </c>
      <c r="J919" s="23" t="inlineStr"/>
      <c r="K919" s="23" t="inlineStr">
        <is>
          <t>Source assignment</t>
        </is>
      </c>
      <c r="L919" s="23" t="inlineStr"/>
      <c r="M919" s="23" t="inlineStr">
        <is>
          <t>Contractor Programme Cycle 2</t>
        </is>
      </c>
      <c r="N919" s="23" t="inlineStr">
        <is>
          <t>Rev 1</t>
        </is>
      </c>
      <c r="O919" s="23" t="inlineStr">
        <is>
          <t>R685-v2</t>
        </is>
      </c>
      <c r="P919" s="23" t="inlineStr"/>
      <c r="Q919" s="23" t="inlineStr"/>
      <c r="R919" s="23" t="inlineStr"/>
      <c r="S919" s="23" t="inlineStr"/>
      <c r="T919" s="23" t="inlineStr"/>
      <c r="U919" s="23" t="inlineStr"/>
      <c r="V919" s="23" t="inlineStr">
        <is>
          <t>WBS Code = 1.4.1</t>
        </is>
      </c>
      <c r="W919" s="23" t="inlineStr"/>
    </row>
    <row r="920" ht="49" customHeight="1">
      <c r="A920" s="23" t="inlineStr">
        <is>
          <t>1.4.1</t>
        </is>
      </c>
      <c r="B920" s="23" t="inlineStr">
        <is>
          <t>Vehicles and Depot - Fleet Supply</t>
        </is>
      </c>
      <c r="C920" s="23" t="inlineStr">
        <is>
          <t>Contractor Programme</t>
        </is>
      </c>
      <c r="D920" s="23" t="inlineStr">
        <is>
          <t>SCH-04-146</t>
        </is>
      </c>
      <c r="E920" s="23" t="inlineStr">
        <is>
          <t>Test track: wheel-lathe installation - release</t>
        </is>
      </c>
      <c r="F920" s="23" t="inlineStr">
        <is>
          <t>ONE_TO_ONE</t>
        </is>
      </c>
      <c r="G920" s="23" t="inlineStr">
        <is>
          <t>RETAINED</t>
        </is>
      </c>
      <c r="H920" s="23" t="inlineStr">
        <is>
          <t>Carried forward</t>
        </is>
      </c>
      <c r="I920" s="23" t="inlineStr">
        <is>
          <t>Source assignment -- not individually reviewed</t>
        </is>
      </c>
      <c r="J920" s="23" t="inlineStr"/>
      <c r="K920" s="23" t="inlineStr">
        <is>
          <t>Source assignment</t>
        </is>
      </c>
      <c r="L920" s="23" t="inlineStr"/>
      <c r="M920" s="23" t="inlineStr">
        <is>
          <t>Contractor Programme Cycle 2</t>
        </is>
      </c>
      <c r="N920" s="23" t="inlineStr">
        <is>
          <t>Rev 1</t>
        </is>
      </c>
      <c r="O920" s="23" t="inlineStr">
        <is>
          <t>R686-v2</t>
        </is>
      </c>
      <c r="P920" s="23" t="inlineStr"/>
      <c r="Q920" s="23" t="inlineStr"/>
      <c r="R920" s="23" t="inlineStr"/>
      <c r="S920" s="23" t="inlineStr"/>
      <c r="T920" s="23" t="inlineStr"/>
      <c r="U920" s="23" t="inlineStr"/>
      <c r="V920" s="23" t="inlineStr">
        <is>
          <t>WBS Code = 1.4.1</t>
        </is>
      </c>
      <c r="W920" s="23" t="inlineStr"/>
    </row>
    <row r="921" ht="49" customHeight="1">
      <c r="A921" s="23" t="inlineStr">
        <is>
          <t>1.4.1</t>
        </is>
      </c>
      <c r="B921" s="23" t="inlineStr">
        <is>
          <t>Vehicles and Depot - Fleet Supply</t>
        </is>
      </c>
      <c r="C921" s="23" t="inlineStr">
        <is>
          <t>Contractor Programme</t>
        </is>
      </c>
      <c r="D921" s="23" t="inlineStr">
        <is>
          <t>SCH-04-148</t>
        </is>
      </c>
      <c r="E921" s="23" t="inlineStr">
        <is>
          <t>Maintenance shop: vehicle delivery inspection - installation</t>
        </is>
      </c>
      <c r="F921" s="23" t="inlineStr">
        <is>
          <t>ONE_TO_ONE</t>
        </is>
      </c>
      <c r="G921" s="23" t="inlineStr">
        <is>
          <t>RETAINED</t>
        </is>
      </c>
      <c r="H921" s="23" t="inlineStr">
        <is>
          <t>Carried forward</t>
        </is>
      </c>
      <c r="I921" s="23" t="inlineStr">
        <is>
          <t>Source assignment -- not individually reviewed</t>
        </is>
      </c>
      <c r="J921" s="23" t="inlineStr"/>
      <c r="K921" s="23" t="inlineStr">
        <is>
          <t>Source assignment</t>
        </is>
      </c>
      <c r="L921" s="23" t="inlineStr"/>
      <c r="M921" s="23" t="inlineStr">
        <is>
          <t>Contractor Programme Cycle 2</t>
        </is>
      </c>
      <c r="N921" s="23" t="inlineStr">
        <is>
          <t>Rev 1</t>
        </is>
      </c>
      <c r="O921" s="23" t="inlineStr">
        <is>
          <t>R688-v2</t>
        </is>
      </c>
      <c r="P921" s="23" t="inlineStr"/>
      <c r="Q921" s="23" t="inlineStr"/>
      <c r="R921" s="23" t="inlineStr"/>
      <c r="S921" s="23" t="inlineStr"/>
      <c r="T921" s="23" t="inlineStr"/>
      <c r="U921" s="23" t="inlineStr"/>
      <c r="V921" s="23" t="inlineStr">
        <is>
          <t>WBS Code = 1.4.1</t>
        </is>
      </c>
      <c r="W921" s="23" t="inlineStr"/>
    </row>
    <row r="922" ht="49" customHeight="1">
      <c r="A922" s="23" t="inlineStr">
        <is>
          <t>1.4.1</t>
        </is>
      </c>
      <c r="B922" s="23" t="inlineStr">
        <is>
          <t>Vehicles and Depot - Fleet Supply</t>
        </is>
      </c>
      <c r="C922" s="23" t="inlineStr">
        <is>
          <t>Contractor Programme</t>
        </is>
      </c>
      <c r="D922" s="23" t="inlineStr">
        <is>
          <t>SCH-04-149</t>
        </is>
      </c>
      <c r="E922" s="23" t="inlineStr">
        <is>
          <t>Storage yard: wash-plant commissioning - inspection</t>
        </is>
      </c>
      <c r="F922" s="23" t="inlineStr">
        <is>
          <t>ONE_TO_ONE</t>
        </is>
      </c>
      <c r="G922" s="23" t="inlineStr">
        <is>
          <t>RETAINED</t>
        </is>
      </c>
      <c r="H922" s="23" t="inlineStr">
        <is>
          <t>Carried forward</t>
        </is>
      </c>
      <c r="I922" s="23" t="inlineStr">
        <is>
          <t>Source assignment -- not individually reviewed</t>
        </is>
      </c>
      <c r="J922" s="23" t="inlineStr"/>
      <c r="K922" s="23" t="inlineStr">
        <is>
          <t>Source assignment</t>
        </is>
      </c>
      <c r="L922" s="23" t="inlineStr"/>
      <c r="M922" s="23" t="inlineStr">
        <is>
          <t>Contractor Programme Cycle 2</t>
        </is>
      </c>
      <c r="N922" s="23" t="inlineStr">
        <is>
          <t>Rev 1</t>
        </is>
      </c>
      <c r="O922" s="23" t="inlineStr">
        <is>
          <t>R689-v2</t>
        </is>
      </c>
      <c r="P922" s="23" t="inlineStr"/>
      <c r="Q922" s="23" t="inlineStr"/>
      <c r="R922" s="23" t="inlineStr"/>
      <c r="S922" s="23" t="inlineStr"/>
      <c r="T922" s="23" t="inlineStr"/>
      <c r="U922" s="23" t="inlineStr"/>
      <c r="V922" s="23" t="inlineStr">
        <is>
          <t>WBS Code = 1.4.1</t>
        </is>
      </c>
      <c r="W922" s="23" t="inlineStr"/>
    </row>
    <row r="923" ht="49" customHeight="1">
      <c r="A923" s="23" t="inlineStr">
        <is>
          <t>1.4.1</t>
        </is>
      </c>
      <c r="B923" s="23" t="inlineStr">
        <is>
          <t>Vehicles and Depot - Fleet Supply</t>
        </is>
      </c>
      <c r="C923" s="23" t="inlineStr">
        <is>
          <t>Contractor Programme</t>
        </is>
      </c>
      <c r="D923" s="23" t="inlineStr">
        <is>
          <t>SCH-04-151</t>
        </is>
      </c>
      <c r="E923" s="23" t="inlineStr">
        <is>
          <t>Test track: depot structural fit-out - release</t>
        </is>
      </c>
      <c r="F923" s="23" t="inlineStr">
        <is>
          <t>ONE_TO_ONE</t>
        </is>
      </c>
      <c r="G923" s="23" t="inlineStr">
        <is>
          <t>RETAINED</t>
        </is>
      </c>
      <c r="H923" s="23" t="inlineStr">
        <is>
          <t>Carried forward</t>
        </is>
      </c>
      <c r="I923" s="23" t="inlineStr">
        <is>
          <t>Source assignment -- not individually reviewed</t>
        </is>
      </c>
      <c r="J923" s="23" t="inlineStr"/>
      <c r="K923" s="23" t="inlineStr">
        <is>
          <t>Source assignment</t>
        </is>
      </c>
      <c r="L923" s="23" t="inlineStr"/>
      <c r="M923" s="23" t="inlineStr">
        <is>
          <t>Contractor Programme Cycle 2</t>
        </is>
      </c>
      <c r="N923" s="23" t="inlineStr">
        <is>
          <t>Rev 1</t>
        </is>
      </c>
      <c r="O923" s="23" t="inlineStr">
        <is>
          <t>R691-v2</t>
        </is>
      </c>
      <c r="P923" s="23" t="inlineStr"/>
      <c r="Q923" s="23" t="inlineStr"/>
      <c r="R923" s="23" t="inlineStr"/>
      <c r="S923" s="23" t="inlineStr"/>
      <c r="T923" s="23" t="inlineStr"/>
      <c r="U923" s="23" t="inlineStr"/>
      <c r="V923" s="23" t="inlineStr">
        <is>
          <t>WBS Code = 1.4.1</t>
        </is>
      </c>
      <c r="W923" s="23" t="inlineStr"/>
    </row>
    <row r="924" ht="49" customHeight="1">
      <c r="A924" s="23" t="inlineStr">
        <is>
          <t>1.4.1</t>
        </is>
      </c>
      <c r="B924" s="23" t="inlineStr">
        <is>
          <t>Vehicles and Depot - Fleet Supply</t>
        </is>
      </c>
      <c r="C924" s="23" t="inlineStr">
        <is>
          <t>Contractor Programme</t>
        </is>
      </c>
      <c r="D924" s="23" t="inlineStr">
        <is>
          <t>SCH-04-152</t>
        </is>
      </c>
      <c r="E924" s="23" t="inlineStr">
        <is>
          <t>Receiving track: workshop crane installation - field start</t>
        </is>
      </c>
      <c r="F924" s="23" t="inlineStr">
        <is>
          <t>ONE_TO_ONE</t>
        </is>
      </c>
      <c r="G924" s="23" t="inlineStr">
        <is>
          <t>RETAINED</t>
        </is>
      </c>
      <c r="H924" s="23" t="inlineStr">
        <is>
          <t>Carried forward</t>
        </is>
      </c>
      <c r="I924" s="23" t="inlineStr">
        <is>
          <t>Source assignment -- not individually reviewed</t>
        </is>
      </c>
      <c r="J924" s="23" t="inlineStr"/>
      <c r="K924" s="23" t="inlineStr">
        <is>
          <t>Source assignment</t>
        </is>
      </c>
      <c r="L924" s="23" t="inlineStr"/>
      <c r="M924" s="23" t="inlineStr">
        <is>
          <t>Contractor Programme Cycle 2</t>
        </is>
      </c>
      <c r="N924" s="23" t="inlineStr">
        <is>
          <t>Rev 1</t>
        </is>
      </c>
      <c r="O924" s="23" t="inlineStr">
        <is>
          <t>R692-v2</t>
        </is>
      </c>
      <c r="P924" s="23" t="inlineStr"/>
      <c r="Q924" s="23" t="inlineStr"/>
      <c r="R924" s="23" t="inlineStr"/>
      <c r="S924" s="23" t="inlineStr"/>
      <c r="T924" s="23" t="inlineStr"/>
      <c r="U924" s="23" t="inlineStr"/>
      <c r="V924" s="23" t="inlineStr">
        <is>
          <t>WBS Code = 1.4.1</t>
        </is>
      </c>
      <c r="W924" s="23" t="inlineStr"/>
    </row>
    <row r="925" ht="49" customHeight="1">
      <c r="A925" s="23" t="inlineStr">
        <is>
          <t>1.4.1</t>
        </is>
      </c>
      <c r="B925" s="23" t="inlineStr">
        <is>
          <t>Vehicles and Depot - Fleet Supply</t>
        </is>
      </c>
      <c r="C925" s="23" t="inlineStr">
        <is>
          <t>Contractor Programme</t>
        </is>
      </c>
      <c r="D925" s="23" t="inlineStr">
        <is>
          <t>SCH-04-154</t>
        </is>
      </c>
      <c r="E925" s="23" t="inlineStr">
        <is>
          <t>Storage yard: wheel-lathe installation - inspection</t>
        </is>
      </c>
      <c r="F925" s="23" t="inlineStr">
        <is>
          <t>ONE_TO_ONE</t>
        </is>
      </c>
      <c r="G925" s="23" t="inlineStr">
        <is>
          <t>RETAINED</t>
        </is>
      </c>
      <c r="H925" s="23" t="inlineStr">
        <is>
          <t>Carried forward</t>
        </is>
      </c>
      <c r="I925" s="23" t="inlineStr">
        <is>
          <t>Source assignment -- not individually reviewed</t>
        </is>
      </c>
      <c r="J925" s="23" t="inlineStr"/>
      <c r="K925" s="23" t="inlineStr">
        <is>
          <t>Source assignment</t>
        </is>
      </c>
      <c r="L925" s="23" t="inlineStr"/>
      <c r="M925" s="23" t="inlineStr">
        <is>
          <t>Contractor Programme Cycle 2</t>
        </is>
      </c>
      <c r="N925" s="23" t="inlineStr">
        <is>
          <t>Rev 1</t>
        </is>
      </c>
      <c r="O925" s="23" t="inlineStr">
        <is>
          <t>R694-v2</t>
        </is>
      </c>
      <c r="P925" s="23" t="inlineStr"/>
      <c r="Q925" s="23" t="inlineStr"/>
      <c r="R925" s="23" t="inlineStr"/>
      <c r="S925" s="23" t="inlineStr"/>
      <c r="T925" s="23" t="inlineStr"/>
      <c r="U925" s="23" t="inlineStr"/>
      <c r="V925" s="23" t="inlineStr">
        <is>
          <t>WBS Code = 1.4.1</t>
        </is>
      </c>
      <c r="W925" s="23" t="inlineStr"/>
    </row>
    <row r="926" ht="49" customHeight="1">
      <c r="A926" s="23" t="inlineStr">
        <is>
          <t>1.4.1</t>
        </is>
      </c>
      <c r="B926" s="23" t="inlineStr">
        <is>
          <t>Vehicles and Depot - Fleet Supply</t>
        </is>
      </c>
      <c r="C926" s="23" t="inlineStr">
        <is>
          <t>Contractor Programme</t>
        </is>
      </c>
      <c r="D926" s="23" t="inlineStr">
        <is>
          <t>SCH-04-155</t>
        </is>
      </c>
      <c r="E926" s="23" t="inlineStr">
        <is>
          <t>Operations building: fleet software load - turnover</t>
        </is>
      </c>
      <c r="F926" s="23" t="inlineStr">
        <is>
          <t>ONE_TO_ONE</t>
        </is>
      </c>
      <c r="G926" s="23" t="inlineStr">
        <is>
          <t>RETAINED</t>
        </is>
      </c>
      <c r="H926" s="23" t="inlineStr">
        <is>
          <t>Carried forward</t>
        </is>
      </c>
      <c r="I926" s="23" t="inlineStr">
        <is>
          <t>Source assignment -- not individually reviewed</t>
        </is>
      </c>
      <c r="J926" s="23" t="inlineStr"/>
      <c r="K926" s="23" t="inlineStr">
        <is>
          <t>Source assignment</t>
        </is>
      </c>
      <c r="L926" s="23" t="inlineStr"/>
      <c r="M926" s="23" t="inlineStr">
        <is>
          <t>Contractor Programme Cycle 2</t>
        </is>
      </c>
      <c r="N926" s="23" t="inlineStr">
        <is>
          <t>Rev 1</t>
        </is>
      </c>
      <c r="O926" s="23" t="inlineStr">
        <is>
          <t>R695-v2</t>
        </is>
      </c>
      <c r="P926" s="23" t="inlineStr"/>
      <c r="Q926" s="23" t="inlineStr"/>
      <c r="R926" s="23" t="inlineStr"/>
      <c r="S926" s="23" t="inlineStr"/>
      <c r="T926" s="23" t="inlineStr"/>
      <c r="U926" s="23" t="inlineStr"/>
      <c r="V926" s="23" t="inlineStr">
        <is>
          <t>WBS Code = 1.4.1</t>
        </is>
      </c>
      <c r="W926" s="23" t="inlineStr"/>
    </row>
    <row r="927" ht="49" customHeight="1">
      <c r="A927" s="23" t="inlineStr">
        <is>
          <t>1.4.1</t>
        </is>
      </c>
      <c r="B927" s="23" t="inlineStr">
        <is>
          <t>Vehicles and Depot - Fleet Supply</t>
        </is>
      </c>
      <c r="C927" s="23" t="inlineStr">
        <is>
          <t>Contractor Programme</t>
        </is>
      </c>
      <c r="D927" s="23" t="inlineStr">
        <is>
          <t>SCH-04-157</t>
        </is>
      </c>
      <c r="E927" s="23" t="inlineStr">
        <is>
          <t>Receiving track: wash-plant commissioning - field start</t>
        </is>
      </c>
      <c r="F927" s="23" t="inlineStr">
        <is>
          <t>ONE_TO_ONE</t>
        </is>
      </c>
      <c r="G927" s="23" t="inlineStr">
        <is>
          <t>RETAINED</t>
        </is>
      </c>
      <c r="H927" s="23" t="inlineStr">
        <is>
          <t>Carried forward</t>
        </is>
      </c>
      <c r="I927" s="23" t="inlineStr">
        <is>
          <t>Source assignment -- not individually reviewed</t>
        </is>
      </c>
      <c r="J927" s="23" t="inlineStr"/>
      <c r="K927" s="23" t="inlineStr">
        <is>
          <t>Source assignment</t>
        </is>
      </c>
      <c r="L927" s="23" t="inlineStr"/>
      <c r="M927" s="23" t="inlineStr">
        <is>
          <t>Contractor Programme Cycle 2</t>
        </is>
      </c>
      <c r="N927" s="23" t="inlineStr">
        <is>
          <t>Rev 1</t>
        </is>
      </c>
      <c r="O927" s="23" t="inlineStr">
        <is>
          <t>R697-v2</t>
        </is>
      </c>
      <c r="P927" s="23" t="inlineStr"/>
      <c r="Q927" s="23" t="inlineStr"/>
      <c r="R927" s="23" t="inlineStr"/>
      <c r="S927" s="23" t="inlineStr"/>
      <c r="T927" s="23" t="inlineStr"/>
      <c r="U927" s="23" t="inlineStr"/>
      <c r="V927" s="23" t="inlineStr">
        <is>
          <t>WBS Code = 1.4.1</t>
        </is>
      </c>
      <c r="W927" s="23" t="inlineStr"/>
    </row>
    <row r="928" ht="49" customHeight="1">
      <c r="A928" s="23" t="inlineStr">
        <is>
          <t>1.4.1</t>
        </is>
      </c>
      <c r="B928" s="23" t="inlineStr">
        <is>
          <t>Vehicles and Depot - Fleet Supply</t>
        </is>
      </c>
      <c r="C928" s="23" t="inlineStr">
        <is>
          <t>Contractor Programme</t>
        </is>
      </c>
      <c r="D928" s="23" t="inlineStr">
        <is>
          <t>SCH-04-158</t>
        </is>
      </c>
      <c r="E928" s="23" t="inlineStr">
        <is>
          <t>Maintenance shop: maintenance-bay services - installation</t>
        </is>
      </c>
      <c r="F928" s="23" t="inlineStr">
        <is>
          <t>ONE_TO_ONE</t>
        </is>
      </c>
      <c r="G928" s="23" t="inlineStr">
        <is>
          <t>RETAINED</t>
        </is>
      </c>
      <c r="H928" s="23" t="inlineStr">
        <is>
          <t>Carried forward</t>
        </is>
      </c>
      <c r="I928" s="23" t="inlineStr">
        <is>
          <t>Source assignment -- not individually reviewed</t>
        </is>
      </c>
      <c r="J928" s="23" t="inlineStr"/>
      <c r="K928" s="23" t="inlineStr">
        <is>
          <t>Source assignment</t>
        </is>
      </c>
      <c r="L928" s="23" t="inlineStr"/>
      <c r="M928" s="23" t="inlineStr">
        <is>
          <t>Contractor Programme Cycle 2</t>
        </is>
      </c>
      <c r="N928" s="23" t="inlineStr">
        <is>
          <t>Rev 1</t>
        </is>
      </c>
      <c r="O928" s="23" t="inlineStr">
        <is>
          <t>R698-v2</t>
        </is>
      </c>
      <c r="P928" s="23" t="inlineStr"/>
      <c r="Q928" s="23" t="inlineStr"/>
      <c r="R928" s="23" t="inlineStr"/>
      <c r="S928" s="23" t="inlineStr"/>
      <c r="T928" s="23" t="inlineStr"/>
      <c r="U928" s="23" t="inlineStr"/>
      <c r="V928" s="23" t="inlineStr">
        <is>
          <t>WBS Code = 1.4.1</t>
        </is>
      </c>
      <c r="W928" s="23" t="inlineStr"/>
    </row>
    <row r="929" ht="49" customHeight="1">
      <c r="A929" s="23" t="inlineStr">
        <is>
          <t>1.4.1</t>
        </is>
      </c>
      <c r="B929" s="23" t="inlineStr">
        <is>
          <t>Vehicles and Depot - Fleet Supply</t>
        </is>
      </c>
      <c r="C929" s="23" t="inlineStr">
        <is>
          <t>Contractor Programme</t>
        </is>
      </c>
      <c r="D929" s="23" t="inlineStr">
        <is>
          <t>SCH-04-160</t>
        </is>
      </c>
      <c r="E929" s="23" t="inlineStr">
        <is>
          <t>Operations building: workshop crane installation - turnover</t>
        </is>
      </c>
      <c r="F929" s="23" t="inlineStr">
        <is>
          <t>ONE_TO_ONE</t>
        </is>
      </c>
      <c r="G929" s="23" t="inlineStr">
        <is>
          <t>RETAINED</t>
        </is>
      </c>
      <c r="H929" s="23" t="inlineStr">
        <is>
          <t>Carried forward</t>
        </is>
      </c>
      <c r="I929" s="23" t="inlineStr">
        <is>
          <t>Source assignment -- not individually reviewed</t>
        </is>
      </c>
      <c r="J929" s="23" t="inlineStr"/>
      <c r="K929" s="23" t="inlineStr">
        <is>
          <t>Source assignment</t>
        </is>
      </c>
      <c r="L929" s="23" t="inlineStr"/>
      <c r="M929" s="23" t="inlineStr">
        <is>
          <t>Contractor Programme Cycle 2</t>
        </is>
      </c>
      <c r="N929" s="23" t="inlineStr">
        <is>
          <t>Rev 1</t>
        </is>
      </c>
      <c r="O929" s="23" t="inlineStr">
        <is>
          <t>R700-v2</t>
        </is>
      </c>
      <c r="P929" s="23" t="inlineStr"/>
      <c r="Q929" s="23" t="inlineStr"/>
      <c r="R929" s="23" t="inlineStr"/>
      <c r="S929" s="23" t="inlineStr"/>
      <c r="T929" s="23" t="inlineStr"/>
      <c r="U929" s="23" t="inlineStr"/>
      <c r="V929" s="23" t="inlineStr">
        <is>
          <t>WBS Code = 1.4.1</t>
        </is>
      </c>
      <c r="W929" s="23" t="inlineStr"/>
    </row>
    <row r="930" ht="49" customHeight="1">
      <c r="A930" s="23" t="inlineStr">
        <is>
          <t>1.4.1</t>
        </is>
      </c>
      <c r="B930" s="23" t="inlineStr">
        <is>
          <t>Vehicles and Depot - Fleet Supply</t>
        </is>
      </c>
      <c r="C930" s="23" t="inlineStr">
        <is>
          <t>Contractor Programme</t>
        </is>
      </c>
      <c r="D930" s="23" t="inlineStr">
        <is>
          <t>SCH-04-161</t>
        </is>
      </c>
      <c r="E930" s="23" t="inlineStr">
        <is>
          <t>Test track: vehicle-to-depot interface check - release</t>
        </is>
      </c>
      <c r="F930" s="23" t="inlineStr">
        <is>
          <t>ONE_TO_ONE</t>
        </is>
      </c>
      <c r="G930" s="23" t="inlineStr">
        <is>
          <t>RETAINED</t>
        </is>
      </c>
      <c r="H930" s="23" t="inlineStr">
        <is>
          <t>Carried forward</t>
        </is>
      </c>
      <c r="I930" s="23" t="inlineStr">
        <is>
          <t>Source assignment -- not individually reviewed</t>
        </is>
      </c>
      <c r="J930" s="23" t="inlineStr"/>
      <c r="K930" s="23" t="inlineStr">
        <is>
          <t>Source assignment</t>
        </is>
      </c>
      <c r="L930" s="23" t="inlineStr"/>
      <c r="M930" s="23" t="inlineStr">
        <is>
          <t>Contractor Programme Cycle 2</t>
        </is>
      </c>
      <c r="N930" s="23" t="inlineStr">
        <is>
          <t>Rev 1</t>
        </is>
      </c>
      <c r="O930" s="23" t="inlineStr">
        <is>
          <t>R701-v2</t>
        </is>
      </c>
      <c r="P930" s="23" t="inlineStr"/>
      <c r="Q930" s="23" t="inlineStr"/>
      <c r="R930" s="23" t="inlineStr"/>
      <c r="S930" s="23" t="inlineStr"/>
      <c r="T930" s="23" t="inlineStr"/>
      <c r="U930" s="23" t="inlineStr"/>
      <c r="V930" s="23" t="inlineStr">
        <is>
          <t>WBS Code = 1.4.1</t>
        </is>
      </c>
      <c r="W930" s="23" t="inlineStr"/>
    </row>
    <row r="931" ht="49" customHeight="1">
      <c r="A931" s="23" t="inlineStr">
        <is>
          <t>1.4.1</t>
        </is>
      </c>
      <c r="B931" s="23" t="inlineStr">
        <is>
          <t>Vehicles and Depot - Fleet Supply</t>
        </is>
      </c>
      <c r="C931" s="23" t="inlineStr">
        <is>
          <t>Contractor Programme</t>
        </is>
      </c>
      <c r="D931" s="23" t="inlineStr">
        <is>
          <t>SCH-04-163</t>
        </is>
      </c>
      <c r="E931" s="23" t="inlineStr">
        <is>
          <t>Maintenance shop: fleet software load - installation</t>
        </is>
      </c>
      <c r="F931" s="23" t="inlineStr">
        <is>
          <t>ONE_TO_ONE</t>
        </is>
      </c>
      <c r="G931" s="23" t="inlineStr">
        <is>
          <t>RETAINED</t>
        </is>
      </c>
      <c r="H931" s="23" t="inlineStr">
        <is>
          <t>Carried forward</t>
        </is>
      </c>
      <c r="I931" s="23" t="inlineStr">
        <is>
          <t>Source assignment -- not individually reviewed</t>
        </is>
      </c>
      <c r="J931" s="23" t="inlineStr"/>
      <c r="K931" s="23" t="inlineStr">
        <is>
          <t>Source assignment</t>
        </is>
      </c>
      <c r="L931" s="23" t="inlineStr"/>
      <c r="M931" s="23" t="inlineStr">
        <is>
          <t>Contractor Programme Cycle 2</t>
        </is>
      </c>
      <c r="N931" s="23" t="inlineStr">
        <is>
          <t>Rev 1</t>
        </is>
      </c>
      <c r="O931" s="23" t="inlineStr">
        <is>
          <t>R703-v2</t>
        </is>
      </c>
      <c r="P931" s="23" t="inlineStr"/>
      <c r="Q931" s="23" t="inlineStr"/>
      <c r="R931" s="23" t="inlineStr"/>
      <c r="S931" s="23" t="inlineStr"/>
      <c r="T931" s="23" t="inlineStr"/>
      <c r="U931" s="23" t="inlineStr"/>
      <c r="V931" s="23" t="inlineStr">
        <is>
          <t>WBS Code = 1.4.1</t>
        </is>
      </c>
      <c r="W931" s="23" t="inlineStr"/>
    </row>
    <row r="932" ht="49" customHeight="1">
      <c r="A932" s="23" t="inlineStr">
        <is>
          <t>1.4.1</t>
        </is>
      </c>
      <c r="B932" s="23" t="inlineStr">
        <is>
          <t>Vehicles and Depot - Fleet Supply</t>
        </is>
      </c>
      <c r="C932" s="23" t="inlineStr">
        <is>
          <t>Contractor Programme</t>
        </is>
      </c>
      <c r="D932" s="23" t="inlineStr">
        <is>
          <t>SCH-04-164</t>
        </is>
      </c>
      <c r="E932" s="23" t="inlineStr">
        <is>
          <t>Storage yard: vehicle delivery inspection - inspection</t>
        </is>
      </c>
      <c r="F932" s="23" t="inlineStr">
        <is>
          <t>ONE_TO_ONE</t>
        </is>
      </c>
      <c r="G932" s="23" t="inlineStr">
        <is>
          <t>RETAINED</t>
        </is>
      </c>
      <c r="H932" s="23" t="inlineStr">
        <is>
          <t>Carried forward</t>
        </is>
      </c>
      <c r="I932" s="23" t="inlineStr">
        <is>
          <t>Source assignment -- not individually reviewed</t>
        </is>
      </c>
      <c r="J932" s="23" t="inlineStr"/>
      <c r="K932" s="23" t="inlineStr">
        <is>
          <t>Source assignment</t>
        </is>
      </c>
      <c r="L932" s="23" t="inlineStr"/>
      <c r="M932" s="23" t="inlineStr">
        <is>
          <t>Contractor Programme Cycle 2</t>
        </is>
      </c>
      <c r="N932" s="23" t="inlineStr">
        <is>
          <t>Rev 1</t>
        </is>
      </c>
      <c r="O932" s="23" t="inlineStr">
        <is>
          <t>R704-v2</t>
        </is>
      </c>
      <c r="P932" s="23" t="inlineStr"/>
      <c r="Q932" s="23" t="inlineStr"/>
      <c r="R932" s="23" t="inlineStr"/>
      <c r="S932" s="23" t="inlineStr"/>
      <c r="T932" s="23" t="inlineStr"/>
      <c r="U932" s="23" t="inlineStr"/>
      <c r="V932" s="23" t="inlineStr">
        <is>
          <t>WBS Code = 1.4.1</t>
        </is>
      </c>
      <c r="W932" s="23" t="inlineStr"/>
    </row>
    <row r="933" ht="49" customHeight="1">
      <c r="A933" s="23" t="inlineStr">
        <is>
          <t>1.4.1</t>
        </is>
      </c>
      <c r="B933" s="23" t="inlineStr">
        <is>
          <t>Vehicles and Depot - Fleet Supply</t>
        </is>
      </c>
      <c r="C933" s="23" t="inlineStr">
        <is>
          <t>Contractor Programme</t>
        </is>
      </c>
      <c r="D933" s="23" t="inlineStr">
        <is>
          <t>SCH-04-166</t>
        </is>
      </c>
      <c r="E933" s="23" t="inlineStr">
        <is>
          <t>Test track: maintenance-bay services - release</t>
        </is>
      </c>
      <c r="F933" s="23" t="inlineStr">
        <is>
          <t>ONE_TO_ONE</t>
        </is>
      </c>
      <c r="G933" s="23" t="inlineStr">
        <is>
          <t>RETAINED</t>
        </is>
      </c>
      <c r="H933" s="23" t="inlineStr">
        <is>
          <t>Carried forward</t>
        </is>
      </c>
      <c r="I933" s="23" t="inlineStr">
        <is>
          <t>Source assignment -- not individually reviewed</t>
        </is>
      </c>
      <c r="J933" s="23" t="inlineStr"/>
      <c r="K933" s="23" t="inlineStr">
        <is>
          <t>Source assignment</t>
        </is>
      </c>
      <c r="L933" s="23" t="inlineStr"/>
      <c r="M933" s="23" t="inlineStr">
        <is>
          <t>Contractor Programme Cycle 2</t>
        </is>
      </c>
      <c r="N933" s="23" t="inlineStr">
        <is>
          <t>Rev 1</t>
        </is>
      </c>
      <c r="O933" s="23" t="inlineStr">
        <is>
          <t>R706-v2</t>
        </is>
      </c>
      <c r="P933" s="23" t="inlineStr"/>
      <c r="Q933" s="23" t="inlineStr"/>
      <c r="R933" s="23" t="inlineStr"/>
      <c r="S933" s="23" t="inlineStr"/>
      <c r="T933" s="23" t="inlineStr"/>
      <c r="U933" s="23" t="inlineStr"/>
      <c r="V933" s="23" t="inlineStr">
        <is>
          <t>WBS Code = 1.4.1</t>
        </is>
      </c>
      <c r="W933" s="23" t="inlineStr"/>
    </row>
    <row r="934" ht="49" customHeight="1">
      <c r="A934" s="23" t="inlineStr">
        <is>
          <t>1.4.1</t>
        </is>
      </c>
      <c r="B934" s="23" t="inlineStr">
        <is>
          <t>Vehicles and Depot - Fleet Supply</t>
        </is>
      </c>
      <c r="C934" s="23" t="inlineStr">
        <is>
          <t>Contractor Programme</t>
        </is>
      </c>
      <c r="D934" s="23" t="inlineStr">
        <is>
          <t>SCH-04-167</t>
        </is>
      </c>
      <c r="E934" s="23" t="inlineStr">
        <is>
          <t>Receiving track: depot structural fit-out - field start</t>
        </is>
      </c>
      <c r="F934" s="23" t="inlineStr">
        <is>
          <t>ONE_TO_ONE</t>
        </is>
      </c>
      <c r="G934" s="23" t="inlineStr">
        <is>
          <t>RETAINED</t>
        </is>
      </c>
      <c r="H934" s="23" t="inlineStr">
        <is>
          <t>Carried forward</t>
        </is>
      </c>
      <c r="I934" s="23" t="inlineStr">
        <is>
          <t>Source assignment -- not individually reviewed</t>
        </is>
      </c>
      <c r="J934" s="23" t="inlineStr"/>
      <c r="K934" s="23" t="inlineStr">
        <is>
          <t>Source assignment</t>
        </is>
      </c>
      <c r="L934" s="23" t="inlineStr"/>
      <c r="M934" s="23" t="inlineStr">
        <is>
          <t>Contractor Programme Cycle 2</t>
        </is>
      </c>
      <c r="N934" s="23" t="inlineStr">
        <is>
          <t>Rev 1</t>
        </is>
      </c>
      <c r="O934" s="23" t="inlineStr">
        <is>
          <t>R707-v2</t>
        </is>
      </c>
      <c r="P934" s="23" t="inlineStr"/>
      <c r="Q934" s="23" t="inlineStr"/>
      <c r="R934" s="23" t="inlineStr"/>
      <c r="S934" s="23" t="inlineStr"/>
      <c r="T934" s="23" t="inlineStr"/>
      <c r="U934" s="23" t="inlineStr"/>
      <c r="V934" s="23" t="inlineStr">
        <is>
          <t>WBS Code = 1.4.1</t>
        </is>
      </c>
      <c r="W934" s="23" t="inlineStr"/>
    </row>
    <row r="935" ht="49" customHeight="1">
      <c r="A935" s="23" t="inlineStr">
        <is>
          <t>1.4.1</t>
        </is>
      </c>
      <c r="B935" s="23" t="inlineStr">
        <is>
          <t>Vehicles and Depot - Fleet Supply</t>
        </is>
      </c>
      <c r="C935" s="23" t="inlineStr">
        <is>
          <t>Contractor Programme</t>
        </is>
      </c>
      <c r="D935" s="23" t="inlineStr">
        <is>
          <t>SCH-04-169</t>
        </is>
      </c>
      <c r="E935" s="23" t="inlineStr">
        <is>
          <t>Storage yard: vehicle-to-depot interface check - inspection</t>
        </is>
      </c>
      <c r="F935" s="23" t="inlineStr">
        <is>
          <t>ONE_TO_ONE</t>
        </is>
      </c>
      <c r="G935" s="23" t="inlineStr">
        <is>
          <t>RETAINED</t>
        </is>
      </c>
      <c r="H935" s="23" t="inlineStr">
        <is>
          <t>Carried forward</t>
        </is>
      </c>
      <c r="I935" s="23" t="inlineStr">
        <is>
          <t>Source assignment -- not individually reviewed</t>
        </is>
      </c>
      <c r="J935" s="23" t="inlineStr"/>
      <c r="K935" s="23" t="inlineStr">
        <is>
          <t>Source assignment</t>
        </is>
      </c>
      <c r="L935" s="23" t="inlineStr"/>
      <c r="M935" s="23" t="inlineStr">
        <is>
          <t>Contractor Programme Cycle 2</t>
        </is>
      </c>
      <c r="N935" s="23" t="inlineStr">
        <is>
          <t>Rev 1</t>
        </is>
      </c>
      <c r="O935" s="23" t="inlineStr">
        <is>
          <t>R709-v2</t>
        </is>
      </c>
      <c r="P935" s="23" t="inlineStr"/>
      <c r="Q935" s="23" t="inlineStr"/>
      <c r="R935" s="23" t="inlineStr"/>
      <c r="S935" s="23" t="inlineStr"/>
      <c r="T935" s="23" t="inlineStr"/>
      <c r="U935" s="23" t="inlineStr"/>
      <c r="V935" s="23" t="inlineStr">
        <is>
          <t>WBS Code = 1.4.1</t>
        </is>
      </c>
      <c r="W935" s="23" t="inlineStr"/>
    </row>
    <row r="936" ht="49" customHeight="1">
      <c r="A936" s="23" t="inlineStr">
        <is>
          <t>1.4.1</t>
        </is>
      </c>
      <c r="B936" s="23" t="inlineStr">
        <is>
          <t>Vehicles and Depot - Fleet Supply</t>
        </is>
      </c>
      <c r="C936" s="23" t="inlineStr">
        <is>
          <t>Contractor Programme</t>
        </is>
      </c>
      <c r="D936" s="23" t="inlineStr">
        <is>
          <t>SCH-04-170</t>
        </is>
      </c>
      <c r="E936" s="23" t="inlineStr">
        <is>
          <t>Operations building: wheel-lathe installation - turnover</t>
        </is>
      </c>
      <c r="F936" s="23" t="inlineStr">
        <is>
          <t>ONE_TO_ONE</t>
        </is>
      </c>
      <c r="G936" s="23" t="inlineStr">
        <is>
          <t>RETAINED</t>
        </is>
      </c>
      <c r="H936" s="23" t="inlineStr">
        <is>
          <t>Carried forward</t>
        </is>
      </c>
      <c r="I936" s="23" t="inlineStr">
        <is>
          <t>Source assignment -- not individually reviewed</t>
        </is>
      </c>
      <c r="J936" s="23" t="inlineStr"/>
      <c r="K936" s="23" t="inlineStr">
        <is>
          <t>Source assignment</t>
        </is>
      </c>
      <c r="L936" s="23" t="inlineStr"/>
      <c r="M936" s="23" t="inlineStr">
        <is>
          <t>Contractor Programme Cycle 2</t>
        </is>
      </c>
      <c r="N936" s="23" t="inlineStr">
        <is>
          <t>Rev 1</t>
        </is>
      </c>
      <c r="O936" s="23" t="inlineStr">
        <is>
          <t>R710-v2</t>
        </is>
      </c>
      <c r="P936" s="23" t="inlineStr"/>
      <c r="Q936" s="23" t="inlineStr"/>
      <c r="R936" s="23" t="inlineStr"/>
      <c r="S936" s="23" t="inlineStr"/>
      <c r="T936" s="23" t="inlineStr"/>
      <c r="U936" s="23" t="inlineStr"/>
      <c r="V936" s="23" t="inlineStr">
        <is>
          <t>WBS Code = 1.4.1</t>
        </is>
      </c>
      <c r="W936" s="23" t="inlineStr"/>
    </row>
    <row r="937" ht="49" customHeight="1">
      <c r="A937" s="23" t="inlineStr">
        <is>
          <t>1.4.1</t>
        </is>
      </c>
      <c r="B937" s="23" t="inlineStr">
        <is>
          <t>Vehicles and Depot - Fleet Supply</t>
        </is>
      </c>
      <c r="C937" s="23" t="inlineStr">
        <is>
          <t>Contractor Programme</t>
        </is>
      </c>
      <c r="D937" s="23" t="inlineStr">
        <is>
          <t>SCH-04-172</t>
        </is>
      </c>
      <c r="E937" s="23" t="inlineStr">
        <is>
          <t>Receiving track: vehicle delivery inspection - field start</t>
        </is>
      </c>
      <c r="F937" s="23" t="inlineStr">
        <is>
          <t>ONE_TO_ONE</t>
        </is>
      </c>
      <c r="G937" s="23" t="inlineStr">
        <is>
          <t>RETAINED</t>
        </is>
      </c>
      <c r="H937" s="23" t="inlineStr">
        <is>
          <t>Carried forward</t>
        </is>
      </c>
      <c r="I937" s="23" t="inlineStr">
        <is>
          <t>Source assignment -- not individually reviewed</t>
        </is>
      </c>
      <c r="J937" s="23" t="inlineStr"/>
      <c r="K937" s="23" t="inlineStr">
        <is>
          <t>Source assignment</t>
        </is>
      </c>
      <c r="L937" s="23" t="inlineStr"/>
      <c r="M937" s="23" t="inlineStr">
        <is>
          <t>Contractor Programme Cycle 2</t>
        </is>
      </c>
      <c r="N937" s="23" t="inlineStr">
        <is>
          <t>Rev 1</t>
        </is>
      </c>
      <c r="O937" s="23" t="inlineStr">
        <is>
          <t>R712-v2</t>
        </is>
      </c>
      <c r="P937" s="23" t="inlineStr"/>
      <c r="Q937" s="23" t="inlineStr"/>
      <c r="R937" s="23" t="inlineStr"/>
      <c r="S937" s="23" t="inlineStr"/>
      <c r="T937" s="23" t="inlineStr"/>
      <c r="U937" s="23" t="inlineStr"/>
      <c r="V937" s="23" t="inlineStr">
        <is>
          <t>WBS Code = 1.4.1</t>
        </is>
      </c>
      <c r="W937" s="23" t="inlineStr"/>
    </row>
    <row r="938" ht="49" customHeight="1">
      <c r="A938" s="23" t="inlineStr">
        <is>
          <t>1.4.1</t>
        </is>
      </c>
      <c r="B938" s="23" t="inlineStr">
        <is>
          <t>Vehicles and Depot - Fleet Supply</t>
        </is>
      </c>
      <c r="C938" s="23" t="inlineStr">
        <is>
          <t>Contractor Programme</t>
        </is>
      </c>
      <c r="D938" s="23" t="inlineStr">
        <is>
          <t>SCH-04-173</t>
        </is>
      </c>
      <c r="E938" s="23" t="inlineStr">
        <is>
          <t>Maintenance shop: wash-plant commissioning - installation</t>
        </is>
      </c>
      <c r="F938" s="23" t="inlineStr">
        <is>
          <t>ONE_TO_ONE</t>
        </is>
      </c>
      <c r="G938" s="23" t="inlineStr">
        <is>
          <t>RETAINED</t>
        </is>
      </c>
      <c r="H938" s="23" t="inlineStr">
        <is>
          <t>Carried forward</t>
        </is>
      </c>
      <c r="I938" s="23" t="inlineStr">
        <is>
          <t>Source assignment -- not individually reviewed</t>
        </is>
      </c>
      <c r="J938" s="23" t="inlineStr"/>
      <c r="K938" s="23" t="inlineStr">
        <is>
          <t>Source assignment</t>
        </is>
      </c>
      <c r="L938" s="23" t="inlineStr"/>
      <c r="M938" s="23" t="inlineStr">
        <is>
          <t>Contractor Programme Cycle 2</t>
        </is>
      </c>
      <c r="N938" s="23" t="inlineStr">
        <is>
          <t>Rev 1</t>
        </is>
      </c>
      <c r="O938" s="23" t="inlineStr">
        <is>
          <t>R713-v2</t>
        </is>
      </c>
      <c r="P938" s="23" t="inlineStr"/>
      <c r="Q938" s="23" t="inlineStr"/>
      <c r="R938" s="23" t="inlineStr"/>
      <c r="S938" s="23" t="inlineStr"/>
      <c r="T938" s="23" t="inlineStr"/>
      <c r="U938" s="23" t="inlineStr"/>
      <c r="V938" s="23" t="inlineStr">
        <is>
          <t>WBS Code = 1.4.1</t>
        </is>
      </c>
      <c r="W938" s="23" t="inlineStr"/>
    </row>
    <row r="939" ht="49" customHeight="1">
      <c r="A939" s="23" t="inlineStr">
        <is>
          <t>1.4.1</t>
        </is>
      </c>
      <c r="B939" s="23" t="inlineStr">
        <is>
          <t>Vehicles and Depot - Fleet Supply</t>
        </is>
      </c>
      <c r="C939" s="23" t="inlineStr">
        <is>
          <t>Contractor Programme</t>
        </is>
      </c>
      <c r="D939" s="23" t="inlineStr">
        <is>
          <t>SCH-04-175</t>
        </is>
      </c>
      <c r="E939" s="23" t="inlineStr">
        <is>
          <t>Operations building: depot structural fit-out - turnover</t>
        </is>
      </c>
      <c r="F939" s="23" t="inlineStr">
        <is>
          <t>ONE_TO_ONE</t>
        </is>
      </c>
      <c r="G939" s="23" t="inlineStr">
        <is>
          <t>RETAINED</t>
        </is>
      </c>
      <c r="H939" s="23" t="inlineStr">
        <is>
          <t>Carried forward</t>
        </is>
      </c>
      <c r="I939" s="23" t="inlineStr">
        <is>
          <t>Source assignment -- not individually reviewed</t>
        </is>
      </c>
      <c r="J939" s="23" t="inlineStr"/>
      <c r="K939" s="23" t="inlineStr">
        <is>
          <t>Source assignment</t>
        </is>
      </c>
      <c r="L939" s="23" t="inlineStr"/>
      <c r="M939" s="23" t="inlineStr">
        <is>
          <t>Contractor Programme Cycle 2</t>
        </is>
      </c>
      <c r="N939" s="23" t="inlineStr">
        <is>
          <t>Rev 1</t>
        </is>
      </c>
      <c r="O939" s="23" t="inlineStr">
        <is>
          <t>R715-v2</t>
        </is>
      </c>
      <c r="P939" s="23" t="inlineStr"/>
      <c r="Q939" s="23" t="inlineStr"/>
      <c r="R939" s="23" t="inlineStr"/>
      <c r="S939" s="23" t="inlineStr"/>
      <c r="T939" s="23" t="inlineStr"/>
      <c r="U939" s="23" t="inlineStr"/>
      <c r="V939" s="23" t="inlineStr">
        <is>
          <t>WBS Code = 1.4.1</t>
        </is>
      </c>
      <c r="W939" s="23" t="inlineStr"/>
    </row>
    <row r="940" ht="49" customHeight="1">
      <c r="A940" s="23" t="inlineStr">
        <is>
          <t>1.4.1</t>
        </is>
      </c>
      <c r="B940" s="23" t="inlineStr">
        <is>
          <t>Vehicles and Depot - Fleet Supply</t>
        </is>
      </c>
      <c r="C940" s="23" t="inlineStr">
        <is>
          <t>Contractor Programme</t>
        </is>
      </c>
      <c r="D940" s="23" t="inlineStr">
        <is>
          <t>SCH-04-176</t>
        </is>
      </c>
      <c r="E940" s="23" t="inlineStr">
        <is>
          <t>Test track: workshop crane installation - release</t>
        </is>
      </c>
      <c r="F940" s="23" t="inlineStr">
        <is>
          <t>ONE_TO_ONE</t>
        </is>
      </c>
      <c r="G940" s="23" t="inlineStr">
        <is>
          <t>RETAINED</t>
        </is>
      </c>
      <c r="H940" s="23" t="inlineStr">
        <is>
          <t>Carried forward</t>
        </is>
      </c>
      <c r="I940" s="23" t="inlineStr">
        <is>
          <t>Source assignment -- not individually reviewed</t>
        </is>
      </c>
      <c r="J940" s="23" t="inlineStr"/>
      <c r="K940" s="23" t="inlineStr">
        <is>
          <t>Source assignment</t>
        </is>
      </c>
      <c r="L940" s="23" t="inlineStr"/>
      <c r="M940" s="23" t="inlineStr">
        <is>
          <t>Contractor Programme Cycle 2</t>
        </is>
      </c>
      <c r="N940" s="23" t="inlineStr">
        <is>
          <t>Rev 1</t>
        </is>
      </c>
      <c r="O940" s="23" t="inlineStr">
        <is>
          <t>R716-v2</t>
        </is>
      </c>
      <c r="P940" s="23" t="inlineStr"/>
      <c r="Q940" s="23" t="inlineStr"/>
      <c r="R940" s="23" t="inlineStr"/>
      <c r="S940" s="23" t="inlineStr"/>
      <c r="T940" s="23" t="inlineStr"/>
      <c r="U940" s="23" t="inlineStr"/>
      <c r="V940" s="23" t="inlineStr">
        <is>
          <t>WBS Code = 1.4.1</t>
        </is>
      </c>
      <c r="W940" s="23" t="inlineStr"/>
    </row>
    <row r="941" ht="49" customHeight="1">
      <c r="A941" s="23" t="inlineStr">
        <is>
          <t>1.4.1</t>
        </is>
      </c>
      <c r="B941" s="23" t="inlineStr">
        <is>
          <t>Vehicles and Depot - Fleet Supply</t>
        </is>
      </c>
      <c r="C941" s="23" t="inlineStr">
        <is>
          <t>Contractor Programme</t>
        </is>
      </c>
      <c r="D941" s="23" t="inlineStr">
        <is>
          <t>SCH-04-178</t>
        </is>
      </c>
      <c r="E941" s="23" t="inlineStr">
        <is>
          <t>Maintenance shop: wheel-lathe installation - installation</t>
        </is>
      </c>
      <c r="F941" s="23" t="inlineStr">
        <is>
          <t>ONE_TO_ONE</t>
        </is>
      </c>
      <c r="G941" s="23" t="inlineStr">
        <is>
          <t>RETAINED</t>
        </is>
      </c>
      <c r="H941" s="23" t="inlineStr">
        <is>
          <t>Carried forward</t>
        </is>
      </c>
      <c r="I941" s="23" t="inlineStr">
        <is>
          <t>Source assignment -- not individually reviewed</t>
        </is>
      </c>
      <c r="J941" s="23" t="inlineStr"/>
      <c r="K941" s="23" t="inlineStr">
        <is>
          <t>Source assignment</t>
        </is>
      </c>
      <c r="L941" s="23" t="inlineStr"/>
      <c r="M941" s="23" t="inlineStr">
        <is>
          <t>Contractor Programme Cycle 2</t>
        </is>
      </c>
      <c r="N941" s="23" t="inlineStr">
        <is>
          <t>Rev 1</t>
        </is>
      </c>
      <c r="O941" s="23" t="inlineStr">
        <is>
          <t>R718-v2</t>
        </is>
      </c>
      <c r="P941" s="23" t="inlineStr"/>
      <c r="Q941" s="23" t="inlineStr"/>
      <c r="R941" s="23" t="inlineStr"/>
      <c r="S941" s="23" t="inlineStr"/>
      <c r="T941" s="23" t="inlineStr"/>
      <c r="U941" s="23" t="inlineStr"/>
      <c r="V941" s="23" t="inlineStr">
        <is>
          <t>WBS Code = 1.4.1</t>
        </is>
      </c>
      <c r="W941" s="23" t="inlineStr"/>
    </row>
    <row r="942" ht="49" customHeight="1">
      <c r="A942" s="23" t="inlineStr">
        <is>
          <t>1.4.1</t>
        </is>
      </c>
      <c r="B942" s="23" t="inlineStr">
        <is>
          <t>Vehicles and Depot - Fleet Supply</t>
        </is>
      </c>
      <c r="C942" s="23" t="inlineStr">
        <is>
          <t>Contractor Programme</t>
        </is>
      </c>
      <c r="D942" s="23" t="inlineStr">
        <is>
          <t>SCH-04-179</t>
        </is>
      </c>
      <c r="E942" s="23" t="inlineStr">
        <is>
          <t>Storage yard: fleet software load - inspection</t>
        </is>
      </c>
      <c r="F942" s="23" t="inlineStr">
        <is>
          <t>ONE_TO_ONE</t>
        </is>
      </c>
      <c r="G942" s="23" t="inlineStr">
        <is>
          <t>RETAINED</t>
        </is>
      </c>
      <c r="H942" s="23" t="inlineStr">
        <is>
          <t>Carried forward</t>
        </is>
      </c>
      <c r="I942" s="23" t="inlineStr">
        <is>
          <t>Source assignment -- not individually reviewed</t>
        </is>
      </c>
      <c r="J942" s="23" t="inlineStr"/>
      <c r="K942" s="23" t="inlineStr">
        <is>
          <t>Source assignment</t>
        </is>
      </c>
      <c r="L942" s="23" t="inlineStr"/>
      <c r="M942" s="23" t="inlineStr">
        <is>
          <t>Contractor Programme Cycle 2</t>
        </is>
      </c>
      <c r="N942" s="23" t="inlineStr">
        <is>
          <t>Rev 1</t>
        </is>
      </c>
      <c r="O942" s="23" t="inlineStr">
        <is>
          <t>R719-v2</t>
        </is>
      </c>
      <c r="P942" s="23" t="inlineStr"/>
      <c r="Q942" s="23" t="inlineStr"/>
      <c r="R942" s="23" t="inlineStr"/>
      <c r="S942" s="23" t="inlineStr"/>
      <c r="T942" s="23" t="inlineStr"/>
      <c r="U942" s="23" t="inlineStr"/>
      <c r="V942" s="23" t="inlineStr">
        <is>
          <t>WBS Code = 1.4.1</t>
        </is>
      </c>
      <c r="W942" s="23" t="inlineStr"/>
    </row>
    <row r="943" ht="64" customHeight="1">
      <c r="A943" s="23" t="inlineStr">
        <is>
          <t>1.4.1</t>
        </is>
      </c>
      <c r="B943" s="23" t="inlineStr">
        <is>
          <t>Vehicles and Depot - Fleet Supply</t>
        </is>
      </c>
      <c r="C943" s="23" t="inlineStr">
        <is>
          <t>Cost &amp; Forecast Control Accounts</t>
        </is>
      </c>
      <c r="D943" s="23" t="inlineStr">
        <is>
          <t>CST-04-001</t>
        </is>
      </c>
      <c r="E943" s="23" t="inlineStr">
        <is>
          <t>Vehicles and Depot - fleet supply - field package</t>
        </is>
      </c>
      <c r="F943" s="23" t="inlineStr">
        <is>
          <t>ONE_TO_ONE</t>
        </is>
      </c>
      <c r="G943" s="23" t="inlineStr">
        <is>
          <t>RETAINED</t>
        </is>
      </c>
      <c r="H943" s="23" t="inlineStr">
        <is>
          <t>Carried forward</t>
        </is>
      </c>
      <c r="I943" s="23" t="inlineStr">
        <is>
          <t>Source assignment -- not individually reviewed</t>
        </is>
      </c>
      <c r="J943" s="23" t="inlineStr"/>
      <c r="K943" s="23" t="inlineStr">
        <is>
          <t>Source assignment</t>
        </is>
      </c>
      <c r="L943" s="23" t="inlineStr"/>
      <c r="M943" s="23" t="inlineStr">
        <is>
          <t>Cost &amp; Forecast Control Accounts Cycle 2</t>
        </is>
      </c>
      <c r="N943" s="23" t="inlineStr">
        <is>
          <t>Rev 1</t>
        </is>
      </c>
      <c r="O943" s="23" t="inlineStr">
        <is>
          <t>R1323-v2</t>
        </is>
      </c>
      <c r="P943" s="23" t="inlineStr"/>
      <c r="Q943" s="23" t="inlineStr"/>
      <c r="R943" s="23" t="inlineStr"/>
      <c r="S943" s="23" t="inlineStr"/>
      <c r="T943" s="23" t="inlineStr"/>
      <c r="U943" s="23" t="inlineStr"/>
      <c r="V943" s="23" t="inlineStr">
        <is>
          <t>Cost Account = CA-4001; WBS Code = 1.4.1</t>
        </is>
      </c>
      <c r="W943" s="23" t="inlineStr"/>
    </row>
    <row r="944" ht="64" customHeight="1">
      <c r="A944" s="23" t="inlineStr">
        <is>
          <t>1.4.1</t>
        </is>
      </c>
      <c r="B944" s="23" t="inlineStr">
        <is>
          <t>Vehicles and Depot - Fleet Supply</t>
        </is>
      </c>
      <c r="C944" s="23" t="inlineStr">
        <is>
          <t>Cost &amp; Forecast Control Accounts</t>
        </is>
      </c>
      <c r="D944" s="23" t="inlineStr">
        <is>
          <t>CST-04-003</t>
        </is>
      </c>
      <c r="E944" s="23" t="inlineStr">
        <is>
          <t>Vehicles and Depot - spares - professional services</t>
        </is>
      </c>
      <c r="F944" s="23" t="inlineStr">
        <is>
          <t>ONE_TO_ONE</t>
        </is>
      </c>
      <c r="G944" s="23" t="inlineStr">
        <is>
          <t>RETAINED</t>
        </is>
      </c>
      <c r="H944" s="23" t="inlineStr">
        <is>
          <t>Carried forward</t>
        </is>
      </c>
      <c r="I944" s="23" t="inlineStr">
        <is>
          <t>Source assignment -- not individually reviewed</t>
        </is>
      </c>
      <c r="J944" s="23" t="inlineStr"/>
      <c r="K944" s="23" t="inlineStr">
        <is>
          <t>Source assignment</t>
        </is>
      </c>
      <c r="L944" s="23" t="inlineStr"/>
      <c r="M944" s="23" t="inlineStr">
        <is>
          <t>Cost &amp; Forecast Control Accounts Cycle 2</t>
        </is>
      </c>
      <c r="N944" s="23" t="inlineStr">
        <is>
          <t>Rev 1</t>
        </is>
      </c>
      <c r="O944" s="23" t="inlineStr">
        <is>
          <t>R1325-v2</t>
        </is>
      </c>
      <c r="P944" s="23" t="inlineStr"/>
      <c r="Q944" s="23" t="inlineStr"/>
      <c r="R944" s="23" t="inlineStr"/>
      <c r="S944" s="23" t="inlineStr"/>
      <c r="T944" s="23" t="inlineStr"/>
      <c r="U944" s="23" t="inlineStr"/>
      <c r="V944" s="23" t="inlineStr">
        <is>
          <t>Cost Account = CA-4003; WBS Code = 1.4.1</t>
        </is>
      </c>
      <c r="W944" s="23" t="inlineStr"/>
    </row>
    <row r="945" ht="64" customHeight="1">
      <c r="A945" s="23" t="inlineStr">
        <is>
          <t>1.4.1</t>
        </is>
      </c>
      <c r="B945" s="23" t="inlineStr">
        <is>
          <t>Vehicles and Depot - Fleet Supply</t>
        </is>
      </c>
      <c r="C945" s="23" t="inlineStr">
        <is>
          <t>Cost &amp; Forecast Control Accounts</t>
        </is>
      </c>
      <c r="D945" s="23" t="inlineStr">
        <is>
          <t>CST-04-005</t>
        </is>
      </c>
      <c r="E945" s="23" t="inlineStr">
        <is>
          <t>Vehicles and Depot - workshop equipment - closeout</t>
        </is>
      </c>
      <c r="F945" s="23" t="inlineStr">
        <is>
          <t>ONE_TO_ONE</t>
        </is>
      </c>
      <c r="G945" s="23" t="inlineStr">
        <is>
          <t>RETAINED</t>
        </is>
      </c>
      <c r="H945" s="23" t="inlineStr">
        <is>
          <t>Carried forward</t>
        </is>
      </c>
      <c r="I945" s="23" t="inlineStr">
        <is>
          <t>Source assignment -- not individually reviewed</t>
        </is>
      </c>
      <c r="J945" s="23" t="inlineStr"/>
      <c r="K945" s="23" t="inlineStr">
        <is>
          <t>Source assignment</t>
        </is>
      </c>
      <c r="L945" s="23" t="inlineStr"/>
      <c r="M945" s="23" t="inlineStr">
        <is>
          <t>Cost &amp; Forecast Control Accounts Cycle 2</t>
        </is>
      </c>
      <c r="N945" s="23" t="inlineStr">
        <is>
          <t>Rev 1</t>
        </is>
      </c>
      <c r="O945" s="23" t="inlineStr">
        <is>
          <t>R1327-v2</t>
        </is>
      </c>
      <c r="P945" s="23" t="inlineStr"/>
      <c r="Q945" s="23" t="inlineStr"/>
      <c r="R945" s="23" t="inlineStr"/>
      <c r="S945" s="23" t="inlineStr"/>
      <c r="T945" s="23" t="inlineStr"/>
      <c r="U945" s="23" t="inlineStr"/>
      <c r="V945" s="23" t="inlineStr">
        <is>
          <t>Cost Account = CA-4005; WBS Code = 1.4.1</t>
        </is>
      </c>
      <c r="W945" s="23" t="inlineStr"/>
    </row>
    <row r="946" ht="64" customHeight="1">
      <c r="A946" s="23" t="inlineStr">
        <is>
          <t>1.4.1</t>
        </is>
      </c>
      <c r="B946" s="23" t="inlineStr">
        <is>
          <t>Vehicles and Depot - Fleet Supply</t>
        </is>
      </c>
      <c r="C946" s="23" t="inlineStr">
        <is>
          <t>Cost &amp; Forecast Control Accounts</t>
        </is>
      </c>
      <c r="D946" s="23" t="inlineStr">
        <is>
          <t>CST-04-007</t>
        </is>
      </c>
      <c r="E946" s="23" t="inlineStr">
        <is>
          <t>Vehicles and Depot - fleet supply - supply and install</t>
        </is>
      </c>
      <c r="F946" s="23" t="inlineStr">
        <is>
          <t>ONE_TO_ONE</t>
        </is>
      </c>
      <c r="G946" s="23" t="inlineStr">
        <is>
          <t>RETAINED</t>
        </is>
      </c>
      <c r="H946" s="23" t="inlineStr">
        <is>
          <t>Carried forward</t>
        </is>
      </c>
      <c r="I946" s="23" t="inlineStr">
        <is>
          <t>Source assignment -- not individually reviewed</t>
        </is>
      </c>
      <c r="J946" s="23" t="inlineStr"/>
      <c r="K946" s="23" t="inlineStr">
        <is>
          <t>Source assignment</t>
        </is>
      </c>
      <c r="L946" s="23" t="inlineStr"/>
      <c r="M946" s="23" t="inlineStr">
        <is>
          <t>Cost &amp; Forecast Control Accounts Cycle 2</t>
        </is>
      </c>
      <c r="N946" s="23" t="inlineStr">
        <is>
          <t>Rev 1</t>
        </is>
      </c>
      <c r="O946" s="23" t="inlineStr">
        <is>
          <t>R1329-v2</t>
        </is>
      </c>
      <c r="P946" s="23" t="inlineStr"/>
      <c r="Q946" s="23" t="inlineStr"/>
      <c r="R946" s="23" t="inlineStr"/>
      <c r="S946" s="23" t="inlineStr"/>
      <c r="T946" s="23" t="inlineStr"/>
      <c r="U946" s="23" t="inlineStr"/>
      <c r="V946" s="23" t="inlineStr">
        <is>
          <t>Cost Account = CA-4007; WBS Code = 1.4.1</t>
        </is>
      </c>
      <c r="W946" s="23" t="inlineStr"/>
    </row>
    <row r="947" ht="64" customHeight="1">
      <c r="A947" s="23" t="inlineStr">
        <is>
          <t>1.4.1</t>
        </is>
      </c>
      <c r="B947" s="23" t="inlineStr">
        <is>
          <t>Vehicles and Depot - Fleet Supply</t>
        </is>
      </c>
      <c r="C947" s="23" t="inlineStr">
        <is>
          <t>Cost &amp; Forecast Control Accounts</t>
        </is>
      </c>
      <c r="D947" s="23" t="inlineStr">
        <is>
          <t>CST-04-009</t>
        </is>
      </c>
      <c r="E947" s="23" t="inlineStr">
        <is>
          <t>Vehicles and Depot - spares - allowance</t>
        </is>
      </c>
      <c r="F947" s="23" t="inlineStr">
        <is>
          <t>ONE_TO_ONE</t>
        </is>
      </c>
      <c r="G947" s="23" t="inlineStr">
        <is>
          <t>RETAINED</t>
        </is>
      </c>
      <c r="H947" s="23" t="inlineStr">
        <is>
          <t>Carried forward</t>
        </is>
      </c>
      <c r="I947" s="23" t="inlineStr">
        <is>
          <t>Source assignment -- not individually reviewed</t>
        </is>
      </c>
      <c r="J947" s="23" t="inlineStr"/>
      <c r="K947" s="23" t="inlineStr">
        <is>
          <t>Source assignment</t>
        </is>
      </c>
      <c r="L947" s="23" t="inlineStr"/>
      <c r="M947" s="23" t="inlineStr">
        <is>
          <t>Cost &amp; Forecast Control Accounts Cycle 2</t>
        </is>
      </c>
      <c r="N947" s="23" t="inlineStr">
        <is>
          <t>Rev 1</t>
        </is>
      </c>
      <c r="O947" s="23" t="inlineStr">
        <is>
          <t>R1331-v2</t>
        </is>
      </c>
      <c r="P947" s="23" t="inlineStr"/>
      <c r="Q947" s="23" t="inlineStr"/>
      <c r="R947" s="23" t="inlineStr"/>
      <c r="S947" s="23" t="inlineStr"/>
      <c r="T947" s="23" t="inlineStr"/>
      <c r="U947" s="23" t="inlineStr"/>
      <c r="V947" s="23" t="inlineStr">
        <is>
          <t>Cost Account = CA-4009; WBS Code = 1.4.1</t>
        </is>
      </c>
      <c r="W947" s="23" t="inlineStr"/>
    </row>
    <row r="948" ht="64" customHeight="1">
      <c r="A948" s="23" t="inlineStr">
        <is>
          <t>1.4.1</t>
        </is>
      </c>
      <c r="B948" s="23" t="inlineStr">
        <is>
          <t>Vehicles and Depot - Fleet Supply</t>
        </is>
      </c>
      <c r="C948" s="23" t="inlineStr">
        <is>
          <t>Cost &amp; Forecast Control Accounts</t>
        </is>
      </c>
      <c r="D948" s="23" t="inlineStr">
        <is>
          <t>CST-04-011</t>
        </is>
      </c>
      <c r="E948" s="23" t="inlineStr">
        <is>
          <t>Vehicles and Depot - workshop equipment - field package</t>
        </is>
      </c>
      <c r="F948" s="23" t="inlineStr">
        <is>
          <t>ONE_TO_ONE</t>
        </is>
      </c>
      <c r="G948" s="23" t="inlineStr">
        <is>
          <t>RETAINED</t>
        </is>
      </c>
      <c r="H948" s="23" t="inlineStr">
        <is>
          <t>Carried forward</t>
        </is>
      </c>
      <c r="I948" s="23" t="inlineStr">
        <is>
          <t>Source assignment -- not individually reviewed</t>
        </is>
      </c>
      <c r="J948" s="23" t="inlineStr"/>
      <c r="K948" s="23" t="inlineStr">
        <is>
          <t>Source assignment</t>
        </is>
      </c>
      <c r="L948" s="23" t="inlineStr"/>
      <c r="M948" s="23" t="inlineStr">
        <is>
          <t>Cost &amp; Forecast Control Accounts Cycle 2</t>
        </is>
      </c>
      <c r="N948" s="23" t="inlineStr">
        <is>
          <t>Rev 1</t>
        </is>
      </c>
      <c r="O948" s="23" t="inlineStr">
        <is>
          <t>R1333-v2</t>
        </is>
      </c>
      <c r="P948" s="23" t="inlineStr"/>
      <c r="Q948" s="23" t="inlineStr"/>
      <c r="R948" s="23" t="inlineStr"/>
      <c r="S948" s="23" t="inlineStr"/>
      <c r="T948" s="23" t="inlineStr"/>
      <c r="U948" s="23" t="inlineStr"/>
      <c r="V948" s="23" t="inlineStr">
        <is>
          <t>Cost Account = CA-4011; WBS Code = 1.4.1</t>
        </is>
      </c>
      <c r="W948" s="23" t="inlineStr"/>
    </row>
    <row r="949" ht="64" customHeight="1">
      <c r="A949" s="23" t="inlineStr">
        <is>
          <t>1.4.1</t>
        </is>
      </c>
      <c r="B949" s="23" t="inlineStr">
        <is>
          <t>Vehicles and Depot - Fleet Supply</t>
        </is>
      </c>
      <c r="C949" s="23" t="inlineStr">
        <is>
          <t>Cost &amp; Forecast Control Accounts</t>
        </is>
      </c>
      <c r="D949" s="23" t="inlineStr">
        <is>
          <t>CST-04-013</t>
        </is>
      </c>
      <c r="E949" s="23" t="inlineStr">
        <is>
          <t>Vehicles and Depot - fleet supply - professional services</t>
        </is>
      </c>
      <c r="F949" s="23" t="inlineStr">
        <is>
          <t>ONE_TO_ONE</t>
        </is>
      </c>
      <c r="G949" s="23" t="inlineStr">
        <is>
          <t>RETAINED</t>
        </is>
      </c>
      <c r="H949" s="23" t="inlineStr">
        <is>
          <t>Carried forward</t>
        </is>
      </c>
      <c r="I949" s="23" t="inlineStr">
        <is>
          <t>Source assignment -- not individually reviewed</t>
        </is>
      </c>
      <c r="J949" s="23" t="inlineStr"/>
      <c r="K949" s="23" t="inlineStr">
        <is>
          <t>Source assignment</t>
        </is>
      </c>
      <c r="L949" s="23" t="inlineStr"/>
      <c r="M949" s="23" t="inlineStr">
        <is>
          <t>Cost &amp; Forecast Control Accounts Cycle 2</t>
        </is>
      </c>
      <c r="N949" s="23" t="inlineStr">
        <is>
          <t>Rev 1</t>
        </is>
      </c>
      <c r="O949" s="23" t="inlineStr">
        <is>
          <t>R1335-v2</t>
        </is>
      </c>
      <c r="P949" s="23" t="inlineStr"/>
      <c r="Q949" s="23" t="inlineStr"/>
      <c r="R949" s="23" t="inlineStr"/>
      <c r="S949" s="23" t="inlineStr"/>
      <c r="T949" s="23" t="inlineStr"/>
      <c r="U949" s="23" t="inlineStr"/>
      <c r="V949" s="23" t="inlineStr">
        <is>
          <t>Cost Account = CA-4013; WBS Code = 1.4.1</t>
        </is>
      </c>
      <c r="W949" s="23" t="inlineStr"/>
    </row>
    <row r="950" ht="64" customHeight="1">
      <c r="A950" s="23" t="inlineStr">
        <is>
          <t>1.4.1</t>
        </is>
      </c>
      <c r="B950" s="23" t="inlineStr">
        <is>
          <t>Vehicles and Depot - Fleet Supply</t>
        </is>
      </c>
      <c r="C950" s="23" t="inlineStr">
        <is>
          <t>Cost &amp; Forecast Control Accounts</t>
        </is>
      </c>
      <c r="D950" s="23" t="inlineStr">
        <is>
          <t>CST-04-015</t>
        </is>
      </c>
      <c r="E950" s="23" t="inlineStr">
        <is>
          <t>Vehicles and Depot - spares - closeout</t>
        </is>
      </c>
      <c r="F950" s="23" t="inlineStr">
        <is>
          <t>ONE_TO_ONE</t>
        </is>
      </c>
      <c r="G950" s="23" t="inlineStr">
        <is>
          <t>RETAINED</t>
        </is>
      </c>
      <c r="H950" s="23" t="inlineStr">
        <is>
          <t>Carried forward</t>
        </is>
      </c>
      <c r="I950" s="23" t="inlineStr">
        <is>
          <t>Source assignment -- not individually reviewed</t>
        </is>
      </c>
      <c r="J950" s="23" t="inlineStr"/>
      <c r="K950" s="23" t="inlineStr">
        <is>
          <t>Source assignment</t>
        </is>
      </c>
      <c r="L950" s="23" t="inlineStr"/>
      <c r="M950" s="23" t="inlineStr">
        <is>
          <t>Cost &amp; Forecast Control Accounts Cycle 2</t>
        </is>
      </c>
      <c r="N950" s="23" t="inlineStr">
        <is>
          <t>Rev 1</t>
        </is>
      </c>
      <c r="O950" s="23" t="inlineStr">
        <is>
          <t>R1337-v2</t>
        </is>
      </c>
      <c r="P950" s="23" t="inlineStr"/>
      <c r="Q950" s="23" t="inlineStr"/>
      <c r="R950" s="23" t="inlineStr"/>
      <c r="S950" s="23" t="inlineStr"/>
      <c r="T950" s="23" t="inlineStr"/>
      <c r="U950" s="23" t="inlineStr"/>
      <c r="V950" s="23" t="inlineStr">
        <is>
          <t>Cost Account = CA-4015; WBS Code = 1.4.1</t>
        </is>
      </c>
      <c r="W950" s="23" t="inlineStr"/>
    </row>
    <row r="951" ht="64" customHeight="1">
      <c r="A951" s="23" t="inlineStr">
        <is>
          <t>1.4.1</t>
        </is>
      </c>
      <c r="B951" s="23" t="inlineStr">
        <is>
          <t>Vehicles and Depot - Fleet Supply</t>
        </is>
      </c>
      <c r="C951" s="23" t="inlineStr">
        <is>
          <t>Cost &amp; Forecast Control Accounts</t>
        </is>
      </c>
      <c r="D951" s="23" t="inlineStr">
        <is>
          <t>CST-04-017</t>
        </is>
      </c>
      <c r="E951" s="23" t="inlineStr">
        <is>
          <t>Vehicles and Depot - workshop equipment - supply and install</t>
        </is>
      </c>
      <c r="F951" s="23" t="inlineStr">
        <is>
          <t>ONE_TO_ONE</t>
        </is>
      </c>
      <c r="G951" s="23" t="inlineStr">
        <is>
          <t>RETAINED</t>
        </is>
      </c>
      <c r="H951" s="23" t="inlineStr">
        <is>
          <t>Carried forward</t>
        </is>
      </c>
      <c r="I951" s="23" t="inlineStr">
        <is>
          <t>Source assignment -- not individually reviewed</t>
        </is>
      </c>
      <c r="J951" s="23" t="inlineStr"/>
      <c r="K951" s="23" t="inlineStr">
        <is>
          <t>Source assignment</t>
        </is>
      </c>
      <c r="L951" s="23" t="inlineStr"/>
      <c r="M951" s="23" t="inlineStr">
        <is>
          <t>Cost &amp; Forecast Control Accounts Cycle 2</t>
        </is>
      </c>
      <c r="N951" s="23" t="inlineStr">
        <is>
          <t>Rev 1</t>
        </is>
      </c>
      <c r="O951" s="23" t="inlineStr">
        <is>
          <t>R1339-v2</t>
        </is>
      </c>
      <c r="P951" s="23" t="inlineStr"/>
      <c r="Q951" s="23" t="inlineStr"/>
      <c r="R951" s="23" t="inlineStr"/>
      <c r="S951" s="23" t="inlineStr"/>
      <c r="T951" s="23" t="inlineStr"/>
      <c r="U951" s="23" t="inlineStr"/>
      <c r="V951" s="23" t="inlineStr">
        <is>
          <t>Cost Account = CA-4017; WBS Code = 1.4.1</t>
        </is>
      </c>
      <c r="W951" s="23" t="inlineStr"/>
    </row>
    <row r="952" ht="64" customHeight="1">
      <c r="A952" s="23" t="inlineStr">
        <is>
          <t>1.4.1</t>
        </is>
      </c>
      <c r="B952" s="23" t="inlineStr">
        <is>
          <t>Vehicles and Depot - Fleet Supply</t>
        </is>
      </c>
      <c r="C952" s="23" t="inlineStr">
        <is>
          <t>Cost &amp; Forecast Control Accounts</t>
        </is>
      </c>
      <c r="D952" s="23" t="inlineStr">
        <is>
          <t>CST-04-019</t>
        </is>
      </c>
      <c r="E952" s="23" t="inlineStr">
        <is>
          <t>Vehicles and Depot - fleet supply - allowance</t>
        </is>
      </c>
      <c r="F952" s="23" t="inlineStr">
        <is>
          <t>ONE_TO_ONE</t>
        </is>
      </c>
      <c r="G952" s="23" t="inlineStr">
        <is>
          <t>RETAINED</t>
        </is>
      </c>
      <c r="H952" s="23" t="inlineStr">
        <is>
          <t>Carried forward</t>
        </is>
      </c>
      <c r="I952" s="23" t="inlineStr">
        <is>
          <t>Source assignment -- not individually reviewed</t>
        </is>
      </c>
      <c r="J952" s="23" t="inlineStr"/>
      <c r="K952" s="23" t="inlineStr">
        <is>
          <t>Source assignment</t>
        </is>
      </c>
      <c r="L952" s="23" t="inlineStr"/>
      <c r="M952" s="23" t="inlineStr">
        <is>
          <t>Cost &amp; Forecast Control Accounts Cycle 2</t>
        </is>
      </c>
      <c r="N952" s="23" t="inlineStr">
        <is>
          <t>Rev 1</t>
        </is>
      </c>
      <c r="O952" s="23" t="inlineStr">
        <is>
          <t>R1341-v2</t>
        </is>
      </c>
      <c r="P952" s="23" t="inlineStr"/>
      <c r="Q952" s="23" t="inlineStr"/>
      <c r="R952" s="23" t="inlineStr"/>
      <c r="S952" s="23" t="inlineStr"/>
      <c r="T952" s="23" t="inlineStr"/>
      <c r="U952" s="23" t="inlineStr"/>
      <c r="V952" s="23" t="inlineStr">
        <is>
          <t>Cost Account = CA-4019; WBS Code = 1.4.1</t>
        </is>
      </c>
      <c r="W952" s="23" t="inlineStr"/>
    </row>
    <row r="953" ht="64" customHeight="1">
      <c r="A953" s="23" t="inlineStr">
        <is>
          <t>1.4.1</t>
        </is>
      </c>
      <c r="B953" s="23" t="inlineStr">
        <is>
          <t>Vehicles and Depot - Fleet Supply</t>
        </is>
      </c>
      <c r="C953" s="23" t="inlineStr">
        <is>
          <t>Cost &amp; Forecast Control Accounts</t>
        </is>
      </c>
      <c r="D953" s="23" t="inlineStr">
        <is>
          <t>CST-04-021</t>
        </is>
      </c>
      <c r="E953" s="23" t="inlineStr">
        <is>
          <t>Vehicles and Depot - spares - field package</t>
        </is>
      </c>
      <c r="F953" s="23" t="inlineStr">
        <is>
          <t>ONE_TO_ONE</t>
        </is>
      </c>
      <c r="G953" s="23" t="inlineStr">
        <is>
          <t>RETAINED</t>
        </is>
      </c>
      <c r="H953" s="23" t="inlineStr">
        <is>
          <t>Carried forward</t>
        </is>
      </c>
      <c r="I953" s="23" t="inlineStr">
        <is>
          <t>Source assignment -- not individually reviewed</t>
        </is>
      </c>
      <c r="J953" s="23" t="inlineStr"/>
      <c r="K953" s="23" t="inlineStr">
        <is>
          <t>Source assignment</t>
        </is>
      </c>
      <c r="L953" s="23" t="inlineStr"/>
      <c r="M953" s="23" t="inlineStr">
        <is>
          <t>Cost &amp; Forecast Control Accounts Cycle 2</t>
        </is>
      </c>
      <c r="N953" s="23" t="inlineStr">
        <is>
          <t>Rev 1</t>
        </is>
      </c>
      <c r="O953" s="23" t="inlineStr">
        <is>
          <t>R1343-v2</t>
        </is>
      </c>
      <c r="P953" s="23" t="inlineStr"/>
      <c r="Q953" s="23" t="inlineStr"/>
      <c r="R953" s="23" t="inlineStr"/>
      <c r="S953" s="23" t="inlineStr"/>
      <c r="T953" s="23" t="inlineStr"/>
      <c r="U953" s="23" t="inlineStr"/>
      <c r="V953" s="23" t="inlineStr">
        <is>
          <t>Cost Account = CA-4021; WBS Code = 1.4.1</t>
        </is>
      </c>
      <c r="W953" s="23" t="inlineStr"/>
    </row>
    <row r="954" ht="64" customHeight="1">
      <c r="A954" s="23" t="inlineStr">
        <is>
          <t>1.4.1</t>
        </is>
      </c>
      <c r="B954" s="23" t="inlineStr">
        <is>
          <t>Vehicles and Depot - Fleet Supply</t>
        </is>
      </c>
      <c r="C954" s="23" t="inlineStr">
        <is>
          <t>Cost &amp; Forecast Control Accounts</t>
        </is>
      </c>
      <c r="D954" s="23" t="inlineStr">
        <is>
          <t>CST-04-023</t>
        </is>
      </c>
      <c r="E954" s="23" t="inlineStr">
        <is>
          <t>Vehicles and Depot - workshop equipment - professional services</t>
        </is>
      </c>
      <c r="F954" s="23" t="inlineStr">
        <is>
          <t>ONE_TO_ONE</t>
        </is>
      </c>
      <c r="G954" s="23" t="inlineStr">
        <is>
          <t>RETAINED</t>
        </is>
      </c>
      <c r="H954" s="23" t="inlineStr">
        <is>
          <t>Carried forward</t>
        </is>
      </c>
      <c r="I954" s="23" t="inlineStr">
        <is>
          <t>Source assignment -- not individually reviewed</t>
        </is>
      </c>
      <c r="J954" s="23" t="inlineStr"/>
      <c r="K954" s="23" t="inlineStr">
        <is>
          <t>Source assignment</t>
        </is>
      </c>
      <c r="L954" s="23" t="inlineStr"/>
      <c r="M954" s="23" t="inlineStr">
        <is>
          <t>Cost &amp; Forecast Control Accounts Cycle 2</t>
        </is>
      </c>
      <c r="N954" s="23" t="inlineStr">
        <is>
          <t>Rev 1</t>
        </is>
      </c>
      <c r="O954" s="23" t="inlineStr">
        <is>
          <t>R1345-v2</t>
        </is>
      </c>
      <c r="P954" s="23" t="inlineStr"/>
      <c r="Q954" s="23" t="inlineStr"/>
      <c r="R954" s="23" t="inlineStr"/>
      <c r="S954" s="23" t="inlineStr"/>
      <c r="T954" s="23" t="inlineStr"/>
      <c r="U954" s="23" t="inlineStr"/>
      <c r="V954" s="23" t="inlineStr">
        <is>
          <t>Cost Account = CA-4023; WBS Code = 1.4.1</t>
        </is>
      </c>
      <c r="W954" s="23" t="inlineStr"/>
    </row>
    <row r="955" ht="64" customHeight="1">
      <c r="A955" s="23" t="inlineStr">
        <is>
          <t>1.4.1</t>
        </is>
      </c>
      <c r="B955" s="23" t="inlineStr">
        <is>
          <t>Vehicles and Depot - Fleet Supply</t>
        </is>
      </c>
      <c r="C955" s="23" t="inlineStr">
        <is>
          <t>Cost &amp; Forecast Control Accounts</t>
        </is>
      </c>
      <c r="D955" s="23" t="inlineStr">
        <is>
          <t>CST-04-025</t>
        </is>
      </c>
      <c r="E955" s="23" t="inlineStr">
        <is>
          <t>Vehicles and Depot - fleet supply - closeout</t>
        </is>
      </c>
      <c r="F955" s="23" t="inlineStr">
        <is>
          <t>ONE_TO_ONE</t>
        </is>
      </c>
      <c r="G955" s="23" t="inlineStr">
        <is>
          <t>RETAINED</t>
        </is>
      </c>
      <c r="H955" s="23" t="inlineStr">
        <is>
          <t>Carried forward</t>
        </is>
      </c>
      <c r="I955" s="23" t="inlineStr">
        <is>
          <t>Source assignment -- not individually reviewed</t>
        </is>
      </c>
      <c r="J955" s="23" t="inlineStr"/>
      <c r="K955" s="23" t="inlineStr">
        <is>
          <t>Source assignment</t>
        </is>
      </c>
      <c r="L955" s="23" t="inlineStr"/>
      <c r="M955" s="23" t="inlineStr">
        <is>
          <t>Cost &amp; Forecast Control Accounts Cycle 2</t>
        </is>
      </c>
      <c r="N955" s="23" t="inlineStr">
        <is>
          <t>Rev 1</t>
        </is>
      </c>
      <c r="O955" s="23" t="inlineStr">
        <is>
          <t>R1347-v2</t>
        </is>
      </c>
      <c r="P955" s="23" t="inlineStr"/>
      <c r="Q955" s="23" t="inlineStr"/>
      <c r="R955" s="23" t="inlineStr"/>
      <c r="S955" s="23" t="inlineStr"/>
      <c r="T955" s="23" t="inlineStr"/>
      <c r="U955" s="23" t="inlineStr"/>
      <c r="V955" s="23" t="inlineStr">
        <is>
          <t>Cost Account = CA-4025; WBS Code = 1.4.1</t>
        </is>
      </c>
      <c r="W955" s="23" t="inlineStr"/>
    </row>
    <row r="956" ht="64" customHeight="1">
      <c r="A956" s="23" t="inlineStr">
        <is>
          <t>1.4.1</t>
        </is>
      </c>
      <c r="B956" s="23" t="inlineStr">
        <is>
          <t>Vehicles and Depot - Fleet Supply</t>
        </is>
      </c>
      <c r="C956" s="23" t="inlineStr">
        <is>
          <t>Cost &amp; Forecast Control Accounts</t>
        </is>
      </c>
      <c r="D956" s="23" t="inlineStr">
        <is>
          <t>CST-04-027</t>
        </is>
      </c>
      <c r="E956" s="23" t="inlineStr">
        <is>
          <t>Vehicles and Depot - spares - supply and install</t>
        </is>
      </c>
      <c r="F956" s="23" t="inlineStr">
        <is>
          <t>ONE_TO_ONE</t>
        </is>
      </c>
      <c r="G956" s="23" t="inlineStr">
        <is>
          <t>RETAINED</t>
        </is>
      </c>
      <c r="H956" s="23" t="inlineStr">
        <is>
          <t>Carried forward</t>
        </is>
      </c>
      <c r="I956" s="23" t="inlineStr">
        <is>
          <t>Source assignment -- not individually reviewed</t>
        </is>
      </c>
      <c r="J956" s="23" t="inlineStr"/>
      <c r="K956" s="23" t="inlineStr">
        <is>
          <t>Source assignment</t>
        </is>
      </c>
      <c r="L956" s="23" t="inlineStr"/>
      <c r="M956" s="23" t="inlineStr">
        <is>
          <t>Cost &amp; Forecast Control Accounts Cycle 2</t>
        </is>
      </c>
      <c r="N956" s="23" t="inlineStr">
        <is>
          <t>Rev 1</t>
        </is>
      </c>
      <c r="O956" s="23" t="inlineStr">
        <is>
          <t>R1349-v2</t>
        </is>
      </c>
      <c r="P956" s="23" t="inlineStr"/>
      <c r="Q956" s="23" t="inlineStr"/>
      <c r="R956" s="23" t="inlineStr"/>
      <c r="S956" s="23" t="inlineStr"/>
      <c r="T956" s="23" t="inlineStr"/>
      <c r="U956" s="23" t="inlineStr"/>
      <c r="V956" s="23" t="inlineStr">
        <is>
          <t>Cost Account = CA-4027; WBS Code = 1.4.1</t>
        </is>
      </c>
      <c r="W956" s="23" t="inlineStr"/>
    </row>
    <row r="957" ht="64" customHeight="1">
      <c r="A957" s="23" t="inlineStr">
        <is>
          <t>1.4.1</t>
        </is>
      </c>
      <c r="B957" s="23" t="inlineStr">
        <is>
          <t>Vehicles and Depot - Fleet Supply</t>
        </is>
      </c>
      <c r="C957" s="23" t="inlineStr">
        <is>
          <t>Cost &amp; Forecast Control Accounts</t>
        </is>
      </c>
      <c r="D957" s="23" t="inlineStr">
        <is>
          <t>CST-04-029</t>
        </is>
      </c>
      <c r="E957" s="23" t="inlineStr">
        <is>
          <t>Vehicles and Depot - workshop equipment - allowance</t>
        </is>
      </c>
      <c r="F957" s="23" t="inlineStr">
        <is>
          <t>ONE_TO_ONE</t>
        </is>
      </c>
      <c r="G957" s="23" t="inlineStr">
        <is>
          <t>RETAINED</t>
        </is>
      </c>
      <c r="H957" s="23" t="inlineStr">
        <is>
          <t>Carried forward</t>
        </is>
      </c>
      <c r="I957" s="23" t="inlineStr">
        <is>
          <t>Source assignment -- not individually reviewed</t>
        </is>
      </c>
      <c r="J957" s="23" t="inlineStr"/>
      <c r="K957" s="23" t="inlineStr">
        <is>
          <t>Source assignment</t>
        </is>
      </c>
      <c r="L957" s="23" t="inlineStr"/>
      <c r="M957" s="23" t="inlineStr">
        <is>
          <t>Cost &amp; Forecast Control Accounts Cycle 2</t>
        </is>
      </c>
      <c r="N957" s="23" t="inlineStr">
        <is>
          <t>Rev 1</t>
        </is>
      </c>
      <c r="O957" s="23" t="inlineStr">
        <is>
          <t>R1351-v2</t>
        </is>
      </c>
      <c r="P957" s="23" t="inlineStr"/>
      <c r="Q957" s="23" t="inlineStr"/>
      <c r="R957" s="23" t="inlineStr"/>
      <c r="S957" s="23" t="inlineStr"/>
      <c r="T957" s="23" t="inlineStr"/>
      <c r="U957" s="23" t="inlineStr"/>
      <c r="V957" s="23" t="inlineStr">
        <is>
          <t>Cost Account = CA-4029; WBS Code = 1.4.1</t>
        </is>
      </c>
      <c r="W957" s="23" t="inlineStr"/>
    </row>
    <row r="958" ht="64" customHeight="1">
      <c r="A958" s="23" t="inlineStr">
        <is>
          <t>1.4.1</t>
        </is>
      </c>
      <c r="B958" s="23" t="inlineStr">
        <is>
          <t>Vehicles and Depot - Fleet Supply</t>
        </is>
      </c>
      <c r="C958" s="23" t="inlineStr">
        <is>
          <t>Cost &amp; Forecast Control Accounts</t>
        </is>
      </c>
      <c r="D958" s="23" t="inlineStr">
        <is>
          <t>CST-04-031</t>
        </is>
      </c>
      <c r="E958" s="23" t="inlineStr">
        <is>
          <t>Vehicles and Depot - fleet supply - field package</t>
        </is>
      </c>
      <c r="F958" s="23" t="inlineStr">
        <is>
          <t>ONE_TO_ONE</t>
        </is>
      </c>
      <c r="G958" s="23" t="inlineStr">
        <is>
          <t>RETAINED</t>
        </is>
      </c>
      <c r="H958" s="23" t="inlineStr">
        <is>
          <t>Carried forward</t>
        </is>
      </c>
      <c r="I958" s="23" t="inlineStr">
        <is>
          <t>Source assignment -- not individually reviewed</t>
        </is>
      </c>
      <c r="J958" s="23" t="inlineStr"/>
      <c r="K958" s="23" t="inlineStr">
        <is>
          <t>Source assignment</t>
        </is>
      </c>
      <c r="L958" s="23" t="inlineStr"/>
      <c r="M958" s="23" t="inlineStr">
        <is>
          <t>Cost &amp; Forecast Control Accounts Cycle 2</t>
        </is>
      </c>
      <c r="N958" s="23" t="inlineStr">
        <is>
          <t>Rev 1</t>
        </is>
      </c>
      <c r="O958" s="23" t="inlineStr">
        <is>
          <t>R1353-v2</t>
        </is>
      </c>
      <c r="P958" s="23" t="inlineStr"/>
      <c r="Q958" s="23" t="inlineStr"/>
      <c r="R958" s="23" t="inlineStr"/>
      <c r="S958" s="23" t="inlineStr"/>
      <c r="T958" s="23" t="inlineStr"/>
      <c r="U958" s="23" t="inlineStr"/>
      <c r="V958" s="23" t="inlineStr">
        <is>
          <t>Cost Account = CA-4031; WBS Code = 1.4.1</t>
        </is>
      </c>
      <c r="W958" s="23" t="inlineStr"/>
    </row>
    <row r="959" ht="64" customHeight="1">
      <c r="A959" s="23" t="inlineStr">
        <is>
          <t>1.4.1</t>
        </is>
      </c>
      <c r="B959" s="23" t="inlineStr">
        <is>
          <t>Vehicles and Depot - Fleet Supply</t>
        </is>
      </c>
      <c r="C959" s="23" t="inlineStr">
        <is>
          <t>Cost &amp; Forecast Control Accounts</t>
        </is>
      </c>
      <c r="D959" s="23" t="inlineStr">
        <is>
          <t>CST-04-033</t>
        </is>
      </c>
      <c r="E959" s="23" t="inlineStr">
        <is>
          <t>Vehicles and Depot - spares - professional services</t>
        </is>
      </c>
      <c r="F959" s="23" t="inlineStr">
        <is>
          <t>ONE_TO_ONE</t>
        </is>
      </c>
      <c r="G959" s="23" t="inlineStr">
        <is>
          <t>RETAINED</t>
        </is>
      </c>
      <c r="H959" s="23" t="inlineStr">
        <is>
          <t>Carried forward</t>
        </is>
      </c>
      <c r="I959" s="23" t="inlineStr">
        <is>
          <t>Source assignment -- not individually reviewed</t>
        </is>
      </c>
      <c r="J959" s="23" t="inlineStr"/>
      <c r="K959" s="23" t="inlineStr">
        <is>
          <t>Source assignment</t>
        </is>
      </c>
      <c r="L959" s="23" t="inlineStr"/>
      <c r="M959" s="23" t="inlineStr">
        <is>
          <t>Cost &amp; Forecast Control Accounts Cycle 2</t>
        </is>
      </c>
      <c r="N959" s="23" t="inlineStr">
        <is>
          <t>Rev 1</t>
        </is>
      </c>
      <c r="O959" s="23" t="inlineStr">
        <is>
          <t>R1355-v2</t>
        </is>
      </c>
      <c r="P959" s="23" t="inlineStr"/>
      <c r="Q959" s="23" t="inlineStr"/>
      <c r="R959" s="23" t="inlineStr"/>
      <c r="S959" s="23" t="inlineStr"/>
      <c r="T959" s="23" t="inlineStr"/>
      <c r="U959" s="23" t="inlineStr"/>
      <c r="V959" s="23" t="inlineStr">
        <is>
          <t>Cost Account = CA-4033; WBS Code = 1.4.1</t>
        </is>
      </c>
      <c r="W959" s="23" t="inlineStr"/>
    </row>
    <row r="960" ht="64" customHeight="1">
      <c r="A960" s="23" t="inlineStr">
        <is>
          <t>1.4.1</t>
        </is>
      </c>
      <c r="B960" s="23" t="inlineStr">
        <is>
          <t>Vehicles and Depot - Fleet Supply</t>
        </is>
      </c>
      <c r="C960" s="23" t="inlineStr">
        <is>
          <t>Cost &amp; Forecast Control Accounts</t>
        </is>
      </c>
      <c r="D960" s="23" t="inlineStr">
        <is>
          <t>CST-04-035</t>
        </is>
      </c>
      <c r="E960" s="23" t="inlineStr">
        <is>
          <t>Vehicles and Depot - workshop equipment - closeout</t>
        </is>
      </c>
      <c r="F960" s="23" t="inlineStr">
        <is>
          <t>ONE_TO_ONE</t>
        </is>
      </c>
      <c r="G960" s="23" t="inlineStr">
        <is>
          <t>RETAINED</t>
        </is>
      </c>
      <c r="H960" s="23" t="inlineStr">
        <is>
          <t>Carried forward</t>
        </is>
      </c>
      <c r="I960" s="23" t="inlineStr">
        <is>
          <t>Source assignment -- not individually reviewed</t>
        </is>
      </c>
      <c r="J960" s="23" t="inlineStr"/>
      <c r="K960" s="23" t="inlineStr">
        <is>
          <t>Source assignment</t>
        </is>
      </c>
      <c r="L960" s="23" t="inlineStr"/>
      <c r="M960" s="23" t="inlineStr">
        <is>
          <t>Cost &amp; Forecast Control Accounts Cycle 2</t>
        </is>
      </c>
      <c r="N960" s="23" t="inlineStr">
        <is>
          <t>Rev 1</t>
        </is>
      </c>
      <c r="O960" s="23" t="inlineStr">
        <is>
          <t>R1357-v2</t>
        </is>
      </c>
      <c r="P960" s="23" t="inlineStr"/>
      <c r="Q960" s="23" t="inlineStr"/>
      <c r="R960" s="23" t="inlineStr"/>
      <c r="S960" s="23" t="inlineStr"/>
      <c r="T960" s="23" t="inlineStr"/>
      <c r="U960" s="23" t="inlineStr"/>
      <c r="V960" s="23" t="inlineStr">
        <is>
          <t>Cost Account = CA-4035; WBS Code = 1.4.1</t>
        </is>
      </c>
      <c r="W960" s="23" t="inlineStr"/>
    </row>
    <row r="961" ht="64" customHeight="1">
      <c r="A961" s="23" t="inlineStr">
        <is>
          <t>1.4.1</t>
        </is>
      </c>
      <c r="B961" s="23" t="inlineStr">
        <is>
          <t>Vehicles and Depot - Fleet Supply</t>
        </is>
      </c>
      <c r="C961" s="23" t="inlineStr">
        <is>
          <t>Cost &amp; Forecast Control Accounts</t>
        </is>
      </c>
      <c r="D961" s="23" t="inlineStr">
        <is>
          <t>CST-04-037</t>
        </is>
      </c>
      <c r="E961" s="23" t="inlineStr">
        <is>
          <t>Vehicles and Depot - fleet supply - supply and install</t>
        </is>
      </c>
      <c r="F961" s="23" t="inlineStr">
        <is>
          <t>ONE_TO_ONE</t>
        </is>
      </c>
      <c r="G961" s="23" t="inlineStr">
        <is>
          <t>RETAINED</t>
        </is>
      </c>
      <c r="H961" s="23" t="inlineStr">
        <is>
          <t>Carried forward</t>
        </is>
      </c>
      <c r="I961" s="23" t="inlineStr">
        <is>
          <t>Source assignment -- not individually reviewed</t>
        </is>
      </c>
      <c r="J961" s="23" t="inlineStr"/>
      <c r="K961" s="23" t="inlineStr">
        <is>
          <t>Source assignment</t>
        </is>
      </c>
      <c r="L961" s="23" t="inlineStr"/>
      <c r="M961" s="23" t="inlineStr">
        <is>
          <t>Cost &amp; Forecast Control Accounts Cycle 2</t>
        </is>
      </c>
      <c r="N961" s="23" t="inlineStr">
        <is>
          <t>Rev 1</t>
        </is>
      </c>
      <c r="O961" s="23" t="inlineStr">
        <is>
          <t>R1359-v2</t>
        </is>
      </c>
      <c r="P961" s="23" t="inlineStr"/>
      <c r="Q961" s="23" t="inlineStr"/>
      <c r="R961" s="23" t="inlineStr"/>
      <c r="S961" s="23" t="inlineStr"/>
      <c r="T961" s="23" t="inlineStr"/>
      <c r="U961" s="23" t="inlineStr"/>
      <c r="V961" s="23" t="inlineStr">
        <is>
          <t>Cost Account = CA-4037; WBS Code = 1.4.1</t>
        </is>
      </c>
      <c r="W961" s="23" t="inlineStr"/>
    </row>
    <row r="962" ht="64" customHeight="1">
      <c r="A962" s="23" t="inlineStr">
        <is>
          <t>1.4.1</t>
        </is>
      </c>
      <c r="B962" s="23" t="inlineStr">
        <is>
          <t>Vehicles and Depot - Fleet Supply</t>
        </is>
      </c>
      <c r="C962" s="23" t="inlineStr">
        <is>
          <t>Cost &amp; Forecast Control Accounts</t>
        </is>
      </c>
      <c r="D962" s="23" t="inlineStr">
        <is>
          <t>CST-04-039</t>
        </is>
      </c>
      <c r="E962" s="23" t="inlineStr">
        <is>
          <t>Vehicles and Depot - spares - allowance</t>
        </is>
      </c>
      <c r="F962" s="23" t="inlineStr">
        <is>
          <t>ONE_TO_ONE</t>
        </is>
      </c>
      <c r="G962" s="23" t="inlineStr">
        <is>
          <t>RETAINED</t>
        </is>
      </c>
      <c r="H962" s="23" t="inlineStr">
        <is>
          <t>Carried forward</t>
        </is>
      </c>
      <c r="I962" s="23" t="inlineStr">
        <is>
          <t>Source assignment -- not individually reviewed</t>
        </is>
      </c>
      <c r="J962" s="23" t="inlineStr"/>
      <c r="K962" s="23" t="inlineStr">
        <is>
          <t>Source assignment</t>
        </is>
      </c>
      <c r="L962" s="23" t="inlineStr"/>
      <c r="M962" s="23" t="inlineStr">
        <is>
          <t>Cost &amp; Forecast Control Accounts Cycle 2</t>
        </is>
      </c>
      <c r="N962" s="23" t="inlineStr">
        <is>
          <t>Rev 1</t>
        </is>
      </c>
      <c r="O962" s="23" t="inlineStr">
        <is>
          <t>R1361-v2</t>
        </is>
      </c>
      <c r="P962" s="23" t="inlineStr"/>
      <c r="Q962" s="23" t="inlineStr"/>
      <c r="R962" s="23" t="inlineStr"/>
      <c r="S962" s="23" t="inlineStr"/>
      <c r="T962" s="23" t="inlineStr"/>
      <c r="U962" s="23" t="inlineStr"/>
      <c r="V962" s="23" t="inlineStr">
        <is>
          <t>Cost Account = CA-4039; WBS Code = 1.4.1</t>
        </is>
      </c>
      <c r="W962" s="23" t="inlineStr"/>
    </row>
    <row r="963" ht="64" customHeight="1">
      <c r="A963" s="23" t="inlineStr">
        <is>
          <t>1.4.1</t>
        </is>
      </c>
      <c r="B963" s="23" t="inlineStr">
        <is>
          <t>Vehicles and Depot - Fleet Supply</t>
        </is>
      </c>
      <c r="C963" s="23" t="inlineStr">
        <is>
          <t>Cost &amp; Forecast Control Accounts</t>
        </is>
      </c>
      <c r="D963" s="23" t="inlineStr">
        <is>
          <t>CST-04-041</t>
        </is>
      </c>
      <c r="E963" s="23" t="inlineStr">
        <is>
          <t>Vehicles and Depot - workshop equipment - field package</t>
        </is>
      </c>
      <c r="F963" s="23" t="inlineStr">
        <is>
          <t>ONE_TO_ONE</t>
        </is>
      </c>
      <c r="G963" s="23" t="inlineStr">
        <is>
          <t>RETAINED</t>
        </is>
      </c>
      <c r="H963" s="23" t="inlineStr">
        <is>
          <t>Carried forward</t>
        </is>
      </c>
      <c r="I963" s="23" t="inlineStr">
        <is>
          <t>Source assignment -- not individually reviewed</t>
        </is>
      </c>
      <c r="J963" s="23" t="inlineStr"/>
      <c r="K963" s="23" t="inlineStr">
        <is>
          <t>Source assignment</t>
        </is>
      </c>
      <c r="L963" s="23" t="inlineStr"/>
      <c r="M963" s="23" t="inlineStr">
        <is>
          <t>Cost &amp; Forecast Control Accounts Cycle 2</t>
        </is>
      </c>
      <c r="N963" s="23" t="inlineStr">
        <is>
          <t>Rev 1</t>
        </is>
      </c>
      <c r="O963" s="23" t="inlineStr">
        <is>
          <t>R1363-v2</t>
        </is>
      </c>
      <c r="P963" s="23" t="inlineStr"/>
      <c r="Q963" s="23" t="inlineStr"/>
      <c r="R963" s="23" t="inlineStr"/>
      <c r="S963" s="23" t="inlineStr"/>
      <c r="T963" s="23" t="inlineStr"/>
      <c r="U963" s="23" t="inlineStr"/>
      <c r="V963" s="23" t="inlineStr">
        <is>
          <t>Cost Account = CA-4041; WBS Code = 1.4.1</t>
        </is>
      </c>
      <c r="W963" s="23" t="inlineStr"/>
    </row>
    <row r="964" ht="64" customHeight="1">
      <c r="A964" s="23" t="inlineStr">
        <is>
          <t>1.4.1</t>
        </is>
      </c>
      <c r="B964" s="23" t="inlineStr">
        <is>
          <t>Vehicles and Depot - Fleet Supply</t>
        </is>
      </c>
      <c r="C964" s="23" t="inlineStr">
        <is>
          <t>Cost &amp; Forecast Control Accounts</t>
        </is>
      </c>
      <c r="D964" s="23" t="inlineStr">
        <is>
          <t>CST-04-043</t>
        </is>
      </c>
      <c r="E964" s="23" t="inlineStr">
        <is>
          <t>Vehicles and Depot - fleet supply - professional services</t>
        </is>
      </c>
      <c r="F964" s="23" t="inlineStr">
        <is>
          <t>ONE_TO_ONE</t>
        </is>
      </c>
      <c r="G964" s="23" t="inlineStr">
        <is>
          <t>RETAINED</t>
        </is>
      </c>
      <c r="H964" s="23" t="inlineStr">
        <is>
          <t>Carried forward</t>
        </is>
      </c>
      <c r="I964" s="23" t="inlineStr">
        <is>
          <t>Source assignment -- not individually reviewed</t>
        </is>
      </c>
      <c r="J964" s="23" t="inlineStr"/>
      <c r="K964" s="23" t="inlineStr">
        <is>
          <t>Source assignment</t>
        </is>
      </c>
      <c r="L964" s="23" t="inlineStr"/>
      <c r="M964" s="23" t="inlineStr">
        <is>
          <t>Cost &amp; Forecast Control Accounts Cycle 2</t>
        </is>
      </c>
      <c r="N964" s="23" t="inlineStr">
        <is>
          <t>Rev 1</t>
        </is>
      </c>
      <c r="O964" s="23" t="inlineStr">
        <is>
          <t>R1365-v2</t>
        </is>
      </c>
      <c r="P964" s="23" t="inlineStr"/>
      <c r="Q964" s="23" t="inlineStr"/>
      <c r="R964" s="23" t="inlineStr"/>
      <c r="S964" s="23" t="inlineStr"/>
      <c r="T964" s="23" t="inlineStr"/>
      <c r="U964" s="23" t="inlineStr"/>
      <c r="V964" s="23" t="inlineStr">
        <is>
          <t>Cost Account = CA-4043; WBS Code = 1.4.1</t>
        </is>
      </c>
      <c r="W964" s="23" t="inlineStr"/>
    </row>
    <row r="965" ht="64" customHeight="1">
      <c r="A965" s="23" t="inlineStr">
        <is>
          <t>1.4.1</t>
        </is>
      </c>
      <c r="B965" s="23" t="inlineStr">
        <is>
          <t>Vehicles and Depot - Fleet Supply</t>
        </is>
      </c>
      <c r="C965" s="23" t="inlineStr">
        <is>
          <t>Cost &amp; Forecast Control Accounts</t>
        </is>
      </c>
      <c r="D965" s="23" t="inlineStr">
        <is>
          <t>CST-04-045</t>
        </is>
      </c>
      <c r="E965" s="23" t="inlineStr">
        <is>
          <t>Vehicles and Depot - spares - closeout</t>
        </is>
      </c>
      <c r="F965" s="23" t="inlineStr">
        <is>
          <t>ONE_TO_ONE</t>
        </is>
      </c>
      <c r="G965" s="23" t="inlineStr">
        <is>
          <t>RETAINED</t>
        </is>
      </c>
      <c r="H965" s="23" t="inlineStr">
        <is>
          <t>Carried forward</t>
        </is>
      </c>
      <c r="I965" s="23" t="inlineStr">
        <is>
          <t>Source assignment -- not individually reviewed</t>
        </is>
      </c>
      <c r="J965" s="23" t="inlineStr"/>
      <c r="K965" s="23" t="inlineStr">
        <is>
          <t>Source assignment</t>
        </is>
      </c>
      <c r="L965" s="23" t="inlineStr"/>
      <c r="M965" s="23" t="inlineStr">
        <is>
          <t>Cost &amp; Forecast Control Accounts Cycle 2</t>
        </is>
      </c>
      <c r="N965" s="23" t="inlineStr">
        <is>
          <t>Rev 1</t>
        </is>
      </c>
      <c r="O965" s="23" t="inlineStr">
        <is>
          <t>R1367-v2</t>
        </is>
      </c>
      <c r="P965" s="23" t="inlineStr"/>
      <c r="Q965" s="23" t="inlineStr"/>
      <c r="R965" s="23" t="inlineStr"/>
      <c r="S965" s="23" t="inlineStr"/>
      <c r="T965" s="23" t="inlineStr"/>
      <c r="U965" s="23" t="inlineStr"/>
      <c r="V965" s="23" t="inlineStr">
        <is>
          <t>Cost Account = CA-4045; WBS Code = 1.4.1</t>
        </is>
      </c>
      <c r="W965" s="23" t="inlineStr"/>
    </row>
    <row r="966" ht="64" customHeight="1">
      <c r="A966" s="23" t="inlineStr">
        <is>
          <t>1.4.1</t>
        </is>
      </c>
      <c r="B966" s="23" t="inlineStr">
        <is>
          <t>Vehicles and Depot - Fleet Supply</t>
        </is>
      </c>
      <c r="C966" s="23" t="inlineStr">
        <is>
          <t>Cost &amp; Forecast Control Accounts</t>
        </is>
      </c>
      <c r="D966" s="23" t="inlineStr">
        <is>
          <t>CST-04-047</t>
        </is>
      </c>
      <c r="E966" s="23" t="inlineStr">
        <is>
          <t>Vehicles and Depot - workshop equipment - supply and install</t>
        </is>
      </c>
      <c r="F966" s="23" t="inlineStr">
        <is>
          <t>ONE_TO_ONE</t>
        </is>
      </c>
      <c r="G966" s="23" t="inlineStr">
        <is>
          <t>RETAINED</t>
        </is>
      </c>
      <c r="H966" s="23" t="inlineStr">
        <is>
          <t>Carried forward</t>
        </is>
      </c>
      <c r="I966" s="23" t="inlineStr">
        <is>
          <t>Source assignment -- not individually reviewed</t>
        </is>
      </c>
      <c r="J966" s="23" t="inlineStr"/>
      <c r="K966" s="23" t="inlineStr">
        <is>
          <t>Source assignment</t>
        </is>
      </c>
      <c r="L966" s="23" t="inlineStr"/>
      <c r="M966" s="23" t="inlineStr">
        <is>
          <t>Cost &amp; Forecast Control Accounts Cycle 2</t>
        </is>
      </c>
      <c r="N966" s="23" t="inlineStr">
        <is>
          <t>Rev 1</t>
        </is>
      </c>
      <c r="O966" s="23" t="inlineStr">
        <is>
          <t>R1369-v2</t>
        </is>
      </c>
      <c r="P966" s="23" t="inlineStr"/>
      <c r="Q966" s="23" t="inlineStr"/>
      <c r="R966" s="23" t="inlineStr"/>
      <c r="S966" s="23" t="inlineStr"/>
      <c r="T966" s="23" t="inlineStr"/>
      <c r="U966" s="23" t="inlineStr"/>
      <c r="V966" s="23" t="inlineStr">
        <is>
          <t>Cost Account = CA-4047; WBS Code = 1.4.1</t>
        </is>
      </c>
      <c r="W966" s="23" t="inlineStr"/>
    </row>
    <row r="967" ht="64" customHeight="1">
      <c r="A967" s="23" t="inlineStr">
        <is>
          <t>1.4.1</t>
        </is>
      </c>
      <c r="B967" s="23" t="inlineStr">
        <is>
          <t>Vehicles and Depot - Fleet Supply</t>
        </is>
      </c>
      <c r="C967" s="23" t="inlineStr">
        <is>
          <t>Cost &amp; Forecast Control Accounts</t>
        </is>
      </c>
      <c r="D967" s="23" t="inlineStr">
        <is>
          <t>CST-04-049</t>
        </is>
      </c>
      <c r="E967" s="23" t="inlineStr">
        <is>
          <t>Vehicles and Depot - fleet supply - allowance</t>
        </is>
      </c>
      <c r="F967" s="23" t="inlineStr">
        <is>
          <t>ONE_TO_ONE</t>
        </is>
      </c>
      <c r="G967" s="23" t="inlineStr">
        <is>
          <t>RETAINED</t>
        </is>
      </c>
      <c r="H967" s="23" t="inlineStr">
        <is>
          <t>Carried forward</t>
        </is>
      </c>
      <c r="I967" s="23" t="inlineStr">
        <is>
          <t>Source assignment -- not individually reviewed</t>
        </is>
      </c>
      <c r="J967" s="23" t="inlineStr"/>
      <c r="K967" s="23" t="inlineStr">
        <is>
          <t>Source assignment</t>
        </is>
      </c>
      <c r="L967" s="23" t="inlineStr"/>
      <c r="M967" s="23" t="inlineStr">
        <is>
          <t>Cost &amp; Forecast Control Accounts Cycle 2</t>
        </is>
      </c>
      <c r="N967" s="23" t="inlineStr">
        <is>
          <t>Rev 1</t>
        </is>
      </c>
      <c r="O967" s="23" t="inlineStr">
        <is>
          <t>R1371-v2</t>
        </is>
      </c>
      <c r="P967" s="23" t="inlineStr"/>
      <c r="Q967" s="23" t="inlineStr"/>
      <c r="R967" s="23" t="inlineStr"/>
      <c r="S967" s="23" t="inlineStr"/>
      <c r="T967" s="23" t="inlineStr"/>
      <c r="U967" s="23" t="inlineStr"/>
      <c r="V967" s="23" t="inlineStr">
        <is>
          <t>Cost Account = CA-4049; WBS Code = 1.4.1</t>
        </is>
      </c>
      <c r="W967" s="23" t="inlineStr"/>
    </row>
    <row r="968" ht="64" customHeight="1">
      <c r="A968" s="23" t="inlineStr">
        <is>
          <t>1.4.1</t>
        </is>
      </c>
      <c r="B968" s="23" t="inlineStr">
        <is>
          <t>Vehicles and Depot - Fleet Supply</t>
        </is>
      </c>
      <c r="C968" s="23" t="inlineStr">
        <is>
          <t>Cost &amp; Forecast Control Accounts</t>
        </is>
      </c>
      <c r="D968" s="23" t="inlineStr">
        <is>
          <t>CST-04-051</t>
        </is>
      </c>
      <c r="E968" s="23" t="inlineStr">
        <is>
          <t>Vehicles and Depot - spares - field package</t>
        </is>
      </c>
      <c r="F968" s="23" t="inlineStr">
        <is>
          <t>ONE_TO_ONE</t>
        </is>
      </c>
      <c r="G968" s="23" t="inlineStr">
        <is>
          <t>RETAINED</t>
        </is>
      </c>
      <c r="H968" s="23" t="inlineStr">
        <is>
          <t>Carried forward</t>
        </is>
      </c>
      <c r="I968" s="23" t="inlineStr">
        <is>
          <t>Source assignment -- not individually reviewed</t>
        </is>
      </c>
      <c r="J968" s="23" t="inlineStr"/>
      <c r="K968" s="23" t="inlineStr">
        <is>
          <t>Source assignment</t>
        </is>
      </c>
      <c r="L968" s="23" t="inlineStr"/>
      <c r="M968" s="23" t="inlineStr">
        <is>
          <t>Cost &amp; Forecast Control Accounts Cycle 2</t>
        </is>
      </c>
      <c r="N968" s="23" t="inlineStr">
        <is>
          <t>Rev 1</t>
        </is>
      </c>
      <c r="O968" s="23" t="inlineStr">
        <is>
          <t>R1373-v2</t>
        </is>
      </c>
      <c r="P968" s="23" t="inlineStr"/>
      <c r="Q968" s="23" t="inlineStr"/>
      <c r="R968" s="23" t="inlineStr"/>
      <c r="S968" s="23" t="inlineStr"/>
      <c r="T968" s="23" t="inlineStr"/>
      <c r="U968" s="23" t="inlineStr"/>
      <c r="V968" s="23" t="inlineStr">
        <is>
          <t>Cost Account = CA-4051; WBS Code = 1.4.1</t>
        </is>
      </c>
      <c r="W968" s="23" t="inlineStr"/>
    </row>
    <row r="969" ht="64" customHeight="1">
      <c r="A969" s="23" t="inlineStr">
        <is>
          <t>1.4.1</t>
        </is>
      </c>
      <c r="B969" s="23" t="inlineStr">
        <is>
          <t>Vehicles and Depot - Fleet Supply</t>
        </is>
      </c>
      <c r="C969" s="23" t="inlineStr">
        <is>
          <t>Cost &amp; Forecast Control Accounts</t>
        </is>
      </c>
      <c r="D969" s="23" t="inlineStr">
        <is>
          <t>CST-04-053</t>
        </is>
      </c>
      <c r="E969" s="23" t="inlineStr">
        <is>
          <t>Vehicles and Depot - workshop equipment - professional services</t>
        </is>
      </c>
      <c r="F969" s="23" t="inlineStr">
        <is>
          <t>ONE_TO_ONE</t>
        </is>
      </c>
      <c r="G969" s="23" t="inlineStr">
        <is>
          <t>RETAINED</t>
        </is>
      </c>
      <c r="H969" s="23" t="inlineStr">
        <is>
          <t>Carried forward</t>
        </is>
      </c>
      <c r="I969" s="23" t="inlineStr">
        <is>
          <t>Source assignment -- not individually reviewed</t>
        </is>
      </c>
      <c r="J969" s="23" t="inlineStr"/>
      <c r="K969" s="23" t="inlineStr">
        <is>
          <t>Source assignment</t>
        </is>
      </c>
      <c r="L969" s="23" t="inlineStr"/>
      <c r="M969" s="23" t="inlineStr">
        <is>
          <t>Cost &amp; Forecast Control Accounts Cycle 2</t>
        </is>
      </c>
      <c r="N969" s="23" t="inlineStr">
        <is>
          <t>Rev 1</t>
        </is>
      </c>
      <c r="O969" s="23" t="inlineStr">
        <is>
          <t>R1375-v2</t>
        </is>
      </c>
      <c r="P969" s="23" t="inlineStr"/>
      <c r="Q969" s="23" t="inlineStr"/>
      <c r="R969" s="23" t="inlineStr"/>
      <c r="S969" s="23" t="inlineStr"/>
      <c r="T969" s="23" t="inlineStr"/>
      <c r="U969" s="23" t="inlineStr"/>
      <c r="V969" s="23" t="inlineStr">
        <is>
          <t>Cost Account = CA-4053; WBS Code = 1.4.1</t>
        </is>
      </c>
      <c r="W969" s="23" t="inlineStr"/>
    </row>
    <row r="970" ht="64" customHeight="1">
      <c r="A970" s="23" t="inlineStr">
        <is>
          <t>1.4.1</t>
        </is>
      </c>
      <c r="B970" s="23" t="inlineStr">
        <is>
          <t>Vehicles and Depot - Fleet Supply</t>
        </is>
      </c>
      <c r="C970" s="23" t="inlineStr">
        <is>
          <t>Cost &amp; Forecast Control Accounts</t>
        </is>
      </c>
      <c r="D970" s="23" t="inlineStr">
        <is>
          <t>CST-04-055</t>
        </is>
      </c>
      <c r="E970" s="23" t="inlineStr">
        <is>
          <t>Vehicles and Depot - fleet supply - closeout</t>
        </is>
      </c>
      <c r="F970" s="23" t="inlineStr">
        <is>
          <t>ONE_TO_ONE</t>
        </is>
      </c>
      <c r="G970" s="23" t="inlineStr">
        <is>
          <t>RETAINED</t>
        </is>
      </c>
      <c r="H970" s="23" t="inlineStr">
        <is>
          <t>Carried forward</t>
        </is>
      </c>
      <c r="I970" s="23" t="inlineStr">
        <is>
          <t>Source assignment -- not individually reviewed</t>
        </is>
      </c>
      <c r="J970" s="23" t="inlineStr"/>
      <c r="K970" s="23" t="inlineStr">
        <is>
          <t>Source assignment</t>
        </is>
      </c>
      <c r="L970" s="23" t="inlineStr"/>
      <c r="M970" s="23" t="inlineStr">
        <is>
          <t>Cost &amp; Forecast Control Accounts Cycle 2</t>
        </is>
      </c>
      <c r="N970" s="23" t="inlineStr">
        <is>
          <t>Rev 1</t>
        </is>
      </c>
      <c r="O970" s="23" t="inlineStr">
        <is>
          <t>R1377-v2</t>
        </is>
      </c>
      <c r="P970" s="23" t="inlineStr"/>
      <c r="Q970" s="23" t="inlineStr"/>
      <c r="R970" s="23" t="inlineStr"/>
      <c r="S970" s="23" t="inlineStr"/>
      <c r="T970" s="23" t="inlineStr"/>
      <c r="U970" s="23" t="inlineStr"/>
      <c r="V970" s="23" t="inlineStr">
        <is>
          <t>Cost Account = CA-4055; WBS Code = 1.4.1</t>
        </is>
      </c>
      <c r="W970" s="23" t="inlineStr"/>
    </row>
    <row r="971" ht="64" customHeight="1">
      <c r="A971" s="23" t="inlineStr">
        <is>
          <t>1.4.1</t>
        </is>
      </c>
      <c r="B971" s="23" t="inlineStr">
        <is>
          <t>Vehicles and Depot - Fleet Supply</t>
        </is>
      </c>
      <c r="C971" s="23" t="inlineStr">
        <is>
          <t>Cost &amp; Forecast Control Accounts</t>
        </is>
      </c>
      <c r="D971" s="23" t="inlineStr">
        <is>
          <t>CST-04-057</t>
        </is>
      </c>
      <c r="E971" s="23" t="inlineStr">
        <is>
          <t>Vehicles and Depot - spares - supply and install</t>
        </is>
      </c>
      <c r="F971" s="23" t="inlineStr">
        <is>
          <t>ONE_TO_ONE</t>
        </is>
      </c>
      <c r="G971" s="23" t="inlineStr">
        <is>
          <t>RETAINED</t>
        </is>
      </c>
      <c r="H971" s="23" t="inlineStr">
        <is>
          <t>Carried forward</t>
        </is>
      </c>
      <c r="I971" s="23" t="inlineStr">
        <is>
          <t>Source assignment -- not individually reviewed</t>
        </is>
      </c>
      <c r="J971" s="23" t="inlineStr"/>
      <c r="K971" s="23" t="inlineStr">
        <is>
          <t>Source assignment</t>
        </is>
      </c>
      <c r="L971" s="23" t="inlineStr"/>
      <c r="M971" s="23" t="inlineStr">
        <is>
          <t>Cost &amp; Forecast Control Accounts Cycle 2</t>
        </is>
      </c>
      <c r="N971" s="23" t="inlineStr">
        <is>
          <t>Rev 1</t>
        </is>
      </c>
      <c r="O971" s="23" t="inlineStr">
        <is>
          <t>R1379-v2</t>
        </is>
      </c>
      <c r="P971" s="23" t="inlineStr"/>
      <c r="Q971" s="23" t="inlineStr"/>
      <c r="R971" s="23" t="inlineStr"/>
      <c r="S971" s="23" t="inlineStr"/>
      <c r="T971" s="23" t="inlineStr"/>
      <c r="U971" s="23" t="inlineStr"/>
      <c r="V971" s="23" t="inlineStr">
        <is>
          <t>Cost Account = CA-4057; WBS Code = 1.4.1</t>
        </is>
      </c>
      <c r="W971" s="23" t="inlineStr"/>
    </row>
    <row r="972" ht="64" customHeight="1">
      <c r="A972" s="23" t="inlineStr">
        <is>
          <t>1.4.1</t>
        </is>
      </c>
      <c r="B972" s="23" t="inlineStr">
        <is>
          <t>Vehicles and Depot - Fleet Supply</t>
        </is>
      </c>
      <c r="C972" s="23" t="inlineStr">
        <is>
          <t>Cost &amp; Forecast Control Accounts</t>
        </is>
      </c>
      <c r="D972" s="23" t="inlineStr">
        <is>
          <t>CST-04-059</t>
        </is>
      </c>
      <c r="E972" s="23" t="inlineStr">
        <is>
          <t>Vehicles and Depot - workshop equipment - allowance</t>
        </is>
      </c>
      <c r="F972" s="23" t="inlineStr">
        <is>
          <t>ONE_TO_ONE</t>
        </is>
      </c>
      <c r="G972" s="23" t="inlineStr">
        <is>
          <t>RETAINED</t>
        </is>
      </c>
      <c r="H972" s="23" t="inlineStr">
        <is>
          <t>Carried forward</t>
        </is>
      </c>
      <c r="I972" s="23" t="inlineStr">
        <is>
          <t>Source assignment -- not individually reviewed</t>
        </is>
      </c>
      <c r="J972" s="23" t="inlineStr"/>
      <c r="K972" s="23" t="inlineStr">
        <is>
          <t>Source assignment</t>
        </is>
      </c>
      <c r="L972" s="23" t="inlineStr"/>
      <c r="M972" s="23" t="inlineStr">
        <is>
          <t>Cost &amp; Forecast Control Accounts Cycle 2</t>
        </is>
      </c>
      <c r="N972" s="23" t="inlineStr">
        <is>
          <t>Rev 1</t>
        </is>
      </c>
      <c r="O972" s="23" t="inlineStr">
        <is>
          <t>R1381-v2</t>
        </is>
      </c>
      <c r="P972" s="23" t="inlineStr"/>
      <c r="Q972" s="23" t="inlineStr"/>
      <c r="R972" s="23" t="inlineStr"/>
      <c r="S972" s="23" t="inlineStr"/>
      <c r="T972" s="23" t="inlineStr"/>
      <c r="U972" s="23" t="inlineStr"/>
      <c r="V972" s="23" t="inlineStr">
        <is>
          <t>Cost Account = CA-4059; WBS Code = 1.4.1</t>
        </is>
      </c>
      <c r="W972" s="23" t="inlineStr"/>
    </row>
    <row r="973" ht="64" customHeight="1">
      <c r="A973" s="23" t="inlineStr">
        <is>
          <t>1.4.1</t>
        </is>
      </c>
      <c r="B973" s="23" t="inlineStr">
        <is>
          <t>Vehicles and Depot - Fleet Supply</t>
        </is>
      </c>
      <c r="C973" s="23" t="inlineStr">
        <is>
          <t>Cost &amp; Forecast Control Accounts</t>
        </is>
      </c>
      <c r="D973" s="23" t="inlineStr">
        <is>
          <t>CST-04-061</t>
        </is>
      </c>
      <c r="E973" s="23" t="inlineStr">
        <is>
          <t>Vehicles and Depot - fleet supply - field package</t>
        </is>
      </c>
      <c r="F973" s="23" t="inlineStr">
        <is>
          <t>ONE_TO_ONE</t>
        </is>
      </c>
      <c r="G973" s="23" t="inlineStr">
        <is>
          <t>RETAINED</t>
        </is>
      </c>
      <c r="H973" s="23" t="inlineStr">
        <is>
          <t>Carried forward</t>
        </is>
      </c>
      <c r="I973" s="23" t="inlineStr">
        <is>
          <t>Source assignment -- not individually reviewed</t>
        </is>
      </c>
      <c r="J973" s="23" t="inlineStr"/>
      <c r="K973" s="23" t="inlineStr">
        <is>
          <t>Source assignment</t>
        </is>
      </c>
      <c r="L973" s="23" t="inlineStr"/>
      <c r="M973" s="23" t="inlineStr">
        <is>
          <t>Cost &amp; Forecast Control Accounts Cycle 2</t>
        </is>
      </c>
      <c r="N973" s="23" t="inlineStr">
        <is>
          <t>Rev 1</t>
        </is>
      </c>
      <c r="O973" s="23" t="inlineStr">
        <is>
          <t>R1383-v2</t>
        </is>
      </c>
      <c r="P973" s="23" t="inlineStr"/>
      <c r="Q973" s="23" t="inlineStr"/>
      <c r="R973" s="23" t="inlineStr"/>
      <c r="S973" s="23" t="inlineStr"/>
      <c r="T973" s="23" t="inlineStr"/>
      <c r="U973" s="23" t="inlineStr"/>
      <c r="V973" s="23" t="inlineStr">
        <is>
          <t>Cost Account = CA-4061; WBS Code = 1.4.1</t>
        </is>
      </c>
      <c r="W973" s="23" t="inlineStr"/>
    </row>
    <row r="974" ht="64" customHeight="1">
      <c r="A974" s="23" t="inlineStr">
        <is>
          <t>1.4.1</t>
        </is>
      </c>
      <c r="B974" s="23" t="inlineStr">
        <is>
          <t>Vehicles and Depot - Fleet Supply</t>
        </is>
      </c>
      <c r="C974" s="23" t="inlineStr">
        <is>
          <t>Cost &amp; Forecast Control Accounts</t>
        </is>
      </c>
      <c r="D974" s="23" t="inlineStr">
        <is>
          <t>CST-04-063</t>
        </is>
      </c>
      <c r="E974" s="23" t="inlineStr">
        <is>
          <t>Vehicles and Depot - spares - professional services</t>
        </is>
      </c>
      <c r="F974" s="23" t="inlineStr">
        <is>
          <t>ONE_TO_ONE</t>
        </is>
      </c>
      <c r="G974" s="23" t="inlineStr">
        <is>
          <t>RETAINED</t>
        </is>
      </c>
      <c r="H974" s="23" t="inlineStr">
        <is>
          <t>Carried forward</t>
        </is>
      </c>
      <c r="I974" s="23" t="inlineStr">
        <is>
          <t>Source assignment -- not individually reviewed</t>
        </is>
      </c>
      <c r="J974" s="23" t="inlineStr"/>
      <c r="K974" s="23" t="inlineStr">
        <is>
          <t>Source assignment</t>
        </is>
      </c>
      <c r="L974" s="23" t="inlineStr"/>
      <c r="M974" s="23" t="inlineStr">
        <is>
          <t>Cost &amp; Forecast Control Accounts Cycle 2</t>
        </is>
      </c>
      <c r="N974" s="23" t="inlineStr">
        <is>
          <t>Rev 1</t>
        </is>
      </c>
      <c r="O974" s="23" t="inlineStr">
        <is>
          <t>R1385-v2</t>
        </is>
      </c>
      <c r="P974" s="23" t="inlineStr"/>
      <c r="Q974" s="23" t="inlineStr"/>
      <c r="R974" s="23" t="inlineStr"/>
      <c r="S974" s="23" t="inlineStr"/>
      <c r="T974" s="23" t="inlineStr"/>
      <c r="U974" s="23" t="inlineStr"/>
      <c r="V974" s="23" t="inlineStr">
        <is>
          <t>Cost Account = CA-4063; WBS Code = 1.4.1</t>
        </is>
      </c>
      <c r="W974" s="23" t="inlineStr"/>
    </row>
    <row r="975" ht="64" customHeight="1">
      <c r="A975" s="23" t="inlineStr">
        <is>
          <t>1.4.1</t>
        </is>
      </c>
      <c r="B975" s="23" t="inlineStr">
        <is>
          <t>Vehicles and Depot - Fleet Supply</t>
        </is>
      </c>
      <c r="C975" s="23" t="inlineStr">
        <is>
          <t>Cost &amp; Forecast Control Accounts</t>
        </is>
      </c>
      <c r="D975" s="23" t="inlineStr">
        <is>
          <t>CST-04-065</t>
        </is>
      </c>
      <c r="E975" s="23" t="inlineStr">
        <is>
          <t>Vehicles and Depot - workshop equipment - closeout</t>
        </is>
      </c>
      <c r="F975" s="23" t="inlineStr">
        <is>
          <t>ONE_TO_ONE</t>
        </is>
      </c>
      <c r="G975" s="23" t="inlineStr">
        <is>
          <t>RETAINED</t>
        </is>
      </c>
      <c r="H975" s="23" t="inlineStr">
        <is>
          <t>Carried forward</t>
        </is>
      </c>
      <c r="I975" s="23" t="inlineStr">
        <is>
          <t>Source assignment -- not individually reviewed</t>
        </is>
      </c>
      <c r="J975" s="23" t="inlineStr"/>
      <c r="K975" s="23" t="inlineStr">
        <is>
          <t>Source assignment</t>
        </is>
      </c>
      <c r="L975" s="23" t="inlineStr"/>
      <c r="M975" s="23" t="inlineStr">
        <is>
          <t>Cost &amp; Forecast Control Accounts Cycle 2</t>
        </is>
      </c>
      <c r="N975" s="23" t="inlineStr">
        <is>
          <t>Rev 1</t>
        </is>
      </c>
      <c r="O975" s="23" t="inlineStr">
        <is>
          <t>R1387-v2</t>
        </is>
      </c>
      <c r="P975" s="23" t="inlineStr"/>
      <c r="Q975" s="23" t="inlineStr"/>
      <c r="R975" s="23" t="inlineStr"/>
      <c r="S975" s="23" t="inlineStr"/>
      <c r="T975" s="23" t="inlineStr"/>
      <c r="U975" s="23" t="inlineStr"/>
      <c r="V975" s="23" t="inlineStr">
        <is>
          <t>Cost Account = CA-4065; WBS Code = 1.4.1</t>
        </is>
      </c>
      <c r="W975" s="23" t="inlineStr"/>
    </row>
    <row r="976" ht="64" customHeight="1">
      <c r="A976" s="23" t="inlineStr">
        <is>
          <t>1.4.1</t>
        </is>
      </c>
      <c r="B976" s="23" t="inlineStr">
        <is>
          <t>Vehicles and Depot - Fleet Supply</t>
        </is>
      </c>
      <c r="C976" s="23" t="inlineStr">
        <is>
          <t>Cost &amp; Forecast Control Accounts</t>
        </is>
      </c>
      <c r="D976" s="23" t="inlineStr">
        <is>
          <t>CST-04-067</t>
        </is>
      </c>
      <c r="E976" s="23" t="inlineStr">
        <is>
          <t>Vehicles and Depot - fleet supply - supply and install</t>
        </is>
      </c>
      <c r="F976" s="23" t="inlineStr">
        <is>
          <t>ONE_TO_ONE</t>
        </is>
      </c>
      <c r="G976" s="23" t="inlineStr">
        <is>
          <t>RETAINED</t>
        </is>
      </c>
      <c r="H976" s="23" t="inlineStr">
        <is>
          <t>Carried forward</t>
        </is>
      </c>
      <c r="I976" s="23" t="inlineStr">
        <is>
          <t>Source assignment -- not individually reviewed</t>
        </is>
      </c>
      <c r="J976" s="23" t="inlineStr"/>
      <c r="K976" s="23" t="inlineStr">
        <is>
          <t>Source assignment</t>
        </is>
      </c>
      <c r="L976" s="23" t="inlineStr"/>
      <c r="M976" s="23" t="inlineStr">
        <is>
          <t>Cost &amp; Forecast Control Accounts Cycle 2</t>
        </is>
      </c>
      <c r="N976" s="23" t="inlineStr">
        <is>
          <t>Rev 1</t>
        </is>
      </c>
      <c r="O976" s="23" t="inlineStr">
        <is>
          <t>R1389-v2</t>
        </is>
      </c>
      <c r="P976" s="23" t="inlineStr"/>
      <c r="Q976" s="23" t="inlineStr"/>
      <c r="R976" s="23" t="inlineStr"/>
      <c r="S976" s="23" t="inlineStr"/>
      <c r="T976" s="23" t="inlineStr"/>
      <c r="U976" s="23" t="inlineStr"/>
      <c r="V976" s="23" t="inlineStr">
        <is>
          <t>Cost Account = CA-4067; WBS Code = 1.4.1</t>
        </is>
      </c>
      <c r="W976" s="23" t="inlineStr"/>
    </row>
    <row r="977" ht="64" customHeight="1">
      <c r="A977" s="23" t="inlineStr">
        <is>
          <t>1.4.1</t>
        </is>
      </c>
      <c r="B977" s="23" t="inlineStr">
        <is>
          <t>Vehicles and Depot - Fleet Supply</t>
        </is>
      </c>
      <c r="C977" s="23" t="inlineStr">
        <is>
          <t>Cost &amp; Forecast Control Accounts</t>
        </is>
      </c>
      <c r="D977" s="23" t="inlineStr">
        <is>
          <t>CST-04-069</t>
        </is>
      </c>
      <c r="E977" s="23" t="inlineStr">
        <is>
          <t>Vehicles and Depot - spares - allowance</t>
        </is>
      </c>
      <c r="F977" s="23" t="inlineStr">
        <is>
          <t>ONE_TO_ONE</t>
        </is>
      </c>
      <c r="G977" s="23" t="inlineStr">
        <is>
          <t>RETAINED</t>
        </is>
      </c>
      <c r="H977" s="23" t="inlineStr">
        <is>
          <t>Carried forward</t>
        </is>
      </c>
      <c r="I977" s="23" t="inlineStr">
        <is>
          <t>Source assignment -- not individually reviewed</t>
        </is>
      </c>
      <c r="J977" s="23" t="inlineStr"/>
      <c r="K977" s="23" t="inlineStr">
        <is>
          <t>Source assignment</t>
        </is>
      </c>
      <c r="L977" s="23" t="inlineStr"/>
      <c r="M977" s="23" t="inlineStr">
        <is>
          <t>Cost &amp; Forecast Control Accounts Cycle 2</t>
        </is>
      </c>
      <c r="N977" s="23" t="inlineStr">
        <is>
          <t>Rev 1</t>
        </is>
      </c>
      <c r="O977" s="23" t="inlineStr">
        <is>
          <t>R1391-v2</t>
        </is>
      </c>
      <c r="P977" s="23" t="inlineStr"/>
      <c r="Q977" s="23" t="inlineStr"/>
      <c r="R977" s="23" t="inlineStr"/>
      <c r="S977" s="23" t="inlineStr"/>
      <c r="T977" s="23" t="inlineStr"/>
      <c r="U977" s="23" t="inlineStr"/>
      <c r="V977" s="23" t="inlineStr">
        <is>
          <t>Cost Account = CA-4069; WBS Code = 1.4.1</t>
        </is>
      </c>
      <c r="W977" s="23" t="inlineStr"/>
    </row>
    <row r="978" ht="64" customHeight="1">
      <c r="A978" s="23" t="inlineStr">
        <is>
          <t>1.4.1</t>
        </is>
      </c>
      <c r="B978" s="23" t="inlineStr">
        <is>
          <t>Vehicles and Depot - Fleet Supply</t>
        </is>
      </c>
      <c r="C978" s="23" t="inlineStr">
        <is>
          <t>Cost &amp; Forecast Control Accounts</t>
        </is>
      </c>
      <c r="D978" s="23" t="inlineStr">
        <is>
          <t>CST-04-071</t>
        </is>
      </c>
      <c r="E978" s="23" t="inlineStr">
        <is>
          <t>Vehicles and Depot - workshop equipment - field package</t>
        </is>
      </c>
      <c r="F978" s="23" t="inlineStr">
        <is>
          <t>ONE_TO_ONE</t>
        </is>
      </c>
      <c r="G978" s="23" t="inlineStr">
        <is>
          <t>RETAINED</t>
        </is>
      </c>
      <c r="H978" s="23" t="inlineStr">
        <is>
          <t>Carried forward</t>
        </is>
      </c>
      <c r="I978" s="23" t="inlineStr">
        <is>
          <t>Source assignment -- not individually reviewed</t>
        </is>
      </c>
      <c r="J978" s="23" t="inlineStr"/>
      <c r="K978" s="23" t="inlineStr">
        <is>
          <t>Source assignment</t>
        </is>
      </c>
      <c r="L978" s="23" t="inlineStr"/>
      <c r="M978" s="23" t="inlineStr">
        <is>
          <t>Cost &amp; Forecast Control Accounts Cycle 2</t>
        </is>
      </c>
      <c r="N978" s="23" t="inlineStr">
        <is>
          <t>Rev 1</t>
        </is>
      </c>
      <c r="O978" s="23" t="inlineStr">
        <is>
          <t>R1393-v2</t>
        </is>
      </c>
      <c r="P978" s="23" t="inlineStr"/>
      <c r="Q978" s="23" t="inlineStr"/>
      <c r="R978" s="23" t="inlineStr"/>
      <c r="S978" s="23" t="inlineStr"/>
      <c r="T978" s="23" t="inlineStr"/>
      <c r="U978" s="23" t="inlineStr"/>
      <c r="V978" s="23" t="inlineStr">
        <is>
          <t>Cost Account = CA-4071; WBS Code = 1.4.1</t>
        </is>
      </c>
      <c r="W978" s="23" t="inlineStr"/>
    </row>
    <row r="979" ht="64" customHeight="1">
      <c r="A979" s="23" t="inlineStr">
        <is>
          <t>1.4.1</t>
        </is>
      </c>
      <c r="B979" s="23" t="inlineStr">
        <is>
          <t>Vehicles and Depot - Fleet Supply</t>
        </is>
      </c>
      <c r="C979" s="23" t="inlineStr">
        <is>
          <t>Cost &amp; Forecast Control Accounts</t>
        </is>
      </c>
      <c r="D979" s="23" t="inlineStr">
        <is>
          <t>CST-04-073</t>
        </is>
      </c>
      <c r="E979" s="23" t="inlineStr">
        <is>
          <t>Vehicles and Depot - fleet supply - professional services</t>
        </is>
      </c>
      <c r="F979" s="23" t="inlineStr">
        <is>
          <t>ONE_TO_ONE</t>
        </is>
      </c>
      <c r="G979" s="23" t="inlineStr">
        <is>
          <t>RETAINED</t>
        </is>
      </c>
      <c r="H979" s="23" t="inlineStr">
        <is>
          <t>Carried forward</t>
        </is>
      </c>
      <c r="I979" s="23" t="inlineStr">
        <is>
          <t>Source assignment -- not individually reviewed</t>
        </is>
      </c>
      <c r="J979" s="23" t="inlineStr"/>
      <c r="K979" s="23" t="inlineStr">
        <is>
          <t>Source assignment</t>
        </is>
      </c>
      <c r="L979" s="23" t="inlineStr"/>
      <c r="M979" s="23" t="inlineStr">
        <is>
          <t>Cost &amp; Forecast Control Accounts Cycle 2</t>
        </is>
      </c>
      <c r="N979" s="23" t="inlineStr">
        <is>
          <t>Rev 1</t>
        </is>
      </c>
      <c r="O979" s="23" t="inlineStr">
        <is>
          <t>R1395-v2</t>
        </is>
      </c>
      <c r="P979" s="23" t="inlineStr"/>
      <c r="Q979" s="23" t="inlineStr"/>
      <c r="R979" s="23" t="inlineStr"/>
      <c r="S979" s="23" t="inlineStr"/>
      <c r="T979" s="23" t="inlineStr"/>
      <c r="U979" s="23" t="inlineStr"/>
      <c r="V979" s="23" t="inlineStr">
        <is>
          <t>Cost Account = CA-4073; WBS Code = 1.4.1</t>
        </is>
      </c>
      <c r="W979" s="23" t="inlineStr"/>
    </row>
    <row r="980" ht="64" customHeight="1">
      <c r="A980" s="23" t="inlineStr">
        <is>
          <t>1.4.1</t>
        </is>
      </c>
      <c r="B980" s="23" t="inlineStr">
        <is>
          <t>Vehicles and Depot - Fleet Supply</t>
        </is>
      </c>
      <c r="C980" s="23" t="inlineStr">
        <is>
          <t>Cost &amp; Forecast Control Accounts</t>
        </is>
      </c>
      <c r="D980" s="23" t="inlineStr">
        <is>
          <t>CST-04-075</t>
        </is>
      </c>
      <c r="E980" s="23" t="inlineStr">
        <is>
          <t>Vehicles and Depot - spares - closeout</t>
        </is>
      </c>
      <c r="F980" s="23" t="inlineStr">
        <is>
          <t>ONE_TO_ONE</t>
        </is>
      </c>
      <c r="G980" s="23" t="inlineStr">
        <is>
          <t>RETAINED</t>
        </is>
      </c>
      <c r="H980" s="23" t="inlineStr">
        <is>
          <t>Carried forward</t>
        </is>
      </c>
      <c r="I980" s="23" t="inlineStr">
        <is>
          <t>Source assignment -- not individually reviewed</t>
        </is>
      </c>
      <c r="J980" s="23" t="inlineStr"/>
      <c r="K980" s="23" t="inlineStr">
        <is>
          <t>Source assignment</t>
        </is>
      </c>
      <c r="L980" s="23" t="inlineStr"/>
      <c r="M980" s="23" t="inlineStr">
        <is>
          <t>Cost &amp; Forecast Control Accounts Cycle 2</t>
        </is>
      </c>
      <c r="N980" s="23" t="inlineStr">
        <is>
          <t>Rev 1</t>
        </is>
      </c>
      <c r="O980" s="23" t="inlineStr">
        <is>
          <t>R1397-v2</t>
        </is>
      </c>
      <c r="P980" s="23" t="inlineStr"/>
      <c r="Q980" s="23" t="inlineStr"/>
      <c r="R980" s="23" t="inlineStr"/>
      <c r="S980" s="23" t="inlineStr"/>
      <c r="T980" s="23" t="inlineStr"/>
      <c r="U980" s="23" t="inlineStr"/>
      <c r="V980" s="23" t="inlineStr">
        <is>
          <t>Cost Account = CA-4075; WBS Code = 1.4.1</t>
        </is>
      </c>
      <c r="W980" s="23" t="inlineStr"/>
    </row>
    <row r="981" ht="64" customHeight="1">
      <c r="A981" s="23" t="inlineStr">
        <is>
          <t>1.4.1</t>
        </is>
      </c>
      <c r="B981" s="23" t="inlineStr">
        <is>
          <t>Vehicles and Depot - Fleet Supply</t>
        </is>
      </c>
      <c r="C981" s="23" t="inlineStr">
        <is>
          <t>Cost &amp; Forecast Control Accounts</t>
        </is>
      </c>
      <c r="D981" s="23" t="inlineStr">
        <is>
          <t>CST-04-077</t>
        </is>
      </c>
      <c r="E981" s="23" t="inlineStr">
        <is>
          <t>Vehicles and Depot - workshop equipment - supply and install</t>
        </is>
      </c>
      <c r="F981" s="23" t="inlineStr">
        <is>
          <t>ONE_TO_ONE</t>
        </is>
      </c>
      <c r="G981" s="23" t="inlineStr">
        <is>
          <t>RETAINED</t>
        </is>
      </c>
      <c r="H981" s="23" t="inlineStr">
        <is>
          <t>Carried forward</t>
        </is>
      </c>
      <c r="I981" s="23" t="inlineStr">
        <is>
          <t>Source assignment -- not individually reviewed</t>
        </is>
      </c>
      <c r="J981" s="23" t="inlineStr"/>
      <c r="K981" s="23" t="inlineStr">
        <is>
          <t>Source assignment</t>
        </is>
      </c>
      <c r="L981" s="23" t="inlineStr"/>
      <c r="M981" s="23" t="inlineStr">
        <is>
          <t>Cost &amp; Forecast Control Accounts Cycle 2</t>
        </is>
      </c>
      <c r="N981" s="23" t="inlineStr">
        <is>
          <t>Rev 1</t>
        </is>
      </c>
      <c r="O981" s="23" t="inlineStr">
        <is>
          <t>R1399-v2</t>
        </is>
      </c>
      <c r="P981" s="23" t="inlineStr"/>
      <c r="Q981" s="23" t="inlineStr"/>
      <c r="R981" s="23" t="inlineStr"/>
      <c r="S981" s="23" t="inlineStr"/>
      <c r="T981" s="23" t="inlineStr"/>
      <c r="U981" s="23" t="inlineStr"/>
      <c r="V981" s="23" t="inlineStr">
        <is>
          <t>Cost Account = CA-4077; WBS Code = 1.4.1</t>
        </is>
      </c>
      <c r="W981" s="23" t="inlineStr"/>
    </row>
    <row r="982" ht="64" customHeight="1">
      <c r="A982" s="23" t="inlineStr">
        <is>
          <t>1.4.1</t>
        </is>
      </c>
      <c r="B982" s="23" t="inlineStr">
        <is>
          <t>Vehicles and Depot - Fleet Supply</t>
        </is>
      </c>
      <c r="C982" s="23" t="inlineStr">
        <is>
          <t>Cost &amp; Forecast Control Accounts</t>
        </is>
      </c>
      <c r="D982" s="23" t="inlineStr">
        <is>
          <t>CST-04-079</t>
        </is>
      </c>
      <c r="E982" s="23" t="inlineStr">
        <is>
          <t>Vehicles and Depot - fleet supply - allowance</t>
        </is>
      </c>
      <c r="F982" s="23" t="inlineStr">
        <is>
          <t>ONE_TO_ONE</t>
        </is>
      </c>
      <c r="G982" s="23" t="inlineStr">
        <is>
          <t>RETAINED</t>
        </is>
      </c>
      <c r="H982" s="23" t="inlineStr">
        <is>
          <t>Carried forward</t>
        </is>
      </c>
      <c r="I982" s="23" t="inlineStr">
        <is>
          <t>Source assignment -- not individually reviewed</t>
        </is>
      </c>
      <c r="J982" s="23" t="inlineStr"/>
      <c r="K982" s="23" t="inlineStr">
        <is>
          <t>Source assignment</t>
        </is>
      </c>
      <c r="L982" s="23" t="inlineStr"/>
      <c r="M982" s="23" t="inlineStr">
        <is>
          <t>Cost &amp; Forecast Control Accounts Cycle 2</t>
        </is>
      </c>
      <c r="N982" s="23" t="inlineStr">
        <is>
          <t>Rev 1</t>
        </is>
      </c>
      <c r="O982" s="23" t="inlineStr">
        <is>
          <t>R1401-v2</t>
        </is>
      </c>
      <c r="P982" s="23" t="inlineStr"/>
      <c r="Q982" s="23" t="inlineStr"/>
      <c r="R982" s="23" t="inlineStr"/>
      <c r="S982" s="23" t="inlineStr"/>
      <c r="T982" s="23" t="inlineStr"/>
      <c r="U982" s="23" t="inlineStr"/>
      <c r="V982" s="23" t="inlineStr">
        <is>
          <t>Cost Account = CA-4079; WBS Code = 1.4.1</t>
        </is>
      </c>
      <c r="W982" s="23" t="inlineStr"/>
    </row>
    <row r="983" ht="49" customHeight="1">
      <c r="A983" s="23" t="inlineStr">
        <is>
          <t>1.4.2</t>
        </is>
      </c>
      <c r="B983" s="23" t="inlineStr">
        <is>
          <t>Vehicles and Depot - Depot Buildings</t>
        </is>
      </c>
      <c r="C983" s="23" t="inlineStr">
        <is>
          <t>Contractor Programme</t>
        </is>
      </c>
      <c r="D983" s="23" t="inlineStr">
        <is>
          <t>SCH-04-006</t>
        </is>
      </c>
      <c r="E983" s="23" t="inlineStr">
        <is>
          <t>Test track: maintenance-bay services - release</t>
        </is>
      </c>
      <c r="F983" s="23" t="inlineStr">
        <is>
          <t>ONE_TO_ONE</t>
        </is>
      </c>
      <c r="G983" s="23" t="inlineStr">
        <is>
          <t>RETAINED</t>
        </is>
      </c>
      <c r="H983" s="23" t="inlineStr">
        <is>
          <t>Carried forward</t>
        </is>
      </c>
      <c r="I983" s="23" t="inlineStr">
        <is>
          <t>Source assignment -- not individually reviewed</t>
        </is>
      </c>
      <c r="J983" s="23" t="inlineStr"/>
      <c r="K983" s="23" t="inlineStr">
        <is>
          <t>Source assignment</t>
        </is>
      </c>
      <c r="L983" s="23" t="inlineStr"/>
      <c r="M983" s="23" t="inlineStr">
        <is>
          <t>Contractor Programme Cycle 2</t>
        </is>
      </c>
      <c r="N983" s="23" t="inlineStr">
        <is>
          <t>Rev 1</t>
        </is>
      </c>
      <c r="O983" s="23" t="inlineStr">
        <is>
          <t>R546-v2</t>
        </is>
      </c>
      <c r="P983" s="23" t="inlineStr"/>
      <c r="Q983" s="23" t="inlineStr"/>
      <c r="R983" s="23" t="inlineStr"/>
      <c r="S983" s="23" t="inlineStr"/>
      <c r="T983" s="23" t="inlineStr"/>
      <c r="U983" s="23" t="inlineStr"/>
      <c r="V983" s="23" t="inlineStr">
        <is>
          <t>WBS Code = 1.4.2</t>
        </is>
      </c>
      <c r="W983" s="23" t="inlineStr"/>
    </row>
    <row r="984" ht="49" customHeight="1">
      <c r="A984" s="23" t="inlineStr">
        <is>
          <t>1.4.2</t>
        </is>
      </c>
      <c r="B984" s="23" t="inlineStr">
        <is>
          <t>Vehicles and Depot - Depot Buildings</t>
        </is>
      </c>
      <c r="C984" s="23" t="inlineStr">
        <is>
          <t>Contractor Programme</t>
        </is>
      </c>
      <c r="D984" s="23" t="inlineStr">
        <is>
          <t>SCH-04-009</t>
        </is>
      </c>
      <c r="E984" s="23" t="inlineStr">
        <is>
          <t>Storage yard: vehicle-to-depot interface check - inspection</t>
        </is>
      </c>
      <c r="F984" s="23" t="inlineStr">
        <is>
          <t>ONE_TO_ONE</t>
        </is>
      </c>
      <c r="G984" s="23" t="inlineStr">
        <is>
          <t>RETAINED</t>
        </is>
      </c>
      <c r="H984" s="23" t="inlineStr">
        <is>
          <t>Carried forward</t>
        </is>
      </c>
      <c r="I984" s="23" t="inlineStr">
        <is>
          <t>Source assignment -- not individually reviewed</t>
        </is>
      </c>
      <c r="J984" s="23" t="inlineStr"/>
      <c r="K984" s="23" t="inlineStr">
        <is>
          <t>Source assignment</t>
        </is>
      </c>
      <c r="L984" s="23" t="inlineStr"/>
      <c r="M984" s="23" t="inlineStr">
        <is>
          <t>Contractor Programme Cycle 2</t>
        </is>
      </c>
      <c r="N984" s="23" t="inlineStr">
        <is>
          <t>Rev 1</t>
        </is>
      </c>
      <c r="O984" s="23" t="inlineStr">
        <is>
          <t>R549-v2</t>
        </is>
      </c>
      <c r="P984" s="23" t="inlineStr"/>
      <c r="Q984" s="23" t="inlineStr"/>
      <c r="R984" s="23" t="inlineStr"/>
      <c r="S984" s="23" t="inlineStr"/>
      <c r="T984" s="23" t="inlineStr"/>
      <c r="U984" s="23" t="inlineStr"/>
      <c r="V984" s="23" t="inlineStr">
        <is>
          <t>WBS Code = 1.4.2</t>
        </is>
      </c>
      <c r="W984" s="23" t="inlineStr"/>
    </row>
    <row r="985" ht="49" customHeight="1">
      <c r="A985" s="23" t="inlineStr">
        <is>
          <t>1.4.2</t>
        </is>
      </c>
      <c r="B985" s="23" t="inlineStr">
        <is>
          <t>Vehicles and Depot - Depot Buildings</t>
        </is>
      </c>
      <c r="C985" s="23" t="inlineStr">
        <is>
          <t>Contractor Programme</t>
        </is>
      </c>
      <c r="D985" s="23" t="inlineStr">
        <is>
          <t>SCH-04-012</t>
        </is>
      </c>
      <c r="E985" s="23" t="inlineStr">
        <is>
          <t>Receiving track: vehicle delivery inspection - field start</t>
        </is>
      </c>
      <c r="F985" s="23" t="inlineStr">
        <is>
          <t>ONE_TO_ONE</t>
        </is>
      </c>
      <c r="G985" s="23" t="inlineStr">
        <is>
          <t>RETAINED</t>
        </is>
      </c>
      <c r="H985" s="23" t="inlineStr">
        <is>
          <t>Carried forward</t>
        </is>
      </c>
      <c r="I985" s="23" t="inlineStr">
        <is>
          <t>Source assignment -- not individually reviewed</t>
        </is>
      </c>
      <c r="J985" s="23" t="inlineStr"/>
      <c r="K985" s="23" t="inlineStr">
        <is>
          <t>Source assignment</t>
        </is>
      </c>
      <c r="L985" s="23" t="inlineStr"/>
      <c r="M985" s="23" t="inlineStr">
        <is>
          <t>Contractor Programme Cycle 2</t>
        </is>
      </c>
      <c r="N985" s="23" t="inlineStr">
        <is>
          <t>Rev 1</t>
        </is>
      </c>
      <c r="O985" s="23" t="inlineStr">
        <is>
          <t>R552-v2</t>
        </is>
      </c>
      <c r="P985" s="23" t="inlineStr"/>
      <c r="Q985" s="23" t="inlineStr"/>
      <c r="R985" s="23" t="inlineStr"/>
      <c r="S985" s="23" t="inlineStr"/>
      <c r="T985" s="23" t="inlineStr"/>
      <c r="U985" s="23" t="inlineStr"/>
      <c r="V985" s="23" t="inlineStr">
        <is>
          <t>WBS Code = 1.4.2</t>
        </is>
      </c>
      <c r="W985" s="23" t="inlineStr"/>
    </row>
    <row r="986" ht="49" customHeight="1">
      <c r="A986" s="23" t="inlineStr">
        <is>
          <t>1.4.2</t>
        </is>
      </c>
      <c r="B986" s="23" t="inlineStr">
        <is>
          <t>Vehicles and Depot - Depot Buildings</t>
        </is>
      </c>
      <c r="C986" s="23" t="inlineStr">
        <is>
          <t>Contractor Programme</t>
        </is>
      </c>
      <c r="D986" s="23" t="inlineStr">
        <is>
          <t>SCH-04-015</t>
        </is>
      </c>
      <c r="E986" s="23" t="inlineStr">
        <is>
          <t>Operations building: depot structural fit-out - turnover</t>
        </is>
      </c>
      <c r="F986" s="23" t="inlineStr">
        <is>
          <t>ONE_TO_ONE</t>
        </is>
      </c>
      <c r="G986" s="23" t="inlineStr">
        <is>
          <t>RETAINED</t>
        </is>
      </c>
      <c r="H986" s="23" t="inlineStr">
        <is>
          <t>Carried forward</t>
        </is>
      </c>
      <c r="I986" s="23" t="inlineStr">
        <is>
          <t>Source assignment -- not individually reviewed</t>
        </is>
      </c>
      <c r="J986" s="23" t="inlineStr"/>
      <c r="K986" s="23" t="inlineStr">
        <is>
          <t>Source assignment</t>
        </is>
      </c>
      <c r="L986" s="23" t="inlineStr"/>
      <c r="M986" s="23" t="inlineStr">
        <is>
          <t>Contractor Programme Cycle 2</t>
        </is>
      </c>
      <c r="N986" s="23" t="inlineStr">
        <is>
          <t>Rev 1</t>
        </is>
      </c>
      <c r="O986" s="23" t="inlineStr">
        <is>
          <t>R555-v2</t>
        </is>
      </c>
      <c r="P986" s="23" t="inlineStr"/>
      <c r="Q986" s="23" t="inlineStr"/>
      <c r="R986" s="23" t="inlineStr"/>
      <c r="S986" s="23" t="inlineStr"/>
      <c r="T986" s="23" t="inlineStr"/>
      <c r="U986" s="23" t="inlineStr"/>
      <c r="V986" s="23" t="inlineStr">
        <is>
          <t>WBS Code = 1.4.2</t>
        </is>
      </c>
      <c r="W986" s="23" t="inlineStr"/>
    </row>
    <row r="987" ht="49" customHeight="1">
      <c r="A987" s="23" t="inlineStr">
        <is>
          <t>1.4.2</t>
        </is>
      </c>
      <c r="B987" s="23" t="inlineStr">
        <is>
          <t>Vehicles and Depot - Depot Buildings</t>
        </is>
      </c>
      <c r="C987" s="23" t="inlineStr">
        <is>
          <t>Contractor Programme</t>
        </is>
      </c>
      <c r="D987" s="23" t="inlineStr">
        <is>
          <t>SCH-04-018</t>
        </is>
      </c>
      <c r="E987" s="23" t="inlineStr">
        <is>
          <t>Maintenance shop: wheel-lathe installation - installation</t>
        </is>
      </c>
      <c r="F987" s="23" t="inlineStr">
        <is>
          <t>ONE_TO_ONE</t>
        </is>
      </c>
      <c r="G987" s="23" t="inlineStr">
        <is>
          <t>RETAINED</t>
        </is>
      </c>
      <c r="H987" s="23" t="inlineStr">
        <is>
          <t>Carried forward</t>
        </is>
      </c>
      <c r="I987" s="23" t="inlineStr">
        <is>
          <t>Source assignment -- not individually reviewed</t>
        </is>
      </c>
      <c r="J987" s="23" t="inlineStr"/>
      <c r="K987" s="23" t="inlineStr">
        <is>
          <t>Source assignment</t>
        </is>
      </c>
      <c r="L987" s="23" t="inlineStr"/>
      <c r="M987" s="23" t="inlineStr">
        <is>
          <t>Contractor Programme Cycle 2</t>
        </is>
      </c>
      <c r="N987" s="23" t="inlineStr">
        <is>
          <t>Rev 1</t>
        </is>
      </c>
      <c r="O987" s="23" t="inlineStr">
        <is>
          <t>R558-v2</t>
        </is>
      </c>
      <c r="P987" s="23" t="inlineStr"/>
      <c r="Q987" s="23" t="inlineStr"/>
      <c r="R987" s="23" t="inlineStr"/>
      <c r="S987" s="23" t="inlineStr"/>
      <c r="T987" s="23" t="inlineStr"/>
      <c r="U987" s="23" t="inlineStr"/>
      <c r="V987" s="23" t="inlineStr">
        <is>
          <t>WBS Code = 1.4.2</t>
        </is>
      </c>
      <c r="W987" s="23" t="inlineStr"/>
    </row>
    <row r="988" ht="49" customHeight="1">
      <c r="A988" s="23" t="inlineStr">
        <is>
          <t>1.4.2</t>
        </is>
      </c>
      <c r="B988" s="23" t="inlineStr">
        <is>
          <t>Vehicles and Depot - Depot Buildings</t>
        </is>
      </c>
      <c r="C988" s="23" t="inlineStr">
        <is>
          <t>Contractor Programme</t>
        </is>
      </c>
      <c r="D988" s="23" t="inlineStr">
        <is>
          <t>SCH-04-021</t>
        </is>
      </c>
      <c r="E988" s="23" t="inlineStr">
        <is>
          <t>Test track: wash-plant commissioning - release</t>
        </is>
      </c>
      <c r="F988" s="23" t="inlineStr">
        <is>
          <t>ONE_TO_ONE</t>
        </is>
      </c>
      <c r="G988" s="23" t="inlineStr">
        <is>
          <t>RETAINED</t>
        </is>
      </c>
      <c r="H988" s="23" t="inlineStr">
        <is>
          <t>Carried forward</t>
        </is>
      </c>
      <c r="I988" s="23" t="inlineStr">
        <is>
          <t>Source assignment -- not individually reviewed</t>
        </is>
      </c>
      <c r="J988" s="23" t="inlineStr"/>
      <c r="K988" s="23" t="inlineStr">
        <is>
          <t>Source assignment</t>
        </is>
      </c>
      <c r="L988" s="23" t="inlineStr"/>
      <c r="M988" s="23" t="inlineStr">
        <is>
          <t>Contractor Programme Cycle 2</t>
        </is>
      </c>
      <c r="N988" s="23" t="inlineStr">
        <is>
          <t>Rev 1</t>
        </is>
      </c>
      <c r="O988" s="23" t="inlineStr">
        <is>
          <t>R561-v2</t>
        </is>
      </c>
      <c r="P988" s="23" t="inlineStr"/>
      <c r="Q988" s="23" t="inlineStr"/>
      <c r="R988" s="23" t="inlineStr"/>
      <c r="S988" s="23" t="inlineStr"/>
      <c r="T988" s="23" t="inlineStr"/>
      <c r="U988" s="23" t="inlineStr"/>
      <c r="V988" s="23" t="inlineStr">
        <is>
          <t>WBS Code = 1.4.2</t>
        </is>
      </c>
      <c r="W988" s="23" t="inlineStr"/>
    </row>
    <row r="989" ht="49" customHeight="1">
      <c r="A989" s="23" t="inlineStr">
        <is>
          <t>1.4.2</t>
        </is>
      </c>
      <c r="B989" s="23" t="inlineStr">
        <is>
          <t>Vehicles and Depot - Depot Buildings</t>
        </is>
      </c>
      <c r="C989" s="23" t="inlineStr">
        <is>
          <t>Contractor Programme</t>
        </is>
      </c>
      <c r="D989" s="23" t="inlineStr">
        <is>
          <t>SCH-04-024</t>
        </is>
      </c>
      <c r="E989" s="23" t="inlineStr">
        <is>
          <t>Storage yard: workshop crane installation - inspection</t>
        </is>
      </c>
      <c r="F989" s="23" t="inlineStr">
        <is>
          <t>ONE_TO_ONE</t>
        </is>
      </c>
      <c r="G989" s="23" t="inlineStr">
        <is>
          <t>RETAINED</t>
        </is>
      </c>
      <c r="H989" s="23" t="inlineStr">
        <is>
          <t>Carried forward</t>
        </is>
      </c>
      <c r="I989" s="23" t="inlineStr">
        <is>
          <t>Source assignment -- not individually reviewed</t>
        </is>
      </c>
      <c r="J989" s="23" t="inlineStr"/>
      <c r="K989" s="23" t="inlineStr">
        <is>
          <t>Source assignment</t>
        </is>
      </c>
      <c r="L989" s="23" t="inlineStr"/>
      <c r="M989" s="23" t="inlineStr">
        <is>
          <t>Contractor Programme Cycle 2</t>
        </is>
      </c>
      <c r="N989" s="23" t="inlineStr">
        <is>
          <t>Rev 1</t>
        </is>
      </c>
      <c r="O989" s="23" t="inlineStr">
        <is>
          <t>R564-v2</t>
        </is>
      </c>
      <c r="P989" s="23" t="inlineStr"/>
      <c r="Q989" s="23" t="inlineStr"/>
      <c r="R989" s="23" t="inlineStr"/>
      <c r="S989" s="23" t="inlineStr"/>
      <c r="T989" s="23" t="inlineStr"/>
      <c r="U989" s="23" t="inlineStr"/>
      <c r="V989" s="23" t="inlineStr">
        <is>
          <t>WBS Code = 1.4.2</t>
        </is>
      </c>
      <c r="W989" s="23" t="inlineStr"/>
    </row>
    <row r="990" ht="49" customHeight="1">
      <c r="A990" s="23" t="inlineStr">
        <is>
          <t>1.4.2</t>
        </is>
      </c>
      <c r="B990" s="23" t="inlineStr">
        <is>
          <t>Vehicles and Depot - Depot Buildings</t>
        </is>
      </c>
      <c r="C990" s="23" t="inlineStr">
        <is>
          <t>Contractor Programme</t>
        </is>
      </c>
      <c r="D990" s="23" t="inlineStr">
        <is>
          <t>SCH-04-027</t>
        </is>
      </c>
      <c r="E990" s="23" t="inlineStr">
        <is>
          <t>Receiving track: fleet software load - field start</t>
        </is>
      </c>
      <c r="F990" s="23" t="inlineStr">
        <is>
          <t>ONE_TO_ONE</t>
        </is>
      </c>
      <c r="G990" s="23" t="inlineStr">
        <is>
          <t>RETAINED</t>
        </is>
      </c>
      <c r="H990" s="23" t="inlineStr">
        <is>
          <t>Carried forward</t>
        </is>
      </c>
      <c r="I990" s="23" t="inlineStr">
        <is>
          <t>Source assignment -- not individually reviewed</t>
        </is>
      </c>
      <c r="J990" s="23" t="inlineStr"/>
      <c r="K990" s="23" t="inlineStr">
        <is>
          <t>Source assignment</t>
        </is>
      </c>
      <c r="L990" s="23" t="inlineStr"/>
      <c r="M990" s="23" t="inlineStr">
        <is>
          <t>Contractor Programme Cycle 2</t>
        </is>
      </c>
      <c r="N990" s="23" t="inlineStr">
        <is>
          <t>Rev 1</t>
        </is>
      </c>
      <c r="O990" s="23" t="inlineStr">
        <is>
          <t>R567-v2</t>
        </is>
      </c>
      <c r="P990" s="23" t="inlineStr"/>
      <c r="Q990" s="23" t="inlineStr"/>
      <c r="R990" s="23" t="inlineStr"/>
      <c r="S990" s="23" t="inlineStr"/>
      <c r="T990" s="23" t="inlineStr"/>
      <c r="U990" s="23" t="inlineStr"/>
      <c r="V990" s="23" t="inlineStr">
        <is>
          <t>WBS Code = 1.4.2</t>
        </is>
      </c>
      <c r="W990" s="23" t="inlineStr"/>
    </row>
    <row r="991" ht="49" customHeight="1">
      <c r="A991" s="23" t="inlineStr">
        <is>
          <t>1.4.2</t>
        </is>
      </c>
      <c r="B991" s="23" t="inlineStr">
        <is>
          <t>Vehicles and Depot - Depot Buildings</t>
        </is>
      </c>
      <c r="C991" s="23" t="inlineStr">
        <is>
          <t>Contractor Programme</t>
        </is>
      </c>
      <c r="D991" s="23" t="inlineStr">
        <is>
          <t>SCH-04-030</t>
        </is>
      </c>
      <c r="E991" s="23" t="inlineStr">
        <is>
          <t>Operations building: maintenance-bay services - turnover</t>
        </is>
      </c>
      <c r="F991" s="23" t="inlineStr">
        <is>
          <t>ONE_TO_ONE</t>
        </is>
      </c>
      <c r="G991" s="23" t="inlineStr">
        <is>
          <t>RETAINED</t>
        </is>
      </c>
      <c r="H991" s="23" t="inlineStr">
        <is>
          <t>Carried forward</t>
        </is>
      </c>
      <c r="I991" s="23" t="inlineStr">
        <is>
          <t>Source assignment -- not individually reviewed</t>
        </is>
      </c>
      <c r="J991" s="23" t="inlineStr"/>
      <c r="K991" s="23" t="inlineStr">
        <is>
          <t>Source assignment</t>
        </is>
      </c>
      <c r="L991" s="23" t="inlineStr"/>
      <c r="M991" s="23" t="inlineStr">
        <is>
          <t>Contractor Programme Cycle 2</t>
        </is>
      </c>
      <c r="N991" s="23" t="inlineStr">
        <is>
          <t>Rev 1</t>
        </is>
      </c>
      <c r="O991" s="23" t="inlineStr">
        <is>
          <t>R570-v2</t>
        </is>
      </c>
      <c r="P991" s="23" t="inlineStr"/>
      <c r="Q991" s="23" t="inlineStr"/>
      <c r="R991" s="23" t="inlineStr"/>
      <c r="S991" s="23" t="inlineStr"/>
      <c r="T991" s="23" t="inlineStr"/>
      <c r="U991" s="23" t="inlineStr"/>
      <c r="V991" s="23" t="inlineStr">
        <is>
          <t>WBS Code = 1.4.2</t>
        </is>
      </c>
      <c r="W991" s="23" t="inlineStr"/>
    </row>
    <row r="992" ht="49" customHeight="1">
      <c r="A992" s="23" t="inlineStr">
        <is>
          <t>1.4.2</t>
        </is>
      </c>
      <c r="B992" s="23" t="inlineStr">
        <is>
          <t>Vehicles and Depot - Depot Buildings</t>
        </is>
      </c>
      <c r="C992" s="23" t="inlineStr">
        <is>
          <t>Contractor Programme</t>
        </is>
      </c>
      <c r="D992" s="23" t="inlineStr">
        <is>
          <t>SCH-04-033</t>
        </is>
      </c>
      <c r="E992" s="23" t="inlineStr">
        <is>
          <t>Maintenance shop: vehicle-to-depot interface check - installation</t>
        </is>
      </c>
      <c r="F992" s="23" t="inlineStr">
        <is>
          <t>ONE_TO_ONE</t>
        </is>
      </c>
      <c r="G992" s="23" t="inlineStr">
        <is>
          <t>RETAINED</t>
        </is>
      </c>
      <c r="H992" s="23" t="inlineStr">
        <is>
          <t>Carried forward</t>
        </is>
      </c>
      <c r="I992" s="23" t="inlineStr">
        <is>
          <t>Source assignment -- not individually reviewed</t>
        </is>
      </c>
      <c r="J992" s="23" t="inlineStr"/>
      <c r="K992" s="23" t="inlineStr">
        <is>
          <t>Source assignment</t>
        </is>
      </c>
      <c r="L992" s="23" t="inlineStr"/>
      <c r="M992" s="23" t="inlineStr">
        <is>
          <t>Contractor Programme Cycle 2</t>
        </is>
      </c>
      <c r="N992" s="23" t="inlineStr">
        <is>
          <t>Rev 1</t>
        </is>
      </c>
      <c r="O992" s="23" t="inlineStr">
        <is>
          <t>R573-v2</t>
        </is>
      </c>
      <c r="P992" s="23" t="inlineStr"/>
      <c r="Q992" s="23" t="inlineStr"/>
      <c r="R992" s="23" t="inlineStr"/>
      <c r="S992" s="23" t="inlineStr"/>
      <c r="T992" s="23" t="inlineStr"/>
      <c r="U992" s="23" t="inlineStr"/>
      <c r="V992" s="23" t="inlineStr">
        <is>
          <t>WBS Code = 1.4.2</t>
        </is>
      </c>
      <c r="W992" s="23" t="inlineStr"/>
    </row>
    <row r="993" ht="49" customHeight="1">
      <c r="A993" s="23" t="inlineStr">
        <is>
          <t>1.4.2</t>
        </is>
      </c>
      <c r="B993" s="23" t="inlineStr">
        <is>
          <t>Vehicles and Depot - Depot Buildings</t>
        </is>
      </c>
      <c r="C993" s="23" t="inlineStr">
        <is>
          <t>Contractor Programme</t>
        </is>
      </c>
      <c r="D993" s="23" t="inlineStr">
        <is>
          <t>SCH-04-036</t>
        </is>
      </c>
      <c r="E993" s="23" t="inlineStr">
        <is>
          <t>Test track: vehicle delivery inspection - release</t>
        </is>
      </c>
      <c r="F993" s="23" t="inlineStr">
        <is>
          <t>ONE_TO_ONE</t>
        </is>
      </c>
      <c r="G993" s="23" t="inlineStr">
        <is>
          <t>RETAINED</t>
        </is>
      </c>
      <c r="H993" s="23" t="inlineStr">
        <is>
          <t>Carried forward</t>
        </is>
      </c>
      <c r="I993" s="23" t="inlineStr">
        <is>
          <t>Source assignment -- not individually reviewed</t>
        </is>
      </c>
      <c r="J993" s="23" t="inlineStr"/>
      <c r="K993" s="23" t="inlineStr">
        <is>
          <t>Source assignment</t>
        </is>
      </c>
      <c r="L993" s="23" t="inlineStr"/>
      <c r="M993" s="23" t="inlineStr">
        <is>
          <t>Contractor Programme Cycle 2</t>
        </is>
      </c>
      <c r="N993" s="23" t="inlineStr">
        <is>
          <t>Rev 1</t>
        </is>
      </c>
      <c r="O993" s="23" t="inlineStr">
        <is>
          <t>R576-v2</t>
        </is>
      </c>
      <c r="P993" s="23" t="inlineStr"/>
      <c r="Q993" s="23" t="inlineStr"/>
      <c r="R993" s="23" t="inlineStr"/>
      <c r="S993" s="23" t="inlineStr"/>
      <c r="T993" s="23" t="inlineStr"/>
      <c r="U993" s="23" t="inlineStr"/>
      <c r="V993" s="23" t="inlineStr">
        <is>
          <t>WBS Code = 1.4.2</t>
        </is>
      </c>
      <c r="W993" s="23" t="inlineStr"/>
    </row>
    <row r="994" ht="49" customHeight="1">
      <c r="A994" s="23" t="inlineStr">
        <is>
          <t>1.4.2</t>
        </is>
      </c>
      <c r="B994" s="23" t="inlineStr">
        <is>
          <t>Vehicles and Depot - Depot Buildings</t>
        </is>
      </c>
      <c r="C994" s="23" t="inlineStr">
        <is>
          <t>Contractor Programme</t>
        </is>
      </c>
      <c r="D994" s="23" t="inlineStr">
        <is>
          <t>SCH-04-039</t>
        </is>
      </c>
      <c r="E994" s="23" t="inlineStr">
        <is>
          <t>Storage yard: depot structural fit-out - inspection</t>
        </is>
      </c>
      <c r="F994" s="23" t="inlineStr">
        <is>
          <t>ONE_TO_ONE</t>
        </is>
      </c>
      <c r="G994" s="23" t="inlineStr">
        <is>
          <t>RETAINED</t>
        </is>
      </c>
      <c r="H994" s="23" t="inlineStr">
        <is>
          <t>Carried forward</t>
        </is>
      </c>
      <c r="I994" s="23" t="inlineStr">
        <is>
          <t>Source assignment -- not individually reviewed</t>
        </is>
      </c>
      <c r="J994" s="23" t="inlineStr"/>
      <c r="K994" s="23" t="inlineStr">
        <is>
          <t>Source assignment</t>
        </is>
      </c>
      <c r="L994" s="23" t="inlineStr"/>
      <c r="M994" s="23" t="inlineStr">
        <is>
          <t>Contractor Programme Cycle 2</t>
        </is>
      </c>
      <c r="N994" s="23" t="inlineStr">
        <is>
          <t>Rev 1</t>
        </is>
      </c>
      <c r="O994" s="23" t="inlineStr">
        <is>
          <t>R579-v2</t>
        </is>
      </c>
      <c r="P994" s="23" t="inlineStr"/>
      <c r="Q994" s="23" t="inlineStr"/>
      <c r="R994" s="23" t="inlineStr"/>
      <c r="S994" s="23" t="inlineStr"/>
      <c r="T994" s="23" t="inlineStr"/>
      <c r="U994" s="23" t="inlineStr"/>
      <c r="V994" s="23" t="inlineStr">
        <is>
          <t>WBS Code = 1.4.2</t>
        </is>
      </c>
      <c r="W994" s="23" t="inlineStr"/>
    </row>
    <row r="995" ht="49" customHeight="1">
      <c r="A995" s="23" t="inlineStr">
        <is>
          <t>1.4.2</t>
        </is>
      </c>
      <c r="B995" s="23" t="inlineStr">
        <is>
          <t>Vehicles and Depot - Depot Buildings</t>
        </is>
      </c>
      <c r="C995" s="23" t="inlineStr">
        <is>
          <t>Contractor Programme</t>
        </is>
      </c>
      <c r="D995" s="23" t="inlineStr">
        <is>
          <t>SCH-04-042</t>
        </is>
      </c>
      <c r="E995" s="23" t="inlineStr">
        <is>
          <t>Receiving track: wheel-lathe installation - field start</t>
        </is>
      </c>
      <c r="F995" s="23" t="inlineStr">
        <is>
          <t>ONE_TO_ONE</t>
        </is>
      </c>
      <c r="G995" s="23" t="inlineStr">
        <is>
          <t>RETAINED</t>
        </is>
      </c>
      <c r="H995" s="23" t="inlineStr">
        <is>
          <t>Carried forward</t>
        </is>
      </c>
      <c r="I995" s="23" t="inlineStr">
        <is>
          <t>Source assignment -- not individually reviewed</t>
        </is>
      </c>
      <c r="J995" s="23" t="inlineStr"/>
      <c r="K995" s="23" t="inlineStr">
        <is>
          <t>Source assignment</t>
        </is>
      </c>
      <c r="L995" s="23" t="inlineStr"/>
      <c r="M995" s="23" t="inlineStr">
        <is>
          <t>Contractor Programme Cycle 2</t>
        </is>
      </c>
      <c r="N995" s="23" t="inlineStr">
        <is>
          <t>Rev 1</t>
        </is>
      </c>
      <c r="O995" s="23" t="inlineStr">
        <is>
          <t>R582-v2</t>
        </is>
      </c>
      <c r="P995" s="23" t="inlineStr"/>
      <c r="Q995" s="23" t="inlineStr"/>
      <c r="R995" s="23" t="inlineStr"/>
      <c r="S995" s="23" t="inlineStr"/>
      <c r="T995" s="23" t="inlineStr"/>
      <c r="U995" s="23" t="inlineStr"/>
      <c r="V995" s="23" t="inlineStr">
        <is>
          <t>WBS Code = 1.4.2</t>
        </is>
      </c>
      <c r="W995" s="23" t="inlineStr"/>
    </row>
    <row r="996" ht="49" customHeight="1">
      <c r="A996" s="23" t="inlineStr">
        <is>
          <t>1.4.2</t>
        </is>
      </c>
      <c r="B996" s="23" t="inlineStr">
        <is>
          <t>Vehicles and Depot - Depot Buildings</t>
        </is>
      </c>
      <c r="C996" s="23" t="inlineStr">
        <is>
          <t>Contractor Programme</t>
        </is>
      </c>
      <c r="D996" s="23" t="inlineStr">
        <is>
          <t>SCH-04-045</t>
        </is>
      </c>
      <c r="E996" s="23" t="inlineStr">
        <is>
          <t>Operations building: wash-plant commissioning - turnover</t>
        </is>
      </c>
      <c r="F996" s="23" t="inlineStr">
        <is>
          <t>ONE_TO_ONE</t>
        </is>
      </c>
      <c r="G996" s="23" t="inlineStr">
        <is>
          <t>RETAINED</t>
        </is>
      </c>
      <c r="H996" s="23" t="inlineStr">
        <is>
          <t>Carried forward</t>
        </is>
      </c>
      <c r="I996" s="23" t="inlineStr">
        <is>
          <t>Source assignment -- not individually reviewed</t>
        </is>
      </c>
      <c r="J996" s="23" t="inlineStr"/>
      <c r="K996" s="23" t="inlineStr">
        <is>
          <t>Source assignment</t>
        </is>
      </c>
      <c r="L996" s="23" t="inlineStr"/>
      <c r="M996" s="23" t="inlineStr">
        <is>
          <t>Contractor Programme Cycle 2</t>
        </is>
      </c>
      <c r="N996" s="23" t="inlineStr">
        <is>
          <t>Rev 1</t>
        </is>
      </c>
      <c r="O996" s="23" t="inlineStr">
        <is>
          <t>R585-v2</t>
        </is>
      </c>
      <c r="P996" s="23" t="inlineStr"/>
      <c r="Q996" s="23" t="inlineStr"/>
      <c r="R996" s="23" t="inlineStr"/>
      <c r="S996" s="23" t="inlineStr"/>
      <c r="T996" s="23" t="inlineStr"/>
      <c r="U996" s="23" t="inlineStr"/>
      <c r="V996" s="23" t="inlineStr">
        <is>
          <t>WBS Code = 1.4.2</t>
        </is>
      </c>
      <c r="W996" s="23" t="inlineStr"/>
    </row>
    <row r="997" ht="49" customHeight="1">
      <c r="A997" s="23" t="inlineStr">
        <is>
          <t>1.4.2</t>
        </is>
      </c>
      <c r="B997" s="23" t="inlineStr">
        <is>
          <t>Vehicles and Depot - Depot Buildings</t>
        </is>
      </c>
      <c r="C997" s="23" t="inlineStr">
        <is>
          <t>Contractor Programme</t>
        </is>
      </c>
      <c r="D997" s="23" t="inlineStr">
        <is>
          <t>SCH-04-048</t>
        </is>
      </c>
      <c r="E997" s="23" t="inlineStr">
        <is>
          <t>Maintenance shop: workshop crane installation - installation</t>
        </is>
      </c>
      <c r="F997" s="23" t="inlineStr">
        <is>
          <t>ONE_TO_ONE</t>
        </is>
      </c>
      <c r="G997" s="23" t="inlineStr">
        <is>
          <t>RETAINED</t>
        </is>
      </c>
      <c r="H997" s="23" t="inlineStr">
        <is>
          <t>Carried forward</t>
        </is>
      </c>
      <c r="I997" s="23" t="inlineStr">
        <is>
          <t>Source assignment -- not individually reviewed</t>
        </is>
      </c>
      <c r="J997" s="23" t="inlineStr"/>
      <c r="K997" s="23" t="inlineStr">
        <is>
          <t>Source assignment</t>
        </is>
      </c>
      <c r="L997" s="23" t="inlineStr"/>
      <c r="M997" s="23" t="inlineStr">
        <is>
          <t>Contractor Programme Cycle 2</t>
        </is>
      </c>
      <c r="N997" s="23" t="inlineStr">
        <is>
          <t>Rev 1</t>
        </is>
      </c>
      <c r="O997" s="23" t="inlineStr">
        <is>
          <t>R588-v2</t>
        </is>
      </c>
      <c r="P997" s="23" t="inlineStr"/>
      <c r="Q997" s="23" t="inlineStr"/>
      <c r="R997" s="23" t="inlineStr"/>
      <c r="S997" s="23" t="inlineStr"/>
      <c r="T997" s="23" t="inlineStr"/>
      <c r="U997" s="23" t="inlineStr"/>
      <c r="V997" s="23" t="inlineStr">
        <is>
          <t>WBS Code = 1.4.2</t>
        </is>
      </c>
      <c r="W997" s="23" t="inlineStr"/>
    </row>
    <row r="998" ht="49" customHeight="1">
      <c r="A998" s="23" t="inlineStr">
        <is>
          <t>1.4.2</t>
        </is>
      </c>
      <c r="B998" s="23" t="inlineStr">
        <is>
          <t>Vehicles and Depot - Depot Buildings</t>
        </is>
      </c>
      <c r="C998" s="23" t="inlineStr">
        <is>
          <t>Contractor Programme</t>
        </is>
      </c>
      <c r="D998" s="23" t="inlineStr">
        <is>
          <t>SCH-04-051</t>
        </is>
      </c>
      <c r="E998" s="23" t="inlineStr">
        <is>
          <t>Test track: fleet software load - release</t>
        </is>
      </c>
      <c r="F998" s="23" t="inlineStr">
        <is>
          <t>ONE_TO_ONE</t>
        </is>
      </c>
      <c r="G998" s="23" t="inlineStr">
        <is>
          <t>RETAINED</t>
        </is>
      </c>
      <c r="H998" s="23" t="inlineStr">
        <is>
          <t>Carried forward</t>
        </is>
      </c>
      <c r="I998" s="23" t="inlineStr">
        <is>
          <t>Source assignment -- not individually reviewed</t>
        </is>
      </c>
      <c r="J998" s="23" t="inlineStr"/>
      <c r="K998" s="23" t="inlineStr">
        <is>
          <t>Source assignment</t>
        </is>
      </c>
      <c r="L998" s="23" t="inlineStr"/>
      <c r="M998" s="23" t="inlineStr">
        <is>
          <t>Contractor Programme Cycle 2</t>
        </is>
      </c>
      <c r="N998" s="23" t="inlineStr">
        <is>
          <t>Rev 1</t>
        </is>
      </c>
      <c r="O998" s="23" t="inlineStr">
        <is>
          <t>R591-v2</t>
        </is>
      </c>
      <c r="P998" s="23" t="inlineStr"/>
      <c r="Q998" s="23" t="inlineStr"/>
      <c r="R998" s="23" t="inlineStr"/>
      <c r="S998" s="23" t="inlineStr"/>
      <c r="T998" s="23" t="inlineStr"/>
      <c r="U998" s="23" t="inlineStr"/>
      <c r="V998" s="23" t="inlineStr">
        <is>
          <t>WBS Code = 1.4.2</t>
        </is>
      </c>
      <c r="W998" s="23" t="inlineStr"/>
    </row>
    <row r="999" ht="49" customHeight="1">
      <c r="A999" s="23" t="inlineStr">
        <is>
          <t>1.4.2</t>
        </is>
      </c>
      <c r="B999" s="23" t="inlineStr">
        <is>
          <t>Vehicles and Depot - Depot Buildings</t>
        </is>
      </c>
      <c r="C999" s="23" t="inlineStr">
        <is>
          <t>Contractor Programme</t>
        </is>
      </c>
      <c r="D999" s="23" t="inlineStr">
        <is>
          <t>SCH-04-054</t>
        </is>
      </c>
      <c r="E999" s="23" t="inlineStr">
        <is>
          <t>Storage yard: maintenance-bay services - inspection</t>
        </is>
      </c>
      <c r="F999" s="23" t="inlineStr">
        <is>
          <t>ONE_TO_ONE</t>
        </is>
      </c>
      <c r="G999" s="23" t="inlineStr">
        <is>
          <t>RETAINED</t>
        </is>
      </c>
      <c r="H999" s="23" t="inlineStr">
        <is>
          <t>Carried forward</t>
        </is>
      </c>
      <c r="I999" s="23" t="inlineStr">
        <is>
          <t>Source assignment -- not individually reviewed</t>
        </is>
      </c>
      <c r="J999" s="23" t="inlineStr"/>
      <c r="K999" s="23" t="inlineStr">
        <is>
          <t>Source assignment</t>
        </is>
      </c>
      <c r="L999" s="23" t="inlineStr"/>
      <c r="M999" s="23" t="inlineStr">
        <is>
          <t>Contractor Programme Cycle 2</t>
        </is>
      </c>
      <c r="N999" s="23" t="inlineStr">
        <is>
          <t>Rev 1</t>
        </is>
      </c>
      <c r="O999" s="23" t="inlineStr">
        <is>
          <t>R594-v2</t>
        </is>
      </c>
      <c r="P999" s="23" t="inlineStr"/>
      <c r="Q999" s="23" t="inlineStr"/>
      <c r="R999" s="23" t="inlineStr"/>
      <c r="S999" s="23" t="inlineStr"/>
      <c r="T999" s="23" t="inlineStr"/>
      <c r="U999" s="23" t="inlineStr"/>
      <c r="V999" s="23" t="inlineStr">
        <is>
          <t>WBS Code = 1.4.2</t>
        </is>
      </c>
      <c r="W999" s="23" t="inlineStr"/>
    </row>
    <row r="1000" ht="49" customHeight="1">
      <c r="A1000" s="23" t="inlineStr">
        <is>
          <t>1.4.2</t>
        </is>
      </c>
      <c r="B1000" s="23" t="inlineStr">
        <is>
          <t>Vehicles and Depot - Depot Buildings</t>
        </is>
      </c>
      <c r="C1000" s="23" t="inlineStr">
        <is>
          <t>Contractor Programme</t>
        </is>
      </c>
      <c r="D1000" s="23" t="inlineStr">
        <is>
          <t>SCH-04-057</t>
        </is>
      </c>
      <c r="E1000" s="23" t="inlineStr">
        <is>
          <t>Receiving track: vehicle-to-depot interface check - field start</t>
        </is>
      </c>
      <c r="F1000" s="23" t="inlineStr">
        <is>
          <t>ONE_TO_ONE</t>
        </is>
      </c>
      <c r="G1000" s="23" t="inlineStr">
        <is>
          <t>RETAINED</t>
        </is>
      </c>
      <c r="H1000" s="23" t="inlineStr">
        <is>
          <t>Carried forward</t>
        </is>
      </c>
      <c r="I1000" s="23" t="inlineStr">
        <is>
          <t>Source assignment -- not individually reviewed</t>
        </is>
      </c>
      <c r="J1000" s="23" t="inlineStr"/>
      <c r="K1000" s="23" t="inlineStr">
        <is>
          <t>Source assignment</t>
        </is>
      </c>
      <c r="L1000" s="23" t="inlineStr"/>
      <c r="M1000" s="23" t="inlineStr">
        <is>
          <t>Contractor Programme Cycle 2</t>
        </is>
      </c>
      <c r="N1000" s="23" t="inlineStr">
        <is>
          <t>Rev 1</t>
        </is>
      </c>
      <c r="O1000" s="23" t="inlineStr">
        <is>
          <t>R597-v2</t>
        </is>
      </c>
      <c r="P1000" s="23" t="inlineStr"/>
      <c r="Q1000" s="23" t="inlineStr"/>
      <c r="R1000" s="23" t="inlineStr"/>
      <c r="S1000" s="23" t="inlineStr"/>
      <c r="T1000" s="23" t="inlineStr"/>
      <c r="U1000" s="23" t="inlineStr"/>
      <c r="V1000" s="23" t="inlineStr">
        <is>
          <t>WBS Code = 1.4.2</t>
        </is>
      </c>
      <c r="W1000" s="23" t="inlineStr"/>
    </row>
    <row r="1001" ht="49" customHeight="1">
      <c r="A1001" s="23" t="inlineStr">
        <is>
          <t>1.4.2</t>
        </is>
      </c>
      <c r="B1001" s="23" t="inlineStr">
        <is>
          <t>Vehicles and Depot - Depot Buildings</t>
        </is>
      </c>
      <c r="C1001" s="23" t="inlineStr">
        <is>
          <t>Contractor Programme</t>
        </is>
      </c>
      <c r="D1001" s="23" t="inlineStr">
        <is>
          <t>SCH-04-060</t>
        </is>
      </c>
      <c r="E1001" s="23" t="inlineStr">
        <is>
          <t>Operations building: vehicle delivery inspection - turnover</t>
        </is>
      </c>
      <c r="F1001" s="23" t="inlineStr">
        <is>
          <t>ONE_TO_ONE</t>
        </is>
      </c>
      <c r="G1001" s="23" t="inlineStr">
        <is>
          <t>RETAINED</t>
        </is>
      </c>
      <c r="H1001" s="23" t="inlineStr">
        <is>
          <t>Carried forward</t>
        </is>
      </c>
      <c r="I1001" s="23" t="inlineStr">
        <is>
          <t>Source assignment -- not individually reviewed</t>
        </is>
      </c>
      <c r="J1001" s="23" t="inlineStr"/>
      <c r="K1001" s="23" t="inlineStr">
        <is>
          <t>Source assignment</t>
        </is>
      </c>
      <c r="L1001" s="23" t="inlineStr"/>
      <c r="M1001" s="23" t="inlineStr">
        <is>
          <t>Contractor Programme Cycle 2</t>
        </is>
      </c>
      <c r="N1001" s="23" t="inlineStr">
        <is>
          <t>Rev 1</t>
        </is>
      </c>
      <c r="O1001" s="23" t="inlineStr">
        <is>
          <t>R600-v2</t>
        </is>
      </c>
      <c r="P1001" s="23" t="inlineStr"/>
      <c r="Q1001" s="23" t="inlineStr"/>
      <c r="R1001" s="23" t="inlineStr"/>
      <c r="S1001" s="23" t="inlineStr"/>
      <c r="T1001" s="23" t="inlineStr"/>
      <c r="U1001" s="23" t="inlineStr"/>
      <c r="V1001" s="23" t="inlineStr">
        <is>
          <t>WBS Code = 1.4.2</t>
        </is>
      </c>
      <c r="W1001" s="23" t="inlineStr"/>
    </row>
    <row r="1002" ht="49" customHeight="1">
      <c r="A1002" s="23" t="inlineStr">
        <is>
          <t>1.4.2</t>
        </is>
      </c>
      <c r="B1002" s="23" t="inlineStr">
        <is>
          <t>Vehicles and Depot - Depot Buildings</t>
        </is>
      </c>
      <c r="C1002" s="23" t="inlineStr">
        <is>
          <t>Contractor Programme</t>
        </is>
      </c>
      <c r="D1002" s="23" t="inlineStr">
        <is>
          <t>SCH-04-063</t>
        </is>
      </c>
      <c r="E1002" s="23" t="inlineStr">
        <is>
          <t>Maintenance shop: depot structural fit-out - installation</t>
        </is>
      </c>
      <c r="F1002" s="23" t="inlineStr">
        <is>
          <t>ONE_TO_ONE</t>
        </is>
      </c>
      <c r="G1002" s="23" t="inlineStr">
        <is>
          <t>RETAINED</t>
        </is>
      </c>
      <c r="H1002" s="23" t="inlineStr">
        <is>
          <t>Carried forward</t>
        </is>
      </c>
      <c r="I1002" s="23" t="inlineStr">
        <is>
          <t>Source assignment -- not individually reviewed</t>
        </is>
      </c>
      <c r="J1002" s="23" t="inlineStr"/>
      <c r="K1002" s="23" t="inlineStr">
        <is>
          <t>Source assignment</t>
        </is>
      </c>
      <c r="L1002" s="23" t="inlineStr"/>
      <c r="M1002" s="23" t="inlineStr">
        <is>
          <t>Contractor Programme Cycle 2</t>
        </is>
      </c>
      <c r="N1002" s="23" t="inlineStr">
        <is>
          <t>Rev 1</t>
        </is>
      </c>
      <c r="O1002" s="23" t="inlineStr">
        <is>
          <t>R603-v2</t>
        </is>
      </c>
      <c r="P1002" s="23" t="inlineStr"/>
      <c r="Q1002" s="23" t="inlineStr"/>
      <c r="R1002" s="23" t="inlineStr"/>
      <c r="S1002" s="23" t="inlineStr"/>
      <c r="T1002" s="23" t="inlineStr"/>
      <c r="U1002" s="23" t="inlineStr"/>
      <c r="V1002" s="23" t="inlineStr">
        <is>
          <t>WBS Code = 1.4.2</t>
        </is>
      </c>
      <c r="W1002" s="23" t="inlineStr"/>
    </row>
    <row r="1003" ht="49" customHeight="1">
      <c r="A1003" s="23" t="inlineStr">
        <is>
          <t>1.4.2</t>
        </is>
      </c>
      <c r="B1003" s="23" t="inlineStr">
        <is>
          <t>Vehicles and Depot - Depot Buildings</t>
        </is>
      </c>
      <c r="C1003" s="23" t="inlineStr">
        <is>
          <t>Contractor Programme</t>
        </is>
      </c>
      <c r="D1003" s="23" t="inlineStr">
        <is>
          <t>SCH-04-066</t>
        </is>
      </c>
      <c r="E1003" s="23" t="inlineStr">
        <is>
          <t>Test track: wheel-lathe installation - release</t>
        </is>
      </c>
      <c r="F1003" s="23" t="inlineStr">
        <is>
          <t>ONE_TO_ONE</t>
        </is>
      </c>
      <c r="G1003" s="23" t="inlineStr">
        <is>
          <t>RETAINED</t>
        </is>
      </c>
      <c r="H1003" s="23" t="inlineStr">
        <is>
          <t>Carried forward</t>
        </is>
      </c>
      <c r="I1003" s="23" t="inlineStr">
        <is>
          <t>Source assignment -- not individually reviewed</t>
        </is>
      </c>
      <c r="J1003" s="23" t="inlineStr"/>
      <c r="K1003" s="23" t="inlineStr">
        <is>
          <t>Source assignment</t>
        </is>
      </c>
      <c r="L1003" s="23" t="inlineStr"/>
      <c r="M1003" s="23" t="inlineStr">
        <is>
          <t>Contractor Programme Cycle 2</t>
        </is>
      </c>
      <c r="N1003" s="23" t="inlineStr">
        <is>
          <t>Rev 1</t>
        </is>
      </c>
      <c r="O1003" s="23" t="inlineStr">
        <is>
          <t>R606-v2</t>
        </is>
      </c>
      <c r="P1003" s="23" t="inlineStr"/>
      <c r="Q1003" s="23" t="inlineStr"/>
      <c r="R1003" s="23" t="inlineStr"/>
      <c r="S1003" s="23" t="inlineStr"/>
      <c r="T1003" s="23" t="inlineStr"/>
      <c r="U1003" s="23" t="inlineStr"/>
      <c r="V1003" s="23" t="inlineStr">
        <is>
          <t>WBS Code = 1.4.2</t>
        </is>
      </c>
      <c r="W1003" s="23" t="inlineStr"/>
    </row>
    <row r="1004" ht="49" customHeight="1">
      <c r="A1004" s="23" t="inlineStr">
        <is>
          <t>1.4.2</t>
        </is>
      </c>
      <c r="B1004" s="23" t="inlineStr">
        <is>
          <t>Vehicles and Depot - Depot Buildings</t>
        </is>
      </c>
      <c r="C1004" s="23" t="inlineStr">
        <is>
          <t>Contractor Programme</t>
        </is>
      </c>
      <c r="D1004" s="23" t="inlineStr">
        <is>
          <t>SCH-04-069</t>
        </is>
      </c>
      <c r="E1004" s="23" t="inlineStr">
        <is>
          <t>Storage yard: wash-plant commissioning - inspection</t>
        </is>
      </c>
      <c r="F1004" s="23" t="inlineStr">
        <is>
          <t>ONE_TO_ONE</t>
        </is>
      </c>
      <c r="G1004" s="23" t="inlineStr">
        <is>
          <t>RETAINED</t>
        </is>
      </c>
      <c r="H1004" s="23" t="inlineStr">
        <is>
          <t>Carried forward</t>
        </is>
      </c>
      <c r="I1004" s="23" t="inlineStr">
        <is>
          <t>Source assignment -- not individually reviewed</t>
        </is>
      </c>
      <c r="J1004" s="23" t="inlineStr"/>
      <c r="K1004" s="23" t="inlineStr">
        <is>
          <t>Source assignment</t>
        </is>
      </c>
      <c r="L1004" s="23" t="inlineStr"/>
      <c r="M1004" s="23" t="inlineStr">
        <is>
          <t>Contractor Programme Cycle 2</t>
        </is>
      </c>
      <c r="N1004" s="23" t="inlineStr">
        <is>
          <t>Rev 1</t>
        </is>
      </c>
      <c r="O1004" s="23" t="inlineStr">
        <is>
          <t>R609-v2</t>
        </is>
      </c>
      <c r="P1004" s="23" t="inlineStr"/>
      <c r="Q1004" s="23" t="inlineStr"/>
      <c r="R1004" s="23" t="inlineStr"/>
      <c r="S1004" s="23" t="inlineStr"/>
      <c r="T1004" s="23" t="inlineStr"/>
      <c r="U1004" s="23" t="inlineStr"/>
      <c r="V1004" s="23" t="inlineStr">
        <is>
          <t>WBS Code = 1.4.2</t>
        </is>
      </c>
      <c r="W1004" s="23" t="inlineStr"/>
    </row>
    <row r="1005" ht="49" customHeight="1">
      <c r="A1005" s="23" t="inlineStr">
        <is>
          <t>1.4.2</t>
        </is>
      </c>
      <c r="B1005" s="23" t="inlineStr">
        <is>
          <t>Vehicles and Depot - Depot Buildings</t>
        </is>
      </c>
      <c r="C1005" s="23" t="inlineStr">
        <is>
          <t>Contractor Programme</t>
        </is>
      </c>
      <c r="D1005" s="23" t="inlineStr">
        <is>
          <t>SCH-04-072</t>
        </is>
      </c>
      <c r="E1005" s="23" t="inlineStr">
        <is>
          <t>Receiving track: workshop crane installation - field start</t>
        </is>
      </c>
      <c r="F1005" s="23" t="inlineStr">
        <is>
          <t>ONE_TO_ONE</t>
        </is>
      </c>
      <c r="G1005" s="23" t="inlineStr">
        <is>
          <t>RETAINED</t>
        </is>
      </c>
      <c r="H1005" s="23" t="inlineStr">
        <is>
          <t>Carried forward</t>
        </is>
      </c>
      <c r="I1005" s="23" t="inlineStr">
        <is>
          <t>Source assignment -- not individually reviewed</t>
        </is>
      </c>
      <c r="J1005" s="23" t="inlineStr"/>
      <c r="K1005" s="23" t="inlineStr">
        <is>
          <t>Source assignment</t>
        </is>
      </c>
      <c r="L1005" s="23" t="inlineStr"/>
      <c r="M1005" s="23" t="inlineStr">
        <is>
          <t>Contractor Programme Cycle 2</t>
        </is>
      </c>
      <c r="N1005" s="23" t="inlineStr">
        <is>
          <t>Rev 1</t>
        </is>
      </c>
      <c r="O1005" s="23" t="inlineStr">
        <is>
          <t>R612-v2</t>
        </is>
      </c>
      <c r="P1005" s="23" t="inlineStr"/>
      <c r="Q1005" s="23" t="inlineStr"/>
      <c r="R1005" s="23" t="inlineStr"/>
      <c r="S1005" s="23" t="inlineStr"/>
      <c r="T1005" s="23" t="inlineStr"/>
      <c r="U1005" s="23" t="inlineStr"/>
      <c r="V1005" s="23" t="inlineStr">
        <is>
          <t>WBS Code = 1.4.2</t>
        </is>
      </c>
      <c r="W1005" s="23" t="inlineStr"/>
    </row>
    <row r="1006" ht="49" customHeight="1">
      <c r="A1006" s="23" t="inlineStr">
        <is>
          <t>1.4.2</t>
        </is>
      </c>
      <c r="B1006" s="23" t="inlineStr">
        <is>
          <t>Vehicles and Depot - Depot Buildings</t>
        </is>
      </c>
      <c r="C1006" s="23" t="inlineStr">
        <is>
          <t>Contractor Programme</t>
        </is>
      </c>
      <c r="D1006" s="23" t="inlineStr">
        <is>
          <t>SCH-04-075</t>
        </is>
      </c>
      <c r="E1006" s="23" t="inlineStr">
        <is>
          <t>Operations building: fleet software load - turnover</t>
        </is>
      </c>
      <c r="F1006" s="23" t="inlineStr">
        <is>
          <t>ONE_TO_ONE</t>
        </is>
      </c>
      <c r="G1006" s="23" t="inlineStr">
        <is>
          <t>RETAINED</t>
        </is>
      </c>
      <c r="H1006" s="23" t="inlineStr">
        <is>
          <t>Carried forward</t>
        </is>
      </c>
      <c r="I1006" s="23" t="inlineStr">
        <is>
          <t>Source assignment -- not individually reviewed</t>
        </is>
      </c>
      <c r="J1006" s="23" t="inlineStr"/>
      <c r="K1006" s="23" t="inlineStr">
        <is>
          <t>Source assignment</t>
        </is>
      </c>
      <c r="L1006" s="23" t="inlineStr"/>
      <c r="M1006" s="23" t="inlineStr">
        <is>
          <t>Contractor Programme Cycle 2</t>
        </is>
      </c>
      <c r="N1006" s="23" t="inlineStr">
        <is>
          <t>Rev 1</t>
        </is>
      </c>
      <c r="O1006" s="23" t="inlineStr">
        <is>
          <t>R615-v2</t>
        </is>
      </c>
      <c r="P1006" s="23" t="inlineStr"/>
      <c r="Q1006" s="23" t="inlineStr"/>
      <c r="R1006" s="23" t="inlineStr"/>
      <c r="S1006" s="23" t="inlineStr"/>
      <c r="T1006" s="23" t="inlineStr"/>
      <c r="U1006" s="23" t="inlineStr"/>
      <c r="V1006" s="23" t="inlineStr">
        <is>
          <t>WBS Code = 1.4.2</t>
        </is>
      </c>
      <c r="W1006" s="23" t="inlineStr"/>
    </row>
    <row r="1007" ht="49" customHeight="1">
      <c r="A1007" s="23" t="inlineStr">
        <is>
          <t>1.4.2</t>
        </is>
      </c>
      <c r="B1007" s="23" t="inlineStr">
        <is>
          <t>Vehicles and Depot - Depot Buildings</t>
        </is>
      </c>
      <c r="C1007" s="23" t="inlineStr">
        <is>
          <t>Contractor Programme</t>
        </is>
      </c>
      <c r="D1007" s="23" t="inlineStr">
        <is>
          <t>SCH-04-078</t>
        </is>
      </c>
      <c r="E1007" s="23" t="inlineStr">
        <is>
          <t>Maintenance shop: maintenance-bay services - installation</t>
        </is>
      </c>
      <c r="F1007" s="23" t="inlineStr">
        <is>
          <t>ONE_TO_ONE</t>
        </is>
      </c>
      <c r="G1007" s="23" t="inlineStr">
        <is>
          <t>RETAINED</t>
        </is>
      </c>
      <c r="H1007" s="23" t="inlineStr">
        <is>
          <t>Carried forward</t>
        </is>
      </c>
      <c r="I1007" s="23" t="inlineStr">
        <is>
          <t>Source assignment -- not individually reviewed</t>
        </is>
      </c>
      <c r="J1007" s="23" t="inlineStr"/>
      <c r="K1007" s="23" t="inlineStr">
        <is>
          <t>Source assignment</t>
        </is>
      </c>
      <c r="L1007" s="23" t="inlineStr"/>
      <c r="M1007" s="23" t="inlineStr">
        <is>
          <t>Contractor Programme Cycle 2</t>
        </is>
      </c>
      <c r="N1007" s="23" t="inlineStr">
        <is>
          <t>Rev 1</t>
        </is>
      </c>
      <c r="O1007" s="23" t="inlineStr">
        <is>
          <t>R618-v2</t>
        </is>
      </c>
      <c r="P1007" s="23" t="inlineStr"/>
      <c r="Q1007" s="23" t="inlineStr"/>
      <c r="R1007" s="23" t="inlineStr"/>
      <c r="S1007" s="23" t="inlineStr"/>
      <c r="T1007" s="23" t="inlineStr"/>
      <c r="U1007" s="23" t="inlineStr"/>
      <c r="V1007" s="23" t="inlineStr">
        <is>
          <t>WBS Code = 1.4.2</t>
        </is>
      </c>
      <c r="W1007" s="23" t="inlineStr"/>
    </row>
    <row r="1008" ht="49" customHeight="1">
      <c r="A1008" s="23" t="inlineStr">
        <is>
          <t>1.4.2</t>
        </is>
      </c>
      <c r="B1008" s="23" t="inlineStr">
        <is>
          <t>Vehicles and Depot - Depot Buildings</t>
        </is>
      </c>
      <c r="C1008" s="23" t="inlineStr">
        <is>
          <t>Contractor Programme</t>
        </is>
      </c>
      <c r="D1008" s="23" t="inlineStr">
        <is>
          <t>SCH-04-081</t>
        </is>
      </c>
      <c r="E1008" s="23" t="inlineStr">
        <is>
          <t>Test track: vehicle-to-depot interface check - release</t>
        </is>
      </c>
      <c r="F1008" s="23" t="inlineStr">
        <is>
          <t>ONE_TO_ONE</t>
        </is>
      </c>
      <c r="G1008" s="23" t="inlineStr">
        <is>
          <t>RETAINED</t>
        </is>
      </c>
      <c r="H1008" s="23" t="inlineStr">
        <is>
          <t>Carried forward</t>
        </is>
      </c>
      <c r="I1008" s="23" t="inlineStr">
        <is>
          <t>Source assignment -- not individually reviewed</t>
        </is>
      </c>
      <c r="J1008" s="23" t="inlineStr"/>
      <c r="K1008" s="23" t="inlineStr">
        <is>
          <t>Source assignment</t>
        </is>
      </c>
      <c r="L1008" s="23" t="inlineStr"/>
      <c r="M1008" s="23" t="inlineStr">
        <is>
          <t>Contractor Programme Cycle 2</t>
        </is>
      </c>
      <c r="N1008" s="23" t="inlineStr">
        <is>
          <t>Rev 1</t>
        </is>
      </c>
      <c r="O1008" s="23" t="inlineStr">
        <is>
          <t>R621-v2</t>
        </is>
      </c>
      <c r="P1008" s="23" t="inlineStr"/>
      <c r="Q1008" s="23" t="inlineStr"/>
      <c r="R1008" s="23" t="inlineStr"/>
      <c r="S1008" s="23" t="inlineStr"/>
      <c r="T1008" s="23" t="inlineStr"/>
      <c r="U1008" s="23" t="inlineStr"/>
      <c r="V1008" s="23" t="inlineStr">
        <is>
          <t>WBS Code = 1.4.2</t>
        </is>
      </c>
      <c r="W1008" s="23" t="inlineStr"/>
    </row>
    <row r="1009" ht="49" customHeight="1">
      <c r="A1009" s="23" t="inlineStr">
        <is>
          <t>1.4.2</t>
        </is>
      </c>
      <c r="B1009" s="23" t="inlineStr">
        <is>
          <t>Vehicles and Depot - Depot Buildings</t>
        </is>
      </c>
      <c r="C1009" s="23" t="inlineStr">
        <is>
          <t>Contractor Programme</t>
        </is>
      </c>
      <c r="D1009" s="23" t="inlineStr">
        <is>
          <t>SCH-04-084</t>
        </is>
      </c>
      <c r="E1009" s="23" t="inlineStr">
        <is>
          <t>Storage yard: vehicle delivery inspection - inspection</t>
        </is>
      </c>
      <c r="F1009" s="23" t="inlineStr">
        <is>
          <t>ONE_TO_ONE</t>
        </is>
      </c>
      <c r="G1009" s="23" t="inlineStr">
        <is>
          <t>RETAINED</t>
        </is>
      </c>
      <c r="H1009" s="23" t="inlineStr">
        <is>
          <t>Carried forward</t>
        </is>
      </c>
      <c r="I1009" s="23" t="inlineStr">
        <is>
          <t>Source assignment -- not individually reviewed</t>
        </is>
      </c>
      <c r="J1009" s="23" t="inlineStr"/>
      <c r="K1009" s="23" t="inlineStr">
        <is>
          <t>Source assignment</t>
        </is>
      </c>
      <c r="L1009" s="23" t="inlineStr"/>
      <c r="M1009" s="23" t="inlineStr">
        <is>
          <t>Contractor Programme Cycle 2</t>
        </is>
      </c>
      <c r="N1009" s="23" t="inlineStr">
        <is>
          <t>Rev 1</t>
        </is>
      </c>
      <c r="O1009" s="23" t="inlineStr">
        <is>
          <t>R624-v2</t>
        </is>
      </c>
      <c r="P1009" s="23" t="inlineStr"/>
      <c r="Q1009" s="23" t="inlineStr"/>
      <c r="R1009" s="23" t="inlineStr"/>
      <c r="S1009" s="23" t="inlineStr"/>
      <c r="T1009" s="23" t="inlineStr"/>
      <c r="U1009" s="23" t="inlineStr"/>
      <c r="V1009" s="23" t="inlineStr">
        <is>
          <t>WBS Code = 1.4.2</t>
        </is>
      </c>
      <c r="W1009" s="23" t="inlineStr"/>
    </row>
    <row r="1010" ht="49" customHeight="1">
      <c r="A1010" s="23" t="inlineStr">
        <is>
          <t>1.4.2</t>
        </is>
      </c>
      <c r="B1010" s="23" t="inlineStr">
        <is>
          <t>Vehicles and Depot - Depot Buildings</t>
        </is>
      </c>
      <c r="C1010" s="23" t="inlineStr">
        <is>
          <t>Contractor Programme</t>
        </is>
      </c>
      <c r="D1010" s="23" t="inlineStr">
        <is>
          <t>SCH-04-087</t>
        </is>
      </c>
      <c r="E1010" s="23" t="inlineStr">
        <is>
          <t>Receiving track: depot structural fit-out - field start</t>
        </is>
      </c>
      <c r="F1010" s="23" t="inlineStr">
        <is>
          <t>ONE_TO_ONE</t>
        </is>
      </c>
      <c r="G1010" s="23" t="inlineStr">
        <is>
          <t>RETAINED</t>
        </is>
      </c>
      <c r="H1010" s="23" t="inlineStr">
        <is>
          <t>Carried forward</t>
        </is>
      </c>
      <c r="I1010" s="23" t="inlineStr">
        <is>
          <t>Source assignment -- not individually reviewed</t>
        </is>
      </c>
      <c r="J1010" s="23" t="inlineStr"/>
      <c r="K1010" s="23" t="inlineStr">
        <is>
          <t>Source assignment</t>
        </is>
      </c>
      <c r="L1010" s="23" t="inlineStr"/>
      <c r="M1010" s="23" t="inlineStr">
        <is>
          <t>Contractor Programme Cycle 2</t>
        </is>
      </c>
      <c r="N1010" s="23" t="inlineStr">
        <is>
          <t>Rev 1</t>
        </is>
      </c>
      <c r="O1010" s="23" t="inlineStr">
        <is>
          <t>R627-v2</t>
        </is>
      </c>
      <c r="P1010" s="23" t="inlineStr"/>
      <c r="Q1010" s="23" t="inlineStr"/>
      <c r="R1010" s="23" t="inlineStr"/>
      <c r="S1010" s="23" t="inlineStr"/>
      <c r="T1010" s="23" t="inlineStr"/>
      <c r="U1010" s="23" t="inlineStr"/>
      <c r="V1010" s="23" t="inlineStr">
        <is>
          <t>WBS Code = 1.4.2</t>
        </is>
      </c>
      <c r="W1010" s="23" t="inlineStr"/>
    </row>
    <row r="1011" ht="49" customHeight="1">
      <c r="A1011" s="23" t="inlineStr">
        <is>
          <t>1.4.2</t>
        </is>
      </c>
      <c r="B1011" s="23" t="inlineStr">
        <is>
          <t>Vehicles and Depot - Depot Buildings</t>
        </is>
      </c>
      <c r="C1011" s="23" t="inlineStr">
        <is>
          <t>Contractor Programme</t>
        </is>
      </c>
      <c r="D1011" s="23" t="inlineStr">
        <is>
          <t>SCH-04-090</t>
        </is>
      </c>
      <c r="E1011" s="23" t="inlineStr">
        <is>
          <t>Operations building: wheel-lathe installation - turnover</t>
        </is>
      </c>
      <c r="F1011" s="23" t="inlineStr">
        <is>
          <t>ONE_TO_ONE</t>
        </is>
      </c>
      <c r="G1011" s="23" t="inlineStr">
        <is>
          <t>RETAINED</t>
        </is>
      </c>
      <c r="H1011" s="23" t="inlineStr">
        <is>
          <t>Carried forward</t>
        </is>
      </c>
      <c r="I1011" s="23" t="inlineStr">
        <is>
          <t>Source assignment -- not individually reviewed</t>
        </is>
      </c>
      <c r="J1011" s="23" t="inlineStr"/>
      <c r="K1011" s="23" t="inlineStr">
        <is>
          <t>Source assignment</t>
        </is>
      </c>
      <c r="L1011" s="23" t="inlineStr"/>
      <c r="M1011" s="23" t="inlineStr">
        <is>
          <t>Contractor Programme Cycle 2</t>
        </is>
      </c>
      <c r="N1011" s="23" t="inlineStr">
        <is>
          <t>Rev 1</t>
        </is>
      </c>
      <c r="O1011" s="23" t="inlineStr">
        <is>
          <t>R630-v2</t>
        </is>
      </c>
      <c r="P1011" s="23" t="inlineStr"/>
      <c r="Q1011" s="23" t="inlineStr"/>
      <c r="R1011" s="23" t="inlineStr"/>
      <c r="S1011" s="23" t="inlineStr"/>
      <c r="T1011" s="23" t="inlineStr"/>
      <c r="U1011" s="23" t="inlineStr"/>
      <c r="V1011" s="23" t="inlineStr">
        <is>
          <t>WBS Code = 1.4.2</t>
        </is>
      </c>
      <c r="W1011" s="23" t="inlineStr"/>
    </row>
    <row r="1012" ht="49" customHeight="1">
      <c r="A1012" s="23" t="inlineStr">
        <is>
          <t>1.4.2</t>
        </is>
      </c>
      <c r="B1012" s="23" t="inlineStr">
        <is>
          <t>Vehicles and Depot - Depot Buildings</t>
        </is>
      </c>
      <c r="C1012" s="23" t="inlineStr">
        <is>
          <t>Contractor Programme</t>
        </is>
      </c>
      <c r="D1012" s="23" t="inlineStr">
        <is>
          <t>SCH-04-093</t>
        </is>
      </c>
      <c r="E1012" s="23" t="inlineStr">
        <is>
          <t>Maintenance shop: wash-plant commissioning - installation</t>
        </is>
      </c>
      <c r="F1012" s="23" t="inlineStr">
        <is>
          <t>ONE_TO_ONE</t>
        </is>
      </c>
      <c r="G1012" s="23" t="inlineStr">
        <is>
          <t>RETAINED</t>
        </is>
      </c>
      <c r="H1012" s="23" t="inlineStr">
        <is>
          <t>Carried forward</t>
        </is>
      </c>
      <c r="I1012" s="23" t="inlineStr">
        <is>
          <t>Source assignment -- not individually reviewed</t>
        </is>
      </c>
      <c r="J1012" s="23" t="inlineStr"/>
      <c r="K1012" s="23" t="inlineStr">
        <is>
          <t>Source assignment</t>
        </is>
      </c>
      <c r="L1012" s="23" t="inlineStr"/>
      <c r="M1012" s="23" t="inlineStr">
        <is>
          <t>Contractor Programme Cycle 2</t>
        </is>
      </c>
      <c r="N1012" s="23" t="inlineStr">
        <is>
          <t>Rev 1</t>
        </is>
      </c>
      <c r="O1012" s="23" t="inlineStr">
        <is>
          <t>R633-v2</t>
        </is>
      </c>
      <c r="P1012" s="23" t="inlineStr"/>
      <c r="Q1012" s="23" t="inlineStr"/>
      <c r="R1012" s="23" t="inlineStr"/>
      <c r="S1012" s="23" t="inlineStr"/>
      <c r="T1012" s="23" t="inlineStr"/>
      <c r="U1012" s="23" t="inlineStr"/>
      <c r="V1012" s="23" t="inlineStr">
        <is>
          <t>WBS Code = 1.4.2</t>
        </is>
      </c>
      <c r="W1012" s="23" t="inlineStr"/>
    </row>
    <row r="1013" ht="49" customHeight="1">
      <c r="A1013" s="23" t="inlineStr">
        <is>
          <t>1.4.2</t>
        </is>
      </c>
      <c r="B1013" s="23" t="inlineStr">
        <is>
          <t>Vehicles and Depot - Depot Buildings</t>
        </is>
      </c>
      <c r="C1013" s="23" t="inlineStr">
        <is>
          <t>Contractor Programme</t>
        </is>
      </c>
      <c r="D1013" s="23" t="inlineStr">
        <is>
          <t>SCH-04-096</t>
        </is>
      </c>
      <c r="E1013" s="23" t="inlineStr">
        <is>
          <t>Test track: workshop crane installation - release</t>
        </is>
      </c>
      <c r="F1013" s="23" t="inlineStr">
        <is>
          <t>ONE_TO_ONE</t>
        </is>
      </c>
      <c r="G1013" s="23" t="inlineStr">
        <is>
          <t>RETAINED</t>
        </is>
      </c>
      <c r="H1013" s="23" t="inlineStr">
        <is>
          <t>Carried forward</t>
        </is>
      </c>
      <c r="I1013" s="23" t="inlineStr">
        <is>
          <t>Source assignment -- not individually reviewed</t>
        </is>
      </c>
      <c r="J1013" s="23" t="inlineStr"/>
      <c r="K1013" s="23" t="inlineStr">
        <is>
          <t>Source assignment</t>
        </is>
      </c>
      <c r="L1013" s="23" t="inlineStr"/>
      <c r="M1013" s="23" t="inlineStr">
        <is>
          <t>Contractor Programme Cycle 2</t>
        </is>
      </c>
      <c r="N1013" s="23" t="inlineStr">
        <is>
          <t>Rev 1</t>
        </is>
      </c>
      <c r="O1013" s="23" t="inlineStr">
        <is>
          <t>R636-v2</t>
        </is>
      </c>
      <c r="P1013" s="23" t="inlineStr"/>
      <c r="Q1013" s="23" t="inlineStr"/>
      <c r="R1013" s="23" t="inlineStr"/>
      <c r="S1013" s="23" t="inlineStr"/>
      <c r="T1013" s="23" t="inlineStr"/>
      <c r="U1013" s="23" t="inlineStr"/>
      <c r="V1013" s="23" t="inlineStr">
        <is>
          <t>WBS Code = 1.4.2</t>
        </is>
      </c>
      <c r="W1013" s="23" t="inlineStr"/>
    </row>
    <row r="1014" ht="49" customHeight="1">
      <c r="A1014" s="23" t="inlineStr">
        <is>
          <t>1.4.2</t>
        </is>
      </c>
      <c r="B1014" s="23" t="inlineStr">
        <is>
          <t>Vehicles and Depot - Depot Buildings</t>
        </is>
      </c>
      <c r="C1014" s="23" t="inlineStr">
        <is>
          <t>Contractor Programme</t>
        </is>
      </c>
      <c r="D1014" s="23" t="inlineStr">
        <is>
          <t>SCH-04-099</t>
        </is>
      </c>
      <c r="E1014" s="23" t="inlineStr">
        <is>
          <t>Storage yard: fleet software load - inspection</t>
        </is>
      </c>
      <c r="F1014" s="23" t="inlineStr">
        <is>
          <t>ONE_TO_ONE</t>
        </is>
      </c>
      <c r="G1014" s="23" t="inlineStr">
        <is>
          <t>RETAINED</t>
        </is>
      </c>
      <c r="H1014" s="23" t="inlineStr">
        <is>
          <t>Carried forward</t>
        </is>
      </c>
      <c r="I1014" s="23" t="inlineStr">
        <is>
          <t>Source assignment -- not individually reviewed</t>
        </is>
      </c>
      <c r="J1014" s="23" t="inlineStr"/>
      <c r="K1014" s="23" t="inlineStr">
        <is>
          <t>Source assignment</t>
        </is>
      </c>
      <c r="L1014" s="23" t="inlineStr"/>
      <c r="M1014" s="23" t="inlineStr">
        <is>
          <t>Contractor Programme Cycle 2</t>
        </is>
      </c>
      <c r="N1014" s="23" t="inlineStr">
        <is>
          <t>Rev 1</t>
        </is>
      </c>
      <c r="O1014" s="23" t="inlineStr">
        <is>
          <t>R639-v2</t>
        </is>
      </c>
      <c r="P1014" s="23" t="inlineStr"/>
      <c r="Q1014" s="23" t="inlineStr"/>
      <c r="R1014" s="23" t="inlineStr"/>
      <c r="S1014" s="23" t="inlineStr"/>
      <c r="T1014" s="23" t="inlineStr"/>
      <c r="U1014" s="23" t="inlineStr"/>
      <c r="V1014" s="23" t="inlineStr">
        <is>
          <t>WBS Code = 1.4.2</t>
        </is>
      </c>
      <c r="W1014" s="23" t="inlineStr"/>
    </row>
    <row r="1015" ht="49" customHeight="1">
      <c r="A1015" s="23" t="inlineStr">
        <is>
          <t>1.4.2</t>
        </is>
      </c>
      <c r="B1015" s="23" t="inlineStr">
        <is>
          <t>Vehicles and Depot - Depot Buildings</t>
        </is>
      </c>
      <c r="C1015" s="23" t="inlineStr">
        <is>
          <t>Contractor Programme</t>
        </is>
      </c>
      <c r="D1015" s="23" t="inlineStr">
        <is>
          <t>SCH-04-102</t>
        </is>
      </c>
      <c r="E1015" s="23" t="inlineStr">
        <is>
          <t>Receiving track: maintenance-bay services - field start</t>
        </is>
      </c>
      <c r="F1015" s="23" t="inlineStr">
        <is>
          <t>ONE_TO_ONE</t>
        </is>
      </c>
      <c r="G1015" s="23" t="inlineStr">
        <is>
          <t>RETAINED</t>
        </is>
      </c>
      <c r="H1015" s="23" t="inlineStr">
        <is>
          <t>Carried forward</t>
        </is>
      </c>
      <c r="I1015" s="23" t="inlineStr">
        <is>
          <t>Source assignment -- not individually reviewed</t>
        </is>
      </c>
      <c r="J1015" s="23" t="inlineStr"/>
      <c r="K1015" s="23" t="inlineStr">
        <is>
          <t>Source assignment</t>
        </is>
      </c>
      <c r="L1015" s="23" t="inlineStr"/>
      <c r="M1015" s="23" t="inlineStr">
        <is>
          <t>Contractor Programme Cycle 2</t>
        </is>
      </c>
      <c r="N1015" s="23" t="inlineStr">
        <is>
          <t>Rev 1</t>
        </is>
      </c>
      <c r="O1015" s="23" t="inlineStr">
        <is>
          <t>R642-v2</t>
        </is>
      </c>
      <c r="P1015" s="23" t="inlineStr"/>
      <c r="Q1015" s="23" t="inlineStr"/>
      <c r="R1015" s="23" t="inlineStr"/>
      <c r="S1015" s="23" t="inlineStr"/>
      <c r="T1015" s="23" t="inlineStr"/>
      <c r="U1015" s="23" t="inlineStr"/>
      <c r="V1015" s="23" t="inlineStr">
        <is>
          <t>WBS Code = 1.4.2</t>
        </is>
      </c>
      <c r="W1015" s="23" t="inlineStr"/>
    </row>
    <row r="1016" ht="49" customHeight="1">
      <c r="A1016" s="23" t="inlineStr">
        <is>
          <t>1.4.2</t>
        </is>
      </c>
      <c r="B1016" s="23" t="inlineStr">
        <is>
          <t>Vehicles and Depot - Depot Buildings</t>
        </is>
      </c>
      <c r="C1016" s="23" t="inlineStr">
        <is>
          <t>Contractor Programme</t>
        </is>
      </c>
      <c r="D1016" s="23" t="inlineStr">
        <is>
          <t>SCH-04-105</t>
        </is>
      </c>
      <c r="E1016" s="23" t="inlineStr">
        <is>
          <t>Operations building: vehicle-to-depot interface check - turnover</t>
        </is>
      </c>
      <c r="F1016" s="23" t="inlineStr">
        <is>
          <t>ONE_TO_ONE</t>
        </is>
      </c>
      <c r="G1016" s="23" t="inlineStr">
        <is>
          <t>RETAINED</t>
        </is>
      </c>
      <c r="H1016" s="23" t="inlineStr">
        <is>
          <t>Carried forward</t>
        </is>
      </c>
      <c r="I1016" s="23" t="inlineStr">
        <is>
          <t>Source assignment -- not individually reviewed</t>
        </is>
      </c>
      <c r="J1016" s="23" t="inlineStr"/>
      <c r="K1016" s="23" t="inlineStr">
        <is>
          <t>Source assignment</t>
        </is>
      </c>
      <c r="L1016" s="23" t="inlineStr"/>
      <c r="M1016" s="23" t="inlineStr">
        <is>
          <t>Contractor Programme Cycle 2</t>
        </is>
      </c>
      <c r="N1016" s="23" t="inlineStr">
        <is>
          <t>Rev 1</t>
        </is>
      </c>
      <c r="O1016" s="23" t="inlineStr">
        <is>
          <t>R645-v2</t>
        </is>
      </c>
      <c r="P1016" s="23" t="inlineStr"/>
      <c r="Q1016" s="23" t="inlineStr"/>
      <c r="R1016" s="23" t="inlineStr"/>
      <c r="S1016" s="23" t="inlineStr"/>
      <c r="T1016" s="23" t="inlineStr"/>
      <c r="U1016" s="23" t="inlineStr"/>
      <c r="V1016" s="23" t="inlineStr">
        <is>
          <t>WBS Code = 1.4.2</t>
        </is>
      </c>
      <c r="W1016" s="23" t="inlineStr"/>
    </row>
    <row r="1017" ht="49" customHeight="1">
      <c r="A1017" s="23" t="inlineStr">
        <is>
          <t>1.4.2</t>
        </is>
      </c>
      <c r="B1017" s="23" t="inlineStr">
        <is>
          <t>Vehicles and Depot - Depot Buildings</t>
        </is>
      </c>
      <c r="C1017" s="23" t="inlineStr">
        <is>
          <t>Contractor Programme</t>
        </is>
      </c>
      <c r="D1017" s="23" t="inlineStr">
        <is>
          <t>SCH-04-108</t>
        </is>
      </c>
      <c r="E1017" s="23" t="inlineStr">
        <is>
          <t>Maintenance shop: vehicle delivery inspection - installation</t>
        </is>
      </c>
      <c r="F1017" s="23" t="inlineStr">
        <is>
          <t>ONE_TO_ONE</t>
        </is>
      </c>
      <c r="G1017" s="23" t="inlineStr">
        <is>
          <t>RETAINED</t>
        </is>
      </c>
      <c r="H1017" s="23" t="inlineStr">
        <is>
          <t>Carried forward</t>
        </is>
      </c>
      <c r="I1017" s="23" t="inlineStr">
        <is>
          <t>Source assignment -- not individually reviewed</t>
        </is>
      </c>
      <c r="J1017" s="23" t="inlineStr"/>
      <c r="K1017" s="23" t="inlineStr">
        <is>
          <t>Source assignment</t>
        </is>
      </c>
      <c r="L1017" s="23" t="inlineStr"/>
      <c r="M1017" s="23" t="inlineStr">
        <is>
          <t>Contractor Programme Cycle 2</t>
        </is>
      </c>
      <c r="N1017" s="23" t="inlineStr">
        <is>
          <t>Rev 1</t>
        </is>
      </c>
      <c r="O1017" s="23" t="inlineStr">
        <is>
          <t>R648-v2</t>
        </is>
      </c>
      <c r="P1017" s="23" t="inlineStr"/>
      <c r="Q1017" s="23" t="inlineStr"/>
      <c r="R1017" s="23" t="inlineStr"/>
      <c r="S1017" s="23" t="inlineStr"/>
      <c r="T1017" s="23" t="inlineStr"/>
      <c r="U1017" s="23" t="inlineStr"/>
      <c r="V1017" s="23" t="inlineStr">
        <is>
          <t>WBS Code = 1.4.2</t>
        </is>
      </c>
      <c r="W1017" s="23" t="inlineStr"/>
    </row>
    <row r="1018" ht="49" customHeight="1">
      <c r="A1018" s="23" t="inlineStr">
        <is>
          <t>1.4.2</t>
        </is>
      </c>
      <c r="B1018" s="23" t="inlineStr">
        <is>
          <t>Vehicles and Depot - Depot Buildings</t>
        </is>
      </c>
      <c r="C1018" s="23" t="inlineStr">
        <is>
          <t>Contractor Programme</t>
        </is>
      </c>
      <c r="D1018" s="23" t="inlineStr">
        <is>
          <t>SCH-04-111</t>
        </is>
      </c>
      <c r="E1018" s="23" t="inlineStr">
        <is>
          <t>Test track: depot structural fit-out - release</t>
        </is>
      </c>
      <c r="F1018" s="23" t="inlineStr">
        <is>
          <t>ONE_TO_ONE</t>
        </is>
      </c>
      <c r="G1018" s="23" t="inlineStr">
        <is>
          <t>RETAINED</t>
        </is>
      </c>
      <c r="H1018" s="23" t="inlineStr">
        <is>
          <t>Carried forward</t>
        </is>
      </c>
      <c r="I1018" s="23" t="inlineStr">
        <is>
          <t>Source assignment -- not individually reviewed</t>
        </is>
      </c>
      <c r="J1018" s="23" t="inlineStr"/>
      <c r="K1018" s="23" t="inlineStr">
        <is>
          <t>Source assignment</t>
        </is>
      </c>
      <c r="L1018" s="23" t="inlineStr"/>
      <c r="M1018" s="23" t="inlineStr">
        <is>
          <t>Contractor Programme Cycle 2</t>
        </is>
      </c>
      <c r="N1018" s="23" t="inlineStr">
        <is>
          <t>Rev 1</t>
        </is>
      </c>
      <c r="O1018" s="23" t="inlineStr">
        <is>
          <t>R651-v2</t>
        </is>
      </c>
      <c r="P1018" s="23" t="inlineStr"/>
      <c r="Q1018" s="23" t="inlineStr"/>
      <c r="R1018" s="23" t="inlineStr"/>
      <c r="S1018" s="23" t="inlineStr"/>
      <c r="T1018" s="23" t="inlineStr"/>
      <c r="U1018" s="23" t="inlineStr"/>
      <c r="V1018" s="23" t="inlineStr">
        <is>
          <t>WBS Code = 1.4.2</t>
        </is>
      </c>
      <c r="W1018" s="23" t="inlineStr"/>
    </row>
    <row r="1019" ht="49" customHeight="1">
      <c r="A1019" s="23" t="inlineStr">
        <is>
          <t>1.4.2</t>
        </is>
      </c>
      <c r="B1019" s="23" t="inlineStr">
        <is>
          <t>Vehicles and Depot - Depot Buildings</t>
        </is>
      </c>
      <c r="C1019" s="23" t="inlineStr">
        <is>
          <t>Contractor Programme</t>
        </is>
      </c>
      <c r="D1019" s="23" t="inlineStr">
        <is>
          <t>SCH-04-114</t>
        </is>
      </c>
      <c r="E1019" s="23" t="inlineStr">
        <is>
          <t>Storage yard: wheel-lathe installation - inspection</t>
        </is>
      </c>
      <c r="F1019" s="23" t="inlineStr">
        <is>
          <t>ONE_TO_ONE</t>
        </is>
      </c>
      <c r="G1019" s="23" t="inlineStr">
        <is>
          <t>RETAINED</t>
        </is>
      </c>
      <c r="H1019" s="23" t="inlineStr">
        <is>
          <t>Carried forward</t>
        </is>
      </c>
      <c r="I1019" s="23" t="inlineStr">
        <is>
          <t>Source assignment -- not individually reviewed</t>
        </is>
      </c>
      <c r="J1019" s="23" t="inlineStr"/>
      <c r="K1019" s="23" t="inlineStr">
        <is>
          <t>Source assignment</t>
        </is>
      </c>
      <c r="L1019" s="23" t="inlineStr"/>
      <c r="M1019" s="23" t="inlineStr">
        <is>
          <t>Contractor Programme Cycle 2</t>
        </is>
      </c>
      <c r="N1019" s="23" t="inlineStr">
        <is>
          <t>Rev 1</t>
        </is>
      </c>
      <c r="O1019" s="23" t="inlineStr">
        <is>
          <t>R654-v2</t>
        </is>
      </c>
      <c r="P1019" s="23" t="inlineStr"/>
      <c r="Q1019" s="23" t="inlineStr"/>
      <c r="R1019" s="23" t="inlineStr"/>
      <c r="S1019" s="23" t="inlineStr"/>
      <c r="T1019" s="23" t="inlineStr"/>
      <c r="U1019" s="23" t="inlineStr"/>
      <c r="V1019" s="23" t="inlineStr">
        <is>
          <t>WBS Code = 1.4.2</t>
        </is>
      </c>
      <c r="W1019" s="23" t="inlineStr"/>
    </row>
    <row r="1020" ht="49" customHeight="1">
      <c r="A1020" s="23" t="inlineStr">
        <is>
          <t>1.4.2</t>
        </is>
      </c>
      <c r="B1020" s="23" t="inlineStr">
        <is>
          <t>Vehicles and Depot - Depot Buildings</t>
        </is>
      </c>
      <c r="C1020" s="23" t="inlineStr">
        <is>
          <t>Contractor Programme</t>
        </is>
      </c>
      <c r="D1020" s="23" t="inlineStr">
        <is>
          <t>SCH-04-117</t>
        </is>
      </c>
      <c r="E1020" s="23" t="inlineStr">
        <is>
          <t>Receiving track: wash-plant commissioning - field start</t>
        </is>
      </c>
      <c r="F1020" s="23" t="inlineStr">
        <is>
          <t>ONE_TO_ONE</t>
        </is>
      </c>
      <c r="G1020" s="23" t="inlineStr">
        <is>
          <t>RETAINED</t>
        </is>
      </c>
      <c r="H1020" s="23" t="inlineStr">
        <is>
          <t>Carried forward</t>
        </is>
      </c>
      <c r="I1020" s="23" t="inlineStr">
        <is>
          <t>Source assignment -- not individually reviewed</t>
        </is>
      </c>
      <c r="J1020" s="23" t="inlineStr"/>
      <c r="K1020" s="23" t="inlineStr">
        <is>
          <t>Source assignment</t>
        </is>
      </c>
      <c r="L1020" s="23" t="inlineStr"/>
      <c r="M1020" s="23" t="inlineStr">
        <is>
          <t>Contractor Programme Cycle 2</t>
        </is>
      </c>
      <c r="N1020" s="23" t="inlineStr">
        <is>
          <t>Rev 1</t>
        </is>
      </c>
      <c r="O1020" s="23" t="inlineStr">
        <is>
          <t>R657-v2</t>
        </is>
      </c>
      <c r="P1020" s="23" t="inlineStr"/>
      <c r="Q1020" s="23" t="inlineStr"/>
      <c r="R1020" s="23" t="inlineStr"/>
      <c r="S1020" s="23" t="inlineStr"/>
      <c r="T1020" s="23" t="inlineStr"/>
      <c r="U1020" s="23" t="inlineStr"/>
      <c r="V1020" s="23" t="inlineStr">
        <is>
          <t>WBS Code = 1.4.2</t>
        </is>
      </c>
      <c r="W1020" s="23" t="inlineStr"/>
    </row>
    <row r="1021" ht="49" customHeight="1">
      <c r="A1021" s="23" t="inlineStr">
        <is>
          <t>1.4.2</t>
        </is>
      </c>
      <c r="B1021" s="23" t="inlineStr">
        <is>
          <t>Vehicles and Depot - Depot Buildings</t>
        </is>
      </c>
      <c r="C1021" s="23" t="inlineStr">
        <is>
          <t>Contractor Programme</t>
        </is>
      </c>
      <c r="D1021" s="23" t="inlineStr">
        <is>
          <t>SCH-04-120</t>
        </is>
      </c>
      <c r="E1021" s="23" t="inlineStr">
        <is>
          <t>Operations building: workshop crane installation - turnover</t>
        </is>
      </c>
      <c r="F1021" s="23" t="inlineStr">
        <is>
          <t>ONE_TO_ONE</t>
        </is>
      </c>
      <c r="G1021" s="23" t="inlineStr">
        <is>
          <t>RETAINED</t>
        </is>
      </c>
      <c r="H1021" s="23" t="inlineStr">
        <is>
          <t>Carried forward</t>
        </is>
      </c>
      <c r="I1021" s="23" t="inlineStr">
        <is>
          <t>Source assignment -- not individually reviewed</t>
        </is>
      </c>
      <c r="J1021" s="23" t="inlineStr"/>
      <c r="K1021" s="23" t="inlineStr">
        <is>
          <t>Source assignment</t>
        </is>
      </c>
      <c r="L1021" s="23" t="inlineStr"/>
      <c r="M1021" s="23" t="inlineStr">
        <is>
          <t>Contractor Programme Cycle 2</t>
        </is>
      </c>
      <c r="N1021" s="23" t="inlineStr">
        <is>
          <t>Rev 1</t>
        </is>
      </c>
      <c r="O1021" s="23" t="inlineStr">
        <is>
          <t>R660-v2</t>
        </is>
      </c>
      <c r="P1021" s="23" t="inlineStr"/>
      <c r="Q1021" s="23" t="inlineStr"/>
      <c r="R1021" s="23" t="inlineStr"/>
      <c r="S1021" s="23" t="inlineStr"/>
      <c r="T1021" s="23" t="inlineStr"/>
      <c r="U1021" s="23" t="inlineStr"/>
      <c r="V1021" s="23" t="inlineStr">
        <is>
          <t>WBS Code = 1.4.2</t>
        </is>
      </c>
      <c r="W1021" s="23" t="inlineStr"/>
    </row>
    <row r="1022" ht="49" customHeight="1">
      <c r="A1022" s="23" t="inlineStr">
        <is>
          <t>1.4.2</t>
        </is>
      </c>
      <c r="B1022" s="23" t="inlineStr">
        <is>
          <t>Vehicles and Depot - Depot Buildings</t>
        </is>
      </c>
      <c r="C1022" s="23" t="inlineStr">
        <is>
          <t>Contractor Programme</t>
        </is>
      </c>
      <c r="D1022" s="23" t="inlineStr">
        <is>
          <t>SCH-04-123</t>
        </is>
      </c>
      <c r="E1022" s="23" t="inlineStr">
        <is>
          <t>Maintenance shop: fleet software load - installation</t>
        </is>
      </c>
      <c r="F1022" s="23" t="inlineStr">
        <is>
          <t>ONE_TO_ONE</t>
        </is>
      </c>
      <c r="G1022" s="23" t="inlineStr">
        <is>
          <t>RETAINED</t>
        </is>
      </c>
      <c r="H1022" s="23" t="inlineStr">
        <is>
          <t>Carried forward</t>
        </is>
      </c>
      <c r="I1022" s="23" t="inlineStr">
        <is>
          <t>Source assignment -- not individually reviewed</t>
        </is>
      </c>
      <c r="J1022" s="23" t="inlineStr"/>
      <c r="K1022" s="23" t="inlineStr">
        <is>
          <t>Source assignment</t>
        </is>
      </c>
      <c r="L1022" s="23" t="inlineStr"/>
      <c r="M1022" s="23" t="inlineStr">
        <is>
          <t>Contractor Programme Cycle 2</t>
        </is>
      </c>
      <c r="N1022" s="23" t="inlineStr">
        <is>
          <t>Rev 1</t>
        </is>
      </c>
      <c r="O1022" s="23" t="inlineStr">
        <is>
          <t>R663-v2</t>
        </is>
      </c>
      <c r="P1022" s="23" t="inlineStr"/>
      <c r="Q1022" s="23" t="inlineStr"/>
      <c r="R1022" s="23" t="inlineStr"/>
      <c r="S1022" s="23" t="inlineStr"/>
      <c r="T1022" s="23" t="inlineStr"/>
      <c r="U1022" s="23" t="inlineStr"/>
      <c r="V1022" s="23" t="inlineStr">
        <is>
          <t>WBS Code = 1.4.2</t>
        </is>
      </c>
      <c r="W1022" s="23" t="inlineStr"/>
    </row>
    <row r="1023" ht="49" customHeight="1">
      <c r="A1023" s="23" t="inlineStr">
        <is>
          <t>1.4.2</t>
        </is>
      </c>
      <c r="B1023" s="23" t="inlineStr">
        <is>
          <t>Vehicles and Depot - Depot Buildings</t>
        </is>
      </c>
      <c r="C1023" s="23" t="inlineStr">
        <is>
          <t>Contractor Programme</t>
        </is>
      </c>
      <c r="D1023" s="23" t="inlineStr">
        <is>
          <t>SCH-04-126</t>
        </is>
      </c>
      <c r="E1023" s="23" t="inlineStr">
        <is>
          <t>Test track: maintenance-bay services - release</t>
        </is>
      </c>
      <c r="F1023" s="23" t="inlineStr">
        <is>
          <t>ONE_TO_ONE</t>
        </is>
      </c>
      <c r="G1023" s="23" t="inlineStr">
        <is>
          <t>RETAINED</t>
        </is>
      </c>
      <c r="H1023" s="23" t="inlineStr">
        <is>
          <t>Carried forward</t>
        </is>
      </c>
      <c r="I1023" s="23" t="inlineStr">
        <is>
          <t>Source assignment -- not individually reviewed</t>
        </is>
      </c>
      <c r="J1023" s="23" t="inlineStr"/>
      <c r="K1023" s="23" t="inlineStr">
        <is>
          <t>Source assignment</t>
        </is>
      </c>
      <c r="L1023" s="23" t="inlineStr"/>
      <c r="M1023" s="23" t="inlineStr">
        <is>
          <t>Contractor Programme Cycle 2</t>
        </is>
      </c>
      <c r="N1023" s="23" t="inlineStr">
        <is>
          <t>Rev 1</t>
        </is>
      </c>
      <c r="O1023" s="23" t="inlineStr">
        <is>
          <t>R666-v2</t>
        </is>
      </c>
      <c r="P1023" s="23" t="inlineStr"/>
      <c r="Q1023" s="23" t="inlineStr"/>
      <c r="R1023" s="23" t="inlineStr"/>
      <c r="S1023" s="23" t="inlineStr"/>
      <c r="T1023" s="23" t="inlineStr"/>
      <c r="U1023" s="23" t="inlineStr"/>
      <c r="V1023" s="23" t="inlineStr">
        <is>
          <t>WBS Code = 1.4.2</t>
        </is>
      </c>
      <c r="W1023" s="23" t="inlineStr"/>
    </row>
    <row r="1024" ht="49" customHeight="1">
      <c r="A1024" s="23" t="inlineStr">
        <is>
          <t>1.4.2</t>
        </is>
      </c>
      <c r="B1024" s="23" t="inlineStr">
        <is>
          <t>Vehicles and Depot - Depot Buildings</t>
        </is>
      </c>
      <c r="C1024" s="23" t="inlineStr">
        <is>
          <t>Contractor Programme</t>
        </is>
      </c>
      <c r="D1024" s="23" t="inlineStr">
        <is>
          <t>SCH-04-129</t>
        </is>
      </c>
      <c r="E1024" s="23" t="inlineStr">
        <is>
          <t>Storage yard: vehicle-to-depot interface check - inspection</t>
        </is>
      </c>
      <c r="F1024" s="23" t="inlineStr">
        <is>
          <t>ONE_TO_ONE</t>
        </is>
      </c>
      <c r="G1024" s="23" t="inlineStr">
        <is>
          <t>RETAINED</t>
        </is>
      </c>
      <c r="H1024" s="23" t="inlineStr">
        <is>
          <t>Carried forward</t>
        </is>
      </c>
      <c r="I1024" s="23" t="inlineStr">
        <is>
          <t>Source assignment -- not individually reviewed</t>
        </is>
      </c>
      <c r="J1024" s="23" t="inlineStr"/>
      <c r="K1024" s="23" t="inlineStr">
        <is>
          <t>Source assignment</t>
        </is>
      </c>
      <c r="L1024" s="23" t="inlineStr"/>
      <c r="M1024" s="23" t="inlineStr">
        <is>
          <t>Contractor Programme Cycle 2</t>
        </is>
      </c>
      <c r="N1024" s="23" t="inlineStr">
        <is>
          <t>Rev 1</t>
        </is>
      </c>
      <c r="O1024" s="23" t="inlineStr">
        <is>
          <t>R669-v2</t>
        </is>
      </c>
      <c r="P1024" s="23" t="inlineStr"/>
      <c r="Q1024" s="23" t="inlineStr"/>
      <c r="R1024" s="23" t="inlineStr"/>
      <c r="S1024" s="23" t="inlineStr"/>
      <c r="T1024" s="23" t="inlineStr"/>
      <c r="U1024" s="23" t="inlineStr"/>
      <c r="V1024" s="23" t="inlineStr">
        <is>
          <t>WBS Code = 1.4.2</t>
        </is>
      </c>
      <c r="W1024" s="23" t="inlineStr"/>
    </row>
    <row r="1025" ht="49" customHeight="1">
      <c r="A1025" s="23" t="inlineStr">
        <is>
          <t>1.4.2</t>
        </is>
      </c>
      <c r="B1025" s="23" t="inlineStr">
        <is>
          <t>Vehicles and Depot - Depot Buildings</t>
        </is>
      </c>
      <c r="C1025" s="23" t="inlineStr">
        <is>
          <t>Contractor Programme</t>
        </is>
      </c>
      <c r="D1025" s="23" t="inlineStr">
        <is>
          <t>SCH-04-132</t>
        </is>
      </c>
      <c r="E1025" s="23" t="inlineStr">
        <is>
          <t>Receiving track: vehicle delivery inspection - field start</t>
        </is>
      </c>
      <c r="F1025" s="23" t="inlineStr">
        <is>
          <t>ONE_TO_ONE</t>
        </is>
      </c>
      <c r="G1025" s="23" t="inlineStr">
        <is>
          <t>RETAINED</t>
        </is>
      </c>
      <c r="H1025" s="23" t="inlineStr">
        <is>
          <t>Carried forward</t>
        </is>
      </c>
      <c r="I1025" s="23" t="inlineStr">
        <is>
          <t>Source assignment -- not individually reviewed</t>
        </is>
      </c>
      <c r="J1025" s="23" t="inlineStr"/>
      <c r="K1025" s="23" t="inlineStr">
        <is>
          <t>Source assignment</t>
        </is>
      </c>
      <c r="L1025" s="23" t="inlineStr"/>
      <c r="M1025" s="23" t="inlineStr">
        <is>
          <t>Contractor Programme Cycle 2</t>
        </is>
      </c>
      <c r="N1025" s="23" t="inlineStr">
        <is>
          <t>Rev 1</t>
        </is>
      </c>
      <c r="O1025" s="23" t="inlineStr">
        <is>
          <t>R672-v2</t>
        </is>
      </c>
      <c r="P1025" s="23" t="inlineStr"/>
      <c r="Q1025" s="23" t="inlineStr"/>
      <c r="R1025" s="23" t="inlineStr"/>
      <c r="S1025" s="23" t="inlineStr"/>
      <c r="T1025" s="23" t="inlineStr"/>
      <c r="U1025" s="23" t="inlineStr"/>
      <c r="V1025" s="23" t="inlineStr">
        <is>
          <t>WBS Code = 1.4.2</t>
        </is>
      </c>
      <c r="W1025" s="23" t="inlineStr"/>
    </row>
    <row r="1026" ht="49" customHeight="1">
      <c r="A1026" s="23" t="inlineStr">
        <is>
          <t>1.4.2</t>
        </is>
      </c>
      <c r="B1026" s="23" t="inlineStr">
        <is>
          <t>Vehicles and Depot - Depot Buildings</t>
        </is>
      </c>
      <c r="C1026" s="23" t="inlineStr">
        <is>
          <t>Contractor Programme</t>
        </is>
      </c>
      <c r="D1026" s="23" t="inlineStr">
        <is>
          <t>SCH-04-135</t>
        </is>
      </c>
      <c r="E1026" s="23" t="inlineStr">
        <is>
          <t>Operations building: depot structural fit-out - turnover</t>
        </is>
      </c>
      <c r="F1026" s="23" t="inlineStr">
        <is>
          <t>ONE_TO_ONE</t>
        </is>
      </c>
      <c r="G1026" s="23" t="inlineStr">
        <is>
          <t>RETAINED</t>
        </is>
      </c>
      <c r="H1026" s="23" t="inlineStr">
        <is>
          <t>Carried forward</t>
        </is>
      </c>
      <c r="I1026" s="23" t="inlineStr">
        <is>
          <t>Source assignment -- not individually reviewed</t>
        </is>
      </c>
      <c r="J1026" s="23" t="inlineStr"/>
      <c r="K1026" s="23" t="inlineStr">
        <is>
          <t>Source assignment</t>
        </is>
      </c>
      <c r="L1026" s="23" t="inlineStr"/>
      <c r="M1026" s="23" t="inlineStr">
        <is>
          <t>Contractor Programme Cycle 2</t>
        </is>
      </c>
      <c r="N1026" s="23" t="inlineStr">
        <is>
          <t>Rev 1</t>
        </is>
      </c>
      <c r="O1026" s="23" t="inlineStr">
        <is>
          <t>R675-v2</t>
        </is>
      </c>
      <c r="P1026" s="23" t="inlineStr"/>
      <c r="Q1026" s="23" t="inlineStr"/>
      <c r="R1026" s="23" t="inlineStr"/>
      <c r="S1026" s="23" t="inlineStr"/>
      <c r="T1026" s="23" t="inlineStr"/>
      <c r="U1026" s="23" t="inlineStr"/>
      <c r="V1026" s="23" t="inlineStr">
        <is>
          <t>WBS Code = 1.4.2</t>
        </is>
      </c>
      <c r="W1026" s="23" t="inlineStr"/>
    </row>
    <row r="1027" ht="49" customHeight="1">
      <c r="A1027" s="23" t="inlineStr">
        <is>
          <t>1.4.2</t>
        </is>
      </c>
      <c r="B1027" s="23" t="inlineStr">
        <is>
          <t>Vehicles and Depot - Depot Buildings</t>
        </is>
      </c>
      <c r="C1027" s="23" t="inlineStr">
        <is>
          <t>Contractor Programme</t>
        </is>
      </c>
      <c r="D1027" s="23" t="inlineStr">
        <is>
          <t>SCH-04-138</t>
        </is>
      </c>
      <c r="E1027" s="23" t="inlineStr">
        <is>
          <t>Maintenance shop: wheel-lathe installation - installation</t>
        </is>
      </c>
      <c r="F1027" s="23" t="inlineStr">
        <is>
          <t>ONE_TO_ONE</t>
        </is>
      </c>
      <c r="G1027" s="23" t="inlineStr">
        <is>
          <t>RETAINED</t>
        </is>
      </c>
      <c r="H1027" s="23" t="inlineStr">
        <is>
          <t>Carried forward</t>
        </is>
      </c>
      <c r="I1027" s="23" t="inlineStr">
        <is>
          <t>Source assignment -- not individually reviewed</t>
        </is>
      </c>
      <c r="J1027" s="23" t="inlineStr"/>
      <c r="K1027" s="23" t="inlineStr">
        <is>
          <t>Source assignment</t>
        </is>
      </c>
      <c r="L1027" s="23" t="inlineStr"/>
      <c r="M1027" s="23" t="inlineStr">
        <is>
          <t>Contractor Programme Cycle 2</t>
        </is>
      </c>
      <c r="N1027" s="23" t="inlineStr">
        <is>
          <t>Rev 1</t>
        </is>
      </c>
      <c r="O1027" s="23" t="inlineStr">
        <is>
          <t>R678-v2</t>
        </is>
      </c>
      <c r="P1027" s="23" t="inlineStr"/>
      <c r="Q1027" s="23" t="inlineStr"/>
      <c r="R1027" s="23" t="inlineStr"/>
      <c r="S1027" s="23" t="inlineStr"/>
      <c r="T1027" s="23" t="inlineStr"/>
      <c r="U1027" s="23" t="inlineStr"/>
      <c r="V1027" s="23" t="inlineStr">
        <is>
          <t>WBS Code = 1.4.2</t>
        </is>
      </c>
      <c r="W1027" s="23" t="inlineStr"/>
    </row>
    <row r="1028" ht="49" customHeight="1">
      <c r="A1028" s="23" t="inlineStr">
        <is>
          <t>1.4.2</t>
        </is>
      </c>
      <c r="B1028" s="23" t="inlineStr">
        <is>
          <t>Vehicles and Depot - Depot Buildings</t>
        </is>
      </c>
      <c r="C1028" s="23" t="inlineStr">
        <is>
          <t>Contractor Programme</t>
        </is>
      </c>
      <c r="D1028" s="23" t="inlineStr">
        <is>
          <t>SCH-04-141</t>
        </is>
      </c>
      <c r="E1028" s="23" t="inlineStr">
        <is>
          <t>Test track: wash-plant commissioning - release</t>
        </is>
      </c>
      <c r="F1028" s="23" t="inlineStr">
        <is>
          <t>ONE_TO_ONE</t>
        </is>
      </c>
      <c r="G1028" s="23" t="inlineStr">
        <is>
          <t>RETAINED</t>
        </is>
      </c>
      <c r="H1028" s="23" t="inlineStr">
        <is>
          <t>Carried forward</t>
        </is>
      </c>
      <c r="I1028" s="23" t="inlineStr">
        <is>
          <t>Source assignment -- not individually reviewed</t>
        </is>
      </c>
      <c r="J1028" s="23" t="inlineStr"/>
      <c r="K1028" s="23" t="inlineStr">
        <is>
          <t>Source assignment</t>
        </is>
      </c>
      <c r="L1028" s="23" t="inlineStr"/>
      <c r="M1028" s="23" t="inlineStr">
        <is>
          <t>Contractor Programme Cycle 2</t>
        </is>
      </c>
      <c r="N1028" s="23" t="inlineStr">
        <is>
          <t>Rev 1</t>
        </is>
      </c>
      <c r="O1028" s="23" t="inlineStr">
        <is>
          <t>R681-v2</t>
        </is>
      </c>
      <c r="P1028" s="23" t="inlineStr"/>
      <c r="Q1028" s="23" t="inlineStr"/>
      <c r="R1028" s="23" t="inlineStr"/>
      <c r="S1028" s="23" t="inlineStr"/>
      <c r="T1028" s="23" t="inlineStr"/>
      <c r="U1028" s="23" t="inlineStr"/>
      <c r="V1028" s="23" t="inlineStr">
        <is>
          <t>WBS Code = 1.4.2</t>
        </is>
      </c>
      <c r="W1028" s="23" t="inlineStr"/>
    </row>
    <row r="1029" ht="49" customHeight="1">
      <c r="A1029" s="23" t="inlineStr">
        <is>
          <t>1.4.2</t>
        </is>
      </c>
      <c r="B1029" s="23" t="inlineStr">
        <is>
          <t>Vehicles and Depot - Depot Buildings</t>
        </is>
      </c>
      <c r="C1029" s="23" t="inlineStr">
        <is>
          <t>Contractor Programme</t>
        </is>
      </c>
      <c r="D1029" s="23" t="inlineStr">
        <is>
          <t>SCH-04-144</t>
        </is>
      </c>
      <c r="E1029" s="23" t="inlineStr">
        <is>
          <t>Storage yard: workshop crane installation - inspection</t>
        </is>
      </c>
      <c r="F1029" s="23" t="inlineStr">
        <is>
          <t>ONE_TO_ONE</t>
        </is>
      </c>
      <c r="G1029" s="23" t="inlineStr">
        <is>
          <t>RETAINED</t>
        </is>
      </c>
      <c r="H1029" s="23" t="inlineStr">
        <is>
          <t>Carried forward</t>
        </is>
      </c>
      <c r="I1029" s="23" t="inlineStr">
        <is>
          <t>Source assignment -- not individually reviewed</t>
        </is>
      </c>
      <c r="J1029" s="23" t="inlineStr"/>
      <c r="K1029" s="23" t="inlineStr">
        <is>
          <t>Source assignment</t>
        </is>
      </c>
      <c r="L1029" s="23" t="inlineStr"/>
      <c r="M1029" s="23" t="inlineStr">
        <is>
          <t>Contractor Programme Cycle 2</t>
        </is>
      </c>
      <c r="N1029" s="23" t="inlineStr">
        <is>
          <t>Rev 1</t>
        </is>
      </c>
      <c r="O1029" s="23" t="inlineStr">
        <is>
          <t>R684-v2</t>
        </is>
      </c>
      <c r="P1029" s="23" t="inlineStr"/>
      <c r="Q1029" s="23" t="inlineStr"/>
      <c r="R1029" s="23" t="inlineStr"/>
      <c r="S1029" s="23" t="inlineStr"/>
      <c r="T1029" s="23" t="inlineStr"/>
      <c r="U1029" s="23" t="inlineStr"/>
      <c r="V1029" s="23" t="inlineStr">
        <is>
          <t>WBS Code = 1.4.2</t>
        </is>
      </c>
      <c r="W1029" s="23" t="inlineStr"/>
    </row>
    <row r="1030" ht="49" customHeight="1">
      <c r="A1030" s="23" t="inlineStr">
        <is>
          <t>1.4.2</t>
        </is>
      </c>
      <c r="B1030" s="23" t="inlineStr">
        <is>
          <t>Vehicles and Depot - Depot Buildings</t>
        </is>
      </c>
      <c r="C1030" s="23" t="inlineStr">
        <is>
          <t>Contractor Programme</t>
        </is>
      </c>
      <c r="D1030" s="23" t="inlineStr">
        <is>
          <t>SCH-04-147</t>
        </is>
      </c>
      <c r="E1030" s="23" t="inlineStr">
        <is>
          <t>Receiving track: fleet software load - field start</t>
        </is>
      </c>
      <c r="F1030" s="23" t="inlineStr">
        <is>
          <t>ONE_TO_ONE</t>
        </is>
      </c>
      <c r="G1030" s="23" t="inlineStr">
        <is>
          <t>RETAINED</t>
        </is>
      </c>
      <c r="H1030" s="23" t="inlineStr">
        <is>
          <t>Carried forward</t>
        </is>
      </c>
      <c r="I1030" s="23" t="inlineStr">
        <is>
          <t>Source assignment -- not individually reviewed</t>
        </is>
      </c>
      <c r="J1030" s="23" t="inlineStr"/>
      <c r="K1030" s="23" t="inlineStr">
        <is>
          <t>Source assignment</t>
        </is>
      </c>
      <c r="L1030" s="23" t="inlineStr"/>
      <c r="M1030" s="23" t="inlineStr">
        <is>
          <t>Contractor Programme Cycle 2</t>
        </is>
      </c>
      <c r="N1030" s="23" t="inlineStr">
        <is>
          <t>Rev 1</t>
        </is>
      </c>
      <c r="O1030" s="23" t="inlineStr">
        <is>
          <t>R687-v2</t>
        </is>
      </c>
      <c r="P1030" s="23" t="inlineStr"/>
      <c r="Q1030" s="23" t="inlineStr"/>
      <c r="R1030" s="23" t="inlineStr"/>
      <c r="S1030" s="23" t="inlineStr"/>
      <c r="T1030" s="23" t="inlineStr"/>
      <c r="U1030" s="23" t="inlineStr"/>
      <c r="V1030" s="23" t="inlineStr">
        <is>
          <t>WBS Code = 1.4.2</t>
        </is>
      </c>
      <c r="W1030" s="23" t="inlineStr"/>
    </row>
    <row r="1031" ht="49" customHeight="1">
      <c r="A1031" s="23" t="inlineStr">
        <is>
          <t>1.4.2</t>
        </is>
      </c>
      <c r="B1031" s="23" t="inlineStr">
        <is>
          <t>Vehicles and Depot - Depot Buildings</t>
        </is>
      </c>
      <c r="C1031" s="23" t="inlineStr">
        <is>
          <t>Contractor Programme</t>
        </is>
      </c>
      <c r="D1031" s="23" t="inlineStr">
        <is>
          <t>SCH-04-150</t>
        </is>
      </c>
      <c r="E1031" s="23" t="inlineStr">
        <is>
          <t>Operations building: maintenance-bay services - turnover</t>
        </is>
      </c>
      <c r="F1031" s="23" t="inlineStr">
        <is>
          <t>ONE_TO_ONE</t>
        </is>
      </c>
      <c r="G1031" s="23" t="inlineStr">
        <is>
          <t>RETAINED</t>
        </is>
      </c>
      <c r="H1031" s="23" t="inlineStr">
        <is>
          <t>Carried forward</t>
        </is>
      </c>
      <c r="I1031" s="23" t="inlineStr">
        <is>
          <t>Source assignment -- not individually reviewed</t>
        </is>
      </c>
      <c r="J1031" s="23" t="inlineStr"/>
      <c r="K1031" s="23" t="inlineStr">
        <is>
          <t>Source assignment</t>
        </is>
      </c>
      <c r="L1031" s="23" t="inlineStr"/>
      <c r="M1031" s="23" t="inlineStr">
        <is>
          <t>Contractor Programme Cycle 2</t>
        </is>
      </c>
      <c r="N1031" s="23" t="inlineStr">
        <is>
          <t>Rev 1</t>
        </is>
      </c>
      <c r="O1031" s="23" t="inlineStr">
        <is>
          <t>R690-v2</t>
        </is>
      </c>
      <c r="P1031" s="23" t="inlineStr"/>
      <c r="Q1031" s="23" t="inlineStr"/>
      <c r="R1031" s="23" t="inlineStr"/>
      <c r="S1031" s="23" t="inlineStr"/>
      <c r="T1031" s="23" t="inlineStr"/>
      <c r="U1031" s="23" t="inlineStr"/>
      <c r="V1031" s="23" t="inlineStr">
        <is>
          <t>WBS Code = 1.4.2</t>
        </is>
      </c>
      <c r="W1031" s="23" t="inlineStr"/>
    </row>
    <row r="1032" ht="49" customHeight="1">
      <c r="A1032" s="23" t="inlineStr">
        <is>
          <t>1.4.2</t>
        </is>
      </c>
      <c r="B1032" s="23" t="inlineStr">
        <is>
          <t>Vehicles and Depot - Depot Buildings</t>
        </is>
      </c>
      <c r="C1032" s="23" t="inlineStr">
        <is>
          <t>Contractor Programme</t>
        </is>
      </c>
      <c r="D1032" s="23" t="inlineStr">
        <is>
          <t>SCH-04-153</t>
        </is>
      </c>
      <c r="E1032" s="23" t="inlineStr">
        <is>
          <t>Maintenance shop: vehicle-to-depot interface check - installation</t>
        </is>
      </c>
      <c r="F1032" s="23" t="inlineStr">
        <is>
          <t>ONE_TO_ONE</t>
        </is>
      </c>
      <c r="G1032" s="23" t="inlineStr">
        <is>
          <t>RETAINED</t>
        </is>
      </c>
      <c r="H1032" s="23" t="inlineStr">
        <is>
          <t>Carried forward</t>
        </is>
      </c>
      <c r="I1032" s="23" t="inlineStr">
        <is>
          <t>Source assignment -- not individually reviewed</t>
        </is>
      </c>
      <c r="J1032" s="23" t="inlineStr"/>
      <c r="K1032" s="23" t="inlineStr">
        <is>
          <t>Source assignment</t>
        </is>
      </c>
      <c r="L1032" s="23" t="inlineStr"/>
      <c r="M1032" s="23" t="inlineStr">
        <is>
          <t>Contractor Programme Cycle 2</t>
        </is>
      </c>
      <c r="N1032" s="23" t="inlineStr">
        <is>
          <t>Rev 1</t>
        </is>
      </c>
      <c r="O1032" s="23" t="inlineStr">
        <is>
          <t>R693-v2</t>
        </is>
      </c>
      <c r="P1032" s="23" t="inlineStr"/>
      <c r="Q1032" s="23" t="inlineStr"/>
      <c r="R1032" s="23" t="inlineStr"/>
      <c r="S1032" s="23" t="inlineStr"/>
      <c r="T1032" s="23" t="inlineStr"/>
      <c r="U1032" s="23" t="inlineStr"/>
      <c r="V1032" s="23" t="inlineStr">
        <is>
          <t>WBS Code = 1.4.2</t>
        </is>
      </c>
      <c r="W1032" s="23" t="inlineStr"/>
    </row>
    <row r="1033" ht="49" customHeight="1">
      <c r="A1033" s="23" t="inlineStr">
        <is>
          <t>1.4.2</t>
        </is>
      </c>
      <c r="B1033" s="23" t="inlineStr">
        <is>
          <t>Vehicles and Depot - Depot Buildings</t>
        </is>
      </c>
      <c r="C1033" s="23" t="inlineStr">
        <is>
          <t>Contractor Programme</t>
        </is>
      </c>
      <c r="D1033" s="23" t="inlineStr">
        <is>
          <t>SCH-04-156</t>
        </is>
      </c>
      <c r="E1033" s="23" t="inlineStr">
        <is>
          <t>Test track: vehicle delivery inspection - release</t>
        </is>
      </c>
      <c r="F1033" s="23" t="inlineStr">
        <is>
          <t>ONE_TO_ONE</t>
        </is>
      </c>
      <c r="G1033" s="23" t="inlineStr">
        <is>
          <t>RETAINED</t>
        </is>
      </c>
      <c r="H1033" s="23" t="inlineStr">
        <is>
          <t>Carried forward</t>
        </is>
      </c>
      <c r="I1033" s="23" t="inlineStr">
        <is>
          <t>Source assignment -- not individually reviewed</t>
        </is>
      </c>
      <c r="J1033" s="23" t="inlineStr"/>
      <c r="K1033" s="23" t="inlineStr">
        <is>
          <t>Source assignment</t>
        </is>
      </c>
      <c r="L1033" s="23" t="inlineStr"/>
      <c r="M1033" s="23" t="inlineStr">
        <is>
          <t>Contractor Programme Cycle 2</t>
        </is>
      </c>
      <c r="N1033" s="23" t="inlineStr">
        <is>
          <t>Rev 1</t>
        </is>
      </c>
      <c r="O1033" s="23" t="inlineStr">
        <is>
          <t>R696-v2</t>
        </is>
      </c>
      <c r="P1033" s="23" t="inlineStr"/>
      <c r="Q1033" s="23" t="inlineStr"/>
      <c r="R1033" s="23" t="inlineStr"/>
      <c r="S1033" s="23" t="inlineStr"/>
      <c r="T1033" s="23" t="inlineStr"/>
      <c r="U1033" s="23" t="inlineStr"/>
      <c r="V1033" s="23" t="inlineStr">
        <is>
          <t>WBS Code = 1.4.2</t>
        </is>
      </c>
      <c r="W1033" s="23" t="inlineStr"/>
    </row>
    <row r="1034" ht="49" customHeight="1">
      <c r="A1034" s="23" t="inlineStr">
        <is>
          <t>1.4.2</t>
        </is>
      </c>
      <c r="B1034" s="23" t="inlineStr">
        <is>
          <t>Vehicles and Depot - Depot Buildings</t>
        </is>
      </c>
      <c r="C1034" s="23" t="inlineStr">
        <is>
          <t>Contractor Programme</t>
        </is>
      </c>
      <c r="D1034" s="23" t="inlineStr">
        <is>
          <t>SCH-04-159</t>
        </is>
      </c>
      <c r="E1034" s="23" t="inlineStr">
        <is>
          <t>Storage yard: depot structural fit-out - inspection</t>
        </is>
      </c>
      <c r="F1034" s="23" t="inlineStr">
        <is>
          <t>ONE_TO_ONE</t>
        </is>
      </c>
      <c r="G1034" s="23" t="inlineStr">
        <is>
          <t>RETAINED</t>
        </is>
      </c>
      <c r="H1034" s="23" t="inlineStr">
        <is>
          <t>Carried forward</t>
        </is>
      </c>
      <c r="I1034" s="23" t="inlineStr">
        <is>
          <t>Source assignment -- not individually reviewed</t>
        </is>
      </c>
      <c r="J1034" s="23" t="inlineStr"/>
      <c r="K1034" s="23" t="inlineStr">
        <is>
          <t>Source assignment</t>
        </is>
      </c>
      <c r="L1034" s="23" t="inlineStr"/>
      <c r="M1034" s="23" t="inlineStr">
        <is>
          <t>Contractor Programme Cycle 2</t>
        </is>
      </c>
      <c r="N1034" s="23" t="inlineStr">
        <is>
          <t>Rev 1</t>
        </is>
      </c>
      <c r="O1034" s="23" t="inlineStr">
        <is>
          <t>R699-v2</t>
        </is>
      </c>
      <c r="P1034" s="23" t="inlineStr"/>
      <c r="Q1034" s="23" t="inlineStr"/>
      <c r="R1034" s="23" t="inlineStr"/>
      <c r="S1034" s="23" t="inlineStr"/>
      <c r="T1034" s="23" t="inlineStr"/>
      <c r="U1034" s="23" t="inlineStr"/>
      <c r="V1034" s="23" t="inlineStr">
        <is>
          <t>WBS Code = 1.4.2</t>
        </is>
      </c>
      <c r="W1034" s="23" t="inlineStr"/>
    </row>
    <row r="1035" ht="49" customHeight="1">
      <c r="A1035" s="23" t="inlineStr">
        <is>
          <t>1.4.2</t>
        </is>
      </c>
      <c r="B1035" s="23" t="inlineStr">
        <is>
          <t>Vehicles and Depot - Depot Buildings</t>
        </is>
      </c>
      <c r="C1035" s="23" t="inlineStr">
        <is>
          <t>Contractor Programme</t>
        </is>
      </c>
      <c r="D1035" s="23" t="inlineStr">
        <is>
          <t>SCH-04-162</t>
        </is>
      </c>
      <c r="E1035" s="23" t="inlineStr">
        <is>
          <t>Receiving track: wheel-lathe installation - field start</t>
        </is>
      </c>
      <c r="F1035" s="23" t="inlineStr">
        <is>
          <t>ONE_TO_ONE</t>
        </is>
      </c>
      <c r="G1035" s="23" t="inlineStr">
        <is>
          <t>RETAINED</t>
        </is>
      </c>
      <c r="H1035" s="23" t="inlineStr">
        <is>
          <t>Carried forward</t>
        </is>
      </c>
      <c r="I1035" s="23" t="inlineStr">
        <is>
          <t>Source assignment -- not individually reviewed</t>
        </is>
      </c>
      <c r="J1035" s="23" t="inlineStr"/>
      <c r="K1035" s="23" t="inlineStr">
        <is>
          <t>Source assignment</t>
        </is>
      </c>
      <c r="L1035" s="23" t="inlineStr"/>
      <c r="M1035" s="23" t="inlineStr">
        <is>
          <t>Contractor Programme Cycle 2</t>
        </is>
      </c>
      <c r="N1035" s="23" t="inlineStr">
        <is>
          <t>Rev 1</t>
        </is>
      </c>
      <c r="O1035" s="23" t="inlineStr">
        <is>
          <t>R702-v2</t>
        </is>
      </c>
      <c r="P1035" s="23" t="inlineStr"/>
      <c r="Q1035" s="23" t="inlineStr"/>
      <c r="R1035" s="23" t="inlineStr"/>
      <c r="S1035" s="23" t="inlineStr"/>
      <c r="T1035" s="23" t="inlineStr"/>
      <c r="U1035" s="23" t="inlineStr"/>
      <c r="V1035" s="23" t="inlineStr">
        <is>
          <t>WBS Code = 1.4.2</t>
        </is>
      </c>
      <c r="W1035" s="23" t="inlineStr"/>
    </row>
    <row r="1036" ht="49" customHeight="1">
      <c r="A1036" s="23" t="inlineStr">
        <is>
          <t>1.4.2</t>
        </is>
      </c>
      <c r="B1036" s="23" t="inlineStr">
        <is>
          <t>Vehicles and Depot - Depot Buildings</t>
        </is>
      </c>
      <c r="C1036" s="23" t="inlineStr">
        <is>
          <t>Contractor Programme</t>
        </is>
      </c>
      <c r="D1036" s="23" t="inlineStr">
        <is>
          <t>SCH-04-165</t>
        </is>
      </c>
      <c r="E1036" s="23" t="inlineStr">
        <is>
          <t>Operations building: wash-plant commissioning - turnover</t>
        </is>
      </c>
      <c r="F1036" s="23" t="inlineStr">
        <is>
          <t>ONE_TO_ONE</t>
        </is>
      </c>
      <c r="G1036" s="23" t="inlineStr">
        <is>
          <t>RETAINED</t>
        </is>
      </c>
      <c r="H1036" s="23" t="inlineStr">
        <is>
          <t>Carried forward</t>
        </is>
      </c>
      <c r="I1036" s="23" t="inlineStr">
        <is>
          <t>Source assignment -- not individually reviewed</t>
        </is>
      </c>
      <c r="J1036" s="23" t="inlineStr"/>
      <c r="K1036" s="23" t="inlineStr">
        <is>
          <t>Source assignment</t>
        </is>
      </c>
      <c r="L1036" s="23" t="inlineStr"/>
      <c r="M1036" s="23" t="inlineStr">
        <is>
          <t>Contractor Programme Cycle 2</t>
        </is>
      </c>
      <c r="N1036" s="23" t="inlineStr">
        <is>
          <t>Rev 1</t>
        </is>
      </c>
      <c r="O1036" s="23" t="inlineStr">
        <is>
          <t>R705-v2</t>
        </is>
      </c>
      <c r="P1036" s="23" t="inlineStr"/>
      <c r="Q1036" s="23" t="inlineStr"/>
      <c r="R1036" s="23" t="inlineStr"/>
      <c r="S1036" s="23" t="inlineStr"/>
      <c r="T1036" s="23" t="inlineStr"/>
      <c r="U1036" s="23" t="inlineStr"/>
      <c r="V1036" s="23" t="inlineStr">
        <is>
          <t>WBS Code = 1.4.2</t>
        </is>
      </c>
      <c r="W1036" s="23" t="inlineStr"/>
    </row>
    <row r="1037" ht="49" customHeight="1">
      <c r="A1037" s="23" t="inlineStr">
        <is>
          <t>1.4.2</t>
        </is>
      </c>
      <c r="B1037" s="23" t="inlineStr">
        <is>
          <t>Vehicles and Depot - Depot Buildings</t>
        </is>
      </c>
      <c r="C1037" s="23" t="inlineStr">
        <is>
          <t>Contractor Programme</t>
        </is>
      </c>
      <c r="D1037" s="23" t="inlineStr">
        <is>
          <t>SCH-04-168</t>
        </is>
      </c>
      <c r="E1037" s="23" t="inlineStr">
        <is>
          <t>Maintenance shop: workshop crane installation - installation</t>
        </is>
      </c>
      <c r="F1037" s="23" t="inlineStr">
        <is>
          <t>ONE_TO_ONE</t>
        </is>
      </c>
      <c r="G1037" s="23" t="inlineStr">
        <is>
          <t>RETAINED</t>
        </is>
      </c>
      <c r="H1037" s="23" t="inlineStr">
        <is>
          <t>Carried forward</t>
        </is>
      </c>
      <c r="I1037" s="23" t="inlineStr">
        <is>
          <t>Source assignment -- not individually reviewed</t>
        </is>
      </c>
      <c r="J1037" s="23" t="inlineStr"/>
      <c r="K1037" s="23" t="inlineStr">
        <is>
          <t>Source assignment</t>
        </is>
      </c>
      <c r="L1037" s="23" t="inlineStr"/>
      <c r="M1037" s="23" t="inlineStr">
        <is>
          <t>Contractor Programme Cycle 2</t>
        </is>
      </c>
      <c r="N1037" s="23" t="inlineStr">
        <is>
          <t>Rev 1</t>
        </is>
      </c>
      <c r="O1037" s="23" t="inlineStr">
        <is>
          <t>R708-v2</t>
        </is>
      </c>
      <c r="P1037" s="23" t="inlineStr"/>
      <c r="Q1037" s="23" t="inlineStr"/>
      <c r="R1037" s="23" t="inlineStr"/>
      <c r="S1037" s="23" t="inlineStr"/>
      <c r="T1037" s="23" t="inlineStr"/>
      <c r="U1037" s="23" t="inlineStr"/>
      <c r="V1037" s="23" t="inlineStr">
        <is>
          <t>WBS Code = 1.4.2</t>
        </is>
      </c>
      <c r="W1037" s="23" t="inlineStr"/>
    </row>
    <row r="1038" ht="49" customHeight="1">
      <c r="A1038" s="23" t="inlineStr">
        <is>
          <t>1.4.2</t>
        </is>
      </c>
      <c r="B1038" s="23" t="inlineStr">
        <is>
          <t>Vehicles and Depot - Depot Buildings</t>
        </is>
      </c>
      <c r="C1038" s="23" t="inlineStr">
        <is>
          <t>Contractor Programme</t>
        </is>
      </c>
      <c r="D1038" s="23" t="inlineStr">
        <is>
          <t>SCH-04-171</t>
        </is>
      </c>
      <c r="E1038" s="23" t="inlineStr">
        <is>
          <t>Test track: fleet software load - release</t>
        </is>
      </c>
      <c r="F1038" s="23" t="inlineStr">
        <is>
          <t>ONE_TO_ONE</t>
        </is>
      </c>
      <c r="G1038" s="23" t="inlineStr">
        <is>
          <t>RETAINED</t>
        </is>
      </c>
      <c r="H1038" s="23" t="inlineStr">
        <is>
          <t>Carried forward</t>
        </is>
      </c>
      <c r="I1038" s="23" t="inlineStr">
        <is>
          <t>Source assignment -- not individually reviewed</t>
        </is>
      </c>
      <c r="J1038" s="23" t="inlineStr"/>
      <c r="K1038" s="23" t="inlineStr">
        <is>
          <t>Source assignment</t>
        </is>
      </c>
      <c r="L1038" s="23" t="inlineStr"/>
      <c r="M1038" s="23" t="inlineStr">
        <is>
          <t>Contractor Programme Cycle 2</t>
        </is>
      </c>
      <c r="N1038" s="23" t="inlineStr">
        <is>
          <t>Rev 1</t>
        </is>
      </c>
      <c r="O1038" s="23" t="inlineStr">
        <is>
          <t>R711-v2</t>
        </is>
      </c>
      <c r="P1038" s="23" t="inlineStr"/>
      <c r="Q1038" s="23" t="inlineStr"/>
      <c r="R1038" s="23" t="inlineStr"/>
      <c r="S1038" s="23" t="inlineStr"/>
      <c r="T1038" s="23" t="inlineStr"/>
      <c r="U1038" s="23" t="inlineStr"/>
      <c r="V1038" s="23" t="inlineStr">
        <is>
          <t>WBS Code = 1.4.2</t>
        </is>
      </c>
      <c r="W1038" s="23" t="inlineStr"/>
    </row>
    <row r="1039" ht="49" customHeight="1">
      <c r="A1039" s="23" t="inlineStr">
        <is>
          <t>1.4.2</t>
        </is>
      </c>
      <c r="B1039" s="23" t="inlineStr">
        <is>
          <t>Vehicles and Depot - Depot Buildings</t>
        </is>
      </c>
      <c r="C1039" s="23" t="inlineStr">
        <is>
          <t>Contractor Programme</t>
        </is>
      </c>
      <c r="D1039" s="23" t="inlineStr">
        <is>
          <t>SCH-04-174</t>
        </is>
      </c>
      <c r="E1039" s="23" t="inlineStr">
        <is>
          <t>Storage yard: maintenance-bay services - inspection</t>
        </is>
      </c>
      <c r="F1039" s="23" t="inlineStr">
        <is>
          <t>ONE_TO_ONE</t>
        </is>
      </c>
      <c r="G1039" s="23" t="inlineStr">
        <is>
          <t>RETAINED</t>
        </is>
      </c>
      <c r="H1039" s="23" t="inlineStr">
        <is>
          <t>Carried forward</t>
        </is>
      </c>
      <c r="I1039" s="23" t="inlineStr">
        <is>
          <t>Source assignment -- not individually reviewed</t>
        </is>
      </c>
      <c r="J1039" s="23" t="inlineStr"/>
      <c r="K1039" s="23" t="inlineStr">
        <is>
          <t>Source assignment</t>
        </is>
      </c>
      <c r="L1039" s="23" t="inlineStr"/>
      <c r="M1039" s="23" t="inlineStr">
        <is>
          <t>Contractor Programme Cycle 2</t>
        </is>
      </c>
      <c r="N1039" s="23" t="inlineStr">
        <is>
          <t>Rev 1</t>
        </is>
      </c>
      <c r="O1039" s="23" t="inlineStr">
        <is>
          <t>R714-v2</t>
        </is>
      </c>
      <c r="P1039" s="23" t="inlineStr"/>
      <c r="Q1039" s="23" t="inlineStr"/>
      <c r="R1039" s="23" t="inlineStr"/>
      <c r="S1039" s="23" t="inlineStr"/>
      <c r="T1039" s="23" t="inlineStr"/>
      <c r="U1039" s="23" t="inlineStr"/>
      <c r="V1039" s="23" t="inlineStr">
        <is>
          <t>WBS Code = 1.4.2</t>
        </is>
      </c>
      <c r="W1039" s="23" t="inlineStr"/>
    </row>
    <row r="1040" ht="49" customHeight="1">
      <c r="A1040" s="23" t="inlineStr">
        <is>
          <t>1.4.2</t>
        </is>
      </c>
      <c r="B1040" s="23" t="inlineStr">
        <is>
          <t>Vehicles and Depot - Depot Buildings</t>
        </is>
      </c>
      <c r="C1040" s="23" t="inlineStr">
        <is>
          <t>Contractor Programme</t>
        </is>
      </c>
      <c r="D1040" s="23" t="inlineStr">
        <is>
          <t>SCH-04-177</t>
        </is>
      </c>
      <c r="E1040" s="23" t="inlineStr">
        <is>
          <t>Receiving track: vehicle-to-depot interface check - field start</t>
        </is>
      </c>
      <c r="F1040" s="23" t="inlineStr">
        <is>
          <t>ONE_TO_ONE</t>
        </is>
      </c>
      <c r="G1040" s="23" t="inlineStr">
        <is>
          <t>RETAINED</t>
        </is>
      </c>
      <c r="H1040" s="23" t="inlineStr">
        <is>
          <t>Carried forward</t>
        </is>
      </c>
      <c r="I1040" s="23" t="inlineStr">
        <is>
          <t>Source assignment -- not individually reviewed</t>
        </is>
      </c>
      <c r="J1040" s="23" t="inlineStr"/>
      <c r="K1040" s="23" t="inlineStr">
        <is>
          <t>Source assignment</t>
        </is>
      </c>
      <c r="L1040" s="23" t="inlineStr"/>
      <c r="M1040" s="23" t="inlineStr">
        <is>
          <t>Contractor Programme Cycle 2</t>
        </is>
      </c>
      <c r="N1040" s="23" t="inlineStr">
        <is>
          <t>Rev 1</t>
        </is>
      </c>
      <c r="O1040" s="23" t="inlineStr">
        <is>
          <t>R717-v2</t>
        </is>
      </c>
      <c r="P1040" s="23" t="inlineStr"/>
      <c r="Q1040" s="23" t="inlineStr"/>
      <c r="R1040" s="23" t="inlineStr"/>
      <c r="S1040" s="23" t="inlineStr"/>
      <c r="T1040" s="23" t="inlineStr"/>
      <c r="U1040" s="23" t="inlineStr"/>
      <c r="V1040" s="23" t="inlineStr">
        <is>
          <t>WBS Code = 1.4.2</t>
        </is>
      </c>
      <c r="W1040" s="23" t="inlineStr"/>
    </row>
    <row r="1041" ht="49" customHeight="1">
      <c r="A1041" s="23" t="inlineStr">
        <is>
          <t>1.4.2</t>
        </is>
      </c>
      <c r="B1041" s="23" t="inlineStr">
        <is>
          <t>Vehicles and Depot - Depot Buildings</t>
        </is>
      </c>
      <c r="C1041" s="23" t="inlineStr">
        <is>
          <t>Contractor Programme</t>
        </is>
      </c>
      <c r="D1041" s="23" t="inlineStr">
        <is>
          <t>SCH-04-180</t>
        </is>
      </c>
      <c r="E1041" s="23" t="inlineStr">
        <is>
          <t>Operations building: vehicle delivery inspection - turnover</t>
        </is>
      </c>
      <c r="F1041" s="23" t="inlineStr">
        <is>
          <t>ONE_TO_ONE</t>
        </is>
      </c>
      <c r="G1041" s="23" t="inlineStr">
        <is>
          <t>RETAINED</t>
        </is>
      </c>
      <c r="H1041" s="23" t="inlineStr">
        <is>
          <t>Carried forward</t>
        </is>
      </c>
      <c r="I1041" s="23" t="inlineStr">
        <is>
          <t>Source assignment -- not individually reviewed</t>
        </is>
      </c>
      <c r="J1041" s="23" t="inlineStr"/>
      <c r="K1041" s="23" t="inlineStr">
        <is>
          <t>Source assignment</t>
        </is>
      </c>
      <c r="L1041" s="23" t="inlineStr"/>
      <c r="M1041" s="23" t="inlineStr">
        <is>
          <t>Contractor Programme Cycle 2</t>
        </is>
      </c>
      <c r="N1041" s="23" t="inlineStr">
        <is>
          <t>Rev 1</t>
        </is>
      </c>
      <c r="O1041" s="23" t="inlineStr">
        <is>
          <t>R720-v2</t>
        </is>
      </c>
      <c r="P1041" s="23" t="inlineStr"/>
      <c r="Q1041" s="23" t="inlineStr"/>
      <c r="R1041" s="23" t="inlineStr"/>
      <c r="S1041" s="23" t="inlineStr"/>
      <c r="T1041" s="23" t="inlineStr"/>
      <c r="U1041" s="23" t="inlineStr"/>
      <c r="V1041" s="23" t="inlineStr">
        <is>
          <t>WBS Code = 1.4.2</t>
        </is>
      </c>
      <c r="W1041" s="23" t="inlineStr"/>
    </row>
    <row r="1042" ht="64" customHeight="1">
      <c r="A1042" s="23" t="inlineStr">
        <is>
          <t>1.4.2</t>
        </is>
      </c>
      <c r="B1042" s="23" t="inlineStr">
        <is>
          <t>Vehicles and Depot - Depot Buildings</t>
        </is>
      </c>
      <c r="C1042" s="23" t="inlineStr">
        <is>
          <t>Cost &amp; Forecast Control Accounts</t>
        </is>
      </c>
      <c r="D1042" s="23" t="inlineStr">
        <is>
          <t>CST-04-002</t>
        </is>
      </c>
      <c r="E1042" s="23" t="inlineStr">
        <is>
          <t>Vehicles and Depot - workshop equipment - supply and install</t>
        </is>
      </c>
      <c r="F1042" s="23" t="inlineStr">
        <is>
          <t>ONE_TO_ONE</t>
        </is>
      </c>
      <c r="G1042" s="23" t="inlineStr">
        <is>
          <t>RETAINED</t>
        </is>
      </c>
      <c r="H1042" s="23" t="inlineStr">
        <is>
          <t>Carried forward</t>
        </is>
      </c>
      <c r="I1042" s="23" t="inlineStr">
        <is>
          <t>Source assignment -- not individually reviewed</t>
        </is>
      </c>
      <c r="J1042" s="23" t="inlineStr"/>
      <c r="K1042" s="23" t="inlineStr">
        <is>
          <t>Source assignment</t>
        </is>
      </c>
      <c r="L1042" s="23" t="inlineStr"/>
      <c r="M1042" s="23" t="inlineStr">
        <is>
          <t>Cost &amp; Forecast Control Accounts Cycle 2</t>
        </is>
      </c>
      <c r="N1042" s="23" t="inlineStr">
        <is>
          <t>Rev 1</t>
        </is>
      </c>
      <c r="O1042" s="23" t="inlineStr">
        <is>
          <t>R1324-v2</t>
        </is>
      </c>
      <c r="P1042" s="23" t="inlineStr"/>
      <c r="Q1042" s="23" t="inlineStr"/>
      <c r="R1042" s="23" t="inlineStr"/>
      <c r="S1042" s="23" t="inlineStr"/>
      <c r="T1042" s="23" t="inlineStr"/>
      <c r="U1042" s="23" t="inlineStr"/>
      <c r="V1042" s="23" t="inlineStr">
        <is>
          <t>Cost Account = CA-4002; WBS Code = 1.4.2</t>
        </is>
      </c>
      <c r="W1042" s="23" t="inlineStr"/>
    </row>
    <row r="1043" ht="64" customHeight="1">
      <c r="A1043" s="23" t="inlineStr">
        <is>
          <t>1.4.2</t>
        </is>
      </c>
      <c r="B1043" s="23" t="inlineStr">
        <is>
          <t>Vehicles and Depot - Depot Buildings</t>
        </is>
      </c>
      <c r="C1043" s="23" t="inlineStr">
        <is>
          <t>Cost &amp; Forecast Control Accounts</t>
        </is>
      </c>
      <c r="D1043" s="23" t="inlineStr">
        <is>
          <t>CST-04-004</t>
        </is>
      </c>
      <c r="E1043" s="23" t="inlineStr">
        <is>
          <t>Vehicles and Depot - fleet supply - allowance</t>
        </is>
      </c>
      <c r="F1043" s="23" t="inlineStr">
        <is>
          <t>ONE_TO_ONE</t>
        </is>
      </c>
      <c r="G1043" s="23" t="inlineStr">
        <is>
          <t>RETAINED</t>
        </is>
      </c>
      <c r="H1043" s="23" t="inlineStr">
        <is>
          <t>Carried forward</t>
        </is>
      </c>
      <c r="I1043" s="23" t="inlineStr">
        <is>
          <t>Source assignment -- not individually reviewed</t>
        </is>
      </c>
      <c r="J1043" s="23" t="inlineStr"/>
      <c r="K1043" s="23" t="inlineStr">
        <is>
          <t>Source assignment</t>
        </is>
      </c>
      <c r="L1043" s="23" t="inlineStr"/>
      <c r="M1043" s="23" t="inlineStr">
        <is>
          <t>Cost &amp; Forecast Control Accounts Cycle 2</t>
        </is>
      </c>
      <c r="N1043" s="23" t="inlineStr">
        <is>
          <t>Rev 1</t>
        </is>
      </c>
      <c r="O1043" s="23" t="inlineStr">
        <is>
          <t>R1326-v2</t>
        </is>
      </c>
      <c r="P1043" s="23" t="inlineStr"/>
      <c r="Q1043" s="23" t="inlineStr"/>
      <c r="R1043" s="23" t="inlineStr"/>
      <c r="S1043" s="23" t="inlineStr"/>
      <c r="T1043" s="23" t="inlineStr"/>
      <c r="U1043" s="23" t="inlineStr"/>
      <c r="V1043" s="23" t="inlineStr">
        <is>
          <t>Cost Account = CA-4004; WBS Code = 1.4.2</t>
        </is>
      </c>
      <c r="W1043" s="23" t="inlineStr"/>
    </row>
    <row r="1044" ht="64" customHeight="1">
      <c r="A1044" s="23" t="inlineStr">
        <is>
          <t>1.4.2</t>
        </is>
      </c>
      <c r="B1044" s="23" t="inlineStr">
        <is>
          <t>Vehicles and Depot - Depot Buildings</t>
        </is>
      </c>
      <c r="C1044" s="23" t="inlineStr">
        <is>
          <t>Cost &amp; Forecast Control Accounts</t>
        </is>
      </c>
      <c r="D1044" s="23" t="inlineStr">
        <is>
          <t>CST-04-006</t>
        </is>
      </c>
      <c r="E1044" s="23" t="inlineStr">
        <is>
          <t>Vehicles and Depot - spares - field package</t>
        </is>
      </c>
      <c r="F1044" s="23" t="inlineStr">
        <is>
          <t>ONE_TO_ONE</t>
        </is>
      </c>
      <c r="G1044" s="23" t="inlineStr">
        <is>
          <t>RETAINED</t>
        </is>
      </c>
      <c r="H1044" s="23" t="inlineStr">
        <is>
          <t>Carried forward</t>
        </is>
      </c>
      <c r="I1044" s="23" t="inlineStr">
        <is>
          <t>Source assignment -- not individually reviewed</t>
        </is>
      </c>
      <c r="J1044" s="23" t="inlineStr"/>
      <c r="K1044" s="23" t="inlineStr">
        <is>
          <t>Source assignment</t>
        </is>
      </c>
      <c r="L1044" s="23" t="inlineStr"/>
      <c r="M1044" s="23" t="inlineStr">
        <is>
          <t>Cost &amp; Forecast Control Accounts Cycle 2</t>
        </is>
      </c>
      <c r="N1044" s="23" t="inlineStr">
        <is>
          <t>Rev 1</t>
        </is>
      </c>
      <c r="O1044" s="23" t="inlineStr">
        <is>
          <t>R1328-v2</t>
        </is>
      </c>
      <c r="P1044" s="23" t="inlineStr"/>
      <c r="Q1044" s="23" t="inlineStr"/>
      <c r="R1044" s="23" t="inlineStr"/>
      <c r="S1044" s="23" t="inlineStr"/>
      <c r="T1044" s="23" t="inlineStr"/>
      <c r="U1044" s="23" t="inlineStr"/>
      <c r="V1044" s="23" t="inlineStr">
        <is>
          <t>Cost Account = CA-4006; WBS Code = 1.4.2</t>
        </is>
      </c>
      <c r="W1044" s="23" t="inlineStr"/>
    </row>
    <row r="1045" ht="64" customHeight="1">
      <c r="A1045" s="23" t="inlineStr">
        <is>
          <t>1.4.2</t>
        </is>
      </c>
      <c r="B1045" s="23" t="inlineStr">
        <is>
          <t>Vehicles and Depot - Depot Buildings</t>
        </is>
      </c>
      <c r="C1045" s="23" t="inlineStr">
        <is>
          <t>Cost &amp; Forecast Control Accounts</t>
        </is>
      </c>
      <c r="D1045" s="23" t="inlineStr">
        <is>
          <t>CST-04-008</t>
        </is>
      </c>
      <c r="E1045" s="23" t="inlineStr">
        <is>
          <t>Vehicles and Depot - workshop equipment - professional services</t>
        </is>
      </c>
      <c r="F1045" s="23" t="inlineStr">
        <is>
          <t>ONE_TO_ONE</t>
        </is>
      </c>
      <c r="G1045" s="23" t="inlineStr">
        <is>
          <t>RETAINED</t>
        </is>
      </c>
      <c r="H1045" s="23" t="inlineStr">
        <is>
          <t>Carried forward</t>
        </is>
      </c>
      <c r="I1045" s="23" t="inlineStr">
        <is>
          <t>Source assignment -- not individually reviewed</t>
        </is>
      </c>
      <c r="J1045" s="23" t="inlineStr"/>
      <c r="K1045" s="23" t="inlineStr">
        <is>
          <t>Source assignment</t>
        </is>
      </c>
      <c r="L1045" s="23" t="inlineStr"/>
      <c r="M1045" s="23" t="inlineStr">
        <is>
          <t>Cost &amp; Forecast Control Accounts Cycle 2</t>
        </is>
      </c>
      <c r="N1045" s="23" t="inlineStr">
        <is>
          <t>Rev 1</t>
        </is>
      </c>
      <c r="O1045" s="23" t="inlineStr">
        <is>
          <t>R1330-v2</t>
        </is>
      </c>
      <c r="P1045" s="23" t="inlineStr"/>
      <c r="Q1045" s="23" t="inlineStr"/>
      <c r="R1045" s="23" t="inlineStr"/>
      <c r="S1045" s="23" t="inlineStr"/>
      <c r="T1045" s="23" t="inlineStr"/>
      <c r="U1045" s="23" t="inlineStr"/>
      <c r="V1045" s="23" t="inlineStr">
        <is>
          <t>Cost Account = CA-4008; WBS Code = 1.4.2</t>
        </is>
      </c>
      <c r="W1045" s="23" t="inlineStr"/>
    </row>
    <row r="1046" ht="64" customHeight="1">
      <c r="A1046" s="23" t="inlineStr">
        <is>
          <t>1.4.2</t>
        </is>
      </c>
      <c r="B1046" s="23" t="inlineStr">
        <is>
          <t>Vehicles and Depot - Depot Buildings</t>
        </is>
      </c>
      <c r="C1046" s="23" t="inlineStr">
        <is>
          <t>Cost &amp; Forecast Control Accounts</t>
        </is>
      </c>
      <c r="D1046" s="23" t="inlineStr">
        <is>
          <t>CST-04-010</t>
        </is>
      </c>
      <c r="E1046" s="23" t="inlineStr">
        <is>
          <t>Vehicles and Depot - fleet supply - closeout</t>
        </is>
      </c>
      <c r="F1046" s="23" t="inlineStr">
        <is>
          <t>ONE_TO_ONE</t>
        </is>
      </c>
      <c r="G1046" s="23" t="inlineStr">
        <is>
          <t>RETAINED</t>
        </is>
      </c>
      <c r="H1046" s="23" t="inlineStr">
        <is>
          <t>Carried forward</t>
        </is>
      </c>
      <c r="I1046" s="23" t="inlineStr">
        <is>
          <t>Source assignment -- not individually reviewed</t>
        </is>
      </c>
      <c r="J1046" s="23" t="inlineStr"/>
      <c r="K1046" s="23" t="inlineStr">
        <is>
          <t>Source assignment</t>
        </is>
      </c>
      <c r="L1046" s="23" t="inlineStr"/>
      <c r="M1046" s="23" t="inlineStr">
        <is>
          <t>Cost &amp; Forecast Control Accounts Cycle 2</t>
        </is>
      </c>
      <c r="N1046" s="23" t="inlineStr">
        <is>
          <t>Rev 1</t>
        </is>
      </c>
      <c r="O1046" s="23" t="inlineStr">
        <is>
          <t>R1332-v2</t>
        </is>
      </c>
      <c r="P1046" s="23" t="inlineStr"/>
      <c r="Q1046" s="23" t="inlineStr"/>
      <c r="R1046" s="23" t="inlineStr"/>
      <c r="S1046" s="23" t="inlineStr"/>
      <c r="T1046" s="23" t="inlineStr"/>
      <c r="U1046" s="23" t="inlineStr"/>
      <c r="V1046" s="23" t="inlineStr">
        <is>
          <t>Cost Account = CA-4010; WBS Code = 1.4.2</t>
        </is>
      </c>
      <c r="W1046" s="23" t="inlineStr"/>
    </row>
    <row r="1047" ht="64" customHeight="1">
      <c r="A1047" s="23" t="inlineStr">
        <is>
          <t>1.4.2</t>
        </is>
      </c>
      <c r="B1047" s="23" t="inlineStr">
        <is>
          <t>Vehicles and Depot - Depot Buildings</t>
        </is>
      </c>
      <c r="C1047" s="23" t="inlineStr">
        <is>
          <t>Cost &amp; Forecast Control Accounts</t>
        </is>
      </c>
      <c r="D1047" s="23" t="inlineStr">
        <is>
          <t>CST-04-012</t>
        </is>
      </c>
      <c r="E1047" s="23" t="inlineStr">
        <is>
          <t>Vehicles and Depot - spares - supply and install</t>
        </is>
      </c>
      <c r="F1047" s="23" t="inlineStr">
        <is>
          <t>ONE_TO_ONE</t>
        </is>
      </c>
      <c r="G1047" s="23" t="inlineStr">
        <is>
          <t>RETAINED</t>
        </is>
      </c>
      <c r="H1047" s="23" t="inlineStr">
        <is>
          <t>Carried forward</t>
        </is>
      </c>
      <c r="I1047" s="23" t="inlineStr">
        <is>
          <t>Source assignment -- not individually reviewed</t>
        </is>
      </c>
      <c r="J1047" s="23" t="inlineStr"/>
      <c r="K1047" s="23" t="inlineStr">
        <is>
          <t>Source assignment</t>
        </is>
      </c>
      <c r="L1047" s="23" t="inlineStr"/>
      <c r="M1047" s="23" t="inlineStr">
        <is>
          <t>Cost &amp; Forecast Control Accounts Cycle 2</t>
        </is>
      </c>
      <c r="N1047" s="23" t="inlineStr">
        <is>
          <t>Rev 1</t>
        </is>
      </c>
      <c r="O1047" s="23" t="inlineStr">
        <is>
          <t>R1334-v2</t>
        </is>
      </c>
      <c r="P1047" s="23" t="inlineStr"/>
      <c r="Q1047" s="23" t="inlineStr"/>
      <c r="R1047" s="23" t="inlineStr"/>
      <c r="S1047" s="23" t="inlineStr"/>
      <c r="T1047" s="23" t="inlineStr"/>
      <c r="U1047" s="23" t="inlineStr"/>
      <c r="V1047" s="23" t="inlineStr">
        <is>
          <t>Cost Account = CA-4012; WBS Code = 1.4.2</t>
        </is>
      </c>
      <c r="W1047" s="23" t="inlineStr"/>
    </row>
    <row r="1048" ht="64" customHeight="1">
      <c r="A1048" s="23" t="inlineStr">
        <is>
          <t>1.4.2</t>
        </is>
      </c>
      <c r="B1048" s="23" t="inlineStr">
        <is>
          <t>Vehicles and Depot - Depot Buildings</t>
        </is>
      </c>
      <c r="C1048" s="23" t="inlineStr">
        <is>
          <t>Cost &amp; Forecast Control Accounts</t>
        </is>
      </c>
      <c r="D1048" s="23" t="inlineStr">
        <is>
          <t>CST-04-014</t>
        </is>
      </c>
      <c r="E1048" s="23" t="inlineStr">
        <is>
          <t>Vehicles and Depot - workshop equipment - allowance</t>
        </is>
      </c>
      <c r="F1048" s="23" t="inlineStr">
        <is>
          <t>ONE_TO_ONE</t>
        </is>
      </c>
      <c r="G1048" s="23" t="inlineStr">
        <is>
          <t>RETAINED</t>
        </is>
      </c>
      <c r="H1048" s="23" t="inlineStr">
        <is>
          <t>Carried forward</t>
        </is>
      </c>
      <c r="I1048" s="23" t="inlineStr">
        <is>
          <t>Source assignment -- not individually reviewed</t>
        </is>
      </c>
      <c r="J1048" s="23" t="inlineStr"/>
      <c r="K1048" s="23" t="inlineStr">
        <is>
          <t>Source assignment</t>
        </is>
      </c>
      <c r="L1048" s="23" t="inlineStr"/>
      <c r="M1048" s="23" t="inlineStr">
        <is>
          <t>Cost &amp; Forecast Control Accounts Cycle 2</t>
        </is>
      </c>
      <c r="N1048" s="23" t="inlineStr">
        <is>
          <t>Rev 1</t>
        </is>
      </c>
      <c r="O1048" s="23" t="inlineStr">
        <is>
          <t>R1336-v2</t>
        </is>
      </c>
      <c r="P1048" s="23" t="inlineStr"/>
      <c r="Q1048" s="23" t="inlineStr"/>
      <c r="R1048" s="23" t="inlineStr"/>
      <c r="S1048" s="23" t="inlineStr"/>
      <c r="T1048" s="23" t="inlineStr"/>
      <c r="U1048" s="23" t="inlineStr"/>
      <c r="V1048" s="23" t="inlineStr">
        <is>
          <t>Cost Account = CA-4014; WBS Code = 1.4.2</t>
        </is>
      </c>
      <c r="W1048" s="23" t="inlineStr"/>
    </row>
    <row r="1049" ht="64" customHeight="1">
      <c r="A1049" s="23" t="inlineStr">
        <is>
          <t>1.4.2</t>
        </is>
      </c>
      <c r="B1049" s="23" t="inlineStr">
        <is>
          <t>Vehicles and Depot - Depot Buildings</t>
        </is>
      </c>
      <c r="C1049" s="23" t="inlineStr">
        <is>
          <t>Cost &amp; Forecast Control Accounts</t>
        </is>
      </c>
      <c r="D1049" s="23" t="inlineStr">
        <is>
          <t>CST-04-016</t>
        </is>
      </c>
      <c r="E1049" s="23" t="inlineStr">
        <is>
          <t>Vehicles and Depot - fleet supply - field package</t>
        </is>
      </c>
      <c r="F1049" s="23" t="inlineStr">
        <is>
          <t>ONE_TO_ONE</t>
        </is>
      </c>
      <c r="G1049" s="23" t="inlineStr">
        <is>
          <t>RETAINED</t>
        </is>
      </c>
      <c r="H1049" s="23" t="inlineStr">
        <is>
          <t>Carried forward</t>
        </is>
      </c>
      <c r="I1049" s="23" t="inlineStr">
        <is>
          <t>Source assignment -- not individually reviewed</t>
        </is>
      </c>
      <c r="J1049" s="23" t="inlineStr"/>
      <c r="K1049" s="23" t="inlineStr">
        <is>
          <t>Source assignment</t>
        </is>
      </c>
      <c r="L1049" s="23" t="inlineStr"/>
      <c r="M1049" s="23" t="inlineStr">
        <is>
          <t>Cost &amp; Forecast Control Accounts Cycle 2</t>
        </is>
      </c>
      <c r="N1049" s="23" t="inlineStr">
        <is>
          <t>Rev 1</t>
        </is>
      </c>
      <c r="O1049" s="23" t="inlineStr">
        <is>
          <t>R1338-v2</t>
        </is>
      </c>
      <c r="P1049" s="23" t="inlineStr"/>
      <c r="Q1049" s="23" t="inlineStr"/>
      <c r="R1049" s="23" t="inlineStr"/>
      <c r="S1049" s="23" t="inlineStr"/>
      <c r="T1049" s="23" t="inlineStr"/>
      <c r="U1049" s="23" t="inlineStr"/>
      <c r="V1049" s="23" t="inlineStr">
        <is>
          <t>Cost Account = CA-4016; WBS Code = 1.4.2</t>
        </is>
      </c>
      <c r="W1049" s="23" t="inlineStr"/>
    </row>
    <row r="1050" ht="64" customHeight="1">
      <c r="A1050" s="23" t="inlineStr">
        <is>
          <t>1.4.2</t>
        </is>
      </c>
      <c r="B1050" s="23" t="inlineStr">
        <is>
          <t>Vehicles and Depot - Depot Buildings</t>
        </is>
      </c>
      <c r="C1050" s="23" t="inlineStr">
        <is>
          <t>Cost &amp; Forecast Control Accounts</t>
        </is>
      </c>
      <c r="D1050" s="23" t="inlineStr">
        <is>
          <t>CST-04-018</t>
        </is>
      </c>
      <c r="E1050" s="23" t="inlineStr">
        <is>
          <t>Vehicles and Depot - spares - professional services</t>
        </is>
      </c>
      <c r="F1050" s="23" t="inlineStr">
        <is>
          <t>ONE_TO_ONE</t>
        </is>
      </c>
      <c r="G1050" s="23" t="inlineStr">
        <is>
          <t>RETAINED</t>
        </is>
      </c>
      <c r="H1050" s="23" t="inlineStr">
        <is>
          <t>Carried forward</t>
        </is>
      </c>
      <c r="I1050" s="23" t="inlineStr">
        <is>
          <t>Source assignment -- not individually reviewed</t>
        </is>
      </c>
      <c r="J1050" s="23" t="inlineStr"/>
      <c r="K1050" s="23" t="inlineStr">
        <is>
          <t>Source assignment</t>
        </is>
      </c>
      <c r="L1050" s="23" t="inlineStr"/>
      <c r="M1050" s="23" t="inlineStr">
        <is>
          <t>Cost &amp; Forecast Control Accounts Cycle 2</t>
        </is>
      </c>
      <c r="N1050" s="23" t="inlineStr">
        <is>
          <t>Rev 1</t>
        </is>
      </c>
      <c r="O1050" s="23" t="inlineStr">
        <is>
          <t>R1340-v2</t>
        </is>
      </c>
      <c r="P1050" s="23" t="inlineStr"/>
      <c r="Q1050" s="23" t="inlineStr"/>
      <c r="R1050" s="23" t="inlineStr"/>
      <c r="S1050" s="23" t="inlineStr"/>
      <c r="T1050" s="23" t="inlineStr"/>
      <c r="U1050" s="23" t="inlineStr"/>
      <c r="V1050" s="23" t="inlineStr">
        <is>
          <t>Cost Account = CA-4018; WBS Code = 1.4.2</t>
        </is>
      </c>
      <c r="W1050" s="23" t="inlineStr"/>
    </row>
    <row r="1051" ht="64" customHeight="1">
      <c r="A1051" s="23" t="inlineStr">
        <is>
          <t>1.4.2</t>
        </is>
      </c>
      <c r="B1051" s="23" t="inlineStr">
        <is>
          <t>Vehicles and Depot - Depot Buildings</t>
        </is>
      </c>
      <c r="C1051" s="23" t="inlineStr">
        <is>
          <t>Cost &amp; Forecast Control Accounts</t>
        </is>
      </c>
      <c r="D1051" s="23" t="inlineStr">
        <is>
          <t>CST-04-020</t>
        </is>
      </c>
      <c r="E1051" s="23" t="inlineStr">
        <is>
          <t>Vehicles and Depot - workshop equipment - closeout</t>
        </is>
      </c>
      <c r="F1051" s="23" t="inlineStr">
        <is>
          <t>ONE_TO_ONE</t>
        </is>
      </c>
      <c r="G1051" s="23" t="inlineStr">
        <is>
          <t>RETAINED</t>
        </is>
      </c>
      <c r="H1051" s="23" t="inlineStr">
        <is>
          <t>Carried forward</t>
        </is>
      </c>
      <c r="I1051" s="23" t="inlineStr">
        <is>
          <t>Source assignment -- not individually reviewed</t>
        </is>
      </c>
      <c r="J1051" s="23" t="inlineStr"/>
      <c r="K1051" s="23" t="inlineStr">
        <is>
          <t>Source assignment</t>
        </is>
      </c>
      <c r="L1051" s="23" t="inlineStr"/>
      <c r="M1051" s="23" t="inlineStr">
        <is>
          <t>Cost &amp; Forecast Control Accounts Cycle 2</t>
        </is>
      </c>
      <c r="N1051" s="23" t="inlineStr">
        <is>
          <t>Rev 1</t>
        </is>
      </c>
      <c r="O1051" s="23" t="inlineStr">
        <is>
          <t>R1342-v2</t>
        </is>
      </c>
      <c r="P1051" s="23" t="inlineStr"/>
      <c r="Q1051" s="23" t="inlineStr"/>
      <c r="R1051" s="23" t="inlineStr"/>
      <c r="S1051" s="23" t="inlineStr"/>
      <c r="T1051" s="23" t="inlineStr"/>
      <c r="U1051" s="23" t="inlineStr"/>
      <c r="V1051" s="23" t="inlineStr">
        <is>
          <t>Cost Account = CA-4020; WBS Code = 1.4.2</t>
        </is>
      </c>
      <c r="W1051" s="23" t="inlineStr"/>
    </row>
    <row r="1052" ht="64" customHeight="1">
      <c r="A1052" s="23" t="inlineStr">
        <is>
          <t>1.4.2</t>
        </is>
      </c>
      <c r="B1052" s="23" t="inlineStr">
        <is>
          <t>Vehicles and Depot - Depot Buildings</t>
        </is>
      </c>
      <c r="C1052" s="23" t="inlineStr">
        <is>
          <t>Cost &amp; Forecast Control Accounts</t>
        </is>
      </c>
      <c r="D1052" s="23" t="inlineStr">
        <is>
          <t>CST-04-022</t>
        </is>
      </c>
      <c r="E1052" s="23" t="inlineStr">
        <is>
          <t>Vehicles and Depot - fleet supply - supply and install</t>
        </is>
      </c>
      <c r="F1052" s="23" t="inlineStr">
        <is>
          <t>ONE_TO_ONE</t>
        </is>
      </c>
      <c r="G1052" s="23" t="inlineStr">
        <is>
          <t>RETAINED</t>
        </is>
      </c>
      <c r="H1052" s="23" t="inlineStr">
        <is>
          <t>Carried forward</t>
        </is>
      </c>
      <c r="I1052" s="23" t="inlineStr">
        <is>
          <t>Source assignment -- not individually reviewed</t>
        </is>
      </c>
      <c r="J1052" s="23" t="inlineStr"/>
      <c r="K1052" s="23" t="inlineStr">
        <is>
          <t>Source assignment</t>
        </is>
      </c>
      <c r="L1052" s="23" t="inlineStr"/>
      <c r="M1052" s="23" t="inlineStr">
        <is>
          <t>Cost &amp; Forecast Control Accounts Cycle 2</t>
        </is>
      </c>
      <c r="N1052" s="23" t="inlineStr">
        <is>
          <t>Rev 1</t>
        </is>
      </c>
      <c r="O1052" s="23" t="inlineStr">
        <is>
          <t>R1344-v2</t>
        </is>
      </c>
      <c r="P1052" s="23" t="inlineStr"/>
      <c r="Q1052" s="23" t="inlineStr"/>
      <c r="R1052" s="23" t="inlineStr"/>
      <c r="S1052" s="23" t="inlineStr"/>
      <c r="T1052" s="23" t="inlineStr"/>
      <c r="U1052" s="23" t="inlineStr"/>
      <c r="V1052" s="23" t="inlineStr">
        <is>
          <t>Cost Account = CA-4022; WBS Code = 1.4.2</t>
        </is>
      </c>
      <c r="W1052" s="23" t="inlineStr"/>
    </row>
    <row r="1053" ht="64" customHeight="1">
      <c r="A1053" s="23" t="inlineStr">
        <is>
          <t>1.4.2</t>
        </is>
      </c>
      <c r="B1053" s="23" t="inlineStr">
        <is>
          <t>Vehicles and Depot - Depot Buildings</t>
        </is>
      </c>
      <c r="C1053" s="23" t="inlineStr">
        <is>
          <t>Cost &amp; Forecast Control Accounts</t>
        </is>
      </c>
      <c r="D1053" s="23" t="inlineStr">
        <is>
          <t>CST-04-024</t>
        </is>
      </c>
      <c r="E1053" s="23" t="inlineStr">
        <is>
          <t>Vehicles and Depot - spares - allowance</t>
        </is>
      </c>
      <c r="F1053" s="23" t="inlineStr">
        <is>
          <t>ONE_TO_ONE</t>
        </is>
      </c>
      <c r="G1053" s="23" t="inlineStr">
        <is>
          <t>RETAINED</t>
        </is>
      </c>
      <c r="H1053" s="23" t="inlineStr">
        <is>
          <t>Carried forward</t>
        </is>
      </c>
      <c r="I1053" s="23" t="inlineStr">
        <is>
          <t>Source assignment -- not individually reviewed</t>
        </is>
      </c>
      <c r="J1053" s="23" t="inlineStr"/>
      <c r="K1053" s="23" t="inlineStr">
        <is>
          <t>Source assignment</t>
        </is>
      </c>
      <c r="L1053" s="23" t="inlineStr"/>
      <c r="M1053" s="23" t="inlineStr">
        <is>
          <t>Cost &amp; Forecast Control Accounts Cycle 2</t>
        </is>
      </c>
      <c r="N1053" s="23" t="inlineStr">
        <is>
          <t>Rev 1</t>
        </is>
      </c>
      <c r="O1053" s="23" t="inlineStr">
        <is>
          <t>R1346-v2</t>
        </is>
      </c>
      <c r="P1053" s="23" t="inlineStr"/>
      <c r="Q1053" s="23" t="inlineStr"/>
      <c r="R1053" s="23" t="inlineStr"/>
      <c r="S1053" s="23" t="inlineStr"/>
      <c r="T1053" s="23" t="inlineStr"/>
      <c r="U1053" s="23" t="inlineStr"/>
      <c r="V1053" s="23" t="inlineStr">
        <is>
          <t>Cost Account = CA-4024; WBS Code = 1.4.2</t>
        </is>
      </c>
      <c r="W1053" s="23" t="inlineStr"/>
    </row>
    <row r="1054" ht="64" customHeight="1">
      <c r="A1054" s="23" t="inlineStr">
        <is>
          <t>1.4.2</t>
        </is>
      </c>
      <c r="B1054" s="23" t="inlineStr">
        <is>
          <t>Vehicles and Depot - Depot Buildings</t>
        </is>
      </c>
      <c r="C1054" s="23" t="inlineStr">
        <is>
          <t>Cost &amp; Forecast Control Accounts</t>
        </is>
      </c>
      <c r="D1054" s="23" t="inlineStr">
        <is>
          <t>CST-04-026</t>
        </is>
      </c>
      <c r="E1054" s="23" t="inlineStr">
        <is>
          <t>Vehicles and Depot - workshop equipment - field package</t>
        </is>
      </c>
      <c r="F1054" s="23" t="inlineStr">
        <is>
          <t>ONE_TO_ONE</t>
        </is>
      </c>
      <c r="G1054" s="23" t="inlineStr">
        <is>
          <t>RETAINED</t>
        </is>
      </c>
      <c r="H1054" s="23" t="inlineStr">
        <is>
          <t>Carried forward</t>
        </is>
      </c>
      <c r="I1054" s="23" t="inlineStr">
        <is>
          <t>Source assignment -- not individually reviewed</t>
        </is>
      </c>
      <c r="J1054" s="23" t="inlineStr"/>
      <c r="K1054" s="23" t="inlineStr">
        <is>
          <t>Source assignment</t>
        </is>
      </c>
      <c r="L1054" s="23" t="inlineStr"/>
      <c r="M1054" s="23" t="inlineStr">
        <is>
          <t>Cost &amp; Forecast Control Accounts Cycle 2</t>
        </is>
      </c>
      <c r="N1054" s="23" t="inlineStr">
        <is>
          <t>Rev 1</t>
        </is>
      </c>
      <c r="O1054" s="23" t="inlineStr">
        <is>
          <t>R1348-v2</t>
        </is>
      </c>
      <c r="P1054" s="23" t="inlineStr"/>
      <c r="Q1054" s="23" t="inlineStr"/>
      <c r="R1054" s="23" t="inlineStr"/>
      <c r="S1054" s="23" t="inlineStr"/>
      <c r="T1054" s="23" t="inlineStr"/>
      <c r="U1054" s="23" t="inlineStr"/>
      <c r="V1054" s="23" t="inlineStr">
        <is>
          <t>Cost Account = CA-4026; WBS Code = 1.4.2</t>
        </is>
      </c>
      <c r="W1054" s="23" t="inlineStr"/>
    </row>
    <row r="1055" ht="64" customHeight="1">
      <c r="A1055" s="23" t="inlineStr">
        <is>
          <t>1.4.2</t>
        </is>
      </c>
      <c r="B1055" s="23" t="inlineStr">
        <is>
          <t>Vehicles and Depot - Depot Buildings</t>
        </is>
      </c>
      <c r="C1055" s="23" t="inlineStr">
        <is>
          <t>Cost &amp; Forecast Control Accounts</t>
        </is>
      </c>
      <c r="D1055" s="23" t="inlineStr">
        <is>
          <t>CST-04-028</t>
        </is>
      </c>
      <c r="E1055" s="23" t="inlineStr">
        <is>
          <t>Vehicles and Depot - fleet supply - professional services</t>
        </is>
      </c>
      <c r="F1055" s="23" t="inlineStr">
        <is>
          <t>ONE_TO_ONE</t>
        </is>
      </c>
      <c r="G1055" s="23" t="inlineStr">
        <is>
          <t>RETAINED</t>
        </is>
      </c>
      <c r="H1055" s="23" t="inlineStr">
        <is>
          <t>Carried forward</t>
        </is>
      </c>
      <c r="I1055" s="23" t="inlineStr">
        <is>
          <t>Source assignment -- not individually reviewed</t>
        </is>
      </c>
      <c r="J1055" s="23" t="inlineStr"/>
      <c r="K1055" s="23" t="inlineStr">
        <is>
          <t>Source assignment</t>
        </is>
      </c>
      <c r="L1055" s="23" t="inlineStr"/>
      <c r="M1055" s="23" t="inlineStr">
        <is>
          <t>Cost &amp; Forecast Control Accounts Cycle 2</t>
        </is>
      </c>
      <c r="N1055" s="23" t="inlineStr">
        <is>
          <t>Rev 1</t>
        </is>
      </c>
      <c r="O1055" s="23" t="inlineStr">
        <is>
          <t>R1350-v2</t>
        </is>
      </c>
      <c r="P1055" s="23" t="inlineStr"/>
      <c r="Q1055" s="23" t="inlineStr"/>
      <c r="R1055" s="23" t="inlineStr"/>
      <c r="S1055" s="23" t="inlineStr"/>
      <c r="T1055" s="23" t="inlineStr"/>
      <c r="U1055" s="23" t="inlineStr"/>
      <c r="V1055" s="23" t="inlineStr">
        <is>
          <t>Cost Account = CA-4028; WBS Code = 1.4.2</t>
        </is>
      </c>
      <c r="W1055" s="23" t="inlineStr"/>
    </row>
    <row r="1056" ht="64" customHeight="1">
      <c r="A1056" s="23" t="inlineStr">
        <is>
          <t>1.4.2</t>
        </is>
      </c>
      <c r="B1056" s="23" t="inlineStr">
        <is>
          <t>Vehicles and Depot - Depot Buildings</t>
        </is>
      </c>
      <c r="C1056" s="23" t="inlineStr">
        <is>
          <t>Cost &amp; Forecast Control Accounts</t>
        </is>
      </c>
      <c r="D1056" s="23" t="inlineStr">
        <is>
          <t>CST-04-030</t>
        </is>
      </c>
      <c r="E1056" s="23" t="inlineStr">
        <is>
          <t>Vehicles and Depot - spares - closeout</t>
        </is>
      </c>
      <c r="F1056" s="23" t="inlineStr">
        <is>
          <t>ONE_TO_ONE</t>
        </is>
      </c>
      <c r="G1056" s="23" t="inlineStr">
        <is>
          <t>RETAINED</t>
        </is>
      </c>
      <c r="H1056" s="23" t="inlineStr">
        <is>
          <t>Carried forward</t>
        </is>
      </c>
      <c r="I1056" s="23" t="inlineStr">
        <is>
          <t>Source assignment -- not individually reviewed</t>
        </is>
      </c>
      <c r="J1056" s="23" t="inlineStr"/>
      <c r="K1056" s="23" t="inlineStr">
        <is>
          <t>Source assignment</t>
        </is>
      </c>
      <c r="L1056" s="23" t="inlineStr"/>
      <c r="M1056" s="23" t="inlineStr">
        <is>
          <t>Cost &amp; Forecast Control Accounts Cycle 2</t>
        </is>
      </c>
      <c r="N1056" s="23" t="inlineStr">
        <is>
          <t>Rev 1</t>
        </is>
      </c>
      <c r="O1056" s="23" t="inlineStr">
        <is>
          <t>R1352-v2</t>
        </is>
      </c>
      <c r="P1056" s="23" t="inlineStr"/>
      <c r="Q1056" s="23" t="inlineStr"/>
      <c r="R1056" s="23" t="inlineStr"/>
      <c r="S1056" s="23" t="inlineStr"/>
      <c r="T1056" s="23" t="inlineStr"/>
      <c r="U1056" s="23" t="inlineStr"/>
      <c r="V1056" s="23" t="inlineStr">
        <is>
          <t>Cost Account = CA-4030; WBS Code = 1.4.2</t>
        </is>
      </c>
      <c r="W1056" s="23" t="inlineStr"/>
    </row>
    <row r="1057" ht="64" customHeight="1">
      <c r="A1057" s="23" t="inlineStr">
        <is>
          <t>1.4.2</t>
        </is>
      </c>
      <c r="B1057" s="23" t="inlineStr">
        <is>
          <t>Vehicles and Depot - Depot Buildings</t>
        </is>
      </c>
      <c r="C1057" s="23" t="inlineStr">
        <is>
          <t>Cost &amp; Forecast Control Accounts</t>
        </is>
      </c>
      <c r="D1057" s="23" t="inlineStr">
        <is>
          <t>CST-04-032</t>
        </is>
      </c>
      <c r="E1057" s="23" t="inlineStr">
        <is>
          <t>Vehicles and Depot - workshop equipment - supply and install</t>
        </is>
      </c>
      <c r="F1057" s="23" t="inlineStr">
        <is>
          <t>ONE_TO_ONE</t>
        </is>
      </c>
      <c r="G1057" s="23" t="inlineStr">
        <is>
          <t>RETAINED</t>
        </is>
      </c>
      <c r="H1057" s="23" t="inlineStr">
        <is>
          <t>Carried forward</t>
        </is>
      </c>
      <c r="I1057" s="23" t="inlineStr">
        <is>
          <t>Source assignment -- not individually reviewed</t>
        </is>
      </c>
      <c r="J1057" s="23" t="inlineStr"/>
      <c r="K1057" s="23" t="inlineStr">
        <is>
          <t>Source assignment</t>
        </is>
      </c>
      <c r="L1057" s="23" t="inlineStr"/>
      <c r="M1057" s="23" t="inlineStr">
        <is>
          <t>Cost &amp; Forecast Control Accounts Cycle 2</t>
        </is>
      </c>
      <c r="N1057" s="23" t="inlineStr">
        <is>
          <t>Rev 1</t>
        </is>
      </c>
      <c r="O1057" s="23" t="inlineStr">
        <is>
          <t>R1354-v2</t>
        </is>
      </c>
      <c r="P1057" s="23" t="inlineStr"/>
      <c r="Q1057" s="23" t="inlineStr"/>
      <c r="R1057" s="23" t="inlineStr"/>
      <c r="S1057" s="23" t="inlineStr"/>
      <c r="T1057" s="23" t="inlineStr"/>
      <c r="U1057" s="23" t="inlineStr"/>
      <c r="V1057" s="23" t="inlineStr">
        <is>
          <t>Cost Account = CA-4032; WBS Code = 1.4.2</t>
        </is>
      </c>
      <c r="W1057" s="23" t="inlineStr"/>
    </row>
    <row r="1058" ht="64" customHeight="1">
      <c r="A1058" s="23" t="inlineStr">
        <is>
          <t>1.4.2</t>
        </is>
      </c>
      <c r="B1058" s="23" t="inlineStr">
        <is>
          <t>Vehicles and Depot - Depot Buildings</t>
        </is>
      </c>
      <c r="C1058" s="23" t="inlineStr">
        <is>
          <t>Cost &amp; Forecast Control Accounts</t>
        </is>
      </c>
      <c r="D1058" s="23" t="inlineStr">
        <is>
          <t>CST-04-034</t>
        </is>
      </c>
      <c r="E1058" s="23" t="inlineStr">
        <is>
          <t>Vehicles and Depot - fleet supply - allowance</t>
        </is>
      </c>
      <c r="F1058" s="23" t="inlineStr">
        <is>
          <t>ONE_TO_ONE</t>
        </is>
      </c>
      <c r="G1058" s="23" t="inlineStr">
        <is>
          <t>RETAINED</t>
        </is>
      </c>
      <c r="H1058" s="23" t="inlineStr">
        <is>
          <t>Carried forward</t>
        </is>
      </c>
      <c r="I1058" s="23" t="inlineStr">
        <is>
          <t>Source assignment -- not individually reviewed</t>
        </is>
      </c>
      <c r="J1058" s="23" t="inlineStr"/>
      <c r="K1058" s="23" t="inlineStr">
        <is>
          <t>Source assignment</t>
        </is>
      </c>
      <c r="L1058" s="23" t="inlineStr"/>
      <c r="M1058" s="23" t="inlineStr">
        <is>
          <t>Cost &amp; Forecast Control Accounts Cycle 2</t>
        </is>
      </c>
      <c r="N1058" s="23" t="inlineStr">
        <is>
          <t>Rev 1</t>
        </is>
      </c>
      <c r="O1058" s="23" t="inlineStr">
        <is>
          <t>R1356-v2</t>
        </is>
      </c>
      <c r="P1058" s="23" t="inlineStr"/>
      <c r="Q1058" s="23" t="inlineStr"/>
      <c r="R1058" s="23" t="inlineStr"/>
      <c r="S1058" s="23" t="inlineStr"/>
      <c r="T1058" s="23" t="inlineStr"/>
      <c r="U1058" s="23" t="inlineStr"/>
      <c r="V1058" s="23" t="inlineStr">
        <is>
          <t>Cost Account = CA-4034; WBS Code = 1.4.2</t>
        </is>
      </c>
      <c r="W1058" s="23" t="inlineStr"/>
    </row>
    <row r="1059" ht="64" customHeight="1">
      <c r="A1059" s="23" t="inlineStr">
        <is>
          <t>1.4.2</t>
        </is>
      </c>
      <c r="B1059" s="23" t="inlineStr">
        <is>
          <t>Vehicles and Depot - Depot Buildings</t>
        </is>
      </c>
      <c r="C1059" s="23" t="inlineStr">
        <is>
          <t>Cost &amp; Forecast Control Accounts</t>
        </is>
      </c>
      <c r="D1059" s="23" t="inlineStr">
        <is>
          <t>CST-04-036</t>
        </is>
      </c>
      <c r="E1059" s="23" t="inlineStr">
        <is>
          <t>Vehicles and Depot - spares - field package</t>
        </is>
      </c>
      <c r="F1059" s="23" t="inlineStr">
        <is>
          <t>ONE_TO_ONE</t>
        </is>
      </c>
      <c r="G1059" s="23" t="inlineStr">
        <is>
          <t>RETAINED</t>
        </is>
      </c>
      <c r="H1059" s="23" t="inlineStr">
        <is>
          <t>Carried forward</t>
        </is>
      </c>
      <c r="I1059" s="23" t="inlineStr">
        <is>
          <t>Source assignment -- not individually reviewed</t>
        </is>
      </c>
      <c r="J1059" s="23" t="inlineStr"/>
      <c r="K1059" s="23" t="inlineStr">
        <is>
          <t>Source assignment</t>
        </is>
      </c>
      <c r="L1059" s="23" t="inlineStr"/>
      <c r="M1059" s="23" t="inlineStr">
        <is>
          <t>Cost &amp; Forecast Control Accounts Cycle 2</t>
        </is>
      </c>
      <c r="N1059" s="23" t="inlineStr">
        <is>
          <t>Rev 1</t>
        </is>
      </c>
      <c r="O1059" s="23" t="inlineStr">
        <is>
          <t>R1358-v2</t>
        </is>
      </c>
      <c r="P1059" s="23" t="inlineStr"/>
      <c r="Q1059" s="23" t="inlineStr"/>
      <c r="R1059" s="23" t="inlineStr"/>
      <c r="S1059" s="23" t="inlineStr"/>
      <c r="T1059" s="23" t="inlineStr"/>
      <c r="U1059" s="23" t="inlineStr"/>
      <c r="V1059" s="23" t="inlineStr">
        <is>
          <t>Cost Account = CA-4036; WBS Code = 1.4.2</t>
        </is>
      </c>
      <c r="W1059" s="23" t="inlineStr"/>
    </row>
    <row r="1060" ht="64" customHeight="1">
      <c r="A1060" s="23" t="inlineStr">
        <is>
          <t>1.4.2</t>
        </is>
      </c>
      <c r="B1060" s="23" t="inlineStr">
        <is>
          <t>Vehicles and Depot - Depot Buildings</t>
        </is>
      </c>
      <c r="C1060" s="23" t="inlineStr">
        <is>
          <t>Cost &amp; Forecast Control Accounts</t>
        </is>
      </c>
      <c r="D1060" s="23" t="inlineStr">
        <is>
          <t>CST-04-038</t>
        </is>
      </c>
      <c r="E1060" s="23" t="inlineStr">
        <is>
          <t>Vehicles and Depot - workshop equipment - professional services</t>
        </is>
      </c>
      <c r="F1060" s="23" t="inlineStr">
        <is>
          <t>ONE_TO_ONE</t>
        </is>
      </c>
      <c r="G1060" s="23" t="inlineStr">
        <is>
          <t>RETAINED</t>
        </is>
      </c>
      <c r="H1060" s="23" t="inlineStr">
        <is>
          <t>Carried forward</t>
        </is>
      </c>
      <c r="I1060" s="23" t="inlineStr">
        <is>
          <t>Source assignment -- not individually reviewed</t>
        </is>
      </c>
      <c r="J1060" s="23" t="inlineStr"/>
      <c r="K1060" s="23" t="inlineStr">
        <is>
          <t>Source assignment</t>
        </is>
      </c>
      <c r="L1060" s="23" t="inlineStr"/>
      <c r="M1060" s="23" t="inlineStr">
        <is>
          <t>Cost &amp; Forecast Control Accounts Cycle 2</t>
        </is>
      </c>
      <c r="N1060" s="23" t="inlineStr">
        <is>
          <t>Rev 1</t>
        </is>
      </c>
      <c r="O1060" s="23" t="inlineStr">
        <is>
          <t>R1360-v2</t>
        </is>
      </c>
      <c r="P1060" s="23" t="inlineStr"/>
      <c r="Q1060" s="23" t="inlineStr"/>
      <c r="R1060" s="23" t="inlineStr"/>
      <c r="S1060" s="23" t="inlineStr"/>
      <c r="T1060" s="23" t="inlineStr"/>
      <c r="U1060" s="23" t="inlineStr"/>
      <c r="V1060" s="23" t="inlineStr">
        <is>
          <t>Cost Account = CA-4038; WBS Code = 1.4.2</t>
        </is>
      </c>
      <c r="W1060" s="23" t="inlineStr"/>
    </row>
    <row r="1061" ht="64" customHeight="1">
      <c r="A1061" s="23" t="inlineStr">
        <is>
          <t>1.4.2</t>
        </is>
      </c>
      <c r="B1061" s="23" t="inlineStr">
        <is>
          <t>Vehicles and Depot - Depot Buildings</t>
        </is>
      </c>
      <c r="C1061" s="23" t="inlineStr">
        <is>
          <t>Cost &amp; Forecast Control Accounts</t>
        </is>
      </c>
      <c r="D1061" s="23" t="inlineStr">
        <is>
          <t>CST-04-040</t>
        </is>
      </c>
      <c r="E1061" s="23" t="inlineStr">
        <is>
          <t>Vehicles and Depot - fleet supply - closeout</t>
        </is>
      </c>
      <c r="F1061" s="23" t="inlineStr">
        <is>
          <t>ONE_TO_ONE</t>
        </is>
      </c>
      <c r="G1061" s="23" t="inlineStr">
        <is>
          <t>RETAINED</t>
        </is>
      </c>
      <c r="H1061" s="23" t="inlineStr">
        <is>
          <t>Carried forward</t>
        </is>
      </c>
      <c r="I1061" s="23" t="inlineStr">
        <is>
          <t>Source assignment -- not individually reviewed</t>
        </is>
      </c>
      <c r="J1061" s="23" t="inlineStr"/>
      <c r="K1061" s="23" t="inlineStr">
        <is>
          <t>Source assignment</t>
        </is>
      </c>
      <c r="L1061" s="23" t="inlineStr"/>
      <c r="M1061" s="23" t="inlineStr">
        <is>
          <t>Cost &amp; Forecast Control Accounts Cycle 2</t>
        </is>
      </c>
      <c r="N1061" s="23" t="inlineStr">
        <is>
          <t>Rev 1</t>
        </is>
      </c>
      <c r="O1061" s="23" t="inlineStr">
        <is>
          <t>R1362-v2</t>
        </is>
      </c>
      <c r="P1061" s="23" t="inlineStr"/>
      <c r="Q1061" s="23" t="inlineStr"/>
      <c r="R1061" s="23" t="inlineStr"/>
      <c r="S1061" s="23" t="inlineStr"/>
      <c r="T1061" s="23" t="inlineStr"/>
      <c r="U1061" s="23" t="inlineStr"/>
      <c r="V1061" s="23" t="inlineStr">
        <is>
          <t>Cost Account = CA-4040; WBS Code = 1.4.2</t>
        </is>
      </c>
      <c r="W1061" s="23" t="inlineStr"/>
    </row>
    <row r="1062" ht="64" customHeight="1">
      <c r="A1062" s="23" t="inlineStr">
        <is>
          <t>1.4.2</t>
        </is>
      </c>
      <c r="B1062" s="23" t="inlineStr">
        <is>
          <t>Vehicles and Depot - Depot Buildings</t>
        </is>
      </c>
      <c r="C1062" s="23" t="inlineStr">
        <is>
          <t>Cost &amp; Forecast Control Accounts</t>
        </is>
      </c>
      <c r="D1062" s="23" t="inlineStr">
        <is>
          <t>CST-04-042</t>
        </is>
      </c>
      <c r="E1062" s="23" t="inlineStr">
        <is>
          <t>Vehicles and Depot - spares - supply and install</t>
        </is>
      </c>
      <c r="F1062" s="23" t="inlineStr">
        <is>
          <t>ONE_TO_ONE</t>
        </is>
      </c>
      <c r="G1062" s="23" t="inlineStr">
        <is>
          <t>RETAINED</t>
        </is>
      </c>
      <c r="H1062" s="23" t="inlineStr">
        <is>
          <t>Carried forward</t>
        </is>
      </c>
      <c r="I1062" s="23" t="inlineStr">
        <is>
          <t>Source assignment -- not individually reviewed</t>
        </is>
      </c>
      <c r="J1062" s="23" t="inlineStr"/>
      <c r="K1062" s="23" t="inlineStr">
        <is>
          <t>Source assignment</t>
        </is>
      </c>
      <c r="L1062" s="23" t="inlineStr"/>
      <c r="M1062" s="23" t="inlineStr">
        <is>
          <t>Cost &amp; Forecast Control Accounts Cycle 2</t>
        </is>
      </c>
      <c r="N1062" s="23" t="inlineStr">
        <is>
          <t>Rev 1</t>
        </is>
      </c>
      <c r="O1062" s="23" t="inlineStr">
        <is>
          <t>R1364-v2</t>
        </is>
      </c>
      <c r="P1062" s="23" t="inlineStr"/>
      <c r="Q1062" s="23" t="inlineStr"/>
      <c r="R1062" s="23" t="inlineStr"/>
      <c r="S1062" s="23" t="inlineStr"/>
      <c r="T1062" s="23" t="inlineStr"/>
      <c r="U1062" s="23" t="inlineStr"/>
      <c r="V1062" s="23" t="inlineStr">
        <is>
          <t>Cost Account = CA-4042; WBS Code = 1.4.2</t>
        </is>
      </c>
      <c r="W1062" s="23" t="inlineStr"/>
    </row>
    <row r="1063" ht="64" customHeight="1">
      <c r="A1063" s="23" t="inlineStr">
        <is>
          <t>1.4.2</t>
        </is>
      </c>
      <c r="B1063" s="23" t="inlineStr">
        <is>
          <t>Vehicles and Depot - Depot Buildings</t>
        </is>
      </c>
      <c r="C1063" s="23" t="inlineStr">
        <is>
          <t>Cost &amp; Forecast Control Accounts</t>
        </is>
      </c>
      <c r="D1063" s="23" t="inlineStr">
        <is>
          <t>CST-04-044</t>
        </is>
      </c>
      <c r="E1063" s="23" t="inlineStr">
        <is>
          <t>Vehicles and Depot - workshop equipment - allowance</t>
        </is>
      </c>
      <c r="F1063" s="23" t="inlineStr">
        <is>
          <t>ONE_TO_ONE</t>
        </is>
      </c>
      <c r="G1063" s="23" t="inlineStr">
        <is>
          <t>RETAINED</t>
        </is>
      </c>
      <c r="H1063" s="23" t="inlineStr">
        <is>
          <t>Carried forward</t>
        </is>
      </c>
      <c r="I1063" s="23" t="inlineStr">
        <is>
          <t>Source assignment -- not individually reviewed</t>
        </is>
      </c>
      <c r="J1063" s="23" t="inlineStr"/>
      <c r="K1063" s="23" t="inlineStr">
        <is>
          <t>Source assignment</t>
        </is>
      </c>
      <c r="L1063" s="23" t="inlineStr"/>
      <c r="M1063" s="23" t="inlineStr">
        <is>
          <t>Cost &amp; Forecast Control Accounts Cycle 2</t>
        </is>
      </c>
      <c r="N1063" s="23" t="inlineStr">
        <is>
          <t>Rev 1</t>
        </is>
      </c>
      <c r="O1063" s="23" t="inlineStr">
        <is>
          <t>R1366-v2</t>
        </is>
      </c>
      <c r="P1063" s="23" t="inlineStr"/>
      <c r="Q1063" s="23" t="inlineStr"/>
      <c r="R1063" s="23" t="inlineStr"/>
      <c r="S1063" s="23" t="inlineStr"/>
      <c r="T1063" s="23" t="inlineStr"/>
      <c r="U1063" s="23" t="inlineStr"/>
      <c r="V1063" s="23" t="inlineStr">
        <is>
          <t>Cost Account = CA-4044; WBS Code = 1.4.2</t>
        </is>
      </c>
      <c r="W1063" s="23" t="inlineStr"/>
    </row>
    <row r="1064" ht="64" customHeight="1">
      <c r="A1064" s="23" t="inlineStr">
        <is>
          <t>1.4.2</t>
        </is>
      </c>
      <c r="B1064" s="23" t="inlineStr">
        <is>
          <t>Vehicles and Depot - Depot Buildings</t>
        </is>
      </c>
      <c r="C1064" s="23" t="inlineStr">
        <is>
          <t>Cost &amp; Forecast Control Accounts</t>
        </is>
      </c>
      <c r="D1064" s="23" t="inlineStr">
        <is>
          <t>CST-04-046</t>
        </is>
      </c>
      <c r="E1064" s="23" t="inlineStr">
        <is>
          <t>Vehicles and Depot - fleet supply - field package</t>
        </is>
      </c>
      <c r="F1064" s="23" t="inlineStr">
        <is>
          <t>ONE_TO_ONE</t>
        </is>
      </c>
      <c r="G1064" s="23" t="inlineStr">
        <is>
          <t>RETAINED</t>
        </is>
      </c>
      <c r="H1064" s="23" t="inlineStr">
        <is>
          <t>Carried forward</t>
        </is>
      </c>
      <c r="I1064" s="23" t="inlineStr">
        <is>
          <t>Source assignment -- not individually reviewed</t>
        </is>
      </c>
      <c r="J1064" s="23" t="inlineStr"/>
      <c r="K1064" s="23" t="inlineStr">
        <is>
          <t>Source assignment</t>
        </is>
      </c>
      <c r="L1064" s="23" t="inlineStr"/>
      <c r="M1064" s="23" t="inlineStr">
        <is>
          <t>Cost &amp; Forecast Control Accounts Cycle 2</t>
        </is>
      </c>
      <c r="N1064" s="23" t="inlineStr">
        <is>
          <t>Rev 1</t>
        </is>
      </c>
      <c r="O1064" s="23" t="inlineStr">
        <is>
          <t>R1368-v2</t>
        </is>
      </c>
      <c r="P1064" s="23" t="inlineStr"/>
      <c r="Q1064" s="23" t="inlineStr"/>
      <c r="R1064" s="23" t="inlineStr"/>
      <c r="S1064" s="23" t="inlineStr"/>
      <c r="T1064" s="23" t="inlineStr"/>
      <c r="U1064" s="23" t="inlineStr"/>
      <c r="V1064" s="23" t="inlineStr">
        <is>
          <t>Cost Account = CA-4046; WBS Code = 1.4.2</t>
        </is>
      </c>
      <c r="W1064" s="23" t="inlineStr"/>
    </row>
    <row r="1065" ht="64" customHeight="1">
      <c r="A1065" s="23" t="inlineStr">
        <is>
          <t>1.4.2</t>
        </is>
      </c>
      <c r="B1065" s="23" t="inlineStr">
        <is>
          <t>Vehicles and Depot - Depot Buildings</t>
        </is>
      </c>
      <c r="C1065" s="23" t="inlineStr">
        <is>
          <t>Cost &amp; Forecast Control Accounts</t>
        </is>
      </c>
      <c r="D1065" s="23" t="inlineStr">
        <is>
          <t>CST-04-048</t>
        </is>
      </c>
      <c r="E1065" s="23" t="inlineStr">
        <is>
          <t>Vehicles and Depot - spares - professional services</t>
        </is>
      </c>
      <c r="F1065" s="23" t="inlineStr">
        <is>
          <t>ONE_TO_ONE</t>
        </is>
      </c>
      <c r="G1065" s="23" t="inlineStr">
        <is>
          <t>RETAINED</t>
        </is>
      </c>
      <c r="H1065" s="23" t="inlineStr">
        <is>
          <t>Carried forward</t>
        </is>
      </c>
      <c r="I1065" s="23" t="inlineStr">
        <is>
          <t>Source assignment -- not individually reviewed</t>
        </is>
      </c>
      <c r="J1065" s="23" t="inlineStr"/>
      <c r="K1065" s="23" t="inlineStr">
        <is>
          <t>Source assignment</t>
        </is>
      </c>
      <c r="L1065" s="23" t="inlineStr"/>
      <c r="M1065" s="23" t="inlineStr">
        <is>
          <t>Cost &amp; Forecast Control Accounts Cycle 2</t>
        </is>
      </c>
      <c r="N1065" s="23" t="inlineStr">
        <is>
          <t>Rev 1</t>
        </is>
      </c>
      <c r="O1065" s="23" t="inlineStr">
        <is>
          <t>R1370-v2</t>
        </is>
      </c>
      <c r="P1065" s="23" t="inlineStr"/>
      <c r="Q1065" s="23" t="inlineStr"/>
      <c r="R1065" s="23" t="inlineStr"/>
      <c r="S1065" s="23" t="inlineStr"/>
      <c r="T1065" s="23" t="inlineStr"/>
      <c r="U1065" s="23" t="inlineStr"/>
      <c r="V1065" s="23" t="inlineStr">
        <is>
          <t>Cost Account = CA-4048; WBS Code = 1.4.2</t>
        </is>
      </c>
      <c r="W1065" s="23" t="inlineStr"/>
    </row>
    <row r="1066" ht="64" customHeight="1">
      <c r="A1066" s="23" t="inlineStr">
        <is>
          <t>1.4.2</t>
        </is>
      </c>
      <c r="B1066" s="23" t="inlineStr">
        <is>
          <t>Vehicles and Depot - Depot Buildings</t>
        </is>
      </c>
      <c r="C1066" s="23" t="inlineStr">
        <is>
          <t>Cost &amp; Forecast Control Accounts</t>
        </is>
      </c>
      <c r="D1066" s="23" t="inlineStr">
        <is>
          <t>CST-04-050</t>
        </is>
      </c>
      <c r="E1066" s="23" t="inlineStr">
        <is>
          <t>Vehicles and Depot - workshop equipment - closeout</t>
        </is>
      </c>
      <c r="F1066" s="23" t="inlineStr">
        <is>
          <t>ONE_TO_ONE</t>
        </is>
      </c>
      <c r="G1066" s="23" t="inlineStr">
        <is>
          <t>RETAINED</t>
        </is>
      </c>
      <c r="H1066" s="23" t="inlineStr">
        <is>
          <t>Carried forward</t>
        </is>
      </c>
      <c r="I1066" s="23" t="inlineStr">
        <is>
          <t>Source assignment -- not individually reviewed</t>
        </is>
      </c>
      <c r="J1066" s="23" t="inlineStr"/>
      <c r="K1066" s="23" t="inlineStr">
        <is>
          <t>Source assignment</t>
        </is>
      </c>
      <c r="L1066" s="23" t="inlineStr"/>
      <c r="M1066" s="23" t="inlineStr">
        <is>
          <t>Cost &amp; Forecast Control Accounts Cycle 2</t>
        </is>
      </c>
      <c r="N1066" s="23" t="inlineStr">
        <is>
          <t>Rev 1</t>
        </is>
      </c>
      <c r="O1066" s="23" t="inlineStr">
        <is>
          <t>R1372-v2</t>
        </is>
      </c>
      <c r="P1066" s="23" t="inlineStr"/>
      <c r="Q1066" s="23" t="inlineStr"/>
      <c r="R1066" s="23" t="inlineStr"/>
      <c r="S1066" s="23" t="inlineStr"/>
      <c r="T1066" s="23" t="inlineStr"/>
      <c r="U1066" s="23" t="inlineStr"/>
      <c r="V1066" s="23" t="inlineStr">
        <is>
          <t>Cost Account = CA-4050; WBS Code = 1.4.2</t>
        </is>
      </c>
      <c r="W1066" s="23" t="inlineStr"/>
    </row>
    <row r="1067" ht="64" customHeight="1">
      <c r="A1067" s="23" t="inlineStr">
        <is>
          <t>1.4.2</t>
        </is>
      </c>
      <c r="B1067" s="23" t="inlineStr">
        <is>
          <t>Vehicles and Depot - Depot Buildings</t>
        </is>
      </c>
      <c r="C1067" s="23" t="inlineStr">
        <is>
          <t>Cost &amp; Forecast Control Accounts</t>
        </is>
      </c>
      <c r="D1067" s="23" t="inlineStr">
        <is>
          <t>CST-04-052</t>
        </is>
      </c>
      <c r="E1067" s="23" t="inlineStr">
        <is>
          <t>Vehicles and Depot - fleet supply - supply and install</t>
        </is>
      </c>
      <c r="F1067" s="23" t="inlineStr">
        <is>
          <t>ONE_TO_ONE</t>
        </is>
      </c>
      <c r="G1067" s="23" t="inlineStr">
        <is>
          <t>RETAINED</t>
        </is>
      </c>
      <c r="H1067" s="23" t="inlineStr">
        <is>
          <t>Carried forward</t>
        </is>
      </c>
      <c r="I1067" s="23" t="inlineStr">
        <is>
          <t>Source assignment -- not individually reviewed</t>
        </is>
      </c>
      <c r="J1067" s="23" t="inlineStr"/>
      <c r="K1067" s="23" t="inlineStr">
        <is>
          <t>Source assignment</t>
        </is>
      </c>
      <c r="L1067" s="23" t="inlineStr"/>
      <c r="M1067" s="23" t="inlineStr">
        <is>
          <t>Cost &amp; Forecast Control Accounts Cycle 2</t>
        </is>
      </c>
      <c r="N1067" s="23" t="inlineStr">
        <is>
          <t>Rev 1</t>
        </is>
      </c>
      <c r="O1067" s="23" t="inlineStr">
        <is>
          <t>R1374-v2</t>
        </is>
      </c>
      <c r="P1067" s="23" t="inlineStr"/>
      <c r="Q1067" s="23" t="inlineStr"/>
      <c r="R1067" s="23" t="inlineStr"/>
      <c r="S1067" s="23" t="inlineStr"/>
      <c r="T1067" s="23" t="inlineStr"/>
      <c r="U1067" s="23" t="inlineStr"/>
      <c r="V1067" s="23" t="inlineStr">
        <is>
          <t>Cost Account = CA-4052; WBS Code = 1.4.2</t>
        </is>
      </c>
      <c r="W1067" s="23" t="inlineStr"/>
    </row>
    <row r="1068" ht="64" customHeight="1">
      <c r="A1068" s="23" t="inlineStr">
        <is>
          <t>1.4.2</t>
        </is>
      </c>
      <c r="B1068" s="23" t="inlineStr">
        <is>
          <t>Vehicles and Depot - Depot Buildings</t>
        </is>
      </c>
      <c r="C1068" s="23" t="inlineStr">
        <is>
          <t>Cost &amp; Forecast Control Accounts</t>
        </is>
      </c>
      <c r="D1068" s="23" t="inlineStr">
        <is>
          <t>CST-04-054</t>
        </is>
      </c>
      <c r="E1068" s="23" t="inlineStr">
        <is>
          <t>Vehicles and Depot - spares - allowance</t>
        </is>
      </c>
      <c r="F1068" s="23" t="inlineStr">
        <is>
          <t>ONE_TO_ONE</t>
        </is>
      </c>
      <c r="G1068" s="23" t="inlineStr">
        <is>
          <t>RETAINED</t>
        </is>
      </c>
      <c r="H1068" s="23" t="inlineStr">
        <is>
          <t>Carried forward</t>
        </is>
      </c>
      <c r="I1068" s="23" t="inlineStr">
        <is>
          <t>Source assignment -- not individually reviewed</t>
        </is>
      </c>
      <c r="J1068" s="23" t="inlineStr"/>
      <c r="K1068" s="23" t="inlineStr">
        <is>
          <t>Source assignment</t>
        </is>
      </c>
      <c r="L1068" s="23" t="inlineStr"/>
      <c r="M1068" s="23" t="inlineStr">
        <is>
          <t>Cost &amp; Forecast Control Accounts Cycle 2</t>
        </is>
      </c>
      <c r="N1068" s="23" t="inlineStr">
        <is>
          <t>Rev 1</t>
        </is>
      </c>
      <c r="O1068" s="23" t="inlineStr">
        <is>
          <t>R1376-v2</t>
        </is>
      </c>
      <c r="P1068" s="23" t="inlineStr"/>
      <c r="Q1068" s="23" t="inlineStr"/>
      <c r="R1068" s="23" t="inlineStr"/>
      <c r="S1068" s="23" t="inlineStr"/>
      <c r="T1068" s="23" t="inlineStr"/>
      <c r="U1068" s="23" t="inlineStr"/>
      <c r="V1068" s="23" t="inlineStr">
        <is>
          <t>Cost Account = CA-4054; WBS Code = 1.4.2</t>
        </is>
      </c>
      <c r="W1068" s="23" t="inlineStr"/>
    </row>
    <row r="1069" ht="64" customHeight="1">
      <c r="A1069" s="23" t="inlineStr">
        <is>
          <t>1.4.2</t>
        </is>
      </c>
      <c r="B1069" s="23" t="inlineStr">
        <is>
          <t>Vehicles and Depot - Depot Buildings</t>
        </is>
      </c>
      <c r="C1069" s="23" t="inlineStr">
        <is>
          <t>Cost &amp; Forecast Control Accounts</t>
        </is>
      </c>
      <c r="D1069" s="23" t="inlineStr">
        <is>
          <t>CST-04-056</t>
        </is>
      </c>
      <c r="E1069" s="23" t="inlineStr">
        <is>
          <t>Vehicles and Depot - workshop equipment - field package</t>
        </is>
      </c>
      <c r="F1069" s="23" t="inlineStr">
        <is>
          <t>ONE_TO_ONE</t>
        </is>
      </c>
      <c r="G1069" s="23" t="inlineStr">
        <is>
          <t>RETAINED</t>
        </is>
      </c>
      <c r="H1069" s="23" t="inlineStr">
        <is>
          <t>Carried forward</t>
        </is>
      </c>
      <c r="I1069" s="23" t="inlineStr">
        <is>
          <t>Source assignment -- not individually reviewed</t>
        </is>
      </c>
      <c r="J1069" s="23" t="inlineStr"/>
      <c r="K1069" s="23" t="inlineStr">
        <is>
          <t>Source assignment</t>
        </is>
      </c>
      <c r="L1069" s="23" t="inlineStr"/>
      <c r="M1069" s="23" t="inlineStr">
        <is>
          <t>Cost &amp; Forecast Control Accounts Cycle 2</t>
        </is>
      </c>
      <c r="N1069" s="23" t="inlineStr">
        <is>
          <t>Rev 1</t>
        </is>
      </c>
      <c r="O1069" s="23" t="inlineStr">
        <is>
          <t>R1378-v2</t>
        </is>
      </c>
      <c r="P1069" s="23" t="inlineStr"/>
      <c r="Q1069" s="23" t="inlineStr"/>
      <c r="R1069" s="23" t="inlineStr"/>
      <c r="S1069" s="23" t="inlineStr"/>
      <c r="T1069" s="23" t="inlineStr"/>
      <c r="U1069" s="23" t="inlineStr"/>
      <c r="V1069" s="23" t="inlineStr">
        <is>
          <t>Cost Account = CA-4056; WBS Code = 1.4.2</t>
        </is>
      </c>
      <c r="W1069" s="23" t="inlineStr"/>
    </row>
    <row r="1070" ht="64" customHeight="1">
      <c r="A1070" s="23" t="inlineStr">
        <is>
          <t>1.4.2</t>
        </is>
      </c>
      <c r="B1070" s="23" t="inlineStr">
        <is>
          <t>Vehicles and Depot - Depot Buildings</t>
        </is>
      </c>
      <c r="C1070" s="23" t="inlineStr">
        <is>
          <t>Cost &amp; Forecast Control Accounts</t>
        </is>
      </c>
      <c r="D1070" s="23" t="inlineStr">
        <is>
          <t>CST-04-058</t>
        </is>
      </c>
      <c r="E1070" s="23" t="inlineStr">
        <is>
          <t>Vehicles and Depot - fleet supply - professional services</t>
        </is>
      </c>
      <c r="F1070" s="23" t="inlineStr">
        <is>
          <t>ONE_TO_ONE</t>
        </is>
      </c>
      <c r="G1070" s="23" t="inlineStr">
        <is>
          <t>RETAINED</t>
        </is>
      </c>
      <c r="H1070" s="23" t="inlineStr">
        <is>
          <t>Carried forward</t>
        </is>
      </c>
      <c r="I1070" s="23" t="inlineStr">
        <is>
          <t>Source assignment -- not individually reviewed</t>
        </is>
      </c>
      <c r="J1070" s="23" t="inlineStr"/>
      <c r="K1070" s="23" t="inlineStr">
        <is>
          <t>Source assignment</t>
        </is>
      </c>
      <c r="L1070" s="23" t="inlineStr"/>
      <c r="M1070" s="23" t="inlineStr">
        <is>
          <t>Cost &amp; Forecast Control Accounts Cycle 2</t>
        </is>
      </c>
      <c r="N1070" s="23" t="inlineStr">
        <is>
          <t>Rev 1</t>
        </is>
      </c>
      <c r="O1070" s="23" t="inlineStr">
        <is>
          <t>R1380-v2</t>
        </is>
      </c>
      <c r="P1070" s="23" t="inlineStr"/>
      <c r="Q1070" s="23" t="inlineStr"/>
      <c r="R1070" s="23" t="inlineStr"/>
      <c r="S1070" s="23" t="inlineStr"/>
      <c r="T1070" s="23" t="inlineStr"/>
      <c r="U1070" s="23" t="inlineStr"/>
      <c r="V1070" s="23" t="inlineStr">
        <is>
          <t>Cost Account = CA-4058; WBS Code = 1.4.2</t>
        </is>
      </c>
      <c r="W1070" s="23" t="inlineStr"/>
    </row>
    <row r="1071" ht="64" customHeight="1">
      <c r="A1071" s="23" t="inlineStr">
        <is>
          <t>1.4.2</t>
        </is>
      </c>
      <c r="B1071" s="23" t="inlineStr">
        <is>
          <t>Vehicles and Depot - Depot Buildings</t>
        </is>
      </c>
      <c r="C1071" s="23" t="inlineStr">
        <is>
          <t>Cost &amp; Forecast Control Accounts</t>
        </is>
      </c>
      <c r="D1071" s="23" t="inlineStr">
        <is>
          <t>CST-04-060</t>
        </is>
      </c>
      <c r="E1071" s="23" t="inlineStr">
        <is>
          <t>Vehicles and Depot - spares - closeout</t>
        </is>
      </c>
      <c r="F1071" s="23" t="inlineStr">
        <is>
          <t>ONE_TO_ONE</t>
        </is>
      </c>
      <c r="G1071" s="23" t="inlineStr">
        <is>
          <t>RETAINED</t>
        </is>
      </c>
      <c r="H1071" s="23" t="inlineStr">
        <is>
          <t>Carried forward</t>
        </is>
      </c>
      <c r="I1071" s="23" t="inlineStr">
        <is>
          <t>Source assignment -- not individually reviewed</t>
        </is>
      </c>
      <c r="J1071" s="23" t="inlineStr"/>
      <c r="K1071" s="23" t="inlineStr">
        <is>
          <t>Source assignment</t>
        </is>
      </c>
      <c r="L1071" s="23" t="inlineStr"/>
      <c r="M1071" s="23" t="inlineStr">
        <is>
          <t>Cost &amp; Forecast Control Accounts Cycle 2</t>
        </is>
      </c>
      <c r="N1071" s="23" t="inlineStr">
        <is>
          <t>Rev 1</t>
        </is>
      </c>
      <c r="O1071" s="23" t="inlineStr">
        <is>
          <t>R1382-v2</t>
        </is>
      </c>
      <c r="P1071" s="23" t="inlineStr"/>
      <c r="Q1071" s="23" t="inlineStr"/>
      <c r="R1071" s="23" t="inlineStr"/>
      <c r="S1071" s="23" t="inlineStr"/>
      <c r="T1071" s="23" t="inlineStr"/>
      <c r="U1071" s="23" t="inlineStr"/>
      <c r="V1071" s="23" t="inlineStr">
        <is>
          <t>Cost Account = CA-4060; WBS Code = 1.4.2</t>
        </is>
      </c>
      <c r="W1071" s="23" t="inlineStr"/>
    </row>
    <row r="1072" ht="64" customHeight="1">
      <c r="A1072" s="23" t="inlineStr">
        <is>
          <t>1.4.2</t>
        </is>
      </c>
      <c r="B1072" s="23" t="inlineStr">
        <is>
          <t>Vehicles and Depot - Depot Buildings</t>
        </is>
      </c>
      <c r="C1072" s="23" t="inlineStr">
        <is>
          <t>Cost &amp; Forecast Control Accounts</t>
        </is>
      </c>
      <c r="D1072" s="23" t="inlineStr">
        <is>
          <t>CST-04-062</t>
        </is>
      </c>
      <c r="E1072" s="23" t="inlineStr">
        <is>
          <t>Vehicles and Depot - workshop equipment - supply and install</t>
        </is>
      </c>
      <c r="F1072" s="23" t="inlineStr">
        <is>
          <t>ONE_TO_ONE</t>
        </is>
      </c>
      <c r="G1072" s="23" t="inlineStr">
        <is>
          <t>RETAINED</t>
        </is>
      </c>
      <c r="H1072" s="23" t="inlineStr">
        <is>
          <t>Carried forward</t>
        </is>
      </c>
      <c r="I1072" s="23" t="inlineStr">
        <is>
          <t>Source assignment -- not individually reviewed</t>
        </is>
      </c>
      <c r="J1072" s="23" t="inlineStr"/>
      <c r="K1072" s="23" t="inlineStr">
        <is>
          <t>Source assignment</t>
        </is>
      </c>
      <c r="L1072" s="23" t="inlineStr"/>
      <c r="M1072" s="23" t="inlineStr">
        <is>
          <t>Cost &amp; Forecast Control Accounts Cycle 2</t>
        </is>
      </c>
      <c r="N1072" s="23" t="inlineStr">
        <is>
          <t>Rev 1</t>
        </is>
      </c>
      <c r="O1072" s="23" t="inlineStr">
        <is>
          <t>R1384-v2</t>
        </is>
      </c>
      <c r="P1072" s="23" t="inlineStr"/>
      <c r="Q1072" s="23" t="inlineStr"/>
      <c r="R1072" s="23" t="inlineStr"/>
      <c r="S1072" s="23" t="inlineStr"/>
      <c r="T1072" s="23" t="inlineStr"/>
      <c r="U1072" s="23" t="inlineStr"/>
      <c r="V1072" s="23" t="inlineStr">
        <is>
          <t>Cost Account = CA-4062; WBS Code = 1.4.2</t>
        </is>
      </c>
      <c r="W1072" s="23" t="inlineStr"/>
    </row>
    <row r="1073" ht="64" customHeight="1">
      <c r="A1073" s="23" t="inlineStr">
        <is>
          <t>1.4.2</t>
        </is>
      </c>
      <c r="B1073" s="23" t="inlineStr">
        <is>
          <t>Vehicles and Depot - Depot Buildings</t>
        </is>
      </c>
      <c r="C1073" s="23" t="inlineStr">
        <is>
          <t>Cost &amp; Forecast Control Accounts</t>
        </is>
      </c>
      <c r="D1073" s="23" t="inlineStr">
        <is>
          <t>CST-04-064</t>
        </is>
      </c>
      <c r="E1073" s="23" t="inlineStr">
        <is>
          <t>Vehicles and Depot - fleet supply - allowance</t>
        </is>
      </c>
      <c r="F1073" s="23" t="inlineStr">
        <is>
          <t>ONE_TO_ONE</t>
        </is>
      </c>
      <c r="G1073" s="23" t="inlineStr">
        <is>
          <t>RETAINED</t>
        </is>
      </c>
      <c r="H1073" s="23" t="inlineStr">
        <is>
          <t>Carried forward</t>
        </is>
      </c>
      <c r="I1073" s="23" t="inlineStr">
        <is>
          <t>Source assignment -- not individually reviewed</t>
        </is>
      </c>
      <c r="J1073" s="23" t="inlineStr"/>
      <c r="K1073" s="23" t="inlineStr">
        <is>
          <t>Source assignment</t>
        </is>
      </c>
      <c r="L1073" s="23" t="inlineStr"/>
      <c r="M1073" s="23" t="inlineStr">
        <is>
          <t>Cost &amp; Forecast Control Accounts Cycle 2</t>
        </is>
      </c>
      <c r="N1073" s="23" t="inlineStr">
        <is>
          <t>Rev 1</t>
        </is>
      </c>
      <c r="O1073" s="23" t="inlineStr">
        <is>
          <t>R1386-v2</t>
        </is>
      </c>
      <c r="P1073" s="23" t="inlineStr"/>
      <c r="Q1073" s="23" t="inlineStr"/>
      <c r="R1073" s="23" t="inlineStr"/>
      <c r="S1073" s="23" t="inlineStr"/>
      <c r="T1073" s="23" t="inlineStr"/>
      <c r="U1073" s="23" t="inlineStr"/>
      <c r="V1073" s="23" t="inlineStr">
        <is>
          <t>Cost Account = CA-4064; WBS Code = 1.4.2</t>
        </is>
      </c>
      <c r="W1073" s="23" t="inlineStr"/>
    </row>
    <row r="1074" ht="64" customHeight="1">
      <c r="A1074" s="23" t="inlineStr">
        <is>
          <t>1.4.2</t>
        </is>
      </c>
      <c r="B1074" s="23" t="inlineStr">
        <is>
          <t>Vehicles and Depot - Depot Buildings</t>
        </is>
      </c>
      <c r="C1074" s="23" t="inlineStr">
        <is>
          <t>Cost &amp; Forecast Control Accounts</t>
        </is>
      </c>
      <c r="D1074" s="23" t="inlineStr">
        <is>
          <t>CST-04-066</t>
        </is>
      </c>
      <c r="E1074" s="23" t="inlineStr">
        <is>
          <t>Vehicles and Depot - spares - field package</t>
        </is>
      </c>
      <c r="F1074" s="23" t="inlineStr">
        <is>
          <t>ONE_TO_ONE</t>
        </is>
      </c>
      <c r="G1074" s="23" t="inlineStr">
        <is>
          <t>RETAINED</t>
        </is>
      </c>
      <c r="H1074" s="23" t="inlineStr">
        <is>
          <t>Carried forward</t>
        </is>
      </c>
      <c r="I1074" s="23" t="inlineStr">
        <is>
          <t>Source assignment -- not individually reviewed</t>
        </is>
      </c>
      <c r="J1074" s="23" t="inlineStr"/>
      <c r="K1074" s="23" t="inlineStr">
        <is>
          <t>Source assignment</t>
        </is>
      </c>
      <c r="L1074" s="23" t="inlineStr"/>
      <c r="M1074" s="23" t="inlineStr">
        <is>
          <t>Cost &amp; Forecast Control Accounts Cycle 2</t>
        </is>
      </c>
      <c r="N1074" s="23" t="inlineStr">
        <is>
          <t>Rev 1</t>
        </is>
      </c>
      <c r="O1074" s="23" t="inlineStr">
        <is>
          <t>R1388-v2</t>
        </is>
      </c>
      <c r="P1074" s="23" t="inlineStr"/>
      <c r="Q1074" s="23" t="inlineStr"/>
      <c r="R1074" s="23" t="inlineStr"/>
      <c r="S1074" s="23" t="inlineStr"/>
      <c r="T1074" s="23" t="inlineStr"/>
      <c r="U1074" s="23" t="inlineStr"/>
      <c r="V1074" s="23" t="inlineStr">
        <is>
          <t>Cost Account = CA-4066; WBS Code = 1.4.2</t>
        </is>
      </c>
      <c r="W1074" s="23" t="inlineStr"/>
    </row>
    <row r="1075" ht="64" customHeight="1">
      <c r="A1075" s="23" t="inlineStr">
        <is>
          <t>1.4.2</t>
        </is>
      </c>
      <c r="B1075" s="23" t="inlineStr">
        <is>
          <t>Vehicles and Depot - Depot Buildings</t>
        </is>
      </c>
      <c r="C1075" s="23" t="inlineStr">
        <is>
          <t>Cost &amp; Forecast Control Accounts</t>
        </is>
      </c>
      <c r="D1075" s="23" t="inlineStr">
        <is>
          <t>CST-04-068</t>
        </is>
      </c>
      <c r="E1075" s="23" t="inlineStr">
        <is>
          <t>Vehicles and Depot - workshop equipment - professional services</t>
        </is>
      </c>
      <c r="F1075" s="23" t="inlineStr">
        <is>
          <t>ONE_TO_ONE</t>
        </is>
      </c>
      <c r="G1075" s="23" t="inlineStr">
        <is>
          <t>RETAINED</t>
        </is>
      </c>
      <c r="H1075" s="23" t="inlineStr">
        <is>
          <t>Carried forward</t>
        </is>
      </c>
      <c r="I1075" s="23" t="inlineStr">
        <is>
          <t>Source assignment -- not individually reviewed</t>
        </is>
      </c>
      <c r="J1075" s="23" t="inlineStr"/>
      <c r="K1075" s="23" t="inlineStr">
        <is>
          <t>Source assignment</t>
        </is>
      </c>
      <c r="L1075" s="23" t="inlineStr"/>
      <c r="M1075" s="23" t="inlineStr">
        <is>
          <t>Cost &amp; Forecast Control Accounts Cycle 2</t>
        </is>
      </c>
      <c r="N1075" s="23" t="inlineStr">
        <is>
          <t>Rev 1</t>
        </is>
      </c>
      <c r="O1075" s="23" t="inlineStr">
        <is>
          <t>R1390-v2</t>
        </is>
      </c>
      <c r="P1075" s="23" t="inlineStr"/>
      <c r="Q1075" s="23" t="inlineStr"/>
      <c r="R1075" s="23" t="inlineStr"/>
      <c r="S1075" s="23" t="inlineStr"/>
      <c r="T1075" s="23" t="inlineStr"/>
      <c r="U1075" s="23" t="inlineStr"/>
      <c r="V1075" s="23" t="inlineStr">
        <is>
          <t>Cost Account = CA-4068; WBS Code = 1.4.2</t>
        </is>
      </c>
      <c r="W1075" s="23" t="inlineStr"/>
    </row>
    <row r="1076" ht="64" customHeight="1">
      <c r="A1076" s="23" t="inlineStr">
        <is>
          <t>1.4.2</t>
        </is>
      </c>
      <c r="B1076" s="23" t="inlineStr">
        <is>
          <t>Vehicles and Depot - Depot Buildings</t>
        </is>
      </c>
      <c r="C1076" s="23" t="inlineStr">
        <is>
          <t>Cost &amp; Forecast Control Accounts</t>
        </is>
      </c>
      <c r="D1076" s="23" t="inlineStr">
        <is>
          <t>CST-04-070</t>
        </is>
      </c>
      <c r="E1076" s="23" t="inlineStr">
        <is>
          <t>Vehicles and Depot - fleet supply - closeout</t>
        </is>
      </c>
      <c r="F1076" s="23" t="inlineStr">
        <is>
          <t>ONE_TO_ONE</t>
        </is>
      </c>
      <c r="G1076" s="23" t="inlineStr">
        <is>
          <t>RETAINED</t>
        </is>
      </c>
      <c r="H1076" s="23" t="inlineStr">
        <is>
          <t>Carried forward</t>
        </is>
      </c>
      <c r="I1076" s="23" t="inlineStr">
        <is>
          <t>Source assignment -- not individually reviewed</t>
        </is>
      </c>
      <c r="J1076" s="23" t="inlineStr"/>
      <c r="K1076" s="23" t="inlineStr">
        <is>
          <t>Source assignment</t>
        </is>
      </c>
      <c r="L1076" s="23" t="inlineStr"/>
      <c r="M1076" s="23" t="inlineStr">
        <is>
          <t>Cost &amp; Forecast Control Accounts Cycle 2</t>
        </is>
      </c>
      <c r="N1076" s="23" t="inlineStr">
        <is>
          <t>Rev 1</t>
        </is>
      </c>
      <c r="O1076" s="23" t="inlineStr">
        <is>
          <t>R1392-v2</t>
        </is>
      </c>
      <c r="P1076" s="23" t="inlineStr"/>
      <c r="Q1076" s="23" t="inlineStr"/>
      <c r="R1076" s="23" t="inlineStr"/>
      <c r="S1076" s="23" t="inlineStr"/>
      <c r="T1076" s="23" t="inlineStr"/>
      <c r="U1076" s="23" t="inlineStr"/>
      <c r="V1076" s="23" t="inlineStr">
        <is>
          <t>Cost Account = CA-4070; WBS Code = 1.4.2</t>
        </is>
      </c>
      <c r="W1076" s="23" t="inlineStr"/>
    </row>
    <row r="1077" ht="64" customHeight="1">
      <c r="A1077" s="23" t="inlineStr">
        <is>
          <t>1.4.2</t>
        </is>
      </c>
      <c r="B1077" s="23" t="inlineStr">
        <is>
          <t>Vehicles and Depot - Depot Buildings</t>
        </is>
      </c>
      <c r="C1077" s="23" t="inlineStr">
        <is>
          <t>Cost &amp; Forecast Control Accounts</t>
        </is>
      </c>
      <c r="D1077" s="23" t="inlineStr">
        <is>
          <t>CST-04-072</t>
        </is>
      </c>
      <c r="E1077" s="23" t="inlineStr">
        <is>
          <t>Vehicles and Depot - spares - supply and install</t>
        </is>
      </c>
      <c r="F1077" s="23" t="inlineStr">
        <is>
          <t>ONE_TO_ONE</t>
        </is>
      </c>
      <c r="G1077" s="23" t="inlineStr">
        <is>
          <t>RETAINED</t>
        </is>
      </c>
      <c r="H1077" s="23" t="inlineStr">
        <is>
          <t>Carried forward</t>
        </is>
      </c>
      <c r="I1077" s="23" t="inlineStr">
        <is>
          <t>Source assignment -- not individually reviewed</t>
        </is>
      </c>
      <c r="J1077" s="23" t="inlineStr"/>
      <c r="K1077" s="23" t="inlineStr">
        <is>
          <t>Source assignment</t>
        </is>
      </c>
      <c r="L1077" s="23" t="inlineStr"/>
      <c r="M1077" s="23" t="inlineStr">
        <is>
          <t>Cost &amp; Forecast Control Accounts Cycle 2</t>
        </is>
      </c>
      <c r="N1077" s="23" t="inlineStr">
        <is>
          <t>Rev 1</t>
        </is>
      </c>
      <c r="O1077" s="23" t="inlineStr">
        <is>
          <t>R1394-v2</t>
        </is>
      </c>
      <c r="P1077" s="23" t="inlineStr"/>
      <c r="Q1077" s="23" t="inlineStr"/>
      <c r="R1077" s="23" t="inlineStr"/>
      <c r="S1077" s="23" t="inlineStr"/>
      <c r="T1077" s="23" t="inlineStr"/>
      <c r="U1077" s="23" t="inlineStr"/>
      <c r="V1077" s="23" t="inlineStr">
        <is>
          <t>Cost Account = CA-4072; WBS Code = 1.4.2</t>
        </is>
      </c>
      <c r="W1077" s="23" t="inlineStr"/>
    </row>
    <row r="1078" ht="64" customHeight="1">
      <c r="A1078" s="23" t="inlineStr">
        <is>
          <t>1.4.2</t>
        </is>
      </c>
      <c r="B1078" s="23" t="inlineStr">
        <is>
          <t>Vehicles and Depot - Depot Buildings</t>
        </is>
      </c>
      <c r="C1078" s="23" t="inlineStr">
        <is>
          <t>Cost &amp; Forecast Control Accounts</t>
        </is>
      </c>
      <c r="D1078" s="23" t="inlineStr">
        <is>
          <t>CST-04-074</t>
        </is>
      </c>
      <c r="E1078" s="23" t="inlineStr">
        <is>
          <t>Vehicles and Depot - workshop equipment - allowance</t>
        </is>
      </c>
      <c r="F1078" s="23" t="inlineStr">
        <is>
          <t>ONE_TO_ONE</t>
        </is>
      </c>
      <c r="G1078" s="23" t="inlineStr">
        <is>
          <t>RETAINED</t>
        </is>
      </c>
      <c r="H1078" s="23" t="inlineStr">
        <is>
          <t>Carried forward</t>
        </is>
      </c>
      <c r="I1078" s="23" t="inlineStr">
        <is>
          <t>Source assignment -- not individually reviewed</t>
        </is>
      </c>
      <c r="J1078" s="23" t="inlineStr"/>
      <c r="K1078" s="23" t="inlineStr">
        <is>
          <t>Source assignment</t>
        </is>
      </c>
      <c r="L1078" s="23" t="inlineStr"/>
      <c r="M1078" s="23" t="inlineStr">
        <is>
          <t>Cost &amp; Forecast Control Accounts Cycle 2</t>
        </is>
      </c>
      <c r="N1078" s="23" t="inlineStr">
        <is>
          <t>Rev 1</t>
        </is>
      </c>
      <c r="O1078" s="23" t="inlineStr">
        <is>
          <t>R1396-v2</t>
        </is>
      </c>
      <c r="P1078" s="23" t="inlineStr"/>
      <c r="Q1078" s="23" t="inlineStr"/>
      <c r="R1078" s="23" t="inlineStr"/>
      <c r="S1078" s="23" t="inlineStr"/>
      <c r="T1078" s="23" t="inlineStr"/>
      <c r="U1078" s="23" t="inlineStr"/>
      <c r="V1078" s="23" t="inlineStr">
        <is>
          <t>Cost Account = CA-4074; WBS Code = 1.4.2</t>
        </is>
      </c>
      <c r="W1078" s="23" t="inlineStr"/>
    </row>
    <row r="1079" ht="64" customHeight="1">
      <c r="A1079" s="23" t="inlineStr">
        <is>
          <t>1.4.2</t>
        </is>
      </c>
      <c r="B1079" s="23" t="inlineStr">
        <is>
          <t>Vehicles and Depot - Depot Buildings</t>
        </is>
      </c>
      <c r="C1079" s="23" t="inlineStr">
        <is>
          <t>Cost &amp; Forecast Control Accounts</t>
        </is>
      </c>
      <c r="D1079" s="23" t="inlineStr">
        <is>
          <t>CST-04-076</t>
        </is>
      </c>
      <c r="E1079" s="23" t="inlineStr">
        <is>
          <t>Vehicles and Depot - fleet supply - field package</t>
        </is>
      </c>
      <c r="F1079" s="23" t="inlineStr">
        <is>
          <t>ONE_TO_ONE</t>
        </is>
      </c>
      <c r="G1079" s="23" t="inlineStr">
        <is>
          <t>RETAINED</t>
        </is>
      </c>
      <c r="H1079" s="23" t="inlineStr">
        <is>
          <t>Carried forward</t>
        </is>
      </c>
      <c r="I1079" s="23" t="inlineStr">
        <is>
          <t>Source assignment -- not individually reviewed</t>
        </is>
      </c>
      <c r="J1079" s="23" t="inlineStr"/>
      <c r="K1079" s="23" t="inlineStr">
        <is>
          <t>Source assignment</t>
        </is>
      </c>
      <c r="L1079" s="23" t="inlineStr"/>
      <c r="M1079" s="23" t="inlineStr">
        <is>
          <t>Cost &amp; Forecast Control Accounts Cycle 2</t>
        </is>
      </c>
      <c r="N1079" s="23" t="inlineStr">
        <is>
          <t>Rev 1</t>
        </is>
      </c>
      <c r="O1079" s="23" t="inlineStr">
        <is>
          <t>R1398-v2</t>
        </is>
      </c>
      <c r="P1079" s="23" t="inlineStr"/>
      <c r="Q1079" s="23" t="inlineStr"/>
      <c r="R1079" s="23" t="inlineStr"/>
      <c r="S1079" s="23" t="inlineStr"/>
      <c r="T1079" s="23" t="inlineStr"/>
      <c r="U1079" s="23" t="inlineStr"/>
      <c r="V1079" s="23" t="inlineStr">
        <is>
          <t>Cost Account = CA-4076; WBS Code = 1.4.2</t>
        </is>
      </c>
      <c r="W1079" s="23" t="inlineStr"/>
    </row>
    <row r="1080" ht="64" customHeight="1">
      <c r="A1080" s="23" t="inlineStr">
        <is>
          <t>1.4.2</t>
        </is>
      </c>
      <c r="B1080" s="23" t="inlineStr">
        <is>
          <t>Vehicles and Depot - Depot Buildings</t>
        </is>
      </c>
      <c r="C1080" s="23" t="inlineStr">
        <is>
          <t>Cost &amp; Forecast Control Accounts</t>
        </is>
      </c>
      <c r="D1080" s="23" t="inlineStr">
        <is>
          <t>CST-04-078</t>
        </is>
      </c>
      <c r="E1080" s="23" t="inlineStr">
        <is>
          <t>Vehicles and Depot - spares - professional services</t>
        </is>
      </c>
      <c r="F1080" s="23" t="inlineStr">
        <is>
          <t>ONE_TO_ONE</t>
        </is>
      </c>
      <c r="G1080" s="23" t="inlineStr">
        <is>
          <t>RETAINED</t>
        </is>
      </c>
      <c r="H1080" s="23" t="inlineStr">
        <is>
          <t>Carried forward</t>
        </is>
      </c>
      <c r="I1080" s="23" t="inlineStr">
        <is>
          <t>Source assignment -- not individually reviewed</t>
        </is>
      </c>
      <c r="J1080" s="23" t="inlineStr"/>
      <c r="K1080" s="23" t="inlineStr">
        <is>
          <t>Source assignment</t>
        </is>
      </c>
      <c r="L1080" s="23" t="inlineStr"/>
      <c r="M1080" s="23" t="inlineStr">
        <is>
          <t>Cost &amp; Forecast Control Accounts Cycle 2</t>
        </is>
      </c>
      <c r="N1080" s="23" t="inlineStr">
        <is>
          <t>Rev 1</t>
        </is>
      </c>
      <c r="O1080" s="23" t="inlineStr">
        <is>
          <t>R1400-v2</t>
        </is>
      </c>
      <c r="P1080" s="23" t="inlineStr"/>
      <c r="Q1080" s="23" t="inlineStr"/>
      <c r="R1080" s="23" t="inlineStr"/>
      <c r="S1080" s="23" t="inlineStr"/>
      <c r="T1080" s="23" t="inlineStr"/>
      <c r="U1080" s="23" t="inlineStr"/>
      <c r="V1080" s="23" t="inlineStr">
        <is>
          <t>Cost Account = CA-4078; WBS Code = 1.4.2</t>
        </is>
      </c>
      <c r="W1080" s="23" t="inlineStr"/>
    </row>
    <row r="1081" ht="64" customHeight="1">
      <c r="A1081" s="23" t="inlineStr">
        <is>
          <t>1.4.2</t>
        </is>
      </c>
      <c r="B1081" s="23" t="inlineStr">
        <is>
          <t>Vehicles and Depot - Depot Buildings</t>
        </is>
      </c>
      <c r="C1081" s="23" t="inlineStr">
        <is>
          <t>Cost &amp; Forecast Control Accounts</t>
        </is>
      </c>
      <c r="D1081" s="23" t="inlineStr">
        <is>
          <t>CST-04-080</t>
        </is>
      </c>
      <c r="E1081" s="23" t="inlineStr">
        <is>
          <t>Vehicles and Depot - workshop equipment - closeout</t>
        </is>
      </c>
      <c r="F1081" s="23" t="inlineStr">
        <is>
          <t>ONE_TO_ONE</t>
        </is>
      </c>
      <c r="G1081" s="23" t="inlineStr">
        <is>
          <t>RETAINED</t>
        </is>
      </c>
      <c r="H1081" s="23" t="inlineStr">
        <is>
          <t>Carried forward</t>
        </is>
      </c>
      <c r="I1081" s="23" t="inlineStr">
        <is>
          <t>Source assignment -- not individually reviewed</t>
        </is>
      </c>
      <c r="J1081" s="23" t="inlineStr"/>
      <c r="K1081" s="23" t="inlineStr">
        <is>
          <t>Source assignment</t>
        </is>
      </c>
      <c r="L1081" s="23" t="inlineStr"/>
      <c r="M1081" s="23" t="inlineStr">
        <is>
          <t>Cost &amp; Forecast Control Accounts Cycle 2</t>
        </is>
      </c>
      <c r="N1081" s="23" t="inlineStr">
        <is>
          <t>Rev 1</t>
        </is>
      </c>
      <c r="O1081" s="23" t="inlineStr">
        <is>
          <t>R1402-v2</t>
        </is>
      </c>
      <c r="P1081" s="23" t="inlineStr"/>
      <c r="Q1081" s="23" t="inlineStr"/>
      <c r="R1081" s="23" t="inlineStr"/>
      <c r="S1081" s="23" t="inlineStr"/>
      <c r="T1081" s="23" t="inlineStr"/>
      <c r="U1081" s="23" t="inlineStr"/>
      <c r="V1081" s="23" t="inlineStr">
        <is>
          <t>Cost Account = CA-4080; WBS Code = 1.4.2</t>
        </is>
      </c>
      <c r="W1081" s="23" t="inlineStr"/>
    </row>
    <row r="1082" ht="64" customHeight="1">
      <c r="A1082" s="23" t="inlineStr">
        <is>
          <t>1.5</t>
        </is>
      </c>
      <c r="B1082" s="23" t="inlineStr">
        <is>
          <t>Testing and Commissioning</t>
        </is>
      </c>
      <c r="C1082" s="23" t="inlineStr">
        <is>
          <t>Commercial Package Register</t>
        </is>
      </c>
      <c r="D1082" s="23" t="inlineStr">
        <is>
          <t>PKG-041</t>
        </is>
      </c>
      <c r="E1082" s="23" t="inlineStr">
        <is>
          <t>Dynamic Testing</t>
        </is>
      </c>
      <c r="F1082" s="23" t="inlineStr">
        <is>
          <t>ONE_TO_ONE</t>
        </is>
      </c>
      <c r="G1082" s="23" t="inlineStr">
        <is>
          <t>RETAINED</t>
        </is>
      </c>
      <c r="H1082" s="23" t="inlineStr">
        <is>
          <t>Carried forward</t>
        </is>
      </c>
      <c r="I1082" s="23" t="inlineStr">
        <is>
          <t>Source assignment -- not individually reviewed</t>
        </is>
      </c>
      <c r="J1082" s="23" t="inlineStr"/>
      <c r="K1082" s="23" t="inlineStr">
        <is>
          <t>Source assignment</t>
        </is>
      </c>
      <c r="L1082" s="23" t="inlineStr"/>
      <c r="M1082" s="23" t="inlineStr">
        <is>
          <t>Commercial Package Register Cycle 2</t>
        </is>
      </c>
      <c r="N1082" s="23" t="inlineStr">
        <is>
          <t>Rev 1</t>
        </is>
      </c>
      <c r="O1082" s="23" t="inlineStr">
        <is>
          <t>R1603-v2</t>
        </is>
      </c>
      <c r="P1082" s="23" t="inlineStr"/>
      <c r="Q1082" s="23" t="inlineStr"/>
      <c r="R1082" s="23" t="inlineStr"/>
      <c r="S1082" s="23" t="inlineStr"/>
      <c r="T1082" s="23" t="inlineStr"/>
      <c r="U1082" s="23" t="inlineStr"/>
      <c r="V1082" s="23" t="inlineStr">
        <is>
          <t>Package Code = PK-501; WBS Code = 1.5</t>
        </is>
      </c>
      <c r="W1082" s="23" t="inlineStr"/>
    </row>
    <row r="1083" ht="64" customHeight="1">
      <c r="A1083" s="23" t="inlineStr">
        <is>
          <t>1.5</t>
        </is>
      </c>
      <c r="B1083" s="23" t="inlineStr">
        <is>
          <t>Testing and Commissioning</t>
        </is>
      </c>
      <c r="C1083" s="23" t="inlineStr">
        <is>
          <t>Commercial Package Register</t>
        </is>
      </c>
      <c r="D1083" s="23" t="inlineStr">
        <is>
          <t>PKG-042</t>
        </is>
      </c>
      <c r="E1083" s="23" t="inlineStr">
        <is>
          <t>Safety Certification</t>
        </is>
      </c>
      <c r="F1083" s="23" t="inlineStr">
        <is>
          <t>ONE_TO_ONE</t>
        </is>
      </c>
      <c r="G1083" s="23" t="inlineStr">
        <is>
          <t>RETAINED</t>
        </is>
      </c>
      <c r="H1083" s="23" t="inlineStr">
        <is>
          <t>Carried forward</t>
        </is>
      </c>
      <c r="I1083" s="23" t="inlineStr">
        <is>
          <t>Source assignment -- not individually reviewed</t>
        </is>
      </c>
      <c r="J1083" s="23" t="inlineStr"/>
      <c r="K1083" s="23" t="inlineStr">
        <is>
          <t>Source assignment</t>
        </is>
      </c>
      <c r="L1083" s="23" t="inlineStr"/>
      <c r="M1083" s="23" t="inlineStr">
        <is>
          <t>Commercial Package Register Cycle 2</t>
        </is>
      </c>
      <c r="N1083" s="23" t="inlineStr">
        <is>
          <t>Rev 1</t>
        </is>
      </c>
      <c r="O1083" s="23" t="inlineStr">
        <is>
          <t>R1604-v2</t>
        </is>
      </c>
      <c r="P1083" s="23" t="inlineStr"/>
      <c r="Q1083" s="23" t="inlineStr"/>
      <c r="R1083" s="23" t="inlineStr"/>
      <c r="S1083" s="23" t="inlineStr"/>
      <c r="T1083" s="23" t="inlineStr"/>
      <c r="U1083" s="23" t="inlineStr"/>
      <c r="V1083" s="23" t="inlineStr">
        <is>
          <t>Package Code = PK-502; WBS Code = 1.5</t>
        </is>
      </c>
      <c r="W1083" s="23" t="inlineStr"/>
    </row>
    <row r="1084" ht="64" customHeight="1">
      <c r="A1084" s="23" t="inlineStr">
        <is>
          <t>1.5</t>
        </is>
      </c>
      <c r="B1084" s="23" t="inlineStr">
        <is>
          <t>Testing and Commissioning</t>
        </is>
      </c>
      <c r="C1084" s="23" t="inlineStr">
        <is>
          <t>Commercial Package Register</t>
        </is>
      </c>
      <c r="D1084" s="23" t="inlineStr">
        <is>
          <t>PKG-043</t>
        </is>
      </c>
      <c r="E1084" s="23" t="inlineStr">
        <is>
          <t>Trial Running</t>
        </is>
      </c>
      <c r="F1084" s="23" t="inlineStr">
        <is>
          <t>ONE_TO_ONE</t>
        </is>
      </c>
      <c r="G1084" s="23" t="inlineStr">
        <is>
          <t>RETAINED</t>
        </is>
      </c>
      <c r="H1084" s="23" t="inlineStr">
        <is>
          <t>Carried forward</t>
        </is>
      </c>
      <c r="I1084" s="23" t="inlineStr">
        <is>
          <t>Source assignment -- not individually reviewed</t>
        </is>
      </c>
      <c r="J1084" s="23" t="inlineStr"/>
      <c r="K1084" s="23" t="inlineStr">
        <is>
          <t>Source assignment</t>
        </is>
      </c>
      <c r="L1084" s="23" t="inlineStr"/>
      <c r="M1084" s="23" t="inlineStr">
        <is>
          <t>Commercial Package Register Cycle 2</t>
        </is>
      </c>
      <c r="N1084" s="23" t="inlineStr">
        <is>
          <t>Rev 1</t>
        </is>
      </c>
      <c r="O1084" s="23" t="inlineStr">
        <is>
          <t>R1605-v2</t>
        </is>
      </c>
      <c r="P1084" s="23" t="inlineStr"/>
      <c r="Q1084" s="23" t="inlineStr"/>
      <c r="R1084" s="23" t="inlineStr"/>
      <c r="S1084" s="23" t="inlineStr"/>
      <c r="T1084" s="23" t="inlineStr"/>
      <c r="U1084" s="23" t="inlineStr"/>
      <c r="V1084" s="23" t="inlineStr">
        <is>
          <t>Package Code = PK-503; WBS Code = 1.5</t>
        </is>
      </c>
      <c r="W1084" s="23" t="inlineStr"/>
    </row>
    <row r="1085" ht="64" customHeight="1">
      <c r="A1085" s="23" t="inlineStr">
        <is>
          <t>1.5</t>
        </is>
      </c>
      <c r="B1085" s="23" t="inlineStr">
        <is>
          <t>Testing and Commissioning</t>
        </is>
      </c>
      <c r="C1085" s="23" t="inlineStr">
        <is>
          <t>Commercial Package Register</t>
        </is>
      </c>
      <c r="D1085" s="23" t="inlineStr">
        <is>
          <t>PKG-044</t>
        </is>
      </c>
      <c r="E1085" s="23" t="inlineStr">
        <is>
          <t>Readiness Support</t>
        </is>
      </c>
      <c r="F1085" s="23" t="inlineStr">
        <is>
          <t>ONE_TO_ONE</t>
        </is>
      </c>
      <c r="G1085" s="23" t="inlineStr">
        <is>
          <t>RETAINED</t>
        </is>
      </c>
      <c r="H1085" s="23" t="inlineStr">
        <is>
          <t>Carried forward</t>
        </is>
      </c>
      <c r="I1085" s="23" t="inlineStr">
        <is>
          <t>Source assignment -- not individually reviewed</t>
        </is>
      </c>
      <c r="J1085" s="23" t="inlineStr"/>
      <c r="K1085" s="23" t="inlineStr">
        <is>
          <t>Source assignment</t>
        </is>
      </c>
      <c r="L1085" s="23" t="inlineStr"/>
      <c r="M1085" s="23" t="inlineStr">
        <is>
          <t>Commercial Package Register Cycle 2</t>
        </is>
      </c>
      <c r="N1085" s="23" t="inlineStr">
        <is>
          <t>Rev 1</t>
        </is>
      </c>
      <c r="O1085" s="23" t="inlineStr">
        <is>
          <t>R1606-v2</t>
        </is>
      </c>
      <c r="P1085" s="23" t="inlineStr"/>
      <c r="Q1085" s="23" t="inlineStr"/>
      <c r="R1085" s="23" t="inlineStr"/>
      <c r="S1085" s="23" t="inlineStr"/>
      <c r="T1085" s="23" t="inlineStr"/>
      <c r="U1085" s="23" t="inlineStr"/>
      <c r="V1085" s="23" t="inlineStr">
        <is>
          <t>Package Code = PK-504; WBS Code = 1.5</t>
        </is>
      </c>
      <c r="W1085" s="23" t="inlineStr"/>
    </row>
    <row r="1086" ht="64" customHeight="1">
      <c r="A1086" s="23" t="inlineStr">
        <is>
          <t>1.5</t>
        </is>
      </c>
      <c r="B1086" s="23" t="inlineStr">
        <is>
          <t>Testing and Commissioning</t>
        </is>
      </c>
      <c r="C1086" s="23" t="inlineStr">
        <is>
          <t>Commercial Package Register</t>
        </is>
      </c>
      <c r="D1086" s="23" t="inlineStr">
        <is>
          <t>PKG-045</t>
        </is>
      </c>
      <c r="E1086" s="23" t="inlineStr">
        <is>
          <t>Dynamic Testing - Lot 2</t>
        </is>
      </c>
      <c r="F1086" s="23" t="inlineStr">
        <is>
          <t>ONE_TO_ONE</t>
        </is>
      </c>
      <c r="G1086" s="23" t="inlineStr">
        <is>
          <t>RETAINED</t>
        </is>
      </c>
      <c r="H1086" s="23" t="inlineStr">
        <is>
          <t>Carried forward</t>
        </is>
      </c>
      <c r="I1086" s="23" t="inlineStr">
        <is>
          <t>Source assignment -- not individually reviewed</t>
        </is>
      </c>
      <c r="J1086" s="23" t="inlineStr"/>
      <c r="K1086" s="23" t="inlineStr">
        <is>
          <t>Source assignment</t>
        </is>
      </c>
      <c r="L1086" s="23" t="inlineStr"/>
      <c r="M1086" s="23" t="inlineStr">
        <is>
          <t>Commercial Package Register Cycle 2</t>
        </is>
      </c>
      <c r="N1086" s="23" t="inlineStr">
        <is>
          <t>Rev 1</t>
        </is>
      </c>
      <c r="O1086" s="23" t="inlineStr">
        <is>
          <t>R1607-v2</t>
        </is>
      </c>
      <c r="P1086" s="23" t="inlineStr"/>
      <c r="Q1086" s="23" t="inlineStr"/>
      <c r="R1086" s="23" t="inlineStr"/>
      <c r="S1086" s="23" t="inlineStr"/>
      <c r="T1086" s="23" t="inlineStr"/>
      <c r="U1086" s="23" t="inlineStr"/>
      <c r="V1086" s="23" t="inlineStr">
        <is>
          <t>Package Code = PK-505; WBS Code = 1.5</t>
        </is>
      </c>
      <c r="W1086" s="23" t="inlineStr"/>
    </row>
    <row r="1087" ht="64" customHeight="1">
      <c r="A1087" s="23" t="inlineStr">
        <is>
          <t>1.5</t>
        </is>
      </c>
      <c r="B1087" s="23" t="inlineStr">
        <is>
          <t>Testing and Commissioning</t>
        </is>
      </c>
      <c r="C1087" s="23" t="inlineStr">
        <is>
          <t>Commercial Package Register</t>
        </is>
      </c>
      <c r="D1087" s="23" t="inlineStr">
        <is>
          <t>PKG-046</t>
        </is>
      </c>
      <c r="E1087" s="23" t="inlineStr">
        <is>
          <t>Safety Certification - Lot 2</t>
        </is>
      </c>
      <c r="F1087" s="23" t="inlineStr">
        <is>
          <t>ONE_TO_ONE</t>
        </is>
      </c>
      <c r="G1087" s="23" t="inlineStr">
        <is>
          <t>RETAINED</t>
        </is>
      </c>
      <c r="H1087" s="23" t="inlineStr">
        <is>
          <t>Carried forward</t>
        </is>
      </c>
      <c r="I1087" s="23" t="inlineStr">
        <is>
          <t>Source assignment -- not individually reviewed</t>
        </is>
      </c>
      <c r="J1087" s="23" t="inlineStr"/>
      <c r="K1087" s="23" t="inlineStr">
        <is>
          <t>Source assignment</t>
        </is>
      </c>
      <c r="L1087" s="23" t="inlineStr"/>
      <c r="M1087" s="23" t="inlineStr">
        <is>
          <t>Commercial Package Register Cycle 2</t>
        </is>
      </c>
      <c r="N1087" s="23" t="inlineStr">
        <is>
          <t>Rev 1</t>
        </is>
      </c>
      <c r="O1087" s="23" t="inlineStr">
        <is>
          <t>R1608-v2</t>
        </is>
      </c>
      <c r="P1087" s="23" t="inlineStr"/>
      <c r="Q1087" s="23" t="inlineStr"/>
      <c r="R1087" s="23" t="inlineStr"/>
      <c r="S1087" s="23" t="inlineStr"/>
      <c r="T1087" s="23" t="inlineStr"/>
      <c r="U1087" s="23" t="inlineStr"/>
      <c r="V1087" s="23" t="inlineStr">
        <is>
          <t>Package Code = PK-506; WBS Code = 1.5</t>
        </is>
      </c>
      <c r="W1087" s="23" t="inlineStr"/>
    </row>
    <row r="1088" ht="64" customHeight="1">
      <c r="A1088" s="23" t="inlineStr">
        <is>
          <t>1.5</t>
        </is>
      </c>
      <c r="B1088" s="23" t="inlineStr">
        <is>
          <t>Testing and Commissioning</t>
        </is>
      </c>
      <c r="C1088" s="23" t="inlineStr">
        <is>
          <t>Commercial Package Register</t>
        </is>
      </c>
      <c r="D1088" s="23" t="inlineStr">
        <is>
          <t>PKG-047</t>
        </is>
      </c>
      <c r="E1088" s="23" t="inlineStr">
        <is>
          <t>Trial Running - Lot 2</t>
        </is>
      </c>
      <c r="F1088" s="23" t="inlineStr">
        <is>
          <t>ONE_TO_ONE</t>
        </is>
      </c>
      <c r="G1088" s="23" t="inlineStr">
        <is>
          <t>RETAINED</t>
        </is>
      </c>
      <c r="H1088" s="23" t="inlineStr">
        <is>
          <t>Carried forward</t>
        </is>
      </c>
      <c r="I1088" s="23" t="inlineStr">
        <is>
          <t>Source assignment -- not individually reviewed</t>
        </is>
      </c>
      <c r="J1088" s="23" t="inlineStr"/>
      <c r="K1088" s="23" t="inlineStr">
        <is>
          <t>Source assignment</t>
        </is>
      </c>
      <c r="L1088" s="23" t="inlineStr"/>
      <c r="M1088" s="23" t="inlineStr">
        <is>
          <t>Commercial Package Register Cycle 2</t>
        </is>
      </c>
      <c r="N1088" s="23" t="inlineStr">
        <is>
          <t>Rev 1</t>
        </is>
      </c>
      <c r="O1088" s="23" t="inlineStr">
        <is>
          <t>R1609-v2</t>
        </is>
      </c>
      <c r="P1088" s="23" t="inlineStr"/>
      <c r="Q1088" s="23" t="inlineStr"/>
      <c r="R1088" s="23" t="inlineStr"/>
      <c r="S1088" s="23" t="inlineStr"/>
      <c r="T1088" s="23" t="inlineStr"/>
      <c r="U1088" s="23" t="inlineStr"/>
      <c r="V1088" s="23" t="inlineStr">
        <is>
          <t>Package Code = PK-507; WBS Code = 1.5</t>
        </is>
      </c>
      <c r="W1088" s="23" t="inlineStr"/>
    </row>
    <row r="1089" ht="64" customHeight="1">
      <c r="A1089" s="23" t="inlineStr">
        <is>
          <t>1.5</t>
        </is>
      </c>
      <c r="B1089" s="23" t="inlineStr">
        <is>
          <t>Testing and Commissioning</t>
        </is>
      </c>
      <c r="C1089" s="23" t="inlineStr">
        <is>
          <t>Commercial Package Register</t>
        </is>
      </c>
      <c r="D1089" s="23" t="inlineStr">
        <is>
          <t>PKG-048</t>
        </is>
      </c>
      <c r="E1089" s="23" t="inlineStr">
        <is>
          <t>Readiness Support - Lot 2</t>
        </is>
      </c>
      <c r="F1089" s="23" t="inlineStr">
        <is>
          <t>ONE_TO_ONE</t>
        </is>
      </c>
      <c r="G1089" s="23" t="inlineStr">
        <is>
          <t>RETAINED</t>
        </is>
      </c>
      <c r="H1089" s="23" t="inlineStr">
        <is>
          <t>Carried forward</t>
        </is>
      </c>
      <c r="I1089" s="23" t="inlineStr">
        <is>
          <t>Source assignment -- not individually reviewed</t>
        </is>
      </c>
      <c r="J1089" s="23" t="inlineStr"/>
      <c r="K1089" s="23" t="inlineStr">
        <is>
          <t>Source assignment</t>
        </is>
      </c>
      <c r="L1089" s="23" t="inlineStr"/>
      <c r="M1089" s="23" t="inlineStr">
        <is>
          <t>Commercial Package Register Cycle 2</t>
        </is>
      </c>
      <c r="N1089" s="23" t="inlineStr">
        <is>
          <t>Rev 1</t>
        </is>
      </c>
      <c r="O1089" s="23" t="inlineStr">
        <is>
          <t>R1610-v2</t>
        </is>
      </c>
      <c r="P1089" s="23" t="inlineStr"/>
      <c r="Q1089" s="23" t="inlineStr"/>
      <c r="R1089" s="23" t="inlineStr"/>
      <c r="S1089" s="23" t="inlineStr"/>
      <c r="T1089" s="23" t="inlineStr"/>
      <c r="U1089" s="23" t="inlineStr"/>
      <c r="V1089" s="23" t="inlineStr">
        <is>
          <t>Package Code = PK-508; WBS Code = 1.5</t>
        </is>
      </c>
      <c r="W1089" s="23" t="inlineStr"/>
    </row>
    <row r="1090" ht="64" customHeight="1">
      <c r="A1090" s="23" t="inlineStr">
        <is>
          <t>1.5</t>
        </is>
      </c>
      <c r="B1090" s="23" t="inlineStr">
        <is>
          <t>Testing and Commissioning</t>
        </is>
      </c>
      <c r="C1090" s="23" t="inlineStr">
        <is>
          <t>Commercial Package Register</t>
        </is>
      </c>
      <c r="D1090" s="23" t="inlineStr">
        <is>
          <t>PKG-049</t>
        </is>
      </c>
      <c r="E1090" s="23" t="inlineStr">
        <is>
          <t>Dynamic Testing - Lot 3</t>
        </is>
      </c>
      <c r="F1090" s="23" t="inlineStr">
        <is>
          <t>ONE_TO_ONE</t>
        </is>
      </c>
      <c r="G1090" s="23" t="inlineStr">
        <is>
          <t>RETAINED</t>
        </is>
      </c>
      <c r="H1090" s="23" t="inlineStr">
        <is>
          <t>Carried forward</t>
        </is>
      </c>
      <c r="I1090" s="23" t="inlineStr">
        <is>
          <t>Source assignment -- not individually reviewed</t>
        </is>
      </c>
      <c r="J1090" s="23" t="inlineStr"/>
      <c r="K1090" s="23" t="inlineStr">
        <is>
          <t>Source assignment</t>
        </is>
      </c>
      <c r="L1090" s="23" t="inlineStr"/>
      <c r="M1090" s="23" t="inlineStr">
        <is>
          <t>Commercial Package Register Cycle 2</t>
        </is>
      </c>
      <c r="N1090" s="23" t="inlineStr">
        <is>
          <t>Rev 1</t>
        </is>
      </c>
      <c r="O1090" s="23" t="inlineStr">
        <is>
          <t>R1611-v2</t>
        </is>
      </c>
      <c r="P1090" s="23" t="inlineStr"/>
      <c r="Q1090" s="23" t="inlineStr"/>
      <c r="R1090" s="23" t="inlineStr"/>
      <c r="S1090" s="23" t="inlineStr"/>
      <c r="T1090" s="23" t="inlineStr"/>
      <c r="U1090" s="23" t="inlineStr"/>
      <c r="V1090" s="23" t="inlineStr">
        <is>
          <t>Package Code = PK-509; WBS Code = 1.5</t>
        </is>
      </c>
      <c r="W1090" s="23" t="inlineStr"/>
    </row>
    <row r="1091" ht="64" customHeight="1">
      <c r="A1091" s="23" t="inlineStr">
        <is>
          <t>1.5</t>
        </is>
      </c>
      <c r="B1091" s="23" t="inlineStr">
        <is>
          <t>Testing and Commissioning</t>
        </is>
      </c>
      <c r="C1091" s="23" t="inlineStr">
        <is>
          <t>Commercial Package Register</t>
        </is>
      </c>
      <c r="D1091" s="23" t="inlineStr">
        <is>
          <t>PKG-050</t>
        </is>
      </c>
      <c r="E1091" s="23" t="inlineStr">
        <is>
          <t>Safety Certification - Lot 3</t>
        </is>
      </c>
      <c r="F1091" s="23" t="inlineStr">
        <is>
          <t>ONE_TO_ONE</t>
        </is>
      </c>
      <c r="G1091" s="23" t="inlineStr">
        <is>
          <t>RETAINED</t>
        </is>
      </c>
      <c r="H1091" s="23" t="inlineStr">
        <is>
          <t>Carried forward</t>
        </is>
      </c>
      <c r="I1091" s="23" t="inlineStr">
        <is>
          <t>Source assignment -- not individually reviewed</t>
        </is>
      </c>
      <c r="J1091" s="23" t="inlineStr"/>
      <c r="K1091" s="23" t="inlineStr">
        <is>
          <t>Source assignment</t>
        </is>
      </c>
      <c r="L1091" s="23" t="inlineStr"/>
      <c r="M1091" s="23" t="inlineStr">
        <is>
          <t>Commercial Package Register Cycle 2</t>
        </is>
      </c>
      <c r="N1091" s="23" t="inlineStr">
        <is>
          <t>Rev 1</t>
        </is>
      </c>
      <c r="O1091" s="23" t="inlineStr">
        <is>
          <t>R1612-v2</t>
        </is>
      </c>
      <c r="P1091" s="23" t="inlineStr"/>
      <c r="Q1091" s="23" t="inlineStr"/>
      <c r="R1091" s="23" t="inlineStr"/>
      <c r="S1091" s="23" t="inlineStr"/>
      <c r="T1091" s="23" t="inlineStr"/>
      <c r="U1091" s="23" t="inlineStr"/>
      <c r="V1091" s="23" t="inlineStr">
        <is>
          <t>Package Code = PK-510; WBS Code = 1.5</t>
        </is>
      </c>
      <c r="W1091" s="23" t="inlineStr"/>
    </row>
    <row r="1092" ht="49" customHeight="1">
      <c r="A1092" s="23" t="inlineStr">
        <is>
          <t>1.5.1</t>
        </is>
      </c>
      <c r="B1092" s="23" t="inlineStr">
        <is>
          <t>Testing and Commissioning - Test Readiness</t>
        </is>
      </c>
      <c r="C1092" s="23" t="inlineStr">
        <is>
          <t>Contractor Programme</t>
        </is>
      </c>
      <c r="D1092" s="23" t="inlineStr">
        <is>
          <t>SCH-05-001</t>
        </is>
      </c>
      <c r="E1092" s="23" t="inlineStr">
        <is>
          <t>Central section: test procedure readiness review - field start</t>
        </is>
      </c>
      <c r="F1092" s="23" t="inlineStr">
        <is>
          <t>ONE_TO_ONE</t>
        </is>
      </c>
      <c r="G1092" s="23" t="inlineStr">
        <is>
          <t>RETAINED</t>
        </is>
      </c>
      <c r="H1092" s="23" t="inlineStr">
        <is>
          <t>Carried forward</t>
        </is>
      </c>
      <c r="I1092" s="23" t="inlineStr">
        <is>
          <t>Source assignment -- not individually reviewed</t>
        </is>
      </c>
      <c r="J1092" s="23" t="inlineStr"/>
      <c r="K1092" s="23" t="inlineStr">
        <is>
          <t>Source assignment</t>
        </is>
      </c>
      <c r="L1092" s="23" t="inlineStr"/>
      <c r="M1092" s="23" t="inlineStr">
        <is>
          <t>Contractor Programme Cycle 2</t>
        </is>
      </c>
      <c r="N1092" s="23" t="inlineStr">
        <is>
          <t>Rev 1</t>
        </is>
      </c>
      <c r="O1092" s="23" t="inlineStr">
        <is>
          <t>R721-v2</t>
        </is>
      </c>
      <c r="P1092" s="23" t="inlineStr"/>
      <c r="Q1092" s="23" t="inlineStr"/>
      <c r="R1092" s="23" t="inlineStr"/>
      <c r="S1092" s="23" t="inlineStr"/>
      <c r="T1092" s="23" t="inlineStr"/>
      <c r="U1092" s="23" t="inlineStr"/>
      <c r="V1092" s="23" t="inlineStr">
        <is>
          <t>WBS Code = 1.5.1</t>
        </is>
      </c>
      <c r="W1092" s="23" t="inlineStr"/>
    </row>
    <row r="1093" ht="49" customHeight="1">
      <c r="A1093" s="23" t="inlineStr">
        <is>
          <t>1.5.1</t>
        </is>
      </c>
      <c r="B1093" s="23" t="inlineStr">
        <is>
          <t>Testing and Commissioning - Test Readiness</t>
        </is>
      </c>
      <c r="C1093" s="23" t="inlineStr">
        <is>
          <t>Contractor Programme</t>
        </is>
      </c>
      <c r="D1093" s="23" t="inlineStr">
        <is>
          <t>SCH-05-002</t>
        </is>
      </c>
      <c r="E1093" s="23" t="inlineStr">
        <is>
          <t>West terminal: emergency-response drill - installation</t>
        </is>
      </c>
      <c r="F1093" s="23" t="inlineStr">
        <is>
          <t>ONE_TO_ONE</t>
        </is>
      </c>
      <c r="G1093" s="23" t="inlineStr">
        <is>
          <t>RETAINED</t>
        </is>
      </c>
      <c r="H1093" s="23" t="inlineStr">
        <is>
          <t>Carried forward</t>
        </is>
      </c>
      <c r="I1093" s="23" t="inlineStr">
        <is>
          <t>Source assignment -- not individually reviewed</t>
        </is>
      </c>
      <c r="J1093" s="23" t="inlineStr"/>
      <c r="K1093" s="23" t="inlineStr">
        <is>
          <t>Source assignment</t>
        </is>
      </c>
      <c r="L1093" s="23" t="inlineStr"/>
      <c r="M1093" s="23" t="inlineStr">
        <is>
          <t>Contractor Programme Cycle 2</t>
        </is>
      </c>
      <c r="N1093" s="23" t="inlineStr">
        <is>
          <t>Rev 1</t>
        </is>
      </c>
      <c r="O1093" s="23" t="inlineStr">
        <is>
          <t>R722-v2</t>
        </is>
      </c>
      <c r="P1093" s="23" t="inlineStr"/>
      <c r="Q1093" s="23" t="inlineStr"/>
      <c r="R1093" s="23" t="inlineStr"/>
      <c r="S1093" s="23" t="inlineStr"/>
      <c r="T1093" s="23" t="inlineStr"/>
      <c r="U1093" s="23" t="inlineStr"/>
      <c r="V1093" s="23" t="inlineStr">
        <is>
          <t>WBS Code = 1.5.1</t>
        </is>
      </c>
      <c r="W1093" s="23" t="inlineStr"/>
    </row>
    <row r="1094" ht="49" customHeight="1">
      <c r="A1094" s="23" t="inlineStr">
        <is>
          <t>1.5.1</t>
        </is>
      </c>
      <c r="B1094" s="23" t="inlineStr">
        <is>
          <t>Testing and Commissioning - Test Readiness</t>
        </is>
      </c>
      <c r="C1094" s="23" t="inlineStr">
        <is>
          <t>Contractor Programme</t>
        </is>
      </c>
      <c r="D1094" s="23" t="inlineStr">
        <is>
          <t>SCH-05-004</t>
        </is>
      </c>
      <c r="E1094" s="23" t="inlineStr">
        <is>
          <t>Control Centre: mainline dynamic test - turnover</t>
        </is>
      </c>
      <c r="F1094" s="23" t="inlineStr">
        <is>
          <t>ONE_TO_ONE</t>
        </is>
      </c>
      <c r="G1094" s="23" t="inlineStr">
        <is>
          <t>RETAINED</t>
        </is>
      </c>
      <c r="H1094" s="23" t="inlineStr">
        <is>
          <t>Carried forward</t>
        </is>
      </c>
      <c r="I1094" s="23" t="inlineStr">
        <is>
          <t>Source assignment -- not individually reviewed</t>
        </is>
      </c>
      <c r="J1094" s="23" t="inlineStr"/>
      <c r="K1094" s="23" t="inlineStr">
        <is>
          <t>Source assignment</t>
        </is>
      </c>
      <c r="L1094" s="23" t="inlineStr"/>
      <c r="M1094" s="23" t="inlineStr">
        <is>
          <t>Contractor Programme Cycle 2</t>
        </is>
      </c>
      <c r="N1094" s="23" t="inlineStr">
        <is>
          <t>Rev 1</t>
        </is>
      </c>
      <c r="O1094" s="23" t="inlineStr">
        <is>
          <t>R724-v2</t>
        </is>
      </c>
      <c r="P1094" s="23" t="inlineStr"/>
      <c r="Q1094" s="23" t="inlineStr"/>
      <c r="R1094" s="23" t="inlineStr"/>
      <c r="S1094" s="23" t="inlineStr"/>
      <c r="T1094" s="23" t="inlineStr"/>
      <c r="U1094" s="23" t="inlineStr"/>
      <c r="V1094" s="23" t="inlineStr">
        <is>
          <t>WBS Code = 1.5.1</t>
        </is>
      </c>
      <c r="W1094" s="23" t="inlineStr"/>
    </row>
    <row r="1095" ht="49" customHeight="1">
      <c r="A1095" s="23" t="inlineStr">
        <is>
          <t>1.5.1</t>
        </is>
      </c>
      <c r="B1095" s="23" t="inlineStr">
        <is>
          <t>Testing and Commissioning - Test Readiness</t>
        </is>
      </c>
      <c r="C1095" s="23" t="inlineStr">
        <is>
          <t>Contractor Programme</t>
        </is>
      </c>
      <c r="D1095" s="23" t="inlineStr">
        <is>
          <t>SCH-05-005</t>
        </is>
      </c>
      <c r="E1095" s="23" t="inlineStr">
        <is>
          <t>Mainline east: safety certificate evidence closeout - release</t>
        </is>
      </c>
      <c r="F1095" s="23" t="inlineStr">
        <is>
          <t>ONE_TO_ONE</t>
        </is>
      </c>
      <c r="G1095" s="23" t="inlineStr">
        <is>
          <t>RETAINED</t>
        </is>
      </c>
      <c r="H1095" s="23" t="inlineStr">
        <is>
          <t>Carried forward</t>
        </is>
      </c>
      <c r="I1095" s="23" t="inlineStr">
        <is>
          <t>Source assignment -- not individually reviewed</t>
        </is>
      </c>
      <c r="J1095" s="23" t="inlineStr"/>
      <c r="K1095" s="23" t="inlineStr">
        <is>
          <t>Source assignment</t>
        </is>
      </c>
      <c r="L1095" s="23" t="inlineStr"/>
      <c r="M1095" s="23" t="inlineStr">
        <is>
          <t>Contractor Programme Cycle 2</t>
        </is>
      </c>
      <c r="N1095" s="23" t="inlineStr">
        <is>
          <t>Rev 1</t>
        </is>
      </c>
      <c r="O1095" s="23" t="inlineStr">
        <is>
          <t>R725-v2</t>
        </is>
      </c>
      <c r="P1095" s="23" t="inlineStr"/>
      <c r="Q1095" s="23" t="inlineStr"/>
      <c r="R1095" s="23" t="inlineStr"/>
      <c r="S1095" s="23" t="inlineStr"/>
      <c r="T1095" s="23" t="inlineStr"/>
      <c r="U1095" s="23" t="inlineStr"/>
      <c r="V1095" s="23" t="inlineStr">
        <is>
          <t>WBS Code = 1.5.1</t>
        </is>
      </c>
      <c r="W1095" s="23" t="inlineStr"/>
    </row>
    <row r="1096" ht="49" customHeight="1">
      <c r="A1096" s="23" t="inlineStr">
        <is>
          <t>1.5.1</t>
        </is>
      </c>
      <c r="B1096" s="23" t="inlineStr">
        <is>
          <t>Testing and Commissioning - Test Readiness</t>
        </is>
      </c>
      <c r="C1096" s="23" t="inlineStr">
        <is>
          <t>Contractor Programme</t>
        </is>
      </c>
      <c r="D1096" s="23" t="inlineStr">
        <is>
          <t>SCH-05-007</t>
        </is>
      </c>
      <c r="E1096" s="23" t="inlineStr">
        <is>
          <t>West terminal: station integrated test - installation</t>
        </is>
      </c>
      <c r="F1096" s="23" t="inlineStr">
        <is>
          <t>ONE_TO_ONE</t>
        </is>
      </c>
      <c r="G1096" s="23" t="inlineStr">
        <is>
          <t>RETAINED</t>
        </is>
      </c>
      <c r="H1096" s="23" t="inlineStr">
        <is>
          <t>Carried forward</t>
        </is>
      </c>
      <c r="I1096" s="23" t="inlineStr">
        <is>
          <t>Source assignment -- not individually reviewed</t>
        </is>
      </c>
      <c r="J1096" s="23" t="inlineStr"/>
      <c r="K1096" s="23" t="inlineStr">
        <is>
          <t>Source assignment</t>
        </is>
      </c>
      <c r="L1096" s="23" t="inlineStr"/>
      <c r="M1096" s="23" t="inlineStr">
        <is>
          <t>Contractor Programme Cycle 2</t>
        </is>
      </c>
      <c r="N1096" s="23" t="inlineStr">
        <is>
          <t>Rev 1</t>
        </is>
      </c>
      <c r="O1096" s="23" t="inlineStr">
        <is>
          <t>R727-v2</t>
        </is>
      </c>
      <c r="P1096" s="23" t="inlineStr"/>
      <c r="Q1096" s="23" t="inlineStr"/>
      <c r="R1096" s="23" t="inlineStr"/>
      <c r="S1096" s="23" t="inlineStr"/>
      <c r="T1096" s="23" t="inlineStr"/>
      <c r="U1096" s="23" t="inlineStr"/>
      <c r="V1096" s="23" t="inlineStr">
        <is>
          <t>WBS Code = 1.5.1</t>
        </is>
      </c>
      <c r="W1096" s="23" t="inlineStr"/>
    </row>
    <row r="1097" ht="49" customHeight="1">
      <c r="A1097" s="23" t="inlineStr">
        <is>
          <t>1.5.1</t>
        </is>
      </c>
      <c r="B1097" s="23" t="inlineStr">
        <is>
          <t>Testing and Commissioning - Test Readiness</t>
        </is>
      </c>
      <c r="C1097" s="23" t="inlineStr">
        <is>
          <t>Contractor Programme</t>
        </is>
      </c>
      <c r="D1097" s="23" t="inlineStr">
        <is>
          <t>SCH-05-008</t>
        </is>
      </c>
      <c r="E1097" s="23" t="inlineStr">
        <is>
          <t>Depot: trial-running shift - inspection</t>
        </is>
      </c>
      <c r="F1097" s="23" t="inlineStr">
        <is>
          <t>ONE_TO_ONE</t>
        </is>
      </c>
      <c r="G1097" s="23" t="inlineStr">
        <is>
          <t>RETAINED</t>
        </is>
      </c>
      <c r="H1097" s="23" t="inlineStr">
        <is>
          <t>Carried forward</t>
        </is>
      </c>
      <c r="I1097" s="23" t="inlineStr">
        <is>
          <t>Source assignment -- not individually reviewed</t>
        </is>
      </c>
      <c r="J1097" s="23" t="inlineStr"/>
      <c r="K1097" s="23" t="inlineStr">
        <is>
          <t>Source assignment</t>
        </is>
      </c>
      <c r="L1097" s="23" t="inlineStr"/>
      <c r="M1097" s="23" t="inlineStr">
        <is>
          <t>Contractor Programme Cycle 2</t>
        </is>
      </c>
      <c r="N1097" s="23" t="inlineStr">
        <is>
          <t>Rev 1</t>
        </is>
      </c>
      <c r="O1097" s="23" t="inlineStr">
        <is>
          <t>R728-v2</t>
        </is>
      </c>
      <c r="P1097" s="23" t="inlineStr"/>
      <c r="Q1097" s="23" t="inlineStr"/>
      <c r="R1097" s="23" t="inlineStr"/>
      <c r="S1097" s="23" t="inlineStr"/>
      <c r="T1097" s="23" t="inlineStr"/>
      <c r="U1097" s="23" t="inlineStr"/>
      <c r="V1097" s="23" t="inlineStr">
        <is>
          <t>WBS Code = 1.5.1</t>
        </is>
      </c>
      <c r="W1097" s="23" t="inlineStr"/>
    </row>
    <row r="1098" ht="49" customHeight="1">
      <c r="A1098" s="23" t="inlineStr">
        <is>
          <t>1.5.1</t>
        </is>
      </c>
      <c r="B1098" s="23" t="inlineStr">
        <is>
          <t>Testing and Commissioning - Test Readiness</t>
        </is>
      </c>
      <c r="C1098" s="23" t="inlineStr">
        <is>
          <t>Contractor Programme</t>
        </is>
      </c>
      <c r="D1098" s="23" t="inlineStr">
        <is>
          <t>SCH-05-010</t>
        </is>
      </c>
      <c r="E1098" s="23" t="inlineStr">
        <is>
          <t>Mainline east: emergency-response drill - release</t>
        </is>
      </c>
      <c r="F1098" s="23" t="inlineStr">
        <is>
          <t>ONE_TO_ONE</t>
        </is>
      </c>
      <c r="G1098" s="23" t="inlineStr">
        <is>
          <t>RETAINED</t>
        </is>
      </c>
      <c r="H1098" s="23" t="inlineStr">
        <is>
          <t>Carried forward</t>
        </is>
      </c>
      <c r="I1098" s="23" t="inlineStr">
        <is>
          <t>Source assignment -- not individually reviewed</t>
        </is>
      </c>
      <c r="J1098" s="23" t="inlineStr"/>
      <c r="K1098" s="23" t="inlineStr">
        <is>
          <t>Source assignment</t>
        </is>
      </c>
      <c r="L1098" s="23" t="inlineStr"/>
      <c r="M1098" s="23" t="inlineStr">
        <is>
          <t>Contractor Programme Cycle 2</t>
        </is>
      </c>
      <c r="N1098" s="23" t="inlineStr">
        <is>
          <t>Rev 1</t>
        </is>
      </c>
      <c r="O1098" s="23" t="inlineStr">
        <is>
          <t>R730-v2</t>
        </is>
      </c>
      <c r="P1098" s="23" t="inlineStr"/>
      <c r="Q1098" s="23" t="inlineStr"/>
      <c r="R1098" s="23" t="inlineStr"/>
      <c r="S1098" s="23" t="inlineStr"/>
      <c r="T1098" s="23" t="inlineStr"/>
      <c r="U1098" s="23" t="inlineStr"/>
      <c r="V1098" s="23" t="inlineStr">
        <is>
          <t>WBS Code = 1.5.1</t>
        </is>
      </c>
      <c r="W1098" s="23" t="inlineStr"/>
    </row>
    <row r="1099" ht="49" customHeight="1">
      <c r="A1099" s="23" t="inlineStr">
        <is>
          <t>1.5.1</t>
        </is>
      </c>
      <c r="B1099" s="23" t="inlineStr">
        <is>
          <t>Testing and Commissioning - Test Readiness</t>
        </is>
      </c>
      <c r="C1099" s="23" t="inlineStr">
        <is>
          <t>Contractor Programme</t>
        </is>
      </c>
      <c r="D1099" s="23" t="inlineStr">
        <is>
          <t>SCH-05-011</t>
        </is>
      </c>
      <c r="E1099" s="23" t="inlineStr">
        <is>
          <t>Central section: defect retest - field start</t>
        </is>
      </c>
      <c r="F1099" s="23" t="inlineStr">
        <is>
          <t>ONE_TO_ONE</t>
        </is>
      </c>
      <c r="G1099" s="23" t="inlineStr">
        <is>
          <t>RETAINED</t>
        </is>
      </c>
      <c r="H1099" s="23" t="inlineStr">
        <is>
          <t>Carried forward</t>
        </is>
      </c>
      <c r="I1099" s="23" t="inlineStr">
        <is>
          <t>Source assignment -- not individually reviewed</t>
        </is>
      </c>
      <c r="J1099" s="23" t="inlineStr"/>
      <c r="K1099" s="23" t="inlineStr">
        <is>
          <t>Source assignment</t>
        </is>
      </c>
      <c r="L1099" s="23" t="inlineStr"/>
      <c r="M1099" s="23" t="inlineStr">
        <is>
          <t>Contractor Programme Cycle 2</t>
        </is>
      </c>
      <c r="N1099" s="23" t="inlineStr">
        <is>
          <t>Rev 1</t>
        </is>
      </c>
      <c r="O1099" s="23" t="inlineStr">
        <is>
          <t>R731-v2</t>
        </is>
      </c>
      <c r="P1099" s="23" t="inlineStr"/>
      <c r="Q1099" s="23" t="inlineStr"/>
      <c r="R1099" s="23" t="inlineStr"/>
      <c r="S1099" s="23" t="inlineStr"/>
      <c r="T1099" s="23" t="inlineStr"/>
      <c r="U1099" s="23" t="inlineStr"/>
      <c r="V1099" s="23" t="inlineStr">
        <is>
          <t>WBS Code = 1.5.1</t>
        </is>
      </c>
      <c r="W1099" s="23" t="inlineStr"/>
    </row>
    <row r="1100" ht="49" customHeight="1">
      <c r="A1100" s="23" t="inlineStr">
        <is>
          <t>1.5.1</t>
        </is>
      </c>
      <c r="B1100" s="23" t="inlineStr">
        <is>
          <t>Testing and Commissioning - Test Readiness</t>
        </is>
      </c>
      <c r="C1100" s="23" t="inlineStr">
        <is>
          <t>Contractor Programme</t>
        </is>
      </c>
      <c r="D1100" s="23" t="inlineStr">
        <is>
          <t>SCH-05-013</t>
        </is>
      </c>
      <c r="E1100" s="23" t="inlineStr">
        <is>
          <t>Depot: safety certificate evidence closeout - inspection</t>
        </is>
      </c>
      <c r="F1100" s="23" t="inlineStr">
        <is>
          <t>ONE_TO_ONE</t>
        </is>
      </c>
      <c r="G1100" s="23" t="inlineStr">
        <is>
          <t>RETAINED</t>
        </is>
      </c>
      <c r="H1100" s="23" t="inlineStr">
        <is>
          <t>Carried forward</t>
        </is>
      </c>
      <c r="I1100" s="23" t="inlineStr">
        <is>
          <t>Source assignment -- not individually reviewed</t>
        </is>
      </c>
      <c r="J1100" s="23" t="inlineStr"/>
      <c r="K1100" s="23" t="inlineStr">
        <is>
          <t>Source assignment</t>
        </is>
      </c>
      <c r="L1100" s="23" t="inlineStr"/>
      <c r="M1100" s="23" t="inlineStr">
        <is>
          <t>Contractor Programme Cycle 2</t>
        </is>
      </c>
      <c r="N1100" s="23" t="inlineStr">
        <is>
          <t>Rev 1</t>
        </is>
      </c>
      <c r="O1100" s="23" t="inlineStr">
        <is>
          <t>R733-v2</t>
        </is>
      </c>
      <c r="P1100" s="23" t="inlineStr"/>
      <c r="Q1100" s="23" t="inlineStr"/>
      <c r="R1100" s="23" t="inlineStr"/>
      <c r="S1100" s="23" t="inlineStr"/>
      <c r="T1100" s="23" t="inlineStr"/>
      <c r="U1100" s="23" t="inlineStr"/>
      <c r="V1100" s="23" t="inlineStr">
        <is>
          <t>WBS Code = 1.5.1</t>
        </is>
      </c>
      <c r="W1100" s="23" t="inlineStr"/>
    </row>
    <row r="1101" ht="49" customHeight="1">
      <c r="A1101" s="23" t="inlineStr">
        <is>
          <t>1.5.1</t>
        </is>
      </c>
      <c r="B1101" s="23" t="inlineStr">
        <is>
          <t>Testing and Commissioning - Test Readiness</t>
        </is>
      </c>
      <c r="C1101" s="23" t="inlineStr">
        <is>
          <t>Contractor Programme</t>
        </is>
      </c>
      <c r="D1101" s="23" t="inlineStr">
        <is>
          <t>SCH-05-014</t>
        </is>
      </c>
      <c r="E1101" s="23" t="inlineStr">
        <is>
          <t>Control Centre: service-readiness review - turnover</t>
        </is>
      </c>
      <c r="F1101" s="23" t="inlineStr">
        <is>
          <t>ONE_TO_ONE</t>
        </is>
      </c>
      <c r="G1101" s="23" t="inlineStr">
        <is>
          <t>RETAINED</t>
        </is>
      </c>
      <c r="H1101" s="23" t="inlineStr">
        <is>
          <t>Carried forward</t>
        </is>
      </c>
      <c r="I1101" s="23" t="inlineStr">
        <is>
          <t>Source assignment -- not individually reviewed</t>
        </is>
      </c>
      <c r="J1101" s="23" t="inlineStr"/>
      <c r="K1101" s="23" t="inlineStr">
        <is>
          <t>Source assignment</t>
        </is>
      </c>
      <c r="L1101" s="23" t="inlineStr"/>
      <c r="M1101" s="23" t="inlineStr">
        <is>
          <t>Contractor Programme Cycle 2</t>
        </is>
      </c>
      <c r="N1101" s="23" t="inlineStr">
        <is>
          <t>Rev 1</t>
        </is>
      </c>
      <c r="O1101" s="23" t="inlineStr">
        <is>
          <t>R734-v2</t>
        </is>
      </c>
      <c r="P1101" s="23" t="inlineStr"/>
      <c r="Q1101" s="23" t="inlineStr"/>
      <c r="R1101" s="23" t="inlineStr"/>
      <c r="S1101" s="23" t="inlineStr"/>
      <c r="T1101" s="23" t="inlineStr"/>
      <c r="U1101" s="23" t="inlineStr"/>
      <c r="V1101" s="23" t="inlineStr">
        <is>
          <t>WBS Code = 1.5.1</t>
        </is>
      </c>
      <c r="W1101" s="23" t="inlineStr"/>
    </row>
    <row r="1102" ht="49" customHeight="1">
      <c r="A1102" s="23" t="inlineStr">
        <is>
          <t>1.5.1</t>
        </is>
      </c>
      <c r="B1102" s="23" t="inlineStr">
        <is>
          <t>Testing and Commissioning - Test Readiness</t>
        </is>
      </c>
      <c r="C1102" s="23" t="inlineStr">
        <is>
          <t>Contractor Programme</t>
        </is>
      </c>
      <c r="D1102" s="23" t="inlineStr">
        <is>
          <t>SCH-05-016</t>
        </is>
      </c>
      <c r="E1102" s="23" t="inlineStr">
        <is>
          <t>Central section: trial-running shift - field start</t>
        </is>
      </c>
      <c r="F1102" s="23" t="inlineStr">
        <is>
          <t>ONE_TO_ONE</t>
        </is>
      </c>
      <c r="G1102" s="23" t="inlineStr">
        <is>
          <t>RETAINED</t>
        </is>
      </c>
      <c r="H1102" s="23" t="inlineStr">
        <is>
          <t>Carried forward</t>
        </is>
      </c>
      <c r="I1102" s="23" t="inlineStr">
        <is>
          <t>Source assignment -- not individually reviewed</t>
        </is>
      </c>
      <c r="J1102" s="23" t="inlineStr"/>
      <c r="K1102" s="23" t="inlineStr">
        <is>
          <t>Source assignment</t>
        </is>
      </c>
      <c r="L1102" s="23" t="inlineStr"/>
      <c r="M1102" s="23" t="inlineStr">
        <is>
          <t>Contractor Programme Cycle 2</t>
        </is>
      </c>
      <c r="N1102" s="23" t="inlineStr">
        <is>
          <t>Rev 1</t>
        </is>
      </c>
      <c r="O1102" s="23" t="inlineStr">
        <is>
          <t>R736-v2</t>
        </is>
      </c>
      <c r="P1102" s="23" t="inlineStr"/>
      <c r="Q1102" s="23" t="inlineStr"/>
      <c r="R1102" s="23" t="inlineStr"/>
      <c r="S1102" s="23" t="inlineStr"/>
      <c r="T1102" s="23" t="inlineStr"/>
      <c r="U1102" s="23" t="inlineStr"/>
      <c r="V1102" s="23" t="inlineStr">
        <is>
          <t>WBS Code = 1.5.1</t>
        </is>
      </c>
      <c r="W1102" s="23" t="inlineStr"/>
    </row>
    <row r="1103" ht="49" customHeight="1">
      <c r="A1103" s="23" t="inlineStr">
        <is>
          <t>1.5.1</t>
        </is>
      </c>
      <c r="B1103" s="23" t="inlineStr">
        <is>
          <t>Testing and Commissioning - Test Readiness</t>
        </is>
      </c>
      <c r="C1103" s="23" t="inlineStr">
        <is>
          <t>Contractor Programme</t>
        </is>
      </c>
      <c r="D1103" s="23" t="inlineStr">
        <is>
          <t>SCH-05-017</t>
        </is>
      </c>
      <c r="E1103" s="23" t="inlineStr">
        <is>
          <t>West terminal: test procedure readiness review - installation</t>
        </is>
      </c>
      <c r="F1103" s="23" t="inlineStr">
        <is>
          <t>ONE_TO_ONE</t>
        </is>
      </c>
      <c r="G1103" s="23" t="inlineStr">
        <is>
          <t>RETAINED</t>
        </is>
      </c>
      <c r="H1103" s="23" t="inlineStr">
        <is>
          <t>Carried forward</t>
        </is>
      </c>
      <c r="I1103" s="23" t="inlineStr">
        <is>
          <t>Source assignment -- not individually reviewed</t>
        </is>
      </c>
      <c r="J1103" s="23" t="inlineStr"/>
      <c r="K1103" s="23" t="inlineStr">
        <is>
          <t>Source assignment</t>
        </is>
      </c>
      <c r="L1103" s="23" t="inlineStr"/>
      <c r="M1103" s="23" t="inlineStr">
        <is>
          <t>Contractor Programme Cycle 2</t>
        </is>
      </c>
      <c r="N1103" s="23" t="inlineStr">
        <is>
          <t>Rev 1</t>
        </is>
      </c>
      <c r="O1103" s="23" t="inlineStr">
        <is>
          <t>R737-v2</t>
        </is>
      </c>
      <c r="P1103" s="23" t="inlineStr"/>
      <c r="Q1103" s="23" t="inlineStr"/>
      <c r="R1103" s="23" t="inlineStr"/>
      <c r="S1103" s="23" t="inlineStr"/>
      <c r="T1103" s="23" t="inlineStr"/>
      <c r="U1103" s="23" t="inlineStr"/>
      <c r="V1103" s="23" t="inlineStr">
        <is>
          <t>WBS Code = 1.5.1</t>
        </is>
      </c>
      <c r="W1103" s="23" t="inlineStr"/>
    </row>
    <row r="1104" ht="49" customHeight="1">
      <c r="A1104" s="23" t="inlineStr">
        <is>
          <t>1.5.1</t>
        </is>
      </c>
      <c r="B1104" s="23" t="inlineStr">
        <is>
          <t>Testing and Commissioning - Test Readiness</t>
        </is>
      </c>
      <c r="C1104" s="23" t="inlineStr">
        <is>
          <t>Contractor Programme</t>
        </is>
      </c>
      <c r="D1104" s="23" t="inlineStr">
        <is>
          <t>SCH-05-019</t>
        </is>
      </c>
      <c r="E1104" s="23" t="inlineStr">
        <is>
          <t>Control Centre: defect retest - turnover</t>
        </is>
      </c>
      <c r="F1104" s="23" t="inlineStr">
        <is>
          <t>ONE_TO_ONE</t>
        </is>
      </c>
      <c r="G1104" s="23" t="inlineStr">
        <is>
          <t>RETAINED</t>
        </is>
      </c>
      <c r="H1104" s="23" t="inlineStr">
        <is>
          <t>Carried forward</t>
        </is>
      </c>
      <c r="I1104" s="23" t="inlineStr">
        <is>
          <t>Source assignment -- not individually reviewed</t>
        </is>
      </c>
      <c r="J1104" s="23" t="inlineStr"/>
      <c r="K1104" s="23" t="inlineStr">
        <is>
          <t>Source assignment</t>
        </is>
      </c>
      <c r="L1104" s="23" t="inlineStr"/>
      <c r="M1104" s="23" t="inlineStr">
        <is>
          <t>Contractor Programme Cycle 2</t>
        </is>
      </c>
      <c r="N1104" s="23" t="inlineStr">
        <is>
          <t>Rev 1</t>
        </is>
      </c>
      <c r="O1104" s="23" t="inlineStr">
        <is>
          <t>R739-v2</t>
        </is>
      </c>
      <c r="P1104" s="23" t="inlineStr"/>
      <c r="Q1104" s="23" t="inlineStr"/>
      <c r="R1104" s="23" t="inlineStr"/>
      <c r="S1104" s="23" t="inlineStr"/>
      <c r="T1104" s="23" t="inlineStr"/>
      <c r="U1104" s="23" t="inlineStr"/>
      <c r="V1104" s="23" t="inlineStr">
        <is>
          <t>WBS Code = 1.5.1</t>
        </is>
      </c>
      <c r="W1104" s="23" t="inlineStr"/>
    </row>
    <row r="1105" ht="49" customHeight="1">
      <c r="A1105" s="23" t="inlineStr">
        <is>
          <t>1.5.1</t>
        </is>
      </c>
      <c r="B1105" s="23" t="inlineStr">
        <is>
          <t>Testing and Commissioning - Test Readiness</t>
        </is>
      </c>
      <c r="C1105" s="23" t="inlineStr">
        <is>
          <t>Contractor Programme</t>
        </is>
      </c>
      <c r="D1105" s="23" t="inlineStr">
        <is>
          <t>SCH-05-020</t>
        </is>
      </c>
      <c r="E1105" s="23" t="inlineStr">
        <is>
          <t>Mainline east: mainline dynamic test - release</t>
        </is>
      </c>
      <c r="F1105" s="23" t="inlineStr">
        <is>
          <t>ONE_TO_ONE</t>
        </is>
      </c>
      <c r="G1105" s="23" t="inlineStr">
        <is>
          <t>RETAINED</t>
        </is>
      </c>
      <c r="H1105" s="23" t="inlineStr">
        <is>
          <t>Carried forward</t>
        </is>
      </c>
      <c r="I1105" s="23" t="inlineStr">
        <is>
          <t>Source assignment -- not individually reviewed</t>
        </is>
      </c>
      <c r="J1105" s="23" t="inlineStr"/>
      <c r="K1105" s="23" t="inlineStr">
        <is>
          <t>Source assignment</t>
        </is>
      </c>
      <c r="L1105" s="23" t="inlineStr"/>
      <c r="M1105" s="23" t="inlineStr">
        <is>
          <t>Contractor Programme Cycle 2</t>
        </is>
      </c>
      <c r="N1105" s="23" t="inlineStr">
        <is>
          <t>Rev 1</t>
        </is>
      </c>
      <c r="O1105" s="23" t="inlineStr">
        <is>
          <t>R740-v2</t>
        </is>
      </c>
      <c r="P1105" s="23" t="inlineStr"/>
      <c r="Q1105" s="23" t="inlineStr"/>
      <c r="R1105" s="23" t="inlineStr"/>
      <c r="S1105" s="23" t="inlineStr"/>
      <c r="T1105" s="23" t="inlineStr"/>
      <c r="U1105" s="23" t="inlineStr"/>
      <c r="V1105" s="23" t="inlineStr">
        <is>
          <t>WBS Code = 1.5.1</t>
        </is>
      </c>
      <c r="W1105" s="23" t="inlineStr"/>
    </row>
    <row r="1106" ht="49" customHeight="1">
      <c r="A1106" s="23" t="inlineStr">
        <is>
          <t>1.5.1</t>
        </is>
      </c>
      <c r="B1106" s="23" t="inlineStr">
        <is>
          <t>Testing and Commissioning - Test Readiness</t>
        </is>
      </c>
      <c r="C1106" s="23" t="inlineStr">
        <is>
          <t>Contractor Programme</t>
        </is>
      </c>
      <c r="D1106" s="23" t="inlineStr">
        <is>
          <t>SCH-05-022</t>
        </is>
      </c>
      <c r="E1106" s="23" t="inlineStr">
        <is>
          <t>West terminal: service-readiness review - installation</t>
        </is>
      </c>
      <c r="F1106" s="23" t="inlineStr">
        <is>
          <t>ONE_TO_ONE</t>
        </is>
      </c>
      <c r="G1106" s="23" t="inlineStr">
        <is>
          <t>RETAINED</t>
        </is>
      </c>
      <c r="H1106" s="23" t="inlineStr">
        <is>
          <t>Carried forward</t>
        </is>
      </c>
      <c r="I1106" s="23" t="inlineStr">
        <is>
          <t>Source assignment -- not individually reviewed</t>
        </is>
      </c>
      <c r="J1106" s="23" t="inlineStr"/>
      <c r="K1106" s="23" t="inlineStr">
        <is>
          <t>Source assignment</t>
        </is>
      </c>
      <c r="L1106" s="23" t="inlineStr"/>
      <c r="M1106" s="23" t="inlineStr">
        <is>
          <t>Contractor Programme Cycle 2</t>
        </is>
      </c>
      <c r="N1106" s="23" t="inlineStr">
        <is>
          <t>Rev 1</t>
        </is>
      </c>
      <c r="O1106" s="23" t="inlineStr">
        <is>
          <t>R742-v2</t>
        </is>
      </c>
      <c r="P1106" s="23" t="inlineStr"/>
      <c r="Q1106" s="23" t="inlineStr"/>
      <c r="R1106" s="23" t="inlineStr"/>
      <c r="S1106" s="23" t="inlineStr"/>
      <c r="T1106" s="23" t="inlineStr"/>
      <c r="U1106" s="23" t="inlineStr"/>
      <c r="V1106" s="23" t="inlineStr">
        <is>
          <t>WBS Code = 1.5.1</t>
        </is>
      </c>
      <c r="W1106" s="23" t="inlineStr"/>
    </row>
    <row r="1107" ht="49" customHeight="1">
      <c r="A1107" s="23" t="inlineStr">
        <is>
          <t>1.5.1</t>
        </is>
      </c>
      <c r="B1107" s="23" t="inlineStr">
        <is>
          <t>Testing and Commissioning - Test Readiness</t>
        </is>
      </c>
      <c r="C1107" s="23" t="inlineStr">
        <is>
          <t>Contractor Programme</t>
        </is>
      </c>
      <c r="D1107" s="23" t="inlineStr">
        <is>
          <t>SCH-05-023</t>
        </is>
      </c>
      <c r="E1107" s="23" t="inlineStr">
        <is>
          <t>Depot: station integrated test - inspection</t>
        </is>
      </c>
      <c r="F1107" s="23" t="inlineStr">
        <is>
          <t>ONE_TO_ONE</t>
        </is>
      </c>
      <c r="G1107" s="23" t="inlineStr">
        <is>
          <t>RETAINED</t>
        </is>
      </c>
      <c r="H1107" s="23" t="inlineStr">
        <is>
          <t>Carried forward</t>
        </is>
      </c>
      <c r="I1107" s="23" t="inlineStr">
        <is>
          <t>Source assignment -- not individually reviewed</t>
        </is>
      </c>
      <c r="J1107" s="23" t="inlineStr"/>
      <c r="K1107" s="23" t="inlineStr">
        <is>
          <t>Source assignment</t>
        </is>
      </c>
      <c r="L1107" s="23" t="inlineStr"/>
      <c r="M1107" s="23" t="inlineStr">
        <is>
          <t>Contractor Programme Cycle 2</t>
        </is>
      </c>
      <c r="N1107" s="23" t="inlineStr">
        <is>
          <t>Rev 1</t>
        </is>
      </c>
      <c r="O1107" s="23" t="inlineStr">
        <is>
          <t>R743-v2</t>
        </is>
      </c>
      <c r="P1107" s="23" t="inlineStr"/>
      <c r="Q1107" s="23" t="inlineStr"/>
      <c r="R1107" s="23" t="inlineStr"/>
      <c r="S1107" s="23" t="inlineStr"/>
      <c r="T1107" s="23" t="inlineStr"/>
      <c r="U1107" s="23" t="inlineStr"/>
      <c r="V1107" s="23" t="inlineStr">
        <is>
          <t>WBS Code = 1.5.1</t>
        </is>
      </c>
      <c r="W1107" s="23" t="inlineStr"/>
    </row>
    <row r="1108" ht="49" customHeight="1">
      <c r="A1108" s="23" t="inlineStr">
        <is>
          <t>1.5.1</t>
        </is>
      </c>
      <c r="B1108" s="23" t="inlineStr">
        <is>
          <t>Testing and Commissioning - Test Readiness</t>
        </is>
      </c>
      <c r="C1108" s="23" t="inlineStr">
        <is>
          <t>Contractor Programme</t>
        </is>
      </c>
      <c r="D1108" s="23" t="inlineStr">
        <is>
          <t>SCH-05-025</t>
        </is>
      </c>
      <c r="E1108" s="23" t="inlineStr">
        <is>
          <t>Mainline east: test procedure readiness review - release</t>
        </is>
      </c>
      <c r="F1108" s="23" t="inlineStr">
        <is>
          <t>ONE_TO_ONE</t>
        </is>
      </c>
      <c r="G1108" s="23" t="inlineStr">
        <is>
          <t>RETAINED</t>
        </is>
      </c>
      <c r="H1108" s="23" t="inlineStr">
        <is>
          <t>Carried forward</t>
        </is>
      </c>
      <c r="I1108" s="23" t="inlineStr">
        <is>
          <t>Source assignment -- not individually reviewed</t>
        </is>
      </c>
      <c r="J1108" s="23" t="inlineStr"/>
      <c r="K1108" s="23" t="inlineStr">
        <is>
          <t>Source assignment</t>
        </is>
      </c>
      <c r="L1108" s="23" t="inlineStr"/>
      <c r="M1108" s="23" t="inlineStr">
        <is>
          <t>Contractor Programme Cycle 2</t>
        </is>
      </c>
      <c r="N1108" s="23" t="inlineStr">
        <is>
          <t>Rev 1</t>
        </is>
      </c>
      <c r="O1108" s="23" t="inlineStr">
        <is>
          <t>R745-v2</t>
        </is>
      </c>
      <c r="P1108" s="23" t="inlineStr"/>
      <c r="Q1108" s="23" t="inlineStr"/>
      <c r="R1108" s="23" t="inlineStr"/>
      <c r="S1108" s="23" t="inlineStr"/>
      <c r="T1108" s="23" t="inlineStr"/>
      <c r="U1108" s="23" t="inlineStr"/>
      <c r="V1108" s="23" t="inlineStr">
        <is>
          <t>WBS Code = 1.5.1</t>
        </is>
      </c>
      <c r="W1108" s="23" t="inlineStr"/>
    </row>
    <row r="1109" ht="49" customHeight="1">
      <c r="A1109" s="23" t="inlineStr">
        <is>
          <t>1.5.1</t>
        </is>
      </c>
      <c r="B1109" s="23" t="inlineStr">
        <is>
          <t>Testing and Commissioning - Test Readiness</t>
        </is>
      </c>
      <c r="C1109" s="23" t="inlineStr">
        <is>
          <t>Contractor Programme</t>
        </is>
      </c>
      <c r="D1109" s="23" t="inlineStr">
        <is>
          <t>SCH-05-026</t>
        </is>
      </c>
      <c r="E1109" s="23" t="inlineStr">
        <is>
          <t>Central section: emergency-response drill - field start</t>
        </is>
      </c>
      <c r="F1109" s="23" t="inlineStr">
        <is>
          <t>ONE_TO_ONE</t>
        </is>
      </c>
      <c r="G1109" s="23" t="inlineStr">
        <is>
          <t>RETAINED</t>
        </is>
      </c>
      <c r="H1109" s="23" t="inlineStr">
        <is>
          <t>Carried forward</t>
        </is>
      </c>
      <c r="I1109" s="23" t="inlineStr">
        <is>
          <t>Source assignment -- not individually reviewed</t>
        </is>
      </c>
      <c r="J1109" s="23" t="inlineStr"/>
      <c r="K1109" s="23" t="inlineStr">
        <is>
          <t>Source assignment</t>
        </is>
      </c>
      <c r="L1109" s="23" t="inlineStr"/>
      <c r="M1109" s="23" t="inlineStr">
        <is>
          <t>Contractor Programme Cycle 2</t>
        </is>
      </c>
      <c r="N1109" s="23" t="inlineStr">
        <is>
          <t>Rev 1</t>
        </is>
      </c>
      <c r="O1109" s="23" t="inlineStr">
        <is>
          <t>R746-v2</t>
        </is>
      </c>
      <c r="P1109" s="23" t="inlineStr"/>
      <c r="Q1109" s="23" t="inlineStr"/>
      <c r="R1109" s="23" t="inlineStr"/>
      <c r="S1109" s="23" t="inlineStr"/>
      <c r="T1109" s="23" t="inlineStr"/>
      <c r="U1109" s="23" t="inlineStr"/>
      <c r="V1109" s="23" t="inlineStr">
        <is>
          <t>WBS Code = 1.5.1</t>
        </is>
      </c>
      <c r="W1109" s="23" t="inlineStr"/>
    </row>
    <row r="1110" ht="49" customHeight="1">
      <c r="A1110" s="23" t="inlineStr">
        <is>
          <t>1.5.1</t>
        </is>
      </c>
      <c r="B1110" s="23" t="inlineStr">
        <is>
          <t>Testing and Commissioning - Test Readiness</t>
        </is>
      </c>
      <c r="C1110" s="23" t="inlineStr">
        <is>
          <t>Contractor Programme</t>
        </is>
      </c>
      <c r="D1110" s="23" t="inlineStr">
        <is>
          <t>SCH-05-028</t>
        </is>
      </c>
      <c r="E1110" s="23" t="inlineStr">
        <is>
          <t>Depot: mainline dynamic test - inspection</t>
        </is>
      </c>
      <c r="F1110" s="23" t="inlineStr">
        <is>
          <t>ONE_TO_ONE</t>
        </is>
      </c>
      <c r="G1110" s="23" t="inlineStr">
        <is>
          <t>RETAINED</t>
        </is>
      </c>
      <c r="H1110" s="23" t="inlineStr">
        <is>
          <t>Carried forward</t>
        </is>
      </c>
      <c r="I1110" s="23" t="inlineStr">
        <is>
          <t>Source assignment -- not individually reviewed</t>
        </is>
      </c>
      <c r="J1110" s="23" t="inlineStr"/>
      <c r="K1110" s="23" t="inlineStr">
        <is>
          <t>Source assignment</t>
        </is>
      </c>
      <c r="L1110" s="23" t="inlineStr"/>
      <c r="M1110" s="23" t="inlineStr">
        <is>
          <t>Contractor Programme Cycle 2</t>
        </is>
      </c>
      <c r="N1110" s="23" t="inlineStr">
        <is>
          <t>Rev 1</t>
        </is>
      </c>
      <c r="O1110" s="23" t="inlineStr">
        <is>
          <t>R748-v2</t>
        </is>
      </c>
      <c r="P1110" s="23" t="inlineStr"/>
      <c r="Q1110" s="23" t="inlineStr"/>
      <c r="R1110" s="23" t="inlineStr"/>
      <c r="S1110" s="23" t="inlineStr"/>
      <c r="T1110" s="23" t="inlineStr"/>
      <c r="U1110" s="23" t="inlineStr"/>
      <c r="V1110" s="23" t="inlineStr">
        <is>
          <t>WBS Code = 1.5.1</t>
        </is>
      </c>
      <c r="W1110" s="23" t="inlineStr"/>
    </row>
    <row r="1111" ht="49" customHeight="1">
      <c r="A1111" s="23" t="inlineStr">
        <is>
          <t>1.5.1</t>
        </is>
      </c>
      <c r="B1111" s="23" t="inlineStr">
        <is>
          <t>Testing and Commissioning - Test Readiness</t>
        </is>
      </c>
      <c r="C1111" s="23" t="inlineStr">
        <is>
          <t>Contractor Programme</t>
        </is>
      </c>
      <c r="D1111" s="23" t="inlineStr">
        <is>
          <t>SCH-05-029</t>
        </is>
      </c>
      <c r="E1111" s="23" t="inlineStr">
        <is>
          <t>Control Centre: safety certificate evidence closeout - turnover</t>
        </is>
      </c>
      <c r="F1111" s="23" t="inlineStr">
        <is>
          <t>ONE_TO_ONE</t>
        </is>
      </c>
      <c r="G1111" s="23" t="inlineStr">
        <is>
          <t>RETAINED</t>
        </is>
      </c>
      <c r="H1111" s="23" t="inlineStr">
        <is>
          <t>Carried forward</t>
        </is>
      </c>
      <c r="I1111" s="23" t="inlineStr">
        <is>
          <t>Source assignment -- not individually reviewed</t>
        </is>
      </c>
      <c r="J1111" s="23" t="inlineStr"/>
      <c r="K1111" s="23" t="inlineStr">
        <is>
          <t>Source assignment</t>
        </is>
      </c>
      <c r="L1111" s="23" t="inlineStr"/>
      <c r="M1111" s="23" t="inlineStr">
        <is>
          <t>Contractor Programme Cycle 2</t>
        </is>
      </c>
      <c r="N1111" s="23" t="inlineStr">
        <is>
          <t>Rev 1</t>
        </is>
      </c>
      <c r="O1111" s="23" t="inlineStr">
        <is>
          <t>R749-v2</t>
        </is>
      </c>
      <c r="P1111" s="23" t="inlineStr"/>
      <c r="Q1111" s="23" t="inlineStr"/>
      <c r="R1111" s="23" t="inlineStr"/>
      <c r="S1111" s="23" t="inlineStr"/>
      <c r="T1111" s="23" t="inlineStr"/>
      <c r="U1111" s="23" t="inlineStr"/>
      <c r="V1111" s="23" t="inlineStr">
        <is>
          <t>WBS Code = 1.5.1</t>
        </is>
      </c>
      <c r="W1111" s="23" t="inlineStr"/>
    </row>
    <row r="1112" ht="49" customHeight="1">
      <c r="A1112" s="23" t="inlineStr">
        <is>
          <t>1.5.1</t>
        </is>
      </c>
      <c r="B1112" s="23" t="inlineStr">
        <is>
          <t>Testing and Commissioning - Test Readiness</t>
        </is>
      </c>
      <c r="C1112" s="23" t="inlineStr">
        <is>
          <t>Contractor Programme</t>
        </is>
      </c>
      <c r="D1112" s="23" t="inlineStr">
        <is>
          <t>SCH-05-031</t>
        </is>
      </c>
      <c r="E1112" s="23" t="inlineStr">
        <is>
          <t>Central section: station integrated test - field start</t>
        </is>
      </c>
      <c r="F1112" s="23" t="inlineStr">
        <is>
          <t>ONE_TO_ONE</t>
        </is>
      </c>
      <c r="G1112" s="23" t="inlineStr">
        <is>
          <t>RETAINED</t>
        </is>
      </c>
      <c r="H1112" s="23" t="inlineStr">
        <is>
          <t>Carried forward</t>
        </is>
      </c>
      <c r="I1112" s="23" t="inlineStr">
        <is>
          <t>Source assignment -- not individually reviewed</t>
        </is>
      </c>
      <c r="J1112" s="23" t="inlineStr"/>
      <c r="K1112" s="23" t="inlineStr">
        <is>
          <t>Source assignment</t>
        </is>
      </c>
      <c r="L1112" s="23" t="inlineStr"/>
      <c r="M1112" s="23" t="inlineStr">
        <is>
          <t>Contractor Programme Cycle 2</t>
        </is>
      </c>
      <c r="N1112" s="23" t="inlineStr">
        <is>
          <t>Rev 1</t>
        </is>
      </c>
      <c r="O1112" s="23" t="inlineStr">
        <is>
          <t>R751-v2</t>
        </is>
      </c>
      <c r="P1112" s="23" t="inlineStr"/>
      <c r="Q1112" s="23" t="inlineStr"/>
      <c r="R1112" s="23" t="inlineStr"/>
      <c r="S1112" s="23" t="inlineStr"/>
      <c r="T1112" s="23" t="inlineStr"/>
      <c r="U1112" s="23" t="inlineStr"/>
      <c r="V1112" s="23" t="inlineStr">
        <is>
          <t>WBS Code = 1.5.1</t>
        </is>
      </c>
      <c r="W1112" s="23" t="inlineStr"/>
    </row>
    <row r="1113" ht="49" customHeight="1">
      <c r="A1113" s="23" t="inlineStr">
        <is>
          <t>1.5.1</t>
        </is>
      </c>
      <c r="B1113" s="23" t="inlineStr">
        <is>
          <t>Testing and Commissioning - Test Readiness</t>
        </is>
      </c>
      <c r="C1113" s="23" t="inlineStr">
        <is>
          <t>Contractor Programme</t>
        </is>
      </c>
      <c r="D1113" s="23" t="inlineStr">
        <is>
          <t>SCH-05-032</t>
        </is>
      </c>
      <c r="E1113" s="23" t="inlineStr">
        <is>
          <t>West terminal: trial-running shift - installation</t>
        </is>
      </c>
      <c r="F1113" s="23" t="inlineStr">
        <is>
          <t>ONE_TO_ONE</t>
        </is>
      </c>
      <c r="G1113" s="23" t="inlineStr">
        <is>
          <t>RETAINED</t>
        </is>
      </c>
      <c r="H1113" s="23" t="inlineStr">
        <is>
          <t>Carried forward</t>
        </is>
      </c>
      <c r="I1113" s="23" t="inlineStr">
        <is>
          <t>Source assignment -- not individually reviewed</t>
        </is>
      </c>
      <c r="J1113" s="23" t="inlineStr"/>
      <c r="K1113" s="23" t="inlineStr">
        <is>
          <t>Source assignment</t>
        </is>
      </c>
      <c r="L1113" s="23" t="inlineStr"/>
      <c r="M1113" s="23" t="inlineStr">
        <is>
          <t>Contractor Programme Cycle 2</t>
        </is>
      </c>
      <c r="N1113" s="23" t="inlineStr">
        <is>
          <t>Rev 1</t>
        </is>
      </c>
      <c r="O1113" s="23" t="inlineStr">
        <is>
          <t>R752-v2</t>
        </is>
      </c>
      <c r="P1113" s="23" t="inlineStr"/>
      <c r="Q1113" s="23" t="inlineStr"/>
      <c r="R1113" s="23" t="inlineStr"/>
      <c r="S1113" s="23" t="inlineStr"/>
      <c r="T1113" s="23" t="inlineStr"/>
      <c r="U1113" s="23" t="inlineStr"/>
      <c r="V1113" s="23" t="inlineStr">
        <is>
          <t>WBS Code = 1.5.1</t>
        </is>
      </c>
      <c r="W1113" s="23" t="inlineStr"/>
    </row>
    <row r="1114" ht="49" customHeight="1">
      <c r="A1114" s="23" t="inlineStr">
        <is>
          <t>1.5.1</t>
        </is>
      </c>
      <c r="B1114" s="23" t="inlineStr">
        <is>
          <t>Testing and Commissioning - Test Readiness</t>
        </is>
      </c>
      <c r="C1114" s="23" t="inlineStr">
        <is>
          <t>Contractor Programme</t>
        </is>
      </c>
      <c r="D1114" s="23" t="inlineStr">
        <is>
          <t>SCH-05-034</t>
        </is>
      </c>
      <c r="E1114" s="23" t="inlineStr">
        <is>
          <t>Control Centre: emergency-response drill - turnover</t>
        </is>
      </c>
      <c r="F1114" s="23" t="inlineStr">
        <is>
          <t>ONE_TO_ONE</t>
        </is>
      </c>
      <c r="G1114" s="23" t="inlineStr">
        <is>
          <t>RETAINED</t>
        </is>
      </c>
      <c r="H1114" s="23" t="inlineStr">
        <is>
          <t>Carried forward</t>
        </is>
      </c>
      <c r="I1114" s="23" t="inlineStr">
        <is>
          <t>Source assignment -- not individually reviewed</t>
        </is>
      </c>
      <c r="J1114" s="23" t="inlineStr"/>
      <c r="K1114" s="23" t="inlineStr">
        <is>
          <t>Source assignment</t>
        </is>
      </c>
      <c r="L1114" s="23" t="inlineStr"/>
      <c r="M1114" s="23" t="inlineStr">
        <is>
          <t>Contractor Programme Cycle 2</t>
        </is>
      </c>
      <c r="N1114" s="23" t="inlineStr">
        <is>
          <t>Rev 1</t>
        </is>
      </c>
      <c r="O1114" s="23" t="inlineStr">
        <is>
          <t>R754-v2</t>
        </is>
      </c>
      <c r="P1114" s="23" t="inlineStr"/>
      <c r="Q1114" s="23" t="inlineStr"/>
      <c r="R1114" s="23" t="inlineStr"/>
      <c r="S1114" s="23" t="inlineStr"/>
      <c r="T1114" s="23" t="inlineStr"/>
      <c r="U1114" s="23" t="inlineStr"/>
      <c r="V1114" s="23" t="inlineStr">
        <is>
          <t>WBS Code = 1.5.1</t>
        </is>
      </c>
      <c r="W1114" s="23" t="inlineStr"/>
    </row>
    <row r="1115" ht="49" customHeight="1">
      <c r="A1115" s="23" t="inlineStr">
        <is>
          <t>1.5.1</t>
        </is>
      </c>
      <c r="B1115" s="23" t="inlineStr">
        <is>
          <t>Testing and Commissioning - Test Readiness</t>
        </is>
      </c>
      <c r="C1115" s="23" t="inlineStr">
        <is>
          <t>Contractor Programme</t>
        </is>
      </c>
      <c r="D1115" s="23" t="inlineStr">
        <is>
          <t>SCH-05-035</t>
        </is>
      </c>
      <c r="E1115" s="23" t="inlineStr">
        <is>
          <t>Mainline east: defect retest - release</t>
        </is>
      </c>
      <c r="F1115" s="23" t="inlineStr">
        <is>
          <t>ONE_TO_ONE</t>
        </is>
      </c>
      <c r="G1115" s="23" t="inlineStr">
        <is>
          <t>RETAINED</t>
        </is>
      </c>
      <c r="H1115" s="23" t="inlineStr">
        <is>
          <t>Carried forward</t>
        </is>
      </c>
      <c r="I1115" s="23" t="inlineStr">
        <is>
          <t>Source assignment -- not individually reviewed</t>
        </is>
      </c>
      <c r="J1115" s="23" t="inlineStr"/>
      <c r="K1115" s="23" t="inlineStr">
        <is>
          <t>Source assignment</t>
        </is>
      </c>
      <c r="L1115" s="23" t="inlineStr"/>
      <c r="M1115" s="23" t="inlineStr">
        <is>
          <t>Contractor Programme Cycle 2</t>
        </is>
      </c>
      <c r="N1115" s="23" t="inlineStr">
        <is>
          <t>Rev 1</t>
        </is>
      </c>
      <c r="O1115" s="23" t="inlineStr">
        <is>
          <t>R755-v2</t>
        </is>
      </c>
      <c r="P1115" s="23" t="inlineStr"/>
      <c r="Q1115" s="23" t="inlineStr"/>
      <c r="R1115" s="23" t="inlineStr"/>
      <c r="S1115" s="23" t="inlineStr"/>
      <c r="T1115" s="23" t="inlineStr"/>
      <c r="U1115" s="23" t="inlineStr"/>
      <c r="V1115" s="23" t="inlineStr">
        <is>
          <t>WBS Code = 1.5.1</t>
        </is>
      </c>
      <c r="W1115" s="23" t="inlineStr"/>
    </row>
    <row r="1116" ht="49" customHeight="1">
      <c r="A1116" s="23" t="inlineStr">
        <is>
          <t>1.5.1</t>
        </is>
      </c>
      <c r="B1116" s="23" t="inlineStr">
        <is>
          <t>Testing and Commissioning - Test Readiness</t>
        </is>
      </c>
      <c r="C1116" s="23" t="inlineStr">
        <is>
          <t>Contractor Programme</t>
        </is>
      </c>
      <c r="D1116" s="23" t="inlineStr">
        <is>
          <t>SCH-05-037</t>
        </is>
      </c>
      <c r="E1116" s="23" t="inlineStr">
        <is>
          <t>West terminal: safety certificate evidence closeout - installation</t>
        </is>
      </c>
      <c r="F1116" s="23" t="inlineStr">
        <is>
          <t>ONE_TO_ONE</t>
        </is>
      </c>
      <c r="G1116" s="23" t="inlineStr">
        <is>
          <t>RETAINED</t>
        </is>
      </c>
      <c r="H1116" s="23" t="inlineStr">
        <is>
          <t>Carried forward</t>
        </is>
      </c>
      <c r="I1116" s="23" t="inlineStr">
        <is>
          <t>Source assignment -- not individually reviewed</t>
        </is>
      </c>
      <c r="J1116" s="23" t="inlineStr"/>
      <c r="K1116" s="23" t="inlineStr">
        <is>
          <t>Source assignment</t>
        </is>
      </c>
      <c r="L1116" s="23" t="inlineStr"/>
      <c r="M1116" s="23" t="inlineStr">
        <is>
          <t>Contractor Programme Cycle 2</t>
        </is>
      </c>
      <c r="N1116" s="23" t="inlineStr">
        <is>
          <t>Rev 1</t>
        </is>
      </c>
      <c r="O1116" s="23" t="inlineStr">
        <is>
          <t>R757-v2</t>
        </is>
      </c>
      <c r="P1116" s="23" t="inlineStr"/>
      <c r="Q1116" s="23" t="inlineStr"/>
      <c r="R1116" s="23" t="inlineStr"/>
      <c r="S1116" s="23" t="inlineStr"/>
      <c r="T1116" s="23" t="inlineStr"/>
      <c r="U1116" s="23" t="inlineStr"/>
      <c r="V1116" s="23" t="inlineStr">
        <is>
          <t>WBS Code = 1.5.1</t>
        </is>
      </c>
      <c r="W1116" s="23" t="inlineStr"/>
    </row>
    <row r="1117" ht="49" customHeight="1">
      <c r="A1117" s="23" t="inlineStr">
        <is>
          <t>1.5.1</t>
        </is>
      </c>
      <c r="B1117" s="23" t="inlineStr">
        <is>
          <t>Testing and Commissioning - Test Readiness</t>
        </is>
      </c>
      <c r="C1117" s="23" t="inlineStr">
        <is>
          <t>Contractor Programme</t>
        </is>
      </c>
      <c r="D1117" s="23" t="inlineStr">
        <is>
          <t>SCH-05-038</t>
        </is>
      </c>
      <c r="E1117" s="23" t="inlineStr">
        <is>
          <t>Depot: service-readiness review - inspection</t>
        </is>
      </c>
      <c r="F1117" s="23" t="inlineStr">
        <is>
          <t>ONE_TO_ONE</t>
        </is>
      </c>
      <c r="G1117" s="23" t="inlineStr">
        <is>
          <t>RETAINED</t>
        </is>
      </c>
      <c r="H1117" s="23" t="inlineStr">
        <is>
          <t>Carried forward</t>
        </is>
      </c>
      <c r="I1117" s="23" t="inlineStr">
        <is>
          <t>Source assignment -- not individually reviewed</t>
        </is>
      </c>
      <c r="J1117" s="23" t="inlineStr"/>
      <c r="K1117" s="23" t="inlineStr">
        <is>
          <t>Source assignment</t>
        </is>
      </c>
      <c r="L1117" s="23" t="inlineStr"/>
      <c r="M1117" s="23" t="inlineStr">
        <is>
          <t>Contractor Programme Cycle 2</t>
        </is>
      </c>
      <c r="N1117" s="23" t="inlineStr">
        <is>
          <t>Rev 1</t>
        </is>
      </c>
      <c r="O1117" s="23" t="inlineStr">
        <is>
          <t>R758-v2</t>
        </is>
      </c>
      <c r="P1117" s="23" t="inlineStr"/>
      <c r="Q1117" s="23" t="inlineStr"/>
      <c r="R1117" s="23" t="inlineStr"/>
      <c r="S1117" s="23" t="inlineStr"/>
      <c r="T1117" s="23" t="inlineStr"/>
      <c r="U1117" s="23" t="inlineStr"/>
      <c r="V1117" s="23" t="inlineStr">
        <is>
          <t>WBS Code = 1.5.1</t>
        </is>
      </c>
      <c r="W1117" s="23" t="inlineStr"/>
    </row>
    <row r="1118" ht="49" customHeight="1">
      <c r="A1118" s="23" t="inlineStr">
        <is>
          <t>1.5.1</t>
        </is>
      </c>
      <c r="B1118" s="23" t="inlineStr">
        <is>
          <t>Testing and Commissioning - Test Readiness</t>
        </is>
      </c>
      <c r="C1118" s="23" t="inlineStr">
        <is>
          <t>Contractor Programme</t>
        </is>
      </c>
      <c r="D1118" s="23" t="inlineStr">
        <is>
          <t>SCH-05-040</t>
        </is>
      </c>
      <c r="E1118" s="23" t="inlineStr">
        <is>
          <t>Mainline east: trial-running shift - release</t>
        </is>
      </c>
      <c r="F1118" s="23" t="inlineStr">
        <is>
          <t>ONE_TO_ONE</t>
        </is>
      </c>
      <c r="G1118" s="23" t="inlineStr">
        <is>
          <t>RETAINED</t>
        </is>
      </c>
      <c r="H1118" s="23" t="inlineStr">
        <is>
          <t>Carried forward</t>
        </is>
      </c>
      <c r="I1118" s="23" t="inlineStr">
        <is>
          <t>Source assignment -- not individually reviewed</t>
        </is>
      </c>
      <c r="J1118" s="23" t="inlineStr"/>
      <c r="K1118" s="23" t="inlineStr">
        <is>
          <t>Source assignment</t>
        </is>
      </c>
      <c r="L1118" s="23" t="inlineStr"/>
      <c r="M1118" s="23" t="inlineStr">
        <is>
          <t>Contractor Programme Cycle 2</t>
        </is>
      </c>
      <c r="N1118" s="23" t="inlineStr">
        <is>
          <t>Rev 1</t>
        </is>
      </c>
      <c r="O1118" s="23" t="inlineStr">
        <is>
          <t>R760-v2</t>
        </is>
      </c>
      <c r="P1118" s="23" t="inlineStr"/>
      <c r="Q1118" s="23" t="inlineStr"/>
      <c r="R1118" s="23" t="inlineStr"/>
      <c r="S1118" s="23" t="inlineStr"/>
      <c r="T1118" s="23" t="inlineStr"/>
      <c r="U1118" s="23" t="inlineStr"/>
      <c r="V1118" s="23" t="inlineStr">
        <is>
          <t>WBS Code = 1.5.1</t>
        </is>
      </c>
      <c r="W1118" s="23" t="inlineStr"/>
    </row>
    <row r="1119" ht="49" customHeight="1">
      <c r="A1119" s="23" t="inlineStr">
        <is>
          <t>1.5.1</t>
        </is>
      </c>
      <c r="B1119" s="23" t="inlineStr">
        <is>
          <t>Testing and Commissioning - Test Readiness</t>
        </is>
      </c>
      <c r="C1119" s="23" t="inlineStr">
        <is>
          <t>Contractor Programme</t>
        </is>
      </c>
      <c r="D1119" s="23" t="inlineStr">
        <is>
          <t>SCH-05-041</t>
        </is>
      </c>
      <c r="E1119" s="23" t="inlineStr">
        <is>
          <t>Central section: test procedure readiness review - field start</t>
        </is>
      </c>
      <c r="F1119" s="23" t="inlineStr">
        <is>
          <t>ONE_TO_ONE</t>
        </is>
      </c>
      <c r="G1119" s="23" t="inlineStr">
        <is>
          <t>RETAINED</t>
        </is>
      </c>
      <c r="H1119" s="23" t="inlineStr">
        <is>
          <t>Carried forward</t>
        </is>
      </c>
      <c r="I1119" s="23" t="inlineStr">
        <is>
          <t>Source assignment -- not individually reviewed</t>
        </is>
      </c>
      <c r="J1119" s="23" t="inlineStr"/>
      <c r="K1119" s="23" t="inlineStr">
        <is>
          <t>Source assignment</t>
        </is>
      </c>
      <c r="L1119" s="23" t="inlineStr"/>
      <c r="M1119" s="23" t="inlineStr">
        <is>
          <t>Contractor Programme Cycle 2</t>
        </is>
      </c>
      <c r="N1119" s="23" t="inlineStr">
        <is>
          <t>Rev 1</t>
        </is>
      </c>
      <c r="O1119" s="23" t="inlineStr">
        <is>
          <t>R761-v2</t>
        </is>
      </c>
      <c r="P1119" s="23" t="inlineStr"/>
      <c r="Q1119" s="23" t="inlineStr"/>
      <c r="R1119" s="23" t="inlineStr"/>
      <c r="S1119" s="23" t="inlineStr"/>
      <c r="T1119" s="23" t="inlineStr"/>
      <c r="U1119" s="23" t="inlineStr"/>
      <c r="V1119" s="23" t="inlineStr">
        <is>
          <t>WBS Code = 1.5.1</t>
        </is>
      </c>
      <c r="W1119" s="23" t="inlineStr"/>
    </row>
    <row r="1120" ht="49" customHeight="1">
      <c r="A1120" s="23" t="inlineStr">
        <is>
          <t>1.5.1</t>
        </is>
      </c>
      <c r="B1120" s="23" t="inlineStr">
        <is>
          <t>Testing and Commissioning - Test Readiness</t>
        </is>
      </c>
      <c r="C1120" s="23" t="inlineStr">
        <is>
          <t>Contractor Programme</t>
        </is>
      </c>
      <c r="D1120" s="23" t="inlineStr">
        <is>
          <t>SCH-05-043</t>
        </is>
      </c>
      <c r="E1120" s="23" t="inlineStr">
        <is>
          <t>Depot: defect retest - inspection</t>
        </is>
      </c>
      <c r="F1120" s="23" t="inlineStr">
        <is>
          <t>ONE_TO_ONE</t>
        </is>
      </c>
      <c r="G1120" s="23" t="inlineStr">
        <is>
          <t>RETAINED</t>
        </is>
      </c>
      <c r="H1120" s="23" t="inlineStr">
        <is>
          <t>Carried forward</t>
        </is>
      </c>
      <c r="I1120" s="23" t="inlineStr">
        <is>
          <t>Source assignment -- not individually reviewed</t>
        </is>
      </c>
      <c r="J1120" s="23" t="inlineStr"/>
      <c r="K1120" s="23" t="inlineStr">
        <is>
          <t>Source assignment</t>
        </is>
      </c>
      <c r="L1120" s="23" t="inlineStr"/>
      <c r="M1120" s="23" t="inlineStr">
        <is>
          <t>Contractor Programme Cycle 2</t>
        </is>
      </c>
      <c r="N1120" s="23" t="inlineStr">
        <is>
          <t>Rev 1</t>
        </is>
      </c>
      <c r="O1120" s="23" t="inlineStr">
        <is>
          <t>R763-v2</t>
        </is>
      </c>
      <c r="P1120" s="23" t="inlineStr"/>
      <c r="Q1120" s="23" t="inlineStr"/>
      <c r="R1120" s="23" t="inlineStr"/>
      <c r="S1120" s="23" t="inlineStr"/>
      <c r="T1120" s="23" t="inlineStr"/>
      <c r="U1120" s="23" t="inlineStr"/>
      <c r="V1120" s="23" t="inlineStr">
        <is>
          <t>WBS Code = 1.5.1</t>
        </is>
      </c>
      <c r="W1120" s="23" t="inlineStr"/>
    </row>
    <row r="1121" ht="49" customHeight="1">
      <c r="A1121" s="23" t="inlineStr">
        <is>
          <t>1.5.1</t>
        </is>
      </c>
      <c r="B1121" s="23" t="inlineStr">
        <is>
          <t>Testing and Commissioning - Test Readiness</t>
        </is>
      </c>
      <c r="C1121" s="23" t="inlineStr">
        <is>
          <t>Contractor Programme</t>
        </is>
      </c>
      <c r="D1121" s="23" t="inlineStr">
        <is>
          <t>SCH-05-044</t>
        </is>
      </c>
      <c r="E1121" s="23" t="inlineStr">
        <is>
          <t>Control Centre: mainline dynamic test - turnover</t>
        </is>
      </c>
      <c r="F1121" s="23" t="inlineStr">
        <is>
          <t>ONE_TO_ONE</t>
        </is>
      </c>
      <c r="G1121" s="23" t="inlineStr">
        <is>
          <t>RETAINED</t>
        </is>
      </c>
      <c r="H1121" s="23" t="inlineStr">
        <is>
          <t>Carried forward</t>
        </is>
      </c>
      <c r="I1121" s="23" t="inlineStr">
        <is>
          <t>Source assignment -- not individually reviewed</t>
        </is>
      </c>
      <c r="J1121" s="23" t="inlineStr"/>
      <c r="K1121" s="23" t="inlineStr">
        <is>
          <t>Source assignment</t>
        </is>
      </c>
      <c r="L1121" s="23" t="inlineStr"/>
      <c r="M1121" s="23" t="inlineStr">
        <is>
          <t>Contractor Programme Cycle 2</t>
        </is>
      </c>
      <c r="N1121" s="23" t="inlineStr">
        <is>
          <t>Rev 1</t>
        </is>
      </c>
      <c r="O1121" s="23" t="inlineStr">
        <is>
          <t>R764-v2</t>
        </is>
      </c>
      <c r="P1121" s="23" t="inlineStr"/>
      <c r="Q1121" s="23" t="inlineStr"/>
      <c r="R1121" s="23" t="inlineStr"/>
      <c r="S1121" s="23" t="inlineStr"/>
      <c r="T1121" s="23" t="inlineStr"/>
      <c r="U1121" s="23" t="inlineStr"/>
      <c r="V1121" s="23" t="inlineStr">
        <is>
          <t>WBS Code = 1.5.1</t>
        </is>
      </c>
      <c r="W1121" s="23" t="inlineStr"/>
    </row>
    <row r="1122" ht="49" customHeight="1">
      <c r="A1122" s="23" t="inlineStr">
        <is>
          <t>1.5.1</t>
        </is>
      </c>
      <c r="B1122" s="23" t="inlineStr">
        <is>
          <t>Testing and Commissioning - Test Readiness</t>
        </is>
      </c>
      <c r="C1122" s="23" t="inlineStr">
        <is>
          <t>Contractor Programme</t>
        </is>
      </c>
      <c r="D1122" s="23" t="inlineStr">
        <is>
          <t>SCH-05-046</t>
        </is>
      </c>
      <c r="E1122" s="23" t="inlineStr">
        <is>
          <t>Central section: service-readiness review - field start</t>
        </is>
      </c>
      <c r="F1122" s="23" t="inlineStr">
        <is>
          <t>ONE_TO_ONE</t>
        </is>
      </c>
      <c r="G1122" s="23" t="inlineStr">
        <is>
          <t>RETAINED</t>
        </is>
      </c>
      <c r="H1122" s="23" t="inlineStr">
        <is>
          <t>Carried forward</t>
        </is>
      </c>
      <c r="I1122" s="23" t="inlineStr">
        <is>
          <t>Source assignment -- not individually reviewed</t>
        </is>
      </c>
      <c r="J1122" s="23" t="inlineStr"/>
      <c r="K1122" s="23" t="inlineStr">
        <is>
          <t>Source assignment</t>
        </is>
      </c>
      <c r="L1122" s="23" t="inlineStr"/>
      <c r="M1122" s="23" t="inlineStr">
        <is>
          <t>Contractor Programme Cycle 2</t>
        </is>
      </c>
      <c r="N1122" s="23" t="inlineStr">
        <is>
          <t>Rev 1</t>
        </is>
      </c>
      <c r="O1122" s="23" t="inlineStr">
        <is>
          <t>R766-v2</t>
        </is>
      </c>
      <c r="P1122" s="23" t="inlineStr"/>
      <c r="Q1122" s="23" t="inlineStr"/>
      <c r="R1122" s="23" t="inlineStr"/>
      <c r="S1122" s="23" t="inlineStr"/>
      <c r="T1122" s="23" t="inlineStr"/>
      <c r="U1122" s="23" t="inlineStr"/>
      <c r="V1122" s="23" t="inlineStr">
        <is>
          <t>WBS Code = 1.5.1</t>
        </is>
      </c>
      <c r="W1122" s="23" t="inlineStr"/>
    </row>
    <row r="1123" ht="49" customHeight="1">
      <c r="A1123" s="23" t="inlineStr">
        <is>
          <t>1.5.1</t>
        </is>
      </c>
      <c r="B1123" s="23" t="inlineStr">
        <is>
          <t>Testing and Commissioning - Test Readiness</t>
        </is>
      </c>
      <c r="C1123" s="23" t="inlineStr">
        <is>
          <t>Contractor Programme</t>
        </is>
      </c>
      <c r="D1123" s="23" t="inlineStr">
        <is>
          <t>SCH-05-047</t>
        </is>
      </c>
      <c r="E1123" s="23" t="inlineStr">
        <is>
          <t>West terminal: station integrated test - installation</t>
        </is>
      </c>
      <c r="F1123" s="23" t="inlineStr">
        <is>
          <t>ONE_TO_ONE</t>
        </is>
      </c>
      <c r="G1123" s="23" t="inlineStr">
        <is>
          <t>RETAINED</t>
        </is>
      </c>
      <c r="H1123" s="23" t="inlineStr">
        <is>
          <t>Carried forward</t>
        </is>
      </c>
      <c r="I1123" s="23" t="inlineStr">
        <is>
          <t>Source assignment -- not individually reviewed</t>
        </is>
      </c>
      <c r="J1123" s="23" t="inlineStr"/>
      <c r="K1123" s="23" t="inlineStr">
        <is>
          <t>Source assignment</t>
        </is>
      </c>
      <c r="L1123" s="23" t="inlineStr"/>
      <c r="M1123" s="23" t="inlineStr">
        <is>
          <t>Contractor Programme Cycle 2</t>
        </is>
      </c>
      <c r="N1123" s="23" t="inlineStr">
        <is>
          <t>Rev 1</t>
        </is>
      </c>
      <c r="O1123" s="23" t="inlineStr">
        <is>
          <t>R767-v2</t>
        </is>
      </c>
      <c r="P1123" s="23" t="inlineStr"/>
      <c r="Q1123" s="23" t="inlineStr"/>
      <c r="R1123" s="23" t="inlineStr"/>
      <c r="S1123" s="23" t="inlineStr"/>
      <c r="T1123" s="23" t="inlineStr"/>
      <c r="U1123" s="23" t="inlineStr"/>
      <c r="V1123" s="23" t="inlineStr">
        <is>
          <t>WBS Code = 1.5.1</t>
        </is>
      </c>
      <c r="W1123" s="23" t="inlineStr"/>
    </row>
    <row r="1124" ht="49" customHeight="1">
      <c r="A1124" s="23" t="inlineStr">
        <is>
          <t>1.5.1</t>
        </is>
      </c>
      <c r="B1124" s="23" t="inlineStr">
        <is>
          <t>Testing and Commissioning - Test Readiness</t>
        </is>
      </c>
      <c r="C1124" s="23" t="inlineStr">
        <is>
          <t>Contractor Programme</t>
        </is>
      </c>
      <c r="D1124" s="23" t="inlineStr">
        <is>
          <t>SCH-05-049</t>
        </is>
      </c>
      <c r="E1124" s="23" t="inlineStr">
        <is>
          <t>Control Centre: test procedure readiness review - turnover</t>
        </is>
      </c>
      <c r="F1124" s="23" t="inlineStr">
        <is>
          <t>ONE_TO_ONE</t>
        </is>
      </c>
      <c r="G1124" s="23" t="inlineStr">
        <is>
          <t>RETAINED</t>
        </is>
      </c>
      <c r="H1124" s="23" t="inlineStr">
        <is>
          <t>Carried forward</t>
        </is>
      </c>
      <c r="I1124" s="23" t="inlineStr">
        <is>
          <t>Source assignment -- not individually reviewed</t>
        </is>
      </c>
      <c r="J1124" s="23" t="inlineStr"/>
      <c r="K1124" s="23" t="inlineStr">
        <is>
          <t>Source assignment</t>
        </is>
      </c>
      <c r="L1124" s="23" t="inlineStr"/>
      <c r="M1124" s="23" t="inlineStr">
        <is>
          <t>Contractor Programme Cycle 2</t>
        </is>
      </c>
      <c r="N1124" s="23" t="inlineStr">
        <is>
          <t>Rev 1</t>
        </is>
      </c>
      <c r="O1124" s="23" t="inlineStr">
        <is>
          <t>R769-v2</t>
        </is>
      </c>
      <c r="P1124" s="23" t="inlineStr"/>
      <c r="Q1124" s="23" t="inlineStr"/>
      <c r="R1124" s="23" t="inlineStr"/>
      <c r="S1124" s="23" t="inlineStr"/>
      <c r="T1124" s="23" t="inlineStr"/>
      <c r="U1124" s="23" t="inlineStr"/>
      <c r="V1124" s="23" t="inlineStr">
        <is>
          <t>WBS Code = 1.5.1</t>
        </is>
      </c>
      <c r="W1124" s="23" t="inlineStr"/>
    </row>
    <row r="1125" ht="49" customHeight="1">
      <c r="A1125" s="23" t="inlineStr">
        <is>
          <t>1.5.1</t>
        </is>
      </c>
      <c r="B1125" s="23" t="inlineStr">
        <is>
          <t>Testing and Commissioning - Test Readiness</t>
        </is>
      </c>
      <c r="C1125" s="23" t="inlineStr">
        <is>
          <t>Contractor Programme</t>
        </is>
      </c>
      <c r="D1125" s="23" t="inlineStr">
        <is>
          <t>SCH-05-050</t>
        </is>
      </c>
      <c r="E1125" s="23" t="inlineStr">
        <is>
          <t>Mainline east: emergency-response drill - release</t>
        </is>
      </c>
      <c r="F1125" s="23" t="inlineStr">
        <is>
          <t>ONE_TO_ONE</t>
        </is>
      </c>
      <c r="G1125" s="23" t="inlineStr">
        <is>
          <t>RETAINED</t>
        </is>
      </c>
      <c r="H1125" s="23" t="inlineStr">
        <is>
          <t>Carried forward</t>
        </is>
      </c>
      <c r="I1125" s="23" t="inlineStr">
        <is>
          <t>Source assignment -- not individually reviewed</t>
        </is>
      </c>
      <c r="J1125" s="23" t="inlineStr"/>
      <c r="K1125" s="23" t="inlineStr">
        <is>
          <t>Source assignment</t>
        </is>
      </c>
      <c r="L1125" s="23" t="inlineStr"/>
      <c r="M1125" s="23" t="inlineStr">
        <is>
          <t>Contractor Programme Cycle 2</t>
        </is>
      </c>
      <c r="N1125" s="23" t="inlineStr">
        <is>
          <t>Rev 1</t>
        </is>
      </c>
      <c r="O1125" s="23" t="inlineStr">
        <is>
          <t>R770-v2</t>
        </is>
      </c>
      <c r="P1125" s="23" t="inlineStr"/>
      <c r="Q1125" s="23" t="inlineStr"/>
      <c r="R1125" s="23" t="inlineStr"/>
      <c r="S1125" s="23" t="inlineStr"/>
      <c r="T1125" s="23" t="inlineStr"/>
      <c r="U1125" s="23" t="inlineStr"/>
      <c r="V1125" s="23" t="inlineStr">
        <is>
          <t>WBS Code = 1.5.1</t>
        </is>
      </c>
      <c r="W1125" s="23" t="inlineStr"/>
    </row>
    <row r="1126" ht="49" customHeight="1">
      <c r="A1126" s="23" t="inlineStr">
        <is>
          <t>1.5.1</t>
        </is>
      </c>
      <c r="B1126" s="23" t="inlineStr">
        <is>
          <t>Testing and Commissioning - Test Readiness</t>
        </is>
      </c>
      <c r="C1126" s="23" t="inlineStr">
        <is>
          <t>Contractor Programme</t>
        </is>
      </c>
      <c r="D1126" s="23" t="inlineStr">
        <is>
          <t>SCH-05-052</t>
        </is>
      </c>
      <c r="E1126" s="23" t="inlineStr">
        <is>
          <t>West terminal: mainline dynamic test - installation</t>
        </is>
      </c>
      <c r="F1126" s="23" t="inlineStr">
        <is>
          <t>ONE_TO_ONE</t>
        </is>
      </c>
      <c r="G1126" s="23" t="inlineStr">
        <is>
          <t>RETAINED</t>
        </is>
      </c>
      <c r="H1126" s="23" t="inlineStr">
        <is>
          <t>Carried forward</t>
        </is>
      </c>
      <c r="I1126" s="23" t="inlineStr">
        <is>
          <t>Source assignment -- not individually reviewed</t>
        </is>
      </c>
      <c r="J1126" s="23" t="inlineStr"/>
      <c r="K1126" s="23" t="inlineStr">
        <is>
          <t>Source assignment</t>
        </is>
      </c>
      <c r="L1126" s="23" t="inlineStr"/>
      <c r="M1126" s="23" t="inlineStr">
        <is>
          <t>Contractor Programme Cycle 2</t>
        </is>
      </c>
      <c r="N1126" s="23" t="inlineStr">
        <is>
          <t>Rev 1</t>
        </is>
      </c>
      <c r="O1126" s="23" t="inlineStr">
        <is>
          <t>R772-v2</t>
        </is>
      </c>
      <c r="P1126" s="23" t="inlineStr"/>
      <c r="Q1126" s="23" t="inlineStr"/>
      <c r="R1126" s="23" t="inlineStr"/>
      <c r="S1126" s="23" t="inlineStr"/>
      <c r="T1126" s="23" t="inlineStr"/>
      <c r="U1126" s="23" t="inlineStr"/>
      <c r="V1126" s="23" t="inlineStr">
        <is>
          <t>WBS Code = 1.5.1</t>
        </is>
      </c>
      <c r="W1126" s="23" t="inlineStr"/>
    </row>
    <row r="1127" ht="49" customHeight="1">
      <c r="A1127" s="23" t="inlineStr">
        <is>
          <t>1.5.1</t>
        </is>
      </c>
      <c r="B1127" s="23" t="inlineStr">
        <is>
          <t>Testing and Commissioning - Test Readiness</t>
        </is>
      </c>
      <c r="C1127" s="23" t="inlineStr">
        <is>
          <t>Contractor Programme</t>
        </is>
      </c>
      <c r="D1127" s="23" t="inlineStr">
        <is>
          <t>SCH-05-053</t>
        </is>
      </c>
      <c r="E1127" s="23" t="inlineStr">
        <is>
          <t>Depot: safety certificate evidence closeout - inspection</t>
        </is>
      </c>
      <c r="F1127" s="23" t="inlineStr">
        <is>
          <t>ONE_TO_ONE</t>
        </is>
      </c>
      <c r="G1127" s="23" t="inlineStr">
        <is>
          <t>RETAINED</t>
        </is>
      </c>
      <c r="H1127" s="23" t="inlineStr">
        <is>
          <t>Carried forward</t>
        </is>
      </c>
      <c r="I1127" s="23" t="inlineStr">
        <is>
          <t>Source assignment -- not individually reviewed</t>
        </is>
      </c>
      <c r="J1127" s="23" t="inlineStr"/>
      <c r="K1127" s="23" t="inlineStr">
        <is>
          <t>Source assignment</t>
        </is>
      </c>
      <c r="L1127" s="23" t="inlineStr"/>
      <c r="M1127" s="23" t="inlineStr">
        <is>
          <t>Contractor Programme Cycle 2</t>
        </is>
      </c>
      <c r="N1127" s="23" t="inlineStr">
        <is>
          <t>Rev 1</t>
        </is>
      </c>
      <c r="O1127" s="23" t="inlineStr">
        <is>
          <t>R773-v2</t>
        </is>
      </c>
      <c r="P1127" s="23" t="inlineStr"/>
      <c r="Q1127" s="23" t="inlineStr"/>
      <c r="R1127" s="23" t="inlineStr"/>
      <c r="S1127" s="23" t="inlineStr"/>
      <c r="T1127" s="23" t="inlineStr"/>
      <c r="U1127" s="23" t="inlineStr"/>
      <c r="V1127" s="23" t="inlineStr">
        <is>
          <t>WBS Code = 1.5.1</t>
        </is>
      </c>
      <c r="W1127" s="23" t="inlineStr"/>
    </row>
    <row r="1128" ht="49" customHeight="1">
      <c r="A1128" s="23" t="inlineStr">
        <is>
          <t>1.5.1</t>
        </is>
      </c>
      <c r="B1128" s="23" t="inlineStr">
        <is>
          <t>Testing and Commissioning - Test Readiness</t>
        </is>
      </c>
      <c r="C1128" s="23" t="inlineStr">
        <is>
          <t>Contractor Programme</t>
        </is>
      </c>
      <c r="D1128" s="23" t="inlineStr">
        <is>
          <t>SCH-05-055</t>
        </is>
      </c>
      <c r="E1128" s="23" t="inlineStr">
        <is>
          <t>Mainline east: station integrated test - release</t>
        </is>
      </c>
      <c r="F1128" s="23" t="inlineStr">
        <is>
          <t>ONE_TO_ONE</t>
        </is>
      </c>
      <c r="G1128" s="23" t="inlineStr">
        <is>
          <t>RETAINED</t>
        </is>
      </c>
      <c r="H1128" s="23" t="inlineStr">
        <is>
          <t>Carried forward</t>
        </is>
      </c>
      <c r="I1128" s="23" t="inlineStr">
        <is>
          <t>Source assignment -- not individually reviewed</t>
        </is>
      </c>
      <c r="J1128" s="23" t="inlineStr"/>
      <c r="K1128" s="23" t="inlineStr">
        <is>
          <t>Source assignment</t>
        </is>
      </c>
      <c r="L1128" s="23" t="inlineStr"/>
      <c r="M1128" s="23" t="inlineStr">
        <is>
          <t>Contractor Programme Cycle 2</t>
        </is>
      </c>
      <c r="N1128" s="23" t="inlineStr">
        <is>
          <t>Rev 1</t>
        </is>
      </c>
      <c r="O1128" s="23" t="inlineStr">
        <is>
          <t>R775-v2</t>
        </is>
      </c>
      <c r="P1128" s="23" t="inlineStr"/>
      <c r="Q1128" s="23" t="inlineStr"/>
      <c r="R1128" s="23" t="inlineStr"/>
      <c r="S1128" s="23" t="inlineStr"/>
      <c r="T1128" s="23" t="inlineStr"/>
      <c r="U1128" s="23" t="inlineStr"/>
      <c r="V1128" s="23" t="inlineStr">
        <is>
          <t>WBS Code = 1.5.1</t>
        </is>
      </c>
      <c r="W1128" s="23" t="inlineStr"/>
    </row>
    <row r="1129" ht="49" customHeight="1">
      <c r="A1129" s="23" t="inlineStr">
        <is>
          <t>1.5.1</t>
        </is>
      </c>
      <c r="B1129" s="23" t="inlineStr">
        <is>
          <t>Testing and Commissioning - Test Readiness</t>
        </is>
      </c>
      <c r="C1129" s="23" t="inlineStr">
        <is>
          <t>Contractor Programme</t>
        </is>
      </c>
      <c r="D1129" s="23" t="inlineStr">
        <is>
          <t>SCH-05-056</t>
        </is>
      </c>
      <c r="E1129" s="23" t="inlineStr">
        <is>
          <t>Central section: trial-running shift - field start</t>
        </is>
      </c>
      <c r="F1129" s="23" t="inlineStr">
        <is>
          <t>ONE_TO_ONE</t>
        </is>
      </c>
      <c r="G1129" s="23" t="inlineStr">
        <is>
          <t>RETAINED</t>
        </is>
      </c>
      <c r="H1129" s="23" t="inlineStr">
        <is>
          <t>Carried forward</t>
        </is>
      </c>
      <c r="I1129" s="23" t="inlineStr">
        <is>
          <t>Source assignment -- not individually reviewed</t>
        </is>
      </c>
      <c r="J1129" s="23" t="inlineStr"/>
      <c r="K1129" s="23" t="inlineStr">
        <is>
          <t>Source assignment</t>
        </is>
      </c>
      <c r="L1129" s="23" t="inlineStr"/>
      <c r="M1129" s="23" t="inlineStr">
        <is>
          <t>Contractor Programme Cycle 2</t>
        </is>
      </c>
      <c r="N1129" s="23" t="inlineStr">
        <is>
          <t>Rev 1</t>
        </is>
      </c>
      <c r="O1129" s="23" t="inlineStr">
        <is>
          <t>R776-v2</t>
        </is>
      </c>
      <c r="P1129" s="23" t="inlineStr"/>
      <c r="Q1129" s="23" t="inlineStr"/>
      <c r="R1129" s="23" t="inlineStr"/>
      <c r="S1129" s="23" t="inlineStr"/>
      <c r="T1129" s="23" t="inlineStr"/>
      <c r="U1129" s="23" t="inlineStr"/>
      <c r="V1129" s="23" t="inlineStr">
        <is>
          <t>WBS Code = 1.5.1</t>
        </is>
      </c>
      <c r="W1129" s="23" t="inlineStr"/>
    </row>
    <row r="1130" ht="49" customHeight="1">
      <c r="A1130" s="23" t="inlineStr">
        <is>
          <t>1.5.1</t>
        </is>
      </c>
      <c r="B1130" s="23" t="inlineStr">
        <is>
          <t>Testing and Commissioning - Test Readiness</t>
        </is>
      </c>
      <c r="C1130" s="23" t="inlineStr">
        <is>
          <t>Contractor Programme</t>
        </is>
      </c>
      <c r="D1130" s="23" t="inlineStr">
        <is>
          <t>SCH-05-058</t>
        </is>
      </c>
      <c r="E1130" s="23" t="inlineStr">
        <is>
          <t>Depot: emergency-response drill - inspection</t>
        </is>
      </c>
      <c r="F1130" s="23" t="inlineStr">
        <is>
          <t>ONE_TO_ONE</t>
        </is>
      </c>
      <c r="G1130" s="23" t="inlineStr">
        <is>
          <t>RETAINED</t>
        </is>
      </c>
      <c r="H1130" s="23" t="inlineStr">
        <is>
          <t>Carried forward</t>
        </is>
      </c>
      <c r="I1130" s="23" t="inlineStr">
        <is>
          <t>Source assignment -- not individually reviewed</t>
        </is>
      </c>
      <c r="J1130" s="23" t="inlineStr"/>
      <c r="K1130" s="23" t="inlineStr">
        <is>
          <t>Source assignment</t>
        </is>
      </c>
      <c r="L1130" s="23" t="inlineStr"/>
      <c r="M1130" s="23" t="inlineStr">
        <is>
          <t>Contractor Programme Cycle 2</t>
        </is>
      </c>
      <c r="N1130" s="23" t="inlineStr">
        <is>
          <t>Rev 1</t>
        </is>
      </c>
      <c r="O1130" s="23" t="inlineStr">
        <is>
          <t>R778-v2</t>
        </is>
      </c>
      <c r="P1130" s="23" t="inlineStr"/>
      <c r="Q1130" s="23" t="inlineStr"/>
      <c r="R1130" s="23" t="inlineStr"/>
      <c r="S1130" s="23" t="inlineStr"/>
      <c r="T1130" s="23" t="inlineStr"/>
      <c r="U1130" s="23" t="inlineStr"/>
      <c r="V1130" s="23" t="inlineStr">
        <is>
          <t>WBS Code = 1.5.1</t>
        </is>
      </c>
      <c r="W1130" s="23" t="inlineStr"/>
    </row>
    <row r="1131" ht="49" customHeight="1">
      <c r="A1131" s="23" t="inlineStr">
        <is>
          <t>1.5.1</t>
        </is>
      </c>
      <c r="B1131" s="23" t="inlineStr">
        <is>
          <t>Testing and Commissioning - Test Readiness</t>
        </is>
      </c>
      <c r="C1131" s="23" t="inlineStr">
        <is>
          <t>Contractor Programme</t>
        </is>
      </c>
      <c r="D1131" s="23" t="inlineStr">
        <is>
          <t>SCH-05-059</t>
        </is>
      </c>
      <c r="E1131" s="23" t="inlineStr">
        <is>
          <t>Control Centre: defect retest - turnover</t>
        </is>
      </c>
      <c r="F1131" s="23" t="inlineStr">
        <is>
          <t>ONE_TO_ONE</t>
        </is>
      </c>
      <c r="G1131" s="23" t="inlineStr">
        <is>
          <t>RETAINED</t>
        </is>
      </c>
      <c r="H1131" s="23" t="inlineStr">
        <is>
          <t>Carried forward</t>
        </is>
      </c>
      <c r="I1131" s="23" t="inlineStr">
        <is>
          <t>Source assignment -- not individually reviewed</t>
        </is>
      </c>
      <c r="J1131" s="23" t="inlineStr"/>
      <c r="K1131" s="23" t="inlineStr">
        <is>
          <t>Source assignment</t>
        </is>
      </c>
      <c r="L1131" s="23" t="inlineStr"/>
      <c r="M1131" s="23" t="inlineStr">
        <is>
          <t>Contractor Programme Cycle 2</t>
        </is>
      </c>
      <c r="N1131" s="23" t="inlineStr">
        <is>
          <t>Rev 1</t>
        </is>
      </c>
      <c r="O1131" s="23" t="inlineStr">
        <is>
          <t>R779-v2</t>
        </is>
      </c>
      <c r="P1131" s="23" t="inlineStr"/>
      <c r="Q1131" s="23" t="inlineStr"/>
      <c r="R1131" s="23" t="inlineStr"/>
      <c r="S1131" s="23" t="inlineStr"/>
      <c r="T1131" s="23" t="inlineStr"/>
      <c r="U1131" s="23" t="inlineStr"/>
      <c r="V1131" s="23" t="inlineStr">
        <is>
          <t>WBS Code = 1.5.1</t>
        </is>
      </c>
      <c r="W1131" s="23" t="inlineStr"/>
    </row>
    <row r="1132" ht="49" customHeight="1">
      <c r="A1132" s="23" t="inlineStr">
        <is>
          <t>1.5.1</t>
        </is>
      </c>
      <c r="B1132" s="23" t="inlineStr">
        <is>
          <t>Testing and Commissioning - Test Readiness</t>
        </is>
      </c>
      <c r="C1132" s="23" t="inlineStr">
        <is>
          <t>Contractor Programme</t>
        </is>
      </c>
      <c r="D1132" s="23" t="inlineStr">
        <is>
          <t>SCH-05-061</t>
        </is>
      </c>
      <c r="E1132" s="23" t="inlineStr">
        <is>
          <t>Central section: safety certificate evidence closeout - field start</t>
        </is>
      </c>
      <c r="F1132" s="23" t="inlineStr">
        <is>
          <t>ONE_TO_ONE</t>
        </is>
      </c>
      <c r="G1132" s="23" t="inlineStr">
        <is>
          <t>RETAINED</t>
        </is>
      </c>
      <c r="H1132" s="23" t="inlineStr">
        <is>
          <t>Carried forward</t>
        </is>
      </c>
      <c r="I1132" s="23" t="inlineStr">
        <is>
          <t>Source assignment -- not individually reviewed</t>
        </is>
      </c>
      <c r="J1132" s="23" t="inlineStr"/>
      <c r="K1132" s="23" t="inlineStr">
        <is>
          <t>Source assignment</t>
        </is>
      </c>
      <c r="L1132" s="23" t="inlineStr"/>
      <c r="M1132" s="23" t="inlineStr">
        <is>
          <t>Contractor Programme Cycle 2</t>
        </is>
      </c>
      <c r="N1132" s="23" t="inlineStr">
        <is>
          <t>Rev 1</t>
        </is>
      </c>
      <c r="O1132" s="23" t="inlineStr">
        <is>
          <t>R781-v2</t>
        </is>
      </c>
      <c r="P1132" s="23" t="inlineStr"/>
      <c r="Q1132" s="23" t="inlineStr"/>
      <c r="R1132" s="23" t="inlineStr"/>
      <c r="S1132" s="23" t="inlineStr"/>
      <c r="T1132" s="23" t="inlineStr"/>
      <c r="U1132" s="23" t="inlineStr"/>
      <c r="V1132" s="23" t="inlineStr">
        <is>
          <t>WBS Code = 1.5.1</t>
        </is>
      </c>
      <c r="W1132" s="23" t="inlineStr"/>
    </row>
    <row r="1133" ht="49" customHeight="1">
      <c r="A1133" s="23" t="inlineStr">
        <is>
          <t>1.5.1</t>
        </is>
      </c>
      <c r="B1133" s="23" t="inlineStr">
        <is>
          <t>Testing and Commissioning - Test Readiness</t>
        </is>
      </c>
      <c r="C1133" s="23" t="inlineStr">
        <is>
          <t>Contractor Programme</t>
        </is>
      </c>
      <c r="D1133" s="23" t="inlineStr">
        <is>
          <t>SCH-05-062</t>
        </is>
      </c>
      <c r="E1133" s="23" t="inlineStr">
        <is>
          <t>West terminal: service-readiness review - installation</t>
        </is>
      </c>
      <c r="F1133" s="23" t="inlineStr">
        <is>
          <t>ONE_TO_ONE</t>
        </is>
      </c>
      <c r="G1133" s="23" t="inlineStr">
        <is>
          <t>RETAINED</t>
        </is>
      </c>
      <c r="H1133" s="23" t="inlineStr">
        <is>
          <t>Carried forward</t>
        </is>
      </c>
      <c r="I1133" s="23" t="inlineStr">
        <is>
          <t>Source assignment -- not individually reviewed</t>
        </is>
      </c>
      <c r="J1133" s="23" t="inlineStr"/>
      <c r="K1133" s="23" t="inlineStr">
        <is>
          <t>Source assignment</t>
        </is>
      </c>
      <c r="L1133" s="23" t="inlineStr"/>
      <c r="M1133" s="23" t="inlineStr">
        <is>
          <t>Contractor Programme Cycle 2</t>
        </is>
      </c>
      <c r="N1133" s="23" t="inlineStr">
        <is>
          <t>Rev 1</t>
        </is>
      </c>
      <c r="O1133" s="23" t="inlineStr">
        <is>
          <t>R782-v2</t>
        </is>
      </c>
      <c r="P1133" s="23" t="inlineStr"/>
      <c r="Q1133" s="23" t="inlineStr"/>
      <c r="R1133" s="23" t="inlineStr"/>
      <c r="S1133" s="23" t="inlineStr"/>
      <c r="T1133" s="23" t="inlineStr"/>
      <c r="U1133" s="23" t="inlineStr"/>
      <c r="V1133" s="23" t="inlineStr">
        <is>
          <t>WBS Code = 1.5.1</t>
        </is>
      </c>
      <c r="W1133" s="23" t="inlineStr"/>
    </row>
    <row r="1134" ht="49" customHeight="1">
      <c r="A1134" s="23" t="inlineStr">
        <is>
          <t>1.5.1</t>
        </is>
      </c>
      <c r="B1134" s="23" t="inlineStr">
        <is>
          <t>Testing and Commissioning - Test Readiness</t>
        </is>
      </c>
      <c r="C1134" s="23" t="inlineStr">
        <is>
          <t>Contractor Programme</t>
        </is>
      </c>
      <c r="D1134" s="23" t="inlineStr">
        <is>
          <t>SCH-05-064</t>
        </is>
      </c>
      <c r="E1134" s="23" t="inlineStr">
        <is>
          <t>Control Centre: trial-running shift - turnover</t>
        </is>
      </c>
      <c r="F1134" s="23" t="inlineStr">
        <is>
          <t>ONE_TO_ONE</t>
        </is>
      </c>
      <c r="G1134" s="23" t="inlineStr">
        <is>
          <t>RETAINED</t>
        </is>
      </c>
      <c r="H1134" s="23" t="inlineStr">
        <is>
          <t>Carried forward</t>
        </is>
      </c>
      <c r="I1134" s="23" t="inlineStr">
        <is>
          <t>Source assignment -- not individually reviewed</t>
        </is>
      </c>
      <c r="J1134" s="23" t="inlineStr"/>
      <c r="K1134" s="23" t="inlineStr">
        <is>
          <t>Source assignment</t>
        </is>
      </c>
      <c r="L1134" s="23" t="inlineStr"/>
      <c r="M1134" s="23" t="inlineStr">
        <is>
          <t>Contractor Programme Cycle 2</t>
        </is>
      </c>
      <c r="N1134" s="23" t="inlineStr">
        <is>
          <t>Rev 1</t>
        </is>
      </c>
      <c r="O1134" s="23" t="inlineStr">
        <is>
          <t>R784-v2</t>
        </is>
      </c>
      <c r="P1134" s="23" t="inlineStr"/>
      <c r="Q1134" s="23" t="inlineStr"/>
      <c r="R1134" s="23" t="inlineStr"/>
      <c r="S1134" s="23" t="inlineStr"/>
      <c r="T1134" s="23" t="inlineStr"/>
      <c r="U1134" s="23" t="inlineStr"/>
      <c r="V1134" s="23" t="inlineStr">
        <is>
          <t>WBS Code = 1.5.1</t>
        </is>
      </c>
      <c r="W1134" s="23" t="inlineStr"/>
    </row>
    <row r="1135" ht="49" customHeight="1">
      <c r="A1135" s="23" t="inlineStr">
        <is>
          <t>1.5.1</t>
        </is>
      </c>
      <c r="B1135" s="23" t="inlineStr">
        <is>
          <t>Testing and Commissioning - Test Readiness</t>
        </is>
      </c>
      <c r="C1135" s="23" t="inlineStr">
        <is>
          <t>Contractor Programme</t>
        </is>
      </c>
      <c r="D1135" s="23" t="inlineStr">
        <is>
          <t>SCH-05-065</t>
        </is>
      </c>
      <c r="E1135" s="23" t="inlineStr">
        <is>
          <t>Mainline east: test procedure readiness review - release</t>
        </is>
      </c>
      <c r="F1135" s="23" t="inlineStr">
        <is>
          <t>ONE_TO_ONE</t>
        </is>
      </c>
      <c r="G1135" s="23" t="inlineStr">
        <is>
          <t>RETAINED</t>
        </is>
      </c>
      <c r="H1135" s="23" t="inlineStr">
        <is>
          <t>Carried forward</t>
        </is>
      </c>
      <c r="I1135" s="23" t="inlineStr">
        <is>
          <t>Source assignment -- not individually reviewed</t>
        </is>
      </c>
      <c r="J1135" s="23" t="inlineStr"/>
      <c r="K1135" s="23" t="inlineStr">
        <is>
          <t>Source assignment</t>
        </is>
      </c>
      <c r="L1135" s="23" t="inlineStr"/>
      <c r="M1135" s="23" t="inlineStr">
        <is>
          <t>Contractor Programme Cycle 2</t>
        </is>
      </c>
      <c r="N1135" s="23" t="inlineStr">
        <is>
          <t>Rev 1</t>
        </is>
      </c>
      <c r="O1135" s="23" t="inlineStr">
        <is>
          <t>R785-v2</t>
        </is>
      </c>
      <c r="P1135" s="23" t="inlineStr"/>
      <c r="Q1135" s="23" t="inlineStr"/>
      <c r="R1135" s="23" t="inlineStr"/>
      <c r="S1135" s="23" t="inlineStr"/>
      <c r="T1135" s="23" t="inlineStr"/>
      <c r="U1135" s="23" t="inlineStr"/>
      <c r="V1135" s="23" t="inlineStr">
        <is>
          <t>WBS Code = 1.5.1</t>
        </is>
      </c>
      <c r="W1135" s="23" t="inlineStr"/>
    </row>
    <row r="1136" ht="49" customHeight="1">
      <c r="A1136" s="23" t="inlineStr">
        <is>
          <t>1.5.1</t>
        </is>
      </c>
      <c r="B1136" s="23" t="inlineStr">
        <is>
          <t>Testing and Commissioning - Test Readiness</t>
        </is>
      </c>
      <c r="C1136" s="23" t="inlineStr">
        <is>
          <t>Contractor Programme</t>
        </is>
      </c>
      <c r="D1136" s="23" t="inlineStr">
        <is>
          <t>SCH-05-067</t>
        </is>
      </c>
      <c r="E1136" s="23" t="inlineStr">
        <is>
          <t>West terminal: defect retest - installation</t>
        </is>
      </c>
      <c r="F1136" s="23" t="inlineStr">
        <is>
          <t>ONE_TO_ONE</t>
        </is>
      </c>
      <c r="G1136" s="23" t="inlineStr">
        <is>
          <t>RETAINED</t>
        </is>
      </c>
      <c r="H1136" s="23" t="inlineStr">
        <is>
          <t>Carried forward</t>
        </is>
      </c>
      <c r="I1136" s="23" t="inlineStr">
        <is>
          <t>Source assignment -- not individually reviewed</t>
        </is>
      </c>
      <c r="J1136" s="23" t="inlineStr"/>
      <c r="K1136" s="23" t="inlineStr">
        <is>
          <t>Source assignment</t>
        </is>
      </c>
      <c r="L1136" s="23" t="inlineStr"/>
      <c r="M1136" s="23" t="inlineStr">
        <is>
          <t>Contractor Programme Cycle 2</t>
        </is>
      </c>
      <c r="N1136" s="23" t="inlineStr">
        <is>
          <t>Rev 1</t>
        </is>
      </c>
      <c r="O1136" s="23" t="inlineStr">
        <is>
          <t>R787-v2</t>
        </is>
      </c>
      <c r="P1136" s="23" t="inlineStr"/>
      <c r="Q1136" s="23" t="inlineStr"/>
      <c r="R1136" s="23" t="inlineStr"/>
      <c r="S1136" s="23" t="inlineStr"/>
      <c r="T1136" s="23" t="inlineStr"/>
      <c r="U1136" s="23" t="inlineStr"/>
      <c r="V1136" s="23" t="inlineStr">
        <is>
          <t>WBS Code = 1.5.1</t>
        </is>
      </c>
      <c r="W1136" s="23" t="inlineStr"/>
    </row>
    <row r="1137" ht="49" customHeight="1">
      <c r="A1137" s="23" t="inlineStr">
        <is>
          <t>1.5.1</t>
        </is>
      </c>
      <c r="B1137" s="23" t="inlineStr">
        <is>
          <t>Testing and Commissioning - Test Readiness</t>
        </is>
      </c>
      <c r="C1137" s="23" t="inlineStr">
        <is>
          <t>Contractor Programme</t>
        </is>
      </c>
      <c r="D1137" s="23" t="inlineStr">
        <is>
          <t>SCH-05-068</t>
        </is>
      </c>
      <c r="E1137" s="23" t="inlineStr">
        <is>
          <t>Depot: mainline dynamic test - inspection</t>
        </is>
      </c>
      <c r="F1137" s="23" t="inlineStr">
        <is>
          <t>ONE_TO_ONE</t>
        </is>
      </c>
      <c r="G1137" s="23" t="inlineStr">
        <is>
          <t>RETAINED</t>
        </is>
      </c>
      <c r="H1137" s="23" t="inlineStr">
        <is>
          <t>Carried forward</t>
        </is>
      </c>
      <c r="I1137" s="23" t="inlineStr">
        <is>
          <t>Source assignment -- not individually reviewed</t>
        </is>
      </c>
      <c r="J1137" s="23" t="inlineStr"/>
      <c r="K1137" s="23" t="inlineStr">
        <is>
          <t>Source assignment</t>
        </is>
      </c>
      <c r="L1137" s="23" t="inlineStr"/>
      <c r="M1137" s="23" t="inlineStr">
        <is>
          <t>Contractor Programme Cycle 2</t>
        </is>
      </c>
      <c r="N1137" s="23" t="inlineStr">
        <is>
          <t>Rev 1</t>
        </is>
      </c>
      <c r="O1137" s="23" t="inlineStr">
        <is>
          <t>R788-v2</t>
        </is>
      </c>
      <c r="P1137" s="23" t="inlineStr"/>
      <c r="Q1137" s="23" t="inlineStr"/>
      <c r="R1137" s="23" t="inlineStr"/>
      <c r="S1137" s="23" t="inlineStr"/>
      <c r="T1137" s="23" t="inlineStr"/>
      <c r="U1137" s="23" t="inlineStr"/>
      <c r="V1137" s="23" t="inlineStr">
        <is>
          <t>WBS Code = 1.5.1</t>
        </is>
      </c>
      <c r="W1137" s="23" t="inlineStr"/>
    </row>
    <row r="1138" ht="49" customHeight="1">
      <c r="A1138" s="23" t="inlineStr">
        <is>
          <t>1.5.1</t>
        </is>
      </c>
      <c r="B1138" s="23" t="inlineStr">
        <is>
          <t>Testing and Commissioning - Test Readiness</t>
        </is>
      </c>
      <c r="C1138" s="23" t="inlineStr">
        <is>
          <t>Contractor Programme</t>
        </is>
      </c>
      <c r="D1138" s="23" t="inlineStr">
        <is>
          <t>SCH-05-070</t>
        </is>
      </c>
      <c r="E1138" s="23" t="inlineStr">
        <is>
          <t>Mainline east: service-readiness review - release</t>
        </is>
      </c>
      <c r="F1138" s="23" t="inlineStr">
        <is>
          <t>ONE_TO_ONE</t>
        </is>
      </c>
      <c r="G1138" s="23" t="inlineStr">
        <is>
          <t>RETAINED</t>
        </is>
      </c>
      <c r="H1138" s="23" t="inlineStr">
        <is>
          <t>Carried forward</t>
        </is>
      </c>
      <c r="I1138" s="23" t="inlineStr">
        <is>
          <t>Source assignment -- not individually reviewed</t>
        </is>
      </c>
      <c r="J1138" s="23" t="inlineStr"/>
      <c r="K1138" s="23" t="inlineStr">
        <is>
          <t>Source assignment</t>
        </is>
      </c>
      <c r="L1138" s="23" t="inlineStr"/>
      <c r="M1138" s="23" t="inlineStr">
        <is>
          <t>Contractor Programme Cycle 2</t>
        </is>
      </c>
      <c r="N1138" s="23" t="inlineStr">
        <is>
          <t>Rev 1</t>
        </is>
      </c>
      <c r="O1138" s="23" t="inlineStr">
        <is>
          <t>R790-v2</t>
        </is>
      </c>
      <c r="P1138" s="23" t="inlineStr"/>
      <c r="Q1138" s="23" t="inlineStr"/>
      <c r="R1138" s="23" t="inlineStr"/>
      <c r="S1138" s="23" t="inlineStr"/>
      <c r="T1138" s="23" t="inlineStr"/>
      <c r="U1138" s="23" t="inlineStr"/>
      <c r="V1138" s="23" t="inlineStr">
        <is>
          <t>WBS Code = 1.5.1</t>
        </is>
      </c>
      <c r="W1138" s="23" t="inlineStr"/>
    </row>
    <row r="1139" ht="49" customHeight="1">
      <c r="A1139" s="23" t="inlineStr">
        <is>
          <t>1.5.1</t>
        </is>
      </c>
      <c r="B1139" s="23" t="inlineStr">
        <is>
          <t>Testing and Commissioning - Test Readiness</t>
        </is>
      </c>
      <c r="C1139" s="23" t="inlineStr">
        <is>
          <t>Contractor Programme</t>
        </is>
      </c>
      <c r="D1139" s="23" t="inlineStr">
        <is>
          <t>SCH-05-071</t>
        </is>
      </c>
      <c r="E1139" s="23" t="inlineStr">
        <is>
          <t>Central section: station integrated test - field start</t>
        </is>
      </c>
      <c r="F1139" s="23" t="inlineStr">
        <is>
          <t>ONE_TO_ONE</t>
        </is>
      </c>
      <c r="G1139" s="23" t="inlineStr">
        <is>
          <t>RETAINED</t>
        </is>
      </c>
      <c r="H1139" s="23" t="inlineStr">
        <is>
          <t>Carried forward</t>
        </is>
      </c>
      <c r="I1139" s="23" t="inlineStr">
        <is>
          <t>Source assignment -- not individually reviewed</t>
        </is>
      </c>
      <c r="J1139" s="23" t="inlineStr"/>
      <c r="K1139" s="23" t="inlineStr">
        <is>
          <t>Source assignment</t>
        </is>
      </c>
      <c r="L1139" s="23" t="inlineStr"/>
      <c r="M1139" s="23" t="inlineStr">
        <is>
          <t>Contractor Programme Cycle 2</t>
        </is>
      </c>
      <c r="N1139" s="23" t="inlineStr">
        <is>
          <t>Rev 1</t>
        </is>
      </c>
      <c r="O1139" s="23" t="inlineStr">
        <is>
          <t>R791-v2</t>
        </is>
      </c>
      <c r="P1139" s="23" t="inlineStr"/>
      <c r="Q1139" s="23" t="inlineStr"/>
      <c r="R1139" s="23" t="inlineStr"/>
      <c r="S1139" s="23" t="inlineStr"/>
      <c r="T1139" s="23" t="inlineStr"/>
      <c r="U1139" s="23" t="inlineStr"/>
      <c r="V1139" s="23" t="inlineStr">
        <is>
          <t>WBS Code = 1.5.1</t>
        </is>
      </c>
      <c r="W1139" s="23" t="inlineStr"/>
    </row>
    <row r="1140" ht="49" customHeight="1">
      <c r="A1140" s="23" t="inlineStr">
        <is>
          <t>1.5.1</t>
        </is>
      </c>
      <c r="B1140" s="23" t="inlineStr">
        <is>
          <t>Testing and Commissioning - Test Readiness</t>
        </is>
      </c>
      <c r="C1140" s="23" t="inlineStr">
        <is>
          <t>Contractor Programme</t>
        </is>
      </c>
      <c r="D1140" s="23" t="inlineStr">
        <is>
          <t>SCH-05-073</t>
        </is>
      </c>
      <c r="E1140" s="23" t="inlineStr">
        <is>
          <t>Depot: test procedure readiness review - inspection</t>
        </is>
      </c>
      <c r="F1140" s="23" t="inlineStr">
        <is>
          <t>ONE_TO_ONE</t>
        </is>
      </c>
      <c r="G1140" s="23" t="inlineStr">
        <is>
          <t>RETAINED</t>
        </is>
      </c>
      <c r="H1140" s="23" t="inlineStr">
        <is>
          <t>Carried forward</t>
        </is>
      </c>
      <c r="I1140" s="23" t="inlineStr">
        <is>
          <t>Source assignment -- not individually reviewed</t>
        </is>
      </c>
      <c r="J1140" s="23" t="inlineStr"/>
      <c r="K1140" s="23" t="inlineStr">
        <is>
          <t>Source assignment</t>
        </is>
      </c>
      <c r="L1140" s="23" t="inlineStr"/>
      <c r="M1140" s="23" t="inlineStr">
        <is>
          <t>Contractor Programme Cycle 2</t>
        </is>
      </c>
      <c r="N1140" s="23" t="inlineStr">
        <is>
          <t>Rev 1</t>
        </is>
      </c>
      <c r="O1140" s="23" t="inlineStr">
        <is>
          <t>R793-v2</t>
        </is>
      </c>
      <c r="P1140" s="23" t="inlineStr"/>
      <c r="Q1140" s="23" t="inlineStr"/>
      <c r="R1140" s="23" t="inlineStr"/>
      <c r="S1140" s="23" t="inlineStr"/>
      <c r="T1140" s="23" t="inlineStr"/>
      <c r="U1140" s="23" t="inlineStr"/>
      <c r="V1140" s="23" t="inlineStr">
        <is>
          <t>WBS Code = 1.5.1</t>
        </is>
      </c>
      <c r="W1140" s="23" t="inlineStr"/>
    </row>
    <row r="1141" ht="49" customHeight="1">
      <c r="A1141" s="23" t="inlineStr">
        <is>
          <t>1.5.1</t>
        </is>
      </c>
      <c r="B1141" s="23" t="inlineStr">
        <is>
          <t>Testing and Commissioning - Test Readiness</t>
        </is>
      </c>
      <c r="C1141" s="23" t="inlineStr">
        <is>
          <t>Contractor Programme</t>
        </is>
      </c>
      <c r="D1141" s="23" t="inlineStr">
        <is>
          <t>SCH-05-074</t>
        </is>
      </c>
      <c r="E1141" s="23" t="inlineStr">
        <is>
          <t>Control Centre: emergency-response drill - turnover</t>
        </is>
      </c>
      <c r="F1141" s="23" t="inlineStr">
        <is>
          <t>ONE_TO_ONE</t>
        </is>
      </c>
      <c r="G1141" s="23" t="inlineStr">
        <is>
          <t>RETAINED</t>
        </is>
      </c>
      <c r="H1141" s="23" t="inlineStr">
        <is>
          <t>Carried forward</t>
        </is>
      </c>
      <c r="I1141" s="23" t="inlineStr">
        <is>
          <t>Source assignment -- not individually reviewed</t>
        </is>
      </c>
      <c r="J1141" s="23" t="inlineStr"/>
      <c r="K1141" s="23" t="inlineStr">
        <is>
          <t>Source assignment</t>
        </is>
      </c>
      <c r="L1141" s="23" t="inlineStr"/>
      <c r="M1141" s="23" t="inlineStr">
        <is>
          <t>Contractor Programme Cycle 2</t>
        </is>
      </c>
      <c r="N1141" s="23" t="inlineStr">
        <is>
          <t>Rev 1</t>
        </is>
      </c>
      <c r="O1141" s="23" t="inlineStr">
        <is>
          <t>R794-v2</t>
        </is>
      </c>
      <c r="P1141" s="23" t="inlineStr"/>
      <c r="Q1141" s="23" t="inlineStr"/>
      <c r="R1141" s="23" t="inlineStr"/>
      <c r="S1141" s="23" t="inlineStr"/>
      <c r="T1141" s="23" t="inlineStr"/>
      <c r="U1141" s="23" t="inlineStr"/>
      <c r="V1141" s="23" t="inlineStr">
        <is>
          <t>WBS Code = 1.5.1</t>
        </is>
      </c>
      <c r="W1141" s="23" t="inlineStr"/>
    </row>
    <row r="1142" ht="49" customHeight="1">
      <c r="A1142" s="23" t="inlineStr">
        <is>
          <t>1.5.1</t>
        </is>
      </c>
      <c r="B1142" s="23" t="inlineStr">
        <is>
          <t>Testing and Commissioning - Test Readiness</t>
        </is>
      </c>
      <c r="C1142" s="23" t="inlineStr">
        <is>
          <t>Contractor Programme</t>
        </is>
      </c>
      <c r="D1142" s="23" t="inlineStr">
        <is>
          <t>SCH-05-076</t>
        </is>
      </c>
      <c r="E1142" s="23" t="inlineStr">
        <is>
          <t>Central section: mainline dynamic test - field start</t>
        </is>
      </c>
      <c r="F1142" s="23" t="inlineStr">
        <is>
          <t>ONE_TO_ONE</t>
        </is>
      </c>
      <c r="G1142" s="23" t="inlineStr">
        <is>
          <t>RETAINED</t>
        </is>
      </c>
      <c r="H1142" s="23" t="inlineStr">
        <is>
          <t>Carried forward</t>
        </is>
      </c>
      <c r="I1142" s="23" t="inlineStr">
        <is>
          <t>Source assignment -- not individually reviewed</t>
        </is>
      </c>
      <c r="J1142" s="23" t="inlineStr"/>
      <c r="K1142" s="23" t="inlineStr">
        <is>
          <t>Source assignment</t>
        </is>
      </c>
      <c r="L1142" s="23" t="inlineStr"/>
      <c r="M1142" s="23" t="inlineStr">
        <is>
          <t>Contractor Programme Cycle 2</t>
        </is>
      </c>
      <c r="N1142" s="23" t="inlineStr">
        <is>
          <t>Rev 1</t>
        </is>
      </c>
      <c r="O1142" s="23" t="inlineStr">
        <is>
          <t>R796-v2</t>
        </is>
      </c>
      <c r="P1142" s="23" t="inlineStr"/>
      <c r="Q1142" s="23" t="inlineStr"/>
      <c r="R1142" s="23" t="inlineStr"/>
      <c r="S1142" s="23" t="inlineStr"/>
      <c r="T1142" s="23" t="inlineStr"/>
      <c r="U1142" s="23" t="inlineStr"/>
      <c r="V1142" s="23" t="inlineStr">
        <is>
          <t>WBS Code = 1.5.1</t>
        </is>
      </c>
      <c r="W1142" s="23" t="inlineStr"/>
    </row>
    <row r="1143" ht="49" customHeight="1">
      <c r="A1143" s="23" t="inlineStr">
        <is>
          <t>1.5.1</t>
        </is>
      </c>
      <c r="B1143" s="23" t="inlineStr">
        <is>
          <t>Testing and Commissioning - Test Readiness</t>
        </is>
      </c>
      <c r="C1143" s="23" t="inlineStr">
        <is>
          <t>Contractor Programme</t>
        </is>
      </c>
      <c r="D1143" s="23" t="inlineStr">
        <is>
          <t>SCH-05-077</t>
        </is>
      </c>
      <c r="E1143" s="23" t="inlineStr">
        <is>
          <t>West terminal: safety certificate evidence closeout - installation</t>
        </is>
      </c>
      <c r="F1143" s="23" t="inlineStr">
        <is>
          <t>ONE_TO_ONE</t>
        </is>
      </c>
      <c r="G1143" s="23" t="inlineStr">
        <is>
          <t>RETAINED</t>
        </is>
      </c>
      <c r="H1143" s="23" t="inlineStr">
        <is>
          <t>Carried forward</t>
        </is>
      </c>
      <c r="I1143" s="23" t="inlineStr">
        <is>
          <t>Source assignment -- not individually reviewed</t>
        </is>
      </c>
      <c r="J1143" s="23" t="inlineStr"/>
      <c r="K1143" s="23" t="inlineStr">
        <is>
          <t>Source assignment</t>
        </is>
      </c>
      <c r="L1143" s="23" t="inlineStr"/>
      <c r="M1143" s="23" t="inlineStr">
        <is>
          <t>Contractor Programme Cycle 2</t>
        </is>
      </c>
      <c r="N1143" s="23" t="inlineStr">
        <is>
          <t>Rev 1</t>
        </is>
      </c>
      <c r="O1143" s="23" t="inlineStr">
        <is>
          <t>R797-v2</t>
        </is>
      </c>
      <c r="P1143" s="23" t="inlineStr"/>
      <c r="Q1143" s="23" t="inlineStr"/>
      <c r="R1143" s="23" t="inlineStr"/>
      <c r="S1143" s="23" t="inlineStr"/>
      <c r="T1143" s="23" t="inlineStr"/>
      <c r="U1143" s="23" t="inlineStr"/>
      <c r="V1143" s="23" t="inlineStr">
        <is>
          <t>WBS Code = 1.5.1</t>
        </is>
      </c>
      <c r="W1143" s="23" t="inlineStr"/>
    </row>
    <row r="1144" ht="49" customHeight="1">
      <c r="A1144" s="23" t="inlineStr">
        <is>
          <t>1.5.1</t>
        </is>
      </c>
      <c r="B1144" s="23" t="inlineStr">
        <is>
          <t>Testing and Commissioning - Test Readiness</t>
        </is>
      </c>
      <c r="C1144" s="23" t="inlineStr">
        <is>
          <t>Contractor Programme</t>
        </is>
      </c>
      <c r="D1144" s="23" t="inlineStr">
        <is>
          <t>SCH-05-079</t>
        </is>
      </c>
      <c r="E1144" s="23" t="inlineStr">
        <is>
          <t>Control Centre: station integrated test - turnover</t>
        </is>
      </c>
      <c r="F1144" s="23" t="inlineStr">
        <is>
          <t>ONE_TO_ONE</t>
        </is>
      </c>
      <c r="G1144" s="23" t="inlineStr">
        <is>
          <t>RETAINED</t>
        </is>
      </c>
      <c r="H1144" s="23" t="inlineStr">
        <is>
          <t>Carried forward</t>
        </is>
      </c>
      <c r="I1144" s="23" t="inlineStr">
        <is>
          <t>Source assignment -- not individually reviewed</t>
        </is>
      </c>
      <c r="J1144" s="23" t="inlineStr"/>
      <c r="K1144" s="23" t="inlineStr">
        <is>
          <t>Source assignment</t>
        </is>
      </c>
      <c r="L1144" s="23" t="inlineStr"/>
      <c r="M1144" s="23" t="inlineStr">
        <is>
          <t>Contractor Programme Cycle 2</t>
        </is>
      </c>
      <c r="N1144" s="23" t="inlineStr">
        <is>
          <t>Rev 1</t>
        </is>
      </c>
      <c r="O1144" s="23" t="inlineStr">
        <is>
          <t>R799-v2</t>
        </is>
      </c>
      <c r="P1144" s="23" t="inlineStr"/>
      <c r="Q1144" s="23" t="inlineStr"/>
      <c r="R1144" s="23" t="inlineStr"/>
      <c r="S1144" s="23" t="inlineStr"/>
      <c r="T1144" s="23" t="inlineStr"/>
      <c r="U1144" s="23" t="inlineStr"/>
      <c r="V1144" s="23" t="inlineStr">
        <is>
          <t>WBS Code = 1.5.1</t>
        </is>
      </c>
      <c r="W1144" s="23" t="inlineStr"/>
    </row>
    <row r="1145" ht="49" customHeight="1">
      <c r="A1145" s="23" t="inlineStr">
        <is>
          <t>1.5.1</t>
        </is>
      </c>
      <c r="B1145" s="23" t="inlineStr">
        <is>
          <t>Testing and Commissioning - Test Readiness</t>
        </is>
      </c>
      <c r="C1145" s="23" t="inlineStr">
        <is>
          <t>Contractor Programme</t>
        </is>
      </c>
      <c r="D1145" s="23" t="inlineStr">
        <is>
          <t>SCH-05-080</t>
        </is>
      </c>
      <c r="E1145" s="23" t="inlineStr">
        <is>
          <t>Mainline east: trial-running shift - release</t>
        </is>
      </c>
      <c r="F1145" s="23" t="inlineStr">
        <is>
          <t>ONE_TO_ONE</t>
        </is>
      </c>
      <c r="G1145" s="23" t="inlineStr">
        <is>
          <t>RETAINED</t>
        </is>
      </c>
      <c r="H1145" s="23" t="inlineStr">
        <is>
          <t>Carried forward</t>
        </is>
      </c>
      <c r="I1145" s="23" t="inlineStr">
        <is>
          <t>Source assignment -- not individually reviewed</t>
        </is>
      </c>
      <c r="J1145" s="23" t="inlineStr"/>
      <c r="K1145" s="23" t="inlineStr">
        <is>
          <t>Source assignment</t>
        </is>
      </c>
      <c r="L1145" s="23" t="inlineStr"/>
      <c r="M1145" s="23" t="inlineStr">
        <is>
          <t>Contractor Programme Cycle 2</t>
        </is>
      </c>
      <c r="N1145" s="23" t="inlineStr">
        <is>
          <t>Rev 1</t>
        </is>
      </c>
      <c r="O1145" s="23" t="inlineStr">
        <is>
          <t>R800-v2</t>
        </is>
      </c>
      <c r="P1145" s="23" t="inlineStr"/>
      <c r="Q1145" s="23" t="inlineStr"/>
      <c r="R1145" s="23" t="inlineStr"/>
      <c r="S1145" s="23" t="inlineStr"/>
      <c r="T1145" s="23" t="inlineStr"/>
      <c r="U1145" s="23" t="inlineStr"/>
      <c r="V1145" s="23" t="inlineStr">
        <is>
          <t>WBS Code = 1.5.1</t>
        </is>
      </c>
      <c r="W1145" s="23" t="inlineStr"/>
    </row>
    <row r="1146" ht="49" customHeight="1">
      <c r="A1146" s="23" t="inlineStr">
        <is>
          <t>1.5.1</t>
        </is>
      </c>
      <c r="B1146" s="23" t="inlineStr">
        <is>
          <t>Testing and Commissioning - Test Readiness</t>
        </is>
      </c>
      <c r="C1146" s="23" t="inlineStr">
        <is>
          <t>Contractor Programme</t>
        </is>
      </c>
      <c r="D1146" s="23" t="inlineStr">
        <is>
          <t>SCH-05-082</t>
        </is>
      </c>
      <c r="E1146" s="23" t="inlineStr">
        <is>
          <t>West terminal: emergency-response drill - installation</t>
        </is>
      </c>
      <c r="F1146" s="23" t="inlineStr">
        <is>
          <t>ONE_TO_ONE</t>
        </is>
      </c>
      <c r="G1146" s="23" t="inlineStr">
        <is>
          <t>RETAINED</t>
        </is>
      </c>
      <c r="H1146" s="23" t="inlineStr">
        <is>
          <t>Carried forward</t>
        </is>
      </c>
      <c r="I1146" s="23" t="inlineStr">
        <is>
          <t>Source assignment -- not individually reviewed</t>
        </is>
      </c>
      <c r="J1146" s="23" t="inlineStr"/>
      <c r="K1146" s="23" t="inlineStr">
        <is>
          <t>Source assignment</t>
        </is>
      </c>
      <c r="L1146" s="23" t="inlineStr"/>
      <c r="M1146" s="23" t="inlineStr">
        <is>
          <t>Contractor Programme Cycle 2</t>
        </is>
      </c>
      <c r="N1146" s="23" t="inlineStr">
        <is>
          <t>Rev 1</t>
        </is>
      </c>
      <c r="O1146" s="23" t="inlineStr">
        <is>
          <t>R802-v2</t>
        </is>
      </c>
      <c r="P1146" s="23" t="inlineStr"/>
      <c r="Q1146" s="23" t="inlineStr"/>
      <c r="R1146" s="23" t="inlineStr"/>
      <c r="S1146" s="23" t="inlineStr"/>
      <c r="T1146" s="23" t="inlineStr"/>
      <c r="U1146" s="23" t="inlineStr"/>
      <c r="V1146" s="23" t="inlineStr">
        <is>
          <t>WBS Code = 1.5.1</t>
        </is>
      </c>
      <c r="W1146" s="23" t="inlineStr"/>
    </row>
    <row r="1147" ht="49" customHeight="1">
      <c r="A1147" s="23" t="inlineStr">
        <is>
          <t>1.5.1</t>
        </is>
      </c>
      <c r="B1147" s="23" t="inlineStr">
        <is>
          <t>Testing and Commissioning - Test Readiness</t>
        </is>
      </c>
      <c r="C1147" s="23" t="inlineStr">
        <is>
          <t>Contractor Programme</t>
        </is>
      </c>
      <c r="D1147" s="23" t="inlineStr">
        <is>
          <t>SCH-05-083</t>
        </is>
      </c>
      <c r="E1147" s="23" t="inlineStr">
        <is>
          <t>Depot: defect retest - inspection</t>
        </is>
      </c>
      <c r="F1147" s="23" t="inlineStr">
        <is>
          <t>ONE_TO_ONE</t>
        </is>
      </c>
      <c r="G1147" s="23" t="inlineStr">
        <is>
          <t>RETAINED</t>
        </is>
      </c>
      <c r="H1147" s="23" t="inlineStr">
        <is>
          <t>Carried forward</t>
        </is>
      </c>
      <c r="I1147" s="23" t="inlineStr">
        <is>
          <t>Source assignment -- not individually reviewed</t>
        </is>
      </c>
      <c r="J1147" s="23" t="inlineStr"/>
      <c r="K1147" s="23" t="inlineStr">
        <is>
          <t>Source assignment</t>
        </is>
      </c>
      <c r="L1147" s="23" t="inlineStr"/>
      <c r="M1147" s="23" t="inlineStr">
        <is>
          <t>Contractor Programme Cycle 2</t>
        </is>
      </c>
      <c r="N1147" s="23" t="inlineStr">
        <is>
          <t>Rev 1</t>
        </is>
      </c>
      <c r="O1147" s="23" t="inlineStr">
        <is>
          <t>R803-v2</t>
        </is>
      </c>
      <c r="P1147" s="23" t="inlineStr"/>
      <c r="Q1147" s="23" t="inlineStr"/>
      <c r="R1147" s="23" t="inlineStr"/>
      <c r="S1147" s="23" t="inlineStr"/>
      <c r="T1147" s="23" t="inlineStr"/>
      <c r="U1147" s="23" t="inlineStr"/>
      <c r="V1147" s="23" t="inlineStr">
        <is>
          <t>WBS Code = 1.5.1</t>
        </is>
      </c>
      <c r="W1147" s="23" t="inlineStr"/>
    </row>
    <row r="1148" ht="49" customHeight="1">
      <c r="A1148" s="23" t="inlineStr">
        <is>
          <t>1.5.1</t>
        </is>
      </c>
      <c r="B1148" s="23" t="inlineStr">
        <is>
          <t>Testing and Commissioning - Test Readiness</t>
        </is>
      </c>
      <c r="C1148" s="23" t="inlineStr">
        <is>
          <t>Contractor Programme</t>
        </is>
      </c>
      <c r="D1148" s="23" t="inlineStr">
        <is>
          <t>SCH-05-085</t>
        </is>
      </c>
      <c r="E1148" s="23" t="inlineStr">
        <is>
          <t>Mainline east: safety certificate evidence closeout - release</t>
        </is>
      </c>
      <c r="F1148" s="23" t="inlineStr">
        <is>
          <t>ONE_TO_ONE</t>
        </is>
      </c>
      <c r="G1148" s="23" t="inlineStr">
        <is>
          <t>RETAINED</t>
        </is>
      </c>
      <c r="H1148" s="23" t="inlineStr">
        <is>
          <t>Carried forward</t>
        </is>
      </c>
      <c r="I1148" s="23" t="inlineStr">
        <is>
          <t>Source assignment -- not individually reviewed</t>
        </is>
      </c>
      <c r="J1148" s="23" t="inlineStr"/>
      <c r="K1148" s="23" t="inlineStr">
        <is>
          <t>Source assignment</t>
        </is>
      </c>
      <c r="L1148" s="23" t="inlineStr"/>
      <c r="M1148" s="23" t="inlineStr">
        <is>
          <t>Contractor Programme Cycle 2</t>
        </is>
      </c>
      <c r="N1148" s="23" t="inlineStr">
        <is>
          <t>Rev 1</t>
        </is>
      </c>
      <c r="O1148" s="23" t="inlineStr">
        <is>
          <t>R805-v2</t>
        </is>
      </c>
      <c r="P1148" s="23" t="inlineStr"/>
      <c r="Q1148" s="23" t="inlineStr"/>
      <c r="R1148" s="23" t="inlineStr"/>
      <c r="S1148" s="23" t="inlineStr"/>
      <c r="T1148" s="23" t="inlineStr"/>
      <c r="U1148" s="23" t="inlineStr"/>
      <c r="V1148" s="23" t="inlineStr">
        <is>
          <t>WBS Code = 1.5.1</t>
        </is>
      </c>
      <c r="W1148" s="23" t="inlineStr"/>
    </row>
    <row r="1149" ht="49" customHeight="1">
      <c r="A1149" s="23" t="inlineStr">
        <is>
          <t>1.5.1</t>
        </is>
      </c>
      <c r="B1149" s="23" t="inlineStr">
        <is>
          <t>Testing and Commissioning - Test Readiness</t>
        </is>
      </c>
      <c r="C1149" s="23" t="inlineStr">
        <is>
          <t>Contractor Programme</t>
        </is>
      </c>
      <c r="D1149" s="23" t="inlineStr">
        <is>
          <t>SCH-05-086</t>
        </is>
      </c>
      <c r="E1149" s="23" t="inlineStr">
        <is>
          <t>Central section: service-readiness review - field start</t>
        </is>
      </c>
      <c r="F1149" s="23" t="inlineStr">
        <is>
          <t>ONE_TO_ONE</t>
        </is>
      </c>
      <c r="G1149" s="23" t="inlineStr">
        <is>
          <t>RETAINED</t>
        </is>
      </c>
      <c r="H1149" s="23" t="inlineStr">
        <is>
          <t>Carried forward</t>
        </is>
      </c>
      <c r="I1149" s="23" t="inlineStr">
        <is>
          <t>Source assignment -- not individually reviewed</t>
        </is>
      </c>
      <c r="J1149" s="23" t="inlineStr"/>
      <c r="K1149" s="23" t="inlineStr">
        <is>
          <t>Source assignment</t>
        </is>
      </c>
      <c r="L1149" s="23" t="inlineStr"/>
      <c r="M1149" s="23" t="inlineStr">
        <is>
          <t>Contractor Programme Cycle 2</t>
        </is>
      </c>
      <c r="N1149" s="23" t="inlineStr">
        <is>
          <t>Rev 1</t>
        </is>
      </c>
      <c r="O1149" s="23" t="inlineStr">
        <is>
          <t>R806-v2</t>
        </is>
      </c>
      <c r="P1149" s="23" t="inlineStr"/>
      <c r="Q1149" s="23" t="inlineStr"/>
      <c r="R1149" s="23" t="inlineStr"/>
      <c r="S1149" s="23" t="inlineStr"/>
      <c r="T1149" s="23" t="inlineStr"/>
      <c r="U1149" s="23" t="inlineStr"/>
      <c r="V1149" s="23" t="inlineStr">
        <is>
          <t>WBS Code = 1.5.1</t>
        </is>
      </c>
      <c r="W1149" s="23" t="inlineStr"/>
    </row>
    <row r="1150" ht="49" customHeight="1">
      <c r="A1150" s="23" t="inlineStr">
        <is>
          <t>1.5.1</t>
        </is>
      </c>
      <c r="B1150" s="23" t="inlineStr">
        <is>
          <t>Testing and Commissioning - Test Readiness</t>
        </is>
      </c>
      <c r="C1150" s="23" t="inlineStr">
        <is>
          <t>Contractor Programme</t>
        </is>
      </c>
      <c r="D1150" s="23" t="inlineStr">
        <is>
          <t>SCH-05-088</t>
        </is>
      </c>
      <c r="E1150" s="23" t="inlineStr">
        <is>
          <t>Depot: trial-running shift - inspection</t>
        </is>
      </c>
      <c r="F1150" s="23" t="inlineStr">
        <is>
          <t>ONE_TO_ONE</t>
        </is>
      </c>
      <c r="G1150" s="23" t="inlineStr">
        <is>
          <t>RETAINED</t>
        </is>
      </c>
      <c r="H1150" s="23" t="inlineStr">
        <is>
          <t>Carried forward</t>
        </is>
      </c>
      <c r="I1150" s="23" t="inlineStr">
        <is>
          <t>Source assignment -- not individually reviewed</t>
        </is>
      </c>
      <c r="J1150" s="23" t="inlineStr"/>
      <c r="K1150" s="23" t="inlineStr">
        <is>
          <t>Source assignment</t>
        </is>
      </c>
      <c r="L1150" s="23" t="inlineStr"/>
      <c r="M1150" s="23" t="inlineStr">
        <is>
          <t>Contractor Programme Cycle 2</t>
        </is>
      </c>
      <c r="N1150" s="23" t="inlineStr">
        <is>
          <t>Rev 1</t>
        </is>
      </c>
      <c r="O1150" s="23" t="inlineStr">
        <is>
          <t>R808-v2</t>
        </is>
      </c>
      <c r="P1150" s="23" t="inlineStr"/>
      <c r="Q1150" s="23" t="inlineStr"/>
      <c r="R1150" s="23" t="inlineStr"/>
      <c r="S1150" s="23" t="inlineStr"/>
      <c r="T1150" s="23" t="inlineStr"/>
      <c r="U1150" s="23" t="inlineStr"/>
      <c r="V1150" s="23" t="inlineStr">
        <is>
          <t>WBS Code = 1.5.1</t>
        </is>
      </c>
      <c r="W1150" s="23" t="inlineStr"/>
    </row>
    <row r="1151" ht="49" customHeight="1">
      <c r="A1151" s="23" t="inlineStr">
        <is>
          <t>1.5.1</t>
        </is>
      </c>
      <c r="B1151" s="23" t="inlineStr">
        <is>
          <t>Testing and Commissioning - Test Readiness</t>
        </is>
      </c>
      <c r="C1151" s="23" t="inlineStr">
        <is>
          <t>Contractor Programme</t>
        </is>
      </c>
      <c r="D1151" s="23" t="inlineStr">
        <is>
          <t>SCH-05-089</t>
        </is>
      </c>
      <c r="E1151" s="23" t="inlineStr">
        <is>
          <t>Control Centre: test procedure readiness review - turnover</t>
        </is>
      </c>
      <c r="F1151" s="23" t="inlineStr">
        <is>
          <t>ONE_TO_ONE</t>
        </is>
      </c>
      <c r="G1151" s="23" t="inlineStr">
        <is>
          <t>RETAINED</t>
        </is>
      </c>
      <c r="H1151" s="23" t="inlineStr">
        <is>
          <t>Carried forward</t>
        </is>
      </c>
      <c r="I1151" s="23" t="inlineStr">
        <is>
          <t>Source assignment -- not individually reviewed</t>
        </is>
      </c>
      <c r="J1151" s="23" t="inlineStr"/>
      <c r="K1151" s="23" t="inlineStr">
        <is>
          <t>Source assignment</t>
        </is>
      </c>
      <c r="L1151" s="23" t="inlineStr"/>
      <c r="M1151" s="23" t="inlineStr">
        <is>
          <t>Contractor Programme Cycle 2</t>
        </is>
      </c>
      <c r="N1151" s="23" t="inlineStr">
        <is>
          <t>Rev 1</t>
        </is>
      </c>
      <c r="O1151" s="23" t="inlineStr">
        <is>
          <t>R809-v2</t>
        </is>
      </c>
      <c r="P1151" s="23" t="inlineStr"/>
      <c r="Q1151" s="23" t="inlineStr"/>
      <c r="R1151" s="23" t="inlineStr"/>
      <c r="S1151" s="23" t="inlineStr"/>
      <c r="T1151" s="23" t="inlineStr"/>
      <c r="U1151" s="23" t="inlineStr"/>
      <c r="V1151" s="23" t="inlineStr">
        <is>
          <t>WBS Code = 1.5.1</t>
        </is>
      </c>
      <c r="W1151" s="23" t="inlineStr"/>
    </row>
    <row r="1152" ht="49" customHeight="1">
      <c r="A1152" s="23" t="inlineStr">
        <is>
          <t>1.5.1</t>
        </is>
      </c>
      <c r="B1152" s="23" t="inlineStr">
        <is>
          <t>Testing and Commissioning - Test Readiness</t>
        </is>
      </c>
      <c r="C1152" s="23" t="inlineStr">
        <is>
          <t>Contractor Programme</t>
        </is>
      </c>
      <c r="D1152" s="23" t="inlineStr">
        <is>
          <t>SCH-05-091</t>
        </is>
      </c>
      <c r="E1152" s="23" t="inlineStr">
        <is>
          <t>Central section: defect retest - field start</t>
        </is>
      </c>
      <c r="F1152" s="23" t="inlineStr">
        <is>
          <t>ONE_TO_ONE</t>
        </is>
      </c>
      <c r="G1152" s="23" t="inlineStr">
        <is>
          <t>RETAINED</t>
        </is>
      </c>
      <c r="H1152" s="23" t="inlineStr">
        <is>
          <t>Carried forward</t>
        </is>
      </c>
      <c r="I1152" s="23" t="inlineStr">
        <is>
          <t>Source assignment -- not individually reviewed</t>
        </is>
      </c>
      <c r="J1152" s="23" t="inlineStr"/>
      <c r="K1152" s="23" t="inlineStr">
        <is>
          <t>Source assignment</t>
        </is>
      </c>
      <c r="L1152" s="23" t="inlineStr"/>
      <c r="M1152" s="23" t="inlineStr">
        <is>
          <t>Contractor Programme Cycle 2</t>
        </is>
      </c>
      <c r="N1152" s="23" t="inlineStr">
        <is>
          <t>Rev 1</t>
        </is>
      </c>
      <c r="O1152" s="23" t="inlineStr">
        <is>
          <t>R811-v2</t>
        </is>
      </c>
      <c r="P1152" s="23" t="inlineStr"/>
      <c r="Q1152" s="23" t="inlineStr"/>
      <c r="R1152" s="23" t="inlineStr"/>
      <c r="S1152" s="23" t="inlineStr"/>
      <c r="T1152" s="23" t="inlineStr"/>
      <c r="U1152" s="23" t="inlineStr"/>
      <c r="V1152" s="23" t="inlineStr">
        <is>
          <t>WBS Code = 1.5.1</t>
        </is>
      </c>
      <c r="W1152" s="23" t="inlineStr"/>
    </row>
    <row r="1153" ht="49" customHeight="1">
      <c r="A1153" s="23" t="inlineStr">
        <is>
          <t>1.5.1</t>
        </is>
      </c>
      <c r="B1153" s="23" t="inlineStr">
        <is>
          <t>Testing and Commissioning - Test Readiness</t>
        </is>
      </c>
      <c r="C1153" s="23" t="inlineStr">
        <is>
          <t>Contractor Programme</t>
        </is>
      </c>
      <c r="D1153" s="23" t="inlineStr">
        <is>
          <t>SCH-05-092</t>
        </is>
      </c>
      <c r="E1153" s="23" t="inlineStr">
        <is>
          <t>West terminal: mainline dynamic test - installation</t>
        </is>
      </c>
      <c r="F1153" s="23" t="inlineStr">
        <is>
          <t>ONE_TO_ONE</t>
        </is>
      </c>
      <c r="G1153" s="23" t="inlineStr">
        <is>
          <t>RETAINED</t>
        </is>
      </c>
      <c r="H1153" s="23" t="inlineStr">
        <is>
          <t>Carried forward</t>
        </is>
      </c>
      <c r="I1153" s="23" t="inlineStr">
        <is>
          <t>Source assignment -- not individually reviewed</t>
        </is>
      </c>
      <c r="J1153" s="23" t="inlineStr"/>
      <c r="K1153" s="23" t="inlineStr">
        <is>
          <t>Source assignment</t>
        </is>
      </c>
      <c r="L1153" s="23" t="inlineStr"/>
      <c r="M1153" s="23" t="inlineStr">
        <is>
          <t>Contractor Programme Cycle 2</t>
        </is>
      </c>
      <c r="N1153" s="23" t="inlineStr">
        <is>
          <t>Rev 1</t>
        </is>
      </c>
      <c r="O1153" s="23" t="inlineStr">
        <is>
          <t>R812-v2</t>
        </is>
      </c>
      <c r="P1153" s="23" t="inlineStr"/>
      <c r="Q1153" s="23" t="inlineStr"/>
      <c r="R1153" s="23" t="inlineStr"/>
      <c r="S1153" s="23" t="inlineStr"/>
      <c r="T1153" s="23" t="inlineStr"/>
      <c r="U1153" s="23" t="inlineStr"/>
      <c r="V1153" s="23" t="inlineStr">
        <is>
          <t>WBS Code = 1.5.1</t>
        </is>
      </c>
      <c r="W1153" s="23" t="inlineStr"/>
    </row>
    <row r="1154" ht="49" customHeight="1">
      <c r="A1154" s="23" t="inlineStr">
        <is>
          <t>1.5.1</t>
        </is>
      </c>
      <c r="B1154" s="23" t="inlineStr">
        <is>
          <t>Testing and Commissioning - Test Readiness</t>
        </is>
      </c>
      <c r="C1154" s="23" t="inlineStr">
        <is>
          <t>Contractor Programme</t>
        </is>
      </c>
      <c r="D1154" s="23" t="inlineStr">
        <is>
          <t>SCH-05-094</t>
        </is>
      </c>
      <c r="E1154" s="23" t="inlineStr">
        <is>
          <t>Control Centre: service-readiness review - turnover</t>
        </is>
      </c>
      <c r="F1154" s="23" t="inlineStr">
        <is>
          <t>ONE_TO_ONE</t>
        </is>
      </c>
      <c r="G1154" s="23" t="inlineStr">
        <is>
          <t>RETAINED</t>
        </is>
      </c>
      <c r="H1154" s="23" t="inlineStr">
        <is>
          <t>Carried forward</t>
        </is>
      </c>
      <c r="I1154" s="23" t="inlineStr">
        <is>
          <t>Source assignment -- not individually reviewed</t>
        </is>
      </c>
      <c r="J1154" s="23" t="inlineStr"/>
      <c r="K1154" s="23" t="inlineStr">
        <is>
          <t>Source assignment</t>
        </is>
      </c>
      <c r="L1154" s="23" t="inlineStr"/>
      <c r="M1154" s="23" t="inlineStr">
        <is>
          <t>Contractor Programme Cycle 2</t>
        </is>
      </c>
      <c r="N1154" s="23" t="inlineStr">
        <is>
          <t>Rev 1</t>
        </is>
      </c>
      <c r="O1154" s="23" t="inlineStr">
        <is>
          <t>R814-v2</t>
        </is>
      </c>
      <c r="P1154" s="23" t="inlineStr"/>
      <c r="Q1154" s="23" t="inlineStr"/>
      <c r="R1154" s="23" t="inlineStr"/>
      <c r="S1154" s="23" t="inlineStr"/>
      <c r="T1154" s="23" t="inlineStr"/>
      <c r="U1154" s="23" t="inlineStr"/>
      <c r="V1154" s="23" t="inlineStr">
        <is>
          <t>WBS Code = 1.5.1</t>
        </is>
      </c>
      <c r="W1154" s="23" t="inlineStr"/>
    </row>
    <row r="1155" ht="49" customHeight="1">
      <c r="A1155" s="23" t="inlineStr">
        <is>
          <t>1.5.1</t>
        </is>
      </c>
      <c r="B1155" s="23" t="inlineStr">
        <is>
          <t>Testing and Commissioning - Test Readiness</t>
        </is>
      </c>
      <c r="C1155" s="23" t="inlineStr">
        <is>
          <t>Contractor Programme</t>
        </is>
      </c>
      <c r="D1155" s="23" t="inlineStr">
        <is>
          <t>SCH-05-095</t>
        </is>
      </c>
      <c r="E1155" s="23" t="inlineStr">
        <is>
          <t>Mainline east: station integrated test - release</t>
        </is>
      </c>
      <c r="F1155" s="23" t="inlineStr">
        <is>
          <t>ONE_TO_ONE</t>
        </is>
      </c>
      <c r="G1155" s="23" t="inlineStr">
        <is>
          <t>RETAINED</t>
        </is>
      </c>
      <c r="H1155" s="23" t="inlineStr">
        <is>
          <t>Carried forward</t>
        </is>
      </c>
      <c r="I1155" s="23" t="inlineStr">
        <is>
          <t>Source assignment -- not individually reviewed</t>
        </is>
      </c>
      <c r="J1155" s="23" t="inlineStr"/>
      <c r="K1155" s="23" t="inlineStr">
        <is>
          <t>Source assignment</t>
        </is>
      </c>
      <c r="L1155" s="23" t="inlineStr"/>
      <c r="M1155" s="23" t="inlineStr">
        <is>
          <t>Contractor Programme Cycle 2</t>
        </is>
      </c>
      <c r="N1155" s="23" t="inlineStr">
        <is>
          <t>Rev 1</t>
        </is>
      </c>
      <c r="O1155" s="23" t="inlineStr">
        <is>
          <t>R815-v2</t>
        </is>
      </c>
      <c r="P1155" s="23" t="inlineStr"/>
      <c r="Q1155" s="23" t="inlineStr"/>
      <c r="R1155" s="23" t="inlineStr"/>
      <c r="S1155" s="23" t="inlineStr"/>
      <c r="T1155" s="23" t="inlineStr"/>
      <c r="U1155" s="23" t="inlineStr"/>
      <c r="V1155" s="23" t="inlineStr">
        <is>
          <t>WBS Code = 1.5.1</t>
        </is>
      </c>
      <c r="W1155" s="23" t="inlineStr"/>
    </row>
    <row r="1156" ht="49" customHeight="1">
      <c r="A1156" s="23" t="inlineStr">
        <is>
          <t>1.5.1</t>
        </is>
      </c>
      <c r="B1156" s="23" t="inlineStr">
        <is>
          <t>Testing and Commissioning - Test Readiness</t>
        </is>
      </c>
      <c r="C1156" s="23" t="inlineStr">
        <is>
          <t>Contractor Programme</t>
        </is>
      </c>
      <c r="D1156" s="23" t="inlineStr">
        <is>
          <t>SCH-05-097</t>
        </is>
      </c>
      <c r="E1156" s="23" t="inlineStr">
        <is>
          <t>West terminal: test procedure readiness review - installation</t>
        </is>
      </c>
      <c r="F1156" s="23" t="inlineStr">
        <is>
          <t>ONE_TO_ONE</t>
        </is>
      </c>
      <c r="G1156" s="23" t="inlineStr">
        <is>
          <t>RETAINED</t>
        </is>
      </c>
      <c r="H1156" s="23" t="inlineStr">
        <is>
          <t>Carried forward</t>
        </is>
      </c>
      <c r="I1156" s="23" t="inlineStr">
        <is>
          <t>Source assignment -- not individually reviewed</t>
        </is>
      </c>
      <c r="J1156" s="23" t="inlineStr"/>
      <c r="K1156" s="23" t="inlineStr">
        <is>
          <t>Source assignment</t>
        </is>
      </c>
      <c r="L1156" s="23" t="inlineStr"/>
      <c r="M1156" s="23" t="inlineStr">
        <is>
          <t>Contractor Programme Cycle 2</t>
        </is>
      </c>
      <c r="N1156" s="23" t="inlineStr">
        <is>
          <t>Rev 1</t>
        </is>
      </c>
      <c r="O1156" s="23" t="inlineStr">
        <is>
          <t>R817-v2</t>
        </is>
      </c>
      <c r="P1156" s="23" t="inlineStr"/>
      <c r="Q1156" s="23" t="inlineStr"/>
      <c r="R1156" s="23" t="inlineStr"/>
      <c r="S1156" s="23" t="inlineStr"/>
      <c r="T1156" s="23" t="inlineStr"/>
      <c r="U1156" s="23" t="inlineStr"/>
      <c r="V1156" s="23" t="inlineStr">
        <is>
          <t>WBS Code = 1.5.1</t>
        </is>
      </c>
      <c r="W1156" s="23" t="inlineStr"/>
    </row>
    <row r="1157" ht="49" customHeight="1">
      <c r="A1157" s="23" t="inlineStr">
        <is>
          <t>1.5.1</t>
        </is>
      </c>
      <c r="B1157" s="23" t="inlineStr">
        <is>
          <t>Testing and Commissioning - Test Readiness</t>
        </is>
      </c>
      <c r="C1157" s="23" t="inlineStr">
        <is>
          <t>Contractor Programme</t>
        </is>
      </c>
      <c r="D1157" s="23" t="inlineStr">
        <is>
          <t>SCH-05-098</t>
        </is>
      </c>
      <c r="E1157" s="23" t="inlineStr">
        <is>
          <t>Depot: emergency-response drill - inspection</t>
        </is>
      </c>
      <c r="F1157" s="23" t="inlineStr">
        <is>
          <t>ONE_TO_ONE</t>
        </is>
      </c>
      <c r="G1157" s="23" t="inlineStr">
        <is>
          <t>RETAINED</t>
        </is>
      </c>
      <c r="H1157" s="23" t="inlineStr">
        <is>
          <t>Carried forward</t>
        </is>
      </c>
      <c r="I1157" s="23" t="inlineStr">
        <is>
          <t>Source assignment -- not individually reviewed</t>
        </is>
      </c>
      <c r="J1157" s="23" t="inlineStr"/>
      <c r="K1157" s="23" t="inlineStr">
        <is>
          <t>Source assignment</t>
        </is>
      </c>
      <c r="L1157" s="23" t="inlineStr"/>
      <c r="M1157" s="23" t="inlineStr">
        <is>
          <t>Contractor Programme Cycle 2</t>
        </is>
      </c>
      <c r="N1157" s="23" t="inlineStr">
        <is>
          <t>Rev 1</t>
        </is>
      </c>
      <c r="O1157" s="23" t="inlineStr">
        <is>
          <t>R818-v2</t>
        </is>
      </c>
      <c r="P1157" s="23" t="inlineStr"/>
      <c r="Q1157" s="23" t="inlineStr"/>
      <c r="R1157" s="23" t="inlineStr"/>
      <c r="S1157" s="23" t="inlineStr"/>
      <c r="T1157" s="23" t="inlineStr"/>
      <c r="U1157" s="23" t="inlineStr"/>
      <c r="V1157" s="23" t="inlineStr">
        <is>
          <t>WBS Code = 1.5.1</t>
        </is>
      </c>
      <c r="W1157" s="23" t="inlineStr"/>
    </row>
    <row r="1158" ht="49" customHeight="1">
      <c r="A1158" s="23" t="inlineStr">
        <is>
          <t>1.5.1</t>
        </is>
      </c>
      <c r="B1158" s="23" t="inlineStr">
        <is>
          <t>Testing and Commissioning - Test Readiness</t>
        </is>
      </c>
      <c r="C1158" s="23" t="inlineStr">
        <is>
          <t>Contractor Programme</t>
        </is>
      </c>
      <c r="D1158" s="23" t="inlineStr">
        <is>
          <t>SCH-05-100</t>
        </is>
      </c>
      <c r="E1158" s="23" t="inlineStr">
        <is>
          <t>Mainline east: mainline dynamic test - release</t>
        </is>
      </c>
      <c r="F1158" s="23" t="inlineStr">
        <is>
          <t>ONE_TO_ONE</t>
        </is>
      </c>
      <c r="G1158" s="23" t="inlineStr">
        <is>
          <t>RETAINED</t>
        </is>
      </c>
      <c r="H1158" s="23" t="inlineStr">
        <is>
          <t>Carried forward</t>
        </is>
      </c>
      <c r="I1158" s="23" t="inlineStr">
        <is>
          <t>Source assignment -- not individually reviewed</t>
        </is>
      </c>
      <c r="J1158" s="23" t="inlineStr"/>
      <c r="K1158" s="23" t="inlineStr">
        <is>
          <t>Source assignment</t>
        </is>
      </c>
      <c r="L1158" s="23" t="inlineStr"/>
      <c r="M1158" s="23" t="inlineStr">
        <is>
          <t>Contractor Programme Cycle 2</t>
        </is>
      </c>
      <c r="N1158" s="23" t="inlineStr">
        <is>
          <t>Rev 1</t>
        </is>
      </c>
      <c r="O1158" s="23" t="inlineStr">
        <is>
          <t>R820-v2</t>
        </is>
      </c>
      <c r="P1158" s="23" t="inlineStr"/>
      <c r="Q1158" s="23" t="inlineStr"/>
      <c r="R1158" s="23" t="inlineStr"/>
      <c r="S1158" s="23" t="inlineStr"/>
      <c r="T1158" s="23" t="inlineStr"/>
      <c r="U1158" s="23" t="inlineStr"/>
      <c r="V1158" s="23" t="inlineStr">
        <is>
          <t>WBS Code = 1.5.1</t>
        </is>
      </c>
      <c r="W1158" s="23" t="inlineStr"/>
    </row>
    <row r="1159" ht="49" customHeight="1">
      <c r="A1159" s="23" t="inlineStr">
        <is>
          <t>1.5.1</t>
        </is>
      </c>
      <c r="B1159" s="23" t="inlineStr">
        <is>
          <t>Testing and Commissioning - Test Readiness</t>
        </is>
      </c>
      <c r="C1159" s="23" t="inlineStr">
        <is>
          <t>Contractor Programme</t>
        </is>
      </c>
      <c r="D1159" s="23" t="inlineStr">
        <is>
          <t>SCH-05-101</t>
        </is>
      </c>
      <c r="E1159" s="23" t="inlineStr">
        <is>
          <t>Central section: safety certificate evidence closeout - field start</t>
        </is>
      </c>
      <c r="F1159" s="23" t="inlineStr">
        <is>
          <t>ONE_TO_ONE</t>
        </is>
      </c>
      <c r="G1159" s="23" t="inlineStr">
        <is>
          <t>RETAINED</t>
        </is>
      </c>
      <c r="H1159" s="23" t="inlineStr">
        <is>
          <t>Carried forward</t>
        </is>
      </c>
      <c r="I1159" s="23" t="inlineStr">
        <is>
          <t>Source assignment -- not individually reviewed</t>
        </is>
      </c>
      <c r="J1159" s="23" t="inlineStr"/>
      <c r="K1159" s="23" t="inlineStr">
        <is>
          <t>Source assignment</t>
        </is>
      </c>
      <c r="L1159" s="23" t="inlineStr"/>
      <c r="M1159" s="23" t="inlineStr">
        <is>
          <t>Contractor Programme Cycle 2</t>
        </is>
      </c>
      <c r="N1159" s="23" t="inlineStr">
        <is>
          <t>Rev 1</t>
        </is>
      </c>
      <c r="O1159" s="23" t="inlineStr">
        <is>
          <t>R821-v2</t>
        </is>
      </c>
      <c r="P1159" s="23" t="inlineStr"/>
      <c r="Q1159" s="23" t="inlineStr"/>
      <c r="R1159" s="23" t="inlineStr"/>
      <c r="S1159" s="23" t="inlineStr"/>
      <c r="T1159" s="23" t="inlineStr"/>
      <c r="U1159" s="23" t="inlineStr"/>
      <c r="V1159" s="23" t="inlineStr">
        <is>
          <t>WBS Code = 1.5.1</t>
        </is>
      </c>
      <c r="W1159" s="23" t="inlineStr"/>
    </row>
    <row r="1160" ht="49" customHeight="1">
      <c r="A1160" s="23" t="inlineStr">
        <is>
          <t>1.5.1</t>
        </is>
      </c>
      <c r="B1160" s="23" t="inlineStr">
        <is>
          <t>Testing and Commissioning - Test Readiness</t>
        </is>
      </c>
      <c r="C1160" s="23" t="inlineStr">
        <is>
          <t>Contractor Programme</t>
        </is>
      </c>
      <c r="D1160" s="23" t="inlineStr">
        <is>
          <t>SCH-05-103</t>
        </is>
      </c>
      <c r="E1160" s="23" t="inlineStr">
        <is>
          <t>Depot: station integrated test - inspection</t>
        </is>
      </c>
      <c r="F1160" s="23" t="inlineStr">
        <is>
          <t>ONE_TO_ONE</t>
        </is>
      </c>
      <c r="G1160" s="23" t="inlineStr">
        <is>
          <t>RETAINED</t>
        </is>
      </c>
      <c r="H1160" s="23" t="inlineStr">
        <is>
          <t>Carried forward</t>
        </is>
      </c>
      <c r="I1160" s="23" t="inlineStr">
        <is>
          <t>Source assignment -- not individually reviewed</t>
        </is>
      </c>
      <c r="J1160" s="23" t="inlineStr"/>
      <c r="K1160" s="23" t="inlineStr">
        <is>
          <t>Source assignment</t>
        </is>
      </c>
      <c r="L1160" s="23" t="inlineStr"/>
      <c r="M1160" s="23" t="inlineStr">
        <is>
          <t>Contractor Programme Cycle 2</t>
        </is>
      </c>
      <c r="N1160" s="23" t="inlineStr">
        <is>
          <t>Rev 1</t>
        </is>
      </c>
      <c r="O1160" s="23" t="inlineStr">
        <is>
          <t>R823-v2</t>
        </is>
      </c>
      <c r="P1160" s="23" t="inlineStr"/>
      <c r="Q1160" s="23" t="inlineStr"/>
      <c r="R1160" s="23" t="inlineStr"/>
      <c r="S1160" s="23" t="inlineStr"/>
      <c r="T1160" s="23" t="inlineStr"/>
      <c r="U1160" s="23" t="inlineStr"/>
      <c r="V1160" s="23" t="inlineStr">
        <is>
          <t>WBS Code = 1.5.1</t>
        </is>
      </c>
      <c r="W1160" s="23" t="inlineStr"/>
    </row>
    <row r="1161" ht="49" customHeight="1">
      <c r="A1161" s="23" t="inlineStr">
        <is>
          <t>1.5.1</t>
        </is>
      </c>
      <c r="B1161" s="23" t="inlineStr">
        <is>
          <t>Testing and Commissioning - Test Readiness</t>
        </is>
      </c>
      <c r="C1161" s="23" t="inlineStr">
        <is>
          <t>Contractor Programme</t>
        </is>
      </c>
      <c r="D1161" s="23" t="inlineStr">
        <is>
          <t>SCH-05-104</t>
        </is>
      </c>
      <c r="E1161" s="23" t="inlineStr">
        <is>
          <t>Control Centre: trial-running shift - turnover</t>
        </is>
      </c>
      <c r="F1161" s="23" t="inlineStr">
        <is>
          <t>ONE_TO_ONE</t>
        </is>
      </c>
      <c r="G1161" s="23" t="inlineStr">
        <is>
          <t>RETAINED</t>
        </is>
      </c>
      <c r="H1161" s="23" t="inlineStr">
        <is>
          <t>Carried forward</t>
        </is>
      </c>
      <c r="I1161" s="23" t="inlineStr">
        <is>
          <t>Source assignment -- not individually reviewed</t>
        </is>
      </c>
      <c r="J1161" s="23" t="inlineStr"/>
      <c r="K1161" s="23" t="inlineStr">
        <is>
          <t>Source assignment</t>
        </is>
      </c>
      <c r="L1161" s="23" t="inlineStr"/>
      <c r="M1161" s="23" t="inlineStr">
        <is>
          <t>Contractor Programme Cycle 2</t>
        </is>
      </c>
      <c r="N1161" s="23" t="inlineStr">
        <is>
          <t>Rev 1</t>
        </is>
      </c>
      <c r="O1161" s="23" t="inlineStr">
        <is>
          <t>R824-v2</t>
        </is>
      </c>
      <c r="P1161" s="23" t="inlineStr"/>
      <c r="Q1161" s="23" t="inlineStr"/>
      <c r="R1161" s="23" t="inlineStr"/>
      <c r="S1161" s="23" t="inlineStr"/>
      <c r="T1161" s="23" t="inlineStr"/>
      <c r="U1161" s="23" t="inlineStr"/>
      <c r="V1161" s="23" t="inlineStr">
        <is>
          <t>WBS Code = 1.5.1</t>
        </is>
      </c>
      <c r="W1161" s="23" t="inlineStr"/>
    </row>
    <row r="1162" ht="49" customHeight="1">
      <c r="A1162" s="23" t="inlineStr">
        <is>
          <t>1.5.1</t>
        </is>
      </c>
      <c r="B1162" s="23" t="inlineStr">
        <is>
          <t>Testing and Commissioning - Test Readiness</t>
        </is>
      </c>
      <c r="C1162" s="23" t="inlineStr">
        <is>
          <t>Contractor Programme</t>
        </is>
      </c>
      <c r="D1162" s="23" t="inlineStr">
        <is>
          <t>SCH-05-106</t>
        </is>
      </c>
      <c r="E1162" s="23" t="inlineStr">
        <is>
          <t>Central section: emergency-response drill - field start</t>
        </is>
      </c>
      <c r="F1162" s="23" t="inlineStr">
        <is>
          <t>ONE_TO_ONE</t>
        </is>
      </c>
      <c r="G1162" s="23" t="inlineStr">
        <is>
          <t>RETAINED</t>
        </is>
      </c>
      <c r="H1162" s="23" t="inlineStr">
        <is>
          <t>Carried forward</t>
        </is>
      </c>
      <c r="I1162" s="23" t="inlineStr">
        <is>
          <t>Source assignment -- not individually reviewed</t>
        </is>
      </c>
      <c r="J1162" s="23" t="inlineStr"/>
      <c r="K1162" s="23" t="inlineStr">
        <is>
          <t>Source assignment</t>
        </is>
      </c>
      <c r="L1162" s="23" t="inlineStr"/>
      <c r="M1162" s="23" t="inlineStr">
        <is>
          <t>Contractor Programme Cycle 2</t>
        </is>
      </c>
      <c r="N1162" s="23" t="inlineStr">
        <is>
          <t>Rev 1</t>
        </is>
      </c>
      <c r="O1162" s="23" t="inlineStr">
        <is>
          <t>R826-v2</t>
        </is>
      </c>
      <c r="P1162" s="23" t="inlineStr"/>
      <c r="Q1162" s="23" t="inlineStr"/>
      <c r="R1162" s="23" t="inlineStr"/>
      <c r="S1162" s="23" t="inlineStr"/>
      <c r="T1162" s="23" t="inlineStr"/>
      <c r="U1162" s="23" t="inlineStr"/>
      <c r="V1162" s="23" t="inlineStr">
        <is>
          <t>WBS Code = 1.5.1</t>
        </is>
      </c>
      <c r="W1162" s="23" t="inlineStr"/>
    </row>
    <row r="1163" ht="49" customHeight="1">
      <c r="A1163" s="23" t="inlineStr">
        <is>
          <t>1.5.1</t>
        </is>
      </c>
      <c r="B1163" s="23" t="inlineStr">
        <is>
          <t>Testing and Commissioning - Test Readiness</t>
        </is>
      </c>
      <c r="C1163" s="23" t="inlineStr">
        <is>
          <t>Contractor Programme</t>
        </is>
      </c>
      <c r="D1163" s="23" t="inlineStr">
        <is>
          <t>SCH-05-107</t>
        </is>
      </c>
      <c r="E1163" s="23" t="inlineStr">
        <is>
          <t>West terminal: defect retest - installation</t>
        </is>
      </c>
      <c r="F1163" s="23" t="inlineStr">
        <is>
          <t>ONE_TO_ONE</t>
        </is>
      </c>
      <c r="G1163" s="23" t="inlineStr">
        <is>
          <t>RETAINED</t>
        </is>
      </c>
      <c r="H1163" s="23" t="inlineStr">
        <is>
          <t>Carried forward</t>
        </is>
      </c>
      <c r="I1163" s="23" t="inlineStr">
        <is>
          <t>Source assignment -- not individually reviewed</t>
        </is>
      </c>
      <c r="J1163" s="23" t="inlineStr"/>
      <c r="K1163" s="23" t="inlineStr">
        <is>
          <t>Source assignment</t>
        </is>
      </c>
      <c r="L1163" s="23" t="inlineStr"/>
      <c r="M1163" s="23" t="inlineStr">
        <is>
          <t>Contractor Programme Cycle 2</t>
        </is>
      </c>
      <c r="N1163" s="23" t="inlineStr">
        <is>
          <t>Rev 1</t>
        </is>
      </c>
      <c r="O1163" s="23" t="inlineStr">
        <is>
          <t>R827-v2</t>
        </is>
      </c>
      <c r="P1163" s="23" t="inlineStr"/>
      <c r="Q1163" s="23" t="inlineStr"/>
      <c r="R1163" s="23" t="inlineStr"/>
      <c r="S1163" s="23" t="inlineStr"/>
      <c r="T1163" s="23" t="inlineStr"/>
      <c r="U1163" s="23" t="inlineStr"/>
      <c r="V1163" s="23" t="inlineStr">
        <is>
          <t>WBS Code = 1.5.1</t>
        </is>
      </c>
      <c r="W1163" s="23" t="inlineStr"/>
    </row>
    <row r="1164" ht="49" customHeight="1">
      <c r="A1164" s="23" t="inlineStr">
        <is>
          <t>1.5.1</t>
        </is>
      </c>
      <c r="B1164" s="23" t="inlineStr">
        <is>
          <t>Testing and Commissioning - Test Readiness</t>
        </is>
      </c>
      <c r="C1164" s="23" t="inlineStr">
        <is>
          <t>Contractor Programme</t>
        </is>
      </c>
      <c r="D1164" s="23" t="inlineStr">
        <is>
          <t>SCH-05-109</t>
        </is>
      </c>
      <c r="E1164" s="23" t="inlineStr">
        <is>
          <t>Control Centre: safety certificate evidence closeout - turnover</t>
        </is>
      </c>
      <c r="F1164" s="23" t="inlineStr">
        <is>
          <t>ONE_TO_ONE</t>
        </is>
      </c>
      <c r="G1164" s="23" t="inlineStr">
        <is>
          <t>RETAINED</t>
        </is>
      </c>
      <c r="H1164" s="23" t="inlineStr">
        <is>
          <t>Carried forward</t>
        </is>
      </c>
      <c r="I1164" s="23" t="inlineStr">
        <is>
          <t>Source assignment -- not individually reviewed</t>
        </is>
      </c>
      <c r="J1164" s="23" t="inlineStr"/>
      <c r="K1164" s="23" t="inlineStr">
        <is>
          <t>Source assignment</t>
        </is>
      </c>
      <c r="L1164" s="23" t="inlineStr"/>
      <c r="M1164" s="23" t="inlineStr">
        <is>
          <t>Contractor Programme Cycle 2</t>
        </is>
      </c>
      <c r="N1164" s="23" t="inlineStr">
        <is>
          <t>Rev 1</t>
        </is>
      </c>
      <c r="O1164" s="23" t="inlineStr">
        <is>
          <t>R829-v2</t>
        </is>
      </c>
      <c r="P1164" s="23" t="inlineStr"/>
      <c r="Q1164" s="23" t="inlineStr"/>
      <c r="R1164" s="23" t="inlineStr"/>
      <c r="S1164" s="23" t="inlineStr"/>
      <c r="T1164" s="23" t="inlineStr"/>
      <c r="U1164" s="23" t="inlineStr"/>
      <c r="V1164" s="23" t="inlineStr">
        <is>
          <t>WBS Code = 1.5.1</t>
        </is>
      </c>
      <c r="W1164" s="23" t="inlineStr"/>
    </row>
    <row r="1165" ht="49" customHeight="1">
      <c r="A1165" s="23" t="inlineStr">
        <is>
          <t>1.5.1</t>
        </is>
      </c>
      <c r="B1165" s="23" t="inlineStr">
        <is>
          <t>Testing and Commissioning - Test Readiness</t>
        </is>
      </c>
      <c r="C1165" s="23" t="inlineStr">
        <is>
          <t>Contractor Programme</t>
        </is>
      </c>
      <c r="D1165" s="23" t="inlineStr">
        <is>
          <t>SCH-05-110</t>
        </is>
      </c>
      <c r="E1165" s="23" t="inlineStr">
        <is>
          <t>Mainline east: service-readiness review - release</t>
        </is>
      </c>
      <c r="F1165" s="23" t="inlineStr">
        <is>
          <t>ONE_TO_ONE</t>
        </is>
      </c>
      <c r="G1165" s="23" t="inlineStr">
        <is>
          <t>RETAINED</t>
        </is>
      </c>
      <c r="H1165" s="23" t="inlineStr">
        <is>
          <t>Carried forward</t>
        </is>
      </c>
      <c r="I1165" s="23" t="inlineStr">
        <is>
          <t>Source assignment -- not individually reviewed</t>
        </is>
      </c>
      <c r="J1165" s="23" t="inlineStr"/>
      <c r="K1165" s="23" t="inlineStr">
        <is>
          <t>Source assignment</t>
        </is>
      </c>
      <c r="L1165" s="23" t="inlineStr"/>
      <c r="M1165" s="23" t="inlineStr">
        <is>
          <t>Contractor Programme Cycle 2</t>
        </is>
      </c>
      <c r="N1165" s="23" t="inlineStr">
        <is>
          <t>Rev 1</t>
        </is>
      </c>
      <c r="O1165" s="23" t="inlineStr">
        <is>
          <t>R830-v2</t>
        </is>
      </c>
      <c r="P1165" s="23" t="inlineStr"/>
      <c r="Q1165" s="23" t="inlineStr"/>
      <c r="R1165" s="23" t="inlineStr"/>
      <c r="S1165" s="23" t="inlineStr"/>
      <c r="T1165" s="23" t="inlineStr"/>
      <c r="U1165" s="23" t="inlineStr"/>
      <c r="V1165" s="23" t="inlineStr">
        <is>
          <t>WBS Code = 1.5.1</t>
        </is>
      </c>
      <c r="W1165" s="23" t="inlineStr"/>
    </row>
    <row r="1166" ht="49" customHeight="1">
      <c r="A1166" s="23" t="inlineStr">
        <is>
          <t>1.5.1</t>
        </is>
      </c>
      <c r="B1166" s="23" t="inlineStr">
        <is>
          <t>Testing and Commissioning - Test Readiness</t>
        </is>
      </c>
      <c r="C1166" s="23" t="inlineStr">
        <is>
          <t>Contractor Programme</t>
        </is>
      </c>
      <c r="D1166" s="23" t="inlineStr">
        <is>
          <t>SCH-05-112</t>
        </is>
      </c>
      <c r="E1166" s="23" t="inlineStr">
        <is>
          <t>West terminal: trial-running shift - installation</t>
        </is>
      </c>
      <c r="F1166" s="23" t="inlineStr">
        <is>
          <t>ONE_TO_ONE</t>
        </is>
      </c>
      <c r="G1166" s="23" t="inlineStr">
        <is>
          <t>RETAINED</t>
        </is>
      </c>
      <c r="H1166" s="23" t="inlineStr">
        <is>
          <t>Carried forward</t>
        </is>
      </c>
      <c r="I1166" s="23" t="inlineStr">
        <is>
          <t>Source assignment -- not individually reviewed</t>
        </is>
      </c>
      <c r="J1166" s="23" t="inlineStr"/>
      <c r="K1166" s="23" t="inlineStr">
        <is>
          <t>Source assignment</t>
        </is>
      </c>
      <c r="L1166" s="23" t="inlineStr"/>
      <c r="M1166" s="23" t="inlineStr">
        <is>
          <t>Contractor Programme Cycle 2</t>
        </is>
      </c>
      <c r="N1166" s="23" t="inlineStr">
        <is>
          <t>Rev 1</t>
        </is>
      </c>
      <c r="O1166" s="23" t="inlineStr">
        <is>
          <t>R832-v2</t>
        </is>
      </c>
      <c r="P1166" s="23" t="inlineStr"/>
      <c r="Q1166" s="23" t="inlineStr"/>
      <c r="R1166" s="23" t="inlineStr"/>
      <c r="S1166" s="23" t="inlineStr"/>
      <c r="T1166" s="23" t="inlineStr"/>
      <c r="U1166" s="23" t="inlineStr"/>
      <c r="V1166" s="23" t="inlineStr">
        <is>
          <t>WBS Code = 1.5.1</t>
        </is>
      </c>
      <c r="W1166" s="23" t="inlineStr"/>
    </row>
    <row r="1167" ht="49" customHeight="1">
      <c r="A1167" s="23" t="inlineStr">
        <is>
          <t>1.5.1</t>
        </is>
      </c>
      <c r="B1167" s="23" t="inlineStr">
        <is>
          <t>Testing and Commissioning - Test Readiness</t>
        </is>
      </c>
      <c r="C1167" s="23" t="inlineStr">
        <is>
          <t>Contractor Programme</t>
        </is>
      </c>
      <c r="D1167" s="23" t="inlineStr">
        <is>
          <t>SCH-05-113</t>
        </is>
      </c>
      <c r="E1167" s="23" t="inlineStr">
        <is>
          <t>Depot: test procedure readiness review - inspection</t>
        </is>
      </c>
      <c r="F1167" s="23" t="inlineStr">
        <is>
          <t>ONE_TO_ONE</t>
        </is>
      </c>
      <c r="G1167" s="23" t="inlineStr">
        <is>
          <t>RETAINED</t>
        </is>
      </c>
      <c r="H1167" s="23" t="inlineStr">
        <is>
          <t>Carried forward</t>
        </is>
      </c>
      <c r="I1167" s="23" t="inlineStr">
        <is>
          <t>Source assignment -- not individually reviewed</t>
        </is>
      </c>
      <c r="J1167" s="23" t="inlineStr"/>
      <c r="K1167" s="23" t="inlineStr">
        <is>
          <t>Source assignment</t>
        </is>
      </c>
      <c r="L1167" s="23" t="inlineStr"/>
      <c r="M1167" s="23" t="inlineStr">
        <is>
          <t>Contractor Programme Cycle 2</t>
        </is>
      </c>
      <c r="N1167" s="23" t="inlineStr">
        <is>
          <t>Rev 1</t>
        </is>
      </c>
      <c r="O1167" s="23" t="inlineStr">
        <is>
          <t>R833-v2</t>
        </is>
      </c>
      <c r="P1167" s="23" t="inlineStr"/>
      <c r="Q1167" s="23" t="inlineStr"/>
      <c r="R1167" s="23" t="inlineStr"/>
      <c r="S1167" s="23" t="inlineStr"/>
      <c r="T1167" s="23" t="inlineStr"/>
      <c r="U1167" s="23" t="inlineStr"/>
      <c r="V1167" s="23" t="inlineStr">
        <is>
          <t>WBS Code = 1.5.1</t>
        </is>
      </c>
      <c r="W1167" s="23" t="inlineStr"/>
    </row>
    <row r="1168" ht="49" customHeight="1">
      <c r="A1168" s="23" t="inlineStr">
        <is>
          <t>1.5.1</t>
        </is>
      </c>
      <c r="B1168" s="23" t="inlineStr">
        <is>
          <t>Testing and Commissioning - Test Readiness</t>
        </is>
      </c>
      <c r="C1168" s="23" t="inlineStr">
        <is>
          <t>Contractor Programme</t>
        </is>
      </c>
      <c r="D1168" s="23" t="inlineStr">
        <is>
          <t>SCH-05-115</t>
        </is>
      </c>
      <c r="E1168" s="23" t="inlineStr">
        <is>
          <t>Mainline east: defect retest - release</t>
        </is>
      </c>
      <c r="F1168" s="23" t="inlineStr">
        <is>
          <t>ONE_TO_ONE</t>
        </is>
      </c>
      <c r="G1168" s="23" t="inlineStr">
        <is>
          <t>RETAINED</t>
        </is>
      </c>
      <c r="H1168" s="23" t="inlineStr">
        <is>
          <t>Carried forward</t>
        </is>
      </c>
      <c r="I1168" s="23" t="inlineStr">
        <is>
          <t>Source assignment -- not individually reviewed</t>
        </is>
      </c>
      <c r="J1168" s="23" t="inlineStr"/>
      <c r="K1168" s="23" t="inlineStr">
        <is>
          <t>Source assignment</t>
        </is>
      </c>
      <c r="L1168" s="23" t="inlineStr"/>
      <c r="M1168" s="23" t="inlineStr">
        <is>
          <t>Contractor Programme Cycle 2</t>
        </is>
      </c>
      <c r="N1168" s="23" t="inlineStr">
        <is>
          <t>Rev 1</t>
        </is>
      </c>
      <c r="O1168" s="23" t="inlineStr">
        <is>
          <t>R835-v2</t>
        </is>
      </c>
      <c r="P1168" s="23" t="inlineStr"/>
      <c r="Q1168" s="23" t="inlineStr"/>
      <c r="R1168" s="23" t="inlineStr"/>
      <c r="S1168" s="23" t="inlineStr"/>
      <c r="T1168" s="23" t="inlineStr"/>
      <c r="U1168" s="23" t="inlineStr"/>
      <c r="V1168" s="23" t="inlineStr">
        <is>
          <t>WBS Code = 1.5.1</t>
        </is>
      </c>
      <c r="W1168" s="23" t="inlineStr"/>
    </row>
    <row r="1169" ht="49" customHeight="1">
      <c r="A1169" s="23" t="inlineStr">
        <is>
          <t>1.5.1</t>
        </is>
      </c>
      <c r="B1169" s="23" t="inlineStr">
        <is>
          <t>Testing and Commissioning - Test Readiness</t>
        </is>
      </c>
      <c r="C1169" s="23" t="inlineStr">
        <is>
          <t>Contractor Programme</t>
        </is>
      </c>
      <c r="D1169" s="23" t="inlineStr">
        <is>
          <t>SCH-05-116</t>
        </is>
      </c>
      <c r="E1169" s="23" t="inlineStr">
        <is>
          <t>Central section: mainline dynamic test - field start</t>
        </is>
      </c>
      <c r="F1169" s="23" t="inlineStr">
        <is>
          <t>ONE_TO_ONE</t>
        </is>
      </c>
      <c r="G1169" s="23" t="inlineStr">
        <is>
          <t>RETAINED</t>
        </is>
      </c>
      <c r="H1169" s="23" t="inlineStr">
        <is>
          <t>Carried forward</t>
        </is>
      </c>
      <c r="I1169" s="23" t="inlineStr">
        <is>
          <t>Source assignment -- not individually reviewed</t>
        </is>
      </c>
      <c r="J1169" s="23" t="inlineStr"/>
      <c r="K1169" s="23" t="inlineStr">
        <is>
          <t>Source assignment</t>
        </is>
      </c>
      <c r="L1169" s="23" t="inlineStr"/>
      <c r="M1169" s="23" t="inlineStr">
        <is>
          <t>Contractor Programme Cycle 2</t>
        </is>
      </c>
      <c r="N1169" s="23" t="inlineStr">
        <is>
          <t>Rev 1</t>
        </is>
      </c>
      <c r="O1169" s="23" t="inlineStr">
        <is>
          <t>R836-v2</t>
        </is>
      </c>
      <c r="P1169" s="23" t="inlineStr"/>
      <c r="Q1169" s="23" t="inlineStr"/>
      <c r="R1169" s="23" t="inlineStr"/>
      <c r="S1169" s="23" t="inlineStr"/>
      <c r="T1169" s="23" t="inlineStr"/>
      <c r="U1169" s="23" t="inlineStr"/>
      <c r="V1169" s="23" t="inlineStr">
        <is>
          <t>WBS Code = 1.5.1</t>
        </is>
      </c>
      <c r="W1169" s="23" t="inlineStr"/>
    </row>
    <row r="1170" ht="49" customHeight="1">
      <c r="A1170" s="23" t="inlineStr">
        <is>
          <t>1.5.1</t>
        </is>
      </c>
      <c r="B1170" s="23" t="inlineStr">
        <is>
          <t>Testing and Commissioning - Test Readiness</t>
        </is>
      </c>
      <c r="C1170" s="23" t="inlineStr">
        <is>
          <t>Contractor Programme</t>
        </is>
      </c>
      <c r="D1170" s="23" t="inlineStr">
        <is>
          <t>SCH-05-118</t>
        </is>
      </c>
      <c r="E1170" s="23" t="inlineStr">
        <is>
          <t>Depot: service-readiness review - inspection</t>
        </is>
      </c>
      <c r="F1170" s="23" t="inlineStr">
        <is>
          <t>ONE_TO_ONE</t>
        </is>
      </c>
      <c r="G1170" s="23" t="inlineStr">
        <is>
          <t>RETAINED</t>
        </is>
      </c>
      <c r="H1170" s="23" t="inlineStr">
        <is>
          <t>Carried forward</t>
        </is>
      </c>
      <c r="I1170" s="23" t="inlineStr">
        <is>
          <t>Source assignment -- not individually reviewed</t>
        </is>
      </c>
      <c r="J1170" s="23" t="inlineStr"/>
      <c r="K1170" s="23" t="inlineStr">
        <is>
          <t>Source assignment</t>
        </is>
      </c>
      <c r="L1170" s="23" t="inlineStr"/>
      <c r="M1170" s="23" t="inlineStr">
        <is>
          <t>Contractor Programme Cycle 2</t>
        </is>
      </c>
      <c r="N1170" s="23" t="inlineStr">
        <is>
          <t>Rev 1</t>
        </is>
      </c>
      <c r="O1170" s="23" t="inlineStr">
        <is>
          <t>R838-v2</t>
        </is>
      </c>
      <c r="P1170" s="23" t="inlineStr"/>
      <c r="Q1170" s="23" t="inlineStr"/>
      <c r="R1170" s="23" t="inlineStr"/>
      <c r="S1170" s="23" t="inlineStr"/>
      <c r="T1170" s="23" t="inlineStr"/>
      <c r="U1170" s="23" t="inlineStr"/>
      <c r="V1170" s="23" t="inlineStr">
        <is>
          <t>WBS Code = 1.5.1</t>
        </is>
      </c>
      <c r="W1170" s="23" t="inlineStr"/>
    </row>
    <row r="1171" ht="49" customHeight="1">
      <c r="A1171" s="23" t="inlineStr">
        <is>
          <t>1.5.1</t>
        </is>
      </c>
      <c r="B1171" s="23" t="inlineStr">
        <is>
          <t>Testing and Commissioning - Test Readiness</t>
        </is>
      </c>
      <c r="C1171" s="23" t="inlineStr">
        <is>
          <t>Contractor Programme</t>
        </is>
      </c>
      <c r="D1171" s="23" t="inlineStr">
        <is>
          <t>SCH-05-119</t>
        </is>
      </c>
      <c r="E1171" s="23" t="inlineStr">
        <is>
          <t>Control Centre: station integrated test - turnover</t>
        </is>
      </c>
      <c r="F1171" s="23" t="inlineStr">
        <is>
          <t>ONE_TO_ONE</t>
        </is>
      </c>
      <c r="G1171" s="23" t="inlineStr">
        <is>
          <t>RETAINED</t>
        </is>
      </c>
      <c r="H1171" s="23" t="inlineStr">
        <is>
          <t>Carried forward</t>
        </is>
      </c>
      <c r="I1171" s="23" t="inlineStr">
        <is>
          <t>Source assignment -- not individually reviewed</t>
        </is>
      </c>
      <c r="J1171" s="23" t="inlineStr"/>
      <c r="K1171" s="23" t="inlineStr">
        <is>
          <t>Source assignment</t>
        </is>
      </c>
      <c r="L1171" s="23" t="inlineStr"/>
      <c r="M1171" s="23" t="inlineStr">
        <is>
          <t>Contractor Programme Cycle 2</t>
        </is>
      </c>
      <c r="N1171" s="23" t="inlineStr">
        <is>
          <t>Rev 1</t>
        </is>
      </c>
      <c r="O1171" s="23" t="inlineStr">
        <is>
          <t>R839-v2</t>
        </is>
      </c>
      <c r="P1171" s="23" t="inlineStr"/>
      <c r="Q1171" s="23" t="inlineStr"/>
      <c r="R1171" s="23" t="inlineStr"/>
      <c r="S1171" s="23" t="inlineStr"/>
      <c r="T1171" s="23" t="inlineStr"/>
      <c r="U1171" s="23" t="inlineStr"/>
      <c r="V1171" s="23" t="inlineStr">
        <is>
          <t>WBS Code = 1.5.1</t>
        </is>
      </c>
      <c r="W1171" s="23" t="inlineStr"/>
    </row>
    <row r="1172" ht="49" customHeight="1">
      <c r="A1172" s="23" t="inlineStr">
        <is>
          <t>1.5.1</t>
        </is>
      </c>
      <c r="B1172" s="23" t="inlineStr">
        <is>
          <t>Testing and Commissioning - Test Readiness</t>
        </is>
      </c>
      <c r="C1172" s="23" t="inlineStr">
        <is>
          <t>Contractor Programme</t>
        </is>
      </c>
      <c r="D1172" s="23" t="inlineStr">
        <is>
          <t>SCH-05-121</t>
        </is>
      </c>
      <c r="E1172" s="23" t="inlineStr">
        <is>
          <t>Central section: test procedure readiness review - field start</t>
        </is>
      </c>
      <c r="F1172" s="23" t="inlineStr">
        <is>
          <t>ONE_TO_ONE</t>
        </is>
      </c>
      <c r="G1172" s="23" t="inlineStr">
        <is>
          <t>RETAINED</t>
        </is>
      </c>
      <c r="H1172" s="23" t="inlineStr">
        <is>
          <t>Carried forward</t>
        </is>
      </c>
      <c r="I1172" s="23" t="inlineStr">
        <is>
          <t>Source assignment -- not individually reviewed</t>
        </is>
      </c>
      <c r="J1172" s="23" t="inlineStr"/>
      <c r="K1172" s="23" t="inlineStr">
        <is>
          <t>Source assignment</t>
        </is>
      </c>
      <c r="L1172" s="23" t="inlineStr"/>
      <c r="M1172" s="23" t="inlineStr">
        <is>
          <t>Contractor Programme Cycle 2</t>
        </is>
      </c>
      <c r="N1172" s="23" t="inlineStr">
        <is>
          <t>Rev 1</t>
        </is>
      </c>
      <c r="O1172" s="23" t="inlineStr">
        <is>
          <t>R841-v2</t>
        </is>
      </c>
      <c r="P1172" s="23" t="inlineStr"/>
      <c r="Q1172" s="23" t="inlineStr"/>
      <c r="R1172" s="23" t="inlineStr"/>
      <c r="S1172" s="23" t="inlineStr"/>
      <c r="T1172" s="23" t="inlineStr"/>
      <c r="U1172" s="23" t="inlineStr"/>
      <c r="V1172" s="23" t="inlineStr">
        <is>
          <t>WBS Code = 1.5.1</t>
        </is>
      </c>
      <c r="W1172" s="23" t="inlineStr"/>
    </row>
    <row r="1173" ht="49" customHeight="1">
      <c r="A1173" s="23" t="inlineStr">
        <is>
          <t>1.5.1</t>
        </is>
      </c>
      <c r="B1173" s="23" t="inlineStr">
        <is>
          <t>Testing and Commissioning - Test Readiness</t>
        </is>
      </c>
      <c r="C1173" s="23" t="inlineStr">
        <is>
          <t>Contractor Programme</t>
        </is>
      </c>
      <c r="D1173" s="23" t="inlineStr">
        <is>
          <t>SCH-05-122</t>
        </is>
      </c>
      <c r="E1173" s="23" t="inlineStr">
        <is>
          <t>West terminal: emergency-response drill - installation</t>
        </is>
      </c>
      <c r="F1173" s="23" t="inlineStr">
        <is>
          <t>ONE_TO_ONE</t>
        </is>
      </c>
      <c r="G1173" s="23" t="inlineStr">
        <is>
          <t>RETAINED</t>
        </is>
      </c>
      <c r="H1173" s="23" t="inlineStr">
        <is>
          <t>Carried forward</t>
        </is>
      </c>
      <c r="I1173" s="23" t="inlineStr">
        <is>
          <t>Source assignment -- not individually reviewed</t>
        </is>
      </c>
      <c r="J1173" s="23" t="inlineStr"/>
      <c r="K1173" s="23" t="inlineStr">
        <is>
          <t>Source assignment</t>
        </is>
      </c>
      <c r="L1173" s="23" t="inlineStr"/>
      <c r="M1173" s="23" t="inlineStr">
        <is>
          <t>Contractor Programme Cycle 2</t>
        </is>
      </c>
      <c r="N1173" s="23" t="inlineStr">
        <is>
          <t>Rev 1</t>
        </is>
      </c>
      <c r="O1173" s="23" t="inlineStr">
        <is>
          <t>R842-v2</t>
        </is>
      </c>
      <c r="P1173" s="23" t="inlineStr"/>
      <c r="Q1173" s="23" t="inlineStr"/>
      <c r="R1173" s="23" t="inlineStr"/>
      <c r="S1173" s="23" t="inlineStr"/>
      <c r="T1173" s="23" t="inlineStr"/>
      <c r="U1173" s="23" t="inlineStr"/>
      <c r="V1173" s="23" t="inlineStr">
        <is>
          <t>WBS Code = 1.5.1</t>
        </is>
      </c>
      <c r="W1173" s="23" t="inlineStr"/>
    </row>
    <row r="1174" ht="49" customHeight="1">
      <c r="A1174" s="23" t="inlineStr">
        <is>
          <t>1.5.1</t>
        </is>
      </c>
      <c r="B1174" s="23" t="inlineStr">
        <is>
          <t>Testing and Commissioning - Test Readiness</t>
        </is>
      </c>
      <c r="C1174" s="23" t="inlineStr">
        <is>
          <t>Contractor Programme</t>
        </is>
      </c>
      <c r="D1174" s="23" t="inlineStr">
        <is>
          <t>SCH-05-124</t>
        </is>
      </c>
      <c r="E1174" s="23" t="inlineStr">
        <is>
          <t>Control Centre: mainline dynamic test - turnover</t>
        </is>
      </c>
      <c r="F1174" s="23" t="inlineStr">
        <is>
          <t>ONE_TO_ONE</t>
        </is>
      </c>
      <c r="G1174" s="23" t="inlineStr">
        <is>
          <t>RETAINED</t>
        </is>
      </c>
      <c r="H1174" s="23" t="inlineStr">
        <is>
          <t>Carried forward</t>
        </is>
      </c>
      <c r="I1174" s="23" t="inlineStr">
        <is>
          <t>Source assignment -- not individually reviewed</t>
        </is>
      </c>
      <c r="J1174" s="23" t="inlineStr"/>
      <c r="K1174" s="23" t="inlineStr">
        <is>
          <t>Source assignment</t>
        </is>
      </c>
      <c r="L1174" s="23" t="inlineStr"/>
      <c r="M1174" s="23" t="inlineStr">
        <is>
          <t>Contractor Programme Cycle 2</t>
        </is>
      </c>
      <c r="N1174" s="23" t="inlineStr">
        <is>
          <t>Rev 1</t>
        </is>
      </c>
      <c r="O1174" s="23" t="inlineStr">
        <is>
          <t>R844-v2</t>
        </is>
      </c>
      <c r="P1174" s="23" t="inlineStr"/>
      <c r="Q1174" s="23" t="inlineStr"/>
      <c r="R1174" s="23" t="inlineStr"/>
      <c r="S1174" s="23" t="inlineStr"/>
      <c r="T1174" s="23" t="inlineStr"/>
      <c r="U1174" s="23" t="inlineStr"/>
      <c r="V1174" s="23" t="inlineStr">
        <is>
          <t>WBS Code = 1.5.1</t>
        </is>
      </c>
      <c r="W1174" s="23" t="inlineStr"/>
    </row>
    <row r="1175" ht="49" customHeight="1">
      <c r="A1175" s="23" t="inlineStr">
        <is>
          <t>1.5.1</t>
        </is>
      </c>
      <c r="B1175" s="23" t="inlineStr">
        <is>
          <t>Testing and Commissioning - Test Readiness</t>
        </is>
      </c>
      <c r="C1175" s="23" t="inlineStr">
        <is>
          <t>Contractor Programme</t>
        </is>
      </c>
      <c r="D1175" s="23" t="inlineStr">
        <is>
          <t>SCH-05-125</t>
        </is>
      </c>
      <c r="E1175" s="23" t="inlineStr">
        <is>
          <t>Mainline east: safety certificate evidence closeout - release</t>
        </is>
      </c>
      <c r="F1175" s="23" t="inlineStr">
        <is>
          <t>ONE_TO_ONE</t>
        </is>
      </c>
      <c r="G1175" s="23" t="inlineStr">
        <is>
          <t>RETAINED</t>
        </is>
      </c>
      <c r="H1175" s="23" t="inlineStr">
        <is>
          <t>Carried forward</t>
        </is>
      </c>
      <c r="I1175" s="23" t="inlineStr">
        <is>
          <t>Source assignment -- not individually reviewed</t>
        </is>
      </c>
      <c r="J1175" s="23" t="inlineStr"/>
      <c r="K1175" s="23" t="inlineStr">
        <is>
          <t>Source assignment</t>
        </is>
      </c>
      <c r="L1175" s="23" t="inlineStr"/>
      <c r="M1175" s="23" t="inlineStr">
        <is>
          <t>Contractor Programme Cycle 2</t>
        </is>
      </c>
      <c r="N1175" s="23" t="inlineStr">
        <is>
          <t>Rev 1</t>
        </is>
      </c>
      <c r="O1175" s="23" t="inlineStr">
        <is>
          <t>R845-v2</t>
        </is>
      </c>
      <c r="P1175" s="23" t="inlineStr"/>
      <c r="Q1175" s="23" t="inlineStr"/>
      <c r="R1175" s="23" t="inlineStr"/>
      <c r="S1175" s="23" t="inlineStr"/>
      <c r="T1175" s="23" t="inlineStr"/>
      <c r="U1175" s="23" t="inlineStr"/>
      <c r="V1175" s="23" t="inlineStr">
        <is>
          <t>WBS Code = 1.5.1</t>
        </is>
      </c>
      <c r="W1175" s="23" t="inlineStr"/>
    </row>
    <row r="1176" ht="49" customHeight="1">
      <c r="A1176" s="23" t="inlineStr">
        <is>
          <t>1.5.1</t>
        </is>
      </c>
      <c r="B1176" s="23" t="inlineStr">
        <is>
          <t>Testing and Commissioning - Test Readiness</t>
        </is>
      </c>
      <c r="C1176" s="23" t="inlineStr">
        <is>
          <t>Contractor Programme</t>
        </is>
      </c>
      <c r="D1176" s="23" t="inlineStr">
        <is>
          <t>SCH-05-127</t>
        </is>
      </c>
      <c r="E1176" s="23" t="inlineStr">
        <is>
          <t>West terminal: station integrated test - installation</t>
        </is>
      </c>
      <c r="F1176" s="23" t="inlineStr">
        <is>
          <t>ONE_TO_ONE</t>
        </is>
      </c>
      <c r="G1176" s="23" t="inlineStr">
        <is>
          <t>RETAINED</t>
        </is>
      </c>
      <c r="H1176" s="23" t="inlineStr">
        <is>
          <t>Carried forward</t>
        </is>
      </c>
      <c r="I1176" s="23" t="inlineStr">
        <is>
          <t>Source assignment -- not individually reviewed</t>
        </is>
      </c>
      <c r="J1176" s="23" t="inlineStr"/>
      <c r="K1176" s="23" t="inlineStr">
        <is>
          <t>Source assignment</t>
        </is>
      </c>
      <c r="L1176" s="23" t="inlineStr"/>
      <c r="M1176" s="23" t="inlineStr">
        <is>
          <t>Contractor Programme Cycle 2</t>
        </is>
      </c>
      <c r="N1176" s="23" t="inlineStr">
        <is>
          <t>Rev 1</t>
        </is>
      </c>
      <c r="O1176" s="23" t="inlineStr">
        <is>
          <t>R847-v2</t>
        </is>
      </c>
      <c r="P1176" s="23" t="inlineStr"/>
      <c r="Q1176" s="23" t="inlineStr"/>
      <c r="R1176" s="23" t="inlineStr"/>
      <c r="S1176" s="23" t="inlineStr"/>
      <c r="T1176" s="23" t="inlineStr"/>
      <c r="U1176" s="23" t="inlineStr"/>
      <c r="V1176" s="23" t="inlineStr">
        <is>
          <t>WBS Code = 1.5.1</t>
        </is>
      </c>
      <c r="W1176" s="23" t="inlineStr"/>
    </row>
    <row r="1177" ht="49" customHeight="1">
      <c r="A1177" s="23" t="inlineStr">
        <is>
          <t>1.5.1</t>
        </is>
      </c>
      <c r="B1177" s="23" t="inlineStr">
        <is>
          <t>Testing and Commissioning - Test Readiness</t>
        </is>
      </c>
      <c r="C1177" s="23" t="inlineStr">
        <is>
          <t>Contractor Programme</t>
        </is>
      </c>
      <c r="D1177" s="23" t="inlineStr">
        <is>
          <t>SCH-05-128</t>
        </is>
      </c>
      <c r="E1177" s="23" t="inlineStr">
        <is>
          <t>Depot: trial-running shift - inspection</t>
        </is>
      </c>
      <c r="F1177" s="23" t="inlineStr">
        <is>
          <t>ONE_TO_ONE</t>
        </is>
      </c>
      <c r="G1177" s="23" t="inlineStr">
        <is>
          <t>RETAINED</t>
        </is>
      </c>
      <c r="H1177" s="23" t="inlineStr">
        <is>
          <t>Carried forward</t>
        </is>
      </c>
      <c r="I1177" s="23" t="inlineStr">
        <is>
          <t>Source assignment -- not individually reviewed</t>
        </is>
      </c>
      <c r="J1177" s="23" t="inlineStr"/>
      <c r="K1177" s="23" t="inlineStr">
        <is>
          <t>Source assignment</t>
        </is>
      </c>
      <c r="L1177" s="23" t="inlineStr"/>
      <c r="M1177" s="23" t="inlineStr">
        <is>
          <t>Contractor Programme Cycle 2</t>
        </is>
      </c>
      <c r="N1177" s="23" t="inlineStr">
        <is>
          <t>Rev 1</t>
        </is>
      </c>
      <c r="O1177" s="23" t="inlineStr">
        <is>
          <t>R848-v2</t>
        </is>
      </c>
      <c r="P1177" s="23" t="inlineStr"/>
      <c r="Q1177" s="23" t="inlineStr"/>
      <c r="R1177" s="23" t="inlineStr"/>
      <c r="S1177" s="23" t="inlineStr"/>
      <c r="T1177" s="23" t="inlineStr"/>
      <c r="U1177" s="23" t="inlineStr"/>
      <c r="V1177" s="23" t="inlineStr">
        <is>
          <t>WBS Code = 1.5.1</t>
        </is>
      </c>
      <c r="W1177" s="23" t="inlineStr"/>
    </row>
    <row r="1178" ht="49" customHeight="1">
      <c r="A1178" s="23" t="inlineStr">
        <is>
          <t>1.5.1</t>
        </is>
      </c>
      <c r="B1178" s="23" t="inlineStr">
        <is>
          <t>Testing and Commissioning - Test Readiness</t>
        </is>
      </c>
      <c r="C1178" s="23" t="inlineStr">
        <is>
          <t>Contractor Programme</t>
        </is>
      </c>
      <c r="D1178" s="23" t="inlineStr">
        <is>
          <t>SCH-05-130</t>
        </is>
      </c>
      <c r="E1178" s="23" t="inlineStr">
        <is>
          <t>Mainline east: emergency-response drill - release</t>
        </is>
      </c>
      <c r="F1178" s="23" t="inlineStr">
        <is>
          <t>ONE_TO_ONE</t>
        </is>
      </c>
      <c r="G1178" s="23" t="inlineStr">
        <is>
          <t>RETAINED</t>
        </is>
      </c>
      <c r="H1178" s="23" t="inlineStr">
        <is>
          <t>Carried forward</t>
        </is>
      </c>
      <c r="I1178" s="23" t="inlineStr">
        <is>
          <t>Source assignment -- not individually reviewed</t>
        </is>
      </c>
      <c r="J1178" s="23" t="inlineStr"/>
      <c r="K1178" s="23" t="inlineStr">
        <is>
          <t>Source assignment</t>
        </is>
      </c>
      <c r="L1178" s="23" t="inlineStr"/>
      <c r="M1178" s="23" t="inlineStr">
        <is>
          <t>Contractor Programme Cycle 2</t>
        </is>
      </c>
      <c r="N1178" s="23" t="inlineStr">
        <is>
          <t>Rev 1</t>
        </is>
      </c>
      <c r="O1178" s="23" t="inlineStr">
        <is>
          <t>R850-v2</t>
        </is>
      </c>
      <c r="P1178" s="23" t="inlineStr"/>
      <c r="Q1178" s="23" t="inlineStr"/>
      <c r="R1178" s="23" t="inlineStr"/>
      <c r="S1178" s="23" t="inlineStr"/>
      <c r="T1178" s="23" t="inlineStr"/>
      <c r="U1178" s="23" t="inlineStr"/>
      <c r="V1178" s="23" t="inlineStr">
        <is>
          <t>WBS Code = 1.5.1</t>
        </is>
      </c>
      <c r="W1178" s="23" t="inlineStr"/>
    </row>
    <row r="1179" ht="49" customHeight="1">
      <c r="A1179" s="23" t="inlineStr">
        <is>
          <t>1.5.1</t>
        </is>
      </c>
      <c r="B1179" s="23" t="inlineStr">
        <is>
          <t>Testing and Commissioning - Test Readiness</t>
        </is>
      </c>
      <c r="C1179" s="23" t="inlineStr">
        <is>
          <t>Contractor Programme</t>
        </is>
      </c>
      <c r="D1179" s="23" t="inlineStr">
        <is>
          <t>SCH-05-131</t>
        </is>
      </c>
      <c r="E1179" s="23" t="inlineStr">
        <is>
          <t>Central section: defect retest - field start</t>
        </is>
      </c>
      <c r="F1179" s="23" t="inlineStr">
        <is>
          <t>ONE_TO_ONE</t>
        </is>
      </c>
      <c r="G1179" s="23" t="inlineStr">
        <is>
          <t>RETAINED</t>
        </is>
      </c>
      <c r="H1179" s="23" t="inlineStr">
        <is>
          <t>Carried forward</t>
        </is>
      </c>
      <c r="I1179" s="23" t="inlineStr">
        <is>
          <t>Source assignment -- not individually reviewed</t>
        </is>
      </c>
      <c r="J1179" s="23" t="inlineStr"/>
      <c r="K1179" s="23" t="inlineStr">
        <is>
          <t>Source assignment</t>
        </is>
      </c>
      <c r="L1179" s="23" t="inlineStr"/>
      <c r="M1179" s="23" t="inlineStr">
        <is>
          <t>Contractor Programme Cycle 2</t>
        </is>
      </c>
      <c r="N1179" s="23" t="inlineStr">
        <is>
          <t>Rev 1</t>
        </is>
      </c>
      <c r="O1179" s="23" t="inlineStr">
        <is>
          <t>R851-v2</t>
        </is>
      </c>
      <c r="P1179" s="23" t="inlineStr"/>
      <c r="Q1179" s="23" t="inlineStr"/>
      <c r="R1179" s="23" t="inlineStr"/>
      <c r="S1179" s="23" t="inlineStr"/>
      <c r="T1179" s="23" t="inlineStr"/>
      <c r="U1179" s="23" t="inlineStr"/>
      <c r="V1179" s="23" t="inlineStr">
        <is>
          <t>WBS Code = 1.5.1</t>
        </is>
      </c>
      <c r="W1179" s="23" t="inlineStr"/>
    </row>
    <row r="1180" ht="49" customHeight="1">
      <c r="A1180" s="23" t="inlineStr">
        <is>
          <t>1.5.1</t>
        </is>
      </c>
      <c r="B1180" s="23" t="inlineStr">
        <is>
          <t>Testing and Commissioning - Test Readiness</t>
        </is>
      </c>
      <c r="C1180" s="23" t="inlineStr">
        <is>
          <t>Contractor Programme</t>
        </is>
      </c>
      <c r="D1180" s="23" t="inlineStr">
        <is>
          <t>SCH-05-133</t>
        </is>
      </c>
      <c r="E1180" s="23" t="inlineStr">
        <is>
          <t>Depot: safety certificate evidence closeout - inspection</t>
        </is>
      </c>
      <c r="F1180" s="23" t="inlineStr">
        <is>
          <t>ONE_TO_ONE</t>
        </is>
      </c>
      <c r="G1180" s="23" t="inlineStr">
        <is>
          <t>RETAINED</t>
        </is>
      </c>
      <c r="H1180" s="23" t="inlineStr">
        <is>
          <t>Carried forward</t>
        </is>
      </c>
      <c r="I1180" s="23" t="inlineStr">
        <is>
          <t>Source assignment -- not individually reviewed</t>
        </is>
      </c>
      <c r="J1180" s="23" t="inlineStr"/>
      <c r="K1180" s="23" t="inlineStr">
        <is>
          <t>Source assignment</t>
        </is>
      </c>
      <c r="L1180" s="23" t="inlineStr"/>
      <c r="M1180" s="23" t="inlineStr">
        <is>
          <t>Contractor Programme Cycle 2</t>
        </is>
      </c>
      <c r="N1180" s="23" t="inlineStr">
        <is>
          <t>Rev 1</t>
        </is>
      </c>
      <c r="O1180" s="23" t="inlineStr">
        <is>
          <t>R853-v2</t>
        </is>
      </c>
      <c r="P1180" s="23" t="inlineStr"/>
      <c r="Q1180" s="23" t="inlineStr"/>
      <c r="R1180" s="23" t="inlineStr"/>
      <c r="S1180" s="23" t="inlineStr"/>
      <c r="T1180" s="23" t="inlineStr"/>
      <c r="U1180" s="23" t="inlineStr"/>
      <c r="V1180" s="23" t="inlineStr">
        <is>
          <t>WBS Code = 1.5.1</t>
        </is>
      </c>
      <c r="W1180" s="23" t="inlineStr"/>
    </row>
    <row r="1181" ht="49" customHeight="1">
      <c r="A1181" s="23" t="inlineStr">
        <is>
          <t>1.5.1</t>
        </is>
      </c>
      <c r="B1181" s="23" t="inlineStr">
        <is>
          <t>Testing and Commissioning - Test Readiness</t>
        </is>
      </c>
      <c r="C1181" s="23" t="inlineStr">
        <is>
          <t>Contractor Programme</t>
        </is>
      </c>
      <c r="D1181" s="23" t="inlineStr">
        <is>
          <t>SCH-05-134</t>
        </is>
      </c>
      <c r="E1181" s="23" t="inlineStr">
        <is>
          <t>Control Centre: service-readiness review - turnover</t>
        </is>
      </c>
      <c r="F1181" s="23" t="inlineStr">
        <is>
          <t>ONE_TO_ONE</t>
        </is>
      </c>
      <c r="G1181" s="23" t="inlineStr">
        <is>
          <t>RETAINED</t>
        </is>
      </c>
      <c r="H1181" s="23" t="inlineStr">
        <is>
          <t>Carried forward</t>
        </is>
      </c>
      <c r="I1181" s="23" t="inlineStr">
        <is>
          <t>Source assignment -- not individually reviewed</t>
        </is>
      </c>
      <c r="J1181" s="23" t="inlineStr"/>
      <c r="K1181" s="23" t="inlineStr">
        <is>
          <t>Source assignment</t>
        </is>
      </c>
      <c r="L1181" s="23" t="inlineStr"/>
      <c r="M1181" s="23" t="inlineStr">
        <is>
          <t>Contractor Programme Cycle 2</t>
        </is>
      </c>
      <c r="N1181" s="23" t="inlineStr">
        <is>
          <t>Rev 1</t>
        </is>
      </c>
      <c r="O1181" s="23" t="inlineStr">
        <is>
          <t>R854-v2</t>
        </is>
      </c>
      <c r="P1181" s="23" t="inlineStr"/>
      <c r="Q1181" s="23" t="inlineStr"/>
      <c r="R1181" s="23" t="inlineStr"/>
      <c r="S1181" s="23" t="inlineStr"/>
      <c r="T1181" s="23" t="inlineStr"/>
      <c r="U1181" s="23" t="inlineStr"/>
      <c r="V1181" s="23" t="inlineStr">
        <is>
          <t>WBS Code = 1.5.1</t>
        </is>
      </c>
      <c r="W1181" s="23" t="inlineStr"/>
    </row>
    <row r="1182" ht="49" customHeight="1">
      <c r="A1182" s="23" t="inlineStr">
        <is>
          <t>1.5.1</t>
        </is>
      </c>
      <c r="B1182" s="23" t="inlineStr">
        <is>
          <t>Testing and Commissioning - Test Readiness</t>
        </is>
      </c>
      <c r="C1182" s="23" t="inlineStr">
        <is>
          <t>Contractor Programme</t>
        </is>
      </c>
      <c r="D1182" s="23" t="inlineStr">
        <is>
          <t>SCH-05-136</t>
        </is>
      </c>
      <c r="E1182" s="23" t="inlineStr">
        <is>
          <t>Central section: trial-running shift - field start</t>
        </is>
      </c>
      <c r="F1182" s="23" t="inlineStr">
        <is>
          <t>ONE_TO_ONE</t>
        </is>
      </c>
      <c r="G1182" s="23" t="inlineStr">
        <is>
          <t>RETAINED</t>
        </is>
      </c>
      <c r="H1182" s="23" t="inlineStr">
        <is>
          <t>Carried forward</t>
        </is>
      </c>
      <c r="I1182" s="23" t="inlineStr">
        <is>
          <t>Source assignment -- not individually reviewed</t>
        </is>
      </c>
      <c r="J1182" s="23" t="inlineStr"/>
      <c r="K1182" s="23" t="inlineStr">
        <is>
          <t>Source assignment</t>
        </is>
      </c>
      <c r="L1182" s="23" t="inlineStr"/>
      <c r="M1182" s="23" t="inlineStr">
        <is>
          <t>Contractor Programme Cycle 2</t>
        </is>
      </c>
      <c r="N1182" s="23" t="inlineStr">
        <is>
          <t>Rev 1</t>
        </is>
      </c>
      <c r="O1182" s="23" t="inlineStr">
        <is>
          <t>R856-v2</t>
        </is>
      </c>
      <c r="P1182" s="23" t="inlineStr"/>
      <c r="Q1182" s="23" t="inlineStr"/>
      <c r="R1182" s="23" t="inlineStr"/>
      <c r="S1182" s="23" t="inlineStr"/>
      <c r="T1182" s="23" t="inlineStr"/>
      <c r="U1182" s="23" t="inlineStr"/>
      <c r="V1182" s="23" t="inlineStr">
        <is>
          <t>WBS Code = 1.5.1</t>
        </is>
      </c>
      <c r="W1182" s="23" t="inlineStr"/>
    </row>
    <row r="1183" ht="49" customHeight="1">
      <c r="A1183" s="23" t="inlineStr">
        <is>
          <t>1.5.1</t>
        </is>
      </c>
      <c r="B1183" s="23" t="inlineStr">
        <is>
          <t>Testing and Commissioning - Test Readiness</t>
        </is>
      </c>
      <c r="C1183" s="23" t="inlineStr">
        <is>
          <t>Contractor Programme</t>
        </is>
      </c>
      <c r="D1183" s="23" t="inlineStr">
        <is>
          <t>SCH-05-137</t>
        </is>
      </c>
      <c r="E1183" s="23" t="inlineStr">
        <is>
          <t>West terminal: test procedure readiness review - installation</t>
        </is>
      </c>
      <c r="F1183" s="23" t="inlineStr">
        <is>
          <t>ONE_TO_ONE</t>
        </is>
      </c>
      <c r="G1183" s="23" t="inlineStr">
        <is>
          <t>RETAINED</t>
        </is>
      </c>
      <c r="H1183" s="23" t="inlineStr">
        <is>
          <t>Carried forward</t>
        </is>
      </c>
      <c r="I1183" s="23" t="inlineStr">
        <is>
          <t>Source assignment -- not individually reviewed</t>
        </is>
      </c>
      <c r="J1183" s="23" t="inlineStr"/>
      <c r="K1183" s="23" t="inlineStr">
        <is>
          <t>Source assignment</t>
        </is>
      </c>
      <c r="L1183" s="23" t="inlineStr"/>
      <c r="M1183" s="23" t="inlineStr">
        <is>
          <t>Contractor Programme Cycle 2</t>
        </is>
      </c>
      <c r="N1183" s="23" t="inlineStr">
        <is>
          <t>Rev 1</t>
        </is>
      </c>
      <c r="O1183" s="23" t="inlineStr">
        <is>
          <t>R857-v2</t>
        </is>
      </c>
      <c r="P1183" s="23" t="inlineStr"/>
      <c r="Q1183" s="23" t="inlineStr"/>
      <c r="R1183" s="23" t="inlineStr"/>
      <c r="S1183" s="23" t="inlineStr"/>
      <c r="T1183" s="23" t="inlineStr"/>
      <c r="U1183" s="23" t="inlineStr"/>
      <c r="V1183" s="23" t="inlineStr">
        <is>
          <t>WBS Code = 1.5.1</t>
        </is>
      </c>
      <c r="W1183" s="23" t="inlineStr"/>
    </row>
    <row r="1184" ht="49" customHeight="1">
      <c r="A1184" s="23" t="inlineStr">
        <is>
          <t>1.5.1</t>
        </is>
      </c>
      <c r="B1184" s="23" t="inlineStr">
        <is>
          <t>Testing and Commissioning - Test Readiness</t>
        </is>
      </c>
      <c r="C1184" s="23" t="inlineStr">
        <is>
          <t>Contractor Programme</t>
        </is>
      </c>
      <c r="D1184" s="23" t="inlineStr">
        <is>
          <t>SCH-05-139</t>
        </is>
      </c>
      <c r="E1184" s="23" t="inlineStr">
        <is>
          <t>Control Centre: defect retest - turnover</t>
        </is>
      </c>
      <c r="F1184" s="23" t="inlineStr">
        <is>
          <t>ONE_TO_ONE</t>
        </is>
      </c>
      <c r="G1184" s="23" t="inlineStr">
        <is>
          <t>RETAINED</t>
        </is>
      </c>
      <c r="H1184" s="23" t="inlineStr">
        <is>
          <t>Carried forward</t>
        </is>
      </c>
      <c r="I1184" s="23" t="inlineStr">
        <is>
          <t>Source assignment -- not individually reviewed</t>
        </is>
      </c>
      <c r="J1184" s="23" t="inlineStr"/>
      <c r="K1184" s="23" t="inlineStr">
        <is>
          <t>Source assignment</t>
        </is>
      </c>
      <c r="L1184" s="23" t="inlineStr"/>
      <c r="M1184" s="23" t="inlineStr">
        <is>
          <t>Contractor Programme Cycle 2</t>
        </is>
      </c>
      <c r="N1184" s="23" t="inlineStr">
        <is>
          <t>Rev 1</t>
        </is>
      </c>
      <c r="O1184" s="23" t="inlineStr">
        <is>
          <t>R859-v2</t>
        </is>
      </c>
      <c r="P1184" s="23" t="inlineStr"/>
      <c r="Q1184" s="23" t="inlineStr"/>
      <c r="R1184" s="23" t="inlineStr"/>
      <c r="S1184" s="23" t="inlineStr"/>
      <c r="T1184" s="23" t="inlineStr"/>
      <c r="U1184" s="23" t="inlineStr"/>
      <c r="V1184" s="23" t="inlineStr">
        <is>
          <t>WBS Code = 1.5.1</t>
        </is>
      </c>
      <c r="W1184" s="23" t="inlineStr"/>
    </row>
    <row r="1185" ht="49" customHeight="1">
      <c r="A1185" s="23" t="inlineStr">
        <is>
          <t>1.5.1</t>
        </is>
      </c>
      <c r="B1185" s="23" t="inlineStr">
        <is>
          <t>Testing and Commissioning - Test Readiness</t>
        </is>
      </c>
      <c r="C1185" s="23" t="inlineStr">
        <is>
          <t>Contractor Programme</t>
        </is>
      </c>
      <c r="D1185" s="23" t="inlineStr">
        <is>
          <t>SCH-05-140</t>
        </is>
      </c>
      <c r="E1185" s="23" t="inlineStr">
        <is>
          <t>Mainline east: mainline dynamic test - release</t>
        </is>
      </c>
      <c r="F1185" s="23" t="inlineStr">
        <is>
          <t>ONE_TO_ONE</t>
        </is>
      </c>
      <c r="G1185" s="23" t="inlineStr">
        <is>
          <t>RETAINED</t>
        </is>
      </c>
      <c r="H1185" s="23" t="inlineStr">
        <is>
          <t>Carried forward</t>
        </is>
      </c>
      <c r="I1185" s="23" t="inlineStr">
        <is>
          <t>Source assignment -- not individually reviewed</t>
        </is>
      </c>
      <c r="J1185" s="23" t="inlineStr"/>
      <c r="K1185" s="23" t="inlineStr">
        <is>
          <t>Source assignment</t>
        </is>
      </c>
      <c r="L1185" s="23" t="inlineStr"/>
      <c r="M1185" s="23" t="inlineStr">
        <is>
          <t>Contractor Programme Cycle 2</t>
        </is>
      </c>
      <c r="N1185" s="23" t="inlineStr">
        <is>
          <t>Rev 1</t>
        </is>
      </c>
      <c r="O1185" s="23" t="inlineStr">
        <is>
          <t>R860-v2</t>
        </is>
      </c>
      <c r="P1185" s="23" t="inlineStr"/>
      <c r="Q1185" s="23" t="inlineStr"/>
      <c r="R1185" s="23" t="inlineStr"/>
      <c r="S1185" s="23" t="inlineStr"/>
      <c r="T1185" s="23" t="inlineStr"/>
      <c r="U1185" s="23" t="inlineStr"/>
      <c r="V1185" s="23" t="inlineStr">
        <is>
          <t>WBS Code = 1.5.1</t>
        </is>
      </c>
      <c r="W1185" s="23" t="inlineStr"/>
    </row>
    <row r="1186" ht="49" customHeight="1">
      <c r="A1186" s="23" t="inlineStr">
        <is>
          <t>1.5.1</t>
        </is>
      </c>
      <c r="B1186" s="23" t="inlineStr">
        <is>
          <t>Testing and Commissioning - Test Readiness</t>
        </is>
      </c>
      <c r="C1186" s="23" t="inlineStr">
        <is>
          <t>Contractor Programme</t>
        </is>
      </c>
      <c r="D1186" s="23" t="inlineStr">
        <is>
          <t>SCH-05-142</t>
        </is>
      </c>
      <c r="E1186" s="23" t="inlineStr">
        <is>
          <t>West terminal: service-readiness review - installation</t>
        </is>
      </c>
      <c r="F1186" s="23" t="inlineStr">
        <is>
          <t>ONE_TO_ONE</t>
        </is>
      </c>
      <c r="G1186" s="23" t="inlineStr">
        <is>
          <t>RETAINED</t>
        </is>
      </c>
      <c r="H1186" s="23" t="inlineStr">
        <is>
          <t>Carried forward</t>
        </is>
      </c>
      <c r="I1186" s="23" t="inlineStr">
        <is>
          <t>Source assignment -- not individually reviewed</t>
        </is>
      </c>
      <c r="J1186" s="23" t="inlineStr"/>
      <c r="K1186" s="23" t="inlineStr">
        <is>
          <t>Source assignment</t>
        </is>
      </c>
      <c r="L1186" s="23" t="inlineStr"/>
      <c r="M1186" s="23" t="inlineStr">
        <is>
          <t>Contractor Programme Cycle 2</t>
        </is>
      </c>
      <c r="N1186" s="23" t="inlineStr">
        <is>
          <t>Rev 1</t>
        </is>
      </c>
      <c r="O1186" s="23" t="inlineStr">
        <is>
          <t>R862-v2</t>
        </is>
      </c>
      <c r="P1186" s="23" t="inlineStr"/>
      <c r="Q1186" s="23" t="inlineStr"/>
      <c r="R1186" s="23" t="inlineStr"/>
      <c r="S1186" s="23" t="inlineStr"/>
      <c r="T1186" s="23" t="inlineStr"/>
      <c r="U1186" s="23" t="inlineStr"/>
      <c r="V1186" s="23" t="inlineStr">
        <is>
          <t>WBS Code = 1.5.1</t>
        </is>
      </c>
      <c r="W1186" s="23" t="inlineStr"/>
    </row>
    <row r="1187" ht="49" customHeight="1">
      <c r="A1187" s="23" t="inlineStr">
        <is>
          <t>1.5.1</t>
        </is>
      </c>
      <c r="B1187" s="23" t="inlineStr">
        <is>
          <t>Testing and Commissioning - Test Readiness</t>
        </is>
      </c>
      <c r="C1187" s="23" t="inlineStr">
        <is>
          <t>Contractor Programme</t>
        </is>
      </c>
      <c r="D1187" s="23" t="inlineStr">
        <is>
          <t>SCH-05-143</t>
        </is>
      </c>
      <c r="E1187" s="23" t="inlineStr">
        <is>
          <t>Depot: station integrated test - inspection</t>
        </is>
      </c>
      <c r="F1187" s="23" t="inlineStr">
        <is>
          <t>ONE_TO_ONE</t>
        </is>
      </c>
      <c r="G1187" s="23" t="inlineStr">
        <is>
          <t>RETAINED</t>
        </is>
      </c>
      <c r="H1187" s="23" t="inlineStr">
        <is>
          <t>Carried forward</t>
        </is>
      </c>
      <c r="I1187" s="23" t="inlineStr">
        <is>
          <t>Source assignment -- not individually reviewed</t>
        </is>
      </c>
      <c r="J1187" s="23" t="inlineStr"/>
      <c r="K1187" s="23" t="inlineStr">
        <is>
          <t>Source assignment</t>
        </is>
      </c>
      <c r="L1187" s="23" t="inlineStr"/>
      <c r="M1187" s="23" t="inlineStr">
        <is>
          <t>Contractor Programme Cycle 2</t>
        </is>
      </c>
      <c r="N1187" s="23" t="inlineStr">
        <is>
          <t>Rev 1</t>
        </is>
      </c>
      <c r="O1187" s="23" t="inlineStr">
        <is>
          <t>R863-v2</t>
        </is>
      </c>
      <c r="P1187" s="23" t="inlineStr"/>
      <c r="Q1187" s="23" t="inlineStr"/>
      <c r="R1187" s="23" t="inlineStr"/>
      <c r="S1187" s="23" t="inlineStr"/>
      <c r="T1187" s="23" t="inlineStr"/>
      <c r="U1187" s="23" t="inlineStr"/>
      <c r="V1187" s="23" t="inlineStr">
        <is>
          <t>WBS Code = 1.5.1</t>
        </is>
      </c>
      <c r="W1187" s="23" t="inlineStr"/>
    </row>
    <row r="1188" ht="49" customHeight="1">
      <c r="A1188" s="23" t="inlineStr">
        <is>
          <t>1.5.1</t>
        </is>
      </c>
      <c r="B1188" s="23" t="inlineStr">
        <is>
          <t>Testing and Commissioning - Test Readiness</t>
        </is>
      </c>
      <c r="C1188" s="23" t="inlineStr">
        <is>
          <t>Contractor Programme</t>
        </is>
      </c>
      <c r="D1188" s="23" t="inlineStr">
        <is>
          <t>SCH-05-145</t>
        </is>
      </c>
      <c r="E1188" s="23" t="inlineStr">
        <is>
          <t>Mainline east: test procedure readiness review - release</t>
        </is>
      </c>
      <c r="F1188" s="23" t="inlineStr">
        <is>
          <t>ONE_TO_ONE</t>
        </is>
      </c>
      <c r="G1188" s="23" t="inlineStr">
        <is>
          <t>RETAINED</t>
        </is>
      </c>
      <c r="H1188" s="23" t="inlineStr">
        <is>
          <t>Carried forward</t>
        </is>
      </c>
      <c r="I1188" s="23" t="inlineStr">
        <is>
          <t>Source assignment -- not individually reviewed</t>
        </is>
      </c>
      <c r="J1188" s="23" t="inlineStr"/>
      <c r="K1188" s="23" t="inlineStr">
        <is>
          <t>Source assignment</t>
        </is>
      </c>
      <c r="L1188" s="23" t="inlineStr"/>
      <c r="M1188" s="23" t="inlineStr">
        <is>
          <t>Contractor Programme Cycle 2</t>
        </is>
      </c>
      <c r="N1188" s="23" t="inlineStr">
        <is>
          <t>Rev 1</t>
        </is>
      </c>
      <c r="O1188" s="23" t="inlineStr">
        <is>
          <t>R865-v2</t>
        </is>
      </c>
      <c r="P1188" s="23" t="inlineStr"/>
      <c r="Q1188" s="23" t="inlineStr"/>
      <c r="R1188" s="23" t="inlineStr"/>
      <c r="S1188" s="23" t="inlineStr"/>
      <c r="T1188" s="23" t="inlineStr"/>
      <c r="U1188" s="23" t="inlineStr"/>
      <c r="V1188" s="23" t="inlineStr">
        <is>
          <t>WBS Code = 1.5.1</t>
        </is>
      </c>
      <c r="W1188" s="23" t="inlineStr"/>
    </row>
    <row r="1189" ht="49" customHeight="1">
      <c r="A1189" s="23" t="inlineStr">
        <is>
          <t>1.5.1</t>
        </is>
      </c>
      <c r="B1189" s="23" t="inlineStr">
        <is>
          <t>Testing and Commissioning - Test Readiness</t>
        </is>
      </c>
      <c r="C1189" s="23" t="inlineStr">
        <is>
          <t>Contractor Programme</t>
        </is>
      </c>
      <c r="D1189" s="23" t="inlineStr">
        <is>
          <t>SCH-05-146</t>
        </is>
      </c>
      <c r="E1189" s="23" t="inlineStr">
        <is>
          <t>Central section: emergency-response drill - field start</t>
        </is>
      </c>
      <c r="F1189" s="23" t="inlineStr">
        <is>
          <t>ONE_TO_ONE</t>
        </is>
      </c>
      <c r="G1189" s="23" t="inlineStr">
        <is>
          <t>RETAINED</t>
        </is>
      </c>
      <c r="H1189" s="23" t="inlineStr">
        <is>
          <t>Carried forward</t>
        </is>
      </c>
      <c r="I1189" s="23" t="inlineStr">
        <is>
          <t>Source assignment -- not individually reviewed</t>
        </is>
      </c>
      <c r="J1189" s="23" t="inlineStr"/>
      <c r="K1189" s="23" t="inlineStr">
        <is>
          <t>Source assignment</t>
        </is>
      </c>
      <c r="L1189" s="23" t="inlineStr"/>
      <c r="M1189" s="23" t="inlineStr">
        <is>
          <t>Contractor Programme Cycle 2</t>
        </is>
      </c>
      <c r="N1189" s="23" t="inlineStr">
        <is>
          <t>Rev 1</t>
        </is>
      </c>
      <c r="O1189" s="23" t="inlineStr">
        <is>
          <t>R866-v2</t>
        </is>
      </c>
      <c r="P1189" s="23" t="inlineStr"/>
      <c r="Q1189" s="23" t="inlineStr"/>
      <c r="R1189" s="23" t="inlineStr"/>
      <c r="S1189" s="23" t="inlineStr"/>
      <c r="T1189" s="23" t="inlineStr"/>
      <c r="U1189" s="23" t="inlineStr"/>
      <c r="V1189" s="23" t="inlineStr">
        <is>
          <t>WBS Code = 1.5.1</t>
        </is>
      </c>
      <c r="W1189" s="23" t="inlineStr"/>
    </row>
    <row r="1190" ht="49" customHeight="1">
      <c r="A1190" s="23" t="inlineStr">
        <is>
          <t>1.5.1</t>
        </is>
      </c>
      <c r="B1190" s="23" t="inlineStr">
        <is>
          <t>Testing and Commissioning - Test Readiness</t>
        </is>
      </c>
      <c r="C1190" s="23" t="inlineStr">
        <is>
          <t>Contractor Programme</t>
        </is>
      </c>
      <c r="D1190" s="23" t="inlineStr">
        <is>
          <t>SCH-05-148</t>
        </is>
      </c>
      <c r="E1190" s="23" t="inlineStr">
        <is>
          <t>Depot: mainline dynamic test - inspection</t>
        </is>
      </c>
      <c r="F1190" s="23" t="inlineStr">
        <is>
          <t>ONE_TO_ONE</t>
        </is>
      </c>
      <c r="G1190" s="23" t="inlineStr">
        <is>
          <t>RETAINED</t>
        </is>
      </c>
      <c r="H1190" s="23" t="inlineStr">
        <is>
          <t>Carried forward</t>
        </is>
      </c>
      <c r="I1190" s="23" t="inlineStr">
        <is>
          <t>Source assignment -- not individually reviewed</t>
        </is>
      </c>
      <c r="J1190" s="23" t="inlineStr"/>
      <c r="K1190" s="23" t="inlineStr">
        <is>
          <t>Source assignment</t>
        </is>
      </c>
      <c r="L1190" s="23" t="inlineStr"/>
      <c r="M1190" s="23" t="inlineStr">
        <is>
          <t>Contractor Programme Cycle 2</t>
        </is>
      </c>
      <c r="N1190" s="23" t="inlineStr">
        <is>
          <t>Rev 1</t>
        </is>
      </c>
      <c r="O1190" s="23" t="inlineStr">
        <is>
          <t>R868-v2</t>
        </is>
      </c>
      <c r="P1190" s="23" t="inlineStr"/>
      <c r="Q1190" s="23" t="inlineStr"/>
      <c r="R1190" s="23" t="inlineStr"/>
      <c r="S1190" s="23" t="inlineStr"/>
      <c r="T1190" s="23" t="inlineStr"/>
      <c r="U1190" s="23" t="inlineStr"/>
      <c r="V1190" s="23" t="inlineStr">
        <is>
          <t>WBS Code = 1.5.1</t>
        </is>
      </c>
      <c r="W1190" s="23" t="inlineStr"/>
    </row>
    <row r="1191" ht="49" customHeight="1">
      <c r="A1191" s="23" t="inlineStr">
        <is>
          <t>1.5.1</t>
        </is>
      </c>
      <c r="B1191" s="23" t="inlineStr">
        <is>
          <t>Testing and Commissioning - Test Readiness</t>
        </is>
      </c>
      <c r="C1191" s="23" t="inlineStr">
        <is>
          <t>Contractor Programme</t>
        </is>
      </c>
      <c r="D1191" s="23" t="inlineStr">
        <is>
          <t>SCH-05-149</t>
        </is>
      </c>
      <c r="E1191" s="23" t="inlineStr">
        <is>
          <t>Control Centre: safety certificate evidence closeout - turnover</t>
        </is>
      </c>
      <c r="F1191" s="23" t="inlineStr">
        <is>
          <t>ONE_TO_ONE</t>
        </is>
      </c>
      <c r="G1191" s="23" t="inlineStr">
        <is>
          <t>RETAINED</t>
        </is>
      </c>
      <c r="H1191" s="23" t="inlineStr">
        <is>
          <t>Carried forward</t>
        </is>
      </c>
      <c r="I1191" s="23" t="inlineStr">
        <is>
          <t>Source assignment -- not individually reviewed</t>
        </is>
      </c>
      <c r="J1191" s="23" t="inlineStr"/>
      <c r="K1191" s="23" t="inlineStr">
        <is>
          <t>Source assignment</t>
        </is>
      </c>
      <c r="L1191" s="23" t="inlineStr"/>
      <c r="M1191" s="23" t="inlineStr">
        <is>
          <t>Contractor Programme Cycle 2</t>
        </is>
      </c>
      <c r="N1191" s="23" t="inlineStr">
        <is>
          <t>Rev 1</t>
        </is>
      </c>
      <c r="O1191" s="23" t="inlineStr">
        <is>
          <t>R869-v2</t>
        </is>
      </c>
      <c r="P1191" s="23" t="inlineStr"/>
      <c r="Q1191" s="23" t="inlineStr"/>
      <c r="R1191" s="23" t="inlineStr"/>
      <c r="S1191" s="23" t="inlineStr"/>
      <c r="T1191" s="23" t="inlineStr"/>
      <c r="U1191" s="23" t="inlineStr"/>
      <c r="V1191" s="23" t="inlineStr">
        <is>
          <t>WBS Code = 1.5.1</t>
        </is>
      </c>
      <c r="W1191" s="23" t="inlineStr"/>
    </row>
    <row r="1192" ht="49" customHeight="1">
      <c r="A1192" s="23" t="inlineStr">
        <is>
          <t>1.5.1</t>
        </is>
      </c>
      <c r="B1192" s="23" t="inlineStr">
        <is>
          <t>Testing and Commissioning - Test Readiness</t>
        </is>
      </c>
      <c r="C1192" s="23" t="inlineStr">
        <is>
          <t>Contractor Programme</t>
        </is>
      </c>
      <c r="D1192" s="23" t="inlineStr">
        <is>
          <t>SCH-05-151</t>
        </is>
      </c>
      <c r="E1192" s="23" t="inlineStr">
        <is>
          <t>Central section: station integrated test - field start</t>
        </is>
      </c>
      <c r="F1192" s="23" t="inlineStr">
        <is>
          <t>ONE_TO_ONE</t>
        </is>
      </c>
      <c r="G1192" s="23" t="inlineStr">
        <is>
          <t>RETAINED</t>
        </is>
      </c>
      <c r="H1192" s="23" t="inlineStr">
        <is>
          <t>Carried forward</t>
        </is>
      </c>
      <c r="I1192" s="23" t="inlineStr">
        <is>
          <t>Source assignment -- not individually reviewed</t>
        </is>
      </c>
      <c r="J1192" s="23" t="inlineStr"/>
      <c r="K1192" s="23" t="inlineStr">
        <is>
          <t>Source assignment</t>
        </is>
      </c>
      <c r="L1192" s="23" t="inlineStr"/>
      <c r="M1192" s="23" t="inlineStr">
        <is>
          <t>Contractor Programme Cycle 2</t>
        </is>
      </c>
      <c r="N1192" s="23" t="inlineStr">
        <is>
          <t>Rev 1</t>
        </is>
      </c>
      <c r="O1192" s="23" t="inlineStr">
        <is>
          <t>R871-v2</t>
        </is>
      </c>
      <c r="P1192" s="23" t="inlineStr"/>
      <c r="Q1192" s="23" t="inlineStr"/>
      <c r="R1192" s="23" t="inlineStr"/>
      <c r="S1192" s="23" t="inlineStr"/>
      <c r="T1192" s="23" t="inlineStr"/>
      <c r="U1192" s="23" t="inlineStr"/>
      <c r="V1192" s="23" t="inlineStr">
        <is>
          <t>WBS Code = 1.5.1</t>
        </is>
      </c>
      <c r="W1192" s="23" t="inlineStr"/>
    </row>
    <row r="1193" ht="49" customHeight="1">
      <c r="A1193" s="23" t="inlineStr">
        <is>
          <t>1.5.1</t>
        </is>
      </c>
      <c r="B1193" s="23" t="inlineStr">
        <is>
          <t>Testing and Commissioning - Test Readiness</t>
        </is>
      </c>
      <c r="C1193" s="23" t="inlineStr">
        <is>
          <t>Contractor Programme</t>
        </is>
      </c>
      <c r="D1193" s="23" t="inlineStr">
        <is>
          <t>SCH-05-152</t>
        </is>
      </c>
      <c r="E1193" s="23" t="inlineStr">
        <is>
          <t>West terminal: trial-running shift - installation</t>
        </is>
      </c>
      <c r="F1193" s="23" t="inlineStr">
        <is>
          <t>ONE_TO_ONE</t>
        </is>
      </c>
      <c r="G1193" s="23" t="inlineStr">
        <is>
          <t>RETAINED</t>
        </is>
      </c>
      <c r="H1193" s="23" t="inlineStr">
        <is>
          <t>Carried forward</t>
        </is>
      </c>
      <c r="I1193" s="23" t="inlineStr">
        <is>
          <t>Source assignment -- not individually reviewed</t>
        </is>
      </c>
      <c r="J1193" s="23" t="inlineStr"/>
      <c r="K1193" s="23" t="inlineStr">
        <is>
          <t>Source assignment</t>
        </is>
      </c>
      <c r="L1193" s="23" t="inlineStr"/>
      <c r="M1193" s="23" t="inlineStr">
        <is>
          <t>Contractor Programme Cycle 2</t>
        </is>
      </c>
      <c r="N1193" s="23" t="inlineStr">
        <is>
          <t>Rev 1</t>
        </is>
      </c>
      <c r="O1193" s="23" t="inlineStr">
        <is>
          <t>R872-v2</t>
        </is>
      </c>
      <c r="P1193" s="23" t="inlineStr"/>
      <c r="Q1193" s="23" t="inlineStr"/>
      <c r="R1193" s="23" t="inlineStr"/>
      <c r="S1193" s="23" t="inlineStr"/>
      <c r="T1193" s="23" t="inlineStr"/>
      <c r="U1193" s="23" t="inlineStr"/>
      <c r="V1193" s="23" t="inlineStr">
        <is>
          <t>WBS Code = 1.5.1</t>
        </is>
      </c>
      <c r="W1193" s="23" t="inlineStr"/>
    </row>
    <row r="1194" ht="49" customHeight="1">
      <c r="A1194" s="23" t="inlineStr">
        <is>
          <t>1.5.1</t>
        </is>
      </c>
      <c r="B1194" s="23" t="inlineStr">
        <is>
          <t>Testing and Commissioning - Test Readiness</t>
        </is>
      </c>
      <c r="C1194" s="23" t="inlineStr">
        <is>
          <t>Contractor Programme</t>
        </is>
      </c>
      <c r="D1194" s="23" t="inlineStr">
        <is>
          <t>SCH-05-154</t>
        </is>
      </c>
      <c r="E1194" s="23" t="inlineStr">
        <is>
          <t>Control Centre: emergency-response drill - turnover</t>
        </is>
      </c>
      <c r="F1194" s="23" t="inlineStr">
        <is>
          <t>ONE_TO_ONE</t>
        </is>
      </c>
      <c r="G1194" s="23" t="inlineStr">
        <is>
          <t>RETAINED</t>
        </is>
      </c>
      <c r="H1194" s="23" t="inlineStr">
        <is>
          <t>Carried forward</t>
        </is>
      </c>
      <c r="I1194" s="23" t="inlineStr">
        <is>
          <t>Source assignment -- not individually reviewed</t>
        </is>
      </c>
      <c r="J1194" s="23" t="inlineStr"/>
      <c r="K1194" s="23" t="inlineStr">
        <is>
          <t>Source assignment</t>
        </is>
      </c>
      <c r="L1194" s="23" t="inlineStr"/>
      <c r="M1194" s="23" t="inlineStr">
        <is>
          <t>Contractor Programme Cycle 2</t>
        </is>
      </c>
      <c r="N1194" s="23" t="inlineStr">
        <is>
          <t>Rev 1</t>
        </is>
      </c>
      <c r="O1194" s="23" t="inlineStr">
        <is>
          <t>R874-v2</t>
        </is>
      </c>
      <c r="P1194" s="23" t="inlineStr"/>
      <c r="Q1194" s="23" t="inlineStr"/>
      <c r="R1194" s="23" t="inlineStr"/>
      <c r="S1194" s="23" t="inlineStr"/>
      <c r="T1194" s="23" t="inlineStr"/>
      <c r="U1194" s="23" t="inlineStr"/>
      <c r="V1194" s="23" t="inlineStr">
        <is>
          <t>WBS Code = 1.5.1</t>
        </is>
      </c>
      <c r="W1194" s="23" t="inlineStr"/>
    </row>
    <row r="1195" ht="49" customHeight="1">
      <c r="A1195" s="23" t="inlineStr">
        <is>
          <t>1.5.1</t>
        </is>
      </c>
      <c r="B1195" s="23" t="inlineStr">
        <is>
          <t>Testing and Commissioning - Test Readiness</t>
        </is>
      </c>
      <c r="C1195" s="23" t="inlineStr">
        <is>
          <t>Contractor Programme</t>
        </is>
      </c>
      <c r="D1195" s="23" t="inlineStr">
        <is>
          <t>SCH-05-155</t>
        </is>
      </c>
      <c r="E1195" s="23" t="inlineStr">
        <is>
          <t>Mainline east: defect retest - release</t>
        </is>
      </c>
      <c r="F1195" s="23" t="inlineStr">
        <is>
          <t>ONE_TO_ONE</t>
        </is>
      </c>
      <c r="G1195" s="23" t="inlineStr">
        <is>
          <t>RETAINED</t>
        </is>
      </c>
      <c r="H1195" s="23" t="inlineStr">
        <is>
          <t>Carried forward</t>
        </is>
      </c>
      <c r="I1195" s="23" t="inlineStr">
        <is>
          <t>Source assignment -- not individually reviewed</t>
        </is>
      </c>
      <c r="J1195" s="23" t="inlineStr"/>
      <c r="K1195" s="23" t="inlineStr">
        <is>
          <t>Source assignment</t>
        </is>
      </c>
      <c r="L1195" s="23" t="inlineStr"/>
      <c r="M1195" s="23" t="inlineStr">
        <is>
          <t>Contractor Programme Cycle 2</t>
        </is>
      </c>
      <c r="N1195" s="23" t="inlineStr">
        <is>
          <t>Rev 1</t>
        </is>
      </c>
      <c r="O1195" s="23" t="inlineStr">
        <is>
          <t>R875-v2</t>
        </is>
      </c>
      <c r="P1195" s="23" t="inlineStr"/>
      <c r="Q1195" s="23" t="inlineStr"/>
      <c r="R1195" s="23" t="inlineStr"/>
      <c r="S1195" s="23" t="inlineStr"/>
      <c r="T1195" s="23" t="inlineStr"/>
      <c r="U1195" s="23" t="inlineStr"/>
      <c r="V1195" s="23" t="inlineStr">
        <is>
          <t>WBS Code = 1.5.1</t>
        </is>
      </c>
      <c r="W1195" s="23" t="inlineStr"/>
    </row>
    <row r="1196" ht="49" customHeight="1">
      <c r="A1196" s="23" t="inlineStr">
        <is>
          <t>1.5.1</t>
        </is>
      </c>
      <c r="B1196" s="23" t="inlineStr">
        <is>
          <t>Testing and Commissioning - Test Readiness</t>
        </is>
      </c>
      <c r="C1196" s="23" t="inlineStr">
        <is>
          <t>Contractor Programme</t>
        </is>
      </c>
      <c r="D1196" s="23" t="inlineStr">
        <is>
          <t>SCH-05-157</t>
        </is>
      </c>
      <c r="E1196" s="23" t="inlineStr">
        <is>
          <t>West terminal: safety certificate evidence closeout - installation</t>
        </is>
      </c>
      <c r="F1196" s="23" t="inlineStr">
        <is>
          <t>ONE_TO_ONE</t>
        </is>
      </c>
      <c r="G1196" s="23" t="inlineStr">
        <is>
          <t>RETAINED</t>
        </is>
      </c>
      <c r="H1196" s="23" t="inlineStr">
        <is>
          <t>Carried forward</t>
        </is>
      </c>
      <c r="I1196" s="23" t="inlineStr">
        <is>
          <t>Source assignment -- not individually reviewed</t>
        </is>
      </c>
      <c r="J1196" s="23" t="inlineStr"/>
      <c r="K1196" s="23" t="inlineStr">
        <is>
          <t>Source assignment</t>
        </is>
      </c>
      <c r="L1196" s="23" t="inlineStr"/>
      <c r="M1196" s="23" t="inlineStr">
        <is>
          <t>Contractor Programme Cycle 2</t>
        </is>
      </c>
      <c r="N1196" s="23" t="inlineStr">
        <is>
          <t>Rev 1</t>
        </is>
      </c>
      <c r="O1196" s="23" t="inlineStr">
        <is>
          <t>R877-v2</t>
        </is>
      </c>
      <c r="P1196" s="23" t="inlineStr"/>
      <c r="Q1196" s="23" t="inlineStr"/>
      <c r="R1196" s="23" t="inlineStr"/>
      <c r="S1196" s="23" t="inlineStr"/>
      <c r="T1196" s="23" t="inlineStr"/>
      <c r="U1196" s="23" t="inlineStr"/>
      <c r="V1196" s="23" t="inlineStr">
        <is>
          <t>WBS Code = 1.5.1</t>
        </is>
      </c>
      <c r="W1196" s="23" t="inlineStr"/>
    </row>
    <row r="1197" ht="49" customHeight="1">
      <c r="A1197" s="23" t="inlineStr">
        <is>
          <t>1.5.1</t>
        </is>
      </c>
      <c r="B1197" s="23" t="inlineStr">
        <is>
          <t>Testing and Commissioning - Test Readiness</t>
        </is>
      </c>
      <c r="C1197" s="23" t="inlineStr">
        <is>
          <t>Contractor Programme</t>
        </is>
      </c>
      <c r="D1197" s="23" t="inlineStr">
        <is>
          <t>SCH-05-158</t>
        </is>
      </c>
      <c r="E1197" s="23" t="inlineStr">
        <is>
          <t>Depot: service-readiness review - inspection</t>
        </is>
      </c>
      <c r="F1197" s="23" t="inlineStr">
        <is>
          <t>ONE_TO_ONE</t>
        </is>
      </c>
      <c r="G1197" s="23" t="inlineStr">
        <is>
          <t>RETAINED</t>
        </is>
      </c>
      <c r="H1197" s="23" t="inlineStr">
        <is>
          <t>Carried forward</t>
        </is>
      </c>
      <c r="I1197" s="23" t="inlineStr">
        <is>
          <t>Source assignment -- not individually reviewed</t>
        </is>
      </c>
      <c r="J1197" s="23" t="inlineStr"/>
      <c r="K1197" s="23" t="inlineStr">
        <is>
          <t>Source assignment</t>
        </is>
      </c>
      <c r="L1197" s="23" t="inlineStr"/>
      <c r="M1197" s="23" t="inlineStr">
        <is>
          <t>Contractor Programme Cycle 2</t>
        </is>
      </c>
      <c r="N1197" s="23" t="inlineStr">
        <is>
          <t>Rev 1</t>
        </is>
      </c>
      <c r="O1197" s="23" t="inlineStr">
        <is>
          <t>R878-v2</t>
        </is>
      </c>
      <c r="P1197" s="23" t="inlineStr"/>
      <c r="Q1197" s="23" t="inlineStr"/>
      <c r="R1197" s="23" t="inlineStr"/>
      <c r="S1197" s="23" t="inlineStr"/>
      <c r="T1197" s="23" t="inlineStr"/>
      <c r="U1197" s="23" t="inlineStr"/>
      <c r="V1197" s="23" t="inlineStr">
        <is>
          <t>WBS Code = 1.5.1</t>
        </is>
      </c>
      <c r="W1197" s="23" t="inlineStr"/>
    </row>
    <row r="1198" ht="49" customHeight="1">
      <c r="A1198" s="23" t="inlineStr">
        <is>
          <t>1.5.1</t>
        </is>
      </c>
      <c r="B1198" s="23" t="inlineStr">
        <is>
          <t>Testing and Commissioning - Test Readiness</t>
        </is>
      </c>
      <c r="C1198" s="23" t="inlineStr">
        <is>
          <t>Contractor Programme</t>
        </is>
      </c>
      <c r="D1198" s="23" t="inlineStr">
        <is>
          <t>SCH-05-160</t>
        </is>
      </c>
      <c r="E1198" s="23" t="inlineStr">
        <is>
          <t>Mainline east: trial-running shift - release</t>
        </is>
      </c>
      <c r="F1198" s="23" t="inlineStr">
        <is>
          <t>ONE_TO_ONE</t>
        </is>
      </c>
      <c r="G1198" s="23" t="inlineStr">
        <is>
          <t>RETAINED</t>
        </is>
      </c>
      <c r="H1198" s="23" t="inlineStr">
        <is>
          <t>Carried forward</t>
        </is>
      </c>
      <c r="I1198" s="23" t="inlineStr">
        <is>
          <t>Source assignment -- not individually reviewed</t>
        </is>
      </c>
      <c r="J1198" s="23" t="inlineStr"/>
      <c r="K1198" s="23" t="inlineStr">
        <is>
          <t>Source assignment</t>
        </is>
      </c>
      <c r="L1198" s="23" t="inlineStr"/>
      <c r="M1198" s="23" t="inlineStr">
        <is>
          <t>Contractor Programme Cycle 2</t>
        </is>
      </c>
      <c r="N1198" s="23" t="inlineStr">
        <is>
          <t>Rev 1</t>
        </is>
      </c>
      <c r="O1198" s="23" t="inlineStr">
        <is>
          <t>R880-v2</t>
        </is>
      </c>
      <c r="P1198" s="23" t="inlineStr"/>
      <c r="Q1198" s="23" t="inlineStr"/>
      <c r="R1198" s="23" t="inlineStr"/>
      <c r="S1198" s="23" t="inlineStr"/>
      <c r="T1198" s="23" t="inlineStr"/>
      <c r="U1198" s="23" t="inlineStr"/>
      <c r="V1198" s="23" t="inlineStr">
        <is>
          <t>WBS Code = 1.5.1</t>
        </is>
      </c>
      <c r="W1198" s="23" t="inlineStr"/>
    </row>
    <row r="1199" ht="49" customHeight="1">
      <c r="A1199" s="23" t="inlineStr">
        <is>
          <t>1.5.1</t>
        </is>
      </c>
      <c r="B1199" s="23" t="inlineStr">
        <is>
          <t>Testing and Commissioning - Test Readiness</t>
        </is>
      </c>
      <c r="C1199" s="23" t="inlineStr">
        <is>
          <t>Contractor Programme</t>
        </is>
      </c>
      <c r="D1199" s="23" t="inlineStr">
        <is>
          <t>SCH-05-161</t>
        </is>
      </c>
      <c r="E1199" s="23" t="inlineStr">
        <is>
          <t>Central section: test procedure readiness review - field start</t>
        </is>
      </c>
      <c r="F1199" s="23" t="inlineStr">
        <is>
          <t>ONE_TO_ONE</t>
        </is>
      </c>
      <c r="G1199" s="23" t="inlineStr">
        <is>
          <t>RETAINED</t>
        </is>
      </c>
      <c r="H1199" s="23" t="inlineStr">
        <is>
          <t>Carried forward</t>
        </is>
      </c>
      <c r="I1199" s="23" t="inlineStr">
        <is>
          <t>Source assignment -- not individually reviewed</t>
        </is>
      </c>
      <c r="J1199" s="23" t="inlineStr"/>
      <c r="K1199" s="23" t="inlineStr">
        <is>
          <t>Source assignment</t>
        </is>
      </c>
      <c r="L1199" s="23" t="inlineStr"/>
      <c r="M1199" s="23" t="inlineStr">
        <is>
          <t>Contractor Programme Cycle 2</t>
        </is>
      </c>
      <c r="N1199" s="23" t="inlineStr">
        <is>
          <t>Rev 1</t>
        </is>
      </c>
      <c r="O1199" s="23" t="inlineStr">
        <is>
          <t>R881-v2</t>
        </is>
      </c>
      <c r="P1199" s="23" t="inlineStr"/>
      <c r="Q1199" s="23" t="inlineStr"/>
      <c r="R1199" s="23" t="inlineStr"/>
      <c r="S1199" s="23" t="inlineStr"/>
      <c r="T1199" s="23" t="inlineStr"/>
      <c r="U1199" s="23" t="inlineStr"/>
      <c r="V1199" s="23" t="inlineStr">
        <is>
          <t>WBS Code = 1.5.1</t>
        </is>
      </c>
      <c r="W1199" s="23" t="inlineStr"/>
    </row>
    <row r="1200" ht="49" customHeight="1">
      <c r="A1200" s="23" t="inlineStr">
        <is>
          <t>1.5.1</t>
        </is>
      </c>
      <c r="B1200" s="23" t="inlineStr">
        <is>
          <t>Testing and Commissioning - Test Readiness</t>
        </is>
      </c>
      <c r="C1200" s="23" t="inlineStr">
        <is>
          <t>Contractor Programme</t>
        </is>
      </c>
      <c r="D1200" s="23" t="inlineStr">
        <is>
          <t>SCH-05-163</t>
        </is>
      </c>
      <c r="E1200" s="23" t="inlineStr">
        <is>
          <t>Depot: defect retest - inspection</t>
        </is>
      </c>
      <c r="F1200" s="23" t="inlineStr">
        <is>
          <t>ONE_TO_ONE</t>
        </is>
      </c>
      <c r="G1200" s="23" t="inlineStr">
        <is>
          <t>RETAINED</t>
        </is>
      </c>
      <c r="H1200" s="23" t="inlineStr">
        <is>
          <t>Carried forward</t>
        </is>
      </c>
      <c r="I1200" s="23" t="inlineStr">
        <is>
          <t>Source assignment -- not individually reviewed</t>
        </is>
      </c>
      <c r="J1200" s="23" t="inlineStr"/>
      <c r="K1200" s="23" t="inlineStr">
        <is>
          <t>Source assignment</t>
        </is>
      </c>
      <c r="L1200" s="23" t="inlineStr"/>
      <c r="M1200" s="23" t="inlineStr">
        <is>
          <t>Contractor Programme Cycle 2</t>
        </is>
      </c>
      <c r="N1200" s="23" t="inlineStr">
        <is>
          <t>Rev 1</t>
        </is>
      </c>
      <c r="O1200" s="23" t="inlineStr">
        <is>
          <t>R883-v2</t>
        </is>
      </c>
      <c r="P1200" s="23" t="inlineStr"/>
      <c r="Q1200" s="23" t="inlineStr"/>
      <c r="R1200" s="23" t="inlineStr"/>
      <c r="S1200" s="23" t="inlineStr"/>
      <c r="T1200" s="23" t="inlineStr"/>
      <c r="U1200" s="23" t="inlineStr"/>
      <c r="V1200" s="23" t="inlineStr">
        <is>
          <t>WBS Code = 1.5.1</t>
        </is>
      </c>
      <c r="W1200" s="23" t="inlineStr"/>
    </row>
    <row r="1201" ht="49" customHeight="1">
      <c r="A1201" s="23" t="inlineStr">
        <is>
          <t>1.5.1</t>
        </is>
      </c>
      <c r="B1201" s="23" t="inlineStr">
        <is>
          <t>Testing and Commissioning - Test Readiness</t>
        </is>
      </c>
      <c r="C1201" s="23" t="inlineStr">
        <is>
          <t>Contractor Programme</t>
        </is>
      </c>
      <c r="D1201" s="23" t="inlineStr">
        <is>
          <t>SCH-05-164</t>
        </is>
      </c>
      <c r="E1201" s="23" t="inlineStr">
        <is>
          <t>Control Centre: mainline dynamic test - turnover</t>
        </is>
      </c>
      <c r="F1201" s="23" t="inlineStr">
        <is>
          <t>ONE_TO_ONE</t>
        </is>
      </c>
      <c r="G1201" s="23" t="inlineStr">
        <is>
          <t>RETAINED</t>
        </is>
      </c>
      <c r="H1201" s="23" t="inlineStr">
        <is>
          <t>Carried forward</t>
        </is>
      </c>
      <c r="I1201" s="23" t="inlineStr">
        <is>
          <t>Source assignment -- not individually reviewed</t>
        </is>
      </c>
      <c r="J1201" s="23" t="inlineStr"/>
      <c r="K1201" s="23" t="inlineStr">
        <is>
          <t>Source assignment</t>
        </is>
      </c>
      <c r="L1201" s="23" t="inlineStr"/>
      <c r="M1201" s="23" t="inlineStr">
        <is>
          <t>Contractor Programme Cycle 2</t>
        </is>
      </c>
      <c r="N1201" s="23" t="inlineStr">
        <is>
          <t>Rev 1</t>
        </is>
      </c>
      <c r="O1201" s="23" t="inlineStr">
        <is>
          <t>R884-v2</t>
        </is>
      </c>
      <c r="P1201" s="23" t="inlineStr"/>
      <c r="Q1201" s="23" t="inlineStr"/>
      <c r="R1201" s="23" t="inlineStr"/>
      <c r="S1201" s="23" t="inlineStr"/>
      <c r="T1201" s="23" t="inlineStr"/>
      <c r="U1201" s="23" t="inlineStr"/>
      <c r="V1201" s="23" t="inlineStr">
        <is>
          <t>WBS Code = 1.5.1</t>
        </is>
      </c>
      <c r="W1201" s="23" t="inlineStr"/>
    </row>
    <row r="1202" ht="49" customHeight="1">
      <c r="A1202" s="23" t="inlineStr">
        <is>
          <t>1.5.1</t>
        </is>
      </c>
      <c r="B1202" s="23" t="inlineStr">
        <is>
          <t>Testing and Commissioning - Test Readiness</t>
        </is>
      </c>
      <c r="C1202" s="23" t="inlineStr">
        <is>
          <t>Contractor Programme</t>
        </is>
      </c>
      <c r="D1202" s="23" t="inlineStr">
        <is>
          <t>SCH-05-166</t>
        </is>
      </c>
      <c r="E1202" s="23" t="inlineStr">
        <is>
          <t>Central section: service-readiness review - field start</t>
        </is>
      </c>
      <c r="F1202" s="23" t="inlineStr">
        <is>
          <t>ONE_TO_ONE</t>
        </is>
      </c>
      <c r="G1202" s="23" t="inlineStr">
        <is>
          <t>RETAINED</t>
        </is>
      </c>
      <c r="H1202" s="23" t="inlineStr">
        <is>
          <t>Carried forward</t>
        </is>
      </c>
      <c r="I1202" s="23" t="inlineStr">
        <is>
          <t>Source assignment -- not individually reviewed</t>
        </is>
      </c>
      <c r="J1202" s="23" t="inlineStr"/>
      <c r="K1202" s="23" t="inlineStr">
        <is>
          <t>Source assignment</t>
        </is>
      </c>
      <c r="L1202" s="23" t="inlineStr"/>
      <c r="M1202" s="23" t="inlineStr">
        <is>
          <t>Contractor Programme Cycle 2</t>
        </is>
      </c>
      <c r="N1202" s="23" t="inlineStr">
        <is>
          <t>Rev 1</t>
        </is>
      </c>
      <c r="O1202" s="23" t="inlineStr">
        <is>
          <t>R886-v2</t>
        </is>
      </c>
      <c r="P1202" s="23" t="inlineStr"/>
      <c r="Q1202" s="23" t="inlineStr"/>
      <c r="R1202" s="23" t="inlineStr"/>
      <c r="S1202" s="23" t="inlineStr"/>
      <c r="T1202" s="23" t="inlineStr"/>
      <c r="U1202" s="23" t="inlineStr"/>
      <c r="V1202" s="23" t="inlineStr">
        <is>
          <t>WBS Code = 1.5.1</t>
        </is>
      </c>
      <c r="W1202" s="23" t="inlineStr"/>
    </row>
    <row r="1203" ht="49" customHeight="1">
      <c r="A1203" s="23" t="inlineStr">
        <is>
          <t>1.5.1</t>
        </is>
      </c>
      <c r="B1203" s="23" t="inlineStr">
        <is>
          <t>Testing and Commissioning - Test Readiness</t>
        </is>
      </c>
      <c r="C1203" s="23" t="inlineStr">
        <is>
          <t>Contractor Programme</t>
        </is>
      </c>
      <c r="D1203" s="23" t="inlineStr">
        <is>
          <t>SCH-05-167</t>
        </is>
      </c>
      <c r="E1203" s="23" t="inlineStr">
        <is>
          <t>West terminal: station integrated test - installation</t>
        </is>
      </c>
      <c r="F1203" s="23" t="inlineStr">
        <is>
          <t>ONE_TO_ONE</t>
        </is>
      </c>
      <c r="G1203" s="23" t="inlineStr">
        <is>
          <t>RETAINED</t>
        </is>
      </c>
      <c r="H1203" s="23" t="inlineStr">
        <is>
          <t>Carried forward</t>
        </is>
      </c>
      <c r="I1203" s="23" t="inlineStr">
        <is>
          <t>Source assignment -- not individually reviewed</t>
        </is>
      </c>
      <c r="J1203" s="23" t="inlineStr"/>
      <c r="K1203" s="23" t="inlineStr">
        <is>
          <t>Source assignment</t>
        </is>
      </c>
      <c r="L1203" s="23" t="inlineStr"/>
      <c r="M1203" s="23" t="inlineStr">
        <is>
          <t>Contractor Programme Cycle 2</t>
        </is>
      </c>
      <c r="N1203" s="23" t="inlineStr">
        <is>
          <t>Rev 1</t>
        </is>
      </c>
      <c r="O1203" s="23" t="inlineStr">
        <is>
          <t>R887-v2</t>
        </is>
      </c>
      <c r="P1203" s="23" t="inlineStr"/>
      <c r="Q1203" s="23" t="inlineStr"/>
      <c r="R1203" s="23" t="inlineStr"/>
      <c r="S1203" s="23" t="inlineStr"/>
      <c r="T1203" s="23" t="inlineStr"/>
      <c r="U1203" s="23" t="inlineStr"/>
      <c r="V1203" s="23" t="inlineStr">
        <is>
          <t>WBS Code = 1.5.1</t>
        </is>
      </c>
      <c r="W1203" s="23" t="inlineStr"/>
    </row>
    <row r="1204" ht="49" customHeight="1">
      <c r="A1204" s="23" t="inlineStr">
        <is>
          <t>1.5.1</t>
        </is>
      </c>
      <c r="B1204" s="23" t="inlineStr">
        <is>
          <t>Testing and Commissioning - Test Readiness</t>
        </is>
      </c>
      <c r="C1204" s="23" t="inlineStr">
        <is>
          <t>Contractor Programme</t>
        </is>
      </c>
      <c r="D1204" s="23" t="inlineStr">
        <is>
          <t>SCH-05-169</t>
        </is>
      </c>
      <c r="E1204" s="23" t="inlineStr">
        <is>
          <t>Control Centre: test procedure readiness review - turnover</t>
        </is>
      </c>
      <c r="F1204" s="23" t="inlineStr">
        <is>
          <t>ONE_TO_ONE</t>
        </is>
      </c>
      <c r="G1204" s="23" t="inlineStr">
        <is>
          <t>RETAINED</t>
        </is>
      </c>
      <c r="H1204" s="23" t="inlineStr">
        <is>
          <t>Carried forward</t>
        </is>
      </c>
      <c r="I1204" s="23" t="inlineStr">
        <is>
          <t>Source assignment -- not individually reviewed</t>
        </is>
      </c>
      <c r="J1204" s="23" t="inlineStr"/>
      <c r="K1204" s="23" t="inlineStr">
        <is>
          <t>Source assignment</t>
        </is>
      </c>
      <c r="L1204" s="23" t="inlineStr"/>
      <c r="M1204" s="23" t="inlineStr">
        <is>
          <t>Contractor Programme Cycle 2</t>
        </is>
      </c>
      <c r="N1204" s="23" t="inlineStr">
        <is>
          <t>Rev 1</t>
        </is>
      </c>
      <c r="O1204" s="23" t="inlineStr">
        <is>
          <t>R889-v2</t>
        </is>
      </c>
      <c r="P1204" s="23" t="inlineStr"/>
      <c r="Q1204" s="23" t="inlineStr"/>
      <c r="R1204" s="23" t="inlineStr"/>
      <c r="S1204" s="23" t="inlineStr"/>
      <c r="T1204" s="23" t="inlineStr"/>
      <c r="U1204" s="23" t="inlineStr"/>
      <c r="V1204" s="23" t="inlineStr">
        <is>
          <t>WBS Code = 1.5.1</t>
        </is>
      </c>
      <c r="W1204" s="23" t="inlineStr"/>
    </row>
    <row r="1205" ht="49" customHeight="1">
      <c r="A1205" s="23" t="inlineStr">
        <is>
          <t>1.5.1</t>
        </is>
      </c>
      <c r="B1205" s="23" t="inlineStr">
        <is>
          <t>Testing and Commissioning - Test Readiness</t>
        </is>
      </c>
      <c r="C1205" s="23" t="inlineStr">
        <is>
          <t>Contractor Programme</t>
        </is>
      </c>
      <c r="D1205" s="23" t="inlineStr">
        <is>
          <t>SCH-05-170</t>
        </is>
      </c>
      <c r="E1205" s="23" t="inlineStr">
        <is>
          <t>Mainline east: emergency-response drill - release</t>
        </is>
      </c>
      <c r="F1205" s="23" t="inlineStr">
        <is>
          <t>ONE_TO_ONE</t>
        </is>
      </c>
      <c r="G1205" s="23" t="inlineStr">
        <is>
          <t>RETAINED</t>
        </is>
      </c>
      <c r="H1205" s="23" t="inlineStr">
        <is>
          <t>Carried forward</t>
        </is>
      </c>
      <c r="I1205" s="23" t="inlineStr">
        <is>
          <t>Source assignment -- not individually reviewed</t>
        </is>
      </c>
      <c r="J1205" s="23" t="inlineStr"/>
      <c r="K1205" s="23" t="inlineStr">
        <is>
          <t>Source assignment</t>
        </is>
      </c>
      <c r="L1205" s="23" t="inlineStr"/>
      <c r="M1205" s="23" t="inlineStr">
        <is>
          <t>Contractor Programme Cycle 2</t>
        </is>
      </c>
      <c r="N1205" s="23" t="inlineStr">
        <is>
          <t>Rev 1</t>
        </is>
      </c>
      <c r="O1205" s="23" t="inlineStr">
        <is>
          <t>R890-v2</t>
        </is>
      </c>
      <c r="P1205" s="23" t="inlineStr"/>
      <c r="Q1205" s="23" t="inlineStr"/>
      <c r="R1205" s="23" t="inlineStr"/>
      <c r="S1205" s="23" t="inlineStr"/>
      <c r="T1205" s="23" t="inlineStr"/>
      <c r="U1205" s="23" t="inlineStr"/>
      <c r="V1205" s="23" t="inlineStr">
        <is>
          <t>WBS Code = 1.5.1</t>
        </is>
      </c>
      <c r="W1205" s="23" t="inlineStr"/>
    </row>
    <row r="1206" ht="49" customHeight="1">
      <c r="A1206" s="23" t="inlineStr">
        <is>
          <t>1.5.1</t>
        </is>
      </c>
      <c r="B1206" s="23" t="inlineStr">
        <is>
          <t>Testing and Commissioning - Test Readiness</t>
        </is>
      </c>
      <c r="C1206" s="23" t="inlineStr">
        <is>
          <t>Contractor Programme</t>
        </is>
      </c>
      <c r="D1206" s="23" t="inlineStr">
        <is>
          <t>SCH-05-172</t>
        </is>
      </c>
      <c r="E1206" s="23" t="inlineStr">
        <is>
          <t>West terminal: mainline dynamic test - installation</t>
        </is>
      </c>
      <c r="F1206" s="23" t="inlineStr">
        <is>
          <t>ONE_TO_ONE</t>
        </is>
      </c>
      <c r="G1206" s="23" t="inlineStr">
        <is>
          <t>RETAINED</t>
        </is>
      </c>
      <c r="H1206" s="23" t="inlineStr">
        <is>
          <t>Carried forward</t>
        </is>
      </c>
      <c r="I1206" s="23" t="inlineStr">
        <is>
          <t>Source assignment -- not individually reviewed</t>
        </is>
      </c>
      <c r="J1206" s="23" t="inlineStr"/>
      <c r="K1206" s="23" t="inlineStr">
        <is>
          <t>Source assignment</t>
        </is>
      </c>
      <c r="L1206" s="23" t="inlineStr"/>
      <c r="M1206" s="23" t="inlineStr">
        <is>
          <t>Contractor Programme Cycle 2</t>
        </is>
      </c>
      <c r="N1206" s="23" t="inlineStr">
        <is>
          <t>Rev 1</t>
        </is>
      </c>
      <c r="O1206" s="23" t="inlineStr">
        <is>
          <t>R892-v2</t>
        </is>
      </c>
      <c r="P1206" s="23" t="inlineStr"/>
      <c r="Q1206" s="23" t="inlineStr"/>
      <c r="R1206" s="23" t="inlineStr"/>
      <c r="S1206" s="23" t="inlineStr"/>
      <c r="T1206" s="23" t="inlineStr"/>
      <c r="U1206" s="23" t="inlineStr"/>
      <c r="V1206" s="23" t="inlineStr">
        <is>
          <t>WBS Code = 1.5.1</t>
        </is>
      </c>
      <c r="W1206" s="23" t="inlineStr"/>
    </row>
    <row r="1207" ht="49" customHeight="1">
      <c r="A1207" s="23" t="inlineStr">
        <is>
          <t>1.5.1</t>
        </is>
      </c>
      <c r="B1207" s="23" t="inlineStr">
        <is>
          <t>Testing and Commissioning - Test Readiness</t>
        </is>
      </c>
      <c r="C1207" s="23" t="inlineStr">
        <is>
          <t>Contractor Programme</t>
        </is>
      </c>
      <c r="D1207" s="23" t="inlineStr">
        <is>
          <t>SCH-05-173</t>
        </is>
      </c>
      <c r="E1207" s="23" t="inlineStr">
        <is>
          <t>Depot: safety certificate evidence closeout - inspection</t>
        </is>
      </c>
      <c r="F1207" s="23" t="inlineStr">
        <is>
          <t>ONE_TO_ONE</t>
        </is>
      </c>
      <c r="G1207" s="23" t="inlineStr">
        <is>
          <t>RETAINED</t>
        </is>
      </c>
      <c r="H1207" s="23" t="inlineStr">
        <is>
          <t>Carried forward</t>
        </is>
      </c>
      <c r="I1207" s="23" t="inlineStr">
        <is>
          <t>Source assignment -- not individually reviewed</t>
        </is>
      </c>
      <c r="J1207" s="23" t="inlineStr"/>
      <c r="K1207" s="23" t="inlineStr">
        <is>
          <t>Source assignment</t>
        </is>
      </c>
      <c r="L1207" s="23" t="inlineStr"/>
      <c r="M1207" s="23" t="inlineStr">
        <is>
          <t>Contractor Programme Cycle 2</t>
        </is>
      </c>
      <c r="N1207" s="23" t="inlineStr">
        <is>
          <t>Rev 1</t>
        </is>
      </c>
      <c r="O1207" s="23" t="inlineStr">
        <is>
          <t>R893-v2</t>
        </is>
      </c>
      <c r="P1207" s="23" t="inlineStr"/>
      <c r="Q1207" s="23" t="inlineStr"/>
      <c r="R1207" s="23" t="inlineStr"/>
      <c r="S1207" s="23" t="inlineStr"/>
      <c r="T1207" s="23" t="inlineStr"/>
      <c r="U1207" s="23" t="inlineStr"/>
      <c r="V1207" s="23" t="inlineStr">
        <is>
          <t>WBS Code = 1.5.1</t>
        </is>
      </c>
      <c r="W1207" s="23" t="inlineStr"/>
    </row>
    <row r="1208" ht="49" customHeight="1">
      <c r="A1208" s="23" t="inlineStr">
        <is>
          <t>1.5.1</t>
        </is>
      </c>
      <c r="B1208" s="23" t="inlineStr">
        <is>
          <t>Testing and Commissioning - Test Readiness</t>
        </is>
      </c>
      <c r="C1208" s="23" t="inlineStr">
        <is>
          <t>Contractor Programme</t>
        </is>
      </c>
      <c r="D1208" s="23" t="inlineStr">
        <is>
          <t>SCH-05-175</t>
        </is>
      </c>
      <c r="E1208" s="23" t="inlineStr">
        <is>
          <t>Mainline east: station integrated test - release</t>
        </is>
      </c>
      <c r="F1208" s="23" t="inlineStr">
        <is>
          <t>ONE_TO_ONE</t>
        </is>
      </c>
      <c r="G1208" s="23" t="inlineStr">
        <is>
          <t>RETAINED</t>
        </is>
      </c>
      <c r="H1208" s="23" t="inlineStr">
        <is>
          <t>Carried forward</t>
        </is>
      </c>
      <c r="I1208" s="23" t="inlineStr">
        <is>
          <t>Source assignment -- not individually reviewed</t>
        </is>
      </c>
      <c r="J1208" s="23" t="inlineStr"/>
      <c r="K1208" s="23" t="inlineStr">
        <is>
          <t>Source assignment</t>
        </is>
      </c>
      <c r="L1208" s="23" t="inlineStr"/>
      <c r="M1208" s="23" t="inlineStr">
        <is>
          <t>Contractor Programme Cycle 2</t>
        </is>
      </c>
      <c r="N1208" s="23" t="inlineStr">
        <is>
          <t>Rev 1</t>
        </is>
      </c>
      <c r="O1208" s="23" t="inlineStr">
        <is>
          <t>R895-v2</t>
        </is>
      </c>
      <c r="P1208" s="23" t="inlineStr"/>
      <c r="Q1208" s="23" t="inlineStr"/>
      <c r="R1208" s="23" t="inlineStr"/>
      <c r="S1208" s="23" t="inlineStr"/>
      <c r="T1208" s="23" t="inlineStr"/>
      <c r="U1208" s="23" t="inlineStr"/>
      <c r="V1208" s="23" t="inlineStr">
        <is>
          <t>WBS Code = 1.5.1</t>
        </is>
      </c>
      <c r="W1208" s="23" t="inlineStr"/>
    </row>
    <row r="1209" ht="49" customHeight="1">
      <c r="A1209" s="23" t="inlineStr">
        <is>
          <t>1.5.1</t>
        </is>
      </c>
      <c r="B1209" s="23" t="inlineStr">
        <is>
          <t>Testing and Commissioning - Test Readiness</t>
        </is>
      </c>
      <c r="C1209" s="23" t="inlineStr">
        <is>
          <t>Contractor Programme</t>
        </is>
      </c>
      <c r="D1209" s="23" t="inlineStr">
        <is>
          <t>SCH-05-176</t>
        </is>
      </c>
      <c r="E1209" s="23" t="inlineStr">
        <is>
          <t>Central section: trial-running shift - field start</t>
        </is>
      </c>
      <c r="F1209" s="23" t="inlineStr">
        <is>
          <t>ONE_TO_ONE</t>
        </is>
      </c>
      <c r="G1209" s="23" t="inlineStr">
        <is>
          <t>RETAINED</t>
        </is>
      </c>
      <c r="H1209" s="23" t="inlineStr">
        <is>
          <t>Carried forward</t>
        </is>
      </c>
      <c r="I1209" s="23" t="inlineStr">
        <is>
          <t>Source assignment -- not individually reviewed</t>
        </is>
      </c>
      <c r="J1209" s="23" t="inlineStr"/>
      <c r="K1209" s="23" t="inlineStr">
        <is>
          <t>Source assignment</t>
        </is>
      </c>
      <c r="L1209" s="23" t="inlineStr"/>
      <c r="M1209" s="23" t="inlineStr">
        <is>
          <t>Contractor Programme Cycle 2</t>
        </is>
      </c>
      <c r="N1209" s="23" t="inlineStr">
        <is>
          <t>Rev 1</t>
        </is>
      </c>
      <c r="O1209" s="23" t="inlineStr">
        <is>
          <t>R896-v2</t>
        </is>
      </c>
      <c r="P1209" s="23" t="inlineStr"/>
      <c r="Q1209" s="23" t="inlineStr"/>
      <c r="R1209" s="23" t="inlineStr"/>
      <c r="S1209" s="23" t="inlineStr"/>
      <c r="T1209" s="23" t="inlineStr"/>
      <c r="U1209" s="23" t="inlineStr"/>
      <c r="V1209" s="23" t="inlineStr">
        <is>
          <t>WBS Code = 1.5.1</t>
        </is>
      </c>
      <c r="W1209" s="23" t="inlineStr"/>
    </row>
    <row r="1210" ht="49" customHeight="1">
      <c r="A1210" s="23" t="inlineStr">
        <is>
          <t>1.5.1</t>
        </is>
      </c>
      <c r="B1210" s="23" t="inlineStr">
        <is>
          <t>Testing and Commissioning - Test Readiness</t>
        </is>
      </c>
      <c r="C1210" s="23" t="inlineStr">
        <is>
          <t>Contractor Programme</t>
        </is>
      </c>
      <c r="D1210" s="23" t="inlineStr">
        <is>
          <t>SCH-05-178</t>
        </is>
      </c>
      <c r="E1210" s="23" t="inlineStr">
        <is>
          <t>Depot: emergency-response drill - inspection</t>
        </is>
      </c>
      <c r="F1210" s="23" t="inlineStr">
        <is>
          <t>ONE_TO_ONE</t>
        </is>
      </c>
      <c r="G1210" s="23" t="inlineStr">
        <is>
          <t>RETAINED</t>
        </is>
      </c>
      <c r="H1210" s="23" t="inlineStr">
        <is>
          <t>Carried forward</t>
        </is>
      </c>
      <c r="I1210" s="23" t="inlineStr">
        <is>
          <t>Source assignment -- not individually reviewed</t>
        </is>
      </c>
      <c r="J1210" s="23" t="inlineStr"/>
      <c r="K1210" s="23" t="inlineStr">
        <is>
          <t>Source assignment</t>
        </is>
      </c>
      <c r="L1210" s="23" t="inlineStr"/>
      <c r="M1210" s="23" t="inlineStr">
        <is>
          <t>Contractor Programme Cycle 2</t>
        </is>
      </c>
      <c r="N1210" s="23" t="inlineStr">
        <is>
          <t>Rev 1</t>
        </is>
      </c>
      <c r="O1210" s="23" t="inlineStr">
        <is>
          <t>R898-v2</t>
        </is>
      </c>
      <c r="P1210" s="23" t="inlineStr"/>
      <c r="Q1210" s="23" t="inlineStr"/>
      <c r="R1210" s="23" t="inlineStr"/>
      <c r="S1210" s="23" t="inlineStr"/>
      <c r="T1210" s="23" t="inlineStr"/>
      <c r="U1210" s="23" t="inlineStr"/>
      <c r="V1210" s="23" t="inlineStr">
        <is>
          <t>WBS Code = 1.5.1</t>
        </is>
      </c>
      <c r="W1210" s="23" t="inlineStr"/>
    </row>
    <row r="1211" ht="49" customHeight="1">
      <c r="A1211" s="23" t="inlineStr">
        <is>
          <t>1.5.1</t>
        </is>
      </c>
      <c r="B1211" s="23" t="inlineStr">
        <is>
          <t>Testing and Commissioning - Test Readiness</t>
        </is>
      </c>
      <c r="C1211" s="23" t="inlineStr">
        <is>
          <t>Contractor Programme</t>
        </is>
      </c>
      <c r="D1211" s="23" t="inlineStr">
        <is>
          <t>SCH-05-179</t>
        </is>
      </c>
      <c r="E1211" s="23" t="inlineStr">
        <is>
          <t>Control Centre: defect retest - turnover</t>
        </is>
      </c>
      <c r="F1211" s="23" t="inlineStr">
        <is>
          <t>ONE_TO_ONE</t>
        </is>
      </c>
      <c r="G1211" s="23" t="inlineStr">
        <is>
          <t>RETAINED</t>
        </is>
      </c>
      <c r="H1211" s="23" t="inlineStr">
        <is>
          <t>Carried forward</t>
        </is>
      </c>
      <c r="I1211" s="23" t="inlineStr">
        <is>
          <t>Source assignment -- not individually reviewed</t>
        </is>
      </c>
      <c r="J1211" s="23" t="inlineStr"/>
      <c r="K1211" s="23" t="inlineStr">
        <is>
          <t>Source assignment</t>
        </is>
      </c>
      <c r="L1211" s="23" t="inlineStr"/>
      <c r="M1211" s="23" t="inlineStr">
        <is>
          <t>Contractor Programme Cycle 2</t>
        </is>
      </c>
      <c r="N1211" s="23" t="inlineStr">
        <is>
          <t>Rev 1</t>
        </is>
      </c>
      <c r="O1211" s="23" t="inlineStr">
        <is>
          <t>R899-v2</t>
        </is>
      </c>
      <c r="P1211" s="23" t="inlineStr"/>
      <c r="Q1211" s="23" t="inlineStr"/>
      <c r="R1211" s="23" t="inlineStr"/>
      <c r="S1211" s="23" t="inlineStr"/>
      <c r="T1211" s="23" t="inlineStr"/>
      <c r="U1211" s="23" t="inlineStr"/>
      <c r="V1211" s="23" t="inlineStr">
        <is>
          <t>WBS Code = 1.5.1</t>
        </is>
      </c>
      <c r="W1211" s="23" t="inlineStr"/>
    </row>
    <row r="1212" ht="49" customHeight="1">
      <c r="A1212" s="23" t="inlineStr">
        <is>
          <t>1.5.2</t>
        </is>
      </c>
      <c r="B1212" s="23" t="inlineStr">
        <is>
          <t>Testing and Commissioning - Dynamic Testing</t>
        </is>
      </c>
      <c r="C1212" s="23" t="inlineStr">
        <is>
          <t>Contractor Programme</t>
        </is>
      </c>
      <c r="D1212" s="23" t="inlineStr">
        <is>
          <t>SCH-05-003</t>
        </is>
      </c>
      <c r="E1212" s="23" t="inlineStr">
        <is>
          <t>Interface works near testing and commissioning boundary</t>
        </is>
      </c>
      <c r="F1212" s="23" t="inlineStr">
        <is>
          <t>ONE_TO_ONE</t>
        </is>
      </c>
      <c r="G1212" s="23" t="inlineStr">
        <is>
          <t>RETAINED</t>
        </is>
      </c>
      <c r="H1212" s="23" t="inlineStr">
        <is>
          <t>Carried forward</t>
        </is>
      </c>
      <c r="I1212" s="23" t="inlineStr">
        <is>
          <t>Source assignment -- not individually reviewed</t>
        </is>
      </c>
      <c r="J1212" s="23" t="inlineStr"/>
      <c r="K1212" s="23" t="inlineStr">
        <is>
          <t>Source assignment</t>
        </is>
      </c>
      <c r="L1212" s="23" t="inlineStr"/>
      <c r="M1212" s="23" t="inlineStr">
        <is>
          <t>Contractor Programme Cycle 2</t>
        </is>
      </c>
      <c r="N1212" s="23" t="inlineStr">
        <is>
          <t>Rev 1</t>
        </is>
      </c>
      <c r="O1212" s="23" t="inlineStr">
        <is>
          <t>R723-v2</t>
        </is>
      </c>
      <c r="P1212" s="23" t="inlineStr"/>
      <c r="Q1212" s="23" t="inlineStr"/>
      <c r="R1212" s="23" t="inlineStr"/>
      <c r="S1212" s="23" t="inlineStr"/>
      <c r="T1212" s="23" t="inlineStr"/>
      <c r="U1212" s="23" t="inlineStr"/>
      <c r="V1212" s="23" t="inlineStr">
        <is>
          <t>WBS Code = 1.5.2</t>
        </is>
      </c>
      <c r="W1212" s="23" t="inlineStr"/>
    </row>
    <row r="1213" ht="49" customHeight="1">
      <c r="A1213" s="23" t="inlineStr">
        <is>
          <t>1.5.2</t>
        </is>
      </c>
      <c r="B1213" s="23" t="inlineStr">
        <is>
          <t>Testing and Commissioning - Dynamic Testing</t>
        </is>
      </c>
      <c r="C1213" s="23" t="inlineStr">
        <is>
          <t>Contractor Programme</t>
        </is>
      </c>
      <c r="D1213" s="23" t="inlineStr">
        <is>
          <t>SCH-05-006</t>
        </is>
      </c>
      <c r="E1213" s="23" t="inlineStr">
        <is>
          <t>Central section: service-readiness review - field start</t>
        </is>
      </c>
      <c r="F1213" s="23" t="inlineStr">
        <is>
          <t>ONE_TO_ONE</t>
        </is>
      </c>
      <c r="G1213" s="23" t="inlineStr">
        <is>
          <t>RETAINED</t>
        </is>
      </c>
      <c r="H1213" s="23" t="inlineStr">
        <is>
          <t>Carried forward</t>
        </is>
      </c>
      <c r="I1213" s="23" t="inlineStr">
        <is>
          <t>Source assignment -- not individually reviewed</t>
        </is>
      </c>
      <c r="J1213" s="23" t="inlineStr"/>
      <c r="K1213" s="23" t="inlineStr">
        <is>
          <t>Source assignment</t>
        </is>
      </c>
      <c r="L1213" s="23" t="inlineStr"/>
      <c r="M1213" s="23" t="inlineStr">
        <is>
          <t>Contractor Programme Cycle 2</t>
        </is>
      </c>
      <c r="N1213" s="23" t="inlineStr">
        <is>
          <t>Rev 1</t>
        </is>
      </c>
      <c r="O1213" s="23" t="inlineStr">
        <is>
          <t>R726-v2</t>
        </is>
      </c>
      <c r="P1213" s="23" t="inlineStr"/>
      <c r="Q1213" s="23" t="inlineStr"/>
      <c r="R1213" s="23" t="inlineStr"/>
      <c r="S1213" s="23" t="inlineStr"/>
      <c r="T1213" s="23" t="inlineStr"/>
      <c r="U1213" s="23" t="inlineStr"/>
      <c r="V1213" s="23" t="inlineStr">
        <is>
          <t>WBS Code = 1.5.2</t>
        </is>
      </c>
      <c r="W1213" s="23" t="inlineStr"/>
    </row>
    <row r="1214" ht="49" customHeight="1">
      <c r="A1214" s="23" t="inlineStr">
        <is>
          <t>1.5.2</t>
        </is>
      </c>
      <c r="B1214" s="23" t="inlineStr">
        <is>
          <t>Testing and Commissioning - Dynamic Testing</t>
        </is>
      </c>
      <c r="C1214" s="23" t="inlineStr">
        <is>
          <t>Contractor Programme</t>
        </is>
      </c>
      <c r="D1214" s="23" t="inlineStr">
        <is>
          <t>SCH-05-009</t>
        </is>
      </c>
      <c r="E1214" s="23" t="inlineStr">
        <is>
          <t>Control Centre: test procedure readiness review - turnover</t>
        </is>
      </c>
      <c r="F1214" s="23" t="inlineStr">
        <is>
          <t>ONE_TO_ONE</t>
        </is>
      </c>
      <c r="G1214" s="23" t="inlineStr">
        <is>
          <t>RETAINED</t>
        </is>
      </c>
      <c r="H1214" s="23" t="inlineStr">
        <is>
          <t>Carried forward</t>
        </is>
      </c>
      <c r="I1214" s="23" t="inlineStr">
        <is>
          <t>Source assignment -- not individually reviewed</t>
        </is>
      </c>
      <c r="J1214" s="23" t="inlineStr"/>
      <c r="K1214" s="23" t="inlineStr">
        <is>
          <t>Source assignment</t>
        </is>
      </c>
      <c r="L1214" s="23" t="inlineStr"/>
      <c r="M1214" s="23" t="inlineStr">
        <is>
          <t>Contractor Programme Cycle 2</t>
        </is>
      </c>
      <c r="N1214" s="23" t="inlineStr">
        <is>
          <t>Rev 1</t>
        </is>
      </c>
      <c r="O1214" s="23" t="inlineStr">
        <is>
          <t>R729-v2</t>
        </is>
      </c>
      <c r="P1214" s="23" t="inlineStr"/>
      <c r="Q1214" s="23" t="inlineStr"/>
      <c r="R1214" s="23" t="inlineStr"/>
      <c r="S1214" s="23" t="inlineStr"/>
      <c r="T1214" s="23" t="inlineStr"/>
      <c r="U1214" s="23" t="inlineStr"/>
      <c r="V1214" s="23" t="inlineStr">
        <is>
          <t>WBS Code = 1.5.2</t>
        </is>
      </c>
      <c r="W1214" s="23" t="inlineStr"/>
    </row>
    <row r="1215" ht="49" customHeight="1">
      <c r="A1215" s="23" t="inlineStr">
        <is>
          <t>1.5.2</t>
        </is>
      </c>
      <c r="B1215" s="23" t="inlineStr">
        <is>
          <t>Testing and Commissioning - Dynamic Testing</t>
        </is>
      </c>
      <c r="C1215" s="23" t="inlineStr">
        <is>
          <t>Contractor Programme</t>
        </is>
      </c>
      <c r="D1215" s="23" t="inlineStr">
        <is>
          <t>SCH-05-012</t>
        </is>
      </c>
      <c r="E1215" s="23" t="inlineStr">
        <is>
          <t>West terminal: mainline dynamic test - installation</t>
        </is>
      </c>
      <c r="F1215" s="23" t="inlineStr">
        <is>
          <t>ONE_TO_ONE</t>
        </is>
      </c>
      <c r="G1215" s="23" t="inlineStr">
        <is>
          <t>RETAINED</t>
        </is>
      </c>
      <c r="H1215" s="23" t="inlineStr">
        <is>
          <t>Carried forward</t>
        </is>
      </c>
      <c r="I1215" s="23" t="inlineStr">
        <is>
          <t>Source assignment -- not individually reviewed</t>
        </is>
      </c>
      <c r="J1215" s="23" t="inlineStr"/>
      <c r="K1215" s="23" t="inlineStr">
        <is>
          <t>Source assignment</t>
        </is>
      </c>
      <c r="L1215" s="23" t="inlineStr"/>
      <c r="M1215" s="23" t="inlineStr">
        <is>
          <t>Contractor Programme Cycle 2</t>
        </is>
      </c>
      <c r="N1215" s="23" t="inlineStr">
        <is>
          <t>Rev 1</t>
        </is>
      </c>
      <c r="O1215" s="23" t="inlineStr">
        <is>
          <t>R732-v2</t>
        </is>
      </c>
      <c r="P1215" s="23" t="inlineStr"/>
      <c r="Q1215" s="23" t="inlineStr"/>
      <c r="R1215" s="23" t="inlineStr"/>
      <c r="S1215" s="23" t="inlineStr"/>
      <c r="T1215" s="23" t="inlineStr"/>
      <c r="U1215" s="23" t="inlineStr"/>
      <c r="V1215" s="23" t="inlineStr">
        <is>
          <t>WBS Code = 1.5.2</t>
        </is>
      </c>
      <c r="W1215" s="23" t="inlineStr"/>
    </row>
    <row r="1216" ht="49" customHeight="1">
      <c r="A1216" s="23" t="inlineStr">
        <is>
          <t>1.5.2</t>
        </is>
      </c>
      <c r="B1216" s="23" t="inlineStr">
        <is>
          <t>Testing and Commissioning - Dynamic Testing</t>
        </is>
      </c>
      <c r="C1216" s="23" t="inlineStr">
        <is>
          <t>Contractor Programme</t>
        </is>
      </c>
      <c r="D1216" s="23" t="inlineStr">
        <is>
          <t>SCH-05-015</t>
        </is>
      </c>
      <c r="E1216" s="23" t="inlineStr">
        <is>
          <t>Mainline east: station integrated test - release</t>
        </is>
      </c>
      <c r="F1216" s="23" t="inlineStr">
        <is>
          <t>ONE_TO_ONE</t>
        </is>
      </c>
      <c r="G1216" s="23" t="inlineStr">
        <is>
          <t>RETAINED</t>
        </is>
      </c>
      <c r="H1216" s="23" t="inlineStr">
        <is>
          <t>Carried forward</t>
        </is>
      </c>
      <c r="I1216" s="23" t="inlineStr">
        <is>
          <t>Source assignment -- not individually reviewed</t>
        </is>
      </c>
      <c r="J1216" s="23" t="inlineStr"/>
      <c r="K1216" s="23" t="inlineStr">
        <is>
          <t>Source assignment</t>
        </is>
      </c>
      <c r="L1216" s="23" t="inlineStr"/>
      <c r="M1216" s="23" t="inlineStr">
        <is>
          <t>Contractor Programme Cycle 2</t>
        </is>
      </c>
      <c r="N1216" s="23" t="inlineStr">
        <is>
          <t>Rev 1</t>
        </is>
      </c>
      <c r="O1216" s="23" t="inlineStr">
        <is>
          <t>R735-v2</t>
        </is>
      </c>
      <c r="P1216" s="23" t="inlineStr"/>
      <c r="Q1216" s="23" t="inlineStr"/>
      <c r="R1216" s="23" t="inlineStr"/>
      <c r="S1216" s="23" t="inlineStr"/>
      <c r="T1216" s="23" t="inlineStr"/>
      <c r="U1216" s="23" t="inlineStr"/>
      <c r="V1216" s="23" t="inlineStr">
        <is>
          <t>WBS Code = 1.5.2</t>
        </is>
      </c>
      <c r="W1216" s="23" t="inlineStr"/>
    </row>
    <row r="1217" ht="49" customHeight="1">
      <c r="A1217" s="23" t="inlineStr">
        <is>
          <t>1.5.2</t>
        </is>
      </c>
      <c r="B1217" s="23" t="inlineStr">
        <is>
          <t>Testing and Commissioning - Dynamic Testing</t>
        </is>
      </c>
      <c r="C1217" s="23" t="inlineStr">
        <is>
          <t>Contractor Programme</t>
        </is>
      </c>
      <c r="D1217" s="23" t="inlineStr">
        <is>
          <t>SCH-05-018</t>
        </is>
      </c>
      <c r="E1217" s="23" t="inlineStr">
        <is>
          <t>Depot: emergency-response drill - inspection</t>
        </is>
      </c>
      <c r="F1217" s="23" t="inlineStr">
        <is>
          <t>ONE_TO_ONE</t>
        </is>
      </c>
      <c r="G1217" s="23" t="inlineStr">
        <is>
          <t>RETAINED</t>
        </is>
      </c>
      <c r="H1217" s="23" t="inlineStr">
        <is>
          <t>Carried forward</t>
        </is>
      </c>
      <c r="I1217" s="23" t="inlineStr">
        <is>
          <t>Source assignment -- not individually reviewed</t>
        </is>
      </c>
      <c r="J1217" s="23" t="inlineStr"/>
      <c r="K1217" s="23" t="inlineStr">
        <is>
          <t>Source assignment</t>
        </is>
      </c>
      <c r="L1217" s="23" t="inlineStr"/>
      <c r="M1217" s="23" t="inlineStr">
        <is>
          <t>Contractor Programme Cycle 2</t>
        </is>
      </c>
      <c r="N1217" s="23" t="inlineStr">
        <is>
          <t>Rev 1</t>
        </is>
      </c>
      <c r="O1217" s="23" t="inlineStr">
        <is>
          <t>R738-v2</t>
        </is>
      </c>
      <c r="P1217" s="23" t="inlineStr"/>
      <c r="Q1217" s="23" t="inlineStr"/>
      <c r="R1217" s="23" t="inlineStr"/>
      <c r="S1217" s="23" t="inlineStr"/>
      <c r="T1217" s="23" t="inlineStr"/>
      <c r="U1217" s="23" t="inlineStr"/>
      <c r="V1217" s="23" t="inlineStr">
        <is>
          <t>WBS Code = 1.5.2</t>
        </is>
      </c>
      <c r="W1217" s="23" t="inlineStr"/>
    </row>
    <row r="1218" ht="49" customHeight="1">
      <c r="A1218" s="23" t="inlineStr">
        <is>
          <t>1.5.2</t>
        </is>
      </c>
      <c r="B1218" s="23" t="inlineStr">
        <is>
          <t>Testing and Commissioning - Dynamic Testing</t>
        </is>
      </c>
      <c r="C1218" s="23" t="inlineStr">
        <is>
          <t>Contractor Programme</t>
        </is>
      </c>
      <c r="D1218" s="23" t="inlineStr">
        <is>
          <t>SCH-05-021</t>
        </is>
      </c>
      <c r="E1218" s="23" t="inlineStr">
        <is>
          <t>Central section: safety certificate evidence closeout - field start</t>
        </is>
      </c>
      <c r="F1218" s="23" t="inlineStr">
        <is>
          <t>ONE_TO_ONE</t>
        </is>
      </c>
      <c r="G1218" s="23" t="inlineStr">
        <is>
          <t>RETAINED</t>
        </is>
      </c>
      <c r="H1218" s="23" t="inlineStr">
        <is>
          <t>Carried forward</t>
        </is>
      </c>
      <c r="I1218" s="23" t="inlineStr">
        <is>
          <t>Source assignment -- not individually reviewed</t>
        </is>
      </c>
      <c r="J1218" s="23" t="inlineStr"/>
      <c r="K1218" s="23" t="inlineStr">
        <is>
          <t>Source assignment</t>
        </is>
      </c>
      <c r="L1218" s="23" t="inlineStr"/>
      <c r="M1218" s="23" t="inlineStr">
        <is>
          <t>Contractor Programme Cycle 2</t>
        </is>
      </c>
      <c r="N1218" s="23" t="inlineStr">
        <is>
          <t>Rev 1</t>
        </is>
      </c>
      <c r="O1218" s="23" t="inlineStr">
        <is>
          <t>R741-v2</t>
        </is>
      </c>
      <c r="P1218" s="23" t="inlineStr"/>
      <c r="Q1218" s="23" t="inlineStr"/>
      <c r="R1218" s="23" t="inlineStr"/>
      <c r="S1218" s="23" t="inlineStr"/>
      <c r="T1218" s="23" t="inlineStr"/>
      <c r="U1218" s="23" t="inlineStr"/>
      <c r="V1218" s="23" t="inlineStr">
        <is>
          <t>WBS Code = 1.5.2</t>
        </is>
      </c>
      <c r="W1218" s="23" t="inlineStr"/>
    </row>
    <row r="1219" ht="49" customHeight="1">
      <c r="A1219" s="23" t="inlineStr">
        <is>
          <t>1.5.2</t>
        </is>
      </c>
      <c r="B1219" s="23" t="inlineStr">
        <is>
          <t>Testing and Commissioning - Dynamic Testing</t>
        </is>
      </c>
      <c r="C1219" s="23" t="inlineStr">
        <is>
          <t>Contractor Programme</t>
        </is>
      </c>
      <c r="D1219" s="23" t="inlineStr">
        <is>
          <t>SCH-05-024</t>
        </is>
      </c>
      <c r="E1219" s="23" t="inlineStr">
        <is>
          <t>Control Centre: trial-running shift - turnover</t>
        </is>
      </c>
      <c r="F1219" s="23" t="inlineStr">
        <is>
          <t>ONE_TO_ONE</t>
        </is>
      </c>
      <c r="G1219" s="23" t="inlineStr">
        <is>
          <t>RETAINED</t>
        </is>
      </c>
      <c r="H1219" s="23" t="inlineStr">
        <is>
          <t>Carried forward</t>
        </is>
      </c>
      <c r="I1219" s="23" t="inlineStr">
        <is>
          <t>Source assignment -- not individually reviewed</t>
        </is>
      </c>
      <c r="J1219" s="23" t="inlineStr"/>
      <c r="K1219" s="23" t="inlineStr">
        <is>
          <t>Source assignment</t>
        </is>
      </c>
      <c r="L1219" s="23" t="inlineStr"/>
      <c r="M1219" s="23" t="inlineStr">
        <is>
          <t>Contractor Programme Cycle 2</t>
        </is>
      </c>
      <c r="N1219" s="23" t="inlineStr">
        <is>
          <t>Rev 1</t>
        </is>
      </c>
      <c r="O1219" s="23" t="inlineStr">
        <is>
          <t>R744-v2</t>
        </is>
      </c>
      <c r="P1219" s="23" t="inlineStr"/>
      <c r="Q1219" s="23" t="inlineStr"/>
      <c r="R1219" s="23" t="inlineStr"/>
      <c r="S1219" s="23" t="inlineStr"/>
      <c r="T1219" s="23" t="inlineStr"/>
      <c r="U1219" s="23" t="inlineStr"/>
      <c r="V1219" s="23" t="inlineStr">
        <is>
          <t>WBS Code = 1.5.2</t>
        </is>
      </c>
      <c r="W1219" s="23" t="inlineStr"/>
    </row>
    <row r="1220" ht="49" customHeight="1">
      <c r="A1220" s="23" t="inlineStr">
        <is>
          <t>1.5.2</t>
        </is>
      </c>
      <c r="B1220" s="23" t="inlineStr">
        <is>
          <t>Testing and Commissioning - Dynamic Testing</t>
        </is>
      </c>
      <c r="C1220" s="23" t="inlineStr">
        <is>
          <t>Contractor Programme</t>
        </is>
      </c>
      <c r="D1220" s="23" t="inlineStr">
        <is>
          <t>SCH-05-027</t>
        </is>
      </c>
      <c r="E1220" s="23" t="inlineStr">
        <is>
          <t>West terminal: defect retest - installation</t>
        </is>
      </c>
      <c r="F1220" s="23" t="inlineStr">
        <is>
          <t>ONE_TO_ONE</t>
        </is>
      </c>
      <c r="G1220" s="23" t="inlineStr">
        <is>
          <t>RETAINED</t>
        </is>
      </c>
      <c r="H1220" s="23" t="inlineStr">
        <is>
          <t>Carried forward</t>
        </is>
      </c>
      <c r="I1220" s="23" t="inlineStr">
        <is>
          <t>Source assignment -- not individually reviewed</t>
        </is>
      </c>
      <c r="J1220" s="23" t="inlineStr"/>
      <c r="K1220" s="23" t="inlineStr">
        <is>
          <t>Source assignment</t>
        </is>
      </c>
      <c r="L1220" s="23" t="inlineStr"/>
      <c r="M1220" s="23" t="inlineStr">
        <is>
          <t>Contractor Programme Cycle 2</t>
        </is>
      </c>
      <c r="N1220" s="23" t="inlineStr">
        <is>
          <t>Rev 1</t>
        </is>
      </c>
      <c r="O1220" s="23" t="inlineStr">
        <is>
          <t>R747-v2</t>
        </is>
      </c>
      <c r="P1220" s="23" t="inlineStr"/>
      <c r="Q1220" s="23" t="inlineStr"/>
      <c r="R1220" s="23" t="inlineStr"/>
      <c r="S1220" s="23" t="inlineStr"/>
      <c r="T1220" s="23" t="inlineStr"/>
      <c r="U1220" s="23" t="inlineStr"/>
      <c r="V1220" s="23" t="inlineStr">
        <is>
          <t>WBS Code = 1.5.2</t>
        </is>
      </c>
      <c r="W1220" s="23" t="inlineStr"/>
    </row>
    <row r="1221" ht="49" customHeight="1">
      <c r="A1221" s="23" t="inlineStr">
        <is>
          <t>1.5.2</t>
        </is>
      </c>
      <c r="B1221" s="23" t="inlineStr">
        <is>
          <t>Testing and Commissioning - Dynamic Testing</t>
        </is>
      </c>
      <c r="C1221" s="23" t="inlineStr">
        <is>
          <t>Contractor Programme</t>
        </is>
      </c>
      <c r="D1221" s="23" t="inlineStr">
        <is>
          <t>SCH-05-030</t>
        </is>
      </c>
      <c r="E1221" s="23" t="inlineStr">
        <is>
          <t>Mainline east: service-readiness review - release</t>
        </is>
      </c>
      <c r="F1221" s="23" t="inlineStr">
        <is>
          <t>ONE_TO_ONE</t>
        </is>
      </c>
      <c r="G1221" s="23" t="inlineStr">
        <is>
          <t>RETAINED</t>
        </is>
      </c>
      <c r="H1221" s="23" t="inlineStr">
        <is>
          <t>Carried forward</t>
        </is>
      </c>
      <c r="I1221" s="23" t="inlineStr">
        <is>
          <t>Source assignment -- not individually reviewed</t>
        </is>
      </c>
      <c r="J1221" s="23" t="inlineStr"/>
      <c r="K1221" s="23" t="inlineStr">
        <is>
          <t>Source assignment</t>
        </is>
      </c>
      <c r="L1221" s="23" t="inlineStr"/>
      <c r="M1221" s="23" t="inlineStr">
        <is>
          <t>Contractor Programme Cycle 2</t>
        </is>
      </c>
      <c r="N1221" s="23" t="inlineStr">
        <is>
          <t>Rev 1</t>
        </is>
      </c>
      <c r="O1221" s="23" t="inlineStr">
        <is>
          <t>R750-v2</t>
        </is>
      </c>
      <c r="P1221" s="23" t="inlineStr"/>
      <c r="Q1221" s="23" t="inlineStr"/>
      <c r="R1221" s="23" t="inlineStr"/>
      <c r="S1221" s="23" t="inlineStr"/>
      <c r="T1221" s="23" t="inlineStr"/>
      <c r="U1221" s="23" t="inlineStr"/>
      <c r="V1221" s="23" t="inlineStr">
        <is>
          <t>WBS Code = 1.5.2</t>
        </is>
      </c>
      <c r="W1221" s="23" t="inlineStr"/>
    </row>
    <row r="1222" ht="49" customHeight="1">
      <c r="A1222" s="23" t="inlineStr">
        <is>
          <t>1.5.2</t>
        </is>
      </c>
      <c r="B1222" s="23" t="inlineStr">
        <is>
          <t>Testing and Commissioning - Dynamic Testing</t>
        </is>
      </c>
      <c r="C1222" s="23" t="inlineStr">
        <is>
          <t>Contractor Programme</t>
        </is>
      </c>
      <c r="D1222" s="23" t="inlineStr">
        <is>
          <t>SCH-05-033</t>
        </is>
      </c>
      <c r="E1222" s="23" t="inlineStr">
        <is>
          <t>Depot: test procedure readiness review - inspection</t>
        </is>
      </c>
      <c r="F1222" s="23" t="inlineStr">
        <is>
          <t>ONE_TO_ONE</t>
        </is>
      </c>
      <c r="G1222" s="23" t="inlineStr">
        <is>
          <t>RETAINED</t>
        </is>
      </c>
      <c r="H1222" s="23" t="inlineStr">
        <is>
          <t>Carried forward</t>
        </is>
      </c>
      <c r="I1222" s="23" t="inlineStr">
        <is>
          <t>Source assignment -- not individually reviewed</t>
        </is>
      </c>
      <c r="J1222" s="23" t="inlineStr"/>
      <c r="K1222" s="23" t="inlineStr">
        <is>
          <t>Source assignment</t>
        </is>
      </c>
      <c r="L1222" s="23" t="inlineStr"/>
      <c r="M1222" s="23" t="inlineStr">
        <is>
          <t>Contractor Programme Cycle 2</t>
        </is>
      </c>
      <c r="N1222" s="23" t="inlineStr">
        <is>
          <t>Rev 1</t>
        </is>
      </c>
      <c r="O1222" s="23" t="inlineStr">
        <is>
          <t>R753-v2</t>
        </is>
      </c>
      <c r="P1222" s="23" t="inlineStr"/>
      <c r="Q1222" s="23" t="inlineStr"/>
      <c r="R1222" s="23" t="inlineStr"/>
      <c r="S1222" s="23" t="inlineStr"/>
      <c r="T1222" s="23" t="inlineStr"/>
      <c r="U1222" s="23" t="inlineStr"/>
      <c r="V1222" s="23" t="inlineStr">
        <is>
          <t>WBS Code = 1.5.2</t>
        </is>
      </c>
      <c r="W1222" s="23" t="inlineStr"/>
    </row>
    <row r="1223" ht="49" customHeight="1">
      <c r="A1223" s="23" t="inlineStr">
        <is>
          <t>1.5.2</t>
        </is>
      </c>
      <c r="B1223" s="23" t="inlineStr">
        <is>
          <t>Testing and Commissioning - Dynamic Testing</t>
        </is>
      </c>
      <c r="C1223" s="23" t="inlineStr">
        <is>
          <t>Contractor Programme</t>
        </is>
      </c>
      <c r="D1223" s="23" t="inlineStr">
        <is>
          <t>SCH-05-036</t>
        </is>
      </c>
      <c r="E1223" s="23" t="inlineStr">
        <is>
          <t>Central section: mainline dynamic test - field start</t>
        </is>
      </c>
      <c r="F1223" s="23" t="inlineStr">
        <is>
          <t>ONE_TO_ONE</t>
        </is>
      </c>
      <c r="G1223" s="23" t="inlineStr">
        <is>
          <t>RETAINED</t>
        </is>
      </c>
      <c r="H1223" s="23" t="inlineStr">
        <is>
          <t>Carried forward</t>
        </is>
      </c>
      <c r="I1223" s="23" t="inlineStr">
        <is>
          <t>Source assignment -- not individually reviewed</t>
        </is>
      </c>
      <c r="J1223" s="23" t="inlineStr"/>
      <c r="K1223" s="23" t="inlineStr">
        <is>
          <t>Source assignment</t>
        </is>
      </c>
      <c r="L1223" s="23" t="inlineStr"/>
      <c r="M1223" s="23" t="inlineStr">
        <is>
          <t>Contractor Programme Cycle 2</t>
        </is>
      </c>
      <c r="N1223" s="23" t="inlineStr">
        <is>
          <t>Rev 1</t>
        </is>
      </c>
      <c r="O1223" s="23" t="inlineStr">
        <is>
          <t>R756-v2</t>
        </is>
      </c>
      <c r="P1223" s="23" t="inlineStr"/>
      <c r="Q1223" s="23" t="inlineStr"/>
      <c r="R1223" s="23" t="inlineStr"/>
      <c r="S1223" s="23" t="inlineStr"/>
      <c r="T1223" s="23" t="inlineStr"/>
      <c r="U1223" s="23" t="inlineStr"/>
      <c r="V1223" s="23" t="inlineStr">
        <is>
          <t>WBS Code = 1.5.2</t>
        </is>
      </c>
      <c r="W1223" s="23" t="inlineStr"/>
    </row>
    <row r="1224" ht="49" customHeight="1">
      <c r="A1224" s="23" t="inlineStr">
        <is>
          <t>1.5.2</t>
        </is>
      </c>
      <c r="B1224" s="23" t="inlineStr">
        <is>
          <t>Testing and Commissioning - Dynamic Testing</t>
        </is>
      </c>
      <c r="C1224" s="23" t="inlineStr">
        <is>
          <t>Contractor Programme</t>
        </is>
      </c>
      <c r="D1224" s="23" t="inlineStr">
        <is>
          <t>SCH-05-039</t>
        </is>
      </c>
      <c r="E1224" s="23" t="inlineStr">
        <is>
          <t>Control Centre: station integrated test - turnover</t>
        </is>
      </c>
      <c r="F1224" s="23" t="inlineStr">
        <is>
          <t>ONE_TO_ONE</t>
        </is>
      </c>
      <c r="G1224" s="23" t="inlineStr">
        <is>
          <t>RETAINED</t>
        </is>
      </c>
      <c r="H1224" s="23" t="inlineStr">
        <is>
          <t>Carried forward</t>
        </is>
      </c>
      <c r="I1224" s="23" t="inlineStr">
        <is>
          <t>Source assignment -- not individually reviewed</t>
        </is>
      </c>
      <c r="J1224" s="23" t="inlineStr"/>
      <c r="K1224" s="23" t="inlineStr">
        <is>
          <t>Source assignment</t>
        </is>
      </c>
      <c r="L1224" s="23" t="inlineStr"/>
      <c r="M1224" s="23" t="inlineStr">
        <is>
          <t>Contractor Programme Cycle 2</t>
        </is>
      </c>
      <c r="N1224" s="23" t="inlineStr">
        <is>
          <t>Rev 1</t>
        </is>
      </c>
      <c r="O1224" s="23" t="inlineStr">
        <is>
          <t>R759-v2</t>
        </is>
      </c>
      <c r="P1224" s="23" t="inlineStr"/>
      <c r="Q1224" s="23" t="inlineStr"/>
      <c r="R1224" s="23" t="inlineStr"/>
      <c r="S1224" s="23" t="inlineStr"/>
      <c r="T1224" s="23" t="inlineStr"/>
      <c r="U1224" s="23" t="inlineStr"/>
      <c r="V1224" s="23" t="inlineStr">
        <is>
          <t>WBS Code = 1.5.2</t>
        </is>
      </c>
      <c r="W1224" s="23" t="inlineStr"/>
    </row>
    <row r="1225" ht="49" customHeight="1">
      <c r="A1225" s="23" t="inlineStr">
        <is>
          <t>1.5.2</t>
        </is>
      </c>
      <c r="B1225" s="23" t="inlineStr">
        <is>
          <t>Testing and Commissioning - Dynamic Testing</t>
        </is>
      </c>
      <c r="C1225" s="23" t="inlineStr">
        <is>
          <t>Contractor Programme</t>
        </is>
      </c>
      <c r="D1225" s="23" t="inlineStr">
        <is>
          <t>SCH-05-042</t>
        </is>
      </c>
      <c r="E1225" s="23" t="inlineStr">
        <is>
          <t>West terminal: emergency-response drill - installation</t>
        </is>
      </c>
      <c r="F1225" s="23" t="inlineStr">
        <is>
          <t>ONE_TO_ONE</t>
        </is>
      </c>
      <c r="G1225" s="23" t="inlineStr">
        <is>
          <t>RETAINED</t>
        </is>
      </c>
      <c r="H1225" s="23" t="inlineStr">
        <is>
          <t>Carried forward</t>
        </is>
      </c>
      <c r="I1225" s="23" t="inlineStr">
        <is>
          <t>Source assignment -- not individually reviewed</t>
        </is>
      </c>
      <c r="J1225" s="23" t="inlineStr"/>
      <c r="K1225" s="23" t="inlineStr">
        <is>
          <t>Source assignment</t>
        </is>
      </c>
      <c r="L1225" s="23" t="inlineStr"/>
      <c r="M1225" s="23" t="inlineStr">
        <is>
          <t>Contractor Programme Cycle 2</t>
        </is>
      </c>
      <c r="N1225" s="23" t="inlineStr">
        <is>
          <t>Rev 1</t>
        </is>
      </c>
      <c r="O1225" s="23" t="inlineStr">
        <is>
          <t>R762-v2</t>
        </is>
      </c>
      <c r="P1225" s="23" t="inlineStr"/>
      <c r="Q1225" s="23" t="inlineStr"/>
      <c r="R1225" s="23" t="inlineStr"/>
      <c r="S1225" s="23" t="inlineStr"/>
      <c r="T1225" s="23" t="inlineStr"/>
      <c r="U1225" s="23" t="inlineStr"/>
      <c r="V1225" s="23" t="inlineStr">
        <is>
          <t>WBS Code = 1.5.2</t>
        </is>
      </c>
      <c r="W1225" s="23" t="inlineStr"/>
    </row>
    <row r="1226" ht="49" customHeight="1">
      <c r="A1226" s="23" t="inlineStr">
        <is>
          <t>1.5.2</t>
        </is>
      </c>
      <c r="B1226" s="23" t="inlineStr">
        <is>
          <t>Testing and Commissioning - Dynamic Testing</t>
        </is>
      </c>
      <c r="C1226" s="23" t="inlineStr">
        <is>
          <t>Contractor Programme</t>
        </is>
      </c>
      <c r="D1226" s="23" t="inlineStr">
        <is>
          <t>SCH-05-045</t>
        </is>
      </c>
      <c r="E1226" s="23" t="inlineStr">
        <is>
          <t>Mainline east: safety certificate evidence closeout - release</t>
        </is>
      </c>
      <c r="F1226" s="23" t="inlineStr">
        <is>
          <t>ONE_TO_ONE</t>
        </is>
      </c>
      <c r="G1226" s="23" t="inlineStr">
        <is>
          <t>RETAINED</t>
        </is>
      </c>
      <c r="H1226" s="23" t="inlineStr">
        <is>
          <t>Carried forward</t>
        </is>
      </c>
      <c r="I1226" s="23" t="inlineStr">
        <is>
          <t>Source assignment -- not individually reviewed</t>
        </is>
      </c>
      <c r="J1226" s="23" t="inlineStr"/>
      <c r="K1226" s="23" t="inlineStr">
        <is>
          <t>Source assignment</t>
        </is>
      </c>
      <c r="L1226" s="23" t="inlineStr"/>
      <c r="M1226" s="23" t="inlineStr">
        <is>
          <t>Contractor Programme Cycle 2</t>
        </is>
      </c>
      <c r="N1226" s="23" t="inlineStr">
        <is>
          <t>Rev 1</t>
        </is>
      </c>
      <c r="O1226" s="23" t="inlineStr">
        <is>
          <t>R765-v2</t>
        </is>
      </c>
      <c r="P1226" s="23" t="inlineStr"/>
      <c r="Q1226" s="23" t="inlineStr"/>
      <c r="R1226" s="23" t="inlineStr"/>
      <c r="S1226" s="23" t="inlineStr"/>
      <c r="T1226" s="23" t="inlineStr"/>
      <c r="U1226" s="23" t="inlineStr"/>
      <c r="V1226" s="23" t="inlineStr">
        <is>
          <t>WBS Code = 1.5.2</t>
        </is>
      </c>
      <c r="W1226" s="23" t="inlineStr"/>
    </row>
    <row r="1227" ht="49" customHeight="1">
      <c r="A1227" s="23" t="inlineStr">
        <is>
          <t>1.5.2</t>
        </is>
      </c>
      <c r="B1227" s="23" t="inlineStr">
        <is>
          <t>Testing and Commissioning - Dynamic Testing</t>
        </is>
      </c>
      <c r="C1227" s="23" t="inlineStr">
        <is>
          <t>Contractor Programme</t>
        </is>
      </c>
      <c r="D1227" s="23" t="inlineStr">
        <is>
          <t>SCH-05-048</t>
        </is>
      </c>
      <c r="E1227" s="23" t="inlineStr">
        <is>
          <t>Depot: trial-running shift - inspection</t>
        </is>
      </c>
      <c r="F1227" s="23" t="inlineStr">
        <is>
          <t>ONE_TO_ONE</t>
        </is>
      </c>
      <c r="G1227" s="23" t="inlineStr">
        <is>
          <t>RETAINED</t>
        </is>
      </c>
      <c r="H1227" s="23" t="inlineStr">
        <is>
          <t>Carried forward</t>
        </is>
      </c>
      <c r="I1227" s="23" t="inlineStr">
        <is>
          <t>Source assignment -- not individually reviewed</t>
        </is>
      </c>
      <c r="J1227" s="23" t="inlineStr"/>
      <c r="K1227" s="23" t="inlineStr">
        <is>
          <t>Source assignment</t>
        </is>
      </c>
      <c r="L1227" s="23" t="inlineStr"/>
      <c r="M1227" s="23" t="inlineStr">
        <is>
          <t>Contractor Programme Cycle 2</t>
        </is>
      </c>
      <c r="N1227" s="23" t="inlineStr">
        <is>
          <t>Rev 1</t>
        </is>
      </c>
      <c r="O1227" s="23" t="inlineStr">
        <is>
          <t>R768-v2</t>
        </is>
      </c>
      <c r="P1227" s="23" t="inlineStr"/>
      <c r="Q1227" s="23" t="inlineStr"/>
      <c r="R1227" s="23" t="inlineStr"/>
      <c r="S1227" s="23" t="inlineStr"/>
      <c r="T1227" s="23" t="inlineStr"/>
      <c r="U1227" s="23" t="inlineStr"/>
      <c r="V1227" s="23" t="inlineStr">
        <is>
          <t>WBS Code = 1.5.2</t>
        </is>
      </c>
      <c r="W1227" s="23" t="inlineStr"/>
    </row>
    <row r="1228" ht="49" customHeight="1">
      <c r="A1228" s="23" t="inlineStr">
        <is>
          <t>1.5.2</t>
        </is>
      </c>
      <c r="B1228" s="23" t="inlineStr">
        <is>
          <t>Testing and Commissioning - Dynamic Testing</t>
        </is>
      </c>
      <c r="C1228" s="23" t="inlineStr">
        <is>
          <t>Contractor Programme</t>
        </is>
      </c>
      <c r="D1228" s="23" t="inlineStr">
        <is>
          <t>SCH-05-051</t>
        </is>
      </c>
      <c r="E1228" s="23" t="inlineStr">
        <is>
          <t>Central section: defect retest - field start</t>
        </is>
      </c>
      <c r="F1228" s="23" t="inlineStr">
        <is>
          <t>ONE_TO_ONE</t>
        </is>
      </c>
      <c r="G1228" s="23" t="inlineStr">
        <is>
          <t>RETAINED</t>
        </is>
      </c>
      <c r="H1228" s="23" t="inlineStr">
        <is>
          <t>Carried forward</t>
        </is>
      </c>
      <c r="I1228" s="23" t="inlineStr">
        <is>
          <t>Source assignment -- not individually reviewed</t>
        </is>
      </c>
      <c r="J1228" s="23" t="inlineStr"/>
      <c r="K1228" s="23" t="inlineStr">
        <is>
          <t>Source assignment</t>
        </is>
      </c>
      <c r="L1228" s="23" t="inlineStr"/>
      <c r="M1228" s="23" t="inlineStr">
        <is>
          <t>Contractor Programme Cycle 2</t>
        </is>
      </c>
      <c r="N1228" s="23" t="inlineStr">
        <is>
          <t>Rev 1</t>
        </is>
      </c>
      <c r="O1228" s="23" t="inlineStr">
        <is>
          <t>R771-v2</t>
        </is>
      </c>
      <c r="P1228" s="23" t="inlineStr"/>
      <c r="Q1228" s="23" t="inlineStr"/>
      <c r="R1228" s="23" t="inlineStr"/>
      <c r="S1228" s="23" t="inlineStr"/>
      <c r="T1228" s="23" t="inlineStr"/>
      <c r="U1228" s="23" t="inlineStr"/>
      <c r="V1228" s="23" t="inlineStr">
        <is>
          <t>WBS Code = 1.5.2</t>
        </is>
      </c>
      <c r="W1228" s="23" t="inlineStr"/>
    </row>
    <row r="1229" ht="49" customHeight="1">
      <c r="A1229" s="23" t="inlineStr">
        <is>
          <t>1.5.2</t>
        </is>
      </c>
      <c r="B1229" s="23" t="inlineStr">
        <is>
          <t>Testing and Commissioning - Dynamic Testing</t>
        </is>
      </c>
      <c r="C1229" s="23" t="inlineStr">
        <is>
          <t>Contractor Programme</t>
        </is>
      </c>
      <c r="D1229" s="23" t="inlineStr">
        <is>
          <t>SCH-05-054</t>
        </is>
      </c>
      <c r="E1229" s="23" t="inlineStr">
        <is>
          <t>Control Centre: service-readiness review - turnover</t>
        </is>
      </c>
      <c r="F1229" s="23" t="inlineStr">
        <is>
          <t>ONE_TO_ONE</t>
        </is>
      </c>
      <c r="G1229" s="23" t="inlineStr">
        <is>
          <t>RETAINED</t>
        </is>
      </c>
      <c r="H1229" s="23" t="inlineStr">
        <is>
          <t>Carried forward</t>
        </is>
      </c>
      <c r="I1229" s="23" t="inlineStr">
        <is>
          <t>Source assignment -- not individually reviewed</t>
        </is>
      </c>
      <c r="J1229" s="23" t="inlineStr"/>
      <c r="K1229" s="23" t="inlineStr">
        <is>
          <t>Source assignment</t>
        </is>
      </c>
      <c r="L1229" s="23" t="inlineStr"/>
      <c r="M1229" s="23" t="inlineStr">
        <is>
          <t>Contractor Programme Cycle 2</t>
        </is>
      </c>
      <c r="N1229" s="23" t="inlineStr">
        <is>
          <t>Rev 1</t>
        </is>
      </c>
      <c r="O1229" s="23" t="inlineStr">
        <is>
          <t>R774-v2</t>
        </is>
      </c>
      <c r="P1229" s="23" t="inlineStr"/>
      <c r="Q1229" s="23" t="inlineStr"/>
      <c r="R1229" s="23" t="inlineStr"/>
      <c r="S1229" s="23" t="inlineStr"/>
      <c r="T1229" s="23" t="inlineStr"/>
      <c r="U1229" s="23" t="inlineStr"/>
      <c r="V1229" s="23" t="inlineStr">
        <is>
          <t>WBS Code = 1.5.2</t>
        </is>
      </c>
      <c r="W1229" s="23" t="inlineStr"/>
    </row>
    <row r="1230" ht="49" customHeight="1">
      <c r="A1230" s="23" t="inlineStr">
        <is>
          <t>1.5.2</t>
        </is>
      </c>
      <c r="B1230" s="23" t="inlineStr">
        <is>
          <t>Testing and Commissioning - Dynamic Testing</t>
        </is>
      </c>
      <c r="C1230" s="23" t="inlineStr">
        <is>
          <t>Contractor Programme</t>
        </is>
      </c>
      <c r="D1230" s="23" t="inlineStr">
        <is>
          <t>SCH-05-057</t>
        </is>
      </c>
      <c r="E1230" s="23" t="inlineStr">
        <is>
          <t>West terminal: test procedure readiness review - installation</t>
        </is>
      </c>
      <c r="F1230" s="23" t="inlineStr">
        <is>
          <t>ONE_TO_ONE</t>
        </is>
      </c>
      <c r="G1230" s="23" t="inlineStr">
        <is>
          <t>RETAINED</t>
        </is>
      </c>
      <c r="H1230" s="23" t="inlineStr">
        <is>
          <t>Carried forward</t>
        </is>
      </c>
      <c r="I1230" s="23" t="inlineStr">
        <is>
          <t>Source assignment -- not individually reviewed</t>
        </is>
      </c>
      <c r="J1230" s="23" t="inlineStr"/>
      <c r="K1230" s="23" t="inlineStr">
        <is>
          <t>Source assignment</t>
        </is>
      </c>
      <c r="L1230" s="23" t="inlineStr"/>
      <c r="M1230" s="23" t="inlineStr">
        <is>
          <t>Contractor Programme Cycle 2</t>
        </is>
      </c>
      <c r="N1230" s="23" t="inlineStr">
        <is>
          <t>Rev 1</t>
        </is>
      </c>
      <c r="O1230" s="23" t="inlineStr">
        <is>
          <t>R777-v2</t>
        </is>
      </c>
      <c r="P1230" s="23" t="inlineStr"/>
      <c r="Q1230" s="23" t="inlineStr"/>
      <c r="R1230" s="23" t="inlineStr"/>
      <c r="S1230" s="23" t="inlineStr"/>
      <c r="T1230" s="23" t="inlineStr"/>
      <c r="U1230" s="23" t="inlineStr"/>
      <c r="V1230" s="23" t="inlineStr">
        <is>
          <t>WBS Code = 1.5.2</t>
        </is>
      </c>
      <c r="W1230" s="23" t="inlineStr"/>
    </row>
    <row r="1231" ht="49" customHeight="1">
      <c r="A1231" s="23" t="inlineStr">
        <is>
          <t>1.5.2</t>
        </is>
      </c>
      <c r="B1231" s="23" t="inlineStr">
        <is>
          <t>Testing and Commissioning - Dynamic Testing</t>
        </is>
      </c>
      <c r="C1231" s="23" t="inlineStr">
        <is>
          <t>Contractor Programme</t>
        </is>
      </c>
      <c r="D1231" s="23" t="inlineStr">
        <is>
          <t>SCH-05-060</t>
        </is>
      </c>
      <c r="E1231" s="23" t="inlineStr">
        <is>
          <t>Mainline east: mainline dynamic test - release</t>
        </is>
      </c>
      <c r="F1231" s="23" t="inlineStr">
        <is>
          <t>ONE_TO_ONE</t>
        </is>
      </c>
      <c r="G1231" s="23" t="inlineStr">
        <is>
          <t>RETAINED</t>
        </is>
      </c>
      <c r="H1231" s="23" t="inlineStr">
        <is>
          <t>Carried forward</t>
        </is>
      </c>
      <c r="I1231" s="23" t="inlineStr">
        <is>
          <t>Source assignment -- not individually reviewed</t>
        </is>
      </c>
      <c r="J1231" s="23" t="inlineStr"/>
      <c r="K1231" s="23" t="inlineStr">
        <is>
          <t>Source assignment</t>
        </is>
      </c>
      <c r="L1231" s="23" t="inlineStr"/>
      <c r="M1231" s="23" t="inlineStr">
        <is>
          <t>Contractor Programme Cycle 2</t>
        </is>
      </c>
      <c r="N1231" s="23" t="inlineStr">
        <is>
          <t>Rev 1</t>
        </is>
      </c>
      <c r="O1231" s="23" t="inlineStr">
        <is>
          <t>R780-v2</t>
        </is>
      </c>
      <c r="P1231" s="23" t="inlineStr"/>
      <c r="Q1231" s="23" t="inlineStr"/>
      <c r="R1231" s="23" t="inlineStr"/>
      <c r="S1231" s="23" t="inlineStr"/>
      <c r="T1231" s="23" t="inlineStr"/>
      <c r="U1231" s="23" t="inlineStr"/>
      <c r="V1231" s="23" t="inlineStr">
        <is>
          <t>WBS Code = 1.5.2</t>
        </is>
      </c>
      <c r="W1231" s="23" t="inlineStr"/>
    </row>
    <row r="1232" ht="49" customHeight="1">
      <c r="A1232" s="23" t="inlineStr">
        <is>
          <t>1.5.2</t>
        </is>
      </c>
      <c r="B1232" s="23" t="inlineStr">
        <is>
          <t>Testing and Commissioning - Dynamic Testing</t>
        </is>
      </c>
      <c r="C1232" s="23" t="inlineStr">
        <is>
          <t>Contractor Programme</t>
        </is>
      </c>
      <c r="D1232" s="23" t="inlineStr">
        <is>
          <t>SCH-05-063</t>
        </is>
      </c>
      <c r="E1232" s="23" t="inlineStr">
        <is>
          <t>Depot: station integrated test - inspection</t>
        </is>
      </c>
      <c r="F1232" s="23" t="inlineStr">
        <is>
          <t>ONE_TO_ONE</t>
        </is>
      </c>
      <c r="G1232" s="23" t="inlineStr">
        <is>
          <t>RETAINED</t>
        </is>
      </c>
      <c r="H1232" s="23" t="inlineStr">
        <is>
          <t>Carried forward</t>
        </is>
      </c>
      <c r="I1232" s="23" t="inlineStr">
        <is>
          <t>Source assignment -- not individually reviewed</t>
        </is>
      </c>
      <c r="J1232" s="23" t="inlineStr"/>
      <c r="K1232" s="23" t="inlineStr">
        <is>
          <t>Source assignment</t>
        </is>
      </c>
      <c r="L1232" s="23" t="inlineStr"/>
      <c r="M1232" s="23" t="inlineStr">
        <is>
          <t>Contractor Programme Cycle 2</t>
        </is>
      </c>
      <c r="N1232" s="23" t="inlineStr">
        <is>
          <t>Rev 1</t>
        </is>
      </c>
      <c r="O1232" s="23" t="inlineStr">
        <is>
          <t>R783-v2</t>
        </is>
      </c>
      <c r="P1232" s="23" t="inlineStr"/>
      <c r="Q1232" s="23" t="inlineStr"/>
      <c r="R1232" s="23" t="inlineStr"/>
      <c r="S1232" s="23" t="inlineStr"/>
      <c r="T1232" s="23" t="inlineStr"/>
      <c r="U1232" s="23" t="inlineStr"/>
      <c r="V1232" s="23" t="inlineStr">
        <is>
          <t>WBS Code = 1.5.2</t>
        </is>
      </c>
      <c r="W1232" s="23" t="inlineStr"/>
    </row>
    <row r="1233" ht="49" customHeight="1">
      <c r="A1233" s="23" t="inlineStr">
        <is>
          <t>1.5.2</t>
        </is>
      </c>
      <c r="B1233" s="23" t="inlineStr">
        <is>
          <t>Testing and Commissioning - Dynamic Testing</t>
        </is>
      </c>
      <c r="C1233" s="23" t="inlineStr">
        <is>
          <t>Contractor Programme</t>
        </is>
      </c>
      <c r="D1233" s="23" t="inlineStr">
        <is>
          <t>SCH-05-066</t>
        </is>
      </c>
      <c r="E1233" s="23" t="inlineStr">
        <is>
          <t>Central section: emergency-response drill - field start</t>
        </is>
      </c>
      <c r="F1233" s="23" t="inlineStr">
        <is>
          <t>ONE_TO_ONE</t>
        </is>
      </c>
      <c r="G1233" s="23" t="inlineStr">
        <is>
          <t>RETAINED</t>
        </is>
      </c>
      <c r="H1233" s="23" t="inlineStr">
        <is>
          <t>Carried forward</t>
        </is>
      </c>
      <c r="I1233" s="23" t="inlineStr">
        <is>
          <t>Source assignment -- not individually reviewed</t>
        </is>
      </c>
      <c r="J1233" s="23" t="inlineStr"/>
      <c r="K1233" s="23" t="inlineStr">
        <is>
          <t>Source assignment</t>
        </is>
      </c>
      <c r="L1233" s="23" t="inlineStr"/>
      <c r="M1233" s="23" t="inlineStr">
        <is>
          <t>Contractor Programme Cycle 2</t>
        </is>
      </c>
      <c r="N1233" s="23" t="inlineStr">
        <is>
          <t>Rev 1</t>
        </is>
      </c>
      <c r="O1233" s="23" t="inlineStr">
        <is>
          <t>R786-v2</t>
        </is>
      </c>
      <c r="P1233" s="23" t="inlineStr"/>
      <c r="Q1233" s="23" t="inlineStr"/>
      <c r="R1233" s="23" t="inlineStr"/>
      <c r="S1233" s="23" t="inlineStr"/>
      <c r="T1233" s="23" t="inlineStr"/>
      <c r="U1233" s="23" t="inlineStr"/>
      <c r="V1233" s="23" t="inlineStr">
        <is>
          <t>WBS Code = 1.5.2</t>
        </is>
      </c>
      <c r="W1233" s="23" t="inlineStr"/>
    </row>
    <row r="1234" ht="49" customHeight="1">
      <c r="A1234" s="23" t="inlineStr">
        <is>
          <t>1.5.2</t>
        </is>
      </c>
      <c r="B1234" s="23" t="inlineStr">
        <is>
          <t>Testing and Commissioning - Dynamic Testing</t>
        </is>
      </c>
      <c r="C1234" s="23" t="inlineStr">
        <is>
          <t>Contractor Programme</t>
        </is>
      </c>
      <c r="D1234" s="23" t="inlineStr">
        <is>
          <t>SCH-05-069</t>
        </is>
      </c>
      <c r="E1234" s="23" t="inlineStr">
        <is>
          <t>Control Centre: safety certificate evidence closeout - turnover</t>
        </is>
      </c>
      <c r="F1234" s="23" t="inlineStr">
        <is>
          <t>ONE_TO_ONE</t>
        </is>
      </c>
      <c r="G1234" s="23" t="inlineStr">
        <is>
          <t>RETAINED</t>
        </is>
      </c>
      <c r="H1234" s="23" t="inlineStr">
        <is>
          <t>Carried forward</t>
        </is>
      </c>
      <c r="I1234" s="23" t="inlineStr">
        <is>
          <t>Source assignment -- not individually reviewed</t>
        </is>
      </c>
      <c r="J1234" s="23" t="inlineStr"/>
      <c r="K1234" s="23" t="inlineStr">
        <is>
          <t>Source assignment</t>
        </is>
      </c>
      <c r="L1234" s="23" t="inlineStr"/>
      <c r="M1234" s="23" t="inlineStr">
        <is>
          <t>Contractor Programme Cycle 2</t>
        </is>
      </c>
      <c r="N1234" s="23" t="inlineStr">
        <is>
          <t>Rev 1</t>
        </is>
      </c>
      <c r="O1234" s="23" t="inlineStr">
        <is>
          <t>R789-v2</t>
        </is>
      </c>
      <c r="P1234" s="23" t="inlineStr"/>
      <c r="Q1234" s="23" t="inlineStr"/>
      <c r="R1234" s="23" t="inlineStr"/>
      <c r="S1234" s="23" t="inlineStr"/>
      <c r="T1234" s="23" t="inlineStr"/>
      <c r="U1234" s="23" t="inlineStr"/>
      <c r="V1234" s="23" t="inlineStr">
        <is>
          <t>WBS Code = 1.5.2</t>
        </is>
      </c>
      <c r="W1234" s="23" t="inlineStr"/>
    </row>
    <row r="1235" ht="49" customHeight="1">
      <c r="A1235" s="23" t="inlineStr">
        <is>
          <t>1.5.2</t>
        </is>
      </c>
      <c r="B1235" s="23" t="inlineStr">
        <is>
          <t>Testing and Commissioning - Dynamic Testing</t>
        </is>
      </c>
      <c r="C1235" s="23" t="inlineStr">
        <is>
          <t>Contractor Programme</t>
        </is>
      </c>
      <c r="D1235" s="23" t="inlineStr">
        <is>
          <t>SCH-05-072</t>
        </is>
      </c>
      <c r="E1235" s="23" t="inlineStr">
        <is>
          <t>West terminal: trial-running shift - installation</t>
        </is>
      </c>
      <c r="F1235" s="23" t="inlineStr">
        <is>
          <t>ONE_TO_ONE</t>
        </is>
      </c>
      <c r="G1235" s="23" t="inlineStr">
        <is>
          <t>RETAINED</t>
        </is>
      </c>
      <c r="H1235" s="23" t="inlineStr">
        <is>
          <t>Carried forward</t>
        </is>
      </c>
      <c r="I1235" s="23" t="inlineStr">
        <is>
          <t>Source assignment -- not individually reviewed</t>
        </is>
      </c>
      <c r="J1235" s="23" t="inlineStr"/>
      <c r="K1235" s="23" t="inlineStr">
        <is>
          <t>Source assignment</t>
        </is>
      </c>
      <c r="L1235" s="23" t="inlineStr"/>
      <c r="M1235" s="23" t="inlineStr">
        <is>
          <t>Contractor Programme Cycle 2</t>
        </is>
      </c>
      <c r="N1235" s="23" t="inlineStr">
        <is>
          <t>Rev 1</t>
        </is>
      </c>
      <c r="O1235" s="23" t="inlineStr">
        <is>
          <t>R792-v2</t>
        </is>
      </c>
      <c r="P1235" s="23" t="inlineStr"/>
      <c r="Q1235" s="23" t="inlineStr"/>
      <c r="R1235" s="23" t="inlineStr"/>
      <c r="S1235" s="23" t="inlineStr"/>
      <c r="T1235" s="23" t="inlineStr"/>
      <c r="U1235" s="23" t="inlineStr"/>
      <c r="V1235" s="23" t="inlineStr">
        <is>
          <t>WBS Code = 1.5.2</t>
        </is>
      </c>
      <c r="W1235" s="23" t="inlineStr"/>
    </row>
    <row r="1236" ht="49" customHeight="1">
      <c r="A1236" s="23" t="inlineStr">
        <is>
          <t>1.5.2</t>
        </is>
      </c>
      <c r="B1236" s="23" t="inlineStr">
        <is>
          <t>Testing and Commissioning - Dynamic Testing</t>
        </is>
      </c>
      <c r="C1236" s="23" t="inlineStr">
        <is>
          <t>Contractor Programme</t>
        </is>
      </c>
      <c r="D1236" s="23" t="inlineStr">
        <is>
          <t>SCH-05-075</t>
        </is>
      </c>
      <c r="E1236" s="23" t="inlineStr">
        <is>
          <t>Mainline east: defect retest - release</t>
        </is>
      </c>
      <c r="F1236" s="23" t="inlineStr">
        <is>
          <t>ONE_TO_ONE</t>
        </is>
      </c>
      <c r="G1236" s="23" t="inlineStr">
        <is>
          <t>RETAINED</t>
        </is>
      </c>
      <c r="H1236" s="23" t="inlineStr">
        <is>
          <t>Carried forward</t>
        </is>
      </c>
      <c r="I1236" s="23" t="inlineStr">
        <is>
          <t>Source assignment -- not individually reviewed</t>
        </is>
      </c>
      <c r="J1236" s="23" t="inlineStr"/>
      <c r="K1236" s="23" t="inlineStr">
        <is>
          <t>Source assignment</t>
        </is>
      </c>
      <c r="L1236" s="23" t="inlineStr"/>
      <c r="M1236" s="23" t="inlineStr">
        <is>
          <t>Contractor Programme Cycle 2</t>
        </is>
      </c>
      <c r="N1236" s="23" t="inlineStr">
        <is>
          <t>Rev 1</t>
        </is>
      </c>
      <c r="O1236" s="23" t="inlineStr">
        <is>
          <t>R795-v2</t>
        </is>
      </c>
      <c r="P1236" s="23" t="inlineStr"/>
      <c r="Q1236" s="23" t="inlineStr"/>
      <c r="R1236" s="23" t="inlineStr"/>
      <c r="S1236" s="23" t="inlineStr"/>
      <c r="T1236" s="23" t="inlineStr"/>
      <c r="U1236" s="23" t="inlineStr"/>
      <c r="V1236" s="23" t="inlineStr">
        <is>
          <t>WBS Code = 1.5.2</t>
        </is>
      </c>
      <c r="W1236" s="23" t="inlineStr"/>
    </row>
    <row r="1237" ht="49" customHeight="1">
      <c r="A1237" s="23" t="inlineStr">
        <is>
          <t>1.5.2</t>
        </is>
      </c>
      <c r="B1237" s="23" t="inlineStr">
        <is>
          <t>Testing and Commissioning - Dynamic Testing</t>
        </is>
      </c>
      <c r="C1237" s="23" t="inlineStr">
        <is>
          <t>Contractor Programme</t>
        </is>
      </c>
      <c r="D1237" s="23" t="inlineStr">
        <is>
          <t>SCH-05-078</t>
        </is>
      </c>
      <c r="E1237" s="23" t="inlineStr">
        <is>
          <t>Depot: service-readiness review - inspection</t>
        </is>
      </c>
      <c r="F1237" s="23" t="inlineStr">
        <is>
          <t>ONE_TO_ONE</t>
        </is>
      </c>
      <c r="G1237" s="23" t="inlineStr">
        <is>
          <t>RETAINED</t>
        </is>
      </c>
      <c r="H1237" s="23" t="inlineStr">
        <is>
          <t>Carried forward</t>
        </is>
      </c>
      <c r="I1237" s="23" t="inlineStr">
        <is>
          <t>Source assignment -- not individually reviewed</t>
        </is>
      </c>
      <c r="J1237" s="23" t="inlineStr"/>
      <c r="K1237" s="23" t="inlineStr">
        <is>
          <t>Source assignment</t>
        </is>
      </c>
      <c r="L1237" s="23" t="inlineStr"/>
      <c r="M1237" s="23" t="inlineStr">
        <is>
          <t>Contractor Programme Cycle 2</t>
        </is>
      </c>
      <c r="N1237" s="23" t="inlineStr">
        <is>
          <t>Rev 1</t>
        </is>
      </c>
      <c r="O1237" s="23" t="inlineStr">
        <is>
          <t>R798-v2</t>
        </is>
      </c>
      <c r="P1237" s="23" t="inlineStr"/>
      <c r="Q1237" s="23" t="inlineStr"/>
      <c r="R1237" s="23" t="inlineStr"/>
      <c r="S1237" s="23" t="inlineStr"/>
      <c r="T1237" s="23" t="inlineStr"/>
      <c r="U1237" s="23" t="inlineStr"/>
      <c r="V1237" s="23" t="inlineStr">
        <is>
          <t>WBS Code = 1.5.2</t>
        </is>
      </c>
      <c r="W1237" s="23" t="inlineStr"/>
    </row>
    <row r="1238" ht="49" customHeight="1">
      <c r="A1238" s="23" t="inlineStr">
        <is>
          <t>1.5.2</t>
        </is>
      </c>
      <c r="B1238" s="23" t="inlineStr">
        <is>
          <t>Testing and Commissioning - Dynamic Testing</t>
        </is>
      </c>
      <c r="C1238" s="23" t="inlineStr">
        <is>
          <t>Contractor Programme</t>
        </is>
      </c>
      <c r="D1238" s="23" t="inlineStr">
        <is>
          <t>SCH-05-081</t>
        </is>
      </c>
      <c r="E1238" s="23" t="inlineStr">
        <is>
          <t>Central section: test procedure readiness review - field start</t>
        </is>
      </c>
      <c r="F1238" s="23" t="inlineStr">
        <is>
          <t>ONE_TO_ONE</t>
        </is>
      </c>
      <c r="G1238" s="23" t="inlineStr">
        <is>
          <t>RETAINED</t>
        </is>
      </c>
      <c r="H1238" s="23" t="inlineStr">
        <is>
          <t>Carried forward</t>
        </is>
      </c>
      <c r="I1238" s="23" t="inlineStr">
        <is>
          <t>Source assignment -- not individually reviewed</t>
        </is>
      </c>
      <c r="J1238" s="23" t="inlineStr"/>
      <c r="K1238" s="23" t="inlineStr">
        <is>
          <t>Source assignment</t>
        </is>
      </c>
      <c r="L1238" s="23" t="inlineStr"/>
      <c r="M1238" s="23" t="inlineStr">
        <is>
          <t>Contractor Programme Cycle 2</t>
        </is>
      </c>
      <c r="N1238" s="23" t="inlineStr">
        <is>
          <t>Rev 1</t>
        </is>
      </c>
      <c r="O1238" s="23" t="inlineStr">
        <is>
          <t>R801-v2</t>
        </is>
      </c>
      <c r="P1238" s="23" t="inlineStr"/>
      <c r="Q1238" s="23" t="inlineStr"/>
      <c r="R1238" s="23" t="inlineStr"/>
      <c r="S1238" s="23" t="inlineStr"/>
      <c r="T1238" s="23" t="inlineStr"/>
      <c r="U1238" s="23" t="inlineStr"/>
      <c r="V1238" s="23" t="inlineStr">
        <is>
          <t>WBS Code = 1.5.2</t>
        </is>
      </c>
      <c r="W1238" s="23" t="inlineStr"/>
    </row>
    <row r="1239" ht="49" customHeight="1">
      <c r="A1239" s="23" t="inlineStr">
        <is>
          <t>1.5.2</t>
        </is>
      </c>
      <c r="B1239" s="23" t="inlineStr">
        <is>
          <t>Testing and Commissioning - Dynamic Testing</t>
        </is>
      </c>
      <c r="C1239" s="23" t="inlineStr">
        <is>
          <t>Contractor Programme</t>
        </is>
      </c>
      <c r="D1239" s="23" t="inlineStr">
        <is>
          <t>SCH-05-084</t>
        </is>
      </c>
      <c r="E1239" s="23" t="inlineStr">
        <is>
          <t>Control Centre: mainline dynamic test - turnover</t>
        </is>
      </c>
      <c r="F1239" s="23" t="inlineStr">
        <is>
          <t>ONE_TO_ONE</t>
        </is>
      </c>
      <c r="G1239" s="23" t="inlineStr">
        <is>
          <t>RETAINED</t>
        </is>
      </c>
      <c r="H1239" s="23" t="inlineStr">
        <is>
          <t>Carried forward</t>
        </is>
      </c>
      <c r="I1239" s="23" t="inlineStr">
        <is>
          <t>Source assignment -- not individually reviewed</t>
        </is>
      </c>
      <c r="J1239" s="23" t="inlineStr"/>
      <c r="K1239" s="23" t="inlineStr">
        <is>
          <t>Source assignment</t>
        </is>
      </c>
      <c r="L1239" s="23" t="inlineStr"/>
      <c r="M1239" s="23" t="inlineStr">
        <is>
          <t>Contractor Programme Cycle 2</t>
        </is>
      </c>
      <c r="N1239" s="23" t="inlineStr">
        <is>
          <t>Rev 1</t>
        </is>
      </c>
      <c r="O1239" s="23" t="inlineStr">
        <is>
          <t>R804-v2</t>
        </is>
      </c>
      <c r="P1239" s="23" t="inlineStr"/>
      <c r="Q1239" s="23" t="inlineStr"/>
      <c r="R1239" s="23" t="inlineStr"/>
      <c r="S1239" s="23" t="inlineStr"/>
      <c r="T1239" s="23" t="inlineStr"/>
      <c r="U1239" s="23" t="inlineStr"/>
      <c r="V1239" s="23" t="inlineStr">
        <is>
          <t>WBS Code = 1.5.2</t>
        </is>
      </c>
      <c r="W1239" s="23" t="inlineStr"/>
    </row>
    <row r="1240" ht="49" customHeight="1">
      <c r="A1240" s="23" t="inlineStr">
        <is>
          <t>1.5.2</t>
        </is>
      </c>
      <c r="B1240" s="23" t="inlineStr">
        <is>
          <t>Testing and Commissioning - Dynamic Testing</t>
        </is>
      </c>
      <c r="C1240" s="23" t="inlineStr">
        <is>
          <t>Contractor Programme</t>
        </is>
      </c>
      <c r="D1240" s="23" t="inlineStr">
        <is>
          <t>SCH-05-087</t>
        </is>
      </c>
      <c r="E1240" s="23" t="inlineStr">
        <is>
          <t>West terminal: station integrated test - installation</t>
        </is>
      </c>
      <c r="F1240" s="23" t="inlineStr">
        <is>
          <t>ONE_TO_ONE</t>
        </is>
      </c>
      <c r="G1240" s="23" t="inlineStr">
        <is>
          <t>RETAINED</t>
        </is>
      </c>
      <c r="H1240" s="23" t="inlineStr">
        <is>
          <t>Carried forward</t>
        </is>
      </c>
      <c r="I1240" s="23" t="inlineStr">
        <is>
          <t>Source assignment -- not individually reviewed</t>
        </is>
      </c>
      <c r="J1240" s="23" t="inlineStr"/>
      <c r="K1240" s="23" t="inlineStr">
        <is>
          <t>Source assignment</t>
        </is>
      </c>
      <c r="L1240" s="23" t="inlineStr"/>
      <c r="M1240" s="23" t="inlineStr">
        <is>
          <t>Contractor Programme Cycle 2</t>
        </is>
      </c>
      <c r="N1240" s="23" t="inlineStr">
        <is>
          <t>Rev 1</t>
        </is>
      </c>
      <c r="O1240" s="23" t="inlineStr">
        <is>
          <t>R807-v2</t>
        </is>
      </c>
      <c r="P1240" s="23" t="inlineStr"/>
      <c r="Q1240" s="23" t="inlineStr"/>
      <c r="R1240" s="23" t="inlineStr"/>
      <c r="S1240" s="23" t="inlineStr"/>
      <c r="T1240" s="23" t="inlineStr"/>
      <c r="U1240" s="23" t="inlineStr"/>
      <c r="V1240" s="23" t="inlineStr">
        <is>
          <t>WBS Code = 1.5.2</t>
        </is>
      </c>
      <c r="W1240" s="23" t="inlineStr"/>
    </row>
    <row r="1241" ht="49" customHeight="1">
      <c r="A1241" s="23" t="inlineStr">
        <is>
          <t>1.5.2</t>
        </is>
      </c>
      <c r="B1241" s="23" t="inlineStr">
        <is>
          <t>Testing and Commissioning - Dynamic Testing</t>
        </is>
      </c>
      <c r="C1241" s="23" t="inlineStr">
        <is>
          <t>Contractor Programme</t>
        </is>
      </c>
      <c r="D1241" s="23" t="inlineStr">
        <is>
          <t>SCH-05-090</t>
        </is>
      </c>
      <c r="E1241" s="23" t="inlineStr">
        <is>
          <t>Mainline east: emergency-response drill - release</t>
        </is>
      </c>
      <c r="F1241" s="23" t="inlineStr">
        <is>
          <t>ONE_TO_ONE</t>
        </is>
      </c>
      <c r="G1241" s="23" t="inlineStr">
        <is>
          <t>RETAINED</t>
        </is>
      </c>
      <c r="H1241" s="23" t="inlineStr">
        <is>
          <t>Carried forward</t>
        </is>
      </c>
      <c r="I1241" s="23" t="inlineStr">
        <is>
          <t>Source assignment -- not individually reviewed</t>
        </is>
      </c>
      <c r="J1241" s="23" t="inlineStr"/>
      <c r="K1241" s="23" t="inlineStr">
        <is>
          <t>Source assignment</t>
        </is>
      </c>
      <c r="L1241" s="23" t="inlineStr"/>
      <c r="M1241" s="23" t="inlineStr">
        <is>
          <t>Contractor Programme Cycle 2</t>
        </is>
      </c>
      <c r="N1241" s="23" t="inlineStr">
        <is>
          <t>Rev 1</t>
        </is>
      </c>
      <c r="O1241" s="23" t="inlineStr">
        <is>
          <t>R810-v2</t>
        </is>
      </c>
      <c r="P1241" s="23" t="inlineStr"/>
      <c r="Q1241" s="23" t="inlineStr"/>
      <c r="R1241" s="23" t="inlineStr"/>
      <c r="S1241" s="23" t="inlineStr"/>
      <c r="T1241" s="23" t="inlineStr"/>
      <c r="U1241" s="23" t="inlineStr"/>
      <c r="V1241" s="23" t="inlineStr">
        <is>
          <t>WBS Code = 1.5.2</t>
        </is>
      </c>
      <c r="W1241" s="23" t="inlineStr"/>
    </row>
    <row r="1242" ht="49" customHeight="1">
      <c r="A1242" s="23" t="inlineStr">
        <is>
          <t>1.5.2</t>
        </is>
      </c>
      <c r="B1242" s="23" t="inlineStr">
        <is>
          <t>Testing and Commissioning - Dynamic Testing</t>
        </is>
      </c>
      <c r="C1242" s="23" t="inlineStr">
        <is>
          <t>Contractor Programme</t>
        </is>
      </c>
      <c r="D1242" s="23" t="inlineStr">
        <is>
          <t>SCH-05-093</t>
        </is>
      </c>
      <c r="E1242" s="23" t="inlineStr">
        <is>
          <t>Depot: safety certificate evidence closeout - inspection</t>
        </is>
      </c>
      <c r="F1242" s="23" t="inlineStr">
        <is>
          <t>ONE_TO_ONE</t>
        </is>
      </c>
      <c r="G1242" s="23" t="inlineStr">
        <is>
          <t>RETAINED</t>
        </is>
      </c>
      <c r="H1242" s="23" t="inlineStr">
        <is>
          <t>Carried forward</t>
        </is>
      </c>
      <c r="I1242" s="23" t="inlineStr">
        <is>
          <t>Source assignment -- not individually reviewed</t>
        </is>
      </c>
      <c r="J1242" s="23" t="inlineStr"/>
      <c r="K1242" s="23" t="inlineStr">
        <is>
          <t>Source assignment</t>
        </is>
      </c>
      <c r="L1242" s="23" t="inlineStr"/>
      <c r="M1242" s="23" t="inlineStr">
        <is>
          <t>Contractor Programme Cycle 2</t>
        </is>
      </c>
      <c r="N1242" s="23" t="inlineStr">
        <is>
          <t>Rev 1</t>
        </is>
      </c>
      <c r="O1242" s="23" t="inlineStr">
        <is>
          <t>R813-v2</t>
        </is>
      </c>
      <c r="P1242" s="23" t="inlineStr"/>
      <c r="Q1242" s="23" t="inlineStr"/>
      <c r="R1242" s="23" t="inlineStr"/>
      <c r="S1242" s="23" t="inlineStr"/>
      <c r="T1242" s="23" t="inlineStr"/>
      <c r="U1242" s="23" t="inlineStr"/>
      <c r="V1242" s="23" t="inlineStr">
        <is>
          <t>WBS Code = 1.5.2</t>
        </is>
      </c>
      <c r="W1242" s="23" t="inlineStr"/>
    </row>
    <row r="1243" ht="49" customHeight="1">
      <c r="A1243" s="23" t="inlineStr">
        <is>
          <t>1.5.2</t>
        </is>
      </c>
      <c r="B1243" s="23" t="inlineStr">
        <is>
          <t>Testing and Commissioning - Dynamic Testing</t>
        </is>
      </c>
      <c r="C1243" s="23" t="inlineStr">
        <is>
          <t>Contractor Programme</t>
        </is>
      </c>
      <c r="D1243" s="23" t="inlineStr">
        <is>
          <t>SCH-05-096</t>
        </is>
      </c>
      <c r="E1243" s="23" t="inlineStr">
        <is>
          <t>Central section: trial-running shift - field start</t>
        </is>
      </c>
      <c r="F1243" s="23" t="inlineStr">
        <is>
          <t>ONE_TO_ONE</t>
        </is>
      </c>
      <c r="G1243" s="23" t="inlineStr">
        <is>
          <t>RETAINED</t>
        </is>
      </c>
      <c r="H1243" s="23" t="inlineStr">
        <is>
          <t>Carried forward</t>
        </is>
      </c>
      <c r="I1243" s="23" t="inlineStr">
        <is>
          <t>Source assignment -- not individually reviewed</t>
        </is>
      </c>
      <c r="J1243" s="23" t="inlineStr"/>
      <c r="K1243" s="23" t="inlineStr">
        <is>
          <t>Source assignment</t>
        </is>
      </c>
      <c r="L1243" s="23" t="inlineStr"/>
      <c r="M1243" s="23" t="inlineStr">
        <is>
          <t>Contractor Programme Cycle 2</t>
        </is>
      </c>
      <c r="N1243" s="23" t="inlineStr">
        <is>
          <t>Rev 1</t>
        </is>
      </c>
      <c r="O1243" s="23" t="inlineStr">
        <is>
          <t>R816-v2</t>
        </is>
      </c>
      <c r="P1243" s="23" t="inlineStr"/>
      <c r="Q1243" s="23" t="inlineStr"/>
      <c r="R1243" s="23" t="inlineStr"/>
      <c r="S1243" s="23" t="inlineStr"/>
      <c r="T1243" s="23" t="inlineStr"/>
      <c r="U1243" s="23" t="inlineStr"/>
      <c r="V1243" s="23" t="inlineStr">
        <is>
          <t>WBS Code = 1.5.2</t>
        </is>
      </c>
      <c r="W1243" s="23" t="inlineStr"/>
    </row>
    <row r="1244" ht="49" customHeight="1">
      <c r="A1244" s="23" t="inlineStr">
        <is>
          <t>1.5.2</t>
        </is>
      </c>
      <c r="B1244" s="23" t="inlineStr">
        <is>
          <t>Testing and Commissioning - Dynamic Testing</t>
        </is>
      </c>
      <c r="C1244" s="23" t="inlineStr">
        <is>
          <t>Contractor Programme</t>
        </is>
      </c>
      <c r="D1244" s="23" t="inlineStr">
        <is>
          <t>SCH-05-099</t>
        </is>
      </c>
      <c r="E1244" s="23" t="inlineStr">
        <is>
          <t>Control Centre: defect retest - turnover</t>
        </is>
      </c>
      <c r="F1244" s="23" t="inlineStr">
        <is>
          <t>ONE_TO_ONE</t>
        </is>
      </c>
      <c r="G1244" s="23" t="inlineStr">
        <is>
          <t>RETAINED</t>
        </is>
      </c>
      <c r="H1244" s="23" t="inlineStr">
        <is>
          <t>Carried forward</t>
        </is>
      </c>
      <c r="I1244" s="23" t="inlineStr">
        <is>
          <t>Source assignment -- not individually reviewed</t>
        </is>
      </c>
      <c r="J1244" s="23" t="inlineStr"/>
      <c r="K1244" s="23" t="inlineStr">
        <is>
          <t>Source assignment</t>
        </is>
      </c>
      <c r="L1244" s="23" t="inlineStr"/>
      <c r="M1244" s="23" t="inlineStr">
        <is>
          <t>Contractor Programme Cycle 2</t>
        </is>
      </c>
      <c r="N1244" s="23" t="inlineStr">
        <is>
          <t>Rev 1</t>
        </is>
      </c>
      <c r="O1244" s="23" t="inlineStr">
        <is>
          <t>R819-v2</t>
        </is>
      </c>
      <c r="P1244" s="23" t="inlineStr"/>
      <c r="Q1244" s="23" t="inlineStr"/>
      <c r="R1244" s="23" t="inlineStr"/>
      <c r="S1244" s="23" t="inlineStr"/>
      <c r="T1244" s="23" t="inlineStr"/>
      <c r="U1244" s="23" t="inlineStr"/>
      <c r="V1244" s="23" t="inlineStr">
        <is>
          <t>WBS Code = 1.5.2</t>
        </is>
      </c>
      <c r="W1244" s="23" t="inlineStr"/>
    </row>
    <row r="1245" ht="49" customHeight="1">
      <c r="A1245" s="23" t="inlineStr">
        <is>
          <t>1.5.2</t>
        </is>
      </c>
      <c r="B1245" s="23" t="inlineStr">
        <is>
          <t>Testing and Commissioning - Dynamic Testing</t>
        </is>
      </c>
      <c r="C1245" s="23" t="inlineStr">
        <is>
          <t>Contractor Programme</t>
        </is>
      </c>
      <c r="D1245" s="23" t="inlineStr">
        <is>
          <t>SCH-05-102</t>
        </is>
      </c>
      <c r="E1245" s="23" t="inlineStr">
        <is>
          <t>West terminal: service-readiness review - installation</t>
        </is>
      </c>
      <c r="F1245" s="23" t="inlineStr">
        <is>
          <t>ONE_TO_ONE</t>
        </is>
      </c>
      <c r="G1245" s="23" t="inlineStr">
        <is>
          <t>RETAINED</t>
        </is>
      </c>
      <c r="H1245" s="23" t="inlineStr">
        <is>
          <t>Carried forward</t>
        </is>
      </c>
      <c r="I1245" s="23" t="inlineStr">
        <is>
          <t>Source assignment -- not individually reviewed</t>
        </is>
      </c>
      <c r="J1245" s="23" t="inlineStr"/>
      <c r="K1245" s="23" t="inlineStr">
        <is>
          <t>Source assignment</t>
        </is>
      </c>
      <c r="L1245" s="23" t="inlineStr"/>
      <c r="M1245" s="23" t="inlineStr">
        <is>
          <t>Contractor Programme Cycle 2</t>
        </is>
      </c>
      <c r="N1245" s="23" t="inlineStr">
        <is>
          <t>Rev 1</t>
        </is>
      </c>
      <c r="O1245" s="23" t="inlineStr">
        <is>
          <t>R822-v2</t>
        </is>
      </c>
      <c r="P1245" s="23" t="inlineStr"/>
      <c r="Q1245" s="23" t="inlineStr"/>
      <c r="R1245" s="23" t="inlineStr"/>
      <c r="S1245" s="23" t="inlineStr"/>
      <c r="T1245" s="23" t="inlineStr"/>
      <c r="U1245" s="23" t="inlineStr"/>
      <c r="V1245" s="23" t="inlineStr">
        <is>
          <t>WBS Code = 1.5.2</t>
        </is>
      </c>
      <c r="W1245" s="23" t="inlineStr"/>
    </row>
    <row r="1246" ht="49" customHeight="1">
      <c r="A1246" s="23" t="inlineStr">
        <is>
          <t>1.5.2</t>
        </is>
      </c>
      <c r="B1246" s="23" t="inlineStr">
        <is>
          <t>Testing and Commissioning - Dynamic Testing</t>
        </is>
      </c>
      <c r="C1246" s="23" t="inlineStr">
        <is>
          <t>Contractor Programme</t>
        </is>
      </c>
      <c r="D1246" s="23" t="inlineStr">
        <is>
          <t>SCH-05-105</t>
        </is>
      </c>
      <c r="E1246" s="23" t="inlineStr">
        <is>
          <t>Mainline east: test procedure readiness review - release</t>
        </is>
      </c>
      <c r="F1246" s="23" t="inlineStr">
        <is>
          <t>ONE_TO_ONE</t>
        </is>
      </c>
      <c r="G1246" s="23" t="inlineStr">
        <is>
          <t>RETAINED</t>
        </is>
      </c>
      <c r="H1246" s="23" t="inlineStr">
        <is>
          <t>Carried forward</t>
        </is>
      </c>
      <c r="I1246" s="23" t="inlineStr">
        <is>
          <t>Source assignment -- not individually reviewed</t>
        </is>
      </c>
      <c r="J1246" s="23" t="inlineStr"/>
      <c r="K1246" s="23" t="inlineStr">
        <is>
          <t>Source assignment</t>
        </is>
      </c>
      <c r="L1246" s="23" t="inlineStr"/>
      <c r="M1246" s="23" t="inlineStr">
        <is>
          <t>Contractor Programme Cycle 2</t>
        </is>
      </c>
      <c r="N1246" s="23" t="inlineStr">
        <is>
          <t>Rev 1</t>
        </is>
      </c>
      <c r="O1246" s="23" t="inlineStr">
        <is>
          <t>R825-v2</t>
        </is>
      </c>
      <c r="P1246" s="23" t="inlineStr"/>
      <c r="Q1246" s="23" t="inlineStr"/>
      <c r="R1246" s="23" t="inlineStr"/>
      <c r="S1246" s="23" t="inlineStr"/>
      <c r="T1246" s="23" t="inlineStr"/>
      <c r="U1246" s="23" t="inlineStr"/>
      <c r="V1246" s="23" t="inlineStr">
        <is>
          <t>WBS Code = 1.5.2</t>
        </is>
      </c>
      <c r="W1246" s="23" t="inlineStr"/>
    </row>
    <row r="1247" ht="49" customHeight="1">
      <c r="A1247" s="23" t="inlineStr">
        <is>
          <t>1.5.2</t>
        </is>
      </c>
      <c r="B1247" s="23" t="inlineStr">
        <is>
          <t>Testing and Commissioning - Dynamic Testing</t>
        </is>
      </c>
      <c r="C1247" s="23" t="inlineStr">
        <is>
          <t>Contractor Programme</t>
        </is>
      </c>
      <c r="D1247" s="23" t="inlineStr">
        <is>
          <t>SCH-05-108</t>
        </is>
      </c>
      <c r="E1247" s="23" t="inlineStr">
        <is>
          <t>Depot: mainline dynamic test - inspection</t>
        </is>
      </c>
      <c r="F1247" s="23" t="inlineStr">
        <is>
          <t>ONE_TO_ONE</t>
        </is>
      </c>
      <c r="G1247" s="23" t="inlineStr">
        <is>
          <t>RETAINED</t>
        </is>
      </c>
      <c r="H1247" s="23" t="inlineStr">
        <is>
          <t>Carried forward</t>
        </is>
      </c>
      <c r="I1247" s="23" t="inlineStr">
        <is>
          <t>Source assignment -- not individually reviewed</t>
        </is>
      </c>
      <c r="J1247" s="23" t="inlineStr"/>
      <c r="K1247" s="23" t="inlineStr">
        <is>
          <t>Source assignment</t>
        </is>
      </c>
      <c r="L1247" s="23" t="inlineStr"/>
      <c r="M1247" s="23" t="inlineStr">
        <is>
          <t>Contractor Programme Cycle 2</t>
        </is>
      </c>
      <c r="N1247" s="23" t="inlineStr">
        <is>
          <t>Rev 1</t>
        </is>
      </c>
      <c r="O1247" s="23" t="inlineStr">
        <is>
          <t>R828-v2</t>
        </is>
      </c>
      <c r="P1247" s="23" t="inlineStr"/>
      <c r="Q1247" s="23" t="inlineStr"/>
      <c r="R1247" s="23" t="inlineStr"/>
      <c r="S1247" s="23" t="inlineStr"/>
      <c r="T1247" s="23" t="inlineStr"/>
      <c r="U1247" s="23" t="inlineStr"/>
      <c r="V1247" s="23" t="inlineStr">
        <is>
          <t>WBS Code = 1.5.2</t>
        </is>
      </c>
      <c r="W1247" s="23" t="inlineStr"/>
    </row>
    <row r="1248" ht="49" customHeight="1">
      <c r="A1248" s="23" t="inlineStr">
        <is>
          <t>1.5.2</t>
        </is>
      </c>
      <c r="B1248" s="23" t="inlineStr">
        <is>
          <t>Testing and Commissioning - Dynamic Testing</t>
        </is>
      </c>
      <c r="C1248" s="23" t="inlineStr">
        <is>
          <t>Contractor Programme</t>
        </is>
      </c>
      <c r="D1248" s="23" t="inlineStr">
        <is>
          <t>SCH-05-111</t>
        </is>
      </c>
      <c r="E1248" s="23" t="inlineStr">
        <is>
          <t>Central section: station integrated test - field start</t>
        </is>
      </c>
      <c r="F1248" s="23" t="inlineStr">
        <is>
          <t>ONE_TO_ONE</t>
        </is>
      </c>
      <c r="G1248" s="23" t="inlineStr">
        <is>
          <t>RETAINED</t>
        </is>
      </c>
      <c r="H1248" s="23" t="inlineStr">
        <is>
          <t>Carried forward</t>
        </is>
      </c>
      <c r="I1248" s="23" t="inlineStr">
        <is>
          <t>Source assignment -- not individually reviewed</t>
        </is>
      </c>
      <c r="J1248" s="23" t="inlineStr"/>
      <c r="K1248" s="23" t="inlineStr">
        <is>
          <t>Source assignment</t>
        </is>
      </c>
      <c r="L1248" s="23" t="inlineStr"/>
      <c r="M1248" s="23" t="inlineStr">
        <is>
          <t>Contractor Programme Cycle 2</t>
        </is>
      </c>
      <c r="N1248" s="23" t="inlineStr">
        <is>
          <t>Rev 1</t>
        </is>
      </c>
      <c r="O1248" s="23" t="inlineStr">
        <is>
          <t>R831-v2</t>
        </is>
      </c>
      <c r="P1248" s="23" t="inlineStr"/>
      <c r="Q1248" s="23" t="inlineStr"/>
      <c r="R1248" s="23" t="inlineStr"/>
      <c r="S1248" s="23" t="inlineStr"/>
      <c r="T1248" s="23" t="inlineStr"/>
      <c r="U1248" s="23" t="inlineStr"/>
      <c r="V1248" s="23" t="inlineStr">
        <is>
          <t>WBS Code = 1.5.2</t>
        </is>
      </c>
      <c r="W1248" s="23" t="inlineStr"/>
    </row>
    <row r="1249" ht="49" customHeight="1">
      <c r="A1249" s="23" t="inlineStr">
        <is>
          <t>1.5.2</t>
        </is>
      </c>
      <c r="B1249" s="23" t="inlineStr">
        <is>
          <t>Testing and Commissioning - Dynamic Testing</t>
        </is>
      </c>
      <c r="C1249" s="23" t="inlineStr">
        <is>
          <t>Contractor Programme</t>
        </is>
      </c>
      <c r="D1249" s="23" t="inlineStr">
        <is>
          <t>SCH-05-114</t>
        </is>
      </c>
      <c r="E1249" s="23" t="inlineStr">
        <is>
          <t>Control Centre: emergency-response drill - turnover</t>
        </is>
      </c>
      <c r="F1249" s="23" t="inlineStr">
        <is>
          <t>ONE_TO_ONE</t>
        </is>
      </c>
      <c r="G1249" s="23" t="inlineStr">
        <is>
          <t>RETAINED</t>
        </is>
      </c>
      <c r="H1249" s="23" t="inlineStr">
        <is>
          <t>Carried forward</t>
        </is>
      </c>
      <c r="I1249" s="23" t="inlineStr">
        <is>
          <t>Source assignment -- not individually reviewed</t>
        </is>
      </c>
      <c r="J1249" s="23" t="inlineStr"/>
      <c r="K1249" s="23" t="inlineStr">
        <is>
          <t>Source assignment</t>
        </is>
      </c>
      <c r="L1249" s="23" t="inlineStr"/>
      <c r="M1249" s="23" t="inlineStr">
        <is>
          <t>Contractor Programme Cycle 2</t>
        </is>
      </c>
      <c r="N1249" s="23" t="inlineStr">
        <is>
          <t>Rev 1</t>
        </is>
      </c>
      <c r="O1249" s="23" t="inlineStr">
        <is>
          <t>R834-v2</t>
        </is>
      </c>
      <c r="P1249" s="23" t="inlineStr"/>
      <c r="Q1249" s="23" t="inlineStr"/>
      <c r="R1249" s="23" t="inlineStr"/>
      <c r="S1249" s="23" t="inlineStr"/>
      <c r="T1249" s="23" t="inlineStr"/>
      <c r="U1249" s="23" t="inlineStr"/>
      <c r="V1249" s="23" t="inlineStr">
        <is>
          <t>WBS Code = 1.5.2</t>
        </is>
      </c>
      <c r="W1249" s="23" t="inlineStr"/>
    </row>
    <row r="1250" ht="49" customHeight="1">
      <c r="A1250" s="23" t="inlineStr">
        <is>
          <t>1.5.2</t>
        </is>
      </c>
      <c r="B1250" s="23" t="inlineStr">
        <is>
          <t>Testing and Commissioning - Dynamic Testing</t>
        </is>
      </c>
      <c r="C1250" s="23" t="inlineStr">
        <is>
          <t>Contractor Programme</t>
        </is>
      </c>
      <c r="D1250" s="23" t="inlineStr">
        <is>
          <t>SCH-05-117</t>
        </is>
      </c>
      <c r="E1250" s="23" t="inlineStr">
        <is>
          <t>West terminal: safety certificate evidence closeout - installation</t>
        </is>
      </c>
      <c r="F1250" s="23" t="inlineStr">
        <is>
          <t>ONE_TO_ONE</t>
        </is>
      </c>
      <c r="G1250" s="23" t="inlineStr">
        <is>
          <t>RETAINED</t>
        </is>
      </c>
      <c r="H1250" s="23" t="inlineStr">
        <is>
          <t>Carried forward</t>
        </is>
      </c>
      <c r="I1250" s="23" t="inlineStr">
        <is>
          <t>Source assignment -- not individually reviewed</t>
        </is>
      </c>
      <c r="J1250" s="23" t="inlineStr"/>
      <c r="K1250" s="23" t="inlineStr">
        <is>
          <t>Source assignment</t>
        </is>
      </c>
      <c r="L1250" s="23" t="inlineStr"/>
      <c r="M1250" s="23" t="inlineStr">
        <is>
          <t>Contractor Programme Cycle 2</t>
        </is>
      </c>
      <c r="N1250" s="23" t="inlineStr">
        <is>
          <t>Rev 1</t>
        </is>
      </c>
      <c r="O1250" s="23" t="inlineStr">
        <is>
          <t>R837-v2</t>
        </is>
      </c>
      <c r="P1250" s="23" t="inlineStr"/>
      <c r="Q1250" s="23" t="inlineStr"/>
      <c r="R1250" s="23" t="inlineStr"/>
      <c r="S1250" s="23" t="inlineStr"/>
      <c r="T1250" s="23" t="inlineStr"/>
      <c r="U1250" s="23" t="inlineStr"/>
      <c r="V1250" s="23" t="inlineStr">
        <is>
          <t>WBS Code = 1.5.2</t>
        </is>
      </c>
      <c r="W1250" s="23" t="inlineStr"/>
    </row>
    <row r="1251" ht="49" customHeight="1">
      <c r="A1251" s="23" t="inlineStr">
        <is>
          <t>1.5.2</t>
        </is>
      </c>
      <c r="B1251" s="23" t="inlineStr">
        <is>
          <t>Testing and Commissioning - Dynamic Testing</t>
        </is>
      </c>
      <c r="C1251" s="23" t="inlineStr">
        <is>
          <t>Contractor Programme</t>
        </is>
      </c>
      <c r="D1251" s="23" t="inlineStr">
        <is>
          <t>SCH-05-120</t>
        </is>
      </c>
      <c r="E1251" s="23" t="inlineStr">
        <is>
          <t>Mainline east: trial-running shift - release</t>
        </is>
      </c>
      <c r="F1251" s="23" t="inlineStr">
        <is>
          <t>ONE_TO_ONE</t>
        </is>
      </c>
      <c r="G1251" s="23" t="inlineStr">
        <is>
          <t>RETAINED</t>
        </is>
      </c>
      <c r="H1251" s="23" t="inlineStr">
        <is>
          <t>Carried forward</t>
        </is>
      </c>
      <c r="I1251" s="23" t="inlineStr">
        <is>
          <t>Source assignment -- not individually reviewed</t>
        </is>
      </c>
      <c r="J1251" s="23" t="inlineStr"/>
      <c r="K1251" s="23" t="inlineStr">
        <is>
          <t>Source assignment</t>
        </is>
      </c>
      <c r="L1251" s="23" t="inlineStr"/>
      <c r="M1251" s="23" t="inlineStr">
        <is>
          <t>Contractor Programme Cycle 2</t>
        </is>
      </c>
      <c r="N1251" s="23" t="inlineStr">
        <is>
          <t>Rev 1</t>
        </is>
      </c>
      <c r="O1251" s="23" t="inlineStr">
        <is>
          <t>R840-v2</t>
        </is>
      </c>
      <c r="P1251" s="23" t="inlineStr"/>
      <c r="Q1251" s="23" t="inlineStr"/>
      <c r="R1251" s="23" t="inlineStr"/>
      <c r="S1251" s="23" t="inlineStr"/>
      <c r="T1251" s="23" t="inlineStr"/>
      <c r="U1251" s="23" t="inlineStr"/>
      <c r="V1251" s="23" t="inlineStr">
        <is>
          <t>WBS Code = 1.5.2</t>
        </is>
      </c>
      <c r="W1251" s="23" t="inlineStr"/>
    </row>
    <row r="1252" ht="49" customHeight="1">
      <c r="A1252" s="23" t="inlineStr">
        <is>
          <t>1.5.2</t>
        </is>
      </c>
      <c r="B1252" s="23" t="inlineStr">
        <is>
          <t>Testing and Commissioning - Dynamic Testing</t>
        </is>
      </c>
      <c r="C1252" s="23" t="inlineStr">
        <is>
          <t>Contractor Programme</t>
        </is>
      </c>
      <c r="D1252" s="23" t="inlineStr">
        <is>
          <t>SCH-05-123</t>
        </is>
      </c>
      <c r="E1252" s="23" t="inlineStr">
        <is>
          <t>Depot: defect retest - inspection</t>
        </is>
      </c>
      <c r="F1252" s="23" t="inlineStr">
        <is>
          <t>ONE_TO_ONE</t>
        </is>
      </c>
      <c r="G1252" s="23" t="inlineStr">
        <is>
          <t>RETAINED</t>
        </is>
      </c>
      <c r="H1252" s="23" t="inlineStr">
        <is>
          <t>Carried forward</t>
        </is>
      </c>
      <c r="I1252" s="23" t="inlineStr">
        <is>
          <t>Source assignment -- not individually reviewed</t>
        </is>
      </c>
      <c r="J1252" s="23" t="inlineStr"/>
      <c r="K1252" s="23" t="inlineStr">
        <is>
          <t>Source assignment</t>
        </is>
      </c>
      <c r="L1252" s="23" t="inlineStr"/>
      <c r="M1252" s="23" t="inlineStr">
        <is>
          <t>Contractor Programme Cycle 2</t>
        </is>
      </c>
      <c r="N1252" s="23" t="inlineStr">
        <is>
          <t>Rev 1</t>
        </is>
      </c>
      <c r="O1252" s="23" t="inlineStr">
        <is>
          <t>R843-v2</t>
        </is>
      </c>
      <c r="P1252" s="23" t="inlineStr"/>
      <c r="Q1252" s="23" t="inlineStr"/>
      <c r="R1252" s="23" t="inlineStr"/>
      <c r="S1252" s="23" t="inlineStr"/>
      <c r="T1252" s="23" t="inlineStr"/>
      <c r="U1252" s="23" t="inlineStr"/>
      <c r="V1252" s="23" t="inlineStr">
        <is>
          <t>WBS Code = 1.5.2</t>
        </is>
      </c>
      <c r="W1252" s="23" t="inlineStr"/>
    </row>
    <row r="1253" ht="49" customHeight="1">
      <c r="A1253" s="23" t="inlineStr">
        <is>
          <t>1.5.2</t>
        </is>
      </c>
      <c r="B1253" s="23" t="inlineStr">
        <is>
          <t>Testing and Commissioning - Dynamic Testing</t>
        </is>
      </c>
      <c r="C1253" s="23" t="inlineStr">
        <is>
          <t>Contractor Programme</t>
        </is>
      </c>
      <c r="D1253" s="23" t="inlineStr">
        <is>
          <t>SCH-05-126</t>
        </is>
      </c>
      <c r="E1253" s="23" t="inlineStr">
        <is>
          <t>Central section: service-readiness review - field start</t>
        </is>
      </c>
      <c r="F1253" s="23" t="inlineStr">
        <is>
          <t>ONE_TO_ONE</t>
        </is>
      </c>
      <c r="G1253" s="23" t="inlineStr">
        <is>
          <t>RETAINED</t>
        </is>
      </c>
      <c r="H1253" s="23" t="inlineStr">
        <is>
          <t>Carried forward</t>
        </is>
      </c>
      <c r="I1253" s="23" t="inlineStr">
        <is>
          <t>Source assignment -- not individually reviewed</t>
        </is>
      </c>
      <c r="J1253" s="23" t="inlineStr"/>
      <c r="K1253" s="23" t="inlineStr">
        <is>
          <t>Source assignment</t>
        </is>
      </c>
      <c r="L1253" s="23" t="inlineStr"/>
      <c r="M1253" s="23" t="inlineStr">
        <is>
          <t>Contractor Programme Cycle 2</t>
        </is>
      </c>
      <c r="N1253" s="23" t="inlineStr">
        <is>
          <t>Rev 1</t>
        </is>
      </c>
      <c r="O1253" s="23" t="inlineStr">
        <is>
          <t>R846-v2</t>
        </is>
      </c>
      <c r="P1253" s="23" t="inlineStr"/>
      <c r="Q1253" s="23" t="inlineStr"/>
      <c r="R1253" s="23" t="inlineStr"/>
      <c r="S1253" s="23" t="inlineStr"/>
      <c r="T1253" s="23" t="inlineStr"/>
      <c r="U1253" s="23" t="inlineStr"/>
      <c r="V1253" s="23" t="inlineStr">
        <is>
          <t>WBS Code = 1.5.2</t>
        </is>
      </c>
      <c r="W1253" s="23" t="inlineStr"/>
    </row>
    <row r="1254" ht="49" customHeight="1">
      <c r="A1254" s="23" t="inlineStr">
        <is>
          <t>1.5.2</t>
        </is>
      </c>
      <c r="B1254" s="23" t="inlineStr">
        <is>
          <t>Testing and Commissioning - Dynamic Testing</t>
        </is>
      </c>
      <c r="C1254" s="23" t="inlineStr">
        <is>
          <t>Contractor Programme</t>
        </is>
      </c>
      <c r="D1254" s="23" t="inlineStr">
        <is>
          <t>SCH-05-129</t>
        </is>
      </c>
      <c r="E1254" s="23" t="inlineStr">
        <is>
          <t>Control Centre: test procedure readiness review - turnover</t>
        </is>
      </c>
      <c r="F1254" s="23" t="inlineStr">
        <is>
          <t>ONE_TO_ONE</t>
        </is>
      </c>
      <c r="G1254" s="23" t="inlineStr">
        <is>
          <t>RETAINED</t>
        </is>
      </c>
      <c r="H1254" s="23" t="inlineStr">
        <is>
          <t>Carried forward</t>
        </is>
      </c>
      <c r="I1254" s="23" t="inlineStr">
        <is>
          <t>Source assignment -- not individually reviewed</t>
        </is>
      </c>
      <c r="J1254" s="23" t="inlineStr"/>
      <c r="K1254" s="23" t="inlineStr">
        <is>
          <t>Source assignment</t>
        </is>
      </c>
      <c r="L1254" s="23" t="inlineStr"/>
      <c r="M1254" s="23" t="inlineStr">
        <is>
          <t>Contractor Programme Cycle 2</t>
        </is>
      </c>
      <c r="N1254" s="23" t="inlineStr">
        <is>
          <t>Rev 1</t>
        </is>
      </c>
      <c r="O1254" s="23" t="inlineStr">
        <is>
          <t>R849-v2</t>
        </is>
      </c>
      <c r="P1254" s="23" t="inlineStr"/>
      <c r="Q1254" s="23" t="inlineStr"/>
      <c r="R1254" s="23" t="inlineStr"/>
      <c r="S1254" s="23" t="inlineStr"/>
      <c r="T1254" s="23" t="inlineStr"/>
      <c r="U1254" s="23" t="inlineStr"/>
      <c r="V1254" s="23" t="inlineStr">
        <is>
          <t>WBS Code = 1.5.2</t>
        </is>
      </c>
      <c r="W1254" s="23" t="inlineStr"/>
    </row>
    <row r="1255" ht="49" customHeight="1">
      <c r="A1255" s="23" t="inlineStr">
        <is>
          <t>1.5.2</t>
        </is>
      </c>
      <c r="B1255" s="23" t="inlineStr">
        <is>
          <t>Testing and Commissioning - Dynamic Testing</t>
        </is>
      </c>
      <c r="C1255" s="23" t="inlineStr">
        <is>
          <t>Contractor Programme</t>
        </is>
      </c>
      <c r="D1255" s="23" t="inlineStr">
        <is>
          <t>SCH-05-132</t>
        </is>
      </c>
      <c r="E1255" s="23" t="inlineStr">
        <is>
          <t>West terminal: mainline dynamic test - installation</t>
        </is>
      </c>
      <c r="F1255" s="23" t="inlineStr">
        <is>
          <t>ONE_TO_ONE</t>
        </is>
      </c>
      <c r="G1255" s="23" t="inlineStr">
        <is>
          <t>RETAINED</t>
        </is>
      </c>
      <c r="H1255" s="23" t="inlineStr">
        <is>
          <t>Carried forward</t>
        </is>
      </c>
      <c r="I1255" s="23" t="inlineStr">
        <is>
          <t>Source assignment -- not individually reviewed</t>
        </is>
      </c>
      <c r="J1255" s="23" t="inlineStr"/>
      <c r="K1255" s="23" t="inlineStr">
        <is>
          <t>Source assignment</t>
        </is>
      </c>
      <c r="L1255" s="23" t="inlineStr"/>
      <c r="M1255" s="23" t="inlineStr">
        <is>
          <t>Contractor Programme Cycle 2</t>
        </is>
      </c>
      <c r="N1255" s="23" t="inlineStr">
        <is>
          <t>Rev 1</t>
        </is>
      </c>
      <c r="O1255" s="23" t="inlineStr">
        <is>
          <t>R852-v2</t>
        </is>
      </c>
      <c r="P1255" s="23" t="inlineStr"/>
      <c r="Q1255" s="23" t="inlineStr"/>
      <c r="R1255" s="23" t="inlineStr"/>
      <c r="S1255" s="23" t="inlineStr"/>
      <c r="T1255" s="23" t="inlineStr"/>
      <c r="U1255" s="23" t="inlineStr"/>
      <c r="V1255" s="23" t="inlineStr">
        <is>
          <t>WBS Code = 1.5.2</t>
        </is>
      </c>
      <c r="W1255" s="23" t="inlineStr"/>
    </row>
    <row r="1256" ht="49" customHeight="1">
      <c r="A1256" s="23" t="inlineStr">
        <is>
          <t>1.5.2</t>
        </is>
      </c>
      <c r="B1256" s="23" t="inlineStr">
        <is>
          <t>Testing and Commissioning - Dynamic Testing</t>
        </is>
      </c>
      <c r="C1256" s="23" t="inlineStr">
        <is>
          <t>Contractor Programme</t>
        </is>
      </c>
      <c r="D1256" s="23" t="inlineStr">
        <is>
          <t>SCH-05-135</t>
        </is>
      </c>
      <c r="E1256" s="23" t="inlineStr">
        <is>
          <t>Mainline east: station integrated test - release</t>
        </is>
      </c>
      <c r="F1256" s="23" t="inlineStr">
        <is>
          <t>ONE_TO_ONE</t>
        </is>
      </c>
      <c r="G1256" s="23" t="inlineStr">
        <is>
          <t>RETAINED</t>
        </is>
      </c>
      <c r="H1256" s="23" t="inlineStr">
        <is>
          <t>Carried forward</t>
        </is>
      </c>
      <c r="I1256" s="23" t="inlineStr">
        <is>
          <t>Source assignment -- not individually reviewed</t>
        </is>
      </c>
      <c r="J1256" s="23" t="inlineStr"/>
      <c r="K1256" s="23" t="inlineStr">
        <is>
          <t>Source assignment</t>
        </is>
      </c>
      <c r="L1256" s="23" t="inlineStr"/>
      <c r="M1256" s="23" t="inlineStr">
        <is>
          <t>Contractor Programme Cycle 2</t>
        </is>
      </c>
      <c r="N1256" s="23" t="inlineStr">
        <is>
          <t>Rev 1</t>
        </is>
      </c>
      <c r="O1256" s="23" t="inlineStr">
        <is>
          <t>R855-v2</t>
        </is>
      </c>
      <c r="P1256" s="23" t="inlineStr"/>
      <c r="Q1256" s="23" t="inlineStr"/>
      <c r="R1256" s="23" t="inlineStr"/>
      <c r="S1256" s="23" t="inlineStr"/>
      <c r="T1256" s="23" t="inlineStr"/>
      <c r="U1256" s="23" t="inlineStr"/>
      <c r="V1256" s="23" t="inlineStr">
        <is>
          <t>WBS Code = 1.5.2</t>
        </is>
      </c>
      <c r="W1256" s="23" t="inlineStr"/>
    </row>
    <row r="1257" ht="49" customHeight="1">
      <c r="A1257" s="23" t="inlineStr">
        <is>
          <t>1.5.2</t>
        </is>
      </c>
      <c r="B1257" s="23" t="inlineStr">
        <is>
          <t>Testing and Commissioning - Dynamic Testing</t>
        </is>
      </c>
      <c r="C1257" s="23" t="inlineStr">
        <is>
          <t>Contractor Programme</t>
        </is>
      </c>
      <c r="D1257" s="23" t="inlineStr">
        <is>
          <t>SCH-05-138</t>
        </is>
      </c>
      <c r="E1257" s="23" t="inlineStr">
        <is>
          <t>Depot: emergency-response drill - inspection</t>
        </is>
      </c>
      <c r="F1257" s="23" t="inlineStr">
        <is>
          <t>ONE_TO_ONE</t>
        </is>
      </c>
      <c r="G1257" s="23" t="inlineStr">
        <is>
          <t>RETAINED</t>
        </is>
      </c>
      <c r="H1257" s="23" t="inlineStr">
        <is>
          <t>Carried forward</t>
        </is>
      </c>
      <c r="I1257" s="23" t="inlineStr">
        <is>
          <t>Source assignment -- not individually reviewed</t>
        </is>
      </c>
      <c r="J1257" s="23" t="inlineStr"/>
      <c r="K1257" s="23" t="inlineStr">
        <is>
          <t>Source assignment</t>
        </is>
      </c>
      <c r="L1257" s="23" t="inlineStr"/>
      <c r="M1257" s="23" t="inlineStr">
        <is>
          <t>Contractor Programme Cycle 2</t>
        </is>
      </c>
      <c r="N1257" s="23" t="inlineStr">
        <is>
          <t>Rev 1</t>
        </is>
      </c>
      <c r="O1257" s="23" t="inlineStr">
        <is>
          <t>R858-v2</t>
        </is>
      </c>
      <c r="P1257" s="23" t="inlineStr"/>
      <c r="Q1257" s="23" t="inlineStr"/>
      <c r="R1257" s="23" t="inlineStr"/>
      <c r="S1257" s="23" t="inlineStr"/>
      <c r="T1257" s="23" t="inlineStr"/>
      <c r="U1257" s="23" t="inlineStr"/>
      <c r="V1257" s="23" t="inlineStr">
        <is>
          <t>WBS Code = 1.5.2</t>
        </is>
      </c>
      <c r="W1257" s="23" t="inlineStr"/>
    </row>
    <row r="1258" ht="49" customHeight="1">
      <c r="A1258" s="23" t="inlineStr">
        <is>
          <t>1.5.2</t>
        </is>
      </c>
      <c r="B1258" s="23" t="inlineStr">
        <is>
          <t>Testing and Commissioning - Dynamic Testing</t>
        </is>
      </c>
      <c r="C1258" s="23" t="inlineStr">
        <is>
          <t>Contractor Programme</t>
        </is>
      </c>
      <c r="D1258" s="23" t="inlineStr">
        <is>
          <t>SCH-05-141</t>
        </is>
      </c>
      <c r="E1258" s="23" t="inlineStr">
        <is>
          <t>Central section: safety certificate evidence closeout - field start</t>
        </is>
      </c>
      <c r="F1258" s="23" t="inlineStr">
        <is>
          <t>ONE_TO_ONE</t>
        </is>
      </c>
      <c r="G1258" s="23" t="inlineStr">
        <is>
          <t>RETAINED</t>
        </is>
      </c>
      <c r="H1258" s="23" t="inlineStr">
        <is>
          <t>Carried forward</t>
        </is>
      </c>
      <c r="I1258" s="23" t="inlineStr">
        <is>
          <t>Source assignment -- not individually reviewed</t>
        </is>
      </c>
      <c r="J1258" s="23" t="inlineStr"/>
      <c r="K1258" s="23" t="inlineStr">
        <is>
          <t>Source assignment</t>
        </is>
      </c>
      <c r="L1258" s="23" t="inlineStr"/>
      <c r="M1258" s="23" t="inlineStr">
        <is>
          <t>Contractor Programme Cycle 2</t>
        </is>
      </c>
      <c r="N1258" s="23" t="inlineStr">
        <is>
          <t>Rev 1</t>
        </is>
      </c>
      <c r="O1258" s="23" t="inlineStr">
        <is>
          <t>R861-v2</t>
        </is>
      </c>
      <c r="P1258" s="23" t="inlineStr"/>
      <c r="Q1258" s="23" t="inlineStr"/>
      <c r="R1258" s="23" t="inlineStr"/>
      <c r="S1258" s="23" t="inlineStr"/>
      <c r="T1258" s="23" t="inlineStr"/>
      <c r="U1258" s="23" t="inlineStr"/>
      <c r="V1258" s="23" t="inlineStr">
        <is>
          <t>WBS Code = 1.5.2</t>
        </is>
      </c>
      <c r="W1258" s="23" t="inlineStr"/>
    </row>
    <row r="1259" ht="49" customHeight="1">
      <c r="A1259" s="23" t="inlineStr">
        <is>
          <t>1.5.2</t>
        </is>
      </c>
      <c r="B1259" s="23" t="inlineStr">
        <is>
          <t>Testing and Commissioning - Dynamic Testing</t>
        </is>
      </c>
      <c r="C1259" s="23" t="inlineStr">
        <is>
          <t>Contractor Programme</t>
        </is>
      </c>
      <c r="D1259" s="23" t="inlineStr">
        <is>
          <t>SCH-05-144</t>
        </is>
      </c>
      <c r="E1259" s="23" t="inlineStr">
        <is>
          <t>Control Centre: trial-running shift - turnover</t>
        </is>
      </c>
      <c r="F1259" s="23" t="inlineStr">
        <is>
          <t>ONE_TO_ONE</t>
        </is>
      </c>
      <c r="G1259" s="23" t="inlineStr">
        <is>
          <t>RETAINED</t>
        </is>
      </c>
      <c r="H1259" s="23" t="inlineStr">
        <is>
          <t>Carried forward</t>
        </is>
      </c>
      <c r="I1259" s="23" t="inlineStr">
        <is>
          <t>Source assignment -- not individually reviewed</t>
        </is>
      </c>
      <c r="J1259" s="23" t="inlineStr"/>
      <c r="K1259" s="23" t="inlineStr">
        <is>
          <t>Source assignment</t>
        </is>
      </c>
      <c r="L1259" s="23" t="inlineStr"/>
      <c r="M1259" s="23" t="inlineStr">
        <is>
          <t>Contractor Programme Cycle 2</t>
        </is>
      </c>
      <c r="N1259" s="23" t="inlineStr">
        <is>
          <t>Rev 1</t>
        </is>
      </c>
      <c r="O1259" s="23" t="inlineStr">
        <is>
          <t>R864-v2</t>
        </is>
      </c>
      <c r="P1259" s="23" t="inlineStr"/>
      <c r="Q1259" s="23" t="inlineStr"/>
      <c r="R1259" s="23" t="inlineStr"/>
      <c r="S1259" s="23" t="inlineStr"/>
      <c r="T1259" s="23" t="inlineStr"/>
      <c r="U1259" s="23" t="inlineStr"/>
      <c r="V1259" s="23" t="inlineStr">
        <is>
          <t>WBS Code = 1.5.2</t>
        </is>
      </c>
      <c r="W1259" s="23" t="inlineStr"/>
    </row>
    <row r="1260" ht="49" customHeight="1">
      <c r="A1260" s="23" t="inlineStr">
        <is>
          <t>1.5.2</t>
        </is>
      </c>
      <c r="B1260" s="23" t="inlineStr">
        <is>
          <t>Testing and Commissioning - Dynamic Testing</t>
        </is>
      </c>
      <c r="C1260" s="23" t="inlineStr">
        <is>
          <t>Contractor Programme</t>
        </is>
      </c>
      <c r="D1260" s="23" t="inlineStr">
        <is>
          <t>SCH-05-147</t>
        </is>
      </c>
      <c r="E1260" s="23" t="inlineStr">
        <is>
          <t>West terminal: defect retest - installation</t>
        </is>
      </c>
      <c r="F1260" s="23" t="inlineStr">
        <is>
          <t>ONE_TO_ONE</t>
        </is>
      </c>
      <c r="G1260" s="23" t="inlineStr">
        <is>
          <t>RETAINED</t>
        </is>
      </c>
      <c r="H1260" s="23" t="inlineStr">
        <is>
          <t>Carried forward</t>
        </is>
      </c>
      <c r="I1260" s="23" t="inlineStr">
        <is>
          <t>Source assignment -- not individually reviewed</t>
        </is>
      </c>
      <c r="J1260" s="23" t="inlineStr"/>
      <c r="K1260" s="23" t="inlineStr">
        <is>
          <t>Source assignment</t>
        </is>
      </c>
      <c r="L1260" s="23" t="inlineStr"/>
      <c r="M1260" s="23" t="inlineStr">
        <is>
          <t>Contractor Programme Cycle 2</t>
        </is>
      </c>
      <c r="N1260" s="23" t="inlineStr">
        <is>
          <t>Rev 1</t>
        </is>
      </c>
      <c r="O1260" s="23" t="inlineStr">
        <is>
          <t>R867-v2</t>
        </is>
      </c>
      <c r="P1260" s="23" t="inlineStr"/>
      <c r="Q1260" s="23" t="inlineStr"/>
      <c r="R1260" s="23" t="inlineStr"/>
      <c r="S1260" s="23" t="inlineStr"/>
      <c r="T1260" s="23" t="inlineStr"/>
      <c r="U1260" s="23" t="inlineStr"/>
      <c r="V1260" s="23" t="inlineStr">
        <is>
          <t>WBS Code = 1.5.2</t>
        </is>
      </c>
      <c r="W1260" s="23" t="inlineStr"/>
    </row>
    <row r="1261" ht="49" customHeight="1">
      <c r="A1261" s="23" t="inlineStr">
        <is>
          <t>1.5.2</t>
        </is>
      </c>
      <c r="B1261" s="23" t="inlineStr">
        <is>
          <t>Testing and Commissioning - Dynamic Testing</t>
        </is>
      </c>
      <c r="C1261" s="23" t="inlineStr">
        <is>
          <t>Contractor Programme</t>
        </is>
      </c>
      <c r="D1261" s="23" t="inlineStr">
        <is>
          <t>SCH-05-150</t>
        </is>
      </c>
      <c r="E1261" s="23" t="inlineStr">
        <is>
          <t>Mainline east: service-readiness review - release</t>
        </is>
      </c>
      <c r="F1261" s="23" t="inlineStr">
        <is>
          <t>ONE_TO_ONE</t>
        </is>
      </c>
      <c r="G1261" s="23" t="inlineStr">
        <is>
          <t>RETAINED</t>
        </is>
      </c>
      <c r="H1261" s="23" t="inlineStr">
        <is>
          <t>Carried forward</t>
        </is>
      </c>
      <c r="I1261" s="23" t="inlineStr">
        <is>
          <t>Source assignment -- not individually reviewed</t>
        </is>
      </c>
      <c r="J1261" s="23" t="inlineStr"/>
      <c r="K1261" s="23" t="inlineStr">
        <is>
          <t>Source assignment</t>
        </is>
      </c>
      <c r="L1261" s="23" t="inlineStr"/>
      <c r="M1261" s="23" t="inlineStr">
        <is>
          <t>Contractor Programme Cycle 2</t>
        </is>
      </c>
      <c r="N1261" s="23" t="inlineStr">
        <is>
          <t>Rev 1</t>
        </is>
      </c>
      <c r="O1261" s="23" t="inlineStr">
        <is>
          <t>R870-v2</t>
        </is>
      </c>
      <c r="P1261" s="23" t="inlineStr"/>
      <c r="Q1261" s="23" t="inlineStr"/>
      <c r="R1261" s="23" t="inlineStr"/>
      <c r="S1261" s="23" t="inlineStr"/>
      <c r="T1261" s="23" t="inlineStr"/>
      <c r="U1261" s="23" t="inlineStr"/>
      <c r="V1261" s="23" t="inlineStr">
        <is>
          <t>WBS Code = 1.5.2</t>
        </is>
      </c>
      <c r="W1261" s="23" t="inlineStr"/>
    </row>
    <row r="1262" ht="49" customHeight="1">
      <c r="A1262" s="23" t="inlineStr">
        <is>
          <t>1.5.2</t>
        </is>
      </c>
      <c r="B1262" s="23" t="inlineStr">
        <is>
          <t>Testing and Commissioning - Dynamic Testing</t>
        </is>
      </c>
      <c r="C1262" s="23" t="inlineStr">
        <is>
          <t>Contractor Programme</t>
        </is>
      </c>
      <c r="D1262" s="23" t="inlineStr">
        <is>
          <t>SCH-05-153</t>
        </is>
      </c>
      <c r="E1262" s="23" t="inlineStr">
        <is>
          <t>Depot: test procedure readiness review - inspection</t>
        </is>
      </c>
      <c r="F1262" s="23" t="inlineStr">
        <is>
          <t>ONE_TO_ONE</t>
        </is>
      </c>
      <c r="G1262" s="23" t="inlineStr">
        <is>
          <t>RETAINED</t>
        </is>
      </c>
      <c r="H1262" s="23" t="inlineStr">
        <is>
          <t>Carried forward</t>
        </is>
      </c>
      <c r="I1262" s="23" t="inlineStr">
        <is>
          <t>Source assignment -- not individually reviewed</t>
        </is>
      </c>
      <c r="J1262" s="23" t="inlineStr"/>
      <c r="K1262" s="23" t="inlineStr">
        <is>
          <t>Source assignment</t>
        </is>
      </c>
      <c r="L1262" s="23" t="inlineStr"/>
      <c r="M1262" s="23" t="inlineStr">
        <is>
          <t>Contractor Programme Cycle 2</t>
        </is>
      </c>
      <c r="N1262" s="23" t="inlineStr">
        <is>
          <t>Rev 1</t>
        </is>
      </c>
      <c r="O1262" s="23" t="inlineStr">
        <is>
          <t>R873-v2</t>
        </is>
      </c>
      <c r="P1262" s="23" t="inlineStr"/>
      <c r="Q1262" s="23" t="inlineStr"/>
      <c r="R1262" s="23" t="inlineStr"/>
      <c r="S1262" s="23" t="inlineStr"/>
      <c r="T1262" s="23" t="inlineStr"/>
      <c r="U1262" s="23" t="inlineStr"/>
      <c r="V1262" s="23" t="inlineStr">
        <is>
          <t>WBS Code = 1.5.2</t>
        </is>
      </c>
      <c r="W1262" s="23" t="inlineStr"/>
    </row>
    <row r="1263" ht="49" customHeight="1">
      <c r="A1263" s="23" t="inlineStr">
        <is>
          <t>1.5.2</t>
        </is>
      </c>
      <c r="B1263" s="23" t="inlineStr">
        <is>
          <t>Testing and Commissioning - Dynamic Testing</t>
        </is>
      </c>
      <c r="C1263" s="23" t="inlineStr">
        <is>
          <t>Contractor Programme</t>
        </is>
      </c>
      <c r="D1263" s="23" t="inlineStr">
        <is>
          <t>SCH-05-156</t>
        </is>
      </c>
      <c r="E1263" s="23" t="inlineStr">
        <is>
          <t>Central section: mainline dynamic test - field start</t>
        </is>
      </c>
      <c r="F1263" s="23" t="inlineStr">
        <is>
          <t>ONE_TO_ONE</t>
        </is>
      </c>
      <c r="G1263" s="23" t="inlineStr">
        <is>
          <t>RETAINED</t>
        </is>
      </c>
      <c r="H1263" s="23" t="inlineStr">
        <is>
          <t>Carried forward</t>
        </is>
      </c>
      <c r="I1263" s="23" t="inlineStr">
        <is>
          <t>Source assignment -- not individually reviewed</t>
        </is>
      </c>
      <c r="J1263" s="23" t="inlineStr"/>
      <c r="K1263" s="23" t="inlineStr">
        <is>
          <t>Source assignment</t>
        </is>
      </c>
      <c r="L1263" s="23" t="inlineStr"/>
      <c r="M1263" s="23" t="inlineStr">
        <is>
          <t>Contractor Programme Cycle 2</t>
        </is>
      </c>
      <c r="N1263" s="23" t="inlineStr">
        <is>
          <t>Rev 1</t>
        </is>
      </c>
      <c r="O1263" s="23" t="inlineStr">
        <is>
          <t>R876-v2</t>
        </is>
      </c>
      <c r="P1263" s="23" t="inlineStr"/>
      <c r="Q1263" s="23" t="inlineStr"/>
      <c r="R1263" s="23" t="inlineStr"/>
      <c r="S1263" s="23" t="inlineStr"/>
      <c r="T1263" s="23" t="inlineStr"/>
      <c r="U1263" s="23" t="inlineStr"/>
      <c r="V1263" s="23" t="inlineStr">
        <is>
          <t>WBS Code = 1.5.2</t>
        </is>
      </c>
      <c r="W1263" s="23" t="inlineStr"/>
    </row>
    <row r="1264" ht="49" customHeight="1">
      <c r="A1264" s="23" t="inlineStr">
        <is>
          <t>1.5.2</t>
        </is>
      </c>
      <c r="B1264" s="23" t="inlineStr">
        <is>
          <t>Testing and Commissioning - Dynamic Testing</t>
        </is>
      </c>
      <c r="C1264" s="23" t="inlineStr">
        <is>
          <t>Contractor Programme</t>
        </is>
      </c>
      <c r="D1264" s="23" t="inlineStr">
        <is>
          <t>SCH-05-159</t>
        </is>
      </c>
      <c r="E1264" s="23" t="inlineStr">
        <is>
          <t>Control Centre: station integrated test - turnover</t>
        </is>
      </c>
      <c r="F1264" s="23" t="inlineStr">
        <is>
          <t>ONE_TO_ONE</t>
        </is>
      </c>
      <c r="G1264" s="23" t="inlineStr">
        <is>
          <t>RETAINED</t>
        </is>
      </c>
      <c r="H1264" s="23" t="inlineStr">
        <is>
          <t>Carried forward</t>
        </is>
      </c>
      <c r="I1264" s="23" t="inlineStr">
        <is>
          <t>Source assignment -- not individually reviewed</t>
        </is>
      </c>
      <c r="J1264" s="23" t="inlineStr"/>
      <c r="K1264" s="23" t="inlineStr">
        <is>
          <t>Source assignment</t>
        </is>
      </c>
      <c r="L1264" s="23" t="inlineStr"/>
      <c r="M1264" s="23" t="inlineStr">
        <is>
          <t>Contractor Programme Cycle 2</t>
        </is>
      </c>
      <c r="N1264" s="23" t="inlineStr">
        <is>
          <t>Rev 1</t>
        </is>
      </c>
      <c r="O1264" s="23" t="inlineStr">
        <is>
          <t>R879-v2</t>
        </is>
      </c>
      <c r="P1264" s="23" t="inlineStr"/>
      <c r="Q1264" s="23" t="inlineStr"/>
      <c r="R1264" s="23" t="inlineStr"/>
      <c r="S1264" s="23" t="inlineStr"/>
      <c r="T1264" s="23" t="inlineStr"/>
      <c r="U1264" s="23" t="inlineStr"/>
      <c r="V1264" s="23" t="inlineStr">
        <is>
          <t>WBS Code = 1.5.2</t>
        </is>
      </c>
      <c r="W1264" s="23" t="inlineStr"/>
    </row>
    <row r="1265" ht="49" customHeight="1">
      <c r="A1265" s="23" t="inlineStr">
        <is>
          <t>1.5.2</t>
        </is>
      </c>
      <c r="B1265" s="23" t="inlineStr">
        <is>
          <t>Testing and Commissioning - Dynamic Testing</t>
        </is>
      </c>
      <c r="C1265" s="23" t="inlineStr">
        <is>
          <t>Contractor Programme</t>
        </is>
      </c>
      <c r="D1265" s="23" t="inlineStr">
        <is>
          <t>SCH-05-162</t>
        </is>
      </c>
      <c r="E1265" s="23" t="inlineStr">
        <is>
          <t>West terminal: emergency-response drill - installation</t>
        </is>
      </c>
      <c r="F1265" s="23" t="inlineStr">
        <is>
          <t>ONE_TO_ONE</t>
        </is>
      </c>
      <c r="G1265" s="23" t="inlineStr">
        <is>
          <t>RETAINED</t>
        </is>
      </c>
      <c r="H1265" s="23" t="inlineStr">
        <is>
          <t>Carried forward</t>
        </is>
      </c>
      <c r="I1265" s="23" t="inlineStr">
        <is>
          <t>Source assignment -- not individually reviewed</t>
        </is>
      </c>
      <c r="J1265" s="23" t="inlineStr"/>
      <c r="K1265" s="23" t="inlineStr">
        <is>
          <t>Source assignment</t>
        </is>
      </c>
      <c r="L1265" s="23" t="inlineStr"/>
      <c r="M1265" s="23" t="inlineStr">
        <is>
          <t>Contractor Programme Cycle 2</t>
        </is>
      </c>
      <c r="N1265" s="23" t="inlineStr">
        <is>
          <t>Rev 1</t>
        </is>
      </c>
      <c r="O1265" s="23" t="inlineStr">
        <is>
          <t>R882-v2</t>
        </is>
      </c>
      <c r="P1265" s="23" t="inlineStr"/>
      <c r="Q1265" s="23" t="inlineStr"/>
      <c r="R1265" s="23" t="inlineStr"/>
      <c r="S1265" s="23" t="inlineStr"/>
      <c r="T1265" s="23" t="inlineStr"/>
      <c r="U1265" s="23" t="inlineStr"/>
      <c r="V1265" s="23" t="inlineStr">
        <is>
          <t>WBS Code = 1.5.2</t>
        </is>
      </c>
      <c r="W1265" s="23" t="inlineStr"/>
    </row>
    <row r="1266" ht="49" customHeight="1">
      <c r="A1266" s="23" t="inlineStr">
        <is>
          <t>1.5.2</t>
        </is>
      </c>
      <c r="B1266" s="23" t="inlineStr">
        <is>
          <t>Testing and Commissioning - Dynamic Testing</t>
        </is>
      </c>
      <c r="C1266" s="23" t="inlineStr">
        <is>
          <t>Contractor Programme</t>
        </is>
      </c>
      <c r="D1266" s="23" t="inlineStr">
        <is>
          <t>SCH-05-165</t>
        </is>
      </c>
      <c r="E1266" s="23" t="inlineStr">
        <is>
          <t>Mainline east: safety certificate evidence closeout - release</t>
        </is>
      </c>
      <c r="F1266" s="23" t="inlineStr">
        <is>
          <t>ONE_TO_ONE</t>
        </is>
      </c>
      <c r="G1266" s="23" t="inlineStr">
        <is>
          <t>RETAINED</t>
        </is>
      </c>
      <c r="H1266" s="23" t="inlineStr">
        <is>
          <t>Carried forward</t>
        </is>
      </c>
      <c r="I1266" s="23" t="inlineStr">
        <is>
          <t>Source assignment -- not individually reviewed</t>
        </is>
      </c>
      <c r="J1266" s="23" t="inlineStr"/>
      <c r="K1266" s="23" t="inlineStr">
        <is>
          <t>Source assignment</t>
        </is>
      </c>
      <c r="L1266" s="23" t="inlineStr"/>
      <c r="M1266" s="23" t="inlineStr">
        <is>
          <t>Contractor Programme Cycle 2</t>
        </is>
      </c>
      <c r="N1266" s="23" t="inlineStr">
        <is>
          <t>Rev 1</t>
        </is>
      </c>
      <c r="O1266" s="23" t="inlineStr">
        <is>
          <t>R885-v2</t>
        </is>
      </c>
      <c r="P1266" s="23" t="inlineStr"/>
      <c r="Q1266" s="23" t="inlineStr"/>
      <c r="R1266" s="23" t="inlineStr"/>
      <c r="S1266" s="23" t="inlineStr"/>
      <c r="T1266" s="23" t="inlineStr"/>
      <c r="U1266" s="23" t="inlineStr"/>
      <c r="V1266" s="23" t="inlineStr">
        <is>
          <t>WBS Code = 1.5.2</t>
        </is>
      </c>
      <c r="W1266" s="23" t="inlineStr"/>
    </row>
    <row r="1267" ht="49" customHeight="1">
      <c r="A1267" s="23" t="inlineStr">
        <is>
          <t>1.5.2</t>
        </is>
      </c>
      <c r="B1267" s="23" t="inlineStr">
        <is>
          <t>Testing and Commissioning - Dynamic Testing</t>
        </is>
      </c>
      <c r="C1267" s="23" t="inlineStr">
        <is>
          <t>Contractor Programme</t>
        </is>
      </c>
      <c r="D1267" s="23" t="inlineStr">
        <is>
          <t>SCH-05-168</t>
        </is>
      </c>
      <c r="E1267" s="23" t="inlineStr">
        <is>
          <t>Depot: trial-running shift - inspection</t>
        </is>
      </c>
      <c r="F1267" s="23" t="inlineStr">
        <is>
          <t>ONE_TO_ONE</t>
        </is>
      </c>
      <c r="G1267" s="23" t="inlineStr">
        <is>
          <t>RETAINED</t>
        </is>
      </c>
      <c r="H1267" s="23" t="inlineStr">
        <is>
          <t>Carried forward</t>
        </is>
      </c>
      <c r="I1267" s="23" t="inlineStr">
        <is>
          <t>Source assignment -- not individually reviewed</t>
        </is>
      </c>
      <c r="J1267" s="23" t="inlineStr"/>
      <c r="K1267" s="23" t="inlineStr">
        <is>
          <t>Source assignment</t>
        </is>
      </c>
      <c r="L1267" s="23" t="inlineStr"/>
      <c r="M1267" s="23" t="inlineStr">
        <is>
          <t>Contractor Programme Cycle 2</t>
        </is>
      </c>
      <c r="N1267" s="23" t="inlineStr">
        <is>
          <t>Rev 1</t>
        </is>
      </c>
      <c r="O1267" s="23" t="inlineStr">
        <is>
          <t>R888-v2</t>
        </is>
      </c>
      <c r="P1267" s="23" t="inlineStr"/>
      <c r="Q1267" s="23" t="inlineStr"/>
      <c r="R1267" s="23" t="inlineStr"/>
      <c r="S1267" s="23" t="inlineStr"/>
      <c r="T1267" s="23" t="inlineStr"/>
      <c r="U1267" s="23" t="inlineStr"/>
      <c r="V1267" s="23" t="inlineStr">
        <is>
          <t>WBS Code = 1.5.2</t>
        </is>
      </c>
      <c r="W1267" s="23" t="inlineStr"/>
    </row>
    <row r="1268" ht="49" customHeight="1">
      <c r="A1268" s="23" t="inlineStr">
        <is>
          <t>1.5.2</t>
        </is>
      </c>
      <c r="B1268" s="23" t="inlineStr">
        <is>
          <t>Testing and Commissioning - Dynamic Testing</t>
        </is>
      </c>
      <c r="C1268" s="23" t="inlineStr">
        <is>
          <t>Contractor Programme</t>
        </is>
      </c>
      <c r="D1268" s="23" t="inlineStr">
        <is>
          <t>SCH-05-171</t>
        </is>
      </c>
      <c r="E1268" s="23" t="inlineStr">
        <is>
          <t>Central section: defect retest - field start</t>
        </is>
      </c>
      <c r="F1268" s="23" t="inlineStr">
        <is>
          <t>ONE_TO_ONE</t>
        </is>
      </c>
      <c r="G1268" s="23" t="inlineStr">
        <is>
          <t>RETAINED</t>
        </is>
      </c>
      <c r="H1268" s="23" t="inlineStr">
        <is>
          <t>Carried forward</t>
        </is>
      </c>
      <c r="I1268" s="23" t="inlineStr">
        <is>
          <t>Source assignment -- not individually reviewed</t>
        </is>
      </c>
      <c r="J1268" s="23" t="inlineStr"/>
      <c r="K1268" s="23" t="inlineStr">
        <is>
          <t>Source assignment</t>
        </is>
      </c>
      <c r="L1268" s="23" t="inlineStr"/>
      <c r="M1268" s="23" t="inlineStr">
        <is>
          <t>Contractor Programme Cycle 2</t>
        </is>
      </c>
      <c r="N1268" s="23" t="inlineStr">
        <is>
          <t>Rev 1</t>
        </is>
      </c>
      <c r="O1268" s="23" t="inlineStr">
        <is>
          <t>R891-v2</t>
        </is>
      </c>
      <c r="P1268" s="23" t="inlineStr"/>
      <c r="Q1268" s="23" t="inlineStr"/>
      <c r="R1268" s="23" t="inlineStr"/>
      <c r="S1268" s="23" t="inlineStr"/>
      <c r="T1268" s="23" t="inlineStr"/>
      <c r="U1268" s="23" t="inlineStr"/>
      <c r="V1268" s="23" t="inlineStr">
        <is>
          <t>WBS Code = 1.5.2</t>
        </is>
      </c>
      <c r="W1268" s="23" t="inlineStr"/>
    </row>
    <row r="1269" ht="49" customHeight="1">
      <c r="A1269" s="23" t="inlineStr">
        <is>
          <t>1.5.2</t>
        </is>
      </c>
      <c r="B1269" s="23" t="inlineStr">
        <is>
          <t>Testing and Commissioning - Dynamic Testing</t>
        </is>
      </c>
      <c r="C1269" s="23" t="inlineStr">
        <is>
          <t>Contractor Programme</t>
        </is>
      </c>
      <c r="D1269" s="23" t="inlineStr">
        <is>
          <t>SCH-05-174</t>
        </is>
      </c>
      <c r="E1269" s="23" t="inlineStr">
        <is>
          <t>Control Centre: service-readiness review - turnover</t>
        </is>
      </c>
      <c r="F1269" s="23" t="inlineStr">
        <is>
          <t>ONE_TO_ONE</t>
        </is>
      </c>
      <c r="G1269" s="23" t="inlineStr">
        <is>
          <t>RETAINED</t>
        </is>
      </c>
      <c r="H1269" s="23" t="inlineStr">
        <is>
          <t>Carried forward</t>
        </is>
      </c>
      <c r="I1269" s="23" t="inlineStr">
        <is>
          <t>Source assignment -- not individually reviewed</t>
        </is>
      </c>
      <c r="J1269" s="23" t="inlineStr"/>
      <c r="K1269" s="23" t="inlineStr">
        <is>
          <t>Source assignment</t>
        </is>
      </c>
      <c r="L1269" s="23" t="inlineStr"/>
      <c r="M1269" s="23" t="inlineStr">
        <is>
          <t>Contractor Programme Cycle 2</t>
        </is>
      </c>
      <c r="N1269" s="23" t="inlineStr">
        <is>
          <t>Rev 1</t>
        </is>
      </c>
      <c r="O1269" s="23" t="inlineStr">
        <is>
          <t>R894-v2</t>
        </is>
      </c>
      <c r="P1269" s="23" t="inlineStr"/>
      <c r="Q1269" s="23" t="inlineStr"/>
      <c r="R1269" s="23" t="inlineStr"/>
      <c r="S1269" s="23" t="inlineStr"/>
      <c r="T1269" s="23" t="inlineStr"/>
      <c r="U1269" s="23" t="inlineStr"/>
      <c r="V1269" s="23" t="inlineStr">
        <is>
          <t>WBS Code = 1.5.2</t>
        </is>
      </c>
      <c r="W1269" s="23" t="inlineStr"/>
    </row>
    <row r="1270" ht="49" customHeight="1">
      <c r="A1270" s="23" t="inlineStr">
        <is>
          <t>1.5.2</t>
        </is>
      </c>
      <c r="B1270" s="23" t="inlineStr">
        <is>
          <t>Testing and Commissioning - Dynamic Testing</t>
        </is>
      </c>
      <c r="C1270" s="23" t="inlineStr">
        <is>
          <t>Contractor Programme</t>
        </is>
      </c>
      <c r="D1270" s="23" t="inlineStr">
        <is>
          <t>SCH-05-177</t>
        </is>
      </c>
      <c r="E1270" s="23" t="inlineStr">
        <is>
          <t>West terminal: test procedure readiness review - installation</t>
        </is>
      </c>
      <c r="F1270" s="23" t="inlineStr">
        <is>
          <t>ONE_TO_ONE</t>
        </is>
      </c>
      <c r="G1270" s="23" t="inlineStr">
        <is>
          <t>RETAINED</t>
        </is>
      </c>
      <c r="H1270" s="23" t="inlineStr">
        <is>
          <t>Carried forward</t>
        </is>
      </c>
      <c r="I1270" s="23" t="inlineStr">
        <is>
          <t>Source assignment -- not individually reviewed</t>
        </is>
      </c>
      <c r="J1270" s="23" t="inlineStr"/>
      <c r="K1270" s="23" t="inlineStr">
        <is>
          <t>Source assignment</t>
        </is>
      </c>
      <c r="L1270" s="23" t="inlineStr"/>
      <c r="M1270" s="23" t="inlineStr">
        <is>
          <t>Contractor Programme Cycle 2</t>
        </is>
      </c>
      <c r="N1270" s="23" t="inlineStr">
        <is>
          <t>Rev 1</t>
        </is>
      </c>
      <c r="O1270" s="23" t="inlineStr">
        <is>
          <t>R897-v2</t>
        </is>
      </c>
      <c r="P1270" s="23" t="inlineStr"/>
      <c r="Q1270" s="23" t="inlineStr"/>
      <c r="R1270" s="23" t="inlineStr"/>
      <c r="S1270" s="23" t="inlineStr"/>
      <c r="T1270" s="23" t="inlineStr"/>
      <c r="U1270" s="23" t="inlineStr"/>
      <c r="V1270" s="23" t="inlineStr">
        <is>
          <t>WBS Code = 1.5.2</t>
        </is>
      </c>
      <c r="W1270" s="23" t="inlineStr"/>
    </row>
    <row r="1271" ht="49" customHeight="1">
      <c r="A1271" s="23" t="inlineStr">
        <is>
          <t>1.5.2</t>
        </is>
      </c>
      <c r="B1271" s="23" t="inlineStr">
        <is>
          <t>Testing and Commissioning - Dynamic Testing</t>
        </is>
      </c>
      <c r="C1271" s="23" t="inlineStr">
        <is>
          <t>Contractor Programme</t>
        </is>
      </c>
      <c r="D1271" s="23" t="inlineStr">
        <is>
          <t>SCH-05-180</t>
        </is>
      </c>
      <c r="E1271" s="23" t="inlineStr">
        <is>
          <t>Mainline east: mainline dynamic test - release</t>
        </is>
      </c>
      <c r="F1271" s="23" t="inlineStr">
        <is>
          <t>ONE_TO_ONE</t>
        </is>
      </c>
      <c r="G1271" s="23" t="inlineStr">
        <is>
          <t>RETAINED</t>
        </is>
      </c>
      <c r="H1271" s="23" t="inlineStr">
        <is>
          <t>Carried forward</t>
        </is>
      </c>
      <c r="I1271" s="23" t="inlineStr">
        <is>
          <t>Source assignment -- not individually reviewed</t>
        </is>
      </c>
      <c r="J1271" s="23" t="inlineStr"/>
      <c r="K1271" s="23" t="inlineStr">
        <is>
          <t>Source assignment</t>
        </is>
      </c>
      <c r="L1271" s="23" t="inlineStr"/>
      <c r="M1271" s="23" t="inlineStr">
        <is>
          <t>Contractor Programme Cycle 2</t>
        </is>
      </c>
      <c r="N1271" s="23" t="inlineStr">
        <is>
          <t>Rev 1</t>
        </is>
      </c>
      <c r="O1271" s="23" t="inlineStr">
        <is>
          <t>R900-v2</t>
        </is>
      </c>
      <c r="P1271" s="23" t="inlineStr"/>
      <c r="Q1271" s="23" t="inlineStr"/>
      <c r="R1271" s="23" t="inlineStr"/>
      <c r="S1271" s="23" t="inlineStr"/>
      <c r="T1271" s="23" t="inlineStr"/>
      <c r="U1271" s="23" t="inlineStr"/>
      <c r="V1271" s="23" t="inlineStr">
        <is>
          <t>WBS Code = 1.5.2</t>
        </is>
      </c>
      <c r="W1271" s="23" t="inlineStr"/>
    </row>
    <row r="1272" ht="64" customHeight="1">
      <c r="A1272" s="23" t="inlineStr">
        <is>
          <t>1.6</t>
        </is>
      </c>
      <c r="B1272" s="23" t="inlineStr">
        <is>
          <t>Program Management</t>
        </is>
      </c>
      <c r="C1272" s="23" t="inlineStr">
        <is>
          <t>Commercial Package Register</t>
        </is>
      </c>
      <c r="D1272" s="23" t="inlineStr">
        <is>
          <t>PKG-051</t>
        </is>
      </c>
      <c r="E1272" s="23" t="inlineStr">
        <is>
          <t>Program Controls</t>
        </is>
      </c>
      <c r="F1272" s="23" t="inlineStr">
        <is>
          <t>ONE_TO_ONE</t>
        </is>
      </c>
      <c r="G1272" s="23" t="inlineStr">
        <is>
          <t>RETAINED</t>
        </is>
      </c>
      <c r="H1272" s="23" t="inlineStr">
        <is>
          <t>Carried forward</t>
        </is>
      </c>
      <c r="I1272" s="23" t="inlineStr">
        <is>
          <t>Source assignment -- not individually reviewed</t>
        </is>
      </c>
      <c r="J1272" s="23" t="inlineStr"/>
      <c r="K1272" s="23" t="inlineStr">
        <is>
          <t>Source assignment</t>
        </is>
      </c>
      <c r="L1272" s="23" t="inlineStr"/>
      <c r="M1272" s="23" t="inlineStr">
        <is>
          <t>Commercial Package Register Cycle 2</t>
        </is>
      </c>
      <c r="N1272" s="23" t="inlineStr">
        <is>
          <t>Rev 1</t>
        </is>
      </c>
      <c r="O1272" s="23" t="inlineStr">
        <is>
          <t>R1613-v2</t>
        </is>
      </c>
      <c r="P1272" s="23" t="inlineStr"/>
      <c r="Q1272" s="23" t="inlineStr"/>
      <c r="R1272" s="23" t="inlineStr"/>
      <c r="S1272" s="23" t="inlineStr"/>
      <c r="T1272" s="23" t="inlineStr"/>
      <c r="U1272" s="23" t="inlineStr"/>
      <c r="V1272" s="23" t="inlineStr">
        <is>
          <t>Package Code = PK-601; WBS Code = 1.6</t>
        </is>
      </c>
      <c r="W1272" s="23" t="inlineStr"/>
    </row>
    <row r="1273" ht="64" customHeight="1">
      <c r="A1273" s="23" t="inlineStr">
        <is>
          <t>1.6</t>
        </is>
      </c>
      <c r="B1273" s="23" t="inlineStr">
        <is>
          <t>Program Management</t>
        </is>
      </c>
      <c r="C1273" s="23" t="inlineStr">
        <is>
          <t>Commercial Package Register</t>
        </is>
      </c>
      <c r="D1273" s="23" t="inlineStr">
        <is>
          <t>PKG-052</t>
        </is>
      </c>
      <c r="E1273" s="23" t="inlineStr">
        <is>
          <t>Commercial Advisory</t>
        </is>
      </c>
      <c r="F1273" s="23" t="inlineStr">
        <is>
          <t>ONE_TO_ONE</t>
        </is>
      </c>
      <c r="G1273" s="23" t="inlineStr">
        <is>
          <t>RETAINED</t>
        </is>
      </c>
      <c r="H1273" s="23" t="inlineStr">
        <is>
          <t>Carried forward</t>
        </is>
      </c>
      <c r="I1273" s="23" t="inlineStr">
        <is>
          <t>Source assignment -- not individually reviewed</t>
        </is>
      </c>
      <c r="J1273" s="23" t="inlineStr"/>
      <c r="K1273" s="23" t="inlineStr">
        <is>
          <t>Source assignment</t>
        </is>
      </c>
      <c r="L1273" s="23" t="inlineStr"/>
      <c r="M1273" s="23" t="inlineStr">
        <is>
          <t>Commercial Package Register Cycle 2</t>
        </is>
      </c>
      <c r="N1273" s="23" t="inlineStr">
        <is>
          <t>Rev 1</t>
        </is>
      </c>
      <c r="O1273" s="23" t="inlineStr">
        <is>
          <t>R1614-v2</t>
        </is>
      </c>
      <c r="P1273" s="23" t="inlineStr"/>
      <c r="Q1273" s="23" t="inlineStr"/>
      <c r="R1273" s="23" t="inlineStr"/>
      <c r="S1273" s="23" t="inlineStr"/>
      <c r="T1273" s="23" t="inlineStr"/>
      <c r="U1273" s="23" t="inlineStr"/>
      <c r="V1273" s="23" t="inlineStr">
        <is>
          <t>Package Code = PK-602; WBS Code = 1.6</t>
        </is>
      </c>
      <c r="W1273" s="23" t="inlineStr"/>
    </row>
    <row r="1274" ht="64" customHeight="1">
      <c r="A1274" s="23" t="inlineStr">
        <is>
          <t>1.6</t>
        </is>
      </c>
      <c r="B1274" s="23" t="inlineStr">
        <is>
          <t>Program Management</t>
        </is>
      </c>
      <c r="C1274" s="23" t="inlineStr">
        <is>
          <t>Commercial Package Register</t>
        </is>
      </c>
      <c r="D1274" s="23" t="inlineStr">
        <is>
          <t>PKG-053</t>
        </is>
      </c>
      <c r="E1274" s="23" t="inlineStr">
        <is>
          <t>Permitting Support</t>
        </is>
      </c>
      <c r="F1274" s="23" t="inlineStr">
        <is>
          <t>ONE_TO_ONE</t>
        </is>
      </c>
      <c r="G1274" s="23" t="inlineStr">
        <is>
          <t>RETAINED</t>
        </is>
      </c>
      <c r="H1274" s="23" t="inlineStr">
        <is>
          <t>Carried forward</t>
        </is>
      </c>
      <c r="I1274" s="23" t="inlineStr">
        <is>
          <t>Source assignment -- not individually reviewed</t>
        </is>
      </c>
      <c r="J1274" s="23" t="inlineStr"/>
      <c r="K1274" s="23" t="inlineStr">
        <is>
          <t>Source assignment</t>
        </is>
      </c>
      <c r="L1274" s="23" t="inlineStr"/>
      <c r="M1274" s="23" t="inlineStr">
        <is>
          <t>Commercial Package Register Cycle 2</t>
        </is>
      </c>
      <c r="N1274" s="23" t="inlineStr">
        <is>
          <t>Rev 1</t>
        </is>
      </c>
      <c r="O1274" s="23" t="inlineStr">
        <is>
          <t>R1615-v2</t>
        </is>
      </c>
      <c r="P1274" s="23" t="inlineStr"/>
      <c r="Q1274" s="23" t="inlineStr"/>
      <c r="R1274" s="23" t="inlineStr"/>
      <c r="S1274" s="23" t="inlineStr"/>
      <c r="T1274" s="23" t="inlineStr"/>
      <c r="U1274" s="23" t="inlineStr"/>
      <c r="V1274" s="23" t="inlineStr">
        <is>
          <t>Package Code = PK-603; WBS Code = 1.6</t>
        </is>
      </c>
      <c r="W1274" s="23" t="inlineStr"/>
    </row>
    <row r="1275" ht="64" customHeight="1">
      <c r="A1275" s="23" t="inlineStr">
        <is>
          <t>1.6</t>
        </is>
      </c>
      <c r="B1275" s="23" t="inlineStr">
        <is>
          <t>Program Management</t>
        </is>
      </c>
      <c r="C1275" s="23" t="inlineStr">
        <is>
          <t>Commercial Package Register</t>
        </is>
      </c>
      <c r="D1275" s="23" t="inlineStr">
        <is>
          <t>PKG-054</t>
        </is>
      </c>
      <c r="E1275" s="23" t="inlineStr">
        <is>
          <t>Delivery Integration</t>
        </is>
      </c>
      <c r="F1275" s="23" t="inlineStr">
        <is>
          <t>ONE_TO_ONE</t>
        </is>
      </c>
      <c r="G1275" s="23" t="inlineStr">
        <is>
          <t>RETAINED</t>
        </is>
      </c>
      <c r="H1275" s="23" t="inlineStr">
        <is>
          <t>Carried forward</t>
        </is>
      </c>
      <c r="I1275" s="23" t="inlineStr">
        <is>
          <t>Source assignment -- not individually reviewed</t>
        </is>
      </c>
      <c r="J1275" s="23" t="inlineStr"/>
      <c r="K1275" s="23" t="inlineStr">
        <is>
          <t>Source assignment</t>
        </is>
      </c>
      <c r="L1275" s="23" t="inlineStr"/>
      <c r="M1275" s="23" t="inlineStr">
        <is>
          <t>Commercial Package Register Cycle 2</t>
        </is>
      </c>
      <c r="N1275" s="23" t="inlineStr">
        <is>
          <t>Rev 1</t>
        </is>
      </c>
      <c r="O1275" s="23" t="inlineStr">
        <is>
          <t>R1616-v2</t>
        </is>
      </c>
      <c r="P1275" s="23" t="inlineStr"/>
      <c r="Q1275" s="23" t="inlineStr"/>
      <c r="R1275" s="23" t="inlineStr"/>
      <c r="S1275" s="23" t="inlineStr"/>
      <c r="T1275" s="23" t="inlineStr"/>
      <c r="U1275" s="23" t="inlineStr"/>
      <c r="V1275" s="23" t="inlineStr">
        <is>
          <t>Package Code = PK-604; WBS Code = 1.6</t>
        </is>
      </c>
      <c r="W1275" s="23" t="inlineStr"/>
    </row>
    <row r="1276" ht="64" customHeight="1">
      <c r="A1276" s="23" t="inlineStr">
        <is>
          <t>1.6</t>
        </is>
      </c>
      <c r="B1276" s="23" t="inlineStr">
        <is>
          <t>Program Management</t>
        </is>
      </c>
      <c r="C1276" s="23" t="inlineStr">
        <is>
          <t>Commercial Package Register</t>
        </is>
      </c>
      <c r="D1276" s="23" t="inlineStr">
        <is>
          <t>PKG-055</t>
        </is>
      </c>
      <c r="E1276" s="23" t="inlineStr">
        <is>
          <t>Program Controls - Lot 2</t>
        </is>
      </c>
      <c r="F1276" s="23" t="inlineStr">
        <is>
          <t>ONE_TO_ONE</t>
        </is>
      </c>
      <c r="G1276" s="23" t="inlineStr">
        <is>
          <t>RETAINED</t>
        </is>
      </c>
      <c r="H1276" s="23" t="inlineStr">
        <is>
          <t>Carried forward</t>
        </is>
      </c>
      <c r="I1276" s="23" t="inlineStr">
        <is>
          <t>Source assignment -- not individually reviewed</t>
        </is>
      </c>
      <c r="J1276" s="23" t="inlineStr"/>
      <c r="K1276" s="23" t="inlineStr">
        <is>
          <t>Source assignment</t>
        </is>
      </c>
      <c r="L1276" s="23" t="inlineStr"/>
      <c r="M1276" s="23" t="inlineStr">
        <is>
          <t>Commercial Package Register Cycle 2</t>
        </is>
      </c>
      <c r="N1276" s="23" t="inlineStr">
        <is>
          <t>Rev 1</t>
        </is>
      </c>
      <c r="O1276" s="23" t="inlineStr">
        <is>
          <t>R1617-v2</t>
        </is>
      </c>
      <c r="P1276" s="23" t="inlineStr"/>
      <c r="Q1276" s="23" t="inlineStr"/>
      <c r="R1276" s="23" t="inlineStr"/>
      <c r="S1276" s="23" t="inlineStr"/>
      <c r="T1276" s="23" t="inlineStr"/>
      <c r="U1276" s="23" t="inlineStr"/>
      <c r="V1276" s="23" t="inlineStr">
        <is>
          <t>Package Code = PK-605; WBS Code = 1.6</t>
        </is>
      </c>
      <c r="W1276" s="23" t="inlineStr"/>
    </row>
    <row r="1277" ht="64" customHeight="1">
      <c r="A1277" s="23" t="inlineStr">
        <is>
          <t>1.6</t>
        </is>
      </c>
      <c r="B1277" s="23" t="inlineStr">
        <is>
          <t>Program Management</t>
        </is>
      </c>
      <c r="C1277" s="23" t="inlineStr">
        <is>
          <t>Commercial Package Register</t>
        </is>
      </c>
      <c r="D1277" s="23" t="inlineStr">
        <is>
          <t>PKG-056</t>
        </is>
      </c>
      <c r="E1277" s="23" t="inlineStr">
        <is>
          <t>Commercial Advisory - Lot 2</t>
        </is>
      </c>
      <c r="F1277" s="23" t="inlineStr">
        <is>
          <t>ONE_TO_ONE</t>
        </is>
      </c>
      <c r="G1277" s="23" t="inlineStr">
        <is>
          <t>RETAINED</t>
        </is>
      </c>
      <c r="H1277" s="23" t="inlineStr">
        <is>
          <t>Carried forward</t>
        </is>
      </c>
      <c r="I1277" s="23" t="inlineStr">
        <is>
          <t>Source assignment -- not individually reviewed</t>
        </is>
      </c>
      <c r="J1277" s="23" t="inlineStr"/>
      <c r="K1277" s="23" t="inlineStr">
        <is>
          <t>Source assignment</t>
        </is>
      </c>
      <c r="L1277" s="23" t="inlineStr"/>
      <c r="M1277" s="23" t="inlineStr">
        <is>
          <t>Commercial Package Register Cycle 2</t>
        </is>
      </c>
      <c r="N1277" s="23" t="inlineStr">
        <is>
          <t>Rev 1</t>
        </is>
      </c>
      <c r="O1277" s="23" t="inlineStr">
        <is>
          <t>R1618-v2</t>
        </is>
      </c>
      <c r="P1277" s="23" t="inlineStr"/>
      <c r="Q1277" s="23" t="inlineStr"/>
      <c r="R1277" s="23" t="inlineStr"/>
      <c r="S1277" s="23" t="inlineStr"/>
      <c r="T1277" s="23" t="inlineStr"/>
      <c r="U1277" s="23" t="inlineStr"/>
      <c r="V1277" s="23" t="inlineStr">
        <is>
          <t>Package Code = PK-606; WBS Code = 1.6</t>
        </is>
      </c>
      <c r="W1277" s="23" t="inlineStr"/>
    </row>
    <row r="1278" ht="64" customHeight="1">
      <c r="A1278" s="23" t="inlineStr">
        <is>
          <t>1.6</t>
        </is>
      </c>
      <c r="B1278" s="23" t="inlineStr">
        <is>
          <t>Program Management</t>
        </is>
      </c>
      <c r="C1278" s="23" t="inlineStr">
        <is>
          <t>Commercial Package Register</t>
        </is>
      </c>
      <c r="D1278" s="23" t="inlineStr">
        <is>
          <t>PKG-057</t>
        </is>
      </c>
      <c r="E1278" s="23" t="inlineStr">
        <is>
          <t>Permitting Support - Lot 2</t>
        </is>
      </c>
      <c r="F1278" s="23" t="inlineStr">
        <is>
          <t>ONE_TO_ONE</t>
        </is>
      </c>
      <c r="G1278" s="23" t="inlineStr">
        <is>
          <t>RETAINED</t>
        </is>
      </c>
      <c r="H1278" s="23" t="inlineStr">
        <is>
          <t>Carried forward</t>
        </is>
      </c>
      <c r="I1278" s="23" t="inlineStr">
        <is>
          <t>Source assignment -- not individually reviewed</t>
        </is>
      </c>
      <c r="J1278" s="23" t="inlineStr"/>
      <c r="K1278" s="23" t="inlineStr">
        <is>
          <t>Source assignment</t>
        </is>
      </c>
      <c r="L1278" s="23" t="inlineStr"/>
      <c r="M1278" s="23" t="inlineStr">
        <is>
          <t>Commercial Package Register Cycle 2</t>
        </is>
      </c>
      <c r="N1278" s="23" t="inlineStr">
        <is>
          <t>Rev 1</t>
        </is>
      </c>
      <c r="O1278" s="23" t="inlineStr">
        <is>
          <t>R1619-v2</t>
        </is>
      </c>
      <c r="P1278" s="23" t="inlineStr"/>
      <c r="Q1278" s="23" t="inlineStr"/>
      <c r="R1278" s="23" t="inlineStr"/>
      <c r="S1278" s="23" t="inlineStr"/>
      <c r="T1278" s="23" t="inlineStr"/>
      <c r="U1278" s="23" t="inlineStr"/>
      <c r="V1278" s="23" t="inlineStr">
        <is>
          <t>Package Code = PK-607; WBS Code = 1.6</t>
        </is>
      </c>
      <c r="W1278" s="23" t="inlineStr"/>
    </row>
    <row r="1279" ht="64" customHeight="1">
      <c r="A1279" s="23" t="inlineStr">
        <is>
          <t>1.6</t>
        </is>
      </c>
      <c r="B1279" s="23" t="inlineStr">
        <is>
          <t>Program Management</t>
        </is>
      </c>
      <c r="C1279" s="23" t="inlineStr">
        <is>
          <t>Commercial Package Register</t>
        </is>
      </c>
      <c r="D1279" s="23" t="inlineStr">
        <is>
          <t>PKG-058</t>
        </is>
      </c>
      <c r="E1279" s="23" t="inlineStr">
        <is>
          <t>Delivery Integration - Lot 2</t>
        </is>
      </c>
      <c r="F1279" s="23" t="inlineStr">
        <is>
          <t>ONE_TO_ONE</t>
        </is>
      </c>
      <c r="G1279" s="23" t="inlineStr">
        <is>
          <t>RETAINED</t>
        </is>
      </c>
      <c r="H1279" s="23" t="inlineStr">
        <is>
          <t>Carried forward</t>
        </is>
      </c>
      <c r="I1279" s="23" t="inlineStr">
        <is>
          <t>Source assignment -- not individually reviewed</t>
        </is>
      </c>
      <c r="J1279" s="23" t="inlineStr"/>
      <c r="K1279" s="23" t="inlineStr">
        <is>
          <t>Source assignment</t>
        </is>
      </c>
      <c r="L1279" s="23" t="inlineStr"/>
      <c r="M1279" s="23" t="inlineStr">
        <is>
          <t>Commercial Package Register Cycle 2</t>
        </is>
      </c>
      <c r="N1279" s="23" t="inlineStr">
        <is>
          <t>Rev 1</t>
        </is>
      </c>
      <c r="O1279" s="23" t="inlineStr">
        <is>
          <t>R1620-v2</t>
        </is>
      </c>
      <c r="P1279" s="23" t="inlineStr"/>
      <c r="Q1279" s="23" t="inlineStr"/>
      <c r="R1279" s="23" t="inlineStr"/>
      <c r="S1279" s="23" t="inlineStr"/>
      <c r="T1279" s="23" t="inlineStr"/>
      <c r="U1279" s="23" t="inlineStr"/>
      <c r="V1279" s="23" t="inlineStr">
        <is>
          <t>Package Code = PK-608; WBS Code = 1.6</t>
        </is>
      </c>
      <c r="W1279" s="23" t="inlineStr"/>
    </row>
    <row r="1280" ht="64" customHeight="1">
      <c r="A1280" s="23" t="inlineStr">
        <is>
          <t>1.6</t>
        </is>
      </c>
      <c r="B1280" s="23" t="inlineStr">
        <is>
          <t>Program Management</t>
        </is>
      </c>
      <c r="C1280" s="23" t="inlineStr">
        <is>
          <t>Commercial Package Register</t>
        </is>
      </c>
      <c r="D1280" s="23" t="inlineStr">
        <is>
          <t>PKG-060</t>
        </is>
      </c>
      <c r="E1280" s="23" t="inlineStr">
        <is>
          <t>Commercial Advisory - Lot 3</t>
        </is>
      </c>
      <c r="F1280" s="23" t="inlineStr">
        <is>
          <t>ONE_TO_ONE</t>
        </is>
      </c>
      <c r="G1280" s="23" t="inlineStr">
        <is>
          <t>RETAINED</t>
        </is>
      </c>
      <c r="H1280" s="23" t="inlineStr">
        <is>
          <t>Carried forward</t>
        </is>
      </c>
      <c r="I1280" s="23" t="inlineStr">
        <is>
          <t>Source assignment -- not individually reviewed</t>
        </is>
      </c>
      <c r="J1280" s="23" t="inlineStr"/>
      <c r="K1280" s="23" t="inlineStr">
        <is>
          <t>Source assignment</t>
        </is>
      </c>
      <c r="L1280" s="23" t="inlineStr"/>
      <c r="M1280" s="23" t="inlineStr">
        <is>
          <t>Commercial Package Register Cycle 2</t>
        </is>
      </c>
      <c r="N1280" s="23" t="inlineStr">
        <is>
          <t>Rev 1</t>
        </is>
      </c>
      <c r="O1280" s="23" t="inlineStr">
        <is>
          <t>R1622-v2</t>
        </is>
      </c>
      <c r="P1280" s="23" t="inlineStr"/>
      <c r="Q1280" s="23" t="inlineStr"/>
      <c r="R1280" s="23" t="inlineStr"/>
      <c r="S1280" s="23" t="inlineStr"/>
      <c r="T1280" s="23" t="inlineStr"/>
      <c r="U1280" s="23" t="inlineStr"/>
      <c r="V1280" s="23" t="inlineStr">
        <is>
          <t>Package Code = PK-610; WBS Code = 1.6</t>
        </is>
      </c>
      <c r="W1280" s="23" t="inlineStr"/>
    </row>
    <row r="1281" ht="64" customHeight="1">
      <c r="A1281" s="23" t="inlineStr">
        <is>
          <t>1.6.1</t>
        </is>
      </c>
      <c r="B1281" s="23" t="inlineStr">
        <is>
          <t>Program Management - Program Controls</t>
        </is>
      </c>
      <c r="C1281" s="23" t="inlineStr">
        <is>
          <t>Cost &amp; Forecast Control Accounts</t>
        </is>
      </c>
      <c r="D1281" s="23" t="inlineStr">
        <is>
          <t>CST-06-001</t>
        </is>
      </c>
      <c r="E1281" s="23" t="inlineStr">
        <is>
          <t>Program Management - design integration - professional services</t>
        </is>
      </c>
      <c r="F1281" s="23" t="inlineStr">
        <is>
          <t>ONE_TO_ONE</t>
        </is>
      </c>
      <c r="G1281" s="23" t="inlineStr">
        <is>
          <t>RETAINED</t>
        </is>
      </c>
      <c r="H1281" s="23" t="inlineStr">
        <is>
          <t>Carried forward</t>
        </is>
      </c>
      <c r="I1281" s="23" t="inlineStr">
        <is>
          <t>Source assignment -- not individually reviewed</t>
        </is>
      </c>
      <c r="J1281" s="23" t="inlineStr"/>
      <c r="K1281" s="23" t="inlineStr">
        <is>
          <t>Source assignment</t>
        </is>
      </c>
      <c r="L1281" s="23" t="inlineStr"/>
      <c r="M1281" s="23" t="inlineStr">
        <is>
          <t>Cost &amp; Forecast Control Accounts Cycle 2</t>
        </is>
      </c>
      <c r="N1281" s="23" t="inlineStr">
        <is>
          <t>Rev 1</t>
        </is>
      </c>
      <c r="O1281" s="23" t="inlineStr">
        <is>
          <t>R1483-v2</t>
        </is>
      </c>
      <c r="P1281" s="23" t="inlineStr"/>
      <c r="Q1281" s="23" t="inlineStr"/>
      <c r="R1281" s="23" t="inlineStr"/>
      <c r="S1281" s="23" t="inlineStr"/>
      <c r="T1281" s="23" t="inlineStr"/>
      <c r="U1281" s="23" t="inlineStr"/>
      <c r="V1281" s="23" t="inlineStr">
        <is>
          <t>Cost Account = CA-6001; WBS Code = 1.6.1</t>
        </is>
      </c>
      <c r="W1281" s="23" t="inlineStr"/>
    </row>
    <row r="1282" ht="64" customHeight="1">
      <c r="A1282" s="23" t="inlineStr">
        <is>
          <t>1.6.1</t>
        </is>
      </c>
      <c r="B1282" s="23" t="inlineStr">
        <is>
          <t>Program Management - Program Controls</t>
        </is>
      </c>
      <c r="C1282" s="23" t="inlineStr">
        <is>
          <t>Cost &amp; Forecast Control Accounts</t>
        </is>
      </c>
      <c r="D1282" s="23" t="inlineStr">
        <is>
          <t>CST-06-003</t>
        </is>
      </c>
      <c r="E1282" s="23" t="inlineStr">
        <is>
          <t>Program Management - program controls - closeout</t>
        </is>
      </c>
      <c r="F1282" s="23" t="inlineStr">
        <is>
          <t>ONE_TO_ONE</t>
        </is>
      </c>
      <c r="G1282" s="23" t="inlineStr">
        <is>
          <t>RETAINED</t>
        </is>
      </c>
      <c r="H1282" s="23" t="inlineStr">
        <is>
          <t>Carried forward</t>
        </is>
      </c>
      <c r="I1282" s="23" t="inlineStr">
        <is>
          <t>Source assignment -- not individually reviewed</t>
        </is>
      </c>
      <c r="J1282" s="23" t="inlineStr"/>
      <c r="K1282" s="23" t="inlineStr">
        <is>
          <t>Source assignment</t>
        </is>
      </c>
      <c r="L1282" s="23" t="inlineStr"/>
      <c r="M1282" s="23" t="inlineStr">
        <is>
          <t>Cost &amp; Forecast Control Accounts Cycle 2</t>
        </is>
      </c>
      <c r="N1282" s="23" t="inlineStr">
        <is>
          <t>Rev 1</t>
        </is>
      </c>
      <c r="O1282" s="23" t="inlineStr">
        <is>
          <t>R1485-v2</t>
        </is>
      </c>
      <c r="P1282" s="23" t="inlineStr"/>
      <c r="Q1282" s="23" t="inlineStr"/>
      <c r="R1282" s="23" t="inlineStr"/>
      <c r="S1282" s="23" t="inlineStr"/>
      <c r="T1282" s="23" t="inlineStr"/>
      <c r="U1282" s="23" t="inlineStr"/>
      <c r="V1282" s="23" t="inlineStr">
        <is>
          <t>Cost Account = CA-6003; WBS Code = 1.6.1</t>
        </is>
      </c>
      <c r="W1282" s="23" t="inlineStr"/>
    </row>
    <row r="1283" ht="64" customHeight="1">
      <c r="A1283" s="23" t="inlineStr">
        <is>
          <t>1.6.1</t>
        </is>
      </c>
      <c r="B1283" s="23" t="inlineStr">
        <is>
          <t>Program Management - Program Controls</t>
        </is>
      </c>
      <c r="C1283" s="23" t="inlineStr">
        <is>
          <t>Cost &amp; Forecast Control Accounts</t>
        </is>
      </c>
      <c r="D1283" s="23" t="inlineStr">
        <is>
          <t>CST-06-005</t>
        </is>
      </c>
      <c r="E1283" s="23" t="inlineStr">
        <is>
          <t>Program Management - stakeholder services - supply and install</t>
        </is>
      </c>
      <c r="F1283" s="23" t="inlineStr">
        <is>
          <t>ONE_TO_ONE</t>
        </is>
      </c>
      <c r="G1283" s="23" t="inlineStr">
        <is>
          <t>RETAINED</t>
        </is>
      </c>
      <c r="H1283" s="23" t="inlineStr">
        <is>
          <t>Carried forward</t>
        </is>
      </c>
      <c r="I1283" s="23" t="inlineStr">
        <is>
          <t>Source assignment -- not individually reviewed</t>
        </is>
      </c>
      <c r="J1283" s="23" t="inlineStr"/>
      <c r="K1283" s="23" t="inlineStr">
        <is>
          <t>Source assignment</t>
        </is>
      </c>
      <c r="L1283" s="23" t="inlineStr"/>
      <c r="M1283" s="23" t="inlineStr">
        <is>
          <t>Cost &amp; Forecast Control Accounts Cycle 2</t>
        </is>
      </c>
      <c r="N1283" s="23" t="inlineStr">
        <is>
          <t>Rev 1</t>
        </is>
      </c>
      <c r="O1283" s="23" t="inlineStr">
        <is>
          <t>R1487-v2</t>
        </is>
      </c>
      <c r="P1283" s="23" t="inlineStr"/>
      <c r="Q1283" s="23" t="inlineStr"/>
      <c r="R1283" s="23" t="inlineStr"/>
      <c r="S1283" s="23" t="inlineStr"/>
      <c r="T1283" s="23" t="inlineStr"/>
      <c r="U1283" s="23" t="inlineStr"/>
      <c r="V1283" s="23" t="inlineStr">
        <is>
          <t>Cost Account = CA-6005; WBS Code = 1.6.1</t>
        </is>
      </c>
      <c r="W1283" s="23" t="inlineStr"/>
    </row>
    <row r="1284" ht="64" customHeight="1">
      <c r="A1284" s="23" t="inlineStr">
        <is>
          <t>1.6.1</t>
        </is>
      </c>
      <c r="B1284" s="23" t="inlineStr">
        <is>
          <t>Program Management - Program Controls</t>
        </is>
      </c>
      <c r="C1284" s="23" t="inlineStr">
        <is>
          <t>Cost &amp; Forecast Control Accounts</t>
        </is>
      </c>
      <c r="D1284" s="23" t="inlineStr">
        <is>
          <t>CST-06-007</t>
        </is>
      </c>
      <c r="E1284" s="23" t="inlineStr">
        <is>
          <t>Program Management - design integration - allowance</t>
        </is>
      </c>
      <c r="F1284" s="23" t="inlineStr">
        <is>
          <t>ONE_TO_ONE</t>
        </is>
      </c>
      <c r="G1284" s="23" t="inlineStr">
        <is>
          <t>RETAINED</t>
        </is>
      </c>
      <c r="H1284" s="23" t="inlineStr">
        <is>
          <t>Carried forward</t>
        </is>
      </c>
      <c r="I1284" s="23" t="inlineStr">
        <is>
          <t>Source assignment -- not individually reviewed</t>
        </is>
      </c>
      <c r="J1284" s="23" t="inlineStr"/>
      <c r="K1284" s="23" t="inlineStr">
        <is>
          <t>Source assignment</t>
        </is>
      </c>
      <c r="L1284" s="23" t="inlineStr"/>
      <c r="M1284" s="23" t="inlineStr">
        <is>
          <t>Cost &amp; Forecast Control Accounts Cycle 2</t>
        </is>
      </c>
      <c r="N1284" s="23" t="inlineStr">
        <is>
          <t>Rev 1</t>
        </is>
      </c>
      <c r="O1284" s="23" t="inlineStr">
        <is>
          <t>R1489-v2</t>
        </is>
      </c>
      <c r="P1284" s="23" t="inlineStr"/>
      <c r="Q1284" s="23" t="inlineStr"/>
      <c r="R1284" s="23" t="inlineStr"/>
      <c r="S1284" s="23" t="inlineStr"/>
      <c r="T1284" s="23" t="inlineStr"/>
      <c r="U1284" s="23" t="inlineStr"/>
      <c r="V1284" s="23" t="inlineStr">
        <is>
          <t>Cost Account = CA-6007; WBS Code = 1.6.1</t>
        </is>
      </c>
      <c r="W1284" s="23" t="inlineStr"/>
    </row>
    <row r="1285" ht="64" customHeight="1">
      <c r="A1285" s="23" t="inlineStr">
        <is>
          <t>1.6.1</t>
        </is>
      </c>
      <c r="B1285" s="23" t="inlineStr">
        <is>
          <t>Program Management - Program Controls</t>
        </is>
      </c>
      <c r="C1285" s="23" t="inlineStr">
        <is>
          <t>Cost &amp; Forecast Control Accounts</t>
        </is>
      </c>
      <c r="D1285" s="23" t="inlineStr">
        <is>
          <t>CST-06-009</t>
        </is>
      </c>
      <c r="E1285" s="23" t="inlineStr">
        <is>
          <t>Program Management - program controls - field package</t>
        </is>
      </c>
      <c r="F1285" s="23" t="inlineStr">
        <is>
          <t>ONE_TO_ONE</t>
        </is>
      </c>
      <c r="G1285" s="23" t="inlineStr">
        <is>
          <t>RETAINED</t>
        </is>
      </c>
      <c r="H1285" s="23" t="inlineStr">
        <is>
          <t>Carried forward</t>
        </is>
      </c>
      <c r="I1285" s="23" t="inlineStr">
        <is>
          <t>Source assignment -- not individually reviewed</t>
        </is>
      </c>
      <c r="J1285" s="23" t="inlineStr"/>
      <c r="K1285" s="23" t="inlineStr">
        <is>
          <t>Source assignment</t>
        </is>
      </c>
      <c r="L1285" s="23" t="inlineStr"/>
      <c r="M1285" s="23" t="inlineStr">
        <is>
          <t>Cost &amp; Forecast Control Accounts Cycle 2</t>
        </is>
      </c>
      <c r="N1285" s="23" t="inlineStr">
        <is>
          <t>Rev 1</t>
        </is>
      </c>
      <c r="O1285" s="23" t="inlineStr">
        <is>
          <t>R1491-v2</t>
        </is>
      </c>
      <c r="P1285" s="23" t="inlineStr"/>
      <c r="Q1285" s="23" t="inlineStr"/>
      <c r="R1285" s="23" t="inlineStr"/>
      <c r="S1285" s="23" t="inlineStr"/>
      <c r="T1285" s="23" t="inlineStr"/>
      <c r="U1285" s="23" t="inlineStr"/>
      <c r="V1285" s="23" t="inlineStr">
        <is>
          <t>Cost Account = CA-6009; WBS Code = 1.6.1</t>
        </is>
      </c>
      <c r="W1285" s="23" t="inlineStr"/>
    </row>
    <row r="1286" ht="64" customHeight="1">
      <c r="A1286" s="23" t="inlineStr">
        <is>
          <t>1.6.1</t>
        </is>
      </c>
      <c r="B1286" s="23" t="inlineStr">
        <is>
          <t>Program Management - Program Controls</t>
        </is>
      </c>
      <c r="C1286" s="23" t="inlineStr">
        <is>
          <t>Cost &amp; Forecast Control Accounts</t>
        </is>
      </c>
      <c r="D1286" s="23" t="inlineStr">
        <is>
          <t>CST-06-011</t>
        </is>
      </c>
      <c r="E1286" s="23" t="inlineStr">
        <is>
          <t>Program Management - stakeholder services - professional services</t>
        </is>
      </c>
      <c r="F1286" s="23" t="inlineStr">
        <is>
          <t>ONE_TO_ONE</t>
        </is>
      </c>
      <c r="G1286" s="23" t="inlineStr">
        <is>
          <t>RETAINED</t>
        </is>
      </c>
      <c r="H1286" s="23" t="inlineStr">
        <is>
          <t>Carried forward</t>
        </is>
      </c>
      <c r="I1286" s="23" t="inlineStr">
        <is>
          <t>Source assignment -- not individually reviewed</t>
        </is>
      </c>
      <c r="J1286" s="23" t="inlineStr"/>
      <c r="K1286" s="23" t="inlineStr">
        <is>
          <t>Source assignment</t>
        </is>
      </c>
      <c r="L1286" s="23" t="inlineStr"/>
      <c r="M1286" s="23" t="inlineStr">
        <is>
          <t>Cost &amp; Forecast Control Accounts Cycle 2</t>
        </is>
      </c>
      <c r="N1286" s="23" t="inlineStr">
        <is>
          <t>Rev 1</t>
        </is>
      </c>
      <c r="O1286" s="23" t="inlineStr">
        <is>
          <t>R1493-v2</t>
        </is>
      </c>
      <c r="P1286" s="23" t="inlineStr"/>
      <c r="Q1286" s="23" t="inlineStr"/>
      <c r="R1286" s="23" t="inlineStr"/>
      <c r="S1286" s="23" t="inlineStr"/>
      <c r="T1286" s="23" t="inlineStr"/>
      <c r="U1286" s="23" t="inlineStr"/>
      <c r="V1286" s="23" t="inlineStr">
        <is>
          <t>Cost Account = CA-6011; WBS Code = 1.6.1</t>
        </is>
      </c>
      <c r="W1286" s="23" t="inlineStr"/>
    </row>
    <row r="1287" ht="64" customHeight="1">
      <c r="A1287" s="23" t="inlineStr">
        <is>
          <t>1.6.1</t>
        </is>
      </c>
      <c r="B1287" s="23" t="inlineStr">
        <is>
          <t>Program Management - Program Controls</t>
        </is>
      </c>
      <c r="C1287" s="23" t="inlineStr">
        <is>
          <t>Cost &amp; Forecast Control Accounts</t>
        </is>
      </c>
      <c r="D1287" s="23" t="inlineStr">
        <is>
          <t>CST-06-013</t>
        </is>
      </c>
      <c r="E1287" s="23" t="inlineStr">
        <is>
          <t>Program Management - design integration - closeout</t>
        </is>
      </c>
      <c r="F1287" s="23" t="inlineStr">
        <is>
          <t>ONE_TO_ONE</t>
        </is>
      </c>
      <c r="G1287" s="23" t="inlineStr">
        <is>
          <t>RETAINED</t>
        </is>
      </c>
      <c r="H1287" s="23" t="inlineStr">
        <is>
          <t>Carried forward</t>
        </is>
      </c>
      <c r="I1287" s="23" t="inlineStr">
        <is>
          <t>Source assignment -- not individually reviewed</t>
        </is>
      </c>
      <c r="J1287" s="23" t="inlineStr"/>
      <c r="K1287" s="23" t="inlineStr">
        <is>
          <t>Source assignment</t>
        </is>
      </c>
      <c r="L1287" s="23" t="inlineStr"/>
      <c r="M1287" s="23" t="inlineStr">
        <is>
          <t>Cost &amp; Forecast Control Accounts Cycle 2</t>
        </is>
      </c>
      <c r="N1287" s="23" t="inlineStr">
        <is>
          <t>Rev 1</t>
        </is>
      </c>
      <c r="O1287" s="23" t="inlineStr">
        <is>
          <t>R1495-v2</t>
        </is>
      </c>
      <c r="P1287" s="23" t="inlineStr"/>
      <c r="Q1287" s="23" t="inlineStr"/>
      <c r="R1287" s="23" t="inlineStr"/>
      <c r="S1287" s="23" t="inlineStr"/>
      <c r="T1287" s="23" t="inlineStr"/>
      <c r="U1287" s="23" t="inlineStr"/>
      <c r="V1287" s="23" t="inlineStr">
        <is>
          <t>Cost Account = CA-6013; WBS Code = 1.6.1</t>
        </is>
      </c>
      <c r="W1287" s="23" t="inlineStr"/>
    </row>
    <row r="1288" ht="64" customHeight="1">
      <c r="A1288" s="23" t="inlineStr">
        <is>
          <t>1.6.1</t>
        </is>
      </c>
      <c r="B1288" s="23" t="inlineStr">
        <is>
          <t>Program Management - Program Controls</t>
        </is>
      </c>
      <c r="C1288" s="23" t="inlineStr">
        <is>
          <t>Cost &amp; Forecast Control Accounts</t>
        </is>
      </c>
      <c r="D1288" s="23" t="inlineStr">
        <is>
          <t>CST-06-015</t>
        </is>
      </c>
      <c r="E1288" s="23" t="inlineStr">
        <is>
          <t>Program Management - program controls - supply and install</t>
        </is>
      </c>
      <c r="F1288" s="23" t="inlineStr">
        <is>
          <t>ONE_TO_ONE</t>
        </is>
      </c>
      <c r="G1288" s="23" t="inlineStr">
        <is>
          <t>RETAINED</t>
        </is>
      </c>
      <c r="H1288" s="23" t="inlineStr">
        <is>
          <t>Carried forward</t>
        </is>
      </c>
      <c r="I1288" s="23" t="inlineStr">
        <is>
          <t>Source assignment -- not individually reviewed</t>
        </is>
      </c>
      <c r="J1288" s="23" t="inlineStr"/>
      <c r="K1288" s="23" t="inlineStr">
        <is>
          <t>Source assignment</t>
        </is>
      </c>
      <c r="L1288" s="23" t="inlineStr"/>
      <c r="M1288" s="23" t="inlineStr">
        <is>
          <t>Cost &amp; Forecast Control Accounts Cycle 2</t>
        </is>
      </c>
      <c r="N1288" s="23" t="inlineStr">
        <is>
          <t>Rev 1</t>
        </is>
      </c>
      <c r="O1288" s="23" t="inlineStr">
        <is>
          <t>R1497-v2</t>
        </is>
      </c>
      <c r="P1288" s="23" t="inlineStr"/>
      <c r="Q1288" s="23" t="inlineStr"/>
      <c r="R1288" s="23" t="inlineStr"/>
      <c r="S1288" s="23" t="inlineStr"/>
      <c r="T1288" s="23" t="inlineStr"/>
      <c r="U1288" s="23" t="inlineStr"/>
      <c r="V1288" s="23" t="inlineStr">
        <is>
          <t>Cost Account = CA-6015; WBS Code = 1.6.1</t>
        </is>
      </c>
      <c r="W1288" s="23" t="inlineStr"/>
    </row>
    <row r="1289" ht="64" customHeight="1">
      <c r="A1289" s="23" t="inlineStr">
        <is>
          <t>1.6.1</t>
        </is>
      </c>
      <c r="B1289" s="23" t="inlineStr">
        <is>
          <t>Program Management - Program Controls</t>
        </is>
      </c>
      <c r="C1289" s="23" t="inlineStr">
        <is>
          <t>Cost &amp; Forecast Control Accounts</t>
        </is>
      </c>
      <c r="D1289" s="23" t="inlineStr">
        <is>
          <t>CST-06-017</t>
        </is>
      </c>
      <c r="E1289" s="23" t="inlineStr">
        <is>
          <t>Program Management - stakeholder services - allowance</t>
        </is>
      </c>
      <c r="F1289" s="23" t="inlineStr">
        <is>
          <t>ONE_TO_ONE</t>
        </is>
      </c>
      <c r="G1289" s="23" t="inlineStr">
        <is>
          <t>RETAINED</t>
        </is>
      </c>
      <c r="H1289" s="23" t="inlineStr">
        <is>
          <t>Carried forward</t>
        </is>
      </c>
      <c r="I1289" s="23" t="inlineStr">
        <is>
          <t>Source assignment -- not individually reviewed</t>
        </is>
      </c>
      <c r="J1289" s="23" t="inlineStr"/>
      <c r="K1289" s="23" t="inlineStr">
        <is>
          <t>Source assignment</t>
        </is>
      </c>
      <c r="L1289" s="23" t="inlineStr"/>
      <c r="M1289" s="23" t="inlineStr">
        <is>
          <t>Cost &amp; Forecast Control Accounts Cycle 2</t>
        </is>
      </c>
      <c r="N1289" s="23" t="inlineStr">
        <is>
          <t>Rev 1</t>
        </is>
      </c>
      <c r="O1289" s="23" t="inlineStr">
        <is>
          <t>R1499-v2</t>
        </is>
      </c>
      <c r="P1289" s="23" t="inlineStr"/>
      <c r="Q1289" s="23" t="inlineStr"/>
      <c r="R1289" s="23" t="inlineStr"/>
      <c r="S1289" s="23" t="inlineStr"/>
      <c r="T1289" s="23" t="inlineStr"/>
      <c r="U1289" s="23" t="inlineStr"/>
      <c r="V1289" s="23" t="inlineStr">
        <is>
          <t>Cost Account = CA-6017; WBS Code = 1.6.1</t>
        </is>
      </c>
      <c r="W1289" s="23" t="inlineStr"/>
    </row>
    <row r="1290" ht="64" customHeight="1">
      <c r="A1290" s="23" t="inlineStr">
        <is>
          <t>1.6.1</t>
        </is>
      </c>
      <c r="B1290" s="23" t="inlineStr">
        <is>
          <t>Program Management - Program Controls</t>
        </is>
      </c>
      <c r="C1290" s="23" t="inlineStr">
        <is>
          <t>Cost &amp; Forecast Control Accounts</t>
        </is>
      </c>
      <c r="D1290" s="23" t="inlineStr">
        <is>
          <t>CST-06-019</t>
        </is>
      </c>
      <c r="E1290" s="23" t="inlineStr">
        <is>
          <t>Program Management - design integration - field package</t>
        </is>
      </c>
      <c r="F1290" s="23" t="inlineStr">
        <is>
          <t>ONE_TO_ONE</t>
        </is>
      </c>
      <c r="G1290" s="23" t="inlineStr">
        <is>
          <t>RETAINED</t>
        </is>
      </c>
      <c r="H1290" s="23" t="inlineStr">
        <is>
          <t>Carried forward</t>
        </is>
      </c>
      <c r="I1290" s="23" t="inlineStr">
        <is>
          <t>Source assignment -- not individually reviewed</t>
        </is>
      </c>
      <c r="J1290" s="23" t="inlineStr"/>
      <c r="K1290" s="23" t="inlineStr">
        <is>
          <t>Source assignment</t>
        </is>
      </c>
      <c r="L1290" s="23" t="inlineStr"/>
      <c r="M1290" s="23" t="inlineStr">
        <is>
          <t>Cost &amp; Forecast Control Accounts Cycle 2</t>
        </is>
      </c>
      <c r="N1290" s="23" t="inlineStr">
        <is>
          <t>Rev 1</t>
        </is>
      </c>
      <c r="O1290" s="23" t="inlineStr">
        <is>
          <t>R1501-v2</t>
        </is>
      </c>
      <c r="P1290" s="23" t="inlineStr"/>
      <c r="Q1290" s="23" t="inlineStr"/>
      <c r="R1290" s="23" t="inlineStr"/>
      <c r="S1290" s="23" t="inlineStr"/>
      <c r="T1290" s="23" t="inlineStr"/>
      <c r="U1290" s="23" t="inlineStr"/>
      <c r="V1290" s="23" t="inlineStr">
        <is>
          <t>Cost Account = CA-6019; WBS Code = 1.6.1</t>
        </is>
      </c>
      <c r="W1290" s="23" t="inlineStr"/>
    </row>
    <row r="1291" ht="64" customHeight="1">
      <c r="A1291" s="23" t="inlineStr">
        <is>
          <t>1.6.1</t>
        </is>
      </c>
      <c r="B1291" s="23" t="inlineStr">
        <is>
          <t>Program Management - Program Controls</t>
        </is>
      </c>
      <c r="C1291" s="23" t="inlineStr">
        <is>
          <t>Cost &amp; Forecast Control Accounts</t>
        </is>
      </c>
      <c r="D1291" s="23" t="inlineStr">
        <is>
          <t>CST-06-021</t>
        </is>
      </c>
      <c r="E1291" s="23" t="inlineStr">
        <is>
          <t>Program Management - program controls - professional services</t>
        </is>
      </c>
      <c r="F1291" s="23" t="inlineStr">
        <is>
          <t>ONE_TO_ONE</t>
        </is>
      </c>
      <c r="G1291" s="23" t="inlineStr">
        <is>
          <t>RETAINED</t>
        </is>
      </c>
      <c r="H1291" s="23" t="inlineStr">
        <is>
          <t>Carried forward</t>
        </is>
      </c>
      <c r="I1291" s="23" t="inlineStr">
        <is>
          <t>Source assignment -- not individually reviewed</t>
        </is>
      </c>
      <c r="J1291" s="23" t="inlineStr"/>
      <c r="K1291" s="23" t="inlineStr">
        <is>
          <t>Source assignment</t>
        </is>
      </c>
      <c r="L1291" s="23" t="inlineStr"/>
      <c r="M1291" s="23" t="inlineStr">
        <is>
          <t>Cost &amp; Forecast Control Accounts Cycle 2</t>
        </is>
      </c>
      <c r="N1291" s="23" t="inlineStr">
        <is>
          <t>Rev 1</t>
        </is>
      </c>
      <c r="O1291" s="23" t="inlineStr">
        <is>
          <t>R1503-v2</t>
        </is>
      </c>
      <c r="P1291" s="23" t="inlineStr"/>
      <c r="Q1291" s="23" t="inlineStr"/>
      <c r="R1291" s="23" t="inlineStr"/>
      <c r="S1291" s="23" t="inlineStr"/>
      <c r="T1291" s="23" t="inlineStr"/>
      <c r="U1291" s="23" t="inlineStr"/>
      <c r="V1291" s="23" t="inlineStr">
        <is>
          <t>Cost Account = CA-6021; WBS Code = 1.6.1</t>
        </is>
      </c>
      <c r="W1291" s="23" t="inlineStr"/>
    </row>
    <row r="1292" ht="64" customHeight="1">
      <c r="A1292" s="23" t="inlineStr">
        <is>
          <t>1.6.1</t>
        </is>
      </c>
      <c r="B1292" s="23" t="inlineStr">
        <is>
          <t>Program Management - Program Controls</t>
        </is>
      </c>
      <c r="C1292" s="23" t="inlineStr">
        <is>
          <t>Cost &amp; Forecast Control Accounts</t>
        </is>
      </c>
      <c r="D1292" s="23" t="inlineStr">
        <is>
          <t>CST-06-023</t>
        </is>
      </c>
      <c r="E1292" s="23" t="inlineStr">
        <is>
          <t>Program Management - stakeholder services - closeout</t>
        </is>
      </c>
      <c r="F1292" s="23" t="inlineStr">
        <is>
          <t>ONE_TO_ONE</t>
        </is>
      </c>
      <c r="G1292" s="23" t="inlineStr">
        <is>
          <t>RETAINED</t>
        </is>
      </c>
      <c r="H1292" s="23" t="inlineStr">
        <is>
          <t>Carried forward</t>
        </is>
      </c>
      <c r="I1292" s="23" t="inlineStr">
        <is>
          <t>Source assignment -- not individually reviewed</t>
        </is>
      </c>
      <c r="J1292" s="23" t="inlineStr"/>
      <c r="K1292" s="23" t="inlineStr">
        <is>
          <t>Source assignment</t>
        </is>
      </c>
      <c r="L1292" s="23" t="inlineStr"/>
      <c r="M1292" s="23" t="inlineStr">
        <is>
          <t>Cost &amp; Forecast Control Accounts Cycle 2</t>
        </is>
      </c>
      <c r="N1292" s="23" t="inlineStr">
        <is>
          <t>Rev 1</t>
        </is>
      </c>
      <c r="O1292" s="23" t="inlineStr">
        <is>
          <t>R1505-v2</t>
        </is>
      </c>
      <c r="P1292" s="23" t="inlineStr"/>
      <c r="Q1292" s="23" t="inlineStr"/>
      <c r="R1292" s="23" t="inlineStr"/>
      <c r="S1292" s="23" t="inlineStr"/>
      <c r="T1292" s="23" t="inlineStr"/>
      <c r="U1292" s="23" t="inlineStr"/>
      <c r="V1292" s="23" t="inlineStr">
        <is>
          <t>Cost Account = CA-6023; WBS Code = 1.6.1</t>
        </is>
      </c>
      <c r="W1292" s="23" t="inlineStr"/>
    </row>
    <row r="1293" ht="64" customHeight="1">
      <c r="A1293" s="23" t="inlineStr">
        <is>
          <t>1.6.1</t>
        </is>
      </c>
      <c r="B1293" s="23" t="inlineStr">
        <is>
          <t>Program Management - Program Controls</t>
        </is>
      </c>
      <c r="C1293" s="23" t="inlineStr">
        <is>
          <t>Cost &amp; Forecast Control Accounts</t>
        </is>
      </c>
      <c r="D1293" s="23" t="inlineStr">
        <is>
          <t>CST-06-025</t>
        </is>
      </c>
      <c r="E1293" s="23" t="inlineStr">
        <is>
          <t>Program Management - design integration - supply and install</t>
        </is>
      </c>
      <c r="F1293" s="23" t="inlineStr">
        <is>
          <t>ONE_TO_ONE</t>
        </is>
      </c>
      <c r="G1293" s="23" t="inlineStr">
        <is>
          <t>RETAINED</t>
        </is>
      </c>
      <c r="H1293" s="23" t="inlineStr">
        <is>
          <t>Carried forward</t>
        </is>
      </c>
      <c r="I1293" s="23" t="inlineStr">
        <is>
          <t>Source assignment -- not individually reviewed</t>
        </is>
      </c>
      <c r="J1293" s="23" t="inlineStr"/>
      <c r="K1293" s="23" t="inlineStr">
        <is>
          <t>Source assignment</t>
        </is>
      </c>
      <c r="L1293" s="23" t="inlineStr"/>
      <c r="M1293" s="23" t="inlineStr">
        <is>
          <t>Cost &amp; Forecast Control Accounts Cycle 2</t>
        </is>
      </c>
      <c r="N1293" s="23" t="inlineStr">
        <is>
          <t>Rev 1</t>
        </is>
      </c>
      <c r="O1293" s="23" t="inlineStr">
        <is>
          <t>R1507-v2</t>
        </is>
      </c>
      <c r="P1293" s="23" t="inlineStr"/>
      <c r="Q1293" s="23" t="inlineStr"/>
      <c r="R1293" s="23" t="inlineStr"/>
      <c r="S1293" s="23" t="inlineStr"/>
      <c r="T1293" s="23" t="inlineStr"/>
      <c r="U1293" s="23" t="inlineStr"/>
      <c r="V1293" s="23" t="inlineStr">
        <is>
          <t>Cost Account = CA-6025; WBS Code = 1.6.1</t>
        </is>
      </c>
      <c r="W1293" s="23" t="inlineStr"/>
    </row>
    <row r="1294" ht="64" customHeight="1">
      <c r="A1294" s="23" t="inlineStr">
        <is>
          <t>1.6.1</t>
        </is>
      </c>
      <c r="B1294" s="23" t="inlineStr">
        <is>
          <t>Program Management - Program Controls</t>
        </is>
      </c>
      <c r="C1294" s="23" t="inlineStr">
        <is>
          <t>Cost &amp; Forecast Control Accounts</t>
        </is>
      </c>
      <c r="D1294" s="23" t="inlineStr">
        <is>
          <t>CST-06-027</t>
        </is>
      </c>
      <c r="E1294" s="23" t="inlineStr">
        <is>
          <t>Program Management - program controls - allowance</t>
        </is>
      </c>
      <c r="F1294" s="23" t="inlineStr">
        <is>
          <t>ONE_TO_ONE</t>
        </is>
      </c>
      <c r="G1294" s="23" t="inlineStr">
        <is>
          <t>RETAINED</t>
        </is>
      </c>
      <c r="H1294" s="23" t="inlineStr">
        <is>
          <t>Carried forward</t>
        </is>
      </c>
      <c r="I1294" s="23" t="inlineStr">
        <is>
          <t>Source assignment -- not individually reviewed</t>
        </is>
      </c>
      <c r="J1294" s="23" t="inlineStr"/>
      <c r="K1294" s="23" t="inlineStr">
        <is>
          <t>Source assignment</t>
        </is>
      </c>
      <c r="L1294" s="23" t="inlineStr"/>
      <c r="M1294" s="23" t="inlineStr">
        <is>
          <t>Cost &amp; Forecast Control Accounts Cycle 2</t>
        </is>
      </c>
      <c r="N1294" s="23" t="inlineStr">
        <is>
          <t>Rev 1</t>
        </is>
      </c>
      <c r="O1294" s="23" t="inlineStr">
        <is>
          <t>R1509-v2</t>
        </is>
      </c>
      <c r="P1294" s="23" t="inlineStr"/>
      <c r="Q1294" s="23" t="inlineStr"/>
      <c r="R1294" s="23" t="inlineStr"/>
      <c r="S1294" s="23" t="inlineStr"/>
      <c r="T1294" s="23" t="inlineStr"/>
      <c r="U1294" s="23" t="inlineStr"/>
      <c r="V1294" s="23" t="inlineStr">
        <is>
          <t>Cost Account = CA-6027; WBS Code = 1.6.1</t>
        </is>
      </c>
      <c r="W1294" s="23" t="inlineStr"/>
    </row>
    <row r="1295" ht="64" customHeight="1">
      <c r="A1295" s="23" t="inlineStr">
        <is>
          <t>1.6.1</t>
        </is>
      </c>
      <c r="B1295" s="23" t="inlineStr">
        <is>
          <t>Program Management - Program Controls</t>
        </is>
      </c>
      <c r="C1295" s="23" t="inlineStr">
        <is>
          <t>Cost &amp; Forecast Control Accounts</t>
        </is>
      </c>
      <c r="D1295" s="23" t="inlineStr">
        <is>
          <t>CST-06-029</t>
        </is>
      </c>
      <c r="E1295" s="23" t="inlineStr">
        <is>
          <t>Program Management - stakeholder services - field package</t>
        </is>
      </c>
      <c r="F1295" s="23" t="inlineStr">
        <is>
          <t>ONE_TO_ONE</t>
        </is>
      </c>
      <c r="G1295" s="23" t="inlineStr">
        <is>
          <t>RETAINED</t>
        </is>
      </c>
      <c r="H1295" s="23" t="inlineStr">
        <is>
          <t>Carried forward</t>
        </is>
      </c>
      <c r="I1295" s="23" t="inlineStr">
        <is>
          <t>Source assignment -- not individually reviewed</t>
        </is>
      </c>
      <c r="J1295" s="23" t="inlineStr"/>
      <c r="K1295" s="23" t="inlineStr">
        <is>
          <t>Source assignment</t>
        </is>
      </c>
      <c r="L1295" s="23" t="inlineStr"/>
      <c r="M1295" s="23" t="inlineStr">
        <is>
          <t>Cost &amp; Forecast Control Accounts Cycle 2</t>
        </is>
      </c>
      <c r="N1295" s="23" t="inlineStr">
        <is>
          <t>Rev 1</t>
        </is>
      </c>
      <c r="O1295" s="23" t="inlineStr">
        <is>
          <t>R1511-v2</t>
        </is>
      </c>
      <c r="P1295" s="23" t="inlineStr"/>
      <c r="Q1295" s="23" t="inlineStr"/>
      <c r="R1295" s="23" t="inlineStr"/>
      <c r="S1295" s="23" t="inlineStr"/>
      <c r="T1295" s="23" t="inlineStr"/>
      <c r="U1295" s="23" t="inlineStr"/>
      <c r="V1295" s="23" t="inlineStr">
        <is>
          <t>Cost Account = CA-6029; WBS Code = 1.6.1</t>
        </is>
      </c>
      <c r="W1295" s="23" t="inlineStr"/>
    </row>
    <row r="1296" ht="64" customHeight="1">
      <c r="A1296" s="23" t="inlineStr">
        <is>
          <t>1.6.1</t>
        </is>
      </c>
      <c r="B1296" s="23" t="inlineStr">
        <is>
          <t>Program Management - Program Controls</t>
        </is>
      </c>
      <c r="C1296" s="23" t="inlineStr">
        <is>
          <t>Cost &amp; Forecast Control Accounts</t>
        </is>
      </c>
      <c r="D1296" s="23" t="inlineStr">
        <is>
          <t>CST-06-031</t>
        </is>
      </c>
      <c r="E1296" s="23" t="inlineStr">
        <is>
          <t>Program Management - design integration - professional services</t>
        </is>
      </c>
      <c r="F1296" s="23" t="inlineStr">
        <is>
          <t>ONE_TO_ONE</t>
        </is>
      </c>
      <c r="G1296" s="23" t="inlineStr">
        <is>
          <t>RETAINED</t>
        </is>
      </c>
      <c r="H1296" s="23" t="inlineStr">
        <is>
          <t>Carried forward</t>
        </is>
      </c>
      <c r="I1296" s="23" t="inlineStr">
        <is>
          <t>Source assignment -- not individually reviewed</t>
        </is>
      </c>
      <c r="J1296" s="23" t="inlineStr"/>
      <c r="K1296" s="23" t="inlineStr">
        <is>
          <t>Source assignment</t>
        </is>
      </c>
      <c r="L1296" s="23" t="inlineStr"/>
      <c r="M1296" s="23" t="inlineStr">
        <is>
          <t>Cost &amp; Forecast Control Accounts Cycle 2</t>
        </is>
      </c>
      <c r="N1296" s="23" t="inlineStr">
        <is>
          <t>Rev 1</t>
        </is>
      </c>
      <c r="O1296" s="23" t="inlineStr">
        <is>
          <t>R1513-v2</t>
        </is>
      </c>
      <c r="P1296" s="23" t="inlineStr"/>
      <c r="Q1296" s="23" t="inlineStr"/>
      <c r="R1296" s="23" t="inlineStr"/>
      <c r="S1296" s="23" t="inlineStr"/>
      <c r="T1296" s="23" t="inlineStr"/>
      <c r="U1296" s="23" t="inlineStr"/>
      <c r="V1296" s="23" t="inlineStr">
        <is>
          <t>Cost Account = CA-6031; WBS Code = 1.6.1</t>
        </is>
      </c>
      <c r="W1296" s="23" t="inlineStr"/>
    </row>
    <row r="1297" ht="64" customHeight="1">
      <c r="A1297" s="23" t="inlineStr">
        <is>
          <t>1.6.1</t>
        </is>
      </c>
      <c r="B1297" s="23" t="inlineStr">
        <is>
          <t>Program Management - Program Controls</t>
        </is>
      </c>
      <c r="C1297" s="23" t="inlineStr">
        <is>
          <t>Cost &amp; Forecast Control Accounts</t>
        </is>
      </c>
      <c r="D1297" s="23" t="inlineStr">
        <is>
          <t>CST-06-033</t>
        </is>
      </c>
      <c r="E1297" s="23" t="inlineStr">
        <is>
          <t>Program Management - program controls - closeout</t>
        </is>
      </c>
      <c r="F1297" s="23" t="inlineStr">
        <is>
          <t>ONE_TO_ONE</t>
        </is>
      </c>
      <c r="G1297" s="23" t="inlineStr">
        <is>
          <t>RETAINED</t>
        </is>
      </c>
      <c r="H1297" s="23" t="inlineStr">
        <is>
          <t>Carried forward</t>
        </is>
      </c>
      <c r="I1297" s="23" t="inlineStr">
        <is>
          <t>Source assignment -- not individually reviewed</t>
        </is>
      </c>
      <c r="J1297" s="23" t="inlineStr"/>
      <c r="K1297" s="23" t="inlineStr">
        <is>
          <t>Source assignment</t>
        </is>
      </c>
      <c r="L1297" s="23" t="inlineStr"/>
      <c r="M1297" s="23" t="inlineStr">
        <is>
          <t>Cost &amp; Forecast Control Accounts Cycle 2</t>
        </is>
      </c>
      <c r="N1297" s="23" t="inlineStr">
        <is>
          <t>Rev 1</t>
        </is>
      </c>
      <c r="O1297" s="23" t="inlineStr">
        <is>
          <t>R1515-v2</t>
        </is>
      </c>
      <c r="P1297" s="23" t="inlineStr"/>
      <c r="Q1297" s="23" t="inlineStr"/>
      <c r="R1297" s="23" t="inlineStr"/>
      <c r="S1297" s="23" t="inlineStr"/>
      <c r="T1297" s="23" t="inlineStr"/>
      <c r="U1297" s="23" t="inlineStr"/>
      <c r="V1297" s="23" t="inlineStr">
        <is>
          <t>Cost Account = CA-6033; WBS Code = 1.6.1</t>
        </is>
      </c>
      <c r="W1297" s="23" t="inlineStr"/>
    </row>
    <row r="1298" ht="64" customHeight="1">
      <c r="A1298" s="23" t="inlineStr">
        <is>
          <t>1.6.1</t>
        </is>
      </c>
      <c r="B1298" s="23" t="inlineStr">
        <is>
          <t>Program Management - Program Controls</t>
        </is>
      </c>
      <c r="C1298" s="23" t="inlineStr">
        <is>
          <t>Cost &amp; Forecast Control Accounts</t>
        </is>
      </c>
      <c r="D1298" s="23" t="inlineStr">
        <is>
          <t>CST-06-035</t>
        </is>
      </c>
      <c r="E1298" s="23" t="inlineStr">
        <is>
          <t>Program Management - stakeholder services - supply and install</t>
        </is>
      </c>
      <c r="F1298" s="23" t="inlineStr">
        <is>
          <t>ONE_TO_ONE</t>
        </is>
      </c>
      <c r="G1298" s="23" t="inlineStr">
        <is>
          <t>RETAINED</t>
        </is>
      </c>
      <c r="H1298" s="23" t="inlineStr">
        <is>
          <t>Carried forward</t>
        </is>
      </c>
      <c r="I1298" s="23" t="inlineStr">
        <is>
          <t>Source assignment -- not individually reviewed</t>
        </is>
      </c>
      <c r="J1298" s="23" t="inlineStr"/>
      <c r="K1298" s="23" t="inlineStr">
        <is>
          <t>Source assignment</t>
        </is>
      </c>
      <c r="L1298" s="23" t="inlineStr"/>
      <c r="M1298" s="23" t="inlineStr">
        <is>
          <t>Cost &amp; Forecast Control Accounts Cycle 2</t>
        </is>
      </c>
      <c r="N1298" s="23" t="inlineStr">
        <is>
          <t>Rev 1</t>
        </is>
      </c>
      <c r="O1298" s="23" t="inlineStr">
        <is>
          <t>R1517-v2</t>
        </is>
      </c>
      <c r="P1298" s="23" t="inlineStr"/>
      <c r="Q1298" s="23" t="inlineStr"/>
      <c r="R1298" s="23" t="inlineStr"/>
      <c r="S1298" s="23" t="inlineStr"/>
      <c r="T1298" s="23" t="inlineStr"/>
      <c r="U1298" s="23" t="inlineStr"/>
      <c r="V1298" s="23" t="inlineStr">
        <is>
          <t>Cost Account = CA-6035; WBS Code = 1.6.1</t>
        </is>
      </c>
      <c r="W1298" s="23" t="inlineStr"/>
    </row>
    <row r="1299" ht="64" customHeight="1">
      <c r="A1299" s="23" t="inlineStr">
        <is>
          <t>1.6.1</t>
        </is>
      </c>
      <c r="B1299" s="23" t="inlineStr">
        <is>
          <t>Program Management - Program Controls</t>
        </is>
      </c>
      <c r="C1299" s="23" t="inlineStr">
        <is>
          <t>Cost &amp; Forecast Control Accounts</t>
        </is>
      </c>
      <c r="D1299" s="23" t="inlineStr">
        <is>
          <t>CST-06-037</t>
        </is>
      </c>
      <c r="E1299" s="23" t="inlineStr">
        <is>
          <t>Program Management - design integration - allowance</t>
        </is>
      </c>
      <c r="F1299" s="23" t="inlineStr">
        <is>
          <t>ONE_TO_ONE</t>
        </is>
      </c>
      <c r="G1299" s="23" t="inlineStr">
        <is>
          <t>RETAINED</t>
        </is>
      </c>
      <c r="H1299" s="23" t="inlineStr">
        <is>
          <t>Carried forward</t>
        </is>
      </c>
      <c r="I1299" s="23" t="inlineStr">
        <is>
          <t>Source assignment -- not individually reviewed</t>
        </is>
      </c>
      <c r="J1299" s="23" t="inlineStr"/>
      <c r="K1299" s="23" t="inlineStr">
        <is>
          <t>Source assignment</t>
        </is>
      </c>
      <c r="L1299" s="23" t="inlineStr"/>
      <c r="M1299" s="23" t="inlineStr">
        <is>
          <t>Cost &amp; Forecast Control Accounts Cycle 2</t>
        </is>
      </c>
      <c r="N1299" s="23" t="inlineStr">
        <is>
          <t>Rev 1</t>
        </is>
      </c>
      <c r="O1299" s="23" t="inlineStr">
        <is>
          <t>R1519-v2</t>
        </is>
      </c>
      <c r="P1299" s="23" t="inlineStr"/>
      <c r="Q1299" s="23" t="inlineStr"/>
      <c r="R1299" s="23" t="inlineStr"/>
      <c r="S1299" s="23" t="inlineStr"/>
      <c r="T1299" s="23" t="inlineStr"/>
      <c r="U1299" s="23" t="inlineStr"/>
      <c r="V1299" s="23" t="inlineStr">
        <is>
          <t>Cost Account = CA-6037; WBS Code = 1.6.1</t>
        </is>
      </c>
      <c r="W1299" s="23" t="inlineStr"/>
    </row>
    <row r="1300" ht="64" customHeight="1">
      <c r="A1300" s="23" t="inlineStr">
        <is>
          <t>1.6.1</t>
        </is>
      </c>
      <c r="B1300" s="23" t="inlineStr">
        <is>
          <t>Program Management - Program Controls</t>
        </is>
      </c>
      <c r="C1300" s="23" t="inlineStr">
        <is>
          <t>Cost &amp; Forecast Control Accounts</t>
        </is>
      </c>
      <c r="D1300" s="23" t="inlineStr">
        <is>
          <t>CST-06-039</t>
        </is>
      </c>
      <c r="E1300" s="23" t="inlineStr">
        <is>
          <t>Program Management - program controls - field package</t>
        </is>
      </c>
      <c r="F1300" s="23" t="inlineStr">
        <is>
          <t>ONE_TO_ONE</t>
        </is>
      </c>
      <c r="G1300" s="23" t="inlineStr">
        <is>
          <t>RETAINED</t>
        </is>
      </c>
      <c r="H1300" s="23" t="inlineStr">
        <is>
          <t>Carried forward</t>
        </is>
      </c>
      <c r="I1300" s="23" t="inlineStr">
        <is>
          <t>Source assignment -- not individually reviewed</t>
        </is>
      </c>
      <c r="J1300" s="23" t="inlineStr"/>
      <c r="K1300" s="23" t="inlineStr">
        <is>
          <t>Source assignment</t>
        </is>
      </c>
      <c r="L1300" s="23" t="inlineStr"/>
      <c r="M1300" s="23" t="inlineStr">
        <is>
          <t>Cost &amp; Forecast Control Accounts Cycle 2</t>
        </is>
      </c>
      <c r="N1300" s="23" t="inlineStr">
        <is>
          <t>Rev 1</t>
        </is>
      </c>
      <c r="O1300" s="23" t="inlineStr">
        <is>
          <t>R1521-v2</t>
        </is>
      </c>
      <c r="P1300" s="23" t="inlineStr"/>
      <c r="Q1300" s="23" t="inlineStr"/>
      <c r="R1300" s="23" t="inlineStr"/>
      <c r="S1300" s="23" t="inlineStr"/>
      <c r="T1300" s="23" t="inlineStr"/>
      <c r="U1300" s="23" t="inlineStr"/>
      <c r="V1300" s="23" t="inlineStr">
        <is>
          <t>Cost Account = CA-6039; WBS Code = 1.6.1</t>
        </is>
      </c>
      <c r="W1300" s="23" t="inlineStr"/>
    </row>
    <row r="1301" ht="64" customHeight="1">
      <c r="A1301" s="23" t="inlineStr">
        <is>
          <t>1.6.1</t>
        </is>
      </c>
      <c r="B1301" s="23" t="inlineStr">
        <is>
          <t>Program Management - Program Controls</t>
        </is>
      </c>
      <c r="C1301" s="23" t="inlineStr">
        <is>
          <t>Cost &amp; Forecast Control Accounts</t>
        </is>
      </c>
      <c r="D1301" s="23" t="inlineStr">
        <is>
          <t>CST-06-041</t>
        </is>
      </c>
      <c r="E1301" s="23" t="inlineStr">
        <is>
          <t>Program Management - stakeholder services - professional services</t>
        </is>
      </c>
      <c r="F1301" s="23" t="inlineStr">
        <is>
          <t>ONE_TO_ONE</t>
        </is>
      </c>
      <c r="G1301" s="23" t="inlineStr">
        <is>
          <t>RETAINED</t>
        </is>
      </c>
      <c r="H1301" s="23" t="inlineStr">
        <is>
          <t>Carried forward</t>
        </is>
      </c>
      <c r="I1301" s="23" t="inlineStr">
        <is>
          <t>Source assignment -- not individually reviewed</t>
        </is>
      </c>
      <c r="J1301" s="23" t="inlineStr"/>
      <c r="K1301" s="23" t="inlineStr">
        <is>
          <t>Source assignment</t>
        </is>
      </c>
      <c r="L1301" s="23" t="inlineStr"/>
      <c r="M1301" s="23" t="inlineStr">
        <is>
          <t>Cost &amp; Forecast Control Accounts Cycle 2</t>
        </is>
      </c>
      <c r="N1301" s="23" t="inlineStr">
        <is>
          <t>Rev 1</t>
        </is>
      </c>
      <c r="O1301" s="23" t="inlineStr">
        <is>
          <t>R1523-v2</t>
        </is>
      </c>
      <c r="P1301" s="23" t="inlineStr"/>
      <c r="Q1301" s="23" t="inlineStr"/>
      <c r="R1301" s="23" t="inlineStr"/>
      <c r="S1301" s="23" t="inlineStr"/>
      <c r="T1301" s="23" t="inlineStr"/>
      <c r="U1301" s="23" t="inlineStr"/>
      <c r="V1301" s="23" t="inlineStr">
        <is>
          <t>Cost Account = CA-6041; WBS Code = 1.6.1</t>
        </is>
      </c>
      <c r="W1301" s="23" t="inlineStr"/>
    </row>
    <row r="1302" ht="64" customHeight="1">
      <c r="A1302" s="23" t="inlineStr">
        <is>
          <t>1.6.1</t>
        </is>
      </c>
      <c r="B1302" s="23" t="inlineStr">
        <is>
          <t>Program Management - Program Controls</t>
        </is>
      </c>
      <c r="C1302" s="23" t="inlineStr">
        <is>
          <t>Cost &amp; Forecast Control Accounts</t>
        </is>
      </c>
      <c r="D1302" s="23" t="inlineStr">
        <is>
          <t>CST-06-043</t>
        </is>
      </c>
      <c r="E1302" s="23" t="inlineStr">
        <is>
          <t>Program Management - design integration - closeout</t>
        </is>
      </c>
      <c r="F1302" s="23" t="inlineStr">
        <is>
          <t>ONE_TO_ONE</t>
        </is>
      </c>
      <c r="G1302" s="23" t="inlineStr">
        <is>
          <t>RETAINED</t>
        </is>
      </c>
      <c r="H1302" s="23" t="inlineStr">
        <is>
          <t>Carried forward</t>
        </is>
      </c>
      <c r="I1302" s="23" t="inlineStr">
        <is>
          <t>Source assignment -- not individually reviewed</t>
        </is>
      </c>
      <c r="J1302" s="23" t="inlineStr"/>
      <c r="K1302" s="23" t="inlineStr">
        <is>
          <t>Source assignment</t>
        </is>
      </c>
      <c r="L1302" s="23" t="inlineStr"/>
      <c r="M1302" s="23" t="inlineStr">
        <is>
          <t>Cost &amp; Forecast Control Accounts Cycle 2</t>
        </is>
      </c>
      <c r="N1302" s="23" t="inlineStr">
        <is>
          <t>Rev 1</t>
        </is>
      </c>
      <c r="O1302" s="23" t="inlineStr">
        <is>
          <t>R1525-v2</t>
        </is>
      </c>
      <c r="P1302" s="23" t="inlineStr"/>
      <c r="Q1302" s="23" t="inlineStr"/>
      <c r="R1302" s="23" t="inlineStr"/>
      <c r="S1302" s="23" t="inlineStr"/>
      <c r="T1302" s="23" t="inlineStr"/>
      <c r="U1302" s="23" t="inlineStr"/>
      <c r="V1302" s="23" t="inlineStr">
        <is>
          <t>Cost Account = CA-6043; WBS Code = 1.6.1</t>
        </is>
      </c>
      <c r="W1302" s="23" t="inlineStr"/>
    </row>
    <row r="1303" ht="64" customHeight="1">
      <c r="A1303" s="23" t="inlineStr">
        <is>
          <t>1.6.1</t>
        </is>
      </c>
      <c r="B1303" s="23" t="inlineStr">
        <is>
          <t>Program Management - Program Controls</t>
        </is>
      </c>
      <c r="C1303" s="23" t="inlineStr">
        <is>
          <t>Cost &amp; Forecast Control Accounts</t>
        </is>
      </c>
      <c r="D1303" s="23" t="inlineStr">
        <is>
          <t>CST-06-045</t>
        </is>
      </c>
      <c r="E1303" s="23" t="inlineStr">
        <is>
          <t>Program Management - program controls - supply and install</t>
        </is>
      </c>
      <c r="F1303" s="23" t="inlineStr">
        <is>
          <t>ONE_TO_ONE</t>
        </is>
      </c>
      <c r="G1303" s="23" t="inlineStr">
        <is>
          <t>RETAINED</t>
        </is>
      </c>
      <c r="H1303" s="23" t="inlineStr">
        <is>
          <t>Carried forward</t>
        </is>
      </c>
      <c r="I1303" s="23" t="inlineStr">
        <is>
          <t>Source assignment -- not individually reviewed</t>
        </is>
      </c>
      <c r="J1303" s="23" t="inlineStr"/>
      <c r="K1303" s="23" t="inlineStr">
        <is>
          <t>Source assignment</t>
        </is>
      </c>
      <c r="L1303" s="23" t="inlineStr"/>
      <c r="M1303" s="23" t="inlineStr">
        <is>
          <t>Cost &amp; Forecast Control Accounts Cycle 2</t>
        </is>
      </c>
      <c r="N1303" s="23" t="inlineStr">
        <is>
          <t>Rev 1</t>
        </is>
      </c>
      <c r="O1303" s="23" t="inlineStr">
        <is>
          <t>R1527-v2</t>
        </is>
      </c>
      <c r="P1303" s="23" t="inlineStr"/>
      <c r="Q1303" s="23" t="inlineStr"/>
      <c r="R1303" s="23" t="inlineStr"/>
      <c r="S1303" s="23" t="inlineStr"/>
      <c r="T1303" s="23" t="inlineStr"/>
      <c r="U1303" s="23" t="inlineStr"/>
      <c r="V1303" s="23" t="inlineStr">
        <is>
          <t>Cost Account = CA-6045; WBS Code = 1.6.1</t>
        </is>
      </c>
      <c r="W1303" s="23" t="inlineStr"/>
    </row>
    <row r="1304" ht="64" customHeight="1">
      <c r="A1304" s="23" t="inlineStr">
        <is>
          <t>1.6.1</t>
        </is>
      </c>
      <c r="B1304" s="23" t="inlineStr">
        <is>
          <t>Program Management - Program Controls</t>
        </is>
      </c>
      <c r="C1304" s="23" t="inlineStr">
        <is>
          <t>Cost &amp; Forecast Control Accounts</t>
        </is>
      </c>
      <c r="D1304" s="23" t="inlineStr">
        <is>
          <t>CST-06-047</t>
        </is>
      </c>
      <c r="E1304" s="23" t="inlineStr">
        <is>
          <t>Program Management - stakeholder services - allowance</t>
        </is>
      </c>
      <c r="F1304" s="23" t="inlineStr">
        <is>
          <t>ONE_TO_ONE</t>
        </is>
      </c>
      <c r="G1304" s="23" t="inlineStr">
        <is>
          <t>RETAINED</t>
        </is>
      </c>
      <c r="H1304" s="23" t="inlineStr">
        <is>
          <t>Carried forward</t>
        </is>
      </c>
      <c r="I1304" s="23" t="inlineStr">
        <is>
          <t>Source assignment -- not individually reviewed</t>
        </is>
      </c>
      <c r="J1304" s="23" t="inlineStr"/>
      <c r="K1304" s="23" t="inlineStr">
        <is>
          <t>Source assignment</t>
        </is>
      </c>
      <c r="L1304" s="23" t="inlineStr"/>
      <c r="M1304" s="23" t="inlineStr">
        <is>
          <t>Cost &amp; Forecast Control Accounts Cycle 2</t>
        </is>
      </c>
      <c r="N1304" s="23" t="inlineStr">
        <is>
          <t>Rev 1</t>
        </is>
      </c>
      <c r="O1304" s="23" t="inlineStr">
        <is>
          <t>R1529-v2</t>
        </is>
      </c>
      <c r="P1304" s="23" t="inlineStr"/>
      <c r="Q1304" s="23" t="inlineStr"/>
      <c r="R1304" s="23" t="inlineStr"/>
      <c r="S1304" s="23" t="inlineStr"/>
      <c r="T1304" s="23" t="inlineStr"/>
      <c r="U1304" s="23" t="inlineStr"/>
      <c r="V1304" s="23" t="inlineStr">
        <is>
          <t>Cost Account = CA-6047; WBS Code = 1.6.1</t>
        </is>
      </c>
      <c r="W1304" s="23" t="inlineStr"/>
    </row>
    <row r="1305" ht="64" customHeight="1">
      <c r="A1305" s="23" t="inlineStr">
        <is>
          <t>1.6.1</t>
        </is>
      </c>
      <c r="B1305" s="23" t="inlineStr">
        <is>
          <t>Program Management - Program Controls</t>
        </is>
      </c>
      <c r="C1305" s="23" t="inlineStr">
        <is>
          <t>Cost &amp; Forecast Control Accounts</t>
        </is>
      </c>
      <c r="D1305" s="23" t="inlineStr">
        <is>
          <t>CST-06-049</t>
        </is>
      </c>
      <c r="E1305" s="23" t="inlineStr">
        <is>
          <t>Program Management - design integration - field package</t>
        </is>
      </c>
      <c r="F1305" s="23" t="inlineStr">
        <is>
          <t>ONE_TO_ONE</t>
        </is>
      </c>
      <c r="G1305" s="23" t="inlineStr">
        <is>
          <t>RETAINED</t>
        </is>
      </c>
      <c r="H1305" s="23" t="inlineStr">
        <is>
          <t>Carried forward</t>
        </is>
      </c>
      <c r="I1305" s="23" t="inlineStr">
        <is>
          <t>Source assignment -- not individually reviewed</t>
        </is>
      </c>
      <c r="J1305" s="23" t="inlineStr"/>
      <c r="K1305" s="23" t="inlineStr">
        <is>
          <t>Source assignment</t>
        </is>
      </c>
      <c r="L1305" s="23" t="inlineStr"/>
      <c r="M1305" s="23" t="inlineStr">
        <is>
          <t>Cost &amp; Forecast Control Accounts Cycle 2</t>
        </is>
      </c>
      <c r="N1305" s="23" t="inlineStr">
        <is>
          <t>Rev 1</t>
        </is>
      </c>
      <c r="O1305" s="23" t="inlineStr">
        <is>
          <t>R1531-v2</t>
        </is>
      </c>
      <c r="P1305" s="23" t="inlineStr"/>
      <c r="Q1305" s="23" t="inlineStr"/>
      <c r="R1305" s="23" t="inlineStr"/>
      <c r="S1305" s="23" t="inlineStr"/>
      <c r="T1305" s="23" t="inlineStr"/>
      <c r="U1305" s="23" t="inlineStr"/>
      <c r="V1305" s="23" t="inlineStr">
        <is>
          <t>Cost Account = CA-6049; WBS Code = 1.6.1</t>
        </is>
      </c>
      <c r="W1305" s="23" t="inlineStr"/>
    </row>
    <row r="1306" ht="64" customHeight="1">
      <c r="A1306" s="23" t="inlineStr">
        <is>
          <t>1.6.1</t>
        </is>
      </c>
      <c r="B1306" s="23" t="inlineStr">
        <is>
          <t>Program Management - Program Controls</t>
        </is>
      </c>
      <c r="C1306" s="23" t="inlineStr">
        <is>
          <t>Cost &amp; Forecast Control Accounts</t>
        </is>
      </c>
      <c r="D1306" s="23" t="inlineStr">
        <is>
          <t>CST-06-051</t>
        </is>
      </c>
      <c r="E1306" s="23" t="inlineStr">
        <is>
          <t>Program Management - program controls - professional services</t>
        </is>
      </c>
      <c r="F1306" s="23" t="inlineStr">
        <is>
          <t>ONE_TO_ONE</t>
        </is>
      </c>
      <c r="G1306" s="23" t="inlineStr">
        <is>
          <t>RETAINED</t>
        </is>
      </c>
      <c r="H1306" s="23" t="inlineStr">
        <is>
          <t>Carried forward</t>
        </is>
      </c>
      <c r="I1306" s="23" t="inlineStr">
        <is>
          <t>Source assignment -- not individually reviewed</t>
        </is>
      </c>
      <c r="J1306" s="23" t="inlineStr"/>
      <c r="K1306" s="23" t="inlineStr">
        <is>
          <t>Source assignment</t>
        </is>
      </c>
      <c r="L1306" s="23" t="inlineStr"/>
      <c r="M1306" s="23" t="inlineStr">
        <is>
          <t>Cost &amp; Forecast Control Accounts Cycle 2</t>
        </is>
      </c>
      <c r="N1306" s="23" t="inlineStr">
        <is>
          <t>Rev 1</t>
        </is>
      </c>
      <c r="O1306" s="23" t="inlineStr">
        <is>
          <t>R1533-v2</t>
        </is>
      </c>
      <c r="P1306" s="23" t="inlineStr"/>
      <c r="Q1306" s="23" t="inlineStr"/>
      <c r="R1306" s="23" t="inlineStr"/>
      <c r="S1306" s="23" t="inlineStr"/>
      <c r="T1306" s="23" t="inlineStr"/>
      <c r="U1306" s="23" t="inlineStr"/>
      <c r="V1306" s="23" t="inlineStr">
        <is>
          <t>Cost Account = CA-6051; WBS Code = 1.6.1</t>
        </is>
      </c>
      <c r="W1306" s="23" t="inlineStr"/>
    </row>
    <row r="1307" ht="64" customHeight="1">
      <c r="A1307" s="23" t="inlineStr">
        <is>
          <t>1.6.1</t>
        </is>
      </c>
      <c r="B1307" s="23" t="inlineStr">
        <is>
          <t>Program Management - Program Controls</t>
        </is>
      </c>
      <c r="C1307" s="23" t="inlineStr">
        <is>
          <t>Cost &amp; Forecast Control Accounts</t>
        </is>
      </c>
      <c r="D1307" s="23" t="inlineStr">
        <is>
          <t>CST-06-053</t>
        </is>
      </c>
      <c r="E1307" s="23" t="inlineStr">
        <is>
          <t>Program Management - stakeholder services - closeout</t>
        </is>
      </c>
      <c r="F1307" s="23" t="inlineStr">
        <is>
          <t>ONE_TO_ONE</t>
        </is>
      </c>
      <c r="G1307" s="23" t="inlineStr">
        <is>
          <t>RETAINED</t>
        </is>
      </c>
      <c r="H1307" s="23" t="inlineStr">
        <is>
          <t>Carried forward</t>
        </is>
      </c>
      <c r="I1307" s="23" t="inlineStr">
        <is>
          <t>Source assignment -- not individually reviewed</t>
        </is>
      </c>
      <c r="J1307" s="23" t="inlineStr"/>
      <c r="K1307" s="23" t="inlineStr">
        <is>
          <t>Source assignment</t>
        </is>
      </c>
      <c r="L1307" s="23" t="inlineStr"/>
      <c r="M1307" s="23" t="inlineStr">
        <is>
          <t>Cost &amp; Forecast Control Accounts Cycle 2</t>
        </is>
      </c>
      <c r="N1307" s="23" t="inlineStr">
        <is>
          <t>Rev 1</t>
        </is>
      </c>
      <c r="O1307" s="23" t="inlineStr">
        <is>
          <t>R1535-v2</t>
        </is>
      </c>
      <c r="P1307" s="23" t="inlineStr"/>
      <c r="Q1307" s="23" t="inlineStr"/>
      <c r="R1307" s="23" t="inlineStr"/>
      <c r="S1307" s="23" t="inlineStr"/>
      <c r="T1307" s="23" t="inlineStr"/>
      <c r="U1307" s="23" t="inlineStr"/>
      <c r="V1307" s="23" t="inlineStr">
        <is>
          <t>Cost Account = CA-6053; WBS Code = 1.6.1</t>
        </is>
      </c>
      <c r="W1307" s="23" t="inlineStr"/>
    </row>
    <row r="1308" ht="64" customHeight="1">
      <c r="A1308" s="23" t="inlineStr">
        <is>
          <t>1.6.1</t>
        </is>
      </c>
      <c r="B1308" s="23" t="inlineStr">
        <is>
          <t>Program Management - Program Controls</t>
        </is>
      </c>
      <c r="C1308" s="23" t="inlineStr">
        <is>
          <t>Cost &amp; Forecast Control Accounts</t>
        </is>
      </c>
      <c r="D1308" s="23" t="inlineStr">
        <is>
          <t>CST-06-055</t>
        </is>
      </c>
      <c r="E1308" s="23" t="inlineStr">
        <is>
          <t>Program Management - design integration - supply and install</t>
        </is>
      </c>
      <c r="F1308" s="23" t="inlineStr">
        <is>
          <t>ONE_TO_ONE</t>
        </is>
      </c>
      <c r="G1308" s="23" t="inlineStr">
        <is>
          <t>RETAINED</t>
        </is>
      </c>
      <c r="H1308" s="23" t="inlineStr">
        <is>
          <t>Carried forward</t>
        </is>
      </c>
      <c r="I1308" s="23" t="inlineStr">
        <is>
          <t>Source assignment -- not individually reviewed</t>
        </is>
      </c>
      <c r="J1308" s="23" t="inlineStr"/>
      <c r="K1308" s="23" t="inlineStr">
        <is>
          <t>Source assignment</t>
        </is>
      </c>
      <c r="L1308" s="23" t="inlineStr"/>
      <c r="M1308" s="23" t="inlineStr">
        <is>
          <t>Cost &amp; Forecast Control Accounts Cycle 2</t>
        </is>
      </c>
      <c r="N1308" s="23" t="inlineStr">
        <is>
          <t>Rev 1</t>
        </is>
      </c>
      <c r="O1308" s="23" t="inlineStr">
        <is>
          <t>R1537-v2</t>
        </is>
      </c>
      <c r="P1308" s="23" t="inlineStr"/>
      <c r="Q1308" s="23" t="inlineStr"/>
      <c r="R1308" s="23" t="inlineStr"/>
      <c r="S1308" s="23" t="inlineStr"/>
      <c r="T1308" s="23" t="inlineStr"/>
      <c r="U1308" s="23" t="inlineStr"/>
      <c r="V1308" s="23" t="inlineStr">
        <is>
          <t>Cost Account = CA-6055; WBS Code = 1.6.1</t>
        </is>
      </c>
      <c r="W1308" s="23" t="inlineStr"/>
    </row>
    <row r="1309" ht="64" customHeight="1">
      <c r="A1309" s="23" t="inlineStr">
        <is>
          <t>1.6.1</t>
        </is>
      </c>
      <c r="B1309" s="23" t="inlineStr">
        <is>
          <t>Program Management - Program Controls</t>
        </is>
      </c>
      <c r="C1309" s="23" t="inlineStr">
        <is>
          <t>Cost &amp; Forecast Control Accounts</t>
        </is>
      </c>
      <c r="D1309" s="23" t="inlineStr">
        <is>
          <t>CST-06-057</t>
        </is>
      </c>
      <c r="E1309" s="23" t="inlineStr">
        <is>
          <t>Program Management - program controls - allowance</t>
        </is>
      </c>
      <c r="F1309" s="23" t="inlineStr">
        <is>
          <t>ONE_TO_ONE</t>
        </is>
      </c>
      <c r="G1309" s="23" t="inlineStr">
        <is>
          <t>RETAINED</t>
        </is>
      </c>
      <c r="H1309" s="23" t="inlineStr">
        <is>
          <t>Carried forward</t>
        </is>
      </c>
      <c r="I1309" s="23" t="inlineStr">
        <is>
          <t>Source assignment -- not individually reviewed</t>
        </is>
      </c>
      <c r="J1309" s="23" t="inlineStr"/>
      <c r="K1309" s="23" t="inlineStr">
        <is>
          <t>Source assignment</t>
        </is>
      </c>
      <c r="L1309" s="23" t="inlineStr"/>
      <c r="M1309" s="23" t="inlineStr">
        <is>
          <t>Cost &amp; Forecast Control Accounts Cycle 2</t>
        </is>
      </c>
      <c r="N1309" s="23" t="inlineStr">
        <is>
          <t>Rev 1</t>
        </is>
      </c>
      <c r="O1309" s="23" t="inlineStr">
        <is>
          <t>R1539-v2</t>
        </is>
      </c>
      <c r="P1309" s="23" t="inlineStr"/>
      <c r="Q1309" s="23" t="inlineStr"/>
      <c r="R1309" s="23" t="inlineStr"/>
      <c r="S1309" s="23" t="inlineStr"/>
      <c r="T1309" s="23" t="inlineStr"/>
      <c r="U1309" s="23" t="inlineStr"/>
      <c r="V1309" s="23" t="inlineStr">
        <is>
          <t>Cost Account = CA-6057; WBS Code = 1.6.1</t>
        </is>
      </c>
      <c r="W1309" s="23" t="inlineStr"/>
    </row>
    <row r="1310" ht="64" customHeight="1">
      <c r="A1310" s="23" t="inlineStr">
        <is>
          <t>1.6.1</t>
        </is>
      </c>
      <c r="B1310" s="23" t="inlineStr">
        <is>
          <t>Program Management - Program Controls</t>
        </is>
      </c>
      <c r="C1310" s="23" t="inlineStr">
        <is>
          <t>Cost &amp; Forecast Control Accounts</t>
        </is>
      </c>
      <c r="D1310" s="23" t="inlineStr">
        <is>
          <t>CST-06-059</t>
        </is>
      </c>
      <c r="E1310" s="23" t="inlineStr">
        <is>
          <t>Program Management - stakeholder services - field package</t>
        </is>
      </c>
      <c r="F1310" s="23" t="inlineStr">
        <is>
          <t>ONE_TO_ONE</t>
        </is>
      </c>
      <c r="G1310" s="23" t="inlineStr">
        <is>
          <t>RETAINED</t>
        </is>
      </c>
      <c r="H1310" s="23" t="inlineStr">
        <is>
          <t>Carried forward</t>
        </is>
      </c>
      <c r="I1310" s="23" t="inlineStr">
        <is>
          <t>Source assignment -- not individually reviewed</t>
        </is>
      </c>
      <c r="J1310" s="23" t="inlineStr"/>
      <c r="K1310" s="23" t="inlineStr">
        <is>
          <t>Source assignment</t>
        </is>
      </c>
      <c r="L1310" s="23" t="inlineStr"/>
      <c r="M1310" s="23" t="inlineStr">
        <is>
          <t>Cost &amp; Forecast Control Accounts Cycle 2</t>
        </is>
      </c>
      <c r="N1310" s="23" t="inlineStr">
        <is>
          <t>Rev 1</t>
        </is>
      </c>
      <c r="O1310" s="23" t="inlineStr">
        <is>
          <t>R1541-v2</t>
        </is>
      </c>
      <c r="P1310" s="23" t="inlineStr"/>
      <c r="Q1310" s="23" t="inlineStr"/>
      <c r="R1310" s="23" t="inlineStr"/>
      <c r="S1310" s="23" t="inlineStr"/>
      <c r="T1310" s="23" t="inlineStr"/>
      <c r="U1310" s="23" t="inlineStr"/>
      <c r="V1310" s="23" t="inlineStr">
        <is>
          <t>Cost Account = CA-6059; WBS Code = 1.6.1</t>
        </is>
      </c>
      <c r="W1310" s="23" t="inlineStr"/>
    </row>
    <row r="1311" ht="64" customHeight="1">
      <c r="A1311" s="23" t="inlineStr">
        <is>
          <t>1.6.1</t>
        </is>
      </c>
      <c r="B1311" s="23" t="inlineStr">
        <is>
          <t>Program Management - Program Controls</t>
        </is>
      </c>
      <c r="C1311" s="23" t="inlineStr">
        <is>
          <t>Cost &amp; Forecast Control Accounts</t>
        </is>
      </c>
      <c r="D1311" s="23" t="inlineStr">
        <is>
          <t>CST-06-061</t>
        </is>
      </c>
      <c r="E1311" s="23" t="inlineStr">
        <is>
          <t>Program Management - design integration - professional services</t>
        </is>
      </c>
      <c r="F1311" s="23" t="inlineStr">
        <is>
          <t>ONE_TO_ONE</t>
        </is>
      </c>
      <c r="G1311" s="23" t="inlineStr">
        <is>
          <t>RETAINED</t>
        </is>
      </c>
      <c r="H1311" s="23" t="inlineStr">
        <is>
          <t>Carried forward</t>
        </is>
      </c>
      <c r="I1311" s="23" t="inlineStr">
        <is>
          <t>Source assignment -- not individually reviewed</t>
        </is>
      </c>
      <c r="J1311" s="23" t="inlineStr"/>
      <c r="K1311" s="23" t="inlineStr">
        <is>
          <t>Source assignment</t>
        </is>
      </c>
      <c r="L1311" s="23" t="inlineStr"/>
      <c r="M1311" s="23" t="inlineStr">
        <is>
          <t>Cost &amp; Forecast Control Accounts Cycle 2</t>
        </is>
      </c>
      <c r="N1311" s="23" t="inlineStr">
        <is>
          <t>Rev 1</t>
        </is>
      </c>
      <c r="O1311" s="23" t="inlineStr">
        <is>
          <t>R1543-v2</t>
        </is>
      </c>
      <c r="P1311" s="23" t="inlineStr"/>
      <c r="Q1311" s="23" t="inlineStr"/>
      <c r="R1311" s="23" t="inlineStr"/>
      <c r="S1311" s="23" t="inlineStr"/>
      <c r="T1311" s="23" t="inlineStr"/>
      <c r="U1311" s="23" t="inlineStr"/>
      <c r="V1311" s="23" t="inlineStr">
        <is>
          <t>Cost Account = CA-6061; WBS Code = 1.6.1</t>
        </is>
      </c>
      <c r="W1311" s="23" t="inlineStr"/>
    </row>
    <row r="1312" ht="64" customHeight="1">
      <c r="A1312" s="23" t="inlineStr">
        <is>
          <t>1.6.1</t>
        </is>
      </c>
      <c r="B1312" s="23" t="inlineStr">
        <is>
          <t>Program Management - Program Controls</t>
        </is>
      </c>
      <c r="C1312" s="23" t="inlineStr">
        <is>
          <t>Cost &amp; Forecast Control Accounts</t>
        </is>
      </c>
      <c r="D1312" s="23" t="inlineStr">
        <is>
          <t>CST-06-063</t>
        </is>
      </c>
      <c r="E1312" s="23" t="inlineStr">
        <is>
          <t>Program Management - program controls - closeout</t>
        </is>
      </c>
      <c r="F1312" s="23" t="inlineStr">
        <is>
          <t>ONE_TO_ONE</t>
        </is>
      </c>
      <c r="G1312" s="23" t="inlineStr">
        <is>
          <t>RETAINED</t>
        </is>
      </c>
      <c r="H1312" s="23" t="inlineStr">
        <is>
          <t>Carried forward</t>
        </is>
      </c>
      <c r="I1312" s="23" t="inlineStr">
        <is>
          <t>Source assignment -- not individually reviewed</t>
        </is>
      </c>
      <c r="J1312" s="23" t="inlineStr"/>
      <c r="K1312" s="23" t="inlineStr">
        <is>
          <t>Source assignment</t>
        </is>
      </c>
      <c r="L1312" s="23" t="inlineStr"/>
      <c r="M1312" s="23" t="inlineStr">
        <is>
          <t>Cost &amp; Forecast Control Accounts Cycle 2</t>
        </is>
      </c>
      <c r="N1312" s="23" t="inlineStr">
        <is>
          <t>Rev 1</t>
        </is>
      </c>
      <c r="O1312" s="23" t="inlineStr">
        <is>
          <t>R1545-v2</t>
        </is>
      </c>
      <c r="P1312" s="23" t="inlineStr"/>
      <c r="Q1312" s="23" t="inlineStr"/>
      <c r="R1312" s="23" t="inlineStr"/>
      <c r="S1312" s="23" t="inlineStr"/>
      <c r="T1312" s="23" t="inlineStr"/>
      <c r="U1312" s="23" t="inlineStr"/>
      <c r="V1312" s="23" t="inlineStr">
        <is>
          <t>Cost Account = CA-6063; WBS Code = 1.6.1</t>
        </is>
      </c>
      <c r="W1312" s="23" t="inlineStr"/>
    </row>
    <row r="1313" ht="64" customHeight="1">
      <c r="A1313" s="23" t="inlineStr">
        <is>
          <t>1.6.1</t>
        </is>
      </c>
      <c r="B1313" s="23" t="inlineStr">
        <is>
          <t>Program Management - Program Controls</t>
        </is>
      </c>
      <c r="C1313" s="23" t="inlineStr">
        <is>
          <t>Cost &amp; Forecast Control Accounts</t>
        </is>
      </c>
      <c r="D1313" s="23" t="inlineStr">
        <is>
          <t>CST-06-065</t>
        </is>
      </c>
      <c r="E1313" s="23" t="inlineStr">
        <is>
          <t>Program Management - stakeholder services - supply and install</t>
        </is>
      </c>
      <c r="F1313" s="23" t="inlineStr">
        <is>
          <t>ONE_TO_ONE</t>
        </is>
      </c>
      <c r="G1313" s="23" t="inlineStr">
        <is>
          <t>RETAINED</t>
        </is>
      </c>
      <c r="H1313" s="23" t="inlineStr">
        <is>
          <t>Carried forward</t>
        </is>
      </c>
      <c r="I1313" s="23" t="inlineStr">
        <is>
          <t>Source assignment -- not individually reviewed</t>
        </is>
      </c>
      <c r="J1313" s="23" t="inlineStr"/>
      <c r="K1313" s="23" t="inlineStr">
        <is>
          <t>Source assignment</t>
        </is>
      </c>
      <c r="L1313" s="23" t="inlineStr"/>
      <c r="M1313" s="23" t="inlineStr">
        <is>
          <t>Cost &amp; Forecast Control Accounts Cycle 2</t>
        </is>
      </c>
      <c r="N1313" s="23" t="inlineStr">
        <is>
          <t>Rev 1</t>
        </is>
      </c>
      <c r="O1313" s="23" t="inlineStr">
        <is>
          <t>R1547-v2</t>
        </is>
      </c>
      <c r="P1313" s="23" t="inlineStr"/>
      <c r="Q1313" s="23" t="inlineStr"/>
      <c r="R1313" s="23" t="inlineStr"/>
      <c r="S1313" s="23" t="inlineStr"/>
      <c r="T1313" s="23" t="inlineStr"/>
      <c r="U1313" s="23" t="inlineStr"/>
      <c r="V1313" s="23" t="inlineStr">
        <is>
          <t>Cost Account = CA-6065; WBS Code = 1.6.1</t>
        </is>
      </c>
      <c r="W1313" s="23" t="inlineStr"/>
    </row>
    <row r="1314" ht="64" customHeight="1">
      <c r="A1314" s="23" t="inlineStr">
        <is>
          <t>1.6.1</t>
        </is>
      </c>
      <c r="B1314" s="23" t="inlineStr">
        <is>
          <t>Program Management - Program Controls</t>
        </is>
      </c>
      <c r="C1314" s="23" t="inlineStr">
        <is>
          <t>Cost &amp; Forecast Control Accounts</t>
        </is>
      </c>
      <c r="D1314" s="23" t="inlineStr">
        <is>
          <t>CST-06-067</t>
        </is>
      </c>
      <c r="E1314" s="23" t="inlineStr">
        <is>
          <t>Program Management - design integration - allowance</t>
        </is>
      </c>
      <c r="F1314" s="23" t="inlineStr">
        <is>
          <t>ONE_TO_ONE</t>
        </is>
      </c>
      <c r="G1314" s="23" t="inlineStr">
        <is>
          <t>RETAINED</t>
        </is>
      </c>
      <c r="H1314" s="23" t="inlineStr">
        <is>
          <t>Carried forward</t>
        </is>
      </c>
      <c r="I1314" s="23" t="inlineStr">
        <is>
          <t>Source assignment -- not individually reviewed</t>
        </is>
      </c>
      <c r="J1314" s="23" t="inlineStr"/>
      <c r="K1314" s="23" t="inlineStr">
        <is>
          <t>Source assignment</t>
        </is>
      </c>
      <c r="L1314" s="23" t="inlineStr"/>
      <c r="M1314" s="23" t="inlineStr">
        <is>
          <t>Cost &amp; Forecast Control Accounts Cycle 2</t>
        </is>
      </c>
      <c r="N1314" s="23" t="inlineStr">
        <is>
          <t>Rev 1</t>
        </is>
      </c>
      <c r="O1314" s="23" t="inlineStr">
        <is>
          <t>R1549-v2</t>
        </is>
      </c>
      <c r="P1314" s="23" t="inlineStr"/>
      <c r="Q1314" s="23" t="inlineStr"/>
      <c r="R1314" s="23" t="inlineStr"/>
      <c r="S1314" s="23" t="inlineStr"/>
      <c r="T1314" s="23" t="inlineStr"/>
      <c r="U1314" s="23" t="inlineStr"/>
      <c r="V1314" s="23" t="inlineStr">
        <is>
          <t>Cost Account = CA-6067; WBS Code = 1.6.1</t>
        </is>
      </c>
      <c r="W1314" s="23" t="inlineStr"/>
    </row>
    <row r="1315" ht="64" customHeight="1">
      <c r="A1315" s="23" t="inlineStr">
        <is>
          <t>1.6.1</t>
        </is>
      </c>
      <c r="B1315" s="23" t="inlineStr">
        <is>
          <t>Program Management - Program Controls</t>
        </is>
      </c>
      <c r="C1315" s="23" t="inlineStr">
        <is>
          <t>Cost &amp; Forecast Control Accounts</t>
        </is>
      </c>
      <c r="D1315" s="23" t="inlineStr">
        <is>
          <t>CST-06-069</t>
        </is>
      </c>
      <c r="E1315" s="23" t="inlineStr">
        <is>
          <t>Program Management - program controls - field package</t>
        </is>
      </c>
      <c r="F1315" s="23" t="inlineStr">
        <is>
          <t>ONE_TO_ONE</t>
        </is>
      </c>
      <c r="G1315" s="23" t="inlineStr">
        <is>
          <t>RETAINED</t>
        </is>
      </c>
      <c r="H1315" s="23" t="inlineStr">
        <is>
          <t>Carried forward</t>
        </is>
      </c>
      <c r="I1315" s="23" t="inlineStr">
        <is>
          <t>Source assignment -- not individually reviewed</t>
        </is>
      </c>
      <c r="J1315" s="23" t="inlineStr"/>
      <c r="K1315" s="23" t="inlineStr">
        <is>
          <t>Source assignment</t>
        </is>
      </c>
      <c r="L1315" s="23" t="inlineStr"/>
      <c r="M1315" s="23" t="inlineStr">
        <is>
          <t>Cost &amp; Forecast Control Accounts Cycle 2</t>
        </is>
      </c>
      <c r="N1315" s="23" t="inlineStr">
        <is>
          <t>Rev 1</t>
        </is>
      </c>
      <c r="O1315" s="23" t="inlineStr">
        <is>
          <t>R1551-v2</t>
        </is>
      </c>
      <c r="P1315" s="23" t="inlineStr"/>
      <c r="Q1315" s="23" t="inlineStr"/>
      <c r="R1315" s="23" t="inlineStr"/>
      <c r="S1315" s="23" t="inlineStr"/>
      <c r="T1315" s="23" t="inlineStr"/>
      <c r="U1315" s="23" t="inlineStr"/>
      <c r="V1315" s="23" t="inlineStr">
        <is>
          <t>Cost Account = CA-6069; WBS Code = 1.6.1</t>
        </is>
      </c>
      <c r="W1315" s="23" t="inlineStr"/>
    </row>
    <row r="1316" ht="64" customHeight="1">
      <c r="A1316" s="23" t="inlineStr">
        <is>
          <t>1.6.1</t>
        </is>
      </c>
      <c r="B1316" s="23" t="inlineStr">
        <is>
          <t>Program Management - Program Controls</t>
        </is>
      </c>
      <c r="C1316" s="23" t="inlineStr">
        <is>
          <t>Cost &amp; Forecast Control Accounts</t>
        </is>
      </c>
      <c r="D1316" s="23" t="inlineStr">
        <is>
          <t>CST-06-071</t>
        </is>
      </c>
      <c r="E1316" s="23" t="inlineStr">
        <is>
          <t>Program Management - stakeholder services - professional services</t>
        </is>
      </c>
      <c r="F1316" s="23" t="inlineStr">
        <is>
          <t>ONE_TO_ONE</t>
        </is>
      </c>
      <c r="G1316" s="23" t="inlineStr">
        <is>
          <t>RETAINED</t>
        </is>
      </c>
      <c r="H1316" s="23" t="inlineStr">
        <is>
          <t>Carried forward</t>
        </is>
      </c>
      <c r="I1316" s="23" t="inlineStr">
        <is>
          <t>Source assignment -- not individually reviewed</t>
        </is>
      </c>
      <c r="J1316" s="23" t="inlineStr"/>
      <c r="K1316" s="23" t="inlineStr">
        <is>
          <t>Source assignment</t>
        </is>
      </c>
      <c r="L1316" s="23" t="inlineStr"/>
      <c r="M1316" s="23" t="inlineStr">
        <is>
          <t>Cost &amp; Forecast Control Accounts Cycle 2</t>
        </is>
      </c>
      <c r="N1316" s="23" t="inlineStr">
        <is>
          <t>Rev 1</t>
        </is>
      </c>
      <c r="O1316" s="23" t="inlineStr">
        <is>
          <t>R1553-v2</t>
        </is>
      </c>
      <c r="P1316" s="23" t="inlineStr"/>
      <c r="Q1316" s="23" t="inlineStr"/>
      <c r="R1316" s="23" t="inlineStr"/>
      <c r="S1316" s="23" t="inlineStr"/>
      <c r="T1316" s="23" t="inlineStr"/>
      <c r="U1316" s="23" t="inlineStr"/>
      <c r="V1316" s="23" t="inlineStr">
        <is>
          <t>Cost Account = CA-6071; WBS Code = 1.6.1</t>
        </is>
      </c>
      <c r="W1316" s="23" t="inlineStr"/>
    </row>
    <row r="1317" ht="64" customHeight="1">
      <c r="A1317" s="23" t="inlineStr">
        <is>
          <t>1.6.1</t>
        </is>
      </c>
      <c r="B1317" s="23" t="inlineStr">
        <is>
          <t>Program Management - Program Controls</t>
        </is>
      </c>
      <c r="C1317" s="23" t="inlineStr">
        <is>
          <t>Cost &amp; Forecast Control Accounts</t>
        </is>
      </c>
      <c r="D1317" s="23" t="inlineStr">
        <is>
          <t>CST-06-073</t>
        </is>
      </c>
      <c r="E1317" s="23" t="inlineStr">
        <is>
          <t>Program Management - design integration - closeout</t>
        </is>
      </c>
      <c r="F1317" s="23" t="inlineStr">
        <is>
          <t>ONE_TO_ONE</t>
        </is>
      </c>
      <c r="G1317" s="23" t="inlineStr">
        <is>
          <t>RETAINED</t>
        </is>
      </c>
      <c r="H1317" s="23" t="inlineStr">
        <is>
          <t>Carried forward</t>
        </is>
      </c>
      <c r="I1317" s="23" t="inlineStr">
        <is>
          <t>Source assignment -- not individually reviewed</t>
        </is>
      </c>
      <c r="J1317" s="23" t="inlineStr"/>
      <c r="K1317" s="23" t="inlineStr">
        <is>
          <t>Source assignment</t>
        </is>
      </c>
      <c r="L1317" s="23" t="inlineStr"/>
      <c r="M1317" s="23" t="inlineStr">
        <is>
          <t>Cost &amp; Forecast Control Accounts Cycle 2</t>
        </is>
      </c>
      <c r="N1317" s="23" t="inlineStr">
        <is>
          <t>Rev 1</t>
        </is>
      </c>
      <c r="O1317" s="23" t="inlineStr">
        <is>
          <t>R1555-v2</t>
        </is>
      </c>
      <c r="P1317" s="23" t="inlineStr"/>
      <c r="Q1317" s="23" t="inlineStr"/>
      <c r="R1317" s="23" t="inlineStr"/>
      <c r="S1317" s="23" t="inlineStr"/>
      <c r="T1317" s="23" t="inlineStr"/>
      <c r="U1317" s="23" t="inlineStr"/>
      <c r="V1317" s="23" t="inlineStr">
        <is>
          <t>Cost Account = CA-6073; WBS Code = 1.6.1</t>
        </is>
      </c>
      <c r="W1317" s="23" t="inlineStr"/>
    </row>
    <row r="1318" ht="64" customHeight="1">
      <c r="A1318" s="23" t="inlineStr">
        <is>
          <t>1.6.1</t>
        </is>
      </c>
      <c r="B1318" s="23" t="inlineStr">
        <is>
          <t>Program Management - Program Controls</t>
        </is>
      </c>
      <c r="C1318" s="23" t="inlineStr">
        <is>
          <t>Cost &amp; Forecast Control Accounts</t>
        </is>
      </c>
      <c r="D1318" s="23" t="inlineStr">
        <is>
          <t>CST-06-075</t>
        </is>
      </c>
      <c r="E1318" s="23" t="inlineStr">
        <is>
          <t>Program Management - program controls - supply and install</t>
        </is>
      </c>
      <c r="F1318" s="23" t="inlineStr">
        <is>
          <t>ONE_TO_ONE</t>
        </is>
      </c>
      <c r="G1318" s="23" t="inlineStr">
        <is>
          <t>RETAINED</t>
        </is>
      </c>
      <c r="H1318" s="23" t="inlineStr">
        <is>
          <t>Carried forward</t>
        </is>
      </c>
      <c r="I1318" s="23" t="inlineStr">
        <is>
          <t>Source assignment -- not individually reviewed</t>
        </is>
      </c>
      <c r="J1318" s="23" t="inlineStr"/>
      <c r="K1318" s="23" t="inlineStr">
        <is>
          <t>Source assignment</t>
        </is>
      </c>
      <c r="L1318" s="23" t="inlineStr"/>
      <c r="M1318" s="23" t="inlineStr">
        <is>
          <t>Cost &amp; Forecast Control Accounts Cycle 2</t>
        </is>
      </c>
      <c r="N1318" s="23" t="inlineStr">
        <is>
          <t>Rev 1</t>
        </is>
      </c>
      <c r="O1318" s="23" t="inlineStr">
        <is>
          <t>R1557-v2</t>
        </is>
      </c>
      <c r="P1318" s="23" t="inlineStr"/>
      <c r="Q1318" s="23" t="inlineStr"/>
      <c r="R1318" s="23" t="inlineStr"/>
      <c r="S1318" s="23" t="inlineStr"/>
      <c r="T1318" s="23" t="inlineStr"/>
      <c r="U1318" s="23" t="inlineStr"/>
      <c r="V1318" s="23" t="inlineStr">
        <is>
          <t>Cost Account = CA-6075; WBS Code = 1.6.1</t>
        </is>
      </c>
      <c r="W1318" s="23" t="inlineStr"/>
    </row>
    <row r="1319" ht="64" customHeight="1">
      <c r="A1319" s="23" t="inlineStr">
        <is>
          <t>1.6.1</t>
        </is>
      </c>
      <c r="B1319" s="23" t="inlineStr">
        <is>
          <t>Program Management - Program Controls</t>
        </is>
      </c>
      <c r="C1319" s="23" t="inlineStr">
        <is>
          <t>Cost &amp; Forecast Control Accounts</t>
        </is>
      </c>
      <c r="D1319" s="23" t="inlineStr">
        <is>
          <t>CST-06-077</t>
        </is>
      </c>
      <c r="E1319" s="23" t="inlineStr">
        <is>
          <t>Program Management - stakeholder services - allowance</t>
        </is>
      </c>
      <c r="F1319" s="23" t="inlineStr">
        <is>
          <t>ONE_TO_ONE</t>
        </is>
      </c>
      <c r="G1319" s="23" t="inlineStr">
        <is>
          <t>RETAINED</t>
        </is>
      </c>
      <c r="H1319" s="23" t="inlineStr">
        <is>
          <t>Carried forward</t>
        </is>
      </c>
      <c r="I1319" s="23" t="inlineStr">
        <is>
          <t>Source assignment -- not individually reviewed</t>
        </is>
      </c>
      <c r="J1319" s="23" t="inlineStr"/>
      <c r="K1319" s="23" t="inlineStr">
        <is>
          <t>Source assignment</t>
        </is>
      </c>
      <c r="L1319" s="23" t="inlineStr"/>
      <c r="M1319" s="23" t="inlineStr">
        <is>
          <t>Cost &amp; Forecast Control Accounts Cycle 2</t>
        </is>
      </c>
      <c r="N1319" s="23" t="inlineStr">
        <is>
          <t>Rev 1</t>
        </is>
      </c>
      <c r="O1319" s="23" t="inlineStr">
        <is>
          <t>R1559-v2</t>
        </is>
      </c>
      <c r="P1319" s="23" t="inlineStr"/>
      <c r="Q1319" s="23" t="inlineStr"/>
      <c r="R1319" s="23" t="inlineStr"/>
      <c r="S1319" s="23" t="inlineStr"/>
      <c r="T1319" s="23" t="inlineStr"/>
      <c r="U1319" s="23" t="inlineStr"/>
      <c r="V1319" s="23" t="inlineStr">
        <is>
          <t>Cost Account = CA-6077; WBS Code = 1.6.1</t>
        </is>
      </c>
      <c r="W1319" s="23" t="inlineStr"/>
    </row>
    <row r="1320" ht="64" customHeight="1">
      <c r="A1320" s="23" t="inlineStr">
        <is>
          <t>1.6.2</t>
        </is>
      </c>
      <c r="B1320" s="23" t="inlineStr">
        <is>
          <t>Program Management - Commercial &amp; Procurement</t>
        </is>
      </c>
      <c r="C1320" s="23" t="inlineStr">
        <is>
          <t>Cost &amp; Forecast Control Accounts</t>
        </is>
      </c>
      <c r="D1320" s="23" t="inlineStr">
        <is>
          <t>CST-06-002</t>
        </is>
      </c>
      <c r="E1320" s="23" t="inlineStr">
        <is>
          <t>Program Management - stakeholder services - allowance</t>
        </is>
      </c>
      <c r="F1320" s="23" t="inlineStr">
        <is>
          <t>ONE_TO_ONE</t>
        </is>
      </c>
      <c r="G1320" s="23" t="inlineStr">
        <is>
          <t>RETAINED</t>
        </is>
      </c>
      <c r="H1320" s="23" t="inlineStr">
        <is>
          <t>Carried forward</t>
        </is>
      </c>
      <c r="I1320" s="23" t="inlineStr">
        <is>
          <t>Source assignment -- not individually reviewed</t>
        </is>
      </c>
      <c r="J1320" s="23" t="inlineStr"/>
      <c r="K1320" s="23" t="inlineStr">
        <is>
          <t>Source assignment</t>
        </is>
      </c>
      <c r="L1320" s="23" t="inlineStr"/>
      <c r="M1320" s="23" t="inlineStr">
        <is>
          <t>Cost &amp; Forecast Control Accounts Cycle 2</t>
        </is>
      </c>
      <c r="N1320" s="23" t="inlineStr">
        <is>
          <t>Rev 1</t>
        </is>
      </c>
      <c r="O1320" s="23" t="inlineStr">
        <is>
          <t>R1484-v2</t>
        </is>
      </c>
      <c r="P1320" s="23" t="inlineStr"/>
      <c r="Q1320" s="23" t="inlineStr"/>
      <c r="R1320" s="23" t="inlineStr"/>
      <c r="S1320" s="23" t="inlineStr"/>
      <c r="T1320" s="23" t="inlineStr"/>
      <c r="U1320" s="23" t="inlineStr"/>
      <c r="V1320" s="23" t="inlineStr">
        <is>
          <t>Cost Account = CA-6002; WBS Code = 1.6.2</t>
        </is>
      </c>
      <c r="W1320" s="23" t="inlineStr"/>
    </row>
    <row r="1321" ht="64" customHeight="1">
      <c r="A1321" s="23" t="inlineStr">
        <is>
          <t>1.6.2</t>
        </is>
      </c>
      <c r="B1321" s="23" t="inlineStr">
        <is>
          <t>Program Management - Commercial &amp; Procurement</t>
        </is>
      </c>
      <c r="C1321" s="23" t="inlineStr">
        <is>
          <t>Cost &amp; Forecast Control Accounts</t>
        </is>
      </c>
      <c r="D1321" s="23" t="inlineStr">
        <is>
          <t>CST-06-004</t>
        </is>
      </c>
      <c r="E1321" s="23" t="inlineStr">
        <is>
          <t>Program Management - design integration - field package</t>
        </is>
      </c>
      <c r="F1321" s="23" t="inlineStr">
        <is>
          <t>ONE_TO_ONE</t>
        </is>
      </c>
      <c r="G1321" s="23" t="inlineStr">
        <is>
          <t>RETAINED</t>
        </is>
      </c>
      <c r="H1321" s="23" t="inlineStr">
        <is>
          <t>Carried forward</t>
        </is>
      </c>
      <c r="I1321" s="23" t="inlineStr">
        <is>
          <t>Source assignment -- not individually reviewed</t>
        </is>
      </c>
      <c r="J1321" s="23" t="inlineStr"/>
      <c r="K1321" s="23" t="inlineStr">
        <is>
          <t>Source assignment</t>
        </is>
      </c>
      <c r="L1321" s="23" t="inlineStr"/>
      <c r="M1321" s="23" t="inlineStr">
        <is>
          <t>Cost &amp; Forecast Control Accounts Cycle 2</t>
        </is>
      </c>
      <c r="N1321" s="23" t="inlineStr">
        <is>
          <t>Rev 1</t>
        </is>
      </c>
      <c r="O1321" s="23" t="inlineStr">
        <is>
          <t>R1486-v2</t>
        </is>
      </c>
      <c r="P1321" s="23" t="inlineStr"/>
      <c r="Q1321" s="23" t="inlineStr"/>
      <c r="R1321" s="23" t="inlineStr"/>
      <c r="S1321" s="23" t="inlineStr"/>
      <c r="T1321" s="23" t="inlineStr"/>
      <c r="U1321" s="23" t="inlineStr"/>
      <c r="V1321" s="23" t="inlineStr">
        <is>
          <t>Cost Account = CA-6004; WBS Code = 1.6.2</t>
        </is>
      </c>
      <c r="W1321" s="23" t="inlineStr"/>
    </row>
    <row r="1322" ht="64" customHeight="1">
      <c r="A1322" s="23" t="inlineStr">
        <is>
          <t>1.6.2</t>
        </is>
      </c>
      <c r="B1322" s="23" t="inlineStr">
        <is>
          <t>Program Management - Commercial &amp; Procurement</t>
        </is>
      </c>
      <c r="C1322" s="23" t="inlineStr">
        <is>
          <t>Cost &amp; Forecast Control Accounts</t>
        </is>
      </c>
      <c r="D1322" s="23" t="inlineStr">
        <is>
          <t>CST-06-006</t>
        </is>
      </c>
      <c r="E1322" s="23" t="inlineStr">
        <is>
          <t>Program Management - program controls - professional services</t>
        </is>
      </c>
      <c r="F1322" s="23" t="inlineStr">
        <is>
          <t>ONE_TO_ONE</t>
        </is>
      </c>
      <c r="G1322" s="23" t="inlineStr">
        <is>
          <t>RETAINED</t>
        </is>
      </c>
      <c r="H1322" s="23" t="inlineStr">
        <is>
          <t>Carried forward</t>
        </is>
      </c>
      <c r="I1322" s="23" t="inlineStr">
        <is>
          <t>Source assignment -- not individually reviewed</t>
        </is>
      </c>
      <c r="J1322" s="23" t="inlineStr"/>
      <c r="K1322" s="23" t="inlineStr">
        <is>
          <t>Source assignment</t>
        </is>
      </c>
      <c r="L1322" s="23" t="inlineStr"/>
      <c r="M1322" s="23" t="inlineStr">
        <is>
          <t>Cost &amp; Forecast Control Accounts Cycle 2</t>
        </is>
      </c>
      <c r="N1322" s="23" t="inlineStr">
        <is>
          <t>Rev 1</t>
        </is>
      </c>
      <c r="O1322" s="23" t="inlineStr">
        <is>
          <t>R1488-v2</t>
        </is>
      </c>
      <c r="P1322" s="23" t="inlineStr"/>
      <c r="Q1322" s="23" t="inlineStr"/>
      <c r="R1322" s="23" t="inlineStr"/>
      <c r="S1322" s="23" t="inlineStr"/>
      <c r="T1322" s="23" t="inlineStr"/>
      <c r="U1322" s="23" t="inlineStr"/>
      <c r="V1322" s="23" t="inlineStr">
        <is>
          <t>Cost Account = CA-6006; WBS Code = 1.6.2</t>
        </is>
      </c>
      <c r="W1322" s="23" t="inlineStr"/>
    </row>
    <row r="1323" ht="64" customHeight="1">
      <c r="A1323" s="23" t="inlineStr">
        <is>
          <t>1.6.2</t>
        </is>
      </c>
      <c r="B1323" s="23" t="inlineStr">
        <is>
          <t>Program Management - Commercial &amp; Procurement</t>
        </is>
      </c>
      <c r="C1323" s="23" t="inlineStr">
        <is>
          <t>Cost &amp; Forecast Control Accounts</t>
        </is>
      </c>
      <c r="D1323" s="23" t="inlineStr">
        <is>
          <t>CST-06-008</t>
        </is>
      </c>
      <c r="E1323" s="23" t="inlineStr">
        <is>
          <t>Program Management - stakeholder services - closeout</t>
        </is>
      </c>
      <c r="F1323" s="23" t="inlineStr">
        <is>
          <t>ONE_TO_ONE</t>
        </is>
      </c>
      <c r="G1323" s="23" t="inlineStr">
        <is>
          <t>RETAINED</t>
        </is>
      </c>
      <c r="H1323" s="23" t="inlineStr">
        <is>
          <t>Carried forward</t>
        </is>
      </c>
      <c r="I1323" s="23" t="inlineStr">
        <is>
          <t>Source assignment -- not individually reviewed</t>
        </is>
      </c>
      <c r="J1323" s="23" t="inlineStr"/>
      <c r="K1323" s="23" t="inlineStr">
        <is>
          <t>Source assignment</t>
        </is>
      </c>
      <c r="L1323" s="23" t="inlineStr"/>
      <c r="M1323" s="23" t="inlineStr">
        <is>
          <t>Cost &amp; Forecast Control Accounts Cycle 2</t>
        </is>
      </c>
      <c r="N1323" s="23" t="inlineStr">
        <is>
          <t>Rev 1</t>
        </is>
      </c>
      <c r="O1323" s="23" t="inlineStr">
        <is>
          <t>R1490-v2</t>
        </is>
      </c>
      <c r="P1323" s="23" t="inlineStr"/>
      <c r="Q1323" s="23" t="inlineStr"/>
      <c r="R1323" s="23" t="inlineStr"/>
      <c r="S1323" s="23" t="inlineStr"/>
      <c r="T1323" s="23" t="inlineStr"/>
      <c r="U1323" s="23" t="inlineStr"/>
      <c r="V1323" s="23" t="inlineStr">
        <is>
          <t>Cost Account = CA-6008; WBS Code = 1.6.2</t>
        </is>
      </c>
      <c r="W1323" s="23" t="inlineStr"/>
    </row>
    <row r="1324" ht="64" customHeight="1">
      <c r="A1324" s="23" t="inlineStr">
        <is>
          <t>1.6.2</t>
        </is>
      </c>
      <c r="B1324" s="23" t="inlineStr">
        <is>
          <t>Program Management - Commercial &amp; Procurement</t>
        </is>
      </c>
      <c r="C1324" s="23" t="inlineStr">
        <is>
          <t>Cost &amp; Forecast Control Accounts</t>
        </is>
      </c>
      <c r="D1324" s="23" t="inlineStr">
        <is>
          <t>CST-06-010</t>
        </is>
      </c>
      <c r="E1324" s="23" t="inlineStr">
        <is>
          <t>Program Management - design integration - supply and install</t>
        </is>
      </c>
      <c r="F1324" s="23" t="inlineStr">
        <is>
          <t>ONE_TO_ONE</t>
        </is>
      </c>
      <c r="G1324" s="23" t="inlineStr">
        <is>
          <t>RETAINED</t>
        </is>
      </c>
      <c r="H1324" s="23" t="inlineStr">
        <is>
          <t>Carried forward</t>
        </is>
      </c>
      <c r="I1324" s="23" t="inlineStr">
        <is>
          <t>Source assignment -- not individually reviewed</t>
        </is>
      </c>
      <c r="J1324" s="23" t="inlineStr"/>
      <c r="K1324" s="23" t="inlineStr">
        <is>
          <t>Source assignment</t>
        </is>
      </c>
      <c r="L1324" s="23" t="inlineStr"/>
      <c r="M1324" s="23" t="inlineStr">
        <is>
          <t>Cost &amp; Forecast Control Accounts Cycle 2</t>
        </is>
      </c>
      <c r="N1324" s="23" t="inlineStr">
        <is>
          <t>Rev 1</t>
        </is>
      </c>
      <c r="O1324" s="23" t="inlineStr">
        <is>
          <t>R1492-v2</t>
        </is>
      </c>
      <c r="P1324" s="23" t="inlineStr"/>
      <c r="Q1324" s="23" t="inlineStr"/>
      <c r="R1324" s="23" t="inlineStr"/>
      <c r="S1324" s="23" t="inlineStr"/>
      <c r="T1324" s="23" t="inlineStr"/>
      <c r="U1324" s="23" t="inlineStr"/>
      <c r="V1324" s="23" t="inlineStr">
        <is>
          <t>Cost Account = CA-6010; WBS Code = 1.6.2</t>
        </is>
      </c>
      <c r="W1324" s="23" t="inlineStr"/>
    </row>
    <row r="1325" ht="64" customHeight="1">
      <c r="A1325" s="23" t="inlineStr">
        <is>
          <t>1.6.2</t>
        </is>
      </c>
      <c r="B1325" s="23" t="inlineStr">
        <is>
          <t>Program Management - Commercial &amp; Procurement</t>
        </is>
      </c>
      <c r="C1325" s="23" t="inlineStr">
        <is>
          <t>Cost &amp; Forecast Control Accounts</t>
        </is>
      </c>
      <c r="D1325" s="23" t="inlineStr">
        <is>
          <t>CST-06-012</t>
        </is>
      </c>
      <c r="E1325" s="23" t="inlineStr">
        <is>
          <t>Program Management - program controls - allowance</t>
        </is>
      </c>
      <c r="F1325" s="23" t="inlineStr">
        <is>
          <t>ONE_TO_ONE</t>
        </is>
      </c>
      <c r="G1325" s="23" t="inlineStr">
        <is>
          <t>RETAINED</t>
        </is>
      </c>
      <c r="H1325" s="23" t="inlineStr">
        <is>
          <t>Carried forward</t>
        </is>
      </c>
      <c r="I1325" s="23" t="inlineStr">
        <is>
          <t>Source assignment -- not individually reviewed</t>
        </is>
      </c>
      <c r="J1325" s="23" t="inlineStr"/>
      <c r="K1325" s="23" t="inlineStr">
        <is>
          <t>Source assignment</t>
        </is>
      </c>
      <c r="L1325" s="23" t="inlineStr"/>
      <c r="M1325" s="23" t="inlineStr">
        <is>
          <t>Cost &amp; Forecast Control Accounts Cycle 2</t>
        </is>
      </c>
      <c r="N1325" s="23" t="inlineStr">
        <is>
          <t>Rev 1</t>
        </is>
      </c>
      <c r="O1325" s="23" t="inlineStr">
        <is>
          <t>R1494-v2</t>
        </is>
      </c>
      <c r="P1325" s="23" t="inlineStr"/>
      <c r="Q1325" s="23" t="inlineStr"/>
      <c r="R1325" s="23" t="inlineStr"/>
      <c r="S1325" s="23" t="inlineStr"/>
      <c r="T1325" s="23" t="inlineStr"/>
      <c r="U1325" s="23" t="inlineStr"/>
      <c r="V1325" s="23" t="inlineStr">
        <is>
          <t>Cost Account = CA-6012; WBS Code = 1.6.2</t>
        </is>
      </c>
      <c r="W1325" s="23" t="inlineStr"/>
    </row>
    <row r="1326" ht="64" customHeight="1">
      <c r="A1326" s="23" t="inlineStr">
        <is>
          <t>1.6.2</t>
        </is>
      </c>
      <c r="B1326" s="23" t="inlineStr">
        <is>
          <t>Program Management - Commercial &amp; Procurement</t>
        </is>
      </c>
      <c r="C1326" s="23" t="inlineStr">
        <is>
          <t>Cost &amp; Forecast Control Accounts</t>
        </is>
      </c>
      <c r="D1326" s="23" t="inlineStr">
        <is>
          <t>CST-06-014</t>
        </is>
      </c>
      <c r="E1326" s="23" t="inlineStr">
        <is>
          <t>Program Management - stakeholder services - field package</t>
        </is>
      </c>
      <c r="F1326" s="23" t="inlineStr">
        <is>
          <t>ONE_TO_ONE</t>
        </is>
      </c>
      <c r="G1326" s="23" t="inlineStr">
        <is>
          <t>RETAINED</t>
        </is>
      </c>
      <c r="H1326" s="23" t="inlineStr">
        <is>
          <t>Carried forward</t>
        </is>
      </c>
      <c r="I1326" s="23" t="inlineStr">
        <is>
          <t>Source assignment -- not individually reviewed</t>
        </is>
      </c>
      <c r="J1326" s="23" t="inlineStr"/>
      <c r="K1326" s="23" t="inlineStr">
        <is>
          <t>Source assignment</t>
        </is>
      </c>
      <c r="L1326" s="23" t="inlineStr"/>
      <c r="M1326" s="23" t="inlineStr">
        <is>
          <t>Cost &amp; Forecast Control Accounts Cycle 2</t>
        </is>
      </c>
      <c r="N1326" s="23" t="inlineStr">
        <is>
          <t>Rev 1</t>
        </is>
      </c>
      <c r="O1326" s="23" t="inlineStr">
        <is>
          <t>R1496-v2</t>
        </is>
      </c>
      <c r="P1326" s="23" t="inlineStr"/>
      <c r="Q1326" s="23" t="inlineStr"/>
      <c r="R1326" s="23" t="inlineStr"/>
      <c r="S1326" s="23" t="inlineStr"/>
      <c r="T1326" s="23" t="inlineStr"/>
      <c r="U1326" s="23" t="inlineStr"/>
      <c r="V1326" s="23" t="inlineStr">
        <is>
          <t>Cost Account = CA-6014; WBS Code = 1.6.2</t>
        </is>
      </c>
      <c r="W1326" s="23" t="inlineStr"/>
    </row>
    <row r="1327" ht="64" customHeight="1">
      <c r="A1327" s="23" t="inlineStr">
        <is>
          <t>1.6.2</t>
        </is>
      </c>
      <c r="B1327" s="23" t="inlineStr">
        <is>
          <t>Program Management - Commercial &amp; Procurement</t>
        </is>
      </c>
      <c r="C1327" s="23" t="inlineStr">
        <is>
          <t>Cost &amp; Forecast Control Accounts</t>
        </is>
      </c>
      <c r="D1327" s="23" t="inlineStr">
        <is>
          <t>CST-06-016</t>
        </is>
      </c>
      <c r="E1327" s="23" t="inlineStr">
        <is>
          <t>Program Management - design integration - professional services</t>
        </is>
      </c>
      <c r="F1327" s="23" t="inlineStr">
        <is>
          <t>ONE_TO_ONE</t>
        </is>
      </c>
      <c r="G1327" s="23" t="inlineStr">
        <is>
          <t>RETAINED</t>
        </is>
      </c>
      <c r="H1327" s="23" t="inlineStr">
        <is>
          <t>Carried forward</t>
        </is>
      </c>
      <c r="I1327" s="23" t="inlineStr">
        <is>
          <t>Source assignment -- not individually reviewed</t>
        </is>
      </c>
      <c r="J1327" s="23" t="inlineStr"/>
      <c r="K1327" s="23" t="inlineStr">
        <is>
          <t>Source assignment</t>
        </is>
      </c>
      <c r="L1327" s="23" t="inlineStr"/>
      <c r="M1327" s="23" t="inlineStr">
        <is>
          <t>Cost &amp; Forecast Control Accounts Cycle 2</t>
        </is>
      </c>
      <c r="N1327" s="23" t="inlineStr">
        <is>
          <t>Rev 1</t>
        </is>
      </c>
      <c r="O1327" s="23" t="inlineStr">
        <is>
          <t>R1498-v2</t>
        </is>
      </c>
      <c r="P1327" s="23" t="inlineStr"/>
      <c r="Q1327" s="23" t="inlineStr"/>
      <c r="R1327" s="23" t="inlineStr"/>
      <c r="S1327" s="23" t="inlineStr"/>
      <c r="T1327" s="23" t="inlineStr"/>
      <c r="U1327" s="23" t="inlineStr"/>
      <c r="V1327" s="23" t="inlineStr">
        <is>
          <t>Cost Account = CA-6016; WBS Code = 1.6.2</t>
        </is>
      </c>
      <c r="W1327" s="23" t="inlineStr"/>
    </row>
    <row r="1328" ht="64" customHeight="1">
      <c r="A1328" s="23" t="inlineStr">
        <is>
          <t>1.6.2</t>
        </is>
      </c>
      <c r="B1328" s="23" t="inlineStr">
        <is>
          <t>Program Management - Commercial &amp; Procurement</t>
        </is>
      </c>
      <c r="C1328" s="23" t="inlineStr">
        <is>
          <t>Cost &amp; Forecast Control Accounts</t>
        </is>
      </c>
      <c r="D1328" s="23" t="inlineStr">
        <is>
          <t>CST-06-018</t>
        </is>
      </c>
      <c r="E1328" s="23" t="inlineStr">
        <is>
          <t>Program Management - program controls - closeout</t>
        </is>
      </c>
      <c r="F1328" s="23" t="inlineStr">
        <is>
          <t>ONE_TO_ONE</t>
        </is>
      </c>
      <c r="G1328" s="23" t="inlineStr">
        <is>
          <t>RETAINED</t>
        </is>
      </c>
      <c r="H1328" s="23" t="inlineStr">
        <is>
          <t>Carried forward</t>
        </is>
      </c>
      <c r="I1328" s="23" t="inlineStr">
        <is>
          <t>Source assignment -- not individually reviewed</t>
        </is>
      </c>
      <c r="J1328" s="23" t="inlineStr"/>
      <c r="K1328" s="23" t="inlineStr">
        <is>
          <t>Source assignment</t>
        </is>
      </c>
      <c r="L1328" s="23" t="inlineStr"/>
      <c r="M1328" s="23" t="inlineStr">
        <is>
          <t>Cost &amp; Forecast Control Accounts Cycle 2</t>
        </is>
      </c>
      <c r="N1328" s="23" t="inlineStr">
        <is>
          <t>Rev 1</t>
        </is>
      </c>
      <c r="O1328" s="23" t="inlineStr">
        <is>
          <t>R1500-v2</t>
        </is>
      </c>
      <c r="P1328" s="23" t="inlineStr"/>
      <c r="Q1328" s="23" t="inlineStr"/>
      <c r="R1328" s="23" t="inlineStr"/>
      <c r="S1328" s="23" t="inlineStr"/>
      <c r="T1328" s="23" t="inlineStr"/>
      <c r="U1328" s="23" t="inlineStr"/>
      <c r="V1328" s="23" t="inlineStr">
        <is>
          <t>Cost Account = CA-6018; WBS Code = 1.6.2</t>
        </is>
      </c>
      <c r="W1328" s="23" t="inlineStr"/>
    </row>
    <row r="1329" ht="64" customHeight="1">
      <c r="A1329" s="23" t="inlineStr">
        <is>
          <t>1.6.2</t>
        </is>
      </c>
      <c r="B1329" s="23" t="inlineStr">
        <is>
          <t>Program Management - Commercial &amp; Procurement</t>
        </is>
      </c>
      <c r="C1329" s="23" t="inlineStr">
        <is>
          <t>Cost &amp; Forecast Control Accounts</t>
        </is>
      </c>
      <c r="D1329" s="23" t="inlineStr">
        <is>
          <t>CST-06-020</t>
        </is>
      </c>
      <c r="E1329" s="23" t="inlineStr">
        <is>
          <t>Program Management - stakeholder services - supply and install</t>
        </is>
      </c>
      <c r="F1329" s="23" t="inlineStr">
        <is>
          <t>ONE_TO_ONE</t>
        </is>
      </c>
      <c r="G1329" s="23" t="inlineStr">
        <is>
          <t>RETAINED</t>
        </is>
      </c>
      <c r="H1329" s="23" t="inlineStr">
        <is>
          <t>Carried forward</t>
        </is>
      </c>
      <c r="I1329" s="23" t="inlineStr">
        <is>
          <t>Source assignment -- not individually reviewed</t>
        </is>
      </c>
      <c r="J1329" s="23" t="inlineStr"/>
      <c r="K1329" s="23" t="inlineStr">
        <is>
          <t>Source assignment</t>
        </is>
      </c>
      <c r="L1329" s="23" t="inlineStr"/>
      <c r="M1329" s="23" t="inlineStr">
        <is>
          <t>Cost &amp; Forecast Control Accounts Cycle 2</t>
        </is>
      </c>
      <c r="N1329" s="23" t="inlineStr">
        <is>
          <t>Rev 1</t>
        </is>
      </c>
      <c r="O1329" s="23" t="inlineStr">
        <is>
          <t>R1502-v2</t>
        </is>
      </c>
      <c r="P1329" s="23" t="inlineStr"/>
      <c r="Q1329" s="23" t="inlineStr"/>
      <c r="R1329" s="23" t="inlineStr"/>
      <c r="S1329" s="23" t="inlineStr"/>
      <c r="T1329" s="23" t="inlineStr"/>
      <c r="U1329" s="23" t="inlineStr"/>
      <c r="V1329" s="23" t="inlineStr">
        <is>
          <t>Cost Account = CA-6020; WBS Code = 1.6.2</t>
        </is>
      </c>
      <c r="W1329" s="23" t="inlineStr"/>
    </row>
    <row r="1330" ht="64" customHeight="1">
      <c r="A1330" s="23" t="inlineStr">
        <is>
          <t>1.6.2</t>
        </is>
      </c>
      <c r="B1330" s="23" t="inlineStr">
        <is>
          <t>Program Management - Commercial &amp; Procurement</t>
        </is>
      </c>
      <c r="C1330" s="23" t="inlineStr">
        <is>
          <t>Cost &amp; Forecast Control Accounts</t>
        </is>
      </c>
      <c r="D1330" s="23" t="inlineStr">
        <is>
          <t>CST-06-022</t>
        </is>
      </c>
      <c r="E1330" s="23" t="inlineStr">
        <is>
          <t>Program Management - design integration - allowance</t>
        </is>
      </c>
      <c r="F1330" s="23" t="inlineStr">
        <is>
          <t>ONE_TO_ONE</t>
        </is>
      </c>
      <c r="G1330" s="23" t="inlineStr">
        <is>
          <t>RETAINED</t>
        </is>
      </c>
      <c r="H1330" s="23" t="inlineStr">
        <is>
          <t>Carried forward</t>
        </is>
      </c>
      <c r="I1330" s="23" t="inlineStr">
        <is>
          <t>Source assignment -- not individually reviewed</t>
        </is>
      </c>
      <c r="J1330" s="23" t="inlineStr"/>
      <c r="K1330" s="23" t="inlineStr">
        <is>
          <t>Source assignment</t>
        </is>
      </c>
      <c r="L1330" s="23" t="inlineStr"/>
      <c r="M1330" s="23" t="inlineStr">
        <is>
          <t>Cost &amp; Forecast Control Accounts Cycle 2</t>
        </is>
      </c>
      <c r="N1330" s="23" t="inlineStr">
        <is>
          <t>Rev 1</t>
        </is>
      </c>
      <c r="O1330" s="23" t="inlineStr">
        <is>
          <t>R1504-v2</t>
        </is>
      </c>
      <c r="P1330" s="23" t="inlineStr"/>
      <c r="Q1330" s="23" t="inlineStr"/>
      <c r="R1330" s="23" t="inlineStr"/>
      <c r="S1330" s="23" t="inlineStr"/>
      <c r="T1330" s="23" t="inlineStr"/>
      <c r="U1330" s="23" t="inlineStr"/>
      <c r="V1330" s="23" t="inlineStr">
        <is>
          <t>Cost Account = CA-6022; WBS Code = 1.6.2</t>
        </is>
      </c>
      <c r="W1330" s="23" t="inlineStr"/>
    </row>
    <row r="1331" ht="64" customHeight="1">
      <c r="A1331" s="23" t="inlineStr">
        <is>
          <t>1.6.2</t>
        </is>
      </c>
      <c r="B1331" s="23" t="inlineStr">
        <is>
          <t>Program Management - Commercial &amp; Procurement</t>
        </is>
      </c>
      <c r="C1331" s="23" t="inlineStr">
        <is>
          <t>Cost &amp; Forecast Control Accounts</t>
        </is>
      </c>
      <c r="D1331" s="23" t="inlineStr">
        <is>
          <t>CST-06-024</t>
        </is>
      </c>
      <c r="E1331" s="23" t="inlineStr">
        <is>
          <t>Program Management - program controls - field package</t>
        </is>
      </c>
      <c r="F1331" s="23" t="inlineStr">
        <is>
          <t>ONE_TO_ONE</t>
        </is>
      </c>
      <c r="G1331" s="23" t="inlineStr">
        <is>
          <t>RETAINED</t>
        </is>
      </c>
      <c r="H1331" s="23" t="inlineStr">
        <is>
          <t>Carried forward</t>
        </is>
      </c>
      <c r="I1331" s="23" t="inlineStr">
        <is>
          <t>Source assignment -- not individually reviewed</t>
        </is>
      </c>
      <c r="J1331" s="23" t="inlineStr"/>
      <c r="K1331" s="23" t="inlineStr">
        <is>
          <t>Source assignment</t>
        </is>
      </c>
      <c r="L1331" s="23" t="inlineStr"/>
      <c r="M1331" s="23" t="inlineStr">
        <is>
          <t>Cost &amp; Forecast Control Accounts Cycle 2</t>
        </is>
      </c>
      <c r="N1331" s="23" t="inlineStr">
        <is>
          <t>Rev 1</t>
        </is>
      </c>
      <c r="O1331" s="23" t="inlineStr">
        <is>
          <t>R1506-v2</t>
        </is>
      </c>
      <c r="P1331" s="23" t="inlineStr"/>
      <c r="Q1331" s="23" t="inlineStr"/>
      <c r="R1331" s="23" t="inlineStr"/>
      <c r="S1331" s="23" t="inlineStr"/>
      <c r="T1331" s="23" t="inlineStr"/>
      <c r="U1331" s="23" t="inlineStr"/>
      <c r="V1331" s="23" t="inlineStr">
        <is>
          <t>Cost Account = CA-6024; WBS Code = 1.6.2</t>
        </is>
      </c>
      <c r="W1331" s="23" t="inlineStr"/>
    </row>
    <row r="1332" ht="64" customHeight="1">
      <c r="A1332" s="23" t="inlineStr">
        <is>
          <t>1.6.2</t>
        </is>
      </c>
      <c r="B1332" s="23" t="inlineStr">
        <is>
          <t>Program Management - Commercial &amp; Procurement</t>
        </is>
      </c>
      <c r="C1332" s="23" t="inlineStr">
        <is>
          <t>Cost &amp; Forecast Control Accounts</t>
        </is>
      </c>
      <c r="D1332" s="23" t="inlineStr">
        <is>
          <t>CST-06-026</t>
        </is>
      </c>
      <c r="E1332" s="23" t="inlineStr">
        <is>
          <t>Program Management - stakeholder services - professional services</t>
        </is>
      </c>
      <c r="F1332" s="23" t="inlineStr">
        <is>
          <t>ONE_TO_ONE</t>
        </is>
      </c>
      <c r="G1332" s="23" t="inlineStr">
        <is>
          <t>RETAINED</t>
        </is>
      </c>
      <c r="H1332" s="23" t="inlineStr">
        <is>
          <t>Carried forward</t>
        </is>
      </c>
      <c r="I1332" s="23" t="inlineStr">
        <is>
          <t>Source assignment -- not individually reviewed</t>
        </is>
      </c>
      <c r="J1332" s="23" t="inlineStr"/>
      <c r="K1332" s="23" t="inlineStr">
        <is>
          <t>Source assignment</t>
        </is>
      </c>
      <c r="L1332" s="23" t="inlineStr"/>
      <c r="M1332" s="23" t="inlineStr">
        <is>
          <t>Cost &amp; Forecast Control Accounts Cycle 2</t>
        </is>
      </c>
      <c r="N1332" s="23" t="inlineStr">
        <is>
          <t>Rev 1</t>
        </is>
      </c>
      <c r="O1332" s="23" t="inlineStr">
        <is>
          <t>R1508-v2</t>
        </is>
      </c>
      <c r="P1332" s="23" t="inlineStr"/>
      <c r="Q1332" s="23" t="inlineStr"/>
      <c r="R1332" s="23" t="inlineStr"/>
      <c r="S1332" s="23" t="inlineStr"/>
      <c r="T1332" s="23" t="inlineStr"/>
      <c r="U1332" s="23" t="inlineStr"/>
      <c r="V1332" s="23" t="inlineStr">
        <is>
          <t>Cost Account = CA-6026; WBS Code = 1.6.2</t>
        </is>
      </c>
      <c r="W1332" s="23" t="inlineStr"/>
    </row>
    <row r="1333" ht="64" customHeight="1">
      <c r="A1333" s="23" t="inlineStr">
        <is>
          <t>1.6.2</t>
        </is>
      </c>
      <c r="B1333" s="23" t="inlineStr">
        <is>
          <t>Program Management - Commercial &amp; Procurement</t>
        </is>
      </c>
      <c r="C1333" s="23" t="inlineStr">
        <is>
          <t>Cost &amp; Forecast Control Accounts</t>
        </is>
      </c>
      <c r="D1333" s="23" t="inlineStr">
        <is>
          <t>CST-06-028</t>
        </is>
      </c>
      <c r="E1333" s="23" t="inlineStr">
        <is>
          <t>Program Management - design integration - closeout</t>
        </is>
      </c>
      <c r="F1333" s="23" t="inlineStr">
        <is>
          <t>ONE_TO_ONE</t>
        </is>
      </c>
      <c r="G1333" s="23" t="inlineStr">
        <is>
          <t>RETAINED</t>
        </is>
      </c>
      <c r="H1333" s="23" t="inlineStr">
        <is>
          <t>Carried forward</t>
        </is>
      </c>
      <c r="I1333" s="23" t="inlineStr">
        <is>
          <t>Source assignment -- not individually reviewed</t>
        </is>
      </c>
      <c r="J1333" s="23" t="inlineStr"/>
      <c r="K1333" s="23" t="inlineStr">
        <is>
          <t>Source assignment</t>
        </is>
      </c>
      <c r="L1333" s="23" t="inlineStr"/>
      <c r="M1333" s="23" t="inlineStr">
        <is>
          <t>Cost &amp; Forecast Control Accounts Cycle 2</t>
        </is>
      </c>
      <c r="N1333" s="23" t="inlineStr">
        <is>
          <t>Rev 1</t>
        </is>
      </c>
      <c r="O1333" s="23" t="inlineStr">
        <is>
          <t>R1510-v2</t>
        </is>
      </c>
      <c r="P1333" s="23" t="inlineStr"/>
      <c r="Q1333" s="23" t="inlineStr"/>
      <c r="R1333" s="23" t="inlineStr"/>
      <c r="S1333" s="23" t="inlineStr"/>
      <c r="T1333" s="23" t="inlineStr"/>
      <c r="U1333" s="23" t="inlineStr"/>
      <c r="V1333" s="23" t="inlineStr">
        <is>
          <t>Cost Account = CA-6028; WBS Code = 1.6.2</t>
        </is>
      </c>
      <c r="W1333" s="23" t="inlineStr"/>
    </row>
    <row r="1334" ht="64" customHeight="1">
      <c r="A1334" s="23" t="inlineStr">
        <is>
          <t>1.6.2</t>
        </is>
      </c>
      <c r="B1334" s="23" t="inlineStr">
        <is>
          <t>Program Management - Commercial &amp; Procurement</t>
        </is>
      </c>
      <c r="C1334" s="23" t="inlineStr">
        <is>
          <t>Cost &amp; Forecast Control Accounts</t>
        </is>
      </c>
      <c r="D1334" s="23" t="inlineStr">
        <is>
          <t>CST-06-030</t>
        </is>
      </c>
      <c r="E1334" s="23" t="inlineStr">
        <is>
          <t>Program Management - program controls - supply and install</t>
        </is>
      </c>
      <c r="F1334" s="23" t="inlineStr">
        <is>
          <t>ONE_TO_ONE</t>
        </is>
      </c>
      <c r="G1334" s="23" t="inlineStr">
        <is>
          <t>RETAINED</t>
        </is>
      </c>
      <c r="H1334" s="23" t="inlineStr">
        <is>
          <t>Carried forward</t>
        </is>
      </c>
      <c r="I1334" s="23" t="inlineStr">
        <is>
          <t>Source assignment -- not individually reviewed</t>
        </is>
      </c>
      <c r="J1334" s="23" t="inlineStr"/>
      <c r="K1334" s="23" t="inlineStr">
        <is>
          <t>Source assignment</t>
        </is>
      </c>
      <c r="L1334" s="23" t="inlineStr"/>
      <c r="M1334" s="23" t="inlineStr">
        <is>
          <t>Cost &amp; Forecast Control Accounts Cycle 2</t>
        </is>
      </c>
      <c r="N1334" s="23" t="inlineStr">
        <is>
          <t>Rev 1</t>
        </is>
      </c>
      <c r="O1334" s="23" t="inlineStr">
        <is>
          <t>R1512-v2</t>
        </is>
      </c>
      <c r="P1334" s="23" t="inlineStr"/>
      <c r="Q1334" s="23" t="inlineStr"/>
      <c r="R1334" s="23" t="inlineStr"/>
      <c r="S1334" s="23" t="inlineStr"/>
      <c r="T1334" s="23" t="inlineStr"/>
      <c r="U1334" s="23" t="inlineStr"/>
      <c r="V1334" s="23" t="inlineStr">
        <is>
          <t>Cost Account = CA-6030; WBS Code = 1.6.2</t>
        </is>
      </c>
      <c r="W1334" s="23" t="inlineStr"/>
    </row>
    <row r="1335" ht="64" customHeight="1">
      <c r="A1335" s="23" t="inlineStr">
        <is>
          <t>1.6.2</t>
        </is>
      </c>
      <c r="B1335" s="23" t="inlineStr">
        <is>
          <t>Program Management - Commercial &amp; Procurement</t>
        </is>
      </c>
      <c r="C1335" s="23" t="inlineStr">
        <is>
          <t>Cost &amp; Forecast Control Accounts</t>
        </is>
      </c>
      <c r="D1335" s="23" t="inlineStr">
        <is>
          <t>CST-06-032</t>
        </is>
      </c>
      <c r="E1335" s="23" t="inlineStr">
        <is>
          <t>Program Management - stakeholder services - allowance</t>
        </is>
      </c>
      <c r="F1335" s="23" t="inlineStr">
        <is>
          <t>ONE_TO_ONE</t>
        </is>
      </c>
      <c r="G1335" s="23" t="inlineStr">
        <is>
          <t>RETAINED</t>
        </is>
      </c>
      <c r="H1335" s="23" t="inlineStr">
        <is>
          <t>Carried forward</t>
        </is>
      </c>
      <c r="I1335" s="23" t="inlineStr">
        <is>
          <t>Source assignment -- not individually reviewed</t>
        </is>
      </c>
      <c r="J1335" s="23" t="inlineStr"/>
      <c r="K1335" s="23" t="inlineStr">
        <is>
          <t>Source assignment</t>
        </is>
      </c>
      <c r="L1335" s="23" t="inlineStr"/>
      <c r="M1335" s="23" t="inlineStr">
        <is>
          <t>Cost &amp; Forecast Control Accounts Cycle 2</t>
        </is>
      </c>
      <c r="N1335" s="23" t="inlineStr">
        <is>
          <t>Rev 1</t>
        </is>
      </c>
      <c r="O1335" s="23" t="inlineStr">
        <is>
          <t>R1514-v2</t>
        </is>
      </c>
      <c r="P1335" s="23" t="inlineStr"/>
      <c r="Q1335" s="23" t="inlineStr"/>
      <c r="R1335" s="23" t="inlineStr"/>
      <c r="S1335" s="23" t="inlineStr"/>
      <c r="T1335" s="23" t="inlineStr"/>
      <c r="U1335" s="23" t="inlineStr"/>
      <c r="V1335" s="23" t="inlineStr">
        <is>
          <t>Cost Account = CA-6032; WBS Code = 1.6.2</t>
        </is>
      </c>
      <c r="W1335" s="23" t="inlineStr"/>
    </row>
    <row r="1336" ht="64" customHeight="1">
      <c r="A1336" s="23" t="inlineStr">
        <is>
          <t>1.6.2</t>
        </is>
      </c>
      <c r="B1336" s="23" t="inlineStr">
        <is>
          <t>Program Management - Commercial &amp; Procurement</t>
        </is>
      </c>
      <c r="C1336" s="23" t="inlineStr">
        <is>
          <t>Cost &amp; Forecast Control Accounts</t>
        </is>
      </c>
      <c r="D1336" s="23" t="inlineStr">
        <is>
          <t>CST-06-034</t>
        </is>
      </c>
      <c r="E1336" s="23" t="inlineStr">
        <is>
          <t>Program Management - design integration - field package</t>
        </is>
      </c>
      <c r="F1336" s="23" t="inlineStr">
        <is>
          <t>ONE_TO_ONE</t>
        </is>
      </c>
      <c r="G1336" s="23" t="inlineStr">
        <is>
          <t>RETAINED</t>
        </is>
      </c>
      <c r="H1336" s="23" t="inlineStr">
        <is>
          <t>Carried forward</t>
        </is>
      </c>
      <c r="I1336" s="23" t="inlineStr">
        <is>
          <t>Source assignment -- not individually reviewed</t>
        </is>
      </c>
      <c r="J1336" s="23" t="inlineStr"/>
      <c r="K1336" s="23" t="inlineStr">
        <is>
          <t>Source assignment</t>
        </is>
      </c>
      <c r="L1336" s="23" t="inlineStr"/>
      <c r="M1336" s="23" t="inlineStr">
        <is>
          <t>Cost &amp; Forecast Control Accounts Cycle 2</t>
        </is>
      </c>
      <c r="N1336" s="23" t="inlineStr">
        <is>
          <t>Rev 1</t>
        </is>
      </c>
      <c r="O1336" s="23" t="inlineStr">
        <is>
          <t>R1516-v2</t>
        </is>
      </c>
      <c r="P1336" s="23" t="inlineStr"/>
      <c r="Q1336" s="23" t="inlineStr"/>
      <c r="R1336" s="23" t="inlineStr"/>
      <c r="S1336" s="23" t="inlineStr"/>
      <c r="T1336" s="23" t="inlineStr"/>
      <c r="U1336" s="23" t="inlineStr"/>
      <c r="V1336" s="23" t="inlineStr">
        <is>
          <t>Cost Account = CA-6034; WBS Code = 1.6.2</t>
        </is>
      </c>
      <c r="W1336" s="23" t="inlineStr"/>
    </row>
    <row r="1337" ht="64" customHeight="1">
      <c r="A1337" s="23" t="inlineStr">
        <is>
          <t>1.6.2</t>
        </is>
      </c>
      <c r="B1337" s="23" t="inlineStr">
        <is>
          <t>Program Management - Commercial &amp; Procurement</t>
        </is>
      </c>
      <c r="C1337" s="23" t="inlineStr">
        <is>
          <t>Cost &amp; Forecast Control Accounts</t>
        </is>
      </c>
      <c r="D1337" s="23" t="inlineStr">
        <is>
          <t>CST-06-036</t>
        </is>
      </c>
      <c r="E1337" s="23" t="inlineStr">
        <is>
          <t>Program Management - program controls - professional services</t>
        </is>
      </c>
      <c r="F1337" s="23" t="inlineStr">
        <is>
          <t>ONE_TO_ONE</t>
        </is>
      </c>
      <c r="G1337" s="23" t="inlineStr">
        <is>
          <t>RETAINED</t>
        </is>
      </c>
      <c r="H1337" s="23" t="inlineStr">
        <is>
          <t>Carried forward</t>
        </is>
      </c>
      <c r="I1337" s="23" t="inlineStr">
        <is>
          <t>Source assignment -- not individually reviewed</t>
        </is>
      </c>
      <c r="J1337" s="23" t="inlineStr"/>
      <c r="K1337" s="23" t="inlineStr">
        <is>
          <t>Source assignment</t>
        </is>
      </c>
      <c r="L1337" s="23" t="inlineStr"/>
      <c r="M1337" s="23" t="inlineStr">
        <is>
          <t>Cost &amp; Forecast Control Accounts Cycle 2</t>
        </is>
      </c>
      <c r="N1337" s="23" t="inlineStr">
        <is>
          <t>Rev 1</t>
        </is>
      </c>
      <c r="O1337" s="23" t="inlineStr">
        <is>
          <t>R1518-v2</t>
        </is>
      </c>
      <c r="P1337" s="23" t="inlineStr"/>
      <c r="Q1337" s="23" t="inlineStr"/>
      <c r="R1337" s="23" t="inlineStr"/>
      <c r="S1337" s="23" t="inlineStr"/>
      <c r="T1337" s="23" t="inlineStr"/>
      <c r="U1337" s="23" t="inlineStr"/>
      <c r="V1337" s="23" t="inlineStr">
        <is>
          <t>Cost Account = CA-6036; WBS Code = 1.6.2</t>
        </is>
      </c>
      <c r="W1337" s="23" t="inlineStr"/>
    </row>
    <row r="1338" ht="64" customHeight="1">
      <c r="A1338" s="23" t="inlineStr">
        <is>
          <t>1.6.2</t>
        </is>
      </c>
      <c r="B1338" s="23" t="inlineStr">
        <is>
          <t>Program Management - Commercial &amp; Procurement</t>
        </is>
      </c>
      <c r="C1338" s="23" t="inlineStr">
        <is>
          <t>Cost &amp; Forecast Control Accounts</t>
        </is>
      </c>
      <c r="D1338" s="23" t="inlineStr">
        <is>
          <t>CST-06-038</t>
        </is>
      </c>
      <c r="E1338" s="23" t="inlineStr">
        <is>
          <t>Program Management - stakeholder services - closeout</t>
        </is>
      </c>
      <c r="F1338" s="23" t="inlineStr">
        <is>
          <t>ONE_TO_ONE</t>
        </is>
      </c>
      <c r="G1338" s="23" t="inlineStr">
        <is>
          <t>RETAINED</t>
        </is>
      </c>
      <c r="H1338" s="23" t="inlineStr">
        <is>
          <t>Carried forward</t>
        </is>
      </c>
      <c r="I1338" s="23" t="inlineStr">
        <is>
          <t>Source assignment -- not individually reviewed</t>
        </is>
      </c>
      <c r="J1338" s="23" t="inlineStr"/>
      <c r="K1338" s="23" t="inlineStr">
        <is>
          <t>Source assignment</t>
        </is>
      </c>
      <c r="L1338" s="23" t="inlineStr"/>
      <c r="M1338" s="23" t="inlineStr">
        <is>
          <t>Cost &amp; Forecast Control Accounts Cycle 2</t>
        </is>
      </c>
      <c r="N1338" s="23" t="inlineStr">
        <is>
          <t>Rev 1</t>
        </is>
      </c>
      <c r="O1338" s="23" t="inlineStr">
        <is>
          <t>R1520-v2</t>
        </is>
      </c>
      <c r="P1338" s="23" t="inlineStr"/>
      <c r="Q1338" s="23" t="inlineStr"/>
      <c r="R1338" s="23" t="inlineStr"/>
      <c r="S1338" s="23" t="inlineStr"/>
      <c r="T1338" s="23" t="inlineStr"/>
      <c r="U1338" s="23" t="inlineStr"/>
      <c r="V1338" s="23" t="inlineStr">
        <is>
          <t>Cost Account = CA-6038; WBS Code = 1.6.2</t>
        </is>
      </c>
      <c r="W1338" s="23" t="inlineStr"/>
    </row>
    <row r="1339" ht="64" customHeight="1">
      <c r="A1339" s="23" t="inlineStr">
        <is>
          <t>1.6.2</t>
        </is>
      </c>
      <c r="B1339" s="23" t="inlineStr">
        <is>
          <t>Program Management - Commercial &amp; Procurement</t>
        </is>
      </c>
      <c r="C1339" s="23" t="inlineStr">
        <is>
          <t>Cost &amp; Forecast Control Accounts</t>
        </is>
      </c>
      <c r="D1339" s="23" t="inlineStr">
        <is>
          <t>CST-06-040</t>
        </is>
      </c>
      <c r="E1339" s="23" t="inlineStr">
        <is>
          <t>Program Management - design integration - supply and install</t>
        </is>
      </c>
      <c r="F1339" s="23" t="inlineStr">
        <is>
          <t>ONE_TO_ONE</t>
        </is>
      </c>
      <c r="G1339" s="23" t="inlineStr">
        <is>
          <t>RETAINED</t>
        </is>
      </c>
      <c r="H1339" s="23" t="inlineStr">
        <is>
          <t>Carried forward</t>
        </is>
      </c>
      <c r="I1339" s="23" t="inlineStr">
        <is>
          <t>Source assignment -- not individually reviewed</t>
        </is>
      </c>
      <c r="J1339" s="23" t="inlineStr"/>
      <c r="K1339" s="23" t="inlineStr">
        <is>
          <t>Source assignment</t>
        </is>
      </c>
      <c r="L1339" s="23" t="inlineStr"/>
      <c r="M1339" s="23" t="inlineStr">
        <is>
          <t>Cost &amp; Forecast Control Accounts Cycle 2</t>
        </is>
      </c>
      <c r="N1339" s="23" t="inlineStr">
        <is>
          <t>Rev 1</t>
        </is>
      </c>
      <c r="O1339" s="23" t="inlineStr">
        <is>
          <t>R1522-v2</t>
        </is>
      </c>
      <c r="P1339" s="23" t="inlineStr"/>
      <c r="Q1339" s="23" t="inlineStr"/>
      <c r="R1339" s="23" t="inlineStr"/>
      <c r="S1339" s="23" t="inlineStr"/>
      <c r="T1339" s="23" t="inlineStr"/>
      <c r="U1339" s="23" t="inlineStr"/>
      <c r="V1339" s="23" t="inlineStr">
        <is>
          <t>Cost Account = CA-6040; WBS Code = 1.6.2</t>
        </is>
      </c>
      <c r="W1339" s="23" t="inlineStr"/>
    </row>
    <row r="1340" ht="64" customHeight="1">
      <c r="A1340" s="23" t="inlineStr">
        <is>
          <t>1.6.2</t>
        </is>
      </c>
      <c r="B1340" s="23" t="inlineStr">
        <is>
          <t>Program Management - Commercial &amp; Procurement</t>
        </is>
      </c>
      <c r="C1340" s="23" t="inlineStr">
        <is>
          <t>Cost &amp; Forecast Control Accounts</t>
        </is>
      </c>
      <c r="D1340" s="23" t="inlineStr">
        <is>
          <t>CST-06-042</t>
        </is>
      </c>
      <c r="E1340" s="23" t="inlineStr">
        <is>
          <t>Program Management - program controls - allowance</t>
        </is>
      </c>
      <c r="F1340" s="23" t="inlineStr">
        <is>
          <t>ONE_TO_ONE</t>
        </is>
      </c>
      <c r="G1340" s="23" t="inlineStr">
        <is>
          <t>RETAINED</t>
        </is>
      </c>
      <c r="H1340" s="23" t="inlineStr">
        <is>
          <t>Carried forward</t>
        </is>
      </c>
      <c r="I1340" s="23" t="inlineStr">
        <is>
          <t>Source assignment -- not individually reviewed</t>
        </is>
      </c>
      <c r="J1340" s="23" t="inlineStr"/>
      <c r="K1340" s="23" t="inlineStr">
        <is>
          <t>Source assignment</t>
        </is>
      </c>
      <c r="L1340" s="23" t="inlineStr"/>
      <c r="M1340" s="23" t="inlineStr">
        <is>
          <t>Cost &amp; Forecast Control Accounts Cycle 2</t>
        </is>
      </c>
      <c r="N1340" s="23" t="inlineStr">
        <is>
          <t>Rev 1</t>
        </is>
      </c>
      <c r="O1340" s="23" t="inlineStr">
        <is>
          <t>R1524-v2</t>
        </is>
      </c>
      <c r="P1340" s="23" t="inlineStr"/>
      <c r="Q1340" s="23" t="inlineStr"/>
      <c r="R1340" s="23" t="inlineStr"/>
      <c r="S1340" s="23" t="inlineStr"/>
      <c r="T1340" s="23" t="inlineStr"/>
      <c r="U1340" s="23" t="inlineStr"/>
      <c r="V1340" s="23" t="inlineStr">
        <is>
          <t>Cost Account = CA-6042; WBS Code = 1.6.2</t>
        </is>
      </c>
      <c r="W1340" s="23" t="inlineStr"/>
    </row>
    <row r="1341" ht="64" customHeight="1">
      <c r="A1341" s="23" t="inlineStr">
        <is>
          <t>1.6.2</t>
        </is>
      </c>
      <c r="B1341" s="23" t="inlineStr">
        <is>
          <t>Program Management - Commercial &amp; Procurement</t>
        </is>
      </c>
      <c r="C1341" s="23" t="inlineStr">
        <is>
          <t>Cost &amp; Forecast Control Accounts</t>
        </is>
      </c>
      <c r="D1341" s="23" t="inlineStr">
        <is>
          <t>CST-06-044</t>
        </is>
      </c>
      <c r="E1341" s="23" t="inlineStr">
        <is>
          <t>Program Management - stakeholder services - field package</t>
        </is>
      </c>
      <c r="F1341" s="23" t="inlineStr">
        <is>
          <t>ONE_TO_ONE</t>
        </is>
      </c>
      <c r="G1341" s="23" t="inlineStr">
        <is>
          <t>RETAINED</t>
        </is>
      </c>
      <c r="H1341" s="23" t="inlineStr">
        <is>
          <t>Carried forward</t>
        </is>
      </c>
      <c r="I1341" s="23" t="inlineStr">
        <is>
          <t>Source assignment -- not individually reviewed</t>
        </is>
      </c>
      <c r="J1341" s="23" t="inlineStr"/>
      <c r="K1341" s="23" t="inlineStr">
        <is>
          <t>Source assignment</t>
        </is>
      </c>
      <c r="L1341" s="23" t="inlineStr"/>
      <c r="M1341" s="23" t="inlineStr">
        <is>
          <t>Cost &amp; Forecast Control Accounts Cycle 2</t>
        </is>
      </c>
      <c r="N1341" s="23" t="inlineStr">
        <is>
          <t>Rev 1</t>
        </is>
      </c>
      <c r="O1341" s="23" t="inlineStr">
        <is>
          <t>R1526-v2</t>
        </is>
      </c>
      <c r="P1341" s="23" t="inlineStr"/>
      <c r="Q1341" s="23" t="inlineStr"/>
      <c r="R1341" s="23" t="inlineStr"/>
      <c r="S1341" s="23" t="inlineStr"/>
      <c r="T1341" s="23" t="inlineStr"/>
      <c r="U1341" s="23" t="inlineStr"/>
      <c r="V1341" s="23" t="inlineStr">
        <is>
          <t>Cost Account = CA-6044; WBS Code = 1.6.2</t>
        </is>
      </c>
      <c r="W1341" s="23" t="inlineStr"/>
    </row>
    <row r="1342" ht="64" customHeight="1">
      <c r="A1342" s="23" t="inlineStr">
        <is>
          <t>1.6.2</t>
        </is>
      </c>
      <c r="B1342" s="23" t="inlineStr">
        <is>
          <t>Program Management - Commercial &amp; Procurement</t>
        </is>
      </c>
      <c r="C1342" s="23" t="inlineStr">
        <is>
          <t>Cost &amp; Forecast Control Accounts</t>
        </is>
      </c>
      <c r="D1342" s="23" t="inlineStr">
        <is>
          <t>CST-06-046</t>
        </is>
      </c>
      <c r="E1342" s="23" t="inlineStr">
        <is>
          <t>Program Management - design integration - professional services</t>
        </is>
      </c>
      <c r="F1342" s="23" t="inlineStr">
        <is>
          <t>ONE_TO_ONE</t>
        </is>
      </c>
      <c r="G1342" s="23" t="inlineStr">
        <is>
          <t>RETAINED</t>
        </is>
      </c>
      <c r="H1342" s="23" t="inlineStr">
        <is>
          <t>Carried forward</t>
        </is>
      </c>
      <c r="I1342" s="23" t="inlineStr">
        <is>
          <t>Source assignment -- not individually reviewed</t>
        </is>
      </c>
      <c r="J1342" s="23" t="inlineStr"/>
      <c r="K1342" s="23" t="inlineStr">
        <is>
          <t>Source assignment</t>
        </is>
      </c>
      <c r="L1342" s="23" t="inlineStr"/>
      <c r="M1342" s="23" t="inlineStr">
        <is>
          <t>Cost &amp; Forecast Control Accounts Cycle 2</t>
        </is>
      </c>
      <c r="N1342" s="23" t="inlineStr">
        <is>
          <t>Rev 1</t>
        </is>
      </c>
      <c r="O1342" s="23" t="inlineStr">
        <is>
          <t>R1528-v2</t>
        </is>
      </c>
      <c r="P1342" s="23" t="inlineStr"/>
      <c r="Q1342" s="23" t="inlineStr"/>
      <c r="R1342" s="23" t="inlineStr"/>
      <c r="S1342" s="23" t="inlineStr"/>
      <c r="T1342" s="23" t="inlineStr"/>
      <c r="U1342" s="23" t="inlineStr"/>
      <c r="V1342" s="23" t="inlineStr">
        <is>
          <t>Cost Account = CA-6046; WBS Code = 1.6.2</t>
        </is>
      </c>
      <c r="W1342" s="23" t="inlineStr"/>
    </row>
    <row r="1343" ht="64" customHeight="1">
      <c r="A1343" s="23" t="inlineStr">
        <is>
          <t>1.6.2</t>
        </is>
      </c>
      <c r="B1343" s="23" t="inlineStr">
        <is>
          <t>Program Management - Commercial &amp; Procurement</t>
        </is>
      </c>
      <c r="C1343" s="23" t="inlineStr">
        <is>
          <t>Cost &amp; Forecast Control Accounts</t>
        </is>
      </c>
      <c r="D1343" s="23" t="inlineStr">
        <is>
          <t>CST-06-048</t>
        </is>
      </c>
      <c r="E1343" s="23" t="inlineStr">
        <is>
          <t>Program Management - program controls - closeout</t>
        </is>
      </c>
      <c r="F1343" s="23" t="inlineStr">
        <is>
          <t>ONE_TO_ONE</t>
        </is>
      </c>
      <c r="G1343" s="23" t="inlineStr">
        <is>
          <t>RETAINED</t>
        </is>
      </c>
      <c r="H1343" s="23" t="inlineStr">
        <is>
          <t>Carried forward</t>
        </is>
      </c>
      <c r="I1343" s="23" t="inlineStr">
        <is>
          <t>Source assignment -- not individually reviewed</t>
        </is>
      </c>
      <c r="J1343" s="23" t="inlineStr"/>
      <c r="K1343" s="23" t="inlineStr">
        <is>
          <t>Source assignment</t>
        </is>
      </c>
      <c r="L1343" s="23" t="inlineStr"/>
      <c r="M1343" s="23" t="inlineStr">
        <is>
          <t>Cost &amp; Forecast Control Accounts Cycle 2</t>
        </is>
      </c>
      <c r="N1343" s="23" t="inlineStr">
        <is>
          <t>Rev 1</t>
        </is>
      </c>
      <c r="O1343" s="23" t="inlineStr">
        <is>
          <t>R1530-v2</t>
        </is>
      </c>
      <c r="P1343" s="23" t="inlineStr"/>
      <c r="Q1343" s="23" t="inlineStr"/>
      <c r="R1343" s="23" t="inlineStr"/>
      <c r="S1343" s="23" t="inlineStr"/>
      <c r="T1343" s="23" t="inlineStr"/>
      <c r="U1343" s="23" t="inlineStr"/>
      <c r="V1343" s="23" t="inlineStr">
        <is>
          <t>Cost Account = CA-6048; WBS Code = 1.6.2</t>
        </is>
      </c>
      <c r="W1343" s="23" t="inlineStr"/>
    </row>
    <row r="1344" ht="64" customHeight="1">
      <c r="A1344" s="23" t="inlineStr">
        <is>
          <t>1.6.2</t>
        </is>
      </c>
      <c r="B1344" s="23" t="inlineStr">
        <is>
          <t>Program Management - Commercial &amp; Procurement</t>
        </is>
      </c>
      <c r="C1344" s="23" t="inlineStr">
        <is>
          <t>Cost &amp; Forecast Control Accounts</t>
        </is>
      </c>
      <c r="D1344" s="23" t="inlineStr">
        <is>
          <t>CST-06-050</t>
        </is>
      </c>
      <c r="E1344" s="23" t="inlineStr">
        <is>
          <t>Program Management - stakeholder services - supply and install</t>
        </is>
      </c>
      <c r="F1344" s="23" t="inlineStr">
        <is>
          <t>ONE_TO_ONE</t>
        </is>
      </c>
      <c r="G1344" s="23" t="inlineStr">
        <is>
          <t>RETAINED</t>
        </is>
      </c>
      <c r="H1344" s="23" t="inlineStr">
        <is>
          <t>Carried forward</t>
        </is>
      </c>
      <c r="I1344" s="23" t="inlineStr">
        <is>
          <t>Source assignment -- not individually reviewed</t>
        </is>
      </c>
      <c r="J1344" s="23" t="inlineStr"/>
      <c r="K1344" s="23" t="inlineStr">
        <is>
          <t>Source assignment</t>
        </is>
      </c>
      <c r="L1344" s="23" t="inlineStr"/>
      <c r="M1344" s="23" t="inlineStr">
        <is>
          <t>Cost &amp; Forecast Control Accounts Cycle 2</t>
        </is>
      </c>
      <c r="N1344" s="23" t="inlineStr">
        <is>
          <t>Rev 1</t>
        </is>
      </c>
      <c r="O1344" s="23" t="inlineStr">
        <is>
          <t>R1532-v2</t>
        </is>
      </c>
      <c r="P1344" s="23" t="inlineStr"/>
      <c r="Q1344" s="23" t="inlineStr"/>
      <c r="R1344" s="23" t="inlineStr"/>
      <c r="S1344" s="23" t="inlineStr"/>
      <c r="T1344" s="23" t="inlineStr"/>
      <c r="U1344" s="23" t="inlineStr"/>
      <c r="V1344" s="23" t="inlineStr">
        <is>
          <t>Cost Account = CA-6050; WBS Code = 1.6.2</t>
        </is>
      </c>
      <c r="W1344" s="23" t="inlineStr"/>
    </row>
    <row r="1345" ht="64" customHeight="1">
      <c r="A1345" s="23" t="inlineStr">
        <is>
          <t>1.6.2</t>
        </is>
      </c>
      <c r="B1345" s="23" t="inlineStr">
        <is>
          <t>Program Management - Commercial &amp; Procurement</t>
        </is>
      </c>
      <c r="C1345" s="23" t="inlineStr">
        <is>
          <t>Cost &amp; Forecast Control Accounts</t>
        </is>
      </c>
      <c r="D1345" s="23" t="inlineStr">
        <is>
          <t>CST-06-052</t>
        </is>
      </c>
      <c r="E1345" s="23" t="inlineStr">
        <is>
          <t>Program Management - design integration - allowance</t>
        </is>
      </c>
      <c r="F1345" s="23" t="inlineStr">
        <is>
          <t>ONE_TO_ONE</t>
        </is>
      </c>
      <c r="G1345" s="23" t="inlineStr">
        <is>
          <t>RETAINED</t>
        </is>
      </c>
      <c r="H1345" s="23" t="inlineStr">
        <is>
          <t>Carried forward</t>
        </is>
      </c>
      <c r="I1345" s="23" t="inlineStr">
        <is>
          <t>Source assignment -- not individually reviewed</t>
        </is>
      </c>
      <c r="J1345" s="23" t="inlineStr"/>
      <c r="K1345" s="23" t="inlineStr">
        <is>
          <t>Source assignment</t>
        </is>
      </c>
      <c r="L1345" s="23" t="inlineStr"/>
      <c r="M1345" s="23" t="inlineStr">
        <is>
          <t>Cost &amp; Forecast Control Accounts Cycle 2</t>
        </is>
      </c>
      <c r="N1345" s="23" t="inlineStr">
        <is>
          <t>Rev 1</t>
        </is>
      </c>
      <c r="O1345" s="23" t="inlineStr">
        <is>
          <t>R1534-v2</t>
        </is>
      </c>
      <c r="P1345" s="23" t="inlineStr"/>
      <c r="Q1345" s="23" t="inlineStr"/>
      <c r="R1345" s="23" t="inlineStr"/>
      <c r="S1345" s="23" t="inlineStr"/>
      <c r="T1345" s="23" t="inlineStr"/>
      <c r="U1345" s="23" t="inlineStr"/>
      <c r="V1345" s="23" t="inlineStr">
        <is>
          <t>Cost Account = CA-6052; WBS Code = 1.6.2</t>
        </is>
      </c>
      <c r="W1345" s="23" t="inlineStr"/>
    </row>
    <row r="1346" ht="64" customHeight="1">
      <c r="A1346" s="23" t="inlineStr">
        <is>
          <t>1.6.2</t>
        </is>
      </c>
      <c r="B1346" s="23" t="inlineStr">
        <is>
          <t>Program Management - Commercial &amp; Procurement</t>
        </is>
      </c>
      <c r="C1346" s="23" t="inlineStr">
        <is>
          <t>Cost &amp; Forecast Control Accounts</t>
        </is>
      </c>
      <c r="D1346" s="23" t="inlineStr">
        <is>
          <t>CST-06-054</t>
        </is>
      </c>
      <c r="E1346" s="23" t="inlineStr">
        <is>
          <t>Program Management - program controls - field package</t>
        </is>
      </c>
      <c r="F1346" s="23" t="inlineStr">
        <is>
          <t>ONE_TO_ONE</t>
        </is>
      </c>
      <c r="G1346" s="23" t="inlineStr">
        <is>
          <t>RETAINED</t>
        </is>
      </c>
      <c r="H1346" s="23" t="inlineStr">
        <is>
          <t>Carried forward</t>
        </is>
      </c>
      <c r="I1346" s="23" t="inlineStr">
        <is>
          <t>Source assignment -- not individually reviewed</t>
        </is>
      </c>
      <c r="J1346" s="23" t="inlineStr"/>
      <c r="K1346" s="23" t="inlineStr">
        <is>
          <t>Source assignment</t>
        </is>
      </c>
      <c r="L1346" s="23" t="inlineStr"/>
      <c r="M1346" s="23" t="inlineStr">
        <is>
          <t>Cost &amp; Forecast Control Accounts Cycle 2</t>
        </is>
      </c>
      <c r="N1346" s="23" t="inlineStr">
        <is>
          <t>Rev 1</t>
        </is>
      </c>
      <c r="O1346" s="23" t="inlineStr">
        <is>
          <t>R1536-v2</t>
        </is>
      </c>
      <c r="P1346" s="23" t="inlineStr"/>
      <c r="Q1346" s="23" t="inlineStr"/>
      <c r="R1346" s="23" t="inlineStr"/>
      <c r="S1346" s="23" t="inlineStr"/>
      <c r="T1346" s="23" t="inlineStr"/>
      <c r="U1346" s="23" t="inlineStr"/>
      <c r="V1346" s="23" t="inlineStr">
        <is>
          <t>Cost Account = CA-6054; WBS Code = 1.6.2</t>
        </is>
      </c>
      <c r="W1346" s="23" t="inlineStr"/>
    </row>
    <row r="1347" ht="64" customHeight="1">
      <c r="A1347" s="23" t="inlineStr">
        <is>
          <t>1.6.2</t>
        </is>
      </c>
      <c r="B1347" s="23" t="inlineStr">
        <is>
          <t>Program Management - Commercial &amp; Procurement</t>
        </is>
      </c>
      <c r="C1347" s="23" t="inlineStr">
        <is>
          <t>Cost &amp; Forecast Control Accounts</t>
        </is>
      </c>
      <c r="D1347" s="23" t="inlineStr">
        <is>
          <t>CST-06-056</t>
        </is>
      </c>
      <c r="E1347" s="23" t="inlineStr">
        <is>
          <t>Program Management - stakeholder services - professional services</t>
        </is>
      </c>
      <c r="F1347" s="23" t="inlineStr">
        <is>
          <t>ONE_TO_ONE</t>
        </is>
      </c>
      <c r="G1347" s="23" t="inlineStr">
        <is>
          <t>RETAINED</t>
        </is>
      </c>
      <c r="H1347" s="23" t="inlineStr">
        <is>
          <t>Carried forward</t>
        </is>
      </c>
      <c r="I1347" s="23" t="inlineStr">
        <is>
          <t>Source assignment -- not individually reviewed</t>
        </is>
      </c>
      <c r="J1347" s="23" t="inlineStr"/>
      <c r="K1347" s="23" t="inlineStr">
        <is>
          <t>Source assignment</t>
        </is>
      </c>
      <c r="L1347" s="23" t="inlineStr"/>
      <c r="M1347" s="23" t="inlineStr">
        <is>
          <t>Cost &amp; Forecast Control Accounts Cycle 2</t>
        </is>
      </c>
      <c r="N1347" s="23" t="inlineStr">
        <is>
          <t>Rev 1</t>
        </is>
      </c>
      <c r="O1347" s="23" t="inlineStr">
        <is>
          <t>R1538-v2</t>
        </is>
      </c>
      <c r="P1347" s="23" t="inlineStr"/>
      <c r="Q1347" s="23" t="inlineStr"/>
      <c r="R1347" s="23" t="inlineStr"/>
      <c r="S1347" s="23" t="inlineStr"/>
      <c r="T1347" s="23" t="inlineStr"/>
      <c r="U1347" s="23" t="inlineStr"/>
      <c r="V1347" s="23" t="inlineStr">
        <is>
          <t>Cost Account = CA-6056; WBS Code = 1.6.2</t>
        </is>
      </c>
      <c r="W1347" s="23" t="inlineStr"/>
    </row>
    <row r="1348" ht="64" customHeight="1">
      <c r="A1348" s="23" t="inlineStr">
        <is>
          <t>1.6.2</t>
        </is>
      </c>
      <c r="B1348" s="23" t="inlineStr">
        <is>
          <t>Program Management - Commercial &amp; Procurement</t>
        </is>
      </c>
      <c r="C1348" s="23" t="inlineStr">
        <is>
          <t>Cost &amp; Forecast Control Accounts</t>
        </is>
      </c>
      <c r="D1348" s="23" t="inlineStr">
        <is>
          <t>CST-06-058</t>
        </is>
      </c>
      <c r="E1348" s="23" t="inlineStr">
        <is>
          <t>Program Management - design integration - closeout</t>
        </is>
      </c>
      <c r="F1348" s="23" t="inlineStr">
        <is>
          <t>ONE_TO_ONE</t>
        </is>
      </c>
      <c r="G1348" s="23" t="inlineStr">
        <is>
          <t>RETAINED</t>
        </is>
      </c>
      <c r="H1348" s="23" t="inlineStr">
        <is>
          <t>Carried forward</t>
        </is>
      </c>
      <c r="I1348" s="23" t="inlineStr">
        <is>
          <t>Source assignment -- not individually reviewed</t>
        </is>
      </c>
      <c r="J1348" s="23" t="inlineStr"/>
      <c r="K1348" s="23" t="inlineStr">
        <is>
          <t>Source assignment</t>
        </is>
      </c>
      <c r="L1348" s="23" t="inlineStr"/>
      <c r="M1348" s="23" t="inlineStr">
        <is>
          <t>Cost &amp; Forecast Control Accounts Cycle 2</t>
        </is>
      </c>
      <c r="N1348" s="23" t="inlineStr">
        <is>
          <t>Rev 1</t>
        </is>
      </c>
      <c r="O1348" s="23" t="inlineStr">
        <is>
          <t>R1540-v2</t>
        </is>
      </c>
      <c r="P1348" s="23" t="inlineStr"/>
      <c r="Q1348" s="23" t="inlineStr"/>
      <c r="R1348" s="23" t="inlineStr"/>
      <c r="S1348" s="23" t="inlineStr"/>
      <c r="T1348" s="23" t="inlineStr"/>
      <c r="U1348" s="23" t="inlineStr"/>
      <c r="V1348" s="23" t="inlineStr">
        <is>
          <t>Cost Account = CA-6058; WBS Code = 1.6.2</t>
        </is>
      </c>
      <c r="W1348" s="23" t="inlineStr"/>
    </row>
    <row r="1349" ht="64" customHeight="1">
      <c r="A1349" s="23" t="inlineStr">
        <is>
          <t>1.6.2</t>
        </is>
      </c>
      <c r="B1349" s="23" t="inlineStr">
        <is>
          <t>Program Management - Commercial &amp; Procurement</t>
        </is>
      </c>
      <c r="C1349" s="23" t="inlineStr">
        <is>
          <t>Cost &amp; Forecast Control Accounts</t>
        </is>
      </c>
      <c r="D1349" s="23" t="inlineStr">
        <is>
          <t>CST-06-060</t>
        </is>
      </c>
      <c r="E1349" s="23" t="inlineStr">
        <is>
          <t>Program Management - program controls - supply and install</t>
        </is>
      </c>
      <c r="F1349" s="23" t="inlineStr">
        <is>
          <t>ONE_TO_ONE</t>
        </is>
      </c>
      <c r="G1349" s="23" t="inlineStr">
        <is>
          <t>RETAINED</t>
        </is>
      </c>
      <c r="H1349" s="23" t="inlineStr">
        <is>
          <t>Carried forward</t>
        </is>
      </c>
      <c r="I1349" s="23" t="inlineStr">
        <is>
          <t>Source assignment -- not individually reviewed</t>
        </is>
      </c>
      <c r="J1349" s="23" t="inlineStr"/>
      <c r="K1349" s="23" t="inlineStr">
        <is>
          <t>Source assignment</t>
        </is>
      </c>
      <c r="L1349" s="23" t="inlineStr"/>
      <c r="M1349" s="23" t="inlineStr">
        <is>
          <t>Cost &amp; Forecast Control Accounts Cycle 2</t>
        </is>
      </c>
      <c r="N1349" s="23" t="inlineStr">
        <is>
          <t>Rev 1</t>
        </is>
      </c>
      <c r="O1349" s="23" t="inlineStr">
        <is>
          <t>R1542-v2</t>
        </is>
      </c>
      <c r="P1349" s="23" t="inlineStr"/>
      <c r="Q1349" s="23" t="inlineStr"/>
      <c r="R1349" s="23" t="inlineStr"/>
      <c r="S1349" s="23" t="inlineStr"/>
      <c r="T1349" s="23" t="inlineStr"/>
      <c r="U1349" s="23" t="inlineStr"/>
      <c r="V1349" s="23" t="inlineStr">
        <is>
          <t>Cost Account = CA-6060; WBS Code = 1.6.2</t>
        </is>
      </c>
      <c r="W1349" s="23" t="inlineStr"/>
    </row>
    <row r="1350" ht="64" customHeight="1">
      <c r="A1350" s="23" t="inlineStr">
        <is>
          <t>1.6.2</t>
        </is>
      </c>
      <c r="B1350" s="23" t="inlineStr">
        <is>
          <t>Program Management - Commercial &amp; Procurement</t>
        </is>
      </c>
      <c r="C1350" s="23" t="inlineStr">
        <is>
          <t>Cost &amp; Forecast Control Accounts</t>
        </is>
      </c>
      <c r="D1350" s="23" t="inlineStr">
        <is>
          <t>CST-06-062</t>
        </is>
      </c>
      <c r="E1350" s="23" t="inlineStr">
        <is>
          <t>Program Management - stakeholder services - allowance</t>
        </is>
      </c>
      <c r="F1350" s="23" t="inlineStr">
        <is>
          <t>ONE_TO_ONE</t>
        </is>
      </c>
      <c r="G1350" s="23" t="inlineStr">
        <is>
          <t>RETAINED</t>
        </is>
      </c>
      <c r="H1350" s="23" t="inlineStr">
        <is>
          <t>Carried forward</t>
        </is>
      </c>
      <c r="I1350" s="23" t="inlineStr">
        <is>
          <t>Source assignment -- not individually reviewed</t>
        </is>
      </c>
      <c r="J1350" s="23" t="inlineStr"/>
      <c r="K1350" s="23" t="inlineStr">
        <is>
          <t>Source assignment</t>
        </is>
      </c>
      <c r="L1350" s="23" t="inlineStr"/>
      <c r="M1350" s="23" t="inlineStr">
        <is>
          <t>Cost &amp; Forecast Control Accounts Cycle 2</t>
        </is>
      </c>
      <c r="N1350" s="23" t="inlineStr">
        <is>
          <t>Rev 1</t>
        </is>
      </c>
      <c r="O1350" s="23" t="inlineStr">
        <is>
          <t>R1544-v2</t>
        </is>
      </c>
      <c r="P1350" s="23" t="inlineStr"/>
      <c r="Q1350" s="23" t="inlineStr"/>
      <c r="R1350" s="23" t="inlineStr"/>
      <c r="S1350" s="23" t="inlineStr"/>
      <c r="T1350" s="23" t="inlineStr"/>
      <c r="U1350" s="23" t="inlineStr"/>
      <c r="V1350" s="23" t="inlineStr">
        <is>
          <t>Cost Account = CA-6062; WBS Code = 1.6.2</t>
        </is>
      </c>
      <c r="W1350" s="23" t="inlineStr"/>
    </row>
    <row r="1351" ht="64" customHeight="1">
      <c r="A1351" s="23" t="inlineStr">
        <is>
          <t>1.6.2</t>
        </is>
      </c>
      <c r="B1351" s="23" t="inlineStr">
        <is>
          <t>Program Management - Commercial &amp; Procurement</t>
        </is>
      </c>
      <c r="C1351" s="23" t="inlineStr">
        <is>
          <t>Cost &amp; Forecast Control Accounts</t>
        </is>
      </c>
      <c r="D1351" s="23" t="inlineStr">
        <is>
          <t>CST-06-064</t>
        </is>
      </c>
      <c r="E1351" s="23" t="inlineStr">
        <is>
          <t>Program Management - design integration - field package</t>
        </is>
      </c>
      <c r="F1351" s="23" t="inlineStr">
        <is>
          <t>ONE_TO_ONE</t>
        </is>
      </c>
      <c r="G1351" s="23" t="inlineStr">
        <is>
          <t>RETAINED</t>
        </is>
      </c>
      <c r="H1351" s="23" t="inlineStr">
        <is>
          <t>Carried forward</t>
        </is>
      </c>
      <c r="I1351" s="23" t="inlineStr">
        <is>
          <t>Source assignment -- not individually reviewed</t>
        </is>
      </c>
      <c r="J1351" s="23" t="inlineStr"/>
      <c r="K1351" s="23" t="inlineStr">
        <is>
          <t>Source assignment</t>
        </is>
      </c>
      <c r="L1351" s="23" t="inlineStr"/>
      <c r="M1351" s="23" t="inlineStr">
        <is>
          <t>Cost &amp; Forecast Control Accounts Cycle 2</t>
        </is>
      </c>
      <c r="N1351" s="23" t="inlineStr">
        <is>
          <t>Rev 1</t>
        </is>
      </c>
      <c r="O1351" s="23" t="inlineStr">
        <is>
          <t>R1546-v2</t>
        </is>
      </c>
      <c r="P1351" s="23" t="inlineStr"/>
      <c r="Q1351" s="23" t="inlineStr"/>
      <c r="R1351" s="23" t="inlineStr"/>
      <c r="S1351" s="23" t="inlineStr"/>
      <c r="T1351" s="23" t="inlineStr"/>
      <c r="U1351" s="23" t="inlineStr"/>
      <c r="V1351" s="23" t="inlineStr">
        <is>
          <t>Cost Account = CA-6064; WBS Code = 1.6.2</t>
        </is>
      </c>
      <c r="W1351" s="23" t="inlineStr"/>
    </row>
    <row r="1352" ht="64" customHeight="1">
      <c r="A1352" s="23" t="inlineStr">
        <is>
          <t>1.6.2</t>
        </is>
      </c>
      <c r="B1352" s="23" t="inlineStr">
        <is>
          <t>Program Management - Commercial &amp; Procurement</t>
        </is>
      </c>
      <c r="C1352" s="23" t="inlineStr">
        <is>
          <t>Cost &amp; Forecast Control Accounts</t>
        </is>
      </c>
      <c r="D1352" s="23" t="inlineStr">
        <is>
          <t>CST-06-066</t>
        </is>
      </c>
      <c r="E1352" s="23" t="inlineStr">
        <is>
          <t>Program Management - program controls - professional services</t>
        </is>
      </c>
      <c r="F1352" s="23" t="inlineStr">
        <is>
          <t>ONE_TO_ONE</t>
        </is>
      </c>
      <c r="G1352" s="23" t="inlineStr">
        <is>
          <t>RETAINED</t>
        </is>
      </c>
      <c r="H1352" s="23" t="inlineStr">
        <is>
          <t>Carried forward</t>
        </is>
      </c>
      <c r="I1352" s="23" t="inlineStr">
        <is>
          <t>Source assignment -- not individually reviewed</t>
        </is>
      </c>
      <c r="J1352" s="23" t="inlineStr"/>
      <c r="K1352" s="23" t="inlineStr">
        <is>
          <t>Source assignment</t>
        </is>
      </c>
      <c r="L1352" s="23" t="inlineStr"/>
      <c r="M1352" s="23" t="inlineStr">
        <is>
          <t>Cost &amp; Forecast Control Accounts Cycle 2</t>
        </is>
      </c>
      <c r="N1352" s="23" t="inlineStr">
        <is>
          <t>Rev 1</t>
        </is>
      </c>
      <c r="O1352" s="23" t="inlineStr">
        <is>
          <t>R1548-v2</t>
        </is>
      </c>
      <c r="P1352" s="23" t="inlineStr"/>
      <c r="Q1352" s="23" t="inlineStr"/>
      <c r="R1352" s="23" t="inlineStr"/>
      <c r="S1352" s="23" t="inlineStr"/>
      <c r="T1352" s="23" t="inlineStr"/>
      <c r="U1352" s="23" t="inlineStr"/>
      <c r="V1352" s="23" t="inlineStr">
        <is>
          <t>Cost Account = CA-6066; WBS Code = 1.6.2</t>
        </is>
      </c>
      <c r="W1352" s="23" t="inlineStr"/>
    </row>
    <row r="1353" ht="64" customHeight="1">
      <c r="A1353" s="23" t="inlineStr">
        <is>
          <t>1.6.2</t>
        </is>
      </c>
      <c r="B1353" s="23" t="inlineStr">
        <is>
          <t>Program Management - Commercial &amp; Procurement</t>
        </is>
      </c>
      <c r="C1353" s="23" t="inlineStr">
        <is>
          <t>Cost &amp; Forecast Control Accounts</t>
        </is>
      </c>
      <c r="D1353" s="23" t="inlineStr">
        <is>
          <t>CST-06-068</t>
        </is>
      </c>
      <c r="E1353" s="23" t="inlineStr">
        <is>
          <t>Program Management - stakeholder services - closeout</t>
        </is>
      </c>
      <c r="F1353" s="23" t="inlineStr">
        <is>
          <t>ONE_TO_ONE</t>
        </is>
      </c>
      <c r="G1353" s="23" t="inlineStr">
        <is>
          <t>RETAINED</t>
        </is>
      </c>
      <c r="H1353" s="23" t="inlineStr">
        <is>
          <t>Carried forward</t>
        </is>
      </c>
      <c r="I1353" s="23" t="inlineStr">
        <is>
          <t>Source assignment -- not individually reviewed</t>
        </is>
      </c>
      <c r="J1353" s="23" t="inlineStr"/>
      <c r="K1353" s="23" t="inlineStr">
        <is>
          <t>Source assignment</t>
        </is>
      </c>
      <c r="L1353" s="23" t="inlineStr"/>
      <c r="M1353" s="23" t="inlineStr">
        <is>
          <t>Cost &amp; Forecast Control Accounts Cycle 2</t>
        </is>
      </c>
      <c r="N1353" s="23" t="inlineStr">
        <is>
          <t>Rev 1</t>
        </is>
      </c>
      <c r="O1353" s="23" t="inlineStr">
        <is>
          <t>R1550-v2</t>
        </is>
      </c>
      <c r="P1353" s="23" t="inlineStr"/>
      <c r="Q1353" s="23" t="inlineStr"/>
      <c r="R1353" s="23" t="inlineStr"/>
      <c r="S1353" s="23" t="inlineStr"/>
      <c r="T1353" s="23" t="inlineStr"/>
      <c r="U1353" s="23" t="inlineStr"/>
      <c r="V1353" s="23" t="inlineStr">
        <is>
          <t>Cost Account = CA-6068; WBS Code = 1.6.2</t>
        </is>
      </c>
      <c r="W1353" s="23" t="inlineStr"/>
    </row>
    <row r="1354" ht="64" customHeight="1">
      <c r="A1354" s="23" t="inlineStr">
        <is>
          <t>1.6.2</t>
        </is>
      </c>
      <c r="B1354" s="23" t="inlineStr">
        <is>
          <t>Program Management - Commercial &amp; Procurement</t>
        </is>
      </c>
      <c r="C1354" s="23" t="inlineStr">
        <is>
          <t>Cost &amp; Forecast Control Accounts</t>
        </is>
      </c>
      <c r="D1354" s="23" t="inlineStr">
        <is>
          <t>CST-06-070</t>
        </is>
      </c>
      <c r="E1354" s="23" t="inlineStr">
        <is>
          <t>Program Management - design integration - supply and install</t>
        </is>
      </c>
      <c r="F1354" s="23" t="inlineStr">
        <is>
          <t>ONE_TO_ONE</t>
        </is>
      </c>
      <c r="G1354" s="23" t="inlineStr">
        <is>
          <t>RETAINED</t>
        </is>
      </c>
      <c r="H1354" s="23" t="inlineStr">
        <is>
          <t>Carried forward</t>
        </is>
      </c>
      <c r="I1354" s="23" t="inlineStr">
        <is>
          <t>Source assignment -- not individually reviewed</t>
        </is>
      </c>
      <c r="J1354" s="23" t="inlineStr"/>
      <c r="K1354" s="23" t="inlineStr">
        <is>
          <t>Source assignment</t>
        </is>
      </c>
      <c r="L1354" s="23" t="inlineStr"/>
      <c r="M1354" s="23" t="inlineStr">
        <is>
          <t>Cost &amp; Forecast Control Accounts Cycle 2</t>
        </is>
      </c>
      <c r="N1354" s="23" t="inlineStr">
        <is>
          <t>Rev 1</t>
        </is>
      </c>
      <c r="O1354" s="23" t="inlineStr">
        <is>
          <t>R1552-v2</t>
        </is>
      </c>
      <c r="P1354" s="23" t="inlineStr"/>
      <c r="Q1354" s="23" t="inlineStr"/>
      <c r="R1354" s="23" t="inlineStr"/>
      <c r="S1354" s="23" t="inlineStr"/>
      <c r="T1354" s="23" t="inlineStr"/>
      <c r="U1354" s="23" t="inlineStr"/>
      <c r="V1354" s="23" t="inlineStr">
        <is>
          <t>Cost Account = CA-6070; WBS Code = 1.6.2</t>
        </is>
      </c>
      <c r="W1354" s="23" t="inlineStr"/>
    </row>
    <row r="1355" ht="64" customHeight="1">
      <c r="A1355" s="23" t="inlineStr">
        <is>
          <t>1.6.2</t>
        </is>
      </c>
      <c r="B1355" s="23" t="inlineStr">
        <is>
          <t>Program Management - Commercial &amp; Procurement</t>
        </is>
      </c>
      <c r="C1355" s="23" t="inlineStr">
        <is>
          <t>Cost &amp; Forecast Control Accounts</t>
        </is>
      </c>
      <c r="D1355" s="23" t="inlineStr">
        <is>
          <t>CST-06-072</t>
        </is>
      </c>
      <c r="E1355" s="23" t="inlineStr">
        <is>
          <t>Program Management - program controls - allowance</t>
        </is>
      </c>
      <c r="F1355" s="23" t="inlineStr">
        <is>
          <t>ONE_TO_ONE</t>
        </is>
      </c>
      <c r="G1355" s="23" t="inlineStr">
        <is>
          <t>RETAINED</t>
        </is>
      </c>
      <c r="H1355" s="23" t="inlineStr">
        <is>
          <t>Carried forward</t>
        </is>
      </c>
      <c r="I1355" s="23" t="inlineStr">
        <is>
          <t>Source assignment -- not individually reviewed</t>
        </is>
      </c>
      <c r="J1355" s="23" t="inlineStr"/>
      <c r="K1355" s="23" t="inlineStr">
        <is>
          <t>Source assignment</t>
        </is>
      </c>
      <c r="L1355" s="23" t="inlineStr"/>
      <c r="M1355" s="23" t="inlineStr">
        <is>
          <t>Cost &amp; Forecast Control Accounts Cycle 2</t>
        </is>
      </c>
      <c r="N1355" s="23" t="inlineStr">
        <is>
          <t>Rev 1</t>
        </is>
      </c>
      <c r="O1355" s="23" t="inlineStr">
        <is>
          <t>R1554-v2</t>
        </is>
      </c>
      <c r="P1355" s="23" t="inlineStr"/>
      <c r="Q1355" s="23" t="inlineStr"/>
      <c r="R1355" s="23" t="inlineStr"/>
      <c r="S1355" s="23" t="inlineStr"/>
      <c r="T1355" s="23" t="inlineStr"/>
      <c r="U1355" s="23" t="inlineStr"/>
      <c r="V1355" s="23" t="inlineStr">
        <is>
          <t>Cost Account = CA-6072; WBS Code = 1.6.2</t>
        </is>
      </c>
      <c r="W1355" s="23" t="inlineStr"/>
    </row>
    <row r="1356" ht="64" customHeight="1">
      <c r="A1356" s="23" t="inlineStr">
        <is>
          <t>1.6.2</t>
        </is>
      </c>
      <c r="B1356" s="23" t="inlineStr">
        <is>
          <t>Program Management - Commercial &amp; Procurement</t>
        </is>
      </c>
      <c r="C1356" s="23" t="inlineStr">
        <is>
          <t>Cost &amp; Forecast Control Accounts</t>
        </is>
      </c>
      <c r="D1356" s="23" t="inlineStr">
        <is>
          <t>CST-06-074</t>
        </is>
      </c>
      <c r="E1356" s="23" t="inlineStr">
        <is>
          <t>Program Management - stakeholder services - field package</t>
        </is>
      </c>
      <c r="F1356" s="23" t="inlineStr">
        <is>
          <t>ONE_TO_ONE</t>
        </is>
      </c>
      <c r="G1356" s="23" t="inlineStr">
        <is>
          <t>RETAINED</t>
        </is>
      </c>
      <c r="H1356" s="23" t="inlineStr">
        <is>
          <t>Carried forward</t>
        </is>
      </c>
      <c r="I1356" s="23" t="inlineStr">
        <is>
          <t>Source assignment -- not individually reviewed</t>
        </is>
      </c>
      <c r="J1356" s="23" t="inlineStr"/>
      <c r="K1356" s="23" t="inlineStr">
        <is>
          <t>Source assignment</t>
        </is>
      </c>
      <c r="L1356" s="23" t="inlineStr"/>
      <c r="M1356" s="23" t="inlineStr">
        <is>
          <t>Cost &amp; Forecast Control Accounts Cycle 2</t>
        </is>
      </c>
      <c r="N1356" s="23" t="inlineStr">
        <is>
          <t>Rev 1</t>
        </is>
      </c>
      <c r="O1356" s="23" t="inlineStr">
        <is>
          <t>R1556-v2</t>
        </is>
      </c>
      <c r="P1356" s="23" t="inlineStr"/>
      <c r="Q1356" s="23" t="inlineStr"/>
      <c r="R1356" s="23" t="inlineStr"/>
      <c r="S1356" s="23" t="inlineStr"/>
      <c r="T1356" s="23" t="inlineStr"/>
      <c r="U1356" s="23" t="inlineStr"/>
      <c r="V1356" s="23" t="inlineStr">
        <is>
          <t>Cost Account = CA-6074; WBS Code = 1.6.2</t>
        </is>
      </c>
      <c r="W1356" s="23" t="inlineStr"/>
    </row>
    <row r="1357" ht="64" customHeight="1">
      <c r="A1357" s="23" t="inlineStr">
        <is>
          <t>1.6.2</t>
        </is>
      </c>
      <c r="B1357" s="23" t="inlineStr">
        <is>
          <t>Program Management - Commercial &amp; Procurement</t>
        </is>
      </c>
      <c r="C1357" s="23" t="inlineStr">
        <is>
          <t>Cost &amp; Forecast Control Accounts</t>
        </is>
      </c>
      <c r="D1357" s="23" t="inlineStr">
        <is>
          <t>CST-06-076</t>
        </is>
      </c>
      <c r="E1357" s="23" t="inlineStr">
        <is>
          <t>Program Management - design integration - professional services</t>
        </is>
      </c>
      <c r="F1357" s="23" t="inlineStr">
        <is>
          <t>ONE_TO_ONE</t>
        </is>
      </c>
      <c r="G1357" s="23" t="inlineStr">
        <is>
          <t>RETAINED</t>
        </is>
      </c>
      <c r="H1357" s="23" t="inlineStr">
        <is>
          <t>Carried forward</t>
        </is>
      </c>
      <c r="I1357" s="23" t="inlineStr">
        <is>
          <t>Source assignment -- not individually reviewed</t>
        </is>
      </c>
      <c r="J1357" s="23" t="inlineStr"/>
      <c r="K1357" s="23" t="inlineStr">
        <is>
          <t>Source assignment</t>
        </is>
      </c>
      <c r="L1357" s="23" t="inlineStr"/>
      <c r="M1357" s="23" t="inlineStr">
        <is>
          <t>Cost &amp; Forecast Control Accounts Cycle 2</t>
        </is>
      </c>
      <c r="N1357" s="23" t="inlineStr">
        <is>
          <t>Rev 1</t>
        </is>
      </c>
      <c r="O1357" s="23" t="inlineStr">
        <is>
          <t>R1558-v2</t>
        </is>
      </c>
      <c r="P1357" s="23" t="inlineStr"/>
      <c r="Q1357" s="23" t="inlineStr"/>
      <c r="R1357" s="23" t="inlineStr"/>
      <c r="S1357" s="23" t="inlineStr"/>
      <c r="T1357" s="23" t="inlineStr"/>
      <c r="U1357" s="23" t="inlineStr"/>
      <c r="V1357" s="23" t="inlineStr">
        <is>
          <t>Cost Account = CA-6076; WBS Code = 1.6.2</t>
        </is>
      </c>
      <c r="W1357" s="23" t="inlineStr"/>
    </row>
    <row r="1358" ht="64" customHeight="1">
      <c r="A1358" s="23" t="inlineStr">
        <is>
          <t>1.6.2</t>
        </is>
      </c>
      <c r="B1358" s="23" t="inlineStr">
        <is>
          <t>Program Management - Commercial &amp; Procurement</t>
        </is>
      </c>
      <c r="C1358" s="23" t="inlineStr">
        <is>
          <t>Cost &amp; Forecast Control Accounts</t>
        </is>
      </c>
      <c r="D1358" s="23" t="inlineStr">
        <is>
          <t>CST-06-078</t>
        </is>
      </c>
      <c r="E1358" s="23" t="inlineStr">
        <is>
          <t>Program Management - program controls - closeout</t>
        </is>
      </c>
      <c r="F1358" s="23" t="inlineStr">
        <is>
          <t>ONE_TO_ONE</t>
        </is>
      </c>
      <c r="G1358" s="23" t="inlineStr">
        <is>
          <t>RETAINED</t>
        </is>
      </c>
      <c r="H1358" s="23" t="inlineStr">
        <is>
          <t>Carried forward</t>
        </is>
      </c>
      <c r="I1358" s="23" t="inlineStr">
        <is>
          <t>Source assignment -- not individually reviewed</t>
        </is>
      </c>
      <c r="J1358" s="23" t="inlineStr"/>
      <c r="K1358" s="23" t="inlineStr">
        <is>
          <t>Source assignment</t>
        </is>
      </c>
      <c r="L1358" s="23" t="inlineStr"/>
      <c r="M1358" s="23" t="inlineStr">
        <is>
          <t>Cost &amp; Forecast Control Accounts Cycle 2</t>
        </is>
      </c>
      <c r="N1358" s="23" t="inlineStr">
        <is>
          <t>Rev 1</t>
        </is>
      </c>
      <c r="O1358" s="23" t="inlineStr">
        <is>
          <t>R1560-v2</t>
        </is>
      </c>
      <c r="P1358" s="23" t="inlineStr"/>
      <c r="Q1358" s="23" t="inlineStr"/>
      <c r="R1358" s="23" t="inlineStr"/>
      <c r="S1358" s="23" t="inlineStr"/>
      <c r="T1358" s="23" t="inlineStr"/>
      <c r="U1358" s="23" t="inlineStr"/>
      <c r="V1358" s="23" t="inlineStr">
        <is>
          <t>Cost Account = CA-6078; WBS Code = 1.6.2</t>
        </is>
      </c>
      <c r="W1358" s="23" t="inlineStr"/>
    </row>
    <row r="1359" ht="64" customHeight="1">
      <c r="A1359" s="23" t="inlineStr">
        <is>
          <t>1.6.2</t>
        </is>
      </c>
      <c r="B1359" s="23" t="inlineStr">
        <is>
          <t>Program Management - Commercial &amp; Procurement</t>
        </is>
      </c>
      <c r="C1359" s="23" t="inlineStr">
        <is>
          <t>Cost &amp; Forecast Control Accounts</t>
        </is>
      </c>
      <c r="D1359" s="23" t="inlineStr">
        <is>
          <t>CST-06-080</t>
        </is>
      </c>
      <c r="E1359" s="23" t="inlineStr">
        <is>
          <t>Program Management - stakeholder services - supply and install</t>
        </is>
      </c>
      <c r="F1359" s="23" t="inlineStr">
        <is>
          <t>ONE_TO_ONE</t>
        </is>
      </c>
      <c r="G1359" s="23" t="inlineStr">
        <is>
          <t>RETAINED</t>
        </is>
      </c>
      <c r="H1359" s="23" t="inlineStr">
        <is>
          <t>Carried forward</t>
        </is>
      </c>
      <c r="I1359" s="23" t="inlineStr">
        <is>
          <t>Source assignment -- not individually reviewed</t>
        </is>
      </c>
      <c r="J1359" s="23" t="inlineStr"/>
      <c r="K1359" s="23" t="inlineStr">
        <is>
          <t>Source assignment</t>
        </is>
      </c>
      <c r="L1359" s="23" t="inlineStr"/>
      <c r="M1359" s="23" t="inlineStr">
        <is>
          <t>Cost &amp; Forecast Control Accounts Cycle 2</t>
        </is>
      </c>
      <c r="N1359" s="23" t="inlineStr">
        <is>
          <t>Rev 1</t>
        </is>
      </c>
      <c r="O1359" s="23" t="inlineStr">
        <is>
          <t>R1562-v2</t>
        </is>
      </c>
      <c r="P1359" s="23" t="inlineStr"/>
      <c r="Q1359" s="23" t="inlineStr"/>
      <c r="R1359" s="23" t="inlineStr"/>
      <c r="S1359" s="23" t="inlineStr"/>
      <c r="T1359" s="23" t="inlineStr"/>
      <c r="U1359" s="23" t="inlineStr"/>
      <c r="V1359" s="23" t="inlineStr">
        <is>
          <t>Cost Account = CA-6080; WBS Code = 1.6.2</t>
        </is>
      </c>
      <c r="W1359" s="23" t="inlineStr"/>
    </row>
    <row r="1360" ht="49" customHeight="1">
      <c r="A1360" s="23" t="inlineStr">
        <is>
          <t>NO_WBS</t>
        </is>
      </c>
      <c r="B1360" s="23" t="inlineStr"/>
      <c r="C1360" s="23" t="inlineStr">
        <is>
          <t>Contractor Programme</t>
        </is>
      </c>
      <c r="D1360" s="23" t="inlineStr">
        <is>
          <t>SCH-90-902</t>
        </is>
      </c>
      <c r="E1360" s="23" t="inlineStr">
        <is>
          <t>Corporate training unrelated to project delivery scope</t>
        </is>
      </c>
      <c r="F1360" s="23" t="inlineStr">
        <is>
          <t>NO_WBS</t>
        </is>
      </c>
      <c r="G1360" s="23" t="inlineStr">
        <is>
          <t>RETAINED</t>
        </is>
      </c>
      <c r="H1360" s="23" t="inlineStr">
        <is>
          <t>Carried forward</t>
        </is>
      </c>
      <c r="I1360" s="23" t="inlineStr">
        <is>
          <t>Earlier professional decision, carried forward</t>
        </is>
      </c>
      <c r="J1360" s="23" t="inlineStr">
        <is>
          <t>Maya Chen, Owner Project Controls</t>
        </is>
      </c>
      <c r="K1360" s="23" t="inlineStr">
        <is>
          <t>Professional</t>
        </is>
      </c>
      <c r="L1360" s="23" t="inlineStr"/>
      <c r="M1360" s="23" t="inlineStr">
        <is>
          <t>Contractor Programme Cycle 2</t>
        </is>
      </c>
      <c r="N1360" s="23" t="inlineStr">
        <is>
          <t>Rev 1</t>
        </is>
      </c>
      <c r="O1360" s="23" t="inlineStr">
        <is>
          <t>R1082-v3</t>
        </is>
      </c>
      <c r="P1360" s="23" t="inlineStr"/>
      <c r="Q1360" s="23" t="inlineStr"/>
      <c r="R1360" s="23" t="inlineStr"/>
      <c r="S1360" s="23" t="inlineStr"/>
      <c r="T1360" s="23" t="inlineStr">
        <is>
          <t>Individual, carried forward</t>
        </is>
      </c>
      <c r="U1360" s="23" t="inlineStr"/>
      <c r="V1360" s="23" t="inlineStr"/>
      <c r="W1360" s="23" t="inlineStr"/>
    </row>
    <row r="1361" ht="64" customHeight="1">
      <c r="A1361" s="23" t="inlineStr">
        <is>
          <t>UNSURE</t>
        </is>
      </c>
      <c r="B1361" s="23" t="inlineStr"/>
      <c r="C1361" s="23" t="inlineStr">
        <is>
          <t>Commercial Package Register</t>
        </is>
      </c>
      <c r="D1361" s="23" t="inlineStr">
        <is>
          <t>PKG-903</t>
        </is>
      </c>
      <c r="E1361" s="23" t="inlineStr">
        <is>
          <t>Supplemental procurement package</t>
        </is>
      </c>
      <c r="F1361" s="23" t="inlineStr">
        <is>
          <t>UNSURE</t>
        </is>
      </c>
      <c r="G1361" s="23" t="inlineStr">
        <is>
          <t>APPROVED</t>
        </is>
      </c>
      <c r="H1361" s="23" t="inlineStr">
        <is>
          <t>New</t>
        </is>
      </c>
      <c r="I1361" s="23" t="inlineStr">
        <is>
          <t>Professional decision</t>
        </is>
      </c>
      <c r="J1361" s="23" t="inlineStr">
        <is>
          <t>Maya Chen, Owner Project Controls</t>
        </is>
      </c>
      <c r="K1361" s="23" t="inlineStr">
        <is>
          <t>Professional</t>
        </is>
      </c>
      <c r="L1361" s="23" t="inlineStr"/>
      <c r="M1361" s="23" t="inlineStr">
        <is>
          <t>Commercial Package Register Cycle 2</t>
        </is>
      </c>
      <c r="N1361" s="23" t="inlineStr">
        <is>
          <t>Rev 1</t>
        </is>
      </c>
      <c r="O1361" s="23" t="inlineStr">
        <is>
          <t>R1625-v2</t>
        </is>
      </c>
      <c r="P1361" s="23" t="inlineStr"/>
      <c r="Q1361" s="23" t="inlineStr"/>
      <c r="R1361" s="23" t="inlineStr"/>
      <c r="S1361" s="23" t="inlineStr"/>
      <c r="T1361" s="23" t="inlineStr">
        <is>
          <t>Individual</t>
        </is>
      </c>
      <c r="U1361" s="23" t="inlineStr"/>
      <c r="V1361" s="23" t="inlineStr">
        <is>
          <t>Package Code = PK-101; WBS Code = 1.1;1.2</t>
        </is>
      </c>
      <c r="W1361" s="23" t="inlineStr"/>
    </row>
    <row r="1362" ht="154" customHeight="1">
      <c r="A1362" s="23" t="inlineStr">
        <is>
          <t>UNSURE</t>
        </is>
      </c>
      <c r="B1362" s="23" t="inlineStr"/>
      <c r="C1362" s="23" t="inlineStr">
        <is>
          <t>Contractor Programme</t>
        </is>
      </c>
      <c r="D1362" s="23" t="inlineStr">
        <is>
          <t>SCH-03-007</t>
        </is>
      </c>
      <c r="E1362" s="23" t="inlineStr">
        <is>
          <t>Control Centre interface installation pending scope authorization; prior location reference withdrawn</t>
        </is>
      </c>
      <c r="F1362" s="23" t="inlineStr">
        <is>
          <t>UNSURE</t>
        </is>
      </c>
      <c r="G1362" s="23" t="inlineStr">
        <is>
          <t>APPROVED</t>
        </is>
      </c>
      <c r="H1362" s="23" t="inlineStr">
        <is>
          <t>Changed, re-decided</t>
        </is>
      </c>
      <c r="I1362" s="23" t="inlineStr">
        <is>
          <t>Professional decision</t>
        </is>
      </c>
      <c r="J1362" s="23" t="inlineStr">
        <is>
          <t>Maya Chen, Owner Project Controls</t>
        </is>
      </c>
      <c r="K1362" s="23" t="inlineStr">
        <is>
          <t>Professional</t>
        </is>
      </c>
      <c r="L1362" s="23" t="inlineStr"/>
      <c r="M1362" s="23" t="inlineStr">
        <is>
          <t>Contractor Programme Cycle 2</t>
        </is>
      </c>
      <c r="N1362" s="23" t="inlineStr">
        <is>
          <t>Rev 1</t>
        </is>
      </c>
      <c r="O1362" s="23" t="inlineStr">
        <is>
          <t>R367-v3</t>
        </is>
      </c>
      <c r="P1362" s="23" t="inlineStr"/>
      <c r="Q1362" s="23" t="inlineStr"/>
      <c r="R1362" s="23" t="inlineStr"/>
      <c r="S1362" s="23" t="inlineStr"/>
      <c r="T1362" s="23" t="inlineStr">
        <is>
          <t>Individual</t>
        </is>
      </c>
      <c r="U1362" s="23" t="inlineStr">
        <is>
          <t>'WBS Code' changed from 1.3.1 to (blank); 'WBS Code' changed from 1.3.1 to (blank); 'WBS Code' changed from 1.3.1 to (blank)</t>
        </is>
      </c>
      <c r="V1362" s="23" t="inlineStr"/>
      <c r="W1362" s="23" t="inlineStr"/>
    </row>
    <row r="1363" ht="94" customHeight="1">
      <c r="A1363" s="23" t="inlineStr">
        <is>
          <t>UNSURE</t>
        </is>
      </c>
      <c r="B1363" s="23" t="inlineStr"/>
      <c r="C1363" s="23" t="inlineStr">
        <is>
          <t>Contractor Programme</t>
        </is>
      </c>
      <c r="D1363" s="23" t="inlineStr">
        <is>
          <t>SCH-04-003</t>
        </is>
      </c>
      <c r="E1363" s="23" t="inlineStr">
        <is>
          <t>Interface works near vehicles and depot boundary</t>
        </is>
      </c>
      <c r="F1363" s="23" t="inlineStr">
        <is>
          <t>UNSURE</t>
        </is>
      </c>
      <c r="G1363" s="23" t="inlineStr">
        <is>
          <t>RETAINED</t>
        </is>
      </c>
      <c r="H1363" s="23" t="inlineStr">
        <is>
          <t>Carried forward</t>
        </is>
      </c>
      <c r="I1363" s="23" t="inlineStr">
        <is>
          <t>Earlier professional decision, carried forward</t>
        </is>
      </c>
      <c r="J1363" s="23" t="inlineStr">
        <is>
          <t>Maya Chen, Owner Project Controls</t>
        </is>
      </c>
      <c r="K1363" s="23" t="inlineStr">
        <is>
          <t>Professional</t>
        </is>
      </c>
      <c r="L1363" s="23" t="inlineStr"/>
      <c r="M1363" s="23" t="inlineStr">
        <is>
          <t>Contractor Programme Cycle 2</t>
        </is>
      </c>
      <c r="N1363" s="23" t="inlineStr">
        <is>
          <t>Rev 1</t>
        </is>
      </c>
      <c r="O1363" s="23" t="inlineStr">
        <is>
          <t>R543-v3</t>
        </is>
      </c>
      <c r="P1363" s="23" t="inlineStr"/>
      <c r="Q1363" s="23" t="inlineStr"/>
      <c r="R1363" s="23" t="inlineStr"/>
      <c r="S1363" s="23" t="inlineStr"/>
      <c r="T1363" s="23" t="inlineStr">
        <is>
          <t>Group decision (182 records sharing one decision state), carried forward</t>
        </is>
      </c>
      <c r="U1363" s="23" t="inlineStr"/>
      <c r="V1363" s="23" t="inlineStr"/>
      <c r="W1363" s="23" t="inlineStr"/>
    </row>
    <row r="1364" ht="94" customHeight="1">
      <c r="A1364" s="23" t="inlineStr">
        <is>
          <t>UNSURE</t>
        </is>
      </c>
      <c r="B1364" s="23" t="inlineStr"/>
      <c r="C1364" s="23" t="inlineStr">
        <is>
          <t>Contractor Programme</t>
        </is>
      </c>
      <c r="D1364" s="23" t="inlineStr">
        <is>
          <t>SCH-06-001</t>
        </is>
      </c>
      <c r="E1364" s="23" t="inlineStr">
        <is>
          <t>Systems package: commercial change review - installation</t>
        </is>
      </c>
      <c r="F1364" s="23" t="inlineStr">
        <is>
          <t>UNSURE</t>
        </is>
      </c>
      <c r="G1364" s="23" t="inlineStr">
        <is>
          <t>RETAINED</t>
        </is>
      </c>
      <c r="H1364" s="23" t="inlineStr">
        <is>
          <t>Carried forward</t>
        </is>
      </c>
      <c r="I1364" s="23" t="inlineStr">
        <is>
          <t>Earlier professional decision, carried forward</t>
        </is>
      </c>
      <c r="J1364" s="23" t="inlineStr">
        <is>
          <t>Maya Chen, Owner Project Controls</t>
        </is>
      </c>
      <c r="K1364" s="23" t="inlineStr">
        <is>
          <t>Professional</t>
        </is>
      </c>
      <c r="L1364" s="23" t="inlineStr"/>
      <c r="M1364" s="23" t="inlineStr">
        <is>
          <t>Contractor Programme Cycle 2</t>
        </is>
      </c>
      <c r="N1364" s="23" t="inlineStr">
        <is>
          <t>Rev 1</t>
        </is>
      </c>
      <c r="O1364" s="23" t="inlineStr">
        <is>
          <t>R901-v3</t>
        </is>
      </c>
      <c r="P1364" s="23" t="inlineStr"/>
      <c r="Q1364" s="23" t="inlineStr"/>
      <c r="R1364" s="23" t="inlineStr"/>
      <c r="S1364" s="23" t="inlineStr"/>
      <c r="T1364" s="23" t="inlineStr">
        <is>
          <t>Group decision (182 records sharing one decision state), carried forward</t>
        </is>
      </c>
      <c r="U1364" s="23" t="inlineStr"/>
      <c r="V1364" s="23" t="inlineStr"/>
      <c r="W1364" s="23" t="inlineStr"/>
    </row>
    <row r="1365" ht="94" customHeight="1">
      <c r="A1365" s="23" t="inlineStr">
        <is>
          <t>UNSURE</t>
        </is>
      </c>
      <c r="B1365" s="23" t="inlineStr"/>
      <c r="C1365" s="23" t="inlineStr">
        <is>
          <t>Contractor Programme</t>
        </is>
      </c>
      <c r="D1365" s="23" t="inlineStr">
        <is>
          <t>SCH-06-002</t>
        </is>
      </c>
      <c r="E1365" s="23" t="inlineStr">
        <is>
          <t>Fleet package: design-package integration review - inspection</t>
        </is>
      </c>
      <c r="F1365" s="23" t="inlineStr">
        <is>
          <t>UNSURE</t>
        </is>
      </c>
      <c r="G1365" s="23" t="inlineStr">
        <is>
          <t>RETAINED</t>
        </is>
      </c>
      <c r="H1365" s="23" t="inlineStr">
        <is>
          <t>Carried forward</t>
        </is>
      </c>
      <c r="I1365" s="23" t="inlineStr">
        <is>
          <t>Earlier professional decision, carried forward</t>
        </is>
      </c>
      <c r="J1365" s="23" t="inlineStr">
        <is>
          <t>Maya Chen, Owner Project Controls</t>
        </is>
      </c>
      <c r="K1365" s="23" t="inlineStr">
        <is>
          <t>Professional</t>
        </is>
      </c>
      <c r="L1365" s="23" t="inlineStr"/>
      <c r="M1365" s="23" t="inlineStr">
        <is>
          <t>Contractor Programme Cycle 2</t>
        </is>
      </c>
      <c r="N1365" s="23" t="inlineStr">
        <is>
          <t>Rev 1</t>
        </is>
      </c>
      <c r="O1365" s="23" t="inlineStr">
        <is>
          <t>R902-v3</t>
        </is>
      </c>
      <c r="P1365" s="23" t="inlineStr"/>
      <c r="Q1365" s="23" t="inlineStr"/>
      <c r="R1365" s="23" t="inlineStr"/>
      <c r="S1365" s="23" t="inlineStr"/>
      <c r="T1365" s="23" t="inlineStr">
        <is>
          <t>Group decision (182 records sharing one decision state), carried forward</t>
        </is>
      </c>
      <c r="U1365" s="23" t="inlineStr"/>
      <c r="V1365" s="23" t="inlineStr"/>
      <c r="W1365" s="23" t="inlineStr"/>
    </row>
    <row r="1366" ht="94" customHeight="1">
      <c r="A1366" s="23" t="inlineStr">
        <is>
          <t>UNSURE</t>
        </is>
      </c>
      <c r="B1366" s="23" t="inlineStr"/>
      <c r="C1366" s="23" t="inlineStr">
        <is>
          <t>Contractor Programme</t>
        </is>
      </c>
      <c r="D1366" s="23" t="inlineStr">
        <is>
          <t>SCH-06-003</t>
        </is>
      </c>
      <c r="E1366" s="23" t="inlineStr">
        <is>
          <t>Interface works near program management boundary</t>
        </is>
      </c>
      <c r="F1366" s="23" t="inlineStr">
        <is>
          <t>UNSURE</t>
        </is>
      </c>
      <c r="G1366" s="23" t="inlineStr">
        <is>
          <t>RETAINED</t>
        </is>
      </c>
      <c r="H1366" s="23" t="inlineStr">
        <is>
          <t>Carried forward</t>
        </is>
      </c>
      <c r="I1366" s="23" t="inlineStr">
        <is>
          <t>Earlier professional decision, carried forward</t>
        </is>
      </c>
      <c r="J1366" s="23" t="inlineStr">
        <is>
          <t>Maya Chen, Owner Project Controls</t>
        </is>
      </c>
      <c r="K1366" s="23" t="inlineStr">
        <is>
          <t>Professional</t>
        </is>
      </c>
      <c r="L1366" s="23" t="inlineStr"/>
      <c r="M1366" s="23" t="inlineStr">
        <is>
          <t>Contractor Programme Cycle 2</t>
        </is>
      </c>
      <c r="N1366" s="23" t="inlineStr">
        <is>
          <t>Rev 1</t>
        </is>
      </c>
      <c r="O1366" s="23" t="inlineStr">
        <is>
          <t>R903-v3</t>
        </is>
      </c>
      <c r="P1366" s="23" t="inlineStr"/>
      <c r="Q1366" s="23" t="inlineStr"/>
      <c r="R1366" s="23" t="inlineStr"/>
      <c r="S1366" s="23" t="inlineStr"/>
      <c r="T1366" s="23" t="inlineStr">
        <is>
          <t>Group decision (182 records sharing one decision state), carried forward</t>
        </is>
      </c>
      <c r="U1366" s="23" t="inlineStr"/>
      <c r="V1366" s="23" t="inlineStr"/>
      <c r="W1366" s="23" t="inlineStr"/>
    </row>
    <row r="1367" ht="94" customHeight="1">
      <c r="A1367" s="23" t="inlineStr">
        <is>
          <t>UNSURE</t>
        </is>
      </c>
      <c r="B1367" s="23" t="inlineStr"/>
      <c r="C1367" s="23" t="inlineStr">
        <is>
          <t>Contractor Programme</t>
        </is>
      </c>
      <c r="D1367" s="23" t="inlineStr">
        <is>
          <t>SCH-06-004</t>
        </is>
      </c>
      <c r="E1367" s="23" t="inlineStr">
        <is>
          <t>Civil package: permit coordination - release</t>
        </is>
      </c>
      <c r="F1367" s="23" t="inlineStr">
        <is>
          <t>UNSURE</t>
        </is>
      </c>
      <c r="G1367" s="23" t="inlineStr">
        <is>
          <t>RETAINED</t>
        </is>
      </c>
      <c r="H1367" s="23" t="inlineStr">
        <is>
          <t>Carried forward</t>
        </is>
      </c>
      <c r="I1367" s="23" t="inlineStr">
        <is>
          <t>Earlier professional decision, carried forward</t>
        </is>
      </c>
      <c r="J1367" s="23" t="inlineStr">
        <is>
          <t>Maya Chen, Owner Project Controls</t>
        </is>
      </c>
      <c r="K1367" s="23" t="inlineStr">
        <is>
          <t>Professional</t>
        </is>
      </c>
      <c r="L1367" s="23" t="inlineStr"/>
      <c r="M1367" s="23" t="inlineStr">
        <is>
          <t>Contractor Programme Cycle 2</t>
        </is>
      </c>
      <c r="N1367" s="23" t="inlineStr">
        <is>
          <t>Rev 1</t>
        </is>
      </c>
      <c r="O1367" s="23" t="inlineStr">
        <is>
          <t>R904-v3</t>
        </is>
      </c>
      <c r="P1367" s="23" t="inlineStr"/>
      <c r="Q1367" s="23" t="inlineStr"/>
      <c r="R1367" s="23" t="inlineStr"/>
      <c r="S1367" s="23" t="inlineStr"/>
      <c r="T1367" s="23" t="inlineStr">
        <is>
          <t>Group decision (182 records sharing one decision state), carried forward</t>
        </is>
      </c>
      <c r="U1367" s="23" t="inlineStr"/>
      <c r="V1367" s="23" t="inlineStr"/>
      <c r="W1367" s="23" t="inlineStr"/>
    </row>
    <row r="1368" ht="94" customHeight="1">
      <c r="A1368" s="23" t="inlineStr">
        <is>
          <t>UNSURE</t>
        </is>
      </c>
      <c r="B1368" s="23" t="inlineStr"/>
      <c r="C1368" s="23" t="inlineStr">
        <is>
          <t>Contractor Programme</t>
        </is>
      </c>
      <c r="D1368" s="23" t="inlineStr">
        <is>
          <t>SCH-06-005</t>
        </is>
      </c>
      <c r="E1368" s="23" t="inlineStr">
        <is>
          <t>Stations package: delivery risk workshop - field start</t>
        </is>
      </c>
      <c r="F1368" s="23" t="inlineStr">
        <is>
          <t>UNSURE</t>
        </is>
      </c>
      <c r="G1368" s="23" t="inlineStr">
        <is>
          <t>RETAINED</t>
        </is>
      </c>
      <c r="H1368" s="23" t="inlineStr">
        <is>
          <t>Carried forward</t>
        </is>
      </c>
      <c r="I1368" s="23" t="inlineStr">
        <is>
          <t>Earlier professional decision, carried forward</t>
        </is>
      </c>
      <c r="J1368" s="23" t="inlineStr">
        <is>
          <t>Maya Chen, Owner Project Controls</t>
        </is>
      </c>
      <c r="K1368" s="23" t="inlineStr">
        <is>
          <t>Professional</t>
        </is>
      </c>
      <c r="L1368" s="23" t="inlineStr"/>
      <c r="M1368" s="23" t="inlineStr">
        <is>
          <t>Contractor Programme Cycle 2</t>
        </is>
      </c>
      <c r="N1368" s="23" t="inlineStr">
        <is>
          <t>Rev 1</t>
        </is>
      </c>
      <c r="O1368" s="23" t="inlineStr">
        <is>
          <t>R905-v3</t>
        </is>
      </c>
      <c r="P1368" s="23" t="inlineStr"/>
      <c r="Q1368" s="23" t="inlineStr"/>
      <c r="R1368" s="23" t="inlineStr"/>
      <c r="S1368" s="23" t="inlineStr"/>
      <c r="T1368" s="23" t="inlineStr">
        <is>
          <t>Group decision (182 records sharing one decision state), carried forward</t>
        </is>
      </c>
      <c r="U1368" s="23" t="inlineStr"/>
      <c r="V1368" s="23" t="inlineStr"/>
      <c r="W1368" s="23" t="inlineStr"/>
    </row>
    <row r="1369" ht="94" customHeight="1">
      <c r="A1369" s="23" t="inlineStr">
        <is>
          <t>UNSURE</t>
        </is>
      </c>
      <c r="B1369" s="23" t="inlineStr"/>
      <c r="C1369" s="23" t="inlineStr">
        <is>
          <t>Contractor Programme</t>
        </is>
      </c>
      <c r="D1369" s="23" t="inlineStr">
        <is>
          <t>SCH-06-006</t>
        </is>
      </c>
      <c r="E1369" s="23" t="inlineStr">
        <is>
          <t>Systems package: monthly controls cut-off - installation</t>
        </is>
      </c>
      <c r="F1369" s="23" t="inlineStr">
        <is>
          <t>UNSURE</t>
        </is>
      </c>
      <c r="G1369" s="23" t="inlineStr">
        <is>
          <t>RETAINED</t>
        </is>
      </c>
      <c r="H1369" s="23" t="inlineStr">
        <is>
          <t>Carried forward</t>
        </is>
      </c>
      <c r="I1369" s="23" t="inlineStr">
        <is>
          <t>Earlier professional decision, carried forward</t>
        </is>
      </c>
      <c r="J1369" s="23" t="inlineStr">
        <is>
          <t>Maya Chen, Owner Project Controls</t>
        </is>
      </c>
      <c r="K1369" s="23" t="inlineStr">
        <is>
          <t>Professional</t>
        </is>
      </c>
      <c r="L1369" s="23" t="inlineStr"/>
      <c r="M1369" s="23" t="inlineStr">
        <is>
          <t>Contractor Programme Cycle 2</t>
        </is>
      </c>
      <c r="N1369" s="23" t="inlineStr">
        <is>
          <t>Rev 1</t>
        </is>
      </c>
      <c r="O1369" s="23" t="inlineStr">
        <is>
          <t>R906-v3</t>
        </is>
      </c>
      <c r="P1369" s="23" t="inlineStr"/>
      <c r="Q1369" s="23" t="inlineStr"/>
      <c r="R1369" s="23" t="inlineStr"/>
      <c r="S1369" s="23" t="inlineStr"/>
      <c r="T1369" s="23" t="inlineStr">
        <is>
          <t>Group decision (182 records sharing one decision state), carried forward</t>
        </is>
      </c>
      <c r="U1369" s="23" t="inlineStr"/>
      <c r="V1369" s="23" t="inlineStr"/>
      <c r="W1369" s="23" t="inlineStr"/>
    </row>
    <row r="1370" ht="94" customHeight="1">
      <c r="A1370" s="23" t="inlineStr">
        <is>
          <t>UNSURE</t>
        </is>
      </c>
      <c r="B1370" s="23" t="inlineStr"/>
      <c r="C1370" s="23" t="inlineStr">
        <is>
          <t>Contractor Programme</t>
        </is>
      </c>
      <c r="D1370" s="23" t="inlineStr">
        <is>
          <t>SCH-06-007</t>
        </is>
      </c>
      <c r="E1370" s="23" t="inlineStr">
        <is>
          <t>Fleet package: stakeholder interface meeting - inspection</t>
        </is>
      </c>
      <c r="F1370" s="23" t="inlineStr">
        <is>
          <t>UNSURE</t>
        </is>
      </c>
      <c r="G1370" s="23" t="inlineStr">
        <is>
          <t>RETAINED</t>
        </is>
      </c>
      <c r="H1370" s="23" t="inlineStr">
        <is>
          <t>Carried forward</t>
        </is>
      </c>
      <c r="I1370" s="23" t="inlineStr">
        <is>
          <t>Earlier professional decision, carried forward</t>
        </is>
      </c>
      <c r="J1370" s="23" t="inlineStr">
        <is>
          <t>Maya Chen, Owner Project Controls</t>
        </is>
      </c>
      <c r="K1370" s="23" t="inlineStr">
        <is>
          <t>Professional</t>
        </is>
      </c>
      <c r="L1370" s="23" t="inlineStr"/>
      <c r="M1370" s="23" t="inlineStr">
        <is>
          <t>Contractor Programme Cycle 2</t>
        </is>
      </c>
      <c r="N1370" s="23" t="inlineStr">
        <is>
          <t>Rev 1</t>
        </is>
      </c>
      <c r="O1370" s="23" t="inlineStr">
        <is>
          <t>R907-v3</t>
        </is>
      </c>
      <c r="P1370" s="23" t="inlineStr"/>
      <c r="Q1370" s="23" t="inlineStr"/>
      <c r="R1370" s="23" t="inlineStr"/>
      <c r="S1370" s="23" t="inlineStr"/>
      <c r="T1370" s="23" t="inlineStr">
        <is>
          <t>Group decision (182 records sharing one decision state), carried forward</t>
        </is>
      </c>
      <c r="U1370" s="23" t="inlineStr"/>
      <c r="V1370" s="23" t="inlineStr"/>
      <c r="W1370" s="23" t="inlineStr"/>
    </row>
    <row r="1371" ht="94" customHeight="1">
      <c r="A1371" s="23" t="inlineStr">
        <is>
          <t>UNSURE</t>
        </is>
      </c>
      <c r="B1371" s="23" t="inlineStr"/>
      <c r="C1371" s="23" t="inlineStr">
        <is>
          <t>Contractor Programme</t>
        </is>
      </c>
      <c r="D1371" s="23" t="inlineStr">
        <is>
          <t>SCH-06-008</t>
        </is>
      </c>
      <c r="E1371" s="23" t="inlineStr">
        <is>
          <t>Program office: baseline change control - turnover</t>
        </is>
      </c>
      <c r="F1371" s="23" t="inlineStr">
        <is>
          <t>UNSURE</t>
        </is>
      </c>
      <c r="G1371" s="23" t="inlineStr">
        <is>
          <t>RETAINED</t>
        </is>
      </c>
      <c r="H1371" s="23" t="inlineStr">
        <is>
          <t>Carried forward</t>
        </is>
      </c>
      <c r="I1371" s="23" t="inlineStr">
        <is>
          <t>Earlier professional decision, carried forward</t>
        </is>
      </c>
      <c r="J1371" s="23" t="inlineStr">
        <is>
          <t>Maya Chen, Owner Project Controls</t>
        </is>
      </c>
      <c r="K1371" s="23" t="inlineStr">
        <is>
          <t>Professional</t>
        </is>
      </c>
      <c r="L1371" s="23" t="inlineStr"/>
      <c r="M1371" s="23" t="inlineStr">
        <is>
          <t>Contractor Programme Cycle 2</t>
        </is>
      </c>
      <c r="N1371" s="23" t="inlineStr">
        <is>
          <t>Rev 1</t>
        </is>
      </c>
      <c r="O1371" s="23" t="inlineStr">
        <is>
          <t>R908-v3</t>
        </is>
      </c>
      <c r="P1371" s="23" t="inlineStr"/>
      <c r="Q1371" s="23" t="inlineStr"/>
      <c r="R1371" s="23" t="inlineStr"/>
      <c r="S1371" s="23" t="inlineStr"/>
      <c r="T1371" s="23" t="inlineStr">
        <is>
          <t>Group decision (182 records sharing one decision state), carried forward</t>
        </is>
      </c>
      <c r="U1371" s="23" t="inlineStr"/>
      <c r="V1371" s="23" t="inlineStr"/>
      <c r="W1371" s="23" t="inlineStr"/>
    </row>
    <row r="1372" ht="94" customHeight="1">
      <c r="A1372" s="23" t="inlineStr">
        <is>
          <t>UNSURE</t>
        </is>
      </c>
      <c r="B1372" s="23" t="inlineStr"/>
      <c r="C1372" s="23" t="inlineStr">
        <is>
          <t>Contractor Programme</t>
        </is>
      </c>
      <c r="D1372" s="23" t="inlineStr">
        <is>
          <t>SCH-06-009</t>
        </is>
      </c>
      <c r="E1372" s="23" t="inlineStr">
        <is>
          <t>Civil package: commercial change review - release</t>
        </is>
      </c>
      <c r="F1372" s="23" t="inlineStr">
        <is>
          <t>UNSURE</t>
        </is>
      </c>
      <c r="G1372" s="23" t="inlineStr">
        <is>
          <t>RETAINED</t>
        </is>
      </c>
      <c r="H1372" s="23" t="inlineStr">
        <is>
          <t>Carried forward</t>
        </is>
      </c>
      <c r="I1372" s="23" t="inlineStr">
        <is>
          <t>Earlier professional decision, carried forward</t>
        </is>
      </c>
      <c r="J1372" s="23" t="inlineStr">
        <is>
          <t>Maya Chen, Owner Project Controls</t>
        </is>
      </c>
      <c r="K1372" s="23" t="inlineStr">
        <is>
          <t>Professional</t>
        </is>
      </c>
      <c r="L1372" s="23" t="inlineStr"/>
      <c r="M1372" s="23" t="inlineStr">
        <is>
          <t>Contractor Programme Cycle 2</t>
        </is>
      </c>
      <c r="N1372" s="23" t="inlineStr">
        <is>
          <t>Rev 1</t>
        </is>
      </c>
      <c r="O1372" s="23" t="inlineStr">
        <is>
          <t>R909-v3</t>
        </is>
      </c>
      <c r="P1372" s="23" t="inlineStr"/>
      <c r="Q1372" s="23" t="inlineStr"/>
      <c r="R1372" s="23" t="inlineStr"/>
      <c r="S1372" s="23" t="inlineStr"/>
      <c r="T1372" s="23" t="inlineStr">
        <is>
          <t>Group decision (182 records sharing one decision state), carried forward</t>
        </is>
      </c>
      <c r="U1372" s="23" t="inlineStr"/>
      <c r="V1372" s="23" t="inlineStr"/>
      <c r="W1372" s="23" t="inlineStr"/>
    </row>
    <row r="1373" ht="94" customHeight="1">
      <c r="A1373" s="23" t="inlineStr">
        <is>
          <t>UNSURE</t>
        </is>
      </c>
      <c r="B1373" s="23" t="inlineStr"/>
      <c r="C1373" s="23" t="inlineStr">
        <is>
          <t>Contractor Programme</t>
        </is>
      </c>
      <c r="D1373" s="23" t="inlineStr">
        <is>
          <t>SCH-06-010</t>
        </is>
      </c>
      <c r="E1373" s="23" t="inlineStr">
        <is>
          <t>Stations package: design-package integration review - field start</t>
        </is>
      </c>
      <c r="F1373" s="23" t="inlineStr">
        <is>
          <t>UNSURE</t>
        </is>
      </c>
      <c r="G1373" s="23" t="inlineStr">
        <is>
          <t>RETAINED</t>
        </is>
      </c>
      <c r="H1373" s="23" t="inlineStr">
        <is>
          <t>Carried forward</t>
        </is>
      </c>
      <c r="I1373" s="23" t="inlineStr">
        <is>
          <t>Earlier professional decision, carried forward</t>
        </is>
      </c>
      <c r="J1373" s="23" t="inlineStr">
        <is>
          <t>Maya Chen, Owner Project Controls</t>
        </is>
      </c>
      <c r="K1373" s="23" t="inlineStr">
        <is>
          <t>Professional</t>
        </is>
      </c>
      <c r="L1373" s="23" t="inlineStr"/>
      <c r="M1373" s="23" t="inlineStr">
        <is>
          <t>Contractor Programme Cycle 2</t>
        </is>
      </c>
      <c r="N1373" s="23" t="inlineStr">
        <is>
          <t>Rev 1</t>
        </is>
      </c>
      <c r="O1373" s="23" t="inlineStr">
        <is>
          <t>R910-v3</t>
        </is>
      </c>
      <c r="P1373" s="23" t="inlineStr"/>
      <c r="Q1373" s="23" t="inlineStr"/>
      <c r="R1373" s="23" t="inlineStr"/>
      <c r="S1373" s="23" t="inlineStr"/>
      <c r="T1373" s="23" t="inlineStr">
        <is>
          <t>Group decision (182 records sharing one decision state), carried forward</t>
        </is>
      </c>
      <c r="U1373" s="23" t="inlineStr"/>
      <c r="V1373" s="23" t="inlineStr"/>
      <c r="W1373" s="23" t="inlineStr"/>
    </row>
    <row r="1374" ht="94" customHeight="1">
      <c r="A1374" s="23" t="inlineStr">
        <is>
          <t>UNSURE</t>
        </is>
      </c>
      <c r="B1374" s="23" t="inlineStr"/>
      <c r="C1374" s="23" t="inlineStr">
        <is>
          <t>Contractor Programme</t>
        </is>
      </c>
      <c r="D1374" s="23" t="inlineStr">
        <is>
          <t>SCH-06-011</t>
        </is>
      </c>
      <c r="E1374" s="23" t="inlineStr">
        <is>
          <t>Systems package: executive reporting close - installation</t>
        </is>
      </c>
      <c r="F1374" s="23" t="inlineStr">
        <is>
          <t>UNSURE</t>
        </is>
      </c>
      <c r="G1374" s="23" t="inlineStr">
        <is>
          <t>RETAINED</t>
        </is>
      </c>
      <c r="H1374" s="23" t="inlineStr">
        <is>
          <t>Carried forward</t>
        </is>
      </c>
      <c r="I1374" s="23" t="inlineStr">
        <is>
          <t>Earlier professional decision, carried forward</t>
        </is>
      </c>
      <c r="J1374" s="23" t="inlineStr">
        <is>
          <t>Maya Chen, Owner Project Controls</t>
        </is>
      </c>
      <c r="K1374" s="23" t="inlineStr">
        <is>
          <t>Professional</t>
        </is>
      </c>
      <c r="L1374" s="23" t="inlineStr"/>
      <c r="M1374" s="23" t="inlineStr">
        <is>
          <t>Contractor Programme Cycle 2</t>
        </is>
      </c>
      <c r="N1374" s="23" t="inlineStr">
        <is>
          <t>Rev 1</t>
        </is>
      </c>
      <c r="O1374" s="23" t="inlineStr">
        <is>
          <t>R911-v3</t>
        </is>
      </c>
      <c r="P1374" s="23" t="inlineStr"/>
      <c r="Q1374" s="23" t="inlineStr"/>
      <c r="R1374" s="23" t="inlineStr"/>
      <c r="S1374" s="23" t="inlineStr"/>
      <c r="T1374" s="23" t="inlineStr">
        <is>
          <t>Group decision (182 records sharing one decision state), carried forward</t>
        </is>
      </c>
      <c r="U1374" s="23" t="inlineStr"/>
      <c r="V1374" s="23" t="inlineStr"/>
      <c r="W1374" s="23" t="inlineStr"/>
    </row>
    <row r="1375" ht="94" customHeight="1">
      <c r="A1375" s="23" t="inlineStr">
        <is>
          <t>UNSURE</t>
        </is>
      </c>
      <c r="B1375" s="23" t="inlineStr"/>
      <c r="C1375" s="23" t="inlineStr">
        <is>
          <t>Contractor Programme</t>
        </is>
      </c>
      <c r="D1375" s="23" t="inlineStr">
        <is>
          <t>SCH-06-012</t>
        </is>
      </c>
      <c r="E1375" s="23" t="inlineStr">
        <is>
          <t>Fleet package: permit coordination - inspection</t>
        </is>
      </c>
      <c r="F1375" s="23" t="inlineStr">
        <is>
          <t>UNSURE</t>
        </is>
      </c>
      <c r="G1375" s="23" t="inlineStr">
        <is>
          <t>RETAINED</t>
        </is>
      </c>
      <c r="H1375" s="23" t="inlineStr">
        <is>
          <t>Carried forward</t>
        </is>
      </c>
      <c r="I1375" s="23" t="inlineStr">
        <is>
          <t>Earlier professional decision, carried forward</t>
        </is>
      </c>
      <c r="J1375" s="23" t="inlineStr">
        <is>
          <t>Maya Chen, Owner Project Controls</t>
        </is>
      </c>
      <c r="K1375" s="23" t="inlineStr">
        <is>
          <t>Professional</t>
        </is>
      </c>
      <c r="L1375" s="23" t="inlineStr"/>
      <c r="M1375" s="23" t="inlineStr">
        <is>
          <t>Contractor Programme Cycle 2</t>
        </is>
      </c>
      <c r="N1375" s="23" t="inlineStr">
        <is>
          <t>Rev 1</t>
        </is>
      </c>
      <c r="O1375" s="23" t="inlineStr">
        <is>
          <t>R912-v3</t>
        </is>
      </c>
      <c r="P1375" s="23" t="inlineStr"/>
      <c r="Q1375" s="23" t="inlineStr"/>
      <c r="R1375" s="23" t="inlineStr"/>
      <c r="S1375" s="23" t="inlineStr"/>
      <c r="T1375" s="23" t="inlineStr">
        <is>
          <t>Group decision (182 records sharing one decision state), carried forward</t>
        </is>
      </c>
      <c r="U1375" s="23" t="inlineStr"/>
      <c r="V1375" s="23" t="inlineStr"/>
      <c r="W1375" s="23" t="inlineStr"/>
    </row>
    <row r="1376" ht="94" customHeight="1">
      <c r="A1376" s="23" t="inlineStr">
        <is>
          <t>UNSURE</t>
        </is>
      </c>
      <c r="B1376" s="23" t="inlineStr"/>
      <c r="C1376" s="23" t="inlineStr">
        <is>
          <t>Contractor Programme</t>
        </is>
      </c>
      <c r="D1376" s="23" t="inlineStr">
        <is>
          <t>SCH-06-013</t>
        </is>
      </c>
      <c r="E1376" s="23" t="inlineStr">
        <is>
          <t>Program office: delivery risk workshop - turnover</t>
        </is>
      </c>
      <c r="F1376" s="23" t="inlineStr">
        <is>
          <t>UNSURE</t>
        </is>
      </c>
      <c r="G1376" s="23" t="inlineStr">
        <is>
          <t>RETAINED</t>
        </is>
      </c>
      <c r="H1376" s="23" t="inlineStr">
        <is>
          <t>Carried forward</t>
        </is>
      </c>
      <c r="I1376" s="23" t="inlineStr">
        <is>
          <t>Earlier professional decision, carried forward</t>
        </is>
      </c>
      <c r="J1376" s="23" t="inlineStr">
        <is>
          <t>Maya Chen, Owner Project Controls</t>
        </is>
      </c>
      <c r="K1376" s="23" t="inlineStr">
        <is>
          <t>Professional</t>
        </is>
      </c>
      <c r="L1376" s="23" t="inlineStr"/>
      <c r="M1376" s="23" t="inlineStr">
        <is>
          <t>Contractor Programme Cycle 2</t>
        </is>
      </c>
      <c r="N1376" s="23" t="inlineStr">
        <is>
          <t>Rev 1</t>
        </is>
      </c>
      <c r="O1376" s="23" t="inlineStr">
        <is>
          <t>R913-v3</t>
        </is>
      </c>
      <c r="P1376" s="23" t="inlineStr"/>
      <c r="Q1376" s="23" t="inlineStr"/>
      <c r="R1376" s="23" t="inlineStr"/>
      <c r="S1376" s="23" t="inlineStr"/>
      <c r="T1376" s="23" t="inlineStr">
        <is>
          <t>Group decision (182 records sharing one decision state), carried forward</t>
        </is>
      </c>
      <c r="U1376" s="23" t="inlineStr"/>
      <c r="V1376" s="23" t="inlineStr"/>
      <c r="W1376" s="23" t="inlineStr"/>
    </row>
    <row r="1377" ht="94" customHeight="1">
      <c r="A1377" s="23" t="inlineStr">
        <is>
          <t>UNSURE</t>
        </is>
      </c>
      <c r="B1377" s="23" t="inlineStr"/>
      <c r="C1377" s="23" t="inlineStr">
        <is>
          <t>Contractor Programme</t>
        </is>
      </c>
      <c r="D1377" s="23" t="inlineStr">
        <is>
          <t>SCH-06-014</t>
        </is>
      </c>
      <c r="E1377" s="23" t="inlineStr">
        <is>
          <t>Civil package: monthly controls cut-off - release</t>
        </is>
      </c>
      <c r="F1377" s="23" t="inlineStr">
        <is>
          <t>UNSURE</t>
        </is>
      </c>
      <c r="G1377" s="23" t="inlineStr">
        <is>
          <t>RETAINED</t>
        </is>
      </c>
      <c r="H1377" s="23" t="inlineStr">
        <is>
          <t>Carried forward</t>
        </is>
      </c>
      <c r="I1377" s="23" t="inlineStr">
        <is>
          <t>Earlier professional decision, carried forward</t>
        </is>
      </c>
      <c r="J1377" s="23" t="inlineStr">
        <is>
          <t>Maya Chen, Owner Project Controls</t>
        </is>
      </c>
      <c r="K1377" s="23" t="inlineStr">
        <is>
          <t>Professional</t>
        </is>
      </c>
      <c r="L1377" s="23" t="inlineStr"/>
      <c r="M1377" s="23" t="inlineStr">
        <is>
          <t>Contractor Programme Cycle 2</t>
        </is>
      </c>
      <c r="N1377" s="23" t="inlineStr">
        <is>
          <t>Rev 1</t>
        </is>
      </c>
      <c r="O1377" s="23" t="inlineStr">
        <is>
          <t>R914-v3</t>
        </is>
      </c>
      <c r="P1377" s="23" t="inlineStr"/>
      <c r="Q1377" s="23" t="inlineStr"/>
      <c r="R1377" s="23" t="inlineStr"/>
      <c r="S1377" s="23" t="inlineStr"/>
      <c r="T1377" s="23" t="inlineStr">
        <is>
          <t>Group decision (182 records sharing one decision state), carried forward</t>
        </is>
      </c>
      <c r="U1377" s="23" t="inlineStr"/>
      <c r="V1377" s="23" t="inlineStr"/>
      <c r="W1377" s="23" t="inlineStr"/>
    </row>
    <row r="1378" ht="94" customHeight="1">
      <c r="A1378" s="23" t="inlineStr">
        <is>
          <t>UNSURE</t>
        </is>
      </c>
      <c r="B1378" s="23" t="inlineStr"/>
      <c r="C1378" s="23" t="inlineStr">
        <is>
          <t>Contractor Programme</t>
        </is>
      </c>
      <c r="D1378" s="23" t="inlineStr">
        <is>
          <t>SCH-06-015</t>
        </is>
      </c>
      <c r="E1378" s="23" t="inlineStr">
        <is>
          <t>Stations package: stakeholder interface meeting - field start</t>
        </is>
      </c>
      <c r="F1378" s="23" t="inlineStr">
        <is>
          <t>UNSURE</t>
        </is>
      </c>
      <c r="G1378" s="23" t="inlineStr">
        <is>
          <t>RETAINED</t>
        </is>
      </c>
      <c r="H1378" s="23" t="inlineStr">
        <is>
          <t>Carried forward</t>
        </is>
      </c>
      <c r="I1378" s="23" t="inlineStr">
        <is>
          <t>Earlier professional decision, carried forward</t>
        </is>
      </c>
      <c r="J1378" s="23" t="inlineStr">
        <is>
          <t>Maya Chen, Owner Project Controls</t>
        </is>
      </c>
      <c r="K1378" s="23" t="inlineStr">
        <is>
          <t>Professional</t>
        </is>
      </c>
      <c r="L1378" s="23" t="inlineStr"/>
      <c r="M1378" s="23" t="inlineStr">
        <is>
          <t>Contractor Programme Cycle 2</t>
        </is>
      </c>
      <c r="N1378" s="23" t="inlineStr">
        <is>
          <t>Rev 1</t>
        </is>
      </c>
      <c r="O1378" s="23" t="inlineStr">
        <is>
          <t>R915-v3</t>
        </is>
      </c>
      <c r="P1378" s="23" t="inlineStr"/>
      <c r="Q1378" s="23" t="inlineStr"/>
      <c r="R1378" s="23" t="inlineStr"/>
      <c r="S1378" s="23" t="inlineStr"/>
      <c r="T1378" s="23" t="inlineStr">
        <is>
          <t>Group decision (182 records sharing one decision state), carried forward</t>
        </is>
      </c>
      <c r="U1378" s="23" t="inlineStr"/>
      <c r="V1378" s="23" t="inlineStr"/>
      <c r="W1378" s="23" t="inlineStr"/>
    </row>
    <row r="1379" ht="94" customHeight="1">
      <c r="A1379" s="23" t="inlineStr">
        <is>
          <t>UNSURE</t>
        </is>
      </c>
      <c r="B1379" s="23" t="inlineStr"/>
      <c r="C1379" s="23" t="inlineStr">
        <is>
          <t>Contractor Programme</t>
        </is>
      </c>
      <c r="D1379" s="23" t="inlineStr">
        <is>
          <t>SCH-06-016</t>
        </is>
      </c>
      <c r="E1379" s="23" t="inlineStr">
        <is>
          <t>Systems package: baseline change control - installation</t>
        </is>
      </c>
      <c r="F1379" s="23" t="inlineStr">
        <is>
          <t>UNSURE</t>
        </is>
      </c>
      <c r="G1379" s="23" t="inlineStr">
        <is>
          <t>RETAINED</t>
        </is>
      </c>
      <c r="H1379" s="23" t="inlineStr">
        <is>
          <t>Carried forward</t>
        </is>
      </c>
      <c r="I1379" s="23" t="inlineStr">
        <is>
          <t>Earlier professional decision, carried forward</t>
        </is>
      </c>
      <c r="J1379" s="23" t="inlineStr">
        <is>
          <t>Maya Chen, Owner Project Controls</t>
        </is>
      </c>
      <c r="K1379" s="23" t="inlineStr">
        <is>
          <t>Professional</t>
        </is>
      </c>
      <c r="L1379" s="23" t="inlineStr"/>
      <c r="M1379" s="23" t="inlineStr">
        <is>
          <t>Contractor Programme Cycle 2</t>
        </is>
      </c>
      <c r="N1379" s="23" t="inlineStr">
        <is>
          <t>Rev 1</t>
        </is>
      </c>
      <c r="O1379" s="23" t="inlineStr">
        <is>
          <t>R916-v3</t>
        </is>
      </c>
      <c r="P1379" s="23" t="inlineStr"/>
      <c r="Q1379" s="23" t="inlineStr"/>
      <c r="R1379" s="23" t="inlineStr"/>
      <c r="S1379" s="23" t="inlineStr"/>
      <c r="T1379" s="23" t="inlineStr">
        <is>
          <t>Group decision (182 records sharing one decision state), carried forward</t>
        </is>
      </c>
      <c r="U1379" s="23" t="inlineStr"/>
      <c r="V1379" s="23" t="inlineStr"/>
      <c r="W1379" s="23" t="inlineStr"/>
    </row>
    <row r="1380" ht="94" customHeight="1">
      <c r="A1380" s="23" t="inlineStr">
        <is>
          <t>UNSURE</t>
        </is>
      </c>
      <c r="B1380" s="23" t="inlineStr"/>
      <c r="C1380" s="23" t="inlineStr">
        <is>
          <t>Contractor Programme</t>
        </is>
      </c>
      <c r="D1380" s="23" t="inlineStr">
        <is>
          <t>SCH-06-017</t>
        </is>
      </c>
      <c r="E1380" s="23" t="inlineStr">
        <is>
          <t>Fleet package: commercial change review - inspection</t>
        </is>
      </c>
      <c r="F1380" s="23" t="inlineStr">
        <is>
          <t>UNSURE</t>
        </is>
      </c>
      <c r="G1380" s="23" t="inlineStr">
        <is>
          <t>RETAINED</t>
        </is>
      </c>
      <c r="H1380" s="23" t="inlineStr">
        <is>
          <t>Carried forward</t>
        </is>
      </c>
      <c r="I1380" s="23" t="inlineStr">
        <is>
          <t>Earlier professional decision, carried forward</t>
        </is>
      </c>
      <c r="J1380" s="23" t="inlineStr">
        <is>
          <t>Maya Chen, Owner Project Controls</t>
        </is>
      </c>
      <c r="K1380" s="23" t="inlineStr">
        <is>
          <t>Professional</t>
        </is>
      </c>
      <c r="L1380" s="23" t="inlineStr"/>
      <c r="M1380" s="23" t="inlineStr">
        <is>
          <t>Contractor Programme Cycle 2</t>
        </is>
      </c>
      <c r="N1380" s="23" t="inlineStr">
        <is>
          <t>Rev 1</t>
        </is>
      </c>
      <c r="O1380" s="23" t="inlineStr">
        <is>
          <t>R917-v3</t>
        </is>
      </c>
      <c r="P1380" s="23" t="inlineStr"/>
      <c r="Q1380" s="23" t="inlineStr"/>
      <c r="R1380" s="23" t="inlineStr"/>
      <c r="S1380" s="23" t="inlineStr"/>
      <c r="T1380" s="23" t="inlineStr">
        <is>
          <t>Group decision (182 records sharing one decision state), carried forward</t>
        </is>
      </c>
      <c r="U1380" s="23" t="inlineStr"/>
      <c r="V1380" s="23" t="inlineStr"/>
      <c r="W1380" s="23" t="inlineStr"/>
    </row>
    <row r="1381" ht="94" customHeight="1">
      <c r="A1381" s="23" t="inlineStr">
        <is>
          <t>UNSURE</t>
        </is>
      </c>
      <c r="B1381" s="23" t="inlineStr"/>
      <c r="C1381" s="23" t="inlineStr">
        <is>
          <t>Contractor Programme</t>
        </is>
      </c>
      <c r="D1381" s="23" t="inlineStr">
        <is>
          <t>SCH-06-018</t>
        </is>
      </c>
      <c r="E1381" s="23" t="inlineStr">
        <is>
          <t>Program office: design-package integration review - turnover</t>
        </is>
      </c>
      <c r="F1381" s="23" t="inlineStr">
        <is>
          <t>UNSURE</t>
        </is>
      </c>
      <c r="G1381" s="23" t="inlineStr">
        <is>
          <t>RETAINED</t>
        </is>
      </c>
      <c r="H1381" s="23" t="inlineStr">
        <is>
          <t>Carried forward</t>
        </is>
      </c>
      <c r="I1381" s="23" t="inlineStr">
        <is>
          <t>Earlier professional decision, carried forward</t>
        </is>
      </c>
      <c r="J1381" s="23" t="inlineStr">
        <is>
          <t>Maya Chen, Owner Project Controls</t>
        </is>
      </c>
      <c r="K1381" s="23" t="inlineStr">
        <is>
          <t>Professional</t>
        </is>
      </c>
      <c r="L1381" s="23" t="inlineStr"/>
      <c r="M1381" s="23" t="inlineStr">
        <is>
          <t>Contractor Programme Cycle 2</t>
        </is>
      </c>
      <c r="N1381" s="23" t="inlineStr">
        <is>
          <t>Rev 1</t>
        </is>
      </c>
      <c r="O1381" s="23" t="inlineStr">
        <is>
          <t>R918-v3</t>
        </is>
      </c>
      <c r="P1381" s="23" t="inlineStr"/>
      <c r="Q1381" s="23" t="inlineStr"/>
      <c r="R1381" s="23" t="inlineStr"/>
      <c r="S1381" s="23" t="inlineStr"/>
      <c r="T1381" s="23" t="inlineStr">
        <is>
          <t>Group decision (182 records sharing one decision state), carried forward</t>
        </is>
      </c>
      <c r="U1381" s="23" t="inlineStr"/>
      <c r="V1381" s="23" t="inlineStr"/>
      <c r="W1381" s="23" t="inlineStr"/>
    </row>
    <row r="1382" ht="94" customHeight="1">
      <c r="A1382" s="23" t="inlineStr">
        <is>
          <t>UNSURE</t>
        </is>
      </c>
      <c r="B1382" s="23" t="inlineStr"/>
      <c r="C1382" s="23" t="inlineStr">
        <is>
          <t>Contractor Programme</t>
        </is>
      </c>
      <c r="D1382" s="23" t="inlineStr">
        <is>
          <t>SCH-06-019</t>
        </is>
      </c>
      <c r="E1382" s="23" t="inlineStr">
        <is>
          <t>Civil package: executive reporting close - release</t>
        </is>
      </c>
      <c r="F1382" s="23" t="inlineStr">
        <is>
          <t>UNSURE</t>
        </is>
      </c>
      <c r="G1382" s="23" t="inlineStr">
        <is>
          <t>RETAINED</t>
        </is>
      </c>
      <c r="H1382" s="23" t="inlineStr">
        <is>
          <t>Carried forward</t>
        </is>
      </c>
      <c r="I1382" s="23" t="inlineStr">
        <is>
          <t>Earlier professional decision, carried forward</t>
        </is>
      </c>
      <c r="J1382" s="23" t="inlineStr">
        <is>
          <t>Maya Chen, Owner Project Controls</t>
        </is>
      </c>
      <c r="K1382" s="23" t="inlineStr">
        <is>
          <t>Professional</t>
        </is>
      </c>
      <c r="L1382" s="23" t="inlineStr"/>
      <c r="M1382" s="23" t="inlineStr">
        <is>
          <t>Contractor Programme Cycle 2</t>
        </is>
      </c>
      <c r="N1382" s="23" t="inlineStr">
        <is>
          <t>Rev 1</t>
        </is>
      </c>
      <c r="O1382" s="23" t="inlineStr">
        <is>
          <t>R919-v3</t>
        </is>
      </c>
      <c r="P1382" s="23" t="inlineStr"/>
      <c r="Q1382" s="23" t="inlineStr"/>
      <c r="R1382" s="23" t="inlineStr"/>
      <c r="S1382" s="23" t="inlineStr"/>
      <c r="T1382" s="23" t="inlineStr">
        <is>
          <t>Group decision (182 records sharing one decision state), carried forward</t>
        </is>
      </c>
      <c r="U1382" s="23" t="inlineStr"/>
      <c r="V1382" s="23" t="inlineStr"/>
      <c r="W1382" s="23" t="inlineStr"/>
    </row>
    <row r="1383" ht="94" customHeight="1">
      <c r="A1383" s="23" t="inlineStr">
        <is>
          <t>UNSURE</t>
        </is>
      </c>
      <c r="B1383" s="23" t="inlineStr"/>
      <c r="C1383" s="23" t="inlineStr">
        <is>
          <t>Contractor Programme</t>
        </is>
      </c>
      <c r="D1383" s="23" t="inlineStr">
        <is>
          <t>SCH-06-020</t>
        </is>
      </c>
      <c r="E1383" s="23" t="inlineStr">
        <is>
          <t>Stations package: permit coordination - field start</t>
        </is>
      </c>
      <c r="F1383" s="23" t="inlineStr">
        <is>
          <t>UNSURE</t>
        </is>
      </c>
      <c r="G1383" s="23" t="inlineStr">
        <is>
          <t>RETAINED</t>
        </is>
      </c>
      <c r="H1383" s="23" t="inlineStr">
        <is>
          <t>Carried forward</t>
        </is>
      </c>
      <c r="I1383" s="23" t="inlineStr">
        <is>
          <t>Earlier professional decision, carried forward</t>
        </is>
      </c>
      <c r="J1383" s="23" t="inlineStr">
        <is>
          <t>Maya Chen, Owner Project Controls</t>
        </is>
      </c>
      <c r="K1383" s="23" t="inlineStr">
        <is>
          <t>Professional</t>
        </is>
      </c>
      <c r="L1383" s="23" t="inlineStr"/>
      <c r="M1383" s="23" t="inlineStr">
        <is>
          <t>Contractor Programme Cycle 2</t>
        </is>
      </c>
      <c r="N1383" s="23" t="inlineStr">
        <is>
          <t>Rev 1</t>
        </is>
      </c>
      <c r="O1383" s="23" t="inlineStr">
        <is>
          <t>R920-v3</t>
        </is>
      </c>
      <c r="P1383" s="23" t="inlineStr"/>
      <c r="Q1383" s="23" t="inlineStr"/>
      <c r="R1383" s="23" t="inlineStr"/>
      <c r="S1383" s="23" t="inlineStr"/>
      <c r="T1383" s="23" t="inlineStr">
        <is>
          <t>Group decision (182 records sharing one decision state), carried forward</t>
        </is>
      </c>
      <c r="U1383" s="23" t="inlineStr"/>
      <c r="V1383" s="23" t="inlineStr"/>
      <c r="W1383" s="23" t="inlineStr"/>
    </row>
    <row r="1384" ht="94" customHeight="1">
      <c r="A1384" s="23" t="inlineStr">
        <is>
          <t>UNSURE</t>
        </is>
      </c>
      <c r="B1384" s="23" t="inlineStr"/>
      <c r="C1384" s="23" t="inlineStr">
        <is>
          <t>Contractor Programme</t>
        </is>
      </c>
      <c r="D1384" s="23" t="inlineStr">
        <is>
          <t>SCH-06-021</t>
        </is>
      </c>
      <c r="E1384" s="23" t="inlineStr">
        <is>
          <t>Systems package: delivery risk workshop - installation</t>
        </is>
      </c>
      <c r="F1384" s="23" t="inlineStr">
        <is>
          <t>UNSURE</t>
        </is>
      </c>
      <c r="G1384" s="23" t="inlineStr">
        <is>
          <t>RETAINED</t>
        </is>
      </c>
      <c r="H1384" s="23" t="inlineStr">
        <is>
          <t>Carried forward</t>
        </is>
      </c>
      <c r="I1384" s="23" t="inlineStr">
        <is>
          <t>Earlier professional decision, carried forward</t>
        </is>
      </c>
      <c r="J1384" s="23" t="inlineStr">
        <is>
          <t>Maya Chen, Owner Project Controls</t>
        </is>
      </c>
      <c r="K1384" s="23" t="inlineStr">
        <is>
          <t>Professional</t>
        </is>
      </c>
      <c r="L1384" s="23" t="inlineStr"/>
      <c r="M1384" s="23" t="inlineStr">
        <is>
          <t>Contractor Programme Cycle 2</t>
        </is>
      </c>
      <c r="N1384" s="23" t="inlineStr">
        <is>
          <t>Rev 1</t>
        </is>
      </c>
      <c r="O1384" s="23" t="inlineStr">
        <is>
          <t>R921-v3</t>
        </is>
      </c>
      <c r="P1384" s="23" t="inlineStr"/>
      <c r="Q1384" s="23" t="inlineStr"/>
      <c r="R1384" s="23" t="inlineStr"/>
      <c r="S1384" s="23" t="inlineStr"/>
      <c r="T1384" s="23" t="inlineStr">
        <is>
          <t>Group decision (182 records sharing one decision state), carried forward</t>
        </is>
      </c>
      <c r="U1384" s="23" t="inlineStr"/>
      <c r="V1384" s="23" t="inlineStr"/>
      <c r="W1384" s="23" t="inlineStr"/>
    </row>
    <row r="1385" ht="94" customHeight="1">
      <c r="A1385" s="23" t="inlineStr">
        <is>
          <t>UNSURE</t>
        </is>
      </c>
      <c r="B1385" s="23" t="inlineStr"/>
      <c r="C1385" s="23" t="inlineStr">
        <is>
          <t>Contractor Programme</t>
        </is>
      </c>
      <c r="D1385" s="23" t="inlineStr">
        <is>
          <t>SCH-06-022</t>
        </is>
      </c>
      <c r="E1385" s="23" t="inlineStr">
        <is>
          <t>Fleet package: monthly controls cut-off - inspection</t>
        </is>
      </c>
      <c r="F1385" s="23" t="inlineStr">
        <is>
          <t>UNSURE</t>
        </is>
      </c>
      <c r="G1385" s="23" t="inlineStr">
        <is>
          <t>RETAINED</t>
        </is>
      </c>
      <c r="H1385" s="23" t="inlineStr">
        <is>
          <t>Carried forward</t>
        </is>
      </c>
      <c r="I1385" s="23" t="inlineStr">
        <is>
          <t>Earlier professional decision, carried forward</t>
        </is>
      </c>
      <c r="J1385" s="23" t="inlineStr">
        <is>
          <t>Maya Chen, Owner Project Controls</t>
        </is>
      </c>
      <c r="K1385" s="23" t="inlineStr">
        <is>
          <t>Professional</t>
        </is>
      </c>
      <c r="L1385" s="23" t="inlineStr"/>
      <c r="M1385" s="23" t="inlineStr">
        <is>
          <t>Contractor Programme Cycle 2</t>
        </is>
      </c>
      <c r="N1385" s="23" t="inlineStr">
        <is>
          <t>Rev 1</t>
        </is>
      </c>
      <c r="O1385" s="23" t="inlineStr">
        <is>
          <t>R922-v3</t>
        </is>
      </c>
      <c r="P1385" s="23" t="inlineStr"/>
      <c r="Q1385" s="23" t="inlineStr"/>
      <c r="R1385" s="23" t="inlineStr"/>
      <c r="S1385" s="23" t="inlineStr"/>
      <c r="T1385" s="23" t="inlineStr">
        <is>
          <t>Group decision (182 records sharing one decision state), carried forward</t>
        </is>
      </c>
      <c r="U1385" s="23" t="inlineStr"/>
      <c r="V1385" s="23" t="inlineStr"/>
      <c r="W1385" s="23" t="inlineStr"/>
    </row>
    <row r="1386" ht="94" customHeight="1">
      <c r="A1386" s="23" t="inlineStr">
        <is>
          <t>UNSURE</t>
        </is>
      </c>
      <c r="B1386" s="23" t="inlineStr"/>
      <c r="C1386" s="23" t="inlineStr">
        <is>
          <t>Contractor Programme</t>
        </is>
      </c>
      <c r="D1386" s="23" t="inlineStr">
        <is>
          <t>SCH-06-023</t>
        </is>
      </c>
      <c r="E1386" s="23" t="inlineStr">
        <is>
          <t>Program office: stakeholder interface meeting - turnover</t>
        </is>
      </c>
      <c r="F1386" s="23" t="inlineStr">
        <is>
          <t>UNSURE</t>
        </is>
      </c>
      <c r="G1386" s="23" t="inlineStr">
        <is>
          <t>RETAINED</t>
        </is>
      </c>
      <c r="H1386" s="23" t="inlineStr">
        <is>
          <t>Carried forward</t>
        </is>
      </c>
      <c r="I1386" s="23" t="inlineStr">
        <is>
          <t>Earlier professional decision, carried forward</t>
        </is>
      </c>
      <c r="J1386" s="23" t="inlineStr">
        <is>
          <t>Maya Chen, Owner Project Controls</t>
        </is>
      </c>
      <c r="K1386" s="23" t="inlineStr">
        <is>
          <t>Professional</t>
        </is>
      </c>
      <c r="L1386" s="23" t="inlineStr"/>
      <c r="M1386" s="23" t="inlineStr">
        <is>
          <t>Contractor Programme Cycle 2</t>
        </is>
      </c>
      <c r="N1386" s="23" t="inlineStr">
        <is>
          <t>Rev 1</t>
        </is>
      </c>
      <c r="O1386" s="23" t="inlineStr">
        <is>
          <t>R923-v3</t>
        </is>
      </c>
      <c r="P1386" s="23" t="inlineStr"/>
      <c r="Q1386" s="23" t="inlineStr"/>
      <c r="R1386" s="23" t="inlineStr"/>
      <c r="S1386" s="23" t="inlineStr"/>
      <c r="T1386" s="23" t="inlineStr">
        <is>
          <t>Group decision (182 records sharing one decision state), carried forward</t>
        </is>
      </c>
      <c r="U1386" s="23" t="inlineStr"/>
      <c r="V1386" s="23" t="inlineStr"/>
      <c r="W1386" s="23" t="inlineStr"/>
    </row>
    <row r="1387" ht="94" customHeight="1">
      <c r="A1387" s="23" t="inlineStr">
        <is>
          <t>UNSURE</t>
        </is>
      </c>
      <c r="B1387" s="23" t="inlineStr"/>
      <c r="C1387" s="23" t="inlineStr">
        <is>
          <t>Contractor Programme</t>
        </is>
      </c>
      <c r="D1387" s="23" t="inlineStr">
        <is>
          <t>SCH-06-024</t>
        </is>
      </c>
      <c r="E1387" s="23" t="inlineStr">
        <is>
          <t>Civil package: baseline change control - release</t>
        </is>
      </c>
      <c r="F1387" s="23" t="inlineStr">
        <is>
          <t>UNSURE</t>
        </is>
      </c>
      <c r="G1387" s="23" t="inlineStr">
        <is>
          <t>RETAINED</t>
        </is>
      </c>
      <c r="H1387" s="23" t="inlineStr">
        <is>
          <t>Carried forward</t>
        </is>
      </c>
      <c r="I1387" s="23" t="inlineStr">
        <is>
          <t>Earlier professional decision, carried forward</t>
        </is>
      </c>
      <c r="J1387" s="23" t="inlineStr">
        <is>
          <t>Maya Chen, Owner Project Controls</t>
        </is>
      </c>
      <c r="K1387" s="23" t="inlineStr">
        <is>
          <t>Professional</t>
        </is>
      </c>
      <c r="L1387" s="23" t="inlineStr"/>
      <c r="M1387" s="23" t="inlineStr">
        <is>
          <t>Contractor Programme Cycle 2</t>
        </is>
      </c>
      <c r="N1387" s="23" t="inlineStr">
        <is>
          <t>Rev 1</t>
        </is>
      </c>
      <c r="O1387" s="23" t="inlineStr">
        <is>
          <t>R924-v3</t>
        </is>
      </c>
      <c r="P1387" s="23" t="inlineStr"/>
      <c r="Q1387" s="23" t="inlineStr"/>
      <c r="R1387" s="23" t="inlineStr"/>
      <c r="S1387" s="23" t="inlineStr"/>
      <c r="T1387" s="23" t="inlineStr">
        <is>
          <t>Group decision (182 records sharing one decision state), carried forward</t>
        </is>
      </c>
      <c r="U1387" s="23" t="inlineStr"/>
      <c r="V1387" s="23" t="inlineStr"/>
      <c r="W1387" s="23" t="inlineStr"/>
    </row>
    <row r="1388" ht="94" customHeight="1">
      <c r="A1388" s="23" t="inlineStr">
        <is>
          <t>UNSURE</t>
        </is>
      </c>
      <c r="B1388" s="23" t="inlineStr"/>
      <c r="C1388" s="23" t="inlineStr">
        <is>
          <t>Contractor Programme</t>
        </is>
      </c>
      <c r="D1388" s="23" t="inlineStr">
        <is>
          <t>SCH-06-025</t>
        </is>
      </c>
      <c r="E1388" s="23" t="inlineStr">
        <is>
          <t>Stations package: commercial change review - field start</t>
        </is>
      </c>
      <c r="F1388" s="23" t="inlineStr">
        <is>
          <t>UNSURE</t>
        </is>
      </c>
      <c r="G1388" s="23" t="inlineStr">
        <is>
          <t>RETAINED</t>
        </is>
      </c>
      <c r="H1388" s="23" t="inlineStr">
        <is>
          <t>Carried forward</t>
        </is>
      </c>
      <c r="I1388" s="23" t="inlineStr">
        <is>
          <t>Earlier professional decision, carried forward</t>
        </is>
      </c>
      <c r="J1388" s="23" t="inlineStr">
        <is>
          <t>Maya Chen, Owner Project Controls</t>
        </is>
      </c>
      <c r="K1388" s="23" t="inlineStr">
        <is>
          <t>Professional</t>
        </is>
      </c>
      <c r="L1388" s="23" t="inlineStr"/>
      <c r="M1388" s="23" t="inlineStr">
        <is>
          <t>Contractor Programme Cycle 2</t>
        </is>
      </c>
      <c r="N1388" s="23" t="inlineStr">
        <is>
          <t>Rev 1</t>
        </is>
      </c>
      <c r="O1388" s="23" t="inlineStr">
        <is>
          <t>R925-v3</t>
        </is>
      </c>
      <c r="P1388" s="23" t="inlineStr"/>
      <c r="Q1388" s="23" t="inlineStr"/>
      <c r="R1388" s="23" t="inlineStr"/>
      <c r="S1388" s="23" t="inlineStr"/>
      <c r="T1388" s="23" t="inlineStr">
        <is>
          <t>Group decision (182 records sharing one decision state), carried forward</t>
        </is>
      </c>
      <c r="U1388" s="23" t="inlineStr"/>
      <c r="V1388" s="23" t="inlineStr"/>
      <c r="W1388" s="23" t="inlineStr"/>
    </row>
    <row r="1389" ht="94" customHeight="1">
      <c r="A1389" s="23" t="inlineStr">
        <is>
          <t>UNSURE</t>
        </is>
      </c>
      <c r="B1389" s="23" t="inlineStr"/>
      <c r="C1389" s="23" t="inlineStr">
        <is>
          <t>Contractor Programme</t>
        </is>
      </c>
      <c r="D1389" s="23" t="inlineStr">
        <is>
          <t>SCH-06-026</t>
        </is>
      </c>
      <c r="E1389" s="23" t="inlineStr">
        <is>
          <t>Systems package: design-package integration review - installation</t>
        </is>
      </c>
      <c r="F1389" s="23" t="inlineStr">
        <is>
          <t>UNSURE</t>
        </is>
      </c>
      <c r="G1389" s="23" t="inlineStr">
        <is>
          <t>RETAINED</t>
        </is>
      </c>
      <c r="H1389" s="23" t="inlineStr">
        <is>
          <t>Carried forward</t>
        </is>
      </c>
      <c r="I1389" s="23" t="inlineStr">
        <is>
          <t>Earlier professional decision, carried forward</t>
        </is>
      </c>
      <c r="J1389" s="23" t="inlineStr">
        <is>
          <t>Maya Chen, Owner Project Controls</t>
        </is>
      </c>
      <c r="K1389" s="23" t="inlineStr">
        <is>
          <t>Professional</t>
        </is>
      </c>
      <c r="L1389" s="23" t="inlineStr"/>
      <c r="M1389" s="23" t="inlineStr">
        <is>
          <t>Contractor Programme Cycle 2</t>
        </is>
      </c>
      <c r="N1389" s="23" t="inlineStr">
        <is>
          <t>Rev 1</t>
        </is>
      </c>
      <c r="O1389" s="23" t="inlineStr">
        <is>
          <t>R926-v3</t>
        </is>
      </c>
      <c r="P1389" s="23" t="inlineStr"/>
      <c r="Q1389" s="23" t="inlineStr"/>
      <c r="R1389" s="23" t="inlineStr"/>
      <c r="S1389" s="23" t="inlineStr"/>
      <c r="T1389" s="23" t="inlineStr">
        <is>
          <t>Group decision (182 records sharing one decision state), carried forward</t>
        </is>
      </c>
      <c r="U1389" s="23" t="inlineStr"/>
      <c r="V1389" s="23" t="inlineStr"/>
      <c r="W1389" s="23" t="inlineStr"/>
    </row>
    <row r="1390" ht="94" customHeight="1">
      <c r="A1390" s="23" t="inlineStr">
        <is>
          <t>UNSURE</t>
        </is>
      </c>
      <c r="B1390" s="23" t="inlineStr"/>
      <c r="C1390" s="23" t="inlineStr">
        <is>
          <t>Contractor Programme</t>
        </is>
      </c>
      <c r="D1390" s="23" t="inlineStr">
        <is>
          <t>SCH-06-027</t>
        </is>
      </c>
      <c r="E1390" s="23" t="inlineStr">
        <is>
          <t>Fleet package: executive reporting close - inspection</t>
        </is>
      </c>
      <c r="F1390" s="23" t="inlineStr">
        <is>
          <t>UNSURE</t>
        </is>
      </c>
      <c r="G1390" s="23" t="inlineStr">
        <is>
          <t>RETAINED</t>
        </is>
      </c>
      <c r="H1390" s="23" t="inlineStr">
        <is>
          <t>Carried forward</t>
        </is>
      </c>
      <c r="I1390" s="23" t="inlineStr">
        <is>
          <t>Earlier professional decision, carried forward</t>
        </is>
      </c>
      <c r="J1390" s="23" t="inlineStr">
        <is>
          <t>Maya Chen, Owner Project Controls</t>
        </is>
      </c>
      <c r="K1390" s="23" t="inlineStr">
        <is>
          <t>Professional</t>
        </is>
      </c>
      <c r="L1390" s="23" t="inlineStr"/>
      <c r="M1390" s="23" t="inlineStr">
        <is>
          <t>Contractor Programme Cycle 2</t>
        </is>
      </c>
      <c r="N1390" s="23" t="inlineStr">
        <is>
          <t>Rev 1</t>
        </is>
      </c>
      <c r="O1390" s="23" t="inlineStr">
        <is>
          <t>R927-v3</t>
        </is>
      </c>
      <c r="P1390" s="23" t="inlineStr"/>
      <c r="Q1390" s="23" t="inlineStr"/>
      <c r="R1390" s="23" t="inlineStr"/>
      <c r="S1390" s="23" t="inlineStr"/>
      <c r="T1390" s="23" t="inlineStr">
        <is>
          <t>Group decision (182 records sharing one decision state), carried forward</t>
        </is>
      </c>
      <c r="U1390" s="23" t="inlineStr"/>
      <c r="V1390" s="23" t="inlineStr"/>
      <c r="W1390" s="23" t="inlineStr"/>
    </row>
    <row r="1391" ht="94" customHeight="1">
      <c r="A1391" s="23" t="inlineStr">
        <is>
          <t>UNSURE</t>
        </is>
      </c>
      <c r="B1391" s="23" t="inlineStr"/>
      <c r="C1391" s="23" t="inlineStr">
        <is>
          <t>Contractor Programme</t>
        </is>
      </c>
      <c r="D1391" s="23" t="inlineStr">
        <is>
          <t>SCH-06-028</t>
        </is>
      </c>
      <c r="E1391" s="23" t="inlineStr">
        <is>
          <t>Program office: permit coordination - turnover</t>
        </is>
      </c>
      <c r="F1391" s="23" t="inlineStr">
        <is>
          <t>UNSURE</t>
        </is>
      </c>
      <c r="G1391" s="23" t="inlineStr">
        <is>
          <t>RETAINED</t>
        </is>
      </c>
      <c r="H1391" s="23" t="inlineStr">
        <is>
          <t>Carried forward</t>
        </is>
      </c>
      <c r="I1391" s="23" t="inlineStr">
        <is>
          <t>Earlier professional decision, carried forward</t>
        </is>
      </c>
      <c r="J1391" s="23" t="inlineStr">
        <is>
          <t>Maya Chen, Owner Project Controls</t>
        </is>
      </c>
      <c r="K1391" s="23" t="inlineStr">
        <is>
          <t>Professional</t>
        </is>
      </c>
      <c r="L1391" s="23" t="inlineStr"/>
      <c r="M1391" s="23" t="inlineStr">
        <is>
          <t>Contractor Programme Cycle 2</t>
        </is>
      </c>
      <c r="N1391" s="23" t="inlineStr">
        <is>
          <t>Rev 1</t>
        </is>
      </c>
      <c r="O1391" s="23" t="inlineStr">
        <is>
          <t>R928-v3</t>
        </is>
      </c>
      <c r="P1391" s="23" t="inlineStr"/>
      <c r="Q1391" s="23" t="inlineStr"/>
      <c r="R1391" s="23" t="inlineStr"/>
      <c r="S1391" s="23" t="inlineStr"/>
      <c r="T1391" s="23" t="inlineStr">
        <is>
          <t>Group decision (182 records sharing one decision state), carried forward</t>
        </is>
      </c>
      <c r="U1391" s="23" t="inlineStr"/>
      <c r="V1391" s="23" t="inlineStr"/>
      <c r="W1391" s="23" t="inlineStr"/>
    </row>
    <row r="1392" ht="94" customHeight="1">
      <c r="A1392" s="23" t="inlineStr">
        <is>
          <t>UNSURE</t>
        </is>
      </c>
      <c r="B1392" s="23" t="inlineStr"/>
      <c r="C1392" s="23" t="inlineStr">
        <is>
          <t>Contractor Programme</t>
        </is>
      </c>
      <c r="D1392" s="23" t="inlineStr">
        <is>
          <t>SCH-06-029</t>
        </is>
      </c>
      <c r="E1392" s="23" t="inlineStr">
        <is>
          <t>Civil package: delivery risk workshop - release</t>
        </is>
      </c>
      <c r="F1392" s="23" t="inlineStr">
        <is>
          <t>UNSURE</t>
        </is>
      </c>
      <c r="G1392" s="23" t="inlineStr">
        <is>
          <t>RETAINED</t>
        </is>
      </c>
      <c r="H1392" s="23" t="inlineStr">
        <is>
          <t>Carried forward</t>
        </is>
      </c>
      <c r="I1392" s="23" t="inlineStr">
        <is>
          <t>Earlier professional decision, carried forward</t>
        </is>
      </c>
      <c r="J1392" s="23" t="inlineStr">
        <is>
          <t>Maya Chen, Owner Project Controls</t>
        </is>
      </c>
      <c r="K1392" s="23" t="inlineStr">
        <is>
          <t>Professional</t>
        </is>
      </c>
      <c r="L1392" s="23" t="inlineStr"/>
      <c r="M1392" s="23" t="inlineStr">
        <is>
          <t>Contractor Programme Cycle 2</t>
        </is>
      </c>
      <c r="N1392" s="23" t="inlineStr">
        <is>
          <t>Rev 1</t>
        </is>
      </c>
      <c r="O1392" s="23" t="inlineStr">
        <is>
          <t>R929-v3</t>
        </is>
      </c>
      <c r="P1392" s="23" t="inlineStr"/>
      <c r="Q1392" s="23" t="inlineStr"/>
      <c r="R1392" s="23" t="inlineStr"/>
      <c r="S1392" s="23" t="inlineStr"/>
      <c r="T1392" s="23" t="inlineStr">
        <is>
          <t>Group decision (182 records sharing one decision state), carried forward</t>
        </is>
      </c>
      <c r="U1392" s="23" t="inlineStr"/>
      <c r="V1392" s="23" t="inlineStr"/>
      <c r="W1392" s="23" t="inlineStr"/>
    </row>
    <row r="1393" ht="94" customHeight="1">
      <c r="A1393" s="23" t="inlineStr">
        <is>
          <t>UNSURE</t>
        </is>
      </c>
      <c r="B1393" s="23" t="inlineStr"/>
      <c r="C1393" s="23" t="inlineStr">
        <is>
          <t>Contractor Programme</t>
        </is>
      </c>
      <c r="D1393" s="23" t="inlineStr">
        <is>
          <t>SCH-06-030</t>
        </is>
      </c>
      <c r="E1393" s="23" t="inlineStr">
        <is>
          <t>Stations package: monthly controls cut-off - field start</t>
        </is>
      </c>
      <c r="F1393" s="23" t="inlineStr">
        <is>
          <t>UNSURE</t>
        </is>
      </c>
      <c r="G1393" s="23" t="inlineStr">
        <is>
          <t>RETAINED</t>
        </is>
      </c>
      <c r="H1393" s="23" t="inlineStr">
        <is>
          <t>Carried forward</t>
        </is>
      </c>
      <c r="I1393" s="23" t="inlineStr">
        <is>
          <t>Earlier professional decision, carried forward</t>
        </is>
      </c>
      <c r="J1393" s="23" t="inlineStr">
        <is>
          <t>Maya Chen, Owner Project Controls</t>
        </is>
      </c>
      <c r="K1393" s="23" t="inlineStr">
        <is>
          <t>Professional</t>
        </is>
      </c>
      <c r="L1393" s="23" t="inlineStr"/>
      <c r="M1393" s="23" t="inlineStr">
        <is>
          <t>Contractor Programme Cycle 2</t>
        </is>
      </c>
      <c r="N1393" s="23" t="inlineStr">
        <is>
          <t>Rev 1</t>
        </is>
      </c>
      <c r="O1393" s="23" t="inlineStr">
        <is>
          <t>R930-v3</t>
        </is>
      </c>
      <c r="P1393" s="23" t="inlineStr"/>
      <c r="Q1393" s="23" t="inlineStr"/>
      <c r="R1393" s="23" t="inlineStr"/>
      <c r="S1393" s="23" t="inlineStr"/>
      <c r="T1393" s="23" t="inlineStr">
        <is>
          <t>Group decision (182 records sharing one decision state), carried forward</t>
        </is>
      </c>
      <c r="U1393" s="23" t="inlineStr"/>
      <c r="V1393" s="23" t="inlineStr"/>
      <c r="W1393" s="23" t="inlineStr"/>
    </row>
    <row r="1394" ht="94" customHeight="1">
      <c r="A1394" s="23" t="inlineStr">
        <is>
          <t>UNSURE</t>
        </is>
      </c>
      <c r="B1394" s="23" t="inlineStr"/>
      <c r="C1394" s="23" t="inlineStr">
        <is>
          <t>Contractor Programme</t>
        </is>
      </c>
      <c r="D1394" s="23" t="inlineStr">
        <is>
          <t>SCH-06-031</t>
        </is>
      </c>
      <c r="E1394" s="23" t="inlineStr">
        <is>
          <t>Systems package: stakeholder interface meeting - installation</t>
        </is>
      </c>
      <c r="F1394" s="23" t="inlineStr">
        <is>
          <t>UNSURE</t>
        </is>
      </c>
      <c r="G1394" s="23" t="inlineStr">
        <is>
          <t>RETAINED</t>
        </is>
      </c>
      <c r="H1394" s="23" t="inlineStr">
        <is>
          <t>Carried forward</t>
        </is>
      </c>
      <c r="I1394" s="23" t="inlineStr">
        <is>
          <t>Earlier professional decision, carried forward</t>
        </is>
      </c>
      <c r="J1394" s="23" t="inlineStr">
        <is>
          <t>Maya Chen, Owner Project Controls</t>
        </is>
      </c>
      <c r="K1394" s="23" t="inlineStr">
        <is>
          <t>Professional</t>
        </is>
      </c>
      <c r="L1394" s="23" t="inlineStr"/>
      <c r="M1394" s="23" t="inlineStr">
        <is>
          <t>Contractor Programme Cycle 2</t>
        </is>
      </c>
      <c r="N1394" s="23" t="inlineStr">
        <is>
          <t>Rev 1</t>
        </is>
      </c>
      <c r="O1394" s="23" t="inlineStr">
        <is>
          <t>R931-v3</t>
        </is>
      </c>
      <c r="P1394" s="23" t="inlineStr"/>
      <c r="Q1394" s="23" t="inlineStr"/>
      <c r="R1394" s="23" t="inlineStr"/>
      <c r="S1394" s="23" t="inlineStr"/>
      <c r="T1394" s="23" t="inlineStr">
        <is>
          <t>Group decision (182 records sharing one decision state), carried forward</t>
        </is>
      </c>
      <c r="U1394" s="23" t="inlineStr"/>
      <c r="V1394" s="23" t="inlineStr"/>
      <c r="W1394" s="23" t="inlineStr"/>
    </row>
    <row r="1395" ht="94" customHeight="1">
      <c r="A1395" s="23" t="inlineStr">
        <is>
          <t>UNSURE</t>
        </is>
      </c>
      <c r="B1395" s="23" t="inlineStr"/>
      <c r="C1395" s="23" t="inlineStr">
        <is>
          <t>Contractor Programme</t>
        </is>
      </c>
      <c r="D1395" s="23" t="inlineStr">
        <is>
          <t>SCH-06-032</t>
        </is>
      </c>
      <c r="E1395" s="23" t="inlineStr">
        <is>
          <t>Fleet package: baseline change control - inspection</t>
        </is>
      </c>
      <c r="F1395" s="23" t="inlineStr">
        <is>
          <t>UNSURE</t>
        </is>
      </c>
      <c r="G1395" s="23" t="inlineStr">
        <is>
          <t>RETAINED</t>
        </is>
      </c>
      <c r="H1395" s="23" t="inlineStr">
        <is>
          <t>Carried forward</t>
        </is>
      </c>
      <c r="I1395" s="23" t="inlineStr">
        <is>
          <t>Earlier professional decision, carried forward</t>
        </is>
      </c>
      <c r="J1395" s="23" t="inlineStr">
        <is>
          <t>Maya Chen, Owner Project Controls</t>
        </is>
      </c>
      <c r="K1395" s="23" t="inlineStr">
        <is>
          <t>Professional</t>
        </is>
      </c>
      <c r="L1395" s="23" t="inlineStr"/>
      <c r="M1395" s="23" t="inlineStr">
        <is>
          <t>Contractor Programme Cycle 2</t>
        </is>
      </c>
      <c r="N1395" s="23" t="inlineStr">
        <is>
          <t>Rev 1</t>
        </is>
      </c>
      <c r="O1395" s="23" t="inlineStr">
        <is>
          <t>R932-v3</t>
        </is>
      </c>
      <c r="P1395" s="23" t="inlineStr"/>
      <c r="Q1395" s="23" t="inlineStr"/>
      <c r="R1395" s="23" t="inlineStr"/>
      <c r="S1395" s="23" t="inlineStr"/>
      <c r="T1395" s="23" t="inlineStr">
        <is>
          <t>Group decision (182 records sharing one decision state), carried forward</t>
        </is>
      </c>
      <c r="U1395" s="23" t="inlineStr"/>
      <c r="V1395" s="23" t="inlineStr"/>
      <c r="W1395" s="23" t="inlineStr"/>
    </row>
    <row r="1396" ht="94" customHeight="1">
      <c r="A1396" s="23" t="inlineStr">
        <is>
          <t>UNSURE</t>
        </is>
      </c>
      <c r="B1396" s="23" t="inlineStr"/>
      <c r="C1396" s="23" t="inlineStr">
        <is>
          <t>Contractor Programme</t>
        </is>
      </c>
      <c r="D1396" s="23" t="inlineStr">
        <is>
          <t>SCH-06-033</t>
        </is>
      </c>
      <c r="E1396" s="23" t="inlineStr">
        <is>
          <t>Program office: commercial change review - turnover</t>
        </is>
      </c>
      <c r="F1396" s="23" t="inlineStr">
        <is>
          <t>UNSURE</t>
        </is>
      </c>
      <c r="G1396" s="23" t="inlineStr">
        <is>
          <t>RETAINED</t>
        </is>
      </c>
      <c r="H1396" s="23" t="inlineStr">
        <is>
          <t>Carried forward</t>
        </is>
      </c>
      <c r="I1396" s="23" t="inlineStr">
        <is>
          <t>Earlier professional decision, carried forward</t>
        </is>
      </c>
      <c r="J1396" s="23" t="inlineStr">
        <is>
          <t>Maya Chen, Owner Project Controls</t>
        </is>
      </c>
      <c r="K1396" s="23" t="inlineStr">
        <is>
          <t>Professional</t>
        </is>
      </c>
      <c r="L1396" s="23" t="inlineStr"/>
      <c r="M1396" s="23" t="inlineStr">
        <is>
          <t>Contractor Programme Cycle 2</t>
        </is>
      </c>
      <c r="N1396" s="23" t="inlineStr">
        <is>
          <t>Rev 1</t>
        </is>
      </c>
      <c r="O1396" s="23" t="inlineStr">
        <is>
          <t>R933-v3</t>
        </is>
      </c>
      <c r="P1396" s="23" t="inlineStr"/>
      <c r="Q1396" s="23" t="inlineStr"/>
      <c r="R1396" s="23" t="inlineStr"/>
      <c r="S1396" s="23" t="inlineStr"/>
      <c r="T1396" s="23" t="inlineStr">
        <is>
          <t>Group decision (182 records sharing one decision state), carried forward</t>
        </is>
      </c>
      <c r="U1396" s="23" t="inlineStr"/>
      <c r="V1396" s="23" t="inlineStr"/>
      <c r="W1396" s="23" t="inlineStr"/>
    </row>
    <row r="1397" ht="94" customHeight="1">
      <c r="A1397" s="23" t="inlineStr">
        <is>
          <t>UNSURE</t>
        </is>
      </c>
      <c r="B1397" s="23" t="inlineStr"/>
      <c r="C1397" s="23" t="inlineStr">
        <is>
          <t>Contractor Programme</t>
        </is>
      </c>
      <c r="D1397" s="23" t="inlineStr">
        <is>
          <t>SCH-06-034</t>
        </is>
      </c>
      <c r="E1397" s="23" t="inlineStr">
        <is>
          <t>Civil package: design-package integration review - release</t>
        </is>
      </c>
      <c r="F1397" s="23" t="inlineStr">
        <is>
          <t>UNSURE</t>
        </is>
      </c>
      <c r="G1397" s="23" t="inlineStr">
        <is>
          <t>RETAINED</t>
        </is>
      </c>
      <c r="H1397" s="23" t="inlineStr">
        <is>
          <t>Carried forward</t>
        </is>
      </c>
      <c r="I1397" s="23" t="inlineStr">
        <is>
          <t>Earlier professional decision, carried forward</t>
        </is>
      </c>
      <c r="J1397" s="23" t="inlineStr">
        <is>
          <t>Maya Chen, Owner Project Controls</t>
        </is>
      </c>
      <c r="K1397" s="23" t="inlineStr">
        <is>
          <t>Professional</t>
        </is>
      </c>
      <c r="L1397" s="23" t="inlineStr"/>
      <c r="M1397" s="23" t="inlineStr">
        <is>
          <t>Contractor Programme Cycle 2</t>
        </is>
      </c>
      <c r="N1397" s="23" t="inlineStr">
        <is>
          <t>Rev 1</t>
        </is>
      </c>
      <c r="O1397" s="23" t="inlineStr">
        <is>
          <t>R934-v3</t>
        </is>
      </c>
      <c r="P1397" s="23" t="inlineStr"/>
      <c r="Q1397" s="23" t="inlineStr"/>
      <c r="R1397" s="23" t="inlineStr"/>
      <c r="S1397" s="23" t="inlineStr"/>
      <c r="T1397" s="23" t="inlineStr">
        <is>
          <t>Group decision (182 records sharing one decision state), carried forward</t>
        </is>
      </c>
      <c r="U1397" s="23" t="inlineStr"/>
      <c r="V1397" s="23" t="inlineStr"/>
      <c r="W1397" s="23" t="inlineStr"/>
    </row>
    <row r="1398" ht="94" customHeight="1">
      <c r="A1398" s="23" t="inlineStr">
        <is>
          <t>UNSURE</t>
        </is>
      </c>
      <c r="B1398" s="23" t="inlineStr"/>
      <c r="C1398" s="23" t="inlineStr">
        <is>
          <t>Contractor Programme</t>
        </is>
      </c>
      <c r="D1398" s="23" t="inlineStr">
        <is>
          <t>SCH-06-035</t>
        </is>
      </c>
      <c r="E1398" s="23" t="inlineStr">
        <is>
          <t>Stations package: executive reporting close - field start</t>
        </is>
      </c>
      <c r="F1398" s="23" t="inlineStr">
        <is>
          <t>UNSURE</t>
        </is>
      </c>
      <c r="G1398" s="23" t="inlineStr">
        <is>
          <t>RETAINED</t>
        </is>
      </c>
      <c r="H1398" s="23" t="inlineStr">
        <is>
          <t>Carried forward</t>
        </is>
      </c>
      <c r="I1398" s="23" t="inlineStr">
        <is>
          <t>Earlier professional decision, carried forward</t>
        </is>
      </c>
      <c r="J1398" s="23" t="inlineStr">
        <is>
          <t>Maya Chen, Owner Project Controls</t>
        </is>
      </c>
      <c r="K1398" s="23" t="inlineStr">
        <is>
          <t>Professional</t>
        </is>
      </c>
      <c r="L1398" s="23" t="inlineStr"/>
      <c r="M1398" s="23" t="inlineStr">
        <is>
          <t>Contractor Programme Cycle 2</t>
        </is>
      </c>
      <c r="N1398" s="23" t="inlineStr">
        <is>
          <t>Rev 1</t>
        </is>
      </c>
      <c r="O1398" s="23" t="inlineStr">
        <is>
          <t>R935-v3</t>
        </is>
      </c>
      <c r="P1398" s="23" t="inlineStr"/>
      <c r="Q1398" s="23" t="inlineStr"/>
      <c r="R1398" s="23" t="inlineStr"/>
      <c r="S1398" s="23" t="inlineStr"/>
      <c r="T1398" s="23" t="inlineStr">
        <is>
          <t>Group decision (182 records sharing one decision state), carried forward</t>
        </is>
      </c>
      <c r="U1398" s="23" t="inlineStr"/>
      <c r="V1398" s="23" t="inlineStr"/>
      <c r="W1398" s="23" t="inlineStr"/>
    </row>
    <row r="1399" ht="94" customHeight="1">
      <c r="A1399" s="23" t="inlineStr">
        <is>
          <t>UNSURE</t>
        </is>
      </c>
      <c r="B1399" s="23" t="inlineStr"/>
      <c r="C1399" s="23" t="inlineStr">
        <is>
          <t>Contractor Programme</t>
        </is>
      </c>
      <c r="D1399" s="23" t="inlineStr">
        <is>
          <t>SCH-06-036</t>
        </is>
      </c>
      <c r="E1399" s="23" t="inlineStr">
        <is>
          <t>Systems package: permit coordination - installation</t>
        </is>
      </c>
      <c r="F1399" s="23" t="inlineStr">
        <is>
          <t>UNSURE</t>
        </is>
      </c>
      <c r="G1399" s="23" t="inlineStr">
        <is>
          <t>RETAINED</t>
        </is>
      </c>
      <c r="H1399" s="23" t="inlineStr">
        <is>
          <t>Carried forward</t>
        </is>
      </c>
      <c r="I1399" s="23" t="inlineStr">
        <is>
          <t>Earlier professional decision, carried forward</t>
        </is>
      </c>
      <c r="J1399" s="23" t="inlineStr">
        <is>
          <t>Maya Chen, Owner Project Controls</t>
        </is>
      </c>
      <c r="K1399" s="23" t="inlineStr">
        <is>
          <t>Professional</t>
        </is>
      </c>
      <c r="L1399" s="23" t="inlineStr"/>
      <c r="M1399" s="23" t="inlineStr">
        <is>
          <t>Contractor Programme Cycle 2</t>
        </is>
      </c>
      <c r="N1399" s="23" t="inlineStr">
        <is>
          <t>Rev 1</t>
        </is>
      </c>
      <c r="O1399" s="23" t="inlineStr">
        <is>
          <t>R936-v3</t>
        </is>
      </c>
      <c r="P1399" s="23" t="inlineStr"/>
      <c r="Q1399" s="23" t="inlineStr"/>
      <c r="R1399" s="23" t="inlineStr"/>
      <c r="S1399" s="23" t="inlineStr"/>
      <c r="T1399" s="23" t="inlineStr">
        <is>
          <t>Group decision (182 records sharing one decision state), carried forward</t>
        </is>
      </c>
      <c r="U1399" s="23" t="inlineStr"/>
      <c r="V1399" s="23" t="inlineStr"/>
      <c r="W1399" s="23" t="inlineStr"/>
    </row>
    <row r="1400" ht="94" customHeight="1">
      <c r="A1400" s="23" t="inlineStr">
        <is>
          <t>UNSURE</t>
        </is>
      </c>
      <c r="B1400" s="23" t="inlineStr"/>
      <c r="C1400" s="23" t="inlineStr">
        <is>
          <t>Contractor Programme</t>
        </is>
      </c>
      <c r="D1400" s="23" t="inlineStr">
        <is>
          <t>SCH-06-037</t>
        </is>
      </c>
      <c r="E1400" s="23" t="inlineStr">
        <is>
          <t>Fleet package: delivery risk workshop - inspection</t>
        </is>
      </c>
      <c r="F1400" s="23" t="inlineStr">
        <is>
          <t>UNSURE</t>
        </is>
      </c>
      <c r="G1400" s="23" t="inlineStr">
        <is>
          <t>RETAINED</t>
        </is>
      </c>
      <c r="H1400" s="23" t="inlineStr">
        <is>
          <t>Carried forward</t>
        </is>
      </c>
      <c r="I1400" s="23" t="inlineStr">
        <is>
          <t>Earlier professional decision, carried forward</t>
        </is>
      </c>
      <c r="J1400" s="23" t="inlineStr">
        <is>
          <t>Maya Chen, Owner Project Controls</t>
        </is>
      </c>
      <c r="K1400" s="23" t="inlineStr">
        <is>
          <t>Professional</t>
        </is>
      </c>
      <c r="L1400" s="23" t="inlineStr"/>
      <c r="M1400" s="23" t="inlineStr">
        <is>
          <t>Contractor Programme Cycle 2</t>
        </is>
      </c>
      <c r="N1400" s="23" t="inlineStr">
        <is>
          <t>Rev 1</t>
        </is>
      </c>
      <c r="O1400" s="23" t="inlineStr">
        <is>
          <t>R937-v3</t>
        </is>
      </c>
      <c r="P1400" s="23" t="inlineStr"/>
      <c r="Q1400" s="23" t="inlineStr"/>
      <c r="R1400" s="23" t="inlineStr"/>
      <c r="S1400" s="23" t="inlineStr"/>
      <c r="T1400" s="23" t="inlineStr">
        <is>
          <t>Group decision (182 records sharing one decision state), carried forward</t>
        </is>
      </c>
      <c r="U1400" s="23" t="inlineStr"/>
      <c r="V1400" s="23" t="inlineStr"/>
      <c r="W1400" s="23" t="inlineStr"/>
    </row>
    <row r="1401" ht="94" customHeight="1">
      <c r="A1401" s="23" t="inlineStr">
        <is>
          <t>UNSURE</t>
        </is>
      </c>
      <c r="B1401" s="23" t="inlineStr"/>
      <c r="C1401" s="23" t="inlineStr">
        <is>
          <t>Contractor Programme</t>
        </is>
      </c>
      <c r="D1401" s="23" t="inlineStr">
        <is>
          <t>SCH-06-038</t>
        </is>
      </c>
      <c r="E1401" s="23" t="inlineStr">
        <is>
          <t>Program office: monthly controls cut-off - turnover</t>
        </is>
      </c>
      <c r="F1401" s="23" t="inlineStr">
        <is>
          <t>UNSURE</t>
        </is>
      </c>
      <c r="G1401" s="23" t="inlineStr">
        <is>
          <t>RETAINED</t>
        </is>
      </c>
      <c r="H1401" s="23" t="inlineStr">
        <is>
          <t>Carried forward</t>
        </is>
      </c>
      <c r="I1401" s="23" t="inlineStr">
        <is>
          <t>Earlier professional decision, carried forward</t>
        </is>
      </c>
      <c r="J1401" s="23" t="inlineStr">
        <is>
          <t>Maya Chen, Owner Project Controls</t>
        </is>
      </c>
      <c r="K1401" s="23" t="inlineStr">
        <is>
          <t>Professional</t>
        </is>
      </c>
      <c r="L1401" s="23" t="inlineStr"/>
      <c r="M1401" s="23" t="inlineStr">
        <is>
          <t>Contractor Programme Cycle 2</t>
        </is>
      </c>
      <c r="N1401" s="23" t="inlineStr">
        <is>
          <t>Rev 1</t>
        </is>
      </c>
      <c r="O1401" s="23" t="inlineStr">
        <is>
          <t>R938-v3</t>
        </is>
      </c>
      <c r="P1401" s="23" t="inlineStr"/>
      <c r="Q1401" s="23" t="inlineStr"/>
      <c r="R1401" s="23" t="inlineStr"/>
      <c r="S1401" s="23" t="inlineStr"/>
      <c r="T1401" s="23" t="inlineStr">
        <is>
          <t>Group decision (182 records sharing one decision state), carried forward</t>
        </is>
      </c>
      <c r="U1401" s="23" t="inlineStr"/>
      <c r="V1401" s="23" t="inlineStr"/>
      <c r="W1401" s="23" t="inlineStr"/>
    </row>
    <row r="1402" ht="94" customHeight="1">
      <c r="A1402" s="23" t="inlineStr">
        <is>
          <t>UNSURE</t>
        </is>
      </c>
      <c r="B1402" s="23" t="inlineStr"/>
      <c r="C1402" s="23" t="inlineStr">
        <is>
          <t>Contractor Programme</t>
        </is>
      </c>
      <c r="D1402" s="23" t="inlineStr">
        <is>
          <t>SCH-06-039</t>
        </is>
      </c>
      <c r="E1402" s="23" t="inlineStr">
        <is>
          <t>Civil package: stakeholder interface meeting - release</t>
        </is>
      </c>
      <c r="F1402" s="23" t="inlineStr">
        <is>
          <t>UNSURE</t>
        </is>
      </c>
      <c r="G1402" s="23" t="inlineStr">
        <is>
          <t>RETAINED</t>
        </is>
      </c>
      <c r="H1402" s="23" t="inlineStr">
        <is>
          <t>Carried forward</t>
        </is>
      </c>
      <c r="I1402" s="23" t="inlineStr">
        <is>
          <t>Earlier professional decision, carried forward</t>
        </is>
      </c>
      <c r="J1402" s="23" t="inlineStr">
        <is>
          <t>Maya Chen, Owner Project Controls</t>
        </is>
      </c>
      <c r="K1402" s="23" t="inlineStr">
        <is>
          <t>Professional</t>
        </is>
      </c>
      <c r="L1402" s="23" t="inlineStr"/>
      <c r="M1402" s="23" t="inlineStr">
        <is>
          <t>Contractor Programme Cycle 2</t>
        </is>
      </c>
      <c r="N1402" s="23" t="inlineStr">
        <is>
          <t>Rev 1</t>
        </is>
      </c>
      <c r="O1402" s="23" t="inlineStr">
        <is>
          <t>R939-v3</t>
        </is>
      </c>
      <c r="P1402" s="23" t="inlineStr"/>
      <c r="Q1402" s="23" t="inlineStr"/>
      <c r="R1402" s="23" t="inlineStr"/>
      <c r="S1402" s="23" t="inlineStr"/>
      <c r="T1402" s="23" t="inlineStr">
        <is>
          <t>Group decision (182 records sharing one decision state), carried forward</t>
        </is>
      </c>
      <c r="U1402" s="23" t="inlineStr"/>
      <c r="V1402" s="23" t="inlineStr"/>
      <c r="W1402" s="23" t="inlineStr"/>
    </row>
    <row r="1403" ht="94" customHeight="1">
      <c r="A1403" s="23" t="inlineStr">
        <is>
          <t>UNSURE</t>
        </is>
      </c>
      <c r="B1403" s="23" t="inlineStr"/>
      <c r="C1403" s="23" t="inlineStr">
        <is>
          <t>Contractor Programme</t>
        </is>
      </c>
      <c r="D1403" s="23" t="inlineStr">
        <is>
          <t>SCH-06-040</t>
        </is>
      </c>
      <c r="E1403" s="23" t="inlineStr">
        <is>
          <t>Stations package: baseline change control - field start</t>
        </is>
      </c>
      <c r="F1403" s="23" t="inlineStr">
        <is>
          <t>UNSURE</t>
        </is>
      </c>
      <c r="G1403" s="23" t="inlineStr">
        <is>
          <t>RETAINED</t>
        </is>
      </c>
      <c r="H1403" s="23" t="inlineStr">
        <is>
          <t>Carried forward</t>
        </is>
      </c>
      <c r="I1403" s="23" t="inlineStr">
        <is>
          <t>Earlier professional decision, carried forward</t>
        </is>
      </c>
      <c r="J1403" s="23" t="inlineStr">
        <is>
          <t>Maya Chen, Owner Project Controls</t>
        </is>
      </c>
      <c r="K1403" s="23" t="inlineStr">
        <is>
          <t>Professional</t>
        </is>
      </c>
      <c r="L1403" s="23" t="inlineStr"/>
      <c r="M1403" s="23" t="inlineStr">
        <is>
          <t>Contractor Programme Cycle 2</t>
        </is>
      </c>
      <c r="N1403" s="23" t="inlineStr">
        <is>
          <t>Rev 1</t>
        </is>
      </c>
      <c r="O1403" s="23" t="inlineStr">
        <is>
          <t>R940-v3</t>
        </is>
      </c>
      <c r="P1403" s="23" t="inlineStr"/>
      <c r="Q1403" s="23" t="inlineStr"/>
      <c r="R1403" s="23" t="inlineStr"/>
      <c r="S1403" s="23" t="inlineStr"/>
      <c r="T1403" s="23" t="inlineStr">
        <is>
          <t>Group decision (182 records sharing one decision state), carried forward</t>
        </is>
      </c>
      <c r="U1403" s="23" t="inlineStr"/>
      <c r="V1403" s="23" t="inlineStr"/>
      <c r="W1403" s="23" t="inlineStr"/>
    </row>
    <row r="1404" ht="94" customHeight="1">
      <c r="A1404" s="23" t="inlineStr">
        <is>
          <t>UNSURE</t>
        </is>
      </c>
      <c r="B1404" s="23" t="inlineStr"/>
      <c r="C1404" s="23" t="inlineStr">
        <is>
          <t>Contractor Programme</t>
        </is>
      </c>
      <c r="D1404" s="23" t="inlineStr">
        <is>
          <t>SCH-06-041</t>
        </is>
      </c>
      <c r="E1404" s="23" t="inlineStr">
        <is>
          <t>Systems package: commercial change review - installation</t>
        </is>
      </c>
      <c r="F1404" s="23" t="inlineStr">
        <is>
          <t>UNSURE</t>
        </is>
      </c>
      <c r="G1404" s="23" t="inlineStr">
        <is>
          <t>RETAINED</t>
        </is>
      </c>
      <c r="H1404" s="23" t="inlineStr">
        <is>
          <t>Carried forward</t>
        </is>
      </c>
      <c r="I1404" s="23" t="inlineStr">
        <is>
          <t>Earlier professional decision, carried forward</t>
        </is>
      </c>
      <c r="J1404" s="23" t="inlineStr">
        <is>
          <t>Maya Chen, Owner Project Controls</t>
        </is>
      </c>
      <c r="K1404" s="23" t="inlineStr">
        <is>
          <t>Professional</t>
        </is>
      </c>
      <c r="L1404" s="23" t="inlineStr"/>
      <c r="M1404" s="23" t="inlineStr">
        <is>
          <t>Contractor Programme Cycle 2</t>
        </is>
      </c>
      <c r="N1404" s="23" t="inlineStr">
        <is>
          <t>Rev 1</t>
        </is>
      </c>
      <c r="O1404" s="23" t="inlineStr">
        <is>
          <t>R941-v3</t>
        </is>
      </c>
      <c r="P1404" s="23" t="inlineStr"/>
      <c r="Q1404" s="23" t="inlineStr"/>
      <c r="R1404" s="23" t="inlineStr"/>
      <c r="S1404" s="23" t="inlineStr"/>
      <c r="T1404" s="23" t="inlineStr">
        <is>
          <t>Group decision (182 records sharing one decision state), carried forward</t>
        </is>
      </c>
      <c r="U1404" s="23" t="inlineStr"/>
      <c r="V1404" s="23" t="inlineStr"/>
      <c r="W1404" s="23" t="inlineStr"/>
    </row>
    <row r="1405" ht="94" customHeight="1">
      <c r="A1405" s="23" t="inlineStr">
        <is>
          <t>UNSURE</t>
        </is>
      </c>
      <c r="B1405" s="23" t="inlineStr"/>
      <c r="C1405" s="23" t="inlineStr">
        <is>
          <t>Contractor Programme</t>
        </is>
      </c>
      <c r="D1405" s="23" t="inlineStr">
        <is>
          <t>SCH-06-042</t>
        </is>
      </c>
      <c r="E1405" s="23" t="inlineStr">
        <is>
          <t>Fleet package: design-package integration review - inspection</t>
        </is>
      </c>
      <c r="F1405" s="23" t="inlineStr">
        <is>
          <t>UNSURE</t>
        </is>
      </c>
      <c r="G1405" s="23" t="inlineStr">
        <is>
          <t>RETAINED</t>
        </is>
      </c>
      <c r="H1405" s="23" t="inlineStr">
        <is>
          <t>Carried forward</t>
        </is>
      </c>
      <c r="I1405" s="23" t="inlineStr">
        <is>
          <t>Earlier professional decision, carried forward</t>
        </is>
      </c>
      <c r="J1405" s="23" t="inlineStr">
        <is>
          <t>Maya Chen, Owner Project Controls</t>
        </is>
      </c>
      <c r="K1405" s="23" t="inlineStr">
        <is>
          <t>Professional</t>
        </is>
      </c>
      <c r="L1405" s="23" t="inlineStr"/>
      <c r="M1405" s="23" t="inlineStr">
        <is>
          <t>Contractor Programme Cycle 2</t>
        </is>
      </c>
      <c r="N1405" s="23" t="inlineStr">
        <is>
          <t>Rev 1</t>
        </is>
      </c>
      <c r="O1405" s="23" t="inlineStr">
        <is>
          <t>R942-v3</t>
        </is>
      </c>
      <c r="P1405" s="23" t="inlineStr"/>
      <c r="Q1405" s="23" t="inlineStr"/>
      <c r="R1405" s="23" t="inlineStr"/>
      <c r="S1405" s="23" t="inlineStr"/>
      <c r="T1405" s="23" t="inlineStr">
        <is>
          <t>Group decision (182 records sharing one decision state), carried forward</t>
        </is>
      </c>
      <c r="U1405" s="23" t="inlineStr"/>
      <c r="V1405" s="23" t="inlineStr"/>
      <c r="W1405" s="23" t="inlineStr"/>
    </row>
    <row r="1406" ht="94" customHeight="1">
      <c r="A1406" s="23" t="inlineStr">
        <is>
          <t>UNSURE</t>
        </is>
      </c>
      <c r="B1406" s="23" t="inlineStr"/>
      <c r="C1406" s="23" t="inlineStr">
        <is>
          <t>Contractor Programme</t>
        </is>
      </c>
      <c r="D1406" s="23" t="inlineStr">
        <is>
          <t>SCH-06-043</t>
        </is>
      </c>
      <c r="E1406" s="23" t="inlineStr">
        <is>
          <t>Program office: executive reporting close - turnover</t>
        </is>
      </c>
      <c r="F1406" s="23" t="inlineStr">
        <is>
          <t>UNSURE</t>
        </is>
      </c>
      <c r="G1406" s="23" t="inlineStr">
        <is>
          <t>RETAINED</t>
        </is>
      </c>
      <c r="H1406" s="23" t="inlineStr">
        <is>
          <t>Carried forward</t>
        </is>
      </c>
      <c r="I1406" s="23" t="inlineStr">
        <is>
          <t>Earlier professional decision, carried forward</t>
        </is>
      </c>
      <c r="J1406" s="23" t="inlineStr">
        <is>
          <t>Maya Chen, Owner Project Controls</t>
        </is>
      </c>
      <c r="K1406" s="23" t="inlineStr">
        <is>
          <t>Professional</t>
        </is>
      </c>
      <c r="L1406" s="23" t="inlineStr"/>
      <c r="M1406" s="23" t="inlineStr">
        <is>
          <t>Contractor Programme Cycle 2</t>
        </is>
      </c>
      <c r="N1406" s="23" t="inlineStr">
        <is>
          <t>Rev 1</t>
        </is>
      </c>
      <c r="O1406" s="23" t="inlineStr">
        <is>
          <t>R943-v3</t>
        </is>
      </c>
      <c r="P1406" s="23" t="inlineStr"/>
      <c r="Q1406" s="23" t="inlineStr"/>
      <c r="R1406" s="23" t="inlineStr"/>
      <c r="S1406" s="23" t="inlineStr"/>
      <c r="T1406" s="23" t="inlineStr">
        <is>
          <t>Group decision (182 records sharing one decision state), carried forward</t>
        </is>
      </c>
      <c r="U1406" s="23" t="inlineStr"/>
      <c r="V1406" s="23" t="inlineStr"/>
      <c r="W1406" s="23" t="inlineStr"/>
    </row>
    <row r="1407" ht="94" customHeight="1">
      <c r="A1407" s="23" t="inlineStr">
        <is>
          <t>UNSURE</t>
        </is>
      </c>
      <c r="B1407" s="23" t="inlineStr"/>
      <c r="C1407" s="23" t="inlineStr">
        <is>
          <t>Contractor Programme</t>
        </is>
      </c>
      <c r="D1407" s="23" t="inlineStr">
        <is>
          <t>SCH-06-044</t>
        </is>
      </c>
      <c r="E1407" s="23" t="inlineStr">
        <is>
          <t>Civil package: permit coordination - release</t>
        </is>
      </c>
      <c r="F1407" s="23" t="inlineStr">
        <is>
          <t>UNSURE</t>
        </is>
      </c>
      <c r="G1407" s="23" t="inlineStr">
        <is>
          <t>RETAINED</t>
        </is>
      </c>
      <c r="H1407" s="23" t="inlineStr">
        <is>
          <t>Carried forward</t>
        </is>
      </c>
      <c r="I1407" s="23" t="inlineStr">
        <is>
          <t>Earlier professional decision, carried forward</t>
        </is>
      </c>
      <c r="J1407" s="23" t="inlineStr">
        <is>
          <t>Maya Chen, Owner Project Controls</t>
        </is>
      </c>
      <c r="K1407" s="23" t="inlineStr">
        <is>
          <t>Professional</t>
        </is>
      </c>
      <c r="L1407" s="23" t="inlineStr"/>
      <c r="M1407" s="23" t="inlineStr">
        <is>
          <t>Contractor Programme Cycle 2</t>
        </is>
      </c>
      <c r="N1407" s="23" t="inlineStr">
        <is>
          <t>Rev 1</t>
        </is>
      </c>
      <c r="O1407" s="23" t="inlineStr">
        <is>
          <t>R944-v3</t>
        </is>
      </c>
      <c r="P1407" s="23" t="inlineStr"/>
      <c r="Q1407" s="23" t="inlineStr"/>
      <c r="R1407" s="23" t="inlineStr"/>
      <c r="S1407" s="23" t="inlineStr"/>
      <c r="T1407" s="23" t="inlineStr">
        <is>
          <t>Group decision (182 records sharing one decision state), carried forward</t>
        </is>
      </c>
      <c r="U1407" s="23" t="inlineStr"/>
      <c r="V1407" s="23" t="inlineStr"/>
      <c r="W1407" s="23" t="inlineStr"/>
    </row>
    <row r="1408" ht="94" customHeight="1">
      <c r="A1408" s="23" t="inlineStr">
        <is>
          <t>UNSURE</t>
        </is>
      </c>
      <c r="B1408" s="23" t="inlineStr"/>
      <c r="C1408" s="23" t="inlineStr">
        <is>
          <t>Contractor Programme</t>
        </is>
      </c>
      <c r="D1408" s="23" t="inlineStr">
        <is>
          <t>SCH-06-045</t>
        </is>
      </c>
      <c r="E1408" s="23" t="inlineStr">
        <is>
          <t>Stations package: delivery risk workshop - field start</t>
        </is>
      </c>
      <c r="F1408" s="23" t="inlineStr">
        <is>
          <t>UNSURE</t>
        </is>
      </c>
      <c r="G1408" s="23" t="inlineStr">
        <is>
          <t>RETAINED</t>
        </is>
      </c>
      <c r="H1408" s="23" t="inlineStr">
        <is>
          <t>Carried forward</t>
        </is>
      </c>
      <c r="I1408" s="23" t="inlineStr">
        <is>
          <t>Earlier professional decision, carried forward</t>
        </is>
      </c>
      <c r="J1408" s="23" t="inlineStr">
        <is>
          <t>Maya Chen, Owner Project Controls</t>
        </is>
      </c>
      <c r="K1408" s="23" t="inlineStr">
        <is>
          <t>Professional</t>
        </is>
      </c>
      <c r="L1408" s="23" t="inlineStr"/>
      <c r="M1408" s="23" t="inlineStr">
        <is>
          <t>Contractor Programme Cycle 2</t>
        </is>
      </c>
      <c r="N1408" s="23" t="inlineStr">
        <is>
          <t>Rev 1</t>
        </is>
      </c>
      <c r="O1408" s="23" t="inlineStr">
        <is>
          <t>R945-v3</t>
        </is>
      </c>
      <c r="P1408" s="23" t="inlineStr"/>
      <c r="Q1408" s="23" t="inlineStr"/>
      <c r="R1408" s="23" t="inlineStr"/>
      <c r="S1408" s="23" t="inlineStr"/>
      <c r="T1408" s="23" t="inlineStr">
        <is>
          <t>Group decision (182 records sharing one decision state), carried forward</t>
        </is>
      </c>
      <c r="U1408" s="23" t="inlineStr"/>
      <c r="V1408" s="23" t="inlineStr"/>
      <c r="W1408" s="23" t="inlineStr"/>
    </row>
    <row r="1409" ht="94" customHeight="1">
      <c r="A1409" s="23" t="inlineStr">
        <is>
          <t>UNSURE</t>
        </is>
      </c>
      <c r="B1409" s="23" t="inlineStr"/>
      <c r="C1409" s="23" t="inlineStr">
        <is>
          <t>Contractor Programme</t>
        </is>
      </c>
      <c r="D1409" s="23" t="inlineStr">
        <is>
          <t>SCH-06-046</t>
        </is>
      </c>
      <c r="E1409" s="23" t="inlineStr">
        <is>
          <t>Systems package: monthly controls cut-off - installation</t>
        </is>
      </c>
      <c r="F1409" s="23" t="inlineStr">
        <is>
          <t>UNSURE</t>
        </is>
      </c>
      <c r="G1409" s="23" t="inlineStr">
        <is>
          <t>RETAINED</t>
        </is>
      </c>
      <c r="H1409" s="23" t="inlineStr">
        <is>
          <t>Carried forward</t>
        </is>
      </c>
      <c r="I1409" s="23" t="inlineStr">
        <is>
          <t>Earlier professional decision, carried forward</t>
        </is>
      </c>
      <c r="J1409" s="23" t="inlineStr">
        <is>
          <t>Maya Chen, Owner Project Controls</t>
        </is>
      </c>
      <c r="K1409" s="23" t="inlineStr">
        <is>
          <t>Professional</t>
        </is>
      </c>
      <c r="L1409" s="23" t="inlineStr"/>
      <c r="M1409" s="23" t="inlineStr">
        <is>
          <t>Contractor Programme Cycle 2</t>
        </is>
      </c>
      <c r="N1409" s="23" t="inlineStr">
        <is>
          <t>Rev 1</t>
        </is>
      </c>
      <c r="O1409" s="23" t="inlineStr">
        <is>
          <t>R946-v3</t>
        </is>
      </c>
      <c r="P1409" s="23" t="inlineStr"/>
      <c r="Q1409" s="23" t="inlineStr"/>
      <c r="R1409" s="23" t="inlineStr"/>
      <c r="S1409" s="23" t="inlineStr"/>
      <c r="T1409" s="23" t="inlineStr">
        <is>
          <t>Group decision (182 records sharing one decision state), carried forward</t>
        </is>
      </c>
      <c r="U1409" s="23" t="inlineStr"/>
      <c r="V1409" s="23" t="inlineStr"/>
      <c r="W1409" s="23" t="inlineStr"/>
    </row>
    <row r="1410" ht="94" customHeight="1">
      <c r="A1410" s="23" t="inlineStr">
        <is>
          <t>UNSURE</t>
        </is>
      </c>
      <c r="B1410" s="23" t="inlineStr"/>
      <c r="C1410" s="23" t="inlineStr">
        <is>
          <t>Contractor Programme</t>
        </is>
      </c>
      <c r="D1410" s="23" t="inlineStr">
        <is>
          <t>SCH-06-047</t>
        </is>
      </c>
      <c r="E1410" s="23" t="inlineStr">
        <is>
          <t>Fleet package: stakeholder interface meeting - inspection</t>
        </is>
      </c>
      <c r="F1410" s="23" t="inlineStr">
        <is>
          <t>UNSURE</t>
        </is>
      </c>
      <c r="G1410" s="23" t="inlineStr">
        <is>
          <t>RETAINED</t>
        </is>
      </c>
      <c r="H1410" s="23" t="inlineStr">
        <is>
          <t>Carried forward</t>
        </is>
      </c>
      <c r="I1410" s="23" t="inlineStr">
        <is>
          <t>Earlier professional decision, carried forward</t>
        </is>
      </c>
      <c r="J1410" s="23" t="inlineStr">
        <is>
          <t>Maya Chen, Owner Project Controls</t>
        </is>
      </c>
      <c r="K1410" s="23" t="inlineStr">
        <is>
          <t>Professional</t>
        </is>
      </c>
      <c r="L1410" s="23" t="inlineStr"/>
      <c r="M1410" s="23" t="inlineStr">
        <is>
          <t>Contractor Programme Cycle 2</t>
        </is>
      </c>
      <c r="N1410" s="23" t="inlineStr">
        <is>
          <t>Rev 1</t>
        </is>
      </c>
      <c r="O1410" s="23" t="inlineStr">
        <is>
          <t>R947-v3</t>
        </is>
      </c>
      <c r="P1410" s="23" t="inlineStr"/>
      <c r="Q1410" s="23" t="inlineStr"/>
      <c r="R1410" s="23" t="inlineStr"/>
      <c r="S1410" s="23" t="inlineStr"/>
      <c r="T1410" s="23" t="inlineStr">
        <is>
          <t>Group decision (182 records sharing one decision state), carried forward</t>
        </is>
      </c>
      <c r="U1410" s="23" t="inlineStr"/>
      <c r="V1410" s="23" t="inlineStr"/>
      <c r="W1410" s="23" t="inlineStr"/>
    </row>
    <row r="1411" ht="94" customHeight="1">
      <c r="A1411" s="23" t="inlineStr">
        <is>
          <t>UNSURE</t>
        </is>
      </c>
      <c r="B1411" s="23" t="inlineStr"/>
      <c r="C1411" s="23" t="inlineStr">
        <is>
          <t>Contractor Programme</t>
        </is>
      </c>
      <c r="D1411" s="23" t="inlineStr">
        <is>
          <t>SCH-06-048</t>
        </is>
      </c>
      <c r="E1411" s="23" t="inlineStr">
        <is>
          <t>Program office: baseline change control - turnover</t>
        </is>
      </c>
      <c r="F1411" s="23" t="inlineStr">
        <is>
          <t>UNSURE</t>
        </is>
      </c>
      <c r="G1411" s="23" t="inlineStr">
        <is>
          <t>RETAINED</t>
        </is>
      </c>
      <c r="H1411" s="23" t="inlineStr">
        <is>
          <t>Carried forward</t>
        </is>
      </c>
      <c r="I1411" s="23" t="inlineStr">
        <is>
          <t>Earlier professional decision, carried forward</t>
        </is>
      </c>
      <c r="J1411" s="23" t="inlineStr">
        <is>
          <t>Maya Chen, Owner Project Controls</t>
        </is>
      </c>
      <c r="K1411" s="23" t="inlineStr">
        <is>
          <t>Professional</t>
        </is>
      </c>
      <c r="L1411" s="23" t="inlineStr"/>
      <c r="M1411" s="23" t="inlineStr">
        <is>
          <t>Contractor Programme Cycle 2</t>
        </is>
      </c>
      <c r="N1411" s="23" t="inlineStr">
        <is>
          <t>Rev 1</t>
        </is>
      </c>
      <c r="O1411" s="23" t="inlineStr">
        <is>
          <t>R948-v3</t>
        </is>
      </c>
      <c r="P1411" s="23" t="inlineStr"/>
      <c r="Q1411" s="23" t="inlineStr"/>
      <c r="R1411" s="23" t="inlineStr"/>
      <c r="S1411" s="23" t="inlineStr"/>
      <c r="T1411" s="23" t="inlineStr">
        <is>
          <t>Group decision (182 records sharing one decision state), carried forward</t>
        </is>
      </c>
      <c r="U1411" s="23" t="inlineStr"/>
      <c r="V1411" s="23" t="inlineStr"/>
      <c r="W1411" s="23" t="inlineStr"/>
    </row>
    <row r="1412" ht="94" customHeight="1">
      <c r="A1412" s="23" t="inlineStr">
        <is>
          <t>UNSURE</t>
        </is>
      </c>
      <c r="B1412" s="23" t="inlineStr"/>
      <c r="C1412" s="23" t="inlineStr">
        <is>
          <t>Contractor Programme</t>
        </is>
      </c>
      <c r="D1412" s="23" t="inlineStr">
        <is>
          <t>SCH-06-049</t>
        </is>
      </c>
      <c r="E1412" s="23" t="inlineStr">
        <is>
          <t>Civil package: commercial change review - release</t>
        </is>
      </c>
      <c r="F1412" s="23" t="inlineStr">
        <is>
          <t>UNSURE</t>
        </is>
      </c>
      <c r="G1412" s="23" t="inlineStr">
        <is>
          <t>RETAINED</t>
        </is>
      </c>
      <c r="H1412" s="23" t="inlineStr">
        <is>
          <t>Carried forward</t>
        </is>
      </c>
      <c r="I1412" s="23" t="inlineStr">
        <is>
          <t>Earlier professional decision, carried forward</t>
        </is>
      </c>
      <c r="J1412" s="23" t="inlineStr">
        <is>
          <t>Maya Chen, Owner Project Controls</t>
        </is>
      </c>
      <c r="K1412" s="23" t="inlineStr">
        <is>
          <t>Professional</t>
        </is>
      </c>
      <c r="L1412" s="23" t="inlineStr"/>
      <c r="M1412" s="23" t="inlineStr">
        <is>
          <t>Contractor Programme Cycle 2</t>
        </is>
      </c>
      <c r="N1412" s="23" t="inlineStr">
        <is>
          <t>Rev 1</t>
        </is>
      </c>
      <c r="O1412" s="23" t="inlineStr">
        <is>
          <t>R949-v3</t>
        </is>
      </c>
      <c r="P1412" s="23" t="inlineStr"/>
      <c r="Q1412" s="23" t="inlineStr"/>
      <c r="R1412" s="23" t="inlineStr"/>
      <c r="S1412" s="23" t="inlineStr"/>
      <c r="T1412" s="23" t="inlineStr">
        <is>
          <t>Group decision (182 records sharing one decision state), carried forward</t>
        </is>
      </c>
      <c r="U1412" s="23" t="inlineStr"/>
      <c r="V1412" s="23" t="inlineStr"/>
      <c r="W1412" s="23" t="inlineStr"/>
    </row>
    <row r="1413" ht="94" customHeight="1">
      <c r="A1413" s="23" t="inlineStr">
        <is>
          <t>UNSURE</t>
        </is>
      </c>
      <c r="B1413" s="23" t="inlineStr"/>
      <c r="C1413" s="23" t="inlineStr">
        <is>
          <t>Contractor Programme</t>
        </is>
      </c>
      <c r="D1413" s="23" t="inlineStr">
        <is>
          <t>SCH-06-050</t>
        </is>
      </c>
      <c r="E1413" s="23" t="inlineStr">
        <is>
          <t>Stations package: design-package integration review - field start</t>
        </is>
      </c>
      <c r="F1413" s="23" t="inlineStr">
        <is>
          <t>UNSURE</t>
        </is>
      </c>
      <c r="G1413" s="23" t="inlineStr">
        <is>
          <t>RETAINED</t>
        </is>
      </c>
      <c r="H1413" s="23" t="inlineStr">
        <is>
          <t>Carried forward</t>
        </is>
      </c>
      <c r="I1413" s="23" t="inlineStr">
        <is>
          <t>Earlier professional decision, carried forward</t>
        </is>
      </c>
      <c r="J1413" s="23" t="inlineStr">
        <is>
          <t>Maya Chen, Owner Project Controls</t>
        </is>
      </c>
      <c r="K1413" s="23" t="inlineStr">
        <is>
          <t>Professional</t>
        </is>
      </c>
      <c r="L1413" s="23" t="inlineStr"/>
      <c r="M1413" s="23" t="inlineStr">
        <is>
          <t>Contractor Programme Cycle 2</t>
        </is>
      </c>
      <c r="N1413" s="23" t="inlineStr">
        <is>
          <t>Rev 1</t>
        </is>
      </c>
      <c r="O1413" s="23" t="inlineStr">
        <is>
          <t>R950-v3</t>
        </is>
      </c>
      <c r="P1413" s="23" t="inlineStr"/>
      <c r="Q1413" s="23" t="inlineStr"/>
      <c r="R1413" s="23" t="inlineStr"/>
      <c r="S1413" s="23" t="inlineStr"/>
      <c r="T1413" s="23" t="inlineStr">
        <is>
          <t>Group decision (182 records sharing one decision state), carried forward</t>
        </is>
      </c>
      <c r="U1413" s="23" t="inlineStr"/>
      <c r="V1413" s="23" t="inlineStr"/>
      <c r="W1413" s="23" t="inlineStr"/>
    </row>
    <row r="1414" ht="94" customHeight="1">
      <c r="A1414" s="23" t="inlineStr">
        <is>
          <t>UNSURE</t>
        </is>
      </c>
      <c r="B1414" s="23" t="inlineStr"/>
      <c r="C1414" s="23" t="inlineStr">
        <is>
          <t>Contractor Programme</t>
        </is>
      </c>
      <c r="D1414" s="23" t="inlineStr">
        <is>
          <t>SCH-06-051</t>
        </is>
      </c>
      <c r="E1414" s="23" t="inlineStr">
        <is>
          <t>Systems package: executive reporting close - installation</t>
        </is>
      </c>
      <c r="F1414" s="23" t="inlineStr">
        <is>
          <t>UNSURE</t>
        </is>
      </c>
      <c r="G1414" s="23" t="inlineStr">
        <is>
          <t>RETAINED</t>
        </is>
      </c>
      <c r="H1414" s="23" t="inlineStr">
        <is>
          <t>Carried forward</t>
        </is>
      </c>
      <c r="I1414" s="23" t="inlineStr">
        <is>
          <t>Earlier professional decision, carried forward</t>
        </is>
      </c>
      <c r="J1414" s="23" t="inlineStr">
        <is>
          <t>Maya Chen, Owner Project Controls</t>
        </is>
      </c>
      <c r="K1414" s="23" t="inlineStr">
        <is>
          <t>Professional</t>
        </is>
      </c>
      <c r="L1414" s="23" t="inlineStr"/>
      <c r="M1414" s="23" t="inlineStr">
        <is>
          <t>Contractor Programme Cycle 2</t>
        </is>
      </c>
      <c r="N1414" s="23" t="inlineStr">
        <is>
          <t>Rev 1</t>
        </is>
      </c>
      <c r="O1414" s="23" t="inlineStr">
        <is>
          <t>R951-v3</t>
        </is>
      </c>
      <c r="P1414" s="23" t="inlineStr"/>
      <c r="Q1414" s="23" t="inlineStr"/>
      <c r="R1414" s="23" t="inlineStr"/>
      <c r="S1414" s="23" t="inlineStr"/>
      <c r="T1414" s="23" t="inlineStr">
        <is>
          <t>Group decision (182 records sharing one decision state), carried forward</t>
        </is>
      </c>
      <c r="U1414" s="23" t="inlineStr"/>
      <c r="V1414" s="23" t="inlineStr"/>
      <c r="W1414" s="23" t="inlineStr"/>
    </row>
    <row r="1415" ht="94" customHeight="1">
      <c r="A1415" s="23" t="inlineStr">
        <is>
          <t>UNSURE</t>
        </is>
      </c>
      <c r="B1415" s="23" t="inlineStr"/>
      <c r="C1415" s="23" t="inlineStr">
        <is>
          <t>Contractor Programme</t>
        </is>
      </c>
      <c r="D1415" s="23" t="inlineStr">
        <is>
          <t>SCH-06-052</t>
        </is>
      </c>
      <c r="E1415" s="23" t="inlineStr">
        <is>
          <t>Fleet package: permit coordination - inspection</t>
        </is>
      </c>
      <c r="F1415" s="23" t="inlineStr">
        <is>
          <t>UNSURE</t>
        </is>
      </c>
      <c r="G1415" s="23" t="inlineStr">
        <is>
          <t>RETAINED</t>
        </is>
      </c>
      <c r="H1415" s="23" t="inlineStr">
        <is>
          <t>Carried forward</t>
        </is>
      </c>
      <c r="I1415" s="23" t="inlineStr">
        <is>
          <t>Earlier professional decision, carried forward</t>
        </is>
      </c>
      <c r="J1415" s="23" t="inlineStr">
        <is>
          <t>Maya Chen, Owner Project Controls</t>
        </is>
      </c>
      <c r="K1415" s="23" t="inlineStr">
        <is>
          <t>Professional</t>
        </is>
      </c>
      <c r="L1415" s="23" t="inlineStr"/>
      <c r="M1415" s="23" t="inlineStr">
        <is>
          <t>Contractor Programme Cycle 2</t>
        </is>
      </c>
      <c r="N1415" s="23" t="inlineStr">
        <is>
          <t>Rev 1</t>
        </is>
      </c>
      <c r="O1415" s="23" t="inlineStr">
        <is>
          <t>R952-v3</t>
        </is>
      </c>
      <c r="P1415" s="23" t="inlineStr"/>
      <c r="Q1415" s="23" t="inlineStr"/>
      <c r="R1415" s="23" t="inlineStr"/>
      <c r="S1415" s="23" t="inlineStr"/>
      <c r="T1415" s="23" t="inlineStr">
        <is>
          <t>Group decision (182 records sharing one decision state), carried forward</t>
        </is>
      </c>
      <c r="U1415" s="23" t="inlineStr"/>
      <c r="V1415" s="23" t="inlineStr"/>
      <c r="W1415" s="23" t="inlineStr"/>
    </row>
    <row r="1416" ht="94" customHeight="1">
      <c r="A1416" s="23" t="inlineStr">
        <is>
          <t>UNSURE</t>
        </is>
      </c>
      <c r="B1416" s="23" t="inlineStr"/>
      <c r="C1416" s="23" t="inlineStr">
        <is>
          <t>Contractor Programme</t>
        </is>
      </c>
      <c r="D1416" s="23" t="inlineStr">
        <is>
          <t>SCH-06-053</t>
        </is>
      </c>
      <c r="E1416" s="23" t="inlineStr">
        <is>
          <t>Program office: delivery risk workshop - turnover</t>
        </is>
      </c>
      <c r="F1416" s="23" t="inlineStr">
        <is>
          <t>UNSURE</t>
        </is>
      </c>
      <c r="G1416" s="23" t="inlineStr">
        <is>
          <t>RETAINED</t>
        </is>
      </c>
      <c r="H1416" s="23" t="inlineStr">
        <is>
          <t>Carried forward</t>
        </is>
      </c>
      <c r="I1416" s="23" t="inlineStr">
        <is>
          <t>Earlier professional decision, carried forward</t>
        </is>
      </c>
      <c r="J1416" s="23" t="inlineStr">
        <is>
          <t>Maya Chen, Owner Project Controls</t>
        </is>
      </c>
      <c r="K1416" s="23" t="inlineStr">
        <is>
          <t>Professional</t>
        </is>
      </c>
      <c r="L1416" s="23" t="inlineStr"/>
      <c r="M1416" s="23" t="inlineStr">
        <is>
          <t>Contractor Programme Cycle 2</t>
        </is>
      </c>
      <c r="N1416" s="23" t="inlineStr">
        <is>
          <t>Rev 1</t>
        </is>
      </c>
      <c r="O1416" s="23" t="inlineStr">
        <is>
          <t>R953-v3</t>
        </is>
      </c>
      <c r="P1416" s="23" t="inlineStr"/>
      <c r="Q1416" s="23" t="inlineStr"/>
      <c r="R1416" s="23" t="inlineStr"/>
      <c r="S1416" s="23" t="inlineStr"/>
      <c r="T1416" s="23" t="inlineStr">
        <is>
          <t>Group decision (182 records sharing one decision state), carried forward</t>
        </is>
      </c>
      <c r="U1416" s="23" t="inlineStr"/>
      <c r="V1416" s="23" t="inlineStr"/>
      <c r="W1416" s="23" t="inlineStr"/>
    </row>
    <row r="1417" ht="94" customHeight="1">
      <c r="A1417" s="23" t="inlineStr">
        <is>
          <t>UNSURE</t>
        </is>
      </c>
      <c r="B1417" s="23" t="inlineStr"/>
      <c r="C1417" s="23" t="inlineStr">
        <is>
          <t>Contractor Programme</t>
        </is>
      </c>
      <c r="D1417" s="23" t="inlineStr">
        <is>
          <t>SCH-06-054</t>
        </is>
      </c>
      <c r="E1417" s="23" t="inlineStr">
        <is>
          <t>Civil package: monthly controls cut-off - release</t>
        </is>
      </c>
      <c r="F1417" s="23" t="inlineStr">
        <is>
          <t>UNSURE</t>
        </is>
      </c>
      <c r="G1417" s="23" t="inlineStr">
        <is>
          <t>RETAINED</t>
        </is>
      </c>
      <c r="H1417" s="23" t="inlineStr">
        <is>
          <t>Carried forward</t>
        </is>
      </c>
      <c r="I1417" s="23" t="inlineStr">
        <is>
          <t>Earlier professional decision, carried forward</t>
        </is>
      </c>
      <c r="J1417" s="23" t="inlineStr">
        <is>
          <t>Maya Chen, Owner Project Controls</t>
        </is>
      </c>
      <c r="K1417" s="23" t="inlineStr">
        <is>
          <t>Professional</t>
        </is>
      </c>
      <c r="L1417" s="23" t="inlineStr"/>
      <c r="M1417" s="23" t="inlineStr">
        <is>
          <t>Contractor Programme Cycle 2</t>
        </is>
      </c>
      <c r="N1417" s="23" t="inlineStr">
        <is>
          <t>Rev 1</t>
        </is>
      </c>
      <c r="O1417" s="23" t="inlineStr">
        <is>
          <t>R954-v3</t>
        </is>
      </c>
      <c r="P1417" s="23" t="inlineStr"/>
      <c r="Q1417" s="23" t="inlineStr"/>
      <c r="R1417" s="23" t="inlineStr"/>
      <c r="S1417" s="23" t="inlineStr"/>
      <c r="T1417" s="23" t="inlineStr">
        <is>
          <t>Group decision (182 records sharing one decision state), carried forward</t>
        </is>
      </c>
      <c r="U1417" s="23" t="inlineStr"/>
      <c r="V1417" s="23" t="inlineStr"/>
      <c r="W1417" s="23" t="inlineStr"/>
    </row>
    <row r="1418" ht="94" customHeight="1">
      <c r="A1418" s="23" t="inlineStr">
        <is>
          <t>UNSURE</t>
        </is>
      </c>
      <c r="B1418" s="23" t="inlineStr"/>
      <c r="C1418" s="23" t="inlineStr">
        <is>
          <t>Contractor Programme</t>
        </is>
      </c>
      <c r="D1418" s="23" t="inlineStr">
        <is>
          <t>SCH-06-055</t>
        </is>
      </c>
      <c r="E1418" s="23" t="inlineStr">
        <is>
          <t>Stations package: stakeholder interface meeting - field start</t>
        </is>
      </c>
      <c r="F1418" s="23" t="inlineStr">
        <is>
          <t>UNSURE</t>
        </is>
      </c>
      <c r="G1418" s="23" t="inlineStr">
        <is>
          <t>RETAINED</t>
        </is>
      </c>
      <c r="H1418" s="23" t="inlineStr">
        <is>
          <t>Carried forward</t>
        </is>
      </c>
      <c r="I1418" s="23" t="inlineStr">
        <is>
          <t>Earlier professional decision, carried forward</t>
        </is>
      </c>
      <c r="J1418" s="23" t="inlineStr">
        <is>
          <t>Maya Chen, Owner Project Controls</t>
        </is>
      </c>
      <c r="K1418" s="23" t="inlineStr">
        <is>
          <t>Professional</t>
        </is>
      </c>
      <c r="L1418" s="23" t="inlineStr"/>
      <c r="M1418" s="23" t="inlineStr">
        <is>
          <t>Contractor Programme Cycle 2</t>
        </is>
      </c>
      <c r="N1418" s="23" t="inlineStr">
        <is>
          <t>Rev 1</t>
        </is>
      </c>
      <c r="O1418" s="23" t="inlineStr">
        <is>
          <t>R955-v3</t>
        </is>
      </c>
      <c r="P1418" s="23" t="inlineStr"/>
      <c r="Q1418" s="23" t="inlineStr"/>
      <c r="R1418" s="23" t="inlineStr"/>
      <c r="S1418" s="23" t="inlineStr"/>
      <c r="T1418" s="23" t="inlineStr">
        <is>
          <t>Group decision (182 records sharing one decision state), carried forward</t>
        </is>
      </c>
      <c r="U1418" s="23" t="inlineStr"/>
      <c r="V1418" s="23" t="inlineStr"/>
      <c r="W1418" s="23" t="inlineStr"/>
    </row>
    <row r="1419" ht="94" customHeight="1">
      <c r="A1419" s="23" t="inlineStr">
        <is>
          <t>UNSURE</t>
        </is>
      </c>
      <c r="B1419" s="23" t="inlineStr"/>
      <c r="C1419" s="23" t="inlineStr">
        <is>
          <t>Contractor Programme</t>
        </is>
      </c>
      <c r="D1419" s="23" t="inlineStr">
        <is>
          <t>SCH-06-056</t>
        </is>
      </c>
      <c r="E1419" s="23" t="inlineStr">
        <is>
          <t>Systems package: baseline change control - installation</t>
        </is>
      </c>
      <c r="F1419" s="23" t="inlineStr">
        <is>
          <t>UNSURE</t>
        </is>
      </c>
      <c r="G1419" s="23" t="inlineStr">
        <is>
          <t>RETAINED</t>
        </is>
      </c>
      <c r="H1419" s="23" t="inlineStr">
        <is>
          <t>Carried forward</t>
        </is>
      </c>
      <c r="I1419" s="23" t="inlineStr">
        <is>
          <t>Earlier professional decision, carried forward</t>
        </is>
      </c>
      <c r="J1419" s="23" t="inlineStr">
        <is>
          <t>Maya Chen, Owner Project Controls</t>
        </is>
      </c>
      <c r="K1419" s="23" t="inlineStr">
        <is>
          <t>Professional</t>
        </is>
      </c>
      <c r="L1419" s="23" t="inlineStr"/>
      <c r="M1419" s="23" t="inlineStr">
        <is>
          <t>Contractor Programme Cycle 2</t>
        </is>
      </c>
      <c r="N1419" s="23" t="inlineStr">
        <is>
          <t>Rev 1</t>
        </is>
      </c>
      <c r="O1419" s="23" t="inlineStr">
        <is>
          <t>R956-v3</t>
        </is>
      </c>
      <c r="P1419" s="23" t="inlineStr"/>
      <c r="Q1419" s="23" t="inlineStr"/>
      <c r="R1419" s="23" t="inlineStr"/>
      <c r="S1419" s="23" t="inlineStr"/>
      <c r="T1419" s="23" t="inlineStr">
        <is>
          <t>Group decision (182 records sharing one decision state), carried forward</t>
        </is>
      </c>
      <c r="U1419" s="23" t="inlineStr"/>
      <c r="V1419" s="23" t="inlineStr"/>
      <c r="W1419" s="23" t="inlineStr"/>
    </row>
    <row r="1420" ht="94" customHeight="1">
      <c r="A1420" s="23" t="inlineStr">
        <is>
          <t>UNSURE</t>
        </is>
      </c>
      <c r="B1420" s="23" t="inlineStr"/>
      <c r="C1420" s="23" t="inlineStr">
        <is>
          <t>Contractor Programme</t>
        </is>
      </c>
      <c r="D1420" s="23" t="inlineStr">
        <is>
          <t>SCH-06-057</t>
        </is>
      </c>
      <c r="E1420" s="23" t="inlineStr">
        <is>
          <t>Fleet package: commercial change review - inspection</t>
        </is>
      </c>
      <c r="F1420" s="23" t="inlineStr">
        <is>
          <t>UNSURE</t>
        </is>
      </c>
      <c r="G1420" s="23" t="inlineStr">
        <is>
          <t>RETAINED</t>
        </is>
      </c>
      <c r="H1420" s="23" t="inlineStr">
        <is>
          <t>Carried forward</t>
        </is>
      </c>
      <c r="I1420" s="23" t="inlineStr">
        <is>
          <t>Earlier professional decision, carried forward</t>
        </is>
      </c>
      <c r="J1420" s="23" t="inlineStr">
        <is>
          <t>Maya Chen, Owner Project Controls</t>
        </is>
      </c>
      <c r="K1420" s="23" t="inlineStr">
        <is>
          <t>Professional</t>
        </is>
      </c>
      <c r="L1420" s="23" t="inlineStr"/>
      <c r="M1420" s="23" t="inlineStr">
        <is>
          <t>Contractor Programme Cycle 2</t>
        </is>
      </c>
      <c r="N1420" s="23" t="inlineStr">
        <is>
          <t>Rev 1</t>
        </is>
      </c>
      <c r="O1420" s="23" t="inlineStr">
        <is>
          <t>R957-v3</t>
        </is>
      </c>
      <c r="P1420" s="23" t="inlineStr"/>
      <c r="Q1420" s="23" t="inlineStr"/>
      <c r="R1420" s="23" t="inlineStr"/>
      <c r="S1420" s="23" t="inlineStr"/>
      <c r="T1420" s="23" t="inlineStr">
        <is>
          <t>Group decision (182 records sharing one decision state), carried forward</t>
        </is>
      </c>
      <c r="U1420" s="23" t="inlineStr"/>
      <c r="V1420" s="23" t="inlineStr"/>
      <c r="W1420" s="23" t="inlineStr"/>
    </row>
    <row r="1421" ht="94" customHeight="1">
      <c r="A1421" s="23" t="inlineStr">
        <is>
          <t>UNSURE</t>
        </is>
      </c>
      <c r="B1421" s="23" t="inlineStr"/>
      <c r="C1421" s="23" t="inlineStr">
        <is>
          <t>Contractor Programme</t>
        </is>
      </c>
      <c r="D1421" s="23" t="inlineStr">
        <is>
          <t>SCH-06-058</t>
        </is>
      </c>
      <c r="E1421" s="23" t="inlineStr">
        <is>
          <t>Program office: design-package integration review - turnover</t>
        </is>
      </c>
      <c r="F1421" s="23" t="inlineStr">
        <is>
          <t>UNSURE</t>
        </is>
      </c>
      <c r="G1421" s="23" t="inlineStr">
        <is>
          <t>RETAINED</t>
        </is>
      </c>
      <c r="H1421" s="23" t="inlineStr">
        <is>
          <t>Carried forward</t>
        </is>
      </c>
      <c r="I1421" s="23" t="inlineStr">
        <is>
          <t>Earlier professional decision, carried forward</t>
        </is>
      </c>
      <c r="J1421" s="23" t="inlineStr">
        <is>
          <t>Maya Chen, Owner Project Controls</t>
        </is>
      </c>
      <c r="K1421" s="23" t="inlineStr">
        <is>
          <t>Professional</t>
        </is>
      </c>
      <c r="L1421" s="23" t="inlineStr"/>
      <c r="M1421" s="23" t="inlineStr">
        <is>
          <t>Contractor Programme Cycle 2</t>
        </is>
      </c>
      <c r="N1421" s="23" t="inlineStr">
        <is>
          <t>Rev 1</t>
        </is>
      </c>
      <c r="O1421" s="23" t="inlineStr">
        <is>
          <t>R958-v3</t>
        </is>
      </c>
      <c r="P1421" s="23" t="inlineStr"/>
      <c r="Q1421" s="23" t="inlineStr"/>
      <c r="R1421" s="23" t="inlineStr"/>
      <c r="S1421" s="23" t="inlineStr"/>
      <c r="T1421" s="23" t="inlineStr">
        <is>
          <t>Group decision (182 records sharing one decision state), carried forward</t>
        </is>
      </c>
      <c r="U1421" s="23" t="inlineStr"/>
      <c r="V1421" s="23" t="inlineStr"/>
      <c r="W1421" s="23" t="inlineStr"/>
    </row>
    <row r="1422" ht="94" customHeight="1">
      <c r="A1422" s="23" t="inlineStr">
        <is>
          <t>UNSURE</t>
        </is>
      </c>
      <c r="B1422" s="23" t="inlineStr"/>
      <c r="C1422" s="23" t="inlineStr">
        <is>
          <t>Contractor Programme</t>
        </is>
      </c>
      <c r="D1422" s="23" t="inlineStr">
        <is>
          <t>SCH-06-059</t>
        </is>
      </c>
      <c r="E1422" s="23" t="inlineStr">
        <is>
          <t>Civil package: executive reporting close - release</t>
        </is>
      </c>
      <c r="F1422" s="23" t="inlineStr">
        <is>
          <t>UNSURE</t>
        </is>
      </c>
      <c r="G1422" s="23" t="inlineStr">
        <is>
          <t>RETAINED</t>
        </is>
      </c>
      <c r="H1422" s="23" t="inlineStr">
        <is>
          <t>Carried forward</t>
        </is>
      </c>
      <c r="I1422" s="23" t="inlineStr">
        <is>
          <t>Earlier professional decision, carried forward</t>
        </is>
      </c>
      <c r="J1422" s="23" t="inlineStr">
        <is>
          <t>Maya Chen, Owner Project Controls</t>
        </is>
      </c>
      <c r="K1422" s="23" t="inlineStr">
        <is>
          <t>Professional</t>
        </is>
      </c>
      <c r="L1422" s="23" t="inlineStr"/>
      <c r="M1422" s="23" t="inlineStr">
        <is>
          <t>Contractor Programme Cycle 2</t>
        </is>
      </c>
      <c r="N1422" s="23" t="inlineStr">
        <is>
          <t>Rev 1</t>
        </is>
      </c>
      <c r="O1422" s="23" t="inlineStr">
        <is>
          <t>R959-v3</t>
        </is>
      </c>
      <c r="P1422" s="23" t="inlineStr"/>
      <c r="Q1422" s="23" t="inlineStr"/>
      <c r="R1422" s="23" t="inlineStr"/>
      <c r="S1422" s="23" t="inlineStr"/>
      <c r="T1422" s="23" t="inlineStr">
        <is>
          <t>Group decision (182 records sharing one decision state), carried forward</t>
        </is>
      </c>
      <c r="U1422" s="23" t="inlineStr"/>
      <c r="V1422" s="23" t="inlineStr"/>
      <c r="W1422" s="23" t="inlineStr"/>
    </row>
    <row r="1423" ht="94" customHeight="1">
      <c r="A1423" s="23" t="inlineStr">
        <is>
          <t>UNSURE</t>
        </is>
      </c>
      <c r="B1423" s="23" t="inlineStr"/>
      <c r="C1423" s="23" t="inlineStr">
        <is>
          <t>Contractor Programme</t>
        </is>
      </c>
      <c r="D1423" s="23" t="inlineStr">
        <is>
          <t>SCH-06-060</t>
        </is>
      </c>
      <c r="E1423" s="23" t="inlineStr">
        <is>
          <t>Stations package: permit coordination - field start</t>
        </is>
      </c>
      <c r="F1423" s="23" t="inlineStr">
        <is>
          <t>UNSURE</t>
        </is>
      </c>
      <c r="G1423" s="23" t="inlineStr">
        <is>
          <t>RETAINED</t>
        </is>
      </c>
      <c r="H1423" s="23" t="inlineStr">
        <is>
          <t>Carried forward</t>
        </is>
      </c>
      <c r="I1423" s="23" t="inlineStr">
        <is>
          <t>Earlier professional decision, carried forward</t>
        </is>
      </c>
      <c r="J1423" s="23" t="inlineStr">
        <is>
          <t>Maya Chen, Owner Project Controls</t>
        </is>
      </c>
      <c r="K1423" s="23" t="inlineStr">
        <is>
          <t>Professional</t>
        </is>
      </c>
      <c r="L1423" s="23" t="inlineStr"/>
      <c r="M1423" s="23" t="inlineStr">
        <is>
          <t>Contractor Programme Cycle 2</t>
        </is>
      </c>
      <c r="N1423" s="23" t="inlineStr">
        <is>
          <t>Rev 1</t>
        </is>
      </c>
      <c r="O1423" s="23" t="inlineStr">
        <is>
          <t>R960-v3</t>
        </is>
      </c>
      <c r="P1423" s="23" t="inlineStr"/>
      <c r="Q1423" s="23" t="inlineStr"/>
      <c r="R1423" s="23" t="inlineStr"/>
      <c r="S1423" s="23" t="inlineStr"/>
      <c r="T1423" s="23" t="inlineStr">
        <is>
          <t>Group decision (182 records sharing one decision state), carried forward</t>
        </is>
      </c>
      <c r="U1423" s="23" t="inlineStr"/>
      <c r="V1423" s="23" t="inlineStr"/>
      <c r="W1423" s="23" t="inlineStr"/>
    </row>
    <row r="1424" ht="94" customHeight="1">
      <c r="A1424" s="23" t="inlineStr">
        <is>
          <t>UNSURE</t>
        </is>
      </c>
      <c r="B1424" s="23" t="inlineStr"/>
      <c r="C1424" s="23" t="inlineStr">
        <is>
          <t>Contractor Programme</t>
        </is>
      </c>
      <c r="D1424" s="23" t="inlineStr">
        <is>
          <t>SCH-06-061</t>
        </is>
      </c>
      <c r="E1424" s="23" t="inlineStr">
        <is>
          <t>Systems package: delivery risk workshop - installation</t>
        </is>
      </c>
      <c r="F1424" s="23" t="inlineStr">
        <is>
          <t>UNSURE</t>
        </is>
      </c>
      <c r="G1424" s="23" t="inlineStr">
        <is>
          <t>RETAINED</t>
        </is>
      </c>
      <c r="H1424" s="23" t="inlineStr">
        <is>
          <t>Carried forward</t>
        </is>
      </c>
      <c r="I1424" s="23" t="inlineStr">
        <is>
          <t>Earlier professional decision, carried forward</t>
        </is>
      </c>
      <c r="J1424" s="23" t="inlineStr">
        <is>
          <t>Maya Chen, Owner Project Controls</t>
        </is>
      </c>
      <c r="K1424" s="23" t="inlineStr">
        <is>
          <t>Professional</t>
        </is>
      </c>
      <c r="L1424" s="23" t="inlineStr"/>
      <c r="M1424" s="23" t="inlineStr">
        <is>
          <t>Contractor Programme Cycle 2</t>
        </is>
      </c>
      <c r="N1424" s="23" t="inlineStr">
        <is>
          <t>Rev 1</t>
        </is>
      </c>
      <c r="O1424" s="23" t="inlineStr">
        <is>
          <t>R961-v3</t>
        </is>
      </c>
      <c r="P1424" s="23" t="inlineStr"/>
      <c r="Q1424" s="23" t="inlineStr"/>
      <c r="R1424" s="23" t="inlineStr"/>
      <c r="S1424" s="23" t="inlineStr"/>
      <c r="T1424" s="23" t="inlineStr">
        <is>
          <t>Group decision (182 records sharing one decision state), carried forward</t>
        </is>
      </c>
      <c r="U1424" s="23" t="inlineStr"/>
      <c r="V1424" s="23" t="inlineStr"/>
      <c r="W1424" s="23" t="inlineStr"/>
    </row>
    <row r="1425" ht="94" customHeight="1">
      <c r="A1425" s="23" t="inlineStr">
        <is>
          <t>UNSURE</t>
        </is>
      </c>
      <c r="B1425" s="23" t="inlineStr"/>
      <c r="C1425" s="23" t="inlineStr">
        <is>
          <t>Contractor Programme</t>
        </is>
      </c>
      <c r="D1425" s="23" t="inlineStr">
        <is>
          <t>SCH-06-062</t>
        </is>
      </c>
      <c r="E1425" s="23" t="inlineStr">
        <is>
          <t>Fleet package: monthly controls cut-off - inspection</t>
        </is>
      </c>
      <c r="F1425" s="23" t="inlineStr">
        <is>
          <t>UNSURE</t>
        </is>
      </c>
      <c r="G1425" s="23" t="inlineStr">
        <is>
          <t>RETAINED</t>
        </is>
      </c>
      <c r="H1425" s="23" t="inlineStr">
        <is>
          <t>Carried forward</t>
        </is>
      </c>
      <c r="I1425" s="23" t="inlineStr">
        <is>
          <t>Earlier professional decision, carried forward</t>
        </is>
      </c>
      <c r="J1425" s="23" t="inlineStr">
        <is>
          <t>Maya Chen, Owner Project Controls</t>
        </is>
      </c>
      <c r="K1425" s="23" t="inlineStr">
        <is>
          <t>Professional</t>
        </is>
      </c>
      <c r="L1425" s="23" t="inlineStr"/>
      <c r="M1425" s="23" t="inlineStr">
        <is>
          <t>Contractor Programme Cycle 2</t>
        </is>
      </c>
      <c r="N1425" s="23" t="inlineStr">
        <is>
          <t>Rev 1</t>
        </is>
      </c>
      <c r="O1425" s="23" t="inlineStr">
        <is>
          <t>R962-v3</t>
        </is>
      </c>
      <c r="P1425" s="23" t="inlineStr"/>
      <c r="Q1425" s="23" t="inlineStr"/>
      <c r="R1425" s="23" t="inlineStr"/>
      <c r="S1425" s="23" t="inlineStr"/>
      <c r="T1425" s="23" t="inlineStr">
        <is>
          <t>Group decision (182 records sharing one decision state), carried forward</t>
        </is>
      </c>
      <c r="U1425" s="23" t="inlineStr"/>
      <c r="V1425" s="23" t="inlineStr"/>
      <c r="W1425" s="23" t="inlineStr"/>
    </row>
    <row r="1426" ht="94" customHeight="1">
      <c r="A1426" s="23" t="inlineStr">
        <is>
          <t>UNSURE</t>
        </is>
      </c>
      <c r="B1426" s="23" t="inlineStr"/>
      <c r="C1426" s="23" t="inlineStr">
        <is>
          <t>Contractor Programme</t>
        </is>
      </c>
      <c r="D1426" s="23" t="inlineStr">
        <is>
          <t>SCH-06-063</t>
        </is>
      </c>
      <c r="E1426" s="23" t="inlineStr">
        <is>
          <t>Program office: stakeholder interface meeting - turnover</t>
        </is>
      </c>
      <c r="F1426" s="23" t="inlineStr">
        <is>
          <t>UNSURE</t>
        </is>
      </c>
      <c r="G1426" s="23" t="inlineStr">
        <is>
          <t>RETAINED</t>
        </is>
      </c>
      <c r="H1426" s="23" t="inlineStr">
        <is>
          <t>Carried forward</t>
        </is>
      </c>
      <c r="I1426" s="23" t="inlineStr">
        <is>
          <t>Earlier professional decision, carried forward</t>
        </is>
      </c>
      <c r="J1426" s="23" t="inlineStr">
        <is>
          <t>Maya Chen, Owner Project Controls</t>
        </is>
      </c>
      <c r="K1426" s="23" t="inlineStr">
        <is>
          <t>Professional</t>
        </is>
      </c>
      <c r="L1426" s="23" t="inlineStr"/>
      <c r="M1426" s="23" t="inlineStr">
        <is>
          <t>Contractor Programme Cycle 2</t>
        </is>
      </c>
      <c r="N1426" s="23" t="inlineStr">
        <is>
          <t>Rev 1</t>
        </is>
      </c>
      <c r="O1426" s="23" t="inlineStr">
        <is>
          <t>R963-v3</t>
        </is>
      </c>
      <c r="P1426" s="23" t="inlineStr"/>
      <c r="Q1426" s="23" t="inlineStr"/>
      <c r="R1426" s="23" t="inlineStr"/>
      <c r="S1426" s="23" t="inlineStr"/>
      <c r="T1426" s="23" t="inlineStr">
        <is>
          <t>Group decision (182 records sharing one decision state), carried forward</t>
        </is>
      </c>
      <c r="U1426" s="23" t="inlineStr"/>
      <c r="V1426" s="23" t="inlineStr"/>
      <c r="W1426" s="23" t="inlineStr"/>
    </row>
    <row r="1427" ht="94" customHeight="1">
      <c r="A1427" s="23" t="inlineStr">
        <is>
          <t>UNSURE</t>
        </is>
      </c>
      <c r="B1427" s="23" t="inlineStr"/>
      <c r="C1427" s="23" t="inlineStr">
        <is>
          <t>Contractor Programme</t>
        </is>
      </c>
      <c r="D1427" s="23" t="inlineStr">
        <is>
          <t>SCH-06-064</t>
        </is>
      </c>
      <c r="E1427" s="23" t="inlineStr">
        <is>
          <t>Civil package: baseline change control - release</t>
        </is>
      </c>
      <c r="F1427" s="23" t="inlineStr">
        <is>
          <t>UNSURE</t>
        </is>
      </c>
      <c r="G1427" s="23" t="inlineStr">
        <is>
          <t>RETAINED</t>
        </is>
      </c>
      <c r="H1427" s="23" t="inlineStr">
        <is>
          <t>Carried forward</t>
        </is>
      </c>
      <c r="I1427" s="23" t="inlineStr">
        <is>
          <t>Earlier professional decision, carried forward</t>
        </is>
      </c>
      <c r="J1427" s="23" t="inlineStr">
        <is>
          <t>Maya Chen, Owner Project Controls</t>
        </is>
      </c>
      <c r="K1427" s="23" t="inlineStr">
        <is>
          <t>Professional</t>
        </is>
      </c>
      <c r="L1427" s="23" t="inlineStr"/>
      <c r="M1427" s="23" t="inlineStr">
        <is>
          <t>Contractor Programme Cycle 2</t>
        </is>
      </c>
      <c r="N1427" s="23" t="inlineStr">
        <is>
          <t>Rev 1</t>
        </is>
      </c>
      <c r="O1427" s="23" t="inlineStr">
        <is>
          <t>R964-v3</t>
        </is>
      </c>
      <c r="P1427" s="23" t="inlineStr"/>
      <c r="Q1427" s="23" t="inlineStr"/>
      <c r="R1427" s="23" t="inlineStr"/>
      <c r="S1427" s="23" t="inlineStr"/>
      <c r="T1427" s="23" t="inlineStr">
        <is>
          <t>Group decision (182 records sharing one decision state), carried forward</t>
        </is>
      </c>
      <c r="U1427" s="23" t="inlineStr"/>
      <c r="V1427" s="23" t="inlineStr"/>
      <c r="W1427" s="23" t="inlineStr"/>
    </row>
    <row r="1428" ht="94" customHeight="1">
      <c r="A1428" s="23" t="inlineStr">
        <is>
          <t>UNSURE</t>
        </is>
      </c>
      <c r="B1428" s="23" t="inlineStr"/>
      <c r="C1428" s="23" t="inlineStr">
        <is>
          <t>Contractor Programme</t>
        </is>
      </c>
      <c r="D1428" s="23" t="inlineStr">
        <is>
          <t>SCH-06-065</t>
        </is>
      </c>
      <c r="E1428" s="23" t="inlineStr">
        <is>
          <t>Stations package: commercial change review - field start</t>
        </is>
      </c>
      <c r="F1428" s="23" t="inlineStr">
        <is>
          <t>UNSURE</t>
        </is>
      </c>
      <c r="G1428" s="23" t="inlineStr">
        <is>
          <t>RETAINED</t>
        </is>
      </c>
      <c r="H1428" s="23" t="inlineStr">
        <is>
          <t>Carried forward</t>
        </is>
      </c>
      <c r="I1428" s="23" t="inlineStr">
        <is>
          <t>Earlier professional decision, carried forward</t>
        </is>
      </c>
      <c r="J1428" s="23" t="inlineStr">
        <is>
          <t>Maya Chen, Owner Project Controls</t>
        </is>
      </c>
      <c r="K1428" s="23" t="inlineStr">
        <is>
          <t>Professional</t>
        </is>
      </c>
      <c r="L1428" s="23" t="inlineStr"/>
      <c r="M1428" s="23" t="inlineStr">
        <is>
          <t>Contractor Programme Cycle 2</t>
        </is>
      </c>
      <c r="N1428" s="23" t="inlineStr">
        <is>
          <t>Rev 1</t>
        </is>
      </c>
      <c r="O1428" s="23" t="inlineStr">
        <is>
          <t>R965-v3</t>
        </is>
      </c>
      <c r="P1428" s="23" t="inlineStr"/>
      <c r="Q1428" s="23" t="inlineStr"/>
      <c r="R1428" s="23" t="inlineStr"/>
      <c r="S1428" s="23" t="inlineStr"/>
      <c r="T1428" s="23" t="inlineStr">
        <is>
          <t>Group decision (182 records sharing one decision state), carried forward</t>
        </is>
      </c>
      <c r="U1428" s="23" t="inlineStr"/>
      <c r="V1428" s="23" t="inlineStr"/>
      <c r="W1428" s="23" t="inlineStr"/>
    </row>
    <row r="1429" ht="94" customHeight="1">
      <c r="A1429" s="23" t="inlineStr">
        <is>
          <t>UNSURE</t>
        </is>
      </c>
      <c r="B1429" s="23" t="inlineStr"/>
      <c r="C1429" s="23" t="inlineStr">
        <is>
          <t>Contractor Programme</t>
        </is>
      </c>
      <c r="D1429" s="23" t="inlineStr">
        <is>
          <t>SCH-06-066</t>
        </is>
      </c>
      <c r="E1429" s="23" t="inlineStr">
        <is>
          <t>Systems package: design-package integration review - installation</t>
        </is>
      </c>
      <c r="F1429" s="23" t="inlineStr">
        <is>
          <t>UNSURE</t>
        </is>
      </c>
      <c r="G1429" s="23" t="inlineStr">
        <is>
          <t>RETAINED</t>
        </is>
      </c>
      <c r="H1429" s="23" t="inlineStr">
        <is>
          <t>Carried forward</t>
        </is>
      </c>
      <c r="I1429" s="23" t="inlineStr">
        <is>
          <t>Earlier professional decision, carried forward</t>
        </is>
      </c>
      <c r="J1429" s="23" t="inlineStr">
        <is>
          <t>Maya Chen, Owner Project Controls</t>
        </is>
      </c>
      <c r="K1429" s="23" t="inlineStr">
        <is>
          <t>Professional</t>
        </is>
      </c>
      <c r="L1429" s="23" t="inlineStr"/>
      <c r="M1429" s="23" t="inlineStr">
        <is>
          <t>Contractor Programme Cycle 2</t>
        </is>
      </c>
      <c r="N1429" s="23" t="inlineStr">
        <is>
          <t>Rev 1</t>
        </is>
      </c>
      <c r="O1429" s="23" t="inlineStr">
        <is>
          <t>R966-v3</t>
        </is>
      </c>
      <c r="P1429" s="23" t="inlineStr"/>
      <c r="Q1429" s="23" t="inlineStr"/>
      <c r="R1429" s="23" t="inlineStr"/>
      <c r="S1429" s="23" t="inlineStr"/>
      <c r="T1429" s="23" t="inlineStr">
        <is>
          <t>Group decision (182 records sharing one decision state), carried forward</t>
        </is>
      </c>
      <c r="U1429" s="23" t="inlineStr"/>
      <c r="V1429" s="23" t="inlineStr"/>
      <c r="W1429" s="23" t="inlineStr"/>
    </row>
    <row r="1430" ht="94" customHeight="1">
      <c r="A1430" s="23" t="inlineStr">
        <is>
          <t>UNSURE</t>
        </is>
      </c>
      <c r="B1430" s="23" t="inlineStr"/>
      <c r="C1430" s="23" t="inlineStr">
        <is>
          <t>Contractor Programme</t>
        </is>
      </c>
      <c r="D1430" s="23" t="inlineStr">
        <is>
          <t>SCH-06-067</t>
        </is>
      </c>
      <c r="E1430" s="23" t="inlineStr">
        <is>
          <t>Fleet package: executive reporting close - inspection</t>
        </is>
      </c>
      <c r="F1430" s="23" t="inlineStr">
        <is>
          <t>UNSURE</t>
        </is>
      </c>
      <c r="G1430" s="23" t="inlineStr">
        <is>
          <t>RETAINED</t>
        </is>
      </c>
      <c r="H1430" s="23" t="inlineStr">
        <is>
          <t>Carried forward</t>
        </is>
      </c>
      <c r="I1430" s="23" t="inlineStr">
        <is>
          <t>Earlier professional decision, carried forward</t>
        </is>
      </c>
      <c r="J1430" s="23" t="inlineStr">
        <is>
          <t>Maya Chen, Owner Project Controls</t>
        </is>
      </c>
      <c r="K1430" s="23" t="inlineStr">
        <is>
          <t>Professional</t>
        </is>
      </c>
      <c r="L1430" s="23" t="inlineStr"/>
      <c r="M1430" s="23" t="inlineStr">
        <is>
          <t>Contractor Programme Cycle 2</t>
        </is>
      </c>
      <c r="N1430" s="23" t="inlineStr">
        <is>
          <t>Rev 1</t>
        </is>
      </c>
      <c r="O1430" s="23" t="inlineStr">
        <is>
          <t>R967-v3</t>
        </is>
      </c>
      <c r="P1430" s="23" t="inlineStr"/>
      <c r="Q1430" s="23" t="inlineStr"/>
      <c r="R1430" s="23" t="inlineStr"/>
      <c r="S1430" s="23" t="inlineStr"/>
      <c r="T1430" s="23" t="inlineStr">
        <is>
          <t>Group decision (182 records sharing one decision state), carried forward</t>
        </is>
      </c>
      <c r="U1430" s="23" t="inlineStr"/>
      <c r="V1430" s="23" t="inlineStr"/>
      <c r="W1430" s="23" t="inlineStr"/>
    </row>
    <row r="1431" ht="94" customHeight="1">
      <c r="A1431" s="23" t="inlineStr">
        <is>
          <t>UNSURE</t>
        </is>
      </c>
      <c r="B1431" s="23" t="inlineStr"/>
      <c r="C1431" s="23" t="inlineStr">
        <is>
          <t>Contractor Programme</t>
        </is>
      </c>
      <c r="D1431" s="23" t="inlineStr">
        <is>
          <t>SCH-06-068</t>
        </is>
      </c>
      <c r="E1431" s="23" t="inlineStr">
        <is>
          <t>Program office: permit coordination - turnover</t>
        </is>
      </c>
      <c r="F1431" s="23" t="inlineStr">
        <is>
          <t>UNSURE</t>
        </is>
      </c>
      <c r="G1431" s="23" t="inlineStr">
        <is>
          <t>RETAINED</t>
        </is>
      </c>
      <c r="H1431" s="23" t="inlineStr">
        <is>
          <t>Carried forward</t>
        </is>
      </c>
      <c r="I1431" s="23" t="inlineStr">
        <is>
          <t>Earlier professional decision, carried forward</t>
        </is>
      </c>
      <c r="J1431" s="23" t="inlineStr">
        <is>
          <t>Maya Chen, Owner Project Controls</t>
        </is>
      </c>
      <c r="K1431" s="23" t="inlineStr">
        <is>
          <t>Professional</t>
        </is>
      </c>
      <c r="L1431" s="23" t="inlineStr"/>
      <c r="M1431" s="23" t="inlineStr">
        <is>
          <t>Contractor Programme Cycle 2</t>
        </is>
      </c>
      <c r="N1431" s="23" t="inlineStr">
        <is>
          <t>Rev 1</t>
        </is>
      </c>
      <c r="O1431" s="23" t="inlineStr">
        <is>
          <t>R968-v3</t>
        </is>
      </c>
      <c r="P1431" s="23" t="inlineStr"/>
      <c r="Q1431" s="23" t="inlineStr"/>
      <c r="R1431" s="23" t="inlineStr"/>
      <c r="S1431" s="23" t="inlineStr"/>
      <c r="T1431" s="23" t="inlineStr">
        <is>
          <t>Group decision (182 records sharing one decision state), carried forward</t>
        </is>
      </c>
      <c r="U1431" s="23" t="inlineStr"/>
      <c r="V1431" s="23" t="inlineStr"/>
      <c r="W1431" s="23" t="inlineStr"/>
    </row>
    <row r="1432" ht="94" customHeight="1">
      <c r="A1432" s="23" t="inlineStr">
        <is>
          <t>UNSURE</t>
        </is>
      </c>
      <c r="B1432" s="23" t="inlineStr"/>
      <c r="C1432" s="23" t="inlineStr">
        <is>
          <t>Contractor Programme</t>
        </is>
      </c>
      <c r="D1432" s="23" t="inlineStr">
        <is>
          <t>SCH-06-069</t>
        </is>
      </c>
      <c r="E1432" s="23" t="inlineStr">
        <is>
          <t>Civil package: delivery risk workshop - release</t>
        </is>
      </c>
      <c r="F1432" s="23" t="inlineStr">
        <is>
          <t>UNSURE</t>
        </is>
      </c>
      <c r="G1432" s="23" t="inlineStr">
        <is>
          <t>RETAINED</t>
        </is>
      </c>
      <c r="H1432" s="23" t="inlineStr">
        <is>
          <t>Carried forward</t>
        </is>
      </c>
      <c r="I1432" s="23" t="inlineStr">
        <is>
          <t>Earlier professional decision, carried forward</t>
        </is>
      </c>
      <c r="J1432" s="23" t="inlineStr">
        <is>
          <t>Maya Chen, Owner Project Controls</t>
        </is>
      </c>
      <c r="K1432" s="23" t="inlineStr">
        <is>
          <t>Professional</t>
        </is>
      </c>
      <c r="L1432" s="23" t="inlineStr"/>
      <c r="M1432" s="23" t="inlineStr">
        <is>
          <t>Contractor Programme Cycle 2</t>
        </is>
      </c>
      <c r="N1432" s="23" t="inlineStr">
        <is>
          <t>Rev 1</t>
        </is>
      </c>
      <c r="O1432" s="23" t="inlineStr">
        <is>
          <t>R969-v3</t>
        </is>
      </c>
      <c r="P1432" s="23" t="inlineStr"/>
      <c r="Q1432" s="23" t="inlineStr"/>
      <c r="R1432" s="23" t="inlineStr"/>
      <c r="S1432" s="23" t="inlineStr"/>
      <c r="T1432" s="23" t="inlineStr">
        <is>
          <t>Group decision (182 records sharing one decision state), carried forward</t>
        </is>
      </c>
      <c r="U1432" s="23" t="inlineStr"/>
      <c r="V1432" s="23" t="inlineStr"/>
      <c r="W1432" s="23" t="inlineStr"/>
    </row>
    <row r="1433" ht="94" customHeight="1">
      <c r="A1433" s="23" t="inlineStr">
        <is>
          <t>UNSURE</t>
        </is>
      </c>
      <c r="B1433" s="23" t="inlineStr"/>
      <c r="C1433" s="23" t="inlineStr">
        <is>
          <t>Contractor Programme</t>
        </is>
      </c>
      <c r="D1433" s="23" t="inlineStr">
        <is>
          <t>SCH-06-070</t>
        </is>
      </c>
      <c r="E1433" s="23" t="inlineStr">
        <is>
          <t>Stations package: monthly controls cut-off - field start</t>
        </is>
      </c>
      <c r="F1433" s="23" t="inlineStr">
        <is>
          <t>UNSURE</t>
        </is>
      </c>
      <c r="G1433" s="23" t="inlineStr">
        <is>
          <t>RETAINED</t>
        </is>
      </c>
      <c r="H1433" s="23" t="inlineStr">
        <is>
          <t>Carried forward</t>
        </is>
      </c>
      <c r="I1433" s="23" t="inlineStr">
        <is>
          <t>Earlier professional decision, carried forward</t>
        </is>
      </c>
      <c r="J1433" s="23" t="inlineStr">
        <is>
          <t>Maya Chen, Owner Project Controls</t>
        </is>
      </c>
      <c r="K1433" s="23" t="inlineStr">
        <is>
          <t>Professional</t>
        </is>
      </c>
      <c r="L1433" s="23" t="inlineStr"/>
      <c r="M1433" s="23" t="inlineStr">
        <is>
          <t>Contractor Programme Cycle 2</t>
        </is>
      </c>
      <c r="N1433" s="23" t="inlineStr">
        <is>
          <t>Rev 1</t>
        </is>
      </c>
      <c r="O1433" s="23" t="inlineStr">
        <is>
          <t>R970-v3</t>
        </is>
      </c>
      <c r="P1433" s="23" t="inlineStr"/>
      <c r="Q1433" s="23" t="inlineStr"/>
      <c r="R1433" s="23" t="inlineStr"/>
      <c r="S1433" s="23" t="inlineStr"/>
      <c r="T1433" s="23" t="inlineStr">
        <is>
          <t>Group decision (182 records sharing one decision state), carried forward</t>
        </is>
      </c>
      <c r="U1433" s="23" t="inlineStr"/>
      <c r="V1433" s="23" t="inlineStr"/>
      <c r="W1433" s="23" t="inlineStr"/>
    </row>
    <row r="1434" ht="94" customHeight="1">
      <c r="A1434" s="23" t="inlineStr">
        <is>
          <t>UNSURE</t>
        </is>
      </c>
      <c r="B1434" s="23" t="inlineStr"/>
      <c r="C1434" s="23" t="inlineStr">
        <is>
          <t>Contractor Programme</t>
        </is>
      </c>
      <c r="D1434" s="23" t="inlineStr">
        <is>
          <t>SCH-06-071</t>
        </is>
      </c>
      <c r="E1434" s="23" t="inlineStr">
        <is>
          <t>Systems package: stakeholder interface meeting - installation</t>
        </is>
      </c>
      <c r="F1434" s="23" t="inlineStr">
        <is>
          <t>UNSURE</t>
        </is>
      </c>
      <c r="G1434" s="23" t="inlineStr">
        <is>
          <t>RETAINED</t>
        </is>
      </c>
      <c r="H1434" s="23" t="inlineStr">
        <is>
          <t>Carried forward</t>
        </is>
      </c>
      <c r="I1434" s="23" t="inlineStr">
        <is>
          <t>Earlier professional decision, carried forward</t>
        </is>
      </c>
      <c r="J1434" s="23" t="inlineStr">
        <is>
          <t>Maya Chen, Owner Project Controls</t>
        </is>
      </c>
      <c r="K1434" s="23" t="inlineStr">
        <is>
          <t>Professional</t>
        </is>
      </c>
      <c r="L1434" s="23" t="inlineStr"/>
      <c r="M1434" s="23" t="inlineStr">
        <is>
          <t>Contractor Programme Cycle 2</t>
        </is>
      </c>
      <c r="N1434" s="23" t="inlineStr">
        <is>
          <t>Rev 1</t>
        </is>
      </c>
      <c r="O1434" s="23" t="inlineStr">
        <is>
          <t>R971-v3</t>
        </is>
      </c>
      <c r="P1434" s="23" t="inlineStr"/>
      <c r="Q1434" s="23" t="inlineStr"/>
      <c r="R1434" s="23" t="inlineStr"/>
      <c r="S1434" s="23" t="inlineStr"/>
      <c r="T1434" s="23" t="inlineStr">
        <is>
          <t>Group decision (182 records sharing one decision state), carried forward</t>
        </is>
      </c>
      <c r="U1434" s="23" t="inlineStr"/>
      <c r="V1434" s="23" t="inlineStr"/>
      <c r="W1434" s="23" t="inlineStr"/>
    </row>
    <row r="1435" ht="94" customHeight="1">
      <c r="A1435" s="23" t="inlineStr">
        <is>
          <t>UNSURE</t>
        </is>
      </c>
      <c r="B1435" s="23" t="inlineStr"/>
      <c r="C1435" s="23" t="inlineStr">
        <is>
          <t>Contractor Programme</t>
        </is>
      </c>
      <c r="D1435" s="23" t="inlineStr">
        <is>
          <t>SCH-06-072</t>
        </is>
      </c>
      <c r="E1435" s="23" t="inlineStr">
        <is>
          <t>Fleet package: baseline change control - inspection</t>
        </is>
      </c>
      <c r="F1435" s="23" t="inlineStr">
        <is>
          <t>UNSURE</t>
        </is>
      </c>
      <c r="G1435" s="23" t="inlineStr">
        <is>
          <t>RETAINED</t>
        </is>
      </c>
      <c r="H1435" s="23" t="inlineStr">
        <is>
          <t>Carried forward</t>
        </is>
      </c>
      <c r="I1435" s="23" t="inlineStr">
        <is>
          <t>Earlier professional decision, carried forward</t>
        </is>
      </c>
      <c r="J1435" s="23" t="inlineStr">
        <is>
          <t>Maya Chen, Owner Project Controls</t>
        </is>
      </c>
      <c r="K1435" s="23" t="inlineStr">
        <is>
          <t>Professional</t>
        </is>
      </c>
      <c r="L1435" s="23" t="inlineStr"/>
      <c r="M1435" s="23" t="inlineStr">
        <is>
          <t>Contractor Programme Cycle 2</t>
        </is>
      </c>
      <c r="N1435" s="23" t="inlineStr">
        <is>
          <t>Rev 1</t>
        </is>
      </c>
      <c r="O1435" s="23" t="inlineStr">
        <is>
          <t>R972-v3</t>
        </is>
      </c>
      <c r="P1435" s="23" t="inlineStr"/>
      <c r="Q1435" s="23" t="inlineStr"/>
      <c r="R1435" s="23" t="inlineStr"/>
      <c r="S1435" s="23" t="inlineStr"/>
      <c r="T1435" s="23" t="inlineStr">
        <is>
          <t>Group decision (182 records sharing one decision state), carried forward</t>
        </is>
      </c>
      <c r="U1435" s="23" t="inlineStr"/>
      <c r="V1435" s="23" t="inlineStr"/>
      <c r="W1435" s="23" t="inlineStr"/>
    </row>
    <row r="1436" ht="94" customHeight="1">
      <c r="A1436" s="23" t="inlineStr">
        <is>
          <t>UNSURE</t>
        </is>
      </c>
      <c r="B1436" s="23" t="inlineStr"/>
      <c r="C1436" s="23" t="inlineStr">
        <is>
          <t>Contractor Programme</t>
        </is>
      </c>
      <c r="D1436" s="23" t="inlineStr">
        <is>
          <t>SCH-06-073</t>
        </is>
      </c>
      <c r="E1436" s="23" t="inlineStr">
        <is>
          <t>Program office: commercial change review - turnover</t>
        </is>
      </c>
      <c r="F1436" s="23" t="inlineStr">
        <is>
          <t>UNSURE</t>
        </is>
      </c>
      <c r="G1436" s="23" t="inlineStr">
        <is>
          <t>RETAINED</t>
        </is>
      </c>
      <c r="H1436" s="23" t="inlineStr">
        <is>
          <t>Carried forward</t>
        </is>
      </c>
      <c r="I1436" s="23" t="inlineStr">
        <is>
          <t>Earlier professional decision, carried forward</t>
        </is>
      </c>
      <c r="J1436" s="23" t="inlineStr">
        <is>
          <t>Maya Chen, Owner Project Controls</t>
        </is>
      </c>
      <c r="K1436" s="23" t="inlineStr">
        <is>
          <t>Professional</t>
        </is>
      </c>
      <c r="L1436" s="23" t="inlineStr"/>
      <c r="M1436" s="23" t="inlineStr">
        <is>
          <t>Contractor Programme Cycle 2</t>
        </is>
      </c>
      <c r="N1436" s="23" t="inlineStr">
        <is>
          <t>Rev 1</t>
        </is>
      </c>
      <c r="O1436" s="23" t="inlineStr">
        <is>
          <t>R973-v3</t>
        </is>
      </c>
      <c r="P1436" s="23" t="inlineStr"/>
      <c r="Q1436" s="23" t="inlineStr"/>
      <c r="R1436" s="23" t="inlineStr"/>
      <c r="S1436" s="23" t="inlineStr"/>
      <c r="T1436" s="23" t="inlineStr">
        <is>
          <t>Group decision (182 records sharing one decision state), carried forward</t>
        </is>
      </c>
      <c r="U1436" s="23" t="inlineStr"/>
      <c r="V1436" s="23" t="inlineStr"/>
      <c r="W1436" s="23" t="inlineStr"/>
    </row>
    <row r="1437" ht="94" customHeight="1">
      <c r="A1437" s="23" t="inlineStr">
        <is>
          <t>UNSURE</t>
        </is>
      </c>
      <c r="B1437" s="23" t="inlineStr"/>
      <c r="C1437" s="23" t="inlineStr">
        <is>
          <t>Contractor Programme</t>
        </is>
      </c>
      <c r="D1437" s="23" t="inlineStr">
        <is>
          <t>SCH-06-074</t>
        </is>
      </c>
      <c r="E1437" s="23" t="inlineStr">
        <is>
          <t>Civil package: design-package integration review - release</t>
        </is>
      </c>
      <c r="F1437" s="23" t="inlineStr">
        <is>
          <t>UNSURE</t>
        </is>
      </c>
      <c r="G1437" s="23" t="inlineStr">
        <is>
          <t>RETAINED</t>
        </is>
      </c>
      <c r="H1437" s="23" t="inlineStr">
        <is>
          <t>Carried forward</t>
        </is>
      </c>
      <c r="I1437" s="23" t="inlineStr">
        <is>
          <t>Earlier professional decision, carried forward</t>
        </is>
      </c>
      <c r="J1437" s="23" t="inlineStr">
        <is>
          <t>Maya Chen, Owner Project Controls</t>
        </is>
      </c>
      <c r="K1437" s="23" t="inlineStr">
        <is>
          <t>Professional</t>
        </is>
      </c>
      <c r="L1437" s="23" t="inlineStr"/>
      <c r="M1437" s="23" t="inlineStr">
        <is>
          <t>Contractor Programme Cycle 2</t>
        </is>
      </c>
      <c r="N1437" s="23" t="inlineStr">
        <is>
          <t>Rev 1</t>
        </is>
      </c>
      <c r="O1437" s="23" t="inlineStr">
        <is>
          <t>R974-v3</t>
        </is>
      </c>
      <c r="P1437" s="23" t="inlineStr"/>
      <c r="Q1437" s="23" t="inlineStr"/>
      <c r="R1437" s="23" t="inlineStr"/>
      <c r="S1437" s="23" t="inlineStr"/>
      <c r="T1437" s="23" t="inlineStr">
        <is>
          <t>Group decision (182 records sharing one decision state), carried forward</t>
        </is>
      </c>
      <c r="U1437" s="23" t="inlineStr"/>
      <c r="V1437" s="23" t="inlineStr"/>
      <c r="W1437" s="23" t="inlineStr"/>
    </row>
    <row r="1438" ht="94" customHeight="1">
      <c r="A1438" s="23" t="inlineStr">
        <is>
          <t>UNSURE</t>
        </is>
      </c>
      <c r="B1438" s="23" t="inlineStr"/>
      <c r="C1438" s="23" t="inlineStr">
        <is>
          <t>Contractor Programme</t>
        </is>
      </c>
      <c r="D1438" s="23" t="inlineStr">
        <is>
          <t>SCH-06-075</t>
        </is>
      </c>
      <c r="E1438" s="23" t="inlineStr">
        <is>
          <t>Stations package: executive reporting close - field start</t>
        </is>
      </c>
      <c r="F1438" s="23" t="inlineStr">
        <is>
          <t>UNSURE</t>
        </is>
      </c>
      <c r="G1438" s="23" t="inlineStr">
        <is>
          <t>RETAINED</t>
        </is>
      </c>
      <c r="H1438" s="23" t="inlineStr">
        <is>
          <t>Carried forward</t>
        </is>
      </c>
      <c r="I1438" s="23" t="inlineStr">
        <is>
          <t>Earlier professional decision, carried forward</t>
        </is>
      </c>
      <c r="J1438" s="23" t="inlineStr">
        <is>
          <t>Maya Chen, Owner Project Controls</t>
        </is>
      </c>
      <c r="K1438" s="23" t="inlineStr">
        <is>
          <t>Professional</t>
        </is>
      </c>
      <c r="L1438" s="23" t="inlineStr"/>
      <c r="M1438" s="23" t="inlineStr">
        <is>
          <t>Contractor Programme Cycle 2</t>
        </is>
      </c>
      <c r="N1438" s="23" t="inlineStr">
        <is>
          <t>Rev 1</t>
        </is>
      </c>
      <c r="O1438" s="23" t="inlineStr">
        <is>
          <t>R975-v3</t>
        </is>
      </c>
      <c r="P1438" s="23" t="inlineStr"/>
      <c r="Q1438" s="23" t="inlineStr"/>
      <c r="R1438" s="23" t="inlineStr"/>
      <c r="S1438" s="23" t="inlineStr"/>
      <c r="T1438" s="23" t="inlineStr">
        <is>
          <t>Group decision (182 records sharing one decision state), carried forward</t>
        </is>
      </c>
      <c r="U1438" s="23" t="inlineStr"/>
      <c r="V1438" s="23" t="inlineStr"/>
      <c r="W1438" s="23" t="inlineStr"/>
    </row>
    <row r="1439" ht="94" customHeight="1">
      <c r="A1439" s="23" t="inlineStr">
        <is>
          <t>UNSURE</t>
        </is>
      </c>
      <c r="B1439" s="23" t="inlineStr"/>
      <c r="C1439" s="23" t="inlineStr">
        <is>
          <t>Contractor Programme</t>
        </is>
      </c>
      <c r="D1439" s="23" t="inlineStr">
        <is>
          <t>SCH-06-076</t>
        </is>
      </c>
      <c r="E1439" s="23" t="inlineStr">
        <is>
          <t>Systems package: permit coordination - installation</t>
        </is>
      </c>
      <c r="F1439" s="23" t="inlineStr">
        <is>
          <t>UNSURE</t>
        </is>
      </c>
      <c r="G1439" s="23" t="inlineStr">
        <is>
          <t>RETAINED</t>
        </is>
      </c>
      <c r="H1439" s="23" t="inlineStr">
        <is>
          <t>Carried forward</t>
        </is>
      </c>
      <c r="I1439" s="23" t="inlineStr">
        <is>
          <t>Earlier professional decision, carried forward</t>
        </is>
      </c>
      <c r="J1439" s="23" t="inlineStr">
        <is>
          <t>Maya Chen, Owner Project Controls</t>
        </is>
      </c>
      <c r="K1439" s="23" t="inlineStr">
        <is>
          <t>Professional</t>
        </is>
      </c>
      <c r="L1439" s="23" t="inlineStr"/>
      <c r="M1439" s="23" t="inlineStr">
        <is>
          <t>Contractor Programme Cycle 2</t>
        </is>
      </c>
      <c r="N1439" s="23" t="inlineStr">
        <is>
          <t>Rev 1</t>
        </is>
      </c>
      <c r="O1439" s="23" t="inlineStr">
        <is>
          <t>R976-v3</t>
        </is>
      </c>
      <c r="P1439" s="23" t="inlineStr"/>
      <c r="Q1439" s="23" t="inlineStr"/>
      <c r="R1439" s="23" t="inlineStr"/>
      <c r="S1439" s="23" t="inlineStr"/>
      <c r="T1439" s="23" t="inlineStr">
        <is>
          <t>Group decision (182 records sharing one decision state), carried forward</t>
        </is>
      </c>
      <c r="U1439" s="23" t="inlineStr"/>
      <c r="V1439" s="23" t="inlineStr"/>
      <c r="W1439" s="23" t="inlineStr"/>
    </row>
    <row r="1440" ht="94" customHeight="1">
      <c r="A1440" s="23" t="inlineStr">
        <is>
          <t>UNSURE</t>
        </is>
      </c>
      <c r="B1440" s="23" t="inlineStr"/>
      <c r="C1440" s="23" t="inlineStr">
        <is>
          <t>Contractor Programme</t>
        </is>
      </c>
      <c r="D1440" s="23" t="inlineStr">
        <is>
          <t>SCH-06-077</t>
        </is>
      </c>
      <c r="E1440" s="23" t="inlineStr">
        <is>
          <t>Fleet package: delivery risk workshop - inspection</t>
        </is>
      </c>
      <c r="F1440" s="23" t="inlineStr">
        <is>
          <t>UNSURE</t>
        </is>
      </c>
      <c r="G1440" s="23" t="inlineStr">
        <is>
          <t>RETAINED</t>
        </is>
      </c>
      <c r="H1440" s="23" t="inlineStr">
        <is>
          <t>Carried forward</t>
        </is>
      </c>
      <c r="I1440" s="23" t="inlineStr">
        <is>
          <t>Earlier professional decision, carried forward</t>
        </is>
      </c>
      <c r="J1440" s="23" t="inlineStr">
        <is>
          <t>Maya Chen, Owner Project Controls</t>
        </is>
      </c>
      <c r="K1440" s="23" t="inlineStr">
        <is>
          <t>Professional</t>
        </is>
      </c>
      <c r="L1440" s="23" t="inlineStr"/>
      <c r="M1440" s="23" t="inlineStr">
        <is>
          <t>Contractor Programme Cycle 2</t>
        </is>
      </c>
      <c r="N1440" s="23" t="inlineStr">
        <is>
          <t>Rev 1</t>
        </is>
      </c>
      <c r="O1440" s="23" t="inlineStr">
        <is>
          <t>R977-v3</t>
        </is>
      </c>
      <c r="P1440" s="23" t="inlineStr"/>
      <c r="Q1440" s="23" t="inlineStr"/>
      <c r="R1440" s="23" t="inlineStr"/>
      <c r="S1440" s="23" t="inlineStr"/>
      <c r="T1440" s="23" t="inlineStr">
        <is>
          <t>Group decision (182 records sharing one decision state), carried forward</t>
        </is>
      </c>
      <c r="U1440" s="23" t="inlineStr"/>
      <c r="V1440" s="23" t="inlineStr"/>
      <c r="W1440" s="23" t="inlineStr"/>
    </row>
    <row r="1441" ht="94" customHeight="1">
      <c r="A1441" s="23" t="inlineStr">
        <is>
          <t>UNSURE</t>
        </is>
      </c>
      <c r="B1441" s="23" t="inlineStr"/>
      <c r="C1441" s="23" t="inlineStr">
        <is>
          <t>Contractor Programme</t>
        </is>
      </c>
      <c r="D1441" s="23" t="inlineStr">
        <is>
          <t>SCH-06-078</t>
        </is>
      </c>
      <c r="E1441" s="23" t="inlineStr">
        <is>
          <t>Program office: monthly controls cut-off - turnover</t>
        </is>
      </c>
      <c r="F1441" s="23" t="inlineStr">
        <is>
          <t>UNSURE</t>
        </is>
      </c>
      <c r="G1441" s="23" t="inlineStr">
        <is>
          <t>RETAINED</t>
        </is>
      </c>
      <c r="H1441" s="23" t="inlineStr">
        <is>
          <t>Carried forward</t>
        </is>
      </c>
      <c r="I1441" s="23" t="inlineStr">
        <is>
          <t>Earlier professional decision, carried forward</t>
        </is>
      </c>
      <c r="J1441" s="23" t="inlineStr">
        <is>
          <t>Maya Chen, Owner Project Controls</t>
        </is>
      </c>
      <c r="K1441" s="23" t="inlineStr">
        <is>
          <t>Professional</t>
        </is>
      </c>
      <c r="L1441" s="23" t="inlineStr"/>
      <c r="M1441" s="23" t="inlineStr">
        <is>
          <t>Contractor Programme Cycle 2</t>
        </is>
      </c>
      <c r="N1441" s="23" t="inlineStr">
        <is>
          <t>Rev 1</t>
        </is>
      </c>
      <c r="O1441" s="23" t="inlineStr">
        <is>
          <t>R978-v3</t>
        </is>
      </c>
      <c r="P1441" s="23" t="inlineStr"/>
      <c r="Q1441" s="23" t="inlineStr"/>
      <c r="R1441" s="23" t="inlineStr"/>
      <c r="S1441" s="23" t="inlineStr"/>
      <c r="T1441" s="23" t="inlineStr">
        <is>
          <t>Group decision (182 records sharing one decision state), carried forward</t>
        </is>
      </c>
      <c r="U1441" s="23" t="inlineStr"/>
      <c r="V1441" s="23" t="inlineStr"/>
      <c r="W1441" s="23" t="inlineStr"/>
    </row>
    <row r="1442" ht="94" customHeight="1">
      <c r="A1442" s="23" t="inlineStr">
        <is>
          <t>UNSURE</t>
        </is>
      </c>
      <c r="B1442" s="23" t="inlineStr"/>
      <c r="C1442" s="23" t="inlineStr">
        <is>
          <t>Contractor Programme</t>
        </is>
      </c>
      <c r="D1442" s="23" t="inlineStr">
        <is>
          <t>SCH-06-079</t>
        </is>
      </c>
      <c r="E1442" s="23" t="inlineStr">
        <is>
          <t>Civil package: stakeholder interface meeting - release</t>
        </is>
      </c>
      <c r="F1442" s="23" t="inlineStr">
        <is>
          <t>UNSURE</t>
        </is>
      </c>
      <c r="G1442" s="23" t="inlineStr">
        <is>
          <t>RETAINED</t>
        </is>
      </c>
      <c r="H1442" s="23" t="inlineStr">
        <is>
          <t>Carried forward</t>
        </is>
      </c>
      <c r="I1442" s="23" t="inlineStr">
        <is>
          <t>Earlier professional decision, carried forward</t>
        </is>
      </c>
      <c r="J1442" s="23" t="inlineStr">
        <is>
          <t>Maya Chen, Owner Project Controls</t>
        </is>
      </c>
      <c r="K1442" s="23" t="inlineStr">
        <is>
          <t>Professional</t>
        </is>
      </c>
      <c r="L1442" s="23" t="inlineStr"/>
      <c r="M1442" s="23" t="inlineStr">
        <is>
          <t>Contractor Programme Cycle 2</t>
        </is>
      </c>
      <c r="N1442" s="23" t="inlineStr">
        <is>
          <t>Rev 1</t>
        </is>
      </c>
      <c r="O1442" s="23" t="inlineStr">
        <is>
          <t>R979-v3</t>
        </is>
      </c>
      <c r="P1442" s="23" t="inlineStr"/>
      <c r="Q1442" s="23" t="inlineStr"/>
      <c r="R1442" s="23" t="inlineStr"/>
      <c r="S1442" s="23" t="inlineStr"/>
      <c r="T1442" s="23" t="inlineStr">
        <is>
          <t>Group decision (182 records sharing one decision state), carried forward</t>
        </is>
      </c>
      <c r="U1442" s="23" t="inlineStr"/>
      <c r="V1442" s="23" t="inlineStr"/>
      <c r="W1442" s="23" t="inlineStr"/>
    </row>
    <row r="1443" ht="94" customHeight="1">
      <c r="A1443" s="23" t="inlineStr">
        <is>
          <t>UNSURE</t>
        </is>
      </c>
      <c r="B1443" s="23" t="inlineStr"/>
      <c r="C1443" s="23" t="inlineStr">
        <is>
          <t>Contractor Programme</t>
        </is>
      </c>
      <c r="D1443" s="23" t="inlineStr">
        <is>
          <t>SCH-06-080</t>
        </is>
      </c>
      <c r="E1443" s="23" t="inlineStr">
        <is>
          <t>Stations package: baseline change control - field start</t>
        </is>
      </c>
      <c r="F1443" s="23" t="inlineStr">
        <is>
          <t>UNSURE</t>
        </is>
      </c>
      <c r="G1443" s="23" t="inlineStr">
        <is>
          <t>RETAINED</t>
        </is>
      </c>
      <c r="H1443" s="23" t="inlineStr">
        <is>
          <t>Carried forward</t>
        </is>
      </c>
      <c r="I1443" s="23" t="inlineStr">
        <is>
          <t>Earlier professional decision, carried forward</t>
        </is>
      </c>
      <c r="J1443" s="23" t="inlineStr">
        <is>
          <t>Maya Chen, Owner Project Controls</t>
        </is>
      </c>
      <c r="K1443" s="23" t="inlineStr">
        <is>
          <t>Professional</t>
        </is>
      </c>
      <c r="L1443" s="23" t="inlineStr"/>
      <c r="M1443" s="23" t="inlineStr">
        <is>
          <t>Contractor Programme Cycle 2</t>
        </is>
      </c>
      <c r="N1443" s="23" t="inlineStr">
        <is>
          <t>Rev 1</t>
        </is>
      </c>
      <c r="O1443" s="23" t="inlineStr">
        <is>
          <t>R980-v3</t>
        </is>
      </c>
      <c r="P1443" s="23" t="inlineStr"/>
      <c r="Q1443" s="23" t="inlineStr"/>
      <c r="R1443" s="23" t="inlineStr"/>
      <c r="S1443" s="23" t="inlineStr"/>
      <c r="T1443" s="23" t="inlineStr">
        <is>
          <t>Group decision (182 records sharing one decision state), carried forward</t>
        </is>
      </c>
      <c r="U1443" s="23" t="inlineStr"/>
      <c r="V1443" s="23" t="inlineStr"/>
      <c r="W1443" s="23" t="inlineStr"/>
    </row>
    <row r="1444" ht="94" customHeight="1">
      <c r="A1444" s="23" t="inlineStr">
        <is>
          <t>UNSURE</t>
        </is>
      </c>
      <c r="B1444" s="23" t="inlineStr"/>
      <c r="C1444" s="23" t="inlineStr">
        <is>
          <t>Contractor Programme</t>
        </is>
      </c>
      <c r="D1444" s="23" t="inlineStr">
        <is>
          <t>SCH-06-081</t>
        </is>
      </c>
      <c r="E1444" s="23" t="inlineStr">
        <is>
          <t>Systems package: commercial change review - installation</t>
        </is>
      </c>
      <c r="F1444" s="23" t="inlineStr">
        <is>
          <t>UNSURE</t>
        </is>
      </c>
      <c r="G1444" s="23" t="inlineStr">
        <is>
          <t>RETAINED</t>
        </is>
      </c>
      <c r="H1444" s="23" t="inlineStr">
        <is>
          <t>Carried forward</t>
        </is>
      </c>
      <c r="I1444" s="23" t="inlineStr">
        <is>
          <t>Earlier professional decision, carried forward</t>
        </is>
      </c>
      <c r="J1444" s="23" t="inlineStr">
        <is>
          <t>Maya Chen, Owner Project Controls</t>
        </is>
      </c>
      <c r="K1444" s="23" t="inlineStr">
        <is>
          <t>Professional</t>
        </is>
      </c>
      <c r="L1444" s="23" t="inlineStr"/>
      <c r="M1444" s="23" t="inlineStr">
        <is>
          <t>Contractor Programme Cycle 2</t>
        </is>
      </c>
      <c r="N1444" s="23" t="inlineStr">
        <is>
          <t>Rev 1</t>
        </is>
      </c>
      <c r="O1444" s="23" t="inlineStr">
        <is>
          <t>R981-v3</t>
        </is>
      </c>
      <c r="P1444" s="23" t="inlineStr"/>
      <c r="Q1444" s="23" t="inlineStr"/>
      <c r="R1444" s="23" t="inlineStr"/>
      <c r="S1444" s="23" t="inlineStr"/>
      <c r="T1444" s="23" t="inlineStr">
        <is>
          <t>Group decision (182 records sharing one decision state), carried forward</t>
        </is>
      </c>
      <c r="U1444" s="23" t="inlineStr"/>
      <c r="V1444" s="23" t="inlineStr"/>
      <c r="W1444" s="23" t="inlineStr"/>
    </row>
    <row r="1445" ht="94" customHeight="1">
      <c r="A1445" s="23" t="inlineStr">
        <is>
          <t>UNSURE</t>
        </is>
      </c>
      <c r="B1445" s="23" t="inlineStr"/>
      <c r="C1445" s="23" t="inlineStr">
        <is>
          <t>Contractor Programme</t>
        </is>
      </c>
      <c r="D1445" s="23" t="inlineStr">
        <is>
          <t>SCH-06-082</t>
        </is>
      </c>
      <c r="E1445" s="23" t="inlineStr">
        <is>
          <t>Fleet package: design-package integration review - inspection</t>
        </is>
      </c>
      <c r="F1445" s="23" t="inlineStr">
        <is>
          <t>UNSURE</t>
        </is>
      </c>
      <c r="G1445" s="23" t="inlineStr">
        <is>
          <t>RETAINED</t>
        </is>
      </c>
      <c r="H1445" s="23" t="inlineStr">
        <is>
          <t>Carried forward</t>
        </is>
      </c>
      <c r="I1445" s="23" t="inlineStr">
        <is>
          <t>Earlier professional decision, carried forward</t>
        </is>
      </c>
      <c r="J1445" s="23" t="inlineStr">
        <is>
          <t>Maya Chen, Owner Project Controls</t>
        </is>
      </c>
      <c r="K1445" s="23" t="inlineStr">
        <is>
          <t>Professional</t>
        </is>
      </c>
      <c r="L1445" s="23" t="inlineStr"/>
      <c r="M1445" s="23" t="inlineStr">
        <is>
          <t>Contractor Programme Cycle 2</t>
        </is>
      </c>
      <c r="N1445" s="23" t="inlineStr">
        <is>
          <t>Rev 1</t>
        </is>
      </c>
      <c r="O1445" s="23" t="inlineStr">
        <is>
          <t>R982-v3</t>
        </is>
      </c>
      <c r="P1445" s="23" t="inlineStr"/>
      <c r="Q1445" s="23" t="inlineStr"/>
      <c r="R1445" s="23" t="inlineStr"/>
      <c r="S1445" s="23" t="inlineStr"/>
      <c r="T1445" s="23" t="inlineStr">
        <is>
          <t>Group decision (182 records sharing one decision state), carried forward</t>
        </is>
      </c>
      <c r="U1445" s="23" t="inlineStr"/>
      <c r="V1445" s="23" t="inlineStr"/>
      <c r="W1445" s="23" t="inlineStr"/>
    </row>
    <row r="1446" ht="94" customHeight="1">
      <c r="A1446" s="23" t="inlineStr">
        <is>
          <t>UNSURE</t>
        </is>
      </c>
      <c r="B1446" s="23" t="inlineStr"/>
      <c r="C1446" s="23" t="inlineStr">
        <is>
          <t>Contractor Programme</t>
        </is>
      </c>
      <c r="D1446" s="23" t="inlineStr">
        <is>
          <t>SCH-06-083</t>
        </is>
      </c>
      <c r="E1446" s="23" t="inlineStr">
        <is>
          <t>Program office: executive reporting close - turnover</t>
        </is>
      </c>
      <c r="F1446" s="23" t="inlineStr">
        <is>
          <t>UNSURE</t>
        </is>
      </c>
      <c r="G1446" s="23" t="inlineStr">
        <is>
          <t>RETAINED</t>
        </is>
      </c>
      <c r="H1446" s="23" t="inlineStr">
        <is>
          <t>Carried forward</t>
        </is>
      </c>
      <c r="I1446" s="23" t="inlineStr">
        <is>
          <t>Earlier professional decision, carried forward</t>
        </is>
      </c>
      <c r="J1446" s="23" t="inlineStr">
        <is>
          <t>Maya Chen, Owner Project Controls</t>
        </is>
      </c>
      <c r="K1446" s="23" t="inlineStr">
        <is>
          <t>Professional</t>
        </is>
      </c>
      <c r="L1446" s="23" t="inlineStr"/>
      <c r="M1446" s="23" t="inlineStr">
        <is>
          <t>Contractor Programme Cycle 2</t>
        </is>
      </c>
      <c r="N1446" s="23" t="inlineStr">
        <is>
          <t>Rev 1</t>
        </is>
      </c>
      <c r="O1446" s="23" t="inlineStr">
        <is>
          <t>R983-v3</t>
        </is>
      </c>
      <c r="P1446" s="23" t="inlineStr"/>
      <c r="Q1446" s="23" t="inlineStr"/>
      <c r="R1446" s="23" t="inlineStr"/>
      <c r="S1446" s="23" t="inlineStr"/>
      <c r="T1446" s="23" t="inlineStr">
        <is>
          <t>Group decision (182 records sharing one decision state), carried forward</t>
        </is>
      </c>
      <c r="U1446" s="23" t="inlineStr"/>
      <c r="V1446" s="23" t="inlineStr"/>
      <c r="W1446" s="23" t="inlineStr"/>
    </row>
    <row r="1447" ht="94" customHeight="1">
      <c r="A1447" s="23" t="inlineStr">
        <is>
          <t>UNSURE</t>
        </is>
      </c>
      <c r="B1447" s="23" t="inlineStr"/>
      <c r="C1447" s="23" t="inlineStr">
        <is>
          <t>Contractor Programme</t>
        </is>
      </c>
      <c r="D1447" s="23" t="inlineStr">
        <is>
          <t>SCH-06-084</t>
        </is>
      </c>
      <c r="E1447" s="23" t="inlineStr">
        <is>
          <t>Civil package: permit coordination - release</t>
        </is>
      </c>
      <c r="F1447" s="23" t="inlineStr">
        <is>
          <t>UNSURE</t>
        </is>
      </c>
      <c r="G1447" s="23" t="inlineStr">
        <is>
          <t>RETAINED</t>
        </is>
      </c>
      <c r="H1447" s="23" t="inlineStr">
        <is>
          <t>Carried forward</t>
        </is>
      </c>
      <c r="I1447" s="23" t="inlineStr">
        <is>
          <t>Earlier professional decision, carried forward</t>
        </is>
      </c>
      <c r="J1447" s="23" t="inlineStr">
        <is>
          <t>Maya Chen, Owner Project Controls</t>
        </is>
      </c>
      <c r="K1447" s="23" t="inlineStr">
        <is>
          <t>Professional</t>
        </is>
      </c>
      <c r="L1447" s="23" t="inlineStr"/>
      <c r="M1447" s="23" t="inlineStr">
        <is>
          <t>Contractor Programme Cycle 2</t>
        </is>
      </c>
      <c r="N1447" s="23" t="inlineStr">
        <is>
          <t>Rev 1</t>
        </is>
      </c>
      <c r="O1447" s="23" t="inlineStr">
        <is>
          <t>R984-v3</t>
        </is>
      </c>
      <c r="P1447" s="23" t="inlineStr"/>
      <c r="Q1447" s="23" t="inlineStr"/>
      <c r="R1447" s="23" t="inlineStr"/>
      <c r="S1447" s="23" t="inlineStr"/>
      <c r="T1447" s="23" t="inlineStr">
        <is>
          <t>Group decision (182 records sharing one decision state), carried forward</t>
        </is>
      </c>
      <c r="U1447" s="23" t="inlineStr"/>
      <c r="V1447" s="23" t="inlineStr"/>
      <c r="W1447" s="23" t="inlineStr"/>
    </row>
    <row r="1448" ht="94" customHeight="1">
      <c r="A1448" s="23" t="inlineStr">
        <is>
          <t>UNSURE</t>
        </is>
      </c>
      <c r="B1448" s="23" t="inlineStr"/>
      <c r="C1448" s="23" t="inlineStr">
        <is>
          <t>Contractor Programme</t>
        </is>
      </c>
      <c r="D1448" s="23" t="inlineStr">
        <is>
          <t>SCH-06-085</t>
        </is>
      </c>
      <c r="E1448" s="23" t="inlineStr">
        <is>
          <t>Stations package: delivery risk workshop - field start</t>
        </is>
      </c>
      <c r="F1448" s="23" t="inlineStr">
        <is>
          <t>UNSURE</t>
        </is>
      </c>
      <c r="G1448" s="23" t="inlineStr">
        <is>
          <t>RETAINED</t>
        </is>
      </c>
      <c r="H1448" s="23" t="inlineStr">
        <is>
          <t>Carried forward</t>
        </is>
      </c>
      <c r="I1448" s="23" t="inlineStr">
        <is>
          <t>Earlier professional decision, carried forward</t>
        </is>
      </c>
      <c r="J1448" s="23" t="inlineStr">
        <is>
          <t>Maya Chen, Owner Project Controls</t>
        </is>
      </c>
      <c r="K1448" s="23" t="inlineStr">
        <is>
          <t>Professional</t>
        </is>
      </c>
      <c r="L1448" s="23" t="inlineStr"/>
      <c r="M1448" s="23" t="inlineStr">
        <is>
          <t>Contractor Programme Cycle 2</t>
        </is>
      </c>
      <c r="N1448" s="23" t="inlineStr">
        <is>
          <t>Rev 1</t>
        </is>
      </c>
      <c r="O1448" s="23" t="inlineStr">
        <is>
          <t>R985-v3</t>
        </is>
      </c>
      <c r="P1448" s="23" t="inlineStr"/>
      <c r="Q1448" s="23" t="inlineStr"/>
      <c r="R1448" s="23" t="inlineStr"/>
      <c r="S1448" s="23" t="inlineStr"/>
      <c r="T1448" s="23" t="inlineStr">
        <is>
          <t>Group decision (182 records sharing one decision state), carried forward</t>
        </is>
      </c>
      <c r="U1448" s="23" t="inlineStr"/>
      <c r="V1448" s="23" t="inlineStr"/>
      <c r="W1448" s="23" t="inlineStr"/>
    </row>
    <row r="1449" ht="94" customHeight="1">
      <c r="A1449" s="23" t="inlineStr">
        <is>
          <t>UNSURE</t>
        </is>
      </c>
      <c r="B1449" s="23" t="inlineStr"/>
      <c r="C1449" s="23" t="inlineStr">
        <is>
          <t>Contractor Programme</t>
        </is>
      </c>
      <c r="D1449" s="23" t="inlineStr">
        <is>
          <t>SCH-06-086</t>
        </is>
      </c>
      <c r="E1449" s="23" t="inlineStr">
        <is>
          <t>Systems package: monthly controls cut-off - installation</t>
        </is>
      </c>
      <c r="F1449" s="23" t="inlineStr">
        <is>
          <t>UNSURE</t>
        </is>
      </c>
      <c r="G1449" s="23" t="inlineStr">
        <is>
          <t>RETAINED</t>
        </is>
      </c>
      <c r="H1449" s="23" t="inlineStr">
        <is>
          <t>Carried forward</t>
        </is>
      </c>
      <c r="I1449" s="23" t="inlineStr">
        <is>
          <t>Earlier professional decision, carried forward</t>
        </is>
      </c>
      <c r="J1449" s="23" t="inlineStr">
        <is>
          <t>Maya Chen, Owner Project Controls</t>
        </is>
      </c>
      <c r="K1449" s="23" t="inlineStr">
        <is>
          <t>Professional</t>
        </is>
      </c>
      <c r="L1449" s="23" t="inlineStr"/>
      <c r="M1449" s="23" t="inlineStr">
        <is>
          <t>Contractor Programme Cycle 2</t>
        </is>
      </c>
      <c r="N1449" s="23" t="inlineStr">
        <is>
          <t>Rev 1</t>
        </is>
      </c>
      <c r="O1449" s="23" t="inlineStr">
        <is>
          <t>R986-v3</t>
        </is>
      </c>
      <c r="P1449" s="23" t="inlineStr"/>
      <c r="Q1449" s="23" t="inlineStr"/>
      <c r="R1449" s="23" t="inlineStr"/>
      <c r="S1449" s="23" t="inlineStr"/>
      <c r="T1449" s="23" t="inlineStr">
        <is>
          <t>Group decision (182 records sharing one decision state), carried forward</t>
        </is>
      </c>
      <c r="U1449" s="23" t="inlineStr"/>
      <c r="V1449" s="23" t="inlineStr"/>
      <c r="W1449" s="23" t="inlineStr"/>
    </row>
    <row r="1450" ht="94" customHeight="1">
      <c r="A1450" s="23" t="inlineStr">
        <is>
          <t>UNSURE</t>
        </is>
      </c>
      <c r="B1450" s="23" t="inlineStr"/>
      <c r="C1450" s="23" t="inlineStr">
        <is>
          <t>Contractor Programme</t>
        </is>
      </c>
      <c r="D1450" s="23" t="inlineStr">
        <is>
          <t>SCH-06-087</t>
        </is>
      </c>
      <c r="E1450" s="23" t="inlineStr">
        <is>
          <t>Fleet package: stakeholder interface meeting - inspection</t>
        </is>
      </c>
      <c r="F1450" s="23" t="inlineStr">
        <is>
          <t>UNSURE</t>
        </is>
      </c>
      <c r="G1450" s="23" t="inlineStr">
        <is>
          <t>RETAINED</t>
        </is>
      </c>
      <c r="H1450" s="23" t="inlineStr">
        <is>
          <t>Carried forward</t>
        </is>
      </c>
      <c r="I1450" s="23" t="inlineStr">
        <is>
          <t>Earlier professional decision, carried forward</t>
        </is>
      </c>
      <c r="J1450" s="23" t="inlineStr">
        <is>
          <t>Maya Chen, Owner Project Controls</t>
        </is>
      </c>
      <c r="K1450" s="23" t="inlineStr">
        <is>
          <t>Professional</t>
        </is>
      </c>
      <c r="L1450" s="23" t="inlineStr"/>
      <c r="M1450" s="23" t="inlineStr">
        <is>
          <t>Contractor Programme Cycle 2</t>
        </is>
      </c>
      <c r="N1450" s="23" t="inlineStr">
        <is>
          <t>Rev 1</t>
        </is>
      </c>
      <c r="O1450" s="23" t="inlineStr">
        <is>
          <t>R987-v3</t>
        </is>
      </c>
      <c r="P1450" s="23" t="inlineStr"/>
      <c r="Q1450" s="23" t="inlineStr"/>
      <c r="R1450" s="23" t="inlineStr"/>
      <c r="S1450" s="23" t="inlineStr"/>
      <c r="T1450" s="23" t="inlineStr">
        <is>
          <t>Group decision (182 records sharing one decision state), carried forward</t>
        </is>
      </c>
      <c r="U1450" s="23" t="inlineStr"/>
      <c r="V1450" s="23" t="inlineStr"/>
      <c r="W1450" s="23" t="inlineStr"/>
    </row>
    <row r="1451" ht="94" customHeight="1">
      <c r="A1451" s="23" t="inlineStr">
        <is>
          <t>UNSURE</t>
        </is>
      </c>
      <c r="B1451" s="23" t="inlineStr"/>
      <c r="C1451" s="23" t="inlineStr">
        <is>
          <t>Contractor Programme</t>
        </is>
      </c>
      <c r="D1451" s="23" t="inlineStr">
        <is>
          <t>SCH-06-088</t>
        </is>
      </c>
      <c r="E1451" s="23" t="inlineStr">
        <is>
          <t>Program office: baseline change control - turnover</t>
        </is>
      </c>
      <c r="F1451" s="23" t="inlineStr">
        <is>
          <t>UNSURE</t>
        </is>
      </c>
      <c r="G1451" s="23" t="inlineStr">
        <is>
          <t>RETAINED</t>
        </is>
      </c>
      <c r="H1451" s="23" t="inlineStr">
        <is>
          <t>Carried forward</t>
        </is>
      </c>
      <c r="I1451" s="23" t="inlineStr">
        <is>
          <t>Earlier professional decision, carried forward</t>
        </is>
      </c>
      <c r="J1451" s="23" t="inlineStr">
        <is>
          <t>Maya Chen, Owner Project Controls</t>
        </is>
      </c>
      <c r="K1451" s="23" t="inlineStr">
        <is>
          <t>Professional</t>
        </is>
      </c>
      <c r="L1451" s="23" t="inlineStr"/>
      <c r="M1451" s="23" t="inlineStr">
        <is>
          <t>Contractor Programme Cycle 2</t>
        </is>
      </c>
      <c r="N1451" s="23" t="inlineStr">
        <is>
          <t>Rev 1</t>
        </is>
      </c>
      <c r="O1451" s="23" t="inlineStr">
        <is>
          <t>R988-v3</t>
        </is>
      </c>
      <c r="P1451" s="23" t="inlineStr"/>
      <c r="Q1451" s="23" t="inlineStr"/>
      <c r="R1451" s="23" t="inlineStr"/>
      <c r="S1451" s="23" t="inlineStr"/>
      <c r="T1451" s="23" t="inlineStr">
        <is>
          <t>Group decision (182 records sharing one decision state), carried forward</t>
        </is>
      </c>
      <c r="U1451" s="23" t="inlineStr"/>
      <c r="V1451" s="23" t="inlineStr"/>
      <c r="W1451" s="23" t="inlineStr"/>
    </row>
    <row r="1452" ht="94" customHeight="1">
      <c r="A1452" s="23" t="inlineStr">
        <is>
          <t>UNSURE</t>
        </is>
      </c>
      <c r="B1452" s="23" t="inlineStr"/>
      <c r="C1452" s="23" t="inlineStr">
        <is>
          <t>Contractor Programme</t>
        </is>
      </c>
      <c r="D1452" s="23" t="inlineStr">
        <is>
          <t>SCH-06-089</t>
        </is>
      </c>
      <c r="E1452" s="23" t="inlineStr">
        <is>
          <t>Civil package: commercial change review - release</t>
        </is>
      </c>
      <c r="F1452" s="23" t="inlineStr">
        <is>
          <t>UNSURE</t>
        </is>
      </c>
      <c r="G1452" s="23" t="inlineStr">
        <is>
          <t>RETAINED</t>
        </is>
      </c>
      <c r="H1452" s="23" t="inlineStr">
        <is>
          <t>Carried forward</t>
        </is>
      </c>
      <c r="I1452" s="23" t="inlineStr">
        <is>
          <t>Earlier professional decision, carried forward</t>
        </is>
      </c>
      <c r="J1452" s="23" t="inlineStr">
        <is>
          <t>Maya Chen, Owner Project Controls</t>
        </is>
      </c>
      <c r="K1452" s="23" t="inlineStr">
        <is>
          <t>Professional</t>
        </is>
      </c>
      <c r="L1452" s="23" t="inlineStr"/>
      <c r="M1452" s="23" t="inlineStr">
        <is>
          <t>Contractor Programme Cycle 2</t>
        </is>
      </c>
      <c r="N1452" s="23" t="inlineStr">
        <is>
          <t>Rev 1</t>
        </is>
      </c>
      <c r="O1452" s="23" t="inlineStr">
        <is>
          <t>R989-v3</t>
        </is>
      </c>
      <c r="P1452" s="23" t="inlineStr"/>
      <c r="Q1452" s="23" t="inlineStr"/>
      <c r="R1452" s="23" t="inlineStr"/>
      <c r="S1452" s="23" t="inlineStr"/>
      <c r="T1452" s="23" t="inlineStr">
        <is>
          <t>Group decision (182 records sharing one decision state), carried forward</t>
        </is>
      </c>
      <c r="U1452" s="23" t="inlineStr"/>
      <c r="V1452" s="23" t="inlineStr"/>
      <c r="W1452" s="23" t="inlineStr"/>
    </row>
    <row r="1453" ht="94" customHeight="1">
      <c r="A1453" s="23" t="inlineStr">
        <is>
          <t>UNSURE</t>
        </is>
      </c>
      <c r="B1453" s="23" t="inlineStr"/>
      <c r="C1453" s="23" t="inlineStr">
        <is>
          <t>Contractor Programme</t>
        </is>
      </c>
      <c r="D1453" s="23" t="inlineStr">
        <is>
          <t>SCH-06-090</t>
        </is>
      </c>
      <c r="E1453" s="23" t="inlineStr">
        <is>
          <t>Stations package: design-package integration review - field start</t>
        </is>
      </c>
      <c r="F1453" s="23" t="inlineStr">
        <is>
          <t>UNSURE</t>
        </is>
      </c>
      <c r="G1453" s="23" t="inlineStr">
        <is>
          <t>RETAINED</t>
        </is>
      </c>
      <c r="H1453" s="23" t="inlineStr">
        <is>
          <t>Carried forward</t>
        </is>
      </c>
      <c r="I1453" s="23" t="inlineStr">
        <is>
          <t>Earlier professional decision, carried forward</t>
        </is>
      </c>
      <c r="J1453" s="23" t="inlineStr">
        <is>
          <t>Maya Chen, Owner Project Controls</t>
        </is>
      </c>
      <c r="K1453" s="23" t="inlineStr">
        <is>
          <t>Professional</t>
        </is>
      </c>
      <c r="L1453" s="23" t="inlineStr"/>
      <c r="M1453" s="23" t="inlineStr">
        <is>
          <t>Contractor Programme Cycle 2</t>
        </is>
      </c>
      <c r="N1453" s="23" t="inlineStr">
        <is>
          <t>Rev 1</t>
        </is>
      </c>
      <c r="O1453" s="23" t="inlineStr">
        <is>
          <t>R990-v3</t>
        </is>
      </c>
      <c r="P1453" s="23" t="inlineStr"/>
      <c r="Q1453" s="23" t="inlineStr"/>
      <c r="R1453" s="23" t="inlineStr"/>
      <c r="S1453" s="23" t="inlineStr"/>
      <c r="T1453" s="23" t="inlineStr">
        <is>
          <t>Group decision (182 records sharing one decision state), carried forward</t>
        </is>
      </c>
      <c r="U1453" s="23" t="inlineStr"/>
      <c r="V1453" s="23" t="inlineStr"/>
      <c r="W1453" s="23" t="inlineStr"/>
    </row>
    <row r="1454" ht="94" customHeight="1">
      <c r="A1454" s="23" t="inlineStr">
        <is>
          <t>UNSURE</t>
        </is>
      </c>
      <c r="B1454" s="23" t="inlineStr"/>
      <c r="C1454" s="23" t="inlineStr">
        <is>
          <t>Contractor Programme</t>
        </is>
      </c>
      <c r="D1454" s="23" t="inlineStr">
        <is>
          <t>SCH-06-091</t>
        </is>
      </c>
      <c r="E1454" s="23" t="inlineStr">
        <is>
          <t>Systems package: executive reporting close - installation</t>
        </is>
      </c>
      <c r="F1454" s="23" t="inlineStr">
        <is>
          <t>UNSURE</t>
        </is>
      </c>
      <c r="G1454" s="23" t="inlineStr">
        <is>
          <t>RETAINED</t>
        </is>
      </c>
      <c r="H1454" s="23" t="inlineStr">
        <is>
          <t>Carried forward</t>
        </is>
      </c>
      <c r="I1454" s="23" t="inlineStr">
        <is>
          <t>Earlier professional decision, carried forward</t>
        </is>
      </c>
      <c r="J1454" s="23" t="inlineStr">
        <is>
          <t>Maya Chen, Owner Project Controls</t>
        </is>
      </c>
      <c r="K1454" s="23" t="inlineStr">
        <is>
          <t>Professional</t>
        </is>
      </c>
      <c r="L1454" s="23" t="inlineStr"/>
      <c r="M1454" s="23" t="inlineStr">
        <is>
          <t>Contractor Programme Cycle 2</t>
        </is>
      </c>
      <c r="N1454" s="23" t="inlineStr">
        <is>
          <t>Rev 1</t>
        </is>
      </c>
      <c r="O1454" s="23" t="inlineStr">
        <is>
          <t>R991-v3</t>
        </is>
      </c>
      <c r="P1454" s="23" t="inlineStr"/>
      <c r="Q1454" s="23" t="inlineStr"/>
      <c r="R1454" s="23" t="inlineStr"/>
      <c r="S1454" s="23" t="inlineStr"/>
      <c r="T1454" s="23" t="inlineStr">
        <is>
          <t>Group decision (182 records sharing one decision state), carried forward</t>
        </is>
      </c>
      <c r="U1454" s="23" t="inlineStr"/>
      <c r="V1454" s="23" t="inlineStr"/>
      <c r="W1454" s="23" t="inlineStr"/>
    </row>
    <row r="1455" ht="94" customHeight="1">
      <c r="A1455" s="23" t="inlineStr">
        <is>
          <t>UNSURE</t>
        </is>
      </c>
      <c r="B1455" s="23" t="inlineStr"/>
      <c r="C1455" s="23" t="inlineStr">
        <is>
          <t>Contractor Programme</t>
        </is>
      </c>
      <c r="D1455" s="23" t="inlineStr">
        <is>
          <t>SCH-06-092</t>
        </is>
      </c>
      <c r="E1455" s="23" t="inlineStr">
        <is>
          <t>Fleet package: permit coordination - inspection</t>
        </is>
      </c>
      <c r="F1455" s="23" t="inlineStr">
        <is>
          <t>UNSURE</t>
        </is>
      </c>
      <c r="G1455" s="23" t="inlineStr">
        <is>
          <t>RETAINED</t>
        </is>
      </c>
      <c r="H1455" s="23" t="inlineStr">
        <is>
          <t>Carried forward</t>
        </is>
      </c>
      <c r="I1455" s="23" t="inlineStr">
        <is>
          <t>Earlier professional decision, carried forward</t>
        </is>
      </c>
      <c r="J1455" s="23" t="inlineStr">
        <is>
          <t>Maya Chen, Owner Project Controls</t>
        </is>
      </c>
      <c r="K1455" s="23" t="inlineStr">
        <is>
          <t>Professional</t>
        </is>
      </c>
      <c r="L1455" s="23" t="inlineStr"/>
      <c r="M1455" s="23" t="inlineStr">
        <is>
          <t>Contractor Programme Cycle 2</t>
        </is>
      </c>
      <c r="N1455" s="23" t="inlineStr">
        <is>
          <t>Rev 1</t>
        </is>
      </c>
      <c r="O1455" s="23" t="inlineStr">
        <is>
          <t>R992-v3</t>
        </is>
      </c>
      <c r="P1455" s="23" t="inlineStr"/>
      <c r="Q1455" s="23" t="inlineStr"/>
      <c r="R1455" s="23" t="inlineStr"/>
      <c r="S1455" s="23" t="inlineStr"/>
      <c r="T1455" s="23" t="inlineStr">
        <is>
          <t>Group decision (182 records sharing one decision state), carried forward</t>
        </is>
      </c>
      <c r="U1455" s="23" t="inlineStr"/>
      <c r="V1455" s="23" t="inlineStr"/>
      <c r="W1455" s="23" t="inlineStr"/>
    </row>
    <row r="1456" ht="94" customHeight="1">
      <c r="A1456" s="23" t="inlineStr">
        <is>
          <t>UNSURE</t>
        </is>
      </c>
      <c r="B1456" s="23" t="inlineStr"/>
      <c r="C1456" s="23" t="inlineStr">
        <is>
          <t>Contractor Programme</t>
        </is>
      </c>
      <c r="D1456" s="23" t="inlineStr">
        <is>
          <t>SCH-06-093</t>
        </is>
      </c>
      <c r="E1456" s="23" t="inlineStr">
        <is>
          <t>Program office: delivery risk workshop - turnover</t>
        </is>
      </c>
      <c r="F1456" s="23" t="inlineStr">
        <is>
          <t>UNSURE</t>
        </is>
      </c>
      <c r="G1456" s="23" t="inlineStr">
        <is>
          <t>RETAINED</t>
        </is>
      </c>
      <c r="H1456" s="23" t="inlineStr">
        <is>
          <t>Carried forward</t>
        </is>
      </c>
      <c r="I1456" s="23" t="inlineStr">
        <is>
          <t>Earlier professional decision, carried forward</t>
        </is>
      </c>
      <c r="J1456" s="23" t="inlineStr">
        <is>
          <t>Maya Chen, Owner Project Controls</t>
        </is>
      </c>
      <c r="K1456" s="23" t="inlineStr">
        <is>
          <t>Professional</t>
        </is>
      </c>
      <c r="L1456" s="23" t="inlineStr"/>
      <c r="M1456" s="23" t="inlineStr">
        <is>
          <t>Contractor Programme Cycle 2</t>
        </is>
      </c>
      <c r="N1456" s="23" t="inlineStr">
        <is>
          <t>Rev 1</t>
        </is>
      </c>
      <c r="O1456" s="23" t="inlineStr">
        <is>
          <t>R993-v3</t>
        </is>
      </c>
      <c r="P1456" s="23" t="inlineStr"/>
      <c r="Q1456" s="23" t="inlineStr"/>
      <c r="R1456" s="23" t="inlineStr"/>
      <c r="S1456" s="23" t="inlineStr"/>
      <c r="T1456" s="23" t="inlineStr">
        <is>
          <t>Group decision (182 records sharing one decision state), carried forward</t>
        </is>
      </c>
      <c r="U1456" s="23" t="inlineStr"/>
      <c r="V1456" s="23" t="inlineStr"/>
      <c r="W1456" s="23" t="inlineStr"/>
    </row>
    <row r="1457" ht="94" customHeight="1">
      <c r="A1457" s="23" t="inlineStr">
        <is>
          <t>UNSURE</t>
        </is>
      </c>
      <c r="B1457" s="23" t="inlineStr"/>
      <c r="C1457" s="23" t="inlineStr">
        <is>
          <t>Contractor Programme</t>
        </is>
      </c>
      <c r="D1457" s="23" t="inlineStr">
        <is>
          <t>SCH-06-094</t>
        </is>
      </c>
      <c r="E1457" s="23" t="inlineStr">
        <is>
          <t>Civil package: monthly controls cut-off - release</t>
        </is>
      </c>
      <c r="F1457" s="23" t="inlineStr">
        <is>
          <t>UNSURE</t>
        </is>
      </c>
      <c r="G1457" s="23" t="inlineStr">
        <is>
          <t>RETAINED</t>
        </is>
      </c>
      <c r="H1457" s="23" t="inlineStr">
        <is>
          <t>Carried forward</t>
        </is>
      </c>
      <c r="I1457" s="23" t="inlineStr">
        <is>
          <t>Earlier professional decision, carried forward</t>
        </is>
      </c>
      <c r="J1457" s="23" t="inlineStr">
        <is>
          <t>Maya Chen, Owner Project Controls</t>
        </is>
      </c>
      <c r="K1457" s="23" t="inlineStr">
        <is>
          <t>Professional</t>
        </is>
      </c>
      <c r="L1457" s="23" t="inlineStr"/>
      <c r="M1457" s="23" t="inlineStr">
        <is>
          <t>Contractor Programme Cycle 2</t>
        </is>
      </c>
      <c r="N1457" s="23" t="inlineStr">
        <is>
          <t>Rev 1</t>
        </is>
      </c>
      <c r="O1457" s="23" t="inlineStr">
        <is>
          <t>R994-v3</t>
        </is>
      </c>
      <c r="P1457" s="23" t="inlineStr"/>
      <c r="Q1457" s="23" t="inlineStr"/>
      <c r="R1457" s="23" t="inlineStr"/>
      <c r="S1457" s="23" t="inlineStr"/>
      <c r="T1457" s="23" t="inlineStr">
        <is>
          <t>Group decision (182 records sharing one decision state), carried forward</t>
        </is>
      </c>
      <c r="U1457" s="23" t="inlineStr"/>
      <c r="V1457" s="23" t="inlineStr"/>
      <c r="W1457" s="23" t="inlineStr"/>
    </row>
    <row r="1458" ht="94" customHeight="1">
      <c r="A1458" s="23" t="inlineStr">
        <is>
          <t>UNSURE</t>
        </is>
      </c>
      <c r="B1458" s="23" t="inlineStr"/>
      <c r="C1458" s="23" t="inlineStr">
        <is>
          <t>Contractor Programme</t>
        </is>
      </c>
      <c r="D1458" s="23" t="inlineStr">
        <is>
          <t>SCH-06-095</t>
        </is>
      </c>
      <c r="E1458" s="23" t="inlineStr">
        <is>
          <t>Stations package: stakeholder interface meeting - field start</t>
        </is>
      </c>
      <c r="F1458" s="23" t="inlineStr">
        <is>
          <t>UNSURE</t>
        </is>
      </c>
      <c r="G1458" s="23" t="inlineStr">
        <is>
          <t>RETAINED</t>
        </is>
      </c>
      <c r="H1458" s="23" t="inlineStr">
        <is>
          <t>Carried forward</t>
        </is>
      </c>
      <c r="I1458" s="23" t="inlineStr">
        <is>
          <t>Earlier professional decision, carried forward</t>
        </is>
      </c>
      <c r="J1458" s="23" t="inlineStr">
        <is>
          <t>Maya Chen, Owner Project Controls</t>
        </is>
      </c>
      <c r="K1458" s="23" t="inlineStr">
        <is>
          <t>Professional</t>
        </is>
      </c>
      <c r="L1458" s="23" t="inlineStr"/>
      <c r="M1458" s="23" t="inlineStr">
        <is>
          <t>Contractor Programme Cycle 2</t>
        </is>
      </c>
      <c r="N1458" s="23" t="inlineStr">
        <is>
          <t>Rev 1</t>
        </is>
      </c>
      <c r="O1458" s="23" t="inlineStr">
        <is>
          <t>R995-v3</t>
        </is>
      </c>
      <c r="P1458" s="23" t="inlineStr"/>
      <c r="Q1458" s="23" t="inlineStr"/>
      <c r="R1458" s="23" t="inlineStr"/>
      <c r="S1458" s="23" t="inlineStr"/>
      <c r="T1458" s="23" t="inlineStr">
        <is>
          <t>Group decision (182 records sharing one decision state), carried forward</t>
        </is>
      </c>
      <c r="U1458" s="23" t="inlineStr"/>
      <c r="V1458" s="23" t="inlineStr"/>
      <c r="W1458" s="23" t="inlineStr"/>
    </row>
    <row r="1459" ht="94" customHeight="1">
      <c r="A1459" s="23" t="inlineStr">
        <is>
          <t>UNSURE</t>
        </is>
      </c>
      <c r="B1459" s="23" t="inlineStr"/>
      <c r="C1459" s="23" t="inlineStr">
        <is>
          <t>Contractor Programme</t>
        </is>
      </c>
      <c r="D1459" s="23" t="inlineStr">
        <is>
          <t>SCH-06-096</t>
        </is>
      </c>
      <c r="E1459" s="23" t="inlineStr">
        <is>
          <t>Systems package: baseline change control - installation</t>
        </is>
      </c>
      <c r="F1459" s="23" t="inlineStr">
        <is>
          <t>UNSURE</t>
        </is>
      </c>
      <c r="G1459" s="23" t="inlineStr">
        <is>
          <t>RETAINED</t>
        </is>
      </c>
      <c r="H1459" s="23" t="inlineStr">
        <is>
          <t>Carried forward</t>
        </is>
      </c>
      <c r="I1459" s="23" t="inlineStr">
        <is>
          <t>Earlier professional decision, carried forward</t>
        </is>
      </c>
      <c r="J1459" s="23" t="inlineStr">
        <is>
          <t>Maya Chen, Owner Project Controls</t>
        </is>
      </c>
      <c r="K1459" s="23" t="inlineStr">
        <is>
          <t>Professional</t>
        </is>
      </c>
      <c r="L1459" s="23" t="inlineStr"/>
      <c r="M1459" s="23" t="inlineStr">
        <is>
          <t>Contractor Programme Cycle 2</t>
        </is>
      </c>
      <c r="N1459" s="23" t="inlineStr">
        <is>
          <t>Rev 1</t>
        </is>
      </c>
      <c r="O1459" s="23" t="inlineStr">
        <is>
          <t>R996-v3</t>
        </is>
      </c>
      <c r="P1459" s="23" t="inlineStr"/>
      <c r="Q1459" s="23" t="inlineStr"/>
      <c r="R1459" s="23" t="inlineStr"/>
      <c r="S1459" s="23" t="inlineStr"/>
      <c r="T1459" s="23" t="inlineStr">
        <is>
          <t>Group decision (182 records sharing one decision state), carried forward</t>
        </is>
      </c>
      <c r="U1459" s="23" t="inlineStr"/>
      <c r="V1459" s="23" t="inlineStr"/>
      <c r="W1459" s="23" t="inlineStr"/>
    </row>
    <row r="1460" ht="94" customHeight="1">
      <c r="A1460" s="23" t="inlineStr">
        <is>
          <t>UNSURE</t>
        </is>
      </c>
      <c r="B1460" s="23" t="inlineStr"/>
      <c r="C1460" s="23" t="inlineStr">
        <is>
          <t>Contractor Programme</t>
        </is>
      </c>
      <c r="D1460" s="23" t="inlineStr">
        <is>
          <t>SCH-06-097</t>
        </is>
      </c>
      <c r="E1460" s="23" t="inlineStr">
        <is>
          <t>Fleet package: commercial change review - inspection</t>
        </is>
      </c>
      <c r="F1460" s="23" t="inlineStr">
        <is>
          <t>UNSURE</t>
        </is>
      </c>
      <c r="G1460" s="23" t="inlineStr">
        <is>
          <t>RETAINED</t>
        </is>
      </c>
      <c r="H1460" s="23" t="inlineStr">
        <is>
          <t>Carried forward</t>
        </is>
      </c>
      <c r="I1460" s="23" t="inlineStr">
        <is>
          <t>Earlier professional decision, carried forward</t>
        </is>
      </c>
      <c r="J1460" s="23" t="inlineStr">
        <is>
          <t>Maya Chen, Owner Project Controls</t>
        </is>
      </c>
      <c r="K1460" s="23" t="inlineStr">
        <is>
          <t>Professional</t>
        </is>
      </c>
      <c r="L1460" s="23" t="inlineStr"/>
      <c r="M1460" s="23" t="inlineStr">
        <is>
          <t>Contractor Programme Cycle 2</t>
        </is>
      </c>
      <c r="N1460" s="23" t="inlineStr">
        <is>
          <t>Rev 1</t>
        </is>
      </c>
      <c r="O1460" s="23" t="inlineStr">
        <is>
          <t>R997-v3</t>
        </is>
      </c>
      <c r="P1460" s="23" t="inlineStr"/>
      <c r="Q1460" s="23" t="inlineStr"/>
      <c r="R1460" s="23" t="inlineStr"/>
      <c r="S1460" s="23" t="inlineStr"/>
      <c r="T1460" s="23" t="inlineStr">
        <is>
          <t>Group decision (182 records sharing one decision state), carried forward</t>
        </is>
      </c>
      <c r="U1460" s="23" t="inlineStr"/>
      <c r="V1460" s="23" t="inlineStr"/>
      <c r="W1460" s="23" t="inlineStr"/>
    </row>
    <row r="1461" ht="94" customHeight="1">
      <c r="A1461" s="23" t="inlineStr">
        <is>
          <t>UNSURE</t>
        </is>
      </c>
      <c r="B1461" s="23" t="inlineStr"/>
      <c r="C1461" s="23" t="inlineStr">
        <is>
          <t>Contractor Programme</t>
        </is>
      </c>
      <c r="D1461" s="23" t="inlineStr">
        <is>
          <t>SCH-06-098</t>
        </is>
      </c>
      <c r="E1461" s="23" t="inlineStr">
        <is>
          <t>Program office: design-package integration review - turnover</t>
        </is>
      </c>
      <c r="F1461" s="23" t="inlineStr">
        <is>
          <t>UNSURE</t>
        </is>
      </c>
      <c r="G1461" s="23" t="inlineStr">
        <is>
          <t>RETAINED</t>
        </is>
      </c>
      <c r="H1461" s="23" t="inlineStr">
        <is>
          <t>Carried forward</t>
        </is>
      </c>
      <c r="I1461" s="23" t="inlineStr">
        <is>
          <t>Earlier professional decision, carried forward</t>
        </is>
      </c>
      <c r="J1461" s="23" t="inlineStr">
        <is>
          <t>Maya Chen, Owner Project Controls</t>
        </is>
      </c>
      <c r="K1461" s="23" t="inlineStr">
        <is>
          <t>Professional</t>
        </is>
      </c>
      <c r="L1461" s="23" t="inlineStr"/>
      <c r="M1461" s="23" t="inlineStr">
        <is>
          <t>Contractor Programme Cycle 2</t>
        </is>
      </c>
      <c r="N1461" s="23" t="inlineStr">
        <is>
          <t>Rev 1</t>
        </is>
      </c>
      <c r="O1461" s="23" t="inlineStr">
        <is>
          <t>R998-v3</t>
        </is>
      </c>
      <c r="P1461" s="23" t="inlineStr"/>
      <c r="Q1461" s="23" t="inlineStr"/>
      <c r="R1461" s="23" t="inlineStr"/>
      <c r="S1461" s="23" t="inlineStr"/>
      <c r="T1461" s="23" t="inlineStr">
        <is>
          <t>Group decision (182 records sharing one decision state), carried forward</t>
        </is>
      </c>
      <c r="U1461" s="23" t="inlineStr"/>
      <c r="V1461" s="23" t="inlineStr"/>
      <c r="W1461" s="23" t="inlineStr"/>
    </row>
    <row r="1462" ht="94" customHeight="1">
      <c r="A1462" s="23" t="inlineStr">
        <is>
          <t>UNSURE</t>
        </is>
      </c>
      <c r="B1462" s="23" t="inlineStr"/>
      <c r="C1462" s="23" t="inlineStr">
        <is>
          <t>Contractor Programme</t>
        </is>
      </c>
      <c r="D1462" s="23" t="inlineStr">
        <is>
          <t>SCH-06-099</t>
        </is>
      </c>
      <c r="E1462" s="23" t="inlineStr">
        <is>
          <t>Civil package: executive reporting close - release</t>
        </is>
      </c>
      <c r="F1462" s="23" t="inlineStr">
        <is>
          <t>UNSURE</t>
        </is>
      </c>
      <c r="G1462" s="23" t="inlineStr">
        <is>
          <t>RETAINED</t>
        </is>
      </c>
      <c r="H1462" s="23" t="inlineStr">
        <is>
          <t>Carried forward</t>
        </is>
      </c>
      <c r="I1462" s="23" t="inlineStr">
        <is>
          <t>Earlier professional decision, carried forward</t>
        </is>
      </c>
      <c r="J1462" s="23" t="inlineStr">
        <is>
          <t>Maya Chen, Owner Project Controls</t>
        </is>
      </c>
      <c r="K1462" s="23" t="inlineStr">
        <is>
          <t>Professional</t>
        </is>
      </c>
      <c r="L1462" s="23" t="inlineStr"/>
      <c r="M1462" s="23" t="inlineStr">
        <is>
          <t>Contractor Programme Cycle 2</t>
        </is>
      </c>
      <c r="N1462" s="23" t="inlineStr">
        <is>
          <t>Rev 1</t>
        </is>
      </c>
      <c r="O1462" s="23" t="inlineStr">
        <is>
          <t>R999-v3</t>
        </is>
      </c>
      <c r="P1462" s="23" t="inlineStr"/>
      <c r="Q1462" s="23" t="inlineStr"/>
      <c r="R1462" s="23" t="inlineStr"/>
      <c r="S1462" s="23" t="inlineStr"/>
      <c r="T1462" s="23" t="inlineStr">
        <is>
          <t>Group decision (182 records sharing one decision state), carried forward</t>
        </is>
      </c>
      <c r="U1462" s="23" t="inlineStr"/>
      <c r="V1462" s="23" t="inlineStr"/>
      <c r="W1462" s="23" t="inlineStr"/>
    </row>
    <row r="1463" ht="94" customHeight="1">
      <c r="A1463" s="23" t="inlineStr">
        <is>
          <t>UNSURE</t>
        </is>
      </c>
      <c r="B1463" s="23" t="inlineStr"/>
      <c r="C1463" s="23" t="inlineStr">
        <is>
          <t>Contractor Programme</t>
        </is>
      </c>
      <c r="D1463" s="23" t="inlineStr">
        <is>
          <t>SCH-06-100</t>
        </is>
      </c>
      <c r="E1463" s="23" t="inlineStr">
        <is>
          <t>Stations package: permit coordination - field start</t>
        </is>
      </c>
      <c r="F1463" s="23" t="inlineStr">
        <is>
          <t>UNSURE</t>
        </is>
      </c>
      <c r="G1463" s="23" t="inlineStr">
        <is>
          <t>RETAINED</t>
        </is>
      </c>
      <c r="H1463" s="23" t="inlineStr">
        <is>
          <t>Carried forward</t>
        </is>
      </c>
      <c r="I1463" s="23" t="inlineStr">
        <is>
          <t>Earlier professional decision, carried forward</t>
        </is>
      </c>
      <c r="J1463" s="23" t="inlineStr">
        <is>
          <t>Maya Chen, Owner Project Controls</t>
        </is>
      </c>
      <c r="K1463" s="23" t="inlineStr">
        <is>
          <t>Professional</t>
        </is>
      </c>
      <c r="L1463" s="23" t="inlineStr"/>
      <c r="M1463" s="23" t="inlineStr">
        <is>
          <t>Contractor Programme Cycle 2</t>
        </is>
      </c>
      <c r="N1463" s="23" t="inlineStr">
        <is>
          <t>Rev 1</t>
        </is>
      </c>
      <c r="O1463" s="23" t="inlineStr">
        <is>
          <t>R1000-v3</t>
        </is>
      </c>
      <c r="P1463" s="23" t="inlineStr"/>
      <c r="Q1463" s="23" t="inlineStr"/>
      <c r="R1463" s="23" t="inlineStr"/>
      <c r="S1463" s="23" t="inlineStr"/>
      <c r="T1463" s="23" t="inlineStr">
        <is>
          <t>Group decision (182 records sharing one decision state), carried forward</t>
        </is>
      </c>
      <c r="U1463" s="23" t="inlineStr"/>
      <c r="V1463" s="23" t="inlineStr"/>
      <c r="W1463" s="23" t="inlineStr"/>
    </row>
    <row r="1464" ht="94" customHeight="1">
      <c r="A1464" s="23" t="inlineStr">
        <is>
          <t>UNSURE</t>
        </is>
      </c>
      <c r="B1464" s="23" t="inlineStr"/>
      <c r="C1464" s="23" t="inlineStr">
        <is>
          <t>Contractor Programme</t>
        </is>
      </c>
      <c r="D1464" s="23" t="inlineStr">
        <is>
          <t>SCH-06-101</t>
        </is>
      </c>
      <c r="E1464" s="23" t="inlineStr">
        <is>
          <t>Systems package: delivery risk workshop - installation</t>
        </is>
      </c>
      <c r="F1464" s="23" t="inlineStr">
        <is>
          <t>UNSURE</t>
        </is>
      </c>
      <c r="G1464" s="23" t="inlineStr">
        <is>
          <t>RETAINED</t>
        </is>
      </c>
      <c r="H1464" s="23" t="inlineStr">
        <is>
          <t>Carried forward</t>
        </is>
      </c>
      <c r="I1464" s="23" t="inlineStr">
        <is>
          <t>Earlier professional decision, carried forward</t>
        </is>
      </c>
      <c r="J1464" s="23" t="inlineStr">
        <is>
          <t>Maya Chen, Owner Project Controls</t>
        </is>
      </c>
      <c r="K1464" s="23" t="inlineStr">
        <is>
          <t>Professional</t>
        </is>
      </c>
      <c r="L1464" s="23" t="inlineStr"/>
      <c r="M1464" s="23" t="inlineStr">
        <is>
          <t>Contractor Programme Cycle 2</t>
        </is>
      </c>
      <c r="N1464" s="23" t="inlineStr">
        <is>
          <t>Rev 1</t>
        </is>
      </c>
      <c r="O1464" s="23" t="inlineStr">
        <is>
          <t>R1001-v3</t>
        </is>
      </c>
      <c r="P1464" s="23" t="inlineStr"/>
      <c r="Q1464" s="23" t="inlineStr"/>
      <c r="R1464" s="23" t="inlineStr"/>
      <c r="S1464" s="23" t="inlineStr"/>
      <c r="T1464" s="23" t="inlineStr">
        <is>
          <t>Group decision (182 records sharing one decision state), carried forward</t>
        </is>
      </c>
      <c r="U1464" s="23" t="inlineStr"/>
      <c r="V1464" s="23" t="inlineStr"/>
      <c r="W1464" s="23" t="inlineStr"/>
    </row>
    <row r="1465" ht="94" customHeight="1">
      <c r="A1465" s="23" t="inlineStr">
        <is>
          <t>UNSURE</t>
        </is>
      </c>
      <c r="B1465" s="23" t="inlineStr"/>
      <c r="C1465" s="23" t="inlineStr">
        <is>
          <t>Contractor Programme</t>
        </is>
      </c>
      <c r="D1465" s="23" t="inlineStr">
        <is>
          <t>SCH-06-102</t>
        </is>
      </c>
      <c r="E1465" s="23" t="inlineStr">
        <is>
          <t>Fleet package: monthly controls cut-off - inspection</t>
        </is>
      </c>
      <c r="F1465" s="23" t="inlineStr">
        <is>
          <t>UNSURE</t>
        </is>
      </c>
      <c r="G1465" s="23" t="inlineStr">
        <is>
          <t>RETAINED</t>
        </is>
      </c>
      <c r="H1465" s="23" t="inlineStr">
        <is>
          <t>Carried forward</t>
        </is>
      </c>
      <c r="I1465" s="23" t="inlineStr">
        <is>
          <t>Earlier professional decision, carried forward</t>
        </is>
      </c>
      <c r="J1465" s="23" t="inlineStr">
        <is>
          <t>Maya Chen, Owner Project Controls</t>
        </is>
      </c>
      <c r="K1465" s="23" t="inlineStr">
        <is>
          <t>Professional</t>
        </is>
      </c>
      <c r="L1465" s="23" t="inlineStr"/>
      <c r="M1465" s="23" t="inlineStr">
        <is>
          <t>Contractor Programme Cycle 2</t>
        </is>
      </c>
      <c r="N1465" s="23" t="inlineStr">
        <is>
          <t>Rev 1</t>
        </is>
      </c>
      <c r="O1465" s="23" t="inlineStr">
        <is>
          <t>R1002-v3</t>
        </is>
      </c>
      <c r="P1465" s="23" t="inlineStr"/>
      <c r="Q1465" s="23" t="inlineStr"/>
      <c r="R1465" s="23" t="inlineStr"/>
      <c r="S1465" s="23" t="inlineStr"/>
      <c r="T1465" s="23" t="inlineStr">
        <is>
          <t>Group decision (182 records sharing one decision state), carried forward</t>
        </is>
      </c>
      <c r="U1465" s="23" t="inlineStr"/>
      <c r="V1465" s="23" t="inlineStr"/>
      <c r="W1465" s="23" t="inlineStr"/>
    </row>
    <row r="1466" ht="94" customHeight="1">
      <c r="A1466" s="23" t="inlineStr">
        <is>
          <t>UNSURE</t>
        </is>
      </c>
      <c r="B1466" s="23" t="inlineStr"/>
      <c r="C1466" s="23" t="inlineStr">
        <is>
          <t>Contractor Programme</t>
        </is>
      </c>
      <c r="D1466" s="23" t="inlineStr">
        <is>
          <t>SCH-06-103</t>
        </is>
      </c>
      <c r="E1466" s="23" t="inlineStr">
        <is>
          <t>Program office: stakeholder interface meeting - turnover</t>
        </is>
      </c>
      <c r="F1466" s="23" t="inlineStr">
        <is>
          <t>UNSURE</t>
        </is>
      </c>
      <c r="G1466" s="23" t="inlineStr">
        <is>
          <t>RETAINED</t>
        </is>
      </c>
      <c r="H1466" s="23" t="inlineStr">
        <is>
          <t>Carried forward</t>
        </is>
      </c>
      <c r="I1466" s="23" t="inlineStr">
        <is>
          <t>Earlier professional decision, carried forward</t>
        </is>
      </c>
      <c r="J1466" s="23" t="inlineStr">
        <is>
          <t>Maya Chen, Owner Project Controls</t>
        </is>
      </c>
      <c r="K1466" s="23" t="inlineStr">
        <is>
          <t>Professional</t>
        </is>
      </c>
      <c r="L1466" s="23" t="inlineStr"/>
      <c r="M1466" s="23" t="inlineStr">
        <is>
          <t>Contractor Programme Cycle 2</t>
        </is>
      </c>
      <c r="N1466" s="23" t="inlineStr">
        <is>
          <t>Rev 1</t>
        </is>
      </c>
      <c r="O1466" s="23" t="inlineStr">
        <is>
          <t>R1003-v3</t>
        </is>
      </c>
      <c r="P1466" s="23" t="inlineStr"/>
      <c r="Q1466" s="23" t="inlineStr"/>
      <c r="R1466" s="23" t="inlineStr"/>
      <c r="S1466" s="23" t="inlineStr"/>
      <c r="T1466" s="23" t="inlineStr">
        <is>
          <t>Group decision (182 records sharing one decision state), carried forward</t>
        </is>
      </c>
      <c r="U1466" s="23" t="inlineStr"/>
      <c r="V1466" s="23" t="inlineStr"/>
      <c r="W1466" s="23" t="inlineStr"/>
    </row>
    <row r="1467" ht="94" customHeight="1">
      <c r="A1467" s="23" t="inlineStr">
        <is>
          <t>UNSURE</t>
        </is>
      </c>
      <c r="B1467" s="23" t="inlineStr"/>
      <c r="C1467" s="23" t="inlineStr">
        <is>
          <t>Contractor Programme</t>
        </is>
      </c>
      <c r="D1467" s="23" t="inlineStr">
        <is>
          <t>SCH-06-104</t>
        </is>
      </c>
      <c r="E1467" s="23" t="inlineStr">
        <is>
          <t>Civil package: baseline change control - release</t>
        </is>
      </c>
      <c r="F1467" s="23" t="inlineStr">
        <is>
          <t>UNSURE</t>
        </is>
      </c>
      <c r="G1467" s="23" t="inlineStr">
        <is>
          <t>RETAINED</t>
        </is>
      </c>
      <c r="H1467" s="23" t="inlineStr">
        <is>
          <t>Carried forward</t>
        </is>
      </c>
      <c r="I1467" s="23" t="inlineStr">
        <is>
          <t>Earlier professional decision, carried forward</t>
        </is>
      </c>
      <c r="J1467" s="23" t="inlineStr">
        <is>
          <t>Maya Chen, Owner Project Controls</t>
        </is>
      </c>
      <c r="K1467" s="23" t="inlineStr">
        <is>
          <t>Professional</t>
        </is>
      </c>
      <c r="L1467" s="23" t="inlineStr"/>
      <c r="M1467" s="23" t="inlineStr">
        <is>
          <t>Contractor Programme Cycle 2</t>
        </is>
      </c>
      <c r="N1467" s="23" t="inlineStr">
        <is>
          <t>Rev 1</t>
        </is>
      </c>
      <c r="O1467" s="23" t="inlineStr">
        <is>
          <t>R1004-v3</t>
        </is>
      </c>
      <c r="P1467" s="23" t="inlineStr"/>
      <c r="Q1467" s="23" t="inlineStr"/>
      <c r="R1467" s="23" t="inlineStr"/>
      <c r="S1467" s="23" t="inlineStr"/>
      <c r="T1467" s="23" t="inlineStr">
        <is>
          <t>Group decision (182 records sharing one decision state), carried forward</t>
        </is>
      </c>
      <c r="U1467" s="23" t="inlineStr"/>
      <c r="V1467" s="23" t="inlineStr"/>
      <c r="W1467" s="23" t="inlineStr"/>
    </row>
    <row r="1468" ht="94" customHeight="1">
      <c r="A1468" s="23" t="inlineStr">
        <is>
          <t>UNSURE</t>
        </is>
      </c>
      <c r="B1468" s="23" t="inlineStr"/>
      <c r="C1468" s="23" t="inlineStr">
        <is>
          <t>Contractor Programme</t>
        </is>
      </c>
      <c r="D1468" s="23" t="inlineStr">
        <is>
          <t>SCH-06-105</t>
        </is>
      </c>
      <c r="E1468" s="23" t="inlineStr">
        <is>
          <t>Stations package: commercial change review - field start</t>
        </is>
      </c>
      <c r="F1468" s="23" t="inlineStr">
        <is>
          <t>UNSURE</t>
        </is>
      </c>
      <c r="G1468" s="23" t="inlineStr">
        <is>
          <t>RETAINED</t>
        </is>
      </c>
      <c r="H1468" s="23" t="inlineStr">
        <is>
          <t>Carried forward</t>
        </is>
      </c>
      <c r="I1468" s="23" t="inlineStr">
        <is>
          <t>Earlier professional decision, carried forward</t>
        </is>
      </c>
      <c r="J1468" s="23" t="inlineStr">
        <is>
          <t>Maya Chen, Owner Project Controls</t>
        </is>
      </c>
      <c r="K1468" s="23" t="inlineStr">
        <is>
          <t>Professional</t>
        </is>
      </c>
      <c r="L1468" s="23" t="inlineStr"/>
      <c r="M1468" s="23" t="inlineStr">
        <is>
          <t>Contractor Programme Cycle 2</t>
        </is>
      </c>
      <c r="N1468" s="23" t="inlineStr">
        <is>
          <t>Rev 1</t>
        </is>
      </c>
      <c r="O1468" s="23" t="inlineStr">
        <is>
          <t>R1005-v3</t>
        </is>
      </c>
      <c r="P1468" s="23" t="inlineStr"/>
      <c r="Q1468" s="23" t="inlineStr"/>
      <c r="R1468" s="23" t="inlineStr"/>
      <c r="S1468" s="23" t="inlineStr"/>
      <c r="T1468" s="23" t="inlineStr">
        <is>
          <t>Group decision (182 records sharing one decision state), carried forward</t>
        </is>
      </c>
      <c r="U1468" s="23" t="inlineStr"/>
      <c r="V1468" s="23" t="inlineStr"/>
      <c r="W1468" s="23" t="inlineStr"/>
    </row>
    <row r="1469" ht="94" customHeight="1">
      <c r="A1469" s="23" t="inlineStr">
        <is>
          <t>UNSURE</t>
        </is>
      </c>
      <c r="B1469" s="23" t="inlineStr"/>
      <c r="C1469" s="23" t="inlineStr">
        <is>
          <t>Contractor Programme</t>
        </is>
      </c>
      <c r="D1469" s="23" t="inlineStr">
        <is>
          <t>SCH-06-106</t>
        </is>
      </c>
      <c r="E1469" s="23" t="inlineStr">
        <is>
          <t>Systems package: design-package integration review - installation</t>
        </is>
      </c>
      <c r="F1469" s="23" t="inlineStr">
        <is>
          <t>UNSURE</t>
        </is>
      </c>
      <c r="G1469" s="23" t="inlineStr">
        <is>
          <t>RETAINED</t>
        </is>
      </c>
      <c r="H1469" s="23" t="inlineStr">
        <is>
          <t>Carried forward</t>
        </is>
      </c>
      <c r="I1469" s="23" t="inlineStr">
        <is>
          <t>Earlier professional decision, carried forward</t>
        </is>
      </c>
      <c r="J1469" s="23" t="inlineStr">
        <is>
          <t>Maya Chen, Owner Project Controls</t>
        </is>
      </c>
      <c r="K1469" s="23" t="inlineStr">
        <is>
          <t>Professional</t>
        </is>
      </c>
      <c r="L1469" s="23" t="inlineStr"/>
      <c r="M1469" s="23" t="inlineStr">
        <is>
          <t>Contractor Programme Cycle 2</t>
        </is>
      </c>
      <c r="N1469" s="23" t="inlineStr">
        <is>
          <t>Rev 1</t>
        </is>
      </c>
      <c r="O1469" s="23" t="inlineStr">
        <is>
          <t>R1006-v3</t>
        </is>
      </c>
      <c r="P1469" s="23" t="inlineStr"/>
      <c r="Q1469" s="23" t="inlineStr"/>
      <c r="R1469" s="23" t="inlineStr"/>
      <c r="S1469" s="23" t="inlineStr"/>
      <c r="T1469" s="23" t="inlineStr">
        <is>
          <t>Group decision (182 records sharing one decision state), carried forward</t>
        </is>
      </c>
      <c r="U1469" s="23" t="inlineStr"/>
      <c r="V1469" s="23" t="inlineStr"/>
      <c r="W1469" s="23" t="inlineStr"/>
    </row>
    <row r="1470" ht="94" customHeight="1">
      <c r="A1470" s="23" t="inlineStr">
        <is>
          <t>UNSURE</t>
        </is>
      </c>
      <c r="B1470" s="23" t="inlineStr"/>
      <c r="C1470" s="23" t="inlineStr">
        <is>
          <t>Contractor Programme</t>
        </is>
      </c>
      <c r="D1470" s="23" t="inlineStr">
        <is>
          <t>SCH-06-107</t>
        </is>
      </c>
      <c r="E1470" s="23" t="inlineStr">
        <is>
          <t>Fleet package: executive reporting close - inspection</t>
        </is>
      </c>
      <c r="F1470" s="23" t="inlineStr">
        <is>
          <t>UNSURE</t>
        </is>
      </c>
      <c r="G1470" s="23" t="inlineStr">
        <is>
          <t>RETAINED</t>
        </is>
      </c>
      <c r="H1470" s="23" t="inlineStr">
        <is>
          <t>Carried forward</t>
        </is>
      </c>
      <c r="I1470" s="23" t="inlineStr">
        <is>
          <t>Earlier professional decision, carried forward</t>
        </is>
      </c>
      <c r="J1470" s="23" t="inlineStr">
        <is>
          <t>Maya Chen, Owner Project Controls</t>
        </is>
      </c>
      <c r="K1470" s="23" t="inlineStr">
        <is>
          <t>Professional</t>
        </is>
      </c>
      <c r="L1470" s="23" t="inlineStr"/>
      <c r="M1470" s="23" t="inlineStr">
        <is>
          <t>Contractor Programme Cycle 2</t>
        </is>
      </c>
      <c r="N1470" s="23" t="inlineStr">
        <is>
          <t>Rev 1</t>
        </is>
      </c>
      <c r="O1470" s="23" t="inlineStr">
        <is>
          <t>R1007-v3</t>
        </is>
      </c>
      <c r="P1470" s="23" t="inlineStr"/>
      <c r="Q1470" s="23" t="inlineStr"/>
      <c r="R1470" s="23" t="inlineStr"/>
      <c r="S1470" s="23" t="inlineStr"/>
      <c r="T1470" s="23" t="inlineStr">
        <is>
          <t>Group decision (182 records sharing one decision state), carried forward</t>
        </is>
      </c>
      <c r="U1470" s="23" t="inlineStr"/>
      <c r="V1470" s="23" t="inlineStr"/>
      <c r="W1470" s="23" t="inlineStr"/>
    </row>
    <row r="1471" ht="94" customHeight="1">
      <c r="A1471" s="23" t="inlineStr">
        <is>
          <t>UNSURE</t>
        </is>
      </c>
      <c r="B1471" s="23" t="inlineStr"/>
      <c r="C1471" s="23" t="inlineStr">
        <is>
          <t>Contractor Programme</t>
        </is>
      </c>
      <c r="D1471" s="23" t="inlineStr">
        <is>
          <t>SCH-06-108</t>
        </is>
      </c>
      <c r="E1471" s="23" t="inlineStr">
        <is>
          <t>Program office: permit coordination - turnover</t>
        </is>
      </c>
      <c r="F1471" s="23" t="inlineStr">
        <is>
          <t>UNSURE</t>
        </is>
      </c>
      <c r="G1471" s="23" t="inlineStr">
        <is>
          <t>RETAINED</t>
        </is>
      </c>
      <c r="H1471" s="23" t="inlineStr">
        <is>
          <t>Carried forward</t>
        </is>
      </c>
      <c r="I1471" s="23" t="inlineStr">
        <is>
          <t>Earlier professional decision, carried forward</t>
        </is>
      </c>
      <c r="J1471" s="23" t="inlineStr">
        <is>
          <t>Maya Chen, Owner Project Controls</t>
        </is>
      </c>
      <c r="K1471" s="23" t="inlineStr">
        <is>
          <t>Professional</t>
        </is>
      </c>
      <c r="L1471" s="23" t="inlineStr"/>
      <c r="M1471" s="23" t="inlineStr">
        <is>
          <t>Contractor Programme Cycle 2</t>
        </is>
      </c>
      <c r="N1471" s="23" t="inlineStr">
        <is>
          <t>Rev 1</t>
        </is>
      </c>
      <c r="O1471" s="23" t="inlineStr">
        <is>
          <t>R1008-v3</t>
        </is>
      </c>
      <c r="P1471" s="23" t="inlineStr"/>
      <c r="Q1471" s="23" t="inlineStr"/>
      <c r="R1471" s="23" t="inlineStr"/>
      <c r="S1471" s="23" t="inlineStr"/>
      <c r="T1471" s="23" t="inlineStr">
        <is>
          <t>Group decision (182 records sharing one decision state), carried forward</t>
        </is>
      </c>
      <c r="U1471" s="23" t="inlineStr"/>
      <c r="V1471" s="23" t="inlineStr"/>
      <c r="W1471" s="23" t="inlineStr"/>
    </row>
    <row r="1472" ht="94" customHeight="1">
      <c r="A1472" s="23" t="inlineStr">
        <is>
          <t>UNSURE</t>
        </is>
      </c>
      <c r="B1472" s="23" t="inlineStr"/>
      <c r="C1472" s="23" t="inlineStr">
        <is>
          <t>Contractor Programme</t>
        </is>
      </c>
      <c r="D1472" s="23" t="inlineStr">
        <is>
          <t>SCH-06-109</t>
        </is>
      </c>
      <c r="E1472" s="23" t="inlineStr">
        <is>
          <t>Civil package: delivery risk workshop - release</t>
        </is>
      </c>
      <c r="F1472" s="23" t="inlineStr">
        <is>
          <t>UNSURE</t>
        </is>
      </c>
      <c r="G1472" s="23" t="inlineStr">
        <is>
          <t>RETAINED</t>
        </is>
      </c>
      <c r="H1472" s="23" t="inlineStr">
        <is>
          <t>Carried forward</t>
        </is>
      </c>
      <c r="I1472" s="23" t="inlineStr">
        <is>
          <t>Earlier professional decision, carried forward</t>
        </is>
      </c>
      <c r="J1472" s="23" t="inlineStr">
        <is>
          <t>Maya Chen, Owner Project Controls</t>
        </is>
      </c>
      <c r="K1472" s="23" t="inlineStr">
        <is>
          <t>Professional</t>
        </is>
      </c>
      <c r="L1472" s="23" t="inlineStr"/>
      <c r="M1472" s="23" t="inlineStr">
        <is>
          <t>Contractor Programme Cycle 2</t>
        </is>
      </c>
      <c r="N1472" s="23" t="inlineStr">
        <is>
          <t>Rev 1</t>
        </is>
      </c>
      <c r="O1472" s="23" t="inlineStr">
        <is>
          <t>R1009-v3</t>
        </is>
      </c>
      <c r="P1472" s="23" t="inlineStr"/>
      <c r="Q1472" s="23" t="inlineStr"/>
      <c r="R1472" s="23" t="inlineStr"/>
      <c r="S1472" s="23" t="inlineStr"/>
      <c r="T1472" s="23" t="inlineStr">
        <is>
          <t>Group decision (182 records sharing one decision state), carried forward</t>
        </is>
      </c>
      <c r="U1472" s="23" t="inlineStr"/>
      <c r="V1472" s="23" t="inlineStr"/>
      <c r="W1472" s="23" t="inlineStr"/>
    </row>
    <row r="1473" ht="94" customHeight="1">
      <c r="A1473" s="23" t="inlineStr">
        <is>
          <t>UNSURE</t>
        </is>
      </c>
      <c r="B1473" s="23" t="inlineStr"/>
      <c r="C1473" s="23" t="inlineStr">
        <is>
          <t>Contractor Programme</t>
        </is>
      </c>
      <c r="D1473" s="23" t="inlineStr">
        <is>
          <t>SCH-06-110</t>
        </is>
      </c>
      <c r="E1473" s="23" t="inlineStr">
        <is>
          <t>Stations package: monthly controls cut-off - field start</t>
        </is>
      </c>
      <c r="F1473" s="23" t="inlineStr">
        <is>
          <t>UNSURE</t>
        </is>
      </c>
      <c r="G1473" s="23" t="inlineStr">
        <is>
          <t>RETAINED</t>
        </is>
      </c>
      <c r="H1473" s="23" t="inlineStr">
        <is>
          <t>Carried forward</t>
        </is>
      </c>
      <c r="I1473" s="23" t="inlineStr">
        <is>
          <t>Earlier professional decision, carried forward</t>
        </is>
      </c>
      <c r="J1473" s="23" t="inlineStr">
        <is>
          <t>Maya Chen, Owner Project Controls</t>
        </is>
      </c>
      <c r="K1473" s="23" t="inlineStr">
        <is>
          <t>Professional</t>
        </is>
      </c>
      <c r="L1473" s="23" t="inlineStr"/>
      <c r="M1473" s="23" t="inlineStr">
        <is>
          <t>Contractor Programme Cycle 2</t>
        </is>
      </c>
      <c r="N1473" s="23" t="inlineStr">
        <is>
          <t>Rev 1</t>
        </is>
      </c>
      <c r="O1473" s="23" t="inlineStr">
        <is>
          <t>R1010-v3</t>
        </is>
      </c>
      <c r="P1473" s="23" t="inlineStr"/>
      <c r="Q1473" s="23" t="inlineStr"/>
      <c r="R1473" s="23" t="inlineStr"/>
      <c r="S1473" s="23" t="inlineStr"/>
      <c r="T1473" s="23" t="inlineStr">
        <is>
          <t>Group decision (182 records sharing one decision state), carried forward</t>
        </is>
      </c>
      <c r="U1473" s="23" t="inlineStr"/>
      <c r="V1473" s="23" t="inlineStr"/>
      <c r="W1473" s="23" t="inlineStr"/>
    </row>
    <row r="1474" ht="94" customHeight="1">
      <c r="A1474" s="23" t="inlineStr">
        <is>
          <t>UNSURE</t>
        </is>
      </c>
      <c r="B1474" s="23" t="inlineStr"/>
      <c r="C1474" s="23" t="inlineStr">
        <is>
          <t>Contractor Programme</t>
        </is>
      </c>
      <c r="D1474" s="23" t="inlineStr">
        <is>
          <t>SCH-06-111</t>
        </is>
      </c>
      <c r="E1474" s="23" t="inlineStr">
        <is>
          <t>Systems package: stakeholder interface meeting - installation</t>
        </is>
      </c>
      <c r="F1474" s="23" t="inlineStr">
        <is>
          <t>UNSURE</t>
        </is>
      </c>
      <c r="G1474" s="23" t="inlineStr">
        <is>
          <t>RETAINED</t>
        </is>
      </c>
      <c r="H1474" s="23" t="inlineStr">
        <is>
          <t>Carried forward</t>
        </is>
      </c>
      <c r="I1474" s="23" t="inlineStr">
        <is>
          <t>Earlier professional decision, carried forward</t>
        </is>
      </c>
      <c r="J1474" s="23" t="inlineStr">
        <is>
          <t>Maya Chen, Owner Project Controls</t>
        </is>
      </c>
      <c r="K1474" s="23" t="inlineStr">
        <is>
          <t>Professional</t>
        </is>
      </c>
      <c r="L1474" s="23" t="inlineStr"/>
      <c r="M1474" s="23" t="inlineStr">
        <is>
          <t>Contractor Programme Cycle 2</t>
        </is>
      </c>
      <c r="N1474" s="23" t="inlineStr">
        <is>
          <t>Rev 1</t>
        </is>
      </c>
      <c r="O1474" s="23" t="inlineStr">
        <is>
          <t>R1011-v3</t>
        </is>
      </c>
      <c r="P1474" s="23" t="inlineStr"/>
      <c r="Q1474" s="23" t="inlineStr"/>
      <c r="R1474" s="23" t="inlineStr"/>
      <c r="S1474" s="23" t="inlineStr"/>
      <c r="T1474" s="23" t="inlineStr">
        <is>
          <t>Group decision (182 records sharing one decision state), carried forward</t>
        </is>
      </c>
      <c r="U1474" s="23" t="inlineStr"/>
      <c r="V1474" s="23" t="inlineStr"/>
      <c r="W1474" s="23" t="inlineStr"/>
    </row>
    <row r="1475" ht="94" customHeight="1">
      <c r="A1475" s="23" t="inlineStr">
        <is>
          <t>UNSURE</t>
        </is>
      </c>
      <c r="B1475" s="23" t="inlineStr"/>
      <c r="C1475" s="23" t="inlineStr">
        <is>
          <t>Contractor Programme</t>
        </is>
      </c>
      <c r="D1475" s="23" t="inlineStr">
        <is>
          <t>SCH-06-112</t>
        </is>
      </c>
      <c r="E1475" s="23" t="inlineStr">
        <is>
          <t>Fleet package: baseline change control - inspection</t>
        </is>
      </c>
      <c r="F1475" s="23" t="inlineStr">
        <is>
          <t>UNSURE</t>
        </is>
      </c>
      <c r="G1475" s="23" t="inlineStr">
        <is>
          <t>RETAINED</t>
        </is>
      </c>
      <c r="H1475" s="23" t="inlineStr">
        <is>
          <t>Carried forward</t>
        </is>
      </c>
      <c r="I1475" s="23" t="inlineStr">
        <is>
          <t>Earlier professional decision, carried forward</t>
        </is>
      </c>
      <c r="J1475" s="23" t="inlineStr">
        <is>
          <t>Maya Chen, Owner Project Controls</t>
        </is>
      </c>
      <c r="K1475" s="23" t="inlineStr">
        <is>
          <t>Professional</t>
        </is>
      </c>
      <c r="L1475" s="23" t="inlineStr"/>
      <c r="M1475" s="23" t="inlineStr">
        <is>
          <t>Contractor Programme Cycle 2</t>
        </is>
      </c>
      <c r="N1475" s="23" t="inlineStr">
        <is>
          <t>Rev 1</t>
        </is>
      </c>
      <c r="O1475" s="23" t="inlineStr">
        <is>
          <t>R1012-v3</t>
        </is>
      </c>
      <c r="P1475" s="23" t="inlineStr"/>
      <c r="Q1475" s="23" t="inlineStr"/>
      <c r="R1475" s="23" t="inlineStr"/>
      <c r="S1475" s="23" t="inlineStr"/>
      <c r="T1475" s="23" t="inlineStr">
        <is>
          <t>Group decision (182 records sharing one decision state), carried forward</t>
        </is>
      </c>
      <c r="U1475" s="23" t="inlineStr"/>
      <c r="V1475" s="23" t="inlineStr"/>
      <c r="W1475" s="23" t="inlineStr"/>
    </row>
    <row r="1476" ht="94" customHeight="1">
      <c r="A1476" s="23" t="inlineStr">
        <is>
          <t>UNSURE</t>
        </is>
      </c>
      <c r="B1476" s="23" t="inlineStr"/>
      <c r="C1476" s="23" t="inlineStr">
        <is>
          <t>Contractor Programme</t>
        </is>
      </c>
      <c r="D1476" s="23" t="inlineStr">
        <is>
          <t>SCH-06-113</t>
        </is>
      </c>
      <c r="E1476" s="23" t="inlineStr">
        <is>
          <t>Program office: commercial change review - turnover</t>
        </is>
      </c>
      <c r="F1476" s="23" t="inlineStr">
        <is>
          <t>UNSURE</t>
        </is>
      </c>
      <c r="G1476" s="23" t="inlineStr">
        <is>
          <t>RETAINED</t>
        </is>
      </c>
      <c r="H1476" s="23" t="inlineStr">
        <is>
          <t>Carried forward</t>
        </is>
      </c>
      <c r="I1476" s="23" t="inlineStr">
        <is>
          <t>Earlier professional decision, carried forward</t>
        </is>
      </c>
      <c r="J1476" s="23" t="inlineStr">
        <is>
          <t>Maya Chen, Owner Project Controls</t>
        </is>
      </c>
      <c r="K1476" s="23" t="inlineStr">
        <is>
          <t>Professional</t>
        </is>
      </c>
      <c r="L1476" s="23" t="inlineStr"/>
      <c r="M1476" s="23" t="inlineStr">
        <is>
          <t>Contractor Programme Cycle 2</t>
        </is>
      </c>
      <c r="N1476" s="23" t="inlineStr">
        <is>
          <t>Rev 1</t>
        </is>
      </c>
      <c r="O1476" s="23" t="inlineStr">
        <is>
          <t>R1013-v3</t>
        </is>
      </c>
      <c r="P1476" s="23" t="inlineStr"/>
      <c r="Q1476" s="23" t="inlineStr"/>
      <c r="R1476" s="23" t="inlineStr"/>
      <c r="S1476" s="23" t="inlineStr"/>
      <c r="T1476" s="23" t="inlineStr">
        <is>
          <t>Group decision (182 records sharing one decision state), carried forward</t>
        </is>
      </c>
      <c r="U1476" s="23" t="inlineStr"/>
      <c r="V1476" s="23" t="inlineStr"/>
      <c r="W1476" s="23" t="inlineStr"/>
    </row>
    <row r="1477" ht="94" customHeight="1">
      <c r="A1477" s="23" t="inlineStr">
        <is>
          <t>UNSURE</t>
        </is>
      </c>
      <c r="B1477" s="23" t="inlineStr"/>
      <c r="C1477" s="23" t="inlineStr">
        <is>
          <t>Contractor Programme</t>
        </is>
      </c>
      <c r="D1477" s="23" t="inlineStr">
        <is>
          <t>SCH-06-114</t>
        </is>
      </c>
      <c r="E1477" s="23" t="inlineStr">
        <is>
          <t>Civil package: design-package integration review - release</t>
        </is>
      </c>
      <c r="F1477" s="23" t="inlineStr">
        <is>
          <t>UNSURE</t>
        </is>
      </c>
      <c r="G1477" s="23" t="inlineStr">
        <is>
          <t>RETAINED</t>
        </is>
      </c>
      <c r="H1477" s="23" t="inlineStr">
        <is>
          <t>Carried forward</t>
        </is>
      </c>
      <c r="I1477" s="23" t="inlineStr">
        <is>
          <t>Earlier professional decision, carried forward</t>
        </is>
      </c>
      <c r="J1477" s="23" t="inlineStr">
        <is>
          <t>Maya Chen, Owner Project Controls</t>
        </is>
      </c>
      <c r="K1477" s="23" t="inlineStr">
        <is>
          <t>Professional</t>
        </is>
      </c>
      <c r="L1477" s="23" t="inlineStr"/>
      <c r="M1477" s="23" t="inlineStr">
        <is>
          <t>Contractor Programme Cycle 2</t>
        </is>
      </c>
      <c r="N1477" s="23" t="inlineStr">
        <is>
          <t>Rev 1</t>
        </is>
      </c>
      <c r="O1477" s="23" t="inlineStr">
        <is>
          <t>R1014-v3</t>
        </is>
      </c>
      <c r="P1477" s="23" t="inlineStr"/>
      <c r="Q1477" s="23" t="inlineStr"/>
      <c r="R1477" s="23" t="inlineStr"/>
      <c r="S1477" s="23" t="inlineStr"/>
      <c r="T1477" s="23" t="inlineStr">
        <is>
          <t>Group decision (182 records sharing one decision state), carried forward</t>
        </is>
      </c>
      <c r="U1477" s="23" t="inlineStr"/>
      <c r="V1477" s="23" t="inlineStr"/>
      <c r="W1477" s="23" t="inlineStr"/>
    </row>
    <row r="1478" ht="94" customHeight="1">
      <c r="A1478" s="23" t="inlineStr">
        <is>
          <t>UNSURE</t>
        </is>
      </c>
      <c r="B1478" s="23" t="inlineStr"/>
      <c r="C1478" s="23" t="inlineStr">
        <is>
          <t>Contractor Programme</t>
        </is>
      </c>
      <c r="D1478" s="23" t="inlineStr">
        <is>
          <t>SCH-06-115</t>
        </is>
      </c>
      <c r="E1478" s="23" t="inlineStr">
        <is>
          <t>Stations package: executive reporting close - field start</t>
        </is>
      </c>
      <c r="F1478" s="23" t="inlineStr">
        <is>
          <t>UNSURE</t>
        </is>
      </c>
      <c r="G1478" s="23" t="inlineStr">
        <is>
          <t>RETAINED</t>
        </is>
      </c>
      <c r="H1478" s="23" t="inlineStr">
        <is>
          <t>Carried forward</t>
        </is>
      </c>
      <c r="I1478" s="23" t="inlineStr">
        <is>
          <t>Earlier professional decision, carried forward</t>
        </is>
      </c>
      <c r="J1478" s="23" t="inlineStr">
        <is>
          <t>Maya Chen, Owner Project Controls</t>
        </is>
      </c>
      <c r="K1478" s="23" t="inlineStr">
        <is>
          <t>Professional</t>
        </is>
      </c>
      <c r="L1478" s="23" t="inlineStr"/>
      <c r="M1478" s="23" t="inlineStr">
        <is>
          <t>Contractor Programme Cycle 2</t>
        </is>
      </c>
      <c r="N1478" s="23" t="inlineStr">
        <is>
          <t>Rev 1</t>
        </is>
      </c>
      <c r="O1478" s="23" t="inlineStr">
        <is>
          <t>R1015-v3</t>
        </is>
      </c>
      <c r="P1478" s="23" t="inlineStr"/>
      <c r="Q1478" s="23" t="inlineStr"/>
      <c r="R1478" s="23" t="inlineStr"/>
      <c r="S1478" s="23" t="inlineStr"/>
      <c r="T1478" s="23" t="inlineStr">
        <is>
          <t>Group decision (182 records sharing one decision state), carried forward</t>
        </is>
      </c>
      <c r="U1478" s="23" t="inlineStr"/>
      <c r="V1478" s="23" t="inlineStr"/>
      <c r="W1478" s="23" t="inlineStr"/>
    </row>
    <row r="1479" ht="94" customHeight="1">
      <c r="A1479" s="23" t="inlineStr">
        <is>
          <t>UNSURE</t>
        </is>
      </c>
      <c r="B1479" s="23" t="inlineStr"/>
      <c r="C1479" s="23" t="inlineStr">
        <is>
          <t>Contractor Programme</t>
        </is>
      </c>
      <c r="D1479" s="23" t="inlineStr">
        <is>
          <t>SCH-06-116</t>
        </is>
      </c>
      <c r="E1479" s="23" t="inlineStr">
        <is>
          <t>Systems package: permit coordination - installation</t>
        </is>
      </c>
      <c r="F1479" s="23" t="inlineStr">
        <is>
          <t>UNSURE</t>
        </is>
      </c>
      <c r="G1479" s="23" t="inlineStr">
        <is>
          <t>RETAINED</t>
        </is>
      </c>
      <c r="H1479" s="23" t="inlineStr">
        <is>
          <t>Carried forward</t>
        </is>
      </c>
      <c r="I1479" s="23" t="inlineStr">
        <is>
          <t>Earlier professional decision, carried forward</t>
        </is>
      </c>
      <c r="J1479" s="23" t="inlineStr">
        <is>
          <t>Maya Chen, Owner Project Controls</t>
        </is>
      </c>
      <c r="K1479" s="23" t="inlineStr">
        <is>
          <t>Professional</t>
        </is>
      </c>
      <c r="L1479" s="23" t="inlineStr"/>
      <c r="M1479" s="23" t="inlineStr">
        <is>
          <t>Contractor Programme Cycle 2</t>
        </is>
      </c>
      <c r="N1479" s="23" t="inlineStr">
        <is>
          <t>Rev 1</t>
        </is>
      </c>
      <c r="O1479" s="23" t="inlineStr">
        <is>
          <t>R1016-v3</t>
        </is>
      </c>
      <c r="P1479" s="23" t="inlineStr"/>
      <c r="Q1479" s="23" t="inlineStr"/>
      <c r="R1479" s="23" t="inlineStr"/>
      <c r="S1479" s="23" t="inlineStr"/>
      <c r="T1479" s="23" t="inlineStr">
        <is>
          <t>Group decision (182 records sharing one decision state), carried forward</t>
        </is>
      </c>
      <c r="U1479" s="23" t="inlineStr"/>
      <c r="V1479" s="23" t="inlineStr"/>
      <c r="W1479" s="23" t="inlineStr"/>
    </row>
    <row r="1480" ht="94" customHeight="1">
      <c r="A1480" s="23" t="inlineStr">
        <is>
          <t>UNSURE</t>
        </is>
      </c>
      <c r="B1480" s="23" t="inlineStr"/>
      <c r="C1480" s="23" t="inlineStr">
        <is>
          <t>Contractor Programme</t>
        </is>
      </c>
      <c r="D1480" s="23" t="inlineStr">
        <is>
          <t>SCH-06-117</t>
        </is>
      </c>
      <c r="E1480" s="23" t="inlineStr">
        <is>
          <t>Fleet package: delivery risk workshop - inspection</t>
        </is>
      </c>
      <c r="F1480" s="23" t="inlineStr">
        <is>
          <t>UNSURE</t>
        </is>
      </c>
      <c r="G1480" s="23" t="inlineStr">
        <is>
          <t>RETAINED</t>
        </is>
      </c>
      <c r="H1480" s="23" t="inlineStr">
        <is>
          <t>Carried forward</t>
        </is>
      </c>
      <c r="I1480" s="23" t="inlineStr">
        <is>
          <t>Earlier professional decision, carried forward</t>
        </is>
      </c>
      <c r="J1480" s="23" t="inlineStr">
        <is>
          <t>Maya Chen, Owner Project Controls</t>
        </is>
      </c>
      <c r="K1480" s="23" t="inlineStr">
        <is>
          <t>Professional</t>
        </is>
      </c>
      <c r="L1480" s="23" t="inlineStr"/>
      <c r="M1480" s="23" t="inlineStr">
        <is>
          <t>Contractor Programme Cycle 2</t>
        </is>
      </c>
      <c r="N1480" s="23" t="inlineStr">
        <is>
          <t>Rev 1</t>
        </is>
      </c>
      <c r="O1480" s="23" t="inlineStr">
        <is>
          <t>R1017-v3</t>
        </is>
      </c>
      <c r="P1480" s="23" t="inlineStr"/>
      <c r="Q1480" s="23" t="inlineStr"/>
      <c r="R1480" s="23" t="inlineStr"/>
      <c r="S1480" s="23" t="inlineStr"/>
      <c r="T1480" s="23" t="inlineStr">
        <is>
          <t>Group decision (182 records sharing one decision state), carried forward</t>
        </is>
      </c>
      <c r="U1480" s="23" t="inlineStr"/>
      <c r="V1480" s="23" t="inlineStr"/>
      <c r="W1480" s="23" t="inlineStr"/>
    </row>
    <row r="1481" ht="94" customHeight="1">
      <c r="A1481" s="23" t="inlineStr">
        <is>
          <t>UNSURE</t>
        </is>
      </c>
      <c r="B1481" s="23" t="inlineStr"/>
      <c r="C1481" s="23" t="inlineStr">
        <is>
          <t>Contractor Programme</t>
        </is>
      </c>
      <c r="D1481" s="23" t="inlineStr">
        <is>
          <t>SCH-06-118</t>
        </is>
      </c>
      <c r="E1481" s="23" t="inlineStr">
        <is>
          <t>Program office: monthly controls cut-off - turnover</t>
        </is>
      </c>
      <c r="F1481" s="23" t="inlineStr">
        <is>
          <t>UNSURE</t>
        </is>
      </c>
      <c r="G1481" s="23" t="inlineStr">
        <is>
          <t>RETAINED</t>
        </is>
      </c>
      <c r="H1481" s="23" t="inlineStr">
        <is>
          <t>Carried forward</t>
        </is>
      </c>
      <c r="I1481" s="23" t="inlineStr">
        <is>
          <t>Earlier professional decision, carried forward</t>
        </is>
      </c>
      <c r="J1481" s="23" t="inlineStr">
        <is>
          <t>Maya Chen, Owner Project Controls</t>
        </is>
      </c>
      <c r="K1481" s="23" t="inlineStr">
        <is>
          <t>Professional</t>
        </is>
      </c>
      <c r="L1481" s="23" t="inlineStr"/>
      <c r="M1481" s="23" t="inlineStr">
        <is>
          <t>Contractor Programme Cycle 2</t>
        </is>
      </c>
      <c r="N1481" s="23" t="inlineStr">
        <is>
          <t>Rev 1</t>
        </is>
      </c>
      <c r="O1481" s="23" t="inlineStr">
        <is>
          <t>R1018-v3</t>
        </is>
      </c>
      <c r="P1481" s="23" t="inlineStr"/>
      <c r="Q1481" s="23" t="inlineStr"/>
      <c r="R1481" s="23" t="inlineStr"/>
      <c r="S1481" s="23" t="inlineStr"/>
      <c r="T1481" s="23" t="inlineStr">
        <is>
          <t>Group decision (182 records sharing one decision state), carried forward</t>
        </is>
      </c>
      <c r="U1481" s="23" t="inlineStr"/>
      <c r="V1481" s="23" t="inlineStr"/>
      <c r="W1481" s="23" t="inlineStr"/>
    </row>
    <row r="1482" ht="94" customHeight="1">
      <c r="A1482" s="23" t="inlineStr">
        <is>
          <t>UNSURE</t>
        </is>
      </c>
      <c r="B1482" s="23" t="inlineStr"/>
      <c r="C1482" s="23" t="inlineStr">
        <is>
          <t>Contractor Programme</t>
        </is>
      </c>
      <c r="D1482" s="23" t="inlineStr">
        <is>
          <t>SCH-06-119</t>
        </is>
      </c>
      <c r="E1482" s="23" t="inlineStr">
        <is>
          <t>Civil package: stakeholder interface meeting - release</t>
        </is>
      </c>
      <c r="F1482" s="23" t="inlineStr">
        <is>
          <t>UNSURE</t>
        </is>
      </c>
      <c r="G1482" s="23" t="inlineStr">
        <is>
          <t>RETAINED</t>
        </is>
      </c>
      <c r="H1482" s="23" t="inlineStr">
        <is>
          <t>Carried forward</t>
        </is>
      </c>
      <c r="I1482" s="23" t="inlineStr">
        <is>
          <t>Earlier professional decision, carried forward</t>
        </is>
      </c>
      <c r="J1482" s="23" t="inlineStr">
        <is>
          <t>Maya Chen, Owner Project Controls</t>
        </is>
      </c>
      <c r="K1482" s="23" t="inlineStr">
        <is>
          <t>Professional</t>
        </is>
      </c>
      <c r="L1482" s="23" t="inlineStr"/>
      <c r="M1482" s="23" t="inlineStr">
        <is>
          <t>Contractor Programme Cycle 2</t>
        </is>
      </c>
      <c r="N1482" s="23" t="inlineStr">
        <is>
          <t>Rev 1</t>
        </is>
      </c>
      <c r="O1482" s="23" t="inlineStr">
        <is>
          <t>R1019-v3</t>
        </is>
      </c>
      <c r="P1482" s="23" t="inlineStr"/>
      <c r="Q1482" s="23" t="inlineStr"/>
      <c r="R1482" s="23" t="inlineStr"/>
      <c r="S1482" s="23" t="inlineStr"/>
      <c r="T1482" s="23" t="inlineStr">
        <is>
          <t>Group decision (182 records sharing one decision state), carried forward</t>
        </is>
      </c>
      <c r="U1482" s="23" t="inlineStr"/>
      <c r="V1482" s="23" t="inlineStr"/>
      <c r="W1482" s="23" t="inlineStr"/>
    </row>
    <row r="1483" ht="94" customHeight="1">
      <c r="A1483" s="23" t="inlineStr">
        <is>
          <t>UNSURE</t>
        </is>
      </c>
      <c r="B1483" s="23" t="inlineStr"/>
      <c r="C1483" s="23" t="inlineStr">
        <is>
          <t>Contractor Programme</t>
        </is>
      </c>
      <c r="D1483" s="23" t="inlineStr">
        <is>
          <t>SCH-06-120</t>
        </is>
      </c>
      <c r="E1483" s="23" t="inlineStr">
        <is>
          <t>Stations package: baseline change control - field start</t>
        </is>
      </c>
      <c r="F1483" s="23" t="inlineStr">
        <is>
          <t>UNSURE</t>
        </is>
      </c>
      <c r="G1483" s="23" t="inlineStr">
        <is>
          <t>RETAINED</t>
        </is>
      </c>
      <c r="H1483" s="23" t="inlineStr">
        <is>
          <t>Carried forward</t>
        </is>
      </c>
      <c r="I1483" s="23" t="inlineStr">
        <is>
          <t>Earlier professional decision, carried forward</t>
        </is>
      </c>
      <c r="J1483" s="23" t="inlineStr">
        <is>
          <t>Maya Chen, Owner Project Controls</t>
        </is>
      </c>
      <c r="K1483" s="23" t="inlineStr">
        <is>
          <t>Professional</t>
        </is>
      </c>
      <c r="L1483" s="23" t="inlineStr"/>
      <c r="M1483" s="23" t="inlineStr">
        <is>
          <t>Contractor Programme Cycle 2</t>
        </is>
      </c>
      <c r="N1483" s="23" t="inlineStr">
        <is>
          <t>Rev 1</t>
        </is>
      </c>
      <c r="O1483" s="23" t="inlineStr">
        <is>
          <t>R1020-v3</t>
        </is>
      </c>
      <c r="P1483" s="23" t="inlineStr"/>
      <c r="Q1483" s="23" t="inlineStr"/>
      <c r="R1483" s="23" t="inlineStr"/>
      <c r="S1483" s="23" t="inlineStr"/>
      <c r="T1483" s="23" t="inlineStr">
        <is>
          <t>Group decision (182 records sharing one decision state), carried forward</t>
        </is>
      </c>
      <c r="U1483" s="23" t="inlineStr"/>
      <c r="V1483" s="23" t="inlineStr"/>
      <c r="W1483" s="23" t="inlineStr"/>
    </row>
    <row r="1484" ht="94" customHeight="1">
      <c r="A1484" s="23" t="inlineStr">
        <is>
          <t>UNSURE</t>
        </is>
      </c>
      <c r="B1484" s="23" t="inlineStr"/>
      <c r="C1484" s="23" t="inlineStr">
        <is>
          <t>Contractor Programme</t>
        </is>
      </c>
      <c r="D1484" s="23" t="inlineStr">
        <is>
          <t>SCH-06-121</t>
        </is>
      </c>
      <c r="E1484" s="23" t="inlineStr">
        <is>
          <t>Systems package: commercial change review - installation</t>
        </is>
      </c>
      <c r="F1484" s="23" t="inlineStr">
        <is>
          <t>UNSURE</t>
        </is>
      </c>
      <c r="G1484" s="23" t="inlineStr">
        <is>
          <t>RETAINED</t>
        </is>
      </c>
      <c r="H1484" s="23" t="inlineStr">
        <is>
          <t>Carried forward</t>
        </is>
      </c>
      <c r="I1484" s="23" t="inlineStr">
        <is>
          <t>Earlier professional decision, carried forward</t>
        </is>
      </c>
      <c r="J1484" s="23" t="inlineStr">
        <is>
          <t>Maya Chen, Owner Project Controls</t>
        </is>
      </c>
      <c r="K1484" s="23" t="inlineStr">
        <is>
          <t>Professional</t>
        </is>
      </c>
      <c r="L1484" s="23" t="inlineStr"/>
      <c r="M1484" s="23" t="inlineStr">
        <is>
          <t>Contractor Programme Cycle 2</t>
        </is>
      </c>
      <c r="N1484" s="23" t="inlineStr">
        <is>
          <t>Rev 1</t>
        </is>
      </c>
      <c r="O1484" s="23" t="inlineStr">
        <is>
          <t>R1021-v3</t>
        </is>
      </c>
      <c r="P1484" s="23" t="inlineStr"/>
      <c r="Q1484" s="23" t="inlineStr"/>
      <c r="R1484" s="23" t="inlineStr"/>
      <c r="S1484" s="23" t="inlineStr"/>
      <c r="T1484" s="23" t="inlineStr">
        <is>
          <t>Group decision (182 records sharing one decision state), carried forward</t>
        </is>
      </c>
      <c r="U1484" s="23" t="inlineStr"/>
      <c r="V1484" s="23" t="inlineStr"/>
      <c r="W1484" s="23" t="inlineStr"/>
    </row>
    <row r="1485" ht="94" customHeight="1">
      <c r="A1485" s="23" t="inlineStr">
        <is>
          <t>UNSURE</t>
        </is>
      </c>
      <c r="B1485" s="23" t="inlineStr"/>
      <c r="C1485" s="23" t="inlineStr">
        <is>
          <t>Contractor Programme</t>
        </is>
      </c>
      <c r="D1485" s="23" t="inlineStr">
        <is>
          <t>SCH-06-122</t>
        </is>
      </c>
      <c r="E1485" s="23" t="inlineStr">
        <is>
          <t>Fleet package: design-package integration review - inspection</t>
        </is>
      </c>
      <c r="F1485" s="23" t="inlineStr">
        <is>
          <t>UNSURE</t>
        </is>
      </c>
      <c r="G1485" s="23" t="inlineStr">
        <is>
          <t>RETAINED</t>
        </is>
      </c>
      <c r="H1485" s="23" t="inlineStr">
        <is>
          <t>Carried forward</t>
        </is>
      </c>
      <c r="I1485" s="23" t="inlineStr">
        <is>
          <t>Earlier professional decision, carried forward</t>
        </is>
      </c>
      <c r="J1485" s="23" t="inlineStr">
        <is>
          <t>Maya Chen, Owner Project Controls</t>
        </is>
      </c>
      <c r="K1485" s="23" t="inlineStr">
        <is>
          <t>Professional</t>
        </is>
      </c>
      <c r="L1485" s="23" t="inlineStr"/>
      <c r="M1485" s="23" t="inlineStr">
        <is>
          <t>Contractor Programme Cycle 2</t>
        </is>
      </c>
      <c r="N1485" s="23" t="inlineStr">
        <is>
          <t>Rev 1</t>
        </is>
      </c>
      <c r="O1485" s="23" t="inlineStr">
        <is>
          <t>R1022-v3</t>
        </is>
      </c>
      <c r="P1485" s="23" t="inlineStr"/>
      <c r="Q1485" s="23" t="inlineStr"/>
      <c r="R1485" s="23" t="inlineStr"/>
      <c r="S1485" s="23" t="inlineStr"/>
      <c r="T1485" s="23" t="inlineStr">
        <is>
          <t>Group decision (182 records sharing one decision state), carried forward</t>
        </is>
      </c>
      <c r="U1485" s="23" t="inlineStr"/>
      <c r="V1485" s="23" t="inlineStr"/>
      <c r="W1485" s="23" t="inlineStr"/>
    </row>
    <row r="1486" ht="94" customHeight="1">
      <c r="A1486" s="23" t="inlineStr">
        <is>
          <t>UNSURE</t>
        </is>
      </c>
      <c r="B1486" s="23" t="inlineStr"/>
      <c r="C1486" s="23" t="inlineStr">
        <is>
          <t>Contractor Programme</t>
        </is>
      </c>
      <c r="D1486" s="23" t="inlineStr">
        <is>
          <t>SCH-06-123</t>
        </is>
      </c>
      <c r="E1486" s="23" t="inlineStr">
        <is>
          <t>Program office: executive reporting close - turnover</t>
        </is>
      </c>
      <c r="F1486" s="23" t="inlineStr">
        <is>
          <t>UNSURE</t>
        </is>
      </c>
      <c r="G1486" s="23" t="inlineStr">
        <is>
          <t>RETAINED</t>
        </is>
      </c>
      <c r="H1486" s="23" t="inlineStr">
        <is>
          <t>Carried forward</t>
        </is>
      </c>
      <c r="I1486" s="23" t="inlineStr">
        <is>
          <t>Earlier professional decision, carried forward</t>
        </is>
      </c>
      <c r="J1486" s="23" t="inlineStr">
        <is>
          <t>Maya Chen, Owner Project Controls</t>
        </is>
      </c>
      <c r="K1486" s="23" t="inlineStr">
        <is>
          <t>Professional</t>
        </is>
      </c>
      <c r="L1486" s="23" t="inlineStr"/>
      <c r="M1486" s="23" t="inlineStr">
        <is>
          <t>Contractor Programme Cycle 2</t>
        </is>
      </c>
      <c r="N1486" s="23" t="inlineStr">
        <is>
          <t>Rev 1</t>
        </is>
      </c>
      <c r="O1486" s="23" t="inlineStr">
        <is>
          <t>R1023-v3</t>
        </is>
      </c>
      <c r="P1486" s="23" t="inlineStr"/>
      <c r="Q1486" s="23" t="inlineStr"/>
      <c r="R1486" s="23" t="inlineStr"/>
      <c r="S1486" s="23" t="inlineStr"/>
      <c r="T1486" s="23" t="inlineStr">
        <is>
          <t>Group decision (182 records sharing one decision state), carried forward</t>
        </is>
      </c>
      <c r="U1486" s="23" t="inlineStr"/>
      <c r="V1486" s="23" t="inlineStr"/>
      <c r="W1486" s="23" t="inlineStr"/>
    </row>
    <row r="1487" ht="94" customHeight="1">
      <c r="A1487" s="23" t="inlineStr">
        <is>
          <t>UNSURE</t>
        </is>
      </c>
      <c r="B1487" s="23" t="inlineStr"/>
      <c r="C1487" s="23" t="inlineStr">
        <is>
          <t>Contractor Programme</t>
        </is>
      </c>
      <c r="D1487" s="23" t="inlineStr">
        <is>
          <t>SCH-06-124</t>
        </is>
      </c>
      <c r="E1487" s="23" t="inlineStr">
        <is>
          <t>Civil package: permit coordination - release</t>
        </is>
      </c>
      <c r="F1487" s="23" t="inlineStr">
        <is>
          <t>UNSURE</t>
        </is>
      </c>
      <c r="G1487" s="23" t="inlineStr">
        <is>
          <t>RETAINED</t>
        </is>
      </c>
      <c r="H1487" s="23" t="inlineStr">
        <is>
          <t>Carried forward</t>
        </is>
      </c>
      <c r="I1487" s="23" t="inlineStr">
        <is>
          <t>Earlier professional decision, carried forward</t>
        </is>
      </c>
      <c r="J1487" s="23" t="inlineStr">
        <is>
          <t>Maya Chen, Owner Project Controls</t>
        </is>
      </c>
      <c r="K1487" s="23" t="inlineStr">
        <is>
          <t>Professional</t>
        </is>
      </c>
      <c r="L1487" s="23" t="inlineStr"/>
      <c r="M1487" s="23" t="inlineStr">
        <is>
          <t>Contractor Programme Cycle 2</t>
        </is>
      </c>
      <c r="N1487" s="23" t="inlineStr">
        <is>
          <t>Rev 1</t>
        </is>
      </c>
      <c r="O1487" s="23" t="inlineStr">
        <is>
          <t>R1024-v3</t>
        </is>
      </c>
      <c r="P1487" s="23" t="inlineStr"/>
      <c r="Q1487" s="23" t="inlineStr"/>
      <c r="R1487" s="23" t="inlineStr"/>
      <c r="S1487" s="23" t="inlineStr"/>
      <c r="T1487" s="23" t="inlineStr">
        <is>
          <t>Group decision (182 records sharing one decision state), carried forward</t>
        </is>
      </c>
      <c r="U1487" s="23" t="inlineStr"/>
      <c r="V1487" s="23" t="inlineStr"/>
      <c r="W1487" s="23" t="inlineStr"/>
    </row>
    <row r="1488" ht="94" customHeight="1">
      <c r="A1488" s="23" t="inlineStr">
        <is>
          <t>UNSURE</t>
        </is>
      </c>
      <c r="B1488" s="23" t="inlineStr"/>
      <c r="C1488" s="23" t="inlineStr">
        <is>
          <t>Contractor Programme</t>
        </is>
      </c>
      <c r="D1488" s="23" t="inlineStr">
        <is>
          <t>SCH-06-125</t>
        </is>
      </c>
      <c r="E1488" s="23" t="inlineStr">
        <is>
          <t>Stations package: delivery risk workshop - field start</t>
        </is>
      </c>
      <c r="F1488" s="23" t="inlineStr">
        <is>
          <t>UNSURE</t>
        </is>
      </c>
      <c r="G1488" s="23" t="inlineStr">
        <is>
          <t>RETAINED</t>
        </is>
      </c>
      <c r="H1488" s="23" t="inlineStr">
        <is>
          <t>Carried forward</t>
        </is>
      </c>
      <c r="I1488" s="23" t="inlineStr">
        <is>
          <t>Earlier professional decision, carried forward</t>
        </is>
      </c>
      <c r="J1488" s="23" t="inlineStr">
        <is>
          <t>Maya Chen, Owner Project Controls</t>
        </is>
      </c>
      <c r="K1488" s="23" t="inlineStr">
        <is>
          <t>Professional</t>
        </is>
      </c>
      <c r="L1488" s="23" t="inlineStr"/>
      <c r="M1488" s="23" t="inlineStr">
        <is>
          <t>Contractor Programme Cycle 2</t>
        </is>
      </c>
      <c r="N1488" s="23" t="inlineStr">
        <is>
          <t>Rev 1</t>
        </is>
      </c>
      <c r="O1488" s="23" t="inlineStr">
        <is>
          <t>R1025-v3</t>
        </is>
      </c>
      <c r="P1488" s="23" t="inlineStr"/>
      <c r="Q1488" s="23" t="inlineStr"/>
      <c r="R1488" s="23" t="inlineStr"/>
      <c r="S1488" s="23" t="inlineStr"/>
      <c r="T1488" s="23" t="inlineStr">
        <is>
          <t>Group decision (182 records sharing one decision state), carried forward</t>
        </is>
      </c>
      <c r="U1488" s="23" t="inlineStr"/>
      <c r="V1488" s="23" t="inlineStr"/>
      <c r="W1488" s="23" t="inlineStr"/>
    </row>
    <row r="1489" ht="94" customHeight="1">
      <c r="A1489" s="23" t="inlineStr">
        <is>
          <t>UNSURE</t>
        </is>
      </c>
      <c r="B1489" s="23" t="inlineStr"/>
      <c r="C1489" s="23" t="inlineStr">
        <is>
          <t>Contractor Programme</t>
        </is>
      </c>
      <c r="D1489" s="23" t="inlineStr">
        <is>
          <t>SCH-06-126</t>
        </is>
      </c>
      <c r="E1489" s="23" t="inlineStr">
        <is>
          <t>Systems package: monthly controls cut-off - installation</t>
        </is>
      </c>
      <c r="F1489" s="23" t="inlineStr">
        <is>
          <t>UNSURE</t>
        </is>
      </c>
      <c r="G1489" s="23" t="inlineStr">
        <is>
          <t>RETAINED</t>
        </is>
      </c>
      <c r="H1489" s="23" t="inlineStr">
        <is>
          <t>Carried forward</t>
        </is>
      </c>
      <c r="I1489" s="23" t="inlineStr">
        <is>
          <t>Earlier professional decision, carried forward</t>
        </is>
      </c>
      <c r="J1489" s="23" t="inlineStr">
        <is>
          <t>Maya Chen, Owner Project Controls</t>
        </is>
      </c>
      <c r="K1489" s="23" t="inlineStr">
        <is>
          <t>Professional</t>
        </is>
      </c>
      <c r="L1489" s="23" t="inlineStr"/>
      <c r="M1489" s="23" t="inlineStr">
        <is>
          <t>Contractor Programme Cycle 2</t>
        </is>
      </c>
      <c r="N1489" s="23" t="inlineStr">
        <is>
          <t>Rev 1</t>
        </is>
      </c>
      <c r="O1489" s="23" t="inlineStr">
        <is>
          <t>R1026-v3</t>
        </is>
      </c>
      <c r="P1489" s="23" t="inlineStr"/>
      <c r="Q1489" s="23" t="inlineStr"/>
      <c r="R1489" s="23" t="inlineStr"/>
      <c r="S1489" s="23" t="inlineStr"/>
      <c r="T1489" s="23" t="inlineStr">
        <is>
          <t>Group decision (182 records sharing one decision state), carried forward</t>
        </is>
      </c>
      <c r="U1489" s="23" t="inlineStr"/>
      <c r="V1489" s="23" t="inlineStr"/>
      <c r="W1489" s="23" t="inlineStr"/>
    </row>
    <row r="1490" ht="94" customHeight="1">
      <c r="A1490" s="23" t="inlineStr">
        <is>
          <t>UNSURE</t>
        </is>
      </c>
      <c r="B1490" s="23" t="inlineStr"/>
      <c r="C1490" s="23" t="inlineStr">
        <is>
          <t>Contractor Programme</t>
        </is>
      </c>
      <c r="D1490" s="23" t="inlineStr">
        <is>
          <t>SCH-06-127</t>
        </is>
      </c>
      <c r="E1490" s="23" t="inlineStr">
        <is>
          <t>Fleet package: stakeholder interface meeting - inspection</t>
        </is>
      </c>
      <c r="F1490" s="23" t="inlineStr">
        <is>
          <t>UNSURE</t>
        </is>
      </c>
      <c r="G1490" s="23" t="inlineStr">
        <is>
          <t>RETAINED</t>
        </is>
      </c>
      <c r="H1490" s="23" t="inlineStr">
        <is>
          <t>Carried forward</t>
        </is>
      </c>
      <c r="I1490" s="23" t="inlineStr">
        <is>
          <t>Earlier professional decision, carried forward</t>
        </is>
      </c>
      <c r="J1490" s="23" t="inlineStr">
        <is>
          <t>Maya Chen, Owner Project Controls</t>
        </is>
      </c>
      <c r="K1490" s="23" t="inlineStr">
        <is>
          <t>Professional</t>
        </is>
      </c>
      <c r="L1490" s="23" t="inlineStr"/>
      <c r="M1490" s="23" t="inlineStr">
        <is>
          <t>Contractor Programme Cycle 2</t>
        </is>
      </c>
      <c r="N1490" s="23" t="inlineStr">
        <is>
          <t>Rev 1</t>
        </is>
      </c>
      <c r="O1490" s="23" t="inlineStr">
        <is>
          <t>R1027-v3</t>
        </is>
      </c>
      <c r="P1490" s="23" t="inlineStr"/>
      <c r="Q1490" s="23" t="inlineStr"/>
      <c r="R1490" s="23" t="inlineStr"/>
      <c r="S1490" s="23" t="inlineStr"/>
      <c r="T1490" s="23" t="inlineStr">
        <is>
          <t>Group decision (182 records sharing one decision state), carried forward</t>
        </is>
      </c>
      <c r="U1490" s="23" t="inlineStr"/>
      <c r="V1490" s="23" t="inlineStr"/>
      <c r="W1490" s="23" t="inlineStr"/>
    </row>
    <row r="1491" ht="94" customHeight="1">
      <c r="A1491" s="23" t="inlineStr">
        <is>
          <t>UNSURE</t>
        </is>
      </c>
      <c r="B1491" s="23" t="inlineStr"/>
      <c r="C1491" s="23" t="inlineStr">
        <is>
          <t>Contractor Programme</t>
        </is>
      </c>
      <c r="D1491" s="23" t="inlineStr">
        <is>
          <t>SCH-06-128</t>
        </is>
      </c>
      <c r="E1491" s="23" t="inlineStr">
        <is>
          <t>Program office: baseline change control - turnover</t>
        </is>
      </c>
      <c r="F1491" s="23" t="inlineStr">
        <is>
          <t>UNSURE</t>
        </is>
      </c>
      <c r="G1491" s="23" t="inlineStr">
        <is>
          <t>RETAINED</t>
        </is>
      </c>
      <c r="H1491" s="23" t="inlineStr">
        <is>
          <t>Carried forward</t>
        </is>
      </c>
      <c r="I1491" s="23" t="inlineStr">
        <is>
          <t>Earlier professional decision, carried forward</t>
        </is>
      </c>
      <c r="J1491" s="23" t="inlineStr">
        <is>
          <t>Maya Chen, Owner Project Controls</t>
        </is>
      </c>
      <c r="K1491" s="23" t="inlineStr">
        <is>
          <t>Professional</t>
        </is>
      </c>
      <c r="L1491" s="23" t="inlineStr"/>
      <c r="M1491" s="23" t="inlineStr">
        <is>
          <t>Contractor Programme Cycle 2</t>
        </is>
      </c>
      <c r="N1491" s="23" t="inlineStr">
        <is>
          <t>Rev 1</t>
        </is>
      </c>
      <c r="O1491" s="23" t="inlineStr">
        <is>
          <t>R1028-v3</t>
        </is>
      </c>
      <c r="P1491" s="23" t="inlineStr"/>
      <c r="Q1491" s="23" t="inlineStr"/>
      <c r="R1491" s="23" t="inlineStr"/>
      <c r="S1491" s="23" t="inlineStr"/>
      <c r="T1491" s="23" t="inlineStr">
        <is>
          <t>Group decision (182 records sharing one decision state), carried forward</t>
        </is>
      </c>
      <c r="U1491" s="23" t="inlineStr"/>
      <c r="V1491" s="23" t="inlineStr"/>
      <c r="W1491" s="23" t="inlineStr"/>
    </row>
    <row r="1492" ht="94" customHeight="1">
      <c r="A1492" s="23" t="inlineStr">
        <is>
          <t>UNSURE</t>
        </is>
      </c>
      <c r="B1492" s="23" t="inlineStr"/>
      <c r="C1492" s="23" t="inlineStr">
        <is>
          <t>Contractor Programme</t>
        </is>
      </c>
      <c r="D1492" s="23" t="inlineStr">
        <is>
          <t>SCH-06-129</t>
        </is>
      </c>
      <c r="E1492" s="23" t="inlineStr">
        <is>
          <t>Civil package: commercial change review - release</t>
        </is>
      </c>
      <c r="F1492" s="23" t="inlineStr">
        <is>
          <t>UNSURE</t>
        </is>
      </c>
      <c r="G1492" s="23" t="inlineStr">
        <is>
          <t>RETAINED</t>
        </is>
      </c>
      <c r="H1492" s="23" t="inlineStr">
        <is>
          <t>Carried forward</t>
        </is>
      </c>
      <c r="I1492" s="23" t="inlineStr">
        <is>
          <t>Earlier professional decision, carried forward</t>
        </is>
      </c>
      <c r="J1492" s="23" t="inlineStr">
        <is>
          <t>Maya Chen, Owner Project Controls</t>
        </is>
      </c>
      <c r="K1492" s="23" t="inlineStr">
        <is>
          <t>Professional</t>
        </is>
      </c>
      <c r="L1492" s="23" t="inlineStr"/>
      <c r="M1492" s="23" t="inlineStr">
        <is>
          <t>Contractor Programme Cycle 2</t>
        </is>
      </c>
      <c r="N1492" s="23" t="inlineStr">
        <is>
          <t>Rev 1</t>
        </is>
      </c>
      <c r="O1492" s="23" t="inlineStr">
        <is>
          <t>R1029-v3</t>
        </is>
      </c>
      <c r="P1492" s="23" t="inlineStr"/>
      <c r="Q1492" s="23" t="inlineStr"/>
      <c r="R1492" s="23" t="inlineStr"/>
      <c r="S1492" s="23" t="inlineStr"/>
      <c r="T1492" s="23" t="inlineStr">
        <is>
          <t>Group decision (182 records sharing one decision state), carried forward</t>
        </is>
      </c>
      <c r="U1492" s="23" t="inlineStr"/>
      <c r="V1492" s="23" t="inlineStr"/>
      <c r="W1492" s="23" t="inlineStr"/>
    </row>
    <row r="1493" ht="94" customHeight="1">
      <c r="A1493" s="23" t="inlineStr">
        <is>
          <t>UNSURE</t>
        </is>
      </c>
      <c r="B1493" s="23" t="inlineStr"/>
      <c r="C1493" s="23" t="inlineStr">
        <is>
          <t>Contractor Programme</t>
        </is>
      </c>
      <c r="D1493" s="23" t="inlineStr">
        <is>
          <t>SCH-06-130</t>
        </is>
      </c>
      <c r="E1493" s="23" t="inlineStr">
        <is>
          <t>Stations package: design-package integration review - field start</t>
        </is>
      </c>
      <c r="F1493" s="23" t="inlineStr">
        <is>
          <t>UNSURE</t>
        </is>
      </c>
      <c r="G1493" s="23" t="inlineStr">
        <is>
          <t>RETAINED</t>
        </is>
      </c>
      <c r="H1493" s="23" t="inlineStr">
        <is>
          <t>Carried forward</t>
        </is>
      </c>
      <c r="I1493" s="23" t="inlineStr">
        <is>
          <t>Earlier professional decision, carried forward</t>
        </is>
      </c>
      <c r="J1493" s="23" t="inlineStr">
        <is>
          <t>Maya Chen, Owner Project Controls</t>
        </is>
      </c>
      <c r="K1493" s="23" t="inlineStr">
        <is>
          <t>Professional</t>
        </is>
      </c>
      <c r="L1493" s="23" t="inlineStr"/>
      <c r="M1493" s="23" t="inlineStr">
        <is>
          <t>Contractor Programme Cycle 2</t>
        </is>
      </c>
      <c r="N1493" s="23" t="inlineStr">
        <is>
          <t>Rev 1</t>
        </is>
      </c>
      <c r="O1493" s="23" t="inlineStr">
        <is>
          <t>R1030-v3</t>
        </is>
      </c>
      <c r="P1493" s="23" t="inlineStr"/>
      <c r="Q1493" s="23" t="inlineStr"/>
      <c r="R1493" s="23" t="inlineStr"/>
      <c r="S1493" s="23" t="inlineStr"/>
      <c r="T1493" s="23" t="inlineStr">
        <is>
          <t>Group decision (182 records sharing one decision state), carried forward</t>
        </is>
      </c>
      <c r="U1493" s="23" t="inlineStr"/>
      <c r="V1493" s="23" t="inlineStr"/>
      <c r="W1493" s="23" t="inlineStr"/>
    </row>
    <row r="1494" ht="94" customHeight="1">
      <c r="A1494" s="23" t="inlineStr">
        <is>
          <t>UNSURE</t>
        </is>
      </c>
      <c r="B1494" s="23" t="inlineStr"/>
      <c r="C1494" s="23" t="inlineStr">
        <is>
          <t>Contractor Programme</t>
        </is>
      </c>
      <c r="D1494" s="23" t="inlineStr">
        <is>
          <t>SCH-06-131</t>
        </is>
      </c>
      <c r="E1494" s="23" t="inlineStr">
        <is>
          <t>Systems package: executive reporting close - installation</t>
        </is>
      </c>
      <c r="F1494" s="23" t="inlineStr">
        <is>
          <t>UNSURE</t>
        </is>
      </c>
      <c r="G1494" s="23" t="inlineStr">
        <is>
          <t>RETAINED</t>
        </is>
      </c>
      <c r="H1494" s="23" t="inlineStr">
        <is>
          <t>Carried forward</t>
        </is>
      </c>
      <c r="I1494" s="23" t="inlineStr">
        <is>
          <t>Earlier professional decision, carried forward</t>
        </is>
      </c>
      <c r="J1494" s="23" t="inlineStr">
        <is>
          <t>Maya Chen, Owner Project Controls</t>
        </is>
      </c>
      <c r="K1494" s="23" t="inlineStr">
        <is>
          <t>Professional</t>
        </is>
      </c>
      <c r="L1494" s="23" t="inlineStr"/>
      <c r="M1494" s="23" t="inlineStr">
        <is>
          <t>Contractor Programme Cycle 2</t>
        </is>
      </c>
      <c r="N1494" s="23" t="inlineStr">
        <is>
          <t>Rev 1</t>
        </is>
      </c>
      <c r="O1494" s="23" t="inlineStr">
        <is>
          <t>R1031-v3</t>
        </is>
      </c>
      <c r="P1494" s="23" t="inlineStr"/>
      <c r="Q1494" s="23" t="inlineStr"/>
      <c r="R1494" s="23" t="inlineStr"/>
      <c r="S1494" s="23" t="inlineStr"/>
      <c r="T1494" s="23" t="inlineStr">
        <is>
          <t>Group decision (182 records sharing one decision state), carried forward</t>
        </is>
      </c>
      <c r="U1494" s="23" t="inlineStr"/>
      <c r="V1494" s="23" t="inlineStr"/>
      <c r="W1494" s="23" t="inlineStr"/>
    </row>
    <row r="1495" ht="94" customHeight="1">
      <c r="A1495" s="23" t="inlineStr">
        <is>
          <t>UNSURE</t>
        </is>
      </c>
      <c r="B1495" s="23" t="inlineStr"/>
      <c r="C1495" s="23" t="inlineStr">
        <is>
          <t>Contractor Programme</t>
        </is>
      </c>
      <c r="D1495" s="23" t="inlineStr">
        <is>
          <t>SCH-06-132</t>
        </is>
      </c>
      <c r="E1495" s="23" t="inlineStr">
        <is>
          <t>Fleet package: permit coordination - inspection</t>
        </is>
      </c>
      <c r="F1495" s="23" t="inlineStr">
        <is>
          <t>UNSURE</t>
        </is>
      </c>
      <c r="G1495" s="23" t="inlineStr">
        <is>
          <t>RETAINED</t>
        </is>
      </c>
      <c r="H1495" s="23" t="inlineStr">
        <is>
          <t>Carried forward</t>
        </is>
      </c>
      <c r="I1495" s="23" t="inlineStr">
        <is>
          <t>Earlier professional decision, carried forward</t>
        </is>
      </c>
      <c r="J1495" s="23" t="inlineStr">
        <is>
          <t>Maya Chen, Owner Project Controls</t>
        </is>
      </c>
      <c r="K1495" s="23" t="inlineStr">
        <is>
          <t>Professional</t>
        </is>
      </c>
      <c r="L1495" s="23" t="inlineStr"/>
      <c r="M1495" s="23" t="inlineStr">
        <is>
          <t>Contractor Programme Cycle 2</t>
        </is>
      </c>
      <c r="N1495" s="23" t="inlineStr">
        <is>
          <t>Rev 1</t>
        </is>
      </c>
      <c r="O1495" s="23" t="inlineStr">
        <is>
          <t>R1032-v3</t>
        </is>
      </c>
      <c r="P1495" s="23" t="inlineStr"/>
      <c r="Q1495" s="23" t="inlineStr"/>
      <c r="R1495" s="23" t="inlineStr"/>
      <c r="S1495" s="23" t="inlineStr"/>
      <c r="T1495" s="23" t="inlineStr">
        <is>
          <t>Group decision (182 records sharing one decision state), carried forward</t>
        </is>
      </c>
      <c r="U1495" s="23" t="inlineStr"/>
      <c r="V1495" s="23" t="inlineStr"/>
      <c r="W1495" s="23" t="inlineStr"/>
    </row>
    <row r="1496" ht="94" customHeight="1">
      <c r="A1496" s="23" t="inlineStr">
        <is>
          <t>UNSURE</t>
        </is>
      </c>
      <c r="B1496" s="23" t="inlineStr"/>
      <c r="C1496" s="23" t="inlineStr">
        <is>
          <t>Contractor Programme</t>
        </is>
      </c>
      <c r="D1496" s="23" t="inlineStr">
        <is>
          <t>SCH-06-133</t>
        </is>
      </c>
      <c r="E1496" s="23" t="inlineStr">
        <is>
          <t>Program office: delivery risk workshop - turnover</t>
        </is>
      </c>
      <c r="F1496" s="23" t="inlineStr">
        <is>
          <t>UNSURE</t>
        </is>
      </c>
      <c r="G1496" s="23" t="inlineStr">
        <is>
          <t>RETAINED</t>
        </is>
      </c>
      <c r="H1496" s="23" t="inlineStr">
        <is>
          <t>Carried forward</t>
        </is>
      </c>
      <c r="I1496" s="23" t="inlineStr">
        <is>
          <t>Earlier professional decision, carried forward</t>
        </is>
      </c>
      <c r="J1496" s="23" t="inlineStr">
        <is>
          <t>Maya Chen, Owner Project Controls</t>
        </is>
      </c>
      <c r="K1496" s="23" t="inlineStr">
        <is>
          <t>Professional</t>
        </is>
      </c>
      <c r="L1496" s="23" t="inlineStr"/>
      <c r="M1496" s="23" t="inlineStr">
        <is>
          <t>Contractor Programme Cycle 2</t>
        </is>
      </c>
      <c r="N1496" s="23" t="inlineStr">
        <is>
          <t>Rev 1</t>
        </is>
      </c>
      <c r="O1496" s="23" t="inlineStr">
        <is>
          <t>R1033-v3</t>
        </is>
      </c>
      <c r="P1496" s="23" t="inlineStr"/>
      <c r="Q1496" s="23" t="inlineStr"/>
      <c r="R1496" s="23" t="inlineStr"/>
      <c r="S1496" s="23" t="inlineStr"/>
      <c r="T1496" s="23" t="inlineStr">
        <is>
          <t>Group decision (182 records sharing one decision state), carried forward</t>
        </is>
      </c>
      <c r="U1496" s="23" t="inlineStr"/>
      <c r="V1496" s="23" t="inlineStr"/>
      <c r="W1496" s="23" t="inlineStr"/>
    </row>
    <row r="1497" ht="94" customHeight="1">
      <c r="A1497" s="23" t="inlineStr">
        <is>
          <t>UNSURE</t>
        </is>
      </c>
      <c r="B1497" s="23" t="inlineStr"/>
      <c r="C1497" s="23" t="inlineStr">
        <is>
          <t>Contractor Programme</t>
        </is>
      </c>
      <c r="D1497" s="23" t="inlineStr">
        <is>
          <t>SCH-06-134</t>
        </is>
      </c>
      <c r="E1497" s="23" t="inlineStr">
        <is>
          <t>Civil package: monthly controls cut-off - release</t>
        </is>
      </c>
      <c r="F1497" s="23" t="inlineStr">
        <is>
          <t>UNSURE</t>
        </is>
      </c>
      <c r="G1497" s="23" t="inlineStr">
        <is>
          <t>RETAINED</t>
        </is>
      </c>
      <c r="H1497" s="23" t="inlineStr">
        <is>
          <t>Carried forward</t>
        </is>
      </c>
      <c r="I1497" s="23" t="inlineStr">
        <is>
          <t>Earlier professional decision, carried forward</t>
        </is>
      </c>
      <c r="J1497" s="23" t="inlineStr">
        <is>
          <t>Maya Chen, Owner Project Controls</t>
        </is>
      </c>
      <c r="K1497" s="23" t="inlineStr">
        <is>
          <t>Professional</t>
        </is>
      </c>
      <c r="L1497" s="23" t="inlineStr"/>
      <c r="M1497" s="23" t="inlineStr">
        <is>
          <t>Contractor Programme Cycle 2</t>
        </is>
      </c>
      <c r="N1497" s="23" t="inlineStr">
        <is>
          <t>Rev 1</t>
        </is>
      </c>
      <c r="O1497" s="23" t="inlineStr">
        <is>
          <t>R1034-v3</t>
        </is>
      </c>
      <c r="P1497" s="23" t="inlineStr"/>
      <c r="Q1497" s="23" t="inlineStr"/>
      <c r="R1497" s="23" t="inlineStr"/>
      <c r="S1497" s="23" t="inlineStr"/>
      <c r="T1497" s="23" t="inlineStr">
        <is>
          <t>Group decision (182 records sharing one decision state), carried forward</t>
        </is>
      </c>
      <c r="U1497" s="23" t="inlineStr"/>
      <c r="V1497" s="23" t="inlineStr"/>
      <c r="W1497" s="23" t="inlineStr"/>
    </row>
    <row r="1498" ht="94" customHeight="1">
      <c r="A1498" s="23" t="inlineStr">
        <is>
          <t>UNSURE</t>
        </is>
      </c>
      <c r="B1498" s="23" t="inlineStr"/>
      <c r="C1498" s="23" t="inlineStr">
        <is>
          <t>Contractor Programme</t>
        </is>
      </c>
      <c r="D1498" s="23" t="inlineStr">
        <is>
          <t>SCH-06-135</t>
        </is>
      </c>
      <c r="E1498" s="23" t="inlineStr">
        <is>
          <t>Stations package: stakeholder interface meeting - field start</t>
        </is>
      </c>
      <c r="F1498" s="23" t="inlineStr">
        <is>
          <t>UNSURE</t>
        </is>
      </c>
      <c r="G1498" s="23" t="inlineStr">
        <is>
          <t>RETAINED</t>
        </is>
      </c>
      <c r="H1498" s="23" t="inlineStr">
        <is>
          <t>Carried forward</t>
        </is>
      </c>
      <c r="I1498" s="23" t="inlineStr">
        <is>
          <t>Earlier professional decision, carried forward</t>
        </is>
      </c>
      <c r="J1498" s="23" t="inlineStr">
        <is>
          <t>Maya Chen, Owner Project Controls</t>
        </is>
      </c>
      <c r="K1498" s="23" t="inlineStr">
        <is>
          <t>Professional</t>
        </is>
      </c>
      <c r="L1498" s="23" t="inlineStr"/>
      <c r="M1498" s="23" t="inlineStr">
        <is>
          <t>Contractor Programme Cycle 2</t>
        </is>
      </c>
      <c r="N1498" s="23" t="inlineStr">
        <is>
          <t>Rev 1</t>
        </is>
      </c>
      <c r="O1498" s="23" t="inlineStr">
        <is>
          <t>R1035-v3</t>
        </is>
      </c>
      <c r="P1498" s="23" t="inlineStr"/>
      <c r="Q1498" s="23" t="inlineStr"/>
      <c r="R1498" s="23" t="inlineStr"/>
      <c r="S1498" s="23" t="inlineStr"/>
      <c r="T1498" s="23" t="inlineStr">
        <is>
          <t>Group decision (182 records sharing one decision state), carried forward</t>
        </is>
      </c>
      <c r="U1498" s="23" t="inlineStr"/>
      <c r="V1498" s="23" t="inlineStr"/>
      <c r="W1498" s="23" t="inlineStr"/>
    </row>
    <row r="1499" ht="94" customHeight="1">
      <c r="A1499" s="23" t="inlineStr">
        <is>
          <t>UNSURE</t>
        </is>
      </c>
      <c r="B1499" s="23" t="inlineStr"/>
      <c r="C1499" s="23" t="inlineStr">
        <is>
          <t>Contractor Programme</t>
        </is>
      </c>
      <c r="D1499" s="23" t="inlineStr">
        <is>
          <t>SCH-06-136</t>
        </is>
      </c>
      <c r="E1499" s="23" t="inlineStr">
        <is>
          <t>Systems package: baseline change control - installation</t>
        </is>
      </c>
      <c r="F1499" s="23" t="inlineStr">
        <is>
          <t>UNSURE</t>
        </is>
      </c>
      <c r="G1499" s="23" t="inlineStr">
        <is>
          <t>RETAINED</t>
        </is>
      </c>
      <c r="H1499" s="23" t="inlineStr">
        <is>
          <t>Carried forward</t>
        </is>
      </c>
      <c r="I1499" s="23" t="inlineStr">
        <is>
          <t>Earlier professional decision, carried forward</t>
        </is>
      </c>
      <c r="J1499" s="23" t="inlineStr">
        <is>
          <t>Maya Chen, Owner Project Controls</t>
        </is>
      </c>
      <c r="K1499" s="23" t="inlineStr">
        <is>
          <t>Professional</t>
        </is>
      </c>
      <c r="L1499" s="23" t="inlineStr"/>
      <c r="M1499" s="23" t="inlineStr">
        <is>
          <t>Contractor Programme Cycle 2</t>
        </is>
      </c>
      <c r="N1499" s="23" t="inlineStr">
        <is>
          <t>Rev 1</t>
        </is>
      </c>
      <c r="O1499" s="23" t="inlineStr">
        <is>
          <t>R1036-v3</t>
        </is>
      </c>
      <c r="P1499" s="23" t="inlineStr"/>
      <c r="Q1499" s="23" t="inlineStr"/>
      <c r="R1499" s="23" t="inlineStr"/>
      <c r="S1499" s="23" t="inlineStr"/>
      <c r="T1499" s="23" t="inlineStr">
        <is>
          <t>Group decision (182 records sharing one decision state), carried forward</t>
        </is>
      </c>
      <c r="U1499" s="23" t="inlineStr"/>
      <c r="V1499" s="23" t="inlineStr"/>
      <c r="W1499" s="23" t="inlineStr"/>
    </row>
    <row r="1500" ht="94" customHeight="1">
      <c r="A1500" s="23" t="inlineStr">
        <is>
          <t>UNSURE</t>
        </is>
      </c>
      <c r="B1500" s="23" t="inlineStr"/>
      <c r="C1500" s="23" t="inlineStr">
        <is>
          <t>Contractor Programme</t>
        </is>
      </c>
      <c r="D1500" s="23" t="inlineStr">
        <is>
          <t>SCH-06-137</t>
        </is>
      </c>
      <c r="E1500" s="23" t="inlineStr">
        <is>
          <t>Fleet package: commercial change review - inspection</t>
        </is>
      </c>
      <c r="F1500" s="23" t="inlineStr">
        <is>
          <t>UNSURE</t>
        </is>
      </c>
      <c r="G1500" s="23" t="inlineStr">
        <is>
          <t>RETAINED</t>
        </is>
      </c>
      <c r="H1500" s="23" t="inlineStr">
        <is>
          <t>Carried forward</t>
        </is>
      </c>
      <c r="I1500" s="23" t="inlineStr">
        <is>
          <t>Earlier professional decision, carried forward</t>
        </is>
      </c>
      <c r="J1500" s="23" t="inlineStr">
        <is>
          <t>Maya Chen, Owner Project Controls</t>
        </is>
      </c>
      <c r="K1500" s="23" t="inlineStr">
        <is>
          <t>Professional</t>
        </is>
      </c>
      <c r="L1500" s="23" t="inlineStr"/>
      <c r="M1500" s="23" t="inlineStr">
        <is>
          <t>Contractor Programme Cycle 2</t>
        </is>
      </c>
      <c r="N1500" s="23" t="inlineStr">
        <is>
          <t>Rev 1</t>
        </is>
      </c>
      <c r="O1500" s="23" t="inlineStr">
        <is>
          <t>R1037-v3</t>
        </is>
      </c>
      <c r="P1500" s="23" t="inlineStr"/>
      <c r="Q1500" s="23" t="inlineStr"/>
      <c r="R1500" s="23" t="inlineStr"/>
      <c r="S1500" s="23" t="inlineStr"/>
      <c r="T1500" s="23" t="inlineStr">
        <is>
          <t>Group decision (182 records sharing one decision state), carried forward</t>
        </is>
      </c>
      <c r="U1500" s="23" t="inlineStr"/>
      <c r="V1500" s="23" t="inlineStr"/>
      <c r="W1500" s="23" t="inlineStr"/>
    </row>
    <row r="1501" ht="94" customHeight="1">
      <c r="A1501" s="23" t="inlineStr">
        <is>
          <t>UNSURE</t>
        </is>
      </c>
      <c r="B1501" s="23" t="inlineStr"/>
      <c r="C1501" s="23" t="inlineStr">
        <is>
          <t>Contractor Programme</t>
        </is>
      </c>
      <c r="D1501" s="23" t="inlineStr">
        <is>
          <t>SCH-06-138</t>
        </is>
      </c>
      <c r="E1501" s="23" t="inlineStr">
        <is>
          <t>Program office: design-package integration review - turnover</t>
        </is>
      </c>
      <c r="F1501" s="23" t="inlineStr">
        <is>
          <t>UNSURE</t>
        </is>
      </c>
      <c r="G1501" s="23" t="inlineStr">
        <is>
          <t>RETAINED</t>
        </is>
      </c>
      <c r="H1501" s="23" t="inlineStr">
        <is>
          <t>Carried forward</t>
        </is>
      </c>
      <c r="I1501" s="23" t="inlineStr">
        <is>
          <t>Earlier professional decision, carried forward</t>
        </is>
      </c>
      <c r="J1501" s="23" t="inlineStr">
        <is>
          <t>Maya Chen, Owner Project Controls</t>
        </is>
      </c>
      <c r="K1501" s="23" t="inlineStr">
        <is>
          <t>Professional</t>
        </is>
      </c>
      <c r="L1501" s="23" t="inlineStr"/>
      <c r="M1501" s="23" t="inlineStr">
        <is>
          <t>Contractor Programme Cycle 2</t>
        </is>
      </c>
      <c r="N1501" s="23" t="inlineStr">
        <is>
          <t>Rev 1</t>
        </is>
      </c>
      <c r="O1501" s="23" t="inlineStr">
        <is>
          <t>R1038-v3</t>
        </is>
      </c>
      <c r="P1501" s="23" t="inlineStr"/>
      <c r="Q1501" s="23" t="inlineStr"/>
      <c r="R1501" s="23" t="inlineStr"/>
      <c r="S1501" s="23" t="inlineStr"/>
      <c r="T1501" s="23" t="inlineStr">
        <is>
          <t>Group decision (182 records sharing one decision state), carried forward</t>
        </is>
      </c>
      <c r="U1501" s="23" t="inlineStr"/>
      <c r="V1501" s="23" t="inlineStr"/>
      <c r="W1501" s="23" t="inlineStr"/>
    </row>
    <row r="1502" ht="94" customHeight="1">
      <c r="A1502" s="23" t="inlineStr">
        <is>
          <t>UNSURE</t>
        </is>
      </c>
      <c r="B1502" s="23" t="inlineStr"/>
      <c r="C1502" s="23" t="inlineStr">
        <is>
          <t>Contractor Programme</t>
        </is>
      </c>
      <c r="D1502" s="23" t="inlineStr">
        <is>
          <t>SCH-06-139</t>
        </is>
      </c>
      <c r="E1502" s="23" t="inlineStr">
        <is>
          <t>Civil package: executive reporting close - release</t>
        </is>
      </c>
      <c r="F1502" s="23" t="inlineStr">
        <is>
          <t>UNSURE</t>
        </is>
      </c>
      <c r="G1502" s="23" t="inlineStr">
        <is>
          <t>RETAINED</t>
        </is>
      </c>
      <c r="H1502" s="23" t="inlineStr">
        <is>
          <t>Carried forward</t>
        </is>
      </c>
      <c r="I1502" s="23" t="inlineStr">
        <is>
          <t>Earlier professional decision, carried forward</t>
        </is>
      </c>
      <c r="J1502" s="23" t="inlineStr">
        <is>
          <t>Maya Chen, Owner Project Controls</t>
        </is>
      </c>
      <c r="K1502" s="23" t="inlineStr">
        <is>
          <t>Professional</t>
        </is>
      </c>
      <c r="L1502" s="23" t="inlineStr"/>
      <c r="M1502" s="23" t="inlineStr">
        <is>
          <t>Contractor Programme Cycle 2</t>
        </is>
      </c>
      <c r="N1502" s="23" t="inlineStr">
        <is>
          <t>Rev 1</t>
        </is>
      </c>
      <c r="O1502" s="23" t="inlineStr">
        <is>
          <t>R1039-v3</t>
        </is>
      </c>
      <c r="P1502" s="23" t="inlineStr"/>
      <c r="Q1502" s="23" t="inlineStr"/>
      <c r="R1502" s="23" t="inlineStr"/>
      <c r="S1502" s="23" t="inlineStr"/>
      <c r="T1502" s="23" t="inlineStr">
        <is>
          <t>Group decision (182 records sharing one decision state), carried forward</t>
        </is>
      </c>
      <c r="U1502" s="23" t="inlineStr"/>
      <c r="V1502" s="23" t="inlineStr"/>
      <c r="W1502" s="23" t="inlineStr"/>
    </row>
    <row r="1503" ht="94" customHeight="1">
      <c r="A1503" s="23" t="inlineStr">
        <is>
          <t>UNSURE</t>
        </is>
      </c>
      <c r="B1503" s="23" t="inlineStr"/>
      <c r="C1503" s="23" t="inlineStr">
        <is>
          <t>Contractor Programme</t>
        </is>
      </c>
      <c r="D1503" s="23" t="inlineStr">
        <is>
          <t>SCH-06-140</t>
        </is>
      </c>
      <c r="E1503" s="23" t="inlineStr">
        <is>
          <t>Stations package: permit coordination - field start</t>
        </is>
      </c>
      <c r="F1503" s="23" t="inlineStr">
        <is>
          <t>UNSURE</t>
        </is>
      </c>
      <c r="G1503" s="23" t="inlineStr">
        <is>
          <t>RETAINED</t>
        </is>
      </c>
      <c r="H1503" s="23" t="inlineStr">
        <is>
          <t>Carried forward</t>
        </is>
      </c>
      <c r="I1503" s="23" t="inlineStr">
        <is>
          <t>Earlier professional decision, carried forward</t>
        </is>
      </c>
      <c r="J1503" s="23" t="inlineStr">
        <is>
          <t>Maya Chen, Owner Project Controls</t>
        </is>
      </c>
      <c r="K1503" s="23" t="inlineStr">
        <is>
          <t>Professional</t>
        </is>
      </c>
      <c r="L1503" s="23" t="inlineStr"/>
      <c r="M1503" s="23" t="inlineStr">
        <is>
          <t>Contractor Programme Cycle 2</t>
        </is>
      </c>
      <c r="N1503" s="23" t="inlineStr">
        <is>
          <t>Rev 1</t>
        </is>
      </c>
      <c r="O1503" s="23" t="inlineStr">
        <is>
          <t>R1040-v3</t>
        </is>
      </c>
      <c r="P1503" s="23" t="inlineStr"/>
      <c r="Q1503" s="23" t="inlineStr"/>
      <c r="R1503" s="23" t="inlineStr"/>
      <c r="S1503" s="23" t="inlineStr"/>
      <c r="T1503" s="23" t="inlineStr">
        <is>
          <t>Group decision (182 records sharing one decision state), carried forward</t>
        </is>
      </c>
      <c r="U1503" s="23" t="inlineStr"/>
      <c r="V1503" s="23" t="inlineStr"/>
      <c r="W1503" s="23" t="inlineStr"/>
    </row>
    <row r="1504" ht="94" customHeight="1">
      <c r="A1504" s="23" t="inlineStr">
        <is>
          <t>UNSURE</t>
        </is>
      </c>
      <c r="B1504" s="23" t="inlineStr"/>
      <c r="C1504" s="23" t="inlineStr">
        <is>
          <t>Contractor Programme</t>
        </is>
      </c>
      <c r="D1504" s="23" t="inlineStr">
        <is>
          <t>SCH-06-141</t>
        </is>
      </c>
      <c r="E1504" s="23" t="inlineStr">
        <is>
          <t>Systems package: delivery risk workshop - installation</t>
        </is>
      </c>
      <c r="F1504" s="23" t="inlineStr">
        <is>
          <t>UNSURE</t>
        </is>
      </c>
      <c r="G1504" s="23" t="inlineStr">
        <is>
          <t>RETAINED</t>
        </is>
      </c>
      <c r="H1504" s="23" t="inlineStr">
        <is>
          <t>Carried forward</t>
        </is>
      </c>
      <c r="I1504" s="23" t="inlineStr">
        <is>
          <t>Earlier professional decision, carried forward</t>
        </is>
      </c>
      <c r="J1504" s="23" t="inlineStr">
        <is>
          <t>Maya Chen, Owner Project Controls</t>
        </is>
      </c>
      <c r="K1504" s="23" t="inlineStr">
        <is>
          <t>Professional</t>
        </is>
      </c>
      <c r="L1504" s="23" t="inlineStr"/>
      <c r="M1504" s="23" t="inlineStr">
        <is>
          <t>Contractor Programme Cycle 2</t>
        </is>
      </c>
      <c r="N1504" s="23" t="inlineStr">
        <is>
          <t>Rev 1</t>
        </is>
      </c>
      <c r="O1504" s="23" t="inlineStr">
        <is>
          <t>R1041-v3</t>
        </is>
      </c>
      <c r="P1504" s="23" t="inlineStr"/>
      <c r="Q1504" s="23" t="inlineStr"/>
      <c r="R1504" s="23" t="inlineStr"/>
      <c r="S1504" s="23" t="inlineStr"/>
      <c r="T1504" s="23" t="inlineStr">
        <is>
          <t>Group decision (182 records sharing one decision state), carried forward</t>
        </is>
      </c>
      <c r="U1504" s="23" t="inlineStr"/>
      <c r="V1504" s="23" t="inlineStr"/>
      <c r="W1504" s="23" t="inlineStr"/>
    </row>
    <row r="1505" ht="94" customHeight="1">
      <c r="A1505" s="23" t="inlineStr">
        <is>
          <t>UNSURE</t>
        </is>
      </c>
      <c r="B1505" s="23" t="inlineStr"/>
      <c r="C1505" s="23" t="inlineStr">
        <is>
          <t>Contractor Programme</t>
        </is>
      </c>
      <c r="D1505" s="23" t="inlineStr">
        <is>
          <t>SCH-06-142</t>
        </is>
      </c>
      <c r="E1505" s="23" t="inlineStr">
        <is>
          <t>Fleet package: monthly controls cut-off - inspection</t>
        </is>
      </c>
      <c r="F1505" s="23" t="inlineStr">
        <is>
          <t>UNSURE</t>
        </is>
      </c>
      <c r="G1505" s="23" t="inlineStr">
        <is>
          <t>RETAINED</t>
        </is>
      </c>
      <c r="H1505" s="23" t="inlineStr">
        <is>
          <t>Carried forward</t>
        </is>
      </c>
      <c r="I1505" s="23" t="inlineStr">
        <is>
          <t>Earlier professional decision, carried forward</t>
        </is>
      </c>
      <c r="J1505" s="23" t="inlineStr">
        <is>
          <t>Maya Chen, Owner Project Controls</t>
        </is>
      </c>
      <c r="K1505" s="23" t="inlineStr">
        <is>
          <t>Professional</t>
        </is>
      </c>
      <c r="L1505" s="23" t="inlineStr"/>
      <c r="M1505" s="23" t="inlineStr">
        <is>
          <t>Contractor Programme Cycle 2</t>
        </is>
      </c>
      <c r="N1505" s="23" t="inlineStr">
        <is>
          <t>Rev 1</t>
        </is>
      </c>
      <c r="O1505" s="23" t="inlineStr">
        <is>
          <t>R1042-v3</t>
        </is>
      </c>
      <c r="P1505" s="23" t="inlineStr"/>
      <c r="Q1505" s="23" t="inlineStr"/>
      <c r="R1505" s="23" t="inlineStr"/>
      <c r="S1505" s="23" t="inlineStr"/>
      <c r="T1505" s="23" t="inlineStr">
        <is>
          <t>Group decision (182 records sharing one decision state), carried forward</t>
        </is>
      </c>
      <c r="U1505" s="23" t="inlineStr"/>
      <c r="V1505" s="23" t="inlineStr"/>
      <c r="W1505" s="23" t="inlineStr"/>
    </row>
    <row r="1506" ht="94" customHeight="1">
      <c r="A1506" s="23" t="inlineStr">
        <is>
          <t>UNSURE</t>
        </is>
      </c>
      <c r="B1506" s="23" t="inlineStr"/>
      <c r="C1506" s="23" t="inlineStr">
        <is>
          <t>Contractor Programme</t>
        </is>
      </c>
      <c r="D1506" s="23" t="inlineStr">
        <is>
          <t>SCH-06-143</t>
        </is>
      </c>
      <c r="E1506" s="23" t="inlineStr">
        <is>
          <t>Program office: stakeholder interface meeting - turnover</t>
        </is>
      </c>
      <c r="F1506" s="23" t="inlineStr">
        <is>
          <t>UNSURE</t>
        </is>
      </c>
      <c r="G1506" s="23" t="inlineStr">
        <is>
          <t>RETAINED</t>
        </is>
      </c>
      <c r="H1506" s="23" t="inlineStr">
        <is>
          <t>Carried forward</t>
        </is>
      </c>
      <c r="I1506" s="23" t="inlineStr">
        <is>
          <t>Earlier professional decision, carried forward</t>
        </is>
      </c>
      <c r="J1506" s="23" t="inlineStr">
        <is>
          <t>Maya Chen, Owner Project Controls</t>
        </is>
      </c>
      <c r="K1506" s="23" t="inlineStr">
        <is>
          <t>Professional</t>
        </is>
      </c>
      <c r="L1506" s="23" t="inlineStr"/>
      <c r="M1506" s="23" t="inlineStr">
        <is>
          <t>Contractor Programme Cycle 2</t>
        </is>
      </c>
      <c r="N1506" s="23" t="inlineStr">
        <is>
          <t>Rev 1</t>
        </is>
      </c>
      <c r="O1506" s="23" t="inlineStr">
        <is>
          <t>R1043-v3</t>
        </is>
      </c>
      <c r="P1506" s="23" t="inlineStr"/>
      <c r="Q1506" s="23" t="inlineStr"/>
      <c r="R1506" s="23" t="inlineStr"/>
      <c r="S1506" s="23" t="inlineStr"/>
      <c r="T1506" s="23" t="inlineStr">
        <is>
          <t>Group decision (182 records sharing one decision state), carried forward</t>
        </is>
      </c>
      <c r="U1506" s="23" t="inlineStr"/>
      <c r="V1506" s="23" t="inlineStr"/>
      <c r="W1506" s="23" t="inlineStr"/>
    </row>
    <row r="1507" ht="94" customHeight="1">
      <c r="A1507" s="23" t="inlineStr">
        <is>
          <t>UNSURE</t>
        </is>
      </c>
      <c r="B1507" s="23" t="inlineStr"/>
      <c r="C1507" s="23" t="inlineStr">
        <is>
          <t>Contractor Programme</t>
        </is>
      </c>
      <c r="D1507" s="23" t="inlineStr">
        <is>
          <t>SCH-06-144</t>
        </is>
      </c>
      <c r="E1507" s="23" t="inlineStr">
        <is>
          <t>Civil package: baseline change control - release</t>
        </is>
      </c>
      <c r="F1507" s="23" t="inlineStr">
        <is>
          <t>UNSURE</t>
        </is>
      </c>
      <c r="G1507" s="23" t="inlineStr">
        <is>
          <t>RETAINED</t>
        </is>
      </c>
      <c r="H1507" s="23" t="inlineStr">
        <is>
          <t>Carried forward</t>
        </is>
      </c>
      <c r="I1507" s="23" t="inlineStr">
        <is>
          <t>Earlier professional decision, carried forward</t>
        </is>
      </c>
      <c r="J1507" s="23" t="inlineStr">
        <is>
          <t>Maya Chen, Owner Project Controls</t>
        </is>
      </c>
      <c r="K1507" s="23" t="inlineStr">
        <is>
          <t>Professional</t>
        </is>
      </c>
      <c r="L1507" s="23" t="inlineStr"/>
      <c r="M1507" s="23" t="inlineStr">
        <is>
          <t>Contractor Programme Cycle 2</t>
        </is>
      </c>
      <c r="N1507" s="23" t="inlineStr">
        <is>
          <t>Rev 1</t>
        </is>
      </c>
      <c r="O1507" s="23" t="inlineStr">
        <is>
          <t>R1044-v3</t>
        </is>
      </c>
      <c r="P1507" s="23" t="inlineStr"/>
      <c r="Q1507" s="23" t="inlineStr"/>
      <c r="R1507" s="23" t="inlineStr"/>
      <c r="S1507" s="23" t="inlineStr"/>
      <c r="T1507" s="23" t="inlineStr">
        <is>
          <t>Group decision (182 records sharing one decision state), carried forward</t>
        </is>
      </c>
      <c r="U1507" s="23" t="inlineStr"/>
      <c r="V1507" s="23" t="inlineStr"/>
      <c r="W1507" s="23" t="inlineStr"/>
    </row>
    <row r="1508" ht="94" customHeight="1">
      <c r="A1508" s="23" t="inlineStr">
        <is>
          <t>UNSURE</t>
        </is>
      </c>
      <c r="B1508" s="23" t="inlineStr"/>
      <c r="C1508" s="23" t="inlineStr">
        <is>
          <t>Contractor Programme</t>
        </is>
      </c>
      <c r="D1508" s="23" t="inlineStr">
        <is>
          <t>SCH-06-145</t>
        </is>
      </c>
      <c r="E1508" s="23" t="inlineStr">
        <is>
          <t>Stations package: commercial change review - field start</t>
        </is>
      </c>
      <c r="F1508" s="23" t="inlineStr">
        <is>
          <t>UNSURE</t>
        </is>
      </c>
      <c r="G1508" s="23" t="inlineStr">
        <is>
          <t>RETAINED</t>
        </is>
      </c>
      <c r="H1508" s="23" t="inlineStr">
        <is>
          <t>Carried forward</t>
        </is>
      </c>
      <c r="I1508" s="23" t="inlineStr">
        <is>
          <t>Earlier professional decision, carried forward</t>
        </is>
      </c>
      <c r="J1508" s="23" t="inlineStr">
        <is>
          <t>Maya Chen, Owner Project Controls</t>
        </is>
      </c>
      <c r="K1508" s="23" t="inlineStr">
        <is>
          <t>Professional</t>
        </is>
      </c>
      <c r="L1508" s="23" t="inlineStr"/>
      <c r="M1508" s="23" t="inlineStr">
        <is>
          <t>Contractor Programme Cycle 2</t>
        </is>
      </c>
      <c r="N1508" s="23" t="inlineStr">
        <is>
          <t>Rev 1</t>
        </is>
      </c>
      <c r="O1508" s="23" t="inlineStr">
        <is>
          <t>R1045-v3</t>
        </is>
      </c>
      <c r="P1508" s="23" t="inlineStr"/>
      <c r="Q1508" s="23" t="inlineStr"/>
      <c r="R1508" s="23" t="inlineStr"/>
      <c r="S1508" s="23" t="inlineStr"/>
      <c r="T1508" s="23" t="inlineStr">
        <is>
          <t>Group decision (182 records sharing one decision state), carried forward</t>
        </is>
      </c>
      <c r="U1508" s="23" t="inlineStr"/>
      <c r="V1508" s="23" t="inlineStr"/>
      <c r="W1508" s="23" t="inlineStr"/>
    </row>
    <row r="1509" ht="94" customHeight="1">
      <c r="A1509" s="23" t="inlineStr">
        <is>
          <t>UNSURE</t>
        </is>
      </c>
      <c r="B1509" s="23" t="inlineStr"/>
      <c r="C1509" s="23" t="inlineStr">
        <is>
          <t>Contractor Programme</t>
        </is>
      </c>
      <c r="D1509" s="23" t="inlineStr">
        <is>
          <t>SCH-06-146</t>
        </is>
      </c>
      <c r="E1509" s="23" t="inlineStr">
        <is>
          <t>Systems package: design-package integration review - installation</t>
        </is>
      </c>
      <c r="F1509" s="23" t="inlineStr">
        <is>
          <t>UNSURE</t>
        </is>
      </c>
      <c r="G1509" s="23" t="inlineStr">
        <is>
          <t>RETAINED</t>
        </is>
      </c>
      <c r="H1509" s="23" t="inlineStr">
        <is>
          <t>Carried forward</t>
        </is>
      </c>
      <c r="I1509" s="23" t="inlineStr">
        <is>
          <t>Earlier professional decision, carried forward</t>
        </is>
      </c>
      <c r="J1509" s="23" t="inlineStr">
        <is>
          <t>Maya Chen, Owner Project Controls</t>
        </is>
      </c>
      <c r="K1509" s="23" t="inlineStr">
        <is>
          <t>Professional</t>
        </is>
      </c>
      <c r="L1509" s="23" t="inlineStr"/>
      <c r="M1509" s="23" t="inlineStr">
        <is>
          <t>Contractor Programme Cycle 2</t>
        </is>
      </c>
      <c r="N1509" s="23" t="inlineStr">
        <is>
          <t>Rev 1</t>
        </is>
      </c>
      <c r="O1509" s="23" t="inlineStr">
        <is>
          <t>R1046-v3</t>
        </is>
      </c>
      <c r="P1509" s="23" t="inlineStr"/>
      <c r="Q1509" s="23" t="inlineStr"/>
      <c r="R1509" s="23" t="inlineStr"/>
      <c r="S1509" s="23" t="inlineStr"/>
      <c r="T1509" s="23" t="inlineStr">
        <is>
          <t>Group decision (182 records sharing one decision state), carried forward</t>
        </is>
      </c>
      <c r="U1509" s="23" t="inlineStr"/>
      <c r="V1509" s="23" t="inlineStr"/>
      <c r="W1509" s="23" t="inlineStr"/>
    </row>
    <row r="1510" ht="94" customHeight="1">
      <c r="A1510" s="23" t="inlineStr">
        <is>
          <t>UNSURE</t>
        </is>
      </c>
      <c r="B1510" s="23" t="inlineStr"/>
      <c r="C1510" s="23" t="inlineStr">
        <is>
          <t>Contractor Programme</t>
        </is>
      </c>
      <c r="D1510" s="23" t="inlineStr">
        <is>
          <t>SCH-06-147</t>
        </is>
      </c>
      <c r="E1510" s="23" t="inlineStr">
        <is>
          <t>Fleet package: executive reporting close - inspection</t>
        </is>
      </c>
      <c r="F1510" s="23" t="inlineStr">
        <is>
          <t>UNSURE</t>
        </is>
      </c>
      <c r="G1510" s="23" t="inlineStr">
        <is>
          <t>RETAINED</t>
        </is>
      </c>
      <c r="H1510" s="23" t="inlineStr">
        <is>
          <t>Carried forward</t>
        </is>
      </c>
      <c r="I1510" s="23" t="inlineStr">
        <is>
          <t>Earlier professional decision, carried forward</t>
        </is>
      </c>
      <c r="J1510" s="23" t="inlineStr">
        <is>
          <t>Maya Chen, Owner Project Controls</t>
        </is>
      </c>
      <c r="K1510" s="23" t="inlineStr">
        <is>
          <t>Professional</t>
        </is>
      </c>
      <c r="L1510" s="23" t="inlineStr"/>
      <c r="M1510" s="23" t="inlineStr">
        <is>
          <t>Contractor Programme Cycle 2</t>
        </is>
      </c>
      <c r="N1510" s="23" t="inlineStr">
        <is>
          <t>Rev 1</t>
        </is>
      </c>
      <c r="O1510" s="23" t="inlineStr">
        <is>
          <t>R1047-v3</t>
        </is>
      </c>
      <c r="P1510" s="23" t="inlineStr"/>
      <c r="Q1510" s="23" t="inlineStr"/>
      <c r="R1510" s="23" t="inlineStr"/>
      <c r="S1510" s="23" t="inlineStr"/>
      <c r="T1510" s="23" t="inlineStr">
        <is>
          <t>Group decision (182 records sharing one decision state), carried forward</t>
        </is>
      </c>
      <c r="U1510" s="23" t="inlineStr"/>
      <c r="V1510" s="23" t="inlineStr"/>
      <c r="W1510" s="23" t="inlineStr"/>
    </row>
    <row r="1511" ht="94" customHeight="1">
      <c r="A1511" s="23" t="inlineStr">
        <is>
          <t>UNSURE</t>
        </is>
      </c>
      <c r="B1511" s="23" t="inlineStr"/>
      <c r="C1511" s="23" t="inlineStr">
        <is>
          <t>Contractor Programme</t>
        </is>
      </c>
      <c r="D1511" s="23" t="inlineStr">
        <is>
          <t>SCH-06-148</t>
        </is>
      </c>
      <c r="E1511" s="23" t="inlineStr">
        <is>
          <t>Program office: permit coordination - turnover</t>
        </is>
      </c>
      <c r="F1511" s="23" t="inlineStr">
        <is>
          <t>UNSURE</t>
        </is>
      </c>
      <c r="G1511" s="23" t="inlineStr">
        <is>
          <t>RETAINED</t>
        </is>
      </c>
      <c r="H1511" s="23" t="inlineStr">
        <is>
          <t>Carried forward</t>
        </is>
      </c>
      <c r="I1511" s="23" t="inlineStr">
        <is>
          <t>Earlier professional decision, carried forward</t>
        </is>
      </c>
      <c r="J1511" s="23" t="inlineStr">
        <is>
          <t>Maya Chen, Owner Project Controls</t>
        </is>
      </c>
      <c r="K1511" s="23" t="inlineStr">
        <is>
          <t>Professional</t>
        </is>
      </c>
      <c r="L1511" s="23" t="inlineStr"/>
      <c r="M1511" s="23" t="inlineStr">
        <is>
          <t>Contractor Programme Cycle 2</t>
        </is>
      </c>
      <c r="N1511" s="23" t="inlineStr">
        <is>
          <t>Rev 1</t>
        </is>
      </c>
      <c r="O1511" s="23" t="inlineStr">
        <is>
          <t>R1048-v3</t>
        </is>
      </c>
      <c r="P1511" s="23" t="inlineStr"/>
      <c r="Q1511" s="23" t="inlineStr"/>
      <c r="R1511" s="23" t="inlineStr"/>
      <c r="S1511" s="23" t="inlineStr"/>
      <c r="T1511" s="23" t="inlineStr">
        <is>
          <t>Group decision (182 records sharing one decision state), carried forward</t>
        </is>
      </c>
      <c r="U1511" s="23" t="inlineStr"/>
      <c r="V1511" s="23" t="inlineStr"/>
      <c r="W1511" s="23" t="inlineStr"/>
    </row>
    <row r="1512" ht="94" customHeight="1">
      <c r="A1512" s="23" t="inlineStr">
        <is>
          <t>UNSURE</t>
        </is>
      </c>
      <c r="B1512" s="23" t="inlineStr"/>
      <c r="C1512" s="23" t="inlineStr">
        <is>
          <t>Contractor Programme</t>
        </is>
      </c>
      <c r="D1512" s="23" t="inlineStr">
        <is>
          <t>SCH-06-149</t>
        </is>
      </c>
      <c r="E1512" s="23" t="inlineStr">
        <is>
          <t>Civil package: delivery risk workshop - release</t>
        </is>
      </c>
      <c r="F1512" s="23" t="inlineStr">
        <is>
          <t>UNSURE</t>
        </is>
      </c>
      <c r="G1512" s="23" t="inlineStr">
        <is>
          <t>RETAINED</t>
        </is>
      </c>
      <c r="H1512" s="23" t="inlineStr">
        <is>
          <t>Carried forward</t>
        </is>
      </c>
      <c r="I1512" s="23" t="inlineStr">
        <is>
          <t>Earlier professional decision, carried forward</t>
        </is>
      </c>
      <c r="J1512" s="23" t="inlineStr">
        <is>
          <t>Maya Chen, Owner Project Controls</t>
        </is>
      </c>
      <c r="K1512" s="23" t="inlineStr">
        <is>
          <t>Professional</t>
        </is>
      </c>
      <c r="L1512" s="23" t="inlineStr"/>
      <c r="M1512" s="23" t="inlineStr">
        <is>
          <t>Contractor Programme Cycle 2</t>
        </is>
      </c>
      <c r="N1512" s="23" t="inlineStr">
        <is>
          <t>Rev 1</t>
        </is>
      </c>
      <c r="O1512" s="23" t="inlineStr">
        <is>
          <t>R1049-v3</t>
        </is>
      </c>
      <c r="P1512" s="23" t="inlineStr"/>
      <c r="Q1512" s="23" t="inlineStr"/>
      <c r="R1512" s="23" t="inlineStr"/>
      <c r="S1512" s="23" t="inlineStr"/>
      <c r="T1512" s="23" t="inlineStr">
        <is>
          <t>Group decision (182 records sharing one decision state), carried forward</t>
        </is>
      </c>
      <c r="U1512" s="23" t="inlineStr"/>
      <c r="V1512" s="23" t="inlineStr"/>
      <c r="W1512" s="23" t="inlineStr"/>
    </row>
    <row r="1513" ht="94" customHeight="1">
      <c r="A1513" s="23" t="inlineStr">
        <is>
          <t>UNSURE</t>
        </is>
      </c>
      <c r="B1513" s="23" t="inlineStr"/>
      <c r="C1513" s="23" t="inlineStr">
        <is>
          <t>Contractor Programme</t>
        </is>
      </c>
      <c r="D1513" s="23" t="inlineStr">
        <is>
          <t>SCH-06-150</t>
        </is>
      </c>
      <c r="E1513" s="23" t="inlineStr">
        <is>
          <t>Stations package: monthly controls cut-off - field start</t>
        </is>
      </c>
      <c r="F1513" s="23" t="inlineStr">
        <is>
          <t>UNSURE</t>
        </is>
      </c>
      <c r="G1513" s="23" t="inlineStr">
        <is>
          <t>RETAINED</t>
        </is>
      </c>
      <c r="H1513" s="23" t="inlineStr">
        <is>
          <t>Carried forward</t>
        </is>
      </c>
      <c r="I1513" s="23" t="inlineStr">
        <is>
          <t>Earlier professional decision, carried forward</t>
        </is>
      </c>
      <c r="J1513" s="23" t="inlineStr">
        <is>
          <t>Maya Chen, Owner Project Controls</t>
        </is>
      </c>
      <c r="K1513" s="23" t="inlineStr">
        <is>
          <t>Professional</t>
        </is>
      </c>
      <c r="L1513" s="23" t="inlineStr"/>
      <c r="M1513" s="23" t="inlineStr">
        <is>
          <t>Contractor Programme Cycle 2</t>
        </is>
      </c>
      <c r="N1513" s="23" t="inlineStr">
        <is>
          <t>Rev 1</t>
        </is>
      </c>
      <c r="O1513" s="23" t="inlineStr">
        <is>
          <t>R1050-v3</t>
        </is>
      </c>
      <c r="P1513" s="23" t="inlineStr"/>
      <c r="Q1513" s="23" t="inlineStr"/>
      <c r="R1513" s="23" t="inlineStr"/>
      <c r="S1513" s="23" t="inlineStr"/>
      <c r="T1513" s="23" t="inlineStr">
        <is>
          <t>Group decision (182 records sharing one decision state), carried forward</t>
        </is>
      </c>
      <c r="U1513" s="23" t="inlineStr"/>
      <c r="V1513" s="23" t="inlineStr"/>
      <c r="W1513" s="23" t="inlineStr"/>
    </row>
    <row r="1514" ht="94" customHeight="1">
      <c r="A1514" s="23" t="inlineStr">
        <is>
          <t>UNSURE</t>
        </is>
      </c>
      <c r="B1514" s="23" t="inlineStr"/>
      <c r="C1514" s="23" t="inlineStr">
        <is>
          <t>Contractor Programme</t>
        </is>
      </c>
      <c r="D1514" s="23" t="inlineStr">
        <is>
          <t>SCH-06-151</t>
        </is>
      </c>
      <c r="E1514" s="23" t="inlineStr">
        <is>
          <t>Systems package: stakeholder interface meeting - installation</t>
        </is>
      </c>
      <c r="F1514" s="23" t="inlineStr">
        <is>
          <t>UNSURE</t>
        </is>
      </c>
      <c r="G1514" s="23" t="inlineStr">
        <is>
          <t>RETAINED</t>
        </is>
      </c>
      <c r="H1514" s="23" t="inlineStr">
        <is>
          <t>Carried forward</t>
        </is>
      </c>
      <c r="I1514" s="23" t="inlineStr">
        <is>
          <t>Earlier professional decision, carried forward</t>
        </is>
      </c>
      <c r="J1514" s="23" t="inlineStr">
        <is>
          <t>Maya Chen, Owner Project Controls</t>
        </is>
      </c>
      <c r="K1514" s="23" t="inlineStr">
        <is>
          <t>Professional</t>
        </is>
      </c>
      <c r="L1514" s="23" t="inlineStr"/>
      <c r="M1514" s="23" t="inlineStr">
        <is>
          <t>Contractor Programme Cycle 2</t>
        </is>
      </c>
      <c r="N1514" s="23" t="inlineStr">
        <is>
          <t>Rev 1</t>
        </is>
      </c>
      <c r="O1514" s="23" t="inlineStr">
        <is>
          <t>R1051-v3</t>
        </is>
      </c>
      <c r="P1514" s="23" t="inlineStr"/>
      <c r="Q1514" s="23" t="inlineStr"/>
      <c r="R1514" s="23" t="inlineStr"/>
      <c r="S1514" s="23" t="inlineStr"/>
      <c r="T1514" s="23" t="inlineStr">
        <is>
          <t>Group decision (182 records sharing one decision state), carried forward</t>
        </is>
      </c>
      <c r="U1514" s="23" t="inlineStr"/>
      <c r="V1514" s="23" t="inlineStr"/>
      <c r="W1514" s="23" t="inlineStr"/>
    </row>
    <row r="1515" ht="94" customHeight="1">
      <c r="A1515" s="23" t="inlineStr">
        <is>
          <t>UNSURE</t>
        </is>
      </c>
      <c r="B1515" s="23" t="inlineStr"/>
      <c r="C1515" s="23" t="inlineStr">
        <is>
          <t>Contractor Programme</t>
        </is>
      </c>
      <c r="D1515" s="23" t="inlineStr">
        <is>
          <t>SCH-06-152</t>
        </is>
      </c>
      <c r="E1515" s="23" t="inlineStr">
        <is>
          <t>Fleet package: baseline change control - inspection</t>
        </is>
      </c>
      <c r="F1515" s="23" t="inlineStr">
        <is>
          <t>UNSURE</t>
        </is>
      </c>
      <c r="G1515" s="23" t="inlineStr">
        <is>
          <t>RETAINED</t>
        </is>
      </c>
      <c r="H1515" s="23" t="inlineStr">
        <is>
          <t>Carried forward</t>
        </is>
      </c>
      <c r="I1515" s="23" t="inlineStr">
        <is>
          <t>Earlier professional decision, carried forward</t>
        </is>
      </c>
      <c r="J1515" s="23" t="inlineStr">
        <is>
          <t>Maya Chen, Owner Project Controls</t>
        </is>
      </c>
      <c r="K1515" s="23" t="inlineStr">
        <is>
          <t>Professional</t>
        </is>
      </c>
      <c r="L1515" s="23" t="inlineStr"/>
      <c r="M1515" s="23" t="inlineStr">
        <is>
          <t>Contractor Programme Cycle 2</t>
        </is>
      </c>
      <c r="N1515" s="23" t="inlineStr">
        <is>
          <t>Rev 1</t>
        </is>
      </c>
      <c r="O1515" s="23" t="inlineStr">
        <is>
          <t>R1052-v3</t>
        </is>
      </c>
      <c r="P1515" s="23" t="inlineStr"/>
      <c r="Q1515" s="23" t="inlineStr"/>
      <c r="R1515" s="23" t="inlineStr"/>
      <c r="S1515" s="23" t="inlineStr"/>
      <c r="T1515" s="23" t="inlineStr">
        <is>
          <t>Group decision (182 records sharing one decision state), carried forward</t>
        </is>
      </c>
      <c r="U1515" s="23" t="inlineStr"/>
      <c r="V1515" s="23" t="inlineStr"/>
      <c r="W1515" s="23" t="inlineStr"/>
    </row>
    <row r="1516" ht="94" customHeight="1">
      <c r="A1516" s="23" t="inlineStr">
        <is>
          <t>UNSURE</t>
        </is>
      </c>
      <c r="B1516" s="23" t="inlineStr"/>
      <c r="C1516" s="23" t="inlineStr">
        <is>
          <t>Contractor Programme</t>
        </is>
      </c>
      <c r="D1516" s="23" t="inlineStr">
        <is>
          <t>SCH-06-153</t>
        </is>
      </c>
      <c r="E1516" s="23" t="inlineStr">
        <is>
          <t>Program office: commercial change review - turnover</t>
        </is>
      </c>
      <c r="F1516" s="23" t="inlineStr">
        <is>
          <t>UNSURE</t>
        </is>
      </c>
      <c r="G1516" s="23" t="inlineStr">
        <is>
          <t>RETAINED</t>
        </is>
      </c>
      <c r="H1516" s="23" t="inlineStr">
        <is>
          <t>Carried forward</t>
        </is>
      </c>
      <c r="I1516" s="23" t="inlineStr">
        <is>
          <t>Earlier professional decision, carried forward</t>
        </is>
      </c>
      <c r="J1516" s="23" t="inlineStr">
        <is>
          <t>Maya Chen, Owner Project Controls</t>
        </is>
      </c>
      <c r="K1516" s="23" t="inlineStr">
        <is>
          <t>Professional</t>
        </is>
      </c>
      <c r="L1516" s="23" t="inlineStr"/>
      <c r="M1516" s="23" t="inlineStr">
        <is>
          <t>Contractor Programme Cycle 2</t>
        </is>
      </c>
      <c r="N1516" s="23" t="inlineStr">
        <is>
          <t>Rev 1</t>
        </is>
      </c>
      <c r="O1516" s="23" t="inlineStr">
        <is>
          <t>R1053-v3</t>
        </is>
      </c>
      <c r="P1516" s="23" t="inlineStr"/>
      <c r="Q1516" s="23" t="inlineStr"/>
      <c r="R1516" s="23" t="inlineStr"/>
      <c r="S1516" s="23" t="inlineStr"/>
      <c r="T1516" s="23" t="inlineStr">
        <is>
          <t>Group decision (182 records sharing one decision state), carried forward</t>
        </is>
      </c>
      <c r="U1516" s="23" t="inlineStr"/>
      <c r="V1516" s="23" t="inlineStr"/>
      <c r="W1516" s="23" t="inlineStr"/>
    </row>
    <row r="1517" ht="94" customHeight="1">
      <c r="A1517" s="23" t="inlineStr">
        <is>
          <t>UNSURE</t>
        </is>
      </c>
      <c r="B1517" s="23" t="inlineStr"/>
      <c r="C1517" s="23" t="inlineStr">
        <is>
          <t>Contractor Programme</t>
        </is>
      </c>
      <c r="D1517" s="23" t="inlineStr">
        <is>
          <t>SCH-06-154</t>
        </is>
      </c>
      <c r="E1517" s="23" t="inlineStr">
        <is>
          <t>Civil package: design-package integration review - release</t>
        </is>
      </c>
      <c r="F1517" s="23" t="inlineStr">
        <is>
          <t>UNSURE</t>
        </is>
      </c>
      <c r="G1517" s="23" t="inlineStr">
        <is>
          <t>RETAINED</t>
        </is>
      </c>
      <c r="H1517" s="23" t="inlineStr">
        <is>
          <t>Carried forward</t>
        </is>
      </c>
      <c r="I1517" s="23" t="inlineStr">
        <is>
          <t>Earlier professional decision, carried forward</t>
        </is>
      </c>
      <c r="J1517" s="23" t="inlineStr">
        <is>
          <t>Maya Chen, Owner Project Controls</t>
        </is>
      </c>
      <c r="K1517" s="23" t="inlineStr">
        <is>
          <t>Professional</t>
        </is>
      </c>
      <c r="L1517" s="23" t="inlineStr"/>
      <c r="M1517" s="23" t="inlineStr">
        <is>
          <t>Contractor Programme Cycle 2</t>
        </is>
      </c>
      <c r="N1517" s="23" t="inlineStr">
        <is>
          <t>Rev 1</t>
        </is>
      </c>
      <c r="O1517" s="23" t="inlineStr">
        <is>
          <t>R1054-v3</t>
        </is>
      </c>
      <c r="P1517" s="23" t="inlineStr"/>
      <c r="Q1517" s="23" t="inlineStr"/>
      <c r="R1517" s="23" t="inlineStr"/>
      <c r="S1517" s="23" t="inlineStr"/>
      <c r="T1517" s="23" t="inlineStr">
        <is>
          <t>Group decision (182 records sharing one decision state), carried forward</t>
        </is>
      </c>
      <c r="U1517" s="23" t="inlineStr"/>
      <c r="V1517" s="23" t="inlineStr"/>
      <c r="W1517" s="23" t="inlineStr"/>
    </row>
    <row r="1518" ht="94" customHeight="1">
      <c r="A1518" s="23" t="inlineStr">
        <is>
          <t>UNSURE</t>
        </is>
      </c>
      <c r="B1518" s="23" t="inlineStr"/>
      <c r="C1518" s="23" t="inlineStr">
        <is>
          <t>Contractor Programme</t>
        </is>
      </c>
      <c r="D1518" s="23" t="inlineStr">
        <is>
          <t>SCH-06-155</t>
        </is>
      </c>
      <c r="E1518" s="23" t="inlineStr">
        <is>
          <t>Stations package: executive reporting close - field start</t>
        </is>
      </c>
      <c r="F1518" s="23" t="inlineStr">
        <is>
          <t>UNSURE</t>
        </is>
      </c>
      <c r="G1518" s="23" t="inlineStr">
        <is>
          <t>RETAINED</t>
        </is>
      </c>
      <c r="H1518" s="23" t="inlineStr">
        <is>
          <t>Carried forward</t>
        </is>
      </c>
      <c r="I1518" s="23" t="inlineStr">
        <is>
          <t>Earlier professional decision, carried forward</t>
        </is>
      </c>
      <c r="J1518" s="23" t="inlineStr">
        <is>
          <t>Maya Chen, Owner Project Controls</t>
        </is>
      </c>
      <c r="K1518" s="23" t="inlineStr">
        <is>
          <t>Professional</t>
        </is>
      </c>
      <c r="L1518" s="23" t="inlineStr"/>
      <c r="M1518" s="23" t="inlineStr">
        <is>
          <t>Contractor Programme Cycle 2</t>
        </is>
      </c>
      <c r="N1518" s="23" t="inlineStr">
        <is>
          <t>Rev 1</t>
        </is>
      </c>
      <c r="O1518" s="23" t="inlineStr">
        <is>
          <t>R1055-v3</t>
        </is>
      </c>
      <c r="P1518" s="23" t="inlineStr"/>
      <c r="Q1518" s="23" t="inlineStr"/>
      <c r="R1518" s="23" t="inlineStr"/>
      <c r="S1518" s="23" t="inlineStr"/>
      <c r="T1518" s="23" t="inlineStr">
        <is>
          <t>Group decision (182 records sharing one decision state), carried forward</t>
        </is>
      </c>
      <c r="U1518" s="23" t="inlineStr"/>
      <c r="V1518" s="23" t="inlineStr"/>
      <c r="W1518" s="23" t="inlineStr"/>
    </row>
    <row r="1519" ht="94" customHeight="1">
      <c r="A1519" s="23" t="inlineStr">
        <is>
          <t>UNSURE</t>
        </is>
      </c>
      <c r="B1519" s="23" t="inlineStr"/>
      <c r="C1519" s="23" t="inlineStr">
        <is>
          <t>Contractor Programme</t>
        </is>
      </c>
      <c r="D1519" s="23" t="inlineStr">
        <is>
          <t>SCH-06-156</t>
        </is>
      </c>
      <c r="E1519" s="23" t="inlineStr">
        <is>
          <t>Systems package: permit coordination - installation</t>
        </is>
      </c>
      <c r="F1519" s="23" t="inlineStr">
        <is>
          <t>UNSURE</t>
        </is>
      </c>
      <c r="G1519" s="23" t="inlineStr">
        <is>
          <t>RETAINED</t>
        </is>
      </c>
      <c r="H1519" s="23" t="inlineStr">
        <is>
          <t>Carried forward</t>
        </is>
      </c>
      <c r="I1519" s="23" t="inlineStr">
        <is>
          <t>Earlier professional decision, carried forward</t>
        </is>
      </c>
      <c r="J1519" s="23" t="inlineStr">
        <is>
          <t>Maya Chen, Owner Project Controls</t>
        </is>
      </c>
      <c r="K1519" s="23" t="inlineStr">
        <is>
          <t>Professional</t>
        </is>
      </c>
      <c r="L1519" s="23" t="inlineStr"/>
      <c r="M1519" s="23" t="inlineStr">
        <is>
          <t>Contractor Programme Cycle 2</t>
        </is>
      </c>
      <c r="N1519" s="23" t="inlineStr">
        <is>
          <t>Rev 1</t>
        </is>
      </c>
      <c r="O1519" s="23" t="inlineStr">
        <is>
          <t>R1056-v3</t>
        </is>
      </c>
      <c r="P1519" s="23" t="inlineStr"/>
      <c r="Q1519" s="23" t="inlineStr"/>
      <c r="R1519" s="23" t="inlineStr"/>
      <c r="S1519" s="23" t="inlineStr"/>
      <c r="T1519" s="23" t="inlineStr">
        <is>
          <t>Group decision (182 records sharing one decision state), carried forward</t>
        </is>
      </c>
      <c r="U1519" s="23" t="inlineStr"/>
      <c r="V1519" s="23" t="inlineStr"/>
      <c r="W1519" s="23" t="inlineStr"/>
    </row>
    <row r="1520" ht="94" customHeight="1">
      <c r="A1520" s="23" t="inlineStr">
        <is>
          <t>UNSURE</t>
        </is>
      </c>
      <c r="B1520" s="23" t="inlineStr"/>
      <c r="C1520" s="23" t="inlineStr">
        <is>
          <t>Contractor Programme</t>
        </is>
      </c>
      <c r="D1520" s="23" t="inlineStr">
        <is>
          <t>SCH-06-157</t>
        </is>
      </c>
      <c r="E1520" s="23" t="inlineStr">
        <is>
          <t>Fleet package: delivery risk workshop - inspection</t>
        </is>
      </c>
      <c r="F1520" s="23" t="inlineStr">
        <is>
          <t>UNSURE</t>
        </is>
      </c>
      <c r="G1520" s="23" t="inlineStr">
        <is>
          <t>RETAINED</t>
        </is>
      </c>
      <c r="H1520" s="23" t="inlineStr">
        <is>
          <t>Carried forward</t>
        </is>
      </c>
      <c r="I1520" s="23" t="inlineStr">
        <is>
          <t>Earlier professional decision, carried forward</t>
        </is>
      </c>
      <c r="J1520" s="23" t="inlineStr">
        <is>
          <t>Maya Chen, Owner Project Controls</t>
        </is>
      </c>
      <c r="K1520" s="23" t="inlineStr">
        <is>
          <t>Professional</t>
        </is>
      </c>
      <c r="L1520" s="23" t="inlineStr"/>
      <c r="M1520" s="23" t="inlineStr">
        <is>
          <t>Contractor Programme Cycle 2</t>
        </is>
      </c>
      <c r="N1520" s="23" t="inlineStr">
        <is>
          <t>Rev 1</t>
        </is>
      </c>
      <c r="O1520" s="23" t="inlineStr">
        <is>
          <t>R1057-v3</t>
        </is>
      </c>
      <c r="P1520" s="23" t="inlineStr"/>
      <c r="Q1520" s="23" t="inlineStr"/>
      <c r="R1520" s="23" t="inlineStr"/>
      <c r="S1520" s="23" t="inlineStr"/>
      <c r="T1520" s="23" t="inlineStr">
        <is>
          <t>Group decision (182 records sharing one decision state), carried forward</t>
        </is>
      </c>
      <c r="U1520" s="23" t="inlineStr"/>
      <c r="V1520" s="23" t="inlineStr"/>
      <c r="W1520" s="23" t="inlineStr"/>
    </row>
    <row r="1521" ht="94" customHeight="1">
      <c r="A1521" s="23" t="inlineStr">
        <is>
          <t>UNSURE</t>
        </is>
      </c>
      <c r="B1521" s="23" t="inlineStr"/>
      <c r="C1521" s="23" t="inlineStr">
        <is>
          <t>Contractor Programme</t>
        </is>
      </c>
      <c r="D1521" s="23" t="inlineStr">
        <is>
          <t>SCH-06-158</t>
        </is>
      </c>
      <c r="E1521" s="23" t="inlineStr">
        <is>
          <t>Program office: monthly controls cut-off - turnover</t>
        </is>
      </c>
      <c r="F1521" s="23" t="inlineStr">
        <is>
          <t>UNSURE</t>
        </is>
      </c>
      <c r="G1521" s="23" t="inlineStr">
        <is>
          <t>RETAINED</t>
        </is>
      </c>
      <c r="H1521" s="23" t="inlineStr">
        <is>
          <t>Carried forward</t>
        </is>
      </c>
      <c r="I1521" s="23" t="inlineStr">
        <is>
          <t>Earlier professional decision, carried forward</t>
        </is>
      </c>
      <c r="J1521" s="23" t="inlineStr">
        <is>
          <t>Maya Chen, Owner Project Controls</t>
        </is>
      </c>
      <c r="K1521" s="23" t="inlineStr">
        <is>
          <t>Professional</t>
        </is>
      </c>
      <c r="L1521" s="23" t="inlineStr"/>
      <c r="M1521" s="23" t="inlineStr">
        <is>
          <t>Contractor Programme Cycle 2</t>
        </is>
      </c>
      <c r="N1521" s="23" t="inlineStr">
        <is>
          <t>Rev 1</t>
        </is>
      </c>
      <c r="O1521" s="23" t="inlineStr">
        <is>
          <t>R1058-v3</t>
        </is>
      </c>
      <c r="P1521" s="23" t="inlineStr"/>
      <c r="Q1521" s="23" t="inlineStr"/>
      <c r="R1521" s="23" t="inlineStr"/>
      <c r="S1521" s="23" t="inlineStr"/>
      <c r="T1521" s="23" t="inlineStr">
        <is>
          <t>Group decision (182 records sharing one decision state), carried forward</t>
        </is>
      </c>
      <c r="U1521" s="23" t="inlineStr"/>
      <c r="V1521" s="23" t="inlineStr"/>
      <c r="W1521" s="23" t="inlineStr"/>
    </row>
    <row r="1522" ht="94" customHeight="1">
      <c r="A1522" s="23" t="inlineStr">
        <is>
          <t>UNSURE</t>
        </is>
      </c>
      <c r="B1522" s="23" t="inlineStr"/>
      <c r="C1522" s="23" t="inlineStr">
        <is>
          <t>Contractor Programme</t>
        </is>
      </c>
      <c r="D1522" s="23" t="inlineStr">
        <is>
          <t>SCH-06-159</t>
        </is>
      </c>
      <c r="E1522" s="23" t="inlineStr">
        <is>
          <t>Civil package: stakeholder interface meeting - release</t>
        </is>
      </c>
      <c r="F1522" s="23" t="inlineStr">
        <is>
          <t>UNSURE</t>
        </is>
      </c>
      <c r="G1522" s="23" t="inlineStr">
        <is>
          <t>RETAINED</t>
        </is>
      </c>
      <c r="H1522" s="23" t="inlineStr">
        <is>
          <t>Carried forward</t>
        </is>
      </c>
      <c r="I1522" s="23" t="inlineStr">
        <is>
          <t>Earlier professional decision, carried forward</t>
        </is>
      </c>
      <c r="J1522" s="23" t="inlineStr">
        <is>
          <t>Maya Chen, Owner Project Controls</t>
        </is>
      </c>
      <c r="K1522" s="23" t="inlineStr">
        <is>
          <t>Professional</t>
        </is>
      </c>
      <c r="L1522" s="23" t="inlineStr"/>
      <c r="M1522" s="23" t="inlineStr">
        <is>
          <t>Contractor Programme Cycle 2</t>
        </is>
      </c>
      <c r="N1522" s="23" t="inlineStr">
        <is>
          <t>Rev 1</t>
        </is>
      </c>
      <c r="O1522" s="23" t="inlineStr">
        <is>
          <t>R1059-v3</t>
        </is>
      </c>
      <c r="P1522" s="23" t="inlineStr"/>
      <c r="Q1522" s="23" t="inlineStr"/>
      <c r="R1522" s="23" t="inlineStr"/>
      <c r="S1522" s="23" t="inlineStr"/>
      <c r="T1522" s="23" t="inlineStr">
        <is>
          <t>Group decision (182 records sharing one decision state), carried forward</t>
        </is>
      </c>
      <c r="U1522" s="23" t="inlineStr"/>
      <c r="V1522" s="23" t="inlineStr"/>
      <c r="W1522" s="23" t="inlineStr"/>
    </row>
    <row r="1523" ht="94" customHeight="1">
      <c r="A1523" s="23" t="inlineStr">
        <is>
          <t>UNSURE</t>
        </is>
      </c>
      <c r="B1523" s="23" t="inlineStr"/>
      <c r="C1523" s="23" t="inlineStr">
        <is>
          <t>Contractor Programme</t>
        </is>
      </c>
      <c r="D1523" s="23" t="inlineStr">
        <is>
          <t>SCH-06-160</t>
        </is>
      </c>
      <c r="E1523" s="23" t="inlineStr">
        <is>
          <t>Stations package: baseline change control - field start</t>
        </is>
      </c>
      <c r="F1523" s="23" t="inlineStr">
        <is>
          <t>UNSURE</t>
        </is>
      </c>
      <c r="G1523" s="23" t="inlineStr">
        <is>
          <t>RETAINED</t>
        </is>
      </c>
      <c r="H1523" s="23" t="inlineStr">
        <is>
          <t>Carried forward</t>
        </is>
      </c>
      <c r="I1523" s="23" t="inlineStr">
        <is>
          <t>Earlier professional decision, carried forward</t>
        </is>
      </c>
      <c r="J1523" s="23" t="inlineStr">
        <is>
          <t>Maya Chen, Owner Project Controls</t>
        </is>
      </c>
      <c r="K1523" s="23" t="inlineStr">
        <is>
          <t>Professional</t>
        </is>
      </c>
      <c r="L1523" s="23" t="inlineStr"/>
      <c r="M1523" s="23" t="inlineStr">
        <is>
          <t>Contractor Programme Cycle 2</t>
        </is>
      </c>
      <c r="N1523" s="23" t="inlineStr">
        <is>
          <t>Rev 1</t>
        </is>
      </c>
      <c r="O1523" s="23" t="inlineStr">
        <is>
          <t>R1060-v3</t>
        </is>
      </c>
      <c r="P1523" s="23" t="inlineStr"/>
      <c r="Q1523" s="23" t="inlineStr"/>
      <c r="R1523" s="23" t="inlineStr"/>
      <c r="S1523" s="23" t="inlineStr"/>
      <c r="T1523" s="23" t="inlineStr">
        <is>
          <t>Group decision (182 records sharing one decision state), carried forward</t>
        </is>
      </c>
      <c r="U1523" s="23" t="inlineStr"/>
      <c r="V1523" s="23" t="inlineStr"/>
      <c r="W1523" s="23" t="inlineStr"/>
    </row>
    <row r="1524" ht="94" customHeight="1">
      <c r="A1524" s="23" t="inlineStr">
        <is>
          <t>UNSURE</t>
        </is>
      </c>
      <c r="B1524" s="23" t="inlineStr"/>
      <c r="C1524" s="23" t="inlineStr">
        <is>
          <t>Contractor Programme</t>
        </is>
      </c>
      <c r="D1524" s="23" t="inlineStr">
        <is>
          <t>SCH-06-161</t>
        </is>
      </c>
      <c r="E1524" s="23" t="inlineStr">
        <is>
          <t>Systems package: commercial change review - installation</t>
        </is>
      </c>
      <c r="F1524" s="23" t="inlineStr">
        <is>
          <t>UNSURE</t>
        </is>
      </c>
      <c r="G1524" s="23" t="inlineStr">
        <is>
          <t>RETAINED</t>
        </is>
      </c>
      <c r="H1524" s="23" t="inlineStr">
        <is>
          <t>Carried forward</t>
        </is>
      </c>
      <c r="I1524" s="23" t="inlineStr">
        <is>
          <t>Earlier professional decision, carried forward</t>
        </is>
      </c>
      <c r="J1524" s="23" t="inlineStr">
        <is>
          <t>Maya Chen, Owner Project Controls</t>
        </is>
      </c>
      <c r="K1524" s="23" t="inlineStr">
        <is>
          <t>Professional</t>
        </is>
      </c>
      <c r="L1524" s="23" t="inlineStr"/>
      <c r="M1524" s="23" t="inlineStr">
        <is>
          <t>Contractor Programme Cycle 2</t>
        </is>
      </c>
      <c r="N1524" s="23" t="inlineStr">
        <is>
          <t>Rev 1</t>
        </is>
      </c>
      <c r="O1524" s="23" t="inlineStr">
        <is>
          <t>R1061-v3</t>
        </is>
      </c>
      <c r="P1524" s="23" t="inlineStr"/>
      <c r="Q1524" s="23" t="inlineStr"/>
      <c r="R1524" s="23" t="inlineStr"/>
      <c r="S1524" s="23" t="inlineStr"/>
      <c r="T1524" s="23" t="inlineStr">
        <is>
          <t>Group decision (182 records sharing one decision state), carried forward</t>
        </is>
      </c>
      <c r="U1524" s="23" t="inlineStr"/>
      <c r="V1524" s="23" t="inlineStr"/>
      <c r="W1524" s="23" t="inlineStr"/>
    </row>
    <row r="1525" ht="94" customHeight="1">
      <c r="A1525" s="23" t="inlineStr">
        <is>
          <t>UNSURE</t>
        </is>
      </c>
      <c r="B1525" s="23" t="inlineStr"/>
      <c r="C1525" s="23" t="inlineStr">
        <is>
          <t>Contractor Programme</t>
        </is>
      </c>
      <c r="D1525" s="23" t="inlineStr">
        <is>
          <t>SCH-06-162</t>
        </is>
      </c>
      <c r="E1525" s="23" t="inlineStr">
        <is>
          <t>Fleet package: design-package integration review - inspection</t>
        </is>
      </c>
      <c r="F1525" s="23" t="inlineStr">
        <is>
          <t>UNSURE</t>
        </is>
      </c>
      <c r="G1525" s="23" t="inlineStr">
        <is>
          <t>RETAINED</t>
        </is>
      </c>
      <c r="H1525" s="23" t="inlineStr">
        <is>
          <t>Carried forward</t>
        </is>
      </c>
      <c r="I1525" s="23" t="inlineStr">
        <is>
          <t>Earlier professional decision, carried forward</t>
        </is>
      </c>
      <c r="J1525" s="23" t="inlineStr">
        <is>
          <t>Maya Chen, Owner Project Controls</t>
        </is>
      </c>
      <c r="K1525" s="23" t="inlineStr">
        <is>
          <t>Professional</t>
        </is>
      </c>
      <c r="L1525" s="23" t="inlineStr"/>
      <c r="M1525" s="23" t="inlineStr">
        <is>
          <t>Contractor Programme Cycle 2</t>
        </is>
      </c>
      <c r="N1525" s="23" t="inlineStr">
        <is>
          <t>Rev 1</t>
        </is>
      </c>
      <c r="O1525" s="23" t="inlineStr">
        <is>
          <t>R1062-v3</t>
        </is>
      </c>
      <c r="P1525" s="23" t="inlineStr"/>
      <c r="Q1525" s="23" t="inlineStr"/>
      <c r="R1525" s="23" t="inlineStr"/>
      <c r="S1525" s="23" t="inlineStr"/>
      <c r="T1525" s="23" t="inlineStr">
        <is>
          <t>Group decision (182 records sharing one decision state), carried forward</t>
        </is>
      </c>
      <c r="U1525" s="23" t="inlineStr"/>
      <c r="V1525" s="23" t="inlineStr"/>
      <c r="W1525" s="23" t="inlineStr"/>
    </row>
    <row r="1526" ht="94" customHeight="1">
      <c r="A1526" s="23" t="inlineStr">
        <is>
          <t>UNSURE</t>
        </is>
      </c>
      <c r="B1526" s="23" t="inlineStr"/>
      <c r="C1526" s="23" t="inlineStr">
        <is>
          <t>Contractor Programme</t>
        </is>
      </c>
      <c r="D1526" s="23" t="inlineStr">
        <is>
          <t>SCH-06-163</t>
        </is>
      </c>
      <c r="E1526" s="23" t="inlineStr">
        <is>
          <t>Program office: executive reporting close - turnover</t>
        </is>
      </c>
      <c r="F1526" s="23" t="inlineStr">
        <is>
          <t>UNSURE</t>
        </is>
      </c>
      <c r="G1526" s="23" t="inlineStr">
        <is>
          <t>RETAINED</t>
        </is>
      </c>
      <c r="H1526" s="23" t="inlineStr">
        <is>
          <t>Carried forward</t>
        </is>
      </c>
      <c r="I1526" s="23" t="inlineStr">
        <is>
          <t>Earlier professional decision, carried forward</t>
        </is>
      </c>
      <c r="J1526" s="23" t="inlineStr">
        <is>
          <t>Maya Chen, Owner Project Controls</t>
        </is>
      </c>
      <c r="K1526" s="23" t="inlineStr">
        <is>
          <t>Professional</t>
        </is>
      </c>
      <c r="L1526" s="23" t="inlineStr"/>
      <c r="M1526" s="23" t="inlineStr">
        <is>
          <t>Contractor Programme Cycle 2</t>
        </is>
      </c>
      <c r="N1526" s="23" t="inlineStr">
        <is>
          <t>Rev 1</t>
        </is>
      </c>
      <c r="O1526" s="23" t="inlineStr">
        <is>
          <t>R1063-v3</t>
        </is>
      </c>
      <c r="P1526" s="23" t="inlineStr"/>
      <c r="Q1526" s="23" t="inlineStr"/>
      <c r="R1526" s="23" t="inlineStr"/>
      <c r="S1526" s="23" t="inlineStr"/>
      <c r="T1526" s="23" t="inlineStr">
        <is>
          <t>Group decision (182 records sharing one decision state), carried forward</t>
        </is>
      </c>
      <c r="U1526" s="23" t="inlineStr"/>
      <c r="V1526" s="23" t="inlineStr"/>
      <c r="W1526" s="23" t="inlineStr"/>
    </row>
    <row r="1527" ht="94" customHeight="1">
      <c r="A1527" s="23" t="inlineStr">
        <is>
          <t>UNSURE</t>
        </is>
      </c>
      <c r="B1527" s="23" t="inlineStr"/>
      <c r="C1527" s="23" t="inlineStr">
        <is>
          <t>Contractor Programme</t>
        </is>
      </c>
      <c r="D1527" s="23" t="inlineStr">
        <is>
          <t>SCH-06-164</t>
        </is>
      </c>
      <c r="E1527" s="23" t="inlineStr">
        <is>
          <t>Civil package: permit coordination - release</t>
        </is>
      </c>
      <c r="F1527" s="23" t="inlineStr">
        <is>
          <t>UNSURE</t>
        </is>
      </c>
      <c r="G1527" s="23" t="inlineStr">
        <is>
          <t>RETAINED</t>
        </is>
      </c>
      <c r="H1527" s="23" t="inlineStr">
        <is>
          <t>Carried forward</t>
        </is>
      </c>
      <c r="I1527" s="23" t="inlineStr">
        <is>
          <t>Earlier professional decision, carried forward</t>
        </is>
      </c>
      <c r="J1527" s="23" t="inlineStr">
        <is>
          <t>Maya Chen, Owner Project Controls</t>
        </is>
      </c>
      <c r="K1527" s="23" t="inlineStr">
        <is>
          <t>Professional</t>
        </is>
      </c>
      <c r="L1527" s="23" t="inlineStr"/>
      <c r="M1527" s="23" t="inlineStr">
        <is>
          <t>Contractor Programme Cycle 2</t>
        </is>
      </c>
      <c r="N1527" s="23" t="inlineStr">
        <is>
          <t>Rev 1</t>
        </is>
      </c>
      <c r="O1527" s="23" t="inlineStr">
        <is>
          <t>R1064-v3</t>
        </is>
      </c>
      <c r="P1527" s="23" t="inlineStr"/>
      <c r="Q1527" s="23" t="inlineStr"/>
      <c r="R1527" s="23" t="inlineStr"/>
      <c r="S1527" s="23" t="inlineStr"/>
      <c r="T1527" s="23" t="inlineStr">
        <is>
          <t>Group decision (182 records sharing one decision state), carried forward</t>
        </is>
      </c>
      <c r="U1527" s="23" t="inlineStr"/>
      <c r="V1527" s="23" t="inlineStr"/>
      <c r="W1527" s="23" t="inlineStr"/>
    </row>
    <row r="1528" ht="94" customHeight="1">
      <c r="A1528" s="23" t="inlineStr">
        <is>
          <t>UNSURE</t>
        </is>
      </c>
      <c r="B1528" s="23" t="inlineStr"/>
      <c r="C1528" s="23" t="inlineStr">
        <is>
          <t>Contractor Programme</t>
        </is>
      </c>
      <c r="D1528" s="23" t="inlineStr">
        <is>
          <t>SCH-06-165</t>
        </is>
      </c>
      <c r="E1528" s="23" t="inlineStr">
        <is>
          <t>Stations package: delivery risk workshop - field start</t>
        </is>
      </c>
      <c r="F1528" s="23" t="inlineStr">
        <is>
          <t>UNSURE</t>
        </is>
      </c>
      <c r="G1528" s="23" t="inlineStr">
        <is>
          <t>RETAINED</t>
        </is>
      </c>
      <c r="H1528" s="23" t="inlineStr">
        <is>
          <t>Carried forward</t>
        </is>
      </c>
      <c r="I1528" s="23" t="inlineStr">
        <is>
          <t>Earlier professional decision, carried forward</t>
        </is>
      </c>
      <c r="J1528" s="23" t="inlineStr">
        <is>
          <t>Maya Chen, Owner Project Controls</t>
        </is>
      </c>
      <c r="K1528" s="23" t="inlineStr">
        <is>
          <t>Professional</t>
        </is>
      </c>
      <c r="L1528" s="23" t="inlineStr"/>
      <c r="M1528" s="23" t="inlineStr">
        <is>
          <t>Contractor Programme Cycle 2</t>
        </is>
      </c>
      <c r="N1528" s="23" t="inlineStr">
        <is>
          <t>Rev 1</t>
        </is>
      </c>
      <c r="O1528" s="23" t="inlineStr">
        <is>
          <t>R1065-v3</t>
        </is>
      </c>
      <c r="P1528" s="23" t="inlineStr"/>
      <c r="Q1528" s="23" t="inlineStr"/>
      <c r="R1528" s="23" t="inlineStr"/>
      <c r="S1528" s="23" t="inlineStr"/>
      <c r="T1528" s="23" t="inlineStr">
        <is>
          <t>Group decision (182 records sharing one decision state), carried forward</t>
        </is>
      </c>
      <c r="U1528" s="23" t="inlineStr"/>
      <c r="V1528" s="23" t="inlineStr"/>
      <c r="W1528" s="23" t="inlineStr"/>
    </row>
    <row r="1529" ht="94" customHeight="1">
      <c r="A1529" s="23" t="inlineStr">
        <is>
          <t>UNSURE</t>
        </is>
      </c>
      <c r="B1529" s="23" t="inlineStr"/>
      <c r="C1529" s="23" t="inlineStr">
        <is>
          <t>Contractor Programme</t>
        </is>
      </c>
      <c r="D1529" s="23" t="inlineStr">
        <is>
          <t>SCH-06-166</t>
        </is>
      </c>
      <c r="E1529" s="23" t="inlineStr">
        <is>
          <t>Systems package: monthly controls cut-off - installation</t>
        </is>
      </c>
      <c r="F1529" s="23" t="inlineStr">
        <is>
          <t>UNSURE</t>
        </is>
      </c>
      <c r="G1529" s="23" t="inlineStr">
        <is>
          <t>RETAINED</t>
        </is>
      </c>
      <c r="H1529" s="23" t="inlineStr">
        <is>
          <t>Carried forward</t>
        </is>
      </c>
      <c r="I1529" s="23" t="inlineStr">
        <is>
          <t>Earlier professional decision, carried forward</t>
        </is>
      </c>
      <c r="J1529" s="23" t="inlineStr">
        <is>
          <t>Maya Chen, Owner Project Controls</t>
        </is>
      </c>
      <c r="K1529" s="23" t="inlineStr">
        <is>
          <t>Professional</t>
        </is>
      </c>
      <c r="L1529" s="23" t="inlineStr"/>
      <c r="M1529" s="23" t="inlineStr">
        <is>
          <t>Contractor Programme Cycle 2</t>
        </is>
      </c>
      <c r="N1529" s="23" t="inlineStr">
        <is>
          <t>Rev 1</t>
        </is>
      </c>
      <c r="O1529" s="23" t="inlineStr">
        <is>
          <t>R1066-v3</t>
        </is>
      </c>
      <c r="P1529" s="23" t="inlineStr"/>
      <c r="Q1529" s="23" t="inlineStr"/>
      <c r="R1529" s="23" t="inlineStr"/>
      <c r="S1529" s="23" t="inlineStr"/>
      <c r="T1529" s="23" t="inlineStr">
        <is>
          <t>Group decision (182 records sharing one decision state), carried forward</t>
        </is>
      </c>
      <c r="U1529" s="23" t="inlineStr"/>
      <c r="V1529" s="23" t="inlineStr"/>
      <c r="W1529" s="23" t="inlineStr"/>
    </row>
    <row r="1530" ht="94" customHeight="1">
      <c r="A1530" s="23" t="inlineStr">
        <is>
          <t>UNSURE</t>
        </is>
      </c>
      <c r="B1530" s="23" t="inlineStr"/>
      <c r="C1530" s="23" t="inlineStr">
        <is>
          <t>Contractor Programme</t>
        </is>
      </c>
      <c r="D1530" s="23" t="inlineStr">
        <is>
          <t>SCH-06-167</t>
        </is>
      </c>
      <c r="E1530" s="23" t="inlineStr">
        <is>
          <t>Fleet package: stakeholder interface meeting - inspection</t>
        </is>
      </c>
      <c r="F1530" s="23" t="inlineStr">
        <is>
          <t>UNSURE</t>
        </is>
      </c>
      <c r="G1530" s="23" t="inlineStr">
        <is>
          <t>RETAINED</t>
        </is>
      </c>
      <c r="H1530" s="23" t="inlineStr">
        <is>
          <t>Carried forward</t>
        </is>
      </c>
      <c r="I1530" s="23" t="inlineStr">
        <is>
          <t>Earlier professional decision, carried forward</t>
        </is>
      </c>
      <c r="J1530" s="23" t="inlineStr">
        <is>
          <t>Maya Chen, Owner Project Controls</t>
        </is>
      </c>
      <c r="K1530" s="23" t="inlineStr">
        <is>
          <t>Professional</t>
        </is>
      </c>
      <c r="L1530" s="23" t="inlineStr"/>
      <c r="M1530" s="23" t="inlineStr">
        <is>
          <t>Contractor Programme Cycle 2</t>
        </is>
      </c>
      <c r="N1530" s="23" t="inlineStr">
        <is>
          <t>Rev 1</t>
        </is>
      </c>
      <c r="O1530" s="23" t="inlineStr">
        <is>
          <t>R1067-v3</t>
        </is>
      </c>
      <c r="P1530" s="23" t="inlineStr"/>
      <c r="Q1530" s="23" t="inlineStr"/>
      <c r="R1530" s="23" t="inlineStr"/>
      <c r="S1530" s="23" t="inlineStr"/>
      <c r="T1530" s="23" t="inlineStr">
        <is>
          <t>Group decision (182 records sharing one decision state), carried forward</t>
        </is>
      </c>
      <c r="U1530" s="23" t="inlineStr"/>
      <c r="V1530" s="23" t="inlineStr"/>
      <c r="W1530" s="23" t="inlineStr"/>
    </row>
    <row r="1531" ht="94" customHeight="1">
      <c r="A1531" s="23" t="inlineStr">
        <is>
          <t>UNSURE</t>
        </is>
      </c>
      <c r="B1531" s="23" t="inlineStr"/>
      <c r="C1531" s="23" t="inlineStr">
        <is>
          <t>Contractor Programme</t>
        </is>
      </c>
      <c r="D1531" s="23" t="inlineStr">
        <is>
          <t>SCH-06-168</t>
        </is>
      </c>
      <c r="E1531" s="23" t="inlineStr">
        <is>
          <t>Program office: baseline change control - turnover</t>
        </is>
      </c>
      <c r="F1531" s="23" t="inlineStr">
        <is>
          <t>UNSURE</t>
        </is>
      </c>
      <c r="G1531" s="23" t="inlineStr">
        <is>
          <t>RETAINED</t>
        </is>
      </c>
      <c r="H1531" s="23" t="inlineStr">
        <is>
          <t>Carried forward</t>
        </is>
      </c>
      <c r="I1531" s="23" t="inlineStr">
        <is>
          <t>Earlier professional decision, carried forward</t>
        </is>
      </c>
      <c r="J1531" s="23" t="inlineStr">
        <is>
          <t>Maya Chen, Owner Project Controls</t>
        </is>
      </c>
      <c r="K1531" s="23" t="inlineStr">
        <is>
          <t>Professional</t>
        </is>
      </c>
      <c r="L1531" s="23" t="inlineStr"/>
      <c r="M1531" s="23" t="inlineStr">
        <is>
          <t>Contractor Programme Cycle 2</t>
        </is>
      </c>
      <c r="N1531" s="23" t="inlineStr">
        <is>
          <t>Rev 1</t>
        </is>
      </c>
      <c r="O1531" s="23" t="inlineStr">
        <is>
          <t>R1068-v3</t>
        </is>
      </c>
      <c r="P1531" s="23" t="inlineStr"/>
      <c r="Q1531" s="23" t="inlineStr"/>
      <c r="R1531" s="23" t="inlineStr"/>
      <c r="S1531" s="23" t="inlineStr"/>
      <c r="T1531" s="23" t="inlineStr">
        <is>
          <t>Group decision (182 records sharing one decision state), carried forward</t>
        </is>
      </c>
      <c r="U1531" s="23" t="inlineStr"/>
      <c r="V1531" s="23" t="inlineStr"/>
      <c r="W1531" s="23" t="inlineStr"/>
    </row>
    <row r="1532" ht="94" customHeight="1">
      <c r="A1532" s="23" t="inlineStr">
        <is>
          <t>UNSURE</t>
        </is>
      </c>
      <c r="B1532" s="23" t="inlineStr"/>
      <c r="C1532" s="23" t="inlineStr">
        <is>
          <t>Contractor Programme</t>
        </is>
      </c>
      <c r="D1532" s="23" t="inlineStr">
        <is>
          <t>SCH-06-169</t>
        </is>
      </c>
      <c r="E1532" s="23" t="inlineStr">
        <is>
          <t>Civil package: commercial change review - release</t>
        </is>
      </c>
      <c r="F1532" s="23" t="inlineStr">
        <is>
          <t>UNSURE</t>
        </is>
      </c>
      <c r="G1532" s="23" t="inlineStr">
        <is>
          <t>RETAINED</t>
        </is>
      </c>
      <c r="H1532" s="23" t="inlineStr">
        <is>
          <t>Carried forward</t>
        </is>
      </c>
      <c r="I1532" s="23" t="inlineStr">
        <is>
          <t>Earlier professional decision, carried forward</t>
        </is>
      </c>
      <c r="J1532" s="23" t="inlineStr">
        <is>
          <t>Maya Chen, Owner Project Controls</t>
        </is>
      </c>
      <c r="K1532" s="23" t="inlineStr">
        <is>
          <t>Professional</t>
        </is>
      </c>
      <c r="L1532" s="23" t="inlineStr"/>
      <c r="M1532" s="23" t="inlineStr">
        <is>
          <t>Contractor Programme Cycle 2</t>
        </is>
      </c>
      <c r="N1532" s="23" t="inlineStr">
        <is>
          <t>Rev 1</t>
        </is>
      </c>
      <c r="O1532" s="23" t="inlineStr">
        <is>
          <t>R1069-v3</t>
        </is>
      </c>
      <c r="P1532" s="23" t="inlineStr"/>
      <c r="Q1532" s="23" t="inlineStr"/>
      <c r="R1532" s="23" t="inlineStr"/>
      <c r="S1532" s="23" t="inlineStr"/>
      <c r="T1532" s="23" t="inlineStr">
        <is>
          <t>Group decision (182 records sharing one decision state), carried forward</t>
        </is>
      </c>
      <c r="U1532" s="23" t="inlineStr"/>
      <c r="V1532" s="23" t="inlineStr"/>
      <c r="W1532" s="23" t="inlineStr"/>
    </row>
    <row r="1533" ht="94" customHeight="1">
      <c r="A1533" s="23" t="inlineStr">
        <is>
          <t>UNSURE</t>
        </is>
      </c>
      <c r="B1533" s="23" t="inlineStr"/>
      <c r="C1533" s="23" t="inlineStr">
        <is>
          <t>Contractor Programme</t>
        </is>
      </c>
      <c r="D1533" s="23" t="inlineStr">
        <is>
          <t>SCH-06-170</t>
        </is>
      </c>
      <c r="E1533" s="23" t="inlineStr">
        <is>
          <t>Stations package: design-package integration review - field start</t>
        </is>
      </c>
      <c r="F1533" s="23" t="inlineStr">
        <is>
          <t>UNSURE</t>
        </is>
      </c>
      <c r="G1533" s="23" t="inlineStr">
        <is>
          <t>RETAINED</t>
        </is>
      </c>
      <c r="H1533" s="23" t="inlineStr">
        <is>
          <t>Carried forward</t>
        </is>
      </c>
      <c r="I1533" s="23" t="inlineStr">
        <is>
          <t>Earlier professional decision, carried forward</t>
        </is>
      </c>
      <c r="J1533" s="23" t="inlineStr">
        <is>
          <t>Maya Chen, Owner Project Controls</t>
        </is>
      </c>
      <c r="K1533" s="23" t="inlineStr">
        <is>
          <t>Professional</t>
        </is>
      </c>
      <c r="L1533" s="23" t="inlineStr"/>
      <c r="M1533" s="23" t="inlineStr">
        <is>
          <t>Contractor Programme Cycle 2</t>
        </is>
      </c>
      <c r="N1533" s="23" t="inlineStr">
        <is>
          <t>Rev 1</t>
        </is>
      </c>
      <c r="O1533" s="23" t="inlineStr">
        <is>
          <t>R1070-v3</t>
        </is>
      </c>
      <c r="P1533" s="23" t="inlineStr"/>
      <c r="Q1533" s="23" t="inlineStr"/>
      <c r="R1533" s="23" t="inlineStr"/>
      <c r="S1533" s="23" t="inlineStr"/>
      <c r="T1533" s="23" t="inlineStr">
        <is>
          <t>Group decision (182 records sharing one decision state), carried forward</t>
        </is>
      </c>
      <c r="U1533" s="23" t="inlineStr"/>
      <c r="V1533" s="23" t="inlineStr"/>
      <c r="W1533" s="23" t="inlineStr"/>
    </row>
    <row r="1534" ht="94" customHeight="1">
      <c r="A1534" s="23" t="inlineStr">
        <is>
          <t>UNSURE</t>
        </is>
      </c>
      <c r="B1534" s="23" t="inlineStr"/>
      <c r="C1534" s="23" t="inlineStr">
        <is>
          <t>Contractor Programme</t>
        </is>
      </c>
      <c r="D1534" s="23" t="inlineStr">
        <is>
          <t>SCH-06-171</t>
        </is>
      </c>
      <c r="E1534" s="23" t="inlineStr">
        <is>
          <t>Systems package: executive reporting close - installation</t>
        </is>
      </c>
      <c r="F1534" s="23" t="inlineStr">
        <is>
          <t>UNSURE</t>
        </is>
      </c>
      <c r="G1534" s="23" t="inlineStr">
        <is>
          <t>RETAINED</t>
        </is>
      </c>
      <c r="H1534" s="23" t="inlineStr">
        <is>
          <t>Carried forward</t>
        </is>
      </c>
      <c r="I1534" s="23" t="inlineStr">
        <is>
          <t>Earlier professional decision, carried forward</t>
        </is>
      </c>
      <c r="J1534" s="23" t="inlineStr">
        <is>
          <t>Maya Chen, Owner Project Controls</t>
        </is>
      </c>
      <c r="K1534" s="23" t="inlineStr">
        <is>
          <t>Professional</t>
        </is>
      </c>
      <c r="L1534" s="23" t="inlineStr"/>
      <c r="M1534" s="23" t="inlineStr">
        <is>
          <t>Contractor Programme Cycle 2</t>
        </is>
      </c>
      <c r="N1534" s="23" t="inlineStr">
        <is>
          <t>Rev 1</t>
        </is>
      </c>
      <c r="O1534" s="23" t="inlineStr">
        <is>
          <t>R1071-v3</t>
        </is>
      </c>
      <c r="P1534" s="23" t="inlineStr"/>
      <c r="Q1534" s="23" t="inlineStr"/>
      <c r="R1534" s="23" t="inlineStr"/>
      <c r="S1534" s="23" t="inlineStr"/>
      <c r="T1534" s="23" t="inlineStr">
        <is>
          <t>Group decision (182 records sharing one decision state), carried forward</t>
        </is>
      </c>
      <c r="U1534" s="23" t="inlineStr"/>
      <c r="V1534" s="23" t="inlineStr"/>
      <c r="W1534" s="23" t="inlineStr"/>
    </row>
    <row r="1535" ht="94" customHeight="1">
      <c r="A1535" s="23" t="inlineStr">
        <is>
          <t>UNSURE</t>
        </is>
      </c>
      <c r="B1535" s="23" t="inlineStr"/>
      <c r="C1535" s="23" t="inlineStr">
        <is>
          <t>Contractor Programme</t>
        </is>
      </c>
      <c r="D1535" s="23" t="inlineStr">
        <is>
          <t>SCH-06-172</t>
        </is>
      </c>
      <c r="E1535" s="23" t="inlineStr">
        <is>
          <t>Fleet package: permit coordination - inspection</t>
        </is>
      </c>
      <c r="F1535" s="23" t="inlineStr">
        <is>
          <t>UNSURE</t>
        </is>
      </c>
      <c r="G1535" s="23" t="inlineStr">
        <is>
          <t>RETAINED</t>
        </is>
      </c>
      <c r="H1535" s="23" t="inlineStr">
        <is>
          <t>Carried forward</t>
        </is>
      </c>
      <c r="I1535" s="23" t="inlineStr">
        <is>
          <t>Earlier professional decision, carried forward</t>
        </is>
      </c>
      <c r="J1535" s="23" t="inlineStr">
        <is>
          <t>Maya Chen, Owner Project Controls</t>
        </is>
      </c>
      <c r="K1535" s="23" t="inlineStr">
        <is>
          <t>Professional</t>
        </is>
      </c>
      <c r="L1535" s="23" t="inlineStr"/>
      <c r="M1535" s="23" t="inlineStr">
        <is>
          <t>Contractor Programme Cycle 2</t>
        </is>
      </c>
      <c r="N1535" s="23" t="inlineStr">
        <is>
          <t>Rev 1</t>
        </is>
      </c>
      <c r="O1535" s="23" t="inlineStr">
        <is>
          <t>R1072-v3</t>
        </is>
      </c>
      <c r="P1535" s="23" t="inlineStr"/>
      <c r="Q1535" s="23" t="inlineStr"/>
      <c r="R1535" s="23" t="inlineStr"/>
      <c r="S1535" s="23" t="inlineStr"/>
      <c r="T1535" s="23" t="inlineStr">
        <is>
          <t>Group decision (182 records sharing one decision state), carried forward</t>
        </is>
      </c>
      <c r="U1535" s="23" t="inlineStr"/>
      <c r="V1535" s="23" t="inlineStr"/>
      <c r="W1535" s="23" t="inlineStr"/>
    </row>
    <row r="1536" ht="94" customHeight="1">
      <c r="A1536" s="23" t="inlineStr">
        <is>
          <t>UNSURE</t>
        </is>
      </c>
      <c r="B1536" s="23" t="inlineStr"/>
      <c r="C1536" s="23" t="inlineStr">
        <is>
          <t>Contractor Programme</t>
        </is>
      </c>
      <c r="D1536" s="23" t="inlineStr">
        <is>
          <t>SCH-06-173</t>
        </is>
      </c>
      <c r="E1536" s="23" t="inlineStr">
        <is>
          <t>Program office: delivery risk workshop - turnover</t>
        </is>
      </c>
      <c r="F1536" s="23" t="inlineStr">
        <is>
          <t>UNSURE</t>
        </is>
      </c>
      <c r="G1536" s="23" t="inlineStr">
        <is>
          <t>RETAINED</t>
        </is>
      </c>
      <c r="H1536" s="23" t="inlineStr">
        <is>
          <t>Carried forward</t>
        </is>
      </c>
      <c r="I1536" s="23" t="inlineStr">
        <is>
          <t>Earlier professional decision, carried forward</t>
        </is>
      </c>
      <c r="J1536" s="23" t="inlineStr">
        <is>
          <t>Maya Chen, Owner Project Controls</t>
        </is>
      </c>
      <c r="K1536" s="23" t="inlineStr">
        <is>
          <t>Professional</t>
        </is>
      </c>
      <c r="L1536" s="23" t="inlineStr"/>
      <c r="M1536" s="23" t="inlineStr">
        <is>
          <t>Contractor Programme Cycle 2</t>
        </is>
      </c>
      <c r="N1536" s="23" t="inlineStr">
        <is>
          <t>Rev 1</t>
        </is>
      </c>
      <c r="O1536" s="23" t="inlineStr">
        <is>
          <t>R1073-v3</t>
        </is>
      </c>
      <c r="P1536" s="23" t="inlineStr"/>
      <c r="Q1536" s="23" t="inlineStr"/>
      <c r="R1536" s="23" t="inlineStr"/>
      <c r="S1536" s="23" t="inlineStr"/>
      <c r="T1536" s="23" t="inlineStr">
        <is>
          <t>Group decision (182 records sharing one decision state), carried forward</t>
        </is>
      </c>
      <c r="U1536" s="23" t="inlineStr"/>
      <c r="V1536" s="23" t="inlineStr"/>
      <c r="W1536" s="23" t="inlineStr"/>
    </row>
    <row r="1537" ht="94" customHeight="1">
      <c r="A1537" s="23" t="inlineStr">
        <is>
          <t>UNSURE</t>
        </is>
      </c>
      <c r="B1537" s="23" t="inlineStr"/>
      <c r="C1537" s="23" t="inlineStr">
        <is>
          <t>Contractor Programme</t>
        </is>
      </c>
      <c r="D1537" s="23" t="inlineStr">
        <is>
          <t>SCH-06-174</t>
        </is>
      </c>
      <c r="E1537" s="23" t="inlineStr">
        <is>
          <t>Civil package: monthly controls cut-off - release</t>
        </is>
      </c>
      <c r="F1537" s="23" t="inlineStr">
        <is>
          <t>UNSURE</t>
        </is>
      </c>
      <c r="G1537" s="23" t="inlineStr">
        <is>
          <t>RETAINED</t>
        </is>
      </c>
      <c r="H1537" s="23" t="inlineStr">
        <is>
          <t>Carried forward</t>
        </is>
      </c>
      <c r="I1537" s="23" t="inlineStr">
        <is>
          <t>Earlier professional decision, carried forward</t>
        </is>
      </c>
      <c r="J1537" s="23" t="inlineStr">
        <is>
          <t>Maya Chen, Owner Project Controls</t>
        </is>
      </c>
      <c r="K1537" s="23" t="inlineStr">
        <is>
          <t>Professional</t>
        </is>
      </c>
      <c r="L1537" s="23" t="inlineStr"/>
      <c r="M1537" s="23" t="inlineStr">
        <is>
          <t>Contractor Programme Cycle 2</t>
        </is>
      </c>
      <c r="N1537" s="23" t="inlineStr">
        <is>
          <t>Rev 1</t>
        </is>
      </c>
      <c r="O1537" s="23" t="inlineStr">
        <is>
          <t>R1074-v3</t>
        </is>
      </c>
      <c r="P1537" s="23" t="inlineStr"/>
      <c r="Q1537" s="23" t="inlineStr"/>
      <c r="R1537" s="23" t="inlineStr"/>
      <c r="S1537" s="23" t="inlineStr"/>
      <c r="T1537" s="23" t="inlineStr">
        <is>
          <t>Group decision (182 records sharing one decision state), carried forward</t>
        </is>
      </c>
      <c r="U1537" s="23" t="inlineStr"/>
      <c r="V1537" s="23" t="inlineStr"/>
      <c r="W1537" s="23" t="inlineStr"/>
    </row>
    <row r="1538" ht="94" customHeight="1">
      <c r="A1538" s="23" t="inlineStr">
        <is>
          <t>UNSURE</t>
        </is>
      </c>
      <c r="B1538" s="23" t="inlineStr"/>
      <c r="C1538" s="23" t="inlineStr">
        <is>
          <t>Contractor Programme</t>
        </is>
      </c>
      <c r="D1538" s="23" t="inlineStr">
        <is>
          <t>SCH-06-175</t>
        </is>
      </c>
      <c r="E1538" s="23" t="inlineStr">
        <is>
          <t>Stations package: stakeholder interface meeting - field start</t>
        </is>
      </c>
      <c r="F1538" s="23" t="inlineStr">
        <is>
          <t>UNSURE</t>
        </is>
      </c>
      <c r="G1538" s="23" t="inlineStr">
        <is>
          <t>RETAINED</t>
        </is>
      </c>
      <c r="H1538" s="23" t="inlineStr">
        <is>
          <t>Carried forward</t>
        </is>
      </c>
      <c r="I1538" s="23" t="inlineStr">
        <is>
          <t>Earlier professional decision, carried forward</t>
        </is>
      </c>
      <c r="J1538" s="23" t="inlineStr">
        <is>
          <t>Maya Chen, Owner Project Controls</t>
        </is>
      </c>
      <c r="K1538" s="23" t="inlineStr">
        <is>
          <t>Professional</t>
        </is>
      </c>
      <c r="L1538" s="23" t="inlineStr"/>
      <c r="M1538" s="23" t="inlineStr">
        <is>
          <t>Contractor Programme Cycle 2</t>
        </is>
      </c>
      <c r="N1538" s="23" t="inlineStr">
        <is>
          <t>Rev 1</t>
        </is>
      </c>
      <c r="O1538" s="23" t="inlineStr">
        <is>
          <t>R1075-v3</t>
        </is>
      </c>
      <c r="P1538" s="23" t="inlineStr"/>
      <c r="Q1538" s="23" t="inlineStr"/>
      <c r="R1538" s="23" t="inlineStr"/>
      <c r="S1538" s="23" t="inlineStr"/>
      <c r="T1538" s="23" t="inlineStr">
        <is>
          <t>Group decision (182 records sharing one decision state), carried forward</t>
        </is>
      </c>
      <c r="U1538" s="23" t="inlineStr"/>
      <c r="V1538" s="23" t="inlineStr"/>
      <c r="W1538" s="23" t="inlineStr"/>
    </row>
    <row r="1539" ht="94" customHeight="1">
      <c r="A1539" s="23" t="inlineStr">
        <is>
          <t>UNSURE</t>
        </is>
      </c>
      <c r="B1539" s="23" t="inlineStr"/>
      <c r="C1539" s="23" t="inlineStr">
        <is>
          <t>Contractor Programme</t>
        </is>
      </c>
      <c r="D1539" s="23" t="inlineStr">
        <is>
          <t>SCH-06-176</t>
        </is>
      </c>
      <c r="E1539" s="23" t="inlineStr">
        <is>
          <t>Systems package: baseline change control - installation</t>
        </is>
      </c>
      <c r="F1539" s="23" t="inlineStr">
        <is>
          <t>UNSURE</t>
        </is>
      </c>
      <c r="G1539" s="23" t="inlineStr">
        <is>
          <t>RETAINED</t>
        </is>
      </c>
      <c r="H1539" s="23" t="inlineStr">
        <is>
          <t>Carried forward</t>
        </is>
      </c>
      <c r="I1539" s="23" t="inlineStr">
        <is>
          <t>Earlier professional decision, carried forward</t>
        </is>
      </c>
      <c r="J1539" s="23" t="inlineStr">
        <is>
          <t>Maya Chen, Owner Project Controls</t>
        </is>
      </c>
      <c r="K1539" s="23" t="inlineStr">
        <is>
          <t>Professional</t>
        </is>
      </c>
      <c r="L1539" s="23" t="inlineStr"/>
      <c r="M1539" s="23" t="inlineStr">
        <is>
          <t>Contractor Programme Cycle 2</t>
        </is>
      </c>
      <c r="N1539" s="23" t="inlineStr">
        <is>
          <t>Rev 1</t>
        </is>
      </c>
      <c r="O1539" s="23" t="inlineStr">
        <is>
          <t>R1076-v3</t>
        </is>
      </c>
      <c r="P1539" s="23" t="inlineStr"/>
      <c r="Q1539" s="23" t="inlineStr"/>
      <c r="R1539" s="23" t="inlineStr"/>
      <c r="S1539" s="23" t="inlineStr"/>
      <c r="T1539" s="23" t="inlineStr">
        <is>
          <t>Group decision (182 records sharing one decision state), carried forward</t>
        </is>
      </c>
      <c r="U1539" s="23" t="inlineStr"/>
      <c r="V1539" s="23" t="inlineStr"/>
      <c r="W1539" s="23" t="inlineStr"/>
    </row>
    <row r="1540" ht="94" customHeight="1">
      <c r="A1540" s="23" t="inlineStr">
        <is>
          <t>UNSURE</t>
        </is>
      </c>
      <c r="B1540" s="23" t="inlineStr"/>
      <c r="C1540" s="23" t="inlineStr">
        <is>
          <t>Contractor Programme</t>
        </is>
      </c>
      <c r="D1540" s="23" t="inlineStr">
        <is>
          <t>SCH-06-177</t>
        </is>
      </c>
      <c r="E1540" s="23" t="inlineStr">
        <is>
          <t>Fleet package: commercial change review - inspection</t>
        </is>
      </c>
      <c r="F1540" s="23" t="inlineStr">
        <is>
          <t>UNSURE</t>
        </is>
      </c>
      <c r="G1540" s="23" t="inlineStr">
        <is>
          <t>RETAINED</t>
        </is>
      </c>
      <c r="H1540" s="23" t="inlineStr">
        <is>
          <t>Carried forward</t>
        </is>
      </c>
      <c r="I1540" s="23" t="inlineStr">
        <is>
          <t>Earlier professional decision, carried forward</t>
        </is>
      </c>
      <c r="J1540" s="23" t="inlineStr">
        <is>
          <t>Maya Chen, Owner Project Controls</t>
        </is>
      </c>
      <c r="K1540" s="23" t="inlineStr">
        <is>
          <t>Professional</t>
        </is>
      </c>
      <c r="L1540" s="23" t="inlineStr"/>
      <c r="M1540" s="23" t="inlineStr">
        <is>
          <t>Contractor Programme Cycle 2</t>
        </is>
      </c>
      <c r="N1540" s="23" t="inlineStr">
        <is>
          <t>Rev 1</t>
        </is>
      </c>
      <c r="O1540" s="23" t="inlineStr">
        <is>
          <t>R1077-v3</t>
        </is>
      </c>
      <c r="P1540" s="23" t="inlineStr"/>
      <c r="Q1540" s="23" t="inlineStr"/>
      <c r="R1540" s="23" t="inlineStr"/>
      <c r="S1540" s="23" t="inlineStr"/>
      <c r="T1540" s="23" t="inlineStr">
        <is>
          <t>Group decision (182 records sharing one decision state), carried forward</t>
        </is>
      </c>
      <c r="U1540" s="23" t="inlineStr"/>
      <c r="V1540" s="23" t="inlineStr"/>
      <c r="W1540" s="23" t="inlineStr"/>
    </row>
    <row r="1541" ht="94" customHeight="1">
      <c r="A1541" s="23" t="inlineStr">
        <is>
          <t>UNSURE</t>
        </is>
      </c>
      <c r="B1541" s="23" t="inlineStr"/>
      <c r="C1541" s="23" t="inlineStr">
        <is>
          <t>Contractor Programme</t>
        </is>
      </c>
      <c r="D1541" s="23" t="inlineStr">
        <is>
          <t>SCH-06-178</t>
        </is>
      </c>
      <c r="E1541" s="23" t="inlineStr">
        <is>
          <t>Program office: design-package integration review - turnover</t>
        </is>
      </c>
      <c r="F1541" s="23" t="inlineStr">
        <is>
          <t>UNSURE</t>
        </is>
      </c>
      <c r="G1541" s="23" t="inlineStr">
        <is>
          <t>RETAINED</t>
        </is>
      </c>
      <c r="H1541" s="23" t="inlineStr">
        <is>
          <t>Carried forward</t>
        </is>
      </c>
      <c r="I1541" s="23" t="inlineStr">
        <is>
          <t>Earlier professional decision, carried forward</t>
        </is>
      </c>
      <c r="J1541" s="23" t="inlineStr">
        <is>
          <t>Maya Chen, Owner Project Controls</t>
        </is>
      </c>
      <c r="K1541" s="23" t="inlineStr">
        <is>
          <t>Professional</t>
        </is>
      </c>
      <c r="L1541" s="23" t="inlineStr"/>
      <c r="M1541" s="23" t="inlineStr">
        <is>
          <t>Contractor Programme Cycle 2</t>
        </is>
      </c>
      <c r="N1541" s="23" t="inlineStr">
        <is>
          <t>Rev 1</t>
        </is>
      </c>
      <c r="O1541" s="23" t="inlineStr">
        <is>
          <t>R1078-v3</t>
        </is>
      </c>
      <c r="P1541" s="23" t="inlineStr"/>
      <c r="Q1541" s="23" t="inlineStr"/>
      <c r="R1541" s="23" t="inlineStr"/>
      <c r="S1541" s="23" t="inlineStr"/>
      <c r="T1541" s="23" t="inlineStr">
        <is>
          <t>Group decision (182 records sharing one decision state), carried forward</t>
        </is>
      </c>
      <c r="U1541" s="23" t="inlineStr"/>
      <c r="V1541" s="23" t="inlineStr"/>
      <c r="W1541" s="23" t="inlineStr"/>
    </row>
    <row r="1542" ht="94" customHeight="1">
      <c r="A1542" s="23" t="inlineStr">
        <is>
          <t>UNSURE</t>
        </is>
      </c>
      <c r="B1542" s="23" t="inlineStr"/>
      <c r="C1542" s="23" t="inlineStr">
        <is>
          <t>Contractor Programme</t>
        </is>
      </c>
      <c r="D1542" s="23" t="inlineStr">
        <is>
          <t>SCH-06-179</t>
        </is>
      </c>
      <c r="E1542" s="23" t="inlineStr">
        <is>
          <t>Civil package: executive reporting close - release</t>
        </is>
      </c>
      <c r="F1542" s="23" t="inlineStr">
        <is>
          <t>UNSURE</t>
        </is>
      </c>
      <c r="G1542" s="23" t="inlineStr">
        <is>
          <t>RETAINED</t>
        </is>
      </c>
      <c r="H1542" s="23" t="inlineStr">
        <is>
          <t>Carried forward</t>
        </is>
      </c>
      <c r="I1542" s="23" t="inlineStr">
        <is>
          <t>Earlier professional decision, carried forward</t>
        </is>
      </c>
      <c r="J1542" s="23" t="inlineStr">
        <is>
          <t>Maya Chen, Owner Project Controls</t>
        </is>
      </c>
      <c r="K1542" s="23" t="inlineStr">
        <is>
          <t>Professional</t>
        </is>
      </c>
      <c r="L1542" s="23" t="inlineStr"/>
      <c r="M1542" s="23" t="inlineStr">
        <is>
          <t>Contractor Programme Cycle 2</t>
        </is>
      </c>
      <c r="N1542" s="23" t="inlineStr">
        <is>
          <t>Rev 1</t>
        </is>
      </c>
      <c r="O1542" s="23" t="inlineStr">
        <is>
          <t>R1079-v3</t>
        </is>
      </c>
      <c r="P1542" s="23" t="inlineStr"/>
      <c r="Q1542" s="23" t="inlineStr"/>
      <c r="R1542" s="23" t="inlineStr"/>
      <c r="S1542" s="23" t="inlineStr"/>
      <c r="T1542" s="23" t="inlineStr">
        <is>
          <t>Group decision (182 records sharing one decision state), carried forward</t>
        </is>
      </c>
      <c r="U1542" s="23" t="inlineStr"/>
      <c r="V1542" s="23" t="inlineStr"/>
      <c r="W1542" s="23" t="inlineStr"/>
    </row>
    <row r="1543" ht="94" customHeight="1">
      <c r="A1543" s="23" t="inlineStr">
        <is>
          <t>UNSURE</t>
        </is>
      </c>
      <c r="B1543" s="23" t="inlineStr"/>
      <c r="C1543" s="23" t="inlineStr">
        <is>
          <t>Contractor Programme</t>
        </is>
      </c>
      <c r="D1543" s="23" t="inlineStr">
        <is>
          <t>SCH-06-180</t>
        </is>
      </c>
      <c r="E1543" s="23" t="inlineStr">
        <is>
          <t>Stations package: permit coordination - field start</t>
        </is>
      </c>
      <c r="F1543" s="23" t="inlineStr">
        <is>
          <t>UNSURE</t>
        </is>
      </c>
      <c r="G1543" s="23" t="inlineStr">
        <is>
          <t>RETAINED</t>
        </is>
      </c>
      <c r="H1543" s="23" t="inlineStr">
        <is>
          <t>Carried forward</t>
        </is>
      </c>
      <c r="I1543" s="23" t="inlineStr">
        <is>
          <t>Earlier professional decision, carried forward</t>
        </is>
      </c>
      <c r="J1543" s="23" t="inlineStr">
        <is>
          <t>Maya Chen, Owner Project Controls</t>
        </is>
      </c>
      <c r="K1543" s="23" t="inlineStr">
        <is>
          <t>Professional</t>
        </is>
      </c>
      <c r="L1543" s="23" t="inlineStr"/>
      <c r="M1543" s="23" t="inlineStr">
        <is>
          <t>Contractor Programme Cycle 2</t>
        </is>
      </c>
      <c r="N1543" s="23" t="inlineStr">
        <is>
          <t>Rev 1</t>
        </is>
      </c>
      <c r="O1543" s="23" t="inlineStr">
        <is>
          <t>R1080-v3</t>
        </is>
      </c>
      <c r="P1543" s="23" t="inlineStr"/>
      <c r="Q1543" s="23" t="inlineStr"/>
      <c r="R1543" s="23" t="inlineStr"/>
      <c r="S1543" s="23" t="inlineStr"/>
      <c r="T1543" s="23" t="inlineStr">
        <is>
          <t>Group decision (182 records sharing one decision state), carried forward</t>
        </is>
      </c>
      <c r="U1543" s="23" t="inlineStr"/>
      <c r="V1543" s="23" t="inlineStr"/>
      <c r="W1543" s="23" t="inlineStr"/>
    </row>
    <row r="1544" ht="94" customHeight="1">
      <c r="A1544" s="23" t="inlineStr">
        <is>
          <t>UNSURE</t>
        </is>
      </c>
      <c r="B1544" s="23" t="inlineStr"/>
      <c r="C1544" s="23" t="inlineStr">
        <is>
          <t>Cost &amp; Forecast Control Accounts</t>
        </is>
      </c>
      <c r="D1544" s="23" t="inlineStr">
        <is>
          <t>CST-03-004</t>
        </is>
      </c>
      <c r="E1544" s="23" t="inlineStr">
        <is>
          <t>Systems - systems integration - professional services</t>
        </is>
      </c>
      <c r="F1544" s="23" t="inlineStr">
        <is>
          <t>UNSURE</t>
        </is>
      </c>
      <c r="G1544" s="23" t="inlineStr">
        <is>
          <t>RETAINED</t>
        </is>
      </c>
      <c r="H1544" s="23" t="inlineStr">
        <is>
          <t>Carried forward</t>
        </is>
      </c>
      <c r="I1544" s="23" t="inlineStr">
        <is>
          <t>Earlier professional decision, carried forward</t>
        </is>
      </c>
      <c r="J1544" s="23" t="inlineStr">
        <is>
          <t>Maya Chen, Owner Project Controls</t>
        </is>
      </c>
      <c r="K1544" s="23" t="inlineStr">
        <is>
          <t>Professional</t>
        </is>
      </c>
      <c r="L1544" s="23" t="inlineStr"/>
      <c r="M1544" s="23" t="inlineStr">
        <is>
          <t>Cost &amp; Forecast Control Accounts Cycle 2</t>
        </is>
      </c>
      <c r="N1544" s="23" t="inlineStr">
        <is>
          <t>Rev 1</t>
        </is>
      </c>
      <c r="O1544" s="23" t="inlineStr">
        <is>
          <t>R1246-v3</t>
        </is>
      </c>
      <c r="P1544" s="23" t="inlineStr"/>
      <c r="Q1544" s="23" t="inlineStr"/>
      <c r="R1544" s="23" t="inlineStr"/>
      <c r="S1544" s="23" t="inlineStr"/>
      <c r="T1544" s="23" t="inlineStr">
        <is>
          <t>Group decision (81 records sharing one decision state), carried forward</t>
        </is>
      </c>
      <c r="U1544" s="23" t="inlineStr"/>
      <c r="V1544" s="23" t="inlineStr">
        <is>
          <t>Cost Account = CA-3004</t>
        </is>
      </c>
      <c r="W1544" s="23" t="inlineStr"/>
    </row>
    <row r="1545" ht="94" customHeight="1">
      <c r="A1545" s="23" t="inlineStr">
        <is>
          <t>UNSURE</t>
        </is>
      </c>
      <c r="B1545" s="23" t="inlineStr"/>
      <c r="C1545" s="23" t="inlineStr">
        <is>
          <t>Cost &amp; Forecast Control Accounts</t>
        </is>
      </c>
      <c r="D1545" s="23" t="inlineStr">
        <is>
          <t>CST-05-001</t>
        </is>
      </c>
      <c r="E1545" s="23" t="inlineStr">
        <is>
          <t>Testing &amp; readiness - trial running - control account</t>
        </is>
      </c>
      <c r="F1545" s="23" t="inlineStr">
        <is>
          <t>UNSURE</t>
        </is>
      </c>
      <c r="G1545" s="23" t="inlineStr">
        <is>
          <t>RETAINED</t>
        </is>
      </c>
      <c r="H1545" s="23" t="inlineStr">
        <is>
          <t>Carried forward</t>
        </is>
      </c>
      <c r="I1545" s="23" t="inlineStr">
        <is>
          <t>Earlier professional decision, carried forward</t>
        </is>
      </c>
      <c r="J1545" s="23" t="inlineStr">
        <is>
          <t>Maya Chen, Owner Project Controls</t>
        </is>
      </c>
      <c r="K1545" s="23" t="inlineStr">
        <is>
          <t>Professional</t>
        </is>
      </c>
      <c r="L1545" s="23" t="inlineStr"/>
      <c r="M1545" s="23" t="inlineStr">
        <is>
          <t>Cost &amp; Forecast Control Accounts Cycle 2</t>
        </is>
      </c>
      <c r="N1545" s="23" t="inlineStr">
        <is>
          <t>Rev 1</t>
        </is>
      </c>
      <c r="O1545" s="23" t="inlineStr">
        <is>
          <t>R1403-v3</t>
        </is>
      </c>
      <c r="P1545" s="23" t="inlineStr"/>
      <c r="Q1545" s="23" t="inlineStr"/>
      <c r="R1545" s="23" t="inlineStr"/>
      <c r="S1545" s="23" t="inlineStr"/>
      <c r="T1545" s="23" t="inlineStr">
        <is>
          <t>Group decision (81 records sharing one decision state), carried forward</t>
        </is>
      </c>
      <c r="U1545" s="23" t="inlineStr"/>
      <c r="V1545" s="23" t="inlineStr">
        <is>
          <t>Cost Account = CA-5001</t>
        </is>
      </c>
      <c r="W1545" s="23" t="inlineStr"/>
    </row>
    <row r="1546" ht="94" customHeight="1">
      <c r="A1546" s="23" t="inlineStr">
        <is>
          <t>UNSURE</t>
        </is>
      </c>
      <c r="B1546" s="23" t="inlineStr"/>
      <c r="C1546" s="23" t="inlineStr">
        <is>
          <t>Cost &amp; Forecast Control Accounts</t>
        </is>
      </c>
      <c r="D1546" s="23" t="inlineStr">
        <is>
          <t>CST-05-002</t>
        </is>
      </c>
      <c r="E1546" s="23" t="inlineStr">
        <is>
          <t>Testing &amp; readiness - safety certification - control account</t>
        </is>
      </c>
      <c r="F1546" s="23" t="inlineStr">
        <is>
          <t>UNSURE</t>
        </is>
      </c>
      <c r="G1546" s="23" t="inlineStr">
        <is>
          <t>RETAINED</t>
        </is>
      </c>
      <c r="H1546" s="23" t="inlineStr">
        <is>
          <t>Carried forward</t>
        </is>
      </c>
      <c r="I1546" s="23" t="inlineStr">
        <is>
          <t>Earlier professional decision, carried forward</t>
        </is>
      </c>
      <c r="J1546" s="23" t="inlineStr">
        <is>
          <t>Maya Chen, Owner Project Controls</t>
        </is>
      </c>
      <c r="K1546" s="23" t="inlineStr">
        <is>
          <t>Professional</t>
        </is>
      </c>
      <c r="L1546" s="23" t="inlineStr"/>
      <c r="M1546" s="23" t="inlineStr">
        <is>
          <t>Cost &amp; Forecast Control Accounts Cycle 2</t>
        </is>
      </c>
      <c r="N1546" s="23" t="inlineStr">
        <is>
          <t>Rev 1</t>
        </is>
      </c>
      <c r="O1546" s="23" t="inlineStr">
        <is>
          <t>R1404-v3</t>
        </is>
      </c>
      <c r="P1546" s="23" t="inlineStr"/>
      <c r="Q1546" s="23" t="inlineStr"/>
      <c r="R1546" s="23" t="inlineStr"/>
      <c r="S1546" s="23" t="inlineStr"/>
      <c r="T1546" s="23" t="inlineStr">
        <is>
          <t>Group decision (81 records sharing one decision state), carried forward</t>
        </is>
      </c>
      <c r="U1546" s="23" t="inlineStr"/>
      <c r="V1546" s="23" t="inlineStr">
        <is>
          <t>Cost Account = CA-5002</t>
        </is>
      </c>
      <c r="W1546" s="23" t="inlineStr"/>
    </row>
    <row r="1547" ht="94" customHeight="1">
      <c r="A1547" s="23" t="inlineStr">
        <is>
          <t>UNSURE</t>
        </is>
      </c>
      <c r="B1547" s="23" t="inlineStr"/>
      <c r="C1547" s="23" t="inlineStr">
        <is>
          <t>Cost &amp; Forecast Control Accounts</t>
        </is>
      </c>
      <c r="D1547" s="23" t="inlineStr">
        <is>
          <t>CST-05-003</t>
        </is>
      </c>
      <c r="E1547" s="23" t="inlineStr">
        <is>
          <t>Testing &amp; readiness - defect closeout - control account</t>
        </is>
      </c>
      <c r="F1547" s="23" t="inlineStr">
        <is>
          <t>UNSURE</t>
        </is>
      </c>
      <c r="G1547" s="23" t="inlineStr">
        <is>
          <t>RETAINED</t>
        </is>
      </c>
      <c r="H1547" s="23" t="inlineStr">
        <is>
          <t>Carried forward</t>
        </is>
      </c>
      <c r="I1547" s="23" t="inlineStr">
        <is>
          <t>Earlier professional decision, carried forward</t>
        </is>
      </c>
      <c r="J1547" s="23" t="inlineStr">
        <is>
          <t>Maya Chen, Owner Project Controls</t>
        </is>
      </c>
      <c r="K1547" s="23" t="inlineStr">
        <is>
          <t>Professional</t>
        </is>
      </c>
      <c r="L1547" s="23" t="inlineStr"/>
      <c r="M1547" s="23" t="inlineStr">
        <is>
          <t>Cost &amp; Forecast Control Accounts Cycle 2</t>
        </is>
      </c>
      <c r="N1547" s="23" t="inlineStr">
        <is>
          <t>Rev 1</t>
        </is>
      </c>
      <c r="O1547" s="23" t="inlineStr">
        <is>
          <t>R1405-v3</t>
        </is>
      </c>
      <c r="P1547" s="23" t="inlineStr"/>
      <c r="Q1547" s="23" t="inlineStr"/>
      <c r="R1547" s="23" t="inlineStr"/>
      <c r="S1547" s="23" t="inlineStr"/>
      <c r="T1547" s="23" t="inlineStr">
        <is>
          <t>Group decision (81 records sharing one decision state), carried forward</t>
        </is>
      </c>
      <c r="U1547" s="23" t="inlineStr"/>
      <c r="V1547" s="23" t="inlineStr">
        <is>
          <t>Cost Account = CA-5003</t>
        </is>
      </c>
      <c r="W1547" s="23" t="inlineStr"/>
    </row>
    <row r="1548" ht="94" customHeight="1">
      <c r="A1548" s="23" t="inlineStr">
        <is>
          <t>UNSURE</t>
        </is>
      </c>
      <c r="B1548" s="23" t="inlineStr"/>
      <c r="C1548" s="23" t="inlineStr">
        <is>
          <t>Cost &amp; Forecast Control Accounts</t>
        </is>
      </c>
      <c r="D1548" s="23" t="inlineStr">
        <is>
          <t>CST-05-004</t>
        </is>
      </c>
      <c r="E1548" s="23" t="inlineStr">
        <is>
          <t>Testing &amp; readiness - test management - control account</t>
        </is>
      </c>
      <c r="F1548" s="23" t="inlineStr">
        <is>
          <t>UNSURE</t>
        </is>
      </c>
      <c r="G1548" s="23" t="inlineStr">
        <is>
          <t>RETAINED</t>
        </is>
      </c>
      <c r="H1548" s="23" t="inlineStr">
        <is>
          <t>Carried forward</t>
        </is>
      </c>
      <c r="I1548" s="23" t="inlineStr">
        <is>
          <t>Earlier professional decision, carried forward</t>
        </is>
      </c>
      <c r="J1548" s="23" t="inlineStr">
        <is>
          <t>Maya Chen, Owner Project Controls</t>
        </is>
      </c>
      <c r="K1548" s="23" t="inlineStr">
        <is>
          <t>Professional</t>
        </is>
      </c>
      <c r="L1548" s="23" t="inlineStr"/>
      <c r="M1548" s="23" t="inlineStr">
        <is>
          <t>Cost &amp; Forecast Control Accounts Cycle 2</t>
        </is>
      </c>
      <c r="N1548" s="23" t="inlineStr">
        <is>
          <t>Rev 1</t>
        </is>
      </c>
      <c r="O1548" s="23" t="inlineStr">
        <is>
          <t>R1406-v3</t>
        </is>
      </c>
      <c r="P1548" s="23" t="inlineStr"/>
      <c r="Q1548" s="23" t="inlineStr"/>
      <c r="R1548" s="23" t="inlineStr"/>
      <c r="S1548" s="23" t="inlineStr"/>
      <c r="T1548" s="23" t="inlineStr">
        <is>
          <t>Group decision (81 records sharing one decision state), carried forward</t>
        </is>
      </c>
      <c r="U1548" s="23" t="inlineStr"/>
      <c r="V1548" s="23" t="inlineStr">
        <is>
          <t>Cost Account = CA-5004</t>
        </is>
      </c>
      <c r="W1548" s="23" t="inlineStr"/>
    </row>
    <row r="1549" ht="94" customHeight="1">
      <c r="A1549" s="23" t="inlineStr">
        <is>
          <t>UNSURE</t>
        </is>
      </c>
      <c r="B1549" s="23" t="inlineStr"/>
      <c r="C1549" s="23" t="inlineStr">
        <is>
          <t>Cost &amp; Forecast Control Accounts</t>
        </is>
      </c>
      <c r="D1549" s="23" t="inlineStr">
        <is>
          <t>CST-05-005</t>
        </is>
      </c>
      <c r="E1549" s="23" t="inlineStr">
        <is>
          <t>Testing &amp; readiness - trial running - control account</t>
        </is>
      </c>
      <c r="F1549" s="23" t="inlineStr">
        <is>
          <t>UNSURE</t>
        </is>
      </c>
      <c r="G1549" s="23" t="inlineStr">
        <is>
          <t>RETAINED</t>
        </is>
      </c>
      <c r="H1549" s="23" t="inlineStr">
        <is>
          <t>Carried forward</t>
        </is>
      </c>
      <c r="I1549" s="23" t="inlineStr">
        <is>
          <t>Earlier professional decision, carried forward</t>
        </is>
      </c>
      <c r="J1549" s="23" t="inlineStr">
        <is>
          <t>Maya Chen, Owner Project Controls</t>
        </is>
      </c>
      <c r="K1549" s="23" t="inlineStr">
        <is>
          <t>Professional</t>
        </is>
      </c>
      <c r="L1549" s="23" t="inlineStr"/>
      <c r="M1549" s="23" t="inlineStr">
        <is>
          <t>Cost &amp; Forecast Control Accounts Cycle 2</t>
        </is>
      </c>
      <c r="N1549" s="23" t="inlineStr">
        <is>
          <t>Rev 1</t>
        </is>
      </c>
      <c r="O1549" s="23" t="inlineStr">
        <is>
          <t>R1407-v3</t>
        </is>
      </c>
      <c r="P1549" s="23" t="inlineStr"/>
      <c r="Q1549" s="23" t="inlineStr"/>
      <c r="R1549" s="23" t="inlineStr"/>
      <c r="S1549" s="23" t="inlineStr"/>
      <c r="T1549" s="23" t="inlineStr">
        <is>
          <t>Group decision (81 records sharing one decision state), carried forward</t>
        </is>
      </c>
      <c r="U1549" s="23" t="inlineStr"/>
      <c r="V1549" s="23" t="inlineStr">
        <is>
          <t>Cost Account = CA-5005</t>
        </is>
      </c>
      <c r="W1549" s="23" t="inlineStr"/>
    </row>
    <row r="1550" ht="94" customHeight="1">
      <c r="A1550" s="23" t="inlineStr">
        <is>
          <t>UNSURE</t>
        </is>
      </c>
      <c r="B1550" s="23" t="inlineStr"/>
      <c r="C1550" s="23" t="inlineStr">
        <is>
          <t>Cost &amp; Forecast Control Accounts</t>
        </is>
      </c>
      <c r="D1550" s="23" t="inlineStr">
        <is>
          <t>CST-05-006</t>
        </is>
      </c>
      <c r="E1550" s="23" t="inlineStr">
        <is>
          <t>Testing &amp; readiness - safety certification - control account</t>
        </is>
      </c>
      <c r="F1550" s="23" t="inlineStr">
        <is>
          <t>UNSURE</t>
        </is>
      </c>
      <c r="G1550" s="23" t="inlineStr">
        <is>
          <t>RETAINED</t>
        </is>
      </c>
      <c r="H1550" s="23" t="inlineStr">
        <is>
          <t>Carried forward</t>
        </is>
      </c>
      <c r="I1550" s="23" t="inlineStr">
        <is>
          <t>Earlier professional decision, carried forward</t>
        </is>
      </c>
      <c r="J1550" s="23" t="inlineStr">
        <is>
          <t>Maya Chen, Owner Project Controls</t>
        </is>
      </c>
      <c r="K1550" s="23" t="inlineStr">
        <is>
          <t>Professional</t>
        </is>
      </c>
      <c r="L1550" s="23" t="inlineStr"/>
      <c r="M1550" s="23" t="inlineStr">
        <is>
          <t>Cost &amp; Forecast Control Accounts Cycle 2</t>
        </is>
      </c>
      <c r="N1550" s="23" t="inlineStr">
        <is>
          <t>Rev 1</t>
        </is>
      </c>
      <c r="O1550" s="23" t="inlineStr">
        <is>
          <t>R1408-v3</t>
        </is>
      </c>
      <c r="P1550" s="23" t="inlineStr"/>
      <c r="Q1550" s="23" t="inlineStr"/>
      <c r="R1550" s="23" t="inlineStr"/>
      <c r="S1550" s="23" t="inlineStr"/>
      <c r="T1550" s="23" t="inlineStr">
        <is>
          <t>Group decision (81 records sharing one decision state), carried forward</t>
        </is>
      </c>
      <c r="U1550" s="23" t="inlineStr"/>
      <c r="V1550" s="23" t="inlineStr">
        <is>
          <t>Cost Account = CA-5006</t>
        </is>
      </c>
      <c r="W1550" s="23" t="inlineStr"/>
    </row>
    <row r="1551" ht="94" customHeight="1">
      <c r="A1551" s="23" t="inlineStr">
        <is>
          <t>UNSURE</t>
        </is>
      </c>
      <c r="B1551" s="23" t="inlineStr"/>
      <c r="C1551" s="23" t="inlineStr">
        <is>
          <t>Cost &amp; Forecast Control Accounts</t>
        </is>
      </c>
      <c r="D1551" s="23" t="inlineStr">
        <is>
          <t>CST-05-007</t>
        </is>
      </c>
      <c r="E1551" s="23" t="inlineStr">
        <is>
          <t>Testing &amp; readiness - defect closeout - control account</t>
        </is>
      </c>
      <c r="F1551" s="23" t="inlineStr">
        <is>
          <t>UNSURE</t>
        </is>
      </c>
      <c r="G1551" s="23" t="inlineStr">
        <is>
          <t>RETAINED</t>
        </is>
      </c>
      <c r="H1551" s="23" t="inlineStr">
        <is>
          <t>Carried forward</t>
        </is>
      </c>
      <c r="I1551" s="23" t="inlineStr">
        <is>
          <t>Earlier professional decision, carried forward</t>
        </is>
      </c>
      <c r="J1551" s="23" t="inlineStr">
        <is>
          <t>Maya Chen, Owner Project Controls</t>
        </is>
      </c>
      <c r="K1551" s="23" t="inlineStr">
        <is>
          <t>Professional</t>
        </is>
      </c>
      <c r="L1551" s="23" t="inlineStr"/>
      <c r="M1551" s="23" t="inlineStr">
        <is>
          <t>Cost &amp; Forecast Control Accounts Cycle 2</t>
        </is>
      </c>
      <c r="N1551" s="23" t="inlineStr">
        <is>
          <t>Rev 1</t>
        </is>
      </c>
      <c r="O1551" s="23" t="inlineStr">
        <is>
          <t>R1409-v3</t>
        </is>
      </c>
      <c r="P1551" s="23" t="inlineStr"/>
      <c r="Q1551" s="23" t="inlineStr"/>
      <c r="R1551" s="23" t="inlineStr"/>
      <c r="S1551" s="23" t="inlineStr"/>
      <c r="T1551" s="23" t="inlineStr">
        <is>
          <t>Group decision (81 records sharing one decision state), carried forward</t>
        </is>
      </c>
      <c r="U1551" s="23" t="inlineStr"/>
      <c r="V1551" s="23" t="inlineStr">
        <is>
          <t>Cost Account = CA-5007</t>
        </is>
      </c>
      <c r="W1551" s="23" t="inlineStr"/>
    </row>
    <row r="1552" ht="94" customHeight="1">
      <c r="A1552" s="23" t="inlineStr">
        <is>
          <t>UNSURE</t>
        </is>
      </c>
      <c r="B1552" s="23" t="inlineStr"/>
      <c r="C1552" s="23" t="inlineStr">
        <is>
          <t>Cost &amp; Forecast Control Accounts</t>
        </is>
      </c>
      <c r="D1552" s="23" t="inlineStr">
        <is>
          <t>CST-05-008</t>
        </is>
      </c>
      <c r="E1552" s="23" t="inlineStr">
        <is>
          <t>Testing &amp; readiness - test management - control account</t>
        </is>
      </c>
      <c r="F1552" s="23" t="inlineStr">
        <is>
          <t>UNSURE</t>
        </is>
      </c>
      <c r="G1552" s="23" t="inlineStr">
        <is>
          <t>RETAINED</t>
        </is>
      </c>
      <c r="H1552" s="23" t="inlineStr">
        <is>
          <t>Carried forward</t>
        </is>
      </c>
      <c r="I1552" s="23" t="inlineStr">
        <is>
          <t>Earlier professional decision, carried forward</t>
        </is>
      </c>
      <c r="J1552" s="23" t="inlineStr">
        <is>
          <t>Maya Chen, Owner Project Controls</t>
        </is>
      </c>
      <c r="K1552" s="23" t="inlineStr">
        <is>
          <t>Professional</t>
        </is>
      </c>
      <c r="L1552" s="23" t="inlineStr"/>
      <c r="M1552" s="23" t="inlineStr">
        <is>
          <t>Cost &amp; Forecast Control Accounts Cycle 2</t>
        </is>
      </c>
      <c r="N1552" s="23" t="inlineStr">
        <is>
          <t>Rev 1</t>
        </is>
      </c>
      <c r="O1552" s="23" t="inlineStr">
        <is>
          <t>R1410-v3</t>
        </is>
      </c>
      <c r="P1552" s="23" t="inlineStr"/>
      <c r="Q1552" s="23" t="inlineStr"/>
      <c r="R1552" s="23" t="inlineStr"/>
      <c r="S1552" s="23" t="inlineStr"/>
      <c r="T1552" s="23" t="inlineStr">
        <is>
          <t>Group decision (81 records sharing one decision state), carried forward</t>
        </is>
      </c>
      <c r="U1552" s="23" t="inlineStr"/>
      <c r="V1552" s="23" t="inlineStr">
        <is>
          <t>Cost Account = CA-5008</t>
        </is>
      </c>
      <c r="W1552" s="23" t="inlineStr"/>
    </row>
    <row r="1553" ht="94" customHeight="1">
      <c r="A1553" s="23" t="inlineStr">
        <is>
          <t>UNSURE</t>
        </is>
      </c>
      <c r="B1553" s="23" t="inlineStr"/>
      <c r="C1553" s="23" t="inlineStr">
        <is>
          <t>Cost &amp; Forecast Control Accounts</t>
        </is>
      </c>
      <c r="D1553" s="23" t="inlineStr">
        <is>
          <t>CST-05-009</t>
        </is>
      </c>
      <c r="E1553" s="23" t="inlineStr">
        <is>
          <t>Testing &amp; readiness - trial running - control account</t>
        </is>
      </c>
      <c r="F1553" s="23" t="inlineStr">
        <is>
          <t>UNSURE</t>
        </is>
      </c>
      <c r="G1553" s="23" t="inlineStr">
        <is>
          <t>RETAINED</t>
        </is>
      </c>
      <c r="H1553" s="23" t="inlineStr">
        <is>
          <t>Carried forward</t>
        </is>
      </c>
      <c r="I1553" s="23" t="inlineStr">
        <is>
          <t>Earlier professional decision, carried forward</t>
        </is>
      </c>
      <c r="J1553" s="23" t="inlineStr">
        <is>
          <t>Maya Chen, Owner Project Controls</t>
        </is>
      </c>
      <c r="K1553" s="23" t="inlineStr">
        <is>
          <t>Professional</t>
        </is>
      </c>
      <c r="L1553" s="23" t="inlineStr"/>
      <c r="M1553" s="23" t="inlineStr">
        <is>
          <t>Cost &amp; Forecast Control Accounts Cycle 2</t>
        </is>
      </c>
      <c r="N1553" s="23" t="inlineStr">
        <is>
          <t>Rev 1</t>
        </is>
      </c>
      <c r="O1553" s="23" t="inlineStr">
        <is>
          <t>R1411-v3</t>
        </is>
      </c>
      <c r="P1553" s="23" t="inlineStr"/>
      <c r="Q1553" s="23" t="inlineStr"/>
      <c r="R1553" s="23" t="inlineStr"/>
      <c r="S1553" s="23" t="inlineStr"/>
      <c r="T1553" s="23" t="inlineStr">
        <is>
          <t>Group decision (81 records sharing one decision state), carried forward</t>
        </is>
      </c>
      <c r="U1553" s="23" t="inlineStr"/>
      <c r="V1553" s="23" t="inlineStr">
        <is>
          <t>Cost Account = CA-5009</t>
        </is>
      </c>
      <c r="W1553" s="23" t="inlineStr"/>
    </row>
    <row r="1554" ht="94" customHeight="1">
      <c r="A1554" s="23" t="inlineStr">
        <is>
          <t>UNSURE</t>
        </is>
      </c>
      <c r="B1554" s="23" t="inlineStr"/>
      <c r="C1554" s="23" t="inlineStr">
        <is>
          <t>Cost &amp; Forecast Control Accounts</t>
        </is>
      </c>
      <c r="D1554" s="23" t="inlineStr">
        <is>
          <t>CST-05-010</t>
        </is>
      </c>
      <c r="E1554" s="23" t="inlineStr">
        <is>
          <t>Testing &amp; readiness - safety certification - control account</t>
        </is>
      </c>
      <c r="F1554" s="23" t="inlineStr">
        <is>
          <t>UNSURE</t>
        </is>
      </c>
      <c r="G1554" s="23" t="inlineStr">
        <is>
          <t>RETAINED</t>
        </is>
      </c>
      <c r="H1554" s="23" t="inlineStr">
        <is>
          <t>Carried forward</t>
        </is>
      </c>
      <c r="I1554" s="23" t="inlineStr">
        <is>
          <t>Earlier professional decision, carried forward</t>
        </is>
      </c>
      <c r="J1554" s="23" t="inlineStr">
        <is>
          <t>Maya Chen, Owner Project Controls</t>
        </is>
      </c>
      <c r="K1554" s="23" t="inlineStr">
        <is>
          <t>Professional</t>
        </is>
      </c>
      <c r="L1554" s="23" t="inlineStr"/>
      <c r="M1554" s="23" t="inlineStr">
        <is>
          <t>Cost &amp; Forecast Control Accounts Cycle 2</t>
        </is>
      </c>
      <c r="N1554" s="23" t="inlineStr">
        <is>
          <t>Rev 1</t>
        </is>
      </c>
      <c r="O1554" s="23" t="inlineStr">
        <is>
          <t>R1412-v3</t>
        </is>
      </c>
      <c r="P1554" s="23" t="inlineStr"/>
      <c r="Q1554" s="23" t="inlineStr"/>
      <c r="R1554" s="23" t="inlineStr"/>
      <c r="S1554" s="23" t="inlineStr"/>
      <c r="T1554" s="23" t="inlineStr">
        <is>
          <t>Group decision (81 records sharing one decision state), carried forward</t>
        </is>
      </c>
      <c r="U1554" s="23" t="inlineStr"/>
      <c r="V1554" s="23" t="inlineStr">
        <is>
          <t>Cost Account = CA-5010</t>
        </is>
      </c>
      <c r="W1554" s="23" t="inlineStr"/>
    </row>
    <row r="1555" ht="94" customHeight="1">
      <c r="A1555" s="23" t="inlineStr">
        <is>
          <t>UNSURE</t>
        </is>
      </c>
      <c r="B1555" s="23" t="inlineStr"/>
      <c r="C1555" s="23" t="inlineStr">
        <is>
          <t>Cost &amp; Forecast Control Accounts</t>
        </is>
      </c>
      <c r="D1555" s="23" t="inlineStr">
        <is>
          <t>CST-05-011</t>
        </is>
      </c>
      <c r="E1555" s="23" t="inlineStr">
        <is>
          <t>Testing &amp; readiness - defect closeout - control account</t>
        </is>
      </c>
      <c r="F1555" s="23" t="inlineStr">
        <is>
          <t>UNSURE</t>
        </is>
      </c>
      <c r="G1555" s="23" t="inlineStr">
        <is>
          <t>RETAINED</t>
        </is>
      </c>
      <c r="H1555" s="23" t="inlineStr">
        <is>
          <t>Carried forward</t>
        </is>
      </c>
      <c r="I1555" s="23" t="inlineStr">
        <is>
          <t>Earlier professional decision, carried forward</t>
        </is>
      </c>
      <c r="J1555" s="23" t="inlineStr">
        <is>
          <t>Maya Chen, Owner Project Controls</t>
        </is>
      </c>
      <c r="K1555" s="23" t="inlineStr">
        <is>
          <t>Professional</t>
        </is>
      </c>
      <c r="L1555" s="23" t="inlineStr"/>
      <c r="M1555" s="23" t="inlineStr">
        <is>
          <t>Cost &amp; Forecast Control Accounts Cycle 2</t>
        </is>
      </c>
      <c r="N1555" s="23" t="inlineStr">
        <is>
          <t>Rev 1</t>
        </is>
      </c>
      <c r="O1555" s="23" t="inlineStr">
        <is>
          <t>R1413-v3</t>
        </is>
      </c>
      <c r="P1555" s="23" t="inlineStr"/>
      <c r="Q1555" s="23" t="inlineStr"/>
      <c r="R1555" s="23" t="inlineStr"/>
      <c r="S1555" s="23" t="inlineStr"/>
      <c r="T1555" s="23" t="inlineStr">
        <is>
          <t>Group decision (81 records sharing one decision state), carried forward</t>
        </is>
      </c>
      <c r="U1555" s="23" t="inlineStr"/>
      <c r="V1555" s="23" t="inlineStr">
        <is>
          <t>Cost Account = CA-5011</t>
        </is>
      </c>
      <c r="W1555" s="23" t="inlineStr"/>
    </row>
    <row r="1556" ht="94" customHeight="1">
      <c r="A1556" s="23" t="inlineStr">
        <is>
          <t>UNSURE</t>
        </is>
      </c>
      <c r="B1556" s="23" t="inlineStr"/>
      <c r="C1556" s="23" t="inlineStr">
        <is>
          <t>Cost &amp; Forecast Control Accounts</t>
        </is>
      </c>
      <c r="D1556" s="23" t="inlineStr">
        <is>
          <t>CST-05-012</t>
        </is>
      </c>
      <c r="E1556" s="23" t="inlineStr">
        <is>
          <t>Testing &amp; readiness - test management - control account</t>
        </is>
      </c>
      <c r="F1556" s="23" t="inlineStr">
        <is>
          <t>UNSURE</t>
        </is>
      </c>
      <c r="G1556" s="23" t="inlineStr">
        <is>
          <t>RETAINED</t>
        </is>
      </c>
      <c r="H1556" s="23" t="inlineStr">
        <is>
          <t>Carried forward</t>
        </is>
      </c>
      <c r="I1556" s="23" t="inlineStr">
        <is>
          <t>Earlier professional decision, carried forward</t>
        </is>
      </c>
      <c r="J1556" s="23" t="inlineStr">
        <is>
          <t>Maya Chen, Owner Project Controls</t>
        </is>
      </c>
      <c r="K1556" s="23" t="inlineStr">
        <is>
          <t>Professional</t>
        </is>
      </c>
      <c r="L1556" s="23" t="inlineStr"/>
      <c r="M1556" s="23" t="inlineStr">
        <is>
          <t>Cost &amp; Forecast Control Accounts Cycle 2</t>
        </is>
      </c>
      <c r="N1556" s="23" t="inlineStr">
        <is>
          <t>Rev 1</t>
        </is>
      </c>
      <c r="O1556" s="23" t="inlineStr">
        <is>
          <t>R1414-v3</t>
        </is>
      </c>
      <c r="P1556" s="23" t="inlineStr"/>
      <c r="Q1556" s="23" t="inlineStr"/>
      <c r="R1556" s="23" t="inlineStr"/>
      <c r="S1556" s="23" t="inlineStr"/>
      <c r="T1556" s="23" t="inlineStr">
        <is>
          <t>Group decision (81 records sharing one decision state), carried forward</t>
        </is>
      </c>
      <c r="U1556" s="23" t="inlineStr"/>
      <c r="V1556" s="23" t="inlineStr">
        <is>
          <t>Cost Account = CA-5012</t>
        </is>
      </c>
      <c r="W1556" s="23" t="inlineStr"/>
    </row>
    <row r="1557" ht="94" customHeight="1">
      <c r="A1557" s="23" t="inlineStr">
        <is>
          <t>UNSURE</t>
        </is>
      </c>
      <c r="B1557" s="23" t="inlineStr"/>
      <c r="C1557" s="23" t="inlineStr">
        <is>
          <t>Cost &amp; Forecast Control Accounts</t>
        </is>
      </c>
      <c r="D1557" s="23" t="inlineStr">
        <is>
          <t>CST-05-013</t>
        </is>
      </c>
      <c r="E1557" s="23" t="inlineStr">
        <is>
          <t>Testing &amp; readiness - trial running - control account</t>
        </is>
      </c>
      <c r="F1557" s="23" t="inlineStr">
        <is>
          <t>UNSURE</t>
        </is>
      </c>
      <c r="G1557" s="23" t="inlineStr">
        <is>
          <t>RETAINED</t>
        </is>
      </c>
      <c r="H1557" s="23" t="inlineStr">
        <is>
          <t>Carried forward</t>
        </is>
      </c>
      <c r="I1557" s="23" t="inlineStr">
        <is>
          <t>Earlier professional decision, carried forward</t>
        </is>
      </c>
      <c r="J1557" s="23" t="inlineStr">
        <is>
          <t>Maya Chen, Owner Project Controls</t>
        </is>
      </c>
      <c r="K1557" s="23" t="inlineStr">
        <is>
          <t>Professional</t>
        </is>
      </c>
      <c r="L1557" s="23" t="inlineStr"/>
      <c r="M1557" s="23" t="inlineStr">
        <is>
          <t>Cost &amp; Forecast Control Accounts Cycle 2</t>
        </is>
      </c>
      <c r="N1557" s="23" t="inlineStr">
        <is>
          <t>Rev 1</t>
        </is>
      </c>
      <c r="O1557" s="23" t="inlineStr">
        <is>
          <t>R1415-v3</t>
        </is>
      </c>
      <c r="P1557" s="23" t="inlineStr"/>
      <c r="Q1557" s="23" t="inlineStr"/>
      <c r="R1557" s="23" t="inlineStr"/>
      <c r="S1557" s="23" t="inlineStr"/>
      <c r="T1557" s="23" t="inlineStr">
        <is>
          <t>Group decision (81 records sharing one decision state), carried forward</t>
        </is>
      </c>
      <c r="U1557" s="23" t="inlineStr"/>
      <c r="V1557" s="23" t="inlineStr">
        <is>
          <t>Cost Account = CA-5013</t>
        </is>
      </c>
      <c r="W1557" s="23" t="inlineStr"/>
    </row>
    <row r="1558" ht="94" customHeight="1">
      <c r="A1558" s="23" t="inlineStr">
        <is>
          <t>UNSURE</t>
        </is>
      </c>
      <c r="B1558" s="23" t="inlineStr"/>
      <c r="C1558" s="23" t="inlineStr">
        <is>
          <t>Cost &amp; Forecast Control Accounts</t>
        </is>
      </c>
      <c r="D1558" s="23" t="inlineStr">
        <is>
          <t>CST-05-014</t>
        </is>
      </c>
      <c r="E1558" s="23" t="inlineStr">
        <is>
          <t>Testing &amp; readiness - safety certification - control account</t>
        </is>
      </c>
      <c r="F1558" s="23" t="inlineStr">
        <is>
          <t>UNSURE</t>
        </is>
      </c>
      <c r="G1558" s="23" t="inlineStr">
        <is>
          <t>RETAINED</t>
        </is>
      </c>
      <c r="H1558" s="23" t="inlineStr">
        <is>
          <t>Carried forward</t>
        </is>
      </c>
      <c r="I1558" s="23" t="inlineStr">
        <is>
          <t>Earlier professional decision, carried forward</t>
        </is>
      </c>
      <c r="J1558" s="23" t="inlineStr">
        <is>
          <t>Maya Chen, Owner Project Controls</t>
        </is>
      </c>
      <c r="K1558" s="23" t="inlineStr">
        <is>
          <t>Professional</t>
        </is>
      </c>
      <c r="L1558" s="23" t="inlineStr"/>
      <c r="M1558" s="23" t="inlineStr">
        <is>
          <t>Cost &amp; Forecast Control Accounts Cycle 2</t>
        </is>
      </c>
      <c r="N1558" s="23" t="inlineStr">
        <is>
          <t>Rev 1</t>
        </is>
      </c>
      <c r="O1558" s="23" t="inlineStr">
        <is>
          <t>R1416-v3</t>
        </is>
      </c>
      <c r="P1558" s="23" t="inlineStr"/>
      <c r="Q1558" s="23" t="inlineStr"/>
      <c r="R1558" s="23" t="inlineStr"/>
      <c r="S1558" s="23" t="inlineStr"/>
      <c r="T1558" s="23" t="inlineStr">
        <is>
          <t>Group decision (81 records sharing one decision state), carried forward</t>
        </is>
      </c>
      <c r="U1558" s="23" t="inlineStr"/>
      <c r="V1558" s="23" t="inlineStr">
        <is>
          <t>Cost Account = CA-5014</t>
        </is>
      </c>
      <c r="W1558" s="23" t="inlineStr"/>
    </row>
    <row r="1559" ht="94" customHeight="1">
      <c r="A1559" s="23" t="inlineStr">
        <is>
          <t>UNSURE</t>
        </is>
      </c>
      <c r="B1559" s="23" t="inlineStr"/>
      <c r="C1559" s="23" t="inlineStr">
        <is>
          <t>Cost &amp; Forecast Control Accounts</t>
        </is>
      </c>
      <c r="D1559" s="23" t="inlineStr">
        <is>
          <t>CST-05-015</t>
        </is>
      </c>
      <c r="E1559" s="23" t="inlineStr">
        <is>
          <t>Testing &amp; readiness - defect closeout - control account</t>
        </is>
      </c>
      <c r="F1559" s="23" t="inlineStr">
        <is>
          <t>UNSURE</t>
        </is>
      </c>
      <c r="G1559" s="23" t="inlineStr">
        <is>
          <t>RETAINED</t>
        </is>
      </c>
      <c r="H1559" s="23" t="inlineStr">
        <is>
          <t>Carried forward</t>
        </is>
      </c>
      <c r="I1559" s="23" t="inlineStr">
        <is>
          <t>Earlier professional decision, carried forward</t>
        </is>
      </c>
      <c r="J1559" s="23" t="inlineStr">
        <is>
          <t>Maya Chen, Owner Project Controls</t>
        </is>
      </c>
      <c r="K1559" s="23" t="inlineStr">
        <is>
          <t>Professional</t>
        </is>
      </c>
      <c r="L1559" s="23" t="inlineStr"/>
      <c r="M1559" s="23" t="inlineStr">
        <is>
          <t>Cost &amp; Forecast Control Accounts Cycle 2</t>
        </is>
      </c>
      <c r="N1559" s="23" t="inlineStr">
        <is>
          <t>Rev 1</t>
        </is>
      </c>
      <c r="O1559" s="23" t="inlineStr">
        <is>
          <t>R1417-v3</t>
        </is>
      </c>
      <c r="P1559" s="23" t="inlineStr"/>
      <c r="Q1559" s="23" t="inlineStr"/>
      <c r="R1559" s="23" t="inlineStr"/>
      <c r="S1559" s="23" t="inlineStr"/>
      <c r="T1559" s="23" t="inlineStr">
        <is>
          <t>Group decision (81 records sharing one decision state), carried forward</t>
        </is>
      </c>
      <c r="U1559" s="23" t="inlineStr"/>
      <c r="V1559" s="23" t="inlineStr">
        <is>
          <t>Cost Account = CA-5015</t>
        </is>
      </c>
      <c r="W1559" s="23" t="inlineStr"/>
    </row>
    <row r="1560" ht="94" customHeight="1">
      <c r="A1560" s="23" t="inlineStr">
        <is>
          <t>UNSURE</t>
        </is>
      </c>
      <c r="B1560" s="23" t="inlineStr"/>
      <c r="C1560" s="23" t="inlineStr">
        <is>
          <t>Cost &amp; Forecast Control Accounts</t>
        </is>
      </c>
      <c r="D1560" s="23" t="inlineStr">
        <is>
          <t>CST-05-016</t>
        </is>
      </c>
      <c r="E1560" s="23" t="inlineStr">
        <is>
          <t>Testing &amp; readiness - test management - control account</t>
        </is>
      </c>
      <c r="F1560" s="23" t="inlineStr">
        <is>
          <t>UNSURE</t>
        </is>
      </c>
      <c r="G1560" s="23" t="inlineStr">
        <is>
          <t>RETAINED</t>
        </is>
      </c>
      <c r="H1560" s="23" t="inlineStr">
        <is>
          <t>Carried forward</t>
        </is>
      </c>
      <c r="I1560" s="23" t="inlineStr">
        <is>
          <t>Earlier professional decision, carried forward</t>
        </is>
      </c>
      <c r="J1560" s="23" t="inlineStr">
        <is>
          <t>Maya Chen, Owner Project Controls</t>
        </is>
      </c>
      <c r="K1560" s="23" t="inlineStr">
        <is>
          <t>Professional</t>
        </is>
      </c>
      <c r="L1560" s="23" t="inlineStr"/>
      <c r="M1560" s="23" t="inlineStr">
        <is>
          <t>Cost &amp; Forecast Control Accounts Cycle 2</t>
        </is>
      </c>
      <c r="N1560" s="23" t="inlineStr">
        <is>
          <t>Rev 1</t>
        </is>
      </c>
      <c r="O1560" s="23" t="inlineStr">
        <is>
          <t>R1418-v3</t>
        </is>
      </c>
      <c r="P1560" s="23" t="inlineStr"/>
      <c r="Q1560" s="23" t="inlineStr"/>
      <c r="R1560" s="23" t="inlineStr"/>
      <c r="S1560" s="23" t="inlineStr"/>
      <c r="T1560" s="23" t="inlineStr">
        <is>
          <t>Group decision (81 records sharing one decision state), carried forward</t>
        </is>
      </c>
      <c r="U1560" s="23" t="inlineStr"/>
      <c r="V1560" s="23" t="inlineStr">
        <is>
          <t>Cost Account = CA-5016</t>
        </is>
      </c>
      <c r="W1560" s="23" t="inlineStr"/>
    </row>
    <row r="1561" ht="94" customHeight="1">
      <c r="A1561" s="23" t="inlineStr">
        <is>
          <t>UNSURE</t>
        </is>
      </c>
      <c r="B1561" s="23" t="inlineStr"/>
      <c r="C1561" s="23" t="inlineStr">
        <is>
          <t>Cost &amp; Forecast Control Accounts</t>
        </is>
      </c>
      <c r="D1561" s="23" t="inlineStr">
        <is>
          <t>CST-05-017</t>
        </is>
      </c>
      <c r="E1561" s="23" t="inlineStr">
        <is>
          <t>Testing &amp; readiness - trial running - control account</t>
        </is>
      </c>
      <c r="F1561" s="23" t="inlineStr">
        <is>
          <t>UNSURE</t>
        </is>
      </c>
      <c r="G1561" s="23" t="inlineStr">
        <is>
          <t>RETAINED</t>
        </is>
      </c>
      <c r="H1561" s="23" t="inlineStr">
        <is>
          <t>Carried forward</t>
        </is>
      </c>
      <c r="I1561" s="23" t="inlineStr">
        <is>
          <t>Earlier professional decision, carried forward</t>
        </is>
      </c>
      <c r="J1561" s="23" t="inlineStr">
        <is>
          <t>Maya Chen, Owner Project Controls</t>
        </is>
      </c>
      <c r="K1561" s="23" t="inlineStr">
        <is>
          <t>Professional</t>
        </is>
      </c>
      <c r="L1561" s="23" t="inlineStr"/>
      <c r="M1561" s="23" t="inlineStr">
        <is>
          <t>Cost &amp; Forecast Control Accounts Cycle 2</t>
        </is>
      </c>
      <c r="N1561" s="23" t="inlineStr">
        <is>
          <t>Rev 1</t>
        </is>
      </c>
      <c r="O1561" s="23" t="inlineStr">
        <is>
          <t>R1419-v3</t>
        </is>
      </c>
      <c r="P1561" s="23" t="inlineStr"/>
      <c r="Q1561" s="23" t="inlineStr"/>
      <c r="R1561" s="23" t="inlineStr"/>
      <c r="S1561" s="23" t="inlineStr"/>
      <c r="T1561" s="23" t="inlineStr">
        <is>
          <t>Group decision (81 records sharing one decision state), carried forward</t>
        </is>
      </c>
      <c r="U1561" s="23" t="inlineStr"/>
      <c r="V1561" s="23" t="inlineStr">
        <is>
          <t>Cost Account = CA-5017</t>
        </is>
      </c>
      <c r="W1561" s="23" t="inlineStr"/>
    </row>
    <row r="1562" ht="94" customHeight="1">
      <c r="A1562" s="23" t="inlineStr">
        <is>
          <t>UNSURE</t>
        </is>
      </c>
      <c r="B1562" s="23" t="inlineStr"/>
      <c r="C1562" s="23" t="inlineStr">
        <is>
          <t>Cost &amp; Forecast Control Accounts</t>
        </is>
      </c>
      <c r="D1562" s="23" t="inlineStr">
        <is>
          <t>CST-05-018</t>
        </is>
      </c>
      <c r="E1562" s="23" t="inlineStr">
        <is>
          <t>Testing &amp; readiness - safety certification - control account</t>
        </is>
      </c>
      <c r="F1562" s="23" t="inlineStr">
        <is>
          <t>UNSURE</t>
        </is>
      </c>
      <c r="G1562" s="23" t="inlineStr">
        <is>
          <t>RETAINED</t>
        </is>
      </c>
      <c r="H1562" s="23" t="inlineStr">
        <is>
          <t>Carried forward</t>
        </is>
      </c>
      <c r="I1562" s="23" t="inlineStr">
        <is>
          <t>Earlier professional decision, carried forward</t>
        </is>
      </c>
      <c r="J1562" s="23" t="inlineStr">
        <is>
          <t>Maya Chen, Owner Project Controls</t>
        </is>
      </c>
      <c r="K1562" s="23" t="inlineStr">
        <is>
          <t>Professional</t>
        </is>
      </c>
      <c r="L1562" s="23" t="inlineStr"/>
      <c r="M1562" s="23" t="inlineStr">
        <is>
          <t>Cost &amp; Forecast Control Accounts Cycle 2</t>
        </is>
      </c>
      <c r="N1562" s="23" t="inlineStr">
        <is>
          <t>Rev 1</t>
        </is>
      </c>
      <c r="O1562" s="23" t="inlineStr">
        <is>
          <t>R1420-v3</t>
        </is>
      </c>
      <c r="P1562" s="23" t="inlineStr"/>
      <c r="Q1562" s="23" t="inlineStr"/>
      <c r="R1562" s="23" t="inlineStr"/>
      <c r="S1562" s="23" t="inlineStr"/>
      <c r="T1562" s="23" t="inlineStr">
        <is>
          <t>Group decision (81 records sharing one decision state), carried forward</t>
        </is>
      </c>
      <c r="U1562" s="23" t="inlineStr"/>
      <c r="V1562" s="23" t="inlineStr">
        <is>
          <t>Cost Account = CA-5018</t>
        </is>
      </c>
      <c r="W1562" s="23" t="inlineStr"/>
    </row>
    <row r="1563" ht="94" customHeight="1">
      <c r="A1563" s="23" t="inlineStr">
        <is>
          <t>UNSURE</t>
        </is>
      </c>
      <c r="B1563" s="23" t="inlineStr"/>
      <c r="C1563" s="23" t="inlineStr">
        <is>
          <t>Cost &amp; Forecast Control Accounts</t>
        </is>
      </c>
      <c r="D1563" s="23" t="inlineStr">
        <is>
          <t>CST-05-019</t>
        </is>
      </c>
      <c r="E1563" s="23" t="inlineStr">
        <is>
          <t>Testing &amp; readiness - defect closeout - control account</t>
        </is>
      </c>
      <c r="F1563" s="23" t="inlineStr">
        <is>
          <t>UNSURE</t>
        </is>
      </c>
      <c r="G1563" s="23" t="inlineStr">
        <is>
          <t>RETAINED</t>
        </is>
      </c>
      <c r="H1563" s="23" t="inlineStr">
        <is>
          <t>Carried forward</t>
        </is>
      </c>
      <c r="I1563" s="23" t="inlineStr">
        <is>
          <t>Earlier professional decision, carried forward</t>
        </is>
      </c>
      <c r="J1563" s="23" t="inlineStr">
        <is>
          <t>Maya Chen, Owner Project Controls</t>
        </is>
      </c>
      <c r="K1563" s="23" t="inlineStr">
        <is>
          <t>Professional</t>
        </is>
      </c>
      <c r="L1563" s="23" t="inlineStr"/>
      <c r="M1563" s="23" t="inlineStr">
        <is>
          <t>Cost &amp; Forecast Control Accounts Cycle 2</t>
        </is>
      </c>
      <c r="N1563" s="23" t="inlineStr">
        <is>
          <t>Rev 1</t>
        </is>
      </c>
      <c r="O1563" s="23" t="inlineStr">
        <is>
          <t>R1421-v3</t>
        </is>
      </c>
      <c r="P1563" s="23" t="inlineStr"/>
      <c r="Q1563" s="23" t="inlineStr"/>
      <c r="R1563" s="23" t="inlineStr"/>
      <c r="S1563" s="23" t="inlineStr"/>
      <c r="T1563" s="23" t="inlineStr">
        <is>
          <t>Group decision (81 records sharing one decision state), carried forward</t>
        </is>
      </c>
      <c r="U1563" s="23" t="inlineStr"/>
      <c r="V1563" s="23" t="inlineStr">
        <is>
          <t>Cost Account = CA-5019</t>
        </is>
      </c>
      <c r="W1563" s="23" t="inlineStr"/>
    </row>
    <row r="1564" ht="94" customHeight="1">
      <c r="A1564" s="23" t="inlineStr">
        <is>
          <t>UNSURE</t>
        </is>
      </c>
      <c r="B1564" s="23" t="inlineStr"/>
      <c r="C1564" s="23" t="inlineStr">
        <is>
          <t>Cost &amp; Forecast Control Accounts</t>
        </is>
      </c>
      <c r="D1564" s="23" t="inlineStr">
        <is>
          <t>CST-05-020</t>
        </is>
      </c>
      <c r="E1564" s="23" t="inlineStr">
        <is>
          <t>Testing &amp; readiness - test management - control account</t>
        </is>
      </c>
      <c r="F1564" s="23" t="inlineStr">
        <is>
          <t>UNSURE</t>
        </is>
      </c>
      <c r="G1564" s="23" t="inlineStr">
        <is>
          <t>RETAINED</t>
        </is>
      </c>
      <c r="H1564" s="23" t="inlineStr">
        <is>
          <t>Carried forward</t>
        </is>
      </c>
      <c r="I1564" s="23" t="inlineStr">
        <is>
          <t>Earlier professional decision, carried forward</t>
        </is>
      </c>
      <c r="J1564" s="23" t="inlineStr">
        <is>
          <t>Maya Chen, Owner Project Controls</t>
        </is>
      </c>
      <c r="K1564" s="23" t="inlineStr">
        <is>
          <t>Professional</t>
        </is>
      </c>
      <c r="L1564" s="23" t="inlineStr"/>
      <c r="M1564" s="23" t="inlineStr">
        <is>
          <t>Cost &amp; Forecast Control Accounts Cycle 2</t>
        </is>
      </c>
      <c r="N1564" s="23" t="inlineStr">
        <is>
          <t>Rev 1</t>
        </is>
      </c>
      <c r="O1564" s="23" t="inlineStr">
        <is>
          <t>R1422-v3</t>
        </is>
      </c>
      <c r="P1564" s="23" t="inlineStr"/>
      <c r="Q1564" s="23" t="inlineStr"/>
      <c r="R1564" s="23" t="inlineStr"/>
      <c r="S1564" s="23" t="inlineStr"/>
      <c r="T1564" s="23" t="inlineStr">
        <is>
          <t>Group decision (81 records sharing one decision state), carried forward</t>
        </is>
      </c>
      <c r="U1564" s="23" t="inlineStr"/>
      <c r="V1564" s="23" t="inlineStr">
        <is>
          <t>Cost Account = CA-5020</t>
        </is>
      </c>
      <c r="W1564" s="23" t="inlineStr"/>
    </row>
    <row r="1565" ht="94" customHeight="1">
      <c r="A1565" s="23" t="inlineStr">
        <is>
          <t>UNSURE</t>
        </is>
      </c>
      <c r="B1565" s="23" t="inlineStr"/>
      <c r="C1565" s="23" t="inlineStr">
        <is>
          <t>Cost &amp; Forecast Control Accounts</t>
        </is>
      </c>
      <c r="D1565" s="23" t="inlineStr">
        <is>
          <t>CST-05-021</t>
        </is>
      </c>
      <c r="E1565" s="23" t="inlineStr">
        <is>
          <t>Testing &amp; readiness - trial running - control account</t>
        </is>
      </c>
      <c r="F1565" s="23" t="inlineStr">
        <is>
          <t>UNSURE</t>
        </is>
      </c>
      <c r="G1565" s="23" t="inlineStr">
        <is>
          <t>RETAINED</t>
        </is>
      </c>
      <c r="H1565" s="23" t="inlineStr">
        <is>
          <t>Carried forward</t>
        </is>
      </c>
      <c r="I1565" s="23" t="inlineStr">
        <is>
          <t>Earlier professional decision, carried forward</t>
        </is>
      </c>
      <c r="J1565" s="23" t="inlineStr">
        <is>
          <t>Maya Chen, Owner Project Controls</t>
        </is>
      </c>
      <c r="K1565" s="23" t="inlineStr">
        <is>
          <t>Professional</t>
        </is>
      </c>
      <c r="L1565" s="23" t="inlineStr"/>
      <c r="M1565" s="23" t="inlineStr">
        <is>
          <t>Cost &amp; Forecast Control Accounts Cycle 2</t>
        </is>
      </c>
      <c r="N1565" s="23" t="inlineStr">
        <is>
          <t>Rev 1</t>
        </is>
      </c>
      <c r="O1565" s="23" t="inlineStr">
        <is>
          <t>R1423-v3</t>
        </is>
      </c>
      <c r="P1565" s="23" t="inlineStr"/>
      <c r="Q1565" s="23" t="inlineStr"/>
      <c r="R1565" s="23" t="inlineStr"/>
      <c r="S1565" s="23" t="inlineStr"/>
      <c r="T1565" s="23" t="inlineStr">
        <is>
          <t>Group decision (81 records sharing one decision state), carried forward</t>
        </is>
      </c>
      <c r="U1565" s="23" t="inlineStr"/>
      <c r="V1565" s="23" t="inlineStr">
        <is>
          <t>Cost Account = CA-5021</t>
        </is>
      </c>
      <c r="W1565" s="23" t="inlineStr"/>
    </row>
    <row r="1566" ht="94" customHeight="1">
      <c r="A1566" s="23" t="inlineStr">
        <is>
          <t>UNSURE</t>
        </is>
      </c>
      <c r="B1566" s="23" t="inlineStr"/>
      <c r="C1566" s="23" t="inlineStr">
        <is>
          <t>Cost &amp; Forecast Control Accounts</t>
        </is>
      </c>
      <c r="D1566" s="23" t="inlineStr">
        <is>
          <t>CST-05-022</t>
        </is>
      </c>
      <c r="E1566" s="23" t="inlineStr">
        <is>
          <t>Testing &amp; readiness - safety certification - control account</t>
        </is>
      </c>
      <c r="F1566" s="23" t="inlineStr">
        <is>
          <t>UNSURE</t>
        </is>
      </c>
      <c r="G1566" s="23" t="inlineStr">
        <is>
          <t>RETAINED</t>
        </is>
      </c>
      <c r="H1566" s="23" t="inlineStr">
        <is>
          <t>Carried forward</t>
        </is>
      </c>
      <c r="I1566" s="23" t="inlineStr">
        <is>
          <t>Earlier professional decision, carried forward</t>
        </is>
      </c>
      <c r="J1566" s="23" t="inlineStr">
        <is>
          <t>Maya Chen, Owner Project Controls</t>
        </is>
      </c>
      <c r="K1566" s="23" t="inlineStr">
        <is>
          <t>Professional</t>
        </is>
      </c>
      <c r="L1566" s="23" t="inlineStr"/>
      <c r="M1566" s="23" t="inlineStr">
        <is>
          <t>Cost &amp; Forecast Control Accounts Cycle 2</t>
        </is>
      </c>
      <c r="N1566" s="23" t="inlineStr">
        <is>
          <t>Rev 1</t>
        </is>
      </c>
      <c r="O1566" s="23" t="inlineStr">
        <is>
          <t>R1424-v3</t>
        </is>
      </c>
      <c r="P1566" s="23" t="inlineStr"/>
      <c r="Q1566" s="23" t="inlineStr"/>
      <c r="R1566" s="23" t="inlineStr"/>
      <c r="S1566" s="23" t="inlineStr"/>
      <c r="T1566" s="23" t="inlineStr">
        <is>
          <t>Group decision (81 records sharing one decision state), carried forward</t>
        </is>
      </c>
      <c r="U1566" s="23" t="inlineStr"/>
      <c r="V1566" s="23" t="inlineStr">
        <is>
          <t>Cost Account = CA-5022</t>
        </is>
      </c>
      <c r="W1566" s="23" t="inlineStr"/>
    </row>
    <row r="1567" ht="94" customHeight="1">
      <c r="A1567" s="23" t="inlineStr">
        <is>
          <t>UNSURE</t>
        </is>
      </c>
      <c r="B1567" s="23" t="inlineStr"/>
      <c r="C1567" s="23" t="inlineStr">
        <is>
          <t>Cost &amp; Forecast Control Accounts</t>
        </is>
      </c>
      <c r="D1567" s="23" t="inlineStr">
        <is>
          <t>CST-05-023</t>
        </is>
      </c>
      <c r="E1567" s="23" t="inlineStr">
        <is>
          <t>Testing &amp; readiness - defect closeout - control account</t>
        </is>
      </c>
      <c r="F1567" s="23" t="inlineStr">
        <is>
          <t>UNSURE</t>
        </is>
      </c>
      <c r="G1567" s="23" t="inlineStr">
        <is>
          <t>RETAINED</t>
        </is>
      </c>
      <c r="H1567" s="23" t="inlineStr">
        <is>
          <t>Carried forward</t>
        </is>
      </c>
      <c r="I1567" s="23" t="inlineStr">
        <is>
          <t>Earlier professional decision, carried forward</t>
        </is>
      </c>
      <c r="J1567" s="23" t="inlineStr">
        <is>
          <t>Maya Chen, Owner Project Controls</t>
        </is>
      </c>
      <c r="K1567" s="23" t="inlineStr">
        <is>
          <t>Professional</t>
        </is>
      </c>
      <c r="L1567" s="23" t="inlineStr"/>
      <c r="M1567" s="23" t="inlineStr">
        <is>
          <t>Cost &amp; Forecast Control Accounts Cycle 2</t>
        </is>
      </c>
      <c r="N1567" s="23" t="inlineStr">
        <is>
          <t>Rev 1</t>
        </is>
      </c>
      <c r="O1567" s="23" t="inlineStr">
        <is>
          <t>R1425-v3</t>
        </is>
      </c>
      <c r="P1567" s="23" t="inlineStr"/>
      <c r="Q1567" s="23" t="inlineStr"/>
      <c r="R1567" s="23" t="inlineStr"/>
      <c r="S1567" s="23" t="inlineStr"/>
      <c r="T1567" s="23" t="inlineStr">
        <is>
          <t>Group decision (81 records sharing one decision state), carried forward</t>
        </is>
      </c>
      <c r="U1567" s="23" t="inlineStr"/>
      <c r="V1567" s="23" t="inlineStr">
        <is>
          <t>Cost Account = CA-5023</t>
        </is>
      </c>
      <c r="W1567" s="23" t="inlineStr"/>
    </row>
    <row r="1568" ht="94" customHeight="1">
      <c r="A1568" s="23" t="inlineStr">
        <is>
          <t>UNSURE</t>
        </is>
      </c>
      <c r="B1568" s="23" t="inlineStr"/>
      <c r="C1568" s="23" t="inlineStr">
        <is>
          <t>Cost &amp; Forecast Control Accounts</t>
        </is>
      </c>
      <c r="D1568" s="23" t="inlineStr">
        <is>
          <t>CST-05-024</t>
        </is>
      </c>
      <c r="E1568" s="23" t="inlineStr">
        <is>
          <t>Testing &amp; readiness - test management - control account</t>
        </is>
      </c>
      <c r="F1568" s="23" t="inlineStr">
        <is>
          <t>UNSURE</t>
        </is>
      </c>
      <c r="G1568" s="23" t="inlineStr">
        <is>
          <t>RETAINED</t>
        </is>
      </c>
      <c r="H1568" s="23" t="inlineStr">
        <is>
          <t>Carried forward</t>
        </is>
      </c>
      <c r="I1568" s="23" t="inlineStr">
        <is>
          <t>Earlier professional decision, carried forward</t>
        </is>
      </c>
      <c r="J1568" s="23" t="inlineStr">
        <is>
          <t>Maya Chen, Owner Project Controls</t>
        </is>
      </c>
      <c r="K1568" s="23" t="inlineStr">
        <is>
          <t>Professional</t>
        </is>
      </c>
      <c r="L1568" s="23" t="inlineStr"/>
      <c r="M1568" s="23" t="inlineStr">
        <is>
          <t>Cost &amp; Forecast Control Accounts Cycle 2</t>
        </is>
      </c>
      <c r="N1568" s="23" t="inlineStr">
        <is>
          <t>Rev 1</t>
        </is>
      </c>
      <c r="O1568" s="23" t="inlineStr">
        <is>
          <t>R1426-v3</t>
        </is>
      </c>
      <c r="P1568" s="23" t="inlineStr"/>
      <c r="Q1568" s="23" t="inlineStr"/>
      <c r="R1568" s="23" t="inlineStr"/>
      <c r="S1568" s="23" t="inlineStr"/>
      <c r="T1568" s="23" t="inlineStr">
        <is>
          <t>Group decision (81 records sharing one decision state), carried forward</t>
        </is>
      </c>
      <c r="U1568" s="23" t="inlineStr"/>
      <c r="V1568" s="23" t="inlineStr">
        <is>
          <t>Cost Account = CA-5024</t>
        </is>
      </c>
      <c r="W1568" s="23" t="inlineStr"/>
    </row>
    <row r="1569" ht="94" customHeight="1">
      <c r="A1569" s="23" t="inlineStr">
        <is>
          <t>UNSURE</t>
        </is>
      </c>
      <c r="B1569" s="23" t="inlineStr"/>
      <c r="C1569" s="23" t="inlineStr">
        <is>
          <t>Cost &amp; Forecast Control Accounts</t>
        </is>
      </c>
      <c r="D1569" s="23" t="inlineStr">
        <is>
          <t>CST-05-025</t>
        </is>
      </c>
      <c r="E1569" s="23" t="inlineStr">
        <is>
          <t>Testing &amp; readiness - trial running - control account</t>
        </is>
      </c>
      <c r="F1569" s="23" t="inlineStr">
        <is>
          <t>UNSURE</t>
        </is>
      </c>
      <c r="G1569" s="23" t="inlineStr">
        <is>
          <t>RETAINED</t>
        </is>
      </c>
      <c r="H1569" s="23" t="inlineStr">
        <is>
          <t>Carried forward</t>
        </is>
      </c>
      <c r="I1569" s="23" t="inlineStr">
        <is>
          <t>Earlier professional decision, carried forward</t>
        </is>
      </c>
      <c r="J1569" s="23" t="inlineStr">
        <is>
          <t>Maya Chen, Owner Project Controls</t>
        </is>
      </c>
      <c r="K1569" s="23" t="inlineStr">
        <is>
          <t>Professional</t>
        </is>
      </c>
      <c r="L1569" s="23" t="inlineStr"/>
      <c r="M1569" s="23" t="inlineStr">
        <is>
          <t>Cost &amp; Forecast Control Accounts Cycle 2</t>
        </is>
      </c>
      <c r="N1569" s="23" t="inlineStr">
        <is>
          <t>Rev 1</t>
        </is>
      </c>
      <c r="O1569" s="23" t="inlineStr">
        <is>
          <t>R1427-v3</t>
        </is>
      </c>
      <c r="P1569" s="23" t="inlineStr"/>
      <c r="Q1569" s="23" t="inlineStr"/>
      <c r="R1569" s="23" t="inlineStr"/>
      <c r="S1569" s="23" t="inlineStr"/>
      <c r="T1569" s="23" t="inlineStr">
        <is>
          <t>Group decision (81 records sharing one decision state), carried forward</t>
        </is>
      </c>
      <c r="U1569" s="23" t="inlineStr"/>
      <c r="V1569" s="23" t="inlineStr">
        <is>
          <t>Cost Account = CA-5025</t>
        </is>
      </c>
      <c r="W1569" s="23" t="inlineStr"/>
    </row>
    <row r="1570" ht="94" customHeight="1">
      <c r="A1570" s="23" t="inlineStr">
        <is>
          <t>UNSURE</t>
        </is>
      </c>
      <c r="B1570" s="23" t="inlineStr"/>
      <c r="C1570" s="23" t="inlineStr">
        <is>
          <t>Cost &amp; Forecast Control Accounts</t>
        </is>
      </c>
      <c r="D1570" s="23" t="inlineStr">
        <is>
          <t>CST-05-026</t>
        </is>
      </c>
      <c r="E1570" s="23" t="inlineStr">
        <is>
          <t>Testing &amp; readiness - safety certification - control account</t>
        </is>
      </c>
      <c r="F1570" s="23" t="inlineStr">
        <is>
          <t>UNSURE</t>
        </is>
      </c>
      <c r="G1570" s="23" t="inlineStr">
        <is>
          <t>RETAINED</t>
        </is>
      </c>
      <c r="H1570" s="23" t="inlineStr">
        <is>
          <t>Carried forward</t>
        </is>
      </c>
      <c r="I1570" s="23" t="inlineStr">
        <is>
          <t>Earlier professional decision, carried forward</t>
        </is>
      </c>
      <c r="J1570" s="23" t="inlineStr">
        <is>
          <t>Maya Chen, Owner Project Controls</t>
        </is>
      </c>
      <c r="K1570" s="23" t="inlineStr">
        <is>
          <t>Professional</t>
        </is>
      </c>
      <c r="L1570" s="23" t="inlineStr"/>
      <c r="M1570" s="23" t="inlineStr">
        <is>
          <t>Cost &amp; Forecast Control Accounts Cycle 2</t>
        </is>
      </c>
      <c r="N1570" s="23" t="inlineStr">
        <is>
          <t>Rev 1</t>
        </is>
      </c>
      <c r="O1570" s="23" t="inlineStr">
        <is>
          <t>R1428-v3</t>
        </is>
      </c>
      <c r="P1570" s="23" t="inlineStr"/>
      <c r="Q1570" s="23" t="inlineStr"/>
      <c r="R1570" s="23" t="inlineStr"/>
      <c r="S1570" s="23" t="inlineStr"/>
      <c r="T1570" s="23" t="inlineStr">
        <is>
          <t>Group decision (81 records sharing one decision state), carried forward</t>
        </is>
      </c>
      <c r="U1570" s="23" t="inlineStr"/>
      <c r="V1570" s="23" t="inlineStr">
        <is>
          <t>Cost Account = CA-5026</t>
        </is>
      </c>
      <c r="W1570" s="23" t="inlineStr"/>
    </row>
    <row r="1571" ht="94" customHeight="1">
      <c r="A1571" s="23" t="inlineStr">
        <is>
          <t>UNSURE</t>
        </is>
      </c>
      <c r="B1571" s="23" t="inlineStr"/>
      <c r="C1571" s="23" t="inlineStr">
        <is>
          <t>Cost &amp; Forecast Control Accounts</t>
        </is>
      </c>
      <c r="D1571" s="23" t="inlineStr">
        <is>
          <t>CST-05-027</t>
        </is>
      </c>
      <c r="E1571" s="23" t="inlineStr">
        <is>
          <t>Testing &amp; readiness - defect closeout - control account</t>
        </is>
      </c>
      <c r="F1571" s="23" t="inlineStr">
        <is>
          <t>UNSURE</t>
        </is>
      </c>
      <c r="G1571" s="23" t="inlineStr">
        <is>
          <t>RETAINED</t>
        </is>
      </c>
      <c r="H1571" s="23" t="inlineStr">
        <is>
          <t>Carried forward</t>
        </is>
      </c>
      <c r="I1571" s="23" t="inlineStr">
        <is>
          <t>Earlier professional decision, carried forward</t>
        </is>
      </c>
      <c r="J1571" s="23" t="inlineStr">
        <is>
          <t>Maya Chen, Owner Project Controls</t>
        </is>
      </c>
      <c r="K1571" s="23" t="inlineStr">
        <is>
          <t>Professional</t>
        </is>
      </c>
      <c r="L1571" s="23" t="inlineStr"/>
      <c r="M1571" s="23" t="inlineStr">
        <is>
          <t>Cost &amp; Forecast Control Accounts Cycle 2</t>
        </is>
      </c>
      <c r="N1571" s="23" t="inlineStr">
        <is>
          <t>Rev 1</t>
        </is>
      </c>
      <c r="O1571" s="23" t="inlineStr">
        <is>
          <t>R1429-v3</t>
        </is>
      </c>
      <c r="P1571" s="23" t="inlineStr"/>
      <c r="Q1571" s="23" t="inlineStr"/>
      <c r="R1571" s="23" t="inlineStr"/>
      <c r="S1571" s="23" t="inlineStr"/>
      <c r="T1571" s="23" t="inlineStr">
        <is>
          <t>Group decision (81 records sharing one decision state), carried forward</t>
        </is>
      </c>
      <c r="U1571" s="23" t="inlineStr"/>
      <c r="V1571" s="23" t="inlineStr">
        <is>
          <t>Cost Account = CA-5027</t>
        </is>
      </c>
      <c r="W1571" s="23" t="inlineStr"/>
    </row>
    <row r="1572" ht="94" customHeight="1">
      <c r="A1572" s="23" t="inlineStr">
        <is>
          <t>UNSURE</t>
        </is>
      </c>
      <c r="B1572" s="23" t="inlineStr"/>
      <c r="C1572" s="23" t="inlineStr">
        <is>
          <t>Cost &amp; Forecast Control Accounts</t>
        </is>
      </c>
      <c r="D1572" s="23" t="inlineStr">
        <is>
          <t>CST-05-028</t>
        </is>
      </c>
      <c r="E1572" s="23" t="inlineStr">
        <is>
          <t>Testing &amp; readiness - test management - control account</t>
        </is>
      </c>
      <c r="F1572" s="23" t="inlineStr">
        <is>
          <t>UNSURE</t>
        </is>
      </c>
      <c r="G1572" s="23" t="inlineStr">
        <is>
          <t>RETAINED</t>
        </is>
      </c>
      <c r="H1572" s="23" t="inlineStr">
        <is>
          <t>Carried forward</t>
        </is>
      </c>
      <c r="I1572" s="23" t="inlineStr">
        <is>
          <t>Earlier professional decision, carried forward</t>
        </is>
      </c>
      <c r="J1572" s="23" t="inlineStr">
        <is>
          <t>Maya Chen, Owner Project Controls</t>
        </is>
      </c>
      <c r="K1572" s="23" t="inlineStr">
        <is>
          <t>Professional</t>
        </is>
      </c>
      <c r="L1572" s="23" t="inlineStr"/>
      <c r="M1572" s="23" t="inlineStr">
        <is>
          <t>Cost &amp; Forecast Control Accounts Cycle 2</t>
        </is>
      </c>
      <c r="N1572" s="23" t="inlineStr">
        <is>
          <t>Rev 1</t>
        </is>
      </c>
      <c r="O1572" s="23" t="inlineStr">
        <is>
          <t>R1430-v3</t>
        </is>
      </c>
      <c r="P1572" s="23" t="inlineStr"/>
      <c r="Q1572" s="23" t="inlineStr"/>
      <c r="R1572" s="23" t="inlineStr"/>
      <c r="S1572" s="23" t="inlineStr"/>
      <c r="T1572" s="23" t="inlineStr">
        <is>
          <t>Group decision (81 records sharing one decision state), carried forward</t>
        </is>
      </c>
      <c r="U1572" s="23" t="inlineStr"/>
      <c r="V1572" s="23" t="inlineStr">
        <is>
          <t>Cost Account = CA-5028</t>
        </is>
      </c>
      <c r="W1572" s="23" t="inlineStr"/>
    </row>
    <row r="1573" ht="94" customHeight="1">
      <c r="A1573" s="23" t="inlineStr">
        <is>
          <t>UNSURE</t>
        </is>
      </c>
      <c r="B1573" s="23" t="inlineStr"/>
      <c r="C1573" s="23" t="inlineStr">
        <is>
          <t>Cost &amp; Forecast Control Accounts</t>
        </is>
      </c>
      <c r="D1573" s="23" t="inlineStr">
        <is>
          <t>CST-05-029</t>
        </is>
      </c>
      <c r="E1573" s="23" t="inlineStr">
        <is>
          <t>Testing &amp; readiness - trial running - control account</t>
        </is>
      </c>
      <c r="F1573" s="23" t="inlineStr">
        <is>
          <t>UNSURE</t>
        </is>
      </c>
      <c r="G1573" s="23" t="inlineStr">
        <is>
          <t>RETAINED</t>
        </is>
      </c>
      <c r="H1573" s="23" t="inlineStr">
        <is>
          <t>Carried forward</t>
        </is>
      </c>
      <c r="I1573" s="23" t="inlineStr">
        <is>
          <t>Earlier professional decision, carried forward</t>
        </is>
      </c>
      <c r="J1573" s="23" t="inlineStr">
        <is>
          <t>Maya Chen, Owner Project Controls</t>
        </is>
      </c>
      <c r="K1573" s="23" t="inlineStr">
        <is>
          <t>Professional</t>
        </is>
      </c>
      <c r="L1573" s="23" t="inlineStr"/>
      <c r="M1573" s="23" t="inlineStr">
        <is>
          <t>Cost &amp; Forecast Control Accounts Cycle 2</t>
        </is>
      </c>
      <c r="N1573" s="23" t="inlineStr">
        <is>
          <t>Rev 1</t>
        </is>
      </c>
      <c r="O1573" s="23" t="inlineStr">
        <is>
          <t>R1431-v3</t>
        </is>
      </c>
      <c r="P1573" s="23" t="inlineStr"/>
      <c r="Q1573" s="23" t="inlineStr"/>
      <c r="R1573" s="23" t="inlineStr"/>
      <c r="S1573" s="23" t="inlineStr"/>
      <c r="T1573" s="23" t="inlineStr">
        <is>
          <t>Group decision (81 records sharing one decision state), carried forward</t>
        </is>
      </c>
      <c r="U1573" s="23" t="inlineStr"/>
      <c r="V1573" s="23" t="inlineStr">
        <is>
          <t>Cost Account = CA-5029</t>
        </is>
      </c>
      <c r="W1573" s="23" t="inlineStr"/>
    </row>
    <row r="1574" ht="94" customHeight="1">
      <c r="A1574" s="23" t="inlineStr">
        <is>
          <t>UNSURE</t>
        </is>
      </c>
      <c r="B1574" s="23" t="inlineStr"/>
      <c r="C1574" s="23" t="inlineStr">
        <is>
          <t>Cost &amp; Forecast Control Accounts</t>
        </is>
      </c>
      <c r="D1574" s="23" t="inlineStr">
        <is>
          <t>CST-05-030</t>
        </is>
      </c>
      <c r="E1574" s="23" t="inlineStr">
        <is>
          <t>Testing &amp; readiness - safety certification - control account</t>
        </is>
      </c>
      <c r="F1574" s="23" t="inlineStr">
        <is>
          <t>UNSURE</t>
        </is>
      </c>
      <c r="G1574" s="23" t="inlineStr">
        <is>
          <t>RETAINED</t>
        </is>
      </c>
      <c r="H1574" s="23" t="inlineStr">
        <is>
          <t>Carried forward</t>
        </is>
      </c>
      <c r="I1574" s="23" t="inlineStr">
        <is>
          <t>Earlier professional decision, carried forward</t>
        </is>
      </c>
      <c r="J1574" s="23" t="inlineStr">
        <is>
          <t>Maya Chen, Owner Project Controls</t>
        </is>
      </c>
      <c r="K1574" s="23" t="inlineStr">
        <is>
          <t>Professional</t>
        </is>
      </c>
      <c r="L1574" s="23" t="inlineStr"/>
      <c r="M1574" s="23" t="inlineStr">
        <is>
          <t>Cost &amp; Forecast Control Accounts Cycle 2</t>
        </is>
      </c>
      <c r="N1574" s="23" t="inlineStr">
        <is>
          <t>Rev 1</t>
        </is>
      </c>
      <c r="O1574" s="23" t="inlineStr">
        <is>
          <t>R1432-v3</t>
        </is>
      </c>
      <c r="P1574" s="23" t="inlineStr"/>
      <c r="Q1574" s="23" t="inlineStr"/>
      <c r="R1574" s="23" t="inlineStr"/>
      <c r="S1574" s="23" t="inlineStr"/>
      <c r="T1574" s="23" t="inlineStr">
        <is>
          <t>Group decision (81 records sharing one decision state), carried forward</t>
        </is>
      </c>
      <c r="U1574" s="23" t="inlineStr"/>
      <c r="V1574" s="23" t="inlineStr">
        <is>
          <t>Cost Account = CA-5030</t>
        </is>
      </c>
      <c r="W1574" s="23" t="inlineStr"/>
    </row>
    <row r="1575" ht="94" customHeight="1">
      <c r="A1575" s="23" t="inlineStr">
        <is>
          <t>UNSURE</t>
        </is>
      </c>
      <c r="B1575" s="23" t="inlineStr"/>
      <c r="C1575" s="23" t="inlineStr">
        <is>
          <t>Cost &amp; Forecast Control Accounts</t>
        </is>
      </c>
      <c r="D1575" s="23" t="inlineStr">
        <is>
          <t>CST-05-031</t>
        </is>
      </c>
      <c r="E1575" s="23" t="inlineStr">
        <is>
          <t>Testing &amp; readiness - defect closeout - control account</t>
        </is>
      </c>
      <c r="F1575" s="23" t="inlineStr">
        <is>
          <t>UNSURE</t>
        </is>
      </c>
      <c r="G1575" s="23" t="inlineStr">
        <is>
          <t>RETAINED</t>
        </is>
      </c>
      <c r="H1575" s="23" t="inlineStr">
        <is>
          <t>Carried forward</t>
        </is>
      </c>
      <c r="I1575" s="23" t="inlineStr">
        <is>
          <t>Earlier professional decision, carried forward</t>
        </is>
      </c>
      <c r="J1575" s="23" t="inlineStr">
        <is>
          <t>Maya Chen, Owner Project Controls</t>
        </is>
      </c>
      <c r="K1575" s="23" t="inlineStr">
        <is>
          <t>Professional</t>
        </is>
      </c>
      <c r="L1575" s="23" t="inlineStr"/>
      <c r="M1575" s="23" t="inlineStr">
        <is>
          <t>Cost &amp; Forecast Control Accounts Cycle 2</t>
        </is>
      </c>
      <c r="N1575" s="23" t="inlineStr">
        <is>
          <t>Rev 1</t>
        </is>
      </c>
      <c r="O1575" s="23" t="inlineStr">
        <is>
          <t>R1433-v3</t>
        </is>
      </c>
      <c r="P1575" s="23" t="inlineStr"/>
      <c r="Q1575" s="23" t="inlineStr"/>
      <c r="R1575" s="23" t="inlineStr"/>
      <c r="S1575" s="23" t="inlineStr"/>
      <c r="T1575" s="23" t="inlineStr">
        <is>
          <t>Group decision (81 records sharing one decision state), carried forward</t>
        </is>
      </c>
      <c r="U1575" s="23" t="inlineStr"/>
      <c r="V1575" s="23" t="inlineStr">
        <is>
          <t>Cost Account = CA-5031</t>
        </is>
      </c>
      <c r="W1575" s="23" t="inlineStr"/>
    </row>
    <row r="1576" ht="94" customHeight="1">
      <c r="A1576" s="23" t="inlineStr">
        <is>
          <t>UNSURE</t>
        </is>
      </c>
      <c r="B1576" s="23" t="inlineStr"/>
      <c r="C1576" s="23" t="inlineStr">
        <is>
          <t>Cost &amp; Forecast Control Accounts</t>
        </is>
      </c>
      <c r="D1576" s="23" t="inlineStr">
        <is>
          <t>CST-05-032</t>
        </is>
      </c>
      <c r="E1576" s="23" t="inlineStr">
        <is>
          <t>Testing &amp; readiness - test management - control account</t>
        </is>
      </c>
      <c r="F1576" s="23" t="inlineStr">
        <is>
          <t>UNSURE</t>
        </is>
      </c>
      <c r="G1576" s="23" t="inlineStr">
        <is>
          <t>RETAINED</t>
        </is>
      </c>
      <c r="H1576" s="23" t="inlineStr">
        <is>
          <t>Carried forward</t>
        </is>
      </c>
      <c r="I1576" s="23" t="inlineStr">
        <is>
          <t>Earlier professional decision, carried forward</t>
        </is>
      </c>
      <c r="J1576" s="23" t="inlineStr">
        <is>
          <t>Maya Chen, Owner Project Controls</t>
        </is>
      </c>
      <c r="K1576" s="23" t="inlineStr">
        <is>
          <t>Professional</t>
        </is>
      </c>
      <c r="L1576" s="23" t="inlineStr"/>
      <c r="M1576" s="23" t="inlineStr">
        <is>
          <t>Cost &amp; Forecast Control Accounts Cycle 2</t>
        </is>
      </c>
      <c r="N1576" s="23" t="inlineStr">
        <is>
          <t>Rev 1</t>
        </is>
      </c>
      <c r="O1576" s="23" t="inlineStr">
        <is>
          <t>R1434-v3</t>
        </is>
      </c>
      <c r="P1576" s="23" t="inlineStr"/>
      <c r="Q1576" s="23" t="inlineStr"/>
      <c r="R1576" s="23" t="inlineStr"/>
      <c r="S1576" s="23" t="inlineStr"/>
      <c r="T1576" s="23" t="inlineStr">
        <is>
          <t>Group decision (81 records sharing one decision state), carried forward</t>
        </is>
      </c>
      <c r="U1576" s="23" t="inlineStr"/>
      <c r="V1576" s="23" t="inlineStr">
        <is>
          <t>Cost Account = CA-5032</t>
        </is>
      </c>
      <c r="W1576" s="23" t="inlineStr"/>
    </row>
    <row r="1577" ht="94" customHeight="1">
      <c r="A1577" s="23" t="inlineStr">
        <is>
          <t>UNSURE</t>
        </is>
      </c>
      <c r="B1577" s="23" t="inlineStr"/>
      <c r="C1577" s="23" t="inlineStr">
        <is>
          <t>Cost &amp; Forecast Control Accounts</t>
        </is>
      </c>
      <c r="D1577" s="23" t="inlineStr">
        <is>
          <t>CST-05-033</t>
        </is>
      </c>
      <c r="E1577" s="23" t="inlineStr">
        <is>
          <t>Testing &amp; readiness - trial running - control account</t>
        </is>
      </c>
      <c r="F1577" s="23" t="inlineStr">
        <is>
          <t>UNSURE</t>
        </is>
      </c>
      <c r="G1577" s="23" t="inlineStr">
        <is>
          <t>RETAINED</t>
        </is>
      </c>
      <c r="H1577" s="23" t="inlineStr">
        <is>
          <t>Carried forward</t>
        </is>
      </c>
      <c r="I1577" s="23" t="inlineStr">
        <is>
          <t>Earlier professional decision, carried forward</t>
        </is>
      </c>
      <c r="J1577" s="23" t="inlineStr">
        <is>
          <t>Maya Chen, Owner Project Controls</t>
        </is>
      </c>
      <c r="K1577" s="23" t="inlineStr">
        <is>
          <t>Professional</t>
        </is>
      </c>
      <c r="L1577" s="23" t="inlineStr"/>
      <c r="M1577" s="23" t="inlineStr">
        <is>
          <t>Cost &amp; Forecast Control Accounts Cycle 2</t>
        </is>
      </c>
      <c r="N1577" s="23" t="inlineStr">
        <is>
          <t>Rev 1</t>
        </is>
      </c>
      <c r="O1577" s="23" t="inlineStr">
        <is>
          <t>R1435-v3</t>
        </is>
      </c>
      <c r="P1577" s="23" t="inlineStr"/>
      <c r="Q1577" s="23" t="inlineStr"/>
      <c r="R1577" s="23" t="inlineStr"/>
      <c r="S1577" s="23" t="inlineStr"/>
      <c r="T1577" s="23" t="inlineStr">
        <is>
          <t>Group decision (81 records sharing one decision state), carried forward</t>
        </is>
      </c>
      <c r="U1577" s="23" t="inlineStr"/>
      <c r="V1577" s="23" t="inlineStr">
        <is>
          <t>Cost Account = CA-5033</t>
        </is>
      </c>
      <c r="W1577" s="23" t="inlineStr"/>
    </row>
    <row r="1578" ht="94" customHeight="1">
      <c r="A1578" s="23" t="inlineStr">
        <is>
          <t>UNSURE</t>
        </is>
      </c>
      <c r="B1578" s="23" t="inlineStr"/>
      <c r="C1578" s="23" t="inlineStr">
        <is>
          <t>Cost &amp; Forecast Control Accounts</t>
        </is>
      </c>
      <c r="D1578" s="23" t="inlineStr">
        <is>
          <t>CST-05-034</t>
        </is>
      </c>
      <c r="E1578" s="23" t="inlineStr">
        <is>
          <t>Testing &amp; readiness - safety certification - control account</t>
        </is>
      </c>
      <c r="F1578" s="23" t="inlineStr">
        <is>
          <t>UNSURE</t>
        </is>
      </c>
      <c r="G1578" s="23" t="inlineStr">
        <is>
          <t>RETAINED</t>
        </is>
      </c>
      <c r="H1578" s="23" t="inlineStr">
        <is>
          <t>Carried forward</t>
        </is>
      </c>
      <c r="I1578" s="23" t="inlineStr">
        <is>
          <t>Earlier professional decision, carried forward</t>
        </is>
      </c>
      <c r="J1578" s="23" t="inlineStr">
        <is>
          <t>Maya Chen, Owner Project Controls</t>
        </is>
      </c>
      <c r="K1578" s="23" t="inlineStr">
        <is>
          <t>Professional</t>
        </is>
      </c>
      <c r="L1578" s="23" t="inlineStr"/>
      <c r="M1578" s="23" t="inlineStr">
        <is>
          <t>Cost &amp; Forecast Control Accounts Cycle 2</t>
        </is>
      </c>
      <c r="N1578" s="23" t="inlineStr">
        <is>
          <t>Rev 1</t>
        </is>
      </c>
      <c r="O1578" s="23" t="inlineStr">
        <is>
          <t>R1436-v3</t>
        </is>
      </c>
      <c r="P1578" s="23" t="inlineStr"/>
      <c r="Q1578" s="23" t="inlineStr"/>
      <c r="R1578" s="23" t="inlineStr"/>
      <c r="S1578" s="23" t="inlineStr"/>
      <c r="T1578" s="23" t="inlineStr">
        <is>
          <t>Group decision (81 records sharing one decision state), carried forward</t>
        </is>
      </c>
      <c r="U1578" s="23" t="inlineStr"/>
      <c r="V1578" s="23" t="inlineStr">
        <is>
          <t>Cost Account = CA-5034</t>
        </is>
      </c>
      <c r="W1578" s="23" t="inlineStr"/>
    </row>
    <row r="1579" ht="94" customHeight="1">
      <c r="A1579" s="23" t="inlineStr">
        <is>
          <t>UNSURE</t>
        </is>
      </c>
      <c r="B1579" s="23" t="inlineStr"/>
      <c r="C1579" s="23" t="inlineStr">
        <is>
          <t>Cost &amp; Forecast Control Accounts</t>
        </is>
      </c>
      <c r="D1579" s="23" t="inlineStr">
        <is>
          <t>CST-05-035</t>
        </is>
      </c>
      <c r="E1579" s="23" t="inlineStr">
        <is>
          <t>Testing &amp; readiness - defect closeout - control account</t>
        </is>
      </c>
      <c r="F1579" s="23" t="inlineStr">
        <is>
          <t>UNSURE</t>
        </is>
      </c>
      <c r="G1579" s="23" t="inlineStr">
        <is>
          <t>RETAINED</t>
        </is>
      </c>
      <c r="H1579" s="23" t="inlineStr">
        <is>
          <t>Carried forward</t>
        </is>
      </c>
      <c r="I1579" s="23" t="inlineStr">
        <is>
          <t>Earlier professional decision, carried forward</t>
        </is>
      </c>
      <c r="J1579" s="23" t="inlineStr">
        <is>
          <t>Maya Chen, Owner Project Controls</t>
        </is>
      </c>
      <c r="K1579" s="23" t="inlineStr">
        <is>
          <t>Professional</t>
        </is>
      </c>
      <c r="L1579" s="23" t="inlineStr"/>
      <c r="M1579" s="23" t="inlineStr">
        <is>
          <t>Cost &amp; Forecast Control Accounts Cycle 2</t>
        </is>
      </c>
      <c r="N1579" s="23" t="inlineStr">
        <is>
          <t>Rev 1</t>
        </is>
      </c>
      <c r="O1579" s="23" t="inlineStr">
        <is>
          <t>R1437-v3</t>
        </is>
      </c>
      <c r="P1579" s="23" t="inlineStr"/>
      <c r="Q1579" s="23" t="inlineStr"/>
      <c r="R1579" s="23" t="inlineStr"/>
      <c r="S1579" s="23" t="inlineStr"/>
      <c r="T1579" s="23" t="inlineStr">
        <is>
          <t>Group decision (81 records sharing one decision state), carried forward</t>
        </is>
      </c>
      <c r="U1579" s="23" t="inlineStr"/>
      <c r="V1579" s="23" t="inlineStr">
        <is>
          <t>Cost Account = CA-5035</t>
        </is>
      </c>
      <c r="W1579" s="23" t="inlineStr"/>
    </row>
    <row r="1580" ht="94" customHeight="1">
      <c r="A1580" s="23" t="inlineStr">
        <is>
          <t>UNSURE</t>
        </is>
      </c>
      <c r="B1580" s="23" t="inlineStr"/>
      <c r="C1580" s="23" t="inlineStr">
        <is>
          <t>Cost &amp; Forecast Control Accounts</t>
        </is>
      </c>
      <c r="D1580" s="23" t="inlineStr">
        <is>
          <t>CST-05-036</t>
        </is>
      </c>
      <c r="E1580" s="23" t="inlineStr">
        <is>
          <t>Testing &amp; readiness - test management - control account</t>
        </is>
      </c>
      <c r="F1580" s="23" t="inlineStr">
        <is>
          <t>UNSURE</t>
        </is>
      </c>
      <c r="G1580" s="23" t="inlineStr">
        <is>
          <t>RETAINED</t>
        </is>
      </c>
      <c r="H1580" s="23" t="inlineStr">
        <is>
          <t>Carried forward</t>
        </is>
      </c>
      <c r="I1580" s="23" t="inlineStr">
        <is>
          <t>Earlier professional decision, carried forward</t>
        </is>
      </c>
      <c r="J1580" s="23" t="inlineStr">
        <is>
          <t>Maya Chen, Owner Project Controls</t>
        </is>
      </c>
      <c r="K1580" s="23" t="inlineStr">
        <is>
          <t>Professional</t>
        </is>
      </c>
      <c r="L1580" s="23" t="inlineStr"/>
      <c r="M1580" s="23" t="inlineStr">
        <is>
          <t>Cost &amp; Forecast Control Accounts Cycle 2</t>
        </is>
      </c>
      <c r="N1580" s="23" t="inlineStr">
        <is>
          <t>Rev 1</t>
        </is>
      </c>
      <c r="O1580" s="23" t="inlineStr">
        <is>
          <t>R1438-v3</t>
        </is>
      </c>
      <c r="P1580" s="23" t="inlineStr"/>
      <c r="Q1580" s="23" t="inlineStr"/>
      <c r="R1580" s="23" t="inlineStr"/>
      <c r="S1580" s="23" t="inlineStr"/>
      <c r="T1580" s="23" t="inlineStr">
        <is>
          <t>Group decision (81 records sharing one decision state), carried forward</t>
        </is>
      </c>
      <c r="U1580" s="23" t="inlineStr"/>
      <c r="V1580" s="23" t="inlineStr">
        <is>
          <t>Cost Account = CA-5036</t>
        </is>
      </c>
      <c r="W1580" s="23" t="inlineStr"/>
    </row>
    <row r="1581" ht="94" customHeight="1">
      <c r="A1581" s="23" t="inlineStr">
        <is>
          <t>UNSURE</t>
        </is>
      </c>
      <c r="B1581" s="23" t="inlineStr"/>
      <c r="C1581" s="23" t="inlineStr">
        <is>
          <t>Cost &amp; Forecast Control Accounts</t>
        </is>
      </c>
      <c r="D1581" s="23" t="inlineStr">
        <is>
          <t>CST-05-037</t>
        </is>
      </c>
      <c r="E1581" s="23" t="inlineStr">
        <is>
          <t>Testing &amp; readiness - trial running - control account</t>
        </is>
      </c>
      <c r="F1581" s="23" t="inlineStr">
        <is>
          <t>UNSURE</t>
        </is>
      </c>
      <c r="G1581" s="23" t="inlineStr">
        <is>
          <t>RETAINED</t>
        </is>
      </c>
      <c r="H1581" s="23" t="inlineStr">
        <is>
          <t>Carried forward</t>
        </is>
      </c>
      <c r="I1581" s="23" t="inlineStr">
        <is>
          <t>Earlier professional decision, carried forward</t>
        </is>
      </c>
      <c r="J1581" s="23" t="inlineStr">
        <is>
          <t>Maya Chen, Owner Project Controls</t>
        </is>
      </c>
      <c r="K1581" s="23" t="inlineStr">
        <is>
          <t>Professional</t>
        </is>
      </c>
      <c r="L1581" s="23" t="inlineStr"/>
      <c r="M1581" s="23" t="inlineStr">
        <is>
          <t>Cost &amp; Forecast Control Accounts Cycle 2</t>
        </is>
      </c>
      <c r="N1581" s="23" t="inlineStr">
        <is>
          <t>Rev 1</t>
        </is>
      </c>
      <c r="O1581" s="23" t="inlineStr">
        <is>
          <t>R1439-v3</t>
        </is>
      </c>
      <c r="P1581" s="23" t="inlineStr"/>
      <c r="Q1581" s="23" t="inlineStr"/>
      <c r="R1581" s="23" t="inlineStr"/>
      <c r="S1581" s="23" t="inlineStr"/>
      <c r="T1581" s="23" t="inlineStr">
        <is>
          <t>Group decision (81 records sharing one decision state), carried forward</t>
        </is>
      </c>
      <c r="U1581" s="23" t="inlineStr"/>
      <c r="V1581" s="23" t="inlineStr">
        <is>
          <t>Cost Account = CA-5037</t>
        </is>
      </c>
      <c r="W1581" s="23" t="inlineStr"/>
    </row>
    <row r="1582" ht="94" customHeight="1">
      <c r="A1582" s="23" t="inlineStr">
        <is>
          <t>UNSURE</t>
        </is>
      </c>
      <c r="B1582" s="23" t="inlineStr"/>
      <c r="C1582" s="23" t="inlineStr">
        <is>
          <t>Cost &amp; Forecast Control Accounts</t>
        </is>
      </c>
      <c r="D1582" s="23" t="inlineStr">
        <is>
          <t>CST-05-038</t>
        </is>
      </c>
      <c r="E1582" s="23" t="inlineStr">
        <is>
          <t>Testing &amp; readiness - safety certification - control account</t>
        </is>
      </c>
      <c r="F1582" s="23" t="inlineStr">
        <is>
          <t>UNSURE</t>
        </is>
      </c>
      <c r="G1582" s="23" t="inlineStr">
        <is>
          <t>RETAINED</t>
        </is>
      </c>
      <c r="H1582" s="23" t="inlineStr">
        <is>
          <t>Carried forward</t>
        </is>
      </c>
      <c r="I1582" s="23" t="inlineStr">
        <is>
          <t>Earlier professional decision, carried forward</t>
        </is>
      </c>
      <c r="J1582" s="23" t="inlineStr">
        <is>
          <t>Maya Chen, Owner Project Controls</t>
        </is>
      </c>
      <c r="K1582" s="23" t="inlineStr">
        <is>
          <t>Professional</t>
        </is>
      </c>
      <c r="L1582" s="23" t="inlineStr"/>
      <c r="M1582" s="23" t="inlineStr">
        <is>
          <t>Cost &amp; Forecast Control Accounts Cycle 2</t>
        </is>
      </c>
      <c r="N1582" s="23" t="inlineStr">
        <is>
          <t>Rev 1</t>
        </is>
      </c>
      <c r="O1582" s="23" t="inlineStr">
        <is>
          <t>R1440-v3</t>
        </is>
      </c>
      <c r="P1582" s="23" t="inlineStr"/>
      <c r="Q1582" s="23" t="inlineStr"/>
      <c r="R1582" s="23" t="inlineStr"/>
      <c r="S1582" s="23" t="inlineStr"/>
      <c r="T1582" s="23" t="inlineStr">
        <is>
          <t>Group decision (81 records sharing one decision state), carried forward</t>
        </is>
      </c>
      <c r="U1582" s="23" t="inlineStr"/>
      <c r="V1582" s="23" t="inlineStr">
        <is>
          <t>Cost Account = CA-5038</t>
        </is>
      </c>
      <c r="W1582" s="23" t="inlineStr"/>
    </row>
    <row r="1583" ht="94" customHeight="1">
      <c r="A1583" s="23" t="inlineStr">
        <is>
          <t>UNSURE</t>
        </is>
      </c>
      <c r="B1583" s="23" t="inlineStr"/>
      <c r="C1583" s="23" t="inlineStr">
        <is>
          <t>Cost &amp; Forecast Control Accounts</t>
        </is>
      </c>
      <c r="D1583" s="23" t="inlineStr">
        <is>
          <t>CST-05-039</t>
        </is>
      </c>
      <c r="E1583" s="23" t="inlineStr">
        <is>
          <t>Testing &amp; readiness - defect closeout - control account</t>
        </is>
      </c>
      <c r="F1583" s="23" t="inlineStr">
        <is>
          <t>UNSURE</t>
        </is>
      </c>
      <c r="G1583" s="23" t="inlineStr">
        <is>
          <t>RETAINED</t>
        </is>
      </c>
      <c r="H1583" s="23" t="inlineStr">
        <is>
          <t>Carried forward</t>
        </is>
      </c>
      <c r="I1583" s="23" t="inlineStr">
        <is>
          <t>Earlier professional decision, carried forward</t>
        </is>
      </c>
      <c r="J1583" s="23" t="inlineStr">
        <is>
          <t>Maya Chen, Owner Project Controls</t>
        </is>
      </c>
      <c r="K1583" s="23" t="inlineStr">
        <is>
          <t>Professional</t>
        </is>
      </c>
      <c r="L1583" s="23" t="inlineStr"/>
      <c r="M1583" s="23" t="inlineStr">
        <is>
          <t>Cost &amp; Forecast Control Accounts Cycle 2</t>
        </is>
      </c>
      <c r="N1583" s="23" t="inlineStr">
        <is>
          <t>Rev 1</t>
        </is>
      </c>
      <c r="O1583" s="23" t="inlineStr">
        <is>
          <t>R1441-v3</t>
        </is>
      </c>
      <c r="P1583" s="23" t="inlineStr"/>
      <c r="Q1583" s="23" t="inlineStr"/>
      <c r="R1583" s="23" t="inlineStr"/>
      <c r="S1583" s="23" t="inlineStr"/>
      <c r="T1583" s="23" t="inlineStr">
        <is>
          <t>Group decision (81 records sharing one decision state), carried forward</t>
        </is>
      </c>
      <c r="U1583" s="23" t="inlineStr"/>
      <c r="V1583" s="23" t="inlineStr">
        <is>
          <t>Cost Account = CA-5039</t>
        </is>
      </c>
      <c r="W1583" s="23" t="inlineStr"/>
    </row>
    <row r="1584" ht="94" customHeight="1">
      <c r="A1584" s="23" t="inlineStr">
        <is>
          <t>UNSURE</t>
        </is>
      </c>
      <c r="B1584" s="23" t="inlineStr"/>
      <c r="C1584" s="23" t="inlineStr">
        <is>
          <t>Cost &amp; Forecast Control Accounts</t>
        </is>
      </c>
      <c r="D1584" s="23" t="inlineStr">
        <is>
          <t>CST-05-040</t>
        </is>
      </c>
      <c r="E1584" s="23" t="inlineStr">
        <is>
          <t>Testing &amp; readiness - test management - control account</t>
        </is>
      </c>
      <c r="F1584" s="23" t="inlineStr">
        <is>
          <t>UNSURE</t>
        </is>
      </c>
      <c r="G1584" s="23" t="inlineStr">
        <is>
          <t>RETAINED</t>
        </is>
      </c>
      <c r="H1584" s="23" t="inlineStr">
        <is>
          <t>Carried forward</t>
        </is>
      </c>
      <c r="I1584" s="23" t="inlineStr">
        <is>
          <t>Earlier professional decision, carried forward</t>
        </is>
      </c>
      <c r="J1584" s="23" t="inlineStr">
        <is>
          <t>Maya Chen, Owner Project Controls</t>
        </is>
      </c>
      <c r="K1584" s="23" t="inlineStr">
        <is>
          <t>Professional</t>
        </is>
      </c>
      <c r="L1584" s="23" t="inlineStr"/>
      <c r="M1584" s="23" t="inlineStr">
        <is>
          <t>Cost &amp; Forecast Control Accounts Cycle 2</t>
        </is>
      </c>
      <c r="N1584" s="23" t="inlineStr">
        <is>
          <t>Rev 1</t>
        </is>
      </c>
      <c r="O1584" s="23" t="inlineStr">
        <is>
          <t>R1442-v3</t>
        </is>
      </c>
      <c r="P1584" s="23" t="inlineStr"/>
      <c r="Q1584" s="23" t="inlineStr"/>
      <c r="R1584" s="23" t="inlineStr"/>
      <c r="S1584" s="23" t="inlineStr"/>
      <c r="T1584" s="23" t="inlineStr">
        <is>
          <t>Group decision (81 records sharing one decision state), carried forward</t>
        </is>
      </c>
      <c r="U1584" s="23" t="inlineStr"/>
      <c r="V1584" s="23" t="inlineStr">
        <is>
          <t>Cost Account = CA-5040</t>
        </is>
      </c>
      <c r="W1584" s="23" t="inlineStr"/>
    </row>
    <row r="1585" ht="94" customHeight="1">
      <c r="A1585" s="23" t="inlineStr">
        <is>
          <t>UNSURE</t>
        </is>
      </c>
      <c r="B1585" s="23" t="inlineStr"/>
      <c r="C1585" s="23" t="inlineStr">
        <is>
          <t>Cost &amp; Forecast Control Accounts</t>
        </is>
      </c>
      <c r="D1585" s="23" t="inlineStr">
        <is>
          <t>CST-05-041</t>
        </is>
      </c>
      <c r="E1585" s="23" t="inlineStr">
        <is>
          <t>Testing &amp; readiness - trial running - control account</t>
        </is>
      </c>
      <c r="F1585" s="23" t="inlineStr">
        <is>
          <t>UNSURE</t>
        </is>
      </c>
      <c r="G1585" s="23" t="inlineStr">
        <is>
          <t>RETAINED</t>
        </is>
      </c>
      <c r="H1585" s="23" t="inlineStr">
        <is>
          <t>Carried forward</t>
        </is>
      </c>
      <c r="I1585" s="23" t="inlineStr">
        <is>
          <t>Earlier professional decision, carried forward</t>
        </is>
      </c>
      <c r="J1585" s="23" t="inlineStr">
        <is>
          <t>Maya Chen, Owner Project Controls</t>
        </is>
      </c>
      <c r="K1585" s="23" t="inlineStr">
        <is>
          <t>Professional</t>
        </is>
      </c>
      <c r="L1585" s="23" t="inlineStr"/>
      <c r="M1585" s="23" t="inlineStr">
        <is>
          <t>Cost &amp; Forecast Control Accounts Cycle 2</t>
        </is>
      </c>
      <c r="N1585" s="23" t="inlineStr">
        <is>
          <t>Rev 1</t>
        </is>
      </c>
      <c r="O1585" s="23" t="inlineStr">
        <is>
          <t>R1443-v3</t>
        </is>
      </c>
      <c r="P1585" s="23" t="inlineStr"/>
      <c r="Q1585" s="23" t="inlineStr"/>
      <c r="R1585" s="23" t="inlineStr"/>
      <c r="S1585" s="23" t="inlineStr"/>
      <c r="T1585" s="23" t="inlineStr">
        <is>
          <t>Group decision (81 records sharing one decision state), carried forward</t>
        </is>
      </c>
      <c r="U1585" s="23" t="inlineStr"/>
      <c r="V1585" s="23" t="inlineStr">
        <is>
          <t>Cost Account = CA-5041</t>
        </is>
      </c>
      <c r="W1585" s="23" t="inlineStr"/>
    </row>
    <row r="1586" ht="94" customHeight="1">
      <c r="A1586" s="23" t="inlineStr">
        <is>
          <t>UNSURE</t>
        </is>
      </c>
      <c r="B1586" s="23" t="inlineStr"/>
      <c r="C1586" s="23" t="inlineStr">
        <is>
          <t>Cost &amp; Forecast Control Accounts</t>
        </is>
      </c>
      <c r="D1586" s="23" t="inlineStr">
        <is>
          <t>CST-05-042</t>
        </is>
      </c>
      <c r="E1586" s="23" t="inlineStr">
        <is>
          <t>Testing &amp; readiness - safety certification - control account</t>
        </is>
      </c>
      <c r="F1586" s="23" t="inlineStr">
        <is>
          <t>UNSURE</t>
        </is>
      </c>
      <c r="G1586" s="23" t="inlineStr">
        <is>
          <t>RETAINED</t>
        </is>
      </c>
      <c r="H1586" s="23" t="inlineStr">
        <is>
          <t>Carried forward</t>
        </is>
      </c>
      <c r="I1586" s="23" t="inlineStr">
        <is>
          <t>Earlier professional decision, carried forward</t>
        </is>
      </c>
      <c r="J1586" s="23" t="inlineStr">
        <is>
          <t>Maya Chen, Owner Project Controls</t>
        </is>
      </c>
      <c r="K1586" s="23" t="inlineStr">
        <is>
          <t>Professional</t>
        </is>
      </c>
      <c r="L1586" s="23" t="inlineStr"/>
      <c r="M1586" s="23" t="inlineStr">
        <is>
          <t>Cost &amp; Forecast Control Accounts Cycle 2</t>
        </is>
      </c>
      <c r="N1586" s="23" t="inlineStr">
        <is>
          <t>Rev 1</t>
        </is>
      </c>
      <c r="O1586" s="23" t="inlineStr">
        <is>
          <t>R1444-v3</t>
        </is>
      </c>
      <c r="P1586" s="23" t="inlineStr"/>
      <c r="Q1586" s="23" t="inlineStr"/>
      <c r="R1586" s="23" t="inlineStr"/>
      <c r="S1586" s="23" t="inlineStr"/>
      <c r="T1586" s="23" t="inlineStr">
        <is>
          <t>Group decision (81 records sharing one decision state), carried forward</t>
        </is>
      </c>
      <c r="U1586" s="23" t="inlineStr"/>
      <c r="V1586" s="23" t="inlineStr">
        <is>
          <t>Cost Account = CA-5042</t>
        </is>
      </c>
      <c r="W1586" s="23" t="inlineStr"/>
    </row>
    <row r="1587" ht="94" customHeight="1">
      <c r="A1587" s="23" t="inlineStr">
        <is>
          <t>UNSURE</t>
        </is>
      </c>
      <c r="B1587" s="23" t="inlineStr"/>
      <c r="C1587" s="23" t="inlineStr">
        <is>
          <t>Cost &amp; Forecast Control Accounts</t>
        </is>
      </c>
      <c r="D1587" s="23" t="inlineStr">
        <is>
          <t>CST-05-043</t>
        </is>
      </c>
      <c r="E1587" s="23" t="inlineStr">
        <is>
          <t>Testing &amp; readiness - defect closeout - control account</t>
        </is>
      </c>
      <c r="F1587" s="23" t="inlineStr">
        <is>
          <t>UNSURE</t>
        </is>
      </c>
      <c r="G1587" s="23" t="inlineStr">
        <is>
          <t>RETAINED</t>
        </is>
      </c>
      <c r="H1587" s="23" t="inlineStr">
        <is>
          <t>Carried forward</t>
        </is>
      </c>
      <c r="I1587" s="23" t="inlineStr">
        <is>
          <t>Earlier professional decision, carried forward</t>
        </is>
      </c>
      <c r="J1587" s="23" t="inlineStr">
        <is>
          <t>Maya Chen, Owner Project Controls</t>
        </is>
      </c>
      <c r="K1587" s="23" t="inlineStr">
        <is>
          <t>Professional</t>
        </is>
      </c>
      <c r="L1587" s="23" t="inlineStr"/>
      <c r="M1587" s="23" t="inlineStr">
        <is>
          <t>Cost &amp; Forecast Control Accounts Cycle 2</t>
        </is>
      </c>
      <c r="N1587" s="23" t="inlineStr">
        <is>
          <t>Rev 1</t>
        </is>
      </c>
      <c r="O1587" s="23" t="inlineStr">
        <is>
          <t>R1445-v3</t>
        </is>
      </c>
      <c r="P1587" s="23" t="inlineStr"/>
      <c r="Q1587" s="23" t="inlineStr"/>
      <c r="R1587" s="23" t="inlineStr"/>
      <c r="S1587" s="23" t="inlineStr"/>
      <c r="T1587" s="23" t="inlineStr">
        <is>
          <t>Group decision (81 records sharing one decision state), carried forward</t>
        </is>
      </c>
      <c r="U1587" s="23" t="inlineStr"/>
      <c r="V1587" s="23" t="inlineStr">
        <is>
          <t>Cost Account = CA-5043</t>
        </is>
      </c>
      <c r="W1587" s="23" t="inlineStr"/>
    </row>
    <row r="1588" ht="94" customHeight="1">
      <c r="A1588" s="23" t="inlineStr">
        <is>
          <t>UNSURE</t>
        </is>
      </c>
      <c r="B1588" s="23" t="inlineStr"/>
      <c r="C1588" s="23" t="inlineStr">
        <is>
          <t>Cost &amp; Forecast Control Accounts</t>
        </is>
      </c>
      <c r="D1588" s="23" t="inlineStr">
        <is>
          <t>CST-05-044</t>
        </is>
      </c>
      <c r="E1588" s="23" t="inlineStr">
        <is>
          <t>Testing &amp; readiness - test management - control account</t>
        </is>
      </c>
      <c r="F1588" s="23" t="inlineStr">
        <is>
          <t>UNSURE</t>
        </is>
      </c>
      <c r="G1588" s="23" t="inlineStr">
        <is>
          <t>RETAINED</t>
        </is>
      </c>
      <c r="H1588" s="23" t="inlineStr">
        <is>
          <t>Carried forward</t>
        </is>
      </c>
      <c r="I1588" s="23" t="inlineStr">
        <is>
          <t>Earlier professional decision, carried forward</t>
        </is>
      </c>
      <c r="J1588" s="23" t="inlineStr">
        <is>
          <t>Maya Chen, Owner Project Controls</t>
        </is>
      </c>
      <c r="K1588" s="23" t="inlineStr">
        <is>
          <t>Professional</t>
        </is>
      </c>
      <c r="L1588" s="23" t="inlineStr"/>
      <c r="M1588" s="23" t="inlineStr">
        <is>
          <t>Cost &amp; Forecast Control Accounts Cycle 2</t>
        </is>
      </c>
      <c r="N1588" s="23" t="inlineStr">
        <is>
          <t>Rev 1</t>
        </is>
      </c>
      <c r="O1588" s="23" t="inlineStr">
        <is>
          <t>R1446-v3</t>
        </is>
      </c>
      <c r="P1588" s="23" t="inlineStr"/>
      <c r="Q1588" s="23" t="inlineStr"/>
      <c r="R1588" s="23" t="inlineStr"/>
      <c r="S1588" s="23" t="inlineStr"/>
      <c r="T1588" s="23" t="inlineStr">
        <is>
          <t>Group decision (81 records sharing one decision state), carried forward</t>
        </is>
      </c>
      <c r="U1588" s="23" t="inlineStr"/>
      <c r="V1588" s="23" t="inlineStr">
        <is>
          <t>Cost Account = CA-5044</t>
        </is>
      </c>
      <c r="W1588" s="23" t="inlineStr"/>
    </row>
    <row r="1589" ht="94" customHeight="1">
      <c r="A1589" s="23" t="inlineStr">
        <is>
          <t>UNSURE</t>
        </is>
      </c>
      <c r="B1589" s="23" t="inlineStr"/>
      <c r="C1589" s="23" t="inlineStr">
        <is>
          <t>Cost &amp; Forecast Control Accounts</t>
        </is>
      </c>
      <c r="D1589" s="23" t="inlineStr">
        <is>
          <t>CST-05-045</t>
        </is>
      </c>
      <c r="E1589" s="23" t="inlineStr">
        <is>
          <t>Testing &amp; readiness - trial running - control account</t>
        </is>
      </c>
      <c r="F1589" s="23" t="inlineStr">
        <is>
          <t>UNSURE</t>
        </is>
      </c>
      <c r="G1589" s="23" t="inlineStr">
        <is>
          <t>RETAINED</t>
        </is>
      </c>
      <c r="H1589" s="23" t="inlineStr">
        <is>
          <t>Carried forward</t>
        </is>
      </c>
      <c r="I1589" s="23" t="inlineStr">
        <is>
          <t>Earlier professional decision, carried forward</t>
        </is>
      </c>
      <c r="J1589" s="23" t="inlineStr">
        <is>
          <t>Maya Chen, Owner Project Controls</t>
        </is>
      </c>
      <c r="K1589" s="23" t="inlineStr">
        <is>
          <t>Professional</t>
        </is>
      </c>
      <c r="L1589" s="23" t="inlineStr"/>
      <c r="M1589" s="23" t="inlineStr">
        <is>
          <t>Cost &amp; Forecast Control Accounts Cycle 2</t>
        </is>
      </c>
      <c r="N1589" s="23" t="inlineStr">
        <is>
          <t>Rev 1</t>
        </is>
      </c>
      <c r="O1589" s="23" t="inlineStr">
        <is>
          <t>R1447-v3</t>
        </is>
      </c>
      <c r="P1589" s="23" t="inlineStr"/>
      <c r="Q1589" s="23" t="inlineStr"/>
      <c r="R1589" s="23" t="inlineStr"/>
      <c r="S1589" s="23" t="inlineStr"/>
      <c r="T1589" s="23" t="inlineStr">
        <is>
          <t>Group decision (81 records sharing one decision state), carried forward</t>
        </is>
      </c>
      <c r="U1589" s="23" t="inlineStr"/>
      <c r="V1589" s="23" t="inlineStr">
        <is>
          <t>Cost Account = CA-5045</t>
        </is>
      </c>
      <c r="W1589" s="23" t="inlineStr"/>
    </row>
    <row r="1590" ht="94" customHeight="1">
      <c r="A1590" s="23" t="inlineStr">
        <is>
          <t>UNSURE</t>
        </is>
      </c>
      <c r="B1590" s="23" t="inlineStr"/>
      <c r="C1590" s="23" t="inlineStr">
        <is>
          <t>Cost &amp; Forecast Control Accounts</t>
        </is>
      </c>
      <c r="D1590" s="23" t="inlineStr">
        <is>
          <t>CST-05-046</t>
        </is>
      </c>
      <c r="E1590" s="23" t="inlineStr">
        <is>
          <t>Testing &amp; readiness - safety certification - control account</t>
        </is>
      </c>
      <c r="F1590" s="23" t="inlineStr">
        <is>
          <t>UNSURE</t>
        </is>
      </c>
      <c r="G1590" s="23" t="inlineStr">
        <is>
          <t>RETAINED</t>
        </is>
      </c>
      <c r="H1590" s="23" t="inlineStr">
        <is>
          <t>Carried forward</t>
        </is>
      </c>
      <c r="I1590" s="23" t="inlineStr">
        <is>
          <t>Earlier professional decision, carried forward</t>
        </is>
      </c>
      <c r="J1590" s="23" t="inlineStr">
        <is>
          <t>Maya Chen, Owner Project Controls</t>
        </is>
      </c>
      <c r="K1590" s="23" t="inlineStr">
        <is>
          <t>Professional</t>
        </is>
      </c>
      <c r="L1590" s="23" t="inlineStr"/>
      <c r="M1590" s="23" t="inlineStr">
        <is>
          <t>Cost &amp; Forecast Control Accounts Cycle 2</t>
        </is>
      </c>
      <c r="N1590" s="23" t="inlineStr">
        <is>
          <t>Rev 1</t>
        </is>
      </c>
      <c r="O1590" s="23" t="inlineStr">
        <is>
          <t>R1448-v3</t>
        </is>
      </c>
      <c r="P1590" s="23" t="inlineStr"/>
      <c r="Q1590" s="23" t="inlineStr"/>
      <c r="R1590" s="23" t="inlineStr"/>
      <c r="S1590" s="23" t="inlineStr"/>
      <c r="T1590" s="23" t="inlineStr">
        <is>
          <t>Group decision (81 records sharing one decision state), carried forward</t>
        </is>
      </c>
      <c r="U1590" s="23" t="inlineStr"/>
      <c r="V1590" s="23" t="inlineStr">
        <is>
          <t>Cost Account = CA-5046</t>
        </is>
      </c>
      <c r="W1590" s="23" t="inlineStr"/>
    </row>
    <row r="1591" ht="94" customHeight="1">
      <c r="A1591" s="23" t="inlineStr">
        <is>
          <t>UNSURE</t>
        </is>
      </c>
      <c r="B1591" s="23" t="inlineStr"/>
      <c r="C1591" s="23" t="inlineStr">
        <is>
          <t>Cost &amp; Forecast Control Accounts</t>
        </is>
      </c>
      <c r="D1591" s="23" t="inlineStr">
        <is>
          <t>CST-05-047</t>
        </is>
      </c>
      <c r="E1591" s="23" t="inlineStr">
        <is>
          <t>Testing &amp; readiness - defect closeout - control account</t>
        </is>
      </c>
      <c r="F1591" s="23" t="inlineStr">
        <is>
          <t>UNSURE</t>
        </is>
      </c>
      <c r="G1591" s="23" t="inlineStr">
        <is>
          <t>RETAINED</t>
        </is>
      </c>
      <c r="H1591" s="23" t="inlineStr">
        <is>
          <t>Carried forward</t>
        </is>
      </c>
      <c r="I1591" s="23" t="inlineStr">
        <is>
          <t>Earlier professional decision, carried forward</t>
        </is>
      </c>
      <c r="J1591" s="23" t="inlineStr">
        <is>
          <t>Maya Chen, Owner Project Controls</t>
        </is>
      </c>
      <c r="K1591" s="23" t="inlineStr">
        <is>
          <t>Professional</t>
        </is>
      </c>
      <c r="L1591" s="23" t="inlineStr"/>
      <c r="M1591" s="23" t="inlineStr">
        <is>
          <t>Cost &amp; Forecast Control Accounts Cycle 2</t>
        </is>
      </c>
      <c r="N1591" s="23" t="inlineStr">
        <is>
          <t>Rev 1</t>
        </is>
      </c>
      <c r="O1591" s="23" t="inlineStr">
        <is>
          <t>R1449-v3</t>
        </is>
      </c>
      <c r="P1591" s="23" t="inlineStr"/>
      <c r="Q1591" s="23" t="inlineStr"/>
      <c r="R1591" s="23" t="inlineStr"/>
      <c r="S1591" s="23" t="inlineStr"/>
      <c r="T1591" s="23" t="inlineStr">
        <is>
          <t>Group decision (81 records sharing one decision state), carried forward</t>
        </is>
      </c>
      <c r="U1591" s="23" t="inlineStr"/>
      <c r="V1591" s="23" t="inlineStr">
        <is>
          <t>Cost Account = CA-5047</t>
        </is>
      </c>
      <c r="W1591" s="23" t="inlineStr"/>
    </row>
    <row r="1592" ht="94" customHeight="1">
      <c r="A1592" s="23" t="inlineStr">
        <is>
          <t>UNSURE</t>
        </is>
      </c>
      <c r="B1592" s="23" t="inlineStr"/>
      <c r="C1592" s="23" t="inlineStr">
        <is>
          <t>Cost &amp; Forecast Control Accounts</t>
        </is>
      </c>
      <c r="D1592" s="23" t="inlineStr">
        <is>
          <t>CST-05-048</t>
        </is>
      </c>
      <c r="E1592" s="23" t="inlineStr">
        <is>
          <t>Testing &amp; readiness - test management - control account</t>
        </is>
      </c>
      <c r="F1592" s="23" t="inlineStr">
        <is>
          <t>UNSURE</t>
        </is>
      </c>
      <c r="G1592" s="23" t="inlineStr">
        <is>
          <t>RETAINED</t>
        </is>
      </c>
      <c r="H1592" s="23" t="inlineStr">
        <is>
          <t>Carried forward</t>
        </is>
      </c>
      <c r="I1592" s="23" t="inlineStr">
        <is>
          <t>Earlier professional decision, carried forward</t>
        </is>
      </c>
      <c r="J1592" s="23" t="inlineStr">
        <is>
          <t>Maya Chen, Owner Project Controls</t>
        </is>
      </c>
      <c r="K1592" s="23" t="inlineStr">
        <is>
          <t>Professional</t>
        </is>
      </c>
      <c r="L1592" s="23" t="inlineStr"/>
      <c r="M1592" s="23" t="inlineStr">
        <is>
          <t>Cost &amp; Forecast Control Accounts Cycle 2</t>
        </is>
      </c>
      <c r="N1592" s="23" t="inlineStr">
        <is>
          <t>Rev 1</t>
        </is>
      </c>
      <c r="O1592" s="23" t="inlineStr">
        <is>
          <t>R1450-v3</t>
        </is>
      </c>
      <c r="P1592" s="23" t="inlineStr"/>
      <c r="Q1592" s="23" t="inlineStr"/>
      <c r="R1592" s="23" t="inlineStr"/>
      <c r="S1592" s="23" t="inlineStr"/>
      <c r="T1592" s="23" t="inlineStr">
        <is>
          <t>Group decision (81 records sharing one decision state), carried forward</t>
        </is>
      </c>
      <c r="U1592" s="23" t="inlineStr"/>
      <c r="V1592" s="23" t="inlineStr">
        <is>
          <t>Cost Account = CA-5048</t>
        </is>
      </c>
      <c r="W1592" s="23" t="inlineStr"/>
    </row>
    <row r="1593" ht="94" customHeight="1">
      <c r="A1593" s="23" t="inlineStr">
        <is>
          <t>UNSURE</t>
        </is>
      </c>
      <c r="B1593" s="23" t="inlineStr"/>
      <c r="C1593" s="23" t="inlineStr">
        <is>
          <t>Cost &amp; Forecast Control Accounts</t>
        </is>
      </c>
      <c r="D1593" s="23" t="inlineStr">
        <is>
          <t>CST-05-049</t>
        </is>
      </c>
      <c r="E1593" s="23" t="inlineStr">
        <is>
          <t>Testing &amp; readiness - trial running - control account</t>
        </is>
      </c>
      <c r="F1593" s="23" t="inlineStr">
        <is>
          <t>UNSURE</t>
        </is>
      </c>
      <c r="G1593" s="23" t="inlineStr">
        <is>
          <t>RETAINED</t>
        </is>
      </c>
      <c r="H1593" s="23" t="inlineStr">
        <is>
          <t>Carried forward</t>
        </is>
      </c>
      <c r="I1593" s="23" t="inlineStr">
        <is>
          <t>Earlier professional decision, carried forward</t>
        </is>
      </c>
      <c r="J1593" s="23" t="inlineStr">
        <is>
          <t>Maya Chen, Owner Project Controls</t>
        </is>
      </c>
      <c r="K1593" s="23" t="inlineStr">
        <is>
          <t>Professional</t>
        </is>
      </c>
      <c r="L1593" s="23" t="inlineStr"/>
      <c r="M1593" s="23" t="inlineStr">
        <is>
          <t>Cost &amp; Forecast Control Accounts Cycle 2</t>
        </is>
      </c>
      <c r="N1593" s="23" t="inlineStr">
        <is>
          <t>Rev 1</t>
        </is>
      </c>
      <c r="O1593" s="23" t="inlineStr">
        <is>
          <t>R1451-v3</t>
        </is>
      </c>
      <c r="P1593" s="23" t="inlineStr"/>
      <c r="Q1593" s="23" t="inlineStr"/>
      <c r="R1593" s="23" t="inlineStr"/>
      <c r="S1593" s="23" t="inlineStr"/>
      <c r="T1593" s="23" t="inlineStr">
        <is>
          <t>Group decision (81 records sharing one decision state), carried forward</t>
        </is>
      </c>
      <c r="U1593" s="23" t="inlineStr"/>
      <c r="V1593" s="23" t="inlineStr">
        <is>
          <t>Cost Account = CA-5049</t>
        </is>
      </c>
      <c r="W1593" s="23" t="inlineStr"/>
    </row>
    <row r="1594" ht="94" customHeight="1">
      <c r="A1594" s="23" t="inlineStr">
        <is>
          <t>UNSURE</t>
        </is>
      </c>
      <c r="B1594" s="23" t="inlineStr"/>
      <c r="C1594" s="23" t="inlineStr">
        <is>
          <t>Cost &amp; Forecast Control Accounts</t>
        </is>
      </c>
      <c r="D1594" s="23" t="inlineStr">
        <is>
          <t>CST-05-050</t>
        </is>
      </c>
      <c r="E1594" s="23" t="inlineStr">
        <is>
          <t>Testing &amp; readiness - safety certification - control account</t>
        </is>
      </c>
      <c r="F1594" s="23" t="inlineStr">
        <is>
          <t>UNSURE</t>
        </is>
      </c>
      <c r="G1594" s="23" t="inlineStr">
        <is>
          <t>RETAINED</t>
        </is>
      </c>
      <c r="H1594" s="23" t="inlineStr">
        <is>
          <t>Carried forward</t>
        </is>
      </c>
      <c r="I1594" s="23" t="inlineStr">
        <is>
          <t>Earlier professional decision, carried forward</t>
        </is>
      </c>
      <c r="J1594" s="23" t="inlineStr">
        <is>
          <t>Maya Chen, Owner Project Controls</t>
        </is>
      </c>
      <c r="K1594" s="23" t="inlineStr">
        <is>
          <t>Professional</t>
        </is>
      </c>
      <c r="L1594" s="23" t="inlineStr"/>
      <c r="M1594" s="23" t="inlineStr">
        <is>
          <t>Cost &amp; Forecast Control Accounts Cycle 2</t>
        </is>
      </c>
      <c r="N1594" s="23" t="inlineStr">
        <is>
          <t>Rev 1</t>
        </is>
      </c>
      <c r="O1594" s="23" t="inlineStr">
        <is>
          <t>R1452-v3</t>
        </is>
      </c>
      <c r="P1594" s="23" t="inlineStr"/>
      <c r="Q1594" s="23" t="inlineStr"/>
      <c r="R1594" s="23" t="inlineStr"/>
      <c r="S1594" s="23" t="inlineStr"/>
      <c r="T1594" s="23" t="inlineStr">
        <is>
          <t>Group decision (81 records sharing one decision state), carried forward</t>
        </is>
      </c>
      <c r="U1594" s="23" t="inlineStr"/>
      <c r="V1594" s="23" t="inlineStr">
        <is>
          <t>Cost Account = CA-5050</t>
        </is>
      </c>
      <c r="W1594" s="23" t="inlineStr"/>
    </row>
    <row r="1595" ht="94" customHeight="1">
      <c r="A1595" s="23" t="inlineStr">
        <is>
          <t>UNSURE</t>
        </is>
      </c>
      <c r="B1595" s="23" t="inlineStr"/>
      <c r="C1595" s="23" t="inlineStr">
        <is>
          <t>Cost &amp; Forecast Control Accounts</t>
        </is>
      </c>
      <c r="D1595" s="23" t="inlineStr">
        <is>
          <t>CST-05-051</t>
        </is>
      </c>
      <c r="E1595" s="23" t="inlineStr">
        <is>
          <t>Testing &amp; readiness - defect closeout - control account</t>
        </is>
      </c>
      <c r="F1595" s="23" t="inlineStr">
        <is>
          <t>UNSURE</t>
        </is>
      </c>
      <c r="G1595" s="23" t="inlineStr">
        <is>
          <t>RETAINED</t>
        </is>
      </c>
      <c r="H1595" s="23" t="inlineStr">
        <is>
          <t>Carried forward</t>
        </is>
      </c>
      <c r="I1595" s="23" t="inlineStr">
        <is>
          <t>Earlier professional decision, carried forward</t>
        </is>
      </c>
      <c r="J1595" s="23" t="inlineStr">
        <is>
          <t>Maya Chen, Owner Project Controls</t>
        </is>
      </c>
      <c r="K1595" s="23" t="inlineStr">
        <is>
          <t>Professional</t>
        </is>
      </c>
      <c r="L1595" s="23" t="inlineStr"/>
      <c r="M1595" s="23" t="inlineStr">
        <is>
          <t>Cost &amp; Forecast Control Accounts Cycle 2</t>
        </is>
      </c>
      <c r="N1595" s="23" t="inlineStr">
        <is>
          <t>Rev 1</t>
        </is>
      </c>
      <c r="O1595" s="23" t="inlineStr">
        <is>
          <t>R1453-v3</t>
        </is>
      </c>
      <c r="P1595" s="23" t="inlineStr"/>
      <c r="Q1595" s="23" t="inlineStr"/>
      <c r="R1595" s="23" t="inlineStr"/>
      <c r="S1595" s="23" t="inlineStr"/>
      <c r="T1595" s="23" t="inlineStr">
        <is>
          <t>Group decision (81 records sharing one decision state), carried forward</t>
        </is>
      </c>
      <c r="U1595" s="23" t="inlineStr"/>
      <c r="V1595" s="23" t="inlineStr">
        <is>
          <t>Cost Account = CA-5051</t>
        </is>
      </c>
      <c r="W1595" s="23" t="inlineStr"/>
    </row>
    <row r="1596" ht="94" customHeight="1">
      <c r="A1596" s="23" t="inlineStr">
        <is>
          <t>UNSURE</t>
        </is>
      </c>
      <c r="B1596" s="23" t="inlineStr"/>
      <c r="C1596" s="23" t="inlineStr">
        <is>
          <t>Cost &amp; Forecast Control Accounts</t>
        </is>
      </c>
      <c r="D1596" s="23" t="inlineStr">
        <is>
          <t>CST-05-052</t>
        </is>
      </c>
      <c r="E1596" s="23" t="inlineStr">
        <is>
          <t>Testing &amp; readiness - test management - control account</t>
        </is>
      </c>
      <c r="F1596" s="23" t="inlineStr">
        <is>
          <t>UNSURE</t>
        </is>
      </c>
      <c r="G1596" s="23" t="inlineStr">
        <is>
          <t>RETAINED</t>
        </is>
      </c>
      <c r="H1596" s="23" t="inlineStr">
        <is>
          <t>Carried forward</t>
        </is>
      </c>
      <c r="I1596" s="23" t="inlineStr">
        <is>
          <t>Earlier professional decision, carried forward</t>
        </is>
      </c>
      <c r="J1596" s="23" t="inlineStr">
        <is>
          <t>Maya Chen, Owner Project Controls</t>
        </is>
      </c>
      <c r="K1596" s="23" t="inlineStr">
        <is>
          <t>Professional</t>
        </is>
      </c>
      <c r="L1596" s="23" t="inlineStr"/>
      <c r="M1596" s="23" t="inlineStr">
        <is>
          <t>Cost &amp; Forecast Control Accounts Cycle 2</t>
        </is>
      </c>
      <c r="N1596" s="23" t="inlineStr">
        <is>
          <t>Rev 1</t>
        </is>
      </c>
      <c r="O1596" s="23" t="inlineStr">
        <is>
          <t>R1454-v3</t>
        </is>
      </c>
      <c r="P1596" s="23" t="inlineStr"/>
      <c r="Q1596" s="23" t="inlineStr"/>
      <c r="R1596" s="23" t="inlineStr"/>
      <c r="S1596" s="23" t="inlineStr"/>
      <c r="T1596" s="23" t="inlineStr">
        <is>
          <t>Group decision (81 records sharing one decision state), carried forward</t>
        </is>
      </c>
      <c r="U1596" s="23" t="inlineStr"/>
      <c r="V1596" s="23" t="inlineStr">
        <is>
          <t>Cost Account = CA-5052</t>
        </is>
      </c>
      <c r="W1596" s="23" t="inlineStr"/>
    </row>
    <row r="1597" ht="94" customHeight="1">
      <c r="A1597" s="23" t="inlineStr">
        <is>
          <t>UNSURE</t>
        </is>
      </c>
      <c r="B1597" s="23" t="inlineStr"/>
      <c r="C1597" s="23" t="inlineStr">
        <is>
          <t>Cost &amp; Forecast Control Accounts</t>
        </is>
      </c>
      <c r="D1597" s="23" t="inlineStr">
        <is>
          <t>CST-05-053</t>
        </is>
      </c>
      <c r="E1597" s="23" t="inlineStr">
        <is>
          <t>Testing &amp; readiness - trial running - control account</t>
        </is>
      </c>
      <c r="F1597" s="23" t="inlineStr">
        <is>
          <t>UNSURE</t>
        </is>
      </c>
      <c r="G1597" s="23" t="inlineStr">
        <is>
          <t>RETAINED</t>
        </is>
      </c>
      <c r="H1597" s="23" t="inlineStr">
        <is>
          <t>Carried forward</t>
        </is>
      </c>
      <c r="I1597" s="23" t="inlineStr">
        <is>
          <t>Earlier professional decision, carried forward</t>
        </is>
      </c>
      <c r="J1597" s="23" t="inlineStr">
        <is>
          <t>Maya Chen, Owner Project Controls</t>
        </is>
      </c>
      <c r="K1597" s="23" t="inlineStr">
        <is>
          <t>Professional</t>
        </is>
      </c>
      <c r="L1597" s="23" t="inlineStr"/>
      <c r="M1597" s="23" t="inlineStr">
        <is>
          <t>Cost &amp; Forecast Control Accounts Cycle 2</t>
        </is>
      </c>
      <c r="N1597" s="23" t="inlineStr">
        <is>
          <t>Rev 1</t>
        </is>
      </c>
      <c r="O1597" s="23" t="inlineStr">
        <is>
          <t>R1455-v3</t>
        </is>
      </c>
      <c r="P1597" s="23" t="inlineStr"/>
      <c r="Q1597" s="23" t="inlineStr"/>
      <c r="R1597" s="23" t="inlineStr"/>
      <c r="S1597" s="23" t="inlineStr"/>
      <c r="T1597" s="23" t="inlineStr">
        <is>
          <t>Group decision (81 records sharing one decision state), carried forward</t>
        </is>
      </c>
      <c r="U1597" s="23" t="inlineStr"/>
      <c r="V1597" s="23" t="inlineStr">
        <is>
          <t>Cost Account = CA-5053</t>
        </is>
      </c>
      <c r="W1597" s="23" t="inlineStr"/>
    </row>
    <row r="1598" ht="94" customHeight="1">
      <c r="A1598" s="23" t="inlineStr">
        <is>
          <t>UNSURE</t>
        </is>
      </c>
      <c r="B1598" s="23" t="inlineStr"/>
      <c r="C1598" s="23" t="inlineStr">
        <is>
          <t>Cost &amp; Forecast Control Accounts</t>
        </is>
      </c>
      <c r="D1598" s="23" t="inlineStr">
        <is>
          <t>CST-05-054</t>
        </is>
      </c>
      <c r="E1598" s="23" t="inlineStr">
        <is>
          <t>Testing &amp; readiness - safety certification - control account</t>
        </is>
      </c>
      <c r="F1598" s="23" t="inlineStr">
        <is>
          <t>UNSURE</t>
        </is>
      </c>
      <c r="G1598" s="23" t="inlineStr">
        <is>
          <t>RETAINED</t>
        </is>
      </c>
      <c r="H1598" s="23" t="inlineStr">
        <is>
          <t>Carried forward</t>
        </is>
      </c>
      <c r="I1598" s="23" t="inlineStr">
        <is>
          <t>Earlier professional decision, carried forward</t>
        </is>
      </c>
      <c r="J1598" s="23" t="inlineStr">
        <is>
          <t>Maya Chen, Owner Project Controls</t>
        </is>
      </c>
      <c r="K1598" s="23" t="inlineStr">
        <is>
          <t>Professional</t>
        </is>
      </c>
      <c r="L1598" s="23" t="inlineStr"/>
      <c r="M1598" s="23" t="inlineStr">
        <is>
          <t>Cost &amp; Forecast Control Accounts Cycle 2</t>
        </is>
      </c>
      <c r="N1598" s="23" t="inlineStr">
        <is>
          <t>Rev 1</t>
        </is>
      </c>
      <c r="O1598" s="23" t="inlineStr">
        <is>
          <t>R1456-v3</t>
        </is>
      </c>
      <c r="P1598" s="23" t="inlineStr"/>
      <c r="Q1598" s="23" t="inlineStr"/>
      <c r="R1598" s="23" t="inlineStr"/>
      <c r="S1598" s="23" t="inlineStr"/>
      <c r="T1598" s="23" t="inlineStr">
        <is>
          <t>Group decision (81 records sharing one decision state), carried forward</t>
        </is>
      </c>
      <c r="U1598" s="23" t="inlineStr"/>
      <c r="V1598" s="23" t="inlineStr">
        <is>
          <t>Cost Account = CA-5054</t>
        </is>
      </c>
      <c r="W1598" s="23" t="inlineStr"/>
    </row>
    <row r="1599" ht="94" customHeight="1">
      <c r="A1599" s="23" t="inlineStr">
        <is>
          <t>UNSURE</t>
        </is>
      </c>
      <c r="B1599" s="23" t="inlineStr"/>
      <c r="C1599" s="23" t="inlineStr">
        <is>
          <t>Cost &amp; Forecast Control Accounts</t>
        </is>
      </c>
      <c r="D1599" s="23" t="inlineStr">
        <is>
          <t>CST-05-055</t>
        </is>
      </c>
      <c r="E1599" s="23" t="inlineStr">
        <is>
          <t>Testing &amp; readiness - defect closeout - control account</t>
        </is>
      </c>
      <c r="F1599" s="23" t="inlineStr">
        <is>
          <t>UNSURE</t>
        </is>
      </c>
      <c r="G1599" s="23" t="inlineStr">
        <is>
          <t>RETAINED</t>
        </is>
      </c>
      <c r="H1599" s="23" t="inlineStr">
        <is>
          <t>Carried forward</t>
        </is>
      </c>
      <c r="I1599" s="23" t="inlineStr">
        <is>
          <t>Earlier professional decision, carried forward</t>
        </is>
      </c>
      <c r="J1599" s="23" t="inlineStr">
        <is>
          <t>Maya Chen, Owner Project Controls</t>
        </is>
      </c>
      <c r="K1599" s="23" t="inlineStr">
        <is>
          <t>Professional</t>
        </is>
      </c>
      <c r="L1599" s="23" t="inlineStr"/>
      <c r="M1599" s="23" t="inlineStr">
        <is>
          <t>Cost &amp; Forecast Control Accounts Cycle 2</t>
        </is>
      </c>
      <c r="N1599" s="23" t="inlineStr">
        <is>
          <t>Rev 1</t>
        </is>
      </c>
      <c r="O1599" s="23" t="inlineStr">
        <is>
          <t>R1457-v3</t>
        </is>
      </c>
      <c r="P1599" s="23" t="inlineStr"/>
      <c r="Q1599" s="23" t="inlineStr"/>
      <c r="R1599" s="23" t="inlineStr"/>
      <c r="S1599" s="23" t="inlineStr"/>
      <c r="T1599" s="23" t="inlineStr">
        <is>
          <t>Group decision (81 records sharing one decision state), carried forward</t>
        </is>
      </c>
      <c r="U1599" s="23" t="inlineStr"/>
      <c r="V1599" s="23" t="inlineStr">
        <is>
          <t>Cost Account = CA-5055</t>
        </is>
      </c>
      <c r="W1599" s="23" t="inlineStr"/>
    </row>
    <row r="1600" ht="94" customHeight="1">
      <c r="A1600" s="23" t="inlineStr">
        <is>
          <t>UNSURE</t>
        </is>
      </c>
      <c r="B1600" s="23" t="inlineStr"/>
      <c r="C1600" s="23" t="inlineStr">
        <is>
          <t>Cost &amp; Forecast Control Accounts</t>
        </is>
      </c>
      <c r="D1600" s="23" t="inlineStr">
        <is>
          <t>CST-05-056</t>
        </is>
      </c>
      <c r="E1600" s="23" t="inlineStr">
        <is>
          <t>Testing &amp; readiness - test management - control account</t>
        </is>
      </c>
      <c r="F1600" s="23" t="inlineStr">
        <is>
          <t>UNSURE</t>
        </is>
      </c>
      <c r="G1600" s="23" t="inlineStr">
        <is>
          <t>RETAINED</t>
        </is>
      </c>
      <c r="H1600" s="23" t="inlineStr">
        <is>
          <t>Carried forward</t>
        </is>
      </c>
      <c r="I1600" s="23" t="inlineStr">
        <is>
          <t>Earlier professional decision, carried forward</t>
        </is>
      </c>
      <c r="J1600" s="23" t="inlineStr">
        <is>
          <t>Maya Chen, Owner Project Controls</t>
        </is>
      </c>
      <c r="K1600" s="23" t="inlineStr">
        <is>
          <t>Professional</t>
        </is>
      </c>
      <c r="L1600" s="23" t="inlineStr"/>
      <c r="M1600" s="23" t="inlineStr">
        <is>
          <t>Cost &amp; Forecast Control Accounts Cycle 2</t>
        </is>
      </c>
      <c r="N1600" s="23" t="inlineStr">
        <is>
          <t>Rev 1</t>
        </is>
      </c>
      <c r="O1600" s="23" t="inlineStr">
        <is>
          <t>R1458-v3</t>
        </is>
      </c>
      <c r="P1600" s="23" t="inlineStr"/>
      <c r="Q1600" s="23" t="inlineStr"/>
      <c r="R1600" s="23" t="inlineStr"/>
      <c r="S1600" s="23" t="inlineStr"/>
      <c r="T1600" s="23" t="inlineStr">
        <is>
          <t>Group decision (81 records sharing one decision state), carried forward</t>
        </is>
      </c>
      <c r="U1600" s="23" t="inlineStr"/>
      <c r="V1600" s="23" t="inlineStr">
        <is>
          <t>Cost Account = CA-5056</t>
        </is>
      </c>
      <c r="W1600" s="23" t="inlineStr"/>
    </row>
    <row r="1601" ht="94" customHeight="1">
      <c r="A1601" s="23" t="inlineStr">
        <is>
          <t>UNSURE</t>
        </is>
      </c>
      <c r="B1601" s="23" t="inlineStr"/>
      <c r="C1601" s="23" t="inlineStr">
        <is>
          <t>Cost &amp; Forecast Control Accounts</t>
        </is>
      </c>
      <c r="D1601" s="23" t="inlineStr">
        <is>
          <t>CST-05-057</t>
        </is>
      </c>
      <c r="E1601" s="23" t="inlineStr">
        <is>
          <t>Testing &amp; readiness - trial running - control account</t>
        </is>
      </c>
      <c r="F1601" s="23" t="inlineStr">
        <is>
          <t>UNSURE</t>
        </is>
      </c>
      <c r="G1601" s="23" t="inlineStr">
        <is>
          <t>RETAINED</t>
        </is>
      </c>
      <c r="H1601" s="23" t="inlineStr">
        <is>
          <t>Carried forward</t>
        </is>
      </c>
      <c r="I1601" s="23" t="inlineStr">
        <is>
          <t>Earlier professional decision, carried forward</t>
        </is>
      </c>
      <c r="J1601" s="23" t="inlineStr">
        <is>
          <t>Maya Chen, Owner Project Controls</t>
        </is>
      </c>
      <c r="K1601" s="23" t="inlineStr">
        <is>
          <t>Professional</t>
        </is>
      </c>
      <c r="L1601" s="23" t="inlineStr"/>
      <c r="M1601" s="23" t="inlineStr">
        <is>
          <t>Cost &amp; Forecast Control Accounts Cycle 2</t>
        </is>
      </c>
      <c r="N1601" s="23" t="inlineStr">
        <is>
          <t>Rev 1</t>
        </is>
      </c>
      <c r="O1601" s="23" t="inlineStr">
        <is>
          <t>R1459-v3</t>
        </is>
      </c>
      <c r="P1601" s="23" t="inlineStr"/>
      <c r="Q1601" s="23" t="inlineStr"/>
      <c r="R1601" s="23" t="inlineStr"/>
      <c r="S1601" s="23" t="inlineStr"/>
      <c r="T1601" s="23" t="inlineStr">
        <is>
          <t>Group decision (81 records sharing one decision state), carried forward</t>
        </is>
      </c>
      <c r="U1601" s="23" t="inlineStr"/>
      <c r="V1601" s="23" t="inlineStr">
        <is>
          <t>Cost Account = CA-5057</t>
        </is>
      </c>
      <c r="W1601" s="23" t="inlineStr"/>
    </row>
    <row r="1602" ht="94" customHeight="1">
      <c r="A1602" s="23" t="inlineStr">
        <is>
          <t>UNSURE</t>
        </is>
      </c>
      <c r="B1602" s="23" t="inlineStr"/>
      <c r="C1602" s="23" t="inlineStr">
        <is>
          <t>Cost &amp; Forecast Control Accounts</t>
        </is>
      </c>
      <c r="D1602" s="23" t="inlineStr">
        <is>
          <t>CST-05-058</t>
        </is>
      </c>
      <c r="E1602" s="23" t="inlineStr">
        <is>
          <t>Testing &amp; readiness - safety certification - control account</t>
        </is>
      </c>
      <c r="F1602" s="23" t="inlineStr">
        <is>
          <t>UNSURE</t>
        </is>
      </c>
      <c r="G1602" s="23" t="inlineStr">
        <is>
          <t>RETAINED</t>
        </is>
      </c>
      <c r="H1602" s="23" t="inlineStr">
        <is>
          <t>Carried forward</t>
        </is>
      </c>
      <c r="I1602" s="23" t="inlineStr">
        <is>
          <t>Earlier professional decision, carried forward</t>
        </is>
      </c>
      <c r="J1602" s="23" t="inlineStr">
        <is>
          <t>Maya Chen, Owner Project Controls</t>
        </is>
      </c>
      <c r="K1602" s="23" t="inlineStr">
        <is>
          <t>Professional</t>
        </is>
      </c>
      <c r="L1602" s="23" t="inlineStr"/>
      <c r="M1602" s="23" t="inlineStr">
        <is>
          <t>Cost &amp; Forecast Control Accounts Cycle 2</t>
        </is>
      </c>
      <c r="N1602" s="23" t="inlineStr">
        <is>
          <t>Rev 1</t>
        </is>
      </c>
      <c r="O1602" s="23" t="inlineStr">
        <is>
          <t>R1460-v3</t>
        </is>
      </c>
      <c r="P1602" s="23" t="inlineStr"/>
      <c r="Q1602" s="23" t="inlineStr"/>
      <c r="R1602" s="23" t="inlineStr"/>
      <c r="S1602" s="23" t="inlineStr"/>
      <c r="T1602" s="23" t="inlineStr">
        <is>
          <t>Group decision (81 records sharing one decision state), carried forward</t>
        </is>
      </c>
      <c r="U1602" s="23" t="inlineStr"/>
      <c r="V1602" s="23" t="inlineStr">
        <is>
          <t>Cost Account = CA-5058</t>
        </is>
      </c>
      <c r="W1602" s="23" t="inlineStr"/>
    </row>
    <row r="1603" ht="94" customHeight="1">
      <c r="A1603" s="23" t="inlineStr">
        <is>
          <t>UNSURE</t>
        </is>
      </c>
      <c r="B1603" s="23" t="inlineStr"/>
      <c r="C1603" s="23" t="inlineStr">
        <is>
          <t>Cost &amp; Forecast Control Accounts</t>
        </is>
      </c>
      <c r="D1603" s="23" t="inlineStr">
        <is>
          <t>CST-05-059</t>
        </is>
      </c>
      <c r="E1603" s="23" t="inlineStr">
        <is>
          <t>Testing &amp; readiness - defect closeout - control account</t>
        </is>
      </c>
      <c r="F1603" s="23" t="inlineStr">
        <is>
          <t>UNSURE</t>
        </is>
      </c>
      <c r="G1603" s="23" t="inlineStr">
        <is>
          <t>RETAINED</t>
        </is>
      </c>
      <c r="H1603" s="23" t="inlineStr">
        <is>
          <t>Carried forward</t>
        </is>
      </c>
      <c r="I1603" s="23" t="inlineStr">
        <is>
          <t>Earlier professional decision, carried forward</t>
        </is>
      </c>
      <c r="J1603" s="23" t="inlineStr">
        <is>
          <t>Maya Chen, Owner Project Controls</t>
        </is>
      </c>
      <c r="K1603" s="23" t="inlineStr">
        <is>
          <t>Professional</t>
        </is>
      </c>
      <c r="L1603" s="23" t="inlineStr"/>
      <c r="M1603" s="23" t="inlineStr">
        <is>
          <t>Cost &amp; Forecast Control Accounts Cycle 2</t>
        </is>
      </c>
      <c r="N1603" s="23" t="inlineStr">
        <is>
          <t>Rev 1</t>
        </is>
      </c>
      <c r="O1603" s="23" t="inlineStr">
        <is>
          <t>R1461-v3</t>
        </is>
      </c>
      <c r="P1603" s="23" t="inlineStr"/>
      <c r="Q1603" s="23" t="inlineStr"/>
      <c r="R1603" s="23" t="inlineStr"/>
      <c r="S1603" s="23" t="inlineStr"/>
      <c r="T1603" s="23" t="inlineStr">
        <is>
          <t>Group decision (81 records sharing one decision state), carried forward</t>
        </is>
      </c>
      <c r="U1603" s="23" t="inlineStr"/>
      <c r="V1603" s="23" t="inlineStr">
        <is>
          <t>Cost Account = CA-5059</t>
        </is>
      </c>
      <c r="W1603" s="23" t="inlineStr"/>
    </row>
    <row r="1604" ht="94" customHeight="1">
      <c r="A1604" s="23" t="inlineStr">
        <is>
          <t>UNSURE</t>
        </is>
      </c>
      <c r="B1604" s="23" t="inlineStr"/>
      <c r="C1604" s="23" t="inlineStr">
        <is>
          <t>Cost &amp; Forecast Control Accounts</t>
        </is>
      </c>
      <c r="D1604" s="23" t="inlineStr">
        <is>
          <t>CST-05-060</t>
        </is>
      </c>
      <c r="E1604" s="23" t="inlineStr">
        <is>
          <t>Testing &amp; readiness - test management - control account</t>
        </is>
      </c>
      <c r="F1604" s="23" t="inlineStr">
        <is>
          <t>UNSURE</t>
        </is>
      </c>
      <c r="G1604" s="23" t="inlineStr">
        <is>
          <t>RETAINED</t>
        </is>
      </c>
      <c r="H1604" s="23" t="inlineStr">
        <is>
          <t>Carried forward</t>
        </is>
      </c>
      <c r="I1604" s="23" t="inlineStr">
        <is>
          <t>Earlier professional decision, carried forward</t>
        </is>
      </c>
      <c r="J1604" s="23" t="inlineStr">
        <is>
          <t>Maya Chen, Owner Project Controls</t>
        </is>
      </c>
      <c r="K1604" s="23" t="inlineStr">
        <is>
          <t>Professional</t>
        </is>
      </c>
      <c r="L1604" s="23" t="inlineStr"/>
      <c r="M1604" s="23" t="inlineStr">
        <is>
          <t>Cost &amp; Forecast Control Accounts Cycle 2</t>
        </is>
      </c>
      <c r="N1604" s="23" t="inlineStr">
        <is>
          <t>Rev 1</t>
        </is>
      </c>
      <c r="O1604" s="23" t="inlineStr">
        <is>
          <t>R1462-v3</t>
        </is>
      </c>
      <c r="P1604" s="23" t="inlineStr"/>
      <c r="Q1604" s="23" t="inlineStr"/>
      <c r="R1604" s="23" t="inlineStr"/>
      <c r="S1604" s="23" t="inlineStr"/>
      <c r="T1604" s="23" t="inlineStr">
        <is>
          <t>Group decision (81 records sharing one decision state), carried forward</t>
        </is>
      </c>
      <c r="U1604" s="23" t="inlineStr"/>
      <c r="V1604" s="23" t="inlineStr">
        <is>
          <t>Cost Account = CA-5060</t>
        </is>
      </c>
      <c r="W1604" s="23" t="inlineStr"/>
    </row>
    <row r="1605" ht="94" customHeight="1">
      <c r="A1605" s="23" t="inlineStr">
        <is>
          <t>UNSURE</t>
        </is>
      </c>
      <c r="B1605" s="23" t="inlineStr"/>
      <c r="C1605" s="23" t="inlineStr">
        <is>
          <t>Cost &amp; Forecast Control Accounts</t>
        </is>
      </c>
      <c r="D1605" s="23" t="inlineStr">
        <is>
          <t>CST-05-061</t>
        </is>
      </c>
      <c r="E1605" s="23" t="inlineStr">
        <is>
          <t>Testing &amp; readiness - trial running - control account</t>
        </is>
      </c>
      <c r="F1605" s="23" t="inlineStr">
        <is>
          <t>UNSURE</t>
        </is>
      </c>
      <c r="G1605" s="23" t="inlineStr">
        <is>
          <t>RETAINED</t>
        </is>
      </c>
      <c r="H1605" s="23" t="inlineStr">
        <is>
          <t>Carried forward</t>
        </is>
      </c>
      <c r="I1605" s="23" t="inlineStr">
        <is>
          <t>Earlier professional decision, carried forward</t>
        </is>
      </c>
      <c r="J1605" s="23" t="inlineStr">
        <is>
          <t>Maya Chen, Owner Project Controls</t>
        </is>
      </c>
      <c r="K1605" s="23" t="inlineStr">
        <is>
          <t>Professional</t>
        </is>
      </c>
      <c r="L1605" s="23" t="inlineStr"/>
      <c r="M1605" s="23" t="inlineStr">
        <is>
          <t>Cost &amp; Forecast Control Accounts Cycle 2</t>
        </is>
      </c>
      <c r="N1605" s="23" t="inlineStr">
        <is>
          <t>Rev 1</t>
        </is>
      </c>
      <c r="O1605" s="23" t="inlineStr">
        <is>
          <t>R1463-v3</t>
        </is>
      </c>
      <c r="P1605" s="23" t="inlineStr"/>
      <c r="Q1605" s="23" t="inlineStr"/>
      <c r="R1605" s="23" t="inlineStr"/>
      <c r="S1605" s="23" t="inlineStr"/>
      <c r="T1605" s="23" t="inlineStr">
        <is>
          <t>Group decision (81 records sharing one decision state), carried forward</t>
        </is>
      </c>
      <c r="U1605" s="23" t="inlineStr"/>
      <c r="V1605" s="23" t="inlineStr">
        <is>
          <t>Cost Account = CA-5061</t>
        </is>
      </c>
      <c r="W1605" s="23" t="inlineStr"/>
    </row>
    <row r="1606" ht="94" customHeight="1">
      <c r="A1606" s="23" t="inlineStr">
        <is>
          <t>UNSURE</t>
        </is>
      </c>
      <c r="B1606" s="23" t="inlineStr"/>
      <c r="C1606" s="23" t="inlineStr">
        <is>
          <t>Cost &amp; Forecast Control Accounts</t>
        </is>
      </c>
      <c r="D1606" s="23" t="inlineStr">
        <is>
          <t>CST-05-062</t>
        </is>
      </c>
      <c r="E1606" s="23" t="inlineStr">
        <is>
          <t>Testing &amp; readiness - safety certification - control account</t>
        </is>
      </c>
      <c r="F1606" s="23" t="inlineStr">
        <is>
          <t>UNSURE</t>
        </is>
      </c>
      <c r="G1606" s="23" t="inlineStr">
        <is>
          <t>RETAINED</t>
        </is>
      </c>
      <c r="H1606" s="23" t="inlineStr">
        <is>
          <t>Carried forward</t>
        </is>
      </c>
      <c r="I1606" s="23" t="inlineStr">
        <is>
          <t>Earlier professional decision, carried forward</t>
        </is>
      </c>
      <c r="J1606" s="23" t="inlineStr">
        <is>
          <t>Maya Chen, Owner Project Controls</t>
        </is>
      </c>
      <c r="K1606" s="23" t="inlineStr">
        <is>
          <t>Professional</t>
        </is>
      </c>
      <c r="L1606" s="23" t="inlineStr"/>
      <c r="M1606" s="23" t="inlineStr">
        <is>
          <t>Cost &amp; Forecast Control Accounts Cycle 2</t>
        </is>
      </c>
      <c r="N1606" s="23" t="inlineStr">
        <is>
          <t>Rev 1</t>
        </is>
      </c>
      <c r="O1606" s="23" t="inlineStr">
        <is>
          <t>R1464-v3</t>
        </is>
      </c>
      <c r="P1606" s="23" t="inlineStr"/>
      <c r="Q1606" s="23" t="inlineStr"/>
      <c r="R1606" s="23" t="inlineStr"/>
      <c r="S1606" s="23" t="inlineStr"/>
      <c r="T1606" s="23" t="inlineStr">
        <is>
          <t>Group decision (81 records sharing one decision state), carried forward</t>
        </is>
      </c>
      <c r="U1606" s="23" t="inlineStr"/>
      <c r="V1606" s="23" t="inlineStr">
        <is>
          <t>Cost Account = CA-5062</t>
        </is>
      </c>
      <c r="W1606" s="23" t="inlineStr"/>
    </row>
    <row r="1607" ht="94" customHeight="1">
      <c r="A1607" s="23" t="inlineStr">
        <is>
          <t>UNSURE</t>
        </is>
      </c>
      <c r="B1607" s="23" t="inlineStr"/>
      <c r="C1607" s="23" t="inlineStr">
        <is>
          <t>Cost &amp; Forecast Control Accounts</t>
        </is>
      </c>
      <c r="D1607" s="23" t="inlineStr">
        <is>
          <t>CST-05-063</t>
        </is>
      </c>
      <c r="E1607" s="23" t="inlineStr">
        <is>
          <t>Testing &amp; readiness - defect closeout - control account</t>
        </is>
      </c>
      <c r="F1607" s="23" t="inlineStr">
        <is>
          <t>UNSURE</t>
        </is>
      </c>
      <c r="G1607" s="23" t="inlineStr">
        <is>
          <t>RETAINED</t>
        </is>
      </c>
      <c r="H1607" s="23" t="inlineStr">
        <is>
          <t>Carried forward</t>
        </is>
      </c>
      <c r="I1607" s="23" t="inlineStr">
        <is>
          <t>Earlier professional decision, carried forward</t>
        </is>
      </c>
      <c r="J1607" s="23" t="inlineStr">
        <is>
          <t>Maya Chen, Owner Project Controls</t>
        </is>
      </c>
      <c r="K1607" s="23" t="inlineStr">
        <is>
          <t>Professional</t>
        </is>
      </c>
      <c r="L1607" s="23" t="inlineStr"/>
      <c r="M1607" s="23" t="inlineStr">
        <is>
          <t>Cost &amp; Forecast Control Accounts Cycle 2</t>
        </is>
      </c>
      <c r="N1607" s="23" t="inlineStr">
        <is>
          <t>Rev 1</t>
        </is>
      </c>
      <c r="O1607" s="23" t="inlineStr">
        <is>
          <t>R1465-v3</t>
        </is>
      </c>
      <c r="P1607" s="23" t="inlineStr"/>
      <c r="Q1607" s="23" t="inlineStr"/>
      <c r="R1607" s="23" t="inlineStr"/>
      <c r="S1607" s="23" t="inlineStr"/>
      <c r="T1607" s="23" t="inlineStr">
        <is>
          <t>Group decision (81 records sharing one decision state), carried forward</t>
        </is>
      </c>
      <c r="U1607" s="23" t="inlineStr"/>
      <c r="V1607" s="23" t="inlineStr">
        <is>
          <t>Cost Account = CA-5063</t>
        </is>
      </c>
      <c r="W1607" s="23" t="inlineStr"/>
    </row>
    <row r="1608" ht="94" customHeight="1">
      <c r="A1608" s="23" t="inlineStr">
        <is>
          <t>UNSURE</t>
        </is>
      </c>
      <c r="B1608" s="23" t="inlineStr"/>
      <c r="C1608" s="23" t="inlineStr">
        <is>
          <t>Cost &amp; Forecast Control Accounts</t>
        </is>
      </c>
      <c r="D1608" s="23" t="inlineStr">
        <is>
          <t>CST-05-064</t>
        </is>
      </c>
      <c r="E1608" s="23" t="inlineStr">
        <is>
          <t>Testing &amp; readiness - test management - control account</t>
        </is>
      </c>
      <c r="F1608" s="23" t="inlineStr">
        <is>
          <t>UNSURE</t>
        </is>
      </c>
      <c r="G1608" s="23" t="inlineStr">
        <is>
          <t>RETAINED</t>
        </is>
      </c>
      <c r="H1608" s="23" t="inlineStr">
        <is>
          <t>Carried forward</t>
        </is>
      </c>
      <c r="I1608" s="23" t="inlineStr">
        <is>
          <t>Earlier professional decision, carried forward</t>
        </is>
      </c>
      <c r="J1608" s="23" t="inlineStr">
        <is>
          <t>Maya Chen, Owner Project Controls</t>
        </is>
      </c>
      <c r="K1608" s="23" t="inlineStr">
        <is>
          <t>Professional</t>
        </is>
      </c>
      <c r="L1608" s="23" t="inlineStr"/>
      <c r="M1608" s="23" t="inlineStr">
        <is>
          <t>Cost &amp; Forecast Control Accounts Cycle 2</t>
        </is>
      </c>
      <c r="N1608" s="23" t="inlineStr">
        <is>
          <t>Rev 1</t>
        </is>
      </c>
      <c r="O1608" s="23" t="inlineStr">
        <is>
          <t>R1466-v3</t>
        </is>
      </c>
      <c r="P1608" s="23" t="inlineStr"/>
      <c r="Q1608" s="23" t="inlineStr"/>
      <c r="R1608" s="23" t="inlineStr"/>
      <c r="S1608" s="23" t="inlineStr"/>
      <c r="T1608" s="23" t="inlineStr">
        <is>
          <t>Group decision (81 records sharing one decision state), carried forward</t>
        </is>
      </c>
      <c r="U1608" s="23" t="inlineStr"/>
      <c r="V1608" s="23" t="inlineStr">
        <is>
          <t>Cost Account = CA-5064</t>
        </is>
      </c>
      <c r="W1608" s="23" t="inlineStr"/>
    </row>
    <row r="1609" ht="94" customHeight="1">
      <c r="A1609" s="23" t="inlineStr">
        <is>
          <t>UNSURE</t>
        </is>
      </c>
      <c r="B1609" s="23" t="inlineStr"/>
      <c r="C1609" s="23" t="inlineStr">
        <is>
          <t>Cost &amp; Forecast Control Accounts</t>
        </is>
      </c>
      <c r="D1609" s="23" t="inlineStr">
        <is>
          <t>CST-05-065</t>
        </is>
      </c>
      <c r="E1609" s="23" t="inlineStr">
        <is>
          <t>Testing &amp; readiness - trial running - control account</t>
        </is>
      </c>
      <c r="F1609" s="23" t="inlineStr">
        <is>
          <t>UNSURE</t>
        </is>
      </c>
      <c r="G1609" s="23" t="inlineStr">
        <is>
          <t>RETAINED</t>
        </is>
      </c>
      <c r="H1609" s="23" t="inlineStr">
        <is>
          <t>Carried forward</t>
        </is>
      </c>
      <c r="I1609" s="23" t="inlineStr">
        <is>
          <t>Earlier professional decision, carried forward</t>
        </is>
      </c>
      <c r="J1609" s="23" t="inlineStr">
        <is>
          <t>Maya Chen, Owner Project Controls</t>
        </is>
      </c>
      <c r="K1609" s="23" t="inlineStr">
        <is>
          <t>Professional</t>
        </is>
      </c>
      <c r="L1609" s="23" t="inlineStr"/>
      <c r="M1609" s="23" t="inlineStr">
        <is>
          <t>Cost &amp; Forecast Control Accounts Cycle 2</t>
        </is>
      </c>
      <c r="N1609" s="23" t="inlineStr">
        <is>
          <t>Rev 1</t>
        </is>
      </c>
      <c r="O1609" s="23" t="inlineStr">
        <is>
          <t>R1467-v3</t>
        </is>
      </c>
      <c r="P1609" s="23" t="inlineStr"/>
      <c r="Q1609" s="23" t="inlineStr"/>
      <c r="R1609" s="23" t="inlineStr"/>
      <c r="S1609" s="23" t="inlineStr"/>
      <c r="T1609" s="23" t="inlineStr">
        <is>
          <t>Group decision (81 records sharing one decision state), carried forward</t>
        </is>
      </c>
      <c r="U1609" s="23" t="inlineStr"/>
      <c r="V1609" s="23" t="inlineStr">
        <is>
          <t>Cost Account = CA-5065</t>
        </is>
      </c>
      <c r="W1609" s="23" t="inlineStr"/>
    </row>
    <row r="1610" ht="94" customHeight="1">
      <c r="A1610" s="23" t="inlineStr">
        <is>
          <t>UNSURE</t>
        </is>
      </c>
      <c r="B1610" s="23" t="inlineStr"/>
      <c r="C1610" s="23" t="inlineStr">
        <is>
          <t>Cost &amp; Forecast Control Accounts</t>
        </is>
      </c>
      <c r="D1610" s="23" t="inlineStr">
        <is>
          <t>CST-05-066</t>
        </is>
      </c>
      <c r="E1610" s="23" t="inlineStr">
        <is>
          <t>Testing &amp; readiness - safety certification - control account</t>
        </is>
      </c>
      <c r="F1610" s="23" t="inlineStr">
        <is>
          <t>UNSURE</t>
        </is>
      </c>
      <c r="G1610" s="23" t="inlineStr">
        <is>
          <t>RETAINED</t>
        </is>
      </c>
      <c r="H1610" s="23" t="inlineStr">
        <is>
          <t>Carried forward</t>
        </is>
      </c>
      <c r="I1610" s="23" t="inlineStr">
        <is>
          <t>Earlier professional decision, carried forward</t>
        </is>
      </c>
      <c r="J1610" s="23" t="inlineStr">
        <is>
          <t>Maya Chen, Owner Project Controls</t>
        </is>
      </c>
      <c r="K1610" s="23" t="inlineStr">
        <is>
          <t>Professional</t>
        </is>
      </c>
      <c r="L1610" s="23" t="inlineStr"/>
      <c r="M1610" s="23" t="inlineStr">
        <is>
          <t>Cost &amp; Forecast Control Accounts Cycle 2</t>
        </is>
      </c>
      <c r="N1610" s="23" t="inlineStr">
        <is>
          <t>Rev 1</t>
        </is>
      </c>
      <c r="O1610" s="23" t="inlineStr">
        <is>
          <t>R1468-v3</t>
        </is>
      </c>
      <c r="P1610" s="23" t="inlineStr"/>
      <c r="Q1610" s="23" t="inlineStr"/>
      <c r="R1610" s="23" t="inlineStr"/>
      <c r="S1610" s="23" t="inlineStr"/>
      <c r="T1610" s="23" t="inlineStr">
        <is>
          <t>Group decision (81 records sharing one decision state), carried forward</t>
        </is>
      </c>
      <c r="U1610" s="23" t="inlineStr"/>
      <c r="V1610" s="23" t="inlineStr">
        <is>
          <t>Cost Account = CA-5066</t>
        </is>
      </c>
      <c r="W1610" s="23" t="inlineStr"/>
    </row>
    <row r="1611" ht="94" customHeight="1">
      <c r="A1611" s="23" t="inlineStr">
        <is>
          <t>UNSURE</t>
        </is>
      </c>
      <c r="B1611" s="23" t="inlineStr"/>
      <c r="C1611" s="23" t="inlineStr">
        <is>
          <t>Cost &amp; Forecast Control Accounts</t>
        </is>
      </c>
      <c r="D1611" s="23" t="inlineStr">
        <is>
          <t>CST-05-067</t>
        </is>
      </c>
      <c r="E1611" s="23" t="inlineStr">
        <is>
          <t>Testing &amp; readiness - defect closeout - control account</t>
        </is>
      </c>
      <c r="F1611" s="23" t="inlineStr">
        <is>
          <t>UNSURE</t>
        </is>
      </c>
      <c r="G1611" s="23" t="inlineStr">
        <is>
          <t>RETAINED</t>
        </is>
      </c>
      <c r="H1611" s="23" t="inlineStr">
        <is>
          <t>Carried forward</t>
        </is>
      </c>
      <c r="I1611" s="23" t="inlineStr">
        <is>
          <t>Earlier professional decision, carried forward</t>
        </is>
      </c>
      <c r="J1611" s="23" t="inlineStr">
        <is>
          <t>Maya Chen, Owner Project Controls</t>
        </is>
      </c>
      <c r="K1611" s="23" t="inlineStr">
        <is>
          <t>Professional</t>
        </is>
      </c>
      <c r="L1611" s="23" t="inlineStr"/>
      <c r="M1611" s="23" t="inlineStr">
        <is>
          <t>Cost &amp; Forecast Control Accounts Cycle 2</t>
        </is>
      </c>
      <c r="N1611" s="23" t="inlineStr">
        <is>
          <t>Rev 1</t>
        </is>
      </c>
      <c r="O1611" s="23" t="inlineStr">
        <is>
          <t>R1469-v3</t>
        </is>
      </c>
      <c r="P1611" s="23" t="inlineStr"/>
      <c r="Q1611" s="23" t="inlineStr"/>
      <c r="R1611" s="23" t="inlineStr"/>
      <c r="S1611" s="23" t="inlineStr"/>
      <c r="T1611" s="23" t="inlineStr">
        <is>
          <t>Group decision (81 records sharing one decision state), carried forward</t>
        </is>
      </c>
      <c r="U1611" s="23" t="inlineStr"/>
      <c r="V1611" s="23" t="inlineStr">
        <is>
          <t>Cost Account = CA-5067</t>
        </is>
      </c>
      <c r="W1611" s="23" t="inlineStr"/>
    </row>
    <row r="1612" ht="94" customHeight="1">
      <c r="A1612" s="23" t="inlineStr">
        <is>
          <t>UNSURE</t>
        </is>
      </c>
      <c r="B1612" s="23" t="inlineStr"/>
      <c r="C1612" s="23" t="inlineStr">
        <is>
          <t>Cost &amp; Forecast Control Accounts</t>
        </is>
      </c>
      <c r="D1612" s="23" t="inlineStr">
        <is>
          <t>CST-05-068</t>
        </is>
      </c>
      <c r="E1612" s="23" t="inlineStr">
        <is>
          <t>Testing &amp; readiness - test management - control account</t>
        </is>
      </c>
      <c r="F1612" s="23" t="inlineStr">
        <is>
          <t>UNSURE</t>
        </is>
      </c>
      <c r="G1612" s="23" t="inlineStr">
        <is>
          <t>RETAINED</t>
        </is>
      </c>
      <c r="H1612" s="23" t="inlineStr">
        <is>
          <t>Carried forward</t>
        </is>
      </c>
      <c r="I1612" s="23" t="inlineStr">
        <is>
          <t>Earlier professional decision, carried forward</t>
        </is>
      </c>
      <c r="J1612" s="23" t="inlineStr">
        <is>
          <t>Maya Chen, Owner Project Controls</t>
        </is>
      </c>
      <c r="K1612" s="23" t="inlineStr">
        <is>
          <t>Professional</t>
        </is>
      </c>
      <c r="L1612" s="23" t="inlineStr"/>
      <c r="M1612" s="23" t="inlineStr">
        <is>
          <t>Cost &amp; Forecast Control Accounts Cycle 2</t>
        </is>
      </c>
      <c r="N1612" s="23" t="inlineStr">
        <is>
          <t>Rev 1</t>
        </is>
      </c>
      <c r="O1612" s="23" t="inlineStr">
        <is>
          <t>R1470-v3</t>
        </is>
      </c>
      <c r="P1612" s="23" t="inlineStr"/>
      <c r="Q1612" s="23" t="inlineStr"/>
      <c r="R1612" s="23" t="inlineStr"/>
      <c r="S1612" s="23" t="inlineStr"/>
      <c r="T1612" s="23" t="inlineStr">
        <is>
          <t>Group decision (81 records sharing one decision state), carried forward</t>
        </is>
      </c>
      <c r="U1612" s="23" t="inlineStr"/>
      <c r="V1612" s="23" t="inlineStr">
        <is>
          <t>Cost Account = CA-5068</t>
        </is>
      </c>
      <c r="W1612" s="23" t="inlineStr"/>
    </row>
    <row r="1613" ht="94" customHeight="1">
      <c r="A1613" s="23" t="inlineStr">
        <is>
          <t>UNSURE</t>
        </is>
      </c>
      <c r="B1613" s="23" t="inlineStr"/>
      <c r="C1613" s="23" t="inlineStr">
        <is>
          <t>Cost &amp; Forecast Control Accounts</t>
        </is>
      </c>
      <c r="D1613" s="23" t="inlineStr">
        <is>
          <t>CST-05-069</t>
        </is>
      </c>
      <c r="E1613" s="23" t="inlineStr">
        <is>
          <t>Testing &amp; readiness - trial running - control account</t>
        </is>
      </c>
      <c r="F1613" s="23" t="inlineStr">
        <is>
          <t>UNSURE</t>
        </is>
      </c>
      <c r="G1613" s="23" t="inlineStr">
        <is>
          <t>RETAINED</t>
        </is>
      </c>
      <c r="H1613" s="23" t="inlineStr">
        <is>
          <t>Carried forward</t>
        </is>
      </c>
      <c r="I1613" s="23" t="inlineStr">
        <is>
          <t>Earlier professional decision, carried forward</t>
        </is>
      </c>
      <c r="J1613" s="23" t="inlineStr">
        <is>
          <t>Maya Chen, Owner Project Controls</t>
        </is>
      </c>
      <c r="K1613" s="23" t="inlineStr">
        <is>
          <t>Professional</t>
        </is>
      </c>
      <c r="L1613" s="23" t="inlineStr"/>
      <c r="M1613" s="23" t="inlineStr">
        <is>
          <t>Cost &amp; Forecast Control Accounts Cycle 2</t>
        </is>
      </c>
      <c r="N1613" s="23" t="inlineStr">
        <is>
          <t>Rev 1</t>
        </is>
      </c>
      <c r="O1613" s="23" t="inlineStr">
        <is>
          <t>R1471-v3</t>
        </is>
      </c>
      <c r="P1613" s="23" t="inlineStr"/>
      <c r="Q1613" s="23" t="inlineStr"/>
      <c r="R1613" s="23" t="inlineStr"/>
      <c r="S1613" s="23" t="inlineStr"/>
      <c r="T1613" s="23" t="inlineStr">
        <is>
          <t>Group decision (81 records sharing one decision state), carried forward</t>
        </is>
      </c>
      <c r="U1613" s="23" t="inlineStr"/>
      <c r="V1613" s="23" t="inlineStr">
        <is>
          <t>Cost Account = CA-5069</t>
        </is>
      </c>
      <c r="W1613" s="23" t="inlineStr"/>
    </row>
    <row r="1614" ht="94" customHeight="1">
      <c r="A1614" s="23" t="inlineStr">
        <is>
          <t>UNSURE</t>
        </is>
      </c>
      <c r="B1614" s="23" t="inlineStr"/>
      <c r="C1614" s="23" t="inlineStr">
        <is>
          <t>Cost &amp; Forecast Control Accounts</t>
        </is>
      </c>
      <c r="D1614" s="23" t="inlineStr">
        <is>
          <t>CST-05-070</t>
        </is>
      </c>
      <c r="E1614" s="23" t="inlineStr">
        <is>
          <t>Testing &amp; readiness - safety certification - control account</t>
        </is>
      </c>
      <c r="F1614" s="23" t="inlineStr">
        <is>
          <t>UNSURE</t>
        </is>
      </c>
      <c r="G1614" s="23" t="inlineStr">
        <is>
          <t>RETAINED</t>
        </is>
      </c>
      <c r="H1614" s="23" t="inlineStr">
        <is>
          <t>Carried forward</t>
        </is>
      </c>
      <c r="I1614" s="23" t="inlineStr">
        <is>
          <t>Earlier professional decision, carried forward</t>
        </is>
      </c>
      <c r="J1614" s="23" t="inlineStr">
        <is>
          <t>Maya Chen, Owner Project Controls</t>
        </is>
      </c>
      <c r="K1614" s="23" t="inlineStr">
        <is>
          <t>Professional</t>
        </is>
      </c>
      <c r="L1614" s="23" t="inlineStr"/>
      <c r="M1614" s="23" t="inlineStr">
        <is>
          <t>Cost &amp; Forecast Control Accounts Cycle 2</t>
        </is>
      </c>
      <c r="N1614" s="23" t="inlineStr">
        <is>
          <t>Rev 1</t>
        </is>
      </c>
      <c r="O1614" s="23" t="inlineStr">
        <is>
          <t>R1472-v3</t>
        </is>
      </c>
      <c r="P1614" s="23" t="inlineStr"/>
      <c r="Q1614" s="23" t="inlineStr"/>
      <c r="R1614" s="23" t="inlineStr"/>
      <c r="S1614" s="23" t="inlineStr"/>
      <c r="T1614" s="23" t="inlineStr">
        <is>
          <t>Group decision (81 records sharing one decision state), carried forward</t>
        </is>
      </c>
      <c r="U1614" s="23" t="inlineStr"/>
      <c r="V1614" s="23" t="inlineStr">
        <is>
          <t>Cost Account = CA-5070</t>
        </is>
      </c>
      <c r="W1614" s="23" t="inlineStr"/>
    </row>
    <row r="1615" ht="94" customHeight="1">
      <c r="A1615" s="23" t="inlineStr">
        <is>
          <t>UNSURE</t>
        </is>
      </c>
      <c r="B1615" s="23" t="inlineStr"/>
      <c r="C1615" s="23" t="inlineStr">
        <is>
          <t>Cost &amp; Forecast Control Accounts</t>
        </is>
      </c>
      <c r="D1615" s="23" t="inlineStr">
        <is>
          <t>CST-05-071</t>
        </is>
      </c>
      <c r="E1615" s="23" t="inlineStr">
        <is>
          <t>Testing &amp; readiness - defect closeout - control account</t>
        </is>
      </c>
      <c r="F1615" s="23" t="inlineStr">
        <is>
          <t>UNSURE</t>
        </is>
      </c>
      <c r="G1615" s="23" t="inlineStr">
        <is>
          <t>RETAINED</t>
        </is>
      </c>
      <c r="H1615" s="23" t="inlineStr">
        <is>
          <t>Carried forward</t>
        </is>
      </c>
      <c r="I1615" s="23" t="inlineStr">
        <is>
          <t>Earlier professional decision, carried forward</t>
        </is>
      </c>
      <c r="J1615" s="23" t="inlineStr">
        <is>
          <t>Maya Chen, Owner Project Controls</t>
        </is>
      </c>
      <c r="K1615" s="23" t="inlineStr">
        <is>
          <t>Professional</t>
        </is>
      </c>
      <c r="L1615" s="23" t="inlineStr"/>
      <c r="M1615" s="23" t="inlineStr">
        <is>
          <t>Cost &amp; Forecast Control Accounts Cycle 2</t>
        </is>
      </c>
      <c r="N1615" s="23" t="inlineStr">
        <is>
          <t>Rev 1</t>
        </is>
      </c>
      <c r="O1615" s="23" t="inlineStr">
        <is>
          <t>R1473-v3</t>
        </is>
      </c>
      <c r="P1615" s="23" t="inlineStr"/>
      <c r="Q1615" s="23" t="inlineStr"/>
      <c r="R1615" s="23" t="inlineStr"/>
      <c r="S1615" s="23" t="inlineStr"/>
      <c r="T1615" s="23" t="inlineStr">
        <is>
          <t>Group decision (81 records sharing one decision state), carried forward</t>
        </is>
      </c>
      <c r="U1615" s="23" t="inlineStr"/>
      <c r="V1615" s="23" t="inlineStr">
        <is>
          <t>Cost Account = CA-5071</t>
        </is>
      </c>
      <c r="W1615" s="23" t="inlineStr"/>
    </row>
    <row r="1616" ht="94" customHeight="1">
      <c r="A1616" s="23" t="inlineStr">
        <is>
          <t>UNSURE</t>
        </is>
      </c>
      <c r="B1616" s="23" t="inlineStr"/>
      <c r="C1616" s="23" t="inlineStr">
        <is>
          <t>Cost &amp; Forecast Control Accounts</t>
        </is>
      </c>
      <c r="D1616" s="23" t="inlineStr">
        <is>
          <t>CST-05-072</t>
        </is>
      </c>
      <c r="E1616" s="23" t="inlineStr">
        <is>
          <t>Testing &amp; readiness - test management - control account</t>
        </is>
      </c>
      <c r="F1616" s="23" t="inlineStr">
        <is>
          <t>UNSURE</t>
        </is>
      </c>
      <c r="G1616" s="23" t="inlineStr">
        <is>
          <t>RETAINED</t>
        </is>
      </c>
      <c r="H1616" s="23" t="inlineStr">
        <is>
          <t>Carried forward</t>
        </is>
      </c>
      <c r="I1616" s="23" t="inlineStr">
        <is>
          <t>Earlier professional decision, carried forward</t>
        </is>
      </c>
      <c r="J1616" s="23" t="inlineStr">
        <is>
          <t>Maya Chen, Owner Project Controls</t>
        </is>
      </c>
      <c r="K1616" s="23" t="inlineStr">
        <is>
          <t>Professional</t>
        </is>
      </c>
      <c r="L1616" s="23" t="inlineStr"/>
      <c r="M1616" s="23" t="inlineStr">
        <is>
          <t>Cost &amp; Forecast Control Accounts Cycle 2</t>
        </is>
      </c>
      <c r="N1616" s="23" t="inlineStr">
        <is>
          <t>Rev 1</t>
        </is>
      </c>
      <c r="O1616" s="23" t="inlineStr">
        <is>
          <t>R1474-v3</t>
        </is>
      </c>
      <c r="P1616" s="23" t="inlineStr"/>
      <c r="Q1616" s="23" t="inlineStr"/>
      <c r="R1616" s="23" t="inlineStr"/>
      <c r="S1616" s="23" t="inlineStr"/>
      <c r="T1616" s="23" t="inlineStr">
        <is>
          <t>Group decision (81 records sharing one decision state), carried forward</t>
        </is>
      </c>
      <c r="U1616" s="23" t="inlineStr"/>
      <c r="V1616" s="23" t="inlineStr">
        <is>
          <t>Cost Account = CA-5072</t>
        </is>
      </c>
      <c r="W1616" s="23" t="inlineStr"/>
    </row>
    <row r="1617" ht="94" customHeight="1">
      <c r="A1617" s="23" t="inlineStr">
        <is>
          <t>UNSURE</t>
        </is>
      </c>
      <c r="B1617" s="23" t="inlineStr"/>
      <c r="C1617" s="23" t="inlineStr">
        <is>
          <t>Cost &amp; Forecast Control Accounts</t>
        </is>
      </c>
      <c r="D1617" s="23" t="inlineStr">
        <is>
          <t>CST-05-073</t>
        </is>
      </c>
      <c r="E1617" s="23" t="inlineStr">
        <is>
          <t>Testing &amp; readiness - trial running - control account</t>
        </is>
      </c>
      <c r="F1617" s="23" t="inlineStr">
        <is>
          <t>UNSURE</t>
        </is>
      </c>
      <c r="G1617" s="23" t="inlineStr">
        <is>
          <t>RETAINED</t>
        </is>
      </c>
      <c r="H1617" s="23" t="inlineStr">
        <is>
          <t>Carried forward</t>
        </is>
      </c>
      <c r="I1617" s="23" t="inlineStr">
        <is>
          <t>Earlier professional decision, carried forward</t>
        </is>
      </c>
      <c r="J1617" s="23" t="inlineStr">
        <is>
          <t>Maya Chen, Owner Project Controls</t>
        </is>
      </c>
      <c r="K1617" s="23" t="inlineStr">
        <is>
          <t>Professional</t>
        </is>
      </c>
      <c r="L1617" s="23" t="inlineStr"/>
      <c r="M1617" s="23" t="inlineStr">
        <is>
          <t>Cost &amp; Forecast Control Accounts Cycle 2</t>
        </is>
      </c>
      <c r="N1617" s="23" t="inlineStr">
        <is>
          <t>Rev 1</t>
        </is>
      </c>
      <c r="O1617" s="23" t="inlineStr">
        <is>
          <t>R1475-v3</t>
        </is>
      </c>
      <c r="P1617" s="23" t="inlineStr"/>
      <c r="Q1617" s="23" t="inlineStr"/>
      <c r="R1617" s="23" t="inlineStr"/>
      <c r="S1617" s="23" t="inlineStr"/>
      <c r="T1617" s="23" t="inlineStr">
        <is>
          <t>Group decision (81 records sharing one decision state), carried forward</t>
        </is>
      </c>
      <c r="U1617" s="23" t="inlineStr"/>
      <c r="V1617" s="23" t="inlineStr">
        <is>
          <t>Cost Account = CA-5073</t>
        </is>
      </c>
      <c r="W1617" s="23" t="inlineStr"/>
    </row>
    <row r="1618" ht="94" customHeight="1">
      <c r="A1618" s="23" t="inlineStr">
        <is>
          <t>UNSURE</t>
        </is>
      </c>
      <c r="B1618" s="23" t="inlineStr"/>
      <c r="C1618" s="23" t="inlineStr">
        <is>
          <t>Cost &amp; Forecast Control Accounts</t>
        </is>
      </c>
      <c r="D1618" s="23" t="inlineStr">
        <is>
          <t>CST-05-074</t>
        </is>
      </c>
      <c r="E1618" s="23" t="inlineStr">
        <is>
          <t>Testing &amp; readiness - safety certification - control account</t>
        </is>
      </c>
      <c r="F1618" s="23" t="inlineStr">
        <is>
          <t>UNSURE</t>
        </is>
      </c>
      <c r="G1618" s="23" t="inlineStr">
        <is>
          <t>RETAINED</t>
        </is>
      </c>
      <c r="H1618" s="23" t="inlineStr">
        <is>
          <t>Carried forward</t>
        </is>
      </c>
      <c r="I1618" s="23" t="inlineStr">
        <is>
          <t>Earlier professional decision, carried forward</t>
        </is>
      </c>
      <c r="J1618" s="23" t="inlineStr">
        <is>
          <t>Maya Chen, Owner Project Controls</t>
        </is>
      </c>
      <c r="K1618" s="23" t="inlineStr">
        <is>
          <t>Professional</t>
        </is>
      </c>
      <c r="L1618" s="23" t="inlineStr"/>
      <c r="M1618" s="23" t="inlineStr">
        <is>
          <t>Cost &amp; Forecast Control Accounts Cycle 2</t>
        </is>
      </c>
      <c r="N1618" s="23" t="inlineStr">
        <is>
          <t>Rev 1</t>
        </is>
      </c>
      <c r="O1618" s="23" t="inlineStr">
        <is>
          <t>R1476-v3</t>
        </is>
      </c>
      <c r="P1618" s="23" t="inlineStr"/>
      <c r="Q1618" s="23" t="inlineStr"/>
      <c r="R1618" s="23" t="inlineStr"/>
      <c r="S1618" s="23" t="inlineStr"/>
      <c r="T1618" s="23" t="inlineStr">
        <is>
          <t>Group decision (81 records sharing one decision state), carried forward</t>
        </is>
      </c>
      <c r="U1618" s="23" t="inlineStr"/>
      <c r="V1618" s="23" t="inlineStr">
        <is>
          <t>Cost Account = CA-5074</t>
        </is>
      </c>
      <c r="W1618" s="23" t="inlineStr"/>
    </row>
    <row r="1619" ht="94" customHeight="1">
      <c r="A1619" s="23" t="inlineStr">
        <is>
          <t>UNSURE</t>
        </is>
      </c>
      <c r="B1619" s="23" t="inlineStr"/>
      <c r="C1619" s="23" t="inlineStr">
        <is>
          <t>Cost &amp; Forecast Control Accounts</t>
        </is>
      </c>
      <c r="D1619" s="23" t="inlineStr">
        <is>
          <t>CST-05-075</t>
        </is>
      </c>
      <c r="E1619" s="23" t="inlineStr">
        <is>
          <t>Testing &amp; readiness - defect closeout - control account</t>
        </is>
      </c>
      <c r="F1619" s="23" t="inlineStr">
        <is>
          <t>UNSURE</t>
        </is>
      </c>
      <c r="G1619" s="23" t="inlineStr">
        <is>
          <t>RETAINED</t>
        </is>
      </c>
      <c r="H1619" s="23" t="inlineStr">
        <is>
          <t>Carried forward</t>
        </is>
      </c>
      <c r="I1619" s="23" t="inlineStr">
        <is>
          <t>Earlier professional decision, carried forward</t>
        </is>
      </c>
      <c r="J1619" s="23" t="inlineStr">
        <is>
          <t>Maya Chen, Owner Project Controls</t>
        </is>
      </c>
      <c r="K1619" s="23" t="inlineStr">
        <is>
          <t>Professional</t>
        </is>
      </c>
      <c r="L1619" s="23" t="inlineStr"/>
      <c r="M1619" s="23" t="inlineStr">
        <is>
          <t>Cost &amp; Forecast Control Accounts Cycle 2</t>
        </is>
      </c>
      <c r="N1619" s="23" t="inlineStr">
        <is>
          <t>Rev 1</t>
        </is>
      </c>
      <c r="O1619" s="23" t="inlineStr">
        <is>
          <t>R1477-v3</t>
        </is>
      </c>
      <c r="P1619" s="23" t="inlineStr"/>
      <c r="Q1619" s="23" t="inlineStr"/>
      <c r="R1619" s="23" t="inlineStr"/>
      <c r="S1619" s="23" t="inlineStr"/>
      <c r="T1619" s="23" t="inlineStr">
        <is>
          <t>Group decision (81 records sharing one decision state), carried forward</t>
        </is>
      </c>
      <c r="U1619" s="23" t="inlineStr"/>
      <c r="V1619" s="23" t="inlineStr">
        <is>
          <t>Cost Account = CA-5075</t>
        </is>
      </c>
      <c r="W1619" s="23" t="inlineStr"/>
    </row>
    <row r="1620" ht="94" customHeight="1">
      <c r="A1620" s="23" t="inlineStr">
        <is>
          <t>UNSURE</t>
        </is>
      </c>
      <c r="B1620" s="23" t="inlineStr"/>
      <c r="C1620" s="23" t="inlineStr">
        <is>
          <t>Cost &amp; Forecast Control Accounts</t>
        </is>
      </c>
      <c r="D1620" s="23" t="inlineStr">
        <is>
          <t>CST-05-076</t>
        </is>
      </c>
      <c r="E1620" s="23" t="inlineStr">
        <is>
          <t>Testing &amp; readiness - test management - control account</t>
        </is>
      </c>
      <c r="F1620" s="23" t="inlineStr">
        <is>
          <t>UNSURE</t>
        </is>
      </c>
      <c r="G1620" s="23" t="inlineStr">
        <is>
          <t>RETAINED</t>
        </is>
      </c>
      <c r="H1620" s="23" t="inlineStr">
        <is>
          <t>Carried forward</t>
        </is>
      </c>
      <c r="I1620" s="23" t="inlineStr">
        <is>
          <t>Earlier professional decision, carried forward</t>
        </is>
      </c>
      <c r="J1620" s="23" t="inlineStr">
        <is>
          <t>Maya Chen, Owner Project Controls</t>
        </is>
      </c>
      <c r="K1620" s="23" t="inlineStr">
        <is>
          <t>Professional</t>
        </is>
      </c>
      <c r="L1620" s="23" t="inlineStr"/>
      <c r="M1620" s="23" t="inlineStr">
        <is>
          <t>Cost &amp; Forecast Control Accounts Cycle 2</t>
        </is>
      </c>
      <c r="N1620" s="23" t="inlineStr">
        <is>
          <t>Rev 1</t>
        </is>
      </c>
      <c r="O1620" s="23" t="inlineStr">
        <is>
          <t>R1478-v3</t>
        </is>
      </c>
      <c r="P1620" s="23" t="inlineStr"/>
      <c r="Q1620" s="23" t="inlineStr"/>
      <c r="R1620" s="23" t="inlineStr"/>
      <c r="S1620" s="23" t="inlineStr"/>
      <c r="T1620" s="23" t="inlineStr">
        <is>
          <t>Group decision (81 records sharing one decision state), carried forward</t>
        </is>
      </c>
      <c r="U1620" s="23" t="inlineStr"/>
      <c r="V1620" s="23" t="inlineStr">
        <is>
          <t>Cost Account = CA-5076</t>
        </is>
      </c>
      <c r="W1620" s="23" t="inlineStr"/>
    </row>
    <row r="1621" ht="94" customHeight="1">
      <c r="A1621" s="23" t="inlineStr">
        <is>
          <t>UNSURE</t>
        </is>
      </c>
      <c r="B1621" s="23" t="inlineStr"/>
      <c r="C1621" s="23" t="inlineStr">
        <is>
          <t>Cost &amp; Forecast Control Accounts</t>
        </is>
      </c>
      <c r="D1621" s="23" t="inlineStr">
        <is>
          <t>CST-05-077</t>
        </is>
      </c>
      <c r="E1621" s="23" t="inlineStr">
        <is>
          <t>Testing &amp; readiness - trial running - control account</t>
        </is>
      </c>
      <c r="F1621" s="23" t="inlineStr">
        <is>
          <t>UNSURE</t>
        </is>
      </c>
      <c r="G1621" s="23" t="inlineStr">
        <is>
          <t>RETAINED</t>
        </is>
      </c>
      <c r="H1621" s="23" t="inlineStr">
        <is>
          <t>Carried forward</t>
        </is>
      </c>
      <c r="I1621" s="23" t="inlineStr">
        <is>
          <t>Earlier professional decision, carried forward</t>
        </is>
      </c>
      <c r="J1621" s="23" t="inlineStr">
        <is>
          <t>Maya Chen, Owner Project Controls</t>
        </is>
      </c>
      <c r="K1621" s="23" t="inlineStr">
        <is>
          <t>Professional</t>
        </is>
      </c>
      <c r="L1621" s="23" t="inlineStr"/>
      <c r="M1621" s="23" t="inlineStr">
        <is>
          <t>Cost &amp; Forecast Control Accounts Cycle 2</t>
        </is>
      </c>
      <c r="N1621" s="23" t="inlineStr">
        <is>
          <t>Rev 1</t>
        </is>
      </c>
      <c r="O1621" s="23" t="inlineStr">
        <is>
          <t>R1479-v3</t>
        </is>
      </c>
      <c r="P1621" s="23" t="inlineStr"/>
      <c r="Q1621" s="23" t="inlineStr"/>
      <c r="R1621" s="23" t="inlineStr"/>
      <c r="S1621" s="23" t="inlineStr"/>
      <c r="T1621" s="23" t="inlineStr">
        <is>
          <t>Group decision (81 records sharing one decision state), carried forward</t>
        </is>
      </c>
      <c r="U1621" s="23" t="inlineStr"/>
      <c r="V1621" s="23" t="inlineStr">
        <is>
          <t>Cost Account = CA-5077</t>
        </is>
      </c>
      <c r="W1621" s="23" t="inlineStr"/>
    </row>
    <row r="1622" ht="94" customHeight="1">
      <c r="A1622" s="23" t="inlineStr">
        <is>
          <t>UNSURE</t>
        </is>
      </c>
      <c r="B1622" s="23" t="inlineStr"/>
      <c r="C1622" s="23" t="inlineStr">
        <is>
          <t>Cost &amp; Forecast Control Accounts</t>
        </is>
      </c>
      <c r="D1622" s="23" t="inlineStr">
        <is>
          <t>CST-05-078</t>
        </is>
      </c>
      <c r="E1622" s="23" t="inlineStr">
        <is>
          <t>Testing &amp; readiness - safety certification - control account</t>
        </is>
      </c>
      <c r="F1622" s="23" t="inlineStr">
        <is>
          <t>UNSURE</t>
        </is>
      </c>
      <c r="G1622" s="23" t="inlineStr">
        <is>
          <t>RETAINED</t>
        </is>
      </c>
      <c r="H1622" s="23" t="inlineStr">
        <is>
          <t>Carried forward</t>
        </is>
      </c>
      <c r="I1622" s="23" t="inlineStr">
        <is>
          <t>Earlier professional decision, carried forward</t>
        </is>
      </c>
      <c r="J1622" s="23" t="inlineStr">
        <is>
          <t>Maya Chen, Owner Project Controls</t>
        </is>
      </c>
      <c r="K1622" s="23" t="inlineStr">
        <is>
          <t>Professional</t>
        </is>
      </c>
      <c r="L1622" s="23" t="inlineStr"/>
      <c r="M1622" s="23" t="inlineStr">
        <is>
          <t>Cost &amp; Forecast Control Accounts Cycle 2</t>
        </is>
      </c>
      <c r="N1622" s="23" t="inlineStr">
        <is>
          <t>Rev 1</t>
        </is>
      </c>
      <c r="O1622" s="23" t="inlineStr">
        <is>
          <t>R1480-v3</t>
        </is>
      </c>
      <c r="P1622" s="23" t="inlineStr"/>
      <c r="Q1622" s="23" t="inlineStr"/>
      <c r="R1622" s="23" t="inlineStr"/>
      <c r="S1622" s="23" t="inlineStr"/>
      <c r="T1622" s="23" t="inlineStr">
        <is>
          <t>Group decision (81 records sharing one decision state), carried forward</t>
        </is>
      </c>
      <c r="U1622" s="23" t="inlineStr"/>
      <c r="V1622" s="23" t="inlineStr">
        <is>
          <t>Cost Account = CA-5078</t>
        </is>
      </c>
      <c r="W1622" s="23" t="inlineStr"/>
    </row>
    <row r="1623" ht="94" customHeight="1">
      <c r="A1623" s="23" t="inlineStr">
        <is>
          <t>UNSURE</t>
        </is>
      </c>
      <c r="B1623" s="23" t="inlineStr"/>
      <c r="C1623" s="23" t="inlineStr">
        <is>
          <t>Cost &amp; Forecast Control Accounts</t>
        </is>
      </c>
      <c r="D1623" s="23" t="inlineStr">
        <is>
          <t>CST-05-079</t>
        </is>
      </c>
      <c r="E1623" s="23" t="inlineStr">
        <is>
          <t>Testing &amp; readiness - defect closeout - control account</t>
        </is>
      </c>
      <c r="F1623" s="23" t="inlineStr">
        <is>
          <t>UNSURE</t>
        </is>
      </c>
      <c r="G1623" s="23" t="inlineStr">
        <is>
          <t>RETAINED</t>
        </is>
      </c>
      <c r="H1623" s="23" t="inlineStr">
        <is>
          <t>Carried forward</t>
        </is>
      </c>
      <c r="I1623" s="23" t="inlineStr">
        <is>
          <t>Earlier professional decision, carried forward</t>
        </is>
      </c>
      <c r="J1623" s="23" t="inlineStr">
        <is>
          <t>Maya Chen, Owner Project Controls</t>
        </is>
      </c>
      <c r="K1623" s="23" t="inlineStr">
        <is>
          <t>Professional</t>
        </is>
      </c>
      <c r="L1623" s="23" t="inlineStr"/>
      <c r="M1623" s="23" t="inlineStr">
        <is>
          <t>Cost &amp; Forecast Control Accounts Cycle 2</t>
        </is>
      </c>
      <c r="N1623" s="23" t="inlineStr">
        <is>
          <t>Rev 1</t>
        </is>
      </c>
      <c r="O1623" s="23" t="inlineStr">
        <is>
          <t>R1481-v3</t>
        </is>
      </c>
      <c r="P1623" s="23" t="inlineStr"/>
      <c r="Q1623" s="23" t="inlineStr"/>
      <c r="R1623" s="23" t="inlineStr"/>
      <c r="S1623" s="23" t="inlineStr"/>
      <c r="T1623" s="23" t="inlineStr">
        <is>
          <t>Group decision (81 records sharing one decision state), carried forward</t>
        </is>
      </c>
      <c r="U1623" s="23" t="inlineStr"/>
      <c r="V1623" s="23" t="inlineStr">
        <is>
          <t>Cost Account = CA-5079</t>
        </is>
      </c>
      <c r="W1623" s="23" t="inlineStr"/>
    </row>
    <row r="1624" ht="94" customHeight="1">
      <c r="A1624" s="23" t="inlineStr">
        <is>
          <t>UNSURE</t>
        </is>
      </c>
      <c r="B1624" s="23" t="inlineStr"/>
      <c r="C1624" s="23" t="inlineStr">
        <is>
          <t>Cost &amp; Forecast Control Accounts</t>
        </is>
      </c>
      <c r="D1624" s="23" t="inlineStr">
        <is>
          <t>CST-05-080</t>
        </is>
      </c>
      <c r="E1624" s="23" t="inlineStr">
        <is>
          <t>Testing &amp; readiness - test management - control account</t>
        </is>
      </c>
      <c r="F1624" s="23" t="inlineStr">
        <is>
          <t>UNSURE</t>
        </is>
      </c>
      <c r="G1624" s="23" t="inlineStr">
        <is>
          <t>RETAINED</t>
        </is>
      </c>
      <c r="H1624" s="23" t="inlineStr">
        <is>
          <t>Carried forward</t>
        </is>
      </c>
      <c r="I1624" s="23" t="inlineStr">
        <is>
          <t>Earlier professional decision, carried forward</t>
        </is>
      </c>
      <c r="J1624" s="23" t="inlineStr">
        <is>
          <t>Maya Chen, Owner Project Controls</t>
        </is>
      </c>
      <c r="K1624" s="23" t="inlineStr">
        <is>
          <t>Professional</t>
        </is>
      </c>
      <c r="L1624" s="23" t="inlineStr"/>
      <c r="M1624" s="23" t="inlineStr">
        <is>
          <t>Cost &amp; Forecast Control Accounts Cycle 2</t>
        </is>
      </c>
      <c r="N1624" s="23" t="inlineStr">
        <is>
          <t>Rev 1</t>
        </is>
      </c>
      <c r="O1624" s="23" t="inlineStr">
        <is>
          <t>R1482-v3</t>
        </is>
      </c>
      <c r="P1624" s="23" t="inlineStr"/>
      <c r="Q1624" s="23" t="inlineStr"/>
      <c r="R1624" s="23" t="inlineStr"/>
      <c r="S1624" s="23" t="inlineStr"/>
      <c r="T1624" s="23" t="inlineStr">
        <is>
          <t>Group decision (81 records sharing one decision state), carried forward</t>
        </is>
      </c>
      <c r="U1624" s="23" t="inlineStr"/>
      <c r="V1624" s="23" t="inlineStr">
        <is>
          <t>Cost Account = CA-5080</t>
        </is>
      </c>
      <c r="W1624" s="23" t="inlineStr"/>
    </row>
    <row r="1625" ht="49" customHeight="1">
      <c r="A1625" s="23" t="inlineStr">
        <is>
          <t>1.6</t>
        </is>
      </c>
      <c r="B1625" s="23" t="inlineStr">
        <is>
          <t>Program Management</t>
        </is>
      </c>
      <c r="C1625" s="23" t="inlineStr">
        <is>
          <t>Commercial Package Register</t>
        </is>
      </c>
      <c r="D1625" s="23" t="inlineStr">
        <is>
          <t>PKG-059</t>
        </is>
      </c>
      <c r="E1625" s="23" t="inlineStr">
        <is>
          <t>Program Controls - Lot 3</t>
        </is>
      </c>
      <c r="F1625" s="23" t="inlineStr">
        <is>
          <t>ONE_TO_ONE</t>
        </is>
      </c>
      <c r="G1625" s="23" t="inlineStr">
        <is>
          <t>RETIRED</t>
        </is>
      </c>
      <c r="H1625" s="23" t="inlineStr">
        <is>
          <t>Retired</t>
        </is>
      </c>
      <c r="I1625" s="23" t="inlineStr">
        <is>
          <t>Retired -- no longer reported</t>
        </is>
      </c>
      <c r="J1625" s="23" t="inlineStr"/>
      <c r="K1625" s="23" t="inlineStr">
        <is>
          <t>WBS↔LINK</t>
        </is>
      </c>
      <c r="L1625" s="23" t="inlineStr"/>
      <c r="M1625" s="23" t="inlineStr">
        <is>
          <t>Initial</t>
        </is>
      </c>
      <c r="N1625" s="23" t="inlineStr">
        <is>
          <t>Rev 0</t>
        </is>
      </c>
      <c r="O1625" s="23" t="inlineStr">
        <is>
          <t>R1621-v2</t>
        </is>
      </c>
      <c r="P1625" s="23" t="inlineStr"/>
      <c r="Q1625" s="23" t="inlineStr"/>
      <c r="R1625" s="23" t="inlineStr"/>
      <c r="S1625" s="23" t="inlineStr"/>
      <c r="T1625" s="23" t="inlineStr"/>
      <c r="U1625" s="23" t="inlineStr"/>
      <c r="V1625" s="23" t="inlineStr"/>
      <c r="W1625" s="23" t="inlineStr"/>
    </row>
    <row r="1626" ht="64" customHeight="1">
      <c r="A1626" s="23" t="inlineStr">
        <is>
          <t>1.6.1</t>
        </is>
      </c>
      <c r="B1626" s="23" t="inlineStr">
        <is>
          <t>Program Management - Program Controls</t>
        </is>
      </c>
      <c r="C1626" s="23" t="inlineStr">
        <is>
          <t>Cost &amp; Forecast Control Accounts</t>
        </is>
      </c>
      <c r="D1626" s="23" t="inlineStr">
        <is>
          <t>CST-06-079</t>
        </is>
      </c>
      <c r="E1626" s="23" t="inlineStr">
        <is>
          <t>Program Management - design integration - field package</t>
        </is>
      </c>
      <c r="F1626" s="23" t="inlineStr">
        <is>
          <t>ONE_TO_ONE</t>
        </is>
      </c>
      <c r="G1626" s="23" t="inlineStr">
        <is>
          <t>RETIRED</t>
        </is>
      </c>
      <c r="H1626" s="23" t="inlineStr">
        <is>
          <t>Retired</t>
        </is>
      </c>
      <c r="I1626" s="23" t="inlineStr">
        <is>
          <t>Retired -- no longer reported</t>
        </is>
      </c>
      <c r="J1626" s="23" t="inlineStr"/>
      <c r="K1626" s="23" t="inlineStr">
        <is>
          <t>WBS↔LINK</t>
        </is>
      </c>
      <c r="L1626" s="23" t="inlineStr"/>
      <c r="M1626" s="23" t="inlineStr">
        <is>
          <t>Initial</t>
        </is>
      </c>
      <c r="N1626" s="23" t="inlineStr">
        <is>
          <t>Rev 0</t>
        </is>
      </c>
      <c r="O1626" s="23" t="inlineStr">
        <is>
          <t>R1561-v2</t>
        </is>
      </c>
      <c r="P1626" s="23" t="inlineStr"/>
      <c r="Q1626" s="23" t="inlineStr"/>
      <c r="R1626" s="23" t="inlineStr"/>
      <c r="S1626" s="23" t="inlineStr"/>
      <c r="T1626" s="23" t="inlineStr"/>
      <c r="U1626" s="23" t="inlineStr"/>
      <c r="V1626" s="23" t="inlineStr"/>
      <c r="W1626" s="23" t="inlineStr"/>
    </row>
    <row r="1627" ht="49" customHeight="1">
      <c r="A1627" s="23" t="inlineStr">
        <is>
          <t>NEW_SCOPE</t>
        </is>
      </c>
      <c r="B1627" s="23" t="inlineStr"/>
      <c r="C1627" s="23" t="inlineStr">
        <is>
          <t>Contractor Programme</t>
        </is>
      </c>
      <c r="D1627" s="23" t="inlineStr">
        <is>
          <t>SCH-90-901</t>
        </is>
      </c>
      <c r="E1627" s="23" t="inlineStr">
        <is>
          <t>Temporary offsite logistics compound</t>
        </is>
      </c>
      <c r="F1627" s="23" t="inlineStr">
        <is>
          <t>NEW_SCOPE</t>
        </is>
      </c>
      <c r="G1627" s="23" t="inlineStr">
        <is>
          <t>RETIRED</t>
        </is>
      </c>
      <c r="H1627" s="23" t="inlineStr">
        <is>
          <t>Retired</t>
        </is>
      </c>
      <c r="I1627" s="23" t="inlineStr">
        <is>
          <t>Retired -- no longer reported</t>
        </is>
      </c>
      <c r="J1627" s="23" t="inlineStr"/>
      <c r="K1627" s="23" t="inlineStr">
        <is>
          <t>Professional</t>
        </is>
      </c>
      <c r="L1627" s="23" t="inlineStr"/>
      <c r="M1627" s="23" t="inlineStr">
        <is>
          <t>Initial</t>
        </is>
      </c>
      <c r="N1627" s="23" t="inlineStr">
        <is>
          <t>Rev 0</t>
        </is>
      </c>
      <c r="O1627" s="23" t="inlineStr">
        <is>
          <t>R1081-v3</t>
        </is>
      </c>
      <c r="P1627" s="23" t="inlineStr"/>
      <c r="Q1627" s="23" t="inlineStr"/>
      <c r="R1627" s="23" t="inlineStr"/>
      <c r="S1627" s="23" t="inlineStr"/>
      <c r="T1627" s="23" t="inlineStr">
        <is>
          <t>Earlier decision, carried forward</t>
        </is>
      </c>
      <c r="U1627" s="23" t="inlineStr"/>
      <c r="V1627" s="23" t="inlineStr"/>
      <c r="W1627" s="23" t="inlineStr"/>
    </row>
  </sheetData>
  <autoFilter ref="A1:W1627"/>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tabColor rgb="008B8F97"/>
    <outlinePr summaryBelow="0" summaryRight="0"/>
    <pageSetUpPr fitToPage="1"/>
  </sheetPr>
  <dimension ref="A1:H80"/>
  <sheetViews>
    <sheetView showGridLines="0" tabSelected="0" zoomScale="100" zoomScaleNormal="100" workbookViewId="0">
      <pane ySplit="1" topLeftCell="A2" activePane="bottomLeft" state="frozen"/>
      <selection pane="bottomLeft" activeCell="A1" sqref="A1"/>
    </sheetView>
  </sheetViews>
  <sheetFormatPr baseColWidth="8" defaultRowHeight="15"/>
  <cols>
    <col width="13" customWidth="1" min="1" max="1"/>
    <col width="38" customWidth="1" min="2" max="2"/>
    <col width="15" customWidth="1" min="3" max="3"/>
    <col width="25" customWidth="1" min="4" max="4"/>
    <col width="18" customWidth="1" min="5" max="5"/>
    <col width="10" customWidth="1" min="6" max="6"/>
    <col width="24" customWidth="1" min="7" max="7"/>
    <col width="18" customWidth="1" min="8" max="8"/>
  </cols>
  <sheetData>
    <row r="1" ht="34" customHeight="1">
      <c r="A1" s="12" t="inlineStr">
        <is>
          <t>Code</t>
        </is>
      </c>
      <c r="B1" s="12" t="inlineStr">
        <is>
          <t>Name</t>
        </is>
      </c>
      <c r="C1" s="12" t="inlineStr">
        <is>
          <t>Parent Code</t>
        </is>
      </c>
      <c r="D1" s="12" t="inlineStr">
        <is>
          <t>Represented Dimension</t>
        </is>
      </c>
      <c r="E1" s="12" t="inlineStr">
        <is>
          <t>Scope Nature</t>
        </is>
      </c>
      <c r="F1" s="12" t="inlineStr">
        <is>
          <t>Roll-up</t>
        </is>
      </c>
      <c r="G1" s="12" t="inlineStr">
        <is>
          <t>Provenance</t>
        </is>
      </c>
      <c r="H1" s="12" t="inlineStr">
        <is>
          <t>Current Rows Mapped</t>
        </is>
      </c>
    </row>
    <row r="2" ht="94" customHeight="1">
      <c r="A2" s="23" t="inlineStr">
        <is>
          <t>1</t>
        </is>
      </c>
      <c r="B2" s="65" t="inlineStr">
        <is>
          <t>HarbourLink Urban Transit Expansion</t>
        </is>
      </c>
      <c r="C2" s="23" t="inlineStr"/>
      <c r="D2" s="23" t="inlineStr"/>
      <c r="E2" s="23" t="inlineStr">
        <is>
          <t>Deliverable</t>
        </is>
      </c>
      <c r="F2" s="23" t="inlineStr"/>
      <c r="G2" s="23" t="inlineStr">
        <is>
          <t>System Proposed</t>
        </is>
      </c>
      <c r="H2" s="23">
        <f>COUNTIFS('MASTER DATA'!$A$2:$A$1627,A2,'MASTER DATA'!$G$2:$G$1627,"&lt;&gt;RETIRED")</f>
        <v/>
      </c>
    </row>
    <row r="3" ht="94" customHeight="1">
      <c r="A3" s="23" t="inlineStr">
        <is>
          <t>1.1</t>
        </is>
      </c>
      <c r="B3" s="57" t="inlineStr">
        <is>
          <t>Guideway and Civil</t>
        </is>
      </c>
      <c r="C3" s="23" t="inlineStr">
        <is>
          <t>1</t>
        </is>
      </c>
      <c r="D3" s="23" t="inlineStr"/>
      <c r="E3" s="23" t="inlineStr">
        <is>
          <t>Deliverable</t>
        </is>
      </c>
      <c r="F3" s="23" t="inlineStr"/>
      <c r="G3" s="23" t="inlineStr">
        <is>
          <t>System Proposed</t>
        </is>
      </c>
      <c r="H3" s="23">
        <f>COUNTIFS('MASTER DATA'!$A$2:$A$1627,A3,'MASTER DATA'!$G$2:$G$1627,"&lt;&gt;RETIRED")</f>
        <v/>
      </c>
    </row>
    <row r="4" ht="94" customHeight="1">
      <c r="A4" s="23" t="inlineStr">
        <is>
          <t>1.1.1</t>
        </is>
      </c>
      <c r="B4" s="58" t="inlineStr">
        <is>
          <t>Guideway and Civil - Guideway Structures</t>
        </is>
      </c>
      <c r="C4" s="23" t="inlineStr">
        <is>
          <t>1.1</t>
        </is>
      </c>
      <c r="D4" s="23" t="inlineStr"/>
      <c r="E4" s="23" t="inlineStr">
        <is>
          <t>Deliverable</t>
        </is>
      </c>
      <c r="F4" s="23" t="inlineStr"/>
      <c r="G4" s="23" t="inlineStr">
        <is>
          <t>System Proposed</t>
        </is>
      </c>
      <c r="H4" s="23">
        <f>COUNTIFS('MASTER DATA'!$A$2:$A$1627,A4,'MASTER DATA'!$G$2:$G$1627,"&lt;&gt;RETIRED")</f>
        <v/>
      </c>
    </row>
    <row r="5" ht="94" customHeight="1">
      <c r="A5" s="23" t="inlineStr">
        <is>
          <t>1.1.1.1</t>
        </is>
      </c>
      <c r="B5" s="59" t="inlineStr">
        <is>
          <t>Guideway Structures - East Segment</t>
        </is>
      </c>
      <c r="C5" s="23" t="inlineStr">
        <is>
          <t>1.1.1</t>
        </is>
      </c>
      <c r="D5" s="23" t="inlineStr"/>
      <c r="E5" s="23" t="inlineStr">
        <is>
          <t>Deliverable</t>
        </is>
      </c>
      <c r="F5" s="23" t="inlineStr"/>
      <c r="G5" s="23" t="inlineStr">
        <is>
          <t>System Proposed</t>
        </is>
      </c>
      <c r="H5" s="23">
        <f>COUNTIFS('MASTER DATA'!$A$2:$A$1627,A5,'MASTER DATA'!$G$2:$G$1627,"&lt;&gt;RETIRED")</f>
        <v/>
      </c>
    </row>
    <row r="6" ht="94" customHeight="1">
      <c r="A6" s="23" t="inlineStr">
        <is>
          <t>1.1.1.2</t>
        </is>
      </c>
      <c r="B6" s="59" t="inlineStr">
        <is>
          <t>Guideway Structures - West Segment</t>
        </is>
      </c>
      <c r="C6" s="23" t="inlineStr">
        <is>
          <t>1.1.1</t>
        </is>
      </c>
      <c r="D6" s="23" t="inlineStr"/>
      <c r="E6" s="23" t="inlineStr">
        <is>
          <t>Deliverable</t>
        </is>
      </c>
      <c r="F6" s="23" t="inlineStr"/>
      <c r="G6" s="23" t="inlineStr">
        <is>
          <t>System Proposed</t>
        </is>
      </c>
      <c r="H6" s="23">
        <f>COUNTIFS('MASTER DATA'!$A$2:$A$1627,A6,'MASTER DATA'!$G$2:$G$1627,"&lt;&gt;RETIRED")</f>
        <v/>
      </c>
    </row>
    <row r="7" ht="94" customHeight="1">
      <c r="A7" s="23" t="inlineStr">
        <is>
          <t>1.1.2</t>
        </is>
      </c>
      <c r="B7" s="58" t="inlineStr">
        <is>
          <t>Guideway and Civil - Utility &amp; Roadworks</t>
        </is>
      </c>
      <c r="C7" s="23" t="inlineStr">
        <is>
          <t>1.1</t>
        </is>
      </c>
      <c r="D7" s="23" t="inlineStr"/>
      <c r="E7" s="23" t="inlineStr">
        <is>
          <t>Deliverable</t>
        </is>
      </c>
      <c r="F7" s="23" t="inlineStr"/>
      <c r="G7" s="23" t="inlineStr">
        <is>
          <t>System Proposed</t>
        </is>
      </c>
      <c r="H7" s="23">
        <f>COUNTIFS('MASTER DATA'!$A$2:$A$1627,A7,'MASTER DATA'!$G$2:$G$1627,"&lt;&gt;RETIRED")</f>
        <v/>
      </c>
    </row>
    <row r="8" ht="94" customHeight="1">
      <c r="A8" s="23" t="inlineStr">
        <is>
          <t>1.1.2.1</t>
        </is>
      </c>
      <c r="B8" s="59" t="inlineStr">
        <is>
          <t>Utility &amp; Roadworks - East Segment</t>
        </is>
      </c>
      <c r="C8" s="23" t="inlineStr">
        <is>
          <t>1.1.2</t>
        </is>
      </c>
      <c r="D8" s="23" t="inlineStr"/>
      <c r="E8" s="23" t="inlineStr">
        <is>
          <t>Deliverable</t>
        </is>
      </c>
      <c r="F8" s="23" t="inlineStr"/>
      <c r="G8" s="23" t="inlineStr">
        <is>
          <t>System Proposed</t>
        </is>
      </c>
      <c r="H8" s="23">
        <f>COUNTIFS('MASTER DATA'!$A$2:$A$1627,A8,'MASTER DATA'!$G$2:$G$1627,"&lt;&gt;RETIRED")</f>
        <v/>
      </c>
    </row>
    <row r="9" ht="94" customHeight="1">
      <c r="A9" s="23" t="inlineStr">
        <is>
          <t>1.1.2.2</t>
        </is>
      </c>
      <c r="B9" s="59" t="inlineStr">
        <is>
          <t>Utility &amp; Roadworks - West Segment</t>
        </is>
      </c>
      <c r="C9" s="23" t="inlineStr">
        <is>
          <t>1.1.2</t>
        </is>
      </c>
      <c r="D9" s="23" t="inlineStr"/>
      <c r="E9" s="23" t="inlineStr">
        <is>
          <t>Deliverable</t>
        </is>
      </c>
      <c r="F9" s="23" t="inlineStr"/>
      <c r="G9" s="23" t="inlineStr">
        <is>
          <t>System Proposed</t>
        </is>
      </c>
      <c r="H9" s="23">
        <f>COUNTIFS('MASTER DATA'!$A$2:$A$1627,A9,'MASTER DATA'!$G$2:$G$1627,"&lt;&gt;RETIRED")</f>
        <v/>
      </c>
    </row>
    <row r="10" ht="94" customHeight="1">
      <c r="A10" s="23" t="inlineStr">
        <is>
          <t>1.1.3</t>
        </is>
      </c>
      <c r="B10" s="58" t="inlineStr">
        <is>
          <t>Guideway and Civil - Track Support Works</t>
        </is>
      </c>
      <c r="C10" s="23" t="inlineStr">
        <is>
          <t>1.1</t>
        </is>
      </c>
      <c r="D10" s="23" t="inlineStr"/>
      <c r="E10" s="23" t="inlineStr">
        <is>
          <t>Deliverable</t>
        </is>
      </c>
      <c r="F10" s="23" t="inlineStr"/>
      <c r="G10" s="23" t="inlineStr">
        <is>
          <t>System Proposed</t>
        </is>
      </c>
      <c r="H10" s="23">
        <f>COUNTIFS('MASTER DATA'!$A$2:$A$1627,A10,'MASTER DATA'!$G$2:$G$1627,"&lt;&gt;RETIRED")</f>
        <v/>
      </c>
    </row>
    <row r="11" ht="94" customHeight="1">
      <c r="A11" s="23" t="inlineStr">
        <is>
          <t>1.1.3.1</t>
        </is>
      </c>
      <c r="B11" s="59" t="inlineStr">
        <is>
          <t>Track Support Works - East Segment</t>
        </is>
      </c>
      <c r="C11" s="23" t="inlineStr">
        <is>
          <t>1.1.3</t>
        </is>
      </c>
      <c r="D11" s="23" t="inlineStr"/>
      <c r="E11" s="23" t="inlineStr">
        <is>
          <t>Deliverable</t>
        </is>
      </c>
      <c r="F11" s="23" t="inlineStr"/>
      <c r="G11" s="23" t="inlineStr">
        <is>
          <t>System Proposed</t>
        </is>
      </c>
      <c r="H11" s="23">
        <f>COUNTIFS('MASTER DATA'!$A$2:$A$1627,A11,'MASTER DATA'!$G$2:$G$1627,"&lt;&gt;RETIRED")</f>
        <v/>
      </c>
    </row>
    <row r="12" ht="94" customHeight="1">
      <c r="A12" s="23" t="inlineStr">
        <is>
          <t>1.1.3.2</t>
        </is>
      </c>
      <c r="B12" s="59" t="inlineStr">
        <is>
          <t>Track Support Works - West Segment</t>
        </is>
      </c>
      <c r="C12" s="23" t="inlineStr">
        <is>
          <t>1.1.3</t>
        </is>
      </c>
      <c r="D12" s="23" t="inlineStr"/>
      <c r="E12" s="23" t="inlineStr">
        <is>
          <t>Deliverable</t>
        </is>
      </c>
      <c r="F12" s="23" t="inlineStr"/>
      <c r="G12" s="23" t="inlineStr">
        <is>
          <t>System Proposed</t>
        </is>
      </c>
      <c r="H12" s="23">
        <f>COUNTIFS('MASTER DATA'!$A$2:$A$1627,A12,'MASTER DATA'!$G$2:$G$1627,"&lt;&gt;RETIRED")</f>
        <v/>
      </c>
    </row>
    <row r="13" ht="94" customHeight="1">
      <c r="A13" s="23" t="inlineStr">
        <is>
          <t>1.1.4</t>
        </is>
      </c>
      <c r="B13" s="58" t="inlineStr">
        <is>
          <t>Guideway and Civil - Civil Interfaces</t>
        </is>
      </c>
      <c r="C13" s="23" t="inlineStr">
        <is>
          <t>1.1</t>
        </is>
      </c>
      <c r="D13" s="23" t="inlineStr"/>
      <c r="E13" s="23" t="inlineStr">
        <is>
          <t>Deliverable</t>
        </is>
      </c>
      <c r="F13" s="23" t="inlineStr"/>
      <c r="G13" s="23" t="inlineStr">
        <is>
          <t>System Proposed</t>
        </is>
      </c>
      <c r="H13" s="23">
        <f>COUNTIFS('MASTER DATA'!$A$2:$A$1627,A13,'MASTER DATA'!$G$2:$G$1627,"&lt;&gt;RETIRED")</f>
        <v/>
      </c>
    </row>
    <row r="14" ht="94" customHeight="1">
      <c r="A14" s="23" t="inlineStr">
        <is>
          <t>1.1.4.1</t>
        </is>
      </c>
      <c r="B14" s="59" t="inlineStr">
        <is>
          <t>Civil Interfaces - East Segment</t>
        </is>
      </c>
      <c r="C14" s="23" t="inlineStr">
        <is>
          <t>1.1.4</t>
        </is>
      </c>
      <c r="D14" s="23" t="inlineStr"/>
      <c r="E14" s="23" t="inlineStr">
        <is>
          <t>Deliverable</t>
        </is>
      </c>
      <c r="F14" s="23" t="inlineStr"/>
      <c r="G14" s="23" t="inlineStr">
        <is>
          <t>System Proposed</t>
        </is>
      </c>
      <c r="H14" s="23">
        <f>COUNTIFS('MASTER DATA'!$A$2:$A$1627,A14,'MASTER DATA'!$G$2:$G$1627,"&lt;&gt;RETIRED")</f>
        <v/>
      </c>
    </row>
    <row r="15" ht="94" customHeight="1">
      <c r="A15" s="23" t="inlineStr">
        <is>
          <t>1.1.4.2</t>
        </is>
      </c>
      <c r="B15" s="59" t="inlineStr">
        <is>
          <t>Civil Interfaces - West Segment</t>
        </is>
      </c>
      <c r="C15" s="23" t="inlineStr">
        <is>
          <t>1.1.4</t>
        </is>
      </c>
      <c r="D15" s="23" t="inlineStr"/>
      <c r="E15" s="23" t="inlineStr">
        <is>
          <t>Deliverable</t>
        </is>
      </c>
      <c r="F15" s="23" t="inlineStr"/>
      <c r="G15" s="23" t="inlineStr">
        <is>
          <t>System Proposed</t>
        </is>
      </c>
      <c r="H15" s="23">
        <f>COUNTIFS('MASTER DATA'!$A$2:$A$1627,A15,'MASTER DATA'!$G$2:$G$1627,"&lt;&gt;RETIRED")</f>
        <v/>
      </c>
    </row>
    <row r="16" ht="94" customHeight="1">
      <c r="A16" s="23" t="inlineStr">
        <is>
          <t>1.2</t>
        </is>
      </c>
      <c r="B16" s="57" t="inlineStr">
        <is>
          <t>Stations</t>
        </is>
      </c>
      <c r="C16" s="23" t="inlineStr">
        <is>
          <t>1</t>
        </is>
      </c>
      <c r="D16" s="23" t="inlineStr"/>
      <c r="E16" s="23" t="inlineStr">
        <is>
          <t>Deliverable</t>
        </is>
      </c>
      <c r="F16" s="23" t="inlineStr"/>
      <c r="G16" s="23" t="inlineStr">
        <is>
          <t>System Proposed</t>
        </is>
      </c>
      <c r="H16" s="23">
        <f>COUNTIFS('MASTER DATA'!$A$2:$A$1627,A16,'MASTER DATA'!$G$2:$G$1627,"&lt;&gt;RETIRED")</f>
        <v/>
      </c>
    </row>
    <row r="17" ht="94" customHeight="1">
      <c r="A17" s="23" t="inlineStr">
        <is>
          <t>1.2.1</t>
        </is>
      </c>
      <c r="B17" s="58" t="inlineStr">
        <is>
          <t>Stations - Station Structures</t>
        </is>
      </c>
      <c r="C17" s="23" t="inlineStr">
        <is>
          <t>1.2</t>
        </is>
      </c>
      <c r="D17" s="23" t="inlineStr"/>
      <c r="E17" s="23" t="inlineStr">
        <is>
          <t>Deliverable</t>
        </is>
      </c>
      <c r="F17" s="23" t="inlineStr"/>
      <c r="G17" s="23" t="inlineStr">
        <is>
          <t>System Proposed</t>
        </is>
      </c>
      <c r="H17" s="23">
        <f>COUNTIFS('MASTER DATA'!$A$2:$A$1627,A17,'MASTER DATA'!$G$2:$G$1627,"&lt;&gt;RETIRED")</f>
        <v/>
      </c>
    </row>
    <row r="18" ht="94" customHeight="1">
      <c r="A18" s="23" t="inlineStr">
        <is>
          <t>1.2.1.1</t>
        </is>
      </c>
      <c r="B18" s="59" t="inlineStr">
        <is>
          <t>Station Structures - Concourse &amp; Entries</t>
        </is>
      </c>
      <c r="C18" s="23" t="inlineStr">
        <is>
          <t>1.2.1</t>
        </is>
      </c>
      <c r="D18" s="23" t="inlineStr"/>
      <c r="E18" s="23" t="inlineStr">
        <is>
          <t>Deliverable</t>
        </is>
      </c>
      <c r="F18" s="23" t="inlineStr"/>
      <c r="G18" s="23" t="inlineStr">
        <is>
          <t>System Proposed</t>
        </is>
      </c>
      <c r="H18" s="23">
        <f>COUNTIFS('MASTER DATA'!$A$2:$A$1627,A18,'MASTER DATA'!$G$2:$G$1627,"&lt;&gt;RETIRED")</f>
        <v/>
      </c>
    </row>
    <row r="19" ht="94" customHeight="1">
      <c r="A19" s="23" t="inlineStr">
        <is>
          <t>1.2.1.2</t>
        </is>
      </c>
      <c r="B19" s="59" t="inlineStr">
        <is>
          <t>Station Structures - Platforms &amp; Back-of-House</t>
        </is>
      </c>
      <c r="C19" s="23" t="inlineStr">
        <is>
          <t>1.2.1</t>
        </is>
      </c>
      <c r="D19" s="23" t="inlineStr"/>
      <c r="E19" s="23" t="inlineStr">
        <is>
          <t>Deliverable</t>
        </is>
      </c>
      <c r="F19" s="23" t="inlineStr"/>
      <c r="G19" s="23" t="inlineStr">
        <is>
          <t>System Proposed</t>
        </is>
      </c>
      <c r="H19" s="23">
        <f>COUNTIFS('MASTER DATA'!$A$2:$A$1627,A19,'MASTER DATA'!$G$2:$G$1627,"&lt;&gt;RETIRED")</f>
        <v/>
      </c>
    </row>
    <row r="20" ht="94" customHeight="1">
      <c r="A20" s="23" t="inlineStr">
        <is>
          <t>1.2.2</t>
        </is>
      </c>
      <c r="B20" s="58" t="inlineStr">
        <is>
          <t>Stations - Architectural Fit-Out</t>
        </is>
      </c>
      <c r="C20" s="23" t="inlineStr">
        <is>
          <t>1.2</t>
        </is>
      </c>
      <c r="D20" s="23" t="inlineStr"/>
      <c r="E20" s="23" t="inlineStr">
        <is>
          <t>Deliverable</t>
        </is>
      </c>
      <c r="F20" s="23" t="inlineStr"/>
      <c r="G20" s="23" t="inlineStr">
        <is>
          <t>System Proposed</t>
        </is>
      </c>
      <c r="H20" s="23">
        <f>COUNTIFS('MASTER DATA'!$A$2:$A$1627,A20,'MASTER DATA'!$G$2:$G$1627,"&lt;&gt;RETIRED")</f>
        <v/>
      </c>
    </row>
    <row r="21" ht="94" customHeight="1">
      <c r="A21" s="23" t="inlineStr">
        <is>
          <t>1.2.2.1</t>
        </is>
      </c>
      <c r="B21" s="59" t="inlineStr">
        <is>
          <t>Architectural Fit-Out - Concourse &amp; Entries</t>
        </is>
      </c>
      <c r="C21" s="23" t="inlineStr">
        <is>
          <t>1.2.2</t>
        </is>
      </c>
      <c r="D21" s="23" t="inlineStr"/>
      <c r="E21" s="23" t="inlineStr">
        <is>
          <t>Deliverable</t>
        </is>
      </c>
      <c r="F21" s="23" t="inlineStr"/>
      <c r="G21" s="23" t="inlineStr">
        <is>
          <t>System Proposed</t>
        </is>
      </c>
      <c r="H21" s="23">
        <f>COUNTIFS('MASTER DATA'!$A$2:$A$1627,A21,'MASTER DATA'!$G$2:$G$1627,"&lt;&gt;RETIRED")</f>
        <v/>
      </c>
    </row>
    <row r="22" ht="94" customHeight="1">
      <c r="A22" s="23" t="inlineStr">
        <is>
          <t>1.2.2.2</t>
        </is>
      </c>
      <c r="B22" s="59" t="inlineStr">
        <is>
          <t>Architectural Fit-Out - Platforms &amp; Back-of-House</t>
        </is>
      </c>
      <c r="C22" s="23" t="inlineStr">
        <is>
          <t>1.2.2</t>
        </is>
      </c>
      <c r="D22" s="23" t="inlineStr"/>
      <c r="E22" s="23" t="inlineStr">
        <is>
          <t>Deliverable</t>
        </is>
      </c>
      <c r="F22" s="23" t="inlineStr"/>
      <c r="G22" s="23" t="inlineStr">
        <is>
          <t>System Proposed</t>
        </is>
      </c>
      <c r="H22" s="23">
        <f>COUNTIFS('MASTER DATA'!$A$2:$A$1627,A22,'MASTER DATA'!$G$2:$G$1627,"&lt;&gt;RETIRED")</f>
        <v/>
      </c>
    </row>
    <row r="23" ht="94" customHeight="1">
      <c r="A23" s="23" t="inlineStr">
        <is>
          <t>1.2.3</t>
        </is>
      </c>
      <c r="B23" s="58" t="inlineStr">
        <is>
          <t>Stations - Station Building Services</t>
        </is>
      </c>
      <c r="C23" s="23" t="inlineStr">
        <is>
          <t>1.2</t>
        </is>
      </c>
      <c r="D23" s="23" t="inlineStr"/>
      <c r="E23" s="23" t="inlineStr">
        <is>
          <t>Deliverable</t>
        </is>
      </c>
      <c r="F23" s="23" t="inlineStr"/>
      <c r="G23" s="23" t="inlineStr">
        <is>
          <t>System Proposed</t>
        </is>
      </c>
      <c r="H23" s="23">
        <f>COUNTIFS('MASTER DATA'!$A$2:$A$1627,A23,'MASTER DATA'!$G$2:$G$1627,"&lt;&gt;RETIRED")</f>
        <v/>
      </c>
    </row>
    <row r="24" ht="94" customHeight="1">
      <c r="A24" s="23" t="inlineStr">
        <is>
          <t>1.2.3.1</t>
        </is>
      </c>
      <c r="B24" s="59" t="inlineStr">
        <is>
          <t>Station Building Services - Concourse &amp; Entries</t>
        </is>
      </c>
      <c r="C24" s="23" t="inlineStr">
        <is>
          <t>1.2.3</t>
        </is>
      </c>
      <c r="D24" s="23" t="inlineStr"/>
      <c r="E24" s="23" t="inlineStr">
        <is>
          <t>Deliverable</t>
        </is>
      </c>
      <c r="F24" s="23" t="inlineStr"/>
      <c r="G24" s="23" t="inlineStr">
        <is>
          <t>System Proposed</t>
        </is>
      </c>
      <c r="H24" s="23">
        <f>COUNTIFS('MASTER DATA'!$A$2:$A$1627,A24,'MASTER DATA'!$G$2:$G$1627,"&lt;&gt;RETIRED")</f>
        <v/>
      </c>
    </row>
    <row r="25" ht="94" customHeight="1">
      <c r="A25" s="23" t="inlineStr">
        <is>
          <t>1.2.3.2</t>
        </is>
      </c>
      <c r="B25" s="59" t="inlineStr">
        <is>
          <t>Station Building Services - Platforms &amp; Back-of-House</t>
        </is>
      </c>
      <c r="C25" s="23" t="inlineStr">
        <is>
          <t>1.2.3</t>
        </is>
      </c>
      <c r="D25" s="23" t="inlineStr"/>
      <c r="E25" s="23" t="inlineStr">
        <is>
          <t>Deliverable</t>
        </is>
      </c>
      <c r="F25" s="23" t="inlineStr"/>
      <c r="G25" s="23" t="inlineStr">
        <is>
          <t>System Proposed</t>
        </is>
      </c>
      <c r="H25" s="23">
        <f>COUNTIFS('MASTER DATA'!$A$2:$A$1627,A25,'MASTER DATA'!$G$2:$G$1627,"&lt;&gt;RETIRED")</f>
        <v/>
      </c>
    </row>
    <row r="26" ht="94" customHeight="1">
      <c r="A26" s="23" t="inlineStr">
        <is>
          <t>1.2.4</t>
        </is>
      </c>
      <c r="B26" s="58" t="inlineStr">
        <is>
          <t>Stations - Public Realm</t>
        </is>
      </c>
      <c r="C26" s="23" t="inlineStr">
        <is>
          <t>1.2</t>
        </is>
      </c>
      <c r="D26" s="23" t="inlineStr"/>
      <c r="E26" s="23" t="inlineStr">
        <is>
          <t>Deliverable</t>
        </is>
      </c>
      <c r="F26" s="23" t="inlineStr"/>
      <c r="G26" s="23" t="inlineStr">
        <is>
          <t>System Proposed</t>
        </is>
      </c>
      <c r="H26" s="23">
        <f>COUNTIFS('MASTER DATA'!$A$2:$A$1627,A26,'MASTER DATA'!$G$2:$G$1627,"&lt;&gt;RETIRED")</f>
        <v/>
      </c>
    </row>
    <row r="27" ht="94" customHeight="1">
      <c r="A27" s="23" t="inlineStr">
        <is>
          <t>1.2.4.1</t>
        </is>
      </c>
      <c r="B27" s="59" t="inlineStr">
        <is>
          <t>Public Realm - Concourse &amp; Entries</t>
        </is>
      </c>
      <c r="C27" s="23" t="inlineStr">
        <is>
          <t>1.2.4</t>
        </is>
      </c>
      <c r="D27" s="23" t="inlineStr"/>
      <c r="E27" s="23" t="inlineStr">
        <is>
          <t>Deliverable</t>
        </is>
      </c>
      <c r="F27" s="23" t="inlineStr"/>
      <c r="G27" s="23" t="inlineStr">
        <is>
          <t>System Proposed</t>
        </is>
      </c>
      <c r="H27" s="23">
        <f>COUNTIFS('MASTER DATA'!$A$2:$A$1627,A27,'MASTER DATA'!$G$2:$G$1627,"&lt;&gt;RETIRED")</f>
        <v/>
      </c>
    </row>
    <row r="28" ht="94" customHeight="1">
      <c r="A28" s="23" t="inlineStr">
        <is>
          <t>1.2.4.2</t>
        </is>
      </c>
      <c r="B28" s="59" t="inlineStr">
        <is>
          <t>Public Realm - Platforms &amp; Back-of-House</t>
        </is>
      </c>
      <c r="C28" s="23" t="inlineStr">
        <is>
          <t>1.2.4</t>
        </is>
      </c>
      <c r="D28" s="23" t="inlineStr"/>
      <c r="E28" s="23" t="inlineStr">
        <is>
          <t>Deliverable</t>
        </is>
      </c>
      <c r="F28" s="23" t="inlineStr"/>
      <c r="G28" s="23" t="inlineStr">
        <is>
          <t>System Proposed</t>
        </is>
      </c>
      <c r="H28" s="23">
        <f>COUNTIFS('MASTER DATA'!$A$2:$A$1627,A28,'MASTER DATA'!$G$2:$G$1627,"&lt;&gt;RETIRED")</f>
        <v/>
      </c>
    </row>
    <row r="29" ht="94" customHeight="1">
      <c r="A29" s="23" t="inlineStr">
        <is>
          <t>1.3</t>
        </is>
      </c>
      <c r="B29" s="57" t="inlineStr">
        <is>
          <t>Systems</t>
        </is>
      </c>
      <c r="C29" s="23" t="inlineStr">
        <is>
          <t>1</t>
        </is>
      </c>
      <c r="D29" s="23" t="inlineStr"/>
      <c r="E29" s="23" t="inlineStr">
        <is>
          <t>Deliverable</t>
        </is>
      </c>
      <c r="F29" s="23" t="inlineStr"/>
      <c r="G29" s="23" t="inlineStr">
        <is>
          <t>System Proposed</t>
        </is>
      </c>
      <c r="H29" s="23">
        <f>COUNTIFS('MASTER DATA'!$A$2:$A$1627,A29,'MASTER DATA'!$G$2:$G$1627,"&lt;&gt;RETIRED")</f>
        <v/>
      </c>
    </row>
    <row r="30" ht="94" customHeight="1">
      <c r="A30" s="23" t="inlineStr">
        <is>
          <t>1.3.1</t>
        </is>
      </c>
      <c r="B30" s="58" t="inlineStr">
        <is>
          <t>Systems - Traction Power</t>
        </is>
      </c>
      <c r="C30" s="23" t="inlineStr">
        <is>
          <t>1.3</t>
        </is>
      </c>
      <c r="D30" s="23" t="inlineStr"/>
      <c r="E30" s="23" t="inlineStr">
        <is>
          <t>Deliverable</t>
        </is>
      </c>
      <c r="F30" s="23" t="inlineStr"/>
      <c r="G30" s="23" t="inlineStr">
        <is>
          <t>System Proposed</t>
        </is>
      </c>
      <c r="H30" s="23">
        <f>COUNTIFS('MASTER DATA'!$A$2:$A$1627,A30,'MASTER DATA'!$G$2:$G$1627,"&lt;&gt;RETIRED")</f>
        <v/>
      </c>
    </row>
    <row r="31" ht="94" customHeight="1">
      <c r="A31" s="23" t="inlineStr">
        <is>
          <t>1.3.1.1</t>
        </is>
      </c>
      <c r="B31" s="59" t="inlineStr">
        <is>
          <t>Traction Power - Wayside</t>
        </is>
      </c>
      <c r="C31" s="23" t="inlineStr">
        <is>
          <t>1.3.1</t>
        </is>
      </c>
      <c r="D31" s="23" t="inlineStr"/>
      <c r="E31" s="23" t="inlineStr">
        <is>
          <t>Deliverable</t>
        </is>
      </c>
      <c r="F31" s="23" t="inlineStr"/>
      <c r="G31" s="23" t="inlineStr">
        <is>
          <t>System Proposed</t>
        </is>
      </c>
      <c r="H31" s="23">
        <f>COUNTIFS('MASTER DATA'!$A$2:$A$1627,A31,'MASTER DATA'!$G$2:$G$1627,"&lt;&gt;RETIRED")</f>
        <v/>
      </c>
    </row>
    <row r="32" ht="94" customHeight="1">
      <c r="A32" s="23" t="inlineStr">
        <is>
          <t>1.3.1.2</t>
        </is>
      </c>
      <c r="B32" s="59" t="inlineStr">
        <is>
          <t>Traction Power - Control Centre &amp; Stations</t>
        </is>
      </c>
      <c r="C32" s="23" t="inlineStr">
        <is>
          <t>1.3.1</t>
        </is>
      </c>
      <c r="D32" s="23" t="inlineStr"/>
      <c r="E32" s="23" t="inlineStr">
        <is>
          <t>Deliverable</t>
        </is>
      </c>
      <c r="F32" s="23" t="inlineStr"/>
      <c r="G32" s="23" t="inlineStr">
        <is>
          <t>System Proposed</t>
        </is>
      </c>
      <c r="H32" s="23">
        <f>COUNTIFS('MASTER DATA'!$A$2:$A$1627,A32,'MASTER DATA'!$G$2:$G$1627,"&lt;&gt;RETIRED")</f>
        <v/>
      </c>
    </row>
    <row r="33" ht="94" customHeight="1">
      <c r="A33" s="23" t="inlineStr">
        <is>
          <t>1.3.2</t>
        </is>
      </c>
      <c r="B33" s="58" t="inlineStr">
        <is>
          <t>Systems - Signalling &amp; Train Control</t>
        </is>
      </c>
      <c r="C33" s="23" t="inlineStr">
        <is>
          <t>1.3</t>
        </is>
      </c>
      <c r="D33" s="23" t="inlineStr"/>
      <c r="E33" s="23" t="inlineStr">
        <is>
          <t>Deliverable</t>
        </is>
      </c>
      <c r="F33" s="23" t="inlineStr"/>
      <c r="G33" s="23" t="inlineStr">
        <is>
          <t>System Proposed</t>
        </is>
      </c>
      <c r="H33" s="23">
        <f>COUNTIFS('MASTER DATA'!$A$2:$A$1627,A33,'MASTER DATA'!$G$2:$G$1627,"&lt;&gt;RETIRED")</f>
        <v/>
      </c>
    </row>
    <row r="34" ht="94" customHeight="1">
      <c r="A34" s="23" t="inlineStr">
        <is>
          <t>1.3.2.1</t>
        </is>
      </c>
      <c r="B34" s="59" t="inlineStr">
        <is>
          <t>Signalling &amp; Train Control - Wayside</t>
        </is>
      </c>
      <c r="C34" s="23" t="inlineStr">
        <is>
          <t>1.3.2</t>
        </is>
      </c>
      <c r="D34" s="23" t="inlineStr"/>
      <c r="E34" s="23" t="inlineStr">
        <is>
          <t>Deliverable</t>
        </is>
      </c>
      <c r="F34" s="23" t="inlineStr"/>
      <c r="G34" s="23" t="inlineStr">
        <is>
          <t>System Proposed</t>
        </is>
      </c>
      <c r="H34" s="23">
        <f>COUNTIFS('MASTER DATA'!$A$2:$A$1627,A34,'MASTER DATA'!$G$2:$G$1627,"&lt;&gt;RETIRED")</f>
        <v/>
      </c>
    </row>
    <row r="35" ht="94" customHeight="1">
      <c r="A35" s="23" t="inlineStr">
        <is>
          <t>1.3.2.2</t>
        </is>
      </c>
      <c r="B35" s="59" t="inlineStr">
        <is>
          <t>Signalling &amp; Train Control - Control Centre &amp; Stations</t>
        </is>
      </c>
      <c r="C35" s="23" t="inlineStr">
        <is>
          <t>1.3.2</t>
        </is>
      </c>
      <c r="D35" s="23" t="inlineStr"/>
      <c r="E35" s="23" t="inlineStr">
        <is>
          <t>Deliverable</t>
        </is>
      </c>
      <c r="F35" s="23" t="inlineStr"/>
      <c r="G35" s="23" t="inlineStr">
        <is>
          <t>System Proposed</t>
        </is>
      </c>
      <c r="H35" s="23">
        <f>COUNTIFS('MASTER DATA'!$A$2:$A$1627,A35,'MASTER DATA'!$G$2:$G$1627,"&lt;&gt;RETIRED")</f>
        <v/>
      </c>
    </row>
    <row r="36" ht="94" customHeight="1">
      <c r="A36" s="23" t="inlineStr">
        <is>
          <t>1.3.3</t>
        </is>
      </c>
      <c r="B36" s="58" t="inlineStr">
        <is>
          <t>Systems - Communications</t>
        </is>
      </c>
      <c r="C36" s="23" t="inlineStr">
        <is>
          <t>1.3</t>
        </is>
      </c>
      <c r="D36" s="23" t="inlineStr"/>
      <c r="E36" s="23" t="inlineStr">
        <is>
          <t>Deliverable</t>
        </is>
      </c>
      <c r="F36" s="23" t="inlineStr"/>
      <c r="G36" s="23" t="inlineStr">
        <is>
          <t>System Proposed</t>
        </is>
      </c>
      <c r="H36" s="23">
        <f>COUNTIFS('MASTER DATA'!$A$2:$A$1627,A36,'MASTER DATA'!$G$2:$G$1627,"&lt;&gt;RETIRED")</f>
        <v/>
      </c>
    </row>
    <row r="37" ht="94" customHeight="1">
      <c r="A37" s="23" t="inlineStr">
        <is>
          <t>1.3.3.1</t>
        </is>
      </c>
      <c r="B37" s="59" t="inlineStr">
        <is>
          <t>Communications - Wayside</t>
        </is>
      </c>
      <c r="C37" s="23" t="inlineStr">
        <is>
          <t>1.3.3</t>
        </is>
      </c>
      <c r="D37" s="23" t="inlineStr"/>
      <c r="E37" s="23" t="inlineStr">
        <is>
          <t>Deliverable</t>
        </is>
      </c>
      <c r="F37" s="23" t="inlineStr"/>
      <c r="G37" s="23" t="inlineStr">
        <is>
          <t>System Proposed</t>
        </is>
      </c>
      <c r="H37" s="23">
        <f>COUNTIFS('MASTER DATA'!$A$2:$A$1627,A37,'MASTER DATA'!$G$2:$G$1627,"&lt;&gt;RETIRED")</f>
        <v/>
      </c>
    </row>
    <row r="38" ht="94" customHeight="1">
      <c r="A38" s="23" t="inlineStr">
        <is>
          <t>1.3.3.2</t>
        </is>
      </c>
      <c r="B38" s="59" t="inlineStr">
        <is>
          <t>Communications - Control Centre &amp; Stations</t>
        </is>
      </c>
      <c r="C38" s="23" t="inlineStr">
        <is>
          <t>1.3.3</t>
        </is>
      </c>
      <c r="D38" s="23" t="inlineStr"/>
      <c r="E38" s="23" t="inlineStr">
        <is>
          <t>Deliverable</t>
        </is>
      </c>
      <c r="F38" s="23" t="inlineStr"/>
      <c r="G38" s="23" t="inlineStr">
        <is>
          <t>System Proposed</t>
        </is>
      </c>
      <c r="H38" s="23">
        <f>COUNTIFS('MASTER DATA'!$A$2:$A$1627,A38,'MASTER DATA'!$G$2:$G$1627,"&lt;&gt;RETIRED")</f>
        <v/>
      </c>
    </row>
    <row r="39" ht="94" customHeight="1">
      <c r="A39" s="23" t="inlineStr">
        <is>
          <t>1.3.4</t>
        </is>
      </c>
      <c r="B39" s="58" t="inlineStr">
        <is>
          <t>Systems - Systems Integration</t>
        </is>
      </c>
      <c r="C39" s="23" t="inlineStr">
        <is>
          <t>1.3</t>
        </is>
      </c>
      <c r="D39" s="23" t="inlineStr"/>
      <c r="E39" s="23" t="inlineStr">
        <is>
          <t>Deliverable</t>
        </is>
      </c>
      <c r="F39" s="23" t="inlineStr"/>
      <c r="G39" s="23" t="inlineStr">
        <is>
          <t>System Proposed</t>
        </is>
      </c>
      <c r="H39" s="23">
        <f>COUNTIFS('MASTER DATA'!$A$2:$A$1627,A39,'MASTER DATA'!$G$2:$G$1627,"&lt;&gt;RETIRED")</f>
        <v/>
      </c>
    </row>
    <row r="40" ht="94" customHeight="1">
      <c r="A40" s="23" t="inlineStr">
        <is>
          <t>1.3.4.1</t>
        </is>
      </c>
      <c r="B40" s="59" t="inlineStr">
        <is>
          <t>Systems Integration - Wayside</t>
        </is>
      </c>
      <c r="C40" s="23" t="inlineStr">
        <is>
          <t>1.3.4</t>
        </is>
      </c>
      <c r="D40" s="23" t="inlineStr"/>
      <c r="E40" s="23" t="inlineStr">
        <is>
          <t>Deliverable</t>
        </is>
      </c>
      <c r="F40" s="23" t="inlineStr"/>
      <c r="G40" s="23" t="inlineStr">
        <is>
          <t>System Proposed</t>
        </is>
      </c>
      <c r="H40" s="23">
        <f>COUNTIFS('MASTER DATA'!$A$2:$A$1627,A40,'MASTER DATA'!$G$2:$G$1627,"&lt;&gt;RETIRED")</f>
        <v/>
      </c>
    </row>
    <row r="41" ht="94" customHeight="1">
      <c r="A41" s="23" t="inlineStr">
        <is>
          <t>1.3.4.2</t>
        </is>
      </c>
      <c r="B41" s="59" t="inlineStr">
        <is>
          <t>Systems Integration - Control Centre &amp; Stations</t>
        </is>
      </c>
      <c r="C41" s="23" t="inlineStr">
        <is>
          <t>1.3.4</t>
        </is>
      </c>
      <c r="D41" s="23" t="inlineStr"/>
      <c r="E41" s="23" t="inlineStr">
        <is>
          <t>Deliverable</t>
        </is>
      </c>
      <c r="F41" s="23" t="inlineStr"/>
      <c r="G41" s="23" t="inlineStr">
        <is>
          <t>System Proposed</t>
        </is>
      </c>
      <c r="H41" s="23">
        <f>COUNTIFS('MASTER DATA'!$A$2:$A$1627,A41,'MASTER DATA'!$G$2:$G$1627,"&lt;&gt;RETIRED")</f>
        <v/>
      </c>
    </row>
    <row r="42" ht="94" customHeight="1">
      <c r="A42" s="23" t="inlineStr">
        <is>
          <t>1.4</t>
        </is>
      </c>
      <c r="B42" s="57" t="inlineStr">
        <is>
          <t>Vehicles and Depot</t>
        </is>
      </c>
      <c r="C42" s="23" t="inlineStr">
        <is>
          <t>1</t>
        </is>
      </c>
      <c r="D42" s="23" t="inlineStr"/>
      <c r="E42" s="23" t="inlineStr">
        <is>
          <t>Deliverable</t>
        </is>
      </c>
      <c r="F42" s="23" t="inlineStr"/>
      <c r="G42" s="23" t="inlineStr">
        <is>
          <t>System Proposed</t>
        </is>
      </c>
      <c r="H42" s="23">
        <f>COUNTIFS('MASTER DATA'!$A$2:$A$1627,A42,'MASTER DATA'!$G$2:$G$1627,"&lt;&gt;RETIRED")</f>
        <v/>
      </c>
    </row>
    <row r="43" ht="94" customHeight="1">
      <c r="A43" s="23" t="inlineStr">
        <is>
          <t>1.4.1</t>
        </is>
      </c>
      <c r="B43" s="58" t="inlineStr">
        <is>
          <t>Vehicles and Depot - Fleet Supply</t>
        </is>
      </c>
      <c r="C43" s="23" t="inlineStr">
        <is>
          <t>1.4</t>
        </is>
      </c>
      <c r="D43" s="23" t="inlineStr"/>
      <c r="E43" s="23" t="inlineStr">
        <is>
          <t>Deliverable</t>
        </is>
      </c>
      <c r="F43" s="23" t="inlineStr"/>
      <c r="G43" s="23" t="inlineStr">
        <is>
          <t>System Proposed</t>
        </is>
      </c>
      <c r="H43" s="23">
        <f>COUNTIFS('MASTER DATA'!$A$2:$A$1627,A43,'MASTER DATA'!$G$2:$G$1627,"&lt;&gt;RETIRED")</f>
        <v/>
      </c>
    </row>
    <row r="44" ht="94" customHeight="1">
      <c r="A44" s="23" t="inlineStr">
        <is>
          <t>1.4.1.1</t>
        </is>
      </c>
      <c r="B44" s="59" t="inlineStr">
        <is>
          <t>Fleet Supply - Maintenance Facility</t>
        </is>
      </c>
      <c r="C44" s="23" t="inlineStr">
        <is>
          <t>1.4.1</t>
        </is>
      </c>
      <c r="D44" s="23" t="inlineStr"/>
      <c r="E44" s="23" t="inlineStr">
        <is>
          <t>Deliverable</t>
        </is>
      </c>
      <c r="F44" s="23" t="inlineStr"/>
      <c r="G44" s="23" t="inlineStr">
        <is>
          <t>System Proposed</t>
        </is>
      </c>
      <c r="H44" s="23">
        <f>COUNTIFS('MASTER DATA'!$A$2:$A$1627,A44,'MASTER DATA'!$G$2:$G$1627,"&lt;&gt;RETIRED")</f>
        <v/>
      </c>
    </row>
    <row r="45" ht="94" customHeight="1">
      <c r="A45" s="23" t="inlineStr">
        <is>
          <t>1.4.1.2</t>
        </is>
      </c>
      <c r="B45" s="59" t="inlineStr">
        <is>
          <t>Fleet Supply - Storage &amp; Commissioning Yard</t>
        </is>
      </c>
      <c r="C45" s="23" t="inlineStr">
        <is>
          <t>1.4.1</t>
        </is>
      </c>
      <c r="D45" s="23" t="inlineStr"/>
      <c r="E45" s="23" t="inlineStr">
        <is>
          <t>Deliverable</t>
        </is>
      </c>
      <c r="F45" s="23" t="inlineStr"/>
      <c r="G45" s="23" t="inlineStr">
        <is>
          <t>System Proposed</t>
        </is>
      </c>
      <c r="H45" s="23">
        <f>COUNTIFS('MASTER DATA'!$A$2:$A$1627,A45,'MASTER DATA'!$G$2:$G$1627,"&lt;&gt;RETIRED")</f>
        <v/>
      </c>
    </row>
    <row r="46" ht="94" customHeight="1">
      <c r="A46" s="23" t="inlineStr">
        <is>
          <t>1.4.2</t>
        </is>
      </c>
      <c r="B46" s="58" t="inlineStr">
        <is>
          <t>Vehicles and Depot - Depot Buildings</t>
        </is>
      </c>
      <c r="C46" s="23" t="inlineStr">
        <is>
          <t>1.4</t>
        </is>
      </c>
      <c r="D46" s="23" t="inlineStr"/>
      <c r="E46" s="23" t="inlineStr">
        <is>
          <t>Deliverable</t>
        </is>
      </c>
      <c r="F46" s="23" t="inlineStr"/>
      <c r="G46" s="23" t="inlineStr">
        <is>
          <t>System Proposed</t>
        </is>
      </c>
      <c r="H46" s="23">
        <f>COUNTIFS('MASTER DATA'!$A$2:$A$1627,A46,'MASTER DATA'!$G$2:$G$1627,"&lt;&gt;RETIRED")</f>
        <v/>
      </c>
    </row>
    <row r="47" ht="94" customHeight="1">
      <c r="A47" s="23" t="inlineStr">
        <is>
          <t>1.4.2.1</t>
        </is>
      </c>
      <c r="B47" s="59" t="inlineStr">
        <is>
          <t>Depot Buildings - Maintenance Facility</t>
        </is>
      </c>
      <c r="C47" s="23" t="inlineStr">
        <is>
          <t>1.4.2</t>
        </is>
      </c>
      <c r="D47" s="23" t="inlineStr"/>
      <c r="E47" s="23" t="inlineStr">
        <is>
          <t>Deliverable</t>
        </is>
      </c>
      <c r="F47" s="23" t="inlineStr"/>
      <c r="G47" s="23" t="inlineStr">
        <is>
          <t>System Proposed</t>
        </is>
      </c>
      <c r="H47" s="23">
        <f>COUNTIFS('MASTER DATA'!$A$2:$A$1627,A47,'MASTER DATA'!$G$2:$G$1627,"&lt;&gt;RETIRED")</f>
        <v/>
      </c>
    </row>
    <row r="48" ht="94" customHeight="1">
      <c r="A48" s="23" t="inlineStr">
        <is>
          <t>1.4.2.2</t>
        </is>
      </c>
      <c r="B48" s="59" t="inlineStr">
        <is>
          <t>Depot Buildings - Storage &amp; Commissioning Yard</t>
        </is>
      </c>
      <c r="C48" s="23" t="inlineStr">
        <is>
          <t>1.4.2</t>
        </is>
      </c>
      <c r="D48" s="23" t="inlineStr"/>
      <c r="E48" s="23" t="inlineStr">
        <is>
          <t>Deliverable</t>
        </is>
      </c>
      <c r="F48" s="23" t="inlineStr"/>
      <c r="G48" s="23" t="inlineStr">
        <is>
          <t>System Proposed</t>
        </is>
      </c>
      <c r="H48" s="23">
        <f>COUNTIFS('MASTER DATA'!$A$2:$A$1627,A48,'MASTER DATA'!$G$2:$G$1627,"&lt;&gt;RETIRED")</f>
        <v/>
      </c>
    </row>
    <row r="49" ht="94" customHeight="1">
      <c r="A49" s="23" t="inlineStr">
        <is>
          <t>1.4.3</t>
        </is>
      </c>
      <c r="B49" s="58" t="inlineStr">
        <is>
          <t>Vehicles and Depot - Workshop Equipment</t>
        </is>
      </c>
      <c r="C49" s="23" t="inlineStr">
        <is>
          <t>1.4</t>
        </is>
      </c>
      <c r="D49" s="23" t="inlineStr"/>
      <c r="E49" s="23" t="inlineStr">
        <is>
          <t>Deliverable</t>
        </is>
      </c>
      <c r="F49" s="23" t="inlineStr"/>
      <c r="G49" s="23" t="inlineStr">
        <is>
          <t>System Proposed</t>
        </is>
      </c>
      <c r="H49" s="23">
        <f>COUNTIFS('MASTER DATA'!$A$2:$A$1627,A49,'MASTER DATA'!$G$2:$G$1627,"&lt;&gt;RETIRED")</f>
        <v/>
      </c>
    </row>
    <row r="50" ht="94" customHeight="1">
      <c r="A50" s="23" t="inlineStr">
        <is>
          <t>1.4.3.1</t>
        </is>
      </c>
      <c r="B50" s="59" t="inlineStr">
        <is>
          <t>Workshop Equipment - Maintenance Facility</t>
        </is>
      </c>
      <c r="C50" s="23" t="inlineStr">
        <is>
          <t>1.4.3</t>
        </is>
      </c>
      <c r="D50" s="23" t="inlineStr"/>
      <c r="E50" s="23" t="inlineStr">
        <is>
          <t>Deliverable</t>
        </is>
      </c>
      <c r="F50" s="23" t="inlineStr"/>
      <c r="G50" s="23" t="inlineStr">
        <is>
          <t>System Proposed</t>
        </is>
      </c>
      <c r="H50" s="23">
        <f>COUNTIFS('MASTER DATA'!$A$2:$A$1627,A50,'MASTER DATA'!$G$2:$G$1627,"&lt;&gt;RETIRED")</f>
        <v/>
      </c>
    </row>
    <row r="51" ht="94" customHeight="1">
      <c r="A51" s="23" t="inlineStr">
        <is>
          <t>1.4.3.2</t>
        </is>
      </c>
      <c r="B51" s="59" t="inlineStr">
        <is>
          <t>Workshop Equipment - Storage &amp; Commissioning Yard</t>
        </is>
      </c>
      <c r="C51" s="23" t="inlineStr">
        <is>
          <t>1.4.3</t>
        </is>
      </c>
      <c r="D51" s="23" t="inlineStr"/>
      <c r="E51" s="23" t="inlineStr">
        <is>
          <t>Deliverable</t>
        </is>
      </c>
      <c r="F51" s="23" t="inlineStr"/>
      <c r="G51" s="23" t="inlineStr">
        <is>
          <t>System Proposed</t>
        </is>
      </c>
      <c r="H51" s="23">
        <f>COUNTIFS('MASTER DATA'!$A$2:$A$1627,A51,'MASTER DATA'!$G$2:$G$1627,"&lt;&gt;RETIRED")</f>
        <v/>
      </c>
    </row>
    <row r="52" ht="94" customHeight="1">
      <c r="A52" s="23" t="inlineStr">
        <is>
          <t>1.4.4</t>
        </is>
      </c>
      <c r="B52" s="58" t="inlineStr">
        <is>
          <t>Vehicles and Depot - Vehicle Integration</t>
        </is>
      </c>
      <c r="C52" s="23" t="inlineStr">
        <is>
          <t>1.4</t>
        </is>
      </c>
      <c r="D52" s="23" t="inlineStr"/>
      <c r="E52" s="23" t="inlineStr">
        <is>
          <t>Deliverable</t>
        </is>
      </c>
      <c r="F52" s="23" t="inlineStr"/>
      <c r="G52" s="23" t="inlineStr">
        <is>
          <t>System Proposed</t>
        </is>
      </c>
      <c r="H52" s="23">
        <f>COUNTIFS('MASTER DATA'!$A$2:$A$1627,A52,'MASTER DATA'!$G$2:$G$1627,"&lt;&gt;RETIRED")</f>
        <v/>
      </c>
    </row>
    <row r="53" ht="94" customHeight="1">
      <c r="A53" s="23" t="inlineStr">
        <is>
          <t>1.4.4.1</t>
        </is>
      </c>
      <c r="B53" s="59" t="inlineStr">
        <is>
          <t>Vehicle Integration - Maintenance Facility</t>
        </is>
      </c>
      <c r="C53" s="23" t="inlineStr">
        <is>
          <t>1.4.4</t>
        </is>
      </c>
      <c r="D53" s="23" t="inlineStr"/>
      <c r="E53" s="23" t="inlineStr">
        <is>
          <t>Deliverable</t>
        </is>
      </c>
      <c r="F53" s="23" t="inlineStr"/>
      <c r="G53" s="23" t="inlineStr">
        <is>
          <t>System Proposed</t>
        </is>
      </c>
      <c r="H53" s="23">
        <f>COUNTIFS('MASTER DATA'!$A$2:$A$1627,A53,'MASTER DATA'!$G$2:$G$1627,"&lt;&gt;RETIRED")</f>
        <v/>
      </c>
    </row>
    <row r="54" ht="94" customHeight="1">
      <c r="A54" s="23" t="inlineStr">
        <is>
          <t>1.4.4.2</t>
        </is>
      </c>
      <c r="B54" s="59" t="inlineStr">
        <is>
          <t>Vehicle Integration - Storage &amp; Commissioning Yard</t>
        </is>
      </c>
      <c r="C54" s="23" t="inlineStr">
        <is>
          <t>1.4.4</t>
        </is>
      </c>
      <c r="D54" s="23" t="inlineStr"/>
      <c r="E54" s="23" t="inlineStr">
        <is>
          <t>Deliverable</t>
        </is>
      </c>
      <c r="F54" s="23" t="inlineStr"/>
      <c r="G54" s="23" t="inlineStr">
        <is>
          <t>System Proposed</t>
        </is>
      </c>
      <c r="H54" s="23">
        <f>COUNTIFS('MASTER DATA'!$A$2:$A$1627,A54,'MASTER DATA'!$G$2:$G$1627,"&lt;&gt;RETIRED")</f>
        <v/>
      </c>
    </row>
    <row r="55" ht="94" customHeight="1">
      <c r="A55" s="23" t="inlineStr">
        <is>
          <t>1.5</t>
        </is>
      </c>
      <c r="B55" s="57" t="inlineStr">
        <is>
          <t>Testing and Commissioning</t>
        </is>
      </c>
      <c r="C55" s="23" t="inlineStr">
        <is>
          <t>1</t>
        </is>
      </c>
      <c r="D55" s="23" t="inlineStr"/>
      <c r="E55" s="23" t="inlineStr">
        <is>
          <t>Deliverable</t>
        </is>
      </c>
      <c r="F55" s="23" t="inlineStr"/>
      <c r="G55" s="23" t="inlineStr">
        <is>
          <t>System Proposed</t>
        </is>
      </c>
      <c r="H55" s="23">
        <f>COUNTIFS('MASTER DATA'!$A$2:$A$1627,A55,'MASTER DATA'!$G$2:$G$1627,"&lt;&gt;RETIRED")</f>
        <v/>
      </c>
    </row>
    <row r="56" ht="94" customHeight="1">
      <c r="A56" s="23" t="inlineStr">
        <is>
          <t>1.5.1</t>
        </is>
      </c>
      <c r="B56" s="58" t="inlineStr">
        <is>
          <t>Testing and Commissioning - Test Readiness</t>
        </is>
      </c>
      <c r="C56" s="23" t="inlineStr">
        <is>
          <t>1.5</t>
        </is>
      </c>
      <c r="D56" s="23" t="inlineStr"/>
      <c r="E56" s="23" t="inlineStr">
        <is>
          <t>Deliverable</t>
        </is>
      </c>
      <c r="F56" s="23" t="inlineStr"/>
      <c r="G56" s="23" t="inlineStr">
        <is>
          <t>System Proposed</t>
        </is>
      </c>
      <c r="H56" s="23">
        <f>COUNTIFS('MASTER DATA'!$A$2:$A$1627,A56,'MASTER DATA'!$G$2:$G$1627,"&lt;&gt;RETIRED")</f>
        <v/>
      </c>
    </row>
    <row r="57" ht="94" customHeight="1">
      <c r="A57" s="23" t="inlineStr">
        <is>
          <t>1.5.1.1</t>
        </is>
      </c>
      <c r="B57" s="59" t="inlineStr">
        <is>
          <t>Test Readiness - Mainline</t>
        </is>
      </c>
      <c r="C57" s="23" t="inlineStr">
        <is>
          <t>1.5.1</t>
        </is>
      </c>
      <c r="D57" s="23" t="inlineStr"/>
      <c r="E57" s="23" t="inlineStr">
        <is>
          <t>Deliverable</t>
        </is>
      </c>
      <c r="F57" s="23" t="inlineStr"/>
      <c r="G57" s="23" t="inlineStr">
        <is>
          <t>System Proposed</t>
        </is>
      </c>
      <c r="H57" s="23">
        <f>COUNTIFS('MASTER DATA'!$A$2:$A$1627,A57,'MASTER DATA'!$G$2:$G$1627,"&lt;&gt;RETIRED")</f>
        <v/>
      </c>
    </row>
    <row r="58" ht="94" customHeight="1">
      <c r="A58" s="23" t="inlineStr">
        <is>
          <t>1.5.1.2</t>
        </is>
      </c>
      <c r="B58" s="59" t="inlineStr">
        <is>
          <t>Test Readiness - Depot &amp; Stations</t>
        </is>
      </c>
      <c r="C58" s="23" t="inlineStr">
        <is>
          <t>1.5.1</t>
        </is>
      </c>
      <c r="D58" s="23" t="inlineStr"/>
      <c r="E58" s="23" t="inlineStr">
        <is>
          <t>Deliverable</t>
        </is>
      </c>
      <c r="F58" s="23" t="inlineStr"/>
      <c r="G58" s="23" t="inlineStr">
        <is>
          <t>System Proposed</t>
        </is>
      </c>
      <c r="H58" s="23">
        <f>COUNTIFS('MASTER DATA'!$A$2:$A$1627,A58,'MASTER DATA'!$G$2:$G$1627,"&lt;&gt;RETIRED")</f>
        <v/>
      </c>
    </row>
    <row r="59" ht="94" customHeight="1">
      <c r="A59" s="23" t="inlineStr">
        <is>
          <t>1.5.2</t>
        </is>
      </c>
      <c r="B59" s="58" t="inlineStr">
        <is>
          <t>Testing and Commissioning - Dynamic Testing</t>
        </is>
      </c>
      <c r="C59" s="23" t="inlineStr">
        <is>
          <t>1.5</t>
        </is>
      </c>
      <c r="D59" s="23" t="inlineStr"/>
      <c r="E59" s="23" t="inlineStr">
        <is>
          <t>Deliverable</t>
        </is>
      </c>
      <c r="F59" s="23" t="inlineStr"/>
      <c r="G59" s="23" t="inlineStr">
        <is>
          <t>System Proposed</t>
        </is>
      </c>
      <c r="H59" s="23">
        <f>COUNTIFS('MASTER DATA'!$A$2:$A$1627,A59,'MASTER DATA'!$G$2:$G$1627,"&lt;&gt;RETIRED")</f>
        <v/>
      </c>
    </row>
    <row r="60" ht="94" customHeight="1">
      <c r="A60" s="23" t="inlineStr">
        <is>
          <t>1.5.2.1</t>
        </is>
      </c>
      <c r="B60" s="59" t="inlineStr">
        <is>
          <t>Dynamic Testing - Mainline</t>
        </is>
      </c>
      <c r="C60" s="23" t="inlineStr">
        <is>
          <t>1.5.2</t>
        </is>
      </c>
      <c r="D60" s="23" t="inlineStr"/>
      <c r="E60" s="23" t="inlineStr">
        <is>
          <t>Deliverable</t>
        </is>
      </c>
      <c r="F60" s="23" t="inlineStr"/>
      <c r="G60" s="23" t="inlineStr">
        <is>
          <t>System Proposed</t>
        </is>
      </c>
      <c r="H60" s="23">
        <f>COUNTIFS('MASTER DATA'!$A$2:$A$1627,A60,'MASTER DATA'!$G$2:$G$1627,"&lt;&gt;RETIRED")</f>
        <v/>
      </c>
    </row>
    <row r="61" ht="94" customHeight="1">
      <c r="A61" s="23" t="inlineStr">
        <is>
          <t>1.5.2.2</t>
        </is>
      </c>
      <c r="B61" s="59" t="inlineStr">
        <is>
          <t>Dynamic Testing - Depot &amp; Stations</t>
        </is>
      </c>
      <c r="C61" s="23" t="inlineStr">
        <is>
          <t>1.5.2</t>
        </is>
      </c>
      <c r="D61" s="23" t="inlineStr"/>
      <c r="E61" s="23" t="inlineStr">
        <is>
          <t>Deliverable</t>
        </is>
      </c>
      <c r="F61" s="23" t="inlineStr"/>
      <c r="G61" s="23" t="inlineStr">
        <is>
          <t>System Proposed</t>
        </is>
      </c>
      <c r="H61" s="23">
        <f>COUNTIFS('MASTER DATA'!$A$2:$A$1627,A61,'MASTER DATA'!$G$2:$G$1627,"&lt;&gt;RETIRED")</f>
        <v/>
      </c>
    </row>
    <row r="62" ht="94" customHeight="1">
      <c r="A62" s="23" t="inlineStr">
        <is>
          <t>1.5.3</t>
        </is>
      </c>
      <c r="B62" s="58" t="inlineStr">
        <is>
          <t>Testing and Commissioning - Safety Certification</t>
        </is>
      </c>
      <c r="C62" s="23" t="inlineStr">
        <is>
          <t>1.5</t>
        </is>
      </c>
      <c r="D62" s="23" t="inlineStr"/>
      <c r="E62" s="23" t="inlineStr">
        <is>
          <t>Deliverable</t>
        </is>
      </c>
      <c r="F62" s="23" t="inlineStr"/>
      <c r="G62" s="23" t="inlineStr">
        <is>
          <t>System Proposed</t>
        </is>
      </c>
      <c r="H62" s="23">
        <f>COUNTIFS('MASTER DATA'!$A$2:$A$1627,A62,'MASTER DATA'!$G$2:$G$1627,"&lt;&gt;RETIRED")</f>
        <v/>
      </c>
    </row>
    <row r="63" ht="94" customHeight="1">
      <c r="A63" s="23" t="inlineStr">
        <is>
          <t>1.5.3.1</t>
        </is>
      </c>
      <c r="B63" s="59" t="inlineStr">
        <is>
          <t>Safety Certification - Mainline</t>
        </is>
      </c>
      <c r="C63" s="23" t="inlineStr">
        <is>
          <t>1.5.3</t>
        </is>
      </c>
      <c r="D63" s="23" t="inlineStr"/>
      <c r="E63" s="23" t="inlineStr">
        <is>
          <t>Deliverable</t>
        </is>
      </c>
      <c r="F63" s="23" t="inlineStr"/>
      <c r="G63" s="23" t="inlineStr">
        <is>
          <t>System Proposed</t>
        </is>
      </c>
      <c r="H63" s="23">
        <f>COUNTIFS('MASTER DATA'!$A$2:$A$1627,A63,'MASTER DATA'!$G$2:$G$1627,"&lt;&gt;RETIRED")</f>
        <v/>
      </c>
    </row>
    <row r="64" ht="94" customHeight="1">
      <c r="A64" s="23" t="inlineStr">
        <is>
          <t>1.5.3.2</t>
        </is>
      </c>
      <c r="B64" s="59" t="inlineStr">
        <is>
          <t>Safety Certification - Depot &amp; Stations</t>
        </is>
      </c>
      <c r="C64" s="23" t="inlineStr">
        <is>
          <t>1.5.3</t>
        </is>
      </c>
      <c r="D64" s="23" t="inlineStr"/>
      <c r="E64" s="23" t="inlineStr">
        <is>
          <t>Deliverable</t>
        </is>
      </c>
      <c r="F64" s="23" t="inlineStr"/>
      <c r="G64" s="23" t="inlineStr">
        <is>
          <t>System Proposed</t>
        </is>
      </c>
      <c r="H64" s="23">
        <f>COUNTIFS('MASTER DATA'!$A$2:$A$1627,A64,'MASTER DATA'!$G$2:$G$1627,"&lt;&gt;RETIRED")</f>
        <v/>
      </c>
    </row>
    <row r="65" ht="94" customHeight="1">
      <c r="A65" s="23" t="inlineStr">
        <is>
          <t>1.5.4</t>
        </is>
      </c>
      <c r="B65" s="58" t="inlineStr">
        <is>
          <t>Testing and Commissioning - Service Readiness</t>
        </is>
      </c>
      <c r="C65" s="23" t="inlineStr">
        <is>
          <t>1.5</t>
        </is>
      </c>
      <c r="D65" s="23" t="inlineStr"/>
      <c r="E65" s="23" t="inlineStr">
        <is>
          <t>Deliverable</t>
        </is>
      </c>
      <c r="F65" s="23" t="inlineStr"/>
      <c r="G65" s="23" t="inlineStr">
        <is>
          <t>System Proposed</t>
        </is>
      </c>
      <c r="H65" s="23">
        <f>COUNTIFS('MASTER DATA'!$A$2:$A$1627,A65,'MASTER DATA'!$G$2:$G$1627,"&lt;&gt;RETIRED")</f>
        <v/>
      </c>
    </row>
    <row r="66" ht="94" customHeight="1">
      <c r="A66" s="23" t="inlineStr">
        <is>
          <t>1.5.4.1</t>
        </is>
      </c>
      <c r="B66" s="59" t="inlineStr">
        <is>
          <t>Service Readiness - Mainline</t>
        </is>
      </c>
      <c r="C66" s="23" t="inlineStr">
        <is>
          <t>1.5.4</t>
        </is>
      </c>
      <c r="D66" s="23" t="inlineStr"/>
      <c r="E66" s="23" t="inlineStr">
        <is>
          <t>Deliverable</t>
        </is>
      </c>
      <c r="F66" s="23" t="inlineStr"/>
      <c r="G66" s="23" t="inlineStr">
        <is>
          <t>System Proposed</t>
        </is>
      </c>
      <c r="H66" s="23">
        <f>COUNTIFS('MASTER DATA'!$A$2:$A$1627,A66,'MASTER DATA'!$G$2:$G$1627,"&lt;&gt;RETIRED")</f>
        <v/>
      </c>
    </row>
    <row r="67" ht="94" customHeight="1">
      <c r="A67" s="23" t="inlineStr">
        <is>
          <t>1.5.4.2</t>
        </is>
      </c>
      <c r="B67" s="59" t="inlineStr">
        <is>
          <t>Service Readiness - Depot &amp; Stations</t>
        </is>
      </c>
      <c r="C67" s="23" t="inlineStr">
        <is>
          <t>1.5.4</t>
        </is>
      </c>
      <c r="D67" s="23" t="inlineStr"/>
      <c r="E67" s="23" t="inlineStr">
        <is>
          <t>Deliverable</t>
        </is>
      </c>
      <c r="F67" s="23" t="inlineStr"/>
      <c r="G67" s="23" t="inlineStr">
        <is>
          <t>System Proposed</t>
        </is>
      </c>
      <c r="H67" s="23">
        <f>COUNTIFS('MASTER DATA'!$A$2:$A$1627,A67,'MASTER DATA'!$G$2:$G$1627,"&lt;&gt;RETIRED")</f>
        <v/>
      </c>
    </row>
    <row r="68" ht="94" customHeight="1">
      <c r="A68" s="23" t="inlineStr">
        <is>
          <t>1.6</t>
        </is>
      </c>
      <c r="B68" s="57" t="inlineStr">
        <is>
          <t>Program Management</t>
        </is>
      </c>
      <c r="C68" s="23" t="inlineStr">
        <is>
          <t>1</t>
        </is>
      </c>
      <c r="D68" s="23" t="inlineStr"/>
      <c r="E68" s="23" t="inlineStr">
        <is>
          <t>Deliverable</t>
        </is>
      </c>
      <c r="F68" s="23" t="inlineStr"/>
      <c r="G68" s="23" t="inlineStr">
        <is>
          <t>System Proposed</t>
        </is>
      </c>
      <c r="H68" s="23">
        <f>COUNTIFS('MASTER DATA'!$A$2:$A$1627,A68,'MASTER DATA'!$G$2:$G$1627,"&lt;&gt;RETIRED")</f>
        <v/>
      </c>
    </row>
    <row r="69" ht="94" customHeight="1">
      <c r="A69" s="23" t="inlineStr">
        <is>
          <t>1.6.1</t>
        </is>
      </c>
      <c r="B69" s="58" t="inlineStr">
        <is>
          <t>Program Management - Program Controls</t>
        </is>
      </c>
      <c r="C69" s="23" t="inlineStr">
        <is>
          <t>1.6</t>
        </is>
      </c>
      <c r="D69" s="23" t="inlineStr"/>
      <c r="E69" s="23" t="inlineStr">
        <is>
          <t>Deliverable</t>
        </is>
      </c>
      <c r="F69" s="23" t="inlineStr"/>
      <c r="G69" s="23" t="inlineStr">
        <is>
          <t>System Proposed</t>
        </is>
      </c>
      <c r="H69" s="23">
        <f>COUNTIFS('MASTER DATA'!$A$2:$A$1627,A69,'MASTER DATA'!$G$2:$G$1627,"&lt;&gt;RETIRED")</f>
        <v/>
      </c>
    </row>
    <row r="70" ht="94" customHeight="1">
      <c r="A70" s="23" t="inlineStr">
        <is>
          <t>1.6.1.1</t>
        </is>
      </c>
      <c r="B70" s="59" t="inlineStr">
        <is>
          <t>Program Controls - Owner Team</t>
        </is>
      </c>
      <c r="C70" s="23" t="inlineStr">
        <is>
          <t>1.6.1</t>
        </is>
      </c>
      <c r="D70" s="23" t="inlineStr"/>
      <c r="E70" s="23" t="inlineStr">
        <is>
          <t>Deliverable</t>
        </is>
      </c>
      <c r="F70" s="23" t="inlineStr"/>
      <c r="G70" s="23" t="inlineStr">
        <is>
          <t>System Proposed</t>
        </is>
      </c>
      <c r="H70" s="23">
        <f>COUNTIFS('MASTER DATA'!$A$2:$A$1627,A70,'MASTER DATA'!$G$2:$G$1627,"&lt;&gt;RETIRED")</f>
        <v/>
      </c>
    </row>
    <row r="71" ht="94" customHeight="1">
      <c r="A71" s="23" t="inlineStr">
        <is>
          <t>1.6.1.2</t>
        </is>
      </c>
      <c r="B71" s="59" t="inlineStr">
        <is>
          <t>Program Controls - Delivery Partners</t>
        </is>
      </c>
      <c r="C71" s="23" t="inlineStr">
        <is>
          <t>1.6.1</t>
        </is>
      </c>
      <c r="D71" s="23" t="inlineStr"/>
      <c r="E71" s="23" t="inlineStr">
        <is>
          <t>Deliverable</t>
        </is>
      </c>
      <c r="F71" s="23" t="inlineStr"/>
      <c r="G71" s="23" t="inlineStr">
        <is>
          <t>System Proposed</t>
        </is>
      </c>
      <c r="H71" s="23">
        <f>COUNTIFS('MASTER DATA'!$A$2:$A$1627,A71,'MASTER DATA'!$G$2:$G$1627,"&lt;&gt;RETIRED")</f>
        <v/>
      </c>
    </row>
    <row r="72" ht="94" customHeight="1">
      <c r="A72" s="23" t="inlineStr">
        <is>
          <t>1.6.2</t>
        </is>
      </c>
      <c r="B72" s="58" t="inlineStr">
        <is>
          <t>Program Management - Commercial &amp; Procurement</t>
        </is>
      </c>
      <c r="C72" s="23" t="inlineStr">
        <is>
          <t>1.6</t>
        </is>
      </c>
      <c r="D72" s="23" t="inlineStr"/>
      <c r="E72" s="23" t="inlineStr">
        <is>
          <t>Deliverable</t>
        </is>
      </c>
      <c r="F72" s="23" t="inlineStr"/>
      <c r="G72" s="23" t="inlineStr">
        <is>
          <t>System Proposed</t>
        </is>
      </c>
      <c r="H72" s="23">
        <f>COUNTIFS('MASTER DATA'!$A$2:$A$1627,A72,'MASTER DATA'!$G$2:$G$1627,"&lt;&gt;RETIRED")</f>
        <v/>
      </c>
    </row>
    <row r="73" ht="94" customHeight="1">
      <c r="A73" s="23" t="inlineStr">
        <is>
          <t>1.6.2.1</t>
        </is>
      </c>
      <c r="B73" s="59" t="inlineStr">
        <is>
          <t>Commercial &amp; Procurement - Owner Team</t>
        </is>
      </c>
      <c r="C73" s="23" t="inlineStr">
        <is>
          <t>1.6.2</t>
        </is>
      </c>
      <c r="D73" s="23" t="inlineStr"/>
      <c r="E73" s="23" t="inlineStr">
        <is>
          <t>Deliverable</t>
        </is>
      </c>
      <c r="F73" s="23" t="inlineStr"/>
      <c r="G73" s="23" t="inlineStr">
        <is>
          <t>System Proposed</t>
        </is>
      </c>
      <c r="H73" s="23">
        <f>COUNTIFS('MASTER DATA'!$A$2:$A$1627,A73,'MASTER DATA'!$G$2:$G$1627,"&lt;&gt;RETIRED")</f>
        <v/>
      </c>
    </row>
    <row r="74" ht="94" customHeight="1">
      <c r="A74" s="23" t="inlineStr">
        <is>
          <t>1.6.2.2</t>
        </is>
      </c>
      <c r="B74" s="59" t="inlineStr">
        <is>
          <t>Commercial &amp; Procurement - Delivery Partners</t>
        </is>
      </c>
      <c r="C74" s="23" t="inlineStr">
        <is>
          <t>1.6.2</t>
        </is>
      </c>
      <c r="D74" s="23" t="inlineStr"/>
      <c r="E74" s="23" t="inlineStr">
        <is>
          <t>Deliverable</t>
        </is>
      </c>
      <c r="F74" s="23" t="inlineStr"/>
      <c r="G74" s="23" t="inlineStr">
        <is>
          <t>System Proposed</t>
        </is>
      </c>
      <c r="H74" s="23">
        <f>COUNTIFS('MASTER DATA'!$A$2:$A$1627,A74,'MASTER DATA'!$G$2:$G$1627,"&lt;&gt;RETIRED")</f>
        <v/>
      </c>
    </row>
    <row r="75" ht="94" customHeight="1">
      <c r="A75" s="23" t="inlineStr">
        <is>
          <t>1.6.3</t>
        </is>
      </c>
      <c r="B75" s="58" t="inlineStr">
        <is>
          <t>Program Management - Stakeholder &amp; Permits</t>
        </is>
      </c>
      <c r="C75" s="23" t="inlineStr">
        <is>
          <t>1.6</t>
        </is>
      </c>
      <c r="D75" s="23" t="inlineStr"/>
      <c r="E75" s="23" t="inlineStr">
        <is>
          <t>Deliverable</t>
        </is>
      </c>
      <c r="F75" s="23" t="inlineStr"/>
      <c r="G75" s="23" t="inlineStr">
        <is>
          <t>System Proposed</t>
        </is>
      </c>
      <c r="H75" s="23">
        <f>COUNTIFS('MASTER DATA'!$A$2:$A$1627,A75,'MASTER DATA'!$G$2:$G$1627,"&lt;&gt;RETIRED")</f>
        <v/>
      </c>
    </row>
    <row r="76" ht="94" customHeight="1">
      <c r="A76" s="23" t="inlineStr">
        <is>
          <t>1.6.3.1</t>
        </is>
      </c>
      <c r="B76" s="59" t="inlineStr">
        <is>
          <t>Stakeholder &amp; Permits - Owner Team</t>
        </is>
      </c>
      <c r="C76" s="23" t="inlineStr">
        <is>
          <t>1.6.3</t>
        </is>
      </c>
      <c r="D76" s="23" t="inlineStr"/>
      <c r="E76" s="23" t="inlineStr">
        <is>
          <t>Deliverable</t>
        </is>
      </c>
      <c r="F76" s="23" t="inlineStr"/>
      <c r="G76" s="23" t="inlineStr">
        <is>
          <t>System Proposed</t>
        </is>
      </c>
      <c r="H76" s="23">
        <f>COUNTIFS('MASTER DATA'!$A$2:$A$1627,A76,'MASTER DATA'!$G$2:$G$1627,"&lt;&gt;RETIRED")</f>
        <v/>
      </c>
    </row>
    <row r="77" ht="94" customHeight="1">
      <c r="A77" s="23" t="inlineStr">
        <is>
          <t>1.6.3.2</t>
        </is>
      </c>
      <c r="B77" s="59" t="inlineStr">
        <is>
          <t>Stakeholder &amp; Permits - Delivery Partners</t>
        </is>
      </c>
      <c r="C77" s="23" t="inlineStr">
        <is>
          <t>1.6.3</t>
        </is>
      </c>
      <c r="D77" s="23" t="inlineStr"/>
      <c r="E77" s="23" t="inlineStr">
        <is>
          <t>Deliverable</t>
        </is>
      </c>
      <c r="F77" s="23" t="inlineStr"/>
      <c r="G77" s="23" t="inlineStr">
        <is>
          <t>System Proposed</t>
        </is>
      </c>
      <c r="H77" s="23">
        <f>COUNTIFS('MASTER DATA'!$A$2:$A$1627,A77,'MASTER DATA'!$G$2:$G$1627,"&lt;&gt;RETIRED")</f>
        <v/>
      </c>
    </row>
    <row r="78" ht="94" customHeight="1">
      <c r="A78" s="23" t="inlineStr">
        <is>
          <t>1.6.4</t>
        </is>
      </c>
      <c r="B78" s="58" t="inlineStr">
        <is>
          <t>Program Management - Delivery Integration</t>
        </is>
      </c>
      <c r="C78" s="23" t="inlineStr">
        <is>
          <t>1.6</t>
        </is>
      </c>
      <c r="D78" s="23" t="inlineStr"/>
      <c r="E78" s="23" t="inlineStr">
        <is>
          <t>Deliverable</t>
        </is>
      </c>
      <c r="F78" s="23" t="inlineStr"/>
      <c r="G78" s="23" t="inlineStr">
        <is>
          <t>System Proposed</t>
        </is>
      </c>
      <c r="H78" s="23">
        <f>COUNTIFS('MASTER DATA'!$A$2:$A$1627,A78,'MASTER DATA'!$G$2:$G$1627,"&lt;&gt;RETIRED")</f>
        <v/>
      </c>
    </row>
    <row r="79" ht="94" customHeight="1">
      <c r="A79" s="23" t="inlineStr">
        <is>
          <t>1.6.4.1</t>
        </is>
      </c>
      <c r="B79" s="59" t="inlineStr">
        <is>
          <t>Delivery Integration - Owner Team</t>
        </is>
      </c>
      <c r="C79" s="23" t="inlineStr">
        <is>
          <t>1.6.4</t>
        </is>
      </c>
      <c r="D79" s="23" t="inlineStr"/>
      <c r="E79" s="23" t="inlineStr">
        <is>
          <t>Deliverable</t>
        </is>
      </c>
      <c r="F79" s="23" t="inlineStr"/>
      <c r="G79" s="23" t="inlineStr">
        <is>
          <t>System Proposed</t>
        </is>
      </c>
      <c r="H79" s="23">
        <f>COUNTIFS('MASTER DATA'!$A$2:$A$1627,A79,'MASTER DATA'!$G$2:$G$1627,"&lt;&gt;RETIRED")</f>
        <v/>
      </c>
    </row>
    <row r="80" ht="94" customHeight="1">
      <c r="A80" s="23" t="inlineStr">
        <is>
          <t>1.6.4.2</t>
        </is>
      </c>
      <c r="B80" s="59" t="inlineStr">
        <is>
          <t>Delivery Integration - Delivery Partners</t>
        </is>
      </c>
      <c r="C80" s="23" t="inlineStr">
        <is>
          <t>1.6.4</t>
        </is>
      </c>
      <c r="D80" s="23" t="inlineStr"/>
      <c r="E80" s="23" t="inlineStr">
        <is>
          <t>Deliverable</t>
        </is>
      </c>
      <c r="F80" s="23" t="inlineStr"/>
      <c r="G80" s="23" t="inlineStr">
        <is>
          <t>System Proposed</t>
        </is>
      </c>
      <c r="H80" s="23">
        <f>COUNTIFS('MASTER DATA'!$A$2:$A$1627,A80,'MASTER DATA'!$G$2:$G$1627,"&lt;&gt;RETIRED")</f>
        <v/>
      </c>
    </row>
  </sheetData>
  <autoFilter ref="A1:H80"/>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tabColor rgb="008B8F97"/>
    <outlinePr summaryBelow="0" summaryRight="0"/>
    <pageSetUpPr fitToPage="1"/>
  </sheetPr>
  <dimension ref="A1:J81"/>
  <sheetViews>
    <sheetView showGridLines="0" tabSelected="0" zoomScale="100" zoomScaleNormal="100"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40" customWidth="1" min="2" max="2"/>
    <col width="8" customWidth="1" min="3" max="3"/>
    <col width="14" customWidth="1" min="4" max="4"/>
    <col width="14" customWidth="1" min="5" max="5"/>
    <col width="20" customWidth="1" min="6" max="6"/>
    <col width="14" customWidth="1" min="7" max="7"/>
    <col width="14" customWidth="1" min="8" max="8"/>
    <col width="18" customWidth="1" min="9" max="9"/>
    <col width="12" customWidth="1" min="10" max="10"/>
  </cols>
  <sheetData>
    <row r="1" ht="34" customHeight="1">
      <c r="A1" s="12" t="inlineStr">
        <is>
          <t>WBS Code</t>
        </is>
      </c>
      <c r="B1" s="12" t="inlineStr">
        <is>
          <t>WBS Element</t>
        </is>
      </c>
      <c r="C1" s="12" t="inlineStr">
        <is>
          <t>Level</t>
        </is>
      </c>
      <c r="D1" s="12" t="inlineStr">
        <is>
          <t>Schedule</t>
        </is>
      </c>
      <c r="E1" s="12" t="inlineStr">
        <is>
          <t>Cost</t>
        </is>
      </c>
      <c r="F1" s="12" t="inlineStr">
        <is>
          <t>Package / Contract</t>
        </is>
      </c>
      <c r="G1" s="12" t="inlineStr">
        <is>
          <t>Other</t>
        </is>
      </c>
      <c r="H1" s="12" t="inlineStr">
        <is>
          <t>Governed</t>
        </is>
      </c>
      <c r="I1" s="12" t="inlineStr">
        <is>
          <t>Needing Attention</t>
        </is>
      </c>
      <c r="J1" s="12" t="inlineStr">
        <is>
          <t>Changed</t>
        </is>
      </c>
    </row>
    <row r="2" ht="34" customHeight="1">
      <c r="A2" s="54" t="inlineStr"/>
      <c r="B2" s="54" t="inlineStr">
        <is>
          <t>HarbourLink Urban Transit Expansion</t>
        </is>
      </c>
      <c r="C2" s="55" t="n">
        <v>0</v>
      </c>
      <c r="D2" s="55" t="n">
        <v>899</v>
      </c>
      <c r="E2" s="55" t="n">
        <v>399</v>
      </c>
      <c r="F2" s="55" t="n">
        <v>59</v>
      </c>
      <c r="G2" s="55" t="n">
        <v>0</v>
      </c>
      <c r="H2" s="55" t="n">
        <v>1357</v>
      </c>
      <c r="I2" s="55" t="n">
        <v>0</v>
      </c>
      <c r="J2" s="55" t="n">
        <v>7</v>
      </c>
    </row>
    <row r="3" ht="34" customHeight="1">
      <c r="A3" s="54" t="inlineStr">
        <is>
          <t>1</t>
        </is>
      </c>
      <c r="B3" s="56" t="inlineStr">
        <is>
          <t>HarbourLink Urban Transit Expansion</t>
        </is>
      </c>
      <c r="C3" s="55" t="n">
        <v>1</v>
      </c>
      <c r="D3" s="55" t="n">
        <v>899</v>
      </c>
      <c r="E3" s="55" t="n">
        <v>399</v>
      </c>
      <c r="F3" s="55" t="n">
        <v>59</v>
      </c>
      <c r="G3" s="55" t="n">
        <v>0</v>
      </c>
      <c r="H3" s="55" t="n">
        <v>1357</v>
      </c>
      <c r="I3" s="55" t="n">
        <v>0</v>
      </c>
      <c r="J3" s="55" t="n">
        <v>7</v>
      </c>
    </row>
    <row r="4" ht="19" customHeight="1">
      <c r="A4" s="23" t="inlineStr">
        <is>
          <t>1.1</t>
        </is>
      </c>
      <c r="B4" s="57" t="inlineStr">
        <is>
          <t>Guideway and Civil</t>
        </is>
      </c>
      <c r="C4" s="36" t="n">
        <v>2</v>
      </c>
      <c r="D4" s="36" t="n">
        <v>181</v>
      </c>
      <c r="E4" s="36" t="n">
        <v>81</v>
      </c>
      <c r="F4" s="36" t="n">
        <v>9</v>
      </c>
      <c r="G4" s="36" t="n">
        <v>0</v>
      </c>
      <c r="H4" s="36" t="n">
        <v>271</v>
      </c>
      <c r="I4" s="36" t="n">
        <v>0</v>
      </c>
      <c r="J4" s="36" t="n">
        <v>5</v>
      </c>
    </row>
    <row r="5" ht="34" customHeight="1">
      <c r="A5" s="23" t="inlineStr">
        <is>
          <t>1.1.1</t>
        </is>
      </c>
      <c r="B5" s="58" t="inlineStr">
        <is>
          <t>Guideway and Civil - Guideway Structures</t>
        </is>
      </c>
      <c r="C5" s="36" t="n">
        <v>3</v>
      </c>
      <c r="D5" s="36" t="n">
        <v>120</v>
      </c>
      <c r="E5" s="36" t="n">
        <v>40</v>
      </c>
      <c r="F5" s="36" t="n">
        <v>0</v>
      </c>
      <c r="G5" s="36" t="n">
        <v>0</v>
      </c>
      <c r="H5" s="36" t="n">
        <v>160</v>
      </c>
      <c r="I5" s="36" t="n">
        <v>0</v>
      </c>
      <c r="J5" s="36" t="n">
        <v>3</v>
      </c>
    </row>
    <row r="6" ht="19" customHeight="1">
      <c r="A6" s="23" t="inlineStr">
        <is>
          <t>1.1.1.1</t>
        </is>
      </c>
      <c r="B6" s="59" t="inlineStr">
        <is>
          <t>Guideway Structures - East Segment</t>
        </is>
      </c>
      <c r="C6" s="36" t="n">
        <v>4</v>
      </c>
      <c r="D6" s="36" t="n">
        <v>0</v>
      </c>
      <c r="E6" s="36" t="n">
        <v>0</v>
      </c>
      <c r="F6" s="36" t="n">
        <v>0</v>
      </c>
      <c r="G6" s="36" t="n">
        <v>0</v>
      </c>
      <c r="H6" s="36" t="n">
        <v>0</v>
      </c>
      <c r="I6" s="36" t="n">
        <v>0</v>
      </c>
      <c r="J6" s="36" t="n">
        <v>0</v>
      </c>
    </row>
    <row r="7" ht="19" customHeight="1">
      <c r="A7" s="23" t="inlineStr">
        <is>
          <t>1.1.1.2</t>
        </is>
      </c>
      <c r="B7" s="59" t="inlineStr">
        <is>
          <t>Guideway Structures - West Segment</t>
        </is>
      </c>
      <c r="C7" s="36" t="n">
        <v>4</v>
      </c>
      <c r="D7" s="36" t="n">
        <v>0</v>
      </c>
      <c r="E7" s="36" t="n">
        <v>0</v>
      </c>
      <c r="F7" s="36" t="n">
        <v>0</v>
      </c>
      <c r="G7" s="36" t="n">
        <v>0</v>
      </c>
      <c r="H7" s="36" t="n">
        <v>0</v>
      </c>
      <c r="I7" s="36" t="n">
        <v>0</v>
      </c>
      <c r="J7" s="36" t="n">
        <v>0</v>
      </c>
    </row>
    <row r="8" ht="34" customHeight="1">
      <c r="A8" s="23" t="inlineStr">
        <is>
          <t>1.1.2</t>
        </is>
      </c>
      <c r="B8" s="58" t="inlineStr">
        <is>
          <t>Guideway and Civil - Utility &amp; Roadworks</t>
        </is>
      </c>
      <c r="C8" s="36" t="n">
        <v>3</v>
      </c>
      <c r="D8" s="36" t="n">
        <v>61</v>
      </c>
      <c r="E8" s="36" t="n">
        <v>41</v>
      </c>
      <c r="F8" s="36" t="n">
        <v>0</v>
      </c>
      <c r="G8" s="36" t="n">
        <v>0</v>
      </c>
      <c r="H8" s="36" t="n">
        <v>102</v>
      </c>
      <c r="I8" s="36" t="n">
        <v>0</v>
      </c>
      <c r="J8" s="36" t="n">
        <v>2</v>
      </c>
    </row>
    <row r="9" ht="19" customHeight="1">
      <c r="A9" s="23" t="inlineStr">
        <is>
          <t>1.1.2.1</t>
        </is>
      </c>
      <c r="B9" s="59" t="inlineStr">
        <is>
          <t>Utility &amp; Roadworks - East Segment</t>
        </is>
      </c>
      <c r="C9" s="36" t="n">
        <v>4</v>
      </c>
      <c r="D9" s="36" t="n">
        <v>0</v>
      </c>
      <c r="E9" s="36" t="n">
        <v>0</v>
      </c>
      <c r="F9" s="36" t="n">
        <v>0</v>
      </c>
      <c r="G9" s="36" t="n">
        <v>0</v>
      </c>
      <c r="H9" s="36" t="n">
        <v>0</v>
      </c>
      <c r="I9" s="36" t="n">
        <v>0</v>
      </c>
      <c r="J9" s="36" t="n">
        <v>0</v>
      </c>
    </row>
    <row r="10" ht="19" customHeight="1">
      <c r="A10" s="23" t="inlineStr">
        <is>
          <t>1.1.2.2</t>
        </is>
      </c>
      <c r="B10" s="59" t="inlineStr">
        <is>
          <t>Utility &amp; Roadworks - West Segment</t>
        </is>
      </c>
      <c r="C10" s="36" t="n">
        <v>4</v>
      </c>
      <c r="D10" s="36" t="n">
        <v>0</v>
      </c>
      <c r="E10" s="36" t="n">
        <v>0</v>
      </c>
      <c r="F10" s="36" t="n">
        <v>0</v>
      </c>
      <c r="G10" s="36" t="n">
        <v>0</v>
      </c>
      <c r="H10" s="36" t="n">
        <v>0</v>
      </c>
      <c r="I10" s="36" t="n">
        <v>0</v>
      </c>
      <c r="J10" s="36" t="n">
        <v>0</v>
      </c>
    </row>
    <row r="11" ht="34" customHeight="1">
      <c r="A11" s="23" t="inlineStr">
        <is>
          <t>1.1.3</t>
        </is>
      </c>
      <c r="B11" s="58" t="inlineStr">
        <is>
          <t>Guideway and Civil - Track Support Works</t>
        </is>
      </c>
      <c r="C11" s="36" t="n">
        <v>3</v>
      </c>
      <c r="D11" s="36" t="n">
        <v>0</v>
      </c>
      <c r="E11" s="36" t="n">
        <v>0</v>
      </c>
      <c r="F11" s="36" t="n">
        <v>0</v>
      </c>
      <c r="G11" s="36" t="n">
        <v>0</v>
      </c>
      <c r="H11" s="36" t="n">
        <v>0</v>
      </c>
      <c r="I11" s="36" t="n">
        <v>0</v>
      </c>
      <c r="J11" s="36" t="n">
        <v>0</v>
      </c>
    </row>
    <row r="12" ht="19" customHeight="1">
      <c r="A12" s="23" t="inlineStr">
        <is>
          <t>1.1.3.1</t>
        </is>
      </c>
      <c r="B12" s="59" t="inlineStr">
        <is>
          <t>Track Support Works - East Segment</t>
        </is>
      </c>
      <c r="C12" s="36" t="n">
        <v>4</v>
      </c>
      <c r="D12" s="36" t="n">
        <v>0</v>
      </c>
      <c r="E12" s="36" t="n">
        <v>0</v>
      </c>
      <c r="F12" s="36" t="n">
        <v>0</v>
      </c>
      <c r="G12" s="36" t="n">
        <v>0</v>
      </c>
      <c r="H12" s="36" t="n">
        <v>0</v>
      </c>
      <c r="I12" s="36" t="n">
        <v>0</v>
      </c>
      <c r="J12" s="36" t="n">
        <v>0</v>
      </c>
    </row>
    <row r="13" ht="19" customHeight="1">
      <c r="A13" s="23" t="inlineStr">
        <is>
          <t>1.1.3.2</t>
        </is>
      </c>
      <c r="B13" s="59" t="inlineStr">
        <is>
          <t>Track Support Works - West Segment</t>
        </is>
      </c>
      <c r="C13" s="36" t="n">
        <v>4</v>
      </c>
      <c r="D13" s="36" t="n">
        <v>0</v>
      </c>
      <c r="E13" s="36" t="n">
        <v>0</v>
      </c>
      <c r="F13" s="36" t="n">
        <v>0</v>
      </c>
      <c r="G13" s="36" t="n">
        <v>0</v>
      </c>
      <c r="H13" s="36" t="n">
        <v>0</v>
      </c>
      <c r="I13" s="36" t="n">
        <v>0</v>
      </c>
      <c r="J13" s="36" t="n">
        <v>0</v>
      </c>
    </row>
    <row r="14" ht="34" customHeight="1">
      <c r="A14" s="23" t="inlineStr">
        <is>
          <t>1.1.4</t>
        </is>
      </c>
      <c r="B14" s="58" t="inlineStr">
        <is>
          <t>Guideway and Civil - Civil Interfaces</t>
        </is>
      </c>
      <c r="C14" s="36" t="n">
        <v>3</v>
      </c>
      <c r="D14" s="36" t="n">
        <v>0</v>
      </c>
      <c r="E14" s="36" t="n">
        <v>0</v>
      </c>
      <c r="F14" s="36" t="n">
        <v>0</v>
      </c>
      <c r="G14" s="36" t="n">
        <v>0</v>
      </c>
      <c r="H14" s="36" t="n">
        <v>0</v>
      </c>
      <c r="I14" s="36" t="n">
        <v>0</v>
      </c>
      <c r="J14" s="36" t="n">
        <v>0</v>
      </c>
    </row>
    <row r="15" ht="19" customHeight="1">
      <c r="A15" s="23" t="inlineStr">
        <is>
          <t>1.1.4.1</t>
        </is>
      </c>
      <c r="B15" s="59" t="inlineStr">
        <is>
          <t>Civil Interfaces - East Segment</t>
        </is>
      </c>
      <c r="C15" s="36" t="n">
        <v>4</v>
      </c>
      <c r="D15" s="36" t="n">
        <v>0</v>
      </c>
      <c r="E15" s="36" t="n">
        <v>0</v>
      </c>
      <c r="F15" s="36" t="n">
        <v>0</v>
      </c>
      <c r="G15" s="36" t="n">
        <v>0</v>
      </c>
      <c r="H15" s="36" t="n">
        <v>0</v>
      </c>
      <c r="I15" s="36" t="n">
        <v>0</v>
      </c>
      <c r="J15" s="36" t="n">
        <v>0</v>
      </c>
    </row>
    <row r="16" ht="19" customHeight="1">
      <c r="A16" s="23" t="inlineStr">
        <is>
          <t>1.1.4.2</t>
        </is>
      </c>
      <c r="B16" s="59" t="inlineStr">
        <is>
          <t>Civil Interfaces - West Segment</t>
        </is>
      </c>
      <c r="C16" s="36" t="n">
        <v>4</v>
      </c>
      <c r="D16" s="36" t="n">
        <v>0</v>
      </c>
      <c r="E16" s="36" t="n">
        <v>0</v>
      </c>
      <c r="F16" s="36" t="n">
        <v>0</v>
      </c>
      <c r="G16" s="36" t="n">
        <v>0</v>
      </c>
      <c r="H16" s="36" t="n">
        <v>0</v>
      </c>
      <c r="I16" s="36" t="n">
        <v>0</v>
      </c>
      <c r="J16" s="36" t="n">
        <v>0</v>
      </c>
    </row>
    <row r="17" ht="19" customHeight="1">
      <c r="A17" s="23" t="inlineStr">
        <is>
          <t>1.2</t>
        </is>
      </c>
      <c r="B17" s="57" t="inlineStr">
        <is>
          <t>Stations</t>
        </is>
      </c>
      <c r="C17" s="36" t="n">
        <v>2</v>
      </c>
      <c r="D17" s="36" t="n">
        <v>180</v>
      </c>
      <c r="E17" s="36" t="n">
        <v>80</v>
      </c>
      <c r="F17" s="36" t="n">
        <v>12</v>
      </c>
      <c r="G17" s="36" t="n">
        <v>0</v>
      </c>
      <c r="H17" s="36" t="n">
        <v>272</v>
      </c>
      <c r="I17" s="36" t="n">
        <v>0</v>
      </c>
      <c r="J17" s="36" t="n">
        <v>2</v>
      </c>
    </row>
    <row r="18" ht="19" customHeight="1">
      <c r="A18" s="23" t="inlineStr">
        <is>
          <t>1.2.1</t>
        </is>
      </c>
      <c r="B18" s="58" t="inlineStr">
        <is>
          <t>Stations - Station Structures</t>
        </is>
      </c>
      <c r="C18" s="36" t="n">
        <v>3</v>
      </c>
      <c r="D18" s="36" t="n">
        <v>120</v>
      </c>
      <c r="E18" s="36" t="n">
        <v>40</v>
      </c>
      <c r="F18" s="36" t="n">
        <v>0</v>
      </c>
      <c r="G18" s="36" t="n">
        <v>0</v>
      </c>
      <c r="H18" s="36" t="n">
        <v>160</v>
      </c>
      <c r="I18" s="36" t="n">
        <v>0</v>
      </c>
      <c r="J18" s="36" t="n">
        <v>0</v>
      </c>
    </row>
    <row r="19" ht="34" customHeight="1">
      <c r="A19" s="23" t="inlineStr">
        <is>
          <t>1.2.1.1</t>
        </is>
      </c>
      <c r="B19" s="59" t="inlineStr">
        <is>
          <t>Station Structures - Concourse &amp; Entries</t>
        </is>
      </c>
      <c r="C19" s="36" t="n">
        <v>4</v>
      </c>
      <c r="D19" s="36" t="n">
        <v>0</v>
      </c>
      <c r="E19" s="36" t="n">
        <v>0</v>
      </c>
      <c r="F19" s="36" t="n">
        <v>0</v>
      </c>
      <c r="G19" s="36" t="n">
        <v>0</v>
      </c>
      <c r="H19" s="36" t="n">
        <v>0</v>
      </c>
      <c r="I19" s="36" t="n">
        <v>0</v>
      </c>
      <c r="J19" s="36" t="n">
        <v>0</v>
      </c>
    </row>
    <row r="20" ht="34" customHeight="1">
      <c r="A20" s="23" t="inlineStr">
        <is>
          <t>1.2.1.2</t>
        </is>
      </c>
      <c r="B20" s="59" t="inlineStr">
        <is>
          <t>Station Structures - Platforms &amp; Back-of-House</t>
        </is>
      </c>
      <c r="C20" s="36" t="n">
        <v>4</v>
      </c>
      <c r="D20" s="36" t="n">
        <v>0</v>
      </c>
      <c r="E20" s="36" t="n">
        <v>0</v>
      </c>
      <c r="F20" s="36" t="n">
        <v>0</v>
      </c>
      <c r="G20" s="36" t="n">
        <v>0</v>
      </c>
      <c r="H20" s="36" t="n">
        <v>0</v>
      </c>
      <c r="I20" s="36" t="n">
        <v>0</v>
      </c>
      <c r="J20" s="36" t="n">
        <v>0</v>
      </c>
    </row>
    <row r="21" ht="19" customHeight="1">
      <c r="A21" s="23" t="inlineStr">
        <is>
          <t>1.2.2</t>
        </is>
      </c>
      <c r="B21" s="58" t="inlineStr">
        <is>
          <t>Stations - Architectural Fit-Out</t>
        </is>
      </c>
      <c r="C21" s="36" t="n">
        <v>3</v>
      </c>
      <c r="D21" s="36" t="n">
        <v>60</v>
      </c>
      <c r="E21" s="36" t="n">
        <v>40</v>
      </c>
      <c r="F21" s="36" t="n">
        <v>0</v>
      </c>
      <c r="G21" s="36" t="n">
        <v>0</v>
      </c>
      <c r="H21" s="36" t="n">
        <v>100</v>
      </c>
      <c r="I21" s="36" t="n">
        <v>0</v>
      </c>
      <c r="J21" s="36" t="n">
        <v>1</v>
      </c>
    </row>
    <row r="22" ht="34" customHeight="1">
      <c r="A22" s="23" t="inlineStr">
        <is>
          <t>1.2.2.1</t>
        </is>
      </c>
      <c r="B22" s="59" t="inlineStr">
        <is>
          <t>Architectural Fit-Out - Concourse &amp; Entries</t>
        </is>
      </c>
      <c r="C22" s="36" t="n">
        <v>4</v>
      </c>
      <c r="D22" s="36" t="n">
        <v>0</v>
      </c>
      <c r="E22" s="36" t="n">
        <v>0</v>
      </c>
      <c r="F22" s="36" t="n">
        <v>0</v>
      </c>
      <c r="G22" s="36" t="n">
        <v>0</v>
      </c>
      <c r="H22" s="36" t="n">
        <v>0</v>
      </c>
      <c r="I22" s="36" t="n">
        <v>0</v>
      </c>
      <c r="J22" s="36" t="n">
        <v>0</v>
      </c>
    </row>
    <row r="23" ht="34" customHeight="1">
      <c r="A23" s="23" t="inlineStr">
        <is>
          <t>1.2.2.2</t>
        </is>
      </c>
      <c r="B23" s="59" t="inlineStr">
        <is>
          <t>Architectural Fit-Out - Platforms &amp; Back-of-House</t>
        </is>
      </c>
      <c r="C23" s="36" t="n">
        <v>4</v>
      </c>
      <c r="D23" s="36" t="n">
        <v>0</v>
      </c>
      <c r="E23" s="36" t="n">
        <v>0</v>
      </c>
      <c r="F23" s="36" t="n">
        <v>0</v>
      </c>
      <c r="G23" s="36" t="n">
        <v>0</v>
      </c>
      <c r="H23" s="36" t="n">
        <v>0</v>
      </c>
      <c r="I23" s="36" t="n">
        <v>0</v>
      </c>
      <c r="J23" s="36" t="n">
        <v>0</v>
      </c>
    </row>
    <row r="24" ht="34" customHeight="1">
      <c r="A24" s="23" t="inlineStr">
        <is>
          <t>1.2.3</t>
        </is>
      </c>
      <c r="B24" s="58" t="inlineStr">
        <is>
          <t>Stations - Station Building Services</t>
        </is>
      </c>
      <c r="C24" s="36" t="n">
        <v>3</v>
      </c>
      <c r="D24" s="36" t="n">
        <v>0</v>
      </c>
      <c r="E24" s="36" t="n">
        <v>0</v>
      </c>
      <c r="F24" s="36" t="n">
        <v>0</v>
      </c>
      <c r="G24" s="36" t="n">
        <v>0</v>
      </c>
      <c r="H24" s="36" t="n">
        <v>0</v>
      </c>
      <c r="I24" s="36" t="n">
        <v>0</v>
      </c>
      <c r="J24" s="36" t="n">
        <v>0</v>
      </c>
    </row>
    <row r="25" ht="34" customHeight="1">
      <c r="A25" s="23" t="inlineStr">
        <is>
          <t>1.2.3.1</t>
        </is>
      </c>
      <c r="B25" s="59" t="inlineStr">
        <is>
          <t>Station Building Services - Concourse &amp; Entries</t>
        </is>
      </c>
      <c r="C25" s="36" t="n">
        <v>4</v>
      </c>
      <c r="D25" s="36" t="n">
        <v>0</v>
      </c>
      <c r="E25" s="36" t="n">
        <v>0</v>
      </c>
      <c r="F25" s="36" t="n">
        <v>0</v>
      </c>
      <c r="G25" s="36" t="n">
        <v>0</v>
      </c>
      <c r="H25" s="36" t="n">
        <v>0</v>
      </c>
      <c r="I25" s="36" t="n">
        <v>0</v>
      </c>
      <c r="J25" s="36" t="n">
        <v>0</v>
      </c>
    </row>
    <row r="26" ht="34" customHeight="1">
      <c r="A26" s="23" t="inlineStr">
        <is>
          <t>1.2.3.2</t>
        </is>
      </c>
      <c r="B26" s="59" t="inlineStr">
        <is>
          <t>Station Building Services - Platforms &amp; Back-of-House</t>
        </is>
      </c>
      <c r="C26" s="36" t="n">
        <v>4</v>
      </c>
      <c r="D26" s="36" t="n">
        <v>0</v>
      </c>
      <c r="E26" s="36" t="n">
        <v>0</v>
      </c>
      <c r="F26" s="36" t="n">
        <v>0</v>
      </c>
      <c r="G26" s="36" t="n">
        <v>0</v>
      </c>
      <c r="H26" s="36" t="n">
        <v>0</v>
      </c>
      <c r="I26" s="36" t="n">
        <v>0</v>
      </c>
      <c r="J26" s="36" t="n">
        <v>0</v>
      </c>
    </row>
    <row r="27" ht="19" customHeight="1">
      <c r="A27" s="23" t="inlineStr">
        <is>
          <t>1.2.4</t>
        </is>
      </c>
      <c r="B27" s="58" t="inlineStr">
        <is>
          <t>Stations - Public Realm</t>
        </is>
      </c>
      <c r="C27" s="36" t="n">
        <v>3</v>
      </c>
      <c r="D27" s="36" t="n">
        <v>0</v>
      </c>
      <c r="E27" s="36" t="n">
        <v>0</v>
      </c>
      <c r="F27" s="36" t="n">
        <v>0</v>
      </c>
      <c r="G27" s="36" t="n">
        <v>0</v>
      </c>
      <c r="H27" s="36" t="n">
        <v>0</v>
      </c>
      <c r="I27" s="36" t="n">
        <v>0</v>
      </c>
      <c r="J27" s="36" t="n">
        <v>0</v>
      </c>
    </row>
    <row r="28" ht="19" customHeight="1">
      <c r="A28" s="23" t="inlineStr">
        <is>
          <t>1.2.4.1</t>
        </is>
      </c>
      <c r="B28" s="59" t="inlineStr">
        <is>
          <t>Public Realm - Concourse &amp; Entries</t>
        </is>
      </c>
      <c r="C28" s="36" t="n">
        <v>4</v>
      </c>
      <c r="D28" s="36" t="n">
        <v>0</v>
      </c>
      <c r="E28" s="36" t="n">
        <v>0</v>
      </c>
      <c r="F28" s="36" t="n">
        <v>0</v>
      </c>
      <c r="G28" s="36" t="n">
        <v>0</v>
      </c>
      <c r="H28" s="36" t="n">
        <v>0</v>
      </c>
      <c r="I28" s="36" t="n">
        <v>0</v>
      </c>
      <c r="J28" s="36" t="n">
        <v>0</v>
      </c>
    </row>
    <row r="29" ht="34" customHeight="1">
      <c r="A29" s="23" t="inlineStr">
        <is>
          <t>1.2.4.2</t>
        </is>
      </c>
      <c r="B29" s="59" t="inlineStr">
        <is>
          <t>Public Realm - Platforms &amp; Back-of-House</t>
        </is>
      </c>
      <c r="C29" s="36" t="n">
        <v>4</v>
      </c>
      <c r="D29" s="36" t="n">
        <v>0</v>
      </c>
      <c r="E29" s="36" t="n">
        <v>0</v>
      </c>
      <c r="F29" s="36" t="n">
        <v>0</v>
      </c>
      <c r="G29" s="36" t="n">
        <v>0</v>
      </c>
      <c r="H29" s="36" t="n">
        <v>0</v>
      </c>
      <c r="I29" s="36" t="n">
        <v>0</v>
      </c>
      <c r="J29" s="36" t="n">
        <v>0</v>
      </c>
    </row>
    <row r="30" ht="19" customHeight="1">
      <c r="A30" s="23" t="inlineStr">
        <is>
          <t>1.3</t>
        </is>
      </c>
      <c r="B30" s="57" t="inlineStr">
        <is>
          <t>Systems</t>
        </is>
      </c>
      <c r="C30" s="36" t="n">
        <v>2</v>
      </c>
      <c r="D30" s="36" t="n">
        <v>179</v>
      </c>
      <c r="E30" s="36" t="n">
        <v>79</v>
      </c>
      <c r="F30" s="36" t="n">
        <v>10</v>
      </c>
      <c r="G30" s="36" t="n">
        <v>0</v>
      </c>
      <c r="H30" s="36" t="n">
        <v>268</v>
      </c>
      <c r="I30" s="36" t="n">
        <v>0</v>
      </c>
      <c r="J30" s="36" t="n">
        <v>0</v>
      </c>
    </row>
    <row r="31" ht="19" customHeight="1">
      <c r="A31" s="23" t="inlineStr">
        <is>
          <t>1.3.1</t>
        </is>
      </c>
      <c r="B31" s="58" t="inlineStr">
        <is>
          <t>Systems - Traction Power</t>
        </is>
      </c>
      <c r="C31" s="36" t="n">
        <v>3</v>
      </c>
      <c r="D31" s="36" t="n">
        <v>119</v>
      </c>
      <c r="E31" s="36" t="n">
        <v>40</v>
      </c>
      <c r="F31" s="36" t="n">
        <v>0</v>
      </c>
      <c r="G31" s="36" t="n">
        <v>0</v>
      </c>
      <c r="H31" s="36" t="n">
        <v>159</v>
      </c>
      <c r="I31" s="36" t="n">
        <v>0</v>
      </c>
      <c r="J31" s="36" t="n">
        <v>0</v>
      </c>
    </row>
    <row r="32" ht="19" customHeight="1">
      <c r="A32" s="23" t="inlineStr">
        <is>
          <t>1.3.1.1</t>
        </is>
      </c>
      <c r="B32" s="59" t="inlineStr">
        <is>
          <t>Traction Power - Wayside</t>
        </is>
      </c>
      <c r="C32" s="36" t="n">
        <v>4</v>
      </c>
      <c r="D32" s="36" t="n">
        <v>0</v>
      </c>
      <c r="E32" s="36" t="n">
        <v>0</v>
      </c>
      <c r="F32" s="36" t="n">
        <v>0</v>
      </c>
      <c r="G32" s="36" t="n">
        <v>0</v>
      </c>
      <c r="H32" s="36" t="n">
        <v>0</v>
      </c>
      <c r="I32" s="36" t="n">
        <v>0</v>
      </c>
      <c r="J32" s="36" t="n">
        <v>0</v>
      </c>
    </row>
    <row r="33" ht="34" customHeight="1">
      <c r="A33" s="23" t="inlineStr">
        <is>
          <t>1.3.1.2</t>
        </is>
      </c>
      <c r="B33" s="59" t="inlineStr">
        <is>
          <t>Traction Power - Control Centre &amp; Stations</t>
        </is>
      </c>
      <c r="C33" s="36" t="n">
        <v>4</v>
      </c>
      <c r="D33" s="36" t="n">
        <v>0</v>
      </c>
      <c r="E33" s="36" t="n">
        <v>0</v>
      </c>
      <c r="F33" s="36" t="n">
        <v>0</v>
      </c>
      <c r="G33" s="36" t="n">
        <v>0</v>
      </c>
      <c r="H33" s="36" t="n">
        <v>0</v>
      </c>
      <c r="I33" s="36" t="n">
        <v>0</v>
      </c>
      <c r="J33" s="36" t="n">
        <v>0</v>
      </c>
    </row>
    <row r="34" ht="34" customHeight="1">
      <c r="A34" s="23" t="inlineStr">
        <is>
          <t>1.3.2</t>
        </is>
      </c>
      <c r="B34" s="58" t="inlineStr">
        <is>
          <t>Systems - Signalling &amp; Train Control</t>
        </is>
      </c>
      <c r="C34" s="36" t="n">
        <v>3</v>
      </c>
      <c r="D34" s="36" t="n">
        <v>60</v>
      </c>
      <c r="E34" s="36" t="n">
        <v>39</v>
      </c>
      <c r="F34" s="36" t="n">
        <v>0</v>
      </c>
      <c r="G34" s="36" t="n">
        <v>0</v>
      </c>
      <c r="H34" s="36" t="n">
        <v>99</v>
      </c>
      <c r="I34" s="36" t="n">
        <v>0</v>
      </c>
      <c r="J34" s="36" t="n">
        <v>0</v>
      </c>
    </row>
    <row r="35" ht="34" customHeight="1">
      <c r="A35" s="23" t="inlineStr">
        <is>
          <t>1.3.2.1</t>
        </is>
      </c>
      <c r="B35" s="59" t="inlineStr">
        <is>
          <t>Signalling &amp; Train Control - Wayside</t>
        </is>
      </c>
      <c r="C35" s="36" t="n">
        <v>4</v>
      </c>
      <c r="D35" s="36" t="n">
        <v>0</v>
      </c>
      <c r="E35" s="36" t="n">
        <v>0</v>
      </c>
      <c r="F35" s="36" t="n">
        <v>0</v>
      </c>
      <c r="G35" s="36" t="n">
        <v>0</v>
      </c>
      <c r="H35" s="36" t="n">
        <v>0</v>
      </c>
      <c r="I35" s="36" t="n">
        <v>0</v>
      </c>
      <c r="J35" s="36" t="n">
        <v>0</v>
      </c>
    </row>
    <row r="36" ht="34" customHeight="1">
      <c r="A36" s="23" t="inlineStr">
        <is>
          <t>1.3.2.2</t>
        </is>
      </c>
      <c r="B36" s="59" t="inlineStr">
        <is>
          <t>Signalling &amp; Train Control - Control Centre &amp; Stations</t>
        </is>
      </c>
      <c r="C36" s="36" t="n">
        <v>4</v>
      </c>
      <c r="D36" s="36" t="n">
        <v>0</v>
      </c>
      <c r="E36" s="36" t="n">
        <v>0</v>
      </c>
      <c r="F36" s="36" t="n">
        <v>0</v>
      </c>
      <c r="G36" s="36" t="n">
        <v>0</v>
      </c>
      <c r="H36" s="36" t="n">
        <v>0</v>
      </c>
      <c r="I36" s="36" t="n">
        <v>0</v>
      </c>
      <c r="J36" s="36" t="n">
        <v>0</v>
      </c>
    </row>
    <row r="37" ht="19" customHeight="1">
      <c r="A37" s="23" t="inlineStr">
        <is>
          <t>1.3.3</t>
        </is>
      </c>
      <c r="B37" s="58" t="inlineStr">
        <is>
          <t>Systems - Communications</t>
        </is>
      </c>
      <c r="C37" s="36" t="n">
        <v>3</v>
      </c>
      <c r="D37" s="36" t="n">
        <v>0</v>
      </c>
      <c r="E37" s="36" t="n">
        <v>0</v>
      </c>
      <c r="F37" s="36" t="n">
        <v>0</v>
      </c>
      <c r="G37" s="36" t="n">
        <v>0</v>
      </c>
      <c r="H37" s="36" t="n">
        <v>0</v>
      </c>
      <c r="I37" s="36" t="n">
        <v>0</v>
      </c>
      <c r="J37" s="36" t="n">
        <v>0</v>
      </c>
    </row>
    <row r="38" ht="19" customHeight="1">
      <c r="A38" s="23" t="inlineStr">
        <is>
          <t>1.3.3.1</t>
        </is>
      </c>
      <c r="B38" s="59" t="inlineStr">
        <is>
          <t>Communications - Wayside</t>
        </is>
      </c>
      <c r="C38" s="36" t="n">
        <v>4</v>
      </c>
      <c r="D38" s="36" t="n">
        <v>0</v>
      </c>
      <c r="E38" s="36" t="n">
        <v>0</v>
      </c>
      <c r="F38" s="36" t="n">
        <v>0</v>
      </c>
      <c r="G38" s="36" t="n">
        <v>0</v>
      </c>
      <c r="H38" s="36" t="n">
        <v>0</v>
      </c>
      <c r="I38" s="36" t="n">
        <v>0</v>
      </c>
      <c r="J38" s="36" t="n">
        <v>0</v>
      </c>
    </row>
    <row r="39" ht="34" customHeight="1">
      <c r="A39" s="23" t="inlineStr">
        <is>
          <t>1.3.3.2</t>
        </is>
      </c>
      <c r="B39" s="59" t="inlineStr">
        <is>
          <t>Communications - Control Centre &amp; Stations</t>
        </is>
      </c>
      <c r="C39" s="36" t="n">
        <v>4</v>
      </c>
      <c r="D39" s="36" t="n">
        <v>0</v>
      </c>
      <c r="E39" s="36" t="n">
        <v>0</v>
      </c>
      <c r="F39" s="36" t="n">
        <v>0</v>
      </c>
      <c r="G39" s="36" t="n">
        <v>0</v>
      </c>
      <c r="H39" s="36" t="n">
        <v>0</v>
      </c>
      <c r="I39" s="36" t="n">
        <v>0</v>
      </c>
      <c r="J39" s="36" t="n">
        <v>0</v>
      </c>
    </row>
    <row r="40" ht="19" customHeight="1">
      <c r="A40" s="23" t="inlineStr">
        <is>
          <t>1.3.4</t>
        </is>
      </c>
      <c r="B40" s="58" t="inlineStr">
        <is>
          <t>Systems - Systems Integration</t>
        </is>
      </c>
      <c r="C40" s="36" t="n">
        <v>3</v>
      </c>
      <c r="D40" s="36" t="n">
        <v>0</v>
      </c>
      <c r="E40" s="36" t="n">
        <v>0</v>
      </c>
      <c r="F40" s="36" t="n">
        <v>0</v>
      </c>
      <c r="G40" s="36" t="n">
        <v>0</v>
      </c>
      <c r="H40" s="36" t="n">
        <v>0</v>
      </c>
      <c r="I40" s="36" t="n">
        <v>0</v>
      </c>
      <c r="J40" s="36" t="n">
        <v>0</v>
      </c>
    </row>
    <row r="41" ht="19" customHeight="1">
      <c r="A41" s="23" t="inlineStr">
        <is>
          <t>1.3.4.1</t>
        </is>
      </c>
      <c r="B41" s="59" t="inlineStr">
        <is>
          <t>Systems Integration - Wayside</t>
        </is>
      </c>
      <c r="C41" s="36" t="n">
        <v>4</v>
      </c>
      <c r="D41" s="36" t="n">
        <v>0</v>
      </c>
      <c r="E41" s="36" t="n">
        <v>0</v>
      </c>
      <c r="F41" s="36" t="n">
        <v>0</v>
      </c>
      <c r="G41" s="36" t="n">
        <v>0</v>
      </c>
      <c r="H41" s="36" t="n">
        <v>0</v>
      </c>
      <c r="I41" s="36" t="n">
        <v>0</v>
      </c>
      <c r="J41" s="36" t="n">
        <v>0</v>
      </c>
    </row>
    <row r="42" ht="34" customHeight="1">
      <c r="A42" s="23" t="inlineStr">
        <is>
          <t>1.3.4.2</t>
        </is>
      </c>
      <c r="B42" s="59" t="inlineStr">
        <is>
          <t>Systems Integration - Control Centre &amp; Stations</t>
        </is>
      </c>
      <c r="C42" s="36" t="n">
        <v>4</v>
      </c>
      <c r="D42" s="36" t="n">
        <v>0</v>
      </c>
      <c r="E42" s="36" t="n">
        <v>0</v>
      </c>
      <c r="F42" s="36" t="n">
        <v>0</v>
      </c>
      <c r="G42" s="36" t="n">
        <v>0</v>
      </c>
      <c r="H42" s="36" t="n">
        <v>0</v>
      </c>
      <c r="I42" s="36" t="n">
        <v>0</v>
      </c>
      <c r="J42" s="36" t="n">
        <v>0</v>
      </c>
    </row>
    <row r="43" ht="19" customHeight="1">
      <c r="A43" s="23" t="inlineStr">
        <is>
          <t>1.4</t>
        </is>
      </c>
      <c r="B43" s="57" t="inlineStr">
        <is>
          <t>Vehicles and Depot</t>
        </is>
      </c>
      <c r="C43" s="36" t="n">
        <v>2</v>
      </c>
      <c r="D43" s="36" t="n">
        <v>179</v>
      </c>
      <c r="E43" s="36" t="n">
        <v>80</v>
      </c>
      <c r="F43" s="36" t="n">
        <v>10</v>
      </c>
      <c r="G43" s="36" t="n">
        <v>0</v>
      </c>
      <c r="H43" s="36" t="n">
        <v>269</v>
      </c>
      <c r="I43" s="36" t="n">
        <v>0</v>
      </c>
      <c r="J43" s="36" t="n">
        <v>0</v>
      </c>
    </row>
    <row r="44" ht="19" customHeight="1">
      <c r="A44" s="23" t="inlineStr">
        <is>
          <t>1.4.1</t>
        </is>
      </c>
      <c r="B44" s="58" t="inlineStr">
        <is>
          <t>Vehicles and Depot - Fleet Supply</t>
        </is>
      </c>
      <c r="C44" s="36" t="n">
        <v>3</v>
      </c>
      <c r="D44" s="36" t="n">
        <v>120</v>
      </c>
      <c r="E44" s="36" t="n">
        <v>40</v>
      </c>
      <c r="F44" s="36" t="n">
        <v>0</v>
      </c>
      <c r="G44" s="36" t="n">
        <v>0</v>
      </c>
      <c r="H44" s="36" t="n">
        <v>160</v>
      </c>
      <c r="I44" s="36" t="n">
        <v>0</v>
      </c>
      <c r="J44" s="36" t="n">
        <v>0</v>
      </c>
    </row>
    <row r="45" ht="19" customHeight="1">
      <c r="A45" s="23" t="inlineStr">
        <is>
          <t>1.4.1.1</t>
        </is>
      </c>
      <c r="B45" s="59" t="inlineStr">
        <is>
          <t>Fleet Supply - Maintenance Facility</t>
        </is>
      </c>
      <c r="C45" s="36" t="n">
        <v>4</v>
      </c>
      <c r="D45" s="36" t="n">
        <v>0</v>
      </c>
      <c r="E45" s="36" t="n">
        <v>0</v>
      </c>
      <c r="F45" s="36" t="n">
        <v>0</v>
      </c>
      <c r="G45" s="36" t="n">
        <v>0</v>
      </c>
      <c r="H45" s="36" t="n">
        <v>0</v>
      </c>
      <c r="I45" s="36" t="n">
        <v>0</v>
      </c>
      <c r="J45" s="36" t="n">
        <v>0</v>
      </c>
    </row>
    <row r="46" ht="34" customHeight="1">
      <c r="A46" s="23" t="inlineStr">
        <is>
          <t>1.4.1.2</t>
        </is>
      </c>
      <c r="B46" s="59" t="inlineStr">
        <is>
          <t>Fleet Supply - Storage &amp; Commissioning Yard</t>
        </is>
      </c>
      <c r="C46" s="36" t="n">
        <v>4</v>
      </c>
      <c r="D46" s="36" t="n">
        <v>0</v>
      </c>
      <c r="E46" s="36" t="n">
        <v>0</v>
      </c>
      <c r="F46" s="36" t="n">
        <v>0</v>
      </c>
      <c r="G46" s="36" t="n">
        <v>0</v>
      </c>
      <c r="H46" s="36" t="n">
        <v>0</v>
      </c>
      <c r="I46" s="36" t="n">
        <v>0</v>
      </c>
      <c r="J46" s="36" t="n">
        <v>0</v>
      </c>
    </row>
    <row r="47" ht="34" customHeight="1">
      <c r="A47" s="23" t="inlineStr">
        <is>
          <t>1.4.2</t>
        </is>
      </c>
      <c r="B47" s="58" t="inlineStr">
        <is>
          <t>Vehicles and Depot - Depot Buildings</t>
        </is>
      </c>
      <c r="C47" s="36" t="n">
        <v>3</v>
      </c>
      <c r="D47" s="36" t="n">
        <v>59</v>
      </c>
      <c r="E47" s="36" t="n">
        <v>40</v>
      </c>
      <c r="F47" s="36" t="n">
        <v>0</v>
      </c>
      <c r="G47" s="36" t="n">
        <v>0</v>
      </c>
      <c r="H47" s="36" t="n">
        <v>99</v>
      </c>
      <c r="I47" s="36" t="n">
        <v>0</v>
      </c>
      <c r="J47" s="36" t="n">
        <v>0</v>
      </c>
    </row>
    <row r="48" ht="34" customHeight="1">
      <c r="A48" s="23" t="inlineStr">
        <is>
          <t>1.4.2.1</t>
        </is>
      </c>
      <c r="B48" s="59" t="inlineStr">
        <is>
          <t>Depot Buildings - Maintenance Facility</t>
        </is>
      </c>
      <c r="C48" s="36" t="n">
        <v>4</v>
      </c>
      <c r="D48" s="36" t="n">
        <v>0</v>
      </c>
      <c r="E48" s="36" t="n">
        <v>0</v>
      </c>
      <c r="F48" s="36" t="n">
        <v>0</v>
      </c>
      <c r="G48" s="36" t="n">
        <v>0</v>
      </c>
      <c r="H48" s="36" t="n">
        <v>0</v>
      </c>
      <c r="I48" s="36" t="n">
        <v>0</v>
      </c>
      <c r="J48" s="36" t="n">
        <v>0</v>
      </c>
    </row>
    <row r="49" ht="34" customHeight="1">
      <c r="A49" s="23" t="inlineStr">
        <is>
          <t>1.4.2.2</t>
        </is>
      </c>
      <c r="B49" s="59" t="inlineStr">
        <is>
          <t>Depot Buildings - Storage &amp; Commissioning Yard</t>
        </is>
      </c>
      <c r="C49" s="36" t="n">
        <v>4</v>
      </c>
      <c r="D49" s="36" t="n">
        <v>0</v>
      </c>
      <c r="E49" s="36" t="n">
        <v>0</v>
      </c>
      <c r="F49" s="36" t="n">
        <v>0</v>
      </c>
      <c r="G49" s="36" t="n">
        <v>0</v>
      </c>
      <c r="H49" s="36" t="n">
        <v>0</v>
      </c>
      <c r="I49" s="36" t="n">
        <v>0</v>
      </c>
      <c r="J49" s="36" t="n">
        <v>0</v>
      </c>
    </row>
    <row r="50" ht="34" customHeight="1">
      <c r="A50" s="23" t="inlineStr">
        <is>
          <t>1.4.3</t>
        </is>
      </c>
      <c r="B50" s="58" t="inlineStr">
        <is>
          <t>Vehicles and Depot - Workshop Equipment</t>
        </is>
      </c>
      <c r="C50" s="36" t="n">
        <v>3</v>
      </c>
      <c r="D50" s="36" t="n">
        <v>0</v>
      </c>
      <c r="E50" s="36" t="n">
        <v>0</v>
      </c>
      <c r="F50" s="36" t="n">
        <v>0</v>
      </c>
      <c r="G50" s="36" t="n">
        <v>0</v>
      </c>
      <c r="H50" s="36" t="n">
        <v>0</v>
      </c>
      <c r="I50" s="36" t="n">
        <v>0</v>
      </c>
      <c r="J50" s="36" t="n">
        <v>0</v>
      </c>
    </row>
    <row r="51" ht="34" customHeight="1">
      <c r="A51" s="23" t="inlineStr">
        <is>
          <t>1.4.3.1</t>
        </is>
      </c>
      <c r="B51" s="59" t="inlineStr">
        <is>
          <t>Workshop Equipment - Maintenance Facility</t>
        </is>
      </c>
      <c r="C51" s="36" t="n">
        <v>4</v>
      </c>
      <c r="D51" s="36" t="n">
        <v>0</v>
      </c>
      <c r="E51" s="36" t="n">
        <v>0</v>
      </c>
      <c r="F51" s="36" t="n">
        <v>0</v>
      </c>
      <c r="G51" s="36" t="n">
        <v>0</v>
      </c>
      <c r="H51" s="36" t="n">
        <v>0</v>
      </c>
      <c r="I51" s="36" t="n">
        <v>0</v>
      </c>
      <c r="J51" s="36" t="n">
        <v>0</v>
      </c>
    </row>
    <row r="52" ht="34" customHeight="1">
      <c r="A52" s="23" t="inlineStr">
        <is>
          <t>1.4.3.2</t>
        </is>
      </c>
      <c r="B52" s="59" t="inlineStr">
        <is>
          <t>Workshop Equipment - Storage &amp; Commissioning Yard</t>
        </is>
      </c>
      <c r="C52" s="36" t="n">
        <v>4</v>
      </c>
      <c r="D52" s="36" t="n">
        <v>0</v>
      </c>
      <c r="E52" s="36" t="n">
        <v>0</v>
      </c>
      <c r="F52" s="36" t="n">
        <v>0</v>
      </c>
      <c r="G52" s="36" t="n">
        <v>0</v>
      </c>
      <c r="H52" s="36" t="n">
        <v>0</v>
      </c>
      <c r="I52" s="36" t="n">
        <v>0</v>
      </c>
      <c r="J52" s="36" t="n">
        <v>0</v>
      </c>
    </row>
    <row r="53" ht="34" customHeight="1">
      <c r="A53" s="23" t="inlineStr">
        <is>
          <t>1.4.4</t>
        </is>
      </c>
      <c r="B53" s="58" t="inlineStr">
        <is>
          <t>Vehicles and Depot - Vehicle Integration</t>
        </is>
      </c>
      <c r="C53" s="36" t="n">
        <v>3</v>
      </c>
      <c r="D53" s="36" t="n">
        <v>0</v>
      </c>
      <c r="E53" s="36" t="n">
        <v>0</v>
      </c>
      <c r="F53" s="36" t="n">
        <v>0</v>
      </c>
      <c r="G53" s="36" t="n">
        <v>0</v>
      </c>
      <c r="H53" s="36" t="n">
        <v>0</v>
      </c>
      <c r="I53" s="36" t="n">
        <v>0</v>
      </c>
      <c r="J53" s="36" t="n">
        <v>0</v>
      </c>
    </row>
    <row r="54" ht="34" customHeight="1">
      <c r="A54" s="23" t="inlineStr">
        <is>
          <t>1.4.4.1</t>
        </is>
      </c>
      <c r="B54" s="59" t="inlineStr">
        <is>
          <t>Vehicle Integration - Maintenance Facility</t>
        </is>
      </c>
      <c r="C54" s="36" t="n">
        <v>4</v>
      </c>
      <c r="D54" s="36" t="n">
        <v>0</v>
      </c>
      <c r="E54" s="36" t="n">
        <v>0</v>
      </c>
      <c r="F54" s="36" t="n">
        <v>0</v>
      </c>
      <c r="G54" s="36" t="n">
        <v>0</v>
      </c>
      <c r="H54" s="36" t="n">
        <v>0</v>
      </c>
      <c r="I54" s="36" t="n">
        <v>0</v>
      </c>
      <c r="J54" s="36" t="n">
        <v>0</v>
      </c>
    </row>
    <row r="55" ht="34" customHeight="1">
      <c r="A55" s="23" t="inlineStr">
        <is>
          <t>1.4.4.2</t>
        </is>
      </c>
      <c r="B55" s="59" t="inlineStr">
        <is>
          <t>Vehicle Integration - Storage &amp; Commissioning Yard</t>
        </is>
      </c>
      <c r="C55" s="36" t="n">
        <v>4</v>
      </c>
      <c r="D55" s="36" t="n">
        <v>0</v>
      </c>
      <c r="E55" s="36" t="n">
        <v>0</v>
      </c>
      <c r="F55" s="36" t="n">
        <v>0</v>
      </c>
      <c r="G55" s="36" t="n">
        <v>0</v>
      </c>
      <c r="H55" s="36" t="n">
        <v>0</v>
      </c>
      <c r="I55" s="36" t="n">
        <v>0</v>
      </c>
      <c r="J55" s="36" t="n">
        <v>0</v>
      </c>
    </row>
    <row r="56" ht="19" customHeight="1">
      <c r="A56" s="23" t="inlineStr">
        <is>
          <t>1.5</t>
        </is>
      </c>
      <c r="B56" s="57" t="inlineStr">
        <is>
          <t>Testing and Commissioning</t>
        </is>
      </c>
      <c r="C56" s="36" t="n">
        <v>2</v>
      </c>
      <c r="D56" s="36" t="n">
        <v>180</v>
      </c>
      <c r="E56" s="36" t="n">
        <v>0</v>
      </c>
      <c r="F56" s="36" t="n">
        <v>10</v>
      </c>
      <c r="G56" s="36" t="n">
        <v>0</v>
      </c>
      <c r="H56" s="36" t="n">
        <v>190</v>
      </c>
      <c r="I56" s="36" t="n">
        <v>0</v>
      </c>
      <c r="J56" s="36" t="n">
        <v>0</v>
      </c>
    </row>
    <row r="57" ht="34" customHeight="1">
      <c r="A57" s="23" t="inlineStr">
        <is>
          <t>1.5.1</t>
        </is>
      </c>
      <c r="B57" s="58" t="inlineStr">
        <is>
          <t>Testing and Commissioning - Test Readiness</t>
        </is>
      </c>
      <c r="C57" s="36" t="n">
        <v>3</v>
      </c>
      <c r="D57" s="36" t="n">
        <v>120</v>
      </c>
      <c r="E57" s="36" t="n">
        <v>0</v>
      </c>
      <c r="F57" s="36" t="n">
        <v>0</v>
      </c>
      <c r="G57" s="36" t="n">
        <v>0</v>
      </c>
      <c r="H57" s="36" t="n">
        <v>120</v>
      </c>
      <c r="I57" s="36" t="n">
        <v>0</v>
      </c>
      <c r="J57" s="36" t="n">
        <v>0</v>
      </c>
    </row>
    <row r="58" ht="19" customHeight="1">
      <c r="A58" s="23" t="inlineStr">
        <is>
          <t>1.5.1.1</t>
        </is>
      </c>
      <c r="B58" s="59" t="inlineStr">
        <is>
          <t>Test Readiness - Mainline</t>
        </is>
      </c>
      <c r="C58" s="36" t="n">
        <v>4</v>
      </c>
      <c r="D58" s="36" t="n">
        <v>0</v>
      </c>
      <c r="E58" s="36" t="n">
        <v>0</v>
      </c>
      <c r="F58" s="36" t="n">
        <v>0</v>
      </c>
      <c r="G58" s="36" t="n">
        <v>0</v>
      </c>
      <c r="H58" s="36" t="n">
        <v>0</v>
      </c>
      <c r="I58" s="36" t="n">
        <v>0</v>
      </c>
      <c r="J58" s="36" t="n">
        <v>0</v>
      </c>
    </row>
    <row r="59" ht="19" customHeight="1">
      <c r="A59" s="23" t="inlineStr">
        <is>
          <t>1.5.1.2</t>
        </is>
      </c>
      <c r="B59" s="59" t="inlineStr">
        <is>
          <t>Test Readiness - Depot &amp; Stations</t>
        </is>
      </c>
      <c r="C59" s="36" t="n">
        <v>4</v>
      </c>
      <c r="D59" s="36" t="n">
        <v>0</v>
      </c>
      <c r="E59" s="36" t="n">
        <v>0</v>
      </c>
      <c r="F59" s="36" t="n">
        <v>0</v>
      </c>
      <c r="G59" s="36" t="n">
        <v>0</v>
      </c>
      <c r="H59" s="36" t="n">
        <v>0</v>
      </c>
      <c r="I59" s="36" t="n">
        <v>0</v>
      </c>
      <c r="J59" s="36" t="n">
        <v>0</v>
      </c>
    </row>
    <row r="60" ht="34" customHeight="1">
      <c r="A60" s="23" t="inlineStr">
        <is>
          <t>1.5.2</t>
        </is>
      </c>
      <c r="B60" s="58" t="inlineStr">
        <is>
          <t>Testing and Commissioning - Dynamic Testing</t>
        </is>
      </c>
      <c r="C60" s="36" t="n">
        <v>3</v>
      </c>
      <c r="D60" s="36" t="n">
        <v>60</v>
      </c>
      <c r="E60" s="36" t="n">
        <v>0</v>
      </c>
      <c r="F60" s="36" t="n">
        <v>0</v>
      </c>
      <c r="G60" s="36" t="n">
        <v>0</v>
      </c>
      <c r="H60" s="36" t="n">
        <v>60</v>
      </c>
      <c r="I60" s="36" t="n">
        <v>0</v>
      </c>
      <c r="J60" s="36" t="n">
        <v>0</v>
      </c>
    </row>
    <row r="61" ht="19" customHeight="1">
      <c r="A61" s="23" t="inlineStr">
        <is>
          <t>1.5.2.1</t>
        </is>
      </c>
      <c r="B61" s="59" t="inlineStr">
        <is>
          <t>Dynamic Testing - Mainline</t>
        </is>
      </c>
      <c r="C61" s="36" t="n">
        <v>4</v>
      </c>
      <c r="D61" s="36" t="n">
        <v>0</v>
      </c>
      <c r="E61" s="36" t="n">
        <v>0</v>
      </c>
      <c r="F61" s="36" t="n">
        <v>0</v>
      </c>
      <c r="G61" s="36" t="n">
        <v>0</v>
      </c>
      <c r="H61" s="36" t="n">
        <v>0</v>
      </c>
      <c r="I61" s="36" t="n">
        <v>0</v>
      </c>
      <c r="J61" s="36" t="n">
        <v>0</v>
      </c>
    </row>
    <row r="62" ht="19" customHeight="1">
      <c r="A62" s="23" t="inlineStr">
        <is>
          <t>1.5.2.2</t>
        </is>
      </c>
      <c r="B62" s="59" t="inlineStr">
        <is>
          <t>Dynamic Testing - Depot &amp; Stations</t>
        </is>
      </c>
      <c r="C62" s="36" t="n">
        <v>4</v>
      </c>
      <c r="D62" s="36" t="n">
        <v>0</v>
      </c>
      <c r="E62" s="36" t="n">
        <v>0</v>
      </c>
      <c r="F62" s="36" t="n">
        <v>0</v>
      </c>
      <c r="G62" s="36" t="n">
        <v>0</v>
      </c>
      <c r="H62" s="36" t="n">
        <v>0</v>
      </c>
      <c r="I62" s="36" t="n">
        <v>0</v>
      </c>
      <c r="J62" s="36" t="n">
        <v>0</v>
      </c>
    </row>
    <row r="63" ht="34" customHeight="1">
      <c r="A63" s="23" t="inlineStr">
        <is>
          <t>1.5.3</t>
        </is>
      </c>
      <c r="B63" s="58" t="inlineStr">
        <is>
          <t>Testing and Commissioning - Safety Certification</t>
        </is>
      </c>
      <c r="C63" s="36" t="n">
        <v>3</v>
      </c>
      <c r="D63" s="36" t="n">
        <v>0</v>
      </c>
      <c r="E63" s="36" t="n">
        <v>0</v>
      </c>
      <c r="F63" s="36" t="n">
        <v>0</v>
      </c>
      <c r="G63" s="36" t="n">
        <v>0</v>
      </c>
      <c r="H63" s="36" t="n">
        <v>0</v>
      </c>
      <c r="I63" s="36" t="n">
        <v>0</v>
      </c>
      <c r="J63" s="36" t="n">
        <v>0</v>
      </c>
    </row>
    <row r="64" ht="19" customHeight="1">
      <c r="A64" s="23" t="inlineStr">
        <is>
          <t>1.5.3.1</t>
        </is>
      </c>
      <c r="B64" s="59" t="inlineStr">
        <is>
          <t>Safety Certification - Mainline</t>
        </is>
      </c>
      <c r="C64" s="36" t="n">
        <v>4</v>
      </c>
      <c r="D64" s="36" t="n">
        <v>0</v>
      </c>
      <c r="E64" s="36" t="n">
        <v>0</v>
      </c>
      <c r="F64" s="36" t="n">
        <v>0</v>
      </c>
      <c r="G64" s="36" t="n">
        <v>0</v>
      </c>
      <c r="H64" s="36" t="n">
        <v>0</v>
      </c>
      <c r="I64" s="36" t="n">
        <v>0</v>
      </c>
      <c r="J64" s="36" t="n">
        <v>0</v>
      </c>
    </row>
    <row r="65" ht="34" customHeight="1">
      <c r="A65" s="23" t="inlineStr">
        <is>
          <t>1.5.3.2</t>
        </is>
      </c>
      <c r="B65" s="59" t="inlineStr">
        <is>
          <t>Safety Certification - Depot &amp; Stations</t>
        </is>
      </c>
      <c r="C65" s="36" t="n">
        <v>4</v>
      </c>
      <c r="D65" s="36" t="n">
        <v>0</v>
      </c>
      <c r="E65" s="36" t="n">
        <v>0</v>
      </c>
      <c r="F65" s="36" t="n">
        <v>0</v>
      </c>
      <c r="G65" s="36" t="n">
        <v>0</v>
      </c>
      <c r="H65" s="36" t="n">
        <v>0</v>
      </c>
      <c r="I65" s="36" t="n">
        <v>0</v>
      </c>
      <c r="J65" s="36" t="n">
        <v>0</v>
      </c>
    </row>
    <row r="66" ht="34" customHeight="1">
      <c r="A66" s="23" t="inlineStr">
        <is>
          <t>1.5.4</t>
        </is>
      </c>
      <c r="B66" s="58" t="inlineStr">
        <is>
          <t>Testing and Commissioning - Service Readiness</t>
        </is>
      </c>
      <c r="C66" s="36" t="n">
        <v>3</v>
      </c>
      <c r="D66" s="36" t="n">
        <v>0</v>
      </c>
      <c r="E66" s="36" t="n">
        <v>0</v>
      </c>
      <c r="F66" s="36" t="n">
        <v>0</v>
      </c>
      <c r="G66" s="36" t="n">
        <v>0</v>
      </c>
      <c r="H66" s="36" t="n">
        <v>0</v>
      </c>
      <c r="I66" s="36" t="n">
        <v>0</v>
      </c>
      <c r="J66" s="36" t="n">
        <v>0</v>
      </c>
    </row>
    <row r="67" ht="19" customHeight="1">
      <c r="A67" s="23" t="inlineStr">
        <is>
          <t>1.5.4.1</t>
        </is>
      </c>
      <c r="B67" s="59" t="inlineStr">
        <is>
          <t>Service Readiness - Mainline</t>
        </is>
      </c>
      <c r="C67" s="36" t="n">
        <v>4</v>
      </c>
      <c r="D67" s="36" t="n">
        <v>0</v>
      </c>
      <c r="E67" s="36" t="n">
        <v>0</v>
      </c>
      <c r="F67" s="36" t="n">
        <v>0</v>
      </c>
      <c r="G67" s="36" t="n">
        <v>0</v>
      </c>
      <c r="H67" s="36" t="n">
        <v>0</v>
      </c>
      <c r="I67" s="36" t="n">
        <v>0</v>
      </c>
      <c r="J67" s="36" t="n">
        <v>0</v>
      </c>
    </row>
    <row r="68" ht="34" customHeight="1">
      <c r="A68" s="23" t="inlineStr">
        <is>
          <t>1.5.4.2</t>
        </is>
      </c>
      <c r="B68" s="59" t="inlineStr">
        <is>
          <t>Service Readiness - Depot &amp; Stations</t>
        </is>
      </c>
      <c r="C68" s="36" t="n">
        <v>4</v>
      </c>
      <c r="D68" s="36" t="n">
        <v>0</v>
      </c>
      <c r="E68" s="36" t="n">
        <v>0</v>
      </c>
      <c r="F68" s="36" t="n">
        <v>0</v>
      </c>
      <c r="G68" s="36" t="n">
        <v>0</v>
      </c>
      <c r="H68" s="36" t="n">
        <v>0</v>
      </c>
      <c r="I68" s="36" t="n">
        <v>0</v>
      </c>
      <c r="J68" s="36" t="n">
        <v>0</v>
      </c>
    </row>
    <row r="69" ht="19" customHeight="1">
      <c r="A69" s="23" t="inlineStr">
        <is>
          <t>1.6</t>
        </is>
      </c>
      <c r="B69" s="57" t="inlineStr">
        <is>
          <t>Program Management</t>
        </is>
      </c>
      <c r="C69" s="36" t="n">
        <v>2</v>
      </c>
      <c r="D69" s="36" t="n">
        <v>0</v>
      </c>
      <c r="E69" s="36" t="n">
        <v>79</v>
      </c>
      <c r="F69" s="36" t="n">
        <v>9</v>
      </c>
      <c r="G69" s="36" t="n">
        <v>0</v>
      </c>
      <c r="H69" s="36" t="n">
        <v>88</v>
      </c>
      <c r="I69" s="36" t="n">
        <v>0</v>
      </c>
      <c r="J69" s="36" t="n">
        <v>0</v>
      </c>
    </row>
    <row r="70" ht="34" customHeight="1">
      <c r="A70" s="23" t="inlineStr">
        <is>
          <t>1.6.1</t>
        </is>
      </c>
      <c r="B70" s="58" t="inlineStr">
        <is>
          <t>Program Management - Program Controls</t>
        </is>
      </c>
      <c r="C70" s="36" t="n">
        <v>3</v>
      </c>
      <c r="D70" s="36" t="n">
        <v>0</v>
      </c>
      <c r="E70" s="36" t="n">
        <v>39</v>
      </c>
      <c r="F70" s="36" t="n">
        <v>0</v>
      </c>
      <c r="G70" s="36" t="n">
        <v>0</v>
      </c>
      <c r="H70" s="36" t="n">
        <v>39</v>
      </c>
      <c r="I70" s="36" t="n">
        <v>0</v>
      </c>
      <c r="J70" s="36" t="n">
        <v>0</v>
      </c>
    </row>
    <row r="71" ht="19" customHeight="1">
      <c r="A71" s="23" t="inlineStr">
        <is>
          <t>1.6.1.1</t>
        </is>
      </c>
      <c r="B71" s="59" t="inlineStr">
        <is>
          <t>Program Controls - Owner Team</t>
        </is>
      </c>
      <c r="C71" s="36" t="n">
        <v>4</v>
      </c>
      <c r="D71" s="36" t="n">
        <v>0</v>
      </c>
      <c r="E71" s="36" t="n">
        <v>0</v>
      </c>
      <c r="F71" s="36" t="n">
        <v>0</v>
      </c>
      <c r="G71" s="36" t="n">
        <v>0</v>
      </c>
      <c r="H71" s="36" t="n">
        <v>0</v>
      </c>
      <c r="I71" s="36" t="n">
        <v>0</v>
      </c>
      <c r="J71" s="36" t="n">
        <v>0</v>
      </c>
    </row>
    <row r="72" ht="34" customHeight="1">
      <c r="A72" s="23" t="inlineStr">
        <is>
          <t>1.6.1.2</t>
        </is>
      </c>
      <c r="B72" s="59" t="inlineStr">
        <is>
          <t>Program Controls - Delivery Partners</t>
        </is>
      </c>
      <c r="C72" s="36" t="n">
        <v>4</v>
      </c>
      <c r="D72" s="36" t="n">
        <v>0</v>
      </c>
      <c r="E72" s="36" t="n">
        <v>0</v>
      </c>
      <c r="F72" s="36" t="n">
        <v>0</v>
      </c>
      <c r="G72" s="36" t="n">
        <v>0</v>
      </c>
      <c r="H72" s="36" t="n">
        <v>0</v>
      </c>
      <c r="I72" s="36" t="n">
        <v>0</v>
      </c>
      <c r="J72" s="36" t="n">
        <v>0</v>
      </c>
    </row>
    <row r="73" ht="34" customHeight="1">
      <c r="A73" s="23" t="inlineStr">
        <is>
          <t>1.6.2</t>
        </is>
      </c>
      <c r="B73" s="58" t="inlineStr">
        <is>
          <t>Program Management - Commercial &amp; Procurement</t>
        </is>
      </c>
      <c r="C73" s="36" t="n">
        <v>3</v>
      </c>
      <c r="D73" s="36" t="n">
        <v>0</v>
      </c>
      <c r="E73" s="36" t="n">
        <v>40</v>
      </c>
      <c r="F73" s="36" t="n">
        <v>0</v>
      </c>
      <c r="G73" s="36" t="n">
        <v>0</v>
      </c>
      <c r="H73" s="36" t="n">
        <v>40</v>
      </c>
      <c r="I73" s="36" t="n">
        <v>0</v>
      </c>
      <c r="J73" s="36" t="n">
        <v>0</v>
      </c>
    </row>
    <row r="74" ht="34" customHeight="1">
      <c r="A74" s="23" t="inlineStr">
        <is>
          <t>1.6.2.1</t>
        </is>
      </c>
      <c r="B74" s="59" t="inlineStr">
        <is>
          <t>Commercial &amp; Procurement - Owner Team</t>
        </is>
      </c>
      <c r="C74" s="36" t="n">
        <v>4</v>
      </c>
      <c r="D74" s="36" t="n">
        <v>0</v>
      </c>
      <c r="E74" s="36" t="n">
        <v>0</v>
      </c>
      <c r="F74" s="36" t="n">
        <v>0</v>
      </c>
      <c r="G74" s="36" t="n">
        <v>0</v>
      </c>
      <c r="H74" s="36" t="n">
        <v>0</v>
      </c>
      <c r="I74" s="36" t="n">
        <v>0</v>
      </c>
      <c r="J74" s="36" t="n">
        <v>0</v>
      </c>
    </row>
    <row r="75" ht="34" customHeight="1">
      <c r="A75" s="23" t="inlineStr">
        <is>
          <t>1.6.2.2</t>
        </is>
      </c>
      <c r="B75" s="59" t="inlineStr">
        <is>
          <t>Commercial &amp; Procurement - Delivery Partners</t>
        </is>
      </c>
      <c r="C75" s="36" t="n">
        <v>4</v>
      </c>
      <c r="D75" s="36" t="n">
        <v>0</v>
      </c>
      <c r="E75" s="36" t="n">
        <v>0</v>
      </c>
      <c r="F75" s="36" t="n">
        <v>0</v>
      </c>
      <c r="G75" s="36" t="n">
        <v>0</v>
      </c>
      <c r="H75" s="36" t="n">
        <v>0</v>
      </c>
      <c r="I75" s="36" t="n">
        <v>0</v>
      </c>
      <c r="J75" s="36" t="n">
        <v>0</v>
      </c>
    </row>
    <row r="76" ht="34" customHeight="1">
      <c r="A76" s="23" t="inlineStr">
        <is>
          <t>1.6.3</t>
        </is>
      </c>
      <c r="B76" s="58" t="inlineStr">
        <is>
          <t>Program Management - Stakeholder &amp; Permits</t>
        </is>
      </c>
      <c r="C76" s="36" t="n">
        <v>3</v>
      </c>
      <c r="D76" s="36" t="n">
        <v>0</v>
      </c>
      <c r="E76" s="36" t="n">
        <v>0</v>
      </c>
      <c r="F76" s="36" t="n">
        <v>0</v>
      </c>
      <c r="G76" s="36" t="n">
        <v>0</v>
      </c>
      <c r="H76" s="36" t="n">
        <v>0</v>
      </c>
      <c r="I76" s="36" t="n">
        <v>0</v>
      </c>
      <c r="J76" s="36" t="n">
        <v>0</v>
      </c>
    </row>
    <row r="77" ht="19" customHeight="1">
      <c r="A77" s="23" t="inlineStr">
        <is>
          <t>1.6.3.1</t>
        </is>
      </c>
      <c r="B77" s="59" t="inlineStr">
        <is>
          <t>Stakeholder &amp; Permits - Owner Team</t>
        </is>
      </c>
      <c r="C77" s="36" t="n">
        <v>4</v>
      </c>
      <c r="D77" s="36" t="n">
        <v>0</v>
      </c>
      <c r="E77" s="36" t="n">
        <v>0</v>
      </c>
      <c r="F77" s="36" t="n">
        <v>0</v>
      </c>
      <c r="G77" s="36" t="n">
        <v>0</v>
      </c>
      <c r="H77" s="36" t="n">
        <v>0</v>
      </c>
      <c r="I77" s="36" t="n">
        <v>0</v>
      </c>
      <c r="J77" s="36" t="n">
        <v>0</v>
      </c>
    </row>
    <row r="78" ht="34" customHeight="1">
      <c r="A78" s="23" t="inlineStr">
        <is>
          <t>1.6.3.2</t>
        </is>
      </c>
      <c r="B78" s="59" t="inlineStr">
        <is>
          <t>Stakeholder &amp; Permits - Delivery Partners</t>
        </is>
      </c>
      <c r="C78" s="36" t="n">
        <v>4</v>
      </c>
      <c r="D78" s="36" t="n">
        <v>0</v>
      </c>
      <c r="E78" s="36" t="n">
        <v>0</v>
      </c>
      <c r="F78" s="36" t="n">
        <v>0</v>
      </c>
      <c r="G78" s="36" t="n">
        <v>0</v>
      </c>
      <c r="H78" s="36" t="n">
        <v>0</v>
      </c>
      <c r="I78" s="36" t="n">
        <v>0</v>
      </c>
      <c r="J78" s="36" t="n">
        <v>0</v>
      </c>
    </row>
    <row r="79" ht="34" customHeight="1">
      <c r="A79" s="23" t="inlineStr">
        <is>
          <t>1.6.4</t>
        </is>
      </c>
      <c r="B79" s="58" t="inlineStr">
        <is>
          <t>Program Management - Delivery Integration</t>
        </is>
      </c>
      <c r="C79" s="36" t="n">
        <v>3</v>
      </c>
      <c r="D79" s="36" t="n">
        <v>0</v>
      </c>
      <c r="E79" s="36" t="n">
        <v>0</v>
      </c>
      <c r="F79" s="36" t="n">
        <v>0</v>
      </c>
      <c r="G79" s="36" t="n">
        <v>0</v>
      </c>
      <c r="H79" s="36" t="n">
        <v>0</v>
      </c>
      <c r="I79" s="36" t="n">
        <v>0</v>
      </c>
      <c r="J79" s="36" t="n">
        <v>0</v>
      </c>
    </row>
    <row r="80" ht="19" customHeight="1">
      <c r="A80" s="23" t="inlineStr">
        <is>
          <t>1.6.4.1</t>
        </is>
      </c>
      <c r="B80" s="59" t="inlineStr">
        <is>
          <t>Delivery Integration - Owner Team</t>
        </is>
      </c>
      <c r="C80" s="36" t="n">
        <v>4</v>
      </c>
      <c r="D80" s="36" t="n">
        <v>0</v>
      </c>
      <c r="E80" s="36" t="n">
        <v>0</v>
      </c>
      <c r="F80" s="36" t="n">
        <v>0</v>
      </c>
      <c r="G80" s="36" t="n">
        <v>0</v>
      </c>
      <c r="H80" s="36" t="n">
        <v>0</v>
      </c>
      <c r="I80" s="36" t="n">
        <v>0</v>
      </c>
      <c r="J80" s="36" t="n">
        <v>0</v>
      </c>
    </row>
    <row r="81" ht="34" customHeight="1">
      <c r="A81" s="23" t="inlineStr">
        <is>
          <t>1.6.4.2</t>
        </is>
      </c>
      <c r="B81" s="59" t="inlineStr">
        <is>
          <t>Delivery Integration - Delivery Partners</t>
        </is>
      </c>
      <c r="C81" s="36" t="n">
        <v>4</v>
      </c>
      <c r="D81" s="36" t="n">
        <v>0</v>
      </c>
      <c r="E81" s="36" t="n">
        <v>0</v>
      </c>
      <c r="F81" s="36" t="n">
        <v>0</v>
      </c>
      <c r="G81" s="36" t="n">
        <v>0</v>
      </c>
      <c r="H81" s="36" t="n">
        <v>0</v>
      </c>
      <c r="I81" s="36" t="n">
        <v>0</v>
      </c>
      <c r="J81" s="36" t="n">
        <v>0</v>
      </c>
    </row>
  </sheetData>
  <autoFilter ref="A1:J81"/>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tabColor rgb="008B8F97"/>
    <outlinePr summaryBelow="0" summaryRight="0"/>
    <pageSetUpPr fitToPage="1"/>
  </sheetPr>
  <dimension ref="A1:F267"/>
  <sheetViews>
    <sheetView showGridLines="0" tabSelected="0" zoomScale="100" zoomScaleNormal="100" workbookViewId="0">
      <pane ySplit="1" topLeftCell="A2" activePane="bottomLeft" state="frozen"/>
      <selection pane="bottomLeft" activeCell="A1" sqref="A1"/>
    </sheetView>
  </sheetViews>
  <sheetFormatPr baseColWidth="8" defaultRowHeight="15"/>
  <cols>
    <col width="24" customWidth="1" min="1" max="1"/>
    <col width="18" customWidth="1" min="2" max="2"/>
    <col width="48" customWidth="1" min="3" max="3"/>
    <col width="18" customWidth="1" min="4" max="4"/>
    <col width="20" customWidth="1" min="5" max="5"/>
    <col width="38" customWidth="1" min="6" max="6"/>
  </cols>
  <sheetData>
    <row r="1" ht="34" customHeight="1">
      <c r="A1" s="12" t="inlineStr">
        <is>
          <t>Source Document</t>
        </is>
      </c>
      <c r="B1" s="12" t="inlineStr">
        <is>
          <t>Source Record ID</t>
        </is>
      </c>
      <c r="C1" s="12" t="inlineStr">
        <is>
          <t>Description</t>
        </is>
      </c>
      <c r="D1" s="12" t="inlineStr">
        <is>
          <t>Relationship Type</t>
        </is>
      </c>
      <c r="E1" s="12" t="inlineStr">
        <is>
          <t>Decided By</t>
        </is>
      </c>
      <c r="F1" s="12" t="inlineStr">
        <is>
          <t>Basis</t>
        </is>
      </c>
    </row>
    <row r="2" ht="34" customHeight="1">
      <c r="A2" s="23" t="inlineStr">
        <is>
          <t>Contractor Programme</t>
        </is>
      </c>
      <c r="B2" s="23" t="inlineStr">
        <is>
          <t>SCH-90-902</t>
        </is>
      </c>
      <c r="C2" s="23" t="inlineStr">
        <is>
          <t>Corporate training unrelated to project delivery scope</t>
        </is>
      </c>
      <c r="D2" s="23" t="inlineStr">
        <is>
          <t>NO_WBS</t>
        </is>
      </c>
      <c r="E2" s="23" t="inlineStr">
        <is>
          <t>Maya Chen, Owner Project Controls</t>
        </is>
      </c>
      <c r="F2" s="23" t="inlineStr">
        <is>
          <t>Earlier professional decision, carried forward</t>
        </is>
      </c>
    </row>
    <row r="3" ht="34" customHeight="1">
      <c r="A3" s="23" t="inlineStr">
        <is>
          <t>Commercial Package Register</t>
        </is>
      </c>
      <c r="B3" s="23" t="inlineStr">
        <is>
          <t>PKG-903</t>
        </is>
      </c>
      <c r="C3" s="23" t="inlineStr">
        <is>
          <t>Supplemental procurement package</t>
        </is>
      </c>
      <c r="D3" s="23" t="inlineStr">
        <is>
          <t>UNSURE</t>
        </is>
      </c>
      <c r="E3" s="23" t="inlineStr">
        <is>
          <t>Maya Chen, Owner Project Controls</t>
        </is>
      </c>
      <c r="F3" s="23" t="inlineStr">
        <is>
          <t>Professional decision</t>
        </is>
      </c>
    </row>
    <row r="4" ht="49" customHeight="1">
      <c r="A4" s="23" t="inlineStr">
        <is>
          <t>Contractor Programme</t>
        </is>
      </c>
      <c r="B4" s="23" t="inlineStr">
        <is>
          <t>SCH-03-007</t>
        </is>
      </c>
      <c r="C4" s="23" t="inlineStr">
        <is>
          <t>Control Centre interface installation pending scope authorization; prior location reference withdrawn</t>
        </is>
      </c>
      <c r="D4" s="23" t="inlineStr">
        <is>
          <t>UNSURE</t>
        </is>
      </c>
      <c r="E4" s="23" t="inlineStr">
        <is>
          <t>Maya Chen, Owner Project Controls</t>
        </is>
      </c>
      <c r="F4" s="23" t="inlineStr">
        <is>
          <t>Professional decision</t>
        </is>
      </c>
    </row>
    <row r="5" ht="34" customHeight="1">
      <c r="A5" s="23" t="inlineStr">
        <is>
          <t>Contractor Programme</t>
        </is>
      </c>
      <c r="B5" s="23" t="inlineStr">
        <is>
          <t>SCH-04-003</t>
        </is>
      </c>
      <c r="C5" s="23" t="inlineStr">
        <is>
          <t>Interface works near vehicles and depot boundary</t>
        </is>
      </c>
      <c r="D5" s="23" t="inlineStr">
        <is>
          <t>UNSURE</t>
        </is>
      </c>
      <c r="E5" s="23" t="inlineStr">
        <is>
          <t>Maya Chen, Owner Project Controls</t>
        </is>
      </c>
      <c r="F5" s="23" t="inlineStr">
        <is>
          <t>Earlier professional decision, carried forward</t>
        </is>
      </c>
    </row>
    <row r="6" ht="34" customHeight="1">
      <c r="A6" s="23" t="inlineStr">
        <is>
          <t>Contractor Programme</t>
        </is>
      </c>
      <c r="B6" s="23" t="inlineStr">
        <is>
          <t>SCH-06-001</t>
        </is>
      </c>
      <c r="C6" s="23" t="inlineStr">
        <is>
          <t>Systems package: commercial change review - installation</t>
        </is>
      </c>
      <c r="D6" s="23" t="inlineStr">
        <is>
          <t>UNSURE</t>
        </is>
      </c>
      <c r="E6" s="23" t="inlineStr">
        <is>
          <t>Maya Chen, Owner Project Controls</t>
        </is>
      </c>
      <c r="F6" s="23" t="inlineStr">
        <is>
          <t>Earlier professional decision, carried forward</t>
        </is>
      </c>
    </row>
    <row r="7" ht="34" customHeight="1">
      <c r="A7" s="23" t="inlineStr">
        <is>
          <t>Contractor Programme</t>
        </is>
      </c>
      <c r="B7" s="23" t="inlineStr">
        <is>
          <t>SCH-06-002</t>
        </is>
      </c>
      <c r="C7" s="23" t="inlineStr">
        <is>
          <t>Fleet package: design-package integration review - inspection</t>
        </is>
      </c>
      <c r="D7" s="23" t="inlineStr">
        <is>
          <t>UNSURE</t>
        </is>
      </c>
      <c r="E7" s="23" t="inlineStr">
        <is>
          <t>Maya Chen, Owner Project Controls</t>
        </is>
      </c>
      <c r="F7" s="23" t="inlineStr">
        <is>
          <t>Earlier professional decision, carried forward</t>
        </is>
      </c>
    </row>
    <row r="8" ht="34" customHeight="1">
      <c r="A8" s="23" t="inlineStr">
        <is>
          <t>Contractor Programme</t>
        </is>
      </c>
      <c r="B8" s="23" t="inlineStr">
        <is>
          <t>SCH-06-003</t>
        </is>
      </c>
      <c r="C8" s="23" t="inlineStr">
        <is>
          <t>Interface works near program management boundary</t>
        </is>
      </c>
      <c r="D8" s="23" t="inlineStr">
        <is>
          <t>UNSURE</t>
        </is>
      </c>
      <c r="E8" s="23" t="inlineStr">
        <is>
          <t>Maya Chen, Owner Project Controls</t>
        </is>
      </c>
      <c r="F8" s="23" t="inlineStr">
        <is>
          <t>Earlier professional decision, carried forward</t>
        </is>
      </c>
    </row>
    <row r="9" ht="34" customHeight="1">
      <c r="A9" s="23" t="inlineStr">
        <is>
          <t>Contractor Programme</t>
        </is>
      </c>
      <c r="B9" s="23" t="inlineStr">
        <is>
          <t>SCH-06-004</t>
        </is>
      </c>
      <c r="C9" s="23" t="inlineStr">
        <is>
          <t>Civil package: permit coordination - release</t>
        </is>
      </c>
      <c r="D9" s="23" t="inlineStr">
        <is>
          <t>UNSURE</t>
        </is>
      </c>
      <c r="E9" s="23" t="inlineStr">
        <is>
          <t>Maya Chen, Owner Project Controls</t>
        </is>
      </c>
      <c r="F9" s="23" t="inlineStr">
        <is>
          <t>Earlier professional decision, carried forward</t>
        </is>
      </c>
    </row>
    <row r="10" ht="34" customHeight="1">
      <c r="A10" s="23" t="inlineStr">
        <is>
          <t>Contractor Programme</t>
        </is>
      </c>
      <c r="B10" s="23" t="inlineStr">
        <is>
          <t>SCH-06-005</t>
        </is>
      </c>
      <c r="C10" s="23" t="inlineStr">
        <is>
          <t>Stations package: delivery risk workshop - field start</t>
        </is>
      </c>
      <c r="D10" s="23" t="inlineStr">
        <is>
          <t>UNSURE</t>
        </is>
      </c>
      <c r="E10" s="23" t="inlineStr">
        <is>
          <t>Maya Chen, Owner Project Controls</t>
        </is>
      </c>
      <c r="F10" s="23" t="inlineStr">
        <is>
          <t>Earlier professional decision, carried forward</t>
        </is>
      </c>
    </row>
    <row r="11" ht="34" customHeight="1">
      <c r="A11" s="23" t="inlineStr">
        <is>
          <t>Contractor Programme</t>
        </is>
      </c>
      <c r="B11" s="23" t="inlineStr">
        <is>
          <t>SCH-06-006</t>
        </is>
      </c>
      <c r="C11" s="23" t="inlineStr">
        <is>
          <t>Systems package: monthly controls cut-off - installation</t>
        </is>
      </c>
      <c r="D11" s="23" t="inlineStr">
        <is>
          <t>UNSURE</t>
        </is>
      </c>
      <c r="E11" s="23" t="inlineStr">
        <is>
          <t>Maya Chen, Owner Project Controls</t>
        </is>
      </c>
      <c r="F11" s="23" t="inlineStr">
        <is>
          <t>Earlier professional decision, carried forward</t>
        </is>
      </c>
    </row>
    <row r="12" ht="34" customHeight="1">
      <c r="A12" s="23" t="inlineStr">
        <is>
          <t>Contractor Programme</t>
        </is>
      </c>
      <c r="B12" s="23" t="inlineStr">
        <is>
          <t>SCH-06-007</t>
        </is>
      </c>
      <c r="C12" s="23" t="inlineStr">
        <is>
          <t>Fleet package: stakeholder interface meeting - inspection</t>
        </is>
      </c>
      <c r="D12" s="23" t="inlineStr">
        <is>
          <t>UNSURE</t>
        </is>
      </c>
      <c r="E12" s="23" t="inlineStr">
        <is>
          <t>Maya Chen, Owner Project Controls</t>
        </is>
      </c>
      <c r="F12" s="23" t="inlineStr">
        <is>
          <t>Earlier professional decision, carried forward</t>
        </is>
      </c>
    </row>
    <row r="13" ht="34" customHeight="1">
      <c r="A13" s="23" t="inlineStr">
        <is>
          <t>Contractor Programme</t>
        </is>
      </c>
      <c r="B13" s="23" t="inlineStr">
        <is>
          <t>SCH-06-008</t>
        </is>
      </c>
      <c r="C13" s="23" t="inlineStr">
        <is>
          <t>Program office: baseline change control - turnover</t>
        </is>
      </c>
      <c r="D13" s="23" t="inlineStr">
        <is>
          <t>UNSURE</t>
        </is>
      </c>
      <c r="E13" s="23" t="inlineStr">
        <is>
          <t>Maya Chen, Owner Project Controls</t>
        </is>
      </c>
      <c r="F13" s="23" t="inlineStr">
        <is>
          <t>Earlier professional decision, carried forward</t>
        </is>
      </c>
    </row>
    <row r="14" ht="34" customHeight="1">
      <c r="A14" s="23" t="inlineStr">
        <is>
          <t>Contractor Programme</t>
        </is>
      </c>
      <c r="B14" s="23" t="inlineStr">
        <is>
          <t>SCH-06-009</t>
        </is>
      </c>
      <c r="C14" s="23" t="inlineStr">
        <is>
          <t>Civil package: commercial change review - release</t>
        </is>
      </c>
      <c r="D14" s="23" t="inlineStr">
        <is>
          <t>UNSURE</t>
        </is>
      </c>
      <c r="E14" s="23" t="inlineStr">
        <is>
          <t>Maya Chen, Owner Project Controls</t>
        </is>
      </c>
      <c r="F14" s="23" t="inlineStr">
        <is>
          <t>Earlier professional decision, carried forward</t>
        </is>
      </c>
    </row>
    <row r="15" ht="34" customHeight="1">
      <c r="A15" s="23" t="inlineStr">
        <is>
          <t>Contractor Programme</t>
        </is>
      </c>
      <c r="B15" s="23" t="inlineStr">
        <is>
          <t>SCH-06-010</t>
        </is>
      </c>
      <c r="C15" s="23" t="inlineStr">
        <is>
          <t>Stations package: design-package integration review - field start</t>
        </is>
      </c>
      <c r="D15" s="23" t="inlineStr">
        <is>
          <t>UNSURE</t>
        </is>
      </c>
      <c r="E15" s="23" t="inlineStr">
        <is>
          <t>Maya Chen, Owner Project Controls</t>
        </is>
      </c>
      <c r="F15" s="23" t="inlineStr">
        <is>
          <t>Earlier professional decision, carried forward</t>
        </is>
      </c>
    </row>
    <row r="16" ht="34" customHeight="1">
      <c r="A16" s="23" t="inlineStr">
        <is>
          <t>Contractor Programme</t>
        </is>
      </c>
      <c r="B16" s="23" t="inlineStr">
        <is>
          <t>SCH-06-011</t>
        </is>
      </c>
      <c r="C16" s="23" t="inlineStr">
        <is>
          <t>Systems package: executive reporting close - installation</t>
        </is>
      </c>
      <c r="D16" s="23" t="inlineStr">
        <is>
          <t>UNSURE</t>
        </is>
      </c>
      <c r="E16" s="23" t="inlineStr">
        <is>
          <t>Maya Chen, Owner Project Controls</t>
        </is>
      </c>
      <c r="F16" s="23" t="inlineStr">
        <is>
          <t>Earlier professional decision, carried forward</t>
        </is>
      </c>
    </row>
    <row r="17" ht="34" customHeight="1">
      <c r="A17" s="23" t="inlineStr">
        <is>
          <t>Contractor Programme</t>
        </is>
      </c>
      <c r="B17" s="23" t="inlineStr">
        <is>
          <t>SCH-06-012</t>
        </is>
      </c>
      <c r="C17" s="23" t="inlineStr">
        <is>
          <t>Fleet package: permit coordination - inspection</t>
        </is>
      </c>
      <c r="D17" s="23" t="inlineStr">
        <is>
          <t>UNSURE</t>
        </is>
      </c>
      <c r="E17" s="23" t="inlineStr">
        <is>
          <t>Maya Chen, Owner Project Controls</t>
        </is>
      </c>
      <c r="F17" s="23" t="inlineStr">
        <is>
          <t>Earlier professional decision, carried forward</t>
        </is>
      </c>
    </row>
    <row r="18" ht="34" customHeight="1">
      <c r="A18" s="23" t="inlineStr">
        <is>
          <t>Contractor Programme</t>
        </is>
      </c>
      <c r="B18" s="23" t="inlineStr">
        <is>
          <t>SCH-06-013</t>
        </is>
      </c>
      <c r="C18" s="23" t="inlineStr">
        <is>
          <t>Program office: delivery risk workshop - turnover</t>
        </is>
      </c>
      <c r="D18" s="23" t="inlineStr">
        <is>
          <t>UNSURE</t>
        </is>
      </c>
      <c r="E18" s="23" t="inlineStr">
        <is>
          <t>Maya Chen, Owner Project Controls</t>
        </is>
      </c>
      <c r="F18" s="23" t="inlineStr">
        <is>
          <t>Earlier professional decision, carried forward</t>
        </is>
      </c>
    </row>
    <row r="19" ht="34" customHeight="1">
      <c r="A19" s="23" t="inlineStr">
        <is>
          <t>Contractor Programme</t>
        </is>
      </c>
      <c r="B19" s="23" t="inlineStr">
        <is>
          <t>SCH-06-014</t>
        </is>
      </c>
      <c r="C19" s="23" t="inlineStr">
        <is>
          <t>Civil package: monthly controls cut-off - release</t>
        </is>
      </c>
      <c r="D19" s="23" t="inlineStr">
        <is>
          <t>UNSURE</t>
        </is>
      </c>
      <c r="E19" s="23" t="inlineStr">
        <is>
          <t>Maya Chen, Owner Project Controls</t>
        </is>
      </c>
      <c r="F19" s="23" t="inlineStr">
        <is>
          <t>Earlier professional decision, carried forward</t>
        </is>
      </c>
    </row>
    <row r="20" ht="34" customHeight="1">
      <c r="A20" s="23" t="inlineStr">
        <is>
          <t>Contractor Programme</t>
        </is>
      </c>
      <c r="B20" s="23" t="inlineStr">
        <is>
          <t>SCH-06-015</t>
        </is>
      </c>
      <c r="C20" s="23" t="inlineStr">
        <is>
          <t>Stations package: stakeholder interface meeting - field start</t>
        </is>
      </c>
      <c r="D20" s="23" t="inlineStr">
        <is>
          <t>UNSURE</t>
        </is>
      </c>
      <c r="E20" s="23" t="inlineStr">
        <is>
          <t>Maya Chen, Owner Project Controls</t>
        </is>
      </c>
      <c r="F20" s="23" t="inlineStr">
        <is>
          <t>Earlier professional decision, carried forward</t>
        </is>
      </c>
    </row>
    <row r="21" ht="34" customHeight="1">
      <c r="A21" s="23" t="inlineStr">
        <is>
          <t>Contractor Programme</t>
        </is>
      </c>
      <c r="B21" s="23" t="inlineStr">
        <is>
          <t>SCH-06-016</t>
        </is>
      </c>
      <c r="C21" s="23" t="inlineStr">
        <is>
          <t>Systems package: baseline change control - installation</t>
        </is>
      </c>
      <c r="D21" s="23" t="inlineStr">
        <is>
          <t>UNSURE</t>
        </is>
      </c>
      <c r="E21" s="23" t="inlineStr">
        <is>
          <t>Maya Chen, Owner Project Controls</t>
        </is>
      </c>
      <c r="F21" s="23" t="inlineStr">
        <is>
          <t>Earlier professional decision, carried forward</t>
        </is>
      </c>
    </row>
    <row r="22" ht="34" customHeight="1">
      <c r="A22" s="23" t="inlineStr">
        <is>
          <t>Contractor Programme</t>
        </is>
      </c>
      <c r="B22" s="23" t="inlineStr">
        <is>
          <t>SCH-06-017</t>
        </is>
      </c>
      <c r="C22" s="23" t="inlineStr">
        <is>
          <t>Fleet package: commercial change review - inspection</t>
        </is>
      </c>
      <c r="D22" s="23" t="inlineStr">
        <is>
          <t>UNSURE</t>
        </is>
      </c>
      <c r="E22" s="23" t="inlineStr">
        <is>
          <t>Maya Chen, Owner Project Controls</t>
        </is>
      </c>
      <c r="F22" s="23" t="inlineStr">
        <is>
          <t>Earlier professional decision, carried forward</t>
        </is>
      </c>
    </row>
    <row r="23" ht="34" customHeight="1">
      <c r="A23" s="23" t="inlineStr">
        <is>
          <t>Contractor Programme</t>
        </is>
      </c>
      <c r="B23" s="23" t="inlineStr">
        <is>
          <t>SCH-06-018</t>
        </is>
      </c>
      <c r="C23" s="23" t="inlineStr">
        <is>
          <t>Program office: design-package integration review - turnover</t>
        </is>
      </c>
      <c r="D23" s="23" t="inlineStr">
        <is>
          <t>UNSURE</t>
        </is>
      </c>
      <c r="E23" s="23" t="inlineStr">
        <is>
          <t>Maya Chen, Owner Project Controls</t>
        </is>
      </c>
      <c r="F23" s="23" t="inlineStr">
        <is>
          <t>Earlier professional decision, carried forward</t>
        </is>
      </c>
    </row>
    <row r="24" ht="34" customHeight="1">
      <c r="A24" s="23" t="inlineStr">
        <is>
          <t>Contractor Programme</t>
        </is>
      </c>
      <c r="B24" s="23" t="inlineStr">
        <is>
          <t>SCH-06-019</t>
        </is>
      </c>
      <c r="C24" s="23" t="inlineStr">
        <is>
          <t>Civil package: executive reporting close - release</t>
        </is>
      </c>
      <c r="D24" s="23" t="inlineStr">
        <is>
          <t>UNSURE</t>
        </is>
      </c>
      <c r="E24" s="23" t="inlineStr">
        <is>
          <t>Maya Chen, Owner Project Controls</t>
        </is>
      </c>
      <c r="F24" s="23" t="inlineStr">
        <is>
          <t>Earlier professional decision, carried forward</t>
        </is>
      </c>
    </row>
    <row r="25" ht="34" customHeight="1">
      <c r="A25" s="23" t="inlineStr">
        <is>
          <t>Contractor Programme</t>
        </is>
      </c>
      <c r="B25" s="23" t="inlineStr">
        <is>
          <t>SCH-06-020</t>
        </is>
      </c>
      <c r="C25" s="23" t="inlineStr">
        <is>
          <t>Stations package: permit coordination - field start</t>
        </is>
      </c>
      <c r="D25" s="23" t="inlineStr">
        <is>
          <t>UNSURE</t>
        </is>
      </c>
      <c r="E25" s="23" t="inlineStr">
        <is>
          <t>Maya Chen, Owner Project Controls</t>
        </is>
      </c>
      <c r="F25" s="23" t="inlineStr">
        <is>
          <t>Earlier professional decision, carried forward</t>
        </is>
      </c>
    </row>
    <row r="26" ht="34" customHeight="1">
      <c r="A26" s="23" t="inlineStr">
        <is>
          <t>Contractor Programme</t>
        </is>
      </c>
      <c r="B26" s="23" t="inlineStr">
        <is>
          <t>SCH-06-021</t>
        </is>
      </c>
      <c r="C26" s="23" t="inlineStr">
        <is>
          <t>Systems package: delivery risk workshop - installation</t>
        </is>
      </c>
      <c r="D26" s="23" t="inlineStr">
        <is>
          <t>UNSURE</t>
        </is>
      </c>
      <c r="E26" s="23" t="inlineStr">
        <is>
          <t>Maya Chen, Owner Project Controls</t>
        </is>
      </c>
      <c r="F26" s="23" t="inlineStr">
        <is>
          <t>Earlier professional decision, carried forward</t>
        </is>
      </c>
    </row>
    <row r="27" ht="34" customHeight="1">
      <c r="A27" s="23" t="inlineStr">
        <is>
          <t>Contractor Programme</t>
        </is>
      </c>
      <c r="B27" s="23" t="inlineStr">
        <is>
          <t>SCH-06-022</t>
        </is>
      </c>
      <c r="C27" s="23" t="inlineStr">
        <is>
          <t>Fleet package: monthly controls cut-off - inspection</t>
        </is>
      </c>
      <c r="D27" s="23" t="inlineStr">
        <is>
          <t>UNSURE</t>
        </is>
      </c>
      <c r="E27" s="23" t="inlineStr">
        <is>
          <t>Maya Chen, Owner Project Controls</t>
        </is>
      </c>
      <c r="F27" s="23" t="inlineStr">
        <is>
          <t>Earlier professional decision, carried forward</t>
        </is>
      </c>
    </row>
    <row r="28" ht="34" customHeight="1">
      <c r="A28" s="23" t="inlineStr">
        <is>
          <t>Contractor Programme</t>
        </is>
      </c>
      <c r="B28" s="23" t="inlineStr">
        <is>
          <t>SCH-06-023</t>
        </is>
      </c>
      <c r="C28" s="23" t="inlineStr">
        <is>
          <t>Program office: stakeholder interface meeting - turnover</t>
        </is>
      </c>
      <c r="D28" s="23" t="inlineStr">
        <is>
          <t>UNSURE</t>
        </is>
      </c>
      <c r="E28" s="23" t="inlineStr">
        <is>
          <t>Maya Chen, Owner Project Controls</t>
        </is>
      </c>
      <c r="F28" s="23" t="inlineStr">
        <is>
          <t>Earlier professional decision, carried forward</t>
        </is>
      </c>
    </row>
    <row r="29" ht="34" customHeight="1">
      <c r="A29" s="23" t="inlineStr">
        <is>
          <t>Contractor Programme</t>
        </is>
      </c>
      <c r="B29" s="23" t="inlineStr">
        <is>
          <t>SCH-06-024</t>
        </is>
      </c>
      <c r="C29" s="23" t="inlineStr">
        <is>
          <t>Civil package: baseline change control - release</t>
        </is>
      </c>
      <c r="D29" s="23" t="inlineStr">
        <is>
          <t>UNSURE</t>
        </is>
      </c>
      <c r="E29" s="23" t="inlineStr">
        <is>
          <t>Maya Chen, Owner Project Controls</t>
        </is>
      </c>
      <c r="F29" s="23" t="inlineStr">
        <is>
          <t>Earlier professional decision, carried forward</t>
        </is>
      </c>
    </row>
    <row r="30" ht="34" customHeight="1">
      <c r="A30" s="23" t="inlineStr">
        <is>
          <t>Contractor Programme</t>
        </is>
      </c>
      <c r="B30" s="23" t="inlineStr">
        <is>
          <t>SCH-06-025</t>
        </is>
      </c>
      <c r="C30" s="23" t="inlineStr">
        <is>
          <t>Stations package: commercial change review - field start</t>
        </is>
      </c>
      <c r="D30" s="23" t="inlineStr">
        <is>
          <t>UNSURE</t>
        </is>
      </c>
      <c r="E30" s="23" t="inlineStr">
        <is>
          <t>Maya Chen, Owner Project Controls</t>
        </is>
      </c>
      <c r="F30" s="23" t="inlineStr">
        <is>
          <t>Earlier professional decision, carried forward</t>
        </is>
      </c>
    </row>
    <row r="31" ht="34" customHeight="1">
      <c r="A31" s="23" t="inlineStr">
        <is>
          <t>Contractor Programme</t>
        </is>
      </c>
      <c r="B31" s="23" t="inlineStr">
        <is>
          <t>SCH-06-026</t>
        </is>
      </c>
      <c r="C31" s="23" t="inlineStr">
        <is>
          <t>Systems package: design-package integration review - installation</t>
        </is>
      </c>
      <c r="D31" s="23" t="inlineStr">
        <is>
          <t>UNSURE</t>
        </is>
      </c>
      <c r="E31" s="23" t="inlineStr">
        <is>
          <t>Maya Chen, Owner Project Controls</t>
        </is>
      </c>
      <c r="F31" s="23" t="inlineStr">
        <is>
          <t>Earlier professional decision, carried forward</t>
        </is>
      </c>
    </row>
    <row r="32" ht="34" customHeight="1">
      <c r="A32" s="23" t="inlineStr">
        <is>
          <t>Contractor Programme</t>
        </is>
      </c>
      <c r="B32" s="23" t="inlineStr">
        <is>
          <t>SCH-06-027</t>
        </is>
      </c>
      <c r="C32" s="23" t="inlineStr">
        <is>
          <t>Fleet package: executive reporting close - inspection</t>
        </is>
      </c>
      <c r="D32" s="23" t="inlineStr">
        <is>
          <t>UNSURE</t>
        </is>
      </c>
      <c r="E32" s="23" t="inlineStr">
        <is>
          <t>Maya Chen, Owner Project Controls</t>
        </is>
      </c>
      <c r="F32" s="23" t="inlineStr">
        <is>
          <t>Earlier professional decision, carried forward</t>
        </is>
      </c>
    </row>
    <row r="33" ht="34" customHeight="1">
      <c r="A33" s="23" t="inlineStr">
        <is>
          <t>Contractor Programme</t>
        </is>
      </c>
      <c r="B33" s="23" t="inlineStr">
        <is>
          <t>SCH-06-028</t>
        </is>
      </c>
      <c r="C33" s="23" t="inlineStr">
        <is>
          <t>Program office: permit coordination - turnover</t>
        </is>
      </c>
      <c r="D33" s="23" t="inlineStr">
        <is>
          <t>UNSURE</t>
        </is>
      </c>
      <c r="E33" s="23" t="inlineStr">
        <is>
          <t>Maya Chen, Owner Project Controls</t>
        </is>
      </c>
      <c r="F33" s="23" t="inlineStr">
        <is>
          <t>Earlier professional decision, carried forward</t>
        </is>
      </c>
    </row>
    <row r="34" ht="34" customHeight="1">
      <c r="A34" s="23" t="inlineStr">
        <is>
          <t>Contractor Programme</t>
        </is>
      </c>
      <c r="B34" s="23" t="inlineStr">
        <is>
          <t>SCH-06-029</t>
        </is>
      </c>
      <c r="C34" s="23" t="inlineStr">
        <is>
          <t>Civil package: delivery risk workshop - release</t>
        </is>
      </c>
      <c r="D34" s="23" t="inlineStr">
        <is>
          <t>UNSURE</t>
        </is>
      </c>
      <c r="E34" s="23" t="inlineStr">
        <is>
          <t>Maya Chen, Owner Project Controls</t>
        </is>
      </c>
      <c r="F34" s="23" t="inlineStr">
        <is>
          <t>Earlier professional decision, carried forward</t>
        </is>
      </c>
    </row>
    <row r="35" ht="34" customHeight="1">
      <c r="A35" s="23" t="inlineStr">
        <is>
          <t>Contractor Programme</t>
        </is>
      </c>
      <c r="B35" s="23" t="inlineStr">
        <is>
          <t>SCH-06-030</t>
        </is>
      </c>
      <c r="C35" s="23" t="inlineStr">
        <is>
          <t>Stations package: monthly controls cut-off - field start</t>
        </is>
      </c>
      <c r="D35" s="23" t="inlineStr">
        <is>
          <t>UNSURE</t>
        </is>
      </c>
      <c r="E35" s="23" t="inlineStr">
        <is>
          <t>Maya Chen, Owner Project Controls</t>
        </is>
      </c>
      <c r="F35" s="23" t="inlineStr">
        <is>
          <t>Earlier professional decision, carried forward</t>
        </is>
      </c>
    </row>
    <row r="36" ht="34" customHeight="1">
      <c r="A36" s="23" t="inlineStr">
        <is>
          <t>Contractor Programme</t>
        </is>
      </c>
      <c r="B36" s="23" t="inlineStr">
        <is>
          <t>SCH-06-031</t>
        </is>
      </c>
      <c r="C36" s="23" t="inlineStr">
        <is>
          <t>Systems package: stakeholder interface meeting - installation</t>
        </is>
      </c>
      <c r="D36" s="23" t="inlineStr">
        <is>
          <t>UNSURE</t>
        </is>
      </c>
      <c r="E36" s="23" t="inlineStr">
        <is>
          <t>Maya Chen, Owner Project Controls</t>
        </is>
      </c>
      <c r="F36" s="23" t="inlineStr">
        <is>
          <t>Earlier professional decision, carried forward</t>
        </is>
      </c>
    </row>
    <row r="37" ht="34" customHeight="1">
      <c r="A37" s="23" t="inlineStr">
        <is>
          <t>Contractor Programme</t>
        </is>
      </c>
      <c r="B37" s="23" t="inlineStr">
        <is>
          <t>SCH-06-032</t>
        </is>
      </c>
      <c r="C37" s="23" t="inlineStr">
        <is>
          <t>Fleet package: baseline change control - inspection</t>
        </is>
      </c>
      <c r="D37" s="23" t="inlineStr">
        <is>
          <t>UNSURE</t>
        </is>
      </c>
      <c r="E37" s="23" t="inlineStr">
        <is>
          <t>Maya Chen, Owner Project Controls</t>
        </is>
      </c>
      <c r="F37" s="23" t="inlineStr">
        <is>
          <t>Earlier professional decision, carried forward</t>
        </is>
      </c>
    </row>
    <row r="38" ht="34" customHeight="1">
      <c r="A38" s="23" t="inlineStr">
        <is>
          <t>Contractor Programme</t>
        </is>
      </c>
      <c r="B38" s="23" t="inlineStr">
        <is>
          <t>SCH-06-033</t>
        </is>
      </c>
      <c r="C38" s="23" t="inlineStr">
        <is>
          <t>Program office: commercial change review - turnover</t>
        </is>
      </c>
      <c r="D38" s="23" t="inlineStr">
        <is>
          <t>UNSURE</t>
        </is>
      </c>
      <c r="E38" s="23" t="inlineStr">
        <is>
          <t>Maya Chen, Owner Project Controls</t>
        </is>
      </c>
      <c r="F38" s="23" t="inlineStr">
        <is>
          <t>Earlier professional decision, carried forward</t>
        </is>
      </c>
    </row>
    <row r="39" ht="34" customHeight="1">
      <c r="A39" s="23" t="inlineStr">
        <is>
          <t>Contractor Programme</t>
        </is>
      </c>
      <c r="B39" s="23" t="inlineStr">
        <is>
          <t>SCH-06-034</t>
        </is>
      </c>
      <c r="C39" s="23" t="inlineStr">
        <is>
          <t>Civil package: design-package integration review - release</t>
        </is>
      </c>
      <c r="D39" s="23" t="inlineStr">
        <is>
          <t>UNSURE</t>
        </is>
      </c>
      <c r="E39" s="23" t="inlineStr">
        <is>
          <t>Maya Chen, Owner Project Controls</t>
        </is>
      </c>
      <c r="F39" s="23" t="inlineStr">
        <is>
          <t>Earlier professional decision, carried forward</t>
        </is>
      </c>
    </row>
    <row r="40" ht="34" customHeight="1">
      <c r="A40" s="23" t="inlineStr">
        <is>
          <t>Contractor Programme</t>
        </is>
      </c>
      <c r="B40" s="23" t="inlineStr">
        <is>
          <t>SCH-06-035</t>
        </is>
      </c>
      <c r="C40" s="23" t="inlineStr">
        <is>
          <t>Stations package: executive reporting close - field start</t>
        </is>
      </c>
      <c r="D40" s="23" t="inlineStr">
        <is>
          <t>UNSURE</t>
        </is>
      </c>
      <c r="E40" s="23" t="inlineStr">
        <is>
          <t>Maya Chen, Owner Project Controls</t>
        </is>
      </c>
      <c r="F40" s="23" t="inlineStr">
        <is>
          <t>Earlier professional decision, carried forward</t>
        </is>
      </c>
    </row>
    <row r="41" ht="34" customHeight="1">
      <c r="A41" s="23" t="inlineStr">
        <is>
          <t>Contractor Programme</t>
        </is>
      </c>
      <c r="B41" s="23" t="inlineStr">
        <is>
          <t>SCH-06-036</t>
        </is>
      </c>
      <c r="C41" s="23" t="inlineStr">
        <is>
          <t>Systems package: permit coordination - installation</t>
        </is>
      </c>
      <c r="D41" s="23" t="inlineStr">
        <is>
          <t>UNSURE</t>
        </is>
      </c>
      <c r="E41" s="23" t="inlineStr">
        <is>
          <t>Maya Chen, Owner Project Controls</t>
        </is>
      </c>
      <c r="F41" s="23" t="inlineStr">
        <is>
          <t>Earlier professional decision, carried forward</t>
        </is>
      </c>
    </row>
    <row r="42" ht="34" customHeight="1">
      <c r="A42" s="23" t="inlineStr">
        <is>
          <t>Contractor Programme</t>
        </is>
      </c>
      <c r="B42" s="23" t="inlineStr">
        <is>
          <t>SCH-06-037</t>
        </is>
      </c>
      <c r="C42" s="23" t="inlineStr">
        <is>
          <t>Fleet package: delivery risk workshop - inspection</t>
        </is>
      </c>
      <c r="D42" s="23" t="inlineStr">
        <is>
          <t>UNSURE</t>
        </is>
      </c>
      <c r="E42" s="23" t="inlineStr">
        <is>
          <t>Maya Chen, Owner Project Controls</t>
        </is>
      </c>
      <c r="F42" s="23" t="inlineStr">
        <is>
          <t>Earlier professional decision, carried forward</t>
        </is>
      </c>
    </row>
    <row r="43" ht="34" customHeight="1">
      <c r="A43" s="23" t="inlineStr">
        <is>
          <t>Contractor Programme</t>
        </is>
      </c>
      <c r="B43" s="23" t="inlineStr">
        <is>
          <t>SCH-06-038</t>
        </is>
      </c>
      <c r="C43" s="23" t="inlineStr">
        <is>
          <t>Program office: monthly controls cut-off - turnover</t>
        </is>
      </c>
      <c r="D43" s="23" t="inlineStr">
        <is>
          <t>UNSURE</t>
        </is>
      </c>
      <c r="E43" s="23" t="inlineStr">
        <is>
          <t>Maya Chen, Owner Project Controls</t>
        </is>
      </c>
      <c r="F43" s="23" t="inlineStr">
        <is>
          <t>Earlier professional decision, carried forward</t>
        </is>
      </c>
    </row>
    <row r="44" ht="34" customHeight="1">
      <c r="A44" s="23" t="inlineStr">
        <is>
          <t>Contractor Programme</t>
        </is>
      </c>
      <c r="B44" s="23" t="inlineStr">
        <is>
          <t>SCH-06-039</t>
        </is>
      </c>
      <c r="C44" s="23" t="inlineStr">
        <is>
          <t>Civil package: stakeholder interface meeting - release</t>
        </is>
      </c>
      <c r="D44" s="23" t="inlineStr">
        <is>
          <t>UNSURE</t>
        </is>
      </c>
      <c r="E44" s="23" t="inlineStr">
        <is>
          <t>Maya Chen, Owner Project Controls</t>
        </is>
      </c>
      <c r="F44" s="23" t="inlineStr">
        <is>
          <t>Earlier professional decision, carried forward</t>
        </is>
      </c>
    </row>
    <row r="45" ht="34" customHeight="1">
      <c r="A45" s="23" t="inlineStr">
        <is>
          <t>Contractor Programme</t>
        </is>
      </c>
      <c r="B45" s="23" t="inlineStr">
        <is>
          <t>SCH-06-040</t>
        </is>
      </c>
      <c r="C45" s="23" t="inlineStr">
        <is>
          <t>Stations package: baseline change control - field start</t>
        </is>
      </c>
      <c r="D45" s="23" t="inlineStr">
        <is>
          <t>UNSURE</t>
        </is>
      </c>
      <c r="E45" s="23" t="inlineStr">
        <is>
          <t>Maya Chen, Owner Project Controls</t>
        </is>
      </c>
      <c r="F45" s="23" t="inlineStr">
        <is>
          <t>Earlier professional decision, carried forward</t>
        </is>
      </c>
    </row>
    <row r="46" ht="34" customHeight="1">
      <c r="A46" s="23" t="inlineStr">
        <is>
          <t>Contractor Programme</t>
        </is>
      </c>
      <c r="B46" s="23" t="inlineStr">
        <is>
          <t>SCH-06-041</t>
        </is>
      </c>
      <c r="C46" s="23" t="inlineStr">
        <is>
          <t>Systems package: commercial change review - installation</t>
        </is>
      </c>
      <c r="D46" s="23" t="inlineStr">
        <is>
          <t>UNSURE</t>
        </is>
      </c>
      <c r="E46" s="23" t="inlineStr">
        <is>
          <t>Maya Chen, Owner Project Controls</t>
        </is>
      </c>
      <c r="F46" s="23" t="inlineStr">
        <is>
          <t>Earlier professional decision, carried forward</t>
        </is>
      </c>
    </row>
    <row r="47" ht="34" customHeight="1">
      <c r="A47" s="23" t="inlineStr">
        <is>
          <t>Contractor Programme</t>
        </is>
      </c>
      <c r="B47" s="23" t="inlineStr">
        <is>
          <t>SCH-06-042</t>
        </is>
      </c>
      <c r="C47" s="23" t="inlineStr">
        <is>
          <t>Fleet package: design-package integration review - inspection</t>
        </is>
      </c>
      <c r="D47" s="23" t="inlineStr">
        <is>
          <t>UNSURE</t>
        </is>
      </c>
      <c r="E47" s="23" t="inlineStr">
        <is>
          <t>Maya Chen, Owner Project Controls</t>
        </is>
      </c>
      <c r="F47" s="23" t="inlineStr">
        <is>
          <t>Earlier professional decision, carried forward</t>
        </is>
      </c>
    </row>
    <row r="48" ht="34" customHeight="1">
      <c r="A48" s="23" t="inlineStr">
        <is>
          <t>Contractor Programme</t>
        </is>
      </c>
      <c r="B48" s="23" t="inlineStr">
        <is>
          <t>SCH-06-043</t>
        </is>
      </c>
      <c r="C48" s="23" t="inlineStr">
        <is>
          <t>Program office: executive reporting close - turnover</t>
        </is>
      </c>
      <c r="D48" s="23" t="inlineStr">
        <is>
          <t>UNSURE</t>
        </is>
      </c>
      <c r="E48" s="23" t="inlineStr">
        <is>
          <t>Maya Chen, Owner Project Controls</t>
        </is>
      </c>
      <c r="F48" s="23" t="inlineStr">
        <is>
          <t>Earlier professional decision, carried forward</t>
        </is>
      </c>
    </row>
    <row r="49" ht="34" customHeight="1">
      <c r="A49" s="23" t="inlineStr">
        <is>
          <t>Contractor Programme</t>
        </is>
      </c>
      <c r="B49" s="23" t="inlineStr">
        <is>
          <t>SCH-06-044</t>
        </is>
      </c>
      <c r="C49" s="23" t="inlineStr">
        <is>
          <t>Civil package: permit coordination - release</t>
        </is>
      </c>
      <c r="D49" s="23" t="inlineStr">
        <is>
          <t>UNSURE</t>
        </is>
      </c>
      <c r="E49" s="23" t="inlineStr">
        <is>
          <t>Maya Chen, Owner Project Controls</t>
        </is>
      </c>
      <c r="F49" s="23" t="inlineStr">
        <is>
          <t>Earlier professional decision, carried forward</t>
        </is>
      </c>
    </row>
    <row r="50" ht="34" customHeight="1">
      <c r="A50" s="23" t="inlineStr">
        <is>
          <t>Contractor Programme</t>
        </is>
      </c>
      <c r="B50" s="23" t="inlineStr">
        <is>
          <t>SCH-06-045</t>
        </is>
      </c>
      <c r="C50" s="23" t="inlineStr">
        <is>
          <t>Stations package: delivery risk workshop - field start</t>
        </is>
      </c>
      <c r="D50" s="23" t="inlineStr">
        <is>
          <t>UNSURE</t>
        </is>
      </c>
      <c r="E50" s="23" t="inlineStr">
        <is>
          <t>Maya Chen, Owner Project Controls</t>
        </is>
      </c>
      <c r="F50" s="23" t="inlineStr">
        <is>
          <t>Earlier professional decision, carried forward</t>
        </is>
      </c>
    </row>
    <row r="51" ht="34" customHeight="1">
      <c r="A51" s="23" t="inlineStr">
        <is>
          <t>Contractor Programme</t>
        </is>
      </c>
      <c r="B51" s="23" t="inlineStr">
        <is>
          <t>SCH-06-046</t>
        </is>
      </c>
      <c r="C51" s="23" t="inlineStr">
        <is>
          <t>Systems package: monthly controls cut-off - installation</t>
        </is>
      </c>
      <c r="D51" s="23" t="inlineStr">
        <is>
          <t>UNSURE</t>
        </is>
      </c>
      <c r="E51" s="23" t="inlineStr">
        <is>
          <t>Maya Chen, Owner Project Controls</t>
        </is>
      </c>
      <c r="F51" s="23" t="inlineStr">
        <is>
          <t>Earlier professional decision, carried forward</t>
        </is>
      </c>
    </row>
    <row r="52" ht="34" customHeight="1">
      <c r="A52" s="23" t="inlineStr">
        <is>
          <t>Contractor Programme</t>
        </is>
      </c>
      <c r="B52" s="23" t="inlineStr">
        <is>
          <t>SCH-06-047</t>
        </is>
      </c>
      <c r="C52" s="23" t="inlineStr">
        <is>
          <t>Fleet package: stakeholder interface meeting - inspection</t>
        </is>
      </c>
      <c r="D52" s="23" t="inlineStr">
        <is>
          <t>UNSURE</t>
        </is>
      </c>
      <c r="E52" s="23" t="inlineStr">
        <is>
          <t>Maya Chen, Owner Project Controls</t>
        </is>
      </c>
      <c r="F52" s="23" t="inlineStr">
        <is>
          <t>Earlier professional decision, carried forward</t>
        </is>
      </c>
    </row>
    <row r="53" ht="34" customHeight="1">
      <c r="A53" s="23" t="inlineStr">
        <is>
          <t>Contractor Programme</t>
        </is>
      </c>
      <c r="B53" s="23" t="inlineStr">
        <is>
          <t>SCH-06-048</t>
        </is>
      </c>
      <c r="C53" s="23" t="inlineStr">
        <is>
          <t>Program office: baseline change control - turnover</t>
        </is>
      </c>
      <c r="D53" s="23" t="inlineStr">
        <is>
          <t>UNSURE</t>
        </is>
      </c>
      <c r="E53" s="23" t="inlineStr">
        <is>
          <t>Maya Chen, Owner Project Controls</t>
        </is>
      </c>
      <c r="F53" s="23" t="inlineStr">
        <is>
          <t>Earlier professional decision, carried forward</t>
        </is>
      </c>
    </row>
    <row r="54" ht="34" customHeight="1">
      <c r="A54" s="23" t="inlineStr">
        <is>
          <t>Contractor Programme</t>
        </is>
      </c>
      <c r="B54" s="23" t="inlineStr">
        <is>
          <t>SCH-06-049</t>
        </is>
      </c>
      <c r="C54" s="23" t="inlineStr">
        <is>
          <t>Civil package: commercial change review - release</t>
        </is>
      </c>
      <c r="D54" s="23" t="inlineStr">
        <is>
          <t>UNSURE</t>
        </is>
      </c>
      <c r="E54" s="23" t="inlineStr">
        <is>
          <t>Maya Chen, Owner Project Controls</t>
        </is>
      </c>
      <c r="F54" s="23" t="inlineStr">
        <is>
          <t>Earlier professional decision, carried forward</t>
        </is>
      </c>
    </row>
    <row r="55" ht="34" customHeight="1">
      <c r="A55" s="23" t="inlineStr">
        <is>
          <t>Contractor Programme</t>
        </is>
      </c>
      <c r="B55" s="23" t="inlineStr">
        <is>
          <t>SCH-06-050</t>
        </is>
      </c>
      <c r="C55" s="23" t="inlineStr">
        <is>
          <t>Stations package: design-package integration review - field start</t>
        </is>
      </c>
      <c r="D55" s="23" t="inlineStr">
        <is>
          <t>UNSURE</t>
        </is>
      </c>
      <c r="E55" s="23" t="inlineStr">
        <is>
          <t>Maya Chen, Owner Project Controls</t>
        </is>
      </c>
      <c r="F55" s="23" t="inlineStr">
        <is>
          <t>Earlier professional decision, carried forward</t>
        </is>
      </c>
    </row>
    <row r="56" ht="34" customHeight="1">
      <c r="A56" s="23" t="inlineStr">
        <is>
          <t>Contractor Programme</t>
        </is>
      </c>
      <c r="B56" s="23" t="inlineStr">
        <is>
          <t>SCH-06-051</t>
        </is>
      </c>
      <c r="C56" s="23" t="inlineStr">
        <is>
          <t>Systems package: executive reporting close - installation</t>
        </is>
      </c>
      <c r="D56" s="23" t="inlineStr">
        <is>
          <t>UNSURE</t>
        </is>
      </c>
      <c r="E56" s="23" t="inlineStr">
        <is>
          <t>Maya Chen, Owner Project Controls</t>
        </is>
      </c>
      <c r="F56" s="23" t="inlineStr">
        <is>
          <t>Earlier professional decision, carried forward</t>
        </is>
      </c>
    </row>
    <row r="57" ht="34" customHeight="1">
      <c r="A57" s="23" t="inlineStr">
        <is>
          <t>Contractor Programme</t>
        </is>
      </c>
      <c r="B57" s="23" t="inlineStr">
        <is>
          <t>SCH-06-052</t>
        </is>
      </c>
      <c r="C57" s="23" t="inlineStr">
        <is>
          <t>Fleet package: permit coordination - inspection</t>
        </is>
      </c>
      <c r="D57" s="23" t="inlineStr">
        <is>
          <t>UNSURE</t>
        </is>
      </c>
      <c r="E57" s="23" t="inlineStr">
        <is>
          <t>Maya Chen, Owner Project Controls</t>
        </is>
      </c>
      <c r="F57" s="23" t="inlineStr">
        <is>
          <t>Earlier professional decision, carried forward</t>
        </is>
      </c>
    </row>
    <row r="58" ht="34" customHeight="1">
      <c r="A58" s="23" t="inlineStr">
        <is>
          <t>Contractor Programme</t>
        </is>
      </c>
      <c r="B58" s="23" t="inlineStr">
        <is>
          <t>SCH-06-053</t>
        </is>
      </c>
      <c r="C58" s="23" t="inlineStr">
        <is>
          <t>Program office: delivery risk workshop - turnover</t>
        </is>
      </c>
      <c r="D58" s="23" t="inlineStr">
        <is>
          <t>UNSURE</t>
        </is>
      </c>
      <c r="E58" s="23" t="inlineStr">
        <is>
          <t>Maya Chen, Owner Project Controls</t>
        </is>
      </c>
      <c r="F58" s="23" t="inlineStr">
        <is>
          <t>Earlier professional decision, carried forward</t>
        </is>
      </c>
    </row>
    <row r="59" ht="34" customHeight="1">
      <c r="A59" s="23" t="inlineStr">
        <is>
          <t>Contractor Programme</t>
        </is>
      </c>
      <c r="B59" s="23" t="inlineStr">
        <is>
          <t>SCH-06-054</t>
        </is>
      </c>
      <c r="C59" s="23" t="inlineStr">
        <is>
          <t>Civil package: monthly controls cut-off - release</t>
        </is>
      </c>
      <c r="D59" s="23" t="inlineStr">
        <is>
          <t>UNSURE</t>
        </is>
      </c>
      <c r="E59" s="23" t="inlineStr">
        <is>
          <t>Maya Chen, Owner Project Controls</t>
        </is>
      </c>
      <c r="F59" s="23" t="inlineStr">
        <is>
          <t>Earlier professional decision, carried forward</t>
        </is>
      </c>
    </row>
    <row r="60" ht="34" customHeight="1">
      <c r="A60" s="23" t="inlineStr">
        <is>
          <t>Contractor Programme</t>
        </is>
      </c>
      <c r="B60" s="23" t="inlineStr">
        <is>
          <t>SCH-06-055</t>
        </is>
      </c>
      <c r="C60" s="23" t="inlineStr">
        <is>
          <t>Stations package: stakeholder interface meeting - field start</t>
        </is>
      </c>
      <c r="D60" s="23" t="inlineStr">
        <is>
          <t>UNSURE</t>
        </is>
      </c>
      <c r="E60" s="23" t="inlineStr">
        <is>
          <t>Maya Chen, Owner Project Controls</t>
        </is>
      </c>
      <c r="F60" s="23" t="inlineStr">
        <is>
          <t>Earlier professional decision, carried forward</t>
        </is>
      </c>
    </row>
    <row r="61" ht="34" customHeight="1">
      <c r="A61" s="23" t="inlineStr">
        <is>
          <t>Contractor Programme</t>
        </is>
      </c>
      <c r="B61" s="23" t="inlineStr">
        <is>
          <t>SCH-06-056</t>
        </is>
      </c>
      <c r="C61" s="23" t="inlineStr">
        <is>
          <t>Systems package: baseline change control - installation</t>
        </is>
      </c>
      <c r="D61" s="23" t="inlineStr">
        <is>
          <t>UNSURE</t>
        </is>
      </c>
      <c r="E61" s="23" t="inlineStr">
        <is>
          <t>Maya Chen, Owner Project Controls</t>
        </is>
      </c>
      <c r="F61" s="23" t="inlineStr">
        <is>
          <t>Earlier professional decision, carried forward</t>
        </is>
      </c>
    </row>
    <row r="62" ht="34" customHeight="1">
      <c r="A62" s="23" t="inlineStr">
        <is>
          <t>Contractor Programme</t>
        </is>
      </c>
      <c r="B62" s="23" t="inlineStr">
        <is>
          <t>SCH-06-057</t>
        </is>
      </c>
      <c r="C62" s="23" t="inlineStr">
        <is>
          <t>Fleet package: commercial change review - inspection</t>
        </is>
      </c>
      <c r="D62" s="23" t="inlineStr">
        <is>
          <t>UNSURE</t>
        </is>
      </c>
      <c r="E62" s="23" t="inlineStr">
        <is>
          <t>Maya Chen, Owner Project Controls</t>
        </is>
      </c>
      <c r="F62" s="23" t="inlineStr">
        <is>
          <t>Earlier professional decision, carried forward</t>
        </is>
      </c>
    </row>
    <row r="63" ht="34" customHeight="1">
      <c r="A63" s="23" t="inlineStr">
        <is>
          <t>Contractor Programme</t>
        </is>
      </c>
      <c r="B63" s="23" t="inlineStr">
        <is>
          <t>SCH-06-058</t>
        </is>
      </c>
      <c r="C63" s="23" t="inlineStr">
        <is>
          <t>Program office: design-package integration review - turnover</t>
        </is>
      </c>
      <c r="D63" s="23" t="inlineStr">
        <is>
          <t>UNSURE</t>
        </is>
      </c>
      <c r="E63" s="23" t="inlineStr">
        <is>
          <t>Maya Chen, Owner Project Controls</t>
        </is>
      </c>
      <c r="F63" s="23" t="inlineStr">
        <is>
          <t>Earlier professional decision, carried forward</t>
        </is>
      </c>
    </row>
    <row r="64" ht="34" customHeight="1">
      <c r="A64" s="23" t="inlineStr">
        <is>
          <t>Contractor Programme</t>
        </is>
      </c>
      <c r="B64" s="23" t="inlineStr">
        <is>
          <t>SCH-06-059</t>
        </is>
      </c>
      <c r="C64" s="23" t="inlineStr">
        <is>
          <t>Civil package: executive reporting close - release</t>
        </is>
      </c>
      <c r="D64" s="23" t="inlineStr">
        <is>
          <t>UNSURE</t>
        </is>
      </c>
      <c r="E64" s="23" t="inlineStr">
        <is>
          <t>Maya Chen, Owner Project Controls</t>
        </is>
      </c>
      <c r="F64" s="23" t="inlineStr">
        <is>
          <t>Earlier professional decision, carried forward</t>
        </is>
      </c>
    </row>
    <row r="65" ht="34" customHeight="1">
      <c r="A65" s="23" t="inlineStr">
        <is>
          <t>Contractor Programme</t>
        </is>
      </c>
      <c r="B65" s="23" t="inlineStr">
        <is>
          <t>SCH-06-060</t>
        </is>
      </c>
      <c r="C65" s="23" t="inlineStr">
        <is>
          <t>Stations package: permit coordination - field start</t>
        </is>
      </c>
      <c r="D65" s="23" t="inlineStr">
        <is>
          <t>UNSURE</t>
        </is>
      </c>
      <c r="E65" s="23" t="inlineStr">
        <is>
          <t>Maya Chen, Owner Project Controls</t>
        </is>
      </c>
      <c r="F65" s="23" t="inlineStr">
        <is>
          <t>Earlier professional decision, carried forward</t>
        </is>
      </c>
    </row>
    <row r="66" ht="34" customHeight="1">
      <c r="A66" s="23" t="inlineStr">
        <is>
          <t>Contractor Programme</t>
        </is>
      </c>
      <c r="B66" s="23" t="inlineStr">
        <is>
          <t>SCH-06-061</t>
        </is>
      </c>
      <c r="C66" s="23" t="inlineStr">
        <is>
          <t>Systems package: delivery risk workshop - installation</t>
        </is>
      </c>
      <c r="D66" s="23" t="inlineStr">
        <is>
          <t>UNSURE</t>
        </is>
      </c>
      <c r="E66" s="23" t="inlineStr">
        <is>
          <t>Maya Chen, Owner Project Controls</t>
        </is>
      </c>
      <c r="F66" s="23" t="inlineStr">
        <is>
          <t>Earlier professional decision, carried forward</t>
        </is>
      </c>
    </row>
    <row r="67" ht="34" customHeight="1">
      <c r="A67" s="23" t="inlineStr">
        <is>
          <t>Contractor Programme</t>
        </is>
      </c>
      <c r="B67" s="23" t="inlineStr">
        <is>
          <t>SCH-06-062</t>
        </is>
      </c>
      <c r="C67" s="23" t="inlineStr">
        <is>
          <t>Fleet package: monthly controls cut-off - inspection</t>
        </is>
      </c>
      <c r="D67" s="23" t="inlineStr">
        <is>
          <t>UNSURE</t>
        </is>
      </c>
      <c r="E67" s="23" t="inlineStr">
        <is>
          <t>Maya Chen, Owner Project Controls</t>
        </is>
      </c>
      <c r="F67" s="23" t="inlineStr">
        <is>
          <t>Earlier professional decision, carried forward</t>
        </is>
      </c>
    </row>
    <row r="68" ht="34" customHeight="1">
      <c r="A68" s="23" t="inlineStr">
        <is>
          <t>Contractor Programme</t>
        </is>
      </c>
      <c r="B68" s="23" t="inlineStr">
        <is>
          <t>SCH-06-063</t>
        </is>
      </c>
      <c r="C68" s="23" t="inlineStr">
        <is>
          <t>Program office: stakeholder interface meeting - turnover</t>
        </is>
      </c>
      <c r="D68" s="23" t="inlineStr">
        <is>
          <t>UNSURE</t>
        </is>
      </c>
      <c r="E68" s="23" t="inlineStr">
        <is>
          <t>Maya Chen, Owner Project Controls</t>
        </is>
      </c>
      <c r="F68" s="23" t="inlineStr">
        <is>
          <t>Earlier professional decision, carried forward</t>
        </is>
      </c>
    </row>
    <row r="69" ht="34" customHeight="1">
      <c r="A69" s="23" t="inlineStr">
        <is>
          <t>Contractor Programme</t>
        </is>
      </c>
      <c r="B69" s="23" t="inlineStr">
        <is>
          <t>SCH-06-064</t>
        </is>
      </c>
      <c r="C69" s="23" t="inlineStr">
        <is>
          <t>Civil package: baseline change control - release</t>
        </is>
      </c>
      <c r="D69" s="23" t="inlineStr">
        <is>
          <t>UNSURE</t>
        </is>
      </c>
      <c r="E69" s="23" t="inlineStr">
        <is>
          <t>Maya Chen, Owner Project Controls</t>
        </is>
      </c>
      <c r="F69" s="23" t="inlineStr">
        <is>
          <t>Earlier professional decision, carried forward</t>
        </is>
      </c>
    </row>
    <row r="70" ht="34" customHeight="1">
      <c r="A70" s="23" t="inlineStr">
        <is>
          <t>Contractor Programme</t>
        </is>
      </c>
      <c r="B70" s="23" t="inlineStr">
        <is>
          <t>SCH-06-065</t>
        </is>
      </c>
      <c r="C70" s="23" t="inlineStr">
        <is>
          <t>Stations package: commercial change review - field start</t>
        </is>
      </c>
      <c r="D70" s="23" t="inlineStr">
        <is>
          <t>UNSURE</t>
        </is>
      </c>
      <c r="E70" s="23" t="inlineStr">
        <is>
          <t>Maya Chen, Owner Project Controls</t>
        </is>
      </c>
      <c r="F70" s="23" t="inlineStr">
        <is>
          <t>Earlier professional decision, carried forward</t>
        </is>
      </c>
    </row>
    <row r="71" ht="34" customHeight="1">
      <c r="A71" s="23" t="inlineStr">
        <is>
          <t>Contractor Programme</t>
        </is>
      </c>
      <c r="B71" s="23" t="inlineStr">
        <is>
          <t>SCH-06-066</t>
        </is>
      </c>
      <c r="C71" s="23" t="inlineStr">
        <is>
          <t>Systems package: design-package integration review - installation</t>
        </is>
      </c>
      <c r="D71" s="23" t="inlineStr">
        <is>
          <t>UNSURE</t>
        </is>
      </c>
      <c r="E71" s="23" t="inlineStr">
        <is>
          <t>Maya Chen, Owner Project Controls</t>
        </is>
      </c>
      <c r="F71" s="23" t="inlineStr">
        <is>
          <t>Earlier professional decision, carried forward</t>
        </is>
      </c>
    </row>
    <row r="72" ht="34" customHeight="1">
      <c r="A72" s="23" t="inlineStr">
        <is>
          <t>Contractor Programme</t>
        </is>
      </c>
      <c r="B72" s="23" t="inlineStr">
        <is>
          <t>SCH-06-067</t>
        </is>
      </c>
      <c r="C72" s="23" t="inlineStr">
        <is>
          <t>Fleet package: executive reporting close - inspection</t>
        </is>
      </c>
      <c r="D72" s="23" t="inlineStr">
        <is>
          <t>UNSURE</t>
        </is>
      </c>
      <c r="E72" s="23" t="inlineStr">
        <is>
          <t>Maya Chen, Owner Project Controls</t>
        </is>
      </c>
      <c r="F72" s="23" t="inlineStr">
        <is>
          <t>Earlier professional decision, carried forward</t>
        </is>
      </c>
    </row>
    <row r="73" ht="34" customHeight="1">
      <c r="A73" s="23" t="inlineStr">
        <is>
          <t>Contractor Programme</t>
        </is>
      </c>
      <c r="B73" s="23" t="inlineStr">
        <is>
          <t>SCH-06-068</t>
        </is>
      </c>
      <c r="C73" s="23" t="inlineStr">
        <is>
          <t>Program office: permit coordination - turnover</t>
        </is>
      </c>
      <c r="D73" s="23" t="inlineStr">
        <is>
          <t>UNSURE</t>
        </is>
      </c>
      <c r="E73" s="23" t="inlineStr">
        <is>
          <t>Maya Chen, Owner Project Controls</t>
        </is>
      </c>
      <c r="F73" s="23" t="inlineStr">
        <is>
          <t>Earlier professional decision, carried forward</t>
        </is>
      </c>
    </row>
    <row r="74" ht="34" customHeight="1">
      <c r="A74" s="23" t="inlineStr">
        <is>
          <t>Contractor Programme</t>
        </is>
      </c>
      <c r="B74" s="23" t="inlineStr">
        <is>
          <t>SCH-06-069</t>
        </is>
      </c>
      <c r="C74" s="23" t="inlineStr">
        <is>
          <t>Civil package: delivery risk workshop - release</t>
        </is>
      </c>
      <c r="D74" s="23" t="inlineStr">
        <is>
          <t>UNSURE</t>
        </is>
      </c>
      <c r="E74" s="23" t="inlineStr">
        <is>
          <t>Maya Chen, Owner Project Controls</t>
        </is>
      </c>
      <c r="F74" s="23" t="inlineStr">
        <is>
          <t>Earlier professional decision, carried forward</t>
        </is>
      </c>
    </row>
    <row r="75" ht="34" customHeight="1">
      <c r="A75" s="23" t="inlineStr">
        <is>
          <t>Contractor Programme</t>
        </is>
      </c>
      <c r="B75" s="23" t="inlineStr">
        <is>
          <t>SCH-06-070</t>
        </is>
      </c>
      <c r="C75" s="23" t="inlineStr">
        <is>
          <t>Stations package: monthly controls cut-off - field start</t>
        </is>
      </c>
      <c r="D75" s="23" t="inlineStr">
        <is>
          <t>UNSURE</t>
        </is>
      </c>
      <c r="E75" s="23" t="inlineStr">
        <is>
          <t>Maya Chen, Owner Project Controls</t>
        </is>
      </c>
      <c r="F75" s="23" t="inlineStr">
        <is>
          <t>Earlier professional decision, carried forward</t>
        </is>
      </c>
    </row>
    <row r="76" ht="34" customHeight="1">
      <c r="A76" s="23" t="inlineStr">
        <is>
          <t>Contractor Programme</t>
        </is>
      </c>
      <c r="B76" s="23" t="inlineStr">
        <is>
          <t>SCH-06-071</t>
        </is>
      </c>
      <c r="C76" s="23" t="inlineStr">
        <is>
          <t>Systems package: stakeholder interface meeting - installation</t>
        </is>
      </c>
      <c r="D76" s="23" t="inlineStr">
        <is>
          <t>UNSURE</t>
        </is>
      </c>
      <c r="E76" s="23" t="inlineStr">
        <is>
          <t>Maya Chen, Owner Project Controls</t>
        </is>
      </c>
      <c r="F76" s="23" t="inlineStr">
        <is>
          <t>Earlier professional decision, carried forward</t>
        </is>
      </c>
    </row>
    <row r="77" ht="34" customHeight="1">
      <c r="A77" s="23" t="inlineStr">
        <is>
          <t>Contractor Programme</t>
        </is>
      </c>
      <c r="B77" s="23" t="inlineStr">
        <is>
          <t>SCH-06-072</t>
        </is>
      </c>
      <c r="C77" s="23" t="inlineStr">
        <is>
          <t>Fleet package: baseline change control - inspection</t>
        </is>
      </c>
      <c r="D77" s="23" t="inlineStr">
        <is>
          <t>UNSURE</t>
        </is>
      </c>
      <c r="E77" s="23" t="inlineStr">
        <is>
          <t>Maya Chen, Owner Project Controls</t>
        </is>
      </c>
      <c r="F77" s="23" t="inlineStr">
        <is>
          <t>Earlier professional decision, carried forward</t>
        </is>
      </c>
    </row>
    <row r="78" ht="34" customHeight="1">
      <c r="A78" s="23" t="inlineStr">
        <is>
          <t>Contractor Programme</t>
        </is>
      </c>
      <c r="B78" s="23" t="inlineStr">
        <is>
          <t>SCH-06-073</t>
        </is>
      </c>
      <c r="C78" s="23" t="inlineStr">
        <is>
          <t>Program office: commercial change review - turnover</t>
        </is>
      </c>
      <c r="D78" s="23" t="inlineStr">
        <is>
          <t>UNSURE</t>
        </is>
      </c>
      <c r="E78" s="23" t="inlineStr">
        <is>
          <t>Maya Chen, Owner Project Controls</t>
        </is>
      </c>
      <c r="F78" s="23" t="inlineStr">
        <is>
          <t>Earlier professional decision, carried forward</t>
        </is>
      </c>
    </row>
    <row r="79" ht="34" customHeight="1">
      <c r="A79" s="23" t="inlineStr">
        <is>
          <t>Contractor Programme</t>
        </is>
      </c>
      <c r="B79" s="23" t="inlineStr">
        <is>
          <t>SCH-06-074</t>
        </is>
      </c>
      <c r="C79" s="23" t="inlineStr">
        <is>
          <t>Civil package: design-package integration review - release</t>
        </is>
      </c>
      <c r="D79" s="23" t="inlineStr">
        <is>
          <t>UNSURE</t>
        </is>
      </c>
      <c r="E79" s="23" t="inlineStr">
        <is>
          <t>Maya Chen, Owner Project Controls</t>
        </is>
      </c>
      <c r="F79" s="23" t="inlineStr">
        <is>
          <t>Earlier professional decision, carried forward</t>
        </is>
      </c>
    </row>
    <row r="80" ht="34" customHeight="1">
      <c r="A80" s="23" t="inlineStr">
        <is>
          <t>Contractor Programme</t>
        </is>
      </c>
      <c r="B80" s="23" t="inlineStr">
        <is>
          <t>SCH-06-075</t>
        </is>
      </c>
      <c r="C80" s="23" t="inlineStr">
        <is>
          <t>Stations package: executive reporting close - field start</t>
        </is>
      </c>
      <c r="D80" s="23" t="inlineStr">
        <is>
          <t>UNSURE</t>
        </is>
      </c>
      <c r="E80" s="23" t="inlineStr">
        <is>
          <t>Maya Chen, Owner Project Controls</t>
        </is>
      </c>
      <c r="F80" s="23" t="inlineStr">
        <is>
          <t>Earlier professional decision, carried forward</t>
        </is>
      </c>
    </row>
    <row r="81" ht="34" customHeight="1">
      <c r="A81" s="23" t="inlineStr">
        <is>
          <t>Contractor Programme</t>
        </is>
      </c>
      <c r="B81" s="23" t="inlineStr">
        <is>
          <t>SCH-06-076</t>
        </is>
      </c>
      <c r="C81" s="23" t="inlineStr">
        <is>
          <t>Systems package: permit coordination - installation</t>
        </is>
      </c>
      <c r="D81" s="23" t="inlineStr">
        <is>
          <t>UNSURE</t>
        </is>
      </c>
      <c r="E81" s="23" t="inlineStr">
        <is>
          <t>Maya Chen, Owner Project Controls</t>
        </is>
      </c>
      <c r="F81" s="23" t="inlineStr">
        <is>
          <t>Earlier professional decision, carried forward</t>
        </is>
      </c>
    </row>
    <row r="82" ht="34" customHeight="1">
      <c r="A82" s="23" t="inlineStr">
        <is>
          <t>Contractor Programme</t>
        </is>
      </c>
      <c r="B82" s="23" t="inlineStr">
        <is>
          <t>SCH-06-077</t>
        </is>
      </c>
      <c r="C82" s="23" t="inlineStr">
        <is>
          <t>Fleet package: delivery risk workshop - inspection</t>
        </is>
      </c>
      <c r="D82" s="23" t="inlineStr">
        <is>
          <t>UNSURE</t>
        </is>
      </c>
      <c r="E82" s="23" t="inlineStr">
        <is>
          <t>Maya Chen, Owner Project Controls</t>
        </is>
      </c>
      <c r="F82" s="23" t="inlineStr">
        <is>
          <t>Earlier professional decision, carried forward</t>
        </is>
      </c>
    </row>
    <row r="83" ht="34" customHeight="1">
      <c r="A83" s="23" t="inlineStr">
        <is>
          <t>Contractor Programme</t>
        </is>
      </c>
      <c r="B83" s="23" t="inlineStr">
        <is>
          <t>SCH-06-078</t>
        </is>
      </c>
      <c r="C83" s="23" t="inlineStr">
        <is>
          <t>Program office: monthly controls cut-off - turnover</t>
        </is>
      </c>
      <c r="D83" s="23" t="inlineStr">
        <is>
          <t>UNSURE</t>
        </is>
      </c>
      <c r="E83" s="23" t="inlineStr">
        <is>
          <t>Maya Chen, Owner Project Controls</t>
        </is>
      </c>
      <c r="F83" s="23" t="inlineStr">
        <is>
          <t>Earlier professional decision, carried forward</t>
        </is>
      </c>
    </row>
    <row r="84" ht="34" customHeight="1">
      <c r="A84" s="23" t="inlineStr">
        <is>
          <t>Contractor Programme</t>
        </is>
      </c>
      <c r="B84" s="23" t="inlineStr">
        <is>
          <t>SCH-06-079</t>
        </is>
      </c>
      <c r="C84" s="23" t="inlineStr">
        <is>
          <t>Civil package: stakeholder interface meeting - release</t>
        </is>
      </c>
      <c r="D84" s="23" t="inlineStr">
        <is>
          <t>UNSURE</t>
        </is>
      </c>
      <c r="E84" s="23" t="inlineStr">
        <is>
          <t>Maya Chen, Owner Project Controls</t>
        </is>
      </c>
      <c r="F84" s="23" t="inlineStr">
        <is>
          <t>Earlier professional decision, carried forward</t>
        </is>
      </c>
    </row>
    <row r="85" ht="34" customHeight="1">
      <c r="A85" s="23" t="inlineStr">
        <is>
          <t>Contractor Programme</t>
        </is>
      </c>
      <c r="B85" s="23" t="inlineStr">
        <is>
          <t>SCH-06-080</t>
        </is>
      </c>
      <c r="C85" s="23" t="inlineStr">
        <is>
          <t>Stations package: baseline change control - field start</t>
        </is>
      </c>
      <c r="D85" s="23" t="inlineStr">
        <is>
          <t>UNSURE</t>
        </is>
      </c>
      <c r="E85" s="23" t="inlineStr">
        <is>
          <t>Maya Chen, Owner Project Controls</t>
        </is>
      </c>
      <c r="F85" s="23" t="inlineStr">
        <is>
          <t>Earlier professional decision, carried forward</t>
        </is>
      </c>
    </row>
    <row r="86" ht="34" customHeight="1">
      <c r="A86" s="23" t="inlineStr">
        <is>
          <t>Contractor Programme</t>
        </is>
      </c>
      <c r="B86" s="23" t="inlineStr">
        <is>
          <t>SCH-06-081</t>
        </is>
      </c>
      <c r="C86" s="23" t="inlineStr">
        <is>
          <t>Systems package: commercial change review - installation</t>
        </is>
      </c>
      <c r="D86" s="23" t="inlineStr">
        <is>
          <t>UNSURE</t>
        </is>
      </c>
      <c r="E86" s="23" t="inlineStr">
        <is>
          <t>Maya Chen, Owner Project Controls</t>
        </is>
      </c>
      <c r="F86" s="23" t="inlineStr">
        <is>
          <t>Earlier professional decision, carried forward</t>
        </is>
      </c>
    </row>
    <row r="87" ht="34" customHeight="1">
      <c r="A87" s="23" t="inlineStr">
        <is>
          <t>Contractor Programme</t>
        </is>
      </c>
      <c r="B87" s="23" t="inlineStr">
        <is>
          <t>SCH-06-082</t>
        </is>
      </c>
      <c r="C87" s="23" t="inlineStr">
        <is>
          <t>Fleet package: design-package integration review - inspection</t>
        </is>
      </c>
      <c r="D87" s="23" t="inlineStr">
        <is>
          <t>UNSURE</t>
        </is>
      </c>
      <c r="E87" s="23" t="inlineStr">
        <is>
          <t>Maya Chen, Owner Project Controls</t>
        </is>
      </c>
      <c r="F87" s="23" t="inlineStr">
        <is>
          <t>Earlier professional decision, carried forward</t>
        </is>
      </c>
    </row>
    <row r="88" ht="34" customHeight="1">
      <c r="A88" s="23" t="inlineStr">
        <is>
          <t>Contractor Programme</t>
        </is>
      </c>
      <c r="B88" s="23" t="inlineStr">
        <is>
          <t>SCH-06-083</t>
        </is>
      </c>
      <c r="C88" s="23" t="inlineStr">
        <is>
          <t>Program office: executive reporting close - turnover</t>
        </is>
      </c>
      <c r="D88" s="23" t="inlineStr">
        <is>
          <t>UNSURE</t>
        </is>
      </c>
      <c r="E88" s="23" t="inlineStr">
        <is>
          <t>Maya Chen, Owner Project Controls</t>
        </is>
      </c>
      <c r="F88" s="23" t="inlineStr">
        <is>
          <t>Earlier professional decision, carried forward</t>
        </is>
      </c>
    </row>
    <row r="89" ht="34" customHeight="1">
      <c r="A89" s="23" t="inlineStr">
        <is>
          <t>Contractor Programme</t>
        </is>
      </c>
      <c r="B89" s="23" t="inlineStr">
        <is>
          <t>SCH-06-084</t>
        </is>
      </c>
      <c r="C89" s="23" t="inlineStr">
        <is>
          <t>Civil package: permit coordination - release</t>
        </is>
      </c>
      <c r="D89" s="23" t="inlineStr">
        <is>
          <t>UNSURE</t>
        </is>
      </c>
      <c r="E89" s="23" t="inlineStr">
        <is>
          <t>Maya Chen, Owner Project Controls</t>
        </is>
      </c>
      <c r="F89" s="23" t="inlineStr">
        <is>
          <t>Earlier professional decision, carried forward</t>
        </is>
      </c>
    </row>
    <row r="90" ht="34" customHeight="1">
      <c r="A90" s="23" t="inlineStr">
        <is>
          <t>Contractor Programme</t>
        </is>
      </c>
      <c r="B90" s="23" t="inlineStr">
        <is>
          <t>SCH-06-085</t>
        </is>
      </c>
      <c r="C90" s="23" t="inlineStr">
        <is>
          <t>Stations package: delivery risk workshop - field start</t>
        </is>
      </c>
      <c r="D90" s="23" t="inlineStr">
        <is>
          <t>UNSURE</t>
        </is>
      </c>
      <c r="E90" s="23" t="inlineStr">
        <is>
          <t>Maya Chen, Owner Project Controls</t>
        </is>
      </c>
      <c r="F90" s="23" t="inlineStr">
        <is>
          <t>Earlier professional decision, carried forward</t>
        </is>
      </c>
    </row>
    <row r="91" ht="34" customHeight="1">
      <c r="A91" s="23" t="inlineStr">
        <is>
          <t>Contractor Programme</t>
        </is>
      </c>
      <c r="B91" s="23" t="inlineStr">
        <is>
          <t>SCH-06-086</t>
        </is>
      </c>
      <c r="C91" s="23" t="inlineStr">
        <is>
          <t>Systems package: monthly controls cut-off - installation</t>
        </is>
      </c>
      <c r="D91" s="23" t="inlineStr">
        <is>
          <t>UNSURE</t>
        </is>
      </c>
      <c r="E91" s="23" t="inlineStr">
        <is>
          <t>Maya Chen, Owner Project Controls</t>
        </is>
      </c>
      <c r="F91" s="23" t="inlineStr">
        <is>
          <t>Earlier professional decision, carried forward</t>
        </is>
      </c>
    </row>
    <row r="92" ht="34" customHeight="1">
      <c r="A92" s="23" t="inlineStr">
        <is>
          <t>Contractor Programme</t>
        </is>
      </c>
      <c r="B92" s="23" t="inlineStr">
        <is>
          <t>SCH-06-087</t>
        </is>
      </c>
      <c r="C92" s="23" t="inlineStr">
        <is>
          <t>Fleet package: stakeholder interface meeting - inspection</t>
        </is>
      </c>
      <c r="D92" s="23" t="inlineStr">
        <is>
          <t>UNSURE</t>
        </is>
      </c>
      <c r="E92" s="23" t="inlineStr">
        <is>
          <t>Maya Chen, Owner Project Controls</t>
        </is>
      </c>
      <c r="F92" s="23" t="inlineStr">
        <is>
          <t>Earlier professional decision, carried forward</t>
        </is>
      </c>
    </row>
    <row r="93" ht="34" customHeight="1">
      <c r="A93" s="23" t="inlineStr">
        <is>
          <t>Contractor Programme</t>
        </is>
      </c>
      <c r="B93" s="23" t="inlineStr">
        <is>
          <t>SCH-06-088</t>
        </is>
      </c>
      <c r="C93" s="23" t="inlineStr">
        <is>
          <t>Program office: baseline change control - turnover</t>
        </is>
      </c>
      <c r="D93" s="23" t="inlineStr">
        <is>
          <t>UNSURE</t>
        </is>
      </c>
      <c r="E93" s="23" t="inlineStr">
        <is>
          <t>Maya Chen, Owner Project Controls</t>
        </is>
      </c>
      <c r="F93" s="23" t="inlineStr">
        <is>
          <t>Earlier professional decision, carried forward</t>
        </is>
      </c>
    </row>
    <row r="94" ht="34" customHeight="1">
      <c r="A94" s="23" t="inlineStr">
        <is>
          <t>Contractor Programme</t>
        </is>
      </c>
      <c r="B94" s="23" t="inlineStr">
        <is>
          <t>SCH-06-089</t>
        </is>
      </c>
      <c r="C94" s="23" t="inlineStr">
        <is>
          <t>Civil package: commercial change review - release</t>
        </is>
      </c>
      <c r="D94" s="23" t="inlineStr">
        <is>
          <t>UNSURE</t>
        </is>
      </c>
      <c r="E94" s="23" t="inlineStr">
        <is>
          <t>Maya Chen, Owner Project Controls</t>
        </is>
      </c>
      <c r="F94" s="23" t="inlineStr">
        <is>
          <t>Earlier professional decision, carried forward</t>
        </is>
      </c>
    </row>
    <row r="95" ht="34" customHeight="1">
      <c r="A95" s="23" t="inlineStr">
        <is>
          <t>Contractor Programme</t>
        </is>
      </c>
      <c r="B95" s="23" t="inlineStr">
        <is>
          <t>SCH-06-090</t>
        </is>
      </c>
      <c r="C95" s="23" t="inlineStr">
        <is>
          <t>Stations package: design-package integration review - field start</t>
        </is>
      </c>
      <c r="D95" s="23" t="inlineStr">
        <is>
          <t>UNSURE</t>
        </is>
      </c>
      <c r="E95" s="23" t="inlineStr">
        <is>
          <t>Maya Chen, Owner Project Controls</t>
        </is>
      </c>
      <c r="F95" s="23" t="inlineStr">
        <is>
          <t>Earlier professional decision, carried forward</t>
        </is>
      </c>
    </row>
    <row r="96" ht="34" customHeight="1">
      <c r="A96" s="23" t="inlineStr">
        <is>
          <t>Contractor Programme</t>
        </is>
      </c>
      <c r="B96" s="23" t="inlineStr">
        <is>
          <t>SCH-06-091</t>
        </is>
      </c>
      <c r="C96" s="23" t="inlineStr">
        <is>
          <t>Systems package: executive reporting close - installation</t>
        </is>
      </c>
      <c r="D96" s="23" t="inlineStr">
        <is>
          <t>UNSURE</t>
        </is>
      </c>
      <c r="E96" s="23" t="inlineStr">
        <is>
          <t>Maya Chen, Owner Project Controls</t>
        </is>
      </c>
      <c r="F96" s="23" t="inlineStr">
        <is>
          <t>Earlier professional decision, carried forward</t>
        </is>
      </c>
    </row>
    <row r="97" ht="34" customHeight="1">
      <c r="A97" s="23" t="inlineStr">
        <is>
          <t>Contractor Programme</t>
        </is>
      </c>
      <c r="B97" s="23" t="inlineStr">
        <is>
          <t>SCH-06-092</t>
        </is>
      </c>
      <c r="C97" s="23" t="inlineStr">
        <is>
          <t>Fleet package: permit coordination - inspection</t>
        </is>
      </c>
      <c r="D97" s="23" t="inlineStr">
        <is>
          <t>UNSURE</t>
        </is>
      </c>
      <c r="E97" s="23" t="inlineStr">
        <is>
          <t>Maya Chen, Owner Project Controls</t>
        </is>
      </c>
      <c r="F97" s="23" t="inlineStr">
        <is>
          <t>Earlier professional decision, carried forward</t>
        </is>
      </c>
    </row>
    <row r="98" ht="34" customHeight="1">
      <c r="A98" s="23" t="inlineStr">
        <is>
          <t>Contractor Programme</t>
        </is>
      </c>
      <c r="B98" s="23" t="inlineStr">
        <is>
          <t>SCH-06-093</t>
        </is>
      </c>
      <c r="C98" s="23" t="inlineStr">
        <is>
          <t>Program office: delivery risk workshop - turnover</t>
        </is>
      </c>
      <c r="D98" s="23" t="inlineStr">
        <is>
          <t>UNSURE</t>
        </is>
      </c>
      <c r="E98" s="23" t="inlineStr">
        <is>
          <t>Maya Chen, Owner Project Controls</t>
        </is>
      </c>
      <c r="F98" s="23" t="inlineStr">
        <is>
          <t>Earlier professional decision, carried forward</t>
        </is>
      </c>
    </row>
    <row r="99" ht="34" customHeight="1">
      <c r="A99" s="23" t="inlineStr">
        <is>
          <t>Contractor Programme</t>
        </is>
      </c>
      <c r="B99" s="23" t="inlineStr">
        <is>
          <t>SCH-06-094</t>
        </is>
      </c>
      <c r="C99" s="23" t="inlineStr">
        <is>
          <t>Civil package: monthly controls cut-off - release</t>
        </is>
      </c>
      <c r="D99" s="23" t="inlineStr">
        <is>
          <t>UNSURE</t>
        </is>
      </c>
      <c r="E99" s="23" t="inlineStr">
        <is>
          <t>Maya Chen, Owner Project Controls</t>
        </is>
      </c>
      <c r="F99" s="23" t="inlineStr">
        <is>
          <t>Earlier professional decision, carried forward</t>
        </is>
      </c>
    </row>
    <row r="100" ht="34" customHeight="1">
      <c r="A100" s="23" t="inlineStr">
        <is>
          <t>Contractor Programme</t>
        </is>
      </c>
      <c r="B100" s="23" t="inlineStr">
        <is>
          <t>SCH-06-095</t>
        </is>
      </c>
      <c r="C100" s="23" t="inlineStr">
        <is>
          <t>Stations package: stakeholder interface meeting - field start</t>
        </is>
      </c>
      <c r="D100" s="23" t="inlineStr">
        <is>
          <t>UNSURE</t>
        </is>
      </c>
      <c r="E100" s="23" t="inlineStr">
        <is>
          <t>Maya Chen, Owner Project Controls</t>
        </is>
      </c>
      <c r="F100" s="23" t="inlineStr">
        <is>
          <t>Earlier professional decision, carried forward</t>
        </is>
      </c>
    </row>
    <row r="101" ht="34" customHeight="1">
      <c r="A101" s="23" t="inlineStr">
        <is>
          <t>Contractor Programme</t>
        </is>
      </c>
      <c r="B101" s="23" t="inlineStr">
        <is>
          <t>SCH-06-096</t>
        </is>
      </c>
      <c r="C101" s="23" t="inlineStr">
        <is>
          <t>Systems package: baseline change control - installation</t>
        </is>
      </c>
      <c r="D101" s="23" t="inlineStr">
        <is>
          <t>UNSURE</t>
        </is>
      </c>
      <c r="E101" s="23" t="inlineStr">
        <is>
          <t>Maya Chen, Owner Project Controls</t>
        </is>
      </c>
      <c r="F101" s="23" t="inlineStr">
        <is>
          <t>Earlier professional decision, carried forward</t>
        </is>
      </c>
    </row>
    <row r="102" ht="34" customHeight="1">
      <c r="A102" s="23" t="inlineStr">
        <is>
          <t>Contractor Programme</t>
        </is>
      </c>
      <c r="B102" s="23" t="inlineStr">
        <is>
          <t>SCH-06-097</t>
        </is>
      </c>
      <c r="C102" s="23" t="inlineStr">
        <is>
          <t>Fleet package: commercial change review - inspection</t>
        </is>
      </c>
      <c r="D102" s="23" t="inlineStr">
        <is>
          <t>UNSURE</t>
        </is>
      </c>
      <c r="E102" s="23" t="inlineStr">
        <is>
          <t>Maya Chen, Owner Project Controls</t>
        </is>
      </c>
      <c r="F102" s="23" t="inlineStr">
        <is>
          <t>Earlier professional decision, carried forward</t>
        </is>
      </c>
    </row>
    <row r="103" ht="34" customHeight="1">
      <c r="A103" s="23" t="inlineStr">
        <is>
          <t>Contractor Programme</t>
        </is>
      </c>
      <c r="B103" s="23" t="inlineStr">
        <is>
          <t>SCH-06-098</t>
        </is>
      </c>
      <c r="C103" s="23" t="inlineStr">
        <is>
          <t>Program office: design-package integration review - turnover</t>
        </is>
      </c>
      <c r="D103" s="23" t="inlineStr">
        <is>
          <t>UNSURE</t>
        </is>
      </c>
      <c r="E103" s="23" t="inlineStr">
        <is>
          <t>Maya Chen, Owner Project Controls</t>
        </is>
      </c>
      <c r="F103" s="23" t="inlineStr">
        <is>
          <t>Earlier professional decision, carried forward</t>
        </is>
      </c>
    </row>
    <row r="104" ht="34" customHeight="1">
      <c r="A104" s="23" t="inlineStr">
        <is>
          <t>Contractor Programme</t>
        </is>
      </c>
      <c r="B104" s="23" t="inlineStr">
        <is>
          <t>SCH-06-099</t>
        </is>
      </c>
      <c r="C104" s="23" t="inlineStr">
        <is>
          <t>Civil package: executive reporting close - release</t>
        </is>
      </c>
      <c r="D104" s="23" t="inlineStr">
        <is>
          <t>UNSURE</t>
        </is>
      </c>
      <c r="E104" s="23" t="inlineStr">
        <is>
          <t>Maya Chen, Owner Project Controls</t>
        </is>
      </c>
      <c r="F104" s="23" t="inlineStr">
        <is>
          <t>Earlier professional decision, carried forward</t>
        </is>
      </c>
    </row>
    <row r="105" ht="34" customHeight="1">
      <c r="A105" s="23" t="inlineStr">
        <is>
          <t>Contractor Programme</t>
        </is>
      </c>
      <c r="B105" s="23" t="inlineStr">
        <is>
          <t>SCH-06-100</t>
        </is>
      </c>
      <c r="C105" s="23" t="inlineStr">
        <is>
          <t>Stations package: permit coordination - field start</t>
        </is>
      </c>
      <c r="D105" s="23" t="inlineStr">
        <is>
          <t>UNSURE</t>
        </is>
      </c>
      <c r="E105" s="23" t="inlineStr">
        <is>
          <t>Maya Chen, Owner Project Controls</t>
        </is>
      </c>
      <c r="F105" s="23" t="inlineStr">
        <is>
          <t>Earlier professional decision, carried forward</t>
        </is>
      </c>
    </row>
    <row r="106" ht="34" customHeight="1">
      <c r="A106" s="23" t="inlineStr">
        <is>
          <t>Contractor Programme</t>
        </is>
      </c>
      <c r="B106" s="23" t="inlineStr">
        <is>
          <t>SCH-06-101</t>
        </is>
      </c>
      <c r="C106" s="23" t="inlineStr">
        <is>
          <t>Systems package: delivery risk workshop - installation</t>
        </is>
      </c>
      <c r="D106" s="23" t="inlineStr">
        <is>
          <t>UNSURE</t>
        </is>
      </c>
      <c r="E106" s="23" t="inlineStr">
        <is>
          <t>Maya Chen, Owner Project Controls</t>
        </is>
      </c>
      <c r="F106" s="23" t="inlineStr">
        <is>
          <t>Earlier professional decision, carried forward</t>
        </is>
      </c>
    </row>
    <row r="107" ht="34" customHeight="1">
      <c r="A107" s="23" t="inlineStr">
        <is>
          <t>Contractor Programme</t>
        </is>
      </c>
      <c r="B107" s="23" t="inlineStr">
        <is>
          <t>SCH-06-102</t>
        </is>
      </c>
      <c r="C107" s="23" t="inlineStr">
        <is>
          <t>Fleet package: monthly controls cut-off - inspection</t>
        </is>
      </c>
      <c r="D107" s="23" t="inlineStr">
        <is>
          <t>UNSURE</t>
        </is>
      </c>
      <c r="E107" s="23" t="inlineStr">
        <is>
          <t>Maya Chen, Owner Project Controls</t>
        </is>
      </c>
      <c r="F107" s="23" t="inlineStr">
        <is>
          <t>Earlier professional decision, carried forward</t>
        </is>
      </c>
    </row>
    <row r="108" ht="34" customHeight="1">
      <c r="A108" s="23" t="inlineStr">
        <is>
          <t>Contractor Programme</t>
        </is>
      </c>
      <c r="B108" s="23" t="inlineStr">
        <is>
          <t>SCH-06-103</t>
        </is>
      </c>
      <c r="C108" s="23" t="inlineStr">
        <is>
          <t>Program office: stakeholder interface meeting - turnover</t>
        </is>
      </c>
      <c r="D108" s="23" t="inlineStr">
        <is>
          <t>UNSURE</t>
        </is>
      </c>
      <c r="E108" s="23" t="inlineStr">
        <is>
          <t>Maya Chen, Owner Project Controls</t>
        </is>
      </c>
      <c r="F108" s="23" t="inlineStr">
        <is>
          <t>Earlier professional decision, carried forward</t>
        </is>
      </c>
    </row>
    <row r="109" ht="34" customHeight="1">
      <c r="A109" s="23" t="inlineStr">
        <is>
          <t>Contractor Programme</t>
        </is>
      </c>
      <c r="B109" s="23" t="inlineStr">
        <is>
          <t>SCH-06-104</t>
        </is>
      </c>
      <c r="C109" s="23" t="inlineStr">
        <is>
          <t>Civil package: baseline change control - release</t>
        </is>
      </c>
      <c r="D109" s="23" t="inlineStr">
        <is>
          <t>UNSURE</t>
        </is>
      </c>
      <c r="E109" s="23" t="inlineStr">
        <is>
          <t>Maya Chen, Owner Project Controls</t>
        </is>
      </c>
      <c r="F109" s="23" t="inlineStr">
        <is>
          <t>Earlier professional decision, carried forward</t>
        </is>
      </c>
    </row>
    <row r="110" ht="34" customHeight="1">
      <c r="A110" s="23" t="inlineStr">
        <is>
          <t>Contractor Programme</t>
        </is>
      </c>
      <c r="B110" s="23" t="inlineStr">
        <is>
          <t>SCH-06-105</t>
        </is>
      </c>
      <c r="C110" s="23" t="inlineStr">
        <is>
          <t>Stations package: commercial change review - field start</t>
        </is>
      </c>
      <c r="D110" s="23" t="inlineStr">
        <is>
          <t>UNSURE</t>
        </is>
      </c>
      <c r="E110" s="23" t="inlineStr">
        <is>
          <t>Maya Chen, Owner Project Controls</t>
        </is>
      </c>
      <c r="F110" s="23" t="inlineStr">
        <is>
          <t>Earlier professional decision, carried forward</t>
        </is>
      </c>
    </row>
    <row r="111" ht="34" customHeight="1">
      <c r="A111" s="23" t="inlineStr">
        <is>
          <t>Contractor Programme</t>
        </is>
      </c>
      <c r="B111" s="23" t="inlineStr">
        <is>
          <t>SCH-06-106</t>
        </is>
      </c>
      <c r="C111" s="23" t="inlineStr">
        <is>
          <t>Systems package: design-package integration review - installation</t>
        </is>
      </c>
      <c r="D111" s="23" t="inlineStr">
        <is>
          <t>UNSURE</t>
        </is>
      </c>
      <c r="E111" s="23" t="inlineStr">
        <is>
          <t>Maya Chen, Owner Project Controls</t>
        </is>
      </c>
      <c r="F111" s="23" t="inlineStr">
        <is>
          <t>Earlier professional decision, carried forward</t>
        </is>
      </c>
    </row>
    <row r="112" ht="34" customHeight="1">
      <c r="A112" s="23" t="inlineStr">
        <is>
          <t>Contractor Programme</t>
        </is>
      </c>
      <c r="B112" s="23" t="inlineStr">
        <is>
          <t>SCH-06-107</t>
        </is>
      </c>
      <c r="C112" s="23" t="inlineStr">
        <is>
          <t>Fleet package: executive reporting close - inspection</t>
        </is>
      </c>
      <c r="D112" s="23" t="inlineStr">
        <is>
          <t>UNSURE</t>
        </is>
      </c>
      <c r="E112" s="23" t="inlineStr">
        <is>
          <t>Maya Chen, Owner Project Controls</t>
        </is>
      </c>
      <c r="F112" s="23" t="inlineStr">
        <is>
          <t>Earlier professional decision, carried forward</t>
        </is>
      </c>
    </row>
    <row r="113" ht="34" customHeight="1">
      <c r="A113" s="23" t="inlineStr">
        <is>
          <t>Contractor Programme</t>
        </is>
      </c>
      <c r="B113" s="23" t="inlineStr">
        <is>
          <t>SCH-06-108</t>
        </is>
      </c>
      <c r="C113" s="23" t="inlineStr">
        <is>
          <t>Program office: permit coordination - turnover</t>
        </is>
      </c>
      <c r="D113" s="23" t="inlineStr">
        <is>
          <t>UNSURE</t>
        </is>
      </c>
      <c r="E113" s="23" t="inlineStr">
        <is>
          <t>Maya Chen, Owner Project Controls</t>
        </is>
      </c>
      <c r="F113" s="23" t="inlineStr">
        <is>
          <t>Earlier professional decision, carried forward</t>
        </is>
      </c>
    </row>
    <row r="114" ht="34" customHeight="1">
      <c r="A114" s="23" t="inlineStr">
        <is>
          <t>Contractor Programme</t>
        </is>
      </c>
      <c r="B114" s="23" t="inlineStr">
        <is>
          <t>SCH-06-109</t>
        </is>
      </c>
      <c r="C114" s="23" t="inlineStr">
        <is>
          <t>Civil package: delivery risk workshop - release</t>
        </is>
      </c>
      <c r="D114" s="23" t="inlineStr">
        <is>
          <t>UNSURE</t>
        </is>
      </c>
      <c r="E114" s="23" t="inlineStr">
        <is>
          <t>Maya Chen, Owner Project Controls</t>
        </is>
      </c>
      <c r="F114" s="23" t="inlineStr">
        <is>
          <t>Earlier professional decision, carried forward</t>
        </is>
      </c>
    </row>
    <row r="115" ht="34" customHeight="1">
      <c r="A115" s="23" t="inlineStr">
        <is>
          <t>Contractor Programme</t>
        </is>
      </c>
      <c r="B115" s="23" t="inlineStr">
        <is>
          <t>SCH-06-110</t>
        </is>
      </c>
      <c r="C115" s="23" t="inlineStr">
        <is>
          <t>Stations package: monthly controls cut-off - field start</t>
        </is>
      </c>
      <c r="D115" s="23" t="inlineStr">
        <is>
          <t>UNSURE</t>
        </is>
      </c>
      <c r="E115" s="23" t="inlineStr">
        <is>
          <t>Maya Chen, Owner Project Controls</t>
        </is>
      </c>
      <c r="F115" s="23" t="inlineStr">
        <is>
          <t>Earlier professional decision, carried forward</t>
        </is>
      </c>
    </row>
    <row r="116" ht="34" customHeight="1">
      <c r="A116" s="23" t="inlineStr">
        <is>
          <t>Contractor Programme</t>
        </is>
      </c>
      <c r="B116" s="23" t="inlineStr">
        <is>
          <t>SCH-06-111</t>
        </is>
      </c>
      <c r="C116" s="23" t="inlineStr">
        <is>
          <t>Systems package: stakeholder interface meeting - installation</t>
        </is>
      </c>
      <c r="D116" s="23" t="inlineStr">
        <is>
          <t>UNSURE</t>
        </is>
      </c>
      <c r="E116" s="23" t="inlineStr">
        <is>
          <t>Maya Chen, Owner Project Controls</t>
        </is>
      </c>
      <c r="F116" s="23" t="inlineStr">
        <is>
          <t>Earlier professional decision, carried forward</t>
        </is>
      </c>
    </row>
    <row r="117" ht="34" customHeight="1">
      <c r="A117" s="23" t="inlineStr">
        <is>
          <t>Contractor Programme</t>
        </is>
      </c>
      <c r="B117" s="23" t="inlineStr">
        <is>
          <t>SCH-06-112</t>
        </is>
      </c>
      <c r="C117" s="23" t="inlineStr">
        <is>
          <t>Fleet package: baseline change control - inspection</t>
        </is>
      </c>
      <c r="D117" s="23" t="inlineStr">
        <is>
          <t>UNSURE</t>
        </is>
      </c>
      <c r="E117" s="23" t="inlineStr">
        <is>
          <t>Maya Chen, Owner Project Controls</t>
        </is>
      </c>
      <c r="F117" s="23" t="inlineStr">
        <is>
          <t>Earlier professional decision, carried forward</t>
        </is>
      </c>
    </row>
    <row r="118" ht="34" customHeight="1">
      <c r="A118" s="23" t="inlineStr">
        <is>
          <t>Contractor Programme</t>
        </is>
      </c>
      <c r="B118" s="23" t="inlineStr">
        <is>
          <t>SCH-06-113</t>
        </is>
      </c>
      <c r="C118" s="23" t="inlineStr">
        <is>
          <t>Program office: commercial change review - turnover</t>
        </is>
      </c>
      <c r="D118" s="23" t="inlineStr">
        <is>
          <t>UNSURE</t>
        </is>
      </c>
      <c r="E118" s="23" t="inlineStr">
        <is>
          <t>Maya Chen, Owner Project Controls</t>
        </is>
      </c>
      <c r="F118" s="23" t="inlineStr">
        <is>
          <t>Earlier professional decision, carried forward</t>
        </is>
      </c>
    </row>
    <row r="119" ht="34" customHeight="1">
      <c r="A119" s="23" t="inlineStr">
        <is>
          <t>Contractor Programme</t>
        </is>
      </c>
      <c r="B119" s="23" t="inlineStr">
        <is>
          <t>SCH-06-114</t>
        </is>
      </c>
      <c r="C119" s="23" t="inlineStr">
        <is>
          <t>Civil package: design-package integration review - release</t>
        </is>
      </c>
      <c r="D119" s="23" t="inlineStr">
        <is>
          <t>UNSURE</t>
        </is>
      </c>
      <c r="E119" s="23" t="inlineStr">
        <is>
          <t>Maya Chen, Owner Project Controls</t>
        </is>
      </c>
      <c r="F119" s="23" t="inlineStr">
        <is>
          <t>Earlier professional decision, carried forward</t>
        </is>
      </c>
    </row>
    <row r="120" ht="34" customHeight="1">
      <c r="A120" s="23" t="inlineStr">
        <is>
          <t>Contractor Programme</t>
        </is>
      </c>
      <c r="B120" s="23" t="inlineStr">
        <is>
          <t>SCH-06-115</t>
        </is>
      </c>
      <c r="C120" s="23" t="inlineStr">
        <is>
          <t>Stations package: executive reporting close - field start</t>
        </is>
      </c>
      <c r="D120" s="23" t="inlineStr">
        <is>
          <t>UNSURE</t>
        </is>
      </c>
      <c r="E120" s="23" t="inlineStr">
        <is>
          <t>Maya Chen, Owner Project Controls</t>
        </is>
      </c>
      <c r="F120" s="23" t="inlineStr">
        <is>
          <t>Earlier professional decision, carried forward</t>
        </is>
      </c>
    </row>
    <row r="121" ht="34" customHeight="1">
      <c r="A121" s="23" t="inlineStr">
        <is>
          <t>Contractor Programme</t>
        </is>
      </c>
      <c r="B121" s="23" t="inlineStr">
        <is>
          <t>SCH-06-116</t>
        </is>
      </c>
      <c r="C121" s="23" t="inlineStr">
        <is>
          <t>Systems package: permit coordination - installation</t>
        </is>
      </c>
      <c r="D121" s="23" t="inlineStr">
        <is>
          <t>UNSURE</t>
        </is>
      </c>
      <c r="E121" s="23" t="inlineStr">
        <is>
          <t>Maya Chen, Owner Project Controls</t>
        </is>
      </c>
      <c r="F121" s="23" t="inlineStr">
        <is>
          <t>Earlier professional decision, carried forward</t>
        </is>
      </c>
    </row>
    <row r="122" ht="34" customHeight="1">
      <c r="A122" s="23" t="inlineStr">
        <is>
          <t>Contractor Programme</t>
        </is>
      </c>
      <c r="B122" s="23" t="inlineStr">
        <is>
          <t>SCH-06-117</t>
        </is>
      </c>
      <c r="C122" s="23" t="inlineStr">
        <is>
          <t>Fleet package: delivery risk workshop - inspection</t>
        </is>
      </c>
      <c r="D122" s="23" t="inlineStr">
        <is>
          <t>UNSURE</t>
        </is>
      </c>
      <c r="E122" s="23" t="inlineStr">
        <is>
          <t>Maya Chen, Owner Project Controls</t>
        </is>
      </c>
      <c r="F122" s="23" t="inlineStr">
        <is>
          <t>Earlier professional decision, carried forward</t>
        </is>
      </c>
    </row>
    <row r="123" ht="34" customHeight="1">
      <c r="A123" s="23" t="inlineStr">
        <is>
          <t>Contractor Programme</t>
        </is>
      </c>
      <c r="B123" s="23" t="inlineStr">
        <is>
          <t>SCH-06-118</t>
        </is>
      </c>
      <c r="C123" s="23" t="inlineStr">
        <is>
          <t>Program office: monthly controls cut-off - turnover</t>
        </is>
      </c>
      <c r="D123" s="23" t="inlineStr">
        <is>
          <t>UNSURE</t>
        </is>
      </c>
      <c r="E123" s="23" t="inlineStr">
        <is>
          <t>Maya Chen, Owner Project Controls</t>
        </is>
      </c>
      <c r="F123" s="23" t="inlineStr">
        <is>
          <t>Earlier professional decision, carried forward</t>
        </is>
      </c>
    </row>
    <row r="124" ht="34" customHeight="1">
      <c r="A124" s="23" t="inlineStr">
        <is>
          <t>Contractor Programme</t>
        </is>
      </c>
      <c r="B124" s="23" t="inlineStr">
        <is>
          <t>SCH-06-119</t>
        </is>
      </c>
      <c r="C124" s="23" t="inlineStr">
        <is>
          <t>Civil package: stakeholder interface meeting - release</t>
        </is>
      </c>
      <c r="D124" s="23" t="inlineStr">
        <is>
          <t>UNSURE</t>
        </is>
      </c>
      <c r="E124" s="23" t="inlineStr">
        <is>
          <t>Maya Chen, Owner Project Controls</t>
        </is>
      </c>
      <c r="F124" s="23" t="inlineStr">
        <is>
          <t>Earlier professional decision, carried forward</t>
        </is>
      </c>
    </row>
    <row r="125" ht="34" customHeight="1">
      <c r="A125" s="23" t="inlineStr">
        <is>
          <t>Contractor Programme</t>
        </is>
      </c>
      <c r="B125" s="23" t="inlineStr">
        <is>
          <t>SCH-06-120</t>
        </is>
      </c>
      <c r="C125" s="23" t="inlineStr">
        <is>
          <t>Stations package: baseline change control - field start</t>
        </is>
      </c>
      <c r="D125" s="23" t="inlineStr">
        <is>
          <t>UNSURE</t>
        </is>
      </c>
      <c r="E125" s="23" t="inlineStr">
        <is>
          <t>Maya Chen, Owner Project Controls</t>
        </is>
      </c>
      <c r="F125" s="23" t="inlineStr">
        <is>
          <t>Earlier professional decision, carried forward</t>
        </is>
      </c>
    </row>
    <row r="126" ht="34" customHeight="1">
      <c r="A126" s="23" t="inlineStr">
        <is>
          <t>Contractor Programme</t>
        </is>
      </c>
      <c r="B126" s="23" t="inlineStr">
        <is>
          <t>SCH-06-121</t>
        </is>
      </c>
      <c r="C126" s="23" t="inlineStr">
        <is>
          <t>Systems package: commercial change review - installation</t>
        </is>
      </c>
      <c r="D126" s="23" t="inlineStr">
        <is>
          <t>UNSURE</t>
        </is>
      </c>
      <c r="E126" s="23" t="inlineStr">
        <is>
          <t>Maya Chen, Owner Project Controls</t>
        </is>
      </c>
      <c r="F126" s="23" t="inlineStr">
        <is>
          <t>Earlier professional decision, carried forward</t>
        </is>
      </c>
    </row>
    <row r="127" ht="34" customHeight="1">
      <c r="A127" s="23" t="inlineStr">
        <is>
          <t>Contractor Programme</t>
        </is>
      </c>
      <c r="B127" s="23" t="inlineStr">
        <is>
          <t>SCH-06-122</t>
        </is>
      </c>
      <c r="C127" s="23" t="inlineStr">
        <is>
          <t>Fleet package: design-package integration review - inspection</t>
        </is>
      </c>
      <c r="D127" s="23" t="inlineStr">
        <is>
          <t>UNSURE</t>
        </is>
      </c>
      <c r="E127" s="23" t="inlineStr">
        <is>
          <t>Maya Chen, Owner Project Controls</t>
        </is>
      </c>
      <c r="F127" s="23" t="inlineStr">
        <is>
          <t>Earlier professional decision, carried forward</t>
        </is>
      </c>
    </row>
    <row r="128" ht="34" customHeight="1">
      <c r="A128" s="23" t="inlineStr">
        <is>
          <t>Contractor Programme</t>
        </is>
      </c>
      <c r="B128" s="23" t="inlineStr">
        <is>
          <t>SCH-06-123</t>
        </is>
      </c>
      <c r="C128" s="23" t="inlineStr">
        <is>
          <t>Program office: executive reporting close - turnover</t>
        </is>
      </c>
      <c r="D128" s="23" t="inlineStr">
        <is>
          <t>UNSURE</t>
        </is>
      </c>
      <c r="E128" s="23" t="inlineStr">
        <is>
          <t>Maya Chen, Owner Project Controls</t>
        </is>
      </c>
      <c r="F128" s="23" t="inlineStr">
        <is>
          <t>Earlier professional decision, carried forward</t>
        </is>
      </c>
    </row>
    <row r="129" ht="34" customHeight="1">
      <c r="A129" s="23" t="inlineStr">
        <is>
          <t>Contractor Programme</t>
        </is>
      </c>
      <c r="B129" s="23" t="inlineStr">
        <is>
          <t>SCH-06-124</t>
        </is>
      </c>
      <c r="C129" s="23" t="inlineStr">
        <is>
          <t>Civil package: permit coordination - release</t>
        </is>
      </c>
      <c r="D129" s="23" t="inlineStr">
        <is>
          <t>UNSURE</t>
        </is>
      </c>
      <c r="E129" s="23" t="inlineStr">
        <is>
          <t>Maya Chen, Owner Project Controls</t>
        </is>
      </c>
      <c r="F129" s="23" t="inlineStr">
        <is>
          <t>Earlier professional decision, carried forward</t>
        </is>
      </c>
    </row>
    <row r="130" ht="34" customHeight="1">
      <c r="A130" s="23" t="inlineStr">
        <is>
          <t>Contractor Programme</t>
        </is>
      </c>
      <c r="B130" s="23" t="inlineStr">
        <is>
          <t>SCH-06-125</t>
        </is>
      </c>
      <c r="C130" s="23" t="inlineStr">
        <is>
          <t>Stations package: delivery risk workshop - field start</t>
        </is>
      </c>
      <c r="D130" s="23" t="inlineStr">
        <is>
          <t>UNSURE</t>
        </is>
      </c>
      <c r="E130" s="23" t="inlineStr">
        <is>
          <t>Maya Chen, Owner Project Controls</t>
        </is>
      </c>
      <c r="F130" s="23" t="inlineStr">
        <is>
          <t>Earlier professional decision, carried forward</t>
        </is>
      </c>
    </row>
    <row r="131" ht="34" customHeight="1">
      <c r="A131" s="23" t="inlineStr">
        <is>
          <t>Contractor Programme</t>
        </is>
      </c>
      <c r="B131" s="23" t="inlineStr">
        <is>
          <t>SCH-06-126</t>
        </is>
      </c>
      <c r="C131" s="23" t="inlineStr">
        <is>
          <t>Systems package: monthly controls cut-off - installation</t>
        </is>
      </c>
      <c r="D131" s="23" t="inlineStr">
        <is>
          <t>UNSURE</t>
        </is>
      </c>
      <c r="E131" s="23" t="inlineStr">
        <is>
          <t>Maya Chen, Owner Project Controls</t>
        </is>
      </c>
      <c r="F131" s="23" t="inlineStr">
        <is>
          <t>Earlier professional decision, carried forward</t>
        </is>
      </c>
    </row>
    <row r="132" ht="34" customHeight="1">
      <c r="A132" s="23" t="inlineStr">
        <is>
          <t>Contractor Programme</t>
        </is>
      </c>
      <c r="B132" s="23" t="inlineStr">
        <is>
          <t>SCH-06-127</t>
        </is>
      </c>
      <c r="C132" s="23" t="inlineStr">
        <is>
          <t>Fleet package: stakeholder interface meeting - inspection</t>
        </is>
      </c>
      <c r="D132" s="23" t="inlineStr">
        <is>
          <t>UNSURE</t>
        </is>
      </c>
      <c r="E132" s="23" t="inlineStr">
        <is>
          <t>Maya Chen, Owner Project Controls</t>
        </is>
      </c>
      <c r="F132" s="23" t="inlineStr">
        <is>
          <t>Earlier professional decision, carried forward</t>
        </is>
      </c>
    </row>
    <row r="133" ht="34" customHeight="1">
      <c r="A133" s="23" t="inlineStr">
        <is>
          <t>Contractor Programme</t>
        </is>
      </c>
      <c r="B133" s="23" t="inlineStr">
        <is>
          <t>SCH-06-128</t>
        </is>
      </c>
      <c r="C133" s="23" t="inlineStr">
        <is>
          <t>Program office: baseline change control - turnover</t>
        </is>
      </c>
      <c r="D133" s="23" t="inlineStr">
        <is>
          <t>UNSURE</t>
        </is>
      </c>
      <c r="E133" s="23" t="inlineStr">
        <is>
          <t>Maya Chen, Owner Project Controls</t>
        </is>
      </c>
      <c r="F133" s="23" t="inlineStr">
        <is>
          <t>Earlier professional decision, carried forward</t>
        </is>
      </c>
    </row>
    <row r="134" ht="34" customHeight="1">
      <c r="A134" s="23" t="inlineStr">
        <is>
          <t>Contractor Programme</t>
        </is>
      </c>
      <c r="B134" s="23" t="inlineStr">
        <is>
          <t>SCH-06-129</t>
        </is>
      </c>
      <c r="C134" s="23" t="inlineStr">
        <is>
          <t>Civil package: commercial change review - release</t>
        </is>
      </c>
      <c r="D134" s="23" t="inlineStr">
        <is>
          <t>UNSURE</t>
        </is>
      </c>
      <c r="E134" s="23" t="inlineStr">
        <is>
          <t>Maya Chen, Owner Project Controls</t>
        </is>
      </c>
      <c r="F134" s="23" t="inlineStr">
        <is>
          <t>Earlier professional decision, carried forward</t>
        </is>
      </c>
    </row>
    <row r="135" ht="34" customHeight="1">
      <c r="A135" s="23" t="inlineStr">
        <is>
          <t>Contractor Programme</t>
        </is>
      </c>
      <c r="B135" s="23" t="inlineStr">
        <is>
          <t>SCH-06-130</t>
        </is>
      </c>
      <c r="C135" s="23" t="inlineStr">
        <is>
          <t>Stations package: design-package integration review - field start</t>
        </is>
      </c>
      <c r="D135" s="23" t="inlineStr">
        <is>
          <t>UNSURE</t>
        </is>
      </c>
      <c r="E135" s="23" t="inlineStr">
        <is>
          <t>Maya Chen, Owner Project Controls</t>
        </is>
      </c>
      <c r="F135" s="23" t="inlineStr">
        <is>
          <t>Earlier professional decision, carried forward</t>
        </is>
      </c>
    </row>
    <row r="136" ht="34" customHeight="1">
      <c r="A136" s="23" t="inlineStr">
        <is>
          <t>Contractor Programme</t>
        </is>
      </c>
      <c r="B136" s="23" t="inlineStr">
        <is>
          <t>SCH-06-131</t>
        </is>
      </c>
      <c r="C136" s="23" t="inlineStr">
        <is>
          <t>Systems package: executive reporting close - installation</t>
        </is>
      </c>
      <c r="D136" s="23" t="inlineStr">
        <is>
          <t>UNSURE</t>
        </is>
      </c>
      <c r="E136" s="23" t="inlineStr">
        <is>
          <t>Maya Chen, Owner Project Controls</t>
        </is>
      </c>
      <c r="F136" s="23" t="inlineStr">
        <is>
          <t>Earlier professional decision, carried forward</t>
        </is>
      </c>
    </row>
    <row r="137" ht="34" customHeight="1">
      <c r="A137" s="23" t="inlineStr">
        <is>
          <t>Contractor Programme</t>
        </is>
      </c>
      <c r="B137" s="23" t="inlineStr">
        <is>
          <t>SCH-06-132</t>
        </is>
      </c>
      <c r="C137" s="23" t="inlineStr">
        <is>
          <t>Fleet package: permit coordination - inspection</t>
        </is>
      </c>
      <c r="D137" s="23" t="inlineStr">
        <is>
          <t>UNSURE</t>
        </is>
      </c>
      <c r="E137" s="23" t="inlineStr">
        <is>
          <t>Maya Chen, Owner Project Controls</t>
        </is>
      </c>
      <c r="F137" s="23" t="inlineStr">
        <is>
          <t>Earlier professional decision, carried forward</t>
        </is>
      </c>
    </row>
    <row r="138" ht="34" customHeight="1">
      <c r="A138" s="23" t="inlineStr">
        <is>
          <t>Contractor Programme</t>
        </is>
      </c>
      <c r="B138" s="23" t="inlineStr">
        <is>
          <t>SCH-06-133</t>
        </is>
      </c>
      <c r="C138" s="23" t="inlineStr">
        <is>
          <t>Program office: delivery risk workshop - turnover</t>
        </is>
      </c>
      <c r="D138" s="23" t="inlineStr">
        <is>
          <t>UNSURE</t>
        </is>
      </c>
      <c r="E138" s="23" t="inlineStr">
        <is>
          <t>Maya Chen, Owner Project Controls</t>
        </is>
      </c>
      <c r="F138" s="23" t="inlineStr">
        <is>
          <t>Earlier professional decision, carried forward</t>
        </is>
      </c>
    </row>
    <row r="139" ht="34" customHeight="1">
      <c r="A139" s="23" t="inlineStr">
        <is>
          <t>Contractor Programme</t>
        </is>
      </c>
      <c r="B139" s="23" t="inlineStr">
        <is>
          <t>SCH-06-134</t>
        </is>
      </c>
      <c r="C139" s="23" t="inlineStr">
        <is>
          <t>Civil package: monthly controls cut-off - release</t>
        </is>
      </c>
      <c r="D139" s="23" t="inlineStr">
        <is>
          <t>UNSURE</t>
        </is>
      </c>
      <c r="E139" s="23" t="inlineStr">
        <is>
          <t>Maya Chen, Owner Project Controls</t>
        </is>
      </c>
      <c r="F139" s="23" t="inlineStr">
        <is>
          <t>Earlier professional decision, carried forward</t>
        </is>
      </c>
    </row>
    <row r="140" ht="34" customHeight="1">
      <c r="A140" s="23" t="inlineStr">
        <is>
          <t>Contractor Programme</t>
        </is>
      </c>
      <c r="B140" s="23" t="inlineStr">
        <is>
          <t>SCH-06-135</t>
        </is>
      </c>
      <c r="C140" s="23" t="inlineStr">
        <is>
          <t>Stations package: stakeholder interface meeting - field start</t>
        </is>
      </c>
      <c r="D140" s="23" t="inlineStr">
        <is>
          <t>UNSURE</t>
        </is>
      </c>
      <c r="E140" s="23" t="inlineStr">
        <is>
          <t>Maya Chen, Owner Project Controls</t>
        </is>
      </c>
      <c r="F140" s="23" t="inlineStr">
        <is>
          <t>Earlier professional decision, carried forward</t>
        </is>
      </c>
    </row>
    <row r="141" ht="34" customHeight="1">
      <c r="A141" s="23" t="inlineStr">
        <is>
          <t>Contractor Programme</t>
        </is>
      </c>
      <c r="B141" s="23" t="inlineStr">
        <is>
          <t>SCH-06-136</t>
        </is>
      </c>
      <c r="C141" s="23" t="inlineStr">
        <is>
          <t>Systems package: baseline change control - installation</t>
        </is>
      </c>
      <c r="D141" s="23" t="inlineStr">
        <is>
          <t>UNSURE</t>
        </is>
      </c>
      <c r="E141" s="23" t="inlineStr">
        <is>
          <t>Maya Chen, Owner Project Controls</t>
        </is>
      </c>
      <c r="F141" s="23" t="inlineStr">
        <is>
          <t>Earlier professional decision, carried forward</t>
        </is>
      </c>
    </row>
    <row r="142" ht="34" customHeight="1">
      <c r="A142" s="23" t="inlineStr">
        <is>
          <t>Contractor Programme</t>
        </is>
      </c>
      <c r="B142" s="23" t="inlineStr">
        <is>
          <t>SCH-06-137</t>
        </is>
      </c>
      <c r="C142" s="23" t="inlineStr">
        <is>
          <t>Fleet package: commercial change review - inspection</t>
        </is>
      </c>
      <c r="D142" s="23" t="inlineStr">
        <is>
          <t>UNSURE</t>
        </is>
      </c>
      <c r="E142" s="23" t="inlineStr">
        <is>
          <t>Maya Chen, Owner Project Controls</t>
        </is>
      </c>
      <c r="F142" s="23" t="inlineStr">
        <is>
          <t>Earlier professional decision, carried forward</t>
        </is>
      </c>
    </row>
    <row r="143" ht="34" customHeight="1">
      <c r="A143" s="23" t="inlineStr">
        <is>
          <t>Contractor Programme</t>
        </is>
      </c>
      <c r="B143" s="23" t="inlineStr">
        <is>
          <t>SCH-06-138</t>
        </is>
      </c>
      <c r="C143" s="23" t="inlineStr">
        <is>
          <t>Program office: design-package integration review - turnover</t>
        </is>
      </c>
      <c r="D143" s="23" t="inlineStr">
        <is>
          <t>UNSURE</t>
        </is>
      </c>
      <c r="E143" s="23" t="inlineStr">
        <is>
          <t>Maya Chen, Owner Project Controls</t>
        </is>
      </c>
      <c r="F143" s="23" t="inlineStr">
        <is>
          <t>Earlier professional decision, carried forward</t>
        </is>
      </c>
    </row>
    <row r="144" ht="34" customHeight="1">
      <c r="A144" s="23" t="inlineStr">
        <is>
          <t>Contractor Programme</t>
        </is>
      </c>
      <c r="B144" s="23" t="inlineStr">
        <is>
          <t>SCH-06-139</t>
        </is>
      </c>
      <c r="C144" s="23" t="inlineStr">
        <is>
          <t>Civil package: executive reporting close - release</t>
        </is>
      </c>
      <c r="D144" s="23" t="inlineStr">
        <is>
          <t>UNSURE</t>
        </is>
      </c>
      <c r="E144" s="23" t="inlineStr">
        <is>
          <t>Maya Chen, Owner Project Controls</t>
        </is>
      </c>
      <c r="F144" s="23" t="inlineStr">
        <is>
          <t>Earlier professional decision, carried forward</t>
        </is>
      </c>
    </row>
    <row r="145" ht="34" customHeight="1">
      <c r="A145" s="23" t="inlineStr">
        <is>
          <t>Contractor Programme</t>
        </is>
      </c>
      <c r="B145" s="23" t="inlineStr">
        <is>
          <t>SCH-06-140</t>
        </is>
      </c>
      <c r="C145" s="23" t="inlineStr">
        <is>
          <t>Stations package: permit coordination - field start</t>
        </is>
      </c>
      <c r="D145" s="23" t="inlineStr">
        <is>
          <t>UNSURE</t>
        </is>
      </c>
      <c r="E145" s="23" t="inlineStr">
        <is>
          <t>Maya Chen, Owner Project Controls</t>
        </is>
      </c>
      <c r="F145" s="23" t="inlineStr">
        <is>
          <t>Earlier professional decision, carried forward</t>
        </is>
      </c>
    </row>
    <row r="146" ht="34" customHeight="1">
      <c r="A146" s="23" t="inlineStr">
        <is>
          <t>Contractor Programme</t>
        </is>
      </c>
      <c r="B146" s="23" t="inlineStr">
        <is>
          <t>SCH-06-141</t>
        </is>
      </c>
      <c r="C146" s="23" t="inlineStr">
        <is>
          <t>Systems package: delivery risk workshop - installation</t>
        </is>
      </c>
      <c r="D146" s="23" t="inlineStr">
        <is>
          <t>UNSURE</t>
        </is>
      </c>
      <c r="E146" s="23" t="inlineStr">
        <is>
          <t>Maya Chen, Owner Project Controls</t>
        </is>
      </c>
      <c r="F146" s="23" t="inlineStr">
        <is>
          <t>Earlier professional decision, carried forward</t>
        </is>
      </c>
    </row>
    <row r="147" ht="34" customHeight="1">
      <c r="A147" s="23" t="inlineStr">
        <is>
          <t>Contractor Programme</t>
        </is>
      </c>
      <c r="B147" s="23" t="inlineStr">
        <is>
          <t>SCH-06-142</t>
        </is>
      </c>
      <c r="C147" s="23" t="inlineStr">
        <is>
          <t>Fleet package: monthly controls cut-off - inspection</t>
        </is>
      </c>
      <c r="D147" s="23" t="inlineStr">
        <is>
          <t>UNSURE</t>
        </is>
      </c>
      <c r="E147" s="23" t="inlineStr">
        <is>
          <t>Maya Chen, Owner Project Controls</t>
        </is>
      </c>
      <c r="F147" s="23" t="inlineStr">
        <is>
          <t>Earlier professional decision, carried forward</t>
        </is>
      </c>
    </row>
    <row r="148" ht="34" customHeight="1">
      <c r="A148" s="23" t="inlineStr">
        <is>
          <t>Contractor Programme</t>
        </is>
      </c>
      <c r="B148" s="23" t="inlineStr">
        <is>
          <t>SCH-06-143</t>
        </is>
      </c>
      <c r="C148" s="23" t="inlineStr">
        <is>
          <t>Program office: stakeholder interface meeting - turnover</t>
        </is>
      </c>
      <c r="D148" s="23" t="inlineStr">
        <is>
          <t>UNSURE</t>
        </is>
      </c>
      <c r="E148" s="23" t="inlineStr">
        <is>
          <t>Maya Chen, Owner Project Controls</t>
        </is>
      </c>
      <c r="F148" s="23" t="inlineStr">
        <is>
          <t>Earlier professional decision, carried forward</t>
        </is>
      </c>
    </row>
    <row r="149" ht="34" customHeight="1">
      <c r="A149" s="23" t="inlineStr">
        <is>
          <t>Contractor Programme</t>
        </is>
      </c>
      <c r="B149" s="23" t="inlineStr">
        <is>
          <t>SCH-06-144</t>
        </is>
      </c>
      <c r="C149" s="23" t="inlineStr">
        <is>
          <t>Civil package: baseline change control - release</t>
        </is>
      </c>
      <c r="D149" s="23" t="inlineStr">
        <is>
          <t>UNSURE</t>
        </is>
      </c>
      <c r="E149" s="23" t="inlineStr">
        <is>
          <t>Maya Chen, Owner Project Controls</t>
        </is>
      </c>
      <c r="F149" s="23" t="inlineStr">
        <is>
          <t>Earlier professional decision, carried forward</t>
        </is>
      </c>
    </row>
    <row r="150" ht="34" customHeight="1">
      <c r="A150" s="23" t="inlineStr">
        <is>
          <t>Contractor Programme</t>
        </is>
      </c>
      <c r="B150" s="23" t="inlineStr">
        <is>
          <t>SCH-06-145</t>
        </is>
      </c>
      <c r="C150" s="23" t="inlineStr">
        <is>
          <t>Stations package: commercial change review - field start</t>
        </is>
      </c>
      <c r="D150" s="23" t="inlineStr">
        <is>
          <t>UNSURE</t>
        </is>
      </c>
      <c r="E150" s="23" t="inlineStr">
        <is>
          <t>Maya Chen, Owner Project Controls</t>
        </is>
      </c>
      <c r="F150" s="23" t="inlineStr">
        <is>
          <t>Earlier professional decision, carried forward</t>
        </is>
      </c>
    </row>
    <row r="151" ht="34" customHeight="1">
      <c r="A151" s="23" t="inlineStr">
        <is>
          <t>Contractor Programme</t>
        </is>
      </c>
      <c r="B151" s="23" t="inlineStr">
        <is>
          <t>SCH-06-146</t>
        </is>
      </c>
      <c r="C151" s="23" t="inlineStr">
        <is>
          <t>Systems package: design-package integration review - installation</t>
        </is>
      </c>
      <c r="D151" s="23" t="inlineStr">
        <is>
          <t>UNSURE</t>
        </is>
      </c>
      <c r="E151" s="23" t="inlineStr">
        <is>
          <t>Maya Chen, Owner Project Controls</t>
        </is>
      </c>
      <c r="F151" s="23" t="inlineStr">
        <is>
          <t>Earlier professional decision, carried forward</t>
        </is>
      </c>
    </row>
    <row r="152" ht="34" customHeight="1">
      <c r="A152" s="23" t="inlineStr">
        <is>
          <t>Contractor Programme</t>
        </is>
      </c>
      <c r="B152" s="23" t="inlineStr">
        <is>
          <t>SCH-06-147</t>
        </is>
      </c>
      <c r="C152" s="23" t="inlineStr">
        <is>
          <t>Fleet package: executive reporting close - inspection</t>
        </is>
      </c>
      <c r="D152" s="23" t="inlineStr">
        <is>
          <t>UNSURE</t>
        </is>
      </c>
      <c r="E152" s="23" t="inlineStr">
        <is>
          <t>Maya Chen, Owner Project Controls</t>
        </is>
      </c>
      <c r="F152" s="23" t="inlineStr">
        <is>
          <t>Earlier professional decision, carried forward</t>
        </is>
      </c>
    </row>
    <row r="153" ht="34" customHeight="1">
      <c r="A153" s="23" t="inlineStr">
        <is>
          <t>Contractor Programme</t>
        </is>
      </c>
      <c r="B153" s="23" t="inlineStr">
        <is>
          <t>SCH-06-148</t>
        </is>
      </c>
      <c r="C153" s="23" t="inlineStr">
        <is>
          <t>Program office: permit coordination - turnover</t>
        </is>
      </c>
      <c r="D153" s="23" t="inlineStr">
        <is>
          <t>UNSURE</t>
        </is>
      </c>
      <c r="E153" s="23" t="inlineStr">
        <is>
          <t>Maya Chen, Owner Project Controls</t>
        </is>
      </c>
      <c r="F153" s="23" t="inlineStr">
        <is>
          <t>Earlier professional decision, carried forward</t>
        </is>
      </c>
    </row>
    <row r="154" ht="34" customHeight="1">
      <c r="A154" s="23" t="inlineStr">
        <is>
          <t>Contractor Programme</t>
        </is>
      </c>
      <c r="B154" s="23" t="inlineStr">
        <is>
          <t>SCH-06-149</t>
        </is>
      </c>
      <c r="C154" s="23" t="inlineStr">
        <is>
          <t>Civil package: delivery risk workshop - release</t>
        </is>
      </c>
      <c r="D154" s="23" t="inlineStr">
        <is>
          <t>UNSURE</t>
        </is>
      </c>
      <c r="E154" s="23" t="inlineStr">
        <is>
          <t>Maya Chen, Owner Project Controls</t>
        </is>
      </c>
      <c r="F154" s="23" t="inlineStr">
        <is>
          <t>Earlier professional decision, carried forward</t>
        </is>
      </c>
    </row>
    <row r="155" ht="34" customHeight="1">
      <c r="A155" s="23" t="inlineStr">
        <is>
          <t>Contractor Programme</t>
        </is>
      </c>
      <c r="B155" s="23" t="inlineStr">
        <is>
          <t>SCH-06-150</t>
        </is>
      </c>
      <c r="C155" s="23" t="inlineStr">
        <is>
          <t>Stations package: monthly controls cut-off - field start</t>
        </is>
      </c>
      <c r="D155" s="23" t="inlineStr">
        <is>
          <t>UNSURE</t>
        </is>
      </c>
      <c r="E155" s="23" t="inlineStr">
        <is>
          <t>Maya Chen, Owner Project Controls</t>
        </is>
      </c>
      <c r="F155" s="23" t="inlineStr">
        <is>
          <t>Earlier professional decision, carried forward</t>
        </is>
      </c>
    </row>
    <row r="156" ht="34" customHeight="1">
      <c r="A156" s="23" t="inlineStr">
        <is>
          <t>Contractor Programme</t>
        </is>
      </c>
      <c r="B156" s="23" t="inlineStr">
        <is>
          <t>SCH-06-151</t>
        </is>
      </c>
      <c r="C156" s="23" t="inlineStr">
        <is>
          <t>Systems package: stakeholder interface meeting - installation</t>
        </is>
      </c>
      <c r="D156" s="23" t="inlineStr">
        <is>
          <t>UNSURE</t>
        </is>
      </c>
      <c r="E156" s="23" t="inlineStr">
        <is>
          <t>Maya Chen, Owner Project Controls</t>
        </is>
      </c>
      <c r="F156" s="23" t="inlineStr">
        <is>
          <t>Earlier professional decision, carried forward</t>
        </is>
      </c>
    </row>
    <row r="157" ht="34" customHeight="1">
      <c r="A157" s="23" t="inlineStr">
        <is>
          <t>Contractor Programme</t>
        </is>
      </c>
      <c r="B157" s="23" t="inlineStr">
        <is>
          <t>SCH-06-152</t>
        </is>
      </c>
      <c r="C157" s="23" t="inlineStr">
        <is>
          <t>Fleet package: baseline change control - inspection</t>
        </is>
      </c>
      <c r="D157" s="23" t="inlineStr">
        <is>
          <t>UNSURE</t>
        </is>
      </c>
      <c r="E157" s="23" t="inlineStr">
        <is>
          <t>Maya Chen, Owner Project Controls</t>
        </is>
      </c>
      <c r="F157" s="23" t="inlineStr">
        <is>
          <t>Earlier professional decision, carried forward</t>
        </is>
      </c>
    </row>
    <row r="158" ht="34" customHeight="1">
      <c r="A158" s="23" t="inlineStr">
        <is>
          <t>Contractor Programme</t>
        </is>
      </c>
      <c r="B158" s="23" t="inlineStr">
        <is>
          <t>SCH-06-153</t>
        </is>
      </c>
      <c r="C158" s="23" t="inlineStr">
        <is>
          <t>Program office: commercial change review - turnover</t>
        </is>
      </c>
      <c r="D158" s="23" t="inlineStr">
        <is>
          <t>UNSURE</t>
        </is>
      </c>
      <c r="E158" s="23" t="inlineStr">
        <is>
          <t>Maya Chen, Owner Project Controls</t>
        </is>
      </c>
      <c r="F158" s="23" t="inlineStr">
        <is>
          <t>Earlier professional decision, carried forward</t>
        </is>
      </c>
    </row>
    <row r="159" ht="34" customHeight="1">
      <c r="A159" s="23" t="inlineStr">
        <is>
          <t>Contractor Programme</t>
        </is>
      </c>
      <c r="B159" s="23" t="inlineStr">
        <is>
          <t>SCH-06-154</t>
        </is>
      </c>
      <c r="C159" s="23" t="inlineStr">
        <is>
          <t>Civil package: design-package integration review - release</t>
        </is>
      </c>
      <c r="D159" s="23" t="inlineStr">
        <is>
          <t>UNSURE</t>
        </is>
      </c>
      <c r="E159" s="23" t="inlineStr">
        <is>
          <t>Maya Chen, Owner Project Controls</t>
        </is>
      </c>
      <c r="F159" s="23" t="inlineStr">
        <is>
          <t>Earlier professional decision, carried forward</t>
        </is>
      </c>
    </row>
    <row r="160" ht="34" customHeight="1">
      <c r="A160" s="23" t="inlineStr">
        <is>
          <t>Contractor Programme</t>
        </is>
      </c>
      <c r="B160" s="23" t="inlineStr">
        <is>
          <t>SCH-06-155</t>
        </is>
      </c>
      <c r="C160" s="23" t="inlineStr">
        <is>
          <t>Stations package: executive reporting close - field start</t>
        </is>
      </c>
      <c r="D160" s="23" t="inlineStr">
        <is>
          <t>UNSURE</t>
        </is>
      </c>
      <c r="E160" s="23" t="inlineStr">
        <is>
          <t>Maya Chen, Owner Project Controls</t>
        </is>
      </c>
      <c r="F160" s="23" t="inlineStr">
        <is>
          <t>Earlier professional decision, carried forward</t>
        </is>
      </c>
    </row>
    <row r="161" ht="34" customHeight="1">
      <c r="A161" s="23" t="inlineStr">
        <is>
          <t>Contractor Programme</t>
        </is>
      </c>
      <c r="B161" s="23" t="inlineStr">
        <is>
          <t>SCH-06-156</t>
        </is>
      </c>
      <c r="C161" s="23" t="inlineStr">
        <is>
          <t>Systems package: permit coordination - installation</t>
        </is>
      </c>
      <c r="D161" s="23" t="inlineStr">
        <is>
          <t>UNSURE</t>
        </is>
      </c>
      <c r="E161" s="23" t="inlineStr">
        <is>
          <t>Maya Chen, Owner Project Controls</t>
        </is>
      </c>
      <c r="F161" s="23" t="inlineStr">
        <is>
          <t>Earlier professional decision, carried forward</t>
        </is>
      </c>
    </row>
    <row r="162" ht="34" customHeight="1">
      <c r="A162" s="23" t="inlineStr">
        <is>
          <t>Contractor Programme</t>
        </is>
      </c>
      <c r="B162" s="23" t="inlineStr">
        <is>
          <t>SCH-06-157</t>
        </is>
      </c>
      <c r="C162" s="23" t="inlineStr">
        <is>
          <t>Fleet package: delivery risk workshop - inspection</t>
        </is>
      </c>
      <c r="D162" s="23" t="inlineStr">
        <is>
          <t>UNSURE</t>
        </is>
      </c>
      <c r="E162" s="23" t="inlineStr">
        <is>
          <t>Maya Chen, Owner Project Controls</t>
        </is>
      </c>
      <c r="F162" s="23" t="inlineStr">
        <is>
          <t>Earlier professional decision, carried forward</t>
        </is>
      </c>
    </row>
    <row r="163" ht="34" customHeight="1">
      <c r="A163" s="23" t="inlineStr">
        <is>
          <t>Contractor Programme</t>
        </is>
      </c>
      <c r="B163" s="23" t="inlineStr">
        <is>
          <t>SCH-06-158</t>
        </is>
      </c>
      <c r="C163" s="23" t="inlineStr">
        <is>
          <t>Program office: monthly controls cut-off - turnover</t>
        </is>
      </c>
      <c r="D163" s="23" t="inlineStr">
        <is>
          <t>UNSURE</t>
        </is>
      </c>
      <c r="E163" s="23" t="inlineStr">
        <is>
          <t>Maya Chen, Owner Project Controls</t>
        </is>
      </c>
      <c r="F163" s="23" t="inlineStr">
        <is>
          <t>Earlier professional decision, carried forward</t>
        </is>
      </c>
    </row>
    <row r="164" ht="34" customHeight="1">
      <c r="A164" s="23" t="inlineStr">
        <is>
          <t>Contractor Programme</t>
        </is>
      </c>
      <c r="B164" s="23" t="inlineStr">
        <is>
          <t>SCH-06-159</t>
        </is>
      </c>
      <c r="C164" s="23" t="inlineStr">
        <is>
          <t>Civil package: stakeholder interface meeting - release</t>
        </is>
      </c>
      <c r="D164" s="23" t="inlineStr">
        <is>
          <t>UNSURE</t>
        </is>
      </c>
      <c r="E164" s="23" t="inlineStr">
        <is>
          <t>Maya Chen, Owner Project Controls</t>
        </is>
      </c>
      <c r="F164" s="23" t="inlineStr">
        <is>
          <t>Earlier professional decision, carried forward</t>
        </is>
      </c>
    </row>
    <row r="165" ht="34" customHeight="1">
      <c r="A165" s="23" t="inlineStr">
        <is>
          <t>Contractor Programme</t>
        </is>
      </c>
      <c r="B165" s="23" t="inlineStr">
        <is>
          <t>SCH-06-160</t>
        </is>
      </c>
      <c r="C165" s="23" t="inlineStr">
        <is>
          <t>Stations package: baseline change control - field start</t>
        </is>
      </c>
      <c r="D165" s="23" t="inlineStr">
        <is>
          <t>UNSURE</t>
        </is>
      </c>
      <c r="E165" s="23" t="inlineStr">
        <is>
          <t>Maya Chen, Owner Project Controls</t>
        </is>
      </c>
      <c r="F165" s="23" t="inlineStr">
        <is>
          <t>Earlier professional decision, carried forward</t>
        </is>
      </c>
    </row>
    <row r="166" ht="34" customHeight="1">
      <c r="A166" s="23" t="inlineStr">
        <is>
          <t>Contractor Programme</t>
        </is>
      </c>
      <c r="B166" s="23" t="inlineStr">
        <is>
          <t>SCH-06-161</t>
        </is>
      </c>
      <c r="C166" s="23" t="inlineStr">
        <is>
          <t>Systems package: commercial change review - installation</t>
        </is>
      </c>
      <c r="D166" s="23" t="inlineStr">
        <is>
          <t>UNSURE</t>
        </is>
      </c>
      <c r="E166" s="23" t="inlineStr">
        <is>
          <t>Maya Chen, Owner Project Controls</t>
        </is>
      </c>
      <c r="F166" s="23" t="inlineStr">
        <is>
          <t>Earlier professional decision, carried forward</t>
        </is>
      </c>
    </row>
    <row r="167" ht="34" customHeight="1">
      <c r="A167" s="23" t="inlineStr">
        <is>
          <t>Contractor Programme</t>
        </is>
      </c>
      <c r="B167" s="23" t="inlineStr">
        <is>
          <t>SCH-06-162</t>
        </is>
      </c>
      <c r="C167" s="23" t="inlineStr">
        <is>
          <t>Fleet package: design-package integration review - inspection</t>
        </is>
      </c>
      <c r="D167" s="23" t="inlineStr">
        <is>
          <t>UNSURE</t>
        </is>
      </c>
      <c r="E167" s="23" t="inlineStr">
        <is>
          <t>Maya Chen, Owner Project Controls</t>
        </is>
      </c>
      <c r="F167" s="23" t="inlineStr">
        <is>
          <t>Earlier professional decision, carried forward</t>
        </is>
      </c>
    </row>
    <row r="168" ht="34" customHeight="1">
      <c r="A168" s="23" t="inlineStr">
        <is>
          <t>Contractor Programme</t>
        </is>
      </c>
      <c r="B168" s="23" t="inlineStr">
        <is>
          <t>SCH-06-163</t>
        </is>
      </c>
      <c r="C168" s="23" t="inlineStr">
        <is>
          <t>Program office: executive reporting close - turnover</t>
        </is>
      </c>
      <c r="D168" s="23" t="inlineStr">
        <is>
          <t>UNSURE</t>
        </is>
      </c>
      <c r="E168" s="23" t="inlineStr">
        <is>
          <t>Maya Chen, Owner Project Controls</t>
        </is>
      </c>
      <c r="F168" s="23" t="inlineStr">
        <is>
          <t>Earlier professional decision, carried forward</t>
        </is>
      </c>
    </row>
    <row r="169" ht="34" customHeight="1">
      <c r="A169" s="23" t="inlineStr">
        <is>
          <t>Contractor Programme</t>
        </is>
      </c>
      <c r="B169" s="23" t="inlineStr">
        <is>
          <t>SCH-06-164</t>
        </is>
      </c>
      <c r="C169" s="23" t="inlineStr">
        <is>
          <t>Civil package: permit coordination - release</t>
        </is>
      </c>
      <c r="D169" s="23" t="inlineStr">
        <is>
          <t>UNSURE</t>
        </is>
      </c>
      <c r="E169" s="23" t="inlineStr">
        <is>
          <t>Maya Chen, Owner Project Controls</t>
        </is>
      </c>
      <c r="F169" s="23" t="inlineStr">
        <is>
          <t>Earlier professional decision, carried forward</t>
        </is>
      </c>
    </row>
    <row r="170" ht="34" customHeight="1">
      <c r="A170" s="23" t="inlineStr">
        <is>
          <t>Contractor Programme</t>
        </is>
      </c>
      <c r="B170" s="23" t="inlineStr">
        <is>
          <t>SCH-06-165</t>
        </is>
      </c>
      <c r="C170" s="23" t="inlineStr">
        <is>
          <t>Stations package: delivery risk workshop - field start</t>
        </is>
      </c>
      <c r="D170" s="23" t="inlineStr">
        <is>
          <t>UNSURE</t>
        </is>
      </c>
      <c r="E170" s="23" t="inlineStr">
        <is>
          <t>Maya Chen, Owner Project Controls</t>
        </is>
      </c>
      <c r="F170" s="23" t="inlineStr">
        <is>
          <t>Earlier professional decision, carried forward</t>
        </is>
      </c>
    </row>
    <row r="171" ht="34" customHeight="1">
      <c r="A171" s="23" t="inlineStr">
        <is>
          <t>Contractor Programme</t>
        </is>
      </c>
      <c r="B171" s="23" t="inlineStr">
        <is>
          <t>SCH-06-166</t>
        </is>
      </c>
      <c r="C171" s="23" t="inlineStr">
        <is>
          <t>Systems package: monthly controls cut-off - installation</t>
        </is>
      </c>
      <c r="D171" s="23" t="inlineStr">
        <is>
          <t>UNSURE</t>
        </is>
      </c>
      <c r="E171" s="23" t="inlineStr">
        <is>
          <t>Maya Chen, Owner Project Controls</t>
        </is>
      </c>
      <c r="F171" s="23" t="inlineStr">
        <is>
          <t>Earlier professional decision, carried forward</t>
        </is>
      </c>
    </row>
    <row r="172" ht="34" customHeight="1">
      <c r="A172" s="23" t="inlineStr">
        <is>
          <t>Contractor Programme</t>
        </is>
      </c>
      <c r="B172" s="23" t="inlineStr">
        <is>
          <t>SCH-06-167</t>
        </is>
      </c>
      <c r="C172" s="23" t="inlineStr">
        <is>
          <t>Fleet package: stakeholder interface meeting - inspection</t>
        </is>
      </c>
      <c r="D172" s="23" t="inlineStr">
        <is>
          <t>UNSURE</t>
        </is>
      </c>
      <c r="E172" s="23" t="inlineStr">
        <is>
          <t>Maya Chen, Owner Project Controls</t>
        </is>
      </c>
      <c r="F172" s="23" t="inlineStr">
        <is>
          <t>Earlier professional decision, carried forward</t>
        </is>
      </c>
    </row>
    <row r="173" ht="34" customHeight="1">
      <c r="A173" s="23" t="inlineStr">
        <is>
          <t>Contractor Programme</t>
        </is>
      </c>
      <c r="B173" s="23" t="inlineStr">
        <is>
          <t>SCH-06-168</t>
        </is>
      </c>
      <c r="C173" s="23" t="inlineStr">
        <is>
          <t>Program office: baseline change control - turnover</t>
        </is>
      </c>
      <c r="D173" s="23" t="inlineStr">
        <is>
          <t>UNSURE</t>
        </is>
      </c>
      <c r="E173" s="23" t="inlineStr">
        <is>
          <t>Maya Chen, Owner Project Controls</t>
        </is>
      </c>
      <c r="F173" s="23" t="inlineStr">
        <is>
          <t>Earlier professional decision, carried forward</t>
        </is>
      </c>
    </row>
    <row r="174" ht="34" customHeight="1">
      <c r="A174" s="23" t="inlineStr">
        <is>
          <t>Contractor Programme</t>
        </is>
      </c>
      <c r="B174" s="23" t="inlineStr">
        <is>
          <t>SCH-06-169</t>
        </is>
      </c>
      <c r="C174" s="23" t="inlineStr">
        <is>
          <t>Civil package: commercial change review - release</t>
        </is>
      </c>
      <c r="D174" s="23" t="inlineStr">
        <is>
          <t>UNSURE</t>
        </is>
      </c>
      <c r="E174" s="23" t="inlineStr">
        <is>
          <t>Maya Chen, Owner Project Controls</t>
        </is>
      </c>
      <c r="F174" s="23" t="inlineStr">
        <is>
          <t>Earlier professional decision, carried forward</t>
        </is>
      </c>
    </row>
    <row r="175" ht="34" customHeight="1">
      <c r="A175" s="23" t="inlineStr">
        <is>
          <t>Contractor Programme</t>
        </is>
      </c>
      <c r="B175" s="23" t="inlineStr">
        <is>
          <t>SCH-06-170</t>
        </is>
      </c>
      <c r="C175" s="23" t="inlineStr">
        <is>
          <t>Stations package: design-package integration review - field start</t>
        </is>
      </c>
      <c r="D175" s="23" t="inlineStr">
        <is>
          <t>UNSURE</t>
        </is>
      </c>
      <c r="E175" s="23" t="inlineStr">
        <is>
          <t>Maya Chen, Owner Project Controls</t>
        </is>
      </c>
      <c r="F175" s="23" t="inlineStr">
        <is>
          <t>Earlier professional decision, carried forward</t>
        </is>
      </c>
    </row>
    <row r="176" ht="34" customHeight="1">
      <c r="A176" s="23" t="inlineStr">
        <is>
          <t>Contractor Programme</t>
        </is>
      </c>
      <c r="B176" s="23" t="inlineStr">
        <is>
          <t>SCH-06-171</t>
        </is>
      </c>
      <c r="C176" s="23" t="inlineStr">
        <is>
          <t>Systems package: executive reporting close - installation</t>
        </is>
      </c>
      <c r="D176" s="23" t="inlineStr">
        <is>
          <t>UNSURE</t>
        </is>
      </c>
      <c r="E176" s="23" t="inlineStr">
        <is>
          <t>Maya Chen, Owner Project Controls</t>
        </is>
      </c>
      <c r="F176" s="23" t="inlineStr">
        <is>
          <t>Earlier professional decision, carried forward</t>
        </is>
      </c>
    </row>
    <row r="177" ht="34" customHeight="1">
      <c r="A177" s="23" t="inlineStr">
        <is>
          <t>Contractor Programme</t>
        </is>
      </c>
      <c r="B177" s="23" t="inlineStr">
        <is>
          <t>SCH-06-172</t>
        </is>
      </c>
      <c r="C177" s="23" t="inlineStr">
        <is>
          <t>Fleet package: permit coordination - inspection</t>
        </is>
      </c>
      <c r="D177" s="23" t="inlineStr">
        <is>
          <t>UNSURE</t>
        </is>
      </c>
      <c r="E177" s="23" t="inlineStr">
        <is>
          <t>Maya Chen, Owner Project Controls</t>
        </is>
      </c>
      <c r="F177" s="23" t="inlineStr">
        <is>
          <t>Earlier professional decision, carried forward</t>
        </is>
      </c>
    </row>
    <row r="178" ht="34" customHeight="1">
      <c r="A178" s="23" t="inlineStr">
        <is>
          <t>Contractor Programme</t>
        </is>
      </c>
      <c r="B178" s="23" t="inlineStr">
        <is>
          <t>SCH-06-173</t>
        </is>
      </c>
      <c r="C178" s="23" t="inlineStr">
        <is>
          <t>Program office: delivery risk workshop - turnover</t>
        </is>
      </c>
      <c r="D178" s="23" t="inlineStr">
        <is>
          <t>UNSURE</t>
        </is>
      </c>
      <c r="E178" s="23" t="inlineStr">
        <is>
          <t>Maya Chen, Owner Project Controls</t>
        </is>
      </c>
      <c r="F178" s="23" t="inlineStr">
        <is>
          <t>Earlier professional decision, carried forward</t>
        </is>
      </c>
    </row>
    <row r="179" ht="34" customHeight="1">
      <c r="A179" s="23" t="inlineStr">
        <is>
          <t>Contractor Programme</t>
        </is>
      </c>
      <c r="B179" s="23" t="inlineStr">
        <is>
          <t>SCH-06-174</t>
        </is>
      </c>
      <c r="C179" s="23" t="inlineStr">
        <is>
          <t>Civil package: monthly controls cut-off - release</t>
        </is>
      </c>
      <c r="D179" s="23" t="inlineStr">
        <is>
          <t>UNSURE</t>
        </is>
      </c>
      <c r="E179" s="23" t="inlineStr">
        <is>
          <t>Maya Chen, Owner Project Controls</t>
        </is>
      </c>
      <c r="F179" s="23" t="inlineStr">
        <is>
          <t>Earlier professional decision, carried forward</t>
        </is>
      </c>
    </row>
    <row r="180" ht="34" customHeight="1">
      <c r="A180" s="23" t="inlineStr">
        <is>
          <t>Contractor Programme</t>
        </is>
      </c>
      <c r="B180" s="23" t="inlineStr">
        <is>
          <t>SCH-06-175</t>
        </is>
      </c>
      <c r="C180" s="23" t="inlineStr">
        <is>
          <t>Stations package: stakeholder interface meeting - field start</t>
        </is>
      </c>
      <c r="D180" s="23" t="inlineStr">
        <is>
          <t>UNSURE</t>
        </is>
      </c>
      <c r="E180" s="23" t="inlineStr">
        <is>
          <t>Maya Chen, Owner Project Controls</t>
        </is>
      </c>
      <c r="F180" s="23" t="inlineStr">
        <is>
          <t>Earlier professional decision, carried forward</t>
        </is>
      </c>
    </row>
    <row r="181" ht="34" customHeight="1">
      <c r="A181" s="23" t="inlineStr">
        <is>
          <t>Contractor Programme</t>
        </is>
      </c>
      <c r="B181" s="23" t="inlineStr">
        <is>
          <t>SCH-06-176</t>
        </is>
      </c>
      <c r="C181" s="23" t="inlineStr">
        <is>
          <t>Systems package: baseline change control - installation</t>
        </is>
      </c>
      <c r="D181" s="23" t="inlineStr">
        <is>
          <t>UNSURE</t>
        </is>
      </c>
      <c r="E181" s="23" t="inlineStr">
        <is>
          <t>Maya Chen, Owner Project Controls</t>
        </is>
      </c>
      <c r="F181" s="23" t="inlineStr">
        <is>
          <t>Earlier professional decision, carried forward</t>
        </is>
      </c>
    </row>
    <row r="182" ht="34" customHeight="1">
      <c r="A182" s="23" t="inlineStr">
        <is>
          <t>Contractor Programme</t>
        </is>
      </c>
      <c r="B182" s="23" t="inlineStr">
        <is>
          <t>SCH-06-177</t>
        </is>
      </c>
      <c r="C182" s="23" t="inlineStr">
        <is>
          <t>Fleet package: commercial change review - inspection</t>
        </is>
      </c>
      <c r="D182" s="23" t="inlineStr">
        <is>
          <t>UNSURE</t>
        </is>
      </c>
      <c r="E182" s="23" t="inlineStr">
        <is>
          <t>Maya Chen, Owner Project Controls</t>
        </is>
      </c>
      <c r="F182" s="23" t="inlineStr">
        <is>
          <t>Earlier professional decision, carried forward</t>
        </is>
      </c>
    </row>
    <row r="183" ht="34" customHeight="1">
      <c r="A183" s="23" t="inlineStr">
        <is>
          <t>Contractor Programme</t>
        </is>
      </c>
      <c r="B183" s="23" t="inlineStr">
        <is>
          <t>SCH-06-178</t>
        </is>
      </c>
      <c r="C183" s="23" t="inlineStr">
        <is>
          <t>Program office: design-package integration review - turnover</t>
        </is>
      </c>
      <c r="D183" s="23" t="inlineStr">
        <is>
          <t>UNSURE</t>
        </is>
      </c>
      <c r="E183" s="23" t="inlineStr">
        <is>
          <t>Maya Chen, Owner Project Controls</t>
        </is>
      </c>
      <c r="F183" s="23" t="inlineStr">
        <is>
          <t>Earlier professional decision, carried forward</t>
        </is>
      </c>
    </row>
    <row r="184" ht="34" customHeight="1">
      <c r="A184" s="23" t="inlineStr">
        <is>
          <t>Contractor Programme</t>
        </is>
      </c>
      <c r="B184" s="23" t="inlineStr">
        <is>
          <t>SCH-06-179</t>
        </is>
      </c>
      <c r="C184" s="23" t="inlineStr">
        <is>
          <t>Civil package: executive reporting close - release</t>
        </is>
      </c>
      <c r="D184" s="23" t="inlineStr">
        <is>
          <t>UNSURE</t>
        </is>
      </c>
      <c r="E184" s="23" t="inlineStr">
        <is>
          <t>Maya Chen, Owner Project Controls</t>
        </is>
      </c>
      <c r="F184" s="23" t="inlineStr">
        <is>
          <t>Earlier professional decision, carried forward</t>
        </is>
      </c>
    </row>
    <row r="185" ht="34" customHeight="1">
      <c r="A185" s="23" t="inlineStr">
        <is>
          <t>Contractor Programme</t>
        </is>
      </c>
      <c r="B185" s="23" t="inlineStr">
        <is>
          <t>SCH-06-180</t>
        </is>
      </c>
      <c r="C185" s="23" t="inlineStr">
        <is>
          <t>Stations package: permit coordination - field start</t>
        </is>
      </c>
      <c r="D185" s="23" t="inlineStr">
        <is>
          <t>UNSURE</t>
        </is>
      </c>
      <c r="E185" s="23" t="inlineStr">
        <is>
          <t>Maya Chen, Owner Project Controls</t>
        </is>
      </c>
      <c r="F185" s="23" t="inlineStr">
        <is>
          <t>Earlier professional decision, carried forward</t>
        </is>
      </c>
    </row>
    <row r="186" ht="34" customHeight="1">
      <c r="A186" s="23" t="inlineStr">
        <is>
          <t>Cost &amp; Forecast Control Accounts</t>
        </is>
      </c>
      <c r="B186" s="23" t="inlineStr">
        <is>
          <t>CST-03-004</t>
        </is>
      </c>
      <c r="C186" s="23" t="inlineStr">
        <is>
          <t>Systems - systems integration - professional services</t>
        </is>
      </c>
      <c r="D186" s="23" t="inlineStr">
        <is>
          <t>UNSURE</t>
        </is>
      </c>
      <c r="E186" s="23" t="inlineStr">
        <is>
          <t>Maya Chen, Owner Project Controls</t>
        </is>
      </c>
      <c r="F186" s="23" t="inlineStr">
        <is>
          <t>Earlier professional decision, carried forward</t>
        </is>
      </c>
    </row>
    <row r="187" ht="34" customHeight="1">
      <c r="A187" s="23" t="inlineStr">
        <is>
          <t>Cost &amp; Forecast Control Accounts</t>
        </is>
      </c>
      <c r="B187" s="23" t="inlineStr">
        <is>
          <t>CST-05-001</t>
        </is>
      </c>
      <c r="C187" s="23" t="inlineStr">
        <is>
          <t>Testing &amp; readiness - trial running - control account</t>
        </is>
      </c>
      <c r="D187" s="23" t="inlineStr">
        <is>
          <t>UNSURE</t>
        </is>
      </c>
      <c r="E187" s="23" t="inlineStr">
        <is>
          <t>Maya Chen, Owner Project Controls</t>
        </is>
      </c>
      <c r="F187" s="23" t="inlineStr">
        <is>
          <t>Earlier professional decision, carried forward</t>
        </is>
      </c>
    </row>
    <row r="188" ht="34" customHeight="1">
      <c r="A188" s="23" t="inlineStr">
        <is>
          <t>Cost &amp; Forecast Control Accounts</t>
        </is>
      </c>
      <c r="B188" s="23" t="inlineStr">
        <is>
          <t>CST-05-002</t>
        </is>
      </c>
      <c r="C188" s="23" t="inlineStr">
        <is>
          <t>Testing &amp; readiness - safety certification - control account</t>
        </is>
      </c>
      <c r="D188" s="23" t="inlineStr">
        <is>
          <t>UNSURE</t>
        </is>
      </c>
      <c r="E188" s="23" t="inlineStr">
        <is>
          <t>Maya Chen, Owner Project Controls</t>
        </is>
      </c>
      <c r="F188" s="23" t="inlineStr">
        <is>
          <t>Earlier professional decision, carried forward</t>
        </is>
      </c>
    </row>
    <row r="189" ht="34" customHeight="1">
      <c r="A189" s="23" t="inlineStr">
        <is>
          <t>Cost &amp; Forecast Control Accounts</t>
        </is>
      </c>
      <c r="B189" s="23" t="inlineStr">
        <is>
          <t>CST-05-003</t>
        </is>
      </c>
      <c r="C189" s="23" t="inlineStr">
        <is>
          <t>Testing &amp; readiness - defect closeout - control account</t>
        </is>
      </c>
      <c r="D189" s="23" t="inlineStr">
        <is>
          <t>UNSURE</t>
        </is>
      </c>
      <c r="E189" s="23" t="inlineStr">
        <is>
          <t>Maya Chen, Owner Project Controls</t>
        </is>
      </c>
      <c r="F189" s="23" t="inlineStr">
        <is>
          <t>Earlier professional decision, carried forward</t>
        </is>
      </c>
    </row>
    <row r="190" ht="34" customHeight="1">
      <c r="A190" s="23" t="inlineStr">
        <is>
          <t>Cost &amp; Forecast Control Accounts</t>
        </is>
      </c>
      <c r="B190" s="23" t="inlineStr">
        <is>
          <t>CST-05-004</t>
        </is>
      </c>
      <c r="C190" s="23" t="inlineStr">
        <is>
          <t>Testing &amp; readiness - test management - control account</t>
        </is>
      </c>
      <c r="D190" s="23" t="inlineStr">
        <is>
          <t>UNSURE</t>
        </is>
      </c>
      <c r="E190" s="23" t="inlineStr">
        <is>
          <t>Maya Chen, Owner Project Controls</t>
        </is>
      </c>
      <c r="F190" s="23" t="inlineStr">
        <is>
          <t>Earlier professional decision, carried forward</t>
        </is>
      </c>
    </row>
    <row r="191" ht="34" customHeight="1">
      <c r="A191" s="23" t="inlineStr">
        <is>
          <t>Cost &amp; Forecast Control Accounts</t>
        </is>
      </c>
      <c r="B191" s="23" t="inlineStr">
        <is>
          <t>CST-05-005</t>
        </is>
      </c>
      <c r="C191" s="23" t="inlineStr">
        <is>
          <t>Testing &amp; readiness - trial running - control account</t>
        </is>
      </c>
      <c r="D191" s="23" t="inlineStr">
        <is>
          <t>UNSURE</t>
        </is>
      </c>
      <c r="E191" s="23" t="inlineStr">
        <is>
          <t>Maya Chen, Owner Project Controls</t>
        </is>
      </c>
      <c r="F191" s="23" t="inlineStr">
        <is>
          <t>Earlier professional decision, carried forward</t>
        </is>
      </c>
    </row>
    <row r="192" ht="34" customHeight="1">
      <c r="A192" s="23" t="inlineStr">
        <is>
          <t>Cost &amp; Forecast Control Accounts</t>
        </is>
      </c>
      <c r="B192" s="23" t="inlineStr">
        <is>
          <t>CST-05-006</t>
        </is>
      </c>
      <c r="C192" s="23" t="inlineStr">
        <is>
          <t>Testing &amp; readiness - safety certification - control account</t>
        </is>
      </c>
      <c r="D192" s="23" t="inlineStr">
        <is>
          <t>UNSURE</t>
        </is>
      </c>
      <c r="E192" s="23" t="inlineStr">
        <is>
          <t>Maya Chen, Owner Project Controls</t>
        </is>
      </c>
      <c r="F192" s="23" t="inlineStr">
        <is>
          <t>Earlier professional decision, carried forward</t>
        </is>
      </c>
    </row>
    <row r="193" ht="34" customHeight="1">
      <c r="A193" s="23" t="inlineStr">
        <is>
          <t>Cost &amp; Forecast Control Accounts</t>
        </is>
      </c>
      <c r="B193" s="23" t="inlineStr">
        <is>
          <t>CST-05-007</t>
        </is>
      </c>
      <c r="C193" s="23" t="inlineStr">
        <is>
          <t>Testing &amp; readiness - defect closeout - control account</t>
        </is>
      </c>
      <c r="D193" s="23" t="inlineStr">
        <is>
          <t>UNSURE</t>
        </is>
      </c>
      <c r="E193" s="23" t="inlineStr">
        <is>
          <t>Maya Chen, Owner Project Controls</t>
        </is>
      </c>
      <c r="F193" s="23" t="inlineStr">
        <is>
          <t>Earlier professional decision, carried forward</t>
        </is>
      </c>
    </row>
    <row r="194" ht="34" customHeight="1">
      <c r="A194" s="23" t="inlineStr">
        <is>
          <t>Cost &amp; Forecast Control Accounts</t>
        </is>
      </c>
      <c r="B194" s="23" t="inlineStr">
        <is>
          <t>CST-05-008</t>
        </is>
      </c>
      <c r="C194" s="23" t="inlineStr">
        <is>
          <t>Testing &amp; readiness - test management - control account</t>
        </is>
      </c>
      <c r="D194" s="23" t="inlineStr">
        <is>
          <t>UNSURE</t>
        </is>
      </c>
      <c r="E194" s="23" t="inlineStr">
        <is>
          <t>Maya Chen, Owner Project Controls</t>
        </is>
      </c>
      <c r="F194" s="23" t="inlineStr">
        <is>
          <t>Earlier professional decision, carried forward</t>
        </is>
      </c>
    </row>
    <row r="195" ht="34" customHeight="1">
      <c r="A195" s="23" t="inlineStr">
        <is>
          <t>Cost &amp; Forecast Control Accounts</t>
        </is>
      </c>
      <c r="B195" s="23" t="inlineStr">
        <is>
          <t>CST-05-009</t>
        </is>
      </c>
      <c r="C195" s="23" t="inlineStr">
        <is>
          <t>Testing &amp; readiness - trial running - control account</t>
        </is>
      </c>
      <c r="D195" s="23" t="inlineStr">
        <is>
          <t>UNSURE</t>
        </is>
      </c>
      <c r="E195" s="23" t="inlineStr">
        <is>
          <t>Maya Chen, Owner Project Controls</t>
        </is>
      </c>
      <c r="F195" s="23" t="inlineStr">
        <is>
          <t>Earlier professional decision, carried forward</t>
        </is>
      </c>
    </row>
    <row r="196" ht="34" customHeight="1">
      <c r="A196" s="23" t="inlineStr">
        <is>
          <t>Cost &amp; Forecast Control Accounts</t>
        </is>
      </c>
      <c r="B196" s="23" t="inlineStr">
        <is>
          <t>CST-05-010</t>
        </is>
      </c>
      <c r="C196" s="23" t="inlineStr">
        <is>
          <t>Testing &amp; readiness - safety certification - control account</t>
        </is>
      </c>
      <c r="D196" s="23" t="inlineStr">
        <is>
          <t>UNSURE</t>
        </is>
      </c>
      <c r="E196" s="23" t="inlineStr">
        <is>
          <t>Maya Chen, Owner Project Controls</t>
        </is>
      </c>
      <c r="F196" s="23" t="inlineStr">
        <is>
          <t>Earlier professional decision, carried forward</t>
        </is>
      </c>
    </row>
    <row r="197" ht="34" customHeight="1">
      <c r="A197" s="23" t="inlineStr">
        <is>
          <t>Cost &amp; Forecast Control Accounts</t>
        </is>
      </c>
      <c r="B197" s="23" t="inlineStr">
        <is>
          <t>CST-05-011</t>
        </is>
      </c>
      <c r="C197" s="23" t="inlineStr">
        <is>
          <t>Testing &amp; readiness - defect closeout - control account</t>
        </is>
      </c>
      <c r="D197" s="23" t="inlineStr">
        <is>
          <t>UNSURE</t>
        </is>
      </c>
      <c r="E197" s="23" t="inlineStr">
        <is>
          <t>Maya Chen, Owner Project Controls</t>
        </is>
      </c>
      <c r="F197" s="23" t="inlineStr">
        <is>
          <t>Earlier professional decision, carried forward</t>
        </is>
      </c>
    </row>
    <row r="198" ht="34" customHeight="1">
      <c r="A198" s="23" t="inlineStr">
        <is>
          <t>Cost &amp; Forecast Control Accounts</t>
        </is>
      </c>
      <c r="B198" s="23" t="inlineStr">
        <is>
          <t>CST-05-012</t>
        </is>
      </c>
      <c r="C198" s="23" t="inlineStr">
        <is>
          <t>Testing &amp; readiness - test management - control account</t>
        </is>
      </c>
      <c r="D198" s="23" t="inlineStr">
        <is>
          <t>UNSURE</t>
        </is>
      </c>
      <c r="E198" s="23" t="inlineStr">
        <is>
          <t>Maya Chen, Owner Project Controls</t>
        </is>
      </c>
      <c r="F198" s="23" t="inlineStr">
        <is>
          <t>Earlier professional decision, carried forward</t>
        </is>
      </c>
    </row>
    <row r="199" ht="34" customHeight="1">
      <c r="A199" s="23" t="inlineStr">
        <is>
          <t>Cost &amp; Forecast Control Accounts</t>
        </is>
      </c>
      <c r="B199" s="23" t="inlineStr">
        <is>
          <t>CST-05-013</t>
        </is>
      </c>
      <c r="C199" s="23" t="inlineStr">
        <is>
          <t>Testing &amp; readiness - trial running - control account</t>
        </is>
      </c>
      <c r="D199" s="23" t="inlineStr">
        <is>
          <t>UNSURE</t>
        </is>
      </c>
      <c r="E199" s="23" t="inlineStr">
        <is>
          <t>Maya Chen, Owner Project Controls</t>
        </is>
      </c>
      <c r="F199" s="23" t="inlineStr">
        <is>
          <t>Earlier professional decision, carried forward</t>
        </is>
      </c>
    </row>
    <row r="200" ht="34" customHeight="1">
      <c r="A200" s="23" t="inlineStr">
        <is>
          <t>Cost &amp; Forecast Control Accounts</t>
        </is>
      </c>
      <c r="B200" s="23" t="inlineStr">
        <is>
          <t>CST-05-014</t>
        </is>
      </c>
      <c r="C200" s="23" t="inlineStr">
        <is>
          <t>Testing &amp; readiness - safety certification - control account</t>
        </is>
      </c>
      <c r="D200" s="23" t="inlineStr">
        <is>
          <t>UNSURE</t>
        </is>
      </c>
      <c r="E200" s="23" t="inlineStr">
        <is>
          <t>Maya Chen, Owner Project Controls</t>
        </is>
      </c>
      <c r="F200" s="23" t="inlineStr">
        <is>
          <t>Earlier professional decision, carried forward</t>
        </is>
      </c>
    </row>
    <row r="201" ht="34" customHeight="1">
      <c r="A201" s="23" t="inlineStr">
        <is>
          <t>Cost &amp; Forecast Control Accounts</t>
        </is>
      </c>
      <c r="B201" s="23" t="inlineStr">
        <is>
          <t>CST-05-015</t>
        </is>
      </c>
      <c r="C201" s="23" t="inlineStr">
        <is>
          <t>Testing &amp; readiness - defect closeout - control account</t>
        </is>
      </c>
      <c r="D201" s="23" t="inlineStr">
        <is>
          <t>UNSURE</t>
        </is>
      </c>
      <c r="E201" s="23" t="inlineStr">
        <is>
          <t>Maya Chen, Owner Project Controls</t>
        </is>
      </c>
      <c r="F201" s="23" t="inlineStr">
        <is>
          <t>Earlier professional decision, carried forward</t>
        </is>
      </c>
    </row>
    <row r="202" ht="34" customHeight="1">
      <c r="A202" s="23" t="inlineStr">
        <is>
          <t>Cost &amp; Forecast Control Accounts</t>
        </is>
      </c>
      <c r="B202" s="23" t="inlineStr">
        <is>
          <t>CST-05-016</t>
        </is>
      </c>
      <c r="C202" s="23" t="inlineStr">
        <is>
          <t>Testing &amp; readiness - test management - control account</t>
        </is>
      </c>
      <c r="D202" s="23" t="inlineStr">
        <is>
          <t>UNSURE</t>
        </is>
      </c>
      <c r="E202" s="23" t="inlineStr">
        <is>
          <t>Maya Chen, Owner Project Controls</t>
        </is>
      </c>
      <c r="F202" s="23" t="inlineStr">
        <is>
          <t>Earlier professional decision, carried forward</t>
        </is>
      </c>
    </row>
    <row r="203" ht="34" customHeight="1">
      <c r="A203" s="23" t="inlineStr">
        <is>
          <t>Cost &amp; Forecast Control Accounts</t>
        </is>
      </c>
      <c r="B203" s="23" t="inlineStr">
        <is>
          <t>CST-05-017</t>
        </is>
      </c>
      <c r="C203" s="23" t="inlineStr">
        <is>
          <t>Testing &amp; readiness - trial running - control account</t>
        </is>
      </c>
      <c r="D203" s="23" t="inlineStr">
        <is>
          <t>UNSURE</t>
        </is>
      </c>
      <c r="E203" s="23" t="inlineStr">
        <is>
          <t>Maya Chen, Owner Project Controls</t>
        </is>
      </c>
      <c r="F203" s="23" t="inlineStr">
        <is>
          <t>Earlier professional decision, carried forward</t>
        </is>
      </c>
    </row>
    <row r="204" ht="34" customHeight="1">
      <c r="A204" s="23" t="inlineStr">
        <is>
          <t>Cost &amp; Forecast Control Accounts</t>
        </is>
      </c>
      <c r="B204" s="23" t="inlineStr">
        <is>
          <t>CST-05-018</t>
        </is>
      </c>
      <c r="C204" s="23" t="inlineStr">
        <is>
          <t>Testing &amp; readiness - safety certification - control account</t>
        </is>
      </c>
      <c r="D204" s="23" t="inlineStr">
        <is>
          <t>UNSURE</t>
        </is>
      </c>
      <c r="E204" s="23" t="inlineStr">
        <is>
          <t>Maya Chen, Owner Project Controls</t>
        </is>
      </c>
      <c r="F204" s="23" t="inlineStr">
        <is>
          <t>Earlier professional decision, carried forward</t>
        </is>
      </c>
    </row>
    <row r="205" ht="34" customHeight="1">
      <c r="A205" s="23" t="inlineStr">
        <is>
          <t>Cost &amp; Forecast Control Accounts</t>
        </is>
      </c>
      <c r="B205" s="23" t="inlineStr">
        <is>
          <t>CST-05-019</t>
        </is>
      </c>
      <c r="C205" s="23" t="inlineStr">
        <is>
          <t>Testing &amp; readiness - defect closeout - control account</t>
        </is>
      </c>
      <c r="D205" s="23" t="inlineStr">
        <is>
          <t>UNSURE</t>
        </is>
      </c>
      <c r="E205" s="23" t="inlineStr">
        <is>
          <t>Maya Chen, Owner Project Controls</t>
        </is>
      </c>
      <c r="F205" s="23" t="inlineStr">
        <is>
          <t>Earlier professional decision, carried forward</t>
        </is>
      </c>
    </row>
    <row r="206" ht="34" customHeight="1">
      <c r="A206" s="23" t="inlineStr">
        <is>
          <t>Cost &amp; Forecast Control Accounts</t>
        </is>
      </c>
      <c r="B206" s="23" t="inlineStr">
        <is>
          <t>CST-05-020</t>
        </is>
      </c>
      <c r="C206" s="23" t="inlineStr">
        <is>
          <t>Testing &amp; readiness - test management - control account</t>
        </is>
      </c>
      <c r="D206" s="23" t="inlineStr">
        <is>
          <t>UNSURE</t>
        </is>
      </c>
      <c r="E206" s="23" t="inlineStr">
        <is>
          <t>Maya Chen, Owner Project Controls</t>
        </is>
      </c>
      <c r="F206" s="23" t="inlineStr">
        <is>
          <t>Earlier professional decision, carried forward</t>
        </is>
      </c>
    </row>
    <row r="207" ht="34" customHeight="1">
      <c r="A207" s="23" t="inlineStr">
        <is>
          <t>Cost &amp; Forecast Control Accounts</t>
        </is>
      </c>
      <c r="B207" s="23" t="inlineStr">
        <is>
          <t>CST-05-021</t>
        </is>
      </c>
      <c r="C207" s="23" t="inlineStr">
        <is>
          <t>Testing &amp; readiness - trial running - control account</t>
        </is>
      </c>
      <c r="D207" s="23" t="inlineStr">
        <is>
          <t>UNSURE</t>
        </is>
      </c>
      <c r="E207" s="23" t="inlineStr">
        <is>
          <t>Maya Chen, Owner Project Controls</t>
        </is>
      </c>
      <c r="F207" s="23" t="inlineStr">
        <is>
          <t>Earlier professional decision, carried forward</t>
        </is>
      </c>
    </row>
    <row r="208" ht="34" customHeight="1">
      <c r="A208" s="23" t="inlineStr">
        <is>
          <t>Cost &amp; Forecast Control Accounts</t>
        </is>
      </c>
      <c r="B208" s="23" t="inlineStr">
        <is>
          <t>CST-05-022</t>
        </is>
      </c>
      <c r="C208" s="23" t="inlineStr">
        <is>
          <t>Testing &amp; readiness - safety certification - control account</t>
        </is>
      </c>
      <c r="D208" s="23" t="inlineStr">
        <is>
          <t>UNSURE</t>
        </is>
      </c>
      <c r="E208" s="23" t="inlineStr">
        <is>
          <t>Maya Chen, Owner Project Controls</t>
        </is>
      </c>
      <c r="F208" s="23" t="inlineStr">
        <is>
          <t>Earlier professional decision, carried forward</t>
        </is>
      </c>
    </row>
    <row r="209" ht="34" customHeight="1">
      <c r="A209" s="23" t="inlineStr">
        <is>
          <t>Cost &amp; Forecast Control Accounts</t>
        </is>
      </c>
      <c r="B209" s="23" t="inlineStr">
        <is>
          <t>CST-05-023</t>
        </is>
      </c>
      <c r="C209" s="23" t="inlineStr">
        <is>
          <t>Testing &amp; readiness - defect closeout - control account</t>
        </is>
      </c>
      <c r="D209" s="23" t="inlineStr">
        <is>
          <t>UNSURE</t>
        </is>
      </c>
      <c r="E209" s="23" t="inlineStr">
        <is>
          <t>Maya Chen, Owner Project Controls</t>
        </is>
      </c>
      <c r="F209" s="23" t="inlineStr">
        <is>
          <t>Earlier professional decision, carried forward</t>
        </is>
      </c>
    </row>
    <row r="210" ht="34" customHeight="1">
      <c r="A210" s="23" t="inlineStr">
        <is>
          <t>Cost &amp; Forecast Control Accounts</t>
        </is>
      </c>
      <c r="B210" s="23" t="inlineStr">
        <is>
          <t>CST-05-024</t>
        </is>
      </c>
      <c r="C210" s="23" t="inlineStr">
        <is>
          <t>Testing &amp; readiness - test management - control account</t>
        </is>
      </c>
      <c r="D210" s="23" t="inlineStr">
        <is>
          <t>UNSURE</t>
        </is>
      </c>
      <c r="E210" s="23" t="inlineStr">
        <is>
          <t>Maya Chen, Owner Project Controls</t>
        </is>
      </c>
      <c r="F210" s="23" t="inlineStr">
        <is>
          <t>Earlier professional decision, carried forward</t>
        </is>
      </c>
    </row>
    <row r="211" ht="34" customHeight="1">
      <c r="A211" s="23" t="inlineStr">
        <is>
          <t>Cost &amp; Forecast Control Accounts</t>
        </is>
      </c>
      <c r="B211" s="23" t="inlineStr">
        <is>
          <t>CST-05-025</t>
        </is>
      </c>
      <c r="C211" s="23" t="inlineStr">
        <is>
          <t>Testing &amp; readiness - trial running - control account</t>
        </is>
      </c>
      <c r="D211" s="23" t="inlineStr">
        <is>
          <t>UNSURE</t>
        </is>
      </c>
      <c r="E211" s="23" t="inlineStr">
        <is>
          <t>Maya Chen, Owner Project Controls</t>
        </is>
      </c>
      <c r="F211" s="23" t="inlineStr">
        <is>
          <t>Earlier professional decision, carried forward</t>
        </is>
      </c>
    </row>
    <row r="212" ht="34" customHeight="1">
      <c r="A212" s="23" t="inlineStr">
        <is>
          <t>Cost &amp; Forecast Control Accounts</t>
        </is>
      </c>
      <c r="B212" s="23" t="inlineStr">
        <is>
          <t>CST-05-026</t>
        </is>
      </c>
      <c r="C212" s="23" t="inlineStr">
        <is>
          <t>Testing &amp; readiness - safety certification - control account</t>
        </is>
      </c>
      <c r="D212" s="23" t="inlineStr">
        <is>
          <t>UNSURE</t>
        </is>
      </c>
      <c r="E212" s="23" t="inlineStr">
        <is>
          <t>Maya Chen, Owner Project Controls</t>
        </is>
      </c>
      <c r="F212" s="23" t="inlineStr">
        <is>
          <t>Earlier professional decision, carried forward</t>
        </is>
      </c>
    </row>
    <row r="213" ht="34" customHeight="1">
      <c r="A213" s="23" t="inlineStr">
        <is>
          <t>Cost &amp; Forecast Control Accounts</t>
        </is>
      </c>
      <c r="B213" s="23" t="inlineStr">
        <is>
          <t>CST-05-027</t>
        </is>
      </c>
      <c r="C213" s="23" t="inlineStr">
        <is>
          <t>Testing &amp; readiness - defect closeout - control account</t>
        </is>
      </c>
      <c r="D213" s="23" t="inlineStr">
        <is>
          <t>UNSURE</t>
        </is>
      </c>
      <c r="E213" s="23" t="inlineStr">
        <is>
          <t>Maya Chen, Owner Project Controls</t>
        </is>
      </c>
      <c r="F213" s="23" t="inlineStr">
        <is>
          <t>Earlier professional decision, carried forward</t>
        </is>
      </c>
    </row>
    <row r="214" ht="34" customHeight="1">
      <c r="A214" s="23" t="inlineStr">
        <is>
          <t>Cost &amp; Forecast Control Accounts</t>
        </is>
      </c>
      <c r="B214" s="23" t="inlineStr">
        <is>
          <t>CST-05-028</t>
        </is>
      </c>
      <c r="C214" s="23" t="inlineStr">
        <is>
          <t>Testing &amp; readiness - test management - control account</t>
        </is>
      </c>
      <c r="D214" s="23" t="inlineStr">
        <is>
          <t>UNSURE</t>
        </is>
      </c>
      <c r="E214" s="23" t="inlineStr">
        <is>
          <t>Maya Chen, Owner Project Controls</t>
        </is>
      </c>
      <c r="F214" s="23" t="inlineStr">
        <is>
          <t>Earlier professional decision, carried forward</t>
        </is>
      </c>
    </row>
    <row r="215" ht="34" customHeight="1">
      <c r="A215" s="23" t="inlineStr">
        <is>
          <t>Cost &amp; Forecast Control Accounts</t>
        </is>
      </c>
      <c r="B215" s="23" t="inlineStr">
        <is>
          <t>CST-05-029</t>
        </is>
      </c>
      <c r="C215" s="23" t="inlineStr">
        <is>
          <t>Testing &amp; readiness - trial running - control account</t>
        </is>
      </c>
      <c r="D215" s="23" t="inlineStr">
        <is>
          <t>UNSURE</t>
        </is>
      </c>
      <c r="E215" s="23" t="inlineStr">
        <is>
          <t>Maya Chen, Owner Project Controls</t>
        </is>
      </c>
      <c r="F215" s="23" t="inlineStr">
        <is>
          <t>Earlier professional decision, carried forward</t>
        </is>
      </c>
    </row>
    <row r="216" ht="34" customHeight="1">
      <c r="A216" s="23" t="inlineStr">
        <is>
          <t>Cost &amp; Forecast Control Accounts</t>
        </is>
      </c>
      <c r="B216" s="23" t="inlineStr">
        <is>
          <t>CST-05-030</t>
        </is>
      </c>
      <c r="C216" s="23" t="inlineStr">
        <is>
          <t>Testing &amp; readiness - safety certification - control account</t>
        </is>
      </c>
      <c r="D216" s="23" t="inlineStr">
        <is>
          <t>UNSURE</t>
        </is>
      </c>
      <c r="E216" s="23" t="inlineStr">
        <is>
          <t>Maya Chen, Owner Project Controls</t>
        </is>
      </c>
      <c r="F216" s="23" t="inlineStr">
        <is>
          <t>Earlier professional decision, carried forward</t>
        </is>
      </c>
    </row>
    <row r="217" ht="34" customHeight="1">
      <c r="A217" s="23" t="inlineStr">
        <is>
          <t>Cost &amp; Forecast Control Accounts</t>
        </is>
      </c>
      <c r="B217" s="23" t="inlineStr">
        <is>
          <t>CST-05-031</t>
        </is>
      </c>
      <c r="C217" s="23" t="inlineStr">
        <is>
          <t>Testing &amp; readiness - defect closeout - control account</t>
        </is>
      </c>
      <c r="D217" s="23" t="inlineStr">
        <is>
          <t>UNSURE</t>
        </is>
      </c>
      <c r="E217" s="23" t="inlineStr">
        <is>
          <t>Maya Chen, Owner Project Controls</t>
        </is>
      </c>
      <c r="F217" s="23" t="inlineStr">
        <is>
          <t>Earlier professional decision, carried forward</t>
        </is>
      </c>
    </row>
    <row r="218" ht="34" customHeight="1">
      <c r="A218" s="23" t="inlineStr">
        <is>
          <t>Cost &amp; Forecast Control Accounts</t>
        </is>
      </c>
      <c r="B218" s="23" t="inlineStr">
        <is>
          <t>CST-05-032</t>
        </is>
      </c>
      <c r="C218" s="23" t="inlineStr">
        <is>
          <t>Testing &amp; readiness - test management - control account</t>
        </is>
      </c>
      <c r="D218" s="23" t="inlineStr">
        <is>
          <t>UNSURE</t>
        </is>
      </c>
      <c r="E218" s="23" t="inlineStr">
        <is>
          <t>Maya Chen, Owner Project Controls</t>
        </is>
      </c>
      <c r="F218" s="23" t="inlineStr">
        <is>
          <t>Earlier professional decision, carried forward</t>
        </is>
      </c>
    </row>
    <row r="219" ht="34" customHeight="1">
      <c r="A219" s="23" t="inlineStr">
        <is>
          <t>Cost &amp; Forecast Control Accounts</t>
        </is>
      </c>
      <c r="B219" s="23" t="inlineStr">
        <is>
          <t>CST-05-033</t>
        </is>
      </c>
      <c r="C219" s="23" t="inlineStr">
        <is>
          <t>Testing &amp; readiness - trial running - control account</t>
        </is>
      </c>
      <c r="D219" s="23" t="inlineStr">
        <is>
          <t>UNSURE</t>
        </is>
      </c>
      <c r="E219" s="23" t="inlineStr">
        <is>
          <t>Maya Chen, Owner Project Controls</t>
        </is>
      </c>
      <c r="F219" s="23" t="inlineStr">
        <is>
          <t>Earlier professional decision, carried forward</t>
        </is>
      </c>
    </row>
    <row r="220" ht="34" customHeight="1">
      <c r="A220" s="23" t="inlineStr">
        <is>
          <t>Cost &amp; Forecast Control Accounts</t>
        </is>
      </c>
      <c r="B220" s="23" t="inlineStr">
        <is>
          <t>CST-05-034</t>
        </is>
      </c>
      <c r="C220" s="23" t="inlineStr">
        <is>
          <t>Testing &amp; readiness - safety certification - control account</t>
        </is>
      </c>
      <c r="D220" s="23" t="inlineStr">
        <is>
          <t>UNSURE</t>
        </is>
      </c>
      <c r="E220" s="23" t="inlineStr">
        <is>
          <t>Maya Chen, Owner Project Controls</t>
        </is>
      </c>
      <c r="F220" s="23" t="inlineStr">
        <is>
          <t>Earlier professional decision, carried forward</t>
        </is>
      </c>
    </row>
    <row r="221" ht="34" customHeight="1">
      <c r="A221" s="23" t="inlineStr">
        <is>
          <t>Cost &amp; Forecast Control Accounts</t>
        </is>
      </c>
      <c r="B221" s="23" t="inlineStr">
        <is>
          <t>CST-05-035</t>
        </is>
      </c>
      <c r="C221" s="23" t="inlineStr">
        <is>
          <t>Testing &amp; readiness - defect closeout - control account</t>
        </is>
      </c>
      <c r="D221" s="23" t="inlineStr">
        <is>
          <t>UNSURE</t>
        </is>
      </c>
      <c r="E221" s="23" t="inlineStr">
        <is>
          <t>Maya Chen, Owner Project Controls</t>
        </is>
      </c>
      <c r="F221" s="23" t="inlineStr">
        <is>
          <t>Earlier professional decision, carried forward</t>
        </is>
      </c>
    </row>
    <row r="222" ht="34" customHeight="1">
      <c r="A222" s="23" t="inlineStr">
        <is>
          <t>Cost &amp; Forecast Control Accounts</t>
        </is>
      </c>
      <c r="B222" s="23" t="inlineStr">
        <is>
          <t>CST-05-036</t>
        </is>
      </c>
      <c r="C222" s="23" t="inlineStr">
        <is>
          <t>Testing &amp; readiness - test management - control account</t>
        </is>
      </c>
      <c r="D222" s="23" t="inlineStr">
        <is>
          <t>UNSURE</t>
        </is>
      </c>
      <c r="E222" s="23" t="inlineStr">
        <is>
          <t>Maya Chen, Owner Project Controls</t>
        </is>
      </c>
      <c r="F222" s="23" t="inlineStr">
        <is>
          <t>Earlier professional decision, carried forward</t>
        </is>
      </c>
    </row>
    <row r="223" ht="34" customHeight="1">
      <c r="A223" s="23" t="inlineStr">
        <is>
          <t>Cost &amp; Forecast Control Accounts</t>
        </is>
      </c>
      <c r="B223" s="23" t="inlineStr">
        <is>
          <t>CST-05-037</t>
        </is>
      </c>
      <c r="C223" s="23" t="inlineStr">
        <is>
          <t>Testing &amp; readiness - trial running - control account</t>
        </is>
      </c>
      <c r="D223" s="23" t="inlineStr">
        <is>
          <t>UNSURE</t>
        </is>
      </c>
      <c r="E223" s="23" t="inlineStr">
        <is>
          <t>Maya Chen, Owner Project Controls</t>
        </is>
      </c>
      <c r="F223" s="23" t="inlineStr">
        <is>
          <t>Earlier professional decision, carried forward</t>
        </is>
      </c>
    </row>
    <row r="224" ht="34" customHeight="1">
      <c r="A224" s="23" t="inlineStr">
        <is>
          <t>Cost &amp; Forecast Control Accounts</t>
        </is>
      </c>
      <c r="B224" s="23" t="inlineStr">
        <is>
          <t>CST-05-038</t>
        </is>
      </c>
      <c r="C224" s="23" t="inlineStr">
        <is>
          <t>Testing &amp; readiness - safety certification - control account</t>
        </is>
      </c>
      <c r="D224" s="23" t="inlineStr">
        <is>
          <t>UNSURE</t>
        </is>
      </c>
      <c r="E224" s="23" t="inlineStr">
        <is>
          <t>Maya Chen, Owner Project Controls</t>
        </is>
      </c>
      <c r="F224" s="23" t="inlineStr">
        <is>
          <t>Earlier professional decision, carried forward</t>
        </is>
      </c>
    </row>
    <row r="225" ht="34" customHeight="1">
      <c r="A225" s="23" t="inlineStr">
        <is>
          <t>Cost &amp; Forecast Control Accounts</t>
        </is>
      </c>
      <c r="B225" s="23" t="inlineStr">
        <is>
          <t>CST-05-039</t>
        </is>
      </c>
      <c r="C225" s="23" t="inlineStr">
        <is>
          <t>Testing &amp; readiness - defect closeout - control account</t>
        </is>
      </c>
      <c r="D225" s="23" t="inlineStr">
        <is>
          <t>UNSURE</t>
        </is>
      </c>
      <c r="E225" s="23" t="inlineStr">
        <is>
          <t>Maya Chen, Owner Project Controls</t>
        </is>
      </c>
      <c r="F225" s="23" t="inlineStr">
        <is>
          <t>Earlier professional decision, carried forward</t>
        </is>
      </c>
    </row>
    <row r="226" ht="34" customHeight="1">
      <c r="A226" s="23" t="inlineStr">
        <is>
          <t>Cost &amp; Forecast Control Accounts</t>
        </is>
      </c>
      <c r="B226" s="23" t="inlineStr">
        <is>
          <t>CST-05-040</t>
        </is>
      </c>
      <c r="C226" s="23" t="inlineStr">
        <is>
          <t>Testing &amp; readiness - test management - control account</t>
        </is>
      </c>
      <c r="D226" s="23" t="inlineStr">
        <is>
          <t>UNSURE</t>
        </is>
      </c>
      <c r="E226" s="23" t="inlineStr">
        <is>
          <t>Maya Chen, Owner Project Controls</t>
        </is>
      </c>
      <c r="F226" s="23" t="inlineStr">
        <is>
          <t>Earlier professional decision, carried forward</t>
        </is>
      </c>
    </row>
    <row r="227" ht="34" customHeight="1">
      <c r="A227" s="23" t="inlineStr">
        <is>
          <t>Cost &amp; Forecast Control Accounts</t>
        </is>
      </c>
      <c r="B227" s="23" t="inlineStr">
        <is>
          <t>CST-05-041</t>
        </is>
      </c>
      <c r="C227" s="23" t="inlineStr">
        <is>
          <t>Testing &amp; readiness - trial running - control account</t>
        </is>
      </c>
      <c r="D227" s="23" t="inlineStr">
        <is>
          <t>UNSURE</t>
        </is>
      </c>
      <c r="E227" s="23" t="inlineStr">
        <is>
          <t>Maya Chen, Owner Project Controls</t>
        </is>
      </c>
      <c r="F227" s="23" t="inlineStr">
        <is>
          <t>Earlier professional decision, carried forward</t>
        </is>
      </c>
    </row>
    <row r="228" ht="34" customHeight="1">
      <c r="A228" s="23" t="inlineStr">
        <is>
          <t>Cost &amp; Forecast Control Accounts</t>
        </is>
      </c>
      <c r="B228" s="23" t="inlineStr">
        <is>
          <t>CST-05-042</t>
        </is>
      </c>
      <c r="C228" s="23" t="inlineStr">
        <is>
          <t>Testing &amp; readiness - safety certification - control account</t>
        </is>
      </c>
      <c r="D228" s="23" t="inlineStr">
        <is>
          <t>UNSURE</t>
        </is>
      </c>
      <c r="E228" s="23" t="inlineStr">
        <is>
          <t>Maya Chen, Owner Project Controls</t>
        </is>
      </c>
      <c r="F228" s="23" t="inlineStr">
        <is>
          <t>Earlier professional decision, carried forward</t>
        </is>
      </c>
    </row>
    <row r="229" ht="34" customHeight="1">
      <c r="A229" s="23" t="inlineStr">
        <is>
          <t>Cost &amp; Forecast Control Accounts</t>
        </is>
      </c>
      <c r="B229" s="23" t="inlineStr">
        <is>
          <t>CST-05-043</t>
        </is>
      </c>
      <c r="C229" s="23" t="inlineStr">
        <is>
          <t>Testing &amp; readiness - defect closeout - control account</t>
        </is>
      </c>
      <c r="D229" s="23" t="inlineStr">
        <is>
          <t>UNSURE</t>
        </is>
      </c>
      <c r="E229" s="23" t="inlineStr">
        <is>
          <t>Maya Chen, Owner Project Controls</t>
        </is>
      </c>
      <c r="F229" s="23" t="inlineStr">
        <is>
          <t>Earlier professional decision, carried forward</t>
        </is>
      </c>
    </row>
    <row r="230" ht="34" customHeight="1">
      <c r="A230" s="23" t="inlineStr">
        <is>
          <t>Cost &amp; Forecast Control Accounts</t>
        </is>
      </c>
      <c r="B230" s="23" t="inlineStr">
        <is>
          <t>CST-05-044</t>
        </is>
      </c>
      <c r="C230" s="23" t="inlineStr">
        <is>
          <t>Testing &amp; readiness - test management - control account</t>
        </is>
      </c>
      <c r="D230" s="23" t="inlineStr">
        <is>
          <t>UNSURE</t>
        </is>
      </c>
      <c r="E230" s="23" t="inlineStr">
        <is>
          <t>Maya Chen, Owner Project Controls</t>
        </is>
      </c>
      <c r="F230" s="23" t="inlineStr">
        <is>
          <t>Earlier professional decision, carried forward</t>
        </is>
      </c>
    </row>
    <row r="231" ht="34" customHeight="1">
      <c r="A231" s="23" t="inlineStr">
        <is>
          <t>Cost &amp; Forecast Control Accounts</t>
        </is>
      </c>
      <c r="B231" s="23" t="inlineStr">
        <is>
          <t>CST-05-045</t>
        </is>
      </c>
      <c r="C231" s="23" t="inlineStr">
        <is>
          <t>Testing &amp; readiness - trial running - control account</t>
        </is>
      </c>
      <c r="D231" s="23" t="inlineStr">
        <is>
          <t>UNSURE</t>
        </is>
      </c>
      <c r="E231" s="23" t="inlineStr">
        <is>
          <t>Maya Chen, Owner Project Controls</t>
        </is>
      </c>
      <c r="F231" s="23" t="inlineStr">
        <is>
          <t>Earlier professional decision, carried forward</t>
        </is>
      </c>
    </row>
    <row r="232" ht="34" customHeight="1">
      <c r="A232" s="23" t="inlineStr">
        <is>
          <t>Cost &amp; Forecast Control Accounts</t>
        </is>
      </c>
      <c r="B232" s="23" t="inlineStr">
        <is>
          <t>CST-05-046</t>
        </is>
      </c>
      <c r="C232" s="23" t="inlineStr">
        <is>
          <t>Testing &amp; readiness - safety certification - control account</t>
        </is>
      </c>
      <c r="D232" s="23" t="inlineStr">
        <is>
          <t>UNSURE</t>
        </is>
      </c>
      <c r="E232" s="23" t="inlineStr">
        <is>
          <t>Maya Chen, Owner Project Controls</t>
        </is>
      </c>
      <c r="F232" s="23" t="inlineStr">
        <is>
          <t>Earlier professional decision, carried forward</t>
        </is>
      </c>
    </row>
    <row r="233" ht="34" customHeight="1">
      <c r="A233" s="23" t="inlineStr">
        <is>
          <t>Cost &amp; Forecast Control Accounts</t>
        </is>
      </c>
      <c r="B233" s="23" t="inlineStr">
        <is>
          <t>CST-05-047</t>
        </is>
      </c>
      <c r="C233" s="23" t="inlineStr">
        <is>
          <t>Testing &amp; readiness - defect closeout - control account</t>
        </is>
      </c>
      <c r="D233" s="23" t="inlineStr">
        <is>
          <t>UNSURE</t>
        </is>
      </c>
      <c r="E233" s="23" t="inlineStr">
        <is>
          <t>Maya Chen, Owner Project Controls</t>
        </is>
      </c>
      <c r="F233" s="23" t="inlineStr">
        <is>
          <t>Earlier professional decision, carried forward</t>
        </is>
      </c>
    </row>
    <row r="234" ht="34" customHeight="1">
      <c r="A234" s="23" t="inlineStr">
        <is>
          <t>Cost &amp; Forecast Control Accounts</t>
        </is>
      </c>
      <c r="B234" s="23" t="inlineStr">
        <is>
          <t>CST-05-048</t>
        </is>
      </c>
      <c r="C234" s="23" t="inlineStr">
        <is>
          <t>Testing &amp; readiness - test management - control account</t>
        </is>
      </c>
      <c r="D234" s="23" t="inlineStr">
        <is>
          <t>UNSURE</t>
        </is>
      </c>
      <c r="E234" s="23" t="inlineStr">
        <is>
          <t>Maya Chen, Owner Project Controls</t>
        </is>
      </c>
      <c r="F234" s="23" t="inlineStr">
        <is>
          <t>Earlier professional decision, carried forward</t>
        </is>
      </c>
    </row>
    <row r="235" ht="34" customHeight="1">
      <c r="A235" s="23" t="inlineStr">
        <is>
          <t>Cost &amp; Forecast Control Accounts</t>
        </is>
      </c>
      <c r="B235" s="23" t="inlineStr">
        <is>
          <t>CST-05-049</t>
        </is>
      </c>
      <c r="C235" s="23" t="inlineStr">
        <is>
          <t>Testing &amp; readiness - trial running - control account</t>
        </is>
      </c>
      <c r="D235" s="23" t="inlineStr">
        <is>
          <t>UNSURE</t>
        </is>
      </c>
      <c r="E235" s="23" t="inlineStr">
        <is>
          <t>Maya Chen, Owner Project Controls</t>
        </is>
      </c>
      <c r="F235" s="23" t="inlineStr">
        <is>
          <t>Earlier professional decision, carried forward</t>
        </is>
      </c>
    </row>
    <row r="236" ht="34" customHeight="1">
      <c r="A236" s="23" t="inlineStr">
        <is>
          <t>Cost &amp; Forecast Control Accounts</t>
        </is>
      </c>
      <c r="B236" s="23" t="inlineStr">
        <is>
          <t>CST-05-050</t>
        </is>
      </c>
      <c r="C236" s="23" t="inlineStr">
        <is>
          <t>Testing &amp; readiness - safety certification - control account</t>
        </is>
      </c>
      <c r="D236" s="23" t="inlineStr">
        <is>
          <t>UNSURE</t>
        </is>
      </c>
      <c r="E236" s="23" t="inlineStr">
        <is>
          <t>Maya Chen, Owner Project Controls</t>
        </is>
      </c>
      <c r="F236" s="23" t="inlineStr">
        <is>
          <t>Earlier professional decision, carried forward</t>
        </is>
      </c>
    </row>
    <row r="237" ht="34" customHeight="1">
      <c r="A237" s="23" t="inlineStr">
        <is>
          <t>Cost &amp; Forecast Control Accounts</t>
        </is>
      </c>
      <c r="B237" s="23" t="inlineStr">
        <is>
          <t>CST-05-051</t>
        </is>
      </c>
      <c r="C237" s="23" t="inlineStr">
        <is>
          <t>Testing &amp; readiness - defect closeout - control account</t>
        </is>
      </c>
      <c r="D237" s="23" t="inlineStr">
        <is>
          <t>UNSURE</t>
        </is>
      </c>
      <c r="E237" s="23" t="inlineStr">
        <is>
          <t>Maya Chen, Owner Project Controls</t>
        </is>
      </c>
      <c r="F237" s="23" t="inlineStr">
        <is>
          <t>Earlier professional decision, carried forward</t>
        </is>
      </c>
    </row>
    <row r="238" ht="34" customHeight="1">
      <c r="A238" s="23" t="inlineStr">
        <is>
          <t>Cost &amp; Forecast Control Accounts</t>
        </is>
      </c>
      <c r="B238" s="23" t="inlineStr">
        <is>
          <t>CST-05-052</t>
        </is>
      </c>
      <c r="C238" s="23" t="inlineStr">
        <is>
          <t>Testing &amp; readiness - test management - control account</t>
        </is>
      </c>
      <c r="D238" s="23" t="inlineStr">
        <is>
          <t>UNSURE</t>
        </is>
      </c>
      <c r="E238" s="23" t="inlineStr">
        <is>
          <t>Maya Chen, Owner Project Controls</t>
        </is>
      </c>
      <c r="F238" s="23" t="inlineStr">
        <is>
          <t>Earlier professional decision, carried forward</t>
        </is>
      </c>
    </row>
    <row r="239" ht="34" customHeight="1">
      <c r="A239" s="23" t="inlineStr">
        <is>
          <t>Cost &amp; Forecast Control Accounts</t>
        </is>
      </c>
      <c r="B239" s="23" t="inlineStr">
        <is>
          <t>CST-05-053</t>
        </is>
      </c>
      <c r="C239" s="23" t="inlineStr">
        <is>
          <t>Testing &amp; readiness - trial running - control account</t>
        </is>
      </c>
      <c r="D239" s="23" t="inlineStr">
        <is>
          <t>UNSURE</t>
        </is>
      </c>
      <c r="E239" s="23" t="inlineStr">
        <is>
          <t>Maya Chen, Owner Project Controls</t>
        </is>
      </c>
      <c r="F239" s="23" t="inlineStr">
        <is>
          <t>Earlier professional decision, carried forward</t>
        </is>
      </c>
    </row>
    <row r="240" ht="34" customHeight="1">
      <c r="A240" s="23" t="inlineStr">
        <is>
          <t>Cost &amp; Forecast Control Accounts</t>
        </is>
      </c>
      <c r="B240" s="23" t="inlineStr">
        <is>
          <t>CST-05-054</t>
        </is>
      </c>
      <c r="C240" s="23" t="inlineStr">
        <is>
          <t>Testing &amp; readiness - safety certification - control account</t>
        </is>
      </c>
      <c r="D240" s="23" t="inlineStr">
        <is>
          <t>UNSURE</t>
        </is>
      </c>
      <c r="E240" s="23" t="inlineStr">
        <is>
          <t>Maya Chen, Owner Project Controls</t>
        </is>
      </c>
      <c r="F240" s="23" t="inlineStr">
        <is>
          <t>Earlier professional decision, carried forward</t>
        </is>
      </c>
    </row>
    <row r="241" ht="34" customHeight="1">
      <c r="A241" s="23" t="inlineStr">
        <is>
          <t>Cost &amp; Forecast Control Accounts</t>
        </is>
      </c>
      <c r="B241" s="23" t="inlineStr">
        <is>
          <t>CST-05-055</t>
        </is>
      </c>
      <c r="C241" s="23" t="inlineStr">
        <is>
          <t>Testing &amp; readiness - defect closeout - control account</t>
        </is>
      </c>
      <c r="D241" s="23" t="inlineStr">
        <is>
          <t>UNSURE</t>
        </is>
      </c>
      <c r="E241" s="23" t="inlineStr">
        <is>
          <t>Maya Chen, Owner Project Controls</t>
        </is>
      </c>
      <c r="F241" s="23" t="inlineStr">
        <is>
          <t>Earlier professional decision, carried forward</t>
        </is>
      </c>
    </row>
    <row r="242" ht="34" customHeight="1">
      <c r="A242" s="23" t="inlineStr">
        <is>
          <t>Cost &amp; Forecast Control Accounts</t>
        </is>
      </c>
      <c r="B242" s="23" t="inlineStr">
        <is>
          <t>CST-05-056</t>
        </is>
      </c>
      <c r="C242" s="23" t="inlineStr">
        <is>
          <t>Testing &amp; readiness - test management - control account</t>
        </is>
      </c>
      <c r="D242" s="23" t="inlineStr">
        <is>
          <t>UNSURE</t>
        </is>
      </c>
      <c r="E242" s="23" t="inlineStr">
        <is>
          <t>Maya Chen, Owner Project Controls</t>
        </is>
      </c>
      <c r="F242" s="23" t="inlineStr">
        <is>
          <t>Earlier professional decision, carried forward</t>
        </is>
      </c>
    </row>
    <row r="243" ht="34" customHeight="1">
      <c r="A243" s="23" t="inlineStr">
        <is>
          <t>Cost &amp; Forecast Control Accounts</t>
        </is>
      </c>
      <c r="B243" s="23" t="inlineStr">
        <is>
          <t>CST-05-057</t>
        </is>
      </c>
      <c r="C243" s="23" t="inlineStr">
        <is>
          <t>Testing &amp; readiness - trial running - control account</t>
        </is>
      </c>
      <c r="D243" s="23" t="inlineStr">
        <is>
          <t>UNSURE</t>
        </is>
      </c>
      <c r="E243" s="23" t="inlineStr">
        <is>
          <t>Maya Chen, Owner Project Controls</t>
        </is>
      </c>
      <c r="F243" s="23" t="inlineStr">
        <is>
          <t>Earlier professional decision, carried forward</t>
        </is>
      </c>
    </row>
    <row r="244" ht="34" customHeight="1">
      <c r="A244" s="23" t="inlineStr">
        <is>
          <t>Cost &amp; Forecast Control Accounts</t>
        </is>
      </c>
      <c r="B244" s="23" t="inlineStr">
        <is>
          <t>CST-05-058</t>
        </is>
      </c>
      <c r="C244" s="23" t="inlineStr">
        <is>
          <t>Testing &amp; readiness - safety certification - control account</t>
        </is>
      </c>
      <c r="D244" s="23" t="inlineStr">
        <is>
          <t>UNSURE</t>
        </is>
      </c>
      <c r="E244" s="23" t="inlineStr">
        <is>
          <t>Maya Chen, Owner Project Controls</t>
        </is>
      </c>
      <c r="F244" s="23" t="inlineStr">
        <is>
          <t>Earlier professional decision, carried forward</t>
        </is>
      </c>
    </row>
    <row r="245" ht="34" customHeight="1">
      <c r="A245" s="23" t="inlineStr">
        <is>
          <t>Cost &amp; Forecast Control Accounts</t>
        </is>
      </c>
      <c r="B245" s="23" t="inlineStr">
        <is>
          <t>CST-05-059</t>
        </is>
      </c>
      <c r="C245" s="23" t="inlineStr">
        <is>
          <t>Testing &amp; readiness - defect closeout - control account</t>
        </is>
      </c>
      <c r="D245" s="23" t="inlineStr">
        <is>
          <t>UNSURE</t>
        </is>
      </c>
      <c r="E245" s="23" t="inlineStr">
        <is>
          <t>Maya Chen, Owner Project Controls</t>
        </is>
      </c>
      <c r="F245" s="23" t="inlineStr">
        <is>
          <t>Earlier professional decision, carried forward</t>
        </is>
      </c>
    </row>
    <row r="246" ht="34" customHeight="1">
      <c r="A246" s="23" t="inlineStr">
        <is>
          <t>Cost &amp; Forecast Control Accounts</t>
        </is>
      </c>
      <c r="B246" s="23" t="inlineStr">
        <is>
          <t>CST-05-060</t>
        </is>
      </c>
      <c r="C246" s="23" t="inlineStr">
        <is>
          <t>Testing &amp; readiness - test management - control account</t>
        </is>
      </c>
      <c r="D246" s="23" t="inlineStr">
        <is>
          <t>UNSURE</t>
        </is>
      </c>
      <c r="E246" s="23" t="inlineStr">
        <is>
          <t>Maya Chen, Owner Project Controls</t>
        </is>
      </c>
      <c r="F246" s="23" t="inlineStr">
        <is>
          <t>Earlier professional decision, carried forward</t>
        </is>
      </c>
    </row>
    <row r="247" ht="34" customHeight="1">
      <c r="A247" s="23" t="inlineStr">
        <is>
          <t>Cost &amp; Forecast Control Accounts</t>
        </is>
      </c>
      <c r="B247" s="23" t="inlineStr">
        <is>
          <t>CST-05-061</t>
        </is>
      </c>
      <c r="C247" s="23" t="inlineStr">
        <is>
          <t>Testing &amp; readiness - trial running - control account</t>
        </is>
      </c>
      <c r="D247" s="23" t="inlineStr">
        <is>
          <t>UNSURE</t>
        </is>
      </c>
      <c r="E247" s="23" t="inlineStr">
        <is>
          <t>Maya Chen, Owner Project Controls</t>
        </is>
      </c>
      <c r="F247" s="23" t="inlineStr">
        <is>
          <t>Earlier professional decision, carried forward</t>
        </is>
      </c>
    </row>
    <row r="248" ht="34" customHeight="1">
      <c r="A248" s="23" t="inlineStr">
        <is>
          <t>Cost &amp; Forecast Control Accounts</t>
        </is>
      </c>
      <c r="B248" s="23" t="inlineStr">
        <is>
          <t>CST-05-062</t>
        </is>
      </c>
      <c r="C248" s="23" t="inlineStr">
        <is>
          <t>Testing &amp; readiness - safety certification - control account</t>
        </is>
      </c>
      <c r="D248" s="23" t="inlineStr">
        <is>
          <t>UNSURE</t>
        </is>
      </c>
      <c r="E248" s="23" t="inlineStr">
        <is>
          <t>Maya Chen, Owner Project Controls</t>
        </is>
      </c>
      <c r="F248" s="23" t="inlineStr">
        <is>
          <t>Earlier professional decision, carried forward</t>
        </is>
      </c>
    </row>
    <row r="249" ht="34" customHeight="1">
      <c r="A249" s="23" t="inlineStr">
        <is>
          <t>Cost &amp; Forecast Control Accounts</t>
        </is>
      </c>
      <c r="B249" s="23" t="inlineStr">
        <is>
          <t>CST-05-063</t>
        </is>
      </c>
      <c r="C249" s="23" t="inlineStr">
        <is>
          <t>Testing &amp; readiness - defect closeout - control account</t>
        </is>
      </c>
      <c r="D249" s="23" t="inlineStr">
        <is>
          <t>UNSURE</t>
        </is>
      </c>
      <c r="E249" s="23" t="inlineStr">
        <is>
          <t>Maya Chen, Owner Project Controls</t>
        </is>
      </c>
      <c r="F249" s="23" t="inlineStr">
        <is>
          <t>Earlier professional decision, carried forward</t>
        </is>
      </c>
    </row>
    <row r="250" ht="34" customHeight="1">
      <c r="A250" s="23" t="inlineStr">
        <is>
          <t>Cost &amp; Forecast Control Accounts</t>
        </is>
      </c>
      <c r="B250" s="23" t="inlineStr">
        <is>
          <t>CST-05-064</t>
        </is>
      </c>
      <c r="C250" s="23" t="inlineStr">
        <is>
          <t>Testing &amp; readiness - test management - control account</t>
        </is>
      </c>
      <c r="D250" s="23" t="inlineStr">
        <is>
          <t>UNSURE</t>
        </is>
      </c>
      <c r="E250" s="23" t="inlineStr">
        <is>
          <t>Maya Chen, Owner Project Controls</t>
        </is>
      </c>
      <c r="F250" s="23" t="inlineStr">
        <is>
          <t>Earlier professional decision, carried forward</t>
        </is>
      </c>
    </row>
    <row r="251" ht="34" customHeight="1">
      <c r="A251" s="23" t="inlineStr">
        <is>
          <t>Cost &amp; Forecast Control Accounts</t>
        </is>
      </c>
      <c r="B251" s="23" t="inlineStr">
        <is>
          <t>CST-05-065</t>
        </is>
      </c>
      <c r="C251" s="23" t="inlineStr">
        <is>
          <t>Testing &amp; readiness - trial running - control account</t>
        </is>
      </c>
      <c r="D251" s="23" t="inlineStr">
        <is>
          <t>UNSURE</t>
        </is>
      </c>
      <c r="E251" s="23" t="inlineStr">
        <is>
          <t>Maya Chen, Owner Project Controls</t>
        </is>
      </c>
      <c r="F251" s="23" t="inlineStr">
        <is>
          <t>Earlier professional decision, carried forward</t>
        </is>
      </c>
    </row>
    <row r="252" ht="34" customHeight="1">
      <c r="A252" s="23" t="inlineStr">
        <is>
          <t>Cost &amp; Forecast Control Accounts</t>
        </is>
      </c>
      <c r="B252" s="23" t="inlineStr">
        <is>
          <t>CST-05-066</t>
        </is>
      </c>
      <c r="C252" s="23" t="inlineStr">
        <is>
          <t>Testing &amp; readiness - safety certification - control account</t>
        </is>
      </c>
      <c r="D252" s="23" t="inlineStr">
        <is>
          <t>UNSURE</t>
        </is>
      </c>
      <c r="E252" s="23" t="inlineStr">
        <is>
          <t>Maya Chen, Owner Project Controls</t>
        </is>
      </c>
      <c r="F252" s="23" t="inlineStr">
        <is>
          <t>Earlier professional decision, carried forward</t>
        </is>
      </c>
    </row>
    <row r="253" ht="34" customHeight="1">
      <c r="A253" s="23" t="inlineStr">
        <is>
          <t>Cost &amp; Forecast Control Accounts</t>
        </is>
      </c>
      <c r="B253" s="23" t="inlineStr">
        <is>
          <t>CST-05-067</t>
        </is>
      </c>
      <c r="C253" s="23" t="inlineStr">
        <is>
          <t>Testing &amp; readiness - defect closeout - control account</t>
        </is>
      </c>
      <c r="D253" s="23" t="inlineStr">
        <is>
          <t>UNSURE</t>
        </is>
      </c>
      <c r="E253" s="23" t="inlineStr">
        <is>
          <t>Maya Chen, Owner Project Controls</t>
        </is>
      </c>
      <c r="F253" s="23" t="inlineStr">
        <is>
          <t>Earlier professional decision, carried forward</t>
        </is>
      </c>
    </row>
    <row r="254" ht="34" customHeight="1">
      <c r="A254" s="23" t="inlineStr">
        <is>
          <t>Cost &amp; Forecast Control Accounts</t>
        </is>
      </c>
      <c r="B254" s="23" t="inlineStr">
        <is>
          <t>CST-05-068</t>
        </is>
      </c>
      <c r="C254" s="23" t="inlineStr">
        <is>
          <t>Testing &amp; readiness - test management - control account</t>
        </is>
      </c>
      <c r="D254" s="23" t="inlineStr">
        <is>
          <t>UNSURE</t>
        </is>
      </c>
      <c r="E254" s="23" t="inlineStr">
        <is>
          <t>Maya Chen, Owner Project Controls</t>
        </is>
      </c>
      <c r="F254" s="23" t="inlineStr">
        <is>
          <t>Earlier professional decision, carried forward</t>
        </is>
      </c>
    </row>
    <row r="255" ht="34" customHeight="1">
      <c r="A255" s="23" t="inlineStr">
        <is>
          <t>Cost &amp; Forecast Control Accounts</t>
        </is>
      </c>
      <c r="B255" s="23" t="inlineStr">
        <is>
          <t>CST-05-069</t>
        </is>
      </c>
      <c r="C255" s="23" t="inlineStr">
        <is>
          <t>Testing &amp; readiness - trial running - control account</t>
        </is>
      </c>
      <c r="D255" s="23" t="inlineStr">
        <is>
          <t>UNSURE</t>
        </is>
      </c>
      <c r="E255" s="23" t="inlineStr">
        <is>
          <t>Maya Chen, Owner Project Controls</t>
        </is>
      </c>
      <c r="F255" s="23" t="inlineStr">
        <is>
          <t>Earlier professional decision, carried forward</t>
        </is>
      </c>
    </row>
    <row r="256" ht="34" customHeight="1">
      <c r="A256" s="23" t="inlineStr">
        <is>
          <t>Cost &amp; Forecast Control Accounts</t>
        </is>
      </c>
      <c r="B256" s="23" t="inlineStr">
        <is>
          <t>CST-05-070</t>
        </is>
      </c>
      <c r="C256" s="23" t="inlineStr">
        <is>
          <t>Testing &amp; readiness - safety certification - control account</t>
        </is>
      </c>
      <c r="D256" s="23" t="inlineStr">
        <is>
          <t>UNSURE</t>
        </is>
      </c>
      <c r="E256" s="23" t="inlineStr">
        <is>
          <t>Maya Chen, Owner Project Controls</t>
        </is>
      </c>
      <c r="F256" s="23" t="inlineStr">
        <is>
          <t>Earlier professional decision, carried forward</t>
        </is>
      </c>
    </row>
    <row r="257" ht="34" customHeight="1">
      <c r="A257" s="23" t="inlineStr">
        <is>
          <t>Cost &amp; Forecast Control Accounts</t>
        </is>
      </c>
      <c r="B257" s="23" t="inlineStr">
        <is>
          <t>CST-05-071</t>
        </is>
      </c>
      <c r="C257" s="23" t="inlineStr">
        <is>
          <t>Testing &amp; readiness - defect closeout - control account</t>
        </is>
      </c>
      <c r="D257" s="23" t="inlineStr">
        <is>
          <t>UNSURE</t>
        </is>
      </c>
      <c r="E257" s="23" t="inlineStr">
        <is>
          <t>Maya Chen, Owner Project Controls</t>
        </is>
      </c>
      <c r="F257" s="23" t="inlineStr">
        <is>
          <t>Earlier professional decision, carried forward</t>
        </is>
      </c>
    </row>
    <row r="258" ht="34" customHeight="1">
      <c r="A258" s="23" t="inlineStr">
        <is>
          <t>Cost &amp; Forecast Control Accounts</t>
        </is>
      </c>
      <c r="B258" s="23" t="inlineStr">
        <is>
          <t>CST-05-072</t>
        </is>
      </c>
      <c r="C258" s="23" t="inlineStr">
        <is>
          <t>Testing &amp; readiness - test management - control account</t>
        </is>
      </c>
      <c r="D258" s="23" t="inlineStr">
        <is>
          <t>UNSURE</t>
        </is>
      </c>
      <c r="E258" s="23" t="inlineStr">
        <is>
          <t>Maya Chen, Owner Project Controls</t>
        </is>
      </c>
      <c r="F258" s="23" t="inlineStr">
        <is>
          <t>Earlier professional decision, carried forward</t>
        </is>
      </c>
    </row>
    <row r="259" ht="34" customHeight="1">
      <c r="A259" s="23" t="inlineStr">
        <is>
          <t>Cost &amp; Forecast Control Accounts</t>
        </is>
      </c>
      <c r="B259" s="23" t="inlineStr">
        <is>
          <t>CST-05-073</t>
        </is>
      </c>
      <c r="C259" s="23" t="inlineStr">
        <is>
          <t>Testing &amp; readiness - trial running - control account</t>
        </is>
      </c>
      <c r="D259" s="23" t="inlineStr">
        <is>
          <t>UNSURE</t>
        </is>
      </c>
      <c r="E259" s="23" t="inlineStr">
        <is>
          <t>Maya Chen, Owner Project Controls</t>
        </is>
      </c>
      <c r="F259" s="23" t="inlineStr">
        <is>
          <t>Earlier professional decision, carried forward</t>
        </is>
      </c>
    </row>
    <row r="260" ht="34" customHeight="1">
      <c r="A260" s="23" t="inlineStr">
        <is>
          <t>Cost &amp; Forecast Control Accounts</t>
        </is>
      </c>
      <c r="B260" s="23" t="inlineStr">
        <is>
          <t>CST-05-074</t>
        </is>
      </c>
      <c r="C260" s="23" t="inlineStr">
        <is>
          <t>Testing &amp; readiness - safety certification - control account</t>
        </is>
      </c>
      <c r="D260" s="23" t="inlineStr">
        <is>
          <t>UNSURE</t>
        </is>
      </c>
      <c r="E260" s="23" t="inlineStr">
        <is>
          <t>Maya Chen, Owner Project Controls</t>
        </is>
      </c>
      <c r="F260" s="23" t="inlineStr">
        <is>
          <t>Earlier professional decision, carried forward</t>
        </is>
      </c>
    </row>
    <row r="261" ht="34" customHeight="1">
      <c r="A261" s="23" t="inlineStr">
        <is>
          <t>Cost &amp; Forecast Control Accounts</t>
        </is>
      </c>
      <c r="B261" s="23" t="inlineStr">
        <is>
          <t>CST-05-075</t>
        </is>
      </c>
      <c r="C261" s="23" t="inlineStr">
        <is>
          <t>Testing &amp; readiness - defect closeout - control account</t>
        </is>
      </c>
      <c r="D261" s="23" t="inlineStr">
        <is>
          <t>UNSURE</t>
        </is>
      </c>
      <c r="E261" s="23" t="inlineStr">
        <is>
          <t>Maya Chen, Owner Project Controls</t>
        </is>
      </c>
      <c r="F261" s="23" t="inlineStr">
        <is>
          <t>Earlier professional decision, carried forward</t>
        </is>
      </c>
    </row>
    <row r="262" ht="34" customHeight="1">
      <c r="A262" s="23" t="inlineStr">
        <is>
          <t>Cost &amp; Forecast Control Accounts</t>
        </is>
      </c>
      <c r="B262" s="23" t="inlineStr">
        <is>
          <t>CST-05-076</t>
        </is>
      </c>
      <c r="C262" s="23" t="inlineStr">
        <is>
          <t>Testing &amp; readiness - test management - control account</t>
        </is>
      </c>
      <c r="D262" s="23" t="inlineStr">
        <is>
          <t>UNSURE</t>
        </is>
      </c>
      <c r="E262" s="23" t="inlineStr">
        <is>
          <t>Maya Chen, Owner Project Controls</t>
        </is>
      </c>
      <c r="F262" s="23" t="inlineStr">
        <is>
          <t>Earlier professional decision, carried forward</t>
        </is>
      </c>
    </row>
    <row r="263" ht="34" customHeight="1">
      <c r="A263" s="23" t="inlineStr">
        <is>
          <t>Cost &amp; Forecast Control Accounts</t>
        </is>
      </c>
      <c r="B263" s="23" t="inlineStr">
        <is>
          <t>CST-05-077</t>
        </is>
      </c>
      <c r="C263" s="23" t="inlineStr">
        <is>
          <t>Testing &amp; readiness - trial running - control account</t>
        </is>
      </c>
      <c r="D263" s="23" t="inlineStr">
        <is>
          <t>UNSURE</t>
        </is>
      </c>
      <c r="E263" s="23" t="inlineStr">
        <is>
          <t>Maya Chen, Owner Project Controls</t>
        </is>
      </c>
      <c r="F263" s="23" t="inlineStr">
        <is>
          <t>Earlier professional decision, carried forward</t>
        </is>
      </c>
    </row>
    <row r="264" ht="34" customHeight="1">
      <c r="A264" s="23" t="inlineStr">
        <is>
          <t>Cost &amp; Forecast Control Accounts</t>
        </is>
      </c>
      <c r="B264" s="23" t="inlineStr">
        <is>
          <t>CST-05-078</t>
        </is>
      </c>
      <c r="C264" s="23" t="inlineStr">
        <is>
          <t>Testing &amp; readiness - safety certification - control account</t>
        </is>
      </c>
      <c r="D264" s="23" t="inlineStr">
        <is>
          <t>UNSURE</t>
        </is>
      </c>
      <c r="E264" s="23" t="inlineStr">
        <is>
          <t>Maya Chen, Owner Project Controls</t>
        </is>
      </c>
      <c r="F264" s="23" t="inlineStr">
        <is>
          <t>Earlier professional decision, carried forward</t>
        </is>
      </c>
    </row>
    <row r="265" ht="34" customHeight="1">
      <c r="A265" s="23" t="inlineStr">
        <is>
          <t>Cost &amp; Forecast Control Accounts</t>
        </is>
      </c>
      <c r="B265" s="23" t="inlineStr">
        <is>
          <t>CST-05-079</t>
        </is>
      </c>
      <c r="C265" s="23" t="inlineStr">
        <is>
          <t>Testing &amp; readiness - defect closeout - control account</t>
        </is>
      </c>
      <c r="D265" s="23" t="inlineStr">
        <is>
          <t>UNSURE</t>
        </is>
      </c>
      <c r="E265" s="23" t="inlineStr">
        <is>
          <t>Maya Chen, Owner Project Controls</t>
        </is>
      </c>
      <c r="F265" s="23" t="inlineStr">
        <is>
          <t>Earlier professional decision, carried forward</t>
        </is>
      </c>
    </row>
    <row r="266" ht="34" customHeight="1">
      <c r="A266" s="23" t="inlineStr">
        <is>
          <t>Cost &amp; Forecast Control Accounts</t>
        </is>
      </c>
      <c r="B266" s="23" t="inlineStr">
        <is>
          <t>CST-05-080</t>
        </is>
      </c>
      <c r="C266" s="23" t="inlineStr">
        <is>
          <t>Testing &amp; readiness - test management - control account</t>
        </is>
      </c>
      <c r="D266" s="23" t="inlineStr">
        <is>
          <t>UNSURE</t>
        </is>
      </c>
      <c r="E266" s="23" t="inlineStr">
        <is>
          <t>Maya Chen, Owner Project Controls</t>
        </is>
      </c>
      <c r="F266" s="23" t="inlineStr">
        <is>
          <t>Earlier professional decision, carried forward</t>
        </is>
      </c>
    </row>
    <row r="267" ht="19" customHeight="1">
      <c r="A267" s="23" t="inlineStr">
        <is>
          <t>Contractor Programme</t>
        </is>
      </c>
      <c r="B267" s="23" t="inlineStr">
        <is>
          <t>SCH-90-901</t>
        </is>
      </c>
      <c r="C267" s="23" t="inlineStr">
        <is>
          <t>Temporary offsite logistics compound</t>
        </is>
      </c>
      <c r="D267" s="23" t="inlineStr">
        <is>
          <t>NEW_SCOPE</t>
        </is>
      </c>
      <c r="E267" s="23" t="inlineStr"/>
      <c r="F267" s="23" t="inlineStr">
        <is>
          <t>Retired -- no longer reported</t>
        </is>
      </c>
    </row>
  </sheetData>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tabColor rgb="008B8F97"/>
    <outlinePr summaryBelow="0" summaryRight="0"/>
    <pageSetUpPr fitToPage="1"/>
  </sheetPr>
  <dimension ref="A1:E8"/>
  <sheetViews>
    <sheetView showGridLines="0" tabSelected="0" zoomScale="100" zoomScaleNormal="100" workbookViewId="0">
      <pane ySplit="1" topLeftCell="A2" activePane="bottomLeft" state="frozen"/>
      <selection pane="bottomLeft" activeCell="A1" sqref="A1"/>
    </sheetView>
  </sheetViews>
  <sheetFormatPr baseColWidth="8" defaultRowHeight="15"/>
  <cols>
    <col width="20" customWidth="1" min="1" max="1"/>
    <col width="18" customWidth="1" min="2" max="2"/>
    <col width="18" customWidth="1" min="3" max="3"/>
    <col width="24" customWidth="1" min="4" max="4"/>
    <col width="22" customWidth="1" min="5" max="5"/>
  </cols>
  <sheetData>
    <row r="1" ht="34" customHeight="1">
      <c r="A1" s="22" t="inlineStr">
        <is>
          <t>Mapping versions</t>
        </is>
      </c>
    </row>
    <row r="2" ht="30" customHeight="1">
      <c r="A2" s="12" t="inlineStr">
        <is>
          <t>Mapping Version</t>
        </is>
      </c>
      <c r="B2" s="12" t="inlineStr">
        <is>
          <t>Status</t>
        </is>
      </c>
      <c r="C2" s="12" t="inlineStr">
        <is>
          <t>Purpose</t>
        </is>
      </c>
      <c r="D2" s="12" t="inlineStr">
        <is>
          <t>Approved By</t>
        </is>
      </c>
      <c r="E2" s="12" t="inlineStr">
        <is>
          <t>Approved (UTC)</t>
        </is>
      </c>
    </row>
    <row r="3" ht="34" customHeight="1">
      <c r="A3" s="23" t="inlineStr">
        <is>
          <t>MV-1</t>
        </is>
      </c>
      <c r="B3" s="23" t="inlineStr">
        <is>
          <t>SUPERSEDED</t>
        </is>
      </c>
      <c r="C3" s="23" t="inlineStr">
        <is>
          <t>REPORTING</t>
        </is>
      </c>
      <c r="D3" s="23" t="inlineStr">
        <is>
          <t>Maya Chen, Owner Project Controls</t>
        </is>
      </c>
      <c r="E3" s="23" t="inlineStr">
        <is>
          <t>2026-10-16 14:11</t>
        </is>
      </c>
    </row>
    <row r="4" ht="34" customHeight="1">
      <c r="A4" s="23" t="inlineStr">
        <is>
          <t>MV-2</t>
        </is>
      </c>
      <c r="B4" s="23" t="inlineStr">
        <is>
          <t>APPROVED</t>
        </is>
      </c>
      <c r="C4" s="23" t="inlineStr">
        <is>
          <t>REPORTING</t>
        </is>
      </c>
      <c r="D4" s="23" t="inlineStr">
        <is>
          <t>Maya Chen, Owner Project Controls</t>
        </is>
      </c>
      <c r="E4" s="23" t="inlineStr">
        <is>
          <t>2026-10-16 14:14</t>
        </is>
      </c>
    </row>
    <row r="5"/>
    <row r="6" ht="19" customHeight="1">
      <c r="A6" s="22" t="inlineStr">
        <is>
          <t>WBS versions</t>
        </is>
      </c>
    </row>
    <row r="7" ht="34" customHeight="1">
      <c r="A7" s="12" t="inlineStr">
        <is>
          <t>WBS Version</t>
        </is>
      </c>
      <c r="B7" s="12" t="inlineStr">
        <is>
          <t>Status</t>
        </is>
      </c>
      <c r="C7" s="12" t="inlineStr">
        <is>
          <t>Approved By</t>
        </is>
      </c>
      <c r="D7" s="12" t="inlineStr">
        <is>
          <t>Effective From (UTC)</t>
        </is>
      </c>
      <c r="E7" s="12" t="inlineStr">
        <is>
          <t>Effective To (UTC)</t>
        </is>
      </c>
    </row>
    <row r="8" ht="49" customHeight="1">
      <c r="A8" s="36" t="n">
        <v>1</v>
      </c>
      <c r="B8" s="23" t="inlineStr">
        <is>
          <t>ACTIVE</t>
        </is>
      </c>
      <c r="C8" s="23" t="inlineStr">
        <is>
          <t>Maya Chen, Owner Project Controls</t>
        </is>
      </c>
      <c r="D8" s="23" t="inlineStr">
        <is>
          <t>2026-10-16 14:10</t>
        </is>
      </c>
      <c r="E8" s="23" t="inlineStr"/>
    </row>
  </sheetData>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tabColor rgb="008B8F97"/>
    <outlinePr summaryBelow="0" summaryRight="0"/>
    <pageSetUpPr fitToPage="1"/>
  </sheetPr>
  <dimension ref="A1:B40"/>
  <sheetViews>
    <sheetView showGridLines="0" tabSelected="0" zoomScale="100" zoomScaleNormal="100" workbookViewId="0">
      <selection activeCell="A1" sqref="A1"/>
    </sheetView>
  </sheetViews>
  <sheetFormatPr baseColWidth="8" defaultRowHeight="15"/>
  <cols>
    <col width="48" customWidth="1" min="1" max="1"/>
    <col width="90" customWidth="1" min="2" max="2"/>
  </cols>
  <sheetData>
    <row r="1" ht="19" customHeight="1">
      <c r="A1" s="27" t="inlineStr">
        <is>
          <t>WBS↔LINK by ZP Synergy Group</t>
        </is>
      </c>
    </row>
    <row r="2" ht="45" customHeight="1">
      <c r="A2" s="66" t="inlineStr">
        <is>
          <t>SUPPORTING SUMMARY: legacy reconciliation detail</t>
        </is>
      </c>
    </row>
    <row r="3" ht="49" customHeight="1">
      <c r="A3" s="31" t="inlineStr">
        <is>
          <t>EXECUTIVE VIEW is the primary management summary. This sheet preserves established reconciliation detail.</t>
        </is>
      </c>
    </row>
    <row r="4"/>
    <row r="5" ht="19" customHeight="1">
      <c r="A5" s="4" t="inlineStr">
        <is>
          <t>Project</t>
        </is>
      </c>
      <c r="B5" s="26" t="inlineStr">
        <is>
          <t>HarbourLink Urban Transit Expansion</t>
        </is>
      </c>
    </row>
    <row r="6" ht="19" customHeight="1">
      <c r="A6" s="4" t="inlineStr">
        <is>
          <t>Approval state</t>
        </is>
      </c>
      <c r="B6" s="26" t="inlineStr">
        <is>
          <t>APPROVED -- Maya Chen, Owner Project Controls, 2026-10-16 14:14 UTC</t>
        </is>
      </c>
    </row>
    <row r="7" ht="34" customHeight="1">
      <c r="A7" s="4" t="inlineStr">
        <is>
          <t>Data date</t>
        </is>
      </c>
      <c r="B7" s="26" t="inlineStr">
        <is>
          <t>2026-07-31 (Contractor Programme Rev 1); 2026-07-31 (Cost &amp; Forecast Control Accounts Rev 1); 2026-07-31 (Commercial Package Register Rev 1)</t>
        </is>
      </c>
    </row>
    <row r="8" ht="19" customHeight="1">
      <c r="A8" s="4" t="inlineStr">
        <is>
          <t>Generated (UTC)</t>
        </is>
      </c>
      <c r="B8" s="26" t="inlineStr">
        <is>
          <t>2026-10-16 14:16</t>
        </is>
      </c>
    </row>
    <row r="9" ht="19" customHeight="1">
      <c r="A9" s="4" t="inlineStr">
        <is>
          <t>Mapping version</t>
        </is>
      </c>
      <c r="B9" s="26" t="inlineStr">
        <is>
          <t>MV-2 (Reporting)</t>
        </is>
      </c>
    </row>
    <row r="10" ht="19" customHeight="1">
      <c r="A10" s="4" t="inlineStr">
        <is>
          <t>Approved by</t>
        </is>
      </c>
      <c r="B10" s="26" t="inlineStr">
        <is>
          <t>Maya Chen, Owner Project Controls</t>
        </is>
      </c>
    </row>
    <row r="11" ht="19" customHeight="1">
      <c r="A11" s="4" t="inlineStr">
        <is>
          <t>Approved (UTC)</t>
        </is>
      </c>
      <c r="B11" s="26" t="inlineStr">
        <is>
          <t>2026-10-16 14:14</t>
        </is>
      </c>
    </row>
    <row r="12" ht="19" customHeight="1">
      <c r="A12" s="4" t="inlineStr">
        <is>
          <t>Against WBS version</t>
        </is>
      </c>
      <c r="B12" s="26" t="inlineStr">
        <is>
          <t>1, approved by Maya Chen, Owner Project Controls</t>
        </is>
      </c>
    </row>
    <row r="13" ht="34" customHeight="1">
      <c r="A13" s="4" t="inlineStr">
        <is>
          <t>Source documents</t>
        </is>
      </c>
      <c r="B13" s="26" t="inlineStr">
        <is>
          <t>Contractor Programme (Rev 1); Cost &amp; Forecast Control Accounts (Rev 1); Commercial Package Register (Rev 1)</t>
        </is>
      </c>
    </row>
    <row r="14" ht="19" customHeight="1">
      <c r="A14" s="4" t="inlineStr">
        <is>
          <t>WBS generated from</t>
        </is>
      </c>
      <c r="B14" s="26" t="inlineStr">
        <is>
          <t>Owner WBS</t>
        </is>
      </c>
    </row>
    <row r="15" ht="79" customHeight="1">
      <c r="A15" s="4" t="inlineStr">
        <is>
          <t>Source representation</t>
        </is>
      </c>
      <c r="B15" s="26" t="inlineStr">
        <is>
          <t>Established: every materially populated supplied region has an established TABLE or CONTEXT interpretation, and every table used has a governed role. Output reconciliation shows that the Crosswalk, XLSX, PDF and JSON consume one governed state. It does not show that the upstream source representation is true: that is the source representation integrity gate.</t>
        </is>
      </c>
    </row>
    <row r="16" ht="19" customHeight="1">
      <c r="A16" s="4" t="inlineStr">
        <is>
          <t>Produced with</t>
        </is>
      </c>
      <c r="B16" s="26" t="inlineStr">
        <is>
          <t>Premium Workbook Rev 2</t>
        </is>
      </c>
    </row>
    <row r="17"/>
    <row r="18" ht="34" customHeight="1">
      <c r="A18" s="22" t="inlineStr">
        <is>
          <t>Counts (live formulas over MASTER DATA)</t>
        </is>
      </c>
    </row>
    <row r="19" ht="19" customHeight="1">
      <c r="A19" s="34" t="inlineStr">
        <is>
          <t>By change vs previous version</t>
        </is>
      </c>
      <c r="B19" s="7" t="n"/>
    </row>
    <row r="20" ht="19" customHeight="1">
      <c r="A20" s="26" t="inlineStr">
        <is>
          <t>Carried forward</t>
        </is>
      </c>
      <c r="B20" s="67">
        <f>COUNTIF('MASTER DATA'!$H$2:$H$1627,"Carried forward")</f>
        <v/>
      </c>
    </row>
    <row r="21" ht="19" customHeight="1">
      <c r="A21" s="26" t="inlineStr">
        <is>
          <t>Re-keyed, revalidated</t>
        </is>
      </c>
      <c r="B21" s="67">
        <f>COUNTIF('MASTER DATA'!$H$2:$H$1627,"Re-keyed, revalidated")</f>
        <v/>
      </c>
    </row>
    <row r="22" ht="19" customHeight="1">
      <c r="A22" s="26" t="inlineStr">
        <is>
          <t>Changed, re-decided</t>
        </is>
      </c>
      <c r="B22" s="67">
        <f>COUNTIF('MASTER DATA'!$H$2:$H$1627,"Changed, re-decided")</f>
        <v/>
      </c>
    </row>
    <row r="23" ht="19" customHeight="1">
      <c r="A23" s="26" t="inlineStr">
        <is>
          <t>New</t>
        </is>
      </c>
      <c r="B23" s="67">
        <f>COUNTIF('MASTER DATA'!$H$2:$H$1627,"New")</f>
        <v/>
      </c>
    </row>
    <row r="24" ht="19" customHeight="1">
      <c r="A24" s="26" t="inlineStr">
        <is>
          <t>Retired</t>
        </is>
      </c>
      <c r="B24" s="67">
        <f>COUNTIF('MASTER DATA'!$H$2:$H$1627,"Retired")</f>
        <v/>
      </c>
    </row>
    <row r="25" ht="19" customHeight="1">
      <c r="A25" s="34" t="inlineStr">
        <is>
          <t>By basis</t>
        </is>
      </c>
      <c r="B25" s="7" t="n"/>
    </row>
    <row r="26" ht="19" customHeight="1">
      <c r="A26" s="26" t="inlineStr">
        <is>
          <t>Professional decision</t>
        </is>
      </c>
      <c r="B26" s="67">
        <f>COUNTIF('MASTER DATA'!$I$2:$I$1627,"Professional decision")</f>
        <v/>
      </c>
    </row>
    <row r="27" ht="34" customHeight="1">
      <c r="A27" s="26" t="inlineStr">
        <is>
          <t>Earlier professional decision, carried forward</t>
        </is>
      </c>
      <c r="B27" s="67">
        <f>COUNTIF('MASTER DATA'!$I$2:$I$1627,"Earlier professional decision, carried forward")</f>
        <v/>
      </c>
    </row>
    <row r="28" ht="34" customHeight="1">
      <c r="A28" s="26" t="inlineStr">
        <is>
          <t>Source assignment -- not individually reviewed</t>
        </is>
      </c>
      <c r="B28" s="67">
        <f>COUNTIF('MASTER DATA'!$I$2:$I$1627,"Source assignment -- not individually reviewed")</f>
        <v/>
      </c>
    </row>
    <row r="29" ht="19" customHeight="1">
      <c r="A29" s="26" t="inlineStr">
        <is>
          <t>WBS↔LINK -- not individually reviewed</t>
        </is>
      </c>
      <c r="B29" s="67">
        <f>COUNTIF('MASTER DATA'!$I$2:$I$1627,"WBS↔LINK -- not individually reviewed")</f>
        <v/>
      </c>
    </row>
    <row r="30" ht="19" customHeight="1">
      <c r="A30" s="26" t="inlineStr">
        <is>
          <t>Retired -- no longer reported</t>
        </is>
      </c>
      <c r="B30" s="67">
        <f>COUNTIF('MASTER DATA'!$I$2:$I$1627,"Retired -- no longer reported")</f>
        <v/>
      </c>
    </row>
    <row r="31" ht="19" customHeight="1">
      <c r="A31" s="34" t="inlineStr">
        <is>
          <t>By relationship type</t>
        </is>
      </c>
      <c r="B31" s="7" t="n"/>
    </row>
    <row r="32" ht="19" customHeight="1">
      <c r="A32" s="26" t="inlineStr">
        <is>
          <t>ONE_TO_ONE</t>
        </is>
      </c>
      <c r="B32" s="67">
        <f>COUNTIF('MASTER DATA'!$F$2:$F$1627,"ONE_TO_ONE")</f>
        <v/>
      </c>
    </row>
    <row r="33" ht="19" customHeight="1">
      <c r="A33" s="26" t="inlineStr">
        <is>
          <t>ONE_TO_MANY</t>
        </is>
      </c>
      <c r="B33" s="67">
        <f>COUNTIF('MASTER DATA'!$F$2:$F$1627,"ONE_TO_MANY")</f>
        <v/>
      </c>
    </row>
    <row r="34" ht="19" customHeight="1">
      <c r="A34" s="26" t="inlineStr">
        <is>
          <t>NO_WBS</t>
        </is>
      </c>
      <c r="B34" s="67">
        <f>COUNTIF('MASTER DATA'!$F$2:$F$1627,"NO_WBS")</f>
        <v/>
      </c>
    </row>
    <row r="35" ht="19" customHeight="1">
      <c r="A35" s="26" t="inlineStr">
        <is>
          <t>NEW_SCOPE</t>
        </is>
      </c>
      <c r="B35" s="67">
        <f>COUNTIF('MASTER DATA'!$F$2:$F$1627,"NEW_SCOPE")</f>
        <v/>
      </c>
    </row>
    <row r="36" ht="19" customHeight="1">
      <c r="A36" s="26" t="inlineStr">
        <is>
          <t>UNSURE</t>
        </is>
      </c>
      <c r="B36" s="67">
        <f>COUNTIF('MASTER DATA'!$F$2:$F$1627,"UNSURE")</f>
        <v/>
      </c>
    </row>
    <row r="37" ht="19" customHeight="1">
      <c r="A37" s="22" t="inlineStr">
        <is>
          <t>Total rows</t>
        </is>
      </c>
      <c r="B37" s="22">
        <f>COUNTA('MASTER DATA'!$O$2:$O$1627)</f>
        <v/>
      </c>
    </row>
    <row r="38" ht="94" customHeight="1">
      <c r="A38" s="10" t="inlineStr">
        <is>
          <t>Check: basis rows add up to the total</t>
        </is>
      </c>
      <c r="B38" s="10">
        <f>IF(COUNTIF('MASTER DATA'!$I$2:$I$1627,"Professional decision")+COUNTIF('MASTER DATA'!$I$2:$I$1627,"Earlier professional decision, carried forward")+COUNTIF('MASTER DATA'!$I$2:$I$1627,"Source assignment -- not individually reviewed")+COUNTIF('MASTER DATA'!$I$2:$I$1627,"WBS↔LINK -- not individually reviewed")+COUNTIF('MASTER DATA'!$I$2:$I$1627,"Retired -- no longer reported")=COUNTA('MASTER DATA'!$O$2:$O$1627),"reconciled","DOES NOT RECONCILE")</f>
        <v/>
      </c>
    </row>
    <row r="39"/>
    <row r="40" ht="34" customHeight="1">
      <c r="A40" s="29" t="inlineStr">
        <is>
          <t>Canonical executive position: 03 EXECUTIVE VIEW</t>
        </is>
      </c>
    </row>
  </sheetData>
  <hyperlinks>
    <hyperlink xmlns:r="http://schemas.openxmlformats.org/officeDocument/2006/relationships" ref="A40" r:id="rId1"/>
  </hyperlinks>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2026-10-16T14:16:48Z</dcterms:created>
  <dcterms:modified xmlns:dcterms="http://purl.org/dc/terms/" xmlns:xsi="http://www.w3.org/2001/XMLSchema-instance" xsi:type="dcterms:W3CDTF">2026-10-16T14:17:12Z</dcterms:modified>
</cp:coreProperties>
</file>